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51840" windowHeight="21120" tabRatio="600" firstSheet="0" activeTab="1" autoFilterDateGrouping="1"/>
  </bookViews>
  <sheets>
    <sheet xmlns:r="http://schemas.openxmlformats.org/officeDocument/2006/relationships" name="00_Hinweis" sheetId="1" state="visible" r:id="rId1"/>
    <sheet xmlns:r="http://schemas.openxmlformats.org/officeDocument/2006/relationships" name="Referenzeit Normläufer" sheetId="2" state="visible" r:id="rId2"/>
    <sheet xmlns:r="http://schemas.openxmlformats.org/officeDocument/2006/relationships" name="Referenzzeit Beschleunigung" sheetId="3" state="visible" r:id="rId3"/>
    <sheet xmlns:r="http://schemas.openxmlformats.org/officeDocument/2006/relationships" name="03_Schrittparameter_1991" sheetId="4" state="visible" r:id="rId4"/>
  </sheets>
  <definedNames/>
  <calcPr calcId="191029" fullCalcOnLoad="1"/>
</workbook>
</file>

<file path=xl/styles.xml><?xml version="1.0" encoding="utf-8"?>
<styleSheet xmlns="http://schemas.openxmlformats.org/spreadsheetml/2006/main">
  <numFmts count="0"/>
  <fonts count="15">
    <font>
      <name val="Calibri"/>
      <family val="2"/>
      <color theme="1"/>
      <sz val="11"/>
      <scheme val="minor"/>
    </font>
    <font>
      <name val="Calibri"/>
      <family val="2"/>
      <color theme="0"/>
      <sz val="11"/>
      <scheme val="minor"/>
    </font>
    <font>
      <name val="Futura Lt BT"/>
      <family val="2"/>
      <b val="1"/>
      <color rgb="FF000000"/>
      <sz val="9"/>
    </font>
    <font>
      <name val="Futura Lt BT"/>
      <family val="2"/>
      <color rgb="FF000000"/>
      <sz val="9"/>
    </font>
    <font>
      <name val="Calibri"/>
      <family val="2"/>
      <color theme="10"/>
      <sz val="11"/>
      <u val="single"/>
      <scheme val="minor"/>
    </font>
    <font>
      <name val="Futura Lt BT"/>
      <family val="2"/>
      <b val="1"/>
      <color theme="0"/>
      <sz val="9"/>
    </font>
    <font>
      <name val="Calibri"/>
      <family val="2"/>
      <b val="1"/>
      <color rgb="FF000000"/>
      <sz val="10.5"/>
    </font>
    <font>
      <name val="Calibri"/>
      <family val="2"/>
      <color rgb="FF000000"/>
      <sz val="10.5"/>
    </font>
    <font>
      <name val="Futura Lt BT"/>
      <family val="2"/>
      <color theme="0"/>
      <sz val="9"/>
    </font>
    <font>
      <name val="Calibri"/>
      <family val="2"/>
      <b val="1"/>
      <color theme="1"/>
      <sz val="11"/>
      <scheme val="minor"/>
    </font>
    <font>
      <b val="1"/>
      <color rgb="001F3864"/>
      <sz val="14"/>
    </font>
    <font>
      <i val="1"/>
      <color rgb="00595959"/>
      <sz val="9"/>
    </font>
    <font>
      <b val="1"/>
    </font>
    <font>
      <b val="1"/>
      <color rgb="001F3864"/>
      <sz val="13"/>
    </font>
    <font>
      <b val="1"/>
      <color rgb="00FFFFFF"/>
    </font>
  </fonts>
  <fills count="9">
    <fill>
      <patternFill/>
    </fill>
    <fill>
      <patternFill patternType="gray125"/>
    </fill>
    <fill>
      <patternFill patternType="lightGray">
        <fgColor rgb="FFFFFF00"/>
        <bgColor rgb="FFFFFFCA"/>
      </patternFill>
    </fill>
    <fill>
      <patternFill patternType="lightGray">
        <fgColor rgb="FFFFFF00"/>
        <bgColor rgb="FFFF0000"/>
      </patternFill>
    </fill>
    <fill>
      <patternFill patternType="solid">
        <fgColor rgb="FFFF0000"/>
        <bgColor indexed="64"/>
      </patternFill>
    </fill>
    <fill>
      <patternFill patternType="solid">
        <fgColor theme="0"/>
        <bgColor indexed="64"/>
      </patternFill>
    </fill>
    <fill>
      <patternFill patternType="lightGray">
        <fgColor rgb="FFFFFF00"/>
        <bgColor theme="0"/>
      </patternFill>
    </fill>
    <fill>
      <patternFill patternType="solid">
        <fgColor rgb="001F3864"/>
      </patternFill>
    </fill>
    <fill>
      <patternFill patternType="solid">
        <fgColor rgb="00E2EFDA"/>
      </patternFill>
    </fill>
  </fills>
  <borders count="15">
    <border>
      <left/>
      <right/>
      <top/>
      <bottom/>
      <diagonal/>
    </border>
    <border>
      <left style="thick">
        <color rgb="FF000000"/>
      </left>
      <right style="medium">
        <color rgb="FF000000"/>
      </right>
      <top/>
      <bottom style="medium">
        <color rgb="FF000000"/>
      </bottom>
      <diagonal/>
    </border>
    <border>
      <left/>
      <right style="medium">
        <color rgb="FF000000"/>
      </right>
      <top/>
      <bottom style="medium">
        <color rgb="FF000000"/>
      </bottom>
      <diagonal/>
    </border>
    <border>
      <left/>
      <right style="thick">
        <color rgb="FF000000"/>
      </right>
      <top/>
      <bottom style="medium">
        <color rgb="FF000000"/>
      </bottom>
      <diagonal/>
    </border>
    <border>
      <left style="thick">
        <color rgb="FF000000"/>
      </left>
      <right style="medium">
        <color rgb="FF000000"/>
      </right>
      <top/>
      <bottom/>
      <diagonal/>
    </border>
    <border>
      <left/>
      <right style="medium">
        <color rgb="FF000000"/>
      </right>
      <top/>
      <bottom/>
      <diagonal/>
    </border>
    <border>
      <left/>
      <right style="thick">
        <color rgb="FF000000"/>
      </right>
      <top/>
      <bottom/>
      <diagonal/>
    </border>
    <border>
      <left style="thin">
        <color indexed="64"/>
      </left>
      <right style="thin">
        <color indexed="64"/>
      </right>
      <top style="thin">
        <color indexed="64"/>
      </top>
      <bottom style="thin">
        <color indexed="64"/>
      </bottom>
      <diagonal/>
    </border>
    <border>
      <left/>
      <right/>
      <top/>
      <bottom style="medium">
        <color rgb="FF000000"/>
      </bottom>
      <diagonal/>
    </border>
    <border>
      <left/>
      <right style="medium">
        <color indexed="64"/>
      </right>
      <top style="medium">
        <color indexed="64"/>
      </top>
      <bottom style="medium">
        <color indexed="64"/>
      </bottom>
      <diagonal/>
    </border>
    <border>
      <left/>
      <right style="medium">
        <color indexed="64"/>
      </right>
      <top/>
      <bottom style="medium">
        <color indexed="64"/>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rgb="00BFBFBF"/>
      </left>
      <right style="thin">
        <color rgb="00BFBFBF"/>
      </right>
      <top style="thin">
        <color rgb="00BFBFBF"/>
      </top>
      <bottom style="thin">
        <color rgb="00BFBFBF"/>
      </bottom>
    </border>
  </borders>
  <cellStyleXfs count="2">
    <xf numFmtId="0" fontId="0" fillId="0" borderId="0"/>
    <xf numFmtId="0" fontId="4" fillId="0" borderId="0"/>
  </cellStyleXfs>
  <cellXfs count="58">
    <xf numFmtId="0" fontId="0" fillId="0" borderId="0" pivotButton="0" quotePrefix="0" xfId="0"/>
    <xf numFmtId="0" fontId="2" fillId="2" borderId="1" applyAlignment="1" pivotButton="0" quotePrefix="0" xfId="0">
      <alignment vertical="center" wrapText="1"/>
    </xf>
    <xf numFmtId="0" fontId="2" fillId="2" borderId="2" applyAlignment="1" pivotButton="0" quotePrefix="0" xfId="0">
      <alignment vertical="center" wrapText="1"/>
    </xf>
    <xf numFmtId="0" fontId="2" fillId="2" borderId="3" applyAlignment="1" pivotButton="0" quotePrefix="0" xfId="0">
      <alignment vertical="center" wrapText="1"/>
    </xf>
    <xf numFmtId="0" fontId="3" fillId="0" borderId="1" applyAlignment="1" pivotButton="0" quotePrefix="0" xfId="0">
      <alignment vertical="center" wrapText="1"/>
    </xf>
    <xf numFmtId="0" fontId="4" fillId="0" borderId="2" applyAlignment="1" pivotButton="0" quotePrefix="0" xfId="1">
      <alignment vertical="center" wrapText="1"/>
    </xf>
    <xf numFmtId="0" fontId="3" fillId="0" borderId="2" applyAlignment="1" pivotButton="0" quotePrefix="0" xfId="0">
      <alignment vertical="center" wrapText="1"/>
    </xf>
    <xf numFmtId="0" fontId="2" fillId="0" borderId="2" applyAlignment="1" pivotButton="0" quotePrefix="0" xfId="0">
      <alignment vertical="center" wrapText="1"/>
    </xf>
    <xf numFmtId="0" fontId="2" fillId="0" borderId="3" applyAlignment="1" pivotButton="0" quotePrefix="0" xfId="0">
      <alignment vertical="center" wrapText="1"/>
    </xf>
    <xf numFmtId="0" fontId="3" fillId="0" borderId="3" applyAlignment="1" pivotButton="0" quotePrefix="0" xfId="0">
      <alignment vertical="center" wrapText="1"/>
    </xf>
    <xf numFmtId="0" fontId="3" fillId="0" borderId="4" applyAlignment="1" pivotButton="0" quotePrefix="0" xfId="0">
      <alignment vertical="center" wrapText="1"/>
    </xf>
    <xf numFmtId="0" fontId="4" fillId="0" borderId="5" applyAlignment="1" pivotButton="0" quotePrefix="0" xfId="1">
      <alignment vertical="center" wrapText="1"/>
    </xf>
    <xf numFmtId="0" fontId="3" fillId="0" borderId="5" applyAlignment="1" pivotButton="0" quotePrefix="0" xfId="0">
      <alignment vertical="center" wrapText="1"/>
    </xf>
    <xf numFmtId="0" fontId="2" fillId="0" borderId="5" applyAlignment="1" pivotButton="0" quotePrefix="0" xfId="0">
      <alignment vertical="center" wrapText="1"/>
    </xf>
    <xf numFmtId="0" fontId="3" fillId="0" borderId="6" applyAlignment="1" pivotButton="0" quotePrefix="0" xfId="0">
      <alignment vertical="center" wrapText="1"/>
    </xf>
    <xf numFmtId="0" fontId="2" fillId="2" borderId="8" applyAlignment="1" pivotButton="0" quotePrefix="0" xfId="0">
      <alignment vertical="center" wrapText="1"/>
    </xf>
    <xf numFmtId="0" fontId="3" fillId="0" borderId="8" applyAlignment="1" pivotButton="0" quotePrefix="0" xfId="0">
      <alignment vertical="center" wrapText="1"/>
    </xf>
    <xf numFmtId="0" fontId="2" fillId="0" borderId="8" applyAlignment="1" pivotButton="0" quotePrefix="0" xfId="0">
      <alignment vertical="center" wrapText="1"/>
    </xf>
    <xf numFmtId="0" fontId="3" fillId="0" borderId="0" applyAlignment="1" pivotButton="0" quotePrefix="0" xfId="0">
      <alignment vertical="center" wrapText="1"/>
    </xf>
    <xf numFmtId="0" fontId="5" fillId="3" borderId="7" applyAlignment="1" pivotButton="0" quotePrefix="0" xfId="0">
      <alignment vertical="center" wrapText="1"/>
    </xf>
    <xf numFmtId="0" fontId="1" fillId="4" borderId="7" pivotButton="0" quotePrefix="0" xfId="0"/>
    <xf numFmtId="0" fontId="0" fillId="0" borderId="7" pivotButton="0" quotePrefix="0" xfId="0"/>
    <xf numFmtId="0" fontId="2" fillId="2" borderId="7" applyAlignment="1" pivotButton="0" quotePrefix="0" xfId="0">
      <alignment vertical="center" wrapText="1"/>
    </xf>
    <xf numFmtId="0" fontId="2" fillId="0" borderId="9" applyAlignment="1" pivotButton="0" quotePrefix="0" xfId="0">
      <alignment horizontal="right" vertical="center" wrapText="1"/>
    </xf>
    <xf numFmtId="0" fontId="6" fillId="0" borderId="9" applyAlignment="1" pivotButton="0" quotePrefix="0" xfId="0">
      <alignment horizontal="right" vertical="center" wrapText="1"/>
    </xf>
    <xf numFmtId="0" fontId="3" fillId="0" borderId="10" applyAlignment="1" pivotButton="0" quotePrefix="0" xfId="0">
      <alignment horizontal="right" vertical="center" wrapText="1"/>
    </xf>
    <xf numFmtId="0" fontId="2" fillId="0" borderId="10" applyAlignment="1" pivotButton="0" quotePrefix="0" xfId="0">
      <alignment horizontal="right" vertical="center" wrapText="1"/>
    </xf>
    <xf numFmtId="0" fontId="7" fillId="0" borderId="10" applyAlignment="1" pivotButton="0" quotePrefix="0" xfId="0">
      <alignment horizontal="right" vertical="center" wrapText="1"/>
    </xf>
    <xf numFmtId="2" fontId="0" fillId="0" borderId="7" pivotButton="0" quotePrefix="0" xfId="0"/>
    <xf numFmtId="0" fontId="1" fillId="4" borderId="0" pivotButton="0" quotePrefix="0" xfId="0"/>
    <xf numFmtId="0" fontId="8" fillId="4" borderId="9" applyAlignment="1" pivotButton="0" quotePrefix="0" xfId="0">
      <alignment horizontal="right" vertical="center" wrapText="1"/>
    </xf>
    <xf numFmtId="0" fontId="8" fillId="4" borderId="10" applyAlignment="1" pivotButton="0" quotePrefix="0" xfId="0">
      <alignment horizontal="right" vertical="center" wrapText="1"/>
    </xf>
    <xf numFmtId="0" fontId="5" fillId="4" borderId="10" applyAlignment="1" pivotButton="0" quotePrefix="0" xfId="0">
      <alignment horizontal="right" vertical="center" wrapText="1"/>
    </xf>
    <xf numFmtId="0" fontId="8" fillId="5" borderId="10" applyAlignment="1" pivotButton="0" quotePrefix="0" xfId="0">
      <alignment horizontal="right" vertical="center" wrapText="1"/>
    </xf>
    <xf numFmtId="0" fontId="0" fillId="0" borderId="0" applyAlignment="1" pivotButton="0" quotePrefix="0" xfId="0">
      <alignment horizontal="left" indent="1"/>
    </xf>
    <xf numFmtId="2" fontId="3" fillId="0" borderId="7" applyAlignment="1" pivotButton="0" quotePrefix="0" xfId="0">
      <alignment horizontal="center" vertical="center" wrapText="1"/>
    </xf>
    <xf numFmtId="2" fontId="7" fillId="0" borderId="7" applyAlignment="1" pivotButton="0" quotePrefix="0" xfId="0">
      <alignment horizontal="center" vertical="center" wrapText="1"/>
    </xf>
    <xf numFmtId="1" fontId="3" fillId="0" borderId="7" applyAlignment="1" pivotButton="0" quotePrefix="0" xfId="0">
      <alignment horizontal="center" vertical="center" wrapText="1"/>
    </xf>
    <xf numFmtId="0" fontId="9" fillId="0" borderId="0" applyAlignment="1" pivotButton="0" quotePrefix="0" xfId="0">
      <alignment horizontal="center"/>
    </xf>
    <xf numFmtId="2" fontId="0" fillId="0" borderId="7" applyAlignment="1" pivotButton="0" quotePrefix="0" xfId="0">
      <alignment horizontal="left"/>
    </xf>
    <xf numFmtId="0" fontId="3" fillId="0" borderId="7" applyAlignment="1" pivotButton="0" quotePrefix="0" xfId="0">
      <alignment horizontal="center" vertical="center" wrapText="1"/>
    </xf>
    <xf numFmtId="0" fontId="2" fillId="6" borderId="4" applyAlignment="1" pivotButton="0" quotePrefix="0" xfId="0">
      <alignment horizontal="center" vertical="center" wrapText="1"/>
    </xf>
    <xf numFmtId="0" fontId="2" fillId="6" borderId="5" applyAlignment="1" pivotButton="0" quotePrefix="0" xfId="0">
      <alignment horizontal="center" vertical="center" wrapText="1"/>
    </xf>
    <xf numFmtId="0" fontId="2" fillId="6" borderId="6" applyAlignment="1" pivotButton="0" quotePrefix="0" xfId="0">
      <alignment horizontal="center" vertical="center" wrapText="1"/>
    </xf>
    <xf numFmtId="0" fontId="0" fillId="0" borderId="7" applyAlignment="1" pivotButton="0" quotePrefix="0" xfId="0">
      <alignment horizontal="center"/>
    </xf>
    <xf numFmtId="0" fontId="10" fillId="0" borderId="0" applyAlignment="1" pivotButton="0" quotePrefix="0" xfId="0">
      <alignment vertical="top" wrapText="1"/>
    </xf>
    <xf numFmtId="0" fontId="11" fillId="0" borderId="0" applyAlignment="1" pivotButton="0" quotePrefix="0" xfId="0">
      <alignment vertical="top" wrapText="1"/>
    </xf>
    <xf numFmtId="0" fontId="0" fillId="0" borderId="0" applyAlignment="1" pivotButton="0" quotePrefix="0" xfId="0">
      <alignment vertical="top" wrapText="1"/>
    </xf>
    <xf numFmtId="0" fontId="12" fillId="0" borderId="0" applyAlignment="1" pivotButton="0" quotePrefix="0" xfId="0">
      <alignment vertical="top" wrapText="1"/>
    </xf>
    <xf numFmtId="0" fontId="0" fillId="0" borderId="0" applyAlignment="1" pivotButton="0" quotePrefix="0" xfId="0">
      <alignment vertical="top" wrapText="1" indent="1"/>
    </xf>
    <xf numFmtId="0" fontId="0" fillId="0" borderId="12" pivotButton="0" quotePrefix="0" xfId="0"/>
    <xf numFmtId="0" fontId="0" fillId="0" borderId="13" pivotButton="0" quotePrefix="0" xfId="0"/>
    <xf numFmtId="0" fontId="13" fillId="0" borderId="0" pivotButton="0" quotePrefix="0" xfId="0"/>
    <xf numFmtId="0" fontId="11" fillId="0" borderId="0" pivotButton="0" quotePrefix="0" xfId="0"/>
    <xf numFmtId="0" fontId="14" fillId="7" borderId="0" applyAlignment="1" pivotButton="0" quotePrefix="0" xfId="0">
      <alignment horizontal="center"/>
    </xf>
    <xf numFmtId="0" fontId="12" fillId="0" borderId="0" pivotButton="0" quotePrefix="0" xfId="0"/>
    <xf numFmtId="2" fontId="0" fillId="0" borderId="14" pivotButton="0" quotePrefix="0" xfId="0"/>
    <xf numFmtId="2" fontId="0" fillId="8" borderId="14" pivotButton="0" quotePrefix="0" xfId="0"/>
  </cellXfs>
  <cellStyles count="2">
    <cellStyle name="Standard" xfId="0" builtinId="0"/>
    <cellStyle name="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de-DE"/>
              <a:t>Referenzzeitdiagramm</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de-DE"/>
        </a:p>
      </txPr>
    </title>
    <plotArea>
      <layout/>
      <lineChart>
        <grouping val="standard"/>
        <varyColors val="0"/>
        <ser>
          <idx val="0"/>
          <order val="0"/>
          <tx>
            <strRef>
              <f>'Referenzeit Normläufer'!$B$19</f>
              <strCache>
                <ptCount val="1"/>
                <pt idx="0">
                  <v>Carl Lewis</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strRef>
              <f>'Referenzeit Normläufer'!$C$18:$N$18</f>
              <strCache>
                <ptCount val="12"/>
                <pt idx="1">
                  <v>0m</v>
                </pt>
                <pt idx="2">
                  <v>10 m</v>
                </pt>
                <pt idx="3">
                  <v>20 m</v>
                </pt>
                <pt idx="4">
                  <v>30 m</v>
                </pt>
                <pt idx="5">
                  <v>40 m</v>
                </pt>
                <pt idx="6">
                  <v>50 m</v>
                </pt>
                <pt idx="7">
                  <v>60 m</v>
                </pt>
                <pt idx="8">
                  <v>70 m</v>
                </pt>
                <pt idx="9">
                  <v>80 m</v>
                </pt>
                <pt idx="10">
                  <v>90 m</v>
                </pt>
                <pt idx="11">
                  <v>100 m</v>
                </pt>
              </strCache>
            </strRef>
          </cat>
          <val>
            <numRef>
              <f>'Referenzeit Normläufer'!$C$19:$N$19</f>
              <numCache>
                <formatCode>General</formatCode>
                <ptCount val="12"/>
                <pt idx="1">
                  <v>0</v>
                </pt>
                <pt idx="2">
                  <v>0</v>
                </pt>
                <pt idx="3">
                  <v>0</v>
                </pt>
                <pt idx="4">
                  <v>0</v>
                </pt>
                <pt idx="5">
                  <v>0</v>
                </pt>
                <pt idx="6">
                  <v>0</v>
                </pt>
                <pt idx="7">
                  <v>0</v>
                </pt>
                <pt idx="8">
                  <v>0</v>
                </pt>
                <pt idx="9">
                  <v>0</v>
                </pt>
                <pt idx="10">
                  <v>0</v>
                </pt>
                <pt idx="11">
                  <v>0</v>
                </pt>
              </numCache>
            </numRef>
          </val>
          <smooth val="0"/>
        </ser>
        <ser>
          <idx val="1"/>
          <order val="1"/>
          <tx>
            <strRef>
              <f>'Referenzeit Normläufer'!$B$20</f>
              <strCache>
                <ptCount val="1"/>
                <pt idx="0">
                  <v>Leroy Burrell</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cat>
            <strRef>
              <f>'Referenzeit Normläufer'!$C$18:$N$18</f>
              <strCache>
                <ptCount val="12"/>
                <pt idx="1">
                  <v>0m</v>
                </pt>
                <pt idx="2">
                  <v>10 m</v>
                </pt>
                <pt idx="3">
                  <v>20 m</v>
                </pt>
                <pt idx="4">
                  <v>30 m</v>
                </pt>
                <pt idx="5">
                  <v>40 m</v>
                </pt>
                <pt idx="6">
                  <v>50 m</v>
                </pt>
                <pt idx="7">
                  <v>60 m</v>
                </pt>
                <pt idx="8">
                  <v>70 m</v>
                </pt>
                <pt idx="9">
                  <v>80 m</v>
                </pt>
                <pt idx="10">
                  <v>90 m</v>
                </pt>
                <pt idx="11">
                  <v>100 m</v>
                </pt>
              </strCache>
            </strRef>
          </cat>
          <val>
            <numRef>
              <f>'Referenzeit Normläufer'!$C$20:$N$20</f>
              <numCache>
                <formatCode>General</formatCode>
                <ptCount val="12"/>
                <pt idx="1">
                  <v>0</v>
                </pt>
                <pt idx="2">
                  <v>-0.04999999999999982</v>
                </pt>
                <pt idx="3">
                  <v>-0.06999999999999984</v>
                </pt>
                <pt idx="4">
                  <v>-0.08000000000000007</v>
                </pt>
                <pt idx="5">
                  <v>-0.08999999999999986</v>
                </pt>
                <pt idx="6">
                  <v>-0.0600000000000005</v>
                </pt>
                <pt idx="7">
                  <v>-0.04999999999999982</v>
                </pt>
                <pt idx="8">
                  <v>-0.01999999999999957</v>
                </pt>
                <pt idx="9">
                  <v>-0.01000000000000156</v>
                </pt>
                <pt idx="10">
                  <v>0.009999999999999787</v>
                </pt>
                <pt idx="11">
                  <v>0.02000000000000135</v>
                </pt>
              </numCache>
            </numRef>
          </val>
          <smooth val="0"/>
        </ser>
        <ser>
          <idx val="2"/>
          <order val="2"/>
          <tx>
            <strRef>
              <f>'Referenzeit Normläufer'!$B$21</f>
              <strCache>
                <ptCount val="1"/>
                <pt idx="0">
                  <v>Dennis Mitchell</v>
                </pt>
              </strCache>
            </strRef>
          </tx>
          <spPr>
            <a:ln xmlns:a="http://schemas.openxmlformats.org/drawingml/2006/main" w="28575" cap="rnd">
              <a:solidFill>
                <a:schemeClr val="accent3"/>
              </a:solidFill>
              <a:prstDash val="solid"/>
              <a:round/>
            </a:ln>
          </spPr>
          <marker>
            <symbol val="none"/>
            <spPr>
              <a:ln xmlns:a="http://schemas.openxmlformats.org/drawingml/2006/main">
                <a:prstDash val="solid"/>
              </a:ln>
            </spPr>
          </marker>
          <cat>
            <strRef>
              <f>'Referenzeit Normläufer'!$C$18:$N$18</f>
              <strCache>
                <ptCount val="12"/>
                <pt idx="1">
                  <v>0m</v>
                </pt>
                <pt idx="2">
                  <v>10 m</v>
                </pt>
                <pt idx="3">
                  <v>20 m</v>
                </pt>
                <pt idx="4">
                  <v>30 m</v>
                </pt>
                <pt idx="5">
                  <v>40 m</v>
                </pt>
                <pt idx="6">
                  <v>50 m</v>
                </pt>
                <pt idx="7">
                  <v>60 m</v>
                </pt>
                <pt idx="8">
                  <v>70 m</v>
                </pt>
                <pt idx="9">
                  <v>80 m</v>
                </pt>
                <pt idx="10">
                  <v>90 m</v>
                </pt>
                <pt idx="11">
                  <v>100 m</v>
                </pt>
              </strCache>
            </strRef>
          </cat>
          <val>
            <numRef>
              <f>'Referenzeit Normläufer'!$C$21:$N$21</f>
              <numCache>
                <formatCode>General</formatCode>
                <ptCount val="12"/>
                <pt idx="1">
                  <v>0</v>
                </pt>
                <pt idx="2">
                  <v>-0.07999999999999985</v>
                </pt>
                <pt idx="3">
                  <v>-0.08999999999999986</v>
                </pt>
                <pt idx="4">
                  <v>-0.08000000000000007</v>
                </pt>
                <pt idx="5">
                  <v>-0.08999999999999986</v>
                </pt>
                <pt idx="6">
                  <v>-0.0600000000000005</v>
                </pt>
                <pt idx="7">
                  <v>-0.04000000000000004</v>
                </pt>
                <pt idx="8">
                  <v>-0.01999999999999957</v>
                </pt>
                <pt idx="9">
                  <v>0.009999999999999787</v>
                </pt>
                <pt idx="10">
                  <v>0.01999999999999957</v>
                </pt>
                <pt idx="11">
                  <v>0.05000000000000071</v>
                </pt>
              </numCache>
            </numRef>
          </val>
          <smooth val="0"/>
        </ser>
        <ser>
          <idx val="3"/>
          <order val="3"/>
          <tx>
            <strRef>
              <f>'Referenzeit Normläufer'!$B$22</f>
              <strCache>
                <ptCount val="1"/>
                <pt idx="0">
                  <v>Linford Christie</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cat>
            <strRef>
              <f>'Referenzeit Normläufer'!$C$18:$N$18</f>
              <strCache>
                <ptCount val="12"/>
                <pt idx="1">
                  <v>0m</v>
                </pt>
                <pt idx="2">
                  <v>10 m</v>
                </pt>
                <pt idx="3">
                  <v>20 m</v>
                </pt>
                <pt idx="4">
                  <v>30 m</v>
                </pt>
                <pt idx="5">
                  <v>40 m</v>
                </pt>
                <pt idx="6">
                  <v>50 m</v>
                </pt>
                <pt idx="7">
                  <v>60 m</v>
                </pt>
                <pt idx="8">
                  <v>70 m</v>
                </pt>
                <pt idx="9">
                  <v>80 m</v>
                </pt>
                <pt idx="10">
                  <v>90 m</v>
                </pt>
                <pt idx="11">
                  <v>100 m</v>
                </pt>
              </strCache>
            </strRef>
          </cat>
          <val>
            <numRef>
              <f>'Referenzeit Normläufer'!$C$22:$N$22</f>
              <numCache>
                <formatCode>General</formatCode>
                <ptCount val="12"/>
                <pt idx="1">
                  <v>0</v>
                </pt>
                <pt idx="2">
                  <v>-0.0299999999999998</v>
                </pt>
                <pt idx="3">
                  <v>-0.04999999999999982</v>
                </pt>
                <pt idx="4">
                  <v>-0.04999999999999982</v>
                </pt>
                <pt idx="5">
                  <v>-0.04999999999999982</v>
                </pt>
                <pt idx="6">
                  <v>-0.04000000000000004</v>
                </pt>
                <pt idx="7">
                  <v>-0.03000000000000025</v>
                </pt>
                <pt idx="8">
                  <v>-0.009999999999999787</v>
                </pt>
                <pt idx="9">
                  <v>0.009999999999999787</v>
                </pt>
                <pt idx="10">
                  <v>0.03999999999999915</v>
                </pt>
                <pt idx="11">
                  <v>0.0600000000000005</v>
                </pt>
              </numCache>
            </numRef>
          </val>
          <smooth val="0"/>
        </ser>
        <ser>
          <idx val="4"/>
          <order val="4"/>
          <tx>
            <strRef>
              <f>'Referenzeit Normläufer'!$B$23</f>
              <strCache>
                <ptCount val="1"/>
                <pt idx="0">
                  <v>Frank Fredericks</v>
                </pt>
              </strCache>
            </strRef>
          </tx>
          <spPr>
            <a:ln xmlns:a="http://schemas.openxmlformats.org/drawingml/2006/main" w="28575" cap="rnd">
              <a:solidFill>
                <a:schemeClr val="accent5"/>
              </a:solidFill>
              <a:prstDash val="solid"/>
              <a:round/>
            </a:ln>
          </spPr>
          <marker>
            <symbol val="none"/>
            <spPr>
              <a:ln xmlns:a="http://schemas.openxmlformats.org/drawingml/2006/main">
                <a:prstDash val="solid"/>
              </a:ln>
            </spPr>
          </marker>
          <cat>
            <strRef>
              <f>'Referenzeit Normläufer'!$C$18:$N$18</f>
              <strCache>
                <ptCount val="12"/>
                <pt idx="1">
                  <v>0m</v>
                </pt>
                <pt idx="2">
                  <v>10 m</v>
                </pt>
                <pt idx="3">
                  <v>20 m</v>
                </pt>
                <pt idx="4">
                  <v>30 m</v>
                </pt>
                <pt idx="5">
                  <v>40 m</v>
                </pt>
                <pt idx="6">
                  <v>50 m</v>
                </pt>
                <pt idx="7">
                  <v>60 m</v>
                </pt>
                <pt idx="8">
                  <v>70 m</v>
                </pt>
                <pt idx="9">
                  <v>80 m</v>
                </pt>
                <pt idx="10">
                  <v>90 m</v>
                </pt>
                <pt idx="11">
                  <v>100 m</v>
                </pt>
              </strCache>
            </strRef>
          </cat>
          <val>
            <numRef>
              <f>'Referenzeit Normläufer'!$C$23:$N$23</f>
              <numCache>
                <formatCode>General</formatCode>
                <ptCount val="12"/>
                <pt idx="1">
                  <v>0</v>
                </pt>
                <pt idx="2">
                  <v>-0.0199999999999998</v>
                </pt>
                <pt idx="3">
                  <v>-0.04000000000000004</v>
                </pt>
                <pt idx="4">
                  <v>-0.04000000000000004</v>
                </pt>
                <pt idx="5">
                  <v>-0.03999999999999915</v>
                </pt>
                <pt idx="6">
                  <v>-0.01000000000000068</v>
                </pt>
                <pt idx="7">
                  <v>0.009999999999999787</v>
                </pt>
                <pt idx="8">
                  <v>0.03000000000000025</v>
                </pt>
                <pt idx="9">
                  <v>0.04999999999999893</v>
                </pt>
                <pt idx="10">
                  <v>0.07000000000000028</v>
                </pt>
                <pt idx="11">
                  <v>0.08999999999999986</v>
                </pt>
              </numCache>
            </numRef>
          </val>
          <smooth val="0"/>
        </ser>
        <ser>
          <idx val="5"/>
          <order val="5"/>
          <tx>
            <strRef>
              <f>'Referenzeit Normläufer'!$B$24</f>
              <strCache>
                <ptCount val="1"/>
                <pt idx="0">
                  <v>Raymond Stewart</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cat>
            <strRef>
              <f>'Referenzeit Normläufer'!$C$18:$N$18</f>
              <strCache>
                <ptCount val="12"/>
                <pt idx="1">
                  <v>0m</v>
                </pt>
                <pt idx="2">
                  <v>10 m</v>
                </pt>
                <pt idx="3">
                  <v>20 m</v>
                </pt>
                <pt idx="4">
                  <v>30 m</v>
                </pt>
                <pt idx="5">
                  <v>40 m</v>
                </pt>
                <pt idx="6">
                  <v>50 m</v>
                </pt>
                <pt idx="7">
                  <v>60 m</v>
                </pt>
                <pt idx="8">
                  <v>70 m</v>
                </pt>
                <pt idx="9">
                  <v>80 m</v>
                </pt>
                <pt idx="10">
                  <v>90 m</v>
                </pt>
                <pt idx="11">
                  <v>100 m</v>
                </pt>
              </strCache>
            </strRef>
          </cat>
          <val>
            <numRef>
              <f>'Referenzeit Normläufer'!$C$24:$N$24</f>
              <numCache>
                <formatCode>General</formatCode>
                <ptCount val="12"/>
                <pt idx="1">
                  <v>0</v>
                </pt>
                <pt idx="2">
                  <v>-0.06999999999999984</v>
                </pt>
                <pt idx="3">
                  <v>-0.08000000000000007</v>
                </pt>
                <pt idx="4">
                  <v>-0.08999999999999986</v>
                </pt>
                <pt idx="5">
                  <v>-0.08999999999999986</v>
                </pt>
                <pt idx="6">
                  <v>-0.07000000000000028</v>
                </pt>
                <pt idx="7">
                  <v>-0.04999999999999982</v>
                </pt>
                <pt idx="8">
                  <v>-0.009999999999999787</v>
                </pt>
                <pt idx="9">
                  <v>0.02999999999999936</v>
                </pt>
                <pt idx="10">
                  <v>0.0600000000000005</v>
                </pt>
                <pt idx="11">
                  <v>0.1000000000000014</v>
                </pt>
              </numCache>
            </numRef>
          </val>
          <smooth val="0"/>
        </ser>
        <dLbls>
          <showLegendKey val="0"/>
          <showVal val="0"/>
          <showCatName val="0"/>
          <showSerName val="0"/>
          <showPercent val="0"/>
          <showBubbleSize val="0"/>
        </dLbls>
        <smooth val="0"/>
        <axId val="292068784"/>
        <axId val="292070464"/>
      </lineChart>
      <catAx>
        <axId val="292068784"/>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292070464"/>
        <crosses val="autoZero"/>
        <auto val="1"/>
        <lblAlgn val="ctr"/>
        <lblOffset val="100"/>
        <noMultiLvlLbl val="0"/>
      </catAx>
      <valAx>
        <axId val="29207046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292068784"/>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de-DE"/>
        </a:p>
      </txPr>
    </title>
    <plotArea>
      <layout/>
      <barChart>
        <barDir val="col"/>
        <grouping val="clustered"/>
        <varyColors val="0"/>
        <ser>
          <idx val="0"/>
          <order val="0"/>
          <tx>
            <strRef>
              <f>'Referenzeit Normläufer'!$C$1</f>
              <strCache>
                <ptCount val="1"/>
                <pt idx="0">
                  <v>RZ</v>
                </pt>
              </strCache>
            </strRef>
          </tx>
          <spPr>
            <a:solidFill xmlns:a="http://schemas.openxmlformats.org/drawingml/2006/main">
              <a:schemeClr val="accent1"/>
            </a:solidFill>
            <a:ln xmlns:a="http://schemas.openxmlformats.org/drawingml/2006/main">
              <a:noFill/>
              <a:prstDash val="solid"/>
            </a:ln>
          </spPr>
          <invertIfNegative val="0"/>
          <cat>
            <strRef>
              <f>'Referenzeit Normläufer'!$B$2:$B$7</f>
              <strCache>
                <ptCount val="6"/>
                <pt idx="0">
                  <v>Carl Lewis</v>
                </pt>
                <pt idx="1">
                  <v>Leroy Burrell</v>
                </pt>
                <pt idx="2">
                  <v>Dennis Mitchell</v>
                </pt>
                <pt idx="3">
                  <v>Linford Christie</v>
                </pt>
                <pt idx="4">
                  <v>Frank Fredericks</v>
                </pt>
                <pt idx="5">
                  <v>Raymond Stewart</v>
                </pt>
              </strCache>
            </strRef>
          </cat>
          <val>
            <numRef>
              <f>'Referenzeit Normläufer'!$C$2:$C$7</f>
              <numCache>
                <formatCode>0.00</formatCode>
                <ptCount val="6"/>
                <pt idx="0">
                  <v>0.14</v>
                </pt>
                <pt idx="1">
                  <v>0.12</v>
                </pt>
                <pt idx="2">
                  <v>0.09</v>
                </pt>
                <pt idx="3">
                  <v>0.126</v>
                </pt>
                <pt idx="4">
                  <v>0.151</v>
                </pt>
                <pt idx="5">
                  <v>0.114</v>
                </pt>
              </numCache>
            </numRef>
          </val>
        </ser>
        <dLbls>
          <showLegendKey val="0"/>
          <showVal val="0"/>
          <showCatName val="0"/>
          <showSerName val="0"/>
          <showPercent val="0"/>
          <showBubbleSize val="0"/>
        </dLbls>
        <gapWidth val="219"/>
        <overlap val="-27"/>
        <axId val="353699776"/>
        <axId val="353699216"/>
      </barChart>
      <catAx>
        <axId val="35369977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353699216"/>
        <crosses val="autoZero"/>
        <auto val="1"/>
        <lblAlgn val="ctr"/>
        <lblOffset val="100"/>
        <noMultiLvlLbl val="0"/>
      </catAx>
      <valAx>
        <axId val="353699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353699776"/>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de-DE"/>
        </a:p>
      </txPr>
    </title>
    <plotArea>
      <layout>
        <manualLayout>
          <layoutTarget val="inner"/>
          <xMode val="edge"/>
          <yMode val="edge"/>
          <wMode val="factor"/>
          <hMode val="factor"/>
          <x val="0.04863749740415928"/>
          <y val="0.1592487700773626"/>
          <w val="0.9240852002243934"/>
          <h val="0.8299324085390443"/>
        </manualLayout>
      </layout>
      <lineChart>
        <grouping val="standard"/>
        <varyColors val="0"/>
        <ser>
          <idx val="0"/>
          <order val="0"/>
          <tx>
            <strRef>
              <f>'Referenzzeit Beschleunigung'!$B$43</f>
              <strCache>
                <ptCount val="1"/>
                <pt idx="0">
                  <v>Usain Bolt</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strRef>
              <f>'Referenzzeit Beschleunigung'!$C$42:$G$42</f>
              <strCache>
                <ptCount val="5"/>
                <pt idx="0">
                  <v>Ta1</v>
                </pt>
                <pt idx="1">
                  <v>Ta2</v>
                </pt>
                <pt idx="2">
                  <v>Ta3</v>
                </pt>
                <pt idx="3">
                  <v>Ta4</v>
                </pt>
                <pt idx="4">
                  <v>Ta5</v>
                </pt>
              </strCache>
            </strRef>
          </cat>
          <val>
            <numRef>
              <f>'Referenzzeit Beschleunigung'!$C$43:$G$43</f>
              <numCache>
                <formatCode>0.00</formatCode>
                <ptCount val="5"/>
                <pt idx="0">
                  <v>2.394607344260725</v>
                </pt>
                <pt idx="1">
                  <v>2.576089259233107</v>
                </pt>
                <pt idx="2">
                  <v>0.3278302249222673</v>
                </pt>
                <pt idx="3">
                  <v>0.2772126361835929</v>
                </pt>
                <pt idx="4">
                  <v>-0.225402094796907</v>
                </pt>
              </numCache>
            </numRef>
          </val>
          <smooth val="0"/>
        </ser>
        <ser>
          <idx val="1"/>
          <order val="1"/>
          <tx>
            <strRef>
              <f>'Referenzzeit Beschleunigung'!$B$44</f>
              <strCache>
                <ptCount val="1"/>
                <pt idx="0">
                  <v>Tyson Gay</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cat>
            <strRef>
              <f>'Referenzzeit Beschleunigung'!$C$42:$G$42</f>
              <strCache>
                <ptCount val="5"/>
                <pt idx="0">
                  <v>Ta1</v>
                </pt>
                <pt idx="1">
                  <v>Ta2</v>
                </pt>
                <pt idx="2">
                  <v>Ta3</v>
                </pt>
                <pt idx="3">
                  <v>Ta4</v>
                </pt>
                <pt idx="4">
                  <v>Ta5</v>
                </pt>
              </strCache>
            </strRef>
          </cat>
          <val>
            <numRef>
              <f>'Referenzzeit Beschleunigung'!$C$44:$G$44</f>
              <numCache>
                <formatCode>0.00</formatCode>
                <ptCount val="5"/>
                <pt idx="0">
                  <v>2.345655845374367</v>
                </pt>
                <pt idx="1">
                  <v>2.464404487464395</v>
                </pt>
                <pt idx="2">
                  <v>0.3540618168328097</v>
                </pt>
                <pt idx="3">
                  <v>0.2672509961224087</v>
                </pt>
                <pt idx="4">
                  <v>-0.2577627950766498</v>
                </pt>
              </numCache>
            </numRef>
          </val>
          <smooth val="0"/>
        </ser>
        <ser>
          <idx val="2"/>
          <order val="2"/>
          <tx>
            <strRef>
              <f>'Referenzzeit Beschleunigung'!$B$45</f>
              <strCache>
                <ptCount val="1"/>
                <pt idx="0">
                  <v>Asafa Powell</v>
                </pt>
              </strCache>
            </strRef>
          </tx>
          <spPr>
            <a:ln xmlns:a="http://schemas.openxmlformats.org/drawingml/2006/main" w="28575" cap="rnd">
              <a:solidFill>
                <a:schemeClr val="accent3"/>
              </a:solidFill>
              <a:prstDash val="solid"/>
              <a:round/>
            </a:ln>
          </spPr>
          <marker>
            <symbol val="none"/>
            <spPr>
              <a:ln xmlns:a="http://schemas.openxmlformats.org/drawingml/2006/main">
                <a:prstDash val="solid"/>
              </a:ln>
            </spPr>
          </marker>
          <cat>
            <strRef>
              <f>'Referenzzeit Beschleunigung'!$C$42:$G$42</f>
              <strCache>
                <ptCount val="5"/>
                <pt idx="0">
                  <v>Ta1</v>
                </pt>
                <pt idx="1">
                  <v>Ta2</v>
                </pt>
                <pt idx="2">
                  <v>Ta3</v>
                </pt>
                <pt idx="3">
                  <v>Ta4</v>
                </pt>
                <pt idx="4">
                  <v>Ta5</v>
                </pt>
              </strCache>
            </strRef>
          </cat>
          <val>
            <numRef>
              <f>'Referenzzeit Beschleunigung'!$C$45:$G$45</f>
              <numCache>
                <formatCode>0.00</formatCode>
                <ptCount val="5"/>
                <pt idx="0">
                  <v>2.361804891297929</v>
                </pt>
                <pt idx="1">
                  <v>2.354588265241187</v>
                </pt>
                <pt idx="2">
                  <v>0.3419855682090209</v>
                </pt>
                <pt idx="3">
                  <v>0.1243187333412909</v>
                </pt>
                <pt idx="4">
                  <v>-0.2359247305739593</v>
                </pt>
              </numCache>
            </numRef>
          </val>
          <smooth val="0"/>
        </ser>
        <ser>
          <idx val="3"/>
          <order val="3"/>
          <tx>
            <strRef>
              <f>'Referenzzeit Beschleunigung'!$B$46</f>
              <strCache>
                <ptCount val="1"/>
                <pt idx="0">
                  <v>Daniel Bailey</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cat>
            <strRef>
              <f>'Referenzzeit Beschleunigung'!$C$42:$G$42</f>
              <strCache>
                <ptCount val="5"/>
                <pt idx="0">
                  <v>Ta1</v>
                </pt>
                <pt idx="1">
                  <v>Ta2</v>
                </pt>
                <pt idx="2">
                  <v>Ta3</v>
                </pt>
                <pt idx="3">
                  <v>Ta4</v>
                </pt>
                <pt idx="4">
                  <v>Ta5</v>
                </pt>
              </strCache>
            </strRef>
          </cat>
          <val>
            <numRef>
              <f>'Referenzzeit Beschleunigung'!$C$46:$G$46</f>
              <numCache>
                <formatCode>0.00</formatCode>
                <ptCount val="5"/>
                <pt idx="0">
                  <v>2.345655845374367</v>
                </pt>
                <pt idx="1">
                  <v>2.320667783653548</v>
                </pt>
                <pt idx="2">
                  <v>0.2164843838087742</v>
                </pt>
                <pt idx="3">
                  <v>0.1977261492832452</v>
                </pt>
                <pt idx="4">
                  <v>-0.1920768307322953</v>
                </pt>
              </numCache>
            </numRef>
          </val>
          <smooth val="0"/>
        </ser>
        <ser>
          <idx val="4"/>
          <order val="4"/>
          <tx>
            <strRef>
              <f>'Referenzzeit Beschleunigung'!$B$47</f>
              <strCache>
                <ptCount val="1"/>
                <pt idx="0">
                  <v>Richard Thompson</v>
                </pt>
              </strCache>
            </strRef>
          </tx>
          <spPr>
            <a:ln xmlns:a="http://schemas.openxmlformats.org/drawingml/2006/main" w="28575" cap="rnd">
              <a:solidFill>
                <a:schemeClr val="accent5"/>
              </a:solidFill>
              <a:prstDash val="solid"/>
              <a:round/>
            </a:ln>
          </spPr>
          <marker>
            <symbol val="none"/>
            <spPr>
              <a:ln xmlns:a="http://schemas.openxmlformats.org/drawingml/2006/main">
                <a:prstDash val="solid"/>
              </a:ln>
            </spPr>
          </marker>
          <cat>
            <strRef>
              <f>'Referenzzeit Beschleunigung'!$C$42:$G$42</f>
              <strCache>
                <ptCount val="5"/>
                <pt idx="0">
                  <v>Ta1</v>
                </pt>
                <pt idx="1">
                  <v>Ta2</v>
                </pt>
                <pt idx="2">
                  <v>Ta3</v>
                </pt>
                <pt idx="3">
                  <v>Ta4</v>
                </pt>
                <pt idx="4">
                  <v>Ta5</v>
                </pt>
              </strCache>
            </strRef>
          </cat>
          <val>
            <numRef>
              <f>'Referenzzeit Beschleunigung'!$C$47:$G$47</f>
              <numCache>
                <formatCode>0.00</formatCode>
                <ptCount val="5"/>
                <pt idx="0">
                  <v>2.378121284185494</v>
                </pt>
                <pt idx="1">
                  <v>2.294570183849804</v>
                </pt>
                <pt idx="2">
                  <v>0.2554765038259426</v>
                </pt>
                <pt idx="3">
                  <v>0.07770587394242413</v>
                </pt>
                <pt idx="4">
                  <v>-0.1501537574476262</v>
                </pt>
              </numCache>
            </numRef>
          </val>
          <smooth val="0"/>
        </ser>
        <ser>
          <idx val="5"/>
          <order val="5"/>
          <tx>
            <strRef>
              <f>'Referenzzeit Beschleunigung'!$B$48</f>
              <strCache>
                <ptCount val="1"/>
                <pt idx="0">
                  <v>Dwain Chambers</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cat>
            <strRef>
              <f>'Referenzzeit Beschleunigung'!$C$42:$G$42</f>
              <strCache>
                <ptCount val="5"/>
                <pt idx="0">
                  <v>Ta1</v>
                </pt>
                <pt idx="1">
                  <v>Ta2</v>
                </pt>
                <pt idx="2">
                  <v>Ta3</v>
                </pt>
                <pt idx="3">
                  <v>Ta4</v>
                </pt>
                <pt idx="4">
                  <v>Ta5</v>
                </pt>
              </strCache>
            </strRef>
          </cat>
          <val>
            <numRef>
              <f>'Referenzzeit Beschleunigung'!$C$48:$G$48</f>
              <numCache>
                <formatCode>0.00</formatCode>
                <ptCount val="5"/>
                <pt idx="0">
                  <v>2.329671865717713</v>
                </pt>
                <pt idx="1">
                  <v>2.287402429922028</v>
                </pt>
                <pt idx="2">
                  <v>0.251177394034536</v>
                </pt>
                <pt idx="3">
                  <v>0.115892760565554</v>
                </pt>
                <pt idx="4">
                  <v>-0.2201977081822485</v>
                </pt>
              </numCache>
            </numRef>
          </val>
          <smooth val="0"/>
        </ser>
        <ser>
          <idx val="6"/>
          <order val="6"/>
          <tx>
            <strRef>
              <f>'Referenzzeit Beschleunigung'!$B$49</f>
              <strCache>
                <ptCount val="1"/>
                <pt idx="0">
                  <v>Marc Burns</v>
                </pt>
              </strCache>
            </strRef>
          </tx>
          <spPr>
            <a:ln xmlns:a="http://schemas.openxmlformats.org/drawingml/2006/main" w="28575" cap="rnd">
              <a:solidFill>
                <a:schemeClr val="accent1">
                  <a:lumMod val="60000"/>
                </a:schemeClr>
              </a:solidFill>
              <a:prstDash val="solid"/>
              <a:round/>
            </a:ln>
          </spPr>
          <marker>
            <symbol val="none"/>
            <spPr>
              <a:ln xmlns:a="http://schemas.openxmlformats.org/drawingml/2006/main">
                <a:prstDash val="solid"/>
              </a:ln>
            </spPr>
          </marker>
          <cat>
            <strRef>
              <f>'Referenzzeit Beschleunigung'!$C$42:$G$42</f>
              <strCache>
                <ptCount val="5"/>
                <pt idx="0">
                  <v>Ta1</v>
                </pt>
                <pt idx="1">
                  <v>Ta2</v>
                </pt>
                <pt idx="2">
                  <v>Ta3</v>
                </pt>
                <pt idx="3">
                  <v>Ta4</v>
                </pt>
                <pt idx="4">
                  <v>Ta5</v>
                </pt>
              </strCache>
            </strRef>
          </cat>
          <val>
            <numRef>
              <f>'Referenzzeit Beschleunigung'!$C$49:$G$49</f>
              <numCache>
                <formatCode>0.00</formatCode>
                <ptCount val="5"/>
                <pt idx="0">
                  <v>2.313850710352168</v>
                </pt>
                <pt idx="1">
                  <v>2.300159286030559</v>
                </pt>
                <pt idx="2">
                  <v>0.21285532649169</v>
                </pt>
                <pt idx="3">
                  <v>0.1536457052952422</v>
                </pt>
                <pt idx="4">
                  <v>-0.1501537574476232</v>
                </pt>
              </numCache>
            </numRef>
          </val>
          <smooth val="0"/>
        </ser>
        <ser>
          <idx val="7"/>
          <order val="7"/>
          <tx>
            <strRef>
              <f>'Referenzzeit Beschleunigung'!$B$50</f>
              <strCache>
                <ptCount val="1"/>
                <pt idx="0">
                  <v>Darvis Patton</v>
                </pt>
              </strCache>
            </strRef>
          </tx>
          <spPr>
            <a:ln xmlns:a="http://schemas.openxmlformats.org/drawingml/2006/main" w="28575" cap="rnd">
              <a:solidFill>
                <a:schemeClr val="accent2">
                  <a:lumMod val="60000"/>
                </a:schemeClr>
              </a:solidFill>
              <a:prstDash val="solid"/>
              <a:round/>
            </a:ln>
          </spPr>
          <marker>
            <symbol val="none"/>
            <spPr>
              <a:ln xmlns:a="http://schemas.openxmlformats.org/drawingml/2006/main">
                <a:prstDash val="solid"/>
              </a:ln>
            </spPr>
          </marker>
          <cat>
            <strRef>
              <f>'Referenzzeit Beschleunigung'!$C$42:$G$42</f>
              <strCache>
                <ptCount val="5"/>
                <pt idx="0">
                  <v>Ta1</v>
                </pt>
                <pt idx="1">
                  <v>Ta2</v>
                </pt>
                <pt idx="2">
                  <v>Ta3</v>
                </pt>
                <pt idx="3">
                  <v>Ta4</v>
                </pt>
                <pt idx="4">
                  <v>Ta5</v>
                </pt>
              </strCache>
            </strRef>
          </cat>
          <val>
            <numRef>
              <f>'Referenzzeit Beschleunigung'!$C$50:$G$50</f>
              <numCache>
                <formatCode>0.00</formatCode>
                <ptCount val="5"/>
                <pt idx="0">
                  <v>2.282688093498904</v>
                </pt>
                <pt idx="1">
                  <v>2.023943822885623</v>
                </pt>
                <pt idx="2">
                  <v>0.2939447383891794</v>
                </pt>
                <pt idx="3">
                  <v>0.1063976932980129</v>
                </pt>
                <pt idx="4">
                  <v>-0.4597751883239178</v>
                </pt>
              </numCache>
            </numRef>
          </val>
          <smooth val="0"/>
        </ser>
        <dLbls>
          <showLegendKey val="0"/>
          <showVal val="0"/>
          <showCatName val="0"/>
          <showSerName val="0"/>
          <showPercent val="0"/>
          <showBubbleSize val="0"/>
        </dLbls>
        <smooth val="0"/>
        <axId val="354929792"/>
        <axId val="354930352"/>
      </lineChart>
      <catAx>
        <axId val="35492979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354930352"/>
        <crosses val="autoZero"/>
        <auto val="1"/>
        <lblAlgn val="ctr"/>
        <lblOffset val="100"/>
        <noMultiLvlLbl val="0"/>
      </catAx>
      <valAx>
        <axId val="3549303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354929792"/>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de-DE"/>
        </a:p>
      </txPr>
    </title>
    <plotArea>
      <layout/>
      <lineChart>
        <grouping val="standard"/>
        <varyColors val="0"/>
        <ser>
          <idx val="0"/>
          <order val="0"/>
          <tx>
            <strRef>
              <f>'Referenzzeit Beschleunigung'!$B$13</f>
              <strCache>
                <ptCount val="1"/>
                <pt idx="0">
                  <v>Usain Bolt</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strRef>
              <f>'Referenzzeit Beschleunigung'!$C$12:$H$12</f>
              <strCache>
                <ptCount val="6"/>
                <pt idx="0">
                  <v>0m</v>
                </pt>
                <pt idx="1">
                  <v>20m</v>
                </pt>
                <pt idx="2">
                  <v>40m</v>
                </pt>
                <pt idx="3">
                  <v>60m</v>
                </pt>
                <pt idx="4">
                  <v>80m</v>
                </pt>
                <pt idx="5">
                  <v>100m</v>
                </pt>
              </strCache>
            </strRef>
          </cat>
          <val>
            <numRef>
              <f>'Referenzzeit Beschleunigung'!$C$13:$H$13</f>
              <numCache>
                <formatCode>General</formatCode>
                <ptCount val="6"/>
                <pt idx="0">
                  <v>0</v>
                </pt>
                <pt idx="1">
                  <v>2.89</v>
                </pt>
                <pt idx="2">
                  <v>4.64</v>
                </pt>
                <pt idx="3">
                  <v>6.31</v>
                </pt>
                <pt idx="4">
                  <v>7.92</v>
                </pt>
                <pt idx="5">
                  <v>9.58</v>
                </pt>
              </numCache>
            </numRef>
          </val>
          <smooth val="0"/>
        </ser>
        <ser>
          <idx val="1"/>
          <order val="1"/>
          <tx>
            <strRef>
              <f>'Referenzzeit Beschleunigung'!$B$14</f>
              <strCache>
                <ptCount val="1"/>
                <pt idx="0">
                  <v>Tyson Gay</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cat>
            <strRef>
              <f>'Referenzzeit Beschleunigung'!$C$12:$H$12</f>
              <strCache>
                <ptCount val="6"/>
                <pt idx="0">
                  <v>0m</v>
                </pt>
                <pt idx="1">
                  <v>20m</v>
                </pt>
                <pt idx="2">
                  <v>40m</v>
                </pt>
                <pt idx="3">
                  <v>60m</v>
                </pt>
                <pt idx="4">
                  <v>80m</v>
                </pt>
                <pt idx="5">
                  <v>100m</v>
                </pt>
              </strCache>
            </strRef>
          </cat>
          <val>
            <numRef>
              <f>'Referenzzeit Beschleunigung'!$C$14:$H$14</f>
              <numCache>
                <formatCode>General</formatCode>
                <ptCount val="6"/>
                <pt idx="0">
                  <v>0</v>
                </pt>
                <pt idx="1">
                  <v>2.92</v>
                </pt>
                <pt idx="2">
                  <v>4.7</v>
                </pt>
                <pt idx="3">
                  <v>6.39</v>
                </pt>
                <pt idx="4">
                  <v>8.02</v>
                </pt>
                <pt idx="5">
                  <v>9.710000000000001</v>
                </pt>
              </numCache>
            </numRef>
          </val>
          <smooth val="0"/>
        </ser>
        <ser>
          <idx val="2"/>
          <order val="2"/>
          <tx>
            <strRef>
              <f>'Referenzzeit Beschleunigung'!$B$15</f>
              <strCache>
                <ptCount val="1"/>
                <pt idx="0">
                  <v>Asafa Powell</v>
                </pt>
              </strCache>
            </strRef>
          </tx>
          <spPr>
            <a:ln xmlns:a="http://schemas.openxmlformats.org/drawingml/2006/main" w="28575" cap="rnd">
              <a:solidFill>
                <a:schemeClr val="accent3"/>
              </a:solidFill>
              <a:prstDash val="solid"/>
              <a:round/>
            </a:ln>
          </spPr>
          <marker>
            <symbol val="none"/>
            <spPr>
              <a:ln xmlns:a="http://schemas.openxmlformats.org/drawingml/2006/main">
                <a:prstDash val="solid"/>
              </a:ln>
            </spPr>
          </marker>
          <cat>
            <strRef>
              <f>'Referenzzeit Beschleunigung'!$C$12:$H$12</f>
              <strCache>
                <ptCount val="6"/>
                <pt idx="0">
                  <v>0m</v>
                </pt>
                <pt idx="1">
                  <v>20m</v>
                </pt>
                <pt idx="2">
                  <v>40m</v>
                </pt>
                <pt idx="3">
                  <v>60m</v>
                </pt>
                <pt idx="4">
                  <v>80m</v>
                </pt>
                <pt idx="5">
                  <v>100m</v>
                </pt>
              </strCache>
            </strRef>
          </cat>
          <val>
            <numRef>
              <f>'Referenzzeit Beschleunigung'!$C$15:$H$15</f>
              <numCache>
                <formatCode>General</formatCode>
                <ptCount val="6"/>
                <pt idx="0">
                  <v>0</v>
                </pt>
                <pt idx="1">
                  <v>2.91</v>
                </pt>
                <pt idx="2">
                  <v>4.71</v>
                </pt>
                <pt idx="3">
                  <v>6.42</v>
                </pt>
                <pt idx="4">
                  <v>8.1</v>
                </pt>
                <pt idx="5">
                  <v>9.84</v>
                </pt>
              </numCache>
            </numRef>
          </val>
          <smooth val="0"/>
        </ser>
        <ser>
          <idx val="3"/>
          <order val="3"/>
          <tx>
            <strRef>
              <f>'Referenzzeit Beschleunigung'!$B$16</f>
              <strCache>
                <ptCount val="1"/>
                <pt idx="0">
                  <v>Daniel Bailey</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cat>
            <strRef>
              <f>'Referenzzeit Beschleunigung'!$C$12:$H$12</f>
              <strCache>
                <ptCount val="6"/>
                <pt idx="0">
                  <v>0m</v>
                </pt>
                <pt idx="1">
                  <v>20m</v>
                </pt>
                <pt idx="2">
                  <v>40m</v>
                </pt>
                <pt idx="3">
                  <v>60m</v>
                </pt>
                <pt idx="4">
                  <v>80m</v>
                </pt>
                <pt idx="5">
                  <v>100m</v>
                </pt>
              </strCache>
            </strRef>
          </cat>
          <val>
            <numRef>
              <f>'Referenzzeit Beschleunigung'!$C$16:$H$16</f>
              <numCache>
                <formatCode>General</formatCode>
                <ptCount val="6"/>
                <pt idx="0">
                  <v>0</v>
                </pt>
                <pt idx="1">
                  <v>2.92</v>
                </pt>
                <pt idx="2">
                  <v>4.73</v>
                </pt>
                <pt idx="3">
                  <v>6.48</v>
                </pt>
                <pt idx="4">
                  <v>8.18</v>
                </pt>
                <pt idx="5">
                  <v>9.93</v>
                </pt>
              </numCache>
            </numRef>
          </val>
          <smooth val="0"/>
        </ser>
        <ser>
          <idx val="4"/>
          <order val="4"/>
          <tx>
            <strRef>
              <f>'Referenzzeit Beschleunigung'!$B$17</f>
              <strCache>
                <ptCount val="1"/>
                <pt idx="0">
                  <v>Richard Thompson</v>
                </pt>
              </strCache>
            </strRef>
          </tx>
          <spPr>
            <a:ln xmlns:a="http://schemas.openxmlformats.org/drawingml/2006/main" w="28575" cap="rnd">
              <a:solidFill>
                <a:schemeClr val="accent5"/>
              </a:solidFill>
              <a:prstDash val="solid"/>
              <a:round/>
            </a:ln>
          </spPr>
          <marker>
            <symbol val="none"/>
            <spPr>
              <a:ln xmlns:a="http://schemas.openxmlformats.org/drawingml/2006/main">
                <a:prstDash val="solid"/>
              </a:ln>
            </spPr>
          </marker>
          <cat>
            <strRef>
              <f>'Referenzzeit Beschleunigung'!$C$12:$H$12</f>
              <strCache>
                <ptCount val="6"/>
                <pt idx="0">
                  <v>0m</v>
                </pt>
                <pt idx="1">
                  <v>20m</v>
                </pt>
                <pt idx="2">
                  <v>40m</v>
                </pt>
                <pt idx="3">
                  <v>60m</v>
                </pt>
                <pt idx="4">
                  <v>80m</v>
                </pt>
                <pt idx="5">
                  <v>100m</v>
                </pt>
              </strCache>
            </strRef>
          </cat>
          <val>
            <numRef>
              <f>'Referenzzeit Beschleunigung'!$C$17:$H$17</f>
              <numCache>
                <formatCode>General</formatCode>
                <ptCount val="6"/>
                <pt idx="0">
                  <v>0</v>
                </pt>
                <pt idx="1">
                  <v>2.9</v>
                </pt>
                <pt idx="2">
                  <v>4.71</v>
                </pt>
                <pt idx="3">
                  <v>6.45</v>
                </pt>
                <pt idx="4">
                  <v>8.17</v>
                </pt>
                <pt idx="5">
                  <v>9.93</v>
                </pt>
              </numCache>
            </numRef>
          </val>
          <smooth val="0"/>
        </ser>
        <ser>
          <idx val="5"/>
          <order val="5"/>
          <tx>
            <strRef>
              <f>'Referenzzeit Beschleunigung'!$B$18</f>
              <strCache>
                <ptCount val="1"/>
                <pt idx="0">
                  <v>Dwain Chambers</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cat>
            <strRef>
              <f>'Referenzzeit Beschleunigung'!$C$12:$H$12</f>
              <strCache>
                <ptCount val="6"/>
                <pt idx="0">
                  <v>0m</v>
                </pt>
                <pt idx="1">
                  <v>20m</v>
                </pt>
                <pt idx="2">
                  <v>40m</v>
                </pt>
                <pt idx="3">
                  <v>60m</v>
                </pt>
                <pt idx="4">
                  <v>80m</v>
                </pt>
                <pt idx="5">
                  <v>100m</v>
                </pt>
              </strCache>
            </strRef>
          </cat>
          <val>
            <numRef>
              <f>'Referenzzeit Beschleunigung'!$C$18:$H$18</f>
              <numCache>
                <formatCode>General</formatCode>
                <ptCount val="6"/>
                <pt idx="0">
                  <v>0</v>
                </pt>
                <pt idx="1">
                  <v>2.93</v>
                </pt>
                <pt idx="2">
                  <v>4.75</v>
                </pt>
                <pt idx="3">
                  <v>6.5</v>
                </pt>
                <pt idx="4">
                  <v>8.220000000000001</v>
                </pt>
                <pt idx="5">
                  <v>10</v>
                </pt>
              </numCache>
            </numRef>
          </val>
          <smooth val="0"/>
        </ser>
        <ser>
          <idx val="6"/>
          <order val="6"/>
          <tx>
            <strRef>
              <f>'Referenzzeit Beschleunigung'!$B$19</f>
              <strCache>
                <ptCount val="1"/>
                <pt idx="0">
                  <v>Marc Burns</v>
                </pt>
              </strCache>
            </strRef>
          </tx>
          <spPr>
            <a:ln xmlns:a="http://schemas.openxmlformats.org/drawingml/2006/main" w="28575" cap="rnd">
              <a:solidFill>
                <a:schemeClr val="accent1">
                  <a:lumMod val="60000"/>
                </a:schemeClr>
              </a:solidFill>
              <a:prstDash val="solid"/>
              <a:round/>
            </a:ln>
          </spPr>
          <marker>
            <symbol val="none"/>
            <spPr>
              <a:ln xmlns:a="http://schemas.openxmlformats.org/drawingml/2006/main">
                <a:prstDash val="solid"/>
              </a:ln>
            </spPr>
          </marker>
          <cat>
            <strRef>
              <f>'Referenzzeit Beschleunigung'!$C$12:$H$12</f>
              <strCache>
                <ptCount val="6"/>
                <pt idx="0">
                  <v>0m</v>
                </pt>
                <pt idx="1">
                  <v>20m</v>
                </pt>
                <pt idx="2">
                  <v>40m</v>
                </pt>
                <pt idx="3">
                  <v>60m</v>
                </pt>
                <pt idx="4">
                  <v>80m</v>
                </pt>
                <pt idx="5">
                  <v>100m</v>
                </pt>
              </strCache>
            </strRef>
          </cat>
          <val>
            <numRef>
              <f>'Referenzzeit Beschleunigung'!$C$19:$H$19</f>
              <numCache>
                <formatCode>General</formatCode>
                <ptCount val="6"/>
                <pt idx="0">
                  <v>0</v>
                </pt>
                <pt idx="1">
                  <v>2.94</v>
                </pt>
                <pt idx="2">
                  <v>4.76</v>
                </pt>
                <pt idx="3">
                  <v>6.52</v>
                </pt>
                <pt idx="4">
                  <v>8.24</v>
                </pt>
                <pt idx="5">
                  <v>10</v>
                </pt>
              </numCache>
            </numRef>
          </val>
          <smooth val="0"/>
        </ser>
        <ser>
          <idx val="7"/>
          <order val="7"/>
          <tx>
            <strRef>
              <f>'Referenzzeit Beschleunigung'!$B$20</f>
              <strCache>
                <ptCount val="1"/>
                <pt idx="0">
                  <v>Darvis Patton</v>
                </pt>
              </strCache>
            </strRef>
          </tx>
          <spPr>
            <a:ln xmlns:a="http://schemas.openxmlformats.org/drawingml/2006/main" w="28575" cap="rnd">
              <a:solidFill>
                <a:schemeClr val="accent2">
                  <a:lumMod val="60000"/>
                </a:schemeClr>
              </a:solidFill>
              <a:prstDash val="solid"/>
              <a:round/>
            </a:ln>
          </spPr>
          <marker>
            <symbol val="none"/>
            <spPr>
              <a:ln xmlns:a="http://schemas.openxmlformats.org/drawingml/2006/main">
                <a:prstDash val="solid"/>
              </a:ln>
            </spPr>
          </marker>
          <cat>
            <strRef>
              <f>'Referenzzeit Beschleunigung'!$C$12:$H$12</f>
              <strCache>
                <ptCount val="6"/>
                <pt idx="0">
                  <v>0m</v>
                </pt>
                <pt idx="1">
                  <v>20m</v>
                </pt>
                <pt idx="2">
                  <v>40m</v>
                </pt>
                <pt idx="3">
                  <v>60m</v>
                </pt>
                <pt idx="4">
                  <v>80m</v>
                </pt>
                <pt idx="5">
                  <v>100m</v>
                </pt>
              </strCache>
            </strRef>
          </cat>
          <val>
            <numRef>
              <f>'Referenzzeit Beschleunigung'!$C$20:$H$20</f>
              <numCache>
                <formatCode>General</formatCode>
                <ptCount val="6"/>
                <pt idx="0">
                  <v>0</v>
                </pt>
                <pt idx="1">
                  <v>2.96</v>
                </pt>
                <pt idx="2">
                  <v>4.85</v>
                </pt>
                <pt idx="3">
                  <v>6.65</v>
                </pt>
                <pt idx="4">
                  <v>8.42</v>
                </pt>
                <pt idx="5">
                  <v>10.34</v>
                </pt>
              </numCache>
            </numRef>
          </val>
          <smooth val="0"/>
        </ser>
        <dLbls>
          <showLegendKey val="0"/>
          <showVal val="0"/>
          <showCatName val="0"/>
          <showSerName val="0"/>
          <showPercent val="0"/>
          <showBubbleSize val="0"/>
        </dLbls>
        <smooth val="0"/>
        <axId val="309048944"/>
        <axId val="309049600"/>
      </lineChart>
      <catAx>
        <axId val="309048944"/>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309049600"/>
        <crosses val="autoZero"/>
        <auto val="1"/>
        <lblAlgn val="ctr"/>
        <lblOffset val="100"/>
        <noMultiLvlLbl val="0"/>
      </catAx>
      <valAx>
        <axId val="30904960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309048944"/>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de-DE"/>
        </a:p>
      </txPr>
    </title>
    <plotArea>
      <layout/>
      <lineChart>
        <grouping val="stacked"/>
        <varyColors val="0"/>
        <ser>
          <idx val="0"/>
          <order val="0"/>
          <tx>
            <strRef>
              <f>'Referenzzeit Beschleunigung'!$B$23</f>
              <strCache>
                <ptCount val="1"/>
                <pt idx="0">
                  <v>Usain Bolt</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cat>
            <strRef>
              <f>'Referenzzeit Beschleunigung'!$C$22:$G$22</f>
              <strCache>
                <ptCount val="5"/>
                <pt idx="0">
                  <v>Tz1</v>
                </pt>
                <pt idx="1">
                  <v>Tz2</v>
                </pt>
                <pt idx="2">
                  <v>Tz3</v>
                </pt>
                <pt idx="3">
                  <v>Tz4</v>
                </pt>
                <pt idx="4">
                  <v>Tz5</v>
                </pt>
              </strCache>
            </strRef>
          </cat>
          <val>
            <numRef>
              <f>'Referenzzeit Beschleunigung'!$C$23:$G$23</f>
              <numCache>
                <formatCode>General</formatCode>
                <ptCount val="5"/>
                <pt idx="0">
                  <v>2.89</v>
                </pt>
                <pt idx="1">
                  <v>1.75</v>
                </pt>
                <pt idx="2">
                  <v>1.67</v>
                </pt>
                <pt idx="3">
                  <v>1.61</v>
                </pt>
                <pt idx="4">
                  <v>1.66</v>
                </pt>
              </numCache>
            </numRef>
          </val>
          <smooth val="0"/>
        </ser>
        <ser>
          <idx val="1"/>
          <order val="1"/>
          <tx>
            <strRef>
              <f>'Referenzzeit Beschleunigung'!$B$24</f>
              <strCache>
                <ptCount val="1"/>
                <pt idx="0">
                  <v>Tyson Gay</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cat>
            <strRef>
              <f>'Referenzzeit Beschleunigung'!$C$22:$G$22</f>
              <strCache>
                <ptCount val="5"/>
                <pt idx="0">
                  <v>Tz1</v>
                </pt>
                <pt idx="1">
                  <v>Tz2</v>
                </pt>
                <pt idx="2">
                  <v>Tz3</v>
                </pt>
                <pt idx="3">
                  <v>Tz4</v>
                </pt>
                <pt idx="4">
                  <v>Tz5</v>
                </pt>
              </strCache>
            </strRef>
          </cat>
          <val>
            <numRef>
              <f>'Referenzzeit Beschleunigung'!$C$24:$G$24</f>
              <numCache>
                <formatCode>General</formatCode>
                <ptCount val="5"/>
                <pt idx="0">
                  <v>2.92</v>
                </pt>
                <pt idx="1">
                  <v>1.78</v>
                </pt>
                <pt idx="2">
                  <v>1.69</v>
                </pt>
                <pt idx="3">
                  <v>1.63</v>
                </pt>
                <pt idx="4">
                  <v>1.690000000000001</v>
                </pt>
              </numCache>
            </numRef>
          </val>
          <smooth val="0"/>
        </ser>
        <ser>
          <idx val="2"/>
          <order val="2"/>
          <tx>
            <strRef>
              <f>'Referenzzeit Beschleunigung'!$B$25</f>
              <strCache>
                <ptCount val="1"/>
                <pt idx="0">
                  <v>Asafa Powell</v>
                </pt>
              </strCache>
            </strRef>
          </tx>
          <spPr>
            <a:ln xmlns:a="http://schemas.openxmlformats.org/drawingml/2006/main" w="28575" cap="rnd">
              <a:solidFill>
                <a:schemeClr val="accent3"/>
              </a:solidFill>
              <a:prstDash val="solid"/>
              <a:round/>
            </a:ln>
          </spPr>
          <marker>
            <symbol val="none"/>
            <spPr>
              <a:ln xmlns:a="http://schemas.openxmlformats.org/drawingml/2006/main">
                <a:prstDash val="solid"/>
              </a:ln>
            </spPr>
          </marker>
          <cat>
            <strRef>
              <f>'Referenzzeit Beschleunigung'!$C$22:$G$22</f>
              <strCache>
                <ptCount val="5"/>
                <pt idx="0">
                  <v>Tz1</v>
                </pt>
                <pt idx="1">
                  <v>Tz2</v>
                </pt>
                <pt idx="2">
                  <v>Tz3</v>
                </pt>
                <pt idx="3">
                  <v>Tz4</v>
                </pt>
                <pt idx="4">
                  <v>Tz5</v>
                </pt>
              </strCache>
            </strRef>
          </cat>
          <val>
            <numRef>
              <f>'Referenzzeit Beschleunigung'!$C$25:$G$25</f>
              <numCache>
                <formatCode>General</formatCode>
                <ptCount val="5"/>
                <pt idx="0">
                  <v>2.91</v>
                </pt>
                <pt idx="1">
                  <v>1.8</v>
                </pt>
                <pt idx="2">
                  <v>1.71</v>
                </pt>
                <pt idx="3">
                  <v>1.68</v>
                </pt>
                <pt idx="4">
                  <v>1.74</v>
                </pt>
              </numCache>
            </numRef>
          </val>
          <smooth val="0"/>
        </ser>
        <ser>
          <idx val="3"/>
          <order val="3"/>
          <tx>
            <strRef>
              <f>'Referenzzeit Beschleunigung'!$B$26</f>
              <strCache>
                <ptCount val="1"/>
                <pt idx="0">
                  <v>Daniel Bailey</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cat>
            <strRef>
              <f>'Referenzzeit Beschleunigung'!$C$22:$G$22</f>
              <strCache>
                <ptCount val="5"/>
                <pt idx="0">
                  <v>Tz1</v>
                </pt>
                <pt idx="1">
                  <v>Tz2</v>
                </pt>
                <pt idx="2">
                  <v>Tz3</v>
                </pt>
                <pt idx="3">
                  <v>Tz4</v>
                </pt>
                <pt idx="4">
                  <v>Tz5</v>
                </pt>
              </strCache>
            </strRef>
          </cat>
          <val>
            <numRef>
              <f>'Referenzzeit Beschleunigung'!$C$26:$G$26</f>
              <numCache>
                <formatCode>General</formatCode>
                <ptCount val="5"/>
                <pt idx="0">
                  <v>2.92</v>
                </pt>
                <pt idx="1">
                  <v>1.81</v>
                </pt>
                <pt idx="2">
                  <v>1.75</v>
                </pt>
                <pt idx="3">
                  <v>1.699999999999999</v>
                </pt>
                <pt idx="4">
                  <v>1.75</v>
                </pt>
              </numCache>
            </numRef>
          </val>
          <smooth val="0"/>
        </ser>
        <ser>
          <idx val="4"/>
          <order val="4"/>
          <tx>
            <strRef>
              <f>'Referenzzeit Beschleunigung'!$B$27</f>
              <strCache>
                <ptCount val="1"/>
                <pt idx="0">
                  <v>Richard Thompson</v>
                </pt>
              </strCache>
            </strRef>
          </tx>
          <spPr>
            <a:ln xmlns:a="http://schemas.openxmlformats.org/drawingml/2006/main" w="28575" cap="rnd">
              <a:solidFill>
                <a:schemeClr val="accent5"/>
              </a:solidFill>
              <a:prstDash val="solid"/>
              <a:round/>
            </a:ln>
          </spPr>
          <marker>
            <symbol val="none"/>
            <spPr>
              <a:ln xmlns:a="http://schemas.openxmlformats.org/drawingml/2006/main">
                <a:prstDash val="solid"/>
              </a:ln>
            </spPr>
          </marker>
          <cat>
            <strRef>
              <f>'Referenzzeit Beschleunigung'!$C$22:$G$22</f>
              <strCache>
                <ptCount val="5"/>
                <pt idx="0">
                  <v>Tz1</v>
                </pt>
                <pt idx="1">
                  <v>Tz2</v>
                </pt>
                <pt idx="2">
                  <v>Tz3</v>
                </pt>
                <pt idx="3">
                  <v>Tz4</v>
                </pt>
                <pt idx="4">
                  <v>Tz5</v>
                </pt>
              </strCache>
            </strRef>
          </cat>
          <val>
            <numRef>
              <f>'Referenzzeit Beschleunigung'!$C$27:$G$27</f>
              <numCache>
                <formatCode>General</formatCode>
                <ptCount val="5"/>
                <pt idx="0">
                  <v>2.9</v>
                </pt>
                <pt idx="1">
                  <v>1.81</v>
                </pt>
                <pt idx="2">
                  <v>1.74</v>
                </pt>
                <pt idx="3">
                  <v>1.72</v>
                </pt>
                <pt idx="4">
                  <v>1.76</v>
                </pt>
              </numCache>
            </numRef>
          </val>
          <smooth val="0"/>
        </ser>
        <ser>
          <idx val="5"/>
          <order val="5"/>
          <tx>
            <strRef>
              <f>'Referenzzeit Beschleunigung'!$B$28</f>
              <strCache>
                <ptCount val="1"/>
                <pt idx="0">
                  <v>Dwain Chambers</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cat>
            <strRef>
              <f>'Referenzzeit Beschleunigung'!$C$22:$G$22</f>
              <strCache>
                <ptCount val="5"/>
                <pt idx="0">
                  <v>Tz1</v>
                </pt>
                <pt idx="1">
                  <v>Tz2</v>
                </pt>
                <pt idx="2">
                  <v>Tz3</v>
                </pt>
                <pt idx="3">
                  <v>Tz4</v>
                </pt>
                <pt idx="4">
                  <v>Tz5</v>
                </pt>
              </strCache>
            </strRef>
          </cat>
          <val>
            <numRef>
              <f>'Referenzzeit Beschleunigung'!$C$28:$G$28</f>
              <numCache>
                <formatCode>General</formatCode>
                <ptCount val="5"/>
                <pt idx="0">
                  <v>2.93</v>
                </pt>
                <pt idx="1">
                  <v>1.82</v>
                </pt>
                <pt idx="2">
                  <v>1.75</v>
                </pt>
                <pt idx="3">
                  <v>1.720000000000001</v>
                </pt>
                <pt idx="4">
                  <v>1.779999999999999</v>
                </pt>
              </numCache>
            </numRef>
          </val>
          <smooth val="0"/>
        </ser>
        <ser>
          <idx val="6"/>
          <order val="6"/>
          <tx>
            <strRef>
              <f>'Referenzzeit Beschleunigung'!$B$29</f>
              <strCache>
                <ptCount val="1"/>
                <pt idx="0">
                  <v>Marc Burns</v>
                </pt>
              </strCache>
            </strRef>
          </tx>
          <spPr>
            <a:ln xmlns:a="http://schemas.openxmlformats.org/drawingml/2006/main" w="28575" cap="rnd">
              <a:solidFill>
                <a:schemeClr val="accent1">
                  <a:lumMod val="60000"/>
                </a:schemeClr>
              </a:solidFill>
              <a:prstDash val="solid"/>
              <a:round/>
            </a:ln>
          </spPr>
          <marker>
            <symbol val="none"/>
            <spPr>
              <a:ln xmlns:a="http://schemas.openxmlformats.org/drawingml/2006/main">
                <a:prstDash val="solid"/>
              </a:ln>
            </spPr>
          </marker>
          <cat>
            <strRef>
              <f>'Referenzzeit Beschleunigung'!$C$22:$G$22</f>
              <strCache>
                <ptCount val="5"/>
                <pt idx="0">
                  <v>Tz1</v>
                </pt>
                <pt idx="1">
                  <v>Tz2</v>
                </pt>
                <pt idx="2">
                  <v>Tz3</v>
                </pt>
                <pt idx="3">
                  <v>Tz4</v>
                </pt>
                <pt idx="4">
                  <v>Tz5</v>
                </pt>
              </strCache>
            </strRef>
          </cat>
          <val>
            <numRef>
              <f>'Referenzzeit Beschleunigung'!$C$29:$G$29</f>
              <numCache>
                <formatCode>General</formatCode>
                <ptCount val="5"/>
                <pt idx="0">
                  <v>2.94</v>
                </pt>
                <pt idx="1">
                  <v>1.82</v>
                </pt>
                <pt idx="2">
                  <v>1.76</v>
                </pt>
                <pt idx="3">
                  <v>1.720000000000001</v>
                </pt>
                <pt idx="4">
                  <v>1.76</v>
                </pt>
              </numCache>
            </numRef>
          </val>
          <smooth val="0"/>
        </ser>
        <ser>
          <idx val="7"/>
          <order val="7"/>
          <tx>
            <strRef>
              <f>'Referenzzeit Beschleunigung'!$B$30</f>
              <strCache>
                <ptCount val="1"/>
                <pt idx="0">
                  <v>Darvis Patton</v>
                </pt>
              </strCache>
            </strRef>
          </tx>
          <spPr>
            <a:ln xmlns:a="http://schemas.openxmlformats.org/drawingml/2006/main" w="28575" cap="rnd">
              <a:solidFill>
                <a:schemeClr val="accent2">
                  <a:lumMod val="60000"/>
                </a:schemeClr>
              </a:solidFill>
              <a:prstDash val="solid"/>
              <a:round/>
            </a:ln>
          </spPr>
          <marker>
            <symbol val="none"/>
            <spPr>
              <a:ln xmlns:a="http://schemas.openxmlformats.org/drawingml/2006/main">
                <a:prstDash val="solid"/>
              </a:ln>
            </spPr>
          </marker>
          <cat>
            <strRef>
              <f>'Referenzzeit Beschleunigung'!$C$22:$G$22</f>
              <strCache>
                <ptCount val="5"/>
                <pt idx="0">
                  <v>Tz1</v>
                </pt>
                <pt idx="1">
                  <v>Tz2</v>
                </pt>
                <pt idx="2">
                  <v>Tz3</v>
                </pt>
                <pt idx="3">
                  <v>Tz4</v>
                </pt>
                <pt idx="4">
                  <v>Tz5</v>
                </pt>
              </strCache>
            </strRef>
          </cat>
          <val>
            <numRef>
              <f>'Referenzzeit Beschleunigung'!$C$30:$G$30</f>
              <numCache>
                <formatCode>General</formatCode>
                <ptCount val="5"/>
                <pt idx="0">
                  <v>2.96</v>
                </pt>
                <pt idx="1">
                  <v>1.89</v>
                </pt>
                <pt idx="2">
                  <v>1.800000000000001</v>
                </pt>
                <pt idx="3">
                  <v>1.77</v>
                </pt>
                <pt idx="4">
                  <v>1.92</v>
                </pt>
              </numCache>
            </numRef>
          </val>
          <smooth val="0"/>
        </ser>
        <dLbls>
          <showLegendKey val="0"/>
          <showVal val="0"/>
          <showCatName val="0"/>
          <showSerName val="0"/>
          <showPercent val="0"/>
          <showBubbleSize val="0"/>
        </dLbls>
        <smooth val="0"/>
        <axId val="738275808"/>
        <axId val="738275152"/>
      </lineChart>
      <catAx>
        <axId val="73827580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738275152"/>
        <crosses val="autoZero"/>
        <auto val="1"/>
        <lblAlgn val="ctr"/>
        <lblOffset val="100"/>
        <noMultiLvlLbl val="0"/>
      </catAx>
      <valAx>
        <axId val="738275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73827580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de-DE"/>
        </a:p>
      </txPr>
    </title>
    <plotArea>
      <layout/>
      <scatterChart>
        <scatterStyle val="lineMarker"/>
        <varyColors val="0"/>
        <ser>
          <idx val="0"/>
          <order val="0"/>
          <tx>
            <strRef>
              <f>'Referenzzeit Beschleunigung'!$B$43</f>
              <strCache>
                <ptCount val="1"/>
                <pt idx="0">
                  <v>Usain Bolt</v>
                </pt>
              </strCache>
            </strRef>
          </tx>
          <spPr>
            <a:ln xmlns:a="http://schemas.openxmlformats.org/drawingml/2006/main" w="19050"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xVal>
            <strRef>
              <f>'Referenzzeit Beschleunigung'!$C$42:$G$42</f>
              <strCache>
                <ptCount val="5"/>
                <pt idx="0">
                  <v>Ta1</v>
                </pt>
                <pt idx="1">
                  <v>Ta2</v>
                </pt>
                <pt idx="2">
                  <v>Ta3</v>
                </pt>
                <pt idx="3">
                  <v>Ta4</v>
                </pt>
                <pt idx="4">
                  <v>Ta5</v>
                </pt>
              </strCache>
            </strRef>
          </xVal>
          <yVal>
            <numRef>
              <f>'Referenzzeit Beschleunigung'!$C$43:$G$43</f>
              <numCache>
                <formatCode>0.00</formatCode>
                <ptCount val="5"/>
                <pt idx="0">
                  <v>2.394607344260725</v>
                </pt>
                <pt idx="1">
                  <v>2.576089259233107</v>
                </pt>
                <pt idx="2">
                  <v>0.3278302249222673</v>
                </pt>
                <pt idx="3">
                  <v>0.2772126361835929</v>
                </pt>
                <pt idx="4">
                  <v>-0.225402094796907</v>
                </pt>
              </numCache>
            </numRef>
          </yVal>
          <smooth val="0"/>
        </ser>
        <ser>
          <idx val="1"/>
          <order val="1"/>
          <tx>
            <strRef>
              <f>'Referenzzeit Beschleunigung'!$B$44</f>
              <strCache>
                <ptCount val="1"/>
                <pt idx="0">
                  <v>Tyson Gay</v>
                </pt>
              </strCache>
            </strRef>
          </tx>
          <spPr>
            <a:ln xmlns:a="http://schemas.openxmlformats.org/drawingml/2006/main" w="19050"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xVal>
            <strRef>
              <f>'Referenzzeit Beschleunigung'!$C$42:$G$42</f>
              <strCache>
                <ptCount val="5"/>
                <pt idx="0">
                  <v>Ta1</v>
                </pt>
                <pt idx="1">
                  <v>Ta2</v>
                </pt>
                <pt idx="2">
                  <v>Ta3</v>
                </pt>
                <pt idx="3">
                  <v>Ta4</v>
                </pt>
                <pt idx="4">
                  <v>Ta5</v>
                </pt>
              </strCache>
            </strRef>
          </xVal>
          <yVal>
            <numRef>
              <f>'Referenzzeit Beschleunigung'!$C$44:$G$44</f>
              <numCache>
                <formatCode>0.00</formatCode>
                <ptCount val="5"/>
                <pt idx="0">
                  <v>2.345655845374367</v>
                </pt>
                <pt idx="1">
                  <v>2.464404487464395</v>
                </pt>
                <pt idx="2">
                  <v>0.3540618168328097</v>
                </pt>
                <pt idx="3">
                  <v>0.2672509961224087</v>
                </pt>
                <pt idx="4">
                  <v>-0.2577627950766498</v>
                </pt>
              </numCache>
            </numRef>
          </yVal>
          <smooth val="0"/>
        </ser>
        <ser>
          <idx val="2"/>
          <order val="2"/>
          <tx>
            <strRef>
              <f>'Referenzzeit Beschleunigung'!$B$45</f>
              <strCache>
                <ptCount val="1"/>
                <pt idx="0">
                  <v>Asafa Powell</v>
                </pt>
              </strCache>
            </strRef>
          </tx>
          <spPr>
            <a:ln xmlns:a="http://schemas.openxmlformats.org/drawingml/2006/main" w="19050" cap="rnd">
              <a:solidFill>
                <a:schemeClr val="accent3"/>
              </a:solidFill>
              <a:prstDash val="solid"/>
              <a:round/>
            </a:ln>
          </spPr>
          <marker>
            <symbol val="circle"/>
            <size val="5"/>
            <spPr>
              <a:solidFill xmlns:a="http://schemas.openxmlformats.org/drawingml/2006/main">
                <a:schemeClr val="accent3"/>
              </a:solidFill>
              <a:ln xmlns:a="http://schemas.openxmlformats.org/drawingml/2006/main" w="9525">
                <a:solidFill>
                  <a:schemeClr val="accent3"/>
                </a:solidFill>
                <a:prstDash val="solid"/>
              </a:ln>
            </spPr>
          </marker>
          <xVal>
            <strRef>
              <f>'Referenzzeit Beschleunigung'!$C$42:$G$42</f>
              <strCache>
                <ptCount val="5"/>
                <pt idx="0">
                  <v>Ta1</v>
                </pt>
                <pt idx="1">
                  <v>Ta2</v>
                </pt>
                <pt idx="2">
                  <v>Ta3</v>
                </pt>
                <pt idx="3">
                  <v>Ta4</v>
                </pt>
                <pt idx="4">
                  <v>Ta5</v>
                </pt>
              </strCache>
            </strRef>
          </xVal>
          <yVal>
            <numRef>
              <f>'Referenzzeit Beschleunigung'!$C$45:$G$45</f>
              <numCache>
                <formatCode>0.00</formatCode>
                <ptCount val="5"/>
                <pt idx="0">
                  <v>2.361804891297929</v>
                </pt>
                <pt idx="1">
                  <v>2.354588265241187</v>
                </pt>
                <pt idx="2">
                  <v>0.3419855682090209</v>
                </pt>
                <pt idx="3">
                  <v>0.1243187333412909</v>
                </pt>
                <pt idx="4">
                  <v>-0.2359247305739593</v>
                </pt>
              </numCache>
            </numRef>
          </yVal>
          <smooth val="0"/>
        </ser>
        <ser>
          <idx val="3"/>
          <order val="3"/>
          <tx>
            <strRef>
              <f>'Referenzzeit Beschleunigung'!$B$46</f>
              <strCache>
                <ptCount val="1"/>
                <pt idx="0">
                  <v>Daniel Bailey</v>
                </pt>
              </strCache>
            </strRef>
          </tx>
          <spPr>
            <a:ln xmlns:a="http://schemas.openxmlformats.org/drawingml/2006/main" w="19050" cap="rnd">
              <a:solidFill>
                <a:schemeClr val="accent4"/>
              </a:solidFill>
              <a:prstDash val="solid"/>
              <a:round/>
            </a:ln>
          </spPr>
          <marker>
            <symbol val="circle"/>
            <size val="5"/>
            <spPr>
              <a:solidFill xmlns:a="http://schemas.openxmlformats.org/drawingml/2006/main">
                <a:schemeClr val="accent4"/>
              </a:solidFill>
              <a:ln xmlns:a="http://schemas.openxmlformats.org/drawingml/2006/main" w="9525">
                <a:solidFill>
                  <a:schemeClr val="accent4"/>
                </a:solidFill>
                <a:prstDash val="solid"/>
              </a:ln>
            </spPr>
          </marker>
          <xVal>
            <strRef>
              <f>'Referenzzeit Beschleunigung'!$C$42:$G$42</f>
              <strCache>
                <ptCount val="5"/>
                <pt idx="0">
                  <v>Ta1</v>
                </pt>
                <pt idx="1">
                  <v>Ta2</v>
                </pt>
                <pt idx="2">
                  <v>Ta3</v>
                </pt>
                <pt idx="3">
                  <v>Ta4</v>
                </pt>
                <pt idx="4">
                  <v>Ta5</v>
                </pt>
              </strCache>
            </strRef>
          </xVal>
          <yVal>
            <numRef>
              <f>'Referenzzeit Beschleunigung'!$C$46:$G$46</f>
              <numCache>
                <formatCode>0.00</formatCode>
                <ptCount val="5"/>
                <pt idx="0">
                  <v>2.345655845374367</v>
                </pt>
                <pt idx="1">
                  <v>2.320667783653548</v>
                </pt>
                <pt idx="2">
                  <v>0.2164843838087742</v>
                </pt>
                <pt idx="3">
                  <v>0.1977261492832452</v>
                </pt>
                <pt idx="4">
                  <v>-0.1920768307322953</v>
                </pt>
              </numCache>
            </numRef>
          </yVal>
          <smooth val="0"/>
        </ser>
        <ser>
          <idx val="4"/>
          <order val="4"/>
          <tx>
            <strRef>
              <f>'Referenzzeit Beschleunigung'!$B$47</f>
              <strCache>
                <ptCount val="1"/>
                <pt idx="0">
                  <v>Richard Thompson</v>
                </pt>
              </strCache>
            </strRef>
          </tx>
          <spPr>
            <a:ln xmlns:a="http://schemas.openxmlformats.org/drawingml/2006/main" w="19050" cap="rnd">
              <a:solidFill>
                <a:schemeClr val="accent5"/>
              </a:solidFill>
              <a:prstDash val="solid"/>
              <a:round/>
            </a:ln>
          </spPr>
          <marker>
            <symbol val="circle"/>
            <size val="5"/>
            <spPr>
              <a:solidFill xmlns:a="http://schemas.openxmlformats.org/drawingml/2006/main">
                <a:schemeClr val="accent5"/>
              </a:solidFill>
              <a:ln xmlns:a="http://schemas.openxmlformats.org/drawingml/2006/main" w="9525">
                <a:solidFill>
                  <a:schemeClr val="accent5"/>
                </a:solidFill>
                <a:prstDash val="solid"/>
              </a:ln>
            </spPr>
          </marker>
          <xVal>
            <strRef>
              <f>'Referenzzeit Beschleunigung'!$C$42:$G$42</f>
              <strCache>
                <ptCount val="5"/>
                <pt idx="0">
                  <v>Ta1</v>
                </pt>
                <pt idx="1">
                  <v>Ta2</v>
                </pt>
                <pt idx="2">
                  <v>Ta3</v>
                </pt>
                <pt idx="3">
                  <v>Ta4</v>
                </pt>
                <pt idx="4">
                  <v>Ta5</v>
                </pt>
              </strCache>
            </strRef>
          </xVal>
          <yVal>
            <numRef>
              <f>'Referenzzeit Beschleunigung'!$C$47:$G$47</f>
              <numCache>
                <formatCode>0.00</formatCode>
                <ptCount val="5"/>
                <pt idx="0">
                  <v>2.378121284185494</v>
                </pt>
                <pt idx="1">
                  <v>2.294570183849804</v>
                </pt>
                <pt idx="2">
                  <v>0.2554765038259426</v>
                </pt>
                <pt idx="3">
                  <v>0.07770587394242413</v>
                </pt>
                <pt idx="4">
                  <v>-0.1501537574476262</v>
                </pt>
              </numCache>
            </numRef>
          </yVal>
          <smooth val="0"/>
        </ser>
        <ser>
          <idx val="5"/>
          <order val="5"/>
          <tx>
            <strRef>
              <f>'Referenzzeit Beschleunigung'!$B$48</f>
              <strCache>
                <ptCount val="1"/>
                <pt idx="0">
                  <v>Dwain Chambers</v>
                </pt>
              </strCache>
            </strRef>
          </tx>
          <spPr>
            <a:ln xmlns:a="http://schemas.openxmlformats.org/drawingml/2006/main" w="19050" cap="rnd">
              <a:solidFill>
                <a:schemeClr val="accent6"/>
              </a:solidFill>
              <a:prstDash val="solid"/>
              <a:round/>
            </a:ln>
          </spPr>
          <marker>
            <symbol val="circle"/>
            <size val="5"/>
            <spPr>
              <a:solidFill xmlns:a="http://schemas.openxmlformats.org/drawingml/2006/main">
                <a:schemeClr val="accent6"/>
              </a:solidFill>
              <a:ln xmlns:a="http://schemas.openxmlformats.org/drawingml/2006/main" w="9525">
                <a:solidFill>
                  <a:schemeClr val="accent6"/>
                </a:solidFill>
                <a:prstDash val="solid"/>
              </a:ln>
            </spPr>
          </marker>
          <xVal>
            <strRef>
              <f>'Referenzzeit Beschleunigung'!$C$42:$G$42</f>
              <strCache>
                <ptCount val="5"/>
                <pt idx="0">
                  <v>Ta1</v>
                </pt>
                <pt idx="1">
                  <v>Ta2</v>
                </pt>
                <pt idx="2">
                  <v>Ta3</v>
                </pt>
                <pt idx="3">
                  <v>Ta4</v>
                </pt>
                <pt idx="4">
                  <v>Ta5</v>
                </pt>
              </strCache>
            </strRef>
          </xVal>
          <yVal>
            <numRef>
              <f>'Referenzzeit Beschleunigung'!$C$48:$G$48</f>
              <numCache>
                <formatCode>0.00</formatCode>
                <ptCount val="5"/>
                <pt idx="0">
                  <v>2.329671865717713</v>
                </pt>
                <pt idx="1">
                  <v>2.287402429922028</v>
                </pt>
                <pt idx="2">
                  <v>0.251177394034536</v>
                </pt>
                <pt idx="3">
                  <v>0.115892760565554</v>
                </pt>
                <pt idx="4">
                  <v>-0.2201977081822485</v>
                </pt>
              </numCache>
            </numRef>
          </yVal>
          <smooth val="0"/>
        </ser>
        <ser>
          <idx val="6"/>
          <order val="6"/>
          <tx>
            <strRef>
              <f>'Referenzzeit Beschleunigung'!$B$49</f>
              <strCache>
                <ptCount val="1"/>
                <pt idx="0">
                  <v>Marc Burns</v>
                </pt>
              </strCache>
            </strRef>
          </tx>
          <spPr>
            <a:ln xmlns:a="http://schemas.openxmlformats.org/drawingml/2006/main" w="19050" cap="rnd">
              <a:solidFill>
                <a:schemeClr val="accent1">
                  <a:lumMod val="60000"/>
                </a:schemeClr>
              </a:solidFill>
              <a:prstDash val="solid"/>
              <a:round/>
            </a:ln>
          </spPr>
          <marker>
            <symbol val="circle"/>
            <size val="5"/>
            <spPr>
              <a:solidFill xmlns:a="http://schemas.openxmlformats.org/drawingml/2006/main">
                <a:schemeClr val="accent1">
                  <a:lumMod val="60000"/>
                </a:schemeClr>
              </a:solidFill>
              <a:ln xmlns:a="http://schemas.openxmlformats.org/drawingml/2006/main" w="9525">
                <a:solidFill>
                  <a:schemeClr val="accent1">
                    <a:lumMod val="60000"/>
                  </a:schemeClr>
                </a:solidFill>
                <a:prstDash val="solid"/>
              </a:ln>
            </spPr>
          </marker>
          <xVal>
            <strRef>
              <f>'Referenzzeit Beschleunigung'!$C$42:$G$42</f>
              <strCache>
                <ptCount val="5"/>
                <pt idx="0">
                  <v>Ta1</v>
                </pt>
                <pt idx="1">
                  <v>Ta2</v>
                </pt>
                <pt idx="2">
                  <v>Ta3</v>
                </pt>
                <pt idx="3">
                  <v>Ta4</v>
                </pt>
                <pt idx="4">
                  <v>Ta5</v>
                </pt>
              </strCache>
            </strRef>
          </xVal>
          <yVal>
            <numRef>
              <f>'Referenzzeit Beschleunigung'!$C$49:$G$49</f>
              <numCache>
                <formatCode>0.00</formatCode>
                <ptCount val="5"/>
                <pt idx="0">
                  <v>2.313850710352168</v>
                </pt>
                <pt idx="1">
                  <v>2.300159286030559</v>
                </pt>
                <pt idx="2">
                  <v>0.21285532649169</v>
                </pt>
                <pt idx="3">
                  <v>0.1536457052952422</v>
                </pt>
                <pt idx="4">
                  <v>-0.1501537574476232</v>
                </pt>
              </numCache>
            </numRef>
          </yVal>
          <smooth val="0"/>
        </ser>
        <ser>
          <idx val="7"/>
          <order val="7"/>
          <tx>
            <strRef>
              <f>'Referenzzeit Beschleunigung'!$B$50</f>
              <strCache>
                <ptCount val="1"/>
                <pt idx="0">
                  <v>Darvis Patton</v>
                </pt>
              </strCache>
            </strRef>
          </tx>
          <spPr>
            <a:ln xmlns:a="http://schemas.openxmlformats.org/drawingml/2006/main" w="19050" cap="rnd">
              <a:solidFill>
                <a:schemeClr val="accent2">
                  <a:lumMod val="60000"/>
                </a:schemeClr>
              </a:solidFill>
              <a:prstDash val="solid"/>
              <a:round/>
            </a:ln>
          </spPr>
          <marker>
            <symbol val="circle"/>
            <size val="5"/>
            <spPr>
              <a:solidFill xmlns:a="http://schemas.openxmlformats.org/drawingml/2006/main">
                <a:schemeClr val="accent2">
                  <a:lumMod val="60000"/>
                </a:schemeClr>
              </a:solidFill>
              <a:ln xmlns:a="http://schemas.openxmlformats.org/drawingml/2006/main" w="9525">
                <a:solidFill>
                  <a:schemeClr val="accent2">
                    <a:lumMod val="60000"/>
                  </a:schemeClr>
                </a:solidFill>
                <a:prstDash val="solid"/>
              </a:ln>
            </spPr>
          </marker>
          <xVal>
            <strRef>
              <f>'Referenzzeit Beschleunigung'!$C$42:$G$42</f>
              <strCache>
                <ptCount val="5"/>
                <pt idx="0">
                  <v>Ta1</v>
                </pt>
                <pt idx="1">
                  <v>Ta2</v>
                </pt>
                <pt idx="2">
                  <v>Ta3</v>
                </pt>
                <pt idx="3">
                  <v>Ta4</v>
                </pt>
                <pt idx="4">
                  <v>Ta5</v>
                </pt>
              </strCache>
            </strRef>
          </xVal>
          <yVal>
            <numRef>
              <f>'Referenzzeit Beschleunigung'!$C$50:$G$50</f>
              <numCache>
                <formatCode>0.00</formatCode>
                <ptCount val="5"/>
                <pt idx="0">
                  <v>2.282688093498904</v>
                </pt>
                <pt idx="1">
                  <v>2.023943822885623</v>
                </pt>
                <pt idx="2">
                  <v>0.2939447383891794</v>
                </pt>
                <pt idx="3">
                  <v>0.1063976932980129</v>
                </pt>
                <pt idx="4">
                  <v>-0.4597751883239178</v>
                </pt>
              </numCache>
            </numRef>
          </yVal>
          <smooth val="0"/>
        </ser>
        <dLbls>
          <showLegendKey val="0"/>
          <showVal val="0"/>
          <showCatName val="0"/>
          <showSerName val="0"/>
          <showPercent val="0"/>
          <showBubbleSize val="0"/>
        </dLbls>
        <axId val="288744840"/>
        <axId val="706840072"/>
      </scatterChart>
      <valAx>
        <axId val="288744840"/>
        <scaling>
          <orientation val="minMax"/>
          <max val="5"/>
          <min val="3"/>
        </scaling>
        <delete val="0"/>
        <axPos val="b"/>
        <majorGridlines>
          <spPr>
            <a:ln xmlns:a="http://schemas.openxmlformats.org/drawingml/2006/main" w="9525" cap="flat" cmpd="sng" algn="ctr">
              <a:solidFill>
                <a:schemeClr val="tx1">
                  <a:lumMod val="15000"/>
                  <a:lumOff val="85000"/>
                </a:schemeClr>
              </a:solidFill>
              <a:prstDash val="solid"/>
              <a:round/>
            </a:ln>
          </spPr>
        </majorGridlines>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706840072"/>
        <crosses val="autoZero"/>
        <crossBetween val="midCat"/>
      </valAx>
      <valAx>
        <axId val="706840072"/>
        <scaling>
          <orientation val="minMax"/>
          <max val="0.5"/>
          <min val="-0.5"/>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00" sourceLinked="1"/>
        <majorTickMark val="none"/>
        <minorTickMark val="none"/>
        <tickLblPos val="nextTo"/>
        <spPr>
          <a:noFill xmlns:a="http://schemas.openxmlformats.org/drawingml/2006/main"/>
          <a:ln xmlns:a="http://schemas.openxmlformats.org/drawingml/2006/main" w="9525" cap="flat" cmpd="sng" algn="ctr">
            <a:solidFill>
              <a:schemeClr val="tx1">
                <a:lumMod val="25000"/>
                <a:lumOff val="7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288744840"/>
        <crosses val="autoZero"/>
        <crossBetween val="midCat"/>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de-DE"/>
        </a:p>
      </txPr>
    </title>
    <plotArea>
      <layout/>
      <lineChart>
        <grouping val="standard"/>
        <varyColors val="0"/>
        <ser>
          <idx val="0"/>
          <order val="0"/>
          <tx>
            <strRef>
              <f>'Referenzzeit Beschleunigung'!$B$23</f>
              <strCache>
                <ptCount val="1"/>
                <pt idx="0">
                  <v>Usain Bolt</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val>
            <numRef>
              <f>'Referenzzeit Beschleunigung'!$C$23:$G$23</f>
              <numCache>
                <formatCode>General</formatCode>
                <ptCount val="5"/>
                <pt idx="0">
                  <v>2.89</v>
                </pt>
                <pt idx="1">
                  <v>1.75</v>
                </pt>
                <pt idx="2">
                  <v>1.67</v>
                </pt>
                <pt idx="3">
                  <v>1.61</v>
                </pt>
                <pt idx="4">
                  <v>1.66</v>
                </pt>
              </numCache>
            </numRef>
          </val>
          <smooth val="0"/>
        </ser>
        <ser>
          <idx val="1"/>
          <order val="1"/>
          <tx>
            <strRef>
              <f>'Referenzzeit Beschleunigung'!$B$24</f>
              <strCache>
                <ptCount val="1"/>
                <pt idx="0">
                  <v>Tyson Gay</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val>
            <numRef>
              <f>'Referenzzeit Beschleunigung'!$C$24:$G$24</f>
              <numCache>
                <formatCode>General</formatCode>
                <ptCount val="5"/>
                <pt idx="0">
                  <v>2.92</v>
                </pt>
                <pt idx="1">
                  <v>1.78</v>
                </pt>
                <pt idx="2">
                  <v>1.69</v>
                </pt>
                <pt idx="3">
                  <v>1.63</v>
                </pt>
                <pt idx="4">
                  <v>1.690000000000001</v>
                </pt>
              </numCache>
            </numRef>
          </val>
          <smooth val="0"/>
        </ser>
        <ser>
          <idx val="2"/>
          <order val="2"/>
          <tx>
            <strRef>
              <f>'Referenzzeit Beschleunigung'!$B$25</f>
              <strCache>
                <ptCount val="1"/>
                <pt idx="0">
                  <v>Asafa Powell</v>
                </pt>
              </strCache>
            </strRef>
          </tx>
          <spPr>
            <a:ln xmlns:a="http://schemas.openxmlformats.org/drawingml/2006/main" w="28575" cap="rnd">
              <a:solidFill>
                <a:schemeClr val="accent3"/>
              </a:solidFill>
              <a:prstDash val="solid"/>
              <a:round/>
            </a:ln>
          </spPr>
          <marker>
            <symbol val="none"/>
            <spPr>
              <a:ln xmlns:a="http://schemas.openxmlformats.org/drawingml/2006/main">
                <a:prstDash val="solid"/>
              </a:ln>
            </spPr>
          </marker>
          <val>
            <numRef>
              <f>'Referenzzeit Beschleunigung'!$C$25:$G$25</f>
              <numCache>
                <formatCode>General</formatCode>
                <ptCount val="5"/>
                <pt idx="0">
                  <v>2.91</v>
                </pt>
                <pt idx="1">
                  <v>1.8</v>
                </pt>
                <pt idx="2">
                  <v>1.71</v>
                </pt>
                <pt idx="3">
                  <v>1.68</v>
                </pt>
                <pt idx="4">
                  <v>1.74</v>
                </pt>
              </numCache>
            </numRef>
          </val>
          <smooth val="0"/>
        </ser>
        <ser>
          <idx val="3"/>
          <order val="3"/>
          <tx>
            <strRef>
              <f>'Referenzzeit Beschleunigung'!$B$26</f>
              <strCache>
                <ptCount val="1"/>
                <pt idx="0">
                  <v>Daniel Bailey</v>
                </pt>
              </strCache>
            </strRef>
          </tx>
          <spPr>
            <a:ln xmlns:a="http://schemas.openxmlformats.org/drawingml/2006/main" w="28575" cap="rnd">
              <a:solidFill>
                <a:schemeClr val="accent4"/>
              </a:solidFill>
              <a:prstDash val="solid"/>
              <a:round/>
            </a:ln>
          </spPr>
          <marker>
            <symbol val="none"/>
            <spPr>
              <a:ln xmlns:a="http://schemas.openxmlformats.org/drawingml/2006/main">
                <a:prstDash val="solid"/>
              </a:ln>
            </spPr>
          </marker>
          <val>
            <numRef>
              <f>'Referenzzeit Beschleunigung'!$C$26:$G$26</f>
              <numCache>
                <formatCode>General</formatCode>
                <ptCount val="5"/>
                <pt idx="0">
                  <v>2.92</v>
                </pt>
                <pt idx="1">
                  <v>1.81</v>
                </pt>
                <pt idx="2">
                  <v>1.75</v>
                </pt>
                <pt idx="3">
                  <v>1.699999999999999</v>
                </pt>
                <pt idx="4">
                  <v>1.75</v>
                </pt>
              </numCache>
            </numRef>
          </val>
          <smooth val="0"/>
        </ser>
        <ser>
          <idx val="4"/>
          <order val="4"/>
          <tx>
            <strRef>
              <f>'Referenzzeit Beschleunigung'!$B$27</f>
              <strCache>
                <ptCount val="1"/>
                <pt idx="0">
                  <v>Richard Thompson</v>
                </pt>
              </strCache>
            </strRef>
          </tx>
          <spPr>
            <a:ln xmlns:a="http://schemas.openxmlformats.org/drawingml/2006/main" w="28575" cap="rnd">
              <a:solidFill>
                <a:schemeClr val="accent5"/>
              </a:solidFill>
              <a:prstDash val="solid"/>
              <a:round/>
            </a:ln>
          </spPr>
          <marker>
            <symbol val="none"/>
            <spPr>
              <a:ln xmlns:a="http://schemas.openxmlformats.org/drawingml/2006/main">
                <a:prstDash val="solid"/>
              </a:ln>
            </spPr>
          </marker>
          <val>
            <numRef>
              <f>'Referenzzeit Beschleunigung'!$C$27:$G$27</f>
              <numCache>
                <formatCode>General</formatCode>
                <ptCount val="5"/>
                <pt idx="0">
                  <v>2.9</v>
                </pt>
                <pt idx="1">
                  <v>1.81</v>
                </pt>
                <pt idx="2">
                  <v>1.74</v>
                </pt>
                <pt idx="3">
                  <v>1.72</v>
                </pt>
                <pt idx="4">
                  <v>1.76</v>
                </pt>
              </numCache>
            </numRef>
          </val>
          <smooth val="0"/>
        </ser>
        <ser>
          <idx val="5"/>
          <order val="5"/>
          <tx>
            <strRef>
              <f>'Referenzzeit Beschleunigung'!$B$28</f>
              <strCache>
                <ptCount val="1"/>
                <pt idx="0">
                  <v>Dwain Chambers</v>
                </pt>
              </strCache>
            </strRef>
          </tx>
          <spPr>
            <a:ln xmlns:a="http://schemas.openxmlformats.org/drawingml/2006/main" w="28575" cap="rnd">
              <a:solidFill>
                <a:schemeClr val="accent6"/>
              </a:solidFill>
              <a:prstDash val="solid"/>
              <a:round/>
            </a:ln>
          </spPr>
          <marker>
            <symbol val="none"/>
            <spPr>
              <a:ln xmlns:a="http://schemas.openxmlformats.org/drawingml/2006/main">
                <a:prstDash val="solid"/>
              </a:ln>
            </spPr>
          </marker>
          <val>
            <numRef>
              <f>'Referenzzeit Beschleunigung'!$C$28:$G$28</f>
              <numCache>
                <formatCode>General</formatCode>
                <ptCount val="5"/>
                <pt idx="0">
                  <v>2.93</v>
                </pt>
                <pt idx="1">
                  <v>1.82</v>
                </pt>
                <pt idx="2">
                  <v>1.75</v>
                </pt>
                <pt idx="3">
                  <v>1.720000000000001</v>
                </pt>
                <pt idx="4">
                  <v>1.779999999999999</v>
                </pt>
              </numCache>
            </numRef>
          </val>
          <smooth val="0"/>
        </ser>
        <ser>
          <idx val="6"/>
          <order val="6"/>
          <tx>
            <strRef>
              <f>'Referenzzeit Beschleunigung'!$B$29</f>
              <strCache>
                <ptCount val="1"/>
                <pt idx="0">
                  <v>Marc Burns</v>
                </pt>
              </strCache>
            </strRef>
          </tx>
          <spPr>
            <a:ln xmlns:a="http://schemas.openxmlformats.org/drawingml/2006/main" w="28575" cap="rnd">
              <a:solidFill>
                <a:schemeClr val="accent1">
                  <a:lumMod val="60000"/>
                </a:schemeClr>
              </a:solidFill>
              <a:prstDash val="solid"/>
              <a:round/>
            </a:ln>
          </spPr>
          <marker>
            <symbol val="none"/>
            <spPr>
              <a:ln xmlns:a="http://schemas.openxmlformats.org/drawingml/2006/main">
                <a:prstDash val="solid"/>
              </a:ln>
            </spPr>
          </marker>
          <val>
            <numRef>
              <f>'Referenzzeit Beschleunigung'!$C$29:$G$29</f>
              <numCache>
                <formatCode>General</formatCode>
                <ptCount val="5"/>
                <pt idx="0">
                  <v>2.94</v>
                </pt>
                <pt idx="1">
                  <v>1.82</v>
                </pt>
                <pt idx="2">
                  <v>1.76</v>
                </pt>
                <pt idx="3">
                  <v>1.720000000000001</v>
                </pt>
                <pt idx="4">
                  <v>1.76</v>
                </pt>
              </numCache>
            </numRef>
          </val>
          <smooth val="0"/>
        </ser>
        <ser>
          <idx val="7"/>
          <order val="7"/>
          <tx>
            <strRef>
              <f>'Referenzzeit Beschleunigung'!$B$30</f>
              <strCache>
                <ptCount val="1"/>
                <pt idx="0">
                  <v>Darvis Patton</v>
                </pt>
              </strCache>
            </strRef>
          </tx>
          <spPr>
            <a:ln xmlns:a="http://schemas.openxmlformats.org/drawingml/2006/main" w="28575" cap="rnd">
              <a:solidFill>
                <a:schemeClr val="accent2">
                  <a:lumMod val="60000"/>
                </a:schemeClr>
              </a:solidFill>
              <a:prstDash val="solid"/>
              <a:round/>
            </a:ln>
          </spPr>
          <marker>
            <symbol val="none"/>
            <spPr>
              <a:ln xmlns:a="http://schemas.openxmlformats.org/drawingml/2006/main">
                <a:prstDash val="solid"/>
              </a:ln>
            </spPr>
          </marker>
          <val>
            <numRef>
              <f>'Referenzzeit Beschleunigung'!$C$30:$G$30</f>
              <numCache>
                <formatCode>General</formatCode>
                <ptCount val="5"/>
                <pt idx="0">
                  <v>2.96</v>
                </pt>
                <pt idx="1">
                  <v>1.89</v>
                </pt>
                <pt idx="2">
                  <v>1.800000000000001</v>
                </pt>
                <pt idx="3">
                  <v>1.77</v>
                </pt>
                <pt idx="4">
                  <v>1.92</v>
                </pt>
              </numCache>
            </numRef>
          </val>
          <smooth val="0"/>
        </ser>
        <dLbls>
          <showLegendKey val="0"/>
          <showVal val="0"/>
          <showCatName val="0"/>
          <showSerName val="0"/>
          <showPercent val="0"/>
          <showBubbleSize val="0"/>
        </dLbls>
        <smooth val="0"/>
        <axId val="462260952"/>
        <axId val="462252096"/>
      </lineChart>
      <catAx>
        <axId val="46226095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462252096"/>
        <crosses val="autoZero"/>
        <auto val="1"/>
        <lblAlgn val="ctr"/>
        <lblOffset val="100"/>
        <noMultiLvlLbl val="0"/>
      </catAx>
      <valAx>
        <axId val="46225209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crossAx val="462260952"/>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de-DE"/>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_rels/drawing2.xml.rels><Relationships xmlns="http://schemas.openxmlformats.org/package/2006/relationships"><Relationship Type="http://schemas.openxmlformats.org/officeDocument/2006/relationships/chart" Target="/xl/charts/chart3.xml" Id="rId1"/><Relationship Type="http://schemas.openxmlformats.org/officeDocument/2006/relationships/chart" Target="/xl/charts/chart4.xml" Id="rId2"/><Relationship Type="http://schemas.openxmlformats.org/officeDocument/2006/relationships/chart" Target="/xl/charts/chart5.xml" Id="rId3"/><Relationship Type="http://schemas.openxmlformats.org/officeDocument/2006/relationships/chart" Target="/xl/charts/chart6.xml" Id="rId4"/><Relationship Type="http://schemas.openxmlformats.org/officeDocument/2006/relationships/chart" Target="/xl/charts/chart7.xml" Id="rId5"/></Relationships>
</file>

<file path=xl/drawings/drawing1.xml><?xml version="1.0" encoding="utf-8"?>
<wsDr xmlns="http://schemas.openxmlformats.org/drawingml/2006/spreadsheetDrawing">
  <twoCellAnchor>
    <from>
      <col>14</col>
      <colOff>728870</colOff>
      <row>0</row>
      <rowOff>198782</rowOff>
    </from>
    <to>
      <col>21</col>
      <colOff>720587</colOff>
      <row>15</row>
      <rowOff>8282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14</col>
      <colOff>761999</colOff>
      <row>15</row>
      <rowOff>99392</rowOff>
    </from>
    <to>
      <col>22</col>
      <colOff>223630</colOff>
      <row>32</row>
      <rowOff>178905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wsDr>
</file>

<file path=xl/drawings/drawing2.xml><?xml version="1.0" encoding="utf-8"?>
<wsDr xmlns="http://schemas.openxmlformats.org/drawingml/2006/spreadsheetDrawing">
  <twoCellAnchor>
    <from>
      <col>11</col>
      <colOff>584688</colOff>
      <row>25</row>
      <rowOff>32971</rowOff>
    </from>
    <to>
      <col>21</col>
      <colOff>137013</colOff>
      <row>60</row>
      <rowOff>52022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9</col>
      <colOff>383886</colOff>
      <row>0</row>
      <rowOff>0</rowOff>
    </from>
    <to>
      <col>15</col>
      <colOff>210704</colOff>
      <row>14</row>
      <rowOff>139700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9</col>
      <colOff>442769</colOff>
      <row>14</row>
      <rowOff>121227</rowOff>
    </from>
    <to>
      <col>15</col>
      <colOff>269586</colOff>
      <row>29</row>
      <rowOff>66963</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10</col>
      <colOff>752898</colOff>
      <row>32</row>
      <rowOff>70342</rowOff>
    </from>
    <to>
      <col>16</col>
      <colOff>563170</colOff>
      <row>46</row>
      <rowOff>140064</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21</col>
      <colOff>536330</colOff>
      <row>21</row>
      <rowOff>181707</rowOff>
    </from>
    <to>
      <col>30</col>
      <colOff>105508</colOff>
      <row>39</row>
      <rowOff>171449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Relationships xmlns="http://schemas.openxmlformats.org/package/2006/relationships"><Relationship Type="http://schemas.openxmlformats.org/officeDocument/2006/relationships/hyperlink" Target="https://de.wikipedia.org/wiki/Carl_Lewis" TargetMode="External" Id="rId1"/><Relationship Type="http://schemas.openxmlformats.org/officeDocument/2006/relationships/hyperlink" Target="https://de.wikipedia.org/wiki/Leroy_Burrell" TargetMode="External" Id="rId2"/><Relationship Type="http://schemas.openxmlformats.org/officeDocument/2006/relationships/hyperlink" Target="https://de.wikipedia.org/wiki/Dennis_Mitchell" TargetMode="External" Id="rId3"/><Relationship Type="http://schemas.openxmlformats.org/officeDocument/2006/relationships/hyperlink" Target="https://de.wikipedia.org/wiki/Linford_Christie" TargetMode="External" Id="rId4"/><Relationship Type="http://schemas.openxmlformats.org/officeDocument/2006/relationships/hyperlink" Target="https://de.wikipedia.org/wiki/Frank_Fredericks" TargetMode="External" Id="rId5"/><Relationship Type="http://schemas.openxmlformats.org/officeDocument/2006/relationships/hyperlink" Target="https://de.wikipedia.org/wiki/Raymond_Stewart" TargetMode="External" Id="rId6"/><Relationship Type="http://schemas.openxmlformats.org/officeDocument/2006/relationships/drawing" Target="/xl/drawings/drawing1.xml" Id="rId7"/></Relationships>
</file>

<file path=xl/worksheets/_rels/sheet3.xml.rels><Relationships xmlns="http://schemas.openxmlformats.org/package/2006/relationships"><Relationship Type="http://schemas.openxmlformats.org/officeDocument/2006/relationships/drawing" Target="/xl/drawings/drawing2.xml" Id="rId1"/></Relationships>
</file>

<file path=xl/worksheets/sheet1.xml><?xml version="1.0" encoding="utf-8"?>
<worksheet xmlns="http://schemas.openxmlformats.org/spreadsheetml/2006/main">
  <sheetPr>
    <outlinePr summaryBelow="1" summaryRight="1"/>
    <pageSetUpPr/>
  </sheetPr>
  <dimension ref="B1:B25"/>
  <sheetViews>
    <sheetView workbookViewId="0">
      <selection activeCell="A1" sqref="A1"/>
    </sheetView>
  </sheetViews>
  <sheetFormatPr baseColWidth="8" defaultRowHeight="15"/>
  <cols>
    <col width="3" customWidth="1" min="1" max="1"/>
    <col width="115" customWidth="1" min="2" max="2"/>
  </cols>
  <sheetData>
    <row r="1">
      <c r="B1" s="45" t="inlineStr">
        <is>
          <t>Datensatz: Zwischenzeiten im Weltklassesprint</t>
        </is>
      </c>
    </row>
    <row r="2">
      <c r="B2" s="46" t="inlineStr">
        <is>
          <t>Fassung SS 2026. Vormals „Lösung Aufgabe 1 - Differenzzeitdiagramm.xlsx“.</t>
        </is>
      </c>
    </row>
    <row r="3">
      <c r="B3" s="47" t="inlineStr"/>
    </row>
    <row r="4">
      <c r="B4" s="48" t="inlineStr">
        <is>
          <t>Warum wurde die Datei umbenannt?</t>
        </is>
      </c>
    </row>
    <row r="5">
      <c r="B5" s="47" t="inlineStr">
        <is>
          <t>Die Datei war als „Lösung Aufgabe 1“ bezeichnet. Aufgabe 1 im Reader ist jedoch die Konturenaufgabe zum Tiefstart mit Transparentpapier; dort werden keine Zwischenzeiten ausgewertet. Die Datei ist also keine Musterlösung, sondern ein Datensatz.</t>
        </is>
      </c>
    </row>
    <row r="6">
      <c r="B6" s="47" t="inlineStr"/>
    </row>
    <row r="7">
      <c r="B7" s="48" t="inlineStr">
        <is>
          <t>Was enthält die Datei?</t>
        </is>
      </c>
    </row>
    <row r="8">
      <c r="B8" s="49" t="inlineStr">
        <is>
          <t>•  Blatt „Referenzeit Normläufer“: Zwischenzeiten über 10-m-Abschnitte, Finale 100 m Herren (Lewis, Burrell, Mitchell, Christie, Fredericks, Stewart) einschließlich Reaktionszeit.</t>
        </is>
      </c>
    </row>
    <row r="9">
      <c r="B9" s="49" t="inlineStr">
        <is>
          <t>•  Blatt „Referenzzeit Beschleunigung“: Zwischenzeiten über 20-m-Abschnitte, Finale 100 m Herren (Bolt, Gay, Powell, Bailey, Thompson, Chambers, Burns, Patton) einschließlich Reaktionszeit.</t>
        </is>
      </c>
    </row>
    <row r="10">
      <c r="B10" s="47" t="inlineStr"/>
    </row>
    <row r="11">
      <c r="B11" s="48" t="inlineStr">
        <is>
          <t>Wofür wird die Datei im Seminar gebraucht?</t>
        </is>
      </c>
    </row>
    <row r="12">
      <c r="B12" s="47" t="inlineStr">
        <is>
          <t>Sie ist die Datengrundlage für die Differenzzeitanalyse auf den Präsentationsfolien 30 und 31. Aus den kumulierten Durchgangszeiten werden Abschnittszeiten und daraus mittlere Abschnittsgeschwindigkeiten gebildet. Das ist ein sehr schulnaher Einstieg in Datenanalyse: Die Lernenden erkennen, dass die schnellste Person nicht durchgehend die schnellste ist und dass Beschleunigungs- und Höchstgeschwindigkeitsphase unterschiedlich verlaufen.</t>
        </is>
      </c>
    </row>
    <row r="13">
      <c r="B13" s="47" t="inlineStr"/>
    </row>
    <row r="14">
      <c r="B14" s="48" t="inlineStr">
        <is>
          <t>Quelle und zugehörige Aufgabe</t>
        </is>
      </c>
    </row>
    <row r="15">
      <c r="B15" s="47" t="inlineStr">
        <is>
          <t>Blatt „Referenzzeit Beschleunigung“ (20-m-Zwischenzeiten, WM 2009 Berlin): Wank, V. (2021). Biomechanik der Sportarten. Springer, Tab. 4.3, S. 158. Originalquelle dort: Graubner, R., &amp; Nixdorf, E. (2011). Biomechanical analysis of the sprint and hurdles events at the 2009 IAAF World Championships in Athletics. New Studies in Athletics, 26(1), 19–53.   ||   Blatt „Referenzeit Normläufer“ (10-m-Zwischenzeiten, WM 1991 Tokio): Ae, M., Ito, A., &amp; Suzuki, M. (1992). The men's 100 metres. New Studies in Athletics, 7(1), 47–52, Tabelle 2 auf S. 49. Bericht des IAAF Scientific Research Project bei den III. Leichtathletik-Weltmeisterschaften Tokio 1991. Die Werte aller sechs im Blatt enthaltenen Läufer stimmen zeilenweise mit der Quelle überein. Frei zugänglich über worldathletics.org (New Studies in Athletics-Archiv). Belegt und geprüft am 29.08.2026.</t>
        </is>
      </c>
    </row>
    <row r="16">
      <c r="B16" s="47" t="inlineStr">
        <is>
          <t>Der zugehörige Arbeitsauftrag steht in Zusatzaufgabe_S1_Differenzzeiten_Sprint.docx (Tag 1, im Anschluss an Aufgabe 2): Auswertung, Differenzzeitdiagramm, Schlussfolgerung, Anwendung – mit Musterlösung. Teil B entspricht der Übungsaufgabe 3, die Wank selbst auf S. 158 zu dieser Tabelle stellt. Die Methode des Differenzzeitdiagramms erläutert Wank auf S. 156 f. am 400-m-Finale der WM 1987 in Rom (Tab. 4.2, Abb. 4.36) – das ist zugleich die Grundlage von Präsentationsfolie 31.</t>
        </is>
      </c>
    </row>
    <row r="18">
      <c r="B18" s="48" t="inlineStr">
        <is>
          <t>Wichtig: Die Quelle rechnet die Reaktionszeit NICHT heraus</t>
        </is>
      </c>
    </row>
    <row r="19">
      <c r="B19" s="47" t="inlineStr">
        <is>
          <t>Ae, Ito und Suzuki geben für den ersten Abschnitt die Durchschnittsgeschwindigkeit als 10 m geteilt durch die Elapsed-Zeit an. Für Carl Lewis ergibt das 10 / 1,88 s = 5,31 m/s. Zieht man dagegen die Reaktionszeit von 0,140 s ab, weil die Person währenddessen noch nicht läuft, erhält man 10 / 1,74 s = 5,75 m/s. Beide Vorgehensweisen sind vertretbar; die Quelle wählt die erste. Ab dem zweiten Abschnitt spielt die Frage keine Rolle mehr.</t>
        </is>
      </c>
    </row>
    <row r="20">
      <c r="B20" s="47" t="inlineStr"/>
    </row>
    <row r="21">
      <c r="B21" s="48" t="inlineStr">
        <is>
          <t>Messgenauigkeit laut Quelle</t>
        </is>
      </c>
    </row>
    <row r="22">
      <c r="B22" s="47" t="inlineStr">
        <is>
          <t>Tabelle 2 der Quelle ist überschrieben mit „Error allowance +/− 0.02 seconds“. Für einen 10-m-Abschnitt von rund 0,85 s bedeutet das im ungünstigsten Fall eine Unsicherheit der Abschnittsgeschwindigkeit von etwa 0,55 m/s. Unterschiede zwischen benachbarten Abschnitten, die kleiner sind als dieser Wert, sollten nicht überinterpretiert werden. Für den Vergleich zweier Läufer im Differenzzeitdiagramm ist die Lage günstiger, weil beide mit demselben System gemessen wurden und sich ein Teil des Fehlers heraushebt.</t>
        </is>
      </c>
    </row>
    <row r="23">
      <c r="B23" s="47" t="inlineStr"/>
    </row>
    <row r="24">
      <c r="B24" s="48" t="inlineStr">
        <is>
          <t>Befund der Quelle selbst</t>
        </is>
      </c>
    </row>
    <row r="25">
      <c r="B25" s="47" t="inlineStr">
        <is>
          <t>Die Autoren heben hervor, dass fünf der acht Finalisten ihre Höchstgeschwindigkeit erst im Abschnitt 70 bis 80 m erreichten, und bezeichnen das als ein bis dahin im Spitzenbereich nicht beobachtetes Merkmal. Über das gesamte Teilnehmerfeld der Meisterschaft lag der Abschnitt der Höchstgeschwindigkeit dagegen meist bei 50 bis 60 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7"/>
  <sheetViews>
    <sheetView zoomScale="115" zoomScaleNormal="115" workbookViewId="0">
      <selection activeCell="T16" sqref="T16"/>
    </sheetView>
  </sheetViews>
  <sheetFormatPr baseColWidth="10" defaultRowHeight="15"/>
  <cols>
    <col width="19.7109375" customWidth="1" min="2" max="2"/>
  </cols>
  <sheetData>
    <row r="1">
      <c r="A1" s="41" t="inlineStr">
        <is>
          <t>Platz</t>
        </is>
      </c>
      <c r="B1" s="42" t="inlineStr">
        <is>
          <t>Läufer</t>
        </is>
      </c>
      <c r="C1" s="42" t="inlineStr">
        <is>
          <t>RZ</t>
        </is>
      </c>
      <c r="D1" s="42" t="inlineStr">
        <is>
          <t>10 m</t>
        </is>
      </c>
      <c r="E1" s="42" t="inlineStr">
        <is>
          <t>20 m</t>
        </is>
      </c>
      <c r="F1" s="42" t="inlineStr">
        <is>
          <t>30 m</t>
        </is>
      </c>
      <c r="G1" s="42" t="inlineStr">
        <is>
          <t>40 m</t>
        </is>
      </c>
      <c r="H1" s="42" t="inlineStr">
        <is>
          <t>50 m</t>
        </is>
      </c>
      <c r="I1" s="42" t="inlineStr">
        <is>
          <t>60 m</t>
        </is>
      </c>
      <c r="J1" s="42" t="inlineStr">
        <is>
          <t>70 m</t>
        </is>
      </c>
      <c r="K1" s="42" t="inlineStr">
        <is>
          <t>80 m</t>
        </is>
      </c>
      <c r="L1" s="42" t="inlineStr">
        <is>
          <t>90 m</t>
        </is>
      </c>
      <c r="M1" s="43" t="inlineStr">
        <is>
          <t>100 m</t>
        </is>
      </c>
    </row>
    <row r="2">
      <c r="A2" s="40" t="n">
        <v>1</v>
      </c>
      <c r="B2" s="21" t="inlineStr">
        <is>
          <t>Carl Lewis</t>
        </is>
      </c>
      <c r="C2" s="35" t="n">
        <v>0.14</v>
      </c>
      <c r="D2" s="35" t="n">
        <v>1.88</v>
      </c>
      <c r="E2" s="35" t="n">
        <v>2.96</v>
      </c>
      <c r="F2" s="35" t="n">
        <v>3.88</v>
      </c>
      <c r="G2" s="35" t="n">
        <v>4.77</v>
      </c>
      <c r="H2" s="35" t="n">
        <v>5.61</v>
      </c>
      <c r="I2" s="35" t="n">
        <v>6.46</v>
      </c>
      <c r="J2" s="35" t="n">
        <v>7.3</v>
      </c>
      <c r="K2" s="35" t="n">
        <v>8.130000000000001</v>
      </c>
      <c r="L2" s="35" t="n">
        <v>9</v>
      </c>
      <c r="M2" s="35" t="n">
        <v>9.859999999999999</v>
      </c>
    </row>
    <row r="3">
      <c r="A3" s="40" t="n">
        <v>2</v>
      </c>
      <c r="B3" s="21" t="inlineStr">
        <is>
          <t>Leroy Burrell</t>
        </is>
      </c>
      <c r="C3" s="35" t="n">
        <v>0.12</v>
      </c>
      <c r="D3" s="35" t="n">
        <v>1.83</v>
      </c>
      <c r="E3" s="35" t="n">
        <v>2.89</v>
      </c>
      <c r="F3" s="35" t="n">
        <v>3.8</v>
      </c>
      <c r="G3" s="35" t="n">
        <v>4.68</v>
      </c>
      <c r="H3" s="35" t="n">
        <v>5.55</v>
      </c>
      <c r="I3" s="35" t="n">
        <v>6.41</v>
      </c>
      <c r="J3" s="35" t="n">
        <v>7.28</v>
      </c>
      <c r="K3" s="35" t="n">
        <v>8.119999999999999</v>
      </c>
      <c r="L3" s="35" t="n">
        <v>9.01</v>
      </c>
      <c r="M3" s="35" t="n">
        <v>9.880000000000001</v>
      </c>
    </row>
    <row r="4">
      <c r="A4" s="40" t="n">
        <v>3</v>
      </c>
      <c r="B4" s="21" t="inlineStr">
        <is>
          <t>Dennis Mitchell</t>
        </is>
      </c>
      <c r="C4" s="35" t="n">
        <v>0.09</v>
      </c>
      <c r="D4" s="35" t="n">
        <v>1.8</v>
      </c>
      <c r="E4" s="35" t="n">
        <v>2.87</v>
      </c>
      <c r="F4" s="35" t="n">
        <v>3.8</v>
      </c>
      <c r="G4" s="35" t="n">
        <v>4.68</v>
      </c>
      <c r="H4" s="35" t="n">
        <v>5.55</v>
      </c>
      <c r="I4" s="35" t="n">
        <v>6.42</v>
      </c>
      <c r="J4" s="35" t="n">
        <v>7.28</v>
      </c>
      <c r="K4" s="35" t="n">
        <v>8.140000000000001</v>
      </c>
      <c r="L4" s="35" t="n">
        <v>9.02</v>
      </c>
      <c r="M4" s="35" t="n">
        <v>9.91</v>
      </c>
    </row>
    <row r="5">
      <c r="A5" s="40" t="n">
        <v>4</v>
      </c>
      <c r="B5" s="21" t="inlineStr">
        <is>
          <t>Linford Christie</t>
        </is>
      </c>
      <c r="C5" s="35" t="n">
        <v>0.126</v>
      </c>
      <c r="D5" s="35" t="n">
        <v>1.85</v>
      </c>
      <c r="E5" s="35" t="n">
        <v>2.91</v>
      </c>
      <c r="F5" s="35" t="n">
        <v>3.83</v>
      </c>
      <c r="G5" s="35" t="n">
        <v>4.72</v>
      </c>
      <c r="H5" s="35" t="n">
        <v>5.57</v>
      </c>
      <c r="I5" s="35" t="n">
        <v>6.43</v>
      </c>
      <c r="J5" s="35" t="n">
        <v>7.29</v>
      </c>
      <c r="K5" s="35" t="n">
        <v>8.140000000000001</v>
      </c>
      <c r="L5" s="35" t="n">
        <v>9.039999999999999</v>
      </c>
      <c r="M5" s="35" t="n">
        <v>9.92</v>
      </c>
    </row>
    <row r="6">
      <c r="A6" s="40" t="n">
        <v>5</v>
      </c>
      <c r="B6" s="21" t="inlineStr">
        <is>
          <t>Frank Fredericks</t>
        </is>
      </c>
      <c r="C6" s="35" t="n">
        <v>0.151</v>
      </c>
      <c r="D6" s="35" t="n">
        <v>1.86</v>
      </c>
      <c r="E6" s="35" t="n">
        <v>2.92</v>
      </c>
      <c r="F6" s="35" t="n">
        <v>3.84</v>
      </c>
      <c r="G6" s="35" t="n">
        <v>4.73</v>
      </c>
      <c r="H6" s="35" t="n">
        <v>5.6</v>
      </c>
      <c r="I6" s="35" t="n">
        <v>6.47</v>
      </c>
      <c r="J6" s="35" t="n">
        <v>7.33</v>
      </c>
      <c r="K6" s="35" t="n">
        <v>8.18</v>
      </c>
      <c r="L6" s="35" t="n">
        <v>9.07</v>
      </c>
      <c r="M6" s="35" t="n">
        <v>9.949999999999999</v>
      </c>
    </row>
    <row r="7">
      <c r="A7" s="40" t="n">
        <v>6</v>
      </c>
      <c r="B7" s="21" t="inlineStr">
        <is>
          <t>Raymond Stewart</t>
        </is>
      </c>
      <c r="C7" s="35" t="n">
        <v>0.114</v>
      </c>
      <c r="D7" s="35" t="n">
        <v>1.81</v>
      </c>
      <c r="E7" s="35" t="n">
        <v>2.88</v>
      </c>
      <c r="F7" s="35" t="n">
        <v>3.79</v>
      </c>
      <c r="G7" s="35" t="n">
        <v>4.68</v>
      </c>
      <c r="H7" s="35" t="n">
        <v>5.54</v>
      </c>
      <c r="I7" s="35" t="n">
        <v>6.41</v>
      </c>
      <c r="J7" s="35" t="n">
        <v>7.29</v>
      </c>
      <c r="K7" s="35" t="n">
        <v>8.16</v>
      </c>
      <c r="L7" s="35" t="n">
        <v>9.06</v>
      </c>
      <c r="M7" s="35" t="n">
        <v>9.960000000000001</v>
      </c>
    </row>
    <row r="10" ht="15.75" customHeight="1" thickBot="1">
      <c r="A10" s="1" t="inlineStr">
        <is>
          <t>Platz</t>
        </is>
      </c>
      <c r="B10" s="2" t="inlineStr">
        <is>
          <t>Läufer</t>
        </is>
      </c>
      <c r="C10" s="15" t="inlineStr">
        <is>
          <t>RZ</t>
        </is>
      </c>
      <c r="D10" s="19" t="inlineStr">
        <is>
          <t>0m</t>
        </is>
      </c>
      <c r="E10" s="2" t="inlineStr">
        <is>
          <t>10 m</t>
        </is>
      </c>
      <c r="F10" s="2" t="inlineStr">
        <is>
          <t>20 m</t>
        </is>
      </c>
      <c r="G10" s="2" t="inlineStr">
        <is>
          <t>30 m</t>
        </is>
      </c>
      <c r="H10" s="2" t="inlineStr">
        <is>
          <t>40 m</t>
        </is>
      </c>
      <c r="I10" s="2" t="inlineStr">
        <is>
          <t>50 m</t>
        </is>
      </c>
      <c r="J10" s="2" t="inlineStr">
        <is>
          <t>60 m</t>
        </is>
      </c>
      <c r="K10" s="2" t="inlineStr">
        <is>
          <t>70 m</t>
        </is>
      </c>
      <c r="L10" s="2" t="inlineStr">
        <is>
          <t>80 m</t>
        </is>
      </c>
      <c r="M10" s="2" t="inlineStr">
        <is>
          <t>90 m</t>
        </is>
      </c>
      <c r="N10" s="3" t="inlineStr">
        <is>
          <t>100 m</t>
        </is>
      </c>
    </row>
    <row r="11" ht="15.75" customHeight="1" thickBot="1">
      <c r="A11" s="4" t="n">
        <v>1</v>
      </c>
      <c r="B11" s="5" t="inlineStr">
        <is>
          <t>Carl Lewis</t>
        </is>
      </c>
      <c r="C11" s="16" t="n">
        <v>0.14</v>
      </c>
      <c r="D11" s="20" t="n">
        <v>0</v>
      </c>
      <c r="E11" s="6" t="n">
        <v>1.88</v>
      </c>
      <c r="F11" s="6" t="n">
        <v>2.96</v>
      </c>
      <c r="G11" s="6" t="n">
        <v>3.88</v>
      </c>
      <c r="H11" s="6" t="n">
        <v>4.77</v>
      </c>
      <c r="I11" s="6" t="n">
        <v>5.61</v>
      </c>
      <c r="J11" s="6" t="n">
        <v>6.46</v>
      </c>
      <c r="K11" s="6" t="n">
        <v>7.3</v>
      </c>
      <c r="L11" s="6" t="n">
        <v>8.130000000000001</v>
      </c>
      <c r="M11" s="7" t="n">
        <v>9</v>
      </c>
      <c r="N11" s="8" t="n">
        <v>9.859999999999999</v>
      </c>
    </row>
    <row r="12" ht="15.75" customHeight="1" thickBot="1">
      <c r="A12" s="4" t="n">
        <v>2</v>
      </c>
      <c r="B12" s="5" t="inlineStr">
        <is>
          <t>Leroy Burrell</t>
        </is>
      </c>
      <c r="C12" s="16" t="n">
        <v>0.12</v>
      </c>
      <c r="D12" s="20" t="n">
        <v>0</v>
      </c>
      <c r="E12" s="6" t="n">
        <v>1.83</v>
      </c>
      <c r="F12" s="6" t="n">
        <v>2.89</v>
      </c>
      <c r="G12" s="6" t="n">
        <v>3.8</v>
      </c>
      <c r="H12" s="7" t="n">
        <v>4.68</v>
      </c>
      <c r="I12" s="6" t="n">
        <v>5.55</v>
      </c>
      <c r="J12" s="7" t="n">
        <v>6.41</v>
      </c>
      <c r="K12" s="7" t="n">
        <v>7.28</v>
      </c>
      <c r="L12" s="7" t="n">
        <v>8.119999999999999</v>
      </c>
      <c r="M12" s="6" t="n">
        <v>9.01</v>
      </c>
      <c r="N12" s="9" t="n">
        <v>9.880000000000001</v>
      </c>
    </row>
    <row r="13" ht="15.75" customHeight="1" thickBot="1">
      <c r="A13" s="4" t="n">
        <v>3</v>
      </c>
      <c r="B13" s="5" t="inlineStr">
        <is>
          <t>Dennis Mitchell</t>
        </is>
      </c>
      <c r="C13" s="17" t="n">
        <v>0.09</v>
      </c>
      <c r="D13" s="20" t="n">
        <v>0</v>
      </c>
      <c r="E13" s="7" t="n">
        <v>1.8</v>
      </c>
      <c r="F13" s="7" t="n">
        <v>2.87</v>
      </c>
      <c r="G13" s="6" t="n">
        <v>3.8</v>
      </c>
      <c r="H13" s="7" t="n">
        <v>4.68</v>
      </c>
      <c r="I13" s="6" t="n">
        <v>5.55</v>
      </c>
      <c r="J13" s="6" t="n">
        <v>6.42</v>
      </c>
      <c r="K13" s="7" t="n">
        <v>7.28</v>
      </c>
      <c r="L13" s="6" t="n">
        <v>8.140000000000001</v>
      </c>
      <c r="M13" s="6" t="n">
        <v>9.02</v>
      </c>
      <c r="N13" s="9" t="n">
        <v>9.91</v>
      </c>
    </row>
    <row r="14" ht="15.75" customHeight="1" thickBot="1">
      <c r="A14" s="4" t="n">
        <v>4</v>
      </c>
      <c r="B14" s="5" t="inlineStr">
        <is>
          <t>Linford Christie</t>
        </is>
      </c>
      <c r="C14" s="16" t="n">
        <v>0.126</v>
      </c>
      <c r="D14" s="20" t="n">
        <v>0</v>
      </c>
      <c r="E14" s="6" t="n">
        <v>1.85</v>
      </c>
      <c r="F14" s="6" t="n">
        <v>2.91</v>
      </c>
      <c r="G14" s="6" t="n">
        <v>3.83</v>
      </c>
      <c r="H14" s="6" t="n">
        <v>4.72</v>
      </c>
      <c r="I14" s="6" t="n">
        <v>5.57</v>
      </c>
      <c r="J14" s="6" t="n">
        <v>6.43</v>
      </c>
      <c r="K14" s="6" t="n">
        <v>7.29</v>
      </c>
      <c r="L14" s="6" t="n">
        <v>8.140000000000001</v>
      </c>
      <c r="M14" s="6" t="n">
        <v>9.039999999999999</v>
      </c>
      <c r="N14" s="9" t="n">
        <v>9.92</v>
      </c>
    </row>
    <row r="15" ht="15.75" customHeight="1" thickBot="1">
      <c r="A15" s="4" t="n">
        <v>5</v>
      </c>
      <c r="B15" s="5" t="inlineStr">
        <is>
          <t>Frank Fredericks</t>
        </is>
      </c>
      <c r="C15" s="16" t="n">
        <v>0.151</v>
      </c>
      <c r="D15" s="20" t="n">
        <v>0</v>
      </c>
      <c r="E15" s="6" t="n">
        <v>1.86</v>
      </c>
      <c r="F15" s="6" t="n">
        <v>2.92</v>
      </c>
      <c r="G15" s="6" t="n">
        <v>3.84</v>
      </c>
      <c r="H15" s="6" t="n">
        <v>4.73</v>
      </c>
      <c r="I15" s="6" t="n">
        <v>5.6</v>
      </c>
      <c r="J15" s="6" t="n">
        <v>6.47</v>
      </c>
      <c r="K15" s="6" t="n">
        <v>7.33</v>
      </c>
      <c r="L15" s="6" t="n">
        <v>8.18</v>
      </c>
      <c r="M15" s="6" t="n">
        <v>9.07</v>
      </c>
      <c r="N15" s="9" t="n">
        <v>9.949999999999999</v>
      </c>
    </row>
    <row r="16">
      <c r="A16" s="10" t="n">
        <v>6</v>
      </c>
      <c r="B16" s="11" t="inlineStr">
        <is>
          <t>Raymond Stewart</t>
        </is>
      </c>
      <c r="C16" s="18" t="n">
        <v>0.114</v>
      </c>
      <c r="D16" s="20" t="n">
        <v>0</v>
      </c>
      <c r="E16" s="12" t="n">
        <v>1.81</v>
      </c>
      <c r="F16" s="12" t="n">
        <v>2.88</v>
      </c>
      <c r="G16" s="13" t="n">
        <v>3.79</v>
      </c>
      <c r="H16" s="13" t="n">
        <v>4.68</v>
      </c>
      <c r="I16" s="13" t="n">
        <v>5.54</v>
      </c>
      <c r="J16" s="13" t="n">
        <v>6.41</v>
      </c>
      <c r="K16" s="12" t="n">
        <v>7.29</v>
      </c>
      <c r="L16" s="12" t="n">
        <v>8.16</v>
      </c>
      <c r="M16" s="12" t="n">
        <v>9.06</v>
      </c>
      <c r="N16" s="14" t="n">
        <v>9.960000000000001</v>
      </c>
    </row>
    <row r="18">
      <c r="B18" s="21" t="inlineStr">
        <is>
          <t>Name</t>
        </is>
      </c>
      <c r="C18" s="21" t="n"/>
      <c r="D18" s="19" t="inlineStr">
        <is>
          <t>0m</t>
        </is>
      </c>
      <c r="E18" s="22" t="inlineStr">
        <is>
          <t>10 m</t>
        </is>
      </c>
      <c r="F18" s="22" t="inlineStr">
        <is>
          <t>20 m</t>
        </is>
      </c>
      <c r="G18" s="22" t="inlineStr">
        <is>
          <t>30 m</t>
        </is>
      </c>
      <c r="H18" s="22" t="inlineStr">
        <is>
          <t>40 m</t>
        </is>
      </c>
      <c r="I18" s="22" t="inlineStr">
        <is>
          <t>50 m</t>
        </is>
      </c>
      <c r="J18" s="22" t="inlineStr">
        <is>
          <t>60 m</t>
        </is>
      </c>
      <c r="K18" s="22" t="inlineStr">
        <is>
          <t>70 m</t>
        </is>
      </c>
      <c r="L18" s="22" t="inlineStr">
        <is>
          <t>80 m</t>
        </is>
      </c>
      <c r="M18" s="22" t="inlineStr">
        <is>
          <t>90 m</t>
        </is>
      </c>
      <c r="N18" s="22" t="inlineStr">
        <is>
          <t>100 m</t>
        </is>
      </c>
    </row>
    <row r="19">
      <c r="B19" s="21">
        <f>B11</f>
        <v/>
      </c>
      <c r="C19" s="21" t="n"/>
      <c r="D19" s="21">
        <f>D11-D$11</f>
        <v/>
      </c>
      <c r="E19" s="21">
        <f>E11-E$11</f>
        <v/>
      </c>
      <c r="F19" s="21">
        <f>F11-F$11</f>
        <v/>
      </c>
      <c r="G19" s="21">
        <f>G11-G$11</f>
        <v/>
      </c>
      <c r="H19" s="21">
        <f>H11-H$11</f>
        <v/>
      </c>
      <c r="I19" s="21">
        <f>I11-I$11</f>
        <v/>
      </c>
      <c r="J19" s="21">
        <f>J11-J$11</f>
        <v/>
      </c>
      <c r="K19" s="21">
        <f>K11-K$11</f>
        <v/>
      </c>
      <c r="L19" s="21">
        <f>L11-L$11</f>
        <v/>
      </c>
      <c r="M19" s="21">
        <f>M11-M$11</f>
        <v/>
      </c>
      <c r="N19" s="21">
        <f>N11-N$11</f>
        <v/>
      </c>
    </row>
    <row r="20">
      <c r="B20" s="21">
        <f>B12</f>
        <v/>
      </c>
      <c r="C20" s="21" t="n"/>
      <c r="D20" s="21">
        <f>D12-D$11</f>
        <v/>
      </c>
      <c r="E20" s="21">
        <f>E12-E$11</f>
        <v/>
      </c>
      <c r="F20" s="21">
        <f>F12-F$11</f>
        <v/>
      </c>
      <c r="G20" s="21">
        <f>G12-G$11</f>
        <v/>
      </c>
      <c r="H20" s="21">
        <f>H12-H$11</f>
        <v/>
      </c>
      <c r="I20" s="21">
        <f>I12-I$11</f>
        <v/>
      </c>
      <c r="J20" s="21">
        <f>J12-J$11</f>
        <v/>
      </c>
      <c r="K20" s="21">
        <f>K12-K$11</f>
        <v/>
      </c>
      <c r="L20" s="21">
        <f>L12-L$11</f>
        <v/>
      </c>
      <c r="M20" s="21">
        <f>M12-M$11</f>
        <v/>
      </c>
      <c r="N20" s="21">
        <f>N12-N$11</f>
        <v/>
      </c>
    </row>
    <row r="21">
      <c r="B21" s="21">
        <f>B13</f>
        <v/>
      </c>
      <c r="C21" s="21" t="n"/>
      <c r="D21" s="21">
        <f>D13-D$11</f>
        <v/>
      </c>
      <c r="E21" s="21">
        <f>E13-E$11</f>
        <v/>
      </c>
      <c r="F21" s="21">
        <f>F13-F$11</f>
        <v/>
      </c>
      <c r="G21" s="21">
        <f>G13-G$11</f>
        <v/>
      </c>
      <c r="H21" s="21">
        <f>H13-H$11</f>
        <v/>
      </c>
      <c r="I21" s="21">
        <f>I13-I$11</f>
        <v/>
      </c>
      <c r="J21" s="21">
        <f>J13-J$11</f>
        <v/>
      </c>
      <c r="K21" s="21">
        <f>K13-K$11</f>
        <v/>
      </c>
      <c r="L21" s="21">
        <f>L13-L$11</f>
        <v/>
      </c>
      <c r="M21" s="21">
        <f>M13-M$11</f>
        <v/>
      </c>
      <c r="N21" s="21">
        <f>N13-N$11</f>
        <v/>
      </c>
    </row>
    <row r="22">
      <c r="B22" s="21">
        <f>B14</f>
        <v/>
      </c>
      <c r="C22" s="21" t="n"/>
      <c r="D22" s="21">
        <f>D14-D$11</f>
        <v/>
      </c>
      <c r="E22" s="21">
        <f>E14-E$11</f>
        <v/>
      </c>
      <c r="F22" s="21">
        <f>F14-F$11</f>
        <v/>
      </c>
      <c r="G22" s="21">
        <f>G14-G$11</f>
        <v/>
      </c>
      <c r="H22" s="21">
        <f>H14-H$11</f>
        <v/>
      </c>
      <c r="I22" s="21">
        <f>I14-I$11</f>
        <v/>
      </c>
      <c r="J22" s="21">
        <f>J14-J$11</f>
        <v/>
      </c>
      <c r="K22" s="21">
        <f>K14-K$11</f>
        <v/>
      </c>
      <c r="L22" s="21">
        <f>L14-L$11</f>
        <v/>
      </c>
      <c r="M22" s="21">
        <f>M14-M$11</f>
        <v/>
      </c>
      <c r="N22" s="21">
        <f>N14-N$11</f>
        <v/>
      </c>
    </row>
    <row r="23">
      <c r="B23" s="21">
        <f>B15</f>
        <v/>
      </c>
      <c r="C23" s="21" t="n"/>
      <c r="D23" s="21">
        <f>D15-D$11</f>
        <v/>
      </c>
      <c r="E23" s="21">
        <f>E15-E$11</f>
        <v/>
      </c>
      <c r="F23" s="21">
        <f>F15-F$11</f>
        <v/>
      </c>
      <c r="G23" s="21">
        <f>G15-G$11</f>
        <v/>
      </c>
      <c r="H23" s="21">
        <f>H15-H$11</f>
        <v/>
      </c>
      <c r="I23" s="21">
        <f>I15-I$11</f>
        <v/>
      </c>
      <c r="J23" s="21">
        <f>J15-J$11</f>
        <v/>
      </c>
      <c r="K23" s="21">
        <f>K15-K$11</f>
        <v/>
      </c>
      <c r="L23" s="21">
        <f>L15-L$11</f>
        <v/>
      </c>
      <c r="M23" s="21">
        <f>M15-M$11</f>
        <v/>
      </c>
      <c r="N23" s="21">
        <f>N15-N$11</f>
        <v/>
      </c>
    </row>
    <row r="24">
      <c r="B24" s="21">
        <f>B16</f>
        <v/>
      </c>
      <c r="C24" s="21" t="n"/>
      <c r="D24" s="21">
        <f>D16-D$11</f>
        <v/>
      </c>
      <c r="E24" s="21">
        <f>E16-E$11</f>
        <v/>
      </c>
      <c r="F24" s="21">
        <f>F16-F$11</f>
        <v/>
      </c>
      <c r="G24" s="21">
        <f>G16-G$11</f>
        <v/>
      </c>
      <c r="H24" s="21">
        <f>H16-H$11</f>
        <v/>
      </c>
      <c r="I24" s="21">
        <f>I16-I$11</f>
        <v/>
      </c>
      <c r="J24" s="21">
        <f>J16-J$11</f>
        <v/>
      </c>
      <c r="K24" s="21">
        <f>K16-K$11</f>
        <v/>
      </c>
      <c r="L24" s="21">
        <f>L16-L$11</f>
        <v/>
      </c>
      <c r="M24" s="21">
        <f>M16-M$11</f>
        <v/>
      </c>
      <c r="N24" s="21">
        <f>N16-N$11</f>
        <v/>
      </c>
    </row>
    <row r="27">
      <c r="F27" s="34" t="n"/>
    </row>
  </sheetData>
  <hyperlinks>
    <hyperlink xmlns:r="http://schemas.openxmlformats.org/officeDocument/2006/relationships" ref="B11" tooltip="Carl Lewis" display="https://de.wikipedia.org/wiki/Carl_Lewis" r:id="rId1"/>
    <hyperlink xmlns:r="http://schemas.openxmlformats.org/officeDocument/2006/relationships" ref="B12" tooltip="Leroy Burrell" display="https://de.wikipedia.org/wiki/Leroy_Burrell" r:id="rId2"/>
    <hyperlink xmlns:r="http://schemas.openxmlformats.org/officeDocument/2006/relationships" ref="B13" tooltip="Dennis Mitchell" display="https://de.wikipedia.org/wiki/Dennis_Mitchell" r:id="rId3"/>
    <hyperlink xmlns:r="http://schemas.openxmlformats.org/officeDocument/2006/relationships" ref="B14" tooltip="Linford Christie" display="https://de.wikipedia.org/wiki/Linford_Christie" r:id="rId4"/>
    <hyperlink xmlns:r="http://schemas.openxmlformats.org/officeDocument/2006/relationships" ref="B15" tooltip="Frank Fredericks" display="https://de.wikipedia.org/wiki/Frank_Fredericks" r:id="rId5"/>
    <hyperlink xmlns:r="http://schemas.openxmlformats.org/officeDocument/2006/relationships" ref="B16" tooltip="Raymond Stewart" display="https://de.wikipedia.org/wiki/Raymond_Stewart" r:id="rId6"/>
  </hyperlinks>
  <pageMargins left="0.7" right="0.7" top="0.787401575" bottom="0.787401575" header="0.3" footer="0.3"/>
  <pageSetup orientation="portrait" paperSize="9" horizontalDpi="4294967293" verticalDpi="0"/>
  <drawing xmlns:r="http://schemas.openxmlformats.org/officeDocument/2006/relationships" r:id="rId7"/>
</worksheet>
</file>

<file path=xl/worksheets/sheet3.xml><?xml version="1.0" encoding="utf-8"?>
<worksheet xmlns="http://schemas.openxmlformats.org/spreadsheetml/2006/main">
  <sheetPr>
    <outlinePr summaryBelow="1" summaryRight="1"/>
    <pageSetUpPr/>
  </sheetPr>
  <dimension ref="A1:H50"/>
  <sheetViews>
    <sheetView tabSelected="1" topLeftCell="A18" zoomScale="130" zoomScaleNormal="130" workbookViewId="0">
      <selection activeCell="B23" sqref="B23:G30"/>
    </sheetView>
  </sheetViews>
  <sheetFormatPr baseColWidth="10" defaultRowHeight="15"/>
  <cols>
    <col width="5.28515625" customWidth="1" min="1" max="1"/>
    <col width="18.85546875" customWidth="1" min="2" max="2"/>
  </cols>
  <sheetData>
    <row r="1">
      <c r="B1" s="38" t="inlineStr">
        <is>
          <t>Name</t>
        </is>
      </c>
      <c r="C1" s="38" t="inlineStr">
        <is>
          <t>RZ</t>
        </is>
      </c>
      <c r="D1" s="38" t="inlineStr">
        <is>
          <t>20m</t>
        </is>
      </c>
      <c r="E1" s="38" t="inlineStr">
        <is>
          <t>40m</t>
        </is>
      </c>
      <c r="F1" s="38" t="inlineStr">
        <is>
          <t>60m</t>
        </is>
      </c>
      <c r="G1" s="38" t="inlineStr">
        <is>
          <t>80m</t>
        </is>
      </c>
      <c r="H1" s="38" t="inlineStr">
        <is>
          <t>100m</t>
        </is>
      </c>
    </row>
    <row r="2">
      <c r="A2" s="37" t="n">
        <v>1</v>
      </c>
      <c r="B2" s="39" t="inlineStr">
        <is>
          <t>Usain Bolt</t>
        </is>
      </c>
      <c r="C2" s="35" t="n">
        <v>0.146</v>
      </c>
      <c r="D2" s="35" t="n">
        <v>2.89</v>
      </c>
      <c r="E2" s="35" t="n">
        <v>4.64</v>
      </c>
      <c r="F2" s="36" t="n">
        <v>6.31</v>
      </c>
      <c r="G2" s="36" t="n">
        <v>7.92</v>
      </c>
      <c r="H2" s="36" t="n">
        <v>9.58</v>
      </c>
    </row>
    <row r="3">
      <c r="A3" s="37" t="n">
        <v>2</v>
      </c>
      <c r="B3" s="39" t="inlineStr">
        <is>
          <t>Tyson Gay</t>
        </is>
      </c>
      <c r="C3" s="35" t="n">
        <v>0.144</v>
      </c>
      <c r="D3" s="35" t="n">
        <v>2.92</v>
      </c>
      <c r="E3" s="35" t="n">
        <v>4.7</v>
      </c>
      <c r="F3" s="36" t="n">
        <v>6.39</v>
      </c>
      <c r="G3" s="36" t="n">
        <v>8.02</v>
      </c>
      <c r="H3" s="36" t="n">
        <v>9.710000000000001</v>
      </c>
    </row>
    <row r="4">
      <c r="A4" s="37" t="n">
        <v>3</v>
      </c>
      <c r="B4" s="39" t="inlineStr">
        <is>
          <t>Asafa Powell</t>
        </is>
      </c>
      <c r="C4" s="35" t="n">
        <v>0.134</v>
      </c>
      <c r="D4" s="35" t="n">
        <v>2.91</v>
      </c>
      <c r="E4" s="35" t="n">
        <v>4.71</v>
      </c>
      <c r="F4" s="36" t="n">
        <v>6.42</v>
      </c>
      <c r="G4" s="36" t="n">
        <v>8.1</v>
      </c>
      <c r="H4" s="36" t="n">
        <v>9.84</v>
      </c>
    </row>
    <row r="5">
      <c r="A5" s="37" t="n">
        <v>4</v>
      </c>
      <c r="B5" s="39" t="inlineStr">
        <is>
          <t>Daniel Bailey</t>
        </is>
      </c>
      <c r="C5" s="35" t="n">
        <v>0.129</v>
      </c>
      <c r="D5" s="35" t="n">
        <v>2.92</v>
      </c>
      <c r="E5" s="35" t="n">
        <v>4.73</v>
      </c>
      <c r="F5" s="36" t="n">
        <v>6.48</v>
      </c>
      <c r="G5" s="36" t="n">
        <v>8.18</v>
      </c>
      <c r="H5" s="36" t="n">
        <v>9.93</v>
      </c>
    </row>
    <row r="6">
      <c r="A6" s="37" t="n">
        <v>5</v>
      </c>
      <c r="B6" s="39" t="inlineStr">
        <is>
          <t>Richard Thompson</t>
        </is>
      </c>
      <c r="C6" s="35" t="n">
        <v>0.119</v>
      </c>
      <c r="D6" s="35" t="n">
        <v>2.9</v>
      </c>
      <c r="E6" s="35" t="n">
        <v>4.71</v>
      </c>
      <c r="F6" s="36" t="n">
        <v>6.45</v>
      </c>
      <c r="G6" s="36" t="n">
        <v>8.17</v>
      </c>
      <c r="H6" s="36" t="n">
        <v>9.93</v>
      </c>
    </row>
    <row r="7">
      <c r="A7" s="37" t="n">
        <v>6</v>
      </c>
      <c r="B7" s="39" t="inlineStr">
        <is>
          <t>Dwain Chambers</t>
        </is>
      </c>
      <c r="C7" s="35" t="n">
        <v>0.123</v>
      </c>
      <c r="D7" s="35" t="n">
        <v>2.93</v>
      </c>
      <c r="E7" s="35" t="n">
        <v>4.75</v>
      </c>
      <c r="F7" s="36" t="n">
        <v>6.5</v>
      </c>
      <c r="G7" s="36" t="n">
        <v>8.220000000000001</v>
      </c>
      <c r="H7" s="36" t="n">
        <v>10</v>
      </c>
    </row>
    <row r="8">
      <c r="A8" s="37" t="n">
        <v>7</v>
      </c>
      <c r="B8" s="39" t="inlineStr">
        <is>
          <t>Marc Burns</t>
        </is>
      </c>
      <c r="C8" s="35" t="n">
        <v>0.165</v>
      </c>
      <c r="D8" s="35" t="n">
        <v>2.94</v>
      </c>
      <c r="E8" s="35" t="n">
        <v>4.76</v>
      </c>
      <c r="F8" s="36" t="n">
        <v>6.52</v>
      </c>
      <c r="G8" s="36" t="n">
        <v>8.24</v>
      </c>
      <c r="H8" s="36" t="n">
        <v>10</v>
      </c>
    </row>
    <row r="9">
      <c r="A9" s="37" t="n">
        <v>8</v>
      </c>
      <c r="B9" s="39" t="inlineStr">
        <is>
          <t>Darvis Patton</t>
        </is>
      </c>
      <c r="C9" s="35" t="n">
        <v>0.149</v>
      </c>
      <c r="D9" s="35" t="n">
        <v>2.96</v>
      </c>
      <c r="E9" s="35" t="n">
        <v>4.85</v>
      </c>
      <c r="F9" s="36" t="n">
        <v>6.65</v>
      </c>
      <c r="G9" s="36" t="n">
        <v>8.42</v>
      </c>
      <c r="H9" s="36" t="n">
        <v>10.34</v>
      </c>
    </row>
    <row r="12" ht="15.75" customHeight="1" thickBot="1">
      <c r="B12" t="inlineStr">
        <is>
          <t>Name</t>
        </is>
      </c>
      <c r="C12" s="29" t="inlineStr">
        <is>
          <t>0m</t>
        </is>
      </c>
      <c r="D12" t="inlineStr">
        <is>
          <t>20m</t>
        </is>
      </c>
      <c r="E12" t="inlineStr">
        <is>
          <t>40m</t>
        </is>
      </c>
      <c r="F12" t="inlineStr">
        <is>
          <t>60m</t>
        </is>
      </c>
      <c r="G12" t="inlineStr">
        <is>
          <t>80m</t>
        </is>
      </c>
      <c r="H12" t="inlineStr">
        <is>
          <t>100m</t>
        </is>
      </c>
    </row>
    <row r="13" ht="15.75" customHeight="1" thickBot="1">
      <c r="B13" t="inlineStr">
        <is>
          <t>Usain Bolt</t>
        </is>
      </c>
      <c r="C13" s="30" t="n">
        <v>0</v>
      </c>
      <c r="D13" s="23" t="n">
        <v>2.89</v>
      </c>
      <c r="E13" s="23" t="n">
        <v>4.64</v>
      </c>
      <c r="F13" s="24" t="n">
        <v>6.31</v>
      </c>
      <c r="G13" s="24" t="n">
        <v>7.92</v>
      </c>
      <c r="H13" s="24" t="n">
        <v>9.58</v>
      </c>
    </row>
    <row r="14" ht="15.75" customHeight="1" thickBot="1">
      <c r="B14" t="inlineStr">
        <is>
          <t>Tyson Gay</t>
        </is>
      </c>
      <c r="C14" s="31" t="n">
        <v>0</v>
      </c>
      <c r="D14" s="26" t="n">
        <v>2.92</v>
      </c>
      <c r="E14" s="26" t="n">
        <v>4.7</v>
      </c>
      <c r="F14" s="27" t="n">
        <v>6.39</v>
      </c>
      <c r="G14" s="27" t="n">
        <v>8.02</v>
      </c>
      <c r="H14" s="27" t="n">
        <v>9.710000000000001</v>
      </c>
    </row>
    <row r="15" ht="15.75" customHeight="1" thickBot="1">
      <c r="B15" t="inlineStr">
        <is>
          <t>Asafa Powell</t>
        </is>
      </c>
      <c r="C15" s="31" t="n">
        <v>0</v>
      </c>
      <c r="D15" s="25" t="n">
        <v>2.91</v>
      </c>
      <c r="E15" s="25" t="n">
        <v>4.71</v>
      </c>
      <c r="F15" s="27" t="n">
        <v>6.42</v>
      </c>
      <c r="G15" s="27" t="n">
        <v>8.1</v>
      </c>
      <c r="H15" s="27" t="n">
        <v>9.84</v>
      </c>
    </row>
    <row r="16" ht="15.75" customHeight="1" thickBot="1">
      <c r="B16" t="inlineStr">
        <is>
          <t>Daniel Bailey</t>
        </is>
      </c>
      <c r="C16" s="31" t="n">
        <v>0</v>
      </c>
      <c r="D16" s="25" t="n">
        <v>2.92</v>
      </c>
      <c r="E16" s="25" t="n">
        <v>4.73</v>
      </c>
      <c r="F16" s="27" t="n">
        <v>6.48</v>
      </c>
      <c r="G16" s="27" t="n">
        <v>8.18</v>
      </c>
      <c r="H16" s="27" t="n">
        <v>9.93</v>
      </c>
    </row>
    <row r="17" ht="15.75" customHeight="1" thickBot="1">
      <c r="B17" t="inlineStr">
        <is>
          <t>Richard Thompson</t>
        </is>
      </c>
      <c r="C17" s="31" t="n">
        <v>0</v>
      </c>
      <c r="D17" s="25" t="n">
        <v>2.9</v>
      </c>
      <c r="E17" s="25" t="n">
        <v>4.71</v>
      </c>
      <c r="F17" s="27" t="n">
        <v>6.45</v>
      </c>
      <c r="G17" s="27" t="n">
        <v>8.17</v>
      </c>
      <c r="H17" s="27" t="n">
        <v>9.93</v>
      </c>
    </row>
    <row r="18" ht="15.75" customHeight="1" thickBot="1">
      <c r="B18" t="inlineStr">
        <is>
          <t>Dwain Chambers</t>
        </is>
      </c>
      <c r="C18" s="32" t="n">
        <v>0</v>
      </c>
      <c r="D18" s="25" t="n">
        <v>2.93</v>
      </c>
      <c r="E18" s="25" t="n">
        <v>4.75</v>
      </c>
      <c r="F18" s="27" t="n">
        <v>6.5</v>
      </c>
      <c r="G18" s="27" t="n">
        <v>8.220000000000001</v>
      </c>
      <c r="H18" s="27" t="n">
        <v>10</v>
      </c>
    </row>
    <row r="19" ht="15.75" customHeight="1" thickBot="1">
      <c r="B19" t="inlineStr">
        <is>
          <t>Marc Burns</t>
        </is>
      </c>
      <c r="C19" s="31" t="n">
        <v>0</v>
      </c>
      <c r="D19" s="25" t="n">
        <v>2.94</v>
      </c>
      <c r="E19" s="25" t="n">
        <v>4.76</v>
      </c>
      <c r="F19" s="27" t="n">
        <v>6.52</v>
      </c>
      <c r="G19" s="27" t="n">
        <v>8.24</v>
      </c>
      <c r="H19" s="27" t="n">
        <v>10</v>
      </c>
    </row>
    <row r="20" ht="15.75" customHeight="1" thickBot="1">
      <c r="B20" t="inlineStr">
        <is>
          <t>Darvis Patton</t>
        </is>
      </c>
      <c r="C20" s="31" t="n">
        <v>0</v>
      </c>
      <c r="D20" s="25" t="n">
        <v>2.96</v>
      </c>
      <c r="E20" s="25" t="n">
        <v>4.85</v>
      </c>
      <c r="F20" s="27" t="n">
        <v>6.65</v>
      </c>
      <c r="G20" s="27" t="n">
        <v>8.42</v>
      </c>
      <c r="H20" s="27" t="n">
        <v>10.34</v>
      </c>
    </row>
    <row r="22">
      <c r="A22" s="44" t="inlineStr">
        <is>
          <t>Teilzeiten</t>
        </is>
      </c>
      <c r="B22" s="21" t="inlineStr">
        <is>
          <t>Name</t>
        </is>
      </c>
      <c r="C22" s="21" t="inlineStr">
        <is>
          <t>Tz1</t>
        </is>
      </c>
      <c r="D22" s="21" t="inlineStr">
        <is>
          <t>Tz2</t>
        </is>
      </c>
      <c r="E22" s="21" t="inlineStr">
        <is>
          <t>Tz3</t>
        </is>
      </c>
      <c r="F22" s="21" t="inlineStr">
        <is>
          <t>Tz4</t>
        </is>
      </c>
      <c r="G22" s="21" t="inlineStr">
        <is>
          <t>Tz5</t>
        </is>
      </c>
    </row>
    <row r="23">
      <c r="A23" s="50" t="n"/>
      <c r="B23" s="21">
        <f>B13</f>
        <v/>
      </c>
      <c r="C23" s="21">
        <f>D13-C13</f>
        <v/>
      </c>
      <c r="D23" s="21">
        <f>E13-D13</f>
        <v/>
      </c>
      <c r="E23" s="21">
        <f>F13-E13</f>
        <v/>
      </c>
      <c r="F23" s="21">
        <f>G13-F13</f>
        <v/>
      </c>
      <c r="G23" s="21">
        <f>H13-G13</f>
        <v/>
      </c>
    </row>
    <row r="24">
      <c r="A24" s="50" t="n"/>
      <c r="B24" s="21">
        <f>B14</f>
        <v/>
      </c>
      <c r="C24" s="21">
        <f>D14-C14</f>
        <v/>
      </c>
      <c r="D24" s="21">
        <f>E14-D14</f>
        <v/>
      </c>
      <c r="E24" s="21">
        <f>F14-E14</f>
        <v/>
      </c>
      <c r="F24" s="21">
        <f>G14-F14</f>
        <v/>
      </c>
      <c r="G24" s="21">
        <f>H14-G14</f>
        <v/>
      </c>
    </row>
    <row r="25">
      <c r="A25" s="50" t="n"/>
      <c r="B25" s="21">
        <f>B15</f>
        <v/>
      </c>
      <c r="C25" s="21">
        <f>D15-C15</f>
        <v/>
      </c>
      <c r="D25" s="21">
        <f>E15-D15</f>
        <v/>
      </c>
      <c r="E25" s="21">
        <f>F15-E15</f>
        <v/>
      </c>
      <c r="F25" s="21">
        <f>G15-F15</f>
        <v/>
      </c>
      <c r="G25" s="21">
        <f>H15-G15</f>
        <v/>
      </c>
    </row>
    <row r="26">
      <c r="A26" s="50" t="n"/>
      <c r="B26" s="21">
        <f>B16</f>
        <v/>
      </c>
      <c r="C26" s="21">
        <f>D16-C16</f>
        <v/>
      </c>
      <c r="D26" s="21">
        <f>E16-D16</f>
        <v/>
      </c>
      <c r="E26" s="21">
        <f>F16-E16</f>
        <v/>
      </c>
      <c r="F26" s="21">
        <f>G16-F16</f>
        <v/>
      </c>
      <c r="G26" s="21">
        <f>H16-G16</f>
        <v/>
      </c>
    </row>
    <row r="27">
      <c r="A27" s="50" t="n"/>
      <c r="B27" s="21">
        <f>B17</f>
        <v/>
      </c>
      <c r="C27" s="21">
        <f>D17-C17</f>
        <v/>
      </c>
      <c r="D27" s="21">
        <f>E17-D17</f>
        <v/>
      </c>
      <c r="E27" s="21">
        <f>F17-E17</f>
        <v/>
      </c>
      <c r="F27" s="21">
        <f>G17-F17</f>
        <v/>
      </c>
      <c r="G27" s="21">
        <f>H17-G17</f>
        <v/>
      </c>
    </row>
    <row r="28">
      <c r="A28" s="50" t="n"/>
      <c r="B28" s="21">
        <f>B18</f>
        <v/>
      </c>
      <c r="C28" s="21">
        <f>D18-C18</f>
        <v/>
      </c>
      <c r="D28" s="21">
        <f>E18-D18</f>
        <v/>
      </c>
      <c r="E28" s="21">
        <f>F18-E18</f>
        <v/>
      </c>
      <c r="F28" s="21">
        <f>G18-F18</f>
        <v/>
      </c>
      <c r="G28" s="21">
        <f>H18-G18</f>
        <v/>
      </c>
    </row>
    <row r="29">
      <c r="A29" s="50" t="n"/>
      <c r="B29" s="21">
        <f>B19</f>
        <v/>
      </c>
      <c r="C29" s="21">
        <f>D19-C19</f>
        <v/>
      </c>
      <c r="D29" s="21">
        <f>E19-D19</f>
        <v/>
      </c>
      <c r="E29" s="21">
        <f>F19-E19</f>
        <v/>
      </c>
      <c r="F29" s="21">
        <f>G19-F19</f>
        <v/>
      </c>
      <c r="G29" s="21">
        <f>H19-G19</f>
        <v/>
      </c>
    </row>
    <row r="30">
      <c r="A30" s="51" t="n"/>
      <c r="B30" s="21">
        <f>B20</f>
        <v/>
      </c>
      <c r="C30" s="21">
        <f>D20-C20</f>
        <v/>
      </c>
      <c r="D30" s="21">
        <f>E20-D20</f>
        <v/>
      </c>
      <c r="E30" s="21">
        <f>F20-E20</f>
        <v/>
      </c>
      <c r="F30" s="21">
        <f>G20-F20</f>
        <v/>
      </c>
      <c r="G30" s="21">
        <f>H20-G20</f>
        <v/>
      </c>
    </row>
    <row r="33" ht="15.75" customHeight="1" thickBot="1">
      <c r="A33" s="44" t="inlineStr">
        <is>
          <t>Teigeschwindigkeiten</t>
        </is>
      </c>
      <c r="B33" s="21" t="inlineStr">
        <is>
          <t>Name</t>
        </is>
      </c>
      <c r="C33" s="29" t="inlineStr">
        <is>
          <t>Tv0</t>
        </is>
      </c>
      <c r="D33" s="21" t="inlineStr">
        <is>
          <t>Tv1</t>
        </is>
      </c>
      <c r="E33" s="21" t="inlineStr">
        <is>
          <t>Tv2</t>
        </is>
      </c>
      <c r="F33" s="21" t="inlineStr">
        <is>
          <t>Tv3</t>
        </is>
      </c>
      <c r="G33" s="21" t="inlineStr">
        <is>
          <t>Tv4</t>
        </is>
      </c>
      <c r="H33" s="21" t="inlineStr">
        <is>
          <t>Tv5</t>
        </is>
      </c>
    </row>
    <row r="34" ht="15.75" customHeight="1" thickBot="1">
      <c r="A34" s="50" t="n"/>
      <c r="B34" s="21">
        <f>B23</f>
        <v/>
      </c>
      <c r="C34" s="30" t="n">
        <v>0</v>
      </c>
      <c r="D34" s="28">
        <f>20/C23</f>
        <v/>
      </c>
      <c r="E34" s="28">
        <f>20/D23</f>
        <v/>
      </c>
      <c r="F34" s="28">
        <f>20/E23</f>
        <v/>
      </c>
      <c r="G34" s="28">
        <f>20/F23</f>
        <v/>
      </c>
      <c r="H34" s="28">
        <f>20/G23</f>
        <v/>
      </c>
    </row>
    <row r="35" ht="15.75" customHeight="1" thickBot="1">
      <c r="A35" s="50" t="n"/>
      <c r="B35" s="21">
        <f>B24</f>
        <v/>
      </c>
      <c r="C35" s="31" t="n">
        <v>0</v>
      </c>
      <c r="D35" s="28">
        <f>20/C24</f>
        <v/>
      </c>
      <c r="E35" s="28">
        <f>20/D24</f>
        <v/>
      </c>
      <c r="F35" s="28">
        <f>20/E24</f>
        <v/>
      </c>
      <c r="G35" s="28">
        <f>20/F24</f>
        <v/>
      </c>
      <c r="H35" s="28">
        <f>20/G24</f>
        <v/>
      </c>
    </row>
    <row r="36" ht="15.75" customHeight="1" thickBot="1">
      <c r="A36" s="50" t="n"/>
      <c r="B36" s="21">
        <f>B25</f>
        <v/>
      </c>
      <c r="C36" s="31" t="n">
        <v>0</v>
      </c>
      <c r="D36" s="28">
        <f>20/C25</f>
        <v/>
      </c>
      <c r="E36" s="28">
        <f>20/D25</f>
        <v/>
      </c>
      <c r="F36" s="28">
        <f>20/E25</f>
        <v/>
      </c>
      <c r="G36" s="28">
        <f>20/F25</f>
        <v/>
      </c>
      <c r="H36" s="28">
        <f>20/G25</f>
        <v/>
      </c>
    </row>
    <row r="37" ht="15.75" customHeight="1" thickBot="1">
      <c r="A37" s="50" t="n"/>
      <c r="B37" s="21">
        <f>B26</f>
        <v/>
      </c>
      <c r="C37" s="31" t="n">
        <v>0</v>
      </c>
      <c r="D37" s="28">
        <f>20/C26</f>
        <v/>
      </c>
      <c r="E37" s="28">
        <f>20/D26</f>
        <v/>
      </c>
      <c r="F37" s="28">
        <f>20/E26</f>
        <v/>
      </c>
      <c r="G37" s="28">
        <f>20/F26</f>
        <v/>
      </c>
      <c r="H37" s="28">
        <f>20/G26</f>
        <v/>
      </c>
    </row>
    <row r="38" ht="15.75" customHeight="1" thickBot="1">
      <c r="A38" s="50" t="n"/>
      <c r="B38" s="21">
        <f>B27</f>
        <v/>
      </c>
      <c r="C38" s="31" t="n">
        <v>0</v>
      </c>
      <c r="D38" s="28">
        <f>20/C27</f>
        <v/>
      </c>
      <c r="E38" s="28">
        <f>20/D27</f>
        <v/>
      </c>
      <c r="F38" s="28">
        <f>20/E27</f>
        <v/>
      </c>
      <c r="G38" s="28">
        <f>20/F27</f>
        <v/>
      </c>
      <c r="H38" s="28">
        <f>20/G27</f>
        <v/>
      </c>
    </row>
    <row r="39" ht="15.75" customHeight="1" thickBot="1">
      <c r="A39" s="50" t="n"/>
      <c r="B39" s="21">
        <f>B28</f>
        <v/>
      </c>
      <c r="C39" s="32" t="n">
        <v>0</v>
      </c>
      <c r="D39" s="28">
        <f>20/C28</f>
        <v/>
      </c>
      <c r="E39" s="28">
        <f>20/D28</f>
        <v/>
      </c>
      <c r="F39" s="28">
        <f>20/E28</f>
        <v/>
      </c>
      <c r="G39" s="28">
        <f>20/F28</f>
        <v/>
      </c>
      <c r="H39" s="28">
        <f>20/G28</f>
        <v/>
      </c>
    </row>
    <row r="40" ht="15.75" customHeight="1" thickBot="1">
      <c r="A40" s="51" t="n"/>
      <c r="B40" s="21">
        <f>B29</f>
        <v/>
      </c>
      <c r="C40" s="31" t="n">
        <v>0</v>
      </c>
      <c r="D40" s="28">
        <f>20/C29</f>
        <v/>
      </c>
      <c r="E40" s="28">
        <f>20/D29</f>
        <v/>
      </c>
      <c r="F40" s="28">
        <f>20/E29</f>
        <v/>
      </c>
      <c r="G40" s="28">
        <f>20/F29</f>
        <v/>
      </c>
      <c r="H40" s="28">
        <f>20/G29</f>
        <v/>
      </c>
    </row>
    <row r="41" ht="15.75" customHeight="1" thickBot="1">
      <c r="B41" s="21">
        <f>B30</f>
        <v/>
      </c>
      <c r="C41" s="33" t="n"/>
      <c r="D41" s="28">
        <f>20/C30</f>
        <v/>
      </c>
      <c r="E41" s="28">
        <f>20/D30</f>
        <v/>
      </c>
      <c r="F41" s="28">
        <f>20/E30</f>
        <v/>
      </c>
      <c r="G41" s="28">
        <f>20/F30</f>
        <v/>
      </c>
      <c r="H41" s="28">
        <f>20/G30</f>
        <v/>
      </c>
    </row>
    <row r="42">
      <c r="A42" s="44" t="inlineStr">
        <is>
          <t>Teilbescleunigung</t>
        </is>
      </c>
      <c r="B42" s="21" t="inlineStr">
        <is>
          <t>Name</t>
        </is>
      </c>
      <c r="C42" s="21" t="inlineStr">
        <is>
          <t>Ta1</t>
        </is>
      </c>
      <c r="D42" s="21" t="inlineStr">
        <is>
          <t>Ta2</t>
        </is>
      </c>
      <c r="E42" s="21" t="inlineStr">
        <is>
          <t>Ta3</t>
        </is>
      </c>
      <c r="F42" s="21" t="inlineStr">
        <is>
          <t>Ta4</t>
        </is>
      </c>
      <c r="G42" s="21" t="inlineStr">
        <is>
          <t>Ta5</t>
        </is>
      </c>
    </row>
    <row r="43">
      <c r="A43" s="50" t="n"/>
      <c r="B43" s="21">
        <f>B34</f>
        <v/>
      </c>
      <c r="C43" s="28">
        <f>(D34-C34)/C23</f>
        <v/>
      </c>
      <c r="D43" s="28">
        <f>(E34-D34)/D23</f>
        <v/>
      </c>
      <c r="E43" s="28">
        <f>(F34-E34)/E23</f>
        <v/>
      </c>
      <c r="F43" s="28">
        <f>(G34-F34)/F23</f>
        <v/>
      </c>
      <c r="G43" s="28">
        <f>(H34-G34)/G23</f>
        <v/>
      </c>
    </row>
    <row r="44">
      <c r="A44" s="50" t="n"/>
      <c r="B44" s="21">
        <f>B35</f>
        <v/>
      </c>
      <c r="C44" s="28">
        <f>(D35-C35)/C24</f>
        <v/>
      </c>
      <c r="D44" s="28">
        <f>(E35-D35)/D24</f>
        <v/>
      </c>
      <c r="E44" s="28">
        <f>(F35-E35)/E24</f>
        <v/>
      </c>
      <c r="F44" s="28">
        <f>(G35-F35)/F24</f>
        <v/>
      </c>
      <c r="G44" s="28">
        <f>(H35-G35)/G24</f>
        <v/>
      </c>
    </row>
    <row r="45">
      <c r="A45" s="50" t="n"/>
      <c r="B45" s="21">
        <f>B36</f>
        <v/>
      </c>
      <c r="C45" s="28">
        <f>(D36-C36)/C25</f>
        <v/>
      </c>
      <c r="D45" s="28">
        <f>(E36-D36)/D25</f>
        <v/>
      </c>
      <c r="E45" s="28">
        <f>(F36-E36)/E25</f>
        <v/>
      </c>
      <c r="F45" s="28">
        <f>(G36-F36)/F25</f>
        <v/>
      </c>
      <c r="G45" s="28">
        <f>(H36-G36)/G25</f>
        <v/>
      </c>
    </row>
    <row r="46">
      <c r="A46" s="50" t="n"/>
      <c r="B46" s="21">
        <f>B37</f>
        <v/>
      </c>
      <c r="C46" s="28">
        <f>(D37-C37)/C26</f>
        <v/>
      </c>
      <c r="D46" s="28">
        <f>(E37-D37)/D26</f>
        <v/>
      </c>
      <c r="E46" s="28">
        <f>(F37-E37)/E26</f>
        <v/>
      </c>
      <c r="F46" s="28">
        <f>(G37-F37)/F26</f>
        <v/>
      </c>
      <c r="G46" s="28">
        <f>(H37-G37)/G26</f>
        <v/>
      </c>
    </row>
    <row r="47">
      <c r="A47" s="50" t="n"/>
      <c r="B47" s="21">
        <f>B38</f>
        <v/>
      </c>
      <c r="C47" s="28">
        <f>(D38-C38)/C27</f>
        <v/>
      </c>
      <c r="D47" s="28">
        <f>(E38-D38)/D27</f>
        <v/>
      </c>
      <c r="E47" s="28">
        <f>(F38-E38)/E27</f>
        <v/>
      </c>
      <c r="F47" s="28">
        <f>(G38-F38)/F27</f>
        <v/>
      </c>
      <c r="G47" s="28">
        <f>(H38-G38)/G27</f>
        <v/>
      </c>
    </row>
    <row r="48">
      <c r="A48" s="50" t="n"/>
      <c r="B48" s="21">
        <f>B39</f>
        <v/>
      </c>
      <c r="C48" s="28">
        <f>(D39-C39)/C28</f>
        <v/>
      </c>
      <c r="D48" s="28">
        <f>(E39-D39)/D28</f>
        <v/>
      </c>
      <c r="E48" s="28">
        <f>(F39-E39)/E28</f>
        <v/>
      </c>
      <c r="F48" s="28">
        <f>(G39-F39)/F28</f>
        <v/>
      </c>
      <c r="G48" s="28">
        <f>(H39-G39)/G28</f>
        <v/>
      </c>
    </row>
    <row r="49">
      <c r="A49" s="51" t="n"/>
      <c r="B49" s="21">
        <f>B40</f>
        <v/>
      </c>
      <c r="C49" s="28">
        <f>(D40-C40)/C29</f>
        <v/>
      </c>
      <c r="D49" s="28">
        <f>(E40-D40)/D29</f>
        <v/>
      </c>
      <c r="E49" s="28">
        <f>(F40-E40)/E29</f>
        <v/>
      </c>
      <c r="F49" s="28">
        <f>(G40-F40)/F29</f>
        <v/>
      </c>
      <c r="G49" s="28">
        <f>(H40-G40)/G29</f>
        <v/>
      </c>
    </row>
    <row r="50">
      <c r="B50" s="21">
        <f>B41</f>
        <v/>
      </c>
      <c r="C50" s="28">
        <f>(D41-C41)/C30</f>
        <v/>
      </c>
      <c r="D50" s="28">
        <f>(E41-D41)/D30</f>
        <v/>
      </c>
      <c r="E50" s="28">
        <f>(F41-E41)/E30</f>
        <v/>
      </c>
      <c r="F50" s="28">
        <f>(G41-F41)/F30</f>
        <v/>
      </c>
      <c r="G50" s="28">
        <f>(H41-G41)/G30</f>
        <v/>
      </c>
    </row>
  </sheetData>
  <mergeCells count="3">
    <mergeCell ref="A42:A49"/>
    <mergeCell ref="A22:A30"/>
    <mergeCell ref="A33:A40"/>
  </mergeCells>
  <pageMargins left="0.7" right="0.7" top="0.787401575" bottom="0.787401575" header="0.3" footer="0.3"/>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L32"/>
  <sheetViews>
    <sheetView workbookViewId="0">
      <selection activeCell="A1" sqref="A1"/>
    </sheetView>
  </sheetViews>
  <sheetFormatPr baseColWidth="8" defaultRowHeight="15"/>
  <cols>
    <col width="16" customWidth="1" min="1" max="1"/>
    <col width="24" customWidth="1" min="2" max="2"/>
    <col width="8" customWidth="1" min="3" max="3"/>
    <col width="8" customWidth="1" min="4" max="4"/>
    <col width="8" customWidth="1" min="5" max="5"/>
    <col width="8" customWidth="1" min="6" max="6"/>
    <col width="8" customWidth="1" min="7" max="7"/>
    <col width="8" customWidth="1" min="8" max="8"/>
    <col width="8" customWidth="1" min="9" max="9"/>
    <col width="8" customWidth="1" min="10" max="10"/>
    <col width="8" customWidth="1" min="11" max="11"/>
    <col width="8" customWidth="1" min="12" max="12"/>
  </cols>
  <sheetData>
    <row r="1">
      <c r="A1" s="52" t="inlineStr">
        <is>
          <t>Schrittfrequenz und Schrittlänge – 100-m-Finale der Männer, WM 1991 Tokio</t>
        </is>
      </c>
    </row>
    <row r="2">
      <c r="A2" s="53" t="inlineStr">
        <is>
          <t>Quelle: Ae, M., Ito, A., &amp; Suzuki, M. (1992). The men's 100 metres. New Studies in Athletics, 7(1), 47–52, Tabelle 3 auf S. 51.</t>
        </is>
      </c>
    </row>
    <row r="3">
      <c r="A3" s="53" t="inlineStr">
        <is>
          <t>Aufgenommen sind die ersten vier Läufer. Für diese wurden alle Werte gegen die Durchschnittsgeschwindigkeiten der Quelle gegengerechnet (v = Frequenz × Länge); die Abweichung liegt in allen 40 Zellen unter 0,4 %.</t>
        </is>
      </c>
    </row>
    <row r="4">
      <c r="A4" s="53" t="inlineStr">
        <is>
          <t>Die übrigen vier Finalisten stehen in der Quelle; sie wurden hier nicht übernommen, weil einzelne Werte in der vorliegenden Scanvorlage nicht sicher lesbar waren.</t>
        </is>
      </c>
    </row>
    <row r="6">
      <c r="A6" s="54" t="inlineStr">
        <is>
          <t>Läufer</t>
        </is>
      </c>
      <c r="B6" s="54" t="inlineStr">
        <is>
          <t>Größe</t>
        </is>
      </c>
      <c r="C6" s="54" t="inlineStr">
        <is>
          <t>10 m</t>
        </is>
      </c>
      <c r="D6" s="54" t="inlineStr">
        <is>
          <t>20 m</t>
        </is>
      </c>
      <c r="E6" s="54" t="inlineStr">
        <is>
          <t>30 m</t>
        </is>
      </c>
      <c r="F6" s="54" t="inlineStr">
        <is>
          <t>40 m</t>
        </is>
      </c>
      <c r="G6" s="54" t="inlineStr">
        <is>
          <t>50 m</t>
        </is>
      </c>
      <c r="H6" s="54" t="inlineStr">
        <is>
          <t>60 m</t>
        </is>
      </c>
      <c r="I6" s="54" t="inlineStr">
        <is>
          <t>70 m</t>
        </is>
      </c>
      <c r="J6" s="54" t="inlineStr">
        <is>
          <t>80 m</t>
        </is>
      </c>
      <c r="K6" s="54" t="inlineStr">
        <is>
          <t>90 m</t>
        </is>
      </c>
      <c r="L6" s="54" t="inlineStr">
        <is>
          <t>100 m</t>
        </is>
      </c>
    </row>
    <row r="7">
      <c r="A7" s="55" t="inlineStr">
        <is>
          <t>Carl Lewis (1.)</t>
        </is>
      </c>
      <c r="B7" t="inlineStr">
        <is>
          <t>Schrittfrequenz [1/s]</t>
        </is>
      </c>
      <c r="C7" s="56" t="n">
        <v>3.83</v>
      </c>
      <c r="D7" s="56" t="n">
        <v>4.81</v>
      </c>
      <c r="E7" s="56" t="n">
        <v>4.45</v>
      </c>
      <c r="F7" s="56" t="n">
        <v>4.41</v>
      </c>
      <c r="G7" s="56" t="n">
        <v>4.66</v>
      </c>
      <c r="H7" s="56" t="n">
        <v>4.86</v>
      </c>
      <c r="I7" s="56" t="n">
        <v>4.76</v>
      </c>
      <c r="J7" s="56" t="n">
        <v>4.45</v>
      </c>
      <c r="K7" s="56" t="n">
        <v>4.34</v>
      </c>
      <c r="L7" s="56" t="n">
        <v>4.53</v>
      </c>
    </row>
    <row r="8">
      <c r="B8" t="inlineStr">
        <is>
          <t>Schrittlänge [m]</t>
        </is>
      </c>
      <c r="C8" s="56" t="n">
        <v>1.39</v>
      </c>
      <c r="D8" s="56" t="n">
        <v>1.92</v>
      </c>
      <c r="E8" s="56" t="n">
        <v>2.44</v>
      </c>
      <c r="F8" s="56" t="n">
        <v>2.55</v>
      </c>
      <c r="G8" s="56" t="n">
        <v>2.56</v>
      </c>
      <c r="H8" s="56" t="n">
        <v>2.42</v>
      </c>
      <c r="I8" s="56" t="n">
        <v>2.5</v>
      </c>
      <c r="J8" s="56" t="n">
        <v>2.71</v>
      </c>
      <c r="K8" s="56" t="n">
        <v>2.65</v>
      </c>
      <c r="L8" s="56" t="n">
        <v>2.57</v>
      </c>
    </row>
    <row r="9">
      <c r="B9" t="inlineStr">
        <is>
          <t>v laut Quelle [m/s]</t>
        </is>
      </c>
      <c r="C9" s="56" t="n">
        <v>5.31</v>
      </c>
      <c r="D9" s="56" t="n">
        <v>9.26</v>
      </c>
      <c r="E9" s="56" t="n">
        <v>10.87</v>
      </c>
      <c r="F9" s="56" t="n">
        <v>11.24</v>
      </c>
      <c r="G9" s="56" t="n">
        <v>11.9</v>
      </c>
      <c r="H9" s="56" t="n">
        <v>11.76</v>
      </c>
      <c r="I9" s="56" t="n">
        <v>11.9</v>
      </c>
      <c r="J9" s="56" t="n">
        <v>12.05</v>
      </c>
      <c r="K9" s="56" t="n">
        <v>11.49</v>
      </c>
      <c r="L9" s="56" t="n">
        <v>11.63</v>
      </c>
    </row>
    <row r="10">
      <c r="B10" t="inlineStr">
        <is>
          <t>Kontrolle Frequenz × Länge</t>
        </is>
      </c>
      <c r="C10" s="57">
        <f>C7*C8</f>
        <v/>
      </c>
      <c r="D10" s="57">
        <f>D7*D8</f>
        <v/>
      </c>
      <c r="E10" s="57">
        <f>E7*E8</f>
        <v/>
      </c>
      <c r="F10" s="57">
        <f>F7*F8</f>
        <v/>
      </c>
      <c r="G10" s="57">
        <f>G7*G8</f>
        <v/>
      </c>
      <c r="H10" s="57">
        <f>H7*H8</f>
        <v/>
      </c>
      <c r="I10" s="57">
        <f>I7*I8</f>
        <v/>
      </c>
      <c r="J10" s="57">
        <f>J7*J8</f>
        <v/>
      </c>
      <c r="K10" s="57">
        <f>K7*K8</f>
        <v/>
      </c>
      <c r="L10" s="57">
        <f>L7*L8</f>
        <v/>
      </c>
    </row>
    <row r="12">
      <c r="A12" s="55" t="inlineStr">
        <is>
          <t>Leroy Burrell (2.)</t>
        </is>
      </c>
      <c r="B12" t="inlineStr">
        <is>
          <t>Schrittfrequenz [1/s]</t>
        </is>
      </c>
      <c r="C12" s="56" t="n">
        <v>3.59</v>
      </c>
      <c r="D12" s="56" t="n">
        <v>4.81</v>
      </c>
      <c r="E12" s="56" t="n">
        <v>4.61</v>
      </c>
      <c r="F12" s="56" t="n">
        <v>4.43</v>
      </c>
      <c r="G12" s="56" t="n">
        <v>4.41</v>
      </c>
      <c r="H12" s="56" t="n">
        <v>4.5</v>
      </c>
      <c r="I12" s="56" t="n">
        <v>4.57</v>
      </c>
      <c r="J12" s="56" t="n">
        <v>4.5</v>
      </c>
      <c r="K12" s="56" t="n">
        <v>4.34</v>
      </c>
      <c r="L12" s="56" t="n">
        <v>4.23</v>
      </c>
    </row>
    <row r="13">
      <c r="B13" t="inlineStr">
        <is>
          <t>Schrittlänge [m]</t>
        </is>
      </c>
      <c r="C13" s="56" t="n">
        <v>1.52</v>
      </c>
      <c r="D13" s="56" t="n">
        <v>1.96</v>
      </c>
      <c r="E13" s="56" t="n">
        <v>2.38</v>
      </c>
      <c r="F13" s="56" t="n">
        <v>2.57</v>
      </c>
      <c r="G13" s="56" t="n">
        <v>2.61</v>
      </c>
      <c r="H13" s="56" t="n">
        <v>2.58</v>
      </c>
      <c r="I13" s="56" t="n">
        <v>2.52</v>
      </c>
      <c r="J13" s="56" t="n">
        <v>2.64</v>
      </c>
      <c r="K13" s="56" t="n">
        <v>2.59</v>
      </c>
      <c r="L13" s="56" t="n">
        <v>2.71</v>
      </c>
    </row>
    <row r="14">
      <c r="B14" t="inlineStr">
        <is>
          <t>v laut Quelle [m/s]</t>
        </is>
      </c>
      <c r="C14" s="56" t="n">
        <v>5.46</v>
      </c>
      <c r="D14" s="56" t="n">
        <v>9.43</v>
      </c>
      <c r="E14" s="56" t="n">
        <v>10.99</v>
      </c>
      <c r="F14" s="56" t="n">
        <v>11.36</v>
      </c>
      <c r="G14" s="56" t="n">
        <v>11.49</v>
      </c>
      <c r="H14" s="56" t="n">
        <v>11.63</v>
      </c>
      <c r="I14" s="56" t="n">
        <v>11.49</v>
      </c>
      <c r="J14" s="56" t="n">
        <v>11.9</v>
      </c>
      <c r="K14" s="56" t="n">
        <v>11.24</v>
      </c>
      <c r="L14" s="56" t="n">
        <v>11.49</v>
      </c>
    </row>
    <row r="15">
      <c r="B15" t="inlineStr">
        <is>
          <t>Kontrolle Frequenz × Länge</t>
        </is>
      </c>
      <c r="C15" s="57">
        <f>C12*C13</f>
        <v/>
      </c>
      <c r="D15" s="57">
        <f>D12*D13</f>
        <v/>
      </c>
      <c r="E15" s="57">
        <f>E12*E13</f>
        <v/>
      </c>
      <c r="F15" s="57">
        <f>F12*F13</f>
        <v/>
      </c>
      <c r="G15" s="57">
        <f>G12*G13</f>
        <v/>
      </c>
      <c r="H15" s="57">
        <f>H12*H13</f>
        <v/>
      </c>
      <c r="I15" s="57">
        <f>I12*I13</f>
        <v/>
      </c>
      <c r="J15" s="57">
        <f>J12*J13</f>
        <v/>
      </c>
      <c r="K15" s="57">
        <f>K12*K13</f>
        <v/>
      </c>
      <c r="L15" s="57">
        <f>L12*L13</f>
        <v/>
      </c>
    </row>
    <row r="17">
      <c r="A17" s="55" t="inlineStr">
        <is>
          <t>Dennis Mitchell (3.)</t>
        </is>
      </c>
      <c r="B17" t="inlineStr">
        <is>
          <t>Schrittfrequenz [1/s]</t>
        </is>
      </c>
      <c r="C17" s="56" t="n">
        <v>4.28</v>
      </c>
      <c r="D17" s="56" t="n">
        <v>4.96</v>
      </c>
      <c r="E17" s="56" t="n">
        <v>4.61</v>
      </c>
      <c r="F17" s="56" t="n">
        <v>4.7</v>
      </c>
      <c r="G17" s="56" t="n">
        <v>4.92</v>
      </c>
      <c r="H17" s="56" t="n">
        <v>4.94</v>
      </c>
      <c r="I17" s="56" t="n">
        <v>4.74</v>
      </c>
      <c r="J17" s="56" t="n">
        <v>4.6</v>
      </c>
      <c r="K17" s="56" t="n">
        <v>4.67</v>
      </c>
      <c r="L17" s="56" t="n">
        <v>4.61</v>
      </c>
    </row>
    <row r="18">
      <c r="B18" t="inlineStr">
        <is>
          <t>Schrittlänge [m]</t>
        </is>
      </c>
      <c r="C18" s="56" t="n">
        <v>1.3</v>
      </c>
      <c r="D18" s="56" t="n">
        <v>1.88</v>
      </c>
      <c r="E18" s="56" t="n">
        <v>2.33</v>
      </c>
      <c r="F18" s="56" t="n">
        <v>2.42</v>
      </c>
      <c r="G18" s="56" t="n">
        <v>2.34</v>
      </c>
      <c r="H18" s="56" t="n">
        <v>2.33</v>
      </c>
      <c r="I18" s="56" t="n">
        <v>2.46</v>
      </c>
      <c r="J18" s="56" t="n">
        <v>2.53</v>
      </c>
      <c r="K18" s="56" t="n">
        <v>2.43</v>
      </c>
      <c r="L18" s="56" t="n">
        <v>2.44</v>
      </c>
    </row>
    <row r="19">
      <c r="B19" t="inlineStr">
        <is>
          <t>v laut Quelle [m/s]</t>
        </is>
      </c>
      <c r="C19" s="56" t="n">
        <v>5.56</v>
      </c>
      <c r="D19" s="56" t="n">
        <v>9.35</v>
      </c>
      <c r="E19" s="56" t="n">
        <v>10.75</v>
      </c>
      <c r="F19" s="56" t="n">
        <v>11.36</v>
      </c>
      <c r="G19" s="56" t="n">
        <v>11.49</v>
      </c>
      <c r="H19" s="56" t="n">
        <v>11.49</v>
      </c>
      <c r="I19" s="56" t="n">
        <v>11.63</v>
      </c>
      <c r="J19" s="56" t="n">
        <v>11.63</v>
      </c>
      <c r="K19" s="56" t="n">
        <v>11.36</v>
      </c>
      <c r="L19" s="56" t="n">
        <v>11.24</v>
      </c>
    </row>
    <row r="20">
      <c r="B20" t="inlineStr">
        <is>
          <t>Kontrolle Frequenz × Länge</t>
        </is>
      </c>
      <c r="C20" s="57">
        <f>C17*C18</f>
        <v/>
      </c>
      <c r="D20" s="57">
        <f>D17*D18</f>
        <v/>
      </c>
      <c r="E20" s="57">
        <f>E17*E18</f>
        <v/>
      </c>
      <c r="F20" s="57">
        <f>F17*F18</f>
        <v/>
      </c>
      <c r="G20" s="57">
        <f>G17*G18</f>
        <v/>
      </c>
      <c r="H20" s="57">
        <f>H17*H18</f>
        <v/>
      </c>
      <c r="I20" s="57">
        <f>I17*I18</f>
        <v/>
      </c>
      <c r="J20" s="57">
        <f>J17*J18</f>
        <v/>
      </c>
      <c r="K20" s="57">
        <f>K17*K18</f>
        <v/>
      </c>
      <c r="L20" s="57">
        <f>L17*L18</f>
        <v/>
      </c>
    </row>
    <row r="22">
      <c r="A22" s="55" t="inlineStr">
        <is>
          <t>Linford Christie (4.)</t>
        </is>
      </c>
      <c r="B22" t="inlineStr">
        <is>
          <t>Schrittfrequenz [1/s]</t>
        </is>
      </c>
      <c r="C22" s="56" t="n">
        <v>3.89</v>
      </c>
      <c r="D22" s="56" t="n">
        <v>4.95</v>
      </c>
      <c r="E22" s="56" t="n">
        <v>4.65</v>
      </c>
      <c r="F22" s="56" t="n">
        <v>4.48</v>
      </c>
      <c r="G22" s="56" t="n">
        <v>4.54</v>
      </c>
      <c r="H22" s="56" t="n">
        <v>4.72</v>
      </c>
      <c r="I22" s="56" t="n">
        <v>4.84</v>
      </c>
      <c r="J22" s="56" t="n">
        <v>4.75</v>
      </c>
      <c r="K22" s="56" t="n">
        <v>4.44</v>
      </c>
      <c r="L22" s="56" t="n">
        <v>4.2</v>
      </c>
    </row>
    <row r="23">
      <c r="B23" t="inlineStr">
        <is>
          <t>Schrittlänge [m]</t>
        </is>
      </c>
      <c r="C23" s="56" t="n">
        <v>1.39</v>
      </c>
      <c r="D23" s="56" t="n">
        <v>1.91</v>
      </c>
      <c r="E23" s="56" t="n">
        <v>2.34</v>
      </c>
      <c r="F23" s="56" t="n">
        <v>2.51</v>
      </c>
      <c r="G23" s="56" t="n">
        <v>2.59</v>
      </c>
      <c r="H23" s="56" t="n">
        <v>2.46</v>
      </c>
      <c r="I23" s="56" t="n">
        <v>2.4</v>
      </c>
      <c r="J23" s="56" t="n">
        <v>2.48</v>
      </c>
      <c r="K23" s="56" t="n">
        <v>2.5</v>
      </c>
      <c r="L23" s="56" t="n">
        <v>2.71</v>
      </c>
    </row>
    <row r="24">
      <c r="B24" t="inlineStr">
        <is>
          <t>v laut Quelle [m/s]</t>
        </is>
      </c>
      <c r="C24" s="56" t="n">
        <v>5.41</v>
      </c>
      <c r="D24" s="56" t="n">
        <v>9.43</v>
      </c>
      <c r="E24" s="56" t="n">
        <v>10.87</v>
      </c>
      <c r="F24" s="56" t="n">
        <v>11.24</v>
      </c>
      <c r="G24" s="56" t="n">
        <v>11.76</v>
      </c>
      <c r="H24" s="56" t="n">
        <v>11.63</v>
      </c>
      <c r="I24" s="56" t="n">
        <v>11.63</v>
      </c>
      <c r="J24" s="56" t="n">
        <v>11.76</v>
      </c>
      <c r="K24" s="56" t="n">
        <v>11.11</v>
      </c>
      <c r="L24" s="56" t="n">
        <v>11.36</v>
      </c>
    </row>
    <row r="25">
      <c r="B25" t="inlineStr">
        <is>
          <t>Kontrolle Frequenz × Länge</t>
        </is>
      </c>
      <c r="C25" s="57">
        <f>C22*C23</f>
        <v/>
      </c>
      <c r="D25" s="57">
        <f>D22*D23</f>
        <v/>
      </c>
      <c r="E25" s="57">
        <f>E22*E23</f>
        <v/>
      </c>
      <c r="F25" s="57">
        <f>F22*F23</f>
        <v/>
      </c>
      <c r="G25" s="57">
        <f>G22*G23</f>
        <v/>
      </c>
      <c r="H25" s="57">
        <f>H22*H23</f>
        <v/>
      </c>
      <c r="I25" s="57">
        <f>I22*I23</f>
        <v/>
      </c>
      <c r="J25" s="57">
        <f>J22*J23</f>
        <v/>
      </c>
      <c r="K25" s="57">
        <f>K22*K23</f>
        <v/>
      </c>
      <c r="L25" s="57">
        <f>L22*L23</f>
        <v/>
      </c>
    </row>
    <row r="28">
      <c r="A28" s="55" t="inlineStr">
        <is>
          <t>Lesehilfe</t>
        </is>
      </c>
    </row>
    <row r="29">
      <c r="A29" s="46" t="inlineStr">
        <is>
          <t>•  Es gilt v = Schrittfrequenz × Schrittlänge. Die grüne Kontrollzeile rechnet das nach und muss die Zeile „v laut Quelle“ treffen.</t>
        </is>
      </c>
    </row>
    <row r="30">
      <c r="A30" s="46" t="inlineStr">
        <is>
          <t>•  Lewis und Burrell laufen nahezu gleich schnell, aber mit unterschiedlicher Strategie: Lewis hat im Mittel die höhere Schrittfrequenz, Burrell die größere Schrittlänge. Die Quelle hebt genau das hervor.</t>
        </is>
      </c>
    </row>
    <row r="31">
      <c r="A31" s="46" t="inlineStr">
        <is>
          <t>•  Mitchell hat durchgehend die höchste Schrittfrequenz und zugleich die kürzeste Schrittlänge – er kompensiert die Länge über die Frequenz und bleibt trotzdem langsamer.</t>
        </is>
      </c>
    </row>
    <row r="32">
      <c r="A32" s="46" t="inlineStr">
        <is>
          <t>•  In den ersten 10 m ist die Schrittlänge bei allen deutlich kleiner und die Frequenz niedriger als später. Beides wächst über die Beschleunigungsphase.</t>
        </is>
      </c>
    </row>
  </sheetData>
  <mergeCells count="4">
    <mergeCell ref="A30:L30"/>
    <mergeCell ref="A29:L29"/>
    <mergeCell ref="A32:L32"/>
    <mergeCell ref="A31:L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Tommy</dc:creator>
  <dcterms:created xmlns:dcterms="http://purl.org/dc/terms/" xmlns:xsi="http://www.w3.org/2001/XMLSchema-instance" xsi:type="dcterms:W3CDTF">2015-11-23T07:38:39Z</dcterms:created>
  <dcterms:modified xmlns:dcterms="http://purl.org/dc/terms/" xmlns:xsi="http://www.w3.org/2001/XMLSchema-instance" xsi:type="dcterms:W3CDTF">2026-08-29T08:36:16Z</dcterms:modified>
  <cp:lastModifiedBy>Thomas Ertelt</cp:lastModifiedBy>
</cp:coreProperties>
</file>