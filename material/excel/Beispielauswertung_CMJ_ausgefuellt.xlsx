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Anleitung" sheetId="1" state="visible" r:id="rId1"/>
    <sheet xmlns:r="http://schemas.openxmlformats.org/officeDocument/2006/relationships" name="01_Rohdaten" sheetId="2" state="visible" r:id="rId2"/>
    <sheet xmlns:r="http://schemas.openxmlformats.org/officeDocument/2006/relationships" name="02_Eingaben" sheetId="3" state="visible" r:id="rId3"/>
    <sheet xmlns:r="http://schemas.openxmlformats.org/officeDocument/2006/relationships" name="03_Auswertung" sheetId="4" state="visible" r:id="rId4"/>
    <sheet xmlns:r="http://schemas.openxmlformats.org/officeDocument/2006/relationships" name="04_Ergebnis" sheetId="5" state="visible" r:id="rId5"/>
    <sheet xmlns:r="http://schemas.openxmlformats.org/officeDocument/2006/relationships" name="05_Diagramme" sheetId="6" state="visible" r:id="rId6"/>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
  </numFmts>
  <fonts count="6">
    <font>
      <name val="Calibri"/>
      <family val="2"/>
      <color theme="1"/>
      <sz val="11"/>
      <scheme val="minor"/>
    </font>
    <font>
      <b val="1"/>
      <color rgb="001F3864"/>
      <sz val="14"/>
    </font>
    <font>
      <i val="1"/>
      <color rgb="00595959"/>
      <sz val="9"/>
    </font>
    <font>
      <b val="1"/>
    </font>
    <font>
      <b val="1"/>
      <color rgb="00FFFFFF"/>
    </font>
    <font/>
  </fonts>
  <fills count="6">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
      <patternFill patternType="solid">
        <fgColor rgb="00DEEAF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indent="1"/>
    </xf>
    <xf numFmtId="0" fontId="4" fillId="2" borderId="0" applyAlignment="1" pivotButton="0" quotePrefix="0" xfId="0">
      <alignment horizontal="center"/>
    </xf>
    <xf numFmtId="0" fontId="2" fillId="0" borderId="0" pivotButton="0" quotePrefix="0" xfId="0"/>
    <xf numFmtId="0" fontId="1" fillId="0" borderId="0" pivotButton="0" quotePrefix="0" xfId="0"/>
    <xf numFmtId="0" fontId="3" fillId="0" borderId="0" pivotButton="0" quotePrefix="0" xfId="0"/>
    <xf numFmtId="0" fontId="0" fillId="3" borderId="1" applyAlignment="1" pivotButton="0" quotePrefix="0" xfId="0">
      <alignment horizontal="center"/>
    </xf>
    <xf numFmtId="0" fontId="2" fillId="0" borderId="0" applyAlignment="1" pivotButton="0" quotePrefix="0" xfId="0">
      <alignment vertical="center" wrapText="1"/>
    </xf>
    <xf numFmtId="0" fontId="5" fillId="0" borderId="0" pivotButton="0" quotePrefix="0" xfId="0"/>
    <xf numFmtId="0" fontId="0" fillId="4" borderId="1" applyAlignment="1" pivotButton="0" quotePrefix="0" xfId="0">
      <alignment horizontal="center"/>
    </xf>
    <xf numFmtId="164" fontId="0" fillId="4" borderId="1" applyAlignment="1" pivotButton="0" quotePrefix="0" xfId="0">
      <alignment horizontal="center"/>
    </xf>
    <xf numFmtId="165" fontId="0" fillId="4" borderId="1" applyAlignment="1" pivotButton="0" quotePrefix="0" xfId="0">
      <alignment horizontal="center"/>
    </xf>
    <xf numFmtId="1" fontId="0" fillId="4" borderId="1" applyAlignment="1" pivotButton="0" quotePrefix="0" xfId="0">
      <alignment horizontal="center"/>
    </xf>
    <xf numFmtId="0" fontId="4" fillId="2" borderId="0" applyAlignment="1" pivotButton="0" quotePrefix="0" xfId="0">
      <alignment horizontal="center" wrapText="1"/>
    </xf>
    <xf numFmtId="165" fontId="0" fillId="0" borderId="0" pivotButton="0" quotePrefix="0" xfId="0"/>
    <xf numFmtId="165" fontId="0" fillId="5" borderId="1" applyAlignment="1" pivotButton="0" quotePrefix="0" xfId="0">
      <alignment horizontal="center"/>
    </xf>
    <xf numFmtId="164" fontId="0" fillId="5" borderId="1" applyAlignment="1" pivotButton="0" quotePrefix="0" xfId="0">
      <alignment horizontal="center"/>
    </xf>
    <xf numFmtId="166" fontId="0" fillId="5" borderId="1" applyAlignment="1" pivotButton="0" quotePrefix="0" xfId="0">
      <alignment horizontal="center"/>
    </xf>
    <xf numFmtId="0" fontId="0" fillId="5" borderId="1" pivotButton="0" quotePrefix="0" xfId="0"/>
    <xf numFmtId="0" fontId="0" fillId="4" borderId="1" pivotButton="0" quotePrefix="0" xfId="0"/>
    <xf numFmtId="0" fontId="0" fillId="3" borderId="1" pivotButton="0" quotePrefix="0" xfId="0"/>
    <xf numFmtId="164" fontId="0" fillId="4" borderId="1" applyAlignment="1" pivotButton="0" quotePrefix="0" xfId="0">
      <alignment horizontal="center"/>
    </xf>
    <xf numFmtId="165" fontId="0" fillId="4" borderId="1" applyAlignment="1" pivotButton="0" quotePrefix="0" xfId="0">
      <alignment horizontal="center"/>
    </xf>
    <xf numFmtId="165" fontId="0" fillId="0" borderId="0" pivotButton="0" quotePrefix="0" xfId="0"/>
    <xf numFmtId="165" fontId="0" fillId="5" borderId="1" applyAlignment="1" pivotButton="0" quotePrefix="0" xfId="0">
      <alignment horizontal="center"/>
    </xf>
    <xf numFmtId="164" fontId="0" fillId="5"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Kraft-Zeit-Verlauf (geglaettet) und Nettokraft</a:t>
            </a:r>
          </a:p>
        </rich>
      </tx>
    </title>
    <plotArea>
      <lineChart>
        <grouping val="standard"/>
        <ser>
          <idx val="0"/>
          <order val="0"/>
          <tx>
            <strRef>
              <f>'03_Auswertung'!F1</f>
            </strRef>
          </tx>
          <spPr>
            <a:ln xmlns:a="http://schemas.openxmlformats.org/drawingml/2006/main">
              <a:prstDash val="solid"/>
            </a:ln>
          </spPr>
          <marker>
            <symbol val="none"/>
            <spPr>
              <a:ln xmlns:a="http://schemas.openxmlformats.org/drawingml/2006/main">
                <a:prstDash val="solid"/>
              </a:ln>
            </spPr>
          </marker>
          <cat>
            <numRef>
              <f>'03_Auswertung'!$B$2:$B$3001</f>
            </numRef>
          </cat>
          <val>
            <numRef>
              <f>'03_Auswertung'!$F$2:$F$3001</f>
            </numRef>
          </val>
          <smooth val="0"/>
        </ser>
        <ser>
          <idx val="1"/>
          <order val="1"/>
          <tx>
            <strRef>
              <f>'03_Auswertung'!G1</f>
            </strRef>
          </tx>
          <spPr>
            <a:ln xmlns:a="http://schemas.openxmlformats.org/drawingml/2006/main">
              <a:prstDash val="solid"/>
            </a:ln>
          </spPr>
          <marker>
            <symbol val="none"/>
            <spPr>
              <a:ln xmlns:a="http://schemas.openxmlformats.org/drawingml/2006/main">
                <a:prstDash val="solid"/>
              </a:ln>
            </spPr>
          </marker>
          <cat>
            <numRef>
              <f>'03_Auswertung'!$B$2:$B$3001</f>
            </numRef>
          </cat>
          <val>
            <numRef>
              <f>'03_Auswertung'!$G$2:$G$3001</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Zeit [s]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Kraft [N]</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Geschwindigkeit ab dem gewaehlten Bewegungsbeginn</a:t>
            </a:r>
          </a:p>
        </rich>
      </tx>
    </title>
    <plotArea>
      <lineChart>
        <grouping val="standard"/>
        <ser>
          <idx val="0"/>
          <order val="0"/>
          <tx>
            <strRef>
              <f>'03_Auswertung'!J1</f>
            </strRef>
          </tx>
          <spPr>
            <a:ln xmlns:a="http://schemas.openxmlformats.org/drawingml/2006/main">
              <a:prstDash val="solid"/>
            </a:ln>
          </spPr>
          <marker>
            <symbol val="none"/>
            <spPr>
              <a:ln xmlns:a="http://schemas.openxmlformats.org/drawingml/2006/main">
                <a:prstDash val="solid"/>
              </a:ln>
            </spPr>
          </marker>
          <cat>
            <numRef>
              <f>'03_Auswertung'!$B$2:$B$3001</f>
            </numRef>
          </cat>
          <val>
            <numRef>
              <f>'03_Auswertung'!$J$2:$J$3001</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Zeit [s]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Geschwindigkeit [m/s]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8</row>
      <rowOff>0</rowOff>
    </from>
    <ext cx="792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28</row>
      <rowOff>0</rowOff>
    </from>
    <ext cx="792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B36"/>
  <sheetViews>
    <sheetView workbookViewId="0">
      <selection activeCell="A1" sqref="A1"/>
    </sheetView>
  </sheetViews>
  <sheetFormatPr baseColWidth="8" defaultRowHeight="15"/>
  <cols>
    <col width="4" customWidth="1" min="1" max="1"/>
    <col width="118" customWidth="1" min="2" max="2"/>
  </cols>
  <sheetData>
    <row r="1">
      <c r="B1" s="1" t="inlineStr">
        <is>
          <t>Vorlage: Countermovement Jump mit Smartphone-Sensorik auswerten</t>
        </is>
      </c>
    </row>
    <row r="2">
      <c r="B2" s="2" t="inlineStr">
        <is>
          <t>Seminar „Physik der Sportarten“ – Aufgabe 5 (Tag 2). Fassung SS 2026.</t>
        </is>
      </c>
    </row>
    <row r="3">
      <c r="B3" s="3" t="inlineStr"/>
    </row>
    <row r="4">
      <c r="B4" s="4" t="inlineStr">
        <is>
          <t>Was diese Vorlage macht</t>
        </is>
      </c>
    </row>
    <row r="5">
      <c r="B5" s="3" t="inlineStr">
        <is>
          <t>Sie bestimmt die Sprunghoehe auf zwei unabhaengigen Wegen und stellt beide gegenueber:</t>
        </is>
      </c>
    </row>
    <row r="6">
      <c r="B6" s="5" t="inlineStr">
        <is>
          <t>•  Methode A – aus der Flugzeit:  h = g · t_Flug² / 8</t>
        </is>
      </c>
    </row>
    <row r="7">
      <c r="B7" s="5" t="inlineStr">
        <is>
          <t>•  Methode B – aus dem Nettoimpuls:  J = ∫(F − GF) dt,  v = J / m,  h = v² / (2g)</t>
        </is>
      </c>
    </row>
    <row r="8">
      <c r="B8" s="3" t="inlineStr">
        <is>
          <t>Dass beide Wege unterschiedliche Werte liefern, ist erwartbar und der eigentliche Lerngegenstand.</t>
        </is>
      </c>
    </row>
    <row r="9">
      <c r="B9" s="3" t="inlineStr"/>
    </row>
    <row r="10">
      <c r="B10" s="4" t="inlineStr">
        <is>
          <t>Wichtig: Welche phyphox-Aufnahme wird gebraucht?</t>
        </is>
      </c>
    </row>
    <row r="11">
      <c r="B11" s="3" t="inlineStr">
        <is>
          <t>Diese Vorlage benoetigt die Beschleunigung MIT Erdbeschleunigung, also das phyphox-Experiment</t>
        </is>
      </c>
    </row>
    <row r="12">
      <c r="B12" s="5" t="inlineStr">
        <is>
          <t>•  „Beschleunigung mit g“  bzw.  „Acceleration with g“</t>
        </is>
      </c>
    </row>
    <row r="13">
      <c r="B13" s="3" t="inlineStr">
        <is>
          <t>Grund: Die Gewichtskraft dient als Bezugslinie. Im ruhigen Stand muss das Signal etwa 9,81 m/s² bzw. etwa 1 g anzeigen. Bei einer Aufnahme OHNE g liegt der Ruhewert bei 0 und die Nettokraft-Rechnung ergibt keinen sinnvollen Wert.</t>
        </is>
      </c>
    </row>
    <row r="14">
      <c r="B14" s="3" t="inlineStr"/>
    </row>
    <row r="15">
      <c r="B15" s="4" t="inlineStr">
        <is>
          <t>Schritt fuer Schritt</t>
        </is>
      </c>
    </row>
    <row r="16">
      <c r="B16" s="5" t="inlineStr">
        <is>
          <t>1.  Blatt 01_Rohdaten: phyphox-Export einfuegen – Zeit in Spalte A, die drei Achsen in B, C, D (ab Zeile 2).</t>
        </is>
      </c>
    </row>
    <row r="17">
      <c r="B17" s="5" t="inlineStr">
        <is>
          <t>2.  Blatt 02_Eingaben: alle gelb hinterlegten Felder ausfuellen. Nur diese Felder werden veraendert.</t>
        </is>
      </c>
    </row>
    <row r="18">
      <c r="B18" s="5" t="inlineStr">
        <is>
          <t>3.  Blatt 03_Auswertung: rechnet automatisch. Hier wird nichts eingetragen.</t>
        </is>
      </c>
    </row>
    <row r="19">
      <c r="B19" s="5" t="inlineStr">
        <is>
          <t>4.  Blatt 04_Ergebnis: beide Sprunghoehen, Vergleich und Dokumentationsfelder.</t>
        </is>
      </c>
    </row>
    <row r="20">
      <c r="B20" s="3" t="inlineStr"/>
    </row>
    <row r="21">
      <c r="B21" s="4" t="inlineStr">
        <is>
          <t>Farblogik</t>
        </is>
      </c>
    </row>
    <row r="22">
      <c r="B22" s="5" t="inlineStr">
        <is>
          <t>•  gelb  = Ihre Eingabe</t>
        </is>
      </c>
    </row>
    <row r="23">
      <c r="B23" s="5" t="inlineStr">
        <is>
          <t>•  gruen = automatisch berechnet, bitte nicht ueberschreiben</t>
        </is>
      </c>
    </row>
    <row r="24">
      <c r="B24" s="5" t="inlineStr">
        <is>
          <t>•  blau  = Ergebnis</t>
        </is>
      </c>
    </row>
    <row r="25">
      <c r="B25" s="3" t="inlineStr"/>
    </row>
    <row r="26">
      <c r="B26" s="4" t="inlineStr">
        <is>
          <t>Was dokumentiert werden muss</t>
        </is>
      </c>
    </row>
    <row r="27">
      <c r="B27" s="3" t="inlineStr">
        <is>
          <t>Glaettungsfenster, gewaehltes Sprungintervall, Sensorlage und Modellannahmen gehoeren zur Loesung dazu. Die Felder dafuer stehen auf Blatt 04_Ergebnis.</t>
        </is>
      </c>
    </row>
    <row r="28">
      <c r="B28" s="3" t="inlineStr"/>
    </row>
    <row r="29">
      <c r="B29" s="4" t="inlineStr">
        <is>
          <t>Hinweis zur Glaettung</t>
        </is>
      </c>
    </row>
    <row r="30">
      <c r="B30" s="3" t="inlineStr">
        <is>
          <t>Die Vorlage verwendet einen ZENTRIERTEN gleitenden Mittelwert. Ein nachlaufender Mittelwert (nur zurueckliegende Werte) verschiebt das Signal zeitlich nach hinten und verfaelscht damit genau die Zeitpunkte, um die es hier geht: Absprung und Landung.</t>
        </is>
      </c>
    </row>
    <row r="31">
      <c r="B31" s="3" t="inlineStr"/>
    </row>
    <row r="32">
      <c r="B32" s="4" t="inlineStr">
        <is>
          <t>Hinweis zur numerischen Integration</t>
        </is>
      </c>
    </row>
    <row r="33">
      <c r="B33" s="3" t="inlineStr">
        <is>
          <t>Der Nettoimpuls wird ueber die Trapezregel gebildet, so wie im Reader beschrieben. Die Rechteckregel (Summe aus F · dt) liefert bei steilen Kraftanstiegen systematisch etwas zu grosse Werte.</t>
        </is>
      </c>
    </row>
    <row r="34">
      <c r="B34" s="3" t="inlineStr"/>
    </row>
    <row r="35">
      <c r="B35" s="4" t="inlineStr">
        <is>
          <t>Technische Voraussetzung</t>
        </is>
      </c>
    </row>
    <row r="36">
      <c r="B36" s="3" t="inlineStr">
        <is>
          <t>Blatt 04_Ergebnis nutzt die Funktionen MINWENNS und MAXWENNS (Excel 2019, Microsoft 365 oder LibreOffice 7). Bei aelteren Versionen koennen Absprung- und Landezeit stattdessen von Hand in die gelben Ersatzfelder eingetragen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9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s>
  <sheetData>
    <row r="1">
      <c r="A1" s="6" t="inlineStr">
        <is>
          <t>Zeit t [s]</t>
        </is>
      </c>
      <c r="B1" s="6" t="inlineStr">
        <is>
          <t>a_x</t>
        </is>
      </c>
      <c r="C1" s="6" t="inlineStr">
        <is>
          <t>a_y</t>
        </is>
      </c>
      <c r="D1" s="6" t="inlineStr">
        <is>
          <t>a_z</t>
        </is>
      </c>
      <c r="F1" s="7" t="inlineStr">
        <is>
          <t>phyphox-Export hier ab Zeile 2 einfuegen (Experiment: Beschleunigung MIT g).</t>
        </is>
      </c>
    </row>
    <row r="2">
      <c r="A2" t="n">
        <v>0.02</v>
      </c>
      <c r="B2" t="n">
        <v>-0.064</v>
      </c>
      <c r="C2" t="n">
        <v>1.031</v>
      </c>
      <c r="D2" t="n">
        <v>0.029</v>
      </c>
      <c r="F2" s="7" t="inlineStr">
        <is>
          <t>Spalte A = Zeit in Sekunden. Spalten B/C/D = die drei Beschleunigungsachsen.</t>
        </is>
      </c>
    </row>
    <row r="3">
      <c r="A3" t="n">
        <v>0.02</v>
      </c>
      <c r="B3" t="n">
        <v>-0.06900000000000001</v>
      </c>
      <c r="C3" t="n">
        <v>1.027</v>
      </c>
      <c r="D3" t="n">
        <v>0.03</v>
      </c>
      <c r="F3" s="7" t="inlineStr">
        <is>
          <t>Welche Achse die vertikale ist, wird auf Blatt 02_Eingaben festgelegt.</t>
        </is>
      </c>
    </row>
    <row r="4">
      <c r="A4" t="n">
        <v>0.021</v>
      </c>
      <c r="B4" t="n">
        <v>-0.07199999999999999</v>
      </c>
      <c r="C4" t="n">
        <v>1.021</v>
      </c>
      <c r="D4" t="n">
        <v>0.033</v>
      </c>
    </row>
    <row r="5">
      <c r="A5" t="n">
        <v>0.021</v>
      </c>
      <c r="B5" t="n">
        <v>-0.073</v>
      </c>
      <c r="C5" t="n">
        <v>1.014</v>
      </c>
      <c r="D5" t="n">
        <v>0.039</v>
      </c>
    </row>
    <row r="6">
      <c r="A6" t="n">
        <v>0.024</v>
      </c>
      <c r="B6" t="n">
        <v>-0.068</v>
      </c>
      <c r="C6" t="n">
        <v>1.013</v>
      </c>
      <c r="D6" t="n">
        <v>0.054</v>
      </c>
    </row>
    <row r="7">
      <c r="A7" t="n">
        <v>0.027</v>
      </c>
      <c r="B7" t="n">
        <v>-0.059</v>
      </c>
      <c r="C7" t="n">
        <v>1.011</v>
      </c>
      <c r="D7" t="n">
        <v>0.068</v>
      </c>
    </row>
    <row r="8">
      <c r="A8" t="n">
        <v>0.037</v>
      </c>
      <c r="B8" t="n">
        <v>-0.054</v>
      </c>
      <c r="C8" t="n">
        <v>1.008</v>
      </c>
      <c r="D8" t="n">
        <v>0.07199999999999999</v>
      </c>
    </row>
    <row r="9">
      <c r="A9" t="n">
        <v>0.037</v>
      </c>
      <c r="B9" t="n">
        <v>-0.054</v>
      </c>
      <c r="C9" t="n">
        <v>1.008</v>
      </c>
      <c r="D9" t="n">
        <v>0.07199999999999999</v>
      </c>
    </row>
    <row r="10">
      <c r="A10" t="n">
        <v>0.038</v>
      </c>
      <c r="B10" t="n">
        <v>-0.052</v>
      </c>
      <c r="C10" t="n">
        <v>1.004</v>
      </c>
      <c r="D10" t="n">
        <v>0.08</v>
      </c>
    </row>
    <row r="11">
      <c r="A11" t="n">
        <v>0.042</v>
      </c>
      <c r="B11" t="n">
        <v>-0.052</v>
      </c>
      <c r="C11" t="n">
        <v>1.004</v>
      </c>
      <c r="D11" t="n">
        <v>0.08</v>
      </c>
    </row>
    <row r="12">
      <c r="A12" t="n">
        <v>0.051</v>
      </c>
      <c r="B12" t="n">
        <v>-0.043</v>
      </c>
      <c r="C12" t="n">
        <v>1.004</v>
      </c>
      <c r="D12" t="n">
        <v>0.08599999999999999</v>
      </c>
    </row>
    <row r="13">
      <c r="A13" t="n">
        <v>0.052</v>
      </c>
      <c r="B13" t="n">
        <v>-0.037</v>
      </c>
      <c r="C13" t="n">
        <v>1.005</v>
      </c>
      <c r="D13" t="n">
        <v>0.083</v>
      </c>
    </row>
    <row r="14">
      <c r="A14" t="n">
        <v>0.057</v>
      </c>
      <c r="B14" t="n">
        <v>-0.026</v>
      </c>
      <c r="C14" t="n">
        <v>1.008</v>
      </c>
      <c r="D14" t="n">
        <v>0.076</v>
      </c>
    </row>
    <row r="15">
      <c r="A15" t="n">
        <v>0.092</v>
      </c>
      <c r="B15" t="n">
        <v>-0.011</v>
      </c>
      <c r="C15" t="n">
        <v>1.011</v>
      </c>
      <c r="D15" t="n">
        <v>0.074</v>
      </c>
    </row>
    <row r="16">
      <c r="A16" t="n">
        <v>0.093</v>
      </c>
      <c r="B16" t="n">
        <v>-0.011</v>
      </c>
      <c r="C16" t="n">
        <v>1.011</v>
      </c>
      <c r="D16" t="n">
        <v>0.074</v>
      </c>
    </row>
    <row r="17">
      <c r="A17" t="n">
        <v>0.093</v>
      </c>
      <c r="B17" t="n">
        <v>0.014</v>
      </c>
      <c r="C17" t="n">
        <v>1.002</v>
      </c>
      <c r="D17" t="n">
        <v>0.08</v>
      </c>
    </row>
    <row r="18">
      <c r="A18" t="n">
        <v>0.093</v>
      </c>
      <c r="B18" t="n">
        <v>0.021</v>
      </c>
      <c r="C18" t="n">
        <v>0.994</v>
      </c>
      <c r="D18" t="n">
        <v>0.09</v>
      </c>
    </row>
    <row r="19">
      <c r="A19" t="n">
        <v>0.093</v>
      </c>
      <c r="B19" t="n">
        <v>0.024</v>
      </c>
      <c r="C19" t="n">
        <v>0.989</v>
      </c>
      <c r="D19" t="n">
        <v>0.101</v>
      </c>
    </row>
    <row r="20">
      <c r="A20" t="n">
        <v>0.094</v>
      </c>
      <c r="B20" t="n">
        <v>0.026</v>
      </c>
      <c r="C20" t="n">
        <v>0.988</v>
      </c>
      <c r="D20" t="n">
        <v>0.107</v>
      </c>
    </row>
    <row r="21">
      <c r="A21" t="n">
        <v>0.094</v>
      </c>
      <c r="B21" t="n">
        <v>0.023</v>
      </c>
      <c r="C21" t="n">
        <v>0.986</v>
      </c>
      <c r="D21" t="n">
        <v>0.111</v>
      </c>
    </row>
    <row r="22">
      <c r="A22" t="n">
        <v>0.115</v>
      </c>
      <c r="B22" t="n">
        <v>0.013</v>
      </c>
      <c r="C22" t="n">
        <v>0.986</v>
      </c>
      <c r="D22" t="n">
        <v>0.113</v>
      </c>
    </row>
    <row r="23">
      <c r="A23" t="n">
        <v>0.116</v>
      </c>
      <c r="B23" t="n">
        <v>0.005</v>
      </c>
      <c r="C23" t="n">
        <v>0.983</v>
      </c>
      <c r="D23" t="n">
        <v>0.113</v>
      </c>
    </row>
    <row r="24">
      <c r="A24" t="n">
        <v>0.117</v>
      </c>
      <c r="B24" t="n">
        <v>-0.003</v>
      </c>
      <c r="C24" t="n">
        <v>0.98</v>
      </c>
      <c r="D24" t="n">
        <v>0.102</v>
      </c>
    </row>
    <row r="25">
      <c r="A25" t="n">
        <v>0.117</v>
      </c>
      <c r="B25" t="n">
        <v>-0.011</v>
      </c>
      <c r="C25" t="n">
        <v>0.985</v>
      </c>
      <c r="D25" t="n">
        <v>0.09</v>
      </c>
    </row>
    <row r="26">
      <c r="A26" t="n">
        <v>0.118</v>
      </c>
      <c r="B26" t="n">
        <v>-0.016</v>
      </c>
      <c r="C26" t="n">
        <v>0.995</v>
      </c>
      <c r="D26" t="n">
        <v>0.07099999999999999</v>
      </c>
    </row>
    <row r="27">
      <c r="A27" t="n">
        <v>0.131</v>
      </c>
      <c r="B27" t="n">
        <v>-0.02</v>
      </c>
      <c r="C27" t="n">
        <v>1.003</v>
      </c>
      <c r="D27" t="n">
        <v>0.054</v>
      </c>
    </row>
    <row r="28">
      <c r="A28" t="n">
        <v>0.133</v>
      </c>
      <c r="B28" t="n">
        <v>-0.027</v>
      </c>
      <c r="C28" t="n">
        <v>1.008</v>
      </c>
      <c r="D28" t="n">
        <v>0.042</v>
      </c>
    </row>
    <row r="29">
      <c r="A29" t="n">
        <v>0.148</v>
      </c>
      <c r="B29" t="n">
        <v>-0.036</v>
      </c>
      <c r="C29" t="n">
        <v>1.008</v>
      </c>
      <c r="D29" t="n">
        <v>0.026</v>
      </c>
    </row>
    <row r="30">
      <c r="A30" t="n">
        <v>0.148</v>
      </c>
      <c r="B30" t="n">
        <v>-0.036</v>
      </c>
      <c r="C30" t="n">
        <v>1.008</v>
      </c>
      <c r="D30" t="n">
        <v>0.026</v>
      </c>
    </row>
    <row r="31">
      <c r="A31" t="n">
        <v>0.149</v>
      </c>
      <c r="B31" t="n">
        <v>-0.04</v>
      </c>
      <c r="C31" t="n">
        <v>1.003</v>
      </c>
      <c r="D31" t="n">
        <v>0.023</v>
      </c>
    </row>
    <row r="32">
      <c r="A32" t="n">
        <v>0.15</v>
      </c>
      <c r="B32" t="n">
        <v>-0.043</v>
      </c>
      <c r="C32" t="n">
        <v>1</v>
      </c>
      <c r="D32" t="n">
        <v>0.023</v>
      </c>
    </row>
    <row r="33">
      <c r="A33" t="n">
        <v>0.15</v>
      </c>
      <c r="B33" t="n">
        <v>-0.041</v>
      </c>
      <c r="C33" t="n">
        <v>0.994</v>
      </c>
      <c r="D33" t="n">
        <v>0.037</v>
      </c>
    </row>
    <row r="34">
      <c r="A34" t="n">
        <v>0.151</v>
      </c>
      <c r="B34" t="n">
        <v>-0.041</v>
      </c>
      <c r="C34" t="n">
        <v>0.994</v>
      </c>
      <c r="D34" t="n">
        <v>0.037</v>
      </c>
    </row>
    <row r="35">
      <c r="A35" t="n">
        <v>0.169</v>
      </c>
      <c r="B35" t="n">
        <v>-0.042</v>
      </c>
      <c r="C35" t="n">
        <v>0.987</v>
      </c>
      <c r="D35" t="n">
        <v>0.054</v>
      </c>
    </row>
    <row r="36">
      <c r="A36" t="n">
        <v>0.17</v>
      </c>
      <c r="B36" t="n">
        <v>-0.04</v>
      </c>
      <c r="C36" t="n">
        <v>0.985</v>
      </c>
      <c r="D36" t="n">
        <v>0.07099999999999999</v>
      </c>
    </row>
    <row r="37">
      <c r="A37" t="n">
        <v>0.17</v>
      </c>
      <c r="B37" t="n">
        <v>-0.036</v>
      </c>
      <c r="C37" t="n">
        <v>0.986</v>
      </c>
      <c r="D37" t="n">
        <v>0.081</v>
      </c>
    </row>
    <row r="38">
      <c r="A38" t="n">
        <v>0.17</v>
      </c>
      <c r="B38" t="n">
        <v>-0.03</v>
      </c>
      <c r="C38" t="n">
        <v>0.989</v>
      </c>
      <c r="D38" t="n">
        <v>0.08500000000000001</v>
      </c>
    </row>
    <row r="39">
      <c r="A39" t="n">
        <v>0.204</v>
      </c>
      <c r="B39" t="n">
        <v>-0.024</v>
      </c>
      <c r="C39" t="n">
        <v>0.988</v>
      </c>
      <c r="D39" t="n">
        <v>0.08400000000000001</v>
      </c>
    </row>
    <row r="40">
      <c r="A40" t="n">
        <v>0.204</v>
      </c>
      <c r="B40" t="n">
        <v>-0.018</v>
      </c>
      <c r="C40" t="n">
        <v>0.989</v>
      </c>
      <c r="D40" t="n">
        <v>0.077</v>
      </c>
    </row>
    <row r="41">
      <c r="A41" t="n">
        <v>0.205</v>
      </c>
      <c r="B41" t="n">
        <v>-0.008999999999999999</v>
      </c>
      <c r="C41" t="n">
        <v>0.987</v>
      </c>
      <c r="D41" t="n">
        <v>0.07199999999999999</v>
      </c>
    </row>
    <row r="42">
      <c r="A42" t="n">
        <v>0.205</v>
      </c>
      <c r="B42" t="n">
        <v>0.003</v>
      </c>
      <c r="C42" t="n">
        <v>0.987</v>
      </c>
      <c r="D42" t="n">
        <v>0.073</v>
      </c>
    </row>
    <row r="43">
      <c r="A43" t="n">
        <v>0.205</v>
      </c>
      <c r="B43" t="n">
        <v>0.01</v>
      </c>
      <c r="C43" t="n">
        <v>0.986</v>
      </c>
      <c r="D43" t="n">
        <v>0.077</v>
      </c>
    </row>
    <row r="44">
      <c r="A44" t="n">
        <v>0.206</v>
      </c>
      <c r="B44" t="n">
        <v>0.014</v>
      </c>
      <c r="C44" t="n">
        <v>0.99</v>
      </c>
      <c r="D44" t="n">
        <v>0.08400000000000001</v>
      </c>
    </row>
    <row r="45">
      <c r="A45" t="n">
        <v>0.206</v>
      </c>
      <c r="B45" t="n">
        <v>0.018</v>
      </c>
      <c r="C45" t="n">
        <v>0.993</v>
      </c>
      <c r="D45" t="n">
        <v>0.08400000000000001</v>
      </c>
    </row>
    <row r="46">
      <c r="A46" t="n">
        <v>0.215</v>
      </c>
      <c r="B46" t="n">
        <v>0.019</v>
      </c>
      <c r="C46" t="n">
        <v>0.994</v>
      </c>
      <c r="D46" t="n">
        <v>0.08</v>
      </c>
    </row>
    <row r="47">
      <c r="A47" t="n">
        <v>0.216</v>
      </c>
      <c r="B47" t="n">
        <v>0.014</v>
      </c>
      <c r="C47" t="n">
        <v>0.994</v>
      </c>
      <c r="D47" t="n">
        <v>0.078</v>
      </c>
    </row>
    <row r="48">
      <c r="A48" t="n">
        <v>0.216</v>
      </c>
      <c r="B48" t="n">
        <v>0.014</v>
      </c>
      <c r="C48" t="n">
        <v>0.994</v>
      </c>
      <c r="D48" t="n">
        <v>0.078</v>
      </c>
    </row>
    <row r="49">
      <c r="A49" t="n">
        <v>0.232</v>
      </c>
      <c r="B49" t="n">
        <v>0.008</v>
      </c>
      <c r="C49" t="n">
        <v>0.996</v>
      </c>
      <c r="D49" t="n">
        <v>0.06900000000000001</v>
      </c>
    </row>
    <row r="50">
      <c r="A50" t="n">
        <v>0.232</v>
      </c>
      <c r="B50" t="n">
        <v>0.008999999999999999</v>
      </c>
      <c r="C50" t="n">
        <v>0.995</v>
      </c>
      <c r="D50" t="n">
        <v>0.065</v>
      </c>
    </row>
    <row r="51">
      <c r="A51" t="n">
        <v>0.232</v>
      </c>
      <c r="B51" t="n">
        <v>0.01</v>
      </c>
      <c r="C51" t="n">
        <v>0.996</v>
      </c>
      <c r="D51" t="n">
        <v>0.065</v>
      </c>
    </row>
    <row r="52">
      <c r="A52" t="n">
        <v>0.233</v>
      </c>
      <c r="B52" t="n">
        <v>0.012</v>
      </c>
      <c r="C52" t="n">
        <v>0.997</v>
      </c>
      <c r="D52" t="n">
        <v>0.066</v>
      </c>
    </row>
    <row r="53">
      <c r="A53" t="n">
        <v>0.249</v>
      </c>
      <c r="B53" t="n">
        <v>0.012</v>
      </c>
      <c r="C53" t="n">
        <v>0.998</v>
      </c>
      <c r="D53" t="n">
        <v>0.07099999999999999</v>
      </c>
    </row>
    <row r="54">
      <c r="A54" t="n">
        <v>0.249</v>
      </c>
      <c r="B54" t="n">
        <v>0.008</v>
      </c>
      <c r="C54" t="n">
        <v>0.998</v>
      </c>
      <c r="D54" t="n">
        <v>0.083</v>
      </c>
    </row>
    <row r="55">
      <c r="A55" t="n">
        <v>0.25</v>
      </c>
      <c r="B55" t="n">
        <v>0.001</v>
      </c>
      <c r="C55" t="n">
        <v>0.998</v>
      </c>
      <c r="D55" t="n">
        <v>0.08599999999999999</v>
      </c>
    </row>
    <row r="56">
      <c r="A56" t="n">
        <v>0.294</v>
      </c>
      <c r="B56" t="n">
        <v>-0.003</v>
      </c>
      <c r="C56" t="n">
        <v>1.002</v>
      </c>
      <c r="D56" t="n">
        <v>0.091</v>
      </c>
    </row>
    <row r="57">
      <c r="A57" t="n">
        <v>0.295</v>
      </c>
      <c r="B57" t="n">
        <v>-0.006</v>
      </c>
      <c r="C57" t="n">
        <v>1.001</v>
      </c>
      <c r="D57" t="n">
        <v>0.08699999999999999</v>
      </c>
    </row>
    <row r="58">
      <c r="A58" t="n">
        <v>0.297</v>
      </c>
      <c r="B58" t="n">
        <v>-0.01</v>
      </c>
      <c r="C58" t="n">
        <v>1.003</v>
      </c>
      <c r="D58" t="n">
        <v>0.083</v>
      </c>
    </row>
    <row r="59">
      <c r="A59" t="n">
        <v>0.298</v>
      </c>
      <c r="B59" t="n">
        <v>-0.011</v>
      </c>
      <c r="C59" t="n">
        <v>1.005</v>
      </c>
      <c r="D59" t="n">
        <v>0.075</v>
      </c>
    </row>
    <row r="60">
      <c r="A60" t="n">
        <v>0.299</v>
      </c>
      <c r="B60" t="n">
        <v>-0.012</v>
      </c>
      <c r="C60" t="n">
        <v>1.014</v>
      </c>
      <c r="D60" t="n">
        <v>0.068</v>
      </c>
    </row>
    <row r="61">
      <c r="A61" t="n">
        <v>0.3</v>
      </c>
      <c r="B61" t="n">
        <v>-0.013</v>
      </c>
      <c r="C61" t="n">
        <v>1.019</v>
      </c>
      <c r="D61" t="n">
        <v>0.059</v>
      </c>
    </row>
    <row r="62">
      <c r="A62" t="n">
        <v>0.3</v>
      </c>
      <c r="B62" t="n">
        <v>-0.013</v>
      </c>
      <c r="C62" t="n">
        <v>1.02</v>
      </c>
      <c r="D62" t="n">
        <v>0.058</v>
      </c>
    </row>
    <row r="63">
      <c r="A63" t="n">
        <v>0.301</v>
      </c>
      <c r="B63" t="n">
        <v>-0.014</v>
      </c>
      <c r="C63" t="n">
        <v>1.022</v>
      </c>
      <c r="D63" t="n">
        <v>0.052</v>
      </c>
    </row>
    <row r="64">
      <c r="A64" t="n">
        <v>0.302</v>
      </c>
      <c r="B64" t="n">
        <v>-0.015</v>
      </c>
      <c r="C64" t="n">
        <v>1.022</v>
      </c>
      <c r="D64" t="n">
        <v>0.052</v>
      </c>
    </row>
    <row r="65">
      <c r="A65" t="n">
        <v>0.303</v>
      </c>
      <c r="B65" t="n">
        <v>-0.015</v>
      </c>
      <c r="C65" t="n">
        <v>1.022</v>
      </c>
      <c r="D65" t="n">
        <v>0.056</v>
      </c>
    </row>
    <row r="66">
      <c r="A66" t="n">
        <v>0.303</v>
      </c>
      <c r="B66" t="n">
        <v>-0.019</v>
      </c>
      <c r="C66" t="n">
        <v>1.019</v>
      </c>
      <c r="D66" t="n">
        <v>0.059</v>
      </c>
    </row>
    <row r="67">
      <c r="A67" t="n">
        <v>0.315</v>
      </c>
      <c r="B67" t="n">
        <v>-0.021</v>
      </c>
      <c r="C67" t="n">
        <v>1.014</v>
      </c>
      <c r="D67" t="n">
        <v>0.062</v>
      </c>
    </row>
    <row r="68">
      <c r="A68" t="n">
        <v>0.317</v>
      </c>
      <c r="B68" t="n">
        <v>-0.02</v>
      </c>
      <c r="C68" t="n">
        <v>1.008</v>
      </c>
      <c r="D68" t="n">
        <v>0.064</v>
      </c>
    </row>
    <row r="69">
      <c r="A69" t="n">
        <v>0.335</v>
      </c>
      <c r="B69" t="n">
        <v>-0.019</v>
      </c>
      <c r="C69" t="n">
        <v>1.011</v>
      </c>
      <c r="D69" t="n">
        <v>0.07000000000000001</v>
      </c>
    </row>
    <row r="70">
      <c r="A70" t="n">
        <v>0.336</v>
      </c>
      <c r="B70" t="n">
        <v>-0.016</v>
      </c>
      <c r="C70" t="n">
        <v>1.015</v>
      </c>
      <c r="D70" t="n">
        <v>0.07199999999999999</v>
      </c>
    </row>
    <row r="71">
      <c r="A71" t="n">
        <v>0.337</v>
      </c>
      <c r="B71" t="n">
        <v>-0.015</v>
      </c>
      <c r="C71" t="n">
        <v>1.023</v>
      </c>
      <c r="D71" t="n">
        <v>0.075</v>
      </c>
    </row>
    <row r="72">
      <c r="A72" t="n">
        <v>0.338</v>
      </c>
      <c r="B72" t="n">
        <v>-0.011</v>
      </c>
      <c r="C72" t="n">
        <v>1.03</v>
      </c>
      <c r="D72" t="n">
        <v>0.06900000000000001</v>
      </c>
    </row>
    <row r="73">
      <c r="A73" t="n">
        <v>0.338</v>
      </c>
      <c r="B73" t="n">
        <v>-0.008</v>
      </c>
      <c r="C73" t="n">
        <v>1.032</v>
      </c>
      <c r="D73" t="n">
        <v>0.056</v>
      </c>
    </row>
    <row r="74">
      <c r="A74" t="n">
        <v>0.343</v>
      </c>
      <c r="B74" t="n">
        <v>-0.008</v>
      </c>
      <c r="C74" t="n">
        <v>1.034</v>
      </c>
      <c r="D74" t="n">
        <v>0.042</v>
      </c>
    </row>
    <row r="75">
      <c r="A75" t="n">
        <v>0.358</v>
      </c>
      <c r="B75" t="n">
        <v>-0.008999999999999999</v>
      </c>
      <c r="C75" t="n">
        <v>1.034</v>
      </c>
      <c r="D75" t="n">
        <v>0.039</v>
      </c>
    </row>
    <row r="76">
      <c r="A76" t="n">
        <v>0.359</v>
      </c>
      <c r="B76" t="n">
        <v>-0.008999999999999999</v>
      </c>
      <c r="C76" t="n">
        <v>1.034</v>
      </c>
      <c r="D76" t="n">
        <v>0.039</v>
      </c>
    </row>
    <row r="77">
      <c r="A77" t="n">
        <v>0.359</v>
      </c>
      <c r="B77" t="n">
        <v>-0.011</v>
      </c>
      <c r="C77" t="n">
        <v>1.032</v>
      </c>
      <c r="D77" t="n">
        <v>0.037</v>
      </c>
    </row>
    <row r="78">
      <c r="A78" t="n">
        <v>0.363</v>
      </c>
      <c r="B78" t="n">
        <v>-0.012</v>
      </c>
      <c r="C78" t="n">
        <v>1.03</v>
      </c>
      <c r="D78" t="n">
        <v>0.041</v>
      </c>
    </row>
    <row r="79">
      <c r="A79" t="n">
        <v>0.399</v>
      </c>
      <c r="B79" t="n">
        <v>-0.01</v>
      </c>
      <c r="C79" t="n">
        <v>1.023</v>
      </c>
      <c r="D79" t="n">
        <v>0.049</v>
      </c>
    </row>
    <row r="80">
      <c r="A80" t="n">
        <v>0.4</v>
      </c>
      <c r="B80" t="n">
        <v>-0.011</v>
      </c>
      <c r="C80" t="n">
        <v>1.02</v>
      </c>
      <c r="D80" t="n">
        <v>0.057</v>
      </c>
    </row>
    <row r="81">
      <c r="A81" t="n">
        <v>0.401</v>
      </c>
      <c r="B81" t="n">
        <v>-0.014</v>
      </c>
      <c r="C81" t="n">
        <v>1.016</v>
      </c>
      <c r="D81" t="n">
        <v>0.064</v>
      </c>
    </row>
    <row r="82">
      <c r="A82" t="n">
        <v>0.402</v>
      </c>
      <c r="B82" t="n">
        <v>-0.015</v>
      </c>
      <c r="C82" t="n">
        <v>1.012</v>
      </c>
      <c r="D82" t="n">
        <v>0.066</v>
      </c>
    </row>
    <row r="83">
      <c r="A83" t="n">
        <v>0.403</v>
      </c>
      <c r="B83" t="n">
        <v>-0.013</v>
      </c>
      <c r="C83" t="n">
        <v>1.011</v>
      </c>
      <c r="D83" t="n">
        <v>0.073</v>
      </c>
    </row>
    <row r="84">
      <c r="A84" t="n">
        <v>0.404</v>
      </c>
      <c r="B84" t="n">
        <v>-0.012</v>
      </c>
      <c r="C84" t="n">
        <v>1.009</v>
      </c>
      <c r="D84" t="n">
        <v>0.07199999999999999</v>
      </c>
    </row>
    <row r="85">
      <c r="A85" t="n">
        <v>0.404</v>
      </c>
      <c r="B85" t="n">
        <v>-0.013</v>
      </c>
      <c r="C85" t="n">
        <v>1.003</v>
      </c>
      <c r="D85" t="n">
        <v>0.07199999999999999</v>
      </c>
    </row>
    <row r="86">
      <c r="A86" t="n">
        <v>0.405</v>
      </c>
      <c r="B86" t="n">
        <v>-0.018</v>
      </c>
      <c r="C86" t="n">
        <v>0.998</v>
      </c>
      <c r="D86" t="n">
        <v>0.066</v>
      </c>
    </row>
    <row r="87">
      <c r="A87" t="n">
        <v>0.407</v>
      </c>
      <c r="B87" t="n">
        <v>-0.024</v>
      </c>
      <c r="C87" t="n">
        <v>0.995</v>
      </c>
      <c r="D87" t="n">
        <v>0.064</v>
      </c>
    </row>
    <row r="88">
      <c r="A88" t="n">
        <v>0.418</v>
      </c>
      <c r="B88" t="n">
        <v>-0.021</v>
      </c>
      <c r="C88" t="n">
        <v>0.995</v>
      </c>
      <c r="D88" t="n">
        <v>0.066</v>
      </c>
    </row>
    <row r="89">
      <c r="A89" t="n">
        <v>0.419</v>
      </c>
      <c r="B89" t="n">
        <v>-0.018</v>
      </c>
      <c r="C89" t="n">
        <v>0.995</v>
      </c>
      <c r="D89" t="n">
        <v>0.066</v>
      </c>
    </row>
    <row r="90">
      <c r="A90" t="n">
        <v>0.423</v>
      </c>
      <c r="B90" t="n">
        <v>-0.018</v>
      </c>
      <c r="C90" t="n">
        <v>0.997</v>
      </c>
      <c r="D90" t="n">
        <v>0.063</v>
      </c>
    </row>
    <row r="91">
      <c r="A91" t="n">
        <v>0.427</v>
      </c>
      <c r="B91" t="n">
        <v>-0.017</v>
      </c>
      <c r="C91" t="n">
        <v>0.995</v>
      </c>
      <c r="D91" t="n">
        <v>0.062</v>
      </c>
    </row>
    <row r="92">
      <c r="A92" t="n">
        <v>0.434</v>
      </c>
      <c r="B92" t="n">
        <v>-0.018</v>
      </c>
      <c r="C92" t="n">
        <v>0.998</v>
      </c>
      <c r="D92" t="n">
        <v>0.059</v>
      </c>
    </row>
    <row r="93">
      <c r="A93" t="n">
        <v>0.437</v>
      </c>
      <c r="B93" t="n">
        <v>-0.015</v>
      </c>
      <c r="C93" t="n">
        <v>0.998</v>
      </c>
      <c r="D93" t="n">
        <v>0.054</v>
      </c>
    </row>
    <row r="94">
      <c r="A94" t="n">
        <v>0.442</v>
      </c>
      <c r="B94" t="n">
        <v>-0.012</v>
      </c>
      <c r="C94" t="n">
        <v>0.999</v>
      </c>
      <c r="D94" t="n">
        <v>0.047</v>
      </c>
    </row>
    <row r="95">
      <c r="A95" t="n">
        <v>0.466</v>
      </c>
      <c r="B95" t="n">
        <v>-0.008</v>
      </c>
      <c r="C95" t="n">
        <v>1.001</v>
      </c>
      <c r="D95" t="n">
        <v>0.042</v>
      </c>
    </row>
    <row r="96">
      <c r="A96" t="n">
        <v>0.466</v>
      </c>
      <c r="B96" t="n">
        <v>-0.008</v>
      </c>
      <c r="C96" t="n">
        <v>1.001</v>
      </c>
      <c r="D96" t="n">
        <v>0.042</v>
      </c>
    </row>
    <row r="97">
      <c r="A97" t="n">
        <v>0.467</v>
      </c>
      <c r="B97" t="n">
        <v>-0.011</v>
      </c>
      <c r="C97" t="n">
        <v>1.002</v>
      </c>
      <c r="D97" t="n">
        <v>0.046</v>
      </c>
    </row>
    <row r="98">
      <c r="A98" t="n">
        <v>0.468</v>
      </c>
      <c r="B98" t="n">
        <v>-0.011</v>
      </c>
      <c r="C98" t="n">
        <v>1.003</v>
      </c>
      <c r="D98" t="n">
        <v>0.052</v>
      </c>
    </row>
    <row r="99">
      <c r="A99" t="n">
        <v>0.469</v>
      </c>
      <c r="B99" t="n">
        <v>-0.008999999999999999</v>
      </c>
      <c r="C99" t="n">
        <v>1.005</v>
      </c>
      <c r="D99" t="n">
        <v>0.053</v>
      </c>
    </row>
    <row r="100">
      <c r="A100" t="n">
        <v>0.473</v>
      </c>
      <c r="B100" t="n">
        <v>-0.002</v>
      </c>
      <c r="C100" t="n">
        <v>1.013</v>
      </c>
      <c r="D100" t="n">
        <v>0.045</v>
      </c>
    </row>
    <row r="101">
      <c r="A101" t="n">
        <v>0.477</v>
      </c>
      <c r="B101" t="n">
        <v>0.003</v>
      </c>
      <c r="C101" t="n">
        <v>1.018</v>
      </c>
      <c r="D101" t="n">
        <v>0.037</v>
      </c>
    </row>
    <row r="102">
      <c r="A102" t="n">
        <v>0.487</v>
      </c>
      <c r="B102" t="n">
        <v>0.01</v>
      </c>
      <c r="C102" t="n">
        <v>1.018</v>
      </c>
      <c r="D102" t="n">
        <v>0.036</v>
      </c>
    </row>
    <row r="103">
      <c r="A103" t="n">
        <v>0.487</v>
      </c>
      <c r="B103" t="n">
        <v>0.008</v>
      </c>
      <c r="C103" t="n">
        <v>1.016</v>
      </c>
      <c r="D103" t="n">
        <v>0.035</v>
      </c>
    </row>
    <row r="104">
      <c r="A104" t="n">
        <v>0.529</v>
      </c>
      <c r="B104" t="n">
        <v>0.003</v>
      </c>
      <c r="C104" t="n">
        <v>1.009</v>
      </c>
      <c r="D104" t="n">
        <v>0.036</v>
      </c>
    </row>
    <row r="105">
      <c r="A105" t="n">
        <v>0.529</v>
      </c>
      <c r="B105" t="n">
        <v>0</v>
      </c>
      <c r="C105" t="n">
        <v>1.002</v>
      </c>
      <c r="D105" t="n">
        <v>0.044</v>
      </c>
    </row>
    <row r="106">
      <c r="A106" t="n">
        <v>0.53</v>
      </c>
      <c r="B106" t="n">
        <v>0.003</v>
      </c>
      <c r="C106" t="n">
        <v>0.997</v>
      </c>
      <c r="D106" t="n">
        <v>0.056</v>
      </c>
    </row>
    <row r="107">
      <c r="A107" t="n">
        <v>0.53</v>
      </c>
      <c r="B107" t="n">
        <v>0.003</v>
      </c>
      <c r="C107" t="n">
        <v>0.997</v>
      </c>
      <c r="D107" t="n">
        <v>0.056</v>
      </c>
    </row>
    <row r="108">
      <c r="A108" t="n">
        <v>0.53</v>
      </c>
      <c r="B108" t="n">
        <v>0.003</v>
      </c>
      <c r="C108" t="n">
        <v>0.986</v>
      </c>
      <c r="D108" t="n">
        <v>0.097</v>
      </c>
    </row>
    <row r="109">
      <c r="A109" t="n">
        <v>0.531</v>
      </c>
      <c r="B109" t="n">
        <v>-0.003</v>
      </c>
      <c r="C109" t="n">
        <v>0.983</v>
      </c>
      <c r="D109" t="n">
        <v>0.104</v>
      </c>
    </row>
    <row r="110">
      <c r="A110" t="n">
        <v>0.531</v>
      </c>
      <c r="B110" t="n">
        <v>-0.01</v>
      </c>
      <c r="C110" t="n">
        <v>0.979</v>
      </c>
      <c r="D110" t="n">
        <v>0.107</v>
      </c>
    </row>
    <row r="111">
      <c r="A111" t="n">
        <v>0.531</v>
      </c>
      <c r="B111" t="n">
        <v>-0.023</v>
      </c>
      <c r="C111" t="n">
        <v>0.98</v>
      </c>
      <c r="D111" t="n">
        <v>0.098</v>
      </c>
    </row>
    <row r="112">
      <c r="A112" t="n">
        <v>0.55</v>
      </c>
      <c r="B112" t="n">
        <v>-0.028</v>
      </c>
      <c r="C112" t="n">
        <v>0.982</v>
      </c>
      <c r="D112" t="n">
        <v>0.083</v>
      </c>
    </row>
    <row r="113">
      <c r="A113" t="n">
        <v>0.55</v>
      </c>
      <c r="B113" t="n">
        <v>-0.029</v>
      </c>
      <c r="C113" t="n">
        <v>0.995</v>
      </c>
      <c r="D113" t="n">
        <v>0.068</v>
      </c>
    </row>
    <row r="114">
      <c r="A114" t="n">
        <v>0.551</v>
      </c>
      <c r="B114" t="n">
        <v>-0.024</v>
      </c>
      <c r="C114" t="n">
        <v>1.006</v>
      </c>
      <c r="D114" t="n">
        <v>0.049</v>
      </c>
    </row>
    <row r="115">
      <c r="A115" t="n">
        <v>0.551</v>
      </c>
      <c r="B115" t="n">
        <v>-0.02</v>
      </c>
      <c r="C115" t="n">
        <v>1.012</v>
      </c>
      <c r="D115" t="n">
        <v>0.035</v>
      </c>
    </row>
    <row r="116">
      <c r="A116" t="n">
        <v>0.552</v>
      </c>
      <c r="B116" t="n">
        <v>-0.016</v>
      </c>
      <c r="C116" t="n">
        <v>1.018</v>
      </c>
      <c r="D116" t="n">
        <v>0.025</v>
      </c>
    </row>
    <row r="117">
      <c r="A117" t="n">
        <v>0.5570000000000001</v>
      </c>
      <c r="B117" t="n">
        <v>-0.014</v>
      </c>
      <c r="C117" t="n">
        <v>1.02</v>
      </c>
      <c r="D117" t="n">
        <v>0.022</v>
      </c>
    </row>
    <row r="118">
      <c r="A118" t="n">
        <v>0.5620000000000001</v>
      </c>
      <c r="B118" t="n">
        <v>-0.007</v>
      </c>
      <c r="C118" t="n">
        <v>1.025</v>
      </c>
      <c r="D118" t="n">
        <v>0.023</v>
      </c>
    </row>
    <row r="119">
      <c r="A119" t="n">
        <v>0.576</v>
      </c>
      <c r="B119" t="n">
        <v>-0.001</v>
      </c>
      <c r="C119" t="n">
        <v>1.027</v>
      </c>
      <c r="D119" t="n">
        <v>0.024</v>
      </c>
    </row>
    <row r="120">
      <c r="A120" t="n">
        <v>0.577</v>
      </c>
      <c r="B120" t="n">
        <v>0.003</v>
      </c>
      <c r="C120" t="n">
        <v>1.027</v>
      </c>
      <c r="D120" t="n">
        <v>0.03</v>
      </c>
    </row>
    <row r="121">
      <c r="A121" t="n">
        <v>0.588</v>
      </c>
      <c r="B121" t="n">
        <v>0</v>
      </c>
      <c r="C121" t="n">
        <v>1.026</v>
      </c>
      <c r="D121" t="n">
        <v>0.036</v>
      </c>
    </row>
    <row r="122">
      <c r="A122" t="n">
        <v>0.59</v>
      </c>
      <c r="B122" t="n">
        <v>0</v>
      </c>
      <c r="C122" t="n">
        <v>1.026</v>
      </c>
      <c r="D122" t="n">
        <v>0.036</v>
      </c>
    </row>
    <row r="123">
      <c r="A123" t="n">
        <v>0.59</v>
      </c>
      <c r="B123" t="n">
        <v>0</v>
      </c>
      <c r="C123" t="n">
        <v>1.026</v>
      </c>
      <c r="D123" t="n">
        <v>0.036</v>
      </c>
    </row>
    <row r="124">
      <c r="A124" t="n">
        <v>0.616</v>
      </c>
      <c r="B124" t="n">
        <v>-0.005</v>
      </c>
      <c r="C124" t="n">
        <v>1.015</v>
      </c>
      <c r="D124" t="n">
        <v>0.057</v>
      </c>
    </row>
    <row r="125">
      <c r="A125" t="n">
        <v>0.617</v>
      </c>
      <c r="B125" t="n">
        <v>-0.005</v>
      </c>
      <c r="C125" t="n">
        <v>1.015</v>
      </c>
      <c r="D125" t="n">
        <v>0.057</v>
      </c>
    </row>
    <row r="126">
      <c r="A126" t="n">
        <v>0.617</v>
      </c>
      <c r="B126" t="n">
        <v>-0.007</v>
      </c>
      <c r="C126" t="n">
        <v>1.018</v>
      </c>
      <c r="D126" t="n">
        <v>0.062</v>
      </c>
    </row>
    <row r="127">
      <c r="A127" t="n">
        <v>0.618</v>
      </c>
      <c r="B127" t="n">
        <v>-0.008999999999999999</v>
      </c>
      <c r="C127" t="n">
        <v>1.019</v>
      </c>
      <c r="D127" t="n">
        <v>0.062</v>
      </c>
    </row>
    <row r="128">
      <c r="A128" t="n">
        <v>0.618</v>
      </c>
      <c r="B128" t="n">
        <v>-0.012</v>
      </c>
      <c r="C128" t="n">
        <v>1.019</v>
      </c>
      <c r="D128" t="n">
        <v>0.065</v>
      </c>
    </row>
    <row r="129">
      <c r="A129" t="n">
        <v>0.618</v>
      </c>
      <c r="B129" t="n">
        <v>-0.013</v>
      </c>
      <c r="C129" t="n">
        <v>1.017</v>
      </c>
      <c r="D129" t="n">
        <v>0.066</v>
      </c>
    </row>
    <row r="130">
      <c r="A130" t="n">
        <v>0.619</v>
      </c>
      <c r="B130" t="n">
        <v>-0.014</v>
      </c>
      <c r="C130" t="n">
        <v>1.017</v>
      </c>
      <c r="D130" t="n">
        <v>0.059</v>
      </c>
    </row>
    <row r="131">
      <c r="A131" t="n">
        <v>0.623</v>
      </c>
      <c r="B131" t="n">
        <v>-0.016</v>
      </c>
      <c r="C131" t="n">
        <v>1.015</v>
      </c>
      <c r="D131" t="n">
        <v>0.056</v>
      </c>
    </row>
    <row r="132">
      <c r="A132" t="n">
        <v>0.627</v>
      </c>
      <c r="B132" t="n">
        <v>-0.02</v>
      </c>
      <c r="C132" t="n">
        <v>1.015</v>
      </c>
      <c r="D132" t="n">
        <v>0.054</v>
      </c>
    </row>
    <row r="133">
      <c r="A133" t="n">
        <v>0.634</v>
      </c>
      <c r="B133" t="n">
        <v>-0.024</v>
      </c>
      <c r="C133" t="n">
        <v>1.014</v>
      </c>
      <c r="D133" t="n">
        <v>0.057</v>
      </c>
    </row>
    <row r="134">
      <c r="A134" t="n">
        <v>0.638</v>
      </c>
      <c r="B134" t="n">
        <v>-0.024</v>
      </c>
      <c r="C134" t="n">
        <v>1.013</v>
      </c>
      <c r="D134" t="n">
        <v>0.061</v>
      </c>
    </row>
    <row r="135">
      <c r="A135" t="n">
        <v>0.643</v>
      </c>
      <c r="B135" t="n">
        <v>-0.021</v>
      </c>
      <c r="C135" t="n">
        <v>1.011</v>
      </c>
      <c r="D135" t="n">
        <v>0.065</v>
      </c>
    </row>
    <row r="136">
      <c r="A136" t="n">
        <v>0.647</v>
      </c>
      <c r="B136" t="n">
        <v>-0.015</v>
      </c>
      <c r="C136" t="n">
        <v>1.008</v>
      </c>
      <c r="D136" t="n">
        <v>0.065</v>
      </c>
    </row>
    <row r="137">
      <c r="A137" t="n">
        <v>0.667</v>
      </c>
      <c r="B137" t="n">
        <v>-0.017</v>
      </c>
      <c r="C137" t="n">
        <v>1.008</v>
      </c>
      <c r="D137" t="n">
        <v>0.064</v>
      </c>
    </row>
    <row r="138">
      <c r="A138" t="n">
        <v>0.667</v>
      </c>
      <c r="B138" t="n">
        <v>-0.017</v>
      </c>
      <c r="C138" t="n">
        <v>1.007</v>
      </c>
      <c r="D138" t="n">
        <v>0.062</v>
      </c>
    </row>
    <row r="139">
      <c r="A139" t="n">
        <v>0.668</v>
      </c>
      <c r="B139" t="n">
        <v>-0.016</v>
      </c>
      <c r="C139" t="n">
        <v>1.006</v>
      </c>
      <c r="D139" t="n">
        <v>0.058</v>
      </c>
    </row>
    <row r="140">
      <c r="A140" t="n">
        <v>0.668</v>
      </c>
      <c r="B140" t="n">
        <v>-0.014</v>
      </c>
      <c r="C140" t="n">
        <v>1.008</v>
      </c>
      <c r="D140" t="n">
        <v>0.052</v>
      </c>
    </row>
    <row r="141">
      <c r="A141" t="n">
        <v>0.673</v>
      </c>
      <c r="B141" t="n">
        <v>-0.012</v>
      </c>
      <c r="C141" t="n">
        <v>1.011</v>
      </c>
      <c r="D141" t="n">
        <v>0.045</v>
      </c>
    </row>
    <row r="142">
      <c r="A142" t="n">
        <v>0.678</v>
      </c>
      <c r="B142" t="n">
        <v>-0.011</v>
      </c>
      <c r="C142" t="n">
        <v>1.017</v>
      </c>
      <c r="D142" t="n">
        <v>0.037</v>
      </c>
    </row>
    <row r="143">
      <c r="A143" t="n">
        <v>0.747</v>
      </c>
      <c r="B143" t="n">
        <v>-0.015</v>
      </c>
      <c r="C143" t="n">
        <v>1.022</v>
      </c>
      <c r="D143" t="n">
        <v>0.03</v>
      </c>
    </row>
    <row r="144">
      <c r="A144" t="n">
        <v>0.749</v>
      </c>
      <c r="B144" t="n">
        <v>-0.02</v>
      </c>
      <c r="C144" t="n">
        <v>1.024</v>
      </c>
      <c r="D144" t="n">
        <v>0.028</v>
      </c>
    </row>
    <row r="145">
      <c r="A145" t="n">
        <v>0.75</v>
      </c>
      <c r="B145" t="n">
        <v>-0.024</v>
      </c>
      <c r="C145" t="n">
        <v>1.022</v>
      </c>
      <c r="D145" t="n">
        <v>0.028</v>
      </c>
    </row>
    <row r="146">
      <c r="A146" t="n">
        <v>0.751</v>
      </c>
      <c r="B146" t="n">
        <v>-0.028</v>
      </c>
      <c r="C146" t="n">
        <v>1.014</v>
      </c>
      <c r="D146" t="n">
        <v>0.029</v>
      </c>
    </row>
    <row r="147">
      <c r="A147" t="n">
        <v>0.752</v>
      </c>
      <c r="B147" t="n">
        <v>-0.03</v>
      </c>
      <c r="C147" t="n">
        <v>1.006</v>
      </c>
      <c r="D147" t="n">
        <v>0.04</v>
      </c>
    </row>
    <row r="148">
      <c r="A148" t="n">
        <v>0.753</v>
      </c>
      <c r="B148" t="n">
        <v>-0.031</v>
      </c>
      <c r="C148" t="n">
        <v>1.006</v>
      </c>
      <c r="D148" t="n">
        <v>0.058</v>
      </c>
    </row>
    <row r="149">
      <c r="A149" t="n">
        <v>0.753</v>
      </c>
      <c r="B149" t="n">
        <v>-0.028</v>
      </c>
      <c r="C149" t="n">
        <v>1.003</v>
      </c>
      <c r="D149" t="n">
        <v>0.075</v>
      </c>
    </row>
    <row r="150">
      <c r="A150" t="n">
        <v>0.754</v>
      </c>
      <c r="B150" t="n">
        <v>-0.02</v>
      </c>
      <c r="C150" t="n">
        <v>1.003</v>
      </c>
      <c r="D150" t="n">
        <v>0.08599999999999999</v>
      </c>
    </row>
    <row r="151">
      <c r="A151" t="n">
        <v>0.755</v>
      </c>
      <c r="B151" t="n">
        <v>-0.006</v>
      </c>
      <c r="C151" t="n">
        <v>1.009</v>
      </c>
      <c r="D151" t="n">
        <v>0.08599999999999999</v>
      </c>
    </row>
    <row r="152">
      <c r="A152" t="n">
        <v>0.755</v>
      </c>
      <c r="B152" t="n">
        <v>0.002</v>
      </c>
      <c r="C152" t="n">
        <v>1.016</v>
      </c>
      <c r="D152" t="n">
        <v>0.07199999999999999</v>
      </c>
    </row>
    <row r="153">
      <c r="A153" t="n">
        <v>0.756</v>
      </c>
      <c r="B153" t="n">
        <v>0.005</v>
      </c>
      <c r="C153" t="n">
        <v>1.021</v>
      </c>
      <c r="D153" t="n">
        <v>0.061</v>
      </c>
    </row>
    <row r="154">
      <c r="A154" t="n">
        <v>0.757</v>
      </c>
      <c r="B154" t="n">
        <v>0.007</v>
      </c>
      <c r="C154" t="n">
        <v>1.025</v>
      </c>
      <c r="D154" t="n">
        <v>0.048</v>
      </c>
    </row>
    <row r="155">
      <c r="A155" t="n">
        <v>0.758</v>
      </c>
      <c r="B155" t="n">
        <v>0.008</v>
      </c>
      <c r="C155" t="n">
        <v>1.028</v>
      </c>
      <c r="D155" t="n">
        <v>0.035</v>
      </c>
    </row>
    <row r="156">
      <c r="A156" t="n">
        <v>0.758</v>
      </c>
      <c r="B156" t="n">
        <v>0.011</v>
      </c>
      <c r="C156" t="n">
        <v>1.029</v>
      </c>
      <c r="D156" t="n">
        <v>0.03</v>
      </c>
    </row>
    <row r="157">
      <c r="A157" t="n">
        <v>0.759</v>
      </c>
      <c r="B157" t="n">
        <v>0.01</v>
      </c>
      <c r="C157" t="n">
        <v>1.028</v>
      </c>
      <c r="D157" t="n">
        <v>0.032</v>
      </c>
    </row>
    <row r="158">
      <c r="A158" t="n">
        <v>0.759</v>
      </c>
      <c r="B158" t="n">
        <v>0.007</v>
      </c>
      <c r="C158" t="n">
        <v>1.026</v>
      </c>
      <c r="D158" t="n">
        <v>0.036</v>
      </c>
    </row>
    <row r="159">
      <c r="A159" t="n">
        <v>0.768</v>
      </c>
      <c r="B159" t="n">
        <v>0.002</v>
      </c>
      <c r="C159" t="n">
        <v>1.022</v>
      </c>
      <c r="D159" t="n">
        <v>0.038</v>
      </c>
    </row>
    <row r="160">
      <c r="A160" t="n">
        <v>0.769</v>
      </c>
      <c r="B160" t="n">
        <v>0.002</v>
      </c>
      <c r="C160" t="n">
        <v>1.022</v>
      </c>
      <c r="D160" t="n">
        <v>0.038</v>
      </c>
    </row>
    <row r="161">
      <c r="A161" t="n">
        <v>0.773</v>
      </c>
      <c r="B161" t="n">
        <v>-0.001</v>
      </c>
      <c r="C161" t="n">
        <v>1.02</v>
      </c>
      <c r="D161" t="n">
        <v>0.041</v>
      </c>
    </row>
    <row r="162">
      <c r="A162" t="n">
        <v>0.777</v>
      </c>
      <c r="B162" t="n">
        <v>-0.001</v>
      </c>
      <c r="C162" t="n">
        <v>1.014</v>
      </c>
      <c r="D162" t="n">
        <v>0.047</v>
      </c>
    </row>
    <row r="163">
      <c r="A163" t="n">
        <v>0.796</v>
      </c>
      <c r="B163" t="n">
        <v>-0.001</v>
      </c>
      <c r="C163" t="n">
        <v>1.01</v>
      </c>
      <c r="D163" t="n">
        <v>0.051</v>
      </c>
    </row>
    <row r="164">
      <c r="A164" t="n">
        <v>0.799</v>
      </c>
      <c r="B164" t="n">
        <v>-0.003</v>
      </c>
      <c r="C164" t="n">
        <v>1.003</v>
      </c>
      <c r="D164" t="n">
        <v>0.053</v>
      </c>
    </row>
    <row r="165">
      <c r="A165" t="n">
        <v>0.8</v>
      </c>
      <c r="B165" t="n">
        <v>-0.004</v>
      </c>
      <c r="C165" t="n">
        <v>1.001</v>
      </c>
      <c r="D165" t="n">
        <v>0.057</v>
      </c>
    </row>
    <row r="166">
      <c r="A166" t="n">
        <v>0.801</v>
      </c>
      <c r="B166" t="n">
        <v>-0.003</v>
      </c>
      <c r="C166" t="n">
        <v>1.002</v>
      </c>
      <c r="D166" t="n">
        <v>0.059</v>
      </c>
    </row>
    <row r="167">
      <c r="A167" t="n">
        <v>0.802</v>
      </c>
      <c r="B167" t="n">
        <v>-0.003</v>
      </c>
      <c r="C167" t="n">
        <v>1.002</v>
      </c>
      <c r="D167" t="n">
        <v>0.059</v>
      </c>
    </row>
    <row r="168">
      <c r="A168" t="n">
        <v>0.838</v>
      </c>
      <c r="B168" t="n">
        <v>-0.004</v>
      </c>
      <c r="C168" t="n">
        <v>1.002</v>
      </c>
      <c r="D168" t="n">
        <v>0.051</v>
      </c>
    </row>
    <row r="169">
      <c r="A169" t="n">
        <v>0.839</v>
      </c>
      <c r="B169" t="n">
        <v>-0.006</v>
      </c>
      <c r="C169" t="n">
        <v>1</v>
      </c>
      <c r="D169" t="n">
        <v>0.051</v>
      </c>
    </row>
    <row r="170">
      <c r="A170" t="n">
        <v>0.839</v>
      </c>
      <c r="B170" t="n">
        <v>-0.006</v>
      </c>
      <c r="C170" t="n">
        <v>0.999</v>
      </c>
      <c r="D170" t="n">
        <v>0.052</v>
      </c>
    </row>
    <row r="171">
      <c r="A171" t="n">
        <v>0.839</v>
      </c>
      <c r="B171" t="n">
        <v>-0.006</v>
      </c>
      <c r="C171" t="n">
        <v>0.999</v>
      </c>
      <c r="D171" t="n">
        <v>0.052</v>
      </c>
    </row>
    <row r="172">
      <c r="A172" t="n">
        <v>0.84</v>
      </c>
      <c r="B172" t="n">
        <v>-0.007</v>
      </c>
      <c r="C172" t="n">
        <v>1.004</v>
      </c>
      <c r="D172" t="n">
        <v>0.054</v>
      </c>
    </row>
    <row r="173">
      <c r="A173" t="n">
        <v>0.84</v>
      </c>
      <c r="B173" t="n">
        <v>-0.007</v>
      </c>
      <c r="C173" t="n">
        <v>1.005</v>
      </c>
      <c r="D173" t="n">
        <v>0.051</v>
      </c>
    </row>
    <row r="174">
      <c r="A174" t="n">
        <v>0.84</v>
      </c>
      <c r="B174" t="n">
        <v>-0.005</v>
      </c>
      <c r="C174" t="n">
        <v>1.007</v>
      </c>
      <c r="D174" t="n">
        <v>0.052</v>
      </c>
    </row>
    <row r="175">
      <c r="A175" t="n">
        <v>0.844</v>
      </c>
      <c r="B175" t="n">
        <v>-0.004</v>
      </c>
      <c r="C175" t="n">
        <v>1.006</v>
      </c>
      <c r="D175" t="n">
        <v>0.056</v>
      </c>
    </row>
    <row r="176">
      <c r="A176" t="n">
        <v>0.847</v>
      </c>
      <c r="B176" t="n">
        <v>-0.005</v>
      </c>
      <c r="C176" t="n">
        <v>1</v>
      </c>
      <c r="D176" t="n">
        <v>0.061</v>
      </c>
    </row>
    <row r="177">
      <c r="A177" t="n">
        <v>0.853</v>
      </c>
      <c r="B177" t="n">
        <v>-0.005</v>
      </c>
      <c r="C177" t="n">
        <v>1</v>
      </c>
      <c r="D177" t="n">
        <v>0.066</v>
      </c>
    </row>
    <row r="178">
      <c r="A178" t="n">
        <v>0.857</v>
      </c>
      <c r="B178" t="n">
        <v>-0.008</v>
      </c>
      <c r="C178" t="n">
        <v>1.001</v>
      </c>
      <c r="D178" t="n">
        <v>0.068</v>
      </c>
    </row>
    <row r="179">
      <c r="A179" t="n">
        <v>0.862</v>
      </c>
      <c r="B179" t="n">
        <v>-0.011</v>
      </c>
      <c r="C179" t="n">
        <v>1.003</v>
      </c>
      <c r="D179" t="n">
        <v>0.067</v>
      </c>
    </row>
    <row r="180">
      <c r="A180" t="n">
        <v>0.881</v>
      </c>
      <c r="B180" t="n">
        <v>-0.012</v>
      </c>
      <c r="C180" t="n">
        <v>1.008</v>
      </c>
      <c r="D180" t="n">
        <v>0.061</v>
      </c>
    </row>
    <row r="181">
      <c r="A181" t="n">
        <v>0.884</v>
      </c>
      <c r="B181" t="n">
        <v>-0.013</v>
      </c>
      <c r="C181" t="n">
        <v>1.011</v>
      </c>
      <c r="D181" t="n">
        <v>0.059</v>
      </c>
    </row>
    <row r="182">
      <c r="A182" t="n">
        <v>0.885</v>
      </c>
      <c r="B182" t="n">
        <v>-0.017</v>
      </c>
      <c r="C182" t="n">
        <v>1.013</v>
      </c>
      <c r="D182" t="n">
        <v>0.05</v>
      </c>
    </row>
    <row r="183">
      <c r="A183" t="n">
        <v>0.9340000000000001</v>
      </c>
      <c r="B183" t="n">
        <v>-0.026</v>
      </c>
      <c r="C183" t="n">
        <v>1.011</v>
      </c>
      <c r="D183" t="n">
        <v>0.05</v>
      </c>
    </row>
    <row r="184">
      <c r="A184" t="n">
        <v>0.9350000000000001</v>
      </c>
      <c r="B184" t="n">
        <v>-0.026</v>
      </c>
      <c r="C184" t="n">
        <v>1.011</v>
      </c>
      <c r="D184" t="n">
        <v>0.05</v>
      </c>
    </row>
    <row r="185">
      <c r="A185" t="n">
        <v>0.9350000000000001</v>
      </c>
      <c r="B185" t="n">
        <v>-0.026</v>
      </c>
      <c r="C185" t="n">
        <v>1.011</v>
      </c>
      <c r="D185" t="n">
        <v>0.05</v>
      </c>
    </row>
    <row r="186">
      <c r="A186" t="n">
        <v>0.9360000000000001</v>
      </c>
      <c r="B186" t="n">
        <v>-0.031</v>
      </c>
      <c r="C186" t="n">
        <v>1.005</v>
      </c>
      <c r="D186" t="n">
        <v>0.057</v>
      </c>
    </row>
    <row r="187">
      <c r="A187" t="n">
        <v>0.9370000000000001</v>
      </c>
      <c r="B187" t="n">
        <v>-0.029</v>
      </c>
      <c r="C187" t="n">
        <v>1.008</v>
      </c>
      <c r="D187" t="n">
        <v>0.065</v>
      </c>
    </row>
    <row r="188">
      <c r="A188" t="n">
        <v>0.9379999999999999</v>
      </c>
      <c r="B188" t="n">
        <v>-0.03</v>
      </c>
      <c r="C188" t="n">
        <v>1.007</v>
      </c>
      <c r="D188" t="n">
        <v>0.065</v>
      </c>
    </row>
    <row r="189">
      <c r="A189" t="n">
        <v>0.9379999999999999</v>
      </c>
      <c r="B189" t="n">
        <v>-0.033</v>
      </c>
      <c r="C189" t="n">
        <v>1.008</v>
      </c>
      <c r="D189" t="n">
        <v>0.057</v>
      </c>
    </row>
    <row r="190">
      <c r="A190" t="n">
        <v>0.9389999999999999</v>
      </c>
      <c r="B190" t="n">
        <v>-0.035</v>
      </c>
      <c r="C190" t="n">
        <v>1.007</v>
      </c>
      <c r="D190" t="n">
        <v>0.044</v>
      </c>
    </row>
    <row r="191">
      <c r="A191" t="n">
        <v>0.9399999999999999</v>
      </c>
      <c r="B191" t="n">
        <v>-0.036</v>
      </c>
      <c r="C191" t="n">
        <v>1.01</v>
      </c>
      <c r="D191" t="n">
        <v>0.029</v>
      </c>
    </row>
    <row r="192">
      <c r="A192" t="n">
        <v>0.9399999999999999</v>
      </c>
      <c r="B192" t="n">
        <v>-0.037</v>
      </c>
      <c r="C192" t="n">
        <v>1.017</v>
      </c>
      <c r="D192" t="n">
        <v>0.024</v>
      </c>
    </row>
    <row r="193">
      <c r="A193" t="n">
        <v>0.9409999999999999</v>
      </c>
      <c r="B193" t="n">
        <v>-0.038</v>
      </c>
      <c r="C193" t="n">
        <v>1.02</v>
      </c>
      <c r="D193" t="n">
        <v>0.026</v>
      </c>
    </row>
    <row r="194">
      <c r="A194" t="n">
        <v>0.9409999999999999</v>
      </c>
      <c r="B194" t="n">
        <v>-0.038</v>
      </c>
      <c r="C194" t="n">
        <v>1.02</v>
      </c>
      <c r="D194" t="n">
        <v>0.026</v>
      </c>
    </row>
    <row r="195">
      <c r="A195" t="n">
        <v>0.9419999999999999</v>
      </c>
      <c r="B195" t="n">
        <v>-0.045</v>
      </c>
      <c r="C195" t="n">
        <v>1.021</v>
      </c>
      <c r="D195" t="n">
        <v>0.031</v>
      </c>
    </row>
    <row r="196">
      <c r="A196" t="n">
        <v>0.9429999999999999</v>
      </c>
      <c r="B196" t="n">
        <v>-0.051</v>
      </c>
      <c r="C196" t="n">
        <v>1.019</v>
      </c>
      <c r="D196" t="n">
        <v>0.039</v>
      </c>
    </row>
    <row r="197">
      <c r="A197" t="n">
        <v>0.947</v>
      </c>
      <c r="B197" t="n">
        <v>-0.055</v>
      </c>
      <c r="C197" t="n">
        <v>1.013</v>
      </c>
      <c r="D197" t="n">
        <v>0.05</v>
      </c>
    </row>
    <row r="198">
      <c r="A198" t="n">
        <v>0.954</v>
      </c>
      <c r="B198" t="n">
        <v>-0.055</v>
      </c>
      <c r="C198" t="n">
        <v>1.004</v>
      </c>
      <c r="D198" t="n">
        <v>0.053</v>
      </c>
    </row>
    <row r="199">
      <c r="A199" t="n">
        <v>0.957</v>
      </c>
      <c r="B199" t="n">
        <v>-0.052</v>
      </c>
      <c r="C199" t="n">
        <v>1.002</v>
      </c>
      <c r="D199" t="n">
        <v>0.057</v>
      </c>
    </row>
    <row r="200">
      <c r="A200" t="n">
        <v>0.962</v>
      </c>
      <c r="B200" t="n">
        <v>-0.047</v>
      </c>
      <c r="C200" t="n">
        <v>1.001</v>
      </c>
      <c r="D200" t="n">
        <v>0.064</v>
      </c>
    </row>
    <row r="201">
      <c r="A201" t="n">
        <v>0.979</v>
      </c>
      <c r="B201" t="n">
        <v>-0.044</v>
      </c>
      <c r="C201" t="n">
        <v>1.001</v>
      </c>
      <c r="D201" t="n">
        <v>0.066</v>
      </c>
    </row>
    <row r="202">
      <c r="A202" t="n">
        <v>0.992</v>
      </c>
      <c r="B202" t="n">
        <v>-0.043</v>
      </c>
      <c r="C202" t="n">
        <v>0.997</v>
      </c>
      <c r="D202" t="n">
        <v>0.068</v>
      </c>
    </row>
    <row r="203">
      <c r="A203" t="n">
        <v>0.992</v>
      </c>
      <c r="B203" t="n">
        <v>-0.036</v>
      </c>
      <c r="C203" t="n">
        <v>0.997</v>
      </c>
      <c r="D203" t="n">
        <v>0.068</v>
      </c>
    </row>
    <row r="204">
      <c r="A204" t="n">
        <v>0.993</v>
      </c>
      <c r="B204" t="n">
        <v>-0.027</v>
      </c>
      <c r="C204" t="n">
        <v>0.997</v>
      </c>
      <c r="D204" t="n">
        <v>0.059</v>
      </c>
    </row>
    <row r="205">
      <c r="A205" t="n">
        <v>0.993</v>
      </c>
      <c r="B205" t="n">
        <v>-0.027</v>
      </c>
      <c r="C205" t="n">
        <v>0.997</v>
      </c>
      <c r="D205" t="n">
        <v>0.059</v>
      </c>
    </row>
    <row r="206">
      <c r="A206" t="n">
        <v>1.02</v>
      </c>
      <c r="B206" t="n">
        <v>-0.01</v>
      </c>
      <c r="C206" t="n">
        <v>1.003</v>
      </c>
      <c r="D206" t="n">
        <v>0.068</v>
      </c>
    </row>
    <row r="207">
      <c r="A207" t="n">
        <v>1.021</v>
      </c>
      <c r="B207" t="n">
        <v>-0.01</v>
      </c>
      <c r="C207" t="n">
        <v>1.003</v>
      </c>
      <c r="D207" t="n">
        <v>0.068</v>
      </c>
    </row>
    <row r="208">
      <c r="A208" t="n">
        <v>1.021</v>
      </c>
      <c r="B208" t="n">
        <v>-0.01</v>
      </c>
      <c r="C208" t="n">
        <v>1.003</v>
      </c>
      <c r="D208" t="n">
        <v>0.068</v>
      </c>
    </row>
    <row r="209">
      <c r="A209" t="n">
        <v>1.021</v>
      </c>
      <c r="B209" t="n">
        <v>0.004</v>
      </c>
      <c r="C209" t="n">
        <v>1.004</v>
      </c>
      <c r="D209" t="n">
        <v>0.08400000000000001</v>
      </c>
    </row>
    <row r="210">
      <c r="A210" t="n">
        <v>1.022</v>
      </c>
      <c r="B210" t="n">
        <v>0.008</v>
      </c>
      <c r="C210" t="n">
        <v>1</v>
      </c>
      <c r="D210" t="n">
        <v>0.08799999999999999</v>
      </c>
    </row>
    <row r="211">
      <c r="A211" t="n">
        <v>1.022</v>
      </c>
      <c r="B211" t="n">
        <v>0.015</v>
      </c>
      <c r="C211" t="n">
        <v>1.005</v>
      </c>
      <c r="D211" t="n">
        <v>0.096</v>
      </c>
    </row>
    <row r="212">
      <c r="A212" t="n">
        <v>1.022</v>
      </c>
      <c r="B212" t="n">
        <v>0.021</v>
      </c>
      <c r="C212" t="n">
        <v>1.009</v>
      </c>
      <c r="D212" t="n">
        <v>0.103</v>
      </c>
    </row>
    <row r="213">
      <c r="A213" t="n">
        <v>1.027</v>
      </c>
      <c r="B213" t="n">
        <v>0.025</v>
      </c>
      <c r="C213" t="n">
        <v>1.014</v>
      </c>
      <c r="D213" t="n">
        <v>0.106</v>
      </c>
    </row>
    <row r="214">
      <c r="A214" t="n">
        <v>1.038</v>
      </c>
      <c r="B214" t="n">
        <v>0.029</v>
      </c>
      <c r="C214" t="n">
        <v>1.02</v>
      </c>
      <c r="D214" t="n">
        <v>0.102</v>
      </c>
    </row>
    <row r="215">
      <c r="A215" t="n">
        <v>1.038</v>
      </c>
      <c r="B215" t="n">
        <v>0.03</v>
      </c>
      <c r="C215" t="n">
        <v>1.021</v>
      </c>
      <c r="D215" t="n">
        <v>0.094</v>
      </c>
    </row>
    <row r="216">
      <c r="A216" t="n">
        <v>1.043</v>
      </c>
      <c r="B216" t="n">
        <v>0.029</v>
      </c>
      <c r="C216" t="n">
        <v>1.023</v>
      </c>
      <c r="D216" t="n">
        <v>0.08699999999999999</v>
      </c>
    </row>
    <row r="217">
      <c r="A217" t="n">
        <v>1.047</v>
      </c>
      <c r="B217" t="n">
        <v>0.029</v>
      </c>
      <c r="C217" t="n">
        <v>1.025</v>
      </c>
      <c r="D217" t="n">
        <v>0.075</v>
      </c>
    </row>
    <row r="218">
      <c r="A218" t="n">
        <v>1.06</v>
      </c>
      <c r="B218" t="n">
        <v>0.028</v>
      </c>
      <c r="C218" t="n">
        <v>1.035</v>
      </c>
      <c r="D218" t="n">
        <v>0.061</v>
      </c>
    </row>
    <row r="219">
      <c r="A219" t="n">
        <v>1.061</v>
      </c>
      <c r="B219" t="n">
        <v>0.028</v>
      </c>
      <c r="C219" t="n">
        <v>1.035</v>
      </c>
      <c r="D219" t="n">
        <v>0.061</v>
      </c>
    </row>
    <row r="220">
      <c r="A220" t="n">
        <v>1.061</v>
      </c>
      <c r="B220" t="n">
        <v>0.026</v>
      </c>
      <c r="C220" t="n">
        <v>1.048</v>
      </c>
      <c r="D220" t="n">
        <v>0.055</v>
      </c>
    </row>
    <row r="221">
      <c r="A221" t="n">
        <v>1.063</v>
      </c>
      <c r="B221" t="n">
        <v>0.023</v>
      </c>
      <c r="C221" t="n">
        <v>1.058</v>
      </c>
      <c r="D221" t="n">
        <v>0.05</v>
      </c>
    </row>
    <row r="222">
      <c r="A222" t="n">
        <v>1.095</v>
      </c>
      <c r="B222" t="n">
        <v>0.018</v>
      </c>
      <c r="C222" t="n">
        <v>1.059</v>
      </c>
      <c r="D222" t="n">
        <v>0.052</v>
      </c>
    </row>
    <row r="223">
      <c r="A223" t="n">
        <v>1.096</v>
      </c>
      <c r="B223" t="n">
        <v>0.018</v>
      </c>
      <c r="C223" t="n">
        <v>1.059</v>
      </c>
      <c r="D223" t="n">
        <v>0.052</v>
      </c>
    </row>
    <row r="224">
      <c r="A224" t="n">
        <v>1.096</v>
      </c>
      <c r="B224" t="n">
        <v>-0.002</v>
      </c>
      <c r="C224" t="n">
        <v>1.045</v>
      </c>
      <c r="D224" t="n">
        <v>0.05</v>
      </c>
    </row>
    <row r="225">
      <c r="A225" t="n">
        <v>1.096</v>
      </c>
      <c r="B225" t="n">
        <v>-0.01</v>
      </c>
      <c r="C225" t="n">
        <v>1.043</v>
      </c>
      <c r="D225" t="n">
        <v>0.061</v>
      </c>
    </row>
    <row r="226">
      <c r="A226" t="n">
        <v>1.097</v>
      </c>
      <c r="B226" t="n">
        <v>-0.018</v>
      </c>
      <c r="C226" t="n">
        <v>1.041</v>
      </c>
      <c r="D226" t="n">
        <v>0.07099999999999999</v>
      </c>
    </row>
    <row r="227">
      <c r="A227" t="n">
        <v>1.098</v>
      </c>
      <c r="B227" t="n">
        <v>-0.017</v>
      </c>
      <c r="C227" t="n">
        <v>1.042</v>
      </c>
      <c r="D227" t="n">
        <v>0.078</v>
      </c>
    </row>
    <row r="228">
      <c r="A228" t="n">
        <v>1.1</v>
      </c>
      <c r="B228" t="n">
        <v>-0.012</v>
      </c>
      <c r="C228" t="n">
        <v>1.044</v>
      </c>
      <c r="D228" t="n">
        <v>0.08500000000000001</v>
      </c>
    </row>
    <row r="229">
      <c r="A229" t="n">
        <v>1.105</v>
      </c>
      <c r="B229" t="n">
        <v>-0.006</v>
      </c>
      <c r="C229" t="n">
        <v>1.047</v>
      </c>
      <c r="D229" t="n">
        <v>0.082</v>
      </c>
    </row>
    <row r="230">
      <c r="A230" t="n">
        <v>1.107</v>
      </c>
      <c r="B230" t="n">
        <v>0</v>
      </c>
      <c r="C230" t="n">
        <v>1.049</v>
      </c>
      <c r="D230" t="n">
        <v>0.075</v>
      </c>
    </row>
    <row r="231">
      <c r="A231" t="n">
        <v>1.113</v>
      </c>
      <c r="B231" t="n">
        <v>0.001</v>
      </c>
      <c r="C231" t="n">
        <v>1.047</v>
      </c>
      <c r="D231" t="n">
        <v>0.063</v>
      </c>
    </row>
    <row r="232">
      <c r="A232" t="n">
        <v>1.121</v>
      </c>
      <c r="B232" t="n">
        <v>-0.001</v>
      </c>
      <c r="C232" t="n">
        <v>1.044</v>
      </c>
      <c r="D232" t="n">
        <v>0.066</v>
      </c>
    </row>
    <row r="233">
      <c r="A233" t="n">
        <v>1.123</v>
      </c>
      <c r="B233" t="n">
        <v>-0.001</v>
      </c>
      <c r="C233" t="n">
        <v>1.044</v>
      </c>
      <c r="D233" t="n">
        <v>0.066</v>
      </c>
    </row>
    <row r="234">
      <c r="A234" t="n">
        <v>1.124</v>
      </c>
      <c r="B234" t="n">
        <v>0.002</v>
      </c>
      <c r="C234" t="n">
        <v>1.042</v>
      </c>
      <c r="D234" t="n">
        <v>0.066</v>
      </c>
    </row>
    <row r="235">
      <c r="A235" t="n">
        <v>1.127</v>
      </c>
      <c r="B235" t="n">
        <v>0.01</v>
      </c>
      <c r="C235" t="n">
        <v>1.037</v>
      </c>
      <c r="D235" t="n">
        <v>0.068</v>
      </c>
    </row>
    <row r="236">
      <c r="A236" t="n">
        <v>1.133</v>
      </c>
      <c r="B236" t="n">
        <v>0.026</v>
      </c>
      <c r="C236" t="n">
        <v>1.037</v>
      </c>
      <c r="D236" t="n">
        <v>0.075</v>
      </c>
    </row>
    <row r="237">
      <c r="A237" t="n">
        <v>1.139</v>
      </c>
      <c r="B237" t="n">
        <v>0.037</v>
      </c>
      <c r="C237" t="n">
        <v>1.037</v>
      </c>
      <c r="D237" t="n">
        <v>0.08599999999999999</v>
      </c>
    </row>
    <row r="238">
      <c r="A238" t="n">
        <v>1.143</v>
      </c>
      <c r="B238" t="n">
        <v>0.041</v>
      </c>
      <c r="C238" t="n">
        <v>1.035</v>
      </c>
      <c r="D238" t="n">
        <v>0.089</v>
      </c>
    </row>
    <row r="239">
      <c r="A239" t="n">
        <v>1.147</v>
      </c>
      <c r="B239" t="n">
        <v>0.038</v>
      </c>
      <c r="C239" t="n">
        <v>1.028</v>
      </c>
      <c r="D239" t="n">
        <v>0.096</v>
      </c>
    </row>
    <row r="240">
      <c r="A240" t="n">
        <v>1.16</v>
      </c>
      <c r="B240" t="n">
        <v>0.029</v>
      </c>
      <c r="C240" t="n">
        <v>1.023</v>
      </c>
      <c r="D240" t="n">
        <v>0.092</v>
      </c>
    </row>
    <row r="241">
      <c r="A241" t="n">
        <v>1.161</v>
      </c>
      <c r="B241" t="n">
        <v>0.018</v>
      </c>
      <c r="C241" t="n">
        <v>1.023</v>
      </c>
      <c r="D241" t="n">
        <v>0.08400000000000001</v>
      </c>
    </row>
    <row r="242">
      <c r="A242" t="n">
        <v>1.163</v>
      </c>
      <c r="B242" t="n">
        <v>0.011</v>
      </c>
      <c r="C242" t="n">
        <v>1.025</v>
      </c>
      <c r="D242" t="n">
        <v>0.073</v>
      </c>
    </row>
    <row r="243">
      <c r="A243" t="n">
        <v>1.198</v>
      </c>
      <c r="B243" t="n">
        <v>0.002</v>
      </c>
      <c r="C243" t="n">
        <v>1.026</v>
      </c>
      <c r="D243" t="n">
        <v>0.062</v>
      </c>
    </row>
    <row r="244">
      <c r="A244" t="n">
        <v>1.199</v>
      </c>
      <c r="B244" t="n">
        <v>-0.005</v>
      </c>
      <c r="C244" t="n">
        <v>1.026</v>
      </c>
      <c r="D244" t="n">
        <v>0.049</v>
      </c>
    </row>
    <row r="245">
      <c r="A245" t="n">
        <v>1.199</v>
      </c>
      <c r="B245" t="n">
        <v>-0.01</v>
      </c>
      <c r="C245" t="n">
        <v>1.018</v>
      </c>
      <c r="D245" t="n">
        <v>0.041</v>
      </c>
    </row>
    <row r="246">
      <c r="A246" t="n">
        <v>1.2</v>
      </c>
      <c r="B246" t="n">
        <v>-0.02</v>
      </c>
      <c r="C246" t="n">
        <v>1.008</v>
      </c>
      <c r="D246" t="n">
        <v>0.032</v>
      </c>
    </row>
    <row r="247">
      <c r="A247" t="n">
        <v>1.2</v>
      </c>
      <c r="B247" t="n">
        <v>-0.025</v>
      </c>
      <c r="C247" t="n">
        <v>0.997</v>
      </c>
      <c r="D247" t="n">
        <v>0.033</v>
      </c>
    </row>
    <row r="248">
      <c r="A248" t="n">
        <v>1.2</v>
      </c>
      <c r="B248" t="n">
        <v>-0.028</v>
      </c>
      <c r="C248" t="n">
        <v>0.983</v>
      </c>
      <c r="D248" t="n">
        <v>0.044</v>
      </c>
    </row>
    <row r="249">
      <c r="A249" t="n">
        <v>1.2</v>
      </c>
      <c r="B249" t="n">
        <v>-0.03</v>
      </c>
      <c r="C249" t="n">
        <v>0.966</v>
      </c>
      <c r="D249" t="n">
        <v>0.065</v>
      </c>
    </row>
    <row r="250">
      <c r="A250" t="n">
        <v>1.209</v>
      </c>
      <c r="B250" t="n">
        <v>-0.028</v>
      </c>
      <c r="C250" t="n">
        <v>0.952</v>
      </c>
      <c r="D250" t="n">
        <v>0.08</v>
      </c>
    </row>
    <row r="251">
      <c r="A251" t="n">
        <v>1.21</v>
      </c>
      <c r="B251" t="n">
        <v>-0.023</v>
      </c>
      <c r="C251" t="n">
        <v>0.9409999999999999</v>
      </c>
      <c r="D251" t="n">
        <v>0.095</v>
      </c>
    </row>
    <row r="252">
      <c r="A252" t="n">
        <v>1.213</v>
      </c>
      <c r="B252" t="n">
        <v>-0.024</v>
      </c>
      <c r="C252" t="n">
        <v>0.9370000000000001</v>
      </c>
      <c r="D252" t="n">
        <v>0.105</v>
      </c>
    </row>
    <row r="253">
      <c r="A253" t="n">
        <v>1.218</v>
      </c>
      <c r="B253" t="n">
        <v>-0.025</v>
      </c>
      <c r="C253" t="n">
        <v>0.928</v>
      </c>
      <c r="D253" t="n">
        <v>0.11</v>
      </c>
    </row>
    <row r="254">
      <c r="A254" t="n">
        <v>1.223</v>
      </c>
      <c r="B254" t="n">
        <v>-0.028</v>
      </c>
      <c r="C254" t="n">
        <v>0.926</v>
      </c>
      <c r="D254" t="n">
        <v>0.112</v>
      </c>
    </row>
    <row r="255">
      <c r="A255" t="n">
        <v>1.227</v>
      </c>
      <c r="B255" t="n">
        <v>-0.029</v>
      </c>
      <c r="C255" t="n">
        <v>0.924</v>
      </c>
      <c r="D255" t="n">
        <v>0.1</v>
      </c>
    </row>
    <row r="256">
      <c r="A256" t="n">
        <v>1.233</v>
      </c>
      <c r="B256" t="n">
        <v>-0.03</v>
      </c>
      <c r="C256" t="n">
        <v>0.922</v>
      </c>
      <c r="D256" t="n">
        <v>0.097</v>
      </c>
    </row>
    <row r="257">
      <c r="A257" t="n">
        <v>1.253</v>
      </c>
      <c r="B257" t="n">
        <v>-0.03</v>
      </c>
      <c r="C257" t="n">
        <v>0.92</v>
      </c>
      <c r="D257" t="n">
        <v>0.095</v>
      </c>
    </row>
    <row r="258">
      <c r="A258" t="n">
        <v>1.254</v>
      </c>
      <c r="B258" t="n">
        <v>-0.026</v>
      </c>
      <c r="C258" t="n">
        <v>0.925</v>
      </c>
      <c r="D258" t="n">
        <v>0.094</v>
      </c>
    </row>
    <row r="259">
      <c r="A259" t="n">
        <v>1.255</v>
      </c>
      <c r="B259" t="n">
        <v>-0.021</v>
      </c>
      <c r="C259" t="n">
        <v>0.9330000000000001</v>
      </c>
      <c r="D259" t="n">
        <v>0.097</v>
      </c>
    </row>
    <row r="260">
      <c r="A260" t="n">
        <v>1.256</v>
      </c>
      <c r="B260" t="n">
        <v>-0.014</v>
      </c>
      <c r="C260" t="n">
        <v>0.9360000000000001</v>
      </c>
      <c r="D260" t="n">
        <v>0.102</v>
      </c>
    </row>
    <row r="261">
      <c r="A261" t="n">
        <v>1.26</v>
      </c>
      <c r="B261" t="n">
        <v>-0.001</v>
      </c>
      <c r="C261" t="n">
        <v>0.9429999999999999</v>
      </c>
      <c r="D261" t="n">
        <v>0.112</v>
      </c>
    </row>
    <row r="262">
      <c r="A262" t="n">
        <v>1.263</v>
      </c>
      <c r="B262" t="n">
        <v>0.013</v>
      </c>
      <c r="C262" t="n">
        <v>0.951</v>
      </c>
      <c r="D262" t="n">
        <v>0.118</v>
      </c>
    </row>
    <row r="263">
      <c r="A263" t="n">
        <v>1.289</v>
      </c>
      <c r="B263" t="n">
        <v>0.027</v>
      </c>
      <c r="C263" t="n">
        <v>0.959</v>
      </c>
      <c r="D263" t="n">
        <v>0.115</v>
      </c>
    </row>
    <row r="264">
      <c r="A264" t="n">
        <v>1.291</v>
      </c>
      <c r="B264" t="n">
        <v>0.038</v>
      </c>
      <c r="C264" t="n">
        <v>0.969</v>
      </c>
      <c r="D264" t="n">
        <v>0.114</v>
      </c>
    </row>
    <row r="265">
      <c r="A265" t="n">
        <v>1.291</v>
      </c>
      <c r="B265" t="n">
        <v>0.049</v>
      </c>
      <c r="C265" t="n">
        <v>0.977</v>
      </c>
      <c r="D265" t="n">
        <v>0.109</v>
      </c>
    </row>
    <row r="266">
      <c r="A266" t="n">
        <v>1.292</v>
      </c>
      <c r="B266" t="n">
        <v>0.053</v>
      </c>
      <c r="C266" t="n">
        <v>0.982</v>
      </c>
      <c r="D266" t="n">
        <v>0.1</v>
      </c>
    </row>
    <row r="267">
      <c r="A267" t="n">
        <v>1.293</v>
      </c>
      <c r="B267" t="n">
        <v>0.057</v>
      </c>
      <c r="C267" t="n">
        <v>0.988</v>
      </c>
      <c r="D267" t="n">
        <v>0.093</v>
      </c>
    </row>
    <row r="268">
      <c r="A268" t="n">
        <v>1.294</v>
      </c>
      <c r="B268" t="n">
        <v>0.056</v>
      </c>
      <c r="C268" t="n">
        <v>0.994</v>
      </c>
      <c r="D268" t="n">
        <v>0.08599999999999999</v>
      </c>
    </row>
    <row r="269">
      <c r="A269" t="n">
        <v>1.298</v>
      </c>
      <c r="B269" t="n">
        <v>0.048</v>
      </c>
      <c r="C269" t="n">
        <v>1</v>
      </c>
      <c r="D269" t="n">
        <v>0.08</v>
      </c>
    </row>
    <row r="270">
      <c r="A270" t="n">
        <v>1.304</v>
      </c>
      <c r="B270" t="n">
        <v>0.04</v>
      </c>
      <c r="C270" t="n">
        <v>1.005</v>
      </c>
      <c r="D270" t="n">
        <v>0.07099999999999999</v>
      </c>
    </row>
    <row r="271">
      <c r="A271" t="n">
        <v>1.307</v>
      </c>
      <c r="B271" t="n">
        <v>0.03</v>
      </c>
      <c r="C271" t="n">
        <v>1.008</v>
      </c>
      <c r="D271" t="n">
        <v>0.059</v>
      </c>
    </row>
    <row r="272">
      <c r="A272" t="n">
        <v>1.312</v>
      </c>
      <c r="B272" t="n">
        <v>0.015</v>
      </c>
      <c r="C272" t="n">
        <v>1.008</v>
      </c>
      <c r="D272" t="n">
        <v>0.057</v>
      </c>
    </row>
    <row r="273">
      <c r="A273" t="n">
        <v>1.32</v>
      </c>
      <c r="B273" t="n">
        <v>0.001</v>
      </c>
      <c r="C273" t="n">
        <v>1.008</v>
      </c>
      <c r="D273" t="n">
        <v>0.054</v>
      </c>
    </row>
    <row r="274">
      <c r="A274" t="n">
        <v>1.324</v>
      </c>
      <c r="B274" t="n">
        <v>-0.012</v>
      </c>
      <c r="C274" t="n">
        <v>1.01</v>
      </c>
      <c r="D274" t="n">
        <v>0.047</v>
      </c>
    </row>
    <row r="275">
      <c r="A275" t="n">
        <v>1.328</v>
      </c>
      <c r="B275" t="n">
        <v>-0.022</v>
      </c>
      <c r="C275" t="n">
        <v>1.013</v>
      </c>
      <c r="D275" t="n">
        <v>0.05</v>
      </c>
    </row>
    <row r="276">
      <c r="A276" t="n">
        <v>1.335</v>
      </c>
      <c r="B276" t="n">
        <v>-0.036</v>
      </c>
      <c r="C276" t="n">
        <v>1.018</v>
      </c>
      <c r="D276" t="n">
        <v>0.051</v>
      </c>
    </row>
    <row r="277">
      <c r="A277" t="n">
        <v>1.339</v>
      </c>
      <c r="B277" t="n">
        <v>-0.049</v>
      </c>
      <c r="C277" t="n">
        <v>1.021</v>
      </c>
      <c r="D277" t="n">
        <v>0.051</v>
      </c>
    </row>
    <row r="278">
      <c r="A278" t="n">
        <v>1.343</v>
      </c>
      <c r="B278" t="n">
        <v>-0.063</v>
      </c>
      <c r="C278" t="n">
        <v>1.02</v>
      </c>
      <c r="D278" t="n">
        <v>0.053</v>
      </c>
    </row>
    <row r="279">
      <c r="A279" t="n">
        <v>1.347</v>
      </c>
      <c r="B279" t="n">
        <v>-0.077</v>
      </c>
      <c r="C279" t="n">
        <v>1.018</v>
      </c>
      <c r="D279" t="n">
        <v>0.053</v>
      </c>
    </row>
    <row r="280">
      <c r="A280" t="n">
        <v>1.363</v>
      </c>
      <c r="B280" t="n">
        <v>-0.091</v>
      </c>
      <c r="C280" t="n">
        <v>1.011</v>
      </c>
      <c r="D280" t="n">
        <v>0.052</v>
      </c>
    </row>
    <row r="281">
      <c r="A281" t="n">
        <v>1.364</v>
      </c>
      <c r="B281" t="n">
        <v>-0.091</v>
      </c>
      <c r="C281" t="n">
        <v>1.011</v>
      </c>
      <c r="D281" t="n">
        <v>0.052</v>
      </c>
    </row>
    <row r="282">
      <c r="A282" t="n">
        <v>1.364</v>
      </c>
      <c r="B282" t="n">
        <v>-0.101</v>
      </c>
      <c r="C282" t="n">
        <v>1.011</v>
      </c>
      <c r="D282" t="n">
        <v>0.056</v>
      </c>
    </row>
    <row r="283">
      <c r="A283" t="n">
        <v>1.364</v>
      </c>
      <c r="B283" t="n">
        <v>-0.111</v>
      </c>
      <c r="C283" t="n">
        <v>1.015</v>
      </c>
      <c r="D283" t="n">
        <v>0.059</v>
      </c>
    </row>
    <row r="284">
      <c r="A284" t="n">
        <v>1.42</v>
      </c>
      <c r="B284" t="n">
        <v>-0.121</v>
      </c>
      <c r="C284" t="n">
        <v>1.015</v>
      </c>
      <c r="D284" t="n">
        <v>0.06</v>
      </c>
    </row>
    <row r="285">
      <c r="A285" t="n">
        <v>1.421</v>
      </c>
      <c r="B285" t="n">
        <v>-0.121</v>
      </c>
      <c r="C285" t="n">
        <v>1.015</v>
      </c>
      <c r="D285" t="n">
        <v>0.06</v>
      </c>
    </row>
    <row r="286">
      <c r="A286" t="n">
        <v>1.421</v>
      </c>
      <c r="B286" t="n">
        <v>-0.129</v>
      </c>
      <c r="C286" t="n">
        <v>1.016</v>
      </c>
      <c r="D286" t="n">
        <v>0.057</v>
      </c>
    </row>
    <row r="287">
      <c r="A287" t="n">
        <v>1.421</v>
      </c>
      <c r="B287" t="n">
        <v>-0.134</v>
      </c>
      <c r="C287" t="n">
        <v>1.017</v>
      </c>
      <c r="D287" t="n">
        <v>0.062</v>
      </c>
    </row>
    <row r="288">
      <c r="A288" t="n">
        <v>1.422</v>
      </c>
      <c r="B288" t="n">
        <v>-0.128</v>
      </c>
      <c r="C288" t="n">
        <v>1.021</v>
      </c>
      <c r="D288" t="n">
        <v>0.062</v>
      </c>
    </row>
    <row r="289">
      <c r="A289" t="n">
        <v>1.422</v>
      </c>
      <c r="B289" t="n">
        <v>-0.114</v>
      </c>
      <c r="C289" t="n">
        <v>1.021</v>
      </c>
      <c r="D289" t="n">
        <v>0.063</v>
      </c>
    </row>
    <row r="290">
      <c r="A290" t="n">
        <v>1.422</v>
      </c>
      <c r="B290" t="n">
        <v>-0.098</v>
      </c>
      <c r="C290" t="n">
        <v>1.025</v>
      </c>
      <c r="D290" t="n">
        <v>0.063</v>
      </c>
    </row>
    <row r="291">
      <c r="A291" t="n">
        <v>1.423</v>
      </c>
      <c r="B291" t="n">
        <v>-0.08</v>
      </c>
      <c r="C291" t="n">
        <v>1.026</v>
      </c>
      <c r="D291" t="n">
        <v>0.063</v>
      </c>
    </row>
    <row r="292">
      <c r="A292" t="n">
        <v>1.423</v>
      </c>
      <c r="B292" t="n">
        <v>-0.061</v>
      </c>
      <c r="C292" t="n">
        <v>1.029</v>
      </c>
      <c r="D292" t="n">
        <v>0.06900000000000001</v>
      </c>
    </row>
    <row r="293">
      <c r="A293" t="n">
        <v>1.423</v>
      </c>
      <c r="B293" t="n">
        <v>-0.046</v>
      </c>
      <c r="C293" t="n">
        <v>1.029</v>
      </c>
      <c r="D293" t="n">
        <v>0.083</v>
      </c>
    </row>
    <row r="294">
      <c r="A294" t="n">
        <v>1.423</v>
      </c>
      <c r="B294" t="n">
        <v>-0.033</v>
      </c>
      <c r="C294" t="n">
        <v>1.03</v>
      </c>
      <c r="D294" t="n">
        <v>0.094</v>
      </c>
    </row>
    <row r="295">
      <c r="A295" t="n">
        <v>1.424</v>
      </c>
      <c r="B295" t="n">
        <v>-0.021</v>
      </c>
      <c r="C295" t="n">
        <v>1.026</v>
      </c>
      <c r="D295" t="n">
        <v>0.106</v>
      </c>
    </row>
    <row r="296">
      <c r="A296" t="n">
        <v>1.427</v>
      </c>
      <c r="B296" t="n">
        <v>-0.012</v>
      </c>
      <c r="C296" t="n">
        <v>1.023</v>
      </c>
      <c r="D296" t="n">
        <v>0.118</v>
      </c>
    </row>
    <row r="297">
      <c r="A297" t="n">
        <v>1.432</v>
      </c>
      <c r="B297" t="n">
        <v>-0.002</v>
      </c>
      <c r="C297" t="n">
        <v>1.017</v>
      </c>
      <c r="D297" t="n">
        <v>0.129</v>
      </c>
    </row>
    <row r="298">
      <c r="A298" t="n">
        <v>1.439</v>
      </c>
      <c r="B298" t="n">
        <v>0.007</v>
      </c>
      <c r="C298" t="n">
        <v>1.016</v>
      </c>
      <c r="D298" t="n">
        <v>0.128</v>
      </c>
    </row>
    <row r="299">
      <c r="A299" t="n">
        <v>1.443</v>
      </c>
      <c r="B299" t="n">
        <v>0.012</v>
      </c>
      <c r="C299" t="n">
        <v>1.017</v>
      </c>
      <c r="D299" t="n">
        <v>0.131</v>
      </c>
    </row>
    <row r="300">
      <c r="A300" t="n">
        <v>1.447</v>
      </c>
      <c r="B300" t="n">
        <v>0.014</v>
      </c>
      <c r="C300" t="n">
        <v>1.02</v>
      </c>
      <c r="D300" t="n">
        <v>0.134</v>
      </c>
    </row>
    <row r="301">
      <c r="A301" t="n">
        <v>1.465</v>
      </c>
      <c r="B301" t="n">
        <v>0.016</v>
      </c>
      <c r="C301" t="n">
        <v>1.022</v>
      </c>
      <c r="D301" t="n">
        <v>0.128</v>
      </c>
    </row>
    <row r="302">
      <c r="A302" t="n">
        <v>1.477</v>
      </c>
      <c r="B302" t="n">
        <v>0.016</v>
      </c>
      <c r="C302" t="n">
        <v>1.022</v>
      </c>
      <c r="D302" t="n">
        <v>0.128</v>
      </c>
    </row>
    <row r="303">
      <c r="A303" t="n">
        <v>1.478</v>
      </c>
      <c r="B303" t="n">
        <v>0.008999999999999999</v>
      </c>
      <c r="C303" t="n">
        <v>1.019</v>
      </c>
      <c r="D303" t="n">
        <v>0.124</v>
      </c>
    </row>
    <row r="304">
      <c r="A304" t="n">
        <v>1.479</v>
      </c>
      <c r="B304" t="n">
        <v>0.008999999999999999</v>
      </c>
      <c r="C304" t="n">
        <v>1.019</v>
      </c>
      <c r="D304" t="n">
        <v>0.124</v>
      </c>
    </row>
    <row r="305">
      <c r="A305" t="n">
        <v>1.479</v>
      </c>
      <c r="B305" t="n">
        <v>0.003</v>
      </c>
      <c r="C305" t="n">
        <v>1.017</v>
      </c>
      <c r="D305" t="n">
        <v>0.123</v>
      </c>
    </row>
    <row r="306">
      <c r="A306" t="n">
        <v>1.479</v>
      </c>
      <c r="B306" t="n">
        <v>0.001</v>
      </c>
      <c r="C306" t="n">
        <v>1.016</v>
      </c>
      <c r="D306" t="n">
        <v>0.115</v>
      </c>
    </row>
    <row r="307">
      <c r="A307" t="n">
        <v>1.48</v>
      </c>
      <c r="B307" t="n">
        <v>-0.002</v>
      </c>
      <c r="C307" t="n">
        <v>1.018</v>
      </c>
      <c r="D307" t="n">
        <v>0.109</v>
      </c>
    </row>
    <row r="308">
      <c r="A308" t="n">
        <v>1.502</v>
      </c>
      <c r="B308" t="n">
        <v>-0.005</v>
      </c>
      <c r="C308" t="n">
        <v>1.019</v>
      </c>
      <c r="D308" t="n">
        <v>0.104</v>
      </c>
    </row>
    <row r="309">
      <c r="A309" t="n">
        <v>1.502</v>
      </c>
      <c r="B309" t="n">
        <v>-0.005</v>
      </c>
      <c r="C309" t="n">
        <v>1.019</v>
      </c>
      <c r="D309" t="n">
        <v>0.104</v>
      </c>
    </row>
    <row r="310">
      <c r="A310" t="n">
        <v>1.502</v>
      </c>
      <c r="B310" t="n">
        <v>-0.011</v>
      </c>
      <c r="C310" t="n">
        <v>1.019</v>
      </c>
      <c r="D310" t="n">
        <v>0.104</v>
      </c>
    </row>
    <row r="311">
      <c r="A311" t="n">
        <v>1.502</v>
      </c>
      <c r="B311" t="n">
        <v>-0.011</v>
      </c>
      <c r="C311" t="n">
        <v>1.025</v>
      </c>
      <c r="D311" t="n">
        <v>0.096</v>
      </c>
    </row>
    <row r="312">
      <c r="A312" t="n">
        <v>1.503</v>
      </c>
      <c r="B312" t="n">
        <v>-0.006</v>
      </c>
      <c r="C312" t="n">
        <v>1.036</v>
      </c>
      <c r="D312" t="n">
        <v>0.081</v>
      </c>
    </row>
    <row r="313">
      <c r="A313" t="n">
        <v>1.507</v>
      </c>
      <c r="B313" t="n">
        <v>0.013</v>
      </c>
      <c r="C313" t="n">
        <v>1.057</v>
      </c>
      <c r="D313" t="n">
        <v>0.07199999999999999</v>
      </c>
    </row>
    <row r="314">
      <c r="A314" t="n">
        <v>1.513</v>
      </c>
      <c r="B314" t="n">
        <v>0.041</v>
      </c>
      <c r="C314" t="n">
        <v>1.09</v>
      </c>
      <c r="D314" t="n">
        <v>0.078</v>
      </c>
    </row>
    <row r="315">
      <c r="A315" t="n">
        <v>1.519</v>
      </c>
      <c r="B315" t="n">
        <v>0.018</v>
      </c>
      <c r="C315" t="n">
        <v>1.069</v>
      </c>
      <c r="D315" t="n">
        <v>0.066</v>
      </c>
    </row>
    <row r="316">
      <c r="A316" t="n">
        <v>1.522</v>
      </c>
      <c r="B316" t="n">
        <v>-0.032</v>
      </c>
      <c r="C316" t="n">
        <v>1.031</v>
      </c>
      <c r="D316" t="n">
        <v>0.042</v>
      </c>
    </row>
    <row r="317">
      <c r="A317" t="n">
        <v>1.527</v>
      </c>
      <c r="B317" t="n">
        <v>-0.078</v>
      </c>
      <c r="C317" t="n">
        <v>1.004</v>
      </c>
      <c r="D317" t="n">
        <v>0.018</v>
      </c>
    </row>
    <row r="318">
      <c r="A318" t="n">
        <v>1.533</v>
      </c>
      <c r="B318" t="n">
        <v>-0.095</v>
      </c>
      <c r="C318" t="n">
        <v>0.997</v>
      </c>
      <c r="D318" t="n">
        <v>-0.016</v>
      </c>
    </row>
    <row r="319">
      <c r="A319" t="n">
        <v>1.538</v>
      </c>
      <c r="B319" t="n">
        <v>-0.08599999999999999</v>
      </c>
      <c r="C319" t="n">
        <v>1.009</v>
      </c>
      <c r="D319" t="n">
        <v>-0.025</v>
      </c>
    </row>
    <row r="320">
      <c r="A320" t="n">
        <v>1.543</v>
      </c>
      <c r="B320" t="n">
        <v>-0.052</v>
      </c>
      <c r="C320" t="n">
        <v>1.03</v>
      </c>
      <c r="D320" t="n">
        <v>-0.013</v>
      </c>
    </row>
    <row r="321">
      <c r="A321" t="n">
        <v>1.547</v>
      </c>
      <c r="B321" t="n">
        <v>-0.015</v>
      </c>
      <c r="C321" t="n">
        <v>1.051</v>
      </c>
      <c r="D321" t="n">
        <v>0.008999999999999999</v>
      </c>
    </row>
    <row r="322">
      <c r="A322" t="n">
        <v>1.574</v>
      </c>
      <c r="B322" t="n">
        <v>0.018</v>
      </c>
      <c r="C322" t="n">
        <v>1.071</v>
      </c>
      <c r="D322" t="n">
        <v>0.036</v>
      </c>
    </row>
    <row r="323">
      <c r="A323" t="n">
        <v>1.578</v>
      </c>
      <c r="B323" t="n">
        <v>0.018</v>
      </c>
      <c r="C323" t="n">
        <v>1.071</v>
      </c>
      <c r="D323" t="n">
        <v>0.036</v>
      </c>
    </row>
    <row r="324">
      <c r="A324" t="n">
        <v>1.579</v>
      </c>
      <c r="B324" t="n">
        <v>0.037</v>
      </c>
      <c r="C324" t="n">
        <v>1.069</v>
      </c>
      <c r="D324" t="n">
        <v>0.029</v>
      </c>
    </row>
    <row r="325">
      <c r="A325" t="n">
        <v>1.579</v>
      </c>
      <c r="B325" t="n">
        <v>0.03</v>
      </c>
      <c r="C325" t="n">
        <v>1.052</v>
      </c>
      <c r="D325" t="n">
        <v>0.014</v>
      </c>
    </row>
    <row r="326">
      <c r="A326" t="n">
        <v>1.58</v>
      </c>
      <c r="B326" t="n">
        <v>0.015</v>
      </c>
      <c r="C326" t="n">
        <v>1.037</v>
      </c>
      <c r="D326" t="n">
        <v>0.003</v>
      </c>
    </row>
    <row r="327">
      <c r="A327" t="n">
        <v>1.58</v>
      </c>
      <c r="B327" t="n">
        <v>0.005</v>
      </c>
      <c r="C327" t="n">
        <v>1.022</v>
      </c>
      <c r="D327" t="n">
        <v>0.002</v>
      </c>
    </row>
    <row r="328">
      <c r="A328" t="n">
        <v>1.583</v>
      </c>
      <c r="B328" t="n">
        <v>0.001</v>
      </c>
      <c r="C328" t="n">
        <v>1.014</v>
      </c>
      <c r="D328" t="n">
        <v>0.015</v>
      </c>
    </row>
    <row r="329">
      <c r="A329" t="n">
        <v>1.626</v>
      </c>
      <c r="B329" t="n">
        <v>0.002</v>
      </c>
      <c r="C329" t="n">
        <v>1.014</v>
      </c>
      <c r="D329" t="n">
        <v>0.027</v>
      </c>
    </row>
    <row r="330">
      <c r="A330" t="n">
        <v>1.627</v>
      </c>
      <c r="B330" t="n">
        <v>0.003</v>
      </c>
      <c r="C330" t="n">
        <v>1.017</v>
      </c>
      <c r="D330" t="n">
        <v>0.043</v>
      </c>
    </row>
    <row r="331">
      <c r="A331" t="n">
        <v>1.628</v>
      </c>
      <c r="B331" t="n">
        <v>0.003</v>
      </c>
      <c r="C331" t="n">
        <v>1.017</v>
      </c>
      <c r="D331" t="n">
        <v>0.059</v>
      </c>
    </row>
    <row r="332">
      <c r="A332" t="n">
        <v>1.629</v>
      </c>
      <c r="B332" t="n">
        <v>0.006</v>
      </c>
      <c r="C332" t="n">
        <v>1.015</v>
      </c>
      <c r="D332" t="n">
        <v>0.075</v>
      </c>
    </row>
    <row r="333">
      <c r="A333" t="n">
        <v>1.63</v>
      </c>
      <c r="B333" t="n">
        <v>0.01</v>
      </c>
      <c r="C333" t="n">
        <v>1.011</v>
      </c>
      <c r="D333" t="n">
        <v>0.079</v>
      </c>
    </row>
    <row r="334">
      <c r="A334" t="n">
        <v>1.63</v>
      </c>
      <c r="B334" t="n">
        <v>0.013</v>
      </c>
      <c r="C334" t="n">
        <v>1.01</v>
      </c>
      <c r="D334" t="n">
        <v>0.076</v>
      </c>
    </row>
    <row r="335">
      <c r="A335" t="n">
        <v>1.631</v>
      </c>
      <c r="B335" t="n">
        <v>0.011</v>
      </c>
      <c r="C335" t="n">
        <v>1.009</v>
      </c>
      <c r="D335" t="n">
        <v>0.074</v>
      </c>
    </row>
    <row r="336">
      <c r="A336" t="n">
        <v>1.631</v>
      </c>
      <c r="B336" t="n">
        <v>0.005</v>
      </c>
      <c r="C336" t="n">
        <v>0.999</v>
      </c>
      <c r="D336" t="n">
        <v>0.075</v>
      </c>
    </row>
    <row r="337">
      <c r="A337" t="n">
        <v>1.632</v>
      </c>
      <c r="B337" t="n">
        <v>-0.003</v>
      </c>
      <c r="C337" t="n">
        <v>0.985</v>
      </c>
      <c r="D337" t="n">
        <v>0.058</v>
      </c>
    </row>
    <row r="338">
      <c r="A338" t="n">
        <v>1.633</v>
      </c>
      <c r="B338" t="n">
        <v>-0.005</v>
      </c>
      <c r="C338" t="n">
        <v>0.978</v>
      </c>
      <c r="D338" t="n">
        <v>0.055</v>
      </c>
    </row>
    <row r="339">
      <c r="A339" t="n">
        <v>1.639</v>
      </c>
      <c r="B339" t="n">
        <v>0.002</v>
      </c>
      <c r="C339" t="n">
        <v>0.976</v>
      </c>
      <c r="D339" t="n">
        <v>0.073</v>
      </c>
    </row>
    <row r="340">
      <c r="A340" t="n">
        <v>1.643</v>
      </c>
      <c r="B340" t="n">
        <v>0.008</v>
      </c>
      <c r="C340" t="n">
        <v>0.978</v>
      </c>
      <c r="D340" t="n">
        <v>0.103</v>
      </c>
    </row>
    <row r="341">
      <c r="A341" t="n">
        <v>1.647</v>
      </c>
      <c r="B341" t="n">
        <v>0.006</v>
      </c>
      <c r="C341" t="n">
        <v>0.984</v>
      </c>
      <c r="D341" t="n">
        <v>0.131</v>
      </c>
    </row>
    <row r="342">
      <c r="A342" t="n">
        <v>1.654</v>
      </c>
      <c r="B342" t="n">
        <v>0.002</v>
      </c>
      <c r="C342" t="n">
        <v>0.988</v>
      </c>
      <c r="D342" t="n">
        <v>0.14</v>
      </c>
    </row>
    <row r="343">
      <c r="A343" t="n">
        <v>1.654</v>
      </c>
      <c r="B343" t="n">
        <v>0.002</v>
      </c>
      <c r="C343" t="n">
        <v>0.988</v>
      </c>
      <c r="D343" t="n">
        <v>0.14</v>
      </c>
    </row>
    <row r="344">
      <c r="A344" t="n">
        <v>1.673</v>
      </c>
      <c r="B344" t="n">
        <v>0.004</v>
      </c>
      <c r="C344" t="n">
        <v>0.991</v>
      </c>
      <c r="D344" t="n">
        <v>0.129</v>
      </c>
    </row>
    <row r="345">
      <c r="A345" t="n">
        <v>1.674</v>
      </c>
      <c r="B345" t="n">
        <v>0.01</v>
      </c>
      <c r="C345" t="n">
        <v>0.991</v>
      </c>
      <c r="D345" t="n">
        <v>0.116</v>
      </c>
    </row>
    <row r="346">
      <c r="A346" t="n">
        <v>1.674</v>
      </c>
      <c r="B346" t="n">
        <v>0.013</v>
      </c>
      <c r="C346" t="n">
        <v>0.991</v>
      </c>
      <c r="D346" t="n">
        <v>0.103</v>
      </c>
    </row>
    <row r="347">
      <c r="A347" t="n">
        <v>1.675</v>
      </c>
      <c r="B347" t="n">
        <v>0.014</v>
      </c>
      <c r="C347" t="n">
        <v>0.992</v>
      </c>
      <c r="D347" t="n">
        <v>0.099</v>
      </c>
    </row>
    <row r="348">
      <c r="A348" t="n">
        <v>1.677</v>
      </c>
      <c r="B348" t="n">
        <v>0.014</v>
      </c>
      <c r="C348" t="n">
        <v>1.004</v>
      </c>
      <c r="D348" t="n">
        <v>0.096</v>
      </c>
    </row>
    <row r="349">
      <c r="A349" t="n">
        <v>1.683</v>
      </c>
      <c r="B349" t="n">
        <v>0.014</v>
      </c>
      <c r="C349" t="n">
        <v>1.017</v>
      </c>
      <c r="D349" t="n">
        <v>0.1</v>
      </c>
    </row>
    <row r="350">
      <c r="A350" t="n">
        <v>1.707</v>
      </c>
      <c r="B350" t="n">
        <v>0.015</v>
      </c>
      <c r="C350" t="n">
        <v>1.023</v>
      </c>
      <c r="D350" t="n">
        <v>0.096</v>
      </c>
    </row>
    <row r="351">
      <c r="A351" t="n">
        <v>1.707</v>
      </c>
      <c r="B351" t="n">
        <v>0.014</v>
      </c>
      <c r="C351" t="n">
        <v>1.025</v>
      </c>
      <c r="D351" t="n">
        <v>0.08500000000000001</v>
      </c>
    </row>
    <row r="352">
      <c r="A352" t="n">
        <v>1.708</v>
      </c>
      <c r="B352" t="n">
        <v>0.008999999999999999</v>
      </c>
      <c r="C352" t="n">
        <v>1.023</v>
      </c>
      <c r="D352" t="n">
        <v>0.077</v>
      </c>
    </row>
    <row r="353">
      <c r="A353" t="n">
        <v>1.708</v>
      </c>
      <c r="B353" t="n">
        <v>0.003</v>
      </c>
      <c r="C353" t="n">
        <v>1.018</v>
      </c>
      <c r="D353" t="n">
        <v>0.076</v>
      </c>
    </row>
    <row r="354">
      <c r="A354" t="n">
        <v>1.708</v>
      </c>
      <c r="B354" t="n">
        <v>-0.006</v>
      </c>
      <c r="C354" t="n">
        <v>1.014</v>
      </c>
      <c r="D354" t="n">
        <v>0.075</v>
      </c>
    </row>
    <row r="355">
      <c r="A355" t="n">
        <v>1.713</v>
      </c>
      <c r="B355" t="n">
        <v>-0.017</v>
      </c>
      <c r="C355" t="n">
        <v>1.011</v>
      </c>
      <c r="D355" t="n">
        <v>0.077</v>
      </c>
    </row>
    <row r="356">
      <c r="A356" t="n">
        <v>1.721</v>
      </c>
      <c r="B356" t="n">
        <v>-0.028</v>
      </c>
      <c r="C356" t="n">
        <v>1.008</v>
      </c>
      <c r="D356" t="n">
        <v>0.08500000000000001</v>
      </c>
    </row>
    <row r="357">
      <c r="A357" t="n">
        <v>1.723</v>
      </c>
      <c r="B357" t="n">
        <v>-0.038</v>
      </c>
      <c r="C357" t="n">
        <v>1.005</v>
      </c>
      <c r="D357" t="n">
        <v>0.08799999999999999</v>
      </c>
    </row>
    <row r="358">
      <c r="A358" t="n">
        <v>1.727</v>
      </c>
      <c r="B358" t="n">
        <v>-0.048</v>
      </c>
      <c r="C358" t="n">
        <v>1.003</v>
      </c>
      <c r="D358" t="n">
        <v>0.08799999999999999</v>
      </c>
    </row>
    <row r="359">
      <c r="A359" t="n">
        <v>1.733</v>
      </c>
      <c r="B359" t="n">
        <v>-0.054</v>
      </c>
      <c r="C359" t="n">
        <v>1.004</v>
      </c>
      <c r="D359" t="n">
        <v>0.082</v>
      </c>
    </row>
    <row r="360">
      <c r="A360" t="n">
        <v>1.74</v>
      </c>
      <c r="B360" t="n">
        <v>-0.06</v>
      </c>
      <c r="C360" t="n">
        <v>1.007</v>
      </c>
      <c r="D360" t="n">
        <v>0.075</v>
      </c>
    </row>
    <row r="361">
      <c r="A361" t="n">
        <v>1.744</v>
      </c>
      <c r="B361" t="n">
        <v>-0.064</v>
      </c>
      <c r="C361" t="n">
        <v>1.006</v>
      </c>
      <c r="D361" t="n">
        <v>0.075</v>
      </c>
    </row>
    <row r="362">
      <c r="A362" t="n">
        <v>1.745</v>
      </c>
      <c r="B362" t="n">
        <v>-0.064</v>
      </c>
      <c r="C362" t="n">
        <v>1.006</v>
      </c>
      <c r="D362" t="n">
        <v>0.075</v>
      </c>
    </row>
    <row r="363">
      <c r="A363" t="n">
        <v>1.748</v>
      </c>
      <c r="B363" t="n">
        <v>-0.065</v>
      </c>
      <c r="C363" t="n">
        <v>1.002</v>
      </c>
      <c r="D363" t="n">
        <v>0.077</v>
      </c>
    </row>
    <row r="364">
      <c r="A364" t="n">
        <v>1.767</v>
      </c>
      <c r="B364" t="n">
        <v>-0.064</v>
      </c>
      <c r="C364" t="n">
        <v>0.997</v>
      </c>
      <c r="D364" t="n">
        <v>0.08799999999999999</v>
      </c>
    </row>
    <row r="365">
      <c r="A365" t="n">
        <v>1.771</v>
      </c>
      <c r="B365" t="n">
        <v>-0.064</v>
      </c>
      <c r="C365" t="n">
        <v>0.997</v>
      </c>
      <c r="D365" t="n">
        <v>0.08799999999999999</v>
      </c>
    </row>
    <row r="366">
      <c r="A366" t="n">
        <v>1.772</v>
      </c>
      <c r="B366" t="n">
        <v>-0.063</v>
      </c>
      <c r="C366" t="n">
        <v>0.991</v>
      </c>
      <c r="D366" t="n">
        <v>0.1</v>
      </c>
    </row>
    <row r="367">
      <c r="A367" t="n">
        <v>1.772</v>
      </c>
      <c r="B367" t="n">
        <v>-0.06</v>
      </c>
      <c r="C367" t="n">
        <v>0.987</v>
      </c>
      <c r="D367" t="n">
        <v>0.11</v>
      </c>
    </row>
    <row r="368">
      <c r="A368" t="n">
        <v>1.773</v>
      </c>
      <c r="B368" t="n">
        <v>-0.053</v>
      </c>
      <c r="C368" t="n">
        <v>0.981</v>
      </c>
      <c r="D368" t="n">
        <v>0.12</v>
      </c>
    </row>
    <row r="369">
      <c r="A369" t="n">
        <v>1.81</v>
      </c>
      <c r="B369" t="n">
        <v>-0.053</v>
      </c>
      <c r="C369" t="n">
        <v>0.976</v>
      </c>
      <c r="D369" t="n">
        <v>0.132</v>
      </c>
    </row>
    <row r="370">
      <c r="A370" t="n">
        <v>1.811</v>
      </c>
      <c r="B370" t="n">
        <v>-0.053</v>
      </c>
      <c r="C370" t="n">
        <v>0.976</v>
      </c>
      <c r="D370" t="n">
        <v>0.132</v>
      </c>
    </row>
    <row r="371">
      <c r="A371" t="n">
        <v>1.812</v>
      </c>
      <c r="B371" t="n">
        <v>-0.048</v>
      </c>
      <c r="C371" t="n">
        <v>0.97</v>
      </c>
      <c r="D371" t="n">
        <v>0.151</v>
      </c>
    </row>
    <row r="372">
      <c r="A372" t="n">
        <v>1.813</v>
      </c>
      <c r="B372" t="n">
        <v>-0.043</v>
      </c>
      <c r="C372" t="n">
        <v>0.966</v>
      </c>
      <c r="D372" t="n">
        <v>0.156</v>
      </c>
    </row>
    <row r="373">
      <c r="A373" t="n">
        <v>1.814</v>
      </c>
      <c r="B373" t="n">
        <v>-0.036</v>
      </c>
      <c r="C373" t="n">
        <v>0.964</v>
      </c>
      <c r="D373" t="n">
        <v>0.157</v>
      </c>
    </row>
    <row r="374">
      <c r="A374" t="n">
        <v>1.814</v>
      </c>
      <c r="B374" t="n">
        <v>-0.03</v>
      </c>
      <c r="C374" t="n">
        <v>0.961</v>
      </c>
      <c r="D374" t="n">
        <v>0.148</v>
      </c>
    </row>
    <row r="375">
      <c r="A375" t="n">
        <v>1.815</v>
      </c>
      <c r="B375" t="n">
        <v>-0.026</v>
      </c>
      <c r="C375" t="n">
        <v>0.959</v>
      </c>
      <c r="D375" t="n">
        <v>0.14</v>
      </c>
    </row>
    <row r="376">
      <c r="A376" t="n">
        <v>1.816</v>
      </c>
      <c r="B376" t="n">
        <v>-0.022</v>
      </c>
      <c r="C376" t="n">
        <v>0.959</v>
      </c>
      <c r="D376" t="n">
        <v>0.135</v>
      </c>
    </row>
    <row r="377">
      <c r="A377" t="n">
        <v>1.816</v>
      </c>
      <c r="B377" t="n">
        <v>-0.019</v>
      </c>
      <c r="C377" t="n">
        <v>0.96</v>
      </c>
      <c r="D377" t="n">
        <v>0.126</v>
      </c>
    </row>
    <row r="378">
      <c r="A378" t="n">
        <v>1.817</v>
      </c>
      <c r="B378" t="n">
        <v>-0.016</v>
      </c>
      <c r="C378" t="n">
        <v>0.964</v>
      </c>
      <c r="D378" t="n">
        <v>0.123</v>
      </c>
    </row>
    <row r="379">
      <c r="A379" t="n">
        <v>1.824</v>
      </c>
      <c r="B379" t="n">
        <v>-0.015</v>
      </c>
      <c r="C379" t="n">
        <v>0.975</v>
      </c>
      <c r="D379" t="n">
        <v>0.118</v>
      </c>
    </row>
    <row r="380">
      <c r="A380" t="n">
        <v>1.827</v>
      </c>
      <c r="B380" t="n">
        <v>-0.013</v>
      </c>
      <c r="C380" t="n">
        <v>0.982</v>
      </c>
      <c r="D380" t="n">
        <v>0.107</v>
      </c>
    </row>
    <row r="381">
      <c r="A381" t="n">
        <v>1.832</v>
      </c>
      <c r="B381" t="n">
        <v>-0.01</v>
      </c>
      <c r="C381" t="n">
        <v>0.988</v>
      </c>
      <c r="D381" t="n">
        <v>0.1</v>
      </c>
    </row>
    <row r="382">
      <c r="A382" t="n">
        <v>1.841</v>
      </c>
      <c r="B382" t="n">
        <v>-0.004</v>
      </c>
      <c r="C382" t="n">
        <v>0.993</v>
      </c>
      <c r="D382" t="n">
        <v>0.091</v>
      </c>
    </row>
    <row r="383">
      <c r="A383" t="n">
        <v>1.843</v>
      </c>
      <c r="B383" t="n">
        <v>-0.002</v>
      </c>
      <c r="C383" t="n">
        <v>0.996</v>
      </c>
      <c r="D383" t="n">
        <v>0.083</v>
      </c>
    </row>
    <row r="384">
      <c r="A384" t="n">
        <v>1.847</v>
      </c>
      <c r="B384" t="n">
        <v>-0.001</v>
      </c>
      <c r="C384" t="n">
        <v>0.997</v>
      </c>
      <c r="D384" t="n">
        <v>0.08699999999999999</v>
      </c>
    </row>
    <row r="385">
      <c r="A385" t="n">
        <v>1.864</v>
      </c>
      <c r="B385" t="n">
        <v>-0.002</v>
      </c>
      <c r="C385" t="n">
        <v>0.995</v>
      </c>
      <c r="D385" t="n">
        <v>0.091</v>
      </c>
    </row>
    <row r="386">
      <c r="A386" t="n">
        <v>1.864</v>
      </c>
      <c r="B386" t="n">
        <v>-0.002</v>
      </c>
      <c r="C386" t="n">
        <v>0.995</v>
      </c>
      <c r="D386" t="n">
        <v>0.091</v>
      </c>
    </row>
    <row r="387">
      <c r="A387" t="n">
        <v>1.865</v>
      </c>
      <c r="B387" t="n">
        <v>-0.001</v>
      </c>
      <c r="C387" t="n">
        <v>0.991</v>
      </c>
      <c r="D387" t="n">
        <v>0.106</v>
      </c>
    </row>
    <row r="388">
      <c r="A388" t="n">
        <v>1.866</v>
      </c>
      <c r="B388" t="n">
        <v>0.002</v>
      </c>
      <c r="C388" t="n">
        <v>0.984</v>
      </c>
      <c r="D388" t="n">
        <v>0.124</v>
      </c>
    </row>
    <row r="389">
      <c r="A389" t="n">
        <v>1.868</v>
      </c>
      <c r="B389" t="n">
        <v>0.006</v>
      </c>
      <c r="C389" t="n">
        <v>0.979</v>
      </c>
      <c r="D389" t="n">
        <v>0.136</v>
      </c>
    </row>
    <row r="390">
      <c r="A390" t="n">
        <v>1.906</v>
      </c>
      <c r="B390" t="n">
        <v>0.012</v>
      </c>
      <c r="C390" t="n">
        <v>0.98</v>
      </c>
      <c r="D390" t="n">
        <v>0.145</v>
      </c>
    </row>
    <row r="391">
      <c r="A391" t="n">
        <v>1.906</v>
      </c>
      <c r="B391" t="n">
        <v>0.014</v>
      </c>
      <c r="C391" t="n">
        <v>0.98</v>
      </c>
      <c r="D391" t="n">
        <v>0.151</v>
      </c>
    </row>
    <row r="392">
      <c r="A392" t="n">
        <v>1.906</v>
      </c>
      <c r="B392" t="n">
        <v>0.013</v>
      </c>
      <c r="C392" t="n">
        <v>0.98</v>
      </c>
      <c r="D392" t="n">
        <v>0.154</v>
      </c>
    </row>
    <row r="393">
      <c r="A393" t="n">
        <v>1.907</v>
      </c>
      <c r="B393" t="n">
        <v>0.015</v>
      </c>
      <c r="C393" t="n">
        <v>0.979</v>
      </c>
      <c r="D393" t="n">
        <v>0.152</v>
      </c>
    </row>
    <row r="394">
      <c r="A394" t="n">
        <v>1.907</v>
      </c>
      <c r="B394" t="n">
        <v>0.013</v>
      </c>
      <c r="C394" t="n">
        <v>0.981</v>
      </c>
      <c r="D394" t="n">
        <v>0.144</v>
      </c>
    </row>
    <row r="395">
      <c r="A395" t="n">
        <v>1.907</v>
      </c>
      <c r="B395" t="n">
        <v>0.01</v>
      </c>
      <c r="C395" t="n">
        <v>0.979</v>
      </c>
      <c r="D395" t="n">
        <v>0.134</v>
      </c>
    </row>
    <row r="396">
      <c r="A396" t="n">
        <v>1.907</v>
      </c>
      <c r="B396" t="n">
        <v>0.008</v>
      </c>
      <c r="C396" t="n">
        <v>0.984</v>
      </c>
      <c r="D396" t="n">
        <v>0.125</v>
      </c>
    </row>
    <row r="397">
      <c r="A397" t="n">
        <v>1.908</v>
      </c>
      <c r="B397" t="n">
        <v>0.007</v>
      </c>
      <c r="C397" t="n">
        <v>0.986</v>
      </c>
      <c r="D397" t="n">
        <v>0.123</v>
      </c>
    </row>
    <row r="398">
      <c r="A398" t="n">
        <v>1.921</v>
      </c>
      <c r="B398" t="n">
        <v>0.003</v>
      </c>
      <c r="C398" t="n">
        <v>0.987</v>
      </c>
      <c r="D398" t="n">
        <v>0.118</v>
      </c>
    </row>
    <row r="399">
      <c r="A399" t="n">
        <v>1.922</v>
      </c>
      <c r="B399" t="n">
        <v>-0.002</v>
      </c>
      <c r="C399" t="n">
        <v>0.989</v>
      </c>
      <c r="D399" t="n">
        <v>0.115</v>
      </c>
    </row>
    <row r="400">
      <c r="A400" t="n">
        <v>1.941</v>
      </c>
      <c r="B400" t="n">
        <v>-0.007</v>
      </c>
      <c r="C400" t="n">
        <v>0.991</v>
      </c>
      <c r="D400" t="n">
        <v>0.12</v>
      </c>
    </row>
    <row r="401">
      <c r="A401" t="n">
        <v>1.942</v>
      </c>
      <c r="B401" t="n">
        <v>-0.007</v>
      </c>
      <c r="C401" t="n">
        <v>0.991</v>
      </c>
      <c r="D401" t="n">
        <v>0.12</v>
      </c>
    </row>
    <row r="402">
      <c r="A402" t="n">
        <v>1.951</v>
      </c>
      <c r="B402" t="n">
        <v>-0.013</v>
      </c>
      <c r="C402" t="n">
        <v>0.995</v>
      </c>
      <c r="D402" t="n">
        <v>0.121</v>
      </c>
    </row>
    <row r="403">
      <c r="A403" t="n">
        <v>1.953</v>
      </c>
      <c r="B403" t="n">
        <v>-0.018</v>
      </c>
      <c r="C403" t="n">
        <v>0.998</v>
      </c>
      <c r="D403" t="n">
        <v>0.117</v>
      </c>
    </row>
    <row r="404">
      <c r="A404" t="n">
        <v>1.954</v>
      </c>
      <c r="B404" t="n">
        <v>-0.024</v>
      </c>
      <c r="C404" t="n">
        <v>1</v>
      </c>
      <c r="D404" t="n">
        <v>0.11</v>
      </c>
    </row>
    <row r="405">
      <c r="A405" t="n">
        <v>1.955</v>
      </c>
      <c r="B405" t="n">
        <v>-0.028</v>
      </c>
      <c r="C405" t="n">
        <v>1.004</v>
      </c>
      <c r="D405" t="n">
        <v>0.099</v>
      </c>
    </row>
    <row r="406">
      <c r="A406" t="n">
        <v>1.955</v>
      </c>
      <c r="B406" t="n">
        <v>-0.027</v>
      </c>
      <c r="C406" t="n">
        <v>1.009</v>
      </c>
      <c r="D406" t="n">
        <v>0.093</v>
      </c>
    </row>
    <row r="407">
      <c r="A407" t="n">
        <v>1.956</v>
      </c>
      <c r="B407" t="n">
        <v>-0.022</v>
      </c>
      <c r="C407" t="n">
        <v>1.016</v>
      </c>
      <c r="D407" t="n">
        <v>0.08599999999999999</v>
      </c>
    </row>
    <row r="408">
      <c r="A408" t="n">
        <v>1.973</v>
      </c>
      <c r="B408" t="n">
        <v>-0.018</v>
      </c>
      <c r="C408" t="n">
        <v>1.02</v>
      </c>
      <c r="D408" t="n">
        <v>0.08599999999999999</v>
      </c>
    </row>
    <row r="409">
      <c r="A409" t="n">
        <v>1.974</v>
      </c>
      <c r="B409" t="n">
        <v>-0.016</v>
      </c>
      <c r="C409" t="n">
        <v>1.022</v>
      </c>
      <c r="D409" t="n">
        <v>0.08699999999999999</v>
      </c>
    </row>
    <row r="410">
      <c r="A410" t="n">
        <v>1.974</v>
      </c>
      <c r="B410" t="n">
        <v>-0.012</v>
      </c>
      <c r="C410" t="n">
        <v>1.022</v>
      </c>
      <c r="D410" t="n">
        <v>0.09</v>
      </c>
    </row>
    <row r="411">
      <c r="A411" t="n">
        <v>2.01</v>
      </c>
      <c r="B411" t="n">
        <v>-0.01</v>
      </c>
      <c r="C411" t="n">
        <v>1.02</v>
      </c>
      <c r="D411" t="n">
        <v>0.089</v>
      </c>
    </row>
    <row r="412">
      <c r="A412" t="n">
        <v>2.01</v>
      </c>
      <c r="B412" t="n">
        <v>-0.01</v>
      </c>
      <c r="C412" t="n">
        <v>1.02</v>
      </c>
      <c r="D412" t="n">
        <v>0.089</v>
      </c>
    </row>
    <row r="413">
      <c r="A413" t="n">
        <v>2.01</v>
      </c>
      <c r="B413" t="n">
        <v>-0.015</v>
      </c>
      <c r="C413" t="n">
        <v>1.011</v>
      </c>
      <c r="D413" t="n">
        <v>0.093</v>
      </c>
    </row>
    <row r="414">
      <c r="A414" t="n">
        <v>2.011</v>
      </c>
      <c r="B414" t="n">
        <v>-0.019</v>
      </c>
      <c r="C414" t="n">
        <v>1.006</v>
      </c>
      <c r="D414" t="n">
        <v>0.094</v>
      </c>
    </row>
    <row r="415">
      <c r="A415" t="n">
        <v>2.011</v>
      </c>
      <c r="B415" t="n">
        <v>-0.019</v>
      </c>
      <c r="C415" t="n">
        <v>1.006</v>
      </c>
      <c r="D415" t="n">
        <v>0.094</v>
      </c>
    </row>
    <row r="416">
      <c r="A416" t="n">
        <v>2.011</v>
      </c>
      <c r="B416" t="n">
        <v>-0.033</v>
      </c>
      <c r="C416" t="n">
        <v>1</v>
      </c>
      <c r="D416" t="n">
        <v>0.104</v>
      </c>
    </row>
    <row r="417">
      <c r="A417" t="n">
        <v>2.011</v>
      </c>
      <c r="B417" t="n">
        <v>-0.037</v>
      </c>
      <c r="C417" t="n">
        <v>0.998</v>
      </c>
      <c r="D417" t="n">
        <v>0.106</v>
      </c>
    </row>
    <row r="418">
      <c r="A418" t="n">
        <v>2.012</v>
      </c>
      <c r="B418" t="n">
        <v>-0.037</v>
      </c>
      <c r="C418" t="n">
        <v>0.998</v>
      </c>
      <c r="D418" t="n">
        <v>0.109</v>
      </c>
    </row>
    <row r="419">
      <c r="A419" t="n">
        <v>2.022</v>
      </c>
      <c r="B419" t="n">
        <v>-0.036</v>
      </c>
      <c r="C419" t="n">
        <v>1.001</v>
      </c>
      <c r="D419" t="n">
        <v>0.106</v>
      </c>
    </row>
    <row r="420">
      <c r="A420" t="n">
        <v>2.022</v>
      </c>
      <c r="B420" t="n">
        <v>-0.035</v>
      </c>
      <c r="C420" t="n">
        <v>1.004</v>
      </c>
      <c r="D420" t="n">
        <v>0.105</v>
      </c>
    </row>
    <row r="421">
      <c r="A421" t="n">
        <v>2.023</v>
      </c>
      <c r="B421" t="n">
        <v>-0.034</v>
      </c>
      <c r="C421" t="n">
        <v>1.005</v>
      </c>
      <c r="D421" t="n">
        <v>0.096</v>
      </c>
    </row>
    <row r="422">
      <c r="A422" t="n">
        <v>2.038</v>
      </c>
      <c r="B422" t="n">
        <v>-0.034</v>
      </c>
      <c r="C422" t="n">
        <v>1.005</v>
      </c>
      <c r="D422" t="n">
        <v>0.08400000000000001</v>
      </c>
    </row>
    <row r="423">
      <c r="A423" t="n">
        <v>2.039</v>
      </c>
      <c r="B423" t="n">
        <v>-0.034</v>
      </c>
      <c r="C423" t="n">
        <v>1.004</v>
      </c>
      <c r="D423" t="n">
        <v>0.083</v>
      </c>
    </row>
    <row r="424">
      <c r="A424" t="n">
        <v>2.039</v>
      </c>
      <c r="B424" t="n">
        <v>-0.034</v>
      </c>
      <c r="C424" t="n">
        <v>1.003</v>
      </c>
      <c r="D424" t="n">
        <v>0.08699999999999999</v>
      </c>
    </row>
    <row r="425">
      <c r="A425" t="n">
        <v>2.058</v>
      </c>
      <c r="B425" t="n">
        <v>-0.031</v>
      </c>
      <c r="C425" t="n">
        <v>1.003</v>
      </c>
      <c r="D425" t="n">
        <v>0.092</v>
      </c>
    </row>
    <row r="426">
      <c r="A426" t="n">
        <v>2.058</v>
      </c>
      <c r="B426" t="n">
        <v>-0.029</v>
      </c>
      <c r="C426" t="n">
        <v>1.003</v>
      </c>
      <c r="D426" t="n">
        <v>0.1</v>
      </c>
    </row>
    <row r="427">
      <c r="A427" t="n">
        <v>2.059</v>
      </c>
      <c r="B427" t="n">
        <v>-0.029</v>
      </c>
      <c r="C427" t="n">
        <v>1.005</v>
      </c>
      <c r="D427" t="n">
        <v>0.109</v>
      </c>
    </row>
    <row r="428">
      <c r="A428" t="n">
        <v>2.117</v>
      </c>
      <c r="B428" t="n">
        <v>-0.031</v>
      </c>
      <c r="C428" t="n">
        <v>1.003</v>
      </c>
      <c r="D428" t="n">
        <v>0.11</v>
      </c>
    </row>
    <row r="429">
      <c r="A429" t="n">
        <v>2.119</v>
      </c>
      <c r="B429" t="n">
        <v>-0.031</v>
      </c>
      <c r="C429" t="n">
        <v>1.003</v>
      </c>
      <c r="D429" t="n">
        <v>0.11</v>
      </c>
    </row>
    <row r="430">
      <c r="A430" t="n">
        <v>2.12</v>
      </c>
      <c r="B430" t="n">
        <v>-0.035</v>
      </c>
      <c r="C430" t="n">
        <v>0.998</v>
      </c>
      <c r="D430" t="n">
        <v>0.107</v>
      </c>
    </row>
    <row r="431">
      <c r="A431" t="n">
        <v>2.121</v>
      </c>
      <c r="B431" t="n">
        <v>-0.038</v>
      </c>
      <c r="C431" t="n">
        <v>0.994</v>
      </c>
      <c r="D431" t="n">
        <v>0.108</v>
      </c>
    </row>
    <row r="432">
      <c r="A432" t="n">
        <v>2.122</v>
      </c>
      <c r="B432" t="n">
        <v>-0.037</v>
      </c>
      <c r="C432" t="n">
        <v>0.992</v>
      </c>
      <c r="D432" t="n">
        <v>0.109</v>
      </c>
    </row>
    <row r="433">
      <c r="A433" t="n">
        <v>2.123</v>
      </c>
      <c r="B433" t="n">
        <v>-0.032</v>
      </c>
      <c r="C433" t="n">
        <v>0.997</v>
      </c>
      <c r="D433" t="n">
        <v>0.106</v>
      </c>
    </row>
    <row r="434">
      <c r="A434" t="n">
        <v>2.124</v>
      </c>
      <c r="B434" t="n">
        <v>-0.027</v>
      </c>
      <c r="C434" t="n">
        <v>1.003</v>
      </c>
      <c r="D434" t="n">
        <v>0.103</v>
      </c>
    </row>
    <row r="435">
      <c r="A435" t="n">
        <v>2.125</v>
      </c>
      <c r="B435" t="n">
        <v>-0.023</v>
      </c>
      <c r="C435" t="n">
        <v>1.013</v>
      </c>
      <c r="D435" t="n">
        <v>0.094</v>
      </c>
    </row>
    <row r="436">
      <c r="A436" t="n">
        <v>2.125</v>
      </c>
      <c r="B436" t="n">
        <v>-0.024</v>
      </c>
      <c r="C436" t="n">
        <v>1.021</v>
      </c>
      <c r="D436" t="n">
        <v>0.083</v>
      </c>
    </row>
    <row r="437">
      <c r="A437" t="n">
        <v>2.126</v>
      </c>
      <c r="B437" t="n">
        <v>-0.028</v>
      </c>
      <c r="C437" t="n">
        <v>1.022</v>
      </c>
      <c r="D437" t="n">
        <v>0.078</v>
      </c>
    </row>
    <row r="438">
      <c r="A438" t="n">
        <v>2.126</v>
      </c>
      <c r="B438" t="n">
        <v>-0.032</v>
      </c>
      <c r="C438" t="n">
        <v>1.022</v>
      </c>
      <c r="D438" t="n">
        <v>0.07199999999999999</v>
      </c>
    </row>
    <row r="439">
      <c r="A439" t="n">
        <v>2.127</v>
      </c>
      <c r="B439" t="n">
        <v>-0.033</v>
      </c>
      <c r="C439" t="n">
        <v>1.022</v>
      </c>
      <c r="D439" t="n">
        <v>0.073</v>
      </c>
    </row>
    <row r="440">
      <c r="A440" t="n">
        <v>2.128</v>
      </c>
      <c r="B440" t="n">
        <v>-0.031</v>
      </c>
      <c r="C440" t="n">
        <v>1.022</v>
      </c>
      <c r="D440" t="n">
        <v>0.074</v>
      </c>
    </row>
    <row r="441">
      <c r="A441" t="n">
        <v>2.129</v>
      </c>
      <c r="B441" t="n">
        <v>-0.031</v>
      </c>
      <c r="C441" t="n">
        <v>1.021</v>
      </c>
      <c r="D441" t="n">
        <v>0.078</v>
      </c>
    </row>
    <row r="442">
      <c r="A442" t="n">
        <v>2.129</v>
      </c>
      <c r="B442" t="n">
        <v>-0.022</v>
      </c>
      <c r="C442" t="n">
        <v>1.018</v>
      </c>
      <c r="D442" t="n">
        <v>0.08799999999999999</v>
      </c>
    </row>
    <row r="443">
      <c r="A443" t="n">
        <v>2.129</v>
      </c>
      <c r="B443" t="n">
        <v>-0.017</v>
      </c>
      <c r="C443" t="n">
        <v>1.016</v>
      </c>
      <c r="D443" t="n">
        <v>0.099</v>
      </c>
    </row>
    <row r="444">
      <c r="A444" t="n">
        <v>2.134</v>
      </c>
      <c r="B444" t="n">
        <v>-0.013</v>
      </c>
      <c r="C444" t="n">
        <v>1.012</v>
      </c>
      <c r="D444" t="n">
        <v>0.112</v>
      </c>
    </row>
    <row r="445">
      <c r="A445" t="n">
        <v>2.144</v>
      </c>
      <c r="B445" t="n">
        <v>-0.008</v>
      </c>
      <c r="C445" t="n">
        <v>1.008</v>
      </c>
      <c r="D445" t="n">
        <v>0.118</v>
      </c>
    </row>
    <row r="446">
      <c r="A446" t="n">
        <v>2.145</v>
      </c>
      <c r="B446" t="n">
        <v>-0.008</v>
      </c>
      <c r="C446" t="n">
        <v>1.008</v>
      </c>
      <c r="D446" t="n">
        <v>0.118</v>
      </c>
    </row>
    <row r="447">
      <c r="A447" t="n">
        <v>2.146</v>
      </c>
      <c r="B447" t="n">
        <v>-0.005</v>
      </c>
      <c r="C447" t="n">
        <v>1.005</v>
      </c>
      <c r="D447" t="n">
        <v>0.124</v>
      </c>
    </row>
    <row r="448">
      <c r="A448" t="n">
        <v>2.147</v>
      </c>
      <c r="B448" t="n">
        <v>-0.003</v>
      </c>
      <c r="C448" t="n">
        <v>1.003</v>
      </c>
      <c r="D448" t="n">
        <v>0.129</v>
      </c>
    </row>
    <row r="449">
      <c r="A449" t="n">
        <v>2.152</v>
      </c>
      <c r="B449" t="n">
        <v>-0.003</v>
      </c>
      <c r="C449" t="n">
        <v>1.003</v>
      </c>
      <c r="D449" t="n">
        <v>0.123</v>
      </c>
    </row>
    <row r="450">
      <c r="A450" t="n">
        <v>2.164</v>
      </c>
      <c r="B450" t="n">
        <v>-0.006</v>
      </c>
      <c r="C450" t="n">
        <v>1.003</v>
      </c>
      <c r="D450" t="n">
        <v>0.115</v>
      </c>
    </row>
    <row r="451">
      <c r="A451" t="n">
        <v>2.164</v>
      </c>
      <c r="B451" t="n">
        <v>-0.006</v>
      </c>
      <c r="C451" t="n">
        <v>1.003</v>
      </c>
      <c r="D451" t="n">
        <v>0.101</v>
      </c>
    </row>
    <row r="452">
      <c r="A452" t="n">
        <v>2.167</v>
      </c>
      <c r="B452" t="n">
        <v>-0.01</v>
      </c>
      <c r="C452" t="n">
        <v>1.002</v>
      </c>
      <c r="D452" t="n">
        <v>0.091</v>
      </c>
    </row>
    <row r="453">
      <c r="A453" t="n">
        <v>2.203</v>
      </c>
      <c r="B453" t="n">
        <v>-0.011</v>
      </c>
      <c r="C453" t="n">
        <v>1.002</v>
      </c>
      <c r="D453" t="n">
        <v>0.08699999999999999</v>
      </c>
    </row>
    <row r="454">
      <c r="A454" t="n">
        <v>2.204</v>
      </c>
      <c r="B454" t="n">
        <v>-0.011</v>
      </c>
      <c r="C454" t="n">
        <v>1.002</v>
      </c>
      <c r="D454" t="n">
        <v>0.08699999999999999</v>
      </c>
    </row>
    <row r="455">
      <c r="A455" t="n">
        <v>2.204</v>
      </c>
      <c r="B455" t="n">
        <v>-0.013</v>
      </c>
      <c r="C455" t="n">
        <v>1.005</v>
      </c>
      <c r="D455" t="n">
        <v>0.08799999999999999</v>
      </c>
    </row>
    <row r="456">
      <c r="A456" t="n">
        <v>2.204</v>
      </c>
      <c r="B456" t="n">
        <v>-0.014</v>
      </c>
      <c r="C456" t="n">
        <v>1.007</v>
      </c>
      <c r="D456" t="n">
        <v>0.08599999999999999</v>
      </c>
    </row>
    <row r="457">
      <c r="A457" t="n">
        <v>2.205</v>
      </c>
      <c r="B457" t="n">
        <v>-0.014</v>
      </c>
      <c r="C457" t="n">
        <v>1.009</v>
      </c>
      <c r="D457" t="n">
        <v>0.09</v>
      </c>
    </row>
    <row r="458">
      <c r="A458" t="n">
        <v>2.205</v>
      </c>
      <c r="B458" t="n">
        <v>-0.016</v>
      </c>
      <c r="C458" t="n">
        <v>1.009</v>
      </c>
      <c r="D458" t="n">
        <v>0.093</v>
      </c>
    </row>
    <row r="459">
      <c r="A459" t="n">
        <v>2.205</v>
      </c>
      <c r="B459" t="n">
        <v>-0.013</v>
      </c>
      <c r="C459" t="n">
        <v>1.011</v>
      </c>
      <c r="D459" t="n">
        <v>0.099</v>
      </c>
    </row>
    <row r="460">
      <c r="A460" t="n">
        <v>2.205</v>
      </c>
      <c r="B460" t="n">
        <v>-0.011</v>
      </c>
      <c r="C460" t="n">
        <v>1.009</v>
      </c>
      <c r="D460" t="n">
        <v>0.099</v>
      </c>
    </row>
    <row r="461">
      <c r="A461" t="n">
        <v>2.207</v>
      </c>
      <c r="B461" t="n">
        <v>-0.011</v>
      </c>
      <c r="C461" t="n">
        <v>1.009</v>
      </c>
      <c r="D461" t="n">
        <v>0.099</v>
      </c>
    </row>
    <row r="462">
      <c r="A462" t="n">
        <v>2.212</v>
      </c>
      <c r="B462" t="n">
        <v>-0.008999999999999999</v>
      </c>
      <c r="C462" t="n">
        <v>1.008</v>
      </c>
      <c r="D462" t="n">
        <v>0.099</v>
      </c>
    </row>
    <row r="463">
      <c r="A463" t="n">
        <v>2.217</v>
      </c>
      <c r="B463" t="n">
        <v>-0.01</v>
      </c>
      <c r="C463" t="n">
        <v>1.007</v>
      </c>
      <c r="D463" t="n">
        <v>0.103</v>
      </c>
    </row>
    <row r="464">
      <c r="A464" t="n">
        <v>2.225</v>
      </c>
      <c r="B464" t="n">
        <v>-0.002</v>
      </c>
      <c r="C464" t="n">
        <v>1.006</v>
      </c>
      <c r="D464" t="n">
        <v>0.113</v>
      </c>
    </row>
    <row r="465">
      <c r="A465" t="n">
        <v>2.227</v>
      </c>
      <c r="B465" t="n">
        <v>0.001</v>
      </c>
      <c r="C465" t="n">
        <v>1.008</v>
      </c>
      <c r="D465" t="n">
        <v>0.116</v>
      </c>
    </row>
    <row r="466">
      <c r="A466" t="n">
        <v>2.233</v>
      </c>
      <c r="B466" t="n">
        <v>0.004</v>
      </c>
      <c r="C466" t="n">
        <v>1.008</v>
      </c>
      <c r="D466" t="n">
        <v>0.114</v>
      </c>
    </row>
    <row r="467">
      <c r="A467" t="n">
        <v>2.241</v>
      </c>
      <c r="B467" t="n">
        <v>0.004</v>
      </c>
      <c r="C467" t="n">
        <v>1.007</v>
      </c>
      <c r="D467" t="n">
        <v>0.113</v>
      </c>
    </row>
    <row r="468">
      <c r="A468" t="n">
        <v>2.242</v>
      </c>
      <c r="B468" t="n">
        <v>0.004</v>
      </c>
      <c r="C468" t="n">
        <v>1.007</v>
      </c>
      <c r="D468" t="n">
        <v>0.113</v>
      </c>
    </row>
    <row r="469">
      <c r="A469" t="n">
        <v>2.243</v>
      </c>
      <c r="B469" t="n">
        <v>0.002</v>
      </c>
      <c r="C469" t="n">
        <v>1.01</v>
      </c>
      <c r="D469" t="n">
        <v>0.106</v>
      </c>
    </row>
    <row r="470">
      <c r="A470" t="n">
        <v>2.247</v>
      </c>
      <c r="B470" t="n">
        <v>-0.003</v>
      </c>
      <c r="C470" t="n">
        <v>1.015</v>
      </c>
      <c r="D470" t="n">
        <v>0.098</v>
      </c>
    </row>
    <row r="471">
      <c r="A471" t="n">
        <v>2.253</v>
      </c>
      <c r="B471" t="n">
        <v>-0.002</v>
      </c>
      <c r="C471" t="n">
        <v>1.022</v>
      </c>
      <c r="D471" t="n">
        <v>0.08500000000000001</v>
      </c>
    </row>
    <row r="472">
      <c r="A472" t="n">
        <v>2.269</v>
      </c>
      <c r="B472" t="n">
        <v>-0.003</v>
      </c>
      <c r="C472" t="n">
        <v>1.027</v>
      </c>
      <c r="D472" t="n">
        <v>0.073</v>
      </c>
    </row>
    <row r="473">
      <c r="A473" t="n">
        <v>2.271</v>
      </c>
      <c r="B473" t="n">
        <v>-0.003</v>
      </c>
      <c r="C473" t="n">
        <v>1.027</v>
      </c>
      <c r="D473" t="n">
        <v>0.073</v>
      </c>
    </row>
    <row r="474">
      <c r="A474" t="n">
        <v>2.272</v>
      </c>
      <c r="B474" t="n">
        <v>-0.017</v>
      </c>
      <c r="C474" t="n">
        <v>1.023</v>
      </c>
      <c r="D474" t="n">
        <v>0.061</v>
      </c>
    </row>
    <row r="475">
      <c r="A475" t="n">
        <v>2.321</v>
      </c>
      <c r="B475" t="n">
        <v>-0.026</v>
      </c>
      <c r="C475" t="n">
        <v>1.023</v>
      </c>
      <c r="D475" t="n">
        <v>0.06</v>
      </c>
    </row>
    <row r="476">
      <c r="A476" t="n">
        <v>2.322</v>
      </c>
      <c r="B476" t="n">
        <v>-0.026</v>
      </c>
      <c r="C476" t="n">
        <v>1.023</v>
      </c>
      <c r="D476" t="n">
        <v>0.06</v>
      </c>
    </row>
    <row r="477">
      <c r="A477" t="n">
        <v>2.323</v>
      </c>
      <c r="B477" t="n">
        <v>-0.035</v>
      </c>
      <c r="C477" t="n">
        <v>1.016</v>
      </c>
      <c r="D477" t="n">
        <v>0.068</v>
      </c>
    </row>
    <row r="478">
      <c r="A478" t="n">
        <v>2.324</v>
      </c>
      <c r="B478" t="n">
        <v>-0.034</v>
      </c>
      <c r="C478" t="n">
        <v>1.012</v>
      </c>
      <c r="D478" t="n">
        <v>0.07099999999999999</v>
      </c>
    </row>
    <row r="479">
      <c r="A479" t="n">
        <v>2.324</v>
      </c>
      <c r="B479" t="n">
        <v>-0.034</v>
      </c>
      <c r="C479" t="n">
        <v>1.012</v>
      </c>
      <c r="D479" t="n">
        <v>0.07099999999999999</v>
      </c>
    </row>
    <row r="480">
      <c r="A480" t="n">
        <v>2.325</v>
      </c>
      <c r="B480" t="n">
        <v>-0.042</v>
      </c>
      <c r="C480" t="n">
        <v>1.005</v>
      </c>
      <c r="D480" t="n">
        <v>0.08</v>
      </c>
    </row>
    <row r="481">
      <c r="A481" t="n">
        <v>2.325</v>
      </c>
      <c r="B481" t="n">
        <v>-0.043</v>
      </c>
      <c r="C481" t="n">
        <v>0.999</v>
      </c>
      <c r="D481" t="n">
        <v>0.089</v>
      </c>
    </row>
    <row r="482">
      <c r="A482" t="n">
        <v>2.326</v>
      </c>
      <c r="B482" t="n">
        <v>-0.045</v>
      </c>
      <c r="C482" t="n">
        <v>0.993</v>
      </c>
      <c r="D482" t="n">
        <v>0.097</v>
      </c>
    </row>
    <row r="483">
      <c r="A483" t="n">
        <v>2.326</v>
      </c>
      <c r="B483" t="n">
        <v>-0.046</v>
      </c>
      <c r="C483" t="n">
        <v>0.994</v>
      </c>
      <c r="D483" t="n">
        <v>0.098</v>
      </c>
    </row>
    <row r="484">
      <c r="A484" t="n">
        <v>2.327</v>
      </c>
      <c r="B484" t="n">
        <v>-0.044</v>
      </c>
      <c r="C484" t="n">
        <v>0.992</v>
      </c>
      <c r="D484" t="n">
        <v>0.103</v>
      </c>
    </row>
    <row r="485">
      <c r="A485" t="n">
        <v>2.328</v>
      </c>
      <c r="B485" t="n">
        <v>-0.04</v>
      </c>
      <c r="C485" t="n">
        <v>0.989</v>
      </c>
      <c r="D485" t="n">
        <v>0.112</v>
      </c>
    </row>
    <row r="486">
      <c r="A486" t="n">
        <v>2.329</v>
      </c>
      <c r="B486" t="n">
        <v>-0.038</v>
      </c>
      <c r="C486" t="n">
        <v>0.989</v>
      </c>
      <c r="D486" t="n">
        <v>0.117</v>
      </c>
    </row>
    <row r="487">
      <c r="A487" t="n">
        <v>2.333</v>
      </c>
      <c r="B487" t="n">
        <v>-0.038</v>
      </c>
      <c r="C487" t="n">
        <v>0.985</v>
      </c>
      <c r="D487" t="n">
        <v>0.123</v>
      </c>
    </row>
    <row r="488">
      <c r="A488" t="n">
        <v>2.342</v>
      </c>
      <c r="B488" t="n">
        <v>-0.043</v>
      </c>
      <c r="C488" t="n">
        <v>0.983</v>
      </c>
      <c r="D488" t="n">
        <v>0.128</v>
      </c>
    </row>
    <row r="489">
      <c r="A489" t="n">
        <v>2.343</v>
      </c>
      <c r="B489" t="n">
        <v>-0.045</v>
      </c>
      <c r="C489" t="n">
        <v>0.984</v>
      </c>
      <c r="D489" t="n">
        <v>0.125</v>
      </c>
    </row>
    <row r="490">
      <c r="A490" t="n">
        <v>2.347</v>
      </c>
      <c r="B490" t="n">
        <v>-0.045</v>
      </c>
      <c r="C490" t="n">
        <v>0.983</v>
      </c>
      <c r="D490" t="n">
        <v>0.115</v>
      </c>
    </row>
    <row r="491">
      <c r="A491" t="n">
        <v>2.352</v>
      </c>
      <c r="B491" t="n">
        <v>-0.039</v>
      </c>
      <c r="C491" t="n">
        <v>0.988</v>
      </c>
      <c r="D491" t="n">
        <v>0.113</v>
      </c>
    </row>
    <row r="492">
      <c r="A492" t="n">
        <v>2.365</v>
      </c>
      <c r="B492" t="n">
        <v>-0.034</v>
      </c>
      <c r="C492" t="n">
        <v>0.993</v>
      </c>
      <c r="D492" t="n">
        <v>0.102</v>
      </c>
    </row>
    <row r="493">
      <c r="A493" t="n">
        <v>2.366</v>
      </c>
      <c r="B493" t="n">
        <v>-0.034</v>
      </c>
      <c r="C493" t="n">
        <v>0.998</v>
      </c>
      <c r="D493" t="n">
        <v>0.096</v>
      </c>
    </row>
    <row r="494">
      <c r="A494" t="n">
        <v>2.367</v>
      </c>
      <c r="B494" t="n">
        <v>-0.031</v>
      </c>
      <c r="C494" t="n">
        <v>1</v>
      </c>
      <c r="D494" t="n">
        <v>0.091</v>
      </c>
    </row>
    <row r="495">
      <c r="A495" t="n">
        <v>2.41</v>
      </c>
      <c r="B495" t="n">
        <v>-0.032</v>
      </c>
      <c r="C495" t="n">
        <v>1.007</v>
      </c>
      <c r="D495" t="n">
        <v>0.08599999999999999</v>
      </c>
    </row>
    <row r="496">
      <c r="A496" t="n">
        <v>2.41</v>
      </c>
      <c r="B496" t="n">
        <v>-0.032</v>
      </c>
      <c r="C496" t="n">
        <v>1.007</v>
      </c>
      <c r="D496" t="n">
        <v>0.08599999999999999</v>
      </c>
    </row>
    <row r="497">
      <c r="A497" t="n">
        <v>2.41</v>
      </c>
      <c r="B497" t="n">
        <v>-0.033</v>
      </c>
      <c r="C497" t="n">
        <v>1.013</v>
      </c>
      <c r="D497" t="n">
        <v>0.08599999999999999</v>
      </c>
    </row>
    <row r="498">
      <c r="A498" t="n">
        <v>2.411</v>
      </c>
      <c r="B498" t="n">
        <v>-0.03</v>
      </c>
      <c r="C498" t="n">
        <v>1.018</v>
      </c>
      <c r="D498" t="n">
        <v>0.08599999999999999</v>
      </c>
    </row>
    <row r="499">
      <c r="A499" t="n">
        <v>2.411</v>
      </c>
      <c r="B499" t="n">
        <v>-0.029</v>
      </c>
      <c r="C499" t="n">
        <v>1.024</v>
      </c>
      <c r="D499" t="n">
        <v>0.091</v>
      </c>
    </row>
    <row r="500">
      <c r="A500" t="n">
        <v>2.411</v>
      </c>
      <c r="B500" t="n">
        <v>-0.027</v>
      </c>
      <c r="C500" t="n">
        <v>1.026</v>
      </c>
      <c r="D500" t="n">
        <v>0.091</v>
      </c>
    </row>
    <row r="501">
      <c r="A501" t="n">
        <v>2.412</v>
      </c>
      <c r="B501" t="n">
        <v>-0.025</v>
      </c>
      <c r="C501" t="n">
        <v>1.028</v>
      </c>
      <c r="D501" t="n">
        <v>0.09</v>
      </c>
    </row>
    <row r="502">
      <c r="A502" t="n">
        <v>2.419</v>
      </c>
      <c r="B502" t="n">
        <v>-0.022</v>
      </c>
      <c r="C502" t="n">
        <v>1.024</v>
      </c>
      <c r="D502" t="n">
        <v>0.091</v>
      </c>
    </row>
    <row r="503">
      <c r="A503" t="n">
        <v>2.419</v>
      </c>
      <c r="B503" t="n">
        <v>-0.021</v>
      </c>
      <c r="C503" t="n">
        <v>1.026</v>
      </c>
      <c r="D503" t="n">
        <v>0.096</v>
      </c>
    </row>
    <row r="504">
      <c r="A504" t="n">
        <v>2.419</v>
      </c>
      <c r="B504" t="n">
        <v>-0.019</v>
      </c>
      <c r="C504" t="n">
        <v>1.025</v>
      </c>
      <c r="D504" t="n">
        <v>0.101</v>
      </c>
    </row>
    <row r="505">
      <c r="A505" t="n">
        <v>2.42</v>
      </c>
      <c r="B505" t="n">
        <v>-0.016</v>
      </c>
      <c r="C505" t="n">
        <v>1.028</v>
      </c>
      <c r="D505" t="n">
        <v>0.097</v>
      </c>
    </row>
    <row r="506">
      <c r="A506" t="n">
        <v>2.423</v>
      </c>
      <c r="B506" t="n">
        <v>-0.017</v>
      </c>
      <c r="C506" t="n">
        <v>1.027</v>
      </c>
      <c r="D506" t="n">
        <v>0.095</v>
      </c>
    </row>
    <row r="507">
      <c r="A507" t="n">
        <v>2.428</v>
      </c>
      <c r="B507" t="n">
        <v>-0.017</v>
      </c>
      <c r="C507" t="n">
        <v>1.028</v>
      </c>
      <c r="D507" t="n">
        <v>0.09</v>
      </c>
    </row>
    <row r="508">
      <c r="A508" t="n">
        <v>2.433</v>
      </c>
      <c r="B508" t="n">
        <v>-0.016</v>
      </c>
      <c r="C508" t="n">
        <v>1.028</v>
      </c>
      <c r="D508" t="n">
        <v>0.075</v>
      </c>
    </row>
    <row r="509">
      <c r="A509" t="n">
        <v>2.441</v>
      </c>
      <c r="B509" t="n">
        <v>-0.017</v>
      </c>
      <c r="C509" t="n">
        <v>1.028</v>
      </c>
      <c r="D509" t="n">
        <v>0.059</v>
      </c>
    </row>
    <row r="510">
      <c r="A510" t="n">
        <v>2.444</v>
      </c>
      <c r="B510" t="n">
        <v>-0.018</v>
      </c>
      <c r="C510" t="n">
        <v>1.027</v>
      </c>
      <c r="D510" t="n">
        <v>0.056</v>
      </c>
    </row>
    <row r="511">
      <c r="A511" t="n">
        <v>2.447</v>
      </c>
      <c r="B511" t="n">
        <v>-0.02</v>
      </c>
      <c r="C511" t="n">
        <v>1.023</v>
      </c>
      <c r="D511" t="n">
        <v>0.059</v>
      </c>
    </row>
    <row r="512">
      <c r="A512" t="n">
        <v>2.453</v>
      </c>
      <c r="B512" t="n">
        <v>-0.025</v>
      </c>
      <c r="C512" t="n">
        <v>1.017</v>
      </c>
      <c r="D512" t="n">
        <v>0.059</v>
      </c>
    </row>
    <row r="513">
      <c r="A513" t="n">
        <v>2.458</v>
      </c>
      <c r="B513" t="n">
        <v>-0.03</v>
      </c>
      <c r="C513" t="n">
        <v>1.009</v>
      </c>
      <c r="D513" t="n">
        <v>0.066</v>
      </c>
    </row>
    <row r="514">
      <c r="A514" t="n">
        <v>2.47</v>
      </c>
      <c r="B514" t="n">
        <v>-0.033</v>
      </c>
      <c r="C514" t="n">
        <v>1.001</v>
      </c>
      <c r="D514" t="n">
        <v>0.08400000000000001</v>
      </c>
    </row>
    <row r="515">
      <c r="A515" t="n">
        <v>2.475</v>
      </c>
      <c r="B515" t="n">
        <v>-0.033</v>
      </c>
      <c r="C515" t="n">
        <v>0.994</v>
      </c>
      <c r="D515" t="n">
        <v>0.099</v>
      </c>
    </row>
    <row r="516">
      <c r="A516" t="n">
        <v>2.476</v>
      </c>
      <c r="B516" t="n">
        <v>-0.03</v>
      </c>
      <c r="C516" t="n">
        <v>0.99</v>
      </c>
      <c r="D516" t="n">
        <v>0.115</v>
      </c>
    </row>
    <row r="517">
      <c r="A517" t="n">
        <v>2.506</v>
      </c>
      <c r="B517" t="n">
        <v>-0.028</v>
      </c>
      <c r="C517" t="n">
        <v>0.992</v>
      </c>
      <c r="D517" t="n">
        <v>0.122</v>
      </c>
    </row>
    <row r="518">
      <c r="A518" t="n">
        <v>2.508</v>
      </c>
      <c r="B518" t="n">
        <v>-0.024</v>
      </c>
      <c r="C518" t="n">
        <v>0.993</v>
      </c>
      <c r="D518" t="n">
        <v>0.12</v>
      </c>
    </row>
    <row r="519">
      <c r="A519" t="n">
        <v>2.509</v>
      </c>
      <c r="B519" t="n">
        <v>-0.02</v>
      </c>
      <c r="C519" t="n">
        <v>0.996</v>
      </c>
      <c r="D519" t="n">
        <v>0.112</v>
      </c>
    </row>
    <row r="520">
      <c r="A520" t="n">
        <v>2.509</v>
      </c>
      <c r="B520" t="n">
        <v>-0.015</v>
      </c>
      <c r="C520" t="n">
        <v>0.998</v>
      </c>
      <c r="D520" t="n">
        <v>0.101</v>
      </c>
    </row>
    <row r="521">
      <c r="A521" t="n">
        <v>2.51</v>
      </c>
      <c r="B521" t="n">
        <v>-0.008</v>
      </c>
      <c r="C521" t="n">
        <v>1.002</v>
      </c>
      <c r="D521" t="n">
        <v>0.095</v>
      </c>
    </row>
    <row r="522">
      <c r="A522" t="n">
        <v>2.511</v>
      </c>
      <c r="B522" t="n">
        <v>0</v>
      </c>
      <c r="C522" t="n">
        <v>1.002</v>
      </c>
      <c r="D522" t="n">
        <v>0.092</v>
      </c>
    </row>
    <row r="523">
      <c r="A523" t="n">
        <v>2.512</v>
      </c>
      <c r="B523" t="n">
        <v>0.005</v>
      </c>
      <c r="C523" t="n">
        <v>1.008</v>
      </c>
      <c r="D523" t="n">
        <v>0.091</v>
      </c>
    </row>
    <row r="524">
      <c r="A524" t="n">
        <v>2.514</v>
      </c>
      <c r="B524" t="n">
        <v>0.015</v>
      </c>
      <c r="C524" t="n">
        <v>1.01</v>
      </c>
      <c r="D524" t="n">
        <v>0.097</v>
      </c>
    </row>
    <row r="525">
      <c r="A525" t="n">
        <v>2.517</v>
      </c>
      <c r="B525" t="n">
        <v>0.017</v>
      </c>
      <c r="C525" t="n">
        <v>1.008</v>
      </c>
      <c r="D525" t="n">
        <v>0.102</v>
      </c>
    </row>
    <row r="526">
      <c r="A526" t="n">
        <v>2.525</v>
      </c>
      <c r="B526" t="n">
        <v>0.02</v>
      </c>
      <c r="C526" t="n">
        <v>1.007</v>
      </c>
      <c r="D526" t="n">
        <v>0.114</v>
      </c>
    </row>
    <row r="527">
      <c r="A527" t="n">
        <v>2.527</v>
      </c>
      <c r="B527" t="n">
        <v>0.023</v>
      </c>
      <c r="C527" t="n">
        <v>1.004</v>
      </c>
      <c r="D527" t="n">
        <v>0.128</v>
      </c>
    </row>
    <row r="528">
      <c r="A528" t="n">
        <v>2.532</v>
      </c>
      <c r="B528" t="n">
        <v>0.027</v>
      </c>
      <c r="C528" t="n">
        <v>1.006</v>
      </c>
      <c r="D528" t="n">
        <v>0.136</v>
      </c>
    </row>
    <row r="529">
      <c r="A529" t="n">
        <v>2.539</v>
      </c>
      <c r="B529" t="n">
        <v>0.03</v>
      </c>
      <c r="C529" t="n">
        <v>1.009</v>
      </c>
      <c r="D529" t="n">
        <v>0.14</v>
      </c>
    </row>
    <row r="530">
      <c r="A530" t="n">
        <v>2.545</v>
      </c>
      <c r="B530" t="n">
        <v>0.03</v>
      </c>
      <c r="C530" t="n">
        <v>1.014</v>
      </c>
      <c r="D530" t="n">
        <v>0.136</v>
      </c>
    </row>
    <row r="531">
      <c r="A531" t="n">
        <v>2.547</v>
      </c>
      <c r="B531" t="n">
        <v>0.035</v>
      </c>
      <c r="C531" t="n">
        <v>1.023</v>
      </c>
      <c r="D531" t="n">
        <v>0.128</v>
      </c>
    </row>
    <row r="532">
      <c r="A532" t="n">
        <v>2.553</v>
      </c>
      <c r="B532" t="n">
        <v>0.038</v>
      </c>
      <c r="C532" t="n">
        <v>1.03</v>
      </c>
      <c r="D532" t="n">
        <v>0.115</v>
      </c>
    </row>
    <row r="533">
      <c r="A533" t="n">
        <v>2.57</v>
      </c>
      <c r="B533" t="n">
        <v>0.038</v>
      </c>
      <c r="C533" t="n">
        <v>1.041</v>
      </c>
      <c r="D533" t="n">
        <v>0.096</v>
      </c>
    </row>
    <row r="534">
      <c r="A534" t="n">
        <v>2.57</v>
      </c>
      <c r="B534" t="n">
        <v>0.038</v>
      </c>
      <c r="C534" t="n">
        <v>1.041</v>
      </c>
      <c r="D534" t="n">
        <v>0.096</v>
      </c>
    </row>
    <row r="535">
      <c r="A535" t="n">
        <v>2.57</v>
      </c>
      <c r="B535" t="n">
        <v>0.039</v>
      </c>
      <c r="C535" t="n">
        <v>1.045</v>
      </c>
      <c r="D535" t="n">
        <v>0.074</v>
      </c>
    </row>
    <row r="536">
      <c r="A536" t="n">
        <v>2.571</v>
      </c>
      <c r="B536" t="n">
        <v>0.033</v>
      </c>
      <c r="C536" t="n">
        <v>1.046</v>
      </c>
      <c r="D536" t="n">
        <v>0.06</v>
      </c>
    </row>
    <row r="537">
      <c r="A537" t="n">
        <v>2.575</v>
      </c>
      <c r="B537" t="n">
        <v>0.025</v>
      </c>
      <c r="C537" t="n">
        <v>1.04</v>
      </c>
      <c r="D537" t="n">
        <v>0.057</v>
      </c>
    </row>
    <row r="538">
      <c r="A538" t="n">
        <v>2.575</v>
      </c>
      <c r="B538" t="n">
        <v>0.025</v>
      </c>
      <c r="C538" t="n">
        <v>1.04</v>
      </c>
      <c r="D538" t="n">
        <v>0.057</v>
      </c>
    </row>
    <row r="539">
      <c r="A539" t="n">
        <v>2.578</v>
      </c>
      <c r="B539" t="n">
        <v>0.013</v>
      </c>
      <c r="C539" t="n">
        <v>1.036</v>
      </c>
      <c r="D539" t="n">
        <v>0.063</v>
      </c>
    </row>
    <row r="540">
      <c r="A540" t="n">
        <v>2.583</v>
      </c>
      <c r="B540" t="n">
        <v>0.004</v>
      </c>
      <c r="C540" t="n">
        <v>1.034</v>
      </c>
      <c r="D540" t="n">
        <v>0.075</v>
      </c>
    </row>
    <row r="541">
      <c r="A541" t="n">
        <v>2.587</v>
      </c>
      <c r="B541" t="n">
        <v>-0.003</v>
      </c>
      <c r="C541" t="n">
        <v>1.031</v>
      </c>
      <c r="D541" t="n">
        <v>0.08400000000000001</v>
      </c>
    </row>
    <row r="542">
      <c r="A542" t="n">
        <v>2.619</v>
      </c>
      <c r="B542" t="n">
        <v>-0.013</v>
      </c>
      <c r="C542" t="n">
        <v>1.027</v>
      </c>
      <c r="D542" t="n">
        <v>0.091</v>
      </c>
    </row>
    <row r="543">
      <c r="A543" t="n">
        <v>2.619</v>
      </c>
      <c r="B543" t="n">
        <v>-0.02</v>
      </c>
      <c r="C543" t="n">
        <v>1.021</v>
      </c>
      <c r="D543" t="n">
        <v>0.102</v>
      </c>
    </row>
    <row r="544">
      <c r="A544" t="n">
        <v>2.619</v>
      </c>
      <c r="B544" t="n">
        <v>-0.028</v>
      </c>
      <c r="C544" t="n">
        <v>1.022</v>
      </c>
      <c r="D544" t="n">
        <v>0.107</v>
      </c>
    </row>
    <row r="545">
      <c r="A545" t="n">
        <v>2.62</v>
      </c>
      <c r="B545" t="n">
        <v>-0.035</v>
      </c>
      <c r="C545" t="n">
        <v>1.019</v>
      </c>
      <c r="D545" t="n">
        <v>0.107</v>
      </c>
    </row>
    <row r="546">
      <c r="A546" t="n">
        <v>2.62</v>
      </c>
      <c r="B546" t="n">
        <v>-0.039</v>
      </c>
      <c r="C546" t="n">
        <v>1.018</v>
      </c>
      <c r="D546" t="n">
        <v>0.107</v>
      </c>
    </row>
    <row r="547">
      <c r="A547" t="n">
        <v>2.62</v>
      </c>
      <c r="B547" t="n">
        <v>-0.04</v>
      </c>
      <c r="C547" t="n">
        <v>1.016</v>
      </c>
      <c r="D547" t="n">
        <v>0.105</v>
      </c>
    </row>
    <row r="548">
      <c r="A548" t="n">
        <v>2.627</v>
      </c>
      <c r="B548" t="n">
        <v>-0.041</v>
      </c>
      <c r="C548" t="n">
        <v>1.016</v>
      </c>
      <c r="D548" t="n">
        <v>0.104</v>
      </c>
    </row>
    <row r="549">
      <c r="A549" t="n">
        <v>2.628</v>
      </c>
      <c r="B549" t="n">
        <v>-0.041</v>
      </c>
      <c r="C549" t="n">
        <v>1.016</v>
      </c>
      <c r="D549" t="n">
        <v>0.104</v>
      </c>
    </row>
    <row r="550">
      <c r="A550" t="n">
        <v>2.629</v>
      </c>
      <c r="B550" t="n">
        <v>-0.038</v>
      </c>
      <c r="C550" t="n">
        <v>1.015</v>
      </c>
      <c r="D550" t="n">
        <v>0.103</v>
      </c>
    </row>
    <row r="551">
      <c r="A551" t="n">
        <v>2.633</v>
      </c>
      <c r="B551" t="n">
        <v>-0.036</v>
      </c>
      <c r="C551" t="n">
        <v>1.015</v>
      </c>
      <c r="D551" t="n">
        <v>0.102</v>
      </c>
    </row>
    <row r="552">
      <c r="A552" t="n">
        <v>2.637</v>
      </c>
      <c r="B552" t="n">
        <v>-0.034</v>
      </c>
      <c r="C552" t="n">
        <v>1.017</v>
      </c>
      <c r="D552" t="n">
        <v>0.101</v>
      </c>
    </row>
    <row r="553">
      <c r="A553" t="n">
        <v>2.649</v>
      </c>
      <c r="B553" t="n">
        <v>-0.035</v>
      </c>
      <c r="C553" t="n">
        <v>1.017</v>
      </c>
      <c r="D553" t="n">
        <v>0.097</v>
      </c>
    </row>
    <row r="554">
      <c r="A554" t="n">
        <v>2.65</v>
      </c>
      <c r="B554" t="n">
        <v>-0.034</v>
      </c>
      <c r="C554" t="n">
        <v>1.017</v>
      </c>
      <c r="D554" t="n">
        <v>0.08699999999999999</v>
      </c>
    </row>
    <row r="555">
      <c r="A555" t="n">
        <v>2.653</v>
      </c>
      <c r="B555" t="n">
        <v>-0.04</v>
      </c>
      <c r="C555" t="n">
        <v>1.018</v>
      </c>
      <c r="D555" t="n">
        <v>0.083</v>
      </c>
    </row>
    <row r="556">
      <c r="A556" t="n">
        <v>2.686</v>
      </c>
      <c r="B556" t="n">
        <v>-0.045</v>
      </c>
      <c r="C556" t="n">
        <v>1.019</v>
      </c>
      <c r="D556" t="n">
        <v>0.079</v>
      </c>
    </row>
    <row r="557">
      <c r="A557" t="n">
        <v>2.687</v>
      </c>
      <c r="B557" t="n">
        <v>-0.047</v>
      </c>
      <c r="C557" t="n">
        <v>1.02</v>
      </c>
      <c r="D557" t="n">
        <v>0.075</v>
      </c>
    </row>
    <row r="558">
      <c r="A558" t="n">
        <v>2.687</v>
      </c>
      <c r="B558" t="n">
        <v>-0.054</v>
      </c>
      <c r="C558" t="n">
        <v>1.021</v>
      </c>
      <c r="D558" t="n">
        <v>0.082</v>
      </c>
    </row>
    <row r="559">
      <c r="A559" t="n">
        <v>2.687</v>
      </c>
      <c r="B559" t="n">
        <v>-0.055</v>
      </c>
      <c r="C559" t="n">
        <v>1.016</v>
      </c>
      <c r="D559" t="n">
        <v>0.08400000000000001</v>
      </c>
    </row>
    <row r="560">
      <c r="A560" t="n">
        <v>2.687</v>
      </c>
      <c r="B560" t="n">
        <v>-0.055</v>
      </c>
      <c r="C560" t="n">
        <v>1.012</v>
      </c>
      <c r="D560" t="n">
        <v>0.092</v>
      </c>
    </row>
    <row r="561">
      <c r="A561" t="n">
        <v>2.688</v>
      </c>
      <c r="B561" t="n">
        <v>-0.056</v>
      </c>
      <c r="C561" t="n">
        <v>1.006</v>
      </c>
      <c r="D561" t="n">
        <v>0.102</v>
      </c>
    </row>
    <row r="562">
      <c r="A562" t="n">
        <v>2.688</v>
      </c>
      <c r="B562" t="n">
        <v>-0.058</v>
      </c>
      <c r="C562" t="n">
        <v>1.003</v>
      </c>
      <c r="D562" t="n">
        <v>0.109</v>
      </c>
    </row>
    <row r="563">
      <c r="A563" t="n">
        <v>2.695</v>
      </c>
      <c r="B563" t="n">
        <v>-0.054</v>
      </c>
      <c r="C563" t="n">
        <v>0.999</v>
      </c>
      <c r="D563" t="n">
        <v>0.112</v>
      </c>
    </row>
    <row r="564">
      <c r="A564" t="n">
        <v>2.697</v>
      </c>
      <c r="B564" t="n">
        <v>-0.049</v>
      </c>
      <c r="C564" t="n">
        <v>0.997</v>
      </c>
      <c r="D564" t="n">
        <v>0.112</v>
      </c>
    </row>
    <row r="565">
      <c r="A565" t="n">
        <v>2.703</v>
      </c>
      <c r="B565" t="n">
        <v>-0.045</v>
      </c>
      <c r="C565" t="n">
        <v>0.992</v>
      </c>
      <c r="D565" t="n">
        <v>0.113</v>
      </c>
    </row>
    <row r="566">
      <c r="A566" t="n">
        <v>2.708</v>
      </c>
      <c r="B566" t="n">
        <v>-0.041</v>
      </c>
      <c r="C566" t="n">
        <v>0.991</v>
      </c>
      <c r="D566" t="n">
        <v>0.111</v>
      </c>
    </row>
    <row r="567">
      <c r="A567" t="n">
        <v>2.714</v>
      </c>
      <c r="B567" t="n">
        <v>-0.038</v>
      </c>
      <c r="C567" t="n">
        <v>0.989</v>
      </c>
      <c r="D567" t="n">
        <v>0.104</v>
      </c>
    </row>
    <row r="568">
      <c r="A568" t="n">
        <v>2.715</v>
      </c>
      <c r="B568" t="n">
        <v>-0.038</v>
      </c>
      <c r="C568" t="n">
        <v>0.989</v>
      </c>
      <c r="D568" t="n">
        <v>0.104</v>
      </c>
    </row>
    <row r="569">
      <c r="A569" t="n">
        <v>2.717</v>
      </c>
      <c r="B569" t="n">
        <v>-0.038</v>
      </c>
      <c r="C569" t="n">
        <v>0.991</v>
      </c>
      <c r="D569" t="n">
        <v>0.1</v>
      </c>
    </row>
    <row r="570">
      <c r="A570" t="n">
        <v>2.729</v>
      </c>
      <c r="B570" t="n">
        <v>-0.038</v>
      </c>
      <c r="C570" t="n">
        <v>0.989</v>
      </c>
      <c r="D570" t="n">
        <v>0.097</v>
      </c>
    </row>
    <row r="571">
      <c r="A571" t="n">
        <v>2.73</v>
      </c>
      <c r="B571" t="n">
        <v>-0.038</v>
      </c>
      <c r="C571" t="n">
        <v>0.989</v>
      </c>
      <c r="D571" t="n">
        <v>0.097</v>
      </c>
    </row>
    <row r="572">
      <c r="A572" t="n">
        <v>2.73</v>
      </c>
      <c r="B572" t="n">
        <v>-0.036</v>
      </c>
      <c r="C572" t="n">
        <v>0.987</v>
      </c>
      <c r="D572" t="n">
        <v>0.096</v>
      </c>
    </row>
    <row r="573">
      <c r="A573" t="n">
        <v>2.734</v>
      </c>
      <c r="B573" t="n">
        <v>-0.033</v>
      </c>
      <c r="C573" t="n">
        <v>0.981</v>
      </c>
      <c r="D573" t="n">
        <v>0.101</v>
      </c>
    </row>
    <row r="574">
      <c r="A574" t="n">
        <v>2.738</v>
      </c>
      <c r="B574" t="n">
        <v>-0.034</v>
      </c>
      <c r="C574" t="n">
        <v>0.975</v>
      </c>
      <c r="D574" t="n">
        <v>0.106</v>
      </c>
    </row>
    <row r="575">
      <c r="A575" t="n">
        <v>2.745</v>
      </c>
      <c r="B575" t="n">
        <v>-0.038</v>
      </c>
      <c r="C575" t="n">
        <v>0.969</v>
      </c>
      <c r="D575" t="n">
        <v>0.111</v>
      </c>
    </row>
    <row r="576">
      <c r="A576" t="n">
        <v>2.747</v>
      </c>
      <c r="B576" t="n">
        <v>-0.044</v>
      </c>
      <c r="C576" t="n">
        <v>0.964</v>
      </c>
      <c r="D576" t="n">
        <v>0.119</v>
      </c>
    </row>
    <row r="577">
      <c r="A577" t="n">
        <v>2.753</v>
      </c>
      <c r="B577" t="n">
        <v>-0.051</v>
      </c>
      <c r="C577" t="n">
        <v>0.962</v>
      </c>
      <c r="D577" t="n">
        <v>0.126</v>
      </c>
    </row>
    <row r="578">
      <c r="A578" t="n">
        <v>2.773</v>
      </c>
      <c r="B578" t="n">
        <v>-0.056</v>
      </c>
      <c r="C578" t="n">
        <v>0.963</v>
      </c>
      <c r="D578" t="n">
        <v>0.128</v>
      </c>
    </row>
    <row r="579">
      <c r="A579" t="n">
        <v>2.775</v>
      </c>
      <c r="B579" t="n">
        <v>-0.055</v>
      </c>
      <c r="C579" t="n">
        <v>0.96</v>
      </c>
      <c r="D579" t="n">
        <v>0.127</v>
      </c>
    </row>
    <row r="580">
      <c r="A580" t="n">
        <v>2.776</v>
      </c>
      <c r="B580" t="n">
        <v>-0.055</v>
      </c>
      <c r="C580" t="n">
        <v>0.958</v>
      </c>
      <c r="D580" t="n">
        <v>0.129</v>
      </c>
    </row>
    <row r="581">
      <c r="A581" t="n">
        <v>2.777</v>
      </c>
      <c r="B581" t="n">
        <v>-0.054</v>
      </c>
      <c r="C581" t="n">
        <v>0.959</v>
      </c>
      <c r="D581" t="n">
        <v>0.133</v>
      </c>
    </row>
    <row r="582">
      <c r="A582" t="n">
        <v>2.778</v>
      </c>
      <c r="B582" t="n">
        <v>-0.054</v>
      </c>
      <c r="C582" t="n">
        <v>0.959</v>
      </c>
      <c r="D582" t="n">
        <v>0.133</v>
      </c>
    </row>
    <row r="583">
      <c r="A583" t="n">
        <v>2.824</v>
      </c>
      <c r="B583" t="n">
        <v>-0.055</v>
      </c>
      <c r="C583" t="n">
        <v>0.957</v>
      </c>
      <c r="D583" t="n">
        <v>0.138</v>
      </c>
    </row>
    <row r="584">
      <c r="A584" t="n">
        <v>2.825</v>
      </c>
      <c r="B584" t="n">
        <v>-0.055</v>
      </c>
      <c r="C584" t="n">
        <v>0.957</v>
      </c>
      <c r="D584" t="n">
        <v>0.138</v>
      </c>
    </row>
    <row r="585">
      <c r="A585" t="n">
        <v>2.826</v>
      </c>
      <c r="B585" t="n">
        <v>-0.055</v>
      </c>
      <c r="C585" t="n">
        <v>0.957</v>
      </c>
      <c r="D585" t="n">
        <v>0.138</v>
      </c>
    </row>
    <row r="586">
      <c r="A586" t="n">
        <v>2.827</v>
      </c>
      <c r="B586" t="n">
        <v>-0.051</v>
      </c>
      <c r="C586" t="n">
        <v>0.959</v>
      </c>
      <c r="D586" t="n">
        <v>0.157</v>
      </c>
    </row>
    <row r="587">
      <c r="A587" t="n">
        <v>2.827</v>
      </c>
      <c r="B587" t="n">
        <v>-0.04</v>
      </c>
      <c r="C587" t="n">
        <v>0.966</v>
      </c>
      <c r="D587" t="n">
        <v>0.146</v>
      </c>
    </row>
    <row r="588">
      <c r="A588" t="n">
        <v>2.828</v>
      </c>
      <c r="B588" t="n">
        <v>-0.035</v>
      </c>
      <c r="C588" t="n">
        <v>0.975</v>
      </c>
      <c r="D588" t="n">
        <v>0.134</v>
      </c>
    </row>
    <row r="589">
      <c r="A589" t="n">
        <v>2.829</v>
      </c>
      <c r="B589" t="n">
        <v>-0.035</v>
      </c>
      <c r="C589" t="n">
        <v>0.988</v>
      </c>
      <c r="D589" t="n">
        <v>0.119</v>
      </c>
    </row>
    <row r="590">
      <c r="A590" t="n">
        <v>2.83</v>
      </c>
      <c r="B590" t="n">
        <v>-0.033</v>
      </c>
      <c r="C590" t="n">
        <v>1</v>
      </c>
      <c r="D590" t="n">
        <v>0.098</v>
      </c>
    </row>
    <row r="591">
      <c r="A591" t="n">
        <v>2.83</v>
      </c>
      <c r="B591" t="n">
        <v>-0.035</v>
      </c>
      <c r="C591" t="n">
        <v>1.005</v>
      </c>
      <c r="D591" t="n">
        <v>0.077</v>
      </c>
    </row>
    <row r="592">
      <c r="A592" t="n">
        <v>2.831</v>
      </c>
      <c r="B592" t="n">
        <v>-0.03</v>
      </c>
      <c r="C592" t="n">
        <v>1.009</v>
      </c>
      <c r="D592" t="n">
        <v>0.065</v>
      </c>
    </row>
    <row r="593">
      <c r="A593" t="n">
        <v>2.832</v>
      </c>
      <c r="B593" t="n">
        <v>-0.024</v>
      </c>
      <c r="C593" t="n">
        <v>1.015</v>
      </c>
      <c r="D593" t="n">
        <v>0.063</v>
      </c>
    </row>
    <row r="594">
      <c r="A594" t="n">
        <v>2.833</v>
      </c>
      <c r="B594" t="n">
        <v>-0.014</v>
      </c>
      <c r="C594" t="n">
        <v>1.019</v>
      </c>
      <c r="D594" t="n">
        <v>0.068</v>
      </c>
    </row>
    <row r="595">
      <c r="A595" t="n">
        <v>2.837</v>
      </c>
      <c r="B595" t="n">
        <v>-0.008</v>
      </c>
      <c r="C595" t="n">
        <v>1.02</v>
      </c>
      <c r="D595" t="n">
        <v>0.079</v>
      </c>
    </row>
    <row r="596">
      <c r="A596" t="n">
        <v>2.843</v>
      </c>
      <c r="B596" t="n">
        <v>-0.007</v>
      </c>
      <c r="C596" t="n">
        <v>1.02</v>
      </c>
      <c r="D596" t="n">
        <v>0.091</v>
      </c>
    </row>
    <row r="597">
      <c r="A597" t="n">
        <v>2.847</v>
      </c>
      <c r="B597" t="n">
        <v>-0.006</v>
      </c>
      <c r="C597" t="n">
        <v>1.02</v>
      </c>
      <c r="D597" t="n">
        <v>0.097</v>
      </c>
    </row>
    <row r="598">
      <c r="A598" t="n">
        <v>2.853</v>
      </c>
      <c r="B598" t="n">
        <v>-0.012</v>
      </c>
      <c r="C598" t="n">
        <v>1.021</v>
      </c>
      <c r="D598" t="n">
        <v>0.106</v>
      </c>
    </row>
    <row r="599">
      <c r="A599" t="n">
        <v>2.867</v>
      </c>
      <c r="B599" t="n">
        <v>-0.013</v>
      </c>
      <c r="C599" t="n">
        <v>1.021</v>
      </c>
      <c r="D599" t="n">
        <v>0.109</v>
      </c>
    </row>
    <row r="600">
      <c r="A600" t="n">
        <v>2.868</v>
      </c>
      <c r="B600" t="n">
        <v>-0.011</v>
      </c>
      <c r="C600" t="n">
        <v>1.023</v>
      </c>
      <c r="D600" t="n">
        <v>0.111</v>
      </c>
    </row>
    <row r="601">
      <c r="A601" t="n">
        <v>2.87</v>
      </c>
      <c r="B601" t="n">
        <v>-0.006</v>
      </c>
      <c r="C601" t="n">
        <v>1.021</v>
      </c>
      <c r="D601" t="n">
        <v>0.111</v>
      </c>
    </row>
    <row r="602">
      <c r="A602" t="n">
        <v>2.879</v>
      </c>
      <c r="B602" t="n">
        <v>-0.006</v>
      </c>
      <c r="C602" t="n">
        <v>1.021</v>
      </c>
      <c r="D602" t="n">
        <v>0.111</v>
      </c>
    </row>
    <row r="603">
      <c r="A603" t="n">
        <v>2.879</v>
      </c>
      <c r="B603" t="n">
        <v>0</v>
      </c>
      <c r="C603" t="n">
        <v>1.022</v>
      </c>
      <c r="D603" t="n">
        <v>0.109</v>
      </c>
    </row>
    <row r="604">
      <c r="A604" t="n">
        <v>2.879</v>
      </c>
      <c r="B604" t="n">
        <v>0.01</v>
      </c>
      <c r="C604" t="n">
        <v>1.025</v>
      </c>
      <c r="D604" t="n">
        <v>0.105</v>
      </c>
    </row>
    <row r="605">
      <c r="A605" t="n">
        <v>2.909</v>
      </c>
      <c r="B605" t="n">
        <v>0.021</v>
      </c>
      <c r="C605" t="n">
        <v>1.03</v>
      </c>
      <c r="D605" t="n">
        <v>0.108</v>
      </c>
    </row>
    <row r="606">
      <c r="A606" t="n">
        <v>2.909</v>
      </c>
      <c r="B606" t="n">
        <v>0.027</v>
      </c>
      <c r="C606" t="n">
        <v>1.032</v>
      </c>
      <c r="D606" t="n">
        <v>0.109</v>
      </c>
    </row>
    <row r="607">
      <c r="A607" t="n">
        <v>2.91</v>
      </c>
      <c r="B607" t="n">
        <v>0.03</v>
      </c>
      <c r="C607" t="n">
        <v>1.035</v>
      </c>
      <c r="D607" t="n">
        <v>0.115</v>
      </c>
    </row>
    <row r="608">
      <c r="A608" t="n">
        <v>2.91</v>
      </c>
      <c r="B608" t="n">
        <v>0.035</v>
      </c>
      <c r="C608" t="n">
        <v>1.036</v>
      </c>
      <c r="D608" t="n">
        <v>0.111</v>
      </c>
    </row>
    <row r="609">
      <c r="A609" t="n">
        <v>2.91</v>
      </c>
      <c r="B609" t="n">
        <v>0.037</v>
      </c>
      <c r="C609" t="n">
        <v>1.038</v>
      </c>
      <c r="D609" t="n">
        <v>0.103</v>
      </c>
    </row>
    <row r="610">
      <c r="A610" t="n">
        <v>2.911</v>
      </c>
      <c r="B610" t="n">
        <v>0.034</v>
      </c>
      <c r="C610" t="n">
        <v>1.038</v>
      </c>
      <c r="D610" t="n">
        <v>0.089</v>
      </c>
    </row>
    <row r="611">
      <c r="A611" t="n">
        <v>2.913</v>
      </c>
      <c r="B611" t="n">
        <v>0.033</v>
      </c>
      <c r="C611" t="n">
        <v>1.038</v>
      </c>
      <c r="D611" t="n">
        <v>0.08400000000000001</v>
      </c>
    </row>
    <row r="612">
      <c r="A612" t="n">
        <v>2.918</v>
      </c>
      <c r="B612" t="n">
        <v>0.021</v>
      </c>
      <c r="C612" t="n">
        <v>1.038</v>
      </c>
      <c r="D612" t="n">
        <v>0.082</v>
      </c>
    </row>
    <row r="613">
      <c r="A613" t="n">
        <v>2.922</v>
      </c>
      <c r="B613" t="n">
        <v>0.015</v>
      </c>
      <c r="C613" t="n">
        <v>1.03</v>
      </c>
      <c r="D613" t="n">
        <v>0.089</v>
      </c>
    </row>
    <row r="614">
      <c r="A614" t="n">
        <v>2.927</v>
      </c>
      <c r="B614" t="n">
        <v>0.015</v>
      </c>
      <c r="C614" t="n">
        <v>1.03</v>
      </c>
      <c r="D614" t="n">
        <v>0.089</v>
      </c>
    </row>
    <row r="615">
      <c r="A615" t="n">
        <v>2.933</v>
      </c>
      <c r="B615" t="n">
        <v>0.002</v>
      </c>
      <c r="C615" t="n">
        <v>1.027</v>
      </c>
      <c r="D615" t="n">
        <v>0.097</v>
      </c>
    </row>
    <row r="616">
      <c r="A616" t="n">
        <v>2.937</v>
      </c>
      <c r="B616" t="n">
        <v>-0.004</v>
      </c>
      <c r="C616" t="n">
        <v>1.022</v>
      </c>
      <c r="D616" t="n">
        <v>0.104</v>
      </c>
    </row>
    <row r="617">
      <c r="A617" t="n">
        <v>2.949</v>
      </c>
      <c r="B617" t="n">
        <v>-0.01</v>
      </c>
      <c r="C617" t="n">
        <v>1.019</v>
      </c>
      <c r="D617" t="n">
        <v>0.113</v>
      </c>
    </row>
    <row r="618">
      <c r="A618" t="n">
        <v>2.95</v>
      </c>
      <c r="B618" t="n">
        <v>-0.011</v>
      </c>
      <c r="C618" t="n">
        <v>1.019</v>
      </c>
      <c r="D618" t="n">
        <v>0.115</v>
      </c>
    </row>
    <row r="619">
      <c r="A619" t="n">
        <v>2.953</v>
      </c>
      <c r="B619" t="n">
        <v>-0.013</v>
      </c>
      <c r="C619" t="n">
        <v>1.023</v>
      </c>
      <c r="D619" t="n">
        <v>0.118</v>
      </c>
    </row>
    <row r="620">
      <c r="A620" t="n">
        <v>2.986</v>
      </c>
      <c r="B620" t="n">
        <v>-0.014</v>
      </c>
      <c r="C620" t="n">
        <v>1.026</v>
      </c>
      <c r="D620" t="n">
        <v>0.112</v>
      </c>
    </row>
    <row r="621">
      <c r="A621" t="n">
        <v>2.988</v>
      </c>
      <c r="B621" t="n">
        <v>-0.014</v>
      </c>
      <c r="C621" t="n">
        <v>1.026</v>
      </c>
      <c r="D621" t="n">
        <v>0.112</v>
      </c>
    </row>
    <row r="622">
      <c r="A622" t="n">
        <v>2.989</v>
      </c>
      <c r="B622" t="n">
        <v>-0.015</v>
      </c>
      <c r="C622" t="n">
        <v>1.026</v>
      </c>
      <c r="D622" t="n">
        <v>0.1</v>
      </c>
    </row>
    <row r="623">
      <c r="A623" t="n">
        <v>2.991</v>
      </c>
      <c r="B623" t="n">
        <v>-0.021</v>
      </c>
      <c r="C623" t="n">
        <v>1.018</v>
      </c>
      <c r="D623" t="n">
        <v>0.094</v>
      </c>
    </row>
    <row r="624">
      <c r="A624" t="n">
        <v>2.992</v>
      </c>
      <c r="B624" t="n">
        <v>-0.025</v>
      </c>
      <c r="C624" t="n">
        <v>1.012</v>
      </c>
      <c r="D624" t="n">
        <v>0.097</v>
      </c>
    </row>
    <row r="625">
      <c r="A625" t="n">
        <v>2.992</v>
      </c>
      <c r="B625" t="n">
        <v>-0.03</v>
      </c>
      <c r="C625" t="n">
        <v>1.006</v>
      </c>
      <c r="D625" t="n">
        <v>0.103</v>
      </c>
    </row>
    <row r="626">
      <c r="A626" t="n">
        <v>2.993</v>
      </c>
      <c r="B626" t="n">
        <v>-0.03</v>
      </c>
      <c r="C626" t="n">
        <v>0.997</v>
      </c>
      <c r="D626" t="n">
        <v>0.114</v>
      </c>
    </row>
    <row r="627">
      <c r="A627" t="n">
        <v>2.993</v>
      </c>
      <c r="B627" t="n">
        <v>-0.03</v>
      </c>
      <c r="C627" t="n">
        <v>0.994</v>
      </c>
      <c r="D627" t="n">
        <v>0.129</v>
      </c>
    </row>
    <row r="628">
      <c r="A628" t="n">
        <v>2.994</v>
      </c>
      <c r="B628" t="n">
        <v>-0.028</v>
      </c>
      <c r="C628" t="n">
        <v>0.99</v>
      </c>
      <c r="D628" t="n">
        <v>0.138</v>
      </c>
    </row>
    <row r="629">
      <c r="A629" t="n">
        <v>2.998</v>
      </c>
      <c r="B629" t="n">
        <v>-0.032</v>
      </c>
      <c r="C629" t="n">
        <v>0.985</v>
      </c>
      <c r="D629" t="n">
        <v>0.139</v>
      </c>
    </row>
    <row r="630">
      <c r="A630" t="n">
        <v>3.003</v>
      </c>
      <c r="B630" t="n">
        <v>-0.036</v>
      </c>
      <c r="C630" t="n">
        <v>0.977</v>
      </c>
      <c r="D630" t="n">
        <v>0.139</v>
      </c>
    </row>
    <row r="631">
      <c r="A631" t="n">
        <v>3.011</v>
      </c>
      <c r="B631" t="n">
        <v>-0.042</v>
      </c>
      <c r="C631" t="n">
        <v>0.975</v>
      </c>
      <c r="D631" t="n">
        <v>0.138</v>
      </c>
    </row>
    <row r="632">
      <c r="A632" t="n">
        <v>3.013</v>
      </c>
      <c r="B632" t="n">
        <v>-0.043</v>
      </c>
      <c r="C632" t="n">
        <v>0.972</v>
      </c>
      <c r="D632" t="n">
        <v>0.136</v>
      </c>
    </row>
    <row r="633">
      <c r="A633" t="n">
        <v>3.017</v>
      </c>
      <c r="B633" t="n">
        <v>-0.041</v>
      </c>
      <c r="C633" t="n">
        <v>0.972</v>
      </c>
      <c r="D633" t="n">
        <v>0.133</v>
      </c>
    </row>
    <row r="634">
      <c r="A634" t="n">
        <v>3.023</v>
      </c>
      <c r="B634" t="n">
        <v>-0.043</v>
      </c>
      <c r="C634" t="n">
        <v>0.974</v>
      </c>
      <c r="D634" t="n">
        <v>0.125</v>
      </c>
    </row>
    <row r="635">
      <c r="A635" t="n">
        <v>3.028</v>
      </c>
      <c r="B635" t="n">
        <v>-0.05</v>
      </c>
      <c r="C635" t="n">
        <v>0.974</v>
      </c>
      <c r="D635" t="n">
        <v>0.116</v>
      </c>
    </row>
    <row r="636">
      <c r="A636" t="n">
        <v>3.033</v>
      </c>
      <c r="B636" t="n">
        <v>-0.057</v>
      </c>
      <c r="C636" t="n">
        <v>0.975</v>
      </c>
      <c r="D636" t="n">
        <v>0.107</v>
      </c>
    </row>
    <row r="637">
      <c r="A637" t="n">
        <v>3.038</v>
      </c>
      <c r="B637" t="n">
        <v>-0.065</v>
      </c>
      <c r="C637" t="n">
        <v>0.976</v>
      </c>
      <c r="D637" t="n">
        <v>0.1</v>
      </c>
    </row>
    <row r="638">
      <c r="A638" t="n">
        <v>3.044</v>
      </c>
      <c r="B638" t="n">
        <v>-0.07199999999999999</v>
      </c>
      <c r="C638" t="n">
        <v>0.976</v>
      </c>
      <c r="D638" t="n">
        <v>0.091</v>
      </c>
    </row>
    <row r="639">
      <c r="A639" t="n">
        <v>3.047</v>
      </c>
      <c r="B639" t="n">
        <v>-0.077</v>
      </c>
      <c r="C639" t="n">
        <v>0.981</v>
      </c>
      <c r="D639" t="n">
        <v>0.08599999999999999</v>
      </c>
    </row>
    <row r="640">
      <c r="A640" t="n">
        <v>3.053</v>
      </c>
      <c r="B640" t="n">
        <v>-0.079</v>
      </c>
      <c r="C640" t="n">
        <v>0.986</v>
      </c>
      <c r="D640" t="n">
        <v>0.081</v>
      </c>
    </row>
    <row r="641">
      <c r="A641" t="n">
        <v>3.068</v>
      </c>
      <c r="B641" t="n">
        <v>-0.081</v>
      </c>
      <c r="C641" t="n">
        <v>0.996</v>
      </c>
      <c r="D641" t="n">
        <v>0.074</v>
      </c>
    </row>
    <row r="642">
      <c r="A642" t="n">
        <v>3.068</v>
      </c>
      <c r="B642" t="n">
        <v>-0.08400000000000001</v>
      </c>
      <c r="C642" t="n">
        <v>1.005</v>
      </c>
      <c r="D642" t="n">
        <v>0.07000000000000001</v>
      </c>
    </row>
    <row r="643">
      <c r="A643" t="n">
        <v>3.069</v>
      </c>
      <c r="B643" t="n">
        <v>-0.08799999999999999</v>
      </c>
      <c r="C643" t="n">
        <v>1.006</v>
      </c>
      <c r="D643" t="n">
        <v>0.07000000000000001</v>
      </c>
    </row>
    <row r="644">
      <c r="A644" t="n">
        <v>3.072</v>
      </c>
      <c r="B644" t="n">
        <v>-0.095</v>
      </c>
      <c r="C644" t="n">
        <v>1.003</v>
      </c>
      <c r="D644" t="n">
        <v>0.068</v>
      </c>
    </row>
    <row r="645">
      <c r="A645" t="n">
        <v>3.107</v>
      </c>
      <c r="B645" t="n">
        <v>-0.099</v>
      </c>
      <c r="C645" t="n">
        <v>1</v>
      </c>
      <c r="D645" t="n">
        <v>0.06900000000000001</v>
      </c>
    </row>
    <row r="646">
      <c r="A646" t="n">
        <v>3.108</v>
      </c>
      <c r="B646" t="n">
        <v>-0.101</v>
      </c>
      <c r="C646" t="n">
        <v>0.997</v>
      </c>
      <c r="D646" t="n">
        <v>0.074</v>
      </c>
    </row>
    <row r="647">
      <c r="A647" t="n">
        <v>3.108</v>
      </c>
      <c r="B647" t="n">
        <v>-0.094</v>
      </c>
      <c r="C647" t="n">
        <v>0.996</v>
      </c>
      <c r="D647" t="n">
        <v>0.079</v>
      </c>
    </row>
    <row r="648">
      <c r="A648" t="n">
        <v>3.108</v>
      </c>
      <c r="B648" t="n">
        <v>-0.083</v>
      </c>
      <c r="C648" t="n">
        <v>0.996</v>
      </c>
      <c r="D648" t="n">
        <v>0.082</v>
      </c>
    </row>
    <row r="649">
      <c r="A649" t="n">
        <v>3.109</v>
      </c>
      <c r="B649" t="n">
        <v>-0.07199999999999999</v>
      </c>
      <c r="C649" t="n">
        <v>0.996</v>
      </c>
      <c r="D649" t="n">
        <v>0.08599999999999999</v>
      </c>
    </row>
    <row r="650">
      <c r="A650" t="n">
        <v>3.109</v>
      </c>
      <c r="B650" t="n">
        <v>-0.068</v>
      </c>
      <c r="C650" t="n">
        <v>0.994</v>
      </c>
      <c r="D650" t="n">
        <v>0.095</v>
      </c>
    </row>
    <row r="651">
      <c r="A651" t="n">
        <v>3.109</v>
      </c>
      <c r="B651" t="n">
        <v>-0.061</v>
      </c>
      <c r="C651" t="n">
        <v>0.988</v>
      </c>
      <c r="D651" t="n">
        <v>0.107</v>
      </c>
    </row>
    <row r="652">
      <c r="A652" t="n">
        <v>3.113</v>
      </c>
      <c r="B652" t="n">
        <v>-0.052</v>
      </c>
      <c r="C652" t="n">
        <v>0.984</v>
      </c>
      <c r="D652" t="n">
        <v>0.122</v>
      </c>
    </row>
    <row r="653">
      <c r="A653" t="n">
        <v>3.117</v>
      </c>
      <c r="B653" t="n">
        <v>-0.047</v>
      </c>
      <c r="C653" t="n">
        <v>0.975</v>
      </c>
      <c r="D653" t="n">
        <v>0.137</v>
      </c>
    </row>
    <row r="654">
      <c r="A654" t="n">
        <v>3.123</v>
      </c>
      <c r="B654" t="n">
        <v>-0.038</v>
      </c>
      <c r="C654" t="n">
        <v>0.969</v>
      </c>
      <c r="D654" t="n">
        <v>0.146</v>
      </c>
    </row>
    <row r="655">
      <c r="A655" t="n">
        <v>3.127</v>
      </c>
      <c r="B655" t="n">
        <v>-0.032</v>
      </c>
      <c r="C655" t="n">
        <v>0.969</v>
      </c>
      <c r="D655" t="n">
        <v>0.152</v>
      </c>
    </row>
    <row r="656">
      <c r="A656" t="n">
        <v>3.133</v>
      </c>
      <c r="B656" t="n">
        <v>-0.031</v>
      </c>
      <c r="C656" t="n">
        <v>0.971</v>
      </c>
      <c r="D656" t="n">
        <v>0.153</v>
      </c>
    </row>
    <row r="657">
      <c r="A657" t="n">
        <v>3.137</v>
      </c>
      <c r="B657" t="n">
        <v>-0.03</v>
      </c>
      <c r="C657" t="n">
        <v>0.974</v>
      </c>
      <c r="D657" t="n">
        <v>0.151</v>
      </c>
    </row>
    <row r="658">
      <c r="A658" t="n">
        <v>3.156</v>
      </c>
      <c r="B658" t="n">
        <v>-0.028</v>
      </c>
      <c r="C658" t="n">
        <v>0.979</v>
      </c>
      <c r="D658" t="n">
        <v>0.14</v>
      </c>
    </row>
    <row r="659">
      <c r="A659" t="n">
        <v>3.159</v>
      </c>
      <c r="B659" t="n">
        <v>-0.028</v>
      </c>
      <c r="C659" t="n">
        <v>0.979</v>
      </c>
      <c r="D659" t="n">
        <v>0.14</v>
      </c>
    </row>
    <row r="660">
      <c r="A660" t="n">
        <v>3.16</v>
      </c>
      <c r="B660" t="n">
        <v>-0.03</v>
      </c>
      <c r="C660" t="n">
        <v>0.981</v>
      </c>
      <c r="D660" t="n">
        <v>0.131</v>
      </c>
    </row>
    <row r="661">
      <c r="A661" t="n">
        <v>3.16</v>
      </c>
      <c r="B661" t="n">
        <v>-0.03</v>
      </c>
      <c r="C661" t="n">
        <v>0.984</v>
      </c>
      <c r="D661" t="n">
        <v>0.123</v>
      </c>
    </row>
    <row r="662">
      <c r="A662" t="n">
        <v>3.207</v>
      </c>
      <c r="B662" t="n">
        <v>-0.026</v>
      </c>
      <c r="C662" t="n">
        <v>0.979</v>
      </c>
      <c r="D662" t="n">
        <v>0.114</v>
      </c>
    </row>
    <row r="663">
      <c r="A663" t="n">
        <v>3.209</v>
      </c>
      <c r="B663" t="n">
        <v>-0.026</v>
      </c>
      <c r="C663" t="n">
        <v>0.979</v>
      </c>
      <c r="D663" t="n">
        <v>0.114</v>
      </c>
    </row>
    <row r="664">
      <c r="A664" t="n">
        <v>3.21</v>
      </c>
      <c r="B664" t="n">
        <v>-0.021</v>
      </c>
      <c r="C664" t="n">
        <v>0.976</v>
      </c>
      <c r="D664" t="n">
        <v>0.112</v>
      </c>
    </row>
    <row r="665">
      <c r="A665" t="n">
        <v>3.21</v>
      </c>
      <c r="B665" t="n">
        <v>-0.025</v>
      </c>
      <c r="C665" t="n">
        <v>0.978</v>
      </c>
      <c r="D665" t="n">
        <v>0.121</v>
      </c>
    </row>
    <row r="666">
      <c r="A666" t="n">
        <v>3.211</v>
      </c>
      <c r="B666" t="n">
        <v>-0.035</v>
      </c>
      <c r="C666" t="n">
        <v>0.977</v>
      </c>
      <c r="D666" t="n">
        <v>0.13</v>
      </c>
    </row>
    <row r="667">
      <c r="A667" t="n">
        <v>3.212</v>
      </c>
      <c r="B667" t="n">
        <v>-0.046</v>
      </c>
      <c r="C667" t="n">
        <v>0.978</v>
      </c>
      <c r="D667" t="n">
        <v>0.137</v>
      </c>
    </row>
    <row r="668">
      <c r="A668" t="n">
        <v>3.213</v>
      </c>
      <c r="B668" t="n">
        <v>-0.051</v>
      </c>
      <c r="C668" t="n">
        <v>0.981</v>
      </c>
      <c r="D668" t="n">
        <v>0.132</v>
      </c>
    </row>
    <row r="669">
      <c r="A669" t="n">
        <v>3.213</v>
      </c>
      <c r="B669" t="n">
        <v>-0.048</v>
      </c>
      <c r="C669" t="n">
        <v>0.982</v>
      </c>
      <c r="D669" t="n">
        <v>0.128</v>
      </c>
    </row>
    <row r="670">
      <c r="A670" t="n">
        <v>3.214</v>
      </c>
      <c r="B670" t="n">
        <v>-0.048</v>
      </c>
      <c r="C670" t="n">
        <v>0.988</v>
      </c>
      <c r="D670" t="n">
        <v>0.119</v>
      </c>
    </row>
    <row r="671">
      <c r="A671" t="n">
        <v>3.214</v>
      </c>
      <c r="B671" t="n">
        <v>-0.049</v>
      </c>
      <c r="C671" t="n">
        <v>0.992</v>
      </c>
      <c r="D671" t="n">
        <v>0.107</v>
      </c>
    </row>
    <row r="672">
      <c r="A672" t="n">
        <v>3.215</v>
      </c>
      <c r="B672" t="n">
        <v>-0.055</v>
      </c>
      <c r="C672" t="n">
        <v>0.996</v>
      </c>
      <c r="D672" t="n">
        <v>0.098</v>
      </c>
    </row>
    <row r="673">
      <c r="A673" t="n">
        <v>3.216</v>
      </c>
      <c r="B673" t="n">
        <v>-0.058</v>
      </c>
      <c r="C673" t="n">
        <v>0.994</v>
      </c>
      <c r="D673" t="n">
        <v>0.093</v>
      </c>
    </row>
    <row r="674">
      <c r="A674" t="n">
        <v>3.218</v>
      </c>
      <c r="B674" t="n">
        <v>-0.059</v>
      </c>
      <c r="C674" t="n">
        <v>0.996</v>
      </c>
      <c r="D674" t="n">
        <v>0.095</v>
      </c>
    </row>
    <row r="675">
      <c r="A675" t="n">
        <v>3.223</v>
      </c>
      <c r="B675" t="n">
        <v>-0.06</v>
      </c>
      <c r="C675" t="n">
        <v>0.992</v>
      </c>
      <c r="D675" t="n">
        <v>0.098</v>
      </c>
    </row>
    <row r="676">
      <c r="A676" t="n">
        <v>3.228</v>
      </c>
      <c r="B676" t="n">
        <v>-0.059</v>
      </c>
      <c r="C676" t="n">
        <v>0.992</v>
      </c>
      <c r="D676" t="n">
        <v>0.102</v>
      </c>
    </row>
    <row r="677">
      <c r="A677" t="n">
        <v>3.233</v>
      </c>
      <c r="B677" t="n">
        <v>-0.057</v>
      </c>
      <c r="C677" t="n">
        <v>0.994</v>
      </c>
      <c r="D677" t="n">
        <v>0.108</v>
      </c>
    </row>
    <row r="678">
      <c r="A678" t="n">
        <v>3.237</v>
      </c>
      <c r="B678" t="n">
        <v>-0.055</v>
      </c>
      <c r="C678" t="n">
        <v>0.999</v>
      </c>
      <c r="D678" t="n">
        <v>0.114</v>
      </c>
    </row>
    <row r="679">
      <c r="A679" t="n">
        <v>3.245</v>
      </c>
      <c r="B679" t="n">
        <v>-0.051</v>
      </c>
      <c r="C679" t="n">
        <v>0.999</v>
      </c>
      <c r="D679" t="n">
        <v>0.124</v>
      </c>
    </row>
    <row r="680">
      <c r="A680" t="n">
        <v>3.247</v>
      </c>
      <c r="B680" t="n">
        <v>-0.05</v>
      </c>
      <c r="C680" t="n">
        <v>0.998</v>
      </c>
      <c r="D680" t="n">
        <v>0.131</v>
      </c>
    </row>
    <row r="681">
      <c r="A681" t="n">
        <v>3.252</v>
      </c>
      <c r="B681" t="n">
        <v>-0.042</v>
      </c>
      <c r="C681" t="n">
        <v>0.995</v>
      </c>
      <c r="D681" t="n">
        <v>0.136</v>
      </c>
    </row>
    <row r="682">
      <c r="A682" t="n">
        <v>3.267</v>
      </c>
      <c r="B682" t="n">
        <v>-0.028</v>
      </c>
      <c r="C682" t="n">
        <v>0.994</v>
      </c>
      <c r="D682" t="n">
        <v>0.139</v>
      </c>
    </row>
    <row r="683">
      <c r="A683" t="n">
        <v>3.268</v>
      </c>
      <c r="B683" t="n">
        <v>-0.028</v>
      </c>
      <c r="C683" t="n">
        <v>0.994</v>
      </c>
      <c r="D683" t="n">
        <v>0.139</v>
      </c>
    </row>
    <row r="684">
      <c r="A684" t="n">
        <v>3.268</v>
      </c>
      <c r="B684" t="n">
        <v>-0.017</v>
      </c>
      <c r="C684" t="n">
        <v>0.993</v>
      </c>
      <c r="D684" t="n">
        <v>0.147</v>
      </c>
    </row>
    <row r="685">
      <c r="A685" t="n">
        <v>3.268</v>
      </c>
      <c r="B685" t="n">
        <v>-0.008999999999999999</v>
      </c>
      <c r="C685" t="n">
        <v>0.993</v>
      </c>
      <c r="D685" t="n">
        <v>0.156</v>
      </c>
    </row>
    <row r="686">
      <c r="A686" t="n">
        <v>3.273</v>
      </c>
      <c r="B686" t="n">
        <v>-0.005</v>
      </c>
      <c r="C686" t="n">
        <v>0.997</v>
      </c>
      <c r="D686" t="n">
        <v>0.152</v>
      </c>
    </row>
    <row r="687">
      <c r="A687" t="n">
        <v>3.278</v>
      </c>
      <c r="B687" t="n">
        <v>-0.003</v>
      </c>
      <c r="C687" t="n">
        <v>1.001</v>
      </c>
      <c r="D687" t="n">
        <v>0.145</v>
      </c>
    </row>
    <row r="688">
      <c r="A688" t="n">
        <v>3.318</v>
      </c>
      <c r="B688" t="n">
        <v>0</v>
      </c>
      <c r="C688" t="n">
        <v>1.007</v>
      </c>
      <c r="D688" t="n">
        <v>0.135</v>
      </c>
    </row>
    <row r="689">
      <c r="A689" t="n">
        <v>3.318</v>
      </c>
      <c r="B689" t="n">
        <v>0.006</v>
      </c>
      <c r="C689" t="n">
        <v>1.011</v>
      </c>
      <c r="D689" t="n">
        <v>0.123</v>
      </c>
    </row>
    <row r="690">
      <c r="A690" t="n">
        <v>3.319</v>
      </c>
      <c r="B690" t="n">
        <v>0.007</v>
      </c>
      <c r="C690" t="n">
        <v>1.016</v>
      </c>
      <c r="D690" t="n">
        <v>0.101</v>
      </c>
    </row>
    <row r="691">
      <c r="A691" t="n">
        <v>3.319</v>
      </c>
      <c r="B691" t="n">
        <v>0.008999999999999999</v>
      </c>
      <c r="C691" t="n">
        <v>1.021</v>
      </c>
      <c r="D691" t="n">
        <v>0.079</v>
      </c>
    </row>
    <row r="692">
      <c r="A692" t="n">
        <v>3.319</v>
      </c>
      <c r="B692" t="n">
        <v>0.005</v>
      </c>
      <c r="C692" t="n">
        <v>1.023</v>
      </c>
      <c r="D692" t="n">
        <v>0.067</v>
      </c>
    </row>
    <row r="693">
      <c r="A693" t="n">
        <v>3.319</v>
      </c>
      <c r="B693" t="n">
        <v>-0.003</v>
      </c>
      <c r="C693" t="n">
        <v>1.025</v>
      </c>
      <c r="D693" t="n">
        <v>0.06</v>
      </c>
    </row>
    <row r="694">
      <c r="A694" t="n">
        <v>3.32</v>
      </c>
      <c r="B694" t="n">
        <v>-0.011</v>
      </c>
      <c r="C694" t="n">
        <v>1.024</v>
      </c>
      <c r="D694" t="n">
        <v>0.061</v>
      </c>
    </row>
    <row r="695">
      <c r="A695" t="n">
        <v>3.32</v>
      </c>
      <c r="B695" t="n">
        <v>-0.017</v>
      </c>
      <c r="C695" t="n">
        <v>1.023</v>
      </c>
      <c r="D695" t="n">
        <v>0.07099999999999999</v>
      </c>
    </row>
    <row r="696">
      <c r="A696" t="n">
        <v>3.323</v>
      </c>
      <c r="B696" t="n">
        <v>-0.02</v>
      </c>
      <c r="C696" t="n">
        <v>1.021</v>
      </c>
      <c r="D696" t="n">
        <v>0.08400000000000001</v>
      </c>
    </row>
    <row r="697">
      <c r="A697" t="n">
        <v>3.329</v>
      </c>
      <c r="B697" t="n">
        <v>-0.022</v>
      </c>
      <c r="C697" t="n">
        <v>1.017</v>
      </c>
      <c r="D697" t="n">
        <v>0.094</v>
      </c>
    </row>
    <row r="698">
      <c r="A698" t="n">
        <v>3.334</v>
      </c>
      <c r="B698" t="n">
        <v>-0.026</v>
      </c>
      <c r="C698" t="n">
        <v>1.009</v>
      </c>
      <c r="D698" t="n">
        <v>0.108</v>
      </c>
    </row>
    <row r="699">
      <c r="A699" t="n">
        <v>3.338</v>
      </c>
      <c r="B699" t="n">
        <v>-0.029</v>
      </c>
      <c r="C699" t="n">
        <v>1</v>
      </c>
      <c r="D699" t="n">
        <v>0.118</v>
      </c>
    </row>
    <row r="700">
      <c r="A700" t="n">
        <v>3.352</v>
      </c>
      <c r="B700" t="n">
        <v>-0.032</v>
      </c>
      <c r="C700" t="n">
        <v>0.996</v>
      </c>
      <c r="D700" t="n">
        <v>0.128</v>
      </c>
    </row>
    <row r="701">
      <c r="A701" t="n">
        <v>3.353</v>
      </c>
      <c r="B701" t="n">
        <v>-0.032</v>
      </c>
      <c r="C701" t="n">
        <v>0.996</v>
      </c>
      <c r="D701" t="n">
        <v>0.128</v>
      </c>
    </row>
    <row r="702">
      <c r="A702" t="n">
        <v>3.364</v>
      </c>
      <c r="B702" t="n">
        <v>-0.031</v>
      </c>
      <c r="C702" t="n">
        <v>1.003</v>
      </c>
      <c r="D702" t="n">
        <v>0.132</v>
      </c>
    </row>
    <row r="703">
      <c r="A703" t="n">
        <v>3.365</v>
      </c>
      <c r="B703" t="n">
        <v>-0.031</v>
      </c>
      <c r="C703" t="n">
        <v>1.003</v>
      </c>
      <c r="D703" t="n">
        <v>0.132</v>
      </c>
    </row>
    <row r="704">
      <c r="A704" t="n">
        <v>3.365</v>
      </c>
      <c r="B704" t="n">
        <v>-0.03</v>
      </c>
      <c r="C704" t="n">
        <v>1.007</v>
      </c>
      <c r="D704" t="n">
        <v>0.13</v>
      </c>
    </row>
    <row r="705">
      <c r="A705" t="n">
        <v>3.367</v>
      </c>
      <c r="B705" t="n">
        <v>-0.029</v>
      </c>
      <c r="C705" t="n">
        <v>1.013</v>
      </c>
      <c r="D705" t="n">
        <v>0.124</v>
      </c>
    </row>
    <row r="706">
      <c r="A706" t="n">
        <v>3.367</v>
      </c>
      <c r="B706" t="n">
        <v>-0.029</v>
      </c>
      <c r="C706" t="n">
        <v>1.013</v>
      </c>
      <c r="D706" t="n">
        <v>0.124</v>
      </c>
    </row>
    <row r="707">
      <c r="A707" t="n">
        <v>3.387</v>
      </c>
      <c r="B707" t="n">
        <v>-0.036</v>
      </c>
      <c r="C707" t="n">
        <v>1.008</v>
      </c>
      <c r="D707" t="n">
        <v>0.102</v>
      </c>
    </row>
    <row r="708">
      <c r="A708" t="n">
        <v>3.387</v>
      </c>
      <c r="B708" t="n">
        <v>-0.043</v>
      </c>
      <c r="C708" t="n">
        <v>1.005</v>
      </c>
      <c r="D708" t="n">
        <v>0.1</v>
      </c>
    </row>
    <row r="709">
      <c r="A709" t="n">
        <v>3.387</v>
      </c>
      <c r="B709" t="n">
        <v>-0.043</v>
      </c>
      <c r="C709" t="n">
        <v>1.002</v>
      </c>
      <c r="D709" t="n">
        <v>0.099</v>
      </c>
    </row>
    <row r="710">
      <c r="A710" t="n">
        <v>3.387</v>
      </c>
      <c r="B710" t="n">
        <v>-0.043</v>
      </c>
      <c r="C710" t="n">
        <v>1.004</v>
      </c>
      <c r="D710" t="n">
        <v>0.102</v>
      </c>
    </row>
    <row r="711">
      <c r="A711" t="n">
        <v>3.394</v>
      </c>
      <c r="B711" t="n">
        <v>-0.041</v>
      </c>
      <c r="C711" t="n">
        <v>1.005</v>
      </c>
      <c r="D711" t="n">
        <v>0.108</v>
      </c>
    </row>
    <row r="712">
      <c r="A712" t="n">
        <v>3.398</v>
      </c>
      <c r="B712" t="n">
        <v>-0.038</v>
      </c>
      <c r="C712" t="n">
        <v>1.009</v>
      </c>
      <c r="D712" t="n">
        <v>0.111</v>
      </c>
    </row>
    <row r="713">
      <c r="A713" t="n">
        <v>3.403</v>
      </c>
      <c r="B713" t="n">
        <v>-0.037</v>
      </c>
      <c r="C713" t="n">
        <v>1.012</v>
      </c>
      <c r="D713" t="n">
        <v>0.111</v>
      </c>
    </row>
    <row r="714">
      <c r="A714" t="n">
        <v>3.407</v>
      </c>
      <c r="B714" t="n">
        <v>-0.038</v>
      </c>
      <c r="C714" t="n">
        <v>1.014</v>
      </c>
      <c r="D714" t="n">
        <v>0.104</v>
      </c>
    </row>
    <row r="715">
      <c r="A715" t="n">
        <v>3.413</v>
      </c>
      <c r="B715" t="n">
        <v>-0.035</v>
      </c>
      <c r="C715" t="n">
        <v>1.02</v>
      </c>
      <c r="D715" t="n">
        <v>0.094</v>
      </c>
    </row>
    <row r="716">
      <c r="A716" t="n">
        <v>3.417</v>
      </c>
      <c r="B716" t="n">
        <v>-0.031</v>
      </c>
      <c r="C716" t="n">
        <v>1.023</v>
      </c>
      <c r="D716" t="n">
        <v>0.079</v>
      </c>
    </row>
    <row r="717">
      <c r="A717" t="n">
        <v>3.423</v>
      </c>
      <c r="B717" t="n">
        <v>-0.027</v>
      </c>
      <c r="C717" t="n">
        <v>1.029</v>
      </c>
      <c r="D717" t="n">
        <v>0.06900000000000001</v>
      </c>
    </row>
    <row r="718">
      <c r="A718" t="n">
        <v>3.428</v>
      </c>
      <c r="B718" t="n">
        <v>-0.026</v>
      </c>
      <c r="C718" t="n">
        <v>1.033</v>
      </c>
      <c r="D718" t="n">
        <v>0.057</v>
      </c>
    </row>
    <row r="719">
      <c r="A719" t="n">
        <v>3.433</v>
      </c>
      <c r="B719" t="n">
        <v>-0.03</v>
      </c>
      <c r="C719" t="n">
        <v>1.03</v>
      </c>
      <c r="D719" t="n">
        <v>0.056</v>
      </c>
    </row>
    <row r="720">
      <c r="A720" t="n">
        <v>3.438</v>
      </c>
      <c r="B720" t="n">
        <v>-0.031</v>
      </c>
      <c r="C720" t="n">
        <v>1.025</v>
      </c>
      <c r="D720" t="n">
        <v>0.064</v>
      </c>
    </row>
    <row r="721">
      <c r="A721" t="n">
        <v>3.465</v>
      </c>
      <c r="B721" t="n">
        <v>-0.035</v>
      </c>
      <c r="C721" t="n">
        <v>1.022</v>
      </c>
      <c r="D721" t="n">
        <v>0.081</v>
      </c>
    </row>
    <row r="722">
      <c r="A722" t="n">
        <v>3.466</v>
      </c>
      <c r="B722" t="n">
        <v>-0.033</v>
      </c>
      <c r="C722" t="n">
        <v>1.018</v>
      </c>
      <c r="D722" t="n">
        <v>0.094</v>
      </c>
    </row>
    <row r="723">
      <c r="A723" t="n">
        <v>3.467</v>
      </c>
      <c r="B723" t="n">
        <v>-0.028</v>
      </c>
      <c r="C723" t="n">
        <v>1.015</v>
      </c>
      <c r="D723" t="n">
        <v>0.103</v>
      </c>
    </row>
    <row r="724">
      <c r="A724" t="n">
        <v>3.467</v>
      </c>
      <c r="B724" t="n">
        <v>-0.027</v>
      </c>
      <c r="C724" t="n">
        <v>1.013</v>
      </c>
      <c r="D724" t="n">
        <v>0.111</v>
      </c>
    </row>
    <row r="725">
      <c r="A725" t="n">
        <v>3.468</v>
      </c>
      <c r="B725" t="n">
        <v>-0.027</v>
      </c>
      <c r="C725" t="n">
        <v>1.013</v>
      </c>
      <c r="D725" t="n">
        <v>0.111</v>
      </c>
    </row>
    <row r="726">
      <c r="A726" t="n">
        <v>3.468</v>
      </c>
      <c r="B726" t="n">
        <v>-0.027</v>
      </c>
      <c r="C726" t="n">
        <v>1.013</v>
      </c>
      <c r="D726" t="n">
        <v>0.111</v>
      </c>
    </row>
    <row r="727">
      <c r="A727" t="n">
        <v>3.471</v>
      </c>
      <c r="B727" t="n">
        <v>-0.021</v>
      </c>
      <c r="C727" t="n">
        <v>1.005</v>
      </c>
      <c r="D727" t="n">
        <v>0.118</v>
      </c>
    </row>
    <row r="728">
      <c r="A728" t="n">
        <v>3.509</v>
      </c>
      <c r="B728" t="n">
        <v>-0.019</v>
      </c>
      <c r="C728" t="n">
        <v>1.002</v>
      </c>
      <c r="D728" t="n">
        <v>0.11</v>
      </c>
    </row>
    <row r="729">
      <c r="A729" t="n">
        <v>3.51</v>
      </c>
      <c r="B729" t="n">
        <v>-0.019</v>
      </c>
      <c r="C729" t="n">
        <v>1.002</v>
      </c>
      <c r="D729" t="n">
        <v>0.11</v>
      </c>
    </row>
    <row r="730">
      <c r="A730" t="n">
        <v>3.51</v>
      </c>
      <c r="B730" t="n">
        <v>-0.023</v>
      </c>
      <c r="C730" t="n">
        <v>0.996</v>
      </c>
      <c r="D730" t="n">
        <v>0.106</v>
      </c>
    </row>
    <row r="731">
      <c r="A731" t="n">
        <v>3.51</v>
      </c>
      <c r="B731" t="n">
        <v>-0.027</v>
      </c>
      <c r="C731" t="n">
        <v>0.992</v>
      </c>
      <c r="D731" t="n">
        <v>0.105</v>
      </c>
    </row>
    <row r="732">
      <c r="A732" t="n">
        <v>3.511</v>
      </c>
      <c r="B732" t="n">
        <v>-0.032</v>
      </c>
      <c r="C732" t="n">
        <v>0.991</v>
      </c>
      <c r="D732" t="n">
        <v>0.102</v>
      </c>
    </row>
    <row r="733">
      <c r="A733" t="n">
        <v>3.511</v>
      </c>
      <c r="B733" t="n">
        <v>-0.036</v>
      </c>
      <c r="C733" t="n">
        <v>0.988</v>
      </c>
      <c r="D733" t="n">
        <v>0.098</v>
      </c>
    </row>
    <row r="734">
      <c r="A734" t="n">
        <v>3.512</v>
      </c>
      <c r="B734" t="n">
        <v>-0.037</v>
      </c>
      <c r="C734" t="n">
        <v>0.987</v>
      </c>
      <c r="D734" t="n">
        <v>0.104</v>
      </c>
    </row>
    <row r="735">
      <c r="A735" t="n">
        <v>3.514</v>
      </c>
      <c r="B735" t="n">
        <v>-0.035</v>
      </c>
      <c r="C735" t="n">
        <v>0.983</v>
      </c>
      <c r="D735" t="n">
        <v>0.112</v>
      </c>
    </row>
    <row r="736">
      <c r="A736" t="n">
        <v>3.519</v>
      </c>
      <c r="B736" t="n">
        <v>-0.034</v>
      </c>
      <c r="C736" t="n">
        <v>0.982</v>
      </c>
      <c r="D736" t="n">
        <v>0.113</v>
      </c>
    </row>
    <row r="737">
      <c r="A737" t="n">
        <v>3.523</v>
      </c>
      <c r="B737" t="n">
        <v>-0.04</v>
      </c>
      <c r="C737" t="n">
        <v>0.979</v>
      </c>
      <c r="D737" t="n">
        <v>0.119</v>
      </c>
    </row>
    <row r="738">
      <c r="A738" t="n">
        <v>3.529</v>
      </c>
      <c r="B738" t="n">
        <v>-0.038</v>
      </c>
      <c r="C738" t="n">
        <v>0.976</v>
      </c>
      <c r="D738" t="n">
        <v>0.13</v>
      </c>
    </row>
    <row r="739">
      <c r="A739" t="n">
        <v>3.533</v>
      </c>
      <c r="B739" t="n">
        <v>-0.029</v>
      </c>
      <c r="C739" t="n">
        <v>0.98</v>
      </c>
      <c r="D739" t="n">
        <v>0.138</v>
      </c>
    </row>
    <row r="740">
      <c r="A740" t="n">
        <v>3.537</v>
      </c>
      <c r="B740" t="n">
        <v>-0.019</v>
      </c>
      <c r="C740" t="n">
        <v>0.982</v>
      </c>
      <c r="D740" t="n">
        <v>0.14</v>
      </c>
    </row>
    <row r="741">
      <c r="A741" t="n">
        <v>3.546</v>
      </c>
      <c r="B741" t="n">
        <v>-0.008999999999999999</v>
      </c>
      <c r="C741" t="n">
        <v>0.987</v>
      </c>
      <c r="D741" t="n">
        <v>0.131</v>
      </c>
    </row>
    <row r="742">
      <c r="A742" t="n">
        <v>3.547</v>
      </c>
      <c r="B742" t="n">
        <v>-0.008</v>
      </c>
      <c r="C742" t="n">
        <v>0.99</v>
      </c>
      <c r="D742" t="n">
        <v>0.121</v>
      </c>
    </row>
    <row r="743">
      <c r="A743" t="n">
        <v>3.553</v>
      </c>
      <c r="B743" t="n">
        <v>-0.006</v>
      </c>
      <c r="C743" t="n">
        <v>0.993</v>
      </c>
      <c r="D743" t="n">
        <v>0.11</v>
      </c>
    </row>
    <row r="744">
      <c r="A744" t="n">
        <v>3.557</v>
      </c>
      <c r="B744" t="n">
        <v>-0.007</v>
      </c>
      <c r="C744" t="n">
        <v>1.004</v>
      </c>
      <c r="D744" t="n">
        <v>0.098</v>
      </c>
    </row>
    <row r="745">
      <c r="A745" t="n">
        <v>3.569</v>
      </c>
      <c r="B745" t="n">
        <v>-0.003</v>
      </c>
      <c r="C745" t="n">
        <v>1.012</v>
      </c>
      <c r="D745" t="n">
        <v>0.093</v>
      </c>
    </row>
    <row r="746">
      <c r="A746" t="n">
        <v>3.57</v>
      </c>
      <c r="B746" t="n">
        <v>-0.003</v>
      </c>
      <c r="C746" t="n">
        <v>1.018</v>
      </c>
      <c r="D746" t="n">
        <v>0.08799999999999999</v>
      </c>
    </row>
    <row r="747">
      <c r="A747" t="n">
        <v>3.573</v>
      </c>
      <c r="B747" t="n">
        <v>-0.005</v>
      </c>
      <c r="C747" t="n">
        <v>1.019</v>
      </c>
      <c r="D747" t="n">
        <v>0.08599999999999999</v>
      </c>
    </row>
    <row r="748">
      <c r="A748" t="n">
        <v>3.609</v>
      </c>
      <c r="B748" t="n">
        <v>-0.011</v>
      </c>
      <c r="C748" t="n">
        <v>1.018</v>
      </c>
      <c r="D748" t="n">
        <v>0.08400000000000001</v>
      </c>
    </row>
    <row r="749">
      <c r="A749" t="n">
        <v>3.609</v>
      </c>
      <c r="B749" t="n">
        <v>-0.017</v>
      </c>
      <c r="C749" t="n">
        <v>1.018</v>
      </c>
      <c r="D749" t="n">
        <v>0.09</v>
      </c>
    </row>
    <row r="750">
      <c r="A750" t="n">
        <v>3.61</v>
      </c>
      <c r="B750" t="n">
        <v>-0.015</v>
      </c>
      <c r="C750" t="n">
        <v>1.016</v>
      </c>
      <c r="D750" t="n">
        <v>0.097</v>
      </c>
    </row>
    <row r="751">
      <c r="A751" t="n">
        <v>3.61</v>
      </c>
      <c r="B751" t="n">
        <v>-0.016</v>
      </c>
      <c r="C751" t="n">
        <v>1.01</v>
      </c>
      <c r="D751" t="n">
        <v>0.107</v>
      </c>
    </row>
    <row r="752">
      <c r="A752" t="n">
        <v>3.61</v>
      </c>
      <c r="B752" t="n">
        <v>-0.015</v>
      </c>
      <c r="C752" t="n">
        <v>1.005</v>
      </c>
      <c r="D752" t="n">
        <v>0.114</v>
      </c>
    </row>
    <row r="753">
      <c r="A753" t="n">
        <v>3.61</v>
      </c>
      <c r="B753" t="n">
        <v>-0.019</v>
      </c>
      <c r="C753" t="n">
        <v>0.997</v>
      </c>
      <c r="D753" t="n">
        <v>0.132</v>
      </c>
    </row>
    <row r="754">
      <c r="A754" t="n">
        <v>3.611</v>
      </c>
      <c r="B754" t="n">
        <v>-0.024</v>
      </c>
      <c r="C754" t="n">
        <v>0.99</v>
      </c>
      <c r="D754" t="n">
        <v>0.146</v>
      </c>
    </row>
    <row r="755">
      <c r="A755" t="n">
        <v>3.613</v>
      </c>
      <c r="B755" t="n">
        <v>-0.031</v>
      </c>
      <c r="C755" t="n">
        <v>0.986</v>
      </c>
      <c r="D755" t="n">
        <v>0.157</v>
      </c>
    </row>
    <row r="756">
      <c r="A756" t="n">
        <v>3.617</v>
      </c>
      <c r="B756" t="n">
        <v>-0.038</v>
      </c>
      <c r="C756" t="n">
        <v>0.983</v>
      </c>
      <c r="D756" t="n">
        <v>0.163</v>
      </c>
    </row>
    <row r="757">
      <c r="A757" t="n">
        <v>3.623</v>
      </c>
      <c r="B757" t="n">
        <v>-0.04</v>
      </c>
      <c r="C757" t="n">
        <v>0.985</v>
      </c>
      <c r="D757" t="n">
        <v>0.17</v>
      </c>
    </row>
    <row r="758">
      <c r="A758" t="n">
        <v>3.628</v>
      </c>
      <c r="B758" t="n">
        <v>-0.04</v>
      </c>
      <c r="C758" t="n">
        <v>0.987</v>
      </c>
      <c r="D758" t="n">
        <v>0.168</v>
      </c>
    </row>
    <row r="759">
      <c r="A759" t="n">
        <v>3.633</v>
      </c>
      <c r="B759" t="n">
        <v>-0.04</v>
      </c>
      <c r="C759" t="n">
        <v>0.994</v>
      </c>
      <c r="D759" t="n">
        <v>0.156</v>
      </c>
    </row>
    <row r="760">
      <c r="A760" t="n">
        <v>3.638</v>
      </c>
      <c r="B760" t="n">
        <v>-0.037</v>
      </c>
      <c r="C760" t="n">
        <v>0.999</v>
      </c>
      <c r="D760" t="n">
        <v>0.143</v>
      </c>
    </row>
    <row r="761">
      <c r="A761" t="n">
        <v>3.646</v>
      </c>
      <c r="B761" t="n">
        <v>-0.034</v>
      </c>
      <c r="C761" t="n">
        <v>1.002</v>
      </c>
      <c r="D761" t="n">
        <v>0.124</v>
      </c>
    </row>
    <row r="762">
      <c r="A762" t="n">
        <v>3.646</v>
      </c>
      <c r="B762" t="n">
        <v>-0.034</v>
      </c>
      <c r="C762" t="n">
        <v>1.002</v>
      </c>
      <c r="D762" t="n">
        <v>0.124</v>
      </c>
    </row>
    <row r="763">
      <c r="A763" t="n">
        <v>3.653</v>
      </c>
      <c r="B763" t="n">
        <v>-0.031</v>
      </c>
      <c r="C763" t="n">
        <v>1.003</v>
      </c>
      <c r="D763" t="n">
        <v>0.108</v>
      </c>
    </row>
    <row r="764">
      <c r="A764" t="n">
        <v>3.657</v>
      </c>
      <c r="B764" t="n">
        <v>-0.025</v>
      </c>
      <c r="C764" t="n">
        <v>1.005</v>
      </c>
      <c r="D764" t="n">
        <v>0.097</v>
      </c>
    </row>
    <row r="765">
      <c r="A765" t="n">
        <v>3.668</v>
      </c>
      <c r="B765" t="n">
        <v>-0.021</v>
      </c>
      <c r="C765" t="n">
        <v>1.01</v>
      </c>
      <c r="D765" t="n">
        <v>0.094</v>
      </c>
    </row>
    <row r="766">
      <c r="A766" t="n">
        <v>3.669</v>
      </c>
      <c r="B766" t="n">
        <v>-0.018</v>
      </c>
      <c r="C766" t="n">
        <v>1.013</v>
      </c>
      <c r="D766" t="n">
        <v>0.1</v>
      </c>
    </row>
    <row r="767">
      <c r="A767" t="n">
        <v>3.716</v>
      </c>
      <c r="B767" t="n">
        <v>-0.015</v>
      </c>
      <c r="C767" t="n">
        <v>1.014</v>
      </c>
      <c r="D767" t="n">
        <v>0.114</v>
      </c>
    </row>
    <row r="768">
      <c r="A768" t="n">
        <v>3.716</v>
      </c>
      <c r="B768" t="n">
        <v>-0.015</v>
      </c>
      <c r="C768" t="n">
        <v>1.014</v>
      </c>
      <c r="D768" t="n">
        <v>0.114</v>
      </c>
    </row>
    <row r="769">
      <c r="A769" t="n">
        <v>3.717</v>
      </c>
      <c r="B769" t="n">
        <v>-0.008</v>
      </c>
      <c r="C769" t="n">
        <v>1.016</v>
      </c>
      <c r="D769" t="n">
        <v>0.129</v>
      </c>
    </row>
    <row r="770">
      <c r="A770" t="n">
        <v>3.717</v>
      </c>
      <c r="B770" t="n">
        <v>-0.001</v>
      </c>
      <c r="C770" t="n">
        <v>1.019</v>
      </c>
      <c r="D770" t="n">
        <v>0.129</v>
      </c>
    </row>
    <row r="771">
      <c r="A771" t="n">
        <v>3.718</v>
      </c>
      <c r="B771" t="n">
        <v>0.007</v>
      </c>
      <c r="C771" t="n">
        <v>1.024</v>
      </c>
      <c r="D771" t="n">
        <v>0.123</v>
      </c>
    </row>
    <row r="772">
      <c r="A772" t="n">
        <v>3.718</v>
      </c>
      <c r="B772" t="n">
        <v>0.012</v>
      </c>
      <c r="C772" t="n">
        <v>1.032</v>
      </c>
      <c r="D772" t="n">
        <v>0.116</v>
      </c>
    </row>
    <row r="773">
      <c r="A773" t="n">
        <v>3.719</v>
      </c>
      <c r="B773" t="n">
        <v>0.015</v>
      </c>
      <c r="C773" t="n">
        <v>1.035</v>
      </c>
      <c r="D773" t="n">
        <v>0.106</v>
      </c>
    </row>
    <row r="774">
      <c r="A774" t="n">
        <v>3.719</v>
      </c>
      <c r="B774" t="n">
        <v>0.02</v>
      </c>
      <c r="C774" t="n">
        <v>1.034</v>
      </c>
      <c r="D774" t="n">
        <v>0.099</v>
      </c>
    </row>
    <row r="775">
      <c r="A775" t="n">
        <v>3.719</v>
      </c>
      <c r="B775" t="n">
        <v>0.018</v>
      </c>
      <c r="C775" t="n">
        <v>1.034</v>
      </c>
      <c r="D775" t="n">
        <v>0.093</v>
      </c>
    </row>
    <row r="776">
      <c r="A776" t="n">
        <v>3.72</v>
      </c>
      <c r="B776" t="n">
        <v>0.016</v>
      </c>
      <c r="C776" t="n">
        <v>1.032</v>
      </c>
      <c r="D776" t="n">
        <v>0.08599999999999999</v>
      </c>
    </row>
    <row r="777">
      <c r="A777" t="n">
        <v>3.723</v>
      </c>
      <c r="B777" t="n">
        <v>0.015</v>
      </c>
      <c r="C777" t="n">
        <v>1.039</v>
      </c>
      <c r="D777" t="n">
        <v>0.078</v>
      </c>
    </row>
    <row r="778">
      <c r="A778" t="n">
        <v>3.728</v>
      </c>
      <c r="B778" t="n">
        <v>0.016</v>
      </c>
      <c r="C778" t="n">
        <v>1.047</v>
      </c>
      <c r="D778" t="n">
        <v>0.074</v>
      </c>
    </row>
    <row r="779">
      <c r="A779" t="n">
        <v>3.733</v>
      </c>
      <c r="B779" t="n">
        <v>0.019</v>
      </c>
      <c r="C779" t="n">
        <v>1.054</v>
      </c>
      <c r="D779" t="n">
        <v>0.063</v>
      </c>
    </row>
    <row r="780">
      <c r="A780" t="n">
        <v>3.737</v>
      </c>
      <c r="B780" t="n">
        <v>0.017</v>
      </c>
      <c r="C780" t="n">
        <v>1.056</v>
      </c>
      <c r="D780" t="n">
        <v>0.051</v>
      </c>
    </row>
    <row r="781">
      <c r="A781" t="n">
        <v>3.746</v>
      </c>
      <c r="B781" t="n">
        <v>0.016</v>
      </c>
      <c r="C781" t="n">
        <v>1.055</v>
      </c>
      <c r="D781" t="n">
        <v>0.042</v>
      </c>
    </row>
    <row r="782">
      <c r="A782" t="n">
        <v>3.747</v>
      </c>
      <c r="B782" t="n">
        <v>0.016</v>
      </c>
      <c r="C782" t="n">
        <v>1.055</v>
      </c>
      <c r="D782" t="n">
        <v>0.042</v>
      </c>
    </row>
    <row r="783">
      <c r="A783" t="n">
        <v>3.753</v>
      </c>
      <c r="B783" t="n">
        <v>0.012</v>
      </c>
      <c r="C783" t="n">
        <v>1.056</v>
      </c>
      <c r="D783" t="n">
        <v>0.034</v>
      </c>
    </row>
    <row r="784">
      <c r="A784" t="n">
        <v>3.758</v>
      </c>
      <c r="B784" t="n">
        <v>0.011</v>
      </c>
      <c r="C784" t="n">
        <v>1.056</v>
      </c>
      <c r="D784" t="n">
        <v>0.033</v>
      </c>
    </row>
    <row r="785">
      <c r="A785" t="n">
        <v>3.764</v>
      </c>
      <c r="B785" t="n">
        <v>0.01</v>
      </c>
      <c r="C785" t="n">
        <v>1.052</v>
      </c>
      <c r="D785" t="n">
        <v>0.036</v>
      </c>
    </row>
    <row r="786">
      <c r="A786" t="n">
        <v>3.774</v>
      </c>
      <c r="B786" t="n">
        <v>-0.001</v>
      </c>
      <c r="C786" t="n">
        <v>1.045</v>
      </c>
      <c r="D786" t="n">
        <v>0.05</v>
      </c>
    </row>
    <row r="787">
      <c r="A787" t="n">
        <v>3.78</v>
      </c>
      <c r="B787" t="n">
        <v>-0.011</v>
      </c>
      <c r="C787" t="n">
        <v>1.036</v>
      </c>
      <c r="D787" t="n">
        <v>0.058</v>
      </c>
    </row>
    <row r="788">
      <c r="A788" t="n">
        <v>3.781</v>
      </c>
      <c r="B788" t="n">
        <v>-0.016</v>
      </c>
      <c r="C788" t="n">
        <v>1.022</v>
      </c>
      <c r="D788" t="n">
        <v>0.057</v>
      </c>
    </row>
    <row r="789">
      <c r="A789" t="n">
        <v>3.781</v>
      </c>
      <c r="B789" t="n">
        <v>-0.016</v>
      </c>
      <c r="C789" t="n">
        <v>1.022</v>
      </c>
      <c r="D789" t="n">
        <v>0.057</v>
      </c>
    </row>
    <row r="790">
      <c r="A790" t="n">
        <v>3.831</v>
      </c>
      <c r="B790" t="n">
        <v>-0.021</v>
      </c>
      <c r="C790" t="n">
        <v>0.996</v>
      </c>
      <c r="D790" t="n">
        <v>0.08599999999999999</v>
      </c>
    </row>
    <row r="791">
      <c r="A791" t="n">
        <v>3.833</v>
      </c>
      <c r="B791" t="n">
        <v>-0.022</v>
      </c>
      <c r="C791" t="n">
        <v>0.986</v>
      </c>
      <c r="D791" t="n">
        <v>0.109</v>
      </c>
    </row>
    <row r="792">
      <c r="A792" t="n">
        <v>3.833</v>
      </c>
      <c r="B792" t="n">
        <v>-0.019</v>
      </c>
      <c r="C792" t="n">
        <v>0.983</v>
      </c>
      <c r="D792" t="n">
        <v>0.129</v>
      </c>
    </row>
    <row r="793">
      <c r="A793" t="n">
        <v>3.834</v>
      </c>
      <c r="B793" t="n">
        <v>-0.019</v>
      </c>
      <c r="C793" t="n">
        <v>0.979</v>
      </c>
      <c r="D793" t="n">
        <v>0.14</v>
      </c>
    </row>
    <row r="794">
      <c r="A794" t="n">
        <v>3.835</v>
      </c>
      <c r="B794" t="n">
        <v>-0.02</v>
      </c>
      <c r="C794" t="n">
        <v>0.973</v>
      </c>
      <c r="D794" t="n">
        <v>0.146</v>
      </c>
    </row>
    <row r="795">
      <c r="A795" t="n">
        <v>3.835</v>
      </c>
      <c r="B795" t="n">
        <v>-0.02</v>
      </c>
      <c r="C795" t="n">
        <v>0.973</v>
      </c>
      <c r="D795" t="n">
        <v>0.141</v>
      </c>
    </row>
    <row r="796">
      <c r="A796" t="n">
        <v>3.836</v>
      </c>
      <c r="B796" t="n">
        <v>-0.023</v>
      </c>
      <c r="C796" t="n">
        <v>0.971</v>
      </c>
      <c r="D796" t="n">
        <v>0.129</v>
      </c>
    </row>
    <row r="797">
      <c r="A797" t="n">
        <v>3.837</v>
      </c>
      <c r="B797" t="n">
        <v>-0.025</v>
      </c>
      <c r="C797" t="n">
        <v>0.971</v>
      </c>
      <c r="D797" t="n">
        <v>0.116</v>
      </c>
    </row>
    <row r="798">
      <c r="A798" t="n">
        <v>3.837</v>
      </c>
      <c r="B798" t="n">
        <v>-0.024</v>
      </c>
      <c r="C798" t="n">
        <v>0.975</v>
      </c>
      <c r="D798" t="n">
        <v>0.107</v>
      </c>
    </row>
    <row r="799">
      <c r="A799" t="n">
        <v>3.838</v>
      </c>
      <c r="B799" t="n">
        <v>-0.027</v>
      </c>
      <c r="C799" t="n">
        <v>0.979</v>
      </c>
      <c r="D799" t="n">
        <v>0.096</v>
      </c>
    </row>
    <row r="800">
      <c r="A800" t="n">
        <v>3.839</v>
      </c>
      <c r="B800" t="n">
        <v>-0.027</v>
      </c>
      <c r="C800" t="n">
        <v>0.988</v>
      </c>
      <c r="D800" t="n">
        <v>0.08</v>
      </c>
    </row>
    <row r="801">
      <c r="A801" t="n">
        <v>3.842</v>
      </c>
      <c r="B801" t="n">
        <v>-0.033</v>
      </c>
      <c r="C801" t="n">
        <v>1.001</v>
      </c>
      <c r="D801" t="n">
        <v>0.054</v>
      </c>
    </row>
    <row r="802">
      <c r="A802" t="n">
        <v>3.85</v>
      </c>
      <c r="B802" t="n">
        <v>-0.04</v>
      </c>
      <c r="C802" t="n">
        <v>1.011</v>
      </c>
      <c r="D802" t="n">
        <v>0.031</v>
      </c>
    </row>
    <row r="803">
      <c r="A803" t="n">
        <v>3.861</v>
      </c>
      <c r="B803" t="n">
        <v>-0.05</v>
      </c>
      <c r="C803" t="n">
        <v>1.018</v>
      </c>
      <c r="D803" t="n">
        <v>0.015</v>
      </c>
    </row>
    <row r="804">
      <c r="A804" t="n">
        <v>3.862</v>
      </c>
      <c r="B804" t="n">
        <v>-0.055</v>
      </c>
      <c r="C804" t="n">
        <v>1.025</v>
      </c>
      <c r="D804" t="n">
        <v>0.005</v>
      </c>
    </row>
    <row r="805">
      <c r="A805" t="n">
        <v>3.873</v>
      </c>
      <c r="B805" t="n">
        <v>-0.055</v>
      </c>
      <c r="C805" t="n">
        <v>1.025</v>
      </c>
      <c r="D805" t="n">
        <v>-0.006</v>
      </c>
    </row>
    <row r="806">
      <c r="A806" t="n">
        <v>3.873</v>
      </c>
      <c r="B806" t="n">
        <v>-0.055</v>
      </c>
      <c r="C806" t="n">
        <v>1.025</v>
      </c>
      <c r="D806" t="n">
        <v>-0.006</v>
      </c>
    </row>
    <row r="807">
      <c r="A807" t="n">
        <v>3.874</v>
      </c>
      <c r="B807" t="n">
        <v>-0.055</v>
      </c>
      <c r="C807" t="n">
        <v>1.025</v>
      </c>
      <c r="D807" t="n">
        <v>-0.006</v>
      </c>
    </row>
    <row r="808">
      <c r="A808" t="n">
        <v>3.874</v>
      </c>
      <c r="B808" t="n">
        <v>-0.052</v>
      </c>
      <c r="C808" t="n">
        <v>1.02</v>
      </c>
      <c r="D808" t="n">
        <v>0.01</v>
      </c>
    </row>
    <row r="809">
      <c r="A809" t="n">
        <v>3.914</v>
      </c>
      <c r="B809" t="n">
        <v>-0.049</v>
      </c>
      <c r="C809" t="n">
        <v>1.017</v>
      </c>
      <c r="D809" t="n">
        <v>0.026</v>
      </c>
    </row>
    <row r="810">
      <c r="A810" t="n">
        <v>3.914</v>
      </c>
      <c r="B810" t="n">
        <v>-0.049</v>
      </c>
      <c r="C810" t="n">
        <v>1.017</v>
      </c>
      <c r="D810" t="n">
        <v>0.026</v>
      </c>
    </row>
    <row r="811">
      <c r="A811" t="n">
        <v>3.914</v>
      </c>
      <c r="B811" t="n">
        <v>-0.033</v>
      </c>
      <c r="C811" t="n">
        <v>1.001</v>
      </c>
      <c r="D811" t="n">
        <v>0.065</v>
      </c>
    </row>
    <row r="812">
      <c r="A812" t="n">
        <v>3.914</v>
      </c>
      <c r="B812" t="n">
        <v>-0.027</v>
      </c>
      <c r="C812" t="n">
        <v>0.998</v>
      </c>
      <c r="D812" t="n">
        <v>0.092</v>
      </c>
    </row>
    <row r="813">
      <c r="A813" t="n">
        <v>3.915</v>
      </c>
      <c r="B813" t="n">
        <v>-0.027</v>
      </c>
      <c r="C813" t="n">
        <v>0.998</v>
      </c>
      <c r="D813" t="n">
        <v>0.092</v>
      </c>
    </row>
    <row r="814">
      <c r="A814" t="n">
        <v>3.915</v>
      </c>
      <c r="B814" t="n">
        <v>-0.022</v>
      </c>
      <c r="C814" t="n">
        <v>0.992</v>
      </c>
      <c r="D814" t="n">
        <v>0.114</v>
      </c>
    </row>
    <row r="815">
      <c r="A815" t="n">
        <v>3.915</v>
      </c>
      <c r="B815" t="n">
        <v>-0.018</v>
      </c>
      <c r="C815" t="n">
        <v>0.992</v>
      </c>
      <c r="D815" t="n">
        <v>0.13</v>
      </c>
    </row>
    <row r="816">
      <c r="A816" t="n">
        <v>3.915</v>
      </c>
      <c r="B816" t="n">
        <v>-0.01</v>
      </c>
      <c r="C816" t="n">
        <v>0.991</v>
      </c>
      <c r="D816" t="n">
        <v>0.135</v>
      </c>
    </row>
    <row r="817">
      <c r="A817" t="n">
        <v>3.915</v>
      </c>
      <c r="B817" t="n">
        <v>-0.001</v>
      </c>
      <c r="C817" t="n">
        <v>0.995</v>
      </c>
      <c r="D817" t="n">
        <v>0.132</v>
      </c>
    </row>
    <row r="818">
      <c r="A818" t="n">
        <v>3.917</v>
      </c>
      <c r="B818" t="n">
        <v>0.004</v>
      </c>
      <c r="C818" t="n">
        <v>1</v>
      </c>
      <c r="D818" t="n">
        <v>0.124</v>
      </c>
    </row>
    <row r="819">
      <c r="A819" t="n">
        <v>3.922</v>
      </c>
      <c r="B819" t="n">
        <v>0.007</v>
      </c>
      <c r="C819" t="n">
        <v>1.006</v>
      </c>
      <c r="D819" t="n">
        <v>0.112</v>
      </c>
    </row>
    <row r="820">
      <c r="A820" t="n">
        <v>3.931</v>
      </c>
      <c r="B820" t="n">
        <v>0.008</v>
      </c>
      <c r="C820" t="n">
        <v>1.018</v>
      </c>
      <c r="D820" t="n">
        <v>0.096</v>
      </c>
    </row>
    <row r="821">
      <c r="A821" t="n">
        <v>3.933</v>
      </c>
      <c r="B821" t="n">
        <v>0.01</v>
      </c>
      <c r="C821" t="n">
        <v>1.028</v>
      </c>
      <c r="D821" t="n">
        <v>0.078</v>
      </c>
    </row>
    <row r="822">
      <c r="A822" t="n">
        <v>3.938</v>
      </c>
      <c r="B822" t="n">
        <v>0.008999999999999999</v>
      </c>
      <c r="C822" t="n">
        <v>1.035</v>
      </c>
      <c r="D822" t="n">
        <v>0.065</v>
      </c>
    </row>
    <row r="823">
      <c r="A823" t="n">
        <v>3.947</v>
      </c>
      <c r="B823" t="n">
        <v>0.005</v>
      </c>
      <c r="C823" t="n">
        <v>1.04</v>
      </c>
      <c r="D823" t="n">
        <v>0.056</v>
      </c>
    </row>
    <row r="824">
      <c r="A824" t="n">
        <v>3.948</v>
      </c>
      <c r="B824" t="n">
        <v>0.003</v>
      </c>
      <c r="C824" t="n">
        <v>1.043</v>
      </c>
      <c r="D824" t="n">
        <v>0.05</v>
      </c>
    </row>
    <row r="825">
      <c r="A825" t="n">
        <v>3.955</v>
      </c>
      <c r="B825" t="n">
        <v>-0.001</v>
      </c>
      <c r="C825" t="n">
        <v>1.044</v>
      </c>
      <c r="D825" t="n">
        <v>0.051</v>
      </c>
    </row>
    <row r="826">
      <c r="A826" t="n">
        <v>3.958</v>
      </c>
      <c r="B826" t="n">
        <v>-0.006</v>
      </c>
      <c r="C826" t="n">
        <v>1.041</v>
      </c>
      <c r="D826" t="n">
        <v>0.055</v>
      </c>
    </row>
    <row r="827">
      <c r="A827" t="n">
        <v>3.979</v>
      </c>
      <c r="B827" t="n">
        <v>-0.012</v>
      </c>
      <c r="C827" t="n">
        <v>1.044</v>
      </c>
      <c r="D827" t="n">
        <v>0.07000000000000001</v>
      </c>
    </row>
    <row r="828">
      <c r="A828" t="n">
        <v>3.98</v>
      </c>
      <c r="B828" t="n">
        <v>-0.017</v>
      </c>
      <c r="C828" t="n">
        <v>1.043</v>
      </c>
      <c r="D828" t="n">
        <v>0.075</v>
      </c>
    </row>
    <row r="829">
      <c r="A829" t="n">
        <v>3.981</v>
      </c>
      <c r="B829" t="n">
        <v>-0.019</v>
      </c>
      <c r="C829" t="n">
        <v>1.04</v>
      </c>
      <c r="D829" t="n">
        <v>0.08</v>
      </c>
    </row>
    <row r="830">
      <c r="A830" t="n">
        <v>3.983</v>
      </c>
      <c r="B830" t="n">
        <v>-0.019</v>
      </c>
      <c r="C830" t="n">
        <v>1.041</v>
      </c>
      <c r="D830" t="n">
        <v>0.081</v>
      </c>
    </row>
    <row r="831">
      <c r="A831" t="n">
        <v>3.984</v>
      </c>
      <c r="B831" t="n">
        <v>-0.019</v>
      </c>
      <c r="C831" t="n">
        <v>1.041</v>
      </c>
      <c r="D831" t="n">
        <v>0.081</v>
      </c>
    </row>
    <row r="832">
      <c r="A832" t="n">
        <v>3.987</v>
      </c>
      <c r="B832" t="n">
        <v>-0.019</v>
      </c>
      <c r="C832" t="n">
        <v>1.042</v>
      </c>
      <c r="D832" t="n">
        <v>0.081</v>
      </c>
    </row>
    <row r="833">
      <c r="A833" t="n">
        <v>3.995</v>
      </c>
      <c r="B833" t="n">
        <v>-0.02</v>
      </c>
      <c r="C833" t="n">
        <v>1.037</v>
      </c>
      <c r="D833" t="n">
        <v>0.077</v>
      </c>
    </row>
    <row r="834">
      <c r="A834" t="n">
        <v>4.034</v>
      </c>
      <c r="B834" t="n">
        <v>-0.02</v>
      </c>
      <c r="C834" t="n">
        <v>1.032</v>
      </c>
      <c r="D834" t="n">
        <v>0.076</v>
      </c>
    </row>
    <row r="835">
      <c r="A835" t="n">
        <v>4.035</v>
      </c>
      <c r="B835" t="n">
        <v>-0.019</v>
      </c>
      <c r="C835" t="n">
        <v>1.029</v>
      </c>
      <c r="D835" t="n">
        <v>0.07199999999999999</v>
      </c>
    </row>
    <row r="836">
      <c r="A836" t="n">
        <v>4.036</v>
      </c>
      <c r="B836" t="n">
        <v>-0.021</v>
      </c>
      <c r="C836" t="n">
        <v>1.022</v>
      </c>
      <c r="D836" t="n">
        <v>0.076</v>
      </c>
    </row>
    <row r="837">
      <c r="A837" t="n">
        <v>4.037</v>
      </c>
      <c r="B837" t="n">
        <v>-0.021</v>
      </c>
      <c r="C837" t="n">
        <v>1.013</v>
      </c>
      <c r="D837" t="n">
        <v>0.083</v>
      </c>
    </row>
    <row r="838">
      <c r="A838" t="n">
        <v>4.038</v>
      </c>
      <c r="B838" t="n">
        <v>-0.026</v>
      </c>
      <c r="C838" t="n">
        <v>1.004</v>
      </c>
      <c r="D838" t="n">
        <v>0.097</v>
      </c>
    </row>
    <row r="839">
      <c r="A839" t="n">
        <v>4.039</v>
      </c>
      <c r="B839" t="n">
        <v>-0.032</v>
      </c>
      <c r="C839" t="n">
        <v>0.994</v>
      </c>
      <c r="D839" t="n">
        <v>0.115</v>
      </c>
    </row>
    <row r="840">
      <c r="A840" t="n">
        <v>4.04</v>
      </c>
      <c r="B840" t="n">
        <v>-0.034</v>
      </c>
      <c r="C840" t="n">
        <v>0.985</v>
      </c>
      <c r="D840" t="n">
        <v>0.132</v>
      </c>
    </row>
    <row r="841">
      <c r="A841" t="n">
        <v>4.041</v>
      </c>
      <c r="B841" t="n">
        <v>-0.037</v>
      </c>
      <c r="C841" t="n">
        <v>0.978</v>
      </c>
      <c r="D841" t="n">
        <v>0.146</v>
      </c>
    </row>
    <row r="842">
      <c r="A842" t="n">
        <v>4.042</v>
      </c>
      <c r="B842" t="n">
        <v>-0.04</v>
      </c>
      <c r="C842" t="n">
        <v>0.973</v>
      </c>
      <c r="D842" t="n">
        <v>0.148</v>
      </c>
    </row>
    <row r="843">
      <c r="A843" t="n">
        <v>4.051</v>
      </c>
      <c r="B843" t="n">
        <v>-0.038</v>
      </c>
      <c r="C843" t="n">
        <v>0.972</v>
      </c>
      <c r="D843" t="n">
        <v>0.152</v>
      </c>
    </row>
    <row r="844">
      <c r="A844" t="n">
        <v>4.052</v>
      </c>
      <c r="B844" t="n">
        <v>-0.038</v>
      </c>
      <c r="C844" t="n">
        <v>0.972</v>
      </c>
      <c r="D844" t="n">
        <v>0.152</v>
      </c>
    </row>
    <row r="845">
      <c r="A845" t="n">
        <v>4.053</v>
      </c>
      <c r="B845" t="n">
        <v>-0.03</v>
      </c>
      <c r="C845" t="n">
        <v>0.97</v>
      </c>
      <c r="D845" t="n">
        <v>0.153</v>
      </c>
    </row>
    <row r="846">
      <c r="A846" t="n">
        <v>4.054</v>
      </c>
      <c r="B846" t="n">
        <v>-0.022</v>
      </c>
      <c r="C846" t="n">
        <v>0.971</v>
      </c>
      <c r="D846" t="n">
        <v>0.141</v>
      </c>
    </row>
    <row r="847">
      <c r="A847" t="n">
        <v>4.058</v>
      </c>
      <c r="B847" t="n">
        <v>-0.019</v>
      </c>
      <c r="C847" t="n">
        <v>0.975</v>
      </c>
      <c r="D847" t="n">
        <v>0.126</v>
      </c>
    </row>
    <row r="848">
      <c r="A848" t="n">
        <v>4.072</v>
      </c>
      <c r="B848" t="n">
        <v>-0.016</v>
      </c>
      <c r="C848" t="n">
        <v>0.978</v>
      </c>
      <c r="D848" t="n">
        <v>0.117</v>
      </c>
    </row>
    <row r="849">
      <c r="A849" t="n">
        <v>4.072</v>
      </c>
      <c r="B849" t="n">
        <v>-0.013</v>
      </c>
      <c r="C849" t="n">
        <v>0.977</v>
      </c>
      <c r="D849" t="n">
        <v>0.114</v>
      </c>
    </row>
    <row r="850">
      <c r="A850" t="n">
        <v>4.073</v>
      </c>
      <c r="B850" t="n">
        <v>-0.005</v>
      </c>
      <c r="C850" t="n">
        <v>0.979</v>
      </c>
      <c r="D850" t="n">
        <v>0.112</v>
      </c>
    </row>
    <row r="851">
      <c r="A851" t="n">
        <v>4.117</v>
      </c>
      <c r="B851" t="n">
        <v>-0.002</v>
      </c>
      <c r="C851" t="n">
        <v>0.98</v>
      </c>
      <c r="D851" t="n">
        <v>0.115</v>
      </c>
    </row>
    <row r="852">
      <c r="A852" t="n">
        <v>4.118</v>
      </c>
      <c r="B852" t="n">
        <v>0.003</v>
      </c>
      <c r="C852" t="n">
        <v>0.981</v>
      </c>
      <c r="D852" t="n">
        <v>0.12</v>
      </c>
    </row>
    <row r="853">
      <c r="A853" t="n">
        <v>4.118</v>
      </c>
      <c r="B853" t="n">
        <v>0.001</v>
      </c>
      <c r="C853" t="n">
        <v>0.983</v>
      </c>
      <c r="D853" t="n">
        <v>0.123</v>
      </c>
    </row>
    <row r="854">
      <c r="A854" t="n">
        <v>4.118</v>
      </c>
      <c r="B854" t="n">
        <v>0.001</v>
      </c>
      <c r="C854" t="n">
        <v>0.984</v>
      </c>
      <c r="D854" t="n">
        <v>0.125</v>
      </c>
    </row>
    <row r="855">
      <c r="A855" t="n">
        <v>4.119</v>
      </c>
      <c r="B855" t="n">
        <v>0.003</v>
      </c>
      <c r="C855" t="n">
        <v>0.985</v>
      </c>
      <c r="D855" t="n">
        <v>0.125</v>
      </c>
    </row>
    <row r="856">
      <c r="A856" t="n">
        <v>4.119</v>
      </c>
      <c r="B856" t="n">
        <v>0.004</v>
      </c>
      <c r="C856" t="n">
        <v>0.986</v>
      </c>
      <c r="D856" t="n">
        <v>0.124</v>
      </c>
    </row>
    <row r="857">
      <c r="A857" t="n">
        <v>4.119</v>
      </c>
      <c r="B857" t="n">
        <v>0.005</v>
      </c>
      <c r="C857" t="n">
        <v>0.987</v>
      </c>
      <c r="D857" t="n">
        <v>0.122</v>
      </c>
    </row>
    <row r="858">
      <c r="A858" t="n">
        <v>4.119</v>
      </c>
      <c r="B858" t="n">
        <v>0.001</v>
      </c>
      <c r="C858" t="n">
        <v>0.985</v>
      </c>
      <c r="D858" t="n">
        <v>0.122</v>
      </c>
    </row>
    <row r="859">
      <c r="A859" t="n">
        <v>4.12</v>
      </c>
      <c r="B859" t="n">
        <v>-0.012</v>
      </c>
      <c r="C859" t="n">
        <v>0.975</v>
      </c>
      <c r="D859" t="n">
        <v>0.122</v>
      </c>
    </row>
    <row r="860">
      <c r="A860" t="n">
        <v>4.123</v>
      </c>
      <c r="B860" t="n">
        <v>-0.025</v>
      </c>
      <c r="C860" t="n">
        <v>0.967</v>
      </c>
      <c r="D860" t="n">
        <v>0.126</v>
      </c>
    </row>
    <row r="861">
      <c r="A861" t="n">
        <v>4.131</v>
      </c>
      <c r="B861" t="n">
        <v>-0.025</v>
      </c>
      <c r="C861" t="n">
        <v>0.968</v>
      </c>
      <c r="D861" t="n">
        <v>0.129</v>
      </c>
    </row>
    <row r="862">
      <c r="A862" t="n">
        <v>4.133</v>
      </c>
      <c r="B862" t="n">
        <v>-0.026</v>
      </c>
      <c r="C862" t="n">
        <v>0.966</v>
      </c>
      <c r="D862" t="n">
        <v>0.128</v>
      </c>
    </row>
    <row r="863">
      <c r="A863" t="n">
        <v>4.138</v>
      </c>
      <c r="B863" t="n">
        <v>-0.023</v>
      </c>
      <c r="C863" t="n">
        <v>0.965</v>
      </c>
      <c r="D863" t="n">
        <v>0.126</v>
      </c>
    </row>
    <row r="864">
      <c r="A864" t="n">
        <v>4.143</v>
      </c>
      <c r="B864" t="n">
        <v>-0.029</v>
      </c>
      <c r="C864" t="n">
        <v>0.958</v>
      </c>
      <c r="D864" t="n">
        <v>0.131</v>
      </c>
    </row>
    <row r="865">
      <c r="A865" t="n">
        <v>4.151</v>
      </c>
      <c r="B865" t="n">
        <v>-0.032</v>
      </c>
      <c r="C865" t="n">
        <v>0.953</v>
      </c>
      <c r="D865" t="n">
        <v>0.134</v>
      </c>
    </row>
    <row r="866">
      <c r="A866" t="n">
        <v>4.152</v>
      </c>
      <c r="B866" t="n">
        <v>-0.035</v>
      </c>
      <c r="C866" t="n">
        <v>0.951</v>
      </c>
      <c r="D866" t="n">
        <v>0.139</v>
      </c>
    </row>
    <row r="867">
      <c r="A867" t="n">
        <v>4.157</v>
      </c>
      <c r="B867" t="n">
        <v>-0.036</v>
      </c>
      <c r="C867" t="n">
        <v>0.954</v>
      </c>
      <c r="D867" t="n">
        <v>0.14</v>
      </c>
    </row>
    <row r="868">
      <c r="A868" t="n">
        <v>4.173</v>
      </c>
      <c r="B868" t="n">
        <v>-0.035</v>
      </c>
      <c r="C868" t="n">
        <v>0.957</v>
      </c>
      <c r="D868" t="n">
        <v>0.133</v>
      </c>
    </row>
    <row r="869">
      <c r="A869" t="n">
        <v>4.174</v>
      </c>
      <c r="B869" t="n">
        <v>-0.034</v>
      </c>
      <c r="C869" t="n">
        <v>0.957</v>
      </c>
      <c r="D869" t="n">
        <v>0.128</v>
      </c>
    </row>
    <row r="870">
      <c r="A870" t="n">
        <v>4.175</v>
      </c>
      <c r="B870" t="n">
        <v>-0.035</v>
      </c>
      <c r="C870" t="n">
        <v>0.96</v>
      </c>
      <c r="D870" t="n">
        <v>0.122</v>
      </c>
    </row>
    <row r="871">
      <c r="A871" t="n">
        <v>4.218</v>
      </c>
      <c r="B871" t="n">
        <v>-0.032</v>
      </c>
      <c r="C871" t="n">
        <v>0.965</v>
      </c>
      <c r="D871" t="n">
        <v>0.115</v>
      </c>
    </row>
    <row r="872">
      <c r="A872" t="n">
        <v>4.219</v>
      </c>
      <c r="B872" t="n">
        <v>-0.032</v>
      </c>
      <c r="C872" t="n">
        <v>0.965</v>
      </c>
      <c r="D872" t="n">
        <v>0.115</v>
      </c>
    </row>
    <row r="873">
      <c r="A873" t="n">
        <v>4.22</v>
      </c>
      <c r="B873" t="n">
        <v>-0.025</v>
      </c>
      <c r="C873" t="n">
        <v>0.981</v>
      </c>
      <c r="D873" t="n">
        <v>0.106</v>
      </c>
    </row>
    <row r="874">
      <c r="A874" t="n">
        <v>4.22</v>
      </c>
      <c r="B874" t="n">
        <v>-0.024</v>
      </c>
      <c r="C874" t="n">
        <v>0.983</v>
      </c>
      <c r="D874" t="n">
        <v>0.106</v>
      </c>
    </row>
    <row r="875">
      <c r="A875" t="n">
        <v>4.221</v>
      </c>
      <c r="B875" t="n">
        <v>-0.027</v>
      </c>
      <c r="C875" t="n">
        <v>0.988</v>
      </c>
      <c r="D875" t="n">
        <v>0.108</v>
      </c>
    </row>
    <row r="876">
      <c r="A876" t="n">
        <v>4.222</v>
      </c>
      <c r="B876" t="n">
        <v>-0.028</v>
      </c>
      <c r="C876" t="n">
        <v>0.995</v>
      </c>
      <c r="D876" t="n">
        <v>0.113</v>
      </c>
    </row>
    <row r="877">
      <c r="A877" t="n">
        <v>4.223</v>
      </c>
      <c r="B877" t="n">
        <v>-0.027</v>
      </c>
      <c r="C877" t="n">
        <v>1.004</v>
      </c>
      <c r="D877" t="n">
        <v>0.11</v>
      </c>
    </row>
    <row r="878">
      <c r="A878" t="n">
        <v>4.224</v>
      </c>
      <c r="B878" t="n">
        <v>-0.03</v>
      </c>
      <c r="C878" t="n">
        <v>1.013</v>
      </c>
      <c r="D878" t="n">
        <v>0.104</v>
      </c>
    </row>
    <row r="879">
      <c r="A879" t="n">
        <v>4.224</v>
      </c>
      <c r="B879" t="n">
        <v>-0.034</v>
      </c>
      <c r="C879" t="n">
        <v>1.015</v>
      </c>
      <c r="D879" t="n">
        <v>0.097</v>
      </c>
    </row>
    <row r="880">
      <c r="A880" t="n">
        <v>4.224</v>
      </c>
      <c r="B880" t="n">
        <v>-0.037</v>
      </c>
      <c r="C880" t="n">
        <v>1.017</v>
      </c>
      <c r="D880" t="n">
        <v>0.095</v>
      </c>
    </row>
    <row r="881">
      <c r="A881" t="n">
        <v>4.232</v>
      </c>
      <c r="B881" t="n">
        <v>-0.038</v>
      </c>
      <c r="C881" t="n">
        <v>1.015</v>
      </c>
      <c r="D881" t="n">
        <v>0.095</v>
      </c>
    </row>
    <row r="882">
      <c r="A882" t="n">
        <v>4.233</v>
      </c>
      <c r="B882" t="n">
        <v>-0.035</v>
      </c>
      <c r="C882" t="n">
        <v>1.021</v>
      </c>
      <c r="D882" t="n">
        <v>0.097</v>
      </c>
    </row>
    <row r="883">
      <c r="A883" t="n">
        <v>4.238</v>
      </c>
      <c r="B883" t="n">
        <v>-0.031</v>
      </c>
      <c r="C883" t="n">
        <v>1.026</v>
      </c>
      <c r="D883" t="n">
        <v>0.1</v>
      </c>
    </row>
    <row r="884">
      <c r="A884" t="n">
        <v>4.242</v>
      </c>
      <c r="B884" t="n">
        <v>-0.036</v>
      </c>
      <c r="C884" t="n">
        <v>1.035</v>
      </c>
      <c r="D884" t="n">
        <v>0.101</v>
      </c>
    </row>
    <row r="885">
      <c r="A885" t="n">
        <v>4.254</v>
      </c>
      <c r="B885" t="n">
        <v>-0.039</v>
      </c>
      <c r="C885" t="n">
        <v>1.039</v>
      </c>
      <c r="D885" t="n">
        <v>0.092</v>
      </c>
    </row>
    <row r="886">
      <c r="A886" t="n">
        <v>4.255</v>
      </c>
      <c r="B886" t="n">
        <v>-0.042</v>
      </c>
      <c r="C886" t="n">
        <v>1.048</v>
      </c>
      <c r="D886" t="n">
        <v>0.08400000000000001</v>
      </c>
    </row>
    <row r="887">
      <c r="A887" t="n">
        <v>4.257</v>
      </c>
      <c r="B887" t="n">
        <v>-0.038</v>
      </c>
      <c r="C887" t="n">
        <v>1.057</v>
      </c>
      <c r="D887" t="n">
        <v>0.07099999999999999</v>
      </c>
    </row>
    <row r="888">
      <c r="A888" t="n">
        <v>4.288</v>
      </c>
      <c r="B888" t="n">
        <v>-0.032</v>
      </c>
      <c r="C888" t="n">
        <v>1.065</v>
      </c>
      <c r="D888" t="n">
        <v>0.059</v>
      </c>
    </row>
    <row r="889">
      <c r="A889" t="n">
        <v>4.288</v>
      </c>
      <c r="B889" t="n">
        <v>-0.026</v>
      </c>
      <c r="C889" t="n">
        <v>1.067</v>
      </c>
      <c r="D889" t="n">
        <v>0.049</v>
      </c>
    </row>
    <row r="890">
      <c r="A890" t="n">
        <v>4.289</v>
      </c>
      <c r="B890" t="n">
        <v>-0.025</v>
      </c>
      <c r="C890" t="n">
        <v>1.064</v>
      </c>
      <c r="D890" t="n">
        <v>0.047</v>
      </c>
    </row>
    <row r="891">
      <c r="A891" t="n">
        <v>4.289</v>
      </c>
      <c r="B891" t="n">
        <v>-0.03</v>
      </c>
      <c r="C891" t="n">
        <v>1.056</v>
      </c>
      <c r="D891" t="n">
        <v>0.053</v>
      </c>
    </row>
    <row r="892">
      <c r="A892" t="n">
        <v>4.289</v>
      </c>
      <c r="B892" t="n">
        <v>-0.035</v>
      </c>
      <c r="C892" t="n">
        <v>1.047</v>
      </c>
      <c r="D892" t="n">
        <v>0.067</v>
      </c>
    </row>
    <row r="893">
      <c r="A893" t="n">
        <v>4.289</v>
      </c>
      <c r="B893" t="n">
        <v>-0.033</v>
      </c>
      <c r="C893" t="n">
        <v>1.041</v>
      </c>
      <c r="D893" t="n">
        <v>0.08500000000000001</v>
      </c>
    </row>
    <row r="894">
      <c r="A894" t="n">
        <v>4.293</v>
      </c>
      <c r="B894" t="n">
        <v>-0.028</v>
      </c>
      <c r="C894" t="n">
        <v>1.032</v>
      </c>
      <c r="D894" t="n">
        <v>0.107</v>
      </c>
    </row>
    <row r="895">
      <c r="A895" t="n">
        <v>4.298</v>
      </c>
      <c r="B895" t="n">
        <v>-0.027</v>
      </c>
      <c r="C895" t="n">
        <v>1.025</v>
      </c>
      <c r="D895" t="n">
        <v>0.123</v>
      </c>
    </row>
    <row r="896">
      <c r="A896" t="n">
        <v>4.303</v>
      </c>
      <c r="B896" t="n">
        <v>-0.026</v>
      </c>
      <c r="C896" t="n">
        <v>1.017</v>
      </c>
      <c r="D896" t="n">
        <v>0.137</v>
      </c>
    </row>
    <row r="897">
      <c r="A897" t="n">
        <v>4.307</v>
      </c>
      <c r="B897" t="n">
        <v>-0.025</v>
      </c>
      <c r="C897" t="n">
        <v>1.009</v>
      </c>
      <c r="D897" t="n">
        <v>0.147</v>
      </c>
    </row>
    <row r="898">
      <c r="A898" t="n">
        <v>4.313</v>
      </c>
      <c r="B898" t="n">
        <v>-0.023</v>
      </c>
      <c r="C898" t="n">
        <v>1.006</v>
      </c>
      <c r="D898" t="n">
        <v>0.15</v>
      </c>
    </row>
    <row r="899">
      <c r="A899" t="n">
        <v>4.318</v>
      </c>
      <c r="B899" t="n">
        <v>-0.018</v>
      </c>
      <c r="C899" t="n">
        <v>1.007</v>
      </c>
      <c r="D899" t="n">
        <v>0.145</v>
      </c>
    </row>
    <row r="900">
      <c r="A900" t="n">
        <v>4.323</v>
      </c>
      <c r="B900" t="n">
        <v>-0.016</v>
      </c>
      <c r="C900" t="n">
        <v>1.008</v>
      </c>
      <c r="D900" t="n">
        <v>0.137</v>
      </c>
    </row>
    <row r="901">
      <c r="A901" t="n">
        <v>4.327</v>
      </c>
      <c r="B901" t="n">
        <v>-0.015</v>
      </c>
      <c r="C901" t="n">
        <v>1.008</v>
      </c>
      <c r="D901" t="n">
        <v>0.128</v>
      </c>
    </row>
    <row r="902">
      <c r="A902" t="n">
        <v>4.337</v>
      </c>
      <c r="B902" t="n">
        <v>-0.021</v>
      </c>
      <c r="C902" t="n">
        <v>1.005</v>
      </c>
      <c r="D902" t="n">
        <v>0.117</v>
      </c>
    </row>
    <row r="903">
      <c r="A903" t="n">
        <v>4.338</v>
      </c>
      <c r="B903" t="n">
        <v>-0.032</v>
      </c>
      <c r="C903" t="n">
        <v>1.002</v>
      </c>
      <c r="D903" t="n">
        <v>0.11</v>
      </c>
    </row>
    <row r="904">
      <c r="A904" t="n">
        <v>4.347</v>
      </c>
      <c r="B904" t="n">
        <v>-0.038</v>
      </c>
      <c r="C904" t="n">
        <v>1.001</v>
      </c>
      <c r="D904" t="n">
        <v>0.1</v>
      </c>
    </row>
    <row r="905">
      <c r="A905" t="n">
        <v>4.348</v>
      </c>
      <c r="B905" t="n">
        <v>-0.044</v>
      </c>
      <c r="C905" t="n">
        <v>0.996</v>
      </c>
      <c r="D905" t="n">
        <v>0.096</v>
      </c>
    </row>
    <row r="906">
      <c r="A906" t="n">
        <v>4.368</v>
      </c>
      <c r="B906" t="n">
        <v>-0.05</v>
      </c>
      <c r="C906" t="n">
        <v>0.994</v>
      </c>
      <c r="D906" t="n">
        <v>0.096</v>
      </c>
    </row>
    <row r="907">
      <c r="A907" t="n">
        <v>4.37</v>
      </c>
      <c r="B907" t="n">
        <v>-0.051</v>
      </c>
      <c r="C907" t="n">
        <v>0.998</v>
      </c>
      <c r="D907" t="n">
        <v>0.099</v>
      </c>
    </row>
    <row r="908">
      <c r="A908" t="n">
        <v>4.37</v>
      </c>
      <c r="B908" t="n">
        <v>-0.053</v>
      </c>
      <c r="C908" t="n">
        <v>1.001</v>
      </c>
      <c r="D908" t="n">
        <v>0.108</v>
      </c>
    </row>
    <row r="909">
      <c r="A909" t="n">
        <v>4.371</v>
      </c>
      <c r="B909" t="n">
        <v>-0.051</v>
      </c>
      <c r="C909" t="n">
        <v>1.001</v>
      </c>
      <c r="D909" t="n">
        <v>0.112</v>
      </c>
    </row>
    <row r="910">
      <c r="A910" t="n">
        <v>4.373</v>
      </c>
      <c r="B910" t="n">
        <v>-0.051</v>
      </c>
      <c r="C910" t="n">
        <v>1.001</v>
      </c>
      <c r="D910" t="n">
        <v>0.112</v>
      </c>
    </row>
    <row r="911">
      <c r="A911" t="n">
        <v>4.381</v>
      </c>
      <c r="B911" t="n">
        <v>-0.046</v>
      </c>
      <c r="C911" t="n">
        <v>1.001</v>
      </c>
      <c r="D911" t="n">
        <v>0.11</v>
      </c>
    </row>
    <row r="912">
      <c r="A912" t="n">
        <v>4.406</v>
      </c>
      <c r="B912" t="n">
        <v>-0.041</v>
      </c>
      <c r="C912" t="n">
        <v>1.003</v>
      </c>
      <c r="D912" t="n">
        <v>0.103</v>
      </c>
    </row>
    <row r="913">
      <c r="A913" t="n">
        <v>4.406</v>
      </c>
      <c r="B913" t="n">
        <v>-0.035</v>
      </c>
      <c r="C913" t="n">
        <v>1.006</v>
      </c>
      <c r="D913" t="n">
        <v>0.106</v>
      </c>
    </row>
    <row r="914">
      <c r="A914" t="n">
        <v>4.407</v>
      </c>
      <c r="B914" t="n">
        <v>-0.03</v>
      </c>
      <c r="C914" t="n">
        <v>1.01</v>
      </c>
      <c r="D914" t="n">
        <v>0.103</v>
      </c>
    </row>
    <row r="915">
      <c r="A915" t="n">
        <v>4.407</v>
      </c>
      <c r="B915" t="n">
        <v>-0.021</v>
      </c>
      <c r="C915" t="n">
        <v>1.013</v>
      </c>
      <c r="D915" t="n">
        <v>0.102</v>
      </c>
    </row>
    <row r="916">
      <c r="A916" t="n">
        <v>4.407</v>
      </c>
      <c r="B916" t="n">
        <v>-0.012</v>
      </c>
      <c r="C916" t="n">
        <v>1.017</v>
      </c>
      <c r="D916" t="n">
        <v>0.099</v>
      </c>
    </row>
    <row r="917">
      <c r="A917" t="n">
        <v>4.407</v>
      </c>
      <c r="B917" t="n">
        <v>-0.008</v>
      </c>
      <c r="C917" t="n">
        <v>1.018</v>
      </c>
      <c r="D917" t="n">
        <v>0.092</v>
      </c>
    </row>
    <row r="918">
      <c r="A918" t="n">
        <v>4.414</v>
      </c>
      <c r="B918" t="n">
        <v>-0.004</v>
      </c>
      <c r="C918" t="n">
        <v>1.018</v>
      </c>
      <c r="D918" t="n">
        <v>0.08400000000000001</v>
      </c>
    </row>
    <row r="919">
      <c r="A919" t="n">
        <v>4.414</v>
      </c>
      <c r="B919" t="n">
        <v>-0.004</v>
      </c>
      <c r="C919" t="n">
        <v>1.018</v>
      </c>
      <c r="D919" t="n">
        <v>0.08400000000000001</v>
      </c>
    </row>
    <row r="920">
      <c r="A920" t="n">
        <v>4.418</v>
      </c>
      <c r="B920" t="n">
        <v>-0.003</v>
      </c>
      <c r="C920" t="n">
        <v>1.018</v>
      </c>
      <c r="D920" t="n">
        <v>0.08699999999999999</v>
      </c>
    </row>
    <row r="921">
      <c r="A921" t="n">
        <v>4.423</v>
      </c>
      <c r="B921" t="n">
        <v>-0.004</v>
      </c>
      <c r="C921" t="n">
        <v>1.016</v>
      </c>
      <c r="D921" t="n">
        <v>0.092</v>
      </c>
    </row>
    <row r="922">
      <c r="A922" t="n">
        <v>4.427</v>
      </c>
      <c r="B922" t="n">
        <v>-0.008</v>
      </c>
      <c r="C922" t="n">
        <v>1.014</v>
      </c>
      <c r="D922" t="n">
        <v>0.097</v>
      </c>
    </row>
    <row r="923">
      <c r="A923" t="n">
        <v>4.433</v>
      </c>
      <c r="B923" t="n">
        <v>-0.014</v>
      </c>
      <c r="C923" t="n">
        <v>1.01</v>
      </c>
      <c r="D923" t="n">
        <v>0.107</v>
      </c>
    </row>
    <row r="924">
      <c r="A924" t="n">
        <v>4.437</v>
      </c>
      <c r="B924" t="n">
        <v>-0.018</v>
      </c>
      <c r="C924" t="n">
        <v>1.003</v>
      </c>
      <c r="D924" t="n">
        <v>0.119</v>
      </c>
    </row>
    <row r="925">
      <c r="A925" t="n">
        <v>4.443</v>
      </c>
      <c r="B925" t="n">
        <v>-0.019</v>
      </c>
      <c r="C925" t="n">
        <v>0.997</v>
      </c>
      <c r="D925" t="n">
        <v>0.12</v>
      </c>
    </row>
    <row r="926">
      <c r="A926" t="n">
        <v>4.457</v>
      </c>
      <c r="B926" t="n">
        <v>-0.026</v>
      </c>
      <c r="C926" t="n">
        <v>0.989</v>
      </c>
      <c r="D926" t="n">
        <v>0.129</v>
      </c>
    </row>
    <row r="927">
      <c r="A927" t="n">
        <v>4.458</v>
      </c>
      <c r="B927" t="n">
        <v>-0.029</v>
      </c>
      <c r="C927" t="n">
        <v>0.987</v>
      </c>
      <c r="D927" t="n">
        <v>0.133</v>
      </c>
    </row>
    <row r="928">
      <c r="A928" t="n">
        <v>4.459</v>
      </c>
      <c r="B928" t="n">
        <v>-0.028</v>
      </c>
      <c r="C928" t="n">
        <v>0.986</v>
      </c>
      <c r="D928" t="n">
        <v>0.136</v>
      </c>
    </row>
    <row r="929">
      <c r="A929" t="n">
        <v>4.497</v>
      </c>
      <c r="B929" t="n">
        <v>-0.025</v>
      </c>
      <c r="C929" t="n">
        <v>0.988</v>
      </c>
      <c r="D929" t="n">
        <v>0.135</v>
      </c>
    </row>
    <row r="930">
      <c r="A930" t="n">
        <v>4.498</v>
      </c>
      <c r="B930" t="n">
        <v>-0.025</v>
      </c>
      <c r="C930" t="n">
        <v>0.988</v>
      </c>
      <c r="D930" t="n">
        <v>0.135</v>
      </c>
    </row>
    <row r="931">
      <c r="A931" t="n">
        <v>4.5</v>
      </c>
      <c r="B931" t="n">
        <v>-0.026</v>
      </c>
      <c r="C931" t="n">
        <v>0.999</v>
      </c>
      <c r="D931" t="n">
        <v>0.115</v>
      </c>
    </row>
    <row r="932">
      <c r="A932" t="n">
        <v>4.5</v>
      </c>
      <c r="B932" t="n">
        <v>-0.024</v>
      </c>
      <c r="C932" t="n">
        <v>1.002</v>
      </c>
      <c r="D932" t="n">
        <v>0.1</v>
      </c>
    </row>
    <row r="933">
      <c r="A933" t="n">
        <v>4.5</v>
      </c>
      <c r="B933" t="n">
        <v>-0.028</v>
      </c>
      <c r="C933" t="n">
        <v>1.003</v>
      </c>
      <c r="D933" t="n">
        <v>0.089</v>
      </c>
    </row>
    <row r="934">
      <c r="A934" t="n">
        <v>4.501</v>
      </c>
      <c r="B934" t="n">
        <v>-0.03</v>
      </c>
      <c r="C934" t="n">
        <v>1.005</v>
      </c>
      <c r="D934" t="n">
        <v>0.08599999999999999</v>
      </c>
    </row>
    <row r="935">
      <c r="A935" t="n">
        <v>4.502</v>
      </c>
      <c r="B935" t="n">
        <v>-0.028</v>
      </c>
      <c r="C935" t="n">
        <v>1.01</v>
      </c>
      <c r="D935" t="n">
        <v>0.095</v>
      </c>
    </row>
    <row r="936">
      <c r="A936" t="n">
        <v>4.503</v>
      </c>
      <c r="B936" t="n">
        <v>-0.024</v>
      </c>
      <c r="C936" t="n">
        <v>1.011</v>
      </c>
      <c r="D936" t="n">
        <v>0.102</v>
      </c>
    </row>
    <row r="937">
      <c r="A937" t="n">
        <v>4.504</v>
      </c>
      <c r="B937" t="n">
        <v>-0.024</v>
      </c>
      <c r="C937" t="n">
        <v>1.011</v>
      </c>
      <c r="D937" t="n">
        <v>0.102</v>
      </c>
    </row>
    <row r="938">
      <c r="A938" t="n">
        <v>4.504</v>
      </c>
      <c r="B938" t="n">
        <v>-0.016</v>
      </c>
      <c r="C938" t="n">
        <v>1.01</v>
      </c>
      <c r="D938" t="n">
        <v>0.107</v>
      </c>
    </row>
    <row r="939">
      <c r="A939" t="n">
        <v>4.507</v>
      </c>
      <c r="B939" t="n">
        <v>-0.007</v>
      </c>
      <c r="C939" t="n">
        <v>1.008</v>
      </c>
      <c r="D939" t="n">
        <v>0.11</v>
      </c>
    </row>
    <row r="940">
      <c r="A940" t="n">
        <v>4.516</v>
      </c>
      <c r="B940" t="n">
        <v>0.005</v>
      </c>
      <c r="C940" t="n">
        <v>1.004</v>
      </c>
      <c r="D940" t="n">
        <v>0.114</v>
      </c>
    </row>
    <row r="941">
      <c r="A941" t="n">
        <v>4.517</v>
      </c>
      <c r="B941" t="n">
        <v>0.01</v>
      </c>
      <c r="C941" t="n">
        <v>0.997</v>
      </c>
      <c r="D941" t="n">
        <v>0.122</v>
      </c>
    </row>
    <row r="942">
      <c r="A942" t="n">
        <v>4.523</v>
      </c>
      <c r="B942" t="n">
        <v>0.016</v>
      </c>
      <c r="C942" t="n">
        <v>0.99</v>
      </c>
      <c r="D942" t="n">
        <v>0.128</v>
      </c>
    </row>
    <row r="943">
      <c r="A943" t="n">
        <v>4.527</v>
      </c>
      <c r="B943" t="n">
        <v>0.018</v>
      </c>
      <c r="C943" t="n">
        <v>0.984</v>
      </c>
      <c r="D943" t="n">
        <v>0.133</v>
      </c>
    </row>
    <row r="944">
      <c r="A944" t="n">
        <v>4.534</v>
      </c>
      <c r="B944" t="n">
        <v>0.015</v>
      </c>
      <c r="C944" t="n">
        <v>0.978</v>
      </c>
      <c r="D944" t="n">
        <v>0.138</v>
      </c>
    </row>
    <row r="945">
      <c r="A945" t="n">
        <v>4.538</v>
      </c>
      <c r="B945" t="n">
        <v>0.012</v>
      </c>
      <c r="C945" t="n">
        <v>0.976</v>
      </c>
      <c r="D945" t="n">
        <v>0.139</v>
      </c>
    </row>
    <row r="946">
      <c r="A946" t="n">
        <v>4.543</v>
      </c>
      <c r="B946" t="n">
        <v>0.007</v>
      </c>
      <c r="C946" t="n">
        <v>0.973</v>
      </c>
      <c r="D946" t="n">
        <v>0.136</v>
      </c>
    </row>
    <row r="947">
      <c r="A947" t="n">
        <v>4.558</v>
      </c>
      <c r="B947" t="n">
        <v>0.001</v>
      </c>
      <c r="C947" t="n">
        <v>0.972</v>
      </c>
      <c r="D947" t="n">
        <v>0.137</v>
      </c>
    </row>
    <row r="948">
      <c r="A948" t="n">
        <v>4.559</v>
      </c>
      <c r="B948" t="n">
        <v>0</v>
      </c>
      <c r="C948" t="n">
        <v>0.97</v>
      </c>
      <c r="D948" t="n">
        <v>0.133</v>
      </c>
    </row>
    <row r="949">
      <c r="A949" t="n">
        <v>4.56</v>
      </c>
      <c r="B949" t="n">
        <v>-0.008</v>
      </c>
      <c r="C949" t="n">
        <v>0.967</v>
      </c>
      <c r="D949" t="n">
        <v>0.133</v>
      </c>
    </row>
    <row r="950">
      <c r="A950" t="n">
        <v>4.607</v>
      </c>
      <c r="B950" t="n">
        <v>-0.018</v>
      </c>
      <c r="C950" t="n">
        <v>0.968</v>
      </c>
      <c r="D950" t="n">
        <v>0.138</v>
      </c>
    </row>
    <row r="951">
      <c r="A951" t="n">
        <v>4.607</v>
      </c>
      <c r="B951" t="n">
        <v>-0.03</v>
      </c>
      <c r="C951" t="n">
        <v>0.965</v>
      </c>
      <c r="D951" t="n">
        <v>0.134</v>
      </c>
    </row>
    <row r="952">
      <c r="A952" t="n">
        <v>4.607</v>
      </c>
      <c r="B952" t="n">
        <v>-0.04</v>
      </c>
      <c r="C952" t="n">
        <v>0.968</v>
      </c>
      <c r="D952" t="n">
        <v>0.139</v>
      </c>
    </row>
    <row r="953">
      <c r="A953" t="n">
        <v>4.608</v>
      </c>
      <c r="B953" t="n">
        <v>-0.047</v>
      </c>
      <c r="C953" t="n">
        <v>0.97</v>
      </c>
      <c r="D953" t="n">
        <v>0.143</v>
      </c>
    </row>
    <row r="954">
      <c r="A954" t="n">
        <v>4.608</v>
      </c>
      <c r="B954" t="n">
        <v>-0.045</v>
      </c>
      <c r="C954" t="n">
        <v>0.973</v>
      </c>
      <c r="D954" t="n">
        <v>0.147</v>
      </c>
    </row>
    <row r="955">
      <c r="A955" t="n">
        <v>4.608</v>
      </c>
      <c r="B955" t="n">
        <v>-0.043</v>
      </c>
      <c r="C955" t="n">
        <v>0.979</v>
      </c>
      <c r="D955" t="n">
        <v>0.144</v>
      </c>
    </row>
    <row r="956">
      <c r="A956" t="n">
        <v>4.609</v>
      </c>
      <c r="B956" t="n">
        <v>-0.041</v>
      </c>
      <c r="C956" t="n">
        <v>0.983</v>
      </c>
      <c r="D956" t="n">
        <v>0.143</v>
      </c>
    </row>
    <row r="957">
      <c r="A957" t="n">
        <v>4.609</v>
      </c>
      <c r="B957" t="n">
        <v>-0.038</v>
      </c>
      <c r="C957" t="n">
        <v>0.988</v>
      </c>
      <c r="D957" t="n">
        <v>0.138</v>
      </c>
    </row>
    <row r="958">
      <c r="A958" t="n">
        <v>4.609</v>
      </c>
      <c r="B958" t="n">
        <v>-0.033</v>
      </c>
      <c r="C958" t="n">
        <v>0.993</v>
      </c>
      <c r="D958" t="n">
        <v>0.131</v>
      </c>
    </row>
    <row r="959">
      <c r="A959" t="n">
        <v>4.609</v>
      </c>
      <c r="B959" t="n">
        <v>-0.025</v>
      </c>
      <c r="C959" t="n">
        <v>0.997</v>
      </c>
      <c r="D959" t="n">
        <v>0.119</v>
      </c>
    </row>
    <row r="960">
      <c r="A960" t="n">
        <v>4.615</v>
      </c>
      <c r="B960" t="n">
        <v>-0.018</v>
      </c>
      <c r="C960" t="n">
        <v>1.002</v>
      </c>
      <c r="D960" t="n">
        <v>0.113</v>
      </c>
    </row>
    <row r="961">
      <c r="A961" t="n">
        <v>4.617</v>
      </c>
      <c r="B961" t="n">
        <v>-0.015</v>
      </c>
      <c r="C961" t="n">
        <v>1.007</v>
      </c>
      <c r="D961" t="n">
        <v>0.119</v>
      </c>
    </row>
    <row r="962">
      <c r="A962" t="n">
        <v>4.622</v>
      </c>
      <c r="B962" t="n">
        <v>-0.016</v>
      </c>
      <c r="C962" t="n">
        <v>1.013</v>
      </c>
      <c r="D962" t="n">
        <v>0.126</v>
      </c>
    </row>
    <row r="963">
      <c r="A963" t="n">
        <v>4.627</v>
      </c>
      <c r="B963" t="n">
        <v>-0.013</v>
      </c>
      <c r="C963" t="n">
        <v>1.021</v>
      </c>
      <c r="D963" t="n">
        <v>0.131</v>
      </c>
    </row>
    <row r="964">
      <c r="A964" t="n">
        <v>4.634</v>
      </c>
      <c r="B964" t="n">
        <v>-0.015</v>
      </c>
      <c r="C964" t="n">
        <v>1.026</v>
      </c>
      <c r="D964" t="n">
        <v>0.137</v>
      </c>
    </row>
    <row r="965">
      <c r="A965" t="n">
        <v>4.638</v>
      </c>
      <c r="B965" t="n">
        <v>-0.016</v>
      </c>
      <c r="C965" t="n">
        <v>1.025</v>
      </c>
      <c r="D965" t="n">
        <v>0.135</v>
      </c>
    </row>
    <row r="966">
      <c r="A966" t="n">
        <v>4.643</v>
      </c>
      <c r="B966" t="n">
        <v>-0.018</v>
      </c>
      <c r="C966" t="n">
        <v>1.023</v>
      </c>
      <c r="D966" t="n">
        <v>0.123</v>
      </c>
    </row>
    <row r="967">
      <c r="A967" t="n">
        <v>4.652</v>
      </c>
      <c r="B967" t="n">
        <v>-0.019</v>
      </c>
      <c r="C967" t="n">
        <v>1.025</v>
      </c>
      <c r="D967" t="n">
        <v>0.116</v>
      </c>
    </row>
    <row r="968">
      <c r="A968" t="n">
        <v>4.653</v>
      </c>
      <c r="B968" t="n">
        <v>-0.02</v>
      </c>
      <c r="C968" t="n">
        <v>1.032</v>
      </c>
      <c r="D968" t="n">
        <v>0.1</v>
      </c>
    </row>
    <row r="969">
      <c r="A969" t="n">
        <v>4.658</v>
      </c>
      <c r="B969" t="n">
        <v>-0.019</v>
      </c>
      <c r="C969" t="n">
        <v>1.033</v>
      </c>
      <c r="D969" t="n">
        <v>0.097</v>
      </c>
    </row>
    <row r="970">
      <c r="A970" t="n">
        <v>4.672</v>
      </c>
      <c r="B970" t="n">
        <v>-0.02</v>
      </c>
      <c r="C970" t="n">
        <v>1.036</v>
      </c>
      <c r="D970" t="n">
        <v>0.096</v>
      </c>
    </row>
    <row r="971">
      <c r="A971" t="n">
        <v>4.674</v>
      </c>
      <c r="B971" t="n">
        <v>-0.018</v>
      </c>
      <c r="C971" t="n">
        <v>1.038</v>
      </c>
      <c r="D971" t="n">
        <v>0.095</v>
      </c>
    </row>
    <row r="972">
      <c r="A972" t="n">
        <v>4.674</v>
      </c>
      <c r="B972" t="n">
        <v>-0.018</v>
      </c>
      <c r="C972" t="n">
        <v>1.034</v>
      </c>
      <c r="D972" t="n">
        <v>0.091</v>
      </c>
    </row>
    <row r="973">
      <c r="A973" t="n">
        <v>4.677</v>
      </c>
      <c r="B973" t="n">
        <v>-0.017</v>
      </c>
      <c r="C973" t="n">
        <v>1.026</v>
      </c>
      <c r="D973" t="n">
        <v>0.09</v>
      </c>
    </row>
    <row r="974">
      <c r="A974" t="n">
        <v>4.715</v>
      </c>
      <c r="B974" t="n">
        <v>-0.027</v>
      </c>
      <c r="C974" t="n">
        <v>1.018</v>
      </c>
      <c r="D974" t="n">
        <v>0.096</v>
      </c>
    </row>
    <row r="975">
      <c r="A975" t="n">
        <v>4.715</v>
      </c>
      <c r="B975" t="n">
        <v>-0.027</v>
      </c>
      <c r="C975" t="n">
        <v>1.018</v>
      </c>
      <c r="D975" t="n">
        <v>0.096</v>
      </c>
    </row>
    <row r="976">
      <c r="A976" t="n">
        <v>4.715</v>
      </c>
      <c r="B976" t="n">
        <v>-0.044</v>
      </c>
      <c r="C976" t="n">
        <v>1</v>
      </c>
      <c r="D976" t="n">
        <v>0.125</v>
      </c>
    </row>
    <row r="977">
      <c r="A977" t="n">
        <v>4.716</v>
      </c>
      <c r="B977" t="n">
        <v>-0.049</v>
      </c>
      <c r="C977" t="n">
        <v>0.996</v>
      </c>
      <c r="D977" t="n">
        <v>0.142</v>
      </c>
    </row>
    <row r="978">
      <c r="A978" t="n">
        <v>4.716</v>
      </c>
      <c r="B978" t="n">
        <v>-0.049</v>
      </c>
      <c r="C978" t="n">
        <v>0.996</v>
      </c>
      <c r="D978" t="n">
        <v>0.142</v>
      </c>
    </row>
    <row r="979">
      <c r="A979" t="n">
        <v>4.716</v>
      </c>
      <c r="B979" t="n">
        <v>-0.05</v>
      </c>
      <c r="C979" t="n">
        <v>0.993</v>
      </c>
      <c r="D979" t="n">
        <v>0.151</v>
      </c>
    </row>
    <row r="980">
      <c r="A980" t="n">
        <v>4.716</v>
      </c>
      <c r="B980" t="n">
        <v>-0.047</v>
      </c>
      <c r="C980" t="n">
        <v>0.989</v>
      </c>
      <c r="D980" t="n">
        <v>0.154</v>
      </c>
    </row>
    <row r="981">
      <c r="A981" t="n">
        <v>4.717</v>
      </c>
      <c r="B981" t="n">
        <v>-0.044</v>
      </c>
      <c r="C981" t="n">
        <v>0.984</v>
      </c>
      <c r="D981" t="n">
        <v>0.159</v>
      </c>
    </row>
    <row r="982">
      <c r="A982" t="n">
        <v>4.718</v>
      </c>
      <c r="B982" t="n">
        <v>-0.04</v>
      </c>
      <c r="C982" t="n">
        <v>0.981</v>
      </c>
      <c r="D982" t="n">
        <v>0.158</v>
      </c>
    </row>
    <row r="983">
      <c r="A983" t="n">
        <v>4.723</v>
      </c>
      <c r="B983" t="n">
        <v>-0.031</v>
      </c>
      <c r="C983" t="n">
        <v>0.98</v>
      </c>
      <c r="D983" t="n">
        <v>0.154</v>
      </c>
    </row>
    <row r="984">
      <c r="A984" t="n">
        <v>4.728</v>
      </c>
      <c r="B984" t="n">
        <v>-0.021</v>
      </c>
      <c r="C984" t="n">
        <v>0.984</v>
      </c>
      <c r="D984" t="n">
        <v>0.148</v>
      </c>
    </row>
    <row r="985">
      <c r="A985" t="n">
        <v>4.733</v>
      </c>
      <c r="B985" t="n">
        <v>-0.015</v>
      </c>
      <c r="C985" t="n">
        <v>0.992</v>
      </c>
      <c r="D985" t="n">
        <v>0.138</v>
      </c>
    </row>
    <row r="986">
      <c r="A986" t="n">
        <v>4.737</v>
      </c>
      <c r="B986" t="n">
        <v>-0.007</v>
      </c>
      <c r="C986" t="n">
        <v>0.999</v>
      </c>
      <c r="D986" t="n">
        <v>0.129</v>
      </c>
    </row>
    <row r="987">
      <c r="A987" t="n">
        <v>4.743</v>
      </c>
      <c r="B987" t="n">
        <v>0.001</v>
      </c>
      <c r="C987" t="n">
        <v>1.008</v>
      </c>
      <c r="D987" t="n">
        <v>0.118</v>
      </c>
    </row>
    <row r="988">
      <c r="A988" t="n">
        <v>4.761</v>
      </c>
      <c r="B988" t="n">
        <v>0.005</v>
      </c>
      <c r="C988" t="n">
        <v>1.013</v>
      </c>
      <c r="D988" t="n">
        <v>0.103</v>
      </c>
    </row>
    <row r="989">
      <c r="A989" t="n">
        <v>4.765</v>
      </c>
      <c r="B989" t="n">
        <v>0.008</v>
      </c>
      <c r="C989" t="n">
        <v>1.019</v>
      </c>
      <c r="D989" t="n">
        <v>0.08599999999999999</v>
      </c>
    </row>
    <row r="990">
      <c r="A990" t="n">
        <v>4.765</v>
      </c>
      <c r="B990" t="n">
        <v>0.007</v>
      </c>
      <c r="C990" t="n">
        <v>1.021</v>
      </c>
      <c r="D990" t="n">
        <v>0.078</v>
      </c>
    </row>
    <row r="991">
      <c r="A991" t="n">
        <v>4.766</v>
      </c>
      <c r="B991" t="n">
        <v>0.011</v>
      </c>
      <c r="C991" t="n">
        <v>1.022</v>
      </c>
      <c r="D991" t="n">
        <v>0.082</v>
      </c>
    </row>
    <row r="992">
      <c r="A992" t="n">
        <v>4.798</v>
      </c>
      <c r="B992" t="n">
        <v>0.016</v>
      </c>
      <c r="C992" t="n">
        <v>1.022</v>
      </c>
      <c r="D992" t="n">
        <v>0.08699999999999999</v>
      </c>
    </row>
    <row r="993">
      <c r="A993" t="n">
        <v>4.799</v>
      </c>
      <c r="B993" t="n">
        <v>0.013</v>
      </c>
      <c r="C993" t="n">
        <v>1.022</v>
      </c>
      <c r="D993" t="n">
        <v>0.093</v>
      </c>
    </row>
    <row r="994">
      <c r="A994" t="n">
        <v>4.8</v>
      </c>
      <c r="B994" t="n">
        <v>0.007</v>
      </c>
      <c r="C994" t="n">
        <v>1.018</v>
      </c>
      <c r="D994" t="n">
        <v>0.11</v>
      </c>
    </row>
    <row r="995">
      <c r="A995" t="n">
        <v>4.8</v>
      </c>
      <c r="B995" t="n">
        <v>0.001</v>
      </c>
      <c r="C995" t="n">
        <v>1.013</v>
      </c>
      <c r="D995" t="n">
        <v>0.126</v>
      </c>
    </row>
    <row r="996">
      <c r="A996" t="n">
        <v>4.801</v>
      </c>
      <c r="B996" t="n">
        <v>-0.004</v>
      </c>
      <c r="C996" t="n">
        <v>1.009</v>
      </c>
      <c r="D996" t="n">
        <v>0.132</v>
      </c>
    </row>
    <row r="997">
      <c r="A997" t="n">
        <v>4.802</v>
      </c>
      <c r="B997" t="n">
        <v>-0.006</v>
      </c>
      <c r="C997" t="n">
        <v>1</v>
      </c>
      <c r="D997" t="n">
        <v>0.129</v>
      </c>
    </row>
    <row r="998">
      <c r="A998" t="n">
        <v>4.802</v>
      </c>
      <c r="B998" t="n">
        <v>-0.005</v>
      </c>
      <c r="C998" t="n">
        <v>0.998</v>
      </c>
      <c r="D998" t="n">
        <v>0.126</v>
      </c>
    </row>
    <row r="999">
      <c r="A999" t="n">
        <v>4.804</v>
      </c>
      <c r="B999" t="n">
        <v>-0.008999999999999999</v>
      </c>
      <c r="C999" t="n">
        <v>0.996</v>
      </c>
      <c r="D999" t="n">
        <v>0.125</v>
      </c>
    </row>
    <row r="1000">
      <c r="A1000" t="n">
        <v>4.807</v>
      </c>
      <c r="B1000" t="n">
        <v>-0.015</v>
      </c>
      <c r="C1000" t="n">
        <v>0.992</v>
      </c>
      <c r="D1000" t="n">
        <v>0.125</v>
      </c>
    </row>
    <row r="1001">
      <c r="A1001" t="n">
        <v>4.817</v>
      </c>
      <c r="B1001" t="n">
        <v>-0.02</v>
      </c>
      <c r="C1001" t="n">
        <v>0.984</v>
      </c>
      <c r="D1001" t="n">
        <v>0.123</v>
      </c>
    </row>
    <row r="1002">
      <c r="A1002" t="n">
        <v>4.823</v>
      </c>
      <c r="B1002" t="n">
        <v>-0.026</v>
      </c>
      <c r="C1002" t="n">
        <v>0.977</v>
      </c>
      <c r="D1002" t="n">
        <v>0.121</v>
      </c>
    </row>
    <row r="1003">
      <c r="A1003" t="n">
        <v>4.824</v>
      </c>
      <c r="B1003" t="n">
        <v>-0.033</v>
      </c>
      <c r="C1003" t="n">
        <v>0.969</v>
      </c>
      <c r="D1003" t="n">
        <v>0.121</v>
      </c>
    </row>
    <row r="1004">
      <c r="A1004" t="n">
        <v>4.827</v>
      </c>
      <c r="B1004" t="n">
        <v>-0.04</v>
      </c>
      <c r="C1004" t="n">
        <v>0.964</v>
      </c>
      <c r="D1004" t="n">
        <v>0.122</v>
      </c>
    </row>
    <row r="1005">
      <c r="A1005" t="n">
        <v>4.836</v>
      </c>
      <c r="B1005" t="n">
        <v>-0.044</v>
      </c>
      <c r="C1005" t="n">
        <v>0.961</v>
      </c>
      <c r="D1005" t="n">
        <v>0.123</v>
      </c>
    </row>
    <row r="1006">
      <c r="A1006" t="n">
        <v>4.837</v>
      </c>
      <c r="B1006" t="n">
        <v>-0.044</v>
      </c>
      <c r="C1006" t="n">
        <v>0.961</v>
      </c>
      <c r="D1006" t="n">
        <v>0.123</v>
      </c>
    </row>
    <row r="1007">
      <c r="A1007" t="n">
        <v>4.84</v>
      </c>
      <c r="B1007" t="n">
        <v>-0.048</v>
      </c>
      <c r="C1007" t="n">
        <v>0.959</v>
      </c>
      <c r="D1007" t="n">
        <v>0.127</v>
      </c>
    </row>
    <row r="1008">
      <c r="A1008" t="n">
        <v>4.843</v>
      </c>
      <c r="B1008" t="n">
        <v>-0.052</v>
      </c>
      <c r="C1008" t="n">
        <v>0.958</v>
      </c>
      <c r="D1008" t="n">
        <v>0.129</v>
      </c>
    </row>
    <row r="1009">
      <c r="A1009" t="n">
        <v>4.851</v>
      </c>
      <c r="B1009" t="n">
        <v>-0.058</v>
      </c>
      <c r="C1009" t="n">
        <v>0.956</v>
      </c>
      <c r="D1009" t="n">
        <v>0.129</v>
      </c>
    </row>
    <row r="1010">
      <c r="A1010" t="n">
        <v>4.852</v>
      </c>
      <c r="B1010" t="n">
        <v>-0.058</v>
      </c>
      <c r="C1010" t="n">
        <v>0.956</v>
      </c>
      <c r="D1010" t="n">
        <v>0.129</v>
      </c>
    </row>
    <row r="1011">
      <c r="A1011" t="n">
        <v>4.853</v>
      </c>
      <c r="B1011" t="n">
        <v>-0.063</v>
      </c>
      <c r="C1011" t="n">
        <v>0.957</v>
      </c>
      <c r="D1011" t="n">
        <v>0.128</v>
      </c>
    </row>
    <row r="1012">
      <c r="A1012" t="n">
        <v>4.857</v>
      </c>
      <c r="B1012" t="n">
        <v>-0.067</v>
      </c>
      <c r="C1012" t="n">
        <v>0.958</v>
      </c>
      <c r="D1012" t="n">
        <v>0.132</v>
      </c>
    </row>
    <row r="1013">
      <c r="A1013" t="n">
        <v>4.863</v>
      </c>
      <c r="B1013" t="n">
        <v>-0.06900000000000001</v>
      </c>
      <c r="C1013" t="n">
        <v>0.961</v>
      </c>
      <c r="D1013" t="n">
        <v>0.13</v>
      </c>
    </row>
    <row r="1014">
      <c r="A1014" t="n">
        <v>4.871</v>
      </c>
      <c r="B1014" t="n">
        <v>-0.07000000000000001</v>
      </c>
      <c r="C1014" t="n">
        <v>0.966</v>
      </c>
      <c r="D1014" t="n">
        <v>0.13</v>
      </c>
    </row>
    <row r="1015">
      <c r="A1015" t="n">
        <v>4.873</v>
      </c>
      <c r="B1015" t="n">
        <v>-0.068</v>
      </c>
      <c r="C1015" t="n">
        <v>0.971</v>
      </c>
      <c r="D1015" t="n">
        <v>0.132</v>
      </c>
    </row>
    <row r="1016">
      <c r="A1016" t="n">
        <v>4.878</v>
      </c>
      <c r="B1016" t="n">
        <v>-0.064</v>
      </c>
      <c r="C1016" t="n">
        <v>0.976</v>
      </c>
      <c r="D1016" t="n">
        <v>0.127</v>
      </c>
    </row>
    <row r="1017">
      <c r="A1017" t="n">
        <v>4.905</v>
      </c>
      <c r="B1017" t="n">
        <v>-0.057</v>
      </c>
      <c r="C1017" t="n">
        <v>0.981</v>
      </c>
      <c r="D1017" t="n">
        <v>0.123</v>
      </c>
    </row>
    <row r="1018">
      <c r="A1018" t="n">
        <v>4.906</v>
      </c>
      <c r="B1018" t="n">
        <v>-0.057</v>
      </c>
      <c r="C1018" t="n">
        <v>0.981</v>
      </c>
      <c r="D1018" t="n">
        <v>0.123</v>
      </c>
    </row>
    <row r="1019">
      <c r="A1019" t="n">
        <v>4.906</v>
      </c>
      <c r="B1019" t="n">
        <v>-0.046</v>
      </c>
      <c r="C1019" t="n">
        <v>0.989</v>
      </c>
      <c r="D1019" t="n">
        <v>0.12</v>
      </c>
    </row>
    <row r="1020">
      <c r="A1020" t="n">
        <v>4.906</v>
      </c>
      <c r="B1020" t="n">
        <v>-0.039</v>
      </c>
      <c r="C1020" t="n">
        <v>0.993</v>
      </c>
      <c r="D1020" t="n">
        <v>0.116</v>
      </c>
    </row>
    <row r="1021">
      <c r="A1021" t="n">
        <v>4.907</v>
      </c>
      <c r="B1021" t="n">
        <v>-0.038</v>
      </c>
      <c r="C1021" t="n">
        <v>0.993</v>
      </c>
      <c r="D1021" t="n">
        <v>0.119</v>
      </c>
    </row>
    <row r="1022">
      <c r="A1022" t="n">
        <v>4.907</v>
      </c>
      <c r="B1022" t="n">
        <v>-0.032</v>
      </c>
      <c r="C1022" t="n">
        <v>0.998</v>
      </c>
      <c r="D1022" t="n">
        <v>0.118</v>
      </c>
    </row>
    <row r="1023">
      <c r="A1023" t="n">
        <v>4.917</v>
      </c>
      <c r="B1023" t="n">
        <v>-0.027</v>
      </c>
      <c r="C1023" t="n">
        <v>1</v>
      </c>
      <c r="D1023" t="n">
        <v>0.118</v>
      </c>
    </row>
    <row r="1024">
      <c r="A1024" t="n">
        <v>4.918</v>
      </c>
      <c r="B1024" t="n">
        <v>-0.027</v>
      </c>
      <c r="C1024" t="n">
        <v>1.001</v>
      </c>
      <c r="D1024" t="n">
        <v>0.119</v>
      </c>
    </row>
    <row r="1025">
      <c r="A1025" t="n">
        <v>4.924</v>
      </c>
      <c r="B1025" t="n">
        <v>-0.025</v>
      </c>
      <c r="C1025" t="n">
        <v>0.998</v>
      </c>
      <c r="D1025" t="n">
        <v>0.116</v>
      </c>
    </row>
    <row r="1026">
      <c r="A1026" t="n">
        <v>4.927</v>
      </c>
      <c r="B1026" t="n">
        <v>-0.026</v>
      </c>
      <c r="C1026" t="n">
        <v>0.997</v>
      </c>
      <c r="D1026" t="n">
        <v>0.114</v>
      </c>
    </row>
    <row r="1027">
      <c r="A1027" t="n">
        <v>4.937</v>
      </c>
      <c r="B1027" t="n">
        <v>-0.034</v>
      </c>
      <c r="C1027" t="n">
        <v>0.995</v>
      </c>
      <c r="D1027" t="n">
        <v>0.115</v>
      </c>
    </row>
    <row r="1028">
      <c r="A1028" t="n">
        <v>4.939</v>
      </c>
      <c r="B1028" t="n">
        <v>-0.034</v>
      </c>
      <c r="C1028" t="n">
        <v>0.995</v>
      </c>
      <c r="D1028" t="n">
        <v>0.115</v>
      </c>
    </row>
    <row r="1029">
      <c r="A1029" t="n">
        <v>4.944</v>
      </c>
      <c r="B1029" t="n">
        <v>-0.047</v>
      </c>
      <c r="C1029" t="n">
        <v>0.997</v>
      </c>
      <c r="D1029" t="n">
        <v>0.114</v>
      </c>
    </row>
    <row r="1030">
      <c r="A1030" t="n">
        <v>4.953</v>
      </c>
      <c r="B1030" t="n">
        <v>-0.049</v>
      </c>
      <c r="C1030" t="n">
        <v>1.001</v>
      </c>
      <c r="D1030" t="n">
        <v>0.113</v>
      </c>
    </row>
    <row r="1031">
      <c r="A1031" t="n">
        <v>4.955</v>
      </c>
      <c r="B1031" t="n">
        <v>-0.049</v>
      </c>
      <c r="C1031" t="n">
        <v>1.001</v>
      </c>
      <c r="D1031" t="n">
        <v>0.113</v>
      </c>
    </row>
    <row r="1032">
      <c r="A1032" t="n">
        <v>4.958</v>
      </c>
      <c r="B1032" t="n">
        <v>-0.058</v>
      </c>
      <c r="C1032" t="n">
        <v>1.006</v>
      </c>
      <c r="D1032" t="n">
        <v>0.111</v>
      </c>
    </row>
    <row r="1033">
      <c r="A1033" t="n">
        <v>4.963</v>
      </c>
      <c r="B1033" t="n">
        <v>-0.065</v>
      </c>
      <c r="C1033" t="n">
        <v>1.002</v>
      </c>
      <c r="D1033" t="n">
        <v>0.106</v>
      </c>
    </row>
    <row r="1034">
      <c r="A1034" t="n">
        <v>4.968</v>
      </c>
      <c r="B1034" t="n">
        <v>-0.07099999999999999</v>
      </c>
      <c r="C1034" t="n">
        <v>0.998</v>
      </c>
      <c r="D1034" t="n">
        <v>0.109</v>
      </c>
    </row>
    <row r="1035">
      <c r="A1035" t="n">
        <v>4.98</v>
      </c>
      <c r="B1035" t="n">
        <v>-0.073</v>
      </c>
      <c r="C1035" t="n">
        <v>0.995</v>
      </c>
      <c r="D1035" t="n">
        <v>0.117</v>
      </c>
    </row>
    <row r="1036">
      <c r="A1036" t="n">
        <v>4.982</v>
      </c>
      <c r="B1036" t="n">
        <v>-0.07099999999999999</v>
      </c>
      <c r="C1036" t="n">
        <v>0.996</v>
      </c>
      <c r="D1036" t="n">
        <v>0.128</v>
      </c>
    </row>
    <row r="1037">
      <c r="A1037" t="n">
        <v>5.019</v>
      </c>
      <c r="B1037" t="n">
        <v>-0.065</v>
      </c>
      <c r="C1037" t="n">
        <v>0.999</v>
      </c>
      <c r="D1037" t="n">
        <v>0.136</v>
      </c>
    </row>
    <row r="1038">
      <c r="A1038" t="n">
        <v>5.02</v>
      </c>
      <c r="B1038" t="n">
        <v>-0.057</v>
      </c>
      <c r="C1038" t="n">
        <v>1.001</v>
      </c>
      <c r="D1038" t="n">
        <v>0.138</v>
      </c>
    </row>
    <row r="1039">
      <c r="A1039" t="n">
        <v>5.02</v>
      </c>
      <c r="B1039" t="n">
        <v>-0.046</v>
      </c>
      <c r="C1039" t="n">
        <v>1.008</v>
      </c>
      <c r="D1039" t="n">
        <v>0.135</v>
      </c>
    </row>
    <row r="1040">
      <c r="A1040" t="n">
        <v>5.02</v>
      </c>
      <c r="B1040" t="n">
        <v>-0.034</v>
      </c>
      <c r="C1040" t="n">
        <v>1.015</v>
      </c>
      <c r="D1040" t="n">
        <v>0.121</v>
      </c>
    </row>
    <row r="1041">
      <c r="A1041" t="n">
        <v>5.021</v>
      </c>
      <c r="B1041" t="n">
        <v>-0.034</v>
      </c>
      <c r="C1041" t="n">
        <v>1.015</v>
      </c>
      <c r="D1041" t="n">
        <v>0.121</v>
      </c>
    </row>
    <row r="1042">
      <c r="A1042" t="n">
        <v>5.021</v>
      </c>
      <c r="B1042" t="n">
        <v>-0.02</v>
      </c>
      <c r="C1042" t="n">
        <v>1.022</v>
      </c>
      <c r="D1042" t="n">
        <v>0.102</v>
      </c>
    </row>
    <row r="1043">
      <c r="A1043" t="n">
        <v>5.021</v>
      </c>
      <c r="B1043" t="n">
        <v>-0.011</v>
      </c>
      <c r="C1043" t="n">
        <v>1.031</v>
      </c>
      <c r="D1043" t="n">
        <v>0.078</v>
      </c>
    </row>
    <row r="1044">
      <c r="A1044" t="n">
        <v>5.022</v>
      </c>
      <c r="B1044" t="n">
        <v>-0.004</v>
      </c>
      <c r="C1044" t="n">
        <v>1.042</v>
      </c>
      <c r="D1044" t="n">
        <v>0.066</v>
      </c>
    </row>
    <row r="1045">
      <c r="A1045" t="n">
        <v>5.022</v>
      </c>
      <c r="B1045" t="n">
        <v>0</v>
      </c>
      <c r="C1045" t="n">
        <v>1.049</v>
      </c>
      <c r="D1045" t="n">
        <v>0.056</v>
      </c>
    </row>
    <row r="1046">
      <c r="A1046" t="n">
        <v>5.023</v>
      </c>
      <c r="B1046" t="n">
        <v>-0.004</v>
      </c>
      <c r="C1046" t="n">
        <v>1.051</v>
      </c>
      <c r="D1046" t="n">
        <v>0.049</v>
      </c>
    </row>
    <row r="1047">
      <c r="A1047" t="n">
        <v>5.027</v>
      </c>
      <c r="B1047" t="n">
        <v>-0.012</v>
      </c>
      <c r="C1047" t="n">
        <v>1.048</v>
      </c>
      <c r="D1047" t="n">
        <v>0.054</v>
      </c>
    </row>
    <row r="1048">
      <c r="A1048" t="n">
        <v>5.033</v>
      </c>
      <c r="B1048" t="n">
        <v>-0.027</v>
      </c>
      <c r="C1048" t="n">
        <v>1.041</v>
      </c>
      <c r="D1048" t="n">
        <v>0.058</v>
      </c>
    </row>
    <row r="1049">
      <c r="A1049" t="n">
        <v>5.037</v>
      </c>
      <c r="B1049" t="n">
        <v>-0.04</v>
      </c>
      <c r="C1049" t="n">
        <v>1.033</v>
      </c>
      <c r="D1049" t="n">
        <v>0.067</v>
      </c>
    </row>
    <row r="1050">
      <c r="A1050" t="n">
        <v>5.043</v>
      </c>
      <c r="B1050" t="n">
        <v>-0.056</v>
      </c>
      <c r="C1050" t="n">
        <v>1.027</v>
      </c>
      <c r="D1050" t="n">
        <v>0.079</v>
      </c>
    </row>
    <row r="1051">
      <c r="A1051" t="n">
        <v>5.052</v>
      </c>
      <c r="B1051" t="n">
        <v>-0.067</v>
      </c>
      <c r="C1051" t="n">
        <v>1.023</v>
      </c>
      <c r="D1051" t="n">
        <v>0.098</v>
      </c>
    </row>
    <row r="1052">
      <c r="A1052" t="n">
        <v>5.054</v>
      </c>
      <c r="B1052" t="n">
        <v>-0.077</v>
      </c>
      <c r="C1052" t="n">
        <v>1.015</v>
      </c>
      <c r="D1052" t="n">
        <v>0.114</v>
      </c>
    </row>
    <row r="1053">
      <c r="A1053" t="n">
        <v>5.057</v>
      </c>
      <c r="B1053" t="n">
        <v>-0.079</v>
      </c>
      <c r="C1053" t="n">
        <v>1.005</v>
      </c>
      <c r="D1053" t="n">
        <v>0.122</v>
      </c>
    </row>
    <row r="1054">
      <c r="A1054" t="n">
        <v>5.062</v>
      </c>
      <c r="B1054" t="n">
        <v>-0.079</v>
      </c>
      <c r="C1054" t="n">
        <v>1.003</v>
      </c>
      <c r="D1054" t="n">
        <v>0.127</v>
      </c>
    </row>
    <row r="1055">
      <c r="A1055" t="n">
        <v>5.075</v>
      </c>
      <c r="B1055" t="n">
        <v>-0.075</v>
      </c>
      <c r="C1055" t="n">
        <v>0.998</v>
      </c>
      <c r="D1055" t="n">
        <v>0.129</v>
      </c>
    </row>
    <row r="1056">
      <c r="A1056" t="n">
        <v>5.076</v>
      </c>
      <c r="B1056" t="n">
        <v>-0.06900000000000001</v>
      </c>
      <c r="C1056" t="n">
        <v>0.997</v>
      </c>
      <c r="D1056" t="n">
        <v>0.13</v>
      </c>
    </row>
    <row r="1057">
      <c r="A1057" t="n">
        <v>5.078</v>
      </c>
      <c r="B1057" t="n">
        <v>-0.054</v>
      </c>
      <c r="C1057" t="n">
        <v>0.999</v>
      </c>
      <c r="D1057" t="n">
        <v>0.129</v>
      </c>
    </row>
    <row r="1058">
      <c r="A1058" t="n">
        <v>5.109</v>
      </c>
      <c r="B1058" t="n">
        <v>-0.042</v>
      </c>
      <c r="C1058" t="n">
        <v>1.005</v>
      </c>
      <c r="D1058" t="n">
        <v>0.12</v>
      </c>
    </row>
    <row r="1059">
      <c r="A1059" t="n">
        <v>5.11</v>
      </c>
      <c r="B1059" t="n">
        <v>-0.042</v>
      </c>
      <c r="C1059" t="n">
        <v>1.005</v>
      </c>
      <c r="D1059" t="n">
        <v>0.12</v>
      </c>
    </row>
    <row r="1060">
      <c r="A1060" t="n">
        <v>5.111</v>
      </c>
      <c r="B1060" t="n">
        <v>-0.021</v>
      </c>
      <c r="C1060" t="n">
        <v>1.016</v>
      </c>
      <c r="D1060" t="n">
        <v>0.106</v>
      </c>
    </row>
    <row r="1061">
      <c r="A1061" t="n">
        <v>5.112</v>
      </c>
      <c r="B1061" t="n">
        <v>-0.021</v>
      </c>
      <c r="C1061" t="n">
        <v>1.016</v>
      </c>
      <c r="D1061" t="n">
        <v>0.106</v>
      </c>
    </row>
    <row r="1062">
      <c r="A1062" t="n">
        <v>5.113</v>
      </c>
      <c r="B1062" t="n">
        <v>-0.012</v>
      </c>
      <c r="C1062" t="n">
        <v>1.022</v>
      </c>
      <c r="D1062" t="n">
        <v>0.096</v>
      </c>
    </row>
    <row r="1063">
      <c r="A1063" t="n">
        <v>5.115</v>
      </c>
      <c r="B1063" t="n">
        <v>-0.006</v>
      </c>
      <c r="C1063" t="n">
        <v>1.025</v>
      </c>
      <c r="D1063" t="n">
        <v>0.08</v>
      </c>
    </row>
    <row r="1064">
      <c r="A1064" t="n">
        <v>5.116</v>
      </c>
      <c r="B1064" t="n">
        <v>-0.003</v>
      </c>
      <c r="C1064" t="n">
        <v>1.029</v>
      </c>
      <c r="D1064" t="n">
        <v>0.075</v>
      </c>
    </row>
    <row r="1065">
      <c r="A1065" t="n">
        <v>5.133</v>
      </c>
      <c r="B1065" t="n">
        <v>0</v>
      </c>
      <c r="C1065" t="n">
        <v>1.03</v>
      </c>
      <c r="D1065" t="n">
        <v>0.066</v>
      </c>
    </row>
    <row r="1066">
      <c r="A1066" t="n">
        <v>5.135</v>
      </c>
      <c r="B1066" t="n">
        <v>-0.002</v>
      </c>
      <c r="C1066" t="n">
        <v>1.034</v>
      </c>
      <c r="D1066" t="n">
        <v>0.066</v>
      </c>
    </row>
    <row r="1067">
      <c r="A1067" t="n">
        <v>5.135</v>
      </c>
      <c r="B1067" t="n">
        <v>-0.005</v>
      </c>
      <c r="C1067" t="n">
        <v>1.033</v>
      </c>
      <c r="D1067" t="n">
        <v>0.07199999999999999</v>
      </c>
    </row>
    <row r="1068">
      <c r="A1068" t="n">
        <v>5.135</v>
      </c>
      <c r="B1068" t="n">
        <v>-0.015</v>
      </c>
      <c r="C1068" t="n">
        <v>1.029</v>
      </c>
      <c r="D1068" t="n">
        <v>0.081</v>
      </c>
    </row>
    <row r="1069">
      <c r="A1069" t="n">
        <v>5.138</v>
      </c>
      <c r="B1069" t="n">
        <v>-0.027</v>
      </c>
      <c r="C1069" t="n">
        <v>1.022</v>
      </c>
      <c r="D1069" t="n">
        <v>0.08500000000000001</v>
      </c>
    </row>
    <row r="1070">
      <c r="A1070" t="n">
        <v>5.143</v>
      </c>
      <c r="B1070" t="n">
        <v>-0.037</v>
      </c>
      <c r="C1070" t="n">
        <v>1.015</v>
      </c>
      <c r="D1070" t="n">
        <v>0.08799999999999999</v>
      </c>
    </row>
    <row r="1071">
      <c r="A1071" t="n">
        <v>5.149</v>
      </c>
      <c r="B1071" t="n">
        <v>-0.043</v>
      </c>
      <c r="C1071" t="n">
        <v>1.008</v>
      </c>
      <c r="D1071" t="n">
        <v>0.089</v>
      </c>
    </row>
    <row r="1072">
      <c r="A1072" t="n">
        <v>5.156</v>
      </c>
      <c r="B1072" t="n">
        <v>-0.051</v>
      </c>
      <c r="C1072" t="n">
        <v>1.003</v>
      </c>
      <c r="D1072" t="n">
        <v>0.094</v>
      </c>
    </row>
    <row r="1073">
      <c r="A1073" t="n">
        <v>5.159</v>
      </c>
      <c r="B1073" t="n">
        <v>-0.055</v>
      </c>
      <c r="C1073" t="n">
        <v>1</v>
      </c>
      <c r="D1073" t="n">
        <v>0.103</v>
      </c>
    </row>
    <row r="1074">
      <c r="A1074" t="n">
        <v>5.164</v>
      </c>
      <c r="B1074" t="n">
        <v>-0.059</v>
      </c>
      <c r="C1074" t="n">
        <v>0.996</v>
      </c>
      <c r="D1074" t="n">
        <v>0.108</v>
      </c>
    </row>
    <row r="1075">
      <c r="A1075" t="n">
        <v>5.178</v>
      </c>
      <c r="B1075" t="n">
        <v>-0.061</v>
      </c>
      <c r="C1075" t="n">
        <v>0.991</v>
      </c>
      <c r="D1075" t="n">
        <v>0.108</v>
      </c>
    </row>
    <row r="1076">
      <c r="A1076" t="n">
        <v>5.184</v>
      </c>
      <c r="B1076" t="n">
        <v>-0.062</v>
      </c>
      <c r="C1076" t="n">
        <v>0.989</v>
      </c>
      <c r="D1076" t="n">
        <v>0.106</v>
      </c>
    </row>
    <row r="1077">
      <c r="A1077" t="n">
        <v>5.185</v>
      </c>
      <c r="B1077" t="n">
        <v>-0.062</v>
      </c>
      <c r="C1077" t="n">
        <v>0.989</v>
      </c>
      <c r="D1077" t="n">
        <v>0.106</v>
      </c>
    </row>
    <row r="1078">
      <c r="A1078" t="n">
        <v>5.186</v>
      </c>
      <c r="B1078" t="n">
        <v>-0.061</v>
      </c>
      <c r="C1078" t="n">
        <v>0.99</v>
      </c>
      <c r="D1078" t="n">
        <v>0.107</v>
      </c>
    </row>
    <row r="1079">
      <c r="A1079" t="n">
        <v>5.224</v>
      </c>
      <c r="B1079" t="n">
        <v>-0.059</v>
      </c>
      <c r="C1079" t="n">
        <v>0.989</v>
      </c>
      <c r="D1079" t="n">
        <v>0.111</v>
      </c>
    </row>
    <row r="1080">
      <c r="A1080" t="n">
        <v>5.225</v>
      </c>
      <c r="B1080" t="n">
        <v>-0.057</v>
      </c>
      <c r="C1080" t="n">
        <v>0.99</v>
      </c>
      <c r="D1080" t="n">
        <v>0.114</v>
      </c>
    </row>
    <row r="1081">
      <c r="A1081" t="n">
        <v>5.225</v>
      </c>
      <c r="B1081" t="n">
        <v>-0.055</v>
      </c>
      <c r="C1081" t="n">
        <v>0.988</v>
      </c>
      <c r="D1081" t="n">
        <v>0.114</v>
      </c>
    </row>
    <row r="1082">
      <c r="A1082" t="n">
        <v>5.225</v>
      </c>
      <c r="B1082" t="n">
        <v>-0.055</v>
      </c>
      <c r="C1082" t="n">
        <v>0.988</v>
      </c>
      <c r="D1082" t="n">
        <v>0.114</v>
      </c>
    </row>
    <row r="1083">
      <c r="A1083" t="n">
        <v>5.226</v>
      </c>
      <c r="B1083" t="n">
        <v>-0.056</v>
      </c>
      <c r="C1083" t="n">
        <v>0.989</v>
      </c>
      <c r="D1083" t="n">
        <v>0.11</v>
      </c>
    </row>
    <row r="1084">
      <c r="A1084" t="n">
        <v>5.226</v>
      </c>
      <c r="B1084" t="n">
        <v>-0.052</v>
      </c>
      <c r="C1084" t="n">
        <v>0.994</v>
      </c>
      <c r="D1084" t="n">
        <v>0.105</v>
      </c>
    </row>
    <row r="1085">
      <c r="A1085" t="n">
        <v>5.226</v>
      </c>
      <c r="B1085" t="n">
        <v>-0.043</v>
      </c>
      <c r="C1085" t="n">
        <v>1.001</v>
      </c>
      <c r="D1085" t="n">
        <v>0.1</v>
      </c>
    </row>
    <row r="1086">
      <c r="A1086" t="n">
        <v>5.226</v>
      </c>
      <c r="B1086" t="n">
        <v>-0.033</v>
      </c>
      <c r="C1086" t="n">
        <v>1.005</v>
      </c>
      <c r="D1086" t="n">
        <v>0.1</v>
      </c>
    </row>
    <row r="1087">
      <c r="A1087" t="n">
        <v>5.227</v>
      </c>
      <c r="B1087" t="n">
        <v>-0.023</v>
      </c>
      <c r="C1087" t="n">
        <v>1.007</v>
      </c>
      <c r="D1087" t="n">
        <v>0.093</v>
      </c>
    </row>
    <row r="1088">
      <c r="A1088" t="n">
        <v>5.227</v>
      </c>
      <c r="B1088" t="n">
        <v>-0.02</v>
      </c>
      <c r="C1088" t="n">
        <v>1.006</v>
      </c>
      <c r="D1088" t="n">
        <v>0.09</v>
      </c>
    </row>
    <row r="1089">
      <c r="A1089" t="n">
        <v>5.233</v>
      </c>
      <c r="B1089" t="n">
        <v>-0.022</v>
      </c>
      <c r="C1089" t="n">
        <v>1.005</v>
      </c>
      <c r="D1089" t="n">
        <v>0.092</v>
      </c>
    </row>
    <row r="1090">
      <c r="A1090" t="n">
        <v>5.237</v>
      </c>
      <c r="B1090" t="n">
        <v>-0.025</v>
      </c>
      <c r="C1090" t="n">
        <v>1.001</v>
      </c>
      <c r="D1090" t="n">
        <v>0.095</v>
      </c>
    </row>
    <row r="1091">
      <c r="A1091" t="n">
        <v>5.243</v>
      </c>
      <c r="B1091" t="n">
        <v>-0.027</v>
      </c>
      <c r="C1091" t="n">
        <v>0.994</v>
      </c>
      <c r="D1091" t="n">
        <v>0.102</v>
      </c>
    </row>
    <row r="1092">
      <c r="A1092" t="n">
        <v>5.247</v>
      </c>
      <c r="B1092" t="n">
        <v>-0.025</v>
      </c>
      <c r="C1092" t="n">
        <v>0.994</v>
      </c>
      <c r="D1092" t="n">
        <v>0.113</v>
      </c>
    </row>
    <row r="1093">
      <c r="A1093" t="n">
        <v>5.255</v>
      </c>
      <c r="B1093" t="n">
        <v>-0.028</v>
      </c>
      <c r="C1093" t="n">
        <v>0.991</v>
      </c>
      <c r="D1093" t="n">
        <v>0.121</v>
      </c>
    </row>
    <row r="1094">
      <c r="A1094" t="n">
        <v>5.258</v>
      </c>
      <c r="B1094" t="n">
        <v>-0.036</v>
      </c>
      <c r="C1094" t="n">
        <v>0.986</v>
      </c>
      <c r="D1094" t="n">
        <v>0.126</v>
      </c>
    </row>
    <row r="1095">
      <c r="A1095" t="n">
        <v>5.263</v>
      </c>
      <c r="B1095" t="n">
        <v>-0.041</v>
      </c>
      <c r="C1095" t="n">
        <v>0.983</v>
      </c>
      <c r="D1095" t="n">
        <v>0.125</v>
      </c>
    </row>
    <row r="1096">
      <c r="A1096" t="n">
        <v>5.29</v>
      </c>
      <c r="B1096" t="n">
        <v>-0.045</v>
      </c>
      <c r="C1096" t="n">
        <v>0.983</v>
      </c>
      <c r="D1096" t="n">
        <v>0.123</v>
      </c>
    </row>
    <row r="1097">
      <c r="A1097" t="n">
        <v>5.291</v>
      </c>
      <c r="B1097" t="n">
        <v>-0.045</v>
      </c>
      <c r="C1097" t="n">
        <v>0.983</v>
      </c>
      <c r="D1097" t="n">
        <v>0.123</v>
      </c>
    </row>
    <row r="1098">
      <c r="A1098" t="n">
        <v>5.292</v>
      </c>
      <c r="B1098" t="n">
        <v>-0.046</v>
      </c>
      <c r="C1098" t="n">
        <v>0.985</v>
      </c>
      <c r="D1098" t="n">
        <v>0.123</v>
      </c>
    </row>
    <row r="1099">
      <c r="A1099" t="n">
        <v>5.293</v>
      </c>
      <c r="B1099" t="n">
        <v>-0.044</v>
      </c>
      <c r="C1099" t="n">
        <v>0.983</v>
      </c>
      <c r="D1099" t="n">
        <v>0.126</v>
      </c>
    </row>
    <row r="1100">
      <c r="A1100" t="n">
        <v>5.294</v>
      </c>
      <c r="B1100" t="n">
        <v>-0.043</v>
      </c>
      <c r="C1100" t="n">
        <v>0.984</v>
      </c>
      <c r="D1100" t="n">
        <v>0.127</v>
      </c>
    </row>
    <row r="1101">
      <c r="A1101" t="n">
        <v>5.295</v>
      </c>
      <c r="B1101" t="n">
        <v>-0.042</v>
      </c>
      <c r="C1101" t="n">
        <v>0.982</v>
      </c>
      <c r="D1101" t="n">
        <v>0.123</v>
      </c>
    </row>
    <row r="1102">
      <c r="A1102" t="n">
        <v>5.304</v>
      </c>
      <c r="B1102" t="n">
        <v>-0.045</v>
      </c>
      <c r="C1102" t="n">
        <v>0.985</v>
      </c>
      <c r="D1102" t="n">
        <v>0.122</v>
      </c>
    </row>
    <row r="1103">
      <c r="A1103" t="n">
        <v>5.304</v>
      </c>
      <c r="B1103" t="n">
        <v>-0.043</v>
      </c>
      <c r="C1103" t="n">
        <v>0.988</v>
      </c>
      <c r="D1103" t="n">
        <v>0.116</v>
      </c>
    </row>
    <row r="1104">
      <c r="A1104" t="n">
        <v>5.304</v>
      </c>
      <c r="B1104" t="n">
        <v>-0.039</v>
      </c>
      <c r="C1104" t="n">
        <v>0.99</v>
      </c>
      <c r="D1104" t="n">
        <v>0.12</v>
      </c>
    </row>
    <row r="1105">
      <c r="A1105" t="n">
        <v>5.31</v>
      </c>
      <c r="B1105" t="n">
        <v>-0.034</v>
      </c>
      <c r="C1105" t="n">
        <v>0.99</v>
      </c>
      <c r="D1105" t="n">
        <v>0.122</v>
      </c>
    </row>
    <row r="1106">
      <c r="A1106" t="n">
        <v>5.316</v>
      </c>
      <c r="B1106" t="n">
        <v>-0.03</v>
      </c>
      <c r="C1106" t="n">
        <v>0.989</v>
      </c>
      <c r="D1106" t="n">
        <v>0.128</v>
      </c>
    </row>
    <row r="1107">
      <c r="A1107" t="n">
        <v>5.321</v>
      </c>
      <c r="B1107" t="n">
        <v>-0.03</v>
      </c>
      <c r="C1107" t="n">
        <v>0.99</v>
      </c>
      <c r="D1107" t="n">
        <v>0.126</v>
      </c>
    </row>
    <row r="1108">
      <c r="A1108" t="n">
        <v>5.322</v>
      </c>
      <c r="B1108" t="n">
        <v>-0.029</v>
      </c>
      <c r="C1108" t="n">
        <v>0.992</v>
      </c>
      <c r="D1108" t="n">
        <v>0.127</v>
      </c>
    </row>
    <row r="1109">
      <c r="A1109" t="n">
        <v>5.327</v>
      </c>
      <c r="B1109" t="n">
        <v>-0.029</v>
      </c>
      <c r="C1109" t="n">
        <v>0.992</v>
      </c>
      <c r="D1109" t="n">
        <v>0.125</v>
      </c>
    </row>
    <row r="1110">
      <c r="A1110" t="n">
        <v>5.334</v>
      </c>
      <c r="B1110" t="n">
        <v>-0.03</v>
      </c>
      <c r="C1110" t="n">
        <v>0.99</v>
      </c>
      <c r="D1110" t="n">
        <v>0.122</v>
      </c>
    </row>
    <row r="1111">
      <c r="A1111" t="n">
        <v>5.337</v>
      </c>
      <c r="B1111" t="n">
        <v>-0.03</v>
      </c>
      <c r="C1111" t="n">
        <v>0.991</v>
      </c>
      <c r="D1111" t="n">
        <v>0.12</v>
      </c>
    </row>
    <row r="1112">
      <c r="A1112" t="n">
        <v>5.343</v>
      </c>
      <c r="B1112" t="n">
        <v>-0.032</v>
      </c>
      <c r="C1112" t="n">
        <v>0.994</v>
      </c>
      <c r="D1112" t="n">
        <v>0.116</v>
      </c>
    </row>
    <row r="1113">
      <c r="A1113" t="n">
        <v>5.347</v>
      </c>
      <c r="B1113" t="n">
        <v>-0.036</v>
      </c>
      <c r="C1113" t="n">
        <v>0.998</v>
      </c>
      <c r="D1113" t="n">
        <v>0.112</v>
      </c>
    </row>
    <row r="1114">
      <c r="A1114" t="n">
        <v>5.353</v>
      </c>
      <c r="B1114" t="n">
        <v>-0.037</v>
      </c>
      <c r="C1114" t="n">
        <v>0.998</v>
      </c>
      <c r="D1114" t="n">
        <v>0.111</v>
      </c>
    </row>
    <row r="1115">
      <c r="A1115" t="n">
        <v>5.358</v>
      </c>
      <c r="B1115" t="n">
        <v>-0.042</v>
      </c>
      <c r="C1115" t="n">
        <v>1</v>
      </c>
      <c r="D1115" t="n">
        <v>0.104</v>
      </c>
    </row>
    <row r="1116">
      <c r="A1116" t="n">
        <v>5.363</v>
      </c>
      <c r="B1116" t="n">
        <v>-0.048</v>
      </c>
      <c r="C1116" t="n">
        <v>1.003</v>
      </c>
      <c r="D1116" t="n">
        <v>0.102</v>
      </c>
    </row>
    <row r="1117">
      <c r="A1117" t="n">
        <v>5.373</v>
      </c>
      <c r="B1117" t="n">
        <v>-0.052</v>
      </c>
      <c r="C1117" t="n">
        <v>1.003</v>
      </c>
      <c r="D1117" t="n">
        <v>0.098</v>
      </c>
    </row>
    <row r="1118">
      <c r="A1118" t="n">
        <v>5.374</v>
      </c>
      <c r="B1118" t="n">
        <v>-0.051</v>
      </c>
      <c r="C1118" t="n">
        <v>1.002</v>
      </c>
      <c r="D1118" t="n">
        <v>0.097</v>
      </c>
    </row>
    <row r="1119">
      <c r="A1119" t="n">
        <v>5.379</v>
      </c>
      <c r="B1119" t="n">
        <v>-0.051</v>
      </c>
      <c r="C1119" t="n">
        <v>1.001</v>
      </c>
      <c r="D1119" t="n">
        <v>0.098</v>
      </c>
    </row>
    <row r="1120">
      <c r="A1120" t="n">
        <v>5.432</v>
      </c>
      <c r="B1120" t="n">
        <v>-0.053</v>
      </c>
      <c r="C1120" t="n">
        <v>0.994</v>
      </c>
      <c r="D1120" t="n">
        <v>0.111</v>
      </c>
    </row>
    <row r="1121">
      <c r="A1121" t="n">
        <v>5.433</v>
      </c>
      <c r="B1121" t="n">
        <v>-0.053</v>
      </c>
      <c r="C1121" t="n">
        <v>0.994</v>
      </c>
      <c r="D1121" t="n">
        <v>0.111</v>
      </c>
    </row>
    <row r="1122">
      <c r="A1122" t="n">
        <v>5.433</v>
      </c>
      <c r="B1122" t="n">
        <v>-0.055</v>
      </c>
      <c r="C1122" t="n">
        <v>0.982</v>
      </c>
      <c r="D1122" t="n">
        <v>0.134</v>
      </c>
    </row>
    <row r="1123">
      <c r="A1123" t="n">
        <v>5.433</v>
      </c>
      <c r="B1123" t="n">
        <v>-0.051</v>
      </c>
      <c r="C1123" t="n">
        <v>0.976</v>
      </c>
      <c r="D1123" t="n">
        <v>0.151</v>
      </c>
    </row>
    <row r="1124">
      <c r="A1124" t="n">
        <v>5.434</v>
      </c>
      <c r="B1124" t="n">
        <v>-0.051</v>
      </c>
      <c r="C1124" t="n">
        <v>0.966</v>
      </c>
      <c r="D1124" t="n">
        <v>0.148</v>
      </c>
    </row>
    <row r="1125">
      <c r="A1125" t="n">
        <v>5.434</v>
      </c>
      <c r="B1125" t="n">
        <v>-0.056</v>
      </c>
      <c r="C1125" t="n">
        <v>0.962</v>
      </c>
      <c r="D1125" t="n">
        <v>0.133</v>
      </c>
    </row>
    <row r="1126">
      <c r="A1126" t="n">
        <v>5.434</v>
      </c>
      <c r="B1126" t="n">
        <v>-0.055</v>
      </c>
      <c r="C1126" t="n">
        <v>0.963</v>
      </c>
      <c r="D1126" t="n">
        <v>0.119</v>
      </c>
    </row>
    <row r="1127">
      <c r="A1127" t="n">
        <v>5.435</v>
      </c>
      <c r="B1127" t="n">
        <v>-0.052</v>
      </c>
      <c r="C1127" t="n">
        <v>0.967</v>
      </c>
      <c r="D1127" t="n">
        <v>0.124</v>
      </c>
    </row>
    <row r="1128">
      <c r="A1128" t="n">
        <v>5.435</v>
      </c>
      <c r="B1128" t="n">
        <v>-0.051</v>
      </c>
      <c r="C1128" t="n">
        <v>0.972</v>
      </c>
      <c r="D1128" t="n">
        <v>0.121</v>
      </c>
    </row>
    <row r="1129">
      <c r="A1129" t="n">
        <v>5.435</v>
      </c>
      <c r="B1129" t="n">
        <v>-0.049</v>
      </c>
      <c r="C1129" t="n">
        <v>0.978</v>
      </c>
      <c r="D1129" t="n">
        <v>0.117</v>
      </c>
    </row>
    <row r="1130">
      <c r="A1130" t="n">
        <v>5.435</v>
      </c>
      <c r="B1130" t="n">
        <v>-0.052</v>
      </c>
      <c r="C1130" t="n">
        <v>0.979</v>
      </c>
      <c r="D1130" t="n">
        <v>0.115</v>
      </c>
    </row>
    <row r="1131">
      <c r="A1131" t="n">
        <v>5.438</v>
      </c>
      <c r="B1131" t="n">
        <v>-0.059</v>
      </c>
      <c r="C1131" t="n">
        <v>0.978</v>
      </c>
      <c r="D1131" t="n">
        <v>0.113</v>
      </c>
    </row>
    <row r="1132">
      <c r="A1132" t="n">
        <v>5.443</v>
      </c>
      <c r="B1132" t="n">
        <v>-0.062</v>
      </c>
      <c r="C1132" t="n">
        <v>0.97</v>
      </c>
      <c r="D1132" t="n">
        <v>0.112</v>
      </c>
    </row>
    <row r="1133">
      <c r="A1133" t="n">
        <v>5.447</v>
      </c>
      <c r="B1133" t="n">
        <v>-0.057</v>
      </c>
      <c r="C1133" t="n">
        <v>0.964</v>
      </c>
      <c r="D1133" t="n">
        <v>0.119</v>
      </c>
    </row>
    <row r="1134">
      <c r="A1134" t="n">
        <v>5.457</v>
      </c>
      <c r="B1134" t="n">
        <v>-0.05</v>
      </c>
      <c r="C1134" t="n">
        <v>0.961</v>
      </c>
      <c r="D1134" t="n">
        <v>0.129</v>
      </c>
    </row>
    <row r="1135">
      <c r="A1135" t="n">
        <v>5.458</v>
      </c>
      <c r="B1135" t="n">
        <v>-0.05</v>
      </c>
      <c r="C1135" t="n">
        <v>0.961</v>
      </c>
      <c r="D1135" t="n">
        <v>0.129</v>
      </c>
    </row>
    <row r="1136">
      <c r="A1136" t="n">
        <v>5.463</v>
      </c>
      <c r="B1136" t="n">
        <v>-0.04</v>
      </c>
      <c r="C1136" t="n">
        <v>0.961</v>
      </c>
      <c r="D1136" t="n">
        <v>0.15</v>
      </c>
    </row>
    <row r="1137">
      <c r="A1137" t="n">
        <v>5.477</v>
      </c>
      <c r="B1137" t="n">
        <v>-0.04</v>
      </c>
      <c r="C1137" t="n">
        <v>0.961</v>
      </c>
      <c r="D1137" t="n">
        <v>0.152</v>
      </c>
    </row>
    <row r="1138">
      <c r="A1138" t="n">
        <v>5.478</v>
      </c>
      <c r="B1138" t="n">
        <v>-0.037</v>
      </c>
      <c r="C1138" t="n">
        <v>0.959</v>
      </c>
      <c r="D1138" t="n">
        <v>0.153</v>
      </c>
    </row>
    <row r="1139">
      <c r="A1139" t="n">
        <v>5.479</v>
      </c>
      <c r="B1139" t="n">
        <v>-0.038</v>
      </c>
      <c r="C1139" t="n">
        <v>0.955</v>
      </c>
      <c r="D1139" t="n">
        <v>0.153</v>
      </c>
    </row>
    <row r="1140">
      <c r="A1140" t="n">
        <v>5.514</v>
      </c>
      <c r="B1140" t="n">
        <v>-0.041</v>
      </c>
      <c r="C1140" t="n">
        <v>0.949</v>
      </c>
      <c r="D1140" t="n">
        <v>0.156</v>
      </c>
    </row>
    <row r="1141">
      <c r="A1141" t="n">
        <v>5.516</v>
      </c>
      <c r="B1141" t="n">
        <v>-0.041</v>
      </c>
      <c r="C1141" t="n">
        <v>0.949</v>
      </c>
      <c r="D1141" t="n">
        <v>0.156</v>
      </c>
    </row>
    <row r="1142">
      <c r="A1142" t="n">
        <v>5.517</v>
      </c>
      <c r="B1142" t="n">
        <v>-0.045</v>
      </c>
      <c r="C1142" t="n">
        <v>0.9389999999999999</v>
      </c>
      <c r="D1142" t="n">
        <v>0.167</v>
      </c>
    </row>
    <row r="1143">
      <c r="A1143" t="n">
        <v>5.518</v>
      </c>
      <c r="B1143" t="n">
        <v>-0.047</v>
      </c>
      <c r="C1143" t="n">
        <v>0.9389999999999999</v>
      </c>
      <c r="D1143" t="n">
        <v>0.167</v>
      </c>
    </row>
    <row r="1144">
      <c r="A1144" t="n">
        <v>5.519</v>
      </c>
      <c r="B1144" t="n">
        <v>-0.052</v>
      </c>
      <c r="C1144" t="n">
        <v>0.9370000000000001</v>
      </c>
      <c r="D1144" t="n">
        <v>0.169</v>
      </c>
    </row>
    <row r="1145">
      <c r="A1145" t="n">
        <v>5.52</v>
      </c>
      <c r="B1145" t="n">
        <v>-0.057</v>
      </c>
      <c r="C1145" t="n">
        <v>0.9340000000000001</v>
      </c>
      <c r="D1145" t="n">
        <v>0.167</v>
      </c>
    </row>
    <row r="1146">
      <c r="A1146" t="n">
        <v>5.52</v>
      </c>
      <c r="B1146" t="n">
        <v>-0.061</v>
      </c>
      <c r="C1146" t="n">
        <v>0.931</v>
      </c>
      <c r="D1146" t="n">
        <v>0.158</v>
      </c>
    </row>
    <row r="1147">
      <c r="A1147" t="n">
        <v>5.521</v>
      </c>
      <c r="B1147" t="n">
        <v>-0.066</v>
      </c>
      <c r="C1147" t="n">
        <v>0.9330000000000001</v>
      </c>
      <c r="D1147" t="n">
        <v>0.153</v>
      </c>
    </row>
    <row r="1148">
      <c r="A1148" t="n">
        <v>5.528</v>
      </c>
      <c r="B1148" t="n">
        <v>-0.06900000000000001</v>
      </c>
      <c r="C1148" t="n">
        <v>0.93</v>
      </c>
      <c r="D1148" t="n">
        <v>0.145</v>
      </c>
    </row>
    <row r="1149">
      <c r="A1149" t="n">
        <v>5.529</v>
      </c>
      <c r="B1149" t="n">
        <v>-0.067</v>
      </c>
      <c r="C1149" t="n">
        <v>0.93</v>
      </c>
      <c r="D1149" t="n">
        <v>0.139</v>
      </c>
    </row>
    <row r="1150">
      <c r="A1150" t="n">
        <v>5.537</v>
      </c>
      <c r="B1150" t="n">
        <v>-0.064</v>
      </c>
      <c r="C1150" t="n">
        <v>0.926</v>
      </c>
      <c r="D1150" t="n">
        <v>0.139</v>
      </c>
    </row>
    <row r="1151">
      <c r="A1151" t="n">
        <v>5.538</v>
      </c>
      <c r="B1151" t="n">
        <v>-0.064</v>
      </c>
      <c r="C1151" t="n">
        <v>0.926</v>
      </c>
      <c r="D1151" t="n">
        <v>0.139</v>
      </c>
    </row>
    <row r="1152">
      <c r="A1152" t="n">
        <v>5.543</v>
      </c>
      <c r="B1152" t="n">
        <v>-0.055</v>
      </c>
      <c r="C1152" t="n">
        <v>0.91</v>
      </c>
      <c r="D1152" t="n">
        <v>0.148</v>
      </c>
    </row>
    <row r="1153">
      <c r="A1153" t="n">
        <v>5.547</v>
      </c>
      <c r="B1153" t="n">
        <v>-0.054</v>
      </c>
      <c r="C1153" t="n">
        <v>0.905</v>
      </c>
      <c r="D1153" t="n">
        <v>0.16</v>
      </c>
    </row>
    <row r="1154">
      <c r="A1154" t="n">
        <v>5.559</v>
      </c>
      <c r="B1154" t="n">
        <v>-0.054</v>
      </c>
      <c r="C1154" t="n">
        <v>0.899</v>
      </c>
      <c r="D1154" t="n">
        <v>0.166</v>
      </c>
    </row>
    <row r="1155">
      <c r="A1155" t="n">
        <v>5.559</v>
      </c>
      <c r="B1155" t="n">
        <v>-0.057</v>
      </c>
      <c r="C1155" t="n">
        <v>0.893</v>
      </c>
      <c r="D1155" t="n">
        <v>0.176</v>
      </c>
    </row>
    <row r="1156">
      <c r="A1156" t="n">
        <v>5.563</v>
      </c>
      <c r="B1156" t="n">
        <v>-0.057</v>
      </c>
      <c r="C1156" t="n">
        <v>0.886</v>
      </c>
      <c r="D1156" t="n">
        <v>0.18</v>
      </c>
    </row>
    <row r="1157">
      <c r="A1157" t="n">
        <v>5.593</v>
      </c>
      <c r="B1157" t="n">
        <v>-0.057</v>
      </c>
      <c r="C1157" t="n">
        <v>0.88</v>
      </c>
      <c r="D1157" t="n">
        <v>0.187</v>
      </c>
    </row>
    <row r="1158">
      <c r="A1158" t="n">
        <v>5.593</v>
      </c>
      <c r="B1158" t="n">
        <v>-0.052</v>
      </c>
      <c r="C1158" t="n">
        <v>0.875</v>
      </c>
      <c r="D1158" t="n">
        <v>0.181</v>
      </c>
    </row>
    <row r="1159">
      <c r="A1159" t="n">
        <v>5.594</v>
      </c>
      <c r="B1159" t="n">
        <v>-0.047</v>
      </c>
      <c r="C1159" t="n">
        <v>0.872</v>
      </c>
      <c r="D1159" t="n">
        <v>0.167</v>
      </c>
    </row>
    <row r="1160">
      <c r="A1160" t="n">
        <v>5.594</v>
      </c>
      <c r="B1160" t="n">
        <v>-0.045</v>
      </c>
      <c r="C1160" t="n">
        <v>0.869</v>
      </c>
      <c r="D1160" t="n">
        <v>0.155</v>
      </c>
    </row>
    <row r="1161">
      <c r="A1161" t="n">
        <v>5.594</v>
      </c>
      <c r="B1161" t="n">
        <v>-0.045</v>
      </c>
      <c r="C1161" t="n">
        <v>0.866</v>
      </c>
      <c r="D1161" t="n">
        <v>0.14</v>
      </c>
    </row>
    <row r="1162">
      <c r="A1162" t="n">
        <v>5.595</v>
      </c>
      <c r="B1162" t="n">
        <v>-0.048</v>
      </c>
      <c r="C1162" t="n">
        <v>0.861</v>
      </c>
      <c r="D1162" t="n">
        <v>0.131</v>
      </c>
    </row>
    <row r="1163">
      <c r="A1163" t="n">
        <v>5.597</v>
      </c>
      <c r="B1163" t="n">
        <v>-0.048</v>
      </c>
      <c r="C1163" t="n">
        <v>0.86</v>
      </c>
      <c r="D1163" t="n">
        <v>0.12</v>
      </c>
    </row>
    <row r="1164">
      <c r="A1164" t="n">
        <v>5.603</v>
      </c>
      <c r="B1164" t="n">
        <v>-0.041</v>
      </c>
      <c r="C1164" t="n">
        <v>0.86</v>
      </c>
      <c r="D1164" t="n">
        <v>0.112</v>
      </c>
    </row>
    <row r="1165">
      <c r="A1165" t="n">
        <v>5.607</v>
      </c>
      <c r="B1165" t="n">
        <v>-0.036</v>
      </c>
      <c r="C1165" t="n">
        <v>0.86</v>
      </c>
      <c r="D1165" t="n">
        <v>0.105</v>
      </c>
    </row>
    <row r="1166">
      <c r="A1166" t="n">
        <v>5.613</v>
      </c>
      <c r="B1166" t="n">
        <v>-0.031</v>
      </c>
      <c r="C1166" t="n">
        <v>0.857</v>
      </c>
      <c r="D1166" t="n">
        <v>0.095</v>
      </c>
    </row>
    <row r="1167">
      <c r="A1167" t="n">
        <v>5.618</v>
      </c>
      <c r="B1167" t="n">
        <v>-0.019</v>
      </c>
      <c r="C1167" t="n">
        <v>0.852</v>
      </c>
      <c r="D1167" t="n">
        <v>0.099</v>
      </c>
    </row>
    <row r="1168">
      <c r="A1168" t="n">
        <v>5.623</v>
      </c>
      <c r="B1168" t="n">
        <v>-0.023</v>
      </c>
      <c r="C1168" t="n">
        <v>0.832</v>
      </c>
      <c r="D1168" t="n">
        <v>0.102</v>
      </c>
    </row>
    <row r="1169">
      <c r="A1169" t="n">
        <v>5.627</v>
      </c>
      <c r="B1169" t="n">
        <v>-0.033</v>
      </c>
      <c r="C1169" t="n">
        <v>0.8149999999999999</v>
      </c>
      <c r="D1169" t="n">
        <v>0.09</v>
      </c>
    </row>
    <row r="1170">
      <c r="A1170" t="n">
        <v>5.64</v>
      </c>
      <c r="B1170" t="n">
        <v>-0.031</v>
      </c>
      <c r="C1170" t="n">
        <v>0.798</v>
      </c>
      <c r="D1170" t="n">
        <v>0.08500000000000001</v>
      </c>
    </row>
    <row r="1171">
      <c r="A1171" t="n">
        <v>5.642</v>
      </c>
      <c r="B1171" t="n">
        <v>-0.031</v>
      </c>
      <c r="C1171" t="n">
        <v>0.798</v>
      </c>
      <c r="D1171" t="n">
        <v>0.08500000000000001</v>
      </c>
    </row>
    <row r="1172">
      <c r="A1172" t="n">
        <v>5.643</v>
      </c>
      <c r="B1172" t="n">
        <v>-0.021</v>
      </c>
      <c r="C1172" t="n">
        <v>0.785</v>
      </c>
      <c r="D1172" t="n">
        <v>0.089</v>
      </c>
    </row>
    <row r="1173">
      <c r="A1173" t="n">
        <v>5.644</v>
      </c>
      <c r="B1173" t="n">
        <v>-0.008</v>
      </c>
      <c r="C1173" t="n">
        <v>0.77</v>
      </c>
      <c r="D1173" t="n">
        <v>0.098</v>
      </c>
    </row>
    <row r="1174">
      <c r="A1174" t="n">
        <v>5.648</v>
      </c>
      <c r="B1174" t="n">
        <v>0.005</v>
      </c>
      <c r="C1174" t="n">
        <v>0.754</v>
      </c>
      <c r="D1174" t="n">
        <v>0.097</v>
      </c>
    </row>
    <row r="1175">
      <c r="A1175" t="n">
        <v>5.657</v>
      </c>
      <c r="B1175" t="n">
        <v>0.023</v>
      </c>
      <c r="C1175" t="n">
        <v>0.741</v>
      </c>
      <c r="D1175" t="n">
        <v>0.089</v>
      </c>
    </row>
    <row r="1176">
      <c r="A1176" t="n">
        <v>5.659</v>
      </c>
      <c r="B1176" t="n">
        <v>0.023</v>
      </c>
      <c r="C1176" t="n">
        <v>0.741</v>
      </c>
      <c r="D1176" t="n">
        <v>0.089</v>
      </c>
    </row>
    <row r="1177">
      <c r="A1177" t="n">
        <v>5.664</v>
      </c>
      <c r="B1177" t="n">
        <v>0.057</v>
      </c>
      <c r="C1177" t="n">
        <v>0.715</v>
      </c>
      <c r="D1177" t="n">
        <v>0.061</v>
      </c>
    </row>
    <row r="1178">
      <c r="A1178" t="n">
        <v>5.68</v>
      </c>
      <c r="B1178" t="n">
        <v>0.07199999999999999</v>
      </c>
      <c r="C1178" t="n">
        <v>0.708</v>
      </c>
      <c r="D1178" t="n">
        <v>0.04</v>
      </c>
    </row>
    <row r="1179">
      <c r="A1179" t="n">
        <v>5.681</v>
      </c>
      <c r="B1179" t="n">
        <v>0.07199999999999999</v>
      </c>
      <c r="C1179" t="n">
        <v>0.708</v>
      </c>
      <c r="D1179" t="n">
        <v>0.04</v>
      </c>
    </row>
    <row r="1180">
      <c r="A1180" t="n">
        <v>5.681</v>
      </c>
      <c r="B1180" t="n">
        <v>0.095</v>
      </c>
      <c r="C1180" t="n">
        <v>0.6850000000000001</v>
      </c>
      <c r="D1180" t="n">
        <v>-0.002</v>
      </c>
    </row>
    <row r="1181">
      <c r="A1181" t="n">
        <v>5.688</v>
      </c>
      <c r="B1181" t="n">
        <v>0.096</v>
      </c>
      <c r="C1181" t="n">
        <v>0.668</v>
      </c>
      <c r="D1181" t="n">
        <v>-0.027</v>
      </c>
    </row>
    <row r="1182">
      <c r="A1182" t="n">
        <v>5.69</v>
      </c>
      <c r="B1182" t="n">
        <v>0.096</v>
      </c>
      <c r="C1182" t="n">
        <v>0.668</v>
      </c>
      <c r="D1182" t="n">
        <v>-0.027</v>
      </c>
    </row>
    <row r="1183">
      <c r="A1183" t="n">
        <v>5.719</v>
      </c>
      <c r="B1183" t="n">
        <v>0.078</v>
      </c>
      <c r="C1183" t="n">
        <v>0.616</v>
      </c>
      <c r="D1183" t="n">
        <v>-0.075</v>
      </c>
    </row>
    <row r="1184">
      <c r="A1184" t="n">
        <v>5.719</v>
      </c>
      <c r="B1184" t="n">
        <v>0.081</v>
      </c>
      <c r="C1184" t="n">
        <v>0.598</v>
      </c>
      <c r="D1184" t="n">
        <v>-0.08699999999999999</v>
      </c>
    </row>
    <row r="1185">
      <c r="A1185" t="n">
        <v>5.72</v>
      </c>
      <c r="B1185" t="n">
        <v>0.094</v>
      </c>
      <c r="C1185" t="n">
        <v>0.595</v>
      </c>
      <c r="D1185" t="n">
        <v>-0.107</v>
      </c>
    </row>
    <row r="1186">
      <c r="A1186" t="n">
        <v>5.72</v>
      </c>
      <c r="B1186" t="n">
        <v>0.105</v>
      </c>
      <c r="C1186" t="n">
        <v>0.593</v>
      </c>
      <c r="D1186" t="n">
        <v>-0.128</v>
      </c>
    </row>
    <row r="1187">
      <c r="A1187" t="n">
        <v>5.72</v>
      </c>
      <c r="B1187" t="n">
        <v>0.105</v>
      </c>
      <c r="C1187" t="n">
        <v>0.584</v>
      </c>
      <c r="D1187" t="n">
        <v>-0.159</v>
      </c>
    </row>
    <row r="1188">
      <c r="A1188" t="n">
        <v>5.72</v>
      </c>
      <c r="B1188" t="n">
        <v>0.094</v>
      </c>
      <c r="C1188" t="n">
        <v>0.5659999999999999</v>
      </c>
      <c r="D1188" t="n">
        <v>-0.192</v>
      </c>
    </row>
    <row r="1189">
      <c r="A1189" t="n">
        <v>5.723</v>
      </c>
      <c r="B1189" t="n">
        <v>0.07199999999999999</v>
      </c>
      <c r="C1189" t="n">
        <v>0.535</v>
      </c>
      <c r="D1189" t="n">
        <v>-0.227</v>
      </c>
    </row>
    <row r="1190">
      <c r="A1190" t="n">
        <v>5.727</v>
      </c>
      <c r="B1190" t="n">
        <v>0.041</v>
      </c>
      <c r="C1190" t="n">
        <v>0.496</v>
      </c>
      <c r="D1190" t="n">
        <v>-0.247</v>
      </c>
    </row>
    <row r="1191">
      <c r="A1191" t="n">
        <v>5.733</v>
      </c>
      <c r="B1191" t="n">
        <v>0.013</v>
      </c>
      <c r="C1191" t="n">
        <v>0.459</v>
      </c>
      <c r="D1191" t="n">
        <v>-0.249</v>
      </c>
    </row>
    <row r="1192">
      <c r="A1192" t="n">
        <v>5.738</v>
      </c>
      <c r="B1192" t="n">
        <v>-0.005</v>
      </c>
      <c r="C1192" t="n">
        <v>0.425</v>
      </c>
      <c r="D1192" t="n">
        <v>-0.236</v>
      </c>
    </row>
    <row r="1193">
      <c r="A1193" t="n">
        <v>5.743</v>
      </c>
      <c r="B1193" t="n">
        <v>-0.006</v>
      </c>
      <c r="C1193" t="n">
        <v>0.408</v>
      </c>
      <c r="D1193" t="n">
        <v>-0.213</v>
      </c>
    </row>
    <row r="1194">
      <c r="A1194" t="n">
        <v>5.747</v>
      </c>
      <c r="B1194" t="n">
        <v>0.003</v>
      </c>
      <c r="C1194" t="n">
        <v>0.398</v>
      </c>
      <c r="D1194" t="n">
        <v>-0.188</v>
      </c>
    </row>
    <row r="1195">
      <c r="A1195" t="n">
        <v>5.756</v>
      </c>
      <c r="B1195" t="n">
        <v>0.001</v>
      </c>
      <c r="C1195" t="n">
        <v>0.388</v>
      </c>
      <c r="D1195" t="n">
        <v>-0.173</v>
      </c>
    </row>
    <row r="1196">
      <c r="A1196" t="n">
        <v>5.76</v>
      </c>
      <c r="B1196" t="n">
        <v>-0.01</v>
      </c>
      <c r="C1196" t="n">
        <v>0.373</v>
      </c>
      <c r="D1196" t="n">
        <v>-0.162</v>
      </c>
    </row>
    <row r="1197">
      <c r="A1197" t="n">
        <v>5.761</v>
      </c>
      <c r="B1197" t="n">
        <v>-0.01</v>
      </c>
      <c r="C1197" t="n">
        <v>0.373</v>
      </c>
      <c r="D1197" t="n">
        <v>-0.162</v>
      </c>
    </row>
    <row r="1198">
      <c r="A1198" t="n">
        <v>5.792</v>
      </c>
      <c r="B1198" t="n">
        <v>-0.03</v>
      </c>
      <c r="C1198" t="n">
        <v>0.334</v>
      </c>
      <c r="D1198" t="n">
        <v>-0.149</v>
      </c>
    </row>
    <row r="1199">
      <c r="A1199" t="n">
        <v>5.793</v>
      </c>
      <c r="B1199" t="n">
        <v>-0.041</v>
      </c>
      <c r="C1199" t="n">
        <v>0.307</v>
      </c>
      <c r="D1199" t="n">
        <v>-0.126</v>
      </c>
    </row>
    <row r="1200">
      <c r="A1200" t="n">
        <v>5.794</v>
      </c>
      <c r="B1200" t="n">
        <v>-0.034</v>
      </c>
      <c r="C1200" t="n">
        <v>0.286</v>
      </c>
      <c r="D1200" t="n">
        <v>-0.106</v>
      </c>
    </row>
    <row r="1201">
      <c r="A1201" t="n">
        <v>5.795</v>
      </c>
      <c r="B1201" t="n">
        <v>-0.027</v>
      </c>
      <c r="C1201" t="n">
        <v>0.265</v>
      </c>
      <c r="D1201" t="n">
        <v>-0.065</v>
      </c>
    </row>
    <row r="1202">
      <c r="A1202" t="n">
        <v>5.809</v>
      </c>
      <c r="B1202" t="n">
        <v>-0.018</v>
      </c>
      <c r="C1202" t="n">
        <v>0.244</v>
      </c>
      <c r="D1202" t="n">
        <v>-0.024</v>
      </c>
    </row>
    <row r="1203">
      <c r="A1203" t="n">
        <v>5.81</v>
      </c>
      <c r="B1203" t="n">
        <v>0.005</v>
      </c>
      <c r="C1203" t="n">
        <v>0.235</v>
      </c>
      <c r="D1203" t="n">
        <v>0.028</v>
      </c>
    </row>
    <row r="1204">
      <c r="A1204" t="n">
        <v>5.81</v>
      </c>
      <c r="B1204" t="n">
        <v>0.039</v>
      </c>
      <c r="C1204" t="n">
        <v>0.234</v>
      </c>
      <c r="D1204" t="n">
        <v>0.078</v>
      </c>
    </row>
    <row r="1205">
      <c r="A1205" t="n">
        <v>5.811</v>
      </c>
      <c r="B1205" t="n">
        <v>0.073</v>
      </c>
      <c r="C1205" t="n">
        <v>0.236</v>
      </c>
      <c r="D1205" t="n">
        <v>0.124</v>
      </c>
    </row>
    <row r="1206">
      <c r="A1206" t="n">
        <v>5.811</v>
      </c>
      <c r="B1206" t="n">
        <v>0.098</v>
      </c>
      <c r="C1206" t="n">
        <v>0.24</v>
      </c>
      <c r="D1206" t="n">
        <v>0.163</v>
      </c>
    </row>
    <row r="1207">
      <c r="A1207" t="n">
        <v>5.816</v>
      </c>
      <c r="B1207" t="n">
        <v>0.111</v>
      </c>
      <c r="C1207" t="n">
        <v>0.243</v>
      </c>
      <c r="D1207" t="n">
        <v>0.191</v>
      </c>
    </row>
    <row r="1208">
      <c r="A1208" t="n">
        <v>5.819</v>
      </c>
      <c r="B1208" t="n">
        <v>0.111</v>
      </c>
      <c r="C1208" t="n">
        <v>0.253</v>
      </c>
      <c r="D1208" t="n">
        <v>0.206</v>
      </c>
    </row>
    <row r="1209">
      <c r="A1209" t="n">
        <v>5.823</v>
      </c>
      <c r="B1209" t="n">
        <v>0.111</v>
      </c>
      <c r="C1209" t="n">
        <v>0.253</v>
      </c>
      <c r="D1209" t="n">
        <v>0.206</v>
      </c>
    </row>
    <row r="1210">
      <c r="A1210" t="n">
        <v>5.827</v>
      </c>
      <c r="B1210" t="n">
        <v>0.098</v>
      </c>
      <c r="C1210" t="n">
        <v>0.268</v>
      </c>
      <c r="D1210" t="n">
        <v>0.221</v>
      </c>
    </row>
    <row r="1211">
      <c r="A1211" t="n">
        <v>5.833</v>
      </c>
      <c r="B1211" t="n">
        <v>0.089</v>
      </c>
      <c r="C1211" t="n">
        <v>0.285</v>
      </c>
      <c r="D1211" t="n">
        <v>0.236</v>
      </c>
    </row>
    <row r="1212">
      <c r="A1212" t="n">
        <v>5.839</v>
      </c>
      <c r="B1212" t="n">
        <v>0.06900000000000001</v>
      </c>
      <c r="C1212" t="n">
        <v>0.298</v>
      </c>
      <c r="D1212" t="n">
        <v>0.257</v>
      </c>
    </row>
    <row r="1213">
      <c r="A1213" t="n">
        <v>5.843</v>
      </c>
      <c r="B1213" t="n">
        <v>0.044</v>
      </c>
      <c r="C1213" t="n">
        <v>0.317</v>
      </c>
      <c r="D1213" t="n">
        <v>0.28</v>
      </c>
    </row>
    <row r="1214">
      <c r="A1214" t="n">
        <v>5.847</v>
      </c>
      <c r="B1214" t="n">
        <v>0.023</v>
      </c>
      <c r="C1214" t="n">
        <v>0.351</v>
      </c>
      <c r="D1214" t="n">
        <v>0.296</v>
      </c>
    </row>
    <row r="1215">
      <c r="A1215" t="n">
        <v>5.854</v>
      </c>
      <c r="B1215" t="n">
        <v>-0.007</v>
      </c>
      <c r="C1215" t="n">
        <v>0.388</v>
      </c>
      <c r="D1215" t="n">
        <v>0.308</v>
      </c>
    </row>
    <row r="1216">
      <c r="A1216" t="n">
        <v>5.858</v>
      </c>
      <c r="B1216" t="n">
        <v>-0.046</v>
      </c>
      <c r="C1216" t="n">
        <v>0.43</v>
      </c>
      <c r="D1216" t="n">
        <v>0.321</v>
      </c>
    </row>
    <row r="1217">
      <c r="A1217" t="n">
        <v>5.863</v>
      </c>
      <c r="B1217" t="n">
        <v>-0.077</v>
      </c>
      <c r="C1217" t="n">
        <v>0.477</v>
      </c>
      <c r="D1217" t="n">
        <v>0.334</v>
      </c>
    </row>
    <row r="1218">
      <c r="A1218" t="n">
        <v>5.88</v>
      </c>
      <c r="B1218" t="n">
        <v>-0.079</v>
      </c>
      <c r="C1218" t="n">
        <v>0.534</v>
      </c>
      <c r="D1218" t="n">
        <v>0.343</v>
      </c>
    </row>
    <row r="1219">
      <c r="A1219" t="n">
        <v>5.881</v>
      </c>
      <c r="B1219" t="n">
        <v>-0.079</v>
      </c>
      <c r="C1219" t="n">
        <v>0.534</v>
      </c>
      <c r="D1219" t="n">
        <v>0.343</v>
      </c>
    </row>
    <row r="1220">
      <c r="A1220" t="n">
        <v>5.881</v>
      </c>
      <c r="B1220" t="n">
        <v>-0.048</v>
      </c>
      <c r="C1220" t="n">
        <v>0.604</v>
      </c>
      <c r="D1220" t="n">
        <v>0.352</v>
      </c>
    </row>
    <row r="1221">
      <c r="A1221" t="n">
        <v>5.881</v>
      </c>
      <c r="B1221" t="n">
        <v>-0.007</v>
      </c>
      <c r="C1221" t="n">
        <v>0.68</v>
      </c>
      <c r="D1221" t="n">
        <v>0.353</v>
      </c>
    </row>
    <row r="1222">
      <c r="A1222" t="n">
        <v>5.882</v>
      </c>
      <c r="B1222" t="n">
        <v>0.021</v>
      </c>
      <c r="C1222" t="n">
        <v>0.762</v>
      </c>
      <c r="D1222" t="n">
        <v>0.343</v>
      </c>
    </row>
    <row r="1223">
      <c r="A1223" t="n">
        <v>5.926</v>
      </c>
      <c r="B1223" t="n">
        <v>0.041</v>
      </c>
      <c r="C1223" t="n">
        <v>0.842</v>
      </c>
      <c r="D1223" t="n">
        <v>0.353</v>
      </c>
    </row>
    <row r="1224">
      <c r="A1224" t="n">
        <v>5.926</v>
      </c>
      <c r="B1224" t="n">
        <v>0.047</v>
      </c>
      <c r="C1224" t="n">
        <v>0.924</v>
      </c>
      <c r="D1224" t="n">
        <v>0.356</v>
      </c>
    </row>
    <row r="1225">
      <c r="A1225" t="n">
        <v>5.927</v>
      </c>
      <c r="B1225" t="n">
        <v>0.032</v>
      </c>
      <c r="C1225" t="n">
        <v>1.012</v>
      </c>
      <c r="D1225" t="n">
        <v>0.339</v>
      </c>
    </row>
    <row r="1226">
      <c r="A1226" t="n">
        <v>5.927</v>
      </c>
      <c r="B1226" t="n">
        <v>0.013</v>
      </c>
      <c r="C1226" t="n">
        <v>1.104</v>
      </c>
      <c r="D1226" t="n">
        <v>0.301</v>
      </c>
    </row>
    <row r="1227">
      <c r="A1227" t="n">
        <v>5.927</v>
      </c>
      <c r="B1227" t="n">
        <v>0.002</v>
      </c>
      <c r="C1227" t="n">
        <v>1.202</v>
      </c>
      <c r="D1227" t="n">
        <v>0.247</v>
      </c>
    </row>
    <row r="1228">
      <c r="A1228" t="n">
        <v>5.928</v>
      </c>
      <c r="B1228" t="n">
        <v>0.014</v>
      </c>
      <c r="C1228" t="n">
        <v>1.298</v>
      </c>
      <c r="D1228" t="n">
        <v>0.173</v>
      </c>
    </row>
    <row r="1229">
      <c r="A1229" t="n">
        <v>5.928</v>
      </c>
      <c r="B1229" t="n">
        <v>0.046</v>
      </c>
      <c r="C1229" t="n">
        <v>1.402</v>
      </c>
      <c r="D1229" t="n">
        <v>0.06900000000000001</v>
      </c>
    </row>
    <row r="1230">
      <c r="A1230" t="n">
        <v>5.928</v>
      </c>
      <c r="B1230" t="n">
        <v>0.093</v>
      </c>
      <c r="C1230" t="n">
        <v>1.511</v>
      </c>
      <c r="D1230" t="n">
        <v>-0.031</v>
      </c>
    </row>
    <row r="1231">
      <c r="A1231" t="n">
        <v>5.929</v>
      </c>
      <c r="B1231" t="n">
        <v>0.152</v>
      </c>
      <c r="C1231" t="n">
        <v>1.618</v>
      </c>
      <c r="D1231" t="n">
        <v>-0.097</v>
      </c>
    </row>
    <row r="1232">
      <c r="A1232" t="n">
        <v>5.933</v>
      </c>
      <c r="B1232" t="n">
        <v>0.206</v>
      </c>
      <c r="C1232" t="n">
        <v>1.715</v>
      </c>
      <c r="D1232" t="n">
        <v>-0.132</v>
      </c>
    </row>
    <row r="1233">
      <c r="A1233" t="n">
        <v>5.939</v>
      </c>
      <c r="B1233" t="n">
        <v>0.257</v>
      </c>
      <c r="C1233" t="n">
        <v>1.787</v>
      </c>
      <c r="D1233" t="n">
        <v>-0.21</v>
      </c>
    </row>
    <row r="1234">
      <c r="A1234" t="n">
        <v>5.943</v>
      </c>
      <c r="B1234" t="n">
        <v>0.306</v>
      </c>
      <c r="C1234" t="n">
        <v>1.837</v>
      </c>
      <c r="D1234" t="n">
        <v>-0.291</v>
      </c>
    </row>
    <row r="1235">
      <c r="A1235" t="n">
        <v>5.947</v>
      </c>
      <c r="B1235" t="n">
        <v>0.341</v>
      </c>
      <c r="C1235" t="n">
        <v>1.879</v>
      </c>
      <c r="D1235" t="n">
        <v>-0.333</v>
      </c>
    </row>
    <row r="1236">
      <c r="A1236" t="n">
        <v>5.961</v>
      </c>
      <c r="B1236" t="n">
        <v>0.342</v>
      </c>
      <c r="C1236" t="n">
        <v>1.912</v>
      </c>
      <c r="D1236" t="n">
        <v>-0.33</v>
      </c>
    </row>
    <row r="1237">
      <c r="A1237" t="n">
        <v>5.962</v>
      </c>
      <c r="B1237" t="n">
        <v>0.342</v>
      </c>
      <c r="C1237" t="n">
        <v>1.912</v>
      </c>
      <c r="D1237" t="n">
        <v>-0.33</v>
      </c>
    </row>
    <row r="1238">
      <c r="A1238" t="n">
        <v>5.963</v>
      </c>
      <c r="B1238" t="n">
        <v>0.319</v>
      </c>
      <c r="C1238" t="n">
        <v>1.932</v>
      </c>
      <c r="D1238" t="n">
        <v>-0.29</v>
      </c>
    </row>
    <row r="1239">
      <c r="A1239" t="n">
        <v>5.964</v>
      </c>
      <c r="B1239" t="n">
        <v>0.29</v>
      </c>
      <c r="C1239" t="n">
        <v>1.944</v>
      </c>
      <c r="D1239" t="n">
        <v>-0.238</v>
      </c>
    </row>
    <row r="1240">
      <c r="A1240" t="n">
        <v>5.996</v>
      </c>
      <c r="B1240" t="n">
        <v>0.263</v>
      </c>
      <c r="C1240" t="n">
        <v>1.95</v>
      </c>
      <c r="D1240" t="n">
        <v>-0.181</v>
      </c>
    </row>
    <row r="1241">
      <c r="A1241" t="n">
        <v>5.997</v>
      </c>
      <c r="B1241" t="n">
        <v>0.235</v>
      </c>
      <c r="C1241" t="n">
        <v>1.961</v>
      </c>
      <c r="D1241" t="n">
        <v>-0.108</v>
      </c>
    </row>
    <row r="1242">
      <c r="A1242" t="n">
        <v>5.997</v>
      </c>
      <c r="B1242" t="n">
        <v>0.194</v>
      </c>
      <c r="C1242" t="n">
        <v>1.979</v>
      </c>
      <c r="D1242" t="n">
        <v>-0.039</v>
      </c>
    </row>
    <row r="1243">
      <c r="A1243" t="n">
        <v>5.998</v>
      </c>
      <c r="B1243" t="n">
        <v>0.157</v>
      </c>
      <c r="C1243" t="n">
        <v>2.003</v>
      </c>
      <c r="D1243" t="n">
        <v>0.025</v>
      </c>
    </row>
    <row r="1244">
      <c r="A1244" t="n">
        <v>5.998</v>
      </c>
      <c r="B1244" t="n">
        <v>0.139</v>
      </c>
      <c r="C1244" t="n">
        <v>2.033</v>
      </c>
      <c r="D1244" t="n">
        <v>0.066</v>
      </c>
    </row>
    <row r="1245">
      <c r="A1245" t="n">
        <v>5.999</v>
      </c>
      <c r="B1245" t="n">
        <v>0.137</v>
      </c>
      <c r="C1245" t="n">
        <v>2.058</v>
      </c>
      <c r="D1245" t="n">
        <v>0.08599999999999999</v>
      </c>
    </row>
    <row r="1246">
      <c r="A1246" t="n">
        <v>5.999</v>
      </c>
      <c r="B1246" t="n">
        <v>0.141</v>
      </c>
      <c r="C1246" t="n">
        <v>2.089</v>
      </c>
      <c r="D1246" t="n">
        <v>0.091</v>
      </c>
    </row>
    <row r="1247">
      <c r="A1247" t="n">
        <v>6.003</v>
      </c>
      <c r="B1247" t="n">
        <v>0.151</v>
      </c>
      <c r="C1247" t="n">
        <v>2.12</v>
      </c>
      <c r="D1247" t="n">
        <v>0.067</v>
      </c>
    </row>
    <row r="1248">
      <c r="A1248" t="n">
        <v>6.007</v>
      </c>
      <c r="B1248" t="n">
        <v>0.169</v>
      </c>
      <c r="C1248" t="n">
        <v>2.154</v>
      </c>
      <c r="D1248" t="n">
        <v>0.038</v>
      </c>
    </row>
    <row r="1249">
      <c r="A1249" t="n">
        <v>6.013</v>
      </c>
      <c r="B1249" t="n">
        <v>0.187</v>
      </c>
      <c r="C1249" t="n">
        <v>2.194</v>
      </c>
      <c r="D1249" t="n">
        <v>0.017</v>
      </c>
    </row>
    <row r="1250">
      <c r="A1250" t="n">
        <v>6.02</v>
      </c>
      <c r="B1250" t="n">
        <v>0.208</v>
      </c>
      <c r="C1250" t="n">
        <v>2.243</v>
      </c>
      <c r="D1250" t="n">
        <v>-0.003</v>
      </c>
    </row>
    <row r="1251">
      <c r="A1251" t="n">
        <v>6.022</v>
      </c>
      <c r="B1251" t="n">
        <v>0.229</v>
      </c>
      <c r="C1251" t="n">
        <v>2.296</v>
      </c>
      <c r="D1251" t="n">
        <v>-0.027</v>
      </c>
    </row>
    <row r="1252">
      <c r="A1252" t="n">
        <v>6.027</v>
      </c>
      <c r="B1252" t="n">
        <v>0.245</v>
      </c>
      <c r="C1252" t="n">
        <v>2.344</v>
      </c>
      <c r="D1252" t="n">
        <v>-0.056</v>
      </c>
    </row>
    <row r="1253">
      <c r="A1253" t="n">
        <v>6.033</v>
      </c>
      <c r="B1253" t="n">
        <v>0.246</v>
      </c>
      <c r="C1253" t="n">
        <v>2.379</v>
      </c>
      <c r="D1253" t="n">
        <v>-0.098</v>
      </c>
    </row>
    <row r="1254">
      <c r="A1254" t="n">
        <v>6.038</v>
      </c>
      <c r="B1254" t="n">
        <v>0.24</v>
      </c>
      <c r="C1254" t="n">
        <v>2.4</v>
      </c>
      <c r="D1254" t="n">
        <v>-0.141</v>
      </c>
    </row>
    <row r="1255">
      <c r="A1255" t="n">
        <v>6.042</v>
      </c>
      <c r="B1255" t="n">
        <v>0.216</v>
      </c>
      <c r="C1255" t="n">
        <v>2.41</v>
      </c>
      <c r="D1255" t="n">
        <v>-0.172</v>
      </c>
    </row>
    <row r="1256">
      <c r="A1256" t="n">
        <v>6.047</v>
      </c>
      <c r="B1256" t="n">
        <v>0.185</v>
      </c>
      <c r="C1256" t="n">
        <v>2.422</v>
      </c>
      <c r="D1256" t="n">
        <v>-0.186</v>
      </c>
    </row>
    <row r="1257">
      <c r="A1257" t="n">
        <v>6.068</v>
      </c>
      <c r="B1257" t="n">
        <v>0.156</v>
      </c>
      <c r="C1257" t="n">
        <v>2.424</v>
      </c>
      <c r="D1257" t="n">
        <v>-0.182</v>
      </c>
    </row>
    <row r="1258">
      <c r="A1258" t="n">
        <v>6.08</v>
      </c>
      <c r="B1258" t="n">
        <v>0.156</v>
      </c>
      <c r="C1258" t="n">
        <v>2.424</v>
      </c>
      <c r="D1258" t="n">
        <v>-0.182</v>
      </c>
    </row>
    <row r="1259">
      <c r="A1259" t="n">
        <v>6.08</v>
      </c>
      <c r="B1259" t="n">
        <v>0.116</v>
      </c>
      <c r="C1259" t="n">
        <v>2.424</v>
      </c>
      <c r="D1259" t="n">
        <v>-0.118</v>
      </c>
    </row>
    <row r="1260">
      <c r="A1260" t="n">
        <v>6.081</v>
      </c>
      <c r="B1260" t="n">
        <v>0.095</v>
      </c>
      <c r="C1260" t="n">
        <v>2.429</v>
      </c>
      <c r="D1260" t="n">
        <v>-0.091</v>
      </c>
    </row>
    <row r="1261">
      <c r="A1261" t="n">
        <v>6.081</v>
      </c>
      <c r="B1261" t="n">
        <v>0.095</v>
      </c>
      <c r="C1261" t="n">
        <v>2.429</v>
      </c>
      <c r="D1261" t="n">
        <v>-0.091</v>
      </c>
    </row>
    <row r="1262">
      <c r="A1262" t="n">
        <v>6.082</v>
      </c>
      <c r="B1262" t="n">
        <v>0.065</v>
      </c>
      <c r="C1262" t="n">
        <v>2.444</v>
      </c>
      <c r="D1262" t="n">
        <v>-0.076</v>
      </c>
    </row>
    <row r="1263">
      <c r="A1263" t="n">
        <v>6.086</v>
      </c>
      <c r="B1263" t="n">
        <v>0.067</v>
      </c>
      <c r="C1263" t="n">
        <v>2.447</v>
      </c>
      <c r="D1263" t="n">
        <v>-0.067</v>
      </c>
    </row>
    <row r="1264">
      <c r="A1264" t="n">
        <v>6.12</v>
      </c>
      <c r="B1264" t="n">
        <v>0.08599999999999999</v>
      </c>
      <c r="C1264" t="n">
        <v>2.441</v>
      </c>
      <c r="D1264" t="n">
        <v>-0.063</v>
      </c>
    </row>
    <row r="1265">
      <c r="A1265" t="n">
        <v>6.121</v>
      </c>
      <c r="B1265" t="n">
        <v>0.117</v>
      </c>
      <c r="C1265" t="n">
        <v>2.43</v>
      </c>
      <c r="D1265" t="n">
        <v>-0.046</v>
      </c>
    </row>
    <row r="1266">
      <c r="A1266" t="n">
        <v>6.123</v>
      </c>
      <c r="B1266" t="n">
        <v>0.146</v>
      </c>
      <c r="C1266" t="n">
        <v>2.421</v>
      </c>
      <c r="D1266" t="n">
        <v>-0.012</v>
      </c>
    </row>
    <row r="1267">
      <c r="A1267" t="n">
        <v>6.124</v>
      </c>
      <c r="B1267" t="n">
        <v>0.166</v>
      </c>
      <c r="C1267" t="n">
        <v>2.419</v>
      </c>
      <c r="D1267" t="n">
        <v>0.019</v>
      </c>
    </row>
    <row r="1268">
      <c r="A1268" t="n">
        <v>6.125</v>
      </c>
      <c r="B1268" t="n">
        <v>0.181</v>
      </c>
      <c r="C1268" t="n">
        <v>2.413</v>
      </c>
      <c r="D1268" t="n">
        <v>0.041</v>
      </c>
    </row>
    <row r="1269">
      <c r="A1269" t="n">
        <v>6.126</v>
      </c>
      <c r="B1269" t="n">
        <v>0.204</v>
      </c>
      <c r="C1269" t="n">
        <v>2.405</v>
      </c>
      <c r="D1269" t="n">
        <v>0.059</v>
      </c>
    </row>
    <row r="1270">
      <c r="A1270" t="n">
        <v>6.127</v>
      </c>
      <c r="B1270" t="n">
        <v>0.234</v>
      </c>
      <c r="C1270" t="n">
        <v>2.402</v>
      </c>
      <c r="D1270" t="n">
        <v>0.065</v>
      </c>
    </row>
    <row r="1271">
      <c r="A1271" t="n">
        <v>6.128</v>
      </c>
      <c r="B1271" t="n">
        <v>0.261</v>
      </c>
      <c r="C1271" t="n">
        <v>2.415</v>
      </c>
      <c r="D1271" t="n">
        <v>0.065</v>
      </c>
    </row>
    <row r="1272">
      <c r="A1272" t="n">
        <v>6.129</v>
      </c>
      <c r="B1272" t="n">
        <v>0.275</v>
      </c>
      <c r="C1272" t="n">
        <v>2.452</v>
      </c>
      <c r="D1272" t="n">
        <v>0.039</v>
      </c>
    </row>
    <row r="1273">
      <c r="A1273" t="n">
        <v>6.133</v>
      </c>
      <c r="B1273" t="n">
        <v>0.294</v>
      </c>
      <c r="C1273" t="n">
        <v>2.503</v>
      </c>
      <c r="D1273" t="n">
        <v>-0.006</v>
      </c>
    </row>
    <row r="1274">
      <c r="A1274" t="n">
        <v>6.141</v>
      </c>
      <c r="B1274" t="n">
        <v>0.322</v>
      </c>
      <c r="C1274" t="n">
        <v>2.558</v>
      </c>
      <c r="D1274" t="n">
        <v>-0.058</v>
      </c>
    </row>
    <row r="1275">
      <c r="A1275" t="n">
        <v>6.143</v>
      </c>
      <c r="B1275" t="n">
        <v>0.355</v>
      </c>
      <c r="C1275" t="n">
        <v>2.613</v>
      </c>
      <c r="D1275" t="n">
        <v>-0.116</v>
      </c>
    </row>
    <row r="1276">
      <c r="A1276" t="n">
        <v>6.147</v>
      </c>
      <c r="B1276" t="n">
        <v>0.372</v>
      </c>
      <c r="C1276" t="n">
        <v>2.65</v>
      </c>
      <c r="D1276" t="n">
        <v>-0.175</v>
      </c>
    </row>
    <row r="1277">
      <c r="A1277" t="n">
        <v>6.157</v>
      </c>
      <c r="B1277" t="n">
        <v>0.365</v>
      </c>
      <c r="C1277" t="n">
        <v>2.675</v>
      </c>
      <c r="D1277" t="n">
        <v>-0.202</v>
      </c>
    </row>
    <row r="1278">
      <c r="A1278" t="n">
        <v>6.158</v>
      </c>
      <c r="B1278" t="n">
        <v>0.33</v>
      </c>
      <c r="C1278" t="n">
        <v>2.683</v>
      </c>
      <c r="D1278" t="n">
        <v>-0.18</v>
      </c>
    </row>
    <row r="1279">
      <c r="A1279" t="n">
        <v>6.164</v>
      </c>
      <c r="B1279" t="n">
        <v>0.289</v>
      </c>
      <c r="C1279" t="n">
        <v>2.679</v>
      </c>
      <c r="D1279" t="n">
        <v>-0.118</v>
      </c>
    </row>
    <row r="1280">
      <c r="A1280" t="n">
        <v>6.167</v>
      </c>
      <c r="B1280" t="n">
        <v>0.251</v>
      </c>
      <c r="C1280" t="n">
        <v>2.673</v>
      </c>
      <c r="D1280" t="n">
        <v>-0.023</v>
      </c>
    </row>
    <row r="1281">
      <c r="A1281" t="n">
        <v>6.176</v>
      </c>
      <c r="B1281" t="n">
        <v>0.23</v>
      </c>
      <c r="C1281" t="n">
        <v>2.689</v>
      </c>
      <c r="D1281" t="n">
        <v>0.079</v>
      </c>
    </row>
    <row r="1282">
      <c r="A1282" t="n">
        <v>6.178</v>
      </c>
      <c r="B1282" t="n">
        <v>0.223</v>
      </c>
      <c r="C1282" t="n">
        <v>2.725</v>
      </c>
      <c r="D1282" t="n">
        <v>0.161</v>
      </c>
    </row>
    <row r="1283">
      <c r="A1283" t="n">
        <v>6.183</v>
      </c>
      <c r="B1283" t="n">
        <v>0.223</v>
      </c>
      <c r="C1283" t="n">
        <v>2.772</v>
      </c>
      <c r="D1283" t="n">
        <v>0.19</v>
      </c>
    </row>
    <row r="1284">
      <c r="A1284" t="n">
        <v>6.215</v>
      </c>
      <c r="B1284" t="n">
        <v>0.232</v>
      </c>
      <c r="C1284" t="n">
        <v>2.821</v>
      </c>
      <c r="D1284" t="n">
        <v>0.16</v>
      </c>
    </row>
    <row r="1285">
      <c r="A1285" t="n">
        <v>6.215</v>
      </c>
      <c r="B1285" t="n">
        <v>0.259</v>
      </c>
      <c r="C1285" t="n">
        <v>2.859</v>
      </c>
      <c r="D1285" t="n">
        <v>0.101</v>
      </c>
    </row>
    <row r="1286">
      <c r="A1286" t="n">
        <v>6.216</v>
      </c>
      <c r="B1286" t="n">
        <v>0.306</v>
      </c>
      <c r="C1286" t="n">
        <v>2.886</v>
      </c>
      <c r="D1286" t="n">
        <v>0.005</v>
      </c>
    </row>
    <row r="1287">
      <c r="A1287" t="n">
        <v>6.216</v>
      </c>
      <c r="B1287" t="n">
        <v>0.364</v>
      </c>
      <c r="C1287" t="n">
        <v>2.905</v>
      </c>
      <c r="D1287" t="n">
        <v>-0.1</v>
      </c>
    </row>
    <row r="1288">
      <c r="A1288" t="n">
        <v>6.216</v>
      </c>
      <c r="B1288" t="n">
        <v>0.449</v>
      </c>
      <c r="C1288" t="n">
        <v>2.907</v>
      </c>
      <c r="D1288" t="n">
        <v>-0.231</v>
      </c>
    </row>
    <row r="1289">
      <c r="A1289" t="n">
        <v>6.217</v>
      </c>
      <c r="B1289" t="n">
        <v>0.574</v>
      </c>
      <c r="C1289" t="n">
        <v>2.904</v>
      </c>
      <c r="D1289" t="n">
        <v>-0.36</v>
      </c>
    </row>
    <row r="1290">
      <c r="A1290" t="n">
        <v>6.225</v>
      </c>
      <c r="B1290" t="n">
        <v>0.709</v>
      </c>
      <c r="C1290" t="n">
        <v>2.886</v>
      </c>
      <c r="D1290" t="n">
        <v>-0.455</v>
      </c>
    </row>
    <row r="1291">
      <c r="A1291" t="n">
        <v>6.226</v>
      </c>
      <c r="B1291" t="n">
        <v>0.709</v>
      </c>
      <c r="C1291" t="n">
        <v>2.886</v>
      </c>
      <c r="D1291" t="n">
        <v>-0.455</v>
      </c>
    </row>
    <row r="1292">
      <c r="A1292" t="n">
        <v>6.226</v>
      </c>
      <c r="B1292" t="n">
        <v>0.833</v>
      </c>
      <c r="C1292" t="n">
        <v>2.839</v>
      </c>
      <c r="D1292" t="n">
        <v>-0.521</v>
      </c>
    </row>
    <row r="1293">
      <c r="A1293" t="n">
        <v>6.227</v>
      </c>
      <c r="B1293" t="n">
        <v>0.93</v>
      </c>
      <c r="C1293" t="n">
        <v>2.74</v>
      </c>
      <c r="D1293" t="n">
        <v>-0.5659999999999999</v>
      </c>
    </row>
    <row r="1294">
      <c r="A1294" t="n">
        <v>6.233</v>
      </c>
      <c r="B1294" t="n">
        <v>0.951</v>
      </c>
      <c r="C1294" t="n">
        <v>2.57</v>
      </c>
      <c r="D1294" t="n">
        <v>-0.588</v>
      </c>
    </row>
    <row r="1295">
      <c r="A1295" t="n">
        <v>6.24</v>
      </c>
      <c r="B1295" t="n">
        <v>0.894</v>
      </c>
      <c r="C1295" t="n">
        <v>2.331</v>
      </c>
      <c r="D1295" t="n">
        <v>-0.5570000000000001</v>
      </c>
    </row>
    <row r="1296">
      <c r="A1296" t="n">
        <v>6.243</v>
      </c>
      <c r="B1296" t="n">
        <v>0.778</v>
      </c>
      <c r="C1296" t="n">
        <v>2.052</v>
      </c>
      <c r="D1296" t="n">
        <v>-0.485</v>
      </c>
    </row>
    <row r="1297">
      <c r="A1297" t="n">
        <v>6.247</v>
      </c>
      <c r="B1297" t="n">
        <v>0.606</v>
      </c>
      <c r="C1297" t="n">
        <v>1.756</v>
      </c>
      <c r="D1297" t="n">
        <v>-0.364</v>
      </c>
    </row>
    <row r="1298">
      <c r="A1298" t="n">
        <v>6.269</v>
      </c>
      <c r="B1298" t="n">
        <v>0.395</v>
      </c>
      <c r="C1298" t="n">
        <v>1.459</v>
      </c>
      <c r="D1298" t="n">
        <v>-0.219</v>
      </c>
    </row>
    <row r="1299">
      <c r="A1299" t="n">
        <v>6.269</v>
      </c>
      <c r="B1299" t="n">
        <v>0.152</v>
      </c>
      <c r="C1299" t="n">
        <v>1.162</v>
      </c>
      <c r="D1299" t="n">
        <v>-0.095</v>
      </c>
    </row>
    <row r="1300">
      <c r="A1300" t="n">
        <v>6.27</v>
      </c>
      <c r="B1300" t="n">
        <v>-0.095</v>
      </c>
      <c r="C1300" t="n">
        <v>0.871</v>
      </c>
      <c r="D1300" t="n">
        <v>0.051</v>
      </c>
    </row>
    <row r="1301">
      <c r="A1301" t="n">
        <v>6.27</v>
      </c>
      <c r="B1301" t="n">
        <v>-0.326</v>
      </c>
      <c r="C1301" t="n">
        <v>0.594</v>
      </c>
      <c r="D1301" t="n">
        <v>0.153</v>
      </c>
    </row>
    <row r="1302">
      <c r="A1302" t="n">
        <v>6.276</v>
      </c>
      <c r="B1302" t="n">
        <v>-0.524</v>
      </c>
      <c r="C1302" t="n">
        <v>0.337</v>
      </c>
      <c r="D1302" t="n">
        <v>0.239</v>
      </c>
    </row>
    <row r="1303">
      <c r="A1303" t="n">
        <v>6.278</v>
      </c>
      <c r="B1303" t="n">
        <v>-0.681</v>
      </c>
      <c r="C1303" t="n">
        <v>0.098</v>
      </c>
      <c r="D1303" t="n">
        <v>0.324</v>
      </c>
    </row>
    <row r="1304">
      <c r="A1304" t="n">
        <v>6.283</v>
      </c>
      <c r="B1304" t="n">
        <v>-0.8100000000000001</v>
      </c>
      <c r="C1304" t="n">
        <v>-0.103</v>
      </c>
      <c r="D1304" t="n">
        <v>0.41</v>
      </c>
    </row>
    <row r="1305">
      <c r="A1305" t="n">
        <v>6.29</v>
      </c>
      <c r="B1305" t="n">
        <v>-0.922</v>
      </c>
      <c r="C1305" t="n">
        <v>-0.266</v>
      </c>
      <c r="D1305" t="n">
        <v>0.512</v>
      </c>
    </row>
    <row r="1306">
      <c r="A1306" t="n">
        <v>6.292</v>
      </c>
      <c r="B1306" t="n">
        <v>-1.014</v>
      </c>
      <c r="C1306" t="n">
        <v>-0.4</v>
      </c>
      <c r="D1306" t="n">
        <v>0.61</v>
      </c>
    </row>
    <row r="1307">
      <c r="A1307" t="n">
        <v>6.297</v>
      </c>
      <c r="B1307" t="n">
        <v>-1.056</v>
      </c>
      <c r="C1307" t="n">
        <v>-0.506</v>
      </c>
      <c r="D1307" t="n">
        <v>0.661</v>
      </c>
    </row>
    <row r="1308">
      <c r="A1308" t="n">
        <v>6.304</v>
      </c>
      <c r="B1308" t="n">
        <v>-1.033</v>
      </c>
      <c r="C1308" t="n">
        <v>-0.5629999999999999</v>
      </c>
      <c r="D1308" t="n">
        <v>0.657</v>
      </c>
    </row>
    <row r="1309">
      <c r="A1309" t="n">
        <v>6.307</v>
      </c>
      <c r="B1309" t="n">
        <v>-0.9370000000000001</v>
      </c>
      <c r="C1309" t="n">
        <v>-0.554</v>
      </c>
      <c r="D1309" t="n">
        <v>0.546</v>
      </c>
    </row>
    <row r="1310">
      <c r="A1310" t="n">
        <v>6.313</v>
      </c>
      <c r="B1310" t="n">
        <v>-0.796</v>
      </c>
      <c r="C1310" t="n">
        <v>-0.447</v>
      </c>
      <c r="D1310" t="n">
        <v>0.272</v>
      </c>
    </row>
    <row r="1311">
      <c r="A1311" t="n">
        <v>6.317</v>
      </c>
      <c r="B1311" t="n">
        <v>-0.617</v>
      </c>
      <c r="C1311" t="n">
        <v>-0.245</v>
      </c>
      <c r="D1311" t="n">
        <v>-0.112</v>
      </c>
    </row>
    <row r="1312">
      <c r="A1312" t="n">
        <v>6.324</v>
      </c>
      <c r="B1312" t="n">
        <v>-0.415</v>
      </c>
      <c r="C1312" t="n">
        <v>-0.032</v>
      </c>
      <c r="D1312" t="n">
        <v>-0.522</v>
      </c>
    </row>
    <row r="1313">
      <c r="A1313" t="n">
        <v>6.327</v>
      </c>
      <c r="B1313" t="n">
        <v>-0.204</v>
      </c>
      <c r="C1313" t="n">
        <v>0.122</v>
      </c>
      <c r="D1313" t="n">
        <v>-0.877</v>
      </c>
    </row>
    <row r="1314">
      <c r="A1314" t="n">
        <v>6.333</v>
      </c>
      <c r="B1314" t="n">
        <v>-0.025</v>
      </c>
      <c r="C1314" t="n">
        <v>0.202</v>
      </c>
      <c r="D1314" t="n">
        <v>-1.143</v>
      </c>
    </row>
    <row r="1315">
      <c r="A1315" t="n">
        <v>6.34</v>
      </c>
      <c r="B1315" t="n">
        <v>0.08500000000000001</v>
      </c>
      <c r="C1315" t="n">
        <v>0.199</v>
      </c>
      <c r="D1315" t="n">
        <v>-1.261</v>
      </c>
    </row>
    <row r="1316">
      <c r="A1316" t="n">
        <v>6.341</v>
      </c>
      <c r="B1316" t="n">
        <v>0.08500000000000001</v>
      </c>
      <c r="C1316" t="n">
        <v>0.199</v>
      </c>
      <c r="D1316" t="n">
        <v>-1.261</v>
      </c>
    </row>
    <row r="1317">
      <c r="A1317" t="n">
        <v>6.343</v>
      </c>
      <c r="B1317" t="n">
        <v>0.13</v>
      </c>
      <c r="C1317" t="n">
        <v>0.132</v>
      </c>
      <c r="D1317" t="n">
        <v>-1.195</v>
      </c>
    </row>
    <row r="1318">
      <c r="A1318" t="n">
        <v>6.347</v>
      </c>
      <c r="B1318" t="n">
        <v>0.129</v>
      </c>
      <c r="C1318" t="n">
        <v>0.02</v>
      </c>
      <c r="D1318" t="n">
        <v>-0.992</v>
      </c>
    </row>
    <row r="1319">
      <c r="A1319" t="n">
        <v>6.372</v>
      </c>
      <c r="B1319" t="n">
        <v>0.099</v>
      </c>
      <c r="C1319" t="n">
        <v>-0.12</v>
      </c>
      <c r="D1319" t="n">
        <v>-0.673</v>
      </c>
    </row>
    <row r="1320">
      <c r="A1320" t="n">
        <v>6.373</v>
      </c>
      <c r="B1320" t="n">
        <v>0.099</v>
      </c>
      <c r="C1320" t="n">
        <v>-0.12</v>
      </c>
      <c r="D1320" t="n">
        <v>-0.673</v>
      </c>
    </row>
    <row r="1321">
      <c r="A1321" t="n">
        <v>6.374</v>
      </c>
      <c r="B1321" t="n">
        <v>0.066</v>
      </c>
      <c r="C1321" t="n">
        <v>-0.269</v>
      </c>
      <c r="D1321" t="n">
        <v>-0.271</v>
      </c>
    </row>
    <row r="1322">
      <c r="A1322" t="n">
        <v>6.375</v>
      </c>
      <c r="B1322" t="n">
        <v>0.035</v>
      </c>
      <c r="C1322" t="n">
        <v>-0.401</v>
      </c>
      <c r="D1322" t="n">
        <v>0.07199999999999999</v>
      </c>
    </row>
    <row r="1323">
      <c r="A1323" t="n">
        <v>6.376</v>
      </c>
      <c r="B1323" t="n">
        <v>0.021</v>
      </c>
      <c r="C1323" t="n">
        <v>-0.507</v>
      </c>
      <c r="D1323" t="n">
        <v>0.337</v>
      </c>
    </row>
    <row r="1324">
      <c r="A1324" t="n">
        <v>6.379</v>
      </c>
      <c r="B1324" t="n">
        <v>0.022</v>
      </c>
      <c r="C1324" t="n">
        <v>-0.584</v>
      </c>
      <c r="D1324" t="n">
        <v>0.523</v>
      </c>
    </row>
    <row r="1325">
      <c r="A1325" t="n">
        <v>6.381</v>
      </c>
      <c r="B1325" t="n">
        <v>0.022</v>
      </c>
      <c r="C1325" t="n">
        <v>-0.584</v>
      </c>
      <c r="D1325" t="n">
        <v>0.523</v>
      </c>
    </row>
    <row r="1326">
      <c r="A1326" t="n">
        <v>6.383</v>
      </c>
      <c r="B1326" t="n">
        <v>0.077</v>
      </c>
      <c r="C1326" t="n">
        <v>-0.633</v>
      </c>
      <c r="D1326" t="n">
        <v>0.708</v>
      </c>
    </row>
    <row r="1327">
      <c r="A1327" t="n">
        <v>6.424</v>
      </c>
      <c r="B1327" t="n">
        <v>0.131</v>
      </c>
      <c r="C1327" t="n">
        <v>-0.616</v>
      </c>
      <c r="D1327" t="n">
        <v>0.721</v>
      </c>
    </row>
    <row r="1328">
      <c r="A1328" t="n">
        <v>6.425</v>
      </c>
      <c r="B1328" t="n">
        <v>0.193</v>
      </c>
      <c r="C1328" t="n">
        <v>-0.573</v>
      </c>
      <c r="D1328" t="n">
        <v>0.72</v>
      </c>
    </row>
    <row r="1329">
      <c r="A1329" t="n">
        <v>6.426</v>
      </c>
      <c r="B1329" t="n">
        <v>0.263</v>
      </c>
      <c r="C1329" t="n">
        <v>-0.515</v>
      </c>
      <c r="D1329" t="n">
        <v>0.674</v>
      </c>
    </row>
    <row r="1330">
      <c r="A1330" t="n">
        <v>6.426</v>
      </c>
      <c r="B1330" t="n">
        <v>0.331</v>
      </c>
      <c r="C1330" t="n">
        <v>-0.446</v>
      </c>
      <c r="D1330" t="n">
        <v>0.5679999999999999</v>
      </c>
    </row>
    <row r="1331">
      <c r="A1331" t="n">
        <v>6.427</v>
      </c>
      <c r="B1331" t="n">
        <v>0.378</v>
      </c>
      <c r="C1331" t="n">
        <v>-0.377</v>
      </c>
      <c r="D1331" t="n">
        <v>0.452</v>
      </c>
    </row>
    <row r="1332">
      <c r="A1332" t="n">
        <v>6.428</v>
      </c>
      <c r="B1332" t="n">
        <v>0.4</v>
      </c>
      <c r="C1332" t="n">
        <v>-0.319</v>
      </c>
      <c r="D1332" t="n">
        <v>0.319</v>
      </c>
    </row>
    <row r="1333">
      <c r="A1333" t="n">
        <v>6.43</v>
      </c>
      <c r="B1333" t="n">
        <v>0.404</v>
      </c>
      <c r="C1333" t="n">
        <v>-0.255</v>
      </c>
      <c r="D1333" t="n">
        <v>0.187</v>
      </c>
    </row>
    <row r="1334">
      <c r="A1334" t="n">
        <v>6.43</v>
      </c>
      <c r="B1334" t="n">
        <v>0.396</v>
      </c>
      <c r="C1334" t="n">
        <v>-0.178</v>
      </c>
      <c r="D1334" t="n">
        <v>0.059</v>
      </c>
    </row>
    <row r="1335">
      <c r="A1335" t="n">
        <v>6.43</v>
      </c>
      <c r="B1335" t="n">
        <v>0.385</v>
      </c>
      <c r="C1335" t="n">
        <v>-0.099</v>
      </c>
      <c r="D1335" t="n">
        <v>-0.053</v>
      </c>
    </row>
    <row r="1336">
      <c r="A1336" t="n">
        <v>6.433</v>
      </c>
      <c r="B1336" t="n">
        <v>0.368</v>
      </c>
      <c r="C1336" t="n">
        <v>-0.033</v>
      </c>
      <c r="D1336" t="n">
        <v>-0.157</v>
      </c>
    </row>
    <row r="1337">
      <c r="A1337" t="n">
        <v>6.441</v>
      </c>
      <c r="B1337" t="n">
        <v>0.334</v>
      </c>
      <c r="C1337" t="n">
        <v>0.001</v>
      </c>
      <c r="D1337" t="n">
        <v>-0.24</v>
      </c>
    </row>
    <row r="1338">
      <c r="A1338" t="n">
        <v>6.443</v>
      </c>
      <c r="B1338" t="n">
        <v>0.294</v>
      </c>
      <c r="C1338" t="n">
        <v>0.003</v>
      </c>
      <c r="D1338" t="n">
        <v>-0.309</v>
      </c>
    </row>
    <row r="1339">
      <c r="A1339" t="n">
        <v>6.447</v>
      </c>
      <c r="B1339" t="n">
        <v>0.249</v>
      </c>
      <c r="C1339" t="n">
        <v>-0.019</v>
      </c>
      <c r="D1339" t="n">
        <v>-0.354</v>
      </c>
    </row>
    <row r="1340">
      <c r="A1340" t="n">
        <v>6.457</v>
      </c>
      <c r="B1340" t="n">
        <v>0.206</v>
      </c>
      <c r="C1340" t="n">
        <v>-0.055</v>
      </c>
      <c r="D1340" t="n">
        <v>-0.351</v>
      </c>
    </row>
    <row r="1341">
      <c r="A1341" t="n">
        <v>6.458</v>
      </c>
      <c r="B1341" t="n">
        <v>0.206</v>
      </c>
      <c r="C1341" t="n">
        <v>-0.055</v>
      </c>
      <c r="D1341" t="n">
        <v>-0.351</v>
      </c>
    </row>
    <row r="1342">
      <c r="A1342" t="n">
        <v>6.46</v>
      </c>
      <c r="B1342" t="n">
        <v>0.165</v>
      </c>
      <c r="C1342" t="n">
        <v>-0.091</v>
      </c>
      <c r="D1342" t="n">
        <v>-0.296</v>
      </c>
    </row>
    <row r="1343">
      <c r="A1343" t="n">
        <v>6.463</v>
      </c>
      <c r="B1343" t="n">
        <v>0.129</v>
      </c>
      <c r="C1343" t="n">
        <v>-0.129</v>
      </c>
      <c r="D1343" t="n">
        <v>-0.206</v>
      </c>
    </row>
    <row r="1344">
      <c r="A1344" t="n">
        <v>6.467</v>
      </c>
      <c r="B1344" t="n">
        <v>0.104</v>
      </c>
      <c r="C1344" t="n">
        <v>-0.172</v>
      </c>
      <c r="D1344" t="n">
        <v>-0.094</v>
      </c>
    </row>
    <row r="1345">
      <c r="A1345" t="n">
        <v>6.482</v>
      </c>
      <c r="B1345" t="n">
        <v>0.078</v>
      </c>
      <c r="C1345" t="n">
        <v>-0.227</v>
      </c>
      <c r="D1345" t="n">
        <v>0.021</v>
      </c>
    </row>
    <row r="1346">
      <c r="A1346" t="n">
        <v>6.483</v>
      </c>
      <c r="B1346" t="n">
        <v>0.036</v>
      </c>
      <c r="C1346" t="n">
        <v>-0.281</v>
      </c>
      <c r="D1346" t="n">
        <v>0.136</v>
      </c>
    </row>
    <row r="1347">
      <c r="A1347" t="n">
        <v>6.483</v>
      </c>
      <c r="B1347" t="n">
        <v>-0.002</v>
      </c>
      <c r="C1347" t="n">
        <v>-0.311</v>
      </c>
      <c r="D1347" t="n">
        <v>0.229</v>
      </c>
    </row>
    <row r="1348">
      <c r="A1348" t="n">
        <v>6.525</v>
      </c>
      <c r="B1348" t="n">
        <v>-0.036</v>
      </c>
      <c r="C1348" t="n">
        <v>-0.304</v>
      </c>
      <c r="D1348" t="n">
        <v>0.279</v>
      </c>
    </row>
    <row r="1349">
      <c r="A1349" t="n">
        <v>6.526</v>
      </c>
      <c r="B1349" t="n">
        <v>-0.051</v>
      </c>
      <c r="C1349" t="n">
        <v>-0.263</v>
      </c>
      <c r="D1349" t="n">
        <v>0.285</v>
      </c>
    </row>
    <row r="1350">
      <c r="A1350" t="n">
        <v>6.526</v>
      </c>
      <c r="B1350" t="n">
        <v>-0.042</v>
      </c>
      <c r="C1350" t="n">
        <v>-0.201</v>
      </c>
      <c r="D1350" t="n">
        <v>0.231</v>
      </c>
    </row>
    <row r="1351">
      <c r="A1351" t="n">
        <v>6.526</v>
      </c>
      <c r="B1351" t="n">
        <v>-0.025</v>
      </c>
      <c r="C1351" t="n">
        <v>-0.139</v>
      </c>
      <c r="D1351" t="n">
        <v>0.133</v>
      </c>
    </row>
    <row r="1352">
      <c r="A1352" t="n">
        <v>6.527</v>
      </c>
      <c r="B1352" t="n">
        <v>-0.016</v>
      </c>
      <c r="C1352" t="n">
        <v>-0.078</v>
      </c>
      <c r="D1352" t="n">
        <v>0.008999999999999999</v>
      </c>
    </row>
    <row r="1353">
      <c r="A1353" t="n">
        <v>6.527</v>
      </c>
      <c r="B1353" t="n">
        <v>-0.021</v>
      </c>
      <c r="C1353" t="n">
        <v>-0.024</v>
      </c>
      <c r="D1353" t="n">
        <v>-0.093</v>
      </c>
    </row>
    <row r="1354">
      <c r="A1354" t="n">
        <v>6.527</v>
      </c>
      <c r="B1354" t="n">
        <v>-0.037</v>
      </c>
      <c r="C1354" t="n">
        <v>0.031</v>
      </c>
      <c r="D1354" t="n">
        <v>-0.183</v>
      </c>
    </row>
    <row r="1355">
      <c r="A1355" t="n">
        <v>6.527</v>
      </c>
      <c r="B1355" t="n">
        <v>-0.049</v>
      </c>
      <c r="C1355" t="n">
        <v>0.074</v>
      </c>
      <c r="D1355" t="n">
        <v>-0.234</v>
      </c>
    </row>
    <row r="1356">
      <c r="A1356" t="n">
        <v>6.528</v>
      </c>
      <c r="B1356" t="n">
        <v>-0.05</v>
      </c>
      <c r="C1356" t="n">
        <v>0.105</v>
      </c>
      <c r="D1356" t="n">
        <v>-0.25</v>
      </c>
    </row>
    <row r="1357">
      <c r="A1357" t="n">
        <v>6.533</v>
      </c>
      <c r="B1357" t="n">
        <v>-0.049</v>
      </c>
      <c r="C1357" t="n">
        <v>0.123</v>
      </c>
      <c r="D1357" t="n">
        <v>-0.239</v>
      </c>
    </row>
    <row r="1358">
      <c r="A1358" t="n">
        <v>6.54</v>
      </c>
      <c r="B1358" t="n">
        <v>-0.052</v>
      </c>
      <c r="C1358" t="n">
        <v>0.124</v>
      </c>
      <c r="D1358" t="n">
        <v>-0.2</v>
      </c>
    </row>
    <row r="1359">
      <c r="A1359" t="n">
        <v>6.544</v>
      </c>
      <c r="B1359" t="n">
        <v>-0.053</v>
      </c>
      <c r="C1359" t="n">
        <v>0.117</v>
      </c>
      <c r="D1359" t="n">
        <v>-0.142</v>
      </c>
    </row>
    <row r="1360">
      <c r="A1360" t="n">
        <v>6.547</v>
      </c>
      <c r="B1360" t="n">
        <v>-0.053</v>
      </c>
      <c r="C1360" t="n">
        <v>0.117</v>
      </c>
      <c r="D1360" t="n">
        <v>-0.142</v>
      </c>
    </row>
    <row r="1361">
      <c r="A1361" t="n">
        <v>6.567</v>
      </c>
      <c r="B1361" t="n">
        <v>-0.041</v>
      </c>
      <c r="C1361" t="n">
        <v>0.111</v>
      </c>
      <c r="D1361" t="n">
        <v>-0.078</v>
      </c>
    </row>
    <row r="1362">
      <c r="A1362" t="n">
        <v>6.569</v>
      </c>
      <c r="B1362" t="n">
        <v>-0.014</v>
      </c>
      <c r="C1362" t="n">
        <v>0.111</v>
      </c>
      <c r="D1362" t="n">
        <v>-0.024</v>
      </c>
    </row>
    <row r="1363">
      <c r="A1363" t="n">
        <v>6.573</v>
      </c>
      <c r="B1363" t="n">
        <v>0.019</v>
      </c>
      <c r="C1363" t="n">
        <v>0.112</v>
      </c>
      <c r="D1363" t="n">
        <v>-0.005</v>
      </c>
    </row>
    <row r="1364">
      <c r="A1364" t="n">
        <v>6.574</v>
      </c>
      <c r="B1364" t="n">
        <v>0.048</v>
      </c>
      <c r="C1364" t="n">
        <v>0.112</v>
      </c>
      <c r="D1364" t="n">
        <v>-0.01</v>
      </c>
    </row>
    <row r="1365">
      <c r="A1365" t="n">
        <v>6.575</v>
      </c>
      <c r="B1365" t="n">
        <v>0.061</v>
      </c>
      <c r="C1365" t="n">
        <v>0.095</v>
      </c>
      <c r="D1365" t="n">
        <v>-0.004</v>
      </c>
    </row>
    <row r="1366">
      <c r="A1366" t="n">
        <v>6.62</v>
      </c>
      <c r="B1366" t="n">
        <v>0.054</v>
      </c>
      <c r="C1366" t="n">
        <v>0.073</v>
      </c>
      <c r="D1366" t="n">
        <v>0.022</v>
      </c>
    </row>
    <row r="1367">
      <c r="A1367" t="n">
        <v>6.621</v>
      </c>
      <c r="B1367" t="n">
        <v>0.04</v>
      </c>
      <c r="C1367" t="n">
        <v>0.062</v>
      </c>
      <c r="D1367" t="n">
        <v>0.06</v>
      </c>
    </row>
    <row r="1368">
      <c r="A1368" t="n">
        <v>6.622</v>
      </c>
      <c r="B1368" t="n">
        <v>0.023</v>
      </c>
      <c r="C1368" t="n">
        <v>0.063</v>
      </c>
      <c r="D1368" t="n">
        <v>0.102</v>
      </c>
    </row>
    <row r="1369">
      <c r="A1369" t="n">
        <v>6.623</v>
      </c>
      <c r="B1369" t="n">
        <v>0.008999999999999999</v>
      </c>
      <c r="C1369" t="n">
        <v>0.077</v>
      </c>
      <c r="D1369" t="n">
        <v>0.124</v>
      </c>
    </row>
    <row r="1370">
      <c r="A1370" t="n">
        <v>6.624</v>
      </c>
      <c r="B1370" t="n">
        <v>0.001</v>
      </c>
      <c r="C1370" t="n">
        <v>0.089</v>
      </c>
      <c r="D1370" t="n">
        <v>0.116</v>
      </c>
    </row>
    <row r="1371">
      <c r="A1371" t="n">
        <v>6.624</v>
      </c>
      <c r="B1371" t="n">
        <v>0.006</v>
      </c>
      <c r="C1371" t="n">
        <v>0.1</v>
      </c>
      <c r="D1371" t="n">
        <v>0.094</v>
      </c>
    </row>
    <row r="1372">
      <c r="A1372" t="n">
        <v>6.625</v>
      </c>
      <c r="B1372" t="n">
        <v>0.021</v>
      </c>
      <c r="C1372" t="n">
        <v>0.111</v>
      </c>
      <c r="D1372" t="n">
        <v>0.063</v>
      </c>
    </row>
    <row r="1373">
      <c r="A1373" t="n">
        <v>6.626</v>
      </c>
      <c r="B1373" t="n">
        <v>0.041</v>
      </c>
      <c r="C1373" t="n">
        <v>0.13</v>
      </c>
      <c r="D1373" t="n">
        <v>0.018</v>
      </c>
    </row>
    <row r="1374">
      <c r="A1374" t="n">
        <v>6.627</v>
      </c>
      <c r="B1374" t="n">
        <v>0.063</v>
      </c>
      <c r="C1374" t="n">
        <v>0.162</v>
      </c>
      <c r="D1374" t="n">
        <v>-0.027</v>
      </c>
    </row>
    <row r="1375">
      <c r="A1375" t="n">
        <v>6.627</v>
      </c>
      <c r="B1375" t="n">
        <v>0.093</v>
      </c>
      <c r="C1375" t="n">
        <v>0.201</v>
      </c>
      <c r="D1375" t="n">
        <v>-0.068</v>
      </c>
    </row>
    <row r="1376">
      <c r="A1376" t="n">
        <v>6.627</v>
      </c>
      <c r="B1376" t="n">
        <v>0.115</v>
      </c>
      <c r="C1376" t="n">
        <v>0.234</v>
      </c>
      <c r="D1376" t="n">
        <v>-0.108</v>
      </c>
    </row>
    <row r="1377">
      <c r="A1377" t="n">
        <v>6.633</v>
      </c>
      <c r="B1377" t="n">
        <v>0.127</v>
      </c>
      <c r="C1377" t="n">
        <v>0.253</v>
      </c>
      <c r="D1377" t="n">
        <v>-0.142</v>
      </c>
    </row>
    <row r="1378">
      <c r="A1378" t="n">
        <v>6.641</v>
      </c>
      <c r="B1378" t="n">
        <v>0.116</v>
      </c>
      <c r="C1378" t="n">
        <v>0.255</v>
      </c>
      <c r="D1378" t="n">
        <v>-0.158</v>
      </c>
    </row>
    <row r="1379">
      <c r="A1379" t="n">
        <v>6.643</v>
      </c>
      <c r="B1379" t="n">
        <v>0.08599999999999999</v>
      </c>
      <c r="C1379" t="n">
        <v>0.237</v>
      </c>
      <c r="D1379" t="n">
        <v>-0.153</v>
      </c>
    </row>
    <row r="1380">
      <c r="A1380" t="n">
        <v>6.647</v>
      </c>
      <c r="B1380" t="n">
        <v>0.05</v>
      </c>
      <c r="C1380" t="n">
        <v>0.21</v>
      </c>
      <c r="D1380" t="n">
        <v>-0.129</v>
      </c>
    </row>
    <row r="1381">
      <c r="A1381" t="n">
        <v>6.655</v>
      </c>
      <c r="B1381" t="n">
        <v>0.027</v>
      </c>
      <c r="C1381" t="n">
        <v>0.179</v>
      </c>
      <c r="D1381" t="n">
        <v>-0.092</v>
      </c>
    </row>
    <row r="1382">
      <c r="A1382" t="n">
        <v>6.661</v>
      </c>
      <c r="B1382" t="n">
        <v>0.021</v>
      </c>
      <c r="C1382" t="n">
        <v>0.153</v>
      </c>
      <c r="D1382" t="n">
        <v>-0.052</v>
      </c>
    </row>
    <row r="1383">
      <c r="A1383" t="n">
        <v>6.664</v>
      </c>
      <c r="B1383" t="n">
        <v>0.015</v>
      </c>
      <c r="C1383" t="n">
        <v>0.127</v>
      </c>
      <c r="D1383" t="n">
        <v>-0.017</v>
      </c>
    </row>
    <row r="1384">
      <c r="A1384" t="n">
        <v>6.668</v>
      </c>
      <c r="B1384" t="n">
        <v>0.008</v>
      </c>
      <c r="C1384" t="n">
        <v>0.107</v>
      </c>
      <c r="D1384" t="n">
        <v>0.003</v>
      </c>
    </row>
    <row r="1385">
      <c r="A1385" t="n">
        <v>6.691</v>
      </c>
      <c r="B1385" t="n">
        <v>-0.004</v>
      </c>
      <c r="C1385" t="n">
        <v>0.08699999999999999</v>
      </c>
      <c r="D1385" t="n">
        <v>0.01</v>
      </c>
    </row>
    <row r="1386">
      <c r="A1386" t="n">
        <v>6.693</v>
      </c>
      <c r="B1386" t="n">
        <v>-0.004</v>
      </c>
      <c r="C1386" t="n">
        <v>0.08699999999999999</v>
      </c>
      <c r="D1386" t="n">
        <v>0.01</v>
      </c>
    </row>
    <row r="1387">
      <c r="A1387" t="n">
        <v>6.694</v>
      </c>
      <c r="B1387" t="n">
        <v>-0.022</v>
      </c>
      <c r="C1387" t="n">
        <v>0.06</v>
      </c>
      <c r="D1387" t="n">
        <v>-0.004</v>
      </c>
    </row>
    <row r="1388">
      <c r="A1388" t="n">
        <v>6.694</v>
      </c>
      <c r="B1388" t="n">
        <v>-0.025</v>
      </c>
      <c r="C1388" t="n">
        <v>0.049</v>
      </c>
      <c r="D1388" t="n">
        <v>-0.018</v>
      </c>
    </row>
    <row r="1389">
      <c r="A1389" t="n">
        <v>6.694</v>
      </c>
      <c r="B1389" t="n">
        <v>-0.025</v>
      </c>
      <c r="C1389" t="n">
        <v>0.049</v>
      </c>
      <c r="D1389" t="n">
        <v>-0.018</v>
      </c>
    </row>
    <row r="1390">
      <c r="A1390" t="n">
        <v>6.698</v>
      </c>
      <c r="B1390" t="n">
        <v>-0.041</v>
      </c>
      <c r="C1390" t="n">
        <v>0.035</v>
      </c>
      <c r="D1390" t="n">
        <v>-0.036</v>
      </c>
    </row>
    <row r="1391">
      <c r="A1391" t="n">
        <v>6.703</v>
      </c>
      <c r="B1391" t="n">
        <v>-0.056</v>
      </c>
      <c r="C1391" t="n">
        <v>0.022</v>
      </c>
      <c r="D1391" t="n">
        <v>-0.032</v>
      </c>
    </row>
    <row r="1392">
      <c r="A1392" t="n">
        <v>6.73</v>
      </c>
      <c r="B1392" t="n">
        <v>-0.08</v>
      </c>
      <c r="C1392" t="n">
        <v>0.004</v>
      </c>
      <c r="D1392" t="n">
        <v>-0.018</v>
      </c>
    </row>
    <row r="1393">
      <c r="A1393" t="n">
        <v>6.731</v>
      </c>
      <c r="B1393" t="n">
        <v>-0.099</v>
      </c>
      <c r="C1393" t="n">
        <v>-0.01</v>
      </c>
      <c r="D1393" t="n">
        <v>-0.024</v>
      </c>
    </row>
    <row r="1394">
      <c r="A1394" t="n">
        <v>6.731</v>
      </c>
      <c r="B1394" t="n">
        <v>-0.111</v>
      </c>
      <c r="C1394" t="n">
        <v>-0.007</v>
      </c>
      <c r="D1394" t="n">
        <v>-0.039</v>
      </c>
    </row>
    <row r="1395">
      <c r="A1395" t="n">
        <v>6.731</v>
      </c>
      <c r="B1395" t="n">
        <v>-0.101</v>
      </c>
      <c r="C1395" t="n">
        <v>0.016</v>
      </c>
      <c r="D1395" t="n">
        <v>-0.056</v>
      </c>
    </row>
    <row r="1396">
      <c r="A1396" t="n">
        <v>6.732</v>
      </c>
      <c r="B1396" t="n">
        <v>-0.078</v>
      </c>
      <c r="C1396" t="n">
        <v>0.047</v>
      </c>
      <c r="D1396" t="n">
        <v>-0.073</v>
      </c>
    </row>
    <row r="1397">
      <c r="A1397" t="n">
        <v>6.734</v>
      </c>
      <c r="B1397" t="n">
        <v>-0.065</v>
      </c>
      <c r="C1397" t="n">
        <v>0.07099999999999999</v>
      </c>
      <c r="D1397" t="n">
        <v>-0.098</v>
      </c>
    </row>
    <row r="1398">
      <c r="A1398" t="n">
        <v>6.739</v>
      </c>
      <c r="B1398" t="n">
        <v>-0.056</v>
      </c>
      <c r="C1398" t="n">
        <v>0.082</v>
      </c>
      <c r="D1398" t="n">
        <v>-0.107</v>
      </c>
    </row>
    <row r="1399">
      <c r="A1399" t="n">
        <v>6.743</v>
      </c>
      <c r="B1399" t="n">
        <v>-0.051</v>
      </c>
      <c r="C1399" t="n">
        <v>0.091</v>
      </c>
      <c r="D1399" t="n">
        <v>-0.105</v>
      </c>
    </row>
    <row r="1400">
      <c r="A1400" t="n">
        <v>6.747</v>
      </c>
      <c r="B1400" t="n">
        <v>-0.045</v>
      </c>
      <c r="C1400" t="n">
        <v>0.106</v>
      </c>
      <c r="D1400" t="n">
        <v>-0.094</v>
      </c>
    </row>
    <row r="1401">
      <c r="A1401" t="n">
        <v>6.753</v>
      </c>
      <c r="B1401" t="n">
        <v>-0.031</v>
      </c>
      <c r="C1401" t="n">
        <v>0.134</v>
      </c>
      <c r="D1401" t="n">
        <v>-0.061</v>
      </c>
    </row>
    <row r="1402">
      <c r="A1402" t="n">
        <v>6.765</v>
      </c>
      <c r="B1402" t="n">
        <v>-0.018</v>
      </c>
      <c r="C1402" t="n">
        <v>0.163</v>
      </c>
      <c r="D1402" t="n">
        <v>-0.008</v>
      </c>
    </row>
    <row r="1403">
      <c r="A1403" t="n">
        <v>6.765</v>
      </c>
      <c r="B1403" t="n">
        <v>-0.027</v>
      </c>
      <c r="C1403" t="n">
        <v>0.182</v>
      </c>
      <c r="D1403" t="n">
        <v>0.066</v>
      </c>
    </row>
    <row r="1404">
      <c r="A1404" t="n">
        <v>6.773</v>
      </c>
      <c r="B1404" t="n">
        <v>-0.048</v>
      </c>
      <c r="C1404" t="n">
        <v>0.209</v>
      </c>
      <c r="D1404" t="n">
        <v>0.138</v>
      </c>
    </row>
    <row r="1405">
      <c r="A1405" t="n">
        <v>6.774</v>
      </c>
      <c r="B1405" t="n">
        <v>-0.08400000000000001</v>
      </c>
      <c r="C1405" t="n">
        <v>0.252</v>
      </c>
      <c r="D1405" t="n">
        <v>0.197</v>
      </c>
    </row>
    <row r="1406">
      <c r="A1406" t="n">
        <v>6.777</v>
      </c>
      <c r="B1406" t="n">
        <v>-0.126</v>
      </c>
      <c r="C1406" t="n">
        <v>0.335</v>
      </c>
      <c r="D1406" t="n">
        <v>0.234</v>
      </c>
    </row>
    <row r="1407">
      <c r="A1407" t="n">
        <v>6.782</v>
      </c>
      <c r="B1407" t="n">
        <v>-0.184</v>
      </c>
      <c r="C1407" t="n">
        <v>0.459</v>
      </c>
      <c r="D1407" t="n">
        <v>0.287</v>
      </c>
    </row>
    <row r="1408">
      <c r="A1408" t="n">
        <v>6.805</v>
      </c>
      <c r="B1408" t="n">
        <v>-0.268</v>
      </c>
      <c r="C1408" t="n">
        <v>0.609</v>
      </c>
      <c r="D1408" t="n">
        <v>0.371</v>
      </c>
    </row>
    <row r="1409">
      <c r="A1409" t="n">
        <v>6.806</v>
      </c>
      <c r="B1409" t="n">
        <v>-0.353</v>
      </c>
      <c r="C1409" t="n">
        <v>0.765</v>
      </c>
      <c r="D1409" t="n">
        <v>0.434</v>
      </c>
    </row>
    <row r="1410">
      <c r="A1410" t="n">
        <v>6.806</v>
      </c>
      <c r="B1410" t="n">
        <v>-0.41</v>
      </c>
      <c r="C1410" t="n">
        <v>0.9330000000000001</v>
      </c>
      <c r="D1410" t="n">
        <v>0.495</v>
      </c>
    </row>
    <row r="1411">
      <c r="A1411" t="n">
        <v>6.806</v>
      </c>
      <c r="B1411" t="n">
        <v>-0.439</v>
      </c>
      <c r="C1411" t="n">
        <v>1.116</v>
      </c>
      <c r="D1411" t="n">
        <v>0.571</v>
      </c>
    </row>
    <row r="1412">
      <c r="A1412" t="n">
        <v>6.807</v>
      </c>
      <c r="B1412" t="n">
        <v>-0.432</v>
      </c>
      <c r="C1412" t="n">
        <v>1.312</v>
      </c>
      <c r="D1412" t="n">
        <v>0.6919999999999999</v>
      </c>
    </row>
    <row r="1413">
      <c r="A1413" t="n">
        <v>6.813</v>
      </c>
      <c r="B1413" t="n">
        <v>-0.407</v>
      </c>
      <c r="C1413" t="n">
        <v>1.511</v>
      </c>
      <c r="D1413" t="n">
        <v>0.823</v>
      </c>
    </row>
    <row r="1414">
      <c r="A1414" t="n">
        <v>6.818</v>
      </c>
      <c r="B1414" t="n">
        <v>-0.325</v>
      </c>
      <c r="C1414" t="n">
        <v>1.726</v>
      </c>
      <c r="D1414" t="n">
        <v>0.926</v>
      </c>
    </row>
    <row r="1415">
      <c r="A1415" t="n">
        <v>6.824</v>
      </c>
      <c r="B1415" t="n">
        <v>-0.18</v>
      </c>
      <c r="C1415" t="n">
        <v>1.945</v>
      </c>
      <c r="D1415" t="n">
        <v>0.99</v>
      </c>
    </row>
    <row r="1416">
      <c r="A1416" t="n">
        <v>6.828</v>
      </c>
      <c r="B1416" t="n">
        <v>0.016</v>
      </c>
      <c r="C1416" t="n">
        <v>2.15</v>
      </c>
      <c r="D1416" t="n">
        <v>0.946</v>
      </c>
    </row>
    <row r="1417">
      <c r="A1417" t="n">
        <v>6.833</v>
      </c>
      <c r="B1417" t="n">
        <v>0.22</v>
      </c>
      <c r="C1417" t="n">
        <v>2.355</v>
      </c>
      <c r="D1417" t="n">
        <v>0.775</v>
      </c>
    </row>
    <row r="1418">
      <c r="A1418" t="n">
        <v>6.842</v>
      </c>
      <c r="B1418" t="n">
        <v>0.383</v>
      </c>
      <c r="C1418" t="n">
        <v>2.568</v>
      </c>
      <c r="D1418" t="n">
        <v>0.551</v>
      </c>
    </row>
    <row r="1419">
      <c r="A1419" t="n">
        <v>6.843</v>
      </c>
      <c r="B1419" t="n">
        <v>0.383</v>
      </c>
      <c r="C1419" t="n">
        <v>2.568</v>
      </c>
      <c r="D1419" t="n">
        <v>0.551</v>
      </c>
    </row>
    <row r="1420">
      <c r="A1420" t="n">
        <v>6.844</v>
      </c>
      <c r="B1420" t="n">
        <v>0.453</v>
      </c>
      <c r="C1420" t="n">
        <v>2.753</v>
      </c>
      <c r="D1420" t="n">
        <v>0.333</v>
      </c>
    </row>
    <row r="1421">
      <c r="A1421" t="n">
        <v>6.847</v>
      </c>
      <c r="B1421" t="n">
        <v>0.421</v>
      </c>
      <c r="C1421" t="n">
        <v>2.871</v>
      </c>
      <c r="D1421" t="n">
        <v>0.15</v>
      </c>
    </row>
    <row r="1422">
      <c r="A1422" t="n">
        <v>6.855</v>
      </c>
      <c r="B1422" t="n">
        <v>0.349</v>
      </c>
      <c r="C1422" t="n">
        <v>2.924</v>
      </c>
      <c r="D1422" t="n">
        <v>-0.007</v>
      </c>
    </row>
    <row r="1423">
      <c r="A1423" t="n">
        <v>6.861</v>
      </c>
      <c r="B1423" t="n">
        <v>0.286</v>
      </c>
      <c r="C1423" t="n">
        <v>2.942</v>
      </c>
      <c r="D1423" t="n">
        <v>-0.161</v>
      </c>
    </row>
    <row r="1424">
      <c r="A1424" t="n">
        <v>6.863</v>
      </c>
      <c r="B1424" t="n">
        <v>0.27</v>
      </c>
      <c r="C1424" t="n">
        <v>2.929</v>
      </c>
      <c r="D1424" t="n">
        <v>-0.282</v>
      </c>
    </row>
    <row r="1425">
      <c r="A1425" t="n">
        <v>6.868</v>
      </c>
      <c r="B1425" t="n">
        <v>0.297</v>
      </c>
      <c r="C1425" t="n">
        <v>2.905</v>
      </c>
      <c r="D1425" t="n">
        <v>-0.326</v>
      </c>
    </row>
    <row r="1426">
      <c r="A1426" t="n">
        <v>6.883</v>
      </c>
      <c r="B1426" t="n">
        <v>0.334</v>
      </c>
      <c r="C1426" t="n">
        <v>2.894</v>
      </c>
      <c r="D1426" t="n">
        <v>-0.311</v>
      </c>
    </row>
    <row r="1427">
      <c r="A1427" t="n">
        <v>6.884</v>
      </c>
      <c r="B1427" t="n">
        <v>0.334</v>
      </c>
      <c r="C1427" t="n">
        <v>2.894</v>
      </c>
      <c r="D1427" t="n">
        <v>-0.311</v>
      </c>
    </row>
    <row r="1428">
      <c r="A1428" t="n">
        <v>6.884</v>
      </c>
      <c r="B1428" t="n">
        <v>0.351</v>
      </c>
      <c r="C1428" t="n">
        <v>2.906</v>
      </c>
      <c r="D1428" t="n">
        <v>-0.265</v>
      </c>
    </row>
    <row r="1429">
      <c r="A1429" t="n">
        <v>6.934</v>
      </c>
      <c r="B1429" t="n">
        <v>0.385</v>
      </c>
      <c r="C1429" t="n">
        <v>2.887</v>
      </c>
      <c r="D1429" t="n">
        <v>-0.263</v>
      </c>
    </row>
    <row r="1430">
      <c r="A1430" t="n">
        <v>6.935</v>
      </c>
      <c r="B1430" t="n">
        <v>0.385</v>
      </c>
      <c r="C1430" t="n">
        <v>2.887</v>
      </c>
      <c r="D1430" t="n">
        <v>-0.263</v>
      </c>
    </row>
    <row r="1431">
      <c r="A1431" t="n">
        <v>6.935</v>
      </c>
      <c r="B1431" t="n">
        <v>0.499</v>
      </c>
      <c r="C1431" t="n">
        <v>2.781</v>
      </c>
      <c r="D1431" t="n">
        <v>-0.274</v>
      </c>
    </row>
    <row r="1432">
      <c r="A1432" t="n">
        <v>6.935</v>
      </c>
      <c r="B1432" t="n">
        <v>0.523</v>
      </c>
      <c r="C1432" t="n">
        <v>2.7</v>
      </c>
      <c r="D1432" t="n">
        <v>-0.249</v>
      </c>
    </row>
    <row r="1433">
      <c r="A1433" t="n">
        <v>6.936</v>
      </c>
      <c r="B1433" t="n">
        <v>0.511</v>
      </c>
      <c r="C1433" t="n">
        <v>2.604</v>
      </c>
      <c r="D1433" t="n">
        <v>-0.174</v>
      </c>
    </row>
    <row r="1434">
      <c r="A1434" t="n">
        <v>6.936</v>
      </c>
      <c r="B1434" t="n">
        <v>0.449</v>
      </c>
      <c r="C1434" t="n">
        <v>2.503</v>
      </c>
      <c r="D1434" t="n">
        <v>-0.053</v>
      </c>
    </row>
    <row r="1435">
      <c r="A1435" t="n">
        <v>6.936</v>
      </c>
      <c r="B1435" t="n">
        <v>0.374</v>
      </c>
      <c r="C1435" t="n">
        <v>2.416</v>
      </c>
      <c r="D1435" t="n">
        <v>0.081</v>
      </c>
    </row>
    <row r="1436">
      <c r="A1436" t="n">
        <v>6.937</v>
      </c>
      <c r="B1436" t="n">
        <v>0.308</v>
      </c>
      <c r="C1436" t="n">
        <v>2.352</v>
      </c>
      <c r="D1436" t="n">
        <v>0.173</v>
      </c>
    </row>
    <row r="1437">
      <c r="A1437" t="n">
        <v>6.937</v>
      </c>
      <c r="B1437" t="n">
        <v>0.261</v>
      </c>
      <c r="C1437" t="n">
        <v>2.308</v>
      </c>
      <c r="D1437" t="n">
        <v>0.206</v>
      </c>
    </row>
    <row r="1438">
      <c r="A1438" t="n">
        <v>6.938</v>
      </c>
      <c r="B1438" t="n">
        <v>0.225</v>
      </c>
      <c r="C1438" t="n">
        <v>2.269</v>
      </c>
      <c r="D1438" t="n">
        <v>0.196</v>
      </c>
    </row>
    <row r="1439">
      <c r="A1439" t="n">
        <v>6.956</v>
      </c>
      <c r="B1439" t="n">
        <v>0.198</v>
      </c>
      <c r="C1439" t="n">
        <v>2.232</v>
      </c>
      <c r="D1439" t="n">
        <v>0.149</v>
      </c>
    </row>
    <row r="1440">
      <c r="A1440" t="n">
        <v>6.958</v>
      </c>
      <c r="B1440" t="n">
        <v>0.177</v>
      </c>
      <c r="C1440" t="n">
        <v>2.204</v>
      </c>
      <c r="D1440" t="n">
        <v>0.09</v>
      </c>
    </row>
    <row r="1441">
      <c r="A1441" t="n">
        <v>6.959</v>
      </c>
      <c r="B1441" t="n">
        <v>0.169</v>
      </c>
      <c r="C1441" t="n">
        <v>2.173</v>
      </c>
      <c r="D1441" t="n">
        <v>0.041</v>
      </c>
    </row>
    <row r="1442">
      <c r="A1442" t="n">
        <v>6.959</v>
      </c>
      <c r="B1442" t="n">
        <v>0.168</v>
      </c>
      <c r="C1442" t="n">
        <v>2.133</v>
      </c>
      <c r="D1442" t="n">
        <v>0.015</v>
      </c>
    </row>
    <row r="1443">
      <c r="A1443" t="n">
        <v>6.96</v>
      </c>
      <c r="B1443" t="n">
        <v>0.167</v>
      </c>
      <c r="C1443" t="n">
        <v>2.065</v>
      </c>
      <c r="D1443" t="n">
        <v>0.027</v>
      </c>
    </row>
    <row r="1444">
      <c r="A1444" t="n">
        <v>6.963</v>
      </c>
      <c r="B1444" t="n">
        <v>0.175</v>
      </c>
      <c r="C1444" t="n">
        <v>1.978</v>
      </c>
      <c r="D1444" t="n">
        <v>0.082</v>
      </c>
    </row>
    <row r="1445">
      <c r="A1445" t="n">
        <v>6.967</v>
      </c>
      <c r="B1445" t="n">
        <v>0.193</v>
      </c>
      <c r="C1445" t="n">
        <v>1.891</v>
      </c>
      <c r="D1445" t="n">
        <v>0.159</v>
      </c>
    </row>
    <row r="1446">
      <c r="A1446" t="n">
        <v>6.992</v>
      </c>
      <c r="B1446" t="n">
        <v>0.212</v>
      </c>
      <c r="C1446" t="n">
        <v>1.81</v>
      </c>
      <c r="D1446" t="n">
        <v>0.25</v>
      </c>
    </row>
    <row r="1447">
      <c r="A1447" t="n">
        <v>6.994</v>
      </c>
      <c r="B1447" t="n">
        <v>0.223</v>
      </c>
      <c r="C1447" t="n">
        <v>1.735</v>
      </c>
      <c r="D1447" t="n">
        <v>0.328</v>
      </c>
    </row>
    <row r="1448">
      <c r="A1448" t="n">
        <v>6.995</v>
      </c>
      <c r="B1448" t="n">
        <v>0.226</v>
      </c>
      <c r="C1448" t="n">
        <v>1.672</v>
      </c>
      <c r="D1448" t="n">
        <v>0.38</v>
      </c>
    </row>
    <row r="1449">
      <c r="A1449" t="n">
        <v>6.997</v>
      </c>
      <c r="B1449" t="n">
        <v>0.224</v>
      </c>
      <c r="C1449" t="n">
        <v>1.616</v>
      </c>
      <c r="D1449" t="n">
        <v>0.402</v>
      </c>
    </row>
    <row r="1450">
      <c r="A1450" t="n">
        <v>6.999</v>
      </c>
      <c r="B1450" t="n">
        <v>0.217</v>
      </c>
      <c r="C1450" t="n">
        <v>1.565</v>
      </c>
      <c r="D1450" t="n">
        <v>0.394</v>
      </c>
    </row>
    <row r="1451">
      <c r="A1451" t="n">
        <v>6.999</v>
      </c>
      <c r="B1451" t="n">
        <v>0.2</v>
      </c>
      <c r="C1451" t="n">
        <v>1.521</v>
      </c>
      <c r="D1451" t="n">
        <v>0.352</v>
      </c>
    </row>
    <row r="1452">
      <c r="A1452" t="n">
        <v>7.003</v>
      </c>
      <c r="B1452" t="n">
        <v>0.187</v>
      </c>
      <c r="C1452" t="n">
        <v>1.486</v>
      </c>
      <c r="D1452" t="n">
        <v>0.303</v>
      </c>
    </row>
    <row r="1453">
      <c r="A1453" t="n">
        <v>7.031</v>
      </c>
      <c r="B1453" t="n">
        <v>0.179</v>
      </c>
      <c r="C1453" t="n">
        <v>1.452</v>
      </c>
      <c r="D1453" t="n">
        <v>0.266</v>
      </c>
    </row>
    <row r="1454">
      <c r="A1454" t="n">
        <v>7.032</v>
      </c>
      <c r="B1454" t="n">
        <v>0.177</v>
      </c>
      <c r="C1454" t="n">
        <v>1.419</v>
      </c>
      <c r="D1454" t="n">
        <v>0.237</v>
      </c>
    </row>
    <row r="1455">
      <c r="A1455" t="n">
        <v>7.032</v>
      </c>
      <c r="B1455" t="n">
        <v>0.179</v>
      </c>
      <c r="C1455" t="n">
        <v>1.398</v>
      </c>
      <c r="D1455" t="n">
        <v>0.207</v>
      </c>
    </row>
    <row r="1456">
      <c r="A1456" t="n">
        <v>7.032</v>
      </c>
      <c r="B1456" t="n">
        <v>0.177</v>
      </c>
      <c r="C1456" t="n">
        <v>1.392</v>
      </c>
      <c r="D1456" t="n">
        <v>0.171</v>
      </c>
    </row>
    <row r="1457">
      <c r="A1457" t="n">
        <v>7.033</v>
      </c>
      <c r="B1457" t="n">
        <v>0.173</v>
      </c>
      <c r="C1457" t="n">
        <v>1.385</v>
      </c>
      <c r="D1457" t="n">
        <v>0.128</v>
      </c>
    </row>
    <row r="1458">
      <c r="A1458" t="n">
        <v>7.033</v>
      </c>
      <c r="B1458" t="n">
        <v>0.168</v>
      </c>
      <c r="C1458" t="n">
        <v>1.373</v>
      </c>
      <c r="D1458" t="n">
        <v>0.082</v>
      </c>
    </row>
    <row r="1459">
      <c r="A1459" t="n">
        <v>7.04</v>
      </c>
      <c r="B1459" t="n">
        <v>0.152</v>
      </c>
      <c r="C1459" t="n">
        <v>1.354</v>
      </c>
      <c r="D1459" t="n">
        <v>0.032</v>
      </c>
    </row>
    <row r="1460">
      <c r="A1460" t="n">
        <v>7.043</v>
      </c>
      <c r="B1460" t="n">
        <v>0.126</v>
      </c>
      <c r="C1460" t="n">
        <v>1.329</v>
      </c>
      <c r="D1460" t="n">
        <v>-0.005</v>
      </c>
    </row>
    <row r="1461">
      <c r="A1461" t="n">
        <v>7.047</v>
      </c>
      <c r="B1461" t="n">
        <v>0.099</v>
      </c>
      <c r="C1461" t="n">
        <v>1.304</v>
      </c>
      <c r="D1461" t="n">
        <v>-0.024</v>
      </c>
    </row>
    <row r="1462">
      <c r="A1462" t="n">
        <v>7.053</v>
      </c>
      <c r="B1462" t="n">
        <v>0.075</v>
      </c>
      <c r="C1462" t="n">
        <v>1.283</v>
      </c>
      <c r="D1462" t="n">
        <v>-0.039</v>
      </c>
    </row>
    <row r="1463">
      <c r="A1463" t="n">
        <v>7.061</v>
      </c>
      <c r="B1463" t="n">
        <v>0.044</v>
      </c>
      <c r="C1463" t="n">
        <v>1.253</v>
      </c>
      <c r="D1463" t="n">
        <v>-0.045</v>
      </c>
    </row>
    <row r="1464">
      <c r="A1464" t="n">
        <v>7.063</v>
      </c>
      <c r="B1464" t="n">
        <v>0.013</v>
      </c>
      <c r="C1464" t="n">
        <v>1.217</v>
      </c>
      <c r="D1464" t="n">
        <v>-0.057</v>
      </c>
    </row>
    <row r="1465">
      <c r="A1465" t="n">
        <v>7.067</v>
      </c>
      <c r="B1465" t="n">
        <v>-0.005</v>
      </c>
      <c r="C1465" t="n">
        <v>1.182</v>
      </c>
      <c r="D1465" t="n">
        <v>-0.066</v>
      </c>
    </row>
    <row r="1466">
      <c r="A1466" t="n">
        <v>7.1</v>
      </c>
      <c r="B1466" t="n">
        <v>-0.018</v>
      </c>
      <c r="C1466" t="n">
        <v>1.15</v>
      </c>
      <c r="D1466" t="n">
        <v>-0.065</v>
      </c>
    </row>
    <row r="1467">
      <c r="A1467" t="n">
        <v>7.101</v>
      </c>
      <c r="B1467" t="n">
        <v>-0.02</v>
      </c>
      <c r="C1467" t="n">
        <v>1.123</v>
      </c>
      <c r="D1467" t="n">
        <v>-0.066</v>
      </c>
    </row>
    <row r="1468">
      <c r="A1468" t="n">
        <v>7.102</v>
      </c>
      <c r="B1468" t="n">
        <v>-0.01</v>
      </c>
      <c r="C1468" t="n">
        <v>1.093</v>
      </c>
      <c r="D1468" t="n">
        <v>-0.055</v>
      </c>
    </row>
    <row r="1469">
      <c r="A1469" t="n">
        <v>7.102</v>
      </c>
      <c r="B1469" t="n">
        <v>-0.005</v>
      </c>
      <c r="C1469" t="n">
        <v>1.063</v>
      </c>
      <c r="D1469" t="n">
        <v>-0.043</v>
      </c>
    </row>
    <row r="1470">
      <c r="A1470" t="n">
        <v>7.104</v>
      </c>
      <c r="B1470" t="n">
        <v>-0.001</v>
      </c>
      <c r="C1470" t="n">
        <v>1.03</v>
      </c>
      <c r="D1470" t="n">
        <v>-0.03</v>
      </c>
    </row>
    <row r="1471">
      <c r="A1471" t="n">
        <v>7.106</v>
      </c>
      <c r="B1471" t="n">
        <v>0.006</v>
      </c>
      <c r="C1471" t="n">
        <v>1.004</v>
      </c>
      <c r="D1471" t="n">
        <v>-0.015</v>
      </c>
    </row>
    <row r="1472">
      <c r="A1472" t="n">
        <v>7.106</v>
      </c>
      <c r="B1472" t="n">
        <v>0.02</v>
      </c>
      <c r="C1472" t="n">
        <v>0.987</v>
      </c>
      <c r="D1472" t="n">
        <v>-0.002</v>
      </c>
    </row>
    <row r="1473">
      <c r="A1473" t="n">
        <v>7.111</v>
      </c>
      <c r="B1473" t="n">
        <v>0.037</v>
      </c>
      <c r="C1473" t="n">
        <v>0.969</v>
      </c>
      <c r="D1473" t="n">
        <v>0.013</v>
      </c>
    </row>
    <row r="1474">
      <c r="A1474" t="n">
        <v>7.113</v>
      </c>
      <c r="B1474" t="n">
        <v>0.05</v>
      </c>
      <c r="C1474" t="n">
        <v>0.944</v>
      </c>
      <c r="D1474" t="n">
        <v>0.022</v>
      </c>
    </row>
    <row r="1475">
      <c r="A1475" t="n">
        <v>7.118</v>
      </c>
      <c r="B1475" t="n">
        <v>0.04</v>
      </c>
      <c r="C1475" t="n">
        <v>0.909</v>
      </c>
      <c r="D1475" t="n">
        <v>0.032</v>
      </c>
    </row>
    <row r="1476">
      <c r="A1476" t="n">
        <v>7.126</v>
      </c>
      <c r="B1476" t="n">
        <v>0.026</v>
      </c>
      <c r="C1476" t="n">
        <v>0.881</v>
      </c>
      <c r="D1476" t="n">
        <v>0.044</v>
      </c>
    </row>
    <row r="1477">
      <c r="A1477" t="n">
        <v>7.127</v>
      </c>
      <c r="B1477" t="n">
        <v>0.008999999999999999</v>
      </c>
      <c r="C1477" t="n">
        <v>0.855</v>
      </c>
      <c r="D1477" t="n">
        <v>0.065</v>
      </c>
    </row>
    <row r="1478">
      <c r="A1478" t="n">
        <v>7.133</v>
      </c>
      <c r="B1478" t="n">
        <v>-0.007</v>
      </c>
      <c r="C1478" t="n">
        <v>0.843</v>
      </c>
      <c r="D1478" t="n">
        <v>0.076</v>
      </c>
    </row>
    <row r="1479">
      <c r="A1479" t="n">
        <v>7.138</v>
      </c>
      <c r="B1479" t="n">
        <v>-0.012</v>
      </c>
      <c r="C1479" t="n">
        <v>0.844</v>
      </c>
      <c r="D1479" t="n">
        <v>0.077</v>
      </c>
    </row>
    <row r="1480">
      <c r="A1480" t="n">
        <v>7.143</v>
      </c>
      <c r="B1480" t="n">
        <v>-0.01</v>
      </c>
      <c r="C1480" t="n">
        <v>0.855</v>
      </c>
      <c r="D1480" t="n">
        <v>0.077</v>
      </c>
    </row>
    <row r="1481">
      <c r="A1481" t="n">
        <v>7.148</v>
      </c>
      <c r="B1481" t="n">
        <v>-0.004</v>
      </c>
      <c r="C1481" t="n">
        <v>0.864</v>
      </c>
      <c r="D1481" t="n">
        <v>0.065</v>
      </c>
    </row>
    <row r="1482">
      <c r="A1482" t="n">
        <v>7.153</v>
      </c>
      <c r="B1482" t="n">
        <v>0.001</v>
      </c>
      <c r="C1482" t="n">
        <v>0.872</v>
      </c>
      <c r="D1482" t="n">
        <v>0.038</v>
      </c>
    </row>
    <row r="1483">
      <c r="A1483" t="n">
        <v>7.16</v>
      </c>
      <c r="B1483" t="n">
        <v>0.002</v>
      </c>
      <c r="C1483" t="n">
        <v>0.868</v>
      </c>
      <c r="D1483" t="n">
        <v>0.018</v>
      </c>
    </row>
    <row r="1484">
      <c r="A1484" t="n">
        <v>7.163</v>
      </c>
      <c r="B1484" t="n">
        <v>0</v>
      </c>
      <c r="C1484" t="n">
        <v>0.862</v>
      </c>
      <c r="D1484" t="n">
        <v>0.008</v>
      </c>
    </row>
    <row r="1485">
      <c r="A1485" t="n">
        <v>7.168</v>
      </c>
      <c r="B1485" t="n">
        <v>-0.008</v>
      </c>
      <c r="C1485" t="n">
        <v>0.853</v>
      </c>
      <c r="D1485" t="n">
        <v>0.013</v>
      </c>
    </row>
    <row r="1486">
      <c r="A1486" t="n">
        <v>7.185</v>
      </c>
      <c r="B1486" t="n">
        <v>-0.022</v>
      </c>
      <c r="C1486" t="n">
        <v>0.853</v>
      </c>
      <c r="D1486" t="n">
        <v>0.026</v>
      </c>
    </row>
    <row r="1487">
      <c r="A1487" t="n">
        <v>7.186</v>
      </c>
      <c r="B1487" t="n">
        <v>-0.043</v>
      </c>
      <c r="C1487" t="n">
        <v>0.86</v>
      </c>
      <c r="D1487" t="n">
        <v>0.035</v>
      </c>
    </row>
    <row r="1488">
      <c r="A1488" t="n">
        <v>7.187</v>
      </c>
      <c r="B1488" t="n">
        <v>-0.063</v>
      </c>
      <c r="C1488" t="n">
        <v>0.878</v>
      </c>
      <c r="D1488" t="n">
        <v>0.032</v>
      </c>
    </row>
    <row r="1489">
      <c r="A1489" t="n">
        <v>7.225</v>
      </c>
      <c r="B1489" t="n">
        <v>-0.083</v>
      </c>
      <c r="C1489" t="n">
        <v>0.88</v>
      </c>
      <c r="D1489" t="n">
        <v>0.016</v>
      </c>
    </row>
    <row r="1490">
      <c r="A1490" t="n">
        <v>7.225</v>
      </c>
      <c r="B1490" t="n">
        <v>-0.083</v>
      </c>
      <c r="C1490" t="n">
        <v>0.88</v>
      </c>
      <c r="D1490" t="n">
        <v>0.016</v>
      </c>
    </row>
    <row r="1491">
      <c r="A1491" t="n">
        <v>7.226</v>
      </c>
      <c r="B1491" t="n">
        <v>-0.101</v>
      </c>
      <c r="C1491" t="n">
        <v>0.886</v>
      </c>
      <c r="D1491" t="n">
        <v>-0.049</v>
      </c>
    </row>
    <row r="1492">
      <c r="A1492" t="n">
        <v>7.226</v>
      </c>
      <c r="B1492" t="n">
        <v>-0.08799999999999999</v>
      </c>
      <c r="C1492" t="n">
        <v>0.896</v>
      </c>
      <c r="D1492" t="n">
        <v>-0.07199999999999999</v>
      </c>
    </row>
    <row r="1493">
      <c r="A1493" t="n">
        <v>7.226</v>
      </c>
      <c r="B1493" t="n">
        <v>-0.076</v>
      </c>
      <c r="C1493" t="n">
        <v>0.91</v>
      </c>
      <c r="D1493" t="n">
        <v>-0.08699999999999999</v>
      </c>
    </row>
    <row r="1494">
      <c r="A1494" t="n">
        <v>7.226</v>
      </c>
      <c r="B1494" t="n">
        <v>-0.058</v>
      </c>
      <c r="C1494" t="n">
        <v>0.927</v>
      </c>
      <c r="D1494" t="n">
        <v>-0.091</v>
      </c>
    </row>
    <row r="1495">
      <c r="A1495" t="n">
        <v>7.227</v>
      </c>
      <c r="B1495" t="n">
        <v>-0.039</v>
      </c>
      <c r="C1495" t="n">
        <v>0.9360000000000001</v>
      </c>
      <c r="D1495" t="n">
        <v>-0.08400000000000001</v>
      </c>
    </row>
    <row r="1496">
      <c r="A1496" t="n">
        <v>7.227</v>
      </c>
      <c r="B1496" t="n">
        <v>-0.016</v>
      </c>
      <c r="C1496" t="n">
        <v>0.9399999999999999</v>
      </c>
      <c r="D1496" t="n">
        <v>-0.08</v>
      </c>
    </row>
    <row r="1497">
      <c r="A1497" t="n">
        <v>7.227</v>
      </c>
      <c r="B1497" t="n">
        <v>0.006</v>
      </c>
      <c r="C1497" t="n">
        <v>0.9409999999999999</v>
      </c>
      <c r="D1497" t="n">
        <v>-0.08</v>
      </c>
    </row>
    <row r="1498">
      <c r="A1498" t="n">
        <v>7.233</v>
      </c>
      <c r="B1498" t="n">
        <v>0.028</v>
      </c>
      <c r="C1498" t="n">
        <v>0.9360000000000001</v>
      </c>
      <c r="D1498" t="n">
        <v>-0.075</v>
      </c>
    </row>
    <row r="1499">
      <c r="A1499" t="n">
        <v>7.238</v>
      </c>
      <c r="B1499" t="n">
        <v>0.046</v>
      </c>
      <c r="C1499" t="n">
        <v>0.93</v>
      </c>
      <c r="D1499" t="n">
        <v>-0.064</v>
      </c>
    </row>
    <row r="1500">
      <c r="A1500" t="n">
        <v>7.243</v>
      </c>
      <c r="B1500" t="n">
        <v>0.058</v>
      </c>
      <c r="C1500" t="n">
        <v>0.92</v>
      </c>
      <c r="D1500" t="n">
        <v>-0.049</v>
      </c>
    </row>
    <row r="1501">
      <c r="A1501" t="n">
        <v>7.247</v>
      </c>
      <c r="B1501" t="n">
        <v>0.07099999999999999</v>
      </c>
      <c r="C1501" t="n">
        <v>0.912</v>
      </c>
      <c r="D1501" t="n">
        <v>-0.03</v>
      </c>
    </row>
    <row r="1502">
      <c r="A1502" t="n">
        <v>7.253</v>
      </c>
      <c r="B1502" t="n">
        <v>0.081</v>
      </c>
      <c r="C1502" t="n">
        <v>0.91</v>
      </c>
      <c r="D1502" t="n">
        <v>-0.015</v>
      </c>
    </row>
    <row r="1503">
      <c r="A1503" t="n">
        <v>7.264</v>
      </c>
      <c r="B1503" t="n">
        <v>0.08599999999999999</v>
      </c>
      <c r="C1503" t="n">
        <v>0.907</v>
      </c>
      <c r="D1503" t="n">
        <v>-0.006</v>
      </c>
    </row>
    <row r="1504">
      <c r="A1504" t="n">
        <v>7.264</v>
      </c>
      <c r="B1504" t="n">
        <v>0.08699999999999999</v>
      </c>
      <c r="C1504" t="n">
        <v>0.901</v>
      </c>
      <c r="D1504" t="n">
        <v>-0.004</v>
      </c>
    </row>
    <row r="1505">
      <c r="A1505" t="n">
        <v>7.27</v>
      </c>
      <c r="B1505" t="n">
        <v>0.08699999999999999</v>
      </c>
      <c r="C1505" t="n">
        <v>0.901</v>
      </c>
      <c r="D1505" t="n">
        <v>-0.004</v>
      </c>
    </row>
    <row r="1506">
      <c r="A1506" t="n">
        <v>7.27</v>
      </c>
      <c r="B1506" t="n">
        <v>0.08699999999999999</v>
      </c>
      <c r="C1506" t="n">
        <v>0.901</v>
      </c>
      <c r="D1506" t="n">
        <v>-0.004</v>
      </c>
    </row>
    <row r="1507">
      <c r="A1507" t="n">
        <v>7.302</v>
      </c>
      <c r="B1507" t="n">
        <v>0.08500000000000001</v>
      </c>
      <c r="C1507" t="n">
        <v>0.891</v>
      </c>
      <c r="D1507" t="n">
        <v>-0.006</v>
      </c>
    </row>
    <row r="1508">
      <c r="A1508" t="n">
        <v>7.302</v>
      </c>
      <c r="B1508" t="n">
        <v>0.06900000000000001</v>
      </c>
      <c r="C1508" t="n">
        <v>0.881</v>
      </c>
      <c r="D1508" t="n">
        <v>-0.017</v>
      </c>
    </row>
    <row r="1509">
      <c r="A1509" t="n">
        <v>7.302</v>
      </c>
      <c r="B1509" t="n">
        <v>0.048</v>
      </c>
      <c r="C1509" t="n">
        <v>0.873</v>
      </c>
      <c r="D1509" t="n">
        <v>-0.023</v>
      </c>
    </row>
    <row r="1510">
      <c r="A1510" t="n">
        <v>7.303</v>
      </c>
      <c r="B1510" t="n">
        <v>0.032</v>
      </c>
      <c r="C1510" t="n">
        <v>0.868</v>
      </c>
      <c r="D1510" t="n">
        <v>-0.032</v>
      </c>
    </row>
    <row r="1511">
      <c r="A1511" t="n">
        <v>7.303</v>
      </c>
      <c r="B1511" t="n">
        <v>0.014</v>
      </c>
      <c r="C1511" t="n">
        <v>0.867</v>
      </c>
      <c r="D1511" t="n">
        <v>-0.041</v>
      </c>
    </row>
    <row r="1512">
      <c r="A1512" t="n">
        <v>7.303</v>
      </c>
      <c r="B1512" t="n">
        <v>0.004</v>
      </c>
      <c r="C1512" t="n">
        <v>0.865</v>
      </c>
      <c r="D1512" t="n">
        <v>-0.049</v>
      </c>
    </row>
    <row r="1513">
      <c r="A1513" t="n">
        <v>7.313</v>
      </c>
      <c r="B1513" t="n">
        <v>-0.007</v>
      </c>
      <c r="C1513" t="n">
        <v>0.861</v>
      </c>
      <c r="D1513" t="n">
        <v>-0.054</v>
      </c>
    </row>
    <row r="1514">
      <c r="A1514" t="n">
        <v>7.314</v>
      </c>
      <c r="B1514" t="n">
        <v>-0.016</v>
      </c>
      <c r="C1514" t="n">
        <v>0.859</v>
      </c>
      <c r="D1514" t="n">
        <v>-0.06</v>
      </c>
    </row>
    <row r="1515">
      <c r="A1515" t="n">
        <v>7.317</v>
      </c>
      <c r="B1515" t="n">
        <v>-0.026</v>
      </c>
      <c r="C1515" t="n">
        <v>0.854</v>
      </c>
      <c r="D1515" t="n">
        <v>-0.061</v>
      </c>
    </row>
    <row r="1516">
      <c r="A1516" t="n">
        <v>7.324</v>
      </c>
      <c r="B1516" t="n">
        <v>-0.034</v>
      </c>
      <c r="C1516" t="n">
        <v>0.84</v>
      </c>
      <c r="D1516" t="n">
        <v>-0.063</v>
      </c>
    </row>
    <row r="1517">
      <c r="A1517" t="n">
        <v>7.33</v>
      </c>
      <c r="B1517" t="n">
        <v>-0.034</v>
      </c>
      <c r="C1517" t="n">
        <v>0.828</v>
      </c>
      <c r="D1517" t="n">
        <v>-0.058</v>
      </c>
    </row>
    <row r="1518">
      <c r="A1518" t="n">
        <v>7.334</v>
      </c>
      <c r="B1518" t="n">
        <v>-0.033</v>
      </c>
      <c r="C1518" t="n">
        <v>0.819</v>
      </c>
      <c r="D1518" t="n">
        <v>-0.049</v>
      </c>
    </row>
    <row r="1519">
      <c r="A1519" t="n">
        <v>7.34</v>
      </c>
      <c r="B1519" t="n">
        <v>-0.025</v>
      </c>
      <c r="C1519" t="n">
        <v>0.8149999999999999</v>
      </c>
      <c r="D1519" t="n">
        <v>-0.031</v>
      </c>
    </row>
    <row r="1520">
      <c r="A1520" t="n">
        <v>7.348</v>
      </c>
      <c r="B1520" t="n">
        <v>-0.015</v>
      </c>
      <c r="C1520" t="n">
        <v>0.8100000000000001</v>
      </c>
      <c r="D1520" t="n">
        <v>-0.004</v>
      </c>
    </row>
    <row r="1521">
      <c r="A1521" t="n">
        <v>7.35</v>
      </c>
      <c r="B1521" t="n">
        <v>-0.015</v>
      </c>
      <c r="C1521" t="n">
        <v>0.8100000000000001</v>
      </c>
      <c r="D1521" t="n">
        <v>-0.004</v>
      </c>
    </row>
    <row r="1522">
      <c r="A1522" t="n">
        <v>7.351</v>
      </c>
      <c r="B1522" t="n">
        <v>-0.008999999999999999</v>
      </c>
      <c r="C1522" t="n">
        <v>0.799</v>
      </c>
      <c r="D1522" t="n">
        <v>0.021</v>
      </c>
    </row>
    <row r="1523">
      <c r="A1523" t="n">
        <v>7.354</v>
      </c>
      <c r="B1523" t="n">
        <v>0</v>
      </c>
      <c r="C1523" t="n">
        <v>0.788</v>
      </c>
      <c r="D1523" t="n">
        <v>0.043</v>
      </c>
    </row>
    <row r="1524">
      <c r="A1524" t="n">
        <v>7.371</v>
      </c>
      <c r="B1524" t="n">
        <v>0.014</v>
      </c>
      <c r="C1524" t="n">
        <v>0.779</v>
      </c>
      <c r="D1524" t="n">
        <v>0.067</v>
      </c>
    </row>
    <row r="1525">
      <c r="A1525" t="n">
        <v>7.374</v>
      </c>
      <c r="B1525" t="n">
        <v>0.026</v>
      </c>
      <c r="C1525" t="n">
        <v>0.78</v>
      </c>
      <c r="D1525" t="n">
        <v>0.091</v>
      </c>
    </row>
    <row r="1526">
      <c r="A1526" t="n">
        <v>7.375</v>
      </c>
      <c r="B1526" t="n">
        <v>0.039</v>
      </c>
      <c r="C1526" t="n">
        <v>0.785</v>
      </c>
      <c r="D1526" t="n">
        <v>0.114</v>
      </c>
    </row>
    <row r="1527">
      <c r="A1527" t="n">
        <v>7.376</v>
      </c>
      <c r="B1527" t="n">
        <v>0.047</v>
      </c>
      <c r="C1527" t="n">
        <v>0.793</v>
      </c>
      <c r="D1527" t="n">
        <v>0.122</v>
      </c>
    </row>
    <row r="1528">
      <c r="A1528" t="n">
        <v>7.378</v>
      </c>
      <c r="B1528" t="n">
        <v>0.047</v>
      </c>
      <c r="C1528" t="n">
        <v>0.793</v>
      </c>
      <c r="D1528" t="n">
        <v>0.122</v>
      </c>
    </row>
    <row r="1529">
      <c r="A1529" t="n">
        <v>7.415</v>
      </c>
      <c r="B1529" t="n">
        <v>0.058</v>
      </c>
      <c r="C1529" t="n">
        <v>0.804</v>
      </c>
      <c r="D1529" t="n">
        <v>0.122</v>
      </c>
    </row>
    <row r="1530">
      <c r="A1530" t="n">
        <v>7.416</v>
      </c>
      <c r="B1530" t="n">
        <v>0.066</v>
      </c>
      <c r="C1530" t="n">
        <v>0.8100000000000001</v>
      </c>
      <c r="D1530" t="n">
        <v>0.109</v>
      </c>
    </row>
    <row r="1531">
      <c r="A1531" t="n">
        <v>7.416</v>
      </c>
      <c r="B1531" t="n">
        <v>0.075</v>
      </c>
      <c r="C1531" t="n">
        <v>0.823</v>
      </c>
      <c r="D1531" t="n">
        <v>0.098</v>
      </c>
    </row>
    <row r="1532">
      <c r="A1532" t="n">
        <v>7.416</v>
      </c>
      <c r="B1532" t="n">
        <v>0.08400000000000001</v>
      </c>
      <c r="C1532" t="n">
        <v>0.839</v>
      </c>
      <c r="D1532" t="n">
        <v>0.089</v>
      </c>
    </row>
    <row r="1533">
      <c r="A1533" t="n">
        <v>7.416</v>
      </c>
      <c r="B1533" t="n">
        <v>0.104</v>
      </c>
      <c r="C1533" t="n">
        <v>0.858</v>
      </c>
      <c r="D1533" t="n">
        <v>0.081</v>
      </c>
    </row>
    <row r="1534">
      <c r="A1534" t="n">
        <v>7.416</v>
      </c>
      <c r="B1534" t="n">
        <v>0.124</v>
      </c>
      <c r="C1534" t="n">
        <v>0.882</v>
      </c>
      <c r="D1534" t="n">
        <v>0.07099999999999999</v>
      </c>
    </row>
    <row r="1535">
      <c r="A1535" t="n">
        <v>7.417</v>
      </c>
      <c r="B1535" t="n">
        <v>0.138</v>
      </c>
      <c r="C1535" t="n">
        <v>0.9</v>
      </c>
      <c r="D1535" t="n">
        <v>0.058</v>
      </c>
    </row>
    <row r="1536">
      <c r="A1536" t="n">
        <v>7.417</v>
      </c>
      <c r="B1536" t="n">
        <v>0.146</v>
      </c>
      <c r="C1536" t="n">
        <v>0.916</v>
      </c>
      <c r="D1536" t="n">
        <v>0.046</v>
      </c>
    </row>
    <row r="1537">
      <c r="A1537" t="n">
        <v>7.419</v>
      </c>
      <c r="B1537" t="n">
        <v>0.151</v>
      </c>
      <c r="C1537" t="n">
        <v>0.928</v>
      </c>
      <c r="D1537" t="n">
        <v>0.032</v>
      </c>
    </row>
    <row r="1538">
      <c r="A1538" t="n">
        <v>7.425</v>
      </c>
      <c r="B1538" t="n">
        <v>0.147</v>
      </c>
      <c r="C1538" t="n">
        <v>0.9409999999999999</v>
      </c>
      <c r="D1538" t="n">
        <v>0.023</v>
      </c>
    </row>
    <row r="1539">
      <c r="A1539" t="n">
        <v>7.428</v>
      </c>
      <c r="B1539" t="n">
        <v>0.141</v>
      </c>
      <c r="C1539" t="n">
        <v>0.953</v>
      </c>
      <c r="D1539" t="n">
        <v>0.024</v>
      </c>
    </row>
    <row r="1540">
      <c r="A1540" t="n">
        <v>7.433</v>
      </c>
      <c r="B1540" t="n">
        <v>0.129</v>
      </c>
      <c r="C1540" t="n">
        <v>0.961</v>
      </c>
      <c r="D1540" t="n">
        <v>0.025</v>
      </c>
    </row>
    <row r="1541">
      <c r="A1541" t="n">
        <v>7.438</v>
      </c>
      <c r="B1541" t="n">
        <v>0.106</v>
      </c>
      <c r="C1541" t="n">
        <v>0.964</v>
      </c>
      <c r="D1541" t="n">
        <v>0.029</v>
      </c>
    </row>
    <row r="1542">
      <c r="A1542" t="n">
        <v>7.445</v>
      </c>
      <c r="B1542" t="n">
        <v>0.079</v>
      </c>
      <c r="C1542" t="n">
        <v>0.968</v>
      </c>
      <c r="D1542" t="n">
        <v>0.033</v>
      </c>
    </row>
    <row r="1543">
      <c r="A1543" t="n">
        <v>7.446</v>
      </c>
      <c r="B1543" t="n">
        <v>0.079</v>
      </c>
      <c r="C1543" t="n">
        <v>0.968</v>
      </c>
      <c r="D1543" t="n">
        <v>0.033</v>
      </c>
    </row>
    <row r="1544">
      <c r="A1544" t="n">
        <v>7.448</v>
      </c>
      <c r="B1544" t="n">
        <v>0.06</v>
      </c>
      <c r="C1544" t="n">
        <v>0.976</v>
      </c>
      <c r="D1544" t="n">
        <v>0.031</v>
      </c>
    </row>
    <row r="1545">
      <c r="A1545" t="n">
        <v>7.453</v>
      </c>
      <c r="B1545" t="n">
        <v>0.046</v>
      </c>
      <c r="C1545" t="n">
        <v>0.982</v>
      </c>
      <c r="D1545" t="n">
        <v>0.026</v>
      </c>
    </row>
    <row r="1546">
      <c r="A1546" t="n">
        <v>7.471</v>
      </c>
      <c r="B1546" t="n">
        <v>0.039</v>
      </c>
      <c r="C1546" t="n">
        <v>0.985</v>
      </c>
      <c r="D1546" t="n">
        <v>0.015</v>
      </c>
    </row>
    <row r="1547">
      <c r="A1547" t="n">
        <v>7.473</v>
      </c>
      <c r="B1547" t="n">
        <v>0.039</v>
      </c>
      <c r="C1547" t="n">
        <v>0.985</v>
      </c>
      <c r="D1547" t="n">
        <v>0.015</v>
      </c>
    </row>
    <row r="1548">
      <c r="A1548" t="n">
        <v>7.474</v>
      </c>
      <c r="B1548" t="n">
        <v>0.034</v>
      </c>
      <c r="C1548" t="n">
        <v>0.988</v>
      </c>
      <c r="D1548" t="n">
        <v>0.004</v>
      </c>
    </row>
    <row r="1549">
      <c r="A1549" t="n">
        <v>7.475</v>
      </c>
      <c r="B1549" t="n">
        <v>0.032</v>
      </c>
      <c r="C1549" t="n">
        <v>0.985</v>
      </c>
      <c r="D1549" t="n">
        <v>0.002</v>
      </c>
    </row>
    <row r="1550">
      <c r="A1550" t="n">
        <v>7.526</v>
      </c>
      <c r="B1550" t="n">
        <v>0.035</v>
      </c>
      <c r="C1550" t="n">
        <v>0.985</v>
      </c>
      <c r="D1550" t="n">
        <v>0.007</v>
      </c>
    </row>
    <row r="1551">
      <c r="A1551" t="n">
        <v>7.527</v>
      </c>
      <c r="B1551" t="n">
        <v>0.035</v>
      </c>
      <c r="C1551" t="n">
        <v>0.985</v>
      </c>
      <c r="D1551" t="n">
        <v>0.007</v>
      </c>
    </row>
    <row r="1552">
      <c r="A1552" t="n">
        <v>7.528</v>
      </c>
      <c r="B1552" t="n">
        <v>0.056</v>
      </c>
      <c r="C1552" t="n">
        <v>0.999</v>
      </c>
      <c r="D1552" t="n">
        <v>0.034</v>
      </c>
    </row>
    <row r="1553">
      <c r="A1553" t="n">
        <v>7.529</v>
      </c>
      <c r="B1553" t="n">
        <v>0.07199999999999999</v>
      </c>
      <c r="C1553" t="n">
        <v>1.011</v>
      </c>
      <c r="D1553" t="n">
        <v>0.037</v>
      </c>
    </row>
    <row r="1554">
      <c r="A1554" t="n">
        <v>7.53</v>
      </c>
      <c r="B1554" t="n">
        <v>0.08500000000000001</v>
      </c>
      <c r="C1554" t="n">
        <v>1.014</v>
      </c>
      <c r="D1554" t="n">
        <v>0.038</v>
      </c>
    </row>
    <row r="1555">
      <c r="A1555" t="n">
        <v>7.531</v>
      </c>
      <c r="B1555" t="n">
        <v>0.08500000000000001</v>
      </c>
      <c r="C1555" t="n">
        <v>1.014</v>
      </c>
      <c r="D1555" t="n">
        <v>0.038</v>
      </c>
    </row>
    <row r="1556">
      <c r="A1556" t="n">
        <v>7.531</v>
      </c>
      <c r="B1556" t="n">
        <v>0.095</v>
      </c>
      <c r="C1556" t="n">
        <v>1.013</v>
      </c>
      <c r="D1556" t="n">
        <v>0.041</v>
      </c>
    </row>
    <row r="1557">
      <c r="A1557" t="n">
        <v>7.532</v>
      </c>
      <c r="B1557" t="n">
        <v>0.099</v>
      </c>
      <c r="C1557" t="n">
        <v>1.013</v>
      </c>
      <c r="D1557" t="n">
        <v>0.034</v>
      </c>
    </row>
    <row r="1558">
      <c r="A1558" t="n">
        <v>7.533</v>
      </c>
      <c r="B1558" t="n">
        <v>0.101</v>
      </c>
      <c r="C1558" t="n">
        <v>1.01</v>
      </c>
      <c r="D1558" t="n">
        <v>0.028</v>
      </c>
    </row>
    <row r="1559">
      <c r="A1559" t="n">
        <v>7.534</v>
      </c>
      <c r="B1559" t="n">
        <v>0.105</v>
      </c>
      <c r="C1559" t="n">
        <v>1.014</v>
      </c>
      <c r="D1559" t="n">
        <v>0.024</v>
      </c>
    </row>
    <row r="1560">
      <c r="A1560" t="n">
        <v>7.534</v>
      </c>
      <c r="B1560" t="n">
        <v>0.109</v>
      </c>
      <c r="C1560" t="n">
        <v>1.018</v>
      </c>
      <c r="D1560" t="n">
        <v>0.018</v>
      </c>
    </row>
    <row r="1561">
      <c r="A1561" t="n">
        <v>7.535</v>
      </c>
      <c r="B1561" t="n">
        <v>0.118</v>
      </c>
      <c r="C1561" t="n">
        <v>1.022</v>
      </c>
      <c r="D1561" t="n">
        <v>0.014</v>
      </c>
    </row>
    <row r="1562">
      <c r="A1562" t="n">
        <v>7.535</v>
      </c>
      <c r="B1562" t="n">
        <v>0.125</v>
      </c>
      <c r="C1562" t="n">
        <v>1.027</v>
      </c>
      <c r="D1562" t="n">
        <v>-0.003</v>
      </c>
    </row>
    <row r="1563">
      <c r="A1563" t="n">
        <v>7.536</v>
      </c>
      <c r="B1563" t="n">
        <v>0.124</v>
      </c>
      <c r="C1563" t="n">
        <v>1.036</v>
      </c>
      <c r="D1563" t="n">
        <v>-0.018</v>
      </c>
    </row>
    <row r="1564">
      <c r="A1564" t="n">
        <v>7.538</v>
      </c>
      <c r="B1564" t="n">
        <v>0.118</v>
      </c>
      <c r="C1564" t="n">
        <v>1.038</v>
      </c>
      <c r="D1564" t="n">
        <v>-0.035</v>
      </c>
    </row>
    <row r="1565">
      <c r="A1565" t="n">
        <v>7.544</v>
      </c>
      <c r="B1565" t="n">
        <v>0.107</v>
      </c>
      <c r="C1565" t="n">
        <v>1.039</v>
      </c>
      <c r="D1565" t="n">
        <v>-0.049</v>
      </c>
    </row>
    <row r="1566">
      <c r="A1566" t="n">
        <v>7.547</v>
      </c>
      <c r="B1566" t="n">
        <v>0.09</v>
      </c>
      <c r="C1566" t="n">
        <v>1.034</v>
      </c>
      <c r="D1566" t="n">
        <v>-0.048</v>
      </c>
    </row>
    <row r="1567">
      <c r="A1567" t="n">
        <v>7.553</v>
      </c>
      <c r="B1567" t="n">
        <v>0.07199999999999999</v>
      </c>
      <c r="C1567" t="n">
        <v>1.024</v>
      </c>
      <c r="D1567" t="n">
        <v>-0.036</v>
      </c>
    </row>
    <row r="1568">
      <c r="A1568" t="n">
        <v>7.561</v>
      </c>
      <c r="B1568" t="n">
        <v>0.058</v>
      </c>
      <c r="C1568" t="n">
        <v>1.016</v>
      </c>
      <c r="D1568" t="n">
        <v>-0.023</v>
      </c>
    </row>
    <row r="1569">
      <c r="A1569" t="n">
        <v>7.563</v>
      </c>
      <c r="B1569" t="n">
        <v>0.058</v>
      </c>
      <c r="C1569" t="n">
        <v>1.015</v>
      </c>
      <c r="D1569" t="n">
        <v>-0.017</v>
      </c>
    </row>
    <row r="1570">
      <c r="A1570" t="n">
        <v>7.567</v>
      </c>
      <c r="B1570" t="n">
        <v>0.051</v>
      </c>
      <c r="C1570" t="n">
        <v>1.005</v>
      </c>
      <c r="D1570" t="n">
        <v>-0.016</v>
      </c>
    </row>
    <row r="1571">
      <c r="A1571" t="n">
        <v>7.584</v>
      </c>
      <c r="B1571" t="n">
        <v>0.052</v>
      </c>
      <c r="C1571" t="n">
        <v>1</v>
      </c>
      <c r="D1571" t="n">
        <v>-0.007</v>
      </c>
    </row>
    <row r="1572">
      <c r="A1572" t="n">
        <v>7.585</v>
      </c>
      <c r="B1572" t="n">
        <v>0.052</v>
      </c>
      <c r="C1572" t="n">
        <v>1</v>
      </c>
      <c r="D1572" t="n">
        <v>-0.007</v>
      </c>
    </row>
    <row r="1573">
      <c r="A1573" t="n">
        <v>7.585</v>
      </c>
      <c r="B1573" t="n">
        <v>0.058</v>
      </c>
      <c r="C1573" t="n">
        <v>0.992</v>
      </c>
      <c r="D1573" t="n">
        <v>0.01</v>
      </c>
    </row>
    <row r="1574">
      <c r="A1574" t="n">
        <v>7.586</v>
      </c>
      <c r="B1574" t="n">
        <v>0.064</v>
      </c>
      <c r="C1574" t="n">
        <v>0.979</v>
      </c>
      <c r="D1574" t="n">
        <v>0.027</v>
      </c>
    </row>
    <row r="1575">
      <c r="A1575" t="n">
        <v>7.588</v>
      </c>
      <c r="B1575" t="n">
        <v>0.07099999999999999</v>
      </c>
      <c r="C1575" t="n">
        <v>0.966</v>
      </c>
      <c r="D1575" t="n">
        <v>0.048</v>
      </c>
    </row>
    <row r="1576">
      <c r="A1576" t="n">
        <v>7.619</v>
      </c>
      <c r="B1576" t="n">
        <v>0.07099999999999999</v>
      </c>
      <c r="C1576" t="n">
        <v>0.959</v>
      </c>
      <c r="D1576" t="n">
        <v>0.07199999999999999</v>
      </c>
    </row>
    <row r="1577">
      <c r="A1577" t="n">
        <v>7.619</v>
      </c>
      <c r="B1577" t="n">
        <v>0.07199999999999999</v>
      </c>
      <c r="C1577" t="n">
        <v>0.953</v>
      </c>
      <c r="D1577" t="n">
        <v>0.091</v>
      </c>
    </row>
    <row r="1578">
      <c r="A1578" t="n">
        <v>7.62</v>
      </c>
      <c r="B1578" t="n">
        <v>0.076</v>
      </c>
      <c r="C1578" t="n">
        <v>0.949</v>
      </c>
      <c r="D1578" t="n">
        <v>0.104</v>
      </c>
    </row>
    <row r="1579">
      <c r="A1579" t="n">
        <v>7.62</v>
      </c>
      <c r="B1579" t="n">
        <v>0.081</v>
      </c>
      <c r="C1579" t="n">
        <v>0.947</v>
      </c>
      <c r="D1579" t="n">
        <v>0.106</v>
      </c>
    </row>
    <row r="1580">
      <c r="A1580" t="n">
        <v>7.62</v>
      </c>
      <c r="B1580" t="n">
        <v>0.096</v>
      </c>
      <c r="C1580" t="n">
        <v>0.948</v>
      </c>
      <c r="D1580" t="n">
        <v>0.104</v>
      </c>
    </row>
    <row r="1581">
      <c r="A1581" t="n">
        <v>7.621</v>
      </c>
      <c r="B1581" t="n">
        <v>0.107</v>
      </c>
      <c r="C1581" t="n">
        <v>0.954</v>
      </c>
      <c r="D1581" t="n">
        <v>0.101</v>
      </c>
    </row>
    <row r="1582">
      <c r="A1582" t="n">
        <v>7.623</v>
      </c>
      <c r="B1582" t="n">
        <v>0.112</v>
      </c>
      <c r="C1582" t="n">
        <v>0.96</v>
      </c>
      <c r="D1582" t="n">
        <v>0.083</v>
      </c>
    </row>
    <row r="1583">
      <c r="A1583" t="n">
        <v>7.628</v>
      </c>
      <c r="B1583" t="n">
        <v>0.115</v>
      </c>
      <c r="C1583" t="n">
        <v>0.966</v>
      </c>
      <c r="D1583" t="n">
        <v>0.062</v>
      </c>
    </row>
    <row r="1584">
      <c r="A1584" t="n">
        <v>7.634</v>
      </c>
      <c r="B1584" t="n">
        <v>0.116</v>
      </c>
      <c r="C1584" t="n">
        <v>0.972</v>
      </c>
      <c r="D1584" t="n">
        <v>0.041</v>
      </c>
    </row>
    <row r="1585">
      <c r="A1585" t="n">
        <v>7.637</v>
      </c>
      <c r="B1585" t="n">
        <v>0.115</v>
      </c>
      <c r="C1585" t="n">
        <v>0.979</v>
      </c>
      <c r="D1585" t="n">
        <v>0.033</v>
      </c>
    </row>
    <row r="1586">
      <c r="A1586" t="n">
        <v>7.645</v>
      </c>
      <c r="B1586" t="n">
        <v>0.113</v>
      </c>
      <c r="C1586" t="n">
        <v>0.987</v>
      </c>
      <c r="D1586" t="n">
        <v>0.031</v>
      </c>
    </row>
    <row r="1587">
      <c r="A1587" t="n">
        <v>7.648</v>
      </c>
      <c r="B1587" t="n">
        <v>0.107</v>
      </c>
      <c r="C1587" t="n">
        <v>0.997</v>
      </c>
      <c r="D1587" t="n">
        <v>0.029</v>
      </c>
    </row>
    <row r="1588">
      <c r="A1588" t="n">
        <v>7.653</v>
      </c>
      <c r="B1588" t="n">
        <v>0.106</v>
      </c>
      <c r="C1588" t="n">
        <v>1.003</v>
      </c>
      <c r="D1588" t="n">
        <v>0.026</v>
      </c>
    </row>
    <row r="1589">
      <c r="A1589" t="n">
        <v>7.663</v>
      </c>
      <c r="B1589" t="n">
        <v>0.098</v>
      </c>
      <c r="C1589" t="n">
        <v>1.003</v>
      </c>
      <c r="D1589" t="n">
        <v>0.024</v>
      </c>
    </row>
    <row r="1590">
      <c r="A1590" t="n">
        <v>7.664</v>
      </c>
      <c r="B1590" t="n">
        <v>0.089</v>
      </c>
      <c r="C1590" t="n">
        <v>0.999</v>
      </c>
      <c r="D1590" t="n">
        <v>0.02</v>
      </c>
    </row>
    <row r="1591">
      <c r="A1591" t="n">
        <v>7.668</v>
      </c>
      <c r="B1591" t="n">
        <v>0.08500000000000001</v>
      </c>
      <c r="C1591" t="n">
        <v>0.998</v>
      </c>
      <c r="D1591" t="n">
        <v>0.018</v>
      </c>
    </row>
    <row r="1592">
      <c r="A1592" t="n">
        <v>7.674</v>
      </c>
      <c r="B1592" t="n">
        <v>0.089</v>
      </c>
      <c r="C1592" t="n">
        <v>1</v>
      </c>
      <c r="D1592" t="n">
        <v>0.02</v>
      </c>
    </row>
    <row r="1593">
      <c r="A1593" t="n">
        <v>7.688</v>
      </c>
      <c r="B1593" t="n">
        <v>0.096</v>
      </c>
      <c r="C1593" t="n">
        <v>1.003</v>
      </c>
      <c r="D1593" t="n">
        <v>0.033</v>
      </c>
    </row>
    <row r="1594">
      <c r="A1594" t="n">
        <v>7.693</v>
      </c>
      <c r="B1594" t="n">
        <v>0.099</v>
      </c>
      <c r="C1594" t="n">
        <v>1.002</v>
      </c>
      <c r="D1594" t="n">
        <v>0.044</v>
      </c>
    </row>
    <row r="1595">
      <c r="A1595" t="n">
        <v>7.694</v>
      </c>
      <c r="B1595" t="n">
        <v>0.099</v>
      </c>
      <c r="C1595" t="n">
        <v>1</v>
      </c>
      <c r="D1595" t="n">
        <v>0.051</v>
      </c>
    </row>
    <row r="1596">
      <c r="A1596" t="n">
        <v>7.695</v>
      </c>
      <c r="B1596" t="n">
        <v>0.095</v>
      </c>
      <c r="C1596" t="n">
        <v>0.992</v>
      </c>
      <c r="D1596" t="n">
        <v>0.053</v>
      </c>
    </row>
    <row r="1597">
      <c r="A1597" t="n">
        <v>7.698</v>
      </c>
      <c r="B1597" t="n">
        <v>0.089</v>
      </c>
      <c r="C1597" t="n">
        <v>0.981</v>
      </c>
      <c r="D1597" t="n">
        <v>0.053</v>
      </c>
    </row>
    <row r="1598">
      <c r="A1598" t="n">
        <v>7.703</v>
      </c>
      <c r="B1598" t="n">
        <v>0.08599999999999999</v>
      </c>
      <c r="C1598" t="n">
        <v>0.972</v>
      </c>
      <c r="D1598" t="n">
        <v>0.054</v>
      </c>
    </row>
    <row r="1599">
      <c r="A1599" t="n">
        <v>7.746</v>
      </c>
      <c r="B1599" t="n">
        <v>0.093</v>
      </c>
      <c r="C1599" t="n">
        <v>0.967</v>
      </c>
      <c r="D1599" t="n">
        <v>0.059</v>
      </c>
    </row>
    <row r="1600">
      <c r="A1600" t="n">
        <v>7.747</v>
      </c>
      <c r="B1600" t="n">
        <v>0.094</v>
      </c>
      <c r="C1600" t="n">
        <v>0.967</v>
      </c>
      <c r="D1600" t="n">
        <v>0.065</v>
      </c>
    </row>
    <row r="1601">
      <c r="A1601" t="n">
        <v>7.748</v>
      </c>
      <c r="B1601" t="n">
        <v>0.099</v>
      </c>
      <c r="C1601" t="n">
        <v>0.966</v>
      </c>
      <c r="D1601" t="n">
        <v>0.075</v>
      </c>
    </row>
    <row r="1602">
      <c r="A1602" t="n">
        <v>7.754</v>
      </c>
      <c r="B1602" t="n">
        <v>0.098</v>
      </c>
      <c r="C1602" t="n">
        <v>0.965</v>
      </c>
      <c r="D1602" t="n">
        <v>0.077</v>
      </c>
    </row>
    <row r="1603">
      <c r="A1603" t="n">
        <v>7.754</v>
      </c>
      <c r="B1603" t="n">
        <v>0.093</v>
      </c>
      <c r="C1603" t="n">
        <v>0.959</v>
      </c>
      <c r="D1603" t="n">
        <v>0.076</v>
      </c>
    </row>
    <row r="1604">
      <c r="A1604" t="n">
        <v>7.754</v>
      </c>
      <c r="B1604" t="n">
        <v>0.08699999999999999</v>
      </c>
      <c r="C1604" t="n">
        <v>0.955</v>
      </c>
      <c r="D1604" t="n">
        <v>0.067</v>
      </c>
    </row>
    <row r="1605">
      <c r="A1605" t="n">
        <v>7.755</v>
      </c>
      <c r="B1605" t="n">
        <v>0.09</v>
      </c>
      <c r="C1605" t="n">
        <v>0.958</v>
      </c>
      <c r="D1605" t="n">
        <v>0.057</v>
      </c>
    </row>
    <row r="1606">
      <c r="A1606" t="n">
        <v>7.755</v>
      </c>
      <c r="B1606" t="n">
        <v>0.094</v>
      </c>
      <c r="C1606" t="n">
        <v>0.966</v>
      </c>
      <c r="D1606" t="n">
        <v>0.048</v>
      </c>
    </row>
    <row r="1607">
      <c r="A1607" t="n">
        <v>7.755</v>
      </c>
      <c r="B1607" t="n">
        <v>0.099</v>
      </c>
      <c r="C1607" t="n">
        <v>0.973</v>
      </c>
      <c r="D1607" t="n">
        <v>0.04</v>
      </c>
    </row>
    <row r="1608">
      <c r="A1608" t="n">
        <v>7.756</v>
      </c>
      <c r="B1608" t="n">
        <v>0.101</v>
      </c>
      <c r="C1608" t="n">
        <v>0.978</v>
      </c>
      <c r="D1608" t="n">
        <v>0.033</v>
      </c>
    </row>
    <row r="1609">
      <c r="A1609" t="n">
        <v>7.769</v>
      </c>
      <c r="B1609" t="n">
        <v>0.097</v>
      </c>
      <c r="C1609" t="n">
        <v>0.979</v>
      </c>
      <c r="D1609" t="n">
        <v>0.024</v>
      </c>
    </row>
    <row r="1610">
      <c r="A1610" t="n">
        <v>7.769</v>
      </c>
      <c r="B1610" t="n">
        <v>0.091</v>
      </c>
      <c r="C1610" t="n">
        <v>0.986</v>
      </c>
      <c r="D1610" t="n">
        <v>0.012</v>
      </c>
    </row>
    <row r="1611">
      <c r="A1611" t="n">
        <v>7.77</v>
      </c>
      <c r="B1611" t="n">
        <v>0.091</v>
      </c>
      <c r="C1611" t="n">
        <v>0.999</v>
      </c>
      <c r="D1611" t="n">
        <v>0.004</v>
      </c>
    </row>
    <row r="1612">
      <c r="A1612" t="n">
        <v>7.773</v>
      </c>
      <c r="B1612" t="n">
        <v>0.089</v>
      </c>
      <c r="C1612" t="n">
        <v>1.01</v>
      </c>
      <c r="D1612" t="n">
        <v>-0.005</v>
      </c>
    </row>
    <row r="1613">
      <c r="A1613" t="n">
        <v>7.78</v>
      </c>
      <c r="B1613" t="n">
        <v>0.089</v>
      </c>
      <c r="C1613" t="n">
        <v>1.023</v>
      </c>
      <c r="D1613" t="n">
        <v>-0.014</v>
      </c>
    </row>
    <row r="1614">
      <c r="A1614" t="n">
        <v>7.783</v>
      </c>
      <c r="B1614" t="n">
        <v>0.09</v>
      </c>
      <c r="C1614" t="n">
        <v>1.029</v>
      </c>
      <c r="D1614" t="n">
        <v>-0.018</v>
      </c>
    </row>
    <row r="1615">
      <c r="A1615" t="n">
        <v>7.787</v>
      </c>
      <c r="B1615" t="n">
        <v>0.091</v>
      </c>
      <c r="C1615" t="n">
        <v>1.03</v>
      </c>
      <c r="D1615" t="n">
        <v>-0.021</v>
      </c>
    </row>
    <row r="1616">
      <c r="A1616" t="n">
        <v>7.816</v>
      </c>
      <c r="B1616" t="n">
        <v>0.093</v>
      </c>
      <c r="C1616" t="n">
        <v>1.026</v>
      </c>
      <c r="D1616" t="n">
        <v>-0.017</v>
      </c>
    </row>
    <row r="1617">
      <c r="A1617" t="n">
        <v>7.816</v>
      </c>
      <c r="B1617" t="n">
        <v>0.093</v>
      </c>
      <c r="C1617" t="n">
        <v>1.026</v>
      </c>
      <c r="D1617" t="n">
        <v>-0.017</v>
      </c>
    </row>
    <row r="1618">
      <c r="A1618" t="n">
        <v>7.817</v>
      </c>
      <c r="B1618" t="n">
        <v>0.093</v>
      </c>
      <c r="C1618" t="n">
        <v>1.021</v>
      </c>
      <c r="D1618" t="n">
        <v>0</v>
      </c>
    </row>
    <row r="1619">
      <c r="A1619" t="n">
        <v>7.817</v>
      </c>
      <c r="B1619" t="n">
        <v>0.099</v>
      </c>
      <c r="C1619" t="n">
        <v>1.017</v>
      </c>
      <c r="D1619" t="n">
        <v>0.023</v>
      </c>
    </row>
    <row r="1620">
      <c r="A1620" t="n">
        <v>7.817</v>
      </c>
      <c r="B1620" t="n">
        <v>0.101</v>
      </c>
      <c r="C1620" t="n">
        <v>1.016</v>
      </c>
      <c r="D1620" t="n">
        <v>0.042</v>
      </c>
    </row>
    <row r="1621">
      <c r="A1621" t="n">
        <v>7.817</v>
      </c>
      <c r="B1621" t="n">
        <v>0.095</v>
      </c>
      <c r="C1621" t="n">
        <v>1.004</v>
      </c>
      <c r="D1621" t="n">
        <v>0.055</v>
      </c>
    </row>
    <row r="1622">
      <c r="A1622" t="n">
        <v>7.818</v>
      </c>
      <c r="B1622" t="n">
        <v>0.089</v>
      </c>
      <c r="C1622" t="n">
        <v>0.994</v>
      </c>
      <c r="D1622" t="n">
        <v>0.064</v>
      </c>
    </row>
    <row r="1623">
      <c r="A1623" t="n">
        <v>7.823</v>
      </c>
      <c r="B1623" t="n">
        <v>0.08500000000000001</v>
      </c>
      <c r="C1623" t="n">
        <v>0.987</v>
      </c>
      <c r="D1623" t="n">
        <v>0.07099999999999999</v>
      </c>
    </row>
    <row r="1624">
      <c r="A1624" t="n">
        <v>7.827</v>
      </c>
      <c r="B1624" t="n">
        <v>0.08599999999999999</v>
      </c>
      <c r="C1624" t="n">
        <v>0.98</v>
      </c>
      <c r="D1624" t="n">
        <v>0.074</v>
      </c>
    </row>
    <row r="1625">
      <c r="A1625" t="n">
        <v>7.833</v>
      </c>
      <c r="B1625" t="n">
        <v>0.08500000000000001</v>
      </c>
      <c r="C1625" t="n">
        <v>0.975</v>
      </c>
      <c r="D1625" t="n">
        <v>0.068</v>
      </c>
    </row>
    <row r="1626">
      <c r="A1626" t="n">
        <v>7.838</v>
      </c>
      <c r="B1626" t="n">
        <v>0.081</v>
      </c>
      <c r="C1626" t="n">
        <v>0.972</v>
      </c>
      <c r="D1626" t="n">
        <v>0.064</v>
      </c>
    </row>
    <row r="1627">
      <c r="A1627" t="n">
        <v>7.846</v>
      </c>
      <c r="B1627" t="n">
        <v>0.077</v>
      </c>
      <c r="C1627" t="n">
        <v>0.968</v>
      </c>
      <c r="D1627" t="n">
        <v>0.057</v>
      </c>
    </row>
    <row r="1628">
      <c r="A1628" t="n">
        <v>7.847</v>
      </c>
      <c r="B1628" t="n">
        <v>0.078</v>
      </c>
      <c r="C1628" t="n">
        <v>0.969</v>
      </c>
      <c r="D1628" t="n">
        <v>0.049</v>
      </c>
    </row>
    <row r="1629">
      <c r="A1629" t="n">
        <v>7.852</v>
      </c>
      <c r="B1629" t="n">
        <v>0.08</v>
      </c>
      <c r="C1629" t="n">
        <v>0.967</v>
      </c>
      <c r="D1629" t="n">
        <v>0.034</v>
      </c>
    </row>
    <row r="1630">
      <c r="A1630" t="n">
        <v>7.863</v>
      </c>
      <c r="B1630" t="n">
        <v>0.08599999999999999</v>
      </c>
      <c r="C1630" t="n">
        <v>0.967</v>
      </c>
      <c r="D1630" t="n">
        <v>0.022</v>
      </c>
    </row>
    <row r="1631">
      <c r="A1631" t="n">
        <v>7.863</v>
      </c>
      <c r="B1631" t="n">
        <v>0.097</v>
      </c>
      <c r="C1631" t="n">
        <v>0.97</v>
      </c>
      <c r="D1631" t="n">
        <v>0.015</v>
      </c>
    </row>
    <row r="1632">
      <c r="A1632" t="n">
        <v>7.867</v>
      </c>
      <c r="B1632" t="n">
        <v>0.104</v>
      </c>
      <c r="C1632" t="n">
        <v>0.976</v>
      </c>
      <c r="D1632" t="n">
        <v>0.012</v>
      </c>
    </row>
    <row r="1633">
      <c r="A1633" t="n">
        <v>7.875</v>
      </c>
      <c r="B1633" t="n">
        <v>0.103</v>
      </c>
      <c r="C1633" t="n">
        <v>0.982</v>
      </c>
      <c r="D1633" t="n">
        <v>0.008</v>
      </c>
    </row>
    <row r="1634">
      <c r="A1634" t="n">
        <v>7.896</v>
      </c>
      <c r="B1634" t="n">
        <v>0.096</v>
      </c>
      <c r="C1634" t="n">
        <v>0.986</v>
      </c>
      <c r="D1634" t="n">
        <v>0.004</v>
      </c>
    </row>
    <row r="1635">
      <c r="A1635" t="n">
        <v>7.899</v>
      </c>
      <c r="B1635" t="n">
        <v>0.08400000000000001</v>
      </c>
      <c r="C1635" t="n">
        <v>0.981</v>
      </c>
      <c r="D1635" t="n">
        <v>-0.003</v>
      </c>
    </row>
    <row r="1636">
      <c r="A1636" t="n">
        <v>7.9</v>
      </c>
      <c r="B1636" t="n">
        <v>0.082</v>
      </c>
      <c r="C1636" t="n">
        <v>0.973</v>
      </c>
      <c r="D1636" t="n">
        <v>0</v>
      </c>
    </row>
    <row r="1637">
      <c r="A1637" t="n">
        <v>7.901</v>
      </c>
      <c r="B1637" t="n">
        <v>0.079</v>
      </c>
      <c r="C1637" t="n">
        <v>0.961</v>
      </c>
      <c r="D1637" t="n">
        <v>0.015</v>
      </c>
    </row>
    <row r="1638">
      <c r="A1638" t="n">
        <v>7.902</v>
      </c>
      <c r="B1638" t="n">
        <v>0.07199999999999999</v>
      </c>
      <c r="C1638" t="n">
        <v>0.95</v>
      </c>
      <c r="D1638" t="n">
        <v>0.032</v>
      </c>
    </row>
    <row r="1639">
      <c r="A1639" t="n">
        <v>7.903</v>
      </c>
      <c r="B1639" t="n">
        <v>0.06900000000000001</v>
      </c>
      <c r="C1639" t="n">
        <v>0.949</v>
      </c>
      <c r="D1639" t="n">
        <v>0.054</v>
      </c>
    </row>
    <row r="1640">
      <c r="A1640" t="n">
        <v>7.948</v>
      </c>
      <c r="B1640" t="n">
        <v>0.064</v>
      </c>
      <c r="C1640" t="n">
        <v>0.9399999999999999</v>
      </c>
      <c r="D1640" t="n">
        <v>0.06900000000000001</v>
      </c>
    </row>
    <row r="1641">
      <c r="A1641" t="n">
        <v>7.949</v>
      </c>
      <c r="B1641" t="n">
        <v>0.063</v>
      </c>
      <c r="C1641" t="n">
        <v>0.9389999999999999</v>
      </c>
      <c r="D1641" t="n">
        <v>0.067</v>
      </c>
    </row>
    <row r="1642">
      <c r="A1642" t="n">
        <v>7.95</v>
      </c>
      <c r="B1642" t="n">
        <v>0.07199999999999999</v>
      </c>
      <c r="C1642" t="n">
        <v>0.93</v>
      </c>
      <c r="D1642" t="n">
        <v>0.067</v>
      </c>
    </row>
    <row r="1643">
      <c r="A1643" t="n">
        <v>7.95</v>
      </c>
      <c r="B1643" t="n">
        <v>0.075</v>
      </c>
      <c r="C1643" t="n">
        <v>0.919</v>
      </c>
      <c r="D1643" t="n">
        <v>0.074</v>
      </c>
    </row>
    <row r="1644">
      <c r="A1644" t="n">
        <v>7.951</v>
      </c>
      <c r="B1644" t="n">
        <v>0.08500000000000001</v>
      </c>
      <c r="C1644" t="n">
        <v>0.914</v>
      </c>
      <c r="D1644" t="n">
        <v>0.083</v>
      </c>
    </row>
    <row r="1645">
      <c r="A1645" t="n">
        <v>7.952</v>
      </c>
      <c r="B1645" t="n">
        <v>0.08500000000000001</v>
      </c>
      <c r="C1645" t="n">
        <v>0.912</v>
      </c>
      <c r="D1645" t="n">
        <v>0.095</v>
      </c>
    </row>
    <row r="1646">
      <c r="A1646" t="n">
        <v>7.953</v>
      </c>
      <c r="B1646" t="n">
        <v>0.08500000000000001</v>
      </c>
      <c r="C1646" t="n">
        <v>0.913</v>
      </c>
      <c r="D1646" t="n">
        <v>0.096</v>
      </c>
    </row>
    <row r="1647">
      <c r="A1647" t="n">
        <v>7.953</v>
      </c>
      <c r="B1647" t="n">
        <v>0.081</v>
      </c>
      <c r="C1647" t="n">
        <v>0.914</v>
      </c>
      <c r="D1647" t="n">
        <v>0.096</v>
      </c>
    </row>
    <row r="1648">
      <c r="A1648" t="n">
        <v>7.954</v>
      </c>
      <c r="B1648" t="n">
        <v>0.081</v>
      </c>
      <c r="C1648" t="n">
        <v>0.914</v>
      </c>
      <c r="D1648" t="n">
        <v>0.096</v>
      </c>
    </row>
    <row r="1649">
      <c r="A1649" t="n">
        <v>7.954</v>
      </c>
      <c r="B1649" t="n">
        <v>0.081</v>
      </c>
      <c r="C1649" t="n">
        <v>0.912</v>
      </c>
      <c r="D1649" t="n">
        <v>0.092</v>
      </c>
    </row>
    <row r="1650">
      <c r="A1650" t="n">
        <v>7.955</v>
      </c>
      <c r="B1650" t="n">
        <v>0.079</v>
      </c>
      <c r="C1650" t="n">
        <v>0.911</v>
      </c>
      <c r="D1650" t="n">
        <v>0.08599999999999999</v>
      </c>
    </row>
    <row r="1651">
      <c r="A1651" t="n">
        <v>7.965</v>
      </c>
      <c r="B1651" t="n">
        <v>0.078</v>
      </c>
      <c r="C1651" t="n">
        <v>0.913</v>
      </c>
      <c r="D1651" t="n">
        <v>0.079</v>
      </c>
    </row>
    <row r="1652">
      <c r="A1652" t="n">
        <v>7.966</v>
      </c>
      <c r="B1652" t="n">
        <v>0.078</v>
      </c>
      <c r="C1652" t="n">
        <v>0.913</v>
      </c>
      <c r="D1652" t="n">
        <v>0.079</v>
      </c>
    </row>
    <row r="1653">
      <c r="A1653" t="n">
        <v>7.967</v>
      </c>
      <c r="B1653" t="n">
        <v>0.078</v>
      </c>
      <c r="C1653" t="n">
        <v>0.913</v>
      </c>
      <c r="D1653" t="n">
        <v>0.079</v>
      </c>
    </row>
    <row r="1654">
      <c r="A1654" t="n">
        <v>7.969</v>
      </c>
      <c r="B1654" t="n">
        <v>0.073</v>
      </c>
      <c r="C1654" t="n">
        <v>0.929</v>
      </c>
      <c r="D1654" t="n">
        <v>0.07000000000000001</v>
      </c>
    </row>
    <row r="1655">
      <c r="A1655" t="n">
        <v>7.973</v>
      </c>
      <c r="B1655" t="n">
        <v>0.07099999999999999</v>
      </c>
      <c r="C1655" t="n">
        <v>0.9379999999999999</v>
      </c>
      <c r="D1655" t="n">
        <v>0.067</v>
      </c>
    </row>
    <row r="1656">
      <c r="A1656" t="n">
        <v>7.985</v>
      </c>
      <c r="B1656" t="n">
        <v>0.076</v>
      </c>
      <c r="C1656" t="n">
        <v>0.951</v>
      </c>
      <c r="D1656" t="n">
        <v>0.062</v>
      </c>
    </row>
    <row r="1657">
      <c r="A1657" t="n">
        <v>7.986</v>
      </c>
      <c r="B1657" t="n">
        <v>0.08699999999999999</v>
      </c>
      <c r="C1657" t="n">
        <v>0.966</v>
      </c>
      <c r="D1657" t="n">
        <v>0.054</v>
      </c>
    </row>
    <row r="1658">
      <c r="A1658" t="n">
        <v>7.987</v>
      </c>
      <c r="B1658" t="n">
        <v>0.1</v>
      </c>
      <c r="C1658" t="n">
        <v>0.978</v>
      </c>
      <c r="D1658" t="n">
        <v>0.042</v>
      </c>
    </row>
    <row r="1659">
      <c r="A1659" t="n">
        <v>8.016999999999999</v>
      </c>
      <c r="B1659" t="n">
        <v>0.1</v>
      </c>
      <c r="C1659" t="n">
        <v>0.978</v>
      </c>
      <c r="D1659" t="n">
        <v>0.042</v>
      </c>
    </row>
    <row r="1660">
      <c r="A1660" t="n">
        <v>8.016999999999999</v>
      </c>
      <c r="B1660" t="n">
        <v>0.109</v>
      </c>
      <c r="C1660" t="n">
        <v>0.99</v>
      </c>
      <c r="D1660" t="n">
        <v>0.031</v>
      </c>
    </row>
    <row r="1661">
      <c r="A1661" t="n">
        <v>8.018000000000001</v>
      </c>
      <c r="B1661" t="n">
        <v>0.112</v>
      </c>
      <c r="C1661" t="n">
        <v>0.993</v>
      </c>
      <c r="D1661" t="n">
        <v>0.023</v>
      </c>
    </row>
    <row r="1662">
      <c r="A1662" t="n">
        <v>8.018000000000001</v>
      </c>
      <c r="B1662" t="n">
        <v>0.109</v>
      </c>
      <c r="C1662" t="n">
        <v>1.002</v>
      </c>
      <c r="D1662" t="n">
        <v>0.011</v>
      </c>
    </row>
    <row r="1663">
      <c r="A1663" t="n">
        <v>8.018000000000001</v>
      </c>
      <c r="B1663" t="n">
        <v>0.109</v>
      </c>
      <c r="C1663" t="n">
        <v>1.015</v>
      </c>
      <c r="D1663" t="n">
        <v>-0.001</v>
      </c>
    </row>
    <row r="1664">
      <c r="A1664" t="n">
        <v>8.018000000000001</v>
      </c>
      <c r="B1664" t="n">
        <v>0.118</v>
      </c>
      <c r="C1664" t="n">
        <v>1.027</v>
      </c>
      <c r="D1664" t="n">
        <v>0.004</v>
      </c>
    </row>
    <row r="1665">
      <c r="A1665" t="n">
        <v>8.023</v>
      </c>
      <c r="B1665" t="n">
        <v>0.124</v>
      </c>
      <c r="C1665" t="n">
        <v>1.038</v>
      </c>
      <c r="D1665" t="n">
        <v>0</v>
      </c>
    </row>
    <row r="1666">
      <c r="A1666" t="n">
        <v>8.026999999999999</v>
      </c>
      <c r="B1666" t="n">
        <v>0.128</v>
      </c>
      <c r="C1666" t="n">
        <v>1.043</v>
      </c>
      <c r="D1666" t="n">
        <v>-0.005</v>
      </c>
    </row>
    <row r="1667">
      <c r="A1667" t="n">
        <v>8.032999999999999</v>
      </c>
      <c r="B1667" t="n">
        <v>0.14</v>
      </c>
      <c r="C1667" t="n">
        <v>1.053</v>
      </c>
      <c r="D1667" t="n">
        <v>-0.013</v>
      </c>
    </row>
    <row r="1668">
      <c r="A1668" t="n">
        <v>8.037000000000001</v>
      </c>
      <c r="B1668" t="n">
        <v>0.144</v>
      </c>
      <c r="C1668" t="n">
        <v>1.062</v>
      </c>
      <c r="D1668" t="n">
        <v>-0.016</v>
      </c>
    </row>
    <row r="1669">
      <c r="A1669" t="n">
        <v>8.042999999999999</v>
      </c>
      <c r="B1669" t="n">
        <v>0.137</v>
      </c>
      <c r="C1669" t="n">
        <v>1.065</v>
      </c>
      <c r="D1669" t="n">
        <v>-0.02</v>
      </c>
    </row>
    <row r="1670">
      <c r="A1670" t="n">
        <v>8.047000000000001</v>
      </c>
      <c r="B1670" t="n">
        <v>0.132</v>
      </c>
      <c r="C1670" t="n">
        <v>1.069</v>
      </c>
      <c r="D1670" t="n">
        <v>-0.025</v>
      </c>
    </row>
    <row r="1671">
      <c r="A1671" t="n">
        <v>8.053000000000001</v>
      </c>
      <c r="B1671" t="n">
        <v>0.13</v>
      </c>
      <c r="C1671" t="n">
        <v>1.071</v>
      </c>
      <c r="D1671" t="n">
        <v>-0.034</v>
      </c>
    </row>
    <row r="1672">
      <c r="A1672" t="n">
        <v>8.08</v>
      </c>
      <c r="B1672" t="n">
        <v>0.135</v>
      </c>
      <c r="C1672" t="n">
        <v>1.074</v>
      </c>
      <c r="D1672" t="n">
        <v>-0.032</v>
      </c>
    </row>
    <row r="1673">
      <c r="A1673" t="n">
        <v>8.081</v>
      </c>
      <c r="B1673" t="n">
        <v>0.135</v>
      </c>
      <c r="C1673" t="n">
        <v>1.074</v>
      </c>
      <c r="D1673" t="n">
        <v>-0.032</v>
      </c>
    </row>
    <row r="1674">
      <c r="A1674" t="n">
        <v>8.081</v>
      </c>
      <c r="B1674" t="n">
        <v>0.13</v>
      </c>
      <c r="C1674" t="n">
        <v>1.077</v>
      </c>
      <c r="D1674" t="n">
        <v>-0.023</v>
      </c>
    </row>
    <row r="1675">
      <c r="A1675" t="n">
        <v>8.082000000000001</v>
      </c>
      <c r="B1675" t="n">
        <v>0.123</v>
      </c>
      <c r="C1675" t="n">
        <v>1.075</v>
      </c>
      <c r="D1675" t="n">
        <v>-0.015</v>
      </c>
    </row>
    <row r="1676">
      <c r="A1676" t="n">
        <v>8.084</v>
      </c>
      <c r="B1676" t="n">
        <v>0.117</v>
      </c>
      <c r="C1676" t="n">
        <v>1.074</v>
      </c>
      <c r="D1676" t="n">
        <v>-0.006</v>
      </c>
    </row>
    <row r="1677">
      <c r="A1677" t="n">
        <v>8.085000000000001</v>
      </c>
      <c r="B1677" t="n">
        <v>0.117</v>
      </c>
      <c r="C1677" t="n">
        <v>1.074</v>
      </c>
      <c r="D1677" t="n">
        <v>-0.006</v>
      </c>
    </row>
    <row r="1678">
      <c r="A1678" t="n">
        <v>8.087999999999999</v>
      </c>
      <c r="B1678" t="n">
        <v>0.102</v>
      </c>
      <c r="C1678" t="n">
        <v>1.076</v>
      </c>
      <c r="D1678" t="n">
        <v>-0.01</v>
      </c>
    </row>
    <row r="1679">
      <c r="A1679" t="n">
        <v>8.127000000000001</v>
      </c>
      <c r="B1679" t="n">
        <v>0.096</v>
      </c>
      <c r="C1679" t="n">
        <v>1.078</v>
      </c>
      <c r="D1679" t="n">
        <v>-0.004</v>
      </c>
    </row>
    <row r="1680">
      <c r="A1680" t="n">
        <v>8.128</v>
      </c>
      <c r="B1680" t="n">
        <v>0.096</v>
      </c>
      <c r="C1680" t="n">
        <v>1.078</v>
      </c>
      <c r="D1680" t="n">
        <v>-0.004</v>
      </c>
    </row>
    <row r="1681">
      <c r="A1681" t="n">
        <v>8.129</v>
      </c>
      <c r="B1681" t="n">
        <v>0.096</v>
      </c>
      <c r="C1681" t="n">
        <v>1.078</v>
      </c>
      <c r="D1681" t="n">
        <v>-0.004</v>
      </c>
    </row>
    <row r="1682">
      <c r="A1682" t="n">
        <v>8.130000000000001</v>
      </c>
      <c r="B1682" t="n">
        <v>0.1</v>
      </c>
      <c r="C1682" t="n">
        <v>1.09</v>
      </c>
      <c r="D1682" t="n">
        <v>-0.005</v>
      </c>
    </row>
    <row r="1683">
      <c r="A1683" t="n">
        <v>8.130000000000001</v>
      </c>
      <c r="B1683" t="n">
        <v>0.105</v>
      </c>
      <c r="C1683" t="n">
        <v>1.091</v>
      </c>
      <c r="D1683" t="n">
        <v>-0.008</v>
      </c>
    </row>
    <row r="1684">
      <c r="A1684" t="n">
        <v>8.131</v>
      </c>
      <c r="B1684" t="n">
        <v>0.103</v>
      </c>
      <c r="C1684" t="n">
        <v>1.085</v>
      </c>
      <c r="D1684" t="n">
        <v>-0.008999999999999999</v>
      </c>
    </row>
    <row r="1685">
      <c r="A1685" t="n">
        <v>8.132</v>
      </c>
      <c r="B1685" t="n">
        <v>0.103</v>
      </c>
      <c r="C1685" t="n">
        <v>1.077</v>
      </c>
      <c r="D1685" t="n">
        <v>-0.003</v>
      </c>
    </row>
    <row r="1686">
      <c r="A1686" t="n">
        <v>8.132999999999999</v>
      </c>
      <c r="B1686" t="n">
        <v>0.099</v>
      </c>
      <c r="C1686" t="n">
        <v>1.069</v>
      </c>
      <c r="D1686" t="n">
        <v>-0.004</v>
      </c>
    </row>
    <row r="1687">
      <c r="A1687" t="n">
        <v>8.132999999999999</v>
      </c>
      <c r="B1687" t="n">
        <v>0.101</v>
      </c>
      <c r="C1687" t="n">
        <v>1.069</v>
      </c>
      <c r="D1687" t="n">
        <v>-0.006</v>
      </c>
    </row>
    <row r="1688">
      <c r="A1688" t="n">
        <v>8.134</v>
      </c>
      <c r="B1688" t="n">
        <v>0.101</v>
      </c>
      <c r="C1688" t="n">
        <v>1.071</v>
      </c>
      <c r="D1688" t="n">
        <v>-0.016</v>
      </c>
    </row>
    <row r="1689">
      <c r="A1689" t="n">
        <v>8.138</v>
      </c>
      <c r="B1689" t="n">
        <v>0.106</v>
      </c>
      <c r="C1689" t="n">
        <v>1.072</v>
      </c>
      <c r="D1689" t="n">
        <v>-0.028</v>
      </c>
    </row>
    <row r="1690">
      <c r="A1690" t="n">
        <v>8.146000000000001</v>
      </c>
      <c r="B1690" t="n">
        <v>0.105</v>
      </c>
      <c r="C1690" t="n">
        <v>1.072</v>
      </c>
      <c r="D1690" t="n">
        <v>-0.041</v>
      </c>
    </row>
    <row r="1691">
      <c r="A1691" t="n">
        <v>8.148999999999999</v>
      </c>
      <c r="B1691" t="n">
        <v>0.097</v>
      </c>
      <c r="C1691" t="n">
        <v>1.066</v>
      </c>
      <c r="D1691" t="n">
        <v>-0.05</v>
      </c>
    </row>
    <row r="1692">
      <c r="A1692" t="n">
        <v>8.153</v>
      </c>
      <c r="B1692" t="n">
        <v>0.08500000000000001</v>
      </c>
      <c r="C1692" t="n">
        <v>1.052</v>
      </c>
      <c r="D1692" t="n">
        <v>-0.054</v>
      </c>
    </row>
    <row r="1693">
      <c r="A1693" t="n">
        <v>8.157</v>
      </c>
      <c r="B1693" t="n">
        <v>0.073</v>
      </c>
      <c r="C1693" t="n">
        <v>1.039</v>
      </c>
      <c r="D1693" t="n">
        <v>-0.042</v>
      </c>
    </row>
    <row r="1694">
      <c r="A1694" t="n">
        <v>8.164</v>
      </c>
      <c r="B1694" t="n">
        <v>0.061</v>
      </c>
      <c r="C1694" t="n">
        <v>1.031</v>
      </c>
      <c r="D1694" t="n">
        <v>-0.031</v>
      </c>
    </row>
    <row r="1695">
      <c r="A1695" t="n">
        <v>8.167999999999999</v>
      </c>
      <c r="B1695" t="n">
        <v>0.049</v>
      </c>
      <c r="C1695" t="n">
        <v>1.023</v>
      </c>
      <c r="D1695" t="n">
        <v>-0.018</v>
      </c>
    </row>
    <row r="1696">
      <c r="A1696" t="n">
        <v>8.173</v>
      </c>
      <c r="B1696" t="n">
        <v>0.043</v>
      </c>
      <c r="C1696" t="n">
        <v>1.021</v>
      </c>
      <c r="D1696" t="n">
        <v>-0.008999999999999999</v>
      </c>
    </row>
    <row r="1697">
      <c r="A1697" t="n">
        <v>8.178000000000001</v>
      </c>
      <c r="B1697" t="n">
        <v>0.042</v>
      </c>
      <c r="C1697" t="n">
        <v>1.018</v>
      </c>
      <c r="D1697" t="n">
        <v>-0.004</v>
      </c>
    </row>
    <row r="1698">
      <c r="A1698" t="n">
        <v>8.188000000000001</v>
      </c>
      <c r="B1698" t="n">
        <v>0.046</v>
      </c>
      <c r="C1698" t="n">
        <v>1.016</v>
      </c>
      <c r="D1698" t="n">
        <v>-0.006</v>
      </c>
    </row>
    <row r="1699">
      <c r="A1699" t="n">
        <v>8.189</v>
      </c>
      <c r="B1699" t="n">
        <v>0.052</v>
      </c>
      <c r="C1699" t="n">
        <v>1.008</v>
      </c>
      <c r="D1699" t="n">
        <v>-0.013</v>
      </c>
    </row>
    <row r="1700">
      <c r="A1700" t="n">
        <v>8.224</v>
      </c>
      <c r="B1700" t="n">
        <v>0.058</v>
      </c>
      <c r="C1700" t="n">
        <v>1.004</v>
      </c>
      <c r="D1700" t="n">
        <v>-0.011</v>
      </c>
    </row>
    <row r="1701">
      <c r="A1701" t="n">
        <v>8.225</v>
      </c>
      <c r="B1701" t="n">
        <v>0.058</v>
      </c>
      <c r="C1701" t="n">
        <v>1.004</v>
      </c>
      <c r="D1701" t="n">
        <v>-0.011</v>
      </c>
    </row>
    <row r="1702">
      <c r="A1702" t="n">
        <v>8.231</v>
      </c>
      <c r="B1702" t="n">
        <v>0.073</v>
      </c>
      <c r="C1702" t="n">
        <v>0.999</v>
      </c>
      <c r="D1702" t="n">
        <v>0.007</v>
      </c>
    </row>
    <row r="1703">
      <c r="A1703" t="n">
        <v>8.231999999999999</v>
      </c>
      <c r="B1703" t="n">
        <v>0.081</v>
      </c>
      <c r="C1703" t="n">
        <v>0.996</v>
      </c>
      <c r="D1703" t="n">
        <v>0.028</v>
      </c>
    </row>
    <row r="1704">
      <c r="A1704" t="n">
        <v>8.231999999999999</v>
      </c>
      <c r="B1704" t="n">
        <v>0.097</v>
      </c>
      <c r="C1704" t="n">
        <v>0.994</v>
      </c>
      <c r="D1704" t="n">
        <v>0.043</v>
      </c>
    </row>
    <row r="1705">
      <c r="A1705" t="n">
        <v>8.231999999999999</v>
      </c>
      <c r="B1705" t="n">
        <v>0.106</v>
      </c>
      <c r="C1705" t="n">
        <v>0.989</v>
      </c>
      <c r="D1705" t="n">
        <v>0.055</v>
      </c>
    </row>
    <row r="1706">
      <c r="A1706" t="n">
        <v>8.233000000000001</v>
      </c>
      <c r="B1706" t="n">
        <v>0.108</v>
      </c>
      <c r="C1706" t="n">
        <v>0.98</v>
      </c>
      <c r="D1706" t="n">
        <v>0.059</v>
      </c>
    </row>
    <row r="1707">
      <c r="A1707" t="n">
        <v>8.233000000000001</v>
      </c>
      <c r="B1707" t="n">
        <v>0.108</v>
      </c>
      <c r="C1707" t="n">
        <v>0.97</v>
      </c>
      <c r="D1707" t="n">
        <v>0.062</v>
      </c>
    </row>
    <row r="1708">
      <c r="A1708" t="n">
        <v>8.233000000000001</v>
      </c>
      <c r="B1708" t="n">
        <v>0.106</v>
      </c>
      <c r="C1708" t="n">
        <v>0.963</v>
      </c>
      <c r="D1708" t="n">
        <v>0.062</v>
      </c>
    </row>
    <row r="1709">
      <c r="A1709" t="n">
        <v>8.238</v>
      </c>
      <c r="B1709" t="n">
        <v>0.107</v>
      </c>
      <c r="C1709" t="n">
        <v>0.964</v>
      </c>
      <c r="D1709" t="n">
        <v>0.07199999999999999</v>
      </c>
    </row>
    <row r="1710">
      <c r="A1710" t="n">
        <v>8.244</v>
      </c>
      <c r="B1710" t="n">
        <v>0.115</v>
      </c>
      <c r="C1710" t="n">
        <v>0.971</v>
      </c>
      <c r="D1710" t="n">
        <v>0.065</v>
      </c>
    </row>
    <row r="1711">
      <c r="A1711" t="n">
        <v>8.247</v>
      </c>
      <c r="B1711" t="n">
        <v>0.121</v>
      </c>
      <c r="C1711" t="n">
        <v>0.981</v>
      </c>
      <c r="D1711" t="n">
        <v>0.048</v>
      </c>
    </row>
    <row r="1712">
      <c r="A1712" t="n">
        <v>8.253</v>
      </c>
      <c r="B1712" t="n">
        <v>0.117</v>
      </c>
      <c r="C1712" t="n">
        <v>0.989</v>
      </c>
      <c r="D1712" t="n">
        <v>0.017</v>
      </c>
    </row>
    <row r="1713">
      <c r="A1713" t="n">
        <v>8.257999999999999</v>
      </c>
      <c r="B1713" t="n">
        <v>0.109</v>
      </c>
      <c r="C1713" t="n">
        <v>1.003</v>
      </c>
      <c r="D1713" t="n">
        <v>-0.019</v>
      </c>
    </row>
    <row r="1714">
      <c r="A1714" t="n">
        <v>8.263999999999999</v>
      </c>
      <c r="B1714" t="n">
        <v>0.101</v>
      </c>
      <c r="C1714" t="n">
        <v>1.012</v>
      </c>
      <c r="D1714" t="n">
        <v>-0.053</v>
      </c>
    </row>
    <row r="1715">
      <c r="A1715" t="n">
        <v>8.266999999999999</v>
      </c>
      <c r="B1715" t="n">
        <v>0.093</v>
      </c>
      <c r="C1715" t="n">
        <v>1.02</v>
      </c>
      <c r="D1715" t="n">
        <v>-0.07000000000000001</v>
      </c>
    </row>
    <row r="1716">
      <c r="A1716" t="n">
        <v>8.272</v>
      </c>
      <c r="B1716" t="n">
        <v>0.08799999999999999</v>
      </c>
      <c r="C1716" t="n">
        <v>1.024</v>
      </c>
      <c r="D1716" t="n">
        <v>-0.076</v>
      </c>
    </row>
    <row r="1717">
      <c r="A1717" t="n">
        <v>8.289</v>
      </c>
      <c r="B1717" t="n">
        <v>0.079</v>
      </c>
      <c r="C1717" t="n">
        <v>1.024</v>
      </c>
      <c r="D1717" t="n">
        <v>-0.066</v>
      </c>
    </row>
    <row r="1718">
      <c r="A1718" t="n">
        <v>8.291</v>
      </c>
      <c r="B1718" t="n">
        <v>0.07000000000000001</v>
      </c>
      <c r="C1718" t="n">
        <v>1.021</v>
      </c>
      <c r="D1718" t="n">
        <v>-0.043</v>
      </c>
    </row>
    <row r="1719">
      <c r="A1719" t="n">
        <v>8.298999999999999</v>
      </c>
      <c r="B1719" t="n">
        <v>0.061</v>
      </c>
      <c r="C1719" t="n">
        <v>1.012</v>
      </c>
      <c r="D1719" t="n">
        <v>-0.018</v>
      </c>
    </row>
    <row r="1720">
      <c r="A1720" t="n">
        <v>8.300000000000001</v>
      </c>
      <c r="B1720" t="n">
        <v>0.053</v>
      </c>
      <c r="C1720" t="n">
        <v>1.007</v>
      </c>
      <c r="D1720" t="n">
        <v>0.004</v>
      </c>
    </row>
    <row r="1721">
      <c r="A1721" t="n">
        <v>8.300000000000001</v>
      </c>
      <c r="B1721" t="n">
        <v>0.053</v>
      </c>
      <c r="C1721" t="n">
        <v>1.007</v>
      </c>
      <c r="D1721" t="n">
        <v>0.004</v>
      </c>
    </row>
    <row r="1722">
      <c r="A1722" t="n">
        <v>8.334</v>
      </c>
      <c r="B1722" t="n">
        <v>0.048</v>
      </c>
      <c r="C1722" t="n">
        <v>1</v>
      </c>
      <c r="D1722" t="n">
        <v>0.037</v>
      </c>
    </row>
    <row r="1723">
      <c r="A1723" t="n">
        <v>8.335000000000001</v>
      </c>
      <c r="B1723" t="n">
        <v>0.053</v>
      </c>
      <c r="C1723" t="n">
        <v>1</v>
      </c>
      <c r="D1723" t="n">
        <v>0.038</v>
      </c>
    </row>
    <row r="1724">
      <c r="A1724" t="n">
        <v>8.335000000000001</v>
      </c>
      <c r="B1724" t="n">
        <v>0.061</v>
      </c>
      <c r="C1724" t="n">
        <v>1.008</v>
      </c>
      <c r="D1724" t="n">
        <v>0.034</v>
      </c>
    </row>
    <row r="1725">
      <c r="A1725" t="n">
        <v>8.335000000000001</v>
      </c>
      <c r="B1725" t="n">
        <v>0.07199999999999999</v>
      </c>
      <c r="C1725" t="n">
        <v>1.019</v>
      </c>
      <c r="D1725" t="n">
        <v>0.021</v>
      </c>
    </row>
    <row r="1726">
      <c r="A1726" t="n">
        <v>8.336</v>
      </c>
      <c r="B1726" t="n">
        <v>0.081</v>
      </c>
      <c r="C1726" t="n">
        <v>1.029</v>
      </c>
      <c r="D1726" t="n">
        <v>0.008</v>
      </c>
    </row>
    <row r="1727">
      <c r="A1727" t="n">
        <v>8.336</v>
      </c>
      <c r="B1727" t="n">
        <v>0.08699999999999999</v>
      </c>
      <c r="C1727" t="n">
        <v>1.036</v>
      </c>
      <c r="D1727" t="n">
        <v>-0.008</v>
      </c>
    </row>
    <row r="1728">
      <c r="A1728" t="n">
        <v>8.336</v>
      </c>
      <c r="B1728" t="n">
        <v>0.095</v>
      </c>
      <c r="C1728" t="n">
        <v>1.042</v>
      </c>
      <c r="D1728" t="n">
        <v>-0.019</v>
      </c>
    </row>
    <row r="1729">
      <c r="A1729" t="n">
        <v>8.337999999999999</v>
      </c>
      <c r="B1729" t="n">
        <v>0.099</v>
      </c>
      <c r="C1729" t="n">
        <v>1.049</v>
      </c>
      <c r="D1729" t="n">
        <v>-0.033</v>
      </c>
    </row>
    <row r="1730">
      <c r="A1730" t="n">
        <v>8.345000000000001</v>
      </c>
      <c r="B1730" t="n">
        <v>0.097</v>
      </c>
      <c r="C1730" t="n">
        <v>1.052</v>
      </c>
      <c r="D1730" t="n">
        <v>-0.042</v>
      </c>
    </row>
    <row r="1731">
      <c r="A1731" t="n">
        <v>8.348000000000001</v>
      </c>
      <c r="B1731" t="n">
        <v>0.091</v>
      </c>
      <c r="C1731" t="n">
        <v>1.048</v>
      </c>
      <c r="D1731" t="n">
        <v>-0.044</v>
      </c>
    </row>
    <row r="1732">
      <c r="A1732" t="n">
        <v>8.353</v>
      </c>
      <c r="B1732" t="n">
        <v>0.08400000000000001</v>
      </c>
      <c r="C1732" t="n">
        <v>1.043</v>
      </c>
      <c r="D1732" t="n">
        <v>-0.037</v>
      </c>
    </row>
    <row r="1733">
      <c r="A1733" t="n">
        <v>8.358000000000001</v>
      </c>
      <c r="B1733" t="n">
        <v>0.083</v>
      </c>
      <c r="C1733" t="n">
        <v>1.043</v>
      </c>
      <c r="D1733" t="n">
        <v>-0.029</v>
      </c>
    </row>
    <row r="1734">
      <c r="A1734" t="n">
        <v>8.366</v>
      </c>
      <c r="B1734" t="n">
        <v>0.08699999999999999</v>
      </c>
      <c r="C1734" t="n">
        <v>1.042</v>
      </c>
      <c r="D1734" t="n">
        <v>-0.022</v>
      </c>
    </row>
    <row r="1735">
      <c r="A1735" t="n">
        <v>8.368</v>
      </c>
      <c r="B1735" t="n">
        <v>0.09</v>
      </c>
      <c r="C1735" t="n">
        <v>1.04</v>
      </c>
      <c r="D1735" t="n">
        <v>-0.019</v>
      </c>
    </row>
    <row r="1736">
      <c r="A1736" t="n">
        <v>8.372999999999999</v>
      </c>
      <c r="B1736" t="n">
        <v>0.092</v>
      </c>
      <c r="C1736" t="n">
        <v>1.04</v>
      </c>
      <c r="D1736" t="n">
        <v>-0.022</v>
      </c>
    </row>
    <row r="1737">
      <c r="A1737" t="n">
        <v>8.406000000000001</v>
      </c>
      <c r="B1737" t="n">
        <v>0.095</v>
      </c>
      <c r="C1737" t="n">
        <v>1.041</v>
      </c>
      <c r="D1737" t="n">
        <v>-0.02</v>
      </c>
    </row>
    <row r="1738">
      <c r="A1738" t="n">
        <v>8.407</v>
      </c>
      <c r="B1738" t="n">
        <v>0.095</v>
      </c>
      <c r="C1738" t="n">
        <v>1.041</v>
      </c>
      <c r="D1738" t="n">
        <v>-0.02</v>
      </c>
    </row>
    <row r="1739">
      <c r="A1739" t="n">
        <v>8.407999999999999</v>
      </c>
      <c r="B1739" t="n">
        <v>0.079</v>
      </c>
      <c r="C1739" t="n">
        <v>1.041</v>
      </c>
      <c r="D1739" t="n">
        <v>-0.037</v>
      </c>
    </row>
    <row r="1740">
      <c r="A1740" t="n">
        <v>8.409000000000001</v>
      </c>
      <c r="B1740" t="n">
        <v>0.065</v>
      </c>
      <c r="C1740" t="n">
        <v>1.039</v>
      </c>
      <c r="D1740" t="n">
        <v>-0.039</v>
      </c>
    </row>
    <row r="1741">
      <c r="A1741" t="n">
        <v>8.409000000000001</v>
      </c>
      <c r="B1741" t="n">
        <v>0.066</v>
      </c>
      <c r="C1741" t="n">
        <v>1.034</v>
      </c>
      <c r="D1741" t="n">
        <v>-0.031</v>
      </c>
    </row>
    <row r="1742">
      <c r="A1742" t="n">
        <v>8.41</v>
      </c>
      <c r="B1742" t="n">
        <v>0.074</v>
      </c>
      <c r="C1742" t="n">
        <v>1.028</v>
      </c>
      <c r="D1742" t="n">
        <v>-0.023</v>
      </c>
    </row>
    <row r="1743">
      <c r="A1743" t="n">
        <v>8.411</v>
      </c>
      <c r="B1743" t="n">
        <v>0.083</v>
      </c>
      <c r="C1743" t="n">
        <v>1.025</v>
      </c>
      <c r="D1743" t="n">
        <v>-0.015</v>
      </c>
    </row>
    <row r="1744">
      <c r="A1744" t="n">
        <v>8.429</v>
      </c>
      <c r="B1744" t="n">
        <v>0.08599999999999999</v>
      </c>
      <c r="C1744" t="n">
        <v>1.016</v>
      </c>
      <c r="D1744" t="n">
        <v>-0.007</v>
      </c>
    </row>
    <row r="1745">
      <c r="A1745" t="n">
        <v>8.43</v>
      </c>
      <c r="B1745" t="n">
        <v>0.08500000000000001</v>
      </c>
      <c r="C1745" t="n">
        <v>1.008</v>
      </c>
      <c r="D1745" t="n">
        <v>0.006</v>
      </c>
    </row>
    <row r="1746">
      <c r="A1746" t="n">
        <v>8.43</v>
      </c>
      <c r="B1746" t="n">
        <v>0.08400000000000001</v>
      </c>
      <c r="C1746" t="n">
        <v>1.002</v>
      </c>
      <c r="D1746" t="n">
        <v>0.017</v>
      </c>
    </row>
    <row r="1747">
      <c r="A1747" t="n">
        <v>8.43</v>
      </c>
      <c r="B1747" t="n">
        <v>0.075</v>
      </c>
      <c r="C1747" t="n">
        <v>1</v>
      </c>
      <c r="D1747" t="n">
        <v>0.025</v>
      </c>
    </row>
    <row r="1748">
      <c r="A1748" t="n">
        <v>8.433999999999999</v>
      </c>
      <c r="B1748" t="n">
        <v>0.049</v>
      </c>
      <c r="C1748" t="n">
        <v>0.989</v>
      </c>
      <c r="D1748" t="n">
        <v>0.035</v>
      </c>
    </row>
    <row r="1749">
      <c r="A1749" t="n">
        <v>8.435</v>
      </c>
      <c r="B1749" t="n">
        <v>0.049</v>
      </c>
      <c r="C1749" t="n">
        <v>0.989</v>
      </c>
      <c r="D1749" t="n">
        <v>0.035</v>
      </c>
    </row>
    <row r="1750">
      <c r="A1750" t="n">
        <v>8.438000000000001</v>
      </c>
      <c r="B1750" t="n">
        <v>0.032</v>
      </c>
      <c r="C1750" t="n">
        <v>0.979</v>
      </c>
      <c r="D1750" t="n">
        <v>0.029</v>
      </c>
    </row>
    <row r="1751">
      <c r="A1751" t="n">
        <v>8.448</v>
      </c>
      <c r="B1751" t="n">
        <v>0.025</v>
      </c>
      <c r="C1751" t="n">
        <v>0.974</v>
      </c>
      <c r="D1751" t="n">
        <v>0.023</v>
      </c>
    </row>
    <row r="1752">
      <c r="A1752" t="n">
        <v>8.449</v>
      </c>
      <c r="B1752" t="n">
        <v>0.022</v>
      </c>
      <c r="C1752" t="n">
        <v>0.976</v>
      </c>
      <c r="D1752" t="n">
        <v>0.019</v>
      </c>
    </row>
    <row r="1753">
      <c r="A1753" t="n">
        <v>8.452999999999999</v>
      </c>
      <c r="B1753" t="n">
        <v>0.016</v>
      </c>
      <c r="C1753" t="n">
        <v>0.98</v>
      </c>
      <c r="D1753" t="n">
        <v>0.014</v>
      </c>
    </row>
    <row r="1754">
      <c r="A1754" t="n">
        <v>8.458</v>
      </c>
      <c r="B1754" t="n">
        <v>0.008999999999999999</v>
      </c>
      <c r="C1754" t="n">
        <v>0.991</v>
      </c>
      <c r="D1754" t="n">
        <v>0.005</v>
      </c>
    </row>
    <row r="1755">
      <c r="A1755" t="n">
        <v>8.465</v>
      </c>
      <c r="B1755" t="n">
        <v>0.002</v>
      </c>
      <c r="C1755" t="n">
        <v>0.994</v>
      </c>
      <c r="D1755" t="n">
        <v>-0.006</v>
      </c>
    </row>
    <row r="1756">
      <c r="A1756" t="n">
        <v>8.468</v>
      </c>
      <c r="B1756" t="n">
        <v>-0.001</v>
      </c>
      <c r="C1756" t="n">
        <v>0.99</v>
      </c>
      <c r="D1756" t="n">
        <v>-0.012</v>
      </c>
    </row>
    <row r="1757">
      <c r="A1757" t="n">
        <v>8.473000000000001</v>
      </c>
      <c r="B1757" t="n">
        <v>-0.001</v>
      </c>
      <c r="C1757" t="n">
        <v>0.987</v>
      </c>
      <c r="D1757" t="n">
        <v>-0.008999999999999999</v>
      </c>
    </row>
    <row r="1758">
      <c r="A1758" t="n">
        <v>8.491</v>
      </c>
      <c r="B1758" t="n">
        <v>-0.004</v>
      </c>
      <c r="C1758" t="n">
        <v>0.983</v>
      </c>
      <c r="D1758" t="n">
        <v>-0.002</v>
      </c>
    </row>
    <row r="1759">
      <c r="A1759" t="n">
        <v>8.494999999999999</v>
      </c>
      <c r="B1759" t="n">
        <v>-0.005</v>
      </c>
      <c r="C1759" t="n">
        <v>0.979</v>
      </c>
      <c r="D1759" t="n">
        <v>0.01</v>
      </c>
    </row>
    <row r="1760">
      <c r="A1760" t="n">
        <v>8.496</v>
      </c>
      <c r="B1760" t="n">
        <v>0.001</v>
      </c>
      <c r="C1760" t="n">
        <v>0.977</v>
      </c>
      <c r="D1760" t="n">
        <v>0.023</v>
      </c>
    </row>
    <row r="1761">
      <c r="A1761" t="n">
        <v>8.496</v>
      </c>
      <c r="B1761" t="n">
        <v>0.011</v>
      </c>
      <c r="C1761" t="n">
        <v>0.979</v>
      </c>
      <c r="D1761" t="n">
        <v>0.034</v>
      </c>
    </row>
    <row r="1762">
      <c r="A1762" t="n">
        <v>8.539999999999999</v>
      </c>
      <c r="B1762" t="n">
        <v>0.028</v>
      </c>
      <c r="C1762" t="n">
        <v>0.979</v>
      </c>
      <c r="D1762" t="n">
        <v>0.041</v>
      </c>
    </row>
    <row r="1763">
      <c r="A1763" t="n">
        <v>8.541</v>
      </c>
      <c r="B1763" t="n">
        <v>0.051</v>
      </c>
      <c r="C1763" t="n">
        <v>0.977</v>
      </c>
      <c r="D1763" t="n">
        <v>0.04</v>
      </c>
    </row>
    <row r="1764">
      <c r="A1764" t="n">
        <v>8.541</v>
      </c>
      <c r="B1764" t="n">
        <v>0.065</v>
      </c>
      <c r="C1764" t="n">
        <v>0.973</v>
      </c>
      <c r="D1764" t="n">
        <v>0.042</v>
      </c>
    </row>
    <row r="1765">
      <c r="A1765" t="n">
        <v>8.541</v>
      </c>
      <c r="B1765" t="n">
        <v>0.07099999999999999</v>
      </c>
      <c r="C1765" t="n">
        <v>0.97</v>
      </c>
      <c r="D1765" t="n">
        <v>0.049</v>
      </c>
    </row>
    <row r="1766">
      <c r="A1766" t="n">
        <v>8.542</v>
      </c>
      <c r="B1766" t="n">
        <v>0.068</v>
      </c>
      <c r="C1766" t="n">
        <v>0.965</v>
      </c>
      <c r="D1766" t="n">
        <v>0.06</v>
      </c>
    </row>
    <row r="1767">
      <c r="A1767" t="n">
        <v>8.542</v>
      </c>
      <c r="B1767" t="n">
        <v>0.065</v>
      </c>
      <c r="C1767" t="n">
        <v>0.968</v>
      </c>
      <c r="D1767" t="n">
        <v>0.068</v>
      </c>
    </row>
    <row r="1768">
      <c r="A1768" t="n">
        <v>8.542</v>
      </c>
      <c r="B1768" t="n">
        <v>0.061</v>
      </c>
      <c r="C1768" t="n">
        <v>0.973</v>
      </c>
      <c r="D1768" t="n">
        <v>0.07099999999999999</v>
      </c>
    </row>
    <row r="1769">
      <c r="A1769" t="n">
        <v>8.542999999999999</v>
      </c>
      <c r="B1769" t="n">
        <v>0.056</v>
      </c>
      <c r="C1769" t="n">
        <v>0.98</v>
      </c>
      <c r="D1769" t="n">
        <v>0.062</v>
      </c>
    </row>
    <row r="1770">
      <c r="A1770" t="n">
        <v>8.542999999999999</v>
      </c>
      <c r="B1770" t="n">
        <v>0.051</v>
      </c>
      <c r="C1770" t="n">
        <v>0.985</v>
      </c>
      <c r="D1770" t="n">
        <v>0.047</v>
      </c>
    </row>
    <row r="1771">
      <c r="A1771" t="n">
        <v>8.542999999999999</v>
      </c>
      <c r="B1771" t="n">
        <v>0.046</v>
      </c>
      <c r="C1771" t="n">
        <v>0.991</v>
      </c>
      <c r="D1771" t="n">
        <v>0.027</v>
      </c>
    </row>
    <row r="1772">
      <c r="A1772" t="n">
        <v>8.561999999999999</v>
      </c>
      <c r="B1772" t="n">
        <v>0.038</v>
      </c>
      <c r="C1772" t="n">
        <v>0.993</v>
      </c>
      <c r="D1772" t="n">
        <v>0.008999999999999999</v>
      </c>
    </row>
    <row r="1773">
      <c r="A1773" t="n">
        <v>8.561999999999999</v>
      </c>
      <c r="B1773" t="n">
        <v>0.029</v>
      </c>
      <c r="C1773" t="n">
        <v>0.996</v>
      </c>
      <c r="D1773" t="n">
        <v>0</v>
      </c>
    </row>
    <row r="1774">
      <c r="A1774" t="n">
        <v>8.563000000000001</v>
      </c>
      <c r="B1774" t="n">
        <v>0.027</v>
      </c>
      <c r="C1774" t="n">
        <v>1.002</v>
      </c>
      <c r="D1774" t="n">
        <v>0.002</v>
      </c>
    </row>
    <row r="1775">
      <c r="A1775" t="n">
        <v>8.563000000000001</v>
      </c>
      <c r="B1775" t="n">
        <v>0.026</v>
      </c>
      <c r="C1775" t="n">
        <v>1.006</v>
      </c>
      <c r="D1775" t="n">
        <v>0.005</v>
      </c>
    </row>
    <row r="1776">
      <c r="A1776" t="n">
        <v>8.567</v>
      </c>
      <c r="B1776" t="n">
        <v>0.023</v>
      </c>
      <c r="C1776" t="n">
        <v>1.007</v>
      </c>
      <c r="D1776" t="n">
        <v>0.008</v>
      </c>
    </row>
    <row r="1777">
      <c r="A1777" t="n">
        <v>8.573</v>
      </c>
      <c r="B1777" t="n">
        <v>0.02</v>
      </c>
      <c r="C1777" t="n">
        <v>1.008</v>
      </c>
      <c r="D1777" t="n">
        <v>0.011</v>
      </c>
    </row>
    <row r="1778">
      <c r="A1778" t="n">
        <v>8.589</v>
      </c>
      <c r="B1778" t="n">
        <v>0.014</v>
      </c>
      <c r="C1778" t="n">
        <v>1.007</v>
      </c>
      <c r="D1778" t="n">
        <v>0.01</v>
      </c>
    </row>
    <row r="1779">
      <c r="A1779" t="n">
        <v>8.590999999999999</v>
      </c>
      <c r="B1779" t="n">
        <v>0.004</v>
      </c>
      <c r="C1779" t="n">
        <v>1.006</v>
      </c>
      <c r="D1779" t="n">
        <v>0.007</v>
      </c>
    </row>
    <row r="1780">
      <c r="A1780" t="n">
        <v>8.590999999999999</v>
      </c>
      <c r="B1780" t="n">
        <v>-0.003</v>
      </c>
      <c r="C1780" t="n">
        <v>1.005</v>
      </c>
      <c r="D1780" t="n">
        <v>0.006</v>
      </c>
    </row>
    <row r="1781">
      <c r="A1781" t="n">
        <v>8.593999999999999</v>
      </c>
      <c r="B1781" t="n">
        <v>-0.002</v>
      </c>
      <c r="C1781" t="n">
        <v>1.005</v>
      </c>
      <c r="D1781" t="n">
        <v>0.005</v>
      </c>
    </row>
    <row r="1782">
      <c r="A1782" t="n">
        <v>8.625</v>
      </c>
      <c r="B1782" t="n">
        <v>0.001</v>
      </c>
      <c r="C1782" t="n">
        <v>1.011</v>
      </c>
      <c r="D1782" t="n">
        <v>0.012</v>
      </c>
    </row>
    <row r="1783">
      <c r="A1783" t="n">
        <v>8.627000000000001</v>
      </c>
      <c r="B1783" t="n">
        <v>0.005</v>
      </c>
      <c r="C1783" t="n">
        <v>1.016</v>
      </c>
      <c r="D1783" t="n">
        <v>0.013</v>
      </c>
    </row>
    <row r="1784">
      <c r="A1784" t="n">
        <v>8.628</v>
      </c>
      <c r="B1784" t="n">
        <v>0.008</v>
      </c>
      <c r="C1784" t="n">
        <v>1.022</v>
      </c>
      <c r="D1784" t="n">
        <v>0.01</v>
      </c>
    </row>
    <row r="1785">
      <c r="A1785" t="n">
        <v>8.629</v>
      </c>
      <c r="B1785" t="n">
        <v>0.017</v>
      </c>
      <c r="C1785" t="n">
        <v>1.027</v>
      </c>
      <c r="D1785" t="n">
        <v>0.006</v>
      </c>
    </row>
    <row r="1786">
      <c r="A1786" t="n">
        <v>8.629</v>
      </c>
      <c r="B1786" t="n">
        <v>0.031</v>
      </c>
      <c r="C1786" t="n">
        <v>1.034</v>
      </c>
      <c r="D1786" t="n">
        <v>0.01</v>
      </c>
    </row>
    <row r="1787">
      <c r="A1787" t="n">
        <v>8.629</v>
      </c>
      <c r="B1787" t="n">
        <v>0.043</v>
      </c>
      <c r="C1787" t="n">
        <v>1.039</v>
      </c>
      <c r="D1787" t="n">
        <v>0.008</v>
      </c>
    </row>
    <row r="1788">
      <c r="A1788" t="n">
        <v>8.630000000000001</v>
      </c>
      <c r="B1788" t="n">
        <v>0.055</v>
      </c>
      <c r="C1788" t="n">
        <v>1.04</v>
      </c>
      <c r="D1788" t="n">
        <v>0.006</v>
      </c>
    </row>
    <row r="1789">
      <c r="A1789" t="n">
        <v>8.646000000000001</v>
      </c>
      <c r="B1789" t="n">
        <v>0.068</v>
      </c>
      <c r="C1789" t="n">
        <v>1.037</v>
      </c>
      <c r="D1789" t="n">
        <v>0.008</v>
      </c>
    </row>
    <row r="1790">
      <c r="A1790" t="n">
        <v>8.647</v>
      </c>
      <c r="B1790" t="n">
        <v>0.076</v>
      </c>
      <c r="C1790" t="n">
        <v>1.037</v>
      </c>
      <c r="D1790" t="n">
        <v>0.008</v>
      </c>
    </row>
    <row r="1791">
      <c r="A1791" t="n">
        <v>8.648</v>
      </c>
      <c r="B1791" t="n">
        <v>0.08400000000000001</v>
      </c>
      <c r="C1791" t="n">
        <v>1.037</v>
      </c>
      <c r="D1791" t="n">
        <v>0.005</v>
      </c>
    </row>
    <row r="1792">
      <c r="A1792" t="n">
        <v>8.648</v>
      </c>
      <c r="B1792" t="n">
        <v>0.09</v>
      </c>
      <c r="C1792" t="n">
        <v>1.039</v>
      </c>
      <c r="D1792" t="n">
        <v>0.004</v>
      </c>
    </row>
    <row r="1793">
      <c r="A1793" t="n">
        <v>8.653</v>
      </c>
      <c r="B1793" t="n">
        <v>0.09</v>
      </c>
      <c r="C1793" t="n">
        <v>1.038</v>
      </c>
      <c r="D1793" t="n">
        <v>-0.001</v>
      </c>
    </row>
    <row r="1794">
      <c r="A1794" t="n">
        <v>8.657999999999999</v>
      </c>
      <c r="B1794" t="n">
        <v>0.08599999999999999</v>
      </c>
      <c r="C1794" t="n">
        <v>1.036</v>
      </c>
      <c r="D1794" t="n">
        <v>-0.005</v>
      </c>
    </row>
    <row r="1795">
      <c r="A1795" t="n">
        <v>8.664999999999999</v>
      </c>
      <c r="B1795" t="n">
        <v>0.073</v>
      </c>
      <c r="C1795" t="n">
        <v>1.032</v>
      </c>
      <c r="D1795" t="n">
        <v>-0.003</v>
      </c>
    </row>
    <row r="1796">
      <c r="A1796" t="n">
        <v>8.667</v>
      </c>
      <c r="B1796" t="n">
        <v>0.056</v>
      </c>
      <c r="C1796" t="n">
        <v>1.02</v>
      </c>
      <c r="D1796" t="n">
        <v>0</v>
      </c>
    </row>
    <row r="1797">
      <c r="A1797" t="n">
        <v>8.673</v>
      </c>
      <c r="B1797" t="n">
        <v>0.041</v>
      </c>
      <c r="C1797" t="n">
        <v>1.01</v>
      </c>
      <c r="D1797" t="n">
        <v>0.004</v>
      </c>
    </row>
    <row r="1798">
      <c r="A1798" t="n">
        <v>8.688000000000001</v>
      </c>
      <c r="B1798" t="n">
        <v>0.027</v>
      </c>
      <c r="C1798" t="n">
        <v>1.003</v>
      </c>
      <c r="D1798" t="n">
        <v>0.011</v>
      </c>
    </row>
    <row r="1799">
      <c r="A1799" t="n">
        <v>8.691000000000001</v>
      </c>
      <c r="B1799" t="n">
        <v>0.016</v>
      </c>
      <c r="C1799" t="n">
        <v>1.002</v>
      </c>
      <c r="D1799" t="n">
        <v>0.011</v>
      </c>
    </row>
    <row r="1800">
      <c r="A1800" t="n">
        <v>8.696999999999999</v>
      </c>
      <c r="B1800" t="n">
        <v>0.008</v>
      </c>
      <c r="C1800" t="n">
        <v>1.004</v>
      </c>
      <c r="D1800" t="n">
        <v>0.011</v>
      </c>
    </row>
    <row r="1801">
      <c r="A1801" t="n">
        <v>8.698</v>
      </c>
      <c r="B1801" t="n">
        <v>0.004</v>
      </c>
      <c r="C1801" t="n">
        <v>1.008</v>
      </c>
      <c r="D1801" t="n">
        <v>0.006</v>
      </c>
    </row>
    <row r="1802">
      <c r="A1802" t="n">
        <v>8.705</v>
      </c>
      <c r="B1802" t="n">
        <v>0.004</v>
      </c>
      <c r="C1802" t="n">
        <v>1.01</v>
      </c>
      <c r="D1802" t="n">
        <v>-0.005</v>
      </c>
    </row>
    <row r="1803">
      <c r="A1803" t="n">
        <v>8.705</v>
      </c>
      <c r="B1803" t="n">
        <v>0.004</v>
      </c>
      <c r="C1803" t="n">
        <v>1.01</v>
      </c>
      <c r="D1803" t="n">
        <v>-0.005</v>
      </c>
    </row>
    <row r="1804">
      <c r="A1804" t="n">
        <v>8.738</v>
      </c>
      <c r="B1804" t="n">
        <v>0.003</v>
      </c>
      <c r="C1804" t="n">
        <v>1.011</v>
      </c>
      <c r="D1804" t="n">
        <v>-0.019</v>
      </c>
    </row>
    <row r="1805">
      <c r="A1805" t="n">
        <v>8.738</v>
      </c>
      <c r="B1805" t="n">
        <v>0.003</v>
      </c>
      <c r="C1805" t="n">
        <v>1.011</v>
      </c>
      <c r="D1805" t="n">
        <v>-0.019</v>
      </c>
    </row>
    <row r="1806">
      <c r="A1806" t="n">
        <v>8.739000000000001</v>
      </c>
      <c r="B1806" t="n">
        <v>0.003</v>
      </c>
      <c r="C1806" t="n">
        <v>1.011</v>
      </c>
      <c r="D1806" t="n">
        <v>-0.019</v>
      </c>
    </row>
    <row r="1807">
      <c r="A1807" t="n">
        <v>8.739000000000001</v>
      </c>
      <c r="B1807" t="n">
        <v>0.003</v>
      </c>
      <c r="C1807" t="n">
        <v>1.011</v>
      </c>
      <c r="D1807" t="n">
        <v>-0.019</v>
      </c>
    </row>
    <row r="1808">
      <c r="A1808" t="n">
        <v>8.739000000000001</v>
      </c>
      <c r="B1808" t="n">
        <v>0.002</v>
      </c>
      <c r="C1808" t="n">
        <v>1.004</v>
      </c>
      <c r="D1808" t="n">
        <v>-0.011</v>
      </c>
    </row>
    <row r="1809">
      <c r="A1809" t="n">
        <v>8.739000000000001</v>
      </c>
      <c r="B1809" t="n">
        <v>-0.002</v>
      </c>
      <c r="C1809" t="n">
        <v>0.998</v>
      </c>
      <c r="D1809" t="n">
        <v>0.008999999999999999</v>
      </c>
    </row>
    <row r="1810">
      <c r="A1810" t="n">
        <v>8.74</v>
      </c>
      <c r="B1810" t="n">
        <v>-0.004</v>
      </c>
      <c r="C1810" t="n">
        <v>0.996</v>
      </c>
      <c r="D1810" t="n">
        <v>0.027</v>
      </c>
    </row>
    <row r="1811">
      <c r="A1811" t="n">
        <v>8.743</v>
      </c>
      <c r="B1811" t="n">
        <v>-0.001</v>
      </c>
      <c r="C1811" t="n">
        <v>0.994</v>
      </c>
      <c r="D1811" t="n">
        <v>0.039</v>
      </c>
    </row>
    <row r="1812">
      <c r="A1812" t="n">
        <v>8.747</v>
      </c>
      <c r="B1812" t="n">
        <v>0.002</v>
      </c>
      <c r="C1812" t="n">
        <v>0.991</v>
      </c>
      <c r="D1812" t="n">
        <v>0.047</v>
      </c>
    </row>
    <row r="1813">
      <c r="A1813" t="n">
        <v>8.753</v>
      </c>
      <c r="B1813" t="n">
        <v>0.002</v>
      </c>
      <c r="C1813" t="n">
        <v>0.988</v>
      </c>
      <c r="D1813" t="n">
        <v>0.053</v>
      </c>
    </row>
    <row r="1814">
      <c r="A1814" t="n">
        <v>8.757999999999999</v>
      </c>
      <c r="B1814" t="n">
        <v>0.008999999999999999</v>
      </c>
      <c r="C1814" t="n">
        <v>0.989</v>
      </c>
      <c r="D1814" t="n">
        <v>0.055</v>
      </c>
    </row>
    <row r="1815">
      <c r="A1815" t="n">
        <v>8.778</v>
      </c>
      <c r="B1815" t="n">
        <v>0.018</v>
      </c>
      <c r="C1815" t="n">
        <v>0.992</v>
      </c>
      <c r="D1815" t="n">
        <v>0.059</v>
      </c>
    </row>
    <row r="1816">
      <c r="A1816" t="n">
        <v>8.779</v>
      </c>
      <c r="B1816" t="n">
        <v>0.027</v>
      </c>
      <c r="C1816" t="n">
        <v>0.995</v>
      </c>
      <c r="D1816" t="n">
        <v>0.056</v>
      </c>
    </row>
    <row r="1817">
      <c r="A1817" t="n">
        <v>8.779999999999999</v>
      </c>
      <c r="B1817" t="n">
        <v>0.034</v>
      </c>
      <c r="C1817" t="n">
        <v>0.997</v>
      </c>
      <c r="D1817" t="n">
        <v>0.055</v>
      </c>
    </row>
    <row r="1818">
      <c r="A1818" t="n">
        <v>8.779999999999999</v>
      </c>
      <c r="B1818" t="n">
        <v>0.038</v>
      </c>
      <c r="C1818" t="n">
        <v>0.996</v>
      </c>
      <c r="D1818" t="n">
        <v>0.06</v>
      </c>
    </row>
    <row r="1819">
      <c r="A1819" t="n">
        <v>8.782999999999999</v>
      </c>
      <c r="B1819" t="n">
        <v>0.038</v>
      </c>
      <c r="C1819" t="n">
        <v>0.999</v>
      </c>
      <c r="D1819" t="n">
        <v>0.056</v>
      </c>
    </row>
    <row r="1820">
      <c r="A1820" t="n">
        <v>8.787000000000001</v>
      </c>
      <c r="B1820" t="n">
        <v>0.038</v>
      </c>
      <c r="C1820" t="n">
        <v>1.002</v>
      </c>
      <c r="D1820" t="n">
        <v>0.05</v>
      </c>
    </row>
    <row r="1821">
      <c r="A1821" t="n">
        <v>8.795999999999999</v>
      </c>
      <c r="B1821" t="n">
        <v>0.045</v>
      </c>
      <c r="C1821" t="n">
        <v>1.014</v>
      </c>
      <c r="D1821" t="n">
        <v>0.035</v>
      </c>
    </row>
    <row r="1822">
      <c r="A1822" t="n">
        <v>8.811</v>
      </c>
      <c r="B1822" t="n">
        <v>0.06</v>
      </c>
      <c r="C1822" t="n">
        <v>1.027</v>
      </c>
      <c r="D1822" t="n">
        <v>0.014</v>
      </c>
    </row>
    <row r="1823">
      <c r="A1823" t="n">
        <v>8.811999999999999</v>
      </c>
      <c r="B1823" t="n">
        <v>0.073</v>
      </c>
      <c r="C1823" t="n">
        <v>1.036</v>
      </c>
      <c r="D1823" t="n">
        <v>-0.01</v>
      </c>
    </row>
    <row r="1824">
      <c r="A1824" t="n">
        <v>8.811999999999999</v>
      </c>
      <c r="B1824" t="n">
        <v>0.08</v>
      </c>
      <c r="C1824" t="n">
        <v>1.042</v>
      </c>
      <c r="D1824" t="n">
        <v>-0.022</v>
      </c>
    </row>
    <row r="1825">
      <c r="A1825" t="n">
        <v>8.813000000000001</v>
      </c>
      <c r="B1825" t="n">
        <v>0.077</v>
      </c>
      <c r="C1825" t="n">
        <v>1.047</v>
      </c>
      <c r="D1825" t="n">
        <v>-0.034</v>
      </c>
    </row>
    <row r="1826">
      <c r="A1826" t="n">
        <v>8.817</v>
      </c>
      <c r="B1826" t="n">
        <v>0.07099999999999999</v>
      </c>
      <c r="C1826" t="n">
        <v>1.046</v>
      </c>
      <c r="D1826" t="n">
        <v>-0.034</v>
      </c>
    </row>
    <row r="1827">
      <c r="A1827" t="n">
        <v>8.823</v>
      </c>
      <c r="B1827" t="n">
        <v>0.061</v>
      </c>
      <c r="C1827" t="n">
        <v>1.043</v>
      </c>
      <c r="D1827" t="n">
        <v>-0.026</v>
      </c>
    </row>
    <row r="1828">
      <c r="A1828" t="n">
        <v>8.833</v>
      </c>
      <c r="B1828" t="n">
        <v>0.057</v>
      </c>
      <c r="C1828" t="n">
        <v>1.039</v>
      </c>
      <c r="D1828" t="n">
        <v>-0.011</v>
      </c>
    </row>
    <row r="1829">
      <c r="A1829" t="n">
        <v>8.834</v>
      </c>
      <c r="B1829" t="n">
        <v>0.057</v>
      </c>
      <c r="C1829" t="n">
        <v>1.039</v>
      </c>
      <c r="D1829" t="n">
        <v>-0.011</v>
      </c>
    </row>
    <row r="1830">
      <c r="A1830" t="n">
        <v>8.835000000000001</v>
      </c>
      <c r="B1830" t="n">
        <v>0.055</v>
      </c>
      <c r="C1830" t="n">
        <v>1.04</v>
      </c>
      <c r="D1830" t="n">
        <v>-0.005</v>
      </c>
    </row>
    <row r="1831">
      <c r="A1831" t="n">
        <v>8.837999999999999</v>
      </c>
      <c r="B1831" t="n">
        <v>0.055</v>
      </c>
      <c r="C1831" t="n">
        <v>1.039</v>
      </c>
      <c r="D1831" t="n">
        <v>0</v>
      </c>
    </row>
    <row r="1832">
      <c r="A1832" t="n">
        <v>8.853</v>
      </c>
      <c r="B1832" t="n">
        <v>0.056</v>
      </c>
      <c r="C1832" t="n">
        <v>1.037</v>
      </c>
      <c r="D1832" t="n">
        <v>0</v>
      </c>
    </row>
    <row r="1833">
      <c r="A1833" t="n">
        <v>8.855</v>
      </c>
      <c r="B1833" t="n">
        <v>0.058</v>
      </c>
      <c r="C1833" t="n">
        <v>1.03</v>
      </c>
      <c r="D1833" t="n">
        <v>-0.001</v>
      </c>
    </row>
    <row r="1834">
      <c r="A1834" t="n">
        <v>8.856</v>
      </c>
      <c r="B1834" t="n">
        <v>0.056</v>
      </c>
      <c r="C1834" t="n">
        <v>1.023</v>
      </c>
      <c r="D1834" t="n">
        <v>0.008</v>
      </c>
    </row>
    <row r="1835">
      <c r="A1835" t="n">
        <v>8.859</v>
      </c>
      <c r="B1835" t="n">
        <v>0.047</v>
      </c>
      <c r="C1835" t="n">
        <v>1.017</v>
      </c>
      <c r="D1835" t="n">
        <v>0.021</v>
      </c>
    </row>
    <row r="1836">
      <c r="A1836" t="n">
        <v>8.875999999999999</v>
      </c>
      <c r="B1836" t="n">
        <v>0.038</v>
      </c>
      <c r="C1836" t="n">
        <v>1.011</v>
      </c>
      <c r="D1836" t="n">
        <v>0.034</v>
      </c>
    </row>
    <row r="1837">
      <c r="A1837" t="n">
        <v>8.878</v>
      </c>
      <c r="B1837" t="n">
        <v>0.038</v>
      </c>
      <c r="C1837" t="n">
        <v>1.011</v>
      </c>
      <c r="D1837" t="n">
        <v>0.034</v>
      </c>
    </row>
    <row r="1838">
      <c r="A1838" t="n">
        <v>8.879</v>
      </c>
      <c r="B1838" t="n">
        <v>0.032</v>
      </c>
      <c r="C1838" t="n">
        <v>1.001</v>
      </c>
      <c r="D1838" t="n">
        <v>0.065</v>
      </c>
    </row>
    <row r="1839">
      <c r="A1839" t="n">
        <v>8.919</v>
      </c>
      <c r="B1839" t="n">
        <v>0.034</v>
      </c>
      <c r="C1839" t="n">
        <v>1</v>
      </c>
      <c r="D1839" t="n">
        <v>0.066</v>
      </c>
    </row>
    <row r="1840">
      <c r="A1840" t="n">
        <v>8.92</v>
      </c>
      <c r="B1840" t="n">
        <v>0.034</v>
      </c>
      <c r="C1840" t="n">
        <v>1</v>
      </c>
      <c r="D1840" t="n">
        <v>0.066</v>
      </c>
    </row>
    <row r="1841">
      <c r="A1841" t="n">
        <v>8.92</v>
      </c>
      <c r="B1841" t="n">
        <v>0.028</v>
      </c>
      <c r="C1841" t="n">
        <v>1.001</v>
      </c>
      <c r="D1841" t="n">
        <v>0.05</v>
      </c>
    </row>
    <row r="1842">
      <c r="A1842" t="n">
        <v>8.92</v>
      </c>
      <c r="B1842" t="n">
        <v>0.026</v>
      </c>
      <c r="C1842" t="n">
        <v>1.005</v>
      </c>
      <c r="D1842" t="n">
        <v>0.042</v>
      </c>
    </row>
    <row r="1843">
      <c r="A1843" t="n">
        <v>8.920999999999999</v>
      </c>
      <c r="B1843" t="n">
        <v>0.029</v>
      </c>
      <c r="C1843" t="n">
        <v>1.011</v>
      </c>
      <c r="D1843" t="n">
        <v>0.032</v>
      </c>
    </row>
    <row r="1844">
      <c r="A1844" t="n">
        <v>8.920999999999999</v>
      </c>
      <c r="B1844" t="n">
        <v>0.035</v>
      </c>
      <c r="C1844" t="n">
        <v>1.015</v>
      </c>
      <c r="D1844" t="n">
        <v>0.027</v>
      </c>
    </row>
    <row r="1845">
      <c r="A1845" t="n">
        <v>8.920999999999999</v>
      </c>
      <c r="B1845" t="n">
        <v>0.041</v>
      </c>
      <c r="C1845" t="n">
        <v>1.024</v>
      </c>
      <c r="D1845" t="n">
        <v>0.014</v>
      </c>
    </row>
    <row r="1846">
      <c r="A1846" t="n">
        <v>8.922000000000001</v>
      </c>
      <c r="B1846" t="n">
        <v>0.049</v>
      </c>
      <c r="C1846" t="n">
        <v>1.034</v>
      </c>
      <c r="D1846" t="n">
        <v>-0.007</v>
      </c>
    </row>
    <row r="1847">
      <c r="A1847" t="n">
        <v>8.922000000000001</v>
      </c>
      <c r="B1847" t="n">
        <v>0.054</v>
      </c>
      <c r="C1847" t="n">
        <v>1.039</v>
      </c>
      <c r="D1847" t="n">
        <v>-0.021</v>
      </c>
    </row>
    <row r="1848">
      <c r="A1848" t="n">
        <v>8.923999999999999</v>
      </c>
      <c r="B1848" t="n">
        <v>0.062</v>
      </c>
      <c r="C1848" t="n">
        <v>1.041</v>
      </c>
      <c r="D1848" t="n">
        <v>-0.037</v>
      </c>
    </row>
    <row r="1849">
      <c r="A1849" t="n">
        <v>8.927</v>
      </c>
      <c r="B1849" t="n">
        <v>0.067</v>
      </c>
      <c r="C1849" t="n">
        <v>1.038</v>
      </c>
      <c r="D1849" t="n">
        <v>-0.046</v>
      </c>
    </row>
    <row r="1850">
      <c r="A1850" t="n">
        <v>8.933</v>
      </c>
      <c r="B1850" t="n">
        <v>0.073</v>
      </c>
      <c r="C1850" t="n">
        <v>1.032</v>
      </c>
      <c r="D1850" t="n">
        <v>-0.044</v>
      </c>
    </row>
    <row r="1851">
      <c r="A1851" t="n">
        <v>8.938000000000001</v>
      </c>
      <c r="B1851" t="n">
        <v>0.074</v>
      </c>
      <c r="C1851" t="n">
        <v>1.027</v>
      </c>
      <c r="D1851" t="n">
        <v>-0.028</v>
      </c>
    </row>
    <row r="1852">
      <c r="A1852" t="n">
        <v>8.943</v>
      </c>
      <c r="B1852" t="n">
        <v>0.07199999999999999</v>
      </c>
      <c r="C1852" t="n">
        <v>1.018</v>
      </c>
      <c r="D1852" t="n">
        <v>-0.012</v>
      </c>
    </row>
    <row r="1853">
      <c r="A1853" t="n">
        <v>8.952999999999999</v>
      </c>
      <c r="B1853" t="n">
        <v>0.07000000000000001</v>
      </c>
      <c r="C1853" t="n">
        <v>1.008</v>
      </c>
      <c r="D1853" t="n">
        <v>0.001</v>
      </c>
    </row>
    <row r="1854">
      <c r="A1854" t="n">
        <v>8.954000000000001</v>
      </c>
      <c r="B1854" t="n">
        <v>0.067</v>
      </c>
      <c r="C1854" t="n">
        <v>1</v>
      </c>
      <c r="D1854" t="n">
        <v>0.019</v>
      </c>
    </row>
    <row r="1855">
      <c r="A1855" t="n">
        <v>8.957000000000001</v>
      </c>
      <c r="B1855" t="n">
        <v>0.056</v>
      </c>
      <c r="C1855" t="n">
        <v>0.985</v>
      </c>
      <c r="D1855" t="n">
        <v>0.037</v>
      </c>
    </row>
    <row r="1856">
      <c r="A1856" t="n">
        <v>8.967000000000001</v>
      </c>
      <c r="B1856" t="n">
        <v>0.039</v>
      </c>
      <c r="C1856" t="n">
        <v>0.973</v>
      </c>
      <c r="D1856" t="n">
        <v>0.051</v>
      </c>
    </row>
    <row r="1857">
      <c r="A1857" t="n">
        <v>8.967000000000001</v>
      </c>
      <c r="B1857" t="n">
        <v>0.039</v>
      </c>
      <c r="C1857" t="n">
        <v>0.973</v>
      </c>
      <c r="D1857" t="n">
        <v>0.051</v>
      </c>
    </row>
    <row r="1858">
      <c r="A1858" t="n">
        <v>8.973000000000001</v>
      </c>
      <c r="B1858" t="n">
        <v>0.021</v>
      </c>
      <c r="C1858" t="n">
        <v>0.958</v>
      </c>
      <c r="D1858" t="n">
        <v>0.06900000000000001</v>
      </c>
    </row>
    <row r="1859">
      <c r="A1859" t="n">
        <v>8.991</v>
      </c>
      <c r="B1859" t="n">
        <v>0.019</v>
      </c>
      <c r="C1859" t="n">
        <v>0.956</v>
      </c>
      <c r="D1859" t="n">
        <v>0.077</v>
      </c>
    </row>
    <row r="1860">
      <c r="A1860" t="n">
        <v>8.992000000000001</v>
      </c>
      <c r="B1860" t="n">
        <v>0.019</v>
      </c>
      <c r="C1860" t="n">
        <v>0.956</v>
      </c>
      <c r="D1860" t="n">
        <v>0.077</v>
      </c>
    </row>
    <row r="1861">
      <c r="A1861" t="n">
        <v>8.993</v>
      </c>
      <c r="B1861" t="n">
        <v>0.015</v>
      </c>
      <c r="C1861" t="n">
        <v>0.954</v>
      </c>
      <c r="D1861" t="n">
        <v>0.077</v>
      </c>
    </row>
    <row r="1862">
      <c r="A1862" t="n">
        <v>8.994</v>
      </c>
      <c r="B1862" t="n">
        <v>0.011</v>
      </c>
      <c r="C1862" t="n">
        <v>0.956</v>
      </c>
      <c r="D1862" t="n">
        <v>0.075</v>
      </c>
    </row>
    <row r="1863">
      <c r="A1863" t="n">
        <v>8.996</v>
      </c>
      <c r="B1863" t="n">
        <v>0.002</v>
      </c>
      <c r="C1863" t="n">
        <v>0.956</v>
      </c>
      <c r="D1863" t="n">
        <v>0.07199999999999999</v>
      </c>
    </row>
    <row r="1864">
      <c r="A1864" t="n">
        <v>9.035</v>
      </c>
      <c r="B1864" t="n">
        <v>-0.002</v>
      </c>
      <c r="C1864" t="n">
        <v>0.958</v>
      </c>
      <c r="D1864" t="n">
        <v>0.068</v>
      </c>
    </row>
    <row r="1865">
      <c r="A1865" t="n">
        <v>9.036</v>
      </c>
      <c r="B1865" t="n">
        <v>-0.002</v>
      </c>
      <c r="C1865" t="n">
        <v>0.958</v>
      </c>
      <c r="D1865" t="n">
        <v>0.068</v>
      </c>
    </row>
    <row r="1866">
      <c r="A1866" t="n">
        <v>9.036</v>
      </c>
      <c r="B1866" t="n">
        <v>-0.01</v>
      </c>
      <c r="C1866" t="n">
        <v>0.958</v>
      </c>
      <c r="D1866" t="n">
        <v>0.07199999999999999</v>
      </c>
    </row>
    <row r="1867">
      <c r="A1867" t="n">
        <v>9.036</v>
      </c>
      <c r="B1867" t="n">
        <v>-0.017</v>
      </c>
      <c r="C1867" t="n">
        <v>0.957</v>
      </c>
      <c r="D1867" t="n">
        <v>0.081</v>
      </c>
    </row>
    <row r="1868">
      <c r="A1868" t="n">
        <v>9.036</v>
      </c>
      <c r="B1868" t="n">
        <v>-0.019</v>
      </c>
      <c r="C1868" t="n">
        <v>0.96</v>
      </c>
      <c r="D1868" t="n">
        <v>0.078</v>
      </c>
    </row>
    <row r="1869">
      <c r="A1869" t="n">
        <v>9.037000000000001</v>
      </c>
      <c r="B1869" t="n">
        <v>-0.011</v>
      </c>
      <c r="C1869" t="n">
        <v>0.968</v>
      </c>
      <c r="D1869" t="n">
        <v>0.076</v>
      </c>
    </row>
    <row r="1870">
      <c r="A1870" t="n">
        <v>9.037000000000001</v>
      </c>
      <c r="B1870" t="n">
        <v>-0.004</v>
      </c>
      <c r="C1870" t="n">
        <v>0.982</v>
      </c>
      <c r="D1870" t="n">
        <v>0.067</v>
      </c>
    </row>
    <row r="1871">
      <c r="A1871" t="n">
        <v>9.037000000000001</v>
      </c>
      <c r="B1871" t="n">
        <v>0</v>
      </c>
      <c r="C1871" t="n">
        <v>0.996</v>
      </c>
      <c r="D1871" t="n">
        <v>0.047</v>
      </c>
    </row>
    <row r="1872">
      <c r="A1872" t="n">
        <v>9.038</v>
      </c>
      <c r="B1872" t="n">
        <v>0.003</v>
      </c>
      <c r="C1872" t="n">
        <v>1.006</v>
      </c>
      <c r="D1872" t="n">
        <v>0.025</v>
      </c>
    </row>
    <row r="1873">
      <c r="A1873" t="n">
        <v>9.038</v>
      </c>
      <c r="B1873" t="n">
        <v>0.006</v>
      </c>
      <c r="C1873" t="n">
        <v>1.012</v>
      </c>
      <c r="D1873" t="n">
        <v>0.005</v>
      </c>
    </row>
    <row r="1874">
      <c r="A1874" t="n">
        <v>9.042999999999999</v>
      </c>
      <c r="B1874" t="n">
        <v>0.016</v>
      </c>
      <c r="C1874" t="n">
        <v>1.016</v>
      </c>
      <c r="D1874" t="n">
        <v>-0.011</v>
      </c>
    </row>
    <row r="1875">
      <c r="A1875" t="n">
        <v>9.048</v>
      </c>
      <c r="B1875" t="n">
        <v>0.023</v>
      </c>
      <c r="C1875" t="n">
        <v>1.016</v>
      </c>
      <c r="D1875" t="n">
        <v>-0.018</v>
      </c>
    </row>
    <row r="1876">
      <c r="A1876" t="n">
        <v>9.053000000000001</v>
      </c>
      <c r="B1876" t="n">
        <v>0.022</v>
      </c>
      <c r="C1876" t="n">
        <v>1.014</v>
      </c>
      <c r="D1876" t="n">
        <v>-0.014</v>
      </c>
    </row>
    <row r="1877">
      <c r="A1877" t="n">
        <v>9.057</v>
      </c>
      <c r="B1877" t="n">
        <v>0.014</v>
      </c>
      <c r="C1877" t="n">
        <v>1.01</v>
      </c>
      <c r="D1877" t="n">
        <v>-0.005</v>
      </c>
    </row>
    <row r="1878">
      <c r="A1878" t="n">
        <v>9.081</v>
      </c>
      <c r="B1878" t="n">
        <v>0.013</v>
      </c>
      <c r="C1878" t="n">
        <v>1.007</v>
      </c>
      <c r="D1878" t="n">
        <v>0.003</v>
      </c>
    </row>
    <row r="1879">
      <c r="A1879" t="n">
        <v>9.083</v>
      </c>
      <c r="B1879" t="n">
        <v>0.02</v>
      </c>
      <c r="C1879" t="n">
        <v>1.009</v>
      </c>
      <c r="D1879" t="n">
        <v>0.01</v>
      </c>
    </row>
    <row r="1880">
      <c r="A1880" t="n">
        <v>9.083</v>
      </c>
      <c r="B1880" t="n">
        <v>0.022</v>
      </c>
      <c r="C1880" t="n">
        <v>1.004</v>
      </c>
      <c r="D1880" t="n">
        <v>0.008</v>
      </c>
    </row>
    <row r="1881">
      <c r="A1881" t="n">
        <v>9.084</v>
      </c>
      <c r="B1881" t="n">
        <v>0.02</v>
      </c>
      <c r="C1881" t="n">
        <v>1.002</v>
      </c>
      <c r="D1881" t="n">
        <v>0.003</v>
      </c>
    </row>
    <row r="1882">
      <c r="A1882" t="n">
        <v>9.084</v>
      </c>
      <c r="B1882" t="n">
        <v>0.022</v>
      </c>
      <c r="C1882" t="n">
        <v>1.006</v>
      </c>
      <c r="D1882" t="n">
        <v>-0.005</v>
      </c>
    </row>
    <row r="1883">
      <c r="A1883" t="n">
        <v>9.087999999999999</v>
      </c>
      <c r="B1883" t="n">
        <v>0.026</v>
      </c>
      <c r="C1883" t="n">
        <v>1.009</v>
      </c>
      <c r="D1883" t="n">
        <v>-0.01</v>
      </c>
    </row>
    <row r="1884">
      <c r="A1884" t="n">
        <v>9.093</v>
      </c>
      <c r="B1884" t="n">
        <v>0.032</v>
      </c>
      <c r="C1884" t="n">
        <v>1.011</v>
      </c>
      <c r="D1884" t="n">
        <v>-0.006</v>
      </c>
    </row>
    <row r="1885">
      <c r="A1885" t="n">
        <v>9.109</v>
      </c>
      <c r="B1885" t="n">
        <v>0.039</v>
      </c>
      <c r="C1885" t="n">
        <v>1.01</v>
      </c>
      <c r="D1885" t="n">
        <v>-0.006</v>
      </c>
    </row>
    <row r="1886">
      <c r="A1886" t="n">
        <v>9.109999999999999</v>
      </c>
      <c r="B1886" t="n">
        <v>0.044</v>
      </c>
      <c r="C1886" t="n">
        <v>1.007</v>
      </c>
      <c r="D1886" t="n">
        <v>-0.001</v>
      </c>
    </row>
    <row r="1887">
      <c r="A1887" t="n">
        <v>9.109999999999999</v>
      </c>
      <c r="B1887" t="n">
        <v>0.044</v>
      </c>
      <c r="C1887" t="n">
        <v>1.004</v>
      </c>
      <c r="D1887" t="n">
        <v>0.013</v>
      </c>
    </row>
    <row r="1888">
      <c r="A1888" t="n">
        <v>9.118</v>
      </c>
      <c r="B1888" t="n">
        <v>0.033</v>
      </c>
      <c r="C1888" t="n">
        <v>0.996</v>
      </c>
      <c r="D1888" t="n">
        <v>0.027</v>
      </c>
    </row>
    <row r="1889">
      <c r="A1889" t="n">
        <v>9.118</v>
      </c>
      <c r="B1889" t="n">
        <v>0.024</v>
      </c>
      <c r="C1889" t="n">
        <v>0.993</v>
      </c>
      <c r="D1889" t="n">
        <v>0.044</v>
      </c>
    </row>
    <row r="1890">
      <c r="A1890" t="n">
        <v>9.122999999999999</v>
      </c>
      <c r="B1890" t="n">
        <v>0.027</v>
      </c>
      <c r="C1890" t="n">
        <v>0.992</v>
      </c>
      <c r="D1890" t="n">
        <v>0.063</v>
      </c>
    </row>
    <row r="1891">
      <c r="A1891" t="n">
        <v>9.128</v>
      </c>
      <c r="B1891" t="n">
        <v>0.035</v>
      </c>
      <c r="C1891" t="n">
        <v>0.997</v>
      </c>
      <c r="D1891" t="n">
        <v>0.06900000000000001</v>
      </c>
    </row>
    <row r="1892">
      <c r="A1892" t="n">
        <v>9.132999999999999</v>
      </c>
      <c r="B1892" t="n">
        <v>0.049</v>
      </c>
      <c r="C1892" t="n">
        <v>1</v>
      </c>
      <c r="D1892" t="n">
        <v>0.07099999999999999</v>
      </c>
    </row>
    <row r="1893">
      <c r="A1893" t="n">
        <v>9.137</v>
      </c>
      <c r="B1893" t="n">
        <v>0.061</v>
      </c>
      <c r="C1893" t="n">
        <v>1.006</v>
      </c>
      <c r="D1893" t="n">
        <v>0.064</v>
      </c>
    </row>
    <row r="1894">
      <c r="A1894" t="n">
        <v>9.143000000000001</v>
      </c>
      <c r="B1894" t="n">
        <v>0.07099999999999999</v>
      </c>
      <c r="C1894" t="n">
        <v>1.015</v>
      </c>
      <c r="D1894" t="n">
        <v>0.054</v>
      </c>
    </row>
    <row r="1895">
      <c r="A1895" t="n">
        <v>9.148</v>
      </c>
      <c r="B1895" t="n">
        <v>0.075</v>
      </c>
      <c r="C1895" t="n">
        <v>1.021</v>
      </c>
      <c r="D1895" t="n">
        <v>0.042</v>
      </c>
    </row>
    <row r="1896">
      <c r="A1896" t="n">
        <v>9.153</v>
      </c>
      <c r="B1896" t="n">
        <v>0.081</v>
      </c>
      <c r="C1896" t="n">
        <v>1.028</v>
      </c>
      <c r="D1896" t="n">
        <v>0.031</v>
      </c>
    </row>
    <row r="1897">
      <c r="A1897" t="n">
        <v>9.157999999999999</v>
      </c>
      <c r="B1897" t="n">
        <v>0.089</v>
      </c>
      <c r="C1897" t="n">
        <v>1.036</v>
      </c>
      <c r="D1897" t="n">
        <v>0.019</v>
      </c>
    </row>
    <row r="1898">
      <c r="A1898" t="n">
        <v>9.169</v>
      </c>
      <c r="B1898" t="n">
        <v>0.1</v>
      </c>
      <c r="C1898" t="n">
        <v>1.044</v>
      </c>
      <c r="D1898" t="n">
        <v>0.011</v>
      </c>
    </row>
    <row r="1899">
      <c r="A1899" t="n">
        <v>9.170999999999999</v>
      </c>
      <c r="B1899" t="n">
        <v>0.105</v>
      </c>
      <c r="C1899" t="n">
        <v>1.054</v>
      </c>
      <c r="D1899" t="n">
        <v>-0.001</v>
      </c>
    </row>
    <row r="1900">
      <c r="A1900" t="n">
        <v>9.173999999999999</v>
      </c>
      <c r="B1900" t="n">
        <v>0.111</v>
      </c>
      <c r="C1900" t="n">
        <v>1.059</v>
      </c>
      <c r="D1900" t="n">
        <v>-0.013</v>
      </c>
    </row>
    <row r="1901">
      <c r="A1901" t="n">
        <v>9.182</v>
      </c>
      <c r="B1901" t="n">
        <v>0.111</v>
      </c>
      <c r="C1901" t="n">
        <v>1.062</v>
      </c>
      <c r="D1901" t="n">
        <v>-0.028</v>
      </c>
    </row>
    <row r="1902">
      <c r="A1902" t="n">
        <v>9.192</v>
      </c>
      <c r="B1902" t="n">
        <v>0.109</v>
      </c>
      <c r="C1902" t="n">
        <v>1.057</v>
      </c>
      <c r="D1902" t="n">
        <v>-0.04</v>
      </c>
    </row>
    <row r="1903">
      <c r="A1903" t="n">
        <v>9.193</v>
      </c>
      <c r="B1903" t="n">
        <v>0.109</v>
      </c>
      <c r="C1903" t="n">
        <v>1.057</v>
      </c>
      <c r="D1903" t="n">
        <v>-0.04</v>
      </c>
    </row>
    <row r="1904">
      <c r="A1904" t="n">
        <v>9.194000000000001</v>
      </c>
      <c r="B1904" t="n">
        <v>0.093</v>
      </c>
      <c r="C1904" t="n">
        <v>1.046</v>
      </c>
      <c r="D1904" t="n">
        <v>-0.032</v>
      </c>
    </row>
    <row r="1905">
      <c r="A1905" t="n">
        <v>9.214</v>
      </c>
      <c r="B1905" t="n">
        <v>0.08500000000000001</v>
      </c>
      <c r="C1905" t="n">
        <v>1.037</v>
      </c>
      <c r="D1905" t="n">
        <v>-0.018</v>
      </c>
    </row>
    <row r="1906">
      <c r="A1906" t="n">
        <v>9.215</v>
      </c>
      <c r="B1906" t="n">
        <v>0.073</v>
      </c>
      <c r="C1906" t="n">
        <v>1.028</v>
      </c>
      <c r="D1906" t="n">
        <v>-0.008999999999999999</v>
      </c>
    </row>
    <row r="1907">
      <c r="A1907" t="n">
        <v>9.215</v>
      </c>
      <c r="B1907" t="n">
        <v>0.06</v>
      </c>
      <c r="C1907" t="n">
        <v>1.02</v>
      </c>
      <c r="D1907" t="n">
        <v>-0.006</v>
      </c>
    </row>
    <row r="1908">
      <c r="A1908" t="n">
        <v>9.215</v>
      </c>
      <c r="B1908" t="n">
        <v>0.05</v>
      </c>
      <c r="C1908" t="n">
        <v>1.017</v>
      </c>
      <c r="D1908" t="n">
        <v>-0.011</v>
      </c>
    </row>
    <row r="1909">
      <c r="A1909" t="n">
        <v>9.218</v>
      </c>
      <c r="B1909" t="n">
        <v>0.046</v>
      </c>
      <c r="C1909" t="n">
        <v>1.014</v>
      </c>
      <c r="D1909" t="n">
        <v>-0.019</v>
      </c>
    </row>
    <row r="1910">
      <c r="A1910" t="n">
        <v>9.223000000000001</v>
      </c>
      <c r="B1910" t="n">
        <v>0.04</v>
      </c>
      <c r="C1910" t="n">
        <v>1.01</v>
      </c>
      <c r="D1910" t="n">
        <v>-0.029</v>
      </c>
    </row>
    <row r="1911">
      <c r="A1911" t="n">
        <v>9.227</v>
      </c>
      <c r="B1911" t="n">
        <v>0.032</v>
      </c>
      <c r="C1911" t="n">
        <v>1.004</v>
      </c>
      <c r="D1911" t="n">
        <v>-0.037</v>
      </c>
    </row>
    <row r="1912">
      <c r="A1912" t="n">
        <v>9.253</v>
      </c>
      <c r="B1912" t="n">
        <v>0.025</v>
      </c>
      <c r="C1912" t="n">
        <v>0.998</v>
      </c>
      <c r="D1912" t="n">
        <v>-0.034</v>
      </c>
    </row>
    <row r="1913">
      <c r="A1913" t="n">
        <v>9.253</v>
      </c>
      <c r="B1913" t="n">
        <v>0.025</v>
      </c>
      <c r="C1913" t="n">
        <v>0.994</v>
      </c>
      <c r="D1913" t="n">
        <v>-0.024</v>
      </c>
    </row>
    <row r="1914">
      <c r="A1914" t="n">
        <v>9.253</v>
      </c>
      <c r="B1914" t="n">
        <v>0.032</v>
      </c>
      <c r="C1914" t="n">
        <v>0.991</v>
      </c>
      <c r="D1914" t="n">
        <v>-0.015</v>
      </c>
    </row>
    <row r="1915">
      <c r="A1915" t="n">
        <v>9.253</v>
      </c>
      <c r="B1915" t="n">
        <v>0.047</v>
      </c>
      <c r="C1915" t="n">
        <v>0.991</v>
      </c>
      <c r="D1915" t="n">
        <v>-0.008999999999999999</v>
      </c>
    </row>
    <row r="1916">
      <c r="A1916" t="n">
        <v>9.254</v>
      </c>
      <c r="B1916" t="n">
        <v>0.06</v>
      </c>
      <c r="C1916" t="n">
        <v>0.991</v>
      </c>
      <c r="D1916" t="n">
        <v>-0.005</v>
      </c>
    </row>
    <row r="1917">
      <c r="A1917" t="n">
        <v>9.257999999999999</v>
      </c>
      <c r="B1917" t="n">
        <v>0.073</v>
      </c>
      <c r="C1917" t="n">
        <v>0.988</v>
      </c>
      <c r="D1917" t="n">
        <v>0</v>
      </c>
    </row>
    <row r="1918">
      <c r="A1918" t="n">
        <v>9.266</v>
      </c>
      <c r="B1918" t="n">
        <v>0.079</v>
      </c>
      <c r="C1918" t="n">
        <v>0.98</v>
      </c>
      <c r="D1918" t="n">
        <v>0.007</v>
      </c>
    </row>
    <row r="1919">
      <c r="A1919" t="n">
        <v>9.268000000000001</v>
      </c>
      <c r="B1919" t="n">
        <v>0.09</v>
      </c>
      <c r="C1919" t="n">
        <v>0.974</v>
      </c>
      <c r="D1919" t="n">
        <v>0.018</v>
      </c>
    </row>
    <row r="1920">
      <c r="A1920" t="n">
        <v>9.273999999999999</v>
      </c>
      <c r="B1920" t="n">
        <v>0.102</v>
      </c>
      <c r="C1920" t="n">
        <v>0.974</v>
      </c>
      <c r="D1920" t="n">
        <v>0.035</v>
      </c>
    </row>
    <row r="1921">
      <c r="A1921" t="n">
        <v>9.279</v>
      </c>
      <c r="B1921" t="n">
        <v>0.112</v>
      </c>
      <c r="C1921" t="n">
        <v>0.974</v>
      </c>
      <c r="D1921" t="n">
        <v>0.046</v>
      </c>
    </row>
    <row r="1922">
      <c r="A1922" t="n">
        <v>9.289999999999999</v>
      </c>
      <c r="B1922" t="n">
        <v>0.109</v>
      </c>
      <c r="C1922" t="n">
        <v>0.968</v>
      </c>
      <c r="D1922" t="n">
        <v>0.059</v>
      </c>
    </row>
    <row r="1923">
      <c r="A1923" t="n">
        <v>9.291</v>
      </c>
      <c r="B1923" t="n">
        <v>0.102</v>
      </c>
      <c r="C1923" t="n">
        <v>0.963</v>
      </c>
      <c r="D1923" t="n">
        <v>0.06900000000000001</v>
      </c>
    </row>
    <row r="1924">
      <c r="A1924" t="n">
        <v>9.292999999999999</v>
      </c>
      <c r="B1924" t="n">
        <v>0.097</v>
      </c>
      <c r="C1924" t="n">
        <v>0.96</v>
      </c>
      <c r="D1924" t="n">
        <v>0.07199999999999999</v>
      </c>
    </row>
    <row r="1925">
      <c r="A1925" t="n">
        <v>9.335000000000001</v>
      </c>
      <c r="B1925" t="n">
        <v>0.095</v>
      </c>
      <c r="C1925" t="n">
        <v>0.962</v>
      </c>
      <c r="D1925" t="n">
        <v>0.073</v>
      </c>
    </row>
    <row r="1926">
      <c r="A1926" t="n">
        <v>9.336</v>
      </c>
      <c r="B1926" t="n">
        <v>0.095</v>
      </c>
      <c r="C1926" t="n">
        <v>0.962</v>
      </c>
      <c r="D1926" t="n">
        <v>0.073</v>
      </c>
    </row>
    <row r="1927">
      <c r="A1927" t="n">
        <v>9.337</v>
      </c>
      <c r="B1927" t="n">
        <v>0.09</v>
      </c>
      <c r="C1927" t="n">
        <v>0.968</v>
      </c>
      <c r="D1927" t="n">
        <v>0.068</v>
      </c>
    </row>
    <row r="1928">
      <c r="A1928" t="n">
        <v>9.337999999999999</v>
      </c>
      <c r="B1928" t="n">
        <v>0.08500000000000001</v>
      </c>
      <c r="C1928" t="n">
        <v>0.969</v>
      </c>
      <c r="D1928" t="n">
        <v>0.066</v>
      </c>
    </row>
    <row r="1929">
      <c r="A1929" t="n">
        <v>9.339</v>
      </c>
      <c r="B1929" t="n">
        <v>0.083</v>
      </c>
      <c r="C1929" t="n">
        <v>0.974</v>
      </c>
      <c r="D1929" t="n">
        <v>0.059</v>
      </c>
    </row>
    <row r="1930">
      <c r="A1930" t="n">
        <v>9.339</v>
      </c>
      <c r="B1930" t="n">
        <v>0.08</v>
      </c>
      <c r="C1930" t="n">
        <v>0.981</v>
      </c>
      <c r="D1930" t="n">
        <v>0.053</v>
      </c>
    </row>
    <row r="1931">
      <c r="A1931" t="n">
        <v>9.34</v>
      </c>
      <c r="B1931" t="n">
        <v>0.075</v>
      </c>
      <c r="C1931" t="n">
        <v>0.986</v>
      </c>
      <c r="D1931" t="n">
        <v>0.044</v>
      </c>
    </row>
    <row r="1932">
      <c r="A1932" t="n">
        <v>9.340999999999999</v>
      </c>
      <c r="B1932" t="n">
        <v>0.067</v>
      </c>
      <c r="C1932" t="n">
        <v>0.991</v>
      </c>
      <c r="D1932" t="n">
        <v>0.036</v>
      </c>
    </row>
    <row r="1933">
      <c r="A1933" t="n">
        <v>9.340999999999999</v>
      </c>
      <c r="B1933" t="n">
        <v>0.054</v>
      </c>
      <c r="C1933" t="n">
        <v>1.001</v>
      </c>
      <c r="D1933" t="n">
        <v>0.023</v>
      </c>
    </row>
    <row r="1934">
      <c r="A1934" t="n">
        <v>9.342000000000001</v>
      </c>
      <c r="B1934" t="n">
        <v>0.037</v>
      </c>
      <c r="C1934" t="n">
        <v>1.007</v>
      </c>
      <c r="D1934" t="n">
        <v>0.006</v>
      </c>
    </row>
    <row r="1935">
      <c r="A1935" t="n">
        <v>9.343</v>
      </c>
      <c r="B1935" t="n">
        <v>0.029</v>
      </c>
      <c r="C1935" t="n">
        <v>1.015</v>
      </c>
      <c r="D1935" t="n">
        <v>-0.006</v>
      </c>
    </row>
    <row r="1936">
      <c r="A1936" t="n">
        <v>9.35</v>
      </c>
      <c r="B1936" t="n">
        <v>0.023</v>
      </c>
      <c r="C1936" t="n">
        <v>1.023</v>
      </c>
      <c r="D1936" t="n">
        <v>-0.022</v>
      </c>
    </row>
    <row r="1937">
      <c r="A1937" t="n">
        <v>9.352</v>
      </c>
      <c r="B1937" t="n">
        <v>0.014</v>
      </c>
      <c r="C1937" t="n">
        <v>1.028</v>
      </c>
      <c r="D1937" t="n">
        <v>-0.042</v>
      </c>
    </row>
    <row r="1938">
      <c r="A1938" t="n">
        <v>9.356999999999999</v>
      </c>
      <c r="B1938" t="n">
        <v>0.016</v>
      </c>
      <c r="C1938" t="n">
        <v>1.032</v>
      </c>
      <c r="D1938" t="n">
        <v>-0.06</v>
      </c>
    </row>
    <row r="1939">
      <c r="A1939" t="n">
        <v>9.372999999999999</v>
      </c>
      <c r="B1939" t="n">
        <v>0.021</v>
      </c>
      <c r="C1939" t="n">
        <v>1.039</v>
      </c>
      <c r="D1939" t="n">
        <v>-0.07099999999999999</v>
      </c>
    </row>
    <row r="1940">
      <c r="A1940" t="n">
        <v>9.374000000000001</v>
      </c>
      <c r="B1940" t="n">
        <v>0.021</v>
      </c>
      <c r="C1940" t="n">
        <v>1.039</v>
      </c>
      <c r="D1940" t="n">
        <v>-0.07099999999999999</v>
      </c>
    </row>
    <row r="1941">
      <c r="A1941" t="n">
        <v>9.375</v>
      </c>
      <c r="B1941" t="n">
        <v>0.023</v>
      </c>
      <c r="C1941" t="n">
        <v>1.042</v>
      </c>
      <c r="D1941" t="n">
        <v>-0.07099999999999999</v>
      </c>
    </row>
    <row r="1942">
      <c r="A1942" t="n">
        <v>9.375999999999999</v>
      </c>
      <c r="B1942" t="n">
        <v>0.015</v>
      </c>
      <c r="C1942" t="n">
        <v>1.039</v>
      </c>
      <c r="D1942" t="n">
        <v>-0.07000000000000001</v>
      </c>
    </row>
    <row r="1943">
      <c r="A1943" t="n">
        <v>9.378</v>
      </c>
      <c r="B1943" t="n">
        <v>0.004</v>
      </c>
      <c r="C1943" t="n">
        <v>1.032</v>
      </c>
      <c r="D1943" t="n">
        <v>-0.06</v>
      </c>
    </row>
    <row r="1944">
      <c r="A1944" t="n">
        <v>9.407999999999999</v>
      </c>
      <c r="B1944" t="n">
        <v>-0.006</v>
      </c>
      <c r="C1944" t="n">
        <v>1.018</v>
      </c>
      <c r="D1944" t="n">
        <v>-0.043</v>
      </c>
    </row>
    <row r="1945">
      <c r="A1945" t="n">
        <v>9.407999999999999</v>
      </c>
      <c r="B1945" t="n">
        <v>-0.006</v>
      </c>
      <c r="C1945" t="n">
        <v>1.008</v>
      </c>
      <c r="D1945" t="n">
        <v>-0.026</v>
      </c>
    </row>
    <row r="1946">
      <c r="A1946" t="n">
        <v>9.407999999999999</v>
      </c>
      <c r="B1946" t="n">
        <v>0.006</v>
      </c>
      <c r="C1946" t="n">
        <v>1.004</v>
      </c>
      <c r="D1946" t="n">
        <v>-0.004</v>
      </c>
    </row>
    <row r="1947">
      <c r="A1947" t="n">
        <v>9.409000000000001</v>
      </c>
      <c r="B1947" t="n">
        <v>0.015</v>
      </c>
      <c r="C1947" t="n">
        <v>1</v>
      </c>
      <c r="D1947" t="n">
        <v>0.01</v>
      </c>
    </row>
    <row r="1948">
      <c r="A1948" t="n">
        <v>9.409000000000001</v>
      </c>
      <c r="B1948" t="n">
        <v>0.025</v>
      </c>
      <c r="C1948" t="n">
        <v>0.998</v>
      </c>
      <c r="D1948" t="n">
        <v>0.016</v>
      </c>
    </row>
    <row r="1949">
      <c r="A1949" t="n">
        <v>9.409000000000001</v>
      </c>
      <c r="B1949" t="n">
        <v>0.033</v>
      </c>
      <c r="C1949" t="n">
        <v>0.997</v>
      </c>
      <c r="D1949" t="n">
        <v>0.015</v>
      </c>
    </row>
    <row r="1950">
      <c r="A1950" t="n">
        <v>9.416</v>
      </c>
      <c r="B1950" t="n">
        <v>0.033</v>
      </c>
      <c r="C1950" t="n">
        <v>0.997</v>
      </c>
      <c r="D1950" t="n">
        <v>0.015</v>
      </c>
    </row>
    <row r="1951">
      <c r="A1951" t="n">
        <v>9.417</v>
      </c>
      <c r="B1951" t="n">
        <v>0.042</v>
      </c>
      <c r="C1951" t="n">
        <v>0.997</v>
      </c>
      <c r="D1951" t="n">
        <v>0.012</v>
      </c>
    </row>
    <row r="1952">
      <c r="A1952" t="n">
        <v>9.423</v>
      </c>
      <c r="B1952" t="n">
        <v>0.054</v>
      </c>
      <c r="C1952" t="n">
        <v>1</v>
      </c>
      <c r="D1952" t="n">
        <v>0.008</v>
      </c>
    </row>
    <row r="1953">
      <c r="A1953" t="n">
        <v>9.428000000000001</v>
      </c>
      <c r="B1953" t="n">
        <v>0.067</v>
      </c>
      <c r="C1953" t="n">
        <v>1.003</v>
      </c>
      <c r="D1953" t="n">
        <v>0.007</v>
      </c>
    </row>
    <row r="1954">
      <c r="A1954" t="n">
        <v>9.433</v>
      </c>
      <c r="B1954" t="n">
        <v>0.076</v>
      </c>
      <c r="C1954" t="n">
        <v>1.004</v>
      </c>
      <c r="D1954" t="n">
        <v>0.011</v>
      </c>
    </row>
    <row r="1955">
      <c r="A1955" t="n">
        <v>9.436999999999999</v>
      </c>
      <c r="B1955" t="n">
        <v>0.08500000000000001</v>
      </c>
      <c r="C1955" t="n">
        <v>1.002</v>
      </c>
      <c r="D1955" t="n">
        <v>0.012</v>
      </c>
    </row>
    <row r="1956">
      <c r="A1956" t="n">
        <v>9.443</v>
      </c>
      <c r="B1956" t="n">
        <v>0.093</v>
      </c>
      <c r="C1956" t="n">
        <v>1.003</v>
      </c>
      <c r="D1956" t="n">
        <v>0.02</v>
      </c>
    </row>
    <row r="1957">
      <c r="A1957" t="n">
        <v>9.452</v>
      </c>
      <c r="B1957" t="n">
        <v>0.096</v>
      </c>
      <c r="C1957" t="n">
        <v>1.002</v>
      </c>
      <c r="D1957" t="n">
        <v>0.028</v>
      </c>
    </row>
    <row r="1958">
      <c r="A1958" t="n">
        <v>9.452999999999999</v>
      </c>
      <c r="B1958" t="n">
        <v>0.096</v>
      </c>
      <c r="C1958" t="n">
        <v>1.002</v>
      </c>
      <c r="D1958" t="n">
        <v>0.028</v>
      </c>
    </row>
    <row r="1959">
      <c r="A1959" t="n">
        <v>9.459</v>
      </c>
      <c r="B1959" t="n">
        <v>0.095</v>
      </c>
      <c r="C1959" t="n">
        <v>1.002</v>
      </c>
      <c r="D1959" t="n">
        <v>0.033</v>
      </c>
    </row>
    <row r="1960">
      <c r="A1960" t="n">
        <v>9.465</v>
      </c>
      <c r="B1960" t="n">
        <v>0.08599999999999999</v>
      </c>
      <c r="C1960" t="n">
        <v>1.004</v>
      </c>
      <c r="D1960" t="n">
        <v>0.029</v>
      </c>
    </row>
    <row r="1961">
      <c r="A1961" t="n">
        <v>9.489000000000001</v>
      </c>
      <c r="B1961" t="n">
        <v>0.081</v>
      </c>
      <c r="C1961" t="n">
        <v>1.008</v>
      </c>
      <c r="D1961" t="n">
        <v>0.023</v>
      </c>
    </row>
    <row r="1962">
      <c r="A1962" t="n">
        <v>9.49</v>
      </c>
      <c r="B1962" t="n">
        <v>0.081</v>
      </c>
      <c r="C1962" t="n">
        <v>1.008</v>
      </c>
      <c r="D1962" t="n">
        <v>0.023</v>
      </c>
    </row>
    <row r="1963">
      <c r="A1963" t="n">
        <v>9.491</v>
      </c>
      <c r="B1963" t="n">
        <v>0.073</v>
      </c>
      <c r="C1963" t="n">
        <v>1.013</v>
      </c>
      <c r="D1963" t="n">
        <v>0.013</v>
      </c>
    </row>
    <row r="1964">
      <c r="A1964" t="n">
        <v>9.491</v>
      </c>
      <c r="B1964" t="n">
        <v>0.065</v>
      </c>
      <c r="C1964" t="n">
        <v>1.021</v>
      </c>
      <c r="D1964" t="n">
        <v>0.007</v>
      </c>
    </row>
    <row r="1965">
      <c r="A1965" t="n">
        <v>9.492000000000001</v>
      </c>
      <c r="B1965" t="n">
        <v>0.057</v>
      </c>
      <c r="C1965" t="n">
        <v>1.032</v>
      </c>
      <c r="D1965" t="n">
        <v>-0.011</v>
      </c>
    </row>
    <row r="1966">
      <c r="A1966" t="n">
        <v>9.492000000000001</v>
      </c>
      <c r="B1966" t="n">
        <v>0.057</v>
      </c>
      <c r="C1966" t="n">
        <v>1.032</v>
      </c>
      <c r="D1966" t="n">
        <v>-0.011</v>
      </c>
    </row>
    <row r="1967">
      <c r="A1967" t="n">
        <v>9.493</v>
      </c>
      <c r="B1967" t="n">
        <v>0.048</v>
      </c>
      <c r="C1967" t="n">
        <v>1.04</v>
      </c>
      <c r="D1967" t="n">
        <v>-0.028</v>
      </c>
    </row>
    <row r="1968">
      <c r="A1968" t="n">
        <v>9.493</v>
      </c>
      <c r="B1968" t="n">
        <v>0.037</v>
      </c>
      <c r="C1968" t="n">
        <v>1.042</v>
      </c>
      <c r="D1968" t="n">
        <v>-0.049</v>
      </c>
    </row>
    <row r="1969">
      <c r="A1969" t="n">
        <v>9.519</v>
      </c>
      <c r="B1969" t="n">
        <v>0.023</v>
      </c>
      <c r="C1969" t="n">
        <v>1.044</v>
      </c>
      <c r="D1969" t="n">
        <v>-0.063</v>
      </c>
    </row>
    <row r="1970">
      <c r="A1970" t="n">
        <v>9.52</v>
      </c>
      <c r="B1970" t="n">
        <v>0.023</v>
      </c>
      <c r="C1970" t="n">
        <v>1.044</v>
      </c>
      <c r="D1970" t="n">
        <v>-0.063</v>
      </c>
    </row>
    <row r="1971">
      <c r="A1971" t="n">
        <v>9.521000000000001</v>
      </c>
      <c r="B1971" t="n">
        <v>0.013</v>
      </c>
      <c r="C1971" t="n">
        <v>1.047</v>
      </c>
      <c r="D1971" t="n">
        <v>-0.06900000000000001</v>
      </c>
    </row>
    <row r="1972">
      <c r="A1972" t="n">
        <v>9.522</v>
      </c>
      <c r="B1972" t="n">
        <v>0.003</v>
      </c>
      <c r="C1972" t="n">
        <v>1.048</v>
      </c>
      <c r="D1972" t="n">
        <v>-0.075</v>
      </c>
    </row>
    <row r="1973">
      <c r="A1973" t="n">
        <v>9.523</v>
      </c>
      <c r="B1973" t="n">
        <v>0.001</v>
      </c>
      <c r="C1973" t="n">
        <v>1.048</v>
      </c>
      <c r="D1973" t="n">
        <v>-0.073</v>
      </c>
    </row>
    <row r="1974">
      <c r="A1974" t="n">
        <v>9.523999999999999</v>
      </c>
      <c r="B1974" t="n">
        <v>0.001</v>
      </c>
      <c r="C1974" t="n">
        <v>1.043</v>
      </c>
      <c r="D1974" t="n">
        <v>-0.064</v>
      </c>
    </row>
    <row r="1975">
      <c r="A1975" t="n">
        <v>9.523999999999999</v>
      </c>
      <c r="B1975" t="n">
        <v>0.002</v>
      </c>
      <c r="C1975" t="n">
        <v>1.037</v>
      </c>
      <c r="D1975" t="n">
        <v>-0.053</v>
      </c>
    </row>
    <row r="1976">
      <c r="A1976" t="n">
        <v>9.526999999999999</v>
      </c>
      <c r="B1976" t="n">
        <v>0.008999999999999999</v>
      </c>
      <c r="C1976" t="n">
        <v>1.03</v>
      </c>
      <c r="D1976" t="n">
        <v>-0.037</v>
      </c>
    </row>
    <row r="1977">
      <c r="A1977" t="n">
        <v>9.535</v>
      </c>
      <c r="B1977" t="n">
        <v>0.019</v>
      </c>
      <c r="C1977" t="n">
        <v>1.022</v>
      </c>
      <c r="D1977" t="n">
        <v>-0.021</v>
      </c>
    </row>
    <row r="1978">
      <c r="A1978" t="n">
        <v>9.537000000000001</v>
      </c>
      <c r="B1978" t="n">
        <v>0.022</v>
      </c>
      <c r="C1978" t="n">
        <v>1.019</v>
      </c>
      <c r="D1978" t="n">
        <v>-0.004</v>
      </c>
    </row>
    <row r="1979">
      <c r="A1979" t="n">
        <v>9.542999999999999</v>
      </c>
      <c r="B1979" t="n">
        <v>0.03</v>
      </c>
      <c r="C1979" t="n">
        <v>1.018</v>
      </c>
      <c r="D1979" t="n">
        <v>0.005</v>
      </c>
    </row>
    <row r="1980">
      <c r="A1980" t="n">
        <v>9.548999999999999</v>
      </c>
      <c r="B1980" t="n">
        <v>0.035</v>
      </c>
      <c r="C1980" t="n">
        <v>1.014</v>
      </c>
      <c r="D1980" t="n">
        <v>0.008999999999999999</v>
      </c>
    </row>
    <row r="1981">
      <c r="A1981" t="n">
        <v>9.553000000000001</v>
      </c>
      <c r="B1981" t="n">
        <v>0.045</v>
      </c>
      <c r="C1981" t="n">
        <v>1.016</v>
      </c>
      <c r="D1981" t="n">
        <v>0.008</v>
      </c>
    </row>
    <row r="1982">
      <c r="A1982" t="n">
        <v>9.558</v>
      </c>
      <c r="B1982" t="n">
        <v>0.061</v>
      </c>
      <c r="C1982" t="n">
        <v>1.02</v>
      </c>
      <c r="D1982" t="n">
        <v>0.001</v>
      </c>
    </row>
    <row r="1983">
      <c r="A1983" t="n">
        <v>9.564</v>
      </c>
      <c r="B1983" t="n">
        <v>0.074</v>
      </c>
      <c r="C1983" t="n">
        <v>1.026</v>
      </c>
      <c r="D1983" t="n">
        <v>-0.001</v>
      </c>
    </row>
    <row r="1984">
      <c r="A1984" t="n">
        <v>9.576000000000001</v>
      </c>
      <c r="B1984" t="n">
        <v>0.08</v>
      </c>
      <c r="C1984" t="n">
        <v>1.028</v>
      </c>
      <c r="D1984" t="n">
        <v>-0.008</v>
      </c>
    </row>
    <row r="1985">
      <c r="A1985" t="n">
        <v>9.577</v>
      </c>
      <c r="B1985" t="n">
        <v>0.076</v>
      </c>
      <c r="C1985" t="n">
        <v>1.032</v>
      </c>
      <c r="D1985" t="n">
        <v>-0.017</v>
      </c>
    </row>
    <row r="1986">
      <c r="A1986" t="n">
        <v>9.579000000000001</v>
      </c>
      <c r="B1986" t="n">
        <v>0.06900000000000001</v>
      </c>
      <c r="C1986" t="n">
        <v>1.037</v>
      </c>
      <c r="D1986" t="n">
        <v>-0.024</v>
      </c>
    </row>
    <row r="1987">
      <c r="A1987" t="n">
        <v>9.629</v>
      </c>
      <c r="B1987" t="n">
        <v>0.066</v>
      </c>
      <c r="C1987" t="n">
        <v>1.039</v>
      </c>
      <c r="D1987" t="n">
        <v>-0.031</v>
      </c>
    </row>
    <row r="1988">
      <c r="A1988" t="n">
        <v>9.629</v>
      </c>
      <c r="B1988" t="n">
        <v>0.064</v>
      </c>
      <c r="C1988" t="n">
        <v>1.045</v>
      </c>
      <c r="D1988" t="n">
        <v>-0.042</v>
      </c>
    </row>
    <row r="1989">
      <c r="A1989" t="n">
        <v>9.629</v>
      </c>
      <c r="B1989" t="n">
        <v>0.059</v>
      </c>
      <c r="C1989" t="n">
        <v>1.048</v>
      </c>
      <c r="D1989" t="n">
        <v>-0.053</v>
      </c>
    </row>
    <row r="1990">
      <c r="A1990" t="n">
        <v>9.630000000000001</v>
      </c>
      <c r="B1990" t="n">
        <v>0.048</v>
      </c>
      <c r="C1990" t="n">
        <v>1.051</v>
      </c>
      <c r="D1990" t="n">
        <v>-0.059</v>
      </c>
    </row>
    <row r="1991">
      <c r="A1991" t="n">
        <v>9.630000000000001</v>
      </c>
      <c r="B1991" t="n">
        <v>0.033</v>
      </c>
      <c r="C1991" t="n">
        <v>1.052</v>
      </c>
      <c r="D1991" t="n">
        <v>-0.07099999999999999</v>
      </c>
    </row>
    <row r="1992">
      <c r="A1992" t="n">
        <v>9.630000000000001</v>
      </c>
      <c r="B1992" t="n">
        <v>0.018</v>
      </c>
      <c r="C1992" t="n">
        <v>1.048</v>
      </c>
      <c r="D1992" t="n">
        <v>-0.079</v>
      </c>
    </row>
    <row r="1993">
      <c r="A1993" t="n">
        <v>9.631</v>
      </c>
      <c r="B1993" t="n">
        <v>0.007</v>
      </c>
      <c r="C1993" t="n">
        <v>1.046</v>
      </c>
      <c r="D1993" t="n">
        <v>-0.077</v>
      </c>
    </row>
    <row r="1994">
      <c r="A1994" t="n">
        <v>9.631</v>
      </c>
      <c r="B1994" t="n">
        <v>-0.008</v>
      </c>
      <c r="C1994" t="n">
        <v>1.04</v>
      </c>
      <c r="D1994" t="n">
        <v>-0.073</v>
      </c>
    </row>
    <row r="1995">
      <c r="A1995" t="n">
        <v>9.631</v>
      </c>
      <c r="B1995" t="n">
        <v>-0.021</v>
      </c>
      <c r="C1995" t="n">
        <v>1.034</v>
      </c>
      <c r="D1995" t="n">
        <v>-0.065</v>
      </c>
    </row>
    <row r="1996">
      <c r="A1996" t="n">
        <v>9.631</v>
      </c>
      <c r="B1996" t="n">
        <v>-0.029</v>
      </c>
      <c r="C1996" t="n">
        <v>1.027</v>
      </c>
      <c r="D1996" t="n">
        <v>-0.056</v>
      </c>
    </row>
    <row r="1997">
      <c r="A1997" t="n">
        <v>9.638999999999999</v>
      </c>
      <c r="B1997" t="n">
        <v>-0.029</v>
      </c>
      <c r="C1997" t="n">
        <v>1.019</v>
      </c>
      <c r="D1997" t="n">
        <v>-0.049</v>
      </c>
    </row>
    <row r="1998">
      <c r="A1998" t="n">
        <v>9.640000000000001</v>
      </c>
      <c r="B1998" t="n">
        <v>-0.025</v>
      </c>
      <c r="C1998" t="n">
        <v>1.012</v>
      </c>
      <c r="D1998" t="n">
        <v>-0.041</v>
      </c>
    </row>
    <row r="1999">
      <c r="A1999" t="n">
        <v>9.644</v>
      </c>
      <c r="B1999" t="n">
        <v>-0.021</v>
      </c>
      <c r="C1999" t="n">
        <v>1.001</v>
      </c>
      <c r="D1999" t="n">
        <v>-0.032</v>
      </c>
    </row>
    <row r="2000">
      <c r="A2000" t="n">
        <v>9.654</v>
      </c>
      <c r="B2000" t="n">
        <v>-0.019</v>
      </c>
      <c r="C2000" t="n">
        <v>0.992</v>
      </c>
      <c r="D2000" t="n">
        <v>-0.02</v>
      </c>
    </row>
    <row r="2001">
      <c r="A2001" t="n">
        <v>9.654999999999999</v>
      </c>
      <c r="B2001" t="n">
        <v>-0.02</v>
      </c>
      <c r="C2001" t="n">
        <v>0.983</v>
      </c>
      <c r="D2001" t="n">
        <v>-0.005</v>
      </c>
    </row>
    <row r="2002">
      <c r="A2002" t="n">
        <v>9.662000000000001</v>
      </c>
      <c r="B2002" t="n">
        <v>-0.019</v>
      </c>
      <c r="C2002" t="n">
        <v>0.979</v>
      </c>
      <c r="D2002" t="n">
        <v>0.01</v>
      </c>
    </row>
    <row r="2003">
      <c r="A2003" t="n">
        <v>9.663</v>
      </c>
      <c r="B2003" t="n">
        <v>-0.008</v>
      </c>
      <c r="C2003" t="n">
        <v>0.976</v>
      </c>
      <c r="D2003" t="n">
        <v>0.021</v>
      </c>
    </row>
    <row r="2004">
      <c r="A2004" t="n">
        <v>9.677</v>
      </c>
      <c r="B2004" t="n">
        <v>0.002</v>
      </c>
      <c r="C2004" t="n">
        <v>0.977</v>
      </c>
      <c r="D2004" t="n">
        <v>0.027</v>
      </c>
    </row>
    <row r="2005">
      <c r="A2005" t="n">
        <v>9.677</v>
      </c>
      <c r="B2005" t="n">
        <v>0.008999999999999999</v>
      </c>
      <c r="C2005" t="n">
        <v>0.98</v>
      </c>
      <c r="D2005" t="n">
        <v>0.018</v>
      </c>
    </row>
    <row r="2006">
      <c r="A2006" t="n">
        <v>9.678000000000001</v>
      </c>
      <c r="B2006" t="n">
        <v>0.012</v>
      </c>
      <c r="C2006" t="n">
        <v>0.983</v>
      </c>
      <c r="D2006" t="n">
        <v>0.004</v>
      </c>
    </row>
    <row r="2007">
      <c r="A2007" t="n">
        <v>9.718</v>
      </c>
      <c r="B2007" t="n">
        <v>0.008999999999999999</v>
      </c>
      <c r="C2007" t="n">
        <v>0.989</v>
      </c>
      <c r="D2007" t="n">
        <v>-0.013</v>
      </c>
    </row>
    <row r="2008">
      <c r="A2008" t="n">
        <v>9.718999999999999</v>
      </c>
      <c r="B2008" t="n">
        <v>0.005</v>
      </c>
      <c r="C2008" t="n">
        <v>0.992</v>
      </c>
      <c r="D2008" t="n">
        <v>-0.029</v>
      </c>
    </row>
    <row r="2009">
      <c r="A2009" t="n">
        <v>9.718999999999999</v>
      </c>
      <c r="B2009" t="n">
        <v>-0.003</v>
      </c>
      <c r="C2009" t="n">
        <v>0.993</v>
      </c>
      <c r="D2009" t="n">
        <v>-0.038</v>
      </c>
    </row>
    <row r="2010">
      <c r="A2010" t="n">
        <v>9.718999999999999</v>
      </c>
      <c r="B2010" t="n">
        <v>-0.003</v>
      </c>
      <c r="C2010" t="n">
        <v>0.991</v>
      </c>
      <c r="D2010" t="n">
        <v>-0.038</v>
      </c>
    </row>
    <row r="2011">
      <c r="A2011" t="n">
        <v>9.720000000000001</v>
      </c>
      <c r="B2011" t="n">
        <v>-0.002</v>
      </c>
      <c r="C2011" t="n">
        <v>0.989</v>
      </c>
      <c r="D2011" t="n">
        <v>-0.027</v>
      </c>
    </row>
    <row r="2012">
      <c r="A2012" t="n">
        <v>9.720000000000001</v>
      </c>
      <c r="B2012" t="n">
        <v>0</v>
      </c>
      <c r="C2012" t="n">
        <v>0.988</v>
      </c>
      <c r="D2012" t="n">
        <v>-0.015</v>
      </c>
    </row>
    <row r="2013">
      <c r="A2013" t="n">
        <v>9.720000000000001</v>
      </c>
      <c r="B2013" t="n">
        <v>0.003</v>
      </c>
      <c r="C2013" t="n">
        <v>0.989</v>
      </c>
      <c r="D2013" t="n">
        <v>-0.002</v>
      </c>
    </row>
    <row r="2014">
      <c r="A2014" t="n">
        <v>9.721</v>
      </c>
      <c r="B2014" t="n">
        <v>0.007</v>
      </c>
      <c r="C2014" t="n">
        <v>0.986</v>
      </c>
      <c r="D2014" t="n">
        <v>0.015</v>
      </c>
    </row>
    <row r="2015">
      <c r="A2015" t="n">
        <v>9.724</v>
      </c>
      <c r="B2015" t="n">
        <v>0.011</v>
      </c>
      <c r="C2015" t="n">
        <v>0.982</v>
      </c>
      <c r="D2015" t="n">
        <v>0.019</v>
      </c>
    </row>
    <row r="2016">
      <c r="A2016" t="n">
        <v>9.727</v>
      </c>
      <c r="B2016" t="n">
        <v>0.015</v>
      </c>
      <c r="C2016" t="n">
        <v>0.981</v>
      </c>
      <c r="D2016" t="n">
        <v>0.021</v>
      </c>
    </row>
    <row r="2017">
      <c r="A2017" t="n">
        <v>9.734999999999999</v>
      </c>
      <c r="B2017" t="n">
        <v>0.021</v>
      </c>
      <c r="C2017" t="n">
        <v>0.984</v>
      </c>
      <c r="D2017" t="n">
        <v>0.019</v>
      </c>
    </row>
    <row r="2018">
      <c r="A2018" t="n">
        <v>9.738</v>
      </c>
      <c r="B2018" t="n">
        <v>0.028</v>
      </c>
      <c r="C2018" t="n">
        <v>0.993</v>
      </c>
      <c r="D2018" t="n">
        <v>0.008999999999999999</v>
      </c>
    </row>
    <row r="2019">
      <c r="A2019" t="n">
        <v>9.743</v>
      </c>
      <c r="B2019" t="n">
        <v>0.037</v>
      </c>
      <c r="C2019" t="n">
        <v>1</v>
      </c>
      <c r="D2019" t="n">
        <v>0.001</v>
      </c>
    </row>
    <row r="2020">
      <c r="A2020" t="n">
        <v>9.754</v>
      </c>
      <c r="B2020" t="n">
        <v>0.047</v>
      </c>
      <c r="C2020" t="n">
        <v>1.007</v>
      </c>
      <c r="D2020" t="n">
        <v>-0.008</v>
      </c>
    </row>
    <row r="2021">
      <c r="A2021" t="n">
        <v>9.755000000000001</v>
      </c>
      <c r="B2021" t="n">
        <v>0.047</v>
      </c>
      <c r="C2021" t="n">
        <v>1.007</v>
      </c>
      <c r="D2021" t="n">
        <v>-0.008</v>
      </c>
    </row>
    <row r="2022">
      <c r="A2022" t="n">
        <v>9.756</v>
      </c>
      <c r="B2022" t="n">
        <v>0.051</v>
      </c>
      <c r="C2022" t="n">
        <v>1.016</v>
      </c>
      <c r="D2022" t="n">
        <v>-0.015</v>
      </c>
    </row>
    <row r="2023">
      <c r="A2023" t="n">
        <v>9.759</v>
      </c>
      <c r="B2023" t="n">
        <v>0.054</v>
      </c>
      <c r="C2023" t="n">
        <v>1.02</v>
      </c>
      <c r="D2023" t="n">
        <v>-0.022</v>
      </c>
    </row>
    <row r="2024">
      <c r="A2024" t="n">
        <v>9.763</v>
      </c>
      <c r="B2024" t="n">
        <v>0.052</v>
      </c>
      <c r="C2024" t="n">
        <v>1.019</v>
      </c>
      <c r="D2024" t="n">
        <v>-0.023</v>
      </c>
    </row>
    <row r="2025">
      <c r="A2025" t="n">
        <v>9.782</v>
      </c>
      <c r="B2025" t="n">
        <v>0.05</v>
      </c>
      <c r="C2025" t="n">
        <v>1.016</v>
      </c>
      <c r="D2025" t="n">
        <v>-0.021</v>
      </c>
    </row>
    <row r="2026">
      <c r="A2026" t="n">
        <v>9.782999999999999</v>
      </c>
      <c r="B2026" t="n">
        <v>0.048</v>
      </c>
      <c r="C2026" t="n">
        <v>1.012</v>
      </c>
      <c r="D2026" t="n">
        <v>-0.016</v>
      </c>
    </row>
    <row r="2027">
      <c r="A2027" t="n">
        <v>9.784000000000001</v>
      </c>
      <c r="B2027" t="n">
        <v>0.042</v>
      </c>
      <c r="C2027" t="n">
        <v>1.007</v>
      </c>
      <c r="D2027" t="n">
        <v>-0.006</v>
      </c>
    </row>
    <row r="2028">
      <c r="A2028" t="n">
        <v>9.789</v>
      </c>
      <c r="B2028" t="n">
        <v>0.042</v>
      </c>
      <c r="C2028" t="n">
        <v>1.005</v>
      </c>
      <c r="D2028" t="n">
        <v>0.011</v>
      </c>
    </row>
    <row r="2029">
      <c r="A2029" t="n">
        <v>9.789</v>
      </c>
      <c r="B2029" t="n">
        <v>0.042</v>
      </c>
      <c r="C2029" t="n">
        <v>1.005</v>
      </c>
      <c r="D2029" t="n">
        <v>0.011</v>
      </c>
    </row>
    <row r="2030">
      <c r="A2030" t="n">
        <v>9.792</v>
      </c>
      <c r="B2030" t="n">
        <v>0.048</v>
      </c>
      <c r="C2030" t="n">
        <v>1.01</v>
      </c>
      <c r="D2030" t="n">
        <v>0.016</v>
      </c>
    </row>
    <row r="2031">
      <c r="A2031" t="n">
        <v>9.818</v>
      </c>
      <c r="B2031" t="n">
        <v>0.05</v>
      </c>
      <c r="C2031" t="n">
        <v>1.009</v>
      </c>
      <c r="D2031" t="n">
        <v>0.005</v>
      </c>
    </row>
    <row r="2032">
      <c r="A2032" t="n">
        <v>9.818</v>
      </c>
      <c r="B2032" t="n">
        <v>0.05</v>
      </c>
      <c r="C2032" t="n">
        <v>1.009</v>
      </c>
      <c r="D2032" t="n">
        <v>0.005</v>
      </c>
    </row>
    <row r="2033">
      <c r="A2033" t="n">
        <v>9.818</v>
      </c>
      <c r="B2033" t="n">
        <v>0.048</v>
      </c>
      <c r="C2033" t="n">
        <v>1.001</v>
      </c>
      <c r="D2033" t="n">
        <v>-0.002</v>
      </c>
    </row>
    <row r="2034">
      <c r="A2034" t="n">
        <v>9.818</v>
      </c>
      <c r="B2034" t="n">
        <v>0.049</v>
      </c>
      <c r="C2034" t="n">
        <v>1</v>
      </c>
      <c r="D2034" t="n">
        <v>-0.002</v>
      </c>
    </row>
    <row r="2035">
      <c r="A2035" t="n">
        <v>9.819000000000001</v>
      </c>
      <c r="B2035" t="n">
        <v>0.048</v>
      </c>
      <c r="C2035" t="n">
        <v>1.001</v>
      </c>
      <c r="D2035" t="n">
        <v>0.005</v>
      </c>
    </row>
    <row r="2036">
      <c r="A2036" t="n">
        <v>9.823</v>
      </c>
      <c r="B2036" t="n">
        <v>0.049</v>
      </c>
      <c r="C2036" t="n">
        <v>1.005</v>
      </c>
      <c r="D2036" t="n">
        <v>0.011</v>
      </c>
    </row>
    <row r="2037">
      <c r="A2037" t="n">
        <v>9.827</v>
      </c>
      <c r="B2037" t="n">
        <v>0.046</v>
      </c>
      <c r="C2037" t="n">
        <v>1.007</v>
      </c>
      <c r="D2037" t="n">
        <v>0.014</v>
      </c>
    </row>
    <row r="2038">
      <c r="A2038" t="n">
        <v>9.834</v>
      </c>
      <c r="B2038" t="n">
        <v>0.044</v>
      </c>
      <c r="C2038" t="n">
        <v>1.008</v>
      </c>
      <c r="D2038" t="n">
        <v>0.011</v>
      </c>
    </row>
    <row r="2039">
      <c r="A2039" t="n">
        <v>9.837999999999999</v>
      </c>
      <c r="B2039" t="n">
        <v>0.043</v>
      </c>
      <c r="C2039" t="n">
        <v>1.008</v>
      </c>
      <c r="D2039" t="n">
        <v>0.008</v>
      </c>
    </row>
    <row r="2040">
      <c r="A2040" t="n">
        <v>9.843</v>
      </c>
      <c r="B2040" t="n">
        <v>0.039</v>
      </c>
      <c r="C2040" t="n">
        <v>1.009</v>
      </c>
      <c r="D2040" t="n">
        <v>-0.005</v>
      </c>
    </row>
    <row r="2041">
      <c r="A2041" t="n">
        <v>9.853</v>
      </c>
      <c r="B2041" t="n">
        <v>0.031</v>
      </c>
      <c r="C2041" t="n">
        <v>1.015</v>
      </c>
      <c r="D2041" t="n">
        <v>-0.016</v>
      </c>
    </row>
    <row r="2042">
      <c r="A2042" t="n">
        <v>9.853999999999999</v>
      </c>
      <c r="B2042" t="n">
        <v>0.026</v>
      </c>
      <c r="C2042" t="n">
        <v>1.02</v>
      </c>
      <c r="D2042" t="n">
        <v>-0.022</v>
      </c>
    </row>
    <row r="2043">
      <c r="A2043" t="n">
        <v>9.856999999999999</v>
      </c>
      <c r="B2043" t="n">
        <v>0.022</v>
      </c>
      <c r="C2043" t="n">
        <v>1.025</v>
      </c>
      <c r="D2043" t="n">
        <v>-0.027</v>
      </c>
    </row>
    <row r="2044">
      <c r="A2044" t="n">
        <v>9.863</v>
      </c>
      <c r="B2044" t="n">
        <v>0.023</v>
      </c>
      <c r="C2044" t="n">
        <v>1.029</v>
      </c>
      <c r="D2044" t="n">
        <v>-0.032</v>
      </c>
    </row>
    <row r="2045">
      <c r="A2045" t="n">
        <v>9.868</v>
      </c>
      <c r="B2045" t="n">
        <v>0.02</v>
      </c>
      <c r="C2045" t="n">
        <v>1.032</v>
      </c>
      <c r="D2045" t="n">
        <v>-0.041</v>
      </c>
    </row>
    <row r="2046">
      <c r="A2046" t="n">
        <v>9.872999999999999</v>
      </c>
      <c r="B2046" t="n">
        <v>0.013</v>
      </c>
      <c r="C2046" t="n">
        <v>1.03</v>
      </c>
      <c r="D2046" t="n">
        <v>-0.048</v>
      </c>
    </row>
    <row r="2047">
      <c r="A2047" t="n">
        <v>9.878</v>
      </c>
      <c r="B2047" t="n">
        <v>0.002</v>
      </c>
      <c r="C2047" t="n">
        <v>1.03</v>
      </c>
      <c r="D2047" t="n">
        <v>-0.046</v>
      </c>
    </row>
    <row r="2048">
      <c r="A2048" t="n">
        <v>9.897</v>
      </c>
      <c r="B2048" t="n">
        <v>-0.008999999999999999</v>
      </c>
      <c r="C2048" t="n">
        <v>1.032</v>
      </c>
      <c r="D2048" t="n">
        <v>-0.047</v>
      </c>
    </row>
    <row r="2049">
      <c r="A2049" t="n">
        <v>9.901</v>
      </c>
      <c r="B2049" t="n">
        <v>-0.005</v>
      </c>
      <c r="C2049" t="n">
        <v>1.029</v>
      </c>
      <c r="D2049" t="n">
        <v>-0.038</v>
      </c>
    </row>
    <row r="2050">
      <c r="A2050" t="n">
        <v>9.901999999999999</v>
      </c>
      <c r="B2050" t="n">
        <v>-0.003</v>
      </c>
      <c r="C2050" t="n">
        <v>1.021</v>
      </c>
      <c r="D2050" t="n">
        <v>-0.03</v>
      </c>
    </row>
    <row r="2051">
      <c r="A2051" t="n">
        <v>9.94</v>
      </c>
      <c r="B2051" t="n">
        <v>-0.002</v>
      </c>
      <c r="C2051" t="n">
        <v>1.015</v>
      </c>
      <c r="D2051" t="n">
        <v>-0.02</v>
      </c>
    </row>
    <row r="2052">
      <c r="A2052" t="n">
        <v>9.941000000000001</v>
      </c>
      <c r="B2052" t="n">
        <v>-0.002</v>
      </c>
      <c r="C2052" t="n">
        <v>1.015</v>
      </c>
      <c r="D2052" t="n">
        <v>-0.02</v>
      </c>
    </row>
    <row r="2053">
      <c r="A2053" t="n">
        <v>9.941000000000001</v>
      </c>
      <c r="B2053" t="n">
        <v>-0.002</v>
      </c>
      <c r="C2053" t="n">
        <v>1.015</v>
      </c>
      <c r="D2053" t="n">
        <v>-0.02</v>
      </c>
    </row>
    <row r="2054">
      <c r="A2054" t="n">
        <v>9.942</v>
      </c>
      <c r="B2054" t="n">
        <v>-0.002</v>
      </c>
      <c r="C2054" t="n">
        <v>1.015</v>
      </c>
      <c r="D2054" t="n">
        <v>-0.02</v>
      </c>
    </row>
    <row r="2055">
      <c r="A2055" t="n">
        <v>9.943</v>
      </c>
      <c r="B2055" t="n">
        <v>0.014</v>
      </c>
      <c r="C2055" t="n">
        <v>1.01</v>
      </c>
      <c r="D2055" t="n">
        <v>0.001</v>
      </c>
    </row>
    <row r="2056">
      <c r="A2056" t="n">
        <v>9.944000000000001</v>
      </c>
      <c r="B2056" t="n">
        <v>0.026</v>
      </c>
      <c r="C2056" t="n">
        <v>1.013</v>
      </c>
      <c r="D2056" t="n">
        <v>-0.003</v>
      </c>
    </row>
    <row r="2057">
      <c r="A2057" t="n">
        <v>9.945</v>
      </c>
      <c r="B2057" t="n">
        <v>0.034</v>
      </c>
      <c r="C2057" t="n">
        <v>1.016</v>
      </c>
      <c r="D2057" t="n">
        <v>-0.006</v>
      </c>
    </row>
    <row r="2058">
      <c r="A2058" t="n">
        <v>9.945</v>
      </c>
      <c r="B2058" t="n">
        <v>0.038</v>
      </c>
      <c r="C2058" t="n">
        <v>1.016</v>
      </c>
      <c r="D2058" t="n">
        <v>-0.012</v>
      </c>
    </row>
    <row r="2059">
      <c r="A2059" t="n">
        <v>9.946</v>
      </c>
      <c r="B2059" t="n">
        <v>0.04</v>
      </c>
      <c r="C2059" t="n">
        <v>1.013</v>
      </c>
      <c r="D2059" t="n">
        <v>-0.014</v>
      </c>
    </row>
    <row r="2060">
      <c r="A2060" t="n">
        <v>9.946999999999999</v>
      </c>
      <c r="B2060" t="n">
        <v>0.039</v>
      </c>
      <c r="C2060" t="n">
        <v>1.012</v>
      </c>
      <c r="D2060" t="n">
        <v>-0.01</v>
      </c>
    </row>
    <row r="2061">
      <c r="A2061" t="n">
        <v>9.952999999999999</v>
      </c>
      <c r="B2061" t="n">
        <v>0.041</v>
      </c>
      <c r="C2061" t="n">
        <v>1.01</v>
      </c>
      <c r="D2061" t="n">
        <v>-0.005</v>
      </c>
    </row>
    <row r="2062">
      <c r="A2062" t="n">
        <v>9.954000000000001</v>
      </c>
      <c r="B2062" t="n">
        <v>0.042</v>
      </c>
      <c r="C2062" t="n">
        <v>1.008</v>
      </c>
      <c r="D2062" t="n">
        <v>0.006</v>
      </c>
    </row>
    <row r="2063">
      <c r="A2063" t="n">
        <v>9.957000000000001</v>
      </c>
      <c r="B2063" t="n">
        <v>0.04</v>
      </c>
      <c r="C2063" t="n">
        <v>1.004</v>
      </c>
      <c r="D2063" t="n">
        <v>0.007</v>
      </c>
    </row>
    <row r="2064">
      <c r="A2064" t="n">
        <v>9.962999999999999</v>
      </c>
      <c r="B2064" t="n">
        <v>0.035</v>
      </c>
      <c r="C2064" t="n">
        <v>1.003</v>
      </c>
      <c r="D2064" t="n">
        <v>0.008999999999999999</v>
      </c>
    </row>
    <row r="2065">
      <c r="A2065" t="n">
        <v>9.975</v>
      </c>
      <c r="B2065" t="n">
        <v>0.034</v>
      </c>
      <c r="C2065" t="n">
        <v>0.999</v>
      </c>
      <c r="D2065" t="n">
        <v>0.012</v>
      </c>
    </row>
    <row r="2066">
      <c r="A2066" t="n">
        <v>9.976000000000001</v>
      </c>
      <c r="B2066" t="n">
        <v>0.033</v>
      </c>
      <c r="C2066" t="n">
        <v>0.995</v>
      </c>
      <c r="D2066" t="n">
        <v>0.013</v>
      </c>
    </row>
    <row r="2067">
      <c r="A2067" t="n">
        <v>9.977</v>
      </c>
      <c r="B2067" t="n">
        <v>0.031</v>
      </c>
      <c r="C2067" t="n">
        <v>0.996</v>
      </c>
      <c r="D2067" t="n">
        <v>0.02</v>
      </c>
    </row>
    <row r="2068">
      <c r="A2068" t="n">
        <v>10.012</v>
      </c>
      <c r="B2068" t="n">
        <v>0.035</v>
      </c>
      <c r="C2068" t="n">
        <v>0.997</v>
      </c>
      <c r="D2068" t="n">
        <v>0.013</v>
      </c>
    </row>
    <row r="2069">
      <c r="A2069" t="n">
        <v>10.012</v>
      </c>
      <c r="B2069" t="n">
        <v>0.035</v>
      </c>
      <c r="C2069" t="n">
        <v>0.997</v>
      </c>
      <c r="D2069" t="n">
        <v>0.013</v>
      </c>
    </row>
    <row r="2070">
      <c r="A2070" t="n">
        <v>10.013</v>
      </c>
      <c r="B2070" t="n">
        <v>0.037</v>
      </c>
      <c r="C2070" t="n">
        <v>1.007</v>
      </c>
      <c r="D2070" t="n">
        <v>0.001</v>
      </c>
    </row>
    <row r="2071">
      <c r="A2071" t="n">
        <v>10.013</v>
      </c>
      <c r="B2071" t="n">
        <v>0.037</v>
      </c>
      <c r="C2071" t="n">
        <v>1.008</v>
      </c>
      <c r="D2071" t="n">
        <v>-0.006</v>
      </c>
    </row>
    <row r="2072">
      <c r="A2072" t="n">
        <v>10.013</v>
      </c>
      <c r="B2072" t="n">
        <v>0.037</v>
      </c>
      <c r="C2072" t="n">
        <v>1.008</v>
      </c>
      <c r="D2072" t="n">
        <v>-0.006</v>
      </c>
    </row>
    <row r="2073">
      <c r="A2073" t="n">
        <v>10.013</v>
      </c>
      <c r="B2073" t="n">
        <v>0.032</v>
      </c>
      <c r="C2073" t="n">
        <v>1.008</v>
      </c>
      <c r="D2073" t="n">
        <v>-0.005</v>
      </c>
    </row>
    <row r="2074">
      <c r="A2074" t="n">
        <v>10.014</v>
      </c>
      <c r="B2074" t="n">
        <v>0.026</v>
      </c>
      <c r="C2074" t="n">
        <v>1.01</v>
      </c>
      <c r="D2074" t="n">
        <v>-0.008</v>
      </c>
    </row>
    <row r="2075">
      <c r="A2075" t="n">
        <v>10.014</v>
      </c>
      <c r="B2075" t="n">
        <v>0.022</v>
      </c>
      <c r="C2075" t="n">
        <v>1.011</v>
      </c>
      <c r="D2075" t="n">
        <v>-0.013</v>
      </c>
    </row>
    <row r="2076">
      <c r="A2076" t="n">
        <v>10.019</v>
      </c>
      <c r="B2076" t="n">
        <v>0.016</v>
      </c>
      <c r="C2076" t="n">
        <v>1.008</v>
      </c>
      <c r="D2076" t="n">
        <v>-0.008999999999999999</v>
      </c>
    </row>
    <row r="2077">
      <c r="A2077" t="n">
        <v>10.023</v>
      </c>
      <c r="B2077" t="n">
        <v>0.015</v>
      </c>
      <c r="C2077" t="n">
        <v>1.006</v>
      </c>
      <c r="D2077" t="n">
        <v>-0.005</v>
      </c>
    </row>
    <row r="2078">
      <c r="A2078" t="n">
        <v>10.027</v>
      </c>
      <c r="B2078" t="n">
        <v>0.019</v>
      </c>
      <c r="C2078" t="n">
        <v>1.003</v>
      </c>
      <c r="D2078" t="n">
        <v>0.003</v>
      </c>
    </row>
    <row r="2079">
      <c r="A2079" t="n">
        <v>10.04</v>
      </c>
      <c r="B2079" t="n">
        <v>0.027</v>
      </c>
      <c r="C2079" t="n">
        <v>1.004</v>
      </c>
      <c r="D2079" t="n">
        <v>0.01</v>
      </c>
    </row>
    <row r="2080">
      <c r="A2080" t="n">
        <v>10.042</v>
      </c>
      <c r="B2080" t="n">
        <v>0.027</v>
      </c>
      <c r="C2080" t="n">
        <v>1.004</v>
      </c>
      <c r="D2080" t="n">
        <v>0.01</v>
      </c>
    </row>
    <row r="2081">
      <c r="A2081" t="n">
        <v>10.044</v>
      </c>
      <c r="B2081" t="n">
        <v>0.033</v>
      </c>
      <c r="C2081" t="n">
        <v>1.002</v>
      </c>
      <c r="D2081" t="n">
        <v>0.016</v>
      </c>
    </row>
    <row r="2082">
      <c r="A2082" t="n">
        <v>10.045</v>
      </c>
      <c r="B2082" t="n">
        <v>0.041</v>
      </c>
      <c r="C2082" t="n">
        <v>1.004</v>
      </c>
      <c r="D2082" t="n">
        <v>0.017</v>
      </c>
    </row>
    <row r="2083">
      <c r="A2083" t="n">
        <v>10.049</v>
      </c>
      <c r="B2083" t="n">
        <v>0.043</v>
      </c>
      <c r="C2083" t="n">
        <v>1.007</v>
      </c>
      <c r="D2083" t="n">
        <v>0.018</v>
      </c>
    </row>
    <row r="2084">
      <c r="A2084" t="n">
        <v>10.062</v>
      </c>
      <c r="B2084" t="n">
        <v>0.043</v>
      </c>
      <c r="C2084" t="n">
        <v>1.005</v>
      </c>
      <c r="D2084" t="n">
        <v>0.014</v>
      </c>
    </row>
    <row r="2085">
      <c r="A2085" t="n">
        <v>10.064</v>
      </c>
      <c r="B2085" t="n">
        <v>0.04</v>
      </c>
      <c r="C2085" t="n">
        <v>1.002</v>
      </c>
      <c r="D2085" t="n">
        <v>0.01</v>
      </c>
    </row>
    <row r="2086">
      <c r="A2086" t="n">
        <v>10.068</v>
      </c>
      <c r="B2086" t="n">
        <v>0.036</v>
      </c>
      <c r="C2086" t="n">
        <v>1.004</v>
      </c>
      <c r="D2086" t="n">
        <v>0.004</v>
      </c>
    </row>
    <row r="2087">
      <c r="A2087" t="n">
        <v>10.082</v>
      </c>
      <c r="B2087" t="n">
        <v>0.026</v>
      </c>
      <c r="C2087" t="n">
        <v>1.005</v>
      </c>
      <c r="D2087" t="n">
        <v>-0.003</v>
      </c>
    </row>
    <row r="2088">
      <c r="A2088" t="n">
        <v>10.083</v>
      </c>
      <c r="B2088" t="n">
        <v>0.026</v>
      </c>
      <c r="C2088" t="n">
        <v>1.005</v>
      </c>
      <c r="D2088" t="n">
        <v>-0.003</v>
      </c>
    </row>
    <row r="2089">
      <c r="A2089" t="n">
        <v>10.085</v>
      </c>
      <c r="B2089" t="n">
        <v>0.008999999999999999</v>
      </c>
      <c r="C2089" t="n">
        <v>1.008</v>
      </c>
      <c r="D2089" t="n">
        <v>-0.001</v>
      </c>
    </row>
    <row r="2090">
      <c r="A2090" t="n">
        <v>10.087</v>
      </c>
      <c r="B2090" t="n">
        <v>0.004</v>
      </c>
      <c r="C2090" t="n">
        <v>1.011</v>
      </c>
      <c r="D2090" t="n">
        <v>-0.004</v>
      </c>
    </row>
    <row r="2091">
      <c r="A2091" t="n">
        <v>10.088</v>
      </c>
      <c r="B2091" t="n">
        <v>0.004</v>
      </c>
      <c r="C2091" t="n">
        <v>1.011</v>
      </c>
      <c r="D2091" t="n">
        <v>-0.004</v>
      </c>
    </row>
    <row r="2092">
      <c r="A2092" t="n">
        <v>10.089</v>
      </c>
      <c r="B2092" t="n">
        <v>0.001</v>
      </c>
      <c r="C2092" t="n">
        <v>1.01</v>
      </c>
      <c r="D2092" t="n">
        <v>-0.006</v>
      </c>
    </row>
    <row r="2093">
      <c r="A2093" t="n">
        <v>10.125</v>
      </c>
      <c r="B2093" t="n">
        <v>-0.005</v>
      </c>
      <c r="C2093" t="n">
        <v>1.007</v>
      </c>
      <c r="D2093" t="n">
        <v>-0.01</v>
      </c>
    </row>
    <row r="2094">
      <c r="A2094" t="n">
        <v>10.125</v>
      </c>
      <c r="B2094" t="n">
        <v>-0.005</v>
      </c>
      <c r="C2094" t="n">
        <v>1.009</v>
      </c>
      <c r="D2094" t="n">
        <v>-0.011</v>
      </c>
    </row>
    <row r="2095">
      <c r="A2095" t="n">
        <v>10.126</v>
      </c>
      <c r="B2095" t="n">
        <v>-0.001</v>
      </c>
      <c r="C2095" t="n">
        <v>1.005</v>
      </c>
      <c r="D2095" t="n">
        <v>-0.008999999999999999</v>
      </c>
    </row>
    <row r="2096">
      <c r="A2096" t="n">
        <v>10.126</v>
      </c>
      <c r="B2096" t="n">
        <v>0.004</v>
      </c>
      <c r="C2096" t="n">
        <v>1.004</v>
      </c>
      <c r="D2096" t="n">
        <v>-0.003</v>
      </c>
    </row>
    <row r="2097">
      <c r="A2097" t="n">
        <v>10.126</v>
      </c>
      <c r="B2097" t="n">
        <v>0.01</v>
      </c>
      <c r="C2097" t="n">
        <v>1.007</v>
      </c>
      <c r="D2097" t="n">
        <v>-0.003</v>
      </c>
    </row>
    <row r="2098">
      <c r="A2098" t="n">
        <v>10.127</v>
      </c>
      <c r="B2098" t="n">
        <v>0.013</v>
      </c>
      <c r="C2098" t="n">
        <v>1.006</v>
      </c>
      <c r="D2098" t="n">
        <v>-0.003</v>
      </c>
    </row>
    <row r="2099">
      <c r="A2099" t="n">
        <v>10.127</v>
      </c>
      <c r="B2099" t="n">
        <v>0.016</v>
      </c>
      <c r="C2099" t="n">
        <v>1.004</v>
      </c>
      <c r="D2099" t="n">
        <v>-0.002</v>
      </c>
    </row>
    <row r="2100">
      <c r="A2100" t="n">
        <v>10.127</v>
      </c>
      <c r="B2100" t="n">
        <v>0.016</v>
      </c>
      <c r="C2100" t="n">
        <v>1.004</v>
      </c>
      <c r="D2100" t="n">
        <v>-0.002</v>
      </c>
    </row>
    <row r="2101">
      <c r="A2101" t="n">
        <v>10.134</v>
      </c>
      <c r="B2101" t="n">
        <v>0.02</v>
      </c>
      <c r="C2101" t="n">
        <v>1.008</v>
      </c>
      <c r="D2101" t="n">
        <v>-0.002</v>
      </c>
    </row>
    <row r="2102">
      <c r="A2102" t="n">
        <v>10.141</v>
      </c>
      <c r="B2102" t="n">
        <v>0.025</v>
      </c>
      <c r="C2102" t="n">
        <v>1.011</v>
      </c>
      <c r="D2102" t="n">
        <v>-0.003</v>
      </c>
    </row>
    <row r="2103">
      <c r="A2103" t="n">
        <v>10.143</v>
      </c>
      <c r="B2103" t="n">
        <v>0.029</v>
      </c>
      <c r="C2103" t="n">
        <v>1.014</v>
      </c>
      <c r="D2103" t="n">
        <v>-0.013</v>
      </c>
    </row>
    <row r="2104">
      <c r="A2104" t="n">
        <v>10.148</v>
      </c>
      <c r="B2104" t="n">
        <v>0.028</v>
      </c>
      <c r="C2104" t="n">
        <v>1.018</v>
      </c>
      <c r="D2104" t="n">
        <v>-0.021</v>
      </c>
    </row>
    <row r="2105">
      <c r="A2105" t="n">
        <v>10.153</v>
      </c>
      <c r="B2105" t="n">
        <v>0.024</v>
      </c>
      <c r="C2105" t="n">
        <v>1.019</v>
      </c>
      <c r="D2105" t="n">
        <v>-0.034</v>
      </c>
    </row>
    <row r="2106">
      <c r="A2106" t="n">
        <v>10.158</v>
      </c>
      <c r="B2106" t="n">
        <v>0.02</v>
      </c>
      <c r="C2106" t="n">
        <v>1.021</v>
      </c>
      <c r="D2106" t="n">
        <v>-0.043</v>
      </c>
    </row>
    <row r="2107">
      <c r="A2107" t="n">
        <v>10.163</v>
      </c>
      <c r="B2107" t="n">
        <v>0.02</v>
      </c>
      <c r="C2107" t="n">
        <v>1.022</v>
      </c>
      <c r="D2107" t="n">
        <v>-0.045</v>
      </c>
    </row>
    <row r="2108">
      <c r="A2108" t="n">
        <v>10.177</v>
      </c>
      <c r="B2108" t="n">
        <v>0.021</v>
      </c>
      <c r="C2108" t="n">
        <v>1.025</v>
      </c>
      <c r="D2108" t="n">
        <v>-0.048</v>
      </c>
    </row>
    <row r="2109">
      <c r="A2109" t="n">
        <v>10.178</v>
      </c>
      <c r="B2109" t="n">
        <v>0.021</v>
      </c>
      <c r="C2109" t="n">
        <v>1.025</v>
      </c>
      <c r="D2109" t="n">
        <v>-0.048</v>
      </c>
    </row>
    <row r="2110">
      <c r="A2110" t="n">
        <v>10.178</v>
      </c>
      <c r="B2110" t="n">
        <v>0.019</v>
      </c>
      <c r="C2110" t="n">
        <v>1.03</v>
      </c>
      <c r="D2110" t="n">
        <v>-0.052</v>
      </c>
    </row>
    <row r="2111">
      <c r="A2111" t="n">
        <v>10.179</v>
      </c>
      <c r="B2111" t="n">
        <v>0.017</v>
      </c>
      <c r="C2111" t="n">
        <v>1.029</v>
      </c>
      <c r="D2111" t="n">
        <v>-0.051</v>
      </c>
    </row>
    <row r="2112">
      <c r="A2112" t="n">
        <v>10.186</v>
      </c>
      <c r="B2112" t="n">
        <v>0.02</v>
      </c>
      <c r="C2112" t="n">
        <v>1.028</v>
      </c>
      <c r="D2112" t="n">
        <v>-0.043</v>
      </c>
    </row>
    <row r="2113">
      <c r="A2113" t="n">
        <v>10.215</v>
      </c>
      <c r="B2113" t="n">
        <v>0.023</v>
      </c>
      <c r="C2113" t="n">
        <v>1.024</v>
      </c>
      <c r="D2113" t="n">
        <v>-0.038</v>
      </c>
    </row>
    <row r="2114">
      <c r="A2114" t="n">
        <v>10.217</v>
      </c>
      <c r="B2114" t="n">
        <v>0.026</v>
      </c>
      <c r="C2114" t="n">
        <v>1.019</v>
      </c>
      <c r="D2114" t="n">
        <v>-0.025</v>
      </c>
    </row>
    <row r="2115">
      <c r="A2115" t="n">
        <v>10.218</v>
      </c>
      <c r="B2115" t="n">
        <v>0.028</v>
      </c>
      <c r="C2115" t="n">
        <v>1.014</v>
      </c>
      <c r="D2115" t="n">
        <v>-0.015</v>
      </c>
    </row>
    <row r="2116">
      <c r="A2116" t="n">
        <v>10.219</v>
      </c>
      <c r="B2116" t="n">
        <v>0.026</v>
      </c>
      <c r="C2116" t="n">
        <v>1.008</v>
      </c>
      <c r="D2116" t="n">
        <v>0</v>
      </c>
    </row>
    <row r="2117">
      <c r="A2117" t="n">
        <v>10.22</v>
      </c>
      <c r="B2117" t="n">
        <v>0.027</v>
      </c>
      <c r="C2117" t="n">
        <v>1.007</v>
      </c>
      <c r="D2117" t="n">
        <v>0.011</v>
      </c>
    </row>
    <row r="2118">
      <c r="A2118" t="n">
        <v>10.221</v>
      </c>
      <c r="B2118" t="n">
        <v>0.034</v>
      </c>
      <c r="C2118" t="n">
        <v>1.008</v>
      </c>
      <c r="D2118" t="n">
        <v>0.016</v>
      </c>
    </row>
    <row r="2119">
      <c r="A2119" t="n">
        <v>10.221</v>
      </c>
      <c r="B2119" t="n">
        <v>0.039</v>
      </c>
      <c r="C2119" t="n">
        <v>1.011</v>
      </c>
      <c r="D2119" t="n">
        <v>0.013</v>
      </c>
    </row>
    <row r="2120">
      <c r="A2120" t="n">
        <v>10.223</v>
      </c>
      <c r="B2120" t="n">
        <v>0.04</v>
      </c>
      <c r="C2120" t="n">
        <v>1.009</v>
      </c>
      <c r="D2120" t="n">
        <v>0.007</v>
      </c>
    </row>
    <row r="2121">
      <c r="A2121" t="n">
        <v>10.227</v>
      </c>
      <c r="B2121" t="n">
        <v>0.044</v>
      </c>
      <c r="C2121" t="n">
        <v>1.01</v>
      </c>
      <c r="D2121" t="n">
        <v>0.002</v>
      </c>
    </row>
    <row r="2122">
      <c r="A2122" t="n">
        <v>10.239</v>
      </c>
      <c r="B2122" t="n">
        <v>0.048</v>
      </c>
      <c r="C2122" t="n">
        <v>1.016</v>
      </c>
      <c r="D2122" t="n">
        <v>-0.005</v>
      </c>
    </row>
    <row r="2123">
      <c r="A2123" t="n">
        <v>10.24</v>
      </c>
      <c r="B2123" t="n">
        <v>0.048</v>
      </c>
      <c r="C2123" t="n">
        <v>1.016</v>
      </c>
      <c r="D2123" t="n">
        <v>-0.005</v>
      </c>
    </row>
    <row r="2124">
      <c r="A2124" t="n">
        <v>10.241</v>
      </c>
      <c r="B2124" t="n">
        <v>0.053</v>
      </c>
      <c r="C2124" t="n">
        <v>1.022</v>
      </c>
      <c r="D2124" t="n">
        <v>-0.015</v>
      </c>
    </row>
    <row r="2125">
      <c r="A2125" t="n">
        <v>10.243</v>
      </c>
      <c r="B2125" t="n">
        <v>0.058</v>
      </c>
      <c r="C2125" t="n">
        <v>1.024</v>
      </c>
      <c r="D2125" t="n">
        <v>-0.024</v>
      </c>
    </row>
    <row r="2126">
      <c r="A2126" t="n">
        <v>10.248</v>
      </c>
      <c r="B2126" t="n">
        <v>0.059</v>
      </c>
      <c r="C2126" t="n">
        <v>1.026</v>
      </c>
      <c r="D2126" t="n">
        <v>-0.026</v>
      </c>
    </row>
    <row r="2127">
      <c r="A2127" t="n">
        <v>10.253</v>
      </c>
      <c r="B2127" t="n">
        <v>0.055</v>
      </c>
      <c r="C2127" t="n">
        <v>1.026</v>
      </c>
      <c r="D2127" t="n">
        <v>-0.031</v>
      </c>
    </row>
    <row r="2128">
      <c r="A2128" t="n">
        <v>10.259</v>
      </c>
      <c r="B2128" t="n">
        <v>0.044</v>
      </c>
      <c r="C2128" t="n">
        <v>1.022</v>
      </c>
      <c r="D2128" t="n">
        <v>-0.031</v>
      </c>
    </row>
    <row r="2129">
      <c r="A2129" t="n">
        <v>10.263</v>
      </c>
      <c r="B2129" t="n">
        <v>0.032</v>
      </c>
      <c r="C2129" t="n">
        <v>1.017</v>
      </c>
      <c r="D2129" t="n">
        <v>-0.023</v>
      </c>
    </row>
    <row r="2130">
      <c r="A2130" t="n">
        <v>10.272</v>
      </c>
      <c r="B2130" t="n">
        <v>0.022</v>
      </c>
      <c r="C2130" t="n">
        <v>1.011</v>
      </c>
      <c r="D2130" t="n">
        <v>-0.017</v>
      </c>
    </row>
    <row r="2131">
      <c r="A2131" t="n">
        <v>10.273</v>
      </c>
      <c r="B2131" t="n">
        <v>0.015</v>
      </c>
      <c r="C2131" t="n">
        <v>1.011</v>
      </c>
      <c r="D2131" t="n">
        <v>-0.008</v>
      </c>
    </row>
    <row r="2132">
      <c r="A2132" t="n">
        <v>10.277</v>
      </c>
      <c r="B2132" t="n">
        <v>0.015</v>
      </c>
      <c r="C2132" t="n">
        <v>1.008</v>
      </c>
      <c r="D2132" t="n">
        <v>-0.01</v>
      </c>
    </row>
    <row r="2133">
      <c r="A2133" t="n">
        <v>10.282</v>
      </c>
      <c r="B2133" t="n">
        <v>0.011</v>
      </c>
      <c r="C2133" t="n">
        <v>1.008</v>
      </c>
      <c r="D2133" t="n">
        <v>-0.008999999999999999</v>
      </c>
    </row>
    <row r="2134">
      <c r="A2134" t="n">
        <v>10.314</v>
      </c>
      <c r="B2134" t="n">
        <v>0.004</v>
      </c>
      <c r="C2134" t="n">
        <v>1.005</v>
      </c>
      <c r="D2134" t="n">
        <v>-0.01</v>
      </c>
    </row>
    <row r="2135">
      <c r="A2135" t="n">
        <v>10.314</v>
      </c>
      <c r="B2135" t="n">
        <v>-0.002</v>
      </c>
      <c r="C2135" t="n">
        <v>1.001</v>
      </c>
      <c r="D2135" t="n">
        <v>-0.013</v>
      </c>
    </row>
    <row r="2136">
      <c r="A2136" t="n">
        <v>10.315</v>
      </c>
      <c r="B2136" t="n">
        <v>-0.006</v>
      </c>
      <c r="C2136" t="n">
        <v>1.001</v>
      </c>
      <c r="D2136" t="n">
        <v>-0.012</v>
      </c>
    </row>
    <row r="2137">
      <c r="A2137" t="n">
        <v>10.315</v>
      </c>
      <c r="B2137" t="n">
        <v>-0.006</v>
      </c>
      <c r="C2137" t="n">
        <v>0.999</v>
      </c>
      <c r="D2137" t="n">
        <v>-0.014</v>
      </c>
    </row>
    <row r="2138">
      <c r="A2138" t="n">
        <v>10.315</v>
      </c>
      <c r="B2138" t="n">
        <v>-0.008999999999999999</v>
      </c>
      <c r="C2138" t="n">
        <v>0.997</v>
      </c>
      <c r="D2138" t="n">
        <v>-0.01</v>
      </c>
    </row>
    <row r="2139">
      <c r="A2139" t="n">
        <v>10.315</v>
      </c>
      <c r="B2139" t="n">
        <v>-0.015</v>
      </c>
      <c r="C2139" t="n">
        <v>0.992</v>
      </c>
      <c r="D2139" t="n">
        <v>-0.006</v>
      </c>
    </row>
    <row r="2140">
      <c r="A2140" t="n">
        <v>10.323</v>
      </c>
      <c r="B2140" t="n">
        <v>-0.015</v>
      </c>
      <c r="C2140" t="n">
        <v>0.986</v>
      </c>
      <c r="D2140" t="n">
        <v>-0.002</v>
      </c>
    </row>
    <row r="2141">
      <c r="A2141" t="n">
        <v>10.324</v>
      </c>
      <c r="B2141" t="n">
        <v>-0.012</v>
      </c>
      <c r="C2141" t="n">
        <v>0.981</v>
      </c>
      <c r="D2141" t="n">
        <v>0.006</v>
      </c>
    </row>
    <row r="2142">
      <c r="A2142" t="n">
        <v>10.328</v>
      </c>
      <c r="B2142" t="n">
        <v>-0.008</v>
      </c>
      <c r="C2142" t="n">
        <v>0.979</v>
      </c>
      <c r="D2142" t="n">
        <v>0.007</v>
      </c>
    </row>
    <row r="2143">
      <c r="A2143" t="n">
        <v>10.333</v>
      </c>
      <c r="B2143" t="n">
        <v>-0.005</v>
      </c>
      <c r="C2143" t="n">
        <v>0.978</v>
      </c>
      <c r="D2143" t="n">
        <v>0.015</v>
      </c>
    </row>
    <row r="2144">
      <c r="A2144" t="n">
        <v>10.34</v>
      </c>
      <c r="B2144" t="n">
        <v>0.001</v>
      </c>
      <c r="C2144" t="n">
        <v>0.978</v>
      </c>
      <c r="D2144" t="n">
        <v>0.017</v>
      </c>
    </row>
    <row r="2145">
      <c r="A2145" t="n">
        <v>10.352</v>
      </c>
      <c r="B2145" t="n">
        <v>0.005</v>
      </c>
      <c r="C2145" t="n">
        <v>0.974</v>
      </c>
      <c r="D2145" t="n">
        <v>0.016</v>
      </c>
    </row>
    <row r="2146">
      <c r="A2146" t="n">
        <v>10.353</v>
      </c>
      <c r="B2146" t="n">
        <v>0.008</v>
      </c>
      <c r="C2146" t="n">
        <v>0.974</v>
      </c>
      <c r="D2146" t="n">
        <v>0.018</v>
      </c>
    </row>
    <row r="2147">
      <c r="A2147" t="n">
        <v>10.354</v>
      </c>
      <c r="B2147" t="n">
        <v>0.008999999999999999</v>
      </c>
      <c r="C2147" t="n">
        <v>0.972</v>
      </c>
      <c r="D2147" t="n">
        <v>0.019</v>
      </c>
    </row>
    <row r="2148">
      <c r="A2148" t="n">
        <v>10.36</v>
      </c>
      <c r="B2148" t="n">
        <v>0.008</v>
      </c>
      <c r="C2148" t="n">
        <v>0.972</v>
      </c>
      <c r="D2148" t="n">
        <v>0.015</v>
      </c>
    </row>
    <row r="2149">
      <c r="A2149" t="n">
        <v>10.362</v>
      </c>
      <c r="B2149" t="n">
        <v>0.002</v>
      </c>
      <c r="C2149" t="n">
        <v>0.97</v>
      </c>
      <c r="D2149" t="n">
        <v>0.016</v>
      </c>
    </row>
    <row r="2150">
      <c r="A2150" t="n">
        <v>10.374</v>
      </c>
      <c r="B2150" t="n">
        <v>-0.006</v>
      </c>
      <c r="C2150" t="n">
        <v>0.971</v>
      </c>
      <c r="D2150" t="n">
        <v>0.007</v>
      </c>
    </row>
    <row r="2151">
      <c r="A2151" t="n">
        <v>10.374</v>
      </c>
      <c r="B2151" t="n">
        <v>-0.006</v>
      </c>
      <c r="C2151" t="n">
        <v>0.975</v>
      </c>
      <c r="D2151" t="n">
        <v>0.002</v>
      </c>
    </row>
    <row r="2152">
      <c r="A2152" t="n">
        <v>10.378</v>
      </c>
      <c r="B2152" t="n">
        <v>-0.004</v>
      </c>
      <c r="C2152" t="n">
        <v>0.98</v>
      </c>
      <c r="D2152" t="n">
        <v>-0.002</v>
      </c>
    </row>
    <row r="2153">
      <c r="A2153" t="n">
        <v>10.383</v>
      </c>
      <c r="B2153" t="n">
        <v>0</v>
      </c>
      <c r="C2153" t="n">
        <v>0.985</v>
      </c>
      <c r="D2153" t="n">
        <v>-0.004</v>
      </c>
    </row>
    <row r="2154">
      <c r="A2154" t="n">
        <v>10.406</v>
      </c>
      <c r="B2154" t="n">
        <v>0</v>
      </c>
      <c r="C2154" t="n">
        <v>0.99</v>
      </c>
      <c r="D2154" t="n">
        <v>-0.008</v>
      </c>
    </row>
    <row r="2155">
      <c r="A2155" t="n">
        <v>10.406</v>
      </c>
      <c r="B2155" t="n">
        <v>-0.001</v>
      </c>
      <c r="C2155" t="n">
        <v>0.994</v>
      </c>
      <c r="D2155" t="n">
        <v>-0.013</v>
      </c>
    </row>
    <row r="2156">
      <c r="A2156" t="n">
        <v>10.407</v>
      </c>
      <c r="B2156" t="n">
        <v>-0.004</v>
      </c>
      <c r="C2156" t="n">
        <v>1.002</v>
      </c>
      <c r="D2156" t="n">
        <v>-0.016</v>
      </c>
    </row>
    <row r="2157">
      <c r="A2157" t="n">
        <v>10.407</v>
      </c>
      <c r="B2157" t="n">
        <v>-0.003</v>
      </c>
      <c r="C2157" t="n">
        <v>1.006</v>
      </c>
      <c r="D2157" t="n">
        <v>-0.014</v>
      </c>
    </row>
    <row r="2158">
      <c r="A2158" t="n">
        <v>10.407</v>
      </c>
      <c r="B2158" t="n">
        <v>0.002</v>
      </c>
      <c r="C2158" t="n">
        <v>1.011</v>
      </c>
      <c r="D2158" t="n">
        <v>-0.012</v>
      </c>
    </row>
    <row r="2159">
      <c r="A2159" t="n">
        <v>10.413</v>
      </c>
      <c r="B2159" t="n">
        <v>0.007</v>
      </c>
      <c r="C2159" t="n">
        <v>1.012</v>
      </c>
      <c r="D2159" t="n">
        <v>-0.013</v>
      </c>
    </row>
    <row r="2160">
      <c r="A2160" t="n">
        <v>10.419</v>
      </c>
      <c r="B2160" t="n">
        <v>0.016</v>
      </c>
      <c r="C2160" t="n">
        <v>1.015</v>
      </c>
      <c r="D2160" t="n">
        <v>-0.015</v>
      </c>
    </row>
    <row r="2161">
      <c r="A2161" t="n">
        <v>10.424</v>
      </c>
      <c r="B2161" t="n">
        <v>0.024</v>
      </c>
      <c r="C2161" t="n">
        <v>1.018</v>
      </c>
      <c r="D2161" t="n">
        <v>-0.017</v>
      </c>
    </row>
    <row r="2162">
      <c r="A2162" t="n">
        <v>10.427</v>
      </c>
      <c r="B2162" t="n">
        <v>0.033</v>
      </c>
      <c r="C2162" t="n">
        <v>1.024</v>
      </c>
      <c r="D2162" t="n">
        <v>-0.026</v>
      </c>
    </row>
    <row r="2163">
      <c r="A2163" t="n">
        <v>10.434</v>
      </c>
      <c r="B2163" t="n">
        <v>0.04</v>
      </c>
      <c r="C2163" t="n">
        <v>1.029</v>
      </c>
      <c r="D2163" t="n">
        <v>-0.028</v>
      </c>
    </row>
    <row r="2164">
      <c r="A2164" t="n">
        <v>10.442</v>
      </c>
      <c r="B2164" t="n">
        <v>0.046</v>
      </c>
      <c r="C2164" t="n">
        <v>1.032</v>
      </c>
      <c r="D2164" t="n">
        <v>-0.031</v>
      </c>
    </row>
    <row r="2165">
      <c r="A2165" t="n">
        <v>10.444</v>
      </c>
      <c r="B2165" t="n">
        <v>0.052</v>
      </c>
      <c r="C2165" t="n">
        <v>1.03</v>
      </c>
      <c r="D2165" t="n">
        <v>-0.029</v>
      </c>
    </row>
    <row r="2166">
      <c r="A2166" t="n">
        <v>10.448</v>
      </c>
      <c r="B2166" t="n">
        <v>0.055</v>
      </c>
      <c r="C2166" t="n">
        <v>1.031</v>
      </c>
      <c r="D2166" t="n">
        <v>-0.021</v>
      </c>
    </row>
    <row r="2167">
      <c r="A2167" t="n">
        <v>10.458</v>
      </c>
      <c r="B2167" t="n">
        <v>0.047</v>
      </c>
      <c r="C2167" t="n">
        <v>1.031</v>
      </c>
      <c r="D2167" t="n">
        <v>-0.022</v>
      </c>
    </row>
    <row r="2168">
      <c r="A2168" t="n">
        <v>10.46</v>
      </c>
      <c r="B2168" t="n">
        <v>0.052</v>
      </c>
      <c r="C2168" t="n">
        <v>1.031</v>
      </c>
      <c r="D2168" t="n">
        <v>-0.018</v>
      </c>
    </row>
    <row r="2169">
      <c r="A2169" t="n">
        <v>10.463</v>
      </c>
      <c r="B2169" t="n">
        <v>0.055</v>
      </c>
      <c r="C2169" t="n">
        <v>1.031</v>
      </c>
      <c r="D2169" t="n">
        <v>-0.018</v>
      </c>
    </row>
    <row r="2170">
      <c r="A2170" t="n">
        <v>10.483</v>
      </c>
      <c r="B2170" t="n">
        <v>0.052</v>
      </c>
      <c r="C2170" t="n">
        <v>1.029</v>
      </c>
      <c r="D2170" t="n">
        <v>-0.03</v>
      </c>
    </row>
    <row r="2171">
      <c r="A2171" t="n">
        <v>10.488</v>
      </c>
      <c r="B2171" t="n">
        <v>0.052</v>
      </c>
      <c r="C2171" t="n">
        <v>1.029</v>
      </c>
      <c r="D2171" t="n">
        <v>-0.03</v>
      </c>
    </row>
    <row r="2172">
      <c r="A2172" t="n">
        <v>10.492</v>
      </c>
      <c r="B2172" t="n">
        <v>0.044</v>
      </c>
      <c r="C2172" t="n">
        <v>1.027</v>
      </c>
      <c r="D2172" t="n">
        <v>-0.04</v>
      </c>
    </row>
    <row r="2173">
      <c r="A2173" t="n">
        <v>10.492</v>
      </c>
      <c r="B2173" t="n">
        <v>0.038</v>
      </c>
      <c r="C2173" t="n">
        <v>1.021</v>
      </c>
      <c r="D2173" t="n">
        <v>-0.043</v>
      </c>
    </row>
    <row r="2174">
      <c r="A2174" t="n">
        <v>10.493</v>
      </c>
      <c r="B2174" t="n">
        <v>0.033</v>
      </c>
      <c r="C2174" t="n">
        <v>1.02</v>
      </c>
      <c r="D2174" t="n">
        <v>-0.041</v>
      </c>
    </row>
    <row r="2175">
      <c r="A2175" t="n">
        <v>10.493</v>
      </c>
      <c r="B2175" t="n">
        <v>0.033</v>
      </c>
      <c r="C2175" t="n">
        <v>1.02</v>
      </c>
      <c r="D2175" t="n">
        <v>-0.041</v>
      </c>
    </row>
    <row r="2176">
      <c r="A2176" t="n">
        <v>10.529</v>
      </c>
      <c r="B2176" t="n">
        <v>0.025</v>
      </c>
      <c r="C2176" t="n">
        <v>1.019</v>
      </c>
      <c r="D2176" t="n">
        <v>-0.026</v>
      </c>
    </row>
    <row r="2177">
      <c r="A2177" t="n">
        <v>10.529</v>
      </c>
      <c r="B2177" t="n">
        <v>0.02</v>
      </c>
      <c r="C2177" t="n">
        <v>1.016</v>
      </c>
      <c r="D2177" t="n">
        <v>-0.017</v>
      </c>
    </row>
    <row r="2178">
      <c r="A2178" t="n">
        <v>10.529</v>
      </c>
      <c r="B2178" t="n">
        <v>0.016</v>
      </c>
      <c r="C2178" t="n">
        <v>1.011</v>
      </c>
      <c r="D2178" t="n">
        <v>-0.008999999999999999</v>
      </c>
    </row>
    <row r="2179">
      <c r="A2179" t="n">
        <v>10.53</v>
      </c>
      <c r="B2179" t="n">
        <v>0.012</v>
      </c>
      <c r="C2179" t="n">
        <v>1.007</v>
      </c>
      <c r="D2179" t="n">
        <v>0.001</v>
      </c>
    </row>
    <row r="2180">
      <c r="A2180" t="n">
        <v>10.53</v>
      </c>
      <c r="B2180" t="n">
        <v>0.014</v>
      </c>
      <c r="C2180" t="n">
        <v>1.004</v>
      </c>
      <c r="D2180" t="n">
        <v>0.004</v>
      </c>
    </row>
    <row r="2181">
      <c r="A2181" t="n">
        <v>10.53</v>
      </c>
      <c r="B2181" t="n">
        <v>0.018</v>
      </c>
      <c r="C2181" t="n">
        <v>1.002</v>
      </c>
      <c r="D2181" t="n">
        <v>0.006</v>
      </c>
    </row>
    <row r="2182">
      <c r="A2182" t="n">
        <v>10.531</v>
      </c>
      <c r="B2182" t="n">
        <v>0.025</v>
      </c>
      <c r="C2182" t="n">
        <v>1.002</v>
      </c>
      <c r="D2182" t="n">
        <v>0.004</v>
      </c>
    </row>
    <row r="2183">
      <c r="A2183" t="n">
        <v>10.531</v>
      </c>
      <c r="B2183" t="n">
        <v>0.032</v>
      </c>
      <c r="C2183" t="n">
        <v>1.001</v>
      </c>
      <c r="D2183" t="n">
        <v>0.002</v>
      </c>
    </row>
    <row r="2184">
      <c r="A2184" t="n">
        <v>10.533</v>
      </c>
      <c r="B2184" t="n">
        <v>0.039</v>
      </c>
      <c r="C2184" t="n">
        <v>1.005</v>
      </c>
      <c r="D2184" t="n">
        <v>-0.004</v>
      </c>
    </row>
    <row r="2185">
      <c r="A2185" t="n">
        <v>10.538</v>
      </c>
      <c r="B2185" t="n">
        <v>0.045</v>
      </c>
      <c r="C2185" t="n">
        <v>1.008</v>
      </c>
      <c r="D2185" t="n">
        <v>-0.008</v>
      </c>
    </row>
    <row r="2186">
      <c r="A2186" t="n">
        <v>10.543</v>
      </c>
      <c r="B2186" t="n">
        <v>0.045</v>
      </c>
      <c r="C2186" t="n">
        <v>1.013</v>
      </c>
      <c r="D2186" t="n">
        <v>-0.012</v>
      </c>
    </row>
    <row r="2187">
      <c r="A2187" t="n">
        <v>10.547</v>
      </c>
      <c r="B2187" t="n">
        <v>0.045</v>
      </c>
      <c r="C2187" t="n">
        <v>1.017</v>
      </c>
      <c r="D2187" t="n">
        <v>-0.018</v>
      </c>
    </row>
    <row r="2188">
      <c r="A2188" t="n">
        <v>10.553</v>
      </c>
      <c r="B2188" t="n">
        <v>0.044</v>
      </c>
      <c r="C2188" t="n">
        <v>1.019</v>
      </c>
      <c r="D2188" t="n">
        <v>-0.024</v>
      </c>
    </row>
    <row r="2189">
      <c r="A2189" t="n">
        <v>10.557</v>
      </c>
      <c r="B2189" t="n">
        <v>0.039</v>
      </c>
      <c r="C2189" t="n">
        <v>1.018</v>
      </c>
      <c r="D2189" t="n">
        <v>-0.023</v>
      </c>
    </row>
    <row r="2190">
      <c r="A2190" t="n">
        <v>10.563</v>
      </c>
      <c r="B2190" t="n">
        <v>0.033</v>
      </c>
      <c r="C2190" t="n">
        <v>1.013</v>
      </c>
      <c r="D2190" t="n">
        <v>-0.021</v>
      </c>
    </row>
    <row r="2191">
      <c r="A2191" t="n">
        <v>10.582</v>
      </c>
      <c r="B2191" t="n">
        <v>0.026</v>
      </c>
      <c r="C2191" t="n">
        <v>1.013</v>
      </c>
      <c r="D2191" t="n">
        <v>-0.017</v>
      </c>
    </row>
    <row r="2192">
      <c r="A2192" t="n">
        <v>10.584</v>
      </c>
      <c r="B2192" t="n">
        <v>0.022</v>
      </c>
      <c r="C2192" t="n">
        <v>1.013</v>
      </c>
      <c r="D2192" t="n">
        <v>-0.014</v>
      </c>
    </row>
    <row r="2193">
      <c r="A2193" t="n">
        <v>10.586</v>
      </c>
      <c r="B2193" t="n">
        <v>0.019</v>
      </c>
      <c r="C2193" t="n">
        <v>1.015</v>
      </c>
      <c r="D2193" t="n">
        <v>-0.013</v>
      </c>
    </row>
    <row r="2194">
      <c r="A2194" t="n">
        <v>10.587</v>
      </c>
      <c r="B2194" t="n">
        <v>0.019</v>
      </c>
      <c r="C2194" t="n">
        <v>1.011</v>
      </c>
      <c r="D2194" t="n">
        <v>-0.014</v>
      </c>
    </row>
    <row r="2195">
      <c r="A2195" t="n">
        <v>10.616</v>
      </c>
      <c r="B2195" t="n">
        <v>0.016</v>
      </c>
      <c r="C2195" t="n">
        <v>1.012</v>
      </c>
      <c r="D2195" t="n">
        <v>-0.013</v>
      </c>
    </row>
    <row r="2196">
      <c r="A2196" t="n">
        <v>10.618</v>
      </c>
      <c r="B2196" t="n">
        <v>0.016</v>
      </c>
      <c r="C2196" t="n">
        <v>1.012</v>
      </c>
      <c r="D2196" t="n">
        <v>-0.013</v>
      </c>
    </row>
    <row r="2197">
      <c r="A2197" t="n">
        <v>10.619</v>
      </c>
      <c r="B2197" t="n">
        <v>0.015</v>
      </c>
      <c r="C2197" t="n">
        <v>1.013</v>
      </c>
      <c r="D2197" t="n">
        <v>-0.01</v>
      </c>
    </row>
    <row r="2198">
      <c r="A2198" t="n">
        <v>10.619</v>
      </c>
      <c r="B2198" t="n">
        <v>0.01</v>
      </c>
      <c r="C2198" t="n">
        <v>1.01</v>
      </c>
      <c r="D2198" t="n">
        <v>-0.008999999999999999</v>
      </c>
    </row>
    <row r="2199">
      <c r="A2199" t="n">
        <v>10.62</v>
      </c>
      <c r="B2199" t="n">
        <v>0.007</v>
      </c>
      <c r="C2199" t="n">
        <v>1.005</v>
      </c>
      <c r="D2199" t="n">
        <v>-0.006</v>
      </c>
    </row>
    <row r="2200">
      <c r="A2200" t="n">
        <v>10.62</v>
      </c>
      <c r="B2200" t="n">
        <v>0.005</v>
      </c>
      <c r="C2200" t="n">
        <v>1.003</v>
      </c>
      <c r="D2200" t="n">
        <v>-0.002</v>
      </c>
    </row>
    <row r="2201">
      <c r="A2201" t="n">
        <v>10.62</v>
      </c>
      <c r="B2201" t="n">
        <v>0.003</v>
      </c>
      <c r="C2201" t="n">
        <v>1.001</v>
      </c>
      <c r="D2201" t="n">
        <v>0.011</v>
      </c>
    </row>
    <row r="2202">
      <c r="A2202" t="n">
        <v>10.628</v>
      </c>
      <c r="B2202" t="n">
        <v>0</v>
      </c>
      <c r="C2202" t="n">
        <v>1.002</v>
      </c>
      <c r="D2202" t="n">
        <v>0.017</v>
      </c>
    </row>
    <row r="2203">
      <c r="A2203" t="n">
        <v>10.628</v>
      </c>
      <c r="B2203" t="n">
        <v>-0.003</v>
      </c>
      <c r="C2203" t="n">
        <v>1.002</v>
      </c>
      <c r="D2203" t="n">
        <v>0.014</v>
      </c>
    </row>
    <row r="2204">
      <c r="A2204" t="n">
        <v>10.638</v>
      </c>
      <c r="B2204" t="n">
        <v>-0.004</v>
      </c>
      <c r="C2204" t="n">
        <v>1.002</v>
      </c>
      <c r="D2204" t="n">
        <v>0.008999999999999999</v>
      </c>
    </row>
    <row r="2205">
      <c r="A2205" t="n">
        <v>10.639</v>
      </c>
      <c r="B2205" t="n">
        <v>-0.002</v>
      </c>
      <c r="C2205" t="n">
        <v>1.007</v>
      </c>
      <c r="D2205" t="n">
        <v>0.001</v>
      </c>
    </row>
    <row r="2206">
      <c r="A2206" t="n">
        <v>10.644</v>
      </c>
      <c r="B2206" t="n">
        <v>0.001</v>
      </c>
      <c r="C2206" t="n">
        <v>1.014</v>
      </c>
      <c r="D2206" t="n">
        <v>-0.005</v>
      </c>
    </row>
    <row r="2207">
      <c r="A2207" t="n">
        <v>10.647</v>
      </c>
      <c r="B2207" t="n">
        <v>0.004</v>
      </c>
      <c r="C2207" t="n">
        <v>1.018</v>
      </c>
      <c r="D2207" t="n">
        <v>-0.016</v>
      </c>
    </row>
    <row r="2208">
      <c r="A2208" t="n">
        <v>10.656</v>
      </c>
      <c r="B2208" t="n">
        <v>0.002</v>
      </c>
      <c r="C2208" t="n">
        <v>1.022</v>
      </c>
      <c r="D2208" t="n">
        <v>-0.025</v>
      </c>
    </row>
    <row r="2209">
      <c r="A2209" t="n">
        <v>10.658</v>
      </c>
      <c r="B2209" t="n">
        <v>-0.001</v>
      </c>
      <c r="C2209" t="n">
        <v>1.026</v>
      </c>
      <c r="D2209" t="n">
        <v>-0.033</v>
      </c>
    </row>
    <row r="2210">
      <c r="A2210" t="n">
        <v>10.663</v>
      </c>
      <c r="B2210" t="n">
        <v>-0.004</v>
      </c>
      <c r="C2210" t="n">
        <v>1.029</v>
      </c>
      <c r="D2210" t="n">
        <v>-0.044</v>
      </c>
    </row>
    <row r="2211">
      <c r="A2211" t="n">
        <v>10.673</v>
      </c>
      <c r="B2211" t="n">
        <v>-0.004</v>
      </c>
      <c r="C2211" t="n">
        <v>1.035</v>
      </c>
      <c r="D2211" t="n">
        <v>-0.055</v>
      </c>
    </row>
    <row r="2212">
      <c r="A2212" t="n">
        <v>10.674</v>
      </c>
      <c r="B2212" t="n">
        <v>-0.004</v>
      </c>
      <c r="C2212" t="n">
        <v>1.04</v>
      </c>
      <c r="D2212" t="n">
        <v>-0.062</v>
      </c>
    </row>
    <row r="2213">
      <c r="A2213" t="n">
        <v>10.678</v>
      </c>
      <c r="B2213" t="n">
        <v>-0.007</v>
      </c>
      <c r="C2213" t="n">
        <v>1.045</v>
      </c>
      <c r="D2213" t="n">
        <v>-0.066</v>
      </c>
    </row>
    <row r="2214">
      <c r="A2214" t="n">
        <v>10.683</v>
      </c>
      <c r="B2214" t="n">
        <v>-0.014</v>
      </c>
      <c r="C2214" t="n">
        <v>1.044</v>
      </c>
      <c r="D2214" t="n">
        <v>-0.06900000000000001</v>
      </c>
    </row>
    <row r="2215">
      <c r="A2215" t="n">
        <v>10.698</v>
      </c>
      <c r="B2215" t="n">
        <v>-0.023</v>
      </c>
      <c r="C2215" t="n">
        <v>1.037</v>
      </c>
      <c r="D2215" t="n">
        <v>-0.065</v>
      </c>
    </row>
    <row r="2216">
      <c r="A2216" t="n">
        <v>10.698</v>
      </c>
      <c r="B2216" t="n">
        <v>-0.031</v>
      </c>
      <c r="C2216" t="n">
        <v>1.033</v>
      </c>
      <c r="D2216" t="n">
        <v>-0.06</v>
      </c>
    </row>
    <row r="2217">
      <c r="A2217" t="n">
        <v>10.698</v>
      </c>
      <c r="B2217" t="n">
        <v>-0.03</v>
      </c>
      <c r="C2217" t="n">
        <v>1.027</v>
      </c>
      <c r="D2217" t="n">
        <v>-0.045</v>
      </c>
    </row>
    <row r="2218">
      <c r="A2218" t="n">
        <v>10.736</v>
      </c>
      <c r="B2218" t="n">
        <v>-0.028</v>
      </c>
      <c r="C2218" t="n">
        <v>1.025</v>
      </c>
      <c r="D2218" t="n">
        <v>-0.032</v>
      </c>
    </row>
    <row r="2219">
      <c r="A2219" t="n">
        <v>10.736</v>
      </c>
      <c r="B2219" t="n">
        <v>-0.024</v>
      </c>
      <c r="C2219" t="n">
        <v>1.025</v>
      </c>
      <c r="D2219" t="n">
        <v>-0.024</v>
      </c>
    </row>
    <row r="2220">
      <c r="A2220" t="n">
        <v>10.737</v>
      </c>
      <c r="B2220" t="n">
        <v>-0.021</v>
      </c>
      <c r="C2220" t="n">
        <v>1.025</v>
      </c>
      <c r="D2220" t="n">
        <v>-0.02</v>
      </c>
    </row>
    <row r="2221">
      <c r="A2221" t="n">
        <v>10.737</v>
      </c>
      <c r="B2221" t="n">
        <v>-0.018</v>
      </c>
      <c r="C2221" t="n">
        <v>1.027</v>
      </c>
      <c r="D2221" t="n">
        <v>-0.025</v>
      </c>
    </row>
    <row r="2222">
      <c r="A2222" t="n">
        <v>10.737</v>
      </c>
      <c r="B2222" t="n">
        <v>-0.006</v>
      </c>
      <c r="C2222" t="n">
        <v>1.028</v>
      </c>
      <c r="D2222" t="n">
        <v>-0.034</v>
      </c>
    </row>
    <row r="2223">
      <c r="A2223" t="n">
        <v>10.737</v>
      </c>
      <c r="B2223" t="n">
        <v>0.013</v>
      </c>
      <c r="C2223" t="n">
        <v>1.034</v>
      </c>
      <c r="D2223" t="n">
        <v>-0.038</v>
      </c>
    </row>
    <row r="2224">
      <c r="A2224" t="n">
        <v>10.738</v>
      </c>
      <c r="B2224" t="n">
        <v>0.033</v>
      </c>
      <c r="C2224" t="n">
        <v>1.037</v>
      </c>
      <c r="D2224" t="n">
        <v>-0.047</v>
      </c>
    </row>
    <row r="2225">
      <c r="A2225" t="n">
        <v>10.738</v>
      </c>
      <c r="B2225" t="n">
        <v>0.04</v>
      </c>
      <c r="C2225" t="n">
        <v>1.034</v>
      </c>
      <c r="D2225" t="n">
        <v>-0.051</v>
      </c>
    </row>
    <row r="2226">
      <c r="A2226" t="n">
        <v>10.743</v>
      </c>
      <c r="B2226" t="n">
        <v>0.031</v>
      </c>
      <c r="C2226" t="n">
        <v>1.032</v>
      </c>
      <c r="D2226" t="n">
        <v>-0.049</v>
      </c>
    </row>
    <row r="2227">
      <c r="A2227" t="n">
        <v>10.748</v>
      </c>
      <c r="B2227" t="n">
        <v>0.017</v>
      </c>
      <c r="C2227" t="n">
        <v>1.021</v>
      </c>
      <c r="D2227" t="n">
        <v>-0.042</v>
      </c>
    </row>
    <row r="2228">
      <c r="A2228" t="n">
        <v>10.754</v>
      </c>
      <c r="B2228" t="n">
        <v>0.01</v>
      </c>
      <c r="C2228" t="n">
        <v>1.012</v>
      </c>
      <c r="D2228" t="n">
        <v>-0.031</v>
      </c>
    </row>
    <row r="2229">
      <c r="A2229" t="n">
        <v>10.758</v>
      </c>
      <c r="B2229" t="n">
        <v>0.002</v>
      </c>
      <c r="C2229" t="n">
        <v>1.005</v>
      </c>
      <c r="D2229" t="n">
        <v>-0.028</v>
      </c>
    </row>
    <row r="2230">
      <c r="A2230" t="n">
        <v>10.763</v>
      </c>
      <c r="B2230" t="n">
        <v>-0.006</v>
      </c>
      <c r="C2230" t="n">
        <v>0.996</v>
      </c>
      <c r="D2230" t="n">
        <v>-0.019</v>
      </c>
    </row>
    <row r="2231">
      <c r="A2231" t="n">
        <v>10.768</v>
      </c>
      <c r="B2231" t="n">
        <v>-0.008</v>
      </c>
      <c r="C2231" t="n">
        <v>0.99</v>
      </c>
      <c r="D2231" t="n">
        <v>-0.007</v>
      </c>
    </row>
    <row r="2232">
      <c r="A2232" t="n">
        <v>10.787</v>
      </c>
      <c r="B2232" t="n">
        <v>-0.01</v>
      </c>
      <c r="C2232" t="n">
        <v>0.985</v>
      </c>
      <c r="D2232" t="n">
        <v>-0.005</v>
      </c>
    </row>
    <row r="2233">
      <c r="A2233" t="n">
        <v>10.791</v>
      </c>
      <c r="B2233" t="n">
        <v>-0.01</v>
      </c>
      <c r="C2233" t="n">
        <v>0.982</v>
      </c>
      <c r="D2233" t="n">
        <v>-0.01</v>
      </c>
    </row>
    <row r="2234">
      <c r="A2234" t="n">
        <v>10.792</v>
      </c>
      <c r="B2234" t="n">
        <v>-0.008999999999999999</v>
      </c>
      <c r="C2234" t="n">
        <v>0.986</v>
      </c>
      <c r="D2234" t="n">
        <v>-0.012</v>
      </c>
    </row>
    <row r="2235">
      <c r="A2235" t="n">
        <v>10.792</v>
      </c>
      <c r="B2235" t="n">
        <v>-0.003</v>
      </c>
      <c r="C2235" t="n">
        <v>0.986</v>
      </c>
      <c r="D2235" t="n">
        <v>-0.013</v>
      </c>
    </row>
    <row r="2236">
      <c r="A2236" t="n">
        <v>10.793</v>
      </c>
      <c r="B2236" t="n">
        <v>0.002</v>
      </c>
      <c r="C2236" t="n">
        <v>0.987</v>
      </c>
      <c r="D2236" t="n">
        <v>-0.017</v>
      </c>
    </row>
    <row r="2237">
      <c r="A2237" t="n">
        <v>10.798</v>
      </c>
      <c r="B2237" t="n">
        <v>0.006</v>
      </c>
      <c r="C2237" t="n">
        <v>0.985</v>
      </c>
      <c r="D2237" t="n">
        <v>-0.021</v>
      </c>
    </row>
    <row r="2238">
      <c r="A2238" t="n">
        <v>10.825</v>
      </c>
      <c r="B2238" t="n">
        <v>0.011</v>
      </c>
      <c r="C2238" t="n">
        <v>0.982</v>
      </c>
      <c r="D2238" t="n">
        <v>-0.018</v>
      </c>
    </row>
    <row r="2239">
      <c r="A2239" t="n">
        <v>10.826</v>
      </c>
      <c r="B2239" t="n">
        <v>0.011</v>
      </c>
      <c r="C2239" t="n">
        <v>0.982</v>
      </c>
      <c r="D2239" t="n">
        <v>-0.018</v>
      </c>
    </row>
    <row r="2240">
      <c r="A2240" t="n">
        <v>10.827</v>
      </c>
      <c r="B2240" t="n">
        <v>0.022</v>
      </c>
      <c r="C2240" t="n">
        <v>0.982</v>
      </c>
      <c r="D2240" t="n">
        <v>-0.017</v>
      </c>
    </row>
    <row r="2241">
      <c r="A2241" t="n">
        <v>10.828</v>
      </c>
      <c r="B2241" t="n">
        <v>0.032</v>
      </c>
      <c r="C2241" t="n">
        <v>0.987</v>
      </c>
      <c r="D2241" t="n">
        <v>-0.017</v>
      </c>
    </row>
    <row r="2242">
      <c r="A2242" t="n">
        <v>10.829</v>
      </c>
      <c r="B2242" t="n">
        <v>0.041</v>
      </c>
      <c r="C2242" t="n">
        <v>0.994</v>
      </c>
      <c r="D2242" t="n">
        <v>-0.023</v>
      </c>
    </row>
    <row r="2243">
      <c r="A2243" t="n">
        <v>10.829</v>
      </c>
      <c r="B2243" t="n">
        <v>0.047</v>
      </c>
      <c r="C2243" t="n">
        <v>0.996</v>
      </c>
      <c r="D2243" t="n">
        <v>-0.033</v>
      </c>
    </row>
    <row r="2244">
      <c r="A2244" t="n">
        <v>10.833</v>
      </c>
      <c r="B2244" t="n">
        <v>0.052</v>
      </c>
      <c r="C2244" t="n">
        <v>0.997</v>
      </c>
      <c r="D2244" t="n">
        <v>-0.043</v>
      </c>
    </row>
    <row r="2245">
      <c r="A2245" t="n">
        <v>10.839</v>
      </c>
      <c r="B2245" t="n">
        <v>0.057</v>
      </c>
      <c r="C2245" t="n">
        <v>0.997</v>
      </c>
      <c r="D2245" t="n">
        <v>-0.053</v>
      </c>
    </row>
    <row r="2246">
      <c r="A2246" t="n">
        <v>10.843</v>
      </c>
      <c r="B2246" t="n">
        <v>0.057</v>
      </c>
      <c r="C2246" t="n">
        <v>0.997</v>
      </c>
      <c r="D2246" t="n">
        <v>-0.053</v>
      </c>
    </row>
    <row r="2247">
      <c r="A2247" t="n">
        <v>10.847</v>
      </c>
      <c r="B2247" t="n">
        <v>0.052</v>
      </c>
      <c r="C2247" t="n">
        <v>0.995</v>
      </c>
      <c r="D2247" t="n">
        <v>-0.058</v>
      </c>
    </row>
    <row r="2248">
      <c r="A2248" t="n">
        <v>10.858</v>
      </c>
      <c r="B2248" t="n">
        <v>0.045</v>
      </c>
      <c r="C2248" t="n">
        <v>0.995</v>
      </c>
      <c r="D2248" t="n">
        <v>-0.054</v>
      </c>
    </row>
    <row r="2249">
      <c r="A2249" t="n">
        <v>10.859</v>
      </c>
      <c r="B2249" t="n">
        <v>0.045</v>
      </c>
      <c r="C2249" t="n">
        <v>0.995</v>
      </c>
      <c r="D2249" t="n">
        <v>-0.054</v>
      </c>
    </row>
    <row r="2250">
      <c r="A2250" t="n">
        <v>10.86</v>
      </c>
      <c r="B2250" t="n">
        <v>0.034</v>
      </c>
      <c r="C2250" t="n">
        <v>0.991</v>
      </c>
      <c r="D2250" t="n">
        <v>-0.045</v>
      </c>
    </row>
    <row r="2251">
      <c r="A2251" t="n">
        <v>10.863</v>
      </c>
      <c r="B2251" t="n">
        <v>0.023</v>
      </c>
      <c r="C2251" t="n">
        <v>0.986</v>
      </c>
      <c r="D2251" t="n">
        <v>-0.032</v>
      </c>
    </row>
    <row r="2252">
      <c r="A2252" t="n">
        <v>10.871</v>
      </c>
      <c r="B2252" t="n">
        <v>0.012</v>
      </c>
      <c r="C2252" t="n">
        <v>0.98</v>
      </c>
      <c r="D2252" t="n">
        <v>-0.023</v>
      </c>
    </row>
    <row r="2253">
      <c r="A2253" t="n">
        <v>10.876</v>
      </c>
      <c r="B2253" t="n">
        <v>0</v>
      </c>
      <c r="C2253" t="n">
        <v>0.972</v>
      </c>
      <c r="D2253" t="n">
        <v>-0.012</v>
      </c>
    </row>
    <row r="2254">
      <c r="A2254" t="n">
        <v>10.878</v>
      </c>
      <c r="B2254" t="n">
        <v>-0.012</v>
      </c>
      <c r="C2254" t="n">
        <v>0.966</v>
      </c>
      <c r="D2254" t="n">
        <v>-0.002</v>
      </c>
    </row>
    <row r="2255">
      <c r="A2255" t="n">
        <v>10.884</v>
      </c>
      <c r="B2255" t="n">
        <v>-0.015</v>
      </c>
      <c r="C2255" t="n">
        <v>0.968</v>
      </c>
      <c r="D2255" t="n">
        <v>0.004</v>
      </c>
    </row>
    <row r="2256">
      <c r="A2256" t="n">
        <v>10.892</v>
      </c>
      <c r="B2256" t="n">
        <v>-0.007</v>
      </c>
      <c r="C2256" t="n">
        <v>0.969</v>
      </c>
      <c r="D2256" t="n">
        <v>0.005</v>
      </c>
    </row>
    <row r="2257">
      <c r="A2257" t="n">
        <v>10.893</v>
      </c>
      <c r="B2257" t="n">
        <v>0.003</v>
      </c>
      <c r="C2257" t="n">
        <v>0.969</v>
      </c>
      <c r="D2257" t="n">
        <v>-0.006</v>
      </c>
    </row>
    <row r="2258">
      <c r="A2258" t="n">
        <v>10.899</v>
      </c>
      <c r="B2258" t="n">
        <v>0.015</v>
      </c>
      <c r="C2258" t="n">
        <v>0.97</v>
      </c>
      <c r="D2258" t="n">
        <v>-0.012</v>
      </c>
    </row>
    <row r="2259">
      <c r="A2259" t="n">
        <v>10.926</v>
      </c>
      <c r="B2259" t="n">
        <v>0.027</v>
      </c>
      <c r="C2259" t="n">
        <v>0.974</v>
      </c>
      <c r="D2259" t="n">
        <v>-0.017</v>
      </c>
    </row>
    <row r="2260">
      <c r="A2260" t="n">
        <v>10.926</v>
      </c>
      <c r="B2260" t="n">
        <v>0.027</v>
      </c>
      <c r="C2260" t="n">
        <v>0.974</v>
      </c>
      <c r="D2260" t="n">
        <v>-0.017</v>
      </c>
    </row>
    <row r="2261">
      <c r="A2261" t="n">
        <v>10.927</v>
      </c>
      <c r="B2261" t="n">
        <v>0.038</v>
      </c>
      <c r="C2261" t="n">
        <v>0.978</v>
      </c>
      <c r="D2261" t="n">
        <v>-0.021</v>
      </c>
    </row>
    <row r="2262">
      <c r="A2262" t="n">
        <v>10.927</v>
      </c>
      <c r="B2262" t="n">
        <v>0.045</v>
      </c>
      <c r="C2262" t="n">
        <v>0.982</v>
      </c>
      <c r="D2262" t="n">
        <v>-0.017</v>
      </c>
    </row>
    <row r="2263">
      <c r="A2263" t="n">
        <v>10.927</v>
      </c>
      <c r="B2263" t="n">
        <v>0.048</v>
      </c>
      <c r="C2263" t="n">
        <v>0.985</v>
      </c>
      <c r="D2263" t="n">
        <v>-0.01</v>
      </c>
    </row>
    <row r="2264">
      <c r="A2264" t="n">
        <v>10.927</v>
      </c>
      <c r="B2264" t="n">
        <v>0.048</v>
      </c>
      <c r="C2264" t="n">
        <v>0.985</v>
      </c>
      <c r="D2264" t="n">
        <v>-0.005</v>
      </c>
    </row>
    <row r="2265">
      <c r="A2265" t="n">
        <v>10.928</v>
      </c>
      <c r="B2265" t="n">
        <v>0.047</v>
      </c>
      <c r="C2265" t="n">
        <v>0.992</v>
      </c>
      <c r="D2265" t="n">
        <v>-0.008999999999999999</v>
      </c>
    </row>
    <row r="2266">
      <c r="A2266" t="n">
        <v>10.933</v>
      </c>
      <c r="B2266" t="n">
        <v>0.04</v>
      </c>
      <c r="C2266" t="n">
        <v>0.995</v>
      </c>
      <c r="D2266" t="n">
        <v>-0.006</v>
      </c>
    </row>
    <row r="2267">
      <c r="A2267" t="n">
        <v>10.938</v>
      </c>
      <c r="B2267" t="n">
        <v>0.04</v>
      </c>
      <c r="C2267" t="n">
        <v>1.005</v>
      </c>
      <c r="D2267" t="n">
        <v>-0.008</v>
      </c>
    </row>
    <row r="2268">
      <c r="A2268" t="n">
        <v>10.943</v>
      </c>
      <c r="B2268" t="n">
        <v>0.045</v>
      </c>
      <c r="C2268" t="n">
        <v>1.016</v>
      </c>
      <c r="D2268" t="n">
        <v>-0.02</v>
      </c>
    </row>
    <row r="2269">
      <c r="A2269" t="n">
        <v>10.947</v>
      </c>
      <c r="B2269" t="n">
        <v>0.047</v>
      </c>
      <c r="C2269" t="n">
        <v>1.024</v>
      </c>
      <c r="D2269" t="n">
        <v>-0.032</v>
      </c>
    </row>
    <row r="2270">
      <c r="A2270" t="n">
        <v>10.956</v>
      </c>
      <c r="B2270" t="n">
        <v>0.047</v>
      </c>
      <c r="C2270" t="n">
        <v>1.03</v>
      </c>
      <c r="D2270" t="n">
        <v>-0.039</v>
      </c>
    </row>
    <row r="2271">
      <c r="A2271" t="n">
        <v>10.958</v>
      </c>
      <c r="B2271" t="n">
        <v>0.043</v>
      </c>
      <c r="C2271" t="n">
        <v>1.032</v>
      </c>
      <c r="D2271" t="n">
        <v>-0.045</v>
      </c>
    </row>
    <row r="2272">
      <c r="A2272" t="n">
        <v>10.963</v>
      </c>
      <c r="B2272" t="n">
        <v>0.041</v>
      </c>
      <c r="C2272" t="n">
        <v>1.038</v>
      </c>
      <c r="D2272" t="n">
        <v>-0.041</v>
      </c>
    </row>
    <row r="2273">
      <c r="A2273" t="n">
        <v>10.967</v>
      </c>
      <c r="B2273" t="n">
        <v>0.04</v>
      </c>
      <c r="C2273" t="n">
        <v>1.042</v>
      </c>
      <c r="D2273" t="n">
        <v>-0.039</v>
      </c>
    </row>
    <row r="2274">
      <c r="A2274" t="n">
        <v>10.977</v>
      </c>
      <c r="B2274" t="n">
        <v>0.039</v>
      </c>
      <c r="C2274" t="n">
        <v>1.045</v>
      </c>
      <c r="D2274" t="n">
        <v>-0.038</v>
      </c>
    </row>
    <row r="2275">
      <c r="A2275" t="n">
        <v>10.978</v>
      </c>
      <c r="B2275" t="n">
        <v>0.04</v>
      </c>
      <c r="C2275" t="n">
        <v>1.042</v>
      </c>
      <c r="D2275" t="n">
        <v>-0.037</v>
      </c>
    </row>
    <row r="2276">
      <c r="A2276" t="n">
        <v>10.984</v>
      </c>
      <c r="B2276" t="n">
        <v>0.037</v>
      </c>
      <c r="C2276" t="n">
        <v>1.044</v>
      </c>
      <c r="D2276" t="n">
        <v>-0.037</v>
      </c>
    </row>
    <row r="2277">
      <c r="A2277" t="n">
        <v>11.001</v>
      </c>
      <c r="B2277" t="n">
        <v>0.036</v>
      </c>
      <c r="C2277" t="n">
        <v>1.042</v>
      </c>
      <c r="D2277" t="n">
        <v>-0.035</v>
      </c>
    </row>
    <row r="2278">
      <c r="A2278" t="n">
        <v>11.003</v>
      </c>
      <c r="B2278" t="n">
        <v>0.036</v>
      </c>
      <c r="C2278" t="n">
        <v>1.042</v>
      </c>
      <c r="D2278" t="n">
        <v>-0.035</v>
      </c>
    </row>
    <row r="2279">
      <c r="A2279" t="n">
        <v>11.004</v>
      </c>
      <c r="B2279" t="n">
        <v>0.042</v>
      </c>
      <c r="C2279" t="n">
        <v>1.039</v>
      </c>
      <c r="D2279" t="n">
        <v>-0.024</v>
      </c>
    </row>
    <row r="2280">
      <c r="A2280" t="n">
        <v>11.009</v>
      </c>
      <c r="B2280" t="n">
        <v>0.048</v>
      </c>
      <c r="C2280" t="n">
        <v>1.041</v>
      </c>
      <c r="D2280" t="n">
        <v>-0.016</v>
      </c>
    </row>
    <row r="2281">
      <c r="A2281" t="n">
        <v>11.01</v>
      </c>
      <c r="B2281" t="n">
        <v>0.048</v>
      </c>
      <c r="C2281" t="n">
        <v>1.041</v>
      </c>
      <c r="D2281" t="n">
        <v>-0.016</v>
      </c>
    </row>
    <row r="2282">
      <c r="A2282" t="n">
        <v>11.016</v>
      </c>
      <c r="B2282" t="n">
        <v>0.053</v>
      </c>
      <c r="C2282" t="n">
        <v>1.046</v>
      </c>
      <c r="D2282" t="n">
        <v>-0.01</v>
      </c>
    </row>
    <row r="2283">
      <c r="A2283" t="n">
        <v>11.019</v>
      </c>
      <c r="B2283" t="n">
        <v>0.044</v>
      </c>
      <c r="C2283" t="n">
        <v>1.048</v>
      </c>
      <c r="D2283" t="n">
        <v>-0.017</v>
      </c>
    </row>
    <row r="2284">
      <c r="A2284" t="n">
        <v>11.042</v>
      </c>
      <c r="B2284" t="n">
        <v>0.035</v>
      </c>
      <c r="C2284" t="n">
        <v>1.051</v>
      </c>
      <c r="D2284" t="n">
        <v>-0.028</v>
      </c>
    </row>
    <row r="2285">
      <c r="A2285" t="n">
        <v>11.044</v>
      </c>
      <c r="B2285" t="n">
        <v>0.025</v>
      </c>
      <c r="C2285" t="n">
        <v>1.054</v>
      </c>
      <c r="D2285" t="n">
        <v>-0.035</v>
      </c>
    </row>
    <row r="2286">
      <c r="A2286" t="n">
        <v>11.044</v>
      </c>
      <c r="B2286" t="n">
        <v>0.016</v>
      </c>
      <c r="C2286" t="n">
        <v>1.057</v>
      </c>
      <c r="D2286" t="n">
        <v>-0.052</v>
      </c>
    </row>
    <row r="2287">
      <c r="A2287" t="n">
        <v>11.045</v>
      </c>
      <c r="B2287" t="n">
        <v>0.007</v>
      </c>
      <c r="C2287" t="n">
        <v>1.055</v>
      </c>
      <c r="D2287" t="n">
        <v>-0.065</v>
      </c>
    </row>
    <row r="2288">
      <c r="A2288" t="n">
        <v>11.046</v>
      </c>
      <c r="B2288" t="n">
        <v>0.001</v>
      </c>
      <c r="C2288" t="n">
        <v>1.053</v>
      </c>
      <c r="D2288" t="n">
        <v>-0.074</v>
      </c>
    </row>
    <row r="2289">
      <c r="A2289" t="n">
        <v>11.047</v>
      </c>
      <c r="B2289" t="n">
        <v>-0.005</v>
      </c>
      <c r="C2289" t="n">
        <v>1.049</v>
      </c>
      <c r="D2289" t="n">
        <v>-0.077</v>
      </c>
    </row>
    <row r="2290">
      <c r="A2290" t="n">
        <v>11.056</v>
      </c>
      <c r="B2290" t="n">
        <v>-0.017</v>
      </c>
      <c r="C2290" t="n">
        <v>1.046</v>
      </c>
      <c r="D2290" t="n">
        <v>-0.074</v>
      </c>
    </row>
    <row r="2291">
      <c r="A2291" t="n">
        <v>11.057</v>
      </c>
      <c r="B2291" t="n">
        <v>-0.026</v>
      </c>
      <c r="C2291" t="n">
        <v>1.039</v>
      </c>
      <c r="D2291" t="n">
        <v>-0.061</v>
      </c>
    </row>
    <row r="2292">
      <c r="A2292" t="n">
        <v>11.063</v>
      </c>
      <c r="B2292" t="n">
        <v>-0.035</v>
      </c>
      <c r="C2292" t="n">
        <v>1.033</v>
      </c>
      <c r="D2292" t="n">
        <v>-0.051</v>
      </c>
    </row>
    <row r="2293">
      <c r="A2293" t="n">
        <v>11.068</v>
      </c>
      <c r="B2293" t="n">
        <v>-0.039</v>
      </c>
      <c r="C2293" t="n">
        <v>1.03</v>
      </c>
      <c r="D2293" t="n">
        <v>-0.045</v>
      </c>
    </row>
    <row r="2294">
      <c r="A2294" t="n">
        <v>11.082</v>
      </c>
      <c r="B2294" t="n">
        <v>-0.043</v>
      </c>
      <c r="C2294" t="n">
        <v>1.027</v>
      </c>
      <c r="D2294" t="n">
        <v>-0.04</v>
      </c>
    </row>
    <row r="2295">
      <c r="A2295" t="n">
        <v>11.083</v>
      </c>
      <c r="B2295" t="n">
        <v>-0.049</v>
      </c>
      <c r="C2295" t="n">
        <v>1.025</v>
      </c>
      <c r="D2295" t="n">
        <v>-0.038</v>
      </c>
    </row>
    <row r="2296">
      <c r="A2296" t="n">
        <v>11.084</v>
      </c>
      <c r="B2296" t="n">
        <v>-0.056</v>
      </c>
      <c r="C2296" t="n">
        <v>1.02</v>
      </c>
      <c r="D2296" t="n">
        <v>-0.033</v>
      </c>
    </row>
    <row r="2297">
      <c r="A2297" t="n">
        <v>11.126</v>
      </c>
      <c r="B2297" t="n">
        <v>-0.062</v>
      </c>
      <c r="C2297" t="n">
        <v>1.017</v>
      </c>
      <c r="D2297" t="n">
        <v>-0.037</v>
      </c>
    </row>
    <row r="2298">
      <c r="A2298" t="n">
        <v>11.127</v>
      </c>
      <c r="B2298" t="n">
        <v>-0.063</v>
      </c>
      <c r="C2298" t="n">
        <v>1.018</v>
      </c>
      <c r="D2298" t="n">
        <v>-0.044</v>
      </c>
    </row>
    <row r="2299">
      <c r="A2299" t="n">
        <v>11.127</v>
      </c>
      <c r="B2299" t="n">
        <v>-0.068</v>
      </c>
      <c r="C2299" t="n">
        <v>1.015</v>
      </c>
      <c r="D2299" t="n">
        <v>-0.045</v>
      </c>
    </row>
    <row r="2300">
      <c r="A2300" t="n">
        <v>11.127</v>
      </c>
      <c r="B2300" t="n">
        <v>-0.082</v>
      </c>
      <c r="C2300" t="n">
        <v>1.017</v>
      </c>
      <c r="D2300" t="n">
        <v>-0.048</v>
      </c>
    </row>
    <row r="2301">
      <c r="A2301" t="n">
        <v>11.127</v>
      </c>
      <c r="B2301" t="n">
        <v>-0.082</v>
      </c>
      <c r="C2301" t="n">
        <v>1.017</v>
      </c>
      <c r="D2301" t="n">
        <v>-0.048</v>
      </c>
    </row>
    <row r="2302">
      <c r="A2302" t="n">
        <v>11.134</v>
      </c>
      <c r="B2302" t="n">
        <v>-0.098</v>
      </c>
      <c r="C2302" t="n">
        <v>1.021</v>
      </c>
      <c r="D2302" t="n">
        <v>-0.059</v>
      </c>
    </row>
    <row r="2303">
      <c r="A2303" t="n">
        <v>11.134</v>
      </c>
      <c r="B2303" t="n">
        <v>-0.111</v>
      </c>
      <c r="C2303" t="n">
        <v>1.031</v>
      </c>
      <c r="D2303" t="n">
        <v>-0.06900000000000001</v>
      </c>
    </row>
    <row r="2304">
      <c r="A2304" t="n">
        <v>11.135</v>
      </c>
      <c r="B2304" t="n">
        <v>-0.113</v>
      </c>
      <c r="C2304" t="n">
        <v>1.04</v>
      </c>
      <c r="D2304" t="n">
        <v>-0.08500000000000001</v>
      </c>
    </row>
    <row r="2305">
      <c r="A2305" t="n">
        <v>11.135</v>
      </c>
      <c r="B2305" t="n">
        <v>-0.112</v>
      </c>
      <c r="C2305" t="n">
        <v>1.053</v>
      </c>
      <c r="D2305" t="n">
        <v>-0.107</v>
      </c>
    </row>
    <row r="2306">
      <c r="A2306" t="n">
        <v>11.135</v>
      </c>
      <c r="B2306" t="n">
        <v>-0.099</v>
      </c>
      <c r="C2306" t="n">
        <v>1.066</v>
      </c>
      <c r="D2306" t="n">
        <v>-0.124</v>
      </c>
    </row>
    <row r="2307">
      <c r="A2307" t="n">
        <v>11.136</v>
      </c>
      <c r="B2307" t="n">
        <v>-0.079</v>
      </c>
      <c r="C2307" t="n">
        <v>1.081</v>
      </c>
      <c r="D2307" t="n">
        <v>-0.149</v>
      </c>
    </row>
    <row r="2308">
      <c r="A2308" t="n">
        <v>11.139</v>
      </c>
      <c r="B2308" t="n">
        <v>-0.044</v>
      </c>
      <c r="C2308" t="n">
        <v>1.102</v>
      </c>
      <c r="D2308" t="n">
        <v>-0.159</v>
      </c>
    </row>
    <row r="2309">
      <c r="A2309" t="n">
        <v>11.143</v>
      </c>
      <c r="B2309" t="n">
        <v>-0.04</v>
      </c>
      <c r="C2309" t="n">
        <v>1.102</v>
      </c>
      <c r="D2309" t="n">
        <v>-0.175</v>
      </c>
    </row>
    <row r="2310">
      <c r="A2310" t="n">
        <v>11.147</v>
      </c>
      <c r="B2310" t="n">
        <v>-0.022</v>
      </c>
      <c r="C2310" t="n">
        <v>1.107</v>
      </c>
      <c r="D2310" t="n">
        <v>-0.203</v>
      </c>
    </row>
    <row r="2311">
      <c r="A2311" t="n">
        <v>11.157</v>
      </c>
      <c r="B2311" t="n">
        <v>0.031</v>
      </c>
      <c r="C2311" t="n">
        <v>1.123</v>
      </c>
      <c r="D2311" t="n">
        <v>-0.22</v>
      </c>
    </row>
    <row r="2312">
      <c r="A2312" t="n">
        <v>11.158</v>
      </c>
      <c r="B2312" t="n">
        <v>0.031</v>
      </c>
      <c r="C2312" t="n">
        <v>1.123</v>
      </c>
      <c r="D2312" t="n">
        <v>-0.22</v>
      </c>
    </row>
    <row r="2313">
      <c r="A2313" t="n">
        <v>11.163</v>
      </c>
      <c r="B2313" t="n">
        <v>0.201</v>
      </c>
      <c r="C2313" t="n">
        <v>1.172</v>
      </c>
      <c r="D2313" t="n">
        <v>-0.176</v>
      </c>
    </row>
    <row r="2314">
      <c r="A2314" t="n">
        <v>11.167</v>
      </c>
      <c r="B2314" t="n">
        <v>0.271</v>
      </c>
      <c r="C2314" t="n">
        <v>1.196</v>
      </c>
      <c r="D2314" t="n">
        <v>-0.15</v>
      </c>
    </row>
    <row r="2315">
      <c r="A2315" t="n">
        <v>11.182</v>
      </c>
      <c r="B2315" t="n">
        <v>0.307</v>
      </c>
      <c r="C2315" t="n">
        <v>1.205</v>
      </c>
      <c r="D2315" t="n">
        <v>-0.131</v>
      </c>
    </row>
    <row r="2316">
      <c r="A2316" t="n">
        <v>11.183</v>
      </c>
      <c r="B2316" t="n">
        <v>0.342</v>
      </c>
      <c r="C2316" t="n">
        <v>1.205</v>
      </c>
      <c r="D2316" t="n">
        <v>-0.114</v>
      </c>
    </row>
    <row r="2317">
      <c r="A2317" t="n">
        <v>11.184</v>
      </c>
      <c r="B2317" t="n">
        <v>0.359</v>
      </c>
      <c r="C2317" t="n">
        <v>1.195</v>
      </c>
      <c r="D2317" t="n">
        <v>-0.108</v>
      </c>
    </row>
    <row r="2318">
      <c r="A2318" t="n">
        <v>11.216</v>
      </c>
      <c r="B2318" t="n">
        <v>0.358</v>
      </c>
      <c r="C2318" t="n">
        <v>1.172</v>
      </c>
      <c r="D2318" t="n">
        <v>-0.09</v>
      </c>
    </row>
    <row r="2319">
      <c r="A2319" t="n">
        <v>11.217</v>
      </c>
      <c r="B2319" t="n">
        <v>0.358</v>
      </c>
      <c r="C2319" t="n">
        <v>1.172</v>
      </c>
      <c r="D2319" t="n">
        <v>-0.09</v>
      </c>
    </row>
    <row r="2320">
      <c r="A2320" t="n">
        <v>11.218</v>
      </c>
      <c r="B2320" t="n">
        <v>0.32</v>
      </c>
      <c r="C2320" t="n">
        <v>1.132</v>
      </c>
      <c r="D2320" t="n">
        <v>-0.026</v>
      </c>
    </row>
    <row r="2321">
      <c r="A2321" t="n">
        <v>11.22</v>
      </c>
      <c r="B2321" t="n">
        <v>0.284</v>
      </c>
      <c r="C2321" t="n">
        <v>1.117</v>
      </c>
      <c r="D2321" t="n">
        <v>0.004</v>
      </c>
    </row>
    <row r="2322">
      <c r="A2322" t="n">
        <v>11.221</v>
      </c>
      <c r="B2322" t="n">
        <v>0.284</v>
      </c>
      <c r="C2322" t="n">
        <v>1.117</v>
      </c>
      <c r="D2322" t="n">
        <v>0.004</v>
      </c>
    </row>
    <row r="2323">
      <c r="A2323" t="n">
        <v>11.222</v>
      </c>
      <c r="B2323" t="n">
        <v>0.151</v>
      </c>
      <c r="C2323" t="n">
        <v>1.066</v>
      </c>
      <c r="D2323" t="n">
        <v>0.037</v>
      </c>
    </row>
    <row r="2324">
      <c r="A2324" t="n">
        <v>11.223</v>
      </c>
      <c r="B2324" t="n">
        <v>0.077</v>
      </c>
      <c r="C2324" t="n">
        <v>1.038</v>
      </c>
      <c r="D2324" t="n">
        <v>0.03</v>
      </c>
    </row>
    <row r="2325">
      <c r="A2325" t="n">
        <v>11.224</v>
      </c>
      <c r="B2325" t="n">
        <v>-0.001</v>
      </c>
      <c r="C2325" t="n">
        <v>1.01</v>
      </c>
      <c r="D2325" t="n">
        <v>0.023</v>
      </c>
    </row>
    <row r="2326">
      <c r="A2326" t="n">
        <v>11.228</v>
      </c>
      <c r="B2326" t="n">
        <v>-0.065</v>
      </c>
      <c r="C2326" t="n">
        <v>0.99</v>
      </c>
      <c r="D2326" t="n">
        <v>0.015</v>
      </c>
    </row>
    <row r="2327">
      <c r="A2327" t="n">
        <v>11.233</v>
      </c>
      <c r="B2327" t="n">
        <v>-0.108</v>
      </c>
      <c r="C2327" t="n">
        <v>0.983</v>
      </c>
      <c r="D2327" t="n">
        <v>0</v>
      </c>
    </row>
    <row r="2328">
      <c r="A2328" t="n">
        <v>11.242</v>
      </c>
      <c r="B2328" t="n">
        <v>-0.112</v>
      </c>
      <c r="C2328" t="n">
        <v>0.976</v>
      </c>
      <c r="D2328" t="n">
        <v>-0.008999999999999999</v>
      </c>
    </row>
    <row r="2329">
      <c r="A2329" t="n">
        <v>11.243</v>
      </c>
      <c r="B2329" t="n">
        <v>-0.08799999999999999</v>
      </c>
      <c r="C2329" t="n">
        <v>0.978</v>
      </c>
      <c r="D2329" t="n">
        <v>-0.014</v>
      </c>
    </row>
    <row r="2330">
      <c r="A2330" t="n">
        <v>11.247</v>
      </c>
      <c r="B2330" t="n">
        <v>-0.036</v>
      </c>
      <c r="C2330" t="n">
        <v>0.977</v>
      </c>
      <c r="D2330" t="n">
        <v>0.008</v>
      </c>
    </row>
    <row r="2331">
      <c r="A2331" t="n">
        <v>11.258</v>
      </c>
      <c r="B2331" t="n">
        <v>0.018</v>
      </c>
      <c r="C2331" t="n">
        <v>0.965</v>
      </c>
      <c r="D2331" t="n">
        <v>0.036</v>
      </c>
    </row>
    <row r="2332">
      <c r="A2332" t="n">
        <v>11.259</v>
      </c>
      <c r="B2332" t="n">
        <v>0.018</v>
      </c>
      <c r="C2332" t="n">
        <v>0.965</v>
      </c>
      <c r="D2332" t="n">
        <v>0.036</v>
      </c>
    </row>
    <row r="2333">
      <c r="A2333" t="n">
        <v>11.263</v>
      </c>
      <c r="B2333" t="n">
        <v>0.11</v>
      </c>
      <c r="C2333" t="n">
        <v>0.922</v>
      </c>
      <c r="D2333" t="n">
        <v>0.152</v>
      </c>
    </row>
    <row r="2334">
      <c r="A2334" t="n">
        <v>11.267</v>
      </c>
      <c r="B2334" t="n">
        <v>0.145</v>
      </c>
      <c r="C2334" t="n">
        <v>0.906</v>
      </c>
      <c r="D2334" t="n">
        <v>0.216</v>
      </c>
    </row>
    <row r="2335">
      <c r="A2335" t="n">
        <v>11.283</v>
      </c>
      <c r="B2335" t="n">
        <v>0.172</v>
      </c>
      <c r="C2335" t="n">
        <v>0.889</v>
      </c>
      <c r="D2335" t="n">
        <v>0.272</v>
      </c>
    </row>
    <row r="2336">
      <c r="A2336" t="n">
        <v>11.284</v>
      </c>
      <c r="B2336" t="n">
        <v>0.182</v>
      </c>
      <c r="C2336" t="n">
        <v>0.873</v>
      </c>
      <c r="D2336" t="n">
        <v>0.301</v>
      </c>
    </row>
    <row r="2337">
      <c r="A2337" t="n">
        <v>11.284</v>
      </c>
      <c r="B2337" t="n">
        <v>0.178</v>
      </c>
      <c r="C2337" t="n">
        <v>0.85</v>
      </c>
      <c r="D2337" t="n">
        <v>0.313</v>
      </c>
    </row>
    <row r="2338">
      <c r="A2338" t="n">
        <v>11.342</v>
      </c>
      <c r="B2338" t="n">
        <v>0.168</v>
      </c>
      <c r="C2338" t="n">
        <v>0.825</v>
      </c>
      <c r="D2338" t="n">
        <v>0.305</v>
      </c>
    </row>
    <row r="2339">
      <c r="A2339" t="n">
        <v>11.343</v>
      </c>
      <c r="B2339" t="n">
        <v>0.168</v>
      </c>
      <c r="C2339" t="n">
        <v>0.825</v>
      </c>
      <c r="D2339" t="n">
        <v>0.305</v>
      </c>
    </row>
    <row r="2340">
      <c r="A2340" t="n">
        <v>11.343</v>
      </c>
      <c r="B2340" t="n">
        <v>0.175</v>
      </c>
      <c r="C2340" t="n">
        <v>0.8139999999999999</v>
      </c>
      <c r="D2340" t="n">
        <v>0.27</v>
      </c>
    </row>
    <row r="2341">
      <c r="A2341" t="n">
        <v>11.343</v>
      </c>
      <c r="B2341" t="n">
        <v>0.191</v>
      </c>
      <c r="C2341" t="n">
        <v>0.824</v>
      </c>
      <c r="D2341" t="n">
        <v>0.256</v>
      </c>
    </row>
    <row r="2342">
      <c r="A2342" t="n">
        <v>11.343</v>
      </c>
      <c r="B2342" t="n">
        <v>0.188</v>
      </c>
      <c r="C2342" t="n">
        <v>0.836</v>
      </c>
      <c r="D2342" t="n">
        <v>0.241</v>
      </c>
    </row>
    <row r="2343">
      <c r="A2343" t="n">
        <v>11.344</v>
      </c>
      <c r="B2343" t="n">
        <v>0.166</v>
      </c>
      <c r="C2343" t="n">
        <v>0.842</v>
      </c>
      <c r="D2343" t="n">
        <v>0.223</v>
      </c>
    </row>
    <row r="2344">
      <c r="A2344" t="n">
        <v>11.344</v>
      </c>
      <c r="B2344" t="n">
        <v>0.122</v>
      </c>
      <c r="C2344" t="n">
        <v>0.839</v>
      </c>
      <c r="D2344" t="n">
        <v>0.202</v>
      </c>
    </row>
    <row r="2345">
      <c r="A2345" t="n">
        <v>11.344</v>
      </c>
      <c r="B2345" t="n">
        <v>0.075</v>
      </c>
      <c r="C2345" t="n">
        <v>0.827</v>
      </c>
      <c r="D2345" t="n">
        <v>0.195</v>
      </c>
    </row>
    <row r="2346">
      <c r="A2346" t="n">
        <v>11.345</v>
      </c>
      <c r="B2346" t="n">
        <v>0.034</v>
      </c>
      <c r="C2346" t="n">
        <v>0.8110000000000001</v>
      </c>
      <c r="D2346" t="n">
        <v>0.208</v>
      </c>
    </row>
    <row r="2347">
      <c r="A2347" t="n">
        <v>11.345</v>
      </c>
      <c r="B2347" t="n">
        <v>-0.01</v>
      </c>
      <c r="C2347" t="n">
        <v>0.799</v>
      </c>
      <c r="D2347" t="n">
        <v>0.238</v>
      </c>
    </row>
    <row r="2348">
      <c r="A2348" t="n">
        <v>11.345</v>
      </c>
      <c r="B2348" t="n">
        <v>-0.045</v>
      </c>
      <c r="C2348" t="n">
        <v>0.798</v>
      </c>
      <c r="D2348" t="n">
        <v>0.269</v>
      </c>
    </row>
    <row r="2349">
      <c r="A2349" t="n">
        <v>11.345</v>
      </c>
      <c r="B2349" t="n">
        <v>-0.065</v>
      </c>
      <c r="C2349" t="n">
        <v>0.801</v>
      </c>
      <c r="D2349" t="n">
        <v>0.287</v>
      </c>
    </row>
    <row r="2350">
      <c r="A2350" t="n">
        <v>11.347</v>
      </c>
      <c r="B2350" t="n">
        <v>-0.07000000000000001</v>
      </c>
      <c r="C2350" t="n">
        <v>0.8139999999999999</v>
      </c>
      <c r="D2350" t="n">
        <v>0.286</v>
      </c>
    </row>
    <row r="2351">
      <c r="A2351" t="n">
        <v>11.354</v>
      </c>
      <c r="B2351" t="n">
        <v>-0.061</v>
      </c>
      <c r="C2351" t="n">
        <v>0.834</v>
      </c>
      <c r="D2351" t="n">
        <v>0.266</v>
      </c>
    </row>
    <row r="2352">
      <c r="A2352" t="n">
        <v>11.359</v>
      </c>
      <c r="B2352" t="n">
        <v>-0.036</v>
      </c>
      <c r="C2352" t="n">
        <v>0.85</v>
      </c>
      <c r="D2352" t="n">
        <v>0.233</v>
      </c>
    </row>
    <row r="2353">
      <c r="A2353" t="n">
        <v>11.364</v>
      </c>
      <c r="B2353" t="n">
        <v>-0.01</v>
      </c>
      <c r="C2353" t="n">
        <v>0.864</v>
      </c>
      <c r="D2353" t="n">
        <v>0.194</v>
      </c>
    </row>
    <row r="2354">
      <c r="A2354" t="n">
        <v>11.367</v>
      </c>
      <c r="B2354" t="n">
        <v>0.012</v>
      </c>
      <c r="C2354" t="n">
        <v>0.877</v>
      </c>
      <c r="D2354" t="n">
        <v>0.165</v>
      </c>
    </row>
    <row r="2355">
      <c r="A2355" t="n">
        <v>11.382</v>
      </c>
      <c r="B2355" t="n">
        <v>0.028</v>
      </c>
      <c r="C2355" t="n">
        <v>0.887</v>
      </c>
      <c r="D2355" t="n">
        <v>0.156</v>
      </c>
    </row>
    <row r="2356">
      <c r="A2356" t="n">
        <v>11.383</v>
      </c>
      <c r="B2356" t="n">
        <v>0.028</v>
      </c>
      <c r="C2356" t="n">
        <v>0.887</v>
      </c>
      <c r="D2356" t="n">
        <v>0.156</v>
      </c>
    </row>
    <row r="2357">
      <c r="A2357" t="n">
        <v>11.383</v>
      </c>
      <c r="B2357" t="n">
        <v>0.034</v>
      </c>
      <c r="C2357" t="n">
        <v>0.886</v>
      </c>
      <c r="D2357" t="n">
        <v>0.167</v>
      </c>
    </row>
    <row r="2358">
      <c r="A2358" t="n">
        <v>11.384</v>
      </c>
      <c r="B2358" t="n">
        <v>0.038</v>
      </c>
      <c r="C2358" t="n">
        <v>0.884</v>
      </c>
      <c r="D2358" t="n">
        <v>0.185</v>
      </c>
    </row>
    <row r="2359">
      <c r="A2359" t="n">
        <v>11.416</v>
      </c>
      <c r="B2359" t="n">
        <v>0.042</v>
      </c>
      <c r="C2359" t="n">
        <v>0.884</v>
      </c>
      <c r="D2359" t="n">
        <v>0.2</v>
      </c>
    </row>
    <row r="2360">
      <c r="A2360" t="n">
        <v>11.416</v>
      </c>
      <c r="B2360" t="n">
        <v>0.042</v>
      </c>
      <c r="C2360" t="n">
        <v>0.884</v>
      </c>
      <c r="D2360" t="n">
        <v>0.2</v>
      </c>
    </row>
    <row r="2361">
      <c r="A2361" t="n">
        <v>11.417</v>
      </c>
      <c r="B2361" t="n">
        <v>0.051</v>
      </c>
      <c r="C2361" t="n">
        <v>0.888</v>
      </c>
      <c r="D2361" t="n">
        <v>0.203</v>
      </c>
    </row>
    <row r="2362">
      <c r="A2362" t="n">
        <v>11.417</v>
      </c>
      <c r="B2362" t="n">
        <v>0.051</v>
      </c>
      <c r="C2362" t="n">
        <v>0.888</v>
      </c>
      <c r="D2362" t="n">
        <v>0.203</v>
      </c>
    </row>
    <row r="2363">
      <c r="A2363" t="n">
        <v>11.417</v>
      </c>
      <c r="B2363" t="n">
        <v>0.057</v>
      </c>
      <c r="C2363" t="n">
        <v>0.903</v>
      </c>
      <c r="D2363" t="n">
        <v>0.169</v>
      </c>
    </row>
    <row r="2364">
      <c r="A2364" t="n">
        <v>11.418</v>
      </c>
      <c r="B2364" t="n">
        <v>0.066</v>
      </c>
      <c r="C2364" t="n">
        <v>0.903</v>
      </c>
      <c r="D2364" t="n">
        <v>0.154</v>
      </c>
    </row>
    <row r="2365">
      <c r="A2365" t="n">
        <v>11.418</v>
      </c>
      <c r="B2365" t="n">
        <v>0.065</v>
      </c>
      <c r="C2365" t="n">
        <v>0.901</v>
      </c>
      <c r="D2365" t="n">
        <v>0.139</v>
      </c>
    </row>
    <row r="2366">
      <c r="A2366" t="n">
        <v>11.418</v>
      </c>
      <c r="B2366" t="n">
        <v>0.061</v>
      </c>
      <c r="C2366" t="n">
        <v>0.903</v>
      </c>
      <c r="D2366" t="n">
        <v>0.129</v>
      </c>
    </row>
    <row r="2367">
      <c r="A2367" t="n">
        <v>11.426</v>
      </c>
      <c r="B2367" t="n">
        <v>0.053</v>
      </c>
      <c r="C2367" t="n">
        <v>0.908</v>
      </c>
      <c r="D2367" t="n">
        <v>0.134</v>
      </c>
    </row>
    <row r="2368">
      <c r="A2368" t="n">
        <v>11.427</v>
      </c>
      <c r="B2368" t="n">
        <v>0.056</v>
      </c>
      <c r="C2368" t="n">
        <v>0.923</v>
      </c>
      <c r="D2368" t="n">
        <v>0.136</v>
      </c>
    </row>
    <row r="2369">
      <c r="A2369" t="n">
        <v>11.433</v>
      </c>
      <c r="B2369" t="n">
        <v>0.067</v>
      </c>
      <c r="C2369" t="n">
        <v>0.9429999999999999</v>
      </c>
      <c r="D2369" t="n">
        <v>0.123</v>
      </c>
    </row>
    <row r="2370">
      <c r="A2370" t="n">
        <v>11.44</v>
      </c>
      <c r="B2370" t="n">
        <v>0.083</v>
      </c>
      <c r="C2370" t="n">
        <v>0.958</v>
      </c>
      <c r="D2370" t="n">
        <v>0.104</v>
      </c>
    </row>
    <row r="2371">
      <c r="A2371" t="n">
        <v>11.443</v>
      </c>
      <c r="B2371" t="n">
        <v>0.109</v>
      </c>
      <c r="C2371" t="n">
        <v>0.97</v>
      </c>
      <c r="D2371" t="n">
        <v>0.083</v>
      </c>
    </row>
    <row r="2372">
      <c r="A2372" t="n">
        <v>11.448</v>
      </c>
      <c r="B2372" t="n">
        <v>0.134</v>
      </c>
      <c r="C2372" t="n">
        <v>0.981</v>
      </c>
      <c r="D2372" t="n">
        <v>0.07099999999999999</v>
      </c>
    </row>
    <row r="2373">
      <c r="A2373" t="n">
        <v>11.453</v>
      </c>
      <c r="B2373" t="n">
        <v>0.154</v>
      </c>
      <c r="C2373" t="n">
        <v>0.988</v>
      </c>
      <c r="D2373" t="n">
        <v>0.07000000000000001</v>
      </c>
    </row>
    <row r="2374">
      <c r="A2374" t="n">
        <v>11.458</v>
      </c>
      <c r="B2374" t="n">
        <v>0.161</v>
      </c>
      <c r="C2374" t="n">
        <v>0.99</v>
      </c>
      <c r="D2374" t="n">
        <v>0.079</v>
      </c>
    </row>
    <row r="2375">
      <c r="A2375" t="n">
        <v>11.463</v>
      </c>
      <c r="B2375" t="n">
        <v>0.157</v>
      </c>
      <c r="C2375" t="n">
        <v>0.987</v>
      </c>
      <c r="D2375" t="n">
        <v>0.094</v>
      </c>
    </row>
    <row r="2376">
      <c r="A2376" t="n">
        <v>11.467</v>
      </c>
      <c r="B2376" t="n">
        <v>0.146</v>
      </c>
      <c r="C2376" t="n">
        <v>0.978</v>
      </c>
      <c r="D2376" t="n">
        <v>0.111</v>
      </c>
    </row>
    <row r="2377">
      <c r="A2377" t="n">
        <v>11.494</v>
      </c>
      <c r="B2377" t="n">
        <v>0.145</v>
      </c>
      <c r="C2377" t="n">
        <v>0.977</v>
      </c>
      <c r="D2377" t="n">
        <v>0.126</v>
      </c>
    </row>
    <row r="2378">
      <c r="A2378" t="n">
        <v>11.495</v>
      </c>
      <c r="B2378" t="n">
        <v>0.145</v>
      </c>
      <c r="C2378" t="n">
        <v>0.977</v>
      </c>
      <c r="D2378" t="n">
        <v>0.126</v>
      </c>
    </row>
    <row r="2379">
      <c r="A2379" t="n">
        <v>11.496</v>
      </c>
      <c r="B2379" t="n">
        <v>0.145</v>
      </c>
      <c r="C2379" t="n">
        <v>0.977</v>
      </c>
      <c r="D2379" t="n">
        <v>0.126</v>
      </c>
    </row>
    <row r="2380">
      <c r="A2380" t="n">
        <v>11.496</v>
      </c>
      <c r="B2380" t="n">
        <v>0.133</v>
      </c>
      <c r="C2380" t="n">
        <v>0.976</v>
      </c>
      <c r="D2380" t="n">
        <v>0.142</v>
      </c>
    </row>
    <row r="2381">
      <c r="A2381" t="n">
        <v>11.498</v>
      </c>
      <c r="B2381" t="n">
        <v>0.111</v>
      </c>
      <c r="C2381" t="n">
        <v>0.97</v>
      </c>
      <c r="D2381" t="n">
        <v>0.139</v>
      </c>
    </row>
    <row r="2382">
      <c r="A2382" t="n">
        <v>11.499</v>
      </c>
      <c r="B2382" t="n">
        <v>0.111</v>
      </c>
      <c r="C2382" t="n">
        <v>0.97</v>
      </c>
      <c r="D2382" t="n">
        <v>0.139</v>
      </c>
    </row>
    <row r="2383">
      <c r="A2383" t="n">
        <v>11.5</v>
      </c>
      <c r="B2383" t="n">
        <v>0.08699999999999999</v>
      </c>
      <c r="C2383" t="n">
        <v>0.961</v>
      </c>
      <c r="D2383" t="n">
        <v>0.131</v>
      </c>
    </row>
    <row r="2384">
      <c r="A2384" t="n">
        <v>11.505</v>
      </c>
      <c r="B2384" t="n">
        <v>0.099</v>
      </c>
      <c r="C2384" t="n">
        <v>0.967</v>
      </c>
      <c r="D2384" t="n">
        <v>0.136</v>
      </c>
    </row>
    <row r="2385">
      <c r="A2385" t="n">
        <v>11.543</v>
      </c>
      <c r="B2385" t="n">
        <v>0.118</v>
      </c>
      <c r="C2385" t="n">
        <v>0.981</v>
      </c>
      <c r="D2385" t="n">
        <v>0.137</v>
      </c>
    </row>
    <row r="2386">
      <c r="A2386" t="n">
        <v>11.544</v>
      </c>
      <c r="B2386" t="n">
        <v>0.132</v>
      </c>
      <c r="C2386" t="n">
        <v>0.994</v>
      </c>
      <c r="D2386" t="n">
        <v>0.131</v>
      </c>
    </row>
    <row r="2387">
      <c r="A2387" t="n">
        <v>11.545</v>
      </c>
      <c r="B2387" t="n">
        <v>0.137</v>
      </c>
      <c r="C2387" t="n">
        <v>1.002</v>
      </c>
      <c r="D2387" t="n">
        <v>0.119</v>
      </c>
    </row>
    <row r="2388">
      <c r="A2388" t="n">
        <v>11.545</v>
      </c>
      <c r="B2388" t="n">
        <v>0.138</v>
      </c>
      <c r="C2388" t="n">
        <v>1.011</v>
      </c>
      <c r="D2388" t="n">
        <v>0.091</v>
      </c>
    </row>
    <row r="2389">
      <c r="A2389" t="n">
        <v>11.546</v>
      </c>
      <c r="B2389" t="n">
        <v>0.135</v>
      </c>
      <c r="C2389" t="n">
        <v>1.019</v>
      </c>
      <c r="D2389" t="n">
        <v>0.059</v>
      </c>
    </row>
    <row r="2390">
      <c r="A2390" t="n">
        <v>11.547</v>
      </c>
      <c r="B2390" t="n">
        <v>0.137</v>
      </c>
      <c r="C2390" t="n">
        <v>1.03</v>
      </c>
      <c r="D2390" t="n">
        <v>0.04</v>
      </c>
    </row>
    <row r="2391">
      <c r="A2391" t="n">
        <v>11.547</v>
      </c>
      <c r="B2391" t="n">
        <v>0.141</v>
      </c>
      <c r="C2391" t="n">
        <v>1.037</v>
      </c>
      <c r="D2391" t="n">
        <v>0.031</v>
      </c>
    </row>
    <row r="2392">
      <c r="A2392" t="n">
        <v>11.548</v>
      </c>
      <c r="B2392" t="n">
        <v>0.142</v>
      </c>
      <c r="C2392" t="n">
        <v>1.047</v>
      </c>
      <c r="D2392" t="n">
        <v>0.017</v>
      </c>
    </row>
    <row r="2393">
      <c r="A2393" t="n">
        <v>11.549</v>
      </c>
      <c r="B2393" t="n">
        <v>0.139</v>
      </c>
      <c r="C2393" t="n">
        <v>1.055</v>
      </c>
      <c r="D2393" t="n">
        <v>0.008999999999999999</v>
      </c>
    </row>
    <row r="2394">
      <c r="A2394" t="n">
        <v>11.553</v>
      </c>
      <c r="B2394" t="n">
        <v>0.135</v>
      </c>
      <c r="C2394" t="n">
        <v>1.059</v>
      </c>
      <c r="D2394" t="n">
        <v>-0.002</v>
      </c>
    </row>
    <row r="2395">
      <c r="A2395" t="n">
        <v>11.559</v>
      </c>
      <c r="B2395" t="n">
        <v>0.142</v>
      </c>
      <c r="C2395" t="n">
        <v>1.064</v>
      </c>
      <c r="D2395" t="n">
        <v>-0.011</v>
      </c>
    </row>
    <row r="2396">
      <c r="A2396" t="n">
        <v>11.563</v>
      </c>
      <c r="B2396" t="n">
        <v>0.142</v>
      </c>
      <c r="C2396" t="n">
        <v>1.064</v>
      </c>
      <c r="D2396" t="n">
        <v>-0.011</v>
      </c>
    </row>
    <row r="2397">
      <c r="A2397" t="n">
        <v>11.567</v>
      </c>
      <c r="B2397" t="n">
        <v>0.151</v>
      </c>
      <c r="C2397" t="n">
        <v>1.065</v>
      </c>
      <c r="D2397" t="n">
        <v>-0.013</v>
      </c>
    </row>
    <row r="2398">
      <c r="A2398" t="n">
        <v>11.582</v>
      </c>
      <c r="B2398" t="n">
        <v>0.158</v>
      </c>
      <c r="C2398" t="n">
        <v>1.062</v>
      </c>
      <c r="D2398" t="n">
        <v>-0.005</v>
      </c>
    </row>
    <row r="2399">
      <c r="A2399" t="n">
        <v>11.583</v>
      </c>
      <c r="B2399" t="n">
        <v>0.158</v>
      </c>
      <c r="C2399" t="n">
        <v>1.062</v>
      </c>
      <c r="D2399" t="n">
        <v>-0.005</v>
      </c>
    </row>
    <row r="2400">
      <c r="A2400" t="n">
        <v>11.584</v>
      </c>
      <c r="B2400" t="n">
        <v>0.135</v>
      </c>
      <c r="C2400" t="n">
        <v>1.039</v>
      </c>
      <c r="D2400" t="n">
        <v>0.033</v>
      </c>
    </row>
    <row r="2401">
      <c r="A2401" t="n">
        <v>11.616</v>
      </c>
      <c r="B2401" t="n">
        <v>0.125</v>
      </c>
      <c r="C2401" t="n">
        <v>1.026</v>
      </c>
      <c r="D2401" t="n">
        <v>0.064</v>
      </c>
    </row>
    <row r="2402">
      <c r="A2402" t="n">
        <v>11.623</v>
      </c>
      <c r="B2402" t="n">
        <v>0.126</v>
      </c>
      <c r="C2402" t="n">
        <v>1.02</v>
      </c>
      <c r="D2402" t="n">
        <v>0.094</v>
      </c>
    </row>
    <row r="2403">
      <c r="A2403" t="n">
        <v>11.624</v>
      </c>
      <c r="B2403" t="n">
        <v>0.126</v>
      </c>
      <c r="C2403" t="n">
        <v>1.02</v>
      </c>
      <c r="D2403" t="n">
        <v>0.094</v>
      </c>
    </row>
    <row r="2404">
      <c r="A2404" t="n">
        <v>11.624</v>
      </c>
      <c r="B2404" t="n">
        <v>0.126</v>
      </c>
      <c r="C2404" t="n">
        <v>1.02</v>
      </c>
      <c r="D2404" t="n">
        <v>0.094</v>
      </c>
    </row>
    <row r="2405">
      <c r="A2405" t="n">
        <v>11.624</v>
      </c>
      <c r="B2405" t="n">
        <v>0.128</v>
      </c>
      <c r="C2405" t="n">
        <v>1.021</v>
      </c>
      <c r="D2405" t="n">
        <v>0.116</v>
      </c>
    </row>
    <row r="2406">
      <c r="A2406" t="n">
        <v>11.624</v>
      </c>
      <c r="B2406" t="n">
        <v>0.128</v>
      </c>
      <c r="C2406" t="n">
        <v>1.024</v>
      </c>
      <c r="D2406" t="n">
        <v>0.107</v>
      </c>
    </row>
    <row r="2407">
      <c r="A2407" t="n">
        <v>11.625</v>
      </c>
      <c r="B2407" t="n">
        <v>0.13</v>
      </c>
      <c r="C2407" t="n">
        <v>1.027</v>
      </c>
      <c r="D2407" t="n">
        <v>0.092</v>
      </c>
    </row>
    <row r="2408">
      <c r="A2408" t="n">
        <v>11.625</v>
      </c>
      <c r="B2408" t="n">
        <v>0.131</v>
      </c>
      <c r="C2408" t="n">
        <v>1.036</v>
      </c>
      <c r="D2408" t="n">
        <v>0.079</v>
      </c>
    </row>
    <row r="2409">
      <c r="A2409" t="n">
        <v>11.629</v>
      </c>
      <c r="B2409" t="n">
        <v>0.134</v>
      </c>
      <c r="C2409" t="n">
        <v>1.047</v>
      </c>
      <c r="D2409" t="n">
        <v>0.073</v>
      </c>
    </row>
    <row r="2410">
      <c r="A2410" t="n">
        <v>11.629</v>
      </c>
      <c r="B2410" t="n">
        <v>0.134</v>
      </c>
      <c r="C2410" t="n">
        <v>1.047</v>
      </c>
      <c r="D2410" t="n">
        <v>0.073</v>
      </c>
    </row>
    <row r="2411">
      <c r="A2411" t="n">
        <v>11.633</v>
      </c>
      <c r="B2411" t="n">
        <v>0.145</v>
      </c>
      <c r="C2411" t="n">
        <v>1.062</v>
      </c>
      <c r="D2411" t="n">
        <v>0.053</v>
      </c>
    </row>
    <row r="2412">
      <c r="A2412" t="n">
        <v>11.64</v>
      </c>
      <c r="B2412" t="n">
        <v>0.147</v>
      </c>
      <c r="C2412" t="n">
        <v>1.068</v>
      </c>
      <c r="D2412" t="n">
        <v>0.045</v>
      </c>
    </row>
    <row r="2413">
      <c r="A2413" t="n">
        <v>11.643</v>
      </c>
      <c r="B2413" t="n">
        <v>0.144</v>
      </c>
      <c r="C2413" t="n">
        <v>1.069</v>
      </c>
      <c r="D2413" t="n">
        <v>0.038</v>
      </c>
    </row>
    <row r="2414">
      <c r="A2414" t="n">
        <v>11.648</v>
      </c>
      <c r="B2414" t="n">
        <v>0.143</v>
      </c>
      <c r="C2414" t="n">
        <v>1.068</v>
      </c>
      <c r="D2414" t="n">
        <v>0.029</v>
      </c>
    </row>
    <row r="2415">
      <c r="A2415" t="n">
        <v>11.653</v>
      </c>
      <c r="B2415" t="n">
        <v>0.147</v>
      </c>
      <c r="C2415" t="n">
        <v>1.072</v>
      </c>
      <c r="D2415" t="n">
        <v>0.028</v>
      </c>
    </row>
    <row r="2416">
      <c r="A2416" t="n">
        <v>11.657</v>
      </c>
      <c r="B2416" t="n">
        <v>0.153</v>
      </c>
      <c r="C2416" t="n">
        <v>1.077</v>
      </c>
      <c r="D2416" t="n">
        <v>0.025</v>
      </c>
    </row>
    <row r="2417">
      <c r="A2417" t="n">
        <v>11.663</v>
      </c>
      <c r="B2417" t="n">
        <v>0.16</v>
      </c>
      <c r="C2417" t="n">
        <v>1.083</v>
      </c>
      <c r="D2417" t="n">
        <v>0.027</v>
      </c>
    </row>
    <row r="2418">
      <c r="A2418" t="n">
        <v>11.667</v>
      </c>
      <c r="B2418" t="n">
        <v>0.165</v>
      </c>
      <c r="C2418" t="n">
        <v>1.085</v>
      </c>
      <c r="D2418" t="n">
        <v>0.027</v>
      </c>
    </row>
    <row r="2419">
      <c r="A2419" t="n">
        <v>11.686</v>
      </c>
      <c r="B2419" t="n">
        <v>0.17</v>
      </c>
      <c r="C2419" t="n">
        <v>1.086</v>
      </c>
      <c r="D2419" t="n">
        <v>0.027</v>
      </c>
    </row>
    <row r="2420">
      <c r="A2420" t="n">
        <v>11.688</v>
      </c>
      <c r="B2420" t="n">
        <v>0.17</v>
      </c>
      <c r="C2420" t="n">
        <v>1.085</v>
      </c>
      <c r="D2420" t="n">
        <v>0.028</v>
      </c>
    </row>
    <row r="2421">
      <c r="A2421" t="n">
        <v>11.69</v>
      </c>
      <c r="B2421" t="n">
        <v>0.163</v>
      </c>
      <c r="C2421" t="n">
        <v>1.084</v>
      </c>
      <c r="D2421" t="n">
        <v>0.03</v>
      </c>
    </row>
    <row r="2422">
      <c r="A2422" t="n">
        <v>11.742</v>
      </c>
      <c r="B2422" t="n">
        <v>0.155</v>
      </c>
      <c r="C2422" t="n">
        <v>1.082</v>
      </c>
      <c r="D2422" t="n">
        <v>0.038</v>
      </c>
    </row>
    <row r="2423">
      <c r="A2423" t="n">
        <v>11.743</v>
      </c>
      <c r="B2423" t="n">
        <v>0.155</v>
      </c>
      <c r="C2423" t="n">
        <v>1.082</v>
      </c>
      <c r="D2423" t="n">
        <v>0.038</v>
      </c>
    </row>
    <row r="2424">
      <c r="A2424" t="n">
        <v>11.744</v>
      </c>
      <c r="B2424" t="n">
        <v>0.152</v>
      </c>
      <c r="C2424" t="n">
        <v>1.083</v>
      </c>
      <c r="D2424" t="n">
        <v>0.043</v>
      </c>
    </row>
    <row r="2425">
      <c r="A2425" t="n">
        <v>11.744</v>
      </c>
      <c r="B2425" t="n">
        <v>0.129</v>
      </c>
      <c r="C2425" t="n">
        <v>1.08</v>
      </c>
      <c r="D2425" t="n">
        <v>0.052</v>
      </c>
    </row>
    <row r="2426">
      <c r="A2426" t="n">
        <v>11.745</v>
      </c>
      <c r="B2426" t="n">
        <v>0.105</v>
      </c>
      <c r="C2426" t="n">
        <v>1.068</v>
      </c>
      <c r="D2426" t="n">
        <v>0.061</v>
      </c>
    </row>
    <row r="2427">
      <c r="A2427" t="n">
        <v>11.746</v>
      </c>
      <c r="B2427" t="n">
        <v>0.105</v>
      </c>
      <c r="C2427" t="n">
        <v>1.068</v>
      </c>
      <c r="D2427" t="n">
        <v>0.061</v>
      </c>
    </row>
    <row r="2428">
      <c r="A2428" t="n">
        <v>11.746</v>
      </c>
      <c r="B2428" t="n">
        <v>0.055</v>
      </c>
      <c r="C2428" t="n">
        <v>1.046</v>
      </c>
      <c r="D2428" t="n">
        <v>0.07199999999999999</v>
      </c>
    </row>
    <row r="2429">
      <c r="A2429" t="n">
        <v>11.747</v>
      </c>
      <c r="B2429" t="n">
        <v>0.05</v>
      </c>
      <c r="C2429" t="n">
        <v>1.041</v>
      </c>
      <c r="D2429" t="n">
        <v>0.075</v>
      </c>
    </row>
    <row r="2430">
      <c r="A2430" t="n">
        <v>11.748</v>
      </c>
      <c r="B2430" t="n">
        <v>0.055</v>
      </c>
      <c r="C2430" t="n">
        <v>1.046</v>
      </c>
      <c r="D2430" t="n">
        <v>0.079</v>
      </c>
    </row>
    <row r="2431">
      <c r="A2431" t="n">
        <v>11.748</v>
      </c>
      <c r="B2431" t="n">
        <v>0.065</v>
      </c>
      <c r="C2431" t="n">
        <v>1.053</v>
      </c>
      <c r="D2431" t="n">
        <v>0.079</v>
      </c>
    </row>
    <row r="2432">
      <c r="A2432" t="n">
        <v>11.749</v>
      </c>
      <c r="B2432" t="n">
        <v>0.075</v>
      </c>
      <c r="C2432" t="n">
        <v>1.057</v>
      </c>
      <c r="D2432" t="n">
        <v>0.066</v>
      </c>
    </row>
    <row r="2433">
      <c r="A2433" t="n">
        <v>11.749</v>
      </c>
      <c r="B2433" t="n">
        <v>0.08</v>
      </c>
      <c r="C2433" t="n">
        <v>1.06</v>
      </c>
      <c r="D2433" t="n">
        <v>0.042</v>
      </c>
    </row>
    <row r="2434">
      <c r="A2434" t="n">
        <v>11.749</v>
      </c>
      <c r="B2434" t="n">
        <v>0.082</v>
      </c>
      <c r="C2434" t="n">
        <v>1.056</v>
      </c>
      <c r="D2434" t="n">
        <v>0.023</v>
      </c>
    </row>
    <row r="2435">
      <c r="A2435" t="n">
        <v>11.753</v>
      </c>
      <c r="B2435" t="n">
        <v>0.08699999999999999</v>
      </c>
      <c r="C2435" t="n">
        <v>1.052</v>
      </c>
      <c r="D2435" t="n">
        <v>0.011</v>
      </c>
    </row>
    <row r="2436">
      <c r="A2436" t="n">
        <v>11.759</v>
      </c>
      <c r="B2436" t="n">
        <v>0.091</v>
      </c>
      <c r="C2436" t="n">
        <v>1.047</v>
      </c>
      <c r="D2436" t="n">
        <v>0.007</v>
      </c>
    </row>
    <row r="2437">
      <c r="A2437" t="n">
        <v>11.763</v>
      </c>
      <c r="B2437" t="n">
        <v>0.091</v>
      </c>
      <c r="C2437" t="n">
        <v>1.04</v>
      </c>
      <c r="D2437" t="n">
        <v>0.013</v>
      </c>
    </row>
    <row r="2438">
      <c r="A2438" t="n">
        <v>11.767</v>
      </c>
      <c r="B2438" t="n">
        <v>0.08799999999999999</v>
      </c>
      <c r="C2438" t="n">
        <v>1.038</v>
      </c>
      <c r="D2438" t="n">
        <v>0.015</v>
      </c>
    </row>
    <row r="2439">
      <c r="A2439" t="n">
        <v>11.776</v>
      </c>
      <c r="B2439" t="n">
        <v>0.083</v>
      </c>
      <c r="C2439" t="n">
        <v>1.034</v>
      </c>
      <c r="D2439" t="n">
        <v>0.015</v>
      </c>
    </row>
    <row r="2440">
      <c r="A2440" t="n">
        <v>11.777</v>
      </c>
      <c r="B2440" t="n">
        <v>0.083</v>
      </c>
      <c r="C2440" t="n">
        <v>1.034</v>
      </c>
      <c r="D2440" t="n">
        <v>0.015</v>
      </c>
    </row>
    <row r="2441">
      <c r="A2441" t="n">
        <v>11.778</v>
      </c>
      <c r="B2441" t="n">
        <v>0.078</v>
      </c>
      <c r="C2441" t="n">
        <v>1.03</v>
      </c>
      <c r="D2441" t="n">
        <v>0.01</v>
      </c>
    </row>
    <row r="2442">
      <c r="A2442" t="n">
        <v>11.783</v>
      </c>
      <c r="B2442" t="n">
        <v>0.074</v>
      </c>
      <c r="C2442" t="n">
        <v>1.024</v>
      </c>
      <c r="D2442" t="n">
        <v>0.003</v>
      </c>
    </row>
    <row r="2443">
      <c r="A2443" t="n">
        <v>11.788</v>
      </c>
      <c r="B2443" t="n">
        <v>0.07099999999999999</v>
      </c>
      <c r="C2443" t="n">
        <v>1.024</v>
      </c>
      <c r="D2443" t="n">
        <v>0</v>
      </c>
    </row>
    <row r="2444">
      <c r="A2444" t="n">
        <v>11.802</v>
      </c>
      <c r="B2444" t="n">
        <v>0.065</v>
      </c>
      <c r="C2444" t="n">
        <v>1.025</v>
      </c>
      <c r="D2444" t="n">
        <v>-0.012</v>
      </c>
    </row>
    <row r="2445">
      <c r="A2445" t="n">
        <v>11.804</v>
      </c>
      <c r="B2445" t="n">
        <v>0.061</v>
      </c>
      <c r="C2445" t="n">
        <v>1.027</v>
      </c>
      <c r="D2445" t="n">
        <v>-0.022</v>
      </c>
    </row>
    <row r="2446">
      <c r="A2446" t="n">
        <v>11.841</v>
      </c>
      <c r="B2446" t="n">
        <v>0.06</v>
      </c>
      <c r="C2446" t="n">
        <v>1.028</v>
      </c>
      <c r="D2446" t="n">
        <v>-0.031</v>
      </c>
    </row>
    <row r="2447">
      <c r="A2447" t="n">
        <v>11.841</v>
      </c>
      <c r="B2447" t="n">
        <v>0.06</v>
      </c>
      <c r="C2447" t="n">
        <v>1.028</v>
      </c>
      <c r="D2447" t="n">
        <v>-0.031</v>
      </c>
    </row>
    <row r="2448">
      <c r="A2448" t="n">
        <v>11.842</v>
      </c>
      <c r="B2448" t="n">
        <v>0.053</v>
      </c>
      <c r="C2448" t="n">
        <v>1.02</v>
      </c>
      <c r="D2448" t="n">
        <v>-0.029</v>
      </c>
    </row>
    <row r="2449">
      <c r="A2449" t="n">
        <v>11.842</v>
      </c>
      <c r="B2449" t="n">
        <v>0.053</v>
      </c>
      <c r="C2449" t="n">
        <v>1.013</v>
      </c>
      <c r="D2449" t="n">
        <v>-0.019</v>
      </c>
    </row>
    <row r="2450">
      <c r="A2450" t="n">
        <v>11.842</v>
      </c>
      <c r="B2450" t="n">
        <v>0.051</v>
      </c>
      <c r="C2450" t="n">
        <v>1.004</v>
      </c>
      <c r="D2450" t="n">
        <v>-0.003</v>
      </c>
    </row>
    <row r="2451">
      <c r="A2451" t="n">
        <v>11.843</v>
      </c>
      <c r="B2451" t="n">
        <v>0.052</v>
      </c>
      <c r="C2451" t="n">
        <v>0.994</v>
      </c>
      <c r="D2451" t="n">
        <v>0.01</v>
      </c>
    </row>
    <row r="2452">
      <c r="A2452" t="n">
        <v>11.843</v>
      </c>
      <c r="B2452" t="n">
        <v>0.052</v>
      </c>
      <c r="C2452" t="n">
        <v>0.987</v>
      </c>
      <c r="D2452" t="n">
        <v>0.022</v>
      </c>
    </row>
    <row r="2453">
      <c r="A2453" t="n">
        <v>11.843</v>
      </c>
      <c r="B2453" t="n">
        <v>0.06</v>
      </c>
      <c r="C2453" t="n">
        <v>0.982</v>
      </c>
      <c r="D2453" t="n">
        <v>0.031</v>
      </c>
    </row>
    <row r="2454">
      <c r="A2454" t="n">
        <v>11.843</v>
      </c>
      <c r="B2454" t="n">
        <v>0.068</v>
      </c>
      <c r="C2454" t="n">
        <v>0.976</v>
      </c>
      <c r="D2454" t="n">
        <v>0.043</v>
      </c>
    </row>
    <row r="2455">
      <c r="A2455" t="n">
        <v>11.847</v>
      </c>
      <c r="B2455" t="n">
        <v>0.074</v>
      </c>
      <c r="C2455" t="n">
        <v>0.971</v>
      </c>
      <c r="D2455" t="n">
        <v>0.048</v>
      </c>
    </row>
    <row r="2456">
      <c r="A2456" t="n">
        <v>11.853</v>
      </c>
      <c r="B2456" t="n">
        <v>0.08</v>
      </c>
      <c r="C2456" t="n">
        <v>0.964</v>
      </c>
      <c r="D2456" t="n">
        <v>0.055</v>
      </c>
    </row>
    <row r="2457">
      <c r="A2457" t="n">
        <v>11.858</v>
      </c>
      <c r="B2457" t="n">
        <v>0.08799999999999999</v>
      </c>
      <c r="C2457" t="n">
        <v>0.961</v>
      </c>
      <c r="D2457" t="n">
        <v>0.059</v>
      </c>
    </row>
    <row r="2458">
      <c r="A2458" t="n">
        <v>11.863</v>
      </c>
      <c r="B2458" t="n">
        <v>0.098</v>
      </c>
      <c r="C2458" t="n">
        <v>0.958</v>
      </c>
      <c r="D2458" t="n">
        <v>0.058</v>
      </c>
    </row>
    <row r="2459">
      <c r="A2459" t="n">
        <v>11.867</v>
      </c>
      <c r="B2459" t="n">
        <v>0.102</v>
      </c>
      <c r="C2459" t="n">
        <v>0.958</v>
      </c>
      <c r="D2459" t="n">
        <v>0.056</v>
      </c>
    </row>
    <row r="2460">
      <c r="A2460" t="n">
        <v>11.9</v>
      </c>
      <c r="B2460" t="n">
        <v>0.108</v>
      </c>
      <c r="C2460" t="n">
        <v>0.958</v>
      </c>
      <c r="D2460" t="n">
        <v>0.057</v>
      </c>
    </row>
    <row r="2461">
      <c r="A2461" t="n">
        <v>11.902</v>
      </c>
      <c r="B2461" t="n">
        <v>0.108</v>
      </c>
      <c r="C2461" t="n">
        <v>0.958</v>
      </c>
      <c r="D2461" t="n">
        <v>0.057</v>
      </c>
    </row>
    <row r="2462">
      <c r="A2462" t="n">
        <v>11.903</v>
      </c>
      <c r="B2462" t="n">
        <v>0.108</v>
      </c>
      <c r="C2462" t="n">
        <v>0.958</v>
      </c>
      <c r="D2462" t="n">
        <v>0.057</v>
      </c>
    </row>
    <row r="2463">
      <c r="A2463" t="n">
        <v>11.904</v>
      </c>
      <c r="B2463" t="n">
        <v>0.118</v>
      </c>
      <c r="C2463" t="n">
        <v>0.961</v>
      </c>
      <c r="D2463" t="n">
        <v>0.068</v>
      </c>
    </row>
    <row r="2464">
      <c r="A2464" t="n">
        <v>11.905</v>
      </c>
      <c r="B2464" t="n">
        <v>0.125</v>
      </c>
      <c r="C2464" t="n">
        <v>0.962</v>
      </c>
      <c r="D2464" t="n">
        <v>0.08</v>
      </c>
    </row>
    <row r="2465">
      <c r="A2465" t="n">
        <v>11.907</v>
      </c>
      <c r="B2465" t="n">
        <v>0.126</v>
      </c>
      <c r="C2465" t="n">
        <v>0.959</v>
      </c>
      <c r="D2465" t="n">
        <v>0.094</v>
      </c>
    </row>
    <row r="2466">
      <c r="A2466" t="n">
        <v>11.908</v>
      </c>
      <c r="B2466" t="n">
        <v>0.129</v>
      </c>
      <c r="C2466" t="n">
        <v>0.955</v>
      </c>
      <c r="D2466" t="n">
        <v>0.105</v>
      </c>
    </row>
    <row r="2467">
      <c r="A2467" t="n">
        <v>11.909</v>
      </c>
      <c r="B2467" t="n">
        <v>0.127</v>
      </c>
      <c r="C2467" t="n">
        <v>0.949</v>
      </c>
      <c r="D2467" t="n">
        <v>0.117</v>
      </c>
    </row>
    <row r="2468">
      <c r="A2468" t="n">
        <v>11.911</v>
      </c>
      <c r="B2468" t="n">
        <v>0.126</v>
      </c>
      <c r="C2468" t="n">
        <v>0.9429999999999999</v>
      </c>
      <c r="D2468" t="n">
        <v>0.133</v>
      </c>
    </row>
    <row r="2469">
      <c r="A2469" t="n">
        <v>11.945</v>
      </c>
      <c r="B2469" t="n">
        <v>0.119</v>
      </c>
      <c r="C2469" t="n">
        <v>0.9399999999999999</v>
      </c>
      <c r="D2469" t="n">
        <v>0.15</v>
      </c>
    </row>
    <row r="2470">
      <c r="A2470" t="n">
        <v>11.947</v>
      </c>
      <c r="B2470" t="n">
        <v>0.114</v>
      </c>
      <c r="C2470" t="n">
        <v>0.9389999999999999</v>
      </c>
      <c r="D2470" t="n">
        <v>0.161</v>
      </c>
    </row>
    <row r="2471">
      <c r="A2471" t="n">
        <v>11.947</v>
      </c>
      <c r="B2471" t="n">
        <v>0.109</v>
      </c>
      <c r="C2471" t="n">
        <v>0.9370000000000001</v>
      </c>
      <c r="D2471" t="n">
        <v>0.174</v>
      </c>
    </row>
    <row r="2472">
      <c r="A2472" t="n">
        <v>11.948</v>
      </c>
      <c r="B2472" t="n">
        <v>0.105</v>
      </c>
      <c r="C2472" t="n">
        <v>0.931</v>
      </c>
      <c r="D2472" t="n">
        <v>0.18</v>
      </c>
    </row>
    <row r="2473">
      <c r="A2473" t="n">
        <v>11.949</v>
      </c>
      <c r="B2473" t="n">
        <v>0.101</v>
      </c>
      <c r="C2473" t="n">
        <v>0.93</v>
      </c>
      <c r="D2473" t="n">
        <v>0.178</v>
      </c>
    </row>
    <row r="2474">
      <c r="A2474" t="n">
        <v>11.95</v>
      </c>
      <c r="B2474" t="n">
        <v>0.091</v>
      </c>
      <c r="C2474" t="n">
        <v>0.931</v>
      </c>
      <c r="D2474" t="n">
        <v>0.174</v>
      </c>
    </row>
    <row r="2475">
      <c r="A2475" t="n">
        <v>11.95</v>
      </c>
      <c r="B2475" t="n">
        <v>0.08699999999999999</v>
      </c>
      <c r="C2475" t="n">
        <v>0.9340000000000001</v>
      </c>
      <c r="D2475" t="n">
        <v>0.172</v>
      </c>
    </row>
    <row r="2476">
      <c r="A2476" t="n">
        <v>11.953</v>
      </c>
      <c r="B2476" t="n">
        <v>0.08799999999999999</v>
      </c>
      <c r="C2476" t="n">
        <v>0.9429999999999999</v>
      </c>
      <c r="D2476" t="n">
        <v>0.168</v>
      </c>
    </row>
    <row r="2477">
      <c r="A2477" t="n">
        <v>11.961</v>
      </c>
      <c r="B2477" t="n">
        <v>0.083</v>
      </c>
      <c r="C2477" t="n">
        <v>0.946</v>
      </c>
      <c r="D2477" t="n">
        <v>0.156</v>
      </c>
    </row>
    <row r="2478">
      <c r="A2478" t="n">
        <v>11.963</v>
      </c>
      <c r="B2478" t="n">
        <v>0.08400000000000001</v>
      </c>
      <c r="C2478" t="n">
        <v>0.949</v>
      </c>
      <c r="D2478" t="n">
        <v>0.149</v>
      </c>
    </row>
    <row r="2479">
      <c r="A2479" t="n">
        <v>11.967</v>
      </c>
      <c r="B2479" t="n">
        <v>0.095</v>
      </c>
      <c r="C2479" t="n">
        <v>0.955</v>
      </c>
      <c r="D2479" t="n">
        <v>0.126</v>
      </c>
    </row>
    <row r="2480">
      <c r="A2480" t="n">
        <v>11.989</v>
      </c>
      <c r="B2480" t="n">
        <v>0.115</v>
      </c>
      <c r="C2480" t="n">
        <v>0.968</v>
      </c>
      <c r="D2480" t="n">
        <v>0.106</v>
      </c>
    </row>
    <row r="2481">
      <c r="A2481" t="n">
        <v>11.989</v>
      </c>
      <c r="B2481" t="n">
        <v>0.115</v>
      </c>
      <c r="C2481" t="n">
        <v>0.968</v>
      </c>
      <c r="D2481" t="n">
        <v>0.106</v>
      </c>
    </row>
    <row r="2482">
      <c r="A2482" t="n">
        <v>11.99</v>
      </c>
      <c r="B2482" t="n">
        <v>0.134</v>
      </c>
      <c r="C2482" t="n">
        <v>0.997</v>
      </c>
      <c r="D2482" t="n">
        <v>0.078</v>
      </c>
    </row>
    <row r="2483">
      <c r="A2483" t="n">
        <v>11.99</v>
      </c>
      <c r="B2483" t="n">
        <v>0.148</v>
      </c>
      <c r="C2483" t="n">
        <v>1.008</v>
      </c>
      <c r="D2483" t="n">
        <v>0.07099999999999999</v>
      </c>
    </row>
    <row r="2484">
      <c r="A2484" t="n">
        <v>12</v>
      </c>
      <c r="B2484" t="n">
        <v>0.153</v>
      </c>
      <c r="C2484" t="n">
        <v>1.009</v>
      </c>
      <c r="D2484" t="n">
        <v>0.078</v>
      </c>
    </row>
    <row r="2485">
      <c r="A2485" t="n">
        <v>12</v>
      </c>
      <c r="B2485" t="n">
        <v>0.153</v>
      </c>
      <c r="C2485" t="n">
        <v>1.009</v>
      </c>
      <c r="D2485" t="n">
        <v>0.078</v>
      </c>
    </row>
    <row r="2486">
      <c r="A2486" t="n">
        <v>12.001</v>
      </c>
      <c r="B2486" t="n">
        <v>0.153</v>
      </c>
      <c r="C2486" t="n">
        <v>1.009</v>
      </c>
      <c r="D2486" t="n">
        <v>0.078</v>
      </c>
    </row>
    <row r="2487">
      <c r="A2487" t="n">
        <v>12.019</v>
      </c>
      <c r="B2487" t="n">
        <v>0.137</v>
      </c>
      <c r="C2487" t="n">
        <v>0.991</v>
      </c>
      <c r="D2487" t="n">
        <v>0.095</v>
      </c>
    </row>
    <row r="2488">
      <c r="A2488" t="n">
        <v>12.02</v>
      </c>
      <c r="B2488" t="n">
        <v>0.126</v>
      </c>
      <c r="C2488" t="n">
        <v>0.989</v>
      </c>
      <c r="D2488" t="n">
        <v>0.101</v>
      </c>
    </row>
    <row r="2489">
      <c r="A2489" t="n">
        <v>12.02</v>
      </c>
      <c r="B2489" t="n">
        <v>0.113</v>
      </c>
      <c r="C2489" t="n">
        <v>0.988</v>
      </c>
      <c r="D2489" t="n">
        <v>0.105</v>
      </c>
    </row>
    <row r="2490">
      <c r="A2490" t="n">
        <v>12.025</v>
      </c>
      <c r="B2490" t="n">
        <v>0.103</v>
      </c>
      <c r="C2490" t="n">
        <v>0.99</v>
      </c>
      <c r="D2490" t="n">
        <v>0.105</v>
      </c>
    </row>
    <row r="2491">
      <c r="A2491" t="n">
        <v>12.027</v>
      </c>
      <c r="B2491" t="n">
        <v>0.099</v>
      </c>
      <c r="C2491" t="n">
        <v>0.993</v>
      </c>
      <c r="D2491" t="n">
        <v>0.111</v>
      </c>
    </row>
    <row r="2492">
      <c r="A2492" t="n">
        <v>12.033</v>
      </c>
      <c r="B2492" t="n">
        <v>0.099</v>
      </c>
      <c r="C2492" t="n">
        <v>0.997</v>
      </c>
      <c r="D2492" t="n">
        <v>0.105</v>
      </c>
    </row>
    <row r="2493">
      <c r="A2493" t="n">
        <v>12.038</v>
      </c>
      <c r="B2493" t="n">
        <v>0.099</v>
      </c>
      <c r="C2493" t="n">
        <v>1.004</v>
      </c>
      <c r="D2493" t="n">
        <v>0.095</v>
      </c>
    </row>
    <row r="2494">
      <c r="A2494" t="n">
        <v>12.043</v>
      </c>
      <c r="B2494" t="n">
        <v>0.104</v>
      </c>
      <c r="C2494" t="n">
        <v>1.012</v>
      </c>
      <c r="D2494" t="n">
        <v>0.08500000000000001</v>
      </c>
    </row>
    <row r="2495">
      <c r="A2495" t="n">
        <v>12.048</v>
      </c>
      <c r="B2495" t="n">
        <v>0.102</v>
      </c>
      <c r="C2495" t="n">
        <v>1.018</v>
      </c>
      <c r="D2495" t="n">
        <v>0.076</v>
      </c>
    </row>
    <row r="2496">
      <c r="A2496" t="n">
        <v>12.053</v>
      </c>
      <c r="B2496" t="n">
        <v>0.103</v>
      </c>
      <c r="C2496" t="n">
        <v>1.023</v>
      </c>
      <c r="D2496" t="n">
        <v>0.066</v>
      </c>
    </row>
    <row r="2497">
      <c r="A2497" t="n">
        <v>12.061</v>
      </c>
      <c r="B2497" t="n">
        <v>0.104</v>
      </c>
      <c r="C2497" t="n">
        <v>1.023</v>
      </c>
      <c r="D2497" t="n">
        <v>0.062</v>
      </c>
    </row>
    <row r="2498">
      <c r="A2498" t="n">
        <v>12.063</v>
      </c>
      <c r="B2498" t="n">
        <v>0.114</v>
      </c>
      <c r="C2498" t="n">
        <v>1.027</v>
      </c>
      <c r="D2498" t="n">
        <v>0.057</v>
      </c>
    </row>
    <row r="2499">
      <c r="A2499" t="n">
        <v>12.067</v>
      </c>
      <c r="B2499" t="n">
        <v>0.115</v>
      </c>
      <c r="C2499" t="n">
        <v>1.026</v>
      </c>
      <c r="D2499" t="n">
        <v>0.05</v>
      </c>
    </row>
    <row r="2500">
      <c r="A2500" t="n">
        <v>12.08</v>
      </c>
      <c r="B2500" t="n">
        <v>0.105</v>
      </c>
      <c r="C2500" t="n">
        <v>1.027</v>
      </c>
      <c r="D2500" t="n">
        <v>0.045</v>
      </c>
    </row>
    <row r="2501">
      <c r="A2501" t="n">
        <v>12.081</v>
      </c>
      <c r="B2501" t="n">
        <v>0.105</v>
      </c>
      <c r="C2501" t="n">
        <v>1.027</v>
      </c>
      <c r="D2501" t="n">
        <v>0.045</v>
      </c>
    </row>
    <row r="2502">
      <c r="A2502" t="n">
        <v>12.095</v>
      </c>
      <c r="B2502" t="n">
        <v>0.08599999999999999</v>
      </c>
      <c r="C2502" t="n">
        <v>1.026</v>
      </c>
      <c r="D2502" t="n">
        <v>0.04</v>
      </c>
    </row>
    <row r="2503">
      <c r="A2503" t="n">
        <v>12.095</v>
      </c>
      <c r="B2503" t="n">
        <v>0.07099999999999999</v>
      </c>
      <c r="C2503" t="n">
        <v>1.022</v>
      </c>
      <c r="D2503" t="n">
        <v>0.044</v>
      </c>
    </row>
    <row r="2504">
      <c r="A2504" t="n">
        <v>12.096</v>
      </c>
      <c r="B2504" t="n">
        <v>0.06</v>
      </c>
      <c r="C2504" t="n">
        <v>1.022</v>
      </c>
      <c r="D2504" t="n">
        <v>0.039</v>
      </c>
    </row>
    <row r="2505">
      <c r="A2505" t="n">
        <v>12.097</v>
      </c>
      <c r="B2505" t="n">
        <v>0.049</v>
      </c>
      <c r="C2505" t="n">
        <v>1.024</v>
      </c>
      <c r="D2505" t="n">
        <v>0.033</v>
      </c>
    </row>
    <row r="2506">
      <c r="A2506" t="n">
        <v>12.097</v>
      </c>
      <c r="B2506" t="n">
        <v>0.049</v>
      </c>
      <c r="C2506" t="n">
        <v>1.024</v>
      </c>
      <c r="D2506" t="n">
        <v>0.033</v>
      </c>
    </row>
    <row r="2507">
      <c r="A2507" t="n">
        <v>12.099</v>
      </c>
      <c r="B2507" t="n">
        <v>0.039</v>
      </c>
      <c r="C2507" t="n">
        <v>1.021</v>
      </c>
      <c r="D2507" t="n">
        <v>0.028</v>
      </c>
    </row>
    <row r="2508">
      <c r="A2508" t="n">
        <v>12.115</v>
      </c>
      <c r="B2508" t="n">
        <v>0.029</v>
      </c>
      <c r="C2508" t="n">
        <v>1.019</v>
      </c>
      <c r="D2508" t="n">
        <v>0.026</v>
      </c>
    </row>
    <row r="2509">
      <c r="A2509" t="n">
        <v>12.115</v>
      </c>
      <c r="B2509" t="n">
        <v>0.016</v>
      </c>
      <c r="C2509" t="n">
        <v>1.017</v>
      </c>
      <c r="D2509" t="n">
        <v>0.031</v>
      </c>
    </row>
    <row r="2510">
      <c r="A2510" t="n">
        <v>12.116</v>
      </c>
      <c r="B2510" t="n">
        <v>0.006</v>
      </c>
      <c r="C2510" t="n">
        <v>1.015</v>
      </c>
      <c r="D2510" t="n">
        <v>0.033</v>
      </c>
    </row>
    <row r="2511">
      <c r="A2511" t="n">
        <v>12.118</v>
      </c>
      <c r="B2511" t="n">
        <v>-0.003</v>
      </c>
      <c r="C2511" t="n">
        <v>1.018</v>
      </c>
      <c r="D2511" t="n">
        <v>0.04</v>
      </c>
    </row>
    <row r="2512">
      <c r="A2512" t="n">
        <v>12.149</v>
      </c>
      <c r="B2512" t="n">
        <v>-0.008999999999999999</v>
      </c>
      <c r="C2512" t="n">
        <v>1.022</v>
      </c>
      <c r="D2512" t="n">
        <v>0.05</v>
      </c>
    </row>
    <row r="2513">
      <c r="A2513" t="n">
        <v>12.15</v>
      </c>
      <c r="B2513" t="n">
        <v>-0.015</v>
      </c>
      <c r="C2513" t="n">
        <v>1.027</v>
      </c>
      <c r="D2513" t="n">
        <v>0.055</v>
      </c>
    </row>
    <row r="2514">
      <c r="A2514" t="n">
        <v>12.15</v>
      </c>
      <c r="B2514" t="n">
        <v>-0.016</v>
      </c>
      <c r="C2514" t="n">
        <v>1.037</v>
      </c>
      <c r="D2514" t="n">
        <v>0.055</v>
      </c>
    </row>
    <row r="2515">
      <c r="A2515" t="n">
        <v>12.151</v>
      </c>
      <c r="B2515" t="n">
        <v>-0.005</v>
      </c>
      <c r="C2515" t="n">
        <v>1.043</v>
      </c>
      <c r="D2515" t="n">
        <v>0.047</v>
      </c>
    </row>
    <row r="2516">
      <c r="A2516" t="n">
        <v>12.151</v>
      </c>
      <c r="B2516" t="n">
        <v>0.006</v>
      </c>
      <c r="C2516" t="n">
        <v>1.047</v>
      </c>
      <c r="D2516" t="n">
        <v>0.041</v>
      </c>
    </row>
    <row r="2517">
      <c r="A2517" t="n">
        <v>12.151</v>
      </c>
      <c r="B2517" t="n">
        <v>0.013</v>
      </c>
      <c r="C2517" t="n">
        <v>1.048</v>
      </c>
      <c r="D2517" t="n">
        <v>0.041</v>
      </c>
    </row>
    <row r="2518">
      <c r="A2518" t="n">
        <v>12.154</v>
      </c>
      <c r="B2518" t="n">
        <v>0.015</v>
      </c>
      <c r="C2518" t="n">
        <v>1.044</v>
      </c>
      <c r="D2518" t="n">
        <v>0.05</v>
      </c>
    </row>
    <row r="2519">
      <c r="A2519" t="n">
        <v>12.159</v>
      </c>
      <c r="B2519" t="n">
        <v>0.006</v>
      </c>
      <c r="C2519" t="n">
        <v>1.036</v>
      </c>
      <c r="D2519" t="n">
        <v>0.064</v>
      </c>
    </row>
    <row r="2520">
      <c r="A2520" t="n">
        <v>12.163</v>
      </c>
      <c r="B2520" t="n">
        <v>-0.001</v>
      </c>
      <c r="C2520" t="n">
        <v>1.029</v>
      </c>
      <c r="D2520" t="n">
        <v>0.08400000000000001</v>
      </c>
    </row>
    <row r="2521">
      <c r="A2521" t="n">
        <v>12.167</v>
      </c>
      <c r="B2521" t="n">
        <v>-0.008</v>
      </c>
      <c r="C2521" t="n">
        <v>1.025</v>
      </c>
      <c r="D2521" t="n">
        <v>0.102</v>
      </c>
    </row>
    <row r="2522">
      <c r="A2522" t="n">
        <v>12.18</v>
      </c>
      <c r="B2522" t="n">
        <v>-0.008</v>
      </c>
      <c r="C2522" t="n">
        <v>1.026</v>
      </c>
      <c r="D2522" t="n">
        <v>0.107</v>
      </c>
    </row>
    <row r="2523">
      <c r="A2523" t="n">
        <v>12.181</v>
      </c>
      <c r="B2523" t="n">
        <v>0</v>
      </c>
      <c r="C2523" t="n">
        <v>1.031</v>
      </c>
      <c r="D2523" t="n">
        <v>0.104</v>
      </c>
    </row>
    <row r="2524">
      <c r="A2524" t="n">
        <v>12.183</v>
      </c>
      <c r="B2524" t="n">
        <v>0.015</v>
      </c>
      <c r="C2524" t="n">
        <v>1.041</v>
      </c>
      <c r="D2524" t="n">
        <v>0.08799999999999999</v>
      </c>
    </row>
    <row r="2525">
      <c r="A2525" t="n">
        <v>12.188</v>
      </c>
      <c r="B2525" t="n">
        <v>0.039</v>
      </c>
      <c r="C2525" t="n">
        <v>1.048</v>
      </c>
      <c r="D2525" t="n">
        <v>0.066</v>
      </c>
    </row>
    <row r="2526">
      <c r="A2526" t="n">
        <v>12.194</v>
      </c>
      <c r="B2526" t="n">
        <v>0.061</v>
      </c>
      <c r="C2526" t="n">
        <v>1.056</v>
      </c>
      <c r="D2526" t="n">
        <v>0.04</v>
      </c>
    </row>
    <row r="2527">
      <c r="A2527" t="n">
        <v>12.212</v>
      </c>
      <c r="B2527" t="n">
        <v>0.08699999999999999</v>
      </c>
      <c r="C2527" t="n">
        <v>1.066</v>
      </c>
      <c r="D2527" t="n">
        <v>0.024</v>
      </c>
    </row>
    <row r="2528">
      <c r="A2528" t="n">
        <v>12.213</v>
      </c>
      <c r="B2528" t="n">
        <v>0.113</v>
      </c>
      <c r="C2528" t="n">
        <v>1.075</v>
      </c>
      <c r="D2528" t="n">
        <v>0.012</v>
      </c>
    </row>
    <row r="2529">
      <c r="A2529" t="n">
        <v>12.213</v>
      </c>
      <c r="B2529" t="n">
        <v>0.134</v>
      </c>
      <c r="C2529" t="n">
        <v>1.082</v>
      </c>
      <c r="D2529" t="n">
        <v>0.006</v>
      </c>
    </row>
    <row r="2530">
      <c r="A2530" t="n">
        <v>12.214</v>
      </c>
      <c r="B2530" t="n">
        <v>0.147</v>
      </c>
      <c r="C2530" t="n">
        <v>1.079</v>
      </c>
      <c r="D2530" t="n">
        <v>0.007</v>
      </c>
    </row>
    <row r="2531">
      <c r="A2531" t="n">
        <v>12.218</v>
      </c>
      <c r="B2531" t="n">
        <v>0.151</v>
      </c>
      <c r="C2531" t="n">
        <v>1.071</v>
      </c>
      <c r="D2531" t="n">
        <v>0.016</v>
      </c>
    </row>
    <row r="2532">
      <c r="A2532" t="n">
        <v>12.223</v>
      </c>
      <c r="B2532" t="n">
        <v>0.15</v>
      </c>
      <c r="C2532" t="n">
        <v>1.059</v>
      </c>
      <c r="D2532" t="n">
        <v>0.033</v>
      </c>
    </row>
    <row r="2533">
      <c r="A2533" t="n">
        <v>12.229</v>
      </c>
      <c r="B2533" t="n">
        <v>0.141</v>
      </c>
      <c r="C2533" t="n">
        <v>1.043</v>
      </c>
      <c r="D2533" t="n">
        <v>0.054</v>
      </c>
    </row>
    <row r="2534">
      <c r="A2534" t="n">
        <v>12.234</v>
      </c>
      <c r="B2534" t="n">
        <v>0.128</v>
      </c>
      <c r="C2534" t="n">
        <v>1.024</v>
      </c>
      <c r="D2534" t="n">
        <v>0.077</v>
      </c>
    </row>
    <row r="2535">
      <c r="A2535" t="n">
        <v>12.235</v>
      </c>
      <c r="B2535" t="n">
        <v>0.128</v>
      </c>
      <c r="C2535" t="n">
        <v>1.024</v>
      </c>
      <c r="D2535" t="n">
        <v>0.077</v>
      </c>
    </row>
    <row r="2536">
      <c r="A2536" t="n">
        <v>12.238</v>
      </c>
      <c r="B2536" t="n">
        <v>0.117</v>
      </c>
      <c r="C2536" t="n">
        <v>1.008</v>
      </c>
      <c r="D2536" t="n">
        <v>0.093</v>
      </c>
    </row>
    <row r="2537">
      <c r="A2537" t="n">
        <v>12.244</v>
      </c>
      <c r="B2537" t="n">
        <v>0.109</v>
      </c>
      <c r="C2537" t="n">
        <v>0.994</v>
      </c>
      <c r="D2537" t="n">
        <v>0.11</v>
      </c>
    </row>
    <row r="2538">
      <c r="A2538" t="n">
        <v>12.248</v>
      </c>
      <c r="B2538" t="n">
        <v>0.103</v>
      </c>
      <c r="C2538" t="n">
        <v>0.983</v>
      </c>
      <c r="D2538" t="n">
        <v>0.114</v>
      </c>
    </row>
    <row r="2539">
      <c r="A2539" t="n">
        <v>12.253</v>
      </c>
      <c r="B2539" t="n">
        <v>0.096</v>
      </c>
      <c r="C2539" t="n">
        <v>0.973</v>
      </c>
      <c r="D2539" t="n">
        <v>0.113</v>
      </c>
    </row>
    <row r="2540">
      <c r="A2540" t="n">
        <v>12.262</v>
      </c>
      <c r="B2540" t="n">
        <v>0.091</v>
      </c>
      <c r="C2540" t="n">
        <v>0.964</v>
      </c>
      <c r="D2540" t="n">
        <v>0.105</v>
      </c>
    </row>
    <row r="2541">
      <c r="A2541" t="n">
        <v>12.264</v>
      </c>
      <c r="B2541" t="n">
        <v>0.08799999999999999</v>
      </c>
      <c r="C2541" t="n">
        <v>0.959</v>
      </c>
      <c r="D2541" t="n">
        <v>0.099</v>
      </c>
    </row>
    <row r="2542">
      <c r="A2542" t="n">
        <v>12.267</v>
      </c>
      <c r="B2542" t="n">
        <v>0.08599999999999999</v>
      </c>
      <c r="C2542" t="n">
        <v>0.955</v>
      </c>
      <c r="D2542" t="n">
        <v>0.095</v>
      </c>
    </row>
    <row r="2543">
      <c r="A2543" t="n">
        <v>12.275</v>
      </c>
      <c r="B2543" t="n">
        <v>0.081</v>
      </c>
      <c r="C2543" t="n">
        <v>0.96</v>
      </c>
      <c r="D2543" t="n">
        <v>0.093</v>
      </c>
    </row>
    <row r="2544">
      <c r="A2544" t="n">
        <v>12.281</v>
      </c>
      <c r="B2544" t="n">
        <v>0.07099999999999999</v>
      </c>
      <c r="C2544" t="n">
        <v>0.961</v>
      </c>
      <c r="D2544" t="n">
        <v>0.08699999999999999</v>
      </c>
    </row>
    <row r="2545">
      <c r="A2545" t="n">
        <v>12.284</v>
      </c>
      <c r="B2545" t="n">
        <v>0.07099999999999999</v>
      </c>
      <c r="C2545" t="n">
        <v>0.961</v>
      </c>
      <c r="D2545" t="n">
        <v>0.08699999999999999</v>
      </c>
    </row>
    <row r="2546">
      <c r="A2546" t="n">
        <v>12.288</v>
      </c>
      <c r="B2546" t="n">
        <v>0.061</v>
      </c>
      <c r="C2546" t="n">
        <v>0.961</v>
      </c>
      <c r="D2546" t="n">
        <v>0.08</v>
      </c>
    </row>
    <row r="2547">
      <c r="A2547" t="n">
        <v>12.306</v>
      </c>
      <c r="B2547" t="n">
        <v>0.052</v>
      </c>
      <c r="C2547" t="n">
        <v>0.966</v>
      </c>
      <c r="D2547" t="n">
        <v>0.064</v>
      </c>
    </row>
    <row r="2548">
      <c r="A2548" t="n">
        <v>12.307</v>
      </c>
      <c r="B2548" t="n">
        <v>0.048</v>
      </c>
      <c r="C2548" t="n">
        <v>0.971</v>
      </c>
      <c r="D2548" t="n">
        <v>0.045</v>
      </c>
    </row>
    <row r="2549">
      <c r="A2549" t="n">
        <v>12.307</v>
      </c>
      <c r="B2549" t="n">
        <v>0.045</v>
      </c>
      <c r="C2549" t="n">
        <v>0.986</v>
      </c>
      <c r="D2549" t="n">
        <v>0.023</v>
      </c>
    </row>
    <row r="2550">
      <c r="A2550" t="n">
        <v>12.31</v>
      </c>
      <c r="B2550" t="n">
        <v>0.04</v>
      </c>
      <c r="C2550" t="n">
        <v>0.999</v>
      </c>
      <c r="D2550" t="n">
        <v>0.008999999999999999</v>
      </c>
    </row>
    <row r="2551">
      <c r="A2551" t="n">
        <v>12.311</v>
      </c>
      <c r="B2551" t="n">
        <v>0.04</v>
      </c>
      <c r="C2551" t="n">
        <v>0.999</v>
      </c>
      <c r="D2551" t="n">
        <v>0.008999999999999999</v>
      </c>
    </row>
    <row r="2552">
      <c r="A2552" t="n">
        <v>12.313</v>
      </c>
      <c r="B2552" t="n">
        <v>0.032</v>
      </c>
      <c r="C2552" t="n">
        <v>1.007</v>
      </c>
      <c r="D2552" t="n">
        <v>0.004</v>
      </c>
    </row>
    <row r="2553">
      <c r="A2553" t="n">
        <v>12.318</v>
      </c>
      <c r="B2553" t="n">
        <v>0.021</v>
      </c>
      <c r="C2553" t="n">
        <v>1.009</v>
      </c>
      <c r="D2553" t="n">
        <v>0.003</v>
      </c>
    </row>
    <row r="2554">
      <c r="A2554" t="n">
        <v>12.323</v>
      </c>
      <c r="B2554" t="n">
        <v>0.005</v>
      </c>
      <c r="C2554" t="n">
        <v>1.003</v>
      </c>
      <c r="D2554" t="n">
        <v>0.004</v>
      </c>
    </row>
    <row r="2555">
      <c r="A2555" t="n">
        <v>12.359</v>
      </c>
      <c r="B2555" t="n">
        <v>-0.003</v>
      </c>
      <c r="C2555" t="n">
        <v>1.001</v>
      </c>
      <c r="D2555" t="n">
        <v>0.011</v>
      </c>
    </row>
    <row r="2556">
      <c r="A2556" t="n">
        <v>12.359</v>
      </c>
      <c r="B2556" t="n">
        <v>-0.01</v>
      </c>
      <c r="C2556" t="n">
        <v>0.996</v>
      </c>
      <c r="D2556" t="n">
        <v>0.021</v>
      </c>
    </row>
    <row r="2557">
      <c r="A2557" t="n">
        <v>12.359</v>
      </c>
      <c r="B2557" t="n">
        <v>-0.019</v>
      </c>
      <c r="C2557" t="n">
        <v>0.99</v>
      </c>
      <c r="D2557" t="n">
        <v>0.029</v>
      </c>
    </row>
    <row r="2558">
      <c r="A2558" t="n">
        <v>12.36</v>
      </c>
      <c r="B2558" t="n">
        <v>-0.025</v>
      </c>
      <c r="C2558" t="n">
        <v>0.986</v>
      </c>
      <c r="D2558" t="n">
        <v>0.036</v>
      </c>
    </row>
    <row r="2559">
      <c r="A2559" t="n">
        <v>12.36</v>
      </c>
      <c r="B2559" t="n">
        <v>-0.02</v>
      </c>
      <c r="C2559" t="n">
        <v>0.988</v>
      </c>
      <c r="D2559" t="n">
        <v>0.04</v>
      </c>
    </row>
    <row r="2560">
      <c r="A2560" t="n">
        <v>12.36</v>
      </c>
      <c r="B2560" t="n">
        <v>-0.012</v>
      </c>
      <c r="C2560" t="n">
        <v>0.987</v>
      </c>
      <c r="D2560" t="n">
        <v>0.042</v>
      </c>
    </row>
    <row r="2561">
      <c r="A2561" t="n">
        <v>12.361</v>
      </c>
      <c r="B2561" t="n">
        <v>-0.013</v>
      </c>
      <c r="C2561" t="n">
        <v>0.984</v>
      </c>
      <c r="D2561" t="n">
        <v>0.037</v>
      </c>
    </row>
    <row r="2562">
      <c r="A2562" t="n">
        <v>12.363</v>
      </c>
      <c r="B2562" t="n">
        <v>-0.017</v>
      </c>
      <c r="C2562" t="n">
        <v>0.983</v>
      </c>
      <c r="D2562" t="n">
        <v>0.029</v>
      </c>
    </row>
    <row r="2563">
      <c r="A2563" t="n">
        <v>12.367</v>
      </c>
      <c r="B2563" t="n">
        <v>-0.021</v>
      </c>
      <c r="C2563" t="n">
        <v>0.988</v>
      </c>
      <c r="D2563" t="n">
        <v>0.013</v>
      </c>
    </row>
    <row r="2564">
      <c r="A2564" t="n">
        <v>12.375</v>
      </c>
      <c r="B2564" t="n">
        <v>-0.018</v>
      </c>
      <c r="C2564" t="n">
        <v>0.998</v>
      </c>
      <c r="D2564" t="n">
        <v>-0.001</v>
      </c>
    </row>
    <row r="2565">
      <c r="A2565" t="n">
        <v>12.381</v>
      </c>
      <c r="B2565" t="n">
        <v>-0.013</v>
      </c>
      <c r="C2565" t="n">
        <v>1.01</v>
      </c>
      <c r="D2565" t="n">
        <v>-0.01</v>
      </c>
    </row>
    <row r="2566">
      <c r="A2566" t="n">
        <v>12.382</v>
      </c>
      <c r="B2566" t="n">
        <v>-0.013</v>
      </c>
      <c r="C2566" t="n">
        <v>1.01</v>
      </c>
      <c r="D2566" t="n">
        <v>-0.01</v>
      </c>
    </row>
    <row r="2567">
      <c r="A2567" t="n">
        <v>12.383</v>
      </c>
      <c r="B2567" t="n">
        <v>-0.011</v>
      </c>
      <c r="C2567" t="n">
        <v>1.016</v>
      </c>
      <c r="D2567" t="n">
        <v>-0.023</v>
      </c>
    </row>
    <row r="2568">
      <c r="A2568" t="n">
        <v>12.388</v>
      </c>
      <c r="B2568" t="n">
        <v>-0.011</v>
      </c>
      <c r="C2568" t="n">
        <v>1.016</v>
      </c>
      <c r="D2568" t="n">
        <v>-0.029</v>
      </c>
    </row>
    <row r="2569">
      <c r="A2569" t="n">
        <v>12.411</v>
      </c>
      <c r="B2569" t="n">
        <v>-0.011</v>
      </c>
      <c r="C2569" t="n">
        <v>1.014</v>
      </c>
      <c r="D2569" t="n">
        <v>-0.031</v>
      </c>
    </row>
    <row r="2570">
      <c r="A2570" t="n">
        <v>12.412</v>
      </c>
      <c r="B2570" t="n">
        <v>-0.013</v>
      </c>
      <c r="C2570" t="n">
        <v>1.008</v>
      </c>
      <c r="D2570" t="n">
        <v>-0.017</v>
      </c>
    </row>
    <row r="2571">
      <c r="A2571" t="n">
        <v>12.413</v>
      </c>
      <c r="B2571" t="n">
        <v>-0.016</v>
      </c>
      <c r="C2571" t="n">
        <v>1.009</v>
      </c>
      <c r="D2571" t="n">
        <v>-0.004</v>
      </c>
    </row>
    <row r="2572">
      <c r="A2572" t="n">
        <v>12.413</v>
      </c>
      <c r="B2572" t="n">
        <v>-0.015</v>
      </c>
      <c r="C2572" t="n">
        <v>1.006</v>
      </c>
      <c r="D2572" t="n">
        <v>0.013</v>
      </c>
    </row>
    <row r="2573">
      <c r="A2573" t="n">
        <v>12.42</v>
      </c>
      <c r="B2573" t="n">
        <v>-0.007</v>
      </c>
      <c r="C2573" t="n">
        <v>1.007</v>
      </c>
      <c r="D2573" t="n">
        <v>0.027</v>
      </c>
    </row>
    <row r="2574">
      <c r="A2574" t="n">
        <v>12.421</v>
      </c>
      <c r="B2574" t="n">
        <v>-0.007</v>
      </c>
      <c r="C2574" t="n">
        <v>1.007</v>
      </c>
      <c r="D2574" t="n">
        <v>0.027</v>
      </c>
    </row>
    <row r="2575">
      <c r="A2575" t="n">
        <v>12.422</v>
      </c>
      <c r="B2575" t="n">
        <v>-0.007</v>
      </c>
      <c r="C2575" t="n">
        <v>1.007</v>
      </c>
      <c r="D2575" t="n">
        <v>0.027</v>
      </c>
    </row>
    <row r="2576">
      <c r="A2576" t="n">
        <v>12.423</v>
      </c>
      <c r="B2576" t="n">
        <v>0.014</v>
      </c>
      <c r="C2576" t="n">
        <v>1.003</v>
      </c>
      <c r="D2576" t="n">
        <v>0.053</v>
      </c>
    </row>
    <row r="2577">
      <c r="A2577" t="n">
        <v>12.457</v>
      </c>
      <c r="B2577" t="n">
        <v>0.024</v>
      </c>
      <c r="C2577" t="n">
        <v>1.007</v>
      </c>
      <c r="D2577" t="n">
        <v>0.056</v>
      </c>
    </row>
    <row r="2578">
      <c r="A2578" t="n">
        <v>12.459</v>
      </c>
      <c r="B2578" t="n">
        <v>0.025</v>
      </c>
      <c r="C2578" t="n">
        <v>1.012</v>
      </c>
      <c r="D2578" t="n">
        <v>0.052</v>
      </c>
    </row>
    <row r="2579">
      <c r="A2579" t="n">
        <v>12.46</v>
      </c>
      <c r="B2579" t="n">
        <v>0.028</v>
      </c>
      <c r="C2579" t="n">
        <v>1.016</v>
      </c>
      <c r="D2579" t="n">
        <v>0.052</v>
      </c>
    </row>
    <row r="2580">
      <c r="A2580" t="n">
        <v>12.461</v>
      </c>
      <c r="B2580" t="n">
        <v>0.035</v>
      </c>
      <c r="C2580" t="n">
        <v>1.024</v>
      </c>
      <c r="D2580" t="n">
        <v>0.044</v>
      </c>
    </row>
    <row r="2581">
      <c r="A2581" t="n">
        <v>12.462</v>
      </c>
      <c r="B2581" t="n">
        <v>0.039</v>
      </c>
      <c r="C2581" t="n">
        <v>1.027</v>
      </c>
      <c r="D2581" t="n">
        <v>0.038</v>
      </c>
    </row>
    <row r="2582">
      <c r="A2582" t="n">
        <v>12.464</v>
      </c>
      <c r="B2582" t="n">
        <v>0.044</v>
      </c>
      <c r="C2582" t="n">
        <v>1.033</v>
      </c>
      <c r="D2582" t="n">
        <v>0.03</v>
      </c>
    </row>
    <row r="2583">
      <c r="A2583" t="n">
        <v>12.464</v>
      </c>
      <c r="B2583" t="n">
        <v>0.041</v>
      </c>
      <c r="C2583" t="n">
        <v>1.038</v>
      </c>
      <c r="D2583" t="n">
        <v>0.027</v>
      </c>
    </row>
    <row r="2584">
      <c r="A2584" t="n">
        <v>12.465</v>
      </c>
      <c r="B2584" t="n">
        <v>0.03</v>
      </c>
      <c r="C2584" t="n">
        <v>1.044</v>
      </c>
      <c r="D2584" t="n">
        <v>0.024</v>
      </c>
    </row>
    <row r="2585">
      <c r="A2585" t="n">
        <v>12.467</v>
      </c>
      <c r="B2585" t="n">
        <v>0.027</v>
      </c>
      <c r="C2585" t="n">
        <v>1.049</v>
      </c>
      <c r="D2585" t="n">
        <v>0.026</v>
      </c>
    </row>
    <row r="2586">
      <c r="A2586" t="n">
        <v>12.473</v>
      </c>
      <c r="B2586" t="n">
        <v>0.035</v>
      </c>
      <c r="C2586" t="n">
        <v>1.055</v>
      </c>
      <c r="D2586" t="n">
        <v>0.024</v>
      </c>
    </row>
    <row r="2587">
      <c r="A2587" t="n">
        <v>12.478</v>
      </c>
      <c r="B2587" t="n">
        <v>0.041</v>
      </c>
      <c r="C2587" t="n">
        <v>1.058</v>
      </c>
      <c r="D2587" t="n">
        <v>0.031</v>
      </c>
    </row>
    <row r="2588">
      <c r="A2588" t="n">
        <v>12.483</v>
      </c>
      <c r="B2588" t="n">
        <v>0.037</v>
      </c>
      <c r="C2588" t="n">
        <v>1.056</v>
      </c>
      <c r="D2588" t="n">
        <v>0.038</v>
      </c>
    </row>
    <row r="2589">
      <c r="A2589" t="n">
        <v>12.487</v>
      </c>
      <c r="B2589" t="n">
        <v>0.031</v>
      </c>
      <c r="C2589" t="n">
        <v>1.053</v>
      </c>
      <c r="D2589" t="n">
        <v>0.043</v>
      </c>
    </row>
    <row r="2590">
      <c r="A2590" t="n">
        <v>12.504</v>
      </c>
      <c r="B2590" t="n">
        <v>0.027</v>
      </c>
      <c r="C2590" t="n">
        <v>1.047</v>
      </c>
      <c r="D2590" t="n">
        <v>0.043</v>
      </c>
    </row>
    <row r="2591">
      <c r="A2591" t="n">
        <v>12.506</v>
      </c>
      <c r="B2591" t="n">
        <v>0.027</v>
      </c>
      <c r="C2591" t="n">
        <v>1.047</v>
      </c>
      <c r="D2591" t="n">
        <v>0.043</v>
      </c>
    </row>
    <row r="2592">
      <c r="A2592" t="n">
        <v>12.506</v>
      </c>
      <c r="B2592" t="n">
        <v>0.036</v>
      </c>
      <c r="C2592" t="n">
        <v>1.031</v>
      </c>
      <c r="D2592" t="n">
        <v>0.062</v>
      </c>
    </row>
    <row r="2593">
      <c r="A2593" t="n">
        <v>12.511</v>
      </c>
      <c r="B2593" t="n">
        <v>0.037</v>
      </c>
      <c r="C2593" t="n">
        <v>1.024</v>
      </c>
      <c r="D2593" t="n">
        <v>0.073</v>
      </c>
    </row>
    <row r="2594">
      <c r="A2594" t="n">
        <v>12.513</v>
      </c>
      <c r="B2594" t="n">
        <v>0.037</v>
      </c>
      <c r="C2594" t="n">
        <v>1.024</v>
      </c>
      <c r="D2594" t="n">
        <v>0.073</v>
      </c>
    </row>
    <row r="2595">
      <c r="A2595" t="n">
        <v>12.561</v>
      </c>
      <c r="B2595" t="n">
        <v>0.035</v>
      </c>
      <c r="C2595" t="n">
        <v>1.005</v>
      </c>
      <c r="D2595" t="n">
        <v>0.092</v>
      </c>
    </row>
    <row r="2596">
      <c r="A2596" t="n">
        <v>12.562</v>
      </c>
      <c r="B2596" t="n">
        <v>0.031</v>
      </c>
      <c r="C2596" t="n">
        <v>0.993</v>
      </c>
      <c r="D2596" t="n">
        <v>0.101</v>
      </c>
    </row>
    <row r="2597">
      <c r="A2597" t="n">
        <v>12.563</v>
      </c>
      <c r="B2597" t="n">
        <v>0.028</v>
      </c>
      <c r="C2597" t="n">
        <v>0.984</v>
      </c>
      <c r="D2597" t="n">
        <v>0.108</v>
      </c>
    </row>
    <row r="2598">
      <c r="A2598" t="n">
        <v>12.564</v>
      </c>
      <c r="B2598" t="n">
        <v>0.03</v>
      </c>
      <c r="C2598" t="n">
        <v>0.978</v>
      </c>
      <c r="D2598" t="n">
        <v>0.117</v>
      </c>
    </row>
    <row r="2599">
      <c r="A2599" t="n">
        <v>12.564</v>
      </c>
      <c r="B2599" t="n">
        <v>0.035</v>
      </c>
      <c r="C2599" t="n">
        <v>0.977</v>
      </c>
      <c r="D2599" t="n">
        <v>0.122</v>
      </c>
    </row>
    <row r="2600">
      <c r="A2600" t="n">
        <v>12.565</v>
      </c>
      <c r="B2600" t="n">
        <v>0.042</v>
      </c>
      <c r="C2600" t="n">
        <v>0.978</v>
      </c>
      <c r="D2600" t="n">
        <v>0.115</v>
      </c>
    </row>
    <row r="2601">
      <c r="A2601" t="n">
        <v>12.566</v>
      </c>
      <c r="B2601" t="n">
        <v>0.048</v>
      </c>
      <c r="C2601" t="n">
        <v>0.981</v>
      </c>
      <c r="D2601" t="n">
        <v>0.097</v>
      </c>
    </row>
    <row r="2602">
      <c r="A2602" t="n">
        <v>12.571</v>
      </c>
      <c r="B2602" t="n">
        <v>0.052</v>
      </c>
      <c r="C2602" t="n">
        <v>0.987</v>
      </c>
      <c r="D2602" t="n">
        <v>0.082</v>
      </c>
    </row>
    <row r="2603">
      <c r="A2603" t="n">
        <v>12.571</v>
      </c>
      <c r="B2603" t="n">
        <v>0.053</v>
      </c>
      <c r="C2603" t="n">
        <v>0.994</v>
      </c>
      <c r="D2603" t="n">
        <v>0.061</v>
      </c>
    </row>
    <row r="2604">
      <c r="A2604" t="n">
        <v>12.572</v>
      </c>
      <c r="B2604" t="n">
        <v>0.05</v>
      </c>
      <c r="C2604" t="n">
        <v>0.999</v>
      </c>
      <c r="D2604" t="n">
        <v>0.048</v>
      </c>
    </row>
    <row r="2605">
      <c r="A2605" t="n">
        <v>12.572</v>
      </c>
      <c r="B2605" t="n">
        <v>0.046</v>
      </c>
      <c r="C2605" t="n">
        <v>1</v>
      </c>
      <c r="D2605" t="n">
        <v>0.043</v>
      </c>
    </row>
    <row r="2606">
      <c r="A2606" t="n">
        <v>12.573</v>
      </c>
      <c r="B2606" t="n">
        <v>0.037</v>
      </c>
      <c r="C2606" t="n">
        <v>0.998</v>
      </c>
      <c r="D2606" t="n">
        <v>0.04</v>
      </c>
    </row>
    <row r="2607">
      <c r="A2607" t="n">
        <v>12.582</v>
      </c>
      <c r="B2607" t="n">
        <v>0.028</v>
      </c>
      <c r="C2607" t="n">
        <v>0.993</v>
      </c>
      <c r="D2607" t="n">
        <v>0.046</v>
      </c>
    </row>
    <row r="2608">
      <c r="A2608" t="n">
        <v>12.583</v>
      </c>
      <c r="B2608" t="n">
        <v>0.021</v>
      </c>
      <c r="C2608" t="n">
        <v>0.985</v>
      </c>
      <c r="D2608" t="n">
        <v>0.055</v>
      </c>
    </row>
    <row r="2609">
      <c r="A2609" t="n">
        <v>12.588</v>
      </c>
      <c r="B2609" t="n">
        <v>0.012</v>
      </c>
      <c r="C2609" t="n">
        <v>0.976</v>
      </c>
      <c r="D2609" t="n">
        <v>0.07199999999999999</v>
      </c>
    </row>
    <row r="2610">
      <c r="A2610" t="n">
        <v>12.598</v>
      </c>
      <c r="B2610" t="n">
        <v>0.013</v>
      </c>
      <c r="C2610" t="n">
        <v>0.972</v>
      </c>
      <c r="D2610" t="n">
        <v>0.089</v>
      </c>
    </row>
    <row r="2611">
      <c r="A2611" t="n">
        <v>12.599</v>
      </c>
      <c r="B2611" t="n">
        <v>0.026</v>
      </c>
      <c r="C2611" t="n">
        <v>0.97</v>
      </c>
      <c r="D2611" t="n">
        <v>0.096</v>
      </c>
    </row>
    <row r="2612">
      <c r="A2612" t="n">
        <v>12.603</v>
      </c>
      <c r="B2612" t="n">
        <v>0.045</v>
      </c>
      <c r="C2612" t="n">
        <v>0.973</v>
      </c>
      <c r="D2612" t="n">
        <v>0.097</v>
      </c>
    </row>
    <row r="2613">
      <c r="A2613" t="n">
        <v>12.629</v>
      </c>
      <c r="B2613" t="n">
        <v>0.062</v>
      </c>
      <c r="C2613" t="n">
        <v>0.975</v>
      </c>
      <c r="D2613" t="n">
        <v>0.099</v>
      </c>
    </row>
    <row r="2614">
      <c r="A2614" t="n">
        <v>12.63</v>
      </c>
      <c r="B2614" t="n">
        <v>0.074</v>
      </c>
      <c r="C2614" t="n">
        <v>0.972</v>
      </c>
      <c r="D2614" t="n">
        <v>0.106</v>
      </c>
    </row>
    <row r="2615">
      <c r="A2615" t="n">
        <v>12.63</v>
      </c>
      <c r="B2615" t="n">
        <v>0.08</v>
      </c>
      <c r="C2615" t="n">
        <v>0.968</v>
      </c>
      <c r="D2615" t="n">
        <v>0.107</v>
      </c>
    </row>
    <row r="2616">
      <c r="A2616" t="n">
        <v>12.63</v>
      </c>
      <c r="B2616" t="n">
        <v>0.082</v>
      </c>
      <c r="C2616" t="n">
        <v>0.965</v>
      </c>
      <c r="D2616" t="n">
        <v>0.112</v>
      </c>
    </row>
    <row r="2617">
      <c r="A2617" t="n">
        <v>12.631</v>
      </c>
      <c r="B2617" t="n">
        <v>0.083</v>
      </c>
      <c r="C2617" t="n">
        <v>0.967</v>
      </c>
      <c r="D2617" t="n">
        <v>0.118</v>
      </c>
    </row>
    <row r="2618">
      <c r="A2618" t="n">
        <v>12.634</v>
      </c>
      <c r="B2618" t="n">
        <v>0.08400000000000001</v>
      </c>
      <c r="C2618" t="n">
        <v>0.969</v>
      </c>
      <c r="D2618" t="n">
        <v>0.124</v>
      </c>
    </row>
    <row r="2619">
      <c r="A2619" t="n">
        <v>12.635</v>
      </c>
      <c r="B2619" t="n">
        <v>0.08400000000000001</v>
      </c>
      <c r="C2619" t="n">
        <v>0.969</v>
      </c>
      <c r="D2619" t="n">
        <v>0.124</v>
      </c>
    </row>
    <row r="2620">
      <c r="A2620" t="n">
        <v>12.638</v>
      </c>
      <c r="B2620" t="n">
        <v>0.08400000000000001</v>
      </c>
      <c r="C2620" t="n">
        <v>0.976</v>
      </c>
      <c r="D2620" t="n">
        <v>0.13</v>
      </c>
    </row>
    <row r="2621">
      <c r="A2621" t="n">
        <v>12.643</v>
      </c>
      <c r="B2621" t="n">
        <v>0.081</v>
      </c>
      <c r="C2621" t="n">
        <v>0.98</v>
      </c>
      <c r="D2621" t="n">
        <v>0.128</v>
      </c>
    </row>
    <row r="2622">
      <c r="A2622" t="n">
        <v>12.648</v>
      </c>
      <c r="B2622" t="n">
        <v>0.076</v>
      </c>
      <c r="C2622" t="n">
        <v>0.988</v>
      </c>
      <c r="D2622" t="n">
        <v>0.114</v>
      </c>
    </row>
    <row r="2623">
      <c r="A2623" t="n">
        <v>12.653</v>
      </c>
      <c r="B2623" t="n">
        <v>0.07099999999999999</v>
      </c>
      <c r="C2623" t="n">
        <v>0.995</v>
      </c>
      <c r="D2623" t="n">
        <v>0.089</v>
      </c>
    </row>
    <row r="2624">
      <c r="A2624" t="n">
        <v>12.663</v>
      </c>
      <c r="B2624" t="n">
        <v>0.066</v>
      </c>
      <c r="C2624" t="n">
        <v>1.003</v>
      </c>
      <c r="D2624" t="n">
        <v>0.061</v>
      </c>
    </row>
    <row r="2625">
      <c r="A2625" t="n">
        <v>12.664</v>
      </c>
      <c r="B2625" t="n">
        <v>0.061</v>
      </c>
      <c r="C2625" t="n">
        <v>1.013</v>
      </c>
      <c r="D2625" t="n">
        <v>0.031</v>
      </c>
    </row>
    <row r="2626">
      <c r="A2626" t="n">
        <v>12.667</v>
      </c>
      <c r="B2626" t="n">
        <v>0.057</v>
      </c>
      <c r="C2626" t="n">
        <v>1.029</v>
      </c>
      <c r="D2626" t="n">
        <v>0.015</v>
      </c>
    </row>
    <row r="2627">
      <c r="A2627" t="n">
        <v>12.674</v>
      </c>
      <c r="B2627" t="n">
        <v>0.054</v>
      </c>
      <c r="C2627" t="n">
        <v>1.042</v>
      </c>
      <c r="D2627" t="n">
        <v>0.008999999999999999</v>
      </c>
    </row>
    <row r="2628">
      <c r="A2628" t="n">
        <v>12.682</v>
      </c>
      <c r="B2628" t="n">
        <v>0.046</v>
      </c>
      <c r="C2628" t="n">
        <v>1.047</v>
      </c>
      <c r="D2628" t="n">
        <v>0.005</v>
      </c>
    </row>
    <row r="2629">
      <c r="A2629" t="n">
        <v>12.684</v>
      </c>
      <c r="B2629" t="n">
        <v>0.046</v>
      </c>
      <c r="C2629" t="n">
        <v>1.047</v>
      </c>
      <c r="D2629" t="n">
        <v>0.005</v>
      </c>
    </row>
    <row r="2630">
      <c r="A2630" t="n">
        <v>12.688</v>
      </c>
      <c r="B2630" t="n">
        <v>0.03</v>
      </c>
      <c r="C2630" t="n">
        <v>1.046</v>
      </c>
      <c r="D2630" t="n">
        <v>0.024</v>
      </c>
    </row>
    <row r="2631">
      <c r="A2631" t="n">
        <v>12.707</v>
      </c>
      <c r="B2631" t="n">
        <v>0.028</v>
      </c>
      <c r="C2631" t="n">
        <v>1.041</v>
      </c>
      <c r="D2631" t="n">
        <v>0.04</v>
      </c>
    </row>
    <row r="2632">
      <c r="A2632" t="n">
        <v>12.712</v>
      </c>
      <c r="B2632" t="n">
        <v>0.034</v>
      </c>
      <c r="C2632" t="n">
        <v>1.037</v>
      </c>
      <c r="D2632" t="n">
        <v>0.057</v>
      </c>
    </row>
    <row r="2633">
      <c r="A2633" t="n">
        <v>12.712</v>
      </c>
      <c r="B2633" t="n">
        <v>0.043</v>
      </c>
      <c r="C2633" t="n">
        <v>1.033</v>
      </c>
      <c r="D2633" t="n">
        <v>0.08400000000000001</v>
      </c>
    </row>
    <row r="2634">
      <c r="A2634" t="n">
        <v>12.713</v>
      </c>
      <c r="B2634" t="n">
        <v>0.058</v>
      </c>
      <c r="C2634" t="n">
        <v>1.027</v>
      </c>
      <c r="D2634" t="n">
        <v>0.103</v>
      </c>
    </row>
    <row r="2635">
      <c r="A2635" t="n">
        <v>12.715</v>
      </c>
      <c r="B2635" t="n">
        <v>0.058</v>
      </c>
      <c r="C2635" t="n">
        <v>1.027</v>
      </c>
      <c r="D2635" t="n">
        <v>0.103</v>
      </c>
    </row>
    <row r="2636">
      <c r="A2636" t="n">
        <v>12.716</v>
      </c>
      <c r="B2636" t="n">
        <v>0.068</v>
      </c>
      <c r="C2636" t="n">
        <v>1.021</v>
      </c>
      <c r="D2636" t="n">
        <v>0.12</v>
      </c>
    </row>
    <row r="2637">
      <c r="A2637" t="n">
        <v>12.761</v>
      </c>
      <c r="B2637" t="n">
        <v>0.079</v>
      </c>
      <c r="C2637" t="n">
        <v>1.013</v>
      </c>
      <c r="D2637" t="n">
        <v>0.129</v>
      </c>
    </row>
    <row r="2638">
      <c r="A2638" t="n">
        <v>12.762</v>
      </c>
      <c r="B2638" t="n">
        <v>0.089</v>
      </c>
      <c r="C2638" t="n">
        <v>1.006</v>
      </c>
      <c r="D2638" t="n">
        <v>0.138</v>
      </c>
    </row>
    <row r="2639">
      <c r="A2639" t="n">
        <v>12.763</v>
      </c>
      <c r="B2639" t="n">
        <v>0.102</v>
      </c>
      <c r="C2639" t="n">
        <v>1.004</v>
      </c>
      <c r="D2639" t="n">
        <v>0.14</v>
      </c>
    </row>
    <row r="2640">
      <c r="A2640" t="n">
        <v>12.764</v>
      </c>
      <c r="B2640" t="n">
        <v>0.115</v>
      </c>
      <c r="C2640" t="n">
        <v>1.006</v>
      </c>
      <c r="D2640" t="n">
        <v>0.14</v>
      </c>
    </row>
    <row r="2641">
      <c r="A2641" t="n">
        <v>12.765</v>
      </c>
      <c r="B2641" t="n">
        <v>0.128</v>
      </c>
      <c r="C2641" t="n">
        <v>1.011</v>
      </c>
      <c r="D2641" t="n">
        <v>0.127</v>
      </c>
    </row>
    <row r="2642">
      <c r="A2642" t="n">
        <v>12.765</v>
      </c>
      <c r="B2642" t="n">
        <v>0.137</v>
      </c>
      <c r="C2642" t="n">
        <v>1.016</v>
      </c>
      <c r="D2642" t="n">
        <v>0.108</v>
      </c>
    </row>
    <row r="2643">
      <c r="A2643" t="n">
        <v>12.766</v>
      </c>
      <c r="B2643" t="n">
        <v>0.137</v>
      </c>
      <c r="C2643" t="n">
        <v>1.028</v>
      </c>
      <c r="D2643" t="n">
        <v>0.08799999999999999</v>
      </c>
    </row>
    <row r="2644">
      <c r="A2644" t="n">
        <v>12.767</v>
      </c>
      <c r="B2644" t="n">
        <v>0.124</v>
      </c>
      <c r="C2644" t="n">
        <v>1.034</v>
      </c>
      <c r="D2644" t="n">
        <v>0.065</v>
      </c>
    </row>
    <row r="2645">
      <c r="A2645" t="n">
        <v>12.768</v>
      </c>
      <c r="B2645" t="n">
        <v>0.108</v>
      </c>
      <c r="C2645" t="n">
        <v>1.037</v>
      </c>
      <c r="D2645" t="n">
        <v>0.041</v>
      </c>
    </row>
    <row r="2646">
      <c r="A2646" t="n">
        <v>12.768</v>
      </c>
      <c r="B2646" t="n">
        <v>0.091</v>
      </c>
      <c r="C2646" t="n">
        <v>1.038</v>
      </c>
      <c r="D2646" t="n">
        <v>0.032</v>
      </c>
    </row>
    <row r="2647">
      <c r="A2647" t="n">
        <v>12.768</v>
      </c>
      <c r="B2647" t="n">
        <v>0.073</v>
      </c>
      <c r="C2647" t="n">
        <v>1.039</v>
      </c>
      <c r="D2647" t="n">
        <v>0.028</v>
      </c>
    </row>
    <row r="2648">
      <c r="A2648" t="n">
        <v>12.773</v>
      </c>
      <c r="B2648" t="n">
        <v>0.055</v>
      </c>
      <c r="C2648" t="n">
        <v>1.039</v>
      </c>
      <c r="D2648" t="n">
        <v>0.028</v>
      </c>
    </row>
    <row r="2649">
      <c r="A2649" t="n">
        <v>12.779</v>
      </c>
      <c r="B2649" t="n">
        <v>0.043</v>
      </c>
      <c r="C2649" t="n">
        <v>1.039</v>
      </c>
      <c r="D2649" t="n">
        <v>0.028</v>
      </c>
    </row>
    <row r="2650">
      <c r="A2650" t="n">
        <v>12.784</v>
      </c>
      <c r="B2650" t="n">
        <v>0.027</v>
      </c>
      <c r="C2650" t="n">
        <v>1.039</v>
      </c>
      <c r="D2650" t="n">
        <v>0.032</v>
      </c>
    </row>
    <row r="2651">
      <c r="A2651" t="n">
        <v>12.787</v>
      </c>
      <c r="B2651" t="n">
        <v>0.015</v>
      </c>
      <c r="C2651" t="n">
        <v>1.035</v>
      </c>
      <c r="D2651" t="n">
        <v>0.032</v>
      </c>
    </row>
    <row r="2652">
      <c r="A2652" t="n">
        <v>12.803</v>
      </c>
      <c r="B2652" t="n">
        <v>0.011</v>
      </c>
      <c r="C2652" t="n">
        <v>1.025</v>
      </c>
      <c r="D2652" t="n">
        <v>0.039</v>
      </c>
    </row>
    <row r="2653">
      <c r="A2653" t="n">
        <v>12.804</v>
      </c>
      <c r="B2653" t="n">
        <v>0.011</v>
      </c>
      <c r="C2653" t="n">
        <v>1.025</v>
      </c>
      <c r="D2653" t="n">
        <v>0.039</v>
      </c>
    </row>
    <row r="2654">
      <c r="A2654" t="n">
        <v>12.804</v>
      </c>
      <c r="B2654" t="n">
        <v>0.004</v>
      </c>
      <c r="C2654" t="n">
        <v>1.009</v>
      </c>
      <c r="D2654" t="n">
        <v>0.054</v>
      </c>
    </row>
    <row r="2655">
      <c r="A2655" t="n">
        <v>12.808</v>
      </c>
      <c r="B2655" t="n">
        <v>0.006</v>
      </c>
      <c r="C2655" t="n">
        <v>0.999</v>
      </c>
      <c r="D2655" t="n">
        <v>0.076</v>
      </c>
    </row>
    <row r="2656">
      <c r="A2656" t="n">
        <v>12.846</v>
      </c>
      <c r="B2656" t="n">
        <v>0.006</v>
      </c>
      <c r="C2656" t="n">
        <v>0.988</v>
      </c>
      <c r="D2656" t="n">
        <v>0.091</v>
      </c>
    </row>
    <row r="2657">
      <c r="A2657" t="n">
        <v>12.846</v>
      </c>
      <c r="B2657" t="n">
        <v>0.006</v>
      </c>
      <c r="C2657" t="n">
        <v>0.988</v>
      </c>
      <c r="D2657" t="n">
        <v>0.091</v>
      </c>
    </row>
    <row r="2658">
      <c r="A2658" t="n">
        <v>12.847</v>
      </c>
      <c r="B2658" t="n">
        <v>0.004</v>
      </c>
      <c r="C2658" t="n">
        <v>0.976</v>
      </c>
      <c r="D2658" t="n">
        <v>0.103</v>
      </c>
    </row>
    <row r="2659">
      <c r="A2659" t="n">
        <v>12.847</v>
      </c>
      <c r="B2659" t="n">
        <v>-0.002</v>
      </c>
      <c r="C2659" t="n">
        <v>0.959</v>
      </c>
      <c r="D2659" t="n">
        <v>0.109</v>
      </c>
    </row>
    <row r="2660">
      <c r="A2660" t="n">
        <v>12.847</v>
      </c>
      <c r="B2660" t="n">
        <v>-0.002</v>
      </c>
      <c r="C2660" t="n">
        <v>0.949</v>
      </c>
      <c r="D2660" t="n">
        <v>0.114</v>
      </c>
    </row>
    <row r="2661">
      <c r="A2661" t="n">
        <v>12.848</v>
      </c>
      <c r="B2661" t="n">
        <v>0.005</v>
      </c>
      <c r="C2661" t="n">
        <v>0.947</v>
      </c>
      <c r="D2661" t="n">
        <v>0.11</v>
      </c>
    </row>
    <row r="2662">
      <c r="A2662" t="n">
        <v>12.848</v>
      </c>
      <c r="B2662" t="n">
        <v>0.013</v>
      </c>
      <c r="C2662" t="n">
        <v>0.948</v>
      </c>
      <c r="D2662" t="n">
        <v>0.099</v>
      </c>
    </row>
    <row r="2663">
      <c r="A2663" t="n">
        <v>12.848</v>
      </c>
      <c r="B2663" t="n">
        <v>0.017</v>
      </c>
      <c r="C2663" t="n">
        <v>0.945</v>
      </c>
      <c r="D2663" t="n">
        <v>0.077</v>
      </c>
    </row>
    <row r="2664">
      <c r="A2664" t="n">
        <v>12.849</v>
      </c>
      <c r="B2664" t="n">
        <v>0.021</v>
      </c>
      <c r="C2664" t="n">
        <v>0.948</v>
      </c>
      <c r="D2664" t="n">
        <v>0.058</v>
      </c>
    </row>
    <row r="2665">
      <c r="A2665" t="n">
        <v>12.853</v>
      </c>
      <c r="B2665" t="n">
        <v>0.027</v>
      </c>
      <c r="C2665" t="n">
        <v>0.955</v>
      </c>
      <c r="D2665" t="n">
        <v>0.045</v>
      </c>
    </row>
    <row r="2666">
      <c r="A2666" t="n">
        <v>12.857</v>
      </c>
      <c r="B2666" t="n">
        <v>0.032</v>
      </c>
      <c r="C2666" t="n">
        <v>0.962</v>
      </c>
      <c r="D2666" t="n">
        <v>0.043</v>
      </c>
    </row>
    <row r="2667">
      <c r="A2667" t="n">
        <v>12.864</v>
      </c>
      <c r="B2667" t="n">
        <v>0.032</v>
      </c>
      <c r="C2667" t="n">
        <v>0.965</v>
      </c>
      <c r="D2667" t="n">
        <v>0.046</v>
      </c>
    </row>
    <row r="2668">
      <c r="A2668" t="n">
        <v>12.867</v>
      </c>
      <c r="B2668" t="n">
        <v>0.02</v>
      </c>
      <c r="C2668" t="n">
        <v>0.963</v>
      </c>
      <c r="D2668" t="n">
        <v>0.061</v>
      </c>
    </row>
    <row r="2669">
      <c r="A2669" t="n">
        <v>12.873</v>
      </c>
      <c r="B2669" t="n">
        <v>-0.01</v>
      </c>
      <c r="C2669" t="n">
        <v>0.956</v>
      </c>
      <c r="D2669" t="n">
        <v>0.064</v>
      </c>
    </row>
    <row r="2670">
      <c r="A2670" t="n">
        <v>12.885</v>
      </c>
      <c r="B2670" t="n">
        <v>-0.045</v>
      </c>
      <c r="C2670" t="n">
        <v>0.945</v>
      </c>
      <c r="D2670" t="n">
        <v>0.064</v>
      </c>
    </row>
    <row r="2671">
      <c r="A2671" t="n">
        <v>12.886</v>
      </c>
      <c r="B2671" t="n">
        <v>-0.078</v>
      </c>
      <c r="C2671" t="n">
        <v>0.9379999999999999</v>
      </c>
      <c r="D2671" t="n">
        <v>0.067</v>
      </c>
    </row>
    <row r="2672">
      <c r="A2672" t="n">
        <v>12.888</v>
      </c>
      <c r="B2672" t="n">
        <v>-0.116</v>
      </c>
      <c r="C2672" t="n">
        <v>0.928</v>
      </c>
      <c r="D2672" t="n">
        <v>0.06900000000000001</v>
      </c>
    </row>
    <row r="2673">
      <c r="A2673" t="n">
        <v>12.921</v>
      </c>
      <c r="B2673" t="n">
        <v>-0.138</v>
      </c>
      <c r="C2673" t="n">
        <v>0.918</v>
      </c>
      <c r="D2673" t="n">
        <v>0.07000000000000001</v>
      </c>
    </row>
    <row r="2674">
      <c r="A2674" t="n">
        <v>12.922</v>
      </c>
      <c r="B2674" t="n">
        <v>-0.138</v>
      </c>
      <c r="C2674" t="n">
        <v>0.918</v>
      </c>
      <c r="D2674" t="n">
        <v>0.07000000000000001</v>
      </c>
    </row>
    <row r="2675">
      <c r="A2675" t="n">
        <v>12.923</v>
      </c>
      <c r="B2675" t="n">
        <v>-0.18</v>
      </c>
      <c r="C2675" t="n">
        <v>0.902</v>
      </c>
      <c r="D2675" t="n">
        <v>0.07000000000000001</v>
      </c>
    </row>
    <row r="2676">
      <c r="A2676" t="n">
        <v>12.923</v>
      </c>
      <c r="B2676" t="n">
        <v>-0.176</v>
      </c>
      <c r="C2676" t="n">
        <v>0.902</v>
      </c>
      <c r="D2676" t="n">
        <v>0.07199999999999999</v>
      </c>
    </row>
    <row r="2677">
      <c r="A2677" t="n">
        <v>12.924</v>
      </c>
      <c r="B2677" t="n">
        <v>-0.144</v>
      </c>
      <c r="C2677" t="n">
        <v>0.905</v>
      </c>
      <c r="D2677" t="n">
        <v>0.093</v>
      </c>
    </row>
    <row r="2678">
      <c r="A2678" t="n">
        <v>12.924</v>
      </c>
      <c r="B2678" t="n">
        <v>-0.111</v>
      </c>
      <c r="C2678" t="n">
        <v>0.91</v>
      </c>
      <c r="D2678" t="n">
        <v>0.119</v>
      </c>
    </row>
    <row r="2679">
      <c r="A2679" t="n">
        <v>12.925</v>
      </c>
      <c r="B2679" t="n">
        <v>-0.08500000000000001</v>
      </c>
      <c r="C2679" t="n">
        <v>0.923</v>
      </c>
      <c r="D2679" t="n">
        <v>0.131</v>
      </c>
    </row>
    <row r="2680">
      <c r="A2680" t="n">
        <v>12.931</v>
      </c>
      <c r="B2680" t="n">
        <v>-0.041</v>
      </c>
      <c r="C2680" t="n">
        <v>0.9429999999999999</v>
      </c>
      <c r="D2680" t="n">
        <v>0.107</v>
      </c>
    </row>
    <row r="2681">
      <c r="A2681" t="n">
        <v>12.933</v>
      </c>
      <c r="B2681" t="n">
        <v>0.021</v>
      </c>
      <c r="C2681" t="n">
        <v>0.969</v>
      </c>
      <c r="D2681" t="n">
        <v>0.062</v>
      </c>
    </row>
    <row r="2682">
      <c r="A2682" t="n">
        <v>12.938</v>
      </c>
      <c r="B2682" t="n">
        <v>0.09</v>
      </c>
      <c r="C2682" t="n">
        <v>0.996</v>
      </c>
      <c r="D2682" t="n">
        <v>0.014</v>
      </c>
    </row>
    <row r="2683">
      <c r="A2683" t="n">
        <v>12.947</v>
      </c>
      <c r="B2683" t="n">
        <v>0.152</v>
      </c>
      <c r="C2683" t="n">
        <v>1.021</v>
      </c>
      <c r="D2683" t="n">
        <v>-0.005</v>
      </c>
    </row>
    <row r="2684">
      <c r="A2684" t="n">
        <v>12.948</v>
      </c>
      <c r="B2684" t="n">
        <v>0.223</v>
      </c>
      <c r="C2684" t="n">
        <v>1.03</v>
      </c>
      <c r="D2684" t="n">
        <v>0.006</v>
      </c>
    </row>
    <row r="2685">
      <c r="A2685" t="n">
        <v>12.953</v>
      </c>
      <c r="B2685" t="n">
        <v>0.279</v>
      </c>
      <c r="C2685" t="n">
        <v>1.033</v>
      </c>
      <c r="D2685" t="n">
        <v>0.032</v>
      </c>
    </row>
    <row r="2686">
      <c r="A2686" t="n">
        <v>12.958</v>
      </c>
      <c r="B2686" t="n">
        <v>0.338</v>
      </c>
      <c r="C2686" t="n">
        <v>1.034</v>
      </c>
      <c r="D2686" t="n">
        <v>0.063</v>
      </c>
    </row>
    <row r="2687">
      <c r="A2687" t="n">
        <v>12.964</v>
      </c>
      <c r="B2687" t="n">
        <v>0.368</v>
      </c>
      <c r="C2687" t="n">
        <v>1.023</v>
      </c>
      <c r="D2687" t="n">
        <v>0.103</v>
      </c>
    </row>
    <row r="2688">
      <c r="A2688" t="n">
        <v>12.967</v>
      </c>
      <c r="B2688" t="n">
        <v>0.363</v>
      </c>
      <c r="C2688" t="n">
        <v>1.001</v>
      </c>
      <c r="D2688" t="n">
        <v>0.153</v>
      </c>
    </row>
    <row r="2689">
      <c r="A2689" t="n">
        <v>12.973</v>
      </c>
      <c r="B2689" t="n">
        <v>0.34</v>
      </c>
      <c r="C2689" t="n">
        <v>0.981</v>
      </c>
      <c r="D2689" t="n">
        <v>0.204</v>
      </c>
    </row>
    <row r="2690">
      <c r="A2690" t="n">
        <v>12.992</v>
      </c>
      <c r="B2690" t="n">
        <v>0.32</v>
      </c>
      <c r="C2690" t="n">
        <v>0.962</v>
      </c>
      <c r="D2690" t="n">
        <v>0.254</v>
      </c>
    </row>
    <row r="2691">
      <c r="A2691" t="n">
        <v>12.994</v>
      </c>
      <c r="B2691" t="n">
        <v>0.31</v>
      </c>
      <c r="C2691" t="n">
        <v>0.9419999999999999</v>
      </c>
      <c r="D2691" t="n">
        <v>0.293</v>
      </c>
    </row>
    <row r="2692">
      <c r="A2692" t="n">
        <v>12.995</v>
      </c>
      <c r="B2692" t="n">
        <v>0.303</v>
      </c>
      <c r="C2692" t="n">
        <v>0.928</v>
      </c>
      <c r="D2692" t="n">
        <v>0.313</v>
      </c>
    </row>
    <row r="2693">
      <c r="A2693" t="n">
        <v>13.004</v>
      </c>
      <c r="B2693" t="n">
        <v>0.301</v>
      </c>
      <c r="C2693" t="n">
        <v>0.918</v>
      </c>
      <c r="D2693" t="n">
        <v>0.318</v>
      </c>
    </row>
    <row r="2694">
      <c r="A2694" t="n">
        <v>13.005</v>
      </c>
      <c r="B2694" t="n">
        <v>0.301</v>
      </c>
      <c r="C2694" t="n">
        <v>0.918</v>
      </c>
      <c r="D2694" t="n">
        <v>0.318</v>
      </c>
    </row>
    <row r="2695">
      <c r="A2695" t="n">
        <v>13.013</v>
      </c>
      <c r="B2695" t="n">
        <v>0.301</v>
      </c>
      <c r="C2695" t="n">
        <v>0.918</v>
      </c>
      <c r="D2695" t="n">
        <v>0.318</v>
      </c>
    </row>
    <row r="2696">
      <c r="A2696" t="n">
        <v>13.014</v>
      </c>
      <c r="B2696" t="n">
        <v>0.301</v>
      </c>
      <c r="C2696" t="n">
        <v>0.918</v>
      </c>
      <c r="D2696" t="n">
        <v>0.318</v>
      </c>
    </row>
    <row r="2697">
      <c r="A2697" t="n">
        <v>13.014</v>
      </c>
      <c r="B2697" t="n">
        <v>0.301</v>
      </c>
      <c r="C2697" t="n">
        <v>0.918</v>
      </c>
      <c r="D2697" t="n">
        <v>0.318</v>
      </c>
    </row>
    <row r="2698">
      <c r="A2698" t="n">
        <v>13.045</v>
      </c>
      <c r="B2698" t="n">
        <v>0.289</v>
      </c>
      <c r="C2698" t="n">
        <v>0.918</v>
      </c>
      <c r="D2698" t="n">
        <v>0.313</v>
      </c>
    </row>
    <row r="2699">
      <c r="A2699" t="n">
        <v>13.045</v>
      </c>
      <c r="B2699" t="n">
        <v>0.289</v>
      </c>
      <c r="C2699" t="n">
        <v>0.918</v>
      </c>
      <c r="D2699" t="n">
        <v>0.313</v>
      </c>
    </row>
    <row r="2700">
      <c r="A2700" t="n">
        <v>13.046</v>
      </c>
      <c r="B2700" t="n">
        <v>0.21</v>
      </c>
      <c r="C2700" t="n">
        <v>0.92</v>
      </c>
      <c r="D2700" t="n">
        <v>0.256</v>
      </c>
    </row>
    <row r="2701">
      <c r="A2701" t="n">
        <v>13.046</v>
      </c>
      <c r="B2701" t="n">
        <v>0.218</v>
      </c>
      <c r="C2701" t="n">
        <v>0.921</v>
      </c>
      <c r="D2701" t="n">
        <v>0.244</v>
      </c>
    </row>
    <row r="2702">
      <c r="A2702" t="n">
        <v>13.052</v>
      </c>
      <c r="B2702" t="n">
        <v>0.258</v>
      </c>
      <c r="C2702" t="n">
        <v>0.927</v>
      </c>
      <c r="D2702" t="n">
        <v>0.249</v>
      </c>
    </row>
    <row r="2703">
      <c r="A2703" t="n">
        <v>13.053</v>
      </c>
      <c r="B2703" t="n">
        <v>0.302</v>
      </c>
      <c r="C2703" t="n">
        <v>0.946</v>
      </c>
      <c r="D2703" t="n">
        <v>0.248</v>
      </c>
    </row>
    <row r="2704">
      <c r="A2704" t="n">
        <v>13.053</v>
      </c>
      <c r="B2704" t="n">
        <v>0.327</v>
      </c>
      <c r="C2704" t="n">
        <v>0.959</v>
      </c>
      <c r="D2704" t="n">
        <v>0.246</v>
      </c>
    </row>
    <row r="2705">
      <c r="A2705" t="n">
        <v>13.053</v>
      </c>
      <c r="B2705" t="n">
        <v>0.34</v>
      </c>
      <c r="C2705" t="n">
        <v>0.965</v>
      </c>
      <c r="D2705" t="n">
        <v>0.228</v>
      </c>
    </row>
    <row r="2706">
      <c r="A2706" t="n">
        <v>13.058</v>
      </c>
      <c r="B2706" t="n">
        <v>0.364</v>
      </c>
      <c r="C2706" t="n">
        <v>0.961</v>
      </c>
      <c r="D2706" t="n">
        <v>0.22</v>
      </c>
    </row>
    <row r="2707">
      <c r="A2707" t="n">
        <v>13.063</v>
      </c>
      <c r="B2707" t="n">
        <v>0.392</v>
      </c>
      <c r="C2707" t="n">
        <v>0.946</v>
      </c>
      <c r="D2707" t="n">
        <v>0.24</v>
      </c>
    </row>
    <row r="2708">
      <c r="A2708" t="n">
        <v>13.068</v>
      </c>
      <c r="B2708" t="n">
        <v>0.413</v>
      </c>
      <c r="C2708" t="n">
        <v>0.931</v>
      </c>
      <c r="D2708" t="n">
        <v>0.264</v>
      </c>
    </row>
    <row r="2709">
      <c r="A2709" t="n">
        <v>13.073</v>
      </c>
      <c r="B2709" t="n">
        <v>0.433</v>
      </c>
      <c r="C2709" t="n">
        <v>0.92</v>
      </c>
      <c r="D2709" t="n">
        <v>0.301</v>
      </c>
    </row>
    <row r="2710">
      <c r="A2710" t="n">
        <v>13.079</v>
      </c>
      <c r="B2710" t="n">
        <v>0.44</v>
      </c>
      <c r="C2710" t="n">
        <v>0.906</v>
      </c>
      <c r="D2710" t="n">
        <v>0.333</v>
      </c>
    </row>
    <row r="2711">
      <c r="A2711" t="n">
        <v>13.084</v>
      </c>
      <c r="B2711" t="n">
        <v>0.443</v>
      </c>
      <c r="C2711" t="n">
        <v>0.895</v>
      </c>
      <c r="D2711" t="n">
        <v>0.352</v>
      </c>
    </row>
    <row r="2712">
      <c r="A2712" t="n">
        <v>13.088</v>
      </c>
      <c r="B2712" t="n">
        <v>0.44</v>
      </c>
      <c r="C2712" t="n">
        <v>0.887</v>
      </c>
      <c r="D2712" t="n">
        <v>0.353</v>
      </c>
    </row>
    <row r="2713">
      <c r="A2713" t="n">
        <v>13.104</v>
      </c>
      <c r="B2713" t="n">
        <v>0.447</v>
      </c>
      <c r="C2713" t="n">
        <v>0.878</v>
      </c>
      <c r="D2713" t="n">
        <v>0.361</v>
      </c>
    </row>
    <row r="2714">
      <c r="A2714" t="n">
        <v>13.105</v>
      </c>
      <c r="B2714" t="n">
        <v>0.46</v>
      </c>
      <c r="C2714" t="n">
        <v>0.875</v>
      </c>
      <c r="D2714" t="n">
        <v>0.367</v>
      </c>
    </row>
    <row r="2715">
      <c r="A2715" t="n">
        <v>13.106</v>
      </c>
      <c r="B2715" t="n">
        <v>0.469</v>
      </c>
      <c r="C2715" t="n">
        <v>0.876</v>
      </c>
      <c r="D2715" t="n">
        <v>0.365</v>
      </c>
    </row>
    <row r="2716">
      <c r="A2716" t="n">
        <v>13.108</v>
      </c>
      <c r="B2716" t="n">
        <v>0.471</v>
      </c>
      <c r="C2716" t="n">
        <v>0.877</v>
      </c>
      <c r="D2716" t="n">
        <v>0.36</v>
      </c>
    </row>
    <row r="2717">
      <c r="A2717" t="n">
        <v>13.138</v>
      </c>
      <c r="B2717" t="n">
        <v>0.459</v>
      </c>
      <c r="C2717" t="n">
        <v>0.878</v>
      </c>
      <c r="D2717" t="n">
        <v>0.344</v>
      </c>
    </row>
    <row r="2718">
      <c r="A2718" t="n">
        <v>13.139</v>
      </c>
      <c r="B2718" t="n">
        <v>0.458</v>
      </c>
      <c r="C2718" t="n">
        <v>0.882</v>
      </c>
      <c r="D2718" t="n">
        <v>0.332</v>
      </c>
    </row>
    <row r="2719">
      <c r="A2719" t="n">
        <v>13.139</v>
      </c>
      <c r="B2719" t="n">
        <v>0.473</v>
      </c>
      <c r="C2719" t="n">
        <v>0.886</v>
      </c>
      <c r="D2719" t="n">
        <v>0.33</v>
      </c>
    </row>
    <row r="2720">
      <c r="A2720" t="n">
        <v>13.14</v>
      </c>
      <c r="B2720" t="n">
        <v>0.493</v>
      </c>
      <c r="C2720" t="n">
        <v>0.889</v>
      </c>
      <c r="D2720" t="n">
        <v>0.334</v>
      </c>
    </row>
    <row r="2721">
      <c r="A2721" t="n">
        <v>13.14</v>
      </c>
      <c r="B2721" t="n">
        <v>0.509</v>
      </c>
      <c r="C2721" t="n">
        <v>0.888</v>
      </c>
      <c r="D2721" t="n">
        <v>0.343</v>
      </c>
    </row>
    <row r="2722">
      <c r="A2722" t="n">
        <v>13.14</v>
      </c>
      <c r="B2722" t="n">
        <v>0.517</v>
      </c>
      <c r="C2722" t="n">
        <v>0.886</v>
      </c>
      <c r="D2722" t="n">
        <v>0.354</v>
      </c>
    </row>
    <row r="2723">
      <c r="A2723" t="n">
        <v>13.143</v>
      </c>
      <c r="B2723" t="n">
        <v>0.513</v>
      </c>
      <c r="C2723" t="n">
        <v>0.879</v>
      </c>
      <c r="D2723" t="n">
        <v>0.37</v>
      </c>
    </row>
    <row r="2724">
      <c r="A2724" t="n">
        <v>13.164</v>
      </c>
      <c r="B2724" t="n">
        <v>0.504</v>
      </c>
      <c r="C2724" t="n">
        <v>0.873</v>
      </c>
      <c r="D2724" t="n">
        <v>0.381</v>
      </c>
    </row>
    <row r="2725">
      <c r="A2725" t="n">
        <v>13.164</v>
      </c>
      <c r="B2725" t="n">
        <v>0.498</v>
      </c>
      <c r="C2725" t="n">
        <v>0.872</v>
      </c>
      <c r="D2725" t="n">
        <v>0.387</v>
      </c>
    </row>
    <row r="2726">
      <c r="A2726" t="n">
        <v>13.165</v>
      </c>
      <c r="B2726" t="n">
        <v>0.494</v>
      </c>
      <c r="C2726" t="n">
        <v>0.88</v>
      </c>
      <c r="D2726" t="n">
        <v>0.38</v>
      </c>
    </row>
    <row r="2727">
      <c r="A2727" t="n">
        <v>13.165</v>
      </c>
      <c r="B2727" t="n">
        <v>0.487</v>
      </c>
      <c r="C2727" t="n">
        <v>0.888</v>
      </c>
      <c r="D2727" t="n">
        <v>0.371</v>
      </c>
    </row>
    <row r="2728">
      <c r="A2728" t="n">
        <v>13.168</v>
      </c>
      <c r="B2728" t="n">
        <v>0.479</v>
      </c>
      <c r="C2728" t="n">
        <v>0.894</v>
      </c>
      <c r="D2728" t="n">
        <v>0.354</v>
      </c>
    </row>
    <row r="2729">
      <c r="A2729" t="n">
        <v>13.173</v>
      </c>
      <c r="B2729" t="n">
        <v>0.464</v>
      </c>
      <c r="C2729" t="n">
        <v>0.897</v>
      </c>
      <c r="D2729" t="n">
        <v>0.336</v>
      </c>
    </row>
    <row r="2730">
      <c r="A2730" t="n">
        <v>13.182</v>
      </c>
      <c r="B2730" t="n">
        <v>0.452</v>
      </c>
      <c r="C2730" t="n">
        <v>0.897</v>
      </c>
      <c r="D2730" t="n">
        <v>0.322</v>
      </c>
    </row>
    <row r="2731">
      <c r="A2731" t="n">
        <v>13.183</v>
      </c>
      <c r="B2731" t="n">
        <v>0.44</v>
      </c>
      <c r="C2731" t="n">
        <v>0.895</v>
      </c>
      <c r="D2731" t="n">
        <v>0.317</v>
      </c>
    </row>
    <row r="2732">
      <c r="A2732" t="n">
        <v>13.188</v>
      </c>
      <c r="B2732" t="n">
        <v>0.432</v>
      </c>
      <c r="C2732" t="n">
        <v>0.899</v>
      </c>
      <c r="D2732" t="n">
        <v>0.325</v>
      </c>
    </row>
    <row r="2733">
      <c r="A2733" t="n">
        <v>13.206</v>
      </c>
      <c r="B2733" t="n">
        <v>0.428</v>
      </c>
      <c r="C2733" t="n">
        <v>0.905</v>
      </c>
      <c r="D2733" t="n">
        <v>0.33</v>
      </c>
    </row>
    <row r="2734">
      <c r="A2734" t="n">
        <v>13.207</v>
      </c>
      <c r="B2734" t="n">
        <v>0.427</v>
      </c>
      <c r="C2734" t="n">
        <v>0.909</v>
      </c>
      <c r="D2734" t="n">
        <v>0.326</v>
      </c>
    </row>
    <row r="2735">
      <c r="A2735" t="n">
        <v>13.208</v>
      </c>
      <c r="B2735" t="n">
        <v>0.421</v>
      </c>
      <c r="C2735" t="n">
        <v>0.914</v>
      </c>
      <c r="D2735" t="n">
        <v>0.316</v>
      </c>
    </row>
    <row r="2736">
      <c r="A2736" t="n">
        <v>13.208</v>
      </c>
      <c r="B2736" t="n">
        <v>0.413</v>
      </c>
      <c r="C2736" t="n">
        <v>0.915</v>
      </c>
      <c r="D2736" t="n">
        <v>0.301</v>
      </c>
    </row>
    <row r="2737">
      <c r="A2737" t="n">
        <v>13.255</v>
      </c>
      <c r="B2737" t="n">
        <v>0.405</v>
      </c>
      <c r="C2737" t="n">
        <v>0.916</v>
      </c>
      <c r="D2737" t="n">
        <v>0.28</v>
      </c>
    </row>
    <row r="2738">
      <c r="A2738" t="n">
        <v>13.256</v>
      </c>
      <c r="B2738" t="n">
        <v>0.405</v>
      </c>
      <c r="C2738" t="n">
        <v>0.916</v>
      </c>
      <c r="D2738" t="n">
        <v>0.28</v>
      </c>
    </row>
    <row r="2739">
      <c r="A2739" t="n">
        <v>13.257</v>
      </c>
      <c r="B2739" t="n">
        <v>0.383</v>
      </c>
      <c r="C2739" t="n">
        <v>0.91</v>
      </c>
      <c r="D2739" t="n">
        <v>0.265</v>
      </c>
    </row>
    <row r="2740">
      <c r="A2740" t="n">
        <v>13.258</v>
      </c>
      <c r="B2740" t="n">
        <v>0.374</v>
      </c>
      <c r="C2740" t="n">
        <v>0.907</v>
      </c>
      <c r="D2740" t="n">
        <v>0.276</v>
      </c>
    </row>
    <row r="2741">
      <c r="A2741" t="n">
        <v>13.258</v>
      </c>
      <c r="B2741" t="n">
        <v>0.366</v>
      </c>
      <c r="C2741" t="n">
        <v>0.905</v>
      </c>
      <c r="D2741" t="n">
        <v>0.28</v>
      </c>
    </row>
    <row r="2742">
      <c r="A2742" t="n">
        <v>13.259</v>
      </c>
      <c r="B2742" t="n">
        <v>0.362</v>
      </c>
      <c r="C2742" t="n">
        <v>0.906</v>
      </c>
      <c r="D2742" t="n">
        <v>0.275</v>
      </c>
    </row>
    <row r="2743">
      <c r="A2743" t="n">
        <v>13.26</v>
      </c>
      <c r="B2743" t="n">
        <v>0.361</v>
      </c>
      <c r="C2743" t="n">
        <v>0.909</v>
      </c>
      <c r="D2743" t="n">
        <v>0.272</v>
      </c>
    </row>
    <row r="2744">
      <c r="A2744" t="n">
        <v>13.261</v>
      </c>
      <c r="B2744" t="n">
        <v>0.359</v>
      </c>
      <c r="C2744" t="n">
        <v>0.917</v>
      </c>
      <c r="D2744" t="n">
        <v>0.258</v>
      </c>
    </row>
    <row r="2745">
      <c r="A2745" t="n">
        <v>13.263</v>
      </c>
      <c r="B2745" t="n">
        <v>0.356</v>
      </c>
      <c r="C2745" t="n">
        <v>0.918</v>
      </c>
      <c r="D2745" t="n">
        <v>0.243</v>
      </c>
    </row>
    <row r="2746">
      <c r="A2746" t="n">
        <v>13.263</v>
      </c>
      <c r="B2746" t="n">
        <v>0.348</v>
      </c>
      <c r="C2746" t="n">
        <v>0.916</v>
      </c>
      <c r="D2746" t="n">
        <v>0.23</v>
      </c>
    </row>
    <row r="2747">
      <c r="A2747" t="n">
        <v>13.264</v>
      </c>
      <c r="B2747" t="n">
        <v>0.343</v>
      </c>
      <c r="C2747" t="n">
        <v>0.914</v>
      </c>
      <c r="D2747" t="n">
        <v>0.225</v>
      </c>
    </row>
    <row r="2748">
      <c r="A2748" t="n">
        <v>13.268</v>
      </c>
      <c r="B2748" t="n">
        <v>0.337</v>
      </c>
      <c r="C2748" t="n">
        <v>0.909</v>
      </c>
      <c r="D2748" t="n">
        <v>0.229</v>
      </c>
    </row>
    <row r="2749">
      <c r="A2749" t="n">
        <v>13.273</v>
      </c>
      <c r="B2749" t="n">
        <v>0.329</v>
      </c>
      <c r="C2749" t="n">
        <v>0.902</v>
      </c>
      <c r="D2749" t="n">
        <v>0.243</v>
      </c>
    </row>
    <row r="2750">
      <c r="A2750" t="n">
        <v>13.289</v>
      </c>
      <c r="B2750" t="n">
        <v>0.323</v>
      </c>
      <c r="C2750" t="n">
        <v>0.899</v>
      </c>
      <c r="D2750" t="n">
        <v>0.254</v>
      </c>
    </row>
    <row r="2751">
      <c r="A2751" t="n">
        <v>13.29</v>
      </c>
      <c r="B2751" t="n">
        <v>0.323</v>
      </c>
      <c r="C2751" t="n">
        <v>0.899</v>
      </c>
      <c r="D2751" t="n">
        <v>0.254</v>
      </c>
    </row>
    <row r="2752">
      <c r="A2752" t="n">
        <v>13.29</v>
      </c>
      <c r="B2752" t="n">
        <v>0.314</v>
      </c>
      <c r="C2752" t="n">
        <v>0.898</v>
      </c>
      <c r="D2752" t="n">
        <v>0.265</v>
      </c>
    </row>
    <row r="2753">
      <c r="A2753" t="n">
        <v>13.291</v>
      </c>
      <c r="B2753" t="n">
        <v>0.308</v>
      </c>
      <c r="C2753" t="n">
        <v>0.894</v>
      </c>
      <c r="D2753" t="n">
        <v>0.274</v>
      </c>
    </row>
    <row r="2754">
      <c r="A2754" t="n">
        <v>13.293</v>
      </c>
      <c r="B2754" t="n">
        <v>0.306</v>
      </c>
      <c r="C2754" t="n">
        <v>0.888</v>
      </c>
      <c r="D2754" t="n">
        <v>0.279</v>
      </c>
    </row>
    <row r="2755">
      <c r="A2755" t="n">
        <v>13.325</v>
      </c>
      <c r="B2755" t="n">
        <v>0.31</v>
      </c>
      <c r="C2755" t="n">
        <v>0.885</v>
      </c>
      <c r="D2755" t="n">
        <v>0.272</v>
      </c>
    </row>
    <row r="2756">
      <c r="A2756" t="n">
        <v>13.325</v>
      </c>
      <c r="B2756" t="n">
        <v>0.316</v>
      </c>
      <c r="C2756" t="n">
        <v>0.887</v>
      </c>
      <c r="D2756" t="n">
        <v>0.274</v>
      </c>
    </row>
    <row r="2757">
      <c r="A2757" t="n">
        <v>13.326</v>
      </c>
      <c r="B2757" t="n">
        <v>0.318</v>
      </c>
      <c r="C2757" t="n">
        <v>0.89</v>
      </c>
      <c r="D2757" t="n">
        <v>0.276</v>
      </c>
    </row>
    <row r="2758">
      <c r="A2758" t="n">
        <v>13.326</v>
      </c>
      <c r="B2758" t="n">
        <v>0.318</v>
      </c>
      <c r="C2758" t="n">
        <v>0.895</v>
      </c>
      <c r="D2758" t="n">
        <v>0.275</v>
      </c>
    </row>
    <row r="2759">
      <c r="A2759" t="n">
        <v>13.326</v>
      </c>
      <c r="B2759" t="n">
        <v>0.322</v>
      </c>
      <c r="C2759" t="n">
        <v>0.896</v>
      </c>
      <c r="D2759" t="n">
        <v>0.275</v>
      </c>
    </row>
    <row r="2760">
      <c r="A2760" t="n">
        <v>13.326</v>
      </c>
      <c r="B2760" t="n">
        <v>0.334</v>
      </c>
      <c r="C2760" t="n">
        <v>0.898</v>
      </c>
      <c r="D2760" t="n">
        <v>0.272</v>
      </c>
    </row>
    <row r="2761">
      <c r="A2761" t="n">
        <v>13.346</v>
      </c>
      <c r="B2761" t="n">
        <v>0.346</v>
      </c>
      <c r="C2761" t="n">
        <v>0.903</v>
      </c>
      <c r="D2761" t="n">
        <v>0.264</v>
      </c>
    </row>
    <row r="2762">
      <c r="A2762" t="n">
        <v>13.347</v>
      </c>
      <c r="B2762" t="n">
        <v>0.351</v>
      </c>
      <c r="C2762" t="n">
        <v>0.91</v>
      </c>
      <c r="D2762" t="n">
        <v>0.25</v>
      </c>
    </row>
    <row r="2763">
      <c r="A2763" t="n">
        <v>13.347</v>
      </c>
      <c r="B2763" t="n">
        <v>0.359</v>
      </c>
      <c r="C2763" t="n">
        <v>0.913</v>
      </c>
      <c r="D2763" t="n">
        <v>0.246</v>
      </c>
    </row>
    <row r="2764">
      <c r="A2764" t="n">
        <v>13.347</v>
      </c>
      <c r="B2764" t="n">
        <v>0.365</v>
      </c>
      <c r="C2764" t="n">
        <v>0.92</v>
      </c>
      <c r="D2764" t="n">
        <v>0.237</v>
      </c>
    </row>
    <row r="2765">
      <c r="A2765" t="n">
        <v>13.348</v>
      </c>
      <c r="B2765" t="n">
        <v>0.373</v>
      </c>
      <c r="C2765" t="n">
        <v>0.923</v>
      </c>
      <c r="D2765" t="n">
        <v>0.228</v>
      </c>
    </row>
    <row r="2766">
      <c r="A2766" t="n">
        <v>13.355</v>
      </c>
      <c r="B2766" t="n">
        <v>0.374</v>
      </c>
      <c r="C2766" t="n">
        <v>0.924</v>
      </c>
      <c r="D2766" t="n">
        <v>0.222</v>
      </c>
    </row>
    <row r="2767">
      <c r="A2767" t="n">
        <v>13.356</v>
      </c>
      <c r="B2767" t="n">
        <v>0.374</v>
      </c>
      <c r="C2767" t="n">
        <v>0.924</v>
      </c>
      <c r="D2767" t="n">
        <v>0.222</v>
      </c>
    </row>
    <row r="2768">
      <c r="A2768" t="n">
        <v>13.359</v>
      </c>
      <c r="B2768" t="n">
        <v>0.368</v>
      </c>
      <c r="C2768" t="n">
        <v>0.924</v>
      </c>
      <c r="D2768" t="n">
        <v>0.223</v>
      </c>
    </row>
    <row r="2769">
      <c r="A2769" t="n">
        <v>13.371</v>
      </c>
      <c r="B2769" t="n">
        <v>0.362</v>
      </c>
      <c r="C2769" t="n">
        <v>0.929</v>
      </c>
      <c r="D2769" t="n">
        <v>0.224</v>
      </c>
    </row>
    <row r="2770">
      <c r="A2770" t="n">
        <v>13.373</v>
      </c>
      <c r="B2770" t="n">
        <v>0.355</v>
      </c>
      <c r="C2770" t="n">
        <v>0.929</v>
      </c>
      <c r="D2770" t="n">
        <v>0.225</v>
      </c>
    </row>
    <row r="2771">
      <c r="A2771" t="n">
        <v>13.374</v>
      </c>
      <c r="B2771" t="n">
        <v>0.343</v>
      </c>
      <c r="C2771" t="n">
        <v>0.927</v>
      </c>
      <c r="D2771" t="n">
        <v>0.232</v>
      </c>
    </row>
    <row r="2772">
      <c r="A2772" t="n">
        <v>13.386</v>
      </c>
      <c r="B2772" t="n">
        <v>0.336</v>
      </c>
      <c r="C2772" t="n">
        <v>0.921</v>
      </c>
      <c r="D2772" t="n">
        <v>0.238</v>
      </c>
    </row>
    <row r="2773">
      <c r="A2773" t="n">
        <v>13.387</v>
      </c>
      <c r="B2773" t="n">
        <v>0.336</v>
      </c>
      <c r="C2773" t="n">
        <v>0.921</v>
      </c>
      <c r="D2773" t="n">
        <v>0.238</v>
      </c>
    </row>
    <row r="2774">
      <c r="A2774" t="n">
        <v>13.389</v>
      </c>
      <c r="B2774" t="n">
        <v>0.325</v>
      </c>
      <c r="C2774" t="n">
        <v>0.919</v>
      </c>
      <c r="D2774" t="n">
        <v>0.247</v>
      </c>
    </row>
    <row r="2775">
      <c r="A2775" t="n">
        <v>13.396</v>
      </c>
      <c r="B2775" t="n">
        <v>0.322</v>
      </c>
      <c r="C2775" t="n">
        <v>0.921</v>
      </c>
      <c r="D2775" t="n">
        <v>0.246</v>
      </c>
    </row>
    <row r="2776">
      <c r="A2776" t="n">
        <v>13.416</v>
      </c>
      <c r="B2776" t="n">
        <v>0.314</v>
      </c>
      <c r="C2776" t="n">
        <v>0.92</v>
      </c>
      <c r="D2776" t="n">
        <v>0.247</v>
      </c>
    </row>
    <row r="2777">
      <c r="A2777" t="n">
        <v>13.416</v>
      </c>
      <c r="B2777" t="n">
        <v>-0.006</v>
      </c>
      <c r="C2777" t="n">
        <v>0.962</v>
      </c>
      <c r="D2777" t="n">
        <v>-0.8110000000000001</v>
      </c>
    </row>
    <row r="2778">
      <c r="A2778" t="n">
        <v>13.417</v>
      </c>
      <c r="B2778" t="n">
        <v>-0.17</v>
      </c>
      <c r="C2778" t="n">
        <v>1.099</v>
      </c>
      <c r="D2778" t="n">
        <v>-0.594</v>
      </c>
    </row>
    <row r="2779">
      <c r="A2779" t="n">
        <v>13.417</v>
      </c>
      <c r="B2779" t="n">
        <v>0.003</v>
      </c>
      <c r="C2779" t="n">
        <v>1.212</v>
      </c>
      <c r="D2779" t="n">
        <v>0.022</v>
      </c>
    </row>
    <row r="2780">
      <c r="A2780" t="n">
        <v>13.417</v>
      </c>
      <c r="B2780" t="n">
        <v>0.003</v>
      </c>
      <c r="C2780" t="n">
        <v>1.212</v>
      </c>
      <c r="D2780" t="n">
        <v>0.022</v>
      </c>
    </row>
    <row r="2781">
      <c r="A2781" t="n">
        <v>13.419</v>
      </c>
      <c r="B2781" t="n">
        <v>0.068</v>
      </c>
      <c r="C2781" t="n">
        <v>1.219</v>
      </c>
      <c r="D2781" t="n">
        <v>0.176</v>
      </c>
    </row>
    <row r="2782">
      <c r="A2782" t="n">
        <v>13.423</v>
      </c>
      <c r="B2782" t="n">
        <v>0.135</v>
      </c>
      <c r="C2782" t="n">
        <v>1.117</v>
      </c>
      <c r="D2782" t="n">
        <v>0.415</v>
      </c>
    </row>
    <row r="2783">
      <c r="A2783" t="n">
        <v>13.445</v>
      </c>
      <c r="B2783" t="n">
        <v>0.271</v>
      </c>
      <c r="C2783" t="n">
        <v>0.978</v>
      </c>
      <c r="D2783" t="n">
        <v>0.622</v>
      </c>
    </row>
    <row r="2784">
      <c r="A2784" t="n">
        <v>13.445</v>
      </c>
      <c r="B2784" t="n">
        <v>0.271</v>
      </c>
      <c r="C2784" t="n">
        <v>0.978</v>
      </c>
      <c r="D2784" t="n">
        <v>0.622</v>
      </c>
    </row>
    <row r="2785">
      <c r="A2785" t="n">
        <v>13.445</v>
      </c>
      <c r="B2785" t="n">
        <v>0.396</v>
      </c>
      <c r="C2785" t="n">
        <v>0.859</v>
      </c>
      <c r="D2785" t="n">
        <v>0.596</v>
      </c>
    </row>
    <row r="2786">
      <c r="A2786" t="n">
        <v>13.446</v>
      </c>
      <c r="B2786" t="n">
        <v>0.424</v>
      </c>
      <c r="C2786" t="n">
        <v>0.8</v>
      </c>
      <c r="D2786" t="n">
        <v>0.442</v>
      </c>
    </row>
    <row r="2787">
      <c r="A2787" t="n">
        <v>13.446</v>
      </c>
      <c r="B2787" t="n">
        <v>0.402</v>
      </c>
      <c r="C2787" t="n">
        <v>0.785</v>
      </c>
      <c r="D2787" t="n">
        <v>0.314</v>
      </c>
    </row>
    <row r="2788">
      <c r="A2788" t="n">
        <v>13.463</v>
      </c>
      <c r="B2788" t="n">
        <v>0.445</v>
      </c>
      <c r="C2788" t="n">
        <v>0.8100000000000001</v>
      </c>
      <c r="D2788" t="n">
        <v>0.253</v>
      </c>
    </row>
    <row r="2789">
      <c r="A2789" t="n">
        <v>13.463</v>
      </c>
      <c r="B2789" t="n">
        <v>0.526</v>
      </c>
      <c r="C2789" t="n">
        <v>0.859</v>
      </c>
      <c r="D2789" t="n">
        <v>0.201</v>
      </c>
    </row>
    <row r="2790">
      <c r="A2790" t="n">
        <v>13.463</v>
      </c>
      <c r="B2790" t="n">
        <v>0.581</v>
      </c>
      <c r="C2790" t="n">
        <v>0.917</v>
      </c>
      <c r="D2790" t="n">
        <v>0.198</v>
      </c>
    </row>
    <row r="2791">
      <c r="A2791" t="n">
        <v>13.464</v>
      </c>
      <c r="B2791" t="n">
        <v>0.58</v>
      </c>
      <c r="C2791" t="n">
        <v>0.959</v>
      </c>
      <c r="D2791" t="n">
        <v>0.239</v>
      </c>
    </row>
    <row r="2792">
      <c r="A2792" t="n">
        <v>13.482</v>
      </c>
      <c r="B2792" t="n">
        <v>0.529</v>
      </c>
      <c r="C2792" t="n">
        <v>0.98</v>
      </c>
      <c r="D2792" t="n">
        <v>0.269</v>
      </c>
    </row>
    <row r="2793">
      <c r="A2793" t="n">
        <v>13.482</v>
      </c>
      <c r="B2793" t="n">
        <v>0.455</v>
      </c>
      <c r="C2793" t="n">
        <v>0.982</v>
      </c>
      <c r="D2793" t="n">
        <v>0.274</v>
      </c>
    </row>
    <row r="2794">
      <c r="A2794" t="n">
        <v>13.483</v>
      </c>
      <c r="B2794" t="n">
        <v>0.388</v>
      </c>
      <c r="C2794" t="n">
        <v>0.972</v>
      </c>
      <c r="D2794" t="n">
        <v>0.264</v>
      </c>
    </row>
    <row r="2795">
      <c r="A2795" t="n">
        <v>13.483</v>
      </c>
      <c r="B2795" t="n">
        <v>0.338</v>
      </c>
      <c r="C2795" t="n">
        <v>0.964</v>
      </c>
      <c r="D2795" t="n">
        <v>0.24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36"/>
  <sheetViews>
    <sheetView workbookViewId="0">
      <selection activeCell="A1" sqref="A1"/>
    </sheetView>
  </sheetViews>
  <sheetFormatPr baseColWidth="8" defaultRowHeight="15"/>
  <cols>
    <col width="3" customWidth="1" min="1" max="1"/>
    <col width="46" customWidth="1" min="2" max="2"/>
    <col width="16" customWidth="1" min="3" max="3"/>
    <col width="12" customWidth="1" min="4" max="4"/>
    <col width="70" customWidth="1" min="5" max="5"/>
  </cols>
  <sheetData>
    <row r="1">
      <c r="B1" s="8" t="inlineStr">
        <is>
          <t>Eingaben und abgeleitete Groessen</t>
        </is>
      </c>
    </row>
    <row r="3">
      <c r="B3" s="9" t="inlineStr">
        <is>
          <t>Angaben zur Messung</t>
        </is>
      </c>
    </row>
    <row r="4">
      <c r="B4" s="9" t="inlineStr">
        <is>
          <t>Gruppe / Name</t>
        </is>
      </c>
      <c r="C4" s="10" t="inlineStr">
        <is>
          <t>Musterloesung (Seminardatensatz)</t>
        </is>
      </c>
      <c r="E4" s="11" t="inlineStr">
        <is>
          <t>frei</t>
        </is>
      </c>
    </row>
    <row r="5">
      <c r="B5" s="9" t="inlineStr">
        <is>
          <t>Datum der Aufnahme</t>
        </is>
      </c>
      <c r="C5" s="10" t="inlineStr">
        <is>
          <t>uebernommen aus Rohdaten_CMJ_Smartphone_Originalauswertung.xlsx</t>
        </is>
      </c>
      <c r="E5" s="11" t="inlineStr">
        <is>
          <t>frei</t>
        </is>
      </c>
    </row>
    <row r="7">
      <c r="B7" s="9" t="inlineStr">
        <is>
          <t>Person und Konstanten</t>
        </is>
      </c>
    </row>
    <row r="8">
      <c r="B8" s="9" t="inlineStr">
        <is>
          <t>Koerpermasse m</t>
        </is>
      </c>
      <c r="C8" s="10" t="n">
        <v>88.3</v>
      </c>
      <c r="D8" t="inlineStr">
        <is>
          <t>[kg]</t>
        </is>
      </c>
      <c r="E8" s="11" t="inlineStr">
        <is>
          <t>Masse der springenden Person, inklusive Kleidung und Smartphone.</t>
        </is>
      </c>
    </row>
    <row r="9">
      <c r="B9" s="12" t="inlineStr">
        <is>
          <t>Erdbeschleunigung g</t>
        </is>
      </c>
      <c r="C9" s="13" t="n">
        <v>9.81</v>
      </c>
      <c r="D9" t="inlineStr">
        <is>
          <t>[m/s²]</t>
        </is>
      </c>
      <c r="E9" s="11" t="inlineStr">
        <is>
          <t>Konstante.</t>
        </is>
      </c>
    </row>
    <row r="10">
      <c r="B10" s="12" t="inlineStr">
        <is>
          <t>Gewichtskraft GF = m · g</t>
        </is>
      </c>
      <c r="C10" s="25">
        <f>C8*C9</f>
        <v/>
      </c>
      <c r="D10" t="inlineStr">
        <is>
          <t>[N]</t>
        </is>
      </c>
      <c r="E10" s="11" t="inlineStr">
        <is>
          <t>Bezugslinie fuer die Nettokraft.</t>
        </is>
      </c>
    </row>
    <row r="12">
      <c r="B12" s="9" t="inlineStr">
        <is>
          <t>Aufbereitung der Rohdaten</t>
        </is>
      </c>
    </row>
    <row r="13">
      <c r="B13" s="9" t="inlineStr">
        <is>
          <t>Vertikalachse (1 = a_x, 2 = a_y, 3 = a_z)</t>
        </is>
      </c>
      <c r="C13" s="10" t="n">
        <v>2</v>
      </c>
      <c r="E13" s="11" t="inlineStr">
        <is>
          <t>Die Achse, die im ruhigen Stand etwa 9,81 m/s² bzw. 1 g anzeigt. Zur Kontrolle Zeile 20 pruefen.</t>
        </is>
      </c>
    </row>
    <row r="14">
      <c r="B14" s="9" t="inlineStr">
        <is>
          <t>Einheit der Rohdaten</t>
        </is>
      </c>
      <c r="C14" s="10" t="inlineStr">
        <is>
          <t>g</t>
        </is>
      </c>
      <c r="E14" s="11" t="inlineStr">
        <is>
          <t>„m/s2“ wenn phyphox in m/s² exportiert, „g“ wenn in Vielfachen von g.</t>
        </is>
      </c>
    </row>
    <row r="15">
      <c r="B15" s="12" t="inlineStr">
        <is>
          <t>Umrechnungsfaktor</t>
        </is>
      </c>
      <c r="C15" s="26">
        <f>IF(C14="g",C9,1)</f>
        <v/>
      </c>
      <c r="E15" s="11" t="inlineStr">
        <is>
          <t>automatisch aus Zeile 14.</t>
        </is>
      </c>
    </row>
    <row r="16">
      <c r="B16" s="9" t="inlineStr">
        <is>
          <t>Glaettungsfenster (ungerade Anzahl Werte)</t>
        </is>
      </c>
      <c r="C16" s="10" t="n">
        <v>9</v>
      </c>
      <c r="E16" s="11" t="inlineStr">
        <is>
          <t>Zentrierter gleitender Mittelwert. 1 = keine Glaettung. Der gewaehlte Wert ist zu dokumentieren.</t>
        </is>
      </c>
    </row>
    <row r="17">
      <c r="B17" s="12" t="inlineStr">
        <is>
          <t>halbes Fenster</t>
        </is>
      </c>
      <c r="C17" s="26">
        <f>ROUNDDOWN((C16-1)/2,0)</f>
        <v/>
      </c>
      <c r="E17" s="11" t="inlineStr">
        <is>
          <t>automatisch.</t>
        </is>
      </c>
    </row>
    <row r="18">
      <c r="B18" s="9" t="inlineStr">
        <is>
          <t>Schwelle Flugphase (Anteil von GF)</t>
        </is>
      </c>
      <c r="C18" s="10" t="n">
        <v>0.1</v>
      </c>
      <c r="E18" s="11" t="inlineStr">
        <is>
          <t>Unterschreitet die geglaettete Kraft diesen Anteil der Gewichtskraft, gilt die Phase als Flugphase. 0,10 ist ein bewaehrter Startwert und ausdruecklich Gegenstand von Ergaenzungsaufgabe I1.</t>
        </is>
      </c>
    </row>
    <row r="20">
      <c r="B20" s="9" t="inlineStr">
        <is>
          <t>Automatisch aus den Rohdaten</t>
        </is>
      </c>
    </row>
    <row r="21">
      <c r="B21" s="12" t="inlineStr">
        <is>
          <t>Anzahl Datenpunkte n</t>
        </is>
      </c>
      <c r="C21" s="16">
        <f>COUNT('01_Rohdaten'!A2:A3001)</f>
        <v/>
      </c>
      <c r="E21" s="11" t="inlineStr"/>
    </row>
    <row r="22">
      <c r="B22" s="12" t="inlineStr">
        <is>
          <t>Dauer der Aufnahme</t>
        </is>
      </c>
      <c r="C22" s="26">
        <f>IF(C21&lt;2,"",INDEX('01_Rohdaten'!A2:A3001,C21)-'01_Rohdaten'!A2)</f>
        <v/>
      </c>
      <c r="D22" t="inlineStr">
        <is>
          <t>[s]</t>
        </is>
      </c>
      <c r="E22" s="11" t="inlineStr"/>
    </row>
    <row r="23">
      <c r="B23" s="12" t="inlineStr">
        <is>
          <t>mittleres Zeitintervall dt</t>
        </is>
      </c>
      <c r="C23" s="26">
        <f>IF(C21&lt;2,"",C22/(C21-1))</f>
        <v/>
      </c>
      <c r="D23" t="inlineStr">
        <is>
          <t>[s]</t>
        </is>
      </c>
      <c r="E23" s="11" t="inlineStr"/>
    </row>
    <row r="24">
      <c r="B24" s="12" t="inlineStr">
        <is>
          <t>Abtastrate</t>
        </is>
      </c>
      <c r="C24" s="25">
        <f>IF(C23="","",1/C23)</f>
        <v/>
      </c>
      <c r="D24" t="inlineStr">
        <is>
          <t>[Hz]</t>
        </is>
      </c>
      <c r="E24" s="11" t="inlineStr"/>
    </row>
    <row r="25">
      <c r="B25" s="12" t="inlineStr">
        <is>
          <t>gemessene Ruhekraft (erste 0,5 s)</t>
        </is>
      </c>
      <c r="C25" s="25">
        <f>IF(C21&lt;10,"",AVERAGE('03_Auswertung'!E2:E50))</f>
        <v/>
      </c>
      <c r="D25" t="inlineStr">
        <is>
          <t>[N]</t>
        </is>
      </c>
      <c r="E25" s="11" t="inlineStr">
        <is>
          <t>Plausibilitaetspruefung: Dieser Wert sollte nahe bei GF (Zeile 10) liegen. Weicht er stark ab, stimmen Achse, Einheit oder Masse nicht – oder die Aufnahme wurde OHNE g gemacht.</t>
        </is>
      </c>
    </row>
    <row r="26">
      <c r="B26" s="12" t="inlineStr">
        <is>
          <t>Abweichung Ruhekraft zu GF</t>
        </is>
      </c>
      <c r="C26" s="25">
        <f>IF(C25="","",C25-C10)</f>
        <v/>
      </c>
      <c r="D26" t="inlineStr">
        <is>
          <t>[N]</t>
        </is>
      </c>
      <c r="E26" s="11" t="inlineStr">
        <is>
          <t>Betraege ueber etwa 50 N sind ein Warnsignal.</t>
        </is>
      </c>
    </row>
    <row r="28">
      <c r="B28" s="9" t="inlineStr">
        <is>
          <t>Sprungintervall</t>
        </is>
      </c>
    </row>
    <row r="29">
      <c r="B29" s="9" t="inlineStr">
        <is>
          <t>Beginn der Bewegung (Zeit)</t>
        </is>
      </c>
      <c r="C29" s="10" t="n">
        <v>5.31</v>
      </c>
      <c r="D29" t="inlineStr">
        <is>
          <t>[s]</t>
        </is>
      </c>
      <c r="E29" s="11" t="inlineStr">
        <is>
          <t>Beginn der Schwungholbewegung, aus dem Signalverlauf ablesen. Ab hier wird der Nettoimpuls aufsummiert. Leer lassen = ab Aufnahmebeginn.</t>
        </is>
      </c>
    </row>
    <row r="30">
      <c r="B30" s="12" t="inlineStr">
        <is>
          <t>Absprung (TakeOff) automatisch</t>
        </is>
      </c>
      <c r="C30" s="26">
        <f>IFERROR(MINIFS('03_Auswertung'!B2:B3001,'03_Auswertung'!H2:H3001,1),"")</f>
        <v/>
      </c>
      <c r="D30" t="inlineStr">
        <is>
          <t>[s]</t>
        </is>
      </c>
      <c r="E30" s="11" t="inlineStr"/>
    </row>
    <row r="31">
      <c r="B31" s="12" t="inlineStr">
        <is>
          <t>Landung (TouchDown) automatisch</t>
        </is>
      </c>
      <c r="C31" s="26">
        <f>IFERROR(MAXIFS('03_Auswertung'!B2:B3001,'03_Auswertung'!H2:H3001,1),"")</f>
        <v/>
      </c>
      <c r="D31" t="inlineStr">
        <is>
          <t>[s]</t>
        </is>
      </c>
      <c r="E31" s="11" t="inlineStr"/>
    </row>
    <row r="32">
      <c r="B32" s="9" t="inlineStr">
        <is>
          <t>Absprung manuell (optional)</t>
        </is>
      </c>
      <c r="C32" s="10" t="inlineStr"/>
      <c r="D32" t="inlineStr">
        <is>
          <t>[s]</t>
        </is>
      </c>
      <c r="E32" s="11" t="inlineStr">
        <is>
          <t>Nur ausfuellen, wenn die automatische Erkennung nicht passt oder MINWENNS nicht verfuegbar ist.</t>
        </is>
      </c>
    </row>
    <row r="33">
      <c r="B33" s="9" t="inlineStr">
        <is>
          <t>Landung manuell (optional)</t>
        </is>
      </c>
      <c r="C33" s="10" t="inlineStr"/>
      <c r="D33" t="inlineStr">
        <is>
          <t>[s]</t>
        </is>
      </c>
      <c r="E33" s="11" t="inlineStr">
        <is>
          <t>wie oben.</t>
        </is>
      </c>
    </row>
    <row r="34">
      <c r="B34" s="12" t="inlineStr">
        <is>
          <t>verwendeter Absprung</t>
        </is>
      </c>
      <c r="C34" s="26">
        <f>IF(C32&lt;&gt;"",C32,C30)</f>
        <v/>
      </c>
      <c r="D34" t="inlineStr">
        <is>
          <t>[s]</t>
        </is>
      </c>
      <c r="E34" s="11" t="inlineStr">
        <is>
          <t>manueller Wert hat Vorrang.</t>
        </is>
      </c>
    </row>
    <row r="35">
      <c r="B35" s="12" t="inlineStr">
        <is>
          <t>verwendete Landung</t>
        </is>
      </c>
      <c r="C35" s="26">
        <f>IF(C33&lt;&gt;"",C33,C31)</f>
        <v/>
      </c>
      <c r="D35" t="inlineStr">
        <is>
          <t>[s]</t>
        </is>
      </c>
      <c r="E35" s="11" t="inlineStr">
        <is>
          <t>manueller Wert hat Vorrang.</t>
        </is>
      </c>
    </row>
    <row r="36">
      <c r="B36" s="12" t="inlineStr">
        <is>
          <t>verwendeter Bewegungsbeginn</t>
        </is>
      </c>
      <c r="C36" s="26">
        <f>IF(C29&lt;&gt;"",C29,'01_Rohdaten'!A2)</f>
        <v/>
      </c>
      <c r="D36" t="inlineStr">
        <is>
          <t>[s]</t>
        </is>
      </c>
      <c r="E36" s="11" t="inlineStr"/>
    </row>
  </sheetData>
  <dataValidations count="2">
    <dataValidation sqref="C14" showDropDown="0" showInputMessage="0" showErrorMessage="0" allowBlank="0" type="list">
      <formula1>"m/s2,g"</formula1>
    </dataValidation>
    <dataValidation sqref="C13" showDropDown="0" showInputMessage="0" showErrorMessage="0" allowBlank="0" type="list">
      <formula1>"1,2,3"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00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7" customWidth="1" min="3" max="3"/>
    <col width="12" customWidth="1" min="4" max="4"/>
    <col width="12" customWidth="1" min="5" max="5"/>
    <col width="17" customWidth="1" min="6" max="6"/>
    <col width="19" customWidth="1" min="7" max="7"/>
    <col width="15" customWidth="1" min="8" max="8"/>
    <col width="20" customWidth="1" min="9" max="9"/>
    <col width="17" customWidth="1" min="10" max="10"/>
  </cols>
  <sheetData>
    <row r="1">
      <c r="A1" s="17" t="inlineStr">
        <is>
          <t>Nr.</t>
        </is>
      </c>
      <c r="B1" s="17" t="inlineStr">
        <is>
          <t>Zeit t [s]</t>
        </is>
      </c>
      <c r="C1" s="17" t="inlineStr">
        <is>
          <t>a roh (gew. Achse)</t>
        </is>
      </c>
      <c r="D1" s="17" t="inlineStr">
        <is>
          <t>a [m/s²]</t>
        </is>
      </c>
      <c r="E1" s="17" t="inlineStr">
        <is>
          <t>F_z [N]</t>
        </is>
      </c>
      <c r="F1" s="17" t="inlineStr">
        <is>
          <t>F_z geglaettet [N]</t>
        </is>
      </c>
      <c r="G1" s="17" t="inlineStr">
        <is>
          <t>Nettokraft F−GF [N]</t>
        </is>
      </c>
      <c r="H1" s="17" t="inlineStr">
        <is>
          <t>Flugphase (1/0)</t>
        </is>
      </c>
      <c r="I1" s="17" t="inlineStr">
        <is>
          <t>Teilimpuls Trapez [Ns]</t>
        </is>
      </c>
      <c r="J1" s="17" t="inlineStr">
        <is>
          <t>v kumuliert [m/s]</t>
        </is>
      </c>
      <c r="K1" s="7" t="inlineStr">
        <is>
          <t>Dieses Blatt rechnet automatisch. Bitte nichts eintragen.</t>
        </is>
      </c>
    </row>
    <row r="2">
      <c r="A2">
        <f>IF('01_Rohdaten'!A2="","",ROW()-1)</f>
        <v/>
      </c>
      <c r="B2" s="27">
        <f>IF('01_Rohdaten'!A2="","",'01_Rohdaten'!A2)</f>
        <v/>
      </c>
      <c r="C2" s="27">
        <f>IF(B2="","",INDEX('01_Rohdaten'!B2:D2,'02_Eingaben'!$C$13))</f>
        <v/>
      </c>
      <c r="D2" s="27">
        <f>IF(C2="","",C2*'02_Eingaben'!$C$15)</f>
        <v/>
      </c>
      <c r="E2" s="27">
        <f>IF(D2="","",D2*'02_Eingaben'!$C$8)</f>
        <v/>
      </c>
      <c r="F2" s="27">
        <f>IF(E2="","",AVERAGE(INDEX($E$2:$E$3001,MAX(1,ROW()-1-'02_Eingaben'!$C$17)):INDEX($E$2:$E$3001,MIN('02_Eingaben'!$C$21,ROW()-1+'02_Eingaben'!$C$17))))</f>
        <v/>
      </c>
      <c r="G2" s="27">
        <f>IF(F2="","",F2-'02_Eingaben'!$C$10)</f>
        <v/>
      </c>
      <c r="H2">
        <f>IF(F2="","",IF(F2&lt;'02_Eingaben'!$C$18*'02_Eingaben'!$C$10,1,0))</f>
        <v/>
      </c>
      <c r="I2" s="27">
        <f>IF(OR(G2="",G3=""),"",(G2+G3)/2*(B3-B2))</f>
        <v/>
      </c>
      <c r="J2" s="27">
        <f>IF(B2="","",0)</f>
        <v/>
      </c>
    </row>
    <row r="3">
      <c r="A3">
        <f>IF('01_Rohdaten'!A3="","",ROW()-1)</f>
        <v/>
      </c>
      <c r="B3" s="27">
        <f>IF('01_Rohdaten'!A3="","",'01_Rohdaten'!A3)</f>
        <v/>
      </c>
      <c r="C3" s="27">
        <f>IF(B3="","",INDEX('01_Rohdaten'!B3:D3,'02_Eingaben'!$C$13))</f>
        <v/>
      </c>
      <c r="D3" s="27">
        <f>IF(C3="","",C3*'02_Eingaben'!$C$15)</f>
        <v/>
      </c>
      <c r="E3" s="27">
        <f>IF(D3="","",D3*'02_Eingaben'!$C$8)</f>
        <v/>
      </c>
      <c r="F3" s="27">
        <f>IF(E3="","",AVERAGE(INDEX($E$2:$E$3001,MAX(1,ROW()-1-'02_Eingaben'!$C$17)):INDEX($E$2:$E$3001,MIN('02_Eingaben'!$C$21,ROW()-1+'02_Eingaben'!$C$17))))</f>
        <v/>
      </c>
      <c r="G3" s="27">
        <f>IF(F3="","",F3-'02_Eingaben'!$C$10)</f>
        <v/>
      </c>
      <c r="H3">
        <f>IF(F3="","",IF(F3&lt;'02_Eingaben'!$C$18*'02_Eingaben'!$C$10,1,0))</f>
        <v/>
      </c>
      <c r="I3" s="27">
        <f>IF(OR(G3="",G4=""),"",(G3+G4)/2*(B4-B3))</f>
        <v/>
      </c>
      <c r="J3" s="27">
        <f>IF(B3="","",IF(B2&lt;'02_Eingaben'!$C$36,0,J2+I2/'02_Eingaben'!$C$8))</f>
        <v/>
      </c>
    </row>
    <row r="4">
      <c r="A4">
        <f>IF('01_Rohdaten'!A4="","",ROW()-1)</f>
        <v/>
      </c>
      <c r="B4" s="27">
        <f>IF('01_Rohdaten'!A4="","",'01_Rohdaten'!A4)</f>
        <v/>
      </c>
      <c r="C4" s="27">
        <f>IF(B4="","",INDEX('01_Rohdaten'!B4:D4,'02_Eingaben'!$C$13))</f>
        <v/>
      </c>
      <c r="D4" s="27">
        <f>IF(C4="","",C4*'02_Eingaben'!$C$15)</f>
        <v/>
      </c>
      <c r="E4" s="27">
        <f>IF(D4="","",D4*'02_Eingaben'!$C$8)</f>
        <v/>
      </c>
      <c r="F4" s="27">
        <f>IF(E4="","",AVERAGE(INDEX($E$2:$E$3001,MAX(1,ROW()-1-'02_Eingaben'!$C$17)):INDEX($E$2:$E$3001,MIN('02_Eingaben'!$C$21,ROW()-1+'02_Eingaben'!$C$17))))</f>
        <v/>
      </c>
      <c r="G4" s="27">
        <f>IF(F4="","",F4-'02_Eingaben'!$C$10)</f>
        <v/>
      </c>
      <c r="H4">
        <f>IF(F4="","",IF(F4&lt;'02_Eingaben'!$C$18*'02_Eingaben'!$C$10,1,0))</f>
        <v/>
      </c>
      <c r="I4" s="27">
        <f>IF(OR(G4="",G5=""),"",(G4+G5)/2*(B5-B4))</f>
        <v/>
      </c>
      <c r="J4" s="27">
        <f>IF(B4="","",IF(B3&lt;'02_Eingaben'!$C$36,0,J3+I3/'02_Eingaben'!$C$8))</f>
        <v/>
      </c>
    </row>
    <row r="5">
      <c r="A5">
        <f>IF('01_Rohdaten'!A5="","",ROW()-1)</f>
        <v/>
      </c>
      <c r="B5" s="27">
        <f>IF('01_Rohdaten'!A5="","",'01_Rohdaten'!A5)</f>
        <v/>
      </c>
      <c r="C5" s="27">
        <f>IF(B5="","",INDEX('01_Rohdaten'!B5:D5,'02_Eingaben'!$C$13))</f>
        <v/>
      </c>
      <c r="D5" s="27">
        <f>IF(C5="","",C5*'02_Eingaben'!$C$15)</f>
        <v/>
      </c>
      <c r="E5" s="27">
        <f>IF(D5="","",D5*'02_Eingaben'!$C$8)</f>
        <v/>
      </c>
      <c r="F5" s="27">
        <f>IF(E5="","",AVERAGE(INDEX($E$2:$E$3001,MAX(1,ROW()-1-'02_Eingaben'!$C$17)):INDEX($E$2:$E$3001,MIN('02_Eingaben'!$C$21,ROW()-1+'02_Eingaben'!$C$17))))</f>
        <v/>
      </c>
      <c r="G5" s="27">
        <f>IF(F5="","",F5-'02_Eingaben'!$C$10)</f>
        <v/>
      </c>
      <c r="H5">
        <f>IF(F5="","",IF(F5&lt;'02_Eingaben'!$C$18*'02_Eingaben'!$C$10,1,0))</f>
        <v/>
      </c>
      <c r="I5" s="27">
        <f>IF(OR(G5="",G6=""),"",(G5+G6)/2*(B6-B5))</f>
        <v/>
      </c>
      <c r="J5" s="27">
        <f>IF(B5="","",IF(B4&lt;'02_Eingaben'!$C$36,0,J4+I4/'02_Eingaben'!$C$8))</f>
        <v/>
      </c>
    </row>
    <row r="6">
      <c r="A6">
        <f>IF('01_Rohdaten'!A6="","",ROW()-1)</f>
        <v/>
      </c>
      <c r="B6" s="27">
        <f>IF('01_Rohdaten'!A6="","",'01_Rohdaten'!A6)</f>
        <v/>
      </c>
      <c r="C6" s="27">
        <f>IF(B6="","",INDEX('01_Rohdaten'!B6:D6,'02_Eingaben'!$C$13))</f>
        <v/>
      </c>
      <c r="D6" s="27">
        <f>IF(C6="","",C6*'02_Eingaben'!$C$15)</f>
        <v/>
      </c>
      <c r="E6" s="27">
        <f>IF(D6="","",D6*'02_Eingaben'!$C$8)</f>
        <v/>
      </c>
      <c r="F6" s="27">
        <f>IF(E6="","",AVERAGE(INDEX($E$2:$E$3001,MAX(1,ROW()-1-'02_Eingaben'!$C$17)):INDEX($E$2:$E$3001,MIN('02_Eingaben'!$C$21,ROW()-1+'02_Eingaben'!$C$17))))</f>
        <v/>
      </c>
      <c r="G6" s="27">
        <f>IF(F6="","",F6-'02_Eingaben'!$C$10)</f>
        <v/>
      </c>
      <c r="H6">
        <f>IF(F6="","",IF(F6&lt;'02_Eingaben'!$C$18*'02_Eingaben'!$C$10,1,0))</f>
        <v/>
      </c>
      <c r="I6" s="27">
        <f>IF(OR(G6="",G7=""),"",(G6+G7)/2*(B7-B6))</f>
        <v/>
      </c>
      <c r="J6" s="27">
        <f>IF(B6="","",IF(B5&lt;'02_Eingaben'!$C$36,0,J5+I5/'02_Eingaben'!$C$8))</f>
        <v/>
      </c>
    </row>
    <row r="7">
      <c r="A7">
        <f>IF('01_Rohdaten'!A7="","",ROW()-1)</f>
        <v/>
      </c>
      <c r="B7" s="27">
        <f>IF('01_Rohdaten'!A7="","",'01_Rohdaten'!A7)</f>
        <v/>
      </c>
      <c r="C7" s="27">
        <f>IF(B7="","",INDEX('01_Rohdaten'!B7:D7,'02_Eingaben'!$C$13))</f>
        <v/>
      </c>
      <c r="D7" s="27">
        <f>IF(C7="","",C7*'02_Eingaben'!$C$15)</f>
        <v/>
      </c>
      <c r="E7" s="27">
        <f>IF(D7="","",D7*'02_Eingaben'!$C$8)</f>
        <v/>
      </c>
      <c r="F7" s="27">
        <f>IF(E7="","",AVERAGE(INDEX($E$2:$E$3001,MAX(1,ROW()-1-'02_Eingaben'!$C$17)):INDEX($E$2:$E$3001,MIN('02_Eingaben'!$C$21,ROW()-1+'02_Eingaben'!$C$17))))</f>
        <v/>
      </c>
      <c r="G7" s="27">
        <f>IF(F7="","",F7-'02_Eingaben'!$C$10)</f>
        <v/>
      </c>
      <c r="H7">
        <f>IF(F7="","",IF(F7&lt;'02_Eingaben'!$C$18*'02_Eingaben'!$C$10,1,0))</f>
        <v/>
      </c>
      <c r="I7" s="27">
        <f>IF(OR(G7="",G8=""),"",(G7+G8)/2*(B8-B7))</f>
        <v/>
      </c>
      <c r="J7" s="27">
        <f>IF(B7="","",IF(B6&lt;'02_Eingaben'!$C$36,0,J6+I6/'02_Eingaben'!$C$8))</f>
        <v/>
      </c>
    </row>
    <row r="8">
      <c r="A8">
        <f>IF('01_Rohdaten'!A8="","",ROW()-1)</f>
        <v/>
      </c>
      <c r="B8" s="27">
        <f>IF('01_Rohdaten'!A8="","",'01_Rohdaten'!A8)</f>
        <v/>
      </c>
      <c r="C8" s="27">
        <f>IF(B8="","",INDEX('01_Rohdaten'!B8:D8,'02_Eingaben'!$C$13))</f>
        <v/>
      </c>
      <c r="D8" s="27">
        <f>IF(C8="","",C8*'02_Eingaben'!$C$15)</f>
        <v/>
      </c>
      <c r="E8" s="27">
        <f>IF(D8="","",D8*'02_Eingaben'!$C$8)</f>
        <v/>
      </c>
      <c r="F8" s="27">
        <f>IF(E8="","",AVERAGE(INDEX($E$2:$E$3001,MAX(1,ROW()-1-'02_Eingaben'!$C$17)):INDEX($E$2:$E$3001,MIN('02_Eingaben'!$C$21,ROW()-1+'02_Eingaben'!$C$17))))</f>
        <v/>
      </c>
      <c r="G8" s="27">
        <f>IF(F8="","",F8-'02_Eingaben'!$C$10)</f>
        <v/>
      </c>
      <c r="H8">
        <f>IF(F8="","",IF(F8&lt;'02_Eingaben'!$C$18*'02_Eingaben'!$C$10,1,0))</f>
        <v/>
      </c>
      <c r="I8" s="27">
        <f>IF(OR(G8="",G9=""),"",(G8+G9)/2*(B9-B8))</f>
        <v/>
      </c>
      <c r="J8" s="27">
        <f>IF(B8="","",IF(B7&lt;'02_Eingaben'!$C$36,0,J7+I7/'02_Eingaben'!$C$8))</f>
        <v/>
      </c>
    </row>
    <row r="9">
      <c r="A9">
        <f>IF('01_Rohdaten'!A9="","",ROW()-1)</f>
        <v/>
      </c>
      <c r="B9" s="27">
        <f>IF('01_Rohdaten'!A9="","",'01_Rohdaten'!A9)</f>
        <v/>
      </c>
      <c r="C9" s="27">
        <f>IF(B9="","",INDEX('01_Rohdaten'!B9:D9,'02_Eingaben'!$C$13))</f>
        <v/>
      </c>
      <c r="D9" s="27">
        <f>IF(C9="","",C9*'02_Eingaben'!$C$15)</f>
        <v/>
      </c>
      <c r="E9" s="27">
        <f>IF(D9="","",D9*'02_Eingaben'!$C$8)</f>
        <v/>
      </c>
      <c r="F9" s="27">
        <f>IF(E9="","",AVERAGE(INDEX($E$2:$E$3001,MAX(1,ROW()-1-'02_Eingaben'!$C$17)):INDEX($E$2:$E$3001,MIN('02_Eingaben'!$C$21,ROW()-1+'02_Eingaben'!$C$17))))</f>
        <v/>
      </c>
      <c r="G9" s="27">
        <f>IF(F9="","",F9-'02_Eingaben'!$C$10)</f>
        <v/>
      </c>
      <c r="H9">
        <f>IF(F9="","",IF(F9&lt;'02_Eingaben'!$C$18*'02_Eingaben'!$C$10,1,0))</f>
        <v/>
      </c>
      <c r="I9" s="27">
        <f>IF(OR(G9="",G10=""),"",(G9+G10)/2*(B10-B9))</f>
        <v/>
      </c>
      <c r="J9" s="27">
        <f>IF(B9="","",IF(B8&lt;'02_Eingaben'!$C$36,0,J8+I8/'02_Eingaben'!$C$8))</f>
        <v/>
      </c>
    </row>
    <row r="10">
      <c r="A10">
        <f>IF('01_Rohdaten'!A10="","",ROW()-1)</f>
        <v/>
      </c>
      <c r="B10" s="27">
        <f>IF('01_Rohdaten'!A10="","",'01_Rohdaten'!A10)</f>
        <v/>
      </c>
      <c r="C10" s="27">
        <f>IF(B10="","",INDEX('01_Rohdaten'!B10:D10,'02_Eingaben'!$C$13))</f>
        <v/>
      </c>
      <c r="D10" s="27">
        <f>IF(C10="","",C10*'02_Eingaben'!$C$15)</f>
        <v/>
      </c>
      <c r="E10" s="27">
        <f>IF(D10="","",D10*'02_Eingaben'!$C$8)</f>
        <v/>
      </c>
      <c r="F10" s="27">
        <f>IF(E10="","",AVERAGE(INDEX($E$2:$E$3001,MAX(1,ROW()-1-'02_Eingaben'!$C$17)):INDEX($E$2:$E$3001,MIN('02_Eingaben'!$C$21,ROW()-1+'02_Eingaben'!$C$17))))</f>
        <v/>
      </c>
      <c r="G10" s="27">
        <f>IF(F10="","",F10-'02_Eingaben'!$C$10)</f>
        <v/>
      </c>
      <c r="H10">
        <f>IF(F10="","",IF(F10&lt;'02_Eingaben'!$C$18*'02_Eingaben'!$C$10,1,0))</f>
        <v/>
      </c>
      <c r="I10" s="27">
        <f>IF(OR(G10="",G11=""),"",(G10+G11)/2*(B11-B10))</f>
        <v/>
      </c>
      <c r="J10" s="27">
        <f>IF(B10="","",IF(B9&lt;'02_Eingaben'!$C$36,0,J9+I9/'02_Eingaben'!$C$8))</f>
        <v/>
      </c>
    </row>
    <row r="11">
      <c r="A11">
        <f>IF('01_Rohdaten'!A11="","",ROW()-1)</f>
        <v/>
      </c>
      <c r="B11" s="27">
        <f>IF('01_Rohdaten'!A11="","",'01_Rohdaten'!A11)</f>
        <v/>
      </c>
      <c r="C11" s="27">
        <f>IF(B11="","",INDEX('01_Rohdaten'!B11:D11,'02_Eingaben'!$C$13))</f>
        <v/>
      </c>
      <c r="D11" s="27">
        <f>IF(C11="","",C11*'02_Eingaben'!$C$15)</f>
        <v/>
      </c>
      <c r="E11" s="27">
        <f>IF(D11="","",D11*'02_Eingaben'!$C$8)</f>
        <v/>
      </c>
      <c r="F11" s="27">
        <f>IF(E11="","",AVERAGE(INDEX($E$2:$E$3001,MAX(1,ROW()-1-'02_Eingaben'!$C$17)):INDEX($E$2:$E$3001,MIN('02_Eingaben'!$C$21,ROW()-1+'02_Eingaben'!$C$17))))</f>
        <v/>
      </c>
      <c r="G11" s="27">
        <f>IF(F11="","",F11-'02_Eingaben'!$C$10)</f>
        <v/>
      </c>
      <c r="H11">
        <f>IF(F11="","",IF(F11&lt;'02_Eingaben'!$C$18*'02_Eingaben'!$C$10,1,0))</f>
        <v/>
      </c>
      <c r="I11" s="27">
        <f>IF(OR(G11="",G12=""),"",(G11+G12)/2*(B12-B11))</f>
        <v/>
      </c>
      <c r="J11" s="27">
        <f>IF(B11="","",IF(B10&lt;'02_Eingaben'!$C$36,0,J10+I10/'02_Eingaben'!$C$8))</f>
        <v/>
      </c>
    </row>
    <row r="12">
      <c r="A12">
        <f>IF('01_Rohdaten'!A12="","",ROW()-1)</f>
        <v/>
      </c>
      <c r="B12" s="27">
        <f>IF('01_Rohdaten'!A12="","",'01_Rohdaten'!A12)</f>
        <v/>
      </c>
      <c r="C12" s="27">
        <f>IF(B12="","",INDEX('01_Rohdaten'!B12:D12,'02_Eingaben'!$C$13))</f>
        <v/>
      </c>
      <c r="D12" s="27">
        <f>IF(C12="","",C12*'02_Eingaben'!$C$15)</f>
        <v/>
      </c>
      <c r="E12" s="27">
        <f>IF(D12="","",D12*'02_Eingaben'!$C$8)</f>
        <v/>
      </c>
      <c r="F12" s="27">
        <f>IF(E12="","",AVERAGE(INDEX($E$2:$E$3001,MAX(1,ROW()-1-'02_Eingaben'!$C$17)):INDEX($E$2:$E$3001,MIN('02_Eingaben'!$C$21,ROW()-1+'02_Eingaben'!$C$17))))</f>
        <v/>
      </c>
      <c r="G12" s="27">
        <f>IF(F12="","",F12-'02_Eingaben'!$C$10)</f>
        <v/>
      </c>
      <c r="H12">
        <f>IF(F12="","",IF(F12&lt;'02_Eingaben'!$C$18*'02_Eingaben'!$C$10,1,0))</f>
        <v/>
      </c>
      <c r="I12" s="27">
        <f>IF(OR(G12="",G13=""),"",(G12+G13)/2*(B13-B12))</f>
        <v/>
      </c>
      <c r="J12" s="27">
        <f>IF(B12="","",IF(B11&lt;'02_Eingaben'!$C$36,0,J11+I11/'02_Eingaben'!$C$8))</f>
        <v/>
      </c>
    </row>
    <row r="13">
      <c r="A13">
        <f>IF('01_Rohdaten'!A13="","",ROW()-1)</f>
        <v/>
      </c>
      <c r="B13" s="27">
        <f>IF('01_Rohdaten'!A13="","",'01_Rohdaten'!A13)</f>
        <v/>
      </c>
      <c r="C13" s="27">
        <f>IF(B13="","",INDEX('01_Rohdaten'!B13:D13,'02_Eingaben'!$C$13))</f>
        <v/>
      </c>
      <c r="D13" s="27">
        <f>IF(C13="","",C13*'02_Eingaben'!$C$15)</f>
        <v/>
      </c>
      <c r="E13" s="27">
        <f>IF(D13="","",D13*'02_Eingaben'!$C$8)</f>
        <v/>
      </c>
      <c r="F13" s="27">
        <f>IF(E13="","",AVERAGE(INDEX($E$2:$E$3001,MAX(1,ROW()-1-'02_Eingaben'!$C$17)):INDEX($E$2:$E$3001,MIN('02_Eingaben'!$C$21,ROW()-1+'02_Eingaben'!$C$17))))</f>
        <v/>
      </c>
      <c r="G13" s="27">
        <f>IF(F13="","",F13-'02_Eingaben'!$C$10)</f>
        <v/>
      </c>
      <c r="H13">
        <f>IF(F13="","",IF(F13&lt;'02_Eingaben'!$C$18*'02_Eingaben'!$C$10,1,0))</f>
        <v/>
      </c>
      <c r="I13" s="27">
        <f>IF(OR(G13="",G14=""),"",(G13+G14)/2*(B14-B13))</f>
        <v/>
      </c>
      <c r="J13" s="27">
        <f>IF(B13="","",IF(B12&lt;'02_Eingaben'!$C$36,0,J12+I12/'02_Eingaben'!$C$8))</f>
        <v/>
      </c>
    </row>
    <row r="14">
      <c r="A14">
        <f>IF('01_Rohdaten'!A14="","",ROW()-1)</f>
        <v/>
      </c>
      <c r="B14" s="27">
        <f>IF('01_Rohdaten'!A14="","",'01_Rohdaten'!A14)</f>
        <v/>
      </c>
      <c r="C14" s="27">
        <f>IF(B14="","",INDEX('01_Rohdaten'!B14:D14,'02_Eingaben'!$C$13))</f>
        <v/>
      </c>
      <c r="D14" s="27">
        <f>IF(C14="","",C14*'02_Eingaben'!$C$15)</f>
        <v/>
      </c>
      <c r="E14" s="27">
        <f>IF(D14="","",D14*'02_Eingaben'!$C$8)</f>
        <v/>
      </c>
      <c r="F14" s="27">
        <f>IF(E14="","",AVERAGE(INDEX($E$2:$E$3001,MAX(1,ROW()-1-'02_Eingaben'!$C$17)):INDEX($E$2:$E$3001,MIN('02_Eingaben'!$C$21,ROW()-1+'02_Eingaben'!$C$17))))</f>
        <v/>
      </c>
      <c r="G14" s="27">
        <f>IF(F14="","",F14-'02_Eingaben'!$C$10)</f>
        <v/>
      </c>
      <c r="H14">
        <f>IF(F14="","",IF(F14&lt;'02_Eingaben'!$C$18*'02_Eingaben'!$C$10,1,0))</f>
        <v/>
      </c>
      <c r="I14" s="27">
        <f>IF(OR(G14="",G15=""),"",(G14+G15)/2*(B15-B14))</f>
        <v/>
      </c>
      <c r="J14" s="27">
        <f>IF(B14="","",IF(B13&lt;'02_Eingaben'!$C$36,0,J13+I13/'02_Eingaben'!$C$8))</f>
        <v/>
      </c>
    </row>
    <row r="15">
      <c r="A15">
        <f>IF('01_Rohdaten'!A15="","",ROW()-1)</f>
        <v/>
      </c>
      <c r="B15" s="27">
        <f>IF('01_Rohdaten'!A15="","",'01_Rohdaten'!A15)</f>
        <v/>
      </c>
      <c r="C15" s="27">
        <f>IF(B15="","",INDEX('01_Rohdaten'!B15:D15,'02_Eingaben'!$C$13))</f>
        <v/>
      </c>
      <c r="D15" s="27">
        <f>IF(C15="","",C15*'02_Eingaben'!$C$15)</f>
        <v/>
      </c>
      <c r="E15" s="27">
        <f>IF(D15="","",D15*'02_Eingaben'!$C$8)</f>
        <v/>
      </c>
      <c r="F15" s="27">
        <f>IF(E15="","",AVERAGE(INDEX($E$2:$E$3001,MAX(1,ROW()-1-'02_Eingaben'!$C$17)):INDEX($E$2:$E$3001,MIN('02_Eingaben'!$C$21,ROW()-1+'02_Eingaben'!$C$17))))</f>
        <v/>
      </c>
      <c r="G15" s="27">
        <f>IF(F15="","",F15-'02_Eingaben'!$C$10)</f>
        <v/>
      </c>
      <c r="H15">
        <f>IF(F15="","",IF(F15&lt;'02_Eingaben'!$C$18*'02_Eingaben'!$C$10,1,0))</f>
        <v/>
      </c>
      <c r="I15" s="27">
        <f>IF(OR(G15="",G16=""),"",(G15+G16)/2*(B16-B15))</f>
        <v/>
      </c>
      <c r="J15" s="27">
        <f>IF(B15="","",IF(B14&lt;'02_Eingaben'!$C$36,0,J14+I14/'02_Eingaben'!$C$8))</f>
        <v/>
      </c>
    </row>
    <row r="16">
      <c r="A16">
        <f>IF('01_Rohdaten'!A16="","",ROW()-1)</f>
        <v/>
      </c>
      <c r="B16" s="27">
        <f>IF('01_Rohdaten'!A16="","",'01_Rohdaten'!A16)</f>
        <v/>
      </c>
      <c r="C16" s="27">
        <f>IF(B16="","",INDEX('01_Rohdaten'!B16:D16,'02_Eingaben'!$C$13))</f>
        <v/>
      </c>
      <c r="D16" s="27">
        <f>IF(C16="","",C16*'02_Eingaben'!$C$15)</f>
        <v/>
      </c>
      <c r="E16" s="27">
        <f>IF(D16="","",D16*'02_Eingaben'!$C$8)</f>
        <v/>
      </c>
      <c r="F16" s="27">
        <f>IF(E16="","",AVERAGE(INDEX($E$2:$E$3001,MAX(1,ROW()-1-'02_Eingaben'!$C$17)):INDEX($E$2:$E$3001,MIN('02_Eingaben'!$C$21,ROW()-1+'02_Eingaben'!$C$17))))</f>
        <v/>
      </c>
      <c r="G16" s="27">
        <f>IF(F16="","",F16-'02_Eingaben'!$C$10)</f>
        <v/>
      </c>
      <c r="H16">
        <f>IF(F16="","",IF(F16&lt;'02_Eingaben'!$C$18*'02_Eingaben'!$C$10,1,0))</f>
        <v/>
      </c>
      <c r="I16" s="27">
        <f>IF(OR(G16="",G17=""),"",(G16+G17)/2*(B17-B16))</f>
        <v/>
      </c>
      <c r="J16" s="27">
        <f>IF(B16="","",IF(B15&lt;'02_Eingaben'!$C$36,0,J15+I15/'02_Eingaben'!$C$8))</f>
        <v/>
      </c>
    </row>
    <row r="17">
      <c r="A17">
        <f>IF('01_Rohdaten'!A17="","",ROW()-1)</f>
        <v/>
      </c>
      <c r="B17" s="27">
        <f>IF('01_Rohdaten'!A17="","",'01_Rohdaten'!A17)</f>
        <v/>
      </c>
      <c r="C17" s="27">
        <f>IF(B17="","",INDEX('01_Rohdaten'!B17:D17,'02_Eingaben'!$C$13))</f>
        <v/>
      </c>
      <c r="D17" s="27">
        <f>IF(C17="","",C17*'02_Eingaben'!$C$15)</f>
        <v/>
      </c>
      <c r="E17" s="27">
        <f>IF(D17="","",D17*'02_Eingaben'!$C$8)</f>
        <v/>
      </c>
      <c r="F17" s="27">
        <f>IF(E17="","",AVERAGE(INDEX($E$2:$E$3001,MAX(1,ROW()-1-'02_Eingaben'!$C$17)):INDEX($E$2:$E$3001,MIN('02_Eingaben'!$C$21,ROW()-1+'02_Eingaben'!$C$17))))</f>
        <v/>
      </c>
      <c r="G17" s="27">
        <f>IF(F17="","",F17-'02_Eingaben'!$C$10)</f>
        <v/>
      </c>
      <c r="H17">
        <f>IF(F17="","",IF(F17&lt;'02_Eingaben'!$C$18*'02_Eingaben'!$C$10,1,0))</f>
        <v/>
      </c>
      <c r="I17" s="27">
        <f>IF(OR(G17="",G18=""),"",(G17+G18)/2*(B18-B17))</f>
        <v/>
      </c>
      <c r="J17" s="27">
        <f>IF(B17="","",IF(B16&lt;'02_Eingaben'!$C$36,0,J16+I16/'02_Eingaben'!$C$8))</f>
        <v/>
      </c>
    </row>
    <row r="18">
      <c r="A18">
        <f>IF('01_Rohdaten'!A18="","",ROW()-1)</f>
        <v/>
      </c>
      <c r="B18" s="27">
        <f>IF('01_Rohdaten'!A18="","",'01_Rohdaten'!A18)</f>
        <v/>
      </c>
      <c r="C18" s="27">
        <f>IF(B18="","",INDEX('01_Rohdaten'!B18:D18,'02_Eingaben'!$C$13))</f>
        <v/>
      </c>
      <c r="D18" s="27">
        <f>IF(C18="","",C18*'02_Eingaben'!$C$15)</f>
        <v/>
      </c>
      <c r="E18" s="27">
        <f>IF(D18="","",D18*'02_Eingaben'!$C$8)</f>
        <v/>
      </c>
      <c r="F18" s="27">
        <f>IF(E18="","",AVERAGE(INDEX($E$2:$E$3001,MAX(1,ROW()-1-'02_Eingaben'!$C$17)):INDEX($E$2:$E$3001,MIN('02_Eingaben'!$C$21,ROW()-1+'02_Eingaben'!$C$17))))</f>
        <v/>
      </c>
      <c r="G18" s="27">
        <f>IF(F18="","",F18-'02_Eingaben'!$C$10)</f>
        <v/>
      </c>
      <c r="H18">
        <f>IF(F18="","",IF(F18&lt;'02_Eingaben'!$C$18*'02_Eingaben'!$C$10,1,0))</f>
        <v/>
      </c>
      <c r="I18" s="27">
        <f>IF(OR(G18="",G19=""),"",(G18+G19)/2*(B19-B18))</f>
        <v/>
      </c>
      <c r="J18" s="27">
        <f>IF(B18="","",IF(B17&lt;'02_Eingaben'!$C$36,0,J17+I17/'02_Eingaben'!$C$8))</f>
        <v/>
      </c>
    </row>
    <row r="19">
      <c r="A19">
        <f>IF('01_Rohdaten'!A19="","",ROW()-1)</f>
        <v/>
      </c>
      <c r="B19" s="27">
        <f>IF('01_Rohdaten'!A19="","",'01_Rohdaten'!A19)</f>
        <v/>
      </c>
      <c r="C19" s="27">
        <f>IF(B19="","",INDEX('01_Rohdaten'!B19:D19,'02_Eingaben'!$C$13))</f>
        <v/>
      </c>
      <c r="D19" s="27">
        <f>IF(C19="","",C19*'02_Eingaben'!$C$15)</f>
        <v/>
      </c>
      <c r="E19" s="27">
        <f>IF(D19="","",D19*'02_Eingaben'!$C$8)</f>
        <v/>
      </c>
      <c r="F19" s="27">
        <f>IF(E19="","",AVERAGE(INDEX($E$2:$E$3001,MAX(1,ROW()-1-'02_Eingaben'!$C$17)):INDEX($E$2:$E$3001,MIN('02_Eingaben'!$C$21,ROW()-1+'02_Eingaben'!$C$17))))</f>
        <v/>
      </c>
      <c r="G19" s="27">
        <f>IF(F19="","",F19-'02_Eingaben'!$C$10)</f>
        <v/>
      </c>
      <c r="H19">
        <f>IF(F19="","",IF(F19&lt;'02_Eingaben'!$C$18*'02_Eingaben'!$C$10,1,0))</f>
        <v/>
      </c>
      <c r="I19" s="27">
        <f>IF(OR(G19="",G20=""),"",(G19+G20)/2*(B20-B19))</f>
        <v/>
      </c>
      <c r="J19" s="27">
        <f>IF(B19="","",IF(B18&lt;'02_Eingaben'!$C$36,0,J18+I18/'02_Eingaben'!$C$8))</f>
        <v/>
      </c>
    </row>
    <row r="20">
      <c r="A20">
        <f>IF('01_Rohdaten'!A20="","",ROW()-1)</f>
        <v/>
      </c>
      <c r="B20" s="27">
        <f>IF('01_Rohdaten'!A20="","",'01_Rohdaten'!A20)</f>
        <v/>
      </c>
      <c r="C20" s="27">
        <f>IF(B20="","",INDEX('01_Rohdaten'!B20:D20,'02_Eingaben'!$C$13))</f>
        <v/>
      </c>
      <c r="D20" s="27">
        <f>IF(C20="","",C20*'02_Eingaben'!$C$15)</f>
        <v/>
      </c>
      <c r="E20" s="27">
        <f>IF(D20="","",D20*'02_Eingaben'!$C$8)</f>
        <v/>
      </c>
      <c r="F20" s="27">
        <f>IF(E20="","",AVERAGE(INDEX($E$2:$E$3001,MAX(1,ROW()-1-'02_Eingaben'!$C$17)):INDEX($E$2:$E$3001,MIN('02_Eingaben'!$C$21,ROW()-1+'02_Eingaben'!$C$17))))</f>
        <v/>
      </c>
      <c r="G20" s="27">
        <f>IF(F20="","",F20-'02_Eingaben'!$C$10)</f>
        <v/>
      </c>
      <c r="H20">
        <f>IF(F20="","",IF(F20&lt;'02_Eingaben'!$C$18*'02_Eingaben'!$C$10,1,0))</f>
        <v/>
      </c>
      <c r="I20" s="27">
        <f>IF(OR(G20="",G21=""),"",(G20+G21)/2*(B21-B20))</f>
        <v/>
      </c>
      <c r="J20" s="27">
        <f>IF(B20="","",IF(B19&lt;'02_Eingaben'!$C$36,0,J19+I19/'02_Eingaben'!$C$8))</f>
        <v/>
      </c>
    </row>
    <row r="21">
      <c r="A21">
        <f>IF('01_Rohdaten'!A21="","",ROW()-1)</f>
        <v/>
      </c>
      <c r="B21" s="27">
        <f>IF('01_Rohdaten'!A21="","",'01_Rohdaten'!A21)</f>
        <v/>
      </c>
      <c r="C21" s="27">
        <f>IF(B21="","",INDEX('01_Rohdaten'!B21:D21,'02_Eingaben'!$C$13))</f>
        <v/>
      </c>
      <c r="D21" s="27">
        <f>IF(C21="","",C21*'02_Eingaben'!$C$15)</f>
        <v/>
      </c>
      <c r="E21" s="27">
        <f>IF(D21="","",D21*'02_Eingaben'!$C$8)</f>
        <v/>
      </c>
      <c r="F21" s="27">
        <f>IF(E21="","",AVERAGE(INDEX($E$2:$E$3001,MAX(1,ROW()-1-'02_Eingaben'!$C$17)):INDEX($E$2:$E$3001,MIN('02_Eingaben'!$C$21,ROW()-1+'02_Eingaben'!$C$17))))</f>
        <v/>
      </c>
      <c r="G21" s="27">
        <f>IF(F21="","",F21-'02_Eingaben'!$C$10)</f>
        <v/>
      </c>
      <c r="H21">
        <f>IF(F21="","",IF(F21&lt;'02_Eingaben'!$C$18*'02_Eingaben'!$C$10,1,0))</f>
        <v/>
      </c>
      <c r="I21" s="27">
        <f>IF(OR(G21="",G22=""),"",(G21+G22)/2*(B22-B21))</f>
        <v/>
      </c>
      <c r="J21" s="27">
        <f>IF(B21="","",IF(B20&lt;'02_Eingaben'!$C$36,0,J20+I20/'02_Eingaben'!$C$8))</f>
        <v/>
      </c>
    </row>
    <row r="22">
      <c r="A22">
        <f>IF('01_Rohdaten'!A22="","",ROW()-1)</f>
        <v/>
      </c>
      <c r="B22" s="27">
        <f>IF('01_Rohdaten'!A22="","",'01_Rohdaten'!A22)</f>
        <v/>
      </c>
      <c r="C22" s="27">
        <f>IF(B22="","",INDEX('01_Rohdaten'!B22:D22,'02_Eingaben'!$C$13))</f>
        <v/>
      </c>
      <c r="D22" s="27">
        <f>IF(C22="","",C22*'02_Eingaben'!$C$15)</f>
        <v/>
      </c>
      <c r="E22" s="27">
        <f>IF(D22="","",D22*'02_Eingaben'!$C$8)</f>
        <v/>
      </c>
      <c r="F22" s="27">
        <f>IF(E22="","",AVERAGE(INDEX($E$2:$E$3001,MAX(1,ROW()-1-'02_Eingaben'!$C$17)):INDEX($E$2:$E$3001,MIN('02_Eingaben'!$C$21,ROW()-1+'02_Eingaben'!$C$17))))</f>
        <v/>
      </c>
      <c r="G22" s="27">
        <f>IF(F22="","",F22-'02_Eingaben'!$C$10)</f>
        <v/>
      </c>
      <c r="H22">
        <f>IF(F22="","",IF(F22&lt;'02_Eingaben'!$C$18*'02_Eingaben'!$C$10,1,0))</f>
        <v/>
      </c>
      <c r="I22" s="27">
        <f>IF(OR(G22="",G23=""),"",(G22+G23)/2*(B23-B22))</f>
        <v/>
      </c>
      <c r="J22" s="27">
        <f>IF(B22="","",IF(B21&lt;'02_Eingaben'!$C$36,0,J21+I21/'02_Eingaben'!$C$8))</f>
        <v/>
      </c>
    </row>
    <row r="23">
      <c r="A23">
        <f>IF('01_Rohdaten'!A23="","",ROW()-1)</f>
        <v/>
      </c>
      <c r="B23" s="27">
        <f>IF('01_Rohdaten'!A23="","",'01_Rohdaten'!A23)</f>
        <v/>
      </c>
      <c r="C23" s="27">
        <f>IF(B23="","",INDEX('01_Rohdaten'!B23:D23,'02_Eingaben'!$C$13))</f>
        <v/>
      </c>
      <c r="D23" s="27">
        <f>IF(C23="","",C23*'02_Eingaben'!$C$15)</f>
        <v/>
      </c>
      <c r="E23" s="27">
        <f>IF(D23="","",D23*'02_Eingaben'!$C$8)</f>
        <v/>
      </c>
      <c r="F23" s="27">
        <f>IF(E23="","",AVERAGE(INDEX($E$2:$E$3001,MAX(1,ROW()-1-'02_Eingaben'!$C$17)):INDEX($E$2:$E$3001,MIN('02_Eingaben'!$C$21,ROW()-1+'02_Eingaben'!$C$17))))</f>
        <v/>
      </c>
      <c r="G23" s="27">
        <f>IF(F23="","",F23-'02_Eingaben'!$C$10)</f>
        <v/>
      </c>
      <c r="H23">
        <f>IF(F23="","",IF(F23&lt;'02_Eingaben'!$C$18*'02_Eingaben'!$C$10,1,0))</f>
        <v/>
      </c>
      <c r="I23" s="27">
        <f>IF(OR(G23="",G24=""),"",(G23+G24)/2*(B24-B23))</f>
        <v/>
      </c>
      <c r="J23" s="27">
        <f>IF(B23="","",IF(B22&lt;'02_Eingaben'!$C$36,0,J22+I22/'02_Eingaben'!$C$8))</f>
        <v/>
      </c>
    </row>
    <row r="24">
      <c r="A24">
        <f>IF('01_Rohdaten'!A24="","",ROW()-1)</f>
        <v/>
      </c>
      <c r="B24" s="27">
        <f>IF('01_Rohdaten'!A24="","",'01_Rohdaten'!A24)</f>
        <v/>
      </c>
      <c r="C24" s="27">
        <f>IF(B24="","",INDEX('01_Rohdaten'!B24:D24,'02_Eingaben'!$C$13))</f>
        <v/>
      </c>
      <c r="D24" s="27">
        <f>IF(C24="","",C24*'02_Eingaben'!$C$15)</f>
        <v/>
      </c>
      <c r="E24" s="27">
        <f>IF(D24="","",D24*'02_Eingaben'!$C$8)</f>
        <v/>
      </c>
      <c r="F24" s="27">
        <f>IF(E24="","",AVERAGE(INDEX($E$2:$E$3001,MAX(1,ROW()-1-'02_Eingaben'!$C$17)):INDEX($E$2:$E$3001,MIN('02_Eingaben'!$C$21,ROW()-1+'02_Eingaben'!$C$17))))</f>
        <v/>
      </c>
      <c r="G24" s="27">
        <f>IF(F24="","",F24-'02_Eingaben'!$C$10)</f>
        <v/>
      </c>
      <c r="H24">
        <f>IF(F24="","",IF(F24&lt;'02_Eingaben'!$C$18*'02_Eingaben'!$C$10,1,0))</f>
        <v/>
      </c>
      <c r="I24" s="27">
        <f>IF(OR(G24="",G25=""),"",(G24+G25)/2*(B25-B24))</f>
        <v/>
      </c>
      <c r="J24" s="27">
        <f>IF(B24="","",IF(B23&lt;'02_Eingaben'!$C$36,0,J23+I23/'02_Eingaben'!$C$8))</f>
        <v/>
      </c>
    </row>
    <row r="25">
      <c r="A25">
        <f>IF('01_Rohdaten'!A25="","",ROW()-1)</f>
        <v/>
      </c>
      <c r="B25" s="27">
        <f>IF('01_Rohdaten'!A25="","",'01_Rohdaten'!A25)</f>
        <v/>
      </c>
      <c r="C25" s="27">
        <f>IF(B25="","",INDEX('01_Rohdaten'!B25:D25,'02_Eingaben'!$C$13))</f>
        <v/>
      </c>
      <c r="D25" s="27">
        <f>IF(C25="","",C25*'02_Eingaben'!$C$15)</f>
        <v/>
      </c>
      <c r="E25" s="27">
        <f>IF(D25="","",D25*'02_Eingaben'!$C$8)</f>
        <v/>
      </c>
      <c r="F25" s="27">
        <f>IF(E25="","",AVERAGE(INDEX($E$2:$E$3001,MAX(1,ROW()-1-'02_Eingaben'!$C$17)):INDEX($E$2:$E$3001,MIN('02_Eingaben'!$C$21,ROW()-1+'02_Eingaben'!$C$17))))</f>
        <v/>
      </c>
      <c r="G25" s="27">
        <f>IF(F25="","",F25-'02_Eingaben'!$C$10)</f>
        <v/>
      </c>
      <c r="H25">
        <f>IF(F25="","",IF(F25&lt;'02_Eingaben'!$C$18*'02_Eingaben'!$C$10,1,0))</f>
        <v/>
      </c>
      <c r="I25" s="27">
        <f>IF(OR(G25="",G26=""),"",(G25+G26)/2*(B26-B25))</f>
        <v/>
      </c>
      <c r="J25" s="27">
        <f>IF(B25="","",IF(B24&lt;'02_Eingaben'!$C$36,0,J24+I24/'02_Eingaben'!$C$8))</f>
        <v/>
      </c>
    </row>
    <row r="26">
      <c r="A26">
        <f>IF('01_Rohdaten'!A26="","",ROW()-1)</f>
        <v/>
      </c>
      <c r="B26" s="27">
        <f>IF('01_Rohdaten'!A26="","",'01_Rohdaten'!A26)</f>
        <v/>
      </c>
      <c r="C26" s="27">
        <f>IF(B26="","",INDEX('01_Rohdaten'!B26:D26,'02_Eingaben'!$C$13))</f>
        <v/>
      </c>
      <c r="D26" s="27">
        <f>IF(C26="","",C26*'02_Eingaben'!$C$15)</f>
        <v/>
      </c>
      <c r="E26" s="27">
        <f>IF(D26="","",D26*'02_Eingaben'!$C$8)</f>
        <v/>
      </c>
      <c r="F26" s="27">
        <f>IF(E26="","",AVERAGE(INDEX($E$2:$E$3001,MAX(1,ROW()-1-'02_Eingaben'!$C$17)):INDEX($E$2:$E$3001,MIN('02_Eingaben'!$C$21,ROW()-1+'02_Eingaben'!$C$17))))</f>
        <v/>
      </c>
      <c r="G26" s="27">
        <f>IF(F26="","",F26-'02_Eingaben'!$C$10)</f>
        <v/>
      </c>
      <c r="H26">
        <f>IF(F26="","",IF(F26&lt;'02_Eingaben'!$C$18*'02_Eingaben'!$C$10,1,0))</f>
        <v/>
      </c>
      <c r="I26" s="27">
        <f>IF(OR(G26="",G27=""),"",(G26+G27)/2*(B27-B26))</f>
        <v/>
      </c>
      <c r="J26" s="27">
        <f>IF(B26="","",IF(B25&lt;'02_Eingaben'!$C$36,0,J25+I25/'02_Eingaben'!$C$8))</f>
        <v/>
      </c>
    </row>
    <row r="27">
      <c r="A27">
        <f>IF('01_Rohdaten'!A27="","",ROW()-1)</f>
        <v/>
      </c>
      <c r="B27" s="27">
        <f>IF('01_Rohdaten'!A27="","",'01_Rohdaten'!A27)</f>
        <v/>
      </c>
      <c r="C27" s="27">
        <f>IF(B27="","",INDEX('01_Rohdaten'!B27:D27,'02_Eingaben'!$C$13))</f>
        <v/>
      </c>
      <c r="D27" s="27">
        <f>IF(C27="","",C27*'02_Eingaben'!$C$15)</f>
        <v/>
      </c>
      <c r="E27" s="27">
        <f>IF(D27="","",D27*'02_Eingaben'!$C$8)</f>
        <v/>
      </c>
      <c r="F27" s="27">
        <f>IF(E27="","",AVERAGE(INDEX($E$2:$E$3001,MAX(1,ROW()-1-'02_Eingaben'!$C$17)):INDEX($E$2:$E$3001,MIN('02_Eingaben'!$C$21,ROW()-1+'02_Eingaben'!$C$17))))</f>
        <v/>
      </c>
      <c r="G27" s="27">
        <f>IF(F27="","",F27-'02_Eingaben'!$C$10)</f>
        <v/>
      </c>
      <c r="H27">
        <f>IF(F27="","",IF(F27&lt;'02_Eingaben'!$C$18*'02_Eingaben'!$C$10,1,0))</f>
        <v/>
      </c>
      <c r="I27" s="27">
        <f>IF(OR(G27="",G28=""),"",(G27+G28)/2*(B28-B27))</f>
        <v/>
      </c>
      <c r="J27" s="27">
        <f>IF(B27="","",IF(B26&lt;'02_Eingaben'!$C$36,0,J26+I26/'02_Eingaben'!$C$8))</f>
        <v/>
      </c>
    </row>
    <row r="28">
      <c r="A28">
        <f>IF('01_Rohdaten'!A28="","",ROW()-1)</f>
        <v/>
      </c>
      <c r="B28" s="27">
        <f>IF('01_Rohdaten'!A28="","",'01_Rohdaten'!A28)</f>
        <v/>
      </c>
      <c r="C28" s="27">
        <f>IF(B28="","",INDEX('01_Rohdaten'!B28:D28,'02_Eingaben'!$C$13))</f>
        <v/>
      </c>
      <c r="D28" s="27">
        <f>IF(C28="","",C28*'02_Eingaben'!$C$15)</f>
        <v/>
      </c>
      <c r="E28" s="27">
        <f>IF(D28="","",D28*'02_Eingaben'!$C$8)</f>
        <v/>
      </c>
      <c r="F28" s="27">
        <f>IF(E28="","",AVERAGE(INDEX($E$2:$E$3001,MAX(1,ROW()-1-'02_Eingaben'!$C$17)):INDEX($E$2:$E$3001,MIN('02_Eingaben'!$C$21,ROW()-1+'02_Eingaben'!$C$17))))</f>
        <v/>
      </c>
      <c r="G28" s="27">
        <f>IF(F28="","",F28-'02_Eingaben'!$C$10)</f>
        <v/>
      </c>
      <c r="H28">
        <f>IF(F28="","",IF(F28&lt;'02_Eingaben'!$C$18*'02_Eingaben'!$C$10,1,0))</f>
        <v/>
      </c>
      <c r="I28" s="27">
        <f>IF(OR(G28="",G29=""),"",(G28+G29)/2*(B29-B28))</f>
        <v/>
      </c>
      <c r="J28" s="27">
        <f>IF(B28="","",IF(B27&lt;'02_Eingaben'!$C$36,0,J27+I27/'02_Eingaben'!$C$8))</f>
        <v/>
      </c>
    </row>
    <row r="29">
      <c r="A29">
        <f>IF('01_Rohdaten'!A29="","",ROW()-1)</f>
        <v/>
      </c>
      <c r="B29" s="27">
        <f>IF('01_Rohdaten'!A29="","",'01_Rohdaten'!A29)</f>
        <v/>
      </c>
      <c r="C29" s="27">
        <f>IF(B29="","",INDEX('01_Rohdaten'!B29:D29,'02_Eingaben'!$C$13))</f>
        <v/>
      </c>
      <c r="D29" s="27">
        <f>IF(C29="","",C29*'02_Eingaben'!$C$15)</f>
        <v/>
      </c>
      <c r="E29" s="27">
        <f>IF(D29="","",D29*'02_Eingaben'!$C$8)</f>
        <v/>
      </c>
      <c r="F29" s="27">
        <f>IF(E29="","",AVERAGE(INDEX($E$2:$E$3001,MAX(1,ROW()-1-'02_Eingaben'!$C$17)):INDEX($E$2:$E$3001,MIN('02_Eingaben'!$C$21,ROW()-1+'02_Eingaben'!$C$17))))</f>
        <v/>
      </c>
      <c r="G29" s="27">
        <f>IF(F29="","",F29-'02_Eingaben'!$C$10)</f>
        <v/>
      </c>
      <c r="H29">
        <f>IF(F29="","",IF(F29&lt;'02_Eingaben'!$C$18*'02_Eingaben'!$C$10,1,0))</f>
        <v/>
      </c>
      <c r="I29" s="27">
        <f>IF(OR(G29="",G30=""),"",(G29+G30)/2*(B30-B29))</f>
        <v/>
      </c>
      <c r="J29" s="27">
        <f>IF(B29="","",IF(B28&lt;'02_Eingaben'!$C$36,0,J28+I28/'02_Eingaben'!$C$8))</f>
        <v/>
      </c>
    </row>
    <row r="30">
      <c r="A30">
        <f>IF('01_Rohdaten'!A30="","",ROW()-1)</f>
        <v/>
      </c>
      <c r="B30" s="27">
        <f>IF('01_Rohdaten'!A30="","",'01_Rohdaten'!A30)</f>
        <v/>
      </c>
      <c r="C30" s="27">
        <f>IF(B30="","",INDEX('01_Rohdaten'!B30:D30,'02_Eingaben'!$C$13))</f>
        <v/>
      </c>
      <c r="D30" s="27">
        <f>IF(C30="","",C30*'02_Eingaben'!$C$15)</f>
        <v/>
      </c>
      <c r="E30" s="27">
        <f>IF(D30="","",D30*'02_Eingaben'!$C$8)</f>
        <v/>
      </c>
      <c r="F30" s="27">
        <f>IF(E30="","",AVERAGE(INDEX($E$2:$E$3001,MAX(1,ROW()-1-'02_Eingaben'!$C$17)):INDEX($E$2:$E$3001,MIN('02_Eingaben'!$C$21,ROW()-1+'02_Eingaben'!$C$17))))</f>
        <v/>
      </c>
      <c r="G30" s="27">
        <f>IF(F30="","",F30-'02_Eingaben'!$C$10)</f>
        <v/>
      </c>
      <c r="H30">
        <f>IF(F30="","",IF(F30&lt;'02_Eingaben'!$C$18*'02_Eingaben'!$C$10,1,0))</f>
        <v/>
      </c>
      <c r="I30" s="27">
        <f>IF(OR(G30="",G31=""),"",(G30+G31)/2*(B31-B30))</f>
        <v/>
      </c>
      <c r="J30" s="27">
        <f>IF(B30="","",IF(B29&lt;'02_Eingaben'!$C$36,0,J29+I29/'02_Eingaben'!$C$8))</f>
        <v/>
      </c>
    </row>
    <row r="31">
      <c r="A31">
        <f>IF('01_Rohdaten'!A31="","",ROW()-1)</f>
        <v/>
      </c>
      <c r="B31" s="27">
        <f>IF('01_Rohdaten'!A31="","",'01_Rohdaten'!A31)</f>
        <v/>
      </c>
      <c r="C31" s="27">
        <f>IF(B31="","",INDEX('01_Rohdaten'!B31:D31,'02_Eingaben'!$C$13))</f>
        <v/>
      </c>
      <c r="D31" s="27">
        <f>IF(C31="","",C31*'02_Eingaben'!$C$15)</f>
        <v/>
      </c>
      <c r="E31" s="27">
        <f>IF(D31="","",D31*'02_Eingaben'!$C$8)</f>
        <v/>
      </c>
      <c r="F31" s="27">
        <f>IF(E31="","",AVERAGE(INDEX($E$2:$E$3001,MAX(1,ROW()-1-'02_Eingaben'!$C$17)):INDEX($E$2:$E$3001,MIN('02_Eingaben'!$C$21,ROW()-1+'02_Eingaben'!$C$17))))</f>
        <v/>
      </c>
      <c r="G31" s="27">
        <f>IF(F31="","",F31-'02_Eingaben'!$C$10)</f>
        <v/>
      </c>
      <c r="H31">
        <f>IF(F31="","",IF(F31&lt;'02_Eingaben'!$C$18*'02_Eingaben'!$C$10,1,0))</f>
        <v/>
      </c>
      <c r="I31" s="27">
        <f>IF(OR(G31="",G32=""),"",(G31+G32)/2*(B32-B31))</f>
        <v/>
      </c>
      <c r="J31" s="27">
        <f>IF(B31="","",IF(B30&lt;'02_Eingaben'!$C$36,0,J30+I30/'02_Eingaben'!$C$8))</f>
        <v/>
      </c>
    </row>
    <row r="32">
      <c r="A32">
        <f>IF('01_Rohdaten'!A32="","",ROW()-1)</f>
        <v/>
      </c>
      <c r="B32" s="27">
        <f>IF('01_Rohdaten'!A32="","",'01_Rohdaten'!A32)</f>
        <v/>
      </c>
      <c r="C32" s="27">
        <f>IF(B32="","",INDEX('01_Rohdaten'!B32:D32,'02_Eingaben'!$C$13))</f>
        <v/>
      </c>
      <c r="D32" s="27">
        <f>IF(C32="","",C32*'02_Eingaben'!$C$15)</f>
        <v/>
      </c>
      <c r="E32" s="27">
        <f>IF(D32="","",D32*'02_Eingaben'!$C$8)</f>
        <v/>
      </c>
      <c r="F32" s="27">
        <f>IF(E32="","",AVERAGE(INDEX($E$2:$E$3001,MAX(1,ROW()-1-'02_Eingaben'!$C$17)):INDEX($E$2:$E$3001,MIN('02_Eingaben'!$C$21,ROW()-1+'02_Eingaben'!$C$17))))</f>
        <v/>
      </c>
      <c r="G32" s="27">
        <f>IF(F32="","",F32-'02_Eingaben'!$C$10)</f>
        <v/>
      </c>
      <c r="H32">
        <f>IF(F32="","",IF(F32&lt;'02_Eingaben'!$C$18*'02_Eingaben'!$C$10,1,0))</f>
        <v/>
      </c>
      <c r="I32" s="27">
        <f>IF(OR(G32="",G33=""),"",(G32+G33)/2*(B33-B32))</f>
        <v/>
      </c>
      <c r="J32" s="27">
        <f>IF(B32="","",IF(B31&lt;'02_Eingaben'!$C$36,0,J31+I31/'02_Eingaben'!$C$8))</f>
        <v/>
      </c>
    </row>
    <row r="33">
      <c r="A33">
        <f>IF('01_Rohdaten'!A33="","",ROW()-1)</f>
        <v/>
      </c>
      <c r="B33" s="27">
        <f>IF('01_Rohdaten'!A33="","",'01_Rohdaten'!A33)</f>
        <v/>
      </c>
      <c r="C33" s="27">
        <f>IF(B33="","",INDEX('01_Rohdaten'!B33:D33,'02_Eingaben'!$C$13))</f>
        <v/>
      </c>
      <c r="D33" s="27">
        <f>IF(C33="","",C33*'02_Eingaben'!$C$15)</f>
        <v/>
      </c>
      <c r="E33" s="27">
        <f>IF(D33="","",D33*'02_Eingaben'!$C$8)</f>
        <v/>
      </c>
      <c r="F33" s="27">
        <f>IF(E33="","",AVERAGE(INDEX($E$2:$E$3001,MAX(1,ROW()-1-'02_Eingaben'!$C$17)):INDEX($E$2:$E$3001,MIN('02_Eingaben'!$C$21,ROW()-1+'02_Eingaben'!$C$17))))</f>
        <v/>
      </c>
      <c r="G33" s="27">
        <f>IF(F33="","",F33-'02_Eingaben'!$C$10)</f>
        <v/>
      </c>
      <c r="H33">
        <f>IF(F33="","",IF(F33&lt;'02_Eingaben'!$C$18*'02_Eingaben'!$C$10,1,0))</f>
        <v/>
      </c>
      <c r="I33" s="27">
        <f>IF(OR(G33="",G34=""),"",(G33+G34)/2*(B34-B33))</f>
        <v/>
      </c>
      <c r="J33" s="27">
        <f>IF(B33="","",IF(B32&lt;'02_Eingaben'!$C$36,0,J32+I32/'02_Eingaben'!$C$8))</f>
        <v/>
      </c>
    </row>
    <row r="34">
      <c r="A34">
        <f>IF('01_Rohdaten'!A34="","",ROW()-1)</f>
        <v/>
      </c>
      <c r="B34" s="27">
        <f>IF('01_Rohdaten'!A34="","",'01_Rohdaten'!A34)</f>
        <v/>
      </c>
      <c r="C34" s="27">
        <f>IF(B34="","",INDEX('01_Rohdaten'!B34:D34,'02_Eingaben'!$C$13))</f>
        <v/>
      </c>
      <c r="D34" s="27">
        <f>IF(C34="","",C34*'02_Eingaben'!$C$15)</f>
        <v/>
      </c>
      <c r="E34" s="27">
        <f>IF(D34="","",D34*'02_Eingaben'!$C$8)</f>
        <v/>
      </c>
      <c r="F34" s="27">
        <f>IF(E34="","",AVERAGE(INDEX($E$2:$E$3001,MAX(1,ROW()-1-'02_Eingaben'!$C$17)):INDEX($E$2:$E$3001,MIN('02_Eingaben'!$C$21,ROW()-1+'02_Eingaben'!$C$17))))</f>
        <v/>
      </c>
      <c r="G34" s="27">
        <f>IF(F34="","",F34-'02_Eingaben'!$C$10)</f>
        <v/>
      </c>
      <c r="H34">
        <f>IF(F34="","",IF(F34&lt;'02_Eingaben'!$C$18*'02_Eingaben'!$C$10,1,0))</f>
        <v/>
      </c>
      <c r="I34" s="27">
        <f>IF(OR(G34="",G35=""),"",(G34+G35)/2*(B35-B34))</f>
        <v/>
      </c>
      <c r="J34" s="27">
        <f>IF(B34="","",IF(B33&lt;'02_Eingaben'!$C$36,0,J33+I33/'02_Eingaben'!$C$8))</f>
        <v/>
      </c>
    </row>
    <row r="35">
      <c r="A35">
        <f>IF('01_Rohdaten'!A35="","",ROW()-1)</f>
        <v/>
      </c>
      <c r="B35" s="27">
        <f>IF('01_Rohdaten'!A35="","",'01_Rohdaten'!A35)</f>
        <v/>
      </c>
      <c r="C35" s="27">
        <f>IF(B35="","",INDEX('01_Rohdaten'!B35:D35,'02_Eingaben'!$C$13))</f>
        <v/>
      </c>
      <c r="D35" s="27">
        <f>IF(C35="","",C35*'02_Eingaben'!$C$15)</f>
        <v/>
      </c>
      <c r="E35" s="27">
        <f>IF(D35="","",D35*'02_Eingaben'!$C$8)</f>
        <v/>
      </c>
      <c r="F35" s="27">
        <f>IF(E35="","",AVERAGE(INDEX($E$2:$E$3001,MAX(1,ROW()-1-'02_Eingaben'!$C$17)):INDEX($E$2:$E$3001,MIN('02_Eingaben'!$C$21,ROW()-1+'02_Eingaben'!$C$17))))</f>
        <v/>
      </c>
      <c r="G35" s="27">
        <f>IF(F35="","",F35-'02_Eingaben'!$C$10)</f>
        <v/>
      </c>
      <c r="H35">
        <f>IF(F35="","",IF(F35&lt;'02_Eingaben'!$C$18*'02_Eingaben'!$C$10,1,0))</f>
        <v/>
      </c>
      <c r="I35" s="27">
        <f>IF(OR(G35="",G36=""),"",(G35+G36)/2*(B36-B35))</f>
        <v/>
      </c>
      <c r="J35" s="27">
        <f>IF(B35="","",IF(B34&lt;'02_Eingaben'!$C$36,0,J34+I34/'02_Eingaben'!$C$8))</f>
        <v/>
      </c>
    </row>
    <row r="36">
      <c r="A36">
        <f>IF('01_Rohdaten'!A36="","",ROW()-1)</f>
        <v/>
      </c>
      <c r="B36" s="27">
        <f>IF('01_Rohdaten'!A36="","",'01_Rohdaten'!A36)</f>
        <v/>
      </c>
      <c r="C36" s="27">
        <f>IF(B36="","",INDEX('01_Rohdaten'!B36:D36,'02_Eingaben'!$C$13))</f>
        <v/>
      </c>
      <c r="D36" s="27">
        <f>IF(C36="","",C36*'02_Eingaben'!$C$15)</f>
        <v/>
      </c>
      <c r="E36" s="27">
        <f>IF(D36="","",D36*'02_Eingaben'!$C$8)</f>
        <v/>
      </c>
      <c r="F36" s="27">
        <f>IF(E36="","",AVERAGE(INDEX($E$2:$E$3001,MAX(1,ROW()-1-'02_Eingaben'!$C$17)):INDEX($E$2:$E$3001,MIN('02_Eingaben'!$C$21,ROW()-1+'02_Eingaben'!$C$17))))</f>
        <v/>
      </c>
      <c r="G36" s="27">
        <f>IF(F36="","",F36-'02_Eingaben'!$C$10)</f>
        <v/>
      </c>
      <c r="H36">
        <f>IF(F36="","",IF(F36&lt;'02_Eingaben'!$C$18*'02_Eingaben'!$C$10,1,0))</f>
        <v/>
      </c>
      <c r="I36" s="27">
        <f>IF(OR(G36="",G37=""),"",(G36+G37)/2*(B37-B36))</f>
        <v/>
      </c>
      <c r="J36" s="27">
        <f>IF(B36="","",IF(B35&lt;'02_Eingaben'!$C$36,0,J35+I35/'02_Eingaben'!$C$8))</f>
        <v/>
      </c>
    </row>
    <row r="37">
      <c r="A37">
        <f>IF('01_Rohdaten'!A37="","",ROW()-1)</f>
        <v/>
      </c>
      <c r="B37" s="27">
        <f>IF('01_Rohdaten'!A37="","",'01_Rohdaten'!A37)</f>
        <v/>
      </c>
      <c r="C37" s="27">
        <f>IF(B37="","",INDEX('01_Rohdaten'!B37:D37,'02_Eingaben'!$C$13))</f>
        <v/>
      </c>
      <c r="D37" s="27">
        <f>IF(C37="","",C37*'02_Eingaben'!$C$15)</f>
        <v/>
      </c>
      <c r="E37" s="27">
        <f>IF(D37="","",D37*'02_Eingaben'!$C$8)</f>
        <v/>
      </c>
      <c r="F37" s="27">
        <f>IF(E37="","",AVERAGE(INDEX($E$2:$E$3001,MAX(1,ROW()-1-'02_Eingaben'!$C$17)):INDEX($E$2:$E$3001,MIN('02_Eingaben'!$C$21,ROW()-1+'02_Eingaben'!$C$17))))</f>
        <v/>
      </c>
      <c r="G37" s="27">
        <f>IF(F37="","",F37-'02_Eingaben'!$C$10)</f>
        <v/>
      </c>
      <c r="H37">
        <f>IF(F37="","",IF(F37&lt;'02_Eingaben'!$C$18*'02_Eingaben'!$C$10,1,0))</f>
        <v/>
      </c>
      <c r="I37" s="27">
        <f>IF(OR(G37="",G38=""),"",(G37+G38)/2*(B38-B37))</f>
        <v/>
      </c>
      <c r="J37" s="27">
        <f>IF(B37="","",IF(B36&lt;'02_Eingaben'!$C$36,0,J36+I36/'02_Eingaben'!$C$8))</f>
        <v/>
      </c>
    </row>
    <row r="38">
      <c r="A38">
        <f>IF('01_Rohdaten'!A38="","",ROW()-1)</f>
        <v/>
      </c>
      <c r="B38" s="27">
        <f>IF('01_Rohdaten'!A38="","",'01_Rohdaten'!A38)</f>
        <v/>
      </c>
      <c r="C38" s="27">
        <f>IF(B38="","",INDEX('01_Rohdaten'!B38:D38,'02_Eingaben'!$C$13))</f>
        <v/>
      </c>
      <c r="D38" s="27">
        <f>IF(C38="","",C38*'02_Eingaben'!$C$15)</f>
        <v/>
      </c>
      <c r="E38" s="27">
        <f>IF(D38="","",D38*'02_Eingaben'!$C$8)</f>
        <v/>
      </c>
      <c r="F38" s="27">
        <f>IF(E38="","",AVERAGE(INDEX($E$2:$E$3001,MAX(1,ROW()-1-'02_Eingaben'!$C$17)):INDEX($E$2:$E$3001,MIN('02_Eingaben'!$C$21,ROW()-1+'02_Eingaben'!$C$17))))</f>
        <v/>
      </c>
      <c r="G38" s="27">
        <f>IF(F38="","",F38-'02_Eingaben'!$C$10)</f>
        <v/>
      </c>
      <c r="H38">
        <f>IF(F38="","",IF(F38&lt;'02_Eingaben'!$C$18*'02_Eingaben'!$C$10,1,0))</f>
        <v/>
      </c>
      <c r="I38" s="27">
        <f>IF(OR(G38="",G39=""),"",(G38+G39)/2*(B39-B38))</f>
        <v/>
      </c>
      <c r="J38" s="27">
        <f>IF(B38="","",IF(B37&lt;'02_Eingaben'!$C$36,0,J37+I37/'02_Eingaben'!$C$8))</f>
        <v/>
      </c>
    </row>
    <row r="39">
      <c r="A39">
        <f>IF('01_Rohdaten'!A39="","",ROW()-1)</f>
        <v/>
      </c>
      <c r="B39" s="27">
        <f>IF('01_Rohdaten'!A39="","",'01_Rohdaten'!A39)</f>
        <v/>
      </c>
      <c r="C39" s="27">
        <f>IF(B39="","",INDEX('01_Rohdaten'!B39:D39,'02_Eingaben'!$C$13))</f>
        <v/>
      </c>
      <c r="D39" s="27">
        <f>IF(C39="","",C39*'02_Eingaben'!$C$15)</f>
        <v/>
      </c>
      <c r="E39" s="27">
        <f>IF(D39="","",D39*'02_Eingaben'!$C$8)</f>
        <v/>
      </c>
      <c r="F39" s="27">
        <f>IF(E39="","",AVERAGE(INDEX($E$2:$E$3001,MAX(1,ROW()-1-'02_Eingaben'!$C$17)):INDEX($E$2:$E$3001,MIN('02_Eingaben'!$C$21,ROW()-1+'02_Eingaben'!$C$17))))</f>
        <v/>
      </c>
      <c r="G39" s="27">
        <f>IF(F39="","",F39-'02_Eingaben'!$C$10)</f>
        <v/>
      </c>
      <c r="H39">
        <f>IF(F39="","",IF(F39&lt;'02_Eingaben'!$C$18*'02_Eingaben'!$C$10,1,0))</f>
        <v/>
      </c>
      <c r="I39" s="27">
        <f>IF(OR(G39="",G40=""),"",(G39+G40)/2*(B40-B39))</f>
        <v/>
      </c>
      <c r="J39" s="27">
        <f>IF(B39="","",IF(B38&lt;'02_Eingaben'!$C$36,0,J38+I38/'02_Eingaben'!$C$8))</f>
        <v/>
      </c>
    </row>
    <row r="40">
      <c r="A40">
        <f>IF('01_Rohdaten'!A40="","",ROW()-1)</f>
        <v/>
      </c>
      <c r="B40" s="27">
        <f>IF('01_Rohdaten'!A40="","",'01_Rohdaten'!A40)</f>
        <v/>
      </c>
      <c r="C40" s="27">
        <f>IF(B40="","",INDEX('01_Rohdaten'!B40:D40,'02_Eingaben'!$C$13))</f>
        <v/>
      </c>
      <c r="D40" s="27">
        <f>IF(C40="","",C40*'02_Eingaben'!$C$15)</f>
        <v/>
      </c>
      <c r="E40" s="27">
        <f>IF(D40="","",D40*'02_Eingaben'!$C$8)</f>
        <v/>
      </c>
      <c r="F40" s="27">
        <f>IF(E40="","",AVERAGE(INDEX($E$2:$E$3001,MAX(1,ROW()-1-'02_Eingaben'!$C$17)):INDEX($E$2:$E$3001,MIN('02_Eingaben'!$C$21,ROW()-1+'02_Eingaben'!$C$17))))</f>
        <v/>
      </c>
      <c r="G40" s="27">
        <f>IF(F40="","",F40-'02_Eingaben'!$C$10)</f>
        <v/>
      </c>
      <c r="H40">
        <f>IF(F40="","",IF(F40&lt;'02_Eingaben'!$C$18*'02_Eingaben'!$C$10,1,0))</f>
        <v/>
      </c>
      <c r="I40" s="27">
        <f>IF(OR(G40="",G41=""),"",(G40+G41)/2*(B41-B40))</f>
        <v/>
      </c>
      <c r="J40" s="27">
        <f>IF(B40="","",IF(B39&lt;'02_Eingaben'!$C$36,0,J39+I39/'02_Eingaben'!$C$8))</f>
        <v/>
      </c>
    </row>
    <row r="41">
      <c r="A41">
        <f>IF('01_Rohdaten'!A41="","",ROW()-1)</f>
        <v/>
      </c>
      <c r="B41" s="27">
        <f>IF('01_Rohdaten'!A41="","",'01_Rohdaten'!A41)</f>
        <v/>
      </c>
      <c r="C41" s="27">
        <f>IF(B41="","",INDEX('01_Rohdaten'!B41:D41,'02_Eingaben'!$C$13))</f>
        <v/>
      </c>
      <c r="D41" s="27">
        <f>IF(C41="","",C41*'02_Eingaben'!$C$15)</f>
        <v/>
      </c>
      <c r="E41" s="27">
        <f>IF(D41="","",D41*'02_Eingaben'!$C$8)</f>
        <v/>
      </c>
      <c r="F41" s="27">
        <f>IF(E41="","",AVERAGE(INDEX($E$2:$E$3001,MAX(1,ROW()-1-'02_Eingaben'!$C$17)):INDEX($E$2:$E$3001,MIN('02_Eingaben'!$C$21,ROW()-1+'02_Eingaben'!$C$17))))</f>
        <v/>
      </c>
      <c r="G41" s="27">
        <f>IF(F41="","",F41-'02_Eingaben'!$C$10)</f>
        <v/>
      </c>
      <c r="H41">
        <f>IF(F41="","",IF(F41&lt;'02_Eingaben'!$C$18*'02_Eingaben'!$C$10,1,0))</f>
        <v/>
      </c>
      <c r="I41" s="27">
        <f>IF(OR(G41="",G42=""),"",(G41+G42)/2*(B42-B41))</f>
        <v/>
      </c>
      <c r="J41" s="27">
        <f>IF(B41="","",IF(B40&lt;'02_Eingaben'!$C$36,0,J40+I40/'02_Eingaben'!$C$8))</f>
        <v/>
      </c>
    </row>
    <row r="42">
      <c r="A42">
        <f>IF('01_Rohdaten'!A42="","",ROW()-1)</f>
        <v/>
      </c>
      <c r="B42" s="27">
        <f>IF('01_Rohdaten'!A42="","",'01_Rohdaten'!A42)</f>
        <v/>
      </c>
      <c r="C42" s="27">
        <f>IF(B42="","",INDEX('01_Rohdaten'!B42:D42,'02_Eingaben'!$C$13))</f>
        <v/>
      </c>
      <c r="D42" s="27">
        <f>IF(C42="","",C42*'02_Eingaben'!$C$15)</f>
        <v/>
      </c>
      <c r="E42" s="27">
        <f>IF(D42="","",D42*'02_Eingaben'!$C$8)</f>
        <v/>
      </c>
      <c r="F42" s="27">
        <f>IF(E42="","",AVERAGE(INDEX($E$2:$E$3001,MAX(1,ROW()-1-'02_Eingaben'!$C$17)):INDEX($E$2:$E$3001,MIN('02_Eingaben'!$C$21,ROW()-1+'02_Eingaben'!$C$17))))</f>
        <v/>
      </c>
      <c r="G42" s="27">
        <f>IF(F42="","",F42-'02_Eingaben'!$C$10)</f>
        <v/>
      </c>
      <c r="H42">
        <f>IF(F42="","",IF(F42&lt;'02_Eingaben'!$C$18*'02_Eingaben'!$C$10,1,0))</f>
        <v/>
      </c>
      <c r="I42" s="27">
        <f>IF(OR(G42="",G43=""),"",(G42+G43)/2*(B43-B42))</f>
        <v/>
      </c>
      <c r="J42" s="27">
        <f>IF(B42="","",IF(B41&lt;'02_Eingaben'!$C$36,0,J41+I41/'02_Eingaben'!$C$8))</f>
        <v/>
      </c>
    </row>
    <row r="43">
      <c r="A43">
        <f>IF('01_Rohdaten'!A43="","",ROW()-1)</f>
        <v/>
      </c>
      <c r="B43" s="27">
        <f>IF('01_Rohdaten'!A43="","",'01_Rohdaten'!A43)</f>
        <v/>
      </c>
      <c r="C43" s="27">
        <f>IF(B43="","",INDEX('01_Rohdaten'!B43:D43,'02_Eingaben'!$C$13))</f>
        <v/>
      </c>
      <c r="D43" s="27">
        <f>IF(C43="","",C43*'02_Eingaben'!$C$15)</f>
        <v/>
      </c>
      <c r="E43" s="27">
        <f>IF(D43="","",D43*'02_Eingaben'!$C$8)</f>
        <v/>
      </c>
      <c r="F43" s="27">
        <f>IF(E43="","",AVERAGE(INDEX($E$2:$E$3001,MAX(1,ROW()-1-'02_Eingaben'!$C$17)):INDEX($E$2:$E$3001,MIN('02_Eingaben'!$C$21,ROW()-1+'02_Eingaben'!$C$17))))</f>
        <v/>
      </c>
      <c r="G43" s="27">
        <f>IF(F43="","",F43-'02_Eingaben'!$C$10)</f>
        <v/>
      </c>
      <c r="H43">
        <f>IF(F43="","",IF(F43&lt;'02_Eingaben'!$C$18*'02_Eingaben'!$C$10,1,0))</f>
        <v/>
      </c>
      <c r="I43" s="27">
        <f>IF(OR(G43="",G44=""),"",(G43+G44)/2*(B44-B43))</f>
        <v/>
      </c>
      <c r="J43" s="27">
        <f>IF(B43="","",IF(B42&lt;'02_Eingaben'!$C$36,0,J42+I42/'02_Eingaben'!$C$8))</f>
        <v/>
      </c>
    </row>
    <row r="44">
      <c r="A44">
        <f>IF('01_Rohdaten'!A44="","",ROW()-1)</f>
        <v/>
      </c>
      <c r="B44" s="27">
        <f>IF('01_Rohdaten'!A44="","",'01_Rohdaten'!A44)</f>
        <v/>
      </c>
      <c r="C44" s="27">
        <f>IF(B44="","",INDEX('01_Rohdaten'!B44:D44,'02_Eingaben'!$C$13))</f>
        <v/>
      </c>
      <c r="D44" s="27">
        <f>IF(C44="","",C44*'02_Eingaben'!$C$15)</f>
        <v/>
      </c>
      <c r="E44" s="27">
        <f>IF(D44="","",D44*'02_Eingaben'!$C$8)</f>
        <v/>
      </c>
      <c r="F44" s="27">
        <f>IF(E44="","",AVERAGE(INDEX($E$2:$E$3001,MAX(1,ROW()-1-'02_Eingaben'!$C$17)):INDEX($E$2:$E$3001,MIN('02_Eingaben'!$C$21,ROW()-1+'02_Eingaben'!$C$17))))</f>
        <v/>
      </c>
      <c r="G44" s="27">
        <f>IF(F44="","",F44-'02_Eingaben'!$C$10)</f>
        <v/>
      </c>
      <c r="H44">
        <f>IF(F44="","",IF(F44&lt;'02_Eingaben'!$C$18*'02_Eingaben'!$C$10,1,0))</f>
        <v/>
      </c>
      <c r="I44" s="27">
        <f>IF(OR(G44="",G45=""),"",(G44+G45)/2*(B45-B44))</f>
        <v/>
      </c>
      <c r="J44" s="27">
        <f>IF(B44="","",IF(B43&lt;'02_Eingaben'!$C$36,0,J43+I43/'02_Eingaben'!$C$8))</f>
        <v/>
      </c>
    </row>
    <row r="45">
      <c r="A45">
        <f>IF('01_Rohdaten'!A45="","",ROW()-1)</f>
        <v/>
      </c>
      <c r="B45" s="27">
        <f>IF('01_Rohdaten'!A45="","",'01_Rohdaten'!A45)</f>
        <v/>
      </c>
      <c r="C45" s="27">
        <f>IF(B45="","",INDEX('01_Rohdaten'!B45:D45,'02_Eingaben'!$C$13))</f>
        <v/>
      </c>
      <c r="D45" s="27">
        <f>IF(C45="","",C45*'02_Eingaben'!$C$15)</f>
        <v/>
      </c>
      <c r="E45" s="27">
        <f>IF(D45="","",D45*'02_Eingaben'!$C$8)</f>
        <v/>
      </c>
      <c r="F45" s="27">
        <f>IF(E45="","",AVERAGE(INDEX($E$2:$E$3001,MAX(1,ROW()-1-'02_Eingaben'!$C$17)):INDEX($E$2:$E$3001,MIN('02_Eingaben'!$C$21,ROW()-1+'02_Eingaben'!$C$17))))</f>
        <v/>
      </c>
      <c r="G45" s="27">
        <f>IF(F45="","",F45-'02_Eingaben'!$C$10)</f>
        <v/>
      </c>
      <c r="H45">
        <f>IF(F45="","",IF(F45&lt;'02_Eingaben'!$C$18*'02_Eingaben'!$C$10,1,0))</f>
        <v/>
      </c>
      <c r="I45" s="27">
        <f>IF(OR(G45="",G46=""),"",(G45+G46)/2*(B46-B45))</f>
        <v/>
      </c>
      <c r="J45" s="27">
        <f>IF(B45="","",IF(B44&lt;'02_Eingaben'!$C$36,0,J44+I44/'02_Eingaben'!$C$8))</f>
        <v/>
      </c>
    </row>
    <row r="46">
      <c r="A46">
        <f>IF('01_Rohdaten'!A46="","",ROW()-1)</f>
        <v/>
      </c>
      <c r="B46" s="27">
        <f>IF('01_Rohdaten'!A46="","",'01_Rohdaten'!A46)</f>
        <v/>
      </c>
      <c r="C46" s="27">
        <f>IF(B46="","",INDEX('01_Rohdaten'!B46:D46,'02_Eingaben'!$C$13))</f>
        <v/>
      </c>
      <c r="D46" s="27">
        <f>IF(C46="","",C46*'02_Eingaben'!$C$15)</f>
        <v/>
      </c>
      <c r="E46" s="27">
        <f>IF(D46="","",D46*'02_Eingaben'!$C$8)</f>
        <v/>
      </c>
      <c r="F46" s="27">
        <f>IF(E46="","",AVERAGE(INDEX($E$2:$E$3001,MAX(1,ROW()-1-'02_Eingaben'!$C$17)):INDEX($E$2:$E$3001,MIN('02_Eingaben'!$C$21,ROW()-1+'02_Eingaben'!$C$17))))</f>
        <v/>
      </c>
      <c r="G46" s="27">
        <f>IF(F46="","",F46-'02_Eingaben'!$C$10)</f>
        <v/>
      </c>
      <c r="H46">
        <f>IF(F46="","",IF(F46&lt;'02_Eingaben'!$C$18*'02_Eingaben'!$C$10,1,0))</f>
        <v/>
      </c>
      <c r="I46" s="27">
        <f>IF(OR(G46="",G47=""),"",(G46+G47)/2*(B47-B46))</f>
        <v/>
      </c>
      <c r="J46" s="27">
        <f>IF(B46="","",IF(B45&lt;'02_Eingaben'!$C$36,0,J45+I45/'02_Eingaben'!$C$8))</f>
        <v/>
      </c>
    </row>
    <row r="47">
      <c r="A47">
        <f>IF('01_Rohdaten'!A47="","",ROW()-1)</f>
        <v/>
      </c>
      <c r="B47" s="27">
        <f>IF('01_Rohdaten'!A47="","",'01_Rohdaten'!A47)</f>
        <v/>
      </c>
      <c r="C47" s="27">
        <f>IF(B47="","",INDEX('01_Rohdaten'!B47:D47,'02_Eingaben'!$C$13))</f>
        <v/>
      </c>
      <c r="D47" s="27">
        <f>IF(C47="","",C47*'02_Eingaben'!$C$15)</f>
        <v/>
      </c>
      <c r="E47" s="27">
        <f>IF(D47="","",D47*'02_Eingaben'!$C$8)</f>
        <v/>
      </c>
      <c r="F47" s="27">
        <f>IF(E47="","",AVERAGE(INDEX($E$2:$E$3001,MAX(1,ROW()-1-'02_Eingaben'!$C$17)):INDEX($E$2:$E$3001,MIN('02_Eingaben'!$C$21,ROW()-1+'02_Eingaben'!$C$17))))</f>
        <v/>
      </c>
      <c r="G47" s="27">
        <f>IF(F47="","",F47-'02_Eingaben'!$C$10)</f>
        <v/>
      </c>
      <c r="H47">
        <f>IF(F47="","",IF(F47&lt;'02_Eingaben'!$C$18*'02_Eingaben'!$C$10,1,0))</f>
        <v/>
      </c>
      <c r="I47" s="27">
        <f>IF(OR(G47="",G48=""),"",(G47+G48)/2*(B48-B47))</f>
        <v/>
      </c>
      <c r="J47" s="27">
        <f>IF(B47="","",IF(B46&lt;'02_Eingaben'!$C$36,0,J46+I46/'02_Eingaben'!$C$8))</f>
        <v/>
      </c>
    </row>
    <row r="48">
      <c r="A48">
        <f>IF('01_Rohdaten'!A48="","",ROW()-1)</f>
        <v/>
      </c>
      <c r="B48" s="27">
        <f>IF('01_Rohdaten'!A48="","",'01_Rohdaten'!A48)</f>
        <v/>
      </c>
      <c r="C48" s="27">
        <f>IF(B48="","",INDEX('01_Rohdaten'!B48:D48,'02_Eingaben'!$C$13))</f>
        <v/>
      </c>
      <c r="D48" s="27">
        <f>IF(C48="","",C48*'02_Eingaben'!$C$15)</f>
        <v/>
      </c>
      <c r="E48" s="27">
        <f>IF(D48="","",D48*'02_Eingaben'!$C$8)</f>
        <v/>
      </c>
      <c r="F48" s="27">
        <f>IF(E48="","",AVERAGE(INDEX($E$2:$E$3001,MAX(1,ROW()-1-'02_Eingaben'!$C$17)):INDEX($E$2:$E$3001,MIN('02_Eingaben'!$C$21,ROW()-1+'02_Eingaben'!$C$17))))</f>
        <v/>
      </c>
      <c r="G48" s="27">
        <f>IF(F48="","",F48-'02_Eingaben'!$C$10)</f>
        <v/>
      </c>
      <c r="H48">
        <f>IF(F48="","",IF(F48&lt;'02_Eingaben'!$C$18*'02_Eingaben'!$C$10,1,0))</f>
        <v/>
      </c>
      <c r="I48" s="27">
        <f>IF(OR(G48="",G49=""),"",(G48+G49)/2*(B49-B48))</f>
        <v/>
      </c>
      <c r="J48" s="27">
        <f>IF(B48="","",IF(B47&lt;'02_Eingaben'!$C$36,0,J47+I47/'02_Eingaben'!$C$8))</f>
        <v/>
      </c>
    </row>
    <row r="49">
      <c r="A49">
        <f>IF('01_Rohdaten'!A49="","",ROW()-1)</f>
        <v/>
      </c>
      <c r="B49" s="27">
        <f>IF('01_Rohdaten'!A49="","",'01_Rohdaten'!A49)</f>
        <v/>
      </c>
      <c r="C49" s="27">
        <f>IF(B49="","",INDEX('01_Rohdaten'!B49:D49,'02_Eingaben'!$C$13))</f>
        <v/>
      </c>
      <c r="D49" s="27">
        <f>IF(C49="","",C49*'02_Eingaben'!$C$15)</f>
        <v/>
      </c>
      <c r="E49" s="27">
        <f>IF(D49="","",D49*'02_Eingaben'!$C$8)</f>
        <v/>
      </c>
      <c r="F49" s="27">
        <f>IF(E49="","",AVERAGE(INDEX($E$2:$E$3001,MAX(1,ROW()-1-'02_Eingaben'!$C$17)):INDEX($E$2:$E$3001,MIN('02_Eingaben'!$C$21,ROW()-1+'02_Eingaben'!$C$17))))</f>
        <v/>
      </c>
      <c r="G49" s="27">
        <f>IF(F49="","",F49-'02_Eingaben'!$C$10)</f>
        <v/>
      </c>
      <c r="H49">
        <f>IF(F49="","",IF(F49&lt;'02_Eingaben'!$C$18*'02_Eingaben'!$C$10,1,0))</f>
        <v/>
      </c>
      <c r="I49" s="27">
        <f>IF(OR(G49="",G50=""),"",(G49+G50)/2*(B50-B49))</f>
        <v/>
      </c>
      <c r="J49" s="27">
        <f>IF(B49="","",IF(B48&lt;'02_Eingaben'!$C$36,0,J48+I48/'02_Eingaben'!$C$8))</f>
        <v/>
      </c>
    </row>
    <row r="50">
      <c r="A50">
        <f>IF('01_Rohdaten'!A50="","",ROW()-1)</f>
        <v/>
      </c>
      <c r="B50" s="27">
        <f>IF('01_Rohdaten'!A50="","",'01_Rohdaten'!A50)</f>
        <v/>
      </c>
      <c r="C50" s="27">
        <f>IF(B50="","",INDEX('01_Rohdaten'!B50:D50,'02_Eingaben'!$C$13))</f>
        <v/>
      </c>
      <c r="D50" s="27">
        <f>IF(C50="","",C50*'02_Eingaben'!$C$15)</f>
        <v/>
      </c>
      <c r="E50" s="27">
        <f>IF(D50="","",D50*'02_Eingaben'!$C$8)</f>
        <v/>
      </c>
      <c r="F50" s="27">
        <f>IF(E50="","",AVERAGE(INDEX($E$2:$E$3001,MAX(1,ROW()-1-'02_Eingaben'!$C$17)):INDEX($E$2:$E$3001,MIN('02_Eingaben'!$C$21,ROW()-1+'02_Eingaben'!$C$17))))</f>
        <v/>
      </c>
      <c r="G50" s="27">
        <f>IF(F50="","",F50-'02_Eingaben'!$C$10)</f>
        <v/>
      </c>
      <c r="H50">
        <f>IF(F50="","",IF(F50&lt;'02_Eingaben'!$C$18*'02_Eingaben'!$C$10,1,0))</f>
        <v/>
      </c>
      <c r="I50" s="27">
        <f>IF(OR(G50="",G51=""),"",(G50+G51)/2*(B51-B50))</f>
        <v/>
      </c>
      <c r="J50" s="27">
        <f>IF(B50="","",IF(B49&lt;'02_Eingaben'!$C$36,0,J49+I49/'02_Eingaben'!$C$8))</f>
        <v/>
      </c>
    </row>
    <row r="51">
      <c r="A51">
        <f>IF('01_Rohdaten'!A51="","",ROW()-1)</f>
        <v/>
      </c>
      <c r="B51" s="27">
        <f>IF('01_Rohdaten'!A51="","",'01_Rohdaten'!A51)</f>
        <v/>
      </c>
      <c r="C51" s="27">
        <f>IF(B51="","",INDEX('01_Rohdaten'!B51:D51,'02_Eingaben'!$C$13))</f>
        <v/>
      </c>
      <c r="D51" s="27">
        <f>IF(C51="","",C51*'02_Eingaben'!$C$15)</f>
        <v/>
      </c>
      <c r="E51" s="27">
        <f>IF(D51="","",D51*'02_Eingaben'!$C$8)</f>
        <v/>
      </c>
      <c r="F51" s="27">
        <f>IF(E51="","",AVERAGE(INDEX($E$2:$E$3001,MAX(1,ROW()-1-'02_Eingaben'!$C$17)):INDEX($E$2:$E$3001,MIN('02_Eingaben'!$C$21,ROW()-1+'02_Eingaben'!$C$17))))</f>
        <v/>
      </c>
      <c r="G51" s="27">
        <f>IF(F51="","",F51-'02_Eingaben'!$C$10)</f>
        <v/>
      </c>
      <c r="H51">
        <f>IF(F51="","",IF(F51&lt;'02_Eingaben'!$C$18*'02_Eingaben'!$C$10,1,0))</f>
        <v/>
      </c>
      <c r="I51" s="27">
        <f>IF(OR(G51="",G52=""),"",(G51+G52)/2*(B52-B51))</f>
        <v/>
      </c>
      <c r="J51" s="27">
        <f>IF(B51="","",IF(B50&lt;'02_Eingaben'!$C$36,0,J50+I50/'02_Eingaben'!$C$8))</f>
        <v/>
      </c>
    </row>
    <row r="52">
      <c r="A52">
        <f>IF('01_Rohdaten'!A52="","",ROW()-1)</f>
        <v/>
      </c>
      <c r="B52" s="27">
        <f>IF('01_Rohdaten'!A52="","",'01_Rohdaten'!A52)</f>
        <v/>
      </c>
      <c r="C52" s="27">
        <f>IF(B52="","",INDEX('01_Rohdaten'!B52:D52,'02_Eingaben'!$C$13))</f>
        <v/>
      </c>
      <c r="D52" s="27">
        <f>IF(C52="","",C52*'02_Eingaben'!$C$15)</f>
        <v/>
      </c>
      <c r="E52" s="27">
        <f>IF(D52="","",D52*'02_Eingaben'!$C$8)</f>
        <v/>
      </c>
      <c r="F52" s="27">
        <f>IF(E52="","",AVERAGE(INDEX($E$2:$E$3001,MAX(1,ROW()-1-'02_Eingaben'!$C$17)):INDEX($E$2:$E$3001,MIN('02_Eingaben'!$C$21,ROW()-1+'02_Eingaben'!$C$17))))</f>
        <v/>
      </c>
      <c r="G52" s="27">
        <f>IF(F52="","",F52-'02_Eingaben'!$C$10)</f>
        <v/>
      </c>
      <c r="H52">
        <f>IF(F52="","",IF(F52&lt;'02_Eingaben'!$C$18*'02_Eingaben'!$C$10,1,0))</f>
        <v/>
      </c>
      <c r="I52" s="27">
        <f>IF(OR(G52="",G53=""),"",(G52+G53)/2*(B53-B52))</f>
        <v/>
      </c>
      <c r="J52" s="27">
        <f>IF(B52="","",IF(B51&lt;'02_Eingaben'!$C$36,0,J51+I51/'02_Eingaben'!$C$8))</f>
        <v/>
      </c>
    </row>
    <row r="53">
      <c r="A53">
        <f>IF('01_Rohdaten'!A53="","",ROW()-1)</f>
        <v/>
      </c>
      <c r="B53" s="27">
        <f>IF('01_Rohdaten'!A53="","",'01_Rohdaten'!A53)</f>
        <v/>
      </c>
      <c r="C53" s="27">
        <f>IF(B53="","",INDEX('01_Rohdaten'!B53:D53,'02_Eingaben'!$C$13))</f>
        <v/>
      </c>
      <c r="D53" s="27">
        <f>IF(C53="","",C53*'02_Eingaben'!$C$15)</f>
        <v/>
      </c>
      <c r="E53" s="27">
        <f>IF(D53="","",D53*'02_Eingaben'!$C$8)</f>
        <v/>
      </c>
      <c r="F53" s="27">
        <f>IF(E53="","",AVERAGE(INDEX($E$2:$E$3001,MAX(1,ROW()-1-'02_Eingaben'!$C$17)):INDEX($E$2:$E$3001,MIN('02_Eingaben'!$C$21,ROW()-1+'02_Eingaben'!$C$17))))</f>
        <v/>
      </c>
      <c r="G53" s="27">
        <f>IF(F53="","",F53-'02_Eingaben'!$C$10)</f>
        <v/>
      </c>
      <c r="H53">
        <f>IF(F53="","",IF(F53&lt;'02_Eingaben'!$C$18*'02_Eingaben'!$C$10,1,0))</f>
        <v/>
      </c>
      <c r="I53" s="27">
        <f>IF(OR(G53="",G54=""),"",(G53+G54)/2*(B54-B53))</f>
        <v/>
      </c>
      <c r="J53" s="27">
        <f>IF(B53="","",IF(B52&lt;'02_Eingaben'!$C$36,0,J52+I52/'02_Eingaben'!$C$8))</f>
        <v/>
      </c>
    </row>
    <row r="54">
      <c r="A54">
        <f>IF('01_Rohdaten'!A54="","",ROW()-1)</f>
        <v/>
      </c>
      <c r="B54" s="27">
        <f>IF('01_Rohdaten'!A54="","",'01_Rohdaten'!A54)</f>
        <v/>
      </c>
      <c r="C54" s="27">
        <f>IF(B54="","",INDEX('01_Rohdaten'!B54:D54,'02_Eingaben'!$C$13))</f>
        <v/>
      </c>
      <c r="D54" s="27">
        <f>IF(C54="","",C54*'02_Eingaben'!$C$15)</f>
        <v/>
      </c>
      <c r="E54" s="27">
        <f>IF(D54="","",D54*'02_Eingaben'!$C$8)</f>
        <v/>
      </c>
      <c r="F54" s="27">
        <f>IF(E54="","",AVERAGE(INDEX($E$2:$E$3001,MAX(1,ROW()-1-'02_Eingaben'!$C$17)):INDEX($E$2:$E$3001,MIN('02_Eingaben'!$C$21,ROW()-1+'02_Eingaben'!$C$17))))</f>
        <v/>
      </c>
      <c r="G54" s="27">
        <f>IF(F54="","",F54-'02_Eingaben'!$C$10)</f>
        <v/>
      </c>
      <c r="H54">
        <f>IF(F54="","",IF(F54&lt;'02_Eingaben'!$C$18*'02_Eingaben'!$C$10,1,0))</f>
        <v/>
      </c>
      <c r="I54" s="27">
        <f>IF(OR(G54="",G55=""),"",(G54+G55)/2*(B55-B54))</f>
        <v/>
      </c>
      <c r="J54" s="27">
        <f>IF(B54="","",IF(B53&lt;'02_Eingaben'!$C$36,0,J53+I53/'02_Eingaben'!$C$8))</f>
        <v/>
      </c>
    </row>
    <row r="55">
      <c r="A55">
        <f>IF('01_Rohdaten'!A55="","",ROW()-1)</f>
        <v/>
      </c>
      <c r="B55" s="27">
        <f>IF('01_Rohdaten'!A55="","",'01_Rohdaten'!A55)</f>
        <v/>
      </c>
      <c r="C55" s="27">
        <f>IF(B55="","",INDEX('01_Rohdaten'!B55:D55,'02_Eingaben'!$C$13))</f>
        <v/>
      </c>
      <c r="D55" s="27">
        <f>IF(C55="","",C55*'02_Eingaben'!$C$15)</f>
        <v/>
      </c>
      <c r="E55" s="27">
        <f>IF(D55="","",D55*'02_Eingaben'!$C$8)</f>
        <v/>
      </c>
      <c r="F55" s="27">
        <f>IF(E55="","",AVERAGE(INDEX($E$2:$E$3001,MAX(1,ROW()-1-'02_Eingaben'!$C$17)):INDEX($E$2:$E$3001,MIN('02_Eingaben'!$C$21,ROW()-1+'02_Eingaben'!$C$17))))</f>
        <v/>
      </c>
      <c r="G55" s="27">
        <f>IF(F55="","",F55-'02_Eingaben'!$C$10)</f>
        <v/>
      </c>
      <c r="H55">
        <f>IF(F55="","",IF(F55&lt;'02_Eingaben'!$C$18*'02_Eingaben'!$C$10,1,0))</f>
        <v/>
      </c>
      <c r="I55" s="27">
        <f>IF(OR(G55="",G56=""),"",(G55+G56)/2*(B56-B55))</f>
        <v/>
      </c>
      <c r="J55" s="27">
        <f>IF(B55="","",IF(B54&lt;'02_Eingaben'!$C$36,0,J54+I54/'02_Eingaben'!$C$8))</f>
        <v/>
      </c>
    </row>
    <row r="56">
      <c r="A56">
        <f>IF('01_Rohdaten'!A56="","",ROW()-1)</f>
        <v/>
      </c>
      <c r="B56" s="27">
        <f>IF('01_Rohdaten'!A56="","",'01_Rohdaten'!A56)</f>
        <v/>
      </c>
      <c r="C56" s="27">
        <f>IF(B56="","",INDEX('01_Rohdaten'!B56:D56,'02_Eingaben'!$C$13))</f>
        <v/>
      </c>
      <c r="D56" s="27">
        <f>IF(C56="","",C56*'02_Eingaben'!$C$15)</f>
        <v/>
      </c>
      <c r="E56" s="27">
        <f>IF(D56="","",D56*'02_Eingaben'!$C$8)</f>
        <v/>
      </c>
      <c r="F56" s="27">
        <f>IF(E56="","",AVERAGE(INDEX($E$2:$E$3001,MAX(1,ROW()-1-'02_Eingaben'!$C$17)):INDEX($E$2:$E$3001,MIN('02_Eingaben'!$C$21,ROW()-1+'02_Eingaben'!$C$17))))</f>
        <v/>
      </c>
      <c r="G56" s="27">
        <f>IF(F56="","",F56-'02_Eingaben'!$C$10)</f>
        <v/>
      </c>
      <c r="H56">
        <f>IF(F56="","",IF(F56&lt;'02_Eingaben'!$C$18*'02_Eingaben'!$C$10,1,0))</f>
        <v/>
      </c>
      <c r="I56" s="27">
        <f>IF(OR(G56="",G57=""),"",(G56+G57)/2*(B57-B56))</f>
        <v/>
      </c>
      <c r="J56" s="27">
        <f>IF(B56="","",IF(B55&lt;'02_Eingaben'!$C$36,0,J55+I55/'02_Eingaben'!$C$8))</f>
        <v/>
      </c>
    </row>
    <row r="57">
      <c r="A57">
        <f>IF('01_Rohdaten'!A57="","",ROW()-1)</f>
        <v/>
      </c>
      <c r="B57" s="27">
        <f>IF('01_Rohdaten'!A57="","",'01_Rohdaten'!A57)</f>
        <v/>
      </c>
      <c r="C57" s="27">
        <f>IF(B57="","",INDEX('01_Rohdaten'!B57:D57,'02_Eingaben'!$C$13))</f>
        <v/>
      </c>
      <c r="D57" s="27">
        <f>IF(C57="","",C57*'02_Eingaben'!$C$15)</f>
        <v/>
      </c>
      <c r="E57" s="27">
        <f>IF(D57="","",D57*'02_Eingaben'!$C$8)</f>
        <v/>
      </c>
      <c r="F57" s="27">
        <f>IF(E57="","",AVERAGE(INDEX($E$2:$E$3001,MAX(1,ROW()-1-'02_Eingaben'!$C$17)):INDEX($E$2:$E$3001,MIN('02_Eingaben'!$C$21,ROW()-1+'02_Eingaben'!$C$17))))</f>
        <v/>
      </c>
      <c r="G57" s="27">
        <f>IF(F57="","",F57-'02_Eingaben'!$C$10)</f>
        <v/>
      </c>
      <c r="H57">
        <f>IF(F57="","",IF(F57&lt;'02_Eingaben'!$C$18*'02_Eingaben'!$C$10,1,0))</f>
        <v/>
      </c>
      <c r="I57" s="27">
        <f>IF(OR(G57="",G58=""),"",(G57+G58)/2*(B58-B57))</f>
        <v/>
      </c>
      <c r="J57" s="27">
        <f>IF(B57="","",IF(B56&lt;'02_Eingaben'!$C$36,0,J56+I56/'02_Eingaben'!$C$8))</f>
        <v/>
      </c>
    </row>
    <row r="58">
      <c r="A58">
        <f>IF('01_Rohdaten'!A58="","",ROW()-1)</f>
        <v/>
      </c>
      <c r="B58" s="27">
        <f>IF('01_Rohdaten'!A58="","",'01_Rohdaten'!A58)</f>
        <v/>
      </c>
      <c r="C58" s="27">
        <f>IF(B58="","",INDEX('01_Rohdaten'!B58:D58,'02_Eingaben'!$C$13))</f>
        <v/>
      </c>
      <c r="D58" s="27">
        <f>IF(C58="","",C58*'02_Eingaben'!$C$15)</f>
        <v/>
      </c>
      <c r="E58" s="27">
        <f>IF(D58="","",D58*'02_Eingaben'!$C$8)</f>
        <v/>
      </c>
      <c r="F58" s="27">
        <f>IF(E58="","",AVERAGE(INDEX($E$2:$E$3001,MAX(1,ROW()-1-'02_Eingaben'!$C$17)):INDEX($E$2:$E$3001,MIN('02_Eingaben'!$C$21,ROW()-1+'02_Eingaben'!$C$17))))</f>
        <v/>
      </c>
      <c r="G58" s="27">
        <f>IF(F58="","",F58-'02_Eingaben'!$C$10)</f>
        <v/>
      </c>
      <c r="H58">
        <f>IF(F58="","",IF(F58&lt;'02_Eingaben'!$C$18*'02_Eingaben'!$C$10,1,0))</f>
        <v/>
      </c>
      <c r="I58" s="27">
        <f>IF(OR(G58="",G59=""),"",(G58+G59)/2*(B59-B58))</f>
        <v/>
      </c>
      <c r="J58" s="27">
        <f>IF(B58="","",IF(B57&lt;'02_Eingaben'!$C$36,0,J57+I57/'02_Eingaben'!$C$8))</f>
        <v/>
      </c>
    </row>
    <row r="59">
      <c r="A59">
        <f>IF('01_Rohdaten'!A59="","",ROW()-1)</f>
        <v/>
      </c>
      <c r="B59" s="27">
        <f>IF('01_Rohdaten'!A59="","",'01_Rohdaten'!A59)</f>
        <v/>
      </c>
      <c r="C59" s="27">
        <f>IF(B59="","",INDEX('01_Rohdaten'!B59:D59,'02_Eingaben'!$C$13))</f>
        <v/>
      </c>
      <c r="D59" s="27">
        <f>IF(C59="","",C59*'02_Eingaben'!$C$15)</f>
        <v/>
      </c>
      <c r="E59" s="27">
        <f>IF(D59="","",D59*'02_Eingaben'!$C$8)</f>
        <v/>
      </c>
      <c r="F59" s="27">
        <f>IF(E59="","",AVERAGE(INDEX($E$2:$E$3001,MAX(1,ROW()-1-'02_Eingaben'!$C$17)):INDEX($E$2:$E$3001,MIN('02_Eingaben'!$C$21,ROW()-1+'02_Eingaben'!$C$17))))</f>
        <v/>
      </c>
      <c r="G59" s="27">
        <f>IF(F59="","",F59-'02_Eingaben'!$C$10)</f>
        <v/>
      </c>
      <c r="H59">
        <f>IF(F59="","",IF(F59&lt;'02_Eingaben'!$C$18*'02_Eingaben'!$C$10,1,0))</f>
        <v/>
      </c>
      <c r="I59" s="27">
        <f>IF(OR(G59="",G60=""),"",(G59+G60)/2*(B60-B59))</f>
        <v/>
      </c>
      <c r="J59" s="27">
        <f>IF(B59="","",IF(B58&lt;'02_Eingaben'!$C$36,0,J58+I58/'02_Eingaben'!$C$8))</f>
        <v/>
      </c>
    </row>
    <row r="60">
      <c r="A60">
        <f>IF('01_Rohdaten'!A60="","",ROW()-1)</f>
        <v/>
      </c>
      <c r="B60" s="27">
        <f>IF('01_Rohdaten'!A60="","",'01_Rohdaten'!A60)</f>
        <v/>
      </c>
      <c r="C60" s="27">
        <f>IF(B60="","",INDEX('01_Rohdaten'!B60:D60,'02_Eingaben'!$C$13))</f>
        <v/>
      </c>
      <c r="D60" s="27">
        <f>IF(C60="","",C60*'02_Eingaben'!$C$15)</f>
        <v/>
      </c>
      <c r="E60" s="27">
        <f>IF(D60="","",D60*'02_Eingaben'!$C$8)</f>
        <v/>
      </c>
      <c r="F60" s="27">
        <f>IF(E60="","",AVERAGE(INDEX($E$2:$E$3001,MAX(1,ROW()-1-'02_Eingaben'!$C$17)):INDEX($E$2:$E$3001,MIN('02_Eingaben'!$C$21,ROW()-1+'02_Eingaben'!$C$17))))</f>
        <v/>
      </c>
      <c r="G60" s="27">
        <f>IF(F60="","",F60-'02_Eingaben'!$C$10)</f>
        <v/>
      </c>
      <c r="H60">
        <f>IF(F60="","",IF(F60&lt;'02_Eingaben'!$C$18*'02_Eingaben'!$C$10,1,0))</f>
        <v/>
      </c>
      <c r="I60" s="27">
        <f>IF(OR(G60="",G61=""),"",(G60+G61)/2*(B61-B60))</f>
        <v/>
      </c>
      <c r="J60" s="27">
        <f>IF(B60="","",IF(B59&lt;'02_Eingaben'!$C$36,0,J59+I59/'02_Eingaben'!$C$8))</f>
        <v/>
      </c>
    </row>
    <row r="61">
      <c r="A61">
        <f>IF('01_Rohdaten'!A61="","",ROW()-1)</f>
        <v/>
      </c>
      <c r="B61" s="27">
        <f>IF('01_Rohdaten'!A61="","",'01_Rohdaten'!A61)</f>
        <v/>
      </c>
      <c r="C61" s="27">
        <f>IF(B61="","",INDEX('01_Rohdaten'!B61:D61,'02_Eingaben'!$C$13))</f>
        <v/>
      </c>
      <c r="D61" s="27">
        <f>IF(C61="","",C61*'02_Eingaben'!$C$15)</f>
        <v/>
      </c>
      <c r="E61" s="27">
        <f>IF(D61="","",D61*'02_Eingaben'!$C$8)</f>
        <v/>
      </c>
      <c r="F61" s="27">
        <f>IF(E61="","",AVERAGE(INDEX($E$2:$E$3001,MAX(1,ROW()-1-'02_Eingaben'!$C$17)):INDEX($E$2:$E$3001,MIN('02_Eingaben'!$C$21,ROW()-1+'02_Eingaben'!$C$17))))</f>
        <v/>
      </c>
      <c r="G61" s="27">
        <f>IF(F61="","",F61-'02_Eingaben'!$C$10)</f>
        <v/>
      </c>
      <c r="H61">
        <f>IF(F61="","",IF(F61&lt;'02_Eingaben'!$C$18*'02_Eingaben'!$C$10,1,0))</f>
        <v/>
      </c>
      <c r="I61" s="27">
        <f>IF(OR(G61="",G62=""),"",(G61+G62)/2*(B62-B61))</f>
        <v/>
      </c>
      <c r="J61" s="27">
        <f>IF(B61="","",IF(B60&lt;'02_Eingaben'!$C$36,0,J60+I60/'02_Eingaben'!$C$8))</f>
        <v/>
      </c>
    </row>
    <row r="62">
      <c r="A62">
        <f>IF('01_Rohdaten'!A62="","",ROW()-1)</f>
        <v/>
      </c>
      <c r="B62" s="27">
        <f>IF('01_Rohdaten'!A62="","",'01_Rohdaten'!A62)</f>
        <v/>
      </c>
      <c r="C62" s="27">
        <f>IF(B62="","",INDEX('01_Rohdaten'!B62:D62,'02_Eingaben'!$C$13))</f>
        <v/>
      </c>
      <c r="D62" s="27">
        <f>IF(C62="","",C62*'02_Eingaben'!$C$15)</f>
        <v/>
      </c>
      <c r="E62" s="27">
        <f>IF(D62="","",D62*'02_Eingaben'!$C$8)</f>
        <v/>
      </c>
      <c r="F62" s="27">
        <f>IF(E62="","",AVERAGE(INDEX($E$2:$E$3001,MAX(1,ROW()-1-'02_Eingaben'!$C$17)):INDEX($E$2:$E$3001,MIN('02_Eingaben'!$C$21,ROW()-1+'02_Eingaben'!$C$17))))</f>
        <v/>
      </c>
      <c r="G62" s="27">
        <f>IF(F62="","",F62-'02_Eingaben'!$C$10)</f>
        <v/>
      </c>
      <c r="H62">
        <f>IF(F62="","",IF(F62&lt;'02_Eingaben'!$C$18*'02_Eingaben'!$C$10,1,0))</f>
        <v/>
      </c>
      <c r="I62" s="27">
        <f>IF(OR(G62="",G63=""),"",(G62+G63)/2*(B63-B62))</f>
        <v/>
      </c>
      <c r="J62" s="27">
        <f>IF(B62="","",IF(B61&lt;'02_Eingaben'!$C$36,0,J61+I61/'02_Eingaben'!$C$8))</f>
        <v/>
      </c>
    </row>
    <row r="63">
      <c r="A63">
        <f>IF('01_Rohdaten'!A63="","",ROW()-1)</f>
        <v/>
      </c>
      <c r="B63" s="27">
        <f>IF('01_Rohdaten'!A63="","",'01_Rohdaten'!A63)</f>
        <v/>
      </c>
      <c r="C63" s="27">
        <f>IF(B63="","",INDEX('01_Rohdaten'!B63:D63,'02_Eingaben'!$C$13))</f>
        <v/>
      </c>
      <c r="D63" s="27">
        <f>IF(C63="","",C63*'02_Eingaben'!$C$15)</f>
        <v/>
      </c>
      <c r="E63" s="27">
        <f>IF(D63="","",D63*'02_Eingaben'!$C$8)</f>
        <v/>
      </c>
      <c r="F63" s="27">
        <f>IF(E63="","",AVERAGE(INDEX($E$2:$E$3001,MAX(1,ROW()-1-'02_Eingaben'!$C$17)):INDEX($E$2:$E$3001,MIN('02_Eingaben'!$C$21,ROW()-1+'02_Eingaben'!$C$17))))</f>
        <v/>
      </c>
      <c r="G63" s="27">
        <f>IF(F63="","",F63-'02_Eingaben'!$C$10)</f>
        <v/>
      </c>
      <c r="H63">
        <f>IF(F63="","",IF(F63&lt;'02_Eingaben'!$C$18*'02_Eingaben'!$C$10,1,0))</f>
        <v/>
      </c>
      <c r="I63" s="27">
        <f>IF(OR(G63="",G64=""),"",(G63+G64)/2*(B64-B63))</f>
        <v/>
      </c>
      <c r="J63" s="27">
        <f>IF(B63="","",IF(B62&lt;'02_Eingaben'!$C$36,0,J62+I62/'02_Eingaben'!$C$8))</f>
        <v/>
      </c>
    </row>
    <row r="64">
      <c r="A64">
        <f>IF('01_Rohdaten'!A64="","",ROW()-1)</f>
        <v/>
      </c>
      <c r="B64" s="27">
        <f>IF('01_Rohdaten'!A64="","",'01_Rohdaten'!A64)</f>
        <v/>
      </c>
      <c r="C64" s="27">
        <f>IF(B64="","",INDEX('01_Rohdaten'!B64:D64,'02_Eingaben'!$C$13))</f>
        <v/>
      </c>
      <c r="D64" s="27">
        <f>IF(C64="","",C64*'02_Eingaben'!$C$15)</f>
        <v/>
      </c>
      <c r="E64" s="27">
        <f>IF(D64="","",D64*'02_Eingaben'!$C$8)</f>
        <v/>
      </c>
      <c r="F64" s="27">
        <f>IF(E64="","",AVERAGE(INDEX($E$2:$E$3001,MAX(1,ROW()-1-'02_Eingaben'!$C$17)):INDEX($E$2:$E$3001,MIN('02_Eingaben'!$C$21,ROW()-1+'02_Eingaben'!$C$17))))</f>
        <v/>
      </c>
      <c r="G64" s="27">
        <f>IF(F64="","",F64-'02_Eingaben'!$C$10)</f>
        <v/>
      </c>
      <c r="H64">
        <f>IF(F64="","",IF(F64&lt;'02_Eingaben'!$C$18*'02_Eingaben'!$C$10,1,0))</f>
        <v/>
      </c>
      <c r="I64" s="27">
        <f>IF(OR(G64="",G65=""),"",(G64+G65)/2*(B65-B64))</f>
        <v/>
      </c>
      <c r="J64" s="27">
        <f>IF(B64="","",IF(B63&lt;'02_Eingaben'!$C$36,0,J63+I63/'02_Eingaben'!$C$8))</f>
        <v/>
      </c>
    </row>
    <row r="65">
      <c r="A65">
        <f>IF('01_Rohdaten'!A65="","",ROW()-1)</f>
        <v/>
      </c>
      <c r="B65" s="27">
        <f>IF('01_Rohdaten'!A65="","",'01_Rohdaten'!A65)</f>
        <v/>
      </c>
      <c r="C65" s="27">
        <f>IF(B65="","",INDEX('01_Rohdaten'!B65:D65,'02_Eingaben'!$C$13))</f>
        <v/>
      </c>
      <c r="D65" s="27">
        <f>IF(C65="","",C65*'02_Eingaben'!$C$15)</f>
        <v/>
      </c>
      <c r="E65" s="27">
        <f>IF(D65="","",D65*'02_Eingaben'!$C$8)</f>
        <v/>
      </c>
      <c r="F65" s="27">
        <f>IF(E65="","",AVERAGE(INDEX($E$2:$E$3001,MAX(1,ROW()-1-'02_Eingaben'!$C$17)):INDEX($E$2:$E$3001,MIN('02_Eingaben'!$C$21,ROW()-1+'02_Eingaben'!$C$17))))</f>
        <v/>
      </c>
      <c r="G65" s="27">
        <f>IF(F65="","",F65-'02_Eingaben'!$C$10)</f>
        <v/>
      </c>
      <c r="H65">
        <f>IF(F65="","",IF(F65&lt;'02_Eingaben'!$C$18*'02_Eingaben'!$C$10,1,0))</f>
        <v/>
      </c>
      <c r="I65" s="27">
        <f>IF(OR(G65="",G66=""),"",(G65+G66)/2*(B66-B65))</f>
        <v/>
      </c>
      <c r="J65" s="27">
        <f>IF(B65="","",IF(B64&lt;'02_Eingaben'!$C$36,0,J64+I64/'02_Eingaben'!$C$8))</f>
        <v/>
      </c>
    </row>
    <row r="66">
      <c r="A66">
        <f>IF('01_Rohdaten'!A66="","",ROW()-1)</f>
        <v/>
      </c>
      <c r="B66" s="27">
        <f>IF('01_Rohdaten'!A66="","",'01_Rohdaten'!A66)</f>
        <v/>
      </c>
      <c r="C66" s="27">
        <f>IF(B66="","",INDEX('01_Rohdaten'!B66:D66,'02_Eingaben'!$C$13))</f>
        <v/>
      </c>
      <c r="D66" s="27">
        <f>IF(C66="","",C66*'02_Eingaben'!$C$15)</f>
        <v/>
      </c>
      <c r="E66" s="27">
        <f>IF(D66="","",D66*'02_Eingaben'!$C$8)</f>
        <v/>
      </c>
      <c r="F66" s="27">
        <f>IF(E66="","",AVERAGE(INDEX($E$2:$E$3001,MAX(1,ROW()-1-'02_Eingaben'!$C$17)):INDEX($E$2:$E$3001,MIN('02_Eingaben'!$C$21,ROW()-1+'02_Eingaben'!$C$17))))</f>
        <v/>
      </c>
      <c r="G66" s="27">
        <f>IF(F66="","",F66-'02_Eingaben'!$C$10)</f>
        <v/>
      </c>
      <c r="H66">
        <f>IF(F66="","",IF(F66&lt;'02_Eingaben'!$C$18*'02_Eingaben'!$C$10,1,0))</f>
        <v/>
      </c>
      <c r="I66" s="27">
        <f>IF(OR(G66="",G67=""),"",(G66+G67)/2*(B67-B66))</f>
        <v/>
      </c>
      <c r="J66" s="27">
        <f>IF(B66="","",IF(B65&lt;'02_Eingaben'!$C$36,0,J65+I65/'02_Eingaben'!$C$8))</f>
        <v/>
      </c>
    </row>
    <row r="67">
      <c r="A67">
        <f>IF('01_Rohdaten'!A67="","",ROW()-1)</f>
        <v/>
      </c>
      <c r="B67" s="27">
        <f>IF('01_Rohdaten'!A67="","",'01_Rohdaten'!A67)</f>
        <v/>
      </c>
      <c r="C67" s="27">
        <f>IF(B67="","",INDEX('01_Rohdaten'!B67:D67,'02_Eingaben'!$C$13))</f>
        <v/>
      </c>
      <c r="D67" s="27">
        <f>IF(C67="","",C67*'02_Eingaben'!$C$15)</f>
        <v/>
      </c>
      <c r="E67" s="27">
        <f>IF(D67="","",D67*'02_Eingaben'!$C$8)</f>
        <v/>
      </c>
      <c r="F67" s="27">
        <f>IF(E67="","",AVERAGE(INDEX($E$2:$E$3001,MAX(1,ROW()-1-'02_Eingaben'!$C$17)):INDEX($E$2:$E$3001,MIN('02_Eingaben'!$C$21,ROW()-1+'02_Eingaben'!$C$17))))</f>
        <v/>
      </c>
      <c r="G67" s="27">
        <f>IF(F67="","",F67-'02_Eingaben'!$C$10)</f>
        <v/>
      </c>
      <c r="H67">
        <f>IF(F67="","",IF(F67&lt;'02_Eingaben'!$C$18*'02_Eingaben'!$C$10,1,0))</f>
        <v/>
      </c>
      <c r="I67" s="27">
        <f>IF(OR(G67="",G68=""),"",(G67+G68)/2*(B68-B67))</f>
        <v/>
      </c>
      <c r="J67" s="27">
        <f>IF(B67="","",IF(B66&lt;'02_Eingaben'!$C$36,0,J66+I66/'02_Eingaben'!$C$8))</f>
        <v/>
      </c>
    </row>
    <row r="68">
      <c r="A68">
        <f>IF('01_Rohdaten'!A68="","",ROW()-1)</f>
        <v/>
      </c>
      <c r="B68" s="27">
        <f>IF('01_Rohdaten'!A68="","",'01_Rohdaten'!A68)</f>
        <v/>
      </c>
      <c r="C68" s="27">
        <f>IF(B68="","",INDEX('01_Rohdaten'!B68:D68,'02_Eingaben'!$C$13))</f>
        <v/>
      </c>
      <c r="D68" s="27">
        <f>IF(C68="","",C68*'02_Eingaben'!$C$15)</f>
        <v/>
      </c>
      <c r="E68" s="27">
        <f>IF(D68="","",D68*'02_Eingaben'!$C$8)</f>
        <v/>
      </c>
      <c r="F68" s="27">
        <f>IF(E68="","",AVERAGE(INDEX($E$2:$E$3001,MAX(1,ROW()-1-'02_Eingaben'!$C$17)):INDEX($E$2:$E$3001,MIN('02_Eingaben'!$C$21,ROW()-1+'02_Eingaben'!$C$17))))</f>
        <v/>
      </c>
      <c r="G68" s="27">
        <f>IF(F68="","",F68-'02_Eingaben'!$C$10)</f>
        <v/>
      </c>
      <c r="H68">
        <f>IF(F68="","",IF(F68&lt;'02_Eingaben'!$C$18*'02_Eingaben'!$C$10,1,0))</f>
        <v/>
      </c>
      <c r="I68" s="27">
        <f>IF(OR(G68="",G69=""),"",(G68+G69)/2*(B69-B68))</f>
        <v/>
      </c>
      <c r="J68" s="27">
        <f>IF(B68="","",IF(B67&lt;'02_Eingaben'!$C$36,0,J67+I67/'02_Eingaben'!$C$8))</f>
        <v/>
      </c>
    </row>
    <row r="69">
      <c r="A69">
        <f>IF('01_Rohdaten'!A69="","",ROW()-1)</f>
        <v/>
      </c>
      <c r="B69" s="27">
        <f>IF('01_Rohdaten'!A69="","",'01_Rohdaten'!A69)</f>
        <v/>
      </c>
      <c r="C69" s="27">
        <f>IF(B69="","",INDEX('01_Rohdaten'!B69:D69,'02_Eingaben'!$C$13))</f>
        <v/>
      </c>
      <c r="D69" s="27">
        <f>IF(C69="","",C69*'02_Eingaben'!$C$15)</f>
        <v/>
      </c>
      <c r="E69" s="27">
        <f>IF(D69="","",D69*'02_Eingaben'!$C$8)</f>
        <v/>
      </c>
      <c r="F69" s="27">
        <f>IF(E69="","",AVERAGE(INDEX($E$2:$E$3001,MAX(1,ROW()-1-'02_Eingaben'!$C$17)):INDEX($E$2:$E$3001,MIN('02_Eingaben'!$C$21,ROW()-1+'02_Eingaben'!$C$17))))</f>
        <v/>
      </c>
      <c r="G69" s="27">
        <f>IF(F69="","",F69-'02_Eingaben'!$C$10)</f>
        <v/>
      </c>
      <c r="H69">
        <f>IF(F69="","",IF(F69&lt;'02_Eingaben'!$C$18*'02_Eingaben'!$C$10,1,0))</f>
        <v/>
      </c>
      <c r="I69" s="27">
        <f>IF(OR(G69="",G70=""),"",(G69+G70)/2*(B70-B69))</f>
        <v/>
      </c>
      <c r="J69" s="27">
        <f>IF(B69="","",IF(B68&lt;'02_Eingaben'!$C$36,0,J68+I68/'02_Eingaben'!$C$8))</f>
        <v/>
      </c>
    </row>
    <row r="70">
      <c r="A70">
        <f>IF('01_Rohdaten'!A70="","",ROW()-1)</f>
        <v/>
      </c>
      <c r="B70" s="27">
        <f>IF('01_Rohdaten'!A70="","",'01_Rohdaten'!A70)</f>
        <v/>
      </c>
      <c r="C70" s="27">
        <f>IF(B70="","",INDEX('01_Rohdaten'!B70:D70,'02_Eingaben'!$C$13))</f>
        <v/>
      </c>
      <c r="D70" s="27">
        <f>IF(C70="","",C70*'02_Eingaben'!$C$15)</f>
        <v/>
      </c>
      <c r="E70" s="27">
        <f>IF(D70="","",D70*'02_Eingaben'!$C$8)</f>
        <v/>
      </c>
      <c r="F70" s="27">
        <f>IF(E70="","",AVERAGE(INDEX($E$2:$E$3001,MAX(1,ROW()-1-'02_Eingaben'!$C$17)):INDEX($E$2:$E$3001,MIN('02_Eingaben'!$C$21,ROW()-1+'02_Eingaben'!$C$17))))</f>
        <v/>
      </c>
      <c r="G70" s="27">
        <f>IF(F70="","",F70-'02_Eingaben'!$C$10)</f>
        <v/>
      </c>
      <c r="H70">
        <f>IF(F70="","",IF(F70&lt;'02_Eingaben'!$C$18*'02_Eingaben'!$C$10,1,0))</f>
        <v/>
      </c>
      <c r="I70" s="27">
        <f>IF(OR(G70="",G71=""),"",(G70+G71)/2*(B71-B70))</f>
        <v/>
      </c>
      <c r="J70" s="27">
        <f>IF(B70="","",IF(B69&lt;'02_Eingaben'!$C$36,0,J69+I69/'02_Eingaben'!$C$8))</f>
        <v/>
      </c>
    </row>
    <row r="71">
      <c r="A71">
        <f>IF('01_Rohdaten'!A71="","",ROW()-1)</f>
        <v/>
      </c>
      <c r="B71" s="27">
        <f>IF('01_Rohdaten'!A71="","",'01_Rohdaten'!A71)</f>
        <v/>
      </c>
      <c r="C71" s="27">
        <f>IF(B71="","",INDEX('01_Rohdaten'!B71:D71,'02_Eingaben'!$C$13))</f>
        <v/>
      </c>
      <c r="D71" s="27">
        <f>IF(C71="","",C71*'02_Eingaben'!$C$15)</f>
        <v/>
      </c>
      <c r="E71" s="27">
        <f>IF(D71="","",D71*'02_Eingaben'!$C$8)</f>
        <v/>
      </c>
      <c r="F71" s="27">
        <f>IF(E71="","",AVERAGE(INDEX($E$2:$E$3001,MAX(1,ROW()-1-'02_Eingaben'!$C$17)):INDEX($E$2:$E$3001,MIN('02_Eingaben'!$C$21,ROW()-1+'02_Eingaben'!$C$17))))</f>
        <v/>
      </c>
      <c r="G71" s="27">
        <f>IF(F71="","",F71-'02_Eingaben'!$C$10)</f>
        <v/>
      </c>
      <c r="H71">
        <f>IF(F71="","",IF(F71&lt;'02_Eingaben'!$C$18*'02_Eingaben'!$C$10,1,0))</f>
        <v/>
      </c>
      <c r="I71" s="27">
        <f>IF(OR(G71="",G72=""),"",(G71+G72)/2*(B72-B71))</f>
        <v/>
      </c>
      <c r="J71" s="27">
        <f>IF(B71="","",IF(B70&lt;'02_Eingaben'!$C$36,0,J70+I70/'02_Eingaben'!$C$8))</f>
        <v/>
      </c>
    </row>
    <row r="72">
      <c r="A72">
        <f>IF('01_Rohdaten'!A72="","",ROW()-1)</f>
        <v/>
      </c>
      <c r="B72" s="27">
        <f>IF('01_Rohdaten'!A72="","",'01_Rohdaten'!A72)</f>
        <v/>
      </c>
      <c r="C72" s="27">
        <f>IF(B72="","",INDEX('01_Rohdaten'!B72:D72,'02_Eingaben'!$C$13))</f>
        <v/>
      </c>
      <c r="D72" s="27">
        <f>IF(C72="","",C72*'02_Eingaben'!$C$15)</f>
        <v/>
      </c>
      <c r="E72" s="27">
        <f>IF(D72="","",D72*'02_Eingaben'!$C$8)</f>
        <v/>
      </c>
      <c r="F72" s="27">
        <f>IF(E72="","",AVERAGE(INDEX($E$2:$E$3001,MAX(1,ROW()-1-'02_Eingaben'!$C$17)):INDEX($E$2:$E$3001,MIN('02_Eingaben'!$C$21,ROW()-1+'02_Eingaben'!$C$17))))</f>
        <v/>
      </c>
      <c r="G72" s="27">
        <f>IF(F72="","",F72-'02_Eingaben'!$C$10)</f>
        <v/>
      </c>
      <c r="H72">
        <f>IF(F72="","",IF(F72&lt;'02_Eingaben'!$C$18*'02_Eingaben'!$C$10,1,0))</f>
        <v/>
      </c>
      <c r="I72" s="27">
        <f>IF(OR(G72="",G73=""),"",(G72+G73)/2*(B73-B72))</f>
        <v/>
      </c>
      <c r="J72" s="27">
        <f>IF(B72="","",IF(B71&lt;'02_Eingaben'!$C$36,0,J71+I71/'02_Eingaben'!$C$8))</f>
        <v/>
      </c>
    </row>
    <row r="73">
      <c r="A73">
        <f>IF('01_Rohdaten'!A73="","",ROW()-1)</f>
        <v/>
      </c>
      <c r="B73" s="27">
        <f>IF('01_Rohdaten'!A73="","",'01_Rohdaten'!A73)</f>
        <v/>
      </c>
      <c r="C73" s="27">
        <f>IF(B73="","",INDEX('01_Rohdaten'!B73:D73,'02_Eingaben'!$C$13))</f>
        <v/>
      </c>
      <c r="D73" s="27">
        <f>IF(C73="","",C73*'02_Eingaben'!$C$15)</f>
        <v/>
      </c>
      <c r="E73" s="27">
        <f>IF(D73="","",D73*'02_Eingaben'!$C$8)</f>
        <v/>
      </c>
      <c r="F73" s="27">
        <f>IF(E73="","",AVERAGE(INDEX($E$2:$E$3001,MAX(1,ROW()-1-'02_Eingaben'!$C$17)):INDEX($E$2:$E$3001,MIN('02_Eingaben'!$C$21,ROW()-1+'02_Eingaben'!$C$17))))</f>
        <v/>
      </c>
      <c r="G73" s="27">
        <f>IF(F73="","",F73-'02_Eingaben'!$C$10)</f>
        <v/>
      </c>
      <c r="H73">
        <f>IF(F73="","",IF(F73&lt;'02_Eingaben'!$C$18*'02_Eingaben'!$C$10,1,0))</f>
        <v/>
      </c>
      <c r="I73" s="27">
        <f>IF(OR(G73="",G74=""),"",(G73+G74)/2*(B74-B73))</f>
        <v/>
      </c>
      <c r="J73" s="27">
        <f>IF(B73="","",IF(B72&lt;'02_Eingaben'!$C$36,0,J72+I72/'02_Eingaben'!$C$8))</f>
        <v/>
      </c>
    </row>
    <row r="74">
      <c r="A74">
        <f>IF('01_Rohdaten'!A74="","",ROW()-1)</f>
        <v/>
      </c>
      <c r="B74" s="27">
        <f>IF('01_Rohdaten'!A74="","",'01_Rohdaten'!A74)</f>
        <v/>
      </c>
      <c r="C74" s="27">
        <f>IF(B74="","",INDEX('01_Rohdaten'!B74:D74,'02_Eingaben'!$C$13))</f>
        <v/>
      </c>
      <c r="D74" s="27">
        <f>IF(C74="","",C74*'02_Eingaben'!$C$15)</f>
        <v/>
      </c>
      <c r="E74" s="27">
        <f>IF(D74="","",D74*'02_Eingaben'!$C$8)</f>
        <v/>
      </c>
      <c r="F74" s="27">
        <f>IF(E74="","",AVERAGE(INDEX($E$2:$E$3001,MAX(1,ROW()-1-'02_Eingaben'!$C$17)):INDEX($E$2:$E$3001,MIN('02_Eingaben'!$C$21,ROW()-1+'02_Eingaben'!$C$17))))</f>
        <v/>
      </c>
      <c r="G74" s="27">
        <f>IF(F74="","",F74-'02_Eingaben'!$C$10)</f>
        <v/>
      </c>
      <c r="H74">
        <f>IF(F74="","",IF(F74&lt;'02_Eingaben'!$C$18*'02_Eingaben'!$C$10,1,0))</f>
        <v/>
      </c>
      <c r="I74" s="27">
        <f>IF(OR(G74="",G75=""),"",(G74+G75)/2*(B75-B74))</f>
        <v/>
      </c>
      <c r="J74" s="27">
        <f>IF(B74="","",IF(B73&lt;'02_Eingaben'!$C$36,0,J73+I73/'02_Eingaben'!$C$8))</f>
        <v/>
      </c>
    </row>
    <row r="75">
      <c r="A75">
        <f>IF('01_Rohdaten'!A75="","",ROW()-1)</f>
        <v/>
      </c>
      <c r="B75" s="27">
        <f>IF('01_Rohdaten'!A75="","",'01_Rohdaten'!A75)</f>
        <v/>
      </c>
      <c r="C75" s="27">
        <f>IF(B75="","",INDEX('01_Rohdaten'!B75:D75,'02_Eingaben'!$C$13))</f>
        <v/>
      </c>
      <c r="D75" s="27">
        <f>IF(C75="","",C75*'02_Eingaben'!$C$15)</f>
        <v/>
      </c>
      <c r="E75" s="27">
        <f>IF(D75="","",D75*'02_Eingaben'!$C$8)</f>
        <v/>
      </c>
      <c r="F75" s="27">
        <f>IF(E75="","",AVERAGE(INDEX($E$2:$E$3001,MAX(1,ROW()-1-'02_Eingaben'!$C$17)):INDEX($E$2:$E$3001,MIN('02_Eingaben'!$C$21,ROW()-1+'02_Eingaben'!$C$17))))</f>
        <v/>
      </c>
      <c r="G75" s="27">
        <f>IF(F75="","",F75-'02_Eingaben'!$C$10)</f>
        <v/>
      </c>
      <c r="H75">
        <f>IF(F75="","",IF(F75&lt;'02_Eingaben'!$C$18*'02_Eingaben'!$C$10,1,0))</f>
        <v/>
      </c>
      <c r="I75" s="27">
        <f>IF(OR(G75="",G76=""),"",(G75+G76)/2*(B76-B75))</f>
        <v/>
      </c>
      <c r="J75" s="27">
        <f>IF(B75="","",IF(B74&lt;'02_Eingaben'!$C$36,0,J74+I74/'02_Eingaben'!$C$8))</f>
        <v/>
      </c>
    </row>
    <row r="76">
      <c r="A76">
        <f>IF('01_Rohdaten'!A76="","",ROW()-1)</f>
        <v/>
      </c>
      <c r="B76" s="27">
        <f>IF('01_Rohdaten'!A76="","",'01_Rohdaten'!A76)</f>
        <v/>
      </c>
      <c r="C76" s="27">
        <f>IF(B76="","",INDEX('01_Rohdaten'!B76:D76,'02_Eingaben'!$C$13))</f>
        <v/>
      </c>
      <c r="D76" s="27">
        <f>IF(C76="","",C76*'02_Eingaben'!$C$15)</f>
        <v/>
      </c>
      <c r="E76" s="27">
        <f>IF(D76="","",D76*'02_Eingaben'!$C$8)</f>
        <v/>
      </c>
      <c r="F76" s="27">
        <f>IF(E76="","",AVERAGE(INDEX($E$2:$E$3001,MAX(1,ROW()-1-'02_Eingaben'!$C$17)):INDEX($E$2:$E$3001,MIN('02_Eingaben'!$C$21,ROW()-1+'02_Eingaben'!$C$17))))</f>
        <v/>
      </c>
      <c r="G76" s="27">
        <f>IF(F76="","",F76-'02_Eingaben'!$C$10)</f>
        <v/>
      </c>
      <c r="H76">
        <f>IF(F76="","",IF(F76&lt;'02_Eingaben'!$C$18*'02_Eingaben'!$C$10,1,0))</f>
        <v/>
      </c>
      <c r="I76" s="27">
        <f>IF(OR(G76="",G77=""),"",(G76+G77)/2*(B77-B76))</f>
        <v/>
      </c>
      <c r="J76" s="27">
        <f>IF(B76="","",IF(B75&lt;'02_Eingaben'!$C$36,0,J75+I75/'02_Eingaben'!$C$8))</f>
        <v/>
      </c>
    </row>
    <row r="77">
      <c r="A77">
        <f>IF('01_Rohdaten'!A77="","",ROW()-1)</f>
        <v/>
      </c>
      <c r="B77" s="27">
        <f>IF('01_Rohdaten'!A77="","",'01_Rohdaten'!A77)</f>
        <v/>
      </c>
      <c r="C77" s="27">
        <f>IF(B77="","",INDEX('01_Rohdaten'!B77:D77,'02_Eingaben'!$C$13))</f>
        <v/>
      </c>
      <c r="D77" s="27">
        <f>IF(C77="","",C77*'02_Eingaben'!$C$15)</f>
        <v/>
      </c>
      <c r="E77" s="27">
        <f>IF(D77="","",D77*'02_Eingaben'!$C$8)</f>
        <v/>
      </c>
      <c r="F77" s="27">
        <f>IF(E77="","",AVERAGE(INDEX($E$2:$E$3001,MAX(1,ROW()-1-'02_Eingaben'!$C$17)):INDEX($E$2:$E$3001,MIN('02_Eingaben'!$C$21,ROW()-1+'02_Eingaben'!$C$17))))</f>
        <v/>
      </c>
      <c r="G77" s="27">
        <f>IF(F77="","",F77-'02_Eingaben'!$C$10)</f>
        <v/>
      </c>
      <c r="H77">
        <f>IF(F77="","",IF(F77&lt;'02_Eingaben'!$C$18*'02_Eingaben'!$C$10,1,0))</f>
        <v/>
      </c>
      <c r="I77" s="27">
        <f>IF(OR(G77="",G78=""),"",(G77+G78)/2*(B78-B77))</f>
        <v/>
      </c>
      <c r="J77" s="27">
        <f>IF(B77="","",IF(B76&lt;'02_Eingaben'!$C$36,0,J76+I76/'02_Eingaben'!$C$8))</f>
        <v/>
      </c>
    </row>
    <row r="78">
      <c r="A78">
        <f>IF('01_Rohdaten'!A78="","",ROW()-1)</f>
        <v/>
      </c>
      <c r="B78" s="27">
        <f>IF('01_Rohdaten'!A78="","",'01_Rohdaten'!A78)</f>
        <v/>
      </c>
      <c r="C78" s="27">
        <f>IF(B78="","",INDEX('01_Rohdaten'!B78:D78,'02_Eingaben'!$C$13))</f>
        <v/>
      </c>
      <c r="D78" s="27">
        <f>IF(C78="","",C78*'02_Eingaben'!$C$15)</f>
        <v/>
      </c>
      <c r="E78" s="27">
        <f>IF(D78="","",D78*'02_Eingaben'!$C$8)</f>
        <v/>
      </c>
      <c r="F78" s="27">
        <f>IF(E78="","",AVERAGE(INDEX($E$2:$E$3001,MAX(1,ROW()-1-'02_Eingaben'!$C$17)):INDEX($E$2:$E$3001,MIN('02_Eingaben'!$C$21,ROW()-1+'02_Eingaben'!$C$17))))</f>
        <v/>
      </c>
      <c r="G78" s="27">
        <f>IF(F78="","",F78-'02_Eingaben'!$C$10)</f>
        <v/>
      </c>
      <c r="H78">
        <f>IF(F78="","",IF(F78&lt;'02_Eingaben'!$C$18*'02_Eingaben'!$C$10,1,0))</f>
        <v/>
      </c>
      <c r="I78" s="27">
        <f>IF(OR(G78="",G79=""),"",(G78+G79)/2*(B79-B78))</f>
        <v/>
      </c>
      <c r="J78" s="27">
        <f>IF(B78="","",IF(B77&lt;'02_Eingaben'!$C$36,0,J77+I77/'02_Eingaben'!$C$8))</f>
        <v/>
      </c>
    </row>
    <row r="79">
      <c r="A79">
        <f>IF('01_Rohdaten'!A79="","",ROW()-1)</f>
        <v/>
      </c>
      <c r="B79" s="27">
        <f>IF('01_Rohdaten'!A79="","",'01_Rohdaten'!A79)</f>
        <v/>
      </c>
      <c r="C79" s="27">
        <f>IF(B79="","",INDEX('01_Rohdaten'!B79:D79,'02_Eingaben'!$C$13))</f>
        <v/>
      </c>
      <c r="D79" s="27">
        <f>IF(C79="","",C79*'02_Eingaben'!$C$15)</f>
        <v/>
      </c>
      <c r="E79" s="27">
        <f>IF(D79="","",D79*'02_Eingaben'!$C$8)</f>
        <v/>
      </c>
      <c r="F79" s="27">
        <f>IF(E79="","",AVERAGE(INDEX($E$2:$E$3001,MAX(1,ROW()-1-'02_Eingaben'!$C$17)):INDEX($E$2:$E$3001,MIN('02_Eingaben'!$C$21,ROW()-1+'02_Eingaben'!$C$17))))</f>
        <v/>
      </c>
      <c r="G79" s="27">
        <f>IF(F79="","",F79-'02_Eingaben'!$C$10)</f>
        <v/>
      </c>
      <c r="H79">
        <f>IF(F79="","",IF(F79&lt;'02_Eingaben'!$C$18*'02_Eingaben'!$C$10,1,0))</f>
        <v/>
      </c>
      <c r="I79" s="27">
        <f>IF(OR(G79="",G80=""),"",(G79+G80)/2*(B80-B79))</f>
        <v/>
      </c>
      <c r="J79" s="27">
        <f>IF(B79="","",IF(B78&lt;'02_Eingaben'!$C$36,0,J78+I78/'02_Eingaben'!$C$8))</f>
        <v/>
      </c>
    </row>
    <row r="80">
      <c r="A80">
        <f>IF('01_Rohdaten'!A80="","",ROW()-1)</f>
        <v/>
      </c>
      <c r="B80" s="27">
        <f>IF('01_Rohdaten'!A80="","",'01_Rohdaten'!A80)</f>
        <v/>
      </c>
      <c r="C80" s="27">
        <f>IF(B80="","",INDEX('01_Rohdaten'!B80:D80,'02_Eingaben'!$C$13))</f>
        <v/>
      </c>
      <c r="D80" s="27">
        <f>IF(C80="","",C80*'02_Eingaben'!$C$15)</f>
        <v/>
      </c>
      <c r="E80" s="27">
        <f>IF(D80="","",D80*'02_Eingaben'!$C$8)</f>
        <v/>
      </c>
      <c r="F80" s="27">
        <f>IF(E80="","",AVERAGE(INDEX($E$2:$E$3001,MAX(1,ROW()-1-'02_Eingaben'!$C$17)):INDEX($E$2:$E$3001,MIN('02_Eingaben'!$C$21,ROW()-1+'02_Eingaben'!$C$17))))</f>
        <v/>
      </c>
      <c r="G80" s="27">
        <f>IF(F80="","",F80-'02_Eingaben'!$C$10)</f>
        <v/>
      </c>
      <c r="H80">
        <f>IF(F80="","",IF(F80&lt;'02_Eingaben'!$C$18*'02_Eingaben'!$C$10,1,0))</f>
        <v/>
      </c>
      <c r="I80" s="27">
        <f>IF(OR(G80="",G81=""),"",(G80+G81)/2*(B81-B80))</f>
        <v/>
      </c>
      <c r="J80" s="27">
        <f>IF(B80="","",IF(B79&lt;'02_Eingaben'!$C$36,0,J79+I79/'02_Eingaben'!$C$8))</f>
        <v/>
      </c>
    </row>
    <row r="81">
      <c r="A81">
        <f>IF('01_Rohdaten'!A81="","",ROW()-1)</f>
        <v/>
      </c>
      <c r="B81" s="27">
        <f>IF('01_Rohdaten'!A81="","",'01_Rohdaten'!A81)</f>
        <v/>
      </c>
      <c r="C81" s="27">
        <f>IF(B81="","",INDEX('01_Rohdaten'!B81:D81,'02_Eingaben'!$C$13))</f>
        <v/>
      </c>
      <c r="D81" s="27">
        <f>IF(C81="","",C81*'02_Eingaben'!$C$15)</f>
        <v/>
      </c>
      <c r="E81" s="27">
        <f>IF(D81="","",D81*'02_Eingaben'!$C$8)</f>
        <v/>
      </c>
      <c r="F81" s="27">
        <f>IF(E81="","",AVERAGE(INDEX($E$2:$E$3001,MAX(1,ROW()-1-'02_Eingaben'!$C$17)):INDEX($E$2:$E$3001,MIN('02_Eingaben'!$C$21,ROW()-1+'02_Eingaben'!$C$17))))</f>
        <v/>
      </c>
      <c r="G81" s="27">
        <f>IF(F81="","",F81-'02_Eingaben'!$C$10)</f>
        <v/>
      </c>
      <c r="H81">
        <f>IF(F81="","",IF(F81&lt;'02_Eingaben'!$C$18*'02_Eingaben'!$C$10,1,0))</f>
        <v/>
      </c>
      <c r="I81" s="27">
        <f>IF(OR(G81="",G82=""),"",(G81+G82)/2*(B82-B81))</f>
        <v/>
      </c>
      <c r="J81" s="27">
        <f>IF(B81="","",IF(B80&lt;'02_Eingaben'!$C$36,0,J80+I80/'02_Eingaben'!$C$8))</f>
        <v/>
      </c>
    </row>
    <row r="82">
      <c r="A82">
        <f>IF('01_Rohdaten'!A82="","",ROW()-1)</f>
        <v/>
      </c>
      <c r="B82" s="27">
        <f>IF('01_Rohdaten'!A82="","",'01_Rohdaten'!A82)</f>
        <v/>
      </c>
      <c r="C82" s="27">
        <f>IF(B82="","",INDEX('01_Rohdaten'!B82:D82,'02_Eingaben'!$C$13))</f>
        <v/>
      </c>
      <c r="D82" s="27">
        <f>IF(C82="","",C82*'02_Eingaben'!$C$15)</f>
        <v/>
      </c>
      <c r="E82" s="27">
        <f>IF(D82="","",D82*'02_Eingaben'!$C$8)</f>
        <v/>
      </c>
      <c r="F82" s="27">
        <f>IF(E82="","",AVERAGE(INDEX($E$2:$E$3001,MAX(1,ROW()-1-'02_Eingaben'!$C$17)):INDEX($E$2:$E$3001,MIN('02_Eingaben'!$C$21,ROW()-1+'02_Eingaben'!$C$17))))</f>
        <v/>
      </c>
      <c r="G82" s="27">
        <f>IF(F82="","",F82-'02_Eingaben'!$C$10)</f>
        <v/>
      </c>
      <c r="H82">
        <f>IF(F82="","",IF(F82&lt;'02_Eingaben'!$C$18*'02_Eingaben'!$C$10,1,0))</f>
        <v/>
      </c>
      <c r="I82" s="27">
        <f>IF(OR(G82="",G83=""),"",(G82+G83)/2*(B83-B82))</f>
        <v/>
      </c>
      <c r="J82" s="27">
        <f>IF(B82="","",IF(B81&lt;'02_Eingaben'!$C$36,0,J81+I81/'02_Eingaben'!$C$8))</f>
        <v/>
      </c>
    </row>
    <row r="83">
      <c r="A83">
        <f>IF('01_Rohdaten'!A83="","",ROW()-1)</f>
        <v/>
      </c>
      <c r="B83" s="27">
        <f>IF('01_Rohdaten'!A83="","",'01_Rohdaten'!A83)</f>
        <v/>
      </c>
      <c r="C83" s="27">
        <f>IF(B83="","",INDEX('01_Rohdaten'!B83:D83,'02_Eingaben'!$C$13))</f>
        <v/>
      </c>
      <c r="D83" s="27">
        <f>IF(C83="","",C83*'02_Eingaben'!$C$15)</f>
        <v/>
      </c>
      <c r="E83" s="27">
        <f>IF(D83="","",D83*'02_Eingaben'!$C$8)</f>
        <v/>
      </c>
      <c r="F83" s="27">
        <f>IF(E83="","",AVERAGE(INDEX($E$2:$E$3001,MAX(1,ROW()-1-'02_Eingaben'!$C$17)):INDEX($E$2:$E$3001,MIN('02_Eingaben'!$C$21,ROW()-1+'02_Eingaben'!$C$17))))</f>
        <v/>
      </c>
      <c r="G83" s="27">
        <f>IF(F83="","",F83-'02_Eingaben'!$C$10)</f>
        <v/>
      </c>
      <c r="H83">
        <f>IF(F83="","",IF(F83&lt;'02_Eingaben'!$C$18*'02_Eingaben'!$C$10,1,0))</f>
        <v/>
      </c>
      <c r="I83" s="27">
        <f>IF(OR(G83="",G84=""),"",(G83+G84)/2*(B84-B83))</f>
        <v/>
      </c>
      <c r="J83" s="27">
        <f>IF(B83="","",IF(B82&lt;'02_Eingaben'!$C$36,0,J82+I82/'02_Eingaben'!$C$8))</f>
        <v/>
      </c>
    </row>
    <row r="84">
      <c r="A84">
        <f>IF('01_Rohdaten'!A84="","",ROW()-1)</f>
        <v/>
      </c>
      <c r="B84" s="27">
        <f>IF('01_Rohdaten'!A84="","",'01_Rohdaten'!A84)</f>
        <v/>
      </c>
      <c r="C84" s="27">
        <f>IF(B84="","",INDEX('01_Rohdaten'!B84:D84,'02_Eingaben'!$C$13))</f>
        <v/>
      </c>
      <c r="D84" s="27">
        <f>IF(C84="","",C84*'02_Eingaben'!$C$15)</f>
        <v/>
      </c>
      <c r="E84" s="27">
        <f>IF(D84="","",D84*'02_Eingaben'!$C$8)</f>
        <v/>
      </c>
      <c r="F84" s="27">
        <f>IF(E84="","",AVERAGE(INDEX($E$2:$E$3001,MAX(1,ROW()-1-'02_Eingaben'!$C$17)):INDEX($E$2:$E$3001,MIN('02_Eingaben'!$C$21,ROW()-1+'02_Eingaben'!$C$17))))</f>
        <v/>
      </c>
      <c r="G84" s="27">
        <f>IF(F84="","",F84-'02_Eingaben'!$C$10)</f>
        <v/>
      </c>
      <c r="H84">
        <f>IF(F84="","",IF(F84&lt;'02_Eingaben'!$C$18*'02_Eingaben'!$C$10,1,0))</f>
        <v/>
      </c>
      <c r="I84" s="27">
        <f>IF(OR(G84="",G85=""),"",(G84+G85)/2*(B85-B84))</f>
        <v/>
      </c>
      <c r="J84" s="27">
        <f>IF(B84="","",IF(B83&lt;'02_Eingaben'!$C$36,0,J83+I83/'02_Eingaben'!$C$8))</f>
        <v/>
      </c>
    </row>
    <row r="85">
      <c r="A85">
        <f>IF('01_Rohdaten'!A85="","",ROW()-1)</f>
        <v/>
      </c>
      <c r="B85" s="27">
        <f>IF('01_Rohdaten'!A85="","",'01_Rohdaten'!A85)</f>
        <v/>
      </c>
      <c r="C85" s="27">
        <f>IF(B85="","",INDEX('01_Rohdaten'!B85:D85,'02_Eingaben'!$C$13))</f>
        <v/>
      </c>
      <c r="D85" s="27">
        <f>IF(C85="","",C85*'02_Eingaben'!$C$15)</f>
        <v/>
      </c>
      <c r="E85" s="27">
        <f>IF(D85="","",D85*'02_Eingaben'!$C$8)</f>
        <v/>
      </c>
      <c r="F85" s="27">
        <f>IF(E85="","",AVERAGE(INDEX($E$2:$E$3001,MAX(1,ROW()-1-'02_Eingaben'!$C$17)):INDEX($E$2:$E$3001,MIN('02_Eingaben'!$C$21,ROW()-1+'02_Eingaben'!$C$17))))</f>
        <v/>
      </c>
      <c r="G85" s="27">
        <f>IF(F85="","",F85-'02_Eingaben'!$C$10)</f>
        <v/>
      </c>
      <c r="H85">
        <f>IF(F85="","",IF(F85&lt;'02_Eingaben'!$C$18*'02_Eingaben'!$C$10,1,0))</f>
        <v/>
      </c>
      <c r="I85" s="27">
        <f>IF(OR(G85="",G86=""),"",(G85+G86)/2*(B86-B85))</f>
        <v/>
      </c>
      <c r="J85" s="27">
        <f>IF(B85="","",IF(B84&lt;'02_Eingaben'!$C$36,0,J84+I84/'02_Eingaben'!$C$8))</f>
        <v/>
      </c>
    </row>
    <row r="86">
      <c r="A86">
        <f>IF('01_Rohdaten'!A86="","",ROW()-1)</f>
        <v/>
      </c>
      <c r="B86" s="27">
        <f>IF('01_Rohdaten'!A86="","",'01_Rohdaten'!A86)</f>
        <v/>
      </c>
      <c r="C86" s="27">
        <f>IF(B86="","",INDEX('01_Rohdaten'!B86:D86,'02_Eingaben'!$C$13))</f>
        <v/>
      </c>
      <c r="D86" s="27">
        <f>IF(C86="","",C86*'02_Eingaben'!$C$15)</f>
        <v/>
      </c>
      <c r="E86" s="27">
        <f>IF(D86="","",D86*'02_Eingaben'!$C$8)</f>
        <v/>
      </c>
      <c r="F86" s="27">
        <f>IF(E86="","",AVERAGE(INDEX($E$2:$E$3001,MAX(1,ROW()-1-'02_Eingaben'!$C$17)):INDEX($E$2:$E$3001,MIN('02_Eingaben'!$C$21,ROW()-1+'02_Eingaben'!$C$17))))</f>
        <v/>
      </c>
      <c r="G86" s="27">
        <f>IF(F86="","",F86-'02_Eingaben'!$C$10)</f>
        <v/>
      </c>
      <c r="H86">
        <f>IF(F86="","",IF(F86&lt;'02_Eingaben'!$C$18*'02_Eingaben'!$C$10,1,0))</f>
        <v/>
      </c>
      <c r="I86" s="27">
        <f>IF(OR(G86="",G87=""),"",(G86+G87)/2*(B87-B86))</f>
        <v/>
      </c>
      <c r="J86" s="27">
        <f>IF(B86="","",IF(B85&lt;'02_Eingaben'!$C$36,0,J85+I85/'02_Eingaben'!$C$8))</f>
        <v/>
      </c>
    </row>
    <row r="87">
      <c r="A87">
        <f>IF('01_Rohdaten'!A87="","",ROW()-1)</f>
        <v/>
      </c>
      <c r="B87" s="27">
        <f>IF('01_Rohdaten'!A87="","",'01_Rohdaten'!A87)</f>
        <v/>
      </c>
      <c r="C87" s="27">
        <f>IF(B87="","",INDEX('01_Rohdaten'!B87:D87,'02_Eingaben'!$C$13))</f>
        <v/>
      </c>
      <c r="D87" s="27">
        <f>IF(C87="","",C87*'02_Eingaben'!$C$15)</f>
        <v/>
      </c>
      <c r="E87" s="27">
        <f>IF(D87="","",D87*'02_Eingaben'!$C$8)</f>
        <v/>
      </c>
      <c r="F87" s="27">
        <f>IF(E87="","",AVERAGE(INDEX($E$2:$E$3001,MAX(1,ROW()-1-'02_Eingaben'!$C$17)):INDEX($E$2:$E$3001,MIN('02_Eingaben'!$C$21,ROW()-1+'02_Eingaben'!$C$17))))</f>
        <v/>
      </c>
      <c r="G87" s="27">
        <f>IF(F87="","",F87-'02_Eingaben'!$C$10)</f>
        <v/>
      </c>
      <c r="H87">
        <f>IF(F87="","",IF(F87&lt;'02_Eingaben'!$C$18*'02_Eingaben'!$C$10,1,0))</f>
        <v/>
      </c>
      <c r="I87" s="27">
        <f>IF(OR(G87="",G88=""),"",(G87+G88)/2*(B88-B87))</f>
        <v/>
      </c>
      <c r="J87" s="27">
        <f>IF(B87="","",IF(B86&lt;'02_Eingaben'!$C$36,0,J86+I86/'02_Eingaben'!$C$8))</f>
        <v/>
      </c>
    </row>
    <row r="88">
      <c r="A88">
        <f>IF('01_Rohdaten'!A88="","",ROW()-1)</f>
        <v/>
      </c>
      <c r="B88" s="27">
        <f>IF('01_Rohdaten'!A88="","",'01_Rohdaten'!A88)</f>
        <v/>
      </c>
      <c r="C88" s="27">
        <f>IF(B88="","",INDEX('01_Rohdaten'!B88:D88,'02_Eingaben'!$C$13))</f>
        <v/>
      </c>
      <c r="D88" s="27">
        <f>IF(C88="","",C88*'02_Eingaben'!$C$15)</f>
        <v/>
      </c>
      <c r="E88" s="27">
        <f>IF(D88="","",D88*'02_Eingaben'!$C$8)</f>
        <v/>
      </c>
      <c r="F88" s="27">
        <f>IF(E88="","",AVERAGE(INDEX($E$2:$E$3001,MAX(1,ROW()-1-'02_Eingaben'!$C$17)):INDEX($E$2:$E$3001,MIN('02_Eingaben'!$C$21,ROW()-1+'02_Eingaben'!$C$17))))</f>
        <v/>
      </c>
      <c r="G88" s="27">
        <f>IF(F88="","",F88-'02_Eingaben'!$C$10)</f>
        <v/>
      </c>
      <c r="H88">
        <f>IF(F88="","",IF(F88&lt;'02_Eingaben'!$C$18*'02_Eingaben'!$C$10,1,0))</f>
        <v/>
      </c>
      <c r="I88" s="27">
        <f>IF(OR(G88="",G89=""),"",(G88+G89)/2*(B89-B88))</f>
        <v/>
      </c>
      <c r="J88" s="27">
        <f>IF(B88="","",IF(B87&lt;'02_Eingaben'!$C$36,0,J87+I87/'02_Eingaben'!$C$8))</f>
        <v/>
      </c>
    </row>
    <row r="89">
      <c r="A89">
        <f>IF('01_Rohdaten'!A89="","",ROW()-1)</f>
        <v/>
      </c>
      <c r="B89" s="27">
        <f>IF('01_Rohdaten'!A89="","",'01_Rohdaten'!A89)</f>
        <v/>
      </c>
      <c r="C89" s="27">
        <f>IF(B89="","",INDEX('01_Rohdaten'!B89:D89,'02_Eingaben'!$C$13))</f>
        <v/>
      </c>
      <c r="D89" s="27">
        <f>IF(C89="","",C89*'02_Eingaben'!$C$15)</f>
        <v/>
      </c>
      <c r="E89" s="27">
        <f>IF(D89="","",D89*'02_Eingaben'!$C$8)</f>
        <v/>
      </c>
      <c r="F89" s="27">
        <f>IF(E89="","",AVERAGE(INDEX($E$2:$E$3001,MAX(1,ROW()-1-'02_Eingaben'!$C$17)):INDEX($E$2:$E$3001,MIN('02_Eingaben'!$C$21,ROW()-1+'02_Eingaben'!$C$17))))</f>
        <v/>
      </c>
      <c r="G89" s="27">
        <f>IF(F89="","",F89-'02_Eingaben'!$C$10)</f>
        <v/>
      </c>
      <c r="H89">
        <f>IF(F89="","",IF(F89&lt;'02_Eingaben'!$C$18*'02_Eingaben'!$C$10,1,0))</f>
        <v/>
      </c>
      <c r="I89" s="27">
        <f>IF(OR(G89="",G90=""),"",(G89+G90)/2*(B90-B89))</f>
        <v/>
      </c>
      <c r="J89" s="27">
        <f>IF(B89="","",IF(B88&lt;'02_Eingaben'!$C$36,0,J88+I88/'02_Eingaben'!$C$8))</f>
        <v/>
      </c>
    </row>
    <row r="90">
      <c r="A90">
        <f>IF('01_Rohdaten'!A90="","",ROW()-1)</f>
        <v/>
      </c>
      <c r="B90" s="27">
        <f>IF('01_Rohdaten'!A90="","",'01_Rohdaten'!A90)</f>
        <v/>
      </c>
      <c r="C90" s="27">
        <f>IF(B90="","",INDEX('01_Rohdaten'!B90:D90,'02_Eingaben'!$C$13))</f>
        <v/>
      </c>
      <c r="D90" s="27">
        <f>IF(C90="","",C90*'02_Eingaben'!$C$15)</f>
        <v/>
      </c>
      <c r="E90" s="27">
        <f>IF(D90="","",D90*'02_Eingaben'!$C$8)</f>
        <v/>
      </c>
      <c r="F90" s="27">
        <f>IF(E90="","",AVERAGE(INDEX($E$2:$E$3001,MAX(1,ROW()-1-'02_Eingaben'!$C$17)):INDEX($E$2:$E$3001,MIN('02_Eingaben'!$C$21,ROW()-1+'02_Eingaben'!$C$17))))</f>
        <v/>
      </c>
      <c r="G90" s="27">
        <f>IF(F90="","",F90-'02_Eingaben'!$C$10)</f>
        <v/>
      </c>
      <c r="H90">
        <f>IF(F90="","",IF(F90&lt;'02_Eingaben'!$C$18*'02_Eingaben'!$C$10,1,0))</f>
        <v/>
      </c>
      <c r="I90" s="27">
        <f>IF(OR(G90="",G91=""),"",(G90+G91)/2*(B91-B90))</f>
        <v/>
      </c>
      <c r="J90" s="27">
        <f>IF(B90="","",IF(B89&lt;'02_Eingaben'!$C$36,0,J89+I89/'02_Eingaben'!$C$8))</f>
        <v/>
      </c>
    </row>
    <row r="91">
      <c r="A91">
        <f>IF('01_Rohdaten'!A91="","",ROW()-1)</f>
        <v/>
      </c>
      <c r="B91" s="27">
        <f>IF('01_Rohdaten'!A91="","",'01_Rohdaten'!A91)</f>
        <v/>
      </c>
      <c r="C91" s="27">
        <f>IF(B91="","",INDEX('01_Rohdaten'!B91:D91,'02_Eingaben'!$C$13))</f>
        <v/>
      </c>
      <c r="D91" s="27">
        <f>IF(C91="","",C91*'02_Eingaben'!$C$15)</f>
        <v/>
      </c>
      <c r="E91" s="27">
        <f>IF(D91="","",D91*'02_Eingaben'!$C$8)</f>
        <v/>
      </c>
      <c r="F91" s="27">
        <f>IF(E91="","",AVERAGE(INDEX($E$2:$E$3001,MAX(1,ROW()-1-'02_Eingaben'!$C$17)):INDEX($E$2:$E$3001,MIN('02_Eingaben'!$C$21,ROW()-1+'02_Eingaben'!$C$17))))</f>
        <v/>
      </c>
      <c r="G91" s="27">
        <f>IF(F91="","",F91-'02_Eingaben'!$C$10)</f>
        <v/>
      </c>
      <c r="H91">
        <f>IF(F91="","",IF(F91&lt;'02_Eingaben'!$C$18*'02_Eingaben'!$C$10,1,0))</f>
        <v/>
      </c>
      <c r="I91" s="27">
        <f>IF(OR(G91="",G92=""),"",(G91+G92)/2*(B92-B91))</f>
        <v/>
      </c>
      <c r="J91" s="27">
        <f>IF(B91="","",IF(B90&lt;'02_Eingaben'!$C$36,0,J90+I90/'02_Eingaben'!$C$8))</f>
        <v/>
      </c>
    </row>
    <row r="92">
      <c r="A92">
        <f>IF('01_Rohdaten'!A92="","",ROW()-1)</f>
        <v/>
      </c>
      <c r="B92" s="27">
        <f>IF('01_Rohdaten'!A92="","",'01_Rohdaten'!A92)</f>
        <v/>
      </c>
      <c r="C92" s="27">
        <f>IF(B92="","",INDEX('01_Rohdaten'!B92:D92,'02_Eingaben'!$C$13))</f>
        <v/>
      </c>
      <c r="D92" s="27">
        <f>IF(C92="","",C92*'02_Eingaben'!$C$15)</f>
        <v/>
      </c>
      <c r="E92" s="27">
        <f>IF(D92="","",D92*'02_Eingaben'!$C$8)</f>
        <v/>
      </c>
      <c r="F92" s="27">
        <f>IF(E92="","",AVERAGE(INDEX($E$2:$E$3001,MAX(1,ROW()-1-'02_Eingaben'!$C$17)):INDEX($E$2:$E$3001,MIN('02_Eingaben'!$C$21,ROW()-1+'02_Eingaben'!$C$17))))</f>
        <v/>
      </c>
      <c r="G92" s="27">
        <f>IF(F92="","",F92-'02_Eingaben'!$C$10)</f>
        <v/>
      </c>
      <c r="H92">
        <f>IF(F92="","",IF(F92&lt;'02_Eingaben'!$C$18*'02_Eingaben'!$C$10,1,0))</f>
        <v/>
      </c>
      <c r="I92" s="27">
        <f>IF(OR(G92="",G93=""),"",(G92+G93)/2*(B93-B92))</f>
        <v/>
      </c>
      <c r="J92" s="27">
        <f>IF(B92="","",IF(B91&lt;'02_Eingaben'!$C$36,0,J91+I91/'02_Eingaben'!$C$8))</f>
        <v/>
      </c>
    </row>
    <row r="93">
      <c r="A93">
        <f>IF('01_Rohdaten'!A93="","",ROW()-1)</f>
        <v/>
      </c>
      <c r="B93" s="27">
        <f>IF('01_Rohdaten'!A93="","",'01_Rohdaten'!A93)</f>
        <v/>
      </c>
      <c r="C93" s="27">
        <f>IF(B93="","",INDEX('01_Rohdaten'!B93:D93,'02_Eingaben'!$C$13))</f>
        <v/>
      </c>
      <c r="D93" s="27">
        <f>IF(C93="","",C93*'02_Eingaben'!$C$15)</f>
        <v/>
      </c>
      <c r="E93" s="27">
        <f>IF(D93="","",D93*'02_Eingaben'!$C$8)</f>
        <v/>
      </c>
      <c r="F93" s="27">
        <f>IF(E93="","",AVERAGE(INDEX($E$2:$E$3001,MAX(1,ROW()-1-'02_Eingaben'!$C$17)):INDEX($E$2:$E$3001,MIN('02_Eingaben'!$C$21,ROW()-1+'02_Eingaben'!$C$17))))</f>
        <v/>
      </c>
      <c r="G93" s="27">
        <f>IF(F93="","",F93-'02_Eingaben'!$C$10)</f>
        <v/>
      </c>
      <c r="H93">
        <f>IF(F93="","",IF(F93&lt;'02_Eingaben'!$C$18*'02_Eingaben'!$C$10,1,0))</f>
        <v/>
      </c>
      <c r="I93" s="27">
        <f>IF(OR(G93="",G94=""),"",(G93+G94)/2*(B94-B93))</f>
        <v/>
      </c>
      <c r="J93" s="27">
        <f>IF(B93="","",IF(B92&lt;'02_Eingaben'!$C$36,0,J92+I92/'02_Eingaben'!$C$8))</f>
        <v/>
      </c>
    </row>
    <row r="94">
      <c r="A94">
        <f>IF('01_Rohdaten'!A94="","",ROW()-1)</f>
        <v/>
      </c>
      <c r="B94" s="27">
        <f>IF('01_Rohdaten'!A94="","",'01_Rohdaten'!A94)</f>
        <v/>
      </c>
      <c r="C94" s="27">
        <f>IF(B94="","",INDEX('01_Rohdaten'!B94:D94,'02_Eingaben'!$C$13))</f>
        <v/>
      </c>
      <c r="D94" s="27">
        <f>IF(C94="","",C94*'02_Eingaben'!$C$15)</f>
        <v/>
      </c>
      <c r="E94" s="27">
        <f>IF(D94="","",D94*'02_Eingaben'!$C$8)</f>
        <v/>
      </c>
      <c r="F94" s="27">
        <f>IF(E94="","",AVERAGE(INDEX($E$2:$E$3001,MAX(1,ROW()-1-'02_Eingaben'!$C$17)):INDEX($E$2:$E$3001,MIN('02_Eingaben'!$C$21,ROW()-1+'02_Eingaben'!$C$17))))</f>
        <v/>
      </c>
      <c r="G94" s="27">
        <f>IF(F94="","",F94-'02_Eingaben'!$C$10)</f>
        <v/>
      </c>
      <c r="H94">
        <f>IF(F94="","",IF(F94&lt;'02_Eingaben'!$C$18*'02_Eingaben'!$C$10,1,0))</f>
        <v/>
      </c>
      <c r="I94" s="27">
        <f>IF(OR(G94="",G95=""),"",(G94+G95)/2*(B95-B94))</f>
        <v/>
      </c>
      <c r="J94" s="27">
        <f>IF(B94="","",IF(B93&lt;'02_Eingaben'!$C$36,0,J93+I93/'02_Eingaben'!$C$8))</f>
        <v/>
      </c>
    </row>
    <row r="95">
      <c r="A95">
        <f>IF('01_Rohdaten'!A95="","",ROW()-1)</f>
        <v/>
      </c>
      <c r="B95" s="27">
        <f>IF('01_Rohdaten'!A95="","",'01_Rohdaten'!A95)</f>
        <v/>
      </c>
      <c r="C95" s="27">
        <f>IF(B95="","",INDEX('01_Rohdaten'!B95:D95,'02_Eingaben'!$C$13))</f>
        <v/>
      </c>
      <c r="D95" s="27">
        <f>IF(C95="","",C95*'02_Eingaben'!$C$15)</f>
        <v/>
      </c>
      <c r="E95" s="27">
        <f>IF(D95="","",D95*'02_Eingaben'!$C$8)</f>
        <v/>
      </c>
      <c r="F95" s="27">
        <f>IF(E95="","",AVERAGE(INDEX($E$2:$E$3001,MAX(1,ROW()-1-'02_Eingaben'!$C$17)):INDEX($E$2:$E$3001,MIN('02_Eingaben'!$C$21,ROW()-1+'02_Eingaben'!$C$17))))</f>
        <v/>
      </c>
      <c r="G95" s="27">
        <f>IF(F95="","",F95-'02_Eingaben'!$C$10)</f>
        <v/>
      </c>
      <c r="H95">
        <f>IF(F95="","",IF(F95&lt;'02_Eingaben'!$C$18*'02_Eingaben'!$C$10,1,0))</f>
        <v/>
      </c>
      <c r="I95" s="27">
        <f>IF(OR(G95="",G96=""),"",(G95+G96)/2*(B96-B95))</f>
        <v/>
      </c>
      <c r="J95" s="27">
        <f>IF(B95="","",IF(B94&lt;'02_Eingaben'!$C$36,0,J94+I94/'02_Eingaben'!$C$8))</f>
        <v/>
      </c>
    </row>
    <row r="96">
      <c r="A96">
        <f>IF('01_Rohdaten'!A96="","",ROW()-1)</f>
        <v/>
      </c>
      <c r="B96" s="27">
        <f>IF('01_Rohdaten'!A96="","",'01_Rohdaten'!A96)</f>
        <v/>
      </c>
      <c r="C96" s="27">
        <f>IF(B96="","",INDEX('01_Rohdaten'!B96:D96,'02_Eingaben'!$C$13))</f>
        <v/>
      </c>
      <c r="D96" s="27">
        <f>IF(C96="","",C96*'02_Eingaben'!$C$15)</f>
        <v/>
      </c>
      <c r="E96" s="27">
        <f>IF(D96="","",D96*'02_Eingaben'!$C$8)</f>
        <v/>
      </c>
      <c r="F96" s="27">
        <f>IF(E96="","",AVERAGE(INDEX($E$2:$E$3001,MAX(1,ROW()-1-'02_Eingaben'!$C$17)):INDEX($E$2:$E$3001,MIN('02_Eingaben'!$C$21,ROW()-1+'02_Eingaben'!$C$17))))</f>
        <v/>
      </c>
      <c r="G96" s="27">
        <f>IF(F96="","",F96-'02_Eingaben'!$C$10)</f>
        <v/>
      </c>
      <c r="H96">
        <f>IF(F96="","",IF(F96&lt;'02_Eingaben'!$C$18*'02_Eingaben'!$C$10,1,0))</f>
        <v/>
      </c>
      <c r="I96" s="27">
        <f>IF(OR(G96="",G97=""),"",(G96+G97)/2*(B97-B96))</f>
        <v/>
      </c>
      <c r="J96" s="27">
        <f>IF(B96="","",IF(B95&lt;'02_Eingaben'!$C$36,0,J95+I95/'02_Eingaben'!$C$8))</f>
        <v/>
      </c>
    </row>
    <row r="97">
      <c r="A97">
        <f>IF('01_Rohdaten'!A97="","",ROW()-1)</f>
        <v/>
      </c>
      <c r="B97" s="27">
        <f>IF('01_Rohdaten'!A97="","",'01_Rohdaten'!A97)</f>
        <v/>
      </c>
      <c r="C97" s="27">
        <f>IF(B97="","",INDEX('01_Rohdaten'!B97:D97,'02_Eingaben'!$C$13))</f>
        <v/>
      </c>
      <c r="D97" s="27">
        <f>IF(C97="","",C97*'02_Eingaben'!$C$15)</f>
        <v/>
      </c>
      <c r="E97" s="27">
        <f>IF(D97="","",D97*'02_Eingaben'!$C$8)</f>
        <v/>
      </c>
      <c r="F97" s="27">
        <f>IF(E97="","",AVERAGE(INDEX($E$2:$E$3001,MAX(1,ROW()-1-'02_Eingaben'!$C$17)):INDEX($E$2:$E$3001,MIN('02_Eingaben'!$C$21,ROW()-1+'02_Eingaben'!$C$17))))</f>
        <v/>
      </c>
      <c r="G97" s="27">
        <f>IF(F97="","",F97-'02_Eingaben'!$C$10)</f>
        <v/>
      </c>
      <c r="H97">
        <f>IF(F97="","",IF(F97&lt;'02_Eingaben'!$C$18*'02_Eingaben'!$C$10,1,0))</f>
        <v/>
      </c>
      <c r="I97" s="27">
        <f>IF(OR(G97="",G98=""),"",(G97+G98)/2*(B98-B97))</f>
        <v/>
      </c>
      <c r="J97" s="27">
        <f>IF(B97="","",IF(B96&lt;'02_Eingaben'!$C$36,0,J96+I96/'02_Eingaben'!$C$8))</f>
        <v/>
      </c>
    </row>
    <row r="98">
      <c r="A98">
        <f>IF('01_Rohdaten'!A98="","",ROW()-1)</f>
        <v/>
      </c>
      <c r="B98" s="27">
        <f>IF('01_Rohdaten'!A98="","",'01_Rohdaten'!A98)</f>
        <v/>
      </c>
      <c r="C98" s="27">
        <f>IF(B98="","",INDEX('01_Rohdaten'!B98:D98,'02_Eingaben'!$C$13))</f>
        <v/>
      </c>
      <c r="D98" s="27">
        <f>IF(C98="","",C98*'02_Eingaben'!$C$15)</f>
        <v/>
      </c>
      <c r="E98" s="27">
        <f>IF(D98="","",D98*'02_Eingaben'!$C$8)</f>
        <v/>
      </c>
      <c r="F98" s="27">
        <f>IF(E98="","",AVERAGE(INDEX($E$2:$E$3001,MAX(1,ROW()-1-'02_Eingaben'!$C$17)):INDEX($E$2:$E$3001,MIN('02_Eingaben'!$C$21,ROW()-1+'02_Eingaben'!$C$17))))</f>
        <v/>
      </c>
      <c r="G98" s="27">
        <f>IF(F98="","",F98-'02_Eingaben'!$C$10)</f>
        <v/>
      </c>
      <c r="H98">
        <f>IF(F98="","",IF(F98&lt;'02_Eingaben'!$C$18*'02_Eingaben'!$C$10,1,0))</f>
        <v/>
      </c>
      <c r="I98" s="27">
        <f>IF(OR(G98="",G99=""),"",(G98+G99)/2*(B99-B98))</f>
        <v/>
      </c>
      <c r="J98" s="27">
        <f>IF(B98="","",IF(B97&lt;'02_Eingaben'!$C$36,0,J97+I97/'02_Eingaben'!$C$8))</f>
        <v/>
      </c>
    </row>
    <row r="99">
      <c r="A99">
        <f>IF('01_Rohdaten'!A99="","",ROW()-1)</f>
        <v/>
      </c>
      <c r="B99" s="27">
        <f>IF('01_Rohdaten'!A99="","",'01_Rohdaten'!A99)</f>
        <v/>
      </c>
      <c r="C99" s="27">
        <f>IF(B99="","",INDEX('01_Rohdaten'!B99:D99,'02_Eingaben'!$C$13))</f>
        <v/>
      </c>
      <c r="D99" s="27">
        <f>IF(C99="","",C99*'02_Eingaben'!$C$15)</f>
        <v/>
      </c>
      <c r="E99" s="27">
        <f>IF(D99="","",D99*'02_Eingaben'!$C$8)</f>
        <v/>
      </c>
      <c r="F99" s="27">
        <f>IF(E99="","",AVERAGE(INDEX($E$2:$E$3001,MAX(1,ROW()-1-'02_Eingaben'!$C$17)):INDEX($E$2:$E$3001,MIN('02_Eingaben'!$C$21,ROW()-1+'02_Eingaben'!$C$17))))</f>
        <v/>
      </c>
      <c r="G99" s="27">
        <f>IF(F99="","",F99-'02_Eingaben'!$C$10)</f>
        <v/>
      </c>
      <c r="H99">
        <f>IF(F99="","",IF(F99&lt;'02_Eingaben'!$C$18*'02_Eingaben'!$C$10,1,0))</f>
        <v/>
      </c>
      <c r="I99" s="27">
        <f>IF(OR(G99="",G100=""),"",(G99+G100)/2*(B100-B99))</f>
        <v/>
      </c>
      <c r="J99" s="27">
        <f>IF(B99="","",IF(B98&lt;'02_Eingaben'!$C$36,0,J98+I98/'02_Eingaben'!$C$8))</f>
        <v/>
      </c>
    </row>
    <row r="100">
      <c r="A100">
        <f>IF('01_Rohdaten'!A100="","",ROW()-1)</f>
        <v/>
      </c>
      <c r="B100" s="27">
        <f>IF('01_Rohdaten'!A100="","",'01_Rohdaten'!A100)</f>
        <v/>
      </c>
      <c r="C100" s="27">
        <f>IF(B100="","",INDEX('01_Rohdaten'!B100:D100,'02_Eingaben'!$C$13))</f>
        <v/>
      </c>
      <c r="D100" s="27">
        <f>IF(C100="","",C100*'02_Eingaben'!$C$15)</f>
        <v/>
      </c>
      <c r="E100" s="27">
        <f>IF(D100="","",D100*'02_Eingaben'!$C$8)</f>
        <v/>
      </c>
      <c r="F100" s="27">
        <f>IF(E100="","",AVERAGE(INDEX($E$2:$E$3001,MAX(1,ROW()-1-'02_Eingaben'!$C$17)):INDEX($E$2:$E$3001,MIN('02_Eingaben'!$C$21,ROW()-1+'02_Eingaben'!$C$17))))</f>
        <v/>
      </c>
      <c r="G100" s="27">
        <f>IF(F100="","",F100-'02_Eingaben'!$C$10)</f>
        <v/>
      </c>
      <c r="H100">
        <f>IF(F100="","",IF(F100&lt;'02_Eingaben'!$C$18*'02_Eingaben'!$C$10,1,0))</f>
        <v/>
      </c>
      <c r="I100" s="27">
        <f>IF(OR(G100="",G101=""),"",(G100+G101)/2*(B101-B100))</f>
        <v/>
      </c>
      <c r="J100" s="27">
        <f>IF(B100="","",IF(B99&lt;'02_Eingaben'!$C$36,0,J99+I99/'02_Eingaben'!$C$8))</f>
        <v/>
      </c>
    </row>
    <row r="101">
      <c r="A101">
        <f>IF('01_Rohdaten'!A101="","",ROW()-1)</f>
        <v/>
      </c>
      <c r="B101" s="27">
        <f>IF('01_Rohdaten'!A101="","",'01_Rohdaten'!A101)</f>
        <v/>
      </c>
      <c r="C101" s="27">
        <f>IF(B101="","",INDEX('01_Rohdaten'!B101:D101,'02_Eingaben'!$C$13))</f>
        <v/>
      </c>
      <c r="D101" s="27">
        <f>IF(C101="","",C101*'02_Eingaben'!$C$15)</f>
        <v/>
      </c>
      <c r="E101" s="27">
        <f>IF(D101="","",D101*'02_Eingaben'!$C$8)</f>
        <v/>
      </c>
      <c r="F101" s="27">
        <f>IF(E101="","",AVERAGE(INDEX($E$2:$E$3001,MAX(1,ROW()-1-'02_Eingaben'!$C$17)):INDEX($E$2:$E$3001,MIN('02_Eingaben'!$C$21,ROW()-1+'02_Eingaben'!$C$17))))</f>
        <v/>
      </c>
      <c r="G101" s="27">
        <f>IF(F101="","",F101-'02_Eingaben'!$C$10)</f>
        <v/>
      </c>
      <c r="H101">
        <f>IF(F101="","",IF(F101&lt;'02_Eingaben'!$C$18*'02_Eingaben'!$C$10,1,0))</f>
        <v/>
      </c>
      <c r="I101" s="27">
        <f>IF(OR(G101="",G102=""),"",(G101+G102)/2*(B102-B101))</f>
        <v/>
      </c>
      <c r="J101" s="27">
        <f>IF(B101="","",IF(B100&lt;'02_Eingaben'!$C$36,0,J100+I100/'02_Eingaben'!$C$8))</f>
        <v/>
      </c>
    </row>
    <row r="102">
      <c r="A102">
        <f>IF('01_Rohdaten'!A102="","",ROW()-1)</f>
        <v/>
      </c>
      <c r="B102" s="27">
        <f>IF('01_Rohdaten'!A102="","",'01_Rohdaten'!A102)</f>
        <v/>
      </c>
      <c r="C102" s="27">
        <f>IF(B102="","",INDEX('01_Rohdaten'!B102:D102,'02_Eingaben'!$C$13))</f>
        <v/>
      </c>
      <c r="D102" s="27">
        <f>IF(C102="","",C102*'02_Eingaben'!$C$15)</f>
        <v/>
      </c>
      <c r="E102" s="27">
        <f>IF(D102="","",D102*'02_Eingaben'!$C$8)</f>
        <v/>
      </c>
      <c r="F102" s="27">
        <f>IF(E102="","",AVERAGE(INDEX($E$2:$E$3001,MAX(1,ROW()-1-'02_Eingaben'!$C$17)):INDEX($E$2:$E$3001,MIN('02_Eingaben'!$C$21,ROW()-1+'02_Eingaben'!$C$17))))</f>
        <v/>
      </c>
      <c r="G102" s="27">
        <f>IF(F102="","",F102-'02_Eingaben'!$C$10)</f>
        <v/>
      </c>
      <c r="H102">
        <f>IF(F102="","",IF(F102&lt;'02_Eingaben'!$C$18*'02_Eingaben'!$C$10,1,0))</f>
        <v/>
      </c>
      <c r="I102" s="27">
        <f>IF(OR(G102="",G103=""),"",(G102+G103)/2*(B103-B102))</f>
        <v/>
      </c>
      <c r="J102" s="27">
        <f>IF(B102="","",IF(B101&lt;'02_Eingaben'!$C$36,0,J101+I101/'02_Eingaben'!$C$8))</f>
        <v/>
      </c>
    </row>
    <row r="103">
      <c r="A103">
        <f>IF('01_Rohdaten'!A103="","",ROW()-1)</f>
        <v/>
      </c>
      <c r="B103" s="27">
        <f>IF('01_Rohdaten'!A103="","",'01_Rohdaten'!A103)</f>
        <v/>
      </c>
      <c r="C103" s="27">
        <f>IF(B103="","",INDEX('01_Rohdaten'!B103:D103,'02_Eingaben'!$C$13))</f>
        <v/>
      </c>
      <c r="D103" s="27">
        <f>IF(C103="","",C103*'02_Eingaben'!$C$15)</f>
        <v/>
      </c>
      <c r="E103" s="27">
        <f>IF(D103="","",D103*'02_Eingaben'!$C$8)</f>
        <v/>
      </c>
      <c r="F103" s="27">
        <f>IF(E103="","",AVERAGE(INDEX($E$2:$E$3001,MAX(1,ROW()-1-'02_Eingaben'!$C$17)):INDEX($E$2:$E$3001,MIN('02_Eingaben'!$C$21,ROW()-1+'02_Eingaben'!$C$17))))</f>
        <v/>
      </c>
      <c r="G103" s="27">
        <f>IF(F103="","",F103-'02_Eingaben'!$C$10)</f>
        <v/>
      </c>
      <c r="H103">
        <f>IF(F103="","",IF(F103&lt;'02_Eingaben'!$C$18*'02_Eingaben'!$C$10,1,0))</f>
        <v/>
      </c>
      <c r="I103" s="27">
        <f>IF(OR(G103="",G104=""),"",(G103+G104)/2*(B104-B103))</f>
        <v/>
      </c>
      <c r="J103" s="27">
        <f>IF(B103="","",IF(B102&lt;'02_Eingaben'!$C$36,0,J102+I102/'02_Eingaben'!$C$8))</f>
        <v/>
      </c>
    </row>
    <row r="104">
      <c r="A104">
        <f>IF('01_Rohdaten'!A104="","",ROW()-1)</f>
        <v/>
      </c>
      <c r="B104" s="27">
        <f>IF('01_Rohdaten'!A104="","",'01_Rohdaten'!A104)</f>
        <v/>
      </c>
      <c r="C104" s="27">
        <f>IF(B104="","",INDEX('01_Rohdaten'!B104:D104,'02_Eingaben'!$C$13))</f>
        <v/>
      </c>
      <c r="D104" s="27">
        <f>IF(C104="","",C104*'02_Eingaben'!$C$15)</f>
        <v/>
      </c>
      <c r="E104" s="27">
        <f>IF(D104="","",D104*'02_Eingaben'!$C$8)</f>
        <v/>
      </c>
      <c r="F104" s="27">
        <f>IF(E104="","",AVERAGE(INDEX($E$2:$E$3001,MAX(1,ROW()-1-'02_Eingaben'!$C$17)):INDEX($E$2:$E$3001,MIN('02_Eingaben'!$C$21,ROW()-1+'02_Eingaben'!$C$17))))</f>
        <v/>
      </c>
      <c r="G104" s="27">
        <f>IF(F104="","",F104-'02_Eingaben'!$C$10)</f>
        <v/>
      </c>
      <c r="H104">
        <f>IF(F104="","",IF(F104&lt;'02_Eingaben'!$C$18*'02_Eingaben'!$C$10,1,0))</f>
        <v/>
      </c>
      <c r="I104" s="27">
        <f>IF(OR(G104="",G105=""),"",(G104+G105)/2*(B105-B104))</f>
        <v/>
      </c>
      <c r="J104" s="27">
        <f>IF(B104="","",IF(B103&lt;'02_Eingaben'!$C$36,0,J103+I103/'02_Eingaben'!$C$8))</f>
        <v/>
      </c>
    </row>
    <row r="105">
      <c r="A105">
        <f>IF('01_Rohdaten'!A105="","",ROW()-1)</f>
        <v/>
      </c>
      <c r="B105" s="27">
        <f>IF('01_Rohdaten'!A105="","",'01_Rohdaten'!A105)</f>
        <v/>
      </c>
      <c r="C105" s="27">
        <f>IF(B105="","",INDEX('01_Rohdaten'!B105:D105,'02_Eingaben'!$C$13))</f>
        <v/>
      </c>
      <c r="D105" s="27">
        <f>IF(C105="","",C105*'02_Eingaben'!$C$15)</f>
        <v/>
      </c>
      <c r="E105" s="27">
        <f>IF(D105="","",D105*'02_Eingaben'!$C$8)</f>
        <v/>
      </c>
      <c r="F105" s="27">
        <f>IF(E105="","",AVERAGE(INDEX($E$2:$E$3001,MAX(1,ROW()-1-'02_Eingaben'!$C$17)):INDEX($E$2:$E$3001,MIN('02_Eingaben'!$C$21,ROW()-1+'02_Eingaben'!$C$17))))</f>
        <v/>
      </c>
      <c r="G105" s="27">
        <f>IF(F105="","",F105-'02_Eingaben'!$C$10)</f>
        <v/>
      </c>
      <c r="H105">
        <f>IF(F105="","",IF(F105&lt;'02_Eingaben'!$C$18*'02_Eingaben'!$C$10,1,0))</f>
        <v/>
      </c>
      <c r="I105" s="27">
        <f>IF(OR(G105="",G106=""),"",(G105+G106)/2*(B106-B105))</f>
        <v/>
      </c>
      <c r="J105" s="27">
        <f>IF(B105="","",IF(B104&lt;'02_Eingaben'!$C$36,0,J104+I104/'02_Eingaben'!$C$8))</f>
        <v/>
      </c>
    </row>
    <row r="106">
      <c r="A106">
        <f>IF('01_Rohdaten'!A106="","",ROW()-1)</f>
        <v/>
      </c>
      <c r="B106" s="27">
        <f>IF('01_Rohdaten'!A106="","",'01_Rohdaten'!A106)</f>
        <v/>
      </c>
      <c r="C106" s="27">
        <f>IF(B106="","",INDEX('01_Rohdaten'!B106:D106,'02_Eingaben'!$C$13))</f>
        <v/>
      </c>
      <c r="D106" s="27">
        <f>IF(C106="","",C106*'02_Eingaben'!$C$15)</f>
        <v/>
      </c>
      <c r="E106" s="27">
        <f>IF(D106="","",D106*'02_Eingaben'!$C$8)</f>
        <v/>
      </c>
      <c r="F106" s="27">
        <f>IF(E106="","",AVERAGE(INDEX($E$2:$E$3001,MAX(1,ROW()-1-'02_Eingaben'!$C$17)):INDEX($E$2:$E$3001,MIN('02_Eingaben'!$C$21,ROW()-1+'02_Eingaben'!$C$17))))</f>
        <v/>
      </c>
      <c r="G106" s="27">
        <f>IF(F106="","",F106-'02_Eingaben'!$C$10)</f>
        <v/>
      </c>
      <c r="H106">
        <f>IF(F106="","",IF(F106&lt;'02_Eingaben'!$C$18*'02_Eingaben'!$C$10,1,0))</f>
        <v/>
      </c>
      <c r="I106" s="27">
        <f>IF(OR(G106="",G107=""),"",(G106+G107)/2*(B107-B106))</f>
        <v/>
      </c>
      <c r="J106" s="27">
        <f>IF(B106="","",IF(B105&lt;'02_Eingaben'!$C$36,0,J105+I105/'02_Eingaben'!$C$8))</f>
        <v/>
      </c>
    </row>
    <row r="107">
      <c r="A107">
        <f>IF('01_Rohdaten'!A107="","",ROW()-1)</f>
        <v/>
      </c>
      <c r="B107" s="27">
        <f>IF('01_Rohdaten'!A107="","",'01_Rohdaten'!A107)</f>
        <v/>
      </c>
      <c r="C107" s="27">
        <f>IF(B107="","",INDEX('01_Rohdaten'!B107:D107,'02_Eingaben'!$C$13))</f>
        <v/>
      </c>
      <c r="D107" s="27">
        <f>IF(C107="","",C107*'02_Eingaben'!$C$15)</f>
        <v/>
      </c>
      <c r="E107" s="27">
        <f>IF(D107="","",D107*'02_Eingaben'!$C$8)</f>
        <v/>
      </c>
      <c r="F107" s="27">
        <f>IF(E107="","",AVERAGE(INDEX($E$2:$E$3001,MAX(1,ROW()-1-'02_Eingaben'!$C$17)):INDEX($E$2:$E$3001,MIN('02_Eingaben'!$C$21,ROW()-1+'02_Eingaben'!$C$17))))</f>
        <v/>
      </c>
      <c r="G107" s="27">
        <f>IF(F107="","",F107-'02_Eingaben'!$C$10)</f>
        <v/>
      </c>
      <c r="H107">
        <f>IF(F107="","",IF(F107&lt;'02_Eingaben'!$C$18*'02_Eingaben'!$C$10,1,0))</f>
        <v/>
      </c>
      <c r="I107" s="27">
        <f>IF(OR(G107="",G108=""),"",(G107+G108)/2*(B108-B107))</f>
        <v/>
      </c>
      <c r="J107" s="27">
        <f>IF(B107="","",IF(B106&lt;'02_Eingaben'!$C$36,0,J106+I106/'02_Eingaben'!$C$8))</f>
        <v/>
      </c>
    </row>
    <row r="108">
      <c r="A108">
        <f>IF('01_Rohdaten'!A108="","",ROW()-1)</f>
        <v/>
      </c>
      <c r="B108" s="27">
        <f>IF('01_Rohdaten'!A108="","",'01_Rohdaten'!A108)</f>
        <v/>
      </c>
      <c r="C108" s="27">
        <f>IF(B108="","",INDEX('01_Rohdaten'!B108:D108,'02_Eingaben'!$C$13))</f>
        <v/>
      </c>
      <c r="D108" s="27">
        <f>IF(C108="","",C108*'02_Eingaben'!$C$15)</f>
        <v/>
      </c>
      <c r="E108" s="27">
        <f>IF(D108="","",D108*'02_Eingaben'!$C$8)</f>
        <v/>
      </c>
      <c r="F108" s="27">
        <f>IF(E108="","",AVERAGE(INDEX($E$2:$E$3001,MAX(1,ROW()-1-'02_Eingaben'!$C$17)):INDEX($E$2:$E$3001,MIN('02_Eingaben'!$C$21,ROW()-1+'02_Eingaben'!$C$17))))</f>
        <v/>
      </c>
      <c r="G108" s="27">
        <f>IF(F108="","",F108-'02_Eingaben'!$C$10)</f>
        <v/>
      </c>
      <c r="H108">
        <f>IF(F108="","",IF(F108&lt;'02_Eingaben'!$C$18*'02_Eingaben'!$C$10,1,0))</f>
        <v/>
      </c>
      <c r="I108" s="27">
        <f>IF(OR(G108="",G109=""),"",(G108+G109)/2*(B109-B108))</f>
        <v/>
      </c>
      <c r="J108" s="27">
        <f>IF(B108="","",IF(B107&lt;'02_Eingaben'!$C$36,0,J107+I107/'02_Eingaben'!$C$8))</f>
        <v/>
      </c>
    </row>
    <row r="109">
      <c r="A109">
        <f>IF('01_Rohdaten'!A109="","",ROW()-1)</f>
        <v/>
      </c>
      <c r="B109" s="27">
        <f>IF('01_Rohdaten'!A109="","",'01_Rohdaten'!A109)</f>
        <v/>
      </c>
      <c r="C109" s="27">
        <f>IF(B109="","",INDEX('01_Rohdaten'!B109:D109,'02_Eingaben'!$C$13))</f>
        <v/>
      </c>
      <c r="D109" s="27">
        <f>IF(C109="","",C109*'02_Eingaben'!$C$15)</f>
        <v/>
      </c>
      <c r="E109" s="27">
        <f>IF(D109="","",D109*'02_Eingaben'!$C$8)</f>
        <v/>
      </c>
      <c r="F109" s="27">
        <f>IF(E109="","",AVERAGE(INDEX($E$2:$E$3001,MAX(1,ROW()-1-'02_Eingaben'!$C$17)):INDEX($E$2:$E$3001,MIN('02_Eingaben'!$C$21,ROW()-1+'02_Eingaben'!$C$17))))</f>
        <v/>
      </c>
      <c r="G109" s="27">
        <f>IF(F109="","",F109-'02_Eingaben'!$C$10)</f>
        <v/>
      </c>
      <c r="H109">
        <f>IF(F109="","",IF(F109&lt;'02_Eingaben'!$C$18*'02_Eingaben'!$C$10,1,0))</f>
        <v/>
      </c>
      <c r="I109" s="27">
        <f>IF(OR(G109="",G110=""),"",(G109+G110)/2*(B110-B109))</f>
        <v/>
      </c>
      <c r="J109" s="27">
        <f>IF(B109="","",IF(B108&lt;'02_Eingaben'!$C$36,0,J108+I108/'02_Eingaben'!$C$8))</f>
        <v/>
      </c>
    </row>
    <row r="110">
      <c r="A110">
        <f>IF('01_Rohdaten'!A110="","",ROW()-1)</f>
        <v/>
      </c>
      <c r="B110" s="27">
        <f>IF('01_Rohdaten'!A110="","",'01_Rohdaten'!A110)</f>
        <v/>
      </c>
      <c r="C110" s="27">
        <f>IF(B110="","",INDEX('01_Rohdaten'!B110:D110,'02_Eingaben'!$C$13))</f>
        <v/>
      </c>
      <c r="D110" s="27">
        <f>IF(C110="","",C110*'02_Eingaben'!$C$15)</f>
        <v/>
      </c>
      <c r="E110" s="27">
        <f>IF(D110="","",D110*'02_Eingaben'!$C$8)</f>
        <v/>
      </c>
      <c r="F110" s="27">
        <f>IF(E110="","",AVERAGE(INDEX($E$2:$E$3001,MAX(1,ROW()-1-'02_Eingaben'!$C$17)):INDEX($E$2:$E$3001,MIN('02_Eingaben'!$C$21,ROW()-1+'02_Eingaben'!$C$17))))</f>
        <v/>
      </c>
      <c r="G110" s="27">
        <f>IF(F110="","",F110-'02_Eingaben'!$C$10)</f>
        <v/>
      </c>
      <c r="H110">
        <f>IF(F110="","",IF(F110&lt;'02_Eingaben'!$C$18*'02_Eingaben'!$C$10,1,0))</f>
        <v/>
      </c>
      <c r="I110" s="27">
        <f>IF(OR(G110="",G111=""),"",(G110+G111)/2*(B111-B110))</f>
        <v/>
      </c>
      <c r="J110" s="27">
        <f>IF(B110="","",IF(B109&lt;'02_Eingaben'!$C$36,0,J109+I109/'02_Eingaben'!$C$8))</f>
        <v/>
      </c>
    </row>
    <row r="111">
      <c r="A111">
        <f>IF('01_Rohdaten'!A111="","",ROW()-1)</f>
        <v/>
      </c>
      <c r="B111" s="27">
        <f>IF('01_Rohdaten'!A111="","",'01_Rohdaten'!A111)</f>
        <v/>
      </c>
      <c r="C111" s="27">
        <f>IF(B111="","",INDEX('01_Rohdaten'!B111:D111,'02_Eingaben'!$C$13))</f>
        <v/>
      </c>
      <c r="D111" s="27">
        <f>IF(C111="","",C111*'02_Eingaben'!$C$15)</f>
        <v/>
      </c>
      <c r="E111" s="27">
        <f>IF(D111="","",D111*'02_Eingaben'!$C$8)</f>
        <v/>
      </c>
      <c r="F111" s="27">
        <f>IF(E111="","",AVERAGE(INDEX($E$2:$E$3001,MAX(1,ROW()-1-'02_Eingaben'!$C$17)):INDEX($E$2:$E$3001,MIN('02_Eingaben'!$C$21,ROW()-1+'02_Eingaben'!$C$17))))</f>
        <v/>
      </c>
      <c r="G111" s="27">
        <f>IF(F111="","",F111-'02_Eingaben'!$C$10)</f>
        <v/>
      </c>
      <c r="H111">
        <f>IF(F111="","",IF(F111&lt;'02_Eingaben'!$C$18*'02_Eingaben'!$C$10,1,0))</f>
        <v/>
      </c>
      <c r="I111" s="27">
        <f>IF(OR(G111="",G112=""),"",(G111+G112)/2*(B112-B111))</f>
        <v/>
      </c>
      <c r="J111" s="27">
        <f>IF(B111="","",IF(B110&lt;'02_Eingaben'!$C$36,0,J110+I110/'02_Eingaben'!$C$8))</f>
        <v/>
      </c>
    </row>
    <row r="112">
      <c r="A112">
        <f>IF('01_Rohdaten'!A112="","",ROW()-1)</f>
        <v/>
      </c>
      <c r="B112" s="27">
        <f>IF('01_Rohdaten'!A112="","",'01_Rohdaten'!A112)</f>
        <v/>
      </c>
      <c r="C112" s="27">
        <f>IF(B112="","",INDEX('01_Rohdaten'!B112:D112,'02_Eingaben'!$C$13))</f>
        <v/>
      </c>
      <c r="D112" s="27">
        <f>IF(C112="","",C112*'02_Eingaben'!$C$15)</f>
        <v/>
      </c>
      <c r="E112" s="27">
        <f>IF(D112="","",D112*'02_Eingaben'!$C$8)</f>
        <v/>
      </c>
      <c r="F112" s="27">
        <f>IF(E112="","",AVERAGE(INDEX($E$2:$E$3001,MAX(1,ROW()-1-'02_Eingaben'!$C$17)):INDEX($E$2:$E$3001,MIN('02_Eingaben'!$C$21,ROW()-1+'02_Eingaben'!$C$17))))</f>
        <v/>
      </c>
      <c r="G112" s="27">
        <f>IF(F112="","",F112-'02_Eingaben'!$C$10)</f>
        <v/>
      </c>
      <c r="H112">
        <f>IF(F112="","",IF(F112&lt;'02_Eingaben'!$C$18*'02_Eingaben'!$C$10,1,0))</f>
        <v/>
      </c>
      <c r="I112" s="27">
        <f>IF(OR(G112="",G113=""),"",(G112+G113)/2*(B113-B112))</f>
        <v/>
      </c>
      <c r="J112" s="27">
        <f>IF(B112="","",IF(B111&lt;'02_Eingaben'!$C$36,0,J111+I111/'02_Eingaben'!$C$8))</f>
        <v/>
      </c>
    </row>
    <row r="113">
      <c r="A113">
        <f>IF('01_Rohdaten'!A113="","",ROW()-1)</f>
        <v/>
      </c>
      <c r="B113" s="27">
        <f>IF('01_Rohdaten'!A113="","",'01_Rohdaten'!A113)</f>
        <v/>
      </c>
      <c r="C113" s="27">
        <f>IF(B113="","",INDEX('01_Rohdaten'!B113:D113,'02_Eingaben'!$C$13))</f>
        <v/>
      </c>
      <c r="D113" s="27">
        <f>IF(C113="","",C113*'02_Eingaben'!$C$15)</f>
        <v/>
      </c>
      <c r="E113" s="27">
        <f>IF(D113="","",D113*'02_Eingaben'!$C$8)</f>
        <v/>
      </c>
      <c r="F113" s="27">
        <f>IF(E113="","",AVERAGE(INDEX($E$2:$E$3001,MAX(1,ROW()-1-'02_Eingaben'!$C$17)):INDEX($E$2:$E$3001,MIN('02_Eingaben'!$C$21,ROW()-1+'02_Eingaben'!$C$17))))</f>
        <v/>
      </c>
      <c r="G113" s="27">
        <f>IF(F113="","",F113-'02_Eingaben'!$C$10)</f>
        <v/>
      </c>
      <c r="H113">
        <f>IF(F113="","",IF(F113&lt;'02_Eingaben'!$C$18*'02_Eingaben'!$C$10,1,0))</f>
        <v/>
      </c>
      <c r="I113" s="27">
        <f>IF(OR(G113="",G114=""),"",(G113+G114)/2*(B114-B113))</f>
        <v/>
      </c>
      <c r="J113" s="27">
        <f>IF(B113="","",IF(B112&lt;'02_Eingaben'!$C$36,0,J112+I112/'02_Eingaben'!$C$8))</f>
        <v/>
      </c>
    </row>
    <row r="114">
      <c r="A114">
        <f>IF('01_Rohdaten'!A114="","",ROW()-1)</f>
        <v/>
      </c>
      <c r="B114" s="27">
        <f>IF('01_Rohdaten'!A114="","",'01_Rohdaten'!A114)</f>
        <v/>
      </c>
      <c r="C114" s="27">
        <f>IF(B114="","",INDEX('01_Rohdaten'!B114:D114,'02_Eingaben'!$C$13))</f>
        <v/>
      </c>
      <c r="D114" s="27">
        <f>IF(C114="","",C114*'02_Eingaben'!$C$15)</f>
        <v/>
      </c>
      <c r="E114" s="27">
        <f>IF(D114="","",D114*'02_Eingaben'!$C$8)</f>
        <v/>
      </c>
      <c r="F114" s="27">
        <f>IF(E114="","",AVERAGE(INDEX($E$2:$E$3001,MAX(1,ROW()-1-'02_Eingaben'!$C$17)):INDEX($E$2:$E$3001,MIN('02_Eingaben'!$C$21,ROW()-1+'02_Eingaben'!$C$17))))</f>
        <v/>
      </c>
      <c r="G114" s="27">
        <f>IF(F114="","",F114-'02_Eingaben'!$C$10)</f>
        <v/>
      </c>
      <c r="H114">
        <f>IF(F114="","",IF(F114&lt;'02_Eingaben'!$C$18*'02_Eingaben'!$C$10,1,0))</f>
        <v/>
      </c>
      <c r="I114" s="27">
        <f>IF(OR(G114="",G115=""),"",(G114+G115)/2*(B115-B114))</f>
        <v/>
      </c>
      <c r="J114" s="27">
        <f>IF(B114="","",IF(B113&lt;'02_Eingaben'!$C$36,0,J113+I113/'02_Eingaben'!$C$8))</f>
        <v/>
      </c>
    </row>
    <row r="115">
      <c r="A115">
        <f>IF('01_Rohdaten'!A115="","",ROW()-1)</f>
        <v/>
      </c>
      <c r="B115" s="27">
        <f>IF('01_Rohdaten'!A115="","",'01_Rohdaten'!A115)</f>
        <v/>
      </c>
      <c r="C115" s="27">
        <f>IF(B115="","",INDEX('01_Rohdaten'!B115:D115,'02_Eingaben'!$C$13))</f>
        <v/>
      </c>
      <c r="D115" s="27">
        <f>IF(C115="","",C115*'02_Eingaben'!$C$15)</f>
        <v/>
      </c>
      <c r="E115" s="27">
        <f>IF(D115="","",D115*'02_Eingaben'!$C$8)</f>
        <v/>
      </c>
      <c r="F115" s="27">
        <f>IF(E115="","",AVERAGE(INDEX($E$2:$E$3001,MAX(1,ROW()-1-'02_Eingaben'!$C$17)):INDEX($E$2:$E$3001,MIN('02_Eingaben'!$C$21,ROW()-1+'02_Eingaben'!$C$17))))</f>
        <v/>
      </c>
      <c r="G115" s="27">
        <f>IF(F115="","",F115-'02_Eingaben'!$C$10)</f>
        <v/>
      </c>
      <c r="H115">
        <f>IF(F115="","",IF(F115&lt;'02_Eingaben'!$C$18*'02_Eingaben'!$C$10,1,0))</f>
        <v/>
      </c>
      <c r="I115" s="27">
        <f>IF(OR(G115="",G116=""),"",(G115+G116)/2*(B116-B115))</f>
        <v/>
      </c>
      <c r="J115" s="27">
        <f>IF(B115="","",IF(B114&lt;'02_Eingaben'!$C$36,0,J114+I114/'02_Eingaben'!$C$8))</f>
        <v/>
      </c>
    </row>
    <row r="116">
      <c r="A116">
        <f>IF('01_Rohdaten'!A116="","",ROW()-1)</f>
        <v/>
      </c>
      <c r="B116" s="27">
        <f>IF('01_Rohdaten'!A116="","",'01_Rohdaten'!A116)</f>
        <v/>
      </c>
      <c r="C116" s="27">
        <f>IF(B116="","",INDEX('01_Rohdaten'!B116:D116,'02_Eingaben'!$C$13))</f>
        <v/>
      </c>
      <c r="D116" s="27">
        <f>IF(C116="","",C116*'02_Eingaben'!$C$15)</f>
        <v/>
      </c>
      <c r="E116" s="27">
        <f>IF(D116="","",D116*'02_Eingaben'!$C$8)</f>
        <v/>
      </c>
      <c r="F116" s="27">
        <f>IF(E116="","",AVERAGE(INDEX($E$2:$E$3001,MAX(1,ROW()-1-'02_Eingaben'!$C$17)):INDEX($E$2:$E$3001,MIN('02_Eingaben'!$C$21,ROW()-1+'02_Eingaben'!$C$17))))</f>
        <v/>
      </c>
      <c r="G116" s="27">
        <f>IF(F116="","",F116-'02_Eingaben'!$C$10)</f>
        <v/>
      </c>
      <c r="H116">
        <f>IF(F116="","",IF(F116&lt;'02_Eingaben'!$C$18*'02_Eingaben'!$C$10,1,0))</f>
        <v/>
      </c>
      <c r="I116" s="27">
        <f>IF(OR(G116="",G117=""),"",(G116+G117)/2*(B117-B116))</f>
        <v/>
      </c>
      <c r="J116" s="27">
        <f>IF(B116="","",IF(B115&lt;'02_Eingaben'!$C$36,0,J115+I115/'02_Eingaben'!$C$8))</f>
        <v/>
      </c>
    </row>
    <row r="117">
      <c r="A117">
        <f>IF('01_Rohdaten'!A117="","",ROW()-1)</f>
        <v/>
      </c>
      <c r="B117" s="27">
        <f>IF('01_Rohdaten'!A117="","",'01_Rohdaten'!A117)</f>
        <v/>
      </c>
      <c r="C117" s="27">
        <f>IF(B117="","",INDEX('01_Rohdaten'!B117:D117,'02_Eingaben'!$C$13))</f>
        <v/>
      </c>
      <c r="D117" s="27">
        <f>IF(C117="","",C117*'02_Eingaben'!$C$15)</f>
        <v/>
      </c>
      <c r="E117" s="27">
        <f>IF(D117="","",D117*'02_Eingaben'!$C$8)</f>
        <v/>
      </c>
      <c r="F117" s="27">
        <f>IF(E117="","",AVERAGE(INDEX($E$2:$E$3001,MAX(1,ROW()-1-'02_Eingaben'!$C$17)):INDEX($E$2:$E$3001,MIN('02_Eingaben'!$C$21,ROW()-1+'02_Eingaben'!$C$17))))</f>
        <v/>
      </c>
      <c r="G117" s="27">
        <f>IF(F117="","",F117-'02_Eingaben'!$C$10)</f>
        <v/>
      </c>
      <c r="H117">
        <f>IF(F117="","",IF(F117&lt;'02_Eingaben'!$C$18*'02_Eingaben'!$C$10,1,0))</f>
        <v/>
      </c>
      <c r="I117" s="27">
        <f>IF(OR(G117="",G118=""),"",(G117+G118)/2*(B118-B117))</f>
        <v/>
      </c>
      <c r="J117" s="27">
        <f>IF(B117="","",IF(B116&lt;'02_Eingaben'!$C$36,0,J116+I116/'02_Eingaben'!$C$8))</f>
        <v/>
      </c>
    </row>
    <row r="118">
      <c r="A118">
        <f>IF('01_Rohdaten'!A118="","",ROW()-1)</f>
        <v/>
      </c>
      <c r="B118" s="27">
        <f>IF('01_Rohdaten'!A118="","",'01_Rohdaten'!A118)</f>
        <v/>
      </c>
      <c r="C118" s="27">
        <f>IF(B118="","",INDEX('01_Rohdaten'!B118:D118,'02_Eingaben'!$C$13))</f>
        <v/>
      </c>
      <c r="D118" s="27">
        <f>IF(C118="","",C118*'02_Eingaben'!$C$15)</f>
        <v/>
      </c>
      <c r="E118" s="27">
        <f>IF(D118="","",D118*'02_Eingaben'!$C$8)</f>
        <v/>
      </c>
      <c r="F118" s="27">
        <f>IF(E118="","",AVERAGE(INDEX($E$2:$E$3001,MAX(1,ROW()-1-'02_Eingaben'!$C$17)):INDEX($E$2:$E$3001,MIN('02_Eingaben'!$C$21,ROW()-1+'02_Eingaben'!$C$17))))</f>
        <v/>
      </c>
      <c r="G118" s="27">
        <f>IF(F118="","",F118-'02_Eingaben'!$C$10)</f>
        <v/>
      </c>
      <c r="H118">
        <f>IF(F118="","",IF(F118&lt;'02_Eingaben'!$C$18*'02_Eingaben'!$C$10,1,0))</f>
        <v/>
      </c>
      <c r="I118" s="27">
        <f>IF(OR(G118="",G119=""),"",(G118+G119)/2*(B119-B118))</f>
        <v/>
      </c>
      <c r="J118" s="27">
        <f>IF(B118="","",IF(B117&lt;'02_Eingaben'!$C$36,0,J117+I117/'02_Eingaben'!$C$8))</f>
        <v/>
      </c>
    </row>
    <row r="119">
      <c r="A119">
        <f>IF('01_Rohdaten'!A119="","",ROW()-1)</f>
        <v/>
      </c>
      <c r="B119" s="27">
        <f>IF('01_Rohdaten'!A119="","",'01_Rohdaten'!A119)</f>
        <v/>
      </c>
      <c r="C119" s="27">
        <f>IF(B119="","",INDEX('01_Rohdaten'!B119:D119,'02_Eingaben'!$C$13))</f>
        <v/>
      </c>
      <c r="D119" s="27">
        <f>IF(C119="","",C119*'02_Eingaben'!$C$15)</f>
        <v/>
      </c>
      <c r="E119" s="27">
        <f>IF(D119="","",D119*'02_Eingaben'!$C$8)</f>
        <v/>
      </c>
      <c r="F119" s="27">
        <f>IF(E119="","",AVERAGE(INDEX($E$2:$E$3001,MAX(1,ROW()-1-'02_Eingaben'!$C$17)):INDEX($E$2:$E$3001,MIN('02_Eingaben'!$C$21,ROW()-1+'02_Eingaben'!$C$17))))</f>
        <v/>
      </c>
      <c r="G119" s="27">
        <f>IF(F119="","",F119-'02_Eingaben'!$C$10)</f>
        <v/>
      </c>
      <c r="H119">
        <f>IF(F119="","",IF(F119&lt;'02_Eingaben'!$C$18*'02_Eingaben'!$C$10,1,0))</f>
        <v/>
      </c>
      <c r="I119" s="27">
        <f>IF(OR(G119="",G120=""),"",(G119+G120)/2*(B120-B119))</f>
        <v/>
      </c>
      <c r="J119" s="27">
        <f>IF(B119="","",IF(B118&lt;'02_Eingaben'!$C$36,0,J118+I118/'02_Eingaben'!$C$8))</f>
        <v/>
      </c>
    </row>
    <row r="120">
      <c r="A120">
        <f>IF('01_Rohdaten'!A120="","",ROW()-1)</f>
        <v/>
      </c>
      <c r="B120" s="27">
        <f>IF('01_Rohdaten'!A120="","",'01_Rohdaten'!A120)</f>
        <v/>
      </c>
      <c r="C120" s="27">
        <f>IF(B120="","",INDEX('01_Rohdaten'!B120:D120,'02_Eingaben'!$C$13))</f>
        <v/>
      </c>
      <c r="D120" s="27">
        <f>IF(C120="","",C120*'02_Eingaben'!$C$15)</f>
        <v/>
      </c>
      <c r="E120" s="27">
        <f>IF(D120="","",D120*'02_Eingaben'!$C$8)</f>
        <v/>
      </c>
      <c r="F120" s="27">
        <f>IF(E120="","",AVERAGE(INDEX($E$2:$E$3001,MAX(1,ROW()-1-'02_Eingaben'!$C$17)):INDEX($E$2:$E$3001,MIN('02_Eingaben'!$C$21,ROW()-1+'02_Eingaben'!$C$17))))</f>
        <v/>
      </c>
      <c r="G120" s="27">
        <f>IF(F120="","",F120-'02_Eingaben'!$C$10)</f>
        <v/>
      </c>
      <c r="H120">
        <f>IF(F120="","",IF(F120&lt;'02_Eingaben'!$C$18*'02_Eingaben'!$C$10,1,0))</f>
        <v/>
      </c>
      <c r="I120" s="27">
        <f>IF(OR(G120="",G121=""),"",(G120+G121)/2*(B121-B120))</f>
        <v/>
      </c>
      <c r="J120" s="27">
        <f>IF(B120="","",IF(B119&lt;'02_Eingaben'!$C$36,0,J119+I119/'02_Eingaben'!$C$8))</f>
        <v/>
      </c>
    </row>
    <row r="121">
      <c r="A121">
        <f>IF('01_Rohdaten'!A121="","",ROW()-1)</f>
        <v/>
      </c>
      <c r="B121" s="27">
        <f>IF('01_Rohdaten'!A121="","",'01_Rohdaten'!A121)</f>
        <v/>
      </c>
      <c r="C121" s="27">
        <f>IF(B121="","",INDEX('01_Rohdaten'!B121:D121,'02_Eingaben'!$C$13))</f>
        <v/>
      </c>
      <c r="D121" s="27">
        <f>IF(C121="","",C121*'02_Eingaben'!$C$15)</f>
        <v/>
      </c>
      <c r="E121" s="27">
        <f>IF(D121="","",D121*'02_Eingaben'!$C$8)</f>
        <v/>
      </c>
      <c r="F121" s="27">
        <f>IF(E121="","",AVERAGE(INDEX($E$2:$E$3001,MAX(1,ROW()-1-'02_Eingaben'!$C$17)):INDEX($E$2:$E$3001,MIN('02_Eingaben'!$C$21,ROW()-1+'02_Eingaben'!$C$17))))</f>
        <v/>
      </c>
      <c r="G121" s="27">
        <f>IF(F121="","",F121-'02_Eingaben'!$C$10)</f>
        <v/>
      </c>
      <c r="H121">
        <f>IF(F121="","",IF(F121&lt;'02_Eingaben'!$C$18*'02_Eingaben'!$C$10,1,0))</f>
        <v/>
      </c>
      <c r="I121" s="27">
        <f>IF(OR(G121="",G122=""),"",(G121+G122)/2*(B122-B121))</f>
        <v/>
      </c>
      <c r="J121" s="27">
        <f>IF(B121="","",IF(B120&lt;'02_Eingaben'!$C$36,0,J120+I120/'02_Eingaben'!$C$8))</f>
        <v/>
      </c>
    </row>
    <row r="122">
      <c r="A122">
        <f>IF('01_Rohdaten'!A122="","",ROW()-1)</f>
        <v/>
      </c>
      <c r="B122" s="27">
        <f>IF('01_Rohdaten'!A122="","",'01_Rohdaten'!A122)</f>
        <v/>
      </c>
      <c r="C122" s="27">
        <f>IF(B122="","",INDEX('01_Rohdaten'!B122:D122,'02_Eingaben'!$C$13))</f>
        <v/>
      </c>
      <c r="D122" s="27">
        <f>IF(C122="","",C122*'02_Eingaben'!$C$15)</f>
        <v/>
      </c>
      <c r="E122" s="27">
        <f>IF(D122="","",D122*'02_Eingaben'!$C$8)</f>
        <v/>
      </c>
      <c r="F122" s="27">
        <f>IF(E122="","",AVERAGE(INDEX($E$2:$E$3001,MAX(1,ROW()-1-'02_Eingaben'!$C$17)):INDEX($E$2:$E$3001,MIN('02_Eingaben'!$C$21,ROW()-1+'02_Eingaben'!$C$17))))</f>
        <v/>
      </c>
      <c r="G122" s="27">
        <f>IF(F122="","",F122-'02_Eingaben'!$C$10)</f>
        <v/>
      </c>
      <c r="H122">
        <f>IF(F122="","",IF(F122&lt;'02_Eingaben'!$C$18*'02_Eingaben'!$C$10,1,0))</f>
        <v/>
      </c>
      <c r="I122" s="27">
        <f>IF(OR(G122="",G123=""),"",(G122+G123)/2*(B123-B122))</f>
        <v/>
      </c>
      <c r="J122" s="27">
        <f>IF(B122="","",IF(B121&lt;'02_Eingaben'!$C$36,0,J121+I121/'02_Eingaben'!$C$8))</f>
        <v/>
      </c>
    </row>
    <row r="123">
      <c r="A123">
        <f>IF('01_Rohdaten'!A123="","",ROW()-1)</f>
        <v/>
      </c>
      <c r="B123" s="27">
        <f>IF('01_Rohdaten'!A123="","",'01_Rohdaten'!A123)</f>
        <v/>
      </c>
      <c r="C123" s="27">
        <f>IF(B123="","",INDEX('01_Rohdaten'!B123:D123,'02_Eingaben'!$C$13))</f>
        <v/>
      </c>
      <c r="D123" s="27">
        <f>IF(C123="","",C123*'02_Eingaben'!$C$15)</f>
        <v/>
      </c>
      <c r="E123" s="27">
        <f>IF(D123="","",D123*'02_Eingaben'!$C$8)</f>
        <v/>
      </c>
      <c r="F123" s="27">
        <f>IF(E123="","",AVERAGE(INDEX($E$2:$E$3001,MAX(1,ROW()-1-'02_Eingaben'!$C$17)):INDEX($E$2:$E$3001,MIN('02_Eingaben'!$C$21,ROW()-1+'02_Eingaben'!$C$17))))</f>
        <v/>
      </c>
      <c r="G123" s="27">
        <f>IF(F123="","",F123-'02_Eingaben'!$C$10)</f>
        <v/>
      </c>
      <c r="H123">
        <f>IF(F123="","",IF(F123&lt;'02_Eingaben'!$C$18*'02_Eingaben'!$C$10,1,0))</f>
        <v/>
      </c>
      <c r="I123" s="27">
        <f>IF(OR(G123="",G124=""),"",(G123+G124)/2*(B124-B123))</f>
        <v/>
      </c>
      <c r="J123" s="27">
        <f>IF(B123="","",IF(B122&lt;'02_Eingaben'!$C$36,0,J122+I122/'02_Eingaben'!$C$8))</f>
        <v/>
      </c>
    </row>
    <row r="124">
      <c r="A124">
        <f>IF('01_Rohdaten'!A124="","",ROW()-1)</f>
        <v/>
      </c>
      <c r="B124" s="27">
        <f>IF('01_Rohdaten'!A124="","",'01_Rohdaten'!A124)</f>
        <v/>
      </c>
      <c r="C124" s="27">
        <f>IF(B124="","",INDEX('01_Rohdaten'!B124:D124,'02_Eingaben'!$C$13))</f>
        <v/>
      </c>
      <c r="D124" s="27">
        <f>IF(C124="","",C124*'02_Eingaben'!$C$15)</f>
        <v/>
      </c>
      <c r="E124" s="27">
        <f>IF(D124="","",D124*'02_Eingaben'!$C$8)</f>
        <v/>
      </c>
      <c r="F124" s="27">
        <f>IF(E124="","",AVERAGE(INDEX($E$2:$E$3001,MAX(1,ROW()-1-'02_Eingaben'!$C$17)):INDEX($E$2:$E$3001,MIN('02_Eingaben'!$C$21,ROW()-1+'02_Eingaben'!$C$17))))</f>
        <v/>
      </c>
      <c r="G124" s="27">
        <f>IF(F124="","",F124-'02_Eingaben'!$C$10)</f>
        <v/>
      </c>
      <c r="H124">
        <f>IF(F124="","",IF(F124&lt;'02_Eingaben'!$C$18*'02_Eingaben'!$C$10,1,0))</f>
        <v/>
      </c>
      <c r="I124" s="27">
        <f>IF(OR(G124="",G125=""),"",(G124+G125)/2*(B125-B124))</f>
        <v/>
      </c>
      <c r="J124" s="27">
        <f>IF(B124="","",IF(B123&lt;'02_Eingaben'!$C$36,0,J123+I123/'02_Eingaben'!$C$8))</f>
        <v/>
      </c>
    </row>
    <row r="125">
      <c r="A125">
        <f>IF('01_Rohdaten'!A125="","",ROW()-1)</f>
        <v/>
      </c>
      <c r="B125" s="27">
        <f>IF('01_Rohdaten'!A125="","",'01_Rohdaten'!A125)</f>
        <v/>
      </c>
      <c r="C125" s="27">
        <f>IF(B125="","",INDEX('01_Rohdaten'!B125:D125,'02_Eingaben'!$C$13))</f>
        <v/>
      </c>
      <c r="D125" s="27">
        <f>IF(C125="","",C125*'02_Eingaben'!$C$15)</f>
        <v/>
      </c>
      <c r="E125" s="27">
        <f>IF(D125="","",D125*'02_Eingaben'!$C$8)</f>
        <v/>
      </c>
      <c r="F125" s="27">
        <f>IF(E125="","",AVERAGE(INDEX($E$2:$E$3001,MAX(1,ROW()-1-'02_Eingaben'!$C$17)):INDEX($E$2:$E$3001,MIN('02_Eingaben'!$C$21,ROW()-1+'02_Eingaben'!$C$17))))</f>
        <v/>
      </c>
      <c r="G125" s="27">
        <f>IF(F125="","",F125-'02_Eingaben'!$C$10)</f>
        <v/>
      </c>
      <c r="H125">
        <f>IF(F125="","",IF(F125&lt;'02_Eingaben'!$C$18*'02_Eingaben'!$C$10,1,0))</f>
        <v/>
      </c>
      <c r="I125" s="27">
        <f>IF(OR(G125="",G126=""),"",(G125+G126)/2*(B126-B125))</f>
        <v/>
      </c>
      <c r="J125" s="27">
        <f>IF(B125="","",IF(B124&lt;'02_Eingaben'!$C$36,0,J124+I124/'02_Eingaben'!$C$8))</f>
        <v/>
      </c>
    </row>
    <row r="126">
      <c r="A126">
        <f>IF('01_Rohdaten'!A126="","",ROW()-1)</f>
        <v/>
      </c>
      <c r="B126" s="27">
        <f>IF('01_Rohdaten'!A126="","",'01_Rohdaten'!A126)</f>
        <v/>
      </c>
      <c r="C126" s="27">
        <f>IF(B126="","",INDEX('01_Rohdaten'!B126:D126,'02_Eingaben'!$C$13))</f>
        <v/>
      </c>
      <c r="D126" s="27">
        <f>IF(C126="","",C126*'02_Eingaben'!$C$15)</f>
        <v/>
      </c>
      <c r="E126" s="27">
        <f>IF(D126="","",D126*'02_Eingaben'!$C$8)</f>
        <v/>
      </c>
      <c r="F126" s="27">
        <f>IF(E126="","",AVERAGE(INDEX($E$2:$E$3001,MAX(1,ROW()-1-'02_Eingaben'!$C$17)):INDEX($E$2:$E$3001,MIN('02_Eingaben'!$C$21,ROW()-1+'02_Eingaben'!$C$17))))</f>
        <v/>
      </c>
      <c r="G126" s="27">
        <f>IF(F126="","",F126-'02_Eingaben'!$C$10)</f>
        <v/>
      </c>
      <c r="H126">
        <f>IF(F126="","",IF(F126&lt;'02_Eingaben'!$C$18*'02_Eingaben'!$C$10,1,0))</f>
        <v/>
      </c>
      <c r="I126" s="27">
        <f>IF(OR(G126="",G127=""),"",(G126+G127)/2*(B127-B126))</f>
        <v/>
      </c>
      <c r="J126" s="27">
        <f>IF(B126="","",IF(B125&lt;'02_Eingaben'!$C$36,0,J125+I125/'02_Eingaben'!$C$8))</f>
        <v/>
      </c>
    </row>
    <row r="127">
      <c r="A127">
        <f>IF('01_Rohdaten'!A127="","",ROW()-1)</f>
        <v/>
      </c>
      <c r="B127" s="27">
        <f>IF('01_Rohdaten'!A127="","",'01_Rohdaten'!A127)</f>
        <v/>
      </c>
      <c r="C127" s="27">
        <f>IF(B127="","",INDEX('01_Rohdaten'!B127:D127,'02_Eingaben'!$C$13))</f>
        <v/>
      </c>
      <c r="D127" s="27">
        <f>IF(C127="","",C127*'02_Eingaben'!$C$15)</f>
        <v/>
      </c>
      <c r="E127" s="27">
        <f>IF(D127="","",D127*'02_Eingaben'!$C$8)</f>
        <v/>
      </c>
      <c r="F127" s="27">
        <f>IF(E127="","",AVERAGE(INDEX($E$2:$E$3001,MAX(1,ROW()-1-'02_Eingaben'!$C$17)):INDEX($E$2:$E$3001,MIN('02_Eingaben'!$C$21,ROW()-1+'02_Eingaben'!$C$17))))</f>
        <v/>
      </c>
      <c r="G127" s="27">
        <f>IF(F127="","",F127-'02_Eingaben'!$C$10)</f>
        <v/>
      </c>
      <c r="H127">
        <f>IF(F127="","",IF(F127&lt;'02_Eingaben'!$C$18*'02_Eingaben'!$C$10,1,0))</f>
        <v/>
      </c>
      <c r="I127" s="27">
        <f>IF(OR(G127="",G128=""),"",(G127+G128)/2*(B128-B127))</f>
        <v/>
      </c>
      <c r="J127" s="27">
        <f>IF(B127="","",IF(B126&lt;'02_Eingaben'!$C$36,0,J126+I126/'02_Eingaben'!$C$8))</f>
        <v/>
      </c>
    </row>
    <row r="128">
      <c r="A128">
        <f>IF('01_Rohdaten'!A128="","",ROW()-1)</f>
        <v/>
      </c>
      <c r="B128" s="27">
        <f>IF('01_Rohdaten'!A128="","",'01_Rohdaten'!A128)</f>
        <v/>
      </c>
      <c r="C128" s="27">
        <f>IF(B128="","",INDEX('01_Rohdaten'!B128:D128,'02_Eingaben'!$C$13))</f>
        <v/>
      </c>
      <c r="D128" s="27">
        <f>IF(C128="","",C128*'02_Eingaben'!$C$15)</f>
        <v/>
      </c>
      <c r="E128" s="27">
        <f>IF(D128="","",D128*'02_Eingaben'!$C$8)</f>
        <v/>
      </c>
      <c r="F128" s="27">
        <f>IF(E128="","",AVERAGE(INDEX($E$2:$E$3001,MAX(1,ROW()-1-'02_Eingaben'!$C$17)):INDEX($E$2:$E$3001,MIN('02_Eingaben'!$C$21,ROW()-1+'02_Eingaben'!$C$17))))</f>
        <v/>
      </c>
      <c r="G128" s="27">
        <f>IF(F128="","",F128-'02_Eingaben'!$C$10)</f>
        <v/>
      </c>
      <c r="H128">
        <f>IF(F128="","",IF(F128&lt;'02_Eingaben'!$C$18*'02_Eingaben'!$C$10,1,0))</f>
        <v/>
      </c>
      <c r="I128" s="27">
        <f>IF(OR(G128="",G129=""),"",(G128+G129)/2*(B129-B128))</f>
        <v/>
      </c>
      <c r="J128" s="27">
        <f>IF(B128="","",IF(B127&lt;'02_Eingaben'!$C$36,0,J127+I127/'02_Eingaben'!$C$8))</f>
        <v/>
      </c>
    </row>
    <row r="129">
      <c r="A129">
        <f>IF('01_Rohdaten'!A129="","",ROW()-1)</f>
        <v/>
      </c>
      <c r="B129" s="27">
        <f>IF('01_Rohdaten'!A129="","",'01_Rohdaten'!A129)</f>
        <v/>
      </c>
      <c r="C129" s="27">
        <f>IF(B129="","",INDEX('01_Rohdaten'!B129:D129,'02_Eingaben'!$C$13))</f>
        <v/>
      </c>
      <c r="D129" s="27">
        <f>IF(C129="","",C129*'02_Eingaben'!$C$15)</f>
        <v/>
      </c>
      <c r="E129" s="27">
        <f>IF(D129="","",D129*'02_Eingaben'!$C$8)</f>
        <v/>
      </c>
      <c r="F129" s="27">
        <f>IF(E129="","",AVERAGE(INDEX($E$2:$E$3001,MAX(1,ROW()-1-'02_Eingaben'!$C$17)):INDEX($E$2:$E$3001,MIN('02_Eingaben'!$C$21,ROW()-1+'02_Eingaben'!$C$17))))</f>
        <v/>
      </c>
      <c r="G129" s="27">
        <f>IF(F129="","",F129-'02_Eingaben'!$C$10)</f>
        <v/>
      </c>
      <c r="H129">
        <f>IF(F129="","",IF(F129&lt;'02_Eingaben'!$C$18*'02_Eingaben'!$C$10,1,0))</f>
        <v/>
      </c>
      <c r="I129" s="27">
        <f>IF(OR(G129="",G130=""),"",(G129+G130)/2*(B130-B129))</f>
        <v/>
      </c>
      <c r="J129" s="27">
        <f>IF(B129="","",IF(B128&lt;'02_Eingaben'!$C$36,0,J128+I128/'02_Eingaben'!$C$8))</f>
        <v/>
      </c>
    </row>
    <row r="130">
      <c r="A130">
        <f>IF('01_Rohdaten'!A130="","",ROW()-1)</f>
        <v/>
      </c>
      <c r="B130" s="27">
        <f>IF('01_Rohdaten'!A130="","",'01_Rohdaten'!A130)</f>
        <v/>
      </c>
      <c r="C130" s="27">
        <f>IF(B130="","",INDEX('01_Rohdaten'!B130:D130,'02_Eingaben'!$C$13))</f>
        <v/>
      </c>
      <c r="D130" s="27">
        <f>IF(C130="","",C130*'02_Eingaben'!$C$15)</f>
        <v/>
      </c>
      <c r="E130" s="27">
        <f>IF(D130="","",D130*'02_Eingaben'!$C$8)</f>
        <v/>
      </c>
      <c r="F130" s="27">
        <f>IF(E130="","",AVERAGE(INDEX($E$2:$E$3001,MAX(1,ROW()-1-'02_Eingaben'!$C$17)):INDEX($E$2:$E$3001,MIN('02_Eingaben'!$C$21,ROW()-1+'02_Eingaben'!$C$17))))</f>
        <v/>
      </c>
      <c r="G130" s="27">
        <f>IF(F130="","",F130-'02_Eingaben'!$C$10)</f>
        <v/>
      </c>
      <c r="H130">
        <f>IF(F130="","",IF(F130&lt;'02_Eingaben'!$C$18*'02_Eingaben'!$C$10,1,0))</f>
        <v/>
      </c>
      <c r="I130" s="27">
        <f>IF(OR(G130="",G131=""),"",(G130+G131)/2*(B131-B130))</f>
        <v/>
      </c>
      <c r="J130" s="27">
        <f>IF(B130="","",IF(B129&lt;'02_Eingaben'!$C$36,0,J129+I129/'02_Eingaben'!$C$8))</f>
        <v/>
      </c>
    </row>
    <row r="131">
      <c r="A131">
        <f>IF('01_Rohdaten'!A131="","",ROW()-1)</f>
        <v/>
      </c>
      <c r="B131" s="27">
        <f>IF('01_Rohdaten'!A131="","",'01_Rohdaten'!A131)</f>
        <v/>
      </c>
      <c r="C131" s="27">
        <f>IF(B131="","",INDEX('01_Rohdaten'!B131:D131,'02_Eingaben'!$C$13))</f>
        <v/>
      </c>
      <c r="D131" s="27">
        <f>IF(C131="","",C131*'02_Eingaben'!$C$15)</f>
        <v/>
      </c>
      <c r="E131" s="27">
        <f>IF(D131="","",D131*'02_Eingaben'!$C$8)</f>
        <v/>
      </c>
      <c r="F131" s="27">
        <f>IF(E131="","",AVERAGE(INDEX($E$2:$E$3001,MAX(1,ROW()-1-'02_Eingaben'!$C$17)):INDEX($E$2:$E$3001,MIN('02_Eingaben'!$C$21,ROW()-1+'02_Eingaben'!$C$17))))</f>
        <v/>
      </c>
      <c r="G131" s="27">
        <f>IF(F131="","",F131-'02_Eingaben'!$C$10)</f>
        <v/>
      </c>
      <c r="H131">
        <f>IF(F131="","",IF(F131&lt;'02_Eingaben'!$C$18*'02_Eingaben'!$C$10,1,0))</f>
        <v/>
      </c>
      <c r="I131" s="27">
        <f>IF(OR(G131="",G132=""),"",(G131+G132)/2*(B132-B131))</f>
        <v/>
      </c>
      <c r="J131" s="27">
        <f>IF(B131="","",IF(B130&lt;'02_Eingaben'!$C$36,0,J130+I130/'02_Eingaben'!$C$8))</f>
        <v/>
      </c>
    </row>
    <row r="132">
      <c r="A132">
        <f>IF('01_Rohdaten'!A132="","",ROW()-1)</f>
        <v/>
      </c>
      <c r="B132" s="27">
        <f>IF('01_Rohdaten'!A132="","",'01_Rohdaten'!A132)</f>
        <v/>
      </c>
      <c r="C132" s="27">
        <f>IF(B132="","",INDEX('01_Rohdaten'!B132:D132,'02_Eingaben'!$C$13))</f>
        <v/>
      </c>
      <c r="D132" s="27">
        <f>IF(C132="","",C132*'02_Eingaben'!$C$15)</f>
        <v/>
      </c>
      <c r="E132" s="27">
        <f>IF(D132="","",D132*'02_Eingaben'!$C$8)</f>
        <v/>
      </c>
      <c r="F132" s="27">
        <f>IF(E132="","",AVERAGE(INDEX($E$2:$E$3001,MAX(1,ROW()-1-'02_Eingaben'!$C$17)):INDEX($E$2:$E$3001,MIN('02_Eingaben'!$C$21,ROW()-1+'02_Eingaben'!$C$17))))</f>
        <v/>
      </c>
      <c r="G132" s="27">
        <f>IF(F132="","",F132-'02_Eingaben'!$C$10)</f>
        <v/>
      </c>
      <c r="H132">
        <f>IF(F132="","",IF(F132&lt;'02_Eingaben'!$C$18*'02_Eingaben'!$C$10,1,0))</f>
        <v/>
      </c>
      <c r="I132" s="27">
        <f>IF(OR(G132="",G133=""),"",(G132+G133)/2*(B133-B132))</f>
        <v/>
      </c>
      <c r="J132" s="27">
        <f>IF(B132="","",IF(B131&lt;'02_Eingaben'!$C$36,0,J131+I131/'02_Eingaben'!$C$8))</f>
        <v/>
      </c>
    </row>
    <row r="133">
      <c r="A133">
        <f>IF('01_Rohdaten'!A133="","",ROW()-1)</f>
        <v/>
      </c>
      <c r="B133" s="27">
        <f>IF('01_Rohdaten'!A133="","",'01_Rohdaten'!A133)</f>
        <v/>
      </c>
      <c r="C133" s="27">
        <f>IF(B133="","",INDEX('01_Rohdaten'!B133:D133,'02_Eingaben'!$C$13))</f>
        <v/>
      </c>
      <c r="D133" s="27">
        <f>IF(C133="","",C133*'02_Eingaben'!$C$15)</f>
        <v/>
      </c>
      <c r="E133" s="27">
        <f>IF(D133="","",D133*'02_Eingaben'!$C$8)</f>
        <v/>
      </c>
      <c r="F133" s="27">
        <f>IF(E133="","",AVERAGE(INDEX($E$2:$E$3001,MAX(1,ROW()-1-'02_Eingaben'!$C$17)):INDEX($E$2:$E$3001,MIN('02_Eingaben'!$C$21,ROW()-1+'02_Eingaben'!$C$17))))</f>
        <v/>
      </c>
      <c r="G133" s="27">
        <f>IF(F133="","",F133-'02_Eingaben'!$C$10)</f>
        <v/>
      </c>
      <c r="H133">
        <f>IF(F133="","",IF(F133&lt;'02_Eingaben'!$C$18*'02_Eingaben'!$C$10,1,0))</f>
        <v/>
      </c>
      <c r="I133" s="27">
        <f>IF(OR(G133="",G134=""),"",(G133+G134)/2*(B134-B133))</f>
        <v/>
      </c>
      <c r="J133" s="27">
        <f>IF(B133="","",IF(B132&lt;'02_Eingaben'!$C$36,0,J132+I132/'02_Eingaben'!$C$8))</f>
        <v/>
      </c>
    </row>
    <row r="134">
      <c r="A134">
        <f>IF('01_Rohdaten'!A134="","",ROW()-1)</f>
        <v/>
      </c>
      <c r="B134" s="27">
        <f>IF('01_Rohdaten'!A134="","",'01_Rohdaten'!A134)</f>
        <v/>
      </c>
      <c r="C134" s="27">
        <f>IF(B134="","",INDEX('01_Rohdaten'!B134:D134,'02_Eingaben'!$C$13))</f>
        <v/>
      </c>
      <c r="D134" s="27">
        <f>IF(C134="","",C134*'02_Eingaben'!$C$15)</f>
        <v/>
      </c>
      <c r="E134" s="27">
        <f>IF(D134="","",D134*'02_Eingaben'!$C$8)</f>
        <v/>
      </c>
      <c r="F134" s="27">
        <f>IF(E134="","",AVERAGE(INDEX($E$2:$E$3001,MAX(1,ROW()-1-'02_Eingaben'!$C$17)):INDEX($E$2:$E$3001,MIN('02_Eingaben'!$C$21,ROW()-1+'02_Eingaben'!$C$17))))</f>
        <v/>
      </c>
      <c r="G134" s="27">
        <f>IF(F134="","",F134-'02_Eingaben'!$C$10)</f>
        <v/>
      </c>
      <c r="H134">
        <f>IF(F134="","",IF(F134&lt;'02_Eingaben'!$C$18*'02_Eingaben'!$C$10,1,0))</f>
        <v/>
      </c>
      <c r="I134" s="27">
        <f>IF(OR(G134="",G135=""),"",(G134+G135)/2*(B135-B134))</f>
        <v/>
      </c>
      <c r="J134" s="27">
        <f>IF(B134="","",IF(B133&lt;'02_Eingaben'!$C$36,0,J133+I133/'02_Eingaben'!$C$8))</f>
        <v/>
      </c>
    </row>
    <row r="135">
      <c r="A135">
        <f>IF('01_Rohdaten'!A135="","",ROW()-1)</f>
        <v/>
      </c>
      <c r="B135" s="27">
        <f>IF('01_Rohdaten'!A135="","",'01_Rohdaten'!A135)</f>
        <v/>
      </c>
      <c r="C135" s="27">
        <f>IF(B135="","",INDEX('01_Rohdaten'!B135:D135,'02_Eingaben'!$C$13))</f>
        <v/>
      </c>
      <c r="D135" s="27">
        <f>IF(C135="","",C135*'02_Eingaben'!$C$15)</f>
        <v/>
      </c>
      <c r="E135" s="27">
        <f>IF(D135="","",D135*'02_Eingaben'!$C$8)</f>
        <v/>
      </c>
      <c r="F135" s="27">
        <f>IF(E135="","",AVERAGE(INDEX($E$2:$E$3001,MAX(1,ROW()-1-'02_Eingaben'!$C$17)):INDEX($E$2:$E$3001,MIN('02_Eingaben'!$C$21,ROW()-1+'02_Eingaben'!$C$17))))</f>
        <v/>
      </c>
      <c r="G135" s="27">
        <f>IF(F135="","",F135-'02_Eingaben'!$C$10)</f>
        <v/>
      </c>
      <c r="H135">
        <f>IF(F135="","",IF(F135&lt;'02_Eingaben'!$C$18*'02_Eingaben'!$C$10,1,0))</f>
        <v/>
      </c>
      <c r="I135" s="27">
        <f>IF(OR(G135="",G136=""),"",(G135+G136)/2*(B136-B135))</f>
        <v/>
      </c>
      <c r="J135" s="27">
        <f>IF(B135="","",IF(B134&lt;'02_Eingaben'!$C$36,0,J134+I134/'02_Eingaben'!$C$8))</f>
        <v/>
      </c>
    </row>
    <row r="136">
      <c r="A136">
        <f>IF('01_Rohdaten'!A136="","",ROW()-1)</f>
        <v/>
      </c>
      <c r="B136" s="27">
        <f>IF('01_Rohdaten'!A136="","",'01_Rohdaten'!A136)</f>
        <v/>
      </c>
      <c r="C136" s="27">
        <f>IF(B136="","",INDEX('01_Rohdaten'!B136:D136,'02_Eingaben'!$C$13))</f>
        <v/>
      </c>
      <c r="D136" s="27">
        <f>IF(C136="","",C136*'02_Eingaben'!$C$15)</f>
        <v/>
      </c>
      <c r="E136" s="27">
        <f>IF(D136="","",D136*'02_Eingaben'!$C$8)</f>
        <v/>
      </c>
      <c r="F136" s="27">
        <f>IF(E136="","",AVERAGE(INDEX($E$2:$E$3001,MAX(1,ROW()-1-'02_Eingaben'!$C$17)):INDEX($E$2:$E$3001,MIN('02_Eingaben'!$C$21,ROW()-1+'02_Eingaben'!$C$17))))</f>
        <v/>
      </c>
      <c r="G136" s="27">
        <f>IF(F136="","",F136-'02_Eingaben'!$C$10)</f>
        <v/>
      </c>
      <c r="H136">
        <f>IF(F136="","",IF(F136&lt;'02_Eingaben'!$C$18*'02_Eingaben'!$C$10,1,0))</f>
        <v/>
      </c>
      <c r="I136" s="27">
        <f>IF(OR(G136="",G137=""),"",(G136+G137)/2*(B137-B136))</f>
        <v/>
      </c>
      <c r="J136" s="27">
        <f>IF(B136="","",IF(B135&lt;'02_Eingaben'!$C$36,0,J135+I135/'02_Eingaben'!$C$8))</f>
        <v/>
      </c>
    </row>
    <row r="137">
      <c r="A137">
        <f>IF('01_Rohdaten'!A137="","",ROW()-1)</f>
        <v/>
      </c>
      <c r="B137" s="27">
        <f>IF('01_Rohdaten'!A137="","",'01_Rohdaten'!A137)</f>
        <v/>
      </c>
      <c r="C137" s="27">
        <f>IF(B137="","",INDEX('01_Rohdaten'!B137:D137,'02_Eingaben'!$C$13))</f>
        <v/>
      </c>
      <c r="D137" s="27">
        <f>IF(C137="","",C137*'02_Eingaben'!$C$15)</f>
        <v/>
      </c>
      <c r="E137" s="27">
        <f>IF(D137="","",D137*'02_Eingaben'!$C$8)</f>
        <v/>
      </c>
      <c r="F137" s="27">
        <f>IF(E137="","",AVERAGE(INDEX($E$2:$E$3001,MAX(1,ROW()-1-'02_Eingaben'!$C$17)):INDEX($E$2:$E$3001,MIN('02_Eingaben'!$C$21,ROW()-1+'02_Eingaben'!$C$17))))</f>
        <v/>
      </c>
      <c r="G137" s="27">
        <f>IF(F137="","",F137-'02_Eingaben'!$C$10)</f>
        <v/>
      </c>
      <c r="H137">
        <f>IF(F137="","",IF(F137&lt;'02_Eingaben'!$C$18*'02_Eingaben'!$C$10,1,0))</f>
        <v/>
      </c>
      <c r="I137" s="27">
        <f>IF(OR(G137="",G138=""),"",(G137+G138)/2*(B138-B137))</f>
        <v/>
      </c>
      <c r="J137" s="27">
        <f>IF(B137="","",IF(B136&lt;'02_Eingaben'!$C$36,0,J136+I136/'02_Eingaben'!$C$8))</f>
        <v/>
      </c>
    </row>
    <row r="138">
      <c r="A138">
        <f>IF('01_Rohdaten'!A138="","",ROW()-1)</f>
        <v/>
      </c>
      <c r="B138" s="27">
        <f>IF('01_Rohdaten'!A138="","",'01_Rohdaten'!A138)</f>
        <v/>
      </c>
      <c r="C138" s="27">
        <f>IF(B138="","",INDEX('01_Rohdaten'!B138:D138,'02_Eingaben'!$C$13))</f>
        <v/>
      </c>
      <c r="D138" s="27">
        <f>IF(C138="","",C138*'02_Eingaben'!$C$15)</f>
        <v/>
      </c>
      <c r="E138" s="27">
        <f>IF(D138="","",D138*'02_Eingaben'!$C$8)</f>
        <v/>
      </c>
      <c r="F138" s="27">
        <f>IF(E138="","",AVERAGE(INDEX($E$2:$E$3001,MAX(1,ROW()-1-'02_Eingaben'!$C$17)):INDEX($E$2:$E$3001,MIN('02_Eingaben'!$C$21,ROW()-1+'02_Eingaben'!$C$17))))</f>
        <v/>
      </c>
      <c r="G138" s="27">
        <f>IF(F138="","",F138-'02_Eingaben'!$C$10)</f>
        <v/>
      </c>
      <c r="H138">
        <f>IF(F138="","",IF(F138&lt;'02_Eingaben'!$C$18*'02_Eingaben'!$C$10,1,0))</f>
        <v/>
      </c>
      <c r="I138" s="27">
        <f>IF(OR(G138="",G139=""),"",(G138+G139)/2*(B139-B138))</f>
        <v/>
      </c>
      <c r="J138" s="27">
        <f>IF(B138="","",IF(B137&lt;'02_Eingaben'!$C$36,0,J137+I137/'02_Eingaben'!$C$8))</f>
        <v/>
      </c>
    </row>
    <row r="139">
      <c r="A139">
        <f>IF('01_Rohdaten'!A139="","",ROW()-1)</f>
        <v/>
      </c>
      <c r="B139" s="27">
        <f>IF('01_Rohdaten'!A139="","",'01_Rohdaten'!A139)</f>
        <v/>
      </c>
      <c r="C139" s="27">
        <f>IF(B139="","",INDEX('01_Rohdaten'!B139:D139,'02_Eingaben'!$C$13))</f>
        <v/>
      </c>
      <c r="D139" s="27">
        <f>IF(C139="","",C139*'02_Eingaben'!$C$15)</f>
        <v/>
      </c>
      <c r="E139" s="27">
        <f>IF(D139="","",D139*'02_Eingaben'!$C$8)</f>
        <v/>
      </c>
      <c r="F139" s="27">
        <f>IF(E139="","",AVERAGE(INDEX($E$2:$E$3001,MAX(1,ROW()-1-'02_Eingaben'!$C$17)):INDEX($E$2:$E$3001,MIN('02_Eingaben'!$C$21,ROW()-1+'02_Eingaben'!$C$17))))</f>
        <v/>
      </c>
      <c r="G139" s="27">
        <f>IF(F139="","",F139-'02_Eingaben'!$C$10)</f>
        <v/>
      </c>
      <c r="H139">
        <f>IF(F139="","",IF(F139&lt;'02_Eingaben'!$C$18*'02_Eingaben'!$C$10,1,0))</f>
        <v/>
      </c>
      <c r="I139" s="27">
        <f>IF(OR(G139="",G140=""),"",(G139+G140)/2*(B140-B139))</f>
        <v/>
      </c>
      <c r="J139" s="27">
        <f>IF(B139="","",IF(B138&lt;'02_Eingaben'!$C$36,0,J138+I138/'02_Eingaben'!$C$8))</f>
        <v/>
      </c>
    </row>
    <row r="140">
      <c r="A140">
        <f>IF('01_Rohdaten'!A140="","",ROW()-1)</f>
        <v/>
      </c>
      <c r="B140" s="27">
        <f>IF('01_Rohdaten'!A140="","",'01_Rohdaten'!A140)</f>
        <v/>
      </c>
      <c r="C140" s="27">
        <f>IF(B140="","",INDEX('01_Rohdaten'!B140:D140,'02_Eingaben'!$C$13))</f>
        <v/>
      </c>
      <c r="D140" s="27">
        <f>IF(C140="","",C140*'02_Eingaben'!$C$15)</f>
        <v/>
      </c>
      <c r="E140" s="27">
        <f>IF(D140="","",D140*'02_Eingaben'!$C$8)</f>
        <v/>
      </c>
      <c r="F140" s="27">
        <f>IF(E140="","",AVERAGE(INDEX($E$2:$E$3001,MAX(1,ROW()-1-'02_Eingaben'!$C$17)):INDEX($E$2:$E$3001,MIN('02_Eingaben'!$C$21,ROW()-1+'02_Eingaben'!$C$17))))</f>
        <v/>
      </c>
      <c r="G140" s="27">
        <f>IF(F140="","",F140-'02_Eingaben'!$C$10)</f>
        <v/>
      </c>
      <c r="H140">
        <f>IF(F140="","",IF(F140&lt;'02_Eingaben'!$C$18*'02_Eingaben'!$C$10,1,0))</f>
        <v/>
      </c>
      <c r="I140" s="27">
        <f>IF(OR(G140="",G141=""),"",(G140+G141)/2*(B141-B140))</f>
        <v/>
      </c>
      <c r="J140" s="27">
        <f>IF(B140="","",IF(B139&lt;'02_Eingaben'!$C$36,0,J139+I139/'02_Eingaben'!$C$8))</f>
        <v/>
      </c>
    </row>
    <row r="141">
      <c r="A141">
        <f>IF('01_Rohdaten'!A141="","",ROW()-1)</f>
        <v/>
      </c>
      <c r="B141" s="27">
        <f>IF('01_Rohdaten'!A141="","",'01_Rohdaten'!A141)</f>
        <v/>
      </c>
      <c r="C141" s="27">
        <f>IF(B141="","",INDEX('01_Rohdaten'!B141:D141,'02_Eingaben'!$C$13))</f>
        <v/>
      </c>
      <c r="D141" s="27">
        <f>IF(C141="","",C141*'02_Eingaben'!$C$15)</f>
        <v/>
      </c>
      <c r="E141" s="27">
        <f>IF(D141="","",D141*'02_Eingaben'!$C$8)</f>
        <v/>
      </c>
      <c r="F141" s="27">
        <f>IF(E141="","",AVERAGE(INDEX($E$2:$E$3001,MAX(1,ROW()-1-'02_Eingaben'!$C$17)):INDEX($E$2:$E$3001,MIN('02_Eingaben'!$C$21,ROW()-1+'02_Eingaben'!$C$17))))</f>
        <v/>
      </c>
      <c r="G141" s="27">
        <f>IF(F141="","",F141-'02_Eingaben'!$C$10)</f>
        <v/>
      </c>
      <c r="H141">
        <f>IF(F141="","",IF(F141&lt;'02_Eingaben'!$C$18*'02_Eingaben'!$C$10,1,0))</f>
        <v/>
      </c>
      <c r="I141" s="27">
        <f>IF(OR(G141="",G142=""),"",(G141+G142)/2*(B142-B141))</f>
        <v/>
      </c>
      <c r="J141" s="27">
        <f>IF(B141="","",IF(B140&lt;'02_Eingaben'!$C$36,0,J140+I140/'02_Eingaben'!$C$8))</f>
        <v/>
      </c>
    </row>
    <row r="142">
      <c r="A142">
        <f>IF('01_Rohdaten'!A142="","",ROW()-1)</f>
        <v/>
      </c>
      <c r="B142" s="27">
        <f>IF('01_Rohdaten'!A142="","",'01_Rohdaten'!A142)</f>
        <v/>
      </c>
      <c r="C142" s="27">
        <f>IF(B142="","",INDEX('01_Rohdaten'!B142:D142,'02_Eingaben'!$C$13))</f>
        <v/>
      </c>
      <c r="D142" s="27">
        <f>IF(C142="","",C142*'02_Eingaben'!$C$15)</f>
        <v/>
      </c>
      <c r="E142" s="27">
        <f>IF(D142="","",D142*'02_Eingaben'!$C$8)</f>
        <v/>
      </c>
      <c r="F142" s="27">
        <f>IF(E142="","",AVERAGE(INDEX($E$2:$E$3001,MAX(1,ROW()-1-'02_Eingaben'!$C$17)):INDEX($E$2:$E$3001,MIN('02_Eingaben'!$C$21,ROW()-1+'02_Eingaben'!$C$17))))</f>
        <v/>
      </c>
      <c r="G142" s="27">
        <f>IF(F142="","",F142-'02_Eingaben'!$C$10)</f>
        <v/>
      </c>
      <c r="H142">
        <f>IF(F142="","",IF(F142&lt;'02_Eingaben'!$C$18*'02_Eingaben'!$C$10,1,0))</f>
        <v/>
      </c>
      <c r="I142" s="27">
        <f>IF(OR(G142="",G143=""),"",(G142+G143)/2*(B143-B142))</f>
        <v/>
      </c>
      <c r="J142" s="27">
        <f>IF(B142="","",IF(B141&lt;'02_Eingaben'!$C$36,0,J141+I141/'02_Eingaben'!$C$8))</f>
        <v/>
      </c>
    </row>
    <row r="143">
      <c r="A143">
        <f>IF('01_Rohdaten'!A143="","",ROW()-1)</f>
        <v/>
      </c>
      <c r="B143" s="27">
        <f>IF('01_Rohdaten'!A143="","",'01_Rohdaten'!A143)</f>
        <v/>
      </c>
      <c r="C143" s="27">
        <f>IF(B143="","",INDEX('01_Rohdaten'!B143:D143,'02_Eingaben'!$C$13))</f>
        <v/>
      </c>
      <c r="D143" s="27">
        <f>IF(C143="","",C143*'02_Eingaben'!$C$15)</f>
        <v/>
      </c>
      <c r="E143" s="27">
        <f>IF(D143="","",D143*'02_Eingaben'!$C$8)</f>
        <v/>
      </c>
      <c r="F143" s="27">
        <f>IF(E143="","",AVERAGE(INDEX($E$2:$E$3001,MAX(1,ROW()-1-'02_Eingaben'!$C$17)):INDEX($E$2:$E$3001,MIN('02_Eingaben'!$C$21,ROW()-1+'02_Eingaben'!$C$17))))</f>
        <v/>
      </c>
      <c r="G143" s="27">
        <f>IF(F143="","",F143-'02_Eingaben'!$C$10)</f>
        <v/>
      </c>
      <c r="H143">
        <f>IF(F143="","",IF(F143&lt;'02_Eingaben'!$C$18*'02_Eingaben'!$C$10,1,0))</f>
        <v/>
      </c>
      <c r="I143" s="27">
        <f>IF(OR(G143="",G144=""),"",(G143+G144)/2*(B144-B143))</f>
        <v/>
      </c>
      <c r="J143" s="27">
        <f>IF(B143="","",IF(B142&lt;'02_Eingaben'!$C$36,0,J142+I142/'02_Eingaben'!$C$8))</f>
        <v/>
      </c>
    </row>
    <row r="144">
      <c r="A144">
        <f>IF('01_Rohdaten'!A144="","",ROW()-1)</f>
        <v/>
      </c>
      <c r="B144" s="27">
        <f>IF('01_Rohdaten'!A144="","",'01_Rohdaten'!A144)</f>
        <v/>
      </c>
      <c r="C144" s="27">
        <f>IF(B144="","",INDEX('01_Rohdaten'!B144:D144,'02_Eingaben'!$C$13))</f>
        <v/>
      </c>
      <c r="D144" s="27">
        <f>IF(C144="","",C144*'02_Eingaben'!$C$15)</f>
        <v/>
      </c>
      <c r="E144" s="27">
        <f>IF(D144="","",D144*'02_Eingaben'!$C$8)</f>
        <v/>
      </c>
      <c r="F144" s="27">
        <f>IF(E144="","",AVERAGE(INDEX($E$2:$E$3001,MAX(1,ROW()-1-'02_Eingaben'!$C$17)):INDEX($E$2:$E$3001,MIN('02_Eingaben'!$C$21,ROW()-1+'02_Eingaben'!$C$17))))</f>
        <v/>
      </c>
      <c r="G144" s="27">
        <f>IF(F144="","",F144-'02_Eingaben'!$C$10)</f>
        <v/>
      </c>
      <c r="H144">
        <f>IF(F144="","",IF(F144&lt;'02_Eingaben'!$C$18*'02_Eingaben'!$C$10,1,0))</f>
        <v/>
      </c>
      <c r="I144" s="27">
        <f>IF(OR(G144="",G145=""),"",(G144+G145)/2*(B145-B144))</f>
        <v/>
      </c>
      <c r="J144" s="27">
        <f>IF(B144="","",IF(B143&lt;'02_Eingaben'!$C$36,0,J143+I143/'02_Eingaben'!$C$8))</f>
        <v/>
      </c>
    </row>
    <row r="145">
      <c r="A145">
        <f>IF('01_Rohdaten'!A145="","",ROW()-1)</f>
        <v/>
      </c>
      <c r="B145" s="27">
        <f>IF('01_Rohdaten'!A145="","",'01_Rohdaten'!A145)</f>
        <v/>
      </c>
      <c r="C145" s="27">
        <f>IF(B145="","",INDEX('01_Rohdaten'!B145:D145,'02_Eingaben'!$C$13))</f>
        <v/>
      </c>
      <c r="D145" s="27">
        <f>IF(C145="","",C145*'02_Eingaben'!$C$15)</f>
        <v/>
      </c>
      <c r="E145" s="27">
        <f>IF(D145="","",D145*'02_Eingaben'!$C$8)</f>
        <v/>
      </c>
      <c r="F145" s="27">
        <f>IF(E145="","",AVERAGE(INDEX($E$2:$E$3001,MAX(1,ROW()-1-'02_Eingaben'!$C$17)):INDEX($E$2:$E$3001,MIN('02_Eingaben'!$C$21,ROW()-1+'02_Eingaben'!$C$17))))</f>
        <v/>
      </c>
      <c r="G145" s="27">
        <f>IF(F145="","",F145-'02_Eingaben'!$C$10)</f>
        <v/>
      </c>
      <c r="H145">
        <f>IF(F145="","",IF(F145&lt;'02_Eingaben'!$C$18*'02_Eingaben'!$C$10,1,0))</f>
        <v/>
      </c>
      <c r="I145" s="27">
        <f>IF(OR(G145="",G146=""),"",(G145+G146)/2*(B146-B145))</f>
        <v/>
      </c>
      <c r="J145" s="27">
        <f>IF(B145="","",IF(B144&lt;'02_Eingaben'!$C$36,0,J144+I144/'02_Eingaben'!$C$8))</f>
        <v/>
      </c>
    </row>
    <row r="146">
      <c r="A146">
        <f>IF('01_Rohdaten'!A146="","",ROW()-1)</f>
        <v/>
      </c>
      <c r="B146" s="27">
        <f>IF('01_Rohdaten'!A146="","",'01_Rohdaten'!A146)</f>
        <v/>
      </c>
      <c r="C146" s="27">
        <f>IF(B146="","",INDEX('01_Rohdaten'!B146:D146,'02_Eingaben'!$C$13))</f>
        <v/>
      </c>
      <c r="D146" s="27">
        <f>IF(C146="","",C146*'02_Eingaben'!$C$15)</f>
        <v/>
      </c>
      <c r="E146" s="27">
        <f>IF(D146="","",D146*'02_Eingaben'!$C$8)</f>
        <v/>
      </c>
      <c r="F146" s="27">
        <f>IF(E146="","",AVERAGE(INDEX($E$2:$E$3001,MAX(1,ROW()-1-'02_Eingaben'!$C$17)):INDEX($E$2:$E$3001,MIN('02_Eingaben'!$C$21,ROW()-1+'02_Eingaben'!$C$17))))</f>
        <v/>
      </c>
      <c r="G146" s="27">
        <f>IF(F146="","",F146-'02_Eingaben'!$C$10)</f>
        <v/>
      </c>
      <c r="H146">
        <f>IF(F146="","",IF(F146&lt;'02_Eingaben'!$C$18*'02_Eingaben'!$C$10,1,0))</f>
        <v/>
      </c>
      <c r="I146" s="27">
        <f>IF(OR(G146="",G147=""),"",(G146+G147)/2*(B147-B146))</f>
        <v/>
      </c>
      <c r="J146" s="27">
        <f>IF(B146="","",IF(B145&lt;'02_Eingaben'!$C$36,0,J145+I145/'02_Eingaben'!$C$8))</f>
        <v/>
      </c>
    </row>
    <row r="147">
      <c r="A147">
        <f>IF('01_Rohdaten'!A147="","",ROW()-1)</f>
        <v/>
      </c>
      <c r="B147" s="27">
        <f>IF('01_Rohdaten'!A147="","",'01_Rohdaten'!A147)</f>
        <v/>
      </c>
      <c r="C147" s="27">
        <f>IF(B147="","",INDEX('01_Rohdaten'!B147:D147,'02_Eingaben'!$C$13))</f>
        <v/>
      </c>
      <c r="D147" s="27">
        <f>IF(C147="","",C147*'02_Eingaben'!$C$15)</f>
        <v/>
      </c>
      <c r="E147" s="27">
        <f>IF(D147="","",D147*'02_Eingaben'!$C$8)</f>
        <v/>
      </c>
      <c r="F147" s="27">
        <f>IF(E147="","",AVERAGE(INDEX($E$2:$E$3001,MAX(1,ROW()-1-'02_Eingaben'!$C$17)):INDEX($E$2:$E$3001,MIN('02_Eingaben'!$C$21,ROW()-1+'02_Eingaben'!$C$17))))</f>
        <v/>
      </c>
      <c r="G147" s="27">
        <f>IF(F147="","",F147-'02_Eingaben'!$C$10)</f>
        <v/>
      </c>
      <c r="H147">
        <f>IF(F147="","",IF(F147&lt;'02_Eingaben'!$C$18*'02_Eingaben'!$C$10,1,0))</f>
        <v/>
      </c>
      <c r="I147" s="27">
        <f>IF(OR(G147="",G148=""),"",(G147+G148)/2*(B148-B147))</f>
        <v/>
      </c>
      <c r="J147" s="27">
        <f>IF(B147="","",IF(B146&lt;'02_Eingaben'!$C$36,0,J146+I146/'02_Eingaben'!$C$8))</f>
        <v/>
      </c>
    </row>
    <row r="148">
      <c r="A148">
        <f>IF('01_Rohdaten'!A148="","",ROW()-1)</f>
        <v/>
      </c>
      <c r="B148" s="27">
        <f>IF('01_Rohdaten'!A148="","",'01_Rohdaten'!A148)</f>
        <v/>
      </c>
      <c r="C148" s="27">
        <f>IF(B148="","",INDEX('01_Rohdaten'!B148:D148,'02_Eingaben'!$C$13))</f>
        <v/>
      </c>
      <c r="D148" s="27">
        <f>IF(C148="","",C148*'02_Eingaben'!$C$15)</f>
        <v/>
      </c>
      <c r="E148" s="27">
        <f>IF(D148="","",D148*'02_Eingaben'!$C$8)</f>
        <v/>
      </c>
      <c r="F148" s="27">
        <f>IF(E148="","",AVERAGE(INDEX($E$2:$E$3001,MAX(1,ROW()-1-'02_Eingaben'!$C$17)):INDEX($E$2:$E$3001,MIN('02_Eingaben'!$C$21,ROW()-1+'02_Eingaben'!$C$17))))</f>
        <v/>
      </c>
      <c r="G148" s="27">
        <f>IF(F148="","",F148-'02_Eingaben'!$C$10)</f>
        <v/>
      </c>
      <c r="H148">
        <f>IF(F148="","",IF(F148&lt;'02_Eingaben'!$C$18*'02_Eingaben'!$C$10,1,0))</f>
        <v/>
      </c>
      <c r="I148" s="27">
        <f>IF(OR(G148="",G149=""),"",(G148+G149)/2*(B149-B148))</f>
        <v/>
      </c>
      <c r="J148" s="27">
        <f>IF(B148="","",IF(B147&lt;'02_Eingaben'!$C$36,0,J147+I147/'02_Eingaben'!$C$8))</f>
        <v/>
      </c>
    </row>
    <row r="149">
      <c r="A149">
        <f>IF('01_Rohdaten'!A149="","",ROW()-1)</f>
        <v/>
      </c>
      <c r="B149" s="27">
        <f>IF('01_Rohdaten'!A149="","",'01_Rohdaten'!A149)</f>
        <v/>
      </c>
      <c r="C149" s="27">
        <f>IF(B149="","",INDEX('01_Rohdaten'!B149:D149,'02_Eingaben'!$C$13))</f>
        <v/>
      </c>
      <c r="D149" s="27">
        <f>IF(C149="","",C149*'02_Eingaben'!$C$15)</f>
        <v/>
      </c>
      <c r="E149" s="27">
        <f>IF(D149="","",D149*'02_Eingaben'!$C$8)</f>
        <v/>
      </c>
      <c r="F149" s="27">
        <f>IF(E149="","",AVERAGE(INDEX($E$2:$E$3001,MAX(1,ROW()-1-'02_Eingaben'!$C$17)):INDEX($E$2:$E$3001,MIN('02_Eingaben'!$C$21,ROW()-1+'02_Eingaben'!$C$17))))</f>
        <v/>
      </c>
      <c r="G149" s="27">
        <f>IF(F149="","",F149-'02_Eingaben'!$C$10)</f>
        <v/>
      </c>
      <c r="H149">
        <f>IF(F149="","",IF(F149&lt;'02_Eingaben'!$C$18*'02_Eingaben'!$C$10,1,0))</f>
        <v/>
      </c>
      <c r="I149" s="27">
        <f>IF(OR(G149="",G150=""),"",(G149+G150)/2*(B150-B149))</f>
        <v/>
      </c>
      <c r="J149" s="27">
        <f>IF(B149="","",IF(B148&lt;'02_Eingaben'!$C$36,0,J148+I148/'02_Eingaben'!$C$8))</f>
        <v/>
      </c>
    </row>
    <row r="150">
      <c r="A150">
        <f>IF('01_Rohdaten'!A150="","",ROW()-1)</f>
        <v/>
      </c>
      <c r="B150" s="27">
        <f>IF('01_Rohdaten'!A150="","",'01_Rohdaten'!A150)</f>
        <v/>
      </c>
      <c r="C150" s="27">
        <f>IF(B150="","",INDEX('01_Rohdaten'!B150:D150,'02_Eingaben'!$C$13))</f>
        <v/>
      </c>
      <c r="D150" s="27">
        <f>IF(C150="","",C150*'02_Eingaben'!$C$15)</f>
        <v/>
      </c>
      <c r="E150" s="27">
        <f>IF(D150="","",D150*'02_Eingaben'!$C$8)</f>
        <v/>
      </c>
      <c r="F150" s="27">
        <f>IF(E150="","",AVERAGE(INDEX($E$2:$E$3001,MAX(1,ROW()-1-'02_Eingaben'!$C$17)):INDEX($E$2:$E$3001,MIN('02_Eingaben'!$C$21,ROW()-1+'02_Eingaben'!$C$17))))</f>
        <v/>
      </c>
      <c r="G150" s="27">
        <f>IF(F150="","",F150-'02_Eingaben'!$C$10)</f>
        <v/>
      </c>
      <c r="H150">
        <f>IF(F150="","",IF(F150&lt;'02_Eingaben'!$C$18*'02_Eingaben'!$C$10,1,0))</f>
        <v/>
      </c>
      <c r="I150" s="27">
        <f>IF(OR(G150="",G151=""),"",(G150+G151)/2*(B151-B150))</f>
        <v/>
      </c>
      <c r="J150" s="27">
        <f>IF(B150="","",IF(B149&lt;'02_Eingaben'!$C$36,0,J149+I149/'02_Eingaben'!$C$8))</f>
        <v/>
      </c>
    </row>
    <row r="151">
      <c r="A151">
        <f>IF('01_Rohdaten'!A151="","",ROW()-1)</f>
        <v/>
      </c>
      <c r="B151" s="27">
        <f>IF('01_Rohdaten'!A151="","",'01_Rohdaten'!A151)</f>
        <v/>
      </c>
      <c r="C151" s="27">
        <f>IF(B151="","",INDEX('01_Rohdaten'!B151:D151,'02_Eingaben'!$C$13))</f>
        <v/>
      </c>
      <c r="D151" s="27">
        <f>IF(C151="","",C151*'02_Eingaben'!$C$15)</f>
        <v/>
      </c>
      <c r="E151" s="27">
        <f>IF(D151="","",D151*'02_Eingaben'!$C$8)</f>
        <v/>
      </c>
      <c r="F151" s="27">
        <f>IF(E151="","",AVERAGE(INDEX($E$2:$E$3001,MAX(1,ROW()-1-'02_Eingaben'!$C$17)):INDEX($E$2:$E$3001,MIN('02_Eingaben'!$C$21,ROW()-1+'02_Eingaben'!$C$17))))</f>
        <v/>
      </c>
      <c r="G151" s="27">
        <f>IF(F151="","",F151-'02_Eingaben'!$C$10)</f>
        <v/>
      </c>
      <c r="H151">
        <f>IF(F151="","",IF(F151&lt;'02_Eingaben'!$C$18*'02_Eingaben'!$C$10,1,0))</f>
        <v/>
      </c>
      <c r="I151" s="27">
        <f>IF(OR(G151="",G152=""),"",(G151+G152)/2*(B152-B151))</f>
        <v/>
      </c>
      <c r="J151" s="27">
        <f>IF(B151="","",IF(B150&lt;'02_Eingaben'!$C$36,0,J150+I150/'02_Eingaben'!$C$8))</f>
        <v/>
      </c>
    </row>
    <row r="152">
      <c r="A152">
        <f>IF('01_Rohdaten'!A152="","",ROW()-1)</f>
        <v/>
      </c>
      <c r="B152" s="27">
        <f>IF('01_Rohdaten'!A152="","",'01_Rohdaten'!A152)</f>
        <v/>
      </c>
      <c r="C152" s="27">
        <f>IF(B152="","",INDEX('01_Rohdaten'!B152:D152,'02_Eingaben'!$C$13))</f>
        <v/>
      </c>
      <c r="D152" s="27">
        <f>IF(C152="","",C152*'02_Eingaben'!$C$15)</f>
        <v/>
      </c>
      <c r="E152" s="27">
        <f>IF(D152="","",D152*'02_Eingaben'!$C$8)</f>
        <v/>
      </c>
      <c r="F152" s="27">
        <f>IF(E152="","",AVERAGE(INDEX($E$2:$E$3001,MAX(1,ROW()-1-'02_Eingaben'!$C$17)):INDEX($E$2:$E$3001,MIN('02_Eingaben'!$C$21,ROW()-1+'02_Eingaben'!$C$17))))</f>
        <v/>
      </c>
      <c r="G152" s="27">
        <f>IF(F152="","",F152-'02_Eingaben'!$C$10)</f>
        <v/>
      </c>
      <c r="H152">
        <f>IF(F152="","",IF(F152&lt;'02_Eingaben'!$C$18*'02_Eingaben'!$C$10,1,0))</f>
        <v/>
      </c>
      <c r="I152" s="27">
        <f>IF(OR(G152="",G153=""),"",(G152+G153)/2*(B153-B152))</f>
        <v/>
      </c>
      <c r="J152" s="27">
        <f>IF(B152="","",IF(B151&lt;'02_Eingaben'!$C$36,0,J151+I151/'02_Eingaben'!$C$8))</f>
        <v/>
      </c>
    </row>
    <row r="153">
      <c r="A153">
        <f>IF('01_Rohdaten'!A153="","",ROW()-1)</f>
        <v/>
      </c>
      <c r="B153" s="27">
        <f>IF('01_Rohdaten'!A153="","",'01_Rohdaten'!A153)</f>
        <v/>
      </c>
      <c r="C153" s="27">
        <f>IF(B153="","",INDEX('01_Rohdaten'!B153:D153,'02_Eingaben'!$C$13))</f>
        <v/>
      </c>
      <c r="D153" s="27">
        <f>IF(C153="","",C153*'02_Eingaben'!$C$15)</f>
        <v/>
      </c>
      <c r="E153" s="27">
        <f>IF(D153="","",D153*'02_Eingaben'!$C$8)</f>
        <v/>
      </c>
      <c r="F153" s="27">
        <f>IF(E153="","",AVERAGE(INDEX($E$2:$E$3001,MAX(1,ROW()-1-'02_Eingaben'!$C$17)):INDEX($E$2:$E$3001,MIN('02_Eingaben'!$C$21,ROW()-1+'02_Eingaben'!$C$17))))</f>
        <v/>
      </c>
      <c r="G153" s="27">
        <f>IF(F153="","",F153-'02_Eingaben'!$C$10)</f>
        <v/>
      </c>
      <c r="H153">
        <f>IF(F153="","",IF(F153&lt;'02_Eingaben'!$C$18*'02_Eingaben'!$C$10,1,0))</f>
        <v/>
      </c>
      <c r="I153" s="27">
        <f>IF(OR(G153="",G154=""),"",(G153+G154)/2*(B154-B153))</f>
        <v/>
      </c>
      <c r="J153" s="27">
        <f>IF(B153="","",IF(B152&lt;'02_Eingaben'!$C$36,0,J152+I152/'02_Eingaben'!$C$8))</f>
        <v/>
      </c>
    </row>
    <row r="154">
      <c r="A154">
        <f>IF('01_Rohdaten'!A154="","",ROW()-1)</f>
        <v/>
      </c>
      <c r="B154" s="27">
        <f>IF('01_Rohdaten'!A154="","",'01_Rohdaten'!A154)</f>
        <v/>
      </c>
      <c r="C154" s="27">
        <f>IF(B154="","",INDEX('01_Rohdaten'!B154:D154,'02_Eingaben'!$C$13))</f>
        <v/>
      </c>
      <c r="D154" s="27">
        <f>IF(C154="","",C154*'02_Eingaben'!$C$15)</f>
        <v/>
      </c>
      <c r="E154" s="27">
        <f>IF(D154="","",D154*'02_Eingaben'!$C$8)</f>
        <v/>
      </c>
      <c r="F154" s="27">
        <f>IF(E154="","",AVERAGE(INDEX($E$2:$E$3001,MAX(1,ROW()-1-'02_Eingaben'!$C$17)):INDEX($E$2:$E$3001,MIN('02_Eingaben'!$C$21,ROW()-1+'02_Eingaben'!$C$17))))</f>
        <v/>
      </c>
      <c r="G154" s="27">
        <f>IF(F154="","",F154-'02_Eingaben'!$C$10)</f>
        <v/>
      </c>
      <c r="H154">
        <f>IF(F154="","",IF(F154&lt;'02_Eingaben'!$C$18*'02_Eingaben'!$C$10,1,0))</f>
        <v/>
      </c>
      <c r="I154" s="27">
        <f>IF(OR(G154="",G155=""),"",(G154+G155)/2*(B155-B154))</f>
        <v/>
      </c>
      <c r="J154" s="27">
        <f>IF(B154="","",IF(B153&lt;'02_Eingaben'!$C$36,0,J153+I153/'02_Eingaben'!$C$8))</f>
        <v/>
      </c>
    </row>
    <row r="155">
      <c r="A155">
        <f>IF('01_Rohdaten'!A155="","",ROW()-1)</f>
        <v/>
      </c>
      <c r="B155" s="27">
        <f>IF('01_Rohdaten'!A155="","",'01_Rohdaten'!A155)</f>
        <v/>
      </c>
      <c r="C155" s="27">
        <f>IF(B155="","",INDEX('01_Rohdaten'!B155:D155,'02_Eingaben'!$C$13))</f>
        <v/>
      </c>
      <c r="D155" s="27">
        <f>IF(C155="","",C155*'02_Eingaben'!$C$15)</f>
        <v/>
      </c>
      <c r="E155" s="27">
        <f>IF(D155="","",D155*'02_Eingaben'!$C$8)</f>
        <v/>
      </c>
      <c r="F155" s="27">
        <f>IF(E155="","",AVERAGE(INDEX($E$2:$E$3001,MAX(1,ROW()-1-'02_Eingaben'!$C$17)):INDEX($E$2:$E$3001,MIN('02_Eingaben'!$C$21,ROW()-1+'02_Eingaben'!$C$17))))</f>
        <v/>
      </c>
      <c r="G155" s="27">
        <f>IF(F155="","",F155-'02_Eingaben'!$C$10)</f>
        <v/>
      </c>
      <c r="H155">
        <f>IF(F155="","",IF(F155&lt;'02_Eingaben'!$C$18*'02_Eingaben'!$C$10,1,0))</f>
        <v/>
      </c>
      <c r="I155" s="27">
        <f>IF(OR(G155="",G156=""),"",(G155+G156)/2*(B156-B155))</f>
        <v/>
      </c>
      <c r="J155" s="27">
        <f>IF(B155="","",IF(B154&lt;'02_Eingaben'!$C$36,0,J154+I154/'02_Eingaben'!$C$8))</f>
        <v/>
      </c>
    </row>
    <row r="156">
      <c r="A156">
        <f>IF('01_Rohdaten'!A156="","",ROW()-1)</f>
        <v/>
      </c>
      <c r="B156" s="27">
        <f>IF('01_Rohdaten'!A156="","",'01_Rohdaten'!A156)</f>
        <v/>
      </c>
      <c r="C156" s="27">
        <f>IF(B156="","",INDEX('01_Rohdaten'!B156:D156,'02_Eingaben'!$C$13))</f>
        <v/>
      </c>
      <c r="D156" s="27">
        <f>IF(C156="","",C156*'02_Eingaben'!$C$15)</f>
        <v/>
      </c>
      <c r="E156" s="27">
        <f>IF(D156="","",D156*'02_Eingaben'!$C$8)</f>
        <v/>
      </c>
      <c r="F156" s="27">
        <f>IF(E156="","",AVERAGE(INDEX($E$2:$E$3001,MAX(1,ROW()-1-'02_Eingaben'!$C$17)):INDEX($E$2:$E$3001,MIN('02_Eingaben'!$C$21,ROW()-1+'02_Eingaben'!$C$17))))</f>
        <v/>
      </c>
      <c r="G156" s="27">
        <f>IF(F156="","",F156-'02_Eingaben'!$C$10)</f>
        <v/>
      </c>
      <c r="H156">
        <f>IF(F156="","",IF(F156&lt;'02_Eingaben'!$C$18*'02_Eingaben'!$C$10,1,0))</f>
        <v/>
      </c>
      <c r="I156" s="27">
        <f>IF(OR(G156="",G157=""),"",(G156+G157)/2*(B157-B156))</f>
        <v/>
      </c>
      <c r="J156" s="27">
        <f>IF(B156="","",IF(B155&lt;'02_Eingaben'!$C$36,0,J155+I155/'02_Eingaben'!$C$8))</f>
        <v/>
      </c>
    </row>
    <row r="157">
      <c r="A157">
        <f>IF('01_Rohdaten'!A157="","",ROW()-1)</f>
        <v/>
      </c>
      <c r="B157" s="27">
        <f>IF('01_Rohdaten'!A157="","",'01_Rohdaten'!A157)</f>
        <v/>
      </c>
      <c r="C157" s="27">
        <f>IF(B157="","",INDEX('01_Rohdaten'!B157:D157,'02_Eingaben'!$C$13))</f>
        <v/>
      </c>
      <c r="D157" s="27">
        <f>IF(C157="","",C157*'02_Eingaben'!$C$15)</f>
        <v/>
      </c>
      <c r="E157" s="27">
        <f>IF(D157="","",D157*'02_Eingaben'!$C$8)</f>
        <v/>
      </c>
      <c r="F157" s="27">
        <f>IF(E157="","",AVERAGE(INDEX($E$2:$E$3001,MAX(1,ROW()-1-'02_Eingaben'!$C$17)):INDEX($E$2:$E$3001,MIN('02_Eingaben'!$C$21,ROW()-1+'02_Eingaben'!$C$17))))</f>
        <v/>
      </c>
      <c r="G157" s="27">
        <f>IF(F157="","",F157-'02_Eingaben'!$C$10)</f>
        <v/>
      </c>
      <c r="H157">
        <f>IF(F157="","",IF(F157&lt;'02_Eingaben'!$C$18*'02_Eingaben'!$C$10,1,0))</f>
        <v/>
      </c>
      <c r="I157" s="27">
        <f>IF(OR(G157="",G158=""),"",(G157+G158)/2*(B158-B157))</f>
        <v/>
      </c>
      <c r="J157" s="27">
        <f>IF(B157="","",IF(B156&lt;'02_Eingaben'!$C$36,0,J156+I156/'02_Eingaben'!$C$8))</f>
        <v/>
      </c>
    </row>
    <row r="158">
      <c r="A158">
        <f>IF('01_Rohdaten'!A158="","",ROW()-1)</f>
        <v/>
      </c>
      <c r="B158" s="27">
        <f>IF('01_Rohdaten'!A158="","",'01_Rohdaten'!A158)</f>
        <v/>
      </c>
      <c r="C158" s="27">
        <f>IF(B158="","",INDEX('01_Rohdaten'!B158:D158,'02_Eingaben'!$C$13))</f>
        <v/>
      </c>
      <c r="D158" s="27">
        <f>IF(C158="","",C158*'02_Eingaben'!$C$15)</f>
        <v/>
      </c>
      <c r="E158" s="27">
        <f>IF(D158="","",D158*'02_Eingaben'!$C$8)</f>
        <v/>
      </c>
      <c r="F158" s="27">
        <f>IF(E158="","",AVERAGE(INDEX($E$2:$E$3001,MAX(1,ROW()-1-'02_Eingaben'!$C$17)):INDEX($E$2:$E$3001,MIN('02_Eingaben'!$C$21,ROW()-1+'02_Eingaben'!$C$17))))</f>
        <v/>
      </c>
      <c r="G158" s="27">
        <f>IF(F158="","",F158-'02_Eingaben'!$C$10)</f>
        <v/>
      </c>
      <c r="H158">
        <f>IF(F158="","",IF(F158&lt;'02_Eingaben'!$C$18*'02_Eingaben'!$C$10,1,0))</f>
        <v/>
      </c>
      <c r="I158" s="27">
        <f>IF(OR(G158="",G159=""),"",(G158+G159)/2*(B159-B158))</f>
        <v/>
      </c>
      <c r="J158" s="27">
        <f>IF(B158="","",IF(B157&lt;'02_Eingaben'!$C$36,0,J157+I157/'02_Eingaben'!$C$8))</f>
        <v/>
      </c>
    </row>
    <row r="159">
      <c r="A159">
        <f>IF('01_Rohdaten'!A159="","",ROW()-1)</f>
        <v/>
      </c>
      <c r="B159" s="27">
        <f>IF('01_Rohdaten'!A159="","",'01_Rohdaten'!A159)</f>
        <v/>
      </c>
      <c r="C159" s="27">
        <f>IF(B159="","",INDEX('01_Rohdaten'!B159:D159,'02_Eingaben'!$C$13))</f>
        <v/>
      </c>
      <c r="D159" s="27">
        <f>IF(C159="","",C159*'02_Eingaben'!$C$15)</f>
        <v/>
      </c>
      <c r="E159" s="27">
        <f>IF(D159="","",D159*'02_Eingaben'!$C$8)</f>
        <v/>
      </c>
      <c r="F159" s="27">
        <f>IF(E159="","",AVERAGE(INDEX($E$2:$E$3001,MAX(1,ROW()-1-'02_Eingaben'!$C$17)):INDEX($E$2:$E$3001,MIN('02_Eingaben'!$C$21,ROW()-1+'02_Eingaben'!$C$17))))</f>
        <v/>
      </c>
      <c r="G159" s="27">
        <f>IF(F159="","",F159-'02_Eingaben'!$C$10)</f>
        <v/>
      </c>
      <c r="H159">
        <f>IF(F159="","",IF(F159&lt;'02_Eingaben'!$C$18*'02_Eingaben'!$C$10,1,0))</f>
        <v/>
      </c>
      <c r="I159" s="27">
        <f>IF(OR(G159="",G160=""),"",(G159+G160)/2*(B160-B159))</f>
        <v/>
      </c>
      <c r="J159" s="27">
        <f>IF(B159="","",IF(B158&lt;'02_Eingaben'!$C$36,0,J158+I158/'02_Eingaben'!$C$8))</f>
        <v/>
      </c>
    </row>
    <row r="160">
      <c r="A160">
        <f>IF('01_Rohdaten'!A160="","",ROW()-1)</f>
        <v/>
      </c>
      <c r="B160" s="27">
        <f>IF('01_Rohdaten'!A160="","",'01_Rohdaten'!A160)</f>
        <v/>
      </c>
      <c r="C160" s="27">
        <f>IF(B160="","",INDEX('01_Rohdaten'!B160:D160,'02_Eingaben'!$C$13))</f>
        <v/>
      </c>
      <c r="D160" s="27">
        <f>IF(C160="","",C160*'02_Eingaben'!$C$15)</f>
        <v/>
      </c>
      <c r="E160" s="27">
        <f>IF(D160="","",D160*'02_Eingaben'!$C$8)</f>
        <v/>
      </c>
      <c r="F160" s="27">
        <f>IF(E160="","",AVERAGE(INDEX($E$2:$E$3001,MAX(1,ROW()-1-'02_Eingaben'!$C$17)):INDEX($E$2:$E$3001,MIN('02_Eingaben'!$C$21,ROW()-1+'02_Eingaben'!$C$17))))</f>
        <v/>
      </c>
      <c r="G160" s="27">
        <f>IF(F160="","",F160-'02_Eingaben'!$C$10)</f>
        <v/>
      </c>
      <c r="H160">
        <f>IF(F160="","",IF(F160&lt;'02_Eingaben'!$C$18*'02_Eingaben'!$C$10,1,0))</f>
        <v/>
      </c>
      <c r="I160" s="27">
        <f>IF(OR(G160="",G161=""),"",(G160+G161)/2*(B161-B160))</f>
        <v/>
      </c>
      <c r="J160" s="27">
        <f>IF(B160="","",IF(B159&lt;'02_Eingaben'!$C$36,0,J159+I159/'02_Eingaben'!$C$8))</f>
        <v/>
      </c>
    </row>
    <row r="161">
      <c r="A161">
        <f>IF('01_Rohdaten'!A161="","",ROW()-1)</f>
        <v/>
      </c>
      <c r="B161" s="27">
        <f>IF('01_Rohdaten'!A161="","",'01_Rohdaten'!A161)</f>
        <v/>
      </c>
      <c r="C161" s="27">
        <f>IF(B161="","",INDEX('01_Rohdaten'!B161:D161,'02_Eingaben'!$C$13))</f>
        <v/>
      </c>
      <c r="D161" s="27">
        <f>IF(C161="","",C161*'02_Eingaben'!$C$15)</f>
        <v/>
      </c>
      <c r="E161" s="27">
        <f>IF(D161="","",D161*'02_Eingaben'!$C$8)</f>
        <v/>
      </c>
      <c r="F161" s="27">
        <f>IF(E161="","",AVERAGE(INDEX($E$2:$E$3001,MAX(1,ROW()-1-'02_Eingaben'!$C$17)):INDEX($E$2:$E$3001,MIN('02_Eingaben'!$C$21,ROW()-1+'02_Eingaben'!$C$17))))</f>
        <v/>
      </c>
      <c r="G161" s="27">
        <f>IF(F161="","",F161-'02_Eingaben'!$C$10)</f>
        <v/>
      </c>
      <c r="H161">
        <f>IF(F161="","",IF(F161&lt;'02_Eingaben'!$C$18*'02_Eingaben'!$C$10,1,0))</f>
        <v/>
      </c>
      <c r="I161" s="27">
        <f>IF(OR(G161="",G162=""),"",(G161+G162)/2*(B162-B161))</f>
        <v/>
      </c>
      <c r="J161" s="27">
        <f>IF(B161="","",IF(B160&lt;'02_Eingaben'!$C$36,0,J160+I160/'02_Eingaben'!$C$8))</f>
        <v/>
      </c>
    </row>
    <row r="162">
      <c r="A162">
        <f>IF('01_Rohdaten'!A162="","",ROW()-1)</f>
        <v/>
      </c>
      <c r="B162" s="27">
        <f>IF('01_Rohdaten'!A162="","",'01_Rohdaten'!A162)</f>
        <v/>
      </c>
      <c r="C162" s="27">
        <f>IF(B162="","",INDEX('01_Rohdaten'!B162:D162,'02_Eingaben'!$C$13))</f>
        <v/>
      </c>
      <c r="D162" s="27">
        <f>IF(C162="","",C162*'02_Eingaben'!$C$15)</f>
        <v/>
      </c>
      <c r="E162" s="27">
        <f>IF(D162="","",D162*'02_Eingaben'!$C$8)</f>
        <v/>
      </c>
      <c r="F162" s="27">
        <f>IF(E162="","",AVERAGE(INDEX($E$2:$E$3001,MAX(1,ROW()-1-'02_Eingaben'!$C$17)):INDEX($E$2:$E$3001,MIN('02_Eingaben'!$C$21,ROW()-1+'02_Eingaben'!$C$17))))</f>
        <v/>
      </c>
      <c r="G162" s="27">
        <f>IF(F162="","",F162-'02_Eingaben'!$C$10)</f>
        <v/>
      </c>
      <c r="H162">
        <f>IF(F162="","",IF(F162&lt;'02_Eingaben'!$C$18*'02_Eingaben'!$C$10,1,0))</f>
        <v/>
      </c>
      <c r="I162" s="27">
        <f>IF(OR(G162="",G163=""),"",(G162+G163)/2*(B163-B162))</f>
        <v/>
      </c>
      <c r="J162" s="27">
        <f>IF(B162="","",IF(B161&lt;'02_Eingaben'!$C$36,0,J161+I161/'02_Eingaben'!$C$8))</f>
        <v/>
      </c>
    </row>
    <row r="163">
      <c r="A163">
        <f>IF('01_Rohdaten'!A163="","",ROW()-1)</f>
        <v/>
      </c>
      <c r="B163" s="27">
        <f>IF('01_Rohdaten'!A163="","",'01_Rohdaten'!A163)</f>
        <v/>
      </c>
      <c r="C163" s="27">
        <f>IF(B163="","",INDEX('01_Rohdaten'!B163:D163,'02_Eingaben'!$C$13))</f>
        <v/>
      </c>
      <c r="D163" s="27">
        <f>IF(C163="","",C163*'02_Eingaben'!$C$15)</f>
        <v/>
      </c>
      <c r="E163" s="27">
        <f>IF(D163="","",D163*'02_Eingaben'!$C$8)</f>
        <v/>
      </c>
      <c r="F163" s="27">
        <f>IF(E163="","",AVERAGE(INDEX($E$2:$E$3001,MAX(1,ROW()-1-'02_Eingaben'!$C$17)):INDEX($E$2:$E$3001,MIN('02_Eingaben'!$C$21,ROW()-1+'02_Eingaben'!$C$17))))</f>
        <v/>
      </c>
      <c r="G163" s="27">
        <f>IF(F163="","",F163-'02_Eingaben'!$C$10)</f>
        <v/>
      </c>
      <c r="H163">
        <f>IF(F163="","",IF(F163&lt;'02_Eingaben'!$C$18*'02_Eingaben'!$C$10,1,0))</f>
        <v/>
      </c>
      <c r="I163" s="27">
        <f>IF(OR(G163="",G164=""),"",(G163+G164)/2*(B164-B163))</f>
        <v/>
      </c>
      <c r="J163" s="27">
        <f>IF(B163="","",IF(B162&lt;'02_Eingaben'!$C$36,0,J162+I162/'02_Eingaben'!$C$8))</f>
        <v/>
      </c>
    </row>
    <row r="164">
      <c r="A164">
        <f>IF('01_Rohdaten'!A164="","",ROW()-1)</f>
        <v/>
      </c>
      <c r="B164" s="27">
        <f>IF('01_Rohdaten'!A164="","",'01_Rohdaten'!A164)</f>
        <v/>
      </c>
      <c r="C164" s="27">
        <f>IF(B164="","",INDEX('01_Rohdaten'!B164:D164,'02_Eingaben'!$C$13))</f>
        <v/>
      </c>
      <c r="D164" s="27">
        <f>IF(C164="","",C164*'02_Eingaben'!$C$15)</f>
        <v/>
      </c>
      <c r="E164" s="27">
        <f>IF(D164="","",D164*'02_Eingaben'!$C$8)</f>
        <v/>
      </c>
      <c r="F164" s="27">
        <f>IF(E164="","",AVERAGE(INDEX($E$2:$E$3001,MAX(1,ROW()-1-'02_Eingaben'!$C$17)):INDEX($E$2:$E$3001,MIN('02_Eingaben'!$C$21,ROW()-1+'02_Eingaben'!$C$17))))</f>
        <v/>
      </c>
      <c r="G164" s="27">
        <f>IF(F164="","",F164-'02_Eingaben'!$C$10)</f>
        <v/>
      </c>
      <c r="H164">
        <f>IF(F164="","",IF(F164&lt;'02_Eingaben'!$C$18*'02_Eingaben'!$C$10,1,0))</f>
        <v/>
      </c>
      <c r="I164" s="27">
        <f>IF(OR(G164="",G165=""),"",(G164+G165)/2*(B165-B164))</f>
        <v/>
      </c>
      <c r="J164" s="27">
        <f>IF(B164="","",IF(B163&lt;'02_Eingaben'!$C$36,0,J163+I163/'02_Eingaben'!$C$8))</f>
        <v/>
      </c>
    </row>
    <row r="165">
      <c r="A165">
        <f>IF('01_Rohdaten'!A165="","",ROW()-1)</f>
        <v/>
      </c>
      <c r="B165" s="27">
        <f>IF('01_Rohdaten'!A165="","",'01_Rohdaten'!A165)</f>
        <v/>
      </c>
      <c r="C165" s="27">
        <f>IF(B165="","",INDEX('01_Rohdaten'!B165:D165,'02_Eingaben'!$C$13))</f>
        <v/>
      </c>
      <c r="D165" s="27">
        <f>IF(C165="","",C165*'02_Eingaben'!$C$15)</f>
        <v/>
      </c>
      <c r="E165" s="27">
        <f>IF(D165="","",D165*'02_Eingaben'!$C$8)</f>
        <v/>
      </c>
      <c r="F165" s="27">
        <f>IF(E165="","",AVERAGE(INDEX($E$2:$E$3001,MAX(1,ROW()-1-'02_Eingaben'!$C$17)):INDEX($E$2:$E$3001,MIN('02_Eingaben'!$C$21,ROW()-1+'02_Eingaben'!$C$17))))</f>
        <v/>
      </c>
      <c r="G165" s="27">
        <f>IF(F165="","",F165-'02_Eingaben'!$C$10)</f>
        <v/>
      </c>
      <c r="H165">
        <f>IF(F165="","",IF(F165&lt;'02_Eingaben'!$C$18*'02_Eingaben'!$C$10,1,0))</f>
        <v/>
      </c>
      <c r="I165" s="27">
        <f>IF(OR(G165="",G166=""),"",(G165+G166)/2*(B166-B165))</f>
        <v/>
      </c>
      <c r="J165" s="27">
        <f>IF(B165="","",IF(B164&lt;'02_Eingaben'!$C$36,0,J164+I164/'02_Eingaben'!$C$8))</f>
        <v/>
      </c>
    </row>
    <row r="166">
      <c r="A166">
        <f>IF('01_Rohdaten'!A166="","",ROW()-1)</f>
        <v/>
      </c>
      <c r="B166" s="27">
        <f>IF('01_Rohdaten'!A166="","",'01_Rohdaten'!A166)</f>
        <v/>
      </c>
      <c r="C166" s="27">
        <f>IF(B166="","",INDEX('01_Rohdaten'!B166:D166,'02_Eingaben'!$C$13))</f>
        <v/>
      </c>
      <c r="D166" s="27">
        <f>IF(C166="","",C166*'02_Eingaben'!$C$15)</f>
        <v/>
      </c>
      <c r="E166" s="27">
        <f>IF(D166="","",D166*'02_Eingaben'!$C$8)</f>
        <v/>
      </c>
      <c r="F166" s="27">
        <f>IF(E166="","",AVERAGE(INDEX($E$2:$E$3001,MAX(1,ROW()-1-'02_Eingaben'!$C$17)):INDEX($E$2:$E$3001,MIN('02_Eingaben'!$C$21,ROW()-1+'02_Eingaben'!$C$17))))</f>
        <v/>
      </c>
      <c r="G166" s="27">
        <f>IF(F166="","",F166-'02_Eingaben'!$C$10)</f>
        <v/>
      </c>
      <c r="H166">
        <f>IF(F166="","",IF(F166&lt;'02_Eingaben'!$C$18*'02_Eingaben'!$C$10,1,0))</f>
        <v/>
      </c>
      <c r="I166" s="27">
        <f>IF(OR(G166="",G167=""),"",(G166+G167)/2*(B167-B166))</f>
        <v/>
      </c>
      <c r="J166" s="27">
        <f>IF(B166="","",IF(B165&lt;'02_Eingaben'!$C$36,0,J165+I165/'02_Eingaben'!$C$8))</f>
        <v/>
      </c>
    </row>
    <row r="167">
      <c r="A167">
        <f>IF('01_Rohdaten'!A167="","",ROW()-1)</f>
        <v/>
      </c>
      <c r="B167" s="27">
        <f>IF('01_Rohdaten'!A167="","",'01_Rohdaten'!A167)</f>
        <v/>
      </c>
      <c r="C167" s="27">
        <f>IF(B167="","",INDEX('01_Rohdaten'!B167:D167,'02_Eingaben'!$C$13))</f>
        <v/>
      </c>
      <c r="D167" s="27">
        <f>IF(C167="","",C167*'02_Eingaben'!$C$15)</f>
        <v/>
      </c>
      <c r="E167" s="27">
        <f>IF(D167="","",D167*'02_Eingaben'!$C$8)</f>
        <v/>
      </c>
      <c r="F167" s="27">
        <f>IF(E167="","",AVERAGE(INDEX($E$2:$E$3001,MAX(1,ROW()-1-'02_Eingaben'!$C$17)):INDEX($E$2:$E$3001,MIN('02_Eingaben'!$C$21,ROW()-1+'02_Eingaben'!$C$17))))</f>
        <v/>
      </c>
      <c r="G167" s="27">
        <f>IF(F167="","",F167-'02_Eingaben'!$C$10)</f>
        <v/>
      </c>
      <c r="H167">
        <f>IF(F167="","",IF(F167&lt;'02_Eingaben'!$C$18*'02_Eingaben'!$C$10,1,0))</f>
        <v/>
      </c>
      <c r="I167" s="27">
        <f>IF(OR(G167="",G168=""),"",(G167+G168)/2*(B168-B167))</f>
        <v/>
      </c>
      <c r="J167" s="27">
        <f>IF(B167="","",IF(B166&lt;'02_Eingaben'!$C$36,0,J166+I166/'02_Eingaben'!$C$8))</f>
        <v/>
      </c>
    </row>
    <row r="168">
      <c r="A168">
        <f>IF('01_Rohdaten'!A168="","",ROW()-1)</f>
        <v/>
      </c>
      <c r="B168" s="27">
        <f>IF('01_Rohdaten'!A168="","",'01_Rohdaten'!A168)</f>
        <v/>
      </c>
      <c r="C168" s="27">
        <f>IF(B168="","",INDEX('01_Rohdaten'!B168:D168,'02_Eingaben'!$C$13))</f>
        <v/>
      </c>
      <c r="D168" s="27">
        <f>IF(C168="","",C168*'02_Eingaben'!$C$15)</f>
        <v/>
      </c>
      <c r="E168" s="27">
        <f>IF(D168="","",D168*'02_Eingaben'!$C$8)</f>
        <v/>
      </c>
      <c r="F168" s="27">
        <f>IF(E168="","",AVERAGE(INDEX($E$2:$E$3001,MAX(1,ROW()-1-'02_Eingaben'!$C$17)):INDEX($E$2:$E$3001,MIN('02_Eingaben'!$C$21,ROW()-1+'02_Eingaben'!$C$17))))</f>
        <v/>
      </c>
      <c r="G168" s="27">
        <f>IF(F168="","",F168-'02_Eingaben'!$C$10)</f>
        <v/>
      </c>
      <c r="H168">
        <f>IF(F168="","",IF(F168&lt;'02_Eingaben'!$C$18*'02_Eingaben'!$C$10,1,0))</f>
        <v/>
      </c>
      <c r="I168" s="27">
        <f>IF(OR(G168="",G169=""),"",(G168+G169)/2*(B169-B168))</f>
        <v/>
      </c>
      <c r="J168" s="27">
        <f>IF(B168="","",IF(B167&lt;'02_Eingaben'!$C$36,0,J167+I167/'02_Eingaben'!$C$8))</f>
        <v/>
      </c>
    </row>
    <row r="169">
      <c r="A169">
        <f>IF('01_Rohdaten'!A169="","",ROW()-1)</f>
        <v/>
      </c>
      <c r="B169" s="27">
        <f>IF('01_Rohdaten'!A169="","",'01_Rohdaten'!A169)</f>
        <v/>
      </c>
      <c r="C169" s="27">
        <f>IF(B169="","",INDEX('01_Rohdaten'!B169:D169,'02_Eingaben'!$C$13))</f>
        <v/>
      </c>
      <c r="D169" s="27">
        <f>IF(C169="","",C169*'02_Eingaben'!$C$15)</f>
        <v/>
      </c>
      <c r="E169" s="27">
        <f>IF(D169="","",D169*'02_Eingaben'!$C$8)</f>
        <v/>
      </c>
      <c r="F169" s="27">
        <f>IF(E169="","",AVERAGE(INDEX($E$2:$E$3001,MAX(1,ROW()-1-'02_Eingaben'!$C$17)):INDEX($E$2:$E$3001,MIN('02_Eingaben'!$C$21,ROW()-1+'02_Eingaben'!$C$17))))</f>
        <v/>
      </c>
      <c r="G169" s="27">
        <f>IF(F169="","",F169-'02_Eingaben'!$C$10)</f>
        <v/>
      </c>
      <c r="H169">
        <f>IF(F169="","",IF(F169&lt;'02_Eingaben'!$C$18*'02_Eingaben'!$C$10,1,0))</f>
        <v/>
      </c>
      <c r="I169" s="27">
        <f>IF(OR(G169="",G170=""),"",(G169+G170)/2*(B170-B169))</f>
        <v/>
      </c>
      <c r="J169" s="27">
        <f>IF(B169="","",IF(B168&lt;'02_Eingaben'!$C$36,0,J168+I168/'02_Eingaben'!$C$8))</f>
        <v/>
      </c>
    </row>
    <row r="170">
      <c r="A170">
        <f>IF('01_Rohdaten'!A170="","",ROW()-1)</f>
        <v/>
      </c>
      <c r="B170" s="27">
        <f>IF('01_Rohdaten'!A170="","",'01_Rohdaten'!A170)</f>
        <v/>
      </c>
      <c r="C170" s="27">
        <f>IF(B170="","",INDEX('01_Rohdaten'!B170:D170,'02_Eingaben'!$C$13))</f>
        <v/>
      </c>
      <c r="D170" s="27">
        <f>IF(C170="","",C170*'02_Eingaben'!$C$15)</f>
        <v/>
      </c>
      <c r="E170" s="27">
        <f>IF(D170="","",D170*'02_Eingaben'!$C$8)</f>
        <v/>
      </c>
      <c r="F170" s="27">
        <f>IF(E170="","",AVERAGE(INDEX($E$2:$E$3001,MAX(1,ROW()-1-'02_Eingaben'!$C$17)):INDEX($E$2:$E$3001,MIN('02_Eingaben'!$C$21,ROW()-1+'02_Eingaben'!$C$17))))</f>
        <v/>
      </c>
      <c r="G170" s="27">
        <f>IF(F170="","",F170-'02_Eingaben'!$C$10)</f>
        <v/>
      </c>
      <c r="H170">
        <f>IF(F170="","",IF(F170&lt;'02_Eingaben'!$C$18*'02_Eingaben'!$C$10,1,0))</f>
        <v/>
      </c>
      <c r="I170" s="27">
        <f>IF(OR(G170="",G171=""),"",(G170+G171)/2*(B171-B170))</f>
        <v/>
      </c>
      <c r="J170" s="27">
        <f>IF(B170="","",IF(B169&lt;'02_Eingaben'!$C$36,0,J169+I169/'02_Eingaben'!$C$8))</f>
        <v/>
      </c>
    </row>
    <row r="171">
      <c r="A171">
        <f>IF('01_Rohdaten'!A171="","",ROW()-1)</f>
        <v/>
      </c>
      <c r="B171" s="27">
        <f>IF('01_Rohdaten'!A171="","",'01_Rohdaten'!A171)</f>
        <v/>
      </c>
      <c r="C171" s="27">
        <f>IF(B171="","",INDEX('01_Rohdaten'!B171:D171,'02_Eingaben'!$C$13))</f>
        <v/>
      </c>
      <c r="D171" s="27">
        <f>IF(C171="","",C171*'02_Eingaben'!$C$15)</f>
        <v/>
      </c>
      <c r="E171" s="27">
        <f>IF(D171="","",D171*'02_Eingaben'!$C$8)</f>
        <v/>
      </c>
      <c r="F171" s="27">
        <f>IF(E171="","",AVERAGE(INDEX($E$2:$E$3001,MAX(1,ROW()-1-'02_Eingaben'!$C$17)):INDEX($E$2:$E$3001,MIN('02_Eingaben'!$C$21,ROW()-1+'02_Eingaben'!$C$17))))</f>
        <v/>
      </c>
      <c r="G171" s="27">
        <f>IF(F171="","",F171-'02_Eingaben'!$C$10)</f>
        <v/>
      </c>
      <c r="H171">
        <f>IF(F171="","",IF(F171&lt;'02_Eingaben'!$C$18*'02_Eingaben'!$C$10,1,0))</f>
        <v/>
      </c>
      <c r="I171" s="27">
        <f>IF(OR(G171="",G172=""),"",(G171+G172)/2*(B172-B171))</f>
        <v/>
      </c>
      <c r="J171" s="27">
        <f>IF(B171="","",IF(B170&lt;'02_Eingaben'!$C$36,0,J170+I170/'02_Eingaben'!$C$8))</f>
        <v/>
      </c>
    </row>
    <row r="172">
      <c r="A172">
        <f>IF('01_Rohdaten'!A172="","",ROW()-1)</f>
        <v/>
      </c>
      <c r="B172" s="27">
        <f>IF('01_Rohdaten'!A172="","",'01_Rohdaten'!A172)</f>
        <v/>
      </c>
      <c r="C172" s="27">
        <f>IF(B172="","",INDEX('01_Rohdaten'!B172:D172,'02_Eingaben'!$C$13))</f>
        <v/>
      </c>
      <c r="D172" s="27">
        <f>IF(C172="","",C172*'02_Eingaben'!$C$15)</f>
        <v/>
      </c>
      <c r="E172" s="27">
        <f>IF(D172="","",D172*'02_Eingaben'!$C$8)</f>
        <v/>
      </c>
      <c r="F172" s="27">
        <f>IF(E172="","",AVERAGE(INDEX($E$2:$E$3001,MAX(1,ROW()-1-'02_Eingaben'!$C$17)):INDEX($E$2:$E$3001,MIN('02_Eingaben'!$C$21,ROW()-1+'02_Eingaben'!$C$17))))</f>
        <v/>
      </c>
      <c r="G172" s="27">
        <f>IF(F172="","",F172-'02_Eingaben'!$C$10)</f>
        <v/>
      </c>
      <c r="H172">
        <f>IF(F172="","",IF(F172&lt;'02_Eingaben'!$C$18*'02_Eingaben'!$C$10,1,0))</f>
        <v/>
      </c>
      <c r="I172" s="27">
        <f>IF(OR(G172="",G173=""),"",(G172+G173)/2*(B173-B172))</f>
        <v/>
      </c>
      <c r="J172" s="27">
        <f>IF(B172="","",IF(B171&lt;'02_Eingaben'!$C$36,0,J171+I171/'02_Eingaben'!$C$8))</f>
        <v/>
      </c>
    </row>
    <row r="173">
      <c r="A173">
        <f>IF('01_Rohdaten'!A173="","",ROW()-1)</f>
        <v/>
      </c>
      <c r="B173" s="27">
        <f>IF('01_Rohdaten'!A173="","",'01_Rohdaten'!A173)</f>
        <v/>
      </c>
      <c r="C173" s="27">
        <f>IF(B173="","",INDEX('01_Rohdaten'!B173:D173,'02_Eingaben'!$C$13))</f>
        <v/>
      </c>
      <c r="D173" s="27">
        <f>IF(C173="","",C173*'02_Eingaben'!$C$15)</f>
        <v/>
      </c>
      <c r="E173" s="27">
        <f>IF(D173="","",D173*'02_Eingaben'!$C$8)</f>
        <v/>
      </c>
      <c r="F173" s="27">
        <f>IF(E173="","",AVERAGE(INDEX($E$2:$E$3001,MAX(1,ROW()-1-'02_Eingaben'!$C$17)):INDEX($E$2:$E$3001,MIN('02_Eingaben'!$C$21,ROW()-1+'02_Eingaben'!$C$17))))</f>
        <v/>
      </c>
      <c r="G173" s="27">
        <f>IF(F173="","",F173-'02_Eingaben'!$C$10)</f>
        <v/>
      </c>
      <c r="H173">
        <f>IF(F173="","",IF(F173&lt;'02_Eingaben'!$C$18*'02_Eingaben'!$C$10,1,0))</f>
        <v/>
      </c>
      <c r="I173" s="27">
        <f>IF(OR(G173="",G174=""),"",(G173+G174)/2*(B174-B173))</f>
        <v/>
      </c>
      <c r="J173" s="27">
        <f>IF(B173="","",IF(B172&lt;'02_Eingaben'!$C$36,0,J172+I172/'02_Eingaben'!$C$8))</f>
        <v/>
      </c>
    </row>
    <row r="174">
      <c r="A174">
        <f>IF('01_Rohdaten'!A174="","",ROW()-1)</f>
        <v/>
      </c>
      <c r="B174" s="27">
        <f>IF('01_Rohdaten'!A174="","",'01_Rohdaten'!A174)</f>
        <v/>
      </c>
      <c r="C174" s="27">
        <f>IF(B174="","",INDEX('01_Rohdaten'!B174:D174,'02_Eingaben'!$C$13))</f>
        <v/>
      </c>
      <c r="D174" s="27">
        <f>IF(C174="","",C174*'02_Eingaben'!$C$15)</f>
        <v/>
      </c>
      <c r="E174" s="27">
        <f>IF(D174="","",D174*'02_Eingaben'!$C$8)</f>
        <v/>
      </c>
      <c r="F174" s="27">
        <f>IF(E174="","",AVERAGE(INDEX($E$2:$E$3001,MAX(1,ROW()-1-'02_Eingaben'!$C$17)):INDEX($E$2:$E$3001,MIN('02_Eingaben'!$C$21,ROW()-1+'02_Eingaben'!$C$17))))</f>
        <v/>
      </c>
      <c r="G174" s="27">
        <f>IF(F174="","",F174-'02_Eingaben'!$C$10)</f>
        <v/>
      </c>
      <c r="H174">
        <f>IF(F174="","",IF(F174&lt;'02_Eingaben'!$C$18*'02_Eingaben'!$C$10,1,0))</f>
        <v/>
      </c>
      <c r="I174" s="27">
        <f>IF(OR(G174="",G175=""),"",(G174+G175)/2*(B175-B174))</f>
        <v/>
      </c>
      <c r="J174" s="27">
        <f>IF(B174="","",IF(B173&lt;'02_Eingaben'!$C$36,0,J173+I173/'02_Eingaben'!$C$8))</f>
        <v/>
      </c>
    </row>
    <row r="175">
      <c r="A175">
        <f>IF('01_Rohdaten'!A175="","",ROW()-1)</f>
        <v/>
      </c>
      <c r="B175" s="27">
        <f>IF('01_Rohdaten'!A175="","",'01_Rohdaten'!A175)</f>
        <v/>
      </c>
      <c r="C175" s="27">
        <f>IF(B175="","",INDEX('01_Rohdaten'!B175:D175,'02_Eingaben'!$C$13))</f>
        <v/>
      </c>
      <c r="D175" s="27">
        <f>IF(C175="","",C175*'02_Eingaben'!$C$15)</f>
        <v/>
      </c>
      <c r="E175" s="27">
        <f>IF(D175="","",D175*'02_Eingaben'!$C$8)</f>
        <v/>
      </c>
      <c r="F175" s="27">
        <f>IF(E175="","",AVERAGE(INDEX($E$2:$E$3001,MAX(1,ROW()-1-'02_Eingaben'!$C$17)):INDEX($E$2:$E$3001,MIN('02_Eingaben'!$C$21,ROW()-1+'02_Eingaben'!$C$17))))</f>
        <v/>
      </c>
      <c r="G175" s="27">
        <f>IF(F175="","",F175-'02_Eingaben'!$C$10)</f>
        <v/>
      </c>
      <c r="H175">
        <f>IF(F175="","",IF(F175&lt;'02_Eingaben'!$C$18*'02_Eingaben'!$C$10,1,0))</f>
        <v/>
      </c>
      <c r="I175" s="27">
        <f>IF(OR(G175="",G176=""),"",(G175+G176)/2*(B176-B175))</f>
        <v/>
      </c>
      <c r="J175" s="27">
        <f>IF(B175="","",IF(B174&lt;'02_Eingaben'!$C$36,0,J174+I174/'02_Eingaben'!$C$8))</f>
        <v/>
      </c>
    </row>
    <row r="176">
      <c r="A176">
        <f>IF('01_Rohdaten'!A176="","",ROW()-1)</f>
        <v/>
      </c>
      <c r="B176" s="27">
        <f>IF('01_Rohdaten'!A176="","",'01_Rohdaten'!A176)</f>
        <v/>
      </c>
      <c r="C176" s="27">
        <f>IF(B176="","",INDEX('01_Rohdaten'!B176:D176,'02_Eingaben'!$C$13))</f>
        <v/>
      </c>
      <c r="D176" s="27">
        <f>IF(C176="","",C176*'02_Eingaben'!$C$15)</f>
        <v/>
      </c>
      <c r="E176" s="27">
        <f>IF(D176="","",D176*'02_Eingaben'!$C$8)</f>
        <v/>
      </c>
      <c r="F176" s="27">
        <f>IF(E176="","",AVERAGE(INDEX($E$2:$E$3001,MAX(1,ROW()-1-'02_Eingaben'!$C$17)):INDEX($E$2:$E$3001,MIN('02_Eingaben'!$C$21,ROW()-1+'02_Eingaben'!$C$17))))</f>
        <v/>
      </c>
      <c r="G176" s="27">
        <f>IF(F176="","",F176-'02_Eingaben'!$C$10)</f>
        <v/>
      </c>
      <c r="H176">
        <f>IF(F176="","",IF(F176&lt;'02_Eingaben'!$C$18*'02_Eingaben'!$C$10,1,0))</f>
        <v/>
      </c>
      <c r="I176" s="27">
        <f>IF(OR(G176="",G177=""),"",(G176+G177)/2*(B177-B176))</f>
        <v/>
      </c>
      <c r="J176" s="27">
        <f>IF(B176="","",IF(B175&lt;'02_Eingaben'!$C$36,0,J175+I175/'02_Eingaben'!$C$8))</f>
        <v/>
      </c>
    </row>
    <row r="177">
      <c r="A177">
        <f>IF('01_Rohdaten'!A177="","",ROW()-1)</f>
        <v/>
      </c>
      <c r="B177" s="27">
        <f>IF('01_Rohdaten'!A177="","",'01_Rohdaten'!A177)</f>
        <v/>
      </c>
      <c r="C177" s="27">
        <f>IF(B177="","",INDEX('01_Rohdaten'!B177:D177,'02_Eingaben'!$C$13))</f>
        <v/>
      </c>
      <c r="D177" s="27">
        <f>IF(C177="","",C177*'02_Eingaben'!$C$15)</f>
        <v/>
      </c>
      <c r="E177" s="27">
        <f>IF(D177="","",D177*'02_Eingaben'!$C$8)</f>
        <v/>
      </c>
      <c r="F177" s="27">
        <f>IF(E177="","",AVERAGE(INDEX($E$2:$E$3001,MAX(1,ROW()-1-'02_Eingaben'!$C$17)):INDEX($E$2:$E$3001,MIN('02_Eingaben'!$C$21,ROW()-1+'02_Eingaben'!$C$17))))</f>
        <v/>
      </c>
      <c r="G177" s="27">
        <f>IF(F177="","",F177-'02_Eingaben'!$C$10)</f>
        <v/>
      </c>
      <c r="H177">
        <f>IF(F177="","",IF(F177&lt;'02_Eingaben'!$C$18*'02_Eingaben'!$C$10,1,0))</f>
        <v/>
      </c>
      <c r="I177" s="27">
        <f>IF(OR(G177="",G178=""),"",(G177+G178)/2*(B178-B177))</f>
        <v/>
      </c>
      <c r="J177" s="27">
        <f>IF(B177="","",IF(B176&lt;'02_Eingaben'!$C$36,0,J176+I176/'02_Eingaben'!$C$8))</f>
        <v/>
      </c>
    </row>
    <row r="178">
      <c r="A178">
        <f>IF('01_Rohdaten'!A178="","",ROW()-1)</f>
        <v/>
      </c>
      <c r="B178" s="27">
        <f>IF('01_Rohdaten'!A178="","",'01_Rohdaten'!A178)</f>
        <v/>
      </c>
      <c r="C178" s="27">
        <f>IF(B178="","",INDEX('01_Rohdaten'!B178:D178,'02_Eingaben'!$C$13))</f>
        <v/>
      </c>
      <c r="D178" s="27">
        <f>IF(C178="","",C178*'02_Eingaben'!$C$15)</f>
        <v/>
      </c>
      <c r="E178" s="27">
        <f>IF(D178="","",D178*'02_Eingaben'!$C$8)</f>
        <v/>
      </c>
      <c r="F178" s="27">
        <f>IF(E178="","",AVERAGE(INDEX($E$2:$E$3001,MAX(1,ROW()-1-'02_Eingaben'!$C$17)):INDEX($E$2:$E$3001,MIN('02_Eingaben'!$C$21,ROW()-1+'02_Eingaben'!$C$17))))</f>
        <v/>
      </c>
      <c r="G178" s="27">
        <f>IF(F178="","",F178-'02_Eingaben'!$C$10)</f>
        <v/>
      </c>
      <c r="H178">
        <f>IF(F178="","",IF(F178&lt;'02_Eingaben'!$C$18*'02_Eingaben'!$C$10,1,0))</f>
        <v/>
      </c>
      <c r="I178" s="27">
        <f>IF(OR(G178="",G179=""),"",(G178+G179)/2*(B179-B178))</f>
        <v/>
      </c>
      <c r="J178" s="27">
        <f>IF(B178="","",IF(B177&lt;'02_Eingaben'!$C$36,0,J177+I177/'02_Eingaben'!$C$8))</f>
        <v/>
      </c>
    </row>
    <row r="179">
      <c r="A179">
        <f>IF('01_Rohdaten'!A179="","",ROW()-1)</f>
        <v/>
      </c>
      <c r="B179" s="27">
        <f>IF('01_Rohdaten'!A179="","",'01_Rohdaten'!A179)</f>
        <v/>
      </c>
      <c r="C179" s="27">
        <f>IF(B179="","",INDEX('01_Rohdaten'!B179:D179,'02_Eingaben'!$C$13))</f>
        <v/>
      </c>
      <c r="D179" s="27">
        <f>IF(C179="","",C179*'02_Eingaben'!$C$15)</f>
        <v/>
      </c>
      <c r="E179" s="27">
        <f>IF(D179="","",D179*'02_Eingaben'!$C$8)</f>
        <v/>
      </c>
      <c r="F179" s="27">
        <f>IF(E179="","",AVERAGE(INDEX($E$2:$E$3001,MAX(1,ROW()-1-'02_Eingaben'!$C$17)):INDEX($E$2:$E$3001,MIN('02_Eingaben'!$C$21,ROW()-1+'02_Eingaben'!$C$17))))</f>
        <v/>
      </c>
      <c r="G179" s="27">
        <f>IF(F179="","",F179-'02_Eingaben'!$C$10)</f>
        <v/>
      </c>
      <c r="H179">
        <f>IF(F179="","",IF(F179&lt;'02_Eingaben'!$C$18*'02_Eingaben'!$C$10,1,0))</f>
        <v/>
      </c>
      <c r="I179" s="27">
        <f>IF(OR(G179="",G180=""),"",(G179+G180)/2*(B180-B179))</f>
        <v/>
      </c>
      <c r="J179" s="27">
        <f>IF(B179="","",IF(B178&lt;'02_Eingaben'!$C$36,0,J178+I178/'02_Eingaben'!$C$8))</f>
        <v/>
      </c>
    </row>
    <row r="180">
      <c r="A180">
        <f>IF('01_Rohdaten'!A180="","",ROW()-1)</f>
        <v/>
      </c>
      <c r="B180" s="27">
        <f>IF('01_Rohdaten'!A180="","",'01_Rohdaten'!A180)</f>
        <v/>
      </c>
      <c r="C180" s="27">
        <f>IF(B180="","",INDEX('01_Rohdaten'!B180:D180,'02_Eingaben'!$C$13))</f>
        <v/>
      </c>
      <c r="D180" s="27">
        <f>IF(C180="","",C180*'02_Eingaben'!$C$15)</f>
        <v/>
      </c>
      <c r="E180" s="27">
        <f>IF(D180="","",D180*'02_Eingaben'!$C$8)</f>
        <v/>
      </c>
      <c r="F180" s="27">
        <f>IF(E180="","",AVERAGE(INDEX($E$2:$E$3001,MAX(1,ROW()-1-'02_Eingaben'!$C$17)):INDEX($E$2:$E$3001,MIN('02_Eingaben'!$C$21,ROW()-1+'02_Eingaben'!$C$17))))</f>
        <v/>
      </c>
      <c r="G180" s="27">
        <f>IF(F180="","",F180-'02_Eingaben'!$C$10)</f>
        <v/>
      </c>
      <c r="H180">
        <f>IF(F180="","",IF(F180&lt;'02_Eingaben'!$C$18*'02_Eingaben'!$C$10,1,0))</f>
        <v/>
      </c>
      <c r="I180" s="27">
        <f>IF(OR(G180="",G181=""),"",(G180+G181)/2*(B181-B180))</f>
        <v/>
      </c>
      <c r="J180" s="27">
        <f>IF(B180="","",IF(B179&lt;'02_Eingaben'!$C$36,0,J179+I179/'02_Eingaben'!$C$8))</f>
        <v/>
      </c>
    </row>
    <row r="181">
      <c r="A181">
        <f>IF('01_Rohdaten'!A181="","",ROW()-1)</f>
        <v/>
      </c>
      <c r="B181" s="27">
        <f>IF('01_Rohdaten'!A181="","",'01_Rohdaten'!A181)</f>
        <v/>
      </c>
      <c r="C181" s="27">
        <f>IF(B181="","",INDEX('01_Rohdaten'!B181:D181,'02_Eingaben'!$C$13))</f>
        <v/>
      </c>
      <c r="D181" s="27">
        <f>IF(C181="","",C181*'02_Eingaben'!$C$15)</f>
        <v/>
      </c>
      <c r="E181" s="27">
        <f>IF(D181="","",D181*'02_Eingaben'!$C$8)</f>
        <v/>
      </c>
      <c r="F181" s="27">
        <f>IF(E181="","",AVERAGE(INDEX($E$2:$E$3001,MAX(1,ROW()-1-'02_Eingaben'!$C$17)):INDEX($E$2:$E$3001,MIN('02_Eingaben'!$C$21,ROW()-1+'02_Eingaben'!$C$17))))</f>
        <v/>
      </c>
      <c r="G181" s="27">
        <f>IF(F181="","",F181-'02_Eingaben'!$C$10)</f>
        <v/>
      </c>
      <c r="H181">
        <f>IF(F181="","",IF(F181&lt;'02_Eingaben'!$C$18*'02_Eingaben'!$C$10,1,0))</f>
        <v/>
      </c>
      <c r="I181" s="27">
        <f>IF(OR(G181="",G182=""),"",(G181+G182)/2*(B182-B181))</f>
        <v/>
      </c>
      <c r="J181" s="27">
        <f>IF(B181="","",IF(B180&lt;'02_Eingaben'!$C$36,0,J180+I180/'02_Eingaben'!$C$8))</f>
        <v/>
      </c>
    </row>
    <row r="182">
      <c r="A182">
        <f>IF('01_Rohdaten'!A182="","",ROW()-1)</f>
        <v/>
      </c>
      <c r="B182" s="27">
        <f>IF('01_Rohdaten'!A182="","",'01_Rohdaten'!A182)</f>
        <v/>
      </c>
      <c r="C182" s="27">
        <f>IF(B182="","",INDEX('01_Rohdaten'!B182:D182,'02_Eingaben'!$C$13))</f>
        <v/>
      </c>
      <c r="D182" s="27">
        <f>IF(C182="","",C182*'02_Eingaben'!$C$15)</f>
        <v/>
      </c>
      <c r="E182" s="27">
        <f>IF(D182="","",D182*'02_Eingaben'!$C$8)</f>
        <v/>
      </c>
      <c r="F182" s="27">
        <f>IF(E182="","",AVERAGE(INDEX($E$2:$E$3001,MAX(1,ROW()-1-'02_Eingaben'!$C$17)):INDEX($E$2:$E$3001,MIN('02_Eingaben'!$C$21,ROW()-1+'02_Eingaben'!$C$17))))</f>
        <v/>
      </c>
      <c r="G182" s="27">
        <f>IF(F182="","",F182-'02_Eingaben'!$C$10)</f>
        <v/>
      </c>
      <c r="H182">
        <f>IF(F182="","",IF(F182&lt;'02_Eingaben'!$C$18*'02_Eingaben'!$C$10,1,0))</f>
        <v/>
      </c>
      <c r="I182" s="27">
        <f>IF(OR(G182="",G183=""),"",(G182+G183)/2*(B183-B182))</f>
        <v/>
      </c>
      <c r="J182" s="27">
        <f>IF(B182="","",IF(B181&lt;'02_Eingaben'!$C$36,0,J181+I181/'02_Eingaben'!$C$8))</f>
        <v/>
      </c>
    </row>
    <row r="183">
      <c r="A183">
        <f>IF('01_Rohdaten'!A183="","",ROW()-1)</f>
        <v/>
      </c>
      <c r="B183" s="27">
        <f>IF('01_Rohdaten'!A183="","",'01_Rohdaten'!A183)</f>
        <v/>
      </c>
      <c r="C183" s="27">
        <f>IF(B183="","",INDEX('01_Rohdaten'!B183:D183,'02_Eingaben'!$C$13))</f>
        <v/>
      </c>
      <c r="D183" s="27">
        <f>IF(C183="","",C183*'02_Eingaben'!$C$15)</f>
        <v/>
      </c>
      <c r="E183" s="27">
        <f>IF(D183="","",D183*'02_Eingaben'!$C$8)</f>
        <v/>
      </c>
      <c r="F183" s="27">
        <f>IF(E183="","",AVERAGE(INDEX($E$2:$E$3001,MAX(1,ROW()-1-'02_Eingaben'!$C$17)):INDEX($E$2:$E$3001,MIN('02_Eingaben'!$C$21,ROW()-1+'02_Eingaben'!$C$17))))</f>
        <v/>
      </c>
      <c r="G183" s="27">
        <f>IF(F183="","",F183-'02_Eingaben'!$C$10)</f>
        <v/>
      </c>
      <c r="H183">
        <f>IF(F183="","",IF(F183&lt;'02_Eingaben'!$C$18*'02_Eingaben'!$C$10,1,0))</f>
        <v/>
      </c>
      <c r="I183" s="27">
        <f>IF(OR(G183="",G184=""),"",(G183+G184)/2*(B184-B183))</f>
        <v/>
      </c>
      <c r="J183" s="27">
        <f>IF(B183="","",IF(B182&lt;'02_Eingaben'!$C$36,0,J182+I182/'02_Eingaben'!$C$8))</f>
        <v/>
      </c>
    </row>
    <row r="184">
      <c r="A184">
        <f>IF('01_Rohdaten'!A184="","",ROW()-1)</f>
        <v/>
      </c>
      <c r="B184" s="27">
        <f>IF('01_Rohdaten'!A184="","",'01_Rohdaten'!A184)</f>
        <v/>
      </c>
      <c r="C184" s="27">
        <f>IF(B184="","",INDEX('01_Rohdaten'!B184:D184,'02_Eingaben'!$C$13))</f>
        <v/>
      </c>
      <c r="D184" s="27">
        <f>IF(C184="","",C184*'02_Eingaben'!$C$15)</f>
        <v/>
      </c>
      <c r="E184" s="27">
        <f>IF(D184="","",D184*'02_Eingaben'!$C$8)</f>
        <v/>
      </c>
      <c r="F184" s="27">
        <f>IF(E184="","",AVERAGE(INDEX($E$2:$E$3001,MAX(1,ROW()-1-'02_Eingaben'!$C$17)):INDEX($E$2:$E$3001,MIN('02_Eingaben'!$C$21,ROW()-1+'02_Eingaben'!$C$17))))</f>
        <v/>
      </c>
      <c r="G184" s="27">
        <f>IF(F184="","",F184-'02_Eingaben'!$C$10)</f>
        <v/>
      </c>
      <c r="H184">
        <f>IF(F184="","",IF(F184&lt;'02_Eingaben'!$C$18*'02_Eingaben'!$C$10,1,0))</f>
        <v/>
      </c>
      <c r="I184" s="27">
        <f>IF(OR(G184="",G185=""),"",(G184+G185)/2*(B185-B184))</f>
        <v/>
      </c>
      <c r="J184" s="27">
        <f>IF(B184="","",IF(B183&lt;'02_Eingaben'!$C$36,0,J183+I183/'02_Eingaben'!$C$8))</f>
        <v/>
      </c>
    </row>
    <row r="185">
      <c r="A185">
        <f>IF('01_Rohdaten'!A185="","",ROW()-1)</f>
        <v/>
      </c>
      <c r="B185" s="27">
        <f>IF('01_Rohdaten'!A185="","",'01_Rohdaten'!A185)</f>
        <v/>
      </c>
      <c r="C185" s="27">
        <f>IF(B185="","",INDEX('01_Rohdaten'!B185:D185,'02_Eingaben'!$C$13))</f>
        <v/>
      </c>
      <c r="D185" s="27">
        <f>IF(C185="","",C185*'02_Eingaben'!$C$15)</f>
        <v/>
      </c>
      <c r="E185" s="27">
        <f>IF(D185="","",D185*'02_Eingaben'!$C$8)</f>
        <v/>
      </c>
      <c r="F185" s="27">
        <f>IF(E185="","",AVERAGE(INDEX($E$2:$E$3001,MAX(1,ROW()-1-'02_Eingaben'!$C$17)):INDEX($E$2:$E$3001,MIN('02_Eingaben'!$C$21,ROW()-1+'02_Eingaben'!$C$17))))</f>
        <v/>
      </c>
      <c r="G185" s="27">
        <f>IF(F185="","",F185-'02_Eingaben'!$C$10)</f>
        <v/>
      </c>
      <c r="H185">
        <f>IF(F185="","",IF(F185&lt;'02_Eingaben'!$C$18*'02_Eingaben'!$C$10,1,0))</f>
        <v/>
      </c>
      <c r="I185" s="27">
        <f>IF(OR(G185="",G186=""),"",(G185+G186)/2*(B186-B185))</f>
        <v/>
      </c>
      <c r="J185" s="27">
        <f>IF(B185="","",IF(B184&lt;'02_Eingaben'!$C$36,0,J184+I184/'02_Eingaben'!$C$8))</f>
        <v/>
      </c>
    </row>
    <row r="186">
      <c r="A186">
        <f>IF('01_Rohdaten'!A186="","",ROW()-1)</f>
        <v/>
      </c>
      <c r="B186" s="27">
        <f>IF('01_Rohdaten'!A186="","",'01_Rohdaten'!A186)</f>
        <v/>
      </c>
      <c r="C186" s="27">
        <f>IF(B186="","",INDEX('01_Rohdaten'!B186:D186,'02_Eingaben'!$C$13))</f>
        <v/>
      </c>
      <c r="D186" s="27">
        <f>IF(C186="","",C186*'02_Eingaben'!$C$15)</f>
        <v/>
      </c>
      <c r="E186" s="27">
        <f>IF(D186="","",D186*'02_Eingaben'!$C$8)</f>
        <v/>
      </c>
      <c r="F186" s="27">
        <f>IF(E186="","",AVERAGE(INDEX($E$2:$E$3001,MAX(1,ROW()-1-'02_Eingaben'!$C$17)):INDEX($E$2:$E$3001,MIN('02_Eingaben'!$C$21,ROW()-1+'02_Eingaben'!$C$17))))</f>
        <v/>
      </c>
      <c r="G186" s="27">
        <f>IF(F186="","",F186-'02_Eingaben'!$C$10)</f>
        <v/>
      </c>
      <c r="H186">
        <f>IF(F186="","",IF(F186&lt;'02_Eingaben'!$C$18*'02_Eingaben'!$C$10,1,0))</f>
        <v/>
      </c>
      <c r="I186" s="27">
        <f>IF(OR(G186="",G187=""),"",(G186+G187)/2*(B187-B186))</f>
        <v/>
      </c>
      <c r="J186" s="27">
        <f>IF(B186="","",IF(B185&lt;'02_Eingaben'!$C$36,0,J185+I185/'02_Eingaben'!$C$8))</f>
        <v/>
      </c>
    </row>
    <row r="187">
      <c r="A187">
        <f>IF('01_Rohdaten'!A187="","",ROW()-1)</f>
        <v/>
      </c>
      <c r="B187" s="27">
        <f>IF('01_Rohdaten'!A187="","",'01_Rohdaten'!A187)</f>
        <v/>
      </c>
      <c r="C187" s="27">
        <f>IF(B187="","",INDEX('01_Rohdaten'!B187:D187,'02_Eingaben'!$C$13))</f>
        <v/>
      </c>
      <c r="D187" s="27">
        <f>IF(C187="","",C187*'02_Eingaben'!$C$15)</f>
        <v/>
      </c>
      <c r="E187" s="27">
        <f>IF(D187="","",D187*'02_Eingaben'!$C$8)</f>
        <v/>
      </c>
      <c r="F187" s="27">
        <f>IF(E187="","",AVERAGE(INDEX($E$2:$E$3001,MAX(1,ROW()-1-'02_Eingaben'!$C$17)):INDEX($E$2:$E$3001,MIN('02_Eingaben'!$C$21,ROW()-1+'02_Eingaben'!$C$17))))</f>
        <v/>
      </c>
      <c r="G187" s="27">
        <f>IF(F187="","",F187-'02_Eingaben'!$C$10)</f>
        <v/>
      </c>
      <c r="H187">
        <f>IF(F187="","",IF(F187&lt;'02_Eingaben'!$C$18*'02_Eingaben'!$C$10,1,0))</f>
        <v/>
      </c>
      <c r="I187" s="27">
        <f>IF(OR(G187="",G188=""),"",(G187+G188)/2*(B188-B187))</f>
        <v/>
      </c>
      <c r="J187" s="27">
        <f>IF(B187="","",IF(B186&lt;'02_Eingaben'!$C$36,0,J186+I186/'02_Eingaben'!$C$8))</f>
        <v/>
      </c>
    </row>
    <row r="188">
      <c r="A188">
        <f>IF('01_Rohdaten'!A188="","",ROW()-1)</f>
        <v/>
      </c>
      <c r="B188" s="27">
        <f>IF('01_Rohdaten'!A188="","",'01_Rohdaten'!A188)</f>
        <v/>
      </c>
      <c r="C188" s="27">
        <f>IF(B188="","",INDEX('01_Rohdaten'!B188:D188,'02_Eingaben'!$C$13))</f>
        <v/>
      </c>
      <c r="D188" s="27">
        <f>IF(C188="","",C188*'02_Eingaben'!$C$15)</f>
        <v/>
      </c>
      <c r="E188" s="27">
        <f>IF(D188="","",D188*'02_Eingaben'!$C$8)</f>
        <v/>
      </c>
      <c r="F188" s="27">
        <f>IF(E188="","",AVERAGE(INDEX($E$2:$E$3001,MAX(1,ROW()-1-'02_Eingaben'!$C$17)):INDEX($E$2:$E$3001,MIN('02_Eingaben'!$C$21,ROW()-1+'02_Eingaben'!$C$17))))</f>
        <v/>
      </c>
      <c r="G188" s="27">
        <f>IF(F188="","",F188-'02_Eingaben'!$C$10)</f>
        <v/>
      </c>
      <c r="H188">
        <f>IF(F188="","",IF(F188&lt;'02_Eingaben'!$C$18*'02_Eingaben'!$C$10,1,0))</f>
        <v/>
      </c>
      <c r="I188" s="27">
        <f>IF(OR(G188="",G189=""),"",(G188+G189)/2*(B189-B188))</f>
        <v/>
      </c>
      <c r="J188" s="27">
        <f>IF(B188="","",IF(B187&lt;'02_Eingaben'!$C$36,0,J187+I187/'02_Eingaben'!$C$8))</f>
        <v/>
      </c>
    </row>
    <row r="189">
      <c r="A189">
        <f>IF('01_Rohdaten'!A189="","",ROW()-1)</f>
        <v/>
      </c>
      <c r="B189" s="27">
        <f>IF('01_Rohdaten'!A189="","",'01_Rohdaten'!A189)</f>
        <v/>
      </c>
      <c r="C189" s="27">
        <f>IF(B189="","",INDEX('01_Rohdaten'!B189:D189,'02_Eingaben'!$C$13))</f>
        <v/>
      </c>
      <c r="D189" s="27">
        <f>IF(C189="","",C189*'02_Eingaben'!$C$15)</f>
        <v/>
      </c>
      <c r="E189" s="27">
        <f>IF(D189="","",D189*'02_Eingaben'!$C$8)</f>
        <v/>
      </c>
      <c r="F189" s="27">
        <f>IF(E189="","",AVERAGE(INDEX($E$2:$E$3001,MAX(1,ROW()-1-'02_Eingaben'!$C$17)):INDEX($E$2:$E$3001,MIN('02_Eingaben'!$C$21,ROW()-1+'02_Eingaben'!$C$17))))</f>
        <v/>
      </c>
      <c r="G189" s="27">
        <f>IF(F189="","",F189-'02_Eingaben'!$C$10)</f>
        <v/>
      </c>
      <c r="H189">
        <f>IF(F189="","",IF(F189&lt;'02_Eingaben'!$C$18*'02_Eingaben'!$C$10,1,0))</f>
        <v/>
      </c>
      <c r="I189" s="27">
        <f>IF(OR(G189="",G190=""),"",(G189+G190)/2*(B190-B189))</f>
        <v/>
      </c>
      <c r="J189" s="27">
        <f>IF(B189="","",IF(B188&lt;'02_Eingaben'!$C$36,0,J188+I188/'02_Eingaben'!$C$8))</f>
        <v/>
      </c>
    </row>
    <row r="190">
      <c r="A190">
        <f>IF('01_Rohdaten'!A190="","",ROW()-1)</f>
        <v/>
      </c>
      <c r="B190" s="27">
        <f>IF('01_Rohdaten'!A190="","",'01_Rohdaten'!A190)</f>
        <v/>
      </c>
      <c r="C190" s="27">
        <f>IF(B190="","",INDEX('01_Rohdaten'!B190:D190,'02_Eingaben'!$C$13))</f>
        <v/>
      </c>
      <c r="D190" s="27">
        <f>IF(C190="","",C190*'02_Eingaben'!$C$15)</f>
        <v/>
      </c>
      <c r="E190" s="27">
        <f>IF(D190="","",D190*'02_Eingaben'!$C$8)</f>
        <v/>
      </c>
      <c r="F190" s="27">
        <f>IF(E190="","",AVERAGE(INDEX($E$2:$E$3001,MAX(1,ROW()-1-'02_Eingaben'!$C$17)):INDEX($E$2:$E$3001,MIN('02_Eingaben'!$C$21,ROW()-1+'02_Eingaben'!$C$17))))</f>
        <v/>
      </c>
      <c r="G190" s="27">
        <f>IF(F190="","",F190-'02_Eingaben'!$C$10)</f>
        <v/>
      </c>
      <c r="H190">
        <f>IF(F190="","",IF(F190&lt;'02_Eingaben'!$C$18*'02_Eingaben'!$C$10,1,0))</f>
        <v/>
      </c>
      <c r="I190" s="27">
        <f>IF(OR(G190="",G191=""),"",(G190+G191)/2*(B191-B190))</f>
        <v/>
      </c>
      <c r="J190" s="27">
        <f>IF(B190="","",IF(B189&lt;'02_Eingaben'!$C$36,0,J189+I189/'02_Eingaben'!$C$8))</f>
        <v/>
      </c>
    </row>
    <row r="191">
      <c r="A191">
        <f>IF('01_Rohdaten'!A191="","",ROW()-1)</f>
        <v/>
      </c>
      <c r="B191" s="27">
        <f>IF('01_Rohdaten'!A191="","",'01_Rohdaten'!A191)</f>
        <v/>
      </c>
      <c r="C191" s="27">
        <f>IF(B191="","",INDEX('01_Rohdaten'!B191:D191,'02_Eingaben'!$C$13))</f>
        <v/>
      </c>
      <c r="D191" s="27">
        <f>IF(C191="","",C191*'02_Eingaben'!$C$15)</f>
        <v/>
      </c>
      <c r="E191" s="27">
        <f>IF(D191="","",D191*'02_Eingaben'!$C$8)</f>
        <v/>
      </c>
      <c r="F191" s="27">
        <f>IF(E191="","",AVERAGE(INDEX($E$2:$E$3001,MAX(1,ROW()-1-'02_Eingaben'!$C$17)):INDEX($E$2:$E$3001,MIN('02_Eingaben'!$C$21,ROW()-1+'02_Eingaben'!$C$17))))</f>
        <v/>
      </c>
      <c r="G191" s="27">
        <f>IF(F191="","",F191-'02_Eingaben'!$C$10)</f>
        <v/>
      </c>
      <c r="H191">
        <f>IF(F191="","",IF(F191&lt;'02_Eingaben'!$C$18*'02_Eingaben'!$C$10,1,0))</f>
        <v/>
      </c>
      <c r="I191" s="27">
        <f>IF(OR(G191="",G192=""),"",(G191+G192)/2*(B192-B191))</f>
        <v/>
      </c>
      <c r="J191" s="27">
        <f>IF(B191="","",IF(B190&lt;'02_Eingaben'!$C$36,0,J190+I190/'02_Eingaben'!$C$8))</f>
        <v/>
      </c>
    </row>
    <row r="192">
      <c r="A192">
        <f>IF('01_Rohdaten'!A192="","",ROW()-1)</f>
        <v/>
      </c>
      <c r="B192" s="27">
        <f>IF('01_Rohdaten'!A192="","",'01_Rohdaten'!A192)</f>
        <v/>
      </c>
      <c r="C192" s="27">
        <f>IF(B192="","",INDEX('01_Rohdaten'!B192:D192,'02_Eingaben'!$C$13))</f>
        <v/>
      </c>
      <c r="D192" s="27">
        <f>IF(C192="","",C192*'02_Eingaben'!$C$15)</f>
        <v/>
      </c>
      <c r="E192" s="27">
        <f>IF(D192="","",D192*'02_Eingaben'!$C$8)</f>
        <v/>
      </c>
      <c r="F192" s="27">
        <f>IF(E192="","",AVERAGE(INDEX($E$2:$E$3001,MAX(1,ROW()-1-'02_Eingaben'!$C$17)):INDEX($E$2:$E$3001,MIN('02_Eingaben'!$C$21,ROW()-1+'02_Eingaben'!$C$17))))</f>
        <v/>
      </c>
      <c r="G192" s="27">
        <f>IF(F192="","",F192-'02_Eingaben'!$C$10)</f>
        <v/>
      </c>
      <c r="H192">
        <f>IF(F192="","",IF(F192&lt;'02_Eingaben'!$C$18*'02_Eingaben'!$C$10,1,0))</f>
        <v/>
      </c>
      <c r="I192" s="27">
        <f>IF(OR(G192="",G193=""),"",(G192+G193)/2*(B193-B192))</f>
        <v/>
      </c>
      <c r="J192" s="27">
        <f>IF(B192="","",IF(B191&lt;'02_Eingaben'!$C$36,0,J191+I191/'02_Eingaben'!$C$8))</f>
        <v/>
      </c>
    </row>
    <row r="193">
      <c r="A193">
        <f>IF('01_Rohdaten'!A193="","",ROW()-1)</f>
        <v/>
      </c>
      <c r="B193" s="27">
        <f>IF('01_Rohdaten'!A193="","",'01_Rohdaten'!A193)</f>
        <v/>
      </c>
      <c r="C193" s="27">
        <f>IF(B193="","",INDEX('01_Rohdaten'!B193:D193,'02_Eingaben'!$C$13))</f>
        <v/>
      </c>
      <c r="D193" s="27">
        <f>IF(C193="","",C193*'02_Eingaben'!$C$15)</f>
        <v/>
      </c>
      <c r="E193" s="27">
        <f>IF(D193="","",D193*'02_Eingaben'!$C$8)</f>
        <v/>
      </c>
      <c r="F193" s="27">
        <f>IF(E193="","",AVERAGE(INDEX($E$2:$E$3001,MAX(1,ROW()-1-'02_Eingaben'!$C$17)):INDEX($E$2:$E$3001,MIN('02_Eingaben'!$C$21,ROW()-1+'02_Eingaben'!$C$17))))</f>
        <v/>
      </c>
      <c r="G193" s="27">
        <f>IF(F193="","",F193-'02_Eingaben'!$C$10)</f>
        <v/>
      </c>
      <c r="H193">
        <f>IF(F193="","",IF(F193&lt;'02_Eingaben'!$C$18*'02_Eingaben'!$C$10,1,0))</f>
        <v/>
      </c>
      <c r="I193" s="27">
        <f>IF(OR(G193="",G194=""),"",(G193+G194)/2*(B194-B193))</f>
        <v/>
      </c>
      <c r="J193" s="27">
        <f>IF(B193="","",IF(B192&lt;'02_Eingaben'!$C$36,0,J192+I192/'02_Eingaben'!$C$8))</f>
        <v/>
      </c>
    </row>
    <row r="194">
      <c r="A194">
        <f>IF('01_Rohdaten'!A194="","",ROW()-1)</f>
        <v/>
      </c>
      <c r="B194" s="27">
        <f>IF('01_Rohdaten'!A194="","",'01_Rohdaten'!A194)</f>
        <v/>
      </c>
      <c r="C194" s="27">
        <f>IF(B194="","",INDEX('01_Rohdaten'!B194:D194,'02_Eingaben'!$C$13))</f>
        <v/>
      </c>
      <c r="D194" s="27">
        <f>IF(C194="","",C194*'02_Eingaben'!$C$15)</f>
        <v/>
      </c>
      <c r="E194" s="27">
        <f>IF(D194="","",D194*'02_Eingaben'!$C$8)</f>
        <v/>
      </c>
      <c r="F194" s="27">
        <f>IF(E194="","",AVERAGE(INDEX($E$2:$E$3001,MAX(1,ROW()-1-'02_Eingaben'!$C$17)):INDEX($E$2:$E$3001,MIN('02_Eingaben'!$C$21,ROW()-1+'02_Eingaben'!$C$17))))</f>
        <v/>
      </c>
      <c r="G194" s="27">
        <f>IF(F194="","",F194-'02_Eingaben'!$C$10)</f>
        <v/>
      </c>
      <c r="H194">
        <f>IF(F194="","",IF(F194&lt;'02_Eingaben'!$C$18*'02_Eingaben'!$C$10,1,0))</f>
        <v/>
      </c>
      <c r="I194" s="27">
        <f>IF(OR(G194="",G195=""),"",(G194+G195)/2*(B195-B194))</f>
        <v/>
      </c>
      <c r="J194" s="27">
        <f>IF(B194="","",IF(B193&lt;'02_Eingaben'!$C$36,0,J193+I193/'02_Eingaben'!$C$8))</f>
        <v/>
      </c>
    </row>
    <row r="195">
      <c r="A195">
        <f>IF('01_Rohdaten'!A195="","",ROW()-1)</f>
        <v/>
      </c>
      <c r="B195" s="27">
        <f>IF('01_Rohdaten'!A195="","",'01_Rohdaten'!A195)</f>
        <v/>
      </c>
      <c r="C195" s="27">
        <f>IF(B195="","",INDEX('01_Rohdaten'!B195:D195,'02_Eingaben'!$C$13))</f>
        <v/>
      </c>
      <c r="D195" s="27">
        <f>IF(C195="","",C195*'02_Eingaben'!$C$15)</f>
        <v/>
      </c>
      <c r="E195" s="27">
        <f>IF(D195="","",D195*'02_Eingaben'!$C$8)</f>
        <v/>
      </c>
      <c r="F195" s="27">
        <f>IF(E195="","",AVERAGE(INDEX($E$2:$E$3001,MAX(1,ROW()-1-'02_Eingaben'!$C$17)):INDEX($E$2:$E$3001,MIN('02_Eingaben'!$C$21,ROW()-1+'02_Eingaben'!$C$17))))</f>
        <v/>
      </c>
      <c r="G195" s="27">
        <f>IF(F195="","",F195-'02_Eingaben'!$C$10)</f>
        <v/>
      </c>
      <c r="H195">
        <f>IF(F195="","",IF(F195&lt;'02_Eingaben'!$C$18*'02_Eingaben'!$C$10,1,0))</f>
        <v/>
      </c>
      <c r="I195" s="27">
        <f>IF(OR(G195="",G196=""),"",(G195+G196)/2*(B196-B195))</f>
        <v/>
      </c>
      <c r="J195" s="27">
        <f>IF(B195="","",IF(B194&lt;'02_Eingaben'!$C$36,0,J194+I194/'02_Eingaben'!$C$8))</f>
        <v/>
      </c>
    </row>
    <row r="196">
      <c r="A196">
        <f>IF('01_Rohdaten'!A196="","",ROW()-1)</f>
        <v/>
      </c>
      <c r="B196" s="27">
        <f>IF('01_Rohdaten'!A196="","",'01_Rohdaten'!A196)</f>
        <v/>
      </c>
      <c r="C196" s="27">
        <f>IF(B196="","",INDEX('01_Rohdaten'!B196:D196,'02_Eingaben'!$C$13))</f>
        <v/>
      </c>
      <c r="D196" s="27">
        <f>IF(C196="","",C196*'02_Eingaben'!$C$15)</f>
        <v/>
      </c>
      <c r="E196" s="27">
        <f>IF(D196="","",D196*'02_Eingaben'!$C$8)</f>
        <v/>
      </c>
      <c r="F196" s="27">
        <f>IF(E196="","",AVERAGE(INDEX($E$2:$E$3001,MAX(1,ROW()-1-'02_Eingaben'!$C$17)):INDEX($E$2:$E$3001,MIN('02_Eingaben'!$C$21,ROW()-1+'02_Eingaben'!$C$17))))</f>
        <v/>
      </c>
      <c r="G196" s="27">
        <f>IF(F196="","",F196-'02_Eingaben'!$C$10)</f>
        <v/>
      </c>
      <c r="H196">
        <f>IF(F196="","",IF(F196&lt;'02_Eingaben'!$C$18*'02_Eingaben'!$C$10,1,0))</f>
        <v/>
      </c>
      <c r="I196" s="27">
        <f>IF(OR(G196="",G197=""),"",(G196+G197)/2*(B197-B196))</f>
        <v/>
      </c>
      <c r="J196" s="27">
        <f>IF(B196="","",IF(B195&lt;'02_Eingaben'!$C$36,0,J195+I195/'02_Eingaben'!$C$8))</f>
        <v/>
      </c>
    </row>
    <row r="197">
      <c r="A197">
        <f>IF('01_Rohdaten'!A197="","",ROW()-1)</f>
        <v/>
      </c>
      <c r="B197" s="27">
        <f>IF('01_Rohdaten'!A197="","",'01_Rohdaten'!A197)</f>
        <v/>
      </c>
      <c r="C197" s="27">
        <f>IF(B197="","",INDEX('01_Rohdaten'!B197:D197,'02_Eingaben'!$C$13))</f>
        <v/>
      </c>
      <c r="D197" s="27">
        <f>IF(C197="","",C197*'02_Eingaben'!$C$15)</f>
        <v/>
      </c>
      <c r="E197" s="27">
        <f>IF(D197="","",D197*'02_Eingaben'!$C$8)</f>
        <v/>
      </c>
      <c r="F197" s="27">
        <f>IF(E197="","",AVERAGE(INDEX($E$2:$E$3001,MAX(1,ROW()-1-'02_Eingaben'!$C$17)):INDEX($E$2:$E$3001,MIN('02_Eingaben'!$C$21,ROW()-1+'02_Eingaben'!$C$17))))</f>
        <v/>
      </c>
      <c r="G197" s="27">
        <f>IF(F197="","",F197-'02_Eingaben'!$C$10)</f>
        <v/>
      </c>
      <c r="H197">
        <f>IF(F197="","",IF(F197&lt;'02_Eingaben'!$C$18*'02_Eingaben'!$C$10,1,0))</f>
        <v/>
      </c>
      <c r="I197" s="27">
        <f>IF(OR(G197="",G198=""),"",(G197+G198)/2*(B198-B197))</f>
        <v/>
      </c>
      <c r="J197" s="27">
        <f>IF(B197="","",IF(B196&lt;'02_Eingaben'!$C$36,0,J196+I196/'02_Eingaben'!$C$8))</f>
        <v/>
      </c>
    </row>
    <row r="198">
      <c r="A198">
        <f>IF('01_Rohdaten'!A198="","",ROW()-1)</f>
        <v/>
      </c>
      <c r="B198" s="27">
        <f>IF('01_Rohdaten'!A198="","",'01_Rohdaten'!A198)</f>
        <v/>
      </c>
      <c r="C198" s="27">
        <f>IF(B198="","",INDEX('01_Rohdaten'!B198:D198,'02_Eingaben'!$C$13))</f>
        <v/>
      </c>
      <c r="D198" s="27">
        <f>IF(C198="","",C198*'02_Eingaben'!$C$15)</f>
        <v/>
      </c>
      <c r="E198" s="27">
        <f>IF(D198="","",D198*'02_Eingaben'!$C$8)</f>
        <v/>
      </c>
      <c r="F198" s="27">
        <f>IF(E198="","",AVERAGE(INDEX($E$2:$E$3001,MAX(1,ROW()-1-'02_Eingaben'!$C$17)):INDEX($E$2:$E$3001,MIN('02_Eingaben'!$C$21,ROW()-1+'02_Eingaben'!$C$17))))</f>
        <v/>
      </c>
      <c r="G198" s="27">
        <f>IF(F198="","",F198-'02_Eingaben'!$C$10)</f>
        <v/>
      </c>
      <c r="H198">
        <f>IF(F198="","",IF(F198&lt;'02_Eingaben'!$C$18*'02_Eingaben'!$C$10,1,0))</f>
        <v/>
      </c>
      <c r="I198" s="27">
        <f>IF(OR(G198="",G199=""),"",(G198+G199)/2*(B199-B198))</f>
        <v/>
      </c>
      <c r="J198" s="27">
        <f>IF(B198="","",IF(B197&lt;'02_Eingaben'!$C$36,0,J197+I197/'02_Eingaben'!$C$8))</f>
        <v/>
      </c>
    </row>
    <row r="199">
      <c r="A199">
        <f>IF('01_Rohdaten'!A199="","",ROW()-1)</f>
        <v/>
      </c>
      <c r="B199" s="27">
        <f>IF('01_Rohdaten'!A199="","",'01_Rohdaten'!A199)</f>
        <v/>
      </c>
      <c r="C199" s="27">
        <f>IF(B199="","",INDEX('01_Rohdaten'!B199:D199,'02_Eingaben'!$C$13))</f>
        <v/>
      </c>
      <c r="D199" s="27">
        <f>IF(C199="","",C199*'02_Eingaben'!$C$15)</f>
        <v/>
      </c>
      <c r="E199" s="27">
        <f>IF(D199="","",D199*'02_Eingaben'!$C$8)</f>
        <v/>
      </c>
      <c r="F199" s="27">
        <f>IF(E199="","",AVERAGE(INDEX($E$2:$E$3001,MAX(1,ROW()-1-'02_Eingaben'!$C$17)):INDEX($E$2:$E$3001,MIN('02_Eingaben'!$C$21,ROW()-1+'02_Eingaben'!$C$17))))</f>
        <v/>
      </c>
      <c r="G199" s="27">
        <f>IF(F199="","",F199-'02_Eingaben'!$C$10)</f>
        <v/>
      </c>
      <c r="H199">
        <f>IF(F199="","",IF(F199&lt;'02_Eingaben'!$C$18*'02_Eingaben'!$C$10,1,0))</f>
        <v/>
      </c>
      <c r="I199" s="27">
        <f>IF(OR(G199="",G200=""),"",(G199+G200)/2*(B200-B199))</f>
        <v/>
      </c>
      <c r="J199" s="27">
        <f>IF(B199="","",IF(B198&lt;'02_Eingaben'!$C$36,0,J198+I198/'02_Eingaben'!$C$8))</f>
        <v/>
      </c>
    </row>
    <row r="200">
      <c r="A200">
        <f>IF('01_Rohdaten'!A200="","",ROW()-1)</f>
        <v/>
      </c>
      <c r="B200" s="27">
        <f>IF('01_Rohdaten'!A200="","",'01_Rohdaten'!A200)</f>
        <v/>
      </c>
      <c r="C200" s="27">
        <f>IF(B200="","",INDEX('01_Rohdaten'!B200:D200,'02_Eingaben'!$C$13))</f>
        <v/>
      </c>
      <c r="D200" s="27">
        <f>IF(C200="","",C200*'02_Eingaben'!$C$15)</f>
        <v/>
      </c>
      <c r="E200" s="27">
        <f>IF(D200="","",D200*'02_Eingaben'!$C$8)</f>
        <v/>
      </c>
      <c r="F200" s="27">
        <f>IF(E200="","",AVERAGE(INDEX($E$2:$E$3001,MAX(1,ROW()-1-'02_Eingaben'!$C$17)):INDEX($E$2:$E$3001,MIN('02_Eingaben'!$C$21,ROW()-1+'02_Eingaben'!$C$17))))</f>
        <v/>
      </c>
      <c r="G200" s="27">
        <f>IF(F200="","",F200-'02_Eingaben'!$C$10)</f>
        <v/>
      </c>
      <c r="H200">
        <f>IF(F200="","",IF(F200&lt;'02_Eingaben'!$C$18*'02_Eingaben'!$C$10,1,0))</f>
        <v/>
      </c>
      <c r="I200" s="27">
        <f>IF(OR(G200="",G201=""),"",(G200+G201)/2*(B201-B200))</f>
        <v/>
      </c>
      <c r="J200" s="27">
        <f>IF(B200="","",IF(B199&lt;'02_Eingaben'!$C$36,0,J199+I199/'02_Eingaben'!$C$8))</f>
        <v/>
      </c>
    </row>
    <row r="201">
      <c r="A201">
        <f>IF('01_Rohdaten'!A201="","",ROW()-1)</f>
        <v/>
      </c>
      <c r="B201" s="27">
        <f>IF('01_Rohdaten'!A201="","",'01_Rohdaten'!A201)</f>
        <v/>
      </c>
      <c r="C201" s="27">
        <f>IF(B201="","",INDEX('01_Rohdaten'!B201:D201,'02_Eingaben'!$C$13))</f>
        <v/>
      </c>
      <c r="D201" s="27">
        <f>IF(C201="","",C201*'02_Eingaben'!$C$15)</f>
        <v/>
      </c>
      <c r="E201" s="27">
        <f>IF(D201="","",D201*'02_Eingaben'!$C$8)</f>
        <v/>
      </c>
      <c r="F201" s="27">
        <f>IF(E201="","",AVERAGE(INDEX($E$2:$E$3001,MAX(1,ROW()-1-'02_Eingaben'!$C$17)):INDEX($E$2:$E$3001,MIN('02_Eingaben'!$C$21,ROW()-1+'02_Eingaben'!$C$17))))</f>
        <v/>
      </c>
      <c r="G201" s="27">
        <f>IF(F201="","",F201-'02_Eingaben'!$C$10)</f>
        <v/>
      </c>
      <c r="H201">
        <f>IF(F201="","",IF(F201&lt;'02_Eingaben'!$C$18*'02_Eingaben'!$C$10,1,0))</f>
        <v/>
      </c>
      <c r="I201" s="27">
        <f>IF(OR(G201="",G202=""),"",(G201+G202)/2*(B202-B201))</f>
        <v/>
      </c>
      <c r="J201" s="27">
        <f>IF(B201="","",IF(B200&lt;'02_Eingaben'!$C$36,0,J200+I200/'02_Eingaben'!$C$8))</f>
        <v/>
      </c>
    </row>
    <row r="202">
      <c r="A202">
        <f>IF('01_Rohdaten'!A202="","",ROW()-1)</f>
        <v/>
      </c>
      <c r="B202" s="27">
        <f>IF('01_Rohdaten'!A202="","",'01_Rohdaten'!A202)</f>
        <v/>
      </c>
      <c r="C202" s="27">
        <f>IF(B202="","",INDEX('01_Rohdaten'!B202:D202,'02_Eingaben'!$C$13))</f>
        <v/>
      </c>
      <c r="D202" s="27">
        <f>IF(C202="","",C202*'02_Eingaben'!$C$15)</f>
        <v/>
      </c>
      <c r="E202" s="27">
        <f>IF(D202="","",D202*'02_Eingaben'!$C$8)</f>
        <v/>
      </c>
      <c r="F202" s="27">
        <f>IF(E202="","",AVERAGE(INDEX($E$2:$E$3001,MAX(1,ROW()-1-'02_Eingaben'!$C$17)):INDEX($E$2:$E$3001,MIN('02_Eingaben'!$C$21,ROW()-1+'02_Eingaben'!$C$17))))</f>
        <v/>
      </c>
      <c r="G202" s="27">
        <f>IF(F202="","",F202-'02_Eingaben'!$C$10)</f>
        <v/>
      </c>
      <c r="H202">
        <f>IF(F202="","",IF(F202&lt;'02_Eingaben'!$C$18*'02_Eingaben'!$C$10,1,0))</f>
        <v/>
      </c>
      <c r="I202" s="27">
        <f>IF(OR(G202="",G203=""),"",(G202+G203)/2*(B203-B202))</f>
        <v/>
      </c>
      <c r="J202" s="27">
        <f>IF(B202="","",IF(B201&lt;'02_Eingaben'!$C$36,0,J201+I201/'02_Eingaben'!$C$8))</f>
        <v/>
      </c>
    </row>
    <row r="203">
      <c r="A203">
        <f>IF('01_Rohdaten'!A203="","",ROW()-1)</f>
        <v/>
      </c>
      <c r="B203" s="27">
        <f>IF('01_Rohdaten'!A203="","",'01_Rohdaten'!A203)</f>
        <v/>
      </c>
      <c r="C203" s="27">
        <f>IF(B203="","",INDEX('01_Rohdaten'!B203:D203,'02_Eingaben'!$C$13))</f>
        <v/>
      </c>
      <c r="D203" s="27">
        <f>IF(C203="","",C203*'02_Eingaben'!$C$15)</f>
        <v/>
      </c>
      <c r="E203" s="27">
        <f>IF(D203="","",D203*'02_Eingaben'!$C$8)</f>
        <v/>
      </c>
      <c r="F203" s="27">
        <f>IF(E203="","",AVERAGE(INDEX($E$2:$E$3001,MAX(1,ROW()-1-'02_Eingaben'!$C$17)):INDEX($E$2:$E$3001,MIN('02_Eingaben'!$C$21,ROW()-1+'02_Eingaben'!$C$17))))</f>
        <v/>
      </c>
      <c r="G203" s="27">
        <f>IF(F203="","",F203-'02_Eingaben'!$C$10)</f>
        <v/>
      </c>
      <c r="H203">
        <f>IF(F203="","",IF(F203&lt;'02_Eingaben'!$C$18*'02_Eingaben'!$C$10,1,0))</f>
        <v/>
      </c>
      <c r="I203" s="27">
        <f>IF(OR(G203="",G204=""),"",(G203+G204)/2*(B204-B203))</f>
        <v/>
      </c>
      <c r="J203" s="27">
        <f>IF(B203="","",IF(B202&lt;'02_Eingaben'!$C$36,0,J202+I202/'02_Eingaben'!$C$8))</f>
        <v/>
      </c>
    </row>
    <row r="204">
      <c r="A204">
        <f>IF('01_Rohdaten'!A204="","",ROW()-1)</f>
        <v/>
      </c>
      <c r="B204" s="27">
        <f>IF('01_Rohdaten'!A204="","",'01_Rohdaten'!A204)</f>
        <v/>
      </c>
      <c r="C204" s="27">
        <f>IF(B204="","",INDEX('01_Rohdaten'!B204:D204,'02_Eingaben'!$C$13))</f>
        <v/>
      </c>
      <c r="D204" s="27">
        <f>IF(C204="","",C204*'02_Eingaben'!$C$15)</f>
        <v/>
      </c>
      <c r="E204" s="27">
        <f>IF(D204="","",D204*'02_Eingaben'!$C$8)</f>
        <v/>
      </c>
      <c r="F204" s="27">
        <f>IF(E204="","",AVERAGE(INDEX($E$2:$E$3001,MAX(1,ROW()-1-'02_Eingaben'!$C$17)):INDEX($E$2:$E$3001,MIN('02_Eingaben'!$C$21,ROW()-1+'02_Eingaben'!$C$17))))</f>
        <v/>
      </c>
      <c r="G204" s="27">
        <f>IF(F204="","",F204-'02_Eingaben'!$C$10)</f>
        <v/>
      </c>
      <c r="H204">
        <f>IF(F204="","",IF(F204&lt;'02_Eingaben'!$C$18*'02_Eingaben'!$C$10,1,0))</f>
        <v/>
      </c>
      <c r="I204" s="27">
        <f>IF(OR(G204="",G205=""),"",(G204+G205)/2*(B205-B204))</f>
        <v/>
      </c>
      <c r="J204" s="27">
        <f>IF(B204="","",IF(B203&lt;'02_Eingaben'!$C$36,0,J203+I203/'02_Eingaben'!$C$8))</f>
        <v/>
      </c>
    </row>
    <row r="205">
      <c r="A205">
        <f>IF('01_Rohdaten'!A205="","",ROW()-1)</f>
        <v/>
      </c>
      <c r="B205" s="27">
        <f>IF('01_Rohdaten'!A205="","",'01_Rohdaten'!A205)</f>
        <v/>
      </c>
      <c r="C205" s="27">
        <f>IF(B205="","",INDEX('01_Rohdaten'!B205:D205,'02_Eingaben'!$C$13))</f>
        <v/>
      </c>
      <c r="D205" s="27">
        <f>IF(C205="","",C205*'02_Eingaben'!$C$15)</f>
        <v/>
      </c>
      <c r="E205" s="27">
        <f>IF(D205="","",D205*'02_Eingaben'!$C$8)</f>
        <v/>
      </c>
      <c r="F205" s="27">
        <f>IF(E205="","",AVERAGE(INDEX($E$2:$E$3001,MAX(1,ROW()-1-'02_Eingaben'!$C$17)):INDEX($E$2:$E$3001,MIN('02_Eingaben'!$C$21,ROW()-1+'02_Eingaben'!$C$17))))</f>
        <v/>
      </c>
      <c r="G205" s="27">
        <f>IF(F205="","",F205-'02_Eingaben'!$C$10)</f>
        <v/>
      </c>
      <c r="H205">
        <f>IF(F205="","",IF(F205&lt;'02_Eingaben'!$C$18*'02_Eingaben'!$C$10,1,0))</f>
        <v/>
      </c>
      <c r="I205" s="27">
        <f>IF(OR(G205="",G206=""),"",(G205+G206)/2*(B206-B205))</f>
        <v/>
      </c>
      <c r="J205" s="27">
        <f>IF(B205="","",IF(B204&lt;'02_Eingaben'!$C$36,0,J204+I204/'02_Eingaben'!$C$8))</f>
        <v/>
      </c>
    </row>
    <row r="206">
      <c r="A206">
        <f>IF('01_Rohdaten'!A206="","",ROW()-1)</f>
        <v/>
      </c>
      <c r="B206" s="27">
        <f>IF('01_Rohdaten'!A206="","",'01_Rohdaten'!A206)</f>
        <v/>
      </c>
      <c r="C206" s="27">
        <f>IF(B206="","",INDEX('01_Rohdaten'!B206:D206,'02_Eingaben'!$C$13))</f>
        <v/>
      </c>
      <c r="D206" s="27">
        <f>IF(C206="","",C206*'02_Eingaben'!$C$15)</f>
        <v/>
      </c>
      <c r="E206" s="27">
        <f>IF(D206="","",D206*'02_Eingaben'!$C$8)</f>
        <v/>
      </c>
      <c r="F206" s="27">
        <f>IF(E206="","",AVERAGE(INDEX($E$2:$E$3001,MAX(1,ROW()-1-'02_Eingaben'!$C$17)):INDEX($E$2:$E$3001,MIN('02_Eingaben'!$C$21,ROW()-1+'02_Eingaben'!$C$17))))</f>
        <v/>
      </c>
      <c r="G206" s="27">
        <f>IF(F206="","",F206-'02_Eingaben'!$C$10)</f>
        <v/>
      </c>
      <c r="H206">
        <f>IF(F206="","",IF(F206&lt;'02_Eingaben'!$C$18*'02_Eingaben'!$C$10,1,0))</f>
        <v/>
      </c>
      <c r="I206" s="27">
        <f>IF(OR(G206="",G207=""),"",(G206+G207)/2*(B207-B206))</f>
        <v/>
      </c>
      <c r="J206" s="27">
        <f>IF(B206="","",IF(B205&lt;'02_Eingaben'!$C$36,0,J205+I205/'02_Eingaben'!$C$8))</f>
        <v/>
      </c>
    </row>
    <row r="207">
      <c r="A207">
        <f>IF('01_Rohdaten'!A207="","",ROW()-1)</f>
        <v/>
      </c>
      <c r="B207" s="27">
        <f>IF('01_Rohdaten'!A207="","",'01_Rohdaten'!A207)</f>
        <v/>
      </c>
      <c r="C207" s="27">
        <f>IF(B207="","",INDEX('01_Rohdaten'!B207:D207,'02_Eingaben'!$C$13))</f>
        <v/>
      </c>
      <c r="D207" s="27">
        <f>IF(C207="","",C207*'02_Eingaben'!$C$15)</f>
        <v/>
      </c>
      <c r="E207" s="27">
        <f>IF(D207="","",D207*'02_Eingaben'!$C$8)</f>
        <v/>
      </c>
      <c r="F207" s="27">
        <f>IF(E207="","",AVERAGE(INDEX($E$2:$E$3001,MAX(1,ROW()-1-'02_Eingaben'!$C$17)):INDEX($E$2:$E$3001,MIN('02_Eingaben'!$C$21,ROW()-1+'02_Eingaben'!$C$17))))</f>
        <v/>
      </c>
      <c r="G207" s="27">
        <f>IF(F207="","",F207-'02_Eingaben'!$C$10)</f>
        <v/>
      </c>
      <c r="H207">
        <f>IF(F207="","",IF(F207&lt;'02_Eingaben'!$C$18*'02_Eingaben'!$C$10,1,0))</f>
        <v/>
      </c>
      <c r="I207" s="27">
        <f>IF(OR(G207="",G208=""),"",(G207+G208)/2*(B208-B207))</f>
        <v/>
      </c>
      <c r="J207" s="27">
        <f>IF(B207="","",IF(B206&lt;'02_Eingaben'!$C$36,0,J206+I206/'02_Eingaben'!$C$8))</f>
        <v/>
      </c>
    </row>
    <row r="208">
      <c r="A208">
        <f>IF('01_Rohdaten'!A208="","",ROW()-1)</f>
        <v/>
      </c>
      <c r="B208" s="27">
        <f>IF('01_Rohdaten'!A208="","",'01_Rohdaten'!A208)</f>
        <v/>
      </c>
      <c r="C208" s="27">
        <f>IF(B208="","",INDEX('01_Rohdaten'!B208:D208,'02_Eingaben'!$C$13))</f>
        <v/>
      </c>
      <c r="D208" s="27">
        <f>IF(C208="","",C208*'02_Eingaben'!$C$15)</f>
        <v/>
      </c>
      <c r="E208" s="27">
        <f>IF(D208="","",D208*'02_Eingaben'!$C$8)</f>
        <v/>
      </c>
      <c r="F208" s="27">
        <f>IF(E208="","",AVERAGE(INDEX($E$2:$E$3001,MAX(1,ROW()-1-'02_Eingaben'!$C$17)):INDEX($E$2:$E$3001,MIN('02_Eingaben'!$C$21,ROW()-1+'02_Eingaben'!$C$17))))</f>
        <v/>
      </c>
      <c r="G208" s="27">
        <f>IF(F208="","",F208-'02_Eingaben'!$C$10)</f>
        <v/>
      </c>
      <c r="H208">
        <f>IF(F208="","",IF(F208&lt;'02_Eingaben'!$C$18*'02_Eingaben'!$C$10,1,0))</f>
        <v/>
      </c>
      <c r="I208" s="27">
        <f>IF(OR(G208="",G209=""),"",(G208+G209)/2*(B209-B208))</f>
        <v/>
      </c>
      <c r="J208" s="27">
        <f>IF(B208="","",IF(B207&lt;'02_Eingaben'!$C$36,0,J207+I207/'02_Eingaben'!$C$8))</f>
        <v/>
      </c>
    </row>
    <row r="209">
      <c r="A209">
        <f>IF('01_Rohdaten'!A209="","",ROW()-1)</f>
        <v/>
      </c>
      <c r="B209" s="27">
        <f>IF('01_Rohdaten'!A209="","",'01_Rohdaten'!A209)</f>
        <v/>
      </c>
      <c r="C209" s="27">
        <f>IF(B209="","",INDEX('01_Rohdaten'!B209:D209,'02_Eingaben'!$C$13))</f>
        <v/>
      </c>
      <c r="D209" s="27">
        <f>IF(C209="","",C209*'02_Eingaben'!$C$15)</f>
        <v/>
      </c>
      <c r="E209" s="27">
        <f>IF(D209="","",D209*'02_Eingaben'!$C$8)</f>
        <v/>
      </c>
      <c r="F209" s="27">
        <f>IF(E209="","",AVERAGE(INDEX($E$2:$E$3001,MAX(1,ROW()-1-'02_Eingaben'!$C$17)):INDEX($E$2:$E$3001,MIN('02_Eingaben'!$C$21,ROW()-1+'02_Eingaben'!$C$17))))</f>
        <v/>
      </c>
      <c r="G209" s="27">
        <f>IF(F209="","",F209-'02_Eingaben'!$C$10)</f>
        <v/>
      </c>
      <c r="H209">
        <f>IF(F209="","",IF(F209&lt;'02_Eingaben'!$C$18*'02_Eingaben'!$C$10,1,0))</f>
        <v/>
      </c>
      <c r="I209" s="27">
        <f>IF(OR(G209="",G210=""),"",(G209+G210)/2*(B210-B209))</f>
        <v/>
      </c>
      <c r="J209" s="27">
        <f>IF(B209="","",IF(B208&lt;'02_Eingaben'!$C$36,0,J208+I208/'02_Eingaben'!$C$8))</f>
        <v/>
      </c>
    </row>
    <row r="210">
      <c r="A210">
        <f>IF('01_Rohdaten'!A210="","",ROW()-1)</f>
        <v/>
      </c>
      <c r="B210" s="27">
        <f>IF('01_Rohdaten'!A210="","",'01_Rohdaten'!A210)</f>
        <v/>
      </c>
      <c r="C210" s="27">
        <f>IF(B210="","",INDEX('01_Rohdaten'!B210:D210,'02_Eingaben'!$C$13))</f>
        <v/>
      </c>
      <c r="D210" s="27">
        <f>IF(C210="","",C210*'02_Eingaben'!$C$15)</f>
        <v/>
      </c>
      <c r="E210" s="27">
        <f>IF(D210="","",D210*'02_Eingaben'!$C$8)</f>
        <v/>
      </c>
      <c r="F210" s="27">
        <f>IF(E210="","",AVERAGE(INDEX($E$2:$E$3001,MAX(1,ROW()-1-'02_Eingaben'!$C$17)):INDEX($E$2:$E$3001,MIN('02_Eingaben'!$C$21,ROW()-1+'02_Eingaben'!$C$17))))</f>
        <v/>
      </c>
      <c r="G210" s="27">
        <f>IF(F210="","",F210-'02_Eingaben'!$C$10)</f>
        <v/>
      </c>
      <c r="H210">
        <f>IF(F210="","",IF(F210&lt;'02_Eingaben'!$C$18*'02_Eingaben'!$C$10,1,0))</f>
        <v/>
      </c>
      <c r="I210" s="27">
        <f>IF(OR(G210="",G211=""),"",(G210+G211)/2*(B211-B210))</f>
        <v/>
      </c>
      <c r="J210" s="27">
        <f>IF(B210="","",IF(B209&lt;'02_Eingaben'!$C$36,0,J209+I209/'02_Eingaben'!$C$8))</f>
        <v/>
      </c>
    </row>
    <row r="211">
      <c r="A211">
        <f>IF('01_Rohdaten'!A211="","",ROW()-1)</f>
        <v/>
      </c>
      <c r="B211" s="27">
        <f>IF('01_Rohdaten'!A211="","",'01_Rohdaten'!A211)</f>
        <v/>
      </c>
      <c r="C211" s="27">
        <f>IF(B211="","",INDEX('01_Rohdaten'!B211:D211,'02_Eingaben'!$C$13))</f>
        <v/>
      </c>
      <c r="D211" s="27">
        <f>IF(C211="","",C211*'02_Eingaben'!$C$15)</f>
        <v/>
      </c>
      <c r="E211" s="27">
        <f>IF(D211="","",D211*'02_Eingaben'!$C$8)</f>
        <v/>
      </c>
      <c r="F211" s="27">
        <f>IF(E211="","",AVERAGE(INDEX($E$2:$E$3001,MAX(1,ROW()-1-'02_Eingaben'!$C$17)):INDEX($E$2:$E$3001,MIN('02_Eingaben'!$C$21,ROW()-1+'02_Eingaben'!$C$17))))</f>
        <v/>
      </c>
      <c r="G211" s="27">
        <f>IF(F211="","",F211-'02_Eingaben'!$C$10)</f>
        <v/>
      </c>
      <c r="H211">
        <f>IF(F211="","",IF(F211&lt;'02_Eingaben'!$C$18*'02_Eingaben'!$C$10,1,0))</f>
        <v/>
      </c>
      <c r="I211" s="27">
        <f>IF(OR(G211="",G212=""),"",(G211+G212)/2*(B212-B211))</f>
        <v/>
      </c>
      <c r="J211" s="27">
        <f>IF(B211="","",IF(B210&lt;'02_Eingaben'!$C$36,0,J210+I210/'02_Eingaben'!$C$8))</f>
        <v/>
      </c>
    </row>
    <row r="212">
      <c r="A212">
        <f>IF('01_Rohdaten'!A212="","",ROW()-1)</f>
        <v/>
      </c>
      <c r="B212" s="27">
        <f>IF('01_Rohdaten'!A212="","",'01_Rohdaten'!A212)</f>
        <v/>
      </c>
      <c r="C212" s="27">
        <f>IF(B212="","",INDEX('01_Rohdaten'!B212:D212,'02_Eingaben'!$C$13))</f>
        <v/>
      </c>
      <c r="D212" s="27">
        <f>IF(C212="","",C212*'02_Eingaben'!$C$15)</f>
        <v/>
      </c>
      <c r="E212" s="27">
        <f>IF(D212="","",D212*'02_Eingaben'!$C$8)</f>
        <v/>
      </c>
      <c r="F212" s="27">
        <f>IF(E212="","",AVERAGE(INDEX($E$2:$E$3001,MAX(1,ROW()-1-'02_Eingaben'!$C$17)):INDEX($E$2:$E$3001,MIN('02_Eingaben'!$C$21,ROW()-1+'02_Eingaben'!$C$17))))</f>
        <v/>
      </c>
      <c r="G212" s="27">
        <f>IF(F212="","",F212-'02_Eingaben'!$C$10)</f>
        <v/>
      </c>
      <c r="H212">
        <f>IF(F212="","",IF(F212&lt;'02_Eingaben'!$C$18*'02_Eingaben'!$C$10,1,0))</f>
        <v/>
      </c>
      <c r="I212" s="27">
        <f>IF(OR(G212="",G213=""),"",(G212+G213)/2*(B213-B212))</f>
        <v/>
      </c>
      <c r="J212" s="27">
        <f>IF(B212="","",IF(B211&lt;'02_Eingaben'!$C$36,0,J211+I211/'02_Eingaben'!$C$8))</f>
        <v/>
      </c>
    </row>
    <row r="213">
      <c r="A213">
        <f>IF('01_Rohdaten'!A213="","",ROW()-1)</f>
        <v/>
      </c>
      <c r="B213" s="27">
        <f>IF('01_Rohdaten'!A213="","",'01_Rohdaten'!A213)</f>
        <v/>
      </c>
      <c r="C213" s="27">
        <f>IF(B213="","",INDEX('01_Rohdaten'!B213:D213,'02_Eingaben'!$C$13))</f>
        <v/>
      </c>
      <c r="D213" s="27">
        <f>IF(C213="","",C213*'02_Eingaben'!$C$15)</f>
        <v/>
      </c>
      <c r="E213" s="27">
        <f>IF(D213="","",D213*'02_Eingaben'!$C$8)</f>
        <v/>
      </c>
      <c r="F213" s="27">
        <f>IF(E213="","",AVERAGE(INDEX($E$2:$E$3001,MAX(1,ROW()-1-'02_Eingaben'!$C$17)):INDEX($E$2:$E$3001,MIN('02_Eingaben'!$C$21,ROW()-1+'02_Eingaben'!$C$17))))</f>
        <v/>
      </c>
      <c r="G213" s="27">
        <f>IF(F213="","",F213-'02_Eingaben'!$C$10)</f>
        <v/>
      </c>
      <c r="H213">
        <f>IF(F213="","",IF(F213&lt;'02_Eingaben'!$C$18*'02_Eingaben'!$C$10,1,0))</f>
        <v/>
      </c>
      <c r="I213" s="27">
        <f>IF(OR(G213="",G214=""),"",(G213+G214)/2*(B214-B213))</f>
        <v/>
      </c>
      <c r="J213" s="27">
        <f>IF(B213="","",IF(B212&lt;'02_Eingaben'!$C$36,0,J212+I212/'02_Eingaben'!$C$8))</f>
        <v/>
      </c>
    </row>
    <row r="214">
      <c r="A214">
        <f>IF('01_Rohdaten'!A214="","",ROW()-1)</f>
        <v/>
      </c>
      <c r="B214" s="27">
        <f>IF('01_Rohdaten'!A214="","",'01_Rohdaten'!A214)</f>
        <v/>
      </c>
      <c r="C214" s="27">
        <f>IF(B214="","",INDEX('01_Rohdaten'!B214:D214,'02_Eingaben'!$C$13))</f>
        <v/>
      </c>
      <c r="D214" s="27">
        <f>IF(C214="","",C214*'02_Eingaben'!$C$15)</f>
        <v/>
      </c>
      <c r="E214" s="27">
        <f>IF(D214="","",D214*'02_Eingaben'!$C$8)</f>
        <v/>
      </c>
      <c r="F214" s="27">
        <f>IF(E214="","",AVERAGE(INDEX($E$2:$E$3001,MAX(1,ROW()-1-'02_Eingaben'!$C$17)):INDEX($E$2:$E$3001,MIN('02_Eingaben'!$C$21,ROW()-1+'02_Eingaben'!$C$17))))</f>
        <v/>
      </c>
      <c r="G214" s="27">
        <f>IF(F214="","",F214-'02_Eingaben'!$C$10)</f>
        <v/>
      </c>
      <c r="H214">
        <f>IF(F214="","",IF(F214&lt;'02_Eingaben'!$C$18*'02_Eingaben'!$C$10,1,0))</f>
        <v/>
      </c>
      <c r="I214" s="27">
        <f>IF(OR(G214="",G215=""),"",(G214+G215)/2*(B215-B214))</f>
        <v/>
      </c>
      <c r="J214" s="27">
        <f>IF(B214="","",IF(B213&lt;'02_Eingaben'!$C$36,0,J213+I213/'02_Eingaben'!$C$8))</f>
        <v/>
      </c>
    </row>
    <row r="215">
      <c r="A215">
        <f>IF('01_Rohdaten'!A215="","",ROW()-1)</f>
        <v/>
      </c>
      <c r="B215" s="27">
        <f>IF('01_Rohdaten'!A215="","",'01_Rohdaten'!A215)</f>
        <v/>
      </c>
      <c r="C215" s="27">
        <f>IF(B215="","",INDEX('01_Rohdaten'!B215:D215,'02_Eingaben'!$C$13))</f>
        <v/>
      </c>
      <c r="D215" s="27">
        <f>IF(C215="","",C215*'02_Eingaben'!$C$15)</f>
        <v/>
      </c>
      <c r="E215" s="27">
        <f>IF(D215="","",D215*'02_Eingaben'!$C$8)</f>
        <v/>
      </c>
      <c r="F215" s="27">
        <f>IF(E215="","",AVERAGE(INDEX($E$2:$E$3001,MAX(1,ROW()-1-'02_Eingaben'!$C$17)):INDEX($E$2:$E$3001,MIN('02_Eingaben'!$C$21,ROW()-1+'02_Eingaben'!$C$17))))</f>
        <v/>
      </c>
      <c r="G215" s="27">
        <f>IF(F215="","",F215-'02_Eingaben'!$C$10)</f>
        <v/>
      </c>
      <c r="H215">
        <f>IF(F215="","",IF(F215&lt;'02_Eingaben'!$C$18*'02_Eingaben'!$C$10,1,0))</f>
        <v/>
      </c>
      <c r="I215" s="27">
        <f>IF(OR(G215="",G216=""),"",(G215+G216)/2*(B216-B215))</f>
        <v/>
      </c>
      <c r="J215" s="27">
        <f>IF(B215="","",IF(B214&lt;'02_Eingaben'!$C$36,0,J214+I214/'02_Eingaben'!$C$8))</f>
        <v/>
      </c>
    </row>
    <row r="216">
      <c r="A216">
        <f>IF('01_Rohdaten'!A216="","",ROW()-1)</f>
        <v/>
      </c>
      <c r="B216" s="27">
        <f>IF('01_Rohdaten'!A216="","",'01_Rohdaten'!A216)</f>
        <v/>
      </c>
      <c r="C216" s="27">
        <f>IF(B216="","",INDEX('01_Rohdaten'!B216:D216,'02_Eingaben'!$C$13))</f>
        <v/>
      </c>
      <c r="D216" s="27">
        <f>IF(C216="","",C216*'02_Eingaben'!$C$15)</f>
        <v/>
      </c>
      <c r="E216" s="27">
        <f>IF(D216="","",D216*'02_Eingaben'!$C$8)</f>
        <v/>
      </c>
      <c r="F216" s="27">
        <f>IF(E216="","",AVERAGE(INDEX($E$2:$E$3001,MAX(1,ROW()-1-'02_Eingaben'!$C$17)):INDEX($E$2:$E$3001,MIN('02_Eingaben'!$C$21,ROW()-1+'02_Eingaben'!$C$17))))</f>
        <v/>
      </c>
      <c r="G216" s="27">
        <f>IF(F216="","",F216-'02_Eingaben'!$C$10)</f>
        <v/>
      </c>
      <c r="H216">
        <f>IF(F216="","",IF(F216&lt;'02_Eingaben'!$C$18*'02_Eingaben'!$C$10,1,0))</f>
        <v/>
      </c>
      <c r="I216" s="27">
        <f>IF(OR(G216="",G217=""),"",(G216+G217)/2*(B217-B216))</f>
        <v/>
      </c>
      <c r="J216" s="27">
        <f>IF(B216="","",IF(B215&lt;'02_Eingaben'!$C$36,0,J215+I215/'02_Eingaben'!$C$8))</f>
        <v/>
      </c>
    </row>
    <row r="217">
      <c r="A217">
        <f>IF('01_Rohdaten'!A217="","",ROW()-1)</f>
        <v/>
      </c>
      <c r="B217" s="27">
        <f>IF('01_Rohdaten'!A217="","",'01_Rohdaten'!A217)</f>
        <v/>
      </c>
      <c r="C217" s="27">
        <f>IF(B217="","",INDEX('01_Rohdaten'!B217:D217,'02_Eingaben'!$C$13))</f>
        <v/>
      </c>
      <c r="D217" s="27">
        <f>IF(C217="","",C217*'02_Eingaben'!$C$15)</f>
        <v/>
      </c>
      <c r="E217" s="27">
        <f>IF(D217="","",D217*'02_Eingaben'!$C$8)</f>
        <v/>
      </c>
      <c r="F217" s="27">
        <f>IF(E217="","",AVERAGE(INDEX($E$2:$E$3001,MAX(1,ROW()-1-'02_Eingaben'!$C$17)):INDEX($E$2:$E$3001,MIN('02_Eingaben'!$C$21,ROW()-1+'02_Eingaben'!$C$17))))</f>
        <v/>
      </c>
      <c r="G217" s="27">
        <f>IF(F217="","",F217-'02_Eingaben'!$C$10)</f>
        <v/>
      </c>
      <c r="H217">
        <f>IF(F217="","",IF(F217&lt;'02_Eingaben'!$C$18*'02_Eingaben'!$C$10,1,0))</f>
        <v/>
      </c>
      <c r="I217" s="27">
        <f>IF(OR(G217="",G218=""),"",(G217+G218)/2*(B218-B217))</f>
        <v/>
      </c>
      <c r="J217" s="27">
        <f>IF(B217="","",IF(B216&lt;'02_Eingaben'!$C$36,0,J216+I216/'02_Eingaben'!$C$8))</f>
        <v/>
      </c>
    </row>
    <row r="218">
      <c r="A218">
        <f>IF('01_Rohdaten'!A218="","",ROW()-1)</f>
        <v/>
      </c>
      <c r="B218" s="27">
        <f>IF('01_Rohdaten'!A218="","",'01_Rohdaten'!A218)</f>
        <v/>
      </c>
      <c r="C218" s="27">
        <f>IF(B218="","",INDEX('01_Rohdaten'!B218:D218,'02_Eingaben'!$C$13))</f>
        <v/>
      </c>
      <c r="D218" s="27">
        <f>IF(C218="","",C218*'02_Eingaben'!$C$15)</f>
        <v/>
      </c>
      <c r="E218" s="27">
        <f>IF(D218="","",D218*'02_Eingaben'!$C$8)</f>
        <v/>
      </c>
      <c r="F218" s="27">
        <f>IF(E218="","",AVERAGE(INDEX($E$2:$E$3001,MAX(1,ROW()-1-'02_Eingaben'!$C$17)):INDEX($E$2:$E$3001,MIN('02_Eingaben'!$C$21,ROW()-1+'02_Eingaben'!$C$17))))</f>
        <v/>
      </c>
      <c r="G218" s="27">
        <f>IF(F218="","",F218-'02_Eingaben'!$C$10)</f>
        <v/>
      </c>
      <c r="H218">
        <f>IF(F218="","",IF(F218&lt;'02_Eingaben'!$C$18*'02_Eingaben'!$C$10,1,0))</f>
        <v/>
      </c>
      <c r="I218" s="27">
        <f>IF(OR(G218="",G219=""),"",(G218+G219)/2*(B219-B218))</f>
        <v/>
      </c>
      <c r="J218" s="27">
        <f>IF(B218="","",IF(B217&lt;'02_Eingaben'!$C$36,0,J217+I217/'02_Eingaben'!$C$8))</f>
        <v/>
      </c>
    </row>
    <row r="219">
      <c r="A219">
        <f>IF('01_Rohdaten'!A219="","",ROW()-1)</f>
        <v/>
      </c>
      <c r="B219" s="27">
        <f>IF('01_Rohdaten'!A219="","",'01_Rohdaten'!A219)</f>
        <v/>
      </c>
      <c r="C219" s="27">
        <f>IF(B219="","",INDEX('01_Rohdaten'!B219:D219,'02_Eingaben'!$C$13))</f>
        <v/>
      </c>
      <c r="D219" s="27">
        <f>IF(C219="","",C219*'02_Eingaben'!$C$15)</f>
        <v/>
      </c>
      <c r="E219" s="27">
        <f>IF(D219="","",D219*'02_Eingaben'!$C$8)</f>
        <v/>
      </c>
      <c r="F219" s="27">
        <f>IF(E219="","",AVERAGE(INDEX($E$2:$E$3001,MAX(1,ROW()-1-'02_Eingaben'!$C$17)):INDEX($E$2:$E$3001,MIN('02_Eingaben'!$C$21,ROW()-1+'02_Eingaben'!$C$17))))</f>
        <v/>
      </c>
      <c r="G219" s="27">
        <f>IF(F219="","",F219-'02_Eingaben'!$C$10)</f>
        <v/>
      </c>
      <c r="H219">
        <f>IF(F219="","",IF(F219&lt;'02_Eingaben'!$C$18*'02_Eingaben'!$C$10,1,0))</f>
        <v/>
      </c>
      <c r="I219" s="27">
        <f>IF(OR(G219="",G220=""),"",(G219+G220)/2*(B220-B219))</f>
        <v/>
      </c>
      <c r="J219" s="27">
        <f>IF(B219="","",IF(B218&lt;'02_Eingaben'!$C$36,0,J218+I218/'02_Eingaben'!$C$8))</f>
        <v/>
      </c>
    </row>
    <row r="220">
      <c r="A220">
        <f>IF('01_Rohdaten'!A220="","",ROW()-1)</f>
        <v/>
      </c>
      <c r="B220" s="27">
        <f>IF('01_Rohdaten'!A220="","",'01_Rohdaten'!A220)</f>
        <v/>
      </c>
      <c r="C220" s="27">
        <f>IF(B220="","",INDEX('01_Rohdaten'!B220:D220,'02_Eingaben'!$C$13))</f>
        <v/>
      </c>
      <c r="D220" s="27">
        <f>IF(C220="","",C220*'02_Eingaben'!$C$15)</f>
        <v/>
      </c>
      <c r="E220" s="27">
        <f>IF(D220="","",D220*'02_Eingaben'!$C$8)</f>
        <v/>
      </c>
      <c r="F220" s="27">
        <f>IF(E220="","",AVERAGE(INDEX($E$2:$E$3001,MAX(1,ROW()-1-'02_Eingaben'!$C$17)):INDEX($E$2:$E$3001,MIN('02_Eingaben'!$C$21,ROW()-1+'02_Eingaben'!$C$17))))</f>
        <v/>
      </c>
      <c r="G220" s="27">
        <f>IF(F220="","",F220-'02_Eingaben'!$C$10)</f>
        <v/>
      </c>
      <c r="H220">
        <f>IF(F220="","",IF(F220&lt;'02_Eingaben'!$C$18*'02_Eingaben'!$C$10,1,0))</f>
        <v/>
      </c>
      <c r="I220" s="27">
        <f>IF(OR(G220="",G221=""),"",(G220+G221)/2*(B221-B220))</f>
        <v/>
      </c>
      <c r="J220" s="27">
        <f>IF(B220="","",IF(B219&lt;'02_Eingaben'!$C$36,0,J219+I219/'02_Eingaben'!$C$8))</f>
        <v/>
      </c>
    </row>
    <row r="221">
      <c r="A221">
        <f>IF('01_Rohdaten'!A221="","",ROW()-1)</f>
        <v/>
      </c>
      <c r="B221" s="27">
        <f>IF('01_Rohdaten'!A221="","",'01_Rohdaten'!A221)</f>
        <v/>
      </c>
      <c r="C221" s="27">
        <f>IF(B221="","",INDEX('01_Rohdaten'!B221:D221,'02_Eingaben'!$C$13))</f>
        <v/>
      </c>
      <c r="D221" s="27">
        <f>IF(C221="","",C221*'02_Eingaben'!$C$15)</f>
        <v/>
      </c>
      <c r="E221" s="27">
        <f>IF(D221="","",D221*'02_Eingaben'!$C$8)</f>
        <v/>
      </c>
      <c r="F221" s="27">
        <f>IF(E221="","",AVERAGE(INDEX($E$2:$E$3001,MAX(1,ROW()-1-'02_Eingaben'!$C$17)):INDEX($E$2:$E$3001,MIN('02_Eingaben'!$C$21,ROW()-1+'02_Eingaben'!$C$17))))</f>
        <v/>
      </c>
      <c r="G221" s="27">
        <f>IF(F221="","",F221-'02_Eingaben'!$C$10)</f>
        <v/>
      </c>
      <c r="H221">
        <f>IF(F221="","",IF(F221&lt;'02_Eingaben'!$C$18*'02_Eingaben'!$C$10,1,0))</f>
        <v/>
      </c>
      <c r="I221" s="27">
        <f>IF(OR(G221="",G222=""),"",(G221+G222)/2*(B222-B221))</f>
        <v/>
      </c>
      <c r="J221" s="27">
        <f>IF(B221="","",IF(B220&lt;'02_Eingaben'!$C$36,0,J220+I220/'02_Eingaben'!$C$8))</f>
        <v/>
      </c>
    </row>
    <row r="222">
      <c r="A222">
        <f>IF('01_Rohdaten'!A222="","",ROW()-1)</f>
        <v/>
      </c>
      <c r="B222" s="27">
        <f>IF('01_Rohdaten'!A222="","",'01_Rohdaten'!A222)</f>
        <v/>
      </c>
      <c r="C222" s="27">
        <f>IF(B222="","",INDEX('01_Rohdaten'!B222:D222,'02_Eingaben'!$C$13))</f>
        <v/>
      </c>
      <c r="D222" s="27">
        <f>IF(C222="","",C222*'02_Eingaben'!$C$15)</f>
        <v/>
      </c>
      <c r="E222" s="27">
        <f>IF(D222="","",D222*'02_Eingaben'!$C$8)</f>
        <v/>
      </c>
      <c r="F222" s="27">
        <f>IF(E222="","",AVERAGE(INDEX($E$2:$E$3001,MAX(1,ROW()-1-'02_Eingaben'!$C$17)):INDEX($E$2:$E$3001,MIN('02_Eingaben'!$C$21,ROW()-1+'02_Eingaben'!$C$17))))</f>
        <v/>
      </c>
      <c r="G222" s="27">
        <f>IF(F222="","",F222-'02_Eingaben'!$C$10)</f>
        <v/>
      </c>
      <c r="H222">
        <f>IF(F222="","",IF(F222&lt;'02_Eingaben'!$C$18*'02_Eingaben'!$C$10,1,0))</f>
        <v/>
      </c>
      <c r="I222" s="27">
        <f>IF(OR(G222="",G223=""),"",(G222+G223)/2*(B223-B222))</f>
        <v/>
      </c>
      <c r="J222" s="27">
        <f>IF(B222="","",IF(B221&lt;'02_Eingaben'!$C$36,0,J221+I221/'02_Eingaben'!$C$8))</f>
        <v/>
      </c>
    </row>
    <row r="223">
      <c r="A223">
        <f>IF('01_Rohdaten'!A223="","",ROW()-1)</f>
        <v/>
      </c>
      <c r="B223" s="27">
        <f>IF('01_Rohdaten'!A223="","",'01_Rohdaten'!A223)</f>
        <v/>
      </c>
      <c r="C223" s="27">
        <f>IF(B223="","",INDEX('01_Rohdaten'!B223:D223,'02_Eingaben'!$C$13))</f>
        <v/>
      </c>
      <c r="D223" s="27">
        <f>IF(C223="","",C223*'02_Eingaben'!$C$15)</f>
        <v/>
      </c>
      <c r="E223" s="27">
        <f>IF(D223="","",D223*'02_Eingaben'!$C$8)</f>
        <v/>
      </c>
      <c r="F223" s="27">
        <f>IF(E223="","",AVERAGE(INDEX($E$2:$E$3001,MAX(1,ROW()-1-'02_Eingaben'!$C$17)):INDEX($E$2:$E$3001,MIN('02_Eingaben'!$C$21,ROW()-1+'02_Eingaben'!$C$17))))</f>
        <v/>
      </c>
      <c r="G223" s="27">
        <f>IF(F223="","",F223-'02_Eingaben'!$C$10)</f>
        <v/>
      </c>
      <c r="H223">
        <f>IF(F223="","",IF(F223&lt;'02_Eingaben'!$C$18*'02_Eingaben'!$C$10,1,0))</f>
        <v/>
      </c>
      <c r="I223" s="27">
        <f>IF(OR(G223="",G224=""),"",(G223+G224)/2*(B224-B223))</f>
        <v/>
      </c>
      <c r="J223" s="27">
        <f>IF(B223="","",IF(B222&lt;'02_Eingaben'!$C$36,0,J222+I222/'02_Eingaben'!$C$8))</f>
        <v/>
      </c>
    </row>
    <row r="224">
      <c r="A224">
        <f>IF('01_Rohdaten'!A224="","",ROW()-1)</f>
        <v/>
      </c>
      <c r="B224" s="27">
        <f>IF('01_Rohdaten'!A224="","",'01_Rohdaten'!A224)</f>
        <v/>
      </c>
      <c r="C224" s="27">
        <f>IF(B224="","",INDEX('01_Rohdaten'!B224:D224,'02_Eingaben'!$C$13))</f>
        <v/>
      </c>
      <c r="D224" s="27">
        <f>IF(C224="","",C224*'02_Eingaben'!$C$15)</f>
        <v/>
      </c>
      <c r="E224" s="27">
        <f>IF(D224="","",D224*'02_Eingaben'!$C$8)</f>
        <v/>
      </c>
      <c r="F224" s="27">
        <f>IF(E224="","",AVERAGE(INDEX($E$2:$E$3001,MAX(1,ROW()-1-'02_Eingaben'!$C$17)):INDEX($E$2:$E$3001,MIN('02_Eingaben'!$C$21,ROW()-1+'02_Eingaben'!$C$17))))</f>
        <v/>
      </c>
      <c r="G224" s="27">
        <f>IF(F224="","",F224-'02_Eingaben'!$C$10)</f>
        <v/>
      </c>
      <c r="H224">
        <f>IF(F224="","",IF(F224&lt;'02_Eingaben'!$C$18*'02_Eingaben'!$C$10,1,0))</f>
        <v/>
      </c>
      <c r="I224" s="27">
        <f>IF(OR(G224="",G225=""),"",(G224+G225)/2*(B225-B224))</f>
        <v/>
      </c>
      <c r="J224" s="27">
        <f>IF(B224="","",IF(B223&lt;'02_Eingaben'!$C$36,0,J223+I223/'02_Eingaben'!$C$8))</f>
        <v/>
      </c>
    </row>
    <row r="225">
      <c r="A225">
        <f>IF('01_Rohdaten'!A225="","",ROW()-1)</f>
        <v/>
      </c>
      <c r="B225" s="27">
        <f>IF('01_Rohdaten'!A225="","",'01_Rohdaten'!A225)</f>
        <v/>
      </c>
      <c r="C225" s="27">
        <f>IF(B225="","",INDEX('01_Rohdaten'!B225:D225,'02_Eingaben'!$C$13))</f>
        <v/>
      </c>
      <c r="D225" s="27">
        <f>IF(C225="","",C225*'02_Eingaben'!$C$15)</f>
        <v/>
      </c>
      <c r="E225" s="27">
        <f>IF(D225="","",D225*'02_Eingaben'!$C$8)</f>
        <v/>
      </c>
      <c r="F225" s="27">
        <f>IF(E225="","",AVERAGE(INDEX($E$2:$E$3001,MAX(1,ROW()-1-'02_Eingaben'!$C$17)):INDEX($E$2:$E$3001,MIN('02_Eingaben'!$C$21,ROW()-1+'02_Eingaben'!$C$17))))</f>
        <v/>
      </c>
      <c r="G225" s="27">
        <f>IF(F225="","",F225-'02_Eingaben'!$C$10)</f>
        <v/>
      </c>
      <c r="H225">
        <f>IF(F225="","",IF(F225&lt;'02_Eingaben'!$C$18*'02_Eingaben'!$C$10,1,0))</f>
        <v/>
      </c>
      <c r="I225" s="27">
        <f>IF(OR(G225="",G226=""),"",(G225+G226)/2*(B226-B225))</f>
        <v/>
      </c>
      <c r="J225" s="27">
        <f>IF(B225="","",IF(B224&lt;'02_Eingaben'!$C$36,0,J224+I224/'02_Eingaben'!$C$8))</f>
        <v/>
      </c>
    </row>
    <row r="226">
      <c r="A226">
        <f>IF('01_Rohdaten'!A226="","",ROW()-1)</f>
        <v/>
      </c>
      <c r="B226" s="27">
        <f>IF('01_Rohdaten'!A226="","",'01_Rohdaten'!A226)</f>
        <v/>
      </c>
      <c r="C226" s="27">
        <f>IF(B226="","",INDEX('01_Rohdaten'!B226:D226,'02_Eingaben'!$C$13))</f>
        <v/>
      </c>
      <c r="D226" s="27">
        <f>IF(C226="","",C226*'02_Eingaben'!$C$15)</f>
        <v/>
      </c>
      <c r="E226" s="27">
        <f>IF(D226="","",D226*'02_Eingaben'!$C$8)</f>
        <v/>
      </c>
      <c r="F226" s="27">
        <f>IF(E226="","",AVERAGE(INDEX($E$2:$E$3001,MAX(1,ROW()-1-'02_Eingaben'!$C$17)):INDEX($E$2:$E$3001,MIN('02_Eingaben'!$C$21,ROW()-1+'02_Eingaben'!$C$17))))</f>
        <v/>
      </c>
      <c r="G226" s="27">
        <f>IF(F226="","",F226-'02_Eingaben'!$C$10)</f>
        <v/>
      </c>
      <c r="H226">
        <f>IF(F226="","",IF(F226&lt;'02_Eingaben'!$C$18*'02_Eingaben'!$C$10,1,0))</f>
        <v/>
      </c>
      <c r="I226" s="27">
        <f>IF(OR(G226="",G227=""),"",(G226+G227)/2*(B227-B226))</f>
        <v/>
      </c>
      <c r="J226" s="27">
        <f>IF(B226="","",IF(B225&lt;'02_Eingaben'!$C$36,0,J225+I225/'02_Eingaben'!$C$8))</f>
        <v/>
      </c>
    </row>
    <row r="227">
      <c r="A227">
        <f>IF('01_Rohdaten'!A227="","",ROW()-1)</f>
        <v/>
      </c>
      <c r="B227" s="27">
        <f>IF('01_Rohdaten'!A227="","",'01_Rohdaten'!A227)</f>
        <v/>
      </c>
      <c r="C227" s="27">
        <f>IF(B227="","",INDEX('01_Rohdaten'!B227:D227,'02_Eingaben'!$C$13))</f>
        <v/>
      </c>
      <c r="D227" s="27">
        <f>IF(C227="","",C227*'02_Eingaben'!$C$15)</f>
        <v/>
      </c>
      <c r="E227" s="27">
        <f>IF(D227="","",D227*'02_Eingaben'!$C$8)</f>
        <v/>
      </c>
      <c r="F227" s="27">
        <f>IF(E227="","",AVERAGE(INDEX($E$2:$E$3001,MAX(1,ROW()-1-'02_Eingaben'!$C$17)):INDEX($E$2:$E$3001,MIN('02_Eingaben'!$C$21,ROW()-1+'02_Eingaben'!$C$17))))</f>
        <v/>
      </c>
      <c r="G227" s="27">
        <f>IF(F227="","",F227-'02_Eingaben'!$C$10)</f>
        <v/>
      </c>
      <c r="H227">
        <f>IF(F227="","",IF(F227&lt;'02_Eingaben'!$C$18*'02_Eingaben'!$C$10,1,0))</f>
        <v/>
      </c>
      <c r="I227" s="27">
        <f>IF(OR(G227="",G228=""),"",(G227+G228)/2*(B228-B227))</f>
        <v/>
      </c>
      <c r="J227" s="27">
        <f>IF(B227="","",IF(B226&lt;'02_Eingaben'!$C$36,0,J226+I226/'02_Eingaben'!$C$8))</f>
        <v/>
      </c>
    </row>
    <row r="228">
      <c r="A228">
        <f>IF('01_Rohdaten'!A228="","",ROW()-1)</f>
        <v/>
      </c>
      <c r="B228" s="27">
        <f>IF('01_Rohdaten'!A228="","",'01_Rohdaten'!A228)</f>
        <v/>
      </c>
      <c r="C228" s="27">
        <f>IF(B228="","",INDEX('01_Rohdaten'!B228:D228,'02_Eingaben'!$C$13))</f>
        <v/>
      </c>
      <c r="D228" s="27">
        <f>IF(C228="","",C228*'02_Eingaben'!$C$15)</f>
        <v/>
      </c>
      <c r="E228" s="27">
        <f>IF(D228="","",D228*'02_Eingaben'!$C$8)</f>
        <v/>
      </c>
      <c r="F228" s="27">
        <f>IF(E228="","",AVERAGE(INDEX($E$2:$E$3001,MAX(1,ROW()-1-'02_Eingaben'!$C$17)):INDEX($E$2:$E$3001,MIN('02_Eingaben'!$C$21,ROW()-1+'02_Eingaben'!$C$17))))</f>
        <v/>
      </c>
      <c r="G228" s="27">
        <f>IF(F228="","",F228-'02_Eingaben'!$C$10)</f>
        <v/>
      </c>
      <c r="H228">
        <f>IF(F228="","",IF(F228&lt;'02_Eingaben'!$C$18*'02_Eingaben'!$C$10,1,0))</f>
        <v/>
      </c>
      <c r="I228" s="27">
        <f>IF(OR(G228="",G229=""),"",(G228+G229)/2*(B229-B228))</f>
        <v/>
      </c>
      <c r="J228" s="27">
        <f>IF(B228="","",IF(B227&lt;'02_Eingaben'!$C$36,0,J227+I227/'02_Eingaben'!$C$8))</f>
        <v/>
      </c>
    </row>
    <row r="229">
      <c r="A229">
        <f>IF('01_Rohdaten'!A229="","",ROW()-1)</f>
        <v/>
      </c>
      <c r="B229" s="27">
        <f>IF('01_Rohdaten'!A229="","",'01_Rohdaten'!A229)</f>
        <v/>
      </c>
      <c r="C229" s="27">
        <f>IF(B229="","",INDEX('01_Rohdaten'!B229:D229,'02_Eingaben'!$C$13))</f>
        <v/>
      </c>
      <c r="D229" s="27">
        <f>IF(C229="","",C229*'02_Eingaben'!$C$15)</f>
        <v/>
      </c>
      <c r="E229" s="27">
        <f>IF(D229="","",D229*'02_Eingaben'!$C$8)</f>
        <v/>
      </c>
      <c r="F229" s="27">
        <f>IF(E229="","",AVERAGE(INDEX($E$2:$E$3001,MAX(1,ROW()-1-'02_Eingaben'!$C$17)):INDEX($E$2:$E$3001,MIN('02_Eingaben'!$C$21,ROW()-1+'02_Eingaben'!$C$17))))</f>
        <v/>
      </c>
      <c r="G229" s="27">
        <f>IF(F229="","",F229-'02_Eingaben'!$C$10)</f>
        <v/>
      </c>
      <c r="H229">
        <f>IF(F229="","",IF(F229&lt;'02_Eingaben'!$C$18*'02_Eingaben'!$C$10,1,0))</f>
        <v/>
      </c>
      <c r="I229" s="27">
        <f>IF(OR(G229="",G230=""),"",(G229+G230)/2*(B230-B229))</f>
        <v/>
      </c>
      <c r="J229" s="27">
        <f>IF(B229="","",IF(B228&lt;'02_Eingaben'!$C$36,0,J228+I228/'02_Eingaben'!$C$8))</f>
        <v/>
      </c>
    </row>
    <row r="230">
      <c r="A230">
        <f>IF('01_Rohdaten'!A230="","",ROW()-1)</f>
        <v/>
      </c>
      <c r="B230" s="27">
        <f>IF('01_Rohdaten'!A230="","",'01_Rohdaten'!A230)</f>
        <v/>
      </c>
      <c r="C230" s="27">
        <f>IF(B230="","",INDEX('01_Rohdaten'!B230:D230,'02_Eingaben'!$C$13))</f>
        <v/>
      </c>
      <c r="D230" s="27">
        <f>IF(C230="","",C230*'02_Eingaben'!$C$15)</f>
        <v/>
      </c>
      <c r="E230" s="27">
        <f>IF(D230="","",D230*'02_Eingaben'!$C$8)</f>
        <v/>
      </c>
      <c r="F230" s="27">
        <f>IF(E230="","",AVERAGE(INDEX($E$2:$E$3001,MAX(1,ROW()-1-'02_Eingaben'!$C$17)):INDEX($E$2:$E$3001,MIN('02_Eingaben'!$C$21,ROW()-1+'02_Eingaben'!$C$17))))</f>
        <v/>
      </c>
      <c r="G230" s="27">
        <f>IF(F230="","",F230-'02_Eingaben'!$C$10)</f>
        <v/>
      </c>
      <c r="H230">
        <f>IF(F230="","",IF(F230&lt;'02_Eingaben'!$C$18*'02_Eingaben'!$C$10,1,0))</f>
        <v/>
      </c>
      <c r="I230" s="27">
        <f>IF(OR(G230="",G231=""),"",(G230+G231)/2*(B231-B230))</f>
        <v/>
      </c>
      <c r="J230" s="27">
        <f>IF(B230="","",IF(B229&lt;'02_Eingaben'!$C$36,0,J229+I229/'02_Eingaben'!$C$8))</f>
        <v/>
      </c>
    </row>
    <row r="231">
      <c r="A231">
        <f>IF('01_Rohdaten'!A231="","",ROW()-1)</f>
        <v/>
      </c>
      <c r="B231" s="27">
        <f>IF('01_Rohdaten'!A231="","",'01_Rohdaten'!A231)</f>
        <v/>
      </c>
      <c r="C231" s="27">
        <f>IF(B231="","",INDEX('01_Rohdaten'!B231:D231,'02_Eingaben'!$C$13))</f>
        <v/>
      </c>
      <c r="D231" s="27">
        <f>IF(C231="","",C231*'02_Eingaben'!$C$15)</f>
        <v/>
      </c>
      <c r="E231" s="27">
        <f>IF(D231="","",D231*'02_Eingaben'!$C$8)</f>
        <v/>
      </c>
      <c r="F231" s="27">
        <f>IF(E231="","",AVERAGE(INDEX($E$2:$E$3001,MAX(1,ROW()-1-'02_Eingaben'!$C$17)):INDEX($E$2:$E$3001,MIN('02_Eingaben'!$C$21,ROW()-1+'02_Eingaben'!$C$17))))</f>
        <v/>
      </c>
      <c r="G231" s="27">
        <f>IF(F231="","",F231-'02_Eingaben'!$C$10)</f>
        <v/>
      </c>
      <c r="H231">
        <f>IF(F231="","",IF(F231&lt;'02_Eingaben'!$C$18*'02_Eingaben'!$C$10,1,0))</f>
        <v/>
      </c>
      <c r="I231" s="27">
        <f>IF(OR(G231="",G232=""),"",(G231+G232)/2*(B232-B231))</f>
        <v/>
      </c>
      <c r="J231" s="27">
        <f>IF(B231="","",IF(B230&lt;'02_Eingaben'!$C$36,0,J230+I230/'02_Eingaben'!$C$8))</f>
        <v/>
      </c>
    </row>
    <row r="232">
      <c r="A232">
        <f>IF('01_Rohdaten'!A232="","",ROW()-1)</f>
        <v/>
      </c>
      <c r="B232" s="27">
        <f>IF('01_Rohdaten'!A232="","",'01_Rohdaten'!A232)</f>
        <v/>
      </c>
      <c r="C232" s="27">
        <f>IF(B232="","",INDEX('01_Rohdaten'!B232:D232,'02_Eingaben'!$C$13))</f>
        <v/>
      </c>
      <c r="D232" s="27">
        <f>IF(C232="","",C232*'02_Eingaben'!$C$15)</f>
        <v/>
      </c>
      <c r="E232" s="27">
        <f>IF(D232="","",D232*'02_Eingaben'!$C$8)</f>
        <v/>
      </c>
      <c r="F232" s="27">
        <f>IF(E232="","",AVERAGE(INDEX($E$2:$E$3001,MAX(1,ROW()-1-'02_Eingaben'!$C$17)):INDEX($E$2:$E$3001,MIN('02_Eingaben'!$C$21,ROW()-1+'02_Eingaben'!$C$17))))</f>
        <v/>
      </c>
      <c r="G232" s="27">
        <f>IF(F232="","",F232-'02_Eingaben'!$C$10)</f>
        <v/>
      </c>
      <c r="H232">
        <f>IF(F232="","",IF(F232&lt;'02_Eingaben'!$C$18*'02_Eingaben'!$C$10,1,0))</f>
        <v/>
      </c>
      <c r="I232" s="27">
        <f>IF(OR(G232="",G233=""),"",(G232+G233)/2*(B233-B232))</f>
        <v/>
      </c>
      <c r="J232" s="27">
        <f>IF(B232="","",IF(B231&lt;'02_Eingaben'!$C$36,0,J231+I231/'02_Eingaben'!$C$8))</f>
        <v/>
      </c>
    </row>
    <row r="233">
      <c r="A233">
        <f>IF('01_Rohdaten'!A233="","",ROW()-1)</f>
        <v/>
      </c>
      <c r="B233" s="27">
        <f>IF('01_Rohdaten'!A233="","",'01_Rohdaten'!A233)</f>
        <v/>
      </c>
      <c r="C233" s="27">
        <f>IF(B233="","",INDEX('01_Rohdaten'!B233:D233,'02_Eingaben'!$C$13))</f>
        <v/>
      </c>
      <c r="D233" s="27">
        <f>IF(C233="","",C233*'02_Eingaben'!$C$15)</f>
        <v/>
      </c>
      <c r="E233" s="27">
        <f>IF(D233="","",D233*'02_Eingaben'!$C$8)</f>
        <v/>
      </c>
      <c r="F233" s="27">
        <f>IF(E233="","",AVERAGE(INDEX($E$2:$E$3001,MAX(1,ROW()-1-'02_Eingaben'!$C$17)):INDEX($E$2:$E$3001,MIN('02_Eingaben'!$C$21,ROW()-1+'02_Eingaben'!$C$17))))</f>
        <v/>
      </c>
      <c r="G233" s="27">
        <f>IF(F233="","",F233-'02_Eingaben'!$C$10)</f>
        <v/>
      </c>
      <c r="H233">
        <f>IF(F233="","",IF(F233&lt;'02_Eingaben'!$C$18*'02_Eingaben'!$C$10,1,0))</f>
        <v/>
      </c>
      <c r="I233" s="27">
        <f>IF(OR(G233="",G234=""),"",(G233+G234)/2*(B234-B233))</f>
        <v/>
      </c>
      <c r="J233" s="27">
        <f>IF(B233="","",IF(B232&lt;'02_Eingaben'!$C$36,0,J232+I232/'02_Eingaben'!$C$8))</f>
        <v/>
      </c>
    </row>
    <row r="234">
      <c r="A234">
        <f>IF('01_Rohdaten'!A234="","",ROW()-1)</f>
        <v/>
      </c>
      <c r="B234" s="27">
        <f>IF('01_Rohdaten'!A234="","",'01_Rohdaten'!A234)</f>
        <v/>
      </c>
      <c r="C234" s="27">
        <f>IF(B234="","",INDEX('01_Rohdaten'!B234:D234,'02_Eingaben'!$C$13))</f>
        <v/>
      </c>
      <c r="D234" s="27">
        <f>IF(C234="","",C234*'02_Eingaben'!$C$15)</f>
        <v/>
      </c>
      <c r="E234" s="27">
        <f>IF(D234="","",D234*'02_Eingaben'!$C$8)</f>
        <v/>
      </c>
      <c r="F234" s="27">
        <f>IF(E234="","",AVERAGE(INDEX($E$2:$E$3001,MAX(1,ROW()-1-'02_Eingaben'!$C$17)):INDEX($E$2:$E$3001,MIN('02_Eingaben'!$C$21,ROW()-1+'02_Eingaben'!$C$17))))</f>
        <v/>
      </c>
      <c r="G234" s="27">
        <f>IF(F234="","",F234-'02_Eingaben'!$C$10)</f>
        <v/>
      </c>
      <c r="H234">
        <f>IF(F234="","",IF(F234&lt;'02_Eingaben'!$C$18*'02_Eingaben'!$C$10,1,0))</f>
        <v/>
      </c>
      <c r="I234" s="27">
        <f>IF(OR(G234="",G235=""),"",(G234+G235)/2*(B235-B234))</f>
        <v/>
      </c>
      <c r="J234" s="27">
        <f>IF(B234="","",IF(B233&lt;'02_Eingaben'!$C$36,0,J233+I233/'02_Eingaben'!$C$8))</f>
        <v/>
      </c>
    </row>
    <row r="235">
      <c r="A235">
        <f>IF('01_Rohdaten'!A235="","",ROW()-1)</f>
        <v/>
      </c>
      <c r="B235" s="27">
        <f>IF('01_Rohdaten'!A235="","",'01_Rohdaten'!A235)</f>
        <v/>
      </c>
      <c r="C235" s="27">
        <f>IF(B235="","",INDEX('01_Rohdaten'!B235:D235,'02_Eingaben'!$C$13))</f>
        <v/>
      </c>
      <c r="D235" s="27">
        <f>IF(C235="","",C235*'02_Eingaben'!$C$15)</f>
        <v/>
      </c>
      <c r="E235" s="27">
        <f>IF(D235="","",D235*'02_Eingaben'!$C$8)</f>
        <v/>
      </c>
      <c r="F235" s="27">
        <f>IF(E235="","",AVERAGE(INDEX($E$2:$E$3001,MAX(1,ROW()-1-'02_Eingaben'!$C$17)):INDEX($E$2:$E$3001,MIN('02_Eingaben'!$C$21,ROW()-1+'02_Eingaben'!$C$17))))</f>
        <v/>
      </c>
      <c r="G235" s="27">
        <f>IF(F235="","",F235-'02_Eingaben'!$C$10)</f>
        <v/>
      </c>
      <c r="H235">
        <f>IF(F235="","",IF(F235&lt;'02_Eingaben'!$C$18*'02_Eingaben'!$C$10,1,0))</f>
        <v/>
      </c>
      <c r="I235" s="27">
        <f>IF(OR(G235="",G236=""),"",(G235+G236)/2*(B236-B235))</f>
        <v/>
      </c>
      <c r="J235" s="27">
        <f>IF(B235="","",IF(B234&lt;'02_Eingaben'!$C$36,0,J234+I234/'02_Eingaben'!$C$8))</f>
        <v/>
      </c>
    </row>
    <row r="236">
      <c r="A236">
        <f>IF('01_Rohdaten'!A236="","",ROW()-1)</f>
        <v/>
      </c>
      <c r="B236" s="27">
        <f>IF('01_Rohdaten'!A236="","",'01_Rohdaten'!A236)</f>
        <v/>
      </c>
      <c r="C236" s="27">
        <f>IF(B236="","",INDEX('01_Rohdaten'!B236:D236,'02_Eingaben'!$C$13))</f>
        <v/>
      </c>
      <c r="D236" s="27">
        <f>IF(C236="","",C236*'02_Eingaben'!$C$15)</f>
        <v/>
      </c>
      <c r="E236" s="27">
        <f>IF(D236="","",D236*'02_Eingaben'!$C$8)</f>
        <v/>
      </c>
      <c r="F236" s="27">
        <f>IF(E236="","",AVERAGE(INDEX($E$2:$E$3001,MAX(1,ROW()-1-'02_Eingaben'!$C$17)):INDEX($E$2:$E$3001,MIN('02_Eingaben'!$C$21,ROW()-1+'02_Eingaben'!$C$17))))</f>
        <v/>
      </c>
      <c r="G236" s="27">
        <f>IF(F236="","",F236-'02_Eingaben'!$C$10)</f>
        <v/>
      </c>
      <c r="H236">
        <f>IF(F236="","",IF(F236&lt;'02_Eingaben'!$C$18*'02_Eingaben'!$C$10,1,0))</f>
        <v/>
      </c>
      <c r="I236" s="27">
        <f>IF(OR(G236="",G237=""),"",(G236+G237)/2*(B237-B236))</f>
        <v/>
      </c>
      <c r="J236" s="27">
        <f>IF(B236="","",IF(B235&lt;'02_Eingaben'!$C$36,0,J235+I235/'02_Eingaben'!$C$8))</f>
        <v/>
      </c>
    </row>
    <row r="237">
      <c r="A237">
        <f>IF('01_Rohdaten'!A237="","",ROW()-1)</f>
        <v/>
      </c>
      <c r="B237" s="27">
        <f>IF('01_Rohdaten'!A237="","",'01_Rohdaten'!A237)</f>
        <v/>
      </c>
      <c r="C237" s="27">
        <f>IF(B237="","",INDEX('01_Rohdaten'!B237:D237,'02_Eingaben'!$C$13))</f>
        <v/>
      </c>
      <c r="D237" s="27">
        <f>IF(C237="","",C237*'02_Eingaben'!$C$15)</f>
        <v/>
      </c>
      <c r="E237" s="27">
        <f>IF(D237="","",D237*'02_Eingaben'!$C$8)</f>
        <v/>
      </c>
      <c r="F237" s="27">
        <f>IF(E237="","",AVERAGE(INDEX($E$2:$E$3001,MAX(1,ROW()-1-'02_Eingaben'!$C$17)):INDEX($E$2:$E$3001,MIN('02_Eingaben'!$C$21,ROW()-1+'02_Eingaben'!$C$17))))</f>
        <v/>
      </c>
      <c r="G237" s="27">
        <f>IF(F237="","",F237-'02_Eingaben'!$C$10)</f>
        <v/>
      </c>
      <c r="H237">
        <f>IF(F237="","",IF(F237&lt;'02_Eingaben'!$C$18*'02_Eingaben'!$C$10,1,0))</f>
        <v/>
      </c>
      <c r="I237" s="27">
        <f>IF(OR(G237="",G238=""),"",(G237+G238)/2*(B238-B237))</f>
        <v/>
      </c>
      <c r="J237" s="27">
        <f>IF(B237="","",IF(B236&lt;'02_Eingaben'!$C$36,0,J236+I236/'02_Eingaben'!$C$8))</f>
        <v/>
      </c>
    </row>
    <row r="238">
      <c r="A238">
        <f>IF('01_Rohdaten'!A238="","",ROW()-1)</f>
        <v/>
      </c>
      <c r="B238" s="27">
        <f>IF('01_Rohdaten'!A238="","",'01_Rohdaten'!A238)</f>
        <v/>
      </c>
      <c r="C238" s="27">
        <f>IF(B238="","",INDEX('01_Rohdaten'!B238:D238,'02_Eingaben'!$C$13))</f>
        <v/>
      </c>
      <c r="D238" s="27">
        <f>IF(C238="","",C238*'02_Eingaben'!$C$15)</f>
        <v/>
      </c>
      <c r="E238" s="27">
        <f>IF(D238="","",D238*'02_Eingaben'!$C$8)</f>
        <v/>
      </c>
      <c r="F238" s="27">
        <f>IF(E238="","",AVERAGE(INDEX($E$2:$E$3001,MAX(1,ROW()-1-'02_Eingaben'!$C$17)):INDEX($E$2:$E$3001,MIN('02_Eingaben'!$C$21,ROW()-1+'02_Eingaben'!$C$17))))</f>
        <v/>
      </c>
      <c r="G238" s="27">
        <f>IF(F238="","",F238-'02_Eingaben'!$C$10)</f>
        <v/>
      </c>
      <c r="H238">
        <f>IF(F238="","",IF(F238&lt;'02_Eingaben'!$C$18*'02_Eingaben'!$C$10,1,0))</f>
        <v/>
      </c>
      <c r="I238" s="27">
        <f>IF(OR(G238="",G239=""),"",(G238+G239)/2*(B239-B238))</f>
        <v/>
      </c>
      <c r="J238" s="27">
        <f>IF(B238="","",IF(B237&lt;'02_Eingaben'!$C$36,0,J237+I237/'02_Eingaben'!$C$8))</f>
        <v/>
      </c>
    </row>
    <row r="239">
      <c r="A239">
        <f>IF('01_Rohdaten'!A239="","",ROW()-1)</f>
        <v/>
      </c>
      <c r="B239" s="27">
        <f>IF('01_Rohdaten'!A239="","",'01_Rohdaten'!A239)</f>
        <v/>
      </c>
      <c r="C239" s="27">
        <f>IF(B239="","",INDEX('01_Rohdaten'!B239:D239,'02_Eingaben'!$C$13))</f>
        <v/>
      </c>
      <c r="D239" s="27">
        <f>IF(C239="","",C239*'02_Eingaben'!$C$15)</f>
        <v/>
      </c>
      <c r="E239" s="27">
        <f>IF(D239="","",D239*'02_Eingaben'!$C$8)</f>
        <v/>
      </c>
      <c r="F239" s="27">
        <f>IF(E239="","",AVERAGE(INDEX($E$2:$E$3001,MAX(1,ROW()-1-'02_Eingaben'!$C$17)):INDEX($E$2:$E$3001,MIN('02_Eingaben'!$C$21,ROW()-1+'02_Eingaben'!$C$17))))</f>
        <v/>
      </c>
      <c r="G239" s="27">
        <f>IF(F239="","",F239-'02_Eingaben'!$C$10)</f>
        <v/>
      </c>
      <c r="H239">
        <f>IF(F239="","",IF(F239&lt;'02_Eingaben'!$C$18*'02_Eingaben'!$C$10,1,0))</f>
        <v/>
      </c>
      <c r="I239" s="27">
        <f>IF(OR(G239="",G240=""),"",(G239+G240)/2*(B240-B239))</f>
        <v/>
      </c>
      <c r="J239" s="27">
        <f>IF(B239="","",IF(B238&lt;'02_Eingaben'!$C$36,0,J238+I238/'02_Eingaben'!$C$8))</f>
        <v/>
      </c>
    </row>
    <row r="240">
      <c r="A240">
        <f>IF('01_Rohdaten'!A240="","",ROW()-1)</f>
        <v/>
      </c>
      <c r="B240" s="27">
        <f>IF('01_Rohdaten'!A240="","",'01_Rohdaten'!A240)</f>
        <v/>
      </c>
      <c r="C240" s="27">
        <f>IF(B240="","",INDEX('01_Rohdaten'!B240:D240,'02_Eingaben'!$C$13))</f>
        <v/>
      </c>
      <c r="D240" s="27">
        <f>IF(C240="","",C240*'02_Eingaben'!$C$15)</f>
        <v/>
      </c>
      <c r="E240" s="27">
        <f>IF(D240="","",D240*'02_Eingaben'!$C$8)</f>
        <v/>
      </c>
      <c r="F240" s="27">
        <f>IF(E240="","",AVERAGE(INDEX($E$2:$E$3001,MAX(1,ROW()-1-'02_Eingaben'!$C$17)):INDEX($E$2:$E$3001,MIN('02_Eingaben'!$C$21,ROW()-1+'02_Eingaben'!$C$17))))</f>
        <v/>
      </c>
      <c r="G240" s="27">
        <f>IF(F240="","",F240-'02_Eingaben'!$C$10)</f>
        <v/>
      </c>
      <c r="H240">
        <f>IF(F240="","",IF(F240&lt;'02_Eingaben'!$C$18*'02_Eingaben'!$C$10,1,0))</f>
        <v/>
      </c>
      <c r="I240" s="27">
        <f>IF(OR(G240="",G241=""),"",(G240+G241)/2*(B241-B240))</f>
        <v/>
      </c>
      <c r="J240" s="27">
        <f>IF(B240="","",IF(B239&lt;'02_Eingaben'!$C$36,0,J239+I239/'02_Eingaben'!$C$8))</f>
        <v/>
      </c>
    </row>
    <row r="241">
      <c r="A241">
        <f>IF('01_Rohdaten'!A241="","",ROW()-1)</f>
        <v/>
      </c>
      <c r="B241" s="27">
        <f>IF('01_Rohdaten'!A241="","",'01_Rohdaten'!A241)</f>
        <v/>
      </c>
      <c r="C241" s="27">
        <f>IF(B241="","",INDEX('01_Rohdaten'!B241:D241,'02_Eingaben'!$C$13))</f>
        <v/>
      </c>
      <c r="D241" s="27">
        <f>IF(C241="","",C241*'02_Eingaben'!$C$15)</f>
        <v/>
      </c>
      <c r="E241" s="27">
        <f>IF(D241="","",D241*'02_Eingaben'!$C$8)</f>
        <v/>
      </c>
      <c r="F241" s="27">
        <f>IF(E241="","",AVERAGE(INDEX($E$2:$E$3001,MAX(1,ROW()-1-'02_Eingaben'!$C$17)):INDEX($E$2:$E$3001,MIN('02_Eingaben'!$C$21,ROW()-1+'02_Eingaben'!$C$17))))</f>
        <v/>
      </c>
      <c r="G241" s="27">
        <f>IF(F241="","",F241-'02_Eingaben'!$C$10)</f>
        <v/>
      </c>
      <c r="H241">
        <f>IF(F241="","",IF(F241&lt;'02_Eingaben'!$C$18*'02_Eingaben'!$C$10,1,0))</f>
        <v/>
      </c>
      <c r="I241" s="27">
        <f>IF(OR(G241="",G242=""),"",(G241+G242)/2*(B242-B241))</f>
        <v/>
      </c>
      <c r="J241" s="27">
        <f>IF(B241="","",IF(B240&lt;'02_Eingaben'!$C$36,0,J240+I240/'02_Eingaben'!$C$8))</f>
        <v/>
      </c>
    </row>
    <row r="242">
      <c r="A242">
        <f>IF('01_Rohdaten'!A242="","",ROW()-1)</f>
        <v/>
      </c>
      <c r="B242" s="27">
        <f>IF('01_Rohdaten'!A242="","",'01_Rohdaten'!A242)</f>
        <v/>
      </c>
      <c r="C242" s="27">
        <f>IF(B242="","",INDEX('01_Rohdaten'!B242:D242,'02_Eingaben'!$C$13))</f>
        <v/>
      </c>
      <c r="D242" s="27">
        <f>IF(C242="","",C242*'02_Eingaben'!$C$15)</f>
        <v/>
      </c>
      <c r="E242" s="27">
        <f>IF(D242="","",D242*'02_Eingaben'!$C$8)</f>
        <v/>
      </c>
      <c r="F242" s="27">
        <f>IF(E242="","",AVERAGE(INDEX($E$2:$E$3001,MAX(1,ROW()-1-'02_Eingaben'!$C$17)):INDEX($E$2:$E$3001,MIN('02_Eingaben'!$C$21,ROW()-1+'02_Eingaben'!$C$17))))</f>
        <v/>
      </c>
      <c r="G242" s="27">
        <f>IF(F242="","",F242-'02_Eingaben'!$C$10)</f>
        <v/>
      </c>
      <c r="H242">
        <f>IF(F242="","",IF(F242&lt;'02_Eingaben'!$C$18*'02_Eingaben'!$C$10,1,0))</f>
        <v/>
      </c>
      <c r="I242" s="27">
        <f>IF(OR(G242="",G243=""),"",(G242+G243)/2*(B243-B242))</f>
        <v/>
      </c>
      <c r="J242" s="27">
        <f>IF(B242="","",IF(B241&lt;'02_Eingaben'!$C$36,0,J241+I241/'02_Eingaben'!$C$8))</f>
        <v/>
      </c>
    </row>
    <row r="243">
      <c r="A243">
        <f>IF('01_Rohdaten'!A243="","",ROW()-1)</f>
        <v/>
      </c>
      <c r="B243" s="27">
        <f>IF('01_Rohdaten'!A243="","",'01_Rohdaten'!A243)</f>
        <v/>
      </c>
      <c r="C243" s="27">
        <f>IF(B243="","",INDEX('01_Rohdaten'!B243:D243,'02_Eingaben'!$C$13))</f>
        <v/>
      </c>
      <c r="D243" s="27">
        <f>IF(C243="","",C243*'02_Eingaben'!$C$15)</f>
        <v/>
      </c>
      <c r="E243" s="27">
        <f>IF(D243="","",D243*'02_Eingaben'!$C$8)</f>
        <v/>
      </c>
      <c r="F243" s="27">
        <f>IF(E243="","",AVERAGE(INDEX($E$2:$E$3001,MAX(1,ROW()-1-'02_Eingaben'!$C$17)):INDEX($E$2:$E$3001,MIN('02_Eingaben'!$C$21,ROW()-1+'02_Eingaben'!$C$17))))</f>
        <v/>
      </c>
      <c r="G243" s="27">
        <f>IF(F243="","",F243-'02_Eingaben'!$C$10)</f>
        <v/>
      </c>
      <c r="H243">
        <f>IF(F243="","",IF(F243&lt;'02_Eingaben'!$C$18*'02_Eingaben'!$C$10,1,0))</f>
        <v/>
      </c>
      <c r="I243" s="27">
        <f>IF(OR(G243="",G244=""),"",(G243+G244)/2*(B244-B243))</f>
        <v/>
      </c>
      <c r="J243" s="27">
        <f>IF(B243="","",IF(B242&lt;'02_Eingaben'!$C$36,0,J242+I242/'02_Eingaben'!$C$8))</f>
        <v/>
      </c>
    </row>
    <row r="244">
      <c r="A244">
        <f>IF('01_Rohdaten'!A244="","",ROW()-1)</f>
        <v/>
      </c>
      <c r="B244" s="27">
        <f>IF('01_Rohdaten'!A244="","",'01_Rohdaten'!A244)</f>
        <v/>
      </c>
      <c r="C244" s="27">
        <f>IF(B244="","",INDEX('01_Rohdaten'!B244:D244,'02_Eingaben'!$C$13))</f>
        <v/>
      </c>
      <c r="D244" s="27">
        <f>IF(C244="","",C244*'02_Eingaben'!$C$15)</f>
        <v/>
      </c>
      <c r="E244" s="27">
        <f>IF(D244="","",D244*'02_Eingaben'!$C$8)</f>
        <v/>
      </c>
      <c r="F244" s="27">
        <f>IF(E244="","",AVERAGE(INDEX($E$2:$E$3001,MAX(1,ROW()-1-'02_Eingaben'!$C$17)):INDEX($E$2:$E$3001,MIN('02_Eingaben'!$C$21,ROW()-1+'02_Eingaben'!$C$17))))</f>
        <v/>
      </c>
      <c r="G244" s="27">
        <f>IF(F244="","",F244-'02_Eingaben'!$C$10)</f>
        <v/>
      </c>
      <c r="H244">
        <f>IF(F244="","",IF(F244&lt;'02_Eingaben'!$C$18*'02_Eingaben'!$C$10,1,0))</f>
        <v/>
      </c>
      <c r="I244" s="27">
        <f>IF(OR(G244="",G245=""),"",(G244+G245)/2*(B245-B244))</f>
        <v/>
      </c>
      <c r="J244" s="27">
        <f>IF(B244="","",IF(B243&lt;'02_Eingaben'!$C$36,0,J243+I243/'02_Eingaben'!$C$8))</f>
        <v/>
      </c>
    </row>
    <row r="245">
      <c r="A245">
        <f>IF('01_Rohdaten'!A245="","",ROW()-1)</f>
        <v/>
      </c>
      <c r="B245" s="27">
        <f>IF('01_Rohdaten'!A245="","",'01_Rohdaten'!A245)</f>
        <v/>
      </c>
      <c r="C245" s="27">
        <f>IF(B245="","",INDEX('01_Rohdaten'!B245:D245,'02_Eingaben'!$C$13))</f>
        <v/>
      </c>
      <c r="D245" s="27">
        <f>IF(C245="","",C245*'02_Eingaben'!$C$15)</f>
        <v/>
      </c>
      <c r="E245" s="27">
        <f>IF(D245="","",D245*'02_Eingaben'!$C$8)</f>
        <v/>
      </c>
      <c r="F245" s="27">
        <f>IF(E245="","",AVERAGE(INDEX($E$2:$E$3001,MAX(1,ROW()-1-'02_Eingaben'!$C$17)):INDEX($E$2:$E$3001,MIN('02_Eingaben'!$C$21,ROW()-1+'02_Eingaben'!$C$17))))</f>
        <v/>
      </c>
      <c r="G245" s="27">
        <f>IF(F245="","",F245-'02_Eingaben'!$C$10)</f>
        <v/>
      </c>
      <c r="H245">
        <f>IF(F245="","",IF(F245&lt;'02_Eingaben'!$C$18*'02_Eingaben'!$C$10,1,0))</f>
        <v/>
      </c>
      <c r="I245" s="27">
        <f>IF(OR(G245="",G246=""),"",(G245+G246)/2*(B246-B245))</f>
        <v/>
      </c>
      <c r="J245" s="27">
        <f>IF(B245="","",IF(B244&lt;'02_Eingaben'!$C$36,0,J244+I244/'02_Eingaben'!$C$8))</f>
        <v/>
      </c>
    </row>
    <row r="246">
      <c r="A246">
        <f>IF('01_Rohdaten'!A246="","",ROW()-1)</f>
        <v/>
      </c>
      <c r="B246" s="27">
        <f>IF('01_Rohdaten'!A246="","",'01_Rohdaten'!A246)</f>
        <v/>
      </c>
      <c r="C246" s="27">
        <f>IF(B246="","",INDEX('01_Rohdaten'!B246:D246,'02_Eingaben'!$C$13))</f>
        <v/>
      </c>
      <c r="D246" s="27">
        <f>IF(C246="","",C246*'02_Eingaben'!$C$15)</f>
        <v/>
      </c>
      <c r="E246" s="27">
        <f>IF(D246="","",D246*'02_Eingaben'!$C$8)</f>
        <v/>
      </c>
      <c r="F246" s="27">
        <f>IF(E246="","",AVERAGE(INDEX($E$2:$E$3001,MAX(1,ROW()-1-'02_Eingaben'!$C$17)):INDEX($E$2:$E$3001,MIN('02_Eingaben'!$C$21,ROW()-1+'02_Eingaben'!$C$17))))</f>
        <v/>
      </c>
      <c r="G246" s="27">
        <f>IF(F246="","",F246-'02_Eingaben'!$C$10)</f>
        <v/>
      </c>
      <c r="H246">
        <f>IF(F246="","",IF(F246&lt;'02_Eingaben'!$C$18*'02_Eingaben'!$C$10,1,0))</f>
        <v/>
      </c>
      <c r="I246" s="27">
        <f>IF(OR(G246="",G247=""),"",(G246+G247)/2*(B247-B246))</f>
        <v/>
      </c>
      <c r="J246" s="27">
        <f>IF(B246="","",IF(B245&lt;'02_Eingaben'!$C$36,0,J245+I245/'02_Eingaben'!$C$8))</f>
        <v/>
      </c>
    </row>
    <row r="247">
      <c r="A247">
        <f>IF('01_Rohdaten'!A247="","",ROW()-1)</f>
        <v/>
      </c>
      <c r="B247" s="27">
        <f>IF('01_Rohdaten'!A247="","",'01_Rohdaten'!A247)</f>
        <v/>
      </c>
      <c r="C247" s="27">
        <f>IF(B247="","",INDEX('01_Rohdaten'!B247:D247,'02_Eingaben'!$C$13))</f>
        <v/>
      </c>
      <c r="D247" s="27">
        <f>IF(C247="","",C247*'02_Eingaben'!$C$15)</f>
        <v/>
      </c>
      <c r="E247" s="27">
        <f>IF(D247="","",D247*'02_Eingaben'!$C$8)</f>
        <v/>
      </c>
      <c r="F247" s="27">
        <f>IF(E247="","",AVERAGE(INDEX($E$2:$E$3001,MAX(1,ROW()-1-'02_Eingaben'!$C$17)):INDEX($E$2:$E$3001,MIN('02_Eingaben'!$C$21,ROW()-1+'02_Eingaben'!$C$17))))</f>
        <v/>
      </c>
      <c r="G247" s="27">
        <f>IF(F247="","",F247-'02_Eingaben'!$C$10)</f>
        <v/>
      </c>
      <c r="H247">
        <f>IF(F247="","",IF(F247&lt;'02_Eingaben'!$C$18*'02_Eingaben'!$C$10,1,0))</f>
        <v/>
      </c>
      <c r="I247" s="27">
        <f>IF(OR(G247="",G248=""),"",(G247+G248)/2*(B248-B247))</f>
        <v/>
      </c>
      <c r="J247" s="27">
        <f>IF(B247="","",IF(B246&lt;'02_Eingaben'!$C$36,0,J246+I246/'02_Eingaben'!$C$8))</f>
        <v/>
      </c>
    </row>
    <row r="248">
      <c r="A248">
        <f>IF('01_Rohdaten'!A248="","",ROW()-1)</f>
        <v/>
      </c>
      <c r="B248" s="27">
        <f>IF('01_Rohdaten'!A248="","",'01_Rohdaten'!A248)</f>
        <v/>
      </c>
      <c r="C248" s="27">
        <f>IF(B248="","",INDEX('01_Rohdaten'!B248:D248,'02_Eingaben'!$C$13))</f>
        <v/>
      </c>
      <c r="D248" s="27">
        <f>IF(C248="","",C248*'02_Eingaben'!$C$15)</f>
        <v/>
      </c>
      <c r="E248" s="27">
        <f>IF(D248="","",D248*'02_Eingaben'!$C$8)</f>
        <v/>
      </c>
      <c r="F248" s="27">
        <f>IF(E248="","",AVERAGE(INDEX($E$2:$E$3001,MAX(1,ROW()-1-'02_Eingaben'!$C$17)):INDEX($E$2:$E$3001,MIN('02_Eingaben'!$C$21,ROW()-1+'02_Eingaben'!$C$17))))</f>
        <v/>
      </c>
      <c r="G248" s="27">
        <f>IF(F248="","",F248-'02_Eingaben'!$C$10)</f>
        <v/>
      </c>
      <c r="H248">
        <f>IF(F248="","",IF(F248&lt;'02_Eingaben'!$C$18*'02_Eingaben'!$C$10,1,0))</f>
        <v/>
      </c>
      <c r="I248" s="27">
        <f>IF(OR(G248="",G249=""),"",(G248+G249)/2*(B249-B248))</f>
        <v/>
      </c>
      <c r="J248" s="27">
        <f>IF(B248="","",IF(B247&lt;'02_Eingaben'!$C$36,0,J247+I247/'02_Eingaben'!$C$8))</f>
        <v/>
      </c>
    </row>
    <row r="249">
      <c r="A249">
        <f>IF('01_Rohdaten'!A249="","",ROW()-1)</f>
        <v/>
      </c>
      <c r="B249" s="27">
        <f>IF('01_Rohdaten'!A249="","",'01_Rohdaten'!A249)</f>
        <v/>
      </c>
      <c r="C249" s="27">
        <f>IF(B249="","",INDEX('01_Rohdaten'!B249:D249,'02_Eingaben'!$C$13))</f>
        <v/>
      </c>
      <c r="D249" s="27">
        <f>IF(C249="","",C249*'02_Eingaben'!$C$15)</f>
        <v/>
      </c>
      <c r="E249" s="27">
        <f>IF(D249="","",D249*'02_Eingaben'!$C$8)</f>
        <v/>
      </c>
      <c r="F249" s="27">
        <f>IF(E249="","",AVERAGE(INDEX($E$2:$E$3001,MAX(1,ROW()-1-'02_Eingaben'!$C$17)):INDEX($E$2:$E$3001,MIN('02_Eingaben'!$C$21,ROW()-1+'02_Eingaben'!$C$17))))</f>
        <v/>
      </c>
      <c r="G249" s="27">
        <f>IF(F249="","",F249-'02_Eingaben'!$C$10)</f>
        <v/>
      </c>
      <c r="H249">
        <f>IF(F249="","",IF(F249&lt;'02_Eingaben'!$C$18*'02_Eingaben'!$C$10,1,0))</f>
        <v/>
      </c>
      <c r="I249" s="27">
        <f>IF(OR(G249="",G250=""),"",(G249+G250)/2*(B250-B249))</f>
        <v/>
      </c>
      <c r="J249" s="27">
        <f>IF(B249="","",IF(B248&lt;'02_Eingaben'!$C$36,0,J248+I248/'02_Eingaben'!$C$8))</f>
        <v/>
      </c>
    </row>
    <row r="250">
      <c r="A250">
        <f>IF('01_Rohdaten'!A250="","",ROW()-1)</f>
        <v/>
      </c>
      <c r="B250" s="27">
        <f>IF('01_Rohdaten'!A250="","",'01_Rohdaten'!A250)</f>
        <v/>
      </c>
      <c r="C250" s="27">
        <f>IF(B250="","",INDEX('01_Rohdaten'!B250:D250,'02_Eingaben'!$C$13))</f>
        <v/>
      </c>
      <c r="D250" s="27">
        <f>IF(C250="","",C250*'02_Eingaben'!$C$15)</f>
        <v/>
      </c>
      <c r="E250" s="27">
        <f>IF(D250="","",D250*'02_Eingaben'!$C$8)</f>
        <v/>
      </c>
      <c r="F250" s="27">
        <f>IF(E250="","",AVERAGE(INDEX($E$2:$E$3001,MAX(1,ROW()-1-'02_Eingaben'!$C$17)):INDEX($E$2:$E$3001,MIN('02_Eingaben'!$C$21,ROW()-1+'02_Eingaben'!$C$17))))</f>
        <v/>
      </c>
      <c r="G250" s="27">
        <f>IF(F250="","",F250-'02_Eingaben'!$C$10)</f>
        <v/>
      </c>
      <c r="H250">
        <f>IF(F250="","",IF(F250&lt;'02_Eingaben'!$C$18*'02_Eingaben'!$C$10,1,0))</f>
        <v/>
      </c>
      <c r="I250" s="27">
        <f>IF(OR(G250="",G251=""),"",(G250+G251)/2*(B251-B250))</f>
        <v/>
      </c>
      <c r="J250" s="27">
        <f>IF(B250="","",IF(B249&lt;'02_Eingaben'!$C$36,0,J249+I249/'02_Eingaben'!$C$8))</f>
        <v/>
      </c>
    </row>
    <row r="251">
      <c r="A251">
        <f>IF('01_Rohdaten'!A251="","",ROW()-1)</f>
        <v/>
      </c>
      <c r="B251" s="27">
        <f>IF('01_Rohdaten'!A251="","",'01_Rohdaten'!A251)</f>
        <v/>
      </c>
      <c r="C251" s="27">
        <f>IF(B251="","",INDEX('01_Rohdaten'!B251:D251,'02_Eingaben'!$C$13))</f>
        <v/>
      </c>
      <c r="D251" s="27">
        <f>IF(C251="","",C251*'02_Eingaben'!$C$15)</f>
        <v/>
      </c>
      <c r="E251" s="27">
        <f>IF(D251="","",D251*'02_Eingaben'!$C$8)</f>
        <v/>
      </c>
      <c r="F251" s="27">
        <f>IF(E251="","",AVERAGE(INDEX($E$2:$E$3001,MAX(1,ROW()-1-'02_Eingaben'!$C$17)):INDEX($E$2:$E$3001,MIN('02_Eingaben'!$C$21,ROW()-1+'02_Eingaben'!$C$17))))</f>
        <v/>
      </c>
      <c r="G251" s="27">
        <f>IF(F251="","",F251-'02_Eingaben'!$C$10)</f>
        <v/>
      </c>
      <c r="H251">
        <f>IF(F251="","",IF(F251&lt;'02_Eingaben'!$C$18*'02_Eingaben'!$C$10,1,0))</f>
        <v/>
      </c>
      <c r="I251" s="27">
        <f>IF(OR(G251="",G252=""),"",(G251+G252)/2*(B252-B251))</f>
        <v/>
      </c>
      <c r="J251" s="27">
        <f>IF(B251="","",IF(B250&lt;'02_Eingaben'!$C$36,0,J250+I250/'02_Eingaben'!$C$8))</f>
        <v/>
      </c>
    </row>
    <row r="252">
      <c r="A252">
        <f>IF('01_Rohdaten'!A252="","",ROW()-1)</f>
        <v/>
      </c>
      <c r="B252" s="27">
        <f>IF('01_Rohdaten'!A252="","",'01_Rohdaten'!A252)</f>
        <v/>
      </c>
      <c r="C252" s="27">
        <f>IF(B252="","",INDEX('01_Rohdaten'!B252:D252,'02_Eingaben'!$C$13))</f>
        <v/>
      </c>
      <c r="D252" s="27">
        <f>IF(C252="","",C252*'02_Eingaben'!$C$15)</f>
        <v/>
      </c>
      <c r="E252" s="27">
        <f>IF(D252="","",D252*'02_Eingaben'!$C$8)</f>
        <v/>
      </c>
      <c r="F252" s="27">
        <f>IF(E252="","",AVERAGE(INDEX($E$2:$E$3001,MAX(1,ROW()-1-'02_Eingaben'!$C$17)):INDEX($E$2:$E$3001,MIN('02_Eingaben'!$C$21,ROW()-1+'02_Eingaben'!$C$17))))</f>
        <v/>
      </c>
      <c r="G252" s="27">
        <f>IF(F252="","",F252-'02_Eingaben'!$C$10)</f>
        <v/>
      </c>
      <c r="H252">
        <f>IF(F252="","",IF(F252&lt;'02_Eingaben'!$C$18*'02_Eingaben'!$C$10,1,0))</f>
        <v/>
      </c>
      <c r="I252" s="27">
        <f>IF(OR(G252="",G253=""),"",(G252+G253)/2*(B253-B252))</f>
        <v/>
      </c>
      <c r="J252" s="27">
        <f>IF(B252="","",IF(B251&lt;'02_Eingaben'!$C$36,0,J251+I251/'02_Eingaben'!$C$8))</f>
        <v/>
      </c>
    </row>
    <row r="253">
      <c r="A253">
        <f>IF('01_Rohdaten'!A253="","",ROW()-1)</f>
        <v/>
      </c>
      <c r="B253" s="27">
        <f>IF('01_Rohdaten'!A253="","",'01_Rohdaten'!A253)</f>
        <v/>
      </c>
      <c r="C253" s="27">
        <f>IF(B253="","",INDEX('01_Rohdaten'!B253:D253,'02_Eingaben'!$C$13))</f>
        <v/>
      </c>
      <c r="D253" s="27">
        <f>IF(C253="","",C253*'02_Eingaben'!$C$15)</f>
        <v/>
      </c>
      <c r="E253" s="27">
        <f>IF(D253="","",D253*'02_Eingaben'!$C$8)</f>
        <v/>
      </c>
      <c r="F253" s="27">
        <f>IF(E253="","",AVERAGE(INDEX($E$2:$E$3001,MAX(1,ROW()-1-'02_Eingaben'!$C$17)):INDEX($E$2:$E$3001,MIN('02_Eingaben'!$C$21,ROW()-1+'02_Eingaben'!$C$17))))</f>
        <v/>
      </c>
      <c r="G253" s="27">
        <f>IF(F253="","",F253-'02_Eingaben'!$C$10)</f>
        <v/>
      </c>
      <c r="H253">
        <f>IF(F253="","",IF(F253&lt;'02_Eingaben'!$C$18*'02_Eingaben'!$C$10,1,0))</f>
        <v/>
      </c>
      <c r="I253" s="27">
        <f>IF(OR(G253="",G254=""),"",(G253+G254)/2*(B254-B253))</f>
        <v/>
      </c>
      <c r="J253" s="27">
        <f>IF(B253="","",IF(B252&lt;'02_Eingaben'!$C$36,0,J252+I252/'02_Eingaben'!$C$8))</f>
        <v/>
      </c>
    </row>
    <row r="254">
      <c r="A254">
        <f>IF('01_Rohdaten'!A254="","",ROW()-1)</f>
        <v/>
      </c>
      <c r="B254" s="27">
        <f>IF('01_Rohdaten'!A254="","",'01_Rohdaten'!A254)</f>
        <v/>
      </c>
      <c r="C254" s="27">
        <f>IF(B254="","",INDEX('01_Rohdaten'!B254:D254,'02_Eingaben'!$C$13))</f>
        <v/>
      </c>
      <c r="D254" s="27">
        <f>IF(C254="","",C254*'02_Eingaben'!$C$15)</f>
        <v/>
      </c>
      <c r="E254" s="27">
        <f>IF(D254="","",D254*'02_Eingaben'!$C$8)</f>
        <v/>
      </c>
      <c r="F254" s="27">
        <f>IF(E254="","",AVERAGE(INDEX($E$2:$E$3001,MAX(1,ROW()-1-'02_Eingaben'!$C$17)):INDEX($E$2:$E$3001,MIN('02_Eingaben'!$C$21,ROW()-1+'02_Eingaben'!$C$17))))</f>
        <v/>
      </c>
      <c r="G254" s="27">
        <f>IF(F254="","",F254-'02_Eingaben'!$C$10)</f>
        <v/>
      </c>
      <c r="H254">
        <f>IF(F254="","",IF(F254&lt;'02_Eingaben'!$C$18*'02_Eingaben'!$C$10,1,0))</f>
        <v/>
      </c>
      <c r="I254" s="27">
        <f>IF(OR(G254="",G255=""),"",(G254+G255)/2*(B255-B254))</f>
        <v/>
      </c>
      <c r="J254" s="27">
        <f>IF(B254="","",IF(B253&lt;'02_Eingaben'!$C$36,0,J253+I253/'02_Eingaben'!$C$8))</f>
        <v/>
      </c>
    </row>
    <row r="255">
      <c r="A255">
        <f>IF('01_Rohdaten'!A255="","",ROW()-1)</f>
        <v/>
      </c>
      <c r="B255" s="27">
        <f>IF('01_Rohdaten'!A255="","",'01_Rohdaten'!A255)</f>
        <v/>
      </c>
      <c r="C255" s="27">
        <f>IF(B255="","",INDEX('01_Rohdaten'!B255:D255,'02_Eingaben'!$C$13))</f>
        <v/>
      </c>
      <c r="D255" s="27">
        <f>IF(C255="","",C255*'02_Eingaben'!$C$15)</f>
        <v/>
      </c>
      <c r="E255" s="27">
        <f>IF(D255="","",D255*'02_Eingaben'!$C$8)</f>
        <v/>
      </c>
      <c r="F255" s="27">
        <f>IF(E255="","",AVERAGE(INDEX($E$2:$E$3001,MAX(1,ROW()-1-'02_Eingaben'!$C$17)):INDEX($E$2:$E$3001,MIN('02_Eingaben'!$C$21,ROW()-1+'02_Eingaben'!$C$17))))</f>
        <v/>
      </c>
      <c r="G255" s="27">
        <f>IF(F255="","",F255-'02_Eingaben'!$C$10)</f>
        <v/>
      </c>
      <c r="H255">
        <f>IF(F255="","",IF(F255&lt;'02_Eingaben'!$C$18*'02_Eingaben'!$C$10,1,0))</f>
        <v/>
      </c>
      <c r="I255" s="27">
        <f>IF(OR(G255="",G256=""),"",(G255+G256)/2*(B256-B255))</f>
        <v/>
      </c>
      <c r="J255" s="27">
        <f>IF(B255="","",IF(B254&lt;'02_Eingaben'!$C$36,0,J254+I254/'02_Eingaben'!$C$8))</f>
        <v/>
      </c>
    </row>
    <row r="256">
      <c r="A256">
        <f>IF('01_Rohdaten'!A256="","",ROW()-1)</f>
        <v/>
      </c>
      <c r="B256" s="27">
        <f>IF('01_Rohdaten'!A256="","",'01_Rohdaten'!A256)</f>
        <v/>
      </c>
      <c r="C256" s="27">
        <f>IF(B256="","",INDEX('01_Rohdaten'!B256:D256,'02_Eingaben'!$C$13))</f>
        <v/>
      </c>
      <c r="D256" s="27">
        <f>IF(C256="","",C256*'02_Eingaben'!$C$15)</f>
        <v/>
      </c>
      <c r="E256" s="27">
        <f>IF(D256="","",D256*'02_Eingaben'!$C$8)</f>
        <v/>
      </c>
      <c r="F256" s="27">
        <f>IF(E256="","",AVERAGE(INDEX($E$2:$E$3001,MAX(1,ROW()-1-'02_Eingaben'!$C$17)):INDEX($E$2:$E$3001,MIN('02_Eingaben'!$C$21,ROW()-1+'02_Eingaben'!$C$17))))</f>
        <v/>
      </c>
      <c r="G256" s="27">
        <f>IF(F256="","",F256-'02_Eingaben'!$C$10)</f>
        <v/>
      </c>
      <c r="H256">
        <f>IF(F256="","",IF(F256&lt;'02_Eingaben'!$C$18*'02_Eingaben'!$C$10,1,0))</f>
        <v/>
      </c>
      <c r="I256" s="27">
        <f>IF(OR(G256="",G257=""),"",(G256+G257)/2*(B257-B256))</f>
        <v/>
      </c>
      <c r="J256" s="27">
        <f>IF(B256="","",IF(B255&lt;'02_Eingaben'!$C$36,0,J255+I255/'02_Eingaben'!$C$8))</f>
        <v/>
      </c>
    </row>
    <row r="257">
      <c r="A257">
        <f>IF('01_Rohdaten'!A257="","",ROW()-1)</f>
        <v/>
      </c>
      <c r="B257" s="27">
        <f>IF('01_Rohdaten'!A257="","",'01_Rohdaten'!A257)</f>
        <v/>
      </c>
      <c r="C257" s="27">
        <f>IF(B257="","",INDEX('01_Rohdaten'!B257:D257,'02_Eingaben'!$C$13))</f>
        <v/>
      </c>
      <c r="D257" s="27">
        <f>IF(C257="","",C257*'02_Eingaben'!$C$15)</f>
        <v/>
      </c>
      <c r="E257" s="27">
        <f>IF(D257="","",D257*'02_Eingaben'!$C$8)</f>
        <v/>
      </c>
      <c r="F257" s="27">
        <f>IF(E257="","",AVERAGE(INDEX($E$2:$E$3001,MAX(1,ROW()-1-'02_Eingaben'!$C$17)):INDEX($E$2:$E$3001,MIN('02_Eingaben'!$C$21,ROW()-1+'02_Eingaben'!$C$17))))</f>
        <v/>
      </c>
      <c r="G257" s="27">
        <f>IF(F257="","",F257-'02_Eingaben'!$C$10)</f>
        <v/>
      </c>
      <c r="H257">
        <f>IF(F257="","",IF(F257&lt;'02_Eingaben'!$C$18*'02_Eingaben'!$C$10,1,0))</f>
        <v/>
      </c>
      <c r="I257" s="27">
        <f>IF(OR(G257="",G258=""),"",(G257+G258)/2*(B258-B257))</f>
        <v/>
      </c>
      <c r="J257" s="27">
        <f>IF(B257="","",IF(B256&lt;'02_Eingaben'!$C$36,0,J256+I256/'02_Eingaben'!$C$8))</f>
        <v/>
      </c>
    </row>
    <row r="258">
      <c r="A258">
        <f>IF('01_Rohdaten'!A258="","",ROW()-1)</f>
        <v/>
      </c>
      <c r="B258" s="27">
        <f>IF('01_Rohdaten'!A258="","",'01_Rohdaten'!A258)</f>
        <v/>
      </c>
      <c r="C258" s="27">
        <f>IF(B258="","",INDEX('01_Rohdaten'!B258:D258,'02_Eingaben'!$C$13))</f>
        <v/>
      </c>
      <c r="D258" s="27">
        <f>IF(C258="","",C258*'02_Eingaben'!$C$15)</f>
        <v/>
      </c>
      <c r="E258" s="27">
        <f>IF(D258="","",D258*'02_Eingaben'!$C$8)</f>
        <v/>
      </c>
      <c r="F258" s="27">
        <f>IF(E258="","",AVERAGE(INDEX($E$2:$E$3001,MAX(1,ROW()-1-'02_Eingaben'!$C$17)):INDEX($E$2:$E$3001,MIN('02_Eingaben'!$C$21,ROW()-1+'02_Eingaben'!$C$17))))</f>
        <v/>
      </c>
      <c r="G258" s="27">
        <f>IF(F258="","",F258-'02_Eingaben'!$C$10)</f>
        <v/>
      </c>
      <c r="H258">
        <f>IF(F258="","",IF(F258&lt;'02_Eingaben'!$C$18*'02_Eingaben'!$C$10,1,0))</f>
        <v/>
      </c>
      <c r="I258" s="27">
        <f>IF(OR(G258="",G259=""),"",(G258+G259)/2*(B259-B258))</f>
        <v/>
      </c>
      <c r="J258" s="27">
        <f>IF(B258="","",IF(B257&lt;'02_Eingaben'!$C$36,0,J257+I257/'02_Eingaben'!$C$8))</f>
        <v/>
      </c>
    </row>
    <row r="259">
      <c r="A259">
        <f>IF('01_Rohdaten'!A259="","",ROW()-1)</f>
        <v/>
      </c>
      <c r="B259" s="27">
        <f>IF('01_Rohdaten'!A259="","",'01_Rohdaten'!A259)</f>
        <v/>
      </c>
      <c r="C259" s="27">
        <f>IF(B259="","",INDEX('01_Rohdaten'!B259:D259,'02_Eingaben'!$C$13))</f>
        <v/>
      </c>
      <c r="D259" s="27">
        <f>IF(C259="","",C259*'02_Eingaben'!$C$15)</f>
        <v/>
      </c>
      <c r="E259" s="27">
        <f>IF(D259="","",D259*'02_Eingaben'!$C$8)</f>
        <v/>
      </c>
      <c r="F259" s="27">
        <f>IF(E259="","",AVERAGE(INDEX($E$2:$E$3001,MAX(1,ROW()-1-'02_Eingaben'!$C$17)):INDEX($E$2:$E$3001,MIN('02_Eingaben'!$C$21,ROW()-1+'02_Eingaben'!$C$17))))</f>
        <v/>
      </c>
      <c r="G259" s="27">
        <f>IF(F259="","",F259-'02_Eingaben'!$C$10)</f>
        <v/>
      </c>
      <c r="H259">
        <f>IF(F259="","",IF(F259&lt;'02_Eingaben'!$C$18*'02_Eingaben'!$C$10,1,0))</f>
        <v/>
      </c>
      <c r="I259" s="27">
        <f>IF(OR(G259="",G260=""),"",(G259+G260)/2*(B260-B259))</f>
        <v/>
      </c>
      <c r="J259" s="27">
        <f>IF(B259="","",IF(B258&lt;'02_Eingaben'!$C$36,0,J258+I258/'02_Eingaben'!$C$8))</f>
        <v/>
      </c>
    </row>
    <row r="260">
      <c r="A260">
        <f>IF('01_Rohdaten'!A260="","",ROW()-1)</f>
        <v/>
      </c>
      <c r="B260" s="27">
        <f>IF('01_Rohdaten'!A260="","",'01_Rohdaten'!A260)</f>
        <v/>
      </c>
      <c r="C260" s="27">
        <f>IF(B260="","",INDEX('01_Rohdaten'!B260:D260,'02_Eingaben'!$C$13))</f>
        <v/>
      </c>
      <c r="D260" s="27">
        <f>IF(C260="","",C260*'02_Eingaben'!$C$15)</f>
        <v/>
      </c>
      <c r="E260" s="27">
        <f>IF(D260="","",D260*'02_Eingaben'!$C$8)</f>
        <v/>
      </c>
      <c r="F260" s="27">
        <f>IF(E260="","",AVERAGE(INDEX($E$2:$E$3001,MAX(1,ROW()-1-'02_Eingaben'!$C$17)):INDEX($E$2:$E$3001,MIN('02_Eingaben'!$C$21,ROW()-1+'02_Eingaben'!$C$17))))</f>
        <v/>
      </c>
      <c r="G260" s="27">
        <f>IF(F260="","",F260-'02_Eingaben'!$C$10)</f>
        <v/>
      </c>
      <c r="H260">
        <f>IF(F260="","",IF(F260&lt;'02_Eingaben'!$C$18*'02_Eingaben'!$C$10,1,0))</f>
        <v/>
      </c>
      <c r="I260" s="27">
        <f>IF(OR(G260="",G261=""),"",(G260+G261)/2*(B261-B260))</f>
        <v/>
      </c>
      <c r="J260" s="27">
        <f>IF(B260="","",IF(B259&lt;'02_Eingaben'!$C$36,0,J259+I259/'02_Eingaben'!$C$8))</f>
        <v/>
      </c>
    </row>
    <row r="261">
      <c r="A261">
        <f>IF('01_Rohdaten'!A261="","",ROW()-1)</f>
        <v/>
      </c>
      <c r="B261" s="27">
        <f>IF('01_Rohdaten'!A261="","",'01_Rohdaten'!A261)</f>
        <v/>
      </c>
      <c r="C261" s="27">
        <f>IF(B261="","",INDEX('01_Rohdaten'!B261:D261,'02_Eingaben'!$C$13))</f>
        <v/>
      </c>
      <c r="D261" s="27">
        <f>IF(C261="","",C261*'02_Eingaben'!$C$15)</f>
        <v/>
      </c>
      <c r="E261" s="27">
        <f>IF(D261="","",D261*'02_Eingaben'!$C$8)</f>
        <v/>
      </c>
      <c r="F261" s="27">
        <f>IF(E261="","",AVERAGE(INDEX($E$2:$E$3001,MAX(1,ROW()-1-'02_Eingaben'!$C$17)):INDEX($E$2:$E$3001,MIN('02_Eingaben'!$C$21,ROW()-1+'02_Eingaben'!$C$17))))</f>
        <v/>
      </c>
      <c r="G261" s="27">
        <f>IF(F261="","",F261-'02_Eingaben'!$C$10)</f>
        <v/>
      </c>
      <c r="H261">
        <f>IF(F261="","",IF(F261&lt;'02_Eingaben'!$C$18*'02_Eingaben'!$C$10,1,0))</f>
        <v/>
      </c>
      <c r="I261" s="27">
        <f>IF(OR(G261="",G262=""),"",(G261+G262)/2*(B262-B261))</f>
        <v/>
      </c>
      <c r="J261" s="27">
        <f>IF(B261="","",IF(B260&lt;'02_Eingaben'!$C$36,0,J260+I260/'02_Eingaben'!$C$8))</f>
        <v/>
      </c>
    </row>
    <row r="262">
      <c r="A262">
        <f>IF('01_Rohdaten'!A262="","",ROW()-1)</f>
        <v/>
      </c>
      <c r="B262" s="27">
        <f>IF('01_Rohdaten'!A262="","",'01_Rohdaten'!A262)</f>
        <v/>
      </c>
      <c r="C262" s="27">
        <f>IF(B262="","",INDEX('01_Rohdaten'!B262:D262,'02_Eingaben'!$C$13))</f>
        <v/>
      </c>
      <c r="D262" s="27">
        <f>IF(C262="","",C262*'02_Eingaben'!$C$15)</f>
        <v/>
      </c>
      <c r="E262" s="27">
        <f>IF(D262="","",D262*'02_Eingaben'!$C$8)</f>
        <v/>
      </c>
      <c r="F262" s="27">
        <f>IF(E262="","",AVERAGE(INDEX($E$2:$E$3001,MAX(1,ROW()-1-'02_Eingaben'!$C$17)):INDEX($E$2:$E$3001,MIN('02_Eingaben'!$C$21,ROW()-1+'02_Eingaben'!$C$17))))</f>
        <v/>
      </c>
      <c r="G262" s="27">
        <f>IF(F262="","",F262-'02_Eingaben'!$C$10)</f>
        <v/>
      </c>
      <c r="H262">
        <f>IF(F262="","",IF(F262&lt;'02_Eingaben'!$C$18*'02_Eingaben'!$C$10,1,0))</f>
        <v/>
      </c>
      <c r="I262" s="27">
        <f>IF(OR(G262="",G263=""),"",(G262+G263)/2*(B263-B262))</f>
        <v/>
      </c>
      <c r="J262" s="27">
        <f>IF(B262="","",IF(B261&lt;'02_Eingaben'!$C$36,0,J261+I261/'02_Eingaben'!$C$8))</f>
        <v/>
      </c>
    </row>
    <row r="263">
      <c r="A263">
        <f>IF('01_Rohdaten'!A263="","",ROW()-1)</f>
        <v/>
      </c>
      <c r="B263" s="27">
        <f>IF('01_Rohdaten'!A263="","",'01_Rohdaten'!A263)</f>
        <v/>
      </c>
      <c r="C263" s="27">
        <f>IF(B263="","",INDEX('01_Rohdaten'!B263:D263,'02_Eingaben'!$C$13))</f>
        <v/>
      </c>
      <c r="D263" s="27">
        <f>IF(C263="","",C263*'02_Eingaben'!$C$15)</f>
        <v/>
      </c>
      <c r="E263" s="27">
        <f>IF(D263="","",D263*'02_Eingaben'!$C$8)</f>
        <v/>
      </c>
      <c r="F263" s="27">
        <f>IF(E263="","",AVERAGE(INDEX($E$2:$E$3001,MAX(1,ROW()-1-'02_Eingaben'!$C$17)):INDEX($E$2:$E$3001,MIN('02_Eingaben'!$C$21,ROW()-1+'02_Eingaben'!$C$17))))</f>
        <v/>
      </c>
      <c r="G263" s="27">
        <f>IF(F263="","",F263-'02_Eingaben'!$C$10)</f>
        <v/>
      </c>
      <c r="H263">
        <f>IF(F263="","",IF(F263&lt;'02_Eingaben'!$C$18*'02_Eingaben'!$C$10,1,0))</f>
        <v/>
      </c>
      <c r="I263" s="27">
        <f>IF(OR(G263="",G264=""),"",(G263+G264)/2*(B264-B263))</f>
        <v/>
      </c>
      <c r="J263" s="27">
        <f>IF(B263="","",IF(B262&lt;'02_Eingaben'!$C$36,0,J262+I262/'02_Eingaben'!$C$8))</f>
        <v/>
      </c>
    </row>
    <row r="264">
      <c r="A264">
        <f>IF('01_Rohdaten'!A264="","",ROW()-1)</f>
        <v/>
      </c>
      <c r="B264" s="27">
        <f>IF('01_Rohdaten'!A264="","",'01_Rohdaten'!A264)</f>
        <v/>
      </c>
      <c r="C264" s="27">
        <f>IF(B264="","",INDEX('01_Rohdaten'!B264:D264,'02_Eingaben'!$C$13))</f>
        <v/>
      </c>
      <c r="D264" s="27">
        <f>IF(C264="","",C264*'02_Eingaben'!$C$15)</f>
        <v/>
      </c>
      <c r="E264" s="27">
        <f>IF(D264="","",D264*'02_Eingaben'!$C$8)</f>
        <v/>
      </c>
      <c r="F264" s="27">
        <f>IF(E264="","",AVERAGE(INDEX($E$2:$E$3001,MAX(1,ROW()-1-'02_Eingaben'!$C$17)):INDEX($E$2:$E$3001,MIN('02_Eingaben'!$C$21,ROW()-1+'02_Eingaben'!$C$17))))</f>
        <v/>
      </c>
      <c r="G264" s="27">
        <f>IF(F264="","",F264-'02_Eingaben'!$C$10)</f>
        <v/>
      </c>
      <c r="H264">
        <f>IF(F264="","",IF(F264&lt;'02_Eingaben'!$C$18*'02_Eingaben'!$C$10,1,0))</f>
        <v/>
      </c>
      <c r="I264" s="27">
        <f>IF(OR(G264="",G265=""),"",(G264+G265)/2*(B265-B264))</f>
        <v/>
      </c>
      <c r="J264" s="27">
        <f>IF(B264="","",IF(B263&lt;'02_Eingaben'!$C$36,0,J263+I263/'02_Eingaben'!$C$8))</f>
        <v/>
      </c>
    </row>
    <row r="265">
      <c r="A265">
        <f>IF('01_Rohdaten'!A265="","",ROW()-1)</f>
        <v/>
      </c>
      <c r="B265" s="27">
        <f>IF('01_Rohdaten'!A265="","",'01_Rohdaten'!A265)</f>
        <v/>
      </c>
      <c r="C265" s="27">
        <f>IF(B265="","",INDEX('01_Rohdaten'!B265:D265,'02_Eingaben'!$C$13))</f>
        <v/>
      </c>
      <c r="D265" s="27">
        <f>IF(C265="","",C265*'02_Eingaben'!$C$15)</f>
        <v/>
      </c>
      <c r="E265" s="27">
        <f>IF(D265="","",D265*'02_Eingaben'!$C$8)</f>
        <v/>
      </c>
      <c r="F265" s="27">
        <f>IF(E265="","",AVERAGE(INDEX($E$2:$E$3001,MAX(1,ROW()-1-'02_Eingaben'!$C$17)):INDEX($E$2:$E$3001,MIN('02_Eingaben'!$C$21,ROW()-1+'02_Eingaben'!$C$17))))</f>
        <v/>
      </c>
      <c r="G265" s="27">
        <f>IF(F265="","",F265-'02_Eingaben'!$C$10)</f>
        <v/>
      </c>
      <c r="H265">
        <f>IF(F265="","",IF(F265&lt;'02_Eingaben'!$C$18*'02_Eingaben'!$C$10,1,0))</f>
        <v/>
      </c>
      <c r="I265" s="27">
        <f>IF(OR(G265="",G266=""),"",(G265+G266)/2*(B266-B265))</f>
        <v/>
      </c>
      <c r="J265" s="27">
        <f>IF(B265="","",IF(B264&lt;'02_Eingaben'!$C$36,0,J264+I264/'02_Eingaben'!$C$8))</f>
        <v/>
      </c>
    </row>
    <row r="266">
      <c r="A266">
        <f>IF('01_Rohdaten'!A266="","",ROW()-1)</f>
        <v/>
      </c>
      <c r="B266" s="27">
        <f>IF('01_Rohdaten'!A266="","",'01_Rohdaten'!A266)</f>
        <v/>
      </c>
      <c r="C266" s="27">
        <f>IF(B266="","",INDEX('01_Rohdaten'!B266:D266,'02_Eingaben'!$C$13))</f>
        <v/>
      </c>
      <c r="D266" s="27">
        <f>IF(C266="","",C266*'02_Eingaben'!$C$15)</f>
        <v/>
      </c>
      <c r="E266" s="27">
        <f>IF(D266="","",D266*'02_Eingaben'!$C$8)</f>
        <v/>
      </c>
      <c r="F266" s="27">
        <f>IF(E266="","",AVERAGE(INDEX($E$2:$E$3001,MAX(1,ROW()-1-'02_Eingaben'!$C$17)):INDEX($E$2:$E$3001,MIN('02_Eingaben'!$C$21,ROW()-1+'02_Eingaben'!$C$17))))</f>
        <v/>
      </c>
      <c r="G266" s="27">
        <f>IF(F266="","",F266-'02_Eingaben'!$C$10)</f>
        <v/>
      </c>
      <c r="H266">
        <f>IF(F266="","",IF(F266&lt;'02_Eingaben'!$C$18*'02_Eingaben'!$C$10,1,0))</f>
        <v/>
      </c>
      <c r="I266" s="27">
        <f>IF(OR(G266="",G267=""),"",(G266+G267)/2*(B267-B266))</f>
        <v/>
      </c>
      <c r="J266" s="27">
        <f>IF(B266="","",IF(B265&lt;'02_Eingaben'!$C$36,0,J265+I265/'02_Eingaben'!$C$8))</f>
        <v/>
      </c>
    </row>
    <row r="267">
      <c r="A267">
        <f>IF('01_Rohdaten'!A267="","",ROW()-1)</f>
        <v/>
      </c>
      <c r="B267" s="27">
        <f>IF('01_Rohdaten'!A267="","",'01_Rohdaten'!A267)</f>
        <v/>
      </c>
      <c r="C267" s="27">
        <f>IF(B267="","",INDEX('01_Rohdaten'!B267:D267,'02_Eingaben'!$C$13))</f>
        <v/>
      </c>
      <c r="D267" s="27">
        <f>IF(C267="","",C267*'02_Eingaben'!$C$15)</f>
        <v/>
      </c>
      <c r="E267" s="27">
        <f>IF(D267="","",D267*'02_Eingaben'!$C$8)</f>
        <v/>
      </c>
      <c r="F267" s="27">
        <f>IF(E267="","",AVERAGE(INDEX($E$2:$E$3001,MAX(1,ROW()-1-'02_Eingaben'!$C$17)):INDEX($E$2:$E$3001,MIN('02_Eingaben'!$C$21,ROW()-1+'02_Eingaben'!$C$17))))</f>
        <v/>
      </c>
      <c r="G267" s="27">
        <f>IF(F267="","",F267-'02_Eingaben'!$C$10)</f>
        <v/>
      </c>
      <c r="H267">
        <f>IF(F267="","",IF(F267&lt;'02_Eingaben'!$C$18*'02_Eingaben'!$C$10,1,0))</f>
        <v/>
      </c>
      <c r="I267" s="27">
        <f>IF(OR(G267="",G268=""),"",(G267+G268)/2*(B268-B267))</f>
        <v/>
      </c>
      <c r="J267" s="27">
        <f>IF(B267="","",IF(B266&lt;'02_Eingaben'!$C$36,0,J266+I266/'02_Eingaben'!$C$8))</f>
        <v/>
      </c>
    </row>
    <row r="268">
      <c r="A268">
        <f>IF('01_Rohdaten'!A268="","",ROW()-1)</f>
        <v/>
      </c>
      <c r="B268" s="27">
        <f>IF('01_Rohdaten'!A268="","",'01_Rohdaten'!A268)</f>
        <v/>
      </c>
      <c r="C268" s="27">
        <f>IF(B268="","",INDEX('01_Rohdaten'!B268:D268,'02_Eingaben'!$C$13))</f>
        <v/>
      </c>
      <c r="D268" s="27">
        <f>IF(C268="","",C268*'02_Eingaben'!$C$15)</f>
        <v/>
      </c>
      <c r="E268" s="27">
        <f>IF(D268="","",D268*'02_Eingaben'!$C$8)</f>
        <v/>
      </c>
      <c r="F268" s="27">
        <f>IF(E268="","",AVERAGE(INDEX($E$2:$E$3001,MAX(1,ROW()-1-'02_Eingaben'!$C$17)):INDEX($E$2:$E$3001,MIN('02_Eingaben'!$C$21,ROW()-1+'02_Eingaben'!$C$17))))</f>
        <v/>
      </c>
      <c r="G268" s="27">
        <f>IF(F268="","",F268-'02_Eingaben'!$C$10)</f>
        <v/>
      </c>
      <c r="H268">
        <f>IF(F268="","",IF(F268&lt;'02_Eingaben'!$C$18*'02_Eingaben'!$C$10,1,0))</f>
        <v/>
      </c>
      <c r="I268" s="27">
        <f>IF(OR(G268="",G269=""),"",(G268+G269)/2*(B269-B268))</f>
        <v/>
      </c>
      <c r="J268" s="27">
        <f>IF(B268="","",IF(B267&lt;'02_Eingaben'!$C$36,0,J267+I267/'02_Eingaben'!$C$8))</f>
        <v/>
      </c>
    </row>
    <row r="269">
      <c r="A269">
        <f>IF('01_Rohdaten'!A269="","",ROW()-1)</f>
        <v/>
      </c>
      <c r="B269" s="27">
        <f>IF('01_Rohdaten'!A269="","",'01_Rohdaten'!A269)</f>
        <v/>
      </c>
      <c r="C269" s="27">
        <f>IF(B269="","",INDEX('01_Rohdaten'!B269:D269,'02_Eingaben'!$C$13))</f>
        <v/>
      </c>
      <c r="D269" s="27">
        <f>IF(C269="","",C269*'02_Eingaben'!$C$15)</f>
        <v/>
      </c>
      <c r="E269" s="27">
        <f>IF(D269="","",D269*'02_Eingaben'!$C$8)</f>
        <v/>
      </c>
      <c r="F269" s="27">
        <f>IF(E269="","",AVERAGE(INDEX($E$2:$E$3001,MAX(1,ROW()-1-'02_Eingaben'!$C$17)):INDEX($E$2:$E$3001,MIN('02_Eingaben'!$C$21,ROW()-1+'02_Eingaben'!$C$17))))</f>
        <v/>
      </c>
      <c r="G269" s="27">
        <f>IF(F269="","",F269-'02_Eingaben'!$C$10)</f>
        <v/>
      </c>
      <c r="H269">
        <f>IF(F269="","",IF(F269&lt;'02_Eingaben'!$C$18*'02_Eingaben'!$C$10,1,0))</f>
        <v/>
      </c>
      <c r="I269" s="27">
        <f>IF(OR(G269="",G270=""),"",(G269+G270)/2*(B270-B269))</f>
        <v/>
      </c>
      <c r="J269" s="27">
        <f>IF(B269="","",IF(B268&lt;'02_Eingaben'!$C$36,0,J268+I268/'02_Eingaben'!$C$8))</f>
        <v/>
      </c>
    </row>
    <row r="270">
      <c r="A270">
        <f>IF('01_Rohdaten'!A270="","",ROW()-1)</f>
        <v/>
      </c>
      <c r="B270" s="27">
        <f>IF('01_Rohdaten'!A270="","",'01_Rohdaten'!A270)</f>
        <v/>
      </c>
      <c r="C270" s="27">
        <f>IF(B270="","",INDEX('01_Rohdaten'!B270:D270,'02_Eingaben'!$C$13))</f>
        <v/>
      </c>
      <c r="D270" s="27">
        <f>IF(C270="","",C270*'02_Eingaben'!$C$15)</f>
        <v/>
      </c>
      <c r="E270" s="27">
        <f>IF(D270="","",D270*'02_Eingaben'!$C$8)</f>
        <v/>
      </c>
      <c r="F270" s="27">
        <f>IF(E270="","",AVERAGE(INDEX($E$2:$E$3001,MAX(1,ROW()-1-'02_Eingaben'!$C$17)):INDEX($E$2:$E$3001,MIN('02_Eingaben'!$C$21,ROW()-1+'02_Eingaben'!$C$17))))</f>
        <v/>
      </c>
      <c r="G270" s="27">
        <f>IF(F270="","",F270-'02_Eingaben'!$C$10)</f>
        <v/>
      </c>
      <c r="H270">
        <f>IF(F270="","",IF(F270&lt;'02_Eingaben'!$C$18*'02_Eingaben'!$C$10,1,0))</f>
        <v/>
      </c>
      <c r="I270" s="27">
        <f>IF(OR(G270="",G271=""),"",(G270+G271)/2*(B271-B270))</f>
        <v/>
      </c>
      <c r="J270" s="27">
        <f>IF(B270="","",IF(B269&lt;'02_Eingaben'!$C$36,0,J269+I269/'02_Eingaben'!$C$8))</f>
        <v/>
      </c>
    </row>
    <row r="271">
      <c r="A271">
        <f>IF('01_Rohdaten'!A271="","",ROW()-1)</f>
        <v/>
      </c>
      <c r="B271" s="27">
        <f>IF('01_Rohdaten'!A271="","",'01_Rohdaten'!A271)</f>
        <v/>
      </c>
      <c r="C271" s="27">
        <f>IF(B271="","",INDEX('01_Rohdaten'!B271:D271,'02_Eingaben'!$C$13))</f>
        <v/>
      </c>
      <c r="D271" s="27">
        <f>IF(C271="","",C271*'02_Eingaben'!$C$15)</f>
        <v/>
      </c>
      <c r="E271" s="27">
        <f>IF(D271="","",D271*'02_Eingaben'!$C$8)</f>
        <v/>
      </c>
      <c r="F271" s="27">
        <f>IF(E271="","",AVERAGE(INDEX($E$2:$E$3001,MAX(1,ROW()-1-'02_Eingaben'!$C$17)):INDEX($E$2:$E$3001,MIN('02_Eingaben'!$C$21,ROW()-1+'02_Eingaben'!$C$17))))</f>
        <v/>
      </c>
      <c r="G271" s="27">
        <f>IF(F271="","",F271-'02_Eingaben'!$C$10)</f>
        <v/>
      </c>
      <c r="H271">
        <f>IF(F271="","",IF(F271&lt;'02_Eingaben'!$C$18*'02_Eingaben'!$C$10,1,0))</f>
        <v/>
      </c>
      <c r="I271" s="27">
        <f>IF(OR(G271="",G272=""),"",(G271+G272)/2*(B272-B271))</f>
        <v/>
      </c>
      <c r="J271" s="27">
        <f>IF(B271="","",IF(B270&lt;'02_Eingaben'!$C$36,0,J270+I270/'02_Eingaben'!$C$8))</f>
        <v/>
      </c>
    </row>
    <row r="272">
      <c r="A272">
        <f>IF('01_Rohdaten'!A272="","",ROW()-1)</f>
        <v/>
      </c>
      <c r="B272" s="27">
        <f>IF('01_Rohdaten'!A272="","",'01_Rohdaten'!A272)</f>
        <v/>
      </c>
      <c r="C272" s="27">
        <f>IF(B272="","",INDEX('01_Rohdaten'!B272:D272,'02_Eingaben'!$C$13))</f>
        <v/>
      </c>
      <c r="D272" s="27">
        <f>IF(C272="","",C272*'02_Eingaben'!$C$15)</f>
        <v/>
      </c>
      <c r="E272" s="27">
        <f>IF(D272="","",D272*'02_Eingaben'!$C$8)</f>
        <v/>
      </c>
      <c r="F272" s="27">
        <f>IF(E272="","",AVERAGE(INDEX($E$2:$E$3001,MAX(1,ROW()-1-'02_Eingaben'!$C$17)):INDEX($E$2:$E$3001,MIN('02_Eingaben'!$C$21,ROW()-1+'02_Eingaben'!$C$17))))</f>
        <v/>
      </c>
      <c r="G272" s="27">
        <f>IF(F272="","",F272-'02_Eingaben'!$C$10)</f>
        <v/>
      </c>
      <c r="H272">
        <f>IF(F272="","",IF(F272&lt;'02_Eingaben'!$C$18*'02_Eingaben'!$C$10,1,0))</f>
        <v/>
      </c>
      <c r="I272" s="27">
        <f>IF(OR(G272="",G273=""),"",(G272+G273)/2*(B273-B272))</f>
        <v/>
      </c>
      <c r="J272" s="27">
        <f>IF(B272="","",IF(B271&lt;'02_Eingaben'!$C$36,0,J271+I271/'02_Eingaben'!$C$8))</f>
        <v/>
      </c>
    </row>
    <row r="273">
      <c r="A273">
        <f>IF('01_Rohdaten'!A273="","",ROW()-1)</f>
        <v/>
      </c>
      <c r="B273" s="27">
        <f>IF('01_Rohdaten'!A273="","",'01_Rohdaten'!A273)</f>
        <v/>
      </c>
      <c r="C273" s="27">
        <f>IF(B273="","",INDEX('01_Rohdaten'!B273:D273,'02_Eingaben'!$C$13))</f>
        <v/>
      </c>
      <c r="D273" s="27">
        <f>IF(C273="","",C273*'02_Eingaben'!$C$15)</f>
        <v/>
      </c>
      <c r="E273" s="27">
        <f>IF(D273="","",D273*'02_Eingaben'!$C$8)</f>
        <v/>
      </c>
      <c r="F273" s="27">
        <f>IF(E273="","",AVERAGE(INDEX($E$2:$E$3001,MAX(1,ROW()-1-'02_Eingaben'!$C$17)):INDEX($E$2:$E$3001,MIN('02_Eingaben'!$C$21,ROW()-1+'02_Eingaben'!$C$17))))</f>
        <v/>
      </c>
      <c r="G273" s="27">
        <f>IF(F273="","",F273-'02_Eingaben'!$C$10)</f>
        <v/>
      </c>
      <c r="H273">
        <f>IF(F273="","",IF(F273&lt;'02_Eingaben'!$C$18*'02_Eingaben'!$C$10,1,0))</f>
        <v/>
      </c>
      <c r="I273" s="27">
        <f>IF(OR(G273="",G274=""),"",(G273+G274)/2*(B274-B273))</f>
        <v/>
      </c>
      <c r="J273" s="27">
        <f>IF(B273="","",IF(B272&lt;'02_Eingaben'!$C$36,0,J272+I272/'02_Eingaben'!$C$8))</f>
        <v/>
      </c>
    </row>
    <row r="274">
      <c r="A274">
        <f>IF('01_Rohdaten'!A274="","",ROW()-1)</f>
        <v/>
      </c>
      <c r="B274" s="27">
        <f>IF('01_Rohdaten'!A274="","",'01_Rohdaten'!A274)</f>
        <v/>
      </c>
      <c r="C274" s="27">
        <f>IF(B274="","",INDEX('01_Rohdaten'!B274:D274,'02_Eingaben'!$C$13))</f>
        <v/>
      </c>
      <c r="D274" s="27">
        <f>IF(C274="","",C274*'02_Eingaben'!$C$15)</f>
        <v/>
      </c>
      <c r="E274" s="27">
        <f>IF(D274="","",D274*'02_Eingaben'!$C$8)</f>
        <v/>
      </c>
      <c r="F274" s="27">
        <f>IF(E274="","",AVERAGE(INDEX($E$2:$E$3001,MAX(1,ROW()-1-'02_Eingaben'!$C$17)):INDEX($E$2:$E$3001,MIN('02_Eingaben'!$C$21,ROW()-1+'02_Eingaben'!$C$17))))</f>
        <v/>
      </c>
      <c r="G274" s="27">
        <f>IF(F274="","",F274-'02_Eingaben'!$C$10)</f>
        <v/>
      </c>
      <c r="H274">
        <f>IF(F274="","",IF(F274&lt;'02_Eingaben'!$C$18*'02_Eingaben'!$C$10,1,0))</f>
        <v/>
      </c>
      <c r="I274" s="27">
        <f>IF(OR(G274="",G275=""),"",(G274+G275)/2*(B275-B274))</f>
        <v/>
      </c>
      <c r="J274" s="27">
        <f>IF(B274="","",IF(B273&lt;'02_Eingaben'!$C$36,0,J273+I273/'02_Eingaben'!$C$8))</f>
        <v/>
      </c>
    </row>
    <row r="275">
      <c r="A275">
        <f>IF('01_Rohdaten'!A275="","",ROW()-1)</f>
        <v/>
      </c>
      <c r="B275" s="27">
        <f>IF('01_Rohdaten'!A275="","",'01_Rohdaten'!A275)</f>
        <v/>
      </c>
      <c r="C275" s="27">
        <f>IF(B275="","",INDEX('01_Rohdaten'!B275:D275,'02_Eingaben'!$C$13))</f>
        <v/>
      </c>
      <c r="D275" s="27">
        <f>IF(C275="","",C275*'02_Eingaben'!$C$15)</f>
        <v/>
      </c>
      <c r="E275" s="27">
        <f>IF(D275="","",D275*'02_Eingaben'!$C$8)</f>
        <v/>
      </c>
      <c r="F275" s="27">
        <f>IF(E275="","",AVERAGE(INDEX($E$2:$E$3001,MAX(1,ROW()-1-'02_Eingaben'!$C$17)):INDEX($E$2:$E$3001,MIN('02_Eingaben'!$C$21,ROW()-1+'02_Eingaben'!$C$17))))</f>
        <v/>
      </c>
      <c r="G275" s="27">
        <f>IF(F275="","",F275-'02_Eingaben'!$C$10)</f>
        <v/>
      </c>
      <c r="H275">
        <f>IF(F275="","",IF(F275&lt;'02_Eingaben'!$C$18*'02_Eingaben'!$C$10,1,0))</f>
        <v/>
      </c>
      <c r="I275" s="27">
        <f>IF(OR(G275="",G276=""),"",(G275+G276)/2*(B276-B275))</f>
        <v/>
      </c>
      <c r="J275" s="27">
        <f>IF(B275="","",IF(B274&lt;'02_Eingaben'!$C$36,0,J274+I274/'02_Eingaben'!$C$8))</f>
        <v/>
      </c>
    </row>
    <row r="276">
      <c r="A276">
        <f>IF('01_Rohdaten'!A276="","",ROW()-1)</f>
        <v/>
      </c>
      <c r="B276" s="27">
        <f>IF('01_Rohdaten'!A276="","",'01_Rohdaten'!A276)</f>
        <v/>
      </c>
      <c r="C276" s="27">
        <f>IF(B276="","",INDEX('01_Rohdaten'!B276:D276,'02_Eingaben'!$C$13))</f>
        <v/>
      </c>
      <c r="D276" s="27">
        <f>IF(C276="","",C276*'02_Eingaben'!$C$15)</f>
        <v/>
      </c>
      <c r="E276" s="27">
        <f>IF(D276="","",D276*'02_Eingaben'!$C$8)</f>
        <v/>
      </c>
      <c r="F276" s="27">
        <f>IF(E276="","",AVERAGE(INDEX($E$2:$E$3001,MAX(1,ROW()-1-'02_Eingaben'!$C$17)):INDEX($E$2:$E$3001,MIN('02_Eingaben'!$C$21,ROW()-1+'02_Eingaben'!$C$17))))</f>
        <v/>
      </c>
      <c r="G276" s="27">
        <f>IF(F276="","",F276-'02_Eingaben'!$C$10)</f>
        <v/>
      </c>
      <c r="H276">
        <f>IF(F276="","",IF(F276&lt;'02_Eingaben'!$C$18*'02_Eingaben'!$C$10,1,0))</f>
        <v/>
      </c>
      <c r="I276" s="27">
        <f>IF(OR(G276="",G277=""),"",(G276+G277)/2*(B277-B276))</f>
        <v/>
      </c>
      <c r="J276" s="27">
        <f>IF(B276="","",IF(B275&lt;'02_Eingaben'!$C$36,0,J275+I275/'02_Eingaben'!$C$8))</f>
        <v/>
      </c>
    </row>
    <row r="277">
      <c r="A277">
        <f>IF('01_Rohdaten'!A277="","",ROW()-1)</f>
        <v/>
      </c>
      <c r="B277" s="27">
        <f>IF('01_Rohdaten'!A277="","",'01_Rohdaten'!A277)</f>
        <v/>
      </c>
      <c r="C277" s="27">
        <f>IF(B277="","",INDEX('01_Rohdaten'!B277:D277,'02_Eingaben'!$C$13))</f>
        <v/>
      </c>
      <c r="D277" s="27">
        <f>IF(C277="","",C277*'02_Eingaben'!$C$15)</f>
        <v/>
      </c>
      <c r="E277" s="27">
        <f>IF(D277="","",D277*'02_Eingaben'!$C$8)</f>
        <v/>
      </c>
      <c r="F277" s="27">
        <f>IF(E277="","",AVERAGE(INDEX($E$2:$E$3001,MAX(1,ROW()-1-'02_Eingaben'!$C$17)):INDEX($E$2:$E$3001,MIN('02_Eingaben'!$C$21,ROW()-1+'02_Eingaben'!$C$17))))</f>
        <v/>
      </c>
      <c r="G277" s="27">
        <f>IF(F277="","",F277-'02_Eingaben'!$C$10)</f>
        <v/>
      </c>
      <c r="H277">
        <f>IF(F277="","",IF(F277&lt;'02_Eingaben'!$C$18*'02_Eingaben'!$C$10,1,0))</f>
        <v/>
      </c>
      <c r="I277" s="27">
        <f>IF(OR(G277="",G278=""),"",(G277+G278)/2*(B278-B277))</f>
        <v/>
      </c>
      <c r="J277" s="27">
        <f>IF(B277="","",IF(B276&lt;'02_Eingaben'!$C$36,0,J276+I276/'02_Eingaben'!$C$8))</f>
        <v/>
      </c>
    </row>
    <row r="278">
      <c r="A278">
        <f>IF('01_Rohdaten'!A278="","",ROW()-1)</f>
        <v/>
      </c>
      <c r="B278" s="27">
        <f>IF('01_Rohdaten'!A278="","",'01_Rohdaten'!A278)</f>
        <v/>
      </c>
      <c r="C278" s="27">
        <f>IF(B278="","",INDEX('01_Rohdaten'!B278:D278,'02_Eingaben'!$C$13))</f>
        <v/>
      </c>
      <c r="D278" s="27">
        <f>IF(C278="","",C278*'02_Eingaben'!$C$15)</f>
        <v/>
      </c>
      <c r="E278" s="27">
        <f>IF(D278="","",D278*'02_Eingaben'!$C$8)</f>
        <v/>
      </c>
      <c r="F278" s="27">
        <f>IF(E278="","",AVERAGE(INDEX($E$2:$E$3001,MAX(1,ROW()-1-'02_Eingaben'!$C$17)):INDEX($E$2:$E$3001,MIN('02_Eingaben'!$C$21,ROW()-1+'02_Eingaben'!$C$17))))</f>
        <v/>
      </c>
      <c r="G278" s="27">
        <f>IF(F278="","",F278-'02_Eingaben'!$C$10)</f>
        <v/>
      </c>
      <c r="H278">
        <f>IF(F278="","",IF(F278&lt;'02_Eingaben'!$C$18*'02_Eingaben'!$C$10,1,0))</f>
        <v/>
      </c>
      <c r="I278" s="27">
        <f>IF(OR(G278="",G279=""),"",(G278+G279)/2*(B279-B278))</f>
        <v/>
      </c>
      <c r="J278" s="27">
        <f>IF(B278="","",IF(B277&lt;'02_Eingaben'!$C$36,0,J277+I277/'02_Eingaben'!$C$8))</f>
        <v/>
      </c>
    </row>
    <row r="279">
      <c r="A279">
        <f>IF('01_Rohdaten'!A279="","",ROW()-1)</f>
        <v/>
      </c>
      <c r="B279" s="27">
        <f>IF('01_Rohdaten'!A279="","",'01_Rohdaten'!A279)</f>
        <v/>
      </c>
      <c r="C279" s="27">
        <f>IF(B279="","",INDEX('01_Rohdaten'!B279:D279,'02_Eingaben'!$C$13))</f>
        <v/>
      </c>
      <c r="D279" s="27">
        <f>IF(C279="","",C279*'02_Eingaben'!$C$15)</f>
        <v/>
      </c>
      <c r="E279" s="27">
        <f>IF(D279="","",D279*'02_Eingaben'!$C$8)</f>
        <v/>
      </c>
      <c r="F279" s="27">
        <f>IF(E279="","",AVERAGE(INDEX($E$2:$E$3001,MAX(1,ROW()-1-'02_Eingaben'!$C$17)):INDEX($E$2:$E$3001,MIN('02_Eingaben'!$C$21,ROW()-1+'02_Eingaben'!$C$17))))</f>
        <v/>
      </c>
      <c r="G279" s="27">
        <f>IF(F279="","",F279-'02_Eingaben'!$C$10)</f>
        <v/>
      </c>
      <c r="H279">
        <f>IF(F279="","",IF(F279&lt;'02_Eingaben'!$C$18*'02_Eingaben'!$C$10,1,0))</f>
        <v/>
      </c>
      <c r="I279" s="27">
        <f>IF(OR(G279="",G280=""),"",(G279+G280)/2*(B280-B279))</f>
        <v/>
      </c>
      <c r="J279" s="27">
        <f>IF(B279="","",IF(B278&lt;'02_Eingaben'!$C$36,0,J278+I278/'02_Eingaben'!$C$8))</f>
        <v/>
      </c>
    </row>
    <row r="280">
      <c r="A280">
        <f>IF('01_Rohdaten'!A280="","",ROW()-1)</f>
        <v/>
      </c>
      <c r="B280" s="27">
        <f>IF('01_Rohdaten'!A280="","",'01_Rohdaten'!A280)</f>
        <v/>
      </c>
      <c r="C280" s="27">
        <f>IF(B280="","",INDEX('01_Rohdaten'!B280:D280,'02_Eingaben'!$C$13))</f>
        <v/>
      </c>
      <c r="D280" s="27">
        <f>IF(C280="","",C280*'02_Eingaben'!$C$15)</f>
        <v/>
      </c>
      <c r="E280" s="27">
        <f>IF(D280="","",D280*'02_Eingaben'!$C$8)</f>
        <v/>
      </c>
      <c r="F280" s="27">
        <f>IF(E280="","",AVERAGE(INDEX($E$2:$E$3001,MAX(1,ROW()-1-'02_Eingaben'!$C$17)):INDEX($E$2:$E$3001,MIN('02_Eingaben'!$C$21,ROW()-1+'02_Eingaben'!$C$17))))</f>
        <v/>
      </c>
      <c r="G280" s="27">
        <f>IF(F280="","",F280-'02_Eingaben'!$C$10)</f>
        <v/>
      </c>
      <c r="H280">
        <f>IF(F280="","",IF(F280&lt;'02_Eingaben'!$C$18*'02_Eingaben'!$C$10,1,0))</f>
        <v/>
      </c>
      <c r="I280" s="27">
        <f>IF(OR(G280="",G281=""),"",(G280+G281)/2*(B281-B280))</f>
        <v/>
      </c>
      <c r="J280" s="27">
        <f>IF(B280="","",IF(B279&lt;'02_Eingaben'!$C$36,0,J279+I279/'02_Eingaben'!$C$8))</f>
        <v/>
      </c>
    </row>
    <row r="281">
      <c r="A281">
        <f>IF('01_Rohdaten'!A281="","",ROW()-1)</f>
        <v/>
      </c>
      <c r="B281" s="27">
        <f>IF('01_Rohdaten'!A281="","",'01_Rohdaten'!A281)</f>
        <v/>
      </c>
      <c r="C281" s="27">
        <f>IF(B281="","",INDEX('01_Rohdaten'!B281:D281,'02_Eingaben'!$C$13))</f>
        <v/>
      </c>
      <c r="D281" s="27">
        <f>IF(C281="","",C281*'02_Eingaben'!$C$15)</f>
        <v/>
      </c>
      <c r="E281" s="27">
        <f>IF(D281="","",D281*'02_Eingaben'!$C$8)</f>
        <v/>
      </c>
      <c r="F281" s="27">
        <f>IF(E281="","",AVERAGE(INDEX($E$2:$E$3001,MAX(1,ROW()-1-'02_Eingaben'!$C$17)):INDEX($E$2:$E$3001,MIN('02_Eingaben'!$C$21,ROW()-1+'02_Eingaben'!$C$17))))</f>
        <v/>
      </c>
      <c r="G281" s="27">
        <f>IF(F281="","",F281-'02_Eingaben'!$C$10)</f>
        <v/>
      </c>
      <c r="H281">
        <f>IF(F281="","",IF(F281&lt;'02_Eingaben'!$C$18*'02_Eingaben'!$C$10,1,0))</f>
        <v/>
      </c>
      <c r="I281" s="27">
        <f>IF(OR(G281="",G282=""),"",(G281+G282)/2*(B282-B281))</f>
        <v/>
      </c>
      <c r="J281" s="27">
        <f>IF(B281="","",IF(B280&lt;'02_Eingaben'!$C$36,0,J280+I280/'02_Eingaben'!$C$8))</f>
        <v/>
      </c>
    </row>
    <row r="282">
      <c r="A282">
        <f>IF('01_Rohdaten'!A282="","",ROW()-1)</f>
        <v/>
      </c>
      <c r="B282" s="27">
        <f>IF('01_Rohdaten'!A282="","",'01_Rohdaten'!A282)</f>
        <v/>
      </c>
      <c r="C282" s="27">
        <f>IF(B282="","",INDEX('01_Rohdaten'!B282:D282,'02_Eingaben'!$C$13))</f>
        <v/>
      </c>
      <c r="D282" s="27">
        <f>IF(C282="","",C282*'02_Eingaben'!$C$15)</f>
        <v/>
      </c>
      <c r="E282" s="27">
        <f>IF(D282="","",D282*'02_Eingaben'!$C$8)</f>
        <v/>
      </c>
      <c r="F282" s="27">
        <f>IF(E282="","",AVERAGE(INDEX($E$2:$E$3001,MAX(1,ROW()-1-'02_Eingaben'!$C$17)):INDEX($E$2:$E$3001,MIN('02_Eingaben'!$C$21,ROW()-1+'02_Eingaben'!$C$17))))</f>
        <v/>
      </c>
      <c r="G282" s="27">
        <f>IF(F282="","",F282-'02_Eingaben'!$C$10)</f>
        <v/>
      </c>
      <c r="H282">
        <f>IF(F282="","",IF(F282&lt;'02_Eingaben'!$C$18*'02_Eingaben'!$C$10,1,0))</f>
        <v/>
      </c>
      <c r="I282" s="27">
        <f>IF(OR(G282="",G283=""),"",(G282+G283)/2*(B283-B282))</f>
        <v/>
      </c>
      <c r="J282" s="27">
        <f>IF(B282="","",IF(B281&lt;'02_Eingaben'!$C$36,0,J281+I281/'02_Eingaben'!$C$8))</f>
        <v/>
      </c>
    </row>
    <row r="283">
      <c r="A283">
        <f>IF('01_Rohdaten'!A283="","",ROW()-1)</f>
        <v/>
      </c>
      <c r="B283" s="27">
        <f>IF('01_Rohdaten'!A283="","",'01_Rohdaten'!A283)</f>
        <v/>
      </c>
      <c r="C283" s="27">
        <f>IF(B283="","",INDEX('01_Rohdaten'!B283:D283,'02_Eingaben'!$C$13))</f>
        <v/>
      </c>
      <c r="D283" s="27">
        <f>IF(C283="","",C283*'02_Eingaben'!$C$15)</f>
        <v/>
      </c>
      <c r="E283" s="27">
        <f>IF(D283="","",D283*'02_Eingaben'!$C$8)</f>
        <v/>
      </c>
      <c r="F283" s="27">
        <f>IF(E283="","",AVERAGE(INDEX($E$2:$E$3001,MAX(1,ROW()-1-'02_Eingaben'!$C$17)):INDEX($E$2:$E$3001,MIN('02_Eingaben'!$C$21,ROW()-1+'02_Eingaben'!$C$17))))</f>
        <v/>
      </c>
      <c r="G283" s="27">
        <f>IF(F283="","",F283-'02_Eingaben'!$C$10)</f>
        <v/>
      </c>
      <c r="H283">
        <f>IF(F283="","",IF(F283&lt;'02_Eingaben'!$C$18*'02_Eingaben'!$C$10,1,0))</f>
        <v/>
      </c>
      <c r="I283" s="27">
        <f>IF(OR(G283="",G284=""),"",(G283+G284)/2*(B284-B283))</f>
        <v/>
      </c>
      <c r="J283" s="27">
        <f>IF(B283="","",IF(B282&lt;'02_Eingaben'!$C$36,0,J282+I282/'02_Eingaben'!$C$8))</f>
        <v/>
      </c>
    </row>
    <row r="284">
      <c r="A284">
        <f>IF('01_Rohdaten'!A284="","",ROW()-1)</f>
        <v/>
      </c>
      <c r="B284" s="27">
        <f>IF('01_Rohdaten'!A284="","",'01_Rohdaten'!A284)</f>
        <v/>
      </c>
      <c r="C284" s="27">
        <f>IF(B284="","",INDEX('01_Rohdaten'!B284:D284,'02_Eingaben'!$C$13))</f>
        <v/>
      </c>
      <c r="D284" s="27">
        <f>IF(C284="","",C284*'02_Eingaben'!$C$15)</f>
        <v/>
      </c>
      <c r="E284" s="27">
        <f>IF(D284="","",D284*'02_Eingaben'!$C$8)</f>
        <v/>
      </c>
      <c r="F284" s="27">
        <f>IF(E284="","",AVERAGE(INDEX($E$2:$E$3001,MAX(1,ROW()-1-'02_Eingaben'!$C$17)):INDEX($E$2:$E$3001,MIN('02_Eingaben'!$C$21,ROW()-1+'02_Eingaben'!$C$17))))</f>
        <v/>
      </c>
      <c r="G284" s="27">
        <f>IF(F284="","",F284-'02_Eingaben'!$C$10)</f>
        <v/>
      </c>
      <c r="H284">
        <f>IF(F284="","",IF(F284&lt;'02_Eingaben'!$C$18*'02_Eingaben'!$C$10,1,0))</f>
        <v/>
      </c>
      <c r="I284" s="27">
        <f>IF(OR(G284="",G285=""),"",(G284+G285)/2*(B285-B284))</f>
        <v/>
      </c>
      <c r="J284" s="27">
        <f>IF(B284="","",IF(B283&lt;'02_Eingaben'!$C$36,0,J283+I283/'02_Eingaben'!$C$8))</f>
        <v/>
      </c>
    </row>
    <row r="285">
      <c r="A285">
        <f>IF('01_Rohdaten'!A285="","",ROW()-1)</f>
        <v/>
      </c>
      <c r="B285" s="27">
        <f>IF('01_Rohdaten'!A285="","",'01_Rohdaten'!A285)</f>
        <v/>
      </c>
      <c r="C285" s="27">
        <f>IF(B285="","",INDEX('01_Rohdaten'!B285:D285,'02_Eingaben'!$C$13))</f>
        <v/>
      </c>
      <c r="D285" s="27">
        <f>IF(C285="","",C285*'02_Eingaben'!$C$15)</f>
        <v/>
      </c>
      <c r="E285" s="27">
        <f>IF(D285="","",D285*'02_Eingaben'!$C$8)</f>
        <v/>
      </c>
      <c r="F285" s="27">
        <f>IF(E285="","",AVERAGE(INDEX($E$2:$E$3001,MAX(1,ROW()-1-'02_Eingaben'!$C$17)):INDEX($E$2:$E$3001,MIN('02_Eingaben'!$C$21,ROW()-1+'02_Eingaben'!$C$17))))</f>
        <v/>
      </c>
      <c r="G285" s="27">
        <f>IF(F285="","",F285-'02_Eingaben'!$C$10)</f>
        <v/>
      </c>
      <c r="H285">
        <f>IF(F285="","",IF(F285&lt;'02_Eingaben'!$C$18*'02_Eingaben'!$C$10,1,0))</f>
        <v/>
      </c>
      <c r="I285" s="27">
        <f>IF(OR(G285="",G286=""),"",(G285+G286)/2*(B286-B285))</f>
        <v/>
      </c>
      <c r="J285" s="27">
        <f>IF(B285="","",IF(B284&lt;'02_Eingaben'!$C$36,0,J284+I284/'02_Eingaben'!$C$8))</f>
        <v/>
      </c>
    </row>
    <row r="286">
      <c r="A286">
        <f>IF('01_Rohdaten'!A286="","",ROW()-1)</f>
        <v/>
      </c>
      <c r="B286" s="27">
        <f>IF('01_Rohdaten'!A286="","",'01_Rohdaten'!A286)</f>
        <v/>
      </c>
      <c r="C286" s="27">
        <f>IF(B286="","",INDEX('01_Rohdaten'!B286:D286,'02_Eingaben'!$C$13))</f>
        <v/>
      </c>
      <c r="D286" s="27">
        <f>IF(C286="","",C286*'02_Eingaben'!$C$15)</f>
        <v/>
      </c>
      <c r="E286" s="27">
        <f>IF(D286="","",D286*'02_Eingaben'!$C$8)</f>
        <v/>
      </c>
      <c r="F286" s="27">
        <f>IF(E286="","",AVERAGE(INDEX($E$2:$E$3001,MAX(1,ROW()-1-'02_Eingaben'!$C$17)):INDEX($E$2:$E$3001,MIN('02_Eingaben'!$C$21,ROW()-1+'02_Eingaben'!$C$17))))</f>
        <v/>
      </c>
      <c r="G286" s="27">
        <f>IF(F286="","",F286-'02_Eingaben'!$C$10)</f>
        <v/>
      </c>
      <c r="H286">
        <f>IF(F286="","",IF(F286&lt;'02_Eingaben'!$C$18*'02_Eingaben'!$C$10,1,0))</f>
        <v/>
      </c>
      <c r="I286" s="27">
        <f>IF(OR(G286="",G287=""),"",(G286+G287)/2*(B287-B286))</f>
        <v/>
      </c>
      <c r="J286" s="27">
        <f>IF(B286="","",IF(B285&lt;'02_Eingaben'!$C$36,0,J285+I285/'02_Eingaben'!$C$8))</f>
        <v/>
      </c>
    </row>
    <row r="287">
      <c r="A287">
        <f>IF('01_Rohdaten'!A287="","",ROW()-1)</f>
        <v/>
      </c>
      <c r="B287" s="27">
        <f>IF('01_Rohdaten'!A287="","",'01_Rohdaten'!A287)</f>
        <v/>
      </c>
      <c r="C287" s="27">
        <f>IF(B287="","",INDEX('01_Rohdaten'!B287:D287,'02_Eingaben'!$C$13))</f>
        <v/>
      </c>
      <c r="D287" s="27">
        <f>IF(C287="","",C287*'02_Eingaben'!$C$15)</f>
        <v/>
      </c>
      <c r="E287" s="27">
        <f>IF(D287="","",D287*'02_Eingaben'!$C$8)</f>
        <v/>
      </c>
      <c r="F287" s="27">
        <f>IF(E287="","",AVERAGE(INDEX($E$2:$E$3001,MAX(1,ROW()-1-'02_Eingaben'!$C$17)):INDEX($E$2:$E$3001,MIN('02_Eingaben'!$C$21,ROW()-1+'02_Eingaben'!$C$17))))</f>
        <v/>
      </c>
      <c r="G287" s="27">
        <f>IF(F287="","",F287-'02_Eingaben'!$C$10)</f>
        <v/>
      </c>
      <c r="H287">
        <f>IF(F287="","",IF(F287&lt;'02_Eingaben'!$C$18*'02_Eingaben'!$C$10,1,0))</f>
        <v/>
      </c>
      <c r="I287" s="27">
        <f>IF(OR(G287="",G288=""),"",(G287+G288)/2*(B288-B287))</f>
        <v/>
      </c>
      <c r="J287" s="27">
        <f>IF(B287="","",IF(B286&lt;'02_Eingaben'!$C$36,0,J286+I286/'02_Eingaben'!$C$8))</f>
        <v/>
      </c>
    </row>
    <row r="288">
      <c r="A288">
        <f>IF('01_Rohdaten'!A288="","",ROW()-1)</f>
        <v/>
      </c>
      <c r="B288" s="27">
        <f>IF('01_Rohdaten'!A288="","",'01_Rohdaten'!A288)</f>
        <v/>
      </c>
      <c r="C288" s="27">
        <f>IF(B288="","",INDEX('01_Rohdaten'!B288:D288,'02_Eingaben'!$C$13))</f>
        <v/>
      </c>
      <c r="D288" s="27">
        <f>IF(C288="","",C288*'02_Eingaben'!$C$15)</f>
        <v/>
      </c>
      <c r="E288" s="27">
        <f>IF(D288="","",D288*'02_Eingaben'!$C$8)</f>
        <v/>
      </c>
      <c r="F288" s="27">
        <f>IF(E288="","",AVERAGE(INDEX($E$2:$E$3001,MAX(1,ROW()-1-'02_Eingaben'!$C$17)):INDEX($E$2:$E$3001,MIN('02_Eingaben'!$C$21,ROW()-1+'02_Eingaben'!$C$17))))</f>
        <v/>
      </c>
      <c r="G288" s="27">
        <f>IF(F288="","",F288-'02_Eingaben'!$C$10)</f>
        <v/>
      </c>
      <c r="H288">
        <f>IF(F288="","",IF(F288&lt;'02_Eingaben'!$C$18*'02_Eingaben'!$C$10,1,0))</f>
        <v/>
      </c>
      <c r="I288" s="27">
        <f>IF(OR(G288="",G289=""),"",(G288+G289)/2*(B289-B288))</f>
        <v/>
      </c>
      <c r="J288" s="27">
        <f>IF(B288="","",IF(B287&lt;'02_Eingaben'!$C$36,0,J287+I287/'02_Eingaben'!$C$8))</f>
        <v/>
      </c>
    </row>
    <row r="289">
      <c r="A289">
        <f>IF('01_Rohdaten'!A289="","",ROW()-1)</f>
        <v/>
      </c>
      <c r="B289" s="27">
        <f>IF('01_Rohdaten'!A289="","",'01_Rohdaten'!A289)</f>
        <v/>
      </c>
      <c r="C289" s="27">
        <f>IF(B289="","",INDEX('01_Rohdaten'!B289:D289,'02_Eingaben'!$C$13))</f>
        <v/>
      </c>
      <c r="D289" s="27">
        <f>IF(C289="","",C289*'02_Eingaben'!$C$15)</f>
        <v/>
      </c>
      <c r="E289" s="27">
        <f>IF(D289="","",D289*'02_Eingaben'!$C$8)</f>
        <v/>
      </c>
      <c r="F289" s="27">
        <f>IF(E289="","",AVERAGE(INDEX($E$2:$E$3001,MAX(1,ROW()-1-'02_Eingaben'!$C$17)):INDEX($E$2:$E$3001,MIN('02_Eingaben'!$C$21,ROW()-1+'02_Eingaben'!$C$17))))</f>
        <v/>
      </c>
      <c r="G289" s="27">
        <f>IF(F289="","",F289-'02_Eingaben'!$C$10)</f>
        <v/>
      </c>
      <c r="H289">
        <f>IF(F289="","",IF(F289&lt;'02_Eingaben'!$C$18*'02_Eingaben'!$C$10,1,0))</f>
        <v/>
      </c>
      <c r="I289" s="27">
        <f>IF(OR(G289="",G290=""),"",(G289+G290)/2*(B290-B289))</f>
        <v/>
      </c>
      <c r="J289" s="27">
        <f>IF(B289="","",IF(B288&lt;'02_Eingaben'!$C$36,0,J288+I288/'02_Eingaben'!$C$8))</f>
        <v/>
      </c>
    </row>
    <row r="290">
      <c r="A290">
        <f>IF('01_Rohdaten'!A290="","",ROW()-1)</f>
        <v/>
      </c>
      <c r="B290" s="27">
        <f>IF('01_Rohdaten'!A290="","",'01_Rohdaten'!A290)</f>
        <v/>
      </c>
      <c r="C290" s="27">
        <f>IF(B290="","",INDEX('01_Rohdaten'!B290:D290,'02_Eingaben'!$C$13))</f>
        <v/>
      </c>
      <c r="D290" s="27">
        <f>IF(C290="","",C290*'02_Eingaben'!$C$15)</f>
        <v/>
      </c>
      <c r="E290" s="27">
        <f>IF(D290="","",D290*'02_Eingaben'!$C$8)</f>
        <v/>
      </c>
      <c r="F290" s="27">
        <f>IF(E290="","",AVERAGE(INDEX($E$2:$E$3001,MAX(1,ROW()-1-'02_Eingaben'!$C$17)):INDEX($E$2:$E$3001,MIN('02_Eingaben'!$C$21,ROW()-1+'02_Eingaben'!$C$17))))</f>
        <v/>
      </c>
      <c r="G290" s="27">
        <f>IF(F290="","",F290-'02_Eingaben'!$C$10)</f>
        <v/>
      </c>
      <c r="H290">
        <f>IF(F290="","",IF(F290&lt;'02_Eingaben'!$C$18*'02_Eingaben'!$C$10,1,0))</f>
        <v/>
      </c>
      <c r="I290" s="27">
        <f>IF(OR(G290="",G291=""),"",(G290+G291)/2*(B291-B290))</f>
        <v/>
      </c>
      <c r="J290" s="27">
        <f>IF(B290="","",IF(B289&lt;'02_Eingaben'!$C$36,0,J289+I289/'02_Eingaben'!$C$8))</f>
        <v/>
      </c>
    </row>
    <row r="291">
      <c r="A291">
        <f>IF('01_Rohdaten'!A291="","",ROW()-1)</f>
        <v/>
      </c>
      <c r="B291" s="27">
        <f>IF('01_Rohdaten'!A291="","",'01_Rohdaten'!A291)</f>
        <v/>
      </c>
      <c r="C291" s="27">
        <f>IF(B291="","",INDEX('01_Rohdaten'!B291:D291,'02_Eingaben'!$C$13))</f>
        <v/>
      </c>
      <c r="D291" s="27">
        <f>IF(C291="","",C291*'02_Eingaben'!$C$15)</f>
        <v/>
      </c>
      <c r="E291" s="27">
        <f>IF(D291="","",D291*'02_Eingaben'!$C$8)</f>
        <v/>
      </c>
      <c r="F291" s="27">
        <f>IF(E291="","",AVERAGE(INDEX($E$2:$E$3001,MAX(1,ROW()-1-'02_Eingaben'!$C$17)):INDEX($E$2:$E$3001,MIN('02_Eingaben'!$C$21,ROW()-1+'02_Eingaben'!$C$17))))</f>
        <v/>
      </c>
      <c r="G291" s="27">
        <f>IF(F291="","",F291-'02_Eingaben'!$C$10)</f>
        <v/>
      </c>
      <c r="H291">
        <f>IF(F291="","",IF(F291&lt;'02_Eingaben'!$C$18*'02_Eingaben'!$C$10,1,0))</f>
        <v/>
      </c>
      <c r="I291" s="27">
        <f>IF(OR(G291="",G292=""),"",(G291+G292)/2*(B292-B291))</f>
        <v/>
      </c>
      <c r="J291" s="27">
        <f>IF(B291="","",IF(B290&lt;'02_Eingaben'!$C$36,0,J290+I290/'02_Eingaben'!$C$8))</f>
        <v/>
      </c>
    </row>
    <row r="292">
      <c r="A292">
        <f>IF('01_Rohdaten'!A292="","",ROW()-1)</f>
        <v/>
      </c>
      <c r="B292" s="27">
        <f>IF('01_Rohdaten'!A292="","",'01_Rohdaten'!A292)</f>
        <v/>
      </c>
      <c r="C292" s="27">
        <f>IF(B292="","",INDEX('01_Rohdaten'!B292:D292,'02_Eingaben'!$C$13))</f>
        <v/>
      </c>
      <c r="D292" s="27">
        <f>IF(C292="","",C292*'02_Eingaben'!$C$15)</f>
        <v/>
      </c>
      <c r="E292" s="27">
        <f>IF(D292="","",D292*'02_Eingaben'!$C$8)</f>
        <v/>
      </c>
      <c r="F292" s="27">
        <f>IF(E292="","",AVERAGE(INDEX($E$2:$E$3001,MAX(1,ROW()-1-'02_Eingaben'!$C$17)):INDEX($E$2:$E$3001,MIN('02_Eingaben'!$C$21,ROW()-1+'02_Eingaben'!$C$17))))</f>
        <v/>
      </c>
      <c r="G292" s="27">
        <f>IF(F292="","",F292-'02_Eingaben'!$C$10)</f>
        <v/>
      </c>
      <c r="H292">
        <f>IF(F292="","",IF(F292&lt;'02_Eingaben'!$C$18*'02_Eingaben'!$C$10,1,0))</f>
        <v/>
      </c>
      <c r="I292" s="27">
        <f>IF(OR(G292="",G293=""),"",(G292+G293)/2*(B293-B292))</f>
        <v/>
      </c>
      <c r="J292" s="27">
        <f>IF(B292="","",IF(B291&lt;'02_Eingaben'!$C$36,0,J291+I291/'02_Eingaben'!$C$8))</f>
        <v/>
      </c>
    </row>
    <row r="293">
      <c r="A293">
        <f>IF('01_Rohdaten'!A293="","",ROW()-1)</f>
        <v/>
      </c>
      <c r="B293" s="27">
        <f>IF('01_Rohdaten'!A293="","",'01_Rohdaten'!A293)</f>
        <v/>
      </c>
      <c r="C293" s="27">
        <f>IF(B293="","",INDEX('01_Rohdaten'!B293:D293,'02_Eingaben'!$C$13))</f>
        <v/>
      </c>
      <c r="D293" s="27">
        <f>IF(C293="","",C293*'02_Eingaben'!$C$15)</f>
        <v/>
      </c>
      <c r="E293" s="27">
        <f>IF(D293="","",D293*'02_Eingaben'!$C$8)</f>
        <v/>
      </c>
      <c r="F293" s="27">
        <f>IF(E293="","",AVERAGE(INDEX($E$2:$E$3001,MAX(1,ROW()-1-'02_Eingaben'!$C$17)):INDEX($E$2:$E$3001,MIN('02_Eingaben'!$C$21,ROW()-1+'02_Eingaben'!$C$17))))</f>
        <v/>
      </c>
      <c r="G293" s="27">
        <f>IF(F293="","",F293-'02_Eingaben'!$C$10)</f>
        <v/>
      </c>
      <c r="H293">
        <f>IF(F293="","",IF(F293&lt;'02_Eingaben'!$C$18*'02_Eingaben'!$C$10,1,0))</f>
        <v/>
      </c>
      <c r="I293" s="27">
        <f>IF(OR(G293="",G294=""),"",(G293+G294)/2*(B294-B293))</f>
        <v/>
      </c>
      <c r="J293" s="27">
        <f>IF(B293="","",IF(B292&lt;'02_Eingaben'!$C$36,0,J292+I292/'02_Eingaben'!$C$8))</f>
        <v/>
      </c>
    </row>
    <row r="294">
      <c r="A294">
        <f>IF('01_Rohdaten'!A294="","",ROW()-1)</f>
        <v/>
      </c>
      <c r="B294" s="27">
        <f>IF('01_Rohdaten'!A294="","",'01_Rohdaten'!A294)</f>
        <v/>
      </c>
      <c r="C294" s="27">
        <f>IF(B294="","",INDEX('01_Rohdaten'!B294:D294,'02_Eingaben'!$C$13))</f>
        <v/>
      </c>
      <c r="D294" s="27">
        <f>IF(C294="","",C294*'02_Eingaben'!$C$15)</f>
        <v/>
      </c>
      <c r="E294" s="27">
        <f>IF(D294="","",D294*'02_Eingaben'!$C$8)</f>
        <v/>
      </c>
      <c r="F294" s="27">
        <f>IF(E294="","",AVERAGE(INDEX($E$2:$E$3001,MAX(1,ROW()-1-'02_Eingaben'!$C$17)):INDEX($E$2:$E$3001,MIN('02_Eingaben'!$C$21,ROW()-1+'02_Eingaben'!$C$17))))</f>
        <v/>
      </c>
      <c r="G294" s="27">
        <f>IF(F294="","",F294-'02_Eingaben'!$C$10)</f>
        <v/>
      </c>
      <c r="H294">
        <f>IF(F294="","",IF(F294&lt;'02_Eingaben'!$C$18*'02_Eingaben'!$C$10,1,0))</f>
        <v/>
      </c>
      <c r="I294" s="27">
        <f>IF(OR(G294="",G295=""),"",(G294+G295)/2*(B295-B294))</f>
        <v/>
      </c>
      <c r="J294" s="27">
        <f>IF(B294="","",IF(B293&lt;'02_Eingaben'!$C$36,0,J293+I293/'02_Eingaben'!$C$8))</f>
        <v/>
      </c>
    </row>
    <row r="295">
      <c r="A295">
        <f>IF('01_Rohdaten'!A295="","",ROW()-1)</f>
        <v/>
      </c>
      <c r="B295" s="27">
        <f>IF('01_Rohdaten'!A295="","",'01_Rohdaten'!A295)</f>
        <v/>
      </c>
      <c r="C295" s="27">
        <f>IF(B295="","",INDEX('01_Rohdaten'!B295:D295,'02_Eingaben'!$C$13))</f>
        <v/>
      </c>
      <c r="D295" s="27">
        <f>IF(C295="","",C295*'02_Eingaben'!$C$15)</f>
        <v/>
      </c>
      <c r="E295" s="27">
        <f>IF(D295="","",D295*'02_Eingaben'!$C$8)</f>
        <v/>
      </c>
      <c r="F295" s="27">
        <f>IF(E295="","",AVERAGE(INDEX($E$2:$E$3001,MAX(1,ROW()-1-'02_Eingaben'!$C$17)):INDEX($E$2:$E$3001,MIN('02_Eingaben'!$C$21,ROW()-1+'02_Eingaben'!$C$17))))</f>
        <v/>
      </c>
      <c r="G295" s="27">
        <f>IF(F295="","",F295-'02_Eingaben'!$C$10)</f>
        <v/>
      </c>
      <c r="H295">
        <f>IF(F295="","",IF(F295&lt;'02_Eingaben'!$C$18*'02_Eingaben'!$C$10,1,0))</f>
        <v/>
      </c>
      <c r="I295" s="27">
        <f>IF(OR(G295="",G296=""),"",(G295+G296)/2*(B296-B295))</f>
        <v/>
      </c>
      <c r="J295" s="27">
        <f>IF(B295="","",IF(B294&lt;'02_Eingaben'!$C$36,0,J294+I294/'02_Eingaben'!$C$8))</f>
        <v/>
      </c>
    </row>
    <row r="296">
      <c r="A296">
        <f>IF('01_Rohdaten'!A296="","",ROW()-1)</f>
        <v/>
      </c>
      <c r="B296" s="27">
        <f>IF('01_Rohdaten'!A296="","",'01_Rohdaten'!A296)</f>
        <v/>
      </c>
      <c r="C296" s="27">
        <f>IF(B296="","",INDEX('01_Rohdaten'!B296:D296,'02_Eingaben'!$C$13))</f>
        <v/>
      </c>
      <c r="D296" s="27">
        <f>IF(C296="","",C296*'02_Eingaben'!$C$15)</f>
        <v/>
      </c>
      <c r="E296" s="27">
        <f>IF(D296="","",D296*'02_Eingaben'!$C$8)</f>
        <v/>
      </c>
      <c r="F296" s="27">
        <f>IF(E296="","",AVERAGE(INDEX($E$2:$E$3001,MAX(1,ROW()-1-'02_Eingaben'!$C$17)):INDEX($E$2:$E$3001,MIN('02_Eingaben'!$C$21,ROW()-1+'02_Eingaben'!$C$17))))</f>
        <v/>
      </c>
      <c r="G296" s="27">
        <f>IF(F296="","",F296-'02_Eingaben'!$C$10)</f>
        <v/>
      </c>
      <c r="H296">
        <f>IF(F296="","",IF(F296&lt;'02_Eingaben'!$C$18*'02_Eingaben'!$C$10,1,0))</f>
        <v/>
      </c>
      <c r="I296" s="27">
        <f>IF(OR(G296="",G297=""),"",(G296+G297)/2*(B297-B296))</f>
        <v/>
      </c>
      <c r="J296" s="27">
        <f>IF(B296="","",IF(B295&lt;'02_Eingaben'!$C$36,0,J295+I295/'02_Eingaben'!$C$8))</f>
        <v/>
      </c>
    </row>
    <row r="297">
      <c r="A297">
        <f>IF('01_Rohdaten'!A297="","",ROW()-1)</f>
        <v/>
      </c>
      <c r="B297" s="27">
        <f>IF('01_Rohdaten'!A297="","",'01_Rohdaten'!A297)</f>
        <v/>
      </c>
      <c r="C297" s="27">
        <f>IF(B297="","",INDEX('01_Rohdaten'!B297:D297,'02_Eingaben'!$C$13))</f>
        <v/>
      </c>
      <c r="D297" s="27">
        <f>IF(C297="","",C297*'02_Eingaben'!$C$15)</f>
        <v/>
      </c>
      <c r="E297" s="27">
        <f>IF(D297="","",D297*'02_Eingaben'!$C$8)</f>
        <v/>
      </c>
      <c r="F297" s="27">
        <f>IF(E297="","",AVERAGE(INDEX($E$2:$E$3001,MAX(1,ROW()-1-'02_Eingaben'!$C$17)):INDEX($E$2:$E$3001,MIN('02_Eingaben'!$C$21,ROW()-1+'02_Eingaben'!$C$17))))</f>
        <v/>
      </c>
      <c r="G297" s="27">
        <f>IF(F297="","",F297-'02_Eingaben'!$C$10)</f>
        <v/>
      </c>
      <c r="H297">
        <f>IF(F297="","",IF(F297&lt;'02_Eingaben'!$C$18*'02_Eingaben'!$C$10,1,0))</f>
        <v/>
      </c>
      <c r="I297" s="27">
        <f>IF(OR(G297="",G298=""),"",(G297+G298)/2*(B298-B297))</f>
        <v/>
      </c>
      <c r="J297" s="27">
        <f>IF(B297="","",IF(B296&lt;'02_Eingaben'!$C$36,0,J296+I296/'02_Eingaben'!$C$8))</f>
        <v/>
      </c>
    </row>
    <row r="298">
      <c r="A298">
        <f>IF('01_Rohdaten'!A298="","",ROW()-1)</f>
        <v/>
      </c>
      <c r="B298" s="27">
        <f>IF('01_Rohdaten'!A298="","",'01_Rohdaten'!A298)</f>
        <v/>
      </c>
      <c r="C298" s="27">
        <f>IF(B298="","",INDEX('01_Rohdaten'!B298:D298,'02_Eingaben'!$C$13))</f>
        <v/>
      </c>
      <c r="D298" s="27">
        <f>IF(C298="","",C298*'02_Eingaben'!$C$15)</f>
        <v/>
      </c>
      <c r="E298" s="27">
        <f>IF(D298="","",D298*'02_Eingaben'!$C$8)</f>
        <v/>
      </c>
      <c r="F298" s="27">
        <f>IF(E298="","",AVERAGE(INDEX($E$2:$E$3001,MAX(1,ROW()-1-'02_Eingaben'!$C$17)):INDEX($E$2:$E$3001,MIN('02_Eingaben'!$C$21,ROW()-1+'02_Eingaben'!$C$17))))</f>
        <v/>
      </c>
      <c r="G298" s="27">
        <f>IF(F298="","",F298-'02_Eingaben'!$C$10)</f>
        <v/>
      </c>
      <c r="H298">
        <f>IF(F298="","",IF(F298&lt;'02_Eingaben'!$C$18*'02_Eingaben'!$C$10,1,0))</f>
        <v/>
      </c>
      <c r="I298" s="27">
        <f>IF(OR(G298="",G299=""),"",(G298+G299)/2*(B299-B298))</f>
        <v/>
      </c>
      <c r="J298" s="27">
        <f>IF(B298="","",IF(B297&lt;'02_Eingaben'!$C$36,0,J297+I297/'02_Eingaben'!$C$8))</f>
        <v/>
      </c>
    </row>
    <row r="299">
      <c r="A299">
        <f>IF('01_Rohdaten'!A299="","",ROW()-1)</f>
        <v/>
      </c>
      <c r="B299" s="27">
        <f>IF('01_Rohdaten'!A299="","",'01_Rohdaten'!A299)</f>
        <v/>
      </c>
      <c r="C299" s="27">
        <f>IF(B299="","",INDEX('01_Rohdaten'!B299:D299,'02_Eingaben'!$C$13))</f>
        <v/>
      </c>
      <c r="D299" s="27">
        <f>IF(C299="","",C299*'02_Eingaben'!$C$15)</f>
        <v/>
      </c>
      <c r="E299" s="27">
        <f>IF(D299="","",D299*'02_Eingaben'!$C$8)</f>
        <v/>
      </c>
      <c r="F299" s="27">
        <f>IF(E299="","",AVERAGE(INDEX($E$2:$E$3001,MAX(1,ROW()-1-'02_Eingaben'!$C$17)):INDEX($E$2:$E$3001,MIN('02_Eingaben'!$C$21,ROW()-1+'02_Eingaben'!$C$17))))</f>
        <v/>
      </c>
      <c r="G299" s="27">
        <f>IF(F299="","",F299-'02_Eingaben'!$C$10)</f>
        <v/>
      </c>
      <c r="H299">
        <f>IF(F299="","",IF(F299&lt;'02_Eingaben'!$C$18*'02_Eingaben'!$C$10,1,0))</f>
        <v/>
      </c>
      <c r="I299" s="27">
        <f>IF(OR(G299="",G300=""),"",(G299+G300)/2*(B300-B299))</f>
        <v/>
      </c>
      <c r="J299" s="27">
        <f>IF(B299="","",IF(B298&lt;'02_Eingaben'!$C$36,0,J298+I298/'02_Eingaben'!$C$8))</f>
        <v/>
      </c>
    </row>
    <row r="300">
      <c r="A300">
        <f>IF('01_Rohdaten'!A300="","",ROW()-1)</f>
        <v/>
      </c>
      <c r="B300" s="27">
        <f>IF('01_Rohdaten'!A300="","",'01_Rohdaten'!A300)</f>
        <v/>
      </c>
      <c r="C300" s="27">
        <f>IF(B300="","",INDEX('01_Rohdaten'!B300:D300,'02_Eingaben'!$C$13))</f>
        <v/>
      </c>
      <c r="D300" s="27">
        <f>IF(C300="","",C300*'02_Eingaben'!$C$15)</f>
        <v/>
      </c>
      <c r="E300" s="27">
        <f>IF(D300="","",D300*'02_Eingaben'!$C$8)</f>
        <v/>
      </c>
      <c r="F300" s="27">
        <f>IF(E300="","",AVERAGE(INDEX($E$2:$E$3001,MAX(1,ROW()-1-'02_Eingaben'!$C$17)):INDEX($E$2:$E$3001,MIN('02_Eingaben'!$C$21,ROW()-1+'02_Eingaben'!$C$17))))</f>
        <v/>
      </c>
      <c r="G300" s="27">
        <f>IF(F300="","",F300-'02_Eingaben'!$C$10)</f>
        <v/>
      </c>
      <c r="H300">
        <f>IF(F300="","",IF(F300&lt;'02_Eingaben'!$C$18*'02_Eingaben'!$C$10,1,0))</f>
        <v/>
      </c>
      <c r="I300" s="27">
        <f>IF(OR(G300="",G301=""),"",(G300+G301)/2*(B301-B300))</f>
        <v/>
      </c>
      <c r="J300" s="27">
        <f>IF(B300="","",IF(B299&lt;'02_Eingaben'!$C$36,0,J299+I299/'02_Eingaben'!$C$8))</f>
        <v/>
      </c>
    </row>
    <row r="301">
      <c r="A301">
        <f>IF('01_Rohdaten'!A301="","",ROW()-1)</f>
        <v/>
      </c>
      <c r="B301" s="27">
        <f>IF('01_Rohdaten'!A301="","",'01_Rohdaten'!A301)</f>
        <v/>
      </c>
      <c r="C301" s="27">
        <f>IF(B301="","",INDEX('01_Rohdaten'!B301:D301,'02_Eingaben'!$C$13))</f>
        <v/>
      </c>
      <c r="D301" s="27">
        <f>IF(C301="","",C301*'02_Eingaben'!$C$15)</f>
        <v/>
      </c>
      <c r="E301" s="27">
        <f>IF(D301="","",D301*'02_Eingaben'!$C$8)</f>
        <v/>
      </c>
      <c r="F301" s="27">
        <f>IF(E301="","",AVERAGE(INDEX($E$2:$E$3001,MAX(1,ROW()-1-'02_Eingaben'!$C$17)):INDEX($E$2:$E$3001,MIN('02_Eingaben'!$C$21,ROW()-1+'02_Eingaben'!$C$17))))</f>
        <v/>
      </c>
      <c r="G301" s="27">
        <f>IF(F301="","",F301-'02_Eingaben'!$C$10)</f>
        <v/>
      </c>
      <c r="H301">
        <f>IF(F301="","",IF(F301&lt;'02_Eingaben'!$C$18*'02_Eingaben'!$C$10,1,0))</f>
        <v/>
      </c>
      <c r="I301" s="27">
        <f>IF(OR(G301="",G302=""),"",(G301+G302)/2*(B302-B301))</f>
        <v/>
      </c>
      <c r="J301" s="27">
        <f>IF(B301="","",IF(B300&lt;'02_Eingaben'!$C$36,0,J300+I300/'02_Eingaben'!$C$8))</f>
        <v/>
      </c>
    </row>
    <row r="302">
      <c r="A302">
        <f>IF('01_Rohdaten'!A302="","",ROW()-1)</f>
        <v/>
      </c>
      <c r="B302" s="27">
        <f>IF('01_Rohdaten'!A302="","",'01_Rohdaten'!A302)</f>
        <v/>
      </c>
      <c r="C302" s="27">
        <f>IF(B302="","",INDEX('01_Rohdaten'!B302:D302,'02_Eingaben'!$C$13))</f>
        <v/>
      </c>
      <c r="D302" s="27">
        <f>IF(C302="","",C302*'02_Eingaben'!$C$15)</f>
        <v/>
      </c>
      <c r="E302" s="27">
        <f>IF(D302="","",D302*'02_Eingaben'!$C$8)</f>
        <v/>
      </c>
      <c r="F302" s="27">
        <f>IF(E302="","",AVERAGE(INDEX($E$2:$E$3001,MAX(1,ROW()-1-'02_Eingaben'!$C$17)):INDEX($E$2:$E$3001,MIN('02_Eingaben'!$C$21,ROW()-1+'02_Eingaben'!$C$17))))</f>
        <v/>
      </c>
      <c r="G302" s="27">
        <f>IF(F302="","",F302-'02_Eingaben'!$C$10)</f>
        <v/>
      </c>
      <c r="H302">
        <f>IF(F302="","",IF(F302&lt;'02_Eingaben'!$C$18*'02_Eingaben'!$C$10,1,0))</f>
        <v/>
      </c>
      <c r="I302" s="27">
        <f>IF(OR(G302="",G303=""),"",(G302+G303)/2*(B303-B302))</f>
        <v/>
      </c>
      <c r="J302" s="27">
        <f>IF(B302="","",IF(B301&lt;'02_Eingaben'!$C$36,0,J301+I301/'02_Eingaben'!$C$8))</f>
        <v/>
      </c>
    </row>
    <row r="303">
      <c r="A303">
        <f>IF('01_Rohdaten'!A303="","",ROW()-1)</f>
        <v/>
      </c>
      <c r="B303" s="27">
        <f>IF('01_Rohdaten'!A303="","",'01_Rohdaten'!A303)</f>
        <v/>
      </c>
      <c r="C303" s="27">
        <f>IF(B303="","",INDEX('01_Rohdaten'!B303:D303,'02_Eingaben'!$C$13))</f>
        <v/>
      </c>
      <c r="D303" s="27">
        <f>IF(C303="","",C303*'02_Eingaben'!$C$15)</f>
        <v/>
      </c>
      <c r="E303" s="27">
        <f>IF(D303="","",D303*'02_Eingaben'!$C$8)</f>
        <v/>
      </c>
      <c r="F303" s="27">
        <f>IF(E303="","",AVERAGE(INDEX($E$2:$E$3001,MAX(1,ROW()-1-'02_Eingaben'!$C$17)):INDEX($E$2:$E$3001,MIN('02_Eingaben'!$C$21,ROW()-1+'02_Eingaben'!$C$17))))</f>
        <v/>
      </c>
      <c r="G303" s="27">
        <f>IF(F303="","",F303-'02_Eingaben'!$C$10)</f>
        <v/>
      </c>
      <c r="H303">
        <f>IF(F303="","",IF(F303&lt;'02_Eingaben'!$C$18*'02_Eingaben'!$C$10,1,0))</f>
        <v/>
      </c>
      <c r="I303" s="27">
        <f>IF(OR(G303="",G304=""),"",(G303+G304)/2*(B304-B303))</f>
        <v/>
      </c>
      <c r="J303" s="27">
        <f>IF(B303="","",IF(B302&lt;'02_Eingaben'!$C$36,0,J302+I302/'02_Eingaben'!$C$8))</f>
        <v/>
      </c>
    </row>
    <row r="304">
      <c r="A304">
        <f>IF('01_Rohdaten'!A304="","",ROW()-1)</f>
        <v/>
      </c>
      <c r="B304" s="27">
        <f>IF('01_Rohdaten'!A304="","",'01_Rohdaten'!A304)</f>
        <v/>
      </c>
      <c r="C304" s="27">
        <f>IF(B304="","",INDEX('01_Rohdaten'!B304:D304,'02_Eingaben'!$C$13))</f>
        <v/>
      </c>
      <c r="D304" s="27">
        <f>IF(C304="","",C304*'02_Eingaben'!$C$15)</f>
        <v/>
      </c>
      <c r="E304" s="27">
        <f>IF(D304="","",D304*'02_Eingaben'!$C$8)</f>
        <v/>
      </c>
      <c r="F304" s="27">
        <f>IF(E304="","",AVERAGE(INDEX($E$2:$E$3001,MAX(1,ROW()-1-'02_Eingaben'!$C$17)):INDEX($E$2:$E$3001,MIN('02_Eingaben'!$C$21,ROW()-1+'02_Eingaben'!$C$17))))</f>
        <v/>
      </c>
      <c r="G304" s="27">
        <f>IF(F304="","",F304-'02_Eingaben'!$C$10)</f>
        <v/>
      </c>
      <c r="H304">
        <f>IF(F304="","",IF(F304&lt;'02_Eingaben'!$C$18*'02_Eingaben'!$C$10,1,0))</f>
        <v/>
      </c>
      <c r="I304" s="27">
        <f>IF(OR(G304="",G305=""),"",(G304+G305)/2*(B305-B304))</f>
        <v/>
      </c>
      <c r="J304" s="27">
        <f>IF(B304="","",IF(B303&lt;'02_Eingaben'!$C$36,0,J303+I303/'02_Eingaben'!$C$8))</f>
        <v/>
      </c>
    </row>
    <row r="305">
      <c r="A305">
        <f>IF('01_Rohdaten'!A305="","",ROW()-1)</f>
        <v/>
      </c>
      <c r="B305" s="27">
        <f>IF('01_Rohdaten'!A305="","",'01_Rohdaten'!A305)</f>
        <v/>
      </c>
      <c r="C305" s="27">
        <f>IF(B305="","",INDEX('01_Rohdaten'!B305:D305,'02_Eingaben'!$C$13))</f>
        <v/>
      </c>
      <c r="D305" s="27">
        <f>IF(C305="","",C305*'02_Eingaben'!$C$15)</f>
        <v/>
      </c>
      <c r="E305" s="27">
        <f>IF(D305="","",D305*'02_Eingaben'!$C$8)</f>
        <v/>
      </c>
      <c r="F305" s="27">
        <f>IF(E305="","",AVERAGE(INDEX($E$2:$E$3001,MAX(1,ROW()-1-'02_Eingaben'!$C$17)):INDEX($E$2:$E$3001,MIN('02_Eingaben'!$C$21,ROW()-1+'02_Eingaben'!$C$17))))</f>
        <v/>
      </c>
      <c r="G305" s="27">
        <f>IF(F305="","",F305-'02_Eingaben'!$C$10)</f>
        <v/>
      </c>
      <c r="H305">
        <f>IF(F305="","",IF(F305&lt;'02_Eingaben'!$C$18*'02_Eingaben'!$C$10,1,0))</f>
        <v/>
      </c>
      <c r="I305" s="27">
        <f>IF(OR(G305="",G306=""),"",(G305+G306)/2*(B306-B305))</f>
        <v/>
      </c>
      <c r="J305" s="27">
        <f>IF(B305="","",IF(B304&lt;'02_Eingaben'!$C$36,0,J304+I304/'02_Eingaben'!$C$8))</f>
        <v/>
      </c>
    </row>
    <row r="306">
      <c r="A306">
        <f>IF('01_Rohdaten'!A306="","",ROW()-1)</f>
        <v/>
      </c>
      <c r="B306" s="27">
        <f>IF('01_Rohdaten'!A306="","",'01_Rohdaten'!A306)</f>
        <v/>
      </c>
      <c r="C306" s="27">
        <f>IF(B306="","",INDEX('01_Rohdaten'!B306:D306,'02_Eingaben'!$C$13))</f>
        <v/>
      </c>
      <c r="D306" s="27">
        <f>IF(C306="","",C306*'02_Eingaben'!$C$15)</f>
        <v/>
      </c>
      <c r="E306" s="27">
        <f>IF(D306="","",D306*'02_Eingaben'!$C$8)</f>
        <v/>
      </c>
      <c r="F306" s="27">
        <f>IF(E306="","",AVERAGE(INDEX($E$2:$E$3001,MAX(1,ROW()-1-'02_Eingaben'!$C$17)):INDEX($E$2:$E$3001,MIN('02_Eingaben'!$C$21,ROW()-1+'02_Eingaben'!$C$17))))</f>
        <v/>
      </c>
      <c r="G306" s="27">
        <f>IF(F306="","",F306-'02_Eingaben'!$C$10)</f>
        <v/>
      </c>
      <c r="H306">
        <f>IF(F306="","",IF(F306&lt;'02_Eingaben'!$C$18*'02_Eingaben'!$C$10,1,0))</f>
        <v/>
      </c>
      <c r="I306" s="27">
        <f>IF(OR(G306="",G307=""),"",(G306+G307)/2*(B307-B306))</f>
        <v/>
      </c>
      <c r="J306" s="27">
        <f>IF(B306="","",IF(B305&lt;'02_Eingaben'!$C$36,0,J305+I305/'02_Eingaben'!$C$8))</f>
        <v/>
      </c>
    </row>
    <row r="307">
      <c r="A307">
        <f>IF('01_Rohdaten'!A307="","",ROW()-1)</f>
        <v/>
      </c>
      <c r="B307" s="27">
        <f>IF('01_Rohdaten'!A307="","",'01_Rohdaten'!A307)</f>
        <v/>
      </c>
      <c r="C307" s="27">
        <f>IF(B307="","",INDEX('01_Rohdaten'!B307:D307,'02_Eingaben'!$C$13))</f>
        <v/>
      </c>
      <c r="D307" s="27">
        <f>IF(C307="","",C307*'02_Eingaben'!$C$15)</f>
        <v/>
      </c>
      <c r="E307" s="27">
        <f>IF(D307="","",D307*'02_Eingaben'!$C$8)</f>
        <v/>
      </c>
      <c r="F307" s="27">
        <f>IF(E307="","",AVERAGE(INDEX($E$2:$E$3001,MAX(1,ROW()-1-'02_Eingaben'!$C$17)):INDEX($E$2:$E$3001,MIN('02_Eingaben'!$C$21,ROW()-1+'02_Eingaben'!$C$17))))</f>
        <v/>
      </c>
      <c r="G307" s="27">
        <f>IF(F307="","",F307-'02_Eingaben'!$C$10)</f>
        <v/>
      </c>
      <c r="H307">
        <f>IF(F307="","",IF(F307&lt;'02_Eingaben'!$C$18*'02_Eingaben'!$C$10,1,0))</f>
        <v/>
      </c>
      <c r="I307" s="27">
        <f>IF(OR(G307="",G308=""),"",(G307+G308)/2*(B308-B307))</f>
        <v/>
      </c>
      <c r="J307" s="27">
        <f>IF(B307="","",IF(B306&lt;'02_Eingaben'!$C$36,0,J306+I306/'02_Eingaben'!$C$8))</f>
        <v/>
      </c>
    </row>
    <row r="308">
      <c r="A308">
        <f>IF('01_Rohdaten'!A308="","",ROW()-1)</f>
        <v/>
      </c>
      <c r="B308" s="27">
        <f>IF('01_Rohdaten'!A308="","",'01_Rohdaten'!A308)</f>
        <v/>
      </c>
      <c r="C308" s="27">
        <f>IF(B308="","",INDEX('01_Rohdaten'!B308:D308,'02_Eingaben'!$C$13))</f>
        <v/>
      </c>
      <c r="D308" s="27">
        <f>IF(C308="","",C308*'02_Eingaben'!$C$15)</f>
        <v/>
      </c>
      <c r="E308" s="27">
        <f>IF(D308="","",D308*'02_Eingaben'!$C$8)</f>
        <v/>
      </c>
      <c r="F308" s="27">
        <f>IF(E308="","",AVERAGE(INDEX($E$2:$E$3001,MAX(1,ROW()-1-'02_Eingaben'!$C$17)):INDEX($E$2:$E$3001,MIN('02_Eingaben'!$C$21,ROW()-1+'02_Eingaben'!$C$17))))</f>
        <v/>
      </c>
      <c r="G308" s="27">
        <f>IF(F308="","",F308-'02_Eingaben'!$C$10)</f>
        <v/>
      </c>
      <c r="H308">
        <f>IF(F308="","",IF(F308&lt;'02_Eingaben'!$C$18*'02_Eingaben'!$C$10,1,0))</f>
        <v/>
      </c>
      <c r="I308" s="27">
        <f>IF(OR(G308="",G309=""),"",(G308+G309)/2*(B309-B308))</f>
        <v/>
      </c>
      <c r="J308" s="27">
        <f>IF(B308="","",IF(B307&lt;'02_Eingaben'!$C$36,0,J307+I307/'02_Eingaben'!$C$8))</f>
        <v/>
      </c>
    </row>
    <row r="309">
      <c r="A309">
        <f>IF('01_Rohdaten'!A309="","",ROW()-1)</f>
        <v/>
      </c>
      <c r="B309" s="27">
        <f>IF('01_Rohdaten'!A309="","",'01_Rohdaten'!A309)</f>
        <v/>
      </c>
      <c r="C309" s="27">
        <f>IF(B309="","",INDEX('01_Rohdaten'!B309:D309,'02_Eingaben'!$C$13))</f>
        <v/>
      </c>
      <c r="D309" s="27">
        <f>IF(C309="","",C309*'02_Eingaben'!$C$15)</f>
        <v/>
      </c>
      <c r="E309" s="27">
        <f>IF(D309="","",D309*'02_Eingaben'!$C$8)</f>
        <v/>
      </c>
      <c r="F309" s="27">
        <f>IF(E309="","",AVERAGE(INDEX($E$2:$E$3001,MAX(1,ROW()-1-'02_Eingaben'!$C$17)):INDEX($E$2:$E$3001,MIN('02_Eingaben'!$C$21,ROW()-1+'02_Eingaben'!$C$17))))</f>
        <v/>
      </c>
      <c r="G309" s="27">
        <f>IF(F309="","",F309-'02_Eingaben'!$C$10)</f>
        <v/>
      </c>
      <c r="H309">
        <f>IF(F309="","",IF(F309&lt;'02_Eingaben'!$C$18*'02_Eingaben'!$C$10,1,0))</f>
        <v/>
      </c>
      <c r="I309" s="27">
        <f>IF(OR(G309="",G310=""),"",(G309+G310)/2*(B310-B309))</f>
        <v/>
      </c>
      <c r="J309" s="27">
        <f>IF(B309="","",IF(B308&lt;'02_Eingaben'!$C$36,0,J308+I308/'02_Eingaben'!$C$8))</f>
        <v/>
      </c>
    </row>
    <row r="310">
      <c r="A310">
        <f>IF('01_Rohdaten'!A310="","",ROW()-1)</f>
        <v/>
      </c>
      <c r="B310" s="27">
        <f>IF('01_Rohdaten'!A310="","",'01_Rohdaten'!A310)</f>
        <v/>
      </c>
      <c r="C310" s="27">
        <f>IF(B310="","",INDEX('01_Rohdaten'!B310:D310,'02_Eingaben'!$C$13))</f>
        <v/>
      </c>
      <c r="D310" s="27">
        <f>IF(C310="","",C310*'02_Eingaben'!$C$15)</f>
        <v/>
      </c>
      <c r="E310" s="27">
        <f>IF(D310="","",D310*'02_Eingaben'!$C$8)</f>
        <v/>
      </c>
      <c r="F310" s="27">
        <f>IF(E310="","",AVERAGE(INDEX($E$2:$E$3001,MAX(1,ROW()-1-'02_Eingaben'!$C$17)):INDEX($E$2:$E$3001,MIN('02_Eingaben'!$C$21,ROW()-1+'02_Eingaben'!$C$17))))</f>
        <v/>
      </c>
      <c r="G310" s="27">
        <f>IF(F310="","",F310-'02_Eingaben'!$C$10)</f>
        <v/>
      </c>
      <c r="H310">
        <f>IF(F310="","",IF(F310&lt;'02_Eingaben'!$C$18*'02_Eingaben'!$C$10,1,0))</f>
        <v/>
      </c>
      <c r="I310" s="27">
        <f>IF(OR(G310="",G311=""),"",(G310+G311)/2*(B311-B310))</f>
        <v/>
      </c>
      <c r="J310" s="27">
        <f>IF(B310="","",IF(B309&lt;'02_Eingaben'!$C$36,0,J309+I309/'02_Eingaben'!$C$8))</f>
        <v/>
      </c>
    </row>
    <row r="311">
      <c r="A311">
        <f>IF('01_Rohdaten'!A311="","",ROW()-1)</f>
        <v/>
      </c>
      <c r="B311" s="27">
        <f>IF('01_Rohdaten'!A311="","",'01_Rohdaten'!A311)</f>
        <v/>
      </c>
      <c r="C311" s="27">
        <f>IF(B311="","",INDEX('01_Rohdaten'!B311:D311,'02_Eingaben'!$C$13))</f>
        <v/>
      </c>
      <c r="D311" s="27">
        <f>IF(C311="","",C311*'02_Eingaben'!$C$15)</f>
        <v/>
      </c>
      <c r="E311" s="27">
        <f>IF(D311="","",D311*'02_Eingaben'!$C$8)</f>
        <v/>
      </c>
      <c r="F311" s="27">
        <f>IF(E311="","",AVERAGE(INDEX($E$2:$E$3001,MAX(1,ROW()-1-'02_Eingaben'!$C$17)):INDEX($E$2:$E$3001,MIN('02_Eingaben'!$C$21,ROW()-1+'02_Eingaben'!$C$17))))</f>
        <v/>
      </c>
      <c r="G311" s="27">
        <f>IF(F311="","",F311-'02_Eingaben'!$C$10)</f>
        <v/>
      </c>
      <c r="H311">
        <f>IF(F311="","",IF(F311&lt;'02_Eingaben'!$C$18*'02_Eingaben'!$C$10,1,0))</f>
        <v/>
      </c>
      <c r="I311" s="27">
        <f>IF(OR(G311="",G312=""),"",(G311+G312)/2*(B312-B311))</f>
        <v/>
      </c>
      <c r="J311" s="27">
        <f>IF(B311="","",IF(B310&lt;'02_Eingaben'!$C$36,0,J310+I310/'02_Eingaben'!$C$8))</f>
        <v/>
      </c>
    </row>
    <row r="312">
      <c r="A312">
        <f>IF('01_Rohdaten'!A312="","",ROW()-1)</f>
        <v/>
      </c>
      <c r="B312" s="27">
        <f>IF('01_Rohdaten'!A312="","",'01_Rohdaten'!A312)</f>
        <v/>
      </c>
      <c r="C312" s="27">
        <f>IF(B312="","",INDEX('01_Rohdaten'!B312:D312,'02_Eingaben'!$C$13))</f>
        <v/>
      </c>
      <c r="D312" s="27">
        <f>IF(C312="","",C312*'02_Eingaben'!$C$15)</f>
        <v/>
      </c>
      <c r="E312" s="27">
        <f>IF(D312="","",D312*'02_Eingaben'!$C$8)</f>
        <v/>
      </c>
      <c r="F312" s="27">
        <f>IF(E312="","",AVERAGE(INDEX($E$2:$E$3001,MAX(1,ROW()-1-'02_Eingaben'!$C$17)):INDEX($E$2:$E$3001,MIN('02_Eingaben'!$C$21,ROW()-1+'02_Eingaben'!$C$17))))</f>
        <v/>
      </c>
      <c r="G312" s="27">
        <f>IF(F312="","",F312-'02_Eingaben'!$C$10)</f>
        <v/>
      </c>
      <c r="H312">
        <f>IF(F312="","",IF(F312&lt;'02_Eingaben'!$C$18*'02_Eingaben'!$C$10,1,0))</f>
        <v/>
      </c>
      <c r="I312" s="27">
        <f>IF(OR(G312="",G313=""),"",(G312+G313)/2*(B313-B312))</f>
        <v/>
      </c>
      <c r="J312" s="27">
        <f>IF(B312="","",IF(B311&lt;'02_Eingaben'!$C$36,0,J311+I311/'02_Eingaben'!$C$8))</f>
        <v/>
      </c>
    </row>
    <row r="313">
      <c r="A313">
        <f>IF('01_Rohdaten'!A313="","",ROW()-1)</f>
        <v/>
      </c>
      <c r="B313" s="27">
        <f>IF('01_Rohdaten'!A313="","",'01_Rohdaten'!A313)</f>
        <v/>
      </c>
      <c r="C313" s="27">
        <f>IF(B313="","",INDEX('01_Rohdaten'!B313:D313,'02_Eingaben'!$C$13))</f>
        <v/>
      </c>
      <c r="D313" s="27">
        <f>IF(C313="","",C313*'02_Eingaben'!$C$15)</f>
        <v/>
      </c>
      <c r="E313" s="27">
        <f>IF(D313="","",D313*'02_Eingaben'!$C$8)</f>
        <v/>
      </c>
      <c r="F313" s="27">
        <f>IF(E313="","",AVERAGE(INDEX($E$2:$E$3001,MAX(1,ROW()-1-'02_Eingaben'!$C$17)):INDEX($E$2:$E$3001,MIN('02_Eingaben'!$C$21,ROW()-1+'02_Eingaben'!$C$17))))</f>
        <v/>
      </c>
      <c r="G313" s="27">
        <f>IF(F313="","",F313-'02_Eingaben'!$C$10)</f>
        <v/>
      </c>
      <c r="H313">
        <f>IF(F313="","",IF(F313&lt;'02_Eingaben'!$C$18*'02_Eingaben'!$C$10,1,0))</f>
        <v/>
      </c>
      <c r="I313" s="27">
        <f>IF(OR(G313="",G314=""),"",(G313+G314)/2*(B314-B313))</f>
        <v/>
      </c>
      <c r="J313" s="27">
        <f>IF(B313="","",IF(B312&lt;'02_Eingaben'!$C$36,0,J312+I312/'02_Eingaben'!$C$8))</f>
        <v/>
      </c>
    </row>
    <row r="314">
      <c r="A314">
        <f>IF('01_Rohdaten'!A314="","",ROW()-1)</f>
        <v/>
      </c>
      <c r="B314" s="27">
        <f>IF('01_Rohdaten'!A314="","",'01_Rohdaten'!A314)</f>
        <v/>
      </c>
      <c r="C314" s="27">
        <f>IF(B314="","",INDEX('01_Rohdaten'!B314:D314,'02_Eingaben'!$C$13))</f>
        <v/>
      </c>
      <c r="D314" s="27">
        <f>IF(C314="","",C314*'02_Eingaben'!$C$15)</f>
        <v/>
      </c>
      <c r="E314" s="27">
        <f>IF(D314="","",D314*'02_Eingaben'!$C$8)</f>
        <v/>
      </c>
      <c r="F314" s="27">
        <f>IF(E314="","",AVERAGE(INDEX($E$2:$E$3001,MAX(1,ROW()-1-'02_Eingaben'!$C$17)):INDEX($E$2:$E$3001,MIN('02_Eingaben'!$C$21,ROW()-1+'02_Eingaben'!$C$17))))</f>
        <v/>
      </c>
      <c r="G314" s="27">
        <f>IF(F314="","",F314-'02_Eingaben'!$C$10)</f>
        <v/>
      </c>
      <c r="H314">
        <f>IF(F314="","",IF(F314&lt;'02_Eingaben'!$C$18*'02_Eingaben'!$C$10,1,0))</f>
        <v/>
      </c>
      <c r="I314" s="27">
        <f>IF(OR(G314="",G315=""),"",(G314+G315)/2*(B315-B314))</f>
        <v/>
      </c>
      <c r="J314" s="27">
        <f>IF(B314="","",IF(B313&lt;'02_Eingaben'!$C$36,0,J313+I313/'02_Eingaben'!$C$8))</f>
        <v/>
      </c>
    </row>
    <row r="315">
      <c r="A315">
        <f>IF('01_Rohdaten'!A315="","",ROW()-1)</f>
        <v/>
      </c>
      <c r="B315" s="27">
        <f>IF('01_Rohdaten'!A315="","",'01_Rohdaten'!A315)</f>
        <v/>
      </c>
      <c r="C315" s="27">
        <f>IF(B315="","",INDEX('01_Rohdaten'!B315:D315,'02_Eingaben'!$C$13))</f>
        <v/>
      </c>
      <c r="D315" s="27">
        <f>IF(C315="","",C315*'02_Eingaben'!$C$15)</f>
        <v/>
      </c>
      <c r="E315" s="27">
        <f>IF(D315="","",D315*'02_Eingaben'!$C$8)</f>
        <v/>
      </c>
      <c r="F315" s="27">
        <f>IF(E315="","",AVERAGE(INDEX($E$2:$E$3001,MAX(1,ROW()-1-'02_Eingaben'!$C$17)):INDEX($E$2:$E$3001,MIN('02_Eingaben'!$C$21,ROW()-1+'02_Eingaben'!$C$17))))</f>
        <v/>
      </c>
      <c r="G315" s="27">
        <f>IF(F315="","",F315-'02_Eingaben'!$C$10)</f>
        <v/>
      </c>
      <c r="H315">
        <f>IF(F315="","",IF(F315&lt;'02_Eingaben'!$C$18*'02_Eingaben'!$C$10,1,0))</f>
        <v/>
      </c>
      <c r="I315" s="27">
        <f>IF(OR(G315="",G316=""),"",(G315+G316)/2*(B316-B315))</f>
        <v/>
      </c>
      <c r="J315" s="27">
        <f>IF(B315="","",IF(B314&lt;'02_Eingaben'!$C$36,0,J314+I314/'02_Eingaben'!$C$8))</f>
        <v/>
      </c>
    </row>
    <row r="316">
      <c r="A316">
        <f>IF('01_Rohdaten'!A316="","",ROW()-1)</f>
        <v/>
      </c>
      <c r="B316" s="27">
        <f>IF('01_Rohdaten'!A316="","",'01_Rohdaten'!A316)</f>
        <v/>
      </c>
      <c r="C316" s="27">
        <f>IF(B316="","",INDEX('01_Rohdaten'!B316:D316,'02_Eingaben'!$C$13))</f>
        <v/>
      </c>
      <c r="D316" s="27">
        <f>IF(C316="","",C316*'02_Eingaben'!$C$15)</f>
        <v/>
      </c>
      <c r="E316" s="27">
        <f>IF(D316="","",D316*'02_Eingaben'!$C$8)</f>
        <v/>
      </c>
      <c r="F316" s="27">
        <f>IF(E316="","",AVERAGE(INDEX($E$2:$E$3001,MAX(1,ROW()-1-'02_Eingaben'!$C$17)):INDEX($E$2:$E$3001,MIN('02_Eingaben'!$C$21,ROW()-1+'02_Eingaben'!$C$17))))</f>
        <v/>
      </c>
      <c r="G316" s="27">
        <f>IF(F316="","",F316-'02_Eingaben'!$C$10)</f>
        <v/>
      </c>
      <c r="H316">
        <f>IF(F316="","",IF(F316&lt;'02_Eingaben'!$C$18*'02_Eingaben'!$C$10,1,0))</f>
        <v/>
      </c>
      <c r="I316" s="27">
        <f>IF(OR(G316="",G317=""),"",(G316+G317)/2*(B317-B316))</f>
        <v/>
      </c>
      <c r="J316" s="27">
        <f>IF(B316="","",IF(B315&lt;'02_Eingaben'!$C$36,0,J315+I315/'02_Eingaben'!$C$8))</f>
        <v/>
      </c>
    </row>
    <row r="317">
      <c r="A317">
        <f>IF('01_Rohdaten'!A317="","",ROW()-1)</f>
        <v/>
      </c>
      <c r="B317" s="27">
        <f>IF('01_Rohdaten'!A317="","",'01_Rohdaten'!A317)</f>
        <v/>
      </c>
      <c r="C317" s="27">
        <f>IF(B317="","",INDEX('01_Rohdaten'!B317:D317,'02_Eingaben'!$C$13))</f>
        <v/>
      </c>
      <c r="D317" s="27">
        <f>IF(C317="","",C317*'02_Eingaben'!$C$15)</f>
        <v/>
      </c>
      <c r="E317" s="27">
        <f>IF(D317="","",D317*'02_Eingaben'!$C$8)</f>
        <v/>
      </c>
      <c r="F317" s="27">
        <f>IF(E317="","",AVERAGE(INDEX($E$2:$E$3001,MAX(1,ROW()-1-'02_Eingaben'!$C$17)):INDEX($E$2:$E$3001,MIN('02_Eingaben'!$C$21,ROW()-1+'02_Eingaben'!$C$17))))</f>
        <v/>
      </c>
      <c r="G317" s="27">
        <f>IF(F317="","",F317-'02_Eingaben'!$C$10)</f>
        <v/>
      </c>
      <c r="H317">
        <f>IF(F317="","",IF(F317&lt;'02_Eingaben'!$C$18*'02_Eingaben'!$C$10,1,0))</f>
        <v/>
      </c>
      <c r="I317" s="27">
        <f>IF(OR(G317="",G318=""),"",(G317+G318)/2*(B318-B317))</f>
        <v/>
      </c>
      <c r="J317" s="27">
        <f>IF(B317="","",IF(B316&lt;'02_Eingaben'!$C$36,0,J316+I316/'02_Eingaben'!$C$8))</f>
        <v/>
      </c>
    </row>
    <row r="318">
      <c r="A318">
        <f>IF('01_Rohdaten'!A318="","",ROW()-1)</f>
        <v/>
      </c>
      <c r="B318" s="27">
        <f>IF('01_Rohdaten'!A318="","",'01_Rohdaten'!A318)</f>
        <v/>
      </c>
      <c r="C318" s="27">
        <f>IF(B318="","",INDEX('01_Rohdaten'!B318:D318,'02_Eingaben'!$C$13))</f>
        <v/>
      </c>
      <c r="D318" s="27">
        <f>IF(C318="","",C318*'02_Eingaben'!$C$15)</f>
        <v/>
      </c>
      <c r="E318" s="27">
        <f>IF(D318="","",D318*'02_Eingaben'!$C$8)</f>
        <v/>
      </c>
      <c r="F318" s="27">
        <f>IF(E318="","",AVERAGE(INDEX($E$2:$E$3001,MAX(1,ROW()-1-'02_Eingaben'!$C$17)):INDEX($E$2:$E$3001,MIN('02_Eingaben'!$C$21,ROW()-1+'02_Eingaben'!$C$17))))</f>
        <v/>
      </c>
      <c r="G318" s="27">
        <f>IF(F318="","",F318-'02_Eingaben'!$C$10)</f>
        <v/>
      </c>
      <c r="H318">
        <f>IF(F318="","",IF(F318&lt;'02_Eingaben'!$C$18*'02_Eingaben'!$C$10,1,0))</f>
        <v/>
      </c>
      <c r="I318" s="27">
        <f>IF(OR(G318="",G319=""),"",(G318+G319)/2*(B319-B318))</f>
        <v/>
      </c>
      <c r="J318" s="27">
        <f>IF(B318="","",IF(B317&lt;'02_Eingaben'!$C$36,0,J317+I317/'02_Eingaben'!$C$8))</f>
        <v/>
      </c>
    </row>
    <row r="319">
      <c r="A319">
        <f>IF('01_Rohdaten'!A319="","",ROW()-1)</f>
        <v/>
      </c>
      <c r="B319" s="27">
        <f>IF('01_Rohdaten'!A319="","",'01_Rohdaten'!A319)</f>
        <v/>
      </c>
      <c r="C319" s="27">
        <f>IF(B319="","",INDEX('01_Rohdaten'!B319:D319,'02_Eingaben'!$C$13))</f>
        <v/>
      </c>
      <c r="D319" s="27">
        <f>IF(C319="","",C319*'02_Eingaben'!$C$15)</f>
        <v/>
      </c>
      <c r="E319" s="27">
        <f>IF(D319="","",D319*'02_Eingaben'!$C$8)</f>
        <v/>
      </c>
      <c r="F319" s="27">
        <f>IF(E319="","",AVERAGE(INDEX($E$2:$E$3001,MAX(1,ROW()-1-'02_Eingaben'!$C$17)):INDEX($E$2:$E$3001,MIN('02_Eingaben'!$C$21,ROW()-1+'02_Eingaben'!$C$17))))</f>
        <v/>
      </c>
      <c r="G319" s="27">
        <f>IF(F319="","",F319-'02_Eingaben'!$C$10)</f>
        <v/>
      </c>
      <c r="H319">
        <f>IF(F319="","",IF(F319&lt;'02_Eingaben'!$C$18*'02_Eingaben'!$C$10,1,0))</f>
        <v/>
      </c>
      <c r="I319" s="27">
        <f>IF(OR(G319="",G320=""),"",(G319+G320)/2*(B320-B319))</f>
        <v/>
      </c>
      <c r="J319" s="27">
        <f>IF(B319="","",IF(B318&lt;'02_Eingaben'!$C$36,0,J318+I318/'02_Eingaben'!$C$8))</f>
        <v/>
      </c>
    </row>
    <row r="320">
      <c r="A320">
        <f>IF('01_Rohdaten'!A320="","",ROW()-1)</f>
        <v/>
      </c>
      <c r="B320" s="27">
        <f>IF('01_Rohdaten'!A320="","",'01_Rohdaten'!A320)</f>
        <v/>
      </c>
      <c r="C320" s="27">
        <f>IF(B320="","",INDEX('01_Rohdaten'!B320:D320,'02_Eingaben'!$C$13))</f>
        <v/>
      </c>
      <c r="D320" s="27">
        <f>IF(C320="","",C320*'02_Eingaben'!$C$15)</f>
        <v/>
      </c>
      <c r="E320" s="27">
        <f>IF(D320="","",D320*'02_Eingaben'!$C$8)</f>
        <v/>
      </c>
      <c r="F320" s="27">
        <f>IF(E320="","",AVERAGE(INDEX($E$2:$E$3001,MAX(1,ROW()-1-'02_Eingaben'!$C$17)):INDEX($E$2:$E$3001,MIN('02_Eingaben'!$C$21,ROW()-1+'02_Eingaben'!$C$17))))</f>
        <v/>
      </c>
      <c r="G320" s="27">
        <f>IF(F320="","",F320-'02_Eingaben'!$C$10)</f>
        <v/>
      </c>
      <c r="H320">
        <f>IF(F320="","",IF(F320&lt;'02_Eingaben'!$C$18*'02_Eingaben'!$C$10,1,0))</f>
        <v/>
      </c>
      <c r="I320" s="27">
        <f>IF(OR(G320="",G321=""),"",(G320+G321)/2*(B321-B320))</f>
        <v/>
      </c>
      <c r="J320" s="27">
        <f>IF(B320="","",IF(B319&lt;'02_Eingaben'!$C$36,0,J319+I319/'02_Eingaben'!$C$8))</f>
        <v/>
      </c>
    </row>
    <row r="321">
      <c r="A321">
        <f>IF('01_Rohdaten'!A321="","",ROW()-1)</f>
        <v/>
      </c>
      <c r="B321" s="27">
        <f>IF('01_Rohdaten'!A321="","",'01_Rohdaten'!A321)</f>
        <v/>
      </c>
      <c r="C321" s="27">
        <f>IF(B321="","",INDEX('01_Rohdaten'!B321:D321,'02_Eingaben'!$C$13))</f>
        <v/>
      </c>
      <c r="D321" s="27">
        <f>IF(C321="","",C321*'02_Eingaben'!$C$15)</f>
        <v/>
      </c>
      <c r="E321" s="27">
        <f>IF(D321="","",D321*'02_Eingaben'!$C$8)</f>
        <v/>
      </c>
      <c r="F321" s="27">
        <f>IF(E321="","",AVERAGE(INDEX($E$2:$E$3001,MAX(1,ROW()-1-'02_Eingaben'!$C$17)):INDEX($E$2:$E$3001,MIN('02_Eingaben'!$C$21,ROW()-1+'02_Eingaben'!$C$17))))</f>
        <v/>
      </c>
      <c r="G321" s="27">
        <f>IF(F321="","",F321-'02_Eingaben'!$C$10)</f>
        <v/>
      </c>
      <c r="H321">
        <f>IF(F321="","",IF(F321&lt;'02_Eingaben'!$C$18*'02_Eingaben'!$C$10,1,0))</f>
        <v/>
      </c>
      <c r="I321" s="27">
        <f>IF(OR(G321="",G322=""),"",(G321+G322)/2*(B322-B321))</f>
        <v/>
      </c>
      <c r="J321" s="27">
        <f>IF(B321="","",IF(B320&lt;'02_Eingaben'!$C$36,0,J320+I320/'02_Eingaben'!$C$8))</f>
        <v/>
      </c>
    </row>
    <row r="322">
      <c r="A322">
        <f>IF('01_Rohdaten'!A322="","",ROW()-1)</f>
        <v/>
      </c>
      <c r="B322" s="27">
        <f>IF('01_Rohdaten'!A322="","",'01_Rohdaten'!A322)</f>
        <v/>
      </c>
      <c r="C322" s="27">
        <f>IF(B322="","",INDEX('01_Rohdaten'!B322:D322,'02_Eingaben'!$C$13))</f>
        <v/>
      </c>
      <c r="D322" s="27">
        <f>IF(C322="","",C322*'02_Eingaben'!$C$15)</f>
        <v/>
      </c>
      <c r="E322" s="27">
        <f>IF(D322="","",D322*'02_Eingaben'!$C$8)</f>
        <v/>
      </c>
      <c r="F322" s="27">
        <f>IF(E322="","",AVERAGE(INDEX($E$2:$E$3001,MAX(1,ROW()-1-'02_Eingaben'!$C$17)):INDEX($E$2:$E$3001,MIN('02_Eingaben'!$C$21,ROW()-1+'02_Eingaben'!$C$17))))</f>
        <v/>
      </c>
      <c r="G322" s="27">
        <f>IF(F322="","",F322-'02_Eingaben'!$C$10)</f>
        <v/>
      </c>
      <c r="H322">
        <f>IF(F322="","",IF(F322&lt;'02_Eingaben'!$C$18*'02_Eingaben'!$C$10,1,0))</f>
        <v/>
      </c>
      <c r="I322" s="27">
        <f>IF(OR(G322="",G323=""),"",(G322+G323)/2*(B323-B322))</f>
        <v/>
      </c>
      <c r="J322" s="27">
        <f>IF(B322="","",IF(B321&lt;'02_Eingaben'!$C$36,0,J321+I321/'02_Eingaben'!$C$8))</f>
        <v/>
      </c>
    </row>
    <row r="323">
      <c r="A323">
        <f>IF('01_Rohdaten'!A323="","",ROW()-1)</f>
        <v/>
      </c>
      <c r="B323" s="27">
        <f>IF('01_Rohdaten'!A323="","",'01_Rohdaten'!A323)</f>
        <v/>
      </c>
      <c r="C323" s="27">
        <f>IF(B323="","",INDEX('01_Rohdaten'!B323:D323,'02_Eingaben'!$C$13))</f>
        <v/>
      </c>
      <c r="D323" s="27">
        <f>IF(C323="","",C323*'02_Eingaben'!$C$15)</f>
        <v/>
      </c>
      <c r="E323" s="27">
        <f>IF(D323="","",D323*'02_Eingaben'!$C$8)</f>
        <v/>
      </c>
      <c r="F323" s="27">
        <f>IF(E323="","",AVERAGE(INDEX($E$2:$E$3001,MAX(1,ROW()-1-'02_Eingaben'!$C$17)):INDEX($E$2:$E$3001,MIN('02_Eingaben'!$C$21,ROW()-1+'02_Eingaben'!$C$17))))</f>
        <v/>
      </c>
      <c r="G323" s="27">
        <f>IF(F323="","",F323-'02_Eingaben'!$C$10)</f>
        <v/>
      </c>
      <c r="H323">
        <f>IF(F323="","",IF(F323&lt;'02_Eingaben'!$C$18*'02_Eingaben'!$C$10,1,0))</f>
        <v/>
      </c>
      <c r="I323" s="27">
        <f>IF(OR(G323="",G324=""),"",(G323+G324)/2*(B324-B323))</f>
        <v/>
      </c>
      <c r="J323" s="27">
        <f>IF(B323="","",IF(B322&lt;'02_Eingaben'!$C$36,0,J322+I322/'02_Eingaben'!$C$8))</f>
        <v/>
      </c>
    </row>
    <row r="324">
      <c r="A324">
        <f>IF('01_Rohdaten'!A324="","",ROW()-1)</f>
        <v/>
      </c>
      <c r="B324" s="27">
        <f>IF('01_Rohdaten'!A324="","",'01_Rohdaten'!A324)</f>
        <v/>
      </c>
      <c r="C324" s="27">
        <f>IF(B324="","",INDEX('01_Rohdaten'!B324:D324,'02_Eingaben'!$C$13))</f>
        <v/>
      </c>
      <c r="D324" s="27">
        <f>IF(C324="","",C324*'02_Eingaben'!$C$15)</f>
        <v/>
      </c>
      <c r="E324" s="27">
        <f>IF(D324="","",D324*'02_Eingaben'!$C$8)</f>
        <v/>
      </c>
      <c r="F324" s="27">
        <f>IF(E324="","",AVERAGE(INDEX($E$2:$E$3001,MAX(1,ROW()-1-'02_Eingaben'!$C$17)):INDEX($E$2:$E$3001,MIN('02_Eingaben'!$C$21,ROW()-1+'02_Eingaben'!$C$17))))</f>
        <v/>
      </c>
      <c r="G324" s="27">
        <f>IF(F324="","",F324-'02_Eingaben'!$C$10)</f>
        <v/>
      </c>
      <c r="H324">
        <f>IF(F324="","",IF(F324&lt;'02_Eingaben'!$C$18*'02_Eingaben'!$C$10,1,0))</f>
        <v/>
      </c>
      <c r="I324" s="27">
        <f>IF(OR(G324="",G325=""),"",(G324+G325)/2*(B325-B324))</f>
        <v/>
      </c>
      <c r="J324" s="27">
        <f>IF(B324="","",IF(B323&lt;'02_Eingaben'!$C$36,0,J323+I323/'02_Eingaben'!$C$8))</f>
        <v/>
      </c>
    </row>
    <row r="325">
      <c r="A325">
        <f>IF('01_Rohdaten'!A325="","",ROW()-1)</f>
        <v/>
      </c>
      <c r="B325" s="27">
        <f>IF('01_Rohdaten'!A325="","",'01_Rohdaten'!A325)</f>
        <v/>
      </c>
      <c r="C325" s="27">
        <f>IF(B325="","",INDEX('01_Rohdaten'!B325:D325,'02_Eingaben'!$C$13))</f>
        <v/>
      </c>
      <c r="D325" s="27">
        <f>IF(C325="","",C325*'02_Eingaben'!$C$15)</f>
        <v/>
      </c>
      <c r="E325" s="27">
        <f>IF(D325="","",D325*'02_Eingaben'!$C$8)</f>
        <v/>
      </c>
      <c r="F325" s="27">
        <f>IF(E325="","",AVERAGE(INDEX($E$2:$E$3001,MAX(1,ROW()-1-'02_Eingaben'!$C$17)):INDEX($E$2:$E$3001,MIN('02_Eingaben'!$C$21,ROW()-1+'02_Eingaben'!$C$17))))</f>
        <v/>
      </c>
      <c r="G325" s="27">
        <f>IF(F325="","",F325-'02_Eingaben'!$C$10)</f>
        <v/>
      </c>
      <c r="H325">
        <f>IF(F325="","",IF(F325&lt;'02_Eingaben'!$C$18*'02_Eingaben'!$C$10,1,0))</f>
        <v/>
      </c>
      <c r="I325" s="27">
        <f>IF(OR(G325="",G326=""),"",(G325+G326)/2*(B326-B325))</f>
        <v/>
      </c>
      <c r="J325" s="27">
        <f>IF(B325="","",IF(B324&lt;'02_Eingaben'!$C$36,0,J324+I324/'02_Eingaben'!$C$8))</f>
        <v/>
      </c>
    </row>
    <row r="326">
      <c r="A326">
        <f>IF('01_Rohdaten'!A326="","",ROW()-1)</f>
        <v/>
      </c>
      <c r="B326" s="27">
        <f>IF('01_Rohdaten'!A326="","",'01_Rohdaten'!A326)</f>
        <v/>
      </c>
      <c r="C326" s="27">
        <f>IF(B326="","",INDEX('01_Rohdaten'!B326:D326,'02_Eingaben'!$C$13))</f>
        <v/>
      </c>
      <c r="D326" s="27">
        <f>IF(C326="","",C326*'02_Eingaben'!$C$15)</f>
        <v/>
      </c>
      <c r="E326" s="27">
        <f>IF(D326="","",D326*'02_Eingaben'!$C$8)</f>
        <v/>
      </c>
      <c r="F326" s="27">
        <f>IF(E326="","",AVERAGE(INDEX($E$2:$E$3001,MAX(1,ROW()-1-'02_Eingaben'!$C$17)):INDEX($E$2:$E$3001,MIN('02_Eingaben'!$C$21,ROW()-1+'02_Eingaben'!$C$17))))</f>
        <v/>
      </c>
      <c r="G326" s="27">
        <f>IF(F326="","",F326-'02_Eingaben'!$C$10)</f>
        <v/>
      </c>
      <c r="H326">
        <f>IF(F326="","",IF(F326&lt;'02_Eingaben'!$C$18*'02_Eingaben'!$C$10,1,0))</f>
        <v/>
      </c>
      <c r="I326" s="27">
        <f>IF(OR(G326="",G327=""),"",(G326+G327)/2*(B327-B326))</f>
        <v/>
      </c>
      <c r="J326" s="27">
        <f>IF(B326="","",IF(B325&lt;'02_Eingaben'!$C$36,0,J325+I325/'02_Eingaben'!$C$8))</f>
        <v/>
      </c>
    </row>
    <row r="327">
      <c r="A327">
        <f>IF('01_Rohdaten'!A327="","",ROW()-1)</f>
        <v/>
      </c>
      <c r="B327" s="27">
        <f>IF('01_Rohdaten'!A327="","",'01_Rohdaten'!A327)</f>
        <v/>
      </c>
      <c r="C327" s="27">
        <f>IF(B327="","",INDEX('01_Rohdaten'!B327:D327,'02_Eingaben'!$C$13))</f>
        <v/>
      </c>
      <c r="D327" s="27">
        <f>IF(C327="","",C327*'02_Eingaben'!$C$15)</f>
        <v/>
      </c>
      <c r="E327" s="27">
        <f>IF(D327="","",D327*'02_Eingaben'!$C$8)</f>
        <v/>
      </c>
      <c r="F327" s="27">
        <f>IF(E327="","",AVERAGE(INDEX($E$2:$E$3001,MAX(1,ROW()-1-'02_Eingaben'!$C$17)):INDEX($E$2:$E$3001,MIN('02_Eingaben'!$C$21,ROW()-1+'02_Eingaben'!$C$17))))</f>
        <v/>
      </c>
      <c r="G327" s="27">
        <f>IF(F327="","",F327-'02_Eingaben'!$C$10)</f>
        <v/>
      </c>
      <c r="H327">
        <f>IF(F327="","",IF(F327&lt;'02_Eingaben'!$C$18*'02_Eingaben'!$C$10,1,0))</f>
        <v/>
      </c>
      <c r="I327" s="27">
        <f>IF(OR(G327="",G328=""),"",(G327+G328)/2*(B328-B327))</f>
        <v/>
      </c>
      <c r="J327" s="27">
        <f>IF(B327="","",IF(B326&lt;'02_Eingaben'!$C$36,0,J326+I326/'02_Eingaben'!$C$8))</f>
        <v/>
      </c>
    </row>
    <row r="328">
      <c r="A328">
        <f>IF('01_Rohdaten'!A328="","",ROW()-1)</f>
        <v/>
      </c>
      <c r="B328" s="27">
        <f>IF('01_Rohdaten'!A328="","",'01_Rohdaten'!A328)</f>
        <v/>
      </c>
      <c r="C328" s="27">
        <f>IF(B328="","",INDEX('01_Rohdaten'!B328:D328,'02_Eingaben'!$C$13))</f>
        <v/>
      </c>
      <c r="D328" s="27">
        <f>IF(C328="","",C328*'02_Eingaben'!$C$15)</f>
        <v/>
      </c>
      <c r="E328" s="27">
        <f>IF(D328="","",D328*'02_Eingaben'!$C$8)</f>
        <v/>
      </c>
      <c r="F328" s="27">
        <f>IF(E328="","",AVERAGE(INDEX($E$2:$E$3001,MAX(1,ROW()-1-'02_Eingaben'!$C$17)):INDEX($E$2:$E$3001,MIN('02_Eingaben'!$C$21,ROW()-1+'02_Eingaben'!$C$17))))</f>
        <v/>
      </c>
      <c r="G328" s="27">
        <f>IF(F328="","",F328-'02_Eingaben'!$C$10)</f>
        <v/>
      </c>
      <c r="H328">
        <f>IF(F328="","",IF(F328&lt;'02_Eingaben'!$C$18*'02_Eingaben'!$C$10,1,0))</f>
        <v/>
      </c>
      <c r="I328" s="27">
        <f>IF(OR(G328="",G329=""),"",(G328+G329)/2*(B329-B328))</f>
        <v/>
      </c>
      <c r="J328" s="27">
        <f>IF(B328="","",IF(B327&lt;'02_Eingaben'!$C$36,0,J327+I327/'02_Eingaben'!$C$8))</f>
        <v/>
      </c>
    </row>
    <row r="329">
      <c r="A329">
        <f>IF('01_Rohdaten'!A329="","",ROW()-1)</f>
        <v/>
      </c>
      <c r="B329" s="27">
        <f>IF('01_Rohdaten'!A329="","",'01_Rohdaten'!A329)</f>
        <v/>
      </c>
      <c r="C329" s="27">
        <f>IF(B329="","",INDEX('01_Rohdaten'!B329:D329,'02_Eingaben'!$C$13))</f>
        <v/>
      </c>
      <c r="D329" s="27">
        <f>IF(C329="","",C329*'02_Eingaben'!$C$15)</f>
        <v/>
      </c>
      <c r="E329" s="27">
        <f>IF(D329="","",D329*'02_Eingaben'!$C$8)</f>
        <v/>
      </c>
      <c r="F329" s="27">
        <f>IF(E329="","",AVERAGE(INDEX($E$2:$E$3001,MAX(1,ROW()-1-'02_Eingaben'!$C$17)):INDEX($E$2:$E$3001,MIN('02_Eingaben'!$C$21,ROW()-1+'02_Eingaben'!$C$17))))</f>
        <v/>
      </c>
      <c r="G329" s="27">
        <f>IF(F329="","",F329-'02_Eingaben'!$C$10)</f>
        <v/>
      </c>
      <c r="H329">
        <f>IF(F329="","",IF(F329&lt;'02_Eingaben'!$C$18*'02_Eingaben'!$C$10,1,0))</f>
        <v/>
      </c>
      <c r="I329" s="27">
        <f>IF(OR(G329="",G330=""),"",(G329+G330)/2*(B330-B329))</f>
        <v/>
      </c>
      <c r="J329" s="27">
        <f>IF(B329="","",IF(B328&lt;'02_Eingaben'!$C$36,0,J328+I328/'02_Eingaben'!$C$8))</f>
        <v/>
      </c>
    </row>
    <row r="330">
      <c r="A330">
        <f>IF('01_Rohdaten'!A330="","",ROW()-1)</f>
        <v/>
      </c>
      <c r="B330" s="27">
        <f>IF('01_Rohdaten'!A330="","",'01_Rohdaten'!A330)</f>
        <v/>
      </c>
      <c r="C330" s="27">
        <f>IF(B330="","",INDEX('01_Rohdaten'!B330:D330,'02_Eingaben'!$C$13))</f>
        <v/>
      </c>
      <c r="D330" s="27">
        <f>IF(C330="","",C330*'02_Eingaben'!$C$15)</f>
        <v/>
      </c>
      <c r="E330" s="27">
        <f>IF(D330="","",D330*'02_Eingaben'!$C$8)</f>
        <v/>
      </c>
      <c r="F330" s="27">
        <f>IF(E330="","",AVERAGE(INDEX($E$2:$E$3001,MAX(1,ROW()-1-'02_Eingaben'!$C$17)):INDEX($E$2:$E$3001,MIN('02_Eingaben'!$C$21,ROW()-1+'02_Eingaben'!$C$17))))</f>
        <v/>
      </c>
      <c r="G330" s="27">
        <f>IF(F330="","",F330-'02_Eingaben'!$C$10)</f>
        <v/>
      </c>
      <c r="H330">
        <f>IF(F330="","",IF(F330&lt;'02_Eingaben'!$C$18*'02_Eingaben'!$C$10,1,0))</f>
        <v/>
      </c>
      <c r="I330" s="27">
        <f>IF(OR(G330="",G331=""),"",(G330+G331)/2*(B331-B330))</f>
        <v/>
      </c>
      <c r="J330" s="27">
        <f>IF(B330="","",IF(B329&lt;'02_Eingaben'!$C$36,0,J329+I329/'02_Eingaben'!$C$8))</f>
        <v/>
      </c>
    </row>
    <row r="331">
      <c r="A331">
        <f>IF('01_Rohdaten'!A331="","",ROW()-1)</f>
        <v/>
      </c>
      <c r="B331" s="27">
        <f>IF('01_Rohdaten'!A331="","",'01_Rohdaten'!A331)</f>
        <v/>
      </c>
      <c r="C331" s="27">
        <f>IF(B331="","",INDEX('01_Rohdaten'!B331:D331,'02_Eingaben'!$C$13))</f>
        <v/>
      </c>
      <c r="D331" s="27">
        <f>IF(C331="","",C331*'02_Eingaben'!$C$15)</f>
        <v/>
      </c>
      <c r="E331" s="27">
        <f>IF(D331="","",D331*'02_Eingaben'!$C$8)</f>
        <v/>
      </c>
      <c r="F331" s="27">
        <f>IF(E331="","",AVERAGE(INDEX($E$2:$E$3001,MAX(1,ROW()-1-'02_Eingaben'!$C$17)):INDEX($E$2:$E$3001,MIN('02_Eingaben'!$C$21,ROW()-1+'02_Eingaben'!$C$17))))</f>
        <v/>
      </c>
      <c r="G331" s="27">
        <f>IF(F331="","",F331-'02_Eingaben'!$C$10)</f>
        <v/>
      </c>
      <c r="H331">
        <f>IF(F331="","",IF(F331&lt;'02_Eingaben'!$C$18*'02_Eingaben'!$C$10,1,0))</f>
        <v/>
      </c>
      <c r="I331" s="27">
        <f>IF(OR(G331="",G332=""),"",(G331+G332)/2*(B332-B331))</f>
        <v/>
      </c>
      <c r="J331" s="27">
        <f>IF(B331="","",IF(B330&lt;'02_Eingaben'!$C$36,0,J330+I330/'02_Eingaben'!$C$8))</f>
        <v/>
      </c>
    </row>
    <row r="332">
      <c r="A332">
        <f>IF('01_Rohdaten'!A332="","",ROW()-1)</f>
        <v/>
      </c>
      <c r="B332" s="27">
        <f>IF('01_Rohdaten'!A332="","",'01_Rohdaten'!A332)</f>
        <v/>
      </c>
      <c r="C332" s="27">
        <f>IF(B332="","",INDEX('01_Rohdaten'!B332:D332,'02_Eingaben'!$C$13))</f>
        <v/>
      </c>
      <c r="D332" s="27">
        <f>IF(C332="","",C332*'02_Eingaben'!$C$15)</f>
        <v/>
      </c>
      <c r="E332" s="27">
        <f>IF(D332="","",D332*'02_Eingaben'!$C$8)</f>
        <v/>
      </c>
      <c r="F332" s="27">
        <f>IF(E332="","",AVERAGE(INDEX($E$2:$E$3001,MAX(1,ROW()-1-'02_Eingaben'!$C$17)):INDEX($E$2:$E$3001,MIN('02_Eingaben'!$C$21,ROW()-1+'02_Eingaben'!$C$17))))</f>
        <v/>
      </c>
      <c r="G332" s="27">
        <f>IF(F332="","",F332-'02_Eingaben'!$C$10)</f>
        <v/>
      </c>
      <c r="H332">
        <f>IF(F332="","",IF(F332&lt;'02_Eingaben'!$C$18*'02_Eingaben'!$C$10,1,0))</f>
        <v/>
      </c>
      <c r="I332" s="27">
        <f>IF(OR(G332="",G333=""),"",(G332+G333)/2*(B333-B332))</f>
        <v/>
      </c>
      <c r="J332" s="27">
        <f>IF(B332="","",IF(B331&lt;'02_Eingaben'!$C$36,0,J331+I331/'02_Eingaben'!$C$8))</f>
        <v/>
      </c>
    </row>
    <row r="333">
      <c r="A333">
        <f>IF('01_Rohdaten'!A333="","",ROW()-1)</f>
        <v/>
      </c>
      <c r="B333" s="27">
        <f>IF('01_Rohdaten'!A333="","",'01_Rohdaten'!A333)</f>
        <v/>
      </c>
      <c r="C333" s="27">
        <f>IF(B333="","",INDEX('01_Rohdaten'!B333:D333,'02_Eingaben'!$C$13))</f>
        <v/>
      </c>
      <c r="D333" s="27">
        <f>IF(C333="","",C333*'02_Eingaben'!$C$15)</f>
        <v/>
      </c>
      <c r="E333" s="27">
        <f>IF(D333="","",D333*'02_Eingaben'!$C$8)</f>
        <v/>
      </c>
      <c r="F333" s="27">
        <f>IF(E333="","",AVERAGE(INDEX($E$2:$E$3001,MAX(1,ROW()-1-'02_Eingaben'!$C$17)):INDEX($E$2:$E$3001,MIN('02_Eingaben'!$C$21,ROW()-1+'02_Eingaben'!$C$17))))</f>
        <v/>
      </c>
      <c r="G333" s="27">
        <f>IF(F333="","",F333-'02_Eingaben'!$C$10)</f>
        <v/>
      </c>
      <c r="H333">
        <f>IF(F333="","",IF(F333&lt;'02_Eingaben'!$C$18*'02_Eingaben'!$C$10,1,0))</f>
        <v/>
      </c>
      <c r="I333" s="27">
        <f>IF(OR(G333="",G334=""),"",(G333+G334)/2*(B334-B333))</f>
        <v/>
      </c>
      <c r="J333" s="27">
        <f>IF(B333="","",IF(B332&lt;'02_Eingaben'!$C$36,0,J332+I332/'02_Eingaben'!$C$8))</f>
        <v/>
      </c>
    </row>
    <row r="334">
      <c r="A334">
        <f>IF('01_Rohdaten'!A334="","",ROW()-1)</f>
        <v/>
      </c>
      <c r="B334" s="27">
        <f>IF('01_Rohdaten'!A334="","",'01_Rohdaten'!A334)</f>
        <v/>
      </c>
      <c r="C334" s="27">
        <f>IF(B334="","",INDEX('01_Rohdaten'!B334:D334,'02_Eingaben'!$C$13))</f>
        <v/>
      </c>
      <c r="D334" s="27">
        <f>IF(C334="","",C334*'02_Eingaben'!$C$15)</f>
        <v/>
      </c>
      <c r="E334" s="27">
        <f>IF(D334="","",D334*'02_Eingaben'!$C$8)</f>
        <v/>
      </c>
      <c r="F334" s="27">
        <f>IF(E334="","",AVERAGE(INDEX($E$2:$E$3001,MAX(1,ROW()-1-'02_Eingaben'!$C$17)):INDEX($E$2:$E$3001,MIN('02_Eingaben'!$C$21,ROW()-1+'02_Eingaben'!$C$17))))</f>
        <v/>
      </c>
      <c r="G334" s="27">
        <f>IF(F334="","",F334-'02_Eingaben'!$C$10)</f>
        <v/>
      </c>
      <c r="H334">
        <f>IF(F334="","",IF(F334&lt;'02_Eingaben'!$C$18*'02_Eingaben'!$C$10,1,0))</f>
        <v/>
      </c>
      <c r="I334" s="27">
        <f>IF(OR(G334="",G335=""),"",(G334+G335)/2*(B335-B334))</f>
        <v/>
      </c>
      <c r="J334" s="27">
        <f>IF(B334="","",IF(B333&lt;'02_Eingaben'!$C$36,0,J333+I333/'02_Eingaben'!$C$8))</f>
        <v/>
      </c>
    </row>
    <row r="335">
      <c r="A335">
        <f>IF('01_Rohdaten'!A335="","",ROW()-1)</f>
        <v/>
      </c>
      <c r="B335" s="27">
        <f>IF('01_Rohdaten'!A335="","",'01_Rohdaten'!A335)</f>
        <v/>
      </c>
      <c r="C335" s="27">
        <f>IF(B335="","",INDEX('01_Rohdaten'!B335:D335,'02_Eingaben'!$C$13))</f>
        <v/>
      </c>
      <c r="D335" s="27">
        <f>IF(C335="","",C335*'02_Eingaben'!$C$15)</f>
        <v/>
      </c>
      <c r="E335" s="27">
        <f>IF(D335="","",D335*'02_Eingaben'!$C$8)</f>
        <v/>
      </c>
      <c r="F335" s="27">
        <f>IF(E335="","",AVERAGE(INDEX($E$2:$E$3001,MAX(1,ROW()-1-'02_Eingaben'!$C$17)):INDEX($E$2:$E$3001,MIN('02_Eingaben'!$C$21,ROW()-1+'02_Eingaben'!$C$17))))</f>
        <v/>
      </c>
      <c r="G335" s="27">
        <f>IF(F335="","",F335-'02_Eingaben'!$C$10)</f>
        <v/>
      </c>
      <c r="H335">
        <f>IF(F335="","",IF(F335&lt;'02_Eingaben'!$C$18*'02_Eingaben'!$C$10,1,0))</f>
        <v/>
      </c>
      <c r="I335" s="27">
        <f>IF(OR(G335="",G336=""),"",(G335+G336)/2*(B336-B335))</f>
        <v/>
      </c>
      <c r="J335" s="27">
        <f>IF(B335="","",IF(B334&lt;'02_Eingaben'!$C$36,0,J334+I334/'02_Eingaben'!$C$8))</f>
        <v/>
      </c>
    </row>
    <row r="336">
      <c r="A336">
        <f>IF('01_Rohdaten'!A336="","",ROW()-1)</f>
        <v/>
      </c>
      <c r="B336" s="27">
        <f>IF('01_Rohdaten'!A336="","",'01_Rohdaten'!A336)</f>
        <v/>
      </c>
      <c r="C336" s="27">
        <f>IF(B336="","",INDEX('01_Rohdaten'!B336:D336,'02_Eingaben'!$C$13))</f>
        <v/>
      </c>
      <c r="D336" s="27">
        <f>IF(C336="","",C336*'02_Eingaben'!$C$15)</f>
        <v/>
      </c>
      <c r="E336" s="27">
        <f>IF(D336="","",D336*'02_Eingaben'!$C$8)</f>
        <v/>
      </c>
      <c r="F336" s="27">
        <f>IF(E336="","",AVERAGE(INDEX($E$2:$E$3001,MAX(1,ROW()-1-'02_Eingaben'!$C$17)):INDEX($E$2:$E$3001,MIN('02_Eingaben'!$C$21,ROW()-1+'02_Eingaben'!$C$17))))</f>
        <v/>
      </c>
      <c r="G336" s="27">
        <f>IF(F336="","",F336-'02_Eingaben'!$C$10)</f>
        <v/>
      </c>
      <c r="H336">
        <f>IF(F336="","",IF(F336&lt;'02_Eingaben'!$C$18*'02_Eingaben'!$C$10,1,0))</f>
        <v/>
      </c>
      <c r="I336" s="27">
        <f>IF(OR(G336="",G337=""),"",(G336+G337)/2*(B337-B336))</f>
        <v/>
      </c>
      <c r="J336" s="27">
        <f>IF(B336="","",IF(B335&lt;'02_Eingaben'!$C$36,0,J335+I335/'02_Eingaben'!$C$8))</f>
        <v/>
      </c>
    </row>
    <row r="337">
      <c r="A337">
        <f>IF('01_Rohdaten'!A337="","",ROW()-1)</f>
        <v/>
      </c>
      <c r="B337" s="27">
        <f>IF('01_Rohdaten'!A337="","",'01_Rohdaten'!A337)</f>
        <v/>
      </c>
      <c r="C337" s="27">
        <f>IF(B337="","",INDEX('01_Rohdaten'!B337:D337,'02_Eingaben'!$C$13))</f>
        <v/>
      </c>
      <c r="D337" s="27">
        <f>IF(C337="","",C337*'02_Eingaben'!$C$15)</f>
        <v/>
      </c>
      <c r="E337" s="27">
        <f>IF(D337="","",D337*'02_Eingaben'!$C$8)</f>
        <v/>
      </c>
      <c r="F337" s="27">
        <f>IF(E337="","",AVERAGE(INDEX($E$2:$E$3001,MAX(1,ROW()-1-'02_Eingaben'!$C$17)):INDEX($E$2:$E$3001,MIN('02_Eingaben'!$C$21,ROW()-1+'02_Eingaben'!$C$17))))</f>
        <v/>
      </c>
      <c r="G337" s="27">
        <f>IF(F337="","",F337-'02_Eingaben'!$C$10)</f>
        <v/>
      </c>
      <c r="H337">
        <f>IF(F337="","",IF(F337&lt;'02_Eingaben'!$C$18*'02_Eingaben'!$C$10,1,0))</f>
        <v/>
      </c>
      <c r="I337" s="27">
        <f>IF(OR(G337="",G338=""),"",(G337+G338)/2*(B338-B337))</f>
        <v/>
      </c>
      <c r="J337" s="27">
        <f>IF(B337="","",IF(B336&lt;'02_Eingaben'!$C$36,0,J336+I336/'02_Eingaben'!$C$8))</f>
        <v/>
      </c>
    </row>
    <row r="338">
      <c r="A338">
        <f>IF('01_Rohdaten'!A338="","",ROW()-1)</f>
        <v/>
      </c>
      <c r="B338" s="27">
        <f>IF('01_Rohdaten'!A338="","",'01_Rohdaten'!A338)</f>
        <v/>
      </c>
      <c r="C338" s="27">
        <f>IF(B338="","",INDEX('01_Rohdaten'!B338:D338,'02_Eingaben'!$C$13))</f>
        <v/>
      </c>
      <c r="D338" s="27">
        <f>IF(C338="","",C338*'02_Eingaben'!$C$15)</f>
        <v/>
      </c>
      <c r="E338" s="27">
        <f>IF(D338="","",D338*'02_Eingaben'!$C$8)</f>
        <v/>
      </c>
      <c r="F338" s="27">
        <f>IF(E338="","",AVERAGE(INDEX($E$2:$E$3001,MAX(1,ROW()-1-'02_Eingaben'!$C$17)):INDEX($E$2:$E$3001,MIN('02_Eingaben'!$C$21,ROW()-1+'02_Eingaben'!$C$17))))</f>
        <v/>
      </c>
      <c r="G338" s="27">
        <f>IF(F338="","",F338-'02_Eingaben'!$C$10)</f>
        <v/>
      </c>
      <c r="H338">
        <f>IF(F338="","",IF(F338&lt;'02_Eingaben'!$C$18*'02_Eingaben'!$C$10,1,0))</f>
        <v/>
      </c>
      <c r="I338" s="27">
        <f>IF(OR(G338="",G339=""),"",(G338+G339)/2*(B339-B338))</f>
        <v/>
      </c>
      <c r="J338" s="27">
        <f>IF(B338="","",IF(B337&lt;'02_Eingaben'!$C$36,0,J337+I337/'02_Eingaben'!$C$8))</f>
        <v/>
      </c>
    </row>
    <row r="339">
      <c r="A339">
        <f>IF('01_Rohdaten'!A339="","",ROW()-1)</f>
        <v/>
      </c>
      <c r="B339" s="27">
        <f>IF('01_Rohdaten'!A339="","",'01_Rohdaten'!A339)</f>
        <v/>
      </c>
      <c r="C339" s="27">
        <f>IF(B339="","",INDEX('01_Rohdaten'!B339:D339,'02_Eingaben'!$C$13))</f>
        <v/>
      </c>
      <c r="D339" s="27">
        <f>IF(C339="","",C339*'02_Eingaben'!$C$15)</f>
        <v/>
      </c>
      <c r="E339" s="27">
        <f>IF(D339="","",D339*'02_Eingaben'!$C$8)</f>
        <v/>
      </c>
      <c r="F339" s="27">
        <f>IF(E339="","",AVERAGE(INDEX($E$2:$E$3001,MAX(1,ROW()-1-'02_Eingaben'!$C$17)):INDEX($E$2:$E$3001,MIN('02_Eingaben'!$C$21,ROW()-1+'02_Eingaben'!$C$17))))</f>
        <v/>
      </c>
      <c r="G339" s="27">
        <f>IF(F339="","",F339-'02_Eingaben'!$C$10)</f>
        <v/>
      </c>
      <c r="H339">
        <f>IF(F339="","",IF(F339&lt;'02_Eingaben'!$C$18*'02_Eingaben'!$C$10,1,0))</f>
        <v/>
      </c>
      <c r="I339" s="27">
        <f>IF(OR(G339="",G340=""),"",(G339+G340)/2*(B340-B339))</f>
        <v/>
      </c>
      <c r="J339" s="27">
        <f>IF(B339="","",IF(B338&lt;'02_Eingaben'!$C$36,0,J338+I338/'02_Eingaben'!$C$8))</f>
        <v/>
      </c>
    </row>
    <row r="340">
      <c r="A340">
        <f>IF('01_Rohdaten'!A340="","",ROW()-1)</f>
        <v/>
      </c>
      <c r="B340" s="27">
        <f>IF('01_Rohdaten'!A340="","",'01_Rohdaten'!A340)</f>
        <v/>
      </c>
      <c r="C340" s="27">
        <f>IF(B340="","",INDEX('01_Rohdaten'!B340:D340,'02_Eingaben'!$C$13))</f>
        <v/>
      </c>
      <c r="D340" s="27">
        <f>IF(C340="","",C340*'02_Eingaben'!$C$15)</f>
        <v/>
      </c>
      <c r="E340" s="27">
        <f>IF(D340="","",D340*'02_Eingaben'!$C$8)</f>
        <v/>
      </c>
      <c r="F340" s="27">
        <f>IF(E340="","",AVERAGE(INDEX($E$2:$E$3001,MAX(1,ROW()-1-'02_Eingaben'!$C$17)):INDEX($E$2:$E$3001,MIN('02_Eingaben'!$C$21,ROW()-1+'02_Eingaben'!$C$17))))</f>
        <v/>
      </c>
      <c r="G340" s="27">
        <f>IF(F340="","",F340-'02_Eingaben'!$C$10)</f>
        <v/>
      </c>
      <c r="H340">
        <f>IF(F340="","",IF(F340&lt;'02_Eingaben'!$C$18*'02_Eingaben'!$C$10,1,0))</f>
        <v/>
      </c>
      <c r="I340" s="27">
        <f>IF(OR(G340="",G341=""),"",(G340+G341)/2*(B341-B340))</f>
        <v/>
      </c>
      <c r="J340" s="27">
        <f>IF(B340="","",IF(B339&lt;'02_Eingaben'!$C$36,0,J339+I339/'02_Eingaben'!$C$8))</f>
        <v/>
      </c>
    </row>
    <row r="341">
      <c r="A341">
        <f>IF('01_Rohdaten'!A341="","",ROW()-1)</f>
        <v/>
      </c>
      <c r="B341" s="27">
        <f>IF('01_Rohdaten'!A341="","",'01_Rohdaten'!A341)</f>
        <v/>
      </c>
      <c r="C341" s="27">
        <f>IF(B341="","",INDEX('01_Rohdaten'!B341:D341,'02_Eingaben'!$C$13))</f>
        <v/>
      </c>
      <c r="D341" s="27">
        <f>IF(C341="","",C341*'02_Eingaben'!$C$15)</f>
        <v/>
      </c>
      <c r="E341" s="27">
        <f>IF(D341="","",D341*'02_Eingaben'!$C$8)</f>
        <v/>
      </c>
      <c r="F341" s="27">
        <f>IF(E341="","",AVERAGE(INDEX($E$2:$E$3001,MAX(1,ROW()-1-'02_Eingaben'!$C$17)):INDEX($E$2:$E$3001,MIN('02_Eingaben'!$C$21,ROW()-1+'02_Eingaben'!$C$17))))</f>
        <v/>
      </c>
      <c r="G341" s="27">
        <f>IF(F341="","",F341-'02_Eingaben'!$C$10)</f>
        <v/>
      </c>
      <c r="H341">
        <f>IF(F341="","",IF(F341&lt;'02_Eingaben'!$C$18*'02_Eingaben'!$C$10,1,0))</f>
        <v/>
      </c>
      <c r="I341" s="27">
        <f>IF(OR(G341="",G342=""),"",(G341+G342)/2*(B342-B341))</f>
        <v/>
      </c>
      <c r="J341" s="27">
        <f>IF(B341="","",IF(B340&lt;'02_Eingaben'!$C$36,0,J340+I340/'02_Eingaben'!$C$8))</f>
        <v/>
      </c>
    </row>
    <row r="342">
      <c r="A342">
        <f>IF('01_Rohdaten'!A342="","",ROW()-1)</f>
        <v/>
      </c>
      <c r="B342" s="27">
        <f>IF('01_Rohdaten'!A342="","",'01_Rohdaten'!A342)</f>
        <v/>
      </c>
      <c r="C342" s="27">
        <f>IF(B342="","",INDEX('01_Rohdaten'!B342:D342,'02_Eingaben'!$C$13))</f>
        <v/>
      </c>
      <c r="D342" s="27">
        <f>IF(C342="","",C342*'02_Eingaben'!$C$15)</f>
        <v/>
      </c>
      <c r="E342" s="27">
        <f>IF(D342="","",D342*'02_Eingaben'!$C$8)</f>
        <v/>
      </c>
      <c r="F342" s="27">
        <f>IF(E342="","",AVERAGE(INDEX($E$2:$E$3001,MAX(1,ROW()-1-'02_Eingaben'!$C$17)):INDEX($E$2:$E$3001,MIN('02_Eingaben'!$C$21,ROW()-1+'02_Eingaben'!$C$17))))</f>
        <v/>
      </c>
      <c r="G342" s="27">
        <f>IF(F342="","",F342-'02_Eingaben'!$C$10)</f>
        <v/>
      </c>
      <c r="H342">
        <f>IF(F342="","",IF(F342&lt;'02_Eingaben'!$C$18*'02_Eingaben'!$C$10,1,0))</f>
        <v/>
      </c>
      <c r="I342" s="27">
        <f>IF(OR(G342="",G343=""),"",(G342+G343)/2*(B343-B342))</f>
        <v/>
      </c>
      <c r="J342" s="27">
        <f>IF(B342="","",IF(B341&lt;'02_Eingaben'!$C$36,0,J341+I341/'02_Eingaben'!$C$8))</f>
        <v/>
      </c>
    </row>
    <row r="343">
      <c r="A343">
        <f>IF('01_Rohdaten'!A343="","",ROW()-1)</f>
        <v/>
      </c>
      <c r="B343" s="27">
        <f>IF('01_Rohdaten'!A343="","",'01_Rohdaten'!A343)</f>
        <v/>
      </c>
      <c r="C343" s="27">
        <f>IF(B343="","",INDEX('01_Rohdaten'!B343:D343,'02_Eingaben'!$C$13))</f>
        <v/>
      </c>
      <c r="D343" s="27">
        <f>IF(C343="","",C343*'02_Eingaben'!$C$15)</f>
        <v/>
      </c>
      <c r="E343" s="27">
        <f>IF(D343="","",D343*'02_Eingaben'!$C$8)</f>
        <v/>
      </c>
      <c r="F343" s="27">
        <f>IF(E343="","",AVERAGE(INDEX($E$2:$E$3001,MAX(1,ROW()-1-'02_Eingaben'!$C$17)):INDEX($E$2:$E$3001,MIN('02_Eingaben'!$C$21,ROW()-1+'02_Eingaben'!$C$17))))</f>
        <v/>
      </c>
      <c r="G343" s="27">
        <f>IF(F343="","",F343-'02_Eingaben'!$C$10)</f>
        <v/>
      </c>
      <c r="H343">
        <f>IF(F343="","",IF(F343&lt;'02_Eingaben'!$C$18*'02_Eingaben'!$C$10,1,0))</f>
        <v/>
      </c>
      <c r="I343" s="27">
        <f>IF(OR(G343="",G344=""),"",(G343+G344)/2*(B344-B343))</f>
        <v/>
      </c>
      <c r="J343" s="27">
        <f>IF(B343="","",IF(B342&lt;'02_Eingaben'!$C$36,0,J342+I342/'02_Eingaben'!$C$8))</f>
        <v/>
      </c>
    </row>
    <row r="344">
      <c r="A344">
        <f>IF('01_Rohdaten'!A344="","",ROW()-1)</f>
        <v/>
      </c>
      <c r="B344" s="27">
        <f>IF('01_Rohdaten'!A344="","",'01_Rohdaten'!A344)</f>
        <v/>
      </c>
      <c r="C344" s="27">
        <f>IF(B344="","",INDEX('01_Rohdaten'!B344:D344,'02_Eingaben'!$C$13))</f>
        <v/>
      </c>
      <c r="D344" s="27">
        <f>IF(C344="","",C344*'02_Eingaben'!$C$15)</f>
        <v/>
      </c>
      <c r="E344" s="27">
        <f>IF(D344="","",D344*'02_Eingaben'!$C$8)</f>
        <v/>
      </c>
      <c r="F344" s="27">
        <f>IF(E344="","",AVERAGE(INDEX($E$2:$E$3001,MAX(1,ROW()-1-'02_Eingaben'!$C$17)):INDEX($E$2:$E$3001,MIN('02_Eingaben'!$C$21,ROW()-1+'02_Eingaben'!$C$17))))</f>
        <v/>
      </c>
      <c r="G344" s="27">
        <f>IF(F344="","",F344-'02_Eingaben'!$C$10)</f>
        <v/>
      </c>
      <c r="H344">
        <f>IF(F344="","",IF(F344&lt;'02_Eingaben'!$C$18*'02_Eingaben'!$C$10,1,0))</f>
        <v/>
      </c>
      <c r="I344" s="27">
        <f>IF(OR(G344="",G345=""),"",(G344+G345)/2*(B345-B344))</f>
        <v/>
      </c>
      <c r="J344" s="27">
        <f>IF(B344="","",IF(B343&lt;'02_Eingaben'!$C$36,0,J343+I343/'02_Eingaben'!$C$8))</f>
        <v/>
      </c>
    </row>
    <row r="345">
      <c r="A345">
        <f>IF('01_Rohdaten'!A345="","",ROW()-1)</f>
        <v/>
      </c>
      <c r="B345" s="27">
        <f>IF('01_Rohdaten'!A345="","",'01_Rohdaten'!A345)</f>
        <v/>
      </c>
      <c r="C345" s="27">
        <f>IF(B345="","",INDEX('01_Rohdaten'!B345:D345,'02_Eingaben'!$C$13))</f>
        <v/>
      </c>
      <c r="D345" s="27">
        <f>IF(C345="","",C345*'02_Eingaben'!$C$15)</f>
        <v/>
      </c>
      <c r="E345" s="27">
        <f>IF(D345="","",D345*'02_Eingaben'!$C$8)</f>
        <v/>
      </c>
      <c r="F345" s="27">
        <f>IF(E345="","",AVERAGE(INDEX($E$2:$E$3001,MAX(1,ROW()-1-'02_Eingaben'!$C$17)):INDEX($E$2:$E$3001,MIN('02_Eingaben'!$C$21,ROW()-1+'02_Eingaben'!$C$17))))</f>
        <v/>
      </c>
      <c r="G345" s="27">
        <f>IF(F345="","",F345-'02_Eingaben'!$C$10)</f>
        <v/>
      </c>
      <c r="H345">
        <f>IF(F345="","",IF(F345&lt;'02_Eingaben'!$C$18*'02_Eingaben'!$C$10,1,0))</f>
        <v/>
      </c>
      <c r="I345" s="27">
        <f>IF(OR(G345="",G346=""),"",(G345+G346)/2*(B346-B345))</f>
        <v/>
      </c>
      <c r="J345" s="27">
        <f>IF(B345="","",IF(B344&lt;'02_Eingaben'!$C$36,0,J344+I344/'02_Eingaben'!$C$8))</f>
        <v/>
      </c>
    </row>
    <row r="346">
      <c r="A346">
        <f>IF('01_Rohdaten'!A346="","",ROW()-1)</f>
        <v/>
      </c>
      <c r="B346" s="27">
        <f>IF('01_Rohdaten'!A346="","",'01_Rohdaten'!A346)</f>
        <v/>
      </c>
      <c r="C346" s="27">
        <f>IF(B346="","",INDEX('01_Rohdaten'!B346:D346,'02_Eingaben'!$C$13))</f>
        <v/>
      </c>
      <c r="D346" s="27">
        <f>IF(C346="","",C346*'02_Eingaben'!$C$15)</f>
        <v/>
      </c>
      <c r="E346" s="27">
        <f>IF(D346="","",D346*'02_Eingaben'!$C$8)</f>
        <v/>
      </c>
      <c r="F346" s="27">
        <f>IF(E346="","",AVERAGE(INDEX($E$2:$E$3001,MAX(1,ROW()-1-'02_Eingaben'!$C$17)):INDEX($E$2:$E$3001,MIN('02_Eingaben'!$C$21,ROW()-1+'02_Eingaben'!$C$17))))</f>
        <v/>
      </c>
      <c r="G346" s="27">
        <f>IF(F346="","",F346-'02_Eingaben'!$C$10)</f>
        <v/>
      </c>
      <c r="H346">
        <f>IF(F346="","",IF(F346&lt;'02_Eingaben'!$C$18*'02_Eingaben'!$C$10,1,0))</f>
        <v/>
      </c>
      <c r="I346" s="27">
        <f>IF(OR(G346="",G347=""),"",(G346+G347)/2*(B347-B346))</f>
        <v/>
      </c>
      <c r="J346" s="27">
        <f>IF(B346="","",IF(B345&lt;'02_Eingaben'!$C$36,0,J345+I345/'02_Eingaben'!$C$8))</f>
        <v/>
      </c>
    </row>
    <row r="347">
      <c r="A347">
        <f>IF('01_Rohdaten'!A347="","",ROW()-1)</f>
        <v/>
      </c>
      <c r="B347" s="27">
        <f>IF('01_Rohdaten'!A347="","",'01_Rohdaten'!A347)</f>
        <v/>
      </c>
      <c r="C347" s="27">
        <f>IF(B347="","",INDEX('01_Rohdaten'!B347:D347,'02_Eingaben'!$C$13))</f>
        <v/>
      </c>
      <c r="D347" s="27">
        <f>IF(C347="","",C347*'02_Eingaben'!$C$15)</f>
        <v/>
      </c>
      <c r="E347" s="27">
        <f>IF(D347="","",D347*'02_Eingaben'!$C$8)</f>
        <v/>
      </c>
      <c r="F347" s="27">
        <f>IF(E347="","",AVERAGE(INDEX($E$2:$E$3001,MAX(1,ROW()-1-'02_Eingaben'!$C$17)):INDEX($E$2:$E$3001,MIN('02_Eingaben'!$C$21,ROW()-1+'02_Eingaben'!$C$17))))</f>
        <v/>
      </c>
      <c r="G347" s="27">
        <f>IF(F347="","",F347-'02_Eingaben'!$C$10)</f>
        <v/>
      </c>
      <c r="H347">
        <f>IF(F347="","",IF(F347&lt;'02_Eingaben'!$C$18*'02_Eingaben'!$C$10,1,0))</f>
        <v/>
      </c>
      <c r="I347" s="27">
        <f>IF(OR(G347="",G348=""),"",(G347+G348)/2*(B348-B347))</f>
        <v/>
      </c>
      <c r="J347" s="27">
        <f>IF(B347="","",IF(B346&lt;'02_Eingaben'!$C$36,0,J346+I346/'02_Eingaben'!$C$8))</f>
        <v/>
      </c>
    </row>
    <row r="348">
      <c r="A348">
        <f>IF('01_Rohdaten'!A348="","",ROW()-1)</f>
        <v/>
      </c>
      <c r="B348" s="27">
        <f>IF('01_Rohdaten'!A348="","",'01_Rohdaten'!A348)</f>
        <v/>
      </c>
      <c r="C348" s="27">
        <f>IF(B348="","",INDEX('01_Rohdaten'!B348:D348,'02_Eingaben'!$C$13))</f>
        <v/>
      </c>
      <c r="D348" s="27">
        <f>IF(C348="","",C348*'02_Eingaben'!$C$15)</f>
        <v/>
      </c>
      <c r="E348" s="27">
        <f>IF(D348="","",D348*'02_Eingaben'!$C$8)</f>
        <v/>
      </c>
      <c r="F348" s="27">
        <f>IF(E348="","",AVERAGE(INDEX($E$2:$E$3001,MAX(1,ROW()-1-'02_Eingaben'!$C$17)):INDEX($E$2:$E$3001,MIN('02_Eingaben'!$C$21,ROW()-1+'02_Eingaben'!$C$17))))</f>
        <v/>
      </c>
      <c r="G348" s="27">
        <f>IF(F348="","",F348-'02_Eingaben'!$C$10)</f>
        <v/>
      </c>
      <c r="H348">
        <f>IF(F348="","",IF(F348&lt;'02_Eingaben'!$C$18*'02_Eingaben'!$C$10,1,0))</f>
        <v/>
      </c>
      <c r="I348" s="27">
        <f>IF(OR(G348="",G349=""),"",(G348+G349)/2*(B349-B348))</f>
        <v/>
      </c>
      <c r="J348" s="27">
        <f>IF(B348="","",IF(B347&lt;'02_Eingaben'!$C$36,0,J347+I347/'02_Eingaben'!$C$8))</f>
        <v/>
      </c>
    </row>
    <row r="349">
      <c r="A349">
        <f>IF('01_Rohdaten'!A349="","",ROW()-1)</f>
        <v/>
      </c>
      <c r="B349" s="27">
        <f>IF('01_Rohdaten'!A349="","",'01_Rohdaten'!A349)</f>
        <v/>
      </c>
      <c r="C349" s="27">
        <f>IF(B349="","",INDEX('01_Rohdaten'!B349:D349,'02_Eingaben'!$C$13))</f>
        <v/>
      </c>
      <c r="D349" s="27">
        <f>IF(C349="","",C349*'02_Eingaben'!$C$15)</f>
        <v/>
      </c>
      <c r="E349" s="27">
        <f>IF(D349="","",D349*'02_Eingaben'!$C$8)</f>
        <v/>
      </c>
      <c r="F349" s="27">
        <f>IF(E349="","",AVERAGE(INDEX($E$2:$E$3001,MAX(1,ROW()-1-'02_Eingaben'!$C$17)):INDEX($E$2:$E$3001,MIN('02_Eingaben'!$C$21,ROW()-1+'02_Eingaben'!$C$17))))</f>
        <v/>
      </c>
      <c r="G349" s="27">
        <f>IF(F349="","",F349-'02_Eingaben'!$C$10)</f>
        <v/>
      </c>
      <c r="H349">
        <f>IF(F349="","",IF(F349&lt;'02_Eingaben'!$C$18*'02_Eingaben'!$C$10,1,0))</f>
        <v/>
      </c>
      <c r="I349" s="27">
        <f>IF(OR(G349="",G350=""),"",(G349+G350)/2*(B350-B349))</f>
        <v/>
      </c>
      <c r="J349" s="27">
        <f>IF(B349="","",IF(B348&lt;'02_Eingaben'!$C$36,0,J348+I348/'02_Eingaben'!$C$8))</f>
        <v/>
      </c>
    </row>
    <row r="350">
      <c r="A350">
        <f>IF('01_Rohdaten'!A350="","",ROW()-1)</f>
        <v/>
      </c>
      <c r="B350" s="27">
        <f>IF('01_Rohdaten'!A350="","",'01_Rohdaten'!A350)</f>
        <v/>
      </c>
      <c r="C350" s="27">
        <f>IF(B350="","",INDEX('01_Rohdaten'!B350:D350,'02_Eingaben'!$C$13))</f>
        <v/>
      </c>
      <c r="D350" s="27">
        <f>IF(C350="","",C350*'02_Eingaben'!$C$15)</f>
        <v/>
      </c>
      <c r="E350" s="27">
        <f>IF(D350="","",D350*'02_Eingaben'!$C$8)</f>
        <v/>
      </c>
      <c r="F350" s="27">
        <f>IF(E350="","",AVERAGE(INDEX($E$2:$E$3001,MAX(1,ROW()-1-'02_Eingaben'!$C$17)):INDEX($E$2:$E$3001,MIN('02_Eingaben'!$C$21,ROW()-1+'02_Eingaben'!$C$17))))</f>
        <v/>
      </c>
      <c r="G350" s="27">
        <f>IF(F350="","",F350-'02_Eingaben'!$C$10)</f>
        <v/>
      </c>
      <c r="H350">
        <f>IF(F350="","",IF(F350&lt;'02_Eingaben'!$C$18*'02_Eingaben'!$C$10,1,0))</f>
        <v/>
      </c>
      <c r="I350" s="27">
        <f>IF(OR(G350="",G351=""),"",(G350+G351)/2*(B351-B350))</f>
        <v/>
      </c>
      <c r="J350" s="27">
        <f>IF(B350="","",IF(B349&lt;'02_Eingaben'!$C$36,0,J349+I349/'02_Eingaben'!$C$8))</f>
        <v/>
      </c>
    </row>
    <row r="351">
      <c r="A351">
        <f>IF('01_Rohdaten'!A351="","",ROW()-1)</f>
        <v/>
      </c>
      <c r="B351" s="27">
        <f>IF('01_Rohdaten'!A351="","",'01_Rohdaten'!A351)</f>
        <v/>
      </c>
      <c r="C351" s="27">
        <f>IF(B351="","",INDEX('01_Rohdaten'!B351:D351,'02_Eingaben'!$C$13))</f>
        <v/>
      </c>
      <c r="D351" s="27">
        <f>IF(C351="","",C351*'02_Eingaben'!$C$15)</f>
        <v/>
      </c>
      <c r="E351" s="27">
        <f>IF(D351="","",D351*'02_Eingaben'!$C$8)</f>
        <v/>
      </c>
      <c r="F351" s="27">
        <f>IF(E351="","",AVERAGE(INDEX($E$2:$E$3001,MAX(1,ROW()-1-'02_Eingaben'!$C$17)):INDEX($E$2:$E$3001,MIN('02_Eingaben'!$C$21,ROW()-1+'02_Eingaben'!$C$17))))</f>
        <v/>
      </c>
      <c r="G351" s="27">
        <f>IF(F351="","",F351-'02_Eingaben'!$C$10)</f>
        <v/>
      </c>
      <c r="H351">
        <f>IF(F351="","",IF(F351&lt;'02_Eingaben'!$C$18*'02_Eingaben'!$C$10,1,0))</f>
        <v/>
      </c>
      <c r="I351" s="27">
        <f>IF(OR(G351="",G352=""),"",(G351+G352)/2*(B352-B351))</f>
        <v/>
      </c>
      <c r="J351" s="27">
        <f>IF(B351="","",IF(B350&lt;'02_Eingaben'!$C$36,0,J350+I350/'02_Eingaben'!$C$8))</f>
        <v/>
      </c>
    </row>
    <row r="352">
      <c r="A352">
        <f>IF('01_Rohdaten'!A352="","",ROW()-1)</f>
        <v/>
      </c>
      <c r="B352" s="27">
        <f>IF('01_Rohdaten'!A352="","",'01_Rohdaten'!A352)</f>
        <v/>
      </c>
      <c r="C352" s="27">
        <f>IF(B352="","",INDEX('01_Rohdaten'!B352:D352,'02_Eingaben'!$C$13))</f>
        <v/>
      </c>
      <c r="D352" s="27">
        <f>IF(C352="","",C352*'02_Eingaben'!$C$15)</f>
        <v/>
      </c>
      <c r="E352" s="27">
        <f>IF(D352="","",D352*'02_Eingaben'!$C$8)</f>
        <v/>
      </c>
      <c r="F352" s="27">
        <f>IF(E352="","",AVERAGE(INDEX($E$2:$E$3001,MAX(1,ROW()-1-'02_Eingaben'!$C$17)):INDEX($E$2:$E$3001,MIN('02_Eingaben'!$C$21,ROW()-1+'02_Eingaben'!$C$17))))</f>
        <v/>
      </c>
      <c r="G352" s="27">
        <f>IF(F352="","",F352-'02_Eingaben'!$C$10)</f>
        <v/>
      </c>
      <c r="H352">
        <f>IF(F352="","",IF(F352&lt;'02_Eingaben'!$C$18*'02_Eingaben'!$C$10,1,0))</f>
        <v/>
      </c>
      <c r="I352" s="27">
        <f>IF(OR(G352="",G353=""),"",(G352+G353)/2*(B353-B352))</f>
        <v/>
      </c>
      <c r="J352" s="27">
        <f>IF(B352="","",IF(B351&lt;'02_Eingaben'!$C$36,0,J351+I351/'02_Eingaben'!$C$8))</f>
        <v/>
      </c>
    </row>
    <row r="353">
      <c r="A353">
        <f>IF('01_Rohdaten'!A353="","",ROW()-1)</f>
        <v/>
      </c>
      <c r="B353" s="27">
        <f>IF('01_Rohdaten'!A353="","",'01_Rohdaten'!A353)</f>
        <v/>
      </c>
      <c r="C353" s="27">
        <f>IF(B353="","",INDEX('01_Rohdaten'!B353:D353,'02_Eingaben'!$C$13))</f>
        <v/>
      </c>
      <c r="D353" s="27">
        <f>IF(C353="","",C353*'02_Eingaben'!$C$15)</f>
        <v/>
      </c>
      <c r="E353" s="27">
        <f>IF(D353="","",D353*'02_Eingaben'!$C$8)</f>
        <v/>
      </c>
      <c r="F353" s="27">
        <f>IF(E353="","",AVERAGE(INDEX($E$2:$E$3001,MAX(1,ROW()-1-'02_Eingaben'!$C$17)):INDEX($E$2:$E$3001,MIN('02_Eingaben'!$C$21,ROW()-1+'02_Eingaben'!$C$17))))</f>
        <v/>
      </c>
      <c r="G353" s="27">
        <f>IF(F353="","",F353-'02_Eingaben'!$C$10)</f>
        <v/>
      </c>
      <c r="H353">
        <f>IF(F353="","",IF(F353&lt;'02_Eingaben'!$C$18*'02_Eingaben'!$C$10,1,0))</f>
        <v/>
      </c>
      <c r="I353" s="27">
        <f>IF(OR(G353="",G354=""),"",(G353+G354)/2*(B354-B353))</f>
        <v/>
      </c>
      <c r="J353" s="27">
        <f>IF(B353="","",IF(B352&lt;'02_Eingaben'!$C$36,0,J352+I352/'02_Eingaben'!$C$8))</f>
        <v/>
      </c>
    </row>
    <row r="354">
      <c r="A354">
        <f>IF('01_Rohdaten'!A354="","",ROW()-1)</f>
        <v/>
      </c>
      <c r="B354" s="27">
        <f>IF('01_Rohdaten'!A354="","",'01_Rohdaten'!A354)</f>
        <v/>
      </c>
      <c r="C354" s="27">
        <f>IF(B354="","",INDEX('01_Rohdaten'!B354:D354,'02_Eingaben'!$C$13))</f>
        <v/>
      </c>
      <c r="D354" s="27">
        <f>IF(C354="","",C354*'02_Eingaben'!$C$15)</f>
        <v/>
      </c>
      <c r="E354" s="27">
        <f>IF(D354="","",D354*'02_Eingaben'!$C$8)</f>
        <v/>
      </c>
      <c r="F354" s="27">
        <f>IF(E354="","",AVERAGE(INDEX($E$2:$E$3001,MAX(1,ROW()-1-'02_Eingaben'!$C$17)):INDEX($E$2:$E$3001,MIN('02_Eingaben'!$C$21,ROW()-1+'02_Eingaben'!$C$17))))</f>
        <v/>
      </c>
      <c r="G354" s="27">
        <f>IF(F354="","",F354-'02_Eingaben'!$C$10)</f>
        <v/>
      </c>
      <c r="H354">
        <f>IF(F354="","",IF(F354&lt;'02_Eingaben'!$C$18*'02_Eingaben'!$C$10,1,0))</f>
        <v/>
      </c>
      <c r="I354" s="27">
        <f>IF(OR(G354="",G355=""),"",(G354+G355)/2*(B355-B354))</f>
        <v/>
      </c>
      <c r="J354" s="27">
        <f>IF(B354="","",IF(B353&lt;'02_Eingaben'!$C$36,0,J353+I353/'02_Eingaben'!$C$8))</f>
        <v/>
      </c>
    </row>
    <row r="355">
      <c r="A355">
        <f>IF('01_Rohdaten'!A355="","",ROW()-1)</f>
        <v/>
      </c>
      <c r="B355" s="27">
        <f>IF('01_Rohdaten'!A355="","",'01_Rohdaten'!A355)</f>
        <v/>
      </c>
      <c r="C355" s="27">
        <f>IF(B355="","",INDEX('01_Rohdaten'!B355:D355,'02_Eingaben'!$C$13))</f>
        <v/>
      </c>
      <c r="D355" s="27">
        <f>IF(C355="","",C355*'02_Eingaben'!$C$15)</f>
        <v/>
      </c>
      <c r="E355" s="27">
        <f>IF(D355="","",D355*'02_Eingaben'!$C$8)</f>
        <v/>
      </c>
      <c r="F355" s="27">
        <f>IF(E355="","",AVERAGE(INDEX($E$2:$E$3001,MAX(1,ROW()-1-'02_Eingaben'!$C$17)):INDEX($E$2:$E$3001,MIN('02_Eingaben'!$C$21,ROW()-1+'02_Eingaben'!$C$17))))</f>
        <v/>
      </c>
      <c r="G355" s="27">
        <f>IF(F355="","",F355-'02_Eingaben'!$C$10)</f>
        <v/>
      </c>
      <c r="H355">
        <f>IF(F355="","",IF(F355&lt;'02_Eingaben'!$C$18*'02_Eingaben'!$C$10,1,0))</f>
        <v/>
      </c>
      <c r="I355" s="27">
        <f>IF(OR(G355="",G356=""),"",(G355+G356)/2*(B356-B355))</f>
        <v/>
      </c>
      <c r="J355" s="27">
        <f>IF(B355="","",IF(B354&lt;'02_Eingaben'!$C$36,0,J354+I354/'02_Eingaben'!$C$8))</f>
        <v/>
      </c>
    </row>
    <row r="356">
      <c r="A356">
        <f>IF('01_Rohdaten'!A356="","",ROW()-1)</f>
        <v/>
      </c>
      <c r="B356" s="27">
        <f>IF('01_Rohdaten'!A356="","",'01_Rohdaten'!A356)</f>
        <v/>
      </c>
      <c r="C356" s="27">
        <f>IF(B356="","",INDEX('01_Rohdaten'!B356:D356,'02_Eingaben'!$C$13))</f>
        <v/>
      </c>
      <c r="D356" s="27">
        <f>IF(C356="","",C356*'02_Eingaben'!$C$15)</f>
        <v/>
      </c>
      <c r="E356" s="27">
        <f>IF(D356="","",D356*'02_Eingaben'!$C$8)</f>
        <v/>
      </c>
      <c r="F356" s="27">
        <f>IF(E356="","",AVERAGE(INDEX($E$2:$E$3001,MAX(1,ROW()-1-'02_Eingaben'!$C$17)):INDEX($E$2:$E$3001,MIN('02_Eingaben'!$C$21,ROW()-1+'02_Eingaben'!$C$17))))</f>
        <v/>
      </c>
      <c r="G356" s="27">
        <f>IF(F356="","",F356-'02_Eingaben'!$C$10)</f>
        <v/>
      </c>
      <c r="H356">
        <f>IF(F356="","",IF(F356&lt;'02_Eingaben'!$C$18*'02_Eingaben'!$C$10,1,0))</f>
        <v/>
      </c>
      <c r="I356" s="27">
        <f>IF(OR(G356="",G357=""),"",(G356+G357)/2*(B357-B356))</f>
        <v/>
      </c>
      <c r="J356" s="27">
        <f>IF(B356="","",IF(B355&lt;'02_Eingaben'!$C$36,0,J355+I355/'02_Eingaben'!$C$8))</f>
        <v/>
      </c>
    </row>
    <row r="357">
      <c r="A357">
        <f>IF('01_Rohdaten'!A357="","",ROW()-1)</f>
        <v/>
      </c>
      <c r="B357" s="27">
        <f>IF('01_Rohdaten'!A357="","",'01_Rohdaten'!A357)</f>
        <v/>
      </c>
      <c r="C357" s="27">
        <f>IF(B357="","",INDEX('01_Rohdaten'!B357:D357,'02_Eingaben'!$C$13))</f>
        <v/>
      </c>
      <c r="D357" s="27">
        <f>IF(C357="","",C357*'02_Eingaben'!$C$15)</f>
        <v/>
      </c>
      <c r="E357" s="27">
        <f>IF(D357="","",D357*'02_Eingaben'!$C$8)</f>
        <v/>
      </c>
      <c r="F357" s="27">
        <f>IF(E357="","",AVERAGE(INDEX($E$2:$E$3001,MAX(1,ROW()-1-'02_Eingaben'!$C$17)):INDEX($E$2:$E$3001,MIN('02_Eingaben'!$C$21,ROW()-1+'02_Eingaben'!$C$17))))</f>
        <v/>
      </c>
      <c r="G357" s="27">
        <f>IF(F357="","",F357-'02_Eingaben'!$C$10)</f>
        <v/>
      </c>
      <c r="H357">
        <f>IF(F357="","",IF(F357&lt;'02_Eingaben'!$C$18*'02_Eingaben'!$C$10,1,0))</f>
        <v/>
      </c>
      <c r="I357" s="27">
        <f>IF(OR(G357="",G358=""),"",(G357+G358)/2*(B358-B357))</f>
        <v/>
      </c>
      <c r="J357" s="27">
        <f>IF(B357="","",IF(B356&lt;'02_Eingaben'!$C$36,0,J356+I356/'02_Eingaben'!$C$8))</f>
        <v/>
      </c>
    </row>
    <row r="358">
      <c r="A358">
        <f>IF('01_Rohdaten'!A358="","",ROW()-1)</f>
        <v/>
      </c>
      <c r="B358" s="27">
        <f>IF('01_Rohdaten'!A358="","",'01_Rohdaten'!A358)</f>
        <v/>
      </c>
      <c r="C358" s="27">
        <f>IF(B358="","",INDEX('01_Rohdaten'!B358:D358,'02_Eingaben'!$C$13))</f>
        <v/>
      </c>
      <c r="D358" s="27">
        <f>IF(C358="","",C358*'02_Eingaben'!$C$15)</f>
        <v/>
      </c>
      <c r="E358" s="27">
        <f>IF(D358="","",D358*'02_Eingaben'!$C$8)</f>
        <v/>
      </c>
      <c r="F358" s="27">
        <f>IF(E358="","",AVERAGE(INDEX($E$2:$E$3001,MAX(1,ROW()-1-'02_Eingaben'!$C$17)):INDEX($E$2:$E$3001,MIN('02_Eingaben'!$C$21,ROW()-1+'02_Eingaben'!$C$17))))</f>
        <v/>
      </c>
      <c r="G358" s="27">
        <f>IF(F358="","",F358-'02_Eingaben'!$C$10)</f>
        <v/>
      </c>
      <c r="H358">
        <f>IF(F358="","",IF(F358&lt;'02_Eingaben'!$C$18*'02_Eingaben'!$C$10,1,0))</f>
        <v/>
      </c>
      <c r="I358" s="27">
        <f>IF(OR(G358="",G359=""),"",(G358+G359)/2*(B359-B358))</f>
        <v/>
      </c>
      <c r="J358" s="27">
        <f>IF(B358="","",IF(B357&lt;'02_Eingaben'!$C$36,0,J357+I357/'02_Eingaben'!$C$8))</f>
        <v/>
      </c>
    </row>
    <row r="359">
      <c r="A359">
        <f>IF('01_Rohdaten'!A359="","",ROW()-1)</f>
        <v/>
      </c>
      <c r="B359" s="27">
        <f>IF('01_Rohdaten'!A359="","",'01_Rohdaten'!A359)</f>
        <v/>
      </c>
      <c r="C359" s="27">
        <f>IF(B359="","",INDEX('01_Rohdaten'!B359:D359,'02_Eingaben'!$C$13))</f>
        <v/>
      </c>
      <c r="D359" s="27">
        <f>IF(C359="","",C359*'02_Eingaben'!$C$15)</f>
        <v/>
      </c>
      <c r="E359" s="27">
        <f>IF(D359="","",D359*'02_Eingaben'!$C$8)</f>
        <v/>
      </c>
      <c r="F359" s="27">
        <f>IF(E359="","",AVERAGE(INDEX($E$2:$E$3001,MAX(1,ROW()-1-'02_Eingaben'!$C$17)):INDEX($E$2:$E$3001,MIN('02_Eingaben'!$C$21,ROW()-1+'02_Eingaben'!$C$17))))</f>
        <v/>
      </c>
      <c r="G359" s="27">
        <f>IF(F359="","",F359-'02_Eingaben'!$C$10)</f>
        <v/>
      </c>
      <c r="H359">
        <f>IF(F359="","",IF(F359&lt;'02_Eingaben'!$C$18*'02_Eingaben'!$C$10,1,0))</f>
        <v/>
      </c>
      <c r="I359" s="27">
        <f>IF(OR(G359="",G360=""),"",(G359+G360)/2*(B360-B359))</f>
        <v/>
      </c>
      <c r="J359" s="27">
        <f>IF(B359="","",IF(B358&lt;'02_Eingaben'!$C$36,0,J358+I358/'02_Eingaben'!$C$8))</f>
        <v/>
      </c>
    </row>
    <row r="360">
      <c r="A360">
        <f>IF('01_Rohdaten'!A360="","",ROW()-1)</f>
        <v/>
      </c>
      <c r="B360" s="27">
        <f>IF('01_Rohdaten'!A360="","",'01_Rohdaten'!A360)</f>
        <v/>
      </c>
      <c r="C360" s="27">
        <f>IF(B360="","",INDEX('01_Rohdaten'!B360:D360,'02_Eingaben'!$C$13))</f>
        <v/>
      </c>
      <c r="D360" s="27">
        <f>IF(C360="","",C360*'02_Eingaben'!$C$15)</f>
        <v/>
      </c>
      <c r="E360" s="27">
        <f>IF(D360="","",D360*'02_Eingaben'!$C$8)</f>
        <v/>
      </c>
      <c r="F360" s="27">
        <f>IF(E360="","",AVERAGE(INDEX($E$2:$E$3001,MAX(1,ROW()-1-'02_Eingaben'!$C$17)):INDEX($E$2:$E$3001,MIN('02_Eingaben'!$C$21,ROW()-1+'02_Eingaben'!$C$17))))</f>
        <v/>
      </c>
      <c r="G360" s="27">
        <f>IF(F360="","",F360-'02_Eingaben'!$C$10)</f>
        <v/>
      </c>
      <c r="H360">
        <f>IF(F360="","",IF(F360&lt;'02_Eingaben'!$C$18*'02_Eingaben'!$C$10,1,0))</f>
        <v/>
      </c>
      <c r="I360" s="27">
        <f>IF(OR(G360="",G361=""),"",(G360+G361)/2*(B361-B360))</f>
        <v/>
      </c>
      <c r="J360" s="27">
        <f>IF(B360="","",IF(B359&lt;'02_Eingaben'!$C$36,0,J359+I359/'02_Eingaben'!$C$8))</f>
        <v/>
      </c>
    </row>
    <row r="361">
      <c r="A361">
        <f>IF('01_Rohdaten'!A361="","",ROW()-1)</f>
        <v/>
      </c>
      <c r="B361" s="27">
        <f>IF('01_Rohdaten'!A361="","",'01_Rohdaten'!A361)</f>
        <v/>
      </c>
      <c r="C361" s="27">
        <f>IF(B361="","",INDEX('01_Rohdaten'!B361:D361,'02_Eingaben'!$C$13))</f>
        <v/>
      </c>
      <c r="D361" s="27">
        <f>IF(C361="","",C361*'02_Eingaben'!$C$15)</f>
        <v/>
      </c>
      <c r="E361" s="27">
        <f>IF(D361="","",D361*'02_Eingaben'!$C$8)</f>
        <v/>
      </c>
      <c r="F361" s="27">
        <f>IF(E361="","",AVERAGE(INDEX($E$2:$E$3001,MAX(1,ROW()-1-'02_Eingaben'!$C$17)):INDEX($E$2:$E$3001,MIN('02_Eingaben'!$C$21,ROW()-1+'02_Eingaben'!$C$17))))</f>
        <v/>
      </c>
      <c r="G361" s="27">
        <f>IF(F361="","",F361-'02_Eingaben'!$C$10)</f>
        <v/>
      </c>
      <c r="H361">
        <f>IF(F361="","",IF(F361&lt;'02_Eingaben'!$C$18*'02_Eingaben'!$C$10,1,0))</f>
        <v/>
      </c>
      <c r="I361" s="27">
        <f>IF(OR(G361="",G362=""),"",(G361+G362)/2*(B362-B361))</f>
        <v/>
      </c>
      <c r="J361" s="27">
        <f>IF(B361="","",IF(B360&lt;'02_Eingaben'!$C$36,0,J360+I360/'02_Eingaben'!$C$8))</f>
        <v/>
      </c>
    </row>
    <row r="362">
      <c r="A362">
        <f>IF('01_Rohdaten'!A362="","",ROW()-1)</f>
        <v/>
      </c>
      <c r="B362" s="27">
        <f>IF('01_Rohdaten'!A362="","",'01_Rohdaten'!A362)</f>
        <v/>
      </c>
      <c r="C362" s="27">
        <f>IF(B362="","",INDEX('01_Rohdaten'!B362:D362,'02_Eingaben'!$C$13))</f>
        <v/>
      </c>
      <c r="D362" s="27">
        <f>IF(C362="","",C362*'02_Eingaben'!$C$15)</f>
        <v/>
      </c>
      <c r="E362" s="27">
        <f>IF(D362="","",D362*'02_Eingaben'!$C$8)</f>
        <v/>
      </c>
      <c r="F362" s="27">
        <f>IF(E362="","",AVERAGE(INDEX($E$2:$E$3001,MAX(1,ROW()-1-'02_Eingaben'!$C$17)):INDEX($E$2:$E$3001,MIN('02_Eingaben'!$C$21,ROW()-1+'02_Eingaben'!$C$17))))</f>
        <v/>
      </c>
      <c r="G362" s="27">
        <f>IF(F362="","",F362-'02_Eingaben'!$C$10)</f>
        <v/>
      </c>
      <c r="H362">
        <f>IF(F362="","",IF(F362&lt;'02_Eingaben'!$C$18*'02_Eingaben'!$C$10,1,0))</f>
        <v/>
      </c>
      <c r="I362" s="27">
        <f>IF(OR(G362="",G363=""),"",(G362+G363)/2*(B363-B362))</f>
        <v/>
      </c>
      <c r="J362" s="27">
        <f>IF(B362="","",IF(B361&lt;'02_Eingaben'!$C$36,0,J361+I361/'02_Eingaben'!$C$8))</f>
        <v/>
      </c>
    </row>
    <row r="363">
      <c r="A363">
        <f>IF('01_Rohdaten'!A363="","",ROW()-1)</f>
        <v/>
      </c>
      <c r="B363" s="27">
        <f>IF('01_Rohdaten'!A363="","",'01_Rohdaten'!A363)</f>
        <v/>
      </c>
      <c r="C363" s="27">
        <f>IF(B363="","",INDEX('01_Rohdaten'!B363:D363,'02_Eingaben'!$C$13))</f>
        <v/>
      </c>
      <c r="D363" s="27">
        <f>IF(C363="","",C363*'02_Eingaben'!$C$15)</f>
        <v/>
      </c>
      <c r="E363" s="27">
        <f>IF(D363="","",D363*'02_Eingaben'!$C$8)</f>
        <v/>
      </c>
      <c r="F363" s="27">
        <f>IF(E363="","",AVERAGE(INDEX($E$2:$E$3001,MAX(1,ROW()-1-'02_Eingaben'!$C$17)):INDEX($E$2:$E$3001,MIN('02_Eingaben'!$C$21,ROW()-1+'02_Eingaben'!$C$17))))</f>
        <v/>
      </c>
      <c r="G363" s="27">
        <f>IF(F363="","",F363-'02_Eingaben'!$C$10)</f>
        <v/>
      </c>
      <c r="H363">
        <f>IF(F363="","",IF(F363&lt;'02_Eingaben'!$C$18*'02_Eingaben'!$C$10,1,0))</f>
        <v/>
      </c>
      <c r="I363" s="27">
        <f>IF(OR(G363="",G364=""),"",(G363+G364)/2*(B364-B363))</f>
        <v/>
      </c>
      <c r="J363" s="27">
        <f>IF(B363="","",IF(B362&lt;'02_Eingaben'!$C$36,0,J362+I362/'02_Eingaben'!$C$8))</f>
        <v/>
      </c>
    </row>
    <row r="364">
      <c r="A364">
        <f>IF('01_Rohdaten'!A364="","",ROW()-1)</f>
        <v/>
      </c>
      <c r="B364" s="27">
        <f>IF('01_Rohdaten'!A364="","",'01_Rohdaten'!A364)</f>
        <v/>
      </c>
      <c r="C364" s="27">
        <f>IF(B364="","",INDEX('01_Rohdaten'!B364:D364,'02_Eingaben'!$C$13))</f>
        <v/>
      </c>
      <c r="D364" s="27">
        <f>IF(C364="","",C364*'02_Eingaben'!$C$15)</f>
        <v/>
      </c>
      <c r="E364" s="27">
        <f>IF(D364="","",D364*'02_Eingaben'!$C$8)</f>
        <v/>
      </c>
      <c r="F364" s="27">
        <f>IF(E364="","",AVERAGE(INDEX($E$2:$E$3001,MAX(1,ROW()-1-'02_Eingaben'!$C$17)):INDEX($E$2:$E$3001,MIN('02_Eingaben'!$C$21,ROW()-1+'02_Eingaben'!$C$17))))</f>
        <v/>
      </c>
      <c r="G364" s="27">
        <f>IF(F364="","",F364-'02_Eingaben'!$C$10)</f>
        <v/>
      </c>
      <c r="H364">
        <f>IF(F364="","",IF(F364&lt;'02_Eingaben'!$C$18*'02_Eingaben'!$C$10,1,0))</f>
        <v/>
      </c>
      <c r="I364" s="27">
        <f>IF(OR(G364="",G365=""),"",(G364+G365)/2*(B365-B364))</f>
        <v/>
      </c>
      <c r="J364" s="27">
        <f>IF(B364="","",IF(B363&lt;'02_Eingaben'!$C$36,0,J363+I363/'02_Eingaben'!$C$8))</f>
        <v/>
      </c>
    </row>
    <row r="365">
      <c r="A365">
        <f>IF('01_Rohdaten'!A365="","",ROW()-1)</f>
        <v/>
      </c>
      <c r="B365" s="27">
        <f>IF('01_Rohdaten'!A365="","",'01_Rohdaten'!A365)</f>
        <v/>
      </c>
      <c r="C365" s="27">
        <f>IF(B365="","",INDEX('01_Rohdaten'!B365:D365,'02_Eingaben'!$C$13))</f>
        <v/>
      </c>
      <c r="D365" s="27">
        <f>IF(C365="","",C365*'02_Eingaben'!$C$15)</f>
        <v/>
      </c>
      <c r="E365" s="27">
        <f>IF(D365="","",D365*'02_Eingaben'!$C$8)</f>
        <v/>
      </c>
      <c r="F365" s="27">
        <f>IF(E365="","",AVERAGE(INDEX($E$2:$E$3001,MAX(1,ROW()-1-'02_Eingaben'!$C$17)):INDEX($E$2:$E$3001,MIN('02_Eingaben'!$C$21,ROW()-1+'02_Eingaben'!$C$17))))</f>
        <v/>
      </c>
      <c r="G365" s="27">
        <f>IF(F365="","",F365-'02_Eingaben'!$C$10)</f>
        <v/>
      </c>
      <c r="H365">
        <f>IF(F365="","",IF(F365&lt;'02_Eingaben'!$C$18*'02_Eingaben'!$C$10,1,0))</f>
        <v/>
      </c>
      <c r="I365" s="27">
        <f>IF(OR(G365="",G366=""),"",(G365+G366)/2*(B366-B365))</f>
        <v/>
      </c>
      <c r="J365" s="27">
        <f>IF(B365="","",IF(B364&lt;'02_Eingaben'!$C$36,0,J364+I364/'02_Eingaben'!$C$8))</f>
        <v/>
      </c>
    </row>
    <row r="366">
      <c r="A366">
        <f>IF('01_Rohdaten'!A366="","",ROW()-1)</f>
        <v/>
      </c>
      <c r="B366" s="27">
        <f>IF('01_Rohdaten'!A366="","",'01_Rohdaten'!A366)</f>
        <v/>
      </c>
      <c r="C366" s="27">
        <f>IF(B366="","",INDEX('01_Rohdaten'!B366:D366,'02_Eingaben'!$C$13))</f>
        <v/>
      </c>
      <c r="D366" s="27">
        <f>IF(C366="","",C366*'02_Eingaben'!$C$15)</f>
        <v/>
      </c>
      <c r="E366" s="27">
        <f>IF(D366="","",D366*'02_Eingaben'!$C$8)</f>
        <v/>
      </c>
      <c r="F366" s="27">
        <f>IF(E366="","",AVERAGE(INDEX($E$2:$E$3001,MAX(1,ROW()-1-'02_Eingaben'!$C$17)):INDEX($E$2:$E$3001,MIN('02_Eingaben'!$C$21,ROW()-1+'02_Eingaben'!$C$17))))</f>
        <v/>
      </c>
      <c r="G366" s="27">
        <f>IF(F366="","",F366-'02_Eingaben'!$C$10)</f>
        <v/>
      </c>
      <c r="H366">
        <f>IF(F366="","",IF(F366&lt;'02_Eingaben'!$C$18*'02_Eingaben'!$C$10,1,0))</f>
        <v/>
      </c>
      <c r="I366" s="27">
        <f>IF(OR(G366="",G367=""),"",(G366+G367)/2*(B367-B366))</f>
        <v/>
      </c>
      <c r="J366" s="27">
        <f>IF(B366="","",IF(B365&lt;'02_Eingaben'!$C$36,0,J365+I365/'02_Eingaben'!$C$8))</f>
        <v/>
      </c>
    </row>
    <row r="367">
      <c r="A367">
        <f>IF('01_Rohdaten'!A367="","",ROW()-1)</f>
        <v/>
      </c>
      <c r="B367" s="27">
        <f>IF('01_Rohdaten'!A367="","",'01_Rohdaten'!A367)</f>
        <v/>
      </c>
      <c r="C367" s="27">
        <f>IF(B367="","",INDEX('01_Rohdaten'!B367:D367,'02_Eingaben'!$C$13))</f>
        <v/>
      </c>
      <c r="D367" s="27">
        <f>IF(C367="","",C367*'02_Eingaben'!$C$15)</f>
        <v/>
      </c>
      <c r="E367" s="27">
        <f>IF(D367="","",D367*'02_Eingaben'!$C$8)</f>
        <v/>
      </c>
      <c r="F367" s="27">
        <f>IF(E367="","",AVERAGE(INDEX($E$2:$E$3001,MAX(1,ROW()-1-'02_Eingaben'!$C$17)):INDEX($E$2:$E$3001,MIN('02_Eingaben'!$C$21,ROW()-1+'02_Eingaben'!$C$17))))</f>
        <v/>
      </c>
      <c r="G367" s="27">
        <f>IF(F367="","",F367-'02_Eingaben'!$C$10)</f>
        <v/>
      </c>
      <c r="H367">
        <f>IF(F367="","",IF(F367&lt;'02_Eingaben'!$C$18*'02_Eingaben'!$C$10,1,0))</f>
        <v/>
      </c>
      <c r="I367" s="27">
        <f>IF(OR(G367="",G368=""),"",(G367+G368)/2*(B368-B367))</f>
        <v/>
      </c>
      <c r="J367" s="27">
        <f>IF(B367="","",IF(B366&lt;'02_Eingaben'!$C$36,0,J366+I366/'02_Eingaben'!$C$8))</f>
        <v/>
      </c>
    </row>
    <row r="368">
      <c r="A368">
        <f>IF('01_Rohdaten'!A368="","",ROW()-1)</f>
        <v/>
      </c>
      <c r="B368" s="27">
        <f>IF('01_Rohdaten'!A368="","",'01_Rohdaten'!A368)</f>
        <v/>
      </c>
      <c r="C368" s="27">
        <f>IF(B368="","",INDEX('01_Rohdaten'!B368:D368,'02_Eingaben'!$C$13))</f>
        <v/>
      </c>
      <c r="D368" s="27">
        <f>IF(C368="","",C368*'02_Eingaben'!$C$15)</f>
        <v/>
      </c>
      <c r="E368" s="27">
        <f>IF(D368="","",D368*'02_Eingaben'!$C$8)</f>
        <v/>
      </c>
      <c r="F368" s="27">
        <f>IF(E368="","",AVERAGE(INDEX($E$2:$E$3001,MAX(1,ROW()-1-'02_Eingaben'!$C$17)):INDEX($E$2:$E$3001,MIN('02_Eingaben'!$C$21,ROW()-1+'02_Eingaben'!$C$17))))</f>
        <v/>
      </c>
      <c r="G368" s="27">
        <f>IF(F368="","",F368-'02_Eingaben'!$C$10)</f>
        <v/>
      </c>
      <c r="H368">
        <f>IF(F368="","",IF(F368&lt;'02_Eingaben'!$C$18*'02_Eingaben'!$C$10,1,0))</f>
        <v/>
      </c>
      <c r="I368" s="27">
        <f>IF(OR(G368="",G369=""),"",(G368+G369)/2*(B369-B368))</f>
        <v/>
      </c>
      <c r="J368" s="27">
        <f>IF(B368="","",IF(B367&lt;'02_Eingaben'!$C$36,0,J367+I367/'02_Eingaben'!$C$8))</f>
        <v/>
      </c>
    </row>
    <row r="369">
      <c r="A369">
        <f>IF('01_Rohdaten'!A369="","",ROW()-1)</f>
        <v/>
      </c>
      <c r="B369" s="27">
        <f>IF('01_Rohdaten'!A369="","",'01_Rohdaten'!A369)</f>
        <v/>
      </c>
      <c r="C369" s="27">
        <f>IF(B369="","",INDEX('01_Rohdaten'!B369:D369,'02_Eingaben'!$C$13))</f>
        <v/>
      </c>
      <c r="D369" s="27">
        <f>IF(C369="","",C369*'02_Eingaben'!$C$15)</f>
        <v/>
      </c>
      <c r="E369" s="27">
        <f>IF(D369="","",D369*'02_Eingaben'!$C$8)</f>
        <v/>
      </c>
      <c r="F369" s="27">
        <f>IF(E369="","",AVERAGE(INDEX($E$2:$E$3001,MAX(1,ROW()-1-'02_Eingaben'!$C$17)):INDEX($E$2:$E$3001,MIN('02_Eingaben'!$C$21,ROW()-1+'02_Eingaben'!$C$17))))</f>
        <v/>
      </c>
      <c r="G369" s="27">
        <f>IF(F369="","",F369-'02_Eingaben'!$C$10)</f>
        <v/>
      </c>
      <c r="H369">
        <f>IF(F369="","",IF(F369&lt;'02_Eingaben'!$C$18*'02_Eingaben'!$C$10,1,0))</f>
        <v/>
      </c>
      <c r="I369" s="27">
        <f>IF(OR(G369="",G370=""),"",(G369+G370)/2*(B370-B369))</f>
        <v/>
      </c>
      <c r="J369" s="27">
        <f>IF(B369="","",IF(B368&lt;'02_Eingaben'!$C$36,0,J368+I368/'02_Eingaben'!$C$8))</f>
        <v/>
      </c>
    </row>
    <row r="370">
      <c r="A370">
        <f>IF('01_Rohdaten'!A370="","",ROW()-1)</f>
        <v/>
      </c>
      <c r="B370" s="27">
        <f>IF('01_Rohdaten'!A370="","",'01_Rohdaten'!A370)</f>
        <v/>
      </c>
      <c r="C370" s="27">
        <f>IF(B370="","",INDEX('01_Rohdaten'!B370:D370,'02_Eingaben'!$C$13))</f>
        <v/>
      </c>
      <c r="D370" s="27">
        <f>IF(C370="","",C370*'02_Eingaben'!$C$15)</f>
        <v/>
      </c>
      <c r="E370" s="27">
        <f>IF(D370="","",D370*'02_Eingaben'!$C$8)</f>
        <v/>
      </c>
      <c r="F370" s="27">
        <f>IF(E370="","",AVERAGE(INDEX($E$2:$E$3001,MAX(1,ROW()-1-'02_Eingaben'!$C$17)):INDEX($E$2:$E$3001,MIN('02_Eingaben'!$C$21,ROW()-1+'02_Eingaben'!$C$17))))</f>
        <v/>
      </c>
      <c r="G370" s="27">
        <f>IF(F370="","",F370-'02_Eingaben'!$C$10)</f>
        <v/>
      </c>
      <c r="H370">
        <f>IF(F370="","",IF(F370&lt;'02_Eingaben'!$C$18*'02_Eingaben'!$C$10,1,0))</f>
        <v/>
      </c>
      <c r="I370" s="27">
        <f>IF(OR(G370="",G371=""),"",(G370+G371)/2*(B371-B370))</f>
        <v/>
      </c>
      <c r="J370" s="27">
        <f>IF(B370="","",IF(B369&lt;'02_Eingaben'!$C$36,0,J369+I369/'02_Eingaben'!$C$8))</f>
        <v/>
      </c>
    </row>
    <row r="371">
      <c r="A371">
        <f>IF('01_Rohdaten'!A371="","",ROW()-1)</f>
        <v/>
      </c>
      <c r="B371" s="27">
        <f>IF('01_Rohdaten'!A371="","",'01_Rohdaten'!A371)</f>
        <v/>
      </c>
      <c r="C371" s="27">
        <f>IF(B371="","",INDEX('01_Rohdaten'!B371:D371,'02_Eingaben'!$C$13))</f>
        <v/>
      </c>
      <c r="D371" s="27">
        <f>IF(C371="","",C371*'02_Eingaben'!$C$15)</f>
        <v/>
      </c>
      <c r="E371" s="27">
        <f>IF(D371="","",D371*'02_Eingaben'!$C$8)</f>
        <v/>
      </c>
      <c r="F371" s="27">
        <f>IF(E371="","",AVERAGE(INDEX($E$2:$E$3001,MAX(1,ROW()-1-'02_Eingaben'!$C$17)):INDEX($E$2:$E$3001,MIN('02_Eingaben'!$C$21,ROW()-1+'02_Eingaben'!$C$17))))</f>
        <v/>
      </c>
      <c r="G371" s="27">
        <f>IF(F371="","",F371-'02_Eingaben'!$C$10)</f>
        <v/>
      </c>
      <c r="H371">
        <f>IF(F371="","",IF(F371&lt;'02_Eingaben'!$C$18*'02_Eingaben'!$C$10,1,0))</f>
        <v/>
      </c>
      <c r="I371" s="27">
        <f>IF(OR(G371="",G372=""),"",(G371+G372)/2*(B372-B371))</f>
        <v/>
      </c>
      <c r="J371" s="27">
        <f>IF(B371="","",IF(B370&lt;'02_Eingaben'!$C$36,0,J370+I370/'02_Eingaben'!$C$8))</f>
        <v/>
      </c>
    </row>
    <row r="372">
      <c r="A372">
        <f>IF('01_Rohdaten'!A372="","",ROW()-1)</f>
        <v/>
      </c>
      <c r="B372" s="27">
        <f>IF('01_Rohdaten'!A372="","",'01_Rohdaten'!A372)</f>
        <v/>
      </c>
      <c r="C372" s="27">
        <f>IF(B372="","",INDEX('01_Rohdaten'!B372:D372,'02_Eingaben'!$C$13))</f>
        <v/>
      </c>
      <c r="D372" s="27">
        <f>IF(C372="","",C372*'02_Eingaben'!$C$15)</f>
        <v/>
      </c>
      <c r="E372" s="27">
        <f>IF(D372="","",D372*'02_Eingaben'!$C$8)</f>
        <v/>
      </c>
      <c r="F372" s="27">
        <f>IF(E372="","",AVERAGE(INDEX($E$2:$E$3001,MAX(1,ROW()-1-'02_Eingaben'!$C$17)):INDEX($E$2:$E$3001,MIN('02_Eingaben'!$C$21,ROW()-1+'02_Eingaben'!$C$17))))</f>
        <v/>
      </c>
      <c r="G372" s="27">
        <f>IF(F372="","",F372-'02_Eingaben'!$C$10)</f>
        <v/>
      </c>
      <c r="H372">
        <f>IF(F372="","",IF(F372&lt;'02_Eingaben'!$C$18*'02_Eingaben'!$C$10,1,0))</f>
        <v/>
      </c>
      <c r="I372" s="27">
        <f>IF(OR(G372="",G373=""),"",(G372+G373)/2*(B373-B372))</f>
        <v/>
      </c>
      <c r="J372" s="27">
        <f>IF(B372="","",IF(B371&lt;'02_Eingaben'!$C$36,0,J371+I371/'02_Eingaben'!$C$8))</f>
        <v/>
      </c>
    </row>
    <row r="373">
      <c r="A373">
        <f>IF('01_Rohdaten'!A373="","",ROW()-1)</f>
        <v/>
      </c>
      <c r="B373" s="27">
        <f>IF('01_Rohdaten'!A373="","",'01_Rohdaten'!A373)</f>
        <v/>
      </c>
      <c r="C373" s="27">
        <f>IF(B373="","",INDEX('01_Rohdaten'!B373:D373,'02_Eingaben'!$C$13))</f>
        <v/>
      </c>
      <c r="D373" s="27">
        <f>IF(C373="","",C373*'02_Eingaben'!$C$15)</f>
        <v/>
      </c>
      <c r="E373" s="27">
        <f>IF(D373="","",D373*'02_Eingaben'!$C$8)</f>
        <v/>
      </c>
      <c r="F373" s="27">
        <f>IF(E373="","",AVERAGE(INDEX($E$2:$E$3001,MAX(1,ROW()-1-'02_Eingaben'!$C$17)):INDEX($E$2:$E$3001,MIN('02_Eingaben'!$C$21,ROW()-1+'02_Eingaben'!$C$17))))</f>
        <v/>
      </c>
      <c r="G373" s="27">
        <f>IF(F373="","",F373-'02_Eingaben'!$C$10)</f>
        <v/>
      </c>
      <c r="H373">
        <f>IF(F373="","",IF(F373&lt;'02_Eingaben'!$C$18*'02_Eingaben'!$C$10,1,0))</f>
        <v/>
      </c>
      <c r="I373" s="27">
        <f>IF(OR(G373="",G374=""),"",(G373+G374)/2*(B374-B373))</f>
        <v/>
      </c>
      <c r="J373" s="27">
        <f>IF(B373="","",IF(B372&lt;'02_Eingaben'!$C$36,0,J372+I372/'02_Eingaben'!$C$8))</f>
        <v/>
      </c>
    </row>
    <row r="374">
      <c r="A374">
        <f>IF('01_Rohdaten'!A374="","",ROW()-1)</f>
        <v/>
      </c>
      <c r="B374" s="27">
        <f>IF('01_Rohdaten'!A374="","",'01_Rohdaten'!A374)</f>
        <v/>
      </c>
      <c r="C374" s="27">
        <f>IF(B374="","",INDEX('01_Rohdaten'!B374:D374,'02_Eingaben'!$C$13))</f>
        <v/>
      </c>
      <c r="D374" s="27">
        <f>IF(C374="","",C374*'02_Eingaben'!$C$15)</f>
        <v/>
      </c>
      <c r="E374" s="27">
        <f>IF(D374="","",D374*'02_Eingaben'!$C$8)</f>
        <v/>
      </c>
      <c r="F374" s="27">
        <f>IF(E374="","",AVERAGE(INDEX($E$2:$E$3001,MAX(1,ROW()-1-'02_Eingaben'!$C$17)):INDEX($E$2:$E$3001,MIN('02_Eingaben'!$C$21,ROW()-1+'02_Eingaben'!$C$17))))</f>
        <v/>
      </c>
      <c r="G374" s="27">
        <f>IF(F374="","",F374-'02_Eingaben'!$C$10)</f>
        <v/>
      </c>
      <c r="H374">
        <f>IF(F374="","",IF(F374&lt;'02_Eingaben'!$C$18*'02_Eingaben'!$C$10,1,0))</f>
        <v/>
      </c>
      <c r="I374" s="27">
        <f>IF(OR(G374="",G375=""),"",(G374+G375)/2*(B375-B374))</f>
        <v/>
      </c>
      <c r="J374" s="27">
        <f>IF(B374="","",IF(B373&lt;'02_Eingaben'!$C$36,0,J373+I373/'02_Eingaben'!$C$8))</f>
        <v/>
      </c>
    </row>
    <row r="375">
      <c r="A375">
        <f>IF('01_Rohdaten'!A375="","",ROW()-1)</f>
        <v/>
      </c>
      <c r="B375" s="27">
        <f>IF('01_Rohdaten'!A375="","",'01_Rohdaten'!A375)</f>
        <v/>
      </c>
      <c r="C375" s="27">
        <f>IF(B375="","",INDEX('01_Rohdaten'!B375:D375,'02_Eingaben'!$C$13))</f>
        <v/>
      </c>
      <c r="D375" s="27">
        <f>IF(C375="","",C375*'02_Eingaben'!$C$15)</f>
        <v/>
      </c>
      <c r="E375" s="27">
        <f>IF(D375="","",D375*'02_Eingaben'!$C$8)</f>
        <v/>
      </c>
      <c r="F375" s="27">
        <f>IF(E375="","",AVERAGE(INDEX($E$2:$E$3001,MAX(1,ROW()-1-'02_Eingaben'!$C$17)):INDEX($E$2:$E$3001,MIN('02_Eingaben'!$C$21,ROW()-1+'02_Eingaben'!$C$17))))</f>
        <v/>
      </c>
      <c r="G375" s="27">
        <f>IF(F375="","",F375-'02_Eingaben'!$C$10)</f>
        <v/>
      </c>
      <c r="H375">
        <f>IF(F375="","",IF(F375&lt;'02_Eingaben'!$C$18*'02_Eingaben'!$C$10,1,0))</f>
        <v/>
      </c>
      <c r="I375" s="27">
        <f>IF(OR(G375="",G376=""),"",(G375+G376)/2*(B376-B375))</f>
        <v/>
      </c>
      <c r="J375" s="27">
        <f>IF(B375="","",IF(B374&lt;'02_Eingaben'!$C$36,0,J374+I374/'02_Eingaben'!$C$8))</f>
        <v/>
      </c>
    </row>
    <row r="376">
      <c r="A376">
        <f>IF('01_Rohdaten'!A376="","",ROW()-1)</f>
        <v/>
      </c>
      <c r="B376" s="27">
        <f>IF('01_Rohdaten'!A376="","",'01_Rohdaten'!A376)</f>
        <v/>
      </c>
      <c r="C376" s="27">
        <f>IF(B376="","",INDEX('01_Rohdaten'!B376:D376,'02_Eingaben'!$C$13))</f>
        <v/>
      </c>
      <c r="D376" s="27">
        <f>IF(C376="","",C376*'02_Eingaben'!$C$15)</f>
        <v/>
      </c>
      <c r="E376" s="27">
        <f>IF(D376="","",D376*'02_Eingaben'!$C$8)</f>
        <v/>
      </c>
      <c r="F376" s="27">
        <f>IF(E376="","",AVERAGE(INDEX($E$2:$E$3001,MAX(1,ROW()-1-'02_Eingaben'!$C$17)):INDEX($E$2:$E$3001,MIN('02_Eingaben'!$C$21,ROW()-1+'02_Eingaben'!$C$17))))</f>
        <v/>
      </c>
      <c r="G376" s="27">
        <f>IF(F376="","",F376-'02_Eingaben'!$C$10)</f>
        <v/>
      </c>
      <c r="H376">
        <f>IF(F376="","",IF(F376&lt;'02_Eingaben'!$C$18*'02_Eingaben'!$C$10,1,0))</f>
        <v/>
      </c>
      <c r="I376" s="27">
        <f>IF(OR(G376="",G377=""),"",(G376+G377)/2*(B377-B376))</f>
        <v/>
      </c>
      <c r="J376" s="27">
        <f>IF(B376="","",IF(B375&lt;'02_Eingaben'!$C$36,0,J375+I375/'02_Eingaben'!$C$8))</f>
        <v/>
      </c>
    </row>
    <row r="377">
      <c r="A377">
        <f>IF('01_Rohdaten'!A377="","",ROW()-1)</f>
        <v/>
      </c>
      <c r="B377" s="27">
        <f>IF('01_Rohdaten'!A377="","",'01_Rohdaten'!A377)</f>
        <v/>
      </c>
      <c r="C377" s="27">
        <f>IF(B377="","",INDEX('01_Rohdaten'!B377:D377,'02_Eingaben'!$C$13))</f>
        <v/>
      </c>
      <c r="D377" s="27">
        <f>IF(C377="","",C377*'02_Eingaben'!$C$15)</f>
        <v/>
      </c>
      <c r="E377" s="27">
        <f>IF(D377="","",D377*'02_Eingaben'!$C$8)</f>
        <v/>
      </c>
      <c r="F377" s="27">
        <f>IF(E377="","",AVERAGE(INDEX($E$2:$E$3001,MAX(1,ROW()-1-'02_Eingaben'!$C$17)):INDEX($E$2:$E$3001,MIN('02_Eingaben'!$C$21,ROW()-1+'02_Eingaben'!$C$17))))</f>
        <v/>
      </c>
      <c r="G377" s="27">
        <f>IF(F377="","",F377-'02_Eingaben'!$C$10)</f>
        <v/>
      </c>
      <c r="H377">
        <f>IF(F377="","",IF(F377&lt;'02_Eingaben'!$C$18*'02_Eingaben'!$C$10,1,0))</f>
        <v/>
      </c>
      <c r="I377" s="27">
        <f>IF(OR(G377="",G378=""),"",(G377+G378)/2*(B378-B377))</f>
        <v/>
      </c>
      <c r="J377" s="27">
        <f>IF(B377="","",IF(B376&lt;'02_Eingaben'!$C$36,0,J376+I376/'02_Eingaben'!$C$8))</f>
        <v/>
      </c>
    </row>
    <row r="378">
      <c r="A378">
        <f>IF('01_Rohdaten'!A378="","",ROW()-1)</f>
        <v/>
      </c>
      <c r="B378" s="27">
        <f>IF('01_Rohdaten'!A378="","",'01_Rohdaten'!A378)</f>
        <v/>
      </c>
      <c r="C378" s="27">
        <f>IF(B378="","",INDEX('01_Rohdaten'!B378:D378,'02_Eingaben'!$C$13))</f>
        <v/>
      </c>
      <c r="D378" s="27">
        <f>IF(C378="","",C378*'02_Eingaben'!$C$15)</f>
        <v/>
      </c>
      <c r="E378" s="27">
        <f>IF(D378="","",D378*'02_Eingaben'!$C$8)</f>
        <v/>
      </c>
      <c r="F378" s="27">
        <f>IF(E378="","",AVERAGE(INDEX($E$2:$E$3001,MAX(1,ROW()-1-'02_Eingaben'!$C$17)):INDEX($E$2:$E$3001,MIN('02_Eingaben'!$C$21,ROW()-1+'02_Eingaben'!$C$17))))</f>
        <v/>
      </c>
      <c r="G378" s="27">
        <f>IF(F378="","",F378-'02_Eingaben'!$C$10)</f>
        <v/>
      </c>
      <c r="H378">
        <f>IF(F378="","",IF(F378&lt;'02_Eingaben'!$C$18*'02_Eingaben'!$C$10,1,0))</f>
        <v/>
      </c>
      <c r="I378" s="27">
        <f>IF(OR(G378="",G379=""),"",(G378+G379)/2*(B379-B378))</f>
        <v/>
      </c>
      <c r="J378" s="27">
        <f>IF(B378="","",IF(B377&lt;'02_Eingaben'!$C$36,0,J377+I377/'02_Eingaben'!$C$8))</f>
        <v/>
      </c>
    </row>
    <row r="379">
      <c r="A379">
        <f>IF('01_Rohdaten'!A379="","",ROW()-1)</f>
        <v/>
      </c>
      <c r="B379" s="27">
        <f>IF('01_Rohdaten'!A379="","",'01_Rohdaten'!A379)</f>
        <v/>
      </c>
      <c r="C379" s="27">
        <f>IF(B379="","",INDEX('01_Rohdaten'!B379:D379,'02_Eingaben'!$C$13))</f>
        <v/>
      </c>
      <c r="D379" s="27">
        <f>IF(C379="","",C379*'02_Eingaben'!$C$15)</f>
        <v/>
      </c>
      <c r="E379" s="27">
        <f>IF(D379="","",D379*'02_Eingaben'!$C$8)</f>
        <v/>
      </c>
      <c r="F379" s="27">
        <f>IF(E379="","",AVERAGE(INDEX($E$2:$E$3001,MAX(1,ROW()-1-'02_Eingaben'!$C$17)):INDEX($E$2:$E$3001,MIN('02_Eingaben'!$C$21,ROW()-1+'02_Eingaben'!$C$17))))</f>
        <v/>
      </c>
      <c r="G379" s="27">
        <f>IF(F379="","",F379-'02_Eingaben'!$C$10)</f>
        <v/>
      </c>
      <c r="H379">
        <f>IF(F379="","",IF(F379&lt;'02_Eingaben'!$C$18*'02_Eingaben'!$C$10,1,0))</f>
        <v/>
      </c>
      <c r="I379" s="27">
        <f>IF(OR(G379="",G380=""),"",(G379+G380)/2*(B380-B379))</f>
        <v/>
      </c>
      <c r="J379" s="27">
        <f>IF(B379="","",IF(B378&lt;'02_Eingaben'!$C$36,0,J378+I378/'02_Eingaben'!$C$8))</f>
        <v/>
      </c>
    </row>
    <row r="380">
      <c r="A380">
        <f>IF('01_Rohdaten'!A380="","",ROW()-1)</f>
        <v/>
      </c>
      <c r="B380" s="27">
        <f>IF('01_Rohdaten'!A380="","",'01_Rohdaten'!A380)</f>
        <v/>
      </c>
      <c r="C380" s="27">
        <f>IF(B380="","",INDEX('01_Rohdaten'!B380:D380,'02_Eingaben'!$C$13))</f>
        <v/>
      </c>
      <c r="D380" s="27">
        <f>IF(C380="","",C380*'02_Eingaben'!$C$15)</f>
        <v/>
      </c>
      <c r="E380" s="27">
        <f>IF(D380="","",D380*'02_Eingaben'!$C$8)</f>
        <v/>
      </c>
      <c r="F380" s="27">
        <f>IF(E380="","",AVERAGE(INDEX($E$2:$E$3001,MAX(1,ROW()-1-'02_Eingaben'!$C$17)):INDEX($E$2:$E$3001,MIN('02_Eingaben'!$C$21,ROW()-1+'02_Eingaben'!$C$17))))</f>
        <v/>
      </c>
      <c r="G380" s="27">
        <f>IF(F380="","",F380-'02_Eingaben'!$C$10)</f>
        <v/>
      </c>
      <c r="H380">
        <f>IF(F380="","",IF(F380&lt;'02_Eingaben'!$C$18*'02_Eingaben'!$C$10,1,0))</f>
        <v/>
      </c>
      <c r="I380" s="27">
        <f>IF(OR(G380="",G381=""),"",(G380+G381)/2*(B381-B380))</f>
        <v/>
      </c>
      <c r="J380" s="27">
        <f>IF(B380="","",IF(B379&lt;'02_Eingaben'!$C$36,0,J379+I379/'02_Eingaben'!$C$8))</f>
        <v/>
      </c>
    </row>
    <row r="381">
      <c r="A381">
        <f>IF('01_Rohdaten'!A381="","",ROW()-1)</f>
        <v/>
      </c>
      <c r="B381" s="27">
        <f>IF('01_Rohdaten'!A381="","",'01_Rohdaten'!A381)</f>
        <v/>
      </c>
      <c r="C381" s="27">
        <f>IF(B381="","",INDEX('01_Rohdaten'!B381:D381,'02_Eingaben'!$C$13))</f>
        <v/>
      </c>
      <c r="D381" s="27">
        <f>IF(C381="","",C381*'02_Eingaben'!$C$15)</f>
        <v/>
      </c>
      <c r="E381" s="27">
        <f>IF(D381="","",D381*'02_Eingaben'!$C$8)</f>
        <v/>
      </c>
      <c r="F381" s="27">
        <f>IF(E381="","",AVERAGE(INDEX($E$2:$E$3001,MAX(1,ROW()-1-'02_Eingaben'!$C$17)):INDEX($E$2:$E$3001,MIN('02_Eingaben'!$C$21,ROW()-1+'02_Eingaben'!$C$17))))</f>
        <v/>
      </c>
      <c r="G381" s="27">
        <f>IF(F381="","",F381-'02_Eingaben'!$C$10)</f>
        <v/>
      </c>
      <c r="H381">
        <f>IF(F381="","",IF(F381&lt;'02_Eingaben'!$C$18*'02_Eingaben'!$C$10,1,0))</f>
        <v/>
      </c>
      <c r="I381" s="27">
        <f>IF(OR(G381="",G382=""),"",(G381+G382)/2*(B382-B381))</f>
        <v/>
      </c>
      <c r="J381" s="27">
        <f>IF(B381="","",IF(B380&lt;'02_Eingaben'!$C$36,0,J380+I380/'02_Eingaben'!$C$8))</f>
        <v/>
      </c>
    </row>
    <row r="382">
      <c r="A382">
        <f>IF('01_Rohdaten'!A382="","",ROW()-1)</f>
        <v/>
      </c>
      <c r="B382" s="27">
        <f>IF('01_Rohdaten'!A382="","",'01_Rohdaten'!A382)</f>
        <v/>
      </c>
      <c r="C382" s="27">
        <f>IF(B382="","",INDEX('01_Rohdaten'!B382:D382,'02_Eingaben'!$C$13))</f>
        <v/>
      </c>
      <c r="D382" s="27">
        <f>IF(C382="","",C382*'02_Eingaben'!$C$15)</f>
        <v/>
      </c>
      <c r="E382" s="27">
        <f>IF(D382="","",D382*'02_Eingaben'!$C$8)</f>
        <v/>
      </c>
      <c r="F382" s="27">
        <f>IF(E382="","",AVERAGE(INDEX($E$2:$E$3001,MAX(1,ROW()-1-'02_Eingaben'!$C$17)):INDEX($E$2:$E$3001,MIN('02_Eingaben'!$C$21,ROW()-1+'02_Eingaben'!$C$17))))</f>
        <v/>
      </c>
      <c r="G382" s="27">
        <f>IF(F382="","",F382-'02_Eingaben'!$C$10)</f>
        <v/>
      </c>
      <c r="H382">
        <f>IF(F382="","",IF(F382&lt;'02_Eingaben'!$C$18*'02_Eingaben'!$C$10,1,0))</f>
        <v/>
      </c>
      <c r="I382" s="27">
        <f>IF(OR(G382="",G383=""),"",(G382+G383)/2*(B383-B382))</f>
        <v/>
      </c>
      <c r="J382" s="27">
        <f>IF(B382="","",IF(B381&lt;'02_Eingaben'!$C$36,0,J381+I381/'02_Eingaben'!$C$8))</f>
        <v/>
      </c>
    </row>
    <row r="383">
      <c r="A383">
        <f>IF('01_Rohdaten'!A383="","",ROW()-1)</f>
        <v/>
      </c>
      <c r="B383" s="27">
        <f>IF('01_Rohdaten'!A383="","",'01_Rohdaten'!A383)</f>
        <v/>
      </c>
      <c r="C383" s="27">
        <f>IF(B383="","",INDEX('01_Rohdaten'!B383:D383,'02_Eingaben'!$C$13))</f>
        <v/>
      </c>
      <c r="D383" s="27">
        <f>IF(C383="","",C383*'02_Eingaben'!$C$15)</f>
        <v/>
      </c>
      <c r="E383" s="27">
        <f>IF(D383="","",D383*'02_Eingaben'!$C$8)</f>
        <v/>
      </c>
      <c r="F383" s="27">
        <f>IF(E383="","",AVERAGE(INDEX($E$2:$E$3001,MAX(1,ROW()-1-'02_Eingaben'!$C$17)):INDEX($E$2:$E$3001,MIN('02_Eingaben'!$C$21,ROW()-1+'02_Eingaben'!$C$17))))</f>
        <v/>
      </c>
      <c r="G383" s="27">
        <f>IF(F383="","",F383-'02_Eingaben'!$C$10)</f>
        <v/>
      </c>
      <c r="H383">
        <f>IF(F383="","",IF(F383&lt;'02_Eingaben'!$C$18*'02_Eingaben'!$C$10,1,0))</f>
        <v/>
      </c>
      <c r="I383" s="27">
        <f>IF(OR(G383="",G384=""),"",(G383+G384)/2*(B384-B383))</f>
        <v/>
      </c>
      <c r="J383" s="27">
        <f>IF(B383="","",IF(B382&lt;'02_Eingaben'!$C$36,0,J382+I382/'02_Eingaben'!$C$8))</f>
        <v/>
      </c>
    </row>
    <row r="384">
      <c r="A384">
        <f>IF('01_Rohdaten'!A384="","",ROW()-1)</f>
        <v/>
      </c>
      <c r="B384" s="27">
        <f>IF('01_Rohdaten'!A384="","",'01_Rohdaten'!A384)</f>
        <v/>
      </c>
      <c r="C384" s="27">
        <f>IF(B384="","",INDEX('01_Rohdaten'!B384:D384,'02_Eingaben'!$C$13))</f>
        <v/>
      </c>
      <c r="D384" s="27">
        <f>IF(C384="","",C384*'02_Eingaben'!$C$15)</f>
        <v/>
      </c>
      <c r="E384" s="27">
        <f>IF(D384="","",D384*'02_Eingaben'!$C$8)</f>
        <v/>
      </c>
      <c r="F384" s="27">
        <f>IF(E384="","",AVERAGE(INDEX($E$2:$E$3001,MAX(1,ROW()-1-'02_Eingaben'!$C$17)):INDEX($E$2:$E$3001,MIN('02_Eingaben'!$C$21,ROW()-1+'02_Eingaben'!$C$17))))</f>
        <v/>
      </c>
      <c r="G384" s="27">
        <f>IF(F384="","",F384-'02_Eingaben'!$C$10)</f>
        <v/>
      </c>
      <c r="H384">
        <f>IF(F384="","",IF(F384&lt;'02_Eingaben'!$C$18*'02_Eingaben'!$C$10,1,0))</f>
        <v/>
      </c>
      <c r="I384" s="27">
        <f>IF(OR(G384="",G385=""),"",(G384+G385)/2*(B385-B384))</f>
        <v/>
      </c>
      <c r="J384" s="27">
        <f>IF(B384="","",IF(B383&lt;'02_Eingaben'!$C$36,0,J383+I383/'02_Eingaben'!$C$8))</f>
        <v/>
      </c>
    </row>
    <row r="385">
      <c r="A385">
        <f>IF('01_Rohdaten'!A385="","",ROW()-1)</f>
        <v/>
      </c>
      <c r="B385" s="27">
        <f>IF('01_Rohdaten'!A385="","",'01_Rohdaten'!A385)</f>
        <v/>
      </c>
      <c r="C385" s="27">
        <f>IF(B385="","",INDEX('01_Rohdaten'!B385:D385,'02_Eingaben'!$C$13))</f>
        <v/>
      </c>
      <c r="D385" s="27">
        <f>IF(C385="","",C385*'02_Eingaben'!$C$15)</f>
        <v/>
      </c>
      <c r="E385" s="27">
        <f>IF(D385="","",D385*'02_Eingaben'!$C$8)</f>
        <v/>
      </c>
      <c r="F385" s="27">
        <f>IF(E385="","",AVERAGE(INDEX($E$2:$E$3001,MAX(1,ROW()-1-'02_Eingaben'!$C$17)):INDEX($E$2:$E$3001,MIN('02_Eingaben'!$C$21,ROW()-1+'02_Eingaben'!$C$17))))</f>
        <v/>
      </c>
      <c r="G385" s="27">
        <f>IF(F385="","",F385-'02_Eingaben'!$C$10)</f>
        <v/>
      </c>
      <c r="H385">
        <f>IF(F385="","",IF(F385&lt;'02_Eingaben'!$C$18*'02_Eingaben'!$C$10,1,0))</f>
        <v/>
      </c>
      <c r="I385" s="27">
        <f>IF(OR(G385="",G386=""),"",(G385+G386)/2*(B386-B385))</f>
        <v/>
      </c>
      <c r="J385" s="27">
        <f>IF(B385="","",IF(B384&lt;'02_Eingaben'!$C$36,0,J384+I384/'02_Eingaben'!$C$8))</f>
        <v/>
      </c>
    </row>
    <row r="386">
      <c r="A386">
        <f>IF('01_Rohdaten'!A386="","",ROW()-1)</f>
        <v/>
      </c>
      <c r="B386" s="27">
        <f>IF('01_Rohdaten'!A386="","",'01_Rohdaten'!A386)</f>
        <v/>
      </c>
      <c r="C386" s="27">
        <f>IF(B386="","",INDEX('01_Rohdaten'!B386:D386,'02_Eingaben'!$C$13))</f>
        <v/>
      </c>
      <c r="D386" s="27">
        <f>IF(C386="","",C386*'02_Eingaben'!$C$15)</f>
        <v/>
      </c>
      <c r="E386" s="27">
        <f>IF(D386="","",D386*'02_Eingaben'!$C$8)</f>
        <v/>
      </c>
      <c r="F386" s="27">
        <f>IF(E386="","",AVERAGE(INDEX($E$2:$E$3001,MAX(1,ROW()-1-'02_Eingaben'!$C$17)):INDEX($E$2:$E$3001,MIN('02_Eingaben'!$C$21,ROW()-1+'02_Eingaben'!$C$17))))</f>
        <v/>
      </c>
      <c r="G386" s="27">
        <f>IF(F386="","",F386-'02_Eingaben'!$C$10)</f>
        <v/>
      </c>
      <c r="H386">
        <f>IF(F386="","",IF(F386&lt;'02_Eingaben'!$C$18*'02_Eingaben'!$C$10,1,0))</f>
        <v/>
      </c>
      <c r="I386" s="27">
        <f>IF(OR(G386="",G387=""),"",(G386+G387)/2*(B387-B386))</f>
        <v/>
      </c>
      <c r="J386" s="27">
        <f>IF(B386="","",IF(B385&lt;'02_Eingaben'!$C$36,0,J385+I385/'02_Eingaben'!$C$8))</f>
        <v/>
      </c>
    </row>
    <row r="387">
      <c r="A387">
        <f>IF('01_Rohdaten'!A387="","",ROW()-1)</f>
        <v/>
      </c>
      <c r="B387" s="27">
        <f>IF('01_Rohdaten'!A387="","",'01_Rohdaten'!A387)</f>
        <v/>
      </c>
      <c r="C387" s="27">
        <f>IF(B387="","",INDEX('01_Rohdaten'!B387:D387,'02_Eingaben'!$C$13))</f>
        <v/>
      </c>
      <c r="D387" s="27">
        <f>IF(C387="","",C387*'02_Eingaben'!$C$15)</f>
        <v/>
      </c>
      <c r="E387" s="27">
        <f>IF(D387="","",D387*'02_Eingaben'!$C$8)</f>
        <v/>
      </c>
      <c r="F387" s="27">
        <f>IF(E387="","",AVERAGE(INDEX($E$2:$E$3001,MAX(1,ROW()-1-'02_Eingaben'!$C$17)):INDEX($E$2:$E$3001,MIN('02_Eingaben'!$C$21,ROW()-1+'02_Eingaben'!$C$17))))</f>
        <v/>
      </c>
      <c r="G387" s="27">
        <f>IF(F387="","",F387-'02_Eingaben'!$C$10)</f>
        <v/>
      </c>
      <c r="H387">
        <f>IF(F387="","",IF(F387&lt;'02_Eingaben'!$C$18*'02_Eingaben'!$C$10,1,0))</f>
        <v/>
      </c>
      <c r="I387" s="27">
        <f>IF(OR(G387="",G388=""),"",(G387+G388)/2*(B388-B387))</f>
        <v/>
      </c>
      <c r="J387" s="27">
        <f>IF(B387="","",IF(B386&lt;'02_Eingaben'!$C$36,0,J386+I386/'02_Eingaben'!$C$8))</f>
        <v/>
      </c>
    </row>
    <row r="388">
      <c r="A388">
        <f>IF('01_Rohdaten'!A388="","",ROW()-1)</f>
        <v/>
      </c>
      <c r="B388" s="27">
        <f>IF('01_Rohdaten'!A388="","",'01_Rohdaten'!A388)</f>
        <v/>
      </c>
      <c r="C388" s="27">
        <f>IF(B388="","",INDEX('01_Rohdaten'!B388:D388,'02_Eingaben'!$C$13))</f>
        <v/>
      </c>
      <c r="D388" s="27">
        <f>IF(C388="","",C388*'02_Eingaben'!$C$15)</f>
        <v/>
      </c>
      <c r="E388" s="27">
        <f>IF(D388="","",D388*'02_Eingaben'!$C$8)</f>
        <v/>
      </c>
      <c r="F388" s="27">
        <f>IF(E388="","",AVERAGE(INDEX($E$2:$E$3001,MAX(1,ROW()-1-'02_Eingaben'!$C$17)):INDEX($E$2:$E$3001,MIN('02_Eingaben'!$C$21,ROW()-1+'02_Eingaben'!$C$17))))</f>
        <v/>
      </c>
      <c r="G388" s="27">
        <f>IF(F388="","",F388-'02_Eingaben'!$C$10)</f>
        <v/>
      </c>
      <c r="H388">
        <f>IF(F388="","",IF(F388&lt;'02_Eingaben'!$C$18*'02_Eingaben'!$C$10,1,0))</f>
        <v/>
      </c>
      <c r="I388" s="27">
        <f>IF(OR(G388="",G389=""),"",(G388+G389)/2*(B389-B388))</f>
        <v/>
      </c>
      <c r="J388" s="27">
        <f>IF(B388="","",IF(B387&lt;'02_Eingaben'!$C$36,0,J387+I387/'02_Eingaben'!$C$8))</f>
        <v/>
      </c>
    </row>
    <row r="389">
      <c r="A389">
        <f>IF('01_Rohdaten'!A389="","",ROW()-1)</f>
        <v/>
      </c>
      <c r="B389" s="27">
        <f>IF('01_Rohdaten'!A389="","",'01_Rohdaten'!A389)</f>
        <v/>
      </c>
      <c r="C389" s="27">
        <f>IF(B389="","",INDEX('01_Rohdaten'!B389:D389,'02_Eingaben'!$C$13))</f>
        <v/>
      </c>
      <c r="D389" s="27">
        <f>IF(C389="","",C389*'02_Eingaben'!$C$15)</f>
        <v/>
      </c>
      <c r="E389" s="27">
        <f>IF(D389="","",D389*'02_Eingaben'!$C$8)</f>
        <v/>
      </c>
      <c r="F389" s="27">
        <f>IF(E389="","",AVERAGE(INDEX($E$2:$E$3001,MAX(1,ROW()-1-'02_Eingaben'!$C$17)):INDEX($E$2:$E$3001,MIN('02_Eingaben'!$C$21,ROW()-1+'02_Eingaben'!$C$17))))</f>
        <v/>
      </c>
      <c r="G389" s="27">
        <f>IF(F389="","",F389-'02_Eingaben'!$C$10)</f>
        <v/>
      </c>
      <c r="H389">
        <f>IF(F389="","",IF(F389&lt;'02_Eingaben'!$C$18*'02_Eingaben'!$C$10,1,0))</f>
        <v/>
      </c>
      <c r="I389" s="27">
        <f>IF(OR(G389="",G390=""),"",(G389+G390)/2*(B390-B389))</f>
        <v/>
      </c>
      <c r="J389" s="27">
        <f>IF(B389="","",IF(B388&lt;'02_Eingaben'!$C$36,0,J388+I388/'02_Eingaben'!$C$8))</f>
        <v/>
      </c>
    </row>
    <row r="390">
      <c r="A390">
        <f>IF('01_Rohdaten'!A390="","",ROW()-1)</f>
        <v/>
      </c>
      <c r="B390" s="27">
        <f>IF('01_Rohdaten'!A390="","",'01_Rohdaten'!A390)</f>
        <v/>
      </c>
      <c r="C390" s="27">
        <f>IF(B390="","",INDEX('01_Rohdaten'!B390:D390,'02_Eingaben'!$C$13))</f>
        <v/>
      </c>
      <c r="D390" s="27">
        <f>IF(C390="","",C390*'02_Eingaben'!$C$15)</f>
        <v/>
      </c>
      <c r="E390" s="27">
        <f>IF(D390="","",D390*'02_Eingaben'!$C$8)</f>
        <v/>
      </c>
      <c r="F390" s="27">
        <f>IF(E390="","",AVERAGE(INDEX($E$2:$E$3001,MAX(1,ROW()-1-'02_Eingaben'!$C$17)):INDEX($E$2:$E$3001,MIN('02_Eingaben'!$C$21,ROW()-1+'02_Eingaben'!$C$17))))</f>
        <v/>
      </c>
      <c r="G390" s="27">
        <f>IF(F390="","",F390-'02_Eingaben'!$C$10)</f>
        <v/>
      </c>
      <c r="H390">
        <f>IF(F390="","",IF(F390&lt;'02_Eingaben'!$C$18*'02_Eingaben'!$C$10,1,0))</f>
        <v/>
      </c>
      <c r="I390" s="27">
        <f>IF(OR(G390="",G391=""),"",(G390+G391)/2*(B391-B390))</f>
        <v/>
      </c>
      <c r="J390" s="27">
        <f>IF(B390="","",IF(B389&lt;'02_Eingaben'!$C$36,0,J389+I389/'02_Eingaben'!$C$8))</f>
        <v/>
      </c>
    </row>
    <row r="391">
      <c r="A391">
        <f>IF('01_Rohdaten'!A391="","",ROW()-1)</f>
        <v/>
      </c>
      <c r="B391" s="27">
        <f>IF('01_Rohdaten'!A391="","",'01_Rohdaten'!A391)</f>
        <v/>
      </c>
      <c r="C391" s="27">
        <f>IF(B391="","",INDEX('01_Rohdaten'!B391:D391,'02_Eingaben'!$C$13))</f>
        <v/>
      </c>
      <c r="D391" s="27">
        <f>IF(C391="","",C391*'02_Eingaben'!$C$15)</f>
        <v/>
      </c>
      <c r="E391" s="27">
        <f>IF(D391="","",D391*'02_Eingaben'!$C$8)</f>
        <v/>
      </c>
      <c r="F391" s="27">
        <f>IF(E391="","",AVERAGE(INDEX($E$2:$E$3001,MAX(1,ROW()-1-'02_Eingaben'!$C$17)):INDEX($E$2:$E$3001,MIN('02_Eingaben'!$C$21,ROW()-1+'02_Eingaben'!$C$17))))</f>
        <v/>
      </c>
      <c r="G391" s="27">
        <f>IF(F391="","",F391-'02_Eingaben'!$C$10)</f>
        <v/>
      </c>
      <c r="H391">
        <f>IF(F391="","",IF(F391&lt;'02_Eingaben'!$C$18*'02_Eingaben'!$C$10,1,0))</f>
        <v/>
      </c>
      <c r="I391" s="27">
        <f>IF(OR(G391="",G392=""),"",(G391+G392)/2*(B392-B391))</f>
        <v/>
      </c>
      <c r="J391" s="27">
        <f>IF(B391="","",IF(B390&lt;'02_Eingaben'!$C$36,0,J390+I390/'02_Eingaben'!$C$8))</f>
        <v/>
      </c>
    </row>
    <row r="392">
      <c r="A392">
        <f>IF('01_Rohdaten'!A392="","",ROW()-1)</f>
        <v/>
      </c>
      <c r="B392" s="27">
        <f>IF('01_Rohdaten'!A392="","",'01_Rohdaten'!A392)</f>
        <v/>
      </c>
      <c r="C392" s="27">
        <f>IF(B392="","",INDEX('01_Rohdaten'!B392:D392,'02_Eingaben'!$C$13))</f>
        <v/>
      </c>
      <c r="D392" s="27">
        <f>IF(C392="","",C392*'02_Eingaben'!$C$15)</f>
        <v/>
      </c>
      <c r="E392" s="27">
        <f>IF(D392="","",D392*'02_Eingaben'!$C$8)</f>
        <v/>
      </c>
      <c r="F392" s="27">
        <f>IF(E392="","",AVERAGE(INDEX($E$2:$E$3001,MAX(1,ROW()-1-'02_Eingaben'!$C$17)):INDEX($E$2:$E$3001,MIN('02_Eingaben'!$C$21,ROW()-1+'02_Eingaben'!$C$17))))</f>
        <v/>
      </c>
      <c r="G392" s="27">
        <f>IF(F392="","",F392-'02_Eingaben'!$C$10)</f>
        <v/>
      </c>
      <c r="H392">
        <f>IF(F392="","",IF(F392&lt;'02_Eingaben'!$C$18*'02_Eingaben'!$C$10,1,0))</f>
        <v/>
      </c>
      <c r="I392" s="27">
        <f>IF(OR(G392="",G393=""),"",(G392+G393)/2*(B393-B392))</f>
        <v/>
      </c>
      <c r="J392" s="27">
        <f>IF(B392="","",IF(B391&lt;'02_Eingaben'!$C$36,0,J391+I391/'02_Eingaben'!$C$8))</f>
        <v/>
      </c>
    </row>
    <row r="393">
      <c r="A393">
        <f>IF('01_Rohdaten'!A393="","",ROW()-1)</f>
        <v/>
      </c>
      <c r="B393" s="27">
        <f>IF('01_Rohdaten'!A393="","",'01_Rohdaten'!A393)</f>
        <v/>
      </c>
      <c r="C393" s="27">
        <f>IF(B393="","",INDEX('01_Rohdaten'!B393:D393,'02_Eingaben'!$C$13))</f>
        <v/>
      </c>
      <c r="D393" s="27">
        <f>IF(C393="","",C393*'02_Eingaben'!$C$15)</f>
        <v/>
      </c>
      <c r="E393" s="27">
        <f>IF(D393="","",D393*'02_Eingaben'!$C$8)</f>
        <v/>
      </c>
      <c r="F393" s="27">
        <f>IF(E393="","",AVERAGE(INDEX($E$2:$E$3001,MAX(1,ROW()-1-'02_Eingaben'!$C$17)):INDEX($E$2:$E$3001,MIN('02_Eingaben'!$C$21,ROW()-1+'02_Eingaben'!$C$17))))</f>
        <v/>
      </c>
      <c r="G393" s="27">
        <f>IF(F393="","",F393-'02_Eingaben'!$C$10)</f>
        <v/>
      </c>
      <c r="H393">
        <f>IF(F393="","",IF(F393&lt;'02_Eingaben'!$C$18*'02_Eingaben'!$C$10,1,0))</f>
        <v/>
      </c>
      <c r="I393" s="27">
        <f>IF(OR(G393="",G394=""),"",(G393+G394)/2*(B394-B393))</f>
        <v/>
      </c>
      <c r="J393" s="27">
        <f>IF(B393="","",IF(B392&lt;'02_Eingaben'!$C$36,0,J392+I392/'02_Eingaben'!$C$8))</f>
        <v/>
      </c>
    </row>
    <row r="394">
      <c r="A394">
        <f>IF('01_Rohdaten'!A394="","",ROW()-1)</f>
        <v/>
      </c>
      <c r="B394" s="27">
        <f>IF('01_Rohdaten'!A394="","",'01_Rohdaten'!A394)</f>
        <v/>
      </c>
      <c r="C394" s="27">
        <f>IF(B394="","",INDEX('01_Rohdaten'!B394:D394,'02_Eingaben'!$C$13))</f>
        <v/>
      </c>
      <c r="D394" s="27">
        <f>IF(C394="","",C394*'02_Eingaben'!$C$15)</f>
        <v/>
      </c>
      <c r="E394" s="27">
        <f>IF(D394="","",D394*'02_Eingaben'!$C$8)</f>
        <v/>
      </c>
      <c r="F394" s="27">
        <f>IF(E394="","",AVERAGE(INDEX($E$2:$E$3001,MAX(1,ROW()-1-'02_Eingaben'!$C$17)):INDEX($E$2:$E$3001,MIN('02_Eingaben'!$C$21,ROW()-1+'02_Eingaben'!$C$17))))</f>
        <v/>
      </c>
      <c r="G394" s="27">
        <f>IF(F394="","",F394-'02_Eingaben'!$C$10)</f>
        <v/>
      </c>
      <c r="H394">
        <f>IF(F394="","",IF(F394&lt;'02_Eingaben'!$C$18*'02_Eingaben'!$C$10,1,0))</f>
        <v/>
      </c>
      <c r="I394" s="27">
        <f>IF(OR(G394="",G395=""),"",(G394+G395)/2*(B395-B394))</f>
        <v/>
      </c>
      <c r="J394" s="27">
        <f>IF(B394="","",IF(B393&lt;'02_Eingaben'!$C$36,0,J393+I393/'02_Eingaben'!$C$8))</f>
        <v/>
      </c>
    </row>
    <row r="395">
      <c r="A395">
        <f>IF('01_Rohdaten'!A395="","",ROW()-1)</f>
        <v/>
      </c>
      <c r="B395" s="27">
        <f>IF('01_Rohdaten'!A395="","",'01_Rohdaten'!A395)</f>
        <v/>
      </c>
      <c r="C395" s="27">
        <f>IF(B395="","",INDEX('01_Rohdaten'!B395:D395,'02_Eingaben'!$C$13))</f>
        <v/>
      </c>
      <c r="D395" s="27">
        <f>IF(C395="","",C395*'02_Eingaben'!$C$15)</f>
        <v/>
      </c>
      <c r="E395" s="27">
        <f>IF(D395="","",D395*'02_Eingaben'!$C$8)</f>
        <v/>
      </c>
      <c r="F395" s="27">
        <f>IF(E395="","",AVERAGE(INDEX($E$2:$E$3001,MAX(1,ROW()-1-'02_Eingaben'!$C$17)):INDEX($E$2:$E$3001,MIN('02_Eingaben'!$C$21,ROW()-1+'02_Eingaben'!$C$17))))</f>
        <v/>
      </c>
      <c r="G395" s="27">
        <f>IF(F395="","",F395-'02_Eingaben'!$C$10)</f>
        <v/>
      </c>
      <c r="H395">
        <f>IF(F395="","",IF(F395&lt;'02_Eingaben'!$C$18*'02_Eingaben'!$C$10,1,0))</f>
        <v/>
      </c>
      <c r="I395" s="27">
        <f>IF(OR(G395="",G396=""),"",(G395+G396)/2*(B396-B395))</f>
        <v/>
      </c>
      <c r="J395" s="27">
        <f>IF(B395="","",IF(B394&lt;'02_Eingaben'!$C$36,0,J394+I394/'02_Eingaben'!$C$8))</f>
        <v/>
      </c>
    </row>
    <row r="396">
      <c r="A396">
        <f>IF('01_Rohdaten'!A396="","",ROW()-1)</f>
        <v/>
      </c>
      <c r="B396" s="27">
        <f>IF('01_Rohdaten'!A396="","",'01_Rohdaten'!A396)</f>
        <v/>
      </c>
      <c r="C396" s="27">
        <f>IF(B396="","",INDEX('01_Rohdaten'!B396:D396,'02_Eingaben'!$C$13))</f>
        <v/>
      </c>
      <c r="D396" s="27">
        <f>IF(C396="","",C396*'02_Eingaben'!$C$15)</f>
        <v/>
      </c>
      <c r="E396" s="27">
        <f>IF(D396="","",D396*'02_Eingaben'!$C$8)</f>
        <v/>
      </c>
      <c r="F396" s="27">
        <f>IF(E396="","",AVERAGE(INDEX($E$2:$E$3001,MAX(1,ROW()-1-'02_Eingaben'!$C$17)):INDEX($E$2:$E$3001,MIN('02_Eingaben'!$C$21,ROW()-1+'02_Eingaben'!$C$17))))</f>
        <v/>
      </c>
      <c r="G396" s="27">
        <f>IF(F396="","",F396-'02_Eingaben'!$C$10)</f>
        <v/>
      </c>
      <c r="H396">
        <f>IF(F396="","",IF(F396&lt;'02_Eingaben'!$C$18*'02_Eingaben'!$C$10,1,0))</f>
        <v/>
      </c>
      <c r="I396" s="27">
        <f>IF(OR(G396="",G397=""),"",(G396+G397)/2*(B397-B396))</f>
        <v/>
      </c>
      <c r="J396" s="27">
        <f>IF(B396="","",IF(B395&lt;'02_Eingaben'!$C$36,0,J395+I395/'02_Eingaben'!$C$8))</f>
        <v/>
      </c>
    </row>
    <row r="397">
      <c r="A397">
        <f>IF('01_Rohdaten'!A397="","",ROW()-1)</f>
        <v/>
      </c>
      <c r="B397" s="27">
        <f>IF('01_Rohdaten'!A397="","",'01_Rohdaten'!A397)</f>
        <v/>
      </c>
      <c r="C397" s="27">
        <f>IF(B397="","",INDEX('01_Rohdaten'!B397:D397,'02_Eingaben'!$C$13))</f>
        <v/>
      </c>
      <c r="D397" s="27">
        <f>IF(C397="","",C397*'02_Eingaben'!$C$15)</f>
        <v/>
      </c>
      <c r="E397" s="27">
        <f>IF(D397="","",D397*'02_Eingaben'!$C$8)</f>
        <v/>
      </c>
      <c r="F397" s="27">
        <f>IF(E397="","",AVERAGE(INDEX($E$2:$E$3001,MAX(1,ROW()-1-'02_Eingaben'!$C$17)):INDEX($E$2:$E$3001,MIN('02_Eingaben'!$C$21,ROW()-1+'02_Eingaben'!$C$17))))</f>
        <v/>
      </c>
      <c r="G397" s="27">
        <f>IF(F397="","",F397-'02_Eingaben'!$C$10)</f>
        <v/>
      </c>
      <c r="H397">
        <f>IF(F397="","",IF(F397&lt;'02_Eingaben'!$C$18*'02_Eingaben'!$C$10,1,0))</f>
        <v/>
      </c>
      <c r="I397" s="27">
        <f>IF(OR(G397="",G398=""),"",(G397+G398)/2*(B398-B397))</f>
        <v/>
      </c>
      <c r="J397" s="27">
        <f>IF(B397="","",IF(B396&lt;'02_Eingaben'!$C$36,0,J396+I396/'02_Eingaben'!$C$8))</f>
        <v/>
      </c>
    </row>
    <row r="398">
      <c r="A398">
        <f>IF('01_Rohdaten'!A398="","",ROW()-1)</f>
        <v/>
      </c>
      <c r="B398" s="27">
        <f>IF('01_Rohdaten'!A398="","",'01_Rohdaten'!A398)</f>
        <v/>
      </c>
      <c r="C398" s="27">
        <f>IF(B398="","",INDEX('01_Rohdaten'!B398:D398,'02_Eingaben'!$C$13))</f>
        <v/>
      </c>
      <c r="D398" s="27">
        <f>IF(C398="","",C398*'02_Eingaben'!$C$15)</f>
        <v/>
      </c>
      <c r="E398" s="27">
        <f>IF(D398="","",D398*'02_Eingaben'!$C$8)</f>
        <v/>
      </c>
      <c r="F398" s="27">
        <f>IF(E398="","",AVERAGE(INDEX($E$2:$E$3001,MAX(1,ROW()-1-'02_Eingaben'!$C$17)):INDEX($E$2:$E$3001,MIN('02_Eingaben'!$C$21,ROW()-1+'02_Eingaben'!$C$17))))</f>
        <v/>
      </c>
      <c r="G398" s="27">
        <f>IF(F398="","",F398-'02_Eingaben'!$C$10)</f>
        <v/>
      </c>
      <c r="H398">
        <f>IF(F398="","",IF(F398&lt;'02_Eingaben'!$C$18*'02_Eingaben'!$C$10,1,0))</f>
        <v/>
      </c>
      <c r="I398" s="27">
        <f>IF(OR(G398="",G399=""),"",(G398+G399)/2*(B399-B398))</f>
        <v/>
      </c>
      <c r="J398" s="27">
        <f>IF(B398="","",IF(B397&lt;'02_Eingaben'!$C$36,0,J397+I397/'02_Eingaben'!$C$8))</f>
        <v/>
      </c>
    </row>
    <row r="399">
      <c r="A399">
        <f>IF('01_Rohdaten'!A399="","",ROW()-1)</f>
        <v/>
      </c>
      <c r="B399" s="27">
        <f>IF('01_Rohdaten'!A399="","",'01_Rohdaten'!A399)</f>
        <v/>
      </c>
      <c r="C399" s="27">
        <f>IF(B399="","",INDEX('01_Rohdaten'!B399:D399,'02_Eingaben'!$C$13))</f>
        <v/>
      </c>
      <c r="D399" s="27">
        <f>IF(C399="","",C399*'02_Eingaben'!$C$15)</f>
        <v/>
      </c>
      <c r="E399" s="27">
        <f>IF(D399="","",D399*'02_Eingaben'!$C$8)</f>
        <v/>
      </c>
      <c r="F399" s="27">
        <f>IF(E399="","",AVERAGE(INDEX($E$2:$E$3001,MAX(1,ROW()-1-'02_Eingaben'!$C$17)):INDEX($E$2:$E$3001,MIN('02_Eingaben'!$C$21,ROW()-1+'02_Eingaben'!$C$17))))</f>
        <v/>
      </c>
      <c r="G399" s="27">
        <f>IF(F399="","",F399-'02_Eingaben'!$C$10)</f>
        <v/>
      </c>
      <c r="H399">
        <f>IF(F399="","",IF(F399&lt;'02_Eingaben'!$C$18*'02_Eingaben'!$C$10,1,0))</f>
        <v/>
      </c>
      <c r="I399" s="27">
        <f>IF(OR(G399="",G400=""),"",(G399+G400)/2*(B400-B399))</f>
        <v/>
      </c>
      <c r="J399" s="27">
        <f>IF(B399="","",IF(B398&lt;'02_Eingaben'!$C$36,0,J398+I398/'02_Eingaben'!$C$8))</f>
        <v/>
      </c>
    </row>
    <row r="400">
      <c r="A400">
        <f>IF('01_Rohdaten'!A400="","",ROW()-1)</f>
        <v/>
      </c>
      <c r="B400" s="27">
        <f>IF('01_Rohdaten'!A400="","",'01_Rohdaten'!A400)</f>
        <v/>
      </c>
      <c r="C400" s="27">
        <f>IF(B400="","",INDEX('01_Rohdaten'!B400:D400,'02_Eingaben'!$C$13))</f>
        <v/>
      </c>
      <c r="D400" s="27">
        <f>IF(C400="","",C400*'02_Eingaben'!$C$15)</f>
        <v/>
      </c>
      <c r="E400" s="27">
        <f>IF(D400="","",D400*'02_Eingaben'!$C$8)</f>
        <v/>
      </c>
      <c r="F400" s="27">
        <f>IF(E400="","",AVERAGE(INDEX($E$2:$E$3001,MAX(1,ROW()-1-'02_Eingaben'!$C$17)):INDEX($E$2:$E$3001,MIN('02_Eingaben'!$C$21,ROW()-1+'02_Eingaben'!$C$17))))</f>
        <v/>
      </c>
      <c r="G400" s="27">
        <f>IF(F400="","",F400-'02_Eingaben'!$C$10)</f>
        <v/>
      </c>
      <c r="H400">
        <f>IF(F400="","",IF(F400&lt;'02_Eingaben'!$C$18*'02_Eingaben'!$C$10,1,0))</f>
        <v/>
      </c>
      <c r="I400" s="27">
        <f>IF(OR(G400="",G401=""),"",(G400+G401)/2*(B401-B400))</f>
        <v/>
      </c>
      <c r="J400" s="27">
        <f>IF(B400="","",IF(B399&lt;'02_Eingaben'!$C$36,0,J399+I399/'02_Eingaben'!$C$8))</f>
        <v/>
      </c>
    </row>
    <row r="401">
      <c r="A401">
        <f>IF('01_Rohdaten'!A401="","",ROW()-1)</f>
        <v/>
      </c>
      <c r="B401" s="27">
        <f>IF('01_Rohdaten'!A401="","",'01_Rohdaten'!A401)</f>
        <v/>
      </c>
      <c r="C401" s="27">
        <f>IF(B401="","",INDEX('01_Rohdaten'!B401:D401,'02_Eingaben'!$C$13))</f>
        <v/>
      </c>
      <c r="D401" s="27">
        <f>IF(C401="","",C401*'02_Eingaben'!$C$15)</f>
        <v/>
      </c>
      <c r="E401" s="27">
        <f>IF(D401="","",D401*'02_Eingaben'!$C$8)</f>
        <v/>
      </c>
      <c r="F401" s="27">
        <f>IF(E401="","",AVERAGE(INDEX($E$2:$E$3001,MAX(1,ROW()-1-'02_Eingaben'!$C$17)):INDEX($E$2:$E$3001,MIN('02_Eingaben'!$C$21,ROW()-1+'02_Eingaben'!$C$17))))</f>
        <v/>
      </c>
      <c r="G401" s="27">
        <f>IF(F401="","",F401-'02_Eingaben'!$C$10)</f>
        <v/>
      </c>
      <c r="H401">
        <f>IF(F401="","",IF(F401&lt;'02_Eingaben'!$C$18*'02_Eingaben'!$C$10,1,0))</f>
        <v/>
      </c>
      <c r="I401" s="27">
        <f>IF(OR(G401="",G402=""),"",(G401+G402)/2*(B402-B401))</f>
        <v/>
      </c>
      <c r="J401" s="27">
        <f>IF(B401="","",IF(B400&lt;'02_Eingaben'!$C$36,0,J400+I400/'02_Eingaben'!$C$8))</f>
        <v/>
      </c>
    </row>
    <row r="402">
      <c r="A402">
        <f>IF('01_Rohdaten'!A402="","",ROW()-1)</f>
        <v/>
      </c>
      <c r="B402" s="27">
        <f>IF('01_Rohdaten'!A402="","",'01_Rohdaten'!A402)</f>
        <v/>
      </c>
      <c r="C402" s="27">
        <f>IF(B402="","",INDEX('01_Rohdaten'!B402:D402,'02_Eingaben'!$C$13))</f>
        <v/>
      </c>
      <c r="D402" s="27">
        <f>IF(C402="","",C402*'02_Eingaben'!$C$15)</f>
        <v/>
      </c>
      <c r="E402" s="27">
        <f>IF(D402="","",D402*'02_Eingaben'!$C$8)</f>
        <v/>
      </c>
      <c r="F402" s="27">
        <f>IF(E402="","",AVERAGE(INDEX($E$2:$E$3001,MAX(1,ROW()-1-'02_Eingaben'!$C$17)):INDEX($E$2:$E$3001,MIN('02_Eingaben'!$C$21,ROW()-1+'02_Eingaben'!$C$17))))</f>
        <v/>
      </c>
      <c r="G402" s="27">
        <f>IF(F402="","",F402-'02_Eingaben'!$C$10)</f>
        <v/>
      </c>
      <c r="H402">
        <f>IF(F402="","",IF(F402&lt;'02_Eingaben'!$C$18*'02_Eingaben'!$C$10,1,0))</f>
        <v/>
      </c>
      <c r="I402" s="27">
        <f>IF(OR(G402="",G403=""),"",(G402+G403)/2*(B403-B402))</f>
        <v/>
      </c>
      <c r="J402" s="27">
        <f>IF(B402="","",IF(B401&lt;'02_Eingaben'!$C$36,0,J401+I401/'02_Eingaben'!$C$8))</f>
        <v/>
      </c>
    </row>
    <row r="403">
      <c r="A403">
        <f>IF('01_Rohdaten'!A403="","",ROW()-1)</f>
        <v/>
      </c>
      <c r="B403" s="27">
        <f>IF('01_Rohdaten'!A403="","",'01_Rohdaten'!A403)</f>
        <v/>
      </c>
      <c r="C403" s="27">
        <f>IF(B403="","",INDEX('01_Rohdaten'!B403:D403,'02_Eingaben'!$C$13))</f>
        <v/>
      </c>
      <c r="D403" s="27">
        <f>IF(C403="","",C403*'02_Eingaben'!$C$15)</f>
        <v/>
      </c>
      <c r="E403" s="27">
        <f>IF(D403="","",D403*'02_Eingaben'!$C$8)</f>
        <v/>
      </c>
      <c r="F403" s="27">
        <f>IF(E403="","",AVERAGE(INDEX($E$2:$E$3001,MAX(1,ROW()-1-'02_Eingaben'!$C$17)):INDEX($E$2:$E$3001,MIN('02_Eingaben'!$C$21,ROW()-1+'02_Eingaben'!$C$17))))</f>
        <v/>
      </c>
      <c r="G403" s="27">
        <f>IF(F403="","",F403-'02_Eingaben'!$C$10)</f>
        <v/>
      </c>
      <c r="H403">
        <f>IF(F403="","",IF(F403&lt;'02_Eingaben'!$C$18*'02_Eingaben'!$C$10,1,0))</f>
        <v/>
      </c>
      <c r="I403" s="27">
        <f>IF(OR(G403="",G404=""),"",(G403+G404)/2*(B404-B403))</f>
        <v/>
      </c>
      <c r="J403" s="27">
        <f>IF(B403="","",IF(B402&lt;'02_Eingaben'!$C$36,0,J402+I402/'02_Eingaben'!$C$8))</f>
        <v/>
      </c>
    </row>
    <row r="404">
      <c r="A404">
        <f>IF('01_Rohdaten'!A404="","",ROW()-1)</f>
        <v/>
      </c>
      <c r="B404" s="27">
        <f>IF('01_Rohdaten'!A404="","",'01_Rohdaten'!A404)</f>
        <v/>
      </c>
      <c r="C404" s="27">
        <f>IF(B404="","",INDEX('01_Rohdaten'!B404:D404,'02_Eingaben'!$C$13))</f>
        <v/>
      </c>
      <c r="D404" s="27">
        <f>IF(C404="","",C404*'02_Eingaben'!$C$15)</f>
        <v/>
      </c>
      <c r="E404" s="27">
        <f>IF(D404="","",D404*'02_Eingaben'!$C$8)</f>
        <v/>
      </c>
      <c r="F404" s="27">
        <f>IF(E404="","",AVERAGE(INDEX($E$2:$E$3001,MAX(1,ROW()-1-'02_Eingaben'!$C$17)):INDEX($E$2:$E$3001,MIN('02_Eingaben'!$C$21,ROW()-1+'02_Eingaben'!$C$17))))</f>
        <v/>
      </c>
      <c r="G404" s="27">
        <f>IF(F404="","",F404-'02_Eingaben'!$C$10)</f>
        <v/>
      </c>
      <c r="H404">
        <f>IF(F404="","",IF(F404&lt;'02_Eingaben'!$C$18*'02_Eingaben'!$C$10,1,0))</f>
        <v/>
      </c>
      <c r="I404" s="27">
        <f>IF(OR(G404="",G405=""),"",(G404+G405)/2*(B405-B404))</f>
        <v/>
      </c>
      <c r="J404" s="27">
        <f>IF(B404="","",IF(B403&lt;'02_Eingaben'!$C$36,0,J403+I403/'02_Eingaben'!$C$8))</f>
        <v/>
      </c>
    </row>
    <row r="405">
      <c r="A405">
        <f>IF('01_Rohdaten'!A405="","",ROW()-1)</f>
        <v/>
      </c>
      <c r="B405" s="27">
        <f>IF('01_Rohdaten'!A405="","",'01_Rohdaten'!A405)</f>
        <v/>
      </c>
      <c r="C405" s="27">
        <f>IF(B405="","",INDEX('01_Rohdaten'!B405:D405,'02_Eingaben'!$C$13))</f>
        <v/>
      </c>
      <c r="D405" s="27">
        <f>IF(C405="","",C405*'02_Eingaben'!$C$15)</f>
        <v/>
      </c>
      <c r="E405" s="27">
        <f>IF(D405="","",D405*'02_Eingaben'!$C$8)</f>
        <v/>
      </c>
      <c r="F405" s="27">
        <f>IF(E405="","",AVERAGE(INDEX($E$2:$E$3001,MAX(1,ROW()-1-'02_Eingaben'!$C$17)):INDEX($E$2:$E$3001,MIN('02_Eingaben'!$C$21,ROW()-1+'02_Eingaben'!$C$17))))</f>
        <v/>
      </c>
      <c r="G405" s="27">
        <f>IF(F405="","",F405-'02_Eingaben'!$C$10)</f>
        <v/>
      </c>
      <c r="H405">
        <f>IF(F405="","",IF(F405&lt;'02_Eingaben'!$C$18*'02_Eingaben'!$C$10,1,0))</f>
        <v/>
      </c>
      <c r="I405" s="27">
        <f>IF(OR(G405="",G406=""),"",(G405+G406)/2*(B406-B405))</f>
        <v/>
      </c>
      <c r="J405" s="27">
        <f>IF(B405="","",IF(B404&lt;'02_Eingaben'!$C$36,0,J404+I404/'02_Eingaben'!$C$8))</f>
        <v/>
      </c>
    </row>
    <row r="406">
      <c r="A406">
        <f>IF('01_Rohdaten'!A406="","",ROW()-1)</f>
        <v/>
      </c>
      <c r="B406" s="27">
        <f>IF('01_Rohdaten'!A406="","",'01_Rohdaten'!A406)</f>
        <v/>
      </c>
      <c r="C406" s="27">
        <f>IF(B406="","",INDEX('01_Rohdaten'!B406:D406,'02_Eingaben'!$C$13))</f>
        <v/>
      </c>
      <c r="D406" s="27">
        <f>IF(C406="","",C406*'02_Eingaben'!$C$15)</f>
        <v/>
      </c>
      <c r="E406" s="27">
        <f>IF(D406="","",D406*'02_Eingaben'!$C$8)</f>
        <v/>
      </c>
      <c r="F406" s="27">
        <f>IF(E406="","",AVERAGE(INDEX($E$2:$E$3001,MAX(1,ROW()-1-'02_Eingaben'!$C$17)):INDEX($E$2:$E$3001,MIN('02_Eingaben'!$C$21,ROW()-1+'02_Eingaben'!$C$17))))</f>
        <v/>
      </c>
      <c r="G406" s="27">
        <f>IF(F406="","",F406-'02_Eingaben'!$C$10)</f>
        <v/>
      </c>
      <c r="H406">
        <f>IF(F406="","",IF(F406&lt;'02_Eingaben'!$C$18*'02_Eingaben'!$C$10,1,0))</f>
        <v/>
      </c>
      <c r="I406" s="27">
        <f>IF(OR(G406="",G407=""),"",(G406+G407)/2*(B407-B406))</f>
        <v/>
      </c>
      <c r="J406" s="27">
        <f>IF(B406="","",IF(B405&lt;'02_Eingaben'!$C$36,0,J405+I405/'02_Eingaben'!$C$8))</f>
        <v/>
      </c>
    </row>
    <row r="407">
      <c r="A407">
        <f>IF('01_Rohdaten'!A407="","",ROW()-1)</f>
        <v/>
      </c>
      <c r="B407" s="27">
        <f>IF('01_Rohdaten'!A407="","",'01_Rohdaten'!A407)</f>
        <v/>
      </c>
      <c r="C407" s="27">
        <f>IF(B407="","",INDEX('01_Rohdaten'!B407:D407,'02_Eingaben'!$C$13))</f>
        <v/>
      </c>
      <c r="D407" s="27">
        <f>IF(C407="","",C407*'02_Eingaben'!$C$15)</f>
        <v/>
      </c>
      <c r="E407" s="27">
        <f>IF(D407="","",D407*'02_Eingaben'!$C$8)</f>
        <v/>
      </c>
      <c r="F407" s="27">
        <f>IF(E407="","",AVERAGE(INDEX($E$2:$E$3001,MAX(1,ROW()-1-'02_Eingaben'!$C$17)):INDEX($E$2:$E$3001,MIN('02_Eingaben'!$C$21,ROW()-1+'02_Eingaben'!$C$17))))</f>
        <v/>
      </c>
      <c r="G407" s="27">
        <f>IF(F407="","",F407-'02_Eingaben'!$C$10)</f>
        <v/>
      </c>
      <c r="H407">
        <f>IF(F407="","",IF(F407&lt;'02_Eingaben'!$C$18*'02_Eingaben'!$C$10,1,0))</f>
        <v/>
      </c>
      <c r="I407" s="27">
        <f>IF(OR(G407="",G408=""),"",(G407+G408)/2*(B408-B407))</f>
        <v/>
      </c>
      <c r="J407" s="27">
        <f>IF(B407="","",IF(B406&lt;'02_Eingaben'!$C$36,0,J406+I406/'02_Eingaben'!$C$8))</f>
        <v/>
      </c>
    </row>
    <row r="408">
      <c r="A408">
        <f>IF('01_Rohdaten'!A408="","",ROW()-1)</f>
        <v/>
      </c>
      <c r="B408" s="27">
        <f>IF('01_Rohdaten'!A408="","",'01_Rohdaten'!A408)</f>
        <v/>
      </c>
      <c r="C408" s="27">
        <f>IF(B408="","",INDEX('01_Rohdaten'!B408:D408,'02_Eingaben'!$C$13))</f>
        <v/>
      </c>
      <c r="D408" s="27">
        <f>IF(C408="","",C408*'02_Eingaben'!$C$15)</f>
        <v/>
      </c>
      <c r="E408" s="27">
        <f>IF(D408="","",D408*'02_Eingaben'!$C$8)</f>
        <v/>
      </c>
      <c r="F408" s="27">
        <f>IF(E408="","",AVERAGE(INDEX($E$2:$E$3001,MAX(1,ROW()-1-'02_Eingaben'!$C$17)):INDEX($E$2:$E$3001,MIN('02_Eingaben'!$C$21,ROW()-1+'02_Eingaben'!$C$17))))</f>
        <v/>
      </c>
      <c r="G408" s="27">
        <f>IF(F408="","",F408-'02_Eingaben'!$C$10)</f>
        <v/>
      </c>
      <c r="H408">
        <f>IF(F408="","",IF(F408&lt;'02_Eingaben'!$C$18*'02_Eingaben'!$C$10,1,0))</f>
        <v/>
      </c>
      <c r="I408" s="27">
        <f>IF(OR(G408="",G409=""),"",(G408+G409)/2*(B409-B408))</f>
        <v/>
      </c>
      <c r="J408" s="27">
        <f>IF(B408="","",IF(B407&lt;'02_Eingaben'!$C$36,0,J407+I407/'02_Eingaben'!$C$8))</f>
        <v/>
      </c>
    </row>
    <row r="409">
      <c r="A409">
        <f>IF('01_Rohdaten'!A409="","",ROW()-1)</f>
        <v/>
      </c>
      <c r="B409" s="27">
        <f>IF('01_Rohdaten'!A409="","",'01_Rohdaten'!A409)</f>
        <v/>
      </c>
      <c r="C409" s="27">
        <f>IF(B409="","",INDEX('01_Rohdaten'!B409:D409,'02_Eingaben'!$C$13))</f>
        <v/>
      </c>
      <c r="D409" s="27">
        <f>IF(C409="","",C409*'02_Eingaben'!$C$15)</f>
        <v/>
      </c>
      <c r="E409" s="27">
        <f>IF(D409="","",D409*'02_Eingaben'!$C$8)</f>
        <v/>
      </c>
      <c r="F409" s="27">
        <f>IF(E409="","",AVERAGE(INDEX($E$2:$E$3001,MAX(1,ROW()-1-'02_Eingaben'!$C$17)):INDEX($E$2:$E$3001,MIN('02_Eingaben'!$C$21,ROW()-1+'02_Eingaben'!$C$17))))</f>
        <v/>
      </c>
      <c r="G409" s="27">
        <f>IF(F409="","",F409-'02_Eingaben'!$C$10)</f>
        <v/>
      </c>
      <c r="H409">
        <f>IF(F409="","",IF(F409&lt;'02_Eingaben'!$C$18*'02_Eingaben'!$C$10,1,0))</f>
        <v/>
      </c>
      <c r="I409" s="27">
        <f>IF(OR(G409="",G410=""),"",(G409+G410)/2*(B410-B409))</f>
        <v/>
      </c>
      <c r="J409" s="27">
        <f>IF(B409="","",IF(B408&lt;'02_Eingaben'!$C$36,0,J408+I408/'02_Eingaben'!$C$8))</f>
        <v/>
      </c>
    </row>
    <row r="410">
      <c r="A410">
        <f>IF('01_Rohdaten'!A410="","",ROW()-1)</f>
        <v/>
      </c>
      <c r="B410" s="27">
        <f>IF('01_Rohdaten'!A410="","",'01_Rohdaten'!A410)</f>
        <v/>
      </c>
      <c r="C410" s="27">
        <f>IF(B410="","",INDEX('01_Rohdaten'!B410:D410,'02_Eingaben'!$C$13))</f>
        <v/>
      </c>
      <c r="D410" s="27">
        <f>IF(C410="","",C410*'02_Eingaben'!$C$15)</f>
        <v/>
      </c>
      <c r="E410" s="27">
        <f>IF(D410="","",D410*'02_Eingaben'!$C$8)</f>
        <v/>
      </c>
      <c r="F410" s="27">
        <f>IF(E410="","",AVERAGE(INDEX($E$2:$E$3001,MAX(1,ROW()-1-'02_Eingaben'!$C$17)):INDEX($E$2:$E$3001,MIN('02_Eingaben'!$C$21,ROW()-1+'02_Eingaben'!$C$17))))</f>
        <v/>
      </c>
      <c r="G410" s="27">
        <f>IF(F410="","",F410-'02_Eingaben'!$C$10)</f>
        <v/>
      </c>
      <c r="H410">
        <f>IF(F410="","",IF(F410&lt;'02_Eingaben'!$C$18*'02_Eingaben'!$C$10,1,0))</f>
        <v/>
      </c>
      <c r="I410" s="27">
        <f>IF(OR(G410="",G411=""),"",(G410+G411)/2*(B411-B410))</f>
        <v/>
      </c>
      <c r="J410" s="27">
        <f>IF(B410="","",IF(B409&lt;'02_Eingaben'!$C$36,0,J409+I409/'02_Eingaben'!$C$8))</f>
        <v/>
      </c>
    </row>
    <row r="411">
      <c r="A411">
        <f>IF('01_Rohdaten'!A411="","",ROW()-1)</f>
        <v/>
      </c>
      <c r="B411" s="27">
        <f>IF('01_Rohdaten'!A411="","",'01_Rohdaten'!A411)</f>
        <v/>
      </c>
      <c r="C411" s="27">
        <f>IF(B411="","",INDEX('01_Rohdaten'!B411:D411,'02_Eingaben'!$C$13))</f>
        <v/>
      </c>
      <c r="D411" s="27">
        <f>IF(C411="","",C411*'02_Eingaben'!$C$15)</f>
        <v/>
      </c>
      <c r="E411" s="27">
        <f>IF(D411="","",D411*'02_Eingaben'!$C$8)</f>
        <v/>
      </c>
      <c r="F411" s="27">
        <f>IF(E411="","",AVERAGE(INDEX($E$2:$E$3001,MAX(1,ROW()-1-'02_Eingaben'!$C$17)):INDEX($E$2:$E$3001,MIN('02_Eingaben'!$C$21,ROW()-1+'02_Eingaben'!$C$17))))</f>
        <v/>
      </c>
      <c r="G411" s="27">
        <f>IF(F411="","",F411-'02_Eingaben'!$C$10)</f>
        <v/>
      </c>
      <c r="H411">
        <f>IF(F411="","",IF(F411&lt;'02_Eingaben'!$C$18*'02_Eingaben'!$C$10,1,0))</f>
        <v/>
      </c>
      <c r="I411" s="27">
        <f>IF(OR(G411="",G412=""),"",(G411+G412)/2*(B412-B411))</f>
        <v/>
      </c>
      <c r="J411" s="27">
        <f>IF(B411="","",IF(B410&lt;'02_Eingaben'!$C$36,0,J410+I410/'02_Eingaben'!$C$8))</f>
        <v/>
      </c>
    </row>
    <row r="412">
      <c r="A412">
        <f>IF('01_Rohdaten'!A412="","",ROW()-1)</f>
        <v/>
      </c>
      <c r="B412" s="27">
        <f>IF('01_Rohdaten'!A412="","",'01_Rohdaten'!A412)</f>
        <v/>
      </c>
      <c r="C412" s="27">
        <f>IF(B412="","",INDEX('01_Rohdaten'!B412:D412,'02_Eingaben'!$C$13))</f>
        <v/>
      </c>
      <c r="D412" s="27">
        <f>IF(C412="","",C412*'02_Eingaben'!$C$15)</f>
        <v/>
      </c>
      <c r="E412" s="27">
        <f>IF(D412="","",D412*'02_Eingaben'!$C$8)</f>
        <v/>
      </c>
      <c r="F412" s="27">
        <f>IF(E412="","",AVERAGE(INDEX($E$2:$E$3001,MAX(1,ROW()-1-'02_Eingaben'!$C$17)):INDEX($E$2:$E$3001,MIN('02_Eingaben'!$C$21,ROW()-1+'02_Eingaben'!$C$17))))</f>
        <v/>
      </c>
      <c r="G412" s="27">
        <f>IF(F412="","",F412-'02_Eingaben'!$C$10)</f>
        <v/>
      </c>
      <c r="H412">
        <f>IF(F412="","",IF(F412&lt;'02_Eingaben'!$C$18*'02_Eingaben'!$C$10,1,0))</f>
        <v/>
      </c>
      <c r="I412" s="27">
        <f>IF(OR(G412="",G413=""),"",(G412+G413)/2*(B413-B412))</f>
        <v/>
      </c>
      <c r="J412" s="27">
        <f>IF(B412="","",IF(B411&lt;'02_Eingaben'!$C$36,0,J411+I411/'02_Eingaben'!$C$8))</f>
        <v/>
      </c>
    </row>
    <row r="413">
      <c r="A413">
        <f>IF('01_Rohdaten'!A413="","",ROW()-1)</f>
        <v/>
      </c>
      <c r="B413" s="27">
        <f>IF('01_Rohdaten'!A413="","",'01_Rohdaten'!A413)</f>
        <v/>
      </c>
      <c r="C413" s="27">
        <f>IF(B413="","",INDEX('01_Rohdaten'!B413:D413,'02_Eingaben'!$C$13))</f>
        <v/>
      </c>
      <c r="D413" s="27">
        <f>IF(C413="","",C413*'02_Eingaben'!$C$15)</f>
        <v/>
      </c>
      <c r="E413" s="27">
        <f>IF(D413="","",D413*'02_Eingaben'!$C$8)</f>
        <v/>
      </c>
      <c r="F413" s="27">
        <f>IF(E413="","",AVERAGE(INDEX($E$2:$E$3001,MAX(1,ROW()-1-'02_Eingaben'!$C$17)):INDEX($E$2:$E$3001,MIN('02_Eingaben'!$C$21,ROW()-1+'02_Eingaben'!$C$17))))</f>
        <v/>
      </c>
      <c r="G413" s="27">
        <f>IF(F413="","",F413-'02_Eingaben'!$C$10)</f>
        <v/>
      </c>
      <c r="H413">
        <f>IF(F413="","",IF(F413&lt;'02_Eingaben'!$C$18*'02_Eingaben'!$C$10,1,0))</f>
        <v/>
      </c>
      <c r="I413" s="27">
        <f>IF(OR(G413="",G414=""),"",(G413+G414)/2*(B414-B413))</f>
        <v/>
      </c>
      <c r="J413" s="27">
        <f>IF(B413="","",IF(B412&lt;'02_Eingaben'!$C$36,0,J412+I412/'02_Eingaben'!$C$8))</f>
        <v/>
      </c>
    </row>
    <row r="414">
      <c r="A414">
        <f>IF('01_Rohdaten'!A414="","",ROW()-1)</f>
        <v/>
      </c>
      <c r="B414" s="27">
        <f>IF('01_Rohdaten'!A414="","",'01_Rohdaten'!A414)</f>
        <v/>
      </c>
      <c r="C414" s="27">
        <f>IF(B414="","",INDEX('01_Rohdaten'!B414:D414,'02_Eingaben'!$C$13))</f>
        <v/>
      </c>
      <c r="D414" s="27">
        <f>IF(C414="","",C414*'02_Eingaben'!$C$15)</f>
        <v/>
      </c>
      <c r="E414" s="27">
        <f>IF(D414="","",D414*'02_Eingaben'!$C$8)</f>
        <v/>
      </c>
      <c r="F414" s="27">
        <f>IF(E414="","",AVERAGE(INDEX($E$2:$E$3001,MAX(1,ROW()-1-'02_Eingaben'!$C$17)):INDEX($E$2:$E$3001,MIN('02_Eingaben'!$C$21,ROW()-1+'02_Eingaben'!$C$17))))</f>
        <v/>
      </c>
      <c r="G414" s="27">
        <f>IF(F414="","",F414-'02_Eingaben'!$C$10)</f>
        <v/>
      </c>
      <c r="H414">
        <f>IF(F414="","",IF(F414&lt;'02_Eingaben'!$C$18*'02_Eingaben'!$C$10,1,0))</f>
        <v/>
      </c>
      <c r="I414" s="27">
        <f>IF(OR(G414="",G415=""),"",(G414+G415)/2*(B415-B414))</f>
        <v/>
      </c>
      <c r="J414" s="27">
        <f>IF(B414="","",IF(B413&lt;'02_Eingaben'!$C$36,0,J413+I413/'02_Eingaben'!$C$8))</f>
        <v/>
      </c>
    </row>
    <row r="415">
      <c r="A415">
        <f>IF('01_Rohdaten'!A415="","",ROW()-1)</f>
        <v/>
      </c>
      <c r="B415" s="27">
        <f>IF('01_Rohdaten'!A415="","",'01_Rohdaten'!A415)</f>
        <v/>
      </c>
      <c r="C415" s="27">
        <f>IF(B415="","",INDEX('01_Rohdaten'!B415:D415,'02_Eingaben'!$C$13))</f>
        <v/>
      </c>
      <c r="D415" s="27">
        <f>IF(C415="","",C415*'02_Eingaben'!$C$15)</f>
        <v/>
      </c>
      <c r="E415" s="27">
        <f>IF(D415="","",D415*'02_Eingaben'!$C$8)</f>
        <v/>
      </c>
      <c r="F415" s="27">
        <f>IF(E415="","",AVERAGE(INDEX($E$2:$E$3001,MAX(1,ROW()-1-'02_Eingaben'!$C$17)):INDEX($E$2:$E$3001,MIN('02_Eingaben'!$C$21,ROW()-1+'02_Eingaben'!$C$17))))</f>
        <v/>
      </c>
      <c r="G415" s="27">
        <f>IF(F415="","",F415-'02_Eingaben'!$C$10)</f>
        <v/>
      </c>
      <c r="H415">
        <f>IF(F415="","",IF(F415&lt;'02_Eingaben'!$C$18*'02_Eingaben'!$C$10,1,0))</f>
        <v/>
      </c>
      <c r="I415" s="27">
        <f>IF(OR(G415="",G416=""),"",(G415+G416)/2*(B416-B415))</f>
        <v/>
      </c>
      <c r="J415" s="27">
        <f>IF(B415="","",IF(B414&lt;'02_Eingaben'!$C$36,0,J414+I414/'02_Eingaben'!$C$8))</f>
        <v/>
      </c>
    </row>
    <row r="416">
      <c r="A416">
        <f>IF('01_Rohdaten'!A416="","",ROW()-1)</f>
        <v/>
      </c>
      <c r="B416" s="27">
        <f>IF('01_Rohdaten'!A416="","",'01_Rohdaten'!A416)</f>
        <v/>
      </c>
      <c r="C416" s="27">
        <f>IF(B416="","",INDEX('01_Rohdaten'!B416:D416,'02_Eingaben'!$C$13))</f>
        <v/>
      </c>
      <c r="D416" s="27">
        <f>IF(C416="","",C416*'02_Eingaben'!$C$15)</f>
        <v/>
      </c>
      <c r="E416" s="27">
        <f>IF(D416="","",D416*'02_Eingaben'!$C$8)</f>
        <v/>
      </c>
      <c r="F416" s="27">
        <f>IF(E416="","",AVERAGE(INDEX($E$2:$E$3001,MAX(1,ROW()-1-'02_Eingaben'!$C$17)):INDEX($E$2:$E$3001,MIN('02_Eingaben'!$C$21,ROW()-1+'02_Eingaben'!$C$17))))</f>
        <v/>
      </c>
      <c r="G416" s="27">
        <f>IF(F416="","",F416-'02_Eingaben'!$C$10)</f>
        <v/>
      </c>
      <c r="H416">
        <f>IF(F416="","",IF(F416&lt;'02_Eingaben'!$C$18*'02_Eingaben'!$C$10,1,0))</f>
        <v/>
      </c>
      <c r="I416" s="27">
        <f>IF(OR(G416="",G417=""),"",(G416+G417)/2*(B417-B416))</f>
        <v/>
      </c>
      <c r="J416" s="27">
        <f>IF(B416="","",IF(B415&lt;'02_Eingaben'!$C$36,0,J415+I415/'02_Eingaben'!$C$8))</f>
        <v/>
      </c>
    </row>
    <row r="417">
      <c r="A417">
        <f>IF('01_Rohdaten'!A417="","",ROW()-1)</f>
        <v/>
      </c>
      <c r="B417" s="27">
        <f>IF('01_Rohdaten'!A417="","",'01_Rohdaten'!A417)</f>
        <v/>
      </c>
      <c r="C417" s="27">
        <f>IF(B417="","",INDEX('01_Rohdaten'!B417:D417,'02_Eingaben'!$C$13))</f>
        <v/>
      </c>
      <c r="D417" s="27">
        <f>IF(C417="","",C417*'02_Eingaben'!$C$15)</f>
        <v/>
      </c>
      <c r="E417" s="27">
        <f>IF(D417="","",D417*'02_Eingaben'!$C$8)</f>
        <v/>
      </c>
      <c r="F417" s="27">
        <f>IF(E417="","",AVERAGE(INDEX($E$2:$E$3001,MAX(1,ROW()-1-'02_Eingaben'!$C$17)):INDEX($E$2:$E$3001,MIN('02_Eingaben'!$C$21,ROW()-1+'02_Eingaben'!$C$17))))</f>
        <v/>
      </c>
      <c r="G417" s="27">
        <f>IF(F417="","",F417-'02_Eingaben'!$C$10)</f>
        <v/>
      </c>
      <c r="H417">
        <f>IF(F417="","",IF(F417&lt;'02_Eingaben'!$C$18*'02_Eingaben'!$C$10,1,0))</f>
        <v/>
      </c>
      <c r="I417" s="27">
        <f>IF(OR(G417="",G418=""),"",(G417+G418)/2*(B418-B417))</f>
        <v/>
      </c>
      <c r="J417" s="27">
        <f>IF(B417="","",IF(B416&lt;'02_Eingaben'!$C$36,0,J416+I416/'02_Eingaben'!$C$8))</f>
        <v/>
      </c>
    </row>
    <row r="418">
      <c r="A418">
        <f>IF('01_Rohdaten'!A418="","",ROW()-1)</f>
        <v/>
      </c>
      <c r="B418" s="27">
        <f>IF('01_Rohdaten'!A418="","",'01_Rohdaten'!A418)</f>
        <v/>
      </c>
      <c r="C418" s="27">
        <f>IF(B418="","",INDEX('01_Rohdaten'!B418:D418,'02_Eingaben'!$C$13))</f>
        <v/>
      </c>
      <c r="D418" s="27">
        <f>IF(C418="","",C418*'02_Eingaben'!$C$15)</f>
        <v/>
      </c>
      <c r="E418" s="27">
        <f>IF(D418="","",D418*'02_Eingaben'!$C$8)</f>
        <v/>
      </c>
      <c r="F418" s="27">
        <f>IF(E418="","",AVERAGE(INDEX($E$2:$E$3001,MAX(1,ROW()-1-'02_Eingaben'!$C$17)):INDEX($E$2:$E$3001,MIN('02_Eingaben'!$C$21,ROW()-1+'02_Eingaben'!$C$17))))</f>
        <v/>
      </c>
      <c r="G418" s="27">
        <f>IF(F418="","",F418-'02_Eingaben'!$C$10)</f>
        <v/>
      </c>
      <c r="H418">
        <f>IF(F418="","",IF(F418&lt;'02_Eingaben'!$C$18*'02_Eingaben'!$C$10,1,0))</f>
        <v/>
      </c>
      <c r="I418" s="27">
        <f>IF(OR(G418="",G419=""),"",(G418+G419)/2*(B419-B418))</f>
        <v/>
      </c>
      <c r="J418" s="27">
        <f>IF(B418="","",IF(B417&lt;'02_Eingaben'!$C$36,0,J417+I417/'02_Eingaben'!$C$8))</f>
        <v/>
      </c>
    </row>
    <row r="419">
      <c r="A419">
        <f>IF('01_Rohdaten'!A419="","",ROW()-1)</f>
        <v/>
      </c>
      <c r="B419" s="27">
        <f>IF('01_Rohdaten'!A419="","",'01_Rohdaten'!A419)</f>
        <v/>
      </c>
      <c r="C419" s="27">
        <f>IF(B419="","",INDEX('01_Rohdaten'!B419:D419,'02_Eingaben'!$C$13))</f>
        <v/>
      </c>
      <c r="D419" s="27">
        <f>IF(C419="","",C419*'02_Eingaben'!$C$15)</f>
        <v/>
      </c>
      <c r="E419" s="27">
        <f>IF(D419="","",D419*'02_Eingaben'!$C$8)</f>
        <v/>
      </c>
      <c r="F419" s="27">
        <f>IF(E419="","",AVERAGE(INDEX($E$2:$E$3001,MAX(1,ROW()-1-'02_Eingaben'!$C$17)):INDEX($E$2:$E$3001,MIN('02_Eingaben'!$C$21,ROW()-1+'02_Eingaben'!$C$17))))</f>
        <v/>
      </c>
      <c r="G419" s="27">
        <f>IF(F419="","",F419-'02_Eingaben'!$C$10)</f>
        <v/>
      </c>
      <c r="H419">
        <f>IF(F419="","",IF(F419&lt;'02_Eingaben'!$C$18*'02_Eingaben'!$C$10,1,0))</f>
        <v/>
      </c>
      <c r="I419" s="27">
        <f>IF(OR(G419="",G420=""),"",(G419+G420)/2*(B420-B419))</f>
        <v/>
      </c>
      <c r="J419" s="27">
        <f>IF(B419="","",IF(B418&lt;'02_Eingaben'!$C$36,0,J418+I418/'02_Eingaben'!$C$8))</f>
        <v/>
      </c>
    </row>
    <row r="420">
      <c r="A420">
        <f>IF('01_Rohdaten'!A420="","",ROW()-1)</f>
        <v/>
      </c>
      <c r="B420" s="27">
        <f>IF('01_Rohdaten'!A420="","",'01_Rohdaten'!A420)</f>
        <v/>
      </c>
      <c r="C420" s="27">
        <f>IF(B420="","",INDEX('01_Rohdaten'!B420:D420,'02_Eingaben'!$C$13))</f>
        <v/>
      </c>
      <c r="D420" s="27">
        <f>IF(C420="","",C420*'02_Eingaben'!$C$15)</f>
        <v/>
      </c>
      <c r="E420" s="27">
        <f>IF(D420="","",D420*'02_Eingaben'!$C$8)</f>
        <v/>
      </c>
      <c r="F420" s="27">
        <f>IF(E420="","",AVERAGE(INDEX($E$2:$E$3001,MAX(1,ROW()-1-'02_Eingaben'!$C$17)):INDEX($E$2:$E$3001,MIN('02_Eingaben'!$C$21,ROW()-1+'02_Eingaben'!$C$17))))</f>
        <v/>
      </c>
      <c r="G420" s="27">
        <f>IF(F420="","",F420-'02_Eingaben'!$C$10)</f>
        <v/>
      </c>
      <c r="H420">
        <f>IF(F420="","",IF(F420&lt;'02_Eingaben'!$C$18*'02_Eingaben'!$C$10,1,0))</f>
        <v/>
      </c>
      <c r="I420" s="27">
        <f>IF(OR(G420="",G421=""),"",(G420+G421)/2*(B421-B420))</f>
        <v/>
      </c>
      <c r="J420" s="27">
        <f>IF(B420="","",IF(B419&lt;'02_Eingaben'!$C$36,0,J419+I419/'02_Eingaben'!$C$8))</f>
        <v/>
      </c>
    </row>
    <row r="421">
      <c r="A421">
        <f>IF('01_Rohdaten'!A421="","",ROW()-1)</f>
        <v/>
      </c>
      <c r="B421" s="27">
        <f>IF('01_Rohdaten'!A421="","",'01_Rohdaten'!A421)</f>
        <v/>
      </c>
      <c r="C421" s="27">
        <f>IF(B421="","",INDEX('01_Rohdaten'!B421:D421,'02_Eingaben'!$C$13))</f>
        <v/>
      </c>
      <c r="D421" s="27">
        <f>IF(C421="","",C421*'02_Eingaben'!$C$15)</f>
        <v/>
      </c>
      <c r="E421" s="27">
        <f>IF(D421="","",D421*'02_Eingaben'!$C$8)</f>
        <v/>
      </c>
      <c r="F421" s="27">
        <f>IF(E421="","",AVERAGE(INDEX($E$2:$E$3001,MAX(1,ROW()-1-'02_Eingaben'!$C$17)):INDEX($E$2:$E$3001,MIN('02_Eingaben'!$C$21,ROW()-1+'02_Eingaben'!$C$17))))</f>
        <v/>
      </c>
      <c r="G421" s="27">
        <f>IF(F421="","",F421-'02_Eingaben'!$C$10)</f>
        <v/>
      </c>
      <c r="H421">
        <f>IF(F421="","",IF(F421&lt;'02_Eingaben'!$C$18*'02_Eingaben'!$C$10,1,0))</f>
        <v/>
      </c>
      <c r="I421" s="27">
        <f>IF(OR(G421="",G422=""),"",(G421+G422)/2*(B422-B421))</f>
        <v/>
      </c>
      <c r="J421" s="27">
        <f>IF(B421="","",IF(B420&lt;'02_Eingaben'!$C$36,0,J420+I420/'02_Eingaben'!$C$8))</f>
        <v/>
      </c>
    </row>
    <row r="422">
      <c r="A422">
        <f>IF('01_Rohdaten'!A422="","",ROW()-1)</f>
        <v/>
      </c>
      <c r="B422" s="27">
        <f>IF('01_Rohdaten'!A422="","",'01_Rohdaten'!A422)</f>
        <v/>
      </c>
      <c r="C422" s="27">
        <f>IF(B422="","",INDEX('01_Rohdaten'!B422:D422,'02_Eingaben'!$C$13))</f>
        <v/>
      </c>
      <c r="D422" s="27">
        <f>IF(C422="","",C422*'02_Eingaben'!$C$15)</f>
        <v/>
      </c>
      <c r="E422" s="27">
        <f>IF(D422="","",D422*'02_Eingaben'!$C$8)</f>
        <v/>
      </c>
      <c r="F422" s="27">
        <f>IF(E422="","",AVERAGE(INDEX($E$2:$E$3001,MAX(1,ROW()-1-'02_Eingaben'!$C$17)):INDEX($E$2:$E$3001,MIN('02_Eingaben'!$C$21,ROW()-1+'02_Eingaben'!$C$17))))</f>
        <v/>
      </c>
      <c r="G422" s="27">
        <f>IF(F422="","",F422-'02_Eingaben'!$C$10)</f>
        <v/>
      </c>
      <c r="H422">
        <f>IF(F422="","",IF(F422&lt;'02_Eingaben'!$C$18*'02_Eingaben'!$C$10,1,0))</f>
        <v/>
      </c>
      <c r="I422" s="27">
        <f>IF(OR(G422="",G423=""),"",(G422+G423)/2*(B423-B422))</f>
        <v/>
      </c>
      <c r="J422" s="27">
        <f>IF(B422="","",IF(B421&lt;'02_Eingaben'!$C$36,0,J421+I421/'02_Eingaben'!$C$8))</f>
        <v/>
      </c>
    </row>
    <row r="423">
      <c r="A423">
        <f>IF('01_Rohdaten'!A423="","",ROW()-1)</f>
        <v/>
      </c>
      <c r="B423" s="27">
        <f>IF('01_Rohdaten'!A423="","",'01_Rohdaten'!A423)</f>
        <v/>
      </c>
      <c r="C423" s="27">
        <f>IF(B423="","",INDEX('01_Rohdaten'!B423:D423,'02_Eingaben'!$C$13))</f>
        <v/>
      </c>
      <c r="D423" s="27">
        <f>IF(C423="","",C423*'02_Eingaben'!$C$15)</f>
        <v/>
      </c>
      <c r="E423" s="27">
        <f>IF(D423="","",D423*'02_Eingaben'!$C$8)</f>
        <v/>
      </c>
      <c r="F423" s="27">
        <f>IF(E423="","",AVERAGE(INDEX($E$2:$E$3001,MAX(1,ROW()-1-'02_Eingaben'!$C$17)):INDEX($E$2:$E$3001,MIN('02_Eingaben'!$C$21,ROW()-1+'02_Eingaben'!$C$17))))</f>
        <v/>
      </c>
      <c r="G423" s="27">
        <f>IF(F423="","",F423-'02_Eingaben'!$C$10)</f>
        <v/>
      </c>
      <c r="H423">
        <f>IF(F423="","",IF(F423&lt;'02_Eingaben'!$C$18*'02_Eingaben'!$C$10,1,0))</f>
        <v/>
      </c>
      <c r="I423" s="27">
        <f>IF(OR(G423="",G424=""),"",(G423+G424)/2*(B424-B423))</f>
        <v/>
      </c>
      <c r="J423" s="27">
        <f>IF(B423="","",IF(B422&lt;'02_Eingaben'!$C$36,0,J422+I422/'02_Eingaben'!$C$8))</f>
        <v/>
      </c>
    </row>
    <row r="424">
      <c r="A424">
        <f>IF('01_Rohdaten'!A424="","",ROW()-1)</f>
        <v/>
      </c>
      <c r="B424" s="27">
        <f>IF('01_Rohdaten'!A424="","",'01_Rohdaten'!A424)</f>
        <v/>
      </c>
      <c r="C424" s="27">
        <f>IF(B424="","",INDEX('01_Rohdaten'!B424:D424,'02_Eingaben'!$C$13))</f>
        <v/>
      </c>
      <c r="D424" s="27">
        <f>IF(C424="","",C424*'02_Eingaben'!$C$15)</f>
        <v/>
      </c>
      <c r="E424" s="27">
        <f>IF(D424="","",D424*'02_Eingaben'!$C$8)</f>
        <v/>
      </c>
      <c r="F424" s="27">
        <f>IF(E424="","",AVERAGE(INDEX($E$2:$E$3001,MAX(1,ROW()-1-'02_Eingaben'!$C$17)):INDEX($E$2:$E$3001,MIN('02_Eingaben'!$C$21,ROW()-1+'02_Eingaben'!$C$17))))</f>
        <v/>
      </c>
      <c r="G424" s="27">
        <f>IF(F424="","",F424-'02_Eingaben'!$C$10)</f>
        <v/>
      </c>
      <c r="H424">
        <f>IF(F424="","",IF(F424&lt;'02_Eingaben'!$C$18*'02_Eingaben'!$C$10,1,0))</f>
        <v/>
      </c>
      <c r="I424" s="27">
        <f>IF(OR(G424="",G425=""),"",(G424+G425)/2*(B425-B424))</f>
        <v/>
      </c>
      <c r="J424" s="27">
        <f>IF(B424="","",IF(B423&lt;'02_Eingaben'!$C$36,0,J423+I423/'02_Eingaben'!$C$8))</f>
        <v/>
      </c>
    </row>
    <row r="425">
      <c r="A425">
        <f>IF('01_Rohdaten'!A425="","",ROW()-1)</f>
        <v/>
      </c>
      <c r="B425" s="27">
        <f>IF('01_Rohdaten'!A425="","",'01_Rohdaten'!A425)</f>
        <v/>
      </c>
      <c r="C425" s="27">
        <f>IF(B425="","",INDEX('01_Rohdaten'!B425:D425,'02_Eingaben'!$C$13))</f>
        <v/>
      </c>
      <c r="D425" s="27">
        <f>IF(C425="","",C425*'02_Eingaben'!$C$15)</f>
        <v/>
      </c>
      <c r="E425" s="27">
        <f>IF(D425="","",D425*'02_Eingaben'!$C$8)</f>
        <v/>
      </c>
      <c r="F425" s="27">
        <f>IF(E425="","",AVERAGE(INDEX($E$2:$E$3001,MAX(1,ROW()-1-'02_Eingaben'!$C$17)):INDEX($E$2:$E$3001,MIN('02_Eingaben'!$C$21,ROW()-1+'02_Eingaben'!$C$17))))</f>
        <v/>
      </c>
      <c r="G425" s="27">
        <f>IF(F425="","",F425-'02_Eingaben'!$C$10)</f>
        <v/>
      </c>
      <c r="H425">
        <f>IF(F425="","",IF(F425&lt;'02_Eingaben'!$C$18*'02_Eingaben'!$C$10,1,0))</f>
        <v/>
      </c>
      <c r="I425" s="27">
        <f>IF(OR(G425="",G426=""),"",(G425+G426)/2*(B426-B425))</f>
        <v/>
      </c>
      <c r="J425" s="27">
        <f>IF(B425="","",IF(B424&lt;'02_Eingaben'!$C$36,0,J424+I424/'02_Eingaben'!$C$8))</f>
        <v/>
      </c>
    </row>
    <row r="426">
      <c r="A426">
        <f>IF('01_Rohdaten'!A426="","",ROW()-1)</f>
        <v/>
      </c>
      <c r="B426" s="27">
        <f>IF('01_Rohdaten'!A426="","",'01_Rohdaten'!A426)</f>
        <v/>
      </c>
      <c r="C426" s="27">
        <f>IF(B426="","",INDEX('01_Rohdaten'!B426:D426,'02_Eingaben'!$C$13))</f>
        <v/>
      </c>
      <c r="D426" s="27">
        <f>IF(C426="","",C426*'02_Eingaben'!$C$15)</f>
        <v/>
      </c>
      <c r="E426" s="27">
        <f>IF(D426="","",D426*'02_Eingaben'!$C$8)</f>
        <v/>
      </c>
      <c r="F426" s="27">
        <f>IF(E426="","",AVERAGE(INDEX($E$2:$E$3001,MAX(1,ROW()-1-'02_Eingaben'!$C$17)):INDEX($E$2:$E$3001,MIN('02_Eingaben'!$C$21,ROW()-1+'02_Eingaben'!$C$17))))</f>
        <v/>
      </c>
      <c r="G426" s="27">
        <f>IF(F426="","",F426-'02_Eingaben'!$C$10)</f>
        <v/>
      </c>
      <c r="H426">
        <f>IF(F426="","",IF(F426&lt;'02_Eingaben'!$C$18*'02_Eingaben'!$C$10,1,0))</f>
        <v/>
      </c>
      <c r="I426" s="27">
        <f>IF(OR(G426="",G427=""),"",(G426+G427)/2*(B427-B426))</f>
        <v/>
      </c>
      <c r="J426" s="27">
        <f>IF(B426="","",IF(B425&lt;'02_Eingaben'!$C$36,0,J425+I425/'02_Eingaben'!$C$8))</f>
        <v/>
      </c>
    </row>
    <row r="427">
      <c r="A427">
        <f>IF('01_Rohdaten'!A427="","",ROW()-1)</f>
        <v/>
      </c>
      <c r="B427" s="27">
        <f>IF('01_Rohdaten'!A427="","",'01_Rohdaten'!A427)</f>
        <v/>
      </c>
      <c r="C427" s="27">
        <f>IF(B427="","",INDEX('01_Rohdaten'!B427:D427,'02_Eingaben'!$C$13))</f>
        <v/>
      </c>
      <c r="D427" s="27">
        <f>IF(C427="","",C427*'02_Eingaben'!$C$15)</f>
        <v/>
      </c>
      <c r="E427" s="27">
        <f>IF(D427="","",D427*'02_Eingaben'!$C$8)</f>
        <v/>
      </c>
      <c r="F427" s="27">
        <f>IF(E427="","",AVERAGE(INDEX($E$2:$E$3001,MAX(1,ROW()-1-'02_Eingaben'!$C$17)):INDEX($E$2:$E$3001,MIN('02_Eingaben'!$C$21,ROW()-1+'02_Eingaben'!$C$17))))</f>
        <v/>
      </c>
      <c r="G427" s="27">
        <f>IF(F427="","",F427-'02_Eingaben'!$C$10)</f>
        <v/>
      </c>
      <c r="H427">
        <f>IF(F427="","",IF(F427&lt;'02_Eingaben'!$C$18*'02_Eingaben'!$C$10,1,0))</f>
        <v/>
      </c>
      <c r="I427" s="27">
        <f>IF(OR(G427="",G428=""),"",(G427+G428)/2*(B428-B427))</f>
        <v/>
      </c>
      <c r="J427" s="27">
        <f>IF(B427="","",IF(B426&lt;'02_Eingaben'!$C$36,0,J426+I426/'02_Eingaben'!$C$8))</f>
        <v/>
      </c>
    </row>
    <row r="428">
      <c r="A428">
        <f>IF('01_Rohdaten'!A428="","",ROW()-1)</f>
        <v/>
      </c>
      <c r="B428" s="27">
        <f>IF('01_Rohdaten'!A428="","",'01_Rohdaten'!A428)</f>
        <v/>
      </c>
      <c r="C428" s="27">
        <f>IF(B428="","",INDEX('01_Rohdaten'!B428:D428,'02_Eingaben'!$C$13))</f>
        <v/>
      </c>
      <c r="D428" s="27">
        <f>IF(C428="","",C428*'02_Eingaben'!$C$15)</f>
        <v/>
      </c>
      <c r="E428" s="27">
        <f>IF(D428="","",D428*'02_Eingaben'!$C$8)</f>
        <v/>
      </c>
      <c r="F428" s="27">
        <f>IF(E428="","",AVERAGE(INDEX($E$2:$E$3001,MAX(1,ROW()-1-'02_Eingaben'!$C$17)):INDEX($E$2:$E$3001,MIN('02_Eingaben'!$C$21,ROW()-1+'02_Eingaben'!$C$17))))</f>
        <v/>
      </c>
      <c r="G428" s="27">
        <f>IF(F428="","",F428-'02_Eingaben'!$C$10)</f>
        <v/>
      </c>
      <c r="H428">
        <f>IF(F428="","",IF(F428&lt;'02_Eingaben'!$C$18*'02_Eingaben'!$C$10,1,0))</f>
        <v/>
      </c>
      <c r="I428" s="27">
        <f>IF(OR(G428="",G429=""),"",(G428+G429)/2*(B429-B428))</f>
        <v/>
      </c>
      <c r="J428" s="27">
        <f>IF(B428="","",IF(B427&lt;'02_Eingaben'!$C$36,0,J427+I427/'02_Eingaben'!$C$8))</f>
        <v/>
      </c>
    </row>
    <row r="429">
      <c r="A429">
        <f>IF('01_Rohdaten'!A429="","",ROW()-1)</f>
        <v/>
      </c>
      <c r="B429" s="27">
        <f>IF('01_Rohdaten'!A429="","",'01_Rohdaten'!A429)</f>
        <v/>
      </c>
      <c r="C429" s="27">
        <f>IF(B429="","",INDEX('01_Rohdaten'!B429:D429,'02_Eingaben'!$C$13))</f>
        <v/>
      </c>
      <c r="D429" s="27">
        <f>IF(C429="","",C429*'02_Eingaben'!$C$15)</f>
        <v/>
      </c>
      <c r="E429" s="27">
        <f>IF(D429="","",D429*'02_Eingaben'!$C$8)</f>
        <v/>
      </c>
      <c r="F429" s="27">
        <f>IF(E429="","",AVERAGE(INDEX($E$2:$E$3001,MAX(1,ROW()-1-'02_Eingaben'!$C$17)):INDEX($E$2:$E$3001,MIN('02_Eingaben'!$C$21,ROW()-1+'02_Eingaben'!$C$17))))</f>
        <v/>
      </c>
      <c r="G429" s="27">
        <f>IF(F429="","",F429-'02_Eingaben'!$C$10)</f>
        <v/>
      </c>
      <c r="H429">
        <f>IF(F429="","",IF(F429&lt;'02_Eingaben'!$C$18*'02_Eingaben'!$C$10,1,0))</f>
        <v/>
      </c>
      <c r="I429" s="27">
        <f>IF(OR(G429="",G430=""),"",(G429+G430)/2*(B430-B429))</f>
        <v/>
      </c>
      <c r="J429" s="27">
        <f>IF(B429="","",IF(B428&lt;'02_Eingaben'!$C$36,0,J428+I428/'02_Eingaben'!$C$8))</f>
        <v/>
      </c>
    </row>
    <row r="430">
      <c r="A430">
        <f>IF('01_Rohdaten'!A430="","",ROW()-1)</f>
        <v/>
      </c>
      <c r="B430" s="27">
        <f>IF('01_Rohdaten'!A430="","",'01_Rohdaten'!A430)</f>
        <v/>
      </c>
      <c r="C430" s="27">
        <f>IF(B430="","",INDEX('01_Rohdaten'!B430:D430,'02_Eingaben'!$C$13))</f>
        <v/>
      </c>
      <c r="D430" s="27">
        <f>IF(C430="","",C430*'02_Eingaben'!$C$15)</f>
        <v/>
      </c>
      <c r="E430" s="27">
        <f>IF(D430="","",D430*'02_Eingaben'!$C$8)</f>
        <v/>
      </c>
      <c r="F430" s="27">
        <f>IF(E430="","",AVERAGE(INDEX($E$2:$E$3001,MAX(1,ROW()-1-'02_Eingaben'!$C$17)):INDEX($E$2:$E$3001,MIN('02_Eingaben'!$C$21,ROW()-1+'02_Eingaben'!$C$17))))</f>
        <v/>
      </c>
      <c r="G430" s="27">
        <f>IF(F430="","",F430-'02_Eingaben'!$C$10)</f>
        <v/>
      </c>
      <c r="H430">
        <f>IF(F430="","",IF(F430&lt;'02_Eingaben'!$C$18*'02_Eingaben'!$C$10,1,0))</f>
        <v/>
      </c>
      <c r="I430" s="27">
        <f>IF(OR(G430="",G431=""),"",(G430+G431)/2*(B431-B430))</f>
        <v/>
      </c>
      <c r="J430" s="27">
        <f>IF(B430="","",IF(B429&lt;'02_Eingaben'!$C$36,0,J429+I429/'02_Eingaben'!$C$8))</f>
        <v/>
      </c>
    </row>
    <row r="431">
      <c r="A431">
        <f>IF('01_Rohdaten'!A431="","",ROW()-1)</f>
        <v/>
      </c>
      <c r="B431" s="27">
        <f>IF('01_Rohdaten'!A431="","",'01_Rohdaten'!A431)</f>
        <v/>
      </c>
      <c r="C431" s="27">
        <f>IF(B431="","",INDEX('01_Rohdaten'!B431:D431,'02_Eingaben'!$C$13))</f>
        <v/>
      </c>
      <c r="D431" s="27">
        <f>IF(C431="","",C431*'02_Eingaben'!$C$15)</f>
        <v/>
      </c>
      <c r="E431" s="27">
        <f>IF(D431="","",D431*'02_Eingaben'!$C$8)</f>
        <v/>
      </c>
      <c r="F431" s="27">
        <f>IF(E431="","",AVERAGE(INDEX($E$2:$E$3001,MAX(1,ROW()-1-'02_Eingaben'!$C$17)):INDEX($E$2:$E$3001,MIN('02_Eingaben'!$C$21,ROW()-1+'02_Eingaben'!$C$17))))</f>
        <v/>
      </c>
      <c r="G431" s="27">
        <f>IF(F431="","",F431-'02_Eingaben'!$C$10)</f>
        <v/>
      </c>
      <c r="H431">
        <f>IF(F431="","",IF(F431&lt;'02_Eingaben'!$C$18*'02_Eingaben'!$C$10,1,0))</f>
        <v/>
      </c>
      <c r="I431" s="27">
        <f>IF(OR(G431="",G432=""),"",(G431+G432)/2*(B432-B431))</f>
        <v/>
      </c>
      <c r="J431" s="27">
        <f>IF(B431="","",IF(B430&lt;'02_Eingaben'!$C$36,0,J430+I430/'02_Eingaben'!$C$8))</f>
        <v/>
      </c>
    </row>
    <row r="432">
      <c r="A432">
        <f>IF('01_Rohdaten'!A432="","",ROW()-1)</f>
        <v/>
      </c>
      <c r="B432" s="27">
        <f>IF('01_Rohdaten'!A432="","",'01_Rohdaten'!A432)</f>
        <v/>
      </c>
      <c r="C432" s="27">
        <f>IF(B432="","",INDEX('01_Rohdaten'!B432:D432,'02_Eingaben'!$C$13))</f>
        <v/>
      </c>
      <c r="D432" s="27">
        <f>IF(C432="","",C432*'02_Eingaben'!$C$15)</f>
        <v/>
      </c>
      <c r="E432" s="27">
        <f>IF(D432="","",D432*'02_Eingaben'!$C$8)</f>
        <v/>
      </c>
      <c r="F432" s="27">
        <f>IF(E432="","",AVERAGE(INDEX($E$2:$E$3001,MAX(1,ROW()-1-'02_Eingaben'!$C$17)):INDEX($E$2:$E$3001,MIN('02_Eingaben'!$C$21,ROW()-1+'02_Eingaben'!$C$17))))</f>
        <v/>
      </c>
      <c r="G432" s="27">
        <f>IF(F432="","",F432-'02_Eingaben'!$C$10)</f>
        <v/>
      </c>
      <c r="H432">
        <f>IF(F432="","",IF(F432&lt;'02_Eingaben'!$C$18*'02_Eingaben'!$C$10,1,0))</f>
        <v/>
      </c>
      <c r="I432" s="27">
        <f>IF(OR(G432="",G433=""),"",(G432+G433)/2*(B433-B432))</f>
        <v/>
      </c>
      <c r="J432" s="27">
        <f>IF(B432="","",IF(B431&lt;'02_Eingaben'!$C$36,0,J431+I431/'02_Eingaben'!$C$8))</f>
        <v/>
      </c>
    </row>
    <row r="433">
      <c r="A433">
        <f>IF('01_Rohdaten'!A433="","",ROW()-1)</f>
        <v/>
      </c>
      <c r="B433" s="27">
        <f>IF('01_Rohdaten'!A433="","",'01_Rohdaten'!A433)</f>
        <v/>
      </c>
      <c r="C433" s="27">
        <f>IF(B433="","",INDEX('01_Rohdaten'!B433:D433,'02_Eingaben'!$C$13))</f>
        <v/>
      </c>
      <c r="D433" s="27">
        <f>IF(C433="","",C433*'02_Eingaben'!$C$15)</f>
        <v/>
      </c>
      <c r="E433" s="27">
        <f>IF(D433="","",D433*'02_Eingaben'!$C$8)</f>
        <v/>
      </c>
      <c r="F433" s="27">
        <f>IF(E433="","",AVERAGE(INDEX($E$2:$E$3001,MAX(1,ROW()-1-'02_Eingaben'!$C$17)):INDEX($E$2:$E$3001,MIN('02_Eingaben'!$C$21,ROW()-1+'02_Eingaben'!$C$17))))</f>
        <v/>
      </c>
      <c r="G433" s="27">
        <f>IF(F433="","",F433-'02_Eingaben'!$C$10)</f>
        <v/>
      </c>
      <c r="H433">
        <f>IF(F433="","",IF(F433&lt;'02_Eingaben'!$C$18*'02_Eingaben'!$C$10,1,0))</f>
        <v/>
      </c>
      <c r="I433" s="27">
        <f>IF(OR(G433="",G434=""),"",(G433+G434)/2*(B434-B433))</f>
        <v/>
      </c>
      <c r="J433" s="27">
        <f>IF(B433="","",IF(B432&lt;'02_Eingaben'!$C$36,0,J432+I432/'02_Eingaben'!$C$8))</f>
        <v/>
      </c>
    </row>
    <row r="434">
      <c r="A434">
        <f>IF('01_Rohdaten'!A434="","",ROW()-1)</f>
        <v/>
      </c>
      <c r="B434" s="27">
        <f>IF('01_Rohdaten'!A434="","",'01_Rohdaten'!A434)</f>
        <v/>
      </c>
      <c r="C434" s="27">
        <f>IF(B434="","",INDEX('01_Rohdaten'!B434:D434,'02_Eingaben'!$C$13))</f>
        <v/>
      </c>
      <c r="D434" s="27">
        <f>IF(C434="","",C434*'02_Eingaben'!$C$15)</f>
        <v/>
      </c>
      <c r="E434" s="27">
        <f>IF(D434="","",D434*'02_Eingaben'!$C$8)</f>
        <v/>
      </c>
      <c r="F434" s="27">
        <f>IF(E434="","",AVERAGE(INDEX($E$2:$E$3001,MAX(1,ROW()-1-'02_Eingaben'!$C$17)):INDEX($E$2:$E$3001,MIN('02_Eingaben'!$C$21,ROW()-1+'02_Eingaben'!$C$17))))</f>
        <v/>
      </c>
      <c r="G434" s="27">
        <f>IF(F434="","",F434-'02_Eingaben'!$C$10)</f>
        <v/>
      </c>
      <c r="H434">
        <f>IF(F434="","",IF(F434&lt;'02_Eingaben'!$C$18*'02_Eingaben'!$C$10,1,0))</f>
        <v/>
      </c>
      <c r="I434" s="27">
        <f>IF(OR(G434="",G435=""),"",(G434+G435)/2*(B435-B434))</f>
        <v/>
      </c>
      <c r="J434" s="27">
        <f>IF(B434="","",IF(B433&lt;'02_Eingaben'!$C$36,0,J433+I433/'02_Eingaben'!$C$8))</f>
        <v/>
      </c>
    </row>
    <row r="435">
      <c r="A435">
        <f>IF('01_Rohdaten'!A435="","",ROW()-1)</f>
        <v/>
      </c>
      <c r="B435" s="27">
        <f>IF('01_Rohdaten'!A435="","",'01_Rohdaten'!A435)</f>
        <v/>
      </c>
      <c r="C435" s="27">
        <f>IF(B435="","",INDEX('01_Rohdaten'!B435:D435,'02_Eingaben'!$C$13))</f>
        <v/>
      </c>
      <c r="D435" s="27">
        <f>IF(C435="","",C435*'02_Eingaben'!$C$15)</f>
        <v/>
      </c>
      <c r="E435" s="27">
        <f>IF(D435="","",D435*'02_Eingaben'!$C$8)</f>
        <v/>
      </c>
      <c r="F435" s="27">
        <f>IF(E435="","",AVERAGE(INDEX($E$2:$E$3001,MAX(1,ROW()-1-'02_Eingaben'!$C$17)):INDEX($E$2:$E$3001,MIN('02_Eingaben'!$C$21,ROW()-1+'02_Eingaben'!$C$17))))</f>
        <v/>
      </c>
      <c r="G435" s="27">
        <f>IF(F435="","",F435-'02_Eingaben'!$C$10)</f>
        <v/>
      </c>
      <c r="H435">
        <f>IF(F435="","",IF(F435&lt;'02_Eingaben'!$C$18*'02_Eingaben'!$C$10,1,0))</f>
        <v/>
      </c>
      <c r="I435" s="27">
        <f>IF(OR(G435="",G436=""),"",(G435+G436)/2*(B436-B435))</f>
        <v/>
      </c>
      <c r="J435" s="27">
        <f>IF(B435="","",IF(B434&lt;'02_Eingaben'!$C$36,0,J434+I434/'02_Eingaben'!$C$8))</f>
        <v/>
      </c>
    </row>
    <row r="436">
      <c r="A436">
        <f>IF('01_Rohdaten'!A436="","",ROW()-1)</f>
        <v/>
      </c>
      <c r="B436" s="27">
        <f>IF('01_Rohdaten'!A436="","",'01_Rohdaten'!A436)</f>
        <v/>
      </c>
      <c r="C436" s="27">
        <f>IF(B436="","",INDEX('01_Rohdaten'!B436:D436,'02_Eingaben'!$C$13))</f>
        <v/>
      </c>
      <c r="D436" s="27">
        <f>IF(C436="","",C436*'02_Eingaben'!$C$15)</f>
        <v/>
      </c>
      <c r="E436" s="27">
        <f>IF(D436="","",D436*'02_Eingaben'!$C$8)</f>
        <v/>
      </c>
      <c r="F436" s="27">
        <f>IF(E436="","",AVERAGE(INDEX($E$2:$E$3001,MAX(1,ROW()-1-'02_Eingaben'!$C$17)):INDEX($E$2:$E$3001,MIN('02_Eingaben'!$C$21,ROW()-1+'02_Eingaben'!$C$17))))</f>
        <v/>
      </c>
      <c r="G436" s="27">
        <f>IF(F436="","",F436-'02_Eingaben'!$C$10)</f>
        <v/>
      </c>
      <c r="H436">
        <f>IF(F436="","",IF(F436&lt;'02_Eingaben'!$C$18*'02_Eingaben'!$C$10,1,0))</f>
        <v/>
      </c>
      <c r="I436" s="27">
        <f>IF(OR(G436="",G437=""),"",(G436+G437)/2*(B437-B436))</f>
        <v/>
      </c>
      <c r="J436" s="27">
        <f>IF(B436="","",IF(B435&lt;'02_Eingaben'!$C$36,0,J435+I435/'02_Eingaben'!$C$8))</f>
        <v/>
      </c>
    </row>
    <row r="437">
      <c r="A437">
        <f>IF('01_Rohdaten'!A437="","",ROW()-1)</f>
        <v/>
      </c>
      <c r="B437" s="27">
        <f>IF('01_Rohdaten'!A437="","",'01_Rohdaten'!A437)</f>
        <v/>
      </c>
      <c r="C437" s="27">
        <f>IF(B437="","",INDEX('01_Rohdaten'!B437:D437,'02_Eingaben'!$C$13))</f>
        <v/>
      </c>
      <c r="D437" s="27">
        <f>IF(C437="","",C437*'02_Eingaben'!$C$15)</f>
        <v/>
      </c>
      <c r="E437" s="27">
        <f>IF(D437="","",D437*'02_Eingaben'!$C$8)</f>
        <v/>
      </c>
      <c r="F437" s="27">
        <f>IF(E437="","",AVERAGE(INDEX($E$2:$E$3001,MAX(1,ROW()-1-'02_Eingaben'!$C$17)):INDEX($E$2:$E$3001,MIN('02_Eingaben'!$C$21,ROW()-1+'02_Eingaben'!$C$17))))</f>
        <v/>
      </c>
      <c r="G437" s="27">
        <f>IF(F437="","",F437-'02_Eingaben'!$C$10)</f>
        <v/>
      </c>
      <c r="H437">
        <f>IF(F437="","",IF(F437&lt;'02_Eingaben'!$C$18*'02_Eingaben'!$C$10,1,0))</f>
        <v/>
      </c>
      <c r="I437" s="27">
        <f>IF(OR(G437="",G438=""),"",(G437+G438)/2*(B438-B437))</f>
        <v/>
      </c>
      <c r="J437" s="27">
        <f>IF(B437="","",IF(B436&lt;'02_Eingaben'!$C$36,0,J436+I436/'02_Eingaben'!$C$8))</f>
        <v/>
      </c>
    </row>
    <row r="438">
      <c r="A438">
        <f>IF('01_Rohdaten'!A438="","",ROW()-1)</f>
        <v/>
      </c>
      <c r="B438" s="27">
        <f>IF('01_Rohdaten'!A438="","",'01_Rohdaten'!A438)</f>
        <v/>
      </c>
      <c r="C438" s="27">
        <f>IF(B438="","",INDEX('01_Rohdaten'!B438:D438,'02_Eingaben'!$C$13))</f>
        <v/>
      </c>
      <c r="D438" s="27">
        <f>IF(C438="","",C438*'02_Eingaben'!$C$15)</f>
        <v/>
      </c>
      <c r="E438" s="27">
        <f>IF(D438="","",D438*'02_Eingaben'!$C$8)</f>
        <v/>
      </c>
      <c r="F438" s="27">
        <f>IF(E438="","",AVERAGE(INDEX($E$2:$E$3001,MAX(1,ROW()-1-'02_Eingaben'!$C$17)):INDEX($E$2:$E$3001,MIN('02_Eingaben'!$C$21,ROW()-1+'02_Eingaben'!$C$17))))</f>
        <v/>
      </c>
      <c r="G438" s="27">
        <f>IF(F438="","",F438-'02_Eingaben'!$C$10)</f>
        <v/>
      </c>
      <c r="H438">
        <f>IF(F438="","",IF(F438&lt;'02_Eingaben'!$C$18*'02_Eingaben'!$C$10,1,0))</f>
        <v/>
      </c>
      <c r="I438" s="27">
        <f>IF(OR(G438="",G439=""),"",(G438+G439)/2*(B439-B438))</f>
        <v/>
      </c>
      <c r="J438" s="27">
        <f>IF(B438="","",IF(B437&lt;'02_Eingaben'!$C$36,0,J437+I437/'02_Eingaben'!$C$8))</f>
        <v/>
      </c>
    </row>
    <row r="439">
      <c r="A439">
        <f>IF('01_Rohdaten'!A439="","",ROW()-1)</f>
        <v/>
      </c>
      <c r="B439" s="27">
        <f>IF('01_Rohdaten'!A439="","",'01_Rohdaten'!A439)</f>
        <v/>
      </c>
      <c r="C439" s="27">
        <f>IF(B439="","",INDEX('01_Rohdaten'!B439:D439,'02_Eingaben'!$C$13))</f>
        <v/>
      </c>
      <c r="D439" s="27">
        <f>IF(C439="","",C439*'02_Eingaben'!$C$15)</f>
        <v/>
      </c>
      <c r="E439" s="27">
        <f>IF(D439="","",D439*'02_Eingaben'!$C$8)</f>
        <v/>
      </c>
      <c r="F439" s="27">
        <f>IF(E439="","",AVERAGE(INDEX($E$2:$E$3001,MAX(1,ROW()-1-'02_Eingaben'!$C$17)):INDEX($E$2:$E$3001,MIN('02_Eingaben'!$C$21,ROW()-1+'02_Eingaben'!$C$17))))</f>
        <v/>
      </c>
      <c r="G439" s="27">
        <f>IF(F439="","",F439-'02_Eingaben'!$C$10)</f>
        <v/>
      </c>
      <c r="H439">
        <f>IF(F439="","",IF(F439&lt;'02_Eingaben'!$C$18*'02_Eingaben'!$C$10,1,0))</f>
        <v/>
      </c>
      <c r="I439" s="27">
        <f>IF(OR(G439="",G440=""),"",(G439+G440)/2*(B440-B439))</f>
        <v/>
      </c>
      <c r="J439" s="27">
        <f>IF(B439="","",IF(B438&lt;'02_Eingaben'!$C$36,0,J438+I438/'02_Eingaben'!$C$8))</f>
        <v/>
      </c>
    </row>
    <row r="440">
      <c r="A440">
        <f>IF('01_Rohdaten'!A440="","",ROW()-1)</f>
        <v/>
      </c>
      <c r="B440" s="27">
        <f>IF('01_Rohdaten'!A440="","",'01_Rohdaten'!A440)</f>
        <v/>
      </c>
      <c r="C440" s="27">
        <f>IF(B440="","",INDEX('01_Rohdaten'!B440:D440,'02_Eingaben'!$C$13))</f>
        <v/>
      </c>
      <c r="D440" s="27">
        <f>IF(C440="","",C440*'02_Eingaben'!$C$15)</f>
        <v/>
      </c>
      <c r="E440" s="27">
        <f>IF(D440="","",D440*'02_Eingaben'!$C$8)</f>
        <v/>
      </c>
      <c r="F440" s="27">
        <f>IF(E440="","",AVERAGE(INDEX($E$2:$E$3001,MAX(1,ROW()-1-'02_Eingaben'!$C$17)):INDEX($E$2:$E$3001,MIN('02_Eingaben'!$C$21,ROW()-1+'02_Eingaben'!$C$17))))</f>
        <v/>
      </c>
      <c r="G440" s="27">
        <f>IF(F440="","",F440-'02_Eingaben'!$C$10)</f>
        <v/>
      </c>
      <c r="H440">
        <f>IF(F440="","",IF(F440&lt;'02_Eingaben'!$C$18*'02_Eingaben'!$C$10,1,0))</f>
        <v/>
      </c>
      <c r="I440" s="27">
        <f>IF(OR(G440="",G441=""),"",(G440+G441)/2*(B441-B440))</f>
        <v/>
      </c>
      <c r="J440" s="27">
        <f>IF(B440="","",IF(B439&lt;'02_Eingaben'!$C$36,0,J439+I439/'02_Eingaben'!$C$8))</f>
        <v/>
      </c>
    </row>
    <row r="441">
      <c r="A441">
        <f>IF('01_Rohdaten'!A441="","",ROW()-1)</f>
        <v/>
      </c>
      <c r="B441" s="27">
        <f>IF('01_Rohdaten'!A441="","",'01_Rohdaten'!A441)</f>
        <v/>
      </c>
      <c r="C441" s="27">
        <f>IF(B441="","",INDEX('01_Rohdaten'!B441:D441,'02_Eingaben'!$C$13))</f>
        <v/>
      </c>
      <c r="D441" s="27">
        <f>IF(C441="","",C441*'02_Eingaben'!$C$15)</f>
        <v/>
      </c>
      <c r="E441" s="27">
        <f>IF(D441="","",D441*'02_Eingaben'!$C$8)</f>
        <v/>
      </c>
      <c r="F441" s="27">
        <f>IF(E441="","",AVERAGE(INDEX($E$2:$E$3001,MAX(1,ROW()-1-'02_Eingaben'!$C$17)):INDEX($E$2:$E$3001,MIN('02_Eingaben'!$C$21,ROW()-1+'02_Eingaben'!$C$17))))</f>
        <v/>
      </c>
      <c r="G441" s="27">
        <f>IF(F441="","",F441-'02_Eingaben'!$C$10)</f>
        <v/>
      </c>
      <c r="H441">
        <f>IF(F441="","",IF(F441&lt;'02_Eingaben'!$C$18*'02_Eingaben'!$C$10,1,0))</f>
        <v/>
      </c>
      <c r="I441" s="27">
        <f>IF(OR(G441="",G442=""),"",(G441+G442)/2*(B442-B441))</f>
        <v/>
      </c>
      <c r="J441" s="27">
        <f>IF(B441="","",IF(B440&lt;'02_Eingaben'!$C$36,0,J440+I440/'02_Eingaben'!$C$8))</f>
        <v/>
      </c>
    </row>
    <row r="442">
      <c r="A442">
        <f>IF('01_Rohdaten'!A442="","",ROW()-1)</f>
        <v/>
      </c>
      <c r="B442" s="27">
        <f>IF('01_Rohdaten'!A442="","",'01_Rohdaten'!A442)</f>
        <v/>
      </c>
      <c r="C442" s="27">
        <f>IF(B442="","",INDEX('01_Rohdaten'!B442:D442,'02_Eingaben'!$C$13))</f>
        <v/>
      </c>
      <c r="D442" s="27">
        <f>IF(C442="","",C442*'02_Eingaben'!$C$15)</f>
        <v/>
      </c>
      <c r="E442" s="27">
        <f>IF(D442="","",D442*'02_Eingaben'!$C$8)</f>
        <v/>
      </c>
      <c r="F442" s="27">
        <f>IF(E442="","",AVERAGE(INDEX($E$2:$E$3001,MAX(1,ROW()-1-'02_Eingaben'!$C$17)):INDEX($E$2:$E$3001,MIN('02_Eingaben'!$C$21,ROW()-1+'02_Eingaben'!$C$17))))</f>
        <v/>
      </c>
      <c r="G442" s="27">
        <f>IF(F442="","",F442-'02_Eingaben'!$C$10)</f>
        <v/>
      </c>
      <c r="H442">
        <f>IF(F442="","",IF(F442&lt;'02_Eingaben'!$C$18*'02_Eingaben'!$C$10,1,0))</f>
        <v/>
      </c>
      <c r="I442" s="27">
        <f>IF(OR(G442="",G443=""),"",(G442+G443)/2*(B443-B442))</f>
        <v/>
      </c>
      <c r="J442" s="27">
        <f>IF(B442="","",IF(B441&lt;'02_Eingaben'!$C$36,0,J441+I441/'02_Eingaben'!$C$8))</f>
        <v/>
      </c>
    </row>
    <row r="443">
      <c r="A443">
        <f>IF('01_Rohdaten'!A443="","",ROW()-1)</f>
        <v/>
      </c>
      <c r="B443" s="27">
        <f>IF('01_Rohdaten'!A443="","",'01_Rohdaten'!A443)</f>
        <v/>
      </c>
      <c r="C443" s="27">
        <f>IF(B443="","",INDEX('01_Rohdaten'!B443:D443,'02_Eingaben'!$C$13))</f>
        <v/>
      </c>
      <c r="D443" s="27">
        <f>IF(C443="","",C443*'02_Eingaben'!$C$15)</f>
        <v/>
      </c>
      <c r="E443" s="27">
        <f>IF(D443="","",D443*'02_Eingaben'!$C$8)</f>
        <v/>
      </c>
      <c r="F443" s="27">
        <f>IF(E443="","",AVERAGE(INDEX($E$2:$E$3001,MAX(1,ROW()-1-'02_Eingaben'!$C$17)):INDEX($E$2:$E$3001,MIN('02_Eingaben'!$C$21,ROW()-1+'02_Eingaben'!$C$17))))</f>
        <v/>
      </c>
      <c r="G443" s="27">
        <f>IF(F443="","",F443-'02_Eingaben'!$C$10)</f>
        <v/>
      </c>
      <c r="H443">
        <f>IF(F443="","",IF(F443&lt;'02_Eingaben'!$C$18*'02_Eingaben'!$C$10,1,0))</f>
        <v/>
      </c>
      <c r="I443" s="27">
        <f>IF(OR(G443="",G444=""),"",(G443+G444)/2*(B444-B443))</f>
        <v/>
      </c>
      <c r="J443" s="27">
        <f>IF(B443="","",IF(B442&lt;'02_Eingaben'!$C$36,0,J442+I442/'02_Eingaben'!$C$8))</f>
        <v/>
      </c>
    </row>
    <row r="444">
      <c r="A444">
        <f>IF('01_Rohdaten'!A444="","",ROW()-1)</f>
        <v/>
      </c>
      <c r="B444" s="27">
        <f>IF('01_Rohdaten'!A444="","",'01_Rohdaten'!A444)</f>
        <v/>
      </c>
      <c r="C444" s="27">
        <f>IF(B444="","",INDEX('01_Rohdaten'!B444:D444,'02_Eingaben'!$C$13))</f>
        <v/>
      </c>
      <c r="D444" s="27">
        <f>IF(C444="","",C444*'02_Eingaben'!$C$15)</f>
        <v/>
      </c>
      <c r="E444" s="27">
        <f>IF(D444="","",D444*'02_Eingaben'!$C$8)</f>
        <v/>
      </c>
      <c r="F444" s="27">
        <f>IF(E444="","",AVERAGE(INDEX($E$2:$E$3001,MAX(1,ROW()-1-'02_Eingaben'!$C$17)):INDEX($E$2:$E$3001,MIN('02_Eingaben'!$C$21,ROW()-1+'02_Eingaben'!$C$17))))</f>
        <v/>
      </c>
      <c r="G444" s="27">
        <f>IF(F444="","",F444-'02_Eingaben'!$C$10)</f>
        <v/>
      </c>
      <c r="H444">
        <f>IF(F444="","",IF(F444&lt;'02_Eingaben'!$C$18*'02_Eingaben'!$C$10,1,0))</f>
        <v/>
      </c>
      <c r="I444" s="27">
        <f>IF(OR(G444="",G445=""),"",(G444+G445)/2*(B445-B444))</f>
        <v/>
      </c>
      <c r="J444" s="27">
        <f>IF(B444="","",IF(B443&lt;'02_Eingaben'!$C$36,0,J443+I443/'02_Eingaben'!$C$8))</f>
        <v/>
      </c>
    </row>
    <row r="445">
      <c r="A445">
        <f>IF('01_Rohdaten'!A445="","",ROW()-1)</f>
        <v/>
      </c>
      <c r="B445" s="27">
        <f>IF('01_Rohdaten'!A445="","",'01_Rohdaten'!A445)</f>
        <v/>
      </c>
      <c r="C445" s="27">
        <f>IF(B445="","",INDEX('01_Rohdaten'!B445:D445,'02_Eingaben'!$C$13))</f>
        <v/>
      </c>
      <c r="D445" s="27">
        <f>IF(C445="","",C445*'02_Eingaben'!$C$15)</f>
        <v/>
      </c>
      <c r="E445" s="27">
        <f>IF(D445="","",D445*'02_Eingaben'!$C$8)</f>
        <v/>
      </c>
      <c r="F445" s="27">
        <f>IF(E445="","",AVERAGE(INDEX($E$2:$E$3001,MAX(1,ROW()-1-'02_Eingaben'!$C$17)):INDEX($E$2:$E$3001,MIN('02_Eingaben'!$C$21,ROW()-1+'02_Eingaben'!$C$17))))</f>
        <v/>
      </c>
      <c r="G445" s="27">
        <f>IF(F445="","",F445-'02_Eingaben'!$C$10)</f>
        <v/>
      </c>
      <c r="H445">
        <f>IF(F445="","",IF(F445&lt;'02_Eingaben'!$C$18*'02_Eingaben'!$C$10,1,0))</f>
        <v/>
      </c>
      <c r="I445" s="27">
        <f>IF(OR(G445="",G446=""),"",(G445+G446)/2*(B446-B445))</f>
        <v/>
      </c>
      <c r="J445" s="27">
        <f>IF(B445="","",IF(B444&lt;'02_Eingaben'!$C$36,0,J444+I444/'02_Eingaben'!$C$8))</f>
        <v/>
      </c>
    </row>
    <row r="446">
      <c r="A446">
        <f>IF('01_Rohdaten'!A446="","",ROW()-1)</f>
        <v/>
      </c>
      <c r="B446" s="27">
        <f>IF('01_Rohdaten'!A446="","",'01_Rohdaten'!A446)</f>
        <v/>
      </c>
      <c r="C446" s="27">
        <f>IF(B446="","",INDEX('01_Rohdaten'!B446:D446,'02_Eingaben'!$C$13))</f>
        <v/>
      </c>
      <c r="D446" s="27">
        <f>IF(C446="","",C446*'02_Eingaben'!$C$15)</f>
        <v/>
      </c>
      <c r="E446" s="27">
        <f>IF(D446="","",D446*'02_Eingaben'!$C$8)</f>
        <v/>
      </c>
      <c r="F446" s="27">
        <f>IF(E446="","",AVERAGE(INDEX($E$2:$E$3001,MAX(1,ROW()-1-'02_Eingaben'!$C$17)):INDEX($E$2:$E$3001,MIN('02_Eingaben'!$C$21,ROW()-1+'02_Eingaben'!$C$17))))</f>
        <v/>
      </c>
      <c r="G446" s="27">
        <f>IF(F446="","",F446-'02_Eingaben'!$C$10)</f>
        <v/>
      </c>
      <c r="H446">
        <f>IF(F446="","",IF(F446&lt;'02_Eingaben'!$C$18*'02_Eingaben'!$C$10,1,0))</f>
        <v/>
      </c>
      <c r="I446" s="27">
        <f>IF(OR(G446="",G447=""),"",(G446+G447)/2*(B447-B446))</f>
        <v/>
      </c>
      <c r="J446" s="27">
        <f>IF(B446="","",IF(B445&lt;'02_Eingaben'!$C$36,0,J445+I445/'02_Eingaben'!$C$8))</f>
        <v/>
      </c>
    </row>
    <row r="447">
      <c r="A447">
        <f>IF('01_Rohdaten'!A447="","",ROW()-1)</f>
        <v/>
      </c>
      <c r="B447" s="27">
        <f>IF('01_Rohdaten'!A447="","",'01_Rohdaten'!A447)</f>
        <v/>
      </c>
      <c r="C447" s="27">
        <f>IF(B447="","",INDEX('01_Rohdaten'!B447:D447,'02_Eingaben'!$C$13))</f>
        <v/>
      </c>
      <c r="D447" s="27">
        <f>IF(C447="","",C447*'02_Eingaben'!$C$15)</f>
        <v/>
      </c>
      <c r="E447" s="27">
        <f>IF(D447="","",D447*'02_Eingaben'!$C$8)</f>
        <v/>
      </c>
      <c r="F447" s="27">
        <f>IF(E447="","",AVERAGE(INDEX($E$2:$E$3001,MAX(1,ROW()-1-'02_Eingaben'!$C$17)):INDEX($E$2:$E$3001,MIN('02_Eingaben'!$C$21,ROW()-1+'02_Eingaben'!$C$17))))</f>
        <v/>
      </c>
      <c r="G447" s="27">
        <f>IF(F447="","",F447-'02_Eingaben'!$C$10)</f>
        <v/>
      </c>
      <c r="H447">
        <f>IF(F447="","",IF(F447&lt;'02_Eingaben'!$C$18*'02_Eingaben'!$C$10,1,0))</f>
        <v/>
      </c>
      <c r="I447" s="27">
        <f>IF(OR(G447="",G448=""),"",(G447+G448)/2*(B448-B447))</f>
        <v/>
      </c>
      <c r="J447" s="27">
        <f>IF(B447="","",IF(B446&lt;'02_Eingaben'!$C$36,0,J446+I446/'02_Eingaben'!$C$8))</f>
        <v/>
      </c>
    </row>
    <row r="448">
      <c r="A448">
        <f>IF('01_Rohdaten'!A448="","",ROW()-1)</f>
        <v/>
      </c>
      <c r="B448" s="27">
        <f>IF('01_Rohdaten'!A448="","",'01_Rohdaten'!A448)</f>
        <v/>
      </c>
      <c r="C448" s="27">
        <f>IF(B448="","",INDEX('01_Rohdaten'!B448:D448,'02_Eingaben'!$C$13))</f>
        <v/>
      </c>
      <c r="D448" s="27">
        <f>IF(C448="","",C448*'02_Eingaben'!$C$15)</f>
        <v/>
      </c>
      <c r="E448" s="27">
        <f>IF(D448="","",D448*'02_Eingaben'!$C$8)</f>
        <v/>
      </c>
      <c r="F448" s="27">
        <f>IF(E448="","",AVERAGE(INDEX($E$2:$E$3001,MAX(1,ROW()-1-'02_Eingaben'!$C$17)):INDEX($E$2:$E$3001,MIN('02_Eingaben'!$C$21,ROW()-1+'02_Eingaben'!$C$17))))</f>
        <v/>
      </c>
      <c r="G448" s="27">
        <f>IF(F448="","",F448-'02_Eingaben'!$C$10)</f>
        <v/>
      </c>
      <c r="H448">
        <f>IF(F448="","",IF(F448&lt;'02_Eingaben'!$C$18*'02_Eingaben'!$C$10,1,0))</f>
        <v/>
      </c>
      <c r="I448" s="27">
        <f>IF(OR(G448="",G449=""),"",(G448+G449)/2*(B449-B448))</f>
        <v/>
      </c>
      <c r="J448" s="27">
        <f>IF(B448="","",IF(B447&lt;'02_Eingaben'!$C$36,0,J447+I447/'02_Eingaben'!$C$8))</f>
        <v/>
      </c>
    </row>
    <row r="449">
      <c r="A449">
        <f>IF('01_Rohdaten'!A449="","",ROW()-1)</f>
        <v/>
      </c>
      <c r="B449" s="27">
        <f>IF('01_Rohdaten'!A449="","",'01_Rohdaten'!A449)</f>
        <v/>
      </c>
      <c r="C449" s="27">
        <f>IF(B449="","",INDEX('01_Rohdaten'!B449:D449,'02_Eingaben'!$C$13))</f>
        <v/>
      </c>
      <c r="D449" s="27">
        <f>IF(C449="","",C449*'02_Eingaben'!$C$15)</f>
        <v/>
      </c>
      <c r="E449" s="27">
        <f>IF(D449="","",D449*'02_Eingaben'!$C$8)</f>
        <v/>
      </c>
      <c r="F449" s="27">
        <f>IF(E449="","",AVERAGE(INDEX($E$2:$E$3001,MAX(1,ROW()-1-'02_Eingaben'!$C$17)):INDEX($E$2:$E$3001,MIN('02_Eingaben'!$C$21,ROW()-1+'02_Eingaben'!$C$17))))</f>
        <v/>
      </c>
      <c r="G449" s="27">
        <f>IF(F449="","",F449-'02_Eingaben'!$C$10)</f>
        <v/>
      </c>
      <c r="H449">
        <f>IF(F449="","",IF(F449&lt;'02_Eingaben'!$C$18*'02_Eingaben'!$C$10,1,0))</f>
        <v/>
      </c>
      <c r="I449" s="27">
        <f>IF(OR(G449="",G450=""),"",(G449+G450)/2*(B450-B449))</f>
        <v/>
      </c>
      <c r="J449" s="27">
        <f>IF(B449="","",IF(B448&lt;'02_Eingaben'!$C$36,0,J448+I448/'02_Eingaben'!$C$8))</f>
        <v/>
      </c>
    </row>
    <row r="450">
      <c r="A450">
        <f>IF('01_Rohdaten'!A450="","",ROW()-1)</f>
        <v/>
      </c>
      <c r="B450" s="27">
        <f>IF('01_Rohdaten'!A450="","",'01_Rohdaten'!A450)</f>
        <v/>
      </c>
      <c r="C450" s="27">
        <f>IF(B450="","",INDEX('01_Rohdaten'!B450:D450,'02_Eingaben'!$C$13))</f>
        <v/>
      </c>
      <c r="D450" s="27">
        <f>IF(C450="","",C450*'02_Eingaben'!$C$15)</f>
        <v/>
      </c>
      <c r="E450" s="27">
        <f>IF(D450="","",D450*'02_Eingaben'!$C$8)</f>
        <v/>
      </c>
      <c r="F450" s="27">
        <f>IF(E450="","",AVERAGE(INDEX($E$2:$E$3001,MAX(1,ROW()-1-'02_Eingaben'!$C$17)):INDEX($E$2:$E$3001,MIN('02_Eingaben'!$C$21,ROW()-1+'02_Eingaben'!$C$17))))</f>
        <v/>
      </c>
      <c r="G450" s="27">
        <f>IF(F450="","",F450-'02_Eingaben'!$C$10)</f>
        <v/>
      </c>
      <c r="H450">
        <f>IF(F450="","",IF(F450&lt;'02_Eingaben'!$C$18*'02_Eingaben'!$C$10,1,0))</f>
        <v/>
      </c>
      <c r="I450" s="27">
        <f>IF(OR(G450="",G451=""),"",(G450+G451)/2*(B451-B450))</f>
        <v/>
      </c>
      <c r="J450" s="27">
        <f>IF(B450="","",IF(B449&lt;'02_Eingaben'!$C$36,0,J449+I449/'02_Eingaben'!$C$8))</f>
        <v/>
      </c>
    </row>
    <row r="451">
      <c r="A451">
        <f>IF('01_Rohdaten'!A451="","",ROW()-1)</f>
        <v/>
      </c>
      <c r="B451" s="27">
        <f>IF('01_Rohdaten'!A451="","",'01_Rohdaten'!A451)</f>
        <v/>
      </c>
      <c r="C451" s="27">
        <f>IF(B451="","",INDEX('01_Rohdaten'!B451:D451,'02_Eingaben'!$C$13))</f>
        <v/>
      </c>
      <c r="D451" s="27">
        <f>IF(C451="","",C451*'02_Eingaben'!$C$15)</f>
        <v/>
      </c>
      <c r="E451" s="27">
        <f>IF(D451="","",D451*'02_Eingaben'!$C$8)</f>
        <v/>
      </c>
      <c r="F451" s="27">
        <f>IF(E451="","",AVERAGE(INDEX($E$2:$E$3001,MAX(1,ROW()-1-'02_Eingaben'!$C$17)):INDEX($E$2:$E$3001,MIN('02_Eingaben'!$C$21,ROW()-1+'02_Eingaben'!$C$17))))</f>
        <v/>
      </c>
      <c r="G451" s="27">
        <f>IF(F451="","",F451-'02_Eingaben'!$C$10)</f>
        <v/>
      </c>
      <c r="H451">
        <f>IF(F451="","",IF(F451&lt;'02_Eingaben'!$C$18*'02_Eingaben'!$C$10,1,0))</f>
        <v/>
      </c>
      <c r="I451" s="27">
        <f>IF(OR(G451="",G452=""),"",(G451+G452)/2*(B452-B451))</f>
        <v/>
      </c>
      <c r="J451" s="27">
        <f>IF(B451="","",IF(B450&lt;'02_Eingaben'!$C$36,0,J450+I450/'02_Eingaben'!$C$8))</f>
        <v/>
      </c>
    </row>
    <row r="452">
      <c r="A452">
        <f>IF('01_Rohdaten'!A452="","",ROW()-1)</f>
        <v/>
      </c>
      <c r="B452" s="27">
        <f>IF('01_Rohdaten'!A452="","",'01_Rohdaten'!A452)</f>
        <v/>
      </c>
      <c r="C452" s="27">
        <f>IF(B452="","",INDEX('01_Rohdaten'!B452:D452,'02_Eingaben'!$C$13))</f>
        <v/>
      </c>
      <c r="D452" s="27">
        <f>IF(C452="","",C452*'02_Eingaben'!$C$15)</f>
        <v/>
      </c>
      <c r="E452" s="27">
        <f>IF(D452="","",D452*'02_Eingaben'!$C$8)</f>
        <v/>
      </c>
      <c r="F452" s="27">
        <f>IF(E452="","",AVERAGE(INDEX($E$2:$E$3001,MAX(1,ROW()-1-'02_Eingaben'!$C$17)):INDEX($E$2:$E$3001,MIN('02_Eingaben'!$C$21,ROW()-1+'02_Eingaben'!$C$17))))</f>
        <v/>
      </c>
      <c r="G452" s="27">
        <f>IF(F452="","",F452-'02_Eingaben'!$C$10)</f>
        <v/>
      </c>
      <c r="H452">
        <f>IF(F452="","",IF(F452&lt;'02_Eingaben'!$C$18*'02_Eingaben'!$C$10,1,0))</f>
        <v/>
      </c>
      <c r="I452" s="27">
        <f>IF(OR(G452="",G453=""),"",(G452+G453)/2*(B453-B452))</f>
        <v/>
      </c>
      <c r="J452" s="27">
        <f>IF(B452="","",IF(B451&lt;'02_Eingaben'!$C$36,0,J451+I451/'02_Eingaben'!$C$8))</f>
        <v/>
      </c>
    </row>
    <row r="453">
      <c r="A453">
        <f>IF('01_Rohdaten'!A453="","",ROW()-1)</f>
        <v/>
      </c>
      <c r="B453" s="27">
        <f>IF('01_Rohdaten'!A453="","",'01_Rohdaten'!A453)</f>
        <v/>
      </c>
      <c r="C453" s="27">
        <f>IF(B453="","",INDEX('01_Rohdaten'!B453:D453,'02_Eingaben'!$C$13))</f>
        <v/>
      </c>
      <c r="D453" s="27">
        <f>IF(C453="","",C453*'02_Eingaben'!$C$15)</f>
        <v/>
      </c>
      <c r="E453" s="27">
        <f>IF(D453="","",D453*'02_Eingaben'!$C$8)</f>
        <v/>
      </c>
      <c r="F453" s="27">
        <f>IF(E453="","",AVERAGE(INDEX($E$2:$E$3001,MAX(1,ROW()-1-'02_Eingaben'!$C$17)):INDEX($E$2:$E$3001,MIN('02_Eingaben'!$C$21,ROW()-1+'02_Eingaben'!$C$17))))</f>
        <v/>
      </c>
      <c r="G453" s="27">
        <f>IF(F453="","",F453-'02_Eingaben'!$C$10)</f>
        <v/>
      </c>
      <c r="H453">
        <f>IF(F453="","",IF(F453&lt;'02_Eingaben'!$C$18*'02_Eingaben'!$C$10,1,0))</f>
        <v/>
      </c>
      <c r="I453" s="27">
        <f>IF(OR(G453="",G454=""),"",(G453+G454)/2*(B454-B453))</f>
        <v/>
      </c>
      <c r="J453" s="27">
        <f>IF(B453="","",IF(B452&lt;'02_Eingaben'!$C$36,0,J452+I452/'02_Eingaben'!$C$8))</f>
        <v/>
      </c>
    </row>
    <row r="454">
      <c r="A454">
        <f>IF('01_Rohdaten'!A454="","",ROW()-1)</f>
        <v/>
      </c>
      <c r="B454" s="27">
        <f>IF('01_Rohdaten'!A454="","",'01_Rohdaten'!A454)</f>
        <v/>
      </c>
      <c r="C454" s="27">
        <f>IF(B454="","",INDEX('01_Rohdaten'!B454:D454,'02_Eingaben'!$C$13))</f>
        <v/>
      </c>
      <c r="D454" s="27">
        <f>IF(C454="","",C454*'02_Eingaben'!$C$15)</f>
        <v/>
      </c>
      <c r="E454" s="27">
        <f>IF(D454="","",D454*'02_Eingaben'!$C$8)</f>
        <v/>
      </c>
      <c r="F454" s="27">
        <f>IF(E454="","",AVERAGE(INDEX($E$2:$E$3001,MAX(1,ROW()-1-'02_Eingaben'!$C$17)):INDEX($E$2:$E$3001,MIN('02_Eingaben'!$C$21,ROW()-1+'02_Eingaben'!$C$17))))</f>
        <v/>
      </c>
      <c r="G454" s="27">
        <f>IF(F454="","",F454-'02_Eingaben'!$C$10)</f>
        <v/>
      </c>
      <c r="H454">
        <f>IF(F454="","",IF(F454&lt;'02_Eingaben'!$C$18*'02_Eingaben'!$C$10,1,0))</f>
        <v/>
      </c>
      <c r="I454" s="27">
        <f>IF(OR(G454="",G455=""),"",(G454+G455)/2*(B455-B454))</f>
        <v/>
      </c>
      <c r="J454" s="27">
        <f>IF(B454="","",IF(B453&lt;'02_Eingaben'!$C$36,0,J453+I453/'02_Eingaben'!$C$8))</f>
        <v/>
      </c>
    </row>
    <row r="455">
      <c r="A455">
        <f>IF('01_Rohdaten'!A455="","",ROW()-1)</f>
        <v/>
      </c>
      <c r="B455" s="27">
        <f>IF('01_Rohdaten'!A455="","",'01_Rohdaten'!A455)</f>
        <v/>
      </c>
      <c r="C455" s="27">
        <f>IF(B455="","",INDEX('01_Rohdaten'!B455:D455,'02_Eingaben'!$C$13))</f>
        <v/>
      </c>
      <c r="D455" s="27">
        <f>IF(C455="","",C455*'02_Eingaben'!$C$15)</f>
        <v/>
      </c>
      <c r="E455" s="27">
        <f>IF(D455="","",D455*'02_Eingaben'!$C$8)</f>
        <v/>
      </c>
      <c r="F455" s="27">
        <f>IF(E455="","",AVERAGE(INDEX($E$2:$E$3001,MAX(1,ROW()-1-'02_Eingaben'!$C$17)):INDEX($E$2:$E$3001,MIN('02_Eingaben'!$C$21,ROW()-1+'02_Eingaben'!$C$17))))</f>
        <v/>
      </c>
      <c r="G455" s="27">
        <f>IF(F455="","",F455-'02_Eingaben'!$C$10)</f>
        <v/>
      </c>
      <c r="H455">
        <f>IF(F455="","",IF(F455&lt;'02_Eingaben'!$C$18*'02_Eingaben'!$C$10,1,0))</f>
        <v/>
      </c>
      <c r="I455" s="27">
        <f>IF(OR(G455="",G456=""),"",(G455+G456)/2*(B456-B455))</f>
        <v/>
      </c>
      <c r="J455" s="27">
        <f>IF(B455="","",IF(B454&lt;'02_Eingaben'!$C$36,0,J454+I454/'02_Eingaben'!$C$8))</f>
        <v/>
      </c>
    </row>
    <row r="456">
      <c r="A456">
        <f>IF('01_Rohdaten'!A456="","",ROW()-1)</f>
        <v/>
      </c>
      <c r="B456" s="27">
        <f>IF('01_Rohdaten'!A456="","",'01_Rohdaten'!A456)</f>
        <v/>
      </c>
      <c r="C456" s="27">
        <f>IF(B456="","",INDEX('01_Rohdaten'!B456:D456,'02_Eingaben'!$C$13))</f>
        <v/>
      </c>
      <c r="D456" s="27">
        <f>IF(C456="","",C456*'02_Eingaben'!$C$15)</f>
        <v/>
      </c>
      <c r="E456" s="27">
        <f>IF(D456="","",D456*'02_Eingaben'!$C$8)</f>
        <v/>
      </c>
      <c r="F456" s="27">
        <f>IF(E456="","",AVERAGE(INDEX($E$2:$E$3001,MAX(1,ROW()-1-'02_Eingaben'!$C$17)):INDEX($E$2:$E$3001,MIN('02_Eingaben'!$C$21,ROW()-1+'02_Eingaben'!$C$17))))</f>
        <v/>
      </c>
      <c r="G456" s="27">
        <f>IF(F456="","",F456-'02_Eingaben'!$C$10)</f>
        <v/>
      </c>
      <c r="H456">
        <f>IF(F456="","",IF(F456&lt;'02_Eingaben'!$C$18*'02_Eingaben'!$C$10,1,0))</f>
        <v/>
      </c>
      <c r="I456" s="27">
        <f>IF(OR(G456="",G457=""),"",(G456+G457)/2*(B457-B456))</f>
        <v/>
      </c>
      <c r="J456" s="27">
        <f>IF(B456="","",IF(B455&lt;'02_Eingaben'!$C$36,0,J455+I455/'02_Eingaben'!$C$8))</f>
        <v/>
      </c>
    </row>
    <row r="457">
      <c r="A457">
        <f>IF('01_Rohdaten'!A457="","",ROW()-1)</f>
        <v/>
      </c>
      <c r="B457" s="27">
        <f>IF('01_Rohdaten'!A457="","",'01_Rohdaten'!A457)</f>
        <v/>
      </c>
      <c r="C457" s="27">
        <f>IF(B457="","",INDEX('01_Rohdaten'!B457:D457,'02_Eingaben'!$C$13))</f>
        <v/>
      </c>
      <c r="D457" s="27">
        <f>IF(C457="","",C457*'02_Eingaben'!$C$15)</f>
        <v/>
      </c>
      <c r="E457" s="27">
        <f>IF(D457="","",D457*'02_Eingaben'!$C$8)</f>
        <v/>
      </c>
      <c r="F457" s="27">
        <f>IF(E457="","",AVERAGE(INDEX($E$2:$E$3001,MAX(1,ROW()-1-'02_Eingaben'!$C$17)):INDEX($E$2:$E$3001,MIN('02_Eingaben'!$C$21,ROW()-1+'02_Eingaben'!$C$17))))</f>
        <v/>
      </c>
      <c r="G457" s="27">
        <f>IF(F457="","",F457-'02_Eingaben'!$C$10)</f>
        <v/>
      </c>
      <c r="H457">
        <f>IF(F457="","",IF(F457&lt;'02_Eingaben'!$C$18*'02_Eingaben'!$C$10,1,0))</f>
        <v/>
      </c>
      <c r="I457" s="27">
        <f>IF(OR(G457="",G458=""),"",(G457+G458)/2*(B458-B457))</f>
        <v/>
      </c>
      <c r="J457" s="27">
        <f>IF(B457="","",IF(B456&lt;'02_Eingaben'!$C$36,0,J456+I456/'02_Eingaben'!$C$8))</f>
        <v/>
      </c>
    </row>
    <row r="458">
      <c r="A458">
        <f>IF('01_Rohdaten'!A458="","",ROW()-1)</f>
        <v/>
      </c>
      <c r="B458" s="27">
        <f>IF('01_Rohdaten'!A458="","",'01_Rohdaten'!A458)</f>
        <v/>
      </c>
      <c r="C458" s="27">
        <f>IF(B458="","",INDEX('01_Rohdaten'!B458:D458,'02_Eingaben'!$C$13))</f>
        <v/>
      </c>
      <c r="D458" s="27">
        <f>IF(C458="","",C458*'02_Eingaben'!$C$15)</f>
        <v/>
      </c>
      <c r="E458" s="27">
        <f>IF(D458="","",D458*'02_Eingaben'!$C$8)</f>
        <v/>
      </c>
      <c r="F458" s="27">
        <f>IF(E458="","",AVERAGE(INDEX($E$2:$E$3001,MAX(1,ROW()-1-'02_Eingaben'!$C$17)):INDEX($E$2:$E$3001,MIN('02_Eingaben'!$C$21,ROW()-1+'02_Eingaben'!$C$17))))</f>
        <v/>
      </c>
      <c r="G458" s="27">
        <f>IF(F458="","",F458-'02_Eingaben'!$C$10)</f>
        <v/>
      </c>
      <c r="H458">
        <f>IF(F458="","",IF(F458&lt;'02_Eingaben'!$C$18*'02_Eingaben'!$C$10,1,0))</f>
        <v/>
      </c>
      <c r="I458" s="27">
        <f>IF(OR(G458="",G459=""),"",(G458+G459)/2*(B459-B458))</f>
        <v/>
      </c>
      <c r="J458" s="27">
        <f>IF(B458="","",IF(B457&lt;'02_Eingaben'!$C$36,0,J457+I457/'02_Eingaben'!$C$8))</f>
        <v/>
      </c>
    </row>
    <row r="459">
      <c r="A459">
        <f>IF('01_Rohdaten'!A459="","",ROW()-1)</f>
        <v/>
      </c>
      <c r="B459" s="27">
        <f>IF('01_Rohdaten'!A459="","",'01_Rohdaten'!A459)</f>
        <v/>
      </c>
      <c r="C459" s="27">
        <f>IF(B459="","",INDEX('01_Rohdaten'!B459:D459,'02_Eingaben'!$C$13))</f>
        <v/>
      </c>
      <c r="D459" s="27">
        <f>IF(C459="","",C459*'02_Eingaben'!$C$15)</f>
        <v/>
      </c>
      <c r="E459" s="27">
        <f>IF(D459="","",D459*'02_Eingaben'!$C$8)</f>
        <v/>
      </c>
      <c r="F459" s="27">
        <f>IF(E459="","",AVERAGE(INDEX($E$2:$E$3001,MAX(1,ROW()-1-'02_Eingaben'!$C$17)):INDEX($E$2:$E$3001,MIN('02_Eingaben'!$C$21,ROW()-1+'02_Eingaben'!$C$17))))</f>
        <v/>
      </c>
      <c r="G459" s="27">
        <f>IF(F459="","",F459-'02_Eingaben'!$C$10)</f>
        <v/>
      </c>
      <c r="H459">
        <f>IF(F459="","",IF(F459&lt;'02_Eingaben'!$C$18*'02_Eingaben'!$C$10,1,0))</f>
        <v/>
      </c>
      <c r="I459" s="27">
        <f>IF(OR(G459="",G460=""),"",(G459+G460)/2*(B460-B459))</f>
        <v/>
      </c>
      <c r="J459" s="27">
        <f>IF(B459="","",IF(B458&lt;'02_Eingaben'!$C$36,0,J458+I458/'02_Eingaben'!$C$8))</f>
        <v/>
      </c>
    </row>
    <row r="460">
      <c r="A460">
        <f>IF('01_Rohdaten'!A460="","",ROW()-1)</f>
        <v/>
      </c>
      <c r="B460" s="27">
        <f>IF('01_Rohdaten'!A460="","",'01_Rohdaten'!A460)</f>
        <v/>
      </c>
      <c r="C460" s="27">
        <f>IF(B460="","",INDEX('01_Rohdaten'!B460:D460,'02_Eingaben'!$C$13))</f>
        <v/>
      </c>
      <c r="D460" s="27">
        <f>IF(C460="","",C460*'02_Eingaben'!$C$15)</f>
        <v/>
      </c>
      <c r="E460" s="27">
        <f>IF(D460="","",D460*'02_Eingaben'!$C$8)</f>
        <v/>
      </c>
      <c r="F460" s="27">
        <f>IF(E460="","",AVERAGE(INDEX($E$2:$E$3001,MAX(1,ROW()-1-'02_Eingaben'!$C$17)):INDEX($E$2:$E$3001,MIN('02_Eingaben'!$C$21,ROW()-1+'02_Eingaben'!$C$17))))</f>
        <v/>
      </c>
      <c r="G460" s="27">
        <f>IF(F460="","",F460-'02_Eingaben'!$C$10)</f>
        <v/>
      </c>
      <c r="H460">
        <f>IF(F460="","",IF(F460&lt;'02_Eingaben'!$C$18*'02_Eingaben'!$C$10,1,0))</f>
        <v/>
      </c>
      <c r="I460" s="27">
        <f>IF(OR(G460="",G461=""),"",(G460+G461)/2*(B461-B460))</f>
        <v/>
      </c>
      <c r="J460" s="27">
        <f>IF(B460="","",IF(B459&lt;'02_Eingaben'!$C$36,0,J459+I459/'02_Eingaben'!$C$8))</f>
        <v/>
      </c>
    </row>
    <row r="461">
      <c r="A461">
        <f>IF('01_Rohdaten'!A461="","",ROW()-1)</f>
        <v/>
      </c>
      <c r="B461" s="27">
        <f>IF('01_Rohdaten'!A461="","",'01_Rohdaten'!A461)</f>
        <v/>
      </c>
      <c r="C461" s="27">
        <f>IF(B461="","",INDEX('01_Rohdaten'!B461:D461,'02_Eingaben'!$C$13))</f>
        <v/>
      </c>
      <c r="D461" s="27">
        <f>IF(C461="","",C461*'02_Eingaben'!$C$15)</f>
        <v/>
      </c>
      <c r="E461" s="27">
        <f>IF(D461="","",D461*'02_Eingaben'!$C$8)</f>
        <v/>
      </c>
      <c r="F461" s="27">
        <f>IF(E461="","",AVERAGE(INDEX($E$2:$E$3001,MAX(1,ROW()-1-'02_Eingaben'!$C$17)):INDEX($E$2:$E$3001,MIN('02_Eingaben'!$C$21,ROW()-1+'02_Eingaben'!$C$17))))</f>
        <v/>
      </c>
      <c r="G461" s="27">
        <f>IF(F461="","",F461-'02_Eingaben'!$C$10)</f>
        <v/>
      </c>
      <c r="H461">
        <f>IF(F461="","",IF(F461&lt;'02_Eingaben'!$C$18*'02_Eingaben'!$C$10,1,0))</f>
        <v/>
      </c>
      <c r="I461" s="27">
        <f>IF(OR(G461="",G462=""),"",(G461+G462)/2*(B462-B461))</f>
        <v/>
      </c>
      <c r="J461" s="27">
        <f>IF(B461="","",IF(B460&lt;'02_Eingaben'!$C$36,0,J460+I460/'02_Eingaben'!$C$8))</f>
        <v/>
      </c>
    </row>
    <row r="462">
      <c r="A462">
        <f>IF('01_Rohdaten'!A462="","",ROW()-1)</f>
        <v/>
      </c>
      <c r="B462" s="27">
        <f>IF('01_Rohdaten'!A462="","",'01_Rohdaten'!A462)</f>
        <v/>
      </c>
      <c r="C462" s="27">
        <f>IF(B462="","",INDEX('01_Rohdaten'!B462:D462,'02_Eingaben'!$C$13))</f>
        <v/>
      </c>
      <c r="D462" s="27">
        <f>IF(C462="","",C462*'02_Eingaben'!$C$15)</f>
        <v/>
      </c>
      <c r="E462" s="27">
        <f>IF(D462="","",D462*'02_Eingaben'!$C$8)</f>
        <v/>
      </c>
      <c r="F462" s="27">
        <f>IF(E462="","",AVERAGE(INDEX($E$2:$E$3001,MAX(1,ROW()-1-'02_Eingaben'!$C$17)):INDEX($E$2:$E$3001,MIN('02_Eingaben'!$C$21,ROW()-1+'02_Eingaben'!$C$17))))</f>
        <v/>
      </c>
      <c r="G462" s="27">
        <f>IF(F462="","",F462-'02_Eingaben'!$C$10)</f>
        <v/>
      </c>
      <c r="H462">
        <f>IF(F462="","",IF(F462&lt;'02_Eingaben'!$C$18*'02_Eingaben'!$C$10,1,0))</f>
        <v/>
      </c>
      <c r="I462" s="27">
        <f>IF(OR(G462="",G463=""),"",(G462+G463)/2*(B463-B462))</f>
        <v/>
      </c>
      <c r="J462" s="27">
        <f>IF(B462="","",IF(B461&lt;'02_Eingaben'!$C$36,0,J461+I461/'02_Eingaben'!$C$8))</f>
        <v/>
      </c>
    </row>
    <row r="463">
      <c r="A463">
        <f>IF('01_Rohdaten'!A463="","",ROW()-1)</f>
        <v/>
      </c>
      <c r="B463" s="27">
        <f>IF('01_Rohdaten'!A463="","",'01_Rohdaten'!A463)</f>
        <v/>
      </c>
      <c r="C463" s="27">
        <f>IF(B463="","",INDEX('01_Rohdaten'!B463:D463,'02_Eingaben'!$C$13))</f>
        <v/>
      </c>
      <c r="D463" s="27">
        <f>IF(C463="","",C463*'02_Eingaben'!$C$15)</f>
        <v/>
      </c>
      <c r="E463" s="27">
        <f>IF(D463="","",D463*'02_Eingaben'!$C$8)</f>
        <v/>
      </c>
      <c r="F463" s="27">
        <f>IF(E463="","",AVERAGE(INDEX($E$2:$E$3001,MAX(1,ROW()-1-'02_Eingaben'!$C$17)):INDEX($E$2:$E$3001,MIN('02_Eingaben'!$C$21,ROW()-1+'02_Eingaben'!$C$17))))</f>
        <v/>
      </c>
      <c r="G463" s="27">
        <f>IF(F463="","",F463-'02_Eingaben'!$C$10)</f>
        <v/>
      </c>
      <c r="H463">
        <f>IF(F463="","",IF(F463&lt;'02_Eingaben'!$C$18*'02_Eingaben'!$C$10,1,0))</f>
        <v/>
      </c>
      <c r="I463" s="27">
        <f>IF(OR(G463="",G464=""),"",(G463+G464)/2*(B464-B463))</f>
        <v/>
      </c>
      <c r="J463" s="27">
        <f>IF(B463="","",IF(B462&lt;'02_Eingaben'!$C$36,0,J462+I462/'02_Eingaben'!$C$8))</f>
        <v/>
      </c>
    </row>
    <row r="464">
      <c r="A464">
        <f>IF('01_Rohdaten'!A464="","",ROW()-1)</f>
        <v/>
      </c>
      <c r="B464" s="27">
        <f>IF('01_Rohdaten'!A464="","",'01_Rohdaten'!A464)</f>
        <v/>
      </c>
      <c r="C464" s="27">
        <f>IF(B464="","",INDEX('01_Rohdaten'!B464:D464,'02_Eingaben'!$C$13))</f>
        <v/>
      </c>
      <c r="D464" s="27">
        <f>IF(C464="","",C464*'02_Eingaben'!$C$15)</f>
        <v/>
      </c>
      <c r="E464" s="27">
        <f>IF(D464="","",D464*'02_Eingaben'!$C$8)</f>
        <v/>
      </c>
      <c r="F464" s="27">
        <f>IF(E464="","",AVERAGE(INDEX($E$2:$E$3001,MAX(1,ROW()-1-'02_Eingaben'!$C$17)):INDEX($E$2:$E$3001,MIN('02_Eingaben'!$C$21,ROW()-1+'02_Eingaben'!$C$17))))</f>
        <v/>
      </c>
      <c r="G464" s="27">
        <f>IF(F464="","",F464-'02_Eingaben'!$C$10)</f>
        <v/>
      </c>
      <c r="H464">
        <f>IF(F464="","",IF(F464&lt;'02_Eingaben'!$C$18*'02_Eingaben'!$C$10,1,0))</f>
        <v/>
      </c>
      <c r="I464" s="27">
        <f>IF(OR(G464="",G465=""),"",(G464+G465)/2*(B465-B464))</f>
        <v/>
      </c>
      <c r="J464" s="27">
        <f>IF(B464="","",IF(B463&lt;'02_Eingaben'!$C$36,0,J463+I463/'02_Eingaben'!$C$8))</f>
        <v/>
      </c>
    </row>
    <row r="465">
      <c r="A465">
        <f>IF('01_Rohdaten'!A465="","",ROW()-1)</f>
        <v/>
      </c>
      <c r="B465" s="27">
        <f>IF('01_Rohdaten'!A465="","",'01_Rohdaten'!A465)</f>
        <v/>
      </c>
      <c r="C465" s="27">
        <f>IF(B465="","",INDEX('01_Rohdaten'!B465:D465,'02_Eingaben'!$C$13))</f>
        <v/>
      </c>
      <c r="D465" s="27">
        <f>IF(C465="","",C465*'02_Eingaben'!$C$15)</f>
        <v/>
      </c>
      <c r="E465" s="27">
        <f>IF(D465="","",D465*'02_Eingaben'!$C$8)</f>
        <v/>
      </c>
      <c r="F465" s="27">
        <f>IF(E465="","",AVERAGE(INDEX($E$2:$E$3001,MAX(1,ROW()-1-'02_Eingaben'!$C$17)):INDEX($E$2:$E$3001,MIN('02_Eingaben'!$C$21,ROW()-1+'02_Eingaben'!$C$17))))</f>
        <v/>
      </c>
      <c r="G465" s="27">
        <f>IF(F465="","",F465-'02_Eingaben'!$C$10)</f>
        <v/>
      </c>
      <c r="H465">
        <f>IF(F465="","",IF(F465&lt;'02_Eingaben'!$C$18*'02_Eingaben'!$C$10,1,0))</f>
        <v/>
      </c>
      <c r="I465" s="27">
        <f>IF(OR(G465="",G466=""),"",(G465+G466)/2*(B466-B465))</f>
        <v/>
      </c>
      <c r="J465" s="27">
        <f>IF(B465="","",IF(B464&lt;'02_Eingaben'!$C$36,0,J464+I464/'02_Eingaben'!$C$8))</f>
        <v/>
      </c>
    </row>
    <row r="466">
      <c r="A466">
        <f>IF('01_Rohdaten'!A466="","",ROW()-1)</f>
        <v/>
      </c>
      <c r="B466" s="27">
        <f>IF('01_Rohdaten'!A466="","",'01_Rohdaten'!A466)</f>
        <v/>
      </c>
      <c r="C466" s="27">
        <f>IF(B466="","",INDEX('01_Rohdaten'!B466:D466,'02_Eingaben'!$C$13))</f>
        <v/>
      </c>
      <c r="D466" s="27">
        <f>IF(C466="","",C466*'02_Eingaben'!$C$15)</f>
        <v/>
      </c>
      <c r="E466" s="27">
        <f>IF(D466="","",D466*'02_Eingaben'!$C$8)</f>
        <v/>
      </c>
      <c r="F466" s="27">
        <f>IF(E466="","",AVERAGE(INDEX($E$2:$E$3001,MAX(1,ROW()-1-'02_Eingaben'!$C$17)):INDEX($E$2:$E$3001,MIN('02_Eingaben'!$C$21,ROW()-1+'02_Eingaben'!$C$17))))</f>
        <v/>
      </c>
      <c r="G466" s="27">
        <f>IF(F466="","",F466-'02_Eingaben'!$C$10)</f>
        <v/>
      </c>
      <c r="H466">
        <f>IF(F466="","",IF(F466&lt;'02_Eingaben'!$C$18*'02_Eingaben'!$C$10,1,0))</f>
        <v/>
      </c>
      <c r="I466" s="27">
        <f>IF(OR(G466="",G467=""),"",(G466+G467)/2*(B467-B466))</f>
        <v/>
      </c>
      <c r="J466" s="27">
        <f>IF(B466="","",IF(B465&lt;'02_Eingaben'!$C$36,0,J465+I465/'02_Eingaben'!$C$8))</f>
        <v/>
      </c>
    </row>
    <row r="467">
      <c r="A467">
        <f>IF('01_Rohdaten'!A467="","",ROW()-1)</f>
        <v/>
      </c>
      <c r="B467" s="27">
        <f>IF('01_Rohdaten'!A467="","",'01_Rohdaten'!A467)</f>
        <v/>
      </c>
      <c r="C467" s="27">
        <f>IF(B467="","",INDEX('01_Rohdaten'!B467:D467,'02_Eingaben'!$C$13))</f>
        <v/>
      </c>
      <c r="D467" s="27">
        <f>IF(C467="","",C467*'02_Eingaben'!$C$15)</f>
        <v/>
      </c>
      <c r="E467" s="27">
        <f>IF(D467="","",D467*'02_Eingaben'!$C$8)</f>
        <v/>
      </c>
      <c r="F467" s="27">
        <f>IF(E467="","",AVERAGE(INDEX($E$2:$E$3001,MAX(1,ROW()-1-'02_Eingaben'!$C$17)):INDEX($E$2:$E$3001,MIN('02_Eingaben'!$C$21,ROW()-1+'02_Eingaben'!$C$17))))</f>
        <v/>
      </c>
      <c r="G467" s="27">
        <f>IF(F467="","",F467-'02_Eingaben'!$C$10)</f>
        <v/>
      </c>
      <c r="H467">
        <f>IF(F467="","",IF(F467&lt;'02_Eingaben'!$C$18*'02_Eingaben'!$C$10,1,0))</f>
        <v/>
      </c>
      <c r="I467" s="27">
        <f>IF(OR(G467="",G468=""),"",(G467+G468)/2*(B468-B467))</f>
        <v/>
      </c>
      <c r="J467" s="27">
        <f>IF(B467="","",IF(B466&lt;'02_Eingaben'!$C$36,0,J466+I466/'02_Eingaben'!$C$8))</f>
        <v/>
      </c>
    </row>
    <row r="468">
      <c r="A468">
        <f>IF('01_Rohdaten'!A468="","",ROW()-1)</f>
        <v/>
      </c>
      <c r="B468" s="27">
        <f>IF('01_Rohdaten'!A468="","",'01_Rohdaten'!A468)</f>
        <v/>
      </c>
      <c r="C468" s="27">
        <f>IF(B468="","",INDEX('01_Rohdaten'!B468:D468,'02_Eingaben'!$C$13))</f>
        <v/>
      </c>
      <c r="D468" s="27">
        <f>IF(C468="","",C468*'02_Eingaben'!$C$15)</f>
        <v/>
      </c>
      <c r="E468" s="27">
        <f>IF(D468="","",D468*'02_Eingaben'!$C$8)</f>
        <v/>
      </c>
      <c r="F468" s="27">
        <f>IF(E468="","",AVERAGE(INDEX($E$2:$E$3001,MAX(1,ROW()-1-'02_Eingaben'!$C$17)):INDEX($E$2:$E$3001,MIN('02_Eingaben'!$C$21,ROW()-1+'02_Eingaben'!$C$17))))</f>
        <v/>
      </c>
      <c r="G468" s="27">
        <f>IF(F468="","",F468-'02_Eingaben'!$C$10)</f>
        <v/>
      </c>
      <c r="H468">
        <f>IF(F468="","",IF(F468&lt;'02_Eingaben'!$C$18*'02_Eingaben'!$C$10,1,0))</f>
        <v/>
      </c>
      <c r="I468" s="27">
        <f>IF(OR(G468="",G469=""),"",(G468+G469)/2*(B469-B468))</f>
        <v/>
      </c>
      <c r="J468" s="27">
        <f>IF(B468="","",IF(B467&lt;'02_Eingaben'!$C$36,0,J467+I467/'02_Eingaben'!$C$8))</f>
        <v/>
      </c>
    </row>
    <row r="469">
      <c r="A469">
        <f>IF('01_Rohdaten'!A469="","",ROW()-1)</f>
        <v/>
      </c>
      <c r="B469" s="27">
        <f>IF('01_Rohdaten'!A469="","",'01_Rohdaten'!A469)</f>
        <v/>
      </c>
      <c r="C469" s="27">
        <f>IF(B469="","",INDEX('01_Rohdaten'!B469:D469,'02_Eingaben'!$C$13))</f>
        <v/>
      </c>
      <c r="D469" s="27">
        <f>IF(C469="","",C469*'02_Eingaben'!$C$15)</f>
        <v/>
      </c>
      <c r="E469" s="27">
        <f>IF(D469="","",D469*'02_Eingaben'!$C$8)</f>
        <v/>
      </c>
      <c r="F469" s="27">
        <f>IF(E469="","",AVERAGE(INDEX($E$2:$E$3001,MAX(1,ROW()-1-'02_Eingaben'!$C$17)):INDEX($E$2:$E$3001,MIN('02_Eingaben'!$C$21,ROW()-1+'02_Eingaben'!$C$17))))</f>
        <v/>
      </c>
      <c r="G469" s="27">
        <f>IF(F469="","",F469-'02_Eingaben'!$C$10)</f>
        <v/>
      </c>
      <c r="H469">
        <f>IF(F469="","",IF(F469&lt;'02_Eingaben'!$C$18*'02_Eingaben'!$C$10,1,0))</f>
        <v/>
      </c>
      <c r="I469" s="27">
        <f>IF(OR(G469="",G470=""),"",(G469+G470)/2*(B470-B469))</f>
        <v/>
      </c>
      <c r="J469" s="27">
        <f>IF(B469="","",IF(B468&lt;'02_Eingaben'!$C$36,0,J468+I468/'02_Eingaben'!$C$8))</f>
        <v/>
      </c>
    </row>
    <row r="470">
      <c r="A470">
        <f>IF('01_Rohdaten'!A470="","",ROW()-1)</f>
        <v/>
      </c>
      <c r="B470" s="27">
        <f>IF('01_Rohdaten'!A470="","",'01_Rohdaten'!A470)</f>
        <v/>
      </c>
      <c r="C470" s="27">
        <f>IF(B470="","",INDEX('01_Rohdaten'!B470:D470,'02_Eingaben'!$C$13))</f>
        <v/>
      </c>
      <c r="D470" s="27">
        <f>IF(C470="","",C470*'02_Eingaben'!$C$15)</f>
        <v/>
      </c>
      <c r="E470" s="27">
        <f>IF(D470="","",D470*'02_Eingaben'!$C$8)</f>
        <v/>
      </c>
      <c r="F470" s="27">
        <f>IF(E470="","",AVERAGE(INDEX($E$2:$E$3001,MAX(1,ROW()-1-'02_Eingaben'!$C$17)):INDEX($E$2:$E$3001,MIN('02_Eingaben'!$C$21,ROW()-1+'02_Eingaben'!$C$17))))</f>
        <v/>
      </c>
      <c r="G470" s="27">
        <f>IF(F470="","",F470-'02_Eingaben'!$C$10)</f>
        <v/>
      </c>
      <c r="H470">
        <f>IF(F470="","",IF(F470&lt;'02_Eingaben'!$C$18*'02_Eingaben'!$C$10,1,0))</f>
        <v/>
      </c>
      <c r="I470" s="27">
        <f>IF(OR(G470="",G471=""),"",(G470+G471)/2*(B471-B470))</f>
        <v/>
      </c>
      <c r="J470" s="27">
        <f>IF(B470="","",IF(B469&lt;'02_Eingaben'!$C$36,0,J469+I469/'02_Eingaben'!$C$8))</f>
        <v/>
      </c>
    </row>
    <row r="471">
      <c r="A471">
        <f>IF('01_Rohdaten'!A471="","",ROW()-1)</f>
        <v/>
      </c>
      <c r="B471" s="27">
        <f>IF('01_Rohdaten'!A471="","",'01_Rohdaten'!A471)</f>
        <v/>
      </c>
      <c r="C471" s="27">
        <f>IF(B471="","",INDEX('01_Rohdaten'!B471:D471,'02_Eingaben'!$C$13))</f>
        <v/>
      </c>
      <c r="D471" s="27">
        <f>IF(C471="","",C471*'02_Eingaben'!$C$15)</f>
        <v/>
      </c>
      <c r="E471" s="27">
        <f>IF(D471="","",D471*'02_Eingaben'!$C$8)</f>
        <v/>
      </c>
      <c r="F471" s="27">
        <f>IF(E471="","",AVERAGE(INDEX($E$2:$E$3001,MAX(1,ROW()-1-'02_Eingaben'!$C$17)):INDEX($E$2:$E$3001,MIN('02_Eingaben'!$C$21,ROW()-1+'02_Eingaben'!$C$17))))</f>
        <v/>
      </c>
      <c r="G471" s="27">
        <f>IF(F471="","",F471-'02_Eingaben'!$C$10)</f>
        <v/>
      </c>
      <c r="H471">
        <f>IF(F471="","",IF(F471&lt;'02_Eingaben'!$C$18*'02_Eingaben'!$C$10,1,0))</f>
        <v/>
      </c>
      <c r="I471" s="27">
        <f>IF(OR(G471="",G472=""),"",(G471+G472)/2*(B472-B471))</f>
        <v/>
      </c>
      <c r="J471" s="27">
        <f>IF(B471="","",IF(B470&lt;'02_Eingaben'!$C$36,0,J470+I470/'02_Eingaben'!$C$8))</f>
        <v/>
      </c>
    </row>
    <row r="472">
      <c r="A472">
        <f>IF('01_Rohdaten'!A472="","",ROW()-1)</f>
        <v/>
      </c>
      <c r="B472" s="27">
        <f>IF('01_Rohdaten'!A472="","",'01_Rohdaten'!A472)</f>
        <v/>
      </c>
      <c r="C472" s="27">
        <f>IF(B472="","",INDEX('01_Rohdaten'!B472:D472,'02_Eingaben'!$C$13))</f>
        <v/>
      </c>
      <c r="D472" s="27">
        <f>IF(C472="","",C472*'02_Eingaben'!$C$15)</f>
        <v/>
      </c>
      <c r="E472" s="27">
        <f>IF(D472="","",D472*'02_Eingaben'!$C$8)</f>
        <v/>
      </c>
      <c r="F472" s="27">
        <f>IF(E472="","",AVERAGE(INDEX($E$2:$E$3001,MAX(1,ROW()-1-'02_Eingaben'!$C$17)):INDEX($E$2:$E$3001,MIN('02_Eingaben'!$C$21,ROW()-1+'02_Eingaben'!$C$17))))</f>
        <v/>
      </c>
      <c r="G472" s="27">
        <f>IF(F472="","",F472-'02_Eingaben'!$C$10)</f>
        <v/>
      </c>
      <c r="H472">
        <f>IF(F472="","",IF(F472&lt;'02_Eingaben'!$C$18*'02_Eingaben'!$C$10,1,0))</f>
        <v/>
      </c>
      <c r="I472" s="27">
        <f>IF(OR(G472="",G473=""),"",(G472+G473)/2*(B473-B472))</f>
        <v/>
      </c>
      <c r="J472" s="27">
        <f>IF(B472="","",IF(B471&lt;'02_Eingaben'!$C$36,0,J471+I471/'02_Eingaben'!$C$8))</f>
        <v/>
      </c>
    </row>
    <row r="473">
      <c r="A473">
        <f>IF('01_Rohdaten'!A473="","",ROW()-1)</f>
        <v/>
      </c>
      <c r="B473" s="27">
        <f>IF('01_Rohdaten'!A473="","",'01_Rohdaten'!A473)</f>
        <v/>
      </c>
      <c r="C473" s="27">
        <f>IF(B473="","",INDEX('01_Rohdaten'!B473:D473,'02_Eingaben'!$C$13))</f>
        <v/>
      </c>
      <c r="D473" s="27">
        <f>IF(C473="","",C473*'02_Eingaben'!$C$15)</f>
        <v/>
      </c>
      <c r="E473" s="27">
        <f>IF(D473="","",D473*'02_Eingaben'!$C$8)</f>
        <v/>
      </c>
      <c r="F473" s="27">
        <f>IF(E473="","",AVERAGE(INDEX($E$2:$E$3001,MAX(1,ROW()-1-'02_Eingaben'!$C$17)):INDEX($E$2:$E$3001,MIN('02_Eingaben'!$C$21,ROW()-1+'02_Eingaben'!$C$17))))</f>
        <v/>
      </c>
      <c r="G473" s="27">
        <f>IF(F473="","",F473-'02_Eingaben'!$C$10)</f>
        <v/>
      </c>
      <c r="H473">
        <f>IF(F473="","",IF(F473&lt;'02_Eingaben'!$C$18*'02_Eingaben'!$C$10,1,0))</f>
        <v/>
      </c>
      <c r="I473" s="27">
        <f>IF(OR(G473="",G474=""),"",(G473+G474)/2*(B474-B473))</f>
        <v/>
      </c>
      <c r="J473" s="27">
        <f>IF(B473="","",IF(B472&lt;'02_Eingaben'!$C$36,0,J472+I472/'02_Eingaben'!$C$8))</f>
        <v/>
      </c>
    </row>
    <row r="474">
      <c r="A474">
        <f>IF('01_Rohdaten'!A474="","",ROW()-1)</f>
        <v/>
      </c>
      <c r="B474" s="27">
        <f>IF('01_Rohdaten'!A474="","",'01_Rohdaten'!A474)</f>
        <v/>
      </c>
      <c r="C474" s="27">
        <f>IF(B474="","",INDEX('01_Rohdaten'!B474:D474,'02_Eingaben'!$C$13))</f>
        <v/>
      </c>
      <c r="D474" s="27">
        <f>IF(C474="","",C474*'02_Eingaben'!$C$15)</f>
        <v/>
      </c>
      <c r="E474" s="27">
        <f>IF(D474="","",D474*'02_Eingaben'!$C$8)</f>
        <v/>
      </c>
      <c r="F474" s="27">
        <f>IF(E474="","",AVERAGE(INDEX($E$2:$E$3001,MAX(1,ROW()-1-'02_Eingaben'!$C$17)):INDEX($E$2:$E$3001,MIN('02_Eingaben'!$C$21,ROW()-1+'02_Eingaben'!$C$17))))</f>
        <v/>
      </c>
      <c r="G474" s="27">
        <f>IF(F474="","",F474-'02_Eingaben'!$C$10)</f>
        <v/>
      </c>
      <c r="H474">
        <f>IF(F474="","",IF(F474&lt;'02_Eingaben'!$C$18*'02_Eingaben'!$C$10,1,0))</f>
        <v/>
      </c>
      <c r="I474" s="27">
        <f>IF(OR(G474="",G475=""),"",(G474+G475)/2*(B475-B474))</f>
        <v/>
      </c>
      <c r="J474" s="27">
        <f>IF(B474="","",IF(B473&lt;'02_Eingaben'!$C$36,0,J473+I473/'02_Eingaben'!$C$8))</f>
        <v/>
      </c>
    </row>
    <row r="475">
      <c r="A475">
        <f>IF('01_Rohdaten'!A475="","",ROW()-1)</f>
        <v/>
      </c>
      <c r="B475" s="27">
        <f>IF('01_Rohdaten'!A475="","",'01_Rohdaten'!A475)</f>
        <v/>
      </c>
      <c r="C475" s="27">
        <f>IF(B475="","",INDEX('01_Rohdaten'!B475:D475,'02_Eingaben'!$C$13))</f>
        <v/>
      </c>
      <c r="D475" s="27">
        <f>IF(C475="","",C475*'02_Eingaben'!$C$15)</f>
        <v/>
      </c>
      <c r="E475" s="27">
        <f>IF(D475="","",D475*'02_Eingaben'!$C$8)</f>
        <v/>
      </c>
      <c r="F475" s="27">
        <f>IF(E475="","",AVERAGE(INDEX($E$2:$E$3001,MAX(1,ROW()-1-'02_Eingaben'!$C$17)):INDEX($E$2:$E$3001,MIN('02_Eingaben'!$C$21,ROW()-1+'02_Eingaben'!$C$17))))</f>
        <v/>
      </c>
      <c r="G475" s="27">
        <f>IF(F475="","",F475-'02_Eingaben'!$C$10)</f>
        <v/>
      </c>
      <c r="H475">
        <f>IF(F475="","",IF(F475&lt;'02_Eingaben'!$C$18*'02_Eingaben'!$C$10,1,0))</f>
        <v/>
      </c>
      <c r="I475" s="27">
        <f>IF(OR(G475="",G476=""),"",(G475+G476)/2*(B476-B475))</f>
        <v/>
      </c>
      <c r="J475" s="27">
        <f>IF(B475="","",IF(B474&lt;'02_Eingaben'!$C$36,0,J474+I474/'02_Eingaben'!$C$8))</f>
        <v/>
      </c>
    </row>
    <row r="476">
      <c r="A476">
        <f>IF('01_Rohdaten'!A476="","",ROW()-1)</f>
        <v/>
      </c>
      <c r="B476" s="27">
        <f>IF('01_Rohdaten'!A476="","",'01_Rohdaten'!A476)</f>
        <v/>
      </c>
      <c r="C476" s="27">
        <f>IF(B476="","",INDEX('01_Rohdaten'!B476:D476,'02_Eingaben'!$C$13))</f>
        <v/>
      </c>
      <c r="D476" s="27">
        <f>IF(C476="","",C476*'02_Eingaben'!$C$15)</f>
        <v/>
      </c>
      <c r="E476" s="27">
        <f>IF(D476="","",D476*'02_Eingaben'!$C$8)</f>
        <v/>
      </c>
      <c r="F476" s="27">
        <f>IF(E476="","",AVERAGE(INDEX($E$2:$E$3001,MAX(1,ROW()-1-'02_Eingaben'!$C$17)):INDEX($E$2:$E$3001,MIN('02_Eingaben'!$C$21,ROW()-1+'02_Eingaben'!$C$17))))</f>
        <v/>
      </c>
      <c r="G476" s="27">
        <f>IF(F476="","",F476-'02_Eingaben'!$C$10)</f>
        <v/>
      </c>
      <c r="H476">
        <f>IF(F476="","",IF(F476&lt;'02_Eingaben'!$C$18*'02_Eingaben'!$C$10,1,0))</f>
        <v/>
      </c>
      <c r="I476" s="27">
        <f>IF(OR(G476="",G477=""),"",(G476+G477)/2*(B477-B476))</f>
        <v/>
      </c>
      <c r="J476" s="27">
        <f>IF(B476="","",IF(B475&lt;'02_Eingaben'!$C$36,0,J475+I475/'02_Eingaben'!$C$8))</f>
        <v/>
      </c>
    </row>
    <row r="477">
      <c r="A477">
        <f>IF('01_Rohdaten'!A477="","",ROW()-1)</f>
        <v/>
      </c>
      <c r="B477" s="27">
        <f>IF('01_Rohdaten'!A477="","",'01_Rohdaten'!A477)</f>
        <v/>
      </c>
      <c r="C477" s="27">
        <f>IF(B477="","",INDEX('01_Rohdaten'!B477:D477,'02_Eingaben'!$C$13))</f>
        <v/>
      </c>
      <c r="D477" s="27">
        <f>IF(C477="","",C477*'02_Eingaben'!$C$15)</f>
        <v/>
      </c>
      <c r="E477" s="27">
        <f>IF(D477="","",D477*'02_Eingaben'!$C$8)</f>
        <v/>
      </c>
      <c r="F477" s="27">
        <f>IF(E477="","",AVERAGE(INDEX($E$2:$E$3001,MAX(1,ROW()-1-'02_Eingaben'!$C$17)):INDEX($E$2:$E$3001,MIN('02_Eingaben'!$C$21,ROW()-1+'02_Eingaben'!$C$17))))</f>
        <v/>
      </c>
      <c r="G477" s="27">
        <f>IF(F477="","",F477-'02_Eingaben'!$C$10)</f>
        <v/>
      </c>
      <c r="H477">
        <f>IF(F477="","",IF(F477&lt;'02_Eingaben'!$C$18*'02_Eingaben'!$C$10,1,0))</f>
        <v/>
      </c>
      <c r="I477" s="27">
        <f>IF(OR(G477="",G478=""),"",(G477+G478)/2*(B478-B477))</f>
        <v/>
      </c>
      <c r="J477" s="27">
        <f>IF(B477="","",IF(B476&lt;'02_Eingaben'!$C$36,0,J476+I476/'02_Eingaben'!$C$8))</f>
        <v/>
      </c>
    </row>
    <row r="478">
      <c r="A478">
        <f>IF('01_Rohdaten'!A478="","",ROW()-1)</f>
        <v/>
      </c>
      <c r="B478" s="27">
        <f>IF('01_Rohdaten'!A478="","",'01_Rohdaten'!A478)</f>
        <v/>
      </c>
      <c r="C478" s="27">
        <f>IF(B478="","",INDEX('01_Rohdaten'!B478:D478,'02_Eingaben'!$C$13))</f>
        <v/>
      </c>
      <c r="D478" s="27">
        <f>IF(C478="","",C478*'02_Eingaben'!$C$15)</f>
        <v/>
      </c>
      <c r="E478" s="27">
        <f>IF(D478="","",D478*'02_Eingaben'!$C$8)</f>
        <v/>
      </c>
      <c r="F478" s="27">
        <f>IF(E478="","",AVERAGE(INDEX($E$2:$E$3001,MAX(1,ROW()-1-'02_Eingaben'!$C$17)):INDEX($E$2:$E$3001,MIN('02_Eingaben'!$C$21,ROW()-1+'02_Eingaben'!$C$17))))</f>
        <v/>
      </c>
      <c r="G478" s="27">
        <f>IF(F478="","",F478-'02_Eingaben'!$C$10)</f>
        <v/>
      </c>
      <c r="H478">
        <f>IF(F478="","",IF(F478&lt;'02_Eingaben'!$C$18*'02_Eingaben'!$C$10,1,0))</f>
        <v/>
      </c>
      <c r="I478" s="27">
        <f>IF(OR(G478="",G479=""),"",(G478+G479)/2*(B479-B478))</f>
        <v/>
      </c>
      <c r="J478" s="27">
        <f>IF(B478="","",IF(B477&lt;'02_Eingaben'!$C$36,0,J477+I477/'02_Eingaben'!$C$8))</f>
        <v/>
      </c>
    </row>
    <row r="479">
      <c r="A479">
        <f>IF('01_Rohdaten'!A479="","",ROW()-1)</f>
        <v/>
      </c>
      <c r="B479" s="27">
        <f>IF('01_Rohdaten'!A479="","",'01_Rohdaten'!A479)</f>
        <v/>
      </c>
      <c r="C479" s="27">
        <f>IF(B479="","",INDEX('01_Rohdaten'!B479:D479,'02_Eingaben'!$C$13))</f>
        <v/>
      </c>
      <c r="D479" s="27">
        <f>IF(C479="","",C479*'02_Eingaben'!$C$15)</f>
        <v/>
      </c>
      <c r="E479" s="27">
        <f>IF(D479="","",D479*'02_Eingaben'!$C$8)</f>
        <v/>
      </c>
      <c r="F479" s="27">
        <f>IF(E479="","",AVERAGE(INDEX($E$2:$E$3001,MAX(1,ROW()-1-'02_Eingaben'!$C$17)):INDEX($E$2:$E$3001,MIN('02_Eingaben'!$C$21,ROW()-1+'02_Eingaben'!$C$17))))</f>
        <v/>
      </c>
      <c r="G479" s="27">
        <f>IF(F479="","",F479-'02_Eingaben'!$C$10)</f>
        <v/>
      </c>
      <c r="H479">
        <f>IF(F479="","",IF(F479&lt;'02_Eingaben'!$C$18*'02_Eingaben'!$C$10,1,0))</f>
        <v/>
      </c>
      <c r="I479" s="27">
        <f>IF(OR(G479="",G480=""),"",(G479+G480)/2*(B480-B479))</f>
        <v/>
      </c>
      <c r="J479" s="27">
        <f>IF(B479="","",IF(B478&lt;'02_Eingaben'!$C$36,0,J478+I478/'02_Eingaben'!$C$8))</f>
        <v/>
      </c>
    </row>
    <row r="480">
      <c r="A480">
        <f>IF('01_Rohdaten'!A480="","",ROW()-1)</f>
        <v/>
      </c>
      <c r="B480" s="27">
        <f>IF('01_Rohdaten'!A480="","",'01_Rohdaten'!A480)</f>
        <v/>
      </c>
      <c r="C480" s="27">
        <f>IF(B480="","",INDEX('01_Rohdaten'!B480:D480,'02_Eingaben'!$C$13))</f>
        <v/>
      </c>
      <c r="D480" s="27">
        <f>IF(C480="","",C480*'02_Eingaben'!$C$15)</f>
        <v/>
      </c>
      <c r="E480" s="27">
        <f>IF(D480="","",D480*'02_Eingaben'!$C$8)</f>
        <v/>
      </c>
      <c r="F480" s="27">
        <f>IF(E480="","",AVERAGE(INDEX($E$2:$E$3001,MAX(1,ROW()-1-'02_Eingaben'!$C$17)):INDEX($E$2:$E$3001,MIN('02_Eingaben'!$C$21,ROW()-1+'02_Eingaben'!$C$17))))</f>
        <v/>
      </c>
      <c r="G480" s="27">
        <f>IF(F480="","",F480-'02_Eingaben'!$C$10)</f>
        <v/>
      </c>
      <c r="H480">
        <f>IF(F480="","",IF(F480&lt;'02_Eingaben'!$C$18*'02_Eingaben'!$C$10,1,0))</f>
        <v/>
      </c>
      <c r="I480" s="27">
        <f>IF(OR(G480="",G481=""),"",(G480+G481)/2*(B481-B480))</f>
        <v/>
      </c>
      <c r="J480" s="27">
        <f>IF(B480="","",IF(B479&lt;'02_Eingaben'!$C$36,0,J479+I479/'02_Eingaben'!$C$8))</f>
        <v/>
      </c>
    </row>
    <row r="481">
      <c r="A481">
        <f>IF('01_Rohdaten'!A481="","",ROW()-1)</f>
        <v/>
      </c>
      <c r="B481" s="27">
        <f>IF('01_Rohdaten'!A481="","",'01_Rohdaten'!A481)</f>
        <v/>
      </c>
      <c r="C481" s="27">
        <f>IF(B481="","",INDEX('01_Rohdaten'!B481:D481,'02_Eingaben'!$C$13))</f>
        <v/>
      </c>
      <c r="D481" s="27">
        <f>IF(C481="","",C481*'02_Eingaben'!$C$15)</f>
        <v/>
      </c>
      <c r="E481" s="27">
        <f>IF(D481="","",D481*'02_Eingaben'!$C$8)</f>
        <v/>
      </c>
      <c r="F481" s="27">
        <f>IF(E481="","",AVERAGE(INDEX($E$2:$E$3001,MAX(1,ROW()-1-'02_Eingaben'!$C$17)):INDEX($E$2:$E$3001,MIN('02_Eingaben'!$C$21,ROW()-1+'02_Eingaben'!$C$17))))</f>
        <v/>
      </c>
      <c r="G481" s="27">
        <f>IF(F481="","",F481-'02_Eingaben'!$C$10)</f>
        <v/>
      </c>
      <c r="H481">
        <f>IF(F481="","",IF(F481&lt;'02_Eingaben'!$C$18*'02_Eingaben'!$C$10,1,0))</f>
        <v/>
      </c>
      <c r="I481" s="27">
        <f>IF(OR(G481="",G482=""),"",(G481+G482)/2*(B482-B481))</f>
        <v/>
      </c>
      <c r="J481" s="27">
        <f>IF(B481="","",IF(B480&lt;'02_Eingaben'!$C$36,0,J480+I480/'02_Eingaben'!$C$8))</f>
        <v/>
      </c>
    </row>
    <row r="482">
      <c r="A482">
        <f>IF('01_Rohdaten'!A482="","",ROW()-1)</f>
        <v/>
      </c>
      <c r="B482" s="27">
        <f>IF('01_Rohdaten'!A482="","",'01_Rohdaten'!A482)</f>
        <v/>
      </c>
      <c r="C482" s="27">
        <f>IF(B482="","",INDEX('01_Rohdaten'!B482:D482,'02_Eingaben'!$C$13))</f>
        <v/>
      </c>
      <c r="D482" s="27">
        <f>IF(C482="","",C482*'02_Eingaben'!$C$15)</f>
        <v/>
      </c>
      <c r="E482" s="27">
        <f>IF(D482="","",D482*'02_Eingaben'!$C$8)</f>
        <v/>
      </c>
      <c r="F482" s="27">
        <f>IF(E482="","",AVERAGE(INDEX($E$2:$E$3001,MAX(1,ROW()-1-'02_Eingaben'!$C$17)):INDEX($E$2:$E$3001,MIN('02_Eingaben'!$C$21,ROW()-1+'02_Eingaben'!$C$17))))</f>
        <v/>
      </c>
      <c r="G482" s="27">
        <f>IF(F482="","",F482-'02_Eingaben'!$C$10)</f>
        <v/>
      </c>
      <c r="H482">
        <f>IF(F482="","",IF(F482&lt;'02_Eingaben'!$C$18*'02_Eingaben'!$C$10,1,0))</f>
        <v/>
      </c>
      <c r="I482" s="27">
        <f>IF(OR(G482="",G483=""),"",(G482+G483)/2*(B483-B482))</f>
        <v/>
      </c>
      <c r="J482" s="27">
        <f>IF(B482="","",IF(B481&lt;'02_Eingaben'!$C$36,0,J481+I481/'02_Eingaben'!$C$8))</f>
        <v/>
      </c>
    </row>
    <row r="483">
      <c r="A483">
        <f>IF('01_Rohdaten'!A483="","",ROW()-1)</f>
        <v/>
      </c>
      <c r="B483" s="27">
        <f>IF('01_Rohdaten'!A483="","",'01_Rohdaten'!A483)</f>
        <v/>
      </c>
      <c r="C483" s="27">
        <f>IF(B483="","",INDEX('01_Rohdaten'!B483:D483,'02_Eingaben'!$C$13))</f>
        <v/>
      </c>
      <c r="D483" s="27">
        <f>IF(C483="","",C483*'02_Eingaben'!$C$15)</f>
        <v/>
      </c>
      <c r="E483" s="27">
        <f>IF(D483="","",D483*'02_Eingaben'!$C$8)</f>
        <v/>
      </c>
      <c r="F483" s="27">
        <f>IF(E483="","",AVERAGE(INDEX($E$2:$E$3001,MAX(1,ROW()-1-'02_Eingaben'!$C$17)):INDEX($E$2:$E$3001,MIN('02_Eingaben'!$C$21,ROW()-1+'02_Eingaben'!$C$17))))</f>
        <v/>
      </c>
      <c r="G483" s="27">
        <f>IF(F483="","",F483-'02_Eingaben'!$C$10)</f>
        <v/>
      </c>
      <c r="H483">
        <f>IF(F483="","",IF(F483&lt;'02_Eingaben'!$C$18*'02_Eingaben'!$C$10,1,0))</f>
        <v/>
      </c>
      <c r="I483" s="27">
        <f>IF(OR(G483="",G484=""),"",(G483+G484)/2*(B484-B483))</f>
        <v/>
      </c>
      <c r="J483" s="27">
        <f>IF(B483="","",IF(B482&lt;'02_Eingaben'!$C$36,0,J482+I482/'02_Eingaben'!$C$8))</f>
        <v/>
      </c>
    </row>
    <row r="484">
      <c r="A484">
        <f>IF('01_Rohdaten'!A484="","",ROW()-1)</f>
        <v/>
      </c>
      <c r="B484" s="27">
        <f>IF('01_Rohdaten'!A484="","",'01_Rohdaten'!A484)</f>
        <v/>
      </c>
      <c r="C484" s="27">
        <f>IF(B484="","",INDEX('01_Rohdaten'!B484:D484,'02_Eingaben'!$C$13))</f>
        <v/>
      </c>
      <c r="D484" s="27">
        <f>IF(C484="","",C484*'02_Eingaben'!$C$15)</f>
        <v/>
      </c>
      <c r="E484" s="27">
        <f>IF(D484="","",D484*'02_Eingaben'!$C$8)</f>
        <v/>
      </c>
      <c r="F484" s="27">
        <f>IF(E484="","",AVERAGE(INDEX($E$2:$E$3001,MAX(1,ROW()-1-'02_Eingaben'!$C$17)):INDEX($E$2:$E$3001,MIN('02_Eingaben'!$C$21,ROW()-1+'02_Eingaben'!$C$17))))</f>
        <v/>
      </c>
      <c r="G484" s="27">
        <f>IF(F484="","",F484-'02_Eingaben'!$C$10)</f>
        <v/>
      </c>
      <c r="H484">
        <f>IF(F484="","",IF(F484&lt;'02_Eingaben'!$C$18*'02_Eingaben'!$C$10,1,0))</f>
        <v/>
      </c>
      <c r="I484" s="27">
        <f>IF(OR(G484="",G485=""),"",(G484+G485)/2*(B485-B484))</f>
        <v/>
      </c>
      <c r="J484" s="27">
        <f>IF(B484="","",IF(B483&lt;'02_Eingaben'!$C$36,0,J483+I483/'02_Eingaben'!$C$8))</f>
        <v/>
      </c>
    </row>
    <row r="485">
      <c r="A485">
        <f>IF('01_Rohdaten'!A485="","",ROW()-1)</f>
        <v/>
      </c>
      <c r="B485" s="27">
        <f>IF('01_Rohdaten'!A485="","",'01_Rohdaten'!A485)</f>
        <v/>
      </c>
      <c r="C485" s="27">
        <f>IF(B485="","",INDEX('01_Rohdaten'!B485:D485,'02_Eingaben'!$C$13))</f>
        <v/>
      </c>
      <c r="D485" s="27">
        <f>IF(C485="","",C485*'02_Eingaben'!$C$15)</f>
        <v/>
      </c>
      <c r="E485" s="27">
        <f>IF(D485="","",D485*'02_Eingaben'!$C$8)</f>
        <v/>
      </c>
      <c r="F485" s="27">
        <f>IF(E485="","",AVERAGE(INDEX($E$2:$E$3001,MAX(1,ROW()-1-'02_Eingaben'!$C$17)):INDEX($E$2:$E$3001,MIN('02_Eingaben'!$C$21,ROW()-1+'02_Eingaben'!$C$17))))</f>
        <v/>
      </c>
      <c r="G485" s="27">
        <f>IF(F485="","",F485-'02_Eingaben'!$C$10)</f>
        <v/>
      </c>
      <c r="H485">
        <f>IF(F485="","",IF(F485&lt;'02_Eingaben'!$C$18*'02_Eingaben'!$C$10,1,0))</f>
        <v/>
      </c>
      <c r="I485" s="27">
        <f>IF(OR(G485="",G486=""),"",(G485+G486)/2*(B486-B485))</f>
        <v/>
      </c>
      <c r="J485" s="27">
        <f>IF(B485="","",IF(B484&lt;'02_Eingaben'!$C$36,0,J484+I484/'02_Eingaben'!$C$8))</f>
        <v/>
      </c>
    </row>
    <row r="486">
      <c r="A486">
        <f>IF('01_Rohdaten'!A486="","",ROW()-1)</f>
        <v/>
      </c>
      <c r="B486" s="27">
        <f>IF('01_Rohdaten'!A486="","",'01_Rohdaten'!A486)</f>
        <v/>
      </c>
      <c r="C486" s="27">
        <f>IF(B486="","",INDEX('01_Rohdaten'!B486:D486,'02_Eingaben'!$C$13))</f>
        <v/>
      </c>
      <c r="D486" s="27">
        <f>IF(C486="","",C486*'02_Eingaben'!$C$15)</f>
        <v/>
      </c>
      <c r="E486" s="27">
        <f>IF(D486="","",D486*'02_Eingaben'!$C$8)</f>
        <v/>
      </c>
      <c r="F486" s="27">
        <f>IF(E486="","",AVERAGE(INDEX($E$2:$E$3001,MAX(1,ROW()-1-'02_Eingaben'!$C$17)):INDEX($E$2:$E$3001,MIN('02_Eingaben'!$C$21,ROW()-1+'02_Eingaben'!$C$17))))</f>
        <v/>
      </c>
      <c r="G486" s="27">
        <f>IF(F486="","",F486-'02_Eingaben'!$C$10)</f>
        <v/>
      </c>
      <c r="H486">
        <f>IF(F486="","",IF(F486&lt;'02_Eingaben'!$C$18*'02_Eingaben'!$C$10,1,0))</f>
        <v/>
      </c>
      <c r="I486" s="27">
        <f>IF(OR(G486="",G487=""),"",(G486+G487)/2*(B487-B486))</f>
        <v/>
      </c>
      <c r="J486" s="27">
        <f>IF(B486="","",IF(B485&lt;'02_Eingaben'!$C$36,0,J485+I485/'02_Eingaben'!$C$8))</f>
        <v/>
      </c>
    </row>
    <row r="487">
      <c r="A487">
        <f>IF('01_Rohdaten'!A487="","",ROW()-1)</f>
        <v/>
      </c>
      <c r="B487" s="27">
        <f>IF('01_Rohdaten'!A487="","",'01_Rohdaten'!A487)</f>
        <v/>
      </c>
      <c r="C487" s="27">
        <f>IF(B487="","",INDEX('01_Rohdaten'!B487:D487,'02_Eingaben'!$C$13))</f>
        <v/>
      </c>
      <c r="D487" s="27">
        <f>IF(C487="","",C487*'02_Eingaben'!$C$15)</f>
        <v/>
      </c>
      <c r="E487" s="27">
        <f>IF(D487="","",D487*'02_Eingaben'!$C$8)</f>
        <v/>
      </c>
      <c r="F487" s="27">
        <f>IF(E487="","",AVERAGE(INDEX($E$2:$E$3001,MAX(1,ROW()-1-'02_Eingaben'!$C$17)):INDEX($E$2:$E$3001,MIN('02_Eingaben'!$C$21,ROW()-1+'02_Eingaben'!$C$17))))</f>
        <v/>
      </c>
      <c r="G487" s="27">
        <f>IF(F487="","",F487-'02_Eingaben'!$C$10)</f>
        <v/>
      </c>
      <c r="H487">
        <f>IF(F487="","",IF(F487&lt;'02_Eingaben'!$C$18*'02_Eingaben'!$C$10,1,0))</f>
        <v/>
      </c>
      <c r="I487" s="27">
        <f>IF(OR(G487="",G488=""),"",(G487+G488)/2*(B488-B487))</f>
        <v/>
      </c>
      <c r="J487" s="27">
        <f>IF(B487="","",IF(B486&lt;'02_Eingaben'!$C$36,0,J486+I486/'02_Eingaben'!$C$8))</f>
        <v/>
      </c>
    </row>
    <row r="488">
      <c r="A488">
        <f>IF('01_Rohdaten'!A488="","",ROW()-1)</f>
        <v/>
      </c>
      <c r="B488" s="27">
        <f>IF('01_Rohdaten'!A488="","",'01_Rohdaten'!A488)</f>
        <v/>
      </c>
      <c r="C488" s="27">
        <f>IF(B488="","",INDEX('01_Rohdaten'!B488:D488,'02_Eingaben'!$C$13))</f>
        <v/>
      </c>
      <c r="D488" s="27">
        <f>IF(C488="","",C488*'02_Eingaben'!$C$15)</f>
        <v/>
      </c>
      <c r="E488" s="27">
        <f>IF(D488="","",D488*'02_Eingaben'!$C$8)</f>
        <v/>
      </c>
      <c r="F488" s="27">
        <f>IF(E488="","",AVERAGE(INDEX($E$2:$E$3001,MAX(1,ROW()-1-'02_Eingaben'!$C$17)):INDEX($E$2:$E$3001,MIN('02_Eingaben'!$C$21,ROW()-1+'02_Eingaben'!$C$17))))</f>
        <v/>
      </c>
      <c r="G488" s="27">
        <f>IF(F488="","",F488-'02_Eingaben'!$C$10)</f>
        <v/>
      </c>
      <c r="H488">
        <f>IF(F488="","",IF(F488&lt;'02_Eingaben'!$C$18*'02_Eingaben'!$C$10,1,0))</f>
        <v/>
      </c>
      <c r="I488" s="27">
        <f>IF(OR(G488="",G489=""),"",(G488+G489)/2*(B489-B488))</f>
        <v/>
      </c>
      <c r="J488" s="27">
        <f>IF(B488="","",IF(B487&lt;'02_Eingaben'!$C$36,0,J487+I487/'02_Eingaben'!$C$8))</f>
        <v/>
      </c>
    </row>
    <row r="489">
      <c r="A489">
        <f>IF('01_Rohdaten'!A489="","",ROW()-1)</f>
        <v/>
      </c>
      <c r="B489" s="27">
        <f>IF('01_Rohdaten'!A489="","",'01_Rohdaten'!A489)</f>
        <v/>
      </c>
      <c r="C489" s="27">
        <f>IF(B489="","",INDEX('01_Rohdaten'!B489:D489,'02_Eingaben'!$C$13))</f>
        <v/>
      </c>
      <c r="D489" s="27">
        <f>IF(C489="","",C489*'02_Eingaben'!$C$15)</f>
        <v/>
      </c>
      <c r="E489" s="27">
        <f>IF(D489="","",D489*'02_Eingaben'!$C$8)</f>
        <v/>
      </c>
      <c r="F489" s="27">
        <f>IF(E489="","",AVERAGE(INDEX($E$2:$E$3001,MAX(1,ROW()-1-'02_Eingaben'!$C$17)):INDEX($E$2:$E$3001,MIN('02_Eingaben'!$C$21,ROW()-1+'02_Eingaben'!$C$17))))</f>
        <v/>
      </c>
      <c r="G489" s="27">
        <f>IF(F489="","",F489-'02_Eingaben'!$C$10)</f>
        <v/>
      </c>
      <c r="H489">
        <f>IF(F489="","",IF(F489&lt;'02_Eingaben'!$C$18*'02_Eingaben'!$C$10,1,0))</f>
        <v/>
      </c>
      <c r="I489" s="27">
        <f>IF(OR(G489="",G490=""),"",(G489+G490)/2*(B490-B489))</f>
        <v/>
      </c>
      <c r="J489" s="27">
        <f>IF(B489="","",IF(B488&lt;'02_Eingaben'!$C$36,0,J488+I488/'02_Eingaben'!$C$8))</f>
        <v/>
      </c>
    </row>
    <row r="490">
      <c r="A490">
        <f>IF('01_Rohdaten'!A490="","",ROW()-1)</f>
        <v/>
      </c>
      <c r="B490" s="27">
        <f>IF('01_Rohdaten'!A490="","",'01_Rohdaten'!A490)</f>
        <v/>
      </c>
      <c r="C490" s="27">
        <f>IF(B490="","",INDEX('01_Rohdaten'!B490:D490,'02_Eingaben'!$C$13))</f>
        <v/>
      </c>
      <c r="D490" s="27">
        <f>IF(C490="","",C490*'02_Eingaben'!$C$15)</f>
        <v/>
      </c>
      <c r="E490" s="27">
        <f>IF(D490="","",D490*'02_Eingaben'!$C$8)</f>
        <v/>
      </c>
      <c r="F490" s="27">
        <f>IF(E490="","",AVERAGE(INDEX($E$2:$E$3001,MAX(1,ROW()-1-'02_Eingaben'!$C$17)):INDEX($E$2:$E$3001,MIN('02_Eingaben'!$C$21,ROW()-1+'02_Eingaben'!$C$17))))</f>
        <v/>
      </c>
      <c r="G490" s="27">
        <f>IF(F490="","",F490-'02_Eingaben'!$C$10)</f>
        <v/>
      </c>
      <c r="H490">
        <f>IF(F490="","",IF(F490&lt;'02_Eingaben'!$C$18*'02_Eingaben'!$C$10,1,0))</f>
        <v/>
      </c>
      <c r="I490" s="27">
        <f>IF(OR(G490="",G491=""),"",(G490+G491)/2*(B491-B490))</f>
        <v/>
      </c>
      <c r="J490" s="27">
        <f>IF(B490="","",IF(B489&lt;'02_Eingaben'!$C$36,0,J489+I489/'02_Eingaben'!$C$8))</f>
        <v/>
      </c>
    </row>
    <row r="491">
      <c r="A491">
        <f>IF('01_Rohdaten'!A491="","",ROW()-1)</f>
        <v/>
      </c>
      <c r="B491" s="27">
        <f>IF('01_Rohdaten'!A491="","",'01_Rohdaten'!A491)</f>
        <v/>
      </c>
      <c r="C491" s="27">
        <f>IF(B491="","",INDEX('01_Rohdaten'!B491:D491,'02_Eingaben'!$C$13))</f>
        <v/>
      </c>
      <c r="D491" s="27">
        <f>IF(C491="","",C491*'02_Eingaben'!$C$15)</f>
        <v/>
      </c>
      <c r="E491" s="27">
        <f>IF(D491="","",D491*'02_Eingaben'!$C$8)</f>
        <v/>
      </c>
      <c r="F491" s="27">
        <f>IF(E491="","",AVERAGE(INDEX($E$2:$E$3001,MAX(1,ROW()-1-'02_Eingaben'!$C$17)):INDEX($E$2:$E$3001,MIN('02_Eingaben'!$C$21,ROW()-1+'02_Eingaben'!$C$17))))</f>
        <v/>
      </c>
      <c r="G491" s="27">
        <f>IF(F491="","",F491-'02_Eingaben'!$C$10)</f>
        <v/>
      </c>
      <c r="H491">
        <f>IF(F491="","",IF(F491&lt;'02_Eingaben'!$C$18*'02_Eingaben'!$C$10,1,0))</f>
        <v/>
      </c>
      <c r="I491" s="27">
        <f>IF(OR(G491="",G492=""),"",(G491+G492)/2*(B492-B491))</f>
        <v/>
      </c>
      <c r="J491" s="27">
        <f>IF(B491="","",IF(B490&lt;'02_Eingaben'!$C$36,0,J490+I490/'02_Eingaben'!$C$8))</f>
        <v/>
      </c>
    </row>
    <row r="492">
      <c r="A492">
        <f>IF('01_Rohdaten'!A492="","",ROW()-1)</f>
        <v/>
      </c>
      <c r="B492" s="27">
        <f>IF('01_Rohdaten'!A492="","",'01_Rohdaten'!A492)</f>
        <v/>
      </c>
      <c r="C492" s="27">
        <f>IF(B492="","",INDEX('01_Rohdaten'!B492:D492,'02_Eingaben'!$C$13))</f>
        <v/>
      </c>
      <c r="D492" s="27">
        <f>IF(C492="","",C492*'02_Eingaben'!$C$15)</f>
        <v/>
      </c>
      <c r="E492" s="27">
        <f>IF(D492="","",D492*'02_Eingaben'!$C$8)</f>
        <v/>
      </c>
      <c r="F492" s="27">
        <f>IF(E492="","",AVERAGE(INDEX($E$2:$E$3001,MAX(1,ROW()-1-'02_Eingaben'!$C$17)):INDEX($E$2:$E$3001,MIN('02_Eingaben'!$C$21,ROW()-1+'02_Eingaben'!$C$17))))</f>
        <v/>
      </c>
      <c r="G492" s="27">
        <f>IF(F492="","",F492-'02_Eingaben'!$C$10)</f>
        <v/>
      </c>
      <c r="H492">
        <f>IF(F492="","",IF(F492&lt;'02_Eingaben'!$C$18*'02_Eingaben'!$C$10,1,0))</f>
        <v/>
      </c>
      <c r="I492" s="27">
        <f>IF(OR(G492="",G493=""),"",(G492+G493)/2*(B493-B492))</f>
        <v/>
      </c>
      <c r="J492" s="27">
        <f>IF(B492="","",IF(B491&lt;'02_Eingaben'!$C$36,0,J491+I491/'02_Eingaben'!$C$8))</f>
        <v/>
      </c>
    </row>
    <row r="493">
      <c r="A493">
        <f>IF('01_Rohdaten'!A493="","",ROW()-1)</f>
        <v/>
      </c>
      <c r="B493" s="27">
        <f>IF('01_Rohdaten'!A493="","",'01_Rohdaten'!A493)</f>
        <v/>
      </c>
      <c r="C493" s="27">
        <f>IF(B493="","",INDEX('01_Rohdaten'!B493:D493,'02_Eingaben'!$C$13))</f>
        <v/>
      </c>
      <c r="D493" s="27">
        <f>IF(C493="","",C493*'02_Eingaben'!$C$15)</f>
        <v/>
      </c>
      <c r="E493" s="27">
        <f>IF(D493="","",D493*'02_Eingaben'!$C$8)</f>
        <v/>
      </c>
      <c r="F493" s="27">
        <f>IF(E493="","",AVERAGE(INDEX($E$2:$E$3001,MAX(1,ROW()-1-'02_Eingaben'!$C$17)):INDEX($E$2:$E$3001,MIN('02_Eingaben'!$C$21,ROW()-1+'02_Eingaben'!$C$17))))</f>
        <v/>
      </c>
      <c r="G493" s="27">
        <f>IF(F493="","",F493-'02_Eingaben'!$C$10)</f>
        <v/>
      </c>
      <c r="H493">
        <f>IF(F493="","",IF(F493&lt;'02_Eingaben'!$C$18*'02_Eingaben'!$C$10,1,0))</f>
        <v/>
      </c>
      <c r="I493" s="27">
        <f>IF(OR(G493="",G494=""),"",(G493+G494)/2*(B494-B493))</f>
        <v/>
      </c>
      <c r="J493" s="27">
        <f>IF(B493="","",IF(B492&lt;'02_Eingaben'!$C$36,0,J492+I492/'02_Eingaben'!$C$8))</f>
        <v/>
      </c>
    </row>
    <row r="494">
      <c r="A494">
        <f>IF('01_Rohdaten'!A494="","",ROW()-1)</f>
        <v/>
      </c>
      <c r="B494" s="27">
        <f>IF('01_Rohdaten'!A494="","",'01_Rohdaten'!A494)</f>
        <v/>
      </c>
      <c r="C494" s="27">
        <f>IF(B494="","",INDEX('01_Rohdaten'!B494:D494,'02_Eingaben'!$C$13))</f>
        <v/>
      </c>
      <c r="D494" s="27">
        <f>IF(C494="","",C494*'02_Eingaben'!$C$15)</f>
        <v/>
      </c>
      <c r="E494" s="27">
        <f>IF(D494="","",D494*'02_Eingaben'!$C$8)</f>
        <v/>
      </c>
      <c r="F494" s="27">
        <f>IF(E494="","",AVERAGE(INDEX($E$2:$E$3001,MAX(1,ROW()-1-'02_Eingaben'!$C$17)):INDEX($E$2:$E$3001,MIN('02_Eingaben'!$C$21,ROW()-1+'02_Eingaben'!$C$17))))</f>
        <v/>
      </c>
      <c r="G494" s="27">
        <f>IF(F494="","",F494-'02_Eingaben'!$C$10)</f>
        <v/>
      </c>
      <c r="H494">
        <f>IF(F494="","",IF(F494&lt;'02_Eingaben'!$C$18*'02_Eingaben'!$C$10,1,0))</f>
        <v/>
      </c>
      <c r="I494" s="27">
        <f>IF(OR(G494="",G495=""),"",(G494+G495)/2*(B495-B494))</f>
        <v/>
      </c>
      <c r="J494" s="27">
        <f>IF(B494="","",IF(B493&lt;'02_Eingaben'!$C$36,0,J493+I493/'02_Eingaben'!$C$8))</f>
        <v/>
      </c>
    </row>
    <row r="495">
      <c r="A495">
        <f>IF('01_Rohdaten'!A495="","",ROW()-1)</f>
        <v/>
      </c>
      <c r="B495" s="27">
        <f>IF('01_Rohdaten'!A495="","",'01_Rohdaten'!A495)</f>
        <v/>
      </c>
      <c r="C495" s="27">
        <f>IF(B495="","",INDEX('01_Rohdaten'!B495:D495,'02_Eingaben'!$C$13))</f>
        <v/>
      </c>
      <c r="D495" s="27">
        <f>IF(C495="","",C495*'02_Eingaben'!$C$15)</f>
        <v/>
      </c>
      <c r="E495" s="27">
        <f>IF(D495="","",D495*'02_Eingaben'!$C$8)</f>
        <v/>
      </c>
      <c r="F495" s="27">
        <f>IF(E495="","",AVERAGE(INDEX($E$2:$E$3001,MAX(1,ROW()-1-'02_Eingaben'!$C$17)):INDEX($E$2:$E$3001,MIN('02_Eingaben'!$C$21,ROW()-1+'02_Eingaben'!$C$17))))</f>
        <v/>
      </c>
      <c r="G495" s="27">
        <f>IF(F495="","",F495-'02_Eingaben'!$C$10)</f>
        <v/>
      </c>
      <c r="H495">
        <f>IF(F495="","",IF(F495&lt;'02_Eingaben'!$C$18*'02_Eingaben'!$C$10,1,0))</f>
        <v/>
      </c>
      <c r="I495" s="27">
        <f>IF(OR(G495="",G496=""),"",(G495+G496)/2*(B496-B495))</f>
        <v/>
      </c>
      <c r="J495" s="27">
        <f>IF(B495="","",IF(B494&lt;'02_Eingaben'!$C$36,0,J494+I494/'02_Eingaben'!$C$8))</f>
        <v/>
      </c>
    </row>
    <row r="496">
      <c r="A496">
        <f>IF('01_Rohdaten'!A496="","",ROW()-1)</f>
        <v/>
      </c>
      <c r="B496" s="27">
        <f>IF('01_Rohdaten'!A496="","",'01_Rohdaten'!A496)</f>
        <v/>
      </c>
      <c r="C496" s="27">
        <f>IF(B496="","",INDEX('01_Rohdaten'!B496:D496,'02_Eingaben'!$C$13))</f>
        <v/>
      </c>
      <c r="D496" s="27">
        <f>IF(C496="","",C496*'02_Eingaben'!$C$15)</f>
        <v/>
      </c>
      <c r="E496" s="27">
        <f>IF(D496="","",D496*'02_Eingaben'!$C$8)</f>
        <v/>
      </c>
      <c r="F496" s="27">
        <f>IF(E496="","",AVERAGE(INDEX($E$2:$E$3001,MAX(1,ROW()-1-'02_Eingaben'!$C$17)):INDEX($E$2:$E$3001,MIN('02_Eingaben'!$C$21,ROW()-1+'02_Eingaben'!$C$17))))</f>
        <v/>
      </c>
      <c r="G496" s="27">
        <f>IF(F496="","",F496-'02_Eingaben'!$C$10)</f>
        <v/>
      </c>
      <c r="H496">
        <f>IF(F496="","",IF(F496&lt;'02_Eingaben'!$C$18*'02_Eingaben'!$C$10,1,0))</f>
        <v/>
      </c>
      <c r="I496" s="27">
        <f>IF(OR(G496="",G497=""),"",(G496+G497)/2*(B497-B496))</f>
        <v/>
      </c>
      <c r="J496" s="27">
        <f>IF(B496="","",IF(B495&lt;'02_Eingaben'!$C$36,0,J495+I495/'02_Eingaben'!$C$8))</f>
        <v/>
      </c>
    </row>
    <row r="497">
      <c r="A497">
        <f>IF('01_Rohdaten'!A497="","",ROW()-1)</f>
        <v/>
      </c>
      <c r="B497" s="27">
        <f>IF('01_Rohdaten'!A497="","",'01_Rohdaten'!A497)</f>
        <v/>
      </c>
      <c r="C497" s="27">
        <f>IF(B497="","",INDEX('01_Rohdaten'!B497:D497,'02_Eingaben'!$C$13))</f>
        <v/>
      </c>
      <c r="D497" s="27">
        <f>IF(C497="","",C497*'02_Eingaben'!$C$15)</f>
        <v/>
      </c>
      <c r="E497" s="27">
        <f>IF(D497="","",D497*'02_Eingaben'!$C$8)</f>
        <v/>
      </c>
      <c r="F497" s="27">
        <f>IF(E497="","",AVERAGE(INDEX($E$2:$E$3001,MAX(1,ROW()-1-'02_Eingaben'!$C$17)):INDEX($E$2:$E$3001,MIN('02_Eingaben'!$C$21,ROW()-1+'02_Eingaben'!$C$17))))</f>
        <v/>
      </c>
      <c r="G497" s="27">
        <f>IF(F497="","",F497-'02_Eingaben'!$C$10)</f>
        <v/>
      </c>
      <c r="H497">
        <f>IF(F497="","",IF(F497&lt;'02_Eingaben'!$C$18*'02_Eingaben'!$C$10,1,0))</f>
        <v/>
      </c>
      <c r="I497" s="27">
        <f>IF(OR(G497="",G498=""),"",(G497+G498)/2*(B498-B497))</f>
        <v/>
      </c>
      <c r="J497" s="27">
        <f>IF(B497="","",IF(B496&lt;'02_Eingaben'!$C$36,0,J496+I496/'02_Eingaben'!$C$8))</f>
        <v/>
      </c>
    </row>
    <row r="498">
      <c r="A498">
        <f>IF('01_Rohdaten'!A498="","",ROW()-1)</f>
        <v/>
      </c>
      <c r="B498" s="27">
        <f>IF('01_Rohdaten'!A498="","",'01_Rohdaten'!A498)</f>
        <v/>
      </c>
      <c r="C498" s="27">
        <f>IF(B498="","",INDEX('01_Rohdaten'!B498:D498,'02_Eingaben'!$C$13))</f>
        <v/>
      </c>
      <c r="D498" s="27">
        <f>IF(C498="","",C498*'02_Eingaben'!$C$15)</f>
        <v/>
      </c>
      <c r="E498" s="27">
        <f>IF(D498="","",D498*'02_Eingaben'!$C$8)</f>
        <v/>
      </c>
      <c r="F498" s="27">
        <f>IF(E498="","",AVERAGE(INDEX($E$2:$E$3001,MAX(1,ROW()-1-'02_Eingaben'!$C$17)):INDEX($E$2:$E$3001,MIN('02_Eingaben'!$C$21,ROW()-1+'02_Eingaben'!$C$17))))</f>
        <v/>
      </c>
      <c r="G498" s="27">
        <f>IF(F498="","",F498-'02_Eingaben'!$C$10)</f>
        <v/>
      </c>
      <c r="H498">
        <f>IF(F498="","",IF(F498&lt;'02_Eingaben'!$C$18*'02_Eingaben'!$C$10,1,0))</f>
        <v/>
      </c>
      <c r="I498" s="27">
        <f>IF(OR(G498="",G499=""),"",(G498+G499)/2*(B499-B498))</f>
        <v/>
      </c>
      <c r="J498" s="27">
        <f>IF(B498="","",IF(B497&lt;'02_Eingaben'!$C$36,0,J497+I497/'02_Eingaben'!$C$8))</f>
        <v/>
      </c>
    </row>
    <row r="499">
      <c r="A499">
        <f>IF('01_Rohdaten'!A499="","",ROW()-1)</f>
        <v/>
      </c>
      <c r="B499" s="27">
        <f>IF('01_Rohdaten'!A499="","",'01_Rohdaten'!A499)</f>
        <v/>
      </c>
      <c r="C499" s="27">
        <f>IF(B499="","",INDEX('01_Rohdaten'!B499:D499,'02_Eingaben'!$C$13))</f>
        <v/>
      </c>
      <c r="D499" s="27">
        <f>IF(C499="","",C499*'02_Eingaben'!$C$15)</f>
        <v/>
      </c>
      <c r="E499" s="27">
        <f>IF(D499="","",D499*'02_Eingaben'!$C$8)</f>
        <v/>
      </c>
      <c r="F499" s="27">
        <f>IF(E499="","",AVERAGE(INDEX($E$2:$E$3001,MAX(1,ROW()-1-'02_Eingaben'!$C$17)):INDEX($E$2:$E$3001,MIN('02_Eingaben'!$C$21,ROW()-1+'02_Eingaben'!$C$17))))</f>
        <v/>
      </c>
      <c r="G499" s="27">
        <f>IF(F499="","",F499-'02_Eingaben'!$C$10)</f>
        <v/>
      </c>
      <c r="H499">
        <f>IF(F499="","",IF(F499&lt;'02_Eingaben'!$C$18*'02_Eingaben'!$C$10,1,0))</f>
        <v/>
      </c>
      <c r="I499" s="27">
        <f>IF(OR(G499="",G500=""),"",(G499+G500)/2*(B500-B499))</f>
        <v/>
      </c>
      <c r="J499" s="27">
        <f>IF(B499="","",IF(B498&lt;'02_Eingaben'!$C$36,0,J498+I498/'02_Eingaben'!$C$8))</f>
        <v/>
      </c>
    </row>
    <row r="500">
      <c r="A500">
        <f>IF('01_Rohdaten'!A500="","",ROW()-1)</f>
        <v/>
      </c>
      <c r="B500" s="27">
        <f>IF('01_Rohdaten'!A500="","",'01_Rohdaten'!A500)</f>
        <v/>
      </c>
      <c r="C500" s="27">
        <f>IF(B500="","",INDEX('01_Rohdaten'!B500:D500,'02_Eingaben'!$C$13))</f>
        <v/>
      </c>
      <c r="D500" s="27">
        <f>IF(C500="","",C500*'02_Eingaben'!$C$15)</f>
        <v/>
      </c>
      <c r="E500" s="27">
        <f>IF(D500="","",D500*'02_Eingaben'!$C$8)</f>
        <v/>
      </c>
      <c r="F500" s="27">
        <f>IF(E500="","",AVERAGE(INDEX($E$2:$E$3001,MAX(1,ROW()-1-'02_Eingaben'!$C$17)):INDEX($E$2:$E$3001,MIN('02_Eingaben'!$C$21,ROW()-1+'02_Eingaben'!$C$17))))</f>
        <v/>
      </c>
      <c r="G500" s="27">
        <f>IF(F500="","",F500-'02_Eingaben'!$C$10)</f>
        <v/>
      </c>
      <c r="H500">
        <f>IF(F500="","",IF(F500&lt;'02_Eingaben'!$C$18*'02_Eingaben'!$C$10,1,0))</f>
        <v/>
      </c>
      <c r="I500" s="27">
        <f>IF(OR(G500="",G501=""),"",(G500+G501)/2*(B501-B500))</f>
        <v/>
      </c>
      <c r="J500" s="27">
        <f>IF(B500="","",IF(B499&lt;'02_Eingaben'!$C$36,0,J499+I499/'02_Eingaben'!$C$8))</f>
        <v/>
      </c>
    </row>
    <row r="501">
      <c r="A501">
        <f>IF('01_Rohdaten'!A501="","",ROW()-1)</f>
        <v/>
      </c>
      <c r="B501" s="27">
        <f>IF('01_Rohdaten'!A501="","",'01_Rohdaten'!A501)</f>
        <v/>
      </c>
      <c r="C501" s="27">
        <f>IF(B501="","",INDEX('01_Rohdaten'!B501:D501,'02_Eingaben'!$C$13))</f>
        <v/>
      </c>
      <c r="D501" s="27">
        <f>IF(C501="","",C501*'02_Eingaben'!$C$15)</f>
        <v/>
      </c>
      <c r="E501" s="27">
        <f>IF(D501="","",D501*'02_Eingaben'!$C$8)</f>
        <v/>
      </c>
      <c r="F501" s="27">
        <f>IF(E501="","",AVERAGE(INDEX($E$2:$E$3001,MAX(1,ROW()-1-'02_Eingaben'!$C$17)):INDEX($E$2:$E$3001,MIN('02_Eingaben'!$C$21,ROW()-1+'02_Eingaben'!$C$17))))</f>
        <v/>
      </c>
      <c r="G501" s="27">
        <f>IF(F501="","",F501-'02_Eingaben'!$C$10)</f>
        <v/>
      </c>
      <c r="H501">
        <f>IF(F501="","",IF(F501&lt;'02_Eingaben'!$C$18*'02_Eingaben'!$C$10,1,0))</f>
        <v/>
      </c>
      <c r="I501" s="27">
        <f>IF(OR(G501="",G502=""),"",(G501+G502)/2*(B502-B501))</f>
        <v/>
      </c>
      <c r="J501" s="27">
        <f>IF(B501="","",IF(B500&lt;'02_Eingaben'!$C$36,0,J500+I500/'02_Eingaben'!$C$8))</f>
        <v/>
      </c>
    </row>
    <row r="502">
      <c r="A502">
        <f>IF('01_Rohdaten'!A502="","",ROW()-1)</f>
        <v/>
      </c>
      <c r="B502" s="27">
        <f>IF('01_Rohdaten'!A502="","",'01_Rohdaten'!A502)</f>
        <v/>
      </c>
      <c r="C502" s="27">
        <f>IF(B502="","",INDEX('01_Rohdaten'!B502:D502,'02_Eingaben'!$C$13))</f>
        <v/>
      </c>
      <c r="D502" s="27">
        <f>IF(C502="","",C502*'02_Eingaben'!$C$15)</f>
        <v/>
      </c>
      <c r="E502" s="27">
        <f>IF(D502="","",D502*'02_Eingaben'!$C$8)</f>
        <v/>
      </c>
      <c r="F502" s="27">
        <f>IF(E502="","",AVERAGE(INDEX($E$2:$E$3001,MAX(1,ROW()-1-'02_Eingaben'!$C$17)):INDEX($E$2:$E$3001,MIN('02_Eingaben'!$C$21,ROW()-1+'02_Eingaben'!$C$17))))</f>
        <v/>
      </c>
      <c r="G502" s="27">
        <f>IF(F502="","",F502-'02_Eingaben'!$C$10)</f>
        <v/>
      </c>
      <c r="H502">
        <f>IF(F502="","",IF(F502&lt;'02_Eingaben'!$C$18*'02_Eingaben'!$C$10,1,0))</f>
        <v/>
      </c>
      <c r="I502" s="27">
        <f>IF(OR(G502="",G503=""),"",(G502+G503)/2*(B503-B502))</f>
        <v/>
      </c>
      <c r="J502" s="27">
        <f>IF(B502="","",IF(B501&lt;'02_Eingaben'!$C$36,0,J501+I501/'02_Eingaben'!$C$8))</f>
        <v/>
      </c>
    </row>
    <row r="503">
      <c r="A503">
        <f>IF('01_Rohdaten'!A503="","",ROW()-1)</f>
        <v/>
      </c>
      <c r="B503" s="27">
        <f>IF('01_Rohdaten'!A503="","",'01_Rohdaten'!A503)</f>
        <v/>
      </c>
      <c r="C503" s="27">
        <f>IF(B503="","",INDEX('01_Rohdaten'!B503:D503,'02_Eingaben'!$C$13))</f>
        <v/>
      </c>
      <c r="D503" s="27">
        <f>IF(C503="","",C503*'02_Eingaben'!$C$15)</f>
        <v/>
      </c>
      <c r="E503" s="27">
        <f>IF(D503="","",D503*'02_Eingaben'!$C$8)</f>
        <v/>
      </c>
      <c r="F503" s="27">
        <f>IF(E503="","",AVERAGE(INDEX($E$2:$E$3001,MAX(1,ROW()-1-'02_Eingaben'!$C$17)):INDEX($E$2:$E$3001,MIN('02_Eingaben'!$C$21,ROW()-1+'02_Eingaben'!$C$17))))</f>
        <v/>
      </c>
      <c r="G503" s="27">
        <f>IF(F503="","",F503-'02_Eingaben'!$C$10)</f>
        <v/>
      </c>
      <c r="H503">
        <f>IF(F503="","",IF(F503&lt;'02_Eingaben'!$C$18*'02_Eingaben'!$C$10,1,0))</f>
        <v/>
      </c>
      <c r="I503" s="27">
        <f>IF(OR(G503="",G504=""),"",(G503+G504)/2*(B504-B503))</f>
        <v/>
      </c>
      <c r="J503" s="27">
        <f>IF(B503="","",IF(B502&lt;'02_Eingaben'!$C$36,0,J502+I502/'02_Eingaben'!$C$8))</f>
        <v/>
      </c>
    </row>
    <row r="504">
      <c r="A504">
        <f>IF('01_Rohdaten'!A504="","",ROW()-1)</f>
        <v/>
      </c>
      <c r="B504" s="27">
        <f>IF('01_Rohdaten'!A504="","",'01_Rohdaten'!A504)</f>
        <v/>
      </c>
      <c r="C504" s="27">
        <f>IF(B504="","",INDEX('01_Rohdaten'!B504:D504,'02_Eingaben'!$C$13))</f>
        <v/>
      </c>
      <c r="D504" s="27">
        <f>IF(C504="","",C504*'02_Eingaben'!$C$15)</f>
        <v/>
      </c>
      <c r="E504" s="27">
        <f>IF(D504="","",D504*'02_Eingaben'!$C$8)</f>
        <v/>
      </c>
      <c r="F504" s="27">
        <f>IF(E504="","",AVERAGE(INDEX($E$2:$E$3001,MAX(1,ROW()-1-'02_Eingaben'!$C$17)):INDEX($E$2:$E$3001,MIN('02_Eingaben'!$C$21,ROW()-1+'02_Eingaben'!$C$17))))</f>
        <v/>
      </c>
      <c r="G504" s="27">
        <f>IF(F504="","",F504-'02_Eingaben'!$C$10)</f>
        <v/>
      </c>
      <c r="H504">
        <f>IF(F504="","",IF(F504&lt;'02_Eingaben'!$C$18*'02_Eingaben'!$C$10,1,0))</f>
        <v/>
      </c>
      <c r="I504" s="27">
        <f>IF(OR(G504="",G505=""),"",(G504+G505)/2*(B505-B504))</f>
        <v/>
      </c>
      <c r="J504" s="27">
        <f>IF(B504="","",IF(B503&lt;'02_Eingaben'!$C$36,0,J503+I503/'02_Eingaben'!$C$8))</f>
        <v/>
      </c>
    </row>
    <row r="505">
      <c r="A505">
        <f>IF('01_Rohdaten'!A505="","",ROW()-1)</f>
        <v/>
      </c>
      <c r="B505" s="27">
        <f>IF('01_Rohdaten'!A505="","",'01_Rohdaten'!A505)</f>
        <v/>
      </c>
      <c r="C505" s="27">
        <f>IF(B505="","",INDEX('01_Rohdaten'!B505:D505,'02_Eingaben'!$C$13))</f>
        <v/>
      </c>
      <c r="D505" s="27">
        <f>IF(C505="","",C505*'02_Eingaben'!$C$15)</f>
        <v/>
      </c>
      <c r="E505" s="27">
        <f>IF(D505="","",D505*'02_Eingaben'!$C$8)</f>
        <v/>
      </c>
      <c r="F505" s="27">
        <f>IF(E505="","",AVERAGE(INDEX($E$2:$E$3001,MAX(1,ROW()-1-'02_Eingaben'!$C$17)):INDEX($E$2:$E$3001,MIN('02_Eingaben'!$C$21,ROW()-1+'02_Eingaben'!$C$17))))</f>
        <v/>
      </c>
      <c r="G505" s="27">
        <f>IF(F505="","",F505-'02_Eingaben'!$C$10)</f>
        <v/>
      </c>
      <c r="H505">
        <f>IF(F505="","",IF(F505&lt;'02_Eingaben'!$C$18*'02_Eingaben'!$C$10,1,0))</f>
        <v/>
      </c>
      <c r="I505" s="27">
        <f>IF(OR(G505="",G506=""),"",(G505+G506)/2*(B506-B505))</f>
        <v/>
      </c>
      <c r="J505" s="27">
        <f>IF(B505="","",IF(B504&lt;'02_Eingaben'!$C$36,0,J504+I504/'02_Eingaben'!$C$8))</f>
        <v/>
      </c>
    </row>
    <row r="506">
      <c r="A506">
        <f>IF('01_Rohdaten'!A506="","",ROW()-1)</f>
        <v/>
      </c>
      <c r="B506" s="27">
        <f>IF('01_Rohdaten'!A506="","",'01_Rohdaten'!A506)</f>
        <v/>
      </c>
      <c r="C506" s="27">
        <f>IF(B506="","",INDEX('01_Rohdaten'!B506:D506,'02_Eingaben'!$C$13))</f>
        <v/>
      </c>
      <c r="D506" s="27">
        <f>IF(C506="","",C506*'02_Eingaben'!$C$15)</f>
        <v/>
      </c>
      <c r="E506" s="27">
        <f>IF(D506="","",D506*'02_Eingaben'!$C$8)</f>
        <v/>
      </c>
      <c r="F506" s="27">
        <f>IF(E506="","",AVERAGE(INDEX($E$2:$E$3001,MAX(1,ROW()-1-'02_Eingaben'!$C$17)):INDEX($E$2:$E$3001,MIN('02_Eingaben'!$C$21,ROW()-1+'02_Eingaben'!$C$17))))</f>
        <v/>
      </c>
      <c r="G506" s="27">
        <f>IF(F506="","",F506-'02_Eingaben'!$C$10)</f>
        <v/>
      </c>
      <c r="H506">
        <f>IF(F506="","",IF(F506&lt;'02_Eingaben'!$C$18*'02_Eingaben'!$C$10,1,0))</f>
        <v/>
      </c>
      <c r="I506" s="27">
        <f>IF(OR(G506="",G507=""),"",(G506+G507)/2*(B507-B506))</f>
        <v/>
      </c>
      <c r="J506" s="27">
        <f>IF(B506="","",IF(B505&lt;'02_Eingaben'!$C$36,0,J505+I505/'02_Eingaben'!$C$8))</f>
        <v/>
      </c>
    </row>
    <row r="507">
      <c r="A507">
        <f>IF('01_Rohdaten'!A507="","",ROW()-1)</f>
        <v/>
      </c>
      <c r="B507" s="27">
        <f>IF('01_Rohdaten'!A507="","",'01_Rohdaten'!A507)</f>
        <v/>
      </c>
      <c r="C507" s="27">
        <f>IF(B507="","",INDEX('01_Rohdaten'!B507:D507,'02_Eingaben'!$C$13))</f>
        <v/>
      </c>
      <c r="D507" s="27">
        <f>IF(C507="","",C507*'02_Eingaben'!$C$15)</f>
        <v/>
      </c>
      <c r="E507" s="27">
        <f>IF(D507="","",D507*'02_Eingaben'!$C$8)</f>
        <v/>
      </c>
      <c r="F507" s="27">
        <f>IF(E507="","",AVERAGE(INDEX($E$2:$E$3001,MAX(1,ROW()-1-'02_Eingaben'!$C$17)):INDEX($E$2:$E$3001,MIN('02_Eingaben'!$C$21,ROW()-1+'02_Eingaben'!$C$17))))</f>
        <v/>
      </c>
      <c r="G507" s="27">
        <f>IF(F507="","",F507-'02_Eingaben'!$C$10)</f>
        <v/>
      </c>
      <c r="H507">
        <f>IF(F507="","",IF(F507&lt;'02_Eingaben'!$C$18*'02_Eingaben'!$C$10,1,0))</f>
        <v/>
      </c>
      <c r="I507" s="27">
        <f>IF(OR(G507="",G508=""),"",(G507+G508)/2*(B508-B507))</f>
        <v/>
      </c>
      <c r="J507" s="27">
        <f>IF(B507="","",IF(B506&lt;'02_Eingaben'!$C$36,0,J506+I506/'02_Eingaben'!$C$8))</f>
        <v/>
      </c>
    </row>
    <row r="508">
      <c r="A508">
        <f>IF('01_Rohdaten'!A508="","",ROW()-1)</f>
        <v/>
      </c>
      <c r="B508" s="27">
        <f>IF('01_Rohdaten'!A508="","",'01_Rohdaten'!A508)</f>
        <v/>
      </c>
      <c r="C508" s="27">
        <f>IF(B508="","",INDEX('01_Rohdaten'!B508:D508,'02_Eingaben'!$C$13))</f>
        <v/>
      </c>
      <c r="D508" s="27">
        <f>IF(C508="","",C508*'02_Eingaben'!$C$15)</f>
        <v/>
      </c>
      <c r="E508" s="27">
        <f>IF(D508="","",D508*'02_Eingaben'!$C$8)</f>
        <v/>
      </c>
      <c r="F508" s="27">
        <f>IF(E508="","",AVERAGE(INDEX($E$2:$E$3001,MAX(1,ROW()-1-'02_Eingaben'!$C$17)):INDEX($E$2:$E$3001,MIN('02_Eingaben'!$C$21,ROW()-1+'02_Eingaben'!$C$17))))</f>
        <v/>
      </c>
      <c r="G508" s="27">
        <f>IF(F508="","",F508-'02_Eingaben'!$C$10)</f>
        <v/>
      </c>
      <c r="H508">
        <f>IF(F508="","",IF(F508&lt;'02_Eingaben'!$C$18*'02_Eingaben'!$C$10,1,0))</f>
        <v/>
      </c>
      <c r="I508" s="27">
        <f>IF(OR(G508="",G509=""),"",(G508+G509)/2*(B509-B508))</f>
        <v/>
      </c>
      <c r="J508" s="27">
        <f>IF(B508="","",IF(B507&lt;'02_Eingaben'!$C$36,0,J507+I507/'02_Eingaben'!$C$8))</f>
        <v/>
      </c>
    </row>
    <row r="509">
      <c r="A509">
        <f>IF('01_Rohdaten'!A509="","",ROW()-1)</f>
        <v/>
      </c>
      <c r="B509" s="27">
        <f>IF('01_Rohdaten'!A509="","",'01_Rohdaten'!A509)</f>
        <v/>
      </c>
      <c r="C509" s="27">
        <f>IF(B509="","",INDEX('01_Rohdaten'!B509:D509,'02_Eingaben'!$C$13))</f>
        <v/>
      </c>
      <c r="D509" s="27">
        <f>IF(C509="","",C509*'02_Eingaben'!$C$15)</f>
        <v/>
      </c>
      <c r="E509" s="27">
        <f>IF(D509="","",D509*'02_Eingaben'!$C$8)</f>
        <v/>
      </c>
      <c r="F509" s="27">
        <f>IF(E509="","",AVERAGE(INDEX($E$2:$E$3001,MAX(1,ROW()-1-'02_Eingaben'!$C$17)):INDEX($E$2:$E$3001,MIN('02_Eingaben'!$C$21,ROW()-1+'02_Eingaben'!$C$17))))</f>
        <v/>
      </c>
      <c r="G509" s="27">
        <f>IF(F509="","",F509-'02_Eingaben'!$C$10)</f>
        <v/>
      </c>
      <c r="H509">
        <f>IF(F509="","",IF(F509&lt;'02_Eingaben'!$C$18*'02_Eingaben'!$C$10,1,0))</f>
        <v/>
      </c>
      <c r="I509" s="27">
        <f>IF(OR(G509="",G510=""),"",(G509+G510)/2*(B510-B509))</f>
        <v/>
      </c>
      <c r="J509" s="27">
        <f>IF(B509="","",IF(B508&lt;'02_Eingaben'!$C$36,0,J508+I508/'02_Eingaben'!$C$8))</f>
        <v/>
      </c>
    </row>
    <row r="510">
      <c r="A510">
        <f>IF('01_Rohdaten'!A510="","",ROW()-1)</f>
        <v/>
      </c>
      <c r="B510" s="27">
        <f>IF('01_Rohdaten'!A510="","",'01_Rohdaten'!A510)</f>
        <v/>
      </c>
      <c r="C510" s="27">
        <f>IF(B510="","",INDEX('01_Rohdaten'!B510:D510,'02_Eingaben'!$C$13))</f>
        <v/>
      </c>
      <c r="D510" s="27">
        <f>IF(C510="","",C510*'02_Eingaben'!$C$15)</f>
        <v/>
      </c>
      <c r="E510" s="27">
        <f>IF(D510="","",D510*'02_Eingaben'!$C$8)</f>
        <v/>
      </c>
      <c r="F510" s="27">
        <f>IF(E510="","",AVERAGE(INDEX($E$2:$E$3001,MAX(1,ROW()-1-'02_Eingaben'!$C$17)):INDEX($E$2:$E$3001,MIN('02_Eingaben'!$C$21,ROW()-1+'02_Eingaben'!$C$17))))</f>
        <v/>
      </c>
      <c r="G510" s="27">
        <f>IF(F510="","",F510-'02_Eingaben'!$C$10)</f>
        <v/>
      </c>
      <c r="H510">
        <f>IF(F510="","",IF(F510&lt;'02_Eingaben'!$C$18*'02_Eingaben'!$C$10,1,0))</f>
        <v/>
      </c>
      <c r="I510" s="27">
        <f>IF(OR(G510="",G511=""),"",(G510+G511)/2*(B511-B510))</f>
        <v/>
      </c>
      <c r="J510" s="27">
        <f>IF(B510="","",IF(B509&lt;'02_Eingaben'!$C$36,0,J509+I509/'02_Eingaben'!$C$8))</f>
        <v/>
      </c>
    </row>
    <row r="511">
      <c r="A511">
        <f>IF('01_Rohdaten'!A511="","",ROW()-1)</f>
        <v/>
      </c>
      <c r="B511" s="27">
        <f>IF('01_Rohdaten'!A511="","",'01_Rohdaten'!A511)</f>
        <v/>
      </c>
      <c r="C511" s="27">
        <f>IF(B511="","",INDEX('01_Rohdaten'!B511:D511,'02_Eingaben'!$C$13))</f>
        <v/>
      </c>
      <c r="D511" s="27">
        <f>IF(C511="","",C511*'02_Eingaben'!$C$15)</f>
        <v/>
      </c>
      <c r="E511" s="27">
        <f>IF(D511="","",D511*'02_Eingaben'!$C$8)</f>
        <v/>
      </c>
      <c r="F511" s="27">
        <f>IF(E511="","",AVERAGE(INDEX($E$2:$E$3001,MAX(1,ROW()-1-'02_Eingaben'!$C$17)):INDEX($E$2:$E$3001,MIN('02_Eingaben'!$C$21,ROW()-1+'02_Eingaben'!$C$17))))</f>
        <v/>
      </c>
      <c r="G511" s="27">
        <f>IF(F511="","",F511-'02_Eingaben'!$C$10)</f>
        <v/>
      </c>
      <c r="H511">
        <f>IF(F511="","",IF(F511&lt;'02_Eingaben'!$C$18*'02_Eingaben'!$C$10,1,0))</f>
        <v/>
      </c>
      <c r="I511" s="27">
        <f>IF(OR(G511="",G512=""),"",(G511+G512)/2*(B512-B511))</f>
        <v/>
      </c>
      <c r="J511" s="27">
        <f>IF(B511="","",IF(B510&lt;'02_Eingaben'!$C$36,0,J510+I510/'02_Eingaben'!$C$8))</f>
        <v/>
      </c>
    </row>
    <row r="512">
      <c r="A512">
        <f>IF('01_Rohdaten'!A512="","",ROW()-1)</f>
        <v/>
      </c>
      <c r="B512" s="27">
        <f>IF('01_Rohdaten'!A512="","",'01_Rohdaten'!A512)</f>
        <v/>
      </c>
      <c r="C512" s="27">
        <f>IF(B512="","",INDEX('01_Rohdaten'!B512:D512,'02_Eingaben'!$C$13))</f>
        <v/>
      </c>
      <c r="D512" s="27">
        <f>IF(C512="","",C512*'02_Eingaben'!$C$15)</f>
        <v/>
      </c>
      <c r="E512" s="27">
        <f>IF(D512="","",D512*'02_Eingaben'!$C$8)</f>
        <v/>
      </c>
      <c r="F512" s="27">
        <f>IF(E512="","",AVERAGE(INDEX($E$2:$E$3001,MAX(1,ROW()-1-'02_Eingaben'!$C$17)):INDEX($E$2:$E$3001,MIN('02_Eingaben'!$C$21,ROW()-1+'02_Eingaben'!$C$17))))</f>
        <v/>
      </c>
      <c r="G512" s="27">
        <f>IF(F512="","",F512-'02_Eingaben'!$C$10)</f>
        <v/>
      </c>
      <c r="H512">
        <f>IF(F512="","",IF(F512&lt;'02_Eingaben'!$C$18*'02_Eingaben'!$C$10,1,0))</f>
        <v/>
      </c>
      <c r="I512" s="27">
        <f>IF(OR(G512="",G513=""),"",(G512+G513)/2*(B513-B512))</f>
        <v/>
      </c>
      <c r="J512" s="27">
        <f>IF(B512="","",IF(B511&lt;'02_Eingaben'!$C$36,0,J511+I511/'02_Eingaben'!$C$8))</f>
        <v/>
      </c>
    </row>
    <row r="513">
      <c r="A513">
        <f>IF('01_Rohdaten'!A513="","",ROW()-1)</f>
        <v/>
      </c>
      <c r="B513" s="27">
        <f>IF('01_Rohdaten'!A513="","",'01_Rohdaten'!A513)</f>
        <v/>
      </c>
      <c r="C513" s="27">
        <f>IF(B513="","",INDEX('01_Rohdaten'!B513:D513,'02_Eingaben'!$C$13))</f>
        <v/>
      </c>
      <c r="D513" s="27">
        <f>IF(C513="","",C513*'02_Eingaben'!$C$15)</f>
        <v/>
      </c>
      <c r="E513" s="27">
        <f>IF(D513="","",D513*'02_Eingaben'!$C$8)</f>
        <v/>
      </c>
      <c r="F513" s="27">
        <f>IF(E513="","",AVERAGE(INDEX($E$2:$E$3001,MAX(1,ROW()-1-'02_Eingaben'!$C$17)):INDEX($E$2:$E$3001,MIN('02_Eingaben'!$C$21,ROW()-1+'02_Eingaben'!$C$17))))</f>
        <v/>
      </c>
      <c r="G513" s="27">
        <f>IF(F513="","",F513-'02_Eingaben'!$C$10)</f>
        <v/>
      </c>
      <c r="H513">
        <f>IF(F513="","",IF(F513&lt;'02_Eingaben'!$C$18*'02_Eingaben'!$C$10,1,0))</f>
        <v/>
      </c>
      <c r="I513" s="27">
        <f>IF(OR(G513="",G514=""),"",(G513+G514)/2*(B514-B513))</f>
        <v/>
      </c>
      <c r="J513" s="27">
        <f>IF(B513="","",IF(B512&lt;'02_Eingaben'!$C$36,0,J512+I512/'02_Eingaben'!$C$8))</f>
        <v/>
      </c>
    </row>
    <row r="514">
      <c r="A514">
        <f>IF('01_Rohdaten'!A514="","",ROW()-1)</f>
        <v/>
      </c>
      <c r="B514" s="27">
        <f>IF('01_Rohdaten'!A514="","",'01_Rohdaten'!A514)</f>
        <v/>
      </c>
      <c r="C514" s="27">
        <f>IF(B514="","",INDEX('01_Rohdaten'!B514:D514,'02_Eingaben'!$C$13))</f>
        <v/>
      </c>
      <c r="D514" s="27">
        <f>IF(C514="","",C514*'02_Eingaben'!$C$15)</f>
        <v/>
      </c>
      <c r="E514" s="27">
        <f>IF(D514="","",D514*'02_Eingaben'!$C$8)</f>
        <v/>
      </c>
      <c r="F514" s="27">
        <f>IF(E514="","",AVERAGE(INDEX($E$2:$E$3001,MAX(1,ROW()-1-'02_Eingaben'!$C$17)):INDEX($E$2:$E$3001,MIN('02_Eingaben'!$C$21,ROW()-1+'02_Eingaben'!$C$17))))</f>
        <v/>
      </c>
      <c r="G514" s="27">
        <f>IF(F514="","",F514-'02_Eingaben'!$C$10)</f>
        <v/>
      </c>
      <c r="H514">
        <f>IF(F514="","",IF(F514&lt;'02_Eingaben'!$C$18*'02_Eingaben'!$C$10,1,0))</f>
        <v/>
      </c>
      <c r="I514" s="27">
        <f>IF(OR(G514="",G515=""),"",(G514+G515)/2*(B515-B514))</f>
        <v/>
      </c>
      <c r="J514" s="27">
        <f>IF(B514="","",IF(B513&lt;'02_Eingaben'!$C$36,0,J513+I513/'02_Eingaben'!$C$8))</f>
        <v/>
      </c>
    </row>
    <row r="515">
      <c r="A515">
        <f>IF('01_Rohdaten'!A515="","",ROW()-1)</f>
        <v/>
      </c>
      <c r="B515" s="27">
        <f>IF('01_Rohdaten'!A515="","",'01_Rohdaten'!A515)</f>
        <v/>
      </c>
      <c r="C515" s="27">
        <f>IF(B515="","",INDEX('01_Rohdaten'!B515:D515,'02_Eingaben'!$C$13))</f>
        <v/>
      </c>
      <c r="D515" s="27">
        <f>IF(C515="","",C515*'02_Eingaben'!$C$15)</f>
        <v/>
      </c>
      <c r="E515" s="27">
        <f>IF(D515="","",D515*'02_Eingaben'!$C$8)</f>
        <v/>
      </c>
      <c r="F515" s="27">
        <f>IF(E515="","",AVERAGE(INDEX($E$2:$E$3001,MAX(1,ROW()-1-'02_Eingaben'!$C$17)):INDEX($E$2:$E$3001,MIN('02_Eingaben'!$C$21,ROW()-1+'02_Eingaben'!$C$17))))</f>
        <v/>
      </c>
      <c r="G515" s="27">
        <f>IF(F515="","",F515-'02_Eingaben'!$C$10)</f>
        <v/>
      </c>
      <c r="H515">
        <f>IF(F515="","",IF(F515&lt;'02_Eingaben'!$C$18*'02_Eingaben'!$C$10,1,0))</f>
        <v/>
      </c>
      <c r="I515" s="27">
        <f>IF(OR(G515="",G516=""),"",(G515+G516)/2*(B516-B515))</f>
        <v/>
      </c>
      <c r="J515" s="27">
        <f>IF(B515="","",IF(B514&lt;'02_Eingaben'!$C$36,0,J514+I514/'02_Eingaben'!$C$8))</f>
        <v/>
      </c>
    </row>
    <row r="516">
      <c r="A516">
        <f>IF('01_Rohdaten'!A516="","",ROW()-1)</f>
        <v/>
      </c>
      <c r="B516" s="27">
        <f>IF('01_Rohdaten'!A516="","",'01_Rohdaten'!A516)</f>
        <v/>
      </c>
      <c r="C516" s="27">
        <f>IF(B516="","",INDEX('01_Rohdaten'!B516:D516,'02_Eingaben'!$C$13))</f>
        <v/>
      </c>
      <c r="D516" s="27">
        <f>IF(C516="","",C516*'02_Eingaben'!$C$15)</f>
        <v/>
      </c>
      <c r="E516" s="27">
        <f>IF(D516="","",D516*'02_Eingaben'!$C$8)</f>
        <v/>
      </c>
      <c r="F516" s="27">
        <f>IF(E516="","",AVERAGE(INDEX($E$2:$E$3001,MAX(1,ROW()-1-'02_Eingaben'!$C$17)):INDEX($E$2:$E$3001,MIN('02_Eingaben'!$C$21,ROW()-1+'02_Eingaben'!$C$17))))</f>
        <v/>
      </c>
      <c r="G516" s="27">
        <f>IF(F516="","",F516-'02_Eingaben'!$C$10)</f>
        <v/>
      </c>
      <c r="H516">
        <f>IF(F516="","",IF(F516&lt;'02_Eingaben'!$C$18*'02_Eingaben'!$C$10,1,0))</f>
        <v/>
      </c>
      <c r="I516" s="27">
        <f>IF(OR(G516="",G517=""),"",(G516+G517)/2*(B517-B516))</f>
        <v/>
      </c>
      <c r="J516" s="27">
        <f>IF(B516="","",IF(B515&lt;'02_Eingaben'!$C$36,0,J515+I515/'02_Eingaben'!$C$8))</f>
        <v/>
      </c>
    </row>
    <row r="517">
      <c r="A517">
        <f>IF('01_Rohdaten'!A517="","",ROW()-1)</f>
        <v/>
      </c>
      <c r="B517" s="27">
        <f>IF('01_Rohdaten'!A517="","",'01_Rohdaten'!A517)</f>
        <v/>
      </c>
      <c r="C517" s="27">
        <f>IF(B517="","",INDEX('01_Rohdaten'!B517:D517,'02_Eingaben'!$C$13))</f>
        <v/>
      </c>
      <c r="D517" s="27">
        <f>IF(C517="","",C517*'02_Eingaben'!$C$15)</f>
        <v/>
      </c>
      <c r="E517" s="27">
        <f>IF(D517="","",D517*'02_Eingaben'!$C$8)</f>
        <v/>
      </c>
      <c r="F517" s="27">
        <f>IF(E517="","",AVERAGE(INDEX($E$2:$E$3001,MAX(1,ROW()-1-'02_Eingaben'!$C$17)):INDEX($E$2:$E$3001,MIN('02_Eingaben'!$C$21,ROW()-1+'02_Eingaben'!$C$17))))</f>
        <v/>
      </c>
      <c r="G517" s="27">
        <f>IF(F517="","",F517-'02_Eingaben'!$C$10)</f>
        <v/>
      </c>
      <c r="H517">
        <f>IF(F517="","",IF(F517&lt;'02_Eingaben'!$C$18*'02_Eingaben'!$C$10,1,0))</f>
        <v/>
      </c>
      <c r="I517" s="27">
        <f>IF(OR(G517="",G518=""),"",(G517+G518)/2*(B518-B517))</f>
        <v/>
      </c>
      <c r="J517" s="27">
        <f>IF(B517="","",IF(B516&lt;'02_Eingaben'!$C$36,0,J516+I516/'02_Eingaben'!$C$8))</f>
        <v/>
      </c>
    </row>
    <row r="518">
      <c r="A518">
        <f>IF('01_Rohdaten'!A518="","",ROW()-1)</f>
        <v/>
      </c>
      <c r="B518" s="27">
        <f>IF('01_Rohdaten'!A518="","",'01_Rohdaten'!A518)</f>
        <v/>
      </c>
      <c r="C518" s="27">
        <f>IF(B518="","",INDEX('01_Rohdaten'!B518:D518,'02_Eingaben'!$C$13))</f>
        <v/>
      </c>
      <c r="D518" s="27">
        <f>IF(C518="","",C518*'02_Eingaben'!$C$15)</f>
        <v/>
      </c>
      <c r="E518" s="27">
        <f>IF(D518="","",D518*'02_Eingaben'!$C$8)</f>
        <v/>
      </c>
      <c r="F518" s="27">
        <f>IF(E518="","",AVERAGE(INDEX($E$2:$E$3001,MAX(1,ROW()-1-'02_Eingaben'!$C$17)):INDEX($E$2:$E$3001,MIN('02_Eingaben'!$C$21,ROW()-1+'02_Eingaben'!$C$17))))</f>
        <v/>
      </c>
      <c r="G518" s="27">
        <f>IF(F518="","",F518-'02_Eingaben'!$C$10)</f>
        <v/>
      </c>
      <c r="H518">
        <f>IF(F518="","",IF(F518&lt;'02_Eingaben'!$C$18*'02_Eingaben'!$C$10,1,0))</f>
        <v/>
      </c>
      <c r="I518" s="27">
        <f>IF(OR(G518="",G519=""),"",(G518+G519)/2*(B519-B518))</f>
        <v/>
      </c>
      <c r="J518" s="27">
        <f>IF(B518="","",IF(B517&lt;'02_Eingaben'!$C$36,0,J517+I517/'02_Eingaben'!$C$8))</f>
        <v/>
      </c>
    </row>
    <row r="519">
      <c r="A519">
        <f>IF('01_Rohdaten'!A519="","",ROW()-1)</f>
        <v/>
      </c>
      <c r="B519" s="27">
        <f>IF('01_Rohdaten'!A519="","",'01_Rohdaten'!A519)</f>
        <v/>
      </c>
      <c r="C519" s="27">
        <f>IF(B519="","",INDEX('01_Rohdaten'!B519:D519,'02_Eingaben'!$C$13))</f>
        <v/>
      </c>
      <c r="D519" s="27">
        <f>IF(C519="","",C519*'02_Eingaben'!$C$15)</f>
        <v/>
      </c>
      <c r="E519" s="27">
        <f>IF(D519="","",D519*'02_Eingaben'!$C$8)</f>
        <v/>
      </c>
      <c r="F519" s="27">
        <f>IF(E519="","",AVERAGE(INDEX($E$2:$E$3001,MAX(1,ROW()-1-'02_Eingaben'!$C$17)):INDEX($E$2:$E$3001,MIN('02_Eingaben'!$C$21,ROW()-1+'02_Eingaben'!$C$17))))</f>
        <v/>
      </c>
      <c r="G519" s="27">
        <f>IF(F519="","",F519-'02_Eingaben'!$C$10)</f>
        <v/>
      </c>
      <c r="H519">
        <f>IF(F519="","",IF(F519&lt;'02_Eingaben'!$C$18*'02_Eingaben'!$C$10,1,0))</f>
        <v/>
      </c>
      <c r="I519" s="27">
        <f>IF(OR(G519="",G520=""),"",(G519+G520)/2*(B520-B519))</f>
        <v/>
      </c>
      <c r="J519" s="27">
        <f>IF(B519="","",IF(B518&lt;'02_Eingaben'!$C$36,0,J518+I518/'02_Eingaben'!$C$8))</f>
        <v/>
      </c>
    </row>
    <row r="520">
      <c r="A520">
        <f>IF('01_Rohdaten'!A520="","",ROW()-1)</f>
        <v/>
      </c>
      <c r="B520" s="27">
        <f>IF('01_Rohdaten'!A520="","",'01_Rohdaten'!A520)</f>
        <v/>
      </c>
      <c r="C520" s="27">
        <f>IF(B520="","",INDEX('01_Rohdaten'!B520:D520,'02_Eingaben'!$C$13))</f>
        <v/>
      </c>
      <c r="D520" s="27">
        <f>IF(C520="","",C520*'02_Eingaben'!$C$15)</f>
        <v/>
      </c>
      <c r="E520" s="27">
        <f>IF(D520="","",D520*'02_Eingaben'!$C$8)</f>
        <v/>
      </c>
      <c r="F520" s="27">
        <f>IF(E520="","",AVERAGE(INDEX($E$2:$E$3001,MAX(1,ROW()-1-'02_Eingaben'!$C$17)):INDEX($E$2:$E$3001,MIN('02_Eingaben'!$C$21,ROW()-1+'02_Eingaben'!$C$17))))</f>
        <v/>
      </c>
      <c r="G520" s="27">
        <f>IF(F520="","",F520-'02_Eingaben'!$C$10)</f>
        <v/>
      </c>
      <c r="H520">
        <f>IF(F520="","",IF(F520&lt;'02_Eingaben'!$C$18*'02_Eingaben'!$C$10,1,0))</f>
        <v/>
      </c>
      <c r="I520" s="27">
        <f>IF(OR(G520="",G521=""),"",(G520+G521)/2*(B521-B520))</f>
        <v/>
      </c>
      <c r="J520" s="27">
        <f>IF(B520="","",IF(B519&lt;'02_Eingaben'!$C$36,0,J519+I519/'02_Eingaben'!$C$8))</f>
        <v/>
      </c>
    </row>
    <row r="521">
      <c r="A521">
        <f>IF('01_Rohdaten'!A521="","",ROW()-1)</f>
        <v/>
      </c>
      <c r="B521" s="27">
        <f>IF('01_Rohdaten'!A521="","",'01_Rohdaten'!A521)</f>
        <v/>
      </c>
      <c r="C521" s="27">
        <f>IF(B521="","",INDEX('01_Rohdaten'!B521:D521,'02_Eingaben'!$C$13))</f>
        <v/>
      </c>
      <c r="D521" s="27">
        <f>IF(C521="","",C521*'02_Eingaben'!$C$15)</f>
        <v/>
      </c>
      <c r="E521" s="27">
        <f>IF(D521="","",D521*'02_Eingaben'!$C$8)</f>
        <v/>
      </c>
      <c r="F521" s="27">
        <f>IF(E521="","",AVERAGE(INDEX($E$2:$E$3001,MAX(1,ROW()-1-'02_Eingaben'!$C$17)):INDEX($E$2:$E$3001,MIN('02_Eingaben'!$C$21,ROW()-1+'02_Eingaben'!$C$17))))</f>
        <v/>
      </c>
      <c r="G521" s="27">
        <f>IF(F521="","",F521-'02_Eingaben'!$C$10)</f>
        <v/>
      </c>
      <c r="H521">
        <f>IF(F521="","",IF(F521&lt;'02_Eingaben'!$C$18*'02_Eingaben'!$C$10,1,0))</f>
        <v/>
      </c>
      <c r="I521" s="27">
        <f>IF(OR(G521="",G522=""),"",(G521+G522)/2*(B522-B521))</f>
        <v/>
      </c>
      <c r="J521" s="27">
        <f>IF(B521="","",IF(B520&lt;'02_Eingaben'!$C$36,0,J520+I520/'02_Eingaben'!$C$8))</f>
        <v/>
      </c>
    </row>
    <row r="522">
      <c r="A522">
        <f>IF('01_Rohdaten'!A522="","",ROW()-1)</f>
        <v/>
      </c>
      <c r="B522" s="27">
        <f>IF('01_Rohdaten'!A522="","",'01_Rohdaten'!A522)</f>
        <v/>
      </c>
      <c r="C522" s="27">
        <f>IF(B522="","",INDEX('01_Rohdaten'!B522:D522,'02_Eingaben'!$C$13))</f>
        <v/>
      </c>
      <c r="D522" s="27">
        <f>IF(C522="","",C522*'02_Eingaben'!$C$15)</f>
        <v/>
      </c>
      <c r="E522" s="27">
        <f>IF(D522="","",D522*'02_Eingaben'!$C$8)</f>
        <v/>
      </c>
      <c r="F522" s="27">
        <f>IF(E522="","",AVERAGE(INDEX($E$2:$E$3001,MAX(1,ROW()-1-'02_Eingaben'!$C$17)):INDEX($E$2:$E$3001,MIN('02_Eingaben'!$C$21,ROW()-1+'02_Eingaben'!$C$17))))</f>
        <v/>
      </c>
      <c r="G522" s="27">
        <f>IF(F522="","",F522-'02_Eingaben'!$C$10)</f>
        <v/>
      </c>
      <c r="H522">
        <f>IF(F522="","",IF(F522&lt;'02_Eingaben'!$C$18*'02_Eingaben'!$C$10,1,0))</f>
        <v/>
      </c>
      <c r="I522" s="27">
        <f>IF(OR(G522="",G523=""),"",(G522+G523)/2*(B523-B522))</f>
        <v/>
      </c>
      <c r="J522" s="27">
        <f>IF(B522="","",IF(B521&lt;'02_Eingaben'!$C$36,0,J521+I521/'02_Eingaben'!$C$8))</f>
        <v/>
      </c>
    </row>
    <row r="523">
      <c r="A523">
        <f>IF('01_Rohdaten'!A523="","",ROW()-1)</f>
        <v/>
      </c>
      <c r="B523" s="27">
        <f>IF('01_Rohdaten'!A523="","",'01_Rohdaten'!A523)</f>
        <v/>
      </c>
      <c r="C523" s="27">
        <f>IF(B523="","",INDEX('01_Rohdaten'!B523:D523,'02_Eingaben'!$C$13))</f>
        <v/>
      </c>
      <c r="D523" s="27">
        <f>IF(C523="","",C523*'02_Eingaben'!$C$15)</f>
        <v/>
      </c>
      <c r="E523" s="27">
        <f>IF(D523="","",D523*'02_Eingaben'!$C$8)</f>
        <v/>
      </c>
      <c r="F523" s="27">
        <f>IF(E523="","",AVERAGE(INDEX($E$2:$E$3001,MAX(1,ROW()-1-'02_Eingaben'!$C$17)):INDEX($E$2:$E$3001,MIN('02_Eingaben'!$C$21,ROW()-1+'02_Eingaben'!$C$17))))</f>
        <v/>
      </c>
      <c r="G523" s="27">
        <f>IF(F523="","",F523-'02_Eingaben'!$C$10)</f>
        <v/>
      </c>
      <c r="H523">
        <f>IF(F523="","",IF(F523&lt;'02_Eingaben'!$C$18*'02_Eingaben'!$C$10,1,0))</f>
        <v/>
      </c>
      <c r="I523" s="27">
        <f>IF(OR(G523="",G524=""),"",(G523+G524)/2*(B524-B523))</f>
        <v/>
      </c>
      <c r="J523" s="27">
        <f>IF(B523="","",IF(B522&lt;'02_Eingaben'!$C$36,0,J522+I522/'02_Eingaben'!$C$8))</f>
        <v/>
      </c>
    </row>
    <row r="524">
      <c r="A524">
        <f>IF('01_Rohdaten'!A524="","",ROW()-1)</f>
        <v/>
      </c>
      <c r="B524" s="27">
        <f>IF('01_Rohdaten'!A524="","",'01_Rohdaten'!A524)</f>
        <v/>
      </c>
      <c r="C524" s="27">
        <f>IF(B524="","",INDEX('01_Rohdaten'!B524:D524,'02_Eingaben'!$C$13))</f>
        <v/>
      </c>
      <c r="D524" s="27">
        <f>IF(C524="","",C524*'02_Eingaben'!$C$15)</f>
        <v/>
      </c>
      <c r="E524" s="27">
        <f>IF(D524="","",D524*'02_Eingaben'!$C$8)</f>
        <v/>
      </c>
      <c r="F524" s="27">
        <f>IF(E524="","",AVERAGE(INDEX($E$2:$E$3001,MAX(1,ROW()-1-'02_Eingaben'!$C$17)):INDEX($E$2:$E$3001,MIN('02_Eingaben'!$C$21,ROW()-1+'02_Eingaben'!$C$17))))</f>
        <v/>
      </c>
      <c r="G524" s="27">
        <f>IF(F524="","",F524-'02_Eingaben'!$C$10)</f>
        <v/>
      </c>
      <c r="H524">
        <f>IF(F524="","",IF(F524&lt;'02_Eingaben'!$C$18*'02_Eingaben'!$C$10,1,0))</f>
        <v/>
      </c>
      <c r="I524" s="27">
        <f>IF(OR(G524="",G525=""),"",(G524+G525)/2*(B525-B524))</f>
        <v/>
      </c>
      <c r="J524" s="27">
        <f>IF(B524="","",IF(B523&lt;'02_Eingaben'!$C$36,0,J523+I523/'02_Eingaben'!$C$8))</f>
        <v/>
      </c>
    </row>
    <row r="525">
      <c r="A525">
        <f>IF('01_Rohdaten'!A525="","",ROW()-1)</f>
        <v/>
      </c>
      <c r="B525" s="27">
        <f>IF('01_Rohdaten'!A525="","",'01_Rohdaten'!A525)</f>
        <v/>
      </c>
      <c r="C525" s="27">
        <f>IF(B525="","",INDEX('01_Rohdaten'!B525:D525,'02_Eingaben'!$C$13))</f>
        <v/>
      </c>
      <c r="D525" s="27">
        <f>IF(C525="","",C525*'02_Eingaben'!$C$15)</f>
        <v/>
      </c>
      <c r="E525" s="27">
        <f>IF(D525="","",D525*'02_Eingaben'!$C$8)</f>
        <v/>
      </c>
      <c r="F525" s="27">
        <f>IF(E525="","",AVERAGE(INDEX($E$2:$E$3001,MAX(1,ROW()-1-'02_Eingaben'!$C$17)):INDEX($E$2:$E$3001,MIN('02_Eingaben'!$C$21,ROW()-1+'02_Eingaben'!$C$17))))</f>
        <v/>
      </c>
      <c r="G525" s="27">
        <f>IF(F525="","",F525-'02_Eingaben'!$C$10)</f>
        <v/>
      </c>
      <c r="H525">
        <f>IF(F525="","",IF(F525&lt;'02_Eingaben'!$C$18*'02_Eingaben'!$C$10,1,0))</f>
        <v/>
      </c>
      <c r="I525" s="27">
        <f>IF(OR(G525="",G526=""),"",(G525+G526)/2*(B526-B525))</f>
        <v/>
      </c>
      <c r="J525" s="27">
        <f>IF(B525="","",IF(B524&lt;'02_Eingaben'!$C$36,0,J524+I524/'02_Eingaben'!$C$8))</f>
        <v/>
      </c>
    </row>
    <row r="526">
      <c r="A526">
        <f>IF('01_Rohdaten'!A526="","",ROW()-1)</f>
        <v/>
      </c>
      <c r="B526" s="27">
        <f>IF('01_Rohdaten'!A526="","",'01_Rohdaten'!A526)</f>
        <v/>
      </c>
      <c r="C526" s="27">
        <f>IF(B526="","",INDEX('01_Rohdaten'!B526:D526,'02_Eingaben'!$C$13))</f>
        <v/>
      </c>
      <c r="D526" s="27">
        <f>IF(C526="","",C526*'02_Eingaben'!$C$15)</f>
        <v/>
      </c>
      <c r="E526" s="27">
        <f>IF(D526="","",D526*'02_Eingaben'!$C$8)</f>
        <v/>
      </c>
      <c r="F526" s="27">
        <f>IF(E526="","",AVERAGE(INDEX($E$2:$E$3001,MAX(1,ROW()-1-'02_Eingaben'!$C$17)):INDEX($E$2:$E$3001,MIN('02_Eingaben'!$C$21,ROW()-1+'02_Eingaben'!$C$17))))</f>
        <v/>
      </c>
      <c r="G526" s="27">
        <f>IF(F526="","",F526-'02_Eingaben'!$C$10)</f>
        <v/>
      </c>
      <c r="H526">
        <f>IF(F526="","",IF(F526&lt;'02_Eingaben'!$C$18*'02_Eingaben'!$C$10,1,0))</f>
        <v/>
      </c>
      <c r="I526" s="27">
        <f>IF(OR(G526="",G527=""),"",(G526+G527)/2*(B527-B526))</f>
        <v/>
      </c>
      <c r="J526" s="27">
        <f>IF(B526="","",IF(B525&lt;'02_Eingaben'!$C$36,0,J525+I525/'02_Eingaben'!$C$8))</f>
        <v/>
      </c>
    </row>
    <row r="527">
      <c r="A527">
        <f>IF('01_Rohdaten'!A527="","",ROW()-1)</f>
        <v/>
      </c>
      <c r="B527" s="27">
        <f>IF('01_Rohdaten'!A527="","",'01_Rohdaten'!A527)</f>
        <v/>
      </c>
      <c r="C527" s="27">
        <f>IF(B527="","",INDEX('01_Rohdaten'!B527:D527,'02_Eingaben'!$C$13))</f>
        <v/>
      </c>
      <c r="D527" s="27">
        <f>IF(C527="","",C527*'02_Eingaben'!$C$15)</f>
        <v/>
      </c>
      <c r="E527" s="27">
        <f>IF(D527="","",D527*'02_Eingaben'!$C$8)</f>
        <v/>
      </c>
      <c r="F527" s="27">
        <f>IF(E527="","",AVERAGE(INDEX($E$2:$E$3001,MAX(1,ROW()-1-'02_Eingaben'!$C$17)):INDEX($E$2:$E$3001,MIN('02_Eingaben'!$C$21,ROW()-1+'02_Eingaben'!$C$17))))</f>
        <v/>
      </c>
      <c r="G527" s="27">
        <f>IF(F527="","",F527-'02_Eingaben'!$C$10)</f>
        <v/>
      </c>
      <c r="H527">
        <f>IF(F527="","",IF(F527&lt;'02_Eingaben'!$C$18*'02_Eingaben'!$C$10,1,0))</f>
        <v/>
      </c>
      <c r="I527" s="27">
        <f>IF(OR(G527="",G528=""),"",(G527+G528)/2*(B528-B527))</f>
        <v/>
      </c>
      <c r="J527" s="27">
        <f>IF(B527="","",IF(B526&lt;'02_Eingaben'!$C$36,0,J526+I526/'02_Eingaben'!$C$8))</f>
        <v/>
      </c>
    </row>
    <row r="528">
      <c r="A528">
        <f>IF('01_Rohdaten'!A528="","",ROW()-1)</f>
        <v/>
      </c>
      <c r="B528" s="27">
        <f>IF('01_Rohdaten'!A528="","",'01_Rohdaten'!A528)</f>
        <v/>
      </c>
      <c r="C528" s="27">
        <f>IF(B528="","",INDEX('01_Rohdaten'!B528:D528,'02_Eingaben'!$C$13))</f>
        <v/>
      </c>
      <c r="D528" s="27">
        <f>IF(C528="","",C528*'02_Eingaben'!$C$15)</f>
        <v/>
      </c>
      <c r="E528" s="27">
        <f>IF(D528="","",D528*'02_Eingaben'!$C$8)</f>
        <v/>
      </c>
      <c r="F528" s="27">
        <f>IF(E528="","",AVERAGE(INDEX($E$2:$E$3001,MAX(1,ROW()-1-'02_Eingaben'!$C$17)):INDEX($E$2:$E$3001,MIN('02_Eingaben'!$C$21,ROW()-1+'02_Eingaben'!$C$17))))</f>
        <v/>
      </c>
      <c r="G528" s="27">
        <f>IF(F528="","",F528-'02_Eingaben'!$C$10)</f>
        <v/>
      </c>
      <c r="H528">
        <f>IF(F528="","",IF(F528&lt;'02_Eingaben'!$C$18*'02_Eingaben'!$C$10,1,0))</f>
        <v/>
      </c>
      <c r="I528" s="27">
        <f>IF(OR(G528="",G529=""),"",(G528+G529)/2*(B529-B528))</f>
        <v/>
      </c>
      <c r="J528" s="27">
        <f>IF(B528="","",IF(B527&lt;'02_Eingaben'!$C$36,0,J527+I527/'02_Eingaben'!$C$8))</f>
        <v/>
      </c>
    </row>
    <row r="529">
      <c r="A529">
        <f>IF('01_Rohdaten'!A529="","",ROW()-1)</f>
        <v/>
      </c>
      <c r="B529" s="27">
        <f>IF('01_Rohdaten'!A529="","",'01_Rohdaten'!A529)</f>
        <v/>
      </c>
      <c r="C529" s="27">
        <f>IF(B529="","",INDEX('01_Rohdaten'!B529:D529,'02_Eingaben'!$C$13))</f>
        <v/>
      </c>
      <c r="D529" s="27">
        <f>IF(C529="","",C529*'02_Eingaben'!$C$15)</f>
        <v/>
      </c>
      <c r="E529" s="27">
        <f>IF(D529="","",D529*'02_Eingaben'!$C$8)</f>
        <v/>
      </c>
      <c r="F529" s="27">
        <f>IF(E529="","",AVERAGE(INDEX($E$2:$E$3001,MAX(1,ROW()-1-'02_Eingaben'!$C$17)):INDEX($E$2:$E$3001,MIN('02_Eingaben'!$C$21,ROW()-1+'02_Eingaben'!$C$17))))</f>
        <v/>
      </c>
      <c r="G529" s="27">
        <f>IF(F529="","",F529-'02_Eingaben'!$C$10)</f>
        <v/>
      </c>
      <c r="H529">
        <f>IF(F529="","",IF(F529&lt;'02_Eingaben'!$C$18*'02_Eingaben'!$C$10,1,0))</f>
        <v/>
      </c>
      <c r="I529" s="27">
        <f>IF(OR(G529="",G530=""),"",(G529+G530)/2*(B530-B529))</f>
        <v/>
      </c>
      <c r="J529" s="27">
        <f>IF(B529="","",IF(B528&lt;'02_Eingaben'!$C$36,0,J528+I528/'02_Eingaben'!$C$8))</f>
        <v/>
      </c>
    </row>
    <row r="530">
      <c r="A530">
        <f>IF('01_Rohdaten'!A530="","",ROW()-1)</f>
        <v/>
      </c>
      <c r="B530" s="27">
        <f>IF('01_Rohdaten'!A530="","",'01_Rohdaten'!A530)</f>
        <v/>
      </c>
      <c r="C530" s="27">
        <f>IF(B530="","",INDEX('01_Rohdaten'!B530:D530,'02_Eingaben'!$C$13))</f>
        <v/>
      </c>
      <c r="D530" s="27">
        <f>IF(C530="","",C530*'02_Eingaben'!$C$15)</f>
        <v/>
      </c>
      <c r="E530" s="27">
        <f>IF(D530="","",D530*'02_Eingaben'!$C$8)</f>
        <v/>
      </c>
      <c r="F530" s="27">
        <f>IF(E530="","",AVERAGE(INDEX($E$2:$E$3001,MAX(1,ROW()-1-'02_Eingaben'!$C$17)):INDEX($E$2:$E$3001,MIN('02_Eingaben'!$C$21,ROW()-1+'02_Eingaben'!$C$17))))</f>
        <v/>
      </c>
      <c r="G530" s="27">
        <f>IF(F530="","",F530-'02_Eingaben'!$C$10)</f>
        <v/>
      </c>
      <c r="H530">
        <f>IF(F530="","",IF(F530&lt;'02_Eingaben'!$C$18*'02_Eingaben'!$C$10,1,0))</f>
        <v/>
      </c>
      <c r="I530" s="27">
        <f>IF(OR(G530="",G531=""),"",(G530+G531)/2*(B531-B530))</f>
        <v/>
      </c>
      <c r="J530" s="27">
        <f>IF(B530="","",IF(B529&lt;'02_Eingaben'!$C$36,0,J529+I529/'02_Eingaben'!$C$8))</f>
        <v/>
      </c>
    </row>
    <row r="531">
      <c r="A531">
        <f>IF('01_Rohdaten'!A531="","",ROW()-1)</f>
        <v/>
      </c>
      <c r="B531" s="27">
        <f>IF('01_Rohdaten'!A531="","",'01_Rohdaten'!A531)</f>
        <v/>
      </c>
      <c r="C531" s="27">
        <f>IF(B531="","",INDEX('01_Rohdaten'!B531:D531,'02_Eingaben'!$C$13))</f>
        <v/>
      </c>
      <c r="D531" s="27">
        <f>IF(C531="","",C531*'02_Eingaben'!$C$15)</f>
        <v/>
      </c>
      <c r="E531" s="27">
        <f>IF(D531="","",D531*'02_Eingaben'!$C$8)</f>
        <v/>
      </c>
      <c r="F531" s="27">
        <f>IF(E531="","",AVERAGE(INDEX($E$2:$E$3001,MAX(1,ROW()-1-'02_Eingaben'!$C$17)):INDEX($E$2:$E$3001,MIN('02_Eingaben'!$C$21,ROW()-1+'02_Eingaben'!$C$17))))</f>
        <v/>
      </c>
      <c r="G531" s="27">
        <f>IF(F531="","",F531-'02_Eingaben'!$C$10)</f>
        <v/>
      </c>
      <c r="H531">
        <f>IF(F531="","",IF(F531&lt;'02_Eingaben'!$C$18*'02_Eingaben'!$C$10,1,0))</f>
        <v/>
      </c>
      <c r="I531" s="27">
        <f>IF(OR(G531="",G532=""),"",(G531+G532)/2*(B532-B531))</f>
        <v/>
      </c>
      <c r="J531" s="27">
        <f>IF(B531="","",IF(B530&lt;'02_Eingaben'!$C$36,0,J530+I530/'02_Eingaben'!$C$8))</f>
        <v/>
      </c>
    </row>
    <row r="532">
      <c r="A532">
        <f>IF('01_Rohdaten'!A532="","",ROW()-1)</f>
        <v/>
      </c>
      <c r="B532" s="27">
        <f>IF('01_Rohdaten'!A532="","",'01_Rohdaten'!A532)</f>
        <v/>
      </c>
      <c r="C532" s="27">
        <f>IF(B532="","",INDEX('01_Rohdaten'!B532:D532,'02_Eingaben'!$C$13))</f>
        <v/>
      </c>
      <c r="D532" s="27">
        <f>IF(C532="","",C532*'02_Eingaben'!$C$15)</f>
        <v/>
      </c>
      <c r="E532" s="27">
        <f>IF(D532="","",D532*'02_Eingaben'!$C$8)</f>
        <v/>
      </c>
      <c r="F532" s="27">
        <f>IF(E532="","",AVERAGE(INDEX($E$2:$E$3001,MAX(1,ROW()-1-'02_Eingaben'!$C$17)):INDEX($E$2:$E$3001,MIN('02_Eingaben'!$C$21,ROW()-1+'02_Eingaben'!$C$17))))</f>
        <v/>
      </c>
      <c r="G532" s="27">
        <f>IF(F532="","",F532-'02_Eingaben'!$C$10)</f>
        <v/>
      </c>
      <c r="H532">
        <f>IF(F532="","",IF(F532&lt;'02_Eingaben'!$C$18*'02_Eingaben'!$C$10,1,0))</f>
        <v/>
      </c>
      <c r="I532" s="27">
        <f>IF(OR(G532="",G533=""),"",(G532+G533)/2*(B533-B532))</f>
        <v/>
      </c>
      <c r="J532" s="27">
        <f>IF(B532="","",IF(B531&lt;'02_Eingaben'!$C$36,0,J531+I531/'02_Eingaben'!$C$8))</f>
        <v/>
      </c>
    </row>
    <row r="533">
      <c r="A533">
        <f>IF('01_Rohdaten'!A533="","",ROW()-1)</f>
        <v/>
      </c>
      <c r="B533" s="27">
        <f>IF('01_Rohdaten'!A533="","",'01_Rohdaten'!A533)</f>
        <v/>
      </c>
      <c r="C533" s="27">
        <f>IF(B533="","",INDEX('01_Rohdaten'!B533:D533,'02_Eingaben'!$C$13))</f>
        <v/>
      </c>
      <c r="D533" s="27">
        <f>IF(C533="","",C533*'02_Eingaben'!$C$15)</f>
        <v/>
      </c>
      <c r="E533" s="27">
        <f>IF(D533="","",D533*'02_Eingaben'!$C$8)</f>
        <v/>
      </c>
      <c r="F533" s="27">
        <f>IF(E533="","",AVERAGE(INDEX($E$2:$E$3001,MAX(1,ROW()-1-'02_Eingaben'!$C$17)):INDEX($E$2:$E$3001,MIN('02_Eingaben'!$C$21,ROW()-1+'02_Eingaben'!$C$17))))</f>
        <v/>
      </c>
      <c r="G533" s="27">
        <f>IF(F533="","",F533-'02_Eingaben'!$C$10)</f>
        <v/>
      </c>
      <c r="H533">
        <f>IF(F533="","",IF(F533&lt;'02_Eingaben'!$C$18*'02_Eingaben'!$C$10,1,0))</f>
        <v/>
      </c>
      <c r="I533" s="27">
        <f>IF(OR(G533="",G534=""),"",(G533+G534)/2*(B534-B533))</f>
        <v/>
      </c>
      <c r="J533" s="27">
        <f>IF(B533="","",IF(B532&lt;'02_Eingaben'!$C$36,0,J532+I532/'02_Eingaben'!$C$8))</f>
        <v/>
      </c>
    </row>
    <row r="534">
      <c r="A534">
        <f>IF('01_Rohdaten'!A534="","",ROW()-1)</f>
        <v/>
      </c>
      <c r="B534" s="27">
        <f>IF('01_Rohdaten'!A534="","",'01_Rohdaten'!A534)</f>
        <v/>
      </c>
      <c r="C534" s="27">
        <f>IF(B534="","",INDEX('01_Rohdaten'!B534:D534,'02_Eingaben'!$C$13))</f>
        <v/>
      </c>
      <c r="D534" s="27">
        <f>IF(C534="","",C534*'02_Eingaben'!$C$15)</f>
        <v/>
      </c>
      <c r="E534" s="27">
        <f>IF(D534="","",D534*'02_Eingaben'!$C$8)</f>
        <v/>
      </c>
      <c r="F534" s="27">
        <f>IF(E534="","",AVERAGE(INDEX($E$2:$E$3001,MAX(1,ROW()-1-'02_Eingaben'!$C$17)):INDEX($E$2:$E$3001,MIN('02_Eingaben'!$C$21,ROW()-1+'02_Eingaben'!$C$17))))</f>
        <v/>
      </c>
      <c r="G534" s="27">
        <f>IF(F534="","",F534-'02_Eingaben'!$C$10)</f>
        <v/>
      </c>
      <c r="H534">
        <f>IF(F534="","",IF(F534&lt;'02_Eingaben'!$C$18*'02_Eingaben'!$C$10,1,0))</f>
        <v/>
      </c>
      <c r="I534" s="27">
        <f>IF(OR(G534="",G535=""),"",(G534+G535)/2*(B535-B534))</f>
        <v/>
      </c>
      <c r="J534" s="27">
        <f>IF(B534="","",IF(B533&lt;'02_Eingaben'!$C$36,0,J533+I533/'02_Eingaben'!$C$8))</f>
        <v/>
      </c>
    </row>
    <row r="535">
      <c r="A535">
        <f>IF('01_Rohdaten'!A535="","",ROW()-1)</f>
        <v/>
      </c>
      <c r="B535" s="27">
        <f>IF('01_Rohdaten'!A535="","",'01_Rohdaten'!A535)</f>
        <v/>
      </c>
      <c r="C535" s="27">
        <f>IF(B535="","",INDEX('01_Rohdaten'!B535:D535,'02_Eingaben'!$C$13))</f>
        <v/>
      </c>
      <c r="D535" s="27">
        <f>IF(C535="","",C535*'02_Eingaben'!$C$15)</f>
        <v/>
      </c>
      <c r="E535" s="27">
        <f>IF(D535="","",D535*'02_Eingaben'!$C$8)</f>
        <v/>
      </c>
      <c r="F535" s="27">
        <f>IF(E535="","",AVERAGE(INDEX($E$2:$E$3001,MAX(1,ROW()-1-'02_Eingaben'!$C$17)):INDEX($E$2:$E$3001,MIN('02_Eingaben'!$C$21,ROW()-1+'02_Eingaben'!$C$17))))</f>
        <v/>
      </c>
      <c r="G535" s="27">
        <f>IF(F535="","",F535-'02_Eingaben'!$C$10)</f>
        <v/>
      </c>
      <c r="H535">
        <f>IF(F535="","",IF(F535&lt;'02_Eingaben'!$C$18*'02_Eingaben'!$C$10,1,0))</f>
        <v/>
      </c>
      <c r="I535" s="27">
        <f>IF(OR(G535="",G536=""),"",(G535+G536)/2*(B536-B535))</f>
        <v/>
      </c>
      <c r="J535" s="27">
        <f>IF(B535="","",IF(B534&lt;'02_Eingaben'!$C$36,0,J534+I534/'02_Eingaben'!$C$8))</f>
        <v/>
      </c>
    </row>
    <row r="536">
      <c r="A536">
        <f>IF('01_Rohdaten'!A536="","",ROW()-1)</f>
        <v/>
      </c>
      <c r="B536" s="27">
        <f>IF('01_Rohdaten'!A536="","",'01_Rohdaten'!A536)</f>
        <v/>
      </c>
      <c r="C536" s="27">
        <f>IF(B536="","",INDEX('01_Rohdaten'!B536:D536,'02_Eingaben'!$C$13))</f>
        <v/>
      </c>
      <c r="D536" s="27">
        <f>IF(C536="","",C536*'02_Eingaben'!$C$15)</f>
        <v/>
      </c>
      <c r="E536" s="27">
        <f>IF(D536="","",D536*'02_Eingaben'!$C$8)</f>
        <v/>
      </c>
      <c r="F536" s="27">
        <f>IF(E536="","",AVERAGE(INDEX($E$2:$E$3001,MAX(1,ROW()-1-'02_Eingaben'!$C$17)):INDEX($E$2:$E$3001,MIN('02_Eingaben'!$C$21,ROW()-1+'02_Eingaben'!$C$17))))</f>
        <v/>
      </c>
      <c r="G536" s="27">
        <f>IF(F536="","",F536-'02_Eingaben'!$C$10)</f>
        <v/>
      </c>
      <c r="H536">
        <f>IF(F536="","",IF(F536&lt;'02_Eingaben'!$C$18*'02_Eingaben'!$C$10,1,0))</f>
        <v/>
      </c>
      <c r="I536" s="27">
        <f>IF(OR(G536="",G537=""),"",(G536+G537)/2*(B537-B536))</f>
        <v/>
      </c>
      <c r="J536" s="27">
        <f>IF(B536="","",IF(B535&lt;'02_Eingaben'!$C$36,0,J535+I535/'02_Eingaben'!$C$8))</f>
        <v/>
      </c>
    </row>
    <row r="537">
      <c r="A537">
        <f>IF('01_Rohdaten'!A537="","",ROW()-1)</f>
        <v/>
      </c>
      <c r="B537" s="27">
        <f>IF('01_Rohdaten'!A537="","",'01_Rohdaten'!A537)</f>
        <v/>
      </c>
      <c r="C537" s="27">
        <f>IF(B537="","",INDEX('01_Rohdaten'!B537:D537,'02_Eingaben'!$C$13))</f>
        <v/>
      </c>
      <c r="D537" s="27">
        <f>IF(C537="","",C537*'02_Eingaben'!$C$15)</f>
        <v/>
      </c>
      <c r="E537" s="27">
        <f>IF(D537="","",D537*'02_Eingaben'!$C$8)</f>
        <v/>
      </c>
      <c r="F537" s="27">
        <f>IF(E537="","",AVERAGE(INDEX($E$2:$E$3001,MAX(1,ROW()-1-'02_Eingaben'!$C$17)):INDEX($E$2:$E$3001,MIN('02_Eingaben'!$C$21,ROW()-1+'02_Eingaben'!$C$17))))</f>
        <v/>
      </c>
      <c r="G537" s="27">
        <f>IF(F537="","",F537-'02_Eingaben'!$C$10)</f>
        <v/>
      </c>
      <c r="H537">
        <f>IF(F537="","",IF(F537&lt;'02_Eingaben'!$C$18*'02_Eingaben'!$C$10,1,0))</f>
        <v/>
      </c>
      <c r="I537" s="27">
        <f>IF(OR(G537="",G538=""),"",(G537+G538)/2*(B538-B537))</f>
        <v/>
      </c>
      <c r="J537" s="27">
        <f>IF(B537="","",IF(B536&lt;'02_Eingaben'!$C$36,0,J536+I536/'02_Eingaben'!$C$8))</f>
        <v/>
      </c>
    </row>
    <row r="538">
      <c r="A538">
        <f>IF('01_Rohdaten'!A538="","",ROW()-1)</f>
        <v/>
      </c>
      <c r="B538" s="27">
        <f>IF('01_Rohdaten'!A538="","",'01_Rohdaten'!A538)</f>
        <v/>
      </c>
      <c r="C538" s="27">
        <f>IF(B538="","",INDEX('01_Rohdaten'!B538:D538,'02_Eingaben'!$C$13))</f>
        <v/>
      </c>
      <c r="D538" s="27">
        <f>IF(C538="","",C538*'02_Eingaben'!$C$15)</f>
        <v/>
      </c>
      <c r="E538" s="27">
        <f>IF(D538="","",D538*'02_Eingaben'!$C$8)</f>
        <v/>
      </c>
      <c r="F538" s="27">
        <f>IF(E538="","",AVERAGE(INDEX($E$2:$E$3001,MAX(1,ROW()-1-'02_Eingaben'!$C$17)):INDEX($E$2:$E$3001,MIN('02_Eingaben'!$C$21,ROW()-1+'02_Eingaben'!$C$17))))</f>
        <v/>
      </c>
      <c r="G538" s="27">
        <f>IF(F538="","",F538-'02_Eingaben'!$C$10)</f>
        <v/>
      </c>
      <c r="H538">
        <f>IF(F538="","",IF(F538&lt;'02_Eingaben'!$C$18*'02_Eingaben'!$C$10,1,0))</f>
        <v/>
      </c>
      <c r="I538" s="27">
        <f>IF(OR(G538="",G539=""),"",(G538+G539)/2*(B539-B538))</f>
        <v/>
      </c>
      <c r="J538" s="27">
        <f>IF(B538="","",IF(B537&lt;'02_Eingaben'!$C$36,0,J537+I537/'02_Eingaben'!$C$8))</f>
        <v/>
      </c>
    </row>
    <row r="539">
      <c r="A539">
        <f>IF('01_Rohdaten'!A539="","",ROW()-1)</f>
        <v/>
      </c>
      <c r="B539" s="27">
        <f>IF('01_Rohdaten'!A539="","",'01_Rohdaten'!A539)</f>
        <v/>
      </c>
      <c r="C539" s="27">
        <f>IF(B539="","",INDEX('01_Rohdaten'!B539:D539,'02_Eingaben'!$C$13))</f>
        <v/>
      </c>
      <c r="D539" s="27">
        <f>IF(C539="","",C539*'02_Eingaben'!$C$15)</f>
        <v/>
      </c>
      <c r="E539" s="27">
        <f>IF(D539="","",D539*'02_Eingaben'!$C$8)</f>
        <v/>
      </c>
      <c r="F539" s="27">
        <f>IF(E539="","",AVERAGE(INDEX($E$2:$E$3001,MAX(1,ROW()-1-'02_Eingaben'!$C$17)):INDEX($E$2:$E$3001,MIN('02_Eingaben'!$C$21,ROW()-1+'02_Eingaben'!$C$17))))</f>
        <v/>
      </c>
      <c r="G539" s="27">
        <f>IF(F539="","",F539-'02_Eingaben'!$C$10)</f>
        <v/>
      </c>
      <c r="H539">
        <f>IF(F539="","",IF(F539&lt;'02_Eingaben'!$C$18*'02_Eingaben'!$C$10,1,0))</f>
        <v/>
      </c>
      <c r="I539" s="27">
        <f>IF(OR(G539="",G540=""),"",(G539+G540)/2*(B540-B539))</f>
        <v/>
      </c>
      <c r="J539" s="27">
        <f>IF(B539="","",IF(B538&lt;'02_Eingaben'!$C$36,0,J538+I538/'02_Eingaben'!$C$8))</f>
        <v/>
      </c>
    </row>
    <row r="540">
      <c r="A540">
        <f>IF('01_Rohdaten'!A540="","",ROW()-1)</f>
        <v/>
      </c>
      <c r="B540" s="27">
        <f>IF('01_Rohdaten'!A540="","",'01_Rohdaten'!A540)</f>
        <v/>
      </c>
      <c r="C540" s="27">
        <f>IF(B540="","",INDEX('01_Rohdaten'!B540:D540,'02_Eingaben'!$C$13))</f>
        <v/>
      </c>
      <c r="D540" s="27">
        <f>IF(C540="","",C540*'02_Eingaben'!$C$15)</f>
        <v/>
      </c>
      <c r="E540" s="27">
        <f>IF(D540="","",D540*'02_Eingaben'!$C$8)</f>
        <v/>
      </c>
      <c r="F540" s="27">
        <f>IF(E540="","",AVERAGE(INDEX($E$2:$E$3001,MAX(1,ROW()-1-'02_Eingaben'!$C$17)):INDEX($E$2:$E$3001,MIN('02_Eingaben'!$C$21,ROW()-1+'02_Eingaben'!$C$17))))</f>
        <v/>
      </c>
      <c r="G540" s="27">
        <f>IF(F540="","",F540-'02_Eingaben'!$C$10)</f>
        <v/>
      </c>
      <c r="H540">
        <f>IF(F540="","",IF(F540&lt;'02_Eingaben'!$C$18*'02_Eingaben'!$C$10,1,0))</f>
        <v/>
      </c>
      <c r="I540" s="27">
        <f>IF(OR(G540="",G541=""),"",(G540+G541)/2*(B541-B540))</f>
        <v/>
      </c>
      <c r="J540" s="27">
        <f>IF(B540="","",IF(B539&lt;'02_Eingaben'!$C$36,0,J539+I539/'02_Eingaben'!$C$8))</f>
        <v/>
      </c>
    </row>
    <row r="541">
      <c r="A541">
        <f>IF('01_Rohdaten'!A541="","",ROW()-1)</f>
        <v/>
      </c>
      <c r="B541" s="27">
        <f>IF('01_Rohdaten'!A541="","",'01_Rohdaten'!A541)</f>
        <v/>
      </c>
      <c r="C541" s="27">
        <f>IF(B541="","",INDEX('01_Rohdaten'!B541:D541,'02_Eingaben'!$C$13))</f>
        <v/>
      </c>
      <c r="D541" s="27">
        <f>IF(C541="","",C541*'02_Eingaben'!$C$15)</f>
        <v/>
      </c>
      <c r="E541" s="27">
        <f>IF(D541="","",D541*'02_Eingaben'!$C$8)</f>
        <v/>
      </c>
      <c r="F541" s="27">
        <f>IF(E541="","",AVERAGE(INDEX($E$2:$E$3001,MAX(1,ROW()-1-'02_Eingaben'!$C$17)):INDEX($E$2:$E$3001,MIN('02_Eingaben'!$C$21,ROW()-1+'02_Eingaben'!$C$17))))</f>
        <v/>
      </c>
      <c r="G541" s="27">
        <f>IF(F541="","",F541-'02_Eingaben'!$C$10)</f>
        <v/>
      </c>
      <c r="H541">
        <f>IF(F541="","",IF(F541&lt;'02_Eingaben'!$C$18*'02_Eingaben'!$C$10,1,0))</f>
        <v/>
      </c>
      <c r="I541" s="27">
        <f>IF(OR(G541="",G542=""),"",(G541+G542)/2*(B542-B541))</f>
        <v/>
      </c>
      <c r="J541" s="27">
        <f>IF(B541="","",IF(B540&lt;'02_Eingaben'!$C$36,0,J540+I540/'02_Eingaben'!$C$8))</f>
        <v/>
      </c>
    </row>
    <row r="542">
      <c r="A542">
        <f>IF('01_Rohdaten'!A542="","",ROW()-1)</f>
        <v/>
      </c>
      <c r="B542" s="27">
        <f>IF('01_Rohdaten'!A542="","",'01_Rohdaten'!A542)</f>
        <v/>
      </c>
      <c r="C542" s="27">
        <f>IF(B542="","",INDEX('01_Rohdaten'!B542:D542,'02_Eingaben'!$C$13))</f>
        <v/>
      </c>
      <c r="D542" s="27">
        <f>IF(C542="","",C542*'02_Eingaben'!$C$15)</f>
        <v/>
      </c>
      <c r="E542" s="27">
        <f>IF(D542="","",D542*'02_Eingaben'!$C$8)</f>
        <v/>
      </c>
      <c r="F542" s="27">
        <f>IF(E542="","",AVERAGE(INDEX($E$2:$E$3001,MAX(1,ROW()-1-'02_Eingaben'!$C$17)):INDEX($E$2:$E$3001,MIN('02_Eingaben'!$C$21,ROW()-1+'02_Eingaben'!$C$17))))</f>
        <v/>
      </c>
      <c r="G542" s="27">
        <f>IF(F542="","",F542-'02_Eingaben'!$C$10)</f>
        <v/>
      </c>
      <c r="H542">
        <f>IF(F542="","",IF(F542&lt;'02_Eingaben'!$C$18*'02_Eingaben'!$C$10,1,0))</f>
        <v/>
      </c>
      <c r="I542" s="27">
        <f>IF(OR(G542="",G543=""),"",(G542+G543)/2*(B543-B542))</f>
        <v/>
      </c>
      <c r="J542" s="27">
        <f>IF(B542="","",IF(B541&lt;'02_Eingaben'!$C$36,0,J541+I541/'02_Eingaben'!$C$8))</f>
        <v/>
      </c>
    </row>
    <row r="543">
      <c r="A543">
        <f>IF('01_Rohdaten'!A543="","",ROW()-1)</f>
        <v/>
      </c>
      <c r="B543" s="27">
        <f>IF('01_Rohdaten'!A543="","",'01_Rohdaten'!A543)</f>
        <v/>
      </c>
      <c r="C543" s="27">
        <f>IF(B543="","",INDEX('01_Rohdaten'!B543:D543,'02_Eingaben'!$C$13))</f>
        <v/>
      </c>
      <c r="D543" s="27">
        <f>IF(C543="","",C543*'02_Eingaben'!$C$15)</f>
        <v/>
      </c>
      <c r="E543" s="27">
        <f>IF(D543="","",D543*'02_Eingaben'!$C$8)</f>
        <v/>
      </c>
      <c r="F543" s="27">
        <f>IF(E543="","",AVERAGE(INDEX($E$2:$E$3001,MAX(1,ROW()-1-'02_Eingaben'!$C$17)):INDEX($E$2:$E$3001,MIN('02_Eingaben'!$C$21,ROW()-1+'02_Eingaben'!$C$17))))</f>
        <v/>
      </c>
      <c r="G543" s="27">
        <f>IF(F543="","",F543-'02_Eingaben'!$C$10)</f>
        <v/>
      </c>
      <c r="H543">
        <f>IF(F543="","",IF(F543&lt;'02_Eingaben'!$C$18*'02_Eingaben'!$C$10,1,0))</f>
        <v/>
      </c>
      <c r="I543" s="27">
        <f>IF(OR(G543="",G544=""),"",(G543+G544)/2*(B544-B543))</f>
        <v/>
      </c>
      <c r="J543" s="27">
        <f>IF(B543="","",IF(B542&lt;'02_Eingaben'!$C$36,0,J542+I542/'02_Eingaben'!$C$8))</f>
        <v/>
      </c>
    </row>
    <row r="544">
      <c r="A544">
        <f>IF('01_Rohdaten'!A544="","",ROW()-1)</f>
        <v/>
      </c>
      <c r="B544" s="27">
        <f>IF('01_Rohdaten'!A544="","",'01_Rohdaten'!A544)</f>
        <v/>
      </c>
      <c r="C544" s="27">
        <f>IF(B544="","",INDEX('01_Rohdaten'!B544:D544,'02_Eingaben'!$C$13))</f>
        <v/>
      </c>
      <c r="D544" s="27">
        <f>IF(C544="","",C544*'02_Eingaben'!$C$15)</f>
        <v/>
      </c>
      <c r="E544" s="27">
        <f>IF(D544="","",D544*'02_Eingaben'!$C$8)</f>
        <v/>
      </c>
      <c r="F544" s="27">
        <f>IF(E544="","",AVERAGE(INDEX($E$2:$E$3001,MAX(1,ROW()-1-'02_Eingaben'!$C$17)):INDEX($E$2:$E$3001,MIN('02_Eingaben'!$C$21,ROW()-1+'02_Eingaben'!$C$17))))</f>
        <v/>
      </c>
      <c r="G544" s="27">
        <f>IF(F544="","",F544-'02_Eingaben'!$C$10)</f>
        <v/>
      </c>
      <c r="H544">
        <f>IF(F544="","",IF(F544&lt;'02_Eingaben'!$C$18*'02_Eingaben'!$C$10,1,0))</f>
        <v/>
      </c>
      <c r="I544" s="27">
        <f>IF(OR(G544="",G545=""),"",(G544+G545)/2*(B545-B544))</f>
        <v/>
      </c>
      <c r="J544" s="27">
        <f>IF(B544="","",IF(B543&lt;'02_Eingaben'!$C$36,0,J543+I543/'02_Eingaben'!$C$8))</f>
        <v/>
      </c>
    </row>
    <row r="545">
      <c r="A545">
        <f>IF('01_Rohdaten'!A545="","",ROW()-1)</f>
        <v/>
      </c>
      <c r="B545" s="27">
        <f>IF('01_Rohdaten'!A545="","",'01_Rohdaten'!A545)</f>
        <v/>
      </c>
      <c r="C545" s="27">
        <f>IF(B545="","",INDEX('01_Rohdaten'!B545:D545,'02_Eingaben'!$C$13))</f>
        <v/>
      </c>
      <c r="D545" s="27">
        <f>IF(C545="","",C545*'02_Eingaben'!$C$15)</f>
        <v/>
      </c>
      <c r="E545" s="27">
        <f>IF(D545="","",D545*'02_Eingaben'!$C$8)</f>
        <v/>
      </c>
      <c r="F545" s="27">
        <f>IF(E545="","",AVERAGE(INDEX($E$2:$E$3001,MAX(1,ROW()-1-'02_Eingaben'!$C$17)):INDEX($E$2:$E$3001,MIN('02_Eingaben'!$C$21,ROW()-1+'02_Eingaben'!$C$17))))</f>
        <v/>
      </c>
      <c r="G545" s="27">
        <f>IF(F545="","",F545-'02_Eingaben'!$C$10)</f>
        <v/>
      </c>
      <c r="H545">
        <f>IF(F545="","",IF(F545&lt;'02_Eingaben'!$C$18*'02_Eingaben'!$C$10,1,0))</f>
        <v/>
      </c>
      <c r="I545" s="27">
        <f>IF(OR(G545="",G546=""),"",(G545+G546)/2*(B546-B545))</f>
        <v/>
      </c>
      <c r="J545" s="27">
        <f>IF(B545="","",IF(B544&lt;'02_Eingaben'!$C$36,0,J544+I544/'02_Eingaben'!$C$8))</f>
        <v/>
      </c>
    </row>
    <row r="546">
      <c r="A546">
        <f>IF('01_Rohdaten'!A546="","",ROW()-1)</f>
        <v/>
      </c>
      <c r="B546" s="27">
        <f>IF('01_Rohdaten'!A546="","",'01_Rohdaten'!A546)</f>
        <v/>
      </c>
      <c r="C546" s="27">
        <f>IF(B546="","",INDEX('01_Rohdaten'!B546:D546,'02_Eingaben'!$C$13))</f>
        <v/>
      </c>
      <c r="D546" s="27">
        <f>IF(C546="","",C546*'02_Eingaben'!$C$15)</f>
        <v/>
      </c>
      <c r="E546" s="27">
        <f>IF(D546="","",D546*'02_Eingaben'!$C$8)</f>
        <v/>
      </c>
      <c r="F546" s="27">
        <f>IF(E546="","",AVERAGE(INDEX($E$2:$E$3001,MAX(1,ROW()-1-'02_Eingaben'!$C$17)):INDEX($E$2:$E$3001,MIN('02_Eingaben'!$C$21,ROW()-1+'02_Eingaben'!$C$17))))</f>
        <v/>
      </c>
      <c r="G546" s="27">
        <f>IF(F546="","",F546-'02_Eingaben'!$C$10)</f>
        <v/>
      </c>
      <c r="H546">
        <f>IF(F546="","",IF(F546&lt;'02_Eingaben'!$C$18*'02_Eingaben'!$C$10,1,0))</f>
        <v/>
      </c>
      <c r="I546" s="27">
        <f>IF(OR(G546="",G547=""),"",(G546+G547)/2*(B547-B546))</f>
        <v/>
      </c>
      <c r="J546" s="27">
        <f>IF(B546="","",IF(B545&lt;'02_Eingaben'!$C$36,0,J545+I545/'02_Eingaben'!$C$8))</f>
        <v/>
      </c>
    </row>
    <row r="547">
      <c r="A547">
        <f>IF('01_Rohdaten'!A547="","",ROW()-1)</f>
        <v/>
      </c>
      <c r="B547" s="27">
        <f>IF('01_Rohdaten'!A547="","",'01_Rohdaten'!A547)</f>
        <v/>
      </c>
      <c r="C547" s="27">
        <f>IF(B547="","",INDEX('01_Rohdaten'!B547:D547,'02_Eingaben'!$C$13))</f>
        <v/>
      </c>
      <c r="D547" s="27">
        <f>IF(C547="","",C547*'02_Eingaben'!$C$15)</f>
        <v/>
      </c>
      <c r="E547" s="27">
        <f>IF(D547="","",D547*'02_Eingaben'!$C$8)</f>
        <v/>
      </c>
      <c r="F547" s="27">
        <f>IF(E547="","",AVERAGE(INDEX($E$2:$E$3001,MAX(1,ROW()-1-'02_Eingaben'!$C$17)):INDEX($E$2:$E$3001,MIN('02_Eingaben'!$C$21,ROW()-1+'02_Eingaben'!$C$17))))</f>
        <v/>
      </c>
      <c r="G547" s="27">
        <f>IF(F547="","",F547-'02_Eingaben'!$C$10)</f>
        <v/>
      </c>
      <c r="H547">
        <f>IF(F547="","",IF(F547&lt;'02_Eingaben'!$C$18*'02_Eingaben'!$C$10,1,0))</f>
        <v/>
      </c>
      <c r="I547" s="27">
        <f>IF(OR(G547="",G548=""),"",(G547+G548)/2*(B548-B547))</f>
        <v/>
      </c>
      <c r="J547" s="27">
        <f>IF(B547="","",IF(B546&lt;'02_Eingaben'!$C$36,0,J546+I546/'02_Eingaben'!$C$8))</f>
        <v/>
      </c>
    </row>
    <row r="548">
      <c r="A548">
        <f>IF('01_Rohdaten'!A548="","",ROW()-1)</f>
        <v/>
      </c>
      <c r="B548" s="27">
        <f>IF('01_Rohdaten'!A548="","",'01_Rohdaten'!A548)</f>
        <v/>
      </c>
      <c r="C548" s="27">
        <f>IF(B548="","",INDEX('01_Rohdaten'!B548:D548,'02_Eingaben'!$C$13))</f>
        <v/>
      </c>
      <c r="D548" s="27">
        <f>IF(C548="","",C548*'02_Eingaben'!$C$15)</f>
        <v/>
      </c>
      <c r="E548" s="27">
        <f>IF(D548="","",D548*'02_Eingaben'!$C$8)</f>
        <v/>
      </c>
      <c r="F548" s="27">
        <f>IF(E548="","",AVERAGE(INDEX($E$2:$E$3001,MAX(1,ROW()-1-'02_Eingaben'!$C$17)):INDEX($E$2:$E$3001,MIN('02_Eingaben'!$C$21,ROW()-1+'02_Eingaben'!$C$17))))</f>
        <v/>
      </c>
      <c r="G548" s="27">
        <f>IF(F548="","",F548-'02_Eingaben'!$C$10)</f>
        <v/>
      </c>
      <c r="H548">
        <f>IF(F548="","",IF(F548&lt;'02_Eingaben'!$C$18*'02_Eingaben'!$C$10,1,0))</f>
        <v/>
      </c>
      <c r="I548" s="27">
        <f>IF(OR(G548="",G549=""),"",(G548+G549)/2*(B549-B548))</f>
        <v/>
      </c>
      <c r="J548" s="27">
        <f>IF(B548="","",IF(B547&lt;'02_Eingaben'!$C$36,0,J547+I547/'02_Eingaben'!$C$8))</f>
        <v/>
      </c>
    </row>
    <row r="549">
      <c r="A549">
        <f>IF('01_Rohdaten'!A549="","",ROW()-1)</f>
        <v/>
      </c>
      <c r="B549" s="27">
        <f>IF('01_Rohdaten'!A549="","",'01_Rohdaten'!A549)</f>
        <v/>
      </c>
      <c r="C549" s="27">
        <f>IF(B549="","",INDEX('01_Rohdaten'!B549:D549,'02_Eingaben'!$C$13))</f>
        <v/>
      </c>
      <c r="D549" s="27">
        <f>IF(C549="","",C549*'02_Eingaben'!$C$15)</f>
        <v/>
      </c>
      <c r="E549" s="27">
        <f>IF(D549="","",D549*'02_Eingaben'!$C$8)</f>
        <v/>
      </c>
      <c r="F549" s="27">
        <f>IF(E549="","",AVERAGE(INDEX($E$2:$E$3001,MAX(1,ROW()-1-'02_Eingaben'!$C$17)):INDEX($E$2:$E$3001,MIN('02_Eingaben'!$C$21,ROW()-1+'02_Eingaben'!$C$17))))</f>
        <v/>
      </c>
      <c r="G549" s="27">
        <f>IF(F549="","",F549-'02_Eingaben'!$C$10)</f>
        <v/>
      </c>
      <c r="H549">
        <f>IF(F549="","",IF(F549&lt;'02_Eingaben'!$C$18*'02_Eingaben'!$C$10,1,0))</f>
        <v/>
      </c>
      <c r="I549" s="27">
        <f>IF(OR(G549="",G550=""),"",(G549+G550)/2*(B550-B549))</f>
        <v/>
      </c>
      <c r="J549" s="27">
        <f>IF(B549="","",IF(B548&lt;'02_Eingaben'!$C$36,0,J548+I548/'02_Eingaben'!$C$8))</f>
        <v/>
      </c>
    </row>
    <row r="550">
      <c r="A550">
        <f>IF('01_Rohdaten'!A550="","",ROW()-1)</f>
        <v/>
      </c>
      <c r="B550" s="27">
        <f>IF('01_Rohdaten'!A550="","",'01_Rohdaten'!A550)</f>
        <v/>
      </c>
      <c r="C550" s="27">
        <f>IF(B550="","",INDEX('01_Rohdaten'!B550:D550,'02_Eingaben'!$C$13))</f>
        <v/>
      </c>
      <c r="D550" s="27">
        <f>IF(C550="","",C550*'02_Eingaben'!$C$15)</f>
        <v/>
      </c>
      <c r="E550" s="27">
        <f>IF(D550="","",D550*'02_Eingaben'!$C$8)</f>
        <v/>
      </c>
      <c r="F550" s="27">
        <f>IF(E550="","",AVERAGE(INDEX($E$2:$E$3001,MAX(1,ROW()-1-'02_Eingaben'!$C$17)):INDEX($E$2:$E$3001,MIN('02_Eingaben'!$C$21,ROW()-1+'02_Eingaben'!$C$17))))</f>
        <v/>
      </c>
      <c r="G550" s="27">
        <f>IF(F550="","",F550-'02_Eingaben'!$C$10)</f>
        <v/>
      </c>
      <c r="H550">
        <f>IF(F550="","",IF(F550&lt;'02_Eingaben'!$C$18*'02_Eingaben'!$C$10,1,0))</f>
        <v/>
      </c>
      <c r="I550" s="27">
        <f>IF(OR(G550="",G551=""),"",(G550+G551)/2*(B551-B550))</f>
        <v/>
      </c>
      <c r="J550" s="27">
        <f>IF(B550="","",IF(B549&lt;'02_Eingaben'!$C$36,0,J549+I549/'02_Eingaben'!$C$8))</f>
        <v/>
      </c>
    </row>
    <row r="551">
      <c r="A551">
        <f>IF('01_Rohdaten'!A551="","",ROW()-1)</f>
        <v/>
      </c>
      <c r="B551" s="27">
        <f>IF('01_Rohdaten'!A551="","",'01_Rohdaten'!A551)</f>
        <v/>
      </c>
      <c r="C551" s="27">
        <f>IF(B551="","",INDEX('01_Rohdaten'!B551:D551,'02_Eingaben'!$C$13))</f>
        <v/>
      </c>
      <c r="D551" s="27">
        <f>IF(C551="","",C551*'02_Eingaben'!$C$15)</f>
        <v/>
      </c>
      <c r="E551" s="27">
        <f>IF(D551="","",D551*'02_Eingaben'!$C$8)</f>
        <v/>
      </c>
      <c r="F551" s="27">
        <f>IF(E551="","",AVERAGE(INDEX($E$2:$E$3001,MAX(1,ROW()-1-'02_Eingaben'!$C$17)):INDEX($E$2:$E$3001,MIN('02_Eingaben'!$C$21,ROW()-1+'02_Eingaben'!$C$17))))</f>
        <v/>
      </c>
      <c r="G551" s="27">
        <f>IF(F551="","",F551-'02_Eingaben'!$C$10)</f>
        <v/>
      </c>
      <c r="H551">
        <f>IF(F551="","",IF(F551&lt;'02_Eingaben'!$C$18*'02_Eingaben'!$C$10,1,0))</f>
        <v/>
      </c>
      <c r="I551" s="27">
        <f>IF(OR(G551="",G552=""),"",(G551+G552)/2*(B552-B551))</f>
        <v/>
      </c>
      <c r="J551" s="27">
        <f>IF(B551="","",IF(B550&lt;'02_Eingaben'!$C$36,0,J550+I550/'02_Eingaben'!$C$8))</f>
        <v/>
      </c>
    </row>
    <row r="552">
      <c r="A552">
        <f>IF('01_Rohdaten'!A552="","",ROW()-1)</f>
        <v/>
      </c>
      <c r="B552" s="27">
        <f>IF('01_Rohdaten'!A552="","",'01_Rohdaten'!A552)</f>
        <v/>
      </c>
      <c r="C552" s="27">
        <f>IF(B552="","",INDEX('01_Rohdaten'!B552:D552,'02_Eingaben'!$C$13))</f>
        <v/>
      </c>
      <c r="D552" s="27">
        <f>IF(C552="","",C552*'02_Eingaben'!$C$15)</f>
        <v/>
      </c>
      <c r="E552" s="27">
        <f>IF(D552="","",D552*'02_Eingaben'!$C$8)</f>
        <v/>
      </c>
      <c r="F552" s="27">
        <f>IF(E552="","",AVERAGE(INDEX($E$2:$E$3001,MAX(1,ROW()-1-'02_Eingaben'!$C$17)):INDEX($E$2:$E$3001,MIN('02_Eingaben'!$C$21,ROW()-1+'02_Eingaben'!$C$17))))</f>
        <v/>
      </c>
      <c r="G552" s="27">
        <f>IF(F552="","",F552-'02_Eingaben'!$C$10)</f>
        <v/>
      </c>
      <c r="H552">
        <f>IF(F552="","",IF(F552&lt;'02_Eingaben'!$C$18*'02_Eingaben'!$C$10,1,0))</f>
        <v/>
      </c>
      <c r="I552" s="27">
        <f>IF(OR(G552="",G553=""),"",(G552+G553)/2*(B553-B552))</f>
        <v/>
      </c>
      <c r="J552" s="27">
        <f>IF(B552="","",IF(B551&lt;'02_Eingaben'!$C$36,0,J551+I551/'02_Eingaben'!$C$8))</f>
        <v/>
      </c>
    </row>
    <row r="553">
      <c r="A553">
        <f>IF('01_Rohdaten'!A553="","",ROW()-1)</f>
        <v/>
      </c>
      <c r="B553" s="27">
        <f>IF('01_Rohdaten'!A553="","",'01_Rohdaten'!A553)</f>
        <v/>
      </c>
      <c r="C553" s="27">
        <f>IF(B553="","",INDEX('01_Rohdaten'!B553:D553,'02_Eingaben'!$C$13))</f>
        <v/>
      </c>
      <c r="D553" s="27">
        <f>IF(C553="","",C553*'02_Eingaben'!$C$15)</f>
        <v/>
      </c>
      <c r="E553" s="27">
        <f>IF(D553="","",D553*'02_Eingaben'!$C$8)</f>
        <v/>
      </c>
      <c r="F553" s="27">
        <f>IF(E553="","",AVERAGE(INDEX($E$2:$E$3001,MAX(1,ROW()-1-'02_Eingaben'!$C$17)):INDEX($E$2:$E$3001,MIN('02_Eingaben'!$C$21,ROW()-1+'02_Eingaben'!$C$17))))</f>
        <v/>
      </c>
      <c r="G553" s="27">
        <f>IF(F553="","",F553-'02_Eingaben'!$C$10)</f>
        <v/>
      </c>
      <c r="H553">
        <f>IF(F553="","",IF(F553&lt;'02_Eingaben'!$C$18*'02_Eingaben'!$C$10,1,0))</f>
        <v/>
      </c>
      <c r="I553" s="27">
        <f>IF(OR(G553="",G554=""),"",(G553+G554)/2*(B554-B553))</f>
        <v/>
      </c>
      <c r="J553" s="27">
        <f>IF(B553="","",IF(B552&lt;'02_Eingaben'!$C$36,0,J552+I552/'02_Eingaben'!$C$8))</f>
        <v/>
      </c>
    </row>
    <row r="554">
      <c r="A554">
        <f>IF('01_Rohdaten'!A554="","",ROW()-1)</f>
        <v/>
      </c>
      <c r="B554" s="27">
        <f>IF('01_Rohdaten'!A554="","",'01_Rohdaten'!A554)</f>
        <v/>
      </c>
      <c r="C554" s="27">
        <f>IF(B554="","",INDEX('01_Rohdaten'!B554:D554,'02_Eingaben'!$C$13))</f>
        <v/>
      </c>
      <c r="D554" s="27">
        <f>IF(C554="","",C554*'02_Eingaben'!$C$15)</f>
        <v/>
      </c>
      <c r="E554" s="27">
        <f>IF(D554="","",D554*'02_Eingaben'!$C$8)</f>
        <v/>
      </c>
      <c r="F554" s="27">
        <f>IF(E554="","",AVERAGE(INDEX($E$2:$E$3001,MAX(1,ROW()-1-'02_Eingaben'!$C$17)):INDEX($E$2:$E$3001,MIN('02_Eingaben'!$C$21,ROW()-1+'02_Eingaben'!$C$17))))</f>
        <v/>
      </c>
      <c r="G554" s="27">
        <f>IF(F554="","",F554-'02_Eingaben'!$C$10)</f>
        <v/>
      </c>
      <c r="H554">
        <f>IF(F554="","",IF(F554&lt;'02_Eingaben'!$C$18*'02_Eingaben'!$C$10,1,0))</f>
        <v/>
      </c>
      <c r="I554" s="27">
        <f>IF(OR(G554="",G555=""),"",(G554+G555)/2*(B555-B554))</f>
        <v/>
      </c>
      <c r="J554" s="27">
        <f>IF(B554="","",IF(B553&lt;'02_Eingaben'!$C$36,0,J553+I553/'02_Eingaben'!$C$8))</f>
        <v/>
      </c>
    </row>
    <row r="555">
      <c r="A555">
        <f>IF('01_Rohdaten'!A555="","",ROW()-1)</f>
        <v/>
      </c>
      <c r="B555" s="27">
        <f>IF('01_Rohdaten'!A555="","",'01_Rohdaten'!A555)</f>
        <v/>
      </c>
      <c r="C555" s="27">
        <f>IF(B555="","",INDEX('01_Rohdaten'!B555:D555,'02_Eingaben'!$C$13))</f>
        <v/>
      </c>
      <c r="D555" s="27">
        <f>IF(C555="","",C555*'02_Eingaben'!$C$15)</f>
        <v/>
      </c>
      <c r="E555" s="27">
        <f>IF(D555="","",D555*'02_Eingaben'!$C$8)</f>
        <v/>
      </c>
      <c r="F555" s="27">
        <f>IF(E555="","",AVERAGE(INDEX($E$2:$E$3001,MAX(1,ROW()-1-'02_Eingaben'!$C$17)):INDEX($E$2:$E$3001,MIN('02_Eingaben'!$C$21,ROW()-1+'02_Eingaben'!$C$17))))</f>
        <v/>
      </c>
      <c r="G555" s="27">
        <f>IF(F555="","",F555-'02_Eingaben'!$C$10)</f>
        <v/>
      </c>
      <c r="H555">
        <f>IF(F555="","",IF(F555&lt;'02_Eingaben'!$C$18*'02_Eingaben'!$C$10,1,0))</f>
        <v/>
      </c>
      <c r="I555" s="27">
        <f>IF(OR(G555="",G556=""),"",(G555+G556)/2*(B556-B555))</f>
        <v/>
      </c>
      <c r="J555" s="27">
        <f>IF(B555="","",IF(B554&lt;'02_Eingaben'!$C$36,0,J554+I554/'02_Eingaben'!$C$8))</f>
        <v/>
      </c>
    </row>
    <row r="556">
      <c r="A556">
        <f>IF('01_Rohdaten'!A556="","",ROW()-1)</f>
        <v/>
      </c>
      <c r="B556" s="27">
        <f>IF('01_Rohdaten'!A556="","",'01_Rohdaten'!A556)</f>
        <v/>
      </c>
      <c r="C556" s="27">
        <f>IF(B556="","",INDEX('01_Rohdaten'!B556:D556,'02_Eingaben'!$C$13))</f>
        <v/>
      </c>
      <c r="D556" s="27">
        <f>IF(C556="","",C556*'02_Eingaben'!$C$15)</f>
        <v/>
      </c>
      <c r="E556" s="27">
        <f>IF(D556="","",D556*'02_Eingaben'!$C$8)</f>
        <v/>
      </c>
      <c r="F556" s="27">
        <f>IF(E556="","",AVERAGE(INDEX($E$2:$E$3001,MAX(1,ROW()-1-'02_Eingaben'!$C$17)):INDEX($E$2:$E$3001,MIN('02_Eingaben'!$C$21,ROW()-1+'02_Eingaben'!$C$17))))</f>
        <v/>
      </c>
      <c r="G556" s="27">
        <f>IF(F556="","",F556-'02_Eingaben'!$C$10)</f>
        <v/>
      </c>
      <c r="H556">
        <f>IF(F556="","",IF(F556&lt;'02_Eingaben'!$C$18*'02_Eingaben'!$C$10,1,0))</f>
        <v/>
      </c>
      <c r="I556" s="27">
        <f>IF(OR(G556="",G557=""),"",(G556+G557)/2*(B557-B556))</f>
        <v/>
      </c>
      <c r="J556" s="27">
        <f>IF(B556="","",IF(B555&lt;'02_Eingaben'!$C$36,0,J555+I555/'02_Eingaben'!$C$8))</f>
        <v/>
      </c>
    </row>
    <row r="557">
      <c r="A557">
        <f>IF('01_Rohdaten'!A557="","",ROW()-1)</f>
        <v/>
      </c>
      <c r="B557" s="27">
        <f>IF('01_Rohdaten'!A557="","",'01_Rohdaten'!A557)</f>
        <v/>
      </c>
      <c r="C557" s="27">
        <f>IF(B557="","",INDEX('01_Rohdaten'!B557:D557,'02_Eingaben'!$C$13))</f>
        <v/>
      </c>
      <c r="D557" s="27">
        <f>IF(C557="","",C557*'02_Eingaben'!$C$15)</f>
        <v/>
      </c>
      <c r="E557" s="27">
        <f>IF(D557="","",D557*'02_Eingaben'!$C$8)</f>
        <v/>
      </c>
      <c r="F557" s="27">
        <f>IF(E557="","",AVERAGE(INDEX($E$2:$E$3001,MAX(1,ROW()-1-'02_Eingaben'!$C$17)):INDEX($E$2:$E$3001,MIN('02_Eingaben'!$C$21,ROW()-1+'02_Eingaben'!$C$17))))</f>
        <v/>
      </c>
      <c r="G557" s="27">
        <f>IF(F557="","",F557-'02_Eingaben'!$C$10)</f>
        <v/>
      </c>
      <c r="H557">
        <f>IF(F557="","",IF(F557&lt;'02_Eingaben'!$C$18*'02_Eingaben'!$C$10,1,0))</f>
        <v/>
      </c>
      <c r="I557" s="27">
        <f>IF(OR(G557="",G558=""),"",(G557+G558)/2*(B558-B557))</f>
        <v/>
      </c>
      <c r="J557" s="27">
        <f>IF(B557="","",IF(B556&lt;'02_Eingaben'!$C$36,0,J556+I556/'02_Eingaben'!$C$8))</f>
        <v/>
      </c>
    </row>
    <row r="558">
      <c r="A558">
        <f>IF('01_Rohdaten'!A558="","",ROW()-1)</f>
        <v/>
      </c>
      <c r="B558" s="27">
        <f>IF('01_Rohdaten'!A558="","",'01_Rohdaten'!A558)</f>
        <v/>
      </c>
      <c r="C558" s="27">
        <f>IF(B558="","",INDEX('01_Rohdaten'!B558:D558,'02_Eingaben'!$C$13))</f>
        <v/>
      </c>
      <c r="D558" s="27">
        <f>IF(C558="","",C558*'02_Eingaben'!$C$15)</f>
        <v/>
      </c>
      <c r="E558" s="27">
        <f>IF(D558="","",D558*'02_Eingaben'!$C$8)</f>
        <v/>
      </c>
      <c r="F558" s="27">
        <f>IF(E558="","",AVERAGE(INDEX($E$2:$E$3001,MAX(1,ROW()-1-'02_Eingaben'!$C$17)):INDEX($E$2:$E$3001,MIN('02_Eingaben'!$C$21,ROW()-1+'02_Eingaben'!$C$17))))</f>
        <v/>
      </c>
      <c r="G558" s="27">
        <f>IF(F558="","",F558-'02_Eingaben'!$C$10)</f>
        <v/>
      </c>
      <c r="H558">
        <f>IF(F558="","",IF(F558&lt;'02_Eingaben'!$C$18*'02_Eingaben'!$C$10,1,0))</f>
        <v/>
      </c>
      <c r="I558" s="27">
        <f>IF(OR(G558="",G559=""),"",(G558+G559)/2*(B559-B558))</f>
        <v/>
      </c>
      <c r="J558" s="27">
        <f>IF(B558="","",IF(B557&lt;'02_Eingaben'!$C$36,0,J557+I557/'02_Eingaben'!$C$8))</f>
        <v/>
      </c>
    </row>
    <row r="559">
      <c r="A559">
        <f>IF('01_Rohdaten'!A559="","",ROW()-1)</f>
        <v/>
      </c>
      <c r="B559" s="27">
        <f>IF('01_Rohdaten'!A559="","",'01_Rohdaten'!A559)</f>
        <v/>
      </c>
      <c r="C559" s="27">
        <f>IF(B559="","",INDEX('01_Rohdaten'!B559:D559,'02_Eingaben'!$C$13))</f>
        <v/>
      </c>
      <c r="D559" s="27">
        <f>IF(C559="","",C559*'02_Eingaben'!$C$15)</f>
        <v/>
      </c>
      <c r="E559" s="27">
        <f>IF(D559="","",D559*'02_Eingaben'!$C$8)</f>
        <v/>
      </c>
      <c r="F559" s="27">
        <f>IF(E559="","",AVERAGE(INDEX($E$2:$E$3001,MAX(1,ROW()-1-'02_Eingaben'!$C$17)):INDEX($E$2:$E$3001,MIN('02_Eingaben'!$C$21,ROW()-1+'02_Eingaben'!$C$17))))</f>
        <v/>
      </c>
      <c r="G559" s="27">
        <f>IF(F559="","",F559-'02_Eingaben'!$C$10)</f>
        <v/>
      </c>
      <c r="H559">
        <f>IF(F559="","",IF(F559&lt;'02_Eingaben'!$C$18*'02_Eingaben'!$C$10,1,0))</f>
        <v/>
      </c>
      <c r="I559" s="27">
        <f>IF(OR(G559="",G560=""),"",(G559+G560)/2*(B560-B559))</f>
        <v/>
      </c>
      <c r="J559" s="27">
        <f>IF(B559="","",IF(B558&lt;'02_Eingaben'!$C$36,0,J558+I558/'02_Eingaben'!$C$8))</f>
        <v/>
      </c>
    </row>
    <row r="560">
      <c r="A560">
        <f>IF('01_Rohdaten'!A560="","",ROW()-1)</f>
        <v/>
      </c>
      <c r="B560" s="27">
        <f>IF('01_Rohdaten'!A560="","",'01_Rohdaten'!A560)</f>
        <v/>
      </c>
      <c r="C560" s="27">
        <f>IF(B560="","",INDEX('01_Rohdaten'!B560:D560,'02_Eingaben'!$C$13))</f>
        <v/>
      </c>
      <c r="D560" s="27">
        <f>IF(C560="","",C560*'02_Eingaben'!$C$15)</f>
        <v/>
      </c>
      <c r="E560" s="27">
        <f>IF(D560="","",D560*'02_Eingaben'!$C$8)</f>
        <v/>
      </c>
      <c r="F560" s="27">
        <f>IF(E560="","",AVERAGE(INDEX($E$2:$E$3001,MAX(1,ROW()-1-'02_Eingaben'!$C$17)):INDEX($E$2:$E$3001,MIN('02_Eingaben'!$C$21,ROW()-1+'02_Eingaben'!$C$17))))</f>
        <v/>
      </c>
      <c r="G560" s="27">
        <f>IF(F560="","",F560-'02_Eingaben'!$C$10)</f>
        <v/>
      </c>
      <c r="H560">
        <f>IF(F560="","",IF(F560&lt;'02_Eingaben'!$C$18*'02_Eingaben'!$C$10,1,0))</f>
        <v/>
      </c>
      <c r="I560" s="27">
        <f>IF(OR(G560="",G561=""),"",(G560+G561)/2*(B561-B560))</f>
        <v/>
      </c>
      <c r="J560" s="27">
        <f>IF(B560="","",IF(B559&lt;'02_Eingaben'!$C$36,0,J559+I559/'02_Eingaben'!$C$8))</f>
        <v/>
      </c>
    </row>
    <row r="561">
      <c r="A561">
        <f>IF('01_Rohdaten'!A561="","",ROW()-1)</f>
        <v/>
      </c>
      <c r="B561" s="27">
        <f>IF('01_Rohdaten'!A561="","",'01_Rohdaten'!A561)</f>
        <v/>
      </c>
      <c r="C561" s="27">
        <f>IF(B561="","",INDEX('01_Rohdaten'!B561:D561,'02_Eingaben'!$C$13))</f>
        <v/>
      </c>
      <c r="D561" s="27">
        <f>IF(C561="","",C561*'02_Eingaben'!$C$15)</f>
        <v/>
      </c>
      <c r="E561" s="27">
        <f>IF(D561="","",D561*'02_Eingaben'!$C$8)</f>
        <v/>
      </c>
      <c r="F561" s="27">
        <f>IF(E561="","",AVERAGE(INDEX($E$2:$E$3001,MAX(1,ROW()-1-'02_Eingaben'!$C$17)):INDEX($E$2:$E$3001,MIN('02_Eingaben'!$C$21,ROW()-1+'02_Eingaben'!$C$17))))</f>
        <v/>
      </c>
      <c r="G561" s="27">
        <f>IF(F561="","",F561-'02_Eingaben'!$C$10)</f>
        <v/>
      </c>
      <c r="H561">
        <f>IF(F561="","",IF(F561&lt;'02_Eingaben'!$C$18*'02_Eingaben'!$C$10,1,0))</f>
        <v/>
      </c>
      <c r="I561" s="27">
        <f>IF(OR(G561="",G562=""),"",(G561+G562)/2*(B562-B561))</f>
        <v/>
      </c>
      <c r="J561" s="27">
        <f>IF(B561="","",IF(B560&lt;'02_Eingaben'!$C$36,0,J560+I560/'02_Eingaben'!$C$8))</f>
        <v/>
      </c>
    </row>
    <row r="562">
      <c r="A562">
        <f>IF('01_Rohdaten'!A562="","",ROW()-1)</f>
        <v/>
      </c>
      <c r="B562" s="27">
        <f>IF('01_Rohdaten'!A562="","",'01_Rohdaten'!A562)</f>
        <v/>
      </c>
      <c r="C562" s="27">
        <f>IF(B562="","",INDEX('01_Rohdaten'!B562:D562,'02_Eingaben'!$C$13))</f>
        <v/>
      </c>
      <c r="D562" s="27">
        <f>IF(C562="","",C562*'02_Eingaben'!$C$15)</f>
        <v/>
      </c>
      <c r="E562" s="27">
        <f>IF(D562="","",D562*'02_Eingaben'!$C$8)</f>
        <v/>
      </c>
      <c r="F562" s="27">
        <f>IF(E562="","",AVERAGE(INDEX($E$2:$E$3001,MAX(1,ROW()-1-'02_Eingaben'!$C$17)):INDEX($E$2:$E$3001,MIN('02_Eingaben'!$C$21,ROW()-1+'02_Eingaben'!$C$17))))</f>
        <v/>
      </c>
      <c r="G562" s="27">
        <f>IF(F562="","",F562-'02_Eingaben'!$C$10)</f>
        <v/>
      </c>
      <c r="H562">
        <f>IF(F562="","",IF(F562&lt;'02_Eingaben'!$C$18*'02_Eingaben'!$C$10,1,0))</f>
        <v/>
      </c>
      <c r="I562" s="27">
        <f>IF(OR(G562="",G563=""),"",(G562+G563)/2*(B563-B562))</f>
        <v/>
      </c>
      <c r="J562" s="27">
        <f>IF(B562="","",IF(B561&lt;'02_Eingaben'!$C$36,0,J561+I561/'02_Eingaben'!$C$8))</f>
        <v/>
      </c>
    </row>
    <row r="563">
      <c r="A563">
        <f>IF('01_Rohdaten'!A563="","",ROW()-1)</f>
        <v/>
      </c>
      <c r="B563" s="27">
        <f>IF('01_Rohdaten'!A563="","",'01_Rohdaten'!A563)</f>
        <v/>
      </c>
      <c r="C563" s="27">
        <f>IF(B563="","",INDEX('01_Rohdaten'!B563:D563,'02_Eingaben'!$C$13))</f>
        <v/>
      </c>
      <c r="D563" s="27">
        <f>IF(C563="","",C563*'02_Eingaben'!$C$15)</f>
        <v/>
      </c>
      <c r="E563" s="27">
        <f>IF(D563="","",D563*'02_Eingaben'!$C$8)</f>
        <v/>
      </c>
      <c r="F563" s="27">
        <f>IF(E563="","",AVERAGE(INDEX($E$2:$E$3001,MAX(1,ROW()-1-'02_Eingaben'!$C$17)):INDEX($E$2:$E$3001,MIN('02_Eingaben'!$C$21,ROW()-1+'02_Eingaben'!$C$17))))</f>
        <v/>
      </c>
      <c r="G563" s="27">
        <f>IF(F563="","",F563-'02_Eingaben'!$C$10)</f>
        <v/>
      </c>
      <c r="H563">
        <f>IF(F563="","",IF(F563&lt;'02_Eingaben'!$C$18*'02_Eingaben'!$C$10,1,0))</f>
        <v/>
      </c>
      <c r="I563" s="27">
        <f>IF(OR(G563="",G564=""),"",(G563+G564)/2*(B564-B563))</f>
        <v/>
      </c>
      <c r="J563" s="27">
        <f>IF(B563="","",IF(B562&lt;'02_Eingaben'!$C$36,0,J562+I562/'02_Eingaben'!$C$8))</f>
        <v/>
      </c>
    </row>
    <row r="564">
      <c r="A564">
        <f>IF('01_Rohdaten'!A564="","",ROW()-1)</f>
        <v/>
      </c>
      <c r="B564" s="27">
        <f>IF('01_Rohdaten'!A564="","",'01_Rohdaten'!A564)</f>
        <v/>
      </c>
      <c r="C564" s="27">
        <f>IF(B564="","",INDEX('01_Rohdaten'!B564:D564,'02_Eingaben'!$C$13))</f>
        <v/>
      </c>
      <c r="D564" s="27">
        <f>IF(C564="","",C564*'02_Eingaben'!$C$15)</f>
        <v/>
      </c>
      <c r="E564" s="27">
        <f>IF(D564="","",D564*'02_Eingaben'!$C$8)</f>
        <v/>
      </c>
      <c r="F564" s="27">
        <f>IF(E564="","",AVERAGE(INDEX($E$2:$E$3001,MAX(1,ROW()-1-'02_Eingaben'!$C$17)):INDEX($E$2:$E$3001,MIN('02_Eingaben'!$C$21,ROW()-1+'02_Eingaben'!$C$17))))</f>
        <v/>
      </c>
      <c r="G564" s="27">
        <f>IF(F564="","",F564-'02_Eingaben'!$C$10)</f>
        <v/>
      </c>
      <c r="H564">
        <f>IF(F564="","",IF(F564&lt;'02_Eingaben'!$C$18*'02_Eingaben'!$C$10,1,0))</f>
        <v/>
      </c>
      <c r="I564" s="27">
        <f>IF(OR(G564="",G565=""),"",(G564+G565)/2*(B565-B564))</f>
        <v/>
      </c>
      <c r="J564" s="27">
        <f>IF(B564="","",IF(B563&lt;'02_Eingaben'!$C$36,0,J563+I563/'02_Eingaben'!$C$8))</f>
        <v/>
      </c>
    </row>
    <row r="565">
      <c r="A565">
        <f>IF('01_Rohdaten'!A565="","",ROW()-1)</f>
        <v/>
      </c>
      <c r="B565" s="27">
        <f>IF('01_Rohdaten'!A565="","",'01_Rohdaten'!A565)</f>
        <v/>
      </c>
      <c r="C565" s="27">
        <f>IF(B565="","",INDEX('01_Rohdaten'!B565:D565,'02_Eingaben'!$C$13))</f>
        <v/>
      </c>
      <c r="D565" s="27">
        <f>IF(C565="","",C565*'02_Eingaben'!$C$15)</f>
        <v/>
      </c>
      <c r="E565" s="27">
        <f>IF(D565="","",D565*'02_Eingaben'!$C$8)</f>
        <v/>
      </c>
      <c r="F565" s="27">
        <f>IF(E565="","",AVERAGE(INDEX($E$2:$E$3001,MAX(1,ROW()-1-'02_Eingaben'!$C$17)):INDEX($E$2:$E$3001,MIN('02_Eingaben'!$C$21,ROW()-1+'02_Eingaben'!$C$17))))</f>
        <v/>
      </c>
      <c r="G565" s="27">
        <f>IF(F565="","",F565-'02_Eingaben'!$C$10)</f>
        <v/>
      </c>
      <c r="H565">
        <f>IF(F565="","",IF(F565&lt;'02_Eingaben'!$C$18*'02_Eingaben'!$C$10,1,0))</f>
        <v/>
      </c>
      <c r="I565" s="27">
        <f>IF(OR(G565="",G566=""),"",(G565+G566)/2*(B566-B565))</f>
        <v/>
      </c>
      <c r="J565" s="27">
        <f>IF(B565="","",IF(B564&lt;'02_Eingaben'!$C$36,0,J564+I564/'02_Eingaben'!$C$8))</f>
        <v/>
      </c>
    </row>
    <row r="566">
      <c r="A566">
        <f>IF('01_Rohdaten'!A566="","",ROW()-1)</f>
        <v/>
      </c>
      <c r="B566" s="27">
        <f>IF('01_Rohdaten'!A566="","",'01_Rohdaten'!A566)</f>
        <v/>
      </c>
      <c r="C566" s="27">
        <f>IF(B566="","",INDEX('01_Rohdaten'!B566:D566,'02_Eingaben'!$C$13))</f>
        <v/>
      </c>
      <c r="D566" s="27">
        <f>IF(C566="","",C566*'02_Eingaben'!$C$15)</f>
        <v/>
      </c>
      <c r="E566" s="27">
        <f>IF(D566="","",D566*'02_Eingaben'!$C$8)</f>
        <v/>
      </c>
      <c r="F566" s="27">
        <f>IF(E566="","",AVERAGE(INDEX($E$2:$E$3001,MAX(1,ROW()-1-'02_Eingaben'!$C$17)):INDEX($E$2:$E$3001,MIN('02_Eingaben'!$C$21,ROW()-1+'02_Eingaben'!$C$17))))</f>
        <v/>
      </c>
      <c r="G566" s="27">
        <f>IF(F566="","",F566-'02_Eingaben'!$C$10)</f>
        <v/>
      </c>
      <c r="H566">
        <f>IF(F566="","",IF(F566&lt;'02_Eingaben'!$C$18*'02_Eingaben'!$C$10,1,0))</f>
        <v/>
      </c>
      <c r="I566" s="27">
        <f>IF(OR(G566="",G567=""),"",(G566+G567)/2*(B567-B566))</f>
        <v/>
      </c>
      <c r="J566" s="27">
        <f>IF(B566="","",IF(B565&lt;'02_Eingaben'!$C$36,0,J565+I565/'02_Eingaben'!$C$8))</f>
        <v/>
      </c>
    </row>
    <row r="567">
      <c r="A567">
        <f>IF('01_Rohdaten'!A567="","",ROW()-1)</f>
        <v/>
      </c>
      <c r="B567" s="27">
        <f>IF('01_Rohdaten'!A567="","",'01_Rohdaten'!A567)</f>
        <v/>
      </c>
      <c r="C567" s="27">
        <f>IF(B567="","",INDEX('01_Rohdaten'!B567:D567,'02_Eingaben'!$C$13))</f>
        <v/>
      </c>
      <c r="D567" s="27">
        <f>IF(C567="","",C567*'02_Eingaben'!$C$15)</f>
        <v/>
      </c>
      <c r="E567" s="27">
        <f>IF(D567="","",D567*'02_Eingaben'!$C$8)</f>
        <v/>
      </c>
      <c r="F567" s="27">
        <f>IF(E567="","",AVERAGE(INDEX($E$2:$E$3001,MAX(1,ROW()-1-'02_Eingaben'!$C$17)):INDEX($E$2:$E$3001,MIN('02_Eingaben'!$C$21,ROW()-1+'02_Eingaben'!$C$17))))</f>
        <v/>
      </c>
      <c r="G567" s="27">
        <f>IF(F567="","",F567-'02_Eingaben'!$C$10)</f>
        <v/>
      </c>
      <c r="H567">
        <f>IF(F567="","",IF(F567&lt;'02_Eingaben'!$C$18*'02_Eingaben'!$C$10,1,0))</f>
        <v/>
      </c>
      <c r="I567" s="27">
        <f>IF(OR(G567="",G568=""),"",(G567+G568)/2*(B568-B567))</f>
        <v/>
      </c>
      <c r="J567" s="27">
        <f>IF(B567="","",IF(B566&lt;'02_Eingaben'!$C$36,0,J566+I566/'02_Eingaben'!$C$8))</f>
        <v/>
      </c>
    </row>
    <row r="568">
      <c r="A568">
        <f>IF('01_Rohdaten'!A568="","",ROW()-1)</f>
        <v/>
      </c>
      <c r="B568" s="27">
        <f>IF('01_Rohdaten'!A568="","",'01_Rohdaten'!A568)</f>
        <v/>
      </c>
      <c r="C568" s="27">
        <f>IF(B568="","",INDEX('01_Rohdaten'!B568:D568,'02_Eingaben'!$C$13))</f>
        <v/>
      </c>
      <c r="D568" s="27">
        <f>IF(C568="","",C568*'02_Eingaben'!$C$15)</f>
        <v/>
      </c>
      <c r="E568" s="27">
        <f>IF(D568="","",D568*'02_Eingaben'!$C$8)</f>
        <v/>
      </c>
      <c r="F568" s="27">
        <f>IF(E568="","",AVERAGE(INDEX($E$2:$E$3001,MAX(1,ROW()-1-'02_Eingaben'!$C$17)):INDEX($E$2:$E$3001,MIN('02_Eingaben'!$C$21,ROW()-1+'02_Eingaben'!$C$17))))</f>
        <v/>
      </c>
      <c r="G568" s="27">
        <f>IF(F568="","",F568-'02_Eingaben'!$C$10)</f>
        <v/>
      </c>
      <c r="H568">
        <f>IF(F568="","",IF(F568&lt;'02_Eingaben'!$C$18*'02_Eingaben'!$C$10,1,0))</f>
        <v/>
      </c>
      <c r="I568" s="27">
        <f>IF(OR(G568="",G569=""),"",(G568+G569)/2*(B569-B568))</f>
        <v/>
      </c>
      <c r="J568" s="27">
        <f>IF(B568="","",IF(B567&lt;'02_Eingaben'!$C$36,0,J567+I567/'02_Eingaben'!$C$8))</f>
        <v/>
      </c>
    </row>
    <row r="569">
      <c r="A569">
        <f>IF('01_Rohdaten'!A569="","",ROW()-1)</f>
        <v/>
      </c>
      <c r="B569" s="27">
        <f>IF('01_Rohdaten'!A569="","",'01_Rohdaten'!A569)</f>
        <v/>
      </c>
      <c r="C569" s="27">
        <f>IF(B569="","",INDEX('01_Rohdaten'!B569:D569,'02_Eingaben'!$C$13))</f>
        <v/>
      </c>
      <c r="D569" s="27">
        <f>IF(C569="","",C569*'02_Eingaben'!$C$15)</f>
        <v/>
      </c>
      <c r="E569" s="27">
        <f>IF(D569="","",D569*'02_Eingaben'!$C$8)</f>
        <v/>
      </c>
      <c r="F569" s="27">
        <f>IF(E569="","",AVERAGE(INDEX($E$2:$E$3001,MAX(1,ROW()-1-'02_Eingaben'!$C$17)):INDEX($E$2:$E$3001,MIN('02_Eingaben'!$C$21,ROW()-1+'02_Eingaben'!$C$17))))</f>
        <v/>
      </c>
      <c r="G569" s="27">
        <f>IF(F569="","",F569-'02_Eingaben'!$C$10)</f>
        <v/>
      </c>
      <c r="H569">
        <f>IF(F569="","",IF(F569&lt;'02_Eingaben'!$C$18*'02_Eingaben'!$C$10,1,0))</f>
        <v/>
      </c>
      <c r="I569" s="27">
        <f>IF(OR(G569="",G570=""),"",(G569+G570)/2*(B570-B569))</f>
        <v/>
      </c>
      <c r="J569" s="27">
        <f>IF(B569="","",IF(B568&lt;'02_Eingaben'!$C$36,0,J568+I568/'02_Eingaben'!$C$8))</f>
        <v/>
      </c>
    </row>
    <row r="570">
      <c r="A570">
        <f>IF('01_Rohdaten'!A570="","",ROW()-1)</f>
        <v/>
      </c>
      <c r="B570" s="27">
        <f>IF('01_Rohdaten'!A570="","",'01_Rohdaten'!A570)</f>
        <v/>
      </c>
      <c r="C570" s="27">
        <f>IF(B570="","",INDEX('01_Rohdaten'!B570:D570,'02_Eingaben'!$C$13))</f>
        <v/>
      </c>
      <c r="D570" s="27">
        <f>IF(C570="","",C570*'02_Eingaben'!$C$15)</f>
        <v/>
      </c>
      <c r="E570" s="27">
        <f>IF(D570="","",D570*'02_Eingaben'!$C$8)</f>
        <v/>
      </c>
      <c r="F570" s="27">
        <f>IF(E570="","",AVERAGE(INDEX($E$2:$E$3001,MAX(1,ROW()-1-'02_Eingaben'!$C$17)):INDEX($E$2:$E$3001,MIN('02_Eingaben'!$C$21,ROW()-1+'02_Eingaben'!$C$17))))</f>
        <v/>
      </c>
      <c r="G570" s="27">
        <f>IF(F570="","",F570-'02_Eingaben'!$C$10)</f>
        <v/>
      </c>
      <c r="H570">
        <f>IF(F570="","",IF(F570&lt;'02_Eingaben'!$C$18*'02_Eingaben'!$C$10,1,0))</f>
        <v/>
      </c>
      <c r="I570" s="27">
        <f>IF(OR(G570="",G571=""),"",(G570+G571)/2*(B571-B570))</f>
        <v/>
      </c>
      <c r="J570" s="27">
        <f>IF(B570="","",IF(B569&lt;'02_Eingaben'!$C$36,0,J569+I569/'02_Eingaben'!$C$8))</f>
        <v/>
      </c>
    </row>
    <row r="571">
      <c r="A571">
        <f>IF('01_Rohdaten'!A571="","",ROW()-1)</f>
        <v/>
      </c>
      <c r="B571" s="27">
        <f>IF('01_Rohdaten'!A571="","",'01_Rohdaten'!A571)</f>
        <v/>
      </c>
      <c r="C571" s="27">
        <f>IF(B571="","",INDEX('01_Rohdaten'!B571:D571,'02_Eingaben'!$C$13))</f>
        <v/>
      </c>
      <c r="D571" s="27">
        <f>IF(C571="","",C571*'02_Eingaben'!$C$15)</f>
        <v/>
      </c>
      <c r="E571" s="27">
        <f>IF(D571="","",D571*'02_Eingaben'!$C$8)</f>
        <v/>
      </c>
      <c r="F571" s="27">
        <f>IF(E571="","",AVERAGE(INDEX($E$2:$E$3001,MAX(1,ROW()-1-'02_Eingaben'!$C$17)):INDEX($E$2:$E$3001,MIN('02_Eingaben'!$C$21,ROW()-1+'02_Eingaben'!$C$17))))</f>
        <v/>
      </c>
      <c r="G571" s="27">
        <f>IF(F571="","",F571-'02_Eingaben'!$C$10)</f>
        <v/>
      </c>
      <c r="H571">
        <f>IF(F571="","",IF(F571&lt;'02_Eingaben'!$C$18*'02_Eingaben'!$C$10,1,0))</f>
        <v/>
      </c>
      <c r="I571" s="27">
        <f>IF(OR(G571="",G572=""),"",(G571+G572)/2*(B572-B571))</f>
        <v/>
      </c>
      <c r="J571" s="27">
        <f>IF(B571="","",IF(B570&lt;'02_Eingaben'!$C$36,0,J570+I570/'02_Eingaben'!$C$8))</f>
        <v/>
      </c>
    </row>
    <row r="572">
      <c r="A572">
        <f>IF('01_Rohdaten'!A572="","",ROW()-1)</f>
        <v/>
      </c>
      <c r="B572" s="27">
        <f>IF('01_Rohdaten'!A572="","",'01_Rohdaten'!A572)</f>
        <v/>
      </c>
      <c r="C572" s="27">
        <f>IF(B572="","",INDEX('01_Rohdaten'!B572:D572,'02_Eingaben'!$C$13))</f>
        <v/>
      </c>
      <c r="D572" s="27">
        <f>IF(C572="","",C572*'02_Eingaben'!$C$15)</f>
        <v/>
      </c>
      <c r="E572" s="27">
        <f>IF(D572="","",D572*'02_Eingaben'!$C$8)</f>
        <v/>
      </c>
      <c r="F572" s="27">
        <f>IF(E572="","",AVERAGE(INDEX($E$2:$E$3001,MAX(1,ROW()-1-'02_Eingaben'!$C$17)):INDEX($E$2:$E$3001,MIN('02_Eingaben'!$C$21,ROW()-1+'02_Eingaben'!$C$17))))</f>
        <v/>
      </c>
      <c r="G572" s="27">
        <f>IF(F572="","",F572-'02_Eingaben'!$C$10)</f>
        <v/>
      </c>
      <c r="H572">
        <f>IF(F572="","",IF(F572&lt;'02_Eingaben'!$C$18*'02_Eingaben'!$C$10,1,0))</f>
        <v/>
      </c>
      <c r="I572" s="27">
        <f>IF(OR(G572="",G573=""),"",(G572+G573)/2*(B573-B572))</f>
        <v/>
      </c>
      <c r="J572" s="27">
        <f>IF(B572="","",IF(B571&lt;'02_Eingaben'!$C$36,0,J571+I571/'02_Eingaben'!$C$8))</f>
        <v/>
      </c>
    </row>
    <row r="573">
      <c r="A573">
        <f>IF('01_Rohdaten'!A573="","",ROW()-1)</f>
        <v/>
      </c>
      <c r="B573" s="27">
        <f>IF('01_Rohdaten'!A573="","",'01_Rohdaten'!A573)</f>
        <v/>
      </c>
      <c r="C573" s="27">
        <f>IF(B573="","",INDEX('01_Rohdaten'!B573:D573,'02_Eingaben'!$C$13))</f>
        <v/>
      </c>
      <c r="D573" s="27">
        <f>IF(C573="","",C573*'02_Eingaben'!$C$15)</f>
        <v/>
      </c>
      <c r="E573" s="27">
        <f>IF(D573="","",D573*'02_Eingaben'!$C$8)</f>
        <v/>
      </c>
      <c r="F573" s="27">
        <f>IF(E573="","",AVERAGE(INDEX($E$2:$E$3001,MAX(1,ROW()-1-'02_Eingaben'!$C$17)):INDEX($E$2:$E$3001,MIN('02_Eingaben'!$C$21,ROW()-1+'02_Eingaben'!$C$17))))</f>
        <v/>
      </c>
      <c r="G573" s="27">
        <f>IF(F573="","",F573-'02_Eingaben'!$C$10)</f>
        <v/>
      </c>
      <c r="H573">
        <f>IF(F573="","",IF(F573&lt;'02_Eingaben'!$C$18*'02_Eingaben'!$C$10,1,0))</f>
        <v/>
      </c>
      <c r="I573" s="27">
        <f>IF(OR(G573="",G574=""),"",(G573+G574)/2*(B574-B573))</f>
        <v/>
      </c>
      <c r="J573" s="27">
        <f>IF(B573="","",IF(B572&lt;'02_Eingaben'!$C$36,0,J572+I572/'02_Eingaben'!$C$8))</f>
        <v/>
      </c>
    </row>
    <row r="574">
      <c r="A574">
        <f>IF('01_Rohdaten'!A574="","",ROW()-1)</f>
        <v/>
      </c>
      <c r="B574" s="27">
        <f>IF('01_Rohdaten'!A574="","",'01_Rohdaten'!A574)</f>
        <v/>
      </c>
      <c r="C574" s="27">
        <f>IF(B574="","",INDEX('01_Rohdaten'!B574:D574,'02_Eingaben'!$C$13))</f>
        <v/>
      </c>
      <c r="D574" s="27">
        <f>IF(C574="","",C574*'02_Eingaben'!$C$15)</f>
        <v/>
      </c>
      <c r="E574" s="27">
        <f>IF(D574="","",D574*'02_Eingaben'!$C$8)</f>
        <v/>
      </c>
      <c r="F574" s="27">
        <f>IF(E574="","",AVERAGE(INDEX($E$2:$E$3001,MAX(1,ROW()-1-'02_Eingaben'!$C$17)):INDEX($E$2:$E$3001,MIN('02_Eingaben'!$C$21,ROW()-1+'02_Eingaben'!$C$17))))</f>
        <v/>
      </c>
      <c r="G574" s="27">
        <f>IF(F574="","",F574-'02_Eingaben'!$C$10)</f>
        <v/>
      </c>
      <c r="H574">
        <f>IF(F574="","",IF(F574&lt;'02_Eingaben'!$C$18*'02_Eingaben'!$C$10,1,0))</f>
        <v/>
      </c>
      <c r="I574" s="27">
        <f>IF(OR(G574="",G575=""),"",(G574+G575)/2*(B575-B574))</f>
        <v/>
      </c>
      <c r="J574" s="27">
        <f>IF(B574="","",IF(B573&lt;'02_Eingaben'!$C$36,0,J573+I573/'02_Eingaben'!$C$8))</f>
        <v/>
      </c>
    </row>
    <row r="575">
      <c r="A575">
        <f>IF('01_Rohdaten'!A575="","",ROW()-1)</f>
        <v/>
      </c>
      <c r="B575" s="27">
        <f>IF('01_Rohdaten'!A575="","",'01_Rohdaten'!A575)</f>
        <v/>
      </c>
      <c r="C575" s="27">
        <f>IF(B575="","",INDEX('01_Rohdaten'!B575:D575,'02_Eingaben'!$C$13))</f>
        <v/>
      </c>
      <c r="D575" s="27">
        <f>IF(C575="","",C575*'02_Eingaben'!$C$15)</f>
        <v/>
      </c>
      <c r="E575" s="27">
        <f>IF(D575="","",D575*'02_Eingaben'!$C$8)</f>
        <v/>
      </c>
      <c r="F575" s="27">
        <f>IF(E575="","",AVERAGE(INDEX($E$2:$E$3001,MAX(1,ROW()-1-'02_Eingaben'!$C$17)):INDEX($E$2:$E$3001,MIN('02_Eingaben'!$C$21,ROW()-1+'02_Eingaben'!$C$17))))</f>
        <v/>
      </c>
      <c r="G575" s="27">
        <f>IF(F575="","",F575-'02_Eingaben'!$C$10)</f>
        <v/>
      </c>
      <c r="H575">
        <f>IF(F575="","",IF(F575&lt;'02_Eingaben'!$C$18*'02_Eingaben'!$C$10,1,0))</f>
        <v/>
      </c>
      <c r="I575" s="27">
        <f>IF(OR(G575="",G576=""),"",(G575+G576)/2*(B576-B575))</f>
        <v/>
      </c>
      <c r="J575" s="27">
        <f>IF(B575="","",IF(B574&lt;'02_Eingaben'!$C$36,0,J574+I574/'02_Eingaben'!$C$8))</f>
        <v/>
      </c>
    </row>
    <row r="576">
      <c r="A576">
        <f>IF('01_Rohdaten'!A576="","",ROW()-1)</f>
        <v/>
      </c>
      <c r="B576" s="27">
        <f>IF('01_Rohdaten'!A576="","",'01_Rohdaten'!A576)</f>
        <v/>
      </c>
      <c r="C576" s="27">
        <f>IF(B576="","",INDEX('01_Rohdaten'!B576:D576,'02_Eingaben'!$C$13))</f>
        <v/>
      </c>
      <c r="D576" s="27">
        <f>IF(C576="","",C576*'02_Eingaben'!$C$15)</f>
        <v/>
      </c>
      <c r="E576" s="27">
        <f>IF(D576="","",D576*'02_Eingaben'!$C$8)</f>
        <v/>
      </c>
      <c r="F576" s="27">
        <f>IF(E576="","",AVERAGE(INDEX($E$2:$E$3001,MAX(1,ROW()-1-'02_Eingaben'!$C$17)):INDEX($E$2:$E$3001,MIN('02_Eingaben'!$C$21,ROW()-1+'02_Eingaben'!$C$17))))</f>
        <v/>
      </c>
      <c r="G576" s="27">
        <f>IF(F576="","",F576-'02_Eingaben'!$C$10)</f>
        <v/>
      </c>
      <c r="H576">
        <f>IF(F576="","",IF(F576&lt;'02_Eingaben'!$C$18*'02_Eingaben'!$C$10,1,0))</f>
        <v/>
      </c>
      <c r="I576" s="27">
        <f>IF(OR(G576="",G577=""),"",(G576+G577)/2*(B577-B576))</f>
        <v/>
      </c>
      <c r="J576" s="27">
        <f>IF(B576="","",IF(B575&lt;'02_Eingaben'!$C$36,0,J575+I575/'02_Eingaben'!$C$8))</f>
        <v/>
      </c>
    </row>
    <row r="577">
      <c r="A577">
        <f>IF('01_Rohdaten'!A577="","",ROW()-1)</f>
        <v/>
      </c>
      <c r="B577" s="27">
        <f>IF('01_Rohdaten'!A577="","",'01_Rohdaten'!A577)</f>
        <v/>
      </c>
      <c r="C577" s="27">
        <f>IF(B577="","",INDEX('01_Rohdaten'!B577:D577,'02_Eingaben'!$C$13))</f>
        <v/>
      </c>
      <c r="D577" s="27">
        <f>IF(C577="","",C577*'02_Eingaben'!$C$15)</f>
        <v/>
      </c>
      <c r="E577" s="27">
        <f>IF(D577="","",D577*'02_Eingaben'!$C$8)</f>
        <v/>
      </c>
      <c r="F577" s="27">
        <f>IF(E577="","",AVERAGE(INDEX($E$2:$E$3001,MAX(1,ROW()-1-'02_Eingaben'!$C$17)):INDEX($E$2:$E$3001,MIN('02_Eingaben'!$C$21,ROW()-1+'02_Eingaben'!$C$17))))</f>
        <v/>
      </c>
      <c r="G577" s="27">
        <f>IF(F577="","",F577-'02_Eingaben'!$C$10)</f>
        <v/>
      </c>
      <c r="H577">
        <f>IF(F577="","",IF(F577&lt;'02_Eingaben'!$C$18*'02_Eingaben'!$C$10,1,0))</f>
        <v/>
      </c>
      <c r="I577" s="27">
        <f>IF(OR(G577="",G578=""),"",(G577+G578)/2*(B578-B577))</f>
        <v/>
      </c>
      <c r="J577" s="27">
        <f>IF(B577="","",IF(B576&lt;'02_Eingaben'!$C$36,0,J576+I576/'02_Eingaben'!$C$8))</f>
        <v/>
      </c>
    </row>
    <row r="578">
      <c r="A578">
        <f>IF('01_Rohdaten'!A578="","",ROW()-1)</f>
        <v/>
      </c>
      <c r="B578" s="27">
        <f>IF('01_Rohdaten'!A578="","",'01_Rohdaten'!A578)</f>
        <v/>
      </c>
      <c r="C578" s="27">
        <f>IF(B578="","",INDEX('01_Rohdaten'!B578:D578,'02_Eingaben'!$C$13))</f>
        <v/>
      </c>
      <c r="D578" s="27">
        <f>IF(C578="","",C578*'02_Eingaben'!$C$15)</f>
        <v/>
      </c>
      <c r="E578" s="27">
        <f>IF(D578="","",D578*'02_Eingaben'!$C$8)</f>
        <v/>
      </c>
      <c r="F578" s="27">
        <f>IF(E578="","",AVERAGE(INDEX($E$2:$E$3001,MAX(1,ROW()-1-'02_Eingaben'!$C$17)):INDEX($E$2:$E$3001,MIN('02_Eingaben'!$C$21,ROW()-1+'02_Eingaben'!$C$17))))</f>
        <v/>
      </c>
      <c r="G578" s="27">
        <f>IF(F578="","",F578-'02_Eingaben'!$C$10)</f>
        <v/>
      </c>
      <c r="H578">
        <f>IF(F578="","",IF(F578&lt;'02_Eingaben'!$C$18*'02_Eingaben'!$C$10,1,0))</f>
        <v/>
      </c>
      <c r="I578" s="27">
        <f>IF(OR(G578="",G579=""),"",(G578+G579)/2*(B579-B578))</f>
        <v/>
      </c>
      <c r="J578" s="27">
        <f>IF(B578="","",IF(B577&lt;'02_Eingaben'!$C$36,0,J577+I577/'02_Eingaben'!$C$8))</f>
        <v/>
      </c>
    </row>
    <row r="579">
      <c r="A579">
        <f>IF('01_Rohdaten'!A579="","",ROW()-1)</f>
        <v/>
      </c>
      <c r="B579" s="27">
        <f>IF('01_Rohdaten'!A579="","",'01_Rohdaten'!A579)</f>
        <v/>
      </c>
      <c r="C579" s="27">
        <f>IF(B579="","",INDEX('01_Rohdaten'!B579:D579,'02_Eingaben'!$C$13))</f>
        <v/>
      </c>
      <c r="D579" s="27">
        <f>IF(C579="","",C579*'02_Eingaben'!$C$15)</f>
        <v/>
      </c>
      <c r="E579" s="27">
        <f>IF(D579="","",D579*'02_Eingaben'!$C$8)</f>
        <v/>
      </c>
      <c r="F579" s="27">
        <f>IF(E579="","",AVERAGE(INDEX($E$2:$E$3001,MAX(1,ROW()-1-'02_Eingaben'!$C$17)):INDEX($E$2:$E$3001,MIN('02_Eingaben'!$C$21,ROW()-1+'02_Eingaben'!$C$17))))</f>
        <v/>
      </c>
      <c r="G579" s="27">
        <f>IF(F579="","",F579-'02_Eingaben'!$C$10)</f>
        <v/>
      </c>
      <c r="H579">
        <f>IF(F579="","",IF(F579&lt;'02_Eingaben'!$C$18*'02_Eingaben'!$C$10,1,0))</f>
        <v/>
      </c>
      <c r="I579" s="27">
        <f>IF(OR(G579="",G580=""),"",(G579+G580)/2*(B580-B579))</f>
        <v/>
      </c>
      <c r="J579" s="27">
        <f>IF(B579="","",IF(B578&lt;'02_Eingaben'!$C$36,0,J578+I578/'02_Eingaben'!$C$8))</f>
        <v/>
      </c>
    </row>
    <row r="580">
      <c r="A580">
        <f>IF('01_Rohdaten'!A580="","",ROW()-1)</f>
        <v/>
      </c>
      <c r="B580" s="27">
        <f>IF('01_Rohdaten'!A580="","",'01_Rohdaten'!A580)</f>
        <v/>
      </c>
      <c r="C580" s="27">
        <f>IF(B580="","",INDEX('01_Rohdaten'!B580:D580,'02_Eingaben'!$C$13))</f>
        <v/>
      </c>
      <c r="D580" s="27">
        <f>IF(C580="","",C580*'02_Eingaben'!$C$15)</f>
        <v/>
      </c>
      <c r="E580" s="27">
        <f>IF(D580="","",D580*'02_Eingaben'!$C$8)</f>
        <v/>
      </c>
      <c r="F580" s="27">
        <f>IF(E580="","",AVERAGE(INDEX($E$2:$E$3001,MAX(1,ROW()-1-'02_Eingaben'!$C$17)):INDEX($E$2:$E$3001,MIN('02_Eingaben'!$C$21,ROW()-1+'02_Eingaben'!$C$17))))</f>
        <v/>
      </c>
      <c r="G580" s="27">
        <f>IF(F580="","",F580-'02_Eingaben'!$C$10)</f>
        <v/>
      </c>
      <c r="H580">
        <f>IF(F580="","",IF(F580&lt;'02_Eingaben'!$C$18*'02_Eingaben'!$C$10,1,0))</f>
        <v/>
      </c>
      <c r="I580" s="27">
        <f>IF(OR(G580="",G581=""),"",(G580+G581)/2*(B581-B580))</f>
        <v/>
      </c>
      <c r="J580" s="27">
        <f>IF(B580="","",IF(B579&lt;'02_Eingaben'!$C$36,0,J579+I579/'02_Eingaben'!$C$8))</f>
        <v/>
      </c>
    </row>
    <row r="581">
      <c r="A581">
        <f>IF('01_Rohdaten'!A581="","",ROW()-1)</f>
        <v/>
      </c>
      <c r="B581" s="27">
        <f>IF('01_Rohdaten'!A581="","",'01_Rohdaten'!A581)</f>
        <v/>
      </c>
      <c r="C581" s="27">
        <f>IF(B581="","",INDEX('01_Rohdaten'!B581:D581,'02_Eingaben'!$C$13))</f>
        <v/>
      </c>
      <c r="D581" s="27">
        <f>IF(C581="","",C581*'02_Eingaben'!$C$15)</f>
        <v/>
      </c>
      <c r="E581" s="27">
        <f>IF(D581="","",D581*'02_Eingaben'!$C$8)</f>
        <v/>
      </c>
      <c r="F581" s="27">
        <f>IF(E581="","",AVERAGE(INDEX($E$2:$E$3001,MAX(1,ROW()-1-'02_Eingaben'!$C$17)):INDEX($E$2:$E$3001,MIN('02_Eingaben'!$C$21,ROW()-1+'02_Eingaben'!$C$17))))</f>
        <v/>
      </c>
      <c r="G581" s="27">
        <f>IF(F581="","",F581-'02_Eingaben'!$C$10)</f>
        <v/>
      </c>
      <c r="H581">
        <f>IF(F581="","",IF(F581&lt;'02_Eingaben'!$C$18*'02_Eingaben'!$C$10,1,0))</f>
        <v/>
      </c>
      <c r="I581" s="27">
        <f>IF(OR(G581="",G582=""),"",(G581+G582)/2*(B582-B581))</f>
        <v/>
      </c>
      <c r="J581" s="27">
        <f>IF(B581="","",IF(B580&lt;'02_Eingaben'!$C$36,0,J580+I580/'02_Eingaben'!$C$8))</f>
        <v/>
      </c>
    </row>
    <row r="582">
      <c r="A582">
        <f>IF('01_Rohdaten'!A582="","",ROW()-1)</f>
        <v/>
      </c>
      <c r="B582" s="27">
        <f>IF('01_Rohdaten'!A582="","",'01_Rohdaten'!A582)</f>
        <v/>
      </c>
      <c r="C582" s="27">
        <f>IF(B582="","",INDEX('01_Rohdaten'!B582:D582,'02_Eingaben'!$C$13))</f>
        <v/>
      </c>
      <c r="D582" s="27">
        <f>IF(C582="","",C582*'02_Eingaben'!$C$15)</f>
        <v/>
      </c>
      <c r="E582" s="27">
        <f>IF(D582="","",D582*'02_Eingaben'!$C$8)</f>
        <v/>
      </c>
      <c r="F582" s="27">
        <f>IF(E582="","",AVERAGE(INDEX($E$2:$E$3001,MAX(1,ROW()-1-'02_Eingaben'!$C$17)):INDEX($E$2:$E$3001,MIN('02_Eingaben'!$C$21,ROW()-1+'02_Eingaben'!$C$17))))</f>
        <v/>
      </c>
      <c r="G582" s="27">
        <f>IF(F582="","",F582-'02_Eingaben'!$C$10)</f>
        <v/>
      </c>
      <c r="H582">
        <f>IF(F582="","",IF(F582&lt;'02_Eingaben'!$C$18*'02_Eingaben'!$C$10,1,0))</f>
        <v/>
      </c>
      <c r="I582" s="27">
        <f>IF(OR(G582="",G583=""),"",(G582+G583)/2*(B583-B582))</f>
        <v/>
      </c>
      <c r="J582" s="27">
        <f>IF(B582="","",IF(B581&lt;'02_Eingaben'!$C$36,0,J581+I581/'02_Eingaben'!$C$8))</f>
        <v/>
      </c>
    </row>
    <row r="583">
      <c r="A583">
        <f>IF('01_Rohdaten'!A583="","",ROW()-1)</f>
        <v/>
      </c>
      <c r="B583" s="27">
        <f>IF('01_Rohdaten'!A583="","",'01_Rohdaten'!A583)</f>
        <v/>
      </c>
      <c r="C583" s="27">
        <f>IF(B583="","",INDEX('01_Rohdaten'!B583:D583,'02_Eingaben'!$C$13))</f>
        <v/>
      </c>
      <c r="D583" s="27">
        <f>IF(C583="","",C583*'02_Eingaben'!$C$15)</f>
        <v/>
      </c>
      <c r="E583" s="27">
        <f>IF(D583="","",D583*'02_Eingaben'!$C$8)</f>
        <v/>
      </c>
      <c r="F583" s="27">
        <f>IF(E583="","",AVERAGE(INDEX($E$2:$E$3001,MAX(1,ROW()-1-'02_Eingaben'!$C$17)):INDEX($E$2:$E$3001,MIN('02_Eingaben'!$C$21,ROW()-1+'02_Eingaben'!$C$17))))</f>
        <v/>
      </c>
      <c r="G583" s="27">
        <f>IF(F583="","",F583-'02_Eingaben'!$C$10)</f>
        <v/>
      </c>
      <c r="H583">
        <f>IF(F583="","",IF(F583&lt;'02_Eingaben'!$C$18*'02_Eingaben'!$C$10,1,0))</f>
        <v/>
      </c>
      <c r="I583" s="27">
        <f>IF(OR(G583="",G584=""),"",(G583+G584)/2*(B584-B583))</f>
        <v/>
      </c>
      <c r="J583" s="27">
        <f>IF(B583="","",IF(B582&lt;'02_Eingaben'!$C$36,0,J582+I582/'02_Eingaben'!$C$8))</f>
        <v/>
      </c>
    </row>
    <row r="584">
      <c r="A584">
        <f>IF('01_Rohdaten'!A584="","",ROW()-1)</f>
        <v/>
      </c>
      <c r="B584" s="27">
        <f>IF('01_Rohdaten'!A584="","",'01_Rohdaten'!A584)</f>
        <v/>
      </c>
      <c r="C584" s="27">
        <f>IF(B584="","",INDEX('01_Rohdaten'!B584:D584,'02_Eingaben'!$C$13))</f>
        <v/>
      </c>
      <c r="D584" s="27">
        <f>IF(C584="","",C584*'02_Eingaben'!$C$15)</f>
        <v/>
      </c>
      <c r="E584" s="27">
        <f>IF(D584="","",D584*'02_Eingaben'!$C$8)</f>
        <v/>
      </c>
      <c r="F584" s="27">
        <f>IF(E584="","",AVERAGE(INDEX($E$2:$E$3001,MAX(1,ROW()-1-'02_Eingaben'!$C$17)):INDEX($E$2:$E$3001,MIN('02_Eingaben'!$C$21,ROW()-1+'02_Eingaben'!$C$17))))</f>
        <v/>
      </c>
      <c r="G584" s="27">
        <f>IF(F584="","",F584-'02_Eingaben'!$C$10)</f>
        <v/>
      </c>
      <c r="H584">
        <f>IF(F584="","",IF(F584&lt;'02_Eingaben'!$C$18*'02_Eingaben'!$C$10,1,0))</f>
        <v/>
      </c>
      <c r="I584" s="27">
        <f>IF(OR(G584="",G585=""),"",(G584+G585)/2*(B585-B584))</f>
        <v/>
      </c>
      <c r="J584" s="27">
        <f>IF(B584="","",IF(B583&lt;'02_Eingaben'!$C$36,0,J583+I583/'02_Eingaben'!$C$8))</f>
        <v/>
      </c>
    </row>
    <row r="585">
      <c r="A585">
        <f>IF('01_Rohdaten'!A585="","",ROW()-1)</f>
        <v/>
      </c>
      <c r="B585" s="27">
        <f>IF('01_Rohdaten'!A585="","",'01_Rohdaten'!A585)</f>
        <v/>
      </c>
      <c r="C585" s="27">
        <f>IF(B585="","",INDEX('01_Rohdaten'!B585:D585,'02_Eingaben'!$C$13))</f>
        <v/>
      </c>
      <c r="D585" s="27">
        <f>IF(C585="","",C585*'02_Eingaben'!$C$15)</f>
        <v/>
      </c>
      <c r="E585" s="27">
        <f>IF(D585="","",D585*'02_Eingaben'!$C$8)</f>
        <v/>
      </c>
      <c r="F585" s="27">
        <f>IF(E585="","",AVERAGE(INDEX($E$2:$E$3001,MAX(1,ROW()-1-'02_Eingaben'!$C$17)):INDEX($E$2:$E$3001,MIN('02_Eingaben'!$C$21,ROW()-1+'02_Eingaben'!$C$17))))</f>
        <v/>
      </c>
      <c r="G585" s="27">
        <f>IF(F585="","",F585-'02_Eingaben'!$C$10)</f>
        <v/>
      </c>
      <c r="H585">
        <f>IF(F585="","",IF(F585&lt;'02_Eingaben'!$C$18*'02_Eingaben'!$C$10,1,0))</f>
        <v/>
      </c>
      <c r="I585" s="27">
        <f>IF(OR(G585="",G586=""),"",(G585+G586)/2*(B586-B585))</f>
        <v/>
      </c>
      <c r="J585" s="27">
        <f>IF(B585="","",IF(B584&lt;'02_Eingaben'!$C$36,0,J584+I584/'02_Eingaben'!$C$8))</f>
        <v/>
      </c>
    </row>
    <row r="586">
      <c r="A586">
        <f>IF('01_Rohdaten'!A586="","",ROW()-1)</f>
        <v/>
      </c>
      <c r="B586" s="27">
        <f>IF('01_Rohdaten'!A586="","",'01_Rohdaten'!A586)</f>
        <v/>
      </c>
      <c r="C586" s="27">
        <f>IF(B586="","",INDEX('01_Rohdaten'!B586:D586,'02_Eingaben'!$C$13))</f>
        <v/>
      </c>
      <c r="D586" s="27">
        <f>IF(C586="","",C586*'02_Eingaben'!$C$15)</f>
        <v/>
      </c>
      <c r="E586" s="27">
        <f>IF(D586="","",D586*'02_Eingaben'!$C$8)</f>
        <v/>
      </c>
      <c r="F586" s="27">
        <f>IF(E586="","",AVERAGE(INDEX($E$2:$E$3001,MAX(1,ROW()-1-'02_Eingaben'!$C$17)):INDEX($E$2:$E$3001,MIN('02_Eingaben'!$C$21,ROW()-1+'02_Eingaben'!$C$17))))</f>
        <v/>
      </c>
      <c r="G586" s="27">
        <f>IF(F586="","",F586-'02_Eingaben'!$C$10)</f>
        <v/>
      </c>
      <c r="H586">
        <f>IF(F586="","",IF(F586&lt;'02_Eingaben'!$C$18*'02_Eingaben'!$C$10,1,0))</f>
        <v/>
      </c>
      <c r="I586" s="27">
        <f>IF(OR(G586="",G587=""),"",(G586+G587)/2*(B587-B586))</f>
        <v/>
      </c>
      <c r="J586" s="27">
        <f>IF(B586="","",IF(B585&lt;'02_Eingaben'!$C$36,0,J585+I585/'02_Eingaben'!$C$8))</f>
        <v/>
      </c>
    </row>
    <row r="587">
      <c r="A587">
        <f>IF('01_Rohdaten'!A587="","",ROW()-1)</f>
        <v/>
      </c>
      <c r="B587" s="27">
        <f>IF('01_Rohdaten'!A587="","",'01_Rohdaten'!A587)</f>
        <v/>
      </c>
      <c r="C587" s="27">
        <f>IF(B587="","",INDEX('01_Rohdaten'!B587:D587,'02_Eingaben'!$C$13))</f>
        <v/>
      </c>
      <c r="D587" s="27">
        <f>IF(C587="","",C587*'02_Eingaben'!$C$15)</f>
        <v/>
      </c>
      <c r="E587" s="27">
        <f>IF(D587="","",D587*'02_Eingaben'!$C$8)</f>
        <v/>
      </c>
      <c r="F587" s="27">
        <f>IF(E587="","",AVERAGE(INDEX($E$2:$E$3001,MAX(1,ROW()-1-'02_Eingaben'!$C$17)):INDEX($E$2:$E$3001,MIN('02_Eingaben'!$C$21,ROW()-1+'02_Eingaben'!$C$17))))</f>
        <v/>
      </c>
      <c r="G587" s="27">
        <f>IF(F587="","",F587-'02_Eingaben'!$C$10)</f>
        <v/>
      </c>
      <c r="H587">
        <f>IF(F587="","",IF(F587&lt;'02_Eingaben'!$C$18*'02_Eingaben'!$C$10,1,0))</f>
        <v/>
      </c>
      <c r="I587" s="27">
        <f>IF(OR(G587="",G588=""),"",(G587+G588)/2*(B588-B587))</f>
        <v/>
      </c>
      <c r="J587" s="27">
        <f>IF(B587="","",IF(B586&lt;'02_Eingaben'!$C$36,0,J586+I586/'02_Eingaben'!$C$8))</f>
        <v/>
      </c>
    </row>
    <row r="588">
      <c r="A588">
        <f>IF('01_Rohdaten'!A588="","",ROW()-1)</f>
        <v/>
      </c>
      <c r="B588" s="27">
        <f>IF('01_Rohdaten'!A588="","",'01_Rohdaten'!A588)</f>
        <v/>
      </c>
      <c r="C588" s="27">
        <f>IF(B588="","",INDEX('01_Rohdaten'!B588:D588,'02_Eingaben'!$C$13))</f>
        <v/>
      </c>
      <c r="D588" s="27">
        <f>IF(C588="","",C588*'02_Eingaben'!$C$15)</f>
        <v/>
      </c>
      <c r="E588" s="27">
        <f>IF(D588="","",D588*'02_Eingaben'!$C$8)</f>
        <v/>
      </c>
      <c r="F588" s="27">
        <f>IF(E588="","",AVERAGE(INDEX($E$2:$E$3001,MAX(1,ROW()-1-'02_Eingaben'!$C$17)):INDEX($E$2:$E$3001,MIN('02_Eingaben'!$C$21,ROW()-1+'02_Eingaben'!$C$17))))</f>
        <v/>
      </c>
      <c r="G588" s="27">
        <f>IF(F588="","",F588-'02_Eingaben'!$C$10)</f>
        <v/>
      </c>
      <c r="H588">
        <f>IF(F588="","",IF(F588&lt;'02_Eingaben'!$C$18*'02_Eingaben'!$C$10,1,0))</f>
        <v/>
      </c>
      <c r="I588" s="27">
        <f>IF(OR(G588="",G589=""),"",(G588+G589)/2*(B589-B588))</f>
        <v/>
      </c>
      <c r="J588" s="27">
        <f>IF(B588="","",IF(B587&lt;'02_Eingaben'!$C$36,0,J587+I587/'02_Eingaben'!$C$8))</f>
        <v/>
      </c>
    </row>
    <row r="589">
      <c r="A589">
        <f>IF('01_Rohdaten'!A589="","",ROW()-1)</f>
        <v/>
      </c>
      <c r="B589" s="27">
        <f>IF('01_Rohdaten'!A589="","",'01_Rohdaten'!A589)</f>
        <v/>
      </c>
      <c r="C589" s="27">
        <f>IF(B589="","",INDEX('01_Rohdaten'!B589:D589,'02_Eingaben'!$C$13))</f>
        <v/>
      </c>
      <c r="D589" s="27">
        <f>IF(C589="","",C589*'02_Eingaben'!$C$15)</f>
        <v/>
      </c>
      <c r="E589" s="27">
        <f>IF(D589="","",D589*'02_Eingaben'!$C$8)</f>
        <v/>
      </c>
      <c r="F589" s="27">
        <f>IF(E589="","",AVERAGE(INDEX($E$2:$E$3001,MAX(1,ROW()-1-'02_Eingaben'!$C$17)):INDEX($E$2:$E$3001,MIN('02_Eingaben'!$C$21,ROW()-1+'02_Eingaben'!$C$17))))</f>
        <v/>
      </c>
      <c r="G589" s="27">
        <f>IF(F589="","",F589-'02_Eingaben'!$C$10)</f>
        <v/>
      </c>
      <c r="H589">
        <f>IF(F589="","",IF(F589&lt;'02_Eingaben'!$C$18*'02_Eingaben'!$C$10,1,0))</f>
        <v/>
      </c>
      <c r="I589" s="27">
        <f>IF(OR(G589="",G590=""),"",(G589+G590)/2*(B590-B589))</f>
        <v/>
      </c>
      <c r="J589" s="27">
        <f>IF(B589="","",IF(B588&lt;'02_Eingaben'!$C$36,0,J588+I588/'02_Eingaben'!$C$8))</f>
        <v/>
      </c>
    </row>
    <row r="590">
      <c r="A590">
        <f>IF('01_Rohdaten'!A590="","",ROW()-1)</f>
        <v/>
      </c>
      <c r="B590" s="27">
        <f>IF('01_Rohdaten'!A590="","",'01_Rohdaten'!A590)</f>
        <v/>
      </c>
      <c r="C590" s="27">
        <f>IF(B590="","",INDEX('01_Rohdaten'!B590:D590,'02_Eingaben'!$C$13))</f>
        <v/>
      </c>
      <c r="D590" s="27">
        <f>IF(C590="","",C590*'02_Eingaben'!$C$15)</f>
        <v/>
      </c>
      <c r="E590" s="27">
        <f>IF(D590="","",D590*'02_Eingaben'!$C$8)</f>
        <v/>
      </c>
      <c r="F590" s="27">
        <f>IF(E590="","",AVERAGE(INDEX($E$2:$E$3001,MAX(1,ROW()-1-'02_Eingaben'!$C$17)):INDEX($E$2:$E$3001,MIN('02_Eingaben'!$C$21,ROW()-1+'02_Eingaben'!$C$17))))</f>
        <v/>
      </c>
      <c r="G590" s="27">
        <f>IF(F590="","",F590-'02_Eingaben'!$C$10)</f>
        <v/>
      </c>
      <c r="H590">
        <f>IF(F590="","",IF(F590&lt;'02_Eingaben'!$C$18*'02_Eingaben'!$C$10,1,0))</f>
        <v/>
      </c>
      <c r="I590" s="27">
        <f>IF(OR(G590="",G591=""),"",(G590+G591)/2*(B591-B590))</f>
        <v/>
      </c>
      <c r="J590" s="27">
        <f>IF(B590="","",IF(B589&lt;'02_Eingaben'!$C$36,0,J589+I589/'02_Eingaben'!$C$8))</f>
        <v/>
      </c>
    </row>
    <row r="591">
      <c r="A591">
        <f>IF('01_Rohdaten'!A591="","",ROW()-1)</f>
        <v/>
      </c>
      <c r="B591" s="27">
        <f>IF('01_Rohdaten'!A591="","",'01_Rohdaten'!A591)</f>
        <v/>
      </c>
      <c r="C591" s="27">
        <f>IF(B591="","",INDEX('01_Rohdaten'!B591:D591,'02_Eingaben'!$C$13))</f>
        <v/>
      </c>
      <c r="D591" s="27">
        <f>IF(C591="","",C591*'02_Eingaben'!$C$15)</f>
        <v/>
      </c>
      <c r="E591" s="27">
        <f>IF(D591="","",D591*'02_Eingaben'!$C$8)</f>
        <v/>
      </c>
      <c r="F591" s="27">
        <f>IF(E591="","",AVERAGE(INDEX($E$2:$E$3001,MAX(1,ROW()-1-'02_Eingaben'!$C$17)):INDEX($E$2:$E$3001,MIN('02_Eingaben'!$C$21,ROW()-1+'02_Eingaben'!$C$17))))</f>
        <v/>
      </c>
      <c r="G591" s="27">
        <f>IF(F591="","",F591-'02_Eingaben'!$C$10)</f>
        <v/>
      </c>
      <c r="H591">
        <f>IF(F591="","",IF(F591&lt;'02_Eingaben'!$C$18*'02_Eingaben'!$C$10,1,0))</f>
        <v/>
      </c>
      <c r="I591" s="27">
        <f>IF(OR(G591="",G592=""),"",(G591+G592)/2*(B592-B591))</f>
        <v/>
      </c>
      <c r="J591" s="27">
        <f>IF(B591="","",IF(B590&lt;'02_Eingaben'!$C$36,0,J590+I590/'02_Eingaben'!$C$8))</f>
        <v/>
      </c>
    </row>
    <row r="592">
      <c r="A592">
        <f>IF('01_Rohdaten'!A592="","",ROW()-1)</f>
        <v/>
      </c>
      <c r="B592" s="27">
        <f>IF('01_Rohdaten'!A592="","",'01_Rohdaten'!A592)</f>
        <v/>
      </c>
      <c r="C592" s="27">
        <f>IF(B592="","",INDEX('01_Rohdaten'!B592:D592,'02_Eingaben'!$C$13))</f>
        <v/>
      </c>
      <c r="D592" s="27">
        <f>IF(C592="","",C592*'02_Eingaben'!$C$15)</f>
        <v/>
      </c>
      <c r="E592" s="27">
        <f>IF(D592="","",D592*'02_Eingaben'!$C$8)</f>
        <v/>
      </c>
      <c r="F592" s="27">
        <f>IF(E592="","",AVERAGE(INDEX($E$2:$E$3001,MAX(1,ROW()-1-'02_Eingaben'!$C$17)):INDEX($E$2:$E$3001,MIN('02_Eingaben'!$C$21,ROW()-1+'02_Eingaben'!$C$17))))</f>
        <v/>
      </c>
      <c r="G592" s="27">
        <f>IF(F592="","",F592-'02_Eingaben'!$C$10)</f>
        <v/>
      </c>
      <c r="H592">
        <f>IF(F592="","",IF(F592&lt;'02_Eingaben'!$C$18*'02_Eingaben'!$C$10,1,0))</f>
        <v/>
      </c>
      <c r="I592" s="27">
        <f>IF(OR(G592="",G593=""),"",(G592+G593)/2*(B593-B592))</f>
        <v/>
      </c>
      <c r="J592" s="27">
        <f>IF(B592="","",IF(B591&lt;'02_Eingaben'!$C$36,0,J591+I591/'02_Eingaben'!$C$8))</f>
        <v/>
      </c>
    </row>
    <row r="593">
      <c r="A593">
        <f>IF('01_Rohdaten'!A593="","",ROW()-1)</f>
        <v/>
      </c>
      <c r="B593" s="27">
        <f>IF('01_Rohdaten'!A593="","",'01_Rohdaten'!A593)</f>
        <v/>
      </c>
      <c r="C593" s="27">
        <f>IF(B593="","",INDEX('01_Rohdaten'!B593:D593,'02_Eingaben'!$C$13))</f>
        <v/>
      </c>
      <c r="D593" s="27">
        <f>IF(C593="","",C593*'02_Eingaben'!$C$15)</f>
        <v/>
      </c>
      <c r="E593" s="27">
        <f>IF(D593="","",D593*'02_Eingaben'!$C$8)</f>
        <v/>
      </c>
      <c r="F593" s="27">
        <f>IF(E593="","",AVERAGE(INDEX($E$2:$E$3001,MAX(1,ROW()-1-'02_Eingaben'!$C$17)):INDEX($E$2:$E$3001,MIN('02_Eingaben'!$C$21,ROW()-1+'02_Eingaben'!$C$17))))</f>
        <v/>
      </c>
      <c r="G593" s="27">
        <f>IF(F593="","",F593-'02_Eingaben'!$C$10)</f>
        <v/>
      </c>
      <c r="H593">
        <f>IF(F593="","",IF(F593&lt;'02_Eingaben'!$C$18*'02_Eingaben'!$C$10,1,0))</f>
        <v/>
      </c>
      <c r="I593" s="27">
        <f>IF(OR(G593="",G594=""),"",(G593+G594)/2*(B594-B593))</f>
        <v/>
      </c>
      <c r="J593" s="27">
        <f>IF(B593="","",IF(B592&lt;'02_Eingaben'!$C$36,0,J592+I592/'02_Eingaben'!$C$8))</f>
        <v/>
      </c>
    </row>
    <row r="594">
      <c r="A594">
        <f>IF('01_Rohdaten'!A594="","",ROW()-1)</f>
        <v/>
      </c>
      <c r="B594" s="27">
        <f>IF('01_Rohdaten'!A594="","",'01_Rohdaten'!A594)</f>
        <v/>
      </c>
      <c r="C594" s="27">
        <f>IF(B594="","",INDEX('01_Rohdaten'!B594:D594,'02_Eingaben'!$C$13))</f>
        <v/>
      </c>
      <c r="D594" s="27">
        <f>IF(C594="","",C594*'02_Eingaben'!$C$15)</f>
        <v/>
      </c>
      <c r="E594" s="27">
        <f>IF(D594="","",D594*'02_Eingaben'!$C$8)</f>
        <v/>
      </c>
      <c r="F594" s="27">
        <f>IF(E594="","",AVERAGE(INDEX($E$2:$E$3001,MAX(1,ROW()-1-'02_Eingaben'!$C$17)):INDEX($E$2:$E$3001,MIN('02_Eingaben'!$C$21,ROW()-1+'02_Eingaben'!$C$17))))</f>
        <v/>
      </c>
      <c r="G594" s="27">
        <f>IF(F594="","",F594-'02_Eingaben'!$C$10)</f>
        <v/>
      </c>
      <c r="H594">
        <f>IF(F594="","",IF(F594&lt;'02_Eingaben'!$C$18*'02_Eingaben'!$C$10,1,0))</f>
        <v/>
      </c>
      <c r="I594" s="27">
        <f>IF(OR(G594="",G595=""),"",(G594+G595)/2*(B595-B594))</f>
        <v/>
      </c>
      <c r="J594" s="27">
        <f>IF(B594="","",IF(B593&lt;'02_Eingaben'!$C$36,0,J593+I593/'02_Eingaben'!$C$8))</f>
        <v/>
      </c>
    </row>
    <row r="595">
      <c r="A595">
        <f>IF('01_Rohdaten'!A595="","",ROW()-1)</f>
        <v/>
      </c>
      <c r="B595" s="27">
        <f>IF('01_Rohdaten'!A595="","",'01_Rohdaten'!A595)</f>
        <v/>
      </c>
      <c r="C595" s="27">
        <f>IF(B595="","",INDEX('01_Rohdaten'!B595:D595,'02_Eingaben'!$C$13))</f>
        <v/>
      </c>
      <c r="D595" s="27">
        <f>IF(C595="","",C595*'02_Eingaben'!$C$15)</f>
        <v/>
      </c>
      <c r="E595" s="27">
        <f>IF(D595="","",D595*'02_Eingaben'!$C$8)</f>
        <v/>
      </c>
      <c r="F595" s="27">
        <f>IF(E595="","",AVERAGE(INDEX($E$2:$E$3001,MAX(1,ROW()-1-'02_Eingaben'!$C$17)):INDEX($E$2:$E$3001,MIN('02_Eingaben'!$C$21,ROW()-1+'02_Eingaben'!$C$17))))</f>
        <v/>
      </c>
      <c r="G595" s="27">
        <f>IF(F595="","",F595-'02_Eingaben'!$C$10)</f>
        <v/>
      </c>
      <c r="H595">
        <f>IF(F595="","",IF(F595&lt;'02_Eingaben'!$C$18*'02_Eingaben'!$C$10,1,0))</f>
        <v/>
      </c>
      <c r="I595" s="27">
        <f>IF(OR(G595="",G596=""),"",(G595+G596)/2*(B596-B595))</f>
        <v/>
      </c>
      <c r="J595" s="27">
        <f>IF(B595="","",IF(B594&lt;'02_Eingaben'!$C$36,0,J594+I594/'02_Eingaben'!$C$8))</f>
        <v/>
      </c>
    </row>
    <row r="596">
      <c r="A596">
        <f>IF('01_Rohdaten'!A596="","",ROW()-1)</f>
        <v/>
      </c>
      <c r="B596" s="27">
        <f>IF('01_Rohdaten'!A596="","",'01_Rohdaten'!A596)</f>
        <v/>
      </c>
      <c r="C596" s="27">
        <f>IF(B596="","",INDEX('01_Rohdaten'!B596:D596,'02_Eingaben'!$C$13))</f>
        <v/>
      </c>
      <c r="D596" s="27">
        <f>IF(C596="","",C596*'02_Eingaben'!$C$15)</f>
        <v/>
      </c>
      <c r="E596" s="27">
        <f>IF(D596="","",D596*'02_Eingaben'!$C$8)</f>
        <v/>
      </c>
      <c r="F596" s="27">
        <f>IF(E596="","",AVERAGE(INDEX($E$2:$E$3001,MAX(1,ROW()-1-'02_Eingaben'!$C$17)):INDEX($E$2:$E$3001,MIN('02_Eingaben'!$C$21,ROW()-1+'02_Eingaben'!$C$17))))</f>
        <v/>
      </c>
      <c r="G596" s="27">
        <f>IF(F596="","",F596-'02_Eingaben'!$C$10)</f>
        <v/>
      </c>
      <c r="H596">
        <f>IF(F596="","",IF(F596&lt;'02_Eingaben'!$C$18*'02_Eingaben'!$C$10,1,0))</f>
        <v/>
      </c>
      <c r="I596" s="27">
        <f>IF(OR(G596="",G597=""),"",(G596+G597)/2*(B597-B596))</f>
        <v/>
      </c>
      <c r="J596" s="27">
        <f>IF(B596="","",IF(B595&lt;'02_Eingaben'!$C$36,0,J595+I595/'02_Eingaben'!$C$8))</f>
        <v/>
      </c>
    </row>
    <row r="597">
      <c r="A597">
        <f>IF('01_Rohdaten'!A597="","",ROW()-1)</f>
        <v/>
      </c>
      <c r="B597" s="27">
        <f>IF('01_Rohdaten'!A597="","",'01_Rohdaten'!A597)</f>
        <v/>
      </c>
      <c r="C597" s="27">
        <f>IF(B597="","",INDEX('01_Rohdaten'!B597:D597,'02_Eingaben'!$C$13))</f>
        <v/>
      </c>
      <c r="D597" s="27">
        <f>IF(C597="","",C597*'02_Eingaben'!$C$15)</f>
        <v/>
      </c>
      <c r="E597" s="27">
        <f>IF(D597="","",D597*'02_Eingaben'!$C$8)</f>
        <v/>
      </c>
      <c r="F597" s="27">
        <f>IF(E597="","",AVERAGE(INDEX($E$2:$E$3001,MAX(1,ROW()-1-'02_Eingaben'!$C$17)):INDEX($E$2:$E$3001,MIN('02_Eingaben'!$C$21,ROW()-1+'02_Eingaben'!$C$17))))</f>
        <v/>
      </c>
      <c r="G597" s="27">
        <f>IF(F597="","",F597-'02_Eingaben'!$C$10)</f>
        <v/>
      </c>
      <c r="H597">
        <f>IF(F597="","",IF(F597&lt;'02_Eingaben'!$C$18*'02_Eingaben'!$C$10,1,0))</f>
        <v/>
      </c>
      <c r="I597" s="27">
        <f>IF(OR(G597="",G598=""),"",(G597+G598)/2*(B598-B597))</f>
        <v/>
      </c>
      <c r="J597" s="27">
        <f>IF(B597="","",IF(B596&lt;'02_Eingaben'!$C$36,0,J596+I596/'02_Eingaben'!$C$8))</f>
        <v/>
      </c>
    </row>
    <row r="598">
      <c r="A598">
        <f>IF('01_Rohdaten'!A598="","",ROW()-1)</f>
        <v/>
      </c>
      <c r="B598" s="27">
        <f>IF('01_Rohdaten'!A598="","",'01_Rohdaten'!A598)</f>
        <v/>
      </c>
      <c r="C598" s="27">
        <f>IF(B598="","",INDEX('01_Rohdaten'!B598:D598,'02_Eingaben'!$C$13))</f>
        <v/>
      </c>
      <c r="D598" s="27">
        <f>IF(C598="","",C598*'02_Eingaben'!$C$15)</f>
        <v/>
      </c>
      <c r="E598" s="27">
        <f>IF(D598="","",D598*'02_Eingaben'!$C$8)</f>
        <v/>
      </c>
      <c r="F598" s="27">
        <f>IF(E598="","",AVERAGE(INDEX($E$2:$E$3001,MAX(1,ROW()-1-'02_Eingaben'!$C$17)):INDEX($E$2:$E$3001,MIN('02_Eingaben'!$C$21,ROW()-1+'02_Eingaben'!$C$17))))</f>
        <v/>
      </c>
      <c r="G598" s="27">
        <f>IF(F598="","",F598-'02_Eingaben'!$C$10)</f>
        <v/>
      </c>
      <c r="H598">
        <f>IF(F598="","",IF(F598&lt;'02_Eingaben'!$C$18*'02_Eingaben'!$C$10,1,0))</f>
        <v/>
      </c>
      <c r="I598" s="27">
        <f>IF(OR(G598="",G599=""),"",(G598+G599)/2*(B599-B598))</f>
        <v/>
      </c>
      <c r="J598" s="27">
        <f>IF(B598="","",IF(B597&lt;'02_Eingaben'!$C$36,0,J597+I597/'02_Eingaben'!$C$8))</f>
        <v/>
      </c>
    </row>
    <row r="599">
      <c r="A599">
        <f>IF('01_Rohdaten'!A599="","",ROW()-1)</f>
        <v/>
      </c>
      <c r="B599" s="27">
        <f>IF('01_Rohdaten'!A599="","",'01_Rohdaten'!A599)</f>
        <v/>
      </c>
      <c r="C599" s="27">
        <f>IF(B599="","",INDEX('01_Rohdaten'!B599:D599,'02_Eingaben'!$C$13))</f>
        <v/>
      </c>
      <c r="D599" s="27">
        <f>IF(C599="","",C599*'02_Eingaben'!$C$15)</f>
        <v/>
      </c>
      <c r="E599" s="27">
        <f>IF(D599="","",D599*'02_Eingaben'!$C$8)</f>
        <v/>
      </c>
      <c r="F599" s="27">
        <f>IF(E599="","",AVERAGE(INDEX($E$2:$E$3001,MAX(1,ROW()-1-'02_Eingaben'!$C$17)):INDEX($E$2:$E$3001,MIN('02_Eingaben'!$C$21,ROW()-1+'02_Eingaben'!$C$17))))</f>
        <v/>
      </c>
      <c r="G599" s="27">
        <f>IF(F599="","",F599-'02_Eingaben'!$C$10)</f>
        <v/>
      </c>
      <c r="H599">
        <f>IF(F599="","",IF(F599&lt;'02_Eingaben'!$C$18*'02_Eingaben'!$C$10,1,0))</f>
        <v/>
      </c>
      <c r="I599" s="27">
        <f>IF(OR(G599="",G600=""),"",(G599+G600)/2*(B600-B599))</f>
        <v/>
      </c>
      <c r="J599" s="27">
        <f>IF(B599="","",IF(B598&lt;'02_Eingaben'!$C$36,0,J598+I598/'02_Eingaben'!$C$8))</f>
        <v/>
      </c>
    </row>
    <row r="600">
      <c r="A600">
        <f>IF('01_Rohdaten'!A600="","",ROW()-1)</f>
        <v/>
      </c>
      <c r="B600" s="27">
        <f>IF('01_Rohdaten'!A600="","",'01_Rohdaten'!A600)</f>
        <v/>
      </c>
      <c r="C600" s="27">
        <f>IF(B600="","",INDEX('01_Rohdaten'!B600:D600,'02_Eingaben'!$C$13))</f>
        <v/>
      </c>
      <c r="D600" s="27">
        <f>IF(C600="","",C600*'02_Eingaben'!$C$15)</f>
        <v/>
      </c>
      <c r="E600" s="27">
        <f>IF(D600="","",D600*'02_Eingaben'!$C$8)</f>
        <v/>
      </c>
      <c r="F600" s="27">
        <f>IF(E600="","",AVERAGE(INDEX($E$2:$E$3001,MAX(1,ROW()-1-'02_Eingaben'!$C$17)):INDEX($E$2:$E$3001,MIN('02_Eingaben'!$C$21,ROW()-1+'02_Eingaben'!$C$17))))</f>
        <v/>
      </c>
      <c r="G600" s="27">
        <f>IF(F600="","",F600-'02_Eingaben'!$C$10)</f>
        <v/>
      </c>
      <c r="H600">
        <f>IF(F600="","",IF(F600&lt;'02_Eingaben'!$C$18*'02_Eingaben'!$C$10,1,0))</f>
        <v/>
      </c>
      <c r="I600" s="27">
        <f>IF(OR(G600="",G601=""),"",(G600+G601)/2*(B601-B600))</f>
        <v/>
      </c>
      <c r="J600" s="27">
        <f>IF(B600="","",IF(B599&lt;'02_Eingaben'!$C$36,0,J599+I599/'02_Eingaben'!$C$8))</f>
        <v/>
      </c>
    </row>
    <row r="601">
      <c r="A601">
        <f>IF('01_Rohdaten'!A601="","",ROW()-1)</f>
        <v/>
      </c>
      <c r="B601" s="27">
        <f>IF('01_Rohdaten'!A601="","",'01_Rohdaten'!A601)</f>
        <v/>
      </c>
      <c r="C601" s="27">
        <f>IF(B601="","",INDEX('01_Rohdaten'!B601:D601,'02_Eingaben'!$C$13))</f>
        <v/>
      </c>
      <c r="D601" s="27">
        <f>IF(C601="","",C601*'02_Eingaben'!$C$15)</f>
        <v/>
      </c>
      <c r="E601" s="27">
        <f>IF(D601="","",D601*'02_Eingaben'!$C$8)</f>
        <v/>
      </c>
      <c r="F601" s="27">
        <f>IF(E601="","",AVERAGE(INDEX($E$2:$E$3001,MAX(1,ROW()-1-'02_Eingaben'!$C$17)):INDEX($E$2:$E$3001,MIN('02_Eingaben'!$C$21,ROW()-1+'02_Eingaben'!$C$17))))</f>
        <v/>
      </c>
      <c r="G601" s="27">
        <f>IF(F601="","",F601-'02_Eingaben'!$C$10)</f>
        <v/>
      </c>
      <c r="H601">
        <f>IF(F601="","",IF(F601&lt;'02_Eingaben'!$C$18*'02_Eingaben'!$C$10,1,0))</f>
        <v/>
      </c>
      <c r="I601" s="27">
        <f>IF(OR(G601="",G602=""),"",(G601+G602)/2*(B602-B601))</f>
        <v/>
      </c>
      <c r="J601" s="27">
        <f>IF(B601="","",IF(B600&lt;'02_Eingaben'!$C$36,0,J600+I600/'02_Eingaben'!$C$8))</f>
        <v/>
      </c>
    </row>
    <row r="602">
      <c r="A602">
        <f>IF('01_Rohdaten'!A602="","",ROW()-1)</f>
        <v/>
      </c>
      <c r="B602" s="27">
        <f>IF('01_Rohdaten'!A602="","",'01_Rohdaten'!A602)</f>
        <v/>
      </c>
      <c r="C602" s="27">
        <f>IF(B602="","",INDEX('01_Rohdaten'!B602:D602,'02_Eingaben'!$C$13))</f>
        <v/>
      </c>
      <c r="D602" s="27">
        <f>IF(C602="","",C602*'02_Eingaben'!$C$15)</f>
        <v/>
      </c>
      <c r="E602" s="27">
        <f>IF(D602="","",D602*'02_Eingaben'!$C$8)</f>
        <v/>
      </c>
      <c r="F602" s="27">
        <f>IF(E602="","",AVERAGE(INDEX($E$2:$E$3001,MAX(1,ROW()-1-'02_Eingaben'!$C$17)):INDEX($E$2:$E$3001,MIN('02_Eingaben'!$C$21,ROW()-1+'02_Eingaben'!$C$17))))</f>
        <v/>
      </c>
      <c r="G602" s="27">
        <f>IF(F602="","",F602-'02_Eingaben'!$C$10)</f>
        <v/>
      </c>
      <c r="H602">
        <f>IF(F602="","",IF(F602&lt;'02_Eingaben'!$C$18*'02_Eingaben'!$C$10,1,0))</f>
        <v/>
      </c>
      <c r="I602" s="27">
        <f>IF(OR(G602="",G603=""),"",(G602+G603)/2*(B603-B602))</f>
        <v/>
      </c>
      <c r="J602" s="27">
        <f>IF(B602="","",IF(B601&lt;'02_Eingaben'!$C$36,0,J601+I601/'02_Eingaben'!$C$8))</f>
        <v/>
      </c>
    </row>
    <row r="603">
      <c r="A603">
        <f>IF('01_Rohdaten'!A603="","",ROW()-1)</f>
        <v/>
      </c>
      <c r="B603" s="27">
        <f>IF('01_Rohdaten'!A603="","",'01_Rohdaten'!A603)</f>
        <v/>
      </c>
      <c r="C603" s="27">
        <f>IF(B603="","",INDEX('01_Rohdaten'!B603:D603,'02_Eingaben'!$C$13))</f>
        <v/>
      </c>
      <c r="D603" s="27">
        <f>IF(C603="","",C603*'02_Eingaben'!$C$15)</f>
        <v/>
      </c>
      <c r="E603" s="27">
        <f>IF(D603="","",D603*'02_Eingaben'!$C$8)</f>
        <v/>
      </c>
      <c r="F603" s="27">
        <f>IF(E603="","",AVERAGE(INDEX($E$2:$E$3001,MAX(1,ROW()-1-'02_Eingaben'!$C$17)):INDEX($E$2:$E$3001,MIN('02_Eingaben'!$C$21,ROW()-1+'02_Eingaben'!$C$17))))</f>
        <v/>
      </c>
      <c r="G603" s="27">
        <f>IF(F603="","",F603-'02_Eingaben'!$C$10)</f>
        <v/>
      </c>
      <c r="H603">
        <f>IF(F603="","",IF(F603&lt;'02_Eingaben'!$C$18*'02_Eingaben'!$C$10,1,0))</f>
        <v/>
      </c>
      <c r="I603" s="27">
        <f>IF(OR(G603="",G604=""),"",(G603+G604)/2*(B604-B603))</f>
        <v/>
      </c>
      <c r="J603" s="27">
        <f>IF(B603="","",IF(B602&lt;'02_Eingaben'!$C$36,0,J602+I602/'02_Eingaben'!$C$8))</f>
        <v/>
      </c>
    </row>
    <row r="604">
      <c r="A604">
        <f>IF('01_Rohdaten'!A604="","",ROW()-1)</f>
        <v/>
      </c>
      <c r="B604" s="27">
        <f>IF('01_Rohdaten'!A604="","",'01_Rohdaten'!A604)</f>
        <v/>
      </c>
      <c r="C604" s="27">
        <f>IF(B604="","",INDEX('01_Rohdaten'!B604:D604,'02_Eingaben'!$C$13))</f>
        <v/>
      </c>
      <c r="D604" s="27">
        <f>IF(C604="","",C604*'02_Eingaben'!$C$15)</f>
        <v/>
      </c>
      <c r="E604" s="27">
        <f>IF(D604="","",D604*'02_Eingaben'!$C$8)</f>
        <v/>
      </c>
      <c r="F604" s="27">
        <f>IF(E604="","",AVERAGE(INDEX($E$2:$E$3001,MAX(1,ROW()-1-'02_Eingaben'!$C$17)):INDEX($E$2:$E$3001,MIN('02_Eingaben'!$C$21,ROW()-1+'02_Eingaben'!$C$17))))</f>
        <v/>
      </c>
      <c r="G604" s="27">
        <f>IF(F604="","",F604-'02_Eingaben'!$C$10)</f>
        <v/>
      </c>
      <c r="H604">
        <f>IF(F604="","",IF(F604&lt;'02_Eingaben'!$C$18*'02_Eingaben'!$C$10,1,0))</f>
        <v/>
      </c>
      <c r="I604" s="27">
        <f>IF(OR(G604="",G605=""),"",(G604+G605)/2*(B605-B604))</f>
        <v/>
      </c>
      <c r="J604" s="27">
        <f>IF(B604="","",IF(B603&lt;'02_Eingaben'!$C$36,0,J603+I603/'02_Eingaben'!$C$8))</f>
        <v/>
      </c>
    </row>
    <row r="605">
      <c r="A605">
        <f>IF('01_Rohdaten'!A605="","",ROW()-1)</f>
        <v/>
      </c>
      <c r="B605" s="27">
        <f>IF('01_Rohdaten'!A605="","",'01_Rohdaten'!A605)</f>
        <v/>
      </c>
      <c r="C605" s="27">
        <f>IF(B605="","",INDEX('01_Rohdaten'!B605:D605,'02_Eingaben'!$C$13))</f>
        <v/>
      </c>
      <c r="D605" s="27">
        <f>IF(C605="","",C605*'02_Eingaben'!$C$15)</f>
        <v/>
      </c>
      <c r="E605" s="27">
        <f>IF(D605="","",D605*'02_Eingaben'!$C$8)</f>
        <v/>
      </c>
      <c r="F605" s="27">
        <f>IF(E605="","",AVERAGE(INDEX($E$2:$E$3001,MAX(1,ROW()-1-'02_Eingaben'!$C$17)):INDEX($E$2:$E$3001,MIN('02_Eingaben'!$C$21,ROW()-1+'02_Eingaben'!$C$17))))</f>
        <v/>
      </c>
      <c r="G605" s="27">
        <f>IF(F605="","",F605-'02_Eingaben'!$C$10)</f>
        <v/>
      </c>
      <c r="H605">
        <f>IF(F605="","",IF(F605&lt;'02_Eingaben'!$C$18*'02_Eingaben'!$C$10,1,0))</f>
        <v/>
      </c>
      <c r="I605" s="27">
        <f>IF(OR(G605="",G606=""),"",(G605+G606)/2*(B606-B605))</f>
        <v/>
      </c>
      <c r="J605" s="27">
        <f>IF(B605="","",IF(B604&lt;'02_Eingaben'!$C$36,0,J604+I604/'02_Eingaben'!$C$8))</f>
        <v/>
      </c>
    </row>
    <row r="606">
      <c r="A606">
        <f>IF('01_Rohdaten'!A606="","",ROW()-1)</f>
        <v/>
      </c>
      <c r="B606" s="27">
        <f>IF('01_Rohdaten'!A606="","",'01_Rohdaten'!A606)</f>
        <v/>
      </c>
      <c r="C606" s="27">
        <f>IF(B606="","",INDEX('01_Rohdaten'!B606:D606,'02_Eingaben'!$C$13))</f>
        <v/>
      </c>
      <c r="D606" s="27">
        <f>IF(C606="","",C606*'02_Eingaben'!$C$15)</f>
        <v/>
      </c>
      <c r="E606" s="27">
        <f>IF(D606="","",D606*'02_Eingaben'!$C$8)</f>
        <v/>
      </c>
      <c r="F606" s="27">
        <f>IF(E606="","",AVERAGE(INDEX($E$2:$E$3001,MAX(1,ROW()-1-'02_Eingaben'!$C$17)):INDEX($E$2:$E$3001,MIN('02_Eingaben'!$C$21,ROW()-1+'02_Eingaben'!$C$17))))</f>
        <v/>
      </c>
      <c r="G606" s="27">
        <f>IF(F606="","",F606-'02_Eingaben'!$C$10)</f>
        <v/>
      </c>
      <c r="H606">
        <f>IF(F606="","",IF(F606&lt;'02_Eingaben'!$C$18*'02_Eingaben'!$C$10,1,0))</f>
        <v/>
      </c>
      <c r="I606" s="27">
        <f>IF(OR(G606="",G607=""),"",(G606+G607)/2*(B607-B606))</f>
        <v/>
      </c>
      <c r="J606" s="27">
        <f>IF(B606="","",IF(B605&lt;'02_Eingaben'!$C$36,0,J605+I605/'02_Eingaben'!$C$8))</f>
        <v/>
      </c>
    </row>
    <row r="607">
      <c r="A607">
        <f>IF('01_Rohdaten'!A607="","",ROW()-1)</f>
        <v/>
      </c>
      <c r="B607" s="27">
        <f>IF('01_Rohdaten'!A607="","",'01_Rohdaten'!A607)</f>
        <v/>
      </c>
      <c r="C607" s="27">
        <f>IF(B607="","",INDEX('01_Rohdaten'!B607:D607,'02_Eingaben'!$C$13))</f>
        <v/>
      </c>
      <c r="D607" s="27">
        <f>IF(C607="","",C607*'02_Eingaben'!$C$15)</f>
        <v/>
      </c>
      <c r="E607" s="27">
        <f>IF(D607="","",D607*'02_Eingaben'!$C$8)</f>
        <v/>
      </c>
      <c r="F607" s="27">
        <f>IF(E607="","",AVERAGE(INDEX($E$2:$E$3001,MAX(1,ROW()-1-'02_Eingaben'!$C$17)):INDEX($E$2:$E$3001,MIN('02_Eingaben'!$C$21,ROW()-1+'02_Eingaben'!$C$17))))</f>
        <v/>
      </c>
      <c r="G607" s="27">
        <f>IF(F607="","",F607-'02_Eingaben'!$C$10)</f>
        <v/>
      </c>
      <c r="H607">
        <f>IF(F607="","",IF(F607&lt;'02_Eingaben'!$C$18*'02_Eingaben'!$C$10,1,0))</f>
        <v/>
      </c>
      <c r="I607" s="27">
        <f>IF(OR(G607="",G608=""),"",(G607+G608)/2*(B608-B607))</f>
        <v/>
      </c>
      <c r="J607" s="27">
        <f>IF(B607="","",IF(B606&lt;'02_Eingaben'!$C$36,0,J606+I606/'02_Eingaben'!$C$8))</f>
        <v/>
      </c>
    </row>
    <row r="608">
      <c r="A608">
        <f>IF('01_Rohdaten'!A608="","",ROW()-1)</f>
        <v/>
      </c>
      <c r="B608" s="27">
        <f>IF('01_Rohdaten'!A608="","",'01_Rohdaten'!A608)</f>
        <v/>
      </c>
      <c r="C608" s="27">
        <f>IF(B608="","",INDEX('01_Rohdaten'!B608:D608,'02_Eingaben'!$C$13))</f>
        <v/>
      </c>
      <c r="D608" s="27">
        <f>IF(C608="","",C608*'02_Eingaben'!$C$15)</f>
        <v/>
      </c>
      <c r="E608" s="27">
        <f>IF(D608="","",D608*'02_Eingaben'!$C$8)</f>
        <v/>
      </c>
      <c r="F608" s="27">
        <f>IF(E608="","",AVERAGE(INDEX($E$2:$E$3001,MAX(1,ROW()-1-'02_Eingaben'!$C$17)):INDEX($E$2:$E$3001,MIN('02_Eingaben'!$C$21,ROW()-1+'02_Eingaben'!$C$17))))</f>
        <v/>
      </c>
      <c r="G608" s="27">
        <f>IF(F608="","",F608-'02_Eingaben'!$C$10)</f>
        <v/>
      </c>
      <c r="H608">
        <f>IF(F608="","",IF(F608&lt;'02_Eingaben'!$C$18*'02_Eingaben'!$C$10,1,0))</f>
        <v/>
      </c>
      <c r="I608" s="27">
        <f>IF(OR(G608="",G609=""),"",(G608+G609)/2*(B609-B608))</f>
        <v/>
      </c>
      <c r="J608" s="27">
        <f>IF(B608="","",IF(B607&lt;'02_Eingaben'!$C$36,0,J607+I607/'02_Eingaben'!$C$8))</f>
        <v/>
      </c>
    </row>
    <row r="609">
      <c r="A609">
        <f>IF('01_Rohdaten'!A609="","",ROW()-1)</f>
        <v/>
      </c>
      <c r="B609" s="27">
        <f>IF('01_Rohdaten'!A609="","",'01_Rohdaten'!A609)</f>
        <v/>
      </c>
      <c r="C609" s="27">
        <f>IF(B609="","",INDEX('01_Rohdaten'!B609:D609,'02_Eingaben'!$C$13))</f>
        <v/>
      </c>
      <c r="D609" s="27">
        <f>IF(C609="","",C609*'02_Eingaben'!$C$15)</f>
        <v/>
      </c>
      <c r="E609" s="27">
        <f>IF(D609="","",D609*'02_Eingaben'!$C$8)</f>
        <v/>
      </c>
      <c r="F609" s="27">
        <f>IF(E609="","",AVERAGE(INDEX($E$2:$E$3001,MAX(1,ROW()-1-'02_Eingaben'!$C$17)):INDEX($E$2:$E$3001,MIN('02_Eingaben'!$C$21,ROW()-1+'02_Eingaben'!$C$17))))</f>
        <v/>
      </c>
      <c r="G609" s="27">
        <f>IF(F609="","",F609-'02_Eingaben'!$C$10)</f>
        <v/>
      </c>
      <c r="H609">
        <f>IF(F609="","",IF(F609&lt;'02_Eingaben'!$C$18*'02_Eingaben'!$C$10,1,0))</f>
        <v/>
      </c>
      <c r="I609" s="27">
        <f>IF(OR(G609="",G610=""),"",(G609+G610)/2*(B610-B609))</f>
        <v/>
      </c>
      <c r="J609" s="27">
        <f>IF(B609="","",IF(B608&lt;'02_Eingaben'!$C$36,0,J608+I608/'02_Eingaben'!$C$8))</f>
        <v/>
      </c>
    </row>
    <row r="610">
      <c r="A610">
        <f>IF('01_Rohdaten'!A610="","",ROW()-1)</f>
        <v/>
      </c>
      <c r="B610" s="27">
        <f>IF('01_Rohdaten'!A610="","",'01_Rohdaten'!A610)</f>
        <v/>
      </c>
      <c r="C610" s="27">
        <f>IF(B610="","",INDEX('01_Rohdaten'!B610:D610,'02_Eingaben'!$C$13))</f>
        <v/>
      </c>
      <c r="D610" s="27">
        <f>IF(C610="","",C610*'02_Eingaben'!$C$15)</f>
        <v/>
      </c>
      <c r="E610" s="27">
        <f>IF(D610="","",D610*'02_Eingaben'!$C$8)</f>
        <v/>
      </c>
      <c r="F610" s="27">
        <f>IF(E610="","",AVERAGE(INDEX($E$2:$E$3001,MAX(1,ROW()-1-'02_Eingaben'!$C$17)):INDEX($E$2:$E$3001,MIN('02_Eingaben'!$C$21,ROW()-1+'02_Eingaben'!$C$17))))</f>
        <v/>
      </c>
      <c r="G610" s="27">
        <f>IF(F610="","",F610-'02_Eingaben'!$C$10)</f>
        <v/>
      </c>
      <c r="H610">
        <f>IF(F610="","",IF(F610&lt;'02_Eingaben'!$C$18*'02_Eingaben'!$C$10,1,0))</f>
        <v/>
      </c>
      <c r="I610" s="27">
        <f>IF(OR(G610="",G611=""),"",(G610+G611)/2*(B611-B610))</f>
        <v/>
      </c>
      <c r="J610" s="27">
        <f>IF(B610="","",IF(B609&lt;'02_Eingaben'!$C$36,0,J609+I609/'02_Eingaben'!$C$8))</f>
        <v/>
      </c>
    </row>
    <row r="611">
      <c r="A611">
        <f>IF('01_Rohdaten'!A611="","",ROW()-1)</f>
        <v/>
      </c>
      <c r="B611" s="27">
        <f>IF('01_Rohdaten'!A611="","",'01_Rohdaten'!A611)</f>
        <v/>
      </c>
      <c r="C611" s="27">
        <f>IF(B611="","",INDEX('01_Rohdaten'!B611:D611,'02_Eingaben'!$C$13))</f>
        <v/>
      </c>
      <c r="D611" s="27">
        <f>IF(C611="","",C611*'02_Eingaben'!$C$15)</f>
        <v/>
      </c>
      <c r="E611" s="27">
        <f>IF(D611="","",D611*'02_Eingaben'!$C$8)</f>
        <v/>
      </c>
      <c r="F611" s="27">
        <f>IF(E611="","",AVERAGE(INDEX($E$2:$E$3001,MAX(1,ROW()-1-'02_Eingaben'!$C$17)):INDEX($E$2:$E$3001,MIN('02_Eingaben'!$C$21,ROW()-1+'02_Eingaben'!$C$17))))</f>
        <v/>
      </c>
      <c r="G611" s="27">
        <f>IF(F611="","",F611-'02_Eingaben'!$C$10)</f>
        <v/>
      </c>
      <c r="H611">
        <f>IF(F611="","",IF(F611&lt;'02_Eingaben'!$C$18*'02_Eingaben'!$C$10,1,0))</f>
        <v/>
      </c>
      <c r="I611" s="27">
        <f>IF(OR(G611="",G612=""),"",(G611+G612)/2*(B612-B611))</f>
        <v/>
      </c>
      <c r="J611" s="27">
        <f>IF(B611="","",IF(B610&lt;'02_Eingaben'!$C$36,0,J610+I610/'02_Eingaben'!$C$8))</f>
        <v/>
      </c>
    </row>
    <row r="612">
      <c r="A612">
        <f>IF('01_Rohdaten'!A612="","",ROW()-1)</f>
        <v/>
      </c>
      <c r="B612" s="27">
        <f>IF('01_Rohdaten'!A612="","",'01_Rohdaten'!A612)</f>
        <v/>
      </c>
      <c r="C612" s="27">
        <f>IF(B612="","",INDEX('01_Rohdaten'!B612:D612,'02_Eingaben'!$C$13))</f>
        <v/>
      </c>
      <c r="D612" s="27">
        <f>IF(C612="","",C612*'02_Eingaben'!$C$15)</f>
        <v/>
      </c>
      <c r="E612" s="27">
        <f>IF(D612="","",D612*'02_Eingaben'!$C$8)</f>
        <v/>
      </c>
      <c r="F612" s="27">
        <f>IF(E612="","",AVERAGE(INDEX($E$2:$E$3001,MAX(1,ROW()-1-'02_Eingaben'!$C$17)):INDEX($E$2:$E$3001,MIN('02_Eingaben'!$C$21,ROW()-1+'02_Eingaben'!$C$17))))</f>
        <v/>
      </c>
      <c r="G612" s="27">
        <f>IF(F612="","",F612-'02_Eingaben'!$C$10)</f>
        <v/>
      </c>
      <c r="H612">
        <f>IF(F612="","",IF(F612&lt;'02_Eingaben'!$C$18*'02_Eingaben'!$C$10,1,0))</f>
        <v/>
      </c>
      <c r="I612" s="27">
        <f>IF(OR(G612="",G613=""),"",(G612+G613)/2*(B613-B612))</f>
        <v/>
      </c>
      <c r="J612" s="27">
        <f>IF(B612="","",IF(B611&lt;'02_Eingaben'!$C$36,0,J611+I611/'02_Eingaben'!$C$8))</f>
        <v/>
      </c>
    </row>
    <row r="613">
      <c r="A613">
        <f>IF('01_Rohdaten'!A613="","",ROW()-1)</f>
        <v/>
      </c>
      <c r="B613" s="27">
        <f>IF('01_Rohdaten'!A613="","",'01_Rohdaten'!A613)</f>
        <v/>
      </c>
      <c r="C613" s="27">
        <f>IF(B613="","",INDEX('01_Rohdaten'!B613:D613,'02_Eingaben'!$C$13))</f>
        <v/>
      </c>
      <c r="D613" s="27">
        <f>IF(C613="","",C613*'02_Eingaben'!$C$15)</f>
        <v/>
      </c>
      <c r="E613" s="27">
        <f>IF(D613="","",D613*'02_Eingaben'!$C$8)</f>
        <v/>
      </c>
      <c r="F613" s="27">
        <f>IF(E613="","",AVERAGE(INDEX($E$2:$E$3001,MAX(1,ROW()-1-'02_Eingaben'!$C$17)):INDEX($E$2:$E$3001,MIN('02_Eingaben'!$C$21,ROW()-1+'02_Eingaben'!$C$17))))</f>
        <v/>
      </c>
      <c r="G613" s="27">
        <f>IF(F613="","",F613-'02_Eingaben'!$C$10)</f>
        <v/>
      </c>
      <c r="H613">
        <f>IF(F613="","",IF(F613&lt;'02_Eingaben'!$C$18*'02_Eingaben'!$C$10,1,0))</f>
        <v/>
      </c>
      <c r="I613" s="27">
        <f>IF(OR(G613="",G614=""),"",(G613+G614)/2*(B614-B613))</f>
        <v/>
      </c>
      <c r="J613" s="27">
        <f>IF(B613="","",IF(B612&lt;'02_Eingaben'!$C$36,0,J612+I612/'02_Eingaben'!$C$8))</f>
        <v/>
      </c>
    </row>
    <row r="614">
      <c r="A614">
        <f>IF('01_Rohdaten'!A614="","",ROW()-1)</f>
        <v/>
      </c>
      <c r="B614" s="27">
        <f>IF('01_Rohdaten'!A614="","",'01_Rohdaten'!A614)</f>
        <v/>
      </c>
      <c r="C614" s="27">
        <f>IF(B614="","",INDEX('01_Rohdaten'!B614:D614,'02_Eingaben'!$C$13))</f>
        <v/>
      </c>
      <c r="D614" s="27">
        <f>IF(C614="","",C614*'02_Eingaben'!$C$15)</f>
        <v/>
      </c>
      <c r="E614" s="27">
        <f>IF(D614="","",D614*'02_Eingaben'!$C$8)</f>
        <v/>
      </c>
      <c r="F614" s="27">
        <f>IF(E614="","",AVERAGE(INDEX($E$2:$E$3001,MAX(1,ROW()-1-'02_Eingaben'!$C$17)):INDEX($E$2:$E$3001,MIN('02_Eingaben'!$C$21,ROW()-1+'02_Eingaben'!$C$17))))</f>
        <v/>
      </c>
      <c r="G614" s="27">
        <f>IF(F614="","",F614-'02_Eingaben'!$C$10)</f>
        <v/>
      </c>
      <c r="H614">
        <f>IF(F614="","",IF(F614&lt;'02_Eingaben'!$C$18*'02_Eingaben'!$C$10,1,0))</f>
        <v/>
      </c>
      <c r="I614" s="27">
        <f>IF(OR(G614="",G615=""),"",(G614+G615)/2*(B615-B614))</f>
        <v/>
      </c>
      <c r="J614" s="27">
        <f>IF(B614="","",IF(B613&lt;'02_Eingaben'!$C$36,0,J613+I613/'02_Eingaben'!$C$8))</f>
        <v/>
      </c>
    </row>
    <row r="615">
      <c r="A615">
        <f>IF('01_Rohdaten'!A615="","",ROW()-1)</f>
        <v/>
      </c>
      <c r="B615" s="27">
        <f>IF('01_Rohdaten'!A615="","",'01_Rohdaten'!A615)</f>
        <v/>
      </c>
      <c r="C615" s="27">
        <f>IF(B615="","",INDEX('01_Rohdaten'!B615:D615,'02_Eingaben'!$C$13))</f>
        <v/>
      </c>
      <c r="D615" s="27">
        <f>IF(C615="","",C615*'02_Eingaben'!$C$15)</f>
        <v/>
      </c>
      <c r="E615" s="27">
        <f>IF(D615="","",D615*'02_Eingaben'!$C$8)</f>
        <v/>
      </c>
      <c r="F615" s="27">
        <f>IF(E615="","",AVERAGE(INDEX($E$2:$E$3001,MAX(1,ROW()-1-'02_Eingaben'!$C$17)):INDEX($E$2:$E$3001,MIN('02_Eingaben'!$C$21,ROW()-1+'02_Eingaben'!$C$17))))</f>
        <v/>
      </c>
      <c r="G615" s="27">
        <f>IF(F615="","",F615-'02_Eingaben'!$C$10)</f>
        <v/>
      </c>
      <c r="H615">
        <f>IF(F615="","",IF(F615&lt;'02_Eingaben'!$C$18*'02_Eingaben'!$C$10,1,0))</f>
        <v/>
      </c>
      <c r="I615" s="27">
        <f>IF(OR(G615="",G616=""),"",(G615+G616)/2*(B616-B615))</f>
        <v/>
      </c>
      <c r="J615" s="27">
        <f>IF(B615="","",IF(B614&lt;'02_Eingaben'!$C$36,0,J614+I614/'02_Eingaben'!$C$8))</f>
        <v/>
      </c>
    </row>
    <row r="616">
      <c r="A616">
        <f>IF('01_Rohdaten'!A616="","",ROW()-1)</f>
        <v/>
      </c>
      <c r="B616" s="27">
        <f>IF('01_Rohdaten'!A616="","",'01_Rohdaten'!A616)</f>
        <v/>
      </c>
      <c r="C616" s="27">
        <f>IF(B616="","",INDEX('01_Rohdaten'!B616:D616,'02_Eingaben'!$C$13))</f>
        <v/>
      </c>
      <c r="D616" s="27">
        <f>IF(C616="","",C616*'02_Eingaben'!$C$15)</f>
        <v/>
      </c>
      <c r="E616" s="27">
        <f>IF(D616="","",D616*'02_Eingaben'!$C$8)</f>
        <v/>
      </c>
      <c r="F616" s="27">
        <f>IF(E616="","",AVERAGE(INDEX($E$2:$E$3001,MAX(1,ROW()-1-'02_Eingaben'!$C$17)):INDEX($E$2:$E$3001,MIN('02_Eingaben'!$C$21,ROW()-1+'02_Eingaben'!$C$17))))</f>
        <v/>
      </c>
      <c r="G616" s="27">
        <f>IF(F616="","",F616-'02_Eingaben'!$C$10)</f>
        <v/>
      </c>
      <c r="H616">
        <f>IF(F616="","",IF(F616&lt;'02_Eingaben'!$C$18*'02_Eingaben'!$C$10,1,0))</f>
        <v/>
      </c>
      <c r="I616" s="27">
        <f>IF(OR(G616="",G617=""),"",(G616+G617)/2*(B617-B616))</f>
        <v/>
      </c>
      <c r="J616" s="27">
        <f>IF(B616="","",IF(B615&lt;'02_Eingaben'!$C$36,0,J615+I615/'02_Eingaben'!$C$8))</f>
        <v/>
      </c>
    </row>
    <row r="617">
      <c r="A617">
        <f>IF('01_Rohdaten'!A617="","",ROW()-1)</f>
        <v/>
      </c>
      <c r="B617" s="27">
        <f>IF('01_Rohdaten'!A617="","",'01_Rohdaten'!A617)</f>
        <v/>
      </c>
      <c r="C617" s="27">
        <f>IF(B617="","",INDEX('01_Rohdaten'!B617:D617,'02_Eingaben'!$C$13))</f>
        <v/>
      </c>
      <c r="D617" s="27">
        <f>IF(C617="","",C617*'02_Eingaben'!$C$15)</f>
        <v/>
      </c>
      <c r="E617" s="27">
        <f>IF(D617="","",D617*'02_Eingaben'!$C$8)</f>
        <v/>
      </c>
      <c r="F617" s="27">
        <f>IF(E617="","",AVERAGE(INDEX($E$2:$E$3001,MAX(1,ROW()-1-'02_Eingaben'!$C$17)):INDEX($E$2:$E$3001,MIN('02_Eingaben'!$C$21,ROW()-1+'02_Eingaben'!$C$17))))</f>
        <v/>
      </c>
      <c r="G617" s="27">
        <f>IF(F617="","",F617-'02_Eingaben'!$C$10)</f>
        <v/>
      </c>
      <c r="H617">
        <f>IF(F617="","",IF(F617&lt;'02_Eingaben'!$C$18*'02_Eingaben'!$C$10,1,0))</f>
        <v/>
      </c>
      <c r="I617" s="27">
        <f>IF(OR(G617="",G618=""),"",(G617+G618)/2*(B618-B617))</f>
        <v/>
      </c>
      <c r="J617" s="27">
        <f>IF(B617="","",IF(B616&lt;'02_Eingaben'!$C$36,0,J616+I616/'02_Eingaben'!$C$8))</f>
        <v/>
      </c>
    </row>
    <row r="618">
      <c r="A618">
        <f>IF('01_Rohdaten'!A618="","",ROW()-1)</f>
        <v/>
      </c>
      <c r="B618" s="27">
        <f>IF('01_Rohdaten'!A618="","",'01_Rohdaten'!A618)</f>
        <v/>
      </c>
      <c r="C618" s="27">
        <f>IF(B618="","",INDEX('01_Rohdaten'!B618:D618,'02_Eingaben'!$C$13))</f>
        <v/>
      </c>
      <c r="D618" s="27">
        <f>IF(C618="","",C618*'02_Eingaben'!$C$15)</f>
        <v/>
      </c>
      <c r="E618" s="27">
        <f>IF(D618="","",D618*'02_Eingaben'!$C$8)</f>
        <v/>
      </c>
      <c r="F618" s="27">
        <f>IF(E618="","",AVERAGE(INDEX($E$2:$E$3001,MAX(1,ROW()-1-'02_Eingaben'!$C$17)):INDEX($E$2:$E$3001,MIN('02_Eingaben'!$C$21,ROW()-1+'02_Eingaben'!$C$17))))</f>
        <v/>
      </c>
      <c r="G618" s="27">
        <f>IF(F618="","",F618-'02_Eingaben'!$C$10)</f>
        <v/>
      </c>
      <c r="H618">
        <f>IF(F618="","",IF(F618&lt;'02_Eingaben'!$C$18*'02_Eingaben'!$C$10,1,0))</f>
        <v/>
      </c>
      <c r="I618" s="27">
        <f>IF(OR(G618="",G619=""),"",(G618+G619)/2*(B619-B618))</f>
        <v/>
      </c>
      <c r="J618" s="27">
        <f>IF(B618="","",IF(B617&lt;'02_Eingaben'!$C$36,0,J617+I617/'02_Eingaben'!$C$8))</f>
        <v/>
      </c>
    </row>
    <row r="619">
      <c r="A619">
        <f>IF('01_Rohdaten'!A619="","",ROW()-1)</f>
        <v/>
      </c>
      <c r="B619" s="27">
        <f>IF('01_Rohdaten'!A619="","",'01_Rohdaten'!A619)</f>
        <v/>
      </c>
      <c r="C619" s="27">
        <f>IF(B619="","",INDEX('01_Rohdaten'!B619:D619,'02_Eingaben'!$C$13))</f>
        <v/>
      </c>
      <c r="D619" s="27">
        <f>IF(C619="","",C619*'02_Eingaben'!$C$15)</f>
        <v/>
      </c>
      <c r="E619" s="27">
        <f>IF(D619="","",D619*'02_Eingaben'!$C$8)</f>
        <v/>
      </c>
      <c r="F619" s="27">
        <f>IF(E619="","",AVERAGE(INDEX($E$2:$E$3001,MAX(1,ROW()-1-'02_Eingaben'!$C$17)):INDEX($E$2:$E$3001,MIN('02_Eingaben'!$C$21,ROW()-1+'02_Eingaben'!$C$17))))</f>
        <v/>
      </c>
      <c r="G619" s="27">
        <f>IF(F619="","",F619-'02_Eingaben'!$C$10)</f>
        <v/>
      </c>
      <c r="H619">
        <f>IF(F619="","",IF(F619&lt;'02_Eingaben'!$C$18*'02_Eingaben'!$C$10,1,0))</f>
        <v/>
      </c>
      <c r="I619" s="27">
        <f>IF(OR(G619="",G620=""),"",(G619+G620)/2*(B620-B619))</f>
        <v/>
      </c>
      <c r="J619" s="27">
        <f>IF(B619="","",IF(B618&lt;'02_Eingaben'!$C$36,0,J618+I618/'02_Eingaben'!$C$8))</f>
        <v/>
      </c>
    </row>
    <row r="620">
      <c r="A620">
        <f>IF('01_Rohdaten'!A620="","",ROW()-1)</f>
        <v/>
      </c>
      <c r="B620" s="27">
        <f>IF('01_Rohdaten'!A620="","",'01_Rohdaten'!A620)</f>
        <v/>
      </c>
      <c r="C620" s="27">
        <f>IF(B620="","",INDEX('01_Rohdaten'!B620:D620,'02_Eingaben'!$C$13))</f>
        <v/>
      </c>
      <c r="D620" s="27">
        <f>IF(C620="","",C620*'02_Eingaben'!$C$15)</f>
        <v/>
      </c>
      <c r="E620" s="27">
        <f>IF(D620="","",D620*'02_Eingaben'!$C$8)</f>
        <v/>
      </c>
      <c r="F620" s="27">
        <f>IF(E620="","",AVERAGE(INDEX($E$2:$E$3001,MAX(1,ROW()-1-'02_Eingaben'!$C$17)):INDEX($E$2:$E$3001,MIN('02_Eingaben'!$C$21,ROW()-1+'02_Eingaben'!$C$17))))</f>
        <v/>
      </c>
      <c r="G620" s="27">
        <f>IF(F620="","",F620-'02_Eingaben'!$C$10)</f>
        <v/>
      </c>
      <c r="H620">
        <f>IF(F620="","",IF(F620&lt;'02_Eingaben'!$C$18*'02_Eingaben'!$C$10,1,0))</f>
        <v/>
      </c>
      <c r="I620" s="27">
        <f>IF(OR(G620="",G621=""),"",(G620+G621)/2*(B621-B620))</f>
        <v/>
      </c>
      <c r="J620" s="27">
        <f>IF(B620="","",IF(B619&lt;'02_Eingaben'!$C$36,0,J619+I619/'02_Eingaben'!$C$8))</f>
        <v/>
      </c>
    </row>
    <row r="621">
      <c r="A621">
        <f>IF('01_Rohdaten'!A621="","",ROW()-1)</f>
        <v/>
      </c>
      <c r="B621" s="27">
        <f>IF('01_Rohdaten'!A621="","",'01_Rohdaten'!A621)</f>
        <v/>
      </c>
      <c r="C621" s="27">
        <f>IF(B621="","",INDEX('01_Rohdaten'!B621:D621,'02_Eingaben'!$C$13))</f>
        <v/>
      </c>
      <c r="D621" s="27">
        <f>IF(C621="","",C621*'02_Eingaben'!$C$15)</f>
        <v/>
      </c>
      <c r="E621" s="27">
        <f>IF(D621="","",D621*'02_Eingaben'!$C$8)</f>
        <v/>
      </c>
      <c r="F621" s="27">
        <f>IF(E621="","",AVERAGE(INDEX($E$2:$E$3001,MAX(1,ROW()-1-'02_Eingaben'!$C$17)):INDEX($E$2:$E$3001,MIN('02_Eingaben'!$C$21,ROW()-1+'02_Eingaben'!$C$17))))</f>
        <v/>
      </c>
      <c r="G621" s="27">
        <f>IF(F621="","",F621-'02_Eingaben'!$C$10)</f>
        <v/>
      </c>
      <c r="H621">
        <f>IF(F621="","",IF(F621&lt;'02_Eingaben'!$C$18*'02_Eingaben'!$C$10,1,0))</f>
        <v/>
      </c>
      <c r="I621" s="27">
        <f>IF(OR(G621="",G622=""),"",(G621+G622)/2*(B622-B621))</f>
        <v/>
      </c>
      <c r="J621" s="27">
        <f>IF(B621="","",IF(B620&lt;'02_Eingaben'!$C$36,0,J620+I620/'02_Eingaben'!$C$8))</f>
        <v/>
      </c>
    </row>
    <row r="622">
      <c r="A622">
        <f>IF('01_Rohdaten'!A622="","",ROW()-1)</f>
        <v/>
      </c>
      <c r="B622" s="27">
        <f>IF('01_Rohdaten'!A622="","",'01_Rohdaten'!A622)</f>
        <v/>
      </c>
      <c r="C622" s="27">
        <f>IF(B622="","",INDEX('01_Rohdaten'!B622:D622,'02_Eingaben'!$C$13))</f>
        <v/>
      </c>
      <c r="D622" s="27">
        <f>IF(C622="","",C622*'02_Eingaben'!$C$15)</f>
        <v/>
      </c>
      <c r="E622" s="27">
        <f>IF(D622="","",D622*'02_Eingaben'!$C$8)</f>
        <v/>
      </c>
      <c r="F622" s="27">
        <f>IF(E622="","",AVERAGE(INDEX($E$2:$E$3001,MAX(1,ROW()-1-'02_Eingaben'!$C$17)):INDEX($E$2:$E$3001,MIN('02_Eingaben'!$C$21,ROW()-1+'02_Eingaben'!$C$17))))</f>
        <v/>
      </c>
      <c r="G622" s="27">
        <f>IF(F622="","",F622-'02_Eingaben'!$C$10)</f>
        <v/>
      </c>
      <c r="H622">
        <f>IF(F622="","",IF(F622&lt;'02_Eingaben'!$C$18*'02_Eingaben'!$C$10,1,0))</f>
        <v/>
      </c>
      <c r="I622" s="27">
        <f>IF(OR(G622="",G623=""),"",(G622+G623)/2*(B623-B622))</f>
        <v/>
      </c>
      <c r="J622" s="27">
        <f>IF(B622="","",IF(B621&lt;'02_Eingaben'!$C$36,0,J621+I621/'02_Eingaben'!$C$8))</f>
        <v/>
      </c>
    </row>
    <row r="623">
      <c r="A623">
        <f>IF('01_Rohdaten'!A623="","",ROW()-1)</f>
        <v/>
      </c>
      <c r="B623" s="27">
        <f>IF('01_Rohdaten'!A623="","",'01_Rohdaten'!A623)</f>
        <v/>
      </c>
      <c r="C623" s="27">
        <f>IF(B623="","",INDEX('01_Rohdaten'!B623:D623,'02_Eingaben'!$C$13))</f>
        <v/>
      </c>
      <c r="D623" s="27">
        <f>IF(C623="","",C623*'02_Eingaben'!$C$15)</f>
        <v/>
      </c>
      <c r="E623" s="27">
        <f>IF(D623="","",D623*'02_Eingaben'!$C$8)</f>
        <v/>
      </c>
      <c r="F623" s="27">
        <f>IF(E623="","",AVERAGE(INDEX($E$2:$E$3001,MAX(1,ROW()-1-'02_Eingaben'!$C$17)):INDEX($E$2:$E$3001,MIN('02_Eingaben'!$C$21,ROW()-1+'02_Eingaben'!$C$17))))</f>
        <v/>
      </c>
      <c r="G623" s="27">
        <f>IF(F623="","",F623-'02_Eingaben'!$C$10)</f>
        <v/>
      </c>
      <c r="H623">
        <f>IF(F623="","",IF(F623&lt;'02_Eingaben'!$C$18*'02_Eingaben'!$C$10,1,0))</f>
        <v/>
      </c>
      <c r="I623" s="27">
        <f>IF(OR(G623="",G624=""),"",(G623+G624)/2*(B624-B623))</f>
        <v/>
      </c>
      <c r="J623" s="27">
        <f>IF(B623="","",IF(B622&lt;'02_Eingaben'!$C$36,0,J622+I622/'02_Eingaben'!$C$8))</f>
        <v/>
      </c>
    </row>
    <row r="624">
      <c r="A624">
        <f>IF('01_Rohdaten'!A624="","",ROW()-1)</f>
        <v/>
      </c>
      <c r="B624" s="27">
        <f>IF('01_Rohdaten'!A624="","",'01_Rohdaten'!A624)</f>
        <v/>
      </c>
      <c r="C624" s="27">
        <f>IF(B624="","",INDEX('01_Rohdaten'!B624:D624,'02_Eingaben'!$C$13))</f>
        <v/>
      </c>
      <c r="D624" s="27">
        <f>IF(C624="","",C624*'02_Eingaben'!$C$15)</f>
        <v/>
      </c>
      <c r="E624" s="27">
        <f>IF(D624="","",D624*'02_Eingaben'!$C$8)</f>
        <v/>
      </c>
      <c r="F624" s="27">
        <f>IF(E624="","",AVERAGE(INDEX($E$2:$E$3001,MAX(1,ROW()-1-'02_Eingaben'!$C$17)):INDEX($E$2:$E$3001,MIN('02_Eingaben'!$C$21,ROW()-1+'02_Eingaben'!$C$17))))</f>
        <v/>
      </c>
      <c r="G624" s="27">
        <f>IF(F624="","",F624-'02_Eingaben'!$C$10)</f>
        <v/>
      </c>
      <c r="H624">
        <f>IF(F624="","",IF(F624&lt;'02_Eingaben'!$C$18*'02_Eingaben'!$C$10,1,0))</f>
        <v/>
      </c>
      <c r="I624" s="27">
        <f>IF(OR(G624="",G625=""),"",(G624+G625)/2*(B625-B624))</f>
        <v/>
      </c>
      <c r="J624" s="27">
        <f>IF(B624="","",IF(B623&lt;'02_Eingaben'!$C$36,0,J623+I623/'02_Eingaben'!$C$8))</f>
        <v/>
      </c>
    </row>
    <row r="625">
      <c r="A625">
        <f>IF('01_Rohdaten'!A625="","",ROW()-1)</f>
        <v/>
      </c>
      <c r="B625" s="27">
        <f>IF('01_Rohdaten'!A625="","",'01_Rohdaten'!A625)</f>
        <v/>
      </c>
      <c r="C625" s="27">
        <f>IF(B625="","",INDEX('01_Rohdaten'!B625:D625,'02_Eingaben'!$C$13))</f>
        <v/>
      </c>
      <c r="D625" s="27">
        <f>IF(C625="","",C625*'02_Eingaben'!$C$15)</f>
        <v/>
      </c>
      <c r="E625" s="27">
        <f>IF(D625="","",D625*'02_Eingaben'!$C$8)</f>
        <v/>
      </c>
      <c r="F625" s="27">
        <f>IF(E625="","",AVERAGE(INDEX($E$2:$E$3001,MAX(1,ROW()-1-'02_Eingaben'!$C$17)):INDEX($E$2:$E$3001,MIN('02_Eingaben'!$C$21,ROW()-1+'02_Eingaben'!$C$17))))</f>
        <v/>
      </c>
      <c r="G625" s="27">
        <f>IF(F625="","",F625-'02_Eingaben'!$C$10)</f>
        <v/>
      </c>
      <c r="H625">
        <f>IF(F625="","",IF(F625&lt;'02_Eingaben'!$C$18*'02_Eingaben'!$C$10,1,0))</f>
        <v/>
      </c>
      <c r="I625" s="27">
        <f>IF(OR(G625="",G626=""),"",(G625+G626)/2*(B626-B625))</f>
        <v/>
      </c>
      <c r="J625" s="27">
        <f>IF(B625="","",IF(B624&lt;'02_Eingaben'!$C$36,0,J624+I624/'02_Eingaben'!$C$8))</f>
        <v/>
      </c>
    </row>
    <row r="626">
      <c r="A626">
        <f>IF('01_Rohdaten'!A626="","",ROW()-1)</f>
        <v/>
      </c>
      <c r="B626" s="27">
        <f>IF('01_Rohdaten'!A626="","",'01_Rohdaten'!A626)</f>
        <v/>
      </c>
      <c r="C626" s="27">
        <f>IF(B626="","",INDEX('01_Rohdaten'!B626:D626,'02_Eingaben'!$C$13))</f>
        <v/>
      </c>
      <c r="D626" s="27">
        <f>IF(C626="","",C626*'02_Eingaben'!$C$15)</f>
        <v/>
      </c>
      <c r="E626" s="27">
        <f>IF(D626="","",D626*'02_Eingaben'!$C$8)</f>
        <v/>
      </c>
      <c r="F626" s="27">
        <f>IF(E626="","",AVERAGE(INDEX($E$2:$E$3001,MAX(1,ROW()-1-'02_Eingaben'!$C$17)):INDEX($E$2:$E$3001,MIN('02_Eingaben'!$C$21,ROW()-1+'02_Eingaben'!$C$17))))</f>
        <v/>
      </c>
      <c r="G626" s="27">
        <f>IF(F626="","",F626-'02_Eingaben'!$C$10)</f>
        <v/>
      </c>
      <c r="H626">
        <f>IF(F626="","",IF(F626&lt;'02_Eingaben'!$C$18*'02_Eingaben'!$C$10,1,0))</f>
        <v/>
      </c>
      <c r="I626" s="27">
        <f>IF(OR(G626="",G627=""),"",(G626+G627)/2*(B627-B626))</f>
        <v/>
      </c>
      <c r="J626" s="27">
        <f>IF(B626="","",IF(B625&lt;'02_Eingaben'!$C$36,0,J625+I625/'02_Eingaben'!$C$8))</f>
        <v/>
      </c>
    </row>
    <row r="627">
      <c r="A627">
        <f>IF('01_Rohdaten'!A627="","",ROW()-1)</f>
        <v/>
      </c>
      <c r="B627" s="27">
        <f>IF('01_Rohdaten'!A627="","",'01_Rohdaten'!A627)</f>
        <v/>
      </c>
      <c r="C627" s="27">
        <f>IF(B627="","",INDEX('01_Rohdaten'!B627:D627,'02_Eingaben'!$C$13))</f>
        <v/>
      </c>
      <c r="D627" s="27">
        <f>IF(C627="","",C627*'02_Eingaben'!$C$15)</f>
        <v/>
      </c>
      <c r="E627" s="27">
        <f>IF(D627="","",D627*'02_Eingaben'!$C$8)</f>
        <v/>
      </c>
      <c r="F627" s="27">
        <f>IF(E627="","",AVERAGE(INDEX($E$2:$E$3001,MAX(1,ROW()-1-'02_Eingaben'!$C$17)):INDEX($E$2:$E$3001,MIN('02_Eingaben'!$C$21,ROW()-1+'02_Eingaben'!$C$17))))</f>
        <v/>
      </c>
      <c r="G627" s="27">
        <f>IF(F627="","",F627-'02_Eingaben'!$C$10)</f>
        <v/>
      </c>
      <c r="H627">
        <f>IF(F627="","",IF(F627&lt;'02_Eingaben'!$C$18*'02_Eingaben'!$C$10,1,0))</f>
        <v/>
      </c>
      <c r="I627" s="27">
        <f>IF(OR(G627="",G628=""),"",(G627+G628)/2*(B628-B627))</f>
        <v/>
      </c>
      <c r="J627" s="27">
        <f>IF(B627="","",IF(B626&lt;'02_Eingaben'!$C$36,0,J626+I626/'02_Eingaben'!$C$8))</f>
        <v/>
      </c>
    </row>
    <row r="628">
      <c r="A628">
        <f>IF('01_Rohdaten'!A628="","",ROW()-1)</f>
        <v/>
      </c>
      <c r="B628" s="27">
        <f>IF('01_Rohdaten'!A628="","",'01_Rohdaten'!A628)</f>
        <v/>
      </c>
      <c r="C628" s="27">
        <f>IF(B628="","",INDEX('01_Rohdaten'!B628:D628,'02_Eingaben'!$C$13))</f>
        <v/>
      </c>
      <c r="D628" s="27">
        <f>IF(C628="","",C628*'02_Eingaben'!$C$15)</f>
        <v/>
      </c>
      <c r="E628" s="27">
        <f>IF(D628="","",D628*'02_Eingaben'!$C$8)</f>
        <v/>
      </c>
      <c r="F628" s="27">
        <f>IF(E628="","",AVERAGE(INDEX($E$2:$E$3001,MAX(1,ROW()-1-'02_Eingaben'!$C$17)):INDEX($E$2:$E$3001,MIN('02_Eingaben'!$C$21,ROW()-1+'02_Eingaben'!$C$17))))</f>
        <v/>
      </c>
      <c r="G628" s="27">
        <f>IF(F628="","",F628-'02_Eingaben'!$C$10)</f>
        <v/>
      </c>
      <c r="H628">
        <f>IF(F628="","",IF(F628&lt;'02_Eingaben'!$C$18*'02_Eingaben'!$C$10,1,0))</f>
        <v/>
      </c>
      <c r="I628" s="27">
        <f>IF(OR(G628="",G629=""),"",(G628+G629)/2*(B629-B628))</f>
        <v/>
      </c>
      <c r="J628" s="27">
        <f>IF(B628="","",IF(B627&lt;'02_Eingaben'!$C$36,0,J627+I627/'02_Eingaben'!$C$8))</f>
        <v/>
      </c>
    </row>
    <row r="629">
      <c r="A629">
        <f>IF('01_Rohdaten'!A629="","",ROW()-1)</f>
        <v/>
      </c>
      <c r="B629" s="27">
        <f>IF('01_Rohdaten'!A629="","",'01_Rohdaten'!A629)</f>
        <v/>
      </c>
      <c r="C629" s="27">
        <f>IF(B629="","",INDEX('01_Rohdaten'!B629:D629,'02_Eingaben'!$C$13))</f>
        <v/>
      </c>
      <c r="D629" s="27">
        <f>IF(C629="","",C629*'02_Eingaben'!$C$15)</f>
        <v/>
      </c>
      <c r="E629" s="27">
        <f>IF(D629="","",D629*'02_Eingaben'!$C$8)</f>
        <v/>
      </c>
      <c r="F629" s="27">
        <f>IF(E629="","",AVERAGE(INDEX($E$2:$E$3001,MAX(1,ROW()-1-'02_Eingaben'!$C$17)):INDEX($E$2:$E$3001,MIN('02_Eingaben'!$C$21,ROW()-1+'02_Eingaben'!$C$17))))</f>
        <v/>
      </c>
      <c r="G629" s="27">
        <f>IF(F629="","",F629-'02_Eingaben'!$C$10)</f>
        <v/>
      </c>
      <c r="H629">
        <f>IF(F629="","",IF(F629&lt;'02_Eingaben'!$C$18*'02_Eingaben'!$C$10,1,0))</f>
        <v/>
      </c>
      <c r="I629" s="27">
        <f>IF(OR(G629="",G630=""),"",(G629+G630)/2*(B630-B629))</f>
        <v/>
      </c>
      <c r="J629" s="27">
        <f>IF(B629="","",IF(B628&lt;'02_Eingaben'!$C$36,0,J628+I628/'02_Eingaben'!$C$8))</f>
        <v/>
      </c>
    </row>
    <row r="630">
      <c r="A630">
        <f>IF('01_Rohdaten'!A630="","",ROW()-1)</f>
        <v/>
      </c>
      <c r="B630" s="27">
        <f>IF('01_Rohdaten'!A630="","",'01_Rohdaten'!A630)</f>
        <v/>
      </c>
      <c r="C630" s="27">
        <f>IF(B630="","",INDEX('01_Rohdaten'!B630:D630,'02_Eingaben'!$C$13))</f>
        <v/>
      </c>
      <c r="D630" s="27">
        <f>IF(C630="","",C630*'02_Eingaben'!$C$15)</f>
        <v/>
      </c>
      <c r="E630" s="27">
        <f>IF(D630="","",D630*'02_Eingaben'!$C$8)</f>
        <v/>
      </c>
      <c r="F630" s="27">
        <f>IF(E630="","",AVERAGE(INDEX($E$2:$E$3001,MAX(1,ROW()-1-'02_Eingaben'!$C$17)):INDEX($E$2:$E$3001,MIN('02_Eingaben'!$C$21,ROW()-1+'02_Eingaben'!$C$17))))</f>
        <v/>
      </c>
      <c r="G630" s="27">
        <f>IF(F630="","",F630-'02_Eingaben'!$C$10)</f>
        <v/>
      </c>
      <c r="H630">
        <f>IF(F630="","",IF(F630&lt;'02_Eingaben'!$C$18*'02_Eingaben'!$C$10,1,0))</f>
        <v/>
      </c>
      <c r="I630" s="27">
        <f>IF(OR(G630="",G631=""),"",(G630+G631)/2*(B631-B630))</f>
        <v/>
      </c>
      <c r="J630" s="27">
        <f>IF(B630="","",IF(B629&lt;'02_Eingaben'!$C$36,0,J629+I629/'02_Eingaben'!$C$8))</f>
        <v/>
      </c>
    </row>
    <row r="631">
      <c r="A631">
        <f>IF('01_Rohdaten'!A631="","",ROW()-1)</f>
        <v/>
      </c>
      <c r="B631" s="27">
        <f>IF('01_Rohdaten'!A631="","",'01_Rohdaten'!A631)</f>
        <v/>
      </c>
      <c r="C631" s="27">
        <f>IF(B631="","",INDEX('01_Rohdaten'!B631:D631,'02_Eingaben'!$C$13))</f>
        <v/>
      </c>
      <c r="D631" s="27">
        <f>IF(C631="","",C631*'02_Eingaben'!$C$15)</f>
        <v/>
      </c>
      <c r="E631" s="27">
        <f>IF(D631="","",D631*'02_Eingaben'!$C$8)</f>
        <v/>
      </c>
      <c r="F631" s="27">
        <f>IF(E631="","",AVERAGE(INDEX($E$2:$E$3001,MAX(1,ROW()-1-'02_Eingaben'!$C$17)):INDEX($E$2:$E$3001,MIN('02_Eingaben'!$C$21,ROW()-1+'02_Eingaben'!$C$17))))</f>
        <v/>
      </c>
      <c r="G631" s="27">
        <f>IF(F631="","",F631-'02_Eingaben'!$C$10)</f>
        <v/>
      </c>
      <c r="H631">
        <f>IF(F631="","",IF(F631&lt;'02_Eingaben'!$C$18*'02_Eingaben'!$C$10,1,0))</f>
        <v/>
      </c>
      <c r="I631" s="27">
        <f>IF(OR(G631="",G632=""),"",(G631+G632)/2*(B632-B631))</f>
        <v/>
      </c>
      <c r="J631" s="27">
        <f>IF(B631="","",IF(B630&lt;'02_Eingaben'!$C$36,0,J630+I630/'02_Eingaben'!$C$8))</f>
        <v/>
      </c>
    </row>
    <row r="632">
      <c r="A632">
        <f>IF('01_Rohdaten'!A632="","",ROW()-1)</f>
        <v/>
      </c>
      <c r="B632" s="27">
        <f>IF('01_Rohdaten'!A632="","",'01_Rohdaten'!A632)</f>
        <v/>
      </c>
      <c r="C632" s="27">
        <f>IF(B632="","",INDEX('01_Rohdaten'!B632:D632,'02_Eingaben'!$C$13))</f>
        <v/>
      </c>
      <c r="D632" s="27">
        <f>IF(C632="","",C632*'02_Eingaben'!$C$15)</f>
        <v/>
      </c>
      <c r="E632" s="27">
        <f>IF(D632="","",D632*'02_Eingaben'!$C$8)</f>
        <v/>
      </c>
      <c r="F632" s="27">
        <f>IF(E632="","",AVERAGE(INDEX($E$2:$E$3001,MAX(1,ROW()-1-'02_Eingaben'!$C$17)):INDEX($E$2:$E$3001,MIN('02_Eingaben'!$C$21,ROW()-1+'02_Eingaben'!$C$17))))</f>
        <v/>
      </c>
      <c r="G632" s="27">
        <f>IF(F632="","",F632-'02_Eingaben'!$C$10)</f>
        <v/>
      </c>
      <c r="H632">
        <f>IF(F632="","",IF(F632&lt;'02_Eingaben'!$C$18*'02_Eingaben'!$C$10,1,0))</f>
        <v/>
      </c>
      <c r="I632" s="27">
        <f>IF(OR(G632="",G633=""),"",(G632+G633)/2*(B633-B632))</f>
        <v/>
      </c>
      <c r="J632" s="27">
        <f>IF(B632="","",IF(B631&lt;'02_Eingaben'!$C$36,0,J631+I631/'02_Eingaben'!$C$8))</f>
        <v/>
      </c>
    </row>
    <row r="633">
      <c r="A633">
        <f>IF('01_Rohdaten'!A633="","",ROW()-1)</f>
        <v/>
      </c>
      <c r="B633" s="27">
        <f>IF('01_Rohdaten'!A633="","",'01_Rohdaten'!A633)</f>
        <v/>
      </c>
      <c r="C633" s="27">
        <f>IF(B633="","",INDEX('01_Rohdaten'!B633:D633,'02_Eingaben'!$C$13))</f>
        <v/>
      </c>
      <c r="D633" s="27">
        <f>IF(C633="","",C633*'02_Eingaben'!$C$15)</f>
        <v/>
      </c>
      <c r="E633" s="27">
        <f>IF(D633="","",D633*'02_Eingaben'!$C$8)</f>
        <v/>
      </c>
      <c r="F633" s="27">
        <f>IF(E633="","",AVERAGE(INDEX($E$2:$E$3001,MAX(1,ROW()-1-'02_Eingaben'!$C$17)):INDEX($E$2:$E$3001,MIN('02_Eingaben'!$C$21,ROW()-1+'02_Eingaben'!$C$17))))</f>
        <v/>
      </c>
      <c r="G633" s="27">
        <f>IF(F633="","",F633-'02_Eingaben'!$C$10)</f>
        <v/>
      </c>
      <c r="H633">
        <f>IF(F633="","",IF(F633&lt;'02_Eingaben'!$C$18*'02_Eingaben'!$C$10,1,0))</f>
        <v/>
      </c>
      <c r="I633" s="27">
        <f>IF(OR(G633="",G634=""),"",(G633+G634)/2*(B634-B633))</f>
        <v/>
      </c>
      <c r="J633" s="27">
        <f>IF(B633="","",IF(B632&lt;'02_Eingaben'!$C$36,0,J632+I632/'02_Eingaben'!$C$8))</f>
        <v/>
      </c>
    </row>
    <row r="634">
      <c r="A634">
        <f>IF('01_Rohdaten'!A634="","",ROW()-1)</f>
        <v/>
      </c>
      <c r="B634" s="27">
        <f>IF('01_Rohdaten'!A634="","",'01_Rohdaten'!A634)</f>
        <v/>
      </c>
      <c r="C634" s="27">
        <f>IF(B634="","",INDEX('01_Rohdaten'!B634:D634,'02_Eingaben'!$C$13))</f>
        <v/>
      </c>
      <c r="D634" s="27">
        <f>IF(C634="","",C634*'02_Eingaben'!$C$15)</f>
        <v/>
      </c>
      <c r="E634" s="27">
        <f>IF(D634="","",D634*'02_Eingaben'!$C$8)</f>
        <v/>
      </c>
      <c r="F634" s="27">
        <f>IF(E634="","",AVERAGE(INDEX($E$2:$E$3001,MAX(1,ROW()-1-'02_Eingaben'!$C$17)):INDEX($E$2:$E$3001,MIN('02_Eingaben'!$C$21,ROW()-1+'02_Eingaben'!$C$17))))</f>
        <v/>
      </c>
      <c r="G634" s="27">
        <f>IF(F634="","",F634-'02_Eingaben'!$C$10)</f>
        <v/>
      </c>
      <c r="H634">
        <f>IF(F634="","",IF(F634&lt;'02_Eingaben'!$C$18*'02_Eingaben'!$C$10,1,0))</f>
        <v/>
      </c>
      <c r="I634" s="27">
        <f>IF(OR(G634="",G635=""),"",(G634+G635)/2*(B635-B634))</f>
        <v/>
      </c>
      <c r="J634" s="27">
        <f>IF(B634="","",IF(B633&lt;'02_Eingaben'!$C$36,0,J633+I633/'02_Eingaben'!$C$8))</f>
        <v/>
      </c>
    </row>
    <row r="635">
      <c r="A635">
        <f>IF('01_Rohdaten'!A635="","",ROW()-1)</f>
        <v/>
      </c>
      <c r="B635" s="27">
        <f>IF('01_Rohdaten'!A635="","",'01_Rohdaten'!A635)</f>
        <v/>
      </c>
      <c r="C635" s="27">
        <f>IF(B635="","",INDEX('01_Rohdaten'!B635:D635,'02_Eingaben'!$C$13))</f>
        <v/>
      </c>
      <c r="D635" s="27">
        <f>IF(C635="","",C635*'02_Eingaben'!$C$15)</f>
        <v/>
      </c>
      <c r="E635" s="27">
        <f>IF(D635="","",D635*'02_Eingaben'!$C$8)</f>
        <v/>
      </c>
      <c r="F635" s="27">
        <f>IF(E635="","",AVERAGE(INDEX($E$2:$E$3001,MAX(1,ROW()-1-'02_Eingaben'!$C$17)):INDEX($E$2:$E$3001,MIN('02_Eingaben'!$C$21,ROW()-1+'02_Eingaben'!$C$17))))</f>
        <v/>
      </c>
      <c r="G635" s="27">
        <f>IF(F635="","",F635-'02_Eingaben'!$C$10)</f>
        <v/>
      </c>
      <c r="H635">
        <f>IF(F635="","",IF(F635&lt;'02_Eingaben'!$C$18*'02_Eingaben'!$C$10,1,0))</f>
        <v/>
      </c>
      <c r="I635" s="27">
        <f>IF(OR(G635="",G636=""),"",(G635+G636)/2*(B636-B635))</f>
        <v/>
      </c>
      <c r="J635" s="27">
        <f>IF(B635="","",IF(B634&lt;'02_Eingaben'!$C$36,0,J634+I634/'02_Eingaben'!$C$8))</f>
        <v/>
      </c>
    </row>
    <row r="636">
      <c r="A636">
        <f>IF('01_Rohdaten'!A636="","",ROW()-1)</f>
        <v/>
      </c>
      <c r="B636" s="27">
        <f>IF('01_Rohdaten'!A636="","",'01_Rohdaten'!A636)</f>
        <v/>
      </c>
      <c r="C636" s="27">
        <f>IF(B636="","",INDEX('01_Rohdaten'!B636:D636,'02_Eingaben'!$C$13))</f>
        <v/>
      </c>
      <c r="D636" s="27">
        <f>IF(C636="","",C636*'02_Eingaben'!$C$15)</f>
        <v/>
      </c>
      <c r="E636" s="27">
        <f>IF(D636="","",D636*'02_Eingaben'!$C$8)</f>
        <v/>
      </c>
      <c r="F636" s="27">
        <f>IF(E636="","",AVERAGE(INDEX($E$2:$E$3001,MAX(1,ROW()-1-'02_Eingaben'!$C$17)):INDEX($E$2:$E$3001,MIN('02_Eingaben'!$C$21,ROW()-1+'02_Eingaben'!$C$17))))</f>
        <v/>
      </c>
      <c r="G636" s="27">
        <f>IF(F636="","",F636-'02_Eingaben'!$C$10)</f>
        <v/>
      </c>
      <c r="H636">
        <f>IF(F636="","",IF(F636&lt;'02_Eingaben'!$C$18*'02_Eingaben'!$C$10,1,0))</f>
        <v/>
      </c>
      <c r="I636" s="27">
        <f>IF(OR(G636="",G637=""),"",(G636+G637)/2*(B637-B636))</f>
        <v/>
      </c>
      <c r="J636" s="27">
        <f>IF(B636="","",IF(B635&lt;'02_Eingaben'!$C$36,0,J635+I635/'02_Eingaben'!$C$8))</f>
        <v/>
      </c>
    </row>
    <row r="637">
      <c r="A637">
        <f>IF('01_Rohdaten'!A637="","",ROW()-1)</f>
        <v/>
      </c>
      <c r="B637" s="27">
        <f>IF('01_Rohdaten'!A637="","",'01_Rohdaten'!A637)</f>
        <v/>
      </c>
      <c r="C637" s="27">
        <f>IF(B637="","",INDEX('01_Rohdaten'!B637:D637,'02_Eingaben'!$C$13))</f>
        <v/>
      </c>
      <c r="D637" s="27">
        <f>IF(C637="","",C637*'02_Eingaben'!$C$15)</f>
        <v/>
      </c>
      <c r="E637" s="27">
        <f>IF(D637="","",D637*'02_Eingaben'!$C$8)</f>
        <v/>
      </c>
      <c r="F637" s="27">
        <f>IF(E637="","",AVERAGE(INDEX($E$2:$E$3001,MAX(1,ROW()-1-'02_Eingaben'!$C$17)):INDEX($E$2:$E$3001,MIN('02_Eingaben'!$C$21,ROW()-1+'02_Eingaben'!$C$17))))</f>
        <v/>
      </c>
      <c r="G637" s="27">
        <f>IF(F637="","",F637-'02_Eingaben'!$C$10)</f>
        <v/>
      </c>
      <c r="H637">
        <f>IF(F637="","",IF(F637&lt;'02_Eingaben'!$C$18*'02_Eingaben'!$C$10,1,0))</f>
        <v/>
      </c>
      <c r="I637" s="27">
        <f>IF(OR(G637="",G638=""),"",(G637+G638)/2*(B638-B637))</f>
        <v/>
      </c>
      <c r="J637" s="27">
        <f>IF(B637="","",IF(B636&lt;'02_Eingaben'!$C$36,0,J636+I636/'02_Eingaben'!$C$8))</f>
        <v/>
      </c>
    </row>
    <row r="638">
      <c r="A638">
        <f>IF('01_Rohdaten'!A638="","",ROW()-1)</f>
        <v/>
      </c>
      <c r="B638" s="27">
        <f>IF('01_Rohdaten'!A638="","",'01_Rohdaten'!A638)</f>
        <v/>
      </c>
      <c r="C638" s="27">
        <f>IF(B638="","",INDEX('01_Rohdaten'!B638:D638,'02_Eingaben'!$C$13))</f>
        <v/>
      </c>
      <c r="D638" s="27">
        <f>IF(C638="","",C638*'02_Eingaben'!$C$15)</f>
        <v/>
      </c>
      <c r="E638" s="27">
        <f>IF(D638="","",D638*'02_Eingaben'!$C$8)</f>
        <v/>
      </c>
      <c r="F638" s="27">
        <f>IF(E638="","",AVERAGE(INDEX($E$2:$E$3001,MAX(1,ROW()-1-'02_Eingaben'!$C$17)):INDEX($E$2:$E$3001,MIN('02_Eingaben'!$C$21,ROW()-1+'02_Eingaben'!$C$17))))</f>
        <v/>
      </c>
      <c r="G638" s="27">
        <f>IF(F638="","",F638-'02_Eingaben'!$C$10)</f>
        <v/>
      </c>
      <c r="H638">
        <f>IF(F638="","",IF(F638&lt;'02_Eingaben'!$C$18*'02_Eingaben'!$C$10,1,0))</f>
        <v/>
      </c>
      <c r="I638" s="27">
        <f>IF(OR(G638="",G639=""),"",(G638+G639)/2*(B639-B638))</f>
        <v/>
      </c>
      <c r="J638" s="27">
        <f>IF(B638="","",IF(B637&lt;'02_Eingaben'!$C$36,0,J637+I637/'02_Eingaben'!$C$8))</f>
        <v/>
      </c>
    </row>
    <row r="639">
      <c r="A639">
        <f>IF('01_Rohdaten'!A639="","",ROW()-1)</f>
        <v/>
      </c>
      <c r="B639" s="27">
        <f>IF('01_Rohdaten'!A639="","",'01_Rohdaten'!A639)</f>
        <v/>
      </c>
      <c r="C639" s="27">
        <f>IF(B639="","",INDEX('01_Rohdaten'!B639:D639,'02_Eingaben'!$C$13))</f>
        <v/>
      </c>
      <c r="D639" s="27">
        <f>IF(C639="","",C639*'02_Eingaben'!$C$15)</f>
        <v/>
      </c>
      <c r="E639" s="27">
        <f>IF(D639="","",D639*'02_Eingaben'!$C$8)</f>
        <v/>
      </c>
      <c r="F639" s="27">
        <f>IF(E639="","",AVERAGE(INDEX($E$2:$E$3001,MAX(1,ROW()-1-'02_Eingaben'!$C$17)):INDEX($E$2:$E$3001,MIN('02_Eingaben'!$C$21,ROW()-1+'02_Eingaben'!$C$17))))</f>
        <v/>
      </c>
      <c r="G639" s="27">
        <f>IF(F639="","",F639-'02_Eingaben'!$C$10)</f>
        <v/>
      </c>
      <c r="H639">
        <f>IF(F639="","",IF(F639&lt;'02_Eingaben'!$C$18*'02_Eingaben'!$C$10,1,0))</f>
        <v/>
      </c>
      <c r="I639" s="27">
        <f>IF(OR(G639="",G640=""),"",(G639+G640)/2*(B640-B639))</f>
        <v/>
      </c>
      <c r="J639" s="27">
        <f>IF(B639="","",IF(B638&lt;'02_Eingaben'!$C$36,0,J638+I638/'02_Eingaben'!$C$8))</f>
        <v/>
      </c>
    </row>
    <row r="640">
      <c r="A640">
        <f>IF('01_Rohdaten'!A640="","",ROW()-1)</f>
        <v/>
      </c>
      <c r="B640" s="27">
        <f>IF('01_Rohdaten'!A640="","",'01_Rohdaten'!A640)</f>
        <v/>
      </c>
      <c r="C640" s="27">
        <f>IF(B640="","",INDEX('01_Rohdaten'!B640:D640,'02_Eingaben'!$C$13))</f>
        <v/>
      </c>
      <c r="D640" s="27">
        <f>IF(C640="","",C640*'02_Eingaben'!$C$15)</f>
        <v/>
      </c>
      <c r="E640" s="27">
        <f>IF(D640="","",D640*'02_Eingaben'!$C$8)</f>
        <v/>
      </c>
      <c r="F640" s="27">
        <f>IF(E640="","",AVERAGE(INDEX($E$2:$E$3001,MAX(1,ROW()-1-'02_Eingaben'!$C$17)):INDEX($E$2:$E$3001,MIN('02_Eingaben'!$C$21,ROW()-1+'02_Eingaben'!$C$17))))</f>
        <v/>
      </c>
      <c r="G640" s="27">
        <f>IF(F640="","",F640-'02_Eingaben'!$C$10)</f>
        <v/>
      </c>
      <c r="H640">
        <f>IF(F640="","",IF(F640&lt;'02_Eingaben'!$C$18*'02_Eingaben'!$C$10,1,0))</f>
        <v/>
      </c>
      <c r="I640" s="27">
        <f>IF(OR(G640="",G641=""),"",(G640+G641)/2*(B641-B640))</f>
        <v/>
      </c>
      <c r="J640" s="27">
        <f>IF(B640="","",IF(B639&lt;'02_Eingaben'!$C$36,0,J639+I639/'02_Eingaben'!$C$8))</f>
        <v/>
      </c>
    </row>
    <row r="641">
      <c r="A641">
        <f>IF('01_Rohdaten'!A641="","",ROW()-1)</f>
        <v/>
      </c>
      <c r="B641" s="27">
        <f>IF('01_Rohdaten'!A641="","",'01_Rohdaten'!A641)</f>
        <v/>
      </c>
      <c r="C641" s="27">
        <f>IF(B641="","",INDEX('01_Rohdaten'!B641:D641,'02_Eingaben'!$C$13))</f>
        <v/>
      </c>
      <c r="D641" s="27">
        <f>IF(C641="","",C641*'02_Eingaben'!$C$15)</f>
        <v/>
      </c>
      <c r="E641" s="27">
        <f>IF(D641="","",D641*'02_Eingaben'!$C$8)</f>
        <v/>
      </c>
      <c r="F641" s="27">
        <f>IF(E641="","",AVERAGE(INDEX($E$2:$E$3001,MAX(1,ROW()-1-'02_Eingaben'!$C$17)):INDEX($E$2:$E$3001,MIN('02_Eingaben'!$C$21,ROW()-1+'02_Eingaben'!$C$17))))</f>
        <v/>
      </c>
      <c r="G641" s="27">
        <f>IF(F641="","",F641-'02_Eingaben'!$C$10)</f>
        <v/>
      </c>
      <c r="H641">
        <f>IF(F641="","",IF(F641&lt;'02_Eingaben'!$C$18*'02_Eingaben'!$C$10,1,0))</f>
        <v/>
      </c>
      <c r="I641" s="27">
        <f>IF(OR(G641="",G642=""),"",(G641+G642)/2*(B642-B641))</f>
        <v/>
      </c>
      <c r="J641" s="27">
        <f>IF(B641="","",IF(B640&lt;'02_Eingaben'!$C$36,0,J640+I640/'02_Eingaben'!$C$8))</f>
        <v/>
      </c>
    </row>
    <row r="642">
      <c r="A642">
        <f>IF('01_Rohdaten'!A642="","",ROW()-1)</f>
        <v/>
      </c>
      <c r="B642" s="27">
        <f>IF('01_Rohdaten'!A642="","",'01_Rohdaten'!A642)</f>
        <v/>
      </c>
      <c r="C642" s="27">
        <f>IF(B642="","",INDEX('01_Rohdaten'!B642:D642,'02_Eingaben'!$C$13))</f>
        <v/>
      </c>
      <c r="D642" s="27">
        <f>IF(C642="","",C642*'02_Eingaben'!$C$15)</f>
        <v/>
      </c>
      <c r="E642" s="27">
        <f>IF(D642="","",D642*'02_Eingaben'!$C$8)</f>
        <v/>
      </c>
      <c r="F642" s="27">
        <f>IF(E642="","",AVERAGE(INDEX($E$2:$E$3001,MAX(1,ROW()-1-'02_Eingaben'!$C$17)):INDEX($E$2:$E$3001,MIN('02_Eingaben'!$C$21,ROW()-1+'02_Eingaben'!$C$17))))</f>
        <v/>
      </c>
      <c r="G642" s="27">
        <f>IF(F642="","",F642-'02_Eingaben'!$C$10)</f>
        <v/>
      </c>
      <c r="H642">
        <f>IF(F642="","",IF(F642&lt;'02_Eingaben'!$C$18*'02_Eingaben'!$C$10,1,0))</f>
        <v/>
      </c>
      <c r="I642" s="27">
        <f>IF(OR(G642="",G643=""),"",(G642+G643)/2*(B643-B642))</f>
        <v/>
      </c>
      <c r="J642" s="27">
        <f>IF(B642="","",IF(B641&lt;'02_Eingaben'!$C$36,0,J641+I641/'02_Eingaben'!$C$8))</f>
        <v/>
      </c>
    </row>
    <row r="643">
      <c r="A643">
        <f>IF('01_Rohdaten'!A643="","",ROW()-1)</f>
        <v/>
      </c>
      <c r="B643" s="27">
        <f>IF('01_Rohdaten'!A643="","",'01_Rohdaten'!A643)</f>
        <v/>
      </c>
      <c r="C643" s="27">
        <f>IF(B643="","",INDEX('01_Rohdaten'!B643:D643,'02_Eingaben'!$C$13))</f>
        <v/>
      </c>
      <c r="D643" s="27">
        <f>IF(C643="","",C643*'02_Eingaben'!$C$15)</f>
        <v/>
      </c>
      <c r="E643" s="27">
        <f>IF(D643="","",D643*'02_Eingaben'!$C$8)</f>
        <v/>
      </c>
      <c r="F643" s="27">
        <f>IF(E643="","",AVERAGE(INDEX($E$2:$E$3001,MAX(1,ROW()-1-'02_Eingaben'!$C$17)):INDEX($E$2:$E$3001,MIN('02_Eingaben'!$C$21,ROW()-1+'02_Eingaben'!$C$17))))</f>
        <v/>
      </c>
      <c r="G643" s="27">
        <f>IF(F643="","",F643-'02_Eingaben'!$C$10)</f>
        <v/>
      </c>
      <c r="H643">
        <f>IF(F643="","",IF(F643&lt;'02_Eingaben'!$C$18*'02_Eingaben'!$C$10,1,0))</f>
        <v/>
      </c>
      <c r="I643" s="27">
        <f>IF(OR(G643="",G644=""),"",(G643+G644)/2*(B644-B643))</f>
        <v/>
      </c>
      <c r="J643" s="27">
        <f>IF(B643="","",IF(B642&lt;'02_Eingaben'!$C$36,0,J642+I642/'02_Eingaben'!$C$8))</f>
        <v/>
      </c>
    </row>
    <row r="644">
      <c r="A644">
        <f>IF('01_Rohdaten'!A644="","",ROW()-1)</f>
        <v/>
      </c>
      <c r="B644" s="27">
        <f>IF('01_Rohdaten'!A644="","",'01_Rohdaten'!A644)</f>
        <v/>
      </c>
      <c r="C644" s="27">
        <f>IF(B644="","",INDEX('01_Rohdaten'!B644:D644,'02_Eingaben'!$C$13))</f>
        <v/>
      </c>
      <c r="D644" s="27">
        <f>IF(C644="","",C644*'02_Eingaben'!$C$15)</f>
        <v/>
      </c>
      <c r="E644" s="27">
        <f>IF(D644="","",D644*'02_Eingaben'!$C$8)</f>
        <v/>
      </c>
      <c r="F644" s="27">
        <f>IF(E644="","",AVERAGE(INDEX($E$2:$E$3001,MAX(1,ROW()-1-'02_Eingaben'!$C$17)):INDEX($E$2:$E$3001,MIN('02_Eingaben'!$C$21,ROW()-1+'02_Eingaben'!$C$17))))</f>
        <v/>
      </c>
      <c r="G644" s="27">
        <f>IF(F644="","",F644-'02_Eingaben'!$C$10)</f>
        <v/>
      </c>
      <c r="H644">
        <f>IF(F644="","",IF(F644&lt;'02_Eingaben'!$C$18*'02_Eingaben'!$C$10,1,0))</f>
        <v/>
      </c>
      <c r="I644" s="27">
        <f>IF(OR(G644="",G645=""),"",(G644+G645)/2*(B645-B644))</f>
        <v/>
      </c>
      <c r="J644" s="27">
        <f>IF(B644="","",IF(B643&lt;'02_Eingaben'!$C$36,0,J643+I643/'02_Eingaben'!$C$8))</f>
        <v/>
      </c>
    </row>
    <row r="645">
      <c r="A645">
        <f>IF('01_Rohdaten'!A645="","",ROW()-1)</f>
        <v/>
      </c>
      <c r="B645" s="27">
        <f>IF('01_Rohdaten'!A645="","",'01_Rohdaten'!A645)</f>
        <v/>
      </c>
      <c r="C645" s="27">
        <f>IF(B645="","",INDEX('01_Rohdaten'!B645:D645,'02_Eingaben'!$C$13))</f>
        <v/>
      </c>
      <c r="D645" s="27">
        <f>IF(C645="","",C645*'02_Eingaben'!$C$15)</f>
        <v/>
      </c>
      <c r="E645" s="27">
        <f>IF(D645="","",D645*'02_Eingaben'!$C$8)</f>
        <v/>
      </c>
      <c r="F645" s="27">
        <f>IF(E645="","",AVERAGE(INDEX($E$2:$E$3001,MAX(1,ROW()-1-'02_Eingaben'!$C$17)):INDEX($E$2:$E$3001,MIN('02_Eingaben'!$C$21,ROW()-1+'02_Eingaben'!$C$17))))</f>
        <v/>
      </c>
      <c r="G645" s="27">
        <f>IF(F645="","",F645-'02_Eingaben'!$C$10)</f>
        <v/>
      </c>
      <c r="H645">
        <f>IF(F645="","",IF(F645&lt;'02_Eingaben'!$C$18*'02_Eingaben'!$C$10,1,0))</f>
        <v/>
      </c>
      <c r="I645" s="27">
        <f>IF(OR(G645="",G646=""),"",(G645+G646)/2*(B646-B645))</f>
        <v/>
      </c>
      <c r="J645" s="27">
        <f>IF(B645="","",IF(B644&lt;'02_Eingaben'!$C$36,0,J644+I644/'02_Eingaben'!$C$8))</f>
        <v/>
      </c>
    </row>
    <row r="646">
      <c r="A646">
        <f>IF('01_Rohdaten'!A646="","",ROW()-1)</f>
        <v/>
      </c>
      <c r="B646" s="27">
        <f>IF('01_Rohdaten'!A646="","",'01_Rohdaten'!A646)</f>
        <v/>
      </c>
      <c r="C646" s="27">
        <f>IF(B646="","",INDEX('01_Rohdaten'!B646:D646,'02_Eingaben'!$C$13))</f>
        <v/>
      </c>
      <c r="D646" s="27">
        <f>IF(C646="","",C646*'02_Eingaben'!$C$15)</f>
        <v/>
      </c>
      <c r="E646" s="27">
        <f>IF(D646="","",D646*'02_Eingaben'!$C$8)</f>
        <v/>
      </c>
      <c r="F646" s="27">
        <f>IF(E646="","",AVERAGE(INDEX($E$2:$E$3001,MAX(1,ROW()-1-'02_Eingaben'!$C$17)):INDEX($E$2:$E$3001,MIN('02_Eingaben'!$C$21,ROW()-1+'02_Eingaben'!$C$17))))</f>
        <v/>
      </c>
      <c r="G646" s="27">
        <f>IF(F646="","",F646-'02_Eingaben'!$C$10)</f>
        <v/>
      </c>
      <c r="H646">
        <f>IF(F646="","",IF(F646&lt;'02_Eingaben'!$C$18*'02_Eingaben'!$C$10,1,0))</f>
        <v/>
      </c>
      <c r="I646" s="27">
        <f>IF(OR(G646="",G647=""),"",(G646+G647)/2*(B647-B646))</f>
        <v/>
      </c>
      <c r="J646" s="27">
        <f>IF(B646="","",IF(B645&lt;'02_Eingaben'!$C$36,0,J645+I645/'02_Eingaben'!$C$8))</f>
        <v/>
      </c>
    </row>
    <row r="647">
      <c r="A647">
        <f>IF('01_Rohdaten'!A647="","",ROW()-1)</f>
        <v/>
      </c>
      <c r="B647" s="27">
        <f>IF('01_Rohdaten'!A647="","",'01_Rohdaten'!A647)</f>
        <v/>
      </c>
      <c r="C647" s="27">
        <f>IF(B647="","",INDEX('01_Rohdaten'!B647:D647,'02_Eingaben'!$C$13))</f>
        <v/>
      </c>
      <c r="D647" s="27">
        <f>IF(C647="","",C647*'02_Eingaben'!$C$15)</f>
        <v/>
      </c>
      <c r="E647" s="27">
        <f>IF(D647="","",D647*'02_Eingaben'!$C$8)</f>
        <v/>
      </c>
      <c r="F647" s="27">
        <f>IF(E647="","",AVERAGE(INDEX($E$2:$E$3001,MAX(1,ROW()-1-'02_Eingaben'!$C$17)):INDEX($E$2:$E$3001,MIN('02_Eingaben'!$C$21,ROW()-1+'02_Eingaben'!$C$17))))</f>
        <v/>
      </c>
      <c r="G647" s="27">
        <f>IF(F647="","",F647-'02_Eingaben'!$C$10)</f>
        <v/>
      </c>
      <c r="H647">
        <f>IF(F647="","",IF(F647&lt;'02_Eingaben'!$C$18*'02_Eingaben'!$C$10,1,0))</f>
        <v/>
      </c>
      <c r="I647" s="27">
        <f>IF(OR(G647="",G648=""),"",(G647+G648)/2*(B648-B647))</f>
        <v/>
      </c>
      <c r="J647" s="27">
        <f>IF(B647="","",IF(B646&lt;'02_Eingaben'!$C$36,0,J646+I646/'02_Eingaben'!$C$8))</f>
        <v/>
      </c>
    </row>
    <row r="648">
      <c r="A648">
        <f>IF('01_Rohdaten'!A648="","",ROW()-1)</f>
        <v/>
      </c>
      <c r="B648" s="27">
        <f>IF('01_Rohdaten'!A648="","",'01_Rohdaten'!A648)</f>
        <v/>
      </c>
      <c r="C648" s="27">
        <f>IF(B648="","",INDEX('01_Rohdaten'!B648:D648,'02_Eingaben'!$C$13))</f>
        <v/>
      </c>
      <c r="D648" s="27">
        <f>IF(C648="","",C648*'02_Eingaben'!$C$15)</f>
        <v/>
      </c>
      <c r="E648" s="27">
        <f>IF(D648="","",D648*'02_Eingaben'!$C$8)</f>
        <v/>
      </c>
      <c r="F648" s="27">
        <f>IF(E648="","",AVERAGE(INDEX($E$2:$E$3001,MAX(1,ROW()-1-'02_Eingaben'!$C$17)):INDEX($E$2:$E$3001,MIN('02_Eingaben'!$C$21,ROW()-1+'02_Eingaben'!$C$17))))</f>
        <v/>
      </c>
      <c r="G648" s="27">
        <f>IF(F648="","",F648-'02_Eingaben'!$C$10)</f>
        <v/>
      </c>
      <c r="H648">
        <f>IF(F648="","",IF(F648&lt;'02_Eingaben'!$C$18*'02_Eingaben'!$C$10,1,0))</f>
        <v/>
      </c>
      <c r="I648" s="27">
        <f>IF(OR(G648="",G649=""),"",(G648+G649)/2*(B649-B648))</f>
        <v/>
      </c>
      <c r="J648" s="27">
        <f>IF(B648="","",IF(B647&lt;'02_Eingaben'!$C$36,0,J647+I647/'02_Eingaben'!$C$8))</f>
        <v/>
      </c>
    </row>
    <row r="649">
      <c r="A649">
        <f>IF('01_Rohdaten'!A649="","",ROW()-1)</f>
        <v/>
      </c>
      <c r="B649" s="27">
        <f>IF('01_Rohdaten'!A649="","",'01_Rohdaten'!A649)</f>
        <v/>
      </c>
      <c r="C649" s="27">
        <f>IF(B649="","",INDEX('01_Rohdaten'!B649:D649,'02_Eingaben'!$C$13))</f>
        <v/>
      </c>
      <c r="D649" s="27">
        <f>IF(C649="","",C649*'02_Eingaben'!$C$15)</f>
        <v/>
      </c>
      <c r="E649" s="27">
        <f>IF(D649="","",D649*'02_Eingaben'!$C$8)</f>
        <v/>
      </c>
      <c r="F649" s="27">
        <f>IF(E649="","",AVERAGE(INDEX($E$2:$E$3001,MAX(1,ROW()-1-'02_Eingaben'!$C$17)):INDEX($E$2:$E$3001,MIN('02_Eingaben'!$C$21,ROW()-1+'02_Eingaben'!$C$17))))</f>
        <v/>
      </c>
      <c r="G649" s="27">
        <f>IF(F649="","",F649-'02_Eingaben'!$C$10)</f>
        <v/>
      </c>
      <c r="H649">
        <f>IF(F649="","",IF(F649&lt;'02_Eingaben'!$C$18*'02_Eingaben'!$C$10,1,0))</f>
        <v/>
      </c>
      <c r="I649" s="27">
        <f>IF(OR(G649="",G650=""),"",(G649+G650)/2*(B650-B649))</f>
        <v/>
      </c>
      <c r="J649" s="27">
        <f>IF(B649="","",IF(B648&lt;'02_Eingaben'!$C$36,0,J648+I648/'02_Eingaben'!$C$8))</f>
        <v/>
      </c>
    </row>
    <row r="650">
      <c r="A650">
        <f>IF('01_Rohdaten'!A650="","",ROW()-1)</f>
        <v/>
      </c>
      <c r="B650" s="27">
        <f>IF('01_Rohdaten'!A650="","",'01_Rohdaten'!A650)</f>
        <v/>
      </c>
      <c r="C650" s="27">
        <f>IF(B650="","",INDEX('01_Rohdaten'!B650:D650,'02_Eingaben'!$C$13))</f>
        <v/>
      </c>
      <c r="D650" s="27">
        <f>IF(C650="","",C650*'02_Eingaben'!$C$15)</f>
        <v/>
      </c>
      <c r="E650" s="27">
        <f>IF(D650="","",D650*'02_Eingaben'!$C$8)</f>
        <v/>
      </c>
      <c r="F650" s="27">
        <f>IF(E650="","",AVERAGE(INDEX($E$2:$E$3001,MAX(1,ROW()-1-'02_Eingaben'!$C$17)):INDEX($E$2:$E$3001,MIN('02_Eingaben'!$C$21,ROW()-1+'02_Eingaben'!$C$17))))</f>
        <v/>
      </c>
      <c r="G650" s="27">
        <f>IF(F650="","",F650-'02_Eingaben'!$C$10)</f>
        <v/>
      </c>
      <c r="H650">
        <f>IF(F650="","",IF(F650&lt;'02_Eingaben'!$C$18*'02_Eingaben'!$C$10,1,0))</f>
        <v/>
      </c>
      <c r="I650" s="27">
        <f>IF(OR(G650="",G651=""),"",(G650+G651)/2*(B651-B650))</f>
        <v/>
      </c>
      <c r="J650" s="27">
        <f>IF(B650="","",IF(B649&lt;'02_Eingaben'!$C$36,0,J649+I649/'02_Eingaben'!$C$8))</f>
        <v/>
      </c>
    </row>
    <row r="651">
      <c r="A651">
        <f>IF('01_Rohdaten'!A651="","",ROW()-1)</f>
        <v/>
      </c>
      <c r="B651" s="27">
        <f>IF('01_Rohdaten'!A651="","",'01_Rohdaten'!A651)</f>
        <v/>
      </c>
      <c r="C651" s="27">
        <f>IF(B651="","",INDEX('01_Rohdaten'!B651:D651,'02_Eingaben'!$C$13))</f>
        <v/>
      </c>
      <c r="D651" s="27">
        <f>IF(C651="","",C651*'02_Eingaben'!$C$15)</f>
        <v/>
      </c>
      <c r="E651" s="27">
        <f>IF(D651="","",D651*'02_Eingaben'!$C$8)</f>
        <v/>
      </c>
      <c r="F651" s="27">
        <f>IF(E651="","",AVERAGE(INDEX($E$2:$E$3001,MAX(1,ROW()-1-'02_Eingaben'!$C$17)):INDEX($E$2:$E$3001,MIN('02_Eingaben'!$C$21,ROW()-1+'02_Eingaben'!$C$17))))</f>
        <v/>
      </c>
      <c r="G651" s="27">
        <f>IF(F651="","",F651-'02_Eingaben'!$C$10)</f>
        <v/>
      </c>
      <c r="H651">
        <f>IF(F651="","",IF(F651&lt;'02_Eingaben'!$C$18*'02_Eingaben'!$C$10,1,0))</f>
        <v/>
      </c>
      <c r="I651" s="27">
        <f>IF(OR(G651="",G652=""),"",(G651+G652)/2*(B652-B651))</f>
        <v/>
      </c>
      <c r="J651" s="27">
        <f>IF(B651="","",IF(B650&lt;'02_Eingaben'!$C$36,0,J650+I650/'02_Eingaben'!$C$8))</f>
        <v/>
      </c>
    </row>
    <row r="652">
      <c r="A652">
        <f>IF('01_Rohdaten'!A652="","",ROW()-1)</f>
        <v/>
      </c>
      <c r="B652" s="27">
        <f>IF('01_Rohdaten'!A652="","",'01_Rohdaten'!A652)</f>
        <v/>
      </c>
      <c r="C652" s="27">
        <f>IF(B652="","",INDEX('01_Rohdaten'!B652:D652,'02_Eingaben'!$C$13))</f>
        <v/>
      </c>
      <c r="D652" s="27">
        <f>IF(C652="","",C652*'02_Eingaben'!$C$15)</f>
        <v/>
      </c>
      <c r="E652" s="27">
        <f>IF(D652="","",D652*'02_Eingaben'!$C$8)</f>
        <v/>
      </c>
      <c r="F652" s="27">
        <f>IF(E652="","",AVERAGE(INDEX($E$2:$E$3001,MAX(1,ROW()-1-'02_Eingaben'!$C$17)):INDEX($E$2:$E$3001,MIN('02_Eingaben'!$C$21,ROW()-1+'02_Eingaben'!$C$17))))</f>
        <v/>
      </c>
      <c r="G652" s="27">
        <f>IF(F652="","",F652-'02_Eingaben'!$C$10)</f>
        <v/>
      </c>
      <c r="H652">
        <f>IF(F652="","",IF(F652&lt;'02_Eingaben'!$C$18*'02_Eingaben'!$C$10,1,0))</f>
        <v/>
      </c>
      <c r="I652" s="27">
        <f>IF(OR(G652="",G653=""),"",(G652+G653)/2*(B653-B652))</f>
        <v/>
      </c>
      <c r="J652" s="27">
        <f>IF(B652="","",IF(B651&lt;'02_Eingaben'!$C$36,0,J651+I651/'02_Eingaben'!$C$8))</f>
        <v/>
      </c>
    </row>
    <row r="653">
      <c r="A653">
        <f>IF('01_Rohdaten'!A653="","",ROW()-1)</f>
        <v/>
      </c>
      <c r="B653" s="27">
        <f>IF('01_Rohdaten'!A653="","",'01_Rohdaten'!A653)</f>
        <v/>
      </c>
      <c r="C653" s="27">
        <f>IF(B653="","",INDEX('01_Rohdaten'!B653:D653,'02_Eingaben'!$C$13))</f>
        <v/>
      </c>
      <c r="D653" s="27">
        <f>IF(C653="","",C653*'02_Eingaben'!$C$15)</f>
        <v/>
      </c>
      <c r="E653" s="27">
        <f>IF(D653="","",D653*'02_Eingaben'!$C$8)</f>
        <v/>
      </c>
      <c r="F653" s="27">
        <f>IF(E653="","",AVERAGE(INDEX($E$2:$E$3001,MAX(1,ROW()-1-'02_Eingaben'!$C$17)):INDEX($E$2:$E$3001,MIN('02_Eingaben'!$C$21,ROW()-1+'02_Eingaben'!$C$17))))</f>
        <v/>
      </c>
      <c r="G653" s="27">
        <f>IF(F653="","",F653-'02_Eingaben'!$C$10)</f>
        <v/>
      </c>
      <c r="H653">
        <f>IF(F653="","",IF(F653&lt;'02_Eingaben'!$C$18*'02_Eingaben'!$C$10,1,0))</f>
        <v/>
      </c>
      <c r="I653" s="27">
        <f>IF(OR(G653="",G654=""),"",(G653+G654)/2*(B654-B653))</f>
        <v/>
      </c>
      <c r="J653" s="27">
        <f>IF(B653="","",IF(B652&lt;'02_Eingaben'!$C$36,0,J652+I652/'02_Eingaben'!$C$8))</f>
        <v/>
      </c>
    </row>
    <row r="654">
      <c r="A654">
        <f>IF('01_Rohdaten'!A654="","",ROW()-1)</f>
        <v/>
      </c>
      <c r="B654" s="27">
        <f>IF('01_Rohdaten'!A654="","",'01_Rohdaten'!A654)</f>
        <v/>
      </c>
      <c r="C654" s="27">
        <f>IF(B654="","",INDEX('01_Rohdaten'!B654:D654,'02_Eingaben'!$C$13))</f>
        <v/>
      </c>
      <c r="D654" s="27">
        <f>IF(C654="","",C654*'02_Eingaben'!$C$15)</f>
        <v/>
      </c>
      <c r="E654" s="27">
        <f>IF(D654="","",D654*'02_Eingaben'!$C$8)</f>
        <v/>
      </c>
      <c r="F654" s="27">
        <f>IF(E654="","",AVERAGE(INDEX($E$2:$E$3001,MAX(1,ROW()-1-'02_Eingaben'!$C$17)):INDEX($E$2:$E$3001,MIN('02_Eingaben'!$C$21,ROW()-1+'02_Eingaben'!$C$17))))</f>
        <v/>
      </c>
      <c r="G654" s="27">
        <f>IF(F654="","",F654-'02_Eingaben'!$C$10)</f>
        <v/>
      </c>
      <c r="H654">
        <f>IF(F654="","",IF(F654&lt;'02_Eingaben'!$C$18*'02_Eingaben'!$C$10,1,0))</f>
        <v/>
      </c>
      <c r="I654" s="27">
        <f>IF(OR(G654="",G655=""),"",(G654+G655)/2*(B655-B654))</f>
        <v/>
      </c>
      <c r="J654" s="27">
        <f>IF(B654="","",IF(B653&lt;'02_Eingaben'!$C$36,0,J653+I653/'02_Eingaben'!$C$8))</f>
        <v/>
      </c>
    </row>
    <row r="655">
      <c r="A655">
        <f>IF('01_Rohdaten'!A655="","",ROW()-1)</f>
        <v/>
      </c>
      <c r="B655" s="27">
        <f>IF('01_Rohdaten'!A655="","",'01_Rohdaten'!A655)</f>
        <v/>
      </c>
      <c r="C655" s="27">
        <f>IF(B655="","",INDEX('01_Rohdaten'!B655:D655,'02_Eingaben'!$C$13))</f>
        <v/>
      </c>
      <c r="D655" s="27">
        <f>IF(C655="","",C655*'02_Eingaben'!$C$15)</f>
        <v/>
      </c>
      <c r="E655" s="27">
        <f>IF(D655="","",D655*'02_Eingaben'!$C$8)</f>
        <v/>
      </c>
      <c r="F655" s="27">
        <f>IF(E655="","",AVERAGE(INDEX($E$2:$E$3001,MAX(1,ROW()-1-'02_Eingaben'!$C$17)):INDEX($E$2:$E$3001,MIN('02_Eingaben'!$C$21,ROW()-1+'02_Eingaben'!$C$17))))</f>
        <v/>
      </c>
      <c r="G655" s="27">
        <f>IF(F655="","",F655-'02_Eingaben'!$C$10)</f>
        <v/>
      </c>
      <c r="H655">
        <f>IF(F655="","",IF(F655&lt;'02_Eingaben'!$C$18*'02_Eingaben'!$C$10,1,0))</f>
        <v/>
      </c>
      <c r="I655" s="27">
        <f>IF(OR(G655="",G656=""),"",(G655+G656)/2*(B656-B655))</f>
        <v/>
      </c>
      <c r="J655" s="27">
        <f>IF(B655="","",IF(B654&lt;'02_Eingaben'!$C$36,0,J654+I654/'02_Eingaben'!$C$8))</f>
        <v/>
      </c>
    </row>
    <row r="656">
      <c r="A656">
        <f>IF('01_Rohdaten'!A656="","",ROW()-1)</f>
        <v/>
      </c>
      <c r="B656" s="27">
        <f>IF('01_Rohdaten'!A656="","",'01_Rohdaten'!A656)</f>
        <v/>
      </c>
      <c r="C656" s="27">
        <f>IF(B656="","",INDEX('01_Rohdaten'!B656:D656,'02_Eingaben'!$C$13))</f>
        <v/>
      </c>
      <c r="D656" s="27">
        <f>IF(C656="","",C656*'02_Eingaben'!$C$15)</f>
        <v/>
      </c>
      <c r="E656" s="27">
        <f>IF(D656="","",D656*'02_Eingaben'!$C$8)</f>
        <v/>
      </c>
      <c r="F656" s="27">
        <f>IF(E656="","",AVERAGE(INDEX($E$2:$E$3001,MAX(1,ROW()-1-'02_Eingaben'!$C$17)):INDEX($E$2:$E$3001,MIN('02_Eingaben'!$C$21,ROW()-1+'02_Eingaben'!$C$17))))</f>
        <v/>
      </c>
      <c r="G656" s="27">
        <f>IF(F656="","",F656-'02_Eingaben'!$C$10)</f>
        <v/>
      </c>
      <c r="H656">
        <f>IF(F656="","",IF(F656&lt;'02_Eingaben'!$C$18*'02_Eingaben'!$C$10,1,0))</f>
        <v/>
      </c>
      <c r="I656" s="27">
        <f>IF(OR(G656="",G657=""),"",(G656+G657)/2*(B657-B656))</f>
        <v/>
      </c>
      <c r="J656" s="27">
        <f>IF(B656="","",IF(B655&lt;'02_Eingaben'!$C$36,0,J655+I655/'02_Eingaben'!$C$8))</f>
        <v/>
      </c>
    </row>
    <row r="657">
      <c r="A657">
        <f>IF('01_Rohdaten'!A657="","",ROW()-1)</f>
        <v/>
      </c>
      <c r="B657" s="27">
        <f>IF('01_Rohdaten'!A657="","",'01_Rohdaten'!A657)</f>
        <v/>
      </c>
      <c r="C657" s="27">
        <f>IF(B657="","",INDEX('01_Rohdaten'!B657:D657,'02_Eingaben'!$C$13))</f>
        <v/>
      </c>
      <c r="D657" s="27">
        <f>IF(C657="","",C657*'02_Eingaben'!$C$15)</f>
        <v/>
      </c>
      <c r="E657" s="27">
        <f>IF(D657="","",D657*'02_Eingaben'!$C$8)</f>
        <v/>
      </c>
      <c r="F657" s="27">
        <f>IF(E657="","",AVERAGE(INDEX($E$2:$E$3001,MAX(1,ROW()-1-'02_Eingaben'!$C$17)):INDEX($E$2:$E$3001,MIN('02_Eingaben'!$C$21,ROW()-1+'02_Eingaben'!$C$17))))</f>
        <v/>
      </c>
      <c r="G657" s="27">
        <f>IF(F657="","",F657-'02_Eingaben'!$C$10)</f>
        <v/>
      </c>
      <c r="H657">
        <f>IF(F657="","",IF(F657&lt;'02_Eingaben'!$C$18*'02_Eingaben'!$C$10,1,0))</f>
        <v/>
      </c>
      <c r="I657" s="27">
        <f>IF(OR(G657="",G658=""),"",(G657+G658)/2*(B658-B657))</f>
        <v/>
      </c>
      <c r="J657" s="27">
        <f>IF(B657="","",IF(B656&lt;'02_Eingaben'!$C$36,0,J656+I656/'02_Eingaben'!$C$8))</f>
        <v/>
      </c>
    </row>
    <row r="658">
      <c r="A658">
        <f>IF('01_Rohdaten'!A658="","",ROW()-1)</f>
        <v/>
      </c>
      <c r="B658" s="27">
        <f>IF('01_Rohdaten'!A658="","",'01_Rohdaten'!A658)</f>
        <v/>
      </c>
      <c r="C658" s="27">
        <f>IF(B658="","",INDEX('01_Rohdaten'!B658:D658,'02_Eingaben'!$C$13))</f>
        <v/>
      </c>
      <c r="D658" s="27">
        <f>IF(C658="","",C658*'02_Eingaben'!$C$15)</f>
        <v/>
      </c>
      <c r="E658" s="27">
        <f>IF(D658="","",D658*'02_Eingaben'!$C$8)</f>
        <v/>
      </c>
      <c r="F658" s="27">
        <f>IF(E658="","",AVERAGE(INDEX($E$2:$E$3001,MAX(1,ROW()-1-'02_Eingaben'!$C$17)):INDEX($E$2:$E$3001,MIN('02_Eingaben'!$C$21,ROW()-1+'02_Eingaben'!$C$17))))</f>
        <v/>
      </c>
      <c r="G658" s="27">
        <f>IF(F658="","",F658-'02_Eingaben'!$C$10)</f>
        <v/>
      </c>
      <c r="H658">
        <f>IF(F658="","",IF(F658&lt;'02_Eingaben'!$C$18*'02_Eingaben'!$C$10,1,0))</f>
        <v/>
      </c>
      <c r="I658" s="27">
        <f>IF(OR(G658="",G659=""),"",(G658+G659)/2*(B659-B658))</f>
        <v/>
      </c>
      <c r="J658" s="27">
        <f>IF(B658="","",IF(B657&lt;'02_Eingaben'!$C$36,0,J657+I657/'02_Eingaben'!$C$8))</f>
        <v/>
      </c>
    </row>
    <row r="659">
      <c r="A659">
        <f>IF('01_Rohdaten'!A659="","",ROW()-1)</f>
        <v/>
      </c>
      <c r="B659" s="27">
        <f>IF('01_Rohdaten'!A659="","",'01_Rohdaten'!A659)</f>
        <v/>
      </c>
      <c r="C659" s="27">
        <f>IF(B659="","",INDEX('01_Rohdaten'!B659:D659,'02_Eingaben'!$C$13))</f>
        <v/>
      </c>
      <c r="D659" s="27">
        <f>IF(C659="","",C659*'02_Eingaben'!$C$15)</f>
        <v/>
      </c>
      <c r="E659" s="27">
        <f>IF(D659="","",D659*'02_Eingaben'!$C$8)</f>
        <v/>
      </c>
      <c r="F659" s="27">
        <f>IF(E659="","",AVERAGE(INDEX($E$2:$E$3001,MAX(1,ROW()-1-'02_Eingaben'!$C$17)):INDEX($E$2:$E$3001,MIN('02_Eingaben'!$C$21,ROW()-1+'02_Eingaben'!$C$17))))</f>
        <v/>
      </c>
      <c r="G659" s="27">
        <f>IF(F659="","",F659-'02_Eingaben'!$C$10)</f>
        <v/>
      </c>
      <c r="H659">
        <f>IF(F659="","",IF(F659&lt;'02_Eingaben'!$C$18*'02_Eingaben'!$C$10,1,0))</f>
        <v/>
      </c>
      <c r="I659" s="27">
        <f>IF(OR(G659="",G660=""),"",(G659+G660)/2*(B660-B659))</f>
        <v/>
      </c>
      <c r="J659" s="27">
        <f>IF(B659="","",IF(B658&lt;'02_Eingaben'!$C$36,0,J658+I658/'02_Eingaben'!$C$8))</f>
        <v/>
      </c>
    </row>
    <row r="660">
      <c r="A660">
        <f>IF('01_Rohdaten'!A660="","",ROW()-1)</f>
        <v/>
      </c>
      <c r="B660" s="27">
        <f>IF('01_Rohdaten'!A660="","",'01_Rohdaten'!A660)</f>
        <v/>
      </c>
      <c r="C660" s="27">
        <f>IF(B660="","",INDEX('01_Rohdaten'!B660:D660,'02_Eingaben'!$C$13))</f>
        <v/>
      </c>
      <c r="D660" s="27">
        <f>IF(C660="","",C660*'02_Eingaben'!$C$15)</f>
        <v/>
      </c>
      <c r="E660" s="27">
        <f>IF(D660="","",D660*'02_Eingaben'!$C$8)</f>
        <v/>
      </c>
      <c r="F660" s="27">
        <f>IF(E660="","",AVERAGE(INDEX($E$2:$E$3001,MAX(1,ROW()-1-'02_Eingaben'!$C$17)):INDEX($E$2:$E$3001,MIN('02_Eingaben'!$C$21,ROW()-1+'02_Eingaben'!$C$17))))</f>
        <v/>
      </c>
      <c r="G660" s="27">
        <f>IF(F660="","",F660-'02_Eingaben'!$C$10)</f>
        <v/>
      </c>
      <c r="H660">
        <f>IF(F660="","",IF(F660&lt;'02_Eingaben'!$C$18*'02_Eingaben'!$C$10,1,0))</f>
        <v/>
      </c>
      <c r="I660" s="27">
        <f>IF(OR(G660="",G661=""),"",(G660+G661)/2*(B661-B660))</f>
        <v/>
      </c>
      <c r="J660" s="27">
        <f>IF(B660="","",IF(B659&lt;'02_Eingaben'!$C$36,0,J659+I659/'02_Eingaben'!$C$8))</f>
        <v/>
      </c>
    </row>
    <row r="661">
      <c r="A661">
        <f>IF('01_Rohdaten'!A661="","",ROW()-1)</f>
        <v/>
      </c>
      <c r="B661" s="27">
        <f>IF('01_Rohdaten'!A661="","",'01_Rohdaten'!A661)</f>
        <v/>
      </c>
      <c r="C661" s="27">
        <f>IF(B661="","",INDEX('01_Rohdaten'!B661:D661,'02_Eingaben'!$C$13))</f>
        <v/>
      </c>
      <c r="D661" s="27">
        <f>IF(C661="","",C661*'02_Eingaben'!$C$15)</f>
        <v/>
      </c>
      <c r="E661" s="27">
        <f>IF(D661="","",D661*'02_Eingaben'!$C$8)</f>
        <v/>
      </c>
      <c r="F661" s="27">
        <f>IF(E661="","",AVERAGE(INDEX($E$2:$E$3001,MAX(1,ROW()-1-'02_Eingaben'!$C$17)):INDEX($E$2:$E$3001,MIN('02_Eingaben'!$C$21,ROW()-1+'02_Eingaben'!$C$17))))</f>
        <v/>
      </c>
      <c r="G661" s="27">
        <f>IF(F661="","",F661-'02_Eingaben'!$C$10)</f>
        <v/>
      </c>
      <c r="H661">
        <f>IF(F661="","",IF(F661&lt;'02_Eingaben'!$C$18*'02_Eingaben'!$C$10,1,0))</f>
        <v/>
      </c>
      <c r="I661" s="27">
        <f>IF(OR(G661="",G662=""),"",(G661+G662)/2*(B662-B661))</f>
        <v/>
      </c>
      <c r="J661" s="27">
        <f>IF(B661="","",IF(B660&lt;'02_Eingaben'!$C$36,0,J660+I660/'02_Eingaben'!$C$8))</f>
        <v/>
      </c>
    </row>
    <row r="662">
      <c r="A662">
        <f>IF('01_Rohdaten'!A662="","",ROW()-1)</f>
        <v/>
      </c>
      <c r="B662" s="27">
        <f>IF('01_Rohdaten'!A662="","",'01_Rohdaten'!A662)</f>
        <v/>
      </c>
      <c r="C662" s="27">
        <f>IF(B662="","",INDEX('01_Rohdaten'!B662:D662,'02_Eingaben'!$C$13))</f>
        <v/>
      </c>
      <c r="D662" s="27">
        <f>IF(C662="","",C662*'02_Eingaben'!$C$15)</f>
        <v/>
      </c>
      <c r="E662" s="27">
        <f>IF(D662="","",D662*'02_Eingaben'!$C$8)</f>
        <v/>
      </c>
      <c r="F662" s="27">
        <f>IF(E662="","",AVERAGE(INDEX($E$2:$E$3001,MAX(1,ROW()-1-'02_Eingaben'!$C$17)):INDEX($E$2:$E$3001,MIN('02_Eingaben'!$C$21,ROW()-1+'02_Eingaben'!$C$17))))</f>
        <v/>
      </c>
      <c r="G662" s="27">
        <f>IF(F662="","",F662-'02_Eingaben'!$C$10)</f>
        <v/>
      </c>
      <c r="H662">
        <f>IF(F662="","",IF(F662&lt;'02_Eingaben'!$C$18*'02_Eingaben'!$C$10,1,0))</f>
        <v/>
      </c>
      <c r="I662" s="27">
        <f>IF(OR(G662="",G663=""),"",(G662+G663)/2*(B663-B662))</f>
        <v/>
      </c>
      <c r="J662" s="27">
        <f>IF(B662="","",IF(B661&lt;'02_Eingaben'!$C$36,0,J661+I661/'02_Eingaben'!$C$8))</f>
        <v/>
      </c>
    </row>
    <row r="663">
      <c r="A663">
        <f>IF('01_Rohdaten'!A663="","",ROW()-1)</f>
        <v/>
      </c>
      <c r="B663" s="27">
        <f>IF('01_Rohdaten'!A663="","",'01_Rohdaten'!A663)</f>
        <v/>
      </c>
      <c r="C663" s="27">
        <f>IF(B663="","",INDEX('01_Rohdaten'!B663:D663,'02_Eingaben'!$C$13))</f>
        <v/>
      </c>
      <c r="D663" s="27">
        <f>IF(C663="","",C663*'02_Eingaben'!$C$15)</f>
        <v/>
      </c>
      <c r="E663" s="27">
        <f>IF(D663="","",D663*'02_Eingaben'!$C$8)</f>
        <v/>
      </c>
      <c r="F663" s="27">
        <f>IF(E663="","",AVERAGE(INDEX($E$2:$E$3001,MAX(1,ROW()-1-'02_Eingaben'!$C$17)):INDEX($E$2:$E$3001,MIN('02_Eingaben'!$C$21,ROW()-1+'02_Eingaben'!$C$17))))</f>
        <v/>
      </c>
      <c r="G663" s="27">
        <f>IF(F663="","",F663-'02_Eingaben'!$C$10)</f>
        <v/>
      </c>
      <c r="H663">
        <f>IF(F663="","",IF(F663&lt;'02_Eingaben'!$C$18*'02_Eingaben'!$C$10,1,0))</f>
        <v/>
      </c>
      <c r="I663" s="27">
        <f>IF(OR(G663="",G664=""),"",(G663+G664)/2*(B664-B663))</f>
        <v/>
      </c>
      <c r="J663" s="27">
        <f>IF(B663="","",IF(B662&lt;'02_Eingaben'!$C$36,0,J662+I662/'02_Eingaben'!$C$8))</f>
        <v/>
      </c>
    </row>
    <row r="664">
      <c r="A664">
        <f>IF('01_Rohdaten'!A664="","",ROW()-1)</f>
        <v/>
      </c>
      <c r="B664" s="27">
        <f>IF('01_Rohdaten'!A664="","",'01_Rohdaten'!A664)</f>
        <v/>
      </c>
      <c r="C664" s="27">
        <f>IF(B664="","",INDEX('01_Rohdaten'!B664:D664,'02_Eingaben'!$C$13))</f>
        <v/>
      </c>
      <c r="D664" s="27">
        <f>IF(C664="","",C664*'02_Eingaben'!$C$15)</f>
        <v/>
      </c>
      <c r="E664" s="27">
        <f>IF(D664="","",D664*'02_Eingaben'!$C$8)</f>
        <v/>
      </c>
      <c r="F664" s="27">
        <f>IF(E664="","",AVERAGE(INDEX($E$2:$E$3001,MAX(1,ROW()-1-'02_Eingaben'!$C$17)):INDEX($E$2:$E$3001,MIN('02_Eingaben'!$C$21,ROW()-1+'02_Eingaben'!$C$17))))</f>
        <v/>
      </c>
      <c r="G664" s="27">
        <f>IF(F664="","",F664-'02_Eingaben'!$C$10)</f>
        <v/>
      </c>
      <c r="H664">
        <f>IF(F664="","",IF(F664&lt;'02_Eingaben'!$C$18*'02_Eingaben'!$C$10,1,0))</f>
        <v/>
      </c>
      <c r="I664" s="27">
        <f>IF(OR(G664="",G665=""),"",(G664+G665)/2*(B665-B664))</f>
        <v/>
      </c>
      <c r="J664" s="27">
        <f>IF(B664="","",IF(B663&lt;'02_Eingaben'!$C$36,0,J663+I663/'02_Eingaben'!$C$8))</f>
        <v/>
      </c>
    </row>
    <row r="665">
      <c r="A665">
        <f>IF('01_Rohdaten'!A665="","",ROW()-1)</f>
        <v/>
      </c>
      <c r="B665" s="27">
        <f>IF('01_Rohdaten'!A665="","",'01_Rohdaten'!A665)</f>
        <v/>
      </c>
      <c r="C665" s="27">
        <f>IF(B665="","",INDEX('01_Rohdaten'!B665:D665,'02_Eingaben'!$C$13))</f>
        <v/>
      </c>
      <c r="D665" s="27">
        <f>IF(C665="","",C665*'02_Eingaben'!$C$15)</f>
        <v/>
      </c>
      <c r="E665" s="27">
        <f>IF(D665="","",D665*'02_Eingaben'!$C$8)</f>
        <v/>
      </c>
      <c r="F665" s="27">
        <f>IF(E665="","",AVERAGE(INDEX($E$2:$E$3001,MAX(1,ROW()-1-'02_Eingaben'!$C$17)):INDEX($E$2:$E$3001,MIN('02_Eingaben'!$C$21,ROW()-1+'02_Eingaben'!$C$17))))</f>
        <v/>
      </c>
      <c r="G665" s="27">
        <f>IF(F665="","",F665-'02_Eingaben'!$C$10)</f>
        <v/>
      </c>
      <c r="H665">
        <f>IF(F665="","",IF(F665&lt;'02_Eingaben'!$C$18*'02_Eingaben'!$C$10,1,0))</f>
        <v/>
      </c>
      <c r="I665" s="27">
        <f>IF(OR(G665="",G666=""),"",(G665+G666)/2*(B666-B665))</f>
        <v/>
      </c>
      <c r="J665" s="27">
        <f>IF(B665="","",IF(B664&lt;'02_Eingaben'!$C$36,0,J664+I664/'02_Eingaben'!$C$8))</f>
        <v/>
      </c>
    </row>
    <row r="666">
      <c r="A666">
        <f>IF('01_Rohdaten'!A666="","",ROW()-1)</f>
        <v/>
      </c>
      <c r="B666" s="27">
        <f>IF('01_Rohdaten'!A666="","",'01_Rohdaten'!A666)</f>
        <v/>
      </c>
      <c r="C666" s="27">
        <f>IF(B666="","",INDEX('01_Rohdaten'!B666:D666,'02_Eingaben'!$C$13))</f>
        <v/>
      </c>
      <c r="D666" s="27">
        <f>IF(C666="","",C666*'02_Eingaben'!$C$15)</f>
        <v/>
      </c>
      <c r="E666" s="27">
        <f>IF(D666="","",D666*'02_Eingaben'!$C$8)</f>
        <v/>
      </c>
      <c r="F666" s="27">
        <f>IF(E666="","",AVERAGE(INDEX($E$2:$E$3001,MAX(1,ROW()-1-'02_Eingaben'!$C$17)):INDEX($E$2:$E$3001,MIN('02_Eingaben'!$C$21,ROW()-1+'02_Eingaben'!$C$17))))</f>
        <v/>
      </c>
      <c r="G666" s="27">
        <f>IF(F666="","",F666-'02_Eingaben'!$C$10)</f>
        <v/>
      </c>
      <c r="H666">
        <f>IF(F666="","",IF(F666&lt;'02_Eingaben'!$C$18*'02_Eingaben'!$C$10,1,0))</f>
        <v/>
      </c>
      <c r="I666" s="27">
        <f>IF(OR(G666="",G667=""),"",(G666+G667)/2*(B667-B666))</f>
        <v/>
      </c>
      <c r="J666" s="27">
        <f>IF(B666="","",IF(B665&lt;'02_Eingaben'!$C$36,0,J665+I665/'02_Eingaben'!$C$8))</f>
        <v/>
      </c>
    </row>
    <row r="667">
      <c r="A667">
        <f>IF('01_Rohdaten'!A667="","",ROW()-1)</f>
        <v/>
      </c>
      <c r="B667" s="27">
        <f>IF('01_Rohdaten'!A667="","",'01_Rohdaten'!A667)</f>
        <v/>
      </c>
      <c r="C667" s="27">
        <f>IF(B667="","",INDEX('01_Rohdaten'!B667:D667,'02_Eingaben'!$C$13))</f>
        <v/>
      </c>
      <c r="D667" s="27">
        <f>IF(C667="","",C667*'02_Eingaben'!$C$15)</f>
        <v/>
      </c>
      <c r="E667" s="27">
        <f>IF(D667="","",D667*'02_Eingaben'!$C$8)</f>
        <v/>
      </c>
      <c r="F667" s="27">
        <f>IF(E667="","",AVERAGE(INDEX($E$2:$E$3001,MAX(1,ROW()-1-'02_Eingaben'!$C$17)):INDEX($E$2:$E$3001,MIN('02_Eingaben'!$C$21,ROW()-1+'02_Eingaben'!$C$17))))</f>
        <v/>
      </c>
      <c r="G667" s="27">
        <f>IF(F667="","",F667-'02_Eingaben'!$C$10)</f>
        <v/>
      </c>
      <c r="H667">
        <f>IF(F667="","",IF(F667&lt;'02_Eingaben'!$C$18*'02_Eingaben'!$C$10,1,0))</f>
        <v/>
      </c>
      <c r="I667" s="27">
        <f>IF(OR(G667="",G668=""),"",(G667+G668)/2*(B668-B667))</f>
        <v/>
      </c>
      <c r="J667" s="27">
        <f>IF(B667="","",IF(B666&lt;'02_Eingaben'!$C$36,0,J666+I666/'02_Eingaben'!$C$8))</f>
        <v/>
      </c>
    </row>
    <row r="668">
      <c r="A668">
        <f>IF('01_Rohdaten'!A668="","",ROW()-1)</f>
        <v/>
      </c>
      <c r="B668" s="27">
        <f>IF('01_Rohdaten'!A668="","",'01_Rohdaten'!A668)</f>
        <v/>
      </c>
      <c r="C668" s="27">
        <f>IF(B668="","",INDEX('01_Rohdaten'!B668:D668,'02_Eingaben'!$C$13))</f>
        <v/>
      </c>
      <c r="D668" s="27">
        <f>IF(C668="","",C668*'02_Eingaben'!$C$15)</f>
        <v/>
      </c>
      <c r="E668" s="27">
        <f>IF(D668="","",D668*'02_Eingaben'!$C$8)</f>
        <v/>
      </c>
      <c r="F668" s="27">
        <f>IF(E668="","",AVERAGE(INDEX($E$2:$E$3001,MAX(1,ROW()-1-'02_Eingaben'!$C$17)):INDEX($E$2:$E$3001,MIN('02_Eingaben'!$C$21,ROW()-1+'02_Eingaben'!$C$17))))</f>
        <v/>
      </c>
      <c r="G668" s="27">
        <f>IF(F668="","",F668-'02_Eingaben'!$C$10)</f>
        <v/>
      </c>
      <c r="H668">
        <f>IF(F668="","",IF(F668&lt;'02_Eingaben'!$C$18*'02_Eingaben'!$C$10,1,0))</f>
        <v/>
      </c>
      <c r="I668" s="27">
        <f>IF(OR(G668="",G669=""),"",(G668+G669)/2*(B669-B668))</f>
        <v/>
      </c>
      <c r="J668" s="27">
        <f>IF(B668="","",IF(B667&lt;'02_Eingaben'!$C$36,0,J667+I667/'02_Eingaben'!$C$8))</f>
        <v/>
      </c>
    </row>
    <row r="669">
      <c r="A669">
        <f>IF('01_Rohdaten'!A669="","",ROW()-1)</f>
        <v/>
      </c>
      <c r="B669" s="27">
        <f>IF('01_Rohdaten'!A669="","",'01_Rohdaten'!A669)</f>
        <v/>
      </c>
      <c r="C669" s="27">
        <f>IF(B669="","",INDEX('01_Rohdaten'!B669:D669,'02_Eingaben'!$C$13))</f>
        <v/>
      </c>
      <c r="D669" s="27">
        <f>IF(C669="","",C669*'02_Eingaben'!$C$15)</f>
        <v/>
      </c>
      <c r="E669" s="27">
        <f>IF(D669="","",D669*'02_Eingaben'!$C$8)</f>
        <v/>
      </c>
      <c r="F669" s="27">
        <f>IF(E669="","",AVERAGE(INDEX($E$2:$E$3001,MAX(1,ROW()-1-'02_Eingaben'!$C$17)):INDEX($E$2:$E$3001,MIN('02_Eingaben'!$C$21,ROW()-1+'02_Eingaben'!$C$17))))</f>
        <v/>
      </c>
      <c r="G669" s="27">
        <f>IF(F669="","",F669-'02_Eingaben'!$C$10)</f>
        <v/>
      </c>
      <c r="H669">
        <f>IF(F669="","",IF(F669&lt;'02_Eingaben'!$C$18*'02_Eingaben'!$C$10,1,0))</f>
        <v/>
      </c>
      <c r="I669" s="27">
        <f>IF(OR(G669="",G670=""),"",(G669+G670)/2*(B670-B669))</f>
        <v/>
      </c>
      <c r="J669" s="27">
        <f>IF(B669="","",IF(B668&lt;'02_Eingaben'!$C$36,0,J668+I668/'02_Eingaben'!$C$8))</f>
        <v/>
      </c>
    </row>
    <row r="670">
      <c r="A670">
        <f>IF('01_Rohdaten'!A670="","",ROW()-1)</f>
        <v/>
      </c>
      <c r="B670" s="27">
        <f>IF('01_Rohdaten'!A670="","",'01_Rohdaten'!A670)</f>
        <v/>
      </c>
      <c r="C670" s="27">
        <f>IF(B670="","",INDEX('01_Rohdaten'!B670:D670,'02_Eingaben'!$C$13))</f>
        <v/>
      </c>
      <c r="D670" s="27">
        <f>IF(C670="","",C670*'02_Eingaben'!$C$15)</f>
        <v/>
      </c>
      <c r="E670" s="27">
        <f>IF(D670="","",D670*'02_Eingaben'!$C$8)</f>
        <v/>
      </c>
      <c r="F670" s="27">
        <f>IF(E670="","",AVERAGE(INDEX($E$2:$E$3001,MAX(1,ROW()-1-'02_Eingaben'!$C$17)):INDEX($E$2:$E$3001,MIN('02_Eingaben'!$C$21,ROW()-1+'02_Eingaben'!$C$17))))</f>
        <v/>
      </c>
      <c r="G670" s="27">
        <f>IF(F670="","",F670-'02_Eingaben'!$C$10)</f>
        <v/>
      </c>
      <c r="H670">
        <f>IF(F670="","",IF(F670&lt;'02_Eingaben'!$C$18*'02_Eingaben'!$C$10,1,0))</f>
        <v/>
      </c>
      <c r="I670" s="27">
        <f>IF(OR(G670="",G671=""),"",(G670+G671)/2*(B671-B670))</f>
        <v/>
      </c>
      <c r="J670" s="27">
        <f>IF(B670="","",IF(B669&lt;'02_Eingaben'!$C$36,0,J669+I669/'02_Eingaben'!$C$8))</f>
        <v/>
      </c>
    </row>
    <row r="671">
      <c r="A671">
        <f>IF('01_Rohdaten'!A671="","",ROW()-1)</f>
        <v/>
      </c>
      <c r="B671" s="27">
        <f>IF('01_Rohdaten'!A671="","",'01_Rohdaten'!A671)</f>
        <v/>
      </c>
      <c r="C671" s="27">
        <f>IF(B671="","",INDEX('01_Rohdaten'!B671:D671,'02_Eingaben'!$C$13))</f>
        <v/>
      </c>
      <c r="D671" s="27">
        <f>IF(C671="","",C671*'02_Eingaben'!$C$15)</f>
        <v/>
      </c>
      <c r="E671" s="27">
        <f>IF(D671="","",D671*'02_Eingaben'!$C$8)</f>
        <v/>
      </c>
      <c r="F671" s="27">
        <f>IF(E671="","",AVERAGE(INDEX($E$2:$E$3001,MAX(1,ROW()-1-'02_Eingaben'!$C$17)):INDEX($E$2:$E$3001,MIN('02_Eingaben'!$C$21,ROW()-1+'02_Eingaben'!$C$17))))</f>
        <v/>
      </c>
      <c r="G671" s="27">
        <f>IF(F671="","",F671-'02_Eingaben'!$C$10)</f>
        <v/>
      </c>
      <c r="H671">
        <f>IF(F671="","",IF(F671&lt;'02_Eingaben'!$C$18*'02_Eingaben'!$C$10,1,0))</f>
        <v/>
      </c>
      <c r="I671" s="27">
        <f>IF(OR(G671="",G672=""),"",(G671+G672)/2*(B672-B671))</f>
        <v/>
      </c>
      <c r="J671" s="27">
        <f>IF(B671="","",IF(B670&lt;'02_Eingaben'!$C$36,0,J670+I670/'02_Eingaben'!$C$8))</f>
        <v/>
      </c>
    </row>
    <row r="672">
      <c r="A672">
        <f>IF('01_Rohdaten'!A672="","",ROW()-1)</f>
        <v/>
      </c>
      <c r="B672" s="27">
        <f>IF('01_Rohdaten'!A672="","",'01_Rohdaten'!A672)</f>
        <v/>
      </c>
      <c r="C672" s="27">
        <f>IF(B672="","",INDEX('01_Rohdaten'!B672:D672,'02_Eingaben'!$C$13))</f>
        <v/>
      </c>
      <c r="D672" s="27">
        <f>IF(C672="","",C672*'02_Eingaben'!$C$15)</f>
        <v/>
      </c>
      <c r="E672" s="27">
        <f>IF(D672="","",D672*'02_Eingaben'!$C$8)</f>
        <v/>
      </c>
      <c r="F672" s="27">
        <f>IF(E672="","",AVERAGE(INDEX($E$2:$E$3001,MAX(1,ROW()-1-'02_Eingaben'!$C$17)):INDEX($E$2:$E$3001,MIN('02_Eingaben'!$C$21,ROW()-1+'02_Eingaben'!$C$17))))</f>
        <v/>
      </c>
      <c r="G672" s="27">
        <f>IF(F672="","",F672-'02_Eingaben'!$C$10)</f>
        <v/>
      </c>
      <c r="H672">
        <f>IF(F672="","",IF(F672&lt;'02_Eingaben'!$C$18*'02_Eingaben'!$C$10,1,0))</f>
        <v/>
      </c>
      <c r="I672" s="27">
        <f>IF(OR(G672="",G673=""),"",(G672+G673)/2*(B673-B672))</f>
        <v/>
      </c>
      <c r="J672" s="27">
        <f>IF(B672="","",IF(B671&lt;'02_Eingaben'!$C$36,0,J671+I671/'02_Eingaben'!$C$8))</f>
        <v/>
      </c>
    </row>
    <row r="673">
      <c r="A673">
        <f>IF('01_Rohdaten'!A673="","",ROW()-1)</f>
        <v/>
      </c>
      <c r="B673" s="27">
        <f>IF('01_Rohdaten'!A673="","",'01_Rohdaten'!A673)</f>
        <v/>
      </c>
      <c r="C673" s="27">
        <f>IF(B673="","",INDEX('01_Rohdaten'!B673:D673,'02_Eingaben'!$C$13))</f>
        <v/>
      </c>
      <c r="D673" s="27">
        <f>IF(C673="","",C673*'02_Eingaben'!$C$15)</f>
        <v/>
      </c>
      <c r="E673" s="27">
        <f>IF(D673="","",D673*'02_Eingaben'!$C$8)</f>
        <v/>
      </c>
      <c r="F673" s="27">
        <f>IF(E673="","",AVERAGE(INDEX($E$2:$E$3001,MAX(1,ROW()-1-'02_Eingaben'!$C$17)):INDEX($E$2:$E$3001,MIN('02_Eingaben'!$C$21,ROW()-1+'02_Eingaben'!$C$17))))</f>
        <v/>
      </c>
      <c r="G673" s="27">
        <f>IF(F673="","",F673-'02_Eingaben'!$C$10)</f>
        <v/>
      </c>
      <c r="H673">
        <f>IF(F673="","",IF(F673&lt;'02_Eingaben'!$C$18*'02_Eingaben'!$C$10,1,0))</f>
        <v/>
      </c>
      <c r="I673" s="27">
        <f>IF(OR(G673="",G674=""),"",(G673+G674)/2*(B674-B673))</f>
        <v/>
      </c>
      <c r="J673" s="27">
        <f>IF(B673="","",IF(B672&lt;'02_Eingaben'!$C$36,0,J672+I672/'02_Eingaben'!$C$8))</f>
        <v/>
      </c>
    </row>
    <row r="674">
      <c r="A674">
        <f>IF('01_Rohdaten'!A674="","",ROW()-1)</f>
        <v/>
      </c>
      <c r="B674" s="27">
        <f>IF('01_Rohdaten'!A674="","",'01_Rohdaten'!A674)</f>
        <v/>
      </c>
      <c r="C674" s="27">
        <f>IF(B674="","",INDEX('01_Rohdaten'!B674:D674,'02_Eingaben'!$C$13))</f>
        <v/>
      </c>
      <c r="D674" s="27">
        <f>IF(C674="","",C674*'02_Eingaben'!$C$15)</f>
        <v/>
      </c>
      <c r="E674" s="27">
        <f>IF(D674="","",D674*'02_Eingaben'!$C$8)</f>
        <v/>
      </c>
      <c r="F674" s="27">
        <f>IF(E674="","",AVERAGE(INDEX($E$2:$E$3001,MAX(1,ROW()-1-'02_Eingaben'!$C$17)):INDEX($E$2:$E$3001,MIN('02_Eingaben'!$C$21,ROW()-1+'02_Eingaben'!$C$17))))</f>
        <v/>
      </c>
      <c r="G674" s="27">
        <f>IF(F674="","",F674-'02_Eingaben'!$C$10)</f>
        <v/>
      </c>
      <c r="H674">
        <f>IF(F674="","",IF(F674&lt;'02_Eingaben'!$C$18*'02_Eingaben'!$C$10,1,0))</f>
        <v/>
      </c>
      <c r="I674" s="27">
        <f>IF(OR(G674="",G675=""),"",(G674+G675)/2*(B675-B674))</f>
        <v/>
      </c>
      <c r="J674" s="27">
        <f>IF(B674="","",IF(B673&lt;'02_Eingaben'!$C$36,0,J673+I673/'02_Eingaben'!$C$8))</f>
        <v/>
      </c>
    </row>
    <row r="675">
      <c r="A675">
        <f>IF('01_Rohdaten'!A675="","",ROW()-1)</f>
        <v/>
      </c>
      <c r="B675" s="27">
        <f>IF('01_Rohdaten'!A675="","",'01_Rohdaten'!A675)</f>
        <v/>
      </c>
      <c r="C675" s="27">
        <f>IF(B675="","",INDEX('01_Rohdaten'!B675:D675,'02_Eingaben'!$C$13))</f>
        <v/>
      </c>
      <c r="D675" s="27">
        <f>IF(C675="","",C675*'02_Eingaben'!$C$15)</f>
        <v/>
      </c>
      <c r="E675" s="27">
        <f>IF(D675="","",D675*'02_Eingaben'!$C$8)</f>
        <v/>
      </c>
      <c r="F675" s="27">
        <f>IF(E675="","",AVERAGE(INDEX($E$2:$E$3001,MAX(1,ROW()-1-'02_Eingaben'!$C$17)):INDEX($E$2:$E$3001,MIN('02_Eingaben'!$C$21,ROW()-1+'02_Eingaben'!$C$17))))</f>
        <v/>
      </c>
      <c r="G675" s="27">
        <f>IF(F675="","",F675-'02_Eingaben'!$C$10)</f>
        <v/>
      </c>
      <c r="H675">
        <f>IF(F675="","",IF(F675&lt;'02_Eingaben'!$C$18*'02_Eingaben'!$C$10,1,0))</f>
        <v/>
      </c>
      <c r="I675" s="27">
        <f>IF(OR(G675="",G676=""),"",(G675+G676)/2*(B676-B675))</f>
        <v/>
      </c>
      <c r="J675" s="27">
        <f>IF(B675="","",IF(B674&lt;'02_Eingaben'!$C$36,0,J674+I674/'02_Eingaben'!$C$8))</f>
        <v/>
      </c>
    </row>
    <row r="676">
      <c r="A676">
        <f>IF('01_Rohdaten'!A676="","",ROW()-1)</f>
        <v/>
      </c>
      <c r="B676" s="27">
        <f>IF('01_Rohdaten'!A676="","",'01_Rohdaten'!A676)</f>
        <v/>
      </c>
      <c r="C676" s="27">
        <f>IF(B676="","",INDEX('01_Rohdaten'!B676:D676,'02_Eingaben'!$C$13))</f>
        <v/>
      </c>
      <c r="D676" s="27">
        <f>IF(C676="","",C676*'02_Eingaben'!$C$15)</f>
        <v/>
      </c>
      <c r="E676" s="27">
        <f>IF(D676="","",D676*'02_Eingaben'!$C$8)</f>
        <v/>
      </c>
      <c r="F676" s="27">
        <f>IF(E676="","",AVERAGE(INDEX($E$2:$E$3001,MAX(1,ROW()-1-'02_Eingaben'!$C$17)):INDEX($E$2:$E$3001,MIN('02_Eingaben'!$C$21,ROW()-1+'02_Eingaben'!$C$17))))</f>
        <v/>
      </c>
      <c r="G676" s="27">
        <f>IF(F676="","",F676-'02_Eingaben'!$C$10)</f>
        <v/>
      </c>
      <c r="H676">
        <f>IF(F676="","",IF(F676&lt;'02_Eingaben'!$C$18*'02_Eingaben'!$C$10,1,0))</f>
        <v/>
      </c>
      <c r="I676" s="27">
        <f>IF(OR(G676="",G677=""),"",(G676+G677)/2*(B677-B676))</f>
        <v/>
      </c>
      <c r="J676" s="27">
        <f>IF(B676="","",IF(B675&lt;'02_Eingaben'!$C$36,0,J675+I675/'02_Eingaben'!$C$8))</f>
        <v/>
      </c>
    </row>
    <row r="677">
      <c r="A677">
        <f>IF('01_Rohdaten'!A677="","",ROW()-1)</f>
        <v/>
      </c>
      <c r="B677" s="27">
        <f>IF('01_Rohdaten'!A677="","",'01_Rohdaten'!A677)</f>
        <v/>
      </c>
      <c r="C677" s="27">
        <f>IF(B677="","",INDEX('01_Rohdaten'!B677:D677,'02_Eingaben'!$C$13))</f>
        <v/>
      </c>
      <c r="D677" s="27">
        <f>IF(C677="","",C677*'02_Eingaben'!$C$15)</f>
        <v/>
      </c>
      <c r="E677" s="27">
        <f>IF(D677="","",D677*'02_Eingaben'!$C$8)</f>
        <v/>
      </c>
      <c r="F677" s="27">
        <f>IF(E677="","",AVERAGE(INDEX($E$2:$E$3001,MAX(1,ROW()-1-'02_Eingaben'!$C$17)):INDEX($E$2:$E$3001,MIN('02_Eingaben'!$C$21,ROW()-1+'02_Eingaben'!$C$17))))</f>
        <v/>
      </c>
      <c r="G677" s="27">
        <f>IF(F677="","",F677-'02_Eingaben'!$C$10)</f>
        <v/>
      </c>
      <c r="H677">
        <f>IF(F677="","",IF(F677&lt;'02_Eingaben'!$C$18*'02_Eingaben'!$C$10,1,0))</f>
        <v/>
      </c>
      <c r="I677" s="27">
        <f>IF(OR(G677="",G678=""),"",(G677+G678)/2*(B678-B677))</f>
        <v/>
      </c>
      <c r="J677" s="27">
        <f>IF(B677="","",IF(B676&lt;'02_Eingaben'!$C$36,0,J676+I676/'02_Eingaben'!$C$8))</f>
        <v/>
      </c>
    </row>
    <row r="678">
      <c r="A678">
        <f>IF('01_Rohdaten'!A678="","",ROW()-1)</f>
        <v/>
      </c>
      <c r="B678" s="27">
        <f>IF('01_Rohdaten'!A678="","",'01_Rohdaten'!A678)</f>
        <v/>
      </c>
      <c r="C678" s="27">
        <f>IF(B678="","",INDEX('01_Rohdaten'!B678:D678,'02_Eingaben'!$C$13))</f>
        <v/>
      </c>
      <c r="D678" s="27">
        <f>IF(C678="","",C678*'02_Eingaben'!$C$15)</f>
        <v/>
      </c>
      <c r="E678" s="27">
        <f>IF(D678="","",D678*'02_Eingaben'!$C$8)</f>
        <v/>
      </c>
      <c r="F678" s="27">
        <f>IF(E678="","",AVERAGE(INDEX($E$2:$E$3001,MAX(1,ROW()-1-'02_Eingaben'!$C$17)):INDEX($E$2:$E$3001,MIN('02_Eingaben'!$C$21,ROW()-1+'02_Eingaben'!$C$17))))</f>
        <v/>
      </c>
      <c r="G678" s="27">
        <f>IF(F678="","",F678-'02_Eingaben'!$C$10)</f>
        <v/>
      </c>
      <c r="H678">
        <f>IF(F678="","",IF(F678&lt;'02_Eingaben'!$C$18*'02_Eingaben'!$C$10,1,0))</f>
        <v/>
      </c>
      <c r="I678" s="27">
        <f>IF(OR(G678="",G679=""),"",(G678+G679)/2*(B679-B678))</f>
        <v/>
      </c>
      <c r="J678" s="27">
        <f>IF(B678="","",IF(B677&lt;'02_Eingaben'!$C$36,0,J677+I677/'02_Eingaben'!$C$8))</f>
        <v/>
      </c>
    </row>
    <row r="679">
      <c r="A679">
        <f>IF('01_Rohdaten'!A679="","",ROW()-1)</f>
        <v/>
      </c>
      <c r="B679" s="27">
        <f>IF('01_Rohdaten'!A679="","",'01_Rohdaten'!A679)</f>
        <v/>
      </c>
      <c r="C679" s="27">
        <f>IF(B679="","",INDEX('01_Rohdaten'!B679:D679,'02_Eingaben'!$C$13))</f>
        <v/>
      </c>
      <c r="D679" s="27">
        <f>IF(C679="","",C679*'02_Eingaben'!$C$15)</f>
        <v/>
      </c>
      <c r="E679" s="27">
        <f>IF(D679="","",D679*'02_Eingaben'!$C$8)</f>
        <v/>
      </c>
      <c r="F679" s="27">
        <f>IF(E679="","",AVERAGE(INDEX($E$2:$E$3001,MAX(1,ROW()-1-'02_Eingaben'!$C$17)):INDEX($E$2:$E$3001,MIN('02_Eingaben'!$C$21,ROW()-1+'02_Eingaben'!$C$17))))</f>
        <v/>
      </c>
      <c r="G679" s="27">
        <f>IF(F679="","",F679-'02_Eingaben'!$C$10)</f>
        <v/>
      </c>
      <c r="H679">
        <f>IF(F679="","",IF(F679&lt;'02_Eingaben'!$C$18*'02_Eingaben'!$C$10,1,0))</f>
        <v/>
      </c>
      <c r="I679" s="27">
        <f>IF(OR(G679="",G680=""),"",(G679+G680)/2*(B680-B679))</f>
        <v/>
      </c>
      <c r="J679" s="27">
        <f>IF(B679="","",IF(B678&lt;'02_Eingaben'!$C$36,0,J678+I678/'02_Eingaben'!$C$8))</f>
        <v/>
      </c>
    </row>
    <row r="680">
      <c r="A680">
        <f>IF('01_Rohdaten'!A680="","",ROW()-1)</f>
        <v/>
      </c>
      <c r="B680" s="27">
        <f>IF('01_Rohdaten'!A680="","",'01_Rohdaten'!A680)</f>
        <v/>
      </c>
      <c r="C680" s="27">
        <f>IF(B680="","",INDEX('01_Rohdaten'!B680:D680,'02_Eingaben'!$C$13))</f>
        <v/>
      </c>
      <c r="D680" s="27">
        <f>IF(C680="","",C680*'02_Eingaben'!$C$15)</f>
        <v/>
      </c>
      <c r="E680" s="27">
        <f>IF(D680="","",D680*'02_Eingaben'!$C$8)</f>
        <v/>
      </c>
      <c r="F680" s="27">
        <f>IF(E680="","",AVERAGE(INDEX($E$2:$E$3001,MAX(1,ROW()-1-'02_Eingaben'!$C$17)):INDEX($E$2:$E$3001,MIN('02_Eingaben'!$C$21,ROW()-1+'02_Eingaben'!$C$17))))</f>
        <v/>
      </c>
      <c r="G680" s="27">
        <f>IF(F680="","",F680-'02_Eingaben'!$C$10)</f>
        <v/>
      </c>
      <c r="H680">
        <f>IF(F680="","",IF(F680&lt;'02_Eingaben'!$C$18*'02_Eingaben'!$C$10,1,0))</f>
        <v/>
      </c>
      <c r="I680" s="27">
        <f>IF(OR(G680="",G681=""),"",(G680+G681)/2*(B681-B680))</f>
        <v/>
      </c>
      <c r="J680" s="27">
        <f>IF(B680="","",IF(B679&lt;'02_Eingaben'!$C$36,0,J679+I679/'02_Eingaben'!$C$8))</f>
        <v/>
      </c>
    </row>
    <row r="681">
      <c r="A681">
        <f>IF('01_Rohdaten'!A681="","",ROW()-1)</f>
        <v/>
      </c>
      <c r="B681" s="27">
        <f>IF('01_Rohdaten'!A681="","",'01_Rohdaten'!A681)</f>
        <v/>
      </c>
      <c r="C681" s="27">
        <f>IF(B681="","",INDEX('01_Rohdaten'!B681:D681,'02_Eingaben'!$C$13))</f>
        <v/>
      </c>
      <c r="D681" s="27">
        <f>IF(C681="","",C681*'02_Eingaben'!$C$15)</f>
        <v/>
      </c>
      <c r="E681" s="27">
        <f>IF(D681="","",D681*'02_Eingaben'!$C$8)</f>
        <v/>
      </c>
      <c r="F681" s="27">
        <f>IF(E681="","",AVERAGE(INDEX($E$2:$E$3001,MAX(1,ROW()-1-'02_Eingaben'!$C$17)):INDEX($E$2:$E$3001,MIN('02_Eingaben'!$C$21,ROW()-1+'02_Eingaben'!$C$17))))</f>
        <v/>
      </c>
      <c r="G681" s="27">
        <f>IF(F681="","",F681-'02_Eingaben'!$C$10)</f>
        <v/>
      </c>
      <c r="H681">
        <f>IF(F681="","",IF(F681&lt;'02_Eingaben'!$C$18*'02_Eingaben'!$C$10,1,0))</f>
        <v/>
      </c>
      <c r="I681" s="27">
        <f>IF(OR(G681="",G682=""),"",(G681+G682)/2*(B682-B681))</f>
        <v/>
      </c>
      <c r="J681" s="27">
        <f>IF(B681="","",IF(B680&lt;'02_Eingaben'!$C$36,0,J680+I680/'02_Eingaben'!$C$8))</f>
        <v/>
      </c>
    </row>
    <row r="682">
      <c r="A682">
        <f>IF('01_Rohdaten'!A682="","",ROW()-1)</f>
        <v/>
      </c>
      <c r="B682" s="27">
        <f>IF('01_Rohdaten'!A682="","",'01_Rohdaten'!A682)</f>
        <v/>
      </c>
      <c r="C682" s="27">
        <f>IF(B682="","",INDEX('01_Rohdaten'!B682:D682,'02_Eingaben'!$C$13))</f>
        <v/>
      </c>
      <c r="D682" s="27">
        <f>IF(C682="","",C682*'02_Eingaben'!$C$15)</f>
        <v/>
      </c>
      <c r="E682" s="27">
        <f>IF(D682="","",D682*'02_Eingaben'!$C$8)</f>
        <v/>
      </c>
      <c r="F682" s="27">
        <f>IF(E682="","",AVERAGE(INDEX($E$2:$E$3001,MAX(1,ROW()-1-'02_Eingaben'!$C$17)):INDEX($E$2:$E$3001,MIN('02_Eingaben'!$C$21,ROW()-1+'02_Eingaben'!$C$17))))</f>
        <v/>
      </c>
      <c r="G682" s="27">
        <f>IF(F682="","",F682-'02_Eingaben'!$C$10)</f>
        <v/>
      </c>
      <c r="H682">
        <f>IF(F682="","",IF(F682&lt;'02_Eingaben'!$C$18*'02_Eingaben'!$C$10,1,0))</f>
        <v/>
      </c>
      <c r="I682" s="27">
        <f>IF(OR(G682="",G683=""),"",(G682+G683)/2*(B683-B682))</f>
        <v/>
      </c>
      <c r="J682" s="27">
        <f>IF(B682="","",IF(B681&lt;'02_Eingaben'!$C$36,0,J681+I681/'02_Eingaben'!$C$8))</f>
        <v/>
      </c>
    </row>
    <row r="683">
      <c r="A683">
        <f>IF('01_Rohdaten'!A683="","",ROW()-1)</f>
        <v/>
      </c>
      <c r="B683" s="27">
        <f>IF('01_Rohdaten'!A683="","",'01_Rohdaten'!A683)</f>
        <v/>
      </c>
      <c r="C683" s="27">
        <f>IF(B683="","",INDEX('01_Rohdaten'!B683:D683,'02_Eingaben'!$C$13))</f>
        <v/>
      </c>
      <c r="D683" s="27">
        <f>IF(C683="","",C683*'02_Eingaben'!$C$15)</f>
        <v/>
      </c>
      <c r="E683" s="27">
        <f>IF(D683="","",D683*'02_Eingaben'!$C$8)</f>
        <v/>
      </c>
      <c r="F683" s="27">
        <f>IF(E683="","",AVERAGE(INDEX($E$2:$E$3001,MAX(1,ROW()-1-'02_Eingaben'!$C$17)):INDEX($E$2:$E$3001,MIN('02_Eingaben'!$C$21,ROW()-1+'02_Eingaben'!$C$17))))</f>
        <v/>
      </c>
      <c r="G683" s="27">
        <f>IF(F683="","",F683-'02_Eingaben'!$C$10)</f>
        <v/>
      </c>
      <c r="H683">
        <f>IF(F683="","",IF(F683&lt;'02_Eingaben'!$C$18*'02_Eingaben'!$C$10,1,0))</f>
        <v/>
      </c>
      <c r="I683" s="27">
        <f>IF(OR(G683="",G684=""),"",(G683+G684)/2*(B684-B683))</f>
        <v/>
      </c>
      <c r="J683" s="27">
        <f>IF(B683="","",IF(B682&lt;'02_Eingaben'!$C$36,0,J682+I682/'02_Eingaben'!$C$8))</f>
        <v/>
      </c>
    </row>
    <row r="684">
      <c r="A684">
        <f>IF('01_Rohdaten'!A684="","",ROW()-1)</f>
        <v/>
      </c>
      <c r="B684" s="27">
        <f>IF('01_Rohdaten'!A684="","",'01_Rohdaten'!A684)</f>
        <v/>
      </c>
      <c r="C684" s="27">
        <f>IF(B684="","",INDEX('01_Rohdaten'!B684:D684,'02_Eingaben'!$C$13))</f>
        <v/>
      </c>
      <c r="D684" s="27">
        <f>IF(C684="","",C684*'02_Eingaben'!$C$15)</f>
        <v/>
      </c>
      <c r="E684" s="27">
        <f>IF(D684="","",D684*'02_Eingaben'!$C$8)</f>
        <v/>
      </c>
      <c r="F684" s="27">
        <f>IF(E684="","",AVERAGE(INDEX($E$2:$E$3001,MAX(1,ROW()-1-'02_Eingaben'!$C$17)):INDEX($E$2:$E$3001,MIN('02_Eingaben'!$C$21,ROW()-1+'02_Eingaben'!$C$17))))</f>
        <v/>
      </c>
      <c r="G684" s="27">
        <f>IF(F684="","",F684-'02_Eingaben'!$C$10)</f>
        <v/>
      </c>
      <c r="H684">
        <f>IF(F684="","",IF(F684&lt;'02_Eingaben'!$C$18*'02_Eingaben'!$C$10,1,0))</f>
        <v/>
      </c>
      <c r="I684" s="27">
        <f>IF(OR(G684="",G685=""),"",(G684+G685)/2*(B685-B684))</f>
        <v/>
      </c>
      <c r="J684" s="27">
        <f>IF(B684="","",IF(B683&lt;'02_Eingaben'!$C$36,0,J683+I683/'02_Eingaben'!$C$8))</f>
        <v/>
      </c>
    </row>
    <row r="685">
      <c r="A685">
        <f>IF('01_Rohdaten'!A685="","",ROW()-1)</f>
        <v/>
      </c>
      <c r="B685" s="27">
        <f>IF('01_Rohdaten'!A685="","",'01_Rohdaten'!A685)</f>
        <v/>
      </c>
      <c r="C685" s="27">
        <f>IF(B685="","",INDEX('01_Rohdaten'!B685:D685,'02_Eingaben'!$C$13))</f>
        <v/>
      </c>
      <c r="D685" s="27">
        <f>IF(C685="","",C685*'02_Eingaben'!$C$15)</f>
        <v/>
      </c>
      <c r="E685" s="27">
        <f>IF(D685="","",D685*'02_Eingaben'!$C$8)</f>
        <v/>
      </c>
      <c r="F685" s="27">
        <f>IF(E685="","",AVERAGE(INDEX($E$2:$E$3001,MAX(1,ROW()-1-'02_Eingaben'!$C$17)):INDEX($E$2:$E$3001,MIN('02_Eingaben'!$C$21,ROW()-1+'02_Eingaben'!$C$17))))</f>
        <v/>
      </c>
      <c r="G685" s="27">
        <f>IF(F685="","",F685-'02_Eingaben'!$C$10)</f>
        <v/>
      </c>
      <c r="H685">
        <f>IF(F685="","",IF(F685&lt;'02_Eingaben'!$C$18*'02_Eingaben'!$C$10,1,0))</f>
        <v/>
      </c>
      <c r="I685" s="27">
        <f>IF(OR(G685="",G686=""),"",(G685+G686)/2*(B686-B685))</f>
        <v/>
      </c>
      <c r="J685" s="27">
        <f>IF(B685="","",IF(B684&lt;'02_Eingaben'!$C$36,0,J684+I684/'02_Eingaben'!$C$8))</f>
        <v/>
      </c>
    </row>
    <row r="686">
      <c r="A686">
        <f>IF('01_Rohdaten'!A686="","",ROW()-1)</f>
        <v/>
      </c>
      <c r="B686" s="27">
        <f>IF('01_Rohdaten'!A686="","",'01_Rohdaten'!A686)</f>
        <v/>
      </c>
      <c r="C686" s="27">
        <f>IF(B686="","",INDEX('01_Rohdaten'!B686:D686,'02_Eingaben'!$C$13))</f>
        <v/>
      </c>
      <c r="D686" s="27">
        <f>IF(C686="","",C686*'02_Eingaben'!$C$15)</f>
        <v/>
      </c>
      <c r="E686" s="27">
        <f>IF(D686="","",D686*'02_Eingaben'!$C$8)</f>
        <v/>
      </c>
      <c r="F686" s="27">
        <f>IF(E686="","",AVERAGE(INDEX($E$2:$E$3001,MAX(1,ROW()-1-'02_Eingaben'!$C$17)):INDEX($E$2:$E$3001,MIN('02_Eingaben'!$C$21,ROW()-1+'02_Eingaben'!$C$17))))</f>
        <v/>
      </c>
      <c r="G686" s="27">
        <f>IF(F686="","",F686-'02_Eingaben'!$C$10)</f>
        <v/>
      </c>
      <c r="H686">
        <f>IF(F686="","",IF(F686&lt;'02_Eingaben'!$C$18*'02_Eingaben'!$C$10,1,0))</f>
        <v/>
      </c>
      <c r="I686" s="27">
        <f>IF(OR(G686="",G687=""),"",(G686+G687)/2*(B687-B686))</f>
        <v/>
      </c>
      <c r="J686" s="27">
        <f>IF(B686="","",IF(B685&lt;'02_Eingaben'!$C$36,0,J685+I685/'02_Eingaben'!$C$8))</f>
        <v/>
      </c>
    </row>
    <row r="687">
      <c r="A687">
        <f>IF('01_Rohdaten'!A687="","",ROW()-1)</f>
        <v/>
      </c>
      <c r="B687" s="27">
        <f>IF('01_Rohdaten'!A687="","",'01_Rohdaten'!A687)</f>
        <v/>
      </c>
      <c r="C687" s="27">
        <f>IF(B687="","",INDEX('01_Rohdaten'!B687:D687,'02_Eingaben'!$C$13))</f>
        <v/>
      </c>
      <c r="D687" s="27">
        <f>IF(C687="","",C687*'02_Eingaben'!$C$15)</f>
        <v/>
      </c>
      <c r="E687" s="27">
        <f>IF(D687="","",D687*'02_Eingaben'!$C$8)</f>
        <v/>
      </c>
      <c r="F687" s="27">
        <f>IF(E687="","",AVERAGE(INDEX($E$2:$E$3001,MAX(1,ROW()-1-'02_Eingaben'!$C$17)):INDEX($E$2:$E$3001,MIN('02_Eingaben'!$C$21,ROW()-1+'02_Eingaben'!$C$17))))</f>
        <v/>
      </c>
      <c r="G687" s="27">
        <f>IF(F687="","",F687-'02_Eingaben'!$C$10)</f>
        <v/>
      </c>
      <c r="H687">
        <f>IF(F687="","",IF(F687&lt;'02_Eingaben'!$C$18*'02_Eingaben'!$C$10,1,0))</f>
        <v/>
      </c>
      <c r="I687" s="27">
        <f>IF(OR(G687="",G688=""),"",(G687+G688)/2*(B688-B687))</f>
        <v/>
      </c>
      <c r="J687" s="27">
        <f>IF(B687="","",IF(B686&lt;'02_Eingaben'!$C$36,0,J686+I686/'02_Eingaben'!$C$8))</f>
        <v/>
      </c>
    </row>
    <row r="688">
      <c r="A688">
        <f>IF('01_Rohdaten'!A688="","",ROW()-1)</f>
        <v/>
      </c>
      <c r="B688" s="27">
        <f>IF('01_Rohdaten'!A688="","",'01_Rohdaten'!A688)</f>
        <v/>
      </c>
      <c r="C688" s="27">
        <f>IF(B688="","",INDEX('01_Rohdaten'!B688:D688,'02_Eingaben'!$C$13))</f>
        <v/>
      </c>
      <c r="D688" s="27">
        <f>IF(C688="","",C688*'02_Eingaben'!$C$15)</f>
        <v/>
      </c>
      <c r="E688" s="27">
        <f>IF(D688="","",D688*'02_Eingaben'!$C$8)</f>
        <v/>
      </c>
      <c r="F688" s="27">
        <f>IF(E688="","",AVERAGE(INDEX($E$2:$E$3001,MAX(1,ROW()-1-'02_Eingaben'!$C$17)):INDEX($E$2:$E$3001,MIN('02_Eingaben'!$C$21,ROW()-1+'02_Eingaben'!$C$17))))</f>
        <v/>
      </c>
      <c r="G688" s="27">
        <f>IF(F688="","",F688-'02_Eingaben'!$C$10)</f>
        <v/>
      </c>
      <c r="H688">
        <f>IF(F688="","",IF(F688&lt;'02_Eingaben'!$C$18*'02_Eingaben'!$C$10,1,0))</f>
        <v/>
      </c>
      <c r="I688" s="27">
        <f>IF(OR(G688="",G689=""),"",(G688+G689)/2*(B689-B688))</f>
        <v/>
      </c>
      <c r="J688" s="27">
        <f>IF(B688="","",IF(B687&lt;'02_Eingaben'!$C$36,0,J687+I687/'02_Eingaben'!$C$8))</f>
        <v/>
      </c>
    </row>
    <row r="689">
      <c r="A689">
        <f>IF('01_Rohdaten'!A689="","",ROW()-1)</f>
        <v/>
      </c>
      <c r="B689" s="27">
        <f>IF('01_Rohdaten'!A689="","",'01_Rohdaten'!A689)</f>
        <v/>
      </c>
      <c r="C689" s="27">
        <f>IF(B689="","",INDEX('01_Rohdaten'!B689:D689,'02_Eingaben'!$C$13))</f>
        <v/>
      </c>
      <c r="D689" s="27">
        <f>IF(C689="","",C689*'02_Eingaben'!$C$15)</f>
        <v/>
      </c>
      <c r="E689" s="27">
        <f>IF(D689="","",D689*'02_Eingaben'!$C$8)</f>
        <v/>
      </c>
      <c r="F689" s="27">
        <f>IF(E689="","",AVERAGE(INDEX($E$2:$E$3001,MAX(1,ROW()-1-'02_Eingaben'!$C$17)):INDEX($E$2:$E$3001,MIN('02_Eingaben'!$C$21,ROW()-1+'02_Eingaben'!$C$17))))</f>
        <v/>
      </c>
      <c r="G689" s="27">
        <f>IF(F689="","",F689-'02_Eingaben'!$C$10)</f>
        <v/>
      </c>
      <c r="H689">
        <f>IF(F689="","",IF(F689&lt;'02_Eingaben'!$C$18*'02_Eingaben'!$C$10,1,0))</f>
        <v/>
      </c>
      <c r="I689" s="27">
        <f>IF(OR(G689="",G690=""),"",(G689+G690)/2*(B690-B689))</f>
        <v/>
      </c>
      <c r="J689" s="27">
        <f>IF(B689="","",IF(B688&lt;'02_Eingaben'!$C$36,0,J688+I688/'02_Eingaben'!$C$8))</f>
        <v/>
      </c>
    </row>
    <row r="690">
      <c r="A690">
        <f>IF('01_Rohdaten'!A690="","",ROW()-1)</f>
        <v/>
      </c>
      <c r="B690" s="27">
        <f>IF('01_Rohdaten'!A690="","",'01_Rohdaten'!A690)</f>
        <v/>
      </c>
      <c r="C690" s="27">
        <f>IF(B690="","",INDEX('01_Rohdaten'!B690:D690,'02_Eingaben'!$C$13))</f>
        <v/>
      </c>
      <c r="D690" s="27">
        <f>IF(C690="","",C690*'02_Eingaben'!$C$15)</f>
        <v/>
      </c>
      <c r="E690" s="27">
        <f>IF(D690="","",D690*'02_Eingaben'!$C$8)</f>
        <v/>
      </c>
      <c r="F690" s="27">
        <f>IF(E690="","",AVERAGE(INDEX($E$2:$E$3001,MAX(1,ROW()-1-'02_Eingaben'!$C$17)):INDEX($E$2:$E$3001,MIN('02_Eingaben'!$C$21,ROW()-1+'02_Eingaben'!$C$17))))</f>
        <v/>
      </c>
      <c r="G690" s="27">
        <f>IF(F690="","",F690-'02_Eingaben'!$C$10)</f>
        <v/>
      </c>
      <c r="H690">
        <f>IF(F690="","",IF(F690&lt;'02_Eingaben'!$C$18*'02_Eingaben'!$C$10,1,0))</f>
        <v/>
      </c>
      <c r="I690" s="27">
        <f>IF(OR(G690="",G691=""),"",(G690+G691)/2*(B691-B690))</f>
        <v/>
      </c>
      <c r="J690" s="27">
        <f>IF(B690="","",IF(B689&lt;'02_Eingaben'!$C$36,0,J689+I689/'02_Eingaben'!$C$8))</f>
        <v/>
      </c>
    </row>
    <row r="691">
      <c r="A691">
        <f>IF('01_Rohdaten'!A691="","",ROW()-1)</f>
        <v/>
      </c>
      <c r="B691" s="27">
        <f>IF('01_Rohdaten'!A691="","",'01_Rohdaten'!A691)</f>
        <v/>
      </c>
      <c r="C691" s="27">
        <f>IF(B691="","",INDEX('01_Rohdaten'!B691:D691,'02_Eingaben'!$C$13))</f>
        <v/>
      </c>
      <c r="D691" s="27">
        <f>IF(C691="","",C691*'02_Eingaben'!$C$15)</f>
        <v/>
      </c>
      <c r="E691" s="27">
        <f>IF(D691="","",D691*'02_Eingaben'!$C$8)</f>
        <v/>
      </c>
      <c r="F691" s="27">
        <f>IF(E691="","",AVERAGE(INDEX($E$2:$E$3001,MAX(1,ROW()-1-'02_Eingaben'!$C$17)):INDEX($E$2:$E$3001,MIN('02_Eingaben'!$C$21,ROW()-1+'02_Eingaben'!$C$17))))</f>
        <v/>
      </c>
      <c r="G691" s="27">
        <f>IF(F691="","",F691-'02_Eingaben'!$C$10)</f>
        <v/>
      </c>
      <c r="H691">
        <f>IF(F691="","",IF(F691&lt;'02_Eingaben'!$C$18*'02_Eingaben'!$C$10,1,0))</f>
        <v/>
      </c>
      <c r="I691" s="27">
        <f>IF(OR(G691="",G692=""),"",(G691+G692)/2*(B692-B691))</f>
        <v/>
      </c>
      <c r="J691" s="27">
        <f>IF(B691="","",IF(B690&lt;'02_Eingaben'!$C$36,0,J690+I690/'02_Eingaben'!$C$8))</f>
        <v/>
      </c>
    </row>
    <row r="692">
      <c r="A692">
        <f>IF('01_Rohdaten'!A692="","",ROW()-1)</f>
        <v/>
      </c>
      <c r="B692" s="27">
        <f>IF('01_Rohdaten'!A692="","",'01_Rohdaten'!A692)</f>
        <v/>
      </c>
      <c r="C692" s="27">
        <f>IF(B692="","",INDEX('01_Rohdaten'!B692:D692,'02_Eingaben'!$C$13))</f>
        <v/>
      </c>
      <c r="D692" s="27">
        <f>IF(C692="","",C692*'02_Eingaben'!$C$15)</f>
        <v/>
      </c>
      <c r="E692" s="27">
        <f>IF(D692="","",D692*'02_Eingaben'!$C$8)</f>
        <v/>
      </c>
      <c r="F692" s="27">
        <f>IF(E692="","",AVERAGE(INDEX($E$2:$E$3001,MAX(1,ROW()-1-'02_Eingaben'!$C$17)):INDEX($E$2:$E$3001,MIN('02_Eingaben'!$C$21,ROW()-1+'02_Eingaben'!$C$17))))</f>
        <v/>
      </c>
      <c r="G692" s="27">
        <f>IF(F692="","",F692-'02_Eingaben'!$C$10)</f>
        <v/>
      </c>
      <c r="H692">
        <f>IF(F692="","",IF(F692&lt;'02_Eingaben'!$C$18*'02_Eingaben'!$C$10,1,0))</f>
        <v/>
      </c>
      <c r="I692" s="27">
        <f>IF(OR(G692="",G693=""),"",(G692+G693)/2*(B693-B692))</f>
        <v/>
      </c>
      <c r="J692" s="27">
        <f>IF(B692="","",IF(B691&lt;'02_Eingaben'!$C$36,0,J691+I691/'02_Eingaben'!$C$8))</f>
        <v/>
      </c>
    </row>
    <row r="693">
      <c r="A693">
        <f>IF('01_Rohdaten'!A693="","",ROW()-1)</f>
        <v/>
      </c>
      <c r="B693" s="27">
        <f>IF('01_Rohdaten'!A693="","",'01_Rohdaten'!A693)</f>
        <v/>
      </c>
      <c r="C693" s="27">
        <f>IF(B693="","",INDEX('01_Rohdaten'!B693:D693,'02_Eingaben'!$C$13))</f>
        <v/>
      </c>
      <c r="D693" s="27">
        <f>IF(C693="","",C693*'02_Eingaben'!$C$15)</f>
        <v/>
      </c>
      <c r="E693" s="27">
        <f>IF(D693="","",D693*'02_Eingaben'!$C$8)</f>
        <v/>
      </c>
      <c r="F693" s="27">
        <f>IF(E693="","",AVERAGE(INDEX($E$2:$E$3001,MAX(1,ROW()-1-'02_Eingaben'!$C$17)):INDEX($E$2:$E$3001,MIN('02_Eingaben'!$C$21,ROW()-1+'02_Eingaben'!$C$17))))</f>
        <v/>
      </c>
      <c r="G693" s="27">
        <f>IF(F693="","",F693-'02_Eingaben'!$C$10)</f>
        <v/>
      </c>
      <c r="H693">
        <f>IF(F693="","",IF(F693&lt;'02_Eingaben'!$C$18*'02_Eingaben'!$C$10,1,0))</f>
        <v/>
      </c>
      <c r="I693" s="27">
        <f>IF(OR(G693="",G694=""),"",(G693+G694)/2*(B694-B693))</f>
        <v/>
      </c>
      <c r="J693" s="27">
        <f>IF(B693="","",IF(B692&lt;'02_Eingaben'!$C$36,0,J692+I692/'02_Eingaben'!$C$8))</f>
        <v/>
      </c>
    </row>
    <row r="694">
      <c r="A694">
        <f>IF('01_Rohdaten'!A694="","",ROW()-1)</f>
        <v/>
      </c>
      <c r="B694" s="27">
        <f>IF('01_Rohdaten'!A694="","",'01_Rohdaten'!A694)</f>
        <v/>
      </c>
      <c r="C694" s="27">
        <f>IF(B694="","",INDEX('01_Rohdaten'!B694:D694,'02_Eingaben'!$C$13))</f>
        <v/>
      </c>
      <c r="D694" s="27">
        <f>IF(C694="","",C694*'02_Eingaben'!$C$15)</f>
        <v/>
      </c>
      <c r="E694" s="27">
        <f>IF(D694="","",D694*'02_Eingaben'!$C$8)</f>
        <v/>
      </c>
      <c r="F694" s="27">
        <f>IF(E694="","",AVERAGE(INDEX($E$2:$E$3001,MAX(1,ROW()-1-'02_Eingaben'!$C$17)):INDEX($E$2:$E$3001,MIN('02_Eingaben'!$C$21,ROW()-1+'02_Eingaben'!$C$17))))</f>
        <v/>
      </c>
      <c r="G694" s="27">
        <f>IF(F694="","",F694-'02_Eingaben'!$C$10)</f>
        <v/>
      </c>
      <c r="H694">
        <f>IF(F694="","",IF(F694&lt;'02_Eingaben'!$C$18*'02_Eingaben'!$C$10,1,0))</f>
        <v/>
      </c>
      <c r="I694" s="27">
        <f>IF(OR(G694="",G695=""),"",(G694+G695)/2*(B695-B694))</f>
        <v/>
      </c>
      <c r="J694" s="27">
        <f>IF(B694="","",IF(B693&lt;'02_Eingaben'!$C$36,0,J693+I693/'02_Eingaben'!$C$8))</f>
        <v/>
      </c>
    </row>
    <row r="695">
      <c r="A695">
        <f>IF('01_Rohdaten'!A695="","",ROW()-1)</f>
        <v/>
      </c>
      <c r="B695" s="27">
        <f>IF('01_Rohdaten'!A695="","",'01_Rohdaten'!A695)</f>
        <v/>
      </c>
      <c r="C695" s="27">
        <f>IF(B695="","",INDEX('01_Rohdaten'!B695:D695,'02_Eingaben'!$C$13))</f>
        <v/>
      </c>
      <c r="D695" s="27">
        <f>IF(C695="","",C695*'02_Eingaben'!$C$15)</f>
        <v/>
      </c>
      <c r="E695" s="27">
        <f>IF(D695="","",D695*'02_Eingaben'!$C$8)</f>
        <v/>
      </c>
      <c r="F695" s="27">
        <f>IF(E695="","",AVERAGE(INDEX($E$2:$E$3001,MAX(1,ROW()-1-'02_Eingaben'!$C$17)):INDEX($E$2:$E$3001,MIN('02_Eingaben'!$C$21,ROW()-1+'02_Eingaben'!$C$17))))</f>
        <v/>
      </c>
      <c r="G695" s="27">
        <f>IF(F695="","",F695-'02_Eingaben'!$C$10)</f>
        <v/>
      </c>
      <c r="H695">
        <f>IF(F695="","",IF(F695&lt;'02_Eingaben'!$C$18*'02_Eingaben'!$C$10,1,0))</f>
        <v/>
      </c>
      <c r="I695" s="27">
        <f>IF(OR(G695="",G696=""),"",(G695+G696)/2*(B696-B695))</f>
        <v/>
      </c>
      <c r="J695" s="27">
        <f>IF(B695="","",IF(B694&lt;'02_Eingaben'!$C$36,0,J694+I694/'02_Eingaben'!$C$8))</f>
        <v/>
      </c>
    </row>
    <row r="696">
      <c r="A696">
        <f>IF('01_Rohdaten'!A696="","",ROW()-1)</f>
        <v/>
      </c>
      <c r="B696" s="27">
        <f>IF('01_Rohdaten'!A696="","",'01_Rohdaten'!A696)</f>
        <v/>
      </c>
      <c r="C696" s="27">
        <f>IF(B696="","",INDEX('01_Rohdaten'!B696:D696,'02_Eingaben'!$C$13))</f>
        <v/>
      </c>
      <c r="D696" s="27">
        <f>IF(C696="","",C696*'02_Eingaben'!$C$15)</f>
        <v/>
      </c>
      <c r="E696" s="27">
        <f>IF(D696="","",D696*'02_Eingaben'!$C$8)</f>
        <v/>
      </c>
      <c r="F696" s="27">
        <f>IF(E696="","",AVERAGE(INDEX($E$2:$E$3001,MAX(1,ROW()-1-'02_Eingaben'!$C$17)):INDEX($E$2:$E$3001,MIN('02_Eingaben'!$C$21,ROW()-1+'02_Eingaben'!$C$17))))</f>
        <v/>
      </c>
      <c r="G696" s="27">
        <f>IF(F696="","",F696-'02_Eingaben'!$C$10)</f>
        <v/>
      </c>
      <c r="H696">
        <f>IF(F696="","",IF(F696&lt;'02_Eingaben'!$C$18*'02_Eingaben'!$C$10,1,0))</f>
        <v/>
      </c>
      <c r="I696" s="27">
        <f>IF(OR(G696="",G697=""),"",(G696+G697)/2*(B697-B696))</f>
        <v/>
      </c>
      <c r="J696" s="27">
        <f>IF(B696="","",IF(B695&lt;'02_Eingaben'!$C$36,0,J695+I695/'02_Eingaben'!$C$8))</f>
        <v/>
      </c>
    </row>
    <row r="697">
      <c r="A697">
        <f>IF('01_Rohdaten'!A697="","",ROW()-1)</f>
        <v/>
      </c>
      <c r="B697" s="27">
        <f>IF('01_Rohdaten'!A697="","",'01_Rohdaten'!A697)</f>
        <v/>
      </c>
      <c r="C697" s="27">
        <f>IF(B697="","",INDEX('01_Rohdaten'!B697:D697,'02_Eingaben'!$C$13))</f>
        <v/>
      </c>
      <c r="D697" s="27">
        <f>IF(C697="","",C697*'02_Eingaben'!$C$15)</f>
        <v/>
      </c>
      <c r="E697" s="27">
        <f>IF(D697="","",D697*'02_Eingaben'!$C$8)</f>
        <v/>
      </c>
      <c r="F697" s="27">
        <f>IF(E697="","",AVERAGE(INDEX($E$2:$E$3001,MAX(1,ROW()-1-'02_Eingaben'!$C$17)):INDEX($E$2:$E$3001,MIN('02_Eingaben'!$C$21,ROW()-1+'02_Eingaben'!$C$17))))</f>
        <v/>
      </c>
      <c r="G697" s="27">
        <f>IF(F697="","",F697-'02_Eingaben'!$C$10)</f>
        <v/>
      </c>
      <c r="H697">
        <f>IF(F697="","",IF(F697&lt;'02_Eingaben'!$C$18*'02_Eingaben'!$C$10,1,0))</f>
        <v/>
      </c>
      <c r="I697" s="27">
        <f>IF(OR(G697="",G698=""),"",(G697+G698)/2*(B698-B697))</f>
        <v/>
      </c>
      <c r="J697" s="27">
        <f>IF(B697="","",IF(B696&lt;'02_Eingaben'!$C$36,0,J696+I696/'02_Eingaben'!$C$8))</f>
        <v/>
      </c>
    </row>
    <row r="698">
      <c r="A698">
        <f>IF('01_Rohdaten'!A698="","",ROW()-1)</f>
        <v/>
      </c>
      <c r="B698" s="27">
        <f>IF('01_Rohdaten'!A698="","",'01_Rohdaten'!A698)</f>
        <v/>
      </c>
      <c r="C698" s="27">
        <f>IF(B698="","",INDEX('01_Rohdaten'!B698:D698,'02_Eingaben'!$C$13))</f>
        <v/>
      </c>
      <c r="D698" s="27">
        <f>IF(C698="","",C698*'02_Eingaben'!$C$15)</f>
        <v/>
      </c>
      <c r="E698" s="27">
        <f>IF(D698="","",D698*'02_Eingaben'!$C$8)</f>
        <v/>
      </c>
      <c r="F698" s="27">
        <f>IF(E698="","",AVERAGE(INDEX($E$2:$E$3001,MAX(1,ROW()-1-'02_Eingaben'!$C$17)):INDEX($E$2:$E$3001,MIN('02_Eingaben'!$C$21,ROW()-1+'02_Eingaben'!$C$17))))</f>
        <v/>
      </c>
      <c r="G698" s="27">
        <f>IF(F698="","",F698-'02_Eingaben'!$C$10)</f>
        <v/>
      </c>
      <c r="H698">
        <f>IF(F698="","",IF(F698&lt;'02_Eingaben'!$C$18*'02_Eingaben'!$C$10,1,0))</f>
        <v/>
      </c>
      <c r="I698" s="27">
        <f>IF(OR(G698="",G699=""),"",(G698+G699)/2*(B699-B698))</f>
        <v/>
      </c>
      <c r="J698" s="27">
        <f>IF(B698="","",IF(B697&lt;'02_Eingaben'!$C$36,0,J697+I697/'02_Eingaben'!$C$8))</f>
        <v/>
      </c>
    </row>
    <row r="699">
      <c r="A699">
        <f>IF('01_Rohdaten'!A699="","",ROW()-1)</f>
        <v/>
      </c>
      <c r="B699" s="27">
        <f>IF('01_Rohdaten'!A699="","",'01_Rohdaten'!A699)</f>
        <v/>
      </c>
      <c r="C699" s="27">
        <f>IF(B699="","",INDEX('01_Rohdaten'!B699:D699,'02_Eingaben'!$C$13))</f>
        <v/>
      </c>
      <c r="D699" s="27">
        <f>IF(C699="","",C699*'02_Eingaben'!$C$15)</f>
        <v/>
      </c>
      <c r="E699" s="27">
        <f>IF(D699="","",D699*'02_Eingaben'!$C$8)</f>
        <v/>
      </c>
      <c r="F699" s="27">
        <f>IF(E699="","",AVERAGE(INDEX($E$2:$E$3001,MAX(1,ROW()-1-'02_Eingaben'!$C$17)):INDEX($E$2:$E$3001,MIN('02_Eingaben'!$C$21,ROW()-1+'02_Eingaben'!$C$17))))</f>
        <v/>
      </c>
      <c r="G699" s="27">
        <f>IF(F699="","",F699-'02_Eingaben'!$C$10)</f>
        <v/>
      </c>
      <c r="H699">
        <f>IF(F699="","",IF(F699&lt;'02_Eingaben'!$C$18*'02_Eingaben'!$C$10,1,0))</f>
        <v/>
      </c>
      <c r="I699" s="27">
        <f>IF(OR(G699="",G700=""),"",(G699+G700)/2*(B700-B699))</f>
        <v/>
      </c>
      <c r="J699" s="27">
        <f>IF(B699="","",IF(B698&lt;'02_Eingaben'!$C$36,0,J698+I698/'02_Eingaben'!$C$8))</f>
        <v/>
      </c>
    </row>
    <row r="700">
      <c r="A700">
        <f>IF('01_Rohdaten'!A700="","",ROW()-1)</f>
        <v/>
      </c>
      <c r="B700" s="27">
        <f>IF('01_Rohdaten'!A700="","",'01_Rohdaten'!A700)</f>
        <v/>
      </c>
      <c r="C700" s="27">
        <f>IF(B700="","",INDEX('01_Rohdaten'!B700:D700,'02_Eingaben'!$C$13))</f>
        <v/>
      </c>
      <c r="D700" s="27">
        <f>IF(C700="","",C700*'02_Eingaben'!$C$15)</f>
        <v/>
      </c>
      <c r="E700" s="27">
        <f>IF(D700="","",D700*'02_Eingaben'!$C$8)</f>
        <v/>
      </c>
      <c r="F700" s="27">
        <f>IF(E700="","",AVERAGE(INDEX($E$2:$E$3001,MAX(1,ROW()-1-'02_Eingaben'!$C$17)):INDEX($E$2:$E$3001,MIN('02_Eingaben'!$C$21,ROW()-1+'02_Eingaben'!$C$17))))</f>
        <v/>
      </c>
      <c r="G700" s="27">
        <f>IF(F700="","",F700-'02_Eingaben'!$C$10)</f>
        <v/>
      </c>
      <c r="H700">
        <f>IF(F700="","",IF(F700&lt;'02_Eingaben'!$C$18*'02_Eingaben'!$C$10,1,0))</f>
        <v/>
      </c>
      <c r="I700" s="27">
        <f>IF(OR(G700="",G701=""),"",(G700+G701)/2*(B701-B700))</f>
        <v/>
      </c>
      <c r="J700" s="27">
        <f>IF(B700="","",IF(B699&lt;'02_Eingaben'!$C$36,0,J699+I699/'02_Eingaben'!$C$8))</f>
        <v/>
      </c>
    </row>
    <row r="701">
      <c r="A701">
        <f>IF('01_Rohdaten'!A701="","",ROW()-1)</f>
        <v/>
      </c>
      <c r="B701" s="27">
        <f>IF('01_Rohdaten'!A701="","",'01_Rohdaten'!A701)</f>
        <v/>
      </c>
      <c r="C701" s="27">
        <f>IF(B701="","",INDEX('01_Rohdaten'!B701:D701,'02_Eingaben'!$C$13))</f>
        <v/>
      </c>
      <c r="D701" s="27">
        <f>IF(C701="","",C701*'02_Eingaben'!$C$15)</f>
        <v/>
      </c>
      <c r="E701" s="27">
        <f>IF(D701="","",D701*'02_Eingaben'!$C$8)</f>
        <v/>
      </c>
      <c r="F701" s="27">
        <f>IF(E701="","",AVERAGE(INDEX($E$2:$E$3001,MAX(1,ROW()-1-'02_Eingaben'!$C$17)):INDEX($E$2:$E$3001,MIN('02_Eingaben'!$C$21,ROW()-1+'02_Eingaben'!$C$17))))</f>
        <v/>
      </c>
      <c r="G701" s="27">
        <f>IF(F701="","",F701-'02_Eingaben'!$C$10)</f>
        <v/>
      </c>
      <c r="H701">
        <f>IF(F701="","",IF(F701&lt;'02_Eingaben'!$C$18*'02_Eingaben'!$C$10,1,0))</f>
        <v/>
      </c>
      <c r="I701" s="27">
        <f>IF(OR(G701="",G702=""),"",(G701+G702)/2*(B702-B701))</f>
        <v/>
      </c>
      <c r="J701" s="27">
        <f>IF(B701="","",IF(B700&lt;'02_Eingaben'!$C$36,0,J700+I700/'02_Eingaben'!$C$8))</f>
        <v/>
      </c>
    </row>
    <row r="702">
      <c r="A702">
        <f>IF('01_Rohdaten'!A702="","",ROW()-1)</f>
        <v/>
      </c>
      <c r="B702" s="27">
        <f>IF('01_Rohdaten'!A702="","",'01_Rohdaten'!A702)</f>
        <v/>
      </c>
      <c r="C702" s="27">
        <f>IF(B702="","",INDEX('01_Rohdaten'!B702:D702,'02_Eingaben'!$C$13))</f>
        <v/>
      </c>
      <c r="D702" s="27">
        <f>IF(C702="","",C702*'02_Eingaben'!$C$15)</f>
        <v/>
      </c>
      <c r="E702" s="27">
        <f>IF(D702="","",D702*'02_Eingaben'!$C$8)</f>
        <v/>
      </c>
      <c r="F702" s="27">
        <f>IF(E702="","",AVERAGE(INDEX($E$2:$E$3001,MAX(1,ROW()-1-'02_Eingaben'!$C$17)):INDEX($E$2:$E$3001,MIN('02_Eingaben'!$C$21,ROW()-1+'02_Eingaben'!$C$17))))</f>
        <v/>
      </c>
      <c r="G702" s="27">
        <f>IF(F702="","",F702-'02_Eingaben'!$C$10)</f>
        <v/>
      </c>
      <c r="H702">
        <f>IF(F702="","",IF(F702&lt;'02_Eingaben'!$C$18*'02_Eingaben'!$C$10,1,0))</f>
        <v/>
      </c>
      <c r="I702" s="27">
        <f>IF(OR(G702="",G703=""),"",(G702+G703)/2*(B703-B702))</f>
        <v/>
      </c>
      <c r="J702" s="27">
        <f>IF(B702="","",IF(B701&lt;'02_Eingaben'!$C$36,0,J701+I701/'02_Eingaben'!$C$8))</f>
        <v/>
      </c>
    </row>
    <row r="703">
      <c r="A703">
        <f>IF('01_Rohdaten'!A703="","",ROW()-1)</f>
        <v/>
      </c>
      <c r="B703" s="27">
        <f>IF('01_Rohdaten'!A703="","",'01_Rohdaten'!A703)</f>
        <v/>
      </c>
      <c r="C703" s="27">
        <f>IF(B703="","",INDEX('01_Rohdaten'!B703:D703,'02_Eingaben'!$C$13))</f>
        <v/>
      </c>
      <c r="D703" s="27">
        <f>IF(C703="","",C703*'02_Eingaben'!$C$15)</f>
        <v/>
      </c>
      <c r="E703" s="27">
        <f>IF(D703="","",D703*'02_Eingaben'!$C$8)</f>
        <v/>
      </c>
      <c r="F703" s="27">
        <f>IF(E703="","",AVERAGE(INDEX($E$2:$E$3001,MAX(1,ROW()-1-'02_Eingaben'!$C$17)):INDEX($E$2:$E$3001,MIN('02_Eingaben'!$C$21,ROW()-1+'02_Eingaben'!$C$17))))</f>
        <v/>
      </c>
      <c r="G703" s="27">
        <f>IF(F703="","",F703-'02_Eingaben'!$C$10)</f>
        <v/>
      </c>
      <c r="H703">
        <f>IF(F703="","",IF(F703&lt;'02_Eingaben'!$C$18*'02_Eingaben'!$C$10,1,0))</f>
        <v/>
      </c>
      <c r="I703" s="27">
        <f>IF(OR(G703="",G704=""),"",(G703+G704)/2*(B704-B703))</f>
        <v/>
      </c>
      <c r="J703" s="27">
        <f>IF(B703="","",IF(B702&lt;'02_Eingaben'!$C$36,0,J702+I702/'02_Eingaben'!$C$8))</f>
        <v/>
      </c>
    </row>
    <row r="704">
      <c r="A704">
        <f>IF('01_Rohdaten'!A704="","",ROW()-1)</f>
        <v/>
      </c>
      <c r="B704" s="27">
        <f>IF('01_Rohdaten'!A704="","",'01_Rohdaten'!A704)</f>
        <v/>
      </c>
      <c r="C704" s="27">
        <f>IF(B704="","",INDEX('01_Rohdaten'!B704:D704,'02_Eingaben'!$C$13))</f>
        <v/>
      </c>
      <c r="D704" s="27">
        <f>IF(C704="","",C704*'02_Eingaben'!$C$15)</f>
        <v/>
      </c>
      <c r="E704" s="27">
        <f>IF(D704="","",D704*'02_Eingaben'!$C$8)</f>
        <v/>
      </c>
      <c r="F704" s="27">
        <f>IF(E704="","",AVERAGE(INDEX($E$2:$E$3001,MAX(1,ROW()-1-'02_Eingaben'!$C$17)):INDEX($E$2:$E$3001,MIN('02_Eingaben'!$C$21,ROW()-1+'02_Eingaben'!$C$17))))</f>
        <v/>
      </c>
      <c r="G704" s="27">
        <f>IF(F704="","",F704-'02_Eingaben'!$C$10)</f>
        <v/>
      </c>
      <c r="H704">
        <f>IF(F704="","",IF(F704&lt;'02_Eingaben'!$C$18*'02_Eingaben'!$C$10,1,0))</f>
        <v/>
      </c>
      <c r="I704" s="27">
        <f>IF(OR(G704="",G705=""),"",(G704+G705)/2*(B705-B704))</f>
        <v/>
      </c>
      <c r="J704" s="27">
        <f>IF(B704="","",IF(B703&lt;'02_Eingaben'!$C$36,0,J703+I703/'02_Eingaben'!$C$8))</f>
        <v/>
      </c>
    </row>
    <row r="705">
      <c r="A705">
        <f>IF('01_Rohdaten'!A705="","",ROW()-1)</f>
        <v/>
      </c>
      <c r="B705" s="27">
        <f>IF('01_Rohdaten'!A705="","",'01_Rohdaten'!A705)</f>
        <v/>
      </c>
      <c r="C705" s="27">
        <f>IF(B705="","",INDEX('01_Rohdaten'!B705:D705,'02_Eingaben'!$C$13))</f>
        <v/>
      </c>
      <c r="D705" s="27">
        <f>IF(C705="","",C705*'02_Eingaben'!$C$15)</f>
        <v/>
      </c>
      <c r="E705" s="27">
        <f>IF(D705="","",D705*'02_Eingaben'!$C$8)</f>
        <v/>
      </c>
      <c r="F705" s="27">
        <f>IF(E705="","",AVERAGE(INDEX($E$2:$E$3001,MAX(1,ROW()-1-'02_Eingaben'!$C$17)):INDEX($E$2:$E$3001,MIN('02_Eingaben'!$C$21,ROW()-1+'02_Eingaben'!$C$17))))</f>
        <v/>
      </c>
      <c r="G705" s="27">
        <f>IF(F705="","",F705-'02_Eingaben'!$C$10)</f>
        <v/>
      </c>
      <c r="H705">
        <f>IF(F705="","",IF(F705&lt;'02_Eingaben'!$C$18*'02_Eingaben'!$C$10,1,0))</f>
        <v/>
      </c>
      <c r="I705" s="27">
        <f>IF(OR(G705="",G706=""),"",(G705+G706)/2*(B706-B705))</f>
        <v/>
      </c>
      <c r="J705" s="27">
        <f>IF(B705="","",IF(B704&lt;'02_Eingaben'!$C$36,0,J704+I704/'02_Eingaben'!$C$8))</f>
        <v/>
      </c>
    </row>
    <row r="706">
      <c r="A706">
        <f>IF('01_Rohdaten'!A706="","",ROW()-1)</f>
        <v/>
      </c>
      <c r="B706" s="27">
        <f>IF('01_Rohdaten'!A706="","",'01_Rohdaten'!A706)</f>
        <v/>
      </c>
      <c r="C706" s="27">
        <f>IF(B706="","",INDEX('01_Rohdaten'!B706:D706,'02_Eingaben'!$C$13))</f>
        <v/>
      </c>
      <c r="D706" s="27">
        <f>IF(C706="","",C706*'02_Eingaben'!$C$15)</f>
        <v/>
      </c>
      <c r="E706" s="27">
        <f>IF(D706="","",D706*'02_Eingaben'!$C$8)</f>
        <v/>
      </c>
      <c r="F706" s="27">
        <f>IF(E706="","",AVERAGE(INDEX($E$2:$E$3001,MAX(1,ROW()-1-'02_Eingaben'!$C$17)):INDEX($E$2:$E$3001,MIN('02_Eingaben'!$C$21,ROW()-1+'02_Eingaben'!$C$17))))</f>
        <v/>
      </c>
      <c r="G706" s="27">
        <f>IF(F706="","",F706-'02_Eingaben'!$C$10)</f>
        <v/>
      </c>
      <c r="H706">
        <f>IF(F706="","",IF(F706&lt;'02_Eingaben'!$C$18*'02_Eingaben'!$C$10,1,0))</f>
        <v/>
      </c>
      <c r="I706" s="27">
        <f>IF(OR(G706="",G707=""),"",(G706+G707)/2*(B707-B706))</f>
        <v/>
      </c>
      <c r="J706" s="27">
        <f>IF(B706="","",IF(B705&lt;'02_Eingaben'!$C$36,0,J705+I705/'02_Eingaben'!$C$8))</f>
        <v/>
      </c>
    </row>
    <row r="707">
      <c r="A707">
        <f>IF('01_Rohdaten'!A707="","",ROW()-1)</f>
        <v/>
      </c>
      <c r="B707" s="27">
        <f>IF('01_Rohdaten'!A707="","",'01_Rohdaten'!A707)</f>
        <v/>
      </c>
      <c r="C707" s="27">
        <f>IF(B707="","",INDEX('01_Rohdaten'!B707:D707,'02_Eingaben'!$C$13))</f>
        <v/>
      </c>
      <c r="D707" s="27">
        <f>IF(C707="","",C707*'02_Eingaben'!$C$15)</f>
        <v/>
      </c>
      <c r="E707" s="27">
        <f>IF(D707="","",D707*'02_Eingaben'!$C$8)</f>
        <v/>
      </c>
      <c r="F707" s="27">
        <f>IF(E707="","",AVERAGE(INDEX($E$2:$E$3001,MAX(1,ROW()-1-'02_Eingaben'!$C$17)):INDEX($E$2:$E$3001,MIN('02_Eingaben'!$C$21,ROW()-1+'02_Eingaben'!$C$17))))</f>
        <v/>
      </c>
      <c r="G707" s="27">
        <f>IF(F707="","",F707-'02_Eingaben'!$C$10)</f>
        <v/>
      </c>
      <c r="H707">
        <f>IF(F707="","",IF(F707&lt;'02_Eingaben'!$C$18*'02_Eingaben'!$C$10,1,0))</f>
        <v/>
      </c>
      <c r="I707" s="27">
        <f>IF(OR(G707="",G708=""),"",(G707+G708)/2*(B708-B707))</f>
        <v/>
      </c>
      <c r="J707" s="27">
        <f>IF(B707="","",IF(B706&lt;'02_Eingaben'!$C$36,0,J706+I706/'02_Eingaben'!$C$8))</f>
        <v/>
      </c>
    </row>
    <row r="708">
      <c r="A708">
        <f>IF('01_Rohdaten'!A708="","",ROW()-1)</f>
        <v/>
      </c>
      <c r="B708" s="27">
        <f>IF('01_Rohdaten'!A708="","",'01_Rohdaten'!A708)</f>
        <v/>
      </c>
      <c r="C708" s="27">
        <f>IF(B708="","",INDEX('01_Rohdaten'!B708:D708,'02_Eingaben'!$C$13))</f>
        <v/>
      </c>
      <c r="D708" s="27">
        <f>IF(C708="","",C708*'02_Eingaben'!$C$15)</f>
        <v/>
      </c>
      <c r="E708" s="27">
        <f>IF(D708="","",D708*'02_Eingaben'!$C$8)</f>
        <v/>
      </c>
      <c r="F708" s="27">
        <f>IF(E708="","",AVERAGE(INDEX($E$2:$E$3001,MAX(1,ROW()-1-'02_Eingaben'!$C$17)):INDEX($E$2:$E$3001,MIN('02_Eingaben'!$C$21,ROW()-1+'02_Eingaben'!$C$17))))</f>
        <v/>
      </c>
      <c r="G708" s="27">
        <f>IF(F708="","",F708-'02_Eingaben'!$C$10)</f>
        <v/>
      </c>
      <c r="H708">
        <f>IF(F708="","",IF(F708&lt;'02_Eingaben'!$C$18*'02_Eingaben'!$C$10,1,0))</f>
        <v/>
      </c>
      <c r="I708" s="27">
        <f>IF(OR(G708="",G709=""),"",(G708+G709)/2*(B709-B708))</f>
        <v/>
      </c>
      <c r="J708" s="27">
        <f>IF(B708="","",IF(B707&lt;'02_Eingaben'!$C$36,0,J707+I707/'02_Eingaben'!$C$8))</f>
        <v/>
      </c>
    </row>
    <row r="709">
      <c r="A709">
        <f>IF('01_Rohdaten'!A709="","",ROW()-1)</f>
        <v/>
      </c>
      <c r="B709" s="27">
        <f>IF('01_Rohdaten'!A709="","",'01_Rohdaten'!A709)</f>
        <v/>
      </c>
      <c r="C709" s="27">
        <f>IF(B709="","",INDEX('01_Rohdaten'!B709:D709,'02_Eingaben'!$C$13))</f>
        <v/>
      </c>
      <c r="D709" s="27">
        <f>IF(C709="","",C709*'02_Eingaben'!$C$15)</f>
        <v/>
      </c>
      <c r="E709" s="27">
        <f>IF(D709="","",D709*'02_Eingaben'!$C$8)</f>
        <v/>
      </c>
      <c r="F709" s="27">
        <f>IF(E709="","",AVERAGE(INDEX($E$2:$E$3001,MAX(1,ROW()-1-'02_Eingaben'!$C$17)):INDEX($E$2:$E$3001,MIN('02_Eingaben'!$C$21,ROW()-1+'02_Eingaben'!$C$17))))</f>
        <v/>
      </c>
      <c r="G709" s="27">
        <f>IF(F709="","",F709-'02_Eingaben'!$C$10)</f>
        <v/>
      </c>
      <c r="H709">
        <f>IF(F709="","",IF(F709&lt;'02_Eingaben'!$C$18*'02_Eingaben'!$C$10,1,0))</f>
        <v/>
      </c>
      <c r="I709" s="27">
        <f>IF(OR(G709="",G710=""),"",(G709+G710)/2*(B710-B709))</f>
        <v/>
      </c>
      <c r="J709" s="27">
        <f>IF(B709="","",IF(B708&lt;'02_Eingaben'!$C$36,0,J708+I708/'02_Eingaben'!$C$8))</f>
        <v/>
      </c>
    </row>
    <row r="710">
      <c r="A710">
        <f>IF('01_Rohdaten'!A710="","",ROW()-1)</f>
        <v/>
      </c>
      <c r="B710" s="27">
        <f>IF('01_Rohdaten'!A710="","",'01_Rohdaten'!A710)</f>
        <v/>
      </c>
      <c r="C710" s="27">
        <f>IF(B710="","",INDEX('01_Rohdaten'!B710:D710,'02_Eingaben'!$C$13))</f>
        <v/>
      </c>
      <c r="D710" s="27">
        <f>IF(C710="","",C710*'02_Eingaben'!$C$15)</f>
        <v/>
      </c>
      <c r="E710" s="27">
        <f>IF(D710="","",D710*'02_Eingaben'!$C$8)</f>
        <v/>
      </c>
      <c r="F710" s="27">
        <f>IF(E710="","",AVERAGE(INDEX($E$2:$E$3001,MAX(1,ROW()-1-'02_Eingaben'!$C$17)):INDEX($E$2:$E$3001,MIN('02_Eingaben'!$C$21,ROW()-1+'02_Eingaben'!$C$17))))</f>
        <v/>
      </c>
      <c r="G710" s="27">
        <f>IF(F710="","",F710-'02_Eingaben'!$C$10)</f>
        <v/>
      </c>
      <c r="H710">
        <f>IF(F710="","",IF(F710&lt;'02_Eingaben'!$C$18*'02_Eingaben'!$C$10,1,0))</f>
        <v/>
      </c>
      <c r="I710" s="27">
        <f>IF(OR(G710="",G711=""),"",(G710+G711)/2*(B711-B710))</f>
        <v/>
      </c>
      <c r="J710" s="27">
        <f>IF(B710="","",IF(B709&lt;'02_Eingaben'!$C$36,0,J709+I709/'02_Eingaben'!$C$8))</f>
        <v/>
      </c>
    </row>
    <row r="711">
      <c r="A711">
        <f>IF('01_Rohdaten'!A711="","",ROW()-1)</f>
        <v/>
      </c>
      <c r="B711" s="27">
        <f>IF('01_Rohdaten'!A711="","",'01_Rohdaten'!A711)</f>
        <v/>
      </c>
      <c r="C711" s="27">
        <f>IF(B711="","",INDEX('01_Rohdaten'!B711:D711,'02_Eingaben'!$C$13))</f>
        <v/>
      </c>
      <c r="D711" s="27">
        <f>IF(C711="","",C711*'02_Eingaben'!$C$15)</f>
        <v/>
      </c>
      <c r="E711" s="27">
        <f>IF(D711="","",D711*'02_Eingaben'!$C$8)</f>
        <v/>
      </c>
      <c r="F711" s="27">
        <f>IF(E711="","",AVERAGE(INDEX($E$2:$E$3001,MAX(1,ROW()-1-'02_Eingaben'!$C$17)):INDEX($E$2:$E$3001,MIN('02_Eingaben'!$C$21,ROW()-1+'02_Eingaben'!$C$17))))</f>
        <v/>
      </c>
      <c r="G711" s="27">
        <f>IF(F711="","",F711-'02_Eingaben'!$C$10)</f>
        <v/>
      </c>
      <c r="H711">
        <f>IF(F711="","",IF(F711&lt;'02_Eingaben'!$C$18*'02_Eingaben'!$C$10,1,0))</f>
        <v/>
      </c>
      <c r="I711" s="27">
        <f>IF(OR(G711="",G712=""),"",(G711+G712)/2*(B712-B711))</f>
        <v/>
      </c>
      <c r="J711" s="27">
        <f>IF(B711="","",IF(B710&lt;'02_Eingaben'!$C$36,0,J710+I710/'02_Eingaben'!$C$8))</f>
        <v/>
      </c>
    </row>
    <row r="712">
      <c r="A712">
        <f>IF('01_Rohdaten'!A712="","",ROW()-1)</f>
        <v/>
      </c>
      <c r="B712" s="27">
        <f>IF('01_Rohdaten'!A712="","",'01_Rohdaten'!A712)</f>
        <v/>
      </c>
      <c r="C712" s="27">
        <f>IF(B712="","",INDEX('01_Rohdaten'!B712:D712,'02_Eingaben'!$C$13))</f>
        <v/>
      </c>
      <c r="D712" s="27">
        <f>IF(C712="","",C712*'02_Eingaben'!$C$15)</f>
        <v/>
      </c>
      <c r="E712" s="27">
        <f>IF(D712="","",D712*'02_Eingaben'!$C$8)</f>
        <v/>
      </c>
      <c r="F712" s="27">
        <f>IF(E712="","",AVERAGE(INDEX($E$2:$E$3001,MAX(1,ROW()-1-'02_Eingaben'!$C$17)):INDEX($E$2:$E$3001,MIN('02_Eingaben'!$C$21,ROW()-1+'02_Eingaben'!$C$17))))</f>
        <v/>
      </c>
      <c r="G712" s="27">
        <f>IF(F712="","",F712-'02_Eingaben'!$C$10)</f>
        <v/>
      </c>
      <c r="H712">
        <f>IF(F712="","",IF(F712&lt;'02_Eingaben'!$C$18*'02_Eingaben'!$C$10,1,0))</f>
        <v/>
      </c>
      <c r="I712" s="27">
        <f>IF(OR(G712="",G713=""),"",(G712+G713)/2*(B713-B712))</f>
        <v/>
      </c>
      <c r="J712" s="27">
        <f>IF(B712="","",IF(B711&lt;'02_Eingaben'!$C$36,0,J711+I711/'02_Eingaben'!$C$8))</f>
        <v/>
      </c>
    </row>
    <row r="713">
      <c r="A713">
        <f>IF('01_Rohdaten'!A713="","",ROW()-1)</f>
        <v/>
      </c>
      <c r="B713" s="27">
        <f>IF('01_Rohdaten'!A713="","",'01_Rohdaten'!A713)</f>
        <v/>
      </c>
      <c r="C713" s="27">
        <f>IF(B713="","",INDEX('01_Rohdaten'!B713:D713,'02_Eingaben'!$C$13))</f>
        <v/>
      </c>
      <c r="D713" s="27">
        <f>IF(C713="","",C713*'02_Eingaben'!$C$15)</f>
        <v/>
      </c>
      <c r="E713" s="27">
        <f>IF(D713="","",D713*'02_Eingaben'!$C$8)</f>
        <v/>
      </c>
      <c r="F713" s="27">
        <f>IF(E713="","",AVERAGE(INDEX($E$2:$E$3001,MAX(1,ROW()-1-'02_Eingaben'!$C$17)):INDEX($E$2:$E$3001,MIN('02_Eingaben'!$C$21,ROW()-1+'02_Eingaben'!$C$17))))</f>
        <v/>
      </c>
      <c r="G713" s="27">
        <f>IF(F713="","",F713-'02_Eingaben'!$C$10)</f>
        <v/>
      </c>
      <c r="H713">
        <f>IF(F713="","",IF(F713&lt;'02_Eingaben'!$C$18*'02_Eingaben'!$C$10,1,0))</f>
        <v/>
      </c>
      <c r="I713" s="27">
        <f>IF(OR(G713="",G714=""),"",(G713+G714)/2*(B714-B713))</f>
        <v/>
      </c>
      <c r="J713" s="27">
        <f>IF(B713="","",IF(B712&lt;'02_Eingaben'!$C$36,0,J712+I712/'02_Eingaben'!$C$8))</f>
        <v/>
      </c>
    </row>
    <row r="714">
      <c r="A714">
        <f>IF('01_Rohdaten'!A714="","",ROW()-1)</f>
        <v/>
      </c>
      <c r="B714" s="27">
        <f>IF('01_Rohdaten'!A714="","",'01_Rohdaten'!A714)</f>
        <v/>
      </c>
      <c r="C714" s="27">
        <f>IF(B714="","",INDEX('01_Rohdaten'!B714:D714,'02_Eingaben'!$C$13))</f>
        <v/>
      </c>
      <c r="D714" s="27">
        <f>IF(C714="","",C714*'02_Eingaben'!$C$15)</f>
        <v/>
      </c>
      <c r="E714" s="27">
        <f>IF(D714="","",D714*'02_Eingaben'!$C$8)</f>
        <v/>
      </c>
      <c r="F714" s="27">
        <f>IF(E714="","",AVERAGE(INDEX($E$2:$E$3001,MAX(1,ROW()-1-'02_Eingaben'!$C$17)):INDEX($E$2:$E$3001,MIN('02_Eingaben'!$C$21,ROW()-1+'02_Eingaben'!$C$17))))</f>
        <v/>
      </c>
      <c r="G714" s="27">
        <f>IF(F714="","",F714-'02_Eingaben'!$C$10)</f>
        <v/>
      </c>
      <c r="H714">
        <f>IF(F714="","",IF(F714&lt;'02_Eingaben'!$C$18*'02_Eingaben'!$C$10,1,0))</f>
        <v/>
      </c>
      <c r="I714" s="27">
        <f>IF(OR(G714="",G715=""),"",(G714+G715)/2*(B715-B714))</f>
        <v/>
      </c>
      <c r="J714" s="27">
        <f>IF(B714="","",IF(B713&lt;'02_Eingaben'!$C$36,0,J713+I713/'02_Eingaben'!$C$8))</f>
        <v/>
      </c>
    </row>
    <row r="715">
      <c r="A715">
        <f>IF('01_Rohdaten'!A715="","",ROW()-1)</f>
        <v/>
      </c>
      <c r="B715" s="27">
        <f>IF('01_Rohdaten'!A715="","",'01_Rohdaten'!A715)</f>
        <v/>
      </c>
      <c r="C715" s="27">
        <f>IF(B715="","",INDEX('01_Rohdaten'!B715:D715,'02_Eingaben'!$C$13))</f>
        <v/>
      </c>
      <c r="D715" s="27">
        <f>IF(C715="","",C715*'02_Eingaben'!$C$15)</f>
        <v/>
      </c>
      <c r="E715" s="27">
        <f>IF(D715="","",D715*'02_Eingaben'!$C$8)</f>
        <v/>
      </c>
      <c r="F715" s="27">
        <f>IF(E715="","",AVERAGE(INDEX($E$2:$E$3001,MAX(1,ROW()-1-'02_Eingaben'!$C$17)):INDEX($E$2:$E$3001,MIN('02_Eingaben'!$C$21,ROW()-1+'02_Eingaben'!$C$17))))</f>
        <v/>
      </c>
      <c r="G715" s="27">
        <f>IF(F715="","",F715-'02_Eingaben'!$C$10)</f>
        <v/>
      </c>
      <c r="H715">
        <f>IF(F715="","",IF(F715&lt;'02_Eingaben'!$C$18*'02_Eingaben'!$C$10,1,0))</f>
        <v/>
      </c>
      <c r="I715" s="27">
        <f>IF(OR(G715="",G716=""),"",(G715+G716)/2*(B716-B715))</f>
        <v/>
      </c>
      <c r="J715" s="27">
        <f>IF(B715="","",IF(B714&lt;'02_Eingaben'!$C$36,0,J714+I714/'02_Eingaben'!$C$8))</f>
        <v/>
      </c>
    </row>
    <row r="716">
      <c r="A716">
        <f>IF('01_Rohdaten'!A716="","",ROW()-1)</f>
        <v/>
      </c>
      <c r="B716" s="27">
        <f>IF('01_Rohdaten'!A716="","",'01_Rohdaten'!A716)</f>
        <v/>
      </c>
      <c r="C716" s="27">
        <f>IF(B716="","",INDEX('01_Rohdaten'!B716:D716,'02_Eingaben'!$C$13))</f>
        <v/>
      </c>
      <c r="D716" s="27">
        <f>IF(C716="","",C716*'02_Eingaben'!$C$15)</f>
        <v/>
      </c>
      <c r="E716" s="27">
        <f>IF(D716="","",D716*'02_Eingaben'!$C$8)</f>
        <v/>
      </c>
      <c r="F716" s="27">
        <f>IF(E716="","",AVERAGE(INDEX($E$2:$E$3001,MAX(1,ROW()-1-'02_Eingaben'!$C$17)):INDEX($E$2:$E$3001,MIN('02_Eingaben'!$C$21,ROW()-1+'02_Eingaben'!$C$17))))</f>
        <v/>
      </c>
      <c r="G716" s="27">
        <f>IF(F716="","",F716-'02_Eingaben'!$C$10)</f>
        <v/>
      </c>
      <c r="H716">
        <f>IF(F716="","",IF(F716&lt;'02_Eingaben'!$C$18*'02_Eingaben'!$C$10,1,0))</f>
        <v/>
      </c>
      <c r="I716" s="27">
        <f>IF(OR(G716="",G717=""),"",(G716+G717)/2*(B717-B716))</f>
        <v/>
      </c>
      <c r="J716" s="27">
        <f>IF(B716="","",IF(B715&lt;'02_Eingaben'!$C$36,0,J715+I715/'02_Eingaben'!$C$8))</f>
        <v/>
      </c>
    </row>
    <row r="717">
      <c r="A717">
        <f>IF('01_Rohdaten'!A717="","",ROW()-1)</f>
        <v/>
      </c>
      <c r="B717" s="27">
        <f>IF('01_Rohdaten'!A717="","",'01_Rohdaten'!A717)</f>
        <v/>
      </c>
      <c r="C717" s="27">
        <f>IF(B717="","",INDEX('01_Rohdaten'!B717:D717,'02_Eingaben'!$C$13))</f>
        <v/>
      </c>
      <c r="D717" s="27">
        <f>IF(C717="","",C717*'02_Eingaben'!$C$15)</f>
        <v/>
      </c>
      <c r="E717" s="27">
        <f>IF(D717="","",D717*'02_Eingaben'!$C$8)</f>
        <v/>
      </c>
      <c r="F717" s="27">
        <f>IF(E717="","",AVERAGE(INDEX($E$2:$E$3001,MAX(1,ROW()-1-'02_Eingaben'!$C$17)):INDEX($E$2:$E$3001,MIN('02_Eingaben'!$C$21,ROW()-1+'02_Eingaben'!$C$17))))</f>
        <v/>
      </c>
      <c r="G717" s="27">
        <f>IF(F717="","",F717-'02_Eingaben'!$C$10)</f>
        <v/>
      </c>
      <c r="H717">
        <f>IF(F717="","",IF(F717&lt;'02_Eingaben'!$C$18*'02_Eingaben'!$C$10,1,0))</f>
        <v/>
      </c>
      <c r="I717" s="27">
        <f>IF(OR(G717="",G718=""),"",(G717+G718)/2*(B718-B717))</f>
        <v/>
      </c>
      <c r="J717" s="27">
        <f>IF(B717="","",IF(B716&lt;'02_Eingaben'!$C$36,0,J716+I716/'02_Eingaben'!$C$8))</f>
        <v/>
      </c>
    </row>
    <row r="718">
      <c r="A718">
        <f>IF('01_Rohdaten'!A718="","",ROW()-1)</f>
        <v/>
      </c>
      <c r="B718" s="27">
        <f>IF('01_Rohdaten'!A718="","",'01_Rohdaten'!A718)</f>
        <v/>
      </c>
      <c r="C718" s="27">
        <f>IF(B718="","",INDEX('01_Rohdaten'!B718:D718,'02_Eingaben'!$C$13))</f>
        <v/>
      </c>
      <c r="D718" s="27">
        <f>IF(C718="","",C718*'02_Eingaben'!$C$15)</f>
        <v/>
      </c>
      <c r="E718" s="27">
        <f>IF(D718="","",D718*'02_Eingaben'!$C$8)</f>
        <v/>
      </c>
      <c r="F718" s="27">
        <f>IF(E718="","",AVERAGE(INDEX($E$2:$E$3001,MAX(1,ROW()-1-'02_Eingaben'!$C$17)):INDEX($E$2:$E$3001,MIN('02_Eingaben'!$C$21,ROW()-1+'02_Eingaben'!$C$17))))</f>
        <v/>
      </c>
      <c r="G718" s="27">
        <f>IF(F718="","",F718-'02_Eingaben'!$C$10)</f>
        <v/>
      </c>
      <c r="H718">
        <f>IF(F718="","",IF(F718&lt;'02_Eingaben'!$C$18*'02_Eingaben'!$C$10,1,0))</f>
        <v/>
      </c>
      <c r="I718" s="27">
        <f>IF(OR(G718="",G719=""),"",(G718+G719)/2*(B719-B718))</f>
        <v/>
      </c>
      <c r="J718" s="27">
        <f>IF(B718="","",IF(B717&lt;'02_Eingaben'!$C$36,0,J717+I717/'02_Eingaben'!$C$8))</f>
        <v/>
      </c>
    </row>
    <row r="719">
      <c r="A719">
        <f>IF('01_Rohdaten'!A719="","",ROW()-1)</f>
        <v/>
      </c>
      <c r="B719" s="27">
        <f>IF('01_Rohdaten'!A719="","",'01_Rohdaten'!A719)</f>
        <v/>
      </c>
      <c r="C719" s="27">
        <f>IF(B719="","",INDEX('01_Rohdaten'!B719:D719,'02_Eingaben'!$C$13))</f>
        <v/>
      </c>
      <c r="D719" s="27">
        <f>IF(C719="","",C719*'02_Eingaben'!$C$15)</f>
        <v/>
      </c>
      <c r="E719" s="27">
        <f>IF(D719="","",D719*'02_Eingaben'!$C$8)</f>
        <v/>
      </c>
      <c r="F719" s="27">
        <f>IF(E719="","",AVERAGE(INDEX($E$2:$E$3001,MAX(1,ROW()-1-'02_Eingaben'!$C$17)):INDEX($E$2:$E$3001,MIN('02_Eingaben'!$C$21,ROW()-1+'02_Eingaben'!$C$17))))</f>
        <v/>
      </c>
      <c r="G719" s="27">
        <f>IF(F719="","",F719-'02_Eingaben'!$C$10)</f>
        <v/>
      </c>
      <c r="H719">
        <f>IF(F719="","",IF(F719&lt;'02_Eingaben'!$C$18*'02_Eingaben'!$C$10,1,0))</f>
        <v/>
      </c>
      <c r="I719" s="27">
        <f>IF(OR(G719="",G720=""),"",(G719+G720)/2*(B720-B719))</f>
        <v/>
      </c>
      <c r="J719" s="27">
        <f>IF(B719="","",IF(B718&lt;'02_Eingaben'!$C$36,0,J718+I718/'02_Eingaben'!$C$8))</f>
        <v/>
      </c>
    </row>
    <row r="720">
      <c r="A720">
        <f>IF('01_Rohdaten'!A720="","",ROW()-1)</f>
        <v/>
      </c>
      <c r="B720" s="27">
        <f>IF('01_Rohdaten'!A720="","",'01_Rohdaten'!A720)</f>
        <v/>
      </c>
      <c r="C720" s="27">
        <f>IF(B720="","",INDEX('01_Rohdaten'!B720:D720,'02_Eingaben'!$C$13))</f>
        <v/>
      </c>
      <c r="D720" s="27">
        <f>IF(C720="","",C720*'02_Eingaben'!$C$15)</f>
        <v/>
      </c>
      <c r="E720" s="27">
        <f>IF(D720="","",D720*'02_Eingaben'!$C$8)</f>
        <v/>
      </c>
      <c r="F720" s="27">
        <f>IF(E720="","",AVERAGE(INDEX($E$2:$E$3001,MAX(1,ROW()-1-'02_Eingaben'!$C$17)):INDEX($E$2:$E$3001,MIN('02_Eingaben'!$C$21,ROW()-1+'02_Eingaben'!$C$17))))</f>
        <v/>
      </c>
      <c r="G720" s="27">
        <f>IF(F720="","",F720-'02_Eingaben'!$C$10)</f>
        <v/>
      </c>
      <c r="H720">
        <f>IF(F720="","",IF(F720&lt;'02_Eingaben'!$C$18*'02_Eingaben'!$C$10,1,0))</f>
        <v/>
      </c>
      <c r="I720" s="27">
        <f>IF(OR(G720="",G721=""),"",(G720+G721)/2*(B721-B720))</f>
        <v/>
      </c>
      <c r="J720" s="27">
        <f>IF(B720="","",IF(B719&lt;'02_Eingaben'!$C$36,0,J719+I719/'02_Eingaben'!$C$8))</f>
        <v/>
      </c>
    </row>
    <row r="721">
      <c r="A721">
        <f>IF('01_Rohdaten'!A721="","",ROW()-1)</f>
        <v/>
      </c>
      <c r="B721" s="27">
        <f>IF('01_Rohdaten'!A721="","",'01_Rohdaten'!A721)</f>
        <v/>
      </c>
      <c r="C721" s="27">
        <f>IF(B721="","",INDEX('01_Rohdaten'!B721:D721,'02_Eingaben'!$C$13))</f>
        <v/>
      </c>
      <c r="D721" s="27">
        <f>IF(C721="","",C721*'02_Eingaben'!$C$15)</f>
        <v/>
      </c>
      <c r="E721" s="27">
        <f>IF(D721="","",D721*'02_Eingaben'!$C$8)</f>
        <v/>
      </c>
      <c r="F721" s="27">
        <f>IF(E721="","",AVERAGE(INDEX($E$2:$E$3001,MAX(1,ROW()-1-'02_Eingaben'!$C$17)):INDEX($E$2:$E$3001,MIN('02_Eingaben'!$C$21,ROW()-1+'02_Eingaben'!$C$17))))</f>
        <v/>
      </c>
      <c r="G721" s="27">
        <f>IF(F721="","",F721-'02_Eingaben'!$C$10)</f>
        <v/>
      </c>
      <c r="H721">
        <f>IF(F721="","",IF(F721&lt;'02_Eingaben'!$C$18*'02_Eingaben'!$C$10,1,0))</f>
        <v/>
      </c>
      <c r="I721" s="27">
        <f>IF(OR(G721="",G722=""),"",(G721+G722)/2*(B722-B721))</f>
        <v/>
      </c>
      <c r="J721" s="27">
        <f>IF(B721="","",IF(B720&lt;'02_Eingaben'!$C$36,0,J720+I720/'02_Eingaben'!$C$8))</f>
        <v/>
      </c>
    </row>
    <row r="722">
      <c r="A722">
        <f>IF('01_Rohdaten'!A722="","",ROW()-1)</f>
        <v/>
      </c>
      <c r="B722" s="27">
        <f>IF('01_Rohdaten'!A722="","",'01_Rohdaten'!A722)</f>
        <v/>
      </c>
      <c r="C722" s="27">
        <f>IF(B722="","",INDEX('01_Rohdaten'!B722:D722,'02_Eingaben'!$C$13))</f>
        <v/>
      </c>
      <c r="D722" s="27">
        <f>IF(C722="","",C722*'02_Eingaben'!$C$15)</f>
        <v/>
      </c>
      <c r="E722" s="27">
        <f>IF(D722="","",D722*'02_Eingaben'!$C$8)</f>
        <v/>
      </c>
      <c r="F722" s="27">
        <f>IF(E722="","",AVERAGE(INDEX($E$2:$E$3001,MAX(1,ROW()-1-'02_Eingaben'!$C$17)):INDEX($E$2:$E$3001,MIN('02_Eingaben'!$C$21,ROW()-1+'02_Eingaben'!$C$17))))</f>
        <v/>
      </c>
      <c r="G722" s="27">
        <f>IF(F722="","",F722-'02_Eingaben'!$C$10)</f>
        <v/>
      </c>
      <c r="H722">
        <f>IF(F722="","",IF(F722&lt;'02_Eingaben'!$C$18*'02_Eingaben'!$C$10,1,0))</f>
        <v/>
      </c>
      <c r="I722" s="27">
        <f>IF(OR(G722="",G723=""),"",(G722+G723)/2*(B723-B722))</f>
        <v/>
      </c>
      <c r="J722" s="27">
        <f>IF(B722="","",IF(B721&lt;'02_Eingaben'!$C$36,0,J721+I721/'02_Eingaben'!$C$8))</f>
        <v/>
      </c>
    </row>
    <row r="723">
      <c r="A723">
        <f>IF('01_Rohdaten'!A723="","",ROW()-1)</f>
        <v/>
      </c>
      <c r="B723" s="27">
        <f>IF('01_Rohdaten'!A723="","",'01_Rohdaten'!A723)</f>
        <v/>
      </c>
      <c r="C723" s="27">
        <f>IF(B723="","",INDEX('01_Rohdaten'!B723:D723,'02_Eingaben'!$C$13))</f>
        <v/>
      </c>
      <c r="D723" s="27">
        <f>IF(C723="","",C723*'02_Eingaben'!$C$15)</f>
        <v/>
      </c>
      <c r="E723" s="27">
        <f>IF(D723="","",D723*'02_Eingaben'!$C$8)</f>
        <v/>
      </c>
      <c r="F723" s="27">
        <f>IF(E723="","",AVERAGE(INDEX($E$2:$E$3001,MAX(1,ROW()-1-'02_Eingaben'!$C$17)):INDEX($E$2:$E$3001,MIN('02_Eingaben'!$C$21,ROW()-1+'02_Eingaben'!$C$17))))</f>
        <v/>
      </c>
      <c r="G723" s="27">
        <f>IF(F723="","",F723-'02_Eingaben'!$C$10)</f>
        <v/>
      </c>
      <c r="H723">
        <f>IF(F723="","",IF(F723&lt;'02_Eingaben'!$C$18*'02_Eingaben'!$C$10,1,0))</f>
        <v/>
      </c>
      <c r="I723" s="27">
        <f>IF(OR(G723="",G724=""),"",(G723+G724)/2*(B724-B723))</f>
        <v/>
      </c>
      <c r="J723" s="27">
        <f>IF(B723="","",IF(B722&lt;'02_Eingaben'!$C$36,0,J722+I722/'02_Eingaben'!$C$8))</f>
        <v/>
      </c>
    </row>
    <row r="724">
      <c r="A724">
        <f>IF('01_Rohdaten'!A724="","",ROW()-1)</f>
        <v/>
      </c>
      <c r="B724" s="27">
        <f>IF('01_Rohdaten'!A724="","",'01_Rohdaten'!A724)</f>
        <v/>
      </c>
      <c r="C724" s="27">
        <f>IF(B724="","",INDEX('01_Rohdaten'!B724:D724,'02_Eingaben'!$C$13))</f>
        <v/>
      </c>
      <c r="D724" s="27">
        <f>IF(C724="","",C724*'02_Eingaben'!$C$15)</f>
        <v/>
      </c>
      <c r="E724" s="27">
        <f>IF(D724="","",D724*'02_Eingaben'!$C$8)</f>
        <v/>
      </c>
      <c r="F724" s="27">
        <f>IF(E724="","",AVERAGE(INDEX($E$2:$E$3001,MAX(1,ROW()-1-'02_Eingaben'!$C$17)):INDEX($E$2:$E$3001,MIN('02_Eingaben'!$C$21,ROW()-1+'02_Eingaben'!$C$17))))</f>
        <v/>
      </c>
      <c r="G724" s="27">
        <f>IF(F724="","",F724-'02_Eingaben'!$C$10)</f>
        <v/>
      </c>
      <c r="H724">
        <f>IF(F724="","",IF(F724&lt;'02_Eingaben'!$C$18*'02_Eingaben'!$C$10,1,0))</f>
        <v/>
      </c>
      <c r="I724" s="27">
        <f>IF(OR(G724="",G725=""),"",(G724+G725)/2*(B725-B724))</f>
        <v/>
      </c>
      <c r="J724" s="27">
        <f>IF(B724="","",IF(B723&lt;'02_Eingaben'!$C$36,0,J723+I723/'02_Eingaben'!$C$8))</f>
        <v/>
      </c>
    </row>
    <row r="725">
      <c r="A725">
        <f>IF('01_Rohdaten'!A725="","",ROW()-1)</f>
        <v/>
      </c>
      <c r="B725" s="27">
        <f>IF('01_Rohdaten'!A725="","",'01_Rohdaten'!A725)</f>
        <v/>
      </c>
      <c r="C725" s="27">
        <f>IF(B725="","",INDEX('01_Rohdaten'!B725:D725,'02_Eingaben'!$C$13))</f>
        <v/>
      </c>
      <c r="D725" s="27">
        <f>IF(C725="","",C725*'02_Eingaben'!$C$15)</f>
        <v/>
      </c>
      <c r="E725" s="27">
        <f>IF(D725="","",D725*'02_Eingaben'!$C$8)</f>
        <v/>
      </c>
      <c r="F725" s="27">
        <f>IF(E725="","",AVERAGE(INDEX($E$2:$E$3001,MAX(1,ROW()-1-'02_Eingaben'!$C$17)):INDEX($E$2:$E$3001,MIN('02_Eingaben'!$C$21,ROW()-1+'02_Eingaben'!$C$17))))</f>
        <v/>
      </c>
      <c r="G725" s="27">
        <f>IF(F725="","",F725-'02_Eingaben'!$C$10)</f>
        <v/>
      </c>
      <c r="H725">
        <f>IF(F725="","",IF(F725&lt;'02_Eingaben'!$C$18*'02_Eingaben'!$C$10,1,0))</f>
        <v/>
      </c>
      <c r="I725" s="27">
        <f>IF(OR(G725="",G726=""),"",(G725+G726)/2*(B726-B725))</f>
        <v/>
      </c>
      <c r="J725" s="27">
        <f>IF(B725="","",IF(B724&lt;'02_Eingaben'!$C$36,0,J724+I724/'02_Eingaben'!$C$8))</f>
        <v/>
      </c>
    </row>
    <row r="726">
      <c r="A726">
        <f>IF('01_Rohdaten'!A726="","",ROW()-1)</f>
        <v/>
      </c>
      <c r="B726" s="27">
        <f>IF('01_Rohdaten'!A726="","",'01_Rohdaten'!A726)</f>
        <v/>
      </c>
      <c r="C726" s="27">
        <f>IF(B726="","",INDEX('01_Rohdaten'!B726:D726,'02_Eingaben'!$C$13))</f>
        <v/>
      </c>
      <c r="D726" s="27">
        <f>IF(C726="","",C726*'02_Eingaben'!$C$15)</f>
        <v/>
      </c>
      <c r="E726" s="27">
        <f>IF(D726="","",D726*'02_Eingaben'!$C$8)</f>
        <v/>
      </c>
      <c r="F726" s="27">
        <f>IF(E726="","",AVERAGE(INDEX($E$2:$E$3001,MAX(1,ROW()-1-'02_Eingaben'!$C$17)):INDEX($E$2:$E$3001,MIN('02_Eingaben'!$C$21,ROW()-1+'02_Eingaben'!$C$17))))</f>
        <v/>
      </c>
      <c r="G726" s="27">
        <f>IF(F726="","",F726-'02_Eingaben'!$C$10)</f>
        <v/>
      </c>
      <c r="H726">
        <f>IF(F726="","",IF(F726&lt;'02_Eingaben'!$C$18*'02_Eingaben'!$C$10,1,0))</f>
        <v/>
      </c>
      <c r="I726" s="27">
        <f>IF(OR(G726="",G727=""),"",(G726+G727)/2*(B727-B726))</f>
        <v/>
      </c>
      <c r="J726" s="27">
        <f>IF(B726="","",IF(B725&lt;'02_Eingaben'!$C$36,0,J725+I725/'02_Eingaben'!$C$8))</f>
        <v/>
      </c>
    </row>
    <row r="727">
      <c r="A727">
        <f>IF('01_Rohdaten'!A727="","",ROW()-1)</f>
        <v/>
      </c>
      <c r="B727" s="27">
        <f>IF('01_Rohdaten'!A727="","",'01_Rohdaten'!A727)</f>
        <v/>
      </c>
      <c r="C727" s="27">
        <f>IF(B727="","",INDEX('01_Rohdaten'!B727:D727,'02_Eingaben'!$C$13))</f>
        <v/>
      </c>
      <c r="D727" s="27">
        <f>IF(C727="","",C727*'02_Eingaben'!$C$15)</f>
        <v/>
      </c>
      <c r="E727" s="27">
        <f>IF(D727="","",D727*'02_Eingaben'!$C$8)</f>
        <v/>
      </c>
      <c r="F727" s="27">
        <f>IF(E727="","",AVERAGE(INDEX($E$2:$E$3001,MAX(1,ROW()-1-'02_Eingaben'!$C$17)):INDEX($E$2:$E$3001,MIN('02_Eingaben'!$C$21,ROW()-1+'02_Eingaben'!$C$17))))</f>
        <v/>
      </c>
      <c r="G727" s="27">
        <f>IF(F727="","",F727-'02_Eingaben'!$C$10)</f>
        <v/>
      </c>
      <c r="H727">
        <f>IF(F727="","",IF(F727&lt;'02_Eingaben'!$C$18*'02_Eingaben'!$C$10,1,0))</f>
        <v/>
      </c>
      <c r="I727" s="27">
        <f>IF(OR(G727="",G728=""),"",(G727+G728)/2*(B728-B727))</f>
        <v/>
      </c>
      <c r="J727" s="27">
        <f>IF(B727="","",IF(B726&lt;'02_Eingaben'!$C$36,0,J726+I726/'02_Eingaben'!$C$8))</f>
        <v/>
      </c>
    </row>
    <row r="728">
      <c r="A728">
        <f>IF('01_Rohdaten'!A728="","",ROW()-1)</f>
        <v/>
      </c>
      <c r="B728" s="27">
        <f>IF('01_Rohdaten'!A728="","",'01_Rohdaten'!A728)</f>
        <v/>
      </c>
      <c r="C728" s="27">
        <f>IF(B728="","",INDEX('01_Rohdaten'!B728:D728,'02_Eingaben'!$C$13))</f>
        <v/>
      </c>
      <c r="D728" s="27">
        <f>IF(C728="","",C728*'02_Eingaben'!$C$15)</f>
        <v/>
      </c>
      <c r="E728" s="27">
        <f>IF(D728="","",D728*'02_Eingaben'!$C$8)</f>
        <v/>
      </c>
      <c r="F728" s="27">
        <f>IF(E728="","",AVERAGE(INDEX($E$2:$E$3001,MAX(1,ROW()-1-'02_Eingaben'!$C$17)):INDEX($E$2:$E$3001,MIN('02_Eingaben'!$C$21,ROW()-1+'02_Eingaben'!$C$17))))</f>
        <v/>
      </c>
      <c r="G728" s="27">
        <f>IF(F728="","",F728-'02_Eingaben'!$C$10)</f>
        <v/>
      </c>
      <c r="H728">
        <f>IF(F728="","",IF(F728&lt;'02_Eingaben'!$C$18*'02_Eingaben'!$C$10,1,0))</f>
        <v/>
      </c>
      <c r="I728" s="27">
        <f>IF(OR(G728="",G729=""),"",(G728+G729)/2*(B729-B728))</f>
        <v/>
      </c>
      <c r="J728" s="27">
        <f>IF(B728="","",IF(B727&lt;'02_Eingaben'!$C$36,0,J727+I727/'02_Eingaben'!$C$8))</f>
        <v/>
      </c>
    </row>
    <row r="729">
      <c r="A729">
        <f>IF('01_Rohdaten'!A729="","",ROW()-1)</f>
        <v/>
      </c>
      <c r="B729" s="27">
        <f>IF('01_Rohdaten'!A729="","",'01_Rohdaten'!A729)</f>
        <v/>
      </c>
      <c r="C729" s="27">
        <f>IF(B729="","",INDEX('01_Rohdaten'!B729:D729,'02_Eingaben'!$C$13))</f>
        <v/>
      </c>
      <c r="D729" s="27">
        <f>IF(C729="","",C729*'02_Eingaben'!$C$15)</f>
        <v/>
      </c>
      <c r="E729" s="27">
        <f>IF(D729="","",D729*'02_Eingaben'!$C$8)</f>
        <v/>
      </c>
      <c r="F729" s="27">
        <f>IF(E729="","",AVERAGE(INDEX($E$2:$E$3001,MAX(1,ROW()-1-'02_Eingaben'!$C$17)):INDEX($E$2:$E$3001,MIN('02_Eingaben'!$C$21,ROW()-1+'02_Eingaben'!$C$17))))</f>
        <v/>
      </c>
      <c r="G729" s="27">
        <f>IF(F729="","",F729-'02_Eingaben'!$C$10)</f>
        <v/>
      </c>
      <c r="H729">
        <f>IF(F729="","",IF(F729&lt;'02_Eingaben'!$C$18*'02_Eingaben'!$C$10,1,0))</f>
        <v/>
      </c>
      <c r="I729" s="27">
        <f>IF(OR(G729="",G730=""),"",(G729+G730)/2*(B730-B729))</f>
        <v/>
      </c>
      <c r="J729" s="27">
        <f>IF(B729="","",IF(B728&lt;'02_Eingaben'!$C$36,0,J728+I728/'02_Eingaben'!$C$8))</f>
        <v/>
      </c>
    </row>
    <row r="730">
      <c r="A730">
        <f>IF('01_Rohdaten'!A730="","",ROW()-1)</f>
        <v/>
      </c>
      <c r="B730" s="27">
        <f>IF('01_Rohdaten'!A730="","",'01_Rohdaten'!A730)</f>
        <v/>
      </c>
      <c r="C730" s="27">
        <f>IF(B730="","",INDEX('01_Rohdaten'!B730:D730,'02_Eingaben'!$C$13))</f>
        <v/>
      </c>
      <c r="D730" s="27">
        <f>IF(C730="","",C730*'02_Eingaben'!$C$15)</f>
        <v/>
      </c>
      <c r="E730" s="27">
        <f>IF(D730="","",D730*'02_Eingaben'!$C$8)</f>
        <v/>
      </c>
      <c r="F730" s="27">
        <f>IF(E730="","",AVERAGE(INDEX($E$2:$E$3001,MAX(1,ROW()-1-'02_Eingaben'!$C$17)):INDEX($E$2:$E$3001,MIN('02_Eingaben'!$C$21,ROW()-1+'02_Eingaben'!$C$17))))</f>
        <v/>
      </c>
      <c r="G730" s="27">
        <f>IF(F730="","",F730-'02_Eingaben'!$C$10)</f>
        <v/>
      </c>
      <c r="H730">
        <f>IF(F730="","",IF(F730&lt;'02_Eingaben'!$C$18*'02_Eingaben'!$C$10,1,0))</f>
        <v/>
      </c>
      <c r="I730" s="27">
        <f>IF(OR(G730="",G731=""),"",(G730+G731)/2*(B731-B730))</f>
        <v/>
      </c>
      <c r="J730" s="27">
        <f>IF(B730="","",IF(B729&lt;'02_Eingaben'!$C$36,0,J729+I729/'02_Eingaben'!$C$8))</f>
        <v/>
      </c>
    </row>
    <row r="731">
      <c r="A731">
        <f>IF('01_Rohdaten'!A731="","",ROW()-1)</f>
        <v/>
      </c>
      <c r="B731" s="27">
        <f>IF('01_Rohdaten'!A731="","",'01_Rohdaten'!A731)</f>
        <v/>
      </c>
      <c r="C731" s="27">
        <f>IF(B731="","",INDEX('01_Rohdaten'!B731:D731,'02_Eingaben'!$C$13))</f>
        <v/>
      </c>
      <c r="D731" s="27">
        <f>IF(C731="","",C731*'02_Eingaben'!$C$15)</f>
        <v/>
      </c>
      <c r="E731" s="27">
        <f>IF(D731="","",D731*'02_Eingaben'!$C$8)</f>
        <v/>
      </c>
      <c r="F731" s="27">
        <f>IF(E731="","",AVERAGE(INDEX($E$2:$E$3001,MAX(1,ROW()-1-'02_Eingaben'!$C$17)):INDEX($E$2:$E$3001,MIN('02_Eingaben'!$C$21,ROW()-1+'02_Eingaben'!$C$17))))</f>
        <v/>
      </c>
      <c r="G731" s="27">
        <f>IF(F731="","",F731-'02_Eingaben'!$C$10)</f>
        <v/>
      </c>
      <c r="H731">
        <f>IF(F731="","",IF(F731&lt;'02_Eingaben'!$C$18*'02_Eingaben'!$C$10,1,0))</f>
        <v/>
      </c>
      <c r="I731" s="27">
        <f>IF(OR(G731="",G732=""),"",(G731+G732)/2*(B732-B731))</f>
        <v/>
      </c>
      <c r="J731" s="27">
        <f>IF(B731="","",IF(B730&lt;'02_Eingaben'!$C$36,0,J730+I730/'02_Eingaben'!$C$8))</f>
        <v/>
      </c>
    </row>
    <row r="732">
      <c r="A732">
        <f>IF('01_Rohdaten'!A732="","",ROW()-1)</f>
        <v/>
      </c>
      <c r="B732" s="27">
        <f>IF('01_Rohdaten'!A732="","",'01_Rohdaten'!A732)</f>
        <v/>
      </c>
      <c r="C732" s="27">
        <f>IF(B732="","",INDEX('01_Rohdaten'!B732:D732,'02_Eingaben'!$C$13))</f>
        <v/>
      </c>
      <c r="D732" s="27">
        <f>IF(C732="","",C732*'02_Eingaben'!$C$15)</f>
        <v/>
      </c>
      <c r="E732" s="27">
        <f>IF(D732="","",D732*'02_Eingaben'!$C$8)</f>
        <v/>
      </c>
      <c r="F732" s="27">
        <f>IF(E732="","",AVERAGE(INDEX($E$2:$E$3001,MAX(1,ROW()-1-'02_Eingaben'!$C$17)):INDEX($E$2:$E$3001,MIN('02_Eingaben'!$C$21,ROW()-1+'02_Eingaben'!$C$17))))</f>
        <v/>
      </c>
      <c r="G732" s="27">
        <f>IF(F732="","",F732-'02_Eingaben'!$C$10)</f>
        <v/>
      </c>
      <c r="H732">
        <f>IF(F732="","",IF(F732&lt;'02_Eingaben'!$C$18*'02_Eingaben'!$C$10,1,0))</f>
        <v/>
      </c>
      <c r="I732" s="27">
        <f>IF(OR(G732="",G733=""),"",(G732+G733)/2*(B733-B732))</f>
        <v/>
      </c>
      <c r="J732" s="27">
        <f>IF(B732="","",IF(B731&lt;'02_Eingaben'!$C$36,0,J731+I731/'02_Eingaben'!$C$8))</f>
        <v/>
      </c>
    </row>
    <row r="733">
      <c r="A733">
        <f>IF('01_Rohdaten'!A733="","",ROW()-1)</f>
        <v/>
      </c>
      <c r="B733" s="27">
        <f>IF('01_Rohdaten'!A733="","",'01_Rohdaten'!A733)</f>
        <v/>
      </c>
      <c r="C733" s="27">
        <f>IF(B733="","",INDEX('01_Rohdaten'!B733:D733,'02_Eingaben'!$C$13))</f>
        <v/>
      </c>
      <c r="D733" s="27">
        <f>IF(C733="","",C733*'02_Eingaben'!$C$15)</f>
        <v/>
      </c>
      <c r="E733" s="27">
        <f>IF(D733="","",D733*'02_Eingaben'!$C$8)</f>
        <v/>
      </c>
      <c r="F733" s="27">
        <f>IF(E733="","",AVERAGE(INDEX($E$2:$E$3001,MAX(1,ROW()-1-'02_Eingaben'!$C$17)):INDEX($E$2:$E$3001,MIN('02_Eingaben'!$C$21,ROW()-1+'02_Eingaben'!$C$17))))</f>
        <v/>
      </c>
      <c r="G733" s="27">
        <f>IF(F733="","",F733-'02_Eingaben'!$C$10)</f>
        <v/>
      </c>
      <c r="H733">
        <f>IF(F733="","",IF(F733&lt;'02_Eingaben'!$C$18*'02_Eingaben'!$C$10,1,0))</f>
        <v/>
      </c>
      <c r="I733" s="27">
        <f>IF(OR(G733="",G734=""),"",(G733+G734)/2*(B734-B733))</f>
        <v/>
      </c>
      <c r="J733" s="27">
        <f>IF(B733="","",IF(B732&lt;'02_Eingaben'!$C$36,0,J732+I732/'02_Eingaben'!$C$8))</f>
        <v/>
      </c>
    </row>
    <row r="734">
      <c r="A734">
        <f>IF('01_Rohdaten'!A734="","",ROW()-1)</f>
        <v/>
      </c>
      <c r="B734" s="27">
        <f>IF('01_Rohdaten'!A734="","",'01_Rohdaten'!A734)</f>
        <v/>
      </c>
      <c r="C734" s="27">
        <f>IF(B734="","",INDEX('01_Rohdaten'!B734:D734,'02_Eingaben'!$C$13))</f>
        <v/>
      </c>
      <c r="D734" s="27">
        <f>IF(C734="","",C734*'02_Eingaben'!$C$15)</f>
        <v/>
      </c>
      <c r="E734" s="27">
        <f>IF(D734="","",D734*'02_Eingaben'!$C$8)</f>
        <v/>
      </c>
      <c r="F734" s="27">
        <f>IF(E734="","",AVERAGE(INDEX($E$2:$E$3001,MAX(1,ROW()-1-'02_Eingaben'!$C$17)):INDEX($E$2:$E$3001,MIN('02_Eingaben'!$C$21,ROW()-1+'02_Eingaben'!$C$17))))</f>
        <v/>
      </c>
      <c r="G734" s="27">
        <f>IF(F734="","",F734-'02_Eingaben'!$C$10)</f>
        <v/>
      </c>
      <c r="H734">
        <f>IF(F734="","",IF(F734&lt;'02_Eingaben'!$C$18*'02_Eingaben'!$C$10,1,0))</f>
        <v/>
      </c>
      <c r="I734" s="27">
        <f>IF(OR(G734="",G735=""),"",(G734+G735)/2*(B735-B734))</f>
        <v/>
      </c>
      <c r="J734" s="27">
        <f>IF(B734="","",IF(B733&lt;'02_Eingaben'!$C$36,0,J733+I733/'02_Eingaben'!$C$8))</f>
        <v/>
      </c>
    </row>
    <row r="735">
      <c r="A735">
        <f>IF('01_Rohdaten'!A735="","",ROW()-1)</f>
        <v/>
      </c>
      <c r="B735" s="27">
        <f>IF('01_Rohdaten'!A735="","",'01_Rohdaten'!A735)</f>
        <v/>
      </c>
      <c r="C735" s="27">
        <f>IF(B735="","",INDEX('01_Rohdaten'!B735:D735,'02_Eingaben'!$C$13))</f>
        <v/>
      </c>
      <c r="D735" s="27">
        <f>IF(C735="","",C735*'02_Eingaben'!$C$15)</f>
        <v/>
      </c>
      <c r="E735" s="27">
        <f>IF(D735="","",D735*'02_Eingaben'!$C$8)</f>
        <v/>
      </c>
      <c r="F735" s="27">
        <f>IF(E735="","",AVERAGE(INDEX($E$2:$E$3001,MAX(1,ROW()-1-'02_Eingaben'!$C$17)):INDEX($E$2:$E$3001,MIN('02_Eingaben'!$C$21,ROW()-1+'02_Eingaben'!$C$17))))</f>
        <v/>
      </c>
      <c r="G735" s="27">
        <f>IF(F735="","",F735-'02_Eingaben'!$C$10)</f>
        <v/>
      </c>
      <c r="H735">
        <f>IF(F735="","",IF(F735&lt;'02_Eingaben'!$C$18*'02_Eingaben'!$C$10,1,0))</f>
        <v/>
      </c>
      <c r="I735" s="27">
        <f>IF(OR(G735="",G736=""),"",(G735+G736)/2*(B736-B735))</f>
        <v/>
      </c>
      <c r="J735" s="27">
        <f>IF(B735="","",IF(B734&lt;'02_Eingaben'!$C$36,0,J734+I734/'02_Eingaben'!$C$8))</f>
        <v/>
      </c>
    </row>
    <row r="736">
      <c r="A736">
        <f>IF('01_Rohdaten'!A736="","",ROW()-1)</f>
        <v/>
      </c>
      <c r="B736" s="27">
        <f>IF('01_Rohdaten'!A736="","",'01_Rohdaten'!A736)</f>
        <v/>
      </c>
      <c r="C736" s="27">
        <f>IF(B736="","",INDEX('01_Rohdaten'!B736:D736,'02_Eingaben'!$C$13))</f>
        <v/>
      </c>
      <c r="D736" s="27">
        <f>IF(C736="","",C736*'02_Eingaben'!$C$15)</f>
        <v/>
      </c>
      <c r="E736" s="27">
        <f>IF(D736="","",D736*'02_Eingaben'!$C$8)</f>
        <v/>
      </c>
      <c r="F736" s="27">
        <f>IF(E736="","",AVERAGE(INDEX($E$2:$E$3001,MAX(1,ROW()-1-'02_Eingaben'!$C$17)):INDEX($E$2:$E$3001,MIN('02_Eingaben'!$C$21,ROW()-1+'02_Eingaben'!$C$17))))</f>
        <v/>
      </c>
      <c r="G736" s="27">
        <f>IF(F736="","",F736-'02_Eingaben'!$C$10)</f>
        <v/>
      </c>
      <c r="H736">
        <f>IF(F736="","",IF(F736&lt;'02_Eingaben'!$C$18*'02_Eingaben'!$C$10,1,0))</f>
        <v/>
      </c>
      <c r="I736" s="27">
        <f>IF(OR(G736="",G737=""),"",(G736+G737)/2*(B737-B736))</f>
        <v/>
      </c>
      <c r="J736" s="27">
        <f>IF(B736="","",IF(B735&lt;'02_Eingaben'!$C$36,0,J735+I735/'02_Eingaben'!$C$8))</f>
        <v/>
      </c>
    </row>
    <row r="737">
      <c r="A737">
        <f>IF('01_Rohdaten'!A737="","",ROW()-1)</f>
        <v/>
      </c>
      <c r="B737" s="27">
        <f>IF('01_Rohdaten'!A737="","",'01_Rohdaten'!A737)</f>
        <v/>
      </c>
      <c r="C737" s="27">
        <f>IF(B737="","",INDEX('01_Rohdaten'!B737:D737,'02_Eingaben'!$C$13))</f>
        <v/>
      </c>
      <c r="D737" s="27">
        <f>IF(C737="","",C737*'02_Eingaben'!$C$15)</f>
        <v/>
      </c>
      <c r="E737" s="27">
        <f>IF(D737="","",D737*'02_Eingaben'!$C$8)</f>
        <v/>
      </c>
      <c r="F737" s="27">
        <f>IF(E737="","",AVERAGE(INDEX($E$2:$E$3001,MAX(1,ROW()-1-'02_Eingaben'!$C$17)):INDEX($E$2:$E$3001,MIN('02_Eingaben'!$C$21,ROW()-1+'02_Eingaben'!$C$17))))</f>
        <v/>
      </c>
      <c r="G737" s="27">
        <f>IF(F737="","",F737-'02_Eingaben'!$C$10)</f>
        <v/>
      </c>
      <c r="H737">
        <f>IF(F737="","",IF(F737&lt;'02_Eingaben'!$C$18*'02_Eingaben'!$C$10,1,0))</f>
        <v/>
      </c>
      <c r="I737" s="27">
        <f>IF(OR(G737="",G738=""),"",(G737+G738)/2*(B738-B737))</f>
        <v/>
      </c>
      <c r="J737" s="27">
        <f>IF(B737="","",IF(B736&lt;'02_Eingaben'!$C$36,0,J736+I736/'02_Eingaben'!$C$8))</f>
        <v/>
      </c>
    </row>
    <row r="738">
      <c r="A738">
        <f>IF('01_Rohdaten'!A738="","",ROW()-1)</f>
        <v/>
      </c>
      <c r="B738" s="27">
        <f>IF('01_Rohdaten'!A738="","",'01_Rohdaten'!A738)</f>
        <v/>
      </c>
      <c r="C738" s="27">
        <f>IF(B738="","",INDEX('01_Rohdaten'!B738:D738,'02_Eingaben'!$C$13))</f>
        <v/>
      </c>
      <c r="D738" s="27">
        <f>IF(C738="","",C738*'02_Eingaben'!$C$15)</f>
        <v/>
      </c>
      <c r="E738" s="27">
        <f>IF(D738="","",D738*'02_Eingaben'!$C$8)</f>
        <v/>
      </c>
      <c r="F738" s="27">
        <f>IF(E738="","",AVERAGE(INDEX($E$2:$E$3001,MAX(1,ROW()-1-'02_Eingaben'!$C$17)):INDEX($E$2:$E$3001,MIN('02_Eingaben'!$C$21,ROW()-1+'02_Eingaben'!$C$17))))</f>
        <v/>
      </c>
      <c r="G738" s="27">
        <f>IF(F738="","",F738-'02_Eingaben'!$C$10)</f>
        <v/>
      </c>
      <c r="H738">
        <f>IF(F738="","",IF(F738&lt;'02_Eingaben'!$C$18*'02_Eingaben'!$C$10,1,0))</f>
        <v/>
      </c>
      <c r="I738" s="27">
        <f>IF(OR(G738="",G739=""),"",(G738+G739)/2*(B739-B738))</f>
        <v/>
      </c>
      <c r="J738" s="27">
        <f>IF(B738="","",IF(B737&lt;'02_Eingaben'!$C$36,0,J737+I737/'02_Eingaben'!$C$8))</f>
        <v/>
      </c>
    </row>
    <row r="739">
      <c r="A739">
        <f>IF('01_Rohdaten'!A739="","",ROW()-1)</f>
        <v/>
      </c>
      <c r="B739" s="27">
        <f>IF('01_Rohdaten'!A739="","",'01_Rohdaten'!A739)</f>
        <v/>
      </c>
      <c r="C739" s="27">
        <f>IF(B739="","",INDEX('01_Rohdaten'!B739:D739,'02_Eingaben'!$C$13))</f>
        <v/>
      </c>
      <c r="D739" s="27">
        <f>IF(C739="","",C739*'02_Eingaben'!$C$15)</f>
        <v/>
      </c>
      <c r="E739" s="27">
        <f>IF(D739="","",D739*'02_Eingaben'!$C$8)</f>
        <v/>
      </c>
      <c r="F739" s="27">
        <f>IF(E739="","",AVERAGE(INDEX($E$2:$E$3001,MAX(1,ROW()-1-'02_Eingaben'!$C$17)):INDEX($E$2:$E$3001,MIN('02_Eingaben'!$C$21,ROW()-1+'02_Eingaben'!$C$17))))</f>
        <v/>
      </c>
      <c r="G739" s="27">
        <f>IF(F739="","",F739-'02_Eingaben'!$C$10)</f>
        <v/>
      </c>
      <c r="H739">
        <f>IF(F739="","",IF(F739&lt;'02_Eingaben'!$C$18*'02_Eingaben'!$C$10,1,0))</f>
        <v/>
      </c>
      <c r="I739" s="27">
        <f>IF(OR(G739="",G740=""),"",(G739+G740)/2*(B740-B739))</f>
        <v/>
      </c>
      <c r="J739" s="27">
        <f>IF(B739="","",IF(B738&lt;'02_Eingaben'!$C$36,0,J738+I738/'02_Eingaben'!$C$8))</f>
        <v/>
      </c>
    </row>
    <row r="740">
      <c r="A740">
        <f>IF('01_Rohdaten'!A740="","",ROW()-1)</f>
        <v/>
      </c>
      <c r="B740" s="27">
        <f>IF('01_Rohdaten'!A740="","",'01_Rohdaten'!A740)</f>
        <v/>
      </c>
      <c r="C740" s="27">
        <f>IF(B740="","",INDEX('01_Rohdaten'!B740:D740,'02_Eingaben'!$C$13))</f>
        <v/>
      </c>
      <c r="D740" s="27">
        <f>IF(C740="","",C740*'02_Eingaben'!$C$15)</f>
        <v/>
      </c>
      <c r="E740" s="27">
        <f>IF(D740="","",D740*'02_Eingaben'!$C$8)</f>
        <v/>
      </c>
      <c r="F740" s="27">
        <f>IF(E740="","",AVERAGE(INDEX($E$2:$E$3001,MAX(1,ROW()-1-'02_Eingaben'!$C$17)):INDEX($E$2:$E$3001,MIN('02_Eingaben'!$C$21,ROW()-1+'02_Eingaben'!$C$17))))</f>
        <v/>
      </c>
      <c r="G740" s="27">
        <f>IF(F740="","",F740-'02_Eingaben'!$C$10)</f>
        <v/>
      </c>
      <c r="H740">
        <f>IF(F740="","",IF(F740&lt;'02_Eingaben'!$C$18*'02_Eingaben'!$C$10,1,0))</f>
        <v/>
      </c>
      <c r="I740" s="27">
        <f>IF(OR(G740="",G741=""),"",(G740+G741)/2*(B741-B740))</f>
        <v/>
      </c>
      <c r="J740" s="27">
        <f>IF(B740="","",IF(B739&lt;'02_Eingaben'!$C$36,0,J739+I739/'02_Eingaben'!$C$8))</f>
        <v/>
      </c>
    </row>
    <row r="741">
      <c r="A741">
        <f>IF('01_Rohdaten'!A741="","",ROW()-1)</f>
        <v/>
      </c>
      <c r="B741" s="27">
        <f>IF('01_Rohdaten'!A741="","",'01_Rohdaten'!A741)</f>
        <v/>
      </c>
      <c r="C741" s="27">
        <f>IF(B741="","",INDEX('01_Rohdaten'!B741:D741,'02_Eingaben'!$C$13))</f>
        <v/>
      </c>
      <c r="D741" s="27">
        <f>IF(C741="","",C741*'02_Eingaben'!$C$15)</f>
        <v/>
      </c>
      <c r="E741" s="27">
        <f>IF(D741="","",D741*'02_Eingaben'!$C$8)</f>
        <v/>
      </c>
      <c r="F741" s="27">
        <f>IF(E741="","",AVERAGE(INDEX($E$2:$E$3001,MAX(1,ROW()-1-'02_Eingaben'!$C$17)):INDEX($E$2:$E$3001,MIN('02_Eingaben'!$C$21,ROW()-1+'02_Eingaben'!$C$17))))</f>
        <v/>
      </c>
      <c r="G741" s="27">
        <f>IF(F741="","",F741-'02_Eingaben'!$C$10)</f>
        <v/>
      </c>
      <c r="H741">
        <f>IF(F741="","",IF(F741&lt;'02_Eingaben'!$C$18*'02_Eingaben'!$C$10,1,0))</f>
        <v/>
      </c>
      <c r="I741" s="27">
        <f>IF(OR(G741="",G742=""),"",(G741+G742)/2*(B742-B741))</f>
        <v/>
      </c>
      <c r="J741" s="27">
        <f>IF(B741="","",IF(B740&lt;'02_Eingaben'!$C$36,0,J740+I740/'02_Eingaben'!$C$8))</f>
        <v/>
      </c>
    </row>
    <row r="742">
      <c r="A742">
        <f>IF('01_Rohdaten'!A742="","",ROW()-1)</f>
        <v/>
      </c>
      <c r="B742" s="27">
        <f>IF('01_Rohdaten'!A742="","",'01_Rohdaten'!A742)</f>
        <v/>
      </c>
      <c r="C742" s="27">
        <f>IF(B742="","",INDEX('01_Rohdaten'!B742:D742,'02_Eingaben'!$C$13))</f>
        <v/>
      </c>
      <c r="D742" s="27">
        <f>IF(C742="","",C742*'02_Eingaben'!$C$15)</f>
        <v/>
      </c>
      <c r="E742" s="27">
        <f>IF(D742="","",D742*'02_Eingaben'!$C$8)</f>
        <v/>
      </c>
      <c r="F742" s="27">
        <f>IF(E742="","",AVERAGE(INDEX($E$2:$E$3001,MAX(1,ROW()-1-'02_Eingaben'!$C$17)):INDEX($E$2:$E$3001,MIN('02_Eingaben'!$C$21,ROW()-1+'02_Eingaben'!$C$17))))</f>
        <v/>
      </c>
      <c r="G742" s="27">
        <f>IF(F742="","",F742-'02_Eingaben'!$C$10)</f>
        <v/>
      </c>
      <c r="H742">
        <f>IF(F742="","",IF(F742&lt;'02_Eingaben'!$C$18*'02_Eingaben'!$C$10,1,0))</f>
        <v/>
      </c>
      <c r="I742" s="27">
        <f>IF(OR(G742="",G743=""),"",(G742+G743)/2*(B743-B742))</f>
        <v/>
      </c>
      <c r="J742" s="27">
        <f>IF(B742="","",IF(B741&lt;'02_Eingaben'!$C$36,0,J741+I741/'02_Eingaben'!$C$8))</f>
        <v/>
      </c>
    </row>
    <row r="743">
      <c r="A743">
        <f>IF('01_Rohdaten'!A743="","",ROW()-1)</f>
        <v/>
      </c>
      <c r="B743" s="27">
        <f>IF('01_Rohdaten'!A743="","",'01_Rohdaten'!A743)</f>
        <v/>
      </c>
      <c r="C743" s="27">
        <f>IF(B743="","",INDEX('01_Rohdaten'!B743:D743,'02_Eingaben'!$C$13))</f>
        <v/>
      </c>
      <c r="D743" s="27">
        <f>IF(C743="","",C743*'02_Eingaben'!$C$15)</f>
        <v/>
      </c>
      <c r="E743" s="27">
        <f>IF(D743="","",D743*'02_Eingaben'!$C$8)</f>
        <v/>
      </c>
      <c r="F743" s="27">
        <f>IF(E743="","",AVERAGE(INDEX($E$2:$E$3001,MAX(1,ROW()-1-'02_Eingaben'!$C$17)):INDEX($E$2:$E$3001,MIN('02_Eingaben'!$C$21,ROW()-1+'02_Eingaben'!$C$17))))</f>
        <v/>
      </c>
      <c r="G743" s="27">
        <f>IF(F743="","",F743-'02_Eingaben'!$C$10)</f>
        <v/>
      </c>
      <c r="H743">
        <f>IF(F743="","",IF(F743&lt;'02_Eingaben'!$C$18*'02_Eingaben'!$C$10,1,0))</f>
        <v/>
      </c>
      <c r="I743" s="27">
        <f>IF(OR(G743="",G744=""),"",(G743+G744)/2*(B744-B743))</f>
        <v/>
      </c>
      <c r="J743" s="27">
        <f>IF(B743="","",IF(B742&lt;'02_Eingaben'!$C$36,0,J742+I742/'02_Eingaben'!$C$8))</f>
        <v/>
      </c>
    </row>
    <row r="744">
      <c r="A744">
        <f>IF('01_Rohdaten'!A744="","",ROW()-1)</f>
        <v/>
      </c>
      <c r="B744" s="27">
        <f>IF('01_Rohdaten'!A744="","",'01_Rohdaten'!A744)</f>
        <v/>
      </c>
      <c r="C744" s="27">
        <f>IF(B744="","",INDEX('01_Rohdaten'!B744:D744,'02_Eingaben'!$C$13))</f>
        <v/>
      </c>
      <c r="D744" s="27">
        <f>IF(C744="","",C744*'02_Eingaben'!$C$15)</f>
        <v/>
      </c>
      <c r="E744" s="27">
        <f>IF(D744="","",D744*'02_Eingaben'!$C$8)</f>
        <v/>
      </c>
      <c r="F744" s="27">
        <f>IF(E744="","",AVERAGE(INDEX($E$2:$E$3001,MAX(1,ROW()-1-'02_Eingaben'!$C$17)):INDEX($E$2:$E$3001,MIN('02_Eingaben'!$C$21,ROW()-1+'02_Eingaben'!$C$17))))</f>
        <v/>
      </c>
      <c r="G744" s="27">
        <f>IF(F744="","",F744-'02_Eingaben'!$C$10)</f>
        <v/>
      </c>
      <c r="H744">
        <f>IF(F744="","",IF(F744&lt;'02_Eingaben'!$C$18*'02_Eingaben'!$C$10,1,0))</f>
        <v/>
      </c>
      <c r="I744" s="27">
        <f>IF(OR(G744="",G745=""),"",(G744+G745)/2*(B745-B744))</f>
        <v/>
      </c>
      <c r="J744" s="27">
        <f>IF(B744="","",IF(B743&lt;'02_Eingaben'!$C$36,0,J743+I743/'02_Eingaben'!$C$8))</f>
        <v/>
      </c>
    </row>
    <row r="745">
      <c r="A745">
        <f>IF('01_Rohdaten'!A745="","",ROW()-1)</f>
        <v/>
      </c>
      <c r="B745" s="27">
        <f>IF('01_Rohdaten'!A745="","",'01_Rohdaten'!A745)</f>
        <v/>
      </c>
      <c r="C745" s="27">
        <f>IF(B745="","",INDEX('01_Rohdaten'!B745:D745,'02_Eingaben'!$C$13))</f>
        <v/>
      </c>
      <c r="D745" s="27">
        <f>IF(C745="","",C745*'02_Eingaben'!$C$15)</f>
        <v/>
      </c>
      <c r="E745" s="27">
        <f>IF(D745="","",D745*'02_Eingaben'!$C$8)</f>
        <v/>
      </c>
      <c r="F745" s="27">
        <f>IF(E745="","",AVERAGE(INDEX($E$2:$E$3001,MAX(1,ROW()-1-'02_Eingaben'!$C$17)):INDEX($E$2:$E$3001,MIN('02_Eingaben'!$C$21,ROW()-1+'02_Eingaben'!$C$17))))</f>
        <v/>
      </c>
      <c r="G745" s="27">
        <f>IF(F745="","",F745-'02_Eingaben'!$C$10)</f>
        <v/>
      </c>
      <c r="H745">
        <f>IF(F745="","",IF(F745&lt;'02_Eingaben'!$C$18*'02_Eingaben'!$C$10,1,0))</f>
        <v/>
      </c>
      <c r="I745" s="27">
        <f>IF(OR(G745="",G746=""),"",(G745+G746)/2*(B746-B745))</f>
        <v/>
      </c>
      <c r="J745" s="27">
        <f>IF(B745="","",IF(B744&lt;'02_Eingaben'!$C$36,0,J744+I744/'02_Eingaben'!$C$8))</f>
        <v/>
      </c>
    </row>
    <row r="746">
      <c r="A746">
        <f>IF('01_Rohdaten'!A746="","",ROW()-1)</f>
        <v/>
      </c>
      <c r="B746" s="27">
        <f>IF('01_Rohdaten'!A746="","",'01_Rohdaten'!A746)</f>
        <v/>
      </c>
      <c r="C746" s="27">
        <f>IF(B746="","",INDEX('01_Rohdaten'!B746:D746,'02_Eingaben'!$C$13))</f>
        <v/>
      </c>
      <c r="D746" s="27">
        <f>IF(C746="","",C746*'02_Eingaben'!$C$15)</f>
        <v/>
      </c>
      <c r="E746" s="27">
        <f>IF(D746="","",D746*'02_Eingaben'!$C$8)</f>
        <v/>
      </c>
      <c r="F746" s="27">
        <f>IF(E746="","",AVERAGE(INDEX($E$2:$E$3001,MAX(1,ROW()-1-'02_Eingaben'!$C$17)):INDEX($E$2:$E$3001,MIN('02_Eingaben'!$C$21,ROW()-1+'02_Eingaben'!$C$17))))</f>
        <v/>
      </c>
      <c r="G746" s="27">
        <f>IF(F746="","",F746-'02_Eingaben'!$C$10)</f>
        <v/>
      </c>
      <c r="H746">
        <f>IF(F746="","",IF(F746&lt;'02_Eingaben'!$C$18*'02_Eingaben'!$C$10,1,0))</f>
        <v/>
      </c>
      <c r="I746" s="27">
        <f>IF(OR(G746="",G747=""),"",(G746+G747)/2*(B747-B746))</f>
        <v/>
      </c>
      <c r="J746" s="27">
        <f>IF(B746="","",IF(B745&lt;'02_Eingaben'!$C$36,0,J745+I745/'02_Eingaben'!$C$8))</f>
        <v/>
      </c>
    </row>
    <row r="747">
      <c r="A747">
        <f>IF('01_Rohdaten'!A747="","",ROW()-1)</f>
        <v/>
      </c>
      <c r="B747" s="27">
        <f>IF('01_Rohdaten'!A747="","",'01_Rohdaten'!A747)</f>
        <v/>
      </c>
      <c r="C747" s="27">
        <f>IF(B747="","",INDEX('01_Rohdaten'!B747:D747,'02_Eingaben'!$C$13))</f>
        <v/>
      </c>
      <c r="D747" s="27">
        <f>IF(C747="","",C747*'02_Eingaben'!$C$15)</f>
        <v/>
      </c>
      <c r="E747" s="27">
        <f>IF(D747="","",D747*'02_Eingaben'!$C$8)</f>
        <v/>
      </c>
      <c r="F747" s="27">
        <f>IF(E747="","",AVERAGE(INDEX($E$2:$E$3001,MAX(1,ROW()-1-'02_Eingaben'!$C$17)):INDEX($E$2:$E$3001,MIN('02_Eingaben'!$C$21,ROW()-1+'02_Eingaben'!$C$17))))</f>
        <v/>
      </c>
      <c r="G747" s="27">
        <f>IF(F747="","",F747-'02_Eingaben'!$C$10)</f>
        <v/>
      </c>
      <c r="H747">
        <f>IF(F747="","",IF(F747&lt;'02_Eingaben'!$C$18*'02_Eingaben'!$C$10,1,0))</f>
        <v/>
      </c>
      <c r="I747" s="27">
        <f>IF(OR(G747="",G748=""),"",(G747+G748)/2*(B748-B747))</f>
        <v/>
      </c>
      <c r="J747" s="27">
        <f>IF(B747="","",IF(B746&lt;'02_Eingaben'!$C$36,0,J746+I746/'02_Eingaben'!$C$8))</f>
        <v/>
      </c>
    </row>
    <row r="748">
      <c r="A748">
        <f>IF('01_Rohdaten'!A748="","",ROW()-1)</f>
        <v/>
      </c>
      <c r="B748" s="27">
        <f>IF('01_Rohdaten'!A748="","",'01_Rohdaten'!A748)</f>
        <v/>
      </c>
      <c r="C748" s="27">
        <f>IF(B748="","",INDEX('01_Rohdaten'!B748:D748,'02_Eingaben'!$C$13))</f>
        <v/>
      </c>
      <c r="D748" s="27">
        <f>IF(C748="","",C748*'02_Eingaben'!$C$15)</f>
        <v/>
      </c>
      <c r="E748" s="27">
        <f>IF(D748="","",D748*'02_Eingaben'!$C$8)</f>
        <v/>
      </c>
      <c r="F748" s="27">
        <f>IF(E748="","",AVERAGE(INDEX($E$2:$E$3001,MAX(1,ROW()-1-'02_Eingaben'!$C$17)):INDEX($E$2:$E$3001,MIN('02_Eingaben'!$C$21,ROW()-1+'02_Eingaben'!$C$17))))</f>
        <v/>
      </c>
      <c r="G748" s="27">
        <f>IF(F748="","",F748-'02_Eingaben'!$C$10)</f>
        <v/>
      </c>
      <c r="H748">
        <f>IF(F748="","",IF(F748&lt;'02_Eingaben'!$C$18*'02_Eingaben'!$C$10,1,0))</f>
        <v/>
      </c>
      <c r="I748" s="27">
        <f>IF(OR(G748="",G749=""),"",(G748+G749)/2*(B749-B748))</f>
        <v/>
      </c>
      <c r="J748" s="27">
        <f>IF(B748="","",IF(B747&lt;'02_Eingaben'!$C$36,0,J747+I747/'02_Eingaben'!$C$8))</f>
        <v/>
      </c>
    </row>
    <row r="749">
      <c r="A749">
        <f>IF('01_Rohdaten'!A749="","",ROW()-1)</f>
        <v/>
      </c>
      <c r="B749" s="27">
        <f>IF('01_Rohdaten'!A749="","",'01_Rohdaten'!A749)</f>
        <v/>
      </c>
      <c r="C749" s="27">
        <f>IF(B749="","",INDEX('01_Rohdaten'!B749:D749,'02_Eingaben'!$C$13))</f>
        <v/>
      </c>
      <c r="D749" s="27">
        <f>IF(C749="","",C749*'02_Eingaben'!$C$15)</f>
        <v/>
      </c>
      <c r="E749" s="27">
        <f>IF(D749="","",D749*'02_Eingaben'!$C$8)</f>
        <v/>
      </c>
      <c r="F749" s="27">
        <f>IF(E749="","",AVERAGE(INDEX($E$2:$E$3001,MAX(1,ROW()-1-'02_Eingaben'!$C$17)):INDEX($E$2:$E$3001,MIN('02_Eingaben'!$C$21,ROW()-1+'02_Eingaben'!$C$17))))</f>
        <v/>
      </c>
      <c r="G749" s="27">
        <f>IF(F749="","",F749-'02_Eingaben'!$C$10)</f>
        <v/>
      </c>
      <c r="H749">
        <f>IF(F749="","",IF(F749&lt;'02_Eingaben'!$C$18*'02_Eingaben'!$C$10,1,0))</f>
        <v/>
      </c>
      <c r="I749" s="27">
        <f>IF(OR(G749="",G750=""),"",(G749+G750)/2*(B750-B749))</f>
        <v/>
      </c>
      <c r="J749" s="27">
        <f>IF(B749="","",IF(B748&lt;'02_Eingaben'!$C$36,0,J748+I748/'02_Eingaben'!$C$8))</f>
        <v/>
      </c>
    </row>
    <row r="750">
      <c r="A750">
        <f>IF('01_Rohdaten'!A750="","",ROW()-1)</f>
        <v/>
      </c>
      <c r="B750" s="27">
        <f>IF('01_Rohdaten'!A750="","",'01_Rohdaten'!A750)</f>
        <v/>
      </c>
      <c r="C750" s="27">
        <f>IF(B750="","",INDEX('01_Rohdaten'!B750:D750,'02_Eingaben'!$C$13))</f>
        <v/>
      </c>
      <c r="D750" s="27">
        <f>IF(C750="","",C750*'02_Eingaben'!$C$15)</f>
        <v/>
      </c>
      <c r="E750" s="27">
        <f>IF(D750="","",D750*'02_Eingaben'!$C$8)</f>
        <v/>
      </c>
      <c r="F750" s="27">
        <f>IF(E750="","",AVERAGE(INDEX($E$2:$E$3001,MAX(1,ROW()-1-'02_Eingaben'!$C$17)):INDEX($E$2:$E$3001,MIN('02_Eingaben'!$C$21,ROW()-1+'02_Eingaben'!$C$17))))</f>
        <v/>
      </c>
      <c r="G750" s="27">
        <f>IF(F750="","",F750-'02_Eingaben'!$C$10)</f>
        <v/>
      </c>
      <c r="H750">
        <f>IF(F750="","",IF(F750&lt;'02_Eingaben'!$C$18*'02_Eingaben'!$C$10,1,0))</f>
        <v/>
      </c>
      <c r="I750" s="27">
        <f>IF(OR(G750="",G751=""),"",(G750+G751)/2*(B751-B750))</f>
        <v/>
      </c>
      <c r="J750" s="27">
        <f>IF(B750="","",IF(B749&lt;'02_Eingaben'!$C$36,0,J749+I749/'02_Eingaben'!$C$8))</f>
        <v/>
      </c>
    </row>
    <row r="751">
      <c r="A751">
        <f>IF('01_Rohdaten'!A751="","",ROW()-1)</f>
        <v/>
      </c>
      <c r="B751" s="27">
        <f>IF('01_Rohdaten'!A751="","",'01_Rohdaten'!A751)</f>
        <v/>
      </c>
      <c r="C751" s="27">
        <f>IF(B751="","",INDEX('01_Rohdaten'!B751:D751,'02_Eingaben'!$C$13))</f>
        <v/>
      </c>
      <c r="D751" s="27">
        <f>IF(C751="","",C751*'02_Eingaben'!$C$15)</f>
        <v/>
      </c>
      <c r="E751" s="27">
        <f>IF(D751="","",D751*'02_Eingaben'!$C$8)</f>
        <v/>
      </c>
      <c r="F751" s="27">
        <f>IF(E751="","",AVERAGE(INDEX($E$2:$E$3001,MAX(1,ROW()-1-'02_Eingaben'!$C$17)):INDEX($E$2:$E$3001,MIN('02_Eingaben'!$C$21,ROW()-1+'02_Eingaben'!$C$17))))</f>
        <v/>
      </c>
      <c r="G751" s="27">
        <f>IF(F751="","",F751-'02_Eingaben'!$C$10)</f>
        <v/>
      </c>
      <c r="H751">
        <f>IF(F751="","",IF(F751&lt;'02_Eingaben'!$C$18*'02_Eingaben'!$C$10,1,0))</f>
        <v/>
      </c>
      <c r="I751" s="27">
        <f>IF(OR(G751="",G752=""),"",(G751+G752)/2*(B752-B751))</f>
        <v/>
      </c>
      <c r="J751" s="27">
        <f>IF(B751="","",IF(B750&lt;'02_Eingaben'!$C$36,0,J750+I750/'02_Eingaben'!$C$8))</f>
        <v/>
      </c>
    </row>
    <row r="752">
      <c r="A752">
        <f>IF('01_Rohdaten'!A752="","",ROW()-1)</f>
        <v/>
      </c>
      <c r="B752" s="27">
        <f>IF('01_Rohdaten'!A752="","",'01_Rohdaten'!A752)</f>
        <v/>
      </c>
      <c r="C752" s="27">
        <f>IF(B752="","",INDEX('01_Rohdaten'!B752:D752,'02_Eingaben'!$C$13))</f>
        <v/>
      </c>
      <c r="D752" s="27">
        <f>IF(C752="","",C752*'02_Eingaben'!$C$15)</f>
        <v/>
      </c>
      <c r="E752" s="27">
        <f>IF(D752="","",D752*'02_Eingaben'!$C$8)</f>
        <v/>
      </c>
      <c r="F752" s="27">
        <f>IF(E752="","",AVERAGE(INDEX($E$2:$E$3001,MAX(1,ROW()-1-'02_Eingaben'!$C$17)):INDEX($E$2:$E$3001,MIN('02_Eingaben'!$C$21,ROW()-1+'02_Eingaben'!$C$17))))</f>
        <v/>
      </c>
      <c r="G752" s="27">
        <f>IF(F752="","",F752-'02_Eingaben'!$C$10)</f>
        <v/>
      </c>
      <c r="H752">
        <f>IF(F752="","",IF(F752&lt;'02_Eingaben'!$C$18*'02_Eingaben'!$C$10,1,0))</f>
        <v/>
      </c>
      <c r="I752" s="27">
        <f>IF(OR(G752="",G753=""),"",(G752+G753)/2*(B753-B752))</f>
        <v/>
      </c>
      <c r="J752" s="27">
        <f>IF(B752="","",IF(B751&lt;'02_Eingaben'!$C$36,0,J751+I751/'02_Eingaben'!$C$8))</f>
        <v/>
      </c>
    </row>
    <row r="753">
      <c r="A753">
        <f>IF('01_Rohdaten'!A753="","",ROW()-1)</f>
        <v/>
      </c>
      <c r="B753" s="27">
        <f>IF('01_Rohdaten'!A753="","",'01_Rohdaten'!A753)</f>
        <v/>
      </c>
      <c r="C753" s="27">
        <f>IF(B753="","",INDEX('01_Rohdaten'!B753:D753,'02_Eingaben'!$C$13))</f>
        <v/>
      </c>
      <c r="D753" s="27">
        <f>IF(C753="","",C753*'02_Eingaben'!$C$15)</f>
        <v/>
      </c>
      <c r="E753" s="27">
        <f>IF(D753="","",D753*'02_Eingaben'!$C$8)</f>
        <v/>
      </c>
      <c r="F753" s="27">
        <f>IF(E753="","",AVERAGE(INDEX($E$2:$E$3001,MAX(1,ROW()-1-'02_Eingaben'!$C$17)):INDEX($E$2:$E$3001,MIN('02_Eingaben'!$C$21,ROW()-1+'02_Eingaben'!$C$17))))</f>
        <v/>
      </c>
      <c r="G753" s="27">
        <f>IF(F753="","",F753-'02_Eingaben'!$C$10)</f>
        <v/>
      </c>
      <c r="H753">
        <f>IF(F753="","",IF(F753&lt;'02_Eingaben'!$C$18*'02_Eingaben'!$C$10,1,0))</f>
        <v/>
      </c>
      <c r="I753" s="27">
        <f>IF(OR(G753="",G754=""),"",(G753+G754)/2*(B754-B753))</f>
        <v/>
      </c>
      <c r="J753" s="27">
        <f>IF(B753="","",IF(B752&lt;'02_Eingaben'!$C$36,0,J752+I752/'02_Eingaben'!$C$8))</f>
        <v/>
      </c>
    </row>
    <row r="754">
      <c r="A754">
        <f>IF('01_Rohdaten'!A754="","",ROW()-1)</f>
        <v/>
      </c>
      <c r="B754" s="27">
        <f>IF('01_Rohdaten'!A754="","",'01_Rohdaten'!A754)</f>
        <v/>
      </c>
      <c r="C754" s="27">
        <f>IF(B754="","",INDEX('01_Rohdaten'!B754:D754,'02_Eingaben'!$C$13))</f>
        <v/>
      </c>
      <c r="D754" s="27">
        <f>IF(C754="","",C754*'02_Eingaben'!$C$15)</f>
        <v/>
      </c>
      <c r="E754" s="27">
        <f>IF(D754="","",D754*'02_Eingaben'!$C$8)</f>
        <v/>
      </c>
      <c r="F754" s="27">
        <f>IF(E754="","",AVERAGE(INDEX($E$2:$E$3001,MAX(1,ROW()-1-'02_Eingaben'!$C$17)):INDEX($E$2:$E$3001,MIN('02_Eingaben'!$C$21,ROW()-1+'02_Eingaben'!$C$17))))</f>
        <v/>
      </c>
      <c r="G754" s="27">
        <f>IF(F754="","",F754-'02_Eingaben'!$C$10)</f>
        <v/>
      </c>
      <c r="H754">
        <f>IF(F754="","",IF(F754&lt;'02_Eingaben'!$C$18*'02_Eingaben'!$C$10,1,0))</f>
        <v/>
      </c>
      <c r="I754" s="27">
        <f>IF(OR(G754="",G755=""),"",(G754+G755)/2*(B755-B754))</f>
        <v/>
      </c>
      <c r="J754" s="27">
        <f>IF(B754="","",IF(B753&lt;'02_Eingaben'!$C$36,0,J753+I753/'02_Eingaben'!$C$8))</f>
        <v/>
      </c>
    </row>
    <row r="755">
      <c r="A755">
        <f>IF('01_Rohdaten'!A755="","",ROW()-1)</f>
        <v/>
      </c>
      <c r="B755" s="27">
        <f>IF('01_Rohdaten'!A755="","",'01_Rohdaten'!A755)</f>
        <v/>
      </c>
      <c r="C755" s="27">
        <f>IF(B755="","",INDEX('01_Rohdaten'!B755:D755,'02_Eingaben'!$C$13))</f>
        <v/>
      </c>
      <c r="D755" s="27">
        <f>IF(C755="","",C755*'02_Eingaben'!$C$15)</f>
        <v/>
      </c>
      <c r="E755" s="27">
        <f>IF(D755="","",D755*'02_Eingaben'!$C$8)</f>
        <v/>
      </c>
      <c r="F755" s="27">
        <f>IF(E755="","",AVERAGE(INDEX($E$2:$E$3001,MAX(1,ROW()-1-'02_Eingaben'!$C$17)):INDEX($E$2:$E$3001,MIN('02_Eingaben'!$C$21,ROW()-1+'02_Eingaben'!$C$17))))</f>
        <v/>
      </c>
      <c r="G755" s="27">
        <f>IF(F755="","",F755-'02_Eingaben'!$C$10)</f>
        <v/>
      </c>
      <c r="H755">
        <f>IF(F755="","",IF(F755&lt;'02_Eingaben'!$C$18*'02_Eingaben'!$C$10,1,0))</f>
        <v/>
      </c>
      <c r="I755" s="27">
        <f>IF(OR(G755="",G756=""),"",(G755+G756)/2*(B756-B755))</f>
        <v/>
      </c>
      <c r="J755" s="27">
        <f>IF(B755="","",IF(B754&lt;'02_Eingaben'!$C$36,0,J754+I754/'02_Eingaben'!$C$8))</f>
        <v/>
      </c>
    </row>
    <row r="756">
      <c r="A756">
        <f>IF('01_Rohdaten'!A756="","",ROW()-1)</f>
        <v/>
      </c>
      <c r="B756" s="27">
        <f>IF('01_Rohdaten'!A756="","",'01_Rohdaten'!A756)</f>
        <v/>
      </c>
      <c r="C756" s="27">
        <f>IF(B756="","",INDEX('01_Rohdaten'!B756:D756,'02_Eingaben'!$C$13))</f>
        <v/>
      </c>
      <c r="D756" s="27">
        <f>IF(C756="","",C756*'02_Eingaben'!$C$15)</f>
        <v/>
      </c>
      <c r="E756" s="27">
        <f>IF(D756="","",D756*'02_Eingaben'!$C$8)</f>
        <v/>
      </c>
      <c r="F756" s="27">
        <f>IF(E756="","",AVERAGE(INDEX($E$2:$E$3001,MAX(1,ROW()-1-'02_Eingaben'!$C$17)):INDEX($E$2:$E$3001,MIN('02_Eingaben'!$C$21,ROW()-1+'02_Eingaben'!$C$17))))</f>
        <v/>
      </c>
      <c r="G756" s="27">
        <f>IF(F756="","",F756-'02_Eingaben'!$C$10)</f>
        <v/>
      </c>
      <c r="H756">
        <f>IF(F756="","",IF(F756&lt;'02_Eingaben'!$C$18*'02_Eingaben'!$C$10,1,0))</f>
        <v/>
      </c>
      <c r="I756" s="27">
        <f>IF(OR(G756="",G757=""),"",(G756+G757)/2*(B757-B756))</f>
        <v/>
      </c>
      <c r="J756" s="27">
        <f>IF(B756="","",IF(B755&lt;'02_Eingaben'!$C$36,0,J755+I755/'02_Eingaben'!$C$8))</f>
        <v/>
      </c>
    </row>
    <row r="757">
      <c r="A757">
        <f>IF('01_Rohdaten'!A757="","",ROW()-1)</f>
        <v/>
      </c>
      <c r="B757" s="27">
        <f>IF('01_Rohdaten'!A757="","",'01_Rohdaten'!A757)</f>
        <v/>
      </c>
      <c r="C757" s="27">
        <f>IF(B757="","",INDEX('01_Rohdaten'!B757:D757,'02_Eingaben'!$C$13))</f>
        <v/>
      </c>
      <c r="D757" s="27">
        <f>IF(C757="","",C757*'02_Eingaben'!$C$15)</f>
        <v/>
      </c>
      <c r="E757" s="27">
        <f>IF(D757="","",D757*'02_Eingaben'!$C$8)</f>
        <v/>
      </c>
      <c r="F757" s="27">
        <f>IF(E757="","",AVERAGE(INDEX($E$2:$E$3001,MAX(1,ROW()-1-'02_Eingaben'!$C$17)):INDEX($E$2:$E$3001,MIN('02_Eingaben'!$C$21,ROW()-1+'02_Eingaben'!$C$17))))</f>
        <v/>
      </c>
      <c r="G757" s="27">
        <f>IF(F757="","",F757-'02_Eingaben'!$C$10)</f>
        <v/>
      </c>
      <c r="H757">
        <f>IF(F757="","",IF(F757&lt;'02_Eingaben'!$C$18*'02_Eingaben'!$C$10,1,0))</f>
        <v/>
      </c>
      <c r="I757" s="27">
        <f>IF(OR(G757="",G758=""),"",(G757+G758)/2*(B758-B757))</f>
        <v/>
      </c>
      <c r="J757" s="27">
        <f>IF(B757="","",IF(B756&lt;'02_Eingaben'!$C$36,0,J756+I756/'02_Eingaben'!$C$8))</f>
        <v/>
      </c>
    </row>
    <row r="758">
      <c r="A758">
        <f>IF('01_Rohdaten'!A758="","",ROW()-1)</f>
        <v/>
      </c>
      <c r="B758" s="27">
        <f>IF('01_Rohdaten'!A758="","",'01_Rohdaten'!A758)</f>
        <v/>
      </c>
      <c r="C758" s="27">
        <f>IF(B758="","",INDEX('01_Rohdaten'!B758:D758,'02_Eingaben'!$C$13))</f>
        <v/>
      </c>
      <c r="D758" s="27">
        <f>IF(C758="","",C758*'02_Eingaben'!$C$15)</f>
        <v/>
      </c>
      <c r="E758" s="27">
        <f>IF(D758="","",D758*'02_Eingaben'!$C$8)</f>
        <v/>
      </c>
      <c r="F758" s="27">
        <f>IF(E758="","",AVERAGE(INDEX($E$2:$E$3001,MAX(1,ROW()-1-'02_Eingaben'!$C$17)):INDEX($E$2:$E$3001,MIN('02_Eingaben'!$C$21,ROW()-1+'02_Eingaben'!$C$17))))</f>
        <v/>
      </c>
      <c r="G758" s="27">
        <f>IF(F758="","",F758-'02_Eingaben'!$C$10)</f>
        <v/>
      </c>
      <c r="H758">
        <f>IF(F758="","",IF(F758&lt;'02_Eingaben'!$C$18*'02_Eingaben'!$C$10,1,0))</f>
        <v/>
      </c>
      <c r="I758" s="27">
        <f>IF(OR(G758="",G759=""),"",(G758+G759)/2*(B759-B758))</f>
        <v/>
      </c>
      <c r="J758" s="27">
        <f>IF(B758="","",IF(B757&lt;'02_Eingaben'!$C$36,0,J757+I757/'02_Eingaben'!$C$8))</f>
        <v/>
      </c>
    </row>
    <row r="759">
      <c r="A759">
        <f>IF('01_Rohdaten'!A759="","",ROW()-1)</f>
        <v/>
      </c>
      <c r="B759" s="27">
        <f>IF('01_Rohdaten'!A759="","",'01_Rohdaten'!A759)</f>
        <v/>
      </c>
      <c r="C759" s="27">
        <f>IF(B759="","",INDEX('01_Rohdaten'!B759:D759,'02_Eingaben'!$C$13))</f>
        <v/>
      </c>
      <c r="D759" s="27">
        <f>IF(C759="","",C759*'02_Eingaben'!$C$15)</f>
        <v/>
      </c>
      <c r="E759" s="27">
        <f>IF(D759="","",D759*'02_Eingaben'!$C$8)</f>
        <v/>
      </c>
      <c r="F759" s="27">
        <f>IF(E759="","",AVERAGE(INDEX($E$2:$E$3001,MAX(1,ROW()-1-'02_Eingaben'!$C$17)):INDEX($E$2:$E$3001,MIN('02_Eingaben'!$C$21,ROW()-1+'02_Eingaben'!$C$17))))</f>
        <v/>
      </c>
      <c r="G759" s="27">
        <f>IF(F759="","",F759-'02_Eingaben'!$C$10)</f>
        <v/>
      </c>
      <c r="H759">
        <f>IF(F759="","",IF(F759&lt;'02_Eingaben'!$C$18*'02_Eingaben'!$C$10,1,0))</f>
        <v/>
      </c>
      <c r="I759" s="27">
        <f>IF(OR(G759="",G760=""),"",(G759+G760)/2*(B760-B759))</f>
        <v/>
      </c>
      <c r="J759" s="27">
        <f>IF(B759="","",IF(B758&lt;'02_Eingaben'!$C$36,0,J758+I758/'02_Eingaben'!$C$8))</f>
        <v/>
      </c>
    </row>
    <row r="760">
      <c r="A760">
        <f>IF('01_Rohdaten'!A760="","",ROW()-1)</f>
        <v/>
      </c>
      <c r="B760" s="27">
        <f>IF('01_Rohdaten'!A760="","",'01_Rohdaten'!A760)</f>
        <v/>
      </c>
      <c r="C760" s="27">
        <f>IF(B760="","",INDEX('01_Rohdaten'!B760:D760,'02_Eingaben'!$C$13))</f>
        <v/>
      </c>
      <c r="D760" s="27">
        <f>IF(C760="","",C760*'02_Eingaben'!$C$15)</f>
        <v/>
      </c>
      <c r="E760" s="27">
        <f>IF(D760="","",D760*'02_Eingaben'!$C$8)</f>
        <v/>
      </c>
      <c r="F760" s="27">
        <f>IF(E760="","",AVERAGE(INDEX($E$2:$E$3001,MAX(1,ROW()-1-'02_Eingaben'!$C$17)):INDEX($E$2:$E$3001,MIN('02_Eingaben'!$C$21,ROW()-1+'02_Eingaben'!$C$17))))</f>
        <v/>
      </c>
      <c r="G760" s="27">
        <f>IF(F760="","",F760-'02_Eingaben'!$C$10)</f>
        <v/>
      </c>
      <c r="H760">
        <f>IF(F760="","",IF(F760&lt;'02_Eingaben'!$C$18*'02_Eingaben'!$C$10,1,0))</f>
        <v/>
      </c>
      <c r="I760" s="27">
        <f>IF(OR(G760="",G761=""),"",(G760+G761)/2*(B761-B760))</f>
        <v/>
      </c>
      <c r="J760" s="27">
        <f>IF(B760="","",IF(B759&lt;'02_Eingaben'!$C$36,0,J759+I759/'02_Eingaben'!$C$8))</f>
        <v/>
      </c>
    </row>
    <row r="761">
      <c r="A761">
        <f>IF('01_Rohdaten'!A761="","",ROW()-1)</f>
        <v/>
      </c>
      <c r="B761" s="27">
        <f>IF('01_Rohdaten'!A761="","",'01_Rohdaten'!A761)</f>
        <v/>
      </c>
      <c r="C761" s="27">
        <f>IF(B761="","",INDEX('01_Rohdaten'!B761:D761,'02_Eingaben'!$C$13))</f>
        <v/>
      </c>
      <c r="D761" s="27">
        <f>IF(C761="","",C761*'02_Eingaben'!$C$15)</f>
        <v/>
      </c>
      <c r="E761" s="27">
        <f>IF(D761="","",D761*'02_Eingaben'!$C$8)</f>
        <v/>
      </c>
      <c r="F761" s="27">
        <f>IF(E761="","",AVERAGE(INDEX($E$2:$E$3001,MAX(1,ROW()-1-'02_Eingaben'!$C$17)):INDEX($E$2:$E$3001,MIN('02_Eingaben'!$C$21,ROW()-1+'02_Eingaben'!$C$17))))</f>
        <v/>
      </c>
      <c r="G761" s="27">
        <f>IF(F761="","",F761-'02_Eingaben'!$C$10)</f>
        <v/>
      </c>
      <c r="H761">
        <f>IF(F761="","",IF(F761&lt;'02_Eingaben'!$C$18*'02_Eingaben'!$C$10,1,0))</f>
        <v/>
      </c>
      <c r="I761" s="27">
        <f>IF(OR(G761="",G762=""),"",(G761+G762)/2*(B762-B761))</f>
        <v/>
      </c>
      <c r="J761" s="27">
        <f>IF(B761="","",IF(B760&lt;'02_Eingaben'!$C$36,0,J760+I760/'02_Eingaben'!$C$8))</f>
        <v/>
      </c>
    </row>
    <row r="762">
      <c r="A762">
        <f>IF('01_Rohdaten'!A762="","",ROW()-1)</f>
        <v/>
      </c>
      <c r="B762" s="27">
        <f>IF('01_Rohdaten'!A762="","",'01_Rohdaten'!A762)</f>
        <v/>
      </c>
      <c r="C762" s="27">
        <f>IF(B762="","",INDEX('01_Rohdaten'!B762:D762,'02_Eingaben'!$C$13))</f>
        <v/>
      </c>
      <c r="D762" s="27">
        <f>IF(C762="","",C762*'02_Eingaben'!$C$15)</f>
        <v/>
      </c>
      <c r="E762" s="27">
        <f>IF(D762="","",D762*'02_Eingaben'!$C$8)</f>
        <v/>
      </c>
      <c r="F762" s="27">
        <f>IF(E762="","",AVERAGE(INDEX($E$2:$E$3001,MAX(1,ROW()-1-'02_Eingaben'!$C$17)):INDEX($E$2:$E$3001,MIN('02_Eingaben'!$C$21,ROW()-1+'02_Eingaben'!$C$17))))</f>
        <v/>
      </c>
      <c r="G762" s="27">
        <f>IF(F762="","",F762-'02_Eingaben'!$C$10)</f>
        <v/>
      </c>
      <c r="H762">
        <f>IF(F762="","",IF(F762&lt;'02_Eingaben'!$C$18*'02_Eingaben'!$C$10,1,0))</f>
        <v/>
      </c>
      <c r="I762" s="27">
        <f>IF(OR(G762="",G763=""),"",(G762+G763)/2*(B763-B762))</f>
        <v/>
      </c>
      <c r="J762" s="27">
        <f>IF(B762="","",IF(B761&lt;'02_Eingaben'!$C$36,0,J761+I761/'02_Eingaben'!$C$8))</f>
        <v/>
      </c>
    </row>
    <row r="763">
      <c r="A763">
        <f>IF('01_Rohdaten'!A763="","",ROW()-1)</f>
        <v/>
      </c>
      <c r="B763" s="27">
        <f>IF('01_Rohdaten'!A763="","",'01_Rohdaten'!A763)</f>
        <v/>
      </c>
      <c r="C763" s="27">
        <f>IF(B763="","",INDEX('01_Rohdaten'!B763:D763,'02_Eingaben'!$C$13))</f>
        <v/>
      </c>
      <c r="D763" s="27">
        <f>IF(C763="","",C763*'02_Eingaben'!$C$15)</f>
        <v/>
      </c>
      <c r="E763" s="27">
        <f>IF(D763="","",D763*'02_Eingaben'!$C$8)</f>
        <v/>
      </c>
      <c r="F763" s="27">
        <f>IF(E763="","",AVERAGE(INDEX($E$2:$E$3001,MAX(1,ROW()-1-'02_Eingaben'!$C$17)):INDEX($E$2:$E$3001,MIN('02_Eingaben'!$C$21,ROW()-1+'02_Eingaben'!$C$17))))</f>
        <v/>
      </c>
      <c r="G763" s="27">
        <f>IF(F763="","",F763-'02_Eingaben'!$C$10)</f>
        <v/>
      </c>
      <c r="H763">
        <f>IF(F763="","",IF(F763&lt;'02_Eingaben'!$C$18*'02_Eingaben'!$C$10,1,0))</f>
        <v/>
      </c>
      <c r="I763" s="27">
        <f>IF(OR(G763="",G764=""),"",(G763+G764)/2*(B764-B763))</f>
        <v/>
      </c>
      <c r="J763" s="27">
        <f>IF(B763="","",IF(B762&lt;'02_Eingaben'!$C$36,0,J762+I762/'02_Eingaben'!$C$8))</f>
        <v/>
      </c>
    </row>
    <row r="764">
      <c r="A764">
        <f>IF('01_Rohdaten'!A764="","",ROW()-1)</f>
        <v/>
      </c>
      <c r="B764" s="27">
        <f>IF('01_Rohdaten'!A764="","",'01_Rohdaten'!A764)</f>
        <v/>
      </c>
      <c r="C764" s="27">
        <f>IF(B764="","",INDEX('01_Rohdaten'!B764:D764,'02_Eingaben'!$C$13))</f>
        <v/>
      </c>
      <c r="D764" s="27">
        <f>IF(C764="","",C764*'02_Eingaben'!$C$15)</f>
        <v/>
      </c>
      <c r="E764" s="27">
        <f>IF(D764="","",D764*'02_Eingaben'!$C$8)</f>
        <v/>
      </c>
      <c r="F764" s="27">
        <f>IF(E764="","",AVERAGE(INDEX($E$2:$E$3001,MAX(1,ROW()-1-'02_Eingaben'!$C$17)):INDEX($E$2:$E$3001,MIN('02_Eingaben'!$C$21,ROW()-1+'02_Eingaben'!$C$17))))</f>
        <v/>
      </c>
      <c r="G764" s="27">
        <f>IF(F764="","",F764-'02_Eingaben'!$C$10)</f>
        <v/>
      </c>
      <c r="H764">
        <f>IF(F764="","",IF(F764&lt;'02_Eingaben'!$C$18*'02_Eingaben'!$C$10,1,0))</f>
        <v/>
      </c>
      <c r="I764" s="27">
        <f>IF(OR(G764="",G765=""),"",(G764+G765)/2*(B765-B764))</f>
        <v/>
      </c>
      <c r="J764" s="27">
        <f>IF(B764="","",IF(B763&lt;'02_Eingaben'!$C$36,0,J763+I763/'02_Eingaben'!$C$8))</f>
        <v/>
      </c>
    </row>
    <row r="765">
      <c r="A765">
        <f>IF('01_Rohdaten'!A765="","",ROW()-1)</f>
        <v/>
      </c>
      <c r="B765" s="27">
        <f>IF('01_Rohdaten'!A765="","",'01_Rohdaten'!A765)</f>
        <v/>
      </c>
      <c r="C765" s="27">
        <f>IF(B765="","",INDEX('01_Rohdaten'!B765:D765,'02_Eingaben'!$C$13))</f>
        <v/>
      </c>
      <c r="D765" s="27">
        <f>IF(C765="","",C765*'02_Eingaben'!$C$15)</f>
        <v/>
      </c>
      <c r="E765" s="27">
        <f>IF(D765="","",D765*'02_Eingaben'!$C$8)</f>
        <v/>
      </c>
      <c r="F765" s="27">
        <f>IF(E765="","",AVERAGE(INDEX($E$2:$E$3001,MAX(1,ROW()-1-'02_Eingaben'!$C$17)):INDEX($E$2:$E$3001,MIN('02_Eingaben'!$C$21,ROW()-1+'02_Eingaben'!$C$17))))</f>
        <v/>
      </c>
      <c r="G765" s="27">
        <f>IF(F765="","",F765-'02_Eingaben'!$C$10)</f>
        <v/>
      </c>
      <c r="H765">
        <f>IF(F765="","",IF(F765&lt;'02_Eingaben'!$C$18*'02_Eingaben'!$C$10,1,0))</f>
        <v/>
      </c>
      <c r="I765" s="27">
        <f>IF(OR(G765="",G766=""),"",(G765+G766)/2*(B766-B765))</f>
        <v/>
      </c>
      <c r="J765" s="27">
        <f>IF(B765="","",IF(B764&lt;'02_Eingaben'!$C$36,0,J764+I764/'02_Eingaben'!$C$8))</f>
        <v/>
      </c>
    </row>
    <row r="766">
      <c r="A766">
        <f>IF('01_Rohdaten'!A766="","",ROW()-1)</f>
        <v/>
      </c>
      <c r="B766" s="27">
        <f>IF('01_Rohdaten'!A766="","",'01_Rohdaten'!A766)</f>
        <v/>
      </c>
      <c r="C766" s="27">
        <f>IF(B766="","",INDEX('01_Rohdaten'!B766:D766,'02_Eingaben'!$C$13))</f>
        <v/>
      </c>
      <c r="D766" s="27">
        <f>IF(C766="","",C766*'02_Eingaben'!$C$15)</f>
        <v/>
      </c>
      <c r="E766" s="27">
        <f>IF(D766="","",D766*'02_Eingaben'!$C$8)</f>
        <v/>
      </c>
      <c r="F766" s="27">
        <f>IF(E766="","",AVERAGE(INDEX($E$2:$E$3001,MAX(1,ROW()-1-'02_Eingaben'!$C$17)):INDEX($E$2:$E$3001,MIN('02_Eingaben'!$C$21,ROW()-1+'02_Eingaben'!$C$17))))</f>
        <v/>
      </c>
      <c r="G766" s="27">
        <f>IF(F766="","",F766-'02_Eingaben'!$C$10)</f>
        <v/>
      </c>
      <c r="H766">
        <f>IF(F766="","",IF(F766&lt;'02_Eingaben'!$C$18*'02_Eingaben'!$C$10,1,0))</f>
        <v/>
      </c>
      <c r="I766" s="27">
        <f>IF(OR(G766="",G767=""),"",(G766+G767)/2*(B767-B766))</f>
        <v/>
      </c>
      <c r="J766" s="27">
        <f>IF(B766="","",IF(B765&lt;'02_Eingaben'!$C$36,0,J765+I765/'02_Eingaben'!$C$8))</f>
        <v/>
      </c>
    </row>
    <row r="767">
      <c r="A767">
        <f>IF('01_Rohdaten'!A767="","",ROW()-1)</f>
        <v/>
      </c>
      <c r="B767" s="27">
        <f>IF('01_Rohdaten'!A767="","",'01_Rohdaten'!A767)</f>
        <v/>
      </c>
      <c r="C767" s="27">
        <f>IF(B767="","",INDEX('01_Rohdaten'!B767:D767,'02_Eingaben'!$C$13))</f>
        <v/>
      </c>
      <c r="D767" s="27">
        <f>IF(C767="","",C767*'02_Eingaben'!$C$15)</f>
        <v/>
      </c>
      <c r="E767" s="27">
        <f>IF(D767="","",D767*'02_Eingaben'!$C$8)</f>
        <v/>
      </c>
      <c r="F767" s="27">
        <f>IF(E767="","",AVERAGE(INDEX($E$2:$E$3001,MAX(1,ROW()-1-'02_Eingaben'!$C$17)):INDEX($E$2:$E$3001,MIN('02_Eingaben'!$C$21,ROW()-1+'02_Eingaben'!$C$17))))</f>
        <v/>
      </c>
      <c r="G767" s="27">
        <f>IF(F767="","",F767-'02_Eingaben'!$C$10)</f>
        <v/>
      </c>
      <c r="H767">
        <f>IF(F767="","",IF(F767&lt;'02_Eingaben'!$C$18*'02_Eingaben'!$C$10,1,0))</f>
        <v/>
      </c>
      <c r="I767" s="27">
        <f>IF(OR(G767="",G768=""),"",(G767+G768)/2*(B768-B767))</f>
        <v/>
      </c>
      <c r="J767" s="27">
        <f>IF(B767="","",IF(B766&lt;'02_Eingaben'!$C$36,0,J766+I766/'02_Eingaben'!$C$8))</f>
        <v/>
      </c>
    </row>
    <row r="768">
      <c r="A768">
        <f>IF('01_Rohdaten'!A768="","",ROW()-1)</f>
        <v/>
      </c>
      <c r="B768" s="27">
        <f>IF('01_Rohdaten'!A768="","",'01_Rohdaten'!A768)</f>
        <v/>
      </c>
      <c r="C768" s="27">
        <f>IF(B768="","",INDEX('01_Rohdaten'!B768:D768,'02_Eingaben'!$C$13))</f>
        <v/>
      </c>
      <c r="D768" s="27">
        <f>IF(C768="","",C768*'02_Eingaben'!$C$15)</f>
        <v/>
      </c>
      <c r="E768" s="27">
        <f>IF(D768="","",D768*'02_Eingaben'!$C$8)</f>
        <v/>
      </c>
      <c r="F768" s="27">
        <f>IF(E768="","",AVERAGE(INDEX($E$2:$E$3001,MAX(1,ROW()-1-'02_Eingaben'!$C$17)):INDEX($E$2:$E$3001,MIN('02_Eingaben'!$C$21,ROW()-1+'02_Eingaben'!$C$17))))</f>
        <v/>
      </c>
      <c r="G768" s="27">
        <f>IF(F768="","",F768-'02_Eingaben'!$C$10)</f>
        <v/>
      </c>
      <c r="H768">
        <f>IF(F768="","",IF(F768&lt;'02_Eingaben'!$C$18*'02_Eingaben'!$C$10,1,0))</f>
        <v/>
      </c>
      <c r="I768" s="27">
        <f>IF(OR(G768="",G769=""),"",(G768+G769)/2*(B769-B768))</f>
        <v/>
      </c>
      <c r="J768" s="27">
        <f>IF(B768="","",IF(B767&lt;'02_Eingaben'!$C$36,0,J767+I767/'02_Eingaben'!$C$8))</f>
        <v/>
      </c>
    </row>
    <row r="769">
      <c r="A769">
        <f>IF('01_Rohdaten'!A769="","",ROW()-1)</f>
        <v/>
      </c>
      <c r="B769" s="27">
        <f>IF('01_Rohdaten'!A769="","",'01_Rohdaten'!A769)</f>
        <v/>
      </c>
      <c r="C769" s="27">
        <f>IF(B769="","",INDEX('01_Rohdaten'!B769:D769,'02_Eingaben'!$C$13))</f>
        <v/>
      </c>
      <c r="D769" s="27">
        <f>IF(C769="","",C769*'02_Eingaben'!$C$15)</f>
        <v/>
      </c>
      <c r="E769" s="27">
        <f>IF(D769="","",D769*'02_Eingaben'!$C$8)</f>
        <v/>
      </c>
      <c r="F769" s="27">
        <f>IF(E769="","",AVERAGE(INDEX($E$2:$E$3001,MAX(1,ROW()-1-'02_Eingaben'!$C$17)):INDEX($E$2:$E$3001,MIN('02_Eingaben'!$C$21,ROW()-1+'02_Eingaben'!$C$17))))</f>
        <v/>
      </c>
      <c r="G769" s="27">
        <f>IF(F769="","",F769-'02_Eingaben'!$C$10)</f>
        <v/>
      </c>
      <c r="H769">
        <f>IF(F769="","",IF(F769&lt;'02_Eingaben'!$C$18*'02_Eingaben'!$C$10,1,0))</f>
        <v/>
      </c>
      <c r="I769" s="27">
        <f>IF(OR(G769="",G770=""),"",(G769+G770)/2*(B770-B769))</f>
        <v/>
      </c>
      <c r="J769" s="27">
        <f>IF(B769="","",IF(B768&lt;'02_Eingaben'!$C$36,0,J768+I768/'02_Eingaben'!$C$8))</f>
        <v/>
      </c>
    </row>
    <row r="770">
      <c r="A770">
        <f>IF('01_Rohdaten'!A770="","",ROW()-1)</f>
        <v/>
      </c>
      <c r="B770" s="27">
        <f>IF('01_Rohdaten'!A770="","",'01_Rohdaten'!A770)</f>
        <v/>
      </c>
      <c r="C770" s="27">
        <f>IF(B770="","",INDEX('01_Rohdaten'!B770:D770,'02_Eingaben'!$C$13))</f>
        <v/>
      </c>
      <c r="D770" s="27">
        <f>IF(C770="","",C770*'02_Eingaben'!$C$15)</f>
        <v/>
      </c>
      <c r="E770" s="27">
        <f>IF(D770="","",D770*'02_Eingaben'!$C$8)</f>
        <v/>
      </c>
      <c r="F770" s="27">
        <f>IF(E770="","",AVERAGE(INDEX($E$2:$E$3001,MAX(1,ROW()-1-'02_Eingaben'!$C$17)):INDEX($E$2:$E$3001,MIN('02_Eingaben'!$C$21,ROW()-1+'02_Eingaben'!$C$17))))</f>
        <v/>
      </c>
      <c r="G770" s="27">
        <f>IF(F770="","",F770-'02_Eingaben'!$C$10)</f>
        <v/>
      </c>
      <c r="H770">
        <f>IF(F770="","",IF(F770&lt;'02_Eingaben'!$C$18*'02_Eingaben'!$C$10,1,0))</f>
        <v/>
      </c>
      <c r="I770" s="27">
        <f>IF(OR(G770="",G771=""),"",(G770+G771)/2*(B771-B770))</f>
        <v/>
      </c>
      <c r="J770" s="27">
        <f>IF(B770="","",IF(B769&lt;'02_Eingaben'!$C$36,0,J769+I769/'02_Eingaben'!$C$8))</f>
        <v/>
      </c>
    </row>
    <row r="771">
      <c r="A771">
        <f>IF('01_Rohdaten'!A771="","",ROW()-1)</f>
        <v/>
      </c>
      <c r="B771" s="27">
        <f>IF('01_Rohdaten'!A771="","",'01_Rohdaten'!A771)</f>
        <v/>
      </c>
      <c r="C771" s="27">
        <f>IF(B771="","",INDEX('01_Rohdaten'!B771:D771,'02_Eingaben'!$C$13))</f>
        <v/>
      </c>
      <c r="D771" s="27">
        <f>IF(C771="","",C771*'02_Eingaben'!$C$15)</f>
        <v/>
      </c>
      <c r="E771" s="27">
        <f>IF(D771="","",D771*'02_Eingaben'!$C$8)</f>
        <v/>
      </c>
      <c r="F771" s="27">
        <f>IF(E771="","",AVERAGE(INDEX($E$2:$E$3001,MAX(1,ROW()-1-'02_Eingaben'!$C$17)):INDEX($E$2:$E$3001,MIN('02_Eingaben'!$C$21,ROW()-1+'02_Eingaben'!$C$17))))</f>
        <v/>
      </c>
      <c r="G771" s="27">
        <f>IF(F771="","",F771-'02_Eingaben'!$C$10)</f>
        <v/>
      </c>
      <c r="H771">
        <f>IF(F771="","",IF(F771&lt;'02_Eingaben'!$C$18*'02_Eingaben'!$C$10,1,0))</f>
        <v/>
      </c>
      <c r="I771" s="27">
        <f>IF(OR(G771="",G772=""),"",(G771+G772)/2*(B772-B771))</f>
        <v/>
      </c>
      <c r="J771" s="27">
        <f>IF(B771="","",IF(B770&lt;'02_Eingaben'!$C$36,0,J770+I770/'02_Eingaben'!$C$8))</f>
        <v/>
      </c>
    </row>
    <row r="772">
      <c r="A772">
        <f>IF('01_Rohdaten'!A772="","",ROW()-1)</f>
        <v/>
      </c>
      <c r="B772" s="27">
        <f>IF('01_Rohdaten'!A772="","",'01_Rohdaten'!A772)</f>
        <v/>
      </c>
      <c r="C772" s="27">
        <f>IF(B772="","",INDEX('01_Rohdaten'!B772:D772,'02_Eingaben'!$C$13))</f>
        <v/>
      </c>
      <c r="D772" s="27">
        <f>IF(C772="","",C772*'02_Eingaben'!$C$15)</f>
        <v/>
      </c>
      <c r="E772" s="27">
        <f>IF(D772="","",D772*'02_Eingaben'!$C$8)</f>
        <v/>
      </c>
      <c r="F772" s="27">
        <f>IF(E772="","",AVERAGE(INDEX($E$2:$E$3001,MAX(1,ROW()-1-'02_Eingaben'!$C$17)):INDEX($E$2:$E$3001,MIN('02_Eingaben'!$C$21,ROW()-1+'02_Eingaben'!$C$17))))</f>
        <v/>
      </c>
      <c r="G772" s="27">
        <f>IF(F772="","",F772-'02_Eingaben'!$C$10)</f>
        <v/>
      </c>
      <c r="H772">
        <f>IF(F772="","",IF(F772&lt;'02_Eingaben'!$C$18*'02_Eingaben'!$C$10,1,0))</f>
        <v/>
      </c>
      <c r="I772" s="27">
        <f>IF(OR(G772="",G773=""),"",(G772+G773)/2*(B773-B772))</f>
        <v/>
      </c>
      <c r="J772" s="27">
        <f>IF(B772="","",IF(B771&lt;'02_Eingaben'!$C$36,0,J771+I771/'02_Eingaben'!$C$8))</f>
        <v/>
      </c>
    </row>
    <row r="773">
      <c r="A773">
        <f>IF('01_Rohdaten'!A773="","",ROW()-1)</f>
        <v/>
      </c>
      <c r="B773" s="27">
        <f>IF('01_Rohdaten'!A773="","",'01_Rohdaten'!A773)</f>
        <v/>
      </c>
      <c r="C773" s="27">
        <f>IF(B773="","",INDEX('01_Rohdaten'!B773:D773,'02_Eingaben'!$C$13))</f>
        <v/>
      </c>
      <c r="D773" s="27">
        <f>IF(C773="","",C773*'02_Eingaben'!$C$15)</f>
        <v/>
      </c>
      <c r="E773" s="27">
        <f>IF(D773="","",D773*'02_Eingaben'!$C$8)</f>
        <v/>
      </c>
      <c r="F773" s="27">
        <f>IF(E773="","",AVERAGE(INDEX($E$2:$E$3001,MAX(1,ROW()-1-'02_Eingaben'!$C$17)):INDEX($E$2:$E$3001,MIN('02_Eingaben'!$C$21,ROW()-1+'02_Eingaben'!$C$17))))</f>
        <v/>
      </c>
      <c r="G773" s="27">
        <f>IF(F773="","",F773-'02_Eingaben'!$C$10)</f>
        <v/>
      </c>
      <c r="H773">
        <f>IF(F773="","",IF(F773&lt;'02_Eingaben'!$C$18*'02_Eingaben'!$C$10,1,0))</f>
        <v/>
      </c>
      <c r="I773" s="27">
        <f>IF(OR(G773="",G774=""),"",(G773+G774)/2*(B774-B773))</f>
        <v/>
      </c>
      <c r="J773" s="27">
        <f>IF(B773="","",IF(B772&lt;'02_Eingaben'!$C$36,0,J772+I772/'02_Eingaben'!$C$8))</f>
        <v/>
      </c>
    </row>
    <row r="774">
      <c r="A774">
        <f>IF('01_Rohdaten'!A774="","",ROW()-1)</f>
        <v/>
      </c>
      <c r="B774" s="27">
        <f>IF('01_Rohdaten'!A774="","",'01_Rohdaten'!A774)</f>
        <v/>
      </c>
      <c r="C774" s="27">
        <f>IF(B774="","",INDEX('01_Rohdaten'!B774:D774,'02_Eingaben'!$C$13))</f>
        <v/>
      </c>
      <c r="D774" s="27">
        <f>IF(C774="","",C774*'02_Eingaben'!$C$15)</f>
        <v/>
      </c>
      <c r="E774" s="27">
        <f>IF(D774="","",D774*'02_Eingaben'!$C$8)</f>
        <v/>
      </c>
      <c r="F774" s="27">
        <f>IF(E774="","",AVERAGE(INDEX($E$2:$E$3001,MAX(1,ROW()-1-'02_Eingaben'!$C$17)):INDEX($E$2:$E$3001,MIN('02_Eingaben'!$C$21,ROW()-1+'02_Eingaben'!$C$17))))</f>
        <v/>
      </c>
      <c r="G774" s="27">
        <f>IF(F774="","",F774-'02_Eingaben'!$C$10)</f>
        <v/>
      </c>
      <c r="H774">
        <f>IF(F774="","",IF(F774&lt;'02_Eingaben'!$C$18*'02_Eingaben'!$C$10,1,0))</f>
        <v/>
      </c>
      <c r="I774" s="27">
        <f>IF(OR(G774="",G775=""),"",(G774+G775)/2*(B775-B774))</f>
        <v/>
      </c>
      <c r="J774" s="27">
        <f>IF(B774="","",IF(B773&lt;'02_Eingaben'!$C$36,0,J773+I773/'02_Eingaben'!$C$8))</f>
        <v/>
      </c>
    </row>
    <row r="775">
      <c r="A775">
        <f>IF('01_Rohdaten'!A775="","",ROW()-1)</f>
        <v/>
      </c>
      <c r="B775" s="27">
        <f>IF('01_Rohdaten'!A775="","",'01_Rohdaten'!A775)</f>
        <v/>
      </c>
      <c r="C775" s="27">
        <f>IF(B775="","",INDEX('01_Rohdaten'!B775:D775,'02_Eingaben'!$C$13))</f>
        <v/>
      </c>
      <c r="D775" s="27">
        <f>IF(C775="","",C775*'02_Eingaben'!$C$15)</f>
        <v/>
      </c>
      <c r="E775" s="27">
        <f>IF(D775="","",D775*'02_Eingaben'!$C$8)</f>
        <v/>
      </c>
      <c r="F775" s="27">
        <f>IF(E775="","",AVERAGE(INDEX($E$2:$E$3001,MAX(1,ROW()-1-'02_Eingaben'!$C$17)):INDEX($E$2:$E$3001,MIN('02_Eingaben'!$C$21,ROW()-1+'02_Eingaben'!$C$17))))</f>
        <v/>
      </c>
      <c r="G775" s="27">
        <f>IF(F775="","",F775-'02_Eingaben'!$C$10)</f>
        <v/>
      </c>
      <c r="H775">
        <f>IF(F775="","",IF(F775&lt;'02_Eingaben'!$C$18*'02_Eingaben'!$C$10,1,0))</f>
        <v/>
      </c>
      <c r="I775" s="27">
        <f>IF(OR(G775="",G776=""),"",(G775+G776)/2*(B776-B775))</f>
        <v/>
      </c>
      <c r="J775" s="27">
        <f>IF(B775="","",IF(B774&lt;'02_Eingaben'!$C$36,0,J774+I774/'02_Eingaben'!$C$8))</f>
        <v/>
      </c>
    </row>
    <row r="776">
      <c r="A776">
        <f>IF('01_Rohdaten'!A776="","",ROW()-1)</f>
        <v/>
      </c>
      <c r="B776" s="27">
        <f>IF('01_Rohdaten'!A776="","",'01_Rohdaten'!A776)</f>
        <v/>
      </c>
      <c r="C776" s="27">
        <f>IF(B776="","",INDEX('01_Rohdaten'!B776:D776,'02_Eingaben'!$C$13))</f>
        <v/>
      </c>
      <c r="D776" s="27">
        <f>IF(C776="","",C776*'02_Eingaben'!$C$15)</f>
        <v/>
      </c>
      <c r="E776" s="27">
        <f>IF(D776="","",D776*'02_Eingaben'!$C$8)</f>
        <v/>
      </c>
      <c r="F776" s="27">
        <f>IF(E776="","",AVERAGE(INDEX($E$2:$E$3001,MAX(1,ROW()-1-'02_Eingaben'!$C$17)):INDEX($E$2:$E$3001,MIN('02_Eingaben'!$C$21,ROW()-1+'02_Eingaben'!$C$17))))</f>
        <v/>
      </c>
      <c r="G776" s="27">
        <f>IF(F776="","",F776-'02_Eingaben'!$C$10)</f>
        <v/>
      </c>
      <c r="H776">
        <f>IF(F776="","",IF(F776&lt;'02_Eingaben'!$C$18*'02_Eingaben'!$C$10,1,0))</f>
        <v/>
      </c>
      <c r="I776" s="27">
        <f>IF(OR(G776="",G777=""),"",(G776+G777)/2*(B777-B776))</f>
        <v/>
      </c>
      <c r="J776" s="27">
        <f>IF(B776="","",IF(B775&lt;'02_Eingaben'!$C$36,0,J775+I775/'02_Eingaben'!$C$8))</f>
        <v/>
      </c>
    </row>
    <row r="777">
      <c r="A777">
        <f>IF('01_Rohdaten'!A777="","",ROW()-1)</f>
        <v/>
      </c>
      <c r="B777" s="27">
        <f>IF('01_Rohdaten'!A777="","",'01_Rohdaten'!A777)</f>
        <v/>
      </c>
      <c r="C777" s="27">
        <f>IF(B777="","",INDEX('01_Rohdaten'!B777:D777,'02_Eingaben'!$C$13))</f>
        <v/>
      </c>
      <c r="D777" s="27">
        <f>IF(C777="","",C777*'02_Eingaben'!$C$15)</f>
        <v/>
      </c>
      <c r="E777" s="27">
        <f>IF(D777="","",D777*'02_Eingaben'!$C$8)</f>
        <v/>
      </c>
      <c r="F777" s="27">
        <f>IF(E777="","",AVERAGE(INDEX($E$2:$E$3001,MAX(1,ROW()-1-'02_Eingaben'!$C$17)):INDEX($E$2:$E$3001,MIN('02_Eingaben'!$C$21,ROW()-1+'02_Eingaben'!$C$17))))</f>
        <v/>
      </c>
      <c r="G777" s="27">
        <f>IF(F777="","",F777-'02_Eingaben'!$C$10)</f>
        <v/>
      </c>
      <c r="H777">
        <f>IF(F777="","",IF(F777&lt;'02_Eingaben'!$C$18*'02_Eingaben'!$C$10,1,0))</f>
        <v/>
      </c>
      <c r="I777" s="27">
        <f>IF(OR(G777="",G778=""),"",(G777+G778)/2*(B778-B777))</f>
        <v/>
      </c>
      <c r="J777" s="27">
        <f>IF(B777="","",IF(B776&lt;'02_Eingaben'!$C$36,0,J776+I776/'02_Eingaben'!$C$8))</f>
        <v/>
      </c>
    </row>
    <row r="778">
      <c r="A778">
        <f>IF('01_Rohdaten'!A778="","",ROW()-1)</f>
        <v/>
      </c>
      <c r="B778" s="27">
        <f>IF('01_Rohdaten'!A778="","",'01_Rohdaten'!A778)</f>
        <v/>
      </c>
      <c r="C778" s="27">
        <f>IF(B778="","",INDEX('01_Rohdaten'!B778:D778,'02_Eingaben'!$C$13))</f>
        <v/>
      </c>
      <c r="D778" s="27">
        <f>IF(C778="","",C778*'02_Eingaben'!$C$15)</f>
        <v/>
      </c>
      <c r="E778" s="27">
        <f>IF(D778="","",D778*'02_Eingaben'!$C$8)</f>
        <v/>
      </c>
      <c r="F778" s="27">
        <f>IF(E778="","",AVERAGE(INDEX($E$2:$E$3001,MAX(1,ROW()-1-'02_Eingaben'!$C$17)):INDEX($E$2:$E$3001,MIN('02_Eingaben'!$C$21,ROW()-1+'02_Eingaben'!$C$17))))</f>
        <v/>
      </c>
      <c r="G778" s="27">
        <f>IF(F778="","",F778-'02_Eingaben'!$C$10)</f>
        <v/>
      </c>
      <c r="H778">
        <f>IF(F778="","",IF(F778&lt;'02_Eingaben'!$C$18*'02_Eingaben'!$C$10,1,0))</f>
        <v/>
      </c>
      <c r="I778" s="27">
        <f>IF(OR(G778="",G779=""),"",(G778+G779)/2*(B779-B778))</f>
        <v/>
      </c>
      <c r="J778" s="27">
        <f>IF(B778="","",IF(B777&lt;'02_Eingaben'!$C$36,0,J777+I777/'02_Eingaben'!$C$8))</f>
        <v/>
      </c>
    </row>
    <row r="779">
      <c r="A779">
        <f>IF('01_Rohdaten'!A779="","",ROW()-1)</f>
        <v/>
      </c>
      <c r="B779" s="27">
        <f>IF('01_Rohdaten'!A779="","",'01_Rohdaten'!A779)</f>
        <v/>
      </c>
      <c r="C779" s="27">
        <f>IF(B779="","",INDEX('01_Rohdaten'!B779:D779,'02_Eingaben'!$C$13))</f>
        <v/>
      </c>
      <c r="D779" s="27">
        <f>IF(C779="","",C779*'02_Eingaben'!$C$15)</f>
        <v/>
      </c>
      <c r="E779" s="27">
        <f>IF(D779="","",D779*'02_Eingaben'!$C$8)</f>
        <v/>
      </c>
      <c r="F779" s="27">
        <f>IF(E779="","",AVERAGE(INDEX($E$2:$E$3001,MAX(1,ROW()-1-'02_Eingaben'!$C$17)):INDEX($E$2:$E$3001,MIN('02_Eingaben'!$C$21,ROW()-1+'02_Eingaben'!$C$17))))</f>
        <v/>
      </c>
      <c r="G779" s="27">
        <f>IF(F779="","",F779-'02_Eingaben'!$C$10)</f>
        <v/>
      </c>
      <c r="H779">
        <f>IF(F779="","",IF(F779&lt;'02_Eingaben'!$C$18*'02_Eingaben'!$C$10,1,0))</f>
        <v/>
      </c>
      <c r="I779" s="27">
        <f>IF(OR(G779="",G780=""),"",(G779+G780)/2*(B780-B779))</f>
        <v/>
      </c>
      <c r="J779" s="27">
        <f>IF(B779="","",IF(B778&lt;'02_Eingaben'!$C$36,0,J778+I778/'02_Eingaben'!$C$8))</f>
        <v/>
      </c>
    </row>
    <row r="780">
      <c r="A780">
        <f>IF('01_Rohdaten'!A780="","",ROW()-1)</f>
        <v/>
      </c>
      <c r="B780" s="27">
        <f>IF('01_Rohdaten'!A780="","",'01_Rohdaten'!A780)</f>
        <v/>
      </c>
      <c r="C780" s="27">
        <f>IF(B780="","",INDEX('01_Rohdaten'!B780:D780,'02_Eingaben'!$C$13))</f>
        <v/>
      </c>
      <c r="D780" s="27">
        <f>IF(C780="","",C780*'02_Eingaben'!$C$15)</f>
        <v/>
      </c>
      <c r="E780" s="27">
        <f>IF(D780="","",D780*'02_Eingaben'!$C$8)</f>
        <v/>
      </c>
      <c r="F780" s="27">
        <f>IF(E780="","",AVERAGE(INDEX($E$2:$E$3001,MAX(1,ROW()-1-'02_Eingaben'!$C$17)):INDEX($E$2:$E$3001,MIN('02_Eingaben'!$C$21,ROW()-1+'02_Eingaben'!$C$17))))</f>
        <v/>
      </c>
      <c r="G780" s="27">
        <f>IF(F780="","",F780-'02_Eingaben'!$C$10)</f>
        <v/>
      </c>
      <c r="H780">
        <f>IF(F780="","",IF(F780&lt;'02_Eingaben'!$C$18*'02_Eingaben'!$C$10,1,0))</f>
        <v/>
      </c>
      <c r="I780" s="27">
        <f>IF(OR(G780="",G781=""),"",(G780+G781)/2*(B781-B780))</f>
        <v/>
      </c>
      <c r="J780" s="27">
        <f>IF(B780="","",IF(B779&lt;'02_Eingaben'!$C$36,0,J779+I779/'02_Eingaben'!$C$8))</f>
        <v/>
      </c>
    </row>
    <row r="781">
      <c r="A781">
        <f>IF('01_Rohdaten'!A781="","",ROW()-1)</f>
        <v/>
      </c>
      <c r="B781" s="27">
        <f>IF('01_Rohdaten'!A781="","",'01_Rohdaten'!A781)</f>
        <v/>
      </c>
      <c r="C781" s="27">
        <f>IF(B781="","",INDEX('01_Rohdaten'!B781:D781,'02_Eingaben'!$C$13))</f>
        <v/>
      </c>
      <c r="D781" s="27">
        <f>IF(C781="","",C781*'02_Eingaben'!$C$15)</f>
        <v/>
      </c>
      <c r="E781" s="27">
        <f>IF(D781="","",D781*'02_Eingaben'!$C$8)</f>
        <v/>
      </c>
      <c r="F781" s="27">
        <f>IF(E781="","",AVERAGE(INDEX($E$2:$E$3001,MAX(1,ROW()-1-'02_Eingaben'!$C$17)):INDEX($E$2:$E$3001,MIN('02_Eingaben'!$C$21,ROW()-1+'02_Eingaben'!$C$17))))</f>
        <v/>
      </c>
      <c r="G781" s="27">
        <f>IF(F781="","",F781-'02_Eingaben'!$C$10)</f>
        <v/>
      </c>
      <c r="H781">
        <f>IF(F781="","",IF(F781&lt;'02_Eingaben'!$C$18*'02_Eingaben'!$C$10,1,0))</f>
        <v/>
      </c>
      <c r="I781" s="27">
        <f>IF(OR(G781="",G782=""),"",(G781+G782)/2*(B782-B781))</f>
        <v/>
      </c>
      <c r="J781" s="27">
        <f>IF(B781="","",IF(B780&lt;'02_Eingaben'!$C$36,0,J780+I780/'02_Eingaben'!$C$8))</f>
        <v/>
      </c>
    </row>
    <row r="782">
      <c r="A782">
        <f>IF('01_Rohdaten'!A782="","",ROW()-1)</f>
        <v/>
      </c>
      <c r="B782" s="27">
        <f>IF('01_Rohdaten'!A782="","",'01_Rohdaten'!A782)</f>
        <v/>
      </c>
      <c r="C782" s="27">
        <f>IF(B782="","",INDEX('01_Rohdaten'!B782:D782,'02_Eingaben'!$C$13))</f>
        <v/>
      </c>
      <c r="D782" s="27">
        <f>IF(C782="","",C782*'02_Eingaben'!$C$15)</f>
        <v/>
      </c>
      <c r="E782" s="27">
        <f>IF(D782="","",D782*'02_Eingaben'!$C$8)</f>
        <v/>
      </c>
      <c r="F782" s="27">
        <f>IF(E782="","",AVERAGE(INDEX($E$2:$E$3001,MAX(1,ROW()-1-'02_Eingaben'!$C$17)):INDEX($E$2:$E$3001,MIN('02_Eingaben'!$C$21,ROW()-1+'02_Eingaben'!$C$17))))</f>
        <v/>
      </c>
      <c r="G782" s="27">
        <f>IF(F782="","",F782-'02_Eingaben'!$C$10)</f>
        <v/>
      </c>
      <c r="H782">
        <f>IF(F782="","",IF(F782&lt;'02_Eingaben'!$C$18*'02_Eingaben'!$C$10,1,0))</f>
        <v/>
      </c>
      <c r="I782" s="27">
        <f>IF(OR(G782="",G783=""),"",(G782+G783)/2*(B783-B782))</f>
        <v/>
      </c>
      <c r="J782" s="27">
        <f>IF(B782="","",IF(B781&lt;'02_Eingaben'!$C$36,0,J781+I781/'02_Eingaben'!$C$8))</f>
        <v/>
      </c>
    </row>
    <row r="783">
      <c r="A783">
        <f>IF('01_Rohdaten'!A783="","",ROW()-1)</f>
        <v/>
      </c>
      <c r="B783" s="27">
        <f>IF('01_Rohdaten'!A783="","",'01_Rohdaten'!A783)</f>
        <v/>
      </c>
      <c r="C783" s="27">
        <f>IF(B783="","",INDEX('01_Rohdaten'!B783:D783,'02_Eingaben'!$C$13))</f>
        <v/>
      </c>
      <c r="D783" s="27">
        <f>IF(C783="","",C783*'02_Eingaben'!$C$15)</f>
        <v/>
      </c>
      <c r="E783" s="27">
        <f>IF(D783="","",D783*'02_Eingaben'!$C$8)</f>
        <v/>
      </c>
      <c r="F783" s="27">
        <f>IF(E783="","",AVERAGE(INDEX($E$2:$E$3001,MAX(1,ROW()-1-'02_Eingaben'!$C$17)):INDEX($E$2:$E$3001,MIN('02_Eingaben'!$C$21,ROW()-1+'02_Eingaben'!$C$17))))</f>
        <v/>
      </c>
      <c r="G783" s="27">
        <f>IF(F783="","",F783-'02_Eingaben'!$C$10)</f>
        <v/>
      </c>
      <c r="H783">
        <f>IF(F783="","",IF(F783&lt;'02_Eingaben'!$C$18*'02_Eingaben'!$C$10,1,0))</f>
        <v/>
      </c>
      <c r="I783" s="27">
        <f>IF(OR(G783="",G784=""),"",(G783+G784)/2*(B784-B783))</f>
        <v/>
      </c>
      <c r="J783" s="27">
        <f>IF(B783="","",IF(B782&lt;'02_Eingaben'!$C$36,0,J782+I782/'02_Eingaben'!$C$8))</f>
        <v/>
      </c>
    </row>
    <row r="784">
      <c r="A784">
        <f>IF('01_Rohdaten'!A784="","",ROW()-1)</f>
        <v/>
      </c>
      <c r="B784" s="27">
        <f>IF('01_Rohdaten'!A784="","",'01_Rohdaten'!A784)</f>
        <v/>
      </c>
      <c r="C784" s="27">
        <f>IF(B784="","",INDEX('01_Rohdaten'!B784:D784,'02_Eingaben'!$C$13))</f>
        <v/>
      </c>
      <c r="D784" s="27">
        <f>IF(C784="","",C784*'02_Eingaben'!$C$15)</f>
        <v/>
      </c>
      <c r="E784" s="27">
        <f>IF(D784="","",D784*'02_Eingaben'!$C$8)</f>
        <v/>
      </c>
      <c r="F784" s="27">
        <f>IF(E784="","",AVERAGE(INDEX($E$2:$E$3001,MAX(1,ROW()-1-'02_Eingaben'!$C$17)):INDEX($E$2:$E$3001,MIN('02_Eingaben'!$C$21,ROW()-1+'02_Eingaben'!$C$17))))</f>
        <v/>
      </c>
      <c r="G784" s="27">
        <f>IF(F784="","",F784-'02_Eingaben'!$C$10)</f>
        <v/>
      </c>
      <c r="H784">
        <f>IF(F784="","",IF(F784&lt;'02_Eingaben'!$C$18*'02_Eingaben'!$C$10,1,0))</f>
        <v/>
      </c>
      <c r="I784" s="27">
        <f>IF(OR(G784="",G785=""),"",(G784+G785)/2*(B785-B784))</f>
        <v/>
      </c>
      <c r="J784" s="27">
        <f>IF(B784="","",IF(B783&lt;'02_Eingaben'!$C$36,0,J783+I783/'02_Eingaben'!$C$8))</f>
        <v/>
      </c>
    </row>
    <row r="785">
      <c r="A785">
        <f>IF('01_Rohdaten'!A785="","",ROW()-1)</f>
        <v/>
      </c>
      <c r="B785" s="27">
        <f>IF('01_Rohdaten'!A785="","",'01_Rohdaten'!A785)</f>
        <v/>
      </c>
      <c r="C785" s="27">
        <f>IF(B785="","",INDEX('01_Rohdaten'!B785:D785,'02_Eingaben'!$C$13))</f>
        <v/>
      </c>
      <c r="D785" s="27">
        <f>IF(C785="","",C785*'02_Eingaben'!$C$15)</f>
        <v/>
      </c>
      <c r="E785" s="27">
        <f>IF(D785="","",D785*'02_Eingaben'!$C$8)</f>
        <v/>
      </c>
      <c r="F785" s="27">
        <f>IF(E785="","",AVERAGE(INDEX($E$2:$E$3001,MAX(1,ROW()-1-'02_Eingaben'!$C$17)):INDEX($E$2:$E$3001,MIN('02_Eingaben'!$C$21,ROW()-1+'02_Eingaben'!$C$17))))</f>
        <v/>
      </c>
      <c r="G785" s="27">
        <f>IF(F785="","",F785-'02_Eingaben'!$C$10)</f>
        <v/>
      </c>
      <c r="H785">
        <f>IF(F785="","",IF(F785&lt;'02_Eingaben'!$C$18*'02_Eingaben'!$C$10,1,0))</f>
        <v/>
      </c>
      <c r="I785" s="27">
        <f>IF(OR(G785="",G786=""),"",(G785+G786)/2*(B786-B785))</f>
        <v/>
      </c>
      <c r="J785" s="27">
        <f>IF(B785="","",IF(B784&lt;'02_Eingaben'!$C$36,0,J784+I784/'02_Eingaben'!$C$8))</f>
        <v/>
      </c>
    </row>
    <row r="786">
      <c r="A786">
        <f>IF('01_Rohdaten'!A786="","",ROW()-1)</f>
        <v/>
      </c>
      <c r="B786" s="27">
        <f>IF('01_Rohdaten'!A786="","",'01_Rohdaten'!A786)</f>
        <v/>
      </c>
      <c r="C786" s="27">
        <f>IF(B786="","",INDEX('01_Rohdaten'!B786:D786,'02_Eingaben'!$C$13))</f>
        <v/>
      </c>
      <c r="D786" s="27">
        <f>IF(C786="","",C786*'02_Eingaben'!$C$15)</f>
        <v/>
      </c>
      <c r="E786" s="27">
        <f>IF(D786="","",D786*'02_Eingaben'!$C$8)</f>
        <v/>
      </c>
      <c r="F786" s="27">
        <f>IF(E786="","",AVERAGE(INDEX($E$2:$E$3001,MAX(1,ROW()-1-'02_Eingaben'!$C$17)):INDEX($E$2:$E$3001,MIN('02_Eingaben'!$C$21,ROW()-1+'02_Eingaben'!$C$17))))</f>
        <v/>
      </c>
      <c r="G786" s="27">
        <f>IF(F786="","",F786-'02_Eingaben'!$C$10)</f>
        <v/>
      </c>
      <c r="H786">
        <f>IF(F786="","",IF(F786&lt;'02_Eingaben'!$C$18*'02_Eingaben'!$C$10,1,0))</f>
        <v/>
      </c>
      <c r="I786" s="27">
        <f>IF(OR(G786="",G787=""),"",(G786+G787)/2*(B787-B786))</f>
        <v/>
      </c>
      <c r="J786" s="27">
        <f>IF(B786="","",IF(B785&lt;'02_Eingaben'!$C$36,0,J785+I785/'02_Eingaben'!$C$8))</f>
        <v/>
      </c>
    </row>
    <row r="787">
      <c r="A787">
        <f>IF('01_Rohdaten'!A787="","",ROW()-1)</f>
        <v/>
      </c>
      <c r="B787" s="27">
        <f>IF('01_Rohdaten'!A787="","",'01_Rohdaten'!A787)</f>
        <v/>
      </c>
      <c r="C787" s="27">
        <f>IF(B787="","",INDEX('01_Rohdaten'!B787:D787,'02_Eingaben'!$C$13))</f>
        <v/>
      </c>
      <c r="D787" s="27">
        <f>IF(C787="","",C787*'02_Eingaben'!$C$15)</f>
        <v/>
      </c>
      <c r="E787" s="27">
        <f>IF(D787="","",D787*'02_Eingaben'!$C$8)</f>
        <v/>
      </c>
      <c r="F787" s="27">
        <f>IF(E787="","",AVERAGE(INDEX($E$2:$E$3001,MAX(1,ROW()-1-'02_Eingaben'!$C$17)):INDEX($E$2:$E$3001,MIN('02_Eingaben'!$C$21,ROW()-1+'02_Eingaben'!$C$17))))</f>
        <v/>
      </c>
      <c r="G787" s="27">
        <f>IF(F787="","",F787-'02_Eingaben'!$C$10)</f>
        <v/>
      </c>
      <c r="H787">
        <f>IF(F787="","",IF(F787&lt;'02_Eingaben'!$C$18*'02_Eingaben'!$C$10,1,0))</f>
        <v/>
      </c>
      <c r="I787" s="27">
        <f>IF(OR(G787="",G788=""),"",(G787+G788)/2*(B788-B787))</f>
        <v/>
      </c>
      <c r="J787" s="27">
        <f>IF(B787="","",IF(B786&lt;'02_Eingaben'!$C$36,0,J786+I786/'02_Eingaben'!$C$8))</f>
        <v/>
      </c>
    </row>
    <row r="788">
      <c r="A788">
        <f>IF('01_Rohdaten'!A788="","",ROW()-1)</f>
        <v/>
      </c>
      <c r="B788" s="27">
        <f>IF('01_Rohdaten'!A788="","",'01_Rohdaten'!A788)</f>
        <v/>
      </c>
      <c r="C788" s="27">
        <f>IF(B788="","",INDEX('01_Rohdaten'!B788:D788,'02_Eingaben'!$C$13))</f>
        <v/>
      </c>
      <c r="D788" s="27">
        <f>IF(C788="","",C788*'02_Eingaben'!$C$15)</f>
        <v/>
      </c>
      <c r="E788" s="27">
        <f>IF(D788="","",D788*'02_Eingaben'!$C$8)</f>
        <v/>
      </c>
      <c r="F788" s="27">
        <f>IF(E788="","",AVERAGE(INDEX($E$2:$E$3001,MAX(1,ROW()-1-'02_Eingaben'!$C$17)):INDEX($E$2:$E$3001,MIN('02_Eingaben'!$C$21,ROW()-1+'02_Eingaben'!$C$17))))</f>
        <v/>
      </c>
      <c r="G788" s="27">
        <f>IF(F788="","",F788-'02_Eingaben'!$C$10)</f>
        <v/>
      </c>
      <c r="H788">
        <f>IF(F788="","",IF(F788&lt;'02_Eingaben'!$C$18*'02_Eingaben'!$C$10,1,0))</f>
        <v/>
      </c>
      <c r="I788" s="27">
        <f>IF(OR(G788="",G789=""),"",(G788+G789)/2*(B789-B788))</f>
        <v/>
      </c>
      <c r="J788" s="27">
        <f>IF(B788="","",IF(B787&lt;'02_Eingaben'!$C$36,0,J787+I787/'02_Eingaben'!$C$8))</f>
        <v/>
      </c>
    </row>
    <row r="789">
      <c r="A789">
        <f>IF('01_Rohdaten'!A789="","",ROW()-1)</f>
        <v/>
      </c>
      <c r="B789" s="27">
        <f>IF('01_Rohdaten'!A789="","",'01_Rohdaten'!A789)</f>
        <v/>
      </c>
      <c r="C789" s="27">
        <f>IF(B789="","",INDEX('01_Rohdaten'!B789:D789,'02_Eingaben'!$C$13))</f>
        <v/>
      </c>
      <c r="D789" s="27">
        <f>IF(C789="","",C789*'02_Eingaben'!$C$15)</f>
        <v/>
      </c>
      <c r="E789" s="27">
        <f>IF(D789="","",D789*'02_Eingaben'!$C$8)</f>
        <v/>
      </c>
      <c r="F789" s="27">
        <f>IF(E789="","",AVERAGE(INDEX($E$2:$E$3001,MAX(1,ROW()-1-'02_Eingaben'!$C$17)):INDEX($E$2:$E$3001,MIN('02_Eingaben'!$C$21,ROW()-1+'02_Eingaben'!$C$17))))</f>
        <v/>
      </c>
      <c r="G789" s="27">
        <f>IF(F789="","",F789-'02_Eingaben'!$C$10)</f>
        <v/>
      </c>
      <c r="H789">
        <f>IF(F789="","",IF(F789&lt;'02_Eingaben'!$C$18*'02_Eingaben'!$C$10,1,0))</f>
        <v/>
      </c>
      <c r="I789" s="27">
        <f>IF(OR(G789="",G790=""),"",(G789+G790)/2*(B790-B789))</f>
        <v/>
      </c>
      <c r="J789" s="27">
        <f>IF(B789="","",IF(B788&lt;'02_Eingaben'!$C$36,0,J788+I788/'02_Eingaben'!$C$8))</f>
        <v/>
      </c>
    </row>
    <row r="790">
      <c r="A790">
        <f>IF('01_Rohdaten'!A790="","",ROW()-1)</f>
        <v/>
      </c>
      <c r="B790" s="27">
        <f>IF('01_Rohdaten'!A790="","",'01_Rohdaten'!A790)</f>
        <v/>
      </c>
      <c r="C790" s="27">
        <f>IF(B790="","",INDEX('01_Rohdaten'!B790:D790,'02_Eingaben'!$C$13))</f>
        <v/>
      </c>
      <c r="D790" s="27">
        <f>IF(C790="","",C790*'02_Eingaben'!$C$15)</f>
        <v/>
      </c>
      <c r="E790" s="27">
        <f>IF(D790="","",D790*'02_Eingaben'!$C$8)</f>
        <v/>
      </c>
      <c r="F790" s="27">
        <f>IF(E790="","",AVERAGE(INDEX($E$2:$E$3001,MAX(1,ROW()-1-'02_Eingaben'!$C$17)):INDEX($E$2:$E$3001,MIN('02_Eingaben'!$C$21,ROW()-1+'02_Eingaben'!$C$17))))</f>
        <v/>
      </c>
      <c r="G790" s="27">
        <f>IF(F790="","",F790-'02_Eingaben'!$C$10)</f>
        <v/>
      </c>
      <c r="H790">
        <f>IF(F790="","",IF(F790&lt;'02_Eingaben'!$C$18*'02_Eingaben'!$C$10,1,0))</f>
        <v/>
      </c>
      <c r="I790" s="27">
        <f>IF(OR(G790="",G791=""),"",(G790+G791)/2*(B791-B790))</f>
        <v/>
      </c>
      <c r="J790" s="27">
        <f>IF(B790="","",IF(B789&lt;'02_Eingaben'!$C$36,0,J789+I789/'02_Eingaben'!$C$8))</f>
        <v/>
      </c>
    </row>
    <row r="791">
      <c r="A791">
        <f>IF('01_Rohdaten'!A791="","",ROW()-1)</f>
        <v/>
      </c>
      <c r="B791" s="27">
        <f>IF('01_Rohdaten'!A791="","",'01_Rohdaten'!A791)</f>
        <v/>
      </c>
      <c r="C791" s="27">
        <f>IF(B791="","",INDEX('01_Rohdaten'!B791:D791,'02_Eingaben'!$C$13))</f>
        <v/>
      </c>
      <c r="D791" s="27">
        <f>IF(C791="","",C791*'02_Eingaben'!$C$15)</f>
        <v/>
      </c>
      <c r="E791" s="27">
        <f>IF(D791="","",D791*'02_Eingaben'!$C$8)</f>
        <v/>
      </c>
      <c r="F791" s="27">
        <f>IF(E791="","",AVERAGE(INDEX($E$2:$E$3001,MAX(1,ROW()-1-'02_Eingaben'!$C$17)):INDEX($E$2:$E$3001,MIN('02_Eingaben'!$C$21,ROW()-1+'02_Eingaben'!$C$17))))</f>
        <v/>
      </c>
      <c r="G791" s="27">
        <f>IF(F791="","",F791-'02_Eingaben'!$C$10)</f>
        <v/>
      </c>
      <c r="H791">
        <f>IF(F791="","",IF(F791&lt;'02_Eingaben'!$C$18*'02_Eingaben'!$C$10,1,0))</f>
        <v/>
      </c>
      <c r="I791" s="27">
        <f>IF(OR(G791="",G792=""),"",(G791+G792)/2*(B792-B791))</f>
        <v/>
      </c>
      <c r="J791" s="27">
        <f>IF(B791="","",IF(B790&lt;'02_Eingaben'!$C$36,0,J790+I790/'02_Eingaben'!$C$8))</f>
        <v/>
      </c>
    </row>
    <row r="792">
      <c r="A792">
        <f>IF('01_Rohdaten'!A792="","",ROW()-1)</f>
        <v/>
      </c>
      <c r="B792" s="27">
        <f>IF('01_Rohdaten'!A792="","",'01_Rohdaten'!A792)</f>
        <v/>
      </c>
      <c r="C792" s="27">
        <f>IF(B792="","",INDEX('01_Rohdaten'!B792:D792,'02_Eingaben'!$C$13))</f>
        <v/>
      </c>
      <c r="D792" s="27">
        <f>IF(C792="","",C792*'02_Eingaben'!$C$15)</f>
        <v/>
      </c>
      <c r="E792" s="27">
        <f>IF(D792="","",D792*'02_Eingaben'!$C$8)</f>
        <v/>
      </c>
      <c r="F792" s="27">
        <f>IF(E792="","",AVERAGE(INDEX($E$2:$E$3001,MAX(1,ROW()-1-'02_Eingaben'!$C$17)):INDEX($E$2:$E$3001,MIN('02_Eingaben'!$C$21,ROW()-1+'02_Eingaben'!$C$17))))</f>
        <v/>
      </c>
      <c r="G792" s="27">
        <f>IF(F792="","",F792-'02_Eingaben'!$C$10)</f>
        <v/>
      </c>
      <c r="H792">
        <f>IF(F792="","",IF(F792&lt;'02_Eingaben'!$C$18*'02_Eingaben'!$C$10,1,0))</f>
        <v/>
      </c>
      <c r="I792" s="27">
        <f>IF(OR(G792="",G793=""),"",(G792+G793)/2*(B793-B792))</f>
        <v/>
      </c>
      <c r="J792" s="27">
        <f>IF(B792="","",IF(B791&lt;'02_Eingaben'!$C$36,0,J791+I791/'02_Eingaben'!$C$8))</f>
        <v/>
      </c>
    </row>
    <row r="793">
      <c r="A793">
        <f>IF('01_Rohdaten'!A793="","",ROW()-1)</f>
        <v/>
      </c>
      <c r="B793" s="27">
        <f>IF('01_Rohdaten'!A793="","",'01_Rohdaten'!A793)</f>
        <v/>
      </c>
      <c r="C793" s="27">
        <f>IF(B793="","",INDEX('01_Rohdaten'!B793:D793,'02_Eingaben'!$C$13))</f>
        <v/>
      </c>
      <c r="D793" s="27">
        <f>IF(C793="","",C793*'02_Eingaben'!$C$15)</f>
        <v/>
      </c>
      <c r="E793" s="27">
        <f>IF(D793="","",D793*'02_Eingaben'!$C$8)</f>
        <v/>
      </c>
      <c r="F793" s="27">
        <f>IF(E793="","",AVERAGE(INDEX($E$2:$E$3001,MAX(1,ROW()-1-'02_Eingaben'!$C$17)):INDEX($E$2:$E$3001,MIN('02_Eingaben'!$C$21,ROW()-1+'02_Eingaben'!$C$17))))</f>
        <v/>
      </c>
      <c r="G793" s="27">
        <f>IF(F793="","",F793-'02_Eingaben'!$C$10)</f>
        <v/>
      </c>
      <c r="H793">
        <f>IF(F793="","",IF(F793&lt;'02_Eingaben'!$C$18*'02_Eingaben'!$C$10,1,0))</f>
        <v/>
      </c>
      <c r="I793" s="27">
        <f>IF(OR(G793="",G794=""),"",(G793+G794)/2*(B794-B793))</f>
        <v/>
      </c>
      <c r="J793" s="27">
        <f>IF(B793="","",IF(B792&lt;'02_Eingaben'!$C$36,0,J792+I792/'02_Eingaben'!$C$8))</f>
        <v/>
      </c>
    </row>
    <row r="794">
      <c r="A794">
        <f>IF('01_Rohdaten'!A794="","",ROW()-1)</f>
        <v/>
      </c>
      <c r="B794" s="27">
        <f>IF('01_Rohdaten'!A794="","",'01_Rohdaten'!A794)</f>
        <v/>
      </c>
      <c r="C794" s="27">
        <f>IF(B794="","",INDEX('01_Rohdaten'!B794:D794,'02_Eingaben'!$C$13))</f>
        <v/>
      </c>
      <c r="D794" s="27">
        <f>IF(C794="","",C794*'02_Eingaben'!$C$15)</f>
        <v/>
      </c>
      <c r="E794" s="27">
        <f>IF(D794="","",D794*'02_Eingaben'!$C$8)</f>
        <v/>
      </c>
      <c r="F794" s="27">
        <f>IF(E794="","",AVERAGE(INDEX($E$2:$E$3001,MAX(1,ROW()-1-'02_Eingaben'!$C$17)):INDEX($E$2:$E$3001,MIN('02_Eingaben'!$C$21,ROW()-1+'02_Eingaben'!$C$17))))</f>
        <v/>
      </c>
      <c r="G794" s="27">
        <f>IF(F794="","",F794-'02_Eingaben'!$C$10)</f>
        <v/>
      </c>
      <c r="H794">
        <f>IF(F794="","",IF(F794&lt;'02_Eingaben'!$C$18*'02_Eingaben'!$C$10,1,0))</f>
        <v/>
      </c>
      <c r="I794" s="27">
        <f>IF(OR(G794="",G795=""),"",(G794+G795)/2*(B795-B794))</f>
        <v/>
      </c>
      <c r="J794" s="27">
        <f>IF(B794="","",IF(B793&lt;'02_Eingaben'!$C$36,0,J793+I793/'02_Eingaben'!$C$8))</f>
        <v/>
      </c>
    </row>
    <row r="795">
      <c r="A795">
        <f>IF('01_Rohdaten'!A795="","",ROW()-1)</f>
        <v/>
      </c>
      <c r="B795" s="27">
        <f>IF('01_Rohdaten'!A795="","",'01_Rohdaten'!A795)</f>
        <v/>
      </c>
      <c r="C795" s="27">
        <f>IF(B795="","",INDEX('01_Rohdaten'!B795:D795,'02_Eingaben'!$C$13))</f>
        <v/>
      </c>
      <c r="D795" s="27">
        <f>IF(C795="","",C795*'02_Eingaben'!$C$15)</f>
        <v/>
      </c>
      <c r="E795" s="27">
        <f>IF(D795="","",D795*'02_Eingaben'!$C$8)</f>
        <v/>
      </c>
      <c r="F795" s="27">
        <f>IF(E795="","",AVERAGE(INDEX($E$2:$E$3001,MAX(1,ROW()-1-'02_Eingaben'!$C$17)):INDEX($E$2:$E$3001,MIN('02_Eingaben'!$C$21,ROW()-1+'02_Eingaben'!$C$17))))</f>
        <v/>
      </c>
      <c r="G795" s="27">
        <f>IF(F795="","",F795-'02_Eingaben'!$C$10)</f>
        <v/>
      </c>
      <c r="H795">
        <f>IF(F795="","",IF(F795&lt;'02_Eingaben'!$C$18*'02_Eingaben'!$C$10,1,0))</f>
        <v/>
      </c>
      <c r="I795" s="27">
        <f>IF(OR(G795="",G796=""),"",(G795+G796)/2*(B796-B795))</f>
        <v/>
      </c>
      <c r="J795" s="27">
        <f>IF(B795="","",IF(B794&lt;'02_Eingaben'!$C$36,0,J794+I794/'02_Eingaben'!$C$8))</f>
        <v/>
      </c>
    </row>
    <row r="796">
      <c r="A796">
        <f>IF('01_Rohdaten'!A796="","",ROW()-1)</f>
        <v/>
      </c>
      <c r="B796" s="27">
        <f>IF('01_Rohdaten'!A796="","",'01_Rohdaten'!A796)</f>
        <v/>
      </c>
      <c r="C796" s="27">
        <f>IF(B796="","",INDEX('01_Rohdaten'!B796:D796,'02_Eingaben'!$C$13))</f>
        <v/>
      </c>
      <c r="D796" s="27">
        <f>IF(C796="","",C796*'02_Eingaben'!$C$15)</f>
        <v/>
      </c>
      <c r="E796" s="27">
        <f>IF(D796="","",D796*'02_Eingaben'!$C$8)</f>
        <v/>
      </c>
      <c r="F796" s="27">
        <f>IF(E796="","",AVERAGE(INDEX($E$2:$E$3001,MAX(1,ROW()-1-'02_Eingaben'!$C$17)):INDEX($E$2:$E$3001,MIN('02_Eingaben'!$C$21,ROW()-1+'02_Eingaben'!$C$17))))</f>
        <v/>
      </c>
      <c r="G796" s="27">
        <f>IF(F796="","",F796-'02_Eingaben'!$C$10)</f>
        <v/>
      </c>
      <c r="H796">
        <f>IF(F796="","",IF(F796&lt;'02_Eingaben'!$C$18*'02_Eingaben'!$C$10,1,0))</f>
        <v/>
      </c>
      <c r="I796" s="27">
        <f>IF(OR(G796="",G797=""),"",(G796+G797)/2*(B797-B796))</f>
        <v/>
      </c>
      <c r="J796" s="27">
        <f>IF(B796="","",IF(B795&lt;'02_Eingaben'!$C$36,0,J795+I795/'02_Eingaben'!$C$8))</f>
        <v/>
      </c>
    </row>
    <row r="797">
      <c r="A797">
        <f>IF('01_Rohdaten'!A797="","",ROW()-1)</f>
        <v/>
      </c>
      <c r="B797" s="27">
        <f>IF('01_Rohdaten'!A797="","",'01_Rohdaten'!A797)</f>
        <v/>
      </c>
      <c r="C797" s="27">
        <f>IF(B797="","",INDEX('01_Rohdaten'!B797:D797,'02_Eingaben'!$C$13))</f>
        <v/>
      </c>
      <c r="D797" s="27">
        <f>IF(C797="","",C797*'02_Eingaben'!$C$15)</f>
        <v/>
      </c>
      <c r="E797" s="27">
        <f>IF(D797="","",D797*'02_Eingaben'!$C$8)</f>
        <v/>
      </c>
      <c r="F797" s="27">
        <f>IF(E797="","",AVERAGE(INDEX($E$2:$E$3001,MAX(1,ROW()-1-'02_Eingaben'!$C$17)):INDEX($E$2:$E$3001,MIN('02_Eingaben'!$C$21,ROW()-1+'02_Eingaben'!$C$17))))</f>
        <v/>
      </c>
      <c r="G797" s="27">
        <f>IF(F797="","",F797-'02_Eingaben'!$C$10)</f>
        <v/>
      </c>
      <c r="H797">
        <f>IF(F797="","",IF(F797&lt;'02_Eingaben'!$C$18*'02_Eingaben'!$C$10,1,0))</f>
        <v/>
      </c>
      <c r="I797" s="27">
        <f>IF(OR(G797="",G798=""),"",(G797+G798)/2*(B798-B797))</f>
        <v/>
      </c>
      <c r="J797" s="27">
        <f>IF(B797="","",IF(B796&lt;'02_Eingaben'!$C$36,0,J796+I796/'02_Eingaben'!$C$8))</f>
        <v/>
      </c>
    </row>
    <row r="798">
      <c r="A798">
        <f>IF('01_Rohdaten'!A798="","",ROW()-1)</f>
        <v/>
      </c>
      <c r="B798" s="27">
        <f>IF('01_Rohdaten'!A798="","",'01_Rohdaten'!A798)</f>
        <v/>
      </c>
      <c r="C798" s="27">
        <f>IF(B798="","",INDEX('01_Rohdaten'!B798:D798,'02_Eingaben'!$C$13))</f>
        <v/>
      </c>
      <c r="D798" s="27">
        <f>IF(C798="","",C798*'02_Eingaben'!$C$15)</f>
        <v/>
      </c>
      <c r="E798" s="27">
        <f>IF(D798="","",D798*'02_Eingaben'!$C$8)</f>
        <v/>
      </c>
      <c r="F798" s="27">
        <f>IF(E798="","",AVERAGE(INDEX($E$2:$E$3001,MAX(1,ROW()-1-'02_Eingaben'!$C$17)):INDEX($E$2:$E$3001,MIN('02_Eingaben'!$C$21,ROW()-1+'02_Eingaben'!$C$17))))</f>
        <v/>
      </c>
      <c r="G798" s="27">
        <f>IF(F798="","",F798-'02_Eingaben'!$C$10)</f>
        <v/>
      </c>
      <c r="H798">
        <f>IF(F798="","",IF(F798&lt;'02_Eingaben'!$C$18*'02_Eingaben'!$C$10,1,0))</f>
        <v/>
      </c>
      <c r="I798" s="27">
        <f>IF(OR(G798="",G799=""),"",(G798+G799)/2*(B799-B798))</f>
        <v/>
      </c>
      <c r="J798" s="27">
        <f>IF(B798="","",IF(B797&lt;'02_Eingaben'!$C$36,0,J797+I797/'02_Eingaben'!$C$8))</f>
        <v/>
      </c>
    </row>
    <row r="799">
      <c r="A799">
        <f>IF('01_Rohdaten'!A799="","",ROW()-1)</f>
        <v/>
      </c>
      <c r="B799" s="27">
        <f>IF('01_Rohdaten'!A799="","",'01_Rohdaten'!A799)</f>
        <v/>
      </c>
      <c r="C799" s="27">
        <f>IF(B799="","",INDEX('01_Rohdaten'!B799:D799,'02_Eingaben'!$C$13))</f>
        <v/>
      </c>
      <c r="D799" s="27">
        <f>IF(C799="","",C799*'02_Eingaben'!$C$15)</f>
        <v/>
      </c>
      <c r="E799" s="27">
        <f>IF(D799="","",D799*'02_Eingaben'!$C$8)</f>
        <v/>
      </c>
      <c r="F799" s="27">
        <f>IF(E799="","",AVERAGE(INDEX($E$2:$E$3001,MAX(1,ROW()-1-'02_Eingaben'!$C$17)):INDEX($E$2:$E$3001,MIN('02_Eingaben'!$C$21,ROW()-1+'02_Eingaben'!$C$17))))</f>
        <v/>
      </c>
      <c r="G799" s="27">
        <f>IF(F799="","",F799-'02_Eingaben'!$C$10)</f>
        <v/>
      </c>
      <c r="H799">
        <f>IF(F799="","",IF(F799&lt;'02_Eingaben'!$C$18*'02_Eingaben'!$C$10,1,0))</f>
        <v/>
      </c>
      <c r="I799" s="27">
        <f>IF(OR(G799="",G800=""),"",(G799+G800)/2*(B800-B799))</f>
        <v/>
      </c>
      <c r="J799" s="27">
        <f>IF(B799="","",IF(B798&lt;'02_Eingaben'!$C$36,0,J798+I798/'02_Eingaben'!$C$8))</f>
        <v/>
      </c>
    </row>
    <row r="800">
      <c r="A800">
        <f>IF('01_Rohdaten'!A800="","",ROW()-1)</f>
        <v/>
      </c>
      <c r="B800" s="27">
        <f>IF('01_Rohdaten'!A800="","",'01_Rohdaten'!A800)</f>
        <v/>
      </c>
      <c r="C800" s="27">
        <f>IF(B800="","",INDEX('01_Rohdaten'!B800:D800,'02_Eingaben'!$C$13))</f>
        <v/>
      </c>
      <c r="D800" s="27">
        <f>IF(C800="","",C800*'02_Eingaben'!$C$15)</f>
        <v/>
      </c>
      <c r="E800" s="27">
        <f>IF(D800="","",D800*'02_Eingaben'!$C$8)</f>
        <v/>
      </c>
      <c r="F800" s="27">
        <f>IF(E800="","",AVERAGE(INDEX($E$2:$E$3001,MAX(1,ROW()-1-'02_Eingaben'!$C$17)):INDEX($E$2:$E$3001,MIN('02_Eingaben'!$C$21,ROW()-1+'02_Eingaben'!$C$17))))</f>
        <v/>
      </c>
      <c r="G800" s="27">
        <f>IF(F800="","",F800-'02_Eingaben'!$C$10)</f>
        <v/>
      </c>
      <c r="H800">
        <f>IF(F800="","",IF(F800&lt;'02_Eingaben'!$C$18*'02_Eingaben'!$C$10,1,0))</f>
        <v/>
      </c>
      <c r="I800" s="27">
        <f>IF(OR(G800="",G801=""),"",(G800+G801)/2*(B801-B800))</f>
        <v/>
      </c>
      <c r="J800" s="27">
        <f>IF(B800="","",IF(B799&lt;'02_Eingaben'!$C$36,0,J799+I799/'02_Eingaben'!$C$8))</f>
        <v/>
      </c>
    </row>
    <row r="801">
      <c r="A801">
        <f>IF('01_Rohdaten'!A801="","",ROW()-1)</f>
        <v/>
      </c>
      <c r="B801" s="27">
        <f>IF('01_Rohdaten'!A801="","",'01_Rohdaten'!A801)</f>
        <v/>
      </c>
      <c r="C801" s="27">
        <f>IF(B801="","",INDEX('01_Rohdaten'!B801:D801,'02_Eingaben'!$C$13))</f>
        <v/>
      </c>
      <c r="D801" s="27">
        <f>IF(C801="","",C801*'02_Eingaben'!$C$15)</f>
        <v/>
      </c>
      <c r="E801" s="27">
        <f>IF(D801="","",D801*'02_Eingaben'!$C$8)</f>
        <v/>
      </c>
      <c r="F801" s="27">
        <f>IF(E801="","",AVERAGE(INDEX($E$2:$E$3001,MAX(1,ROW()-1-'02_Eingaben'!$C$17)):INDEX($E$2:$E$3001,MIN('02_Eingaben'!$C$21,ROW()-1+'02_Eingaben'!$C$17))))</f>
        <v/>
      </c>
      <c r="G801" s="27">
        <f>IF(F801="","",F801-'02_Eingaben'!$C$10)</f>
        <v/>
      </c>
      <c r="H801">
        <f>IF(F801="","",IF(F801&lt;'02_Eingaben'!$C$18*'02_Eingaben'!$C$10,1,0))</f>
        <v/>
      </c>
      <c r="I801" s="27">
        <f>IF(OR(G801="",G802=""),"",(G801+G802)/2*(B802-B801))</f>
        <v/>
      </c>
      <c r="J801" s="27">
        <f>IF(B801="","",IF(B800&lt;'02_Eingaben'!$C$36,0,J800+I800/'02_Eingaben'!$C$8))</f>
        <v/>
      </c>
    </row>
    <row r="802">
      <c r="A802">
        <f>IF('01_Rohdaten'!A802="","",ROW()-1)</f>
        <v/>
      </c>
      <c r="B802" s="27">
        <f>IF('01_Rohdaten'!A802="","",'01_Rohdaten'!A802)</f>
        <v/>
      </c>
      <c r="C802" s="27">
        <f>IF(B802="","",INDEX('01_Rohdaten'!B802:D802,'02_Eingaben'!$C$13))</f>
        <v/>
      </c>
      <c r="D802" s="27">
        <f>IF(C802="","",C802*'02_Eingaben'!$C$15)</f>
        <v/>
      </c>
      <c r="E802" s="27">
        <f>IF(D802="","",D802*'02_Eingaben'!$C$8)</f>
        <v/>
      </c>
      <c r="F802" s="27">
        <f>IF(E802="","",AVERAGE(INDEX($E$2:$E$3001,MAX(1,ROW()-1-'02_Eingaben'!$C$17)):INDEX($E$2:$E$3001,MIN('02_Eingaben'!$C$21,ROW()-1+'02_Eingaben'!$C$17))))</f>
        <v/>
      </c>
      <c r="G802" s="27">
        <f>IF(F802="","",F802-'02_Eingaben'!$C$10)</f>
        <v/>
      </c>
      <c r="H802">
        <f>IF(F802="","",IF(F802&lt;'02_Eingaben'!$C$18*'02_Eingaben'!$C$10,1,0))</f>
        <v/>
      </c>
      <c r="I802" s="27">
        <f>IF(OR(G802="",G803=""),"",(G802+G803)/2*(B803-B802))</f>
        <v/>
      </c>
      <c r="J802" s="27">
        <f>IF(B802="","",IF(B801&lt;'02_Eingaben'!$C$36,0,J801+I801/'02_Eingaben'!$C$8))</f>
        <v/>
      </c>
    </row>
    <row r="803">
      <c r="A803">
        <f>IF('01_Rohdaten'!A803="","",ROW()-1)</f>
        <v/>
      </c>
      <c r="B803" s="27">
        <f>IF('01_Rohdaten'!A803="","",'01_Rohdaten'!A803)</f>
        <v/>
      </c>
      <c r="C803" s="27">
        <f>IF(B803="","",INDEX('01_Rohdaten'!B803:D803,'02_Eingaben'!$C$13))</f>
        <v/>
      </c>
      <c r="D803" s="27">
        <f>IF(C803="","",C803*'02_Eingaben'!$C$15)</f>
        <v/>
      </c>
      <c r="E803" s="27">
        <f>IF(D803="","",D803*'02_Eingaben'!$C$8)</f>
        <v/>
      </c>
      <c r="F803" s="27">
        <f>IF(E803="","",AVERAGE(INDEX($E$2:$E$3001,MAX(1,ROW()-1-'02_Eingaben'!$C$17)):INDEX($E$2:$E$3001,MIN('02_Eingaben'!$C$21,ROW()-1+'02_Eingaben'!$C$17))))</f>
        <v/>
      </c>
      <c r="G803" s="27">
        <f>IF(F803="","",F803-'02_Eingaben'!$C$10)</f>
        <v/>
      </c>
      <c r="H803">
        <f>IF(F803="","",IF(F803&lt;'02_Eingaben'!$C$18*'02_Eingaben'!$C$10,1,0))</f>
        <v/>
      </c>
      <c r="I803" s="27">
        <f>IF(OR(G803="",G804=""),"",(G803+G804)/2*(B804-B803))</f>
        <v/>
      </c>
      <c r="J803" s="27">
        <f>IF(B803="","",IF(B802&lt;'02_Eingaben'!$C$36,0,J802+I802/'02_Eingaben'!$C$8))</f>
        <v/>
      </c>
    </row>
    <row r="804">
      <c r="A804">
        <f>IF('01_Rohdaten'!A804="","",ROW()-1)</f>
        <v/>
      </c>
      <c r="B804" s="27">
        <f>IF('01_Rohdaten'!A804="","",'01_Rohdaten'!A804)</f>
        <v/>
      </c>
      <c r="C804" s="27">
        <f>IF(B804="","",INDEX('01_Rohdaten'!B804:D804,'02_Eingaben'!$C$13))</f>
        <v/>
      </c>
      <c r="D804" s="27">
        <f>IF(C804="","",C804*'02_Eingaben'!$C$15)</f>
        <v/>
      </c>
      <c r="E804" s="27">
        <f>IF(D804="","",D804*'02_Eingaben'!$C$8)</f>
        <v/>
      </c>
      <c r="F804" s="27">
        <f>IF(E804="","",AVERAGE(INDEX($E$2:$E$3001,MAX(1,ROW()-1-'02_Eingaben'!$C$17)):INDEX($E$2:$E$3001,MIN('02_Eingaben'!$C$21,ROW()-1+'02_Eingaben'!$C$17))))</f>
        <v/>
      </c>
      <c r="G804" s="27">
        <f>IF(F804="","",F804-'02_Eingaben'!$C$10)</f>
        <v/>
      </c>
      <c r="H804">
        <f>IF(F804="","",IF(F804&lt;'02_Eingaben'!$C$18*'02_Eingaben'!$C$10,1,0))</f>
        <v/>
      </c>
      <c r="I804" s="27">
        <f>IF(OR(G804="",G805=""),"",(G804+G805)/2*(B805-B804))</f>
        <v/>
      </c>
      <c r="J804" s="27">
        <f>IF(B804="","",IF(B803&lt;'02_Eingaben'!$C$36,0,J803+I803/'02_Eingaben'!$C$8))</f>
        <v/>
      </c>
    </row>
    <row r="805">
      <c r="A805">
        <f>IF('01_Rohdaten'!A805="","",ROW()-1)</f>
        <v/>
      </c>
      <c r="B805" s="27">
        <f>IF('01_Rohdaten'!A805="","",'01_Rohdaten'!A805)</f>
        <v/>
      </c>
      <c r="C805" s="27">
        <f>IF(B805="","",INDEX('01_Rohdaten'!B805:D805,'02_Eingaben'!$C$13))</f>
        <v/>
      </c>
      <c r="D805" s="27">
        <f>IF(C805="","",C805*'02_Eingaben'!$C$15)</f>
        <v/>
      </c>
      <c r="E805" s="27">
        <f>IF(D805="","",D805*'02_Eingaben'!$C$8)</f>
        <v/>
      </c>
      <c r="F805" s="27">
        <f>IF(E805="","",AVERAGE(INDEX($E$2:$E$3001,MAX(1,ROW()-1-'02_Eingaben'!$C$17)):INDEX($E$2:$E$3001,MIN('02_Eingaben'!$C$21,ROW()-1+'02_Eingaben'!$C$17))))</f>
        <v/>
      </c>
      <c r="G805" s="27">
        <f>IF(F805="","",F805-'02_Eingaben'!$C$10)</f>
        <v/>
      </c>
      <c r="H805">
        <f>IF(F805="","",IF(F805&lt;'02_Eingaben'!$C$18*'02_Eingaben'!$C$10,1,0))</f>
        <v/>
      </c>
      <c r="I805" s="27">
        <f>IF(OR(G805="",G806=""),"",(G805+G806)/2*(B806-B805))</f>
        <v/>
      </c>
      <c r="J805" s="27">
        <f>IF(B805="","",IF(B804&lt;'02_Eingaben'!$C$36,0,J804+I804/'02_Eingaben'!$C$8))</f>
        <v/>
      </c>
    </row>
    <row r="806">
      <c r="A806">
        <f>IF('01_Rohdaten'!A806="","",ROW()-1)</f>
        <v/>
      </c>
      <c r="B806" s="27">
        <f>IF('01_Rohdaten'!A806="","",'01_Rohdaten'!A806)</f>
        <v/>
      </c>
      <c r="C806" s="27">
        <f>IF(B806="","",INDEX('01_Rohdaten'!B806:D806,'02_Eingaben'!$C$13))</f>
        <v/>
      </c>
      <c r="D806" s="27">
        <f>IF(C806="","",C806*'02_Eingaben'!$C$15)</f>
        <v/>
      </c>
      <c r="E806" s="27">
        <f>IF(D806="","",D806*'02_Eingaben'!$C$8)</f>
        <v/>
      </c>
      <c r="F806" s="27">
        <f>IF(E806="","",AVERAGE(INDEX($E$2:$E$3001,MAX(1,ROW()-1-'02_Eingaben'!$C$17)):INDEX($E$2:$E$3001,MIN('02_Eingaben'!$C$21,ROW()-1+'02_Eingaben'!$C$17))))</f>
        <v/>
      </c>
      <c r="G806" s="27">
        <f>IF(F806="","",F806-'02_Eingaben'!$C$10)</f>
        <v/>
      </c>
      <c r="H806">
        <f>IF(F806="","",IF(F806&lt;'02_Eingaben'!$C$18*'02_Eingaben'!$C$10,1,0))</f>
        <v/>
      </c>
      <c r="I806" s="27">
        <f>IF(OR(G806="",G807=""),"",(G806+G807)/2*(B807-B806))</f>
        <v/>
      </c>
      <c r="J806" s="27">
        <f>IF(B806="","",IF(B805&lt;'02_Eingaben'!$C$36,0,J805+I805/'02_Eingaben'!$C$8))</f>
        <v/>
      </c>
    </row>
    <row r="807">
      <c r="A807">
        <f>IF('01_Rohdaten'!A807="","",ROW()-1)</f>
        <v/>
      </c>
      <c r="B807" s="27">
        <f>IF('01_Rohdaten'!A807="","",'01_Rohdaten'!A807)</f>
        <v/>
      </c>
      <c r="C807" s="27">
        <f>IF(B807="","",INDEX('01_Rohdaten'!B807:D807,'02_Eingaben'!$C$13))</f>
        <v/>
      </c>
      <c r="D807" s="27">
        <f>IF(C807="","",C807*'02_Eingaben'!$C$15)</f>
        <v/>
      </c>
      <c r="E807" s="27">
        <f>IF(D807="","",D807*'02_Eingaben'!$C$8)</f>
        <v/>
      </c>
      <c r="F807" s="27">
        <f>IF(E807="","",AVERAGE(INDEX($E$2:$E$3001,MAX(1,ROW()-1-'02_Eingaben'!$C$17)):INDEX($E$2:$E$3001,MIN('02_Eingaben'!$C$21,ROW()-1+'02_Eingaben'!$C$17))))</f>
        <v/>
      </c>
      <c r="G807" s="27">
        <f>IF(F807="","",F807-'02_Eingaben'!$C$10)</f>
        <v/>
      </c>
      <c r="H807">
        <f>IF(F807="","",IF(F807&lt;'02_Eingaben'!$C$18*'02_Eingaben'!$C$10,1,0))</f>
        <v/>
      </c>
      <c r="I807" s="27">
        <f>IF(OR(G807="",G808=""),"",(G807+G808)/2*(B808-B807))</f>
        <v/>
      </c>
      <c r="J807" s="27">
        <f>IF(B807="","",IF(B806&lt;'02_Eingaben'!$C$36,0,J806+I806/'02_Eingaben'!$C$8))</f>
        <v/>
      </c>
    </row>
    <row r="808">
      <c r="A808">
        <f>IF('01_Rohdaten'!A808="","",ROW()-1)</f>
        <v/>
      </c>
      <c r="B808" s="27">
        <f>IF('01_Rohdaten'!A808="","",'01_Rohdaten'!A808)</f>
        <v/>
      </c>
      <c r="C808" s="27">
        <f>IF(B808="","",INDEX('01_Rohdaten'!B808:D808,'02_Eingaben'!$C$13))</f>
        <v/>
      </c>
      <c r="D808" s="27">
        <f>IF(C808="","",C808*'02_Eingaben'!$C$15)</f>
        <v/>
      </c>
      <c r="E808" s="27">
        <f>IF(D808="","",D808*'02_Eingaben'!$C$8)</f>
        <v/>
      </c>
      <c r="F808" s="27">
        <f>IF(E808="","",AVERAGE(INDEX($E$2:$E$3001,MAX(1,ROW()-1-'02_Eingaben'!$C$17)):INDEX($E$2:$E$3001,MIN('02_Eingaben'!$C$21,ROW()-1+'02_Eingaben'!$C$17))))</f>
        <v/>
      </c>
      <c r="G808" s="27">
        <f>IF(F808="","",F808-'02_Eingaben'!$C$10)</f>
        <v/>
      </c>
      <c r="H808">
        <f>IF(F808="","",IF(F808&lt;'02_Eingaben'!$C$18*'02_Eingaben'!$C$10,1,0))</f>
        <v/>
      </c>
      <c r="I808" s="27">
        <f>IF(OR(G808="",G809=""),"",(G808+G809)/2*(B809-B808))</f>
        <v/>
      </c>
      <c r="J808" s="27">
        <f>IF(B808="","",IF(B807&lt;'02_Eingaben'!$C$36,0,J807+I807/'02_Eingaben'!$C$8))</f>
        <v/>
      </c>
    </row>
    <row r="809">
      <c r="A809">
        <f>IF('01_Rohdaten'!A809="","",ROW()-1)</f>
        <v/>
      </c>
      <c r="B809" s="27">
        <f>IF('01_Rohdaten'!A809="","",'01_Rohdaten'!A809)</f>
        <v/>
      </c>
      <c r="C809" s="27">
        <f>IF(B809="","",INDEX('01_Rohdaten'!B809:D809,'02_Eingaben'!$C$13))</f>
        <v/>
      </c>
      <c r="D809" s="27">
        <f>IF(C809="","",C809*'02_Eingaben'!$C$15)</f>
        <v/>
      </c>
      <c r="E809" s="27">
        <f>IF(D809="","",D809*'02_Eingaben'!$C$8)</f>
        <v/>
      </c>
      <c r="F809" s="27">
        <f>IF(E809="","",AVERAGE(INDEX($E$2:$E$3001,MAX(1,ROW()-1-'02_Eingaben'!$C$17)):INDEX($E$2:$E$3001,MIN('02_Eingaben'!$C$21,ROW()-1+'02_Eingaben'!$C$17))))</f>
        <v/>
      </c>
      <c r="G809" s="27">
        <f>IF(F809="","",F809-'02_Eingaben'!$C$10)</f>
        <v/>
      </c>
      <c r="H809">
        <f>IF(F809="","",IF(F809&lt;'02_Eingaben'!$C$18*'02_Eingaben'!$C$10,1,0))</f>
        <v/>
      </c>
      <c r="I809" s="27">
        <f>IF(OR(G809="",G810=""),"",(G809+G810)/2*(B810-B809))</f>
        <v/>
      </c>
      <c r="J809" s="27">
        <f>IF(B809="","",IF(B808&lt;'02_Eingaben'!$C$36,0,J808+I808/'02_Eingaben'!$C$8))</f>
        <v/>
      </c>
    </row>
    <row r="810">
      <c r="A810">
        <f>IF('01_Rohdaten'!A810="","",ROW()-1)</f>
        <v/>
      </c>
      <c r="B810" s="27">
        <f>IF('01_Rohdaten'!A810="","",'01_Rohdaten'!A810)</f>
        <v/>
      </c>
      <c r="C810" s="27">
        <f>IF(B810="","",INDEX('01_Rohdaten'!B810:D810,'02_Eingaben'!$C$13))</f>
        <v/>
      </c>
      <c r="D810" s="27">
        <f>IF(C810="","",C810*'02_Eingaben'!$C$15)</f>
        <v/>
      </c>
      <c r="E810" s="27">
        <f>IF(D810="","",D810*'02_Eingaben'!$C$8)</f>
        <v/>
      </c>
      <c r="F810" s="27">
        <f>IF(E810="","",AVERAGE(INDEX($E$2:$E$3001,MAX(1,ROW()-1-'02_Eingaben'!$C$17)):INDEX($E$2:$E$3001,MIN('02_Eingaben'!$C$21,ROW()-1+'02_Eingaben'!$C$17))))</f>
        <v/>
      </c>
      <c r="G810" s="27">
        <f>IF(F810="","",F810-'02_Eingaben'!$C$10)</f>
        <v/>
      </c>
      <c r="H810">
        <f>IF(F810="","",IF(F810&lt;'02_Eingaben'!$C$18*'02_Eingaben'!$C$10,1,0))</f>
        <v/>
      </c>
      <c r="I810" s="27">
        <f>IF(OR(G810="",G811=""),"",(G810+G811)/2*(B811-B810))</f>
        <v/>
      </c>
      <c r="J810" s="27">
        <f>IF(B810="","",IF(B809&lt;'02_Eingaben'!$C$36,0,J809+I809/'02_Eingaben'!$C$8))</f>
        <v/>
      </c>
    </row>
    <row r="811">
      <c r="A811">
        <f>IF('01_Rohdaten'!A811="","",ROW()-1)</f>
        <v/>
      </c>
      <c r="B811" s="27">
        <f>IF('01_Rohdaten'!A811="","",'01_Rohdaten'!A811)</f>
        <v/>
      </c>
      <c r="C811" s="27">
        <f>IF(B811="","",INDEX('01_Rohdaten'!B811:D811,'02_Eingaben'!$C$13))</f>
        <v/>
      </c>
      <c r="D811" s="27">
        <f>IF(C811="","",C811*'02_Eingaben'!$C$15)</f>
        <v/>
      </c>
      <c r="E811" s="27">
        <f>IF(D811="","",D811*'02_Eingaben'!$C$8)</f>
        <v/>
      </c>
      <c r="F811" s="27">
        <f>IF(E811="","",AVERAGE(INDEX($E$2:$E$3001,MAX(1,ROW()-1-'02_Eingaben'!$C$17)):INDEX($E$2:$E$3001,MIN('02_Eingaben'!$C$21,ROW()-1+'02_Eingaben'!$C$17))))</f>
        <v/>
      </c>
      <c r="G811" s="27">
        <f>IF(F811="","",F811-'02_Eingaben'!$C$10)</f>
        <v/>
      </c>
      <c r="H811">
        <f>IF(F811="","",IF(F811&lt;'02_Eingaben'!$C$18*'02_Eingaben'!$C$10,1,0))</f>
        <v/>
      </c>
      <c r="I811" s="27">
        <f>IF(OR(G811="",G812=""),"",(G811+G812)/2*(B812-B811))</f>
        <v/>
      </c>
      <c r="J811" s="27">
        <f>IF(B811="","",IF(B810&lt;'02_Eingaben'!$C$36,0,J810+I810/'02_Eingaben'!$C$8))</f>
        <v/>
      </c>
    </row>
    <row r="812">
      <c r="A812">
        <f>IF('01_Rohdaten'!A812="","",ROW()-1)</f>
        <v/>
      </c>
      <c r="B812" s="27">
        <f>IF('01_Rohdaten'!A812="","",'01_Rohdaten'!A812)</f>
        <v/>
      </c>
      <c r="C812" s="27">
        <f>IF(B812="","",INDEX('01_Rohdaten'!B812:D812,'02_Eingaben'!$C$13))</f>
        <v/>
      </c>
      <c r="D812" s="27">
        <f>IF(C812="","",C812*'02_Eingaben'!$C$15)</f>
        <v/>
      </c>
      <c r="E812" s="27">
        <f>IF(D812="","",D812*'02_Eingaben'!$C$8)</f>
        <v/>
      </c>
      <c r="F812" s="27">
        <f>IF(E812="","",AVERAGE(INDEX($E$2:$E$3001,MAX(1,ROW()-1-'02_Eingaben'!$C$17)):INDEX($E$2:$E$3001,MIN('02_Eingaben'!$C$21,ROW()-1+'02_Eingaben'!$C$17))))</f>
        <v/>
      </c>
      <c r="G812" s="27">
        <f>IF(F812="","",F812-'02_Eingaben'!$C$10)</f>
        <v/>
      </c>
      <c r="H812">
        <f>IF(F812="","",IF(F812&lt;'02_Eingaben'!$C$18*'02_Eingaben'!$C$10,1,0))</f>
        <v/>
      </c>
      <c r="I812" s="27">
        <f>IF(OR(G812="",G813=""),"",(G812+G813)/2*(B813-B812))</f>
        <v/>
      </c>
      <c r="J812" s="27">
        <f>IF(B812="","",IF(B811&lt;'02_Eingaben'!$C$36,0,J811+I811/'02_Eingaben'!$C$8))</f>
        <v/>
      </c>
    </row>
    <row r="813">
      <c r="A813">
        <f>IF('01_Rohdaten'!A813="","",ROW()-1)</f>
        <v/>
      </c>
      <c r="B813" s="27">
        <f>IF('01_Rohdaten'!A813="","",'01_Rohdaten'!A813)</f>
        <v/>
      </c>
      <c r="C813" s="27">
        <f>IF(B813="","",INDEX('01_Rohdaten'!B813:D813,'02_Eingaben'!$C$13))</f>
        <v/>
      </c>
      <c r="D813" s="27">
        <f>IF(C813="","",C813*'02_Eingaben'!$C$15)</f>
        <v/>
      </c>
      <c r="E813" s="27">
        <f>IF(D813="","",D813*'02_Eingaben'!$C$8)</f>
        <v/>
      </c>
      <c r="F813" s="27">
        <f>IF(E813="","",AVERAGE(INDEX($E$2:$E$3001,MAX(1,ROW()-1-'02_Eingaben'!$C$17)):INDEX($E$2:$E$3001,MIN('02_Eingaben'!$C$21,ROW()-1+'02_Eingaben'!$C$17))))</f>
        <v/>
      </c>
      <c r="G813" s="27">
        <f>IF(F813="","",F813-'02_Eingaben'!$C$10)</f>
        <v/>
      </c>
      <c r="H813">
        <f>IF(F813="","",IF(F813&lt;'02_Eingaben'!$C$18*'02_Eingaben'!$C$10,1,0))</f>
        <v/>
      </c>
      <c r="I813" s="27">
        <f>IF(OR(G813="",G814=""),"",(G813+G814)/2*(B814-B813))</f>
        <v/>
      </c>
      <c r="J813" s="27">
        <f>IF(B813="","",IF(B812&lt;'02_Eingaben'!$C$36,0,J812+I812/'02_Eingaben'!$C$8))</f>
        <v/>
      </c>
    </row>
    <row r="814">
      <c r="A814">
        <f>IF('01_Rohdaten'!A814="","",ROW()-1)</f>
        <v/>
      </c>
      <c r="B814" s="27">
        <f>IF('01_Rohdaten'!A814="","",'01_Rohdaten'!A814)</f>
        <v/>
      </c>
      <c r="C814" s="27">
        <f>IF(B814="","",INDEX('01_Rohdaten'!B814:D814,'02_Eingaben'!$C$13))</f>
        <v/>
      </c>
      <c r="D814" s="27">
        <f>IF(C814="","",C814*'02_Eingaben'!$C$15)</f>
        <v/>
      </c>
      <c r="E814" s="27">
        <f>IF(D814="","",D814*'02_Eingaben'!$C$8)</f>
        <v/>
      </c>
      <c r="F814" s="27">
        <f>IF(E814="","",AVERAGE(INDEX($E$2:$E$3001,MAX(1,ROW()-1-'02_Eingaben'!$C$17)):INDEX($E$2:$E$3001,MIN('02_Eingaben'!$C$21,ROW()-1+'02_Eingaben'!$C$17))))</f>
        <v/>
      </c>
      <c r="G814" s="27">
        <f>IF(F814="","",F814-'02_Eingaben'!$C$10)</f>
        <v/>
      </c>
      <c r="H814">
        <f>IF(F814="","",IF(F814&lt;'02_Eingaben'!$C$18*'02_Eingaben'!$C$10,1,0))</f>
        <v/>
      </c>
      <c r="I814" s="27">
        <f>IF(OR(G814="",G815=""),"",(G814+G815)/2*(B815-B814))</f>
        <v/>
      </c>
      <c r="J814" s="27">
        <f>IF(B814="","",IF(B813&lt;'02_Eingaben'!$C$36,0,J813+I813/'02_Eingaben'!$C$8))</f>
        <v/>
      </c>
    </row>
    <row r="815">
      <c r="A815">
        <f>IF('01_Rohdaten'!A815="","",ROW()-1)</f>
        <v/>
      </c>
      <c r="B815" s="27">
        <f>IF('01_Rohdaten'!A815="","",'01_Rohdaten'!A815)</f>
        <v/>
      </c>
      <c r="C815" s="27">
        <f>IF(B815="","",INDEX('01_Rohdaten'!B815:D815,'02_Eingaben'!$C$13))</f>
        <v/>
      </c>
      <c r="D815" s="27">
        <f>IF(C815="","",C815*'02_Eingaben'!$C$15)</f>
        <v/>
      </c>
      <c r="E815" s="27">
        <f>IF(D815="","",D815*'02_Eingaben'!$C$8)</f>
        <v/>
      </c>
      <c r="F815" s="27">
        <f>IF(E815="","",AVERAGE(INDEX($E$2:$E$3001,MAX(1,ROW()-1-'02_Eingaben'!$C$17)):INDEX($E$2:$E$3001,MIN('02_Eingaben'!$C$21,ROW()-1+'02_Eingaben'!$C$17))))</f>
        <v/>
      </c>
      <c r="G815" s="27">
        <f>IF(F815="","",F815-'02_Eingaben'!$C$10)</f>
        <v/>
      </c>
      <c r="H815">
        <f>IF(F815="","",IF(F815&lt;'02_Eingaben'!$C$18*'02_Eingaben'!$C$10,1,0))</f>
        <v/>
      </c>
      <c r="I815" s="27">
        <f>IF(OR(G815="",G816=""),"",(G815+G816)/2*(B816-B815))</f>
        <v/>
      </c>
      <c r="J815" s="27">
        <f>IF(B815="","",IF(B814&lt;'02_Eingaben'!$C$36,0,J814+I814/'02_Eingaben'!$C$8))</f>
        <v/>
      </c>
    </row>
    <row r="816">
      <c r="A816">
        <f>IF('01_Rohdaten'!A816="","",ROW()-1)</f>
        <v/>
      </c>
      <c r="B816" s="27">
        <f>IF('01_Rohdaten'!A816="","",'01_Rohdaten'!A816)</f>
        <v/>
      </c>
      <c r="C816" s="27">
        <f>IF(B816="","",INDEX('01_Rohdaten'!B816:D816,'02_Eingaben'!$C$13))</f>
        <v/>
      </c>
      <c r="D816" s="27">
        <f>IF(C816="","",C816*'02_Eingaben'!$C$15)</f>
        <v/>
      </c>
      <c r="E816" s="27">
        <f>IF(D816="","",D816*'02_Eingaben'!$C$8)</f>
        <v/>
      </c>
      <c r="F816" s="27">
        <f>IF(E816="","",AVERAGE(INDEX($E$2:$E$3001,MAX(1,ROW()-1-'02_Eingaben'!$C$17)):INDEX($E$2:$E$3001,MIN('02_Eingaben'!$C$21,ROW()-1+'02_Eingaben'!$C$17))))</f>
        <v/>
      </c>
      <c r="G816" s="27">
        <f>IF(F816="","",F816-'02_Eingaben'!$C$10)</f>
        <v/>
      </c>
      <c r="H816">
        <f>IF(F816="","",IF(F816&lt;'02_Eingaben'!$C$18*'02_Eingaben'!$C$10,1,0))</f>
        <v/>
      </c>
      <c r="I816" s="27">
        <f>IF(OR(G816="",G817=""),"",(G816+G817)/2*(B817-B816))</f>
        <v/>
      </c>
      <c r="J816" s="27">
        <f>IF(B816="","",IF(B815&lt;'02_Eingaben'!$C$36,0,J815+I815/'02_Eingaben'!$C$8))</f>
        <v/>
      </c>
    </row>
    <row r="817">
      <c r="A817">
        <f>IF('01_Rohdaten'!A817="","",ROW()-1)</f>
        <v/>
      </c>
      <c r="B817" s="27">
        <f>IF('01_Rohdaten'!A817="","",'01_Rohdaten'!A817)</f>
        <v/>
      </c>
      <c r="C817" s="27">
        <f>IF(B817="","",INDEX('01_Rohdaten'!B817:D817,'02_Eingaben'!$C$13))</f>
        <v/>
      </c>
      <c r="D817" s="27">
        <f>IF(C817="","",C817*'02_Eingaben'!$C$15)</f>
        <v/>
      </c>
      <c r="E817" s="27">
        <f>IF(D817="","",D817*'02_Eingaben'!$C$8)</f>
        <v/>
      </c>
      <c r="F817" s="27">
        <f>IF(E817="","",AVERAGE(INDEX($E$2:$E$3001,MAX(1,ROW()-1-'02_Eingaben'!$C$17)):INDEX($E$2:$E$3001,MIN('02_Eingaben'!$C$21,ROW()-1+'02_Eingaben'!$C$17))))</f>
        <v/>
      </c>
      <c r="G817" s="27">
        <f>IF(F817="","",F817-'02_Eingaben'!$C$10)</f>
        <v/>
      </c>
      <c r="H817">
        <f>IF(F817="","",IF(F817&lt;'02_Eingaben'!$C$18*'02_Eingaben'!$C$10,1,0))</f>
        <v/>
      </c>
      <c r="I817" s="27">
        <f>IF(OR(G817="",G818=""),"",(G817+G818)/2*(B818-B817))</f>
        <v/>
      </c>
      <c r="J817" s="27">
        <f>IF(B817="","",IF(B816&lt;'02_Eingaben'!$C$36,0,J816+I816/'02_Eingaben'!$C$8))</f>
        <v/>
      </c>
    </row>
    <row r="818">
      <c r="A818">
        <f>IF('01_Rohdaten'!A818="","",ROW()-1)</f>
        <v/>
      </c>
      <c r="B818" s="27">
        <f>IF('01_Rohdaten'!A818="","",'01_Rohdaten'!A818)</f>
        <v/>
      </c>
      <c r="C818" s="27">
        <f>IF(B818="","",INDEX('01_Rohdaten'!B818:D818,'02_Eingaben'!$C$13))</f>
        <v/>
      </c>
      <c r="D818" s="27">
        <f>IF(C818="","",C818*'02_Eingaben'!$C$15)</f>
        <v/>
      </c>
      <c r="E818" s="27">
        <f>IF(D818="","",D818*'02_Eingaben'!$C$8)</f>
        <v/>
      </c>
      <c r="F818" s="27">
        <f>IF(E818="","",AVERAGE(INDEX($E$2:$E$3001,MAX(1,ROW()-1-'02_Eingaben'!$C$17)):INDEX($E$2:$E$3001,MIN('02_Eingaben'!$C$21,ROW()-1+'02_Eingaben'!$C$17))))</f>
        <v/>
      </c>
      <c r="G818" s="27">
        <f>IF(F818="","",F818-'02_Eingaben'!$C$10)</f>
        <v/>
      </c>
      <c r="H818">
        <f>IF(F818="","",IF(F818&lt;'02_Eingaben'!$C$18*'02_Eingaben'!$C$10,1,0))</f>
        <v/>
      </c>
      <c r="I818" s="27">
        <f>IF(OR(G818="",G819=""),"",(G818+G819)/2*(B819-B818))</f>
        <v/>
      </c>
      <c r="J818" s="27">
        <f>IF(B818="","",IF(B817&lt;'02_Eingaben'!$C$36,0,J817+I817/'02_Eingaben'!$C$8))</f>
        <v/>
      </c>
    </row>
    <row r="819">
      <c r="A819">
        <f>IF('01_Rohdaten'!A819="","",ROW()-1)</f>
        <v/>
      </c>
      <c r="B819" s="27">
        <f>IF('01_Rohdaten'!A819="","",'01_Rohdaten'!A819)</f>
        <v/>
      </c>
      <c r="C819" s="27">
        <f>IF(B819="","",INDEX('01_Rohdaten'!B819:D819,'02_Eingaben'!$C$13))</f>
        <v/>
      </c>
      <c r="D819" s="27">
        <f>IF(C819="","",C819*'02_Eingaben'!$C$15)</f>
        <v/>
      </c>
      <c r="E819" s="27">
        <f>IF(D819="","",D819*'02_Eingaben'!$C$8)</f>
        <v/>
      </c>
      <c r="F819" s="27">
        <f>IF(E819="","",AVERAGE(INDEX($E$2:$E$3001,MAX(1,ROW()-1-'02_Eingaben'!$C$17)):INDEX($E$2:$E$3001,MIN('02_Eingaben'!$C$21,ROW()-1+'02_Eingaben'!$C$17))))</f>
        <v/>
      </c>
      <c r="G819" s="27">
        <f>IF(F819="","",F819-'02_Eingaben'!$C$10)</f>
        <v/>
      </c>
      <c r="H819">
        <f>IF(F819="","",IF(F819&lt;'02_Eingaben'!$C$18*'02_Eingaben'!$C$10,1,0))</f>
        <v/>
      </c>
      <c r="I819" s="27">
        <f>IF(OR(G819="",G820=""),"",(G819+G820)/2*(B820-B819))</f>
        <v/>
      </c>
      <c r="J819" s="27">
        <f>IF(B819="","",IF(B818&lt;'02_Eingaben'!$C$36,0,J818+I818/'02_Eingaben'!$C$8))</f>
        <v/>
      </c>
    </row>
    <row r="820">
      <c r="A820">
        <f>IF('01_Rohdaten'!A820="","",ROW()-1)</f>
        <v/>
      </c>
      <c r="B820" s="27">
        <f>IF('01_Rohdaten'!A820="","",'01_Rohdaten'!A820)</f>
        <v/>
      </c>
      <c r="C820" s="27">
        <f>IF(B820="","",INDEX('01_Rohdaten'!B820:D820,'02_Eingaben'!$C$13))</f>
        <v/>
      </c>
      <c r="D820" s="27">
        <f>IF(C820="","",C820*'02_Eingaben'!$C$15)</f>
        <v/>
      </c>
      <c r="E820" s="27">
        <f>IF(D820="","",D820*'02_Eingaben'!$C$8)</f>
        <v/>
      </c>
      <c r="F820" s="27">
        <f>IF(E820="","",AVERAGE(INDEX($E$2:$E$3001,MAX(1,ROW()-1-'02_Eingaben'!$C$17)):INDEX($E$2:$E$3001,MIN('02_Eingaben'!$C$21,ROW()-1+'02_Eingaben'!$C$17))))</f>
        <v/>
      </c>
      <c r="G820" s="27">
        <f>IF(F820="","",F820-'02_Eingaben'!$C$10)</f>
        <v/>
      </c>
      <c r="H820">
        <f>IF(F820="","",IF(F820&lt;'02_Eingaben'!$C$18*'02_Eingaben'!$C$10,1,0))</f>
        <v/>
      </c>
      <c r="I820" s="27">
        <f>IF(OR(G820="",G821=""),"",(G820+G821)/2*(B821-B820))</f>
        <v/>
      </c>
      <c r="J820" s="27">
        <f>IF(B820="","",IF(B819&lt;'02_Eingaben'!$C$36,0,J819+I819/'02_Eingaben'!$C$8))</f>
        <v/>
      </c>
    </row>
    <row r="821">
      <c r="A821">
        <f>IF('01_Rohdaten'!A821="","",ROW()-1)</f>
        <v/>
      </c>
      <c r="B821" s="27">
        <f>IF('01_Rohdaten'!A821="","",'01_Rohdaten'!A821)</f>
        <v/>
      </c>
      <c r="C821" s="27">
        <f>IF(B821="","",INDEX('01_Rohdaten'!B821:D821,'02_Eingaben'!$C$13))</f>
        <v/>
      </c>
      <c r="D821" s="27">
        <f>IF(C821="","",C821*'02_Eingaben'!$C$15)</f>
        <v/>
      </c>
      <c r="E821" s="27">
        <f>IF(D821="","",D821*'02_Eingaben'!$C$8)</f>
        <v/>
      </c>
      <c r="F821" s="27">
        <f>IF(E821="","",AVERAGE(INDEX($E$2:$E$3001,MAX(1,ROW()-1-'02_Eingaben'!$C$17)):INDEX($E$2:$E$3001,MIN('02_Eingaben'!$C$21,ROW()-1+'02_Eingaben'!$C$17))))</f>
        <v/>
      </c>
      <c r="G821" s="27">
        <f>IF(F821="","",F821-'02_Eingaben'!$C$10)</f>
        <v/>
      </c>
      <c r="H821">
        <f>IF(F821="","",IF(F821&lt;'02_Eingaben'!$C$18*'02_Eingaben'!$C$10,1,0))</f>
        <v/>
      </c>
      <c r="I821" s="27">
        <f>IF(OR(G821="",G822=""),"",(G821+G822)/2*(B822-B821))</f>
        <v/>
      </c>
      <c r="J821" s="27">
        <f>IF(B821="","",IF(B820&lt;'02_Eingaben'!$C$36,0,J820+I820/'02_Eingaben'!$C$8))</f>
        <v/>
      </c>
    </row>
    <row r="822">
      <c r="A822">
        <f>IF('01_Rohdaten'!A822="","",ROW()-1)</f>
        <v/>
      </c>
      <c r="B822" s="27">
        <f>IF('01_Rohdaten'!A822="","",'01_Rohdaten'!A822)</f>
        <v/>
      </c>
      <c r="C822" s="27">
        <f>IF(B822="","",INDEX('01_Rohdaten'!B822:D822,'02_Eingaben'!$C$13))</f>
        <v/>
      </c>
      <c r="D822" s="27">
        <f>IF(C822="","",C822*'02_Eingaben'!$C$15)</f>
        <v/>
      </c>
      <c r="E822" s="27">
        <f>IF(D822="","",D822*'02_Eingaben'!$C$8)</f>
        <v/>
      </c>
      <c r="F822" s="27">
        <f>IF(E822="","",AVERAGE(INDEX($E$2:$E$3001,MAX(1,ROW()-1-'02_Eingaben'!$C$17)):INDEX($E$2:$E$3001,MIN('02_Eingaben'!$C$21,ROW()-1+'02_Eingaben'!$C$17))))</f>
        <v/>
      </c>
      <c r="G822" s="27">
        <f>IF(F822="","",F822-'02_Eingaben'!$C$10)</f>
        <v/>
      </c>
      <c r="H822">
        <f>IF(F822="","",IF(F822&lt;'02_Eingaben'!$C$18*'02_Eingaben'!$C$10,1,0))</f>
        <v/>
      </c>
      <c r="I822" s="27">
        <f>IF(OR(G822="",G823=""),"",(G822+G823)/2*(B823-B822))</f>
        <v/>
      </c>
      <c r="J822" s="27">
        <f>IF(B822="","",IF(B821&lt;'02_Eingaben'!$C$36,0,J821+I821/'02_Eingaben'!$C$8))</f>
        <v/>
      </c>
    </row>
    <row r="823">
      <c r="A823">
        <f>IF('01_Rohdaten'!A823="","",ROW()-1)</f>
        <v/>
      </c>
      <c r="B823" s="27">
        <f>IF('01_Rohdaten'!A823="","",'01_Rohdaten'!A823)</f>
        <v/>
      </c>
      <c r="C823" s="27">
        <f>IF(B823="","",INDEX('01_Rohdaten'!B823:D823,'02_Eingaben'!$C$13))</f>
        <v/>
      </c>
      <c r="D823" s="27">
        <f>IF(C823="","",C823*'02_Eingaben'!$C$15)</f>
        <v/>
      </c>
      <c r="E823" s="27">
        <f>IF(D823="","",D823*'02_Eingaben'!$C$8)</f>
        <v/>
      </c>
      <c r="F823" s="27">
        <f>IF(E823="","",AVERAGE(INDEX($E$2:$E$3001,MAX(1,ROW()-1-'02_Eingaben'!$C$17)):INDEX($E$2:$E$3001,MIN('02_Eingaben'!$C$21,ROW()-1+'02_Eingaben'!$C$17))))</f>
        <v/>
      </c>
      <c r="G823" s="27">
        <f>IF(F823="","",F823-'02_Eingaben'!$C$10)</f>
        <v/>
      </c>
      <c r="H823">
        <f>IF(F823="","",IF(F823&lt;'02_Eingaben'!$C$18*'02_Eingaben'!$C$10,1,0))</f>
        <v/>
      </c>
      <c r="I823" s="27">
        <f>IF(OR(G823="",G824=""),"",(G823+G824)/2*(B824-B823))</f>
        <v/>
      </c>
      <c r="J823" s="27">
        <f>IF(B823="","",IF(B822&lt;'02_Eingaben'!$C$36,0,J822+I822/'02_Eingaben'!$C$8))</f>
        <v/>
      </c>
    </row>
    <row r="824">
      <c r="A824">
        <f>IF('01_Rohdaten'!A824="","",ROW()-1)</f>
        <v/>
      </c>
      <c r="B824" s="27">
        <f>IF('01_Rohdaten'!A824="","",'01_Rohdaten'!A824)</f>
        <v/>
      </c>
      <c r="C824" s="27">
        <f>IF(B824="","",INDEX('01_Rohdaten'!B824:D824,'02_Eingaben'!$C$13))</f>
        <v/>
      </c>
      <c r="D824" s="27">
        <f>IF(C824="","",C824*'02_Eingaben'!$C$15)</f>
        <v/>
      </c>
      <c r="E824" s="27">
        <f>IF(D824="","",D824*'02_Eingaben'!$C$8)</f>
        <v/>
      </c>
      <c r="F824" s="27">
        <f>IF(E824="","",AVERAGE(INDEX($E$2:$E$3001,MAX(1,ROW()-1-'02_Eingaben'!$C$17)):INDEX($E$2:$E$3001,MIN('02_Eingaben'!$C$21,ROW()-1+'02_Eingaben'!$C$17))))</f>
        <v/>
      </c>
      <c r="G824" s="27">
        <f>IF(F824="","",F824-'02_Eingaben'!$C$10)</f>
        <v/>
      </c>
      <c r="H824">
        <f>IF(F824="","",IF(F824&lt;'02_Eingaben'!$C$18*'02_Eingaben'!$C$10,1,0))</f>
        <v/>
      </c>
      <c r="I824" s="27">
        <f>IF(OR(G824="",G825=""),"",(G824+G825)/2*(B825-B824))</f>
        <v/>
      </c>
      <c r="J824" s="27">
        <f>IF(B824="","",IF(B823&lt;'02_Eingaben'!$C$36,0,J823+I823/'02_Eingaben'!$C$8))</f>
        <v/>
      </c>
    </row>
    <row r="825">
      <c r="A825">
        <f>IF('01_Rohdaten'!A825="","",ROW()-1)</f>
        <v/>
      </c>
      <c r="B825" s="27">
        <f>IF('01_Rohdaten'!A825="","",'01_Rohdaten'!A825)</f>
        <v/>
      </c>
      <c r="C825" s="27">
        <f>IF(B825="","",INDEX('01_Rohdaten'!B825:D825,'02_Eingaben'!$C$13))</f>
        <v/>
      </c>
      <c r="D825" s="27">
        <f>IF(C825="","",C825*'02_Eingaben'!$C$15)</f>
        <v/>
      </c>
      <c r="E825" s="27">
        <f>IF(D825="","",D825*'02_Eingaben'!$C$8)</f>
        <v/>
      </c>
      <c r="F825" s="27">
        <f>IF(E825="","",AVERAGE(INDEX($E$2:$E$3001,MAX(1,ROW()-1-'02_Eingaben'!$C$17)):INDEX($E$2:$E$3001,MIN('02_Eingaben'!$C$21,ROW()-1+'02_Eingaben'!$C$17))))</f>
        <v/>
      </c>
      <c r="G825" s="27">
        <f>IF(F825="","",F825-'02_Eingaben'!$C$10)</f>
        <v/>
      </c>
      <c r="H825">
        <f>IF(F825="","",IF(F825&lt;'02_Eingaben'!$C$18*'02_Eingaben'!$C$10,1,0))</f>
        <v/>
      </c>
      <c r="I825" s="27">
        <f>IF(OR(G825="",G826=""),"",(G825+G826)/2*(B826-B825))</f>
        <v/>
      </c>
      <c r="J825" s="27">
        <f>IF(B825="","",IF(B824&lt;'02_Eingaben'!$C$36,0,J824+I824/'02_Eingaben'!$C$8))</f>
        <v/>
      </c>
    </row>
    <row r="826">
      <c r="A826">
        <f>IF('01_Rohdaten'!A826="","",ROW()-1)</f>
        <v/>
      </c>
      <c r="B826" s="27">
        <f>IF('01_Rohdaten'!A826="","",'01_Rohdaten'!A826)</f>
        <v/>
      </c>
      <c r="C826" s="27">
        <f>IF(B826="","",INDEX('01_Rohdaten'!B826:D826,'02_Eingaben'!$C$13))</f>
        <v/>
      </c>
      <c r="D826" s="27">
        <f>IF(C826="","",C826*'02_Eingaben'!$C$15)</f>
        <v/>
      </c>
      <c r="E826" s="27">
        <f>IF(D826="","",D826*'02_Eingaben'!$C$8)</f>
        <v/>
      </c>
      <c r="F826" s="27">
        <f>IF(E826="","",AVERAGE(INDEX($E$2:$E$3001,MAX(1,ROW()-1-'02_Eingaben'!$C$17)):INDEX($E$2:$E$3001,MIN('02_Eingaben'!$C$21,ROW()-1+'02_Eingaben'!$C$17))))</f>
        <v/>
      </c>
      <c r="G826" s="27">
        <f>IF(F826="","",F826-'02_Eingaben'!$C$10)</f>
        <v/>
      </c>
      <c r="H826">
        <f>IF(F826="","",IF(F826&lt;'02_Eingaben'!$C$18*'02_Eingaben'!$C$10,1,0))</f>
        <v/>
      </c>
      <c r="I826" s="27">
        <f>IF(OR(G826="",G827=""),"",(G826+G827)/2*(B827-B826))</f>
        <v/>
      </c>
      <c r="J826" s="27">
        <f>IF(B826="","",IF(B825&lt;'02_Eingaben'!$C$36,0,J825+I825/'02_Eingaben'!$C$8))</f>
        <v/>
      </c>
    </row>
    <row r="827">
      <c r="A827">
        <f>IF('01_Rohdaten'!A827="","",ROW()-1)</f>
        <v/>
      </c>
      <c r="B827" s="27">
        <f>IF('01_Rohdaten'!A827="","",'01_Rohdaten'!A827)</f>
        <v/>
      </c>
      <c r="C827" s="27">
        <f>IF(B827="","",INDEX('01_Rohdaten'!B827:D827,'02_Eingaben'!$C$13))</f>
        <v/>
      </c>
      <c r="D827" s="27">
        <f>IF(C827="","",C827*'02_Eingaben'!$C$15)</f>
        <v/>
      </c>
      <c r="E827" s="27">
        <f>IF(D827="","",D827*'02_Eingaben'!$C$8)</f>
        <v/>
      </c>
      <c r="F827" s="27">
        <f>IF(E827="","",AVERAGE(INDEX($E$2:$E$3001,MAX(1,ROW()-1-'02_Eingaben'!$C$17)):INDEX($E$2:$E$3001,MIN('02_Eingaben'!$C$21,ROW()-1+'02_Eingaben'!$C$17))))</f>
        <v/>
      </c>
      <c r="G827" s="27">
        <f>IF(F827="","",F827-'02_Eingaben'!$C$10)</f>
        <v/>
      </c>
      <c r="H827">
        <f>IF(F827="","",IF(F827&lt;'02_Eingaben'!$C$18*'02_Eingaben'!$C$10,1,0))</f>
        <v/>
      </c>
      <c r="I827" s="27">
        <f>IF(OR(G827="",G828=""),"",(G827+G828)/2*(B828-B827))</f>
        <v/>
      </c>
      <c r="J827" s="27">
        <f>IF(B827="","",IF(B826&lt;'02_Eingaben'!$C$36,0,J826+I826/'02_Eingaben'!$C$8))</f>
        <v/>
      </c>
    </row>
    <row r="828">
      <c r="A828">
        <f>IF('01_Rohdaten'!A828="","",ROW()-1)</f>
        <v/>
      </c>
      <c r="B828" s="27">
        <f>IF('01_Rohdaten'!A828="","",'01_Rohdaten'!A828)</f>
        <v/>
      </c>
      <c r="C828" s="27">
        <f>IF(B828="","",INDEX('01_Rohdaten'!B828:D828,'02_Eingaben'!$C$13))</f>
        <v/>
      </c>
      <c r="D828" s="27">
        <f>IF(C828="","",C828*'02_Eingaben'!$C$15)</f>
        <v/>
      </c>
      <c r="E828" s="27">
        <f>IF(D828="","",D828*'02_Eingaben'!$C$8)</f>
        <v/>
      </c>
      <c r="F828" s="27">
        <f>IF(E828="","",AVERAGE(INDEX($E$2:$E$3001,MAX(1,ROW()-1-'02_Eingaben'!$C$17)):INDEX($E$2:$E$3001,MIN('02_Eingaben'!$C$21,ROW()-1+'02_Eingaben'!$C$17))))</f>
        <v/>
      </c>
      <c r="G828" s="27">
        <f>IF(F828="","",F828-'02_Eingaben'!$C$10)</f>
        <v/>
      </c>
      <c r="H828">
        <f>IF(F828="","",IF(F828&lt;'02_Eingaben'!$C$18*'02_Eingaben'!$C$10,1,0))</f>
        <v/>
      </c>
      <c r="I828" s="27">
        <f>IF(OR(G828="",G829=""),"",(G828+G829)/2*(B829-B828))</f>
        <v/>
      </c>
      <c r="J828" s="27">
        <f>IF(B828="","",IF(B827&lt;'02_Eingaben'!$C$36,0,J827+I827/'02_Eingaben'!$C$8))</f>
        <v/>
      </c>
    </row>
    <row r="829">
      <c r="A829">
        <f>IF('01_Rohdaten'!A829="","",ROW()-1)</f>
        <v/>
      </c>
      <c r="B829" s="27">
        <f>IF('01_Rohdaten'!A829="","",'01_Rohdaten'!A829)</f>
        <v/>
      </c>
      <c r="C829" s="27">
        <f>IF(B829="","",INDEX('01_Rohdaten'!B829:D829,'02_Eingaben'!$C$13))</f>
        <v/>
      </c>
      <c r="D829" s="27">
        <f>IF(C829="","",C829*'02_Eingaben'!$C$15)</f>
        <v/>
      </c>
      <c r="E829" s="27">
        <f>IF(D829="","",D829*'02_Eingaben'!$C$8)</f>
        <v/>
      </c>
      <c r="F829" s="27">
        <f>IF(E829="","",AVERAGE(INDEX($E$2:$E$3001,MAX(1,ROW()-1-'02_Eingaben'!$C$17)):INDEX($E$2:$E$3001,MIN('02_Eingaben'!$C$21,ROW()-1+'02_Eingaben'!$C$17))))</f>
        <v/>
      </c>
      <c r="G829" s="27">
        <f>IF(F829="","",F829-'02_Eingaben'!$C$10)</f>
        <v/>
      </c>
      <c r="H829">
        <f>IF(F829="","",IF(F829&lt;'02_Eingaben'!$C$18*'02_Eingaben'!$C$10,1,0))</f>
        <v/>
      </c>
      <c r="I829" s="27">
        <f>IF(OR(G829="",G830=""),"",(G829+G830)/2*(B830-B829))</f>
        <v/>
      </c>
      <c r="J829" s="27">
        <f>IF(B829="","",IF(B828&lt;'02_Eingaben'!$C$36,0,J828+I828/'02_Eingaben'!$C$8))</f>
        <v/>
      </c>
    </row>
    <row r="830">
      <c r="A830">
        <f>IF('01_Rohdaten'!A830="","",ROW()-1)</f>
        <v/>
      </c>
      <c r="B830" s="27">
        <f>IF('01_Rohdaten'!A830="","",'01_Rohdaten'!A830)</f>
        <v/>
      </c>
      <c r="C830" s="27">
        <f>IF(B830="","",INDEX('01_Rohdaten'!B830:D830,'02_Eingaben'!$C$13))</f>
        <v/>
      </c>
      <c r="D830" s="27">
        <f>IF(C830="","",C830*'02_Eingaben'!$C$15)</f>
        <v/>
      </c>
      <c r="E830" s="27">
        <f>IF(D830="","",D830*'02_Eingaben'!$C$8)</f>
        <v/>
      </c>
      <c r="F830" s="27">
        <f>IF(E830="","",AVERAGE(INDEX($E$2:$E$3001,MAX(1,ROW()-1-'02_Eingaben'!$C$17)):INDEX($E$2:$E$3001,MIN('02_Eingaben'!$C$21,ROW()-1+'02_Eingaben'!$C$17))))</f>
        <v/>
      </c>
      <c r="G830" s="27">
        <f>IF(F830="","",F830-'02_Eingaben'!$C$10)</f>
        <v/>
      </c>
      <c r="H830">
        <f>IF(F830="","",IF(F830&lt;'02_Eingaben'!$C$18*'02_Eingaben'!$C$10,1,0))</f>
        <v/>
      </c>
      <c r="I830" s="27">
        <f>IF(OR(G830="",G831=""),"",(G830+G831)/2*(B831-B830))</f>
        <v/>
      </c>
      <c r="J830" s="27">
        <f>IF(B830="","",IF(B829&lt;'02_Eingaben'!$C$36,0,J829+I829/'02_Eingaben'!$C$8))</f>
        <v/>
      </c>
    </row>
    <row r="831">
      <c r="A831">
        <f>IF('01_Rohdaten'!A831="","",ROW()-1)</f>
        <v/>
      </c>
      <c r="B831" s="27">
        <f>IF('01_Rohdaten'!A831="","",'01_Rohdaten'!A831)</f>
        <v/>
      </c>
      <c r="C831" s="27">
        <f>IF(B831="","",INDEX('01_Rohdaten'!B831:D831,'02_Eingaben'!$C$13))</f>
        <v/>
      </c>
      <c r="D831" s="27">
        <f>IF(C831="","",C831*'02_Eingaben'!$C$15)</f>
        <v/>
      </c>
      <c r="E831" s="27">
        <f>IF(D831="","",D831*'02_Eingaben'!$C$8)</f>
        <v/>
      </c>
      <c r="F831" s="27">
        <f>IF(E831="","",AVERAGE(INDEX($E$2:$E$3001,MAX(1,ROW()-1-'02_Eingaben'!$C$17)):INDEX($E$2:$E$3001,MIN('02_Eingaben'!$C$21,ROW()-1+'02_Eingaben'!$C$17))))</f>
        <v/>
      </c>
      <c r="G831" s="27">
        <f>IF(F831="","",F831-'02_Eingaben'!$C$10)</f>
        <v/>
      </c>
      <c r="H831">
        <f>IF(F831="","",IF(F831&lt;'02_Eingaben'!$C$18*'02_Eingaben'!$C$10,1,0))</f>
        <v/>
      </c>
      <c r="I831" s="27">
        <f>IF(OR(G831="",G832=""),"",(G831+G832)/2*(B832-B831))</f>
        <v/>
      </c>
      <c r="J831" s="27">
        <f>IF(B831="","",IF(B830&lt;'02_Eingaben'!$C$36,0,J830+I830/'02_Eingaben'!$C$8))</f>
        <v/>
      </c>
    </row>
    <row r="832">
      <c r="A832">
        <f>IF('01_Rohdaten'!A832="","",ROW()-1)</f>
        <v/>
      </c>
      <c r="B832" s="27">
        <f>IF('01_Rohdaten'!A832="","",'01_Rohdaten'!A832)</f>
        <v/>
      </c>
      <c r="C832" s="27">
        <f>IF(B832="","",INDEX('01_Rohdaten'!B832:D832,'02_Eingaben'!$C$13))</f>
        <v/>
      </c>
      <c r="D832" s="27">
        <f>IF(C832="","",C832*'02_Eingaben'!$C$15)</f>
        <v/>
      </c>
      <c r="E832" s="27">
        <f>IF(D832="","",D832*'02_Eingaben'!$C$8)</f>
        <v/>
      </c>
      <c r="F832" s="27">
        <f>IF(E832="","",AVERAGE(INDEX($E$2:$E$3001,MAX(1,ROW()-1-'02_Eingaben'!$C$17)):INDEX($E$2:$E$3001,MIN('02_Eingaben'!$C$21,ROW()-1+'02_Eingaben'!$C$17))))</f>
        <v/>
      </c>
      <c r="G832" s="27">
        <f>IF(F832="","",F832-'02_Eingaben'!$C$10)</f>
        <v/>
      </c>
      <c r="H832">
        <f>IF(F832="","",IF(F832&lt;'02_Eingaben'!$C$18*'02_Eingaben'!$C$10,1,0))</f>
        <v/>
      </c>
      <c r="I832" s="27">
        <f>IF(OR(G832="",G833=""),"",(G832+G833)/2*(B833-B832))</f>
        <v/>
      </c>
      <c r="J832" s="27">
        <f>IF(B832="","",IF(B831&lt;'02_Eingaben'!$C$36,0,J831+I831/'02_Eingaben'!$C$8))</f>
        <v/>
      </c>
    </row>
    <row r="833">
      <c r="A833">
        <f>IF('01_Rohdaten'!A833="","",ROW()-1)</f>
        <v/>
      </c>
      <c r="B833" s="27">
        <f>IF('01_Rohdaten'!A833="","",'01_Rohdaten'!A833)</f>
        <v/>
      </c>
      <c r="C833" s="27">
        <f>IF(B833="","",INDEX('01_Rohdaten'!B833:D833,'02_Eingaben'!$C$13))</f>
        <v/>
      </c>
      <c r="D833" s="27">
        <f>IF(C833="","",C833*'02_Eingaben'!$C$15)</f>
        <v/>
      </c>
      <c r="E833" s="27">
        <f>IF(D833="","",D833*'02_Eingaben'!$C$8)</f>
        <v/>
      </c>
      <c r="F833" s="27">
        <f>IF(E833="","",AVERAGE(INDEX($E$2:$E$3001,MAX(1,ROW()-1-'02_Eingaben'!$C$17)):INDEX($E$2:$E$3001,MIN('02_Eingaben'!$C$21,ROW()-1+'02_Eingaben'!$C$17))))</f>
        <v/>
      </c>
      <c r="G833" s="27">
        <f>IF(F833="","",F833-'02_Eingaben'!$C$10)</f>
        <v/>
      </c>
      <c r="H833">
        <f>IF(F833="","",IF(F833&lt;'02_Eingaben'!$C$18*'02_Eingaben'!$C$10,1,0))</f>
        <v/>
      </c>
      <c r="I833" s="27">
        <f>IF(OR(G833="",G834=""),"",(G833+G834)/2*(B834-B833))</f>
        <v/>
      </c>
      <c r="J833" s="27">
        <f>IF(B833="","",IF(B832&lt;'02_Eingaben'!$C$36,0,J832+I832/'02_Eingaben'!$C$8))</f>
        <v/>
      </c>
    </row>
    <row r="834">
      <c r="A834">
        <f>IF('01_Rohdaten'!A834="","",ROW()-1)</f>
        <v/>
      </c>
      <c r="B834" s="27">
        <f>IF('01_Rohdaten'!A834="","",'01_Rohdaten'!A834)</f>
        <v/>
      </c>
      <c r="C834" s="27">
        <f>IF(B834="","",INDEX('01_Rohdaten'!B834:D834,'02_Eingaben'!$C$13))</f>
        <v/>
      </c>
      <c r="D834" s="27">
        <f>IF(C834="","",C834*'02_Eingaben'!$C$15)</f>
        <v/>
      </c>
      <c r="E834" s="27">
        <f>IF(D834="","",D834*'02_Eingaben'!$C$8)</f>
        <v/>
      </c>
      <c r="F834" s="27">
        <f>IF(E834="","",AVERAGE(INDEX($E$2:$E$3001,MAX(1,ROW()-1-'02_Eingaben'!$C$17)):INDEX($E$2:$E$3001,MIN('02_Eingaben'!$C$21,ROW()-1+'02_Eingaben'!$C$17))))</f>
        <v/>
      </c>
      <c r="G834" s="27">
        <f>IF(F834="","",F834-'02_Eingaben'!$C$10)</f>
        <v/>
      </c>
      <c r="H834">
        <f>IF(F834="","",IF(F834&lt;'02_Eingaben'!$C$18*'02_Eingaben'!$C$10,1,0))</f>
        <v/>
      </c>
      <c r="I834" s="27">
        <f>IF(OR(G834="",G835=""),"",(G834+G835)/2*(B835-B834))</f>
        <v/>
      </c>
      <c r="J834" s="27">
        <f>IF(B834="","",IF(B833&lt;'02_Eingaben'!$C$36,0,J833+I833/'02_Eingaben'!$C$8))</f>
        <v/>
      </c>
    </row>
    <row r="835">
      <c r="A835">
        <f>IF('01_Rohdaten'!A835="","",ROW()-1)</f>
        <v/>
      </c>
      <c r="B835" s="27">
        <f>IF('01_Rohdaten'!A835="","",'01_Rohdaten'!A835)</f>
        <v/>
      </c>
      <c r="C835" s="27">
        <f>IF(B835="","",INDEX('01_Rohdaten'!B835:D835,'02_Eingaben'!$C$13))</f>
        <v/>
      </c>
      <c r="D835" s="27">
        <f>IF(C835="","",C835*'02_Eingaben'!$C$15)</f>
        <v/>
      </c>
      <c r="E835" s="27">
        <f>IF(D835="","",D835*'02_Eingaben'!$C$8)</f>
        <v/>
      </c>
      <c r="F835" s="27">
        <f>IF(E835="","",AVERAGE(INDEX($E$2:$E$3001,MAX(1,ROW()-1-'02_Eingaben'!$C$17)):INDEX($E$2:$E$3001,MIN('02_Eingaben'!$C$21,ROW()-1+'02_Eingaben'!$C$17))))</f>
        <v/>
      </c>
      <c r="G835" s="27">
        <f>IF(F835="","",F835-'02_Eingaben'!$C$10)</f>
        <v/>
      </c>
      <c r="H835">
        <f>IF(F835="","",IF(F835&lt;'02_Eingaben'!$C$18*'02_Eingaben'!$C$10,1,0))</f>
        <v/>
      </c>
      <c r="I835" s="27">
        <f>IF(OR(G835="",G836=""),"",(G835+G836)/2*(B836-B835))</f>
        <v/>
      </c>
      <c r="J835" s="27">
        <f>IF(B835="","",IF(B834&lt;'02_Eingaben'!$C$36,0,J834+I834/'02_Eingaben'!$C$8))</f>
        <v/>
      </c>
    </row>
    <row r="836">
      <c r="A836">
        <f>IF('01_Rohdaten'!A836="","",ROW()-1)</f>
        <v/>
      </c>
      <c r="B836" s="27">
        <f>IF('01_Rohdaten'!A836="","",'01_Rohdaten'!A836)</f>
        <v/>
      </c>
      <c r="C836" s="27">
        <f>IF(B836="","",INDEX('01_Rohdaten'!B836:D836,'02_Eingaben'!$C$13))</f>
        <v/>
      </c>
      <c r="D836" s="27">
        <f>IF(C836="","",C836*'02_Eingaben'!$C$15)</f>
        <v/>
      </c>
      <c r="E836" s="27">
        <f>IF(D836="","",D836*'02_Eingaben'!$C$8)</f>
        <v/>
      </c>
      <c r="F836" s="27">
        <f>IF(E836="","",AVERAGE(INDEX($E$2:$E$3001,MAX(1,ROW()-1-'02_Eingaben'!$C$17)):INDEX($E$2:$E$3001,MIN('02_Eingaben'!$C$21,ROW()-1+'02_Eingaben'!$C$17))))</f>
        <v/>
      </c>
      <c r="G836" s="27">
        <f>IF(F836="","",F836-'02_Eingaben'!$C$10)</f>
        <v/>
      </c>
      <c r="H836">
        <f>IF(F836="","",IF(F836&lt;'02_Eingaben'!$C$18*'02_Eingaben'!$C$10,1,0))</f>
        <v/>
      </c>
      <c r="I836" s="27">
        <f>IF(OR(G836="",G837=""),"",(G836+G837)/2*(B837-B836))</f>
        <v/>
      </c>
      <c r="J836" s="27">
        <f>IF(B836="","",IF(B835&lt;'02_Eingaben'!$C$36,0,J835+I835/'02_Eingaben'!$C$8))</f>
        <v/>
      </c>
    </row>
    <row r="837">
      <c r="A837">
        <f>IF('01_Rohdaten'!A837="","",ROW()-1)</f>
        <v/>
      </c>
      <c r="B837" s="27">
        <f>IF('01_Rohdaten'!A837="","",'01_Rohdaten'!A837)</f>
        <v/>
      </c>
      <c r="C837" s="27">
        <f>IF(B837="","",INDEX('01_Rohdaten'!B837:D837,'02_Eingaben'!$C$13))</f>
        <v/>
      </c>
      <c r="D837" s="27">
        <f>IF(C837="","",C837*'02_Eingaben'!$C$15)</f>
        <v/>
      </c>
      <c r="E837" s="27">
        <f>IF(D837="","",D837*'02_Eingaben'!$C$8)</f>
        <v/>
      </c>
      <c r="F837" s="27">
        <f>IF(E837="","",AVERAGE(INDEX($E$2:$E$3001,MAX(1,ROW()-1-'02_Eingaben'!$C$17)):INDEX($E$2:$E$3001,MIN('02_Eingaben'!$C$21,ROW()-1+'02_Eingaben'!$C$17))))</f>
        <v/>
      </c>
      <c r="G837" s="27">
        <f>IF(F837="","",F837-'02_Eingaben'!$C$10)</f>
        <v/>
      </c>
      <c r="H837">
        <f>IF(F837="","",IF(F837&lt;'02_Eingaben'!$C$18*'02_Eingaben'!$C$10,1,0))</f>
        <v/>
      </c>
      <c r="I837" s="27">
        <f>IF(OR(G837="",G838=""),"",(G837+G838)/2*(B838-B837))</f>
        <v/>
      </c>
      <c r="J837" s="27">
        <f>IF(B837="","",IF(B836&lt;'02_Eingaben'!$C$36,0,J836+I836/'02_Eingaben'!$C$8))</f>
        <v/>
      </c>
    </row>
    <row r="838">
      <c r="A838">
        <f>IF('01_Rohdaten'!A838="","",ROW()-1)</f>
        <v/>
      </c>
      <c r="B838" s="27">
        <f>IF('01_Rohdaten'!A838="","",'01_Rohdaten'!A838)</f>
        <v/>
      </c>
      <c r="C838" s="27">
        <f>IF(B838="","",INDEX('01_Rohdaten'!B838:D838,'02_Eingaben'!$C$13))</f>
        <v/>
      </c>
      <c r="D838" s="27">
        <f>IF(C838="","",C838*'02_Eingaben'!$C$15)</f>
        <v/>
      </c>
      <c r="E838" s="27">
        <f>IF(D838="","",D838*'02_Eingaben'!$C$8)</f>
        <v/>
      </c>
      <c r="F838" s="27">
        <f>IF(E838="","",AVERAGE(INDEX($E$2:$E$3001,MAX(1,ROW()-1-'02_Eingaben'!$C$17)):INDEX($E$2:$E$3001,MIN('02_Eingaben'!$C$21,ROW()-1+'02_Eingaben'!$C$17))))</f>
        <v/>
      </c>
      <c r="G838" s="27">
        <f>IF(F838="","",F838-'02_Eingaben'!$C$10)</f>
        <v/>
      </c>
      <c r="H838">
        <f>IF(F838="","",IF(F838&lt;'02_Eingaben'!$C$18*'02_Eingaben'!$C$10,1,0))</f>
        <v/>
      </c>
      <c r="I838" s="27">
        <f>IF(OR(G838="",G839=""),"",(G838+G839)/2*(B839-B838))</f>
        <v/>
      </c>
      <c r="J838" s="27">
        <f>IF(B838="","",IF(B837&lt;'02_Eingaben'!$C$36,0,J837+I837/'02_Eingaben'!$C$8))</f>
        <v/>
      </c>
    </row>
    <row r="839">
      <c r="A839">
        <f>IF('01_Rohdaten'!A839="","",ROW()-1)</f>
        <v/>
      </c>
      <c r="B839" s="27">
        <f>IF('01_Rohdaten'!A839="","",'01_Rohdaten'!A839)</f>
        <v/>
      </c>
      <c r="C839" s="27">
        <f>IF(B839="","",INDEX('01_Rohdaten'!B839:D839,'02_Eingaben'!$C$13))</f>
        <v/>
      </c>
      <c r="D839" s="27">
        <f>IF(C839="","",C839*'02_Eingaben'!$C$15)</f>
        <v/>
      </c>
      <c r="E839" s="27">
        <f>IF(D839="","",D839*'02_Eingaben'!$C$8)</f>
        <v/>
      </c>
      <c r="F839" s="27">
        <f>IF(E839="","",AVERAGE(INDEX($E$2:$E$3001,MAX(1,ROW()-1-'02_Eingaben'!$C$17)):INDEX($E$2:$E$3001,MIN('02_Eingaben'!$C$21,ROW()-1+'02_Eingaben'!$C$17))))</f>
        <v/>
      </c>
      <c r="G839" s="27">
        <f>IF(F839="","",F839-'02_Eingaben'!$C$10)</f>
        <v/>
      </c>
      <c r="H839">
        <f>IF(F839="","",IF(F839&lt;'02_Eingaben'!$C$18*'02_Eingaben'!$C$10,1,0))</f>
        <v/>
      </c>
      <c r="I839" s="27">
        <f>IF(OR(G839="",G840=""),"",(G839+G840)/2*(B840-B839))</f>
        <v/>
      </c>
      <c r="J839" s="27">
        <f>IF(B839="","",IF(B838&lt;'02_Eingaben'!$C$36,0,J838+I838/'02_Eingaben'!$C$8))</f>
        <v/>
      </c>
    </row>
    <row r="840">
      <c r="A840">
        <f>IF('01_Rohdaten'!A840="","",ROW()-1)</f>
        <v/>
      </c>
      <c r="B840" s="27">
        <f>IF('01_Rohdaten'!A840="","",'01_Rohdaten'!A840)</f>
        <v/>
      </c>
      <c r="C840" s="27">
        <f>IF(B840="","",INDEX('01_Rohdaten'!B840:D840,'02_Eingaben'!$C$13))</f>
        <v/>
      </c>
      <c r="D840" s="27">
        <f>IF(C840="","",C840*'02_Eingaben'!$C$15)</f>
        <v/>
      </c>
      <c r="E840" s="27">
        <f>IF(D840="","",D840*'02_Eingaben'!$C$8)</f>
        <v/>
      </c>
      <c r="F840" s="27">
        <f>IF(E840="","",AVERAGE(INDEX($E$2:$E$3001,MAX(1,ROW()-1-'02_Eingaben'!$C$17)):INDEX($E$2:$E$3001,MIN('02_Eingaben'!$C$21,ROW()-1+'02_Eingaben'!$C$17))))</f>
        <v/>
      </c>
      <c r="G840" s="27">
        <f>IF(F840="","",F840-'02_Eingaben'!$C$10)</f>
        <v/>
      </c>
      <c r="H840">
        <f>IF(F840="","",IF(F840&lt;'02_Eingaben'!$C$18*'02_Eingaben'!$C$10,1,0))</f>
        <v/>
      </c>
      <c r="I840" s="27">
        <f>IF(OR(G840="",G841=""),"",(G840+G841)/2*(B841-B840))</f>
        <v/>
      </c>
      <c r="J840" s="27">
        <f>IF(B840="","",IF(B839&lt;'02_Eingaben'!$C$36,0,J839+I839/'02_Eingaben'!$C$8))</f>
        <v/>
      </c>
    </row>
    <row r="841">
      <c r="A841">
        <f>IF('01_Rohdaten'!A841="","",ROW()-1)</f>
        <v/>
      </c>
      <c r="B841" s="27">
        <f>IF('01_Rohdaten'!A841="","",'01_Rohdaten'!A841)</f>
        <v/>
      </c>
      <c r="C841" s="27">
        <f>IF(B841="","",INDEX('01_Rohdaten'!B841:D841,'02_Eingaben'!$C$13))</f>
        <v/>
      </c>
      <c r="D841" s="27">
        <f>IF(C841="","",C841*'02_Eingaben'!$C$15)</f>
        <v/>
      </c>
      <c r="E841" s="27">
        <f>IF(D841="","",D841*'02_Eingaben'!$C$8)</f>
        <v/>
      </c>
      <c r="F841" s="27">
        <f>IF(E841="","",AVERAGE(INDEX($E$2:$E$3001,MAX(1,ROW()-1-'02_Eingaben'!$C$17)):INDEX($E$2:$E$3001,MIN('02_Eingaben'!$C$21,ROW()-1+'02_Eingaben'!$C$17))))</f>
        <v/>
      </c>
      <c r="G841" s="27">
        <f>IF(F841="","",F841-'02_Eingaben'!$C$10)</f>
        <v/>
      </c>
      <c r="H841">
        <f>IF(F841="","",IF(F841&lt;'02_Eingaben'!$C$18*'02_Eingaben'!$C$10,1,0))</f>
        <v/>
      </c>
      <c r="I841" s="27">
        <f>IF(OR(G841="",G842=""),"",(G841+G842)/2*(B842-B841))</f>
        <v/>
      </c>
      <c r="J841" s="27">
        <f>IF(B841="","",IF(B840&lt;'02_Eingaben'!$C$36,0,J840+I840/'02_Eingaben'!$C$8))</f>
        <v/>
      </c>
    </row>
    <row r="842">
      <c r="A842">
        <f>IF('01_Rohdaten'!A842="","",ROW()-1)</f>
        <v/>
      </c>
      <c r="B842" s="27">
        <f>IF('01_Rohdaten'!A842="","",'01_Rohdaten'!A842)</f>
        <v/>
      </c>
      <c r="C842" s="27">
        <f>IF(B842="","",INDEX('01_Rohdaten'!B842:D842,'02_Eingaben'!$C$13))</f>
        <v/>
      </c>
      <c r="D842" s="27">
        <f>IF(C842="","",C842*'02_Eingaben'!$C$15)</f>
        <v/>
      </c>
      <c r="E842" s="27">
        <f>IF(D842="","",D842*'02_Eingaben'!$C$8)</f>
        <v/>
      </c>
      <c r="F842" s="27">
        <f>IF(E842="","",AVERAGE(INDEX($E$2:$E$3001,MAX(1,ROW()-1-'02_Eingaben'!$C$17)):INDEX($E$2:$E$3001,MIN('02_Eingaben'!$C$21,ROW()-1+'02_Eingaben'!$C$17))))</f>
        <v/>
      </c>
      <c r="G842" s="27">
        <f>IF(F842="","",F842-'02_Eingaben'!$C$10)</f>
        <v/>
      </c>
      <c r="H842">
        <f>IF(F842="","",IF(F842&lt;'02_Eingaben'!$C$18*'02_Eingaben'!$C$10,1,0))</f>
        <v/>
      </c>
      <c r="I842" s="27">
        <f>IF(OR(G842="",G843=""),"",(G842+G843)/2*(B843-B842))</f>
        <v/>
      </c>
      <c r="J842" s="27">
        <f>IF(B842="","",IF(B841&lt;'02_Eingaben'!$C$36,0,J841+I841/'02_Eingaben'!$C$8))</f>
        <v/>
      </c>
    </row>
    <row r="843">
      <c r="A843">
        <f>IF('01_Rohdaten'!A843="","",ROW()-1)</f>
        <v/>
      </c>
      <c r="B843" s="27">
        <f>IF('01_Rohdaten'!A843="","",'01_Rohdaten'!A843)</f>
        <v/>
      </c>
      <c r="C843" s="27">
        <f>IF(B843="","",INDEX('01_Rohdaten'!B843:D843,'02_Eingaben'!$C$13))</f>
        <v/>
      </c>
      <c r="D843" s="27">
        <f>IF(C843="","",C843*'02_Eingaben'!$C$15)</f>
        <v/>
      </c>
      <c r="E843" s="27">
        <f>IF(D843="","",D843*'02_Eingaben'!$C$8)</f>
        <v/>
      </c>
      <c r="F843" s="27">
        <f>IF(E843="","",AVERAGE(INDEX($E$2:$E$3001,MAX(1,ROW()-1-'02_Eingaben'!$C$17)):INDEX($E$2:$E$3001,MIN('02_Eingaben'!$C$21,ROW()-1+'02_Eingaben'!$C$17))))</f>
        <v/>
      </c>
      <c r="G843" s="27">
        <f>IF(F843="","",F843-'02_Eingaben'!$C$10)</f>
        <v/>
      </c>
      <c r="H843">
        <f>IF(F843="","",IF(F843&lt;'02_Eingaben'!$C$18*'02_Eingaben'!$C$10,1,0))</f>
        <v/>
      </c>
      <c r="I843" s="27">
        <f>IF(OR(G843="",G844=""),"",(G843+G844)/2*(B844-B843))</f>
        <v/>
      </c>
      <c r="J843" s="27">
        <f>IF(B843="","",IF(B842&lt;'02_Eingaben'!$C$36,0,J842+I842/'02_Eingaben'!$C$8))</f>
        <v/>
      </c>
    </row>
    <row r="844">
      <c r="A844">
        <f>IF('01_Rohdaten'!A844="","",ROW()-1)</f>
        <v/>
      </c>
      <c r="B844" s="27">
        <f>IF('01_Rohdaten'!A844="","",'01_Rohdaten'!A844)</f>
        <v/>
      </c>
      <c r="C844" s="27">
        <f>IF(B844="","",INDEX('01_Rohdaten'!B844:D844,'02_Eingaben'!$C$13))</f>
        <v/>
      </c>
      <c r="D844" s="27">
        <f>IF(C844="","",C844*'02_Eingaben'!$C$15)</f>
        <v/>
      </c>
      <c r="E844" s="27">
        <f>IF(D844="","",D844*'02_Eingaben'!$C$8)</f>
        <v/>
      </c>
      <c r="F844" s="27">
        <f>IF(E844="","",AVERAGE(INDEX($E$2:$E$3001,MAX(1,ROW()-1-'02_Eingaben'!$C$17)):INDEX($E$2:$E$3001,MIN('02_Eingaben'!$C$21,ROW()-1+'02_Eingaben'!$C$17))))</f>
        <v/>
      </c>
      <c r="G844" s="27">
        <f>IF(F844="","",F844-'02_Eingaben'!$C$10)</f>
        <v/>
      </c>
      <c r="H844">
        <f>IF(F844="","",IF(F844&lt;'02_Eingaben'!$C$18*'02_Eingaben'!$C$10,1,0))</f>
        <v/>
      </c>
      <c r="I844" s="27">
        <f>IF(OR(G844="",G845=""),"",(G844+G845)/2*(B845-B844))</f>
        <v/>
      </c>
      <c r="J844" s="27">
        <f>IF(B844="","",IF(B843&lt;'02_Eingaben'!$C$36,0,J843+I843/'02_Eingaben'!$C$8))</f>
        <v/>
      </c>
    </row>
    <row r="845">
      <c r="A845">
        <f>IF('01_Rohdaten'!A845="","",ROW()-1)</f>
        <v/>
      </c>
      <c r="B845" s="27">
        <f>IF('01_Rohdaten'!A845="","",'01_Rohdaten'!A845)</f>
        <v/>
      </c>
      <c r="C845" s="27">
        <f>IF(B845="","",INDEX('01_Rohdaten'!B845:D845,'02_Eingaben'!$C$13))</f>
        <v/>
      </c>
      <c r="D845" s="27">
        <f>IF(C845="","",C845*'02_Eingaben'!$C$15)</f>
        <v/>
      </c>
      <c r="E845" s="27">
        <f>IF(D845="","",D845*'02_Eingaben'!$C$8)</f>
        <v/>
      </c>
      <c r="F845" s="27">
        <f>IF(E845="","",AVERAGE(INDEX($E$2:$E$3001,MAX(1,ROW()-1-'02_Eingaben'!$C$17)):INDEX($E$2:$E$3001,MIN('02_Eingaben'!$C$21,ROW()-1+'02_Eingaben'!$C$17))))</f>
        <v/>
      </c>
      <c r="G845" s="27">
        <f>IF(F845="","",F845-'02_Eingaben'!$C$10)</f>
        <v/>
      </c>
      <c r="H845">
        <f>IF(F845="","",IF(F845&lt;'02_Eingaben'!$C$18*'02_Eingaben'!$C$10,1,0))</f>
        <v/>
      </c>
      <c r="I845" s="27">
        <f>IF(OR(G845="",G846=""),"",(G845+G846)/2*(B846-B845))</f>
        <v/>
      </c>
      <c r="J845" s="27">
        <f>IF(B845="","",IF(B844&lt;'02_Eingaben'!$C$36,0,J844+I844/'02_Eingaben'!$C$8))</f>
        <v/>
      </c>
    </row>
    <row r="846">
      <c r="A846">
        <f>IF('01_Rohdaten'!A846="","",ROW()-1)</f>
        <v/>
      </c>
      <c r="B846" s="27">
        <f>IF('01_Rohdaten'!A846="","",'01_Rohdaten'!A846)</f>
        <v/>
      </c>
      <c r="C846" s="27">
        <f>IF(B846="","",INDEX('01_Rohdaten'!B846:D846,'02_Eingaben'!$C$13))</f>
        <v/>
      </c>
      <c r="D846" s="27">
        <f>IF(C846="","",C846*'02_Eingaben'!$C$15)</f>
        <v/>
      </c>
      <c r="E846" s="27">
        <f>IF(D846="","",D846*'02_Eingaben'!$C$8)</f>
        <v/>
      </c>
      <c r="F846" s="27">
        <f>IF(E846="","",AVERAGE(INDEX($E$2:$E$3001,MAX(1,ROW()-1-'02_Eingaben'!$C$17)):INDEX($E$2:$E$3001,MIN('02_Eingaben'!$C$21,ROW()-1+'02_Eingaben'!$C$17))))</f>
        <v/>
      </c>
      <c r="G846" s="27">
        <f>IF(F846="","",F846-'02_Eingaben'!$C$10)</f>
        <v/>
      </c>
      <c r="H846">
        <f>IF(F846="","",IF(F846&lt;'02_Eingaben'!$C$18*'02_Eingaben'!$C$10,1,0))</f>
        <v/>
      </c>
      <c r="I846" s="27">
        <f>IF(OR(G846="",G847=""),"",(G846+G847)/2*(B847-B846))</f>
        <v/>
      </c>
      <c r="J846" s="27">
        <f>IF(B846="","",IF(B845&lt;'02_Eingaben'!$C$36,0,J845+I845/'02_Eingaben'!$C$8))</f>
        <v/>
      </c>
    </row>
    <row r="847">
      <c r="A847">
        <f>IF('01_Rohdaten'!A847="","",ROW()-1)</f>
        <v/>
      </c>
      <c r="B847" s="27">
        <f>IF('01_Rohdaten'!A847="","",'01_Rohdaten'!A847)</f>
        <v/>
      </c>
      <c r="C847" s="27">
        <f>IF(B847="","",INDEX('01_Rohdaten'!B847:D847,'02_Eingaben'!$C$13))</f>
        <v/>
      </c>
      <c r="D847" s="27">
        <f>IF(C847="","",C847*'02_Eingaben'!$C$15)</f>
        <v/>
      </c>
      <c r="E847" s="27">
        <f>IF(D847="","",D847*'02_Eingaben'!$C$8)</f>
        <v/>
      </c>
      <c r="F847" s="27">
        <f>IF(E847="","",AVERAGE(INDEX($E$2:$E$3001,MAX(1,ROW()-1-'02_Eingaben'!$C$17)):INDEX($E$2:$E$3001,MIN('02_Eingaben'!$C$21,ROW()-1+'02_Eingaben'!$C$17))))</f>
        <v/>
      </c>
      <c r="G847" s="27">
        <f>IF(F847="","",F847-'02_Eingaben'!$C$10)</f>
        <v/>
      </c>
      <c r="H847">
        <f>IF(F847="","",IF(F847&lt;'02_Eingaben'!$C$18*'02_Eingaben'!$C$10,1,0))</f>
        <v/>
      </c>
      <c r="I847" s="27">
        <f>IF(OR(G847="",G848=""),"",(G847+G848)/2*(B848-B847))</f>
        <v/>
      </c>
      <c r="J847" s="27">
        <f>IF(B847="","",IF(B846&lt;'02_Eingaben'!$C$36,0,J846+I846/'02_Eingaben'!$C$8))</f>
        <v/>
      </c>
    </row>
    <row r="848">
      <c r="A848">
        <f>IF('01_Rohdaten'!A848="","",ROW()-1)</f>
        <v/>
      </c>
      <c r="B848" s="27">
        <f>IF('01_Rohdaten'!A848="","",'01_Rohdaten'!A848)</f>
        <v/>
      </c>
      <c r="C848" s="27">
        <f>IF(B848="","",INDEX('01_Rohdaten'!B848:D848,'02_Eingaben'!$C$13))</f>
        <v/>
      </c>
      <c r="D848" s="27">
        <f>IF(C848="","",C848*'02_Eingaben'!$C$15)</f>
        <v/>
      </c>
      <c r="E848" s="27">
        <f>IF(D848="","",D848*'02_Eingaben'!$C$8)</f>
        <v/>
      </c>
      <c r="F848" s="27">
        <f>IF(E848="","",AVERAGE(INDEX($E$2:$E$3001,MAX(1,ROW()-1-'02_Eingaben'!$C$17)):INDEX($E$2:$E$3001,MIN('02_Eingaben'!$C$21,ROW()-1+'02_Eingaben'!$C$17))))</f>
        <v/>
      </c>
      <c r="G848" s="27">
        <f>IF(F848="","",F848-'02_Eingaben'!$C$10)</f>
        <v/>
      </c>
      <c r="H848">
        <f>IF(F848="","",IF(F848&lt;'02_Eingaben'!$C$18*'02_Eingaben'!$C$10,1,0))</f>
        <v/>
      </c>
      <c r="I848" s="27">
        <f>IF(OR(G848="",G849=""),"",(G848+G849)/2*(B849-B848))</f>
        <v/>
      </c>
      <c r="J848" s="27">
        <f>IF(B848="","",IF(B847&lt;'02_Eingaben'!$C$36,0,J847+I847/'02_Eingaben'!$C$8))</f>
        <v/>
      </c>
    </row>
    <row r="849">
      <c r="A849">
        <f>IF('01_Rohdaten'!A849="","",ROW()-1)</f>
        <v/>
      </c>
      <c r="B849" s="27">
        <f>IF('01_Rohdaten'!A849="","",'01_Rohdaten'!A849)</f>
        <v/>
      </c>
      <c r="C849" s="27">
        <f>IF(B849="","",INDEX('01_Rohdaten'!B849:D849,'02_Eingaben'!$C$13))</f>
        <v/>
      </c>
      <c r="D849" s="27">
        <f>IF(C849="","",C849*'02_Eingaben'!$C$15)</f>
        <v/>
      </c>
      <c r="E849" s="27">
        <f>IF(D849="","",D849*'02_Eingaben'!$C$8)</f>
        <v/>
      </c>
      <c r="F849" s="27">
        <f>IF(E849="","",AVERAGE(INDEX($E$2:$E$3001,MAX(1,ROW()-1-'02_Eingaben'!$C$17)):INDEX($E$2:$E$3001,MIN('02_Eingaben'!$C$21,ROW()-1+'02_Eingaben'!$C$17))))</f>
        <v/>
      </c>
      <c r="G849" s="27">
        <f>IF(F849="","",F849-'02_Eingaben'!$C$10)</f>
        <v/>
      </c>
      <c r="H849">
        <f>IF(F849="","",IF(F849&lt;'02_Eingaben'!$C$18*'02_Eingaben'!$C$10,1,0))</f>
        <v/>
      </c>
      <c r="I849" s="27">
        <f>IF(OR(G849="",G850=""),"",(G849+G850)/2*(B850-B849))</f>
        <v/>
      </c>
      <c r="J849" s="27">
        <f>IF(B849="","",IF(B848&lt;'02_Eingaben'!$C$36,0,J848+I848/'02_Eingaben'!$C$8))</f>
        <v/>
      </c>
    </row>
    <row r="850">
      <c r="A850">
        <f>IF('01_Rohdaten'!A850="","",ROW()-1)</f>
        <v/>
      </c>
      <c r="B850" s="27">
        <f>IF('01_Rohdaten'!A850="","",'01_Rohdaten'!A850)</f>
        <v/>
      </c>
      <c r="C850" s="27">
        <f>IF(B850="","",INDEX('01_Rohdaten'!B850:D850,'02_Eingaben'!$C$13))</f>
        <v/>
      </c>
      <c r="D850" s="27">
        <f>IF(C850="","",C850*'02_Eingaben'!$C$15)</f>
        <v/>
      </c>
      <c r="E850" s="27">
        <f>IF(D850="","",D850*'02_Eingaben'!$C$8)</f>
        <v/>
      </c>
      <c r="F850" s="27">
        <f>IF(E850="","",AVERAGE(INDEX($E$2:$E$3001,MAX(1,ROW()-1-'02_Eingaben'!$C$17)):INDEX($E$2:$E$3001,MIN('02_Eingaben'!$C$21,ROW()-1+'02_Eingaben'!$C$17))))</f>
        <v/>
      </c>
      <c r="G850" s="27">
        <f>IF(F850="","",F850-'02_Eingaben'!$C$10)</f>
        <v/>
      </c>
      <c r="H850">
        <f>IF(F850="","",IF(F850&lt;'02_Eingaben'!$C$18*'02_Eingaben'!$C$10,1,0))</f>
        <v/>
      </c>
      <c r="I850" s="27">
        <f>IF(OR(G850="",G851=""),"",(G850+G851)/2*(B851-B850))</f>
        <v/>
      </c>
      <c r="J850" s="27">
        <f>IF(B850="","",IF(B849&lt;'02_Eingaben'!$C$36,0,J849+I849/'02_Eingaben'!$C$8))</f>
        <v/>
      </c>
    </row>
    <row r="851">
      <c r="A851">
        <f>IF('01_Rohdaten'!A851="","",ROW()-1)</f>
        <v/>
      </c>
      <c r="B851" s="27">
        <f>IF('01_Rohdaten'!A851="","",'01_Rohdaten'!A851)</f>
        <v/>
      </c>
      <c r="C851" s="27">
        <f>IF(B851="","",INDEX('01_Rohdaten'!B851:D851,'02_Eingaben'!$C$13))</f>
        <v/>
      </c>
      <c r="D851" s="27">
        <f>IF(C851="","",C851*'02_Eingaben'!$C$15)</f>
        <v/>
      </c>
      <c r="E851" s="27">
        <f>IF(D851="","",D851*'02_Eingaben'!$C$8)</f>
        <v/>
      </c>
      <c r="F851" s="27">
        <f>IF(E851="","",AVERAGE(INDEX($E$2:$E$3001,MAX(1,ROW()-1-'02_Eingaben'!$C$17)):INDEX($E$2:$E$3001,MIN('02_Eingaben'!$C$21,ROW()-1+'02_Eingaben'!$C$17))))</f>
        <v/>
      </c>
      <c r="G851" s="27">
        <f>IF(F851="","",F851-'02_Eingaben'!$C$10)</f>
        <v/>
      </c>
      <c r="H851">
        <f>IF(F851="","",IF(F851&lt;'02_Eingaben'!$C$18*'02_Eingaben'!$C$10,1,0))</f>
        <v/>
      </c>
      <c r="I851" s="27">
        <f>IF(OR(G851="",G852=""),"",(G851+G852)/2*(B852-B851))</f>
        <v/>
      </c>
      <c r="J851" s="27">
        <f>IF(B851="","",IF(B850&lt;'02_Eingaben'!$C$36,0,J850+I850/'02_Eingaben'!$C$8))</f>
        <v/>
      </c>
    </row>
    <row r="852">
      <c r="A852">
        <f>IF('01_Rohdaten'!A852="","",ROW()-1)</f>
        <v/>
      </c>
      <c r="B852" s="27">
        <f>IF('01_Rohdaten'!A852="","",'01_Rohdaten'!A852)</f>
        <v/>
      </c>
      <c r="C852" s="27">
        <f>IF(B852="","",INDEX('01_Rohdaten'!B852:D852,'02_Eingaben'!$C$13))</f>
        <v/>
      </c>
      <c r="D852" s="27">
        <f>IF(C852="","",C852*'02_Eingaben'!$C$15)</f>
        <v/>
      </c>
      <c r="E852" s="27">
        <f>IF(D852="","",D852*'02_Eingaben'!$C$8)</f>
        <v/>
      </c>
      <c r="F852" s="27">
        <f>IF(E852="","",AVERAGE(INDEX($E$2:$E$3001,MAX(1,ROW()-1-'02_Eingaben'!$C$17)):INDEX($E$2:$E$3001,MIN('02_Eingaben'!$C$21,ROW()-1+'02_Eingaben'!$C$17))))</f>
        <v/>
      </c>
      <c r="G852" s="27">
        <f>IF(F852="","",F852-'02_Eingaben'!$C$10)</f>
        <v/>
      </c>
      <c r="H852">
        <f>IF(F852="","",IF(F852&lt;'02_Eingaben'!$C$18*'02_Eingaben'!$C$10,1,0))</f>
        <v/>
      </c>
      <c r="I852" s="27">
        <f>IF(OR(G852="",G853=""),"",(G852+G853)/2*(B853-B852))</f>
        <v/>
      </c>
      <c r="J852" s="27">
        <f>IF(B852="","",IF(B851&lt;'02_Eingaben'!$C$36,0,J851+I851/'02_Eingaben'!$C$8))</f>
        <v/>
      </c>
    </row>
    <row r="853">
      <c r="A853">
        <f>IF('01_Rohdaten'!A853="","",ROW()-1)</f>
        <v/>
      </c>
      <c r="B853" s="27">
        <f>IF('01_Rohdaten'!A853="","",'01_Rohdaten'!A853)</f>
        <v/>
      </c>
      <c r="C853" s="27">
        <f>IF(B853="","",INDEX('01_Rohdaten'!B853:D853,'02_Eingaben'!$C$13))</f>
        <v/>
      </c>
      <c r="D853" s="27">
        <f>IF(C853="","",C853*'02_Eingaben'!$C$15)</f>
        <v/>
      </c>
      <c r="E853" s="27">
        <f>IF(D853="","",D853*'02_Eingaben'!$C$8)</f>
        <v/>
      </c>
      <c r="F853" s="27">
        <f>IF(E853="","",AVERAGE(INDEX($E$2:$E$3001,MAX(1,ROW()-1-'02_Eingaben'!$C$17)):INDEX($E$2:$E$3001,MIN('02_Eingaben'!$C$21,ROW()-1+'02_Eingaben'!$C$17))))</f>
        <v/>
      </c>
      <c r="G853" s="27">
        <f>IF(F853="","",F853-'02_Eingaben'!$C$10)</f>
        <v/>
      </c>
      <c r="H853">
        <f>IF(F853="","",IF(F853&lt;'02_Eingaben'!$C$18*'02_Eingaben'!$C$10,1,0))</f>
        <v/>
      </c>
      <c r="I853" s="27">
        <f>IF(OR(G853="",G854=""),"",(G853+G854)/2*(B854-B853))</f>
        <v/>
      </c>
      <c r="J853" s="27">
        <f>IF(B853="","",IF(B852&lt;'02_Eingaben'!$C$36,0,J852+I852/'02_Eingaben'!$C$8))</f>
        <v/>
      </c>
    </row>
    <row r="854">
      <c r="A854">
        <f>IF('01_Rohdaten'!A854="","",ROW()-1)</f>
        <v/>
      </c>
      <c r="B854" s="27">
        <f>IF('01_Rohdaten'!A854="","",'01_Rohdaten'!A854)</f>
        <v/>
      </c>
      <c r="C854" s="27">
        <f>IF(B854="","",INDEX('01_Rohdaten'!B854:D854,'02_Eingaben'!$C$13))</f>
        <v/>
      </c>
      <c r="D854" s="27">
        <f>IF(C854="","",C854*'02_Eingaben'!$C$15)</f>
        <v/>
      </c>
      <c r="E854" s="27">
        <f>IF(D854="","",D854*'02_Eingaben'!$C$8)</f>
        <v/>
      </c>
      <c r="F854" s="27">
        <f>IF(E854="","",AVERAGE(INDEX($E$2:$E$3001,MAX(1,ROW()-1-'02_Eingaben'!$C$17)):INDEX($E$2:$E$3001,MIN('02_Eingaben'!$C$21,ROW()-1+'02_Eingaben'!$C$17))))</f>
        <v/>
      </c>
      <c r="G854" s="27">
        <f>IF(F854="","",F854-'02_Eingaben'!$C$10)</f>
        <v/>
      </c>
      <c r="H854">
        <f>IF(F854="","",IF(F854&lt;'02_Eingaben'!$C$18*'02_Eingaben'!$C$10,1,0))</f>
        <v/>
      </c>
      <c r="I854" s="27">
        <f>IF(OR(G854="",G855=""),"",(G854+G855)/2*(B855-B854))</f>
        <v/>
      </c>
      <c r="J854" s="27">
        <f>IF(B854="","",IF(B853&lt;'02_Eingaben'!$C$36,0,J853+I853/'02_Eingaben'!$C$8))</f>
        <v/>
      </c>
    </row>
    <row r="855">
      <c r="A855">
        <f>IF('01_Rohdaten'!A855="","",ROW()-1)</f>
        <v/>
      </c>
      <c r="B855" s="27">
        <f>IF('01_Rohdaten'!A855="","",'01_Rohdaten'!A855)</f>
        <v/>
      </c>
      <c r="C855" s="27">
        <f>IF(B855="","",INDEX('01_Rohdaten'!B855:D855,'02_Eingaben'!$C$13))</f>
        <v/>
      </c>
      <c r="D855" s="27">
        <f>IF(C855="","",C855*'02_Eingaben'!$C$15)</f>
        <v/>
      </c>
      <c r="E855" s="27">
        <f>IF(D855="","",D855*'02_Eingaben'!$C$8)</f>
        <v/>
      </c>
      <c r="F855" s="27">
        <f>IF(E855="","",AVERAGE(INDEX($E$2:$E$3001,MAX(1,ROW()-1-'02_Eingaben'!$C$17)):INDEX($E$2:$E$3001,MIN('02_Eingaben'!$C$21,ROW()-1+'02_Eingaben'!$C$17))))</f>
        <v/>
      </c>
      <c r="G855" s="27">
        <f>IF(F855="","",F855-'02_Eingaben'!$C$10)</f>
        <v/>
      </c>
      <c r="H855">
        <f>IF(F855="","",IF(F855&lt;'02_Eingaben'!$C$18*'02_Eingaben'!$C$10,1,0))</f>
        <v/>
      </c>
      <c r="I855" s="27">
        <f>IF(OR(G855="",G856=""),"",(G855+G856)/2*(B856-B855))</f>
        <v/>
      </c>
      <c r="J855" s="27">
        <f>IF(B855="","",IF(B854&lt;'02_Eingaben'!$C$36,0,J854+I854/'02_Eingaben'!$C$8))</f>
        <v/>
      </c>
    </row>
    <row r="856">
      <c r="A856">
        <f>IF('01_Rohdaten'!A856="","",ROW()-1)</f>
        <v/>
      </c>
      <c r="B856" s="27">
        <f>IF('01_Rohdaten'!A856="","",'01_Rohdaten'!A856)</f>
        <v/>
      </c>
      <c r="C856" s="27">
        <f>IF(B856="","",INDEX('01_Rohdaten'!B856:D856,'02_Eingaben'!$C$13))</f>
        <v/>
      </c>
      <c r="D856" s="27">
        <f>IF(C856="","",C856*'02_Eingaben'!$C$15)</f>
        <v/>
      </c>
      <c r="E856" s="27">
        <f>IF(D856="","",D856*'02_Eingaben'!$C$8)</f>
        <v/>
      </c>
      <c r="F856" s="27">
        <f>IF(E856="","",AVERAGE(INDEX($E$2:$E$3001,MAX(1,ROW()-1-'02_Eingaben'!$C$17)):INDEX($E$2:$E$3001,MIN('02_Eingaben'!$C$21,ROW()-1+'02_Eingaben'!$C$17))))</f>
        <v/>
      </c>
      <c r="G856" s="27">
        <f>IF(F856="","",F856-'02_Eingaben'!$C$10)</f>
        <v/>
      </c>
      <c r="H856">
        <f>IF(F856="","",IF(F856&lt;'02_Eingaben'!$C$18*'02_Eingaben'!$C$10,1,0))</f>
        <v/>
      </c>
      <c r="I856" s="27">
        <f>IF(OR(G856="",G857=""),"",(G856+G857)/2*(B857-B856))</f>
        <v/>
      </c>
      <c r="J856" s="27">
        <f>IF(B856="","",IF(B855&lt;'02_Eingaben'!$C$36,0,J855+I855/'02_Eingaben'!$C$8))</f>
        <v/>
      </c>
    </row>
    <row r="857">
      <c r="A857">
        <f>IF('01_Rohdaten'!A857="","",ROW()-1)</f>
        <v/>
      </c>
      <c r="B857" s="27">
        <f>IF('01_Rohdaten'!A857="","",'01_Rohdaten'!A857)</f>
        <v/>
      </c>
      <c r="C857" s="27">
        <f>IF(B857="","",INDEX('01_Rohdaten'!B857:D857,'02_Eingaben'!$C$13))</f>
        <v/>
      </c>
      <c r="D857" s="27">
        <f>IF(C857="","",C857*'02_Eingaben'!$C$15)</f>
        <v/>
      </c>
      <c r="E857" s="27">
        <f>IF(D857="","",D857*'02_Eingaben'!$C$8)</f>
        <v/>
      </c>
      <c r="F857" s="27">
        <f>IF(E857="","",AVERAGE(INDEX($E$2:$E$3001,MAX(1,ROW()-1-'02_Eingaben'!$C$17)):INDEX($E$2:$E$3001,MIN('02_Eingaben'!$C$21,ROW()-1+'02_Eingaben'!$C$17))))</f>
        <v/>
      </c>
      <c r="G857" s="27">
        <f>IF(F857="","",F857-'02_Eingaben'!$C$10)</f>
        <v/>
      </c>
      <c r="H857">
        <f>IF(F857="","",IF(F857&lt;'02_Eingaben'!$C$18*'02_Eingaben'!$C$10,1,0))</f>
        <v/>
      </c>
      <c r="I857" s="27">
        <f>IF(OR(G857="",G858=""),"",(G857+G858)/2*(B858-B857))</f>
        <v/>
      </c>
      <c r="J857" s="27">
        <f>IF(B857="","",IF(B856&lt;'02_Eingaben'!$C$36,0,J856+I856/'02_Eingaben'!$C$8))</f>
        <v/>
      </c>
    </row>
    <row r="858">
      <c r="A858">
        <f>IF('01_Rohdaten'!A858="","",ROW()-1)</f>
        <v/>
      </c>
      <c r="B858" s="27">
        <f>IF('01_Rohdaten'!A858="","",'01_Rohdaten'!A858)</f>
        <v/>
      </c>
      <c r="C858" s="27">
        <f>IF(B858="","",INDEX('01_Rohdaten'!B858:D858,'02_Eingaben'!$C$13))</f>
        <v/>
      </c>
      <c r="D858" s="27">
        <f>IF(C858="","",C858*'02_Eingaben'!$C$15)</f>
        <v/>
      </c>
      <c r="E858" s="27">
        <f>IF(D858="","",D858*'02_Eingaben'!$C$8)</f>
        <v/>
      </c>
      <c r="F858" s="27">
        <f>IF(E858="","",AVERAGE(INDEX($E$2:$E$3001,MAX(1,ROW()-1-'02_Eingaben'!$C$17)):INDEX($E$2:$E$3001,MIN('02_Eingaben'!$C$21,ROW()-1+'02_Eingaben'!$C$17))))</f>
        <v/>
      </c>
      <c r="G858" s="27">
        <f>IF(F858="","",F858-'02_Eingaben'!$C$10)</f>
        <v/>
      </c>
      <c r="H858">
        <f>IF(F858="","",IF(F858&lt;'02_Eingaben'!$C$18*'02_Eingaben'!$C$10,1,0))</f>
        <v/>
      </c>
      <c r="I858" s="27">
        <f>IF(OR(G858="",G859=""),"",(G858+G859)/2*(B859-B858))</f>
        <v/>
      </c>
      <c r="J858" s="27">
        <f>IF(B858="","",IF(B857&lt;'02_Eingaben'!$C$36,0,J857+I857/'02_Eingaben'!$C$8))</f>
        <v/>
      </c>
    </row>
    <row r="859">
      <c r="A859">
        <f>IF('01_Rohdaten'!A859="","",ROW()-1)</f>
        <v/>
      </c>
      <c r="B859" s="27">
        <f>IF('01_Rohdaten'!A859="","",'01_Rohdaten'!A859)</f>
        <v/>
      </c>
      <c r="C859" s="27">
        <f>IF(B859="","",INDEX('01_Rohdaten'!B859:D859,'02_Eingaben'!$C$13))</f>
        <v/>
      </c>
      <c r="D859" s="27">
        <f>IF(C859="","",C859*'02_Eingaben'!$C$15)</f>
        <v/>
      </c>
      <c r="E859" s="27">
        <f>IF(D859="","",D859*'02_Eingaben'!$C$8)</f>
        <v/>
      </c>
      <c r="F859" s="27">
        <f>IF(E859="","",AVERAGE(INDEX($E$2:$E$3001,MAX(1,ROW()-1-'02_Eingaben'!$C$17)):INDEX($E$2:$E$3001,MIN('02_Eingaben'!$C$21,ROW()-1+'02_Eingaben'!$C$17))))</f>
        <v/>
      </c>
      <c r="G859" s="27">
        <f>IF(F859="","",F859-'02_Eingaben'!$C$10)</f>
        <v/>
      </c>
      <c r="H859">
        <f>IF(F859="","",IF(F859&lt;'02_Eingaben'!$C$18*'02_Eingaben'!$C$10,1,0))</f>
        <v/>
      </c>
      <c r="I859" s="27">
        <f>IF(OR(G859="",G860=""),"",(G859+G860)/2*(B860-B859))</f>
        <v/>
      </c>
      <c r="J859" s="27">
        <f>IF(B859="","",IF(B858&lt;'02_Eingaben'!$C$36,0,J858+I858/'02_Eingaben'!$C$8))</f>
        <v/>
      </c>
    </row>
    <row r="860">
      <c r="A860">
        <f>IF('01_Rohdaten'!A860="","",ROW()-1)</f>
        <v/>
      </c>
      <c r="B860" s="27">
        <f>IF('01_Rohdaten'!A860="","",'01_Rohdaten'!A860)</f>
        <v/>
      </c>
      <c r="C860" s="27">
        <f>IF(B860="","",INDEX('01_Rohdaten'!B860:D860,'02_Eingaben'!$C$13))</f>
        <v/>
      </c>
      <c r="D860" s="27">
        <f>IF(C860="","",C860*'02_Eingaben'!$C$15)</f>
        <v/>
      </c>
      <c r="E860" s="27">
        <f>IF(D860="","",D860*'02_Eingaben'!$C$8)</f>
        <v/>
      </c>
      <c r="F860" s="27">
        <f>IF(E860="","",AVERAGE(INDEX($E$2:$E$3001,MAX(1,ROW()-1-'02_Eingaben'!$C$17)):INDEX($E$2:$E$3001,MIN('02_Eingaben'!$C$21,ROW()-1+'02_Eingaben'!$C$17))))</f>
        <v/>
      </c>
      <c r="G860" s="27">
        <f>IF(F860="","",F860-'02_Eingaben'!$C$10)</f>
        <v/>
      </c>
      <c r="H860">
        <f>IF(F860="","",IF(F860&lt;'02_Eingaben'!$C$18*'02_Eingaben'!$C$10,1,0))</f>
        <v/>
      </c>
      <c r="I860" s="27">
        <f>IF(OR(G860="",G861=""),"",(G860+G861)/2*(B861-B860))</f>
        <v/>
      </c>
      <c r="J860" s="27">
        <f>IF(B860="","",IF(B859&lt;'02_Eingaben'!$C$36,0,J859+I859/'02_Eingaben'!$C$8))</f>
        <v/>
      </c>
    </row>
    <row r="861">
      <c r="A861">
        <f>IF('01_Rohdaten'!A861="","",ROW()-1)</f>
        <v/>
      </c>
      <c r="B861" s="27">
        <f>IF('01_Rohdaten'!A861="","",'01_Rohdaten'!A861)</f>
        <v/>
      </c>
      <c r="C861" s="27">
        <f>IF(B861="","",INDEX('01_Rohdaten'!B861:D861,'02_Eingaben'!$C$13))</f>
        <v/>
      </c>
      <c r="D861" s="27">
        <f>IF(C861="","",C861*'02_Eingaben'!$C$15)</f>
        <v/>
      </c>
      <c r="E861" s="27">
        <f>IF(D861="","",D861*'02_Eingaben'!$C$8)</f>
        <v/>
      </c>
      <c r="F861" s="27">
        <f>IF(E861="","",AVERAGE(INDEX($E$2:$E$3001,MAX(1,ROW()-1-'02_Eingaben'!$C$17)):INDEX($E$2:$E$3001,MIN('02_Eingaben'!$C$21,ROW()-1+'02_Eingaben'!$C$17))))</f>
        <v/>
      </c>
      <c r="G861" s="27">
        <f>IF(F861="","",F861-'02_Eingaben'!$C$10)</f>
        <v/>
      </c>
      <c r="H861">
        <f>IF(F861="","",IF(F861&lt;'02_Eingaben'!$C$18*'02_Eingaben'!$C$10,1,0))</f>
        <v/>
      </c>
      <c r="I861" s="27">
        <f>IF(OR(G861="",G862=""),"",(G861+G862)/2*(B862-B861))</f>
        <v/>
      </c>
      <c r="J861" s="27">
        <f>IF(B861="","",IF(B860&lt;'02_Eingaben'!$C$36,0,J860+I860/'02_Eingaben'!$C$8))</f>
        <v/>
      </c>
    </row>
    <row r="862">
      <c r="A862">
        <f>IF('01_Rohdaten'!A862="","",ROW()-1)</f>
        <v/>
      </c>
      <c r="B862" s="27">
        <f>IF('01_Rohdaten'!A862="","",'01_Rohdaten'!A862)</f>
        <v/>
      </c>
      <c r="C862" s="27">
        <f>IF(B862="","",INDEX('01_Rohdaten'!B862:D862,'02_Eingaben'!$C$13))</f>
        <v/>
      </c>
      <c r="D862" s="27">
        <f>IF(C862="","",C862*'02_Eingaben'!$C$15)</f>
        <v/>
      </c>
      <c r="E862" s="27">
        <f>IF(D862="","",D862*'02_Eingaben'!$C$8)</f>
        <v/>
      </c>
      <c r="F862" s="27">
        <f>IF(E862="","",AVERAGE(INDEX($E$2:$E$3001,MAX(1,ROW()-1-'02_Eingaben'!$C$17)):INDEX($E$2:$E$3001,MIN('02_Eingaben'!$C$21,ROW()-1+'02_Eingaben'!$C$17))))</f>
        <v/>
      </c>
      <c r="G862" s="27">
        <f>IF(F862="","",F862-'02_Eingaben'!$C$10)</f>
        <v/>
      </c>
      <c r="H862">
        <f>IF(F862="","",IF(F862&lt;'02_Eingaben'!$C$18*'02_Eingaben'!$C$10,1,0))</f>
        <v/>
      </c>
      <c r="I862" s="27">
        <f>IF(OR(G862="",G863=""),"",(G862+G863)/2*(B863-B862))</f>
        <v/>
      </c>
      <c r="J862" s="27">
        <f>IF(B862="","",IF(B861&lt;'02_Eingaben'!$C$36,0,J861+I861/'02_Eingaben'!$C$8))</f>
        <v/>
      </c>
    </row>
    <row r="863">
      <c r="A863">
        <f>IF('01_Rohdaten'!A863="","",ROW()-1)</f>
        <v/>
      </c>
      <c r="B863" s="27">
        <f>IF('01_Rohdaten'!A863="","",'01_Rohdaten'!A863)</f>
        <v/>
      </c>
      <c r="C863" s="27">
        <f>IF(B863="","",INDEX('01_Rohdaten'!B863:D863,'02_Eingaben'!$C$13))</f>
        <v/>
      </c>
      <c r="D863" s="27">
        <f>IF(C863="","",C863*'02_Eingaben'!$C$15)</f>
        <v/>
      </c>
      <c r="E863" s="27">
        <f>IF(D863="","",D863*'02_Eingaben'!$C$8)</f>
        <v/>
      </c>
      <c r="F863" s="27">
        <f>IF(E863="","",AVERAGE(INDEX($E$2:$E$3001,MAX(1,ROW()-1-'02_Eingaben'!$C$17)):INDEX($E$2:$E$3001,MIN('02_Eingaben'!$C$21,ROW()-1+'02_Eingaben'!$C$17))))</f>
        <v/>
      </c>
      <c r="G863" s="27">
        <f>IF(F863="","",F863-'02_Eingaben'!$C$10)</f>
        <v/>
      </c>
      <c r="H863">
        <f>IF(F863="","",IF(F863&lt;'02_Eingaben'!$C$18*'02_Eingaben'!$C$10,1,0))</f>
        <v/>
      </c>
      <c r="I863" s="27">
        <f>IF(OR(G863="",G864=""),"",(G863+G864)/2*(B864-B863))</f>
        <v/>
      </c>
      <c r="J863" s="27">
        <f>IF(B863="","",IF(B862&lt;'02_Eingaben'!$C$36,0,J862+I862/'02_Eingaben'!$C$8))</f>
        <v/>
      </c>
    </row>
    <row r="864">
      <c r="A864">
        <f>IF('01_Rohdaten'!A864="","",ROW()-1)</f>
        <v/>
      </c>
      <c r="B864" s="27">
        <f>IF('01_Rohdaten'!A864="","",'01_Rohdaten'!A864)</f>
        <v/>
      </c>
      <c r="C864" s="27">
        <f>IF(B864="","",INDEX('01_Rohdaten'!B864:D864,'02_Eingaben'!$C$13))</f>
        <v/>
      </c>
      <c r="D864" s="27">
        <f>IF(C864="","",C864*'02_Eingaben'!$C$15)</f>
        <v/>
      </c>
      <c r="E864" s="27">
        <f>IF(D864="","",D864*'02_Eingaben'!$C$8)</f>
        <v/>
      </c>
      <c r="F864" s="27">
        <f>IF(E864="","",AVERAGE(INDEX($E$2:$E$3001,MAX(1,ROW()-1-'02_Eingaben'!$C$17)):INDEX($E$2:$E$3001,MIN('02_Eingaben'!$C$21,ROW()-1+'02_Eingaben'!$C$17))))</f>
        <v/>
      </c>
      <c r="G864" s="27">
        <f>IF(F864="","",F864-'02_Eingaben'!$C$10)</f>
        <v/>
      </c>
      <c r="H864">
        <f>IF(F864="","",IF(F864&lt;'02_Eingaben'!$C$18*'02_Eingaben'!$C$10,1,0))</f>
        <v/>
      </c>
      <c r="I864" s="27">
        <f>IF(OR(G864="",G865=""),"",(G864+G865)/2*(B865-B864))</f>
        <v/>
      </c>
      <c r="J864" s="27">
        <f>IF(B864="","",IF(B863&lt;'02_Eingaben'!$C$36,0,J863+I863/'02_Eingaben'!$C$8))</f>
        <v/>
      </c>
    </row>
    <row r="865">
      <c r="A865">
        <f>IF('01_Rohdaten'!A865="","",ROW()-1)</f>
        <v/>
      </c>
      <c r="B865" s="27">
        <f>IF('01_Rohdaten'!A865="","",'01_Rohdaten'!A865)</f>
        <v/>
      </c>
      <c r="C865" s="27">
        <f>IF(B865="","",INDEX('01_Rohdaten'!B865:D865,'02_Eingaben'!$C$13))</f>
        <v/>
      </c>
      <c r="D865" s="27">
        <f>IF(C865="","",C865*'02_Eingaben'!$C$15)</f>
        <v/>
      </c>
      <c r="E865" s="27">
        <f>IF(D865="","",D865*'02_Eingaben'!$C$8)</f>
        <v/>
      </c>
      <c r="F865" s="27">
        <f>IF(E865="","",AVERAGE(INDEX($E$2:$E$3001,MAX(1,ROW()-1-'02_Eingaben'!$C$17)):INDEX($E$2:$E$3001,MIN('02_Eingaben'!$C$21,ROW()-1+'02_Eingaben'!$C$17))))</f>
        <v/>
      </c>
      <c r="G865" s="27">
        <f>IF(F865="","",F865-'02_Eingaben'!$C$10)</f>
        <v/>
      </c>
      <c r="H865">
        <f>IF(F865="","",IF(F865&lt;'02_Eingaben'!$C$18*'02_Eingaben'!$C$10,1,0))</f>
        <v/>
      </c>
      <c r="I865" s="27">
        <f>IF(OR(G865="",G866=""),"",(G865+G866)/2*(B866-B865))</f>
        <v/>
      </c>
      <c r="J865" s="27">
        <f>IF(B865="","",IF(B864&lt;'02_Eingaben'!$C$36,0,J864+I864/'02_Eingaben'!$C$8))</f>
        <v/>
      </c>
    </row>
    <row r="866">
      <c r="A866">
        <f>IF('01_Rohdaten'!A866="","",ROW()-1)</f>
        <v/>
      </c>
      <c r="B866" s="27">
        <f>IF('01_Rohdaten'!A866="","",'01_Rohdaten'!A866)</f>
        <v/>
      </c>
      <c r="C866" s="27">
        <f>IF(B866="","",INDEX('01_Rohdaten'!B866:D866,'02_Eingaben'!$C$13))</f>
        <v/>
      </c>
      <c r="D866" s="27">
        <f>IF(C866="","",C866*'02_Eingaben'!$C$15)</f>
        <v/>
      </c>
      <c r="E866" s="27">
        <f>IF(D866="","",D866*'02_Eingaben'!$C$8)</f>
        <v/>
      </c>
      <c r="F866" s="27">
        <f>IF(E866="","",AVERAGE(INDEX($E$2:$E$3001,MAX(1,ROW()-1-'02_Eingaben'!$C$17)):INDEX($E$2:$E$3001,MIN('02_Eingaben'!$C$21,ROW()-1+'02_Eingaben'!$C$17))))</f>
        <v/>
      </c>
      <c r="G866" s="27">
        <f>IF(F866="","",F866-'02_Eingaben'!$C$10)</f>
        <v/>
      </c>
      <c r="H866">
        <f>IF(F866="","",IF(F866&lt;'02_Eingaben'!$C$18*'02_Eingaben'!$C$10,1,0))</f>
        <v/>
      </c>
      <c r="I866" s="27">
        <f>IF(OR(G866="",G867=""),"",(G866+G867)/2*(B867-B866))</f>
        <v/>
      </c>
      <c r="J866" s="27">
        <f>IF(B866="","",IF(B865&lt;'02_Eingaben'!$C$36,0,J865+I865/'02_Eingaben'!$C$8))</f>
        <v/>
      </c>
    </row>
    <row r="867">
      <c r="A867">
        <f>IF('01_Rohdaten'!A867="","",ROW()-1)</f>
        <v/>
      </c>
      <c r="B867" s="27">
        <f>IF('01_Rohdaten'!A867="","",'01_Rohdaten'!A867)</f>
        <v/>
      </c>
      <c r="C867" s="27">
        <f>IF(B867="","",INDEX('01_Rohdaten'!B867:D867,'02_Eingaben'!$C$13))</f>
        <v/>
      </c>
      <c r="D867" s="27">
        <f>IF(C867="","",C867*'02_Eingaben'!$C$15)</f>
        <v/>
      </c>
      <c r="E867" s="27">
        <f>IF(D867="","",D867*'02_Eingaben'!$C$8)</f>
        <v/>
      </c>
      <c r="F867" s="27">
        <f>IF(E867="","",AVERAGE(INDEX($E$2:$E$3001,MAX(1,ROW()-1-'02_Eingaben'!$C$17)):INDEX($E$2:$E$3001,MIN('02_Eingaben'!$C$21,ROW()-1+'02_Eingaben'!$C$17))))</f>
        <v/>
      </c>
      <c r="G867" s="27">
        <f>IF(F867="","",F867-'02_Eingaben'!$C$10)</f>
        <v/>
      </c>
      <c r="H867">
        <f>IF(F867="","",IF(F867&lt;'02_Eingaben'!$C$18*'02_Eingaben'!$C$10,1,0))</f>
        <v/>
      </c>
      <c r="I867" s="27">
        <f>IF(OR(G867="",G868=""),"",(G867+G868)/2*(B868-B867))</f>
        <v/>
      </c>
      <c r="J867" s="27">
        <f>IF(B867="","",IF(B866&lt;'02_Eingaben'!$C$36,0,J866+I866/'02_Eingaben'!$C$8))</f>
        <v/>
      </c>
    </row>
    <row r="868">
      <c r="A868">
        <f>IF('01_Rohdaten'!A868="","",ROW()-1)</f>
        <v/>
      </c>
      <c r="B868" s="27">
        <f>IF('01_Rohdaten'!A868="","",'01_Rohdaten'!A868)</f>
        <v/>
      </c>
      <c r="C868" s="27">
        <f>IF(B868="","",INDEX('01_Rohdaten'!B868:D868,'02_Eingaben'!$C$13))</f>
        <v/>
      </c>
      <c r="D868" s="27">
        <f>IF(C868="","",C868*'02_Eingaben'!$C$15)</f>
        <v/>
      </c>
      <c r="E868" s="27">
        <f>IF(D868="","",D868*'02_Eingaben'!$C$8)</f>
        <v/>
      </c>
      <c r="F868" s="27">
        <f>IF(E868="","",AVERAGE(INDEX($E$2:$E$3001,MAX(1,ROW()-1-'02_Eingaben'!$C$17)):INDEX($E$2:$E$3001,MIN('02_Eingaben'!$C$21,ROW()-1+'02_Eingaben'!$C$17))))</f>
        <v/>
      </c>
      <c r="G868" s="27">
        <f>IF(F868="","",F868-'02_Eingaben'!$C$10)</f>
        <v/>
      </c>
      <c r="H868">
        <f>IF(F868="","",IF(F868&lt;'02_Eingaben'!$C$18*'02_Eingaben'!$C$10,1,0))</f>
        <v/>
      </c>
      <c r="I868" s="27">
        <f>IF(OR(G868="",G869=""),"",(G868+G869)/2*(B869-B868))</f>
        <v/>
      </c>
      <c r="J868" s="27">
        <f>IF(B868="","",IF(B867&lt;'02_Eingaben'!$C$36,0,J867+I867/'02_Eingaben'!$C$8))</f>
        <v/>
      </c>
    </row>
    <row r="869">
      <c r="A869">
        <f>IF('01_Rohdaten'!A869="","",ROW()-1)</f>
        <v/>
      </c>
      <c r="B869" s="27">
        <f>IF('01_Rohdaten'!A869="","",'01_Rohdaten'!A869)</f>
        <v/>
      </c>
      <c r="C869" s="27">
        <f>IF(B869="","",INDEX('01_Rohdaten'!B869:D869,'02_Eingaben'!$C$13))</f>
        <v/>
      </c>
      <c r="D869" s="27">
        <f>IF(C869="","",C869*'02_Eingaben'!$C$15)</f>
        <v/>
      </c>
      <c r="E869" s="27">
        <f>IF(D869="","",D869*'02_Eingaben'!$C$8)</f>
        <v/>
      </c>
      <c r="F869" s="27">
        <f>IF(E869="","",AVERAGE(INDEX($E$2:$E$3001,MAX(1,ROW()-1-'02_Eingaben'!$C$17)):INDEX($E$2:$E$3001,MIN('02_Eingaben'!$C$21,ROW()-1+'02_Eingaben'!$C$17))))</f>
        <v/>
      </c>
      <c r="G869" s="27">
        <f>IF(F869="","",F869-'02_Eingaben'!$C$10)</f>
        <v/>
      </c>
      <c r="H869">
        <f>IF(F869="","",IF(F869&lt;'02_Eingaben'!$C$18*'02_Eingaben'!$C$10,1,0))</f>
        <v/>
      </c>
      <c r="I869" s="27">
        <f>IF(OR(G869="",G870=""),"",(G869+G870)/2*(B870-B869))</f>
        <v/>
      </c>
      <c r="J869" s="27">
        <f>IF(B869="","",IF(B868&lt;'02_Eingaben'!$C$36,0,J868+I868/'02_Eingaben'!$C$8))</f>
        <v/>
      </c>
    </row>
    <row r="870">
      <c r="A870">
        <f>IF('01_Rohdaten'!A870="","",ROW()-1)</f>
        <v/>
      </c>
      <c r="B870" s="27">
        <f>IF('01_Rohdaten'!A870="","",'01_Rohdaten'!A870)</f>
        <v/>
      </c>
      <c r="C870" s="27">
        <f>IF(B870="","",INDEX('01_Rohdaten'!B870:D870,'02_Eingaben'!$C$13))</f>
        <v/>
      </c>
      <c r="D870" s="27">
        <f>IF(C870="","",C870*'02_Eingaben'!$C$15)</f>
        <v/>
      </c>
      <c r="E870" s="27">
        <f>IF(D870="","",D870*'02_Eingaben'!$C$8)</f>
        <v/>
      </c>
      <c r="F870" s="27">
        <f>IF(E870="","",AVERAGE(INDEX($E$2:$E$3001,MAX(1,ROW()-1-'02_Eingaben'!$C$17)):INDEX($E$2:$E$3001,MIN('02_Eingaben'!$C$21,ROW()-1+'02_Eingaben'!$C$17))))</f>
        <v/>
      </c>
      <c r="G870" s="27">
        <f>IF(F870="","",F870-'02_Eingaben'!$C$10)</f>
        <v/>
      </c>
      <c r="H870">
        <f>IF(F870="","",IF(F870&lt;'02_Eingaben'!$C$18*'02_Eingaben'!$C$10,1,0))</f>
        <v/>
      </c>
      <c r="I870" s="27">
        <f>IF(OR(G870="",G871=""),"",(G870+G871)/2*(B871-B870))</f>
        <v/>
      </c>
      <c r="J870" s="27">
        <f>IF(B870="","",IF(B869&lt;'02_Eingaben'!$C$36,0,J869+I869/'02_Eingaben'!$C$8))</f>
        <v/>
      </c>
    </row>
    <row r="871">
      <c r="A871">
        <f>IF('01_Rohdaten'!A871="","",ROW()-1)</f>
        <v/>
      </c>
      <c r="B871" s="27">
        <f>IF('01_Rohdaten'!A871="","",'01_Rohdaten'!A871)</f>
        <v/>
      </c>
      <c r="C871" s="27">
        <f>IF(B871="","",INDEX('01_Rohdaten'!B871:D871,'02_Eingaben'!$C$13))</f>
        <v/>
      </c>
      <c r="D871" s="27">
        <f>IF(C871="","",C871*'02_Eingaben'!$C$15)</f>
        <v/>
      </c>
      <c r="E871" s="27">
        <f>IF(D871="","",D871*'02_Eingaben'!$C$8)</f>
        <v/>
      </c>
      <c r="F871" s="27">
        <f>IF(E871="","",AVERAGE(INDEX($E$2:$E$3001,MAX(1,ROW()-1-'02_Eingaben'!$C$17)):INDEX($E$2:$E$3001,MIN('02_Eingaben'!$C$21,ROW()-1+'02_Eingaben'!$C$17))))</f>
        <v/>
      </c>
      <c r="G871" s="27">
        <f>IF(F871="","",F871-'02_Eingaben'!$C$10)</f>
        <v/>
      </c>
      <c r="H871">
        <f>IF(F871="","",IF(F871&lt;'02_Eingaben'!$C$18*'02_Eingaben'!$C$10,1,0))</f>
        <v/>
      </c>
      <c r="I871" s="27">
        <f>IF(OR(G871="",G872=""),"",(G871+G872)/2*(B872-B871))</f>
        <v/>
      </c>
      <c r="J871" s="27">
        <f>IF(B871="","",IF(B870&lt;'02_Eingaben'!$C$36,0,J870+I870/'02_Eingaben'!$C$8))</f>
        <v/>
      </c>
    </row>
    <row r="872">
      <c r="A872">
        <f>IF('01_Rohdaten'!A872="","",ROW()-1)</f>
        <v/>
      </c>
      <c r="B872" s="27">
        <f>IF('01_Rohdaten'!A872="","",'01_Rohdaten'!A872)</f>
        <v/>
      </c>
      <c r="C872" s="27">
        <f>IF(B872="","",INDEX('01_Rohdaten'!B872:D872,'02_Eingaben'!$C$13))</f>
        <v/>
      </c>
      <c r="D872" s="27">
        <f>IF(C872="","",C872*'02_Eingaben'!$C$15)</f>
        <v/>
      </c>
      <c r="E872" s="27">
        <f>IF(D872="","",D872*'02_Eingaben'!$C$8)</f>
        <v/>
      </c>
      <c r="F872" s="27">
        <f>IF(E872="","",AVERAGE(INDEX($E$2:$E$3001,MAX(1,ROW()-1-'02_Eingaben'!$C$17)):INDEX($E$2:$E$3001,MIN('02_Eingaben'!$C$21,ROW()-1+'02_Eingaben'!$C$17))))</f>
        <v/>
      </c>
      <c r="G872" s="27">
        <f>IF(F872="","",F872-'02_Eingaben'!$C$10)</f>
        <v/>
      </c>
      <c r="H872">
        <f>IF(F872="","",IF(F872&lt;'02_Eingaben'!$C$18*'02_Eingaben'!$C$10,1,0))</f>
        <v/>
      </c>
      <c r="I872" s="27">
        <f>IF(OR(G872="",G873=""),"",(G872+G873)/2*(B873-B872))</f>
        <v/>
      </c>
      <c r="J872" s="27">
        <f>IF(B872="","",IF(B871&lt;'02_Eingaben'!$C$36,0,J871+I871/'02_Eingaben'!$C$8))</f>
        <v/>
      </c>
    </row>
    <row r="873">
      <c r="A873">
        <f>IF('01_Rohdaten'!A873="","",ROW()-1)</f>
        <v/>
      </c>
      <c r="B873" s="27">
        <f>IF('01_Rohdaten'!A873="","",'01_Rohdaten'!A873)</f>
        <v/>
      </c>
      <c r="C873" s="27">
        <f>IF(B873="","",INDEX('01_Rohdaten'!B873:D873,'02_Eingaben'!$C$13))</f>
        <v/>
      </c>
      <c r="D873" s="27">
        <f>IF(C873="","",C873*'02_Eingaben'!$C$15)</f>
        <v/>
      </c>
      <c r="E873" s="27">
        <f>IF(D873="","",D873*'02_Eingaben'!$C$8)</f>
        <v/>
      </c>
      <c r="F873" s="27">
        <f>IF(E873="","",AVERAGE(INDEX($E$2:$E$3001,MAX(1,ROW()-1-'02_Eingaben'!$C$17)):INDEX($E$2:$E$3001,MIN('02_Eingaben'!$C$21,ROW()-1+'02_Eingaben'!$C$17))))</f>
        <v/>
      </c>
      <c r="G873" s="27">
        <f>IF(F873="","",F873-'02_Eingaben'!$C$10)</f>
        <v/>
      </c>
      <c r="H873">
        <f>IF(F873="","",IF(F873&lt;'02_Eingaben'!$C$18*'02_Eingaben'!$C$10,1,0))</f>
        <v/>
      </c>
      <c r="I873" s="27">
        <f>IF(OR(G873="",G874=""),"",(G873+G874)/2*(B874-B873))</f>
        <v/>
      </c>
      <c r="J873" s="27">
        <f>IF(B873="","",IF(B872&lt;'02_Eingaben'!$C$36,0,J872+I872/'02_Eingaben'!$C$8))</f>
        <v/>
      </c>
    </row>
    <row r="874">
      <c r="A874">
        <f>IF('01_Rohdaten'!A874="","",ROW()-1)</f>
        <v/>
      </c>
      <c r="B874" s="27">
        <f>IF('01_Rohdaten'!A874="","",'01_Rohdaten'!A874)</f>
        <v/>
      </c>
      <c r="C874" s="27">
        <f>IF(B874="","",INDEX('01_Rohdaten'!B874:D874,'02_Eingaben'!$C$13))</f>
        <v/>
      </c>
      <c r="D874" s="27">
        <f>IF(C874="","",C874*'02_Eingaben'!$C$15)</f>
        <v/>
      </c>
      <c r="E874" s="27">
        <f>IF(D874="","",D874*'02_Eingaben'!$C$8)</f>
        <v/>
      </c>
      <c r="F874" s="27">
        <f>IF(E874="","",AVERAGE(INDEX($E$2:$E$3001,MAX(1,ROW()-1-'02_Eingaben'!$C$17)):INDEX($E$2:$E$3001,MIN('02_Eingaben'!$C$21,ROW()-1+'02_Eingaben'!$C$17))))</f>
        <v/>
      </c>
      <c r="G874" s="27">
        <f>IF(F874="","",F874-'02_Eingaben'!$C$10)</f>
        <v/>
      </c>
      <c r="H874">
        <f>IF(F874="","",IF(F874&lt;'02_Eingaben'!$C$18*'02_Eingaben'!$C$10,1,0))</f>
        <v/>
      </c>
      <c r="I874" s="27">
        <f>IF(OR(G874="",G875=""),"",(G874+G875)/2*(B875-B874))</f>
        <v/>
      </c>
      <c r="J874" s="27">
        <f>IF(B874="","",IF(B873&lt;'02_Eingaben'!$C$36,0,J873+I873/'02_Eingaben'!$C$8))</f>
        <v/>
      </c>
    </row>
    <row r="875">
      <c r="A875">
        <f>IF('01_Rohdaten'!A875="","",ROW()-1)</f>
        <v/>
      </c>
      <c r="B875" s="27">
        <f>IF('01_Rohdaten'!A875="","",'01_Rohdaten'!A875)</f>
        <v/>
      </c>
      <c r="C875" s="27">
        <f>IF(B875="","",INDEX('01_Rohdaten'!B875:D875,'02_Eingaben'!$C$13))</f>
        <v/>
      </c>
      <c r="D875" s="27">
        <f>IF(C875="","",C875*'02_Eingaben'!$C$15)</f>
        <v/>
      </c>
      <c r="E875" s="27">
        <f>IF(D875="","",D875*'02_Eingaben'!$C$8)</f>
        <v/>
      </c>
      <c r="F875" s="27">
        <f>IF(E875="","",AVERAGE(INDEX($E$2:$E$3001,MAX(1,ROW()-1-'02_Eingaben'!$C$17)):INDEX($E$2:$E$3001,MIN('02_Eingaben'!$C$21,ROW()-1+'02_Eingaben'!$C$17))))</f>
        <v/>
      </c>
      <c r="G875" s="27">
        <f>IF(F875="","",F875-'02_Eingaben'!$C$10)</f>
        <v/>
      </c>
      <c r="H875">
        <f>IF(F875="","",IF(F875&lt;'02_Eingaben'!$C$18*'02_Eingaben'!$C$10,1,0))</f>
        <v/>
      </c>
      <c r="I875" s="27">
        <f>IF(OR(G875="",G876=""),"",(G875+G876)/2*(B876-B875))</f>
        <v/>
      </c>
      <c r="J875" s="27">
        <f>IF(B875="","",IF(B874&lt;'02_Eingaben'!$C$36,0,J874+I874/'02_Eingaben'!$C$8))</f>
        <v/>
      </c>
    </row>
    <row r="876">
      <c r="A876">
        <f>IF('01_Rohdaten'!A876="","",ROW()-1)</f>
        <v/>
      </c>
      <c r="B876" s="27">
        <f>IF('01_Rohdaten'!A876="","",'01_Rohdaten'!A876)</f>
        <v/>
      </c>
      <c r="C876" s="27">
        <f>IF(B876="","",INDEX('01_Rohdaten'!B876:D876,'02_Eingaben'!$C$13))</f>
        <v/>
      </c>
      <c r="D876" s="27">
        <f>IF(C876="","",C876*'02_Eingaben'!$C$15)</f>
        <v/>
      </c>
      <c r="E876" s="27">
        <f>IF(D876="","",D876*'02_Eingaben'!$C$8)</f>
        <v/>
      </c>
      <c r="F876" s="27">
        <f>IF(E876="","",AVERAGE(INDEX($E$2:$E$3001,MAX(1,ROW()-1-'02_Eingaben'!$C$17)):INDEX($E$2:$E$3001,MIN('02_Eingaben'!$C$21,ROW()-1+'02_Eingaben'!$C$17))))</f>
        <v/>
      </c>
      <c r="G876" s="27">
        <f>IF(F876="","",F876-'02_Eingaben'!$C$10)</f>
        <v/>
      </c>
      <c r="H876">
        <f>IF(F876="","",IF(F876&lt;'02_Eingaben'!$C$18*'02_Eingaben'!$C$10,1,0))</f>
        <v/>
      </c>
      <c r="I876" s="27">
        <f>IF(OR(G876="",G877=""),"",(G876+G877)/2*(B877-B876))</f>
        <v/>
      </c>
      <c r="J876" s="27">
        <f>IF(B876="","",IF(B875&lt;'02_Eingaben'!$C$36,0,J875+I875/'02_Eingaben'!$C$8))</f>
        <v/>
      </c>
    </row>
    <row r="877">
      <c r="A877">
        <f>IF('01_Rohdaten'!A877="","",ROW()-1)</f>
        <v/>
      </c>
      <c r="B877" s="27">
        <f>IF('01_Rohdaten'!A877="","",'01_Rohdaten'!A877)</f>
        <v/>
      </c>
      <c r="C877" s="27">
        <f>IF(B877="","",INDEX('01_Rohdaten'!B877:D877,'02_Eingaben'!$C$13))</f>
        <v/>
      </c>
      <c r="D877" s="27">
        <f>IF(C877="","",C877*'02_Eingaben'!$C$15)</f>
        <v/>
      </c>
      <c r="E877" s="27">
        <f>IF(D877="","",D877*'02_Eingaben'!$C$8)</f>
        <v/>
      </c>
      <c r="F877" s="27">
        <f>IF(E877="","",AVERAGE(INDEX($E$2:$E$3001,MAX(1,ROW()-1-'02_Eingaben'!$C$17)):INDEX($E$2:$E$3001,MIN('02_Eingaben'!$C$21,ROW()-1+'02_Eingaben'!$C$17))))</f>
        <v/>
      </c>
      <c r="G877" s="27">
        <f>IF(F877="","",F877-'02_Eingaben'!$C$10)</f>
        <v/>
      </c>
      <c r="H877">
        <f>IF(F877="","",IF(F877&lt;'02_Eingaben'!$C$18*'02_Eingaben'!$C$10,1,0))</f>
        <v/>
      </c>
      <c r="I877" s="27">
        <f>IF(OR(G877="",G878=""),"",(G877+G878)/2*(B878-B877))</f>
        <v/>
      </c>
      <c r="J877" s="27">
        <f>IF(B877="","",IF(B876&lt;'02_Eingaben'!$C$36,0,J876+I876/'02_Eingaben'!$C$8))</f>
        <v/>
      </c>
    </row>
    <row r="878">
      <c r="A878">
        <f>IF('01_Rohdaten'!A878="","",ROW()-1)</f>
        <v/>
      </c>
      <c r="B878" s="27">
        <f>IF('01_Rohdaten'!A878="","",'01_Rohdaten'!A878)</f>
        <v/>
      </c>
      <c r="C878" s="27">
        <f>IF(B878="","",INDEX('01_Rohdaten'!B878:D878,'02_Eingaben'!$C$13))</f>
        <v/>
      </c>
      <c r="D878" s="27">
        <f>IF(C878="","",C878*'02_Eingaben'!$C$15)</f>
        <v/>
      </c>
      <c r="E878" s="27">
        <f>IF(D878="","",D878*'02_Eingaben'!$C$8)</f>
        <v/>
      </c>
      <c r="F878" s="27">
        <f>IF(E878="","",AVERAGE(INDEX($E$2:$E$3001,MAX(1,ROW()-1-'02_Eingaben'!$C$17)):INDEX($E$2:$E$3001,MIN('02_Eingaben'!$C$21,ROW()-1+'02_Eingaben'!$C$17))))</f>
        <v/>
      </c>
      <c r="G878" s="27">
        <f>IF(F878="","",F878-'02_Eingaben'!$C$10)</f>
        <v/>
      </c>
      <c r="H878">
        <f>IF(F878="","",IF(F878&lt;'02_Eingaben'!$C$18*'02_Eingaben'!$C$10,1,0))</f>
        <v/>
      </c>
      <c r="I878" s="27">
        <f>IF(OR(G878="",G879=""),"",(G878+G879)/2*(B879-B878))</f>
        <v/>
      </c>
      <c r="J878" s="27">
        <f>IF(B878="","",IF(B877&lt;'02_Eingaben'!$C$36,0,J877+I877/'02_Eingaben'!$C$8))</f>
        <v/>
      </c>
    </row>
    <row r="879">
      <c r="A879">
        <f>IF('01_Rohdaten'!A879="","",ROW()-1)</f>
        <v/>
      </c>
      <c r="B879" s="27">
        <f>IF('01_Rohdaten'!A879="","",'01_Rohdaten'!A879)</f>
        <v/>
      </c>
      <c r="C879" s="27">
        <f>IF(B879="","",INDEX('01_Rohdaten'!B879:D879,'02_Eingaben'!$C$13))</f>
        <v/>
      </c>
      <c r="D879" s="27">
        <f>IF(C879="","",C879*'02_Eingaben'!$C$15)</f>
        <v/>
      </c>
      <c r="E879" s="27">
        <f>IF(D879="","",D879*'02_Eingaben'!$C$8)</f>
        <v/>
      </c>
      <c r="F879" s="27">
        <f>IF(E879="","",AVERAGE(INDEX($E$2:$E$3001,MAX(1,ROW()-1-'02_Eingaben'!$C$17)):INDEX($E$2:$E$3001,MIN('02_Eingaben'!$C$21,ROW()-1+'02_Eingaben'!$C$17))))</f>
        <v/>
      </c>
      <c r="G879" s="27">
        <f>IF(F879="","",F879-'02_Eingaben'!$C$10)</f>
        <v/>
      </c>
      <c r="H879">
        <f>IF(F879="","",IF(F879&lt;'02_Eingaben'!$C$18*'02_Eingaben'!$C$10,1,0))</f>
        <v/>
      </c>
      <c r="I879" s="27">
        <f>IF(OR(G879="",G880=""),"",(G879+G880)/2*(B880-B879))</f>
        <v/>
      </c>
      <c r="J879" s="27">
        <f>IF(B879="","",IF(B878&lt;'02_Eingaben'!$C$36,0,J878+I878/'02_Eingaben'!$C$8))</f>
        <v/>
      </c>
    </row>
    <row r="880">
      <c r="A880">
        <f>IF('01_Rohdaten'!A880="","",ROW()-1)</f>
        <v/>
      </c>
      <c r="B880" s="27">
        <f>IF('01_Rohdaten'!A880="","",'01_Rohdaten'!A880)</f>
        <v/>
      </c>
      <c r="C880" s="27">
        <f>IF(B880="","",INDEX('01_Rohdaten'!B880:D880,'02_Eingaben'!$C$13))</f>
        <v/>
      </c>
      <c r="D880" s="27">
        <f>IF(C880="","",C880*'02_Eingaben'!$C$15)</f>
        <v/>
      </c>
      <c r="E880" s="27">
        <f>IF(D880="","",D880*'02_Eingaben'!$C$8)</f>
        <v/>
      </c>
      <c r="F880" s="27">
        <f>IF(E880="","",AVERAGE(INDEX($E$2:$E$3001,MAX(1,ROW()-1-'02_Eingaben'!$C$17)):INDEX($E$2:$E$3001,MIN('02_Eingaben'!$C$21,ROW()-1+'02_Eingaben'!$C$17))))</f>
        <v/>
      </c>
      <c r="G880" s="27">
        <f>IF(F880="","",F880-'02_Eingaben'!$C$10)</f>
        <v/>
      </c>
      <c r="H880">
        <f>IF(F880="","",IF(F880&lt;'02_Eingaben'!$C$18*'02_Eingaben'!$C$10,1,0))</f>
        <v/>
      </c>
      <c r="I880" s="27">
        <f>IF(OR(G880="",G881=""),"",(G880+G881)/2*(B881-B880))</f>
        <v/>
      </c>
      <c r="J880" s="27">
        <f>IF(B880="","",IF(B879&lt;'02_Eingaben'!$C$36,0,J879+I879/'02_Eingaben'!$C$8))</f>
        <v/>
      </c>
    </row>
    <row r="881">
      <c r="A881">
        <f>IF('01_Rohdaten'!A881="","",ROW()-1)</f>
        <v/>
      </c>
      <c r="B881" s="27">
        <f>IF('01_Rohdaten'!A881="","",'01_Rohdaten'!A881)</f>
        <v/>
      </c>
      <c r="C881" s="27">
        <f>IF(B881="","",INDEX('01_Rohdaten'!B881:D881,'02_Eingaben'!$C$13))</f>
        <v/>
      </c>
      <c r="D881" s="27">
        <f>IF(C881="","",C881*'02_Eingaben'!$C$15)</f>
        <v/>
      </c>
      <c r="E881" s="27">
        <f>IF(D881="","",D881*'02_Eingaben'!$C$8)</f>
        <v/>
      </c>
      <c r="F881" s="27">
        <f>IF(E881="","",AVERAGE(INDEX($E$2:$E$3001,MAX(1,ROW()-1-'02_Eingaben'!$C$17)):INDEX($E$2:$E$3001,MIN('02_Eingaben'!$C$21,ROW()-1+'02_Eingaben'!$C$17))))</f>
        <v/>
      </c>
      <c r="G881" s="27">
        <f>IF(F881="","",F881-'02_Eingaben'!$C$10)</f>
        <v/>
      </c>
      <c r="H881">
        <f>IF(F881="","",IF(F881&lt;'02_Eingaben'!$C$18*'02_Eingaben'!$C$10,1,0))</f>
        <v/>
      </c>
      <c r="I881" s="27">
        <f>IF(OR(G881="",G882=""),"",(G881+G882)/2*(B882-B881))</f>
        <v/>
      </c>
      <c r="J881" s="27">
        <f>IF(B881="","",IF(B880&lt;'02_Eingaben'!$C$36,0,J880+I880/'02_Eingaben'!$C$8))</f>
        <v/>
      </c>
    </row>
    <row r="882">
      <c r="A882">
        <f>IF('01_Rohdaten'!A882="","",ROW()-1)</f>
        <v/>
      </c>
      <c r="B882" s="27">
        <f>IF('01_Rohdaten'!A882="","",'01_Rohdaten'!A882)</f>
        <v/>
      </c>
      <c r="C882" s="27">
        <f>IF(B882="","",INDEX('01_Rohdaten'!B882:D882,'02_Eingaben'!$C$13))</f>
        <v/>
      </c>
      <c r="D882" s="27">
        <f>IF(C882="","",C882*'02_Eingaben'!$C$15)</f>
        <v/>
      </c>
      <c r="E882" s="27">
        <f>IF(D882="","",D882*'02_Eingaben'!$C$8)</f>
        <v/>
      </c>
      <c r="F882" s="27">
        <f>IF(E882="","",AVERAGE(INDEX($E$2:$E$3001,MAX(1,ROW()-1-'02_Eingaben'!$C$17)):INDEX($E$2:$E$3001,MIN('02_Eingaben'!$C$21,ROW()-1+'02_Eingaben'!$C$17))))</f>
        <v/>
      </c>
      <c r="G882" s="27">
        <f>IF(F882="","",F882-'02_Eingaben'!$C$10)</f>
        <v/>
      </c>
      <c r="H882">
        <f>IF(F882="","",IF(F882&lt;'02_Eingaben'!$C$18*'02_Eingaben'!$C$10,1,0))</f>
        <v/>
      </c>
      <c r="I882" s="27">
        <f>IF(OR(G882="",G883=""),"",(G882+G883)/2*(B883-B882))</f>
        <v/>
      </c>
      <c r="J882" s="27">
        <f>IF(B882="","",IF(B881&lt;'02_Eingaben'!$C$36,0,J881+I881/'02_Eingaben'!$C$8))</f>
        <v/>
      </c>
    </row>
    <row r="883">
      <c r="A883">
        <f>IF('01_Rohdaten'!A883="","",ROW()-1)</f>
        <v/>
      </c>
      <c r="B883" s="27">
        <f>IF('01_Rohdaten'!A883="","",'01_Rohdaten'!A883)</f>
        <v/>
      </c>
      <c r="C883" s="27">
        <f>IF(B883="","",INDEX('01_Rohdaten'!B883:D883,'02_Eingaben'!$C$13))</f>
        <v/>
      </c>
      <c r="D883" s="27">
        <f>IF(C883="","",C883*'02_Eingaben'!$C$15)</f>
        <v/>
      </c>
      <c r="E883" s="27">
        <f>IF(D883="","",D883*'02_Eingaben'!$C$8)</f>
        <v/>
      </c>
      <c r="F883" s="27">
        <f>IF(E883="","",AVERAGE(INDEX($E$2:$E$3001,MAX(1,ROW()-1-'02_Eingaben'!$C$17)):INDEX($E$2:$E$3001,MIN('02_Eingaben'!$C$21,ROW()-1+'02_Eingaben'!$C$17))))</f>
        <v/>
      </c>
      <c r="G883" s="27">
        <f>IF(F883="","",F883-'02_Eingaben'!$C$10)</f>
        <v/>
      </c>
      <c r="H883">
        <f>IF(F883="","",IF(F883&lt;'02_Eingaben'!$C$18*'02_Eingaben'!$C$10,1,0))</f>
        <v/>
      </c>
      <c r="I883" s="27">
        <f>IF(OR(G883="",G884=""),"",(G883+G884)/2*(B884-B883))</f>
        <v/>
      </c>
      <c r="J883" s="27">
        <f>IF(B883="","",IF(B882&lt;'02_Eingaben'!$C$36,0,J882+I882/'02_Eingaben'!$C$8))</f>
        <v/>
      </c>
    </row>
    <row r="884">
      <c r="A884">
        <f>IF('01_Rohdaten'!A884="","",ROW()-1)</f>
        <v/>
      </c>
      <c r="B884" s="27">
        <f>IF('01_Rohdaten'!A884="","",'01_Rohdaten'!A884)</f>
        <v/>
      </c>
      <c r="C884" s="27">
        <f>IF(B884="","",INDEX('01_Rohdaten'!B884:D884,'02_Eingaben'!$C$13))</f>
        <v/>
      </c>
      <c r="D884" s="27">
        <f>IF(C884="","",C884*'02_Eingaben'!$C$15)</f>
        <v/>
      </c>
      <c r="E884" s="27">
        <f>IF(D884="","",D884*'02_Eingaben'!$C$8)</f>
        <v/>
      </c>
      <c r="F884" s="27">
        <f>IF(E884="","",AVERAGE(INDEX($E$2:$E$3001,MAX(1,ROW()-1-'02_Eingaben'!$C$17)):INDEX($E$2:$E$3001,MIN('02_Eingaben'!$C$21,ROW()-1+'02_Eingaben'!$C$17))))</f>
        <v/>
      </c>
      <c r="G884" s="27">
        <f>IF(F884="","",F884-'02_Eingaben'!$C$10)</f>
        <v/>
      </c>
      <c r="H884">
        <f>IF(F884="","",IF(F884&lt;'02_Eingaben'!$C$18*'02_Eingaben'!$C$10,1,0))</f>
        <v/>
      </c>
      <c r="I884" s="27">
        <f>IF(OR(G884="",G885=""),"",(G884+G885)/2*(B885-B884))</f>
        <v/>
      </c>
      <c r="J884" s="27">
        <f>IF(B884="","",IF(B883&lt;'02_Eingaben'!$C$36,0,J883+I883/'02_Eingaben'!$C$8))</f>
        <v/>
      </c>
    </row>
    <row r="885">
      <c r="A885">
        <f>IF('01_Rohdaten'!A885="","",ROW()-1)</f>
        <v/>
      </c>
      <c r="B885" s="27">
        <f>IF('01_Rohdaten'!A885="","",'01_Rohdaten'!A885)</f>
        <v/>
      </c>
      <c r="C885" s="27">
        <f>IF(B885="","",INDEX('01_Rohdaten'!B885:D885,'02_Eingaben'!$C$13))</f>
        <v/>
      </c>
      <c r="D885" s="27">
        <f>IF(C885="","",C885*'02_Eingaben'!$C$15)</f>
        <v/>
      </c>
      <c r="E885" s="27">
        <f>IF(D885="","",D885*'02_Eingaben'!$C$8)</f>
        <v/>
      </c>
      <c r="F885" s="27">
        <f>IF(E885="","",AVERAGE(INDEX($E$2:$E$3001,MAX(1,ROW()-1-'02_Eingaben'!$C$17)):INDEX($E$2:$E$3001,MIN('02_Eingaben'!$C$21,ROW()-1+'02_Eingaben'!$C$17))))</f>
        <v/>
      </c>
      <c r="G885" s="27">
        <f>IF(F885="","",F885-'02_Eingaben'!$C$10)</f>
        <v/>
      </c>
      <c r="H885">
        <f>IF(F885="","",IF(F885&lt;'02_Eingaben'!$C$18*'02_Eingaben'!$C$10,1,0))</f>
        <v/>
      </c>
      <c r="I885" s="27">
        <f>IF(OR(G885="",G886=""),"",(G885+G886)/2*(B886-B885))</f>
        <v/>
      </c>
      <c r="J885" s="27">
        <f>IF(B885="","",IF(B884&lt;'02_Eingaben'!$C$36,0,J884+I884/'02_Eingaben'!$C$8))</f>
        <v/>
      </c>
    </row>
    <row r="886">
      <c r="A886">
        <f>IF('01_Rohdaten'!A886="","",ROW()-1)</f>
        <v/>
      </c>
      <c r="B886" s="27">
        <f>IF('01_Rohdaten'!A886="","",'01_Rohdaten'!A886)</f>
        <v/>
      </c>
      <c r="C886" s="27">
        <f>IF(B886="","",INDEX('01_Rohdaten'!B886:D886,'02_Eingaben'!$C$13))</f>
        <v/>
      </c>
      <c r="D886" s="27">
        <f>IF(C886="","",C886*'02_Eingaben'!$C$15)</f>
        <v/>
      </c>
      <c r="E886" s="27">
        <f>IF(D886="","",D886*'02_Eingaben'!$C$8)</f>
        <v/>
      </c>
      <c r="F886" s="27">
        <f>IF(E886="","",AVERAGE(INDEX($E$2:$E$3001,MAX(1,ROW()-1-'02_Eingaben'!$C$17)):INDEX($E$2:$E$3001,MIN('02_Eingaben'!$C$21,ROW()-1+'02_Eingaben'!$C$17))))</f>
        <v/>
      </c>
      <c r="G886" s="27">
        <f>IF(F886="","",F886-'02_Eingaben'!$C$10)</f>
        <v/>
      </c>
      <c r="H886">
        <f>IF(F886="","",IF(F886&lt;'02_Eingaben'!$C$18*'02_Eingaben'!$C$10,1,0))</f>
        <v/>
      </c>
      <c r="I886" s="27">
        <f>IF(OR(G886="",G887=""),"",(G886+G887)/2*(B887-B886))</f>
        <v/>
      </c>
      <c r="J886" s="27">
        <f>IF(B886="","",IF(B885&lt;'02_Eingaben'!$C$36,0,J885+I885/'02_Eingaben'!$C$8))</f>
        <v/>
      </c>
    </row>
    <row r="887">
      <c r="A887">
        <f>IF('01_Rohdaten'!A887="","",ROW()-1)</f>
        <v/>
      </c>
      <c r="B887" s="27">
        <f>IF('01_Rohdaten'!A887="","",'01_Rohdaten'!A887)</f>
        <v/>
      </c>
      <c r="C887" s="27">
        <f>IF(B887="","",INDEX('01_Rohdaten'!B887:D887,'02_Eingaben'!$C$13))</f>
        <v/>
      </c>
      <c r="D887" s="27">
        <f>IF(C887="","",C887*'02_Eingaben'!$C$15)</f>
        <v/>
      </c>
      <c r="E887" s="27">
        <f>IF(D887="","",D887*'02_Eingaben'!$C$8)</f>
        <v/>
      </c>
      <c r="F887" s="27">
        <f>IF(E887="","",AVERAGE(INDEX($E$2:$E$3001,MAX(1,ROW()-1-'02_Eingaben'!$C$17)):INDEX($E$2:$E$3001,MIN('02_Eingaben'!$C$21,ROW()-1+'02_Eingaben'!$C$17))))</f>
        <v/>
      </c>
      <c r="G887" s="27">
        <f>IF(F887="","",F887-'02_Eingaben'!$C$10)</f>
        <v/>
      </c>
      <c r="H887">
        <f>IF(F887="","",IF(F887&lt;'02_Eingaben'!$C$18*'02_Eingaben'!$C$10,1,0))</f>
        <v/>
      </c>
      <c r="I887" s="27">
        <f>IF(OR(G887="",G888=""),"",(G887+G888)/2*(B888-B887))</f>
        <v/>
      </c>
      <c r="J887" s="27">
        <f>IF(B887="","",IF(B886&lt;'02_Eingaben'!$C$36,0,J886+I886/'02_Eingaben'!$C$8))</f>
        <v/>
      </c>
    </row>
    <row r="888">
      <c r="A888">
        <f>IF('01_Rohdaten'!A888="","",ROW()-1)</f>
        <v/>
      </c>
      <c r="B888" s="27">
        <f>IF('01_Rohdaten'!A888="","",'01_Rohdaten'!A888)</f>
        <v/>
      </c>
      <c r="C888" s="27">
        <f>IF(B888="","",INDEX('01_Rohdaten'!B888:D888,'02_Eingaben'!$C$13))</f>
        <v/>
      </c>
      <c r="D888" s="27">
        <f>IF(C888="","",C888*'02_Eingaben'!$C$15)</f>
        <v/>
      </c>
      <c r="E888" s="27">
        <f>IF(D888="","",D888*'02_Eingaben'!$C$8)</f>
        <v/>
      </c>
      <c r="F888" s="27">
        <f>IF(E888="","",AVERAGE(INDEX($E$2:$E$3001,MAX(1,ROW()-1-'02_Eingaben'!$C$17)):INDEX($E$2:$E$3001,MIN('02_Eingaben'!$C$21,ROW()-1+'02_Eingaben'!$C$17))))</f>
        <v/>
      </c>
      <c r="G888" s="27">
        <f>IF(F888="","",F888-'02_Eingaben'!$C$10)</f>
        <v/>
      </c>
      <c r="H888">
        <f>IF(F888="","",IF(F888&lt;'02_Eingaben'!$C$18*'02_Eingaben'!$C$10,1,0))</f>
        <v/>
      </c>
      <c r="I888" s="27">
        <f>IF(OR(G888="",G889=""),"",(G888+G889)/2*(B889-B888))</f>
        <v/>
      </c>
      <c r="J888" s="27">
        <f>IF(B888="","",IF(B887&lt;'02_Eingaben'!$C$36,0,J887+I887/'02_Eingaben'!$C$8))</f>
        <v/>
      </c>
    </row>
    <row r="889">
      <c r="A889">
        <f>IF('01_Rohdaten'!A889="","",ROW()-1)</f>
        <v/>
      </c>
      <c r="B889" s="27">
        <f>IF('01_Rohdaten'!A889="","",'01_Rohdaten'!A889)</f>
        <v/>
      </c>
      <c r="C889" s="27">
        <f>IF(B889="","",INDEX('01_Rohdaten'!B889:D889,'02_Eingaben'!$C$13))</f>
        <v/>
      </c>
      <c r="D889" s="27">
        <f>IF(C889="","",C889*'02_Eingaben'!$C$15)</f>
        <v/>
      </c>
      <c r="E889" s="27">
        <f>IF(D889="","",D889*'02_Eingaben'!$C$8)</f>
        <v/>
      </c>
      <c r="F889" s="27">
        <f>IF(E889="","",AVERAGE(INDEX($E$2:$E$3001,MAX(1,ROW()-1-'02_Eingaben'!$C$17)):INDEX($E$2:$E$3001,MIN('02_Eingaben'!$C$21,ROW()-1+'02_Eingaben'!$C$17))))</f>
        <v/>
      </c>
      <c r="G889" s="27">
        <f>IF(F889="","",F889-'02_Eingaben'!$C$10)</f>
        <v/>
      </c>
      <c r="H889">
        <f>IF(F889="","",IF(F889&lt;'02_Eingaben'!$C$18*'02_Eingaben'!$C$10,1,0))</f>
        <v/>
      </c>
      <c r="I889" s="27">
        <f>IF(OR(G889="",G890=""),"",(G889+G890)/2*(B890-B889))</f>
        <v/>
      </c>
      <c r="J889" s="27">
        <f>IF(B889="","",IF(B888&lt;'02_Eingaben'!$C$36,0,J888+I888/'02_Eingaben'!$C$8))</f>
        <v/>
      </c>
    </row>
    <row r="890">
      <c r="A890">
        <f>IF('01_Rohdaten'!A890="","",ROW()-1)</f>
        <v/>
      </c>
      <c r="B890" s="27">
        <f>IF('01_Rohdaten'!A890="","",'01_Rohdaten'!A890)</f>
        <v/>
      </c>
      <c r="C890" s="27">
        <f>IF(B890="","",INDEX('01_Rohdaten'!B890:D890,'02_Eingaben'!$C$13))</f>
        <v/>
      </c>
      <c r="D890" s="27">
        <f>IF(C890="","",C890*'02_Eingaben'!$C$15)</f>
        <v/>
      </c>
      <c r="E890" s="27">
        <f>IF(D890="","",D890*'02_Eingaben'!$C$8)</f>
        <v/>
      </c>
      <c r="F890" s="27">
        <f>IF(E890="","",AVERAGE(INDEX($E$2:$E$3001,MAX(1,ROW()-1-'02_Eingaben'!$C$17)):INDEX($E$2:$E$3001,MIN('02_Eingaben'!$C$21,ROW()-1+'02_Eingaben'!$C$17))))</f>
        <v/>
      </c>
      <c r="G890" s="27">
        <f>IF(F890="","",F890-'02_Eingaben'!$C$10)</f>
        <v/>
      </c>
      <c r="H890">
        <f>IF(F890="","",IF(F890&lt;'02_Eingaben'!$C$18*'02_Eingaben'!$C$10,1,0))</f>
        <v/>
      </c>
      <c r="I890" s="27">
        <f>IF(OR(G890="",G891=""),"",(G890+G891)/2*(B891-B890))</f>
        <v/>
      </c>
      <c r="J890" s="27">
        <f>IF(B890="","",IF(B889&lt;'02_Eingaben'!$C$36,0,J889+I889/'02_Eingaben'!$C$8))</f>
        <v/>
      </c>
    </row>
    <row r="891">
      <c r="A891">
        <f>IF('01_Rohdaten'!A891="","",ROW()-1)</f>
        <v/>
      </c>
      <c r="B891" s="27">
        <f>IF('01_Rohdaten'!A891="","",'01_Rohdaten'!A891)</f>
        <v/>
      </c>
      <c r="C891" s="27">
        <f>IF(B891="","",INDEX('01_Rohdaten'!B891:D891,'02_Eingaben'!$C$13))</f>
        <v/>
      </c>
      <c r="D891" s="27">
        <f>IF(C891="","",C891*'02_Eingaben'!$C$15)</f>
        <v/>
      </c>
      <c r="E891" s="27">
        <f>IF(D891="","",D891*'02_Eingaben'!$C$8)</f>
        <v/>
      </c>
      <c r="F891" s="27">
        <f>IF(E891="","",AVERAGE(INDEX($E$2:$E$3001,MAX(1,ROW()-1-'02_Eingaben'!$C$17)):INDEX($E$2:$E$3001,MIN('02_Eingaben'!$C$21,ROW()-1+'02_Eingaben'!$C$17))))</f>
        <v/>
      </c>
      <c r="G891" s="27">
        <f>IF(F891="","",F891-'02_Eingaben'!$C$10)</f>
        <v/>
      </c>
      <c r="H891">
        <f>IF(F891="","",IF(F891&lt;'02_Eingaben'!$C$18*'02_Eingaben'!$C$10,1,0))</f>
        <v/>
      </c>
      <c r="I891" s="27">
        <f>IF(OR(G891="",G892=""),"",(G891+G892)/2*(B892-B891))</f>
        <v/>
      </c>
      <c r="J891" s="27">
        <f>IF(B891="","",IF(B890&lt;'02_Eingaben'!$C$36,0,J890+I890/'02_Eingaben'!$C$8))</f>
        <v/>
      </c>
    </row>
    <row r="892">
      <c r="A892">
        <f>IF('01_Rohdaten'!A892="","",ROW()-1)</f>
        <v/>
      </c>
      <c r="B892" s="27">
        <f>IF('01_Rohdaten'!A892="","",'01_Rohdaten'!A892)</f>
        <v/>
      </c>
      <c r="C892" s="27">
        <f>IF(B892="","",INDEX('01_Rohdaten'!B892:D892,'02_Eingaben'!$C$13))</f>
        <v/>
      </c>
      <c r="D892" s="27">
        <f>IF(C892="","",C892*'02_Eingaben'!$C$15)</f>
        <v/>
      </c>
      <c r="E892" s="27">
        <f>IF(D892="","",D892*'02_Eingaben'!$C$8)</f>
        <v/>
      </c>
      <c r="F892" s="27">
        <f>IF(E892="","",AVERAGE(INDEX($E$2:$E$3001,MAX(1,ROW()-1-'02_Eingaben'!$C$17)):INDEX($E$2:$E$3001,MIN('02_Eingaben'!$C$21,ROW()-1+'02_Eingaben'!$C$17))))</f>
        <v/>
      </c>
      <c r="G892" s="27">
        <f>IF(F892="","",F892-'02_Eingaben'!$C$10)</f>
        <v/>
      </c>
      <c r="H892">
        <f>IF(F892="","",IF(F892&lt;'02_Eingaben'!$C$18*'02_Eingaben'!$C$10,1,0))</f>
        <v/>
      </c>
      <c r="I892" s="27">
        <f>IF(OR(G892="",G893=""),"",(G892+G893)/2*(B893-B892))</f>
        <v/>
      </c>
      <c r="J892" s="27">
        <f>IF(B892="","",IF(B891&lt;'02_Eingaben'!$C$36,0,J891+I891/'02_Eingaben'!$C$8))</f>
        <v/>
      </c>
    </row>
    <row r="893">
      <c r="A893">
        <f>IF('01_Rohdaten'!A893="","",ROW()-1)</f>
        <v/>
      </c>
      <c r="B893" s="27">
        <f>IF('01_Rohdaten'!A893="","",'01_Rohdaten'!A893)</f>
        <v/>
      </c>
      <c r="C893" s="27">
        <f>IF(B893="","",INDEX('01_Rohdaten'!B893:D893,'02_Eingaben'!$C$13))</f>
        <v/>
      </c>
      <c r="D893" s="27">
        <f>IF(C893="","",C893*'02_Eingaben'!$C$15)</f>
        <v/>
      </c>
      <c r="E893" s="27">
        <f>IF(D893="","",D893*'02_Eingaben'!$C$8)</f>
        <v/>
      </c>
      <c r="F893" s="27">
        <f>IF(E893="","",AVERAGE(INDEX($E$2:$E$3001,MAX(1,ROW()-1-'02_Eingaben'!$C$17)):INDEX($E$2:$E$3001,MIN('02_Eingaben'!$C$21,ROW()-1+'02_Eingaben'!$C$17))))</f>
        <v/>
      </c>
      <c r="G893" s="27">
        <f>IF(F893="","",F893-'02_Eingaben'!$C$10)</f>
        <v/>
      </c>
      <c r="H893">
        <f>IF(F893="","",IF(F893&lt;'02_Eingaben'!$C$18*'02_Eingaben'!$C$10,1,0))</f>
        <v/>
      </c>
      <c r="I893" s="27">
        <f>IF(OR(G893="",G894=""),"",(G893+G894)/2*(B894-B893))</f>
        <v/>
      </c>
      <c r="J893" s="27">
        <f>IF(B893="","",IF(B892&lt;'02_Eingaben'!$C$36,0,J892+I892/'02_Eingaben'!$C$8))</f>
        <v/>
      </c>
    </row>
    <row r="894">
      <c r="A894">
        <f>IF('01_Rohdaten'!A894="","",ROW()-1)</f>
        <v/>
      </c>
      <c r="B894" s="27">
        <f>IF('01_Rohdaten'!A894="","",'01_Rohdaten'!A894)</f>
        <v/>
      </c>
      <c r="C894" s="27">
        <f>IF(B894="","",INDEX('01_Rohdaten'!B894:D894,'02_Eingaben'!$C$13))</f>
        <v/>
      </c>
      <c r="D894" s="27">
        <f>IF(C894="","",C894*'02_Eingaben'!$C$15)</f>
        <v/>
      </c>
      <c r="E894" s="27">
        <f>IF(D894="","",D894*'02_Eingaben'!$C$8)</f>
        <v/>
      </c>
      <c r="F894" s="27">
        <f>IF(E894="","",AVERAGE(INDEX($E$2:$E$3001,MAX(1,ROW()-1-'02_Eingaben'!$C$17)):INDEX($E$2:$E$3001,MIN('02_Eingaben'!$C$21,ROW()-1+'02_Eingaben'!$C$17))))</f>
        <v/>
      </c>
      <c r="G894" s="27">
        <f>IF(F894="","",F894-'02_Eingaben'!$C$10)</f>
        <v/>
      </c>
      <c r="H894">
        <f>IF(F894="","",IF(F894&lt;'02_Eingaben'!$C$18*'02_Eingaben'!$C$10,1,0))</f>
        <v/>
      </c>
      <c r="I894" s="27">
        <f>IF(OR(G894="",G895=""),"",(G894+G895)/2*(B895-B894))</f>
        <v/>
      </c>
      <c r="J894" s="27">
        <f>IF(B894="","",IF(B893&lt;'02_Eingaben'!$C$36,0,J893+I893/'02_Eingaben'!$C$8))</f>
        <v/>
      </c>
    </row>
    <row r="895">
      <c r="A895">
        <f>IF('01_Rohdaten'!A895="","",ROW()-1)</f>
        <v/>
      </c>
      <c r="B895" s="27">
        <f>IF('01_Rohdaten'!A895="","",'01_Rohdaten'!A895)</f>
        <v/>
      </c>
      <c r="C895" s="27">
        <f>IF(B895="","",INDEX('01_Rohdaten'!B895:D895,'02_Eingaben'!$C$13))</f>
        <v/>
      </c>
      <c r="D895" s="27">
        <f>IF(C895="","",C895*'02_Eingaben'!$C$15)</f>
        <v/>
      </c>
      <c r="E895" s="27">
        <f>IF(D895="","",D895*'02_Eingaben'!$C$8)</f>
        <v/>
      </c>
      <c r="F895" s="27">
        <f>IF(E895="","",AVERAGE(INDEX($E$2:$E$3001,MAX(1,ROW()-1-'02_Eingaben'!$C$17)):INDEX($E$2:$E$3001,MIN('02_Eingaben'!$C$21,ROW()-1+'02_Eingaben'!$C$17))))</f>
        <v/>
      </c>
      <c r="G895" s="27">
        <f>IF(F895="","",F895-'02_Eingaben'!$C$10)</f>
        <v/>
      </c>
      <c r="H895">
        <f>IF(F895="","",IF(F895&lt;'02_Eingaben'!$C$18*'02_Eingaben'!$C$10,1,0))</f>
        <v/>
      </c>
      <c r="I895" s="27">
        <f>IF(OR(G895="",G896=""),"",(G895+G896)/2*(B896-B895))</f>
        <v/>
      </c>
      <c r="J895" s="27">
        <f>IF(B895="","",IF(B894&lt;'02_Eingaben'!$C$36,0,J894+I894/'02_Eingaben'!$C$8))</f>
        <v/>
      </c>
    </row>
    <row r="896">
      <c r="A896">
        <f>IF('01_Rohdaten'!A896="","",ROW()-1)</f>
        <v/>
      </c>
      <c r="B896" s="27">
        <f>IF('01_Rohdaten'!A896="","",'01_Rohdaten'!A896)</f>
        <v/>
      </c>
      <c r="C896" s="27">
        <f>IF(B896="","",INDEX('01_Rohdaten'!B896:D896,'02_Eingaben'!$C$13))</f>
        <v/>
      </c>
      <c r="D896" s="27">
        <f>IF(C896="","",C896*'02_Eingaben'!$C$15)</f>
        <v/>
      </c>
      <c r="E896" s="27">
        <f>IF(D896="","",D896*'02_Eingaben'!$C$8)</f>
        <v/>
      </c>
      <c r="F896" s="27">
        <f>IF(E896="","",AVERAGE(INDEX($E$2:$E$3001,MAX(1,ROW()-1-'02_Eingaben'!$C$17)):INDEX($E$2:$E$3001,MIN('02_Eingaben'!$C$21,ROW()-1+'02_Eingaben'!$C$17))))</f>
        <v/>
      </c>
      <c r="G896" s="27">
        <f>IF(F896="","",F896-'02_Eingaben'!$C$10)</f>
        <v/>
      </c>
      <c r="H896">
        <f>IF(F896="","",IF(F896&lt;'02_Eingaben'!$C$18*'02_Eingaben'!$C$10,1,0))</f>
        <v/>
      </c>
      <c r="I896" s="27">
        <f>IF(OR(G896="",G897=""),"",(G896+G897)/2*(B897-B896))</f>
        <v/>
      </c>
      <c r="J896" s="27">
        <f>IF(B896="","",IF(B895&lt;'02_Eingaben'!$C$36,0,J895+I895/'02_Eingaben'!$C$8))</f>
        <v/>
      </c>
    </row>
    <row r="897">
      <c r="A897">
        <f>IF('01_Rohdaten'!A897="","",ROW()-1)</f>
        <v/>
      </c>
      <c r="B897" s="27">
        <f>IF('01_Rohdaten'!A897="","",'01_Rohdaten'!A897)</f>
        <v/>
      </c>
      <c r="C897" s="27">
        <f>IF(B897="","",INDEX('01_Rohdaten'!B897:D897,'02_Eingaben'!$C$13))</f>
        <v/>
      </c>
      <c r="D897" s="27">
        <f>IF(C897="","",C897*'02_Eingaben'!$C$15)</f>
        <v/>
      </c>
      <c r="E897" s="27">
        <f>IF(D897="","",D897*'02_Eingaben'!$C$8)</f>
        <v/>
      </c>
      <c r="F897" s="27">
        <f>IF(E897="","",AVERAGE(INDEX($E$2:$E$3001,MAX(1,ROW()-1-'02_Eingaben'!$C$17)):INDEX($E$2:$E$3001,MIN('02_Eingaben'!$C$21,ROW()-1+'02_Eingaben'!$C$17))))</f>
        <v/>
      </c>
      <c r="G897" s="27">
        <f>IF(F897="","",F897-'02_Eingaben'!$C$10)</f>
        <v/>
      </c>
      <c r="H897">
        <f>IF(F897="","",IF(F897&lt;'02_Eingaben'!$C$18*'02_Eingaben'!$C$10,1,0))</f>
        <v/>
      </c>
      <c r="I897" s="27">
        <f>IF(OR(G897="",G898=""),"",(G897+G898)/2*(B898-B897))</f>
        <v/>
      </c>
      <c r="J897" s="27">
        <f>IF(B897="","",IF(B896&lt;'02_Eingaben'!$C$36,0,J896+I896/'02_Eingaben'!$C$8))</f>
        <v/>
      </c>
    </row>
    <row r="898">
      <c r="A898">
        <f>IF('01_Rohdaten'!A898="","",ROW()-1)</f>
        <v/>
      </c>
      <c r="B898" s="27">
        <f>IF('01_Rohdaten'!A898="","",'01_Rohdaten'!A898)</f>
        <v/>
      </c>
      <c r="C898" s="27">
        <f>IF(B898="","",INDEX('01_Rohdaten'!B898:D898,'02_Eingaben'!$C$13))</f>
        <v/>
      </c>
      <c r="D898" s="27">
        <f>IF(C898="","",C898*'02_Eingaben'!$C$15)</f>
        <v/>
      </c>
      <c r="E898" s="27">
        <f>IF(D898="","",D898*'02_Eingaben'!$C$8)</f>
        <v/>
      </c>
      <c r="F898" s="27">
        <f>IF(E898="","",AVERAGE(INDEX($E$2:$E$3001,MAX(1,ROW()-1-'02_Eingaben'!$C$17)):INDEX($E$2:$E$3001,MIN('02_Eingaben'!$C$21,ROW()-1+'02_Eingaben'!$C$17))))</f>
        <v/>
      </c>
      <c r="G898" s="27">
        <f>IF(F898="","",F898-'02_Eingaben'!$C$10)</f>
        <v/>
      </c>
      <c r="H898">
        <f>IF(F898="","",IF(F898&lt;'02_Eingaben'!$C$18*'02_Eingaben'!$C$10,1,0))</f>
        <v/>
      </c>
      <c r="I898" s="27">
        <f>IF(OR(G898="",G899=""),"",(G898+G899)/2*(B899-B898))</f>
        <v/>
      </c>
      <c r="J898" s="27">
        <f>IF(B898="","",IF(B897&lt;'02_Eingaben'!$C$36,0,J897+I897/'02_Eingaben'!$C$8))</f>
        <v/>
      </c>
    </row>
    <row r="899">
      <c r="A899">
        <f>IF('01_Rohdaten'!A899="","",ROW()-1)</f>
        <v/>
      </c>
      <c r="B899" s="27">
        <f>IF('01_Rohdaten'!A899="","",'01_Rohdaten'!A899)</f>
        <v/>
      </c>
      <c r="C899" s="27">
        <f>IF(B899="","",INDEX('01_Rohdaten'!B899:D899,'02_Eingaben'!$C$13))</f>
        <v/>
      </c>
      <c r="D899" s="27">
        <f>IF(C899="","",C899*'02_Eingaben'!$C$15)</f>
        <v/>
      </c>
      <c r="E899" s="27">
        <f>IF(D899="","",D899*'02_Eingaben'!$C$8)</f>
        <v/>
      </c>
      <c r="F899" s="27">
        <f>IF(E899="","",AVERAGE(INDEX($E$2:$E$3001,MAX(1,ROW()-1-'02_Eingaben'!$C$17)):INDEX($E$2:$E$3001,MIN('02_Eingaben'!$C$21,ROW()-1+'02_Eingaben'!$C$17))))</f>
        <v/>
      </c>
      <c r="G899" s="27">
        <f>IF(F899="","",F899-'02_Eingaben'!$C$10)</f>
        <v/>
      </c>
      <c r="H899">
        <f>IF(F899="","",IF(F899&lt;'02_Eingaben'!$C$18*'02_Eingaben'!$C$10,1,0))</f>
        <v/>
      </c>
      <c r="I899" s="27">
        <f>IF(OR(G899="",G900=""),"",(G899+G900)/2*(B900-B899))</f>
        <v/>
      </c>
      <c r="J899" s="27">
        <f>IF(B899="","",IF(B898&lt;'02_Eingaben'!$C$36,0,J898+I898/'02_Eingaben'!$C$8))</f>
        <v/>
      </c>
    </row>
    <row r="900">
      <c r="A900">
        <f>IF('01_Rohdaten'!A900="","",ROW()-1)</f>
        <v/>
      </c>
      <c r="B900" s="27">
        <f>IF('01_Rohdaten'!A900="","",'01_Rohdaten'!A900)</f>
        <v/>
      </c>
      <c r="C900" s="27">
        <f>IF(B900="","",INDEX('01_Rohdaten'!B900:D900,'02_Eingaben'!$C$13))</f>
        <v/>
      </c>
      <c r="D900" s="27">
        <f>IF(C900="","",C900*'02_Eingaben'!$C$15)</f>
        <v/>
      </c>
      <c r="E900" s="27">
        <f>IF(D900="","",D900*'02_Eingaben'!$C$8)</f>
        <v/>
      </c>
      <c r="F900" s="27">
        <f>IF(E900="","",AVERAGE(INDEX($E$2:$E$3001,MAX(1,ROW()-1-'02_Eingaben'!$C$17)):INDEX($E$2:$E$3001,MIN('02_Eingaben'!$C$21,ROW()-1+'02_Eingaben'!$C$17))))</f>
        <v/>
      </c>
      <c r="G900" s="27">
        <f>IF(F900="","",F900-'02_Eingaben'!$C$10)</f>
        <v/>
      </c>
      <c r="H900">
        <f>IF(F900="","",IF(F900&lt;'02_Eingaben'!$C$18*'02_Eingaben'!$C$10,1,0))</f>
        <v/>
      </c>
      <c r="I900" s="27">
        <f>IF(OR(G900="",G901=""),"",(G900+G901)/2*(B901-B900))</f>
        <v/>
      </c>
      <c r="J900" s="27">
        <f>IF(B900="","",IF(B899&lt;'02_Eingaben'!$C$36,0,J899+I899/'02_Eingaben'!$C$8))</f>
        <v/>
      </c>
    </row>
    <row r="901">
      <c r="A901">
        <f>IF('01_Rohdaten'!A901="","",ROW()-1)</f>
        <v/>
      </c>
      <c r="B901" s="27">
        <f>IF('01_Rohdaten'!A901="","",'01_Rohdaten'!A901)</f>
        <v/>
      </c>
      <c r="C901" s="27">
        <f>IF(B901="","",INDEX('01_Rohdaten'!B901:D901,'02_Eingaben'!$C$13))</f>
        <v/>
      </c>
      <c r="D901" s="27">
        <f>IF(C901="","",C901*'02_Eingaben'!$C$15)</f>
        <v/>
      </c>
      <c r="E901" s="27">
        <f>IF(D901="","",D901*'02_Eingaben'!$C$8)</f>
        <v/>
      </c>
      <c r="F901" s="27">
        <f>IF(E901="","",AVERAGE(INDEX($E$2:$E$3001,MAX(1,ROW()-1-'02_Eingaben'!$C$17)):INDEX($E$2:$E$3001,MIN('02_Eingaben'!$C$21,ROW()-1+'02_Eingaben'!$C$17))))</f>
        <v/>
      </c>
      <c r="G901" s="27">
        <f>IF(F901="","",F901-'02_Eingaben'!$C$10)</f>
        <v/>
      </c>
      <c r="H901">
        <f>IF(F901="","",IF(F901&lt;'02_Eingaben'!$C$18*'02_Eingaben'!$C$10,1,0))</f>
        <v/>
      </c>
      <c r="I901" s="27">
        <f>IF(OR(G901="",G902=""),"",(G901+G902)/2*(B902-B901))</f>
        <v/>
      </c>
      <c r="J901" s="27">
        <f>IF(B901="","",IF(B900&lt;'02_Eingaben'!$C$36,0,J900+I900/'02_Eingaben'!$C$8))</f>
        <v/>
      </c>
    </row>
    <row r="902">
      <c r="A902">
        <f>IF('01_Rohdaten'!A902="","",ROW()-1)</f>
        <v/>
      </c>
      <c r="B902" s="27">
        <f>IF('01_Rohdaten'!A902="","",'01_Rohdaten'!A902)</f>
        <v/>
      </c>
      <c r="C902" s="27">
        <f>IF(B902="","",INDEX('01_Rohdaten'!B902:D902,'02_Eingaben'!$C$13))</f>
        <v/>
      </c>
      <c r="D902" s="27">
        <f>IF(C902="","",C902*'02_Eingaben'!$C$15)</f>
        <v/>
      </c>
      <c r="E902" s="27">
        <f>IF(D902="","",D902*'02_Eingaben'!$C$8)</f>
        <v/>
      </c>
      <c r="F902" s="27">
        <f>IF(E902="","",AVERAGE(INDEX($E$2:$E$3001,MAX(1,ROW()-1-'02_Eingaben'!$C$17)):INDEX($E$2:$E$3001,MIN('02_Eingaben'!$C$21,ROW()-1+'02_Eingaben'!$C$17))))</f>
        <v/>
      </c>
      <c r="G902" s="27">
        <f>IF(F902="","",F902-'02_Eingaben'!$C$10)</f>
        <v/>
      </c>
      <c r="H902">
        <f>IF(F902="","",IF(F902&lt;'02_Eingaben'!$C$18*'02_Eingaben'!$C$10,1,0))</f>
        <v/>
      </c>
      <c r="I902" s="27">
        <f>IF(OR(G902="",G903=""),"",(G902+G903)/2*(B903-B902))</f>
        <v/>
      </c>
      <c r="J902" s="27">
        <f>IF(B902="","",IF(B901&lt;'02_Eingaben'!$C$36,0,J901+I901/'02_Eingaben'!$C$8))</f>
        <v/>
      </c>
    </row>
    <row r="903">
      <c r="A903">
        <f>IF('01_Rohdaten'!A903="","",ROW()-1)</f>
        <v/>
      </c>
      <c r="B903" s="27">
        <f>IF('01_Rohdaten'!A903="","",'01_Rohdaten'!A903)</f>
        <v/>
      </c>
      <c r="C903" s="27">
        <f>IF(B903="","",INDEX('01_Rohdaten'!B903:D903,'02_Eingaben'!$C$13))</f>
        <v/>
      </c>
      <c r="D903" s="27">
        <f>IF(C903="","",C903*'02_Eingaben'!$C$15)</f>
        <v/>
      </c>
      <c r="E903" s="27">
        <f>IF(D903="","",D903*'02_Eingaben'!$C$8)</f>
        <v/>
      </c>
      <c r="F903" s="27">
        <f>IF(E903="","",AVERAGE(INDEX($E$2:$E$3001,MAX(1,ROW()-1-'02_Eingaben'!$C$17)):INDEX($E$2:$E$3001,MIN('02_Eingaben'!$C$21,ROW()-1+'02_Eingaben'!$C$17))))</f>
        <v/>
      </c>
      <c r="G903" s="27">
        <f>IF(F903="","",F903-'02_Eingaben'!$C$10)</f>
        <v/>
      </c>
      <c r="H903">
        <f>IF(F903="","",IF(F903&lt;'02_Eingaben'!$C$18*'02_Eingaben'!$C$10,1,0))</f>
        <v/>
      </c>
      <c r="I903" s="27">
        <f>IF(OR(G903="",G904=""),"",(G903+G904)/2*(B904-B903))</f>
        <v/>
      </c>
      <c r="J903" s="27">
        <f>IF(B903="","",IF(B902&lt;'02_Eingaben'!$C$36,0,J902+I902/'02_Eingaben'!$C$8))</f>
        <v/>
      </c>
    </row>
    <row r="904">
      <c r="A904">
        <f>IF('01_Rohdaten'!A904="","",ROW()-1)</f>
        <v/>
      </c>
      <c r="B904" s="27">
        <f>IF('01_Rohdaten'!A904="","",'01_Rohdaten'!A904)</f>
        <v/>
      </c>
      <c r="C904" s="27">
        <f>IF(B904="","",INDEX('01_Rohdaten'!B904:D904,'02_Eingaben'!$C$13))</f>
        <v/>
      </c>
      <c r="D904" s="27">
        <f>IF(C904="","",C904*'02_Eingaben'!$C$15)</f>
        <v/>
      </c>
      <c r="E904" s="27">
        <f>IF(D904="","",D904*'02_Eingaben'!$C$8)</f>
        <v/>
      </c>
      <c r="F904" s="27">
        <f>IF(E904="","",AVERAGE(INDEX($E$2:$E$3001,MAX(1,ROW()-1-'02_Eingaben'!$C$17)):INDEX($E$2:$E$3001,MIN('02_Eingaben'!$C$21,ROW()-1+'02_Eingaben'!$C$17))))</f>
        <v/>
      </c>
      <c r="G904" s="27">
        <f>IF(F904="","",F904-'02_Eingaben'!$C$10)</f>
        <v/>
      </c>
      <c r="H904">
        <f>IF(F904="","",IF(F904&lt;'02_Eingaben'!$C$18*'02_Eingaben'!$C$10,1,0))</f>
        <v/>
      </c>
      <c r="I904" s="27">
        <f>IF(OR(G904="",G905=""),"",(G904+G905)/2*(B905-B904))</f>
        <v/>
      </c>
      <c r="J904" s="27">
        <f>IF(B904="","",IF(B903&lt;'02_Eingaben'!$C$36,0,J903+I903/'02_Eingaben'!$C$8))</f>
        <v/>
      </c>
    </row>
    <row r="905">
      <c r="A905">
        <f>IF('01_Rohdaten'!A905="","",ROW()-1)</f>
        <v/>
      </c>
      <c r="B905" s="27">
        <f>IF('01_Rohdaten'!A905="","",'01_Rohdaten'!A905)</f>
        <v/>
      </c>
      <c r="C905" s="27">
        <f>IF(B905="","",INDEX('01_Rohdaten'!B905:D905,'02_Eingaben'!$C$13))</f>
        <v/>
      </c>
      <c r="D905" s="27">
        <f>IF(C905="","",C905*'02_Eingaben'!$C$15)</f>
        <v/>
      </c>
      <c r="E905" s="27">
        <f>IF(D905="","",D905*'02_Eingaben'!$C$8)</f>
        <v/>
      </c>
      <c r="F905" s="27">
        <f>IF(E905="","",AVERAGE(INDEX($E$2:$E$3001,MAX(1,ROW()-1-'02_Eingaben'!$C$17)):INDEX($E$2:$E$3001,MIN('02_Eingaben'!$C$21,ROW()-1+'02_Eingaben'!$C$17))))</f>
        <v/>
      </c>
      <c r="G905" s="27">
        <f>IF(F905="","",F905-'02_Eingaben'!$C$10)</f>
        <v/>
      </c>
      <c r="H905">
        <f>IF(F905="","",IF(F905&lt;'02_Eingaben'!$C$18*'02_Eingaben'!$C$10,1,0))</f>
        <v/>
      </c>
      <c r="I905" s="27">
        <f>IF(OR(G905="",G906=""),"",(G905+G906)/2*(B906-B905))</f>
        <v/>
      </c>
      <c r="J905" s="27">
        <f>IF(B905="","",IF(B904&lt;'02_Eingaben'!$C$36,0,J904+I904/'02_Eingaben'!$C$8))</f>
        <v/>
      </c>
    </row>
    <row r="906">
      <c r="A906">
        <f>IF('01_Rohdaten'!A906="","",ROW()-1)</f>
        <v/>
      </c>
      <c r="B906" s="27">
        <f>IF('01_Rohdaten'!A906="","",'01_Rohdaten'!A906)</f>
        <v/>
      </c>
      <c r="C906" s="27">
        <f>IF(B906="","",INDEX('01_Rohdaten'!B906:D906,'02_Eingaben'!$C$13))</f>
        <v/>
      </c>
      <c r="D906" s="27">
        <f>IF(C906="","",C906*'02_Eingaben'!$C$15)</f>
        <v/>
      </c>
      <c r="E906" s="27">
        <f>IF(D906="","",D906*'02_Eingaben'!$C$8)</f>
        <v/>
      </c>
      <c r="F906" s="27">
        <f>IF(E906="","",AVERAGE(INDEX($E$2:$E$3001,MAX(1,ROW()-1-'02_Eingaben'!$C$17)):INDEX($E$2:$E$3001,MIN('02_Eingaben'!$C$21,ROW()-1+'02_Eingaben'!$C$17))))</f>
        <v/>
      </c>
      <c r="G906" s="27">
        <f>IF(F906="","",F906-'02_Eingaben'!$C$10)</f>
        <v/>
      </c>
      <c r="H906">
        <f>IF(F906="","",IF(F906&lt;'02_Eingaben'!$C$18*'02_Eingaben'!$C$10,1,0))</f>
        <v/>
      </c>
      <c r="I906" s="27">
        <f>IF(OR(G906="",G907=""),"",(G906+G907)/2*(B907-B906))</f>
        <v/>
      </c>
      <c r="J906" s="27">
        <f>IF(B906="","",IF(B905&lt;'02_Eingaben'!$C$36,0,J905+I905/'02_Eingaben'!$C$8))</f>
        <v/>
      </c>
    </row>
    <row r="907">
      <c r="A907">
        <f>IF('01_Rohdaten'!A907="","",ROW()-1)</f>
        <v/>
      </c>
      <c r="B907" s="27">
        <f>IF('01_Rohdaten'!A907="","",'01_Rohdaten'!A907)</f>
        <v/>
      </c>
      <c r="C907" s="27">
        <f>IF(B907="","",INDEX('01_Rohdaten'!B907:D907,'02_Eingaben'!$C$13))</f>
        <v/>
      </c>
      <c r="D907" s="27">
        <f>IF(C907="","",C907*'02_Eingaben'!$C$15)</f>
        <v/>
      </c>
      <c r="E907" s="27">
        <f>IF(D907="","",D907*'02_Eingaben'!$C$8)</f>
        <v/>
      </c>
      <c r="F907" s="27">
        <f>IF(E907="","",AVERAGE(INDEX($E$2:$E$3001,MAX(1,ROW()-1-'02_Eingaben'!$C$17)):INDEX($E$2:$E$3001,MIN('02_Eingaben'!$C$21,ROW()-1+'02_Eingaben'!$C$17))))</f>
        <v/>
      </c>
      <c r="G907" s="27">
        <f>IF(F907="","",F907-'02_Eingaben'!$C$10)</f>
        <v/>
      </c>
      <c r="H907">
        <f>IF(F907="","",IF(F907&lt;'02_Eingaben'!$C$18*'02_Eingaben'!$C$10,1,0))</f>
        <v/>
      </c>
      <c r="I907" s="27">
        <f>IF(OR(G907="",G908=""),"",(G907+G908)/2*(B908-B907))</f>
        <v/>
      </c>
      <c r="J907" s="27">
        <f>IF(B907="","",IF(B906&lt;'02_Eingaben'!$C$36,0,J906+I906/'02_Eingaben'!$C$8))</f>
        <v/>
      </c>
    </row>
    <row r="908">
      <c r="A908">
        <f>IF('01_Rohdaten'!A908="","",ROW()-1)</f>
        <v/>
      </c>
      <c r="B908" s="27">
        <f>IF('01_Rohdaten'!A908="","",'01_Rohdaten'!A908)</f>
        <v/>
      </c>
      <c r="C908" s="27">
        <f>IF(B908="","",INDEX('01_Rohdaten'!B908:D908,'02_Eingaben'!$C$13))</f>
        <v/>
      </c>
      <c r="D908" s="27">
        <f>IF(C908="","",C908*'02_Eingaben'!$C$15)</f>
        <v/>
      </c>
      <c r="E908" s="27">
        <f>IF(D908="","",D908*'02_Eingaben'!$C$8)</f>
        <v/>
      </c>
      <c r="F908" s="27">
        <f>IF(E908="","",AVERAGE(INDEX($E$2:$E$3001,MAX(1,ROW()-1-'02_Eingaben'!$C$17)):INDEX($E$2:$E$3001,MIN('02_Eingaben'!$C$21,ROW()-1+'02_Eingaben'!$C$17))))</f>
        <v/>
      </c>
      <c r="G908" s="27">
        <f>IF(F908="","",F908-'02_Eingaben'!$C$10)</f>
        <v/>
      </c>
      <c r="H908">
        <f>IF(F908="","",IF(F908&lt;'02_Eingaben'!$C$18*'02_Eingaben'!$C$10,1,0))</f>
        <v/>
      </c>
      <c r="I908" s="27">
        <f>IF(OR(G908="",G909=""),"",(G908+G909)/2*(B909-B908))</f>
        <v/>
      </c>
      <c r="J908" s="27">
        <f>IF(B908="","",IF(B907&lt;'02_Eingaben'!$C$36,0,J907+I907/'02_Eingaben'!$C$8))</f>
        <v/>
      </c>
    </row>
    <row r="909">
      <c r="A909">
        <f>IF('01_Rohdaten'!A909="","",ROW()-1)</f>
        <v/>
      </c>
      <c r="B909" s="27">
        <f>IF('01_Rohdaten'!A909="","",'01_Rohdaten'!A909)</f>
        <v/>
      </c>
      <c r="C909" s="27">
        <f>IF(B909="","",INDEX('01_Rohdaten'!B909:D909,'02_Eingaben'!$C$13))</f>
        <v/>
      </c>
      <c r="D909" s="27">
        <f>IF(C909="","",C909*'02_Eingaben'!$C$15)</f>
        <v/>
      </c>
      <c r="E909" s="27">
        <f>IF(D909="","",D909*'02_Eingaben'!$C$8)</f>
        <v/>
      </c>
      <c r="F909" s="27">
        <f>IF(E909="","",AVERAGE(INDEX($E$2:$E$3001,MAX(1,ROW()-1-'02_Eingaben'!$C$17)):INDEX($E$2:$E$3001,MIN('02_Eingaben'!$C$21,ROW()-1+'02_Eingaben'!$C$17))))</f>
        <v/>
      </c>
      <c r="G909" s="27">
        <f>IF(F909="","",F909-'02_Eingaben'!$C$10)</f>
        <v/>
      </c>
      <c r="H909">
        <f>IF(F909="","",IF(F909&lt;'02_Eingaben'!$C$18*'02_Eingaben'!$C$10,1,0))</f>
        <v/>
      </c>
      <c r="I909" s="27">
        <f>IF(OR(G909="",G910=""),"",(G909+G910)/2*(B910-B909))</f>
        <v/>
      </c>
      <c r="J909" s="27">
        <f>IF(B909="","",IF(B908&lt;'02_Eingaben'!$C$36,0,J908+I908/'02_Eingaben'!$C$8))</f>
        <v/>
      </c>
    </row>
    <row r="910">
      <c r="A910">
        <f>IF('01_Rohdaten'!A910="","",ROW()-1)</f>
        <v/>
      </c>
      <c r="B910" s="27">
        <f>IF('01_Rohdaten'!A910="","",'01_Rohdaten'!A910)</f>
        <v/>
      </c>
      <c r="C910" s="27">
        <f>IF(B910="","",INDEX('01_Rohdaten'!B910:D910,'02_Eingaben'!$C$13))</f>
        <v/>
      </c>
      <c r="D910" s="27">
        <f>IF(C910="","",C910*'02_Eingaben'!$C$15)</f>
        <v/>
      </c>
      <c r="E910" s="27">
        <f>IF(D910="","",D910*'02_Eingaben'!$C$8)</f>
        <v/>
      </c>
      <c r="F910" s="27">
        <f>IF(E910="","",AVERAGE(INDEX($E$2:$E$3001,MAX(1,ROW()-1-'02_Eingaben'!$C$17)):INDEX($E$2:$E$3001,MIN('02_Eingaben'!$C$21,ROW()-1+'02_Eingaben'!$C$17))))</f>
        <v/>
      </c>
      <c r="G910" s="27">
        <f>IF(F910="","",F910-'02_Eingaben'!$C$10)</f>
        <v/>
      </c>
      <c r="H910">
        <f>IF(F910="","",IF(F910&lt;'02_Eingaben'!$C$18*'02_Eingaben'!$C$10,1,0))</f>
        <v/>
      </c>
      <c r="I910" s="27">
        <f>IF(OR(G910="",G911=""),"",(G910+G911)/2*(B911-B910))</f>
        <v/>
      </c>
      <c r="J910" s="27">
        <f>IF(B910="","",IF(B909&lt;'02_Eingaben'!$C$36,0,J909+I909/'02_Eingaben'!$C$8))</f>
        <v/>
      </c>
    </row>
    <row r="911">
      <c r="A911">
        <f>IF('01_Rohdaten'!A911="","",ROW()-1)</f>
        <v/>
      </c>
      <c r="B911" s="27">
        <f>IF('01_Rohdaten'!A911="","",'01_Rohdaten'!A911)</f>
        <v/>
      </c>
      <c r="C911" s="27">
        <f>IF(B911="","",INDEX('01_Rohdaten'!B911:D911,'02_Eingaben'!$C$13))</f>
        <v/>
      </c>
      <c r="D911" s="27">
        <f>IF(C911="","",C911*'02_Eingaben'!$C$15)</f>
        <v/>
      </c>
      <c r="E911" s="27">
        <f>IF(D911="","",D911*'02_Eingaben'!$C$8)</f>
        <v/>
      </c>
      <c r="F911" s="27">
        <f>IF(E911="","",AVERAGE(INDEX($E$2:$E$3001,MAX(1,ROW()-1-'02_Eingaben'!$C$17)):INDEX($E$2:$E$3001,MIN('02_Eingaben'!$C$21,ROW()-1+'02_Eingaben'!$C$17))))</f>
        <v/>
      </c>
      <c r="G911" s="27">
        <f>IF(F911="","",F911-'02_Eingaben'!$C$10)</f>
        <v/>
      </c>
      <c r="H911">
        <f>IF(F911="","",IF(F911&lt;'02_Eingaben'!$C$18*'02_Eingaben'!$C$10,1,0))</f>
        <v/>
      </c>
      <c r="I911" s="27">
        <f>IF(OR(G911="",G912=""),"",(G911+G912)/2*(B912-B911))</f>
        <v/>
      </c>
      <c r="J911" s="27">
        <f>IF(B911="","",IF(B910&lt;'02_Eingaben'!$C$36,0,J910+I910/'02_Eingaben'!$C$8))</f>
        <v/>
      </c>
    </row>
    <row r="912">
      <c r="A912">
        <f>IF('01_Rohdaten'!A912="","",ROW()-1)</f>
        <v/>
      </c>
      <c r="B912" s="27">
        <f>IF('01_Rohdaten'!A912="","",'01_Rohdaten'!A912)</f>
        <v/>
      </c>
      <c r="C912" s="27">
        <f>IF(B912="","",INDEX('01_Rohdaten'!B912:D912,'02_Eingaben'!$C$13))</f>
        <v/>
      </c>
      <c r="D912" s="27">
        <f>IF(C912="","",C912*'02_Eingaben'!$C$15)</f>
        <v/>
      </c>
      <c r="E912" s="27">
        <f>IF(D912="","",D912*'02_Eingaben'!$C$8)</f>
        <v/>
      </c>
      <c r="F912" s="27">
        <f>IF(E912="","",AVERAGE(INDEX($E$2:$E$3001,MAX(1,ROW()-1-'02_Eingaben'!$C$17)):INDEX($E$2:$E$3001,MIN('02_Eingaben'!$C$21,ROW()-1+'02_Eingaben'!$C$17))))</f>
        <v/>
      </c>
      <c r="G912" s="27">
        <f>IF(F912="","",F912-'02_Eingaben'!$C$10)</f>
        <v/>
      </c>
      <c r="H912">
        <f>IF(F912="","",IF(F912&lt;'02_Eingaben'!$C$18*'02_Eingaben'!$C$10,1,0))</f>
        <v/>
      </c>
      <c r="I912" s="27">
        <f>IF(OR(G912="",G913=""),"",(G912+G913)/2*(B913-B912))</f>
        <v/>
      </c>
      <c r="J912" s="27">
        <f>IF(B912="","",IF(B911&lt;'02_Eingaben'!$C$36,0,J911+I911/'02_Eingaben'!$C$8))</f>
        <v/>
      </c>
    </row>
    <row r="913">
      <c r="A913">
        <f>IF('01_Rohdaten'!A913="","",ROW()-1)</f>
        <v/>
      </c>
      <c r="B913" s="27">
        <f>IF('01_Rohdaten'!A913="","",'01_Rohdaten'!A913)</f>
        <v/>
      </c>
      <c r="C913" s="27">
        <f>IF(B913="","",INDEX('01_Rohdaten'!B913:D913,'02_Eingaben'!$C$13))</f>
        <v/>
      </c>
      <c r="D913" s="27">
        <f>IF(C913="","",C913*'02_Eingaben'!$C$15)</f>
        <v/>
      </c>
      <c r="E913" s="27">
        <f>IF(D913="","",D913*'02_Eingaben'!$C$8)</f>
        <v/>
      </c>
      <c r="F913" s="27">
        <f>IF(E913="","",AVERAGE(INDEX($E$2:$E$3001,MAX(1,ROW()-1-'02_Eingaben'!$C$17)):INDEX($E$2:$E$3001,MIN('02_Eingaben'!$C$21,ROW()-1+'02_Eingaben'!$C$17))))</f>
        <v/>
      </c>
      <c r="G913" s="27">
        <f>IF(F913="","",F913-'02_Eingaben'!$C$10)</f>
        <v/>
      </c>
      <c r="H913">
        <f>IF(F913="","",IF(F913&lt;'02_Eingaben'!$C$18*'02_Eingaben'!$C$10,1,0))</f>
        <v/>
      </c>
      <c r="I913" s="27">
        <f>IF(OR(G913="",G914=""),"",(G913+G914)/2*(B914-B913))</f>
        <v/>
      </c>
      <c r="J913" s="27">
        <f>IF(B913="","",IF(B912&lt;'02_Eingaben'!$C$36,0,J912+I912/'02_Eingaben'!$C$8))</f>
        <v/>
      </c>
    </row>
    <row r="914">
      <c r="A914">
        <f>IF('01_Rohdaten'!A914="","",ROW()-1)</f>
        <v/>
      </c>
      <c r="B914" s="27">
        <f>IF('01_Rohdaten'!A914="","",'01_Rohdaten'!A914)</f>
        <v/>
      </c>
      <c r="C914" s="27">
        <f>IF(B914="","",INDEX('01_Rohdaten'!B914:D914,'02_Eingaben'!$C$13))</f>
        <v/>
      </c>
      <c r="D914" s="27">
        <f>IF(C914="","",C914*'02_Eingaben'!$C$15)</f>
        <v/>
      </c>
      <c r="E914" s="27">
        <f>IF(D914="","",D914*'02_Eingaben'!$C$8)</f>
        <v/>
      </c>
      <c r="F914" s="27">
        <f>IF(E914="","",AVERAGE(INDEX($E$2:$E$3001,MAX(1,ROW()-1-'02_Eingaben'!$C$17)):INDEX($E$2:$E$3001,MIN('02_Eingaben'!$C$21,ROW()-1+'02_Eingaben'!$C$17))))</f>
        <v/>
      </c>
      <c r="G914" s="27">
        <f>IF(F914="","",F914-'02_Eingaben'!$C$10)</f>
        <v/>
      </c>
      <c r="H914">
        <f>IF(F914="","",IF(F914&lt;'02_Eingaben'!$C$18*'02_Eingaben'!$C$10,1,0))</f>
        <v/>
      </c>
      <c r="I914" s="27">
        <f>IF(OR(G914="",G915=""),"",(G914+G915)/2*(B915-B914))</f>
        <v/>
      </c>
      <c r="J914" s="27">
        <f>IF(B914="","",IF(B913&lt;'02_Eingaben'!$C$36,0,J913+I913/'02_Eingaben'!$C$8))</f>
        <v/>
      </c>
    </row>
    <row r="915">
      <c r="A915">
        <f>IF('01_Rohdaten'!A915="","",ROW()-1)</f>
        <v/>
      </c>
      <c r="B915" s="27">
        <f>IF('01_Rohdaten'!A915="","",'01_Rohdaten'!A915)</f>
        <v/>
      </c>
      <c r="C915" s="27">
        <f>IF(B915="","",INDEX('01_Rohdaten'!B915:D915,'02_Eingaben'!$C$13))</f>
        <v/>
      </c>
      <c r="D915" s="27">
        <f>IF(C915="","",C915*'02_Eingaben'!$C$15)</f>
        <v/>
      </c>
      <c r="E915" s="27">
        <f>IF(D915="","",D915*'02_Eingaben'!$C$8)</f>
        <v/>
      </c>
      <c r="F915" s="27">
        <f>IF(E915="","",AVERAGE(INDEX($E$2:$E$3001,MAX(1,ROW()-1-'02_Eingaben'!$C$17)):INDEX($E$2:$E$3001,MIN('02_Eingaben'!$C$21,ROW()-1+'02_Eingaben'!$C$17))))</f>
        <v/>
      </c>
      <c r="G915" s="27">
        <f>IF(F915="","",F915-'02_Eingaben'!$C$10)</f>
        <v/>
      </c>
      <c r="H915">
        <f>IF(F915="","",IF(F915&lt;'02_Eingaben'!$C$18*'02_Eingaben'!$C$10,1,0))</f>
        <v/>
      </c>
      <c r="I915" s="27">
        <f>IF(OR(G915="",G916=""),"",(G915+G916)/2*(B916-B915))</f>
        <v/>
      </c>
      <c r="J915" s="27">
        <f>IF(B915="","",IF(B914&lt;'02_Eingaben'!$C$36,0,J914+I914/'02_Eingaben'!$C$8))</f>
        <v/>
      </c>
    </row>
    <row r="916">
      <c r="A916">
        <f>IF('01_Rohdaten'!A916="","",ROW()-1)</f>
        <v/>
      </c>
      <c r="B916" s="27">
        <f>IF('01_Rohdaten'!A916="","",'01_Rohdaten'!A916)</f>
        <v/>
      </c>
      <c r="C916" s="27">
        <f>IF(B916="","",INDEX('01_Rohdaten'!B916:D916,'02_Eingaben'!$C$13))</f>
        <v/>
      </c>
      <c r="D916" s="27">
        <f>IF(C916="","",C916*'02_Eingaben'!$C$15)</f>
        <v/>
      </c>
      <c r="E916" s="27">
        <f>IF(D916="","",D916*'02_Eingaben'!$C$8)</f>
        <v/>
      </c>
      <c r="F916" s="27">
        <f>IF(E916="","",AVERAGE(INDEX($E$2:$E$3001,MAX(1,ROW()-1-'02_Eingaben'!$C$17)):INDEX($E$2:$E$3001,MIN('02_Eingaben'!$C$21,ROW()-1+'02_Eingaben'!$C$17))))</f>
        <v/>
      </c>
      <c r="G916" s="27">
        <f>IF(F916="","",F916-'02_Eingaben'!$C$10)</f>
        <v/>
      </c>
      <c r="H916">
        <f>IF(F916="","",IF(F916&lt;'02_Eingaben'!$C$18*'02_Eingaben'!$C$10,1,0))</f>
        <v/>
      </c>
      <c r="I916" s="27">
        <f>IF(OR(G916="",G917=""),"",(G916+G917)/2*(B917-B916))</f>
        <v/>
      </c>
      <c r="J916" s="27">
        <f>IF(B916="","",IF(B915&lt;'02_Eingaben'!$C$36,0,J915+I915/'02_Eingaben'!$C$8))</f>
        <v/>
      </c>
    </row>
    <row r="917">
      <c r="A917">
        <f>IF('01_Rohdaten'!A917="","",ROW()-1)</f>
        <v/>
      </c>
      <c r="B917" s="27">
        <f>IF('01_Rohdaten'!A917="","",'01_Rohdaten'!A917)</f>
        <v/>
      </c>
      <c r="C917" s="27">
        <f>IF(B917="","",INDEX('01_Rohdaten'!B917:D917,'02_Eingaben'!$C$13))</f>
        <v/>
      </c>
      <c r="D917" s="27">
        <f>IF(C917="","",C917*'02_Eingaben'!$C$15)</f>
        <v/>
      </c>
      <c r="E917" s="27">
        <f>IF(D917="","",D917*'02_Eingaben'!$C$8)</f>
        <v/>
      </c>
      <c r="F917" s="27">
        <f>IF(E917="","",AVERAGE(INDEX($E$2:$E$3001,MAX(1,ROW()-1-'02_Eingaben'!$C$17)):INDEX($E$2:$E$3001,MIN('02_Eingaben'!$C$21,ROW()-1+'02_Eingaben'!$C$17))))</f>
        <v/>
      </c>
      <c r="G917" s="27">
        <f>IF(F917="","",F917-'02_Eingaben'!$C$10)</f>
        <v/>
      </c>
      <c r="H917">
        <f>IF(F917="","",IF(F917&lt;'02_Eingaben'!$C$18*'02_Eingaben'!$C$10,1,0))</f>
        <v/>
      </c>
      <c r="I917" s="27">
        <f>IF(OR(G917="",G918=""),"",(G917+G918)/2*(B918-B917))</f>
        <v/>
      </c>
      <c r="J917" s="27">
        <f>IF(B917="","",IF(B916&lt;'02_Eingaben'!$C$36,0,J916+I916/'02_Eingaben'!$C$8))</f>
        <v/>
      </c>
    </row>
    <row r="918">
      <c r="A918">
        <f>IF('01_Rohdaten'!A918="","",ROW()-1)</f>
        <v/>
      </c>
      <c r="B918" s="27">
        <f>IF('01_Rohdaten'!A918="","",'01_Rohdaten'!A918)</f>
        <v/>
      </c>
      <c r="C918" s="27">
        <f>IF(B918="","",INDEX('01_Rohdaten'!B918:D918,'02_Eingaben'!$C$13))</f>
        <v/>
      </c>
      <c r="D918" s="27">
        <f>IF(C918="","",C918*'02_Eingaben'!$C$15)</f>
        <v/>
      </c>
      <c r="E918" s="27">
        <f>IF(D918="","",D918*'02_Eingaben'!$C$8)</f>
        <v/>
      </c>
      <c r="F918" s="27">
        <f>IF(E918="","",AVERAGE(INDEX($E$2:$E$3001,MAX(1,ROW()-1-'02_Eingaben'!$C$17)):INDEX($E$2:$E$3001,MIN('02_Eingaben'!$C$21,ROW()-1+'02_Eingaben'!$C$17))))</f>
        <v/>
      </c>
      <c r="G918" s="27">
        <f>IF(F918="","",F918-'02_Eingaben'!$C$10)</f>
        <v/>
      </c>
      <c r="H918">
        <f>IF(F918="","",IF(F918&lt;'02_Eingaben'!$C$18*'02_Eingaben'!$C$10,1,0))</f>
        <v/>
      </c>
      <c r="I918" s="27">
        <f>IF(OR(G918="",G919=""),"",(G918+G919)/2*(B919-B918))</f>
        <v/>
      </c>
      <c r="J918" s="27">
        <f>IF(B918="","",IF(B917&lt;'02_Eingaben'!$C$36,0,J917+I917/'02_Eingaben'!$C$8))</f>
        <v/>
      </c>
    </row>
    <row r="919">
      <c r="A919">
        <f>IF('01_Rohdaten'!A919="","",ROW()-1)</f>
        <v/>
      </c>
      <c r="B919" s="27">
        <f>IF('01_Rohdaten'!A919="","",'01_Rohdaten'!A919)</f>
        <v/>
      </c>
      <c r="C919" s="27">
        <f>IF(B919="","",INDEX('01_Rohdaten'!B919:D919,'02_Eingaben'!$C$13))</f>
        <v/>
      </c>
      <c r="D919" s="27">
        <f>IF(C919="","",C919*'02_Eingaben'!$C$15)</f>
        <v/>
      </c>
      <c r="E919" s="27">
        <f>IF(D919="","",D919*'02_Eingaben'!$C$8)</f>
        <v/>
      </c>
      <c r="F919" s="27">
        <f>IF(E919="","",AVERAGE(INDEX($E$2:$E$3001,MAX(1,ROW()-1-'02_Eingaben'!$C$17)):INDEX($E$2:$E$3001,MIN('02_Eingaben'!$C$21,ROW()-1+'02_Eingaben'!$C$17))))</f>
        <v/>
      </c>
      <c r="G919" s="27">
        <f>IF(F919="","",F919-'02_Eingaben'!$C$10)</f>
        <v/>
      </c>
      <c r="H919">
        <f>IF(F919="","",IF(F919&lt;'02_Eingaben'!$C$18*'02_Eingaben'!$C$10,1,0))</f>
        <v/>
      </c>
      <c r="I919" s="27">
        <f>IF(OR(G919="",G920=""),"",(G919+G920)/2*(B920-B919))</f>
        <v/>
      </c>
      <c r="J919" s="27">
        <f>IF(B919="","",IF(B918&lt;'02_Eingaben'!$C$36,0,J918+I918/'02_Eingaben'!$C$8))</f>
        <v/>
      </c>
    </row>
    <row r="920">
      <c r="A920">
        <f>IF('01_Rohdaten'!A920="","",ROW()-1)</f>
        <v/>
      </c>
      <c r="B920" s="27">
        <f>IF('01_Rohdaten'!A920="","",'01_Rohdaten'!A920)</f>
        <v/>
      </c>
      <c r="C920" s="27">
        <f>IF(B920="","",INDEX('01_Rohdaten'!B920:D920,'02_Eingaben'!$C$13))</f>
        <v/>
      </c>
      <c r="D920" s="27">
        <f>IF(C920="","",C920*'02_Eingaben'!$C$15)</f>
        <v/>
      </c>
      <c r="E920" s="27">
        <f>IF(D920="","",D920*'02_Eingaben'!$C$8)</f>
        <v/>
      </c>
      <c r="F920" s="27">
        <f>IF(E920="","",AVERAGE(INDEX($E$2:$E$3001,MAX(1,ROW()-1-'02_Eingaben'!$C$17)):INDEX($E$2:$E$3001,MIN('02_Eingaben'!$C$21,ROW()-1+'02_Eingaben'!$C$17))))</f>
        <v/>
      </c>
      <c r="G920" s="27">
        <f>IF(F920="","",F920-'02_Eingaben'!$C$10)</f>
        <v/>
      </c>
      <c r="H920">
        <f>IF(F920="","",IF(F920&lt;'02_Eingaben'!$C$18*'02_Eingaben'!$C$10,1,0))</f>
        <v/>
      </c>
      <c r="I920" s="27">
        <f>IF(OR(G920="",G921=""),"",(G920+G921)/2*(B921-B920))</f>
        <v/>
      </c>
      <c r="J920" s="27">
        <f>IF(B920="","",IF(B919&lt;'02_Eingaben'!$C$36,0,J919+I919/'02_Eingaben'!$C$8))</f>
        <v/>
      </c>
    </row>
    <row r="921">
      <c r="A921">
        <f>IF('01_Rohdaten'!A921="","",ROW()-1)</f>
        <v/>
      </c>
      <c r="B921" s="27">
        <f>IF('01_Rohdaten'!A921="","",'01_Rohdaten'!A921)</f>
        <v/>
      </c>
      <c r="C921" s="27">
        <f>IF(B921="","",INDEX('01_Rohdaten'!B921:D921,'02_Eingaben'!$C$13))</f>
        <v/>
      </c>
      <c r="D921" s="27">
        <f>IF(C921="","",C921*'02_Eingaben'!$C$15)</f>
        <v/>
      </c>
      <c r="E921" s="27">
        <f>IF(D921="","",D921*'02_Eingaben'!$C$8)</f>
        <v/>
      </c>
      <c r="F921" s="27">
        <f>IF(E921="","",AVERAGE(INDEX($E$2:$E$3001,MAX(1,ROW()-1-'02_Eingaben'!$C$17)):INDEX($E$2:$E$3001,MIN('02_Eingaben'!$C$21,ROW()-1+'02_Eingaben'!$C$17))))</f>
        <v/>
      </c>
      <c r="G921" s="27">
        <f>IF(F921="","",F921-'02_Eingaben'!$C$10)</f>
        <v/>
      </c>
      <c r="H921">
        <f>IF(F921="","",IF(F921&lt;'02_Eingaben'!$C$18*'02_Eingaben'!$C$10,1,0))</f>
        <v/>
      </c>
      <c r="I921" s="27">
        <f>IF(OR(G921="",G922=""),"",(G921+G922)/2*(B922-B921))</f>
        <v/>
      </c>
      <c r="J921" s="27">
        <f>IF(B921="","",IF(B920&lt;'02_Eingaben'!$C$36,0,J920+I920/'02_Eingaben'!$C$8))</f>
        <v/>
      </c>
    </row>
    <row r="922">
      <c r="A922">
        <f>IF('01_Rohdaten'!A922="","",ROW()-1)</f>
        <v/>
      </c>
      <c r="B922" s="27">
        <f>IF('01_Rohdaten'!A922="","",'01_Rohdaten'!A922)</f>
        <v/>
      </c>
      <c r="C922" s="27">
        <f>IF(B922="","",INDEX('01_Rohdaten'!B922:D922,'02_Eingaben'!$C$13))</f>
        <v/>
      </c>
      <c r="D922" s="27">
        <f>IF(C922="","",C922*'02_Eingaben'!$C$15)</f>
        <v/>
      </c>
      <c r="E922" s="27">
        <f>IF(D922="","",D922*'02_Eingaben'!$C$8)</f>
        <v/>
      </c>
      <c r="F922" s="27">
        <f>IF(E922="","",AVERAGE(INDEX($E$2:$E$3001,MAX(1,ROW()-1-'02_Eingaben'!$C$17)):INDEX($E$2:$E$3001,MIN('02_Eingaben'!$C$21,ROW()-1+'02_Eingaben'!$C$17))))</f>
        <v/>
      </c>
      <c r="G922" s="27">
        <f>IF(F922="","",F922-'02_Eingaben'!$C$10)</f>
        <v/>
      </c>
      <c r="H922">
        <f>IF(F922="","",IF(F922&lt;'02_Eingaben'!$C$18*'02_Eingaben'!$C$10,1,0))</f>
        <v/>
      </c>
      <c r="I922" s="27">
        <f>IF(OR(G922="",G923=""),"",(G922+G923)/2*(B923-B922))</f>
        <v/>
      </c>
      <c r="J922" s="27">
        <f>IF(B922="","",IF(B921&lt;'02_Eingaben'!$C$36,0,J921+I921/'02_Eingaben'!$C$8))</f>
        <v/>
      </c>
    </row>
    <row r="923">
      <c r="A923">
        <f>IF('01_Rohdaten'!A923="","",ROW()-1)</f>
        <v/>
      </c>
      <c r="B923" s="27">
        <f>IF('01_Rohdaten'!A923="","",'01_Rohdaten'!A923)</f>
        <v/>
      </c>
      <c r="C923" s="27">
        <f>IF(B923="","",INDEX('01_Rohdaten'!B923:D923,'02_Eingaben'!$C$13))</f>
        <v/>
      </c>
      <c r="D923" s="27">
        <f>IF(C923="","",C923*'02_Eingaben'!$C$15)</f>
        <v/>
      </c>
      <c r="E923" s="27">
        <f>IF(D923="","",D923*'02_Eingaben'!$C$8)</f>
        <v/>
      </c>
      <c r="F923" s="27">
        <f>IF(E923="","",AVERAGE(INDEX($E$2:$E$3001,MAX(1,ROW()-1-'02_Eingaben'!$C$17)):INDEX($E$2:$E$3001,MIN('02_Eingaben'!$C$21,ROW()-1+'02_Eingaben'!$C$17))))</f>
        <v/>
      </c>
      <c r="G923" s="27">
        <f>IF(F923="","",F923-'02_Eingaben'!$C$10)</f>
        <v/>
      </c>
      <c r="H923">
        <f>IF(F923="","",IF(F923&lt;'02_Eingaben'!$C$18*'02_Eingaben'!$C$10,1,0))</f>
        <v/>
      </c>
      <c r="I923" s="27">
        <f>IF(OR(G923="",G924=""),"",(G923+G924)/2*(B924-B923))</f>
        <v/>
      </c>
      <c r="J923" s="27">
        <f>IF(B923="","",IF(B922&lt;'02_Eingaben'!$C$36,0,J922+I922/'02_Eingaben'!$C$8))</f>
        <v/>
      </c>
    </row>
    <row r="924">
      <c r="A924">
        <f>IF('01_Rohdaten'!A924="","",ROW()-1)</f>
        <v/>
      </c>
      <c r="B924" s="27">
        <f>IF('01_Rohdaten'!A924="","",'01_Rohdaten'!A924)</f>
        <v/>
      </c>
      <c r="C924" s="27">
        <f>IF(B924="","",INDEX('01_Rohdaten'!B924:D924,'02_Eingaben'!$C$13))</f>
        <v/>
      </c>
      <c r="D924" s="27">
        <f>IF(C924="","",C924*'02_Eingaben'!$C$15)</f>
        <v/>
      </c>
      <c r="E924" s="27">
        <f>IF(D924="","",D924*'02_Eingaben'!$C$8)</f>
        <v/>
      </c>
      <c r="F924" s="27">
        <f>IF(E924="","",AVERAGE(INDEX($E$2:$E$3001,MAX(1,ROW()-1-'02_Eingaben'!$C$17)):INDEX($E$2:$E$3001,MIN('02_Eingaben'!$C$21,ROW()-1+'02_Eingaben'!$C$17))))</f>
        <v/>
      </c>
      <c r="G924" s="27">
        <f>IF(F924="","",F924-'02_Eingaben'!$C$10)</f>
        <v/>
      </c>
      <c r="H924">
        <f>IF(F924="","",IF(F924&lt;'02_Eingaben'!$C$18*'02_Eingaben'!$C$10,1,0))</f>
        <v/>
      </c>
      <c r="I924" s="27">
        <f>IF(OR(G924="",G925=""),"",(G924+G925)/2*(B925-B924))</f>
        <v/>
      </c>
      <c r="J924" s="27">
        <f>IF(B924="","",IF(B923&lt;'02_Eingaben'!$C$36,0,J923+I923/'02_Eingaben'!$C$8))</f>
        <v/>
      </c>
    </row>
    <row r="925">
      <c r="A925">
        <f>IF('01_Rohdaten'!A925="","",ROW()-1)</f>
        <v/>
      </c>
      <c r="B925" s="27">
        <f>IF('01_Rohdaten'!A925="","",'01_Rohdaten'!A925)</f>
        <v/>
      </c>
      <c r="C925" s="27">
        <f>IF(B925="","",INDEX('01_Rohdaten'!B925:D925,'02_Eingaben'!$C$13))</f>
        <v/>
      </c>
      <c r="D925" s="27">
        <f>IF(C925="","",C925*'02_Eingaben'!$C$15)</f>
        <v/>
      </c>
      <c r="E925" s="27">
        <f>IF(D925="","",D925*'02_Eingaben'!$C$8)</f>
        <v/>
      </c>
      <c r="F925" s="27">
        <f>IF(E925="","",AVERAGE(INDEX($E$2:$E$3001,MAX(1,ROW()-1-'02_Eingaben'!$C$17)):INDEX($E$2:$E$3001,MIN('02_Eingaben'!$C$21,ROW()-1+'02_Eingaben'!$C$17))))</f>
        <v/>
      </c>
      <c r="G925" s="27">
        <f>IF(F925="","",F925-'02_Eingaben'!$C$10)</f>
        <v/>
      </c>
      <c r="H925">
        <f>IF(F925="","",IF(F925&lt;'02_Eingaben'!$C$18*'02_Eingaben'!$C$10,1,0))</f>
        <v/>
      </c>
      <c r="I925" s="27">
        <f>IF(OR(G925="",G926=""),"",(G925+G926)/2*(B926-B925))</f>
        <v/>
      </c>
      <c r="J925" s="27">
        <f>IF(B925="","",IF(B924&lt;'02_Eingaben'!$C$36,0,J924+I924/'02_Eingaben'!$C$8))</f>
        <v/>
      </c>
    </row>
    <row r="926">
      <c r="A926">
        <f>IF('01_Rohdaten'!A926="","",ROW()-1)</f>
        <v/>
      </c>
      <c r="B926" s="27">
        <f>IF('01_Rohdaten'!A926="","",'01_Rohdaten'!A926)</f>
        <v/>
      </c>
      <c r="C926" s="27">
        <f>IF(B926="","",INDEX('01_Rohdaten'!B926:D926,'02_Eingaben'!$C$13))</f>
        <v/>
      </c>
      <c r="D926" s="27">
        <f>IF(C926="","",C926*'02_Eingaben'!$C$15)</f>
        <v/>
      </c>
      <c r="E926" s="27">
        <f>IF(D926="","",D926*'02_Eingaben'!$C$8)</f>
        <v/>
      </c>
      <c r="F926" s="27">
        <f>IF(E926="","",AVERAGE(INDEX($E$2:$E$3001,MAX(1,ROW()-1-'02_Eingaben'!$C$17)):INDEX($E$2:$E$3001,MIN('02_Eingaben'!$C$21,ROW()-1+'02_Eingaben'!$C$17))))</f>
        <v/>
      </c>
      <c r="G926" s="27">
        <f>IF(F926="","",F926-'02_Eingaben'!$C$10)</f>
        <v/>
      </c>
      <c r="H926">
        <f>IF(F926="","",IF(F926&lt;'02_Eingaben'!$C$18*'02_Eingaben'!$C$10,1,0))</f>
        <v/>
      </c>
      <c r="I926" s="27">
        <f>IF(OR(G926="",G927=""),"",(G926+G927)/2*(B927-B926))</f>
        <v/>
      </c>
      <c r="J926" s="27">
        <f>IF(B926="","",IF(B925&lt;'02_Eingaben'!$C$36,0,J925+I925/'02_Eingaben'!$C$8))</f>
        <v/>
      </c>
    </row>
    <row r="927">
      <c r="A927">
        <f>IF('01_Rohdaten'!A927="","",ROW()-1)</f>
        <v/>
      </c>
      <c r="B927" s="27">
        <f>IF('01_Rohdaten'!A927="","",'01_Rohdaten'!A927)</f>
        <v/>
      </c>
      <c r="C927" s="27">
        <f>IF(B927="","",INDEX('01_Rohdaten'!B927:D927,'02_Eingaben'!$C$13))</f>
        <v/>
      </c>
      <c r="D927" s="27">
        <f>IF(C927="","",C927*'02_Eingaben'!$C$15)</f>
        <v/>
      </c>
      <c r="E927" s="27">
        <f>IF(D927="","",D927*'02_Eingaben'!$C$8)</f>
        <v/>
      </c>
      <c r="F927" s="27">
        <f>IF(E927="","",AVERAGE(INDEX($E$2:$E$3001,MAX(1,ROW()-1-'02_Eingaben'!$C$17)):INDEX($E$2:$E$3001,MIN('02_Eingaben'!$C$21,ROW()-1+'02_Eingaben'!$C$17))))</f>
        <v/>
      </c>
      <c r="G927" s="27">
        <f>IF(F927="","",F927-'02_Eingaben'!$C$10)</f>
        <v/>
      </c>
      <c r="H927">
        <f>IF(F927="","",IF(F927&lt;'02_Eingaben'!$C$18*'02_Eingaben'!$C$10,1,0))</f>
        <v/>
      </c>
      <c r="I927" s="27">
        <f>IF(OR(G927="",G928=""),"",(G927+G928)/2*(B928-B927))</f>
        <v/>
      </c>
      <c r="J927" s="27">
        <f>IF(B927="","",IF(B926&lt;'02_Eingaben'!$C$36,0,J926+I926/'02_Eingaben'!$C$8))</f>
        <v/>
      </c>
    </row>
    <row r="928">
      <c r="A928">
        <f>IF('01_Rohdaten'!A928="","",ROW()-1)</f>
        <v/>
      </c>
      <c r="B928" s="27">
        <f>IF('01_Rohdaten'!A928="","",'01_Rohdaten'!A928)</f>
        <v/>
      </c>
      <c r="C928" s="27">
        <f>IF(B928="","",INDEX('01_Rohdaten'!B928:D928,'02_Eingaben'!$C$13))</f>
        <v/>
      </c>
      <c r="D928" s="27">
        <f>IF(C928="","",C928*'02_Eingaben'!$C$15)</f>
        <v/>
      </c>
      <c r="E928" s="27">
        <f>IF(D928="","",D928*'02_Eingaben'!$C$8)</f>
        <v/>
      </c>
      <c r="F928" s="27">
        <f>IF(E928="","",AVERAGE(INDEX($E$2:$E$3001,MAX(1,ROW()-1-'02_Eingaben'!$C$17)):INDEX($E$2:$E$3001,MIN('02_Eingaben'!$C$21,ROW()-1+'02_Eingaben'!$C$17))))</f>
        <v/>
      </c>
      <c r="G928" s="27">
        <f>IF(F928="","",F928-'02_Eingaben'!$C$10)</f>
        <v/>
      </c>
      <c r="H928">
        <f>IF(F928="","",IF(F928&lt;'02_Eingaben'!$C$18*'02_Eingaben'!$C$10,1,0))</f>
        <v/>
      </c>
      <c r="I928" s="27">
        <f>IF(OR(G928="",G929=""),"",(G928+G929)/2*(B929-B928))</f>
        <v/>
      </c>
      <c r="J928" s="27">
        <f>IF(B928="","",IF(B927&lt;'02_Eingaben'!$C$36,0,J927+I927/'02_Eingaben'!$C$8))</f>
        <v/>
      </c>
    </row>
    <row r="929">
      <c r="A929">
        <f>IF('01_Rohdaten'!A929="","",ROW()-1)</f>
        <v/>
      </c>
      <c r="B929" s="27">
        <f>IF('01_Rohdaten'!A929="","",'01_Rohdaten'!A929)</f>
        <v/>
      </c>
      <c r="C929" s="27">
        <f>IF(B929="","",INDEX('01_Rohdaten'!B929:D929,'02_Eingaben'!$C$13))</f>
        <v/>
      </c>
      <c r="D929" s="27">
        <f>IF(C929="","",C929*'02_Eingaben'!$C$15)</f>
        <v/>
      </c>
      <c r="E929" s="27">
        <f>IF(D929="","",D929*'02_Eingaben'!$C$8)</f>
        <v/>
      </c>
      <c r="F929" s="27">
        <f>IF(E929="","",AVERAGE(INDEX($E$2:$E$3001,MAX(1,ROW()-1-'02_Eingaben'!$C$17)):INDEX($E$2:$E$3001,MIN('02_Eingaben'!$C$21,ROW()-1+'02_Eingaben'!$C$17))))</f>
        <v/>
      </c>
      <c r="G929" s="27">
        <f>IF(F929="","",F929-'02_Eingaben'!$C$10)</f>
        <v/>
      </c>
      <c r="H929">
        <f>IF(F929="","",IF(F929&lt;'02_Eingaben'!$C$18*'02_Eingaben'!$C$10,1,0))</f>
        <v/>
      </c>
      <c r="I929" s="27">
        <f>IF(OR(G929="",G930=""),"",(G929+G930)/2*(B930-B929))</f>
        <v/>
      </c>
      <c r="J929" s="27">
        <f>IF(B929="","",IF(B928&lt;'02_Eingaben'!$C$36,0,J928+I928/'02_Eingaben'!$C$8))</f>
        <v/>
      </c>
    </row>
    <row r="930">
      <c r="A930">
        <f>IF('01_Rohdaten'!A930="","",ROW()-1)</f>
        <v/>
      </c>
      <c r="B930" s="27">
        <f>IF('01_Rohdaten'!A930="","",'01_Rohdaten'!A930)</f>
        <v/>
      </c>
      <c r="C930" s="27">
        <f>IF(B930="","",INDEX('01_Rohdaten'!B930:D930,'02_Eingaben'!$C$13))</f>
        <v/>
      </c>
      <c r="D930" s="27">
        <f>IF(C930="","",C930*'02_Eingaben'!$C$15)</f>
        <v/>
      </c>
      <c r="E930" s="27">
        <f>IF(D930="","",D930*'02_Eingaben'!$C$8)</f>
        <v/>
      </c>
      <c r="F930" s="27">
        <f>IF(E930="","",AVERAGE(INDEX($E$2:$E$3001,MAX(1,ROW()-1-'02_Eingaben'!$C$17)):INDEX($E$2:$E$3001,MIN('02_Eingaben'!$C$21,ROW()-1+'02_Eingaben'!$C$17))))</f>
        <v/>
      </c>
      <c r="G930" s="27">
        <f>IF(F930="","",F930-'02_Eingaben'!$C$10)</f>
        <v/>
      </c>
      <c r="H930">
        <f>IF(F930="","",IF(F930&lt;'02_Eingaben'!$C$18*'02_Eingaben'!$C$10,1,0))</f>
        <v/>
      </c>
      <c r="I930" s="27">
        <f>IF(OR(G930="",G931=""),"",(G930+G931)/2*(B931-B930))</f>
        <v/>
      </c>
      <c r="J930" s="27">
        <f>IF(B930="","",IF(B929&lt;'02_Eingaben'!$C$36,0,J929+I929/'02_Eingaben'!$C$8))</f>
        <v/>
      </c>
    </row>
    <row r="931">
      <c r="A931">
        <f>IF('01_Rohdaten'!A931="","",ROW()-1)</f>
        <v/>
      </c>
      <c r="B931" s="27">
        <f>IF('01_Rohdaten'!A931="","",'01_Rohdaten'!A931)</f>
        <v/>
      </c>
      <c r="C931" s="27">
        <f>IF(B931="","",INDEX('01_Rohdaten'!B931:D931,'02_Eingaben'!$C$13))</f>
        <v/>
      </c>
      <c r="D931" s="27">
        <f>IF(C931="","",C931*'02_Eingaben'!$C$15)</f>
        <v/>
      </c>
      <c r="E931" s="27">
        <f>IF(D931="","",D931*'02_Eingaben'!$C$8)</f>
        <v/>
      </c>
      <c r="F931" s="27">
        <f>IF(E931="","",AVERAGE(INDEX($E$2:$E$3001,MAX(1,ROW()-1-'02_Eingaben'!$C$17)):INDEX($E$2:$E$3001,MIN('02_Eingaben'!$C$21,ROW()-1+'02_Eingaben'!$C$17))))</f>
        <v/>
      </c>
      <c r="G931" s="27">
        <f>IF(F931="","",F931-'02_Eingaben'!$C$10)</f>
        <v/>
      </c>
      <c r="H931">
        <f>IF(F931="","",IF(F931&lt;'02_Eingaben'!$C$18*'02_Eingaben'!$C$10,1,0))</f>
        <v/>
      </c>
      <c r="I931" s="27">
        <f>IF(OR(G931="",G932=""),"",(G931+G932)/2*(B932-B931))</f>
        <v/>
      </c>
      <c r="J931" s="27">
        <f>IF(B931="","",IF(B930&lt;'02_Eingaben'!$C$36,0,J930+I930/'02_Eingaben'!$C$8))</f>
        <v/>
      </c>
    </row>
    <row r="932">
      <c r="A932">
        <f>IF('01_Rohdaten'!A932="","",ROW()-1)</f>
        <v/>
      </c>
      <c r="B932" s="27">
        <f>IF('01_Rohdaten'!A932="","",'01_Rohdaten'!A932)</f>
        <v/>
      </c>
      <c r="C932" s="27">
        <f>IF(B932="","",INDEX('01_Rohdaten'!B932:D932,'02_Eingaben'!$C$13))</f>
        <v/>
      </c>
      <c r="D932" s="27">
        <f>IF(C932="","",C932*'02_Eingaben'!$C$15)</f>
        <v/>
      </c>
      <c r="E932" s="27">
        <f>IF(D932="","",D932*'02_Eingaben'!$C$8)</f>
        <v/>
      </c>
      <c r="F932" s="27">
        <f>IF(E932="","",AVERAGE(INDEX($E$2:$E$3001,MAX(1,ROW()-1-'02_Eingaben'!$C$17)):INDEX($E$2:$E$3001,MIN('02_Eingaben'!$C$21,ROW()-1+'02_Eingaben'!$C$17))))</f>
        <v/>
      </c>
      <c r="G932" s="27">
        <f>IF(F932="","",F932-'02_Eingaben'!$C$10)</f>
        <v/>
      </c>
      <c r="H932">
        <f>IF(F932="","",IF(F932&lt;'02_Eingaben'!$C$18*'02_Eingaben'!$C$10,1,0))</f>
        <v/>
      </c>
      <c r="I932" s="27">
        <f>IF(OR(G932="",G933=""),"",(G932+G933)/2*(B933-B932))</f>
        <v/>
      </c>
      <c r="J932" s="27">
        <f>IF(B932="","",IF(B931&lt;'02_Eingaben'!$C$36,0,J931+I931/'02_Eingaben'!$C$8))</f>
        <v/>
      </c>
    </row>
    <row r="933">
      <c r="A933">
        <f>IF('01_Rohdaten'!A933="","",ROW()-1)</f>
        <v/>
      </c>
      <c r="B933" s="27">
        <f>IF('01_Rohdaten'!A933="","",'01_Rohdaten'!A933)</f>
        <v/>
      </c>
      <c r="C933" s="27">
        <f>IF(B933="","",INDEX('01_Rohdaten'!B933:D933,'02_Eingaben'!$C$13))</f>
        <v/>
      </c>
      <c r="D933" s="27">
        <f>IF(C933="","",C933*'02_Eingaben'!$C$15)</f>
        <v/>
      </c>
      <c r="E933" s="27">
        <f>IF(D933="","",D933*'02_Eingaben'!$C$8)</f>
        <v/>
      </c>
      <c r="F933" s="27">
        <f>IF(E933="","",AVERAGE(INDEX($E$2:$E$3001,MAX(1,ROW()-1-'02_Eingaben'!$C$17)):INDEX($E$2:$E$3001,MIN('02_Eingaben'!$C$21,ROW()-1+'02_Eingaben'!$C$17))))</f>
        <v/>
      </c>
      <c r="G933" s="27">
        <f>IF(F933="","",F933-'02_Eingaben'!$C$10)</f>
        <v/>
      </c>
      <c r="H933">
        <f>IF(F933="","",IF(F933&lt;'02_Eingaben'!$C$18*'02_Eingaben'!$C$10,1,0))</f>
        <v/>
      </c>
      <c r="I933" s="27">
        <f>IF(OR(G933="",G934=""),"",(G933+G934)/2*(B934-B933))</f>
        <v/>
      </c>
      <c r="J933" s="27">
        <f>IF(B933="","",IF(B932&lt;'02_Eingaben'!$C$36,0,J932+I932/'02_Eingaben'!$C$8))</f>
        <v/>
      </c>
    </row>
    <row r="934">
      <c r="A934">
        <f>IF('01_Rohdaten'!A934="","",ROW()-1)</f>
        <v/>
      </c>
      <c r="B934" s="27">
        <f>IF('01_Rohdaten'!A934="","",'01_Rohdaten'!A934)</f>
        <v/>
      </c>
      <c r="C934" s="27">
        <f>IF(B934="","",INDEX('01_Rohdaten'!B934:D934,'02_Eingaben'!$C$13))</f>
        <v/>
      </c>
      <c r="D934" s="27">
        <f>IF(C934="","",C934*'02_Eingaben'!$C$15)</f>
        <v/>
      </c>
      <c r="E934" s="27">
        <f>IF(D934="","",D934*'02_Eingaben'!$C$8)</f>
        <v/>
      </c>
      <c r="F934" s="27">
        <f>IF(E934="","",AVERAGE(INDEX($E$2:$E$3001,MAX(1,ROW()-1-'02_Eingaben'!$C$17)):INDEX($E$2:$E$3001,MIN('02_Eingaben'!$C$21,ROW()-1+'02_Eingaben'!$C$17))))</f>
        <v/>
      </c>
      <c r="G934" s="27">
        <f>IF(F934="","",F934-'02_Eingaben'!$C$10)</f>
        <v/>
      </c>
      <c r="H934">
        <f>IF(F934="","",IF(F934&lt;'02_Eingaben'!$C$18*'02_Eingaben'!$C$10,1,0))</f>
        <v/>
      </c>
      <c r="I934" s="27">
        <f>IF(OR(G934="",G935=""),"",(G934+G935)/2*(B935-B934))</f>
        <v/>
      </c>
      <c r="J934" s="27">
        <f>IF(B934="","",IF(B933&lt;'02_Eingaben'!$C$36,0,J933+I933/'02_Eingaben'!$C$8))</f>
        <v/>
      </c>
    </row>
    <row r="935">
      <c r="A935">
        <f>IF('01_Rohdaten'!A935="","",ROW()-1)</f>
        <v/>
      </c>
      <c r="B935" s="27">
        <f>IF('01_Rohdaten'!A935="","",'01_Rohdaten'!A935)</f>
        <v/>
      </c>
      <c r="C935" s="27">
        <f>IF(B935="","",INDEX('01_Rohdaten'!B935:D935,'02_Eingaben'!$C$13))</f>
        <v/>
      </c>
      <c r="D935" s="27">
        <f>IF(C935="","",C935*'02_Eingaben'!$C$15)</f>
        <v/>
      </c>
      <c r="E935" s="27">
        <f>IF(D935="","",D935*'02_Eingaben'!$C$8)</f>
        <v/>
      </c>
      <c r="F935" s="27">
        <f>IF(E935="","",AVERAGE(INDEX($E$2:$E$3001,MAX(1,ROW()-1-'02_Eingaben'!$C$17)):INDEX($E$2:$E$3001,MIN('02_Eingaben'!$C$21,ROW()-1+'02_Eingaben'!$C$17))))</f>
        <v/>
      </c>
      <c r="G935" s="27">
        <f>IF(F935="","",F935-'02_Eingaben'!$C$10)</f>
        <v/>
      </c>
      <c r="H935">
        <f>IF(F935="","",IF(F935&lt;'02_Eingaben'!$C$18*'02_Eingaben'!$C$10,1,0))</f>
        <v/>
      </c>
      <c r="I935" s="27">
        <f>IF(OR(G935="",G936=""),"",(G935+G936)/2*(B936-B935))</f>
        <v/>
      </c>
      <c r="J935" s="27">
        <f>IF(B935="","",IF(B934&lt;'02_Eingaben'!$C$36,0,J934+I934/'02_Eingaben'!$C$8))</f>
        <v/>
      </c>
    </row>
    <row r="936">
      <c r="A936">
        <f>IF('01_Rohdaten'!A936="","",ROW()-1)</f>
        <v/>
      </c>
      <c r="B936" s="27">
        <f>IF('01_Rohdaten'!A936="","",'01_Rohdaten'!A936)</f>
        <v/>
      </c>
      <c r="C936" s="27">
        <f>IF(B936="","",INDEX('01_Rohdaten'!B936:D936,'02_Eingaben'!$C$13))</f>
        <v/>
      </c>
      <c r="D936" s="27">
        <f>IF(C936="","",C936*'02_Eingaben'!$C$15)</f>
        <v/>
      </c>
      <c r="E936" s="27">
        <f>IF(D936="","",D936*'02_Eingaben'!$C$8)</f>
        <v/>
      </c>
      <c r="F936" s="27">
        <f>IF(E936="","",AVERAGE(INDEX($E$2:$E$3001,MAX(1,ROW()-1-'02_Eingaben'!$C$17)):INDEX($E$2:$E$3001,MIN('02_Eingaben'!$C$21,ROW()-1+'02_Eingaben'!$C$17))))</f>
        <v/>
      </c>
      <c r="G936" s="27">
        <f>IF(F936="","",F936-'02_Eingaben'!$C$10)</f>
        <v/>
      </c>
      <c r="H936">
        <f>IF(F936="","",IF(F936&lt;'02_Eingaben'!$C$18*'02_Eingaben'!$C$10,1,0))</f>
        <v/>
      </c>
      <c r="I936" s="27">
        <f>IF(OR(G936="",G937=""),"",(G936+G937)/2*(B937-B936))</f>
        <v/>
      </c>
      <c r="J936" s="27">
        <f>IF(B936="","",IF(B935&lt;'02_Eingaben'!$C$36,0,J935+I935/'02_Eingaben'!$C$8))</f>
        <v/>
      </c>
    </row>
    <row r="937">
      <c r="A937">
        <f>IF('01_Rohdaten'!A937="","",ROW()-1)</f>
        <v/>
      </c>
      <c r="B937" s="27">
        <f>IF('01_Rohdaten'!A937="","",'01_Rohdaten'!A937)</f>
        <v/>
      </c>
      <c r="C937" s="27">
        <f>IF(B937="","",INDEX('01_Rohdaten'!B937:D937,'02_Eingaben'!$C$13))</f>
        <v/>
      </c>
      <c r="D937" s="27">
        <f>IF(C937="","",C937*'02_Eingaben'!$C$15)</f>
        <v/>
      </c>
      <c r="E937" s="27">
        <f>IF(D937="","",D937*'02_Eingaben'!$C$8)</f>
        <v/>
      </c>
      <c r="F937" s="27">
        <f>IF(E937="","",AVERAGE(INDEX($E$2:$E$3001,MAX(1,ROW()-1-'02_Eingaben'!$C$17)):INDEX($E$2:$E$3001,MIN('02_Eingaben'!$C$21,ROW()-1+'02_Eingaben'!$C$17))))</f>
        <v/>
      </c>
      <c r="G937" s="27">
        <f>IF(F937="","",F937-'02_Eingaben'!$C$10)</f>
        <v/>
      </c>
      <c r="H937">
        <f>IF(F937="","",IF(F937&lt;'02_Eingaben'!$C$18*'02_Eingaben'!$C$10,1,0))</f>
        <v/>
      </c>
      <c r="I937" s="27">
        <f>IF(OR(G937="",G938=""),"",(G937+G938)/2*(B938-B937))</f>
        <v/>
      </c>
      <c r="J937" s="27">
        <f>IF(B937="","",IF(B936&lt;'02_Eingaben'!$C$36,0,J936+I936/'02_Eingaben'!$C$8))</f>
        <v/>
      </c>
    </row>
    <row r="938">
      <c r="A938">
        <f>IF('01_Rohdaten'!A938="","",ROW()-1)</f>
        <v/>
      </c>
      <c r="B938" s="27">
        <f>IF('01_Rohdaten'!A938="","",'01_Rohdaten'!A938)</f>
        <v/>
      </c>
      <c r="C938" s="27">
        <f>IF(B938="","",INDEX('01_Rohdaten'!B938:D938,'02_Eingaben'!$C$13))</f>
        <v/>
      </c>
      <c r="D938" s="27">
        <f>IF(C938="","",C938*'02_Eingaben'!$C$15)</f>
        <v/>
      </c>
      <c r="E938" s="27">
        <f>IF(D938="","",D938*'02_Eingaben'!$C$8)</f>
        <v/>
      </c>
      <c r="F938" s="27">
        <f>IF(E938="","",AVERAGE(INDEX($E$2:$E$3001,MAX(1,ROW()-1-'02_Eingaben'!$C$17)):INDEX($E$2:$E$3001,MIN('02_Eingaben'!$C$21,ROW()-1+'02_Eingaben'!$C$17))))</f>
        <v/>
      </c>
      <c r="G938" s="27">
        <f>IF(F938="","",F938-'02_Eingaben'!$C$10)</f>
        <v/>
      </c>
      <c r="H938">
        <f>IF(F938="","",IF(F938&lt;'02_Eingaben'!$C$18*'02_Eingaben'!$C$10,1,0))</f>
        <v/>
      </c>
      <c r="I938" s="27">
        <f>IF(OR(G938="",G939=""),"",(G938+G939)/2*(B939-B938))</f>
        <v/>
      </c>
      <c r="J938" s="27">
        <f>IF(B938="","",IF(B937&lt;'02_Eingaben'!$C$36,0,J937+I937/'02_Eingaben'!$C$8))</f>
        <v/>
      </c>
    </row>
    <row r="939">
      <c r="A939">
        <f>IF('01_Rohdaten'!A939="","",ROW()-1)</f>
        <v/>
      </c>
      <c r="B939" s="27">
        <f>IF('01_Rohdaten'!A939="","",'01_Rohdaten'!A939)</f>
        <v/>
      </c>
      <c r="C939" s="27">
        <f>IF(B939="","",INDEX('01_Rohdaten'!B939:D939,'02_Eingaben'!$C$13))</f>
        <v/>
      </c>
      <c r="D939" s="27">
        <f>IF(C939="","",C939*'02_Eingaben'!$C$15)</f>
        <v/>
      </c>
      <c r="E939" s="27">
        <f>IF(D939="","",D939*'02_Eingaben'!$C$8)</f>
        <v/>
      </c>
      <c r="F939" s="27">
        <f>IF(E939="","",AVERAGE(INDEX($E$2:$E$3001,MAX(1,ROW()-1-'02_Eingaben'!$C$17)):INDEX($E$2:$E$3001,MIN('02_Eingaben'!$C$21,ROW()-1+'02_Eingaben'!$C$17))))</f>
        <v/>
      </c>
      <c r="G939" s="27">
        <f>IF(F939="","",F939-'02_Eingaben'!$C$10)</f>
        <v/>
      </c>
      <c r="H939">
        <f>IF(F939="","",IF(F939&lt;'02_Eingaben'!$C$18*'02_Eingaben'!$C$10,1,0))</f>
        <v/>
      </c>
      <c r="I939" s="27">
        <f>IF(OR(G939="",G940=""),"",(G939+G940)/2*(B940-B939))</f>
        <v/>
      </c>
      <c r="J939" s="27">
        <f>IF(B939="","",IF(B938&lt;'02_Eingaben'!$C$36,0,J938+I938/'02_Eingaben'!$C$8))</f>
        <v/>
      </c>
    </row>
    <row r="940">
      <c r="A940">
        <f>IF('01_Rohdaten'!A940="","",ROW()-1)</f>
        <v/>
      </c>
      <c r="B940" s="27">
        <f>IF('01_Rohdaten'!A940="","",'01_Rohdaten'!A940)</f>
        <v/>
      </c>
      <c r="C940" s="27">
        <f>IF(B940="","",INDEX('01_Rohdaten'!B940:D940,'02_Eingaben'!$C$13))</f>
        <v/>
      </c>
      <c r="D940" s="27">
        <f>IF(C940="","",C940*'02_Eingaben'!$C$15)</f>
        <v/>
      </c>
      <c r="E940" s="27">
        <f>IF(D940="","",D940*'02_Eingaben'!$C$8)</f>
        <v/>
      </c>
      <c r="F940" s="27">
        <f>IF(E940="","",AVERAGE(INDEX($E$2:$E$3001,MAX(1,ROW()-1-'02_Eingaben'!$C$17)):INDEX($E$2:$E$3001,MIN('02_Eingaben'!$C$21,ROW()-1+'02_Eingaben'!$C$17))))</f>
        <v/>
      </c>
      <c r="G940" s="27">
        <f>IF(F940="","",F940-'02_Eingaben'!$C$10)</f>
        <v/>
      </c>
      <c r="H940">
        <f>IF(F940="","",IF(F940&lt;'02_Eingaben'!$C$18*'02_Eingaben'!$C$10,1,0))</f>
        <v/>
      </c>
      <c r="I940" s="27">
        <f>IF(OR(G940="",G941=""),"",(G940+G941)/2*(B941-B940))</f>
        <v/>
      </c>
      <c r="J940" s="27">
        <f>IF(B940="","",IF(B939&lt;'02_Eingaben'!$C$36,0,J939+I939/'02_Eingaben'!$C$8))</f>
        <v/>
      </c>
    </row>
    <row r="941">
      <c r="A941">
        <f>IF('01_Rohdaten'!A941="","",ROW()-1)</f>
        <v/>
      </c>
      <c r="B941" s="27">
        <f>IF('01_Rohdaten'!A941="","",'01_Rohdaten'!A941)</f>
        <v/>
      </c>
      <c r="C941" s="27">
        <f>IF(B941="","",INDEX('01_Rohdaten'!B941:D941,'02_Eingaben'!$C$13))</f>
        <v/>
      </c>
      <c r="D941" s="27">
        <f>IF(C941="","",C941*'02_Eingaben'!$C$15)</f>
        <v/>
      </c>
      <c r="E941" s="27">
        <f>IF(D941="","",D941*'02_Eingaben'!$C$8)</f>
        <v/>
      </c>
      <c r="F941" s="27">
        <f>IF(E941="","",AVERAGE(INDEX($E$2:$E$3001,MAX(1,ROW()-1-'02_Eingaben'!$C$17)):INDEX($E$2:$E$3001,MIN('02_Eingaben'!$C$21,ROW()-1+'02_Eingaben'!$C$17))))</f>
        <v/>
      </c>
      <c r="G941" s="27">
        <f>IF(F941="","",F941-'02_Eingaben'!$C$10)</f>
        <v/>
      </c>
      <c r="H941">
        <f>IF(F941="","",IF(F941&lt;'02_Eingaben'!$C$18*'02_Eingaben'!$C$10,1,0))</f>
        <v/>
      </c>
      <c r="I941" s="27">
        <f>IF(OR(G941="",G942=""),"",(G941+G942)/2*(B942-B941))</f>
        <v/>
      </c>
      <c r="J941" s="27">
        <f>IF(B941="","",IF(B940&lt;'02_Eingaben'!$C$36,0,J940+I940/'02_Eingaben'!$C$8))</f>
        <v/>
      </c>
    </row>
    <row r="942">
      <c r="A942">
        <f>IF('01_Rohdaten'!A942="","",ROW()-1)</f>
        <v/>
      </c>
      <c r="B942" s="27">
        <f>IF('01_Rohdaten'!A942="","",'01_Rohdaten'!A942)</f>
        <v/>
      </c>
      <c r="C942" s="27">
        <f>IF(B942="","",INDEX('01_Rohdaten'!B942:D942,'02_Eingaben'!$C$13))</f>
        <v/>
      </c>
      <c r="D942" s="27">
        <f>IF(C942="","",C942*'02_Eingaben'!$C$15)</f>
        <v/>
      </c>
      <c r="E942" s="27">
        <f>IF(D942="","",D942*'02_Eingaben'!$C$8)</f>
        <v/>
      </c>
      <c r="F942" s="27">
        <f>IF(E942="","",AVERAGE(INDEX($E$2:$E$3001,MAX(1,ROW()-1-'02_Eingaben'!$C$17)):INDEX($E$2:$E$3001,MIN('02_Eingaben'!$C$21,ROW()-1+'02_Eingaben'!$C$17))))</f>
        <v/>
      </c>
      <c r="G942" s="27">
        <f>IF(F942="","",F942-'02_Eingaben'!$C$10)</f>
        <v/>
      </c>
      <c r="H942">
        <f>IF(F942="","",IF(F942&lt;'02_Eingaben'!$C$18*'02_Eingaben'!$C$10,1,0))</f>
        <v/>
      </c>
      <c r="I942" s="27">
        <f>IF(OR(G942="",G943=""),"",(G942+G943)/2*(B943-B942))</f>
        <v/>
      </c>
      <c r="J942" s="27">
        <f>IF(B942="","",IF(B941&lt;'02_Eingaben'!$C$36,0,J941+I941/'02_Eingaben'!$C$8))</f>
        <v/>
      </c>
    </row>
    <row r="943">
      <c r="A943">
        <f>IF('01_Rohdaten'!A943="","",ROW()-1)</f>
        <v/>
      </c>
      <c r="B943" s="27">
        <f>IF('01_Rohdaten'!A943="","",'01_Rohdaten'!A943)</f>
        <v/>
      </c>
      <c r="C943" s="27">
        <f>IF(B943="","",INDEX('01_Rohdaten'!B943:D943,'02_Eingaben'!$C$13))</f>
        <v/>
      </c>
      <c r="D943" s="27">
        <f>IF(C943="","",C943*'02_Eingaben'!$C$15)</f>
        <v/>
      </c>
      <c r="E943" s="27">
        <f>IF(D943="","",D943*'02_Eingaben'!$C$8)</f>
        <v/>
      </c>
      <c r="F943" s="27">
        <f>IF(E943="","",AVERAGE(INDEX($E$2:$E$3001,MAX(1,ROW()-1-'02_Eingaben'!$C$17)):INDEX($E$2:$E$3001,MIN('02_Eingaben'!$C$21,ROW()-1+'02_Eingaben'!$C$17))))</f>
        <v/>
      </c>
      <c r="G943" s="27">
        <f>IF(F943="","",F943-'02_Eingaben'!$C$10)</f>
        <v/>
      </c>
      <c r="H943">
        <f>IF(F943="","",IF(F943&lt;'02_Eingaben'!$C$18*'02_Eingaben'!$C$10,1,0))</f>
        <v/>
      </c>
      <c r="I943" s="27">
        <f>IF(OR(G943="",G944=""),"",(G943+G944)/2*(B944-B943))</f>
        <v/>
      </c>
      <c r="J943" s="27">
        <f>IF(B943="","",IF(B942&lt;'02_Eingaben'!$C$36,0,J942+I942/'02_Eingaben'!$C$8))</f>
        <v/>
      </c>
    </row>
    <row r="944">
      <c r="A944">
        <f>IF('01_Rohdaten'!A944="","",ROW()-1)</f>
        <v/>
      </c>
      <c r="B944" s="27">
        <f>IF('01_Rohdaten'!A944="","",'01_Rohdaten'!A944)</f>
        <v/>
      </c>
      <c r="C944" s="27">
        <f>IF(B944="","",INDEX('01_Rohdaten'!B944:D944,'02_Eingaben'!$C$13))</f>
        <v/>
      </c>
      <c r="D944" s="27">
        <f>IF(C944="","",C944*'02_Eingaben'!$C$15)</f>
        <v/>
      </c>
      <c r="E944" s="27">
        <f>IF(D944="","",D944*'02_Eingaben'!$C$8)</f>
        <v/>
      </c>
      <c r="F944" s="27">
        <f>IF(E944="","",AVERAGE(INDEX($E$2:$E$3001,MAX(1,ROW()-1-'02_Eingaben'!$C$17)):INDEX($E$2:$E$3001,MIN('02_Eingaben'!$C$21,ROW()-1+'02_Eingaben'!$C$17))))</f>
        <v/>
      </c>
      <c r="G944" s="27">
        <f>IF(F944="","",F944-'02_Eingaben'!$C$10)</f>
        <v/>
      </c>
      <c r="H944">
        <f>IF(F944="","",IF(F944&lt;'02_Eingaben'!$C$18*'02_Eingaben'!$C$10,1,0))</f>
        <v/>
      </c>
      <c r="I944" s="27">
        <f>IF(OR(G944="",G945=""),"",(G944+G945)/2*(B945-B944))</f>
        <v/>
      </c>
      <c r="J944" s="27">
        <f>IF(B944="","",IF(B943&lt;'02_Eingaben'!$C$36,0,J943+I943/'02_Eingaben'!$C$8))</f>
        <v/>
      </c>
    </row>
    <row r="945">
      <c r="A945">
        <f>IF('01_Rohdaten'!A945="","",ROW()-1)</f>
        <v/>
      </c>
      <c r="B945" s="27">
        <f>IF('01_Rohdaten'!A945="","",'01_Rohdaten'!A945)</f>
        <v/>
      </c>
      <c r="C945" s="27">
        <f>IF(B945="","",INDEX('01_Rohdaten'!B945:D945,'02_Eingaben'!$C$13))</f>
        <v/>
      </c>
      <c r="D945" s="27">
        <f>IF(C945="","",C945*'02_Eingaben'!$C$15)</f>
        <v/>
      </c>
      <c r="E945" s="27">
        <f>IF(D945="","",D945*'02_Eingaben'!$C$8)</f>
        <v/>
      </c>
      <c r="F945" s="27">
        <f>IF(E945="","",AVERAGE(INDEX($E$2:$E$3001,MAX(1,ROW()-1-'02_Eingaben'!$C$17)):INDEX($E$2:$E$3001,MIN('02_Eingaben'!$C$21,ROW()-1+'02_Eingaben'!$C$17))))</f>
        <v/>
      </c>
      <c r="G945" s="27">
        <f>IF(F945="","",F945-'02_Eingaben'!$C$10)</f>
        <v/>
      </c>
      <c r="H945">
        <f>IF(F945="","",IF(F945&lt;'02_Eingaben'!$C$18*'02_Eingaben'!$C$10,1,0))</f>
        <v/>
      </c>
      <c r="I945" s="27">
        <f>IF(OR(G945="",G946=""),"",(G945+G946)/2*(B946-B945))</f>
        <v/>
      </c>
      <c r="J945" s="27">
        <f>IF(B945="","",IF(B944&lt;'02_Eingaben'!$C$36,0,J944+I944/'02_Eingaben'!$C$8))</f>
        <v/>
      </c>
    </row>
    <row r="946">
      <c r="A946">
        <f>IF('01_Rohdaten'!A946="","",ROW()-1)</f>
        <v/>
      </c>
      <c r="B946" s="27">
        <f>IF('01_Rohdaten'!A946="","",'01_Rohdaten'!A946)</f>
        <v/>
      </c>
      <c r="C946" s="27">
        <f>IF(B946="","",INDEX('01_Rohdaten'!B946:D946,'02_Eingaben'!$C$13))</f>
        <v/>
      </c>
      <c r="D946" s="27">
        <f>IF(C946="","",C946*'02_Eingaben'!$C$15)</f>
        <v/>
      </c>
      <c r="E946" s="27">
        <f>IF(D946="","",D946*'02_Eingaben'!$C$8)</f>
        <v/>
      </c>
      <c r="F946" s="27">
        <f>IF(E946="","",AVERAGE(INDEX($E$2:$E$3001,MAX(1,ROW()-1-'02_Eingaben'!$C$17)):INDEX($E$2:$E$3001,MIN('02_Eingaben'!$C$21,ROW()-1+'02_Eingaben'!$C$17))))</f>
        <v/>
      </c>
      <c r="G946" s="27">
        <f>IF(F946="","",F946-'02_Eingaben'!$C$10)</f>
        <v/>
      </c>
      <c r="H946">
        <f>IF(F946="","",IF(F946&lt;'02_Eingaben'!$C$18*'02_Eingaben'!$C$10,1,0))</f>
        <v/>
      </c>
      <c r="I946" s="27">
        <f>IF(OR(G946="",G947=""),"",(G946+G947)/2*(B947-B946))</f>
        <v/>
      </c>
      <c r="J946" s="27">
        <f>IF(B946="","",IF(B945&lt;'02_Eingaben'!$C$36,0,J945+I945/'02_Eingaben'!$C$8))</f>
        <v/>
      </c>
    </row>
    <row r="947">
      <c r="A947">
        <f>IF('01_Rohdaten'!A947="","",ROW()-1)</f>
        <v/>
      </c>
      <c r="B947" s="27">
        <f>IF('01_Rohdaten'!A947="","",'01_Rohdaten'!A947)</f>
        <v/>
      </c>
      <c r="C947" s="27">
        <f>IF(B947="","",INDEX('01_Rohdaten'!B947:D947,'02_Eingaben'!$C$13))</f>
        <v/>
      </c>
      <c r="D947" s="27">
        <f>IF(C947="","",C947*'02_Eingaben'!$C$15)</f>
        <v/>
      </c>
      <c r="E947" s="27">
        <f>IF(D947="","",D947*'02_Eingaben'!$C$8)</f>
        <v/>
      </c>
      <c r="F947" s="27">
        <f>IF(E947="","",AVERAGE(INDEX($E$2:$E$3001,MAX(1,ROW()-1-'02_Eingaben'!$C$17)):INDEX($E$2:$E$3001,MIN('02_Eingaben'!$C$21,ROW()-1+'02_Eingaben'!$C$17))))</f>
        <v/>
      </c>
      <c r="G947" s="27">
        <f>IF(F947="","",F947-'02_Eingaben'!$C$10)</f>
        <v/>
      </c>
      <c r="H947">
        <f>IF(F947="","",IF(F947&lt;'02_Eingaben'!$C$18*'02_Eingaben'!$C$10,1,0))</f>
        <v/>
      </c>
      <c r="I947" s="27">
        <f>IF(OR(G947="",G948=""),"",(G947+G948)/2*(B948-B947))</f>
        <v/>
      </c>
      <c r="J947" s="27">
        <f>IF(B947="","",IF(B946&lt;'02_Eingaben'!$C$36,0,J946+I946/'02_Eingaben'!$C$8))</f>
        <v/>
      </c>
    </row>
    <row r="948">
      <c r="A948">
        <f>IF('01_Rohdaten'!A948="","",ROW()-1)</f>
        <v/>
      </c>
      <c r="B948" s="27">
        <f>IF('01_Rohdaten'!A948="","",'01_Rohdaten'!A948)</f>
        <v/>
      </c>
      <c r="C948" s="27">
        <f>IF(B948="","",INDEX('01_Rohdaten'!B948:D948,'02_Eingaben'!$C$13))</f>
        <v/>
      </c>
      <c r="D948" s="27">
        <f>IF(C948="","",C948*'02_Eingaben'!$C$15)</f>
        <v/>
      </c>
      <c r="E948" s="27">
        <f>IF(D948="","",D948*'02_Eingaben'!$C$8)</f>
        <v/>
      </c>
      <c r="F948" s="27">
        <f>IF(E948="","",AVERAGE(INDEX($E$2:$E$3001,MAX(1,ROW()-1-'02_Eingaben'!$C$17)):INDEX($E$2:$E$3001,MIN('02_Eingaben'!$C$21,ROW()-1+'02_Eingaben'!$C$17))))</f>
        <v/>
      </c>
      <c r="G948" s="27">
        <f>IF(F948="","",F948-'02_Eingaben'!$C$10)</f>
        <v/>
      </c>
      <c r="H948">
        <f>IF(F948="","",IF(F948&lt;'02_Eingaben'!$C$18*'02_Eingaben'!$C$10,1,0))</f>
        <v/>
      </c>
      <c r="I948" s="27">
        <f>IF(OR(G948="",G949=""),"",(G948+G949)/2*(B949-B948))</f>
        <v/>
      </c>
      <c r="J948" s="27">
        <f>IF(B948="","",IF(B947&lt;'02_Eingaben'!$C$36,0,J947+I947/'02_Eingaben'!$C$8))</f>
        <v/>
      </c>
    </row>
    <row r="949">
      <c r="A949">
        <f>IF('01_Rohdaten'!A949="","",ROW()-1)</f>
        <v/>
      </c>
      <c r="B949" s="27">
        <f>IF('01_Rohdaten'!A949="","",'01_Rohdaten'!A949)</f>
        <v/>
      </c>
      <c r="C949" s="27">
        <f>IF(B949="","",INDEX('01_Rohdaten'!B949:D949,'02_Eingaben'!$C$13))</f>
        <v/>
      </c>
      <c r="D949" s="27">
        <f>IF(C949="","",C949*'02_Eingaben'!$C$15)</f>
        <v/>
      </c>
      <c r="E949" s="27">
        <f>IF(D949="","",D949*'02_Eingaben'!$C$8)</f>
        <v/>
      </c>
      <c r="F949" s="27">
        <f>IF(E949="","",AVERAGE(INDEX($E$2:$E$3001,MAX(1,ROW()-1-'02_Eingaben'!$C$17)):INDEX($E$2:$E$3001,MIN('02_Eingaben'!$C$21,ROW()-1+'02_Eingaben'!$C$17))))</f>
        <v/>
      </c>
      <c r="G949" s="27">
        <f>IF(F949="","",F949-'02_Eingaben'!$C$10)</f>
        <v/>
      </c>
      <c r="H949">
        <f>IF(F949="","",IF(F949&lt;'02_Eingaben'!$C$18*'02_Eingaben'!$C$10,1,0))</f>
        <v/>
      </c>
      <c r="I949" s="27">
        <f>IF(OR(G949="",G950=""),"",(G949+G950)/2*(B950-B949))</f>
        <v/>
      </c>
      <c r="J949" s="27">
        <f>IF(B949="","",IF(B948&lt;'02_Eingaben'!$C$36,0,J948+I948/'02_Eingaben'!$C$8))</f>
        <v/>
      </c>
    </row>
    <row r="950">
      <c r="A950">
        <f>IF('01_Rohdaten'!A950="","",ROW()-1)</f>
        <v/>
      </c>
      <c r="B950" s="27">
        <f>IF('01_Rohdaten'!A950="","",'01_Rohdaten'!A950)</f>
        <v/>
      </c>
      <c r="C950" s="27">
        <f>IF(B950="","",INDEX('01_Rohdaten'!B950:D950,'02_Eingaben'!$C$13))</f>
        <v/>
      </c>
      <c r="D950" s="27">
        <f>IF(C950="","",C950*'02_Eingaben'!$C$15)</f>
        <v/>
      </c>
      <c r="E950" s="27">
        <f>IF(D950="","",D950*'02_Eingaben'!$C$8)</f>
        <v/>
      </c>
      <c r="F950" s="27">
        <f>IF(E950="","",AVERAGE(INDEX($E$2:$E$3001,MAX(1,ROW()-1-'02_Eingaben'!$C$17)):INDEX($E$2:$E$3001,MIN('02_Eingaben'!$C$21,ROW()-1+'02_Eingaben'!$C$17))))</f>
        <v/>
      </c>
      <c r="G950" s="27">
        <f>IF(F950="","",F950-'02_Eingaben'!$C$10)</f>
        <v/>
      </c>
      <c r="H950">
        <f>IF(F950="","",IF(F950&lt;'02_Eingaben'!$C$18*'02_Eingaben'!$C$10,1,0))</f>
        <v/>
      </c>
      <c r="I950" s="27">
        <f>IF(OR(G950="",G951=""),"",(G950+G951)/2*(B951-B950))</f>
        <v/>
      </c>
      <c r="J950" s="27">
        <f>IF(B950="","",IF(B949&lt;'02_Eingaben'!$C$36,0,J949+I949/'02_Eingaben'!$C$8))</f>
        <v/>
      </c>
    </row>
    <row r="951">
      <c r="A951">
        <f>IF('01_Rohdaten'!A951="","",ROW()-1)</f>
        <v/>
      </c>
      <c r="B951" s="27">
        <f>IF('01_Rohdaten'!A951="","",'01_Rohdaten'!A951)</f>
        <v/>
      </c>
      <c r="C951" s="27">
        <f>IF(B951="","",INDEX('01_Rohdaten'!B951:D951,'02_Eingaben'!$C$13))</f>
        <v/>
      </c>
      <c r="D951" s="27">
        <f>IF(C951="","",C951*'02_Eingaben'!$C$15)</f>
        <v/>
      </c>
      <c r="E951" s="27">
        <f>IF(D951="","",D951*'02_Eingaben'!$C$8)</f>
        <v/>
      </c>
      <c r="F951" s="27">
        <f>IF(E951="","",AVERAGE(INDEX($E$2:$E$3001,MAX(1,ROW()-1-'02_Eingaben'!$C$17)):INDEX($E$2:$E$3001,MIN('02_Eingaben'!$C$21,ROW()-1+'02_Eingaben'!$C$17))))</f>
        <v/>
      </c>
      <c r="G951" s="27">
        <f>IF(F951="","",F951-'02_Eingaben'!$C$10)</f>
        <v/>
      </c>
      <c r="H951">
        <f>IF(F951="","",IF(F951&lt;'02_Eingaben'!$C$18*'02_Eingaben'!$C$10,1,0))</f>
        <v/>
      </c>
      <c r="I951" s="27">
        <f>IF(OR(G951="",G952=""),"",(G951+G952)/2*(B952-B951))</f>
        <v/>
      </c>
      <c r="J951" s="27">
        <f>IF(B951="","",IF(B950&lt;'02_Eingaben'!$C$36,0,J950+I950/'02_Eingaben'!$C$8))</f>
        <v/>
      </c>
    </row>
    <row r="952">
      <c r="A952">
        <f>IF('01_Rohdaten'!A952="","",ROW()-1)</f>
        <v/>
      </c>
      <c r="B952" s="27">
        <f>IF('01_Rohdaten'!A952="","",'01_Rohdaten'!A952)</f>
        <v/>
      </c>
      <c r="C952" s="27">
        <f>IF(B952="","",INDEX('01_Rohdaten'!B952:D952,'02_Eingaben'!$C$13))</f>
        <v/>
      </c>
      <c r="D952" s="27">
        <f>IF(C952="","",C952*'02_Eingaben'!$C$15)</f>
        <v/>
      </c>
      <c r="E952" s="27">
        <f>IF(D952="","",D952*'02_Eingaben'!$C$8)</f>
        <v/>
      </c>
      <c r="F952" s="27">
        <f>IF(E952="","",AVERAGE(INDEX($E$2:$E$3001,MAX(1,ROW()-1-'02_Eingaben'!$C$17)):INDEX($E$2:$E$3001,MIN('02_Eingaben'!$C$21,ROW()-1+'02_Eingaben'!$C$17))))</f>
        <v/>
      </c>
      <c r="G952" s="27">
        <f>IF(F952="","",F952-'02_Eingaben'!$C$10)</f>
        <v/>
      </c>
      <c r="H952">
        <f>IF(F952="","",IF(F952&lt;'02_Eingaben'!$C$18*'02_Eingaben'!$C$10,1,0))</f>
        <v/>
      </c>
      <c r="I952" s="27">
        <f>IF(OR(G952="",G953=""),"",(G952+G953)/2*(B953-B952))</f>
        <v/>
      </c>
      <c r="J952" s="27">
        <f>IF(B952="","",IF(B951&lt;'02_Eingaben'!$C$36,0,J951+I951/'02_Eingaben'!$C$8))</f>
        <v/>
      </c>
    </row>
    <row r="953">
      <c r="A953">
        <f>IF('01_Rohdaten'!A953="","",ROW()-1)</f>
        <v/>
      </c>
      <c r="B953" s="27">
        <f>IF('01_Rohdaten'!A953="","",'01_Rohdaten'!A953)</f>
        <v/>
      </c>
      <c r="C953" s="27">
        <f>IF(B953="","",INDEX('01_Rohdaten'!B953:D953,'02_Eingaben'!$C$13))</f>
        <v/>
      </c>
      <c r="D953" s="27">
        <f>IF(C953="","",C953*'02_Eingaben'!$C$15)</f>
        <v/>
      </c>
      <c r="E953" s="27">
        <f>IF(D953="","",D953*'02_Eingaben'!$C$8)</f>
        <v/>
      </c>
      <c r="F953" s="27">
        <f>IF(E953="","",AVERAGE(INDEX($E$2:$E$3001,MAX(1,ROW()-1-'02_Eingaben'!$C$17)):INDEX($E$2:$E$3001,MIN('02_Eingaben'!$C$21,ROW()-1+'02_Eingaben'!$C$17))))</f>
        <v/>
      </c>
      <c r="G953" s="27">
        <f>IF(F953="","",F953-'02_Eingaben'!$C$10)</f>
        <v/>
      </c>
      <c r="H953">
        <f>IF(F953="","",IF(F953&lt;'02_Eingaben'!$C$18*'02_Eingaben'!$C$10,1,0))</f>
        <v/>
      </c>
      <c r="I953" s="27">
        <f>IF(OR(G953="",G954=""),"",(G953+G954)/2*(B954-B953))</f>
        <v/>
      </c>
      <c r="J953" s="27">
        <f>IF(B953="","",IF(B952&lt;'02_Eingaben'!$C$36,0,J952+I952/'02_Eingaben'!$C$8))</f>
        <v/>
      </c>
    </row>
    <row r="954">
      <c r="A954">
        <f>IF('01_Rohdaten'!A954="","",ROW()-1)</f>
        <v/>
      </c>
      <c r="B954" s="27">
        <f>IF('01_Rohdaten'!A954="","",'01_Rohdaten'!A954)</f>
        <v/>
      </c>
      <c r="C954" s="27">
        <f>IF(B954="","",INDEX('01_Rohdaten'!B954:D954,'02_Eingaben'!$C$13))</f>
        <v/>
      </c>
      <c r="D954" s="27">
        <f>IF(C954="","",C954*'02_Eingaben'!$C$15)</f>
        <v/>
      </c>
      <c r="E954" s="27">
        <f>IF(D954="","",D954*'02_Eingaben'!$C$8)</f>
        <v/>
      </c>
      <c r="F954" s="27">
        <f>IF(E954="","",AVERAGE(INDEX($E$2:$E$3001,MAX(1,ROW()-1-'02_Eingaben'!$C$17)):INDEX($E$2:$E$3001,MIN('02_Eingaben'!$C$21,ROW()-1+'02_Eingaben'!$C$17))))</f>
        <v/>
      </c>
      <c r="G954" s="27">
        <f>IF(F954="","",F954-'02_Eingaben'!$C$10)</f>
        <v/>
      </c>
      <c r="H954">
        <f>IF(F954="","",IF(F954&lt;'02_Eingaben'!$C$18*'02_Eingaben'!$C$10,1,0))</f>
        <v/>
      </c>
      <c r="I954" s="27">
        <f>IF(OR(G954="",G955=""),"",(G954+G955)/2*(B955-B954))</f>
        <v/>
      </c>
      <c r="J954" s="27">
        <f>IF(B954="","",IF(B953&lt;'02_Eingaben'!$C$36,0,J953+I953/'02_Eingaben'!$C$8))</f>
        <v/>
      </c>
    </row>
    <row r="955">
      <c r="A955">
        <f>IF('01_Rohdaten'!A955="","",ROW()-1)</f>
        <v/>
      </c>
      <c r="B955" s="27">
        <f>IF('01_Rohdaten'!A955="","",'01_Rohdaten'!A955)</f>
        <v/>
      </c>
      <c r="C955" s="27">
        <f>IF(B955="","",INDEX('01_Rohdaten'!B955:D955,'02_Eingaben'!$C$13))</f>
        <v/>
      </c>
      <c r="D955" s="27">
        <f>IF(C955="","",C955*'02_Eingaben'!$C$15)</f>
        <v/>
      </c>
      <c r="E955" s="27">
        <f>IF(D955="","",D955*'02_Eingaben'!$C$8)</f>
        <v/>
      </c>
      <c r="F955" s="27">
        <f>IF(E955="","",AVERAGE(INDEX($E$2:$E$3001,MAX(1,ROW()-1-'02_Eingaben'!$C$17)):INDEX($E$2:$E$3001,MIN('02_Eingaben'!$C$21,ROW()-1+'02_Eingaben'!$C$17))))</f>
        <v/>
      </c>
      <c r="G955" s="27">
        <f>IF(F955="","",F955-'02_Eingaben'!$C$10)</f>
        <v/>
      </c>
      <c r="H955">
        <f>IF(F955="","",IF(F955&lt;'02_Eingaben'!$C$18*'02_Eingaben'!$C$10,1,0))</f>
        <v/>
      </c>
      <c r="I955" s="27">
        <f>IF(OR(G955="",G956=""),"",(G955+G956)/2*(B956-B955))</f>
        <v/>
      </c>
      <c r="J955" s="27">
        <f>IF(B955="","",IF(B954&lt;'02_Eingaben'!$C$36,0,J954+I954/'02_Eingaben'!$C$8))</f>
        <v/>
      </c>
    </row>
    <row r="956">
      <c r="A956">
        <f>IF('01_Rohdaten'!A956="","",ROW()-1)</f>
        <v/>
      </c>
      <c r="B956" s="27">
        <f>IF('01_Rohdaten'!A956="","",'01_Rohdaten'!A956)</f>
        <v/>
      </c>
      <c r="C956" s="27">
        <f>IF(B956="","",INDEX('01_Rohdaten'!B956:D956,'02_Eingaben'!$C$13))</f>
        <v/>
      </c>
      <c r="D956" s="27">
        <f>IF(C956="","",C956*'02_Eingaben'!$C$15)</f>
        <v/>
      </c>
      <c r="E956" s="27">
        <f>IF(D956="","",D956*'02_Eingaben'!$C$8)</f>
        <v/>
      </c>
      <c r="F956" s="27">
        <f>IF(E956="","",AVERAGE(INDEX($E$2:$E$3001,MAX(1,ROW()-1-'02_Eingaben'!$C$17)):INDEX($E$2:$E$3001,MIN('02_Eingaben'!$C$21,ROW()-1+'02_Eingaben'!$C$17))))</f>
        <v/>
      </c>
      <c r="G956" s="27">
        <f>IF(F956="","",F956-'02_Eingaben'!$C$10)</f>
        <v/>
      </c>
      <c r="H956">
        <f>IF(F956="","",IF(F956&lt;'02_Eingaben'!$C$18*'02_Eingaben'!$C$10,1,0))</f>
        <v/>
      </c>
      <c r="I956" s="27">
        <f>IF(OR(G956="",G957=""),"",(G956+G957)/2*(B957-B956))</f>
        <v/>
      </c>
      <c r="J956" s="27">
        <f>IF(B956="","",IF(B955&lt;'02_Eingaben'!$C$36,0,J955+I955/'02_Eingaben'!$C$8))</f>
        <v/>
      </c>
    </row>
    <row r="957">
      <c r="A957">
        <f>IF('01_Rohdaten'!A957="","",ROW()-1)</f>
        <v/>
      </c>
      <c r="B957" s="27">
        <f>IF('01_Rohdaten'!A957="","",'01_Rohdaten'!A957)</f>
        <v/>
      </c>
      <c r="C957" s="27">
        <f>IF(B957="","",INDEX('01_Rohdaten'!B957:D957,'02_Eingaben'!$C$13))</f>
        <v/>
      </c>
      <c r="D957" s="27">
        <f>IF(C957="","",C957*'02_Eingaben'!$C$15)</f>
        <v/>
      </c>
      <c r="E957" s="27">
        <f>IF(D957="","",D957*'02_Eingaben'!$C$8)</f>
        <v/>
      </c>
      <c r="F957" s="27">
        <f>IF(E957="","",AVERAGE(INDEX($E$2:$E$3001,MAX(1,ROW()-1-'02_Eingaben'!$C$17)):INDEX($E$2:$E$3001,MIN('02_Eingaben'!$C$21,ROW()-1+'02_Eingaben'!$C$17))))</f>
        <v/>
      </c>
      <c r="G957" s="27">
        <f>IF(F957="","",F957-'02_Eingaben'!$C$10)</f>
        <v/>
      </c>
      <c r="H957">
        <f>IF(F957="","",IF(F957&lt;'02_Eingaben'!$C$18*'02_Eingaben'!$C$10,1,0))</f>
        <v/>
      </c>
      <c r="I957" s="27">
        <f>IF(OR(G957="",G958=""),"",(G957+G958)/2*(B958-B957))</f>
        <v/>
      </c>
      <c r="J957" s="27">
        <f>IF(B957="","",IF(B956&lt;'02_Eingaben'!$C$36,0,J956+I956/'02_Eingaben'!$C$8))</f>
        <v/>
      </c>
    </row>
    <row r="958">
      <c r="A958">
        <f>IF('01_Rohdaten'!A958="","",ROW()-1)</f>
        <v/>
      </c>
      <c r="B958" s="27">
        <f>IF('01_Rohdaten'!A958="","",'01_Rohdaten'!A958)</f>
        <v/>
      </c>
      <c r="C958" s="27">
        <f>IF(B958="","",INDEX('01_Rohdaten'!B958:D958,'02_Eingaben'!$C$13))</f>
        <v/>
      </c>
      <c r="D958" s="27">
        <f>IF(C958="","",C958*'02_Eingaben'!$C$15)</f>
        <v/>
      </c>
      <c r="E958" s="27">
        <f>IF(D958="","",D958*'02_Eingaben'!$C$8)</f>
        <v/>
      </c>
      <c r="F958" s="27">
        <f>IF(E958="","",AVERAGE(INDEX($E$2:$E$3001,MAX(1,ROW()-1-'02_Eingaben'!$C$17)):INDEX($E$2:$E$3001,MIN('02_Eingaben'!$C$21,ROW()-1+'02_Eingaben'!$C$17))))</f>
        <v/>
      </c>
      <c r="G958" s="27">
        <f>IF(F958="","",F958-'02_Eingaben'!$C$10)</f>
        <v/>
      </c>
      <c r="H958">
        <f>IF(F958="","",IF(F958&lt;'02_Eingaben'!$C$18*'02_Eingaben'!$C$10,1,0))</f>
        <v/>
      </c>
      <c r="I958" s="27">
        <f>IF(OR(G958="",G959=""),"",(G958+G959)/2*(B959-B958))</f>
        <v/>
      </c>
      <c r="J958" s="27">
        <f>IF(B958="","",IF(B957&lt;'02_Eingaben'!$C$36,0,J957+I957/'02_Eingaben'!$C$8))</f>
        <v/>
      </c>
    </row>
    <row r="959">
      <c r="A959">
        <f>IF('01_Rohdaten'!A959="","",ROW()-1)</f>
        <v/>
      </c>
      <c r="B959" s="27">
        <f>IF('01_Rohdaten'!A959="","",'01_Rohdaten'!A959)</f>
        <v/>
      </c>
      <c r="C959" s="27">
        <f>IF(B959="","",INDEX('01_Rohdaten'!B959:D959,'02_Eingaben'!$C$13))</f>
        <v/>
      </c>
      <c r="D959" s="27">
        <f>IF(C959="","",C959*'02_Eingaben'!$C$15)</f>
        <v/>
      </c>
      <c r="E959" s="27">
        <f>IF(D959="","",D959*'02_Eingaben'!$C$8)</f>
        <v/>
      </c>
      <c r="F959" s="27">
        <f>IF(E959="","",AVERAGE(INDEX($E$2:$E$3001,MAX(1,ROW()-1-'02_Eingaben'!$C$17)):INDEX($E$2:$E$3001,MIN('02_Eingaben'!$C$21,ROW()-1+'02_Eingaben'!$C$17))))</f>
        <v/>
      </c>
      <c r="G959" s="27">
        <f>IF(F959="","",F959-'02_Eingaben'!$C$10)</f>
        <v/>
      </c>
      <c r="H959">
        <f>IF(F959="","",IF(F959&lt;'02_Eingaben'!$C$18*'02_Eingaben'!$C$10,1,0))</f>
        <v/>
      </c>
      <c r="I959" s="27">
        <f>IF(OR(G959="",G960=""),"",(G959+G960)/2*(B960-B959))</f>
        <v/>
      </c>
      <c r="J959" s="27">
        <f>IF(B959="","",IF(B958&lt;'02_Eingaben'!$C$36,0,J958+I958/'02_Eingaben'!$C$8))</f>
        <v/>
      </c>
    </row>
    <row r="960">
      <c r="A960">
        <f>IF('01_Rohdaten'!A960="","",ROW()-1)</f>
        <v/>
      </c>
      <c r="B960" s="27">
        <f>IF('01_Rohdaten'!A960="","",'01_Rohdaten'!A960)</f>
        <v/>
      </c>
      <c r="C960" s="27">
        <f>IF(B960="","",INDEX('01_Rohdaten'!B960:D960,'02_Eingaben'!$C$13))</f>
        <v/>
      </c>
      <c r="D960" s="27">
        <f>IF(C960="","",C960*'02_Eingaben'!$C$15)</f>
        <v/>
      </c>
      <c r="E960" s="27">
        <f>IF(D960="","",D960*'02_Eingaben'!$C$8)</f>
        <v/>
      </c>
      <c r="F960" s="27">
        <f>IF(E960="","",AVERAGE(INDEX($E$2:$E$3001,MAX(1,ROW()-1-'02_Eingaben'!$C$17)):INDEX($E$2:$E$3001,MIN('02_Eingaben'!$C$21,ROW()-1+'02_Eingaben'!$C$17))))</f>
        <v/>
      </c>
      <c r="G960" s="27">
        <f>IF(F960="","",F960-'02_Eingaben'!$C$10)</f>
        <v/>
      </c>
      <c r="H960">
        <f>IF(F960="","",IF(F960&lt;'02_Eingaben'!$C$18*'02_Eingaben'!$C$10,1,0))</f>
        <v/>
      </c>
      <c r="I960" s="27">
        <f>IF(OR(G960="",G961=""),"",(G960+G961)/2*(B961-B960))</f>
        <v/>
      </c>
      <c r="J960" s="27">
        <f>IF(B960="","",IF(B959&lt;'02_Eingaben'!$C$36,0,J959+I959/'02_Eingaben'!$C$8))</f>
        <v/>
      </c>
    </row>
    <row r="961">
      <c r="A961">
        <f>IF('01_Rohdaten'!A961="","",ROW()-1)</f>
        <v/>
      </c>
      <c r="B961" s="27">
        <f>IF('01_Rohdaten'!A961="","",'01_Rohdaten'!A961)</f>
        <v/>
      </c>
      <c r="C961" s="27">
        <f>IF(B961="","",INDEX('01_Rohdaten'!B961:D961,'02_Eingaben'!$C$13))</f>
        <v/>
      </c>
      <c r="D961" s="27">
        <f>IF(C961="","",C961*'02_Eingaben'!$C$15)</f>
        <v/>
      </c>
      <c r="E961" s="27">
        <f>IF(D961="","",D961*'02_Eingaben'!$C$8)</f>
        <v/>
      </c>
      <c r="F961" s="27">
        <f>IF(E961="","",AVERAGE(INDEX($E$2:$E$3001,MAX(1,ROW()-1-'02_Eingaben'!$C$17)):INDEX($E$2:$E$3001,MIN('02_Eingaben'!$C$21,ROW()-1+'02_Eingaben'!$C$17))))</f>
        <v/>
      </c>
      <c r="G961" s="27">
        <f>IF(F961="","",F961-'02_Eingaben'!$C$10)</f>
        <v/>
      </c>
      <c r="H961">
        <f>IF(F961="","",IF(F961&lt;'02_Eingaben'!$C$18*'02_Eingaben'!$C$10,1,0))</f>
        <v/>
      </c>
      <c r="I961" s="27">
        <f>IF(OR(G961="",G962=""),"",(G961+G962)/2*(B962-B961))</f>
        <v/>
      </c>
      <c r="J961" s="27">
        <f>IF(B961="","",IF(B960&lt;'02_Eingaben'!$C$36,0,J960+I960/'02_Eingaben'!$C$8))</f>
        <v/>
      </c>
    </row>
    <row r="962">
      <c r="A962">
        <f>IF('01_Rohdaten'!A962="","",ROW()-1)</f>
        <v/>
      </c>
      <c r="B962" s="27">
        <f>IF('01_Rohdaten'!A962="","",'01_Rohdaten'!A962)</f>
        <v/>
      </c>
      <c r="C962" s="27">
        <f>IF(B962="","",INDEX('01_Rohdaten'!B962:D962,'02_Eingaben'!$C$13))</f>
        <v/>
      </c>
      <c r="D962" s="27">
        <f>IF(C962="","",C962*'02_Eingaben'!$C$15)</f>
        <v/>
      </c>
      <c r="E962" s="27">
        <f>IF(D962="","",D962*'02_Eingaben'!$C$8)</f>
        <v/>
      </c>
      <c r="F962" s="27">
        <f>IF(E962="","",AVERAGE(INDEX($E$2:$E$3001,MAX(1,ROW()-1-'02_Eingaben'!$C$17)):INDEX($E$2:$E$3001,MIN('02_Eingaben'!$C$21,ROW()-1+'02_Eingaben'!$C$17))))</f>
        <v/>
      </c>
      <c r="G962" s="27">
        <f>IF(F962="","",F962-'02_Eingaben'!$C$10)</f>
        <v/>
      </c>
      <c r="H962">
        <f>IF(F962="","",IF(F962&lt;'02_Eingaben'!$C$18*'02_Eingaben'!$C$10,1,0))</f>
        <v/>
      </c>
      <c r="I962" s="27">
        <f>IF(OR(G962="",G963=""),"",(G962+G963)/2*(B963-B962))</f>
        <v/>
      </c>
      <c r="J962" s="27">
        <f>IF(B962="","",IF(B961&lt;'02_Eingaben'!$C$36,0,J961+I961/'02_Eingaben'!$C$8))</f>
        <v/>
      </c>
    </row>
    <row r="963">
      <c r="A963">
        <f>IF('01_Rohdaten'!A963="","",ROW()-1)</f>
        <v/>
      </c>
      <c r="B963" s="27">
        <f>IF('01_Rohdaten'!A963="","",'01_Rohdaten'!A963)</f>
        <v/>
      </c>
      <c r="C963" s="27">
        <f>IF(B963="","",INDEX('01_Rohdaten'!B963:D963,'02_Eingaben'!$C$13))</f>
        <v/>
      </c>
      <c r="D963" s="27">
        <f>IF(C963="","",C963*'02_Eingaben'!$C$15)</f>
        <v/>
      </c>
      <c r="E963" s="27">
        <f>IF(D963="","",D963*'02_Eingaben'!$C$8)</f>
        <v/>
      </c>
      <c r="F963" s="27">
        <f>IF(E963="","",AVERAGE(INDEX($E$2:$E$3001,MAX(1,ROW()-1-'02_Eingaben'!$C$17)):INDEX($E$2:$E$3001,MIN('02_Eingaben'!$C$21,ROW()-1+'02_Eingaben'!$C$17))))</f>
        <v/>
      </c>
      <c r="G963" s="27">
        <f>IF(F963="","",F963-'02_Eingaben'!$C$10)</f>
        <v/>
      </c>
      <c r="H963">
        <f>IF(F963="","",IF(F963&lt;'02_Eingaben'!$C$18*'02_Eingaben'!$C$10,1,0))</f>
        <v/>
      </c>
      <c r="I963" s="27">
        <f>IF(OR(G963="",G964=""),"",(G963+G964)/2*(B964-B963))</f>
        <v/>
      </c>
      <c r="J963" s="27">
        <f>IF(B963="","",IF(B962&lt;'02_Eingaben'!$C$36,0,J962+I962/'02_Eingaben'!$C$8))</f>
        <v/>
      </c>
    </row>
    <row r="964">
      <c r="A964">
        <f>IF('01_Rohdaten'!A964="","",ROW()-1)</f>
        <v/>
      </c>
      <c r="B964" s="27">
        <f>IF('01_Rohdaten'!A964="","",'01_Rohdaten'!A964)</f>
        <v/>
      </c>
      <c r="C964" s="27">
        <f>IF(B964="","",INDEX('01_Rohdaten'!B964:D964,'02_Eingaben'!$C$13))</f>
        <v/>
      </c>
      <c r="D964" s="27">
        <f>IF(C964="","",C964*'02_Eingaben'!$C$15)</f>
        <v/>
      </c>
      <c r="E964" s="27">
        <f>IF(D964="","",D964*'02_Eingaben'!$C$8)</f>
        <v/>
      </c>
      <c r="F964" s="27">
        <f>IF(E964="","",AVERAGE(INDEX($E$2:$E$3001,MAX(1,ROW()-1-'02_Eingaben'!$C$17)):INDEX($E$2:$E$3001,MIN('02_Eingaben'!$C$21,ROW()-1+'02_Eingaben'!$C$17))))</f>
        <v/>
      </c>
      <c r="G964" s="27">
        <f>IF(F964="","",F964-'02_Eingaben'!$C$10)</f>
        <v/>
      </c>
      <c r="H964">
        <f>IF(F964="","",IF(F964&lt;'02_Eingaben'!$C$18*'02_Eingaben'!$C$10,1,0))</f>
        <v/>
      </c>
      <c r="I964" s="27">
        <f>IF(OR(G964="",G965=""),"",(G964+G965)/2*(B965-B964))</f>
        <v/>
      </c>
      <c r="J964" s="27">
        <f>IF(B964="","",IF(B963&lt;'02_Eingaben'!$C$36,0,J963+I963/'02_Eingaben'!$C$8))</f>
        <v/>
      </c>
    </row>
    <row r="965">
      <c r="A965">
        <f>IF('01_Rohdaten'!A965="","",ROW()-1)</f>
        <v/>
      </c>
      <c r="B965" s="27">
        <f>IF('01_Rohdaten'!A965="","",'01_Rohdaten'!A965)</f>
        <v/>
      </c>
      <c r="C965" s="27">
        <f>IF(B965="","",INDEX('01_Rohdaten'!B965:D965,'02_Eingaben'!$C$13))</f>
        <v/>
      </c>
      <c r="D965" s="27">
        <f>IF(C965="","",C965*'02_Eingaben'!$C$15)</f>
        <v/>
      </c>
      <c r="E965" s="27">
        <f>IF(D965="","",D965*'02_Eingaben'!$C$8)</f>
        <v/>
      </c>
      <c r="F965" s="27">
        <f>IF(E965="","",AVERAGE(INDEX($E$2:$E$3001,MAX(1,ROW()-1-'02_Eingaben'!$C$17)):INDEX($E$2:$E$3001,MIN('02_Eingaben'!$C$21,ROW()-1+'02_Eingaben'!$C$17))))</f>
        <v/>
      </c>
      <c r="G965" s="27">
        <f>IF(F965="","",F965-'02_Eingaben'!$C$10)</f>
        <v/>
      </c>
      <c r="H965">
        <f>IF(F965="","",IF(F965&lt;'02_Eingaben'!$C$18*'02_Eingaben'!$C$10,1,0))</f>
        <v/>
      </c>
      <c r="I965" s="27">
        <f>IF(OR(G965="",G966=""),"",(G965+G966)/2*(B966-B965))</f>
        <v/>
      </c>
      <c r="J965" s="27">
        <f>IF(B965="","",IF(B964&lt;'02_Eingaben'!$C$36,0,J964+I964/'02_Eingaben'!$C$8))</f>
        <v/>
      </c>
    </row>
    <row r="966">
      <c r="A966">
        <f>IF('01_Rohdaten'!A966="","",ROW()-1)</f>
        <v/>
      </c>
      <c r="B966" s="27">
        <f>IF('01_Rohdaten'!A966="","",'01_Rohdaten'!A966)</f>
        <v/>
      </c>
      <c r="C966" s="27">
        <f>IF(B966="","",INDEX('01_Rohdaten'!B966:D966,'02_Eingaben'!$C$13))</f>
        <v/>
      </c>
      <c r="D966" s="27">
        <f>IF(C966="","",C966*'02_Eingaben'!$C$15)</f>
        <v/>
      </c>
      <c r="E966" s="27">
        <f>IF(D966="","",D966*'02_Eingaben'!$C$8)</f>
        <v/>
      </c>
      <c r="F966" s="27">
        <f>IF(E966="","",AVERAGE(INDEX($E$2:$E$3001,MAX(1,ROW()-1-'02_Eingaben'!$C$17)):INDEX($E$2:$E$3001,MIN('02_Eingaben'!$C$21,ROW()-1+'02_Eingaben'!$C$17))))</f>
        <v/>
      </c>
      <c r="G966" s="27">
        <f>IF(F966="","",F966-'02_Eingaben'!$C$10)</f>
        <v/>
      </c>
      <c r="H966">
        <f>IF(F966="","",IF(F966&lt;'02_Eingaben'!$C$18*'02_Eingaben'!$C$10,1,0))</f>
        <v/>
      </c>
      <c r="I966" s="27">
        <f>IF(OR(G966="",G967=""),"",(G966+G967)/2*(B967-B966))</f>
        <v/>
      </c>
      <c r="J966" s="27">
        <f>IF(B966="","",IF(B965&lt;'02_Eingaben'!$C$36,0,J965+I965/'02_Eingaben'!$C$8))</f>
        <v/>
      </c>
    </row>
    <row r="967">
      <c r="A967">
        <f>IF('01_Rohdaten'!A967="","",ROW()-1)</f>
        <v/>
      </c>
      <c r="B967" s="27">
        <f>IF('01_Rohdaten'!A967="","",'01_Rohdaten'!A967)</f>
        <v/>
      </c>
      <c r="C967" s="27">
        <f>IF(B967="","",INDEX('01_Rohdaten'!B967:D967,'02_Eingaben'!$C$13))</f>
        <v/>
      </c>
      <c r="D967" s="27">
        <f>IF(C967="","",C967*'02_Eingaben'!$C$15)</f>
        <v/>
      </c>
      <c r="E967" s="27">
        <f>IF(D967="","",D967*'02_Eingaben'!$C$8)</f>
        <v/>
      </c>
      <c r="F967" s="27">
        <f>IF(E967="","",AVERAGE(INDEX($E$2:$E$3001,MAX(1,ROW()-1-'02_Eingaben'!$C$17)):INDEX($E$2:$E$3001,MIN('02_Eingaben'!$C$21,ROW()-1+'02_Eingaben'!$C$17))))</f>
        <v/>
      </c>
      <c r="G967" s="27">
        <f>IF(F967="","",F967-'02_Eingaben'!$C$10)</f>
        <v/>
      </c>
      <c r="H967">
        <f>IF(F967="","",IF(F967&lt;'02_Eingaben'!$C$18*'02_Eingaben'!$C$10,1,0))</f>
        <v/>
      </c>
      <c r="I967" s="27">
        <f>IF(OR(G967="",G968=""),"",(G967+G968)/2*(B968-B967))</f>
        <v/>
      </c>
      <c r="J967" s="27">
        <f>IF(B967="","",IF(B966&lt;'02_Eingaben'!$C$36,0,J966+I966/'02_Eingaben'!$C$8))</f>
        <v/>
      </c>
    </row>
    <row r="968">
      <c r="A968">
        <f>IF('01_Rohdaten'!A968="","",ROW()-1)</f>
        <v/>
      </c>
      <c r="B968" s="27">
        <f>IF('01_Rohdaten'!A968="","",'01_Rohdaten'!A968)</f>
        <v/>
      </c>
      <c r="C968" s="27">
        <f>IF(B968="","",INDEX('01_Rohdaten'!B968:D968,'02_Eingaben'!$C$13))</f>
        <v/>
      </c>
      <c r="D968" s="27">
        <f>IF(C968="","",C968*'02_Eingaben'!$C$15)</f>
        <v/>
      </c>
      <c r="E968" s="27">
        <f>IF(D968="","",D968*'02_Eingaben'!$C$8)</f>
        <v/>
      </c>
      <c r="F968" s="27">
        <f>IF(E968="","",AVERAGE(INDEX($E$2:$E$3001,MAX(1,ROW()-1-'02_Eingaben'!$C$17)):INDEX($E$2:$E$3001,MIN('02_Eingaben'!$C$21,ROW()-1+'02_Eingaben'!$C$17))))</f>
        <v/>
      </c>
      <c r="G968" s="27">
        <f>IF(F968="","",F968-'02_Eingaben'!$C$10)</f>
        <v/>
      </c>
      <c r="H968">
        <f>IF(F968="","",IF(F968&lt;'02_Eingaben'!$C$18*'02_Eingaben'!$C$10,1,0))</f>
        <v/>
      </c>
      <c r="I968" s="27">
        <f>IF(OR(G968="",G969=""),"",(G968+G969)/2*(B969-B968))</f>
        <v/>
      </c>
      <c r="J968" s="27">
        <f>IF(B968="","",IF(B967&lt;'02_Eingaben'!$C$36,0,J967+I967/'02_Eingaben'!$C$8))</f>
        <v/>
      </c>
    </row>
    <row r="969">
      <c r="A969">
        <f>IF('01_Rohdaten'!A969="","",ROW()-1)</f>
        <v/>
      </c>
      <c r="B969" s="27">
        <f>IF('01_Rohdaten'!A969="","",'01_Rohdaten'!A969)</f>
        <v/>
      </c>
      <c r="C969" s="27">
        <f>IF(B969="","",INDEX('01_Rohdaten'!B969:D969,'02_Eingaben'!$C$13))</f>
        <v/>
      </c>
      <c r="D969" s="27">
        <f>IF(C969="","",C969*'02_Eingaben'!$C$15)</f>
        <v/>
      </c>
      <c r="E969" s="27">
        <f>IF(D969="","",D969*'02_Eingaben'!$C$8)</f>
        <v/>
      </c>
      <c r="F969" s="27">
        <f>IF(E969="","",AVERAGE(INDEX($E$2:$E$3001,MAX(1,ROW()-1-'02_Eingaben'!$C$17)):INDEX($E$2:$E$3001,MIN('02_Eingaben'!$C$21,ROW()-1+'02_Eingaben'!$C$17))))</f>
        <v/>
      </c>
      <c r="G969" s="27">
        <f>IF(F969="","",F969-'02_Eingaben'!$C$10)</f>
        <v/>
      </c>
      <c r="H969">
        <f>IF(F969="","",IF(F969&lt;'02_Eingaben'!$C$18*'02_Eingaben'!$C$10,1,0))</f>
        <v/>
      </c>
      <c r="I969" s="27">
        <f>IF(OR(G969="",G970=""),"",(G969+G970)/2*(B970-B969))</f>
        <v/>
      </c>
      <c r="J969" s="27">
        <f>IF(B969="","",IF(B968&lt;'02_Eingaben'!$C$36,0,J968+I968/'02_Eingaben'!$C$8))</f>
        <v/>
      </c>
    </row>
    <row r="970">
      <c r="A970">
        <f>IF('01_Rohdaten'!A970="","",ROW()-1)</f>
        <v/>
      </c>
      <c r="B970" s="27">
        <f>IF('01_Rohdaten'!A970="","",'01_Rohdaten'!A970)</f>
        <v/>
      </c>
      <c r="C970" s="27">
        <f>IF(B970="","",INDEX('01_Rohdaten'!B970:D970,'02_Eingaben'!$C$13))</f>
        <v/>
      </c>
      <c r="D970" s="27">
        <f>IF(C970="","",C970*'02_Eingaben'!$C$15)</f>
        <v/>
      </c>
      <c r="E970" s="27">
        <f>IF(D970="","",D970*'02_Eingaben'!$C$8)</f>
        <v/>
      </c>
      <c r="F970" s="27">
        <f>IF(E970="","",AVERAGE(INDEX($E$2:$E$3001,MAX(1,ROW()-1-'02_Eingaben'!$C$17)):INDEX($E$2:$E$3001,MIN('02_Eingaben'!$C$21,ROW()-1+'02_Eingaben'!$C$17))))</f>
        <v/>
      </c>
      <c r="G970" s="27">
        <f>IF(F970="","",F970-'02_Eingaben'!$C$10)</f>
        <v/>
      </c>
      <c r="H970">
        <f>IF(F970="","",IF(F970&lt;'02_Eingaben'!$C$18*'02_Eingaben'!$C$10,1,0))</f>
        <v/>
      </c>
      <c r="I970" s="27">
        <f>IF(OR(G970="",G971=""),"",(G970+G971)/2*(B971-B970))</f>
        <v/>
      </c>
      <c r="J970" s="27">
        <f>IF(B970="","",IF(B969&lt;'02_Eingaben'!$C$36,0,J969+I969/'02_Eingaben'!$C$8))</f>
        <v/>
      </c>
    </row>
    <row r="971">
      <c r="A971">
        <f>IF('01_Rohdaten'!A971="","",ROW()-1)</f>
        <v/>
      </c>
      <c r="B971" s="27">
        <f>IF('01_Rohdaten'!A971="","",'01_Rohdaten'!A971)</f>
        <v/>
      </c>
      <c r="C971" s="27">
        <f>IF(B971="","",INDEX('01_Rohdaten'!B971:D971,'02_Eingaben'!$C$13))</f>
        <v/>
      </c>
      <c r="D971" s="27">
        <f>IF(C971="","",C971*'02_Eingaben'!$C$15)</f>
        <v/>
      </c>
      <c r="E971" s="27">
        <f>IF(D971="","",D971*'02_Eingaben'!$C$8)</f>
        <v/>
      </c>
      <c r="F971" s="27">
        <f>IF(E971="","",AVERAGE(INDEX($E$2:$E$3001,MAX(1,ROW()-1-'02_Eingaben'!$C$17)):INDEX($E$2:$E$3001,MIN('02_Eingaben'!$C$21,ROW()-1+'02_Eingaben'!$C$17))))</f>
        <v/>
      </c>
      <c r="G971" s="27">
        <f>IF(F971="","",F971-'02_Eingaben'!$C$10)</f>
        <v/>
      </c>
      <c r="H971">
        <f>IF(F971="","",IF(F971&lt;'02_Eingaben'!$C$18*'02_Eingaben'!$C$10,1,0))</f>
        <v/>
      </c>
      <c r="I971" s="27">
        <f>IF(OR(G971="",G972=""),"",(G971+G972)/2*(B972-B971))</f>
        <v/>
      </c>
      <c r="J971" s="27">
        <f>IF(B971="","",IF(B970&lt;'02_Eingaben'!$C$36,0,J970+I970/'02_Eingaben'!$C$8))</f>
        <v/>
      </c>
    </row>
    <row r="972">
      <c r="A972">
        <f>IF('01_Rohdaten'!A972="","",ROW()-1)</f>
        <v/>
      </c>
      <c r="B972" s="27">
        <f>IF('01_Rohdaten'!A972="","",'01_Rohdaten'!A972)</f>
        <v/>
      </c>
      <c r="C972" s="27">
        <f>IF(B972="","",INDEX('01_Rohdaten'!B972:D972,'02_Eingaben'!$C$13))</f>
        <v/>
      </c>
      <c r="D972" s="27">
        <f>IF(C972="","",C972*'02_Eingaben'!$C$15)</f>
        <v/>
      </c>
      <c r="E972" s="27">
        <f>IF(D972="","",D972*'02_Eingaben'!$C$8)</f>
        <v/>
      </c>
      <c r="F972" s="27">
        <f>IF(E972="","",AVERAGE(INDEX($E$2:$E$3001,MAX(1,ROW()-1-'02_Eingaben'!$C$17)):INDEX($E$2:$E$3001,MIN('02_Eingaben'!$C$21,ROW()-1+'02_Eingaben'!$C$17))))</f>
        <v/>
      </c>
      <c r="G972" s="27">
        <f>IF(F972="","",F972-'02_Eingaben'!$C$10)</f>
        <v/>
      </c>
      <c r="H972">
        <f>IF(F972="","",IF(F972&lt;'02_Eingaben'!$C$18*'02_Eingaben'!$C$10,1,0))</f>
        <v/>
      </c>
      <c r="I972" s="27">
        <f>IF(OR(G972="",G973=""),"",(G972+G973)/2*(B973-B972))</f>
        <v/>
      </c>
      <c r="J972" s="27">
        <f>IF(B972="","",IF(B971&lt;'02_Eingaben'!$C$36,0,J971+I971/'02_Eingaben'!$C$8))</f>
        <v/>
      </c>
    </row>
    <row r="973">
      <c r="A973">
        <f>IF('01_Rohdaten'!A973="","",ROW()-1)</f>
        <v/>
      </c>
      <c r="B973" s="27">
        <f>IF('01_Rohdaten'!A973="","",'01_Rohdaten'!A973)</f>
        <v/>
      </c>
      <c r="C973" s="27">
        <f>IF(B973="","",INDEX('01_Rohdaten'!B973:D973,'02_Eingaben'!$C$13))</f>
        <v/>
      </c>
      <c r="D973" s="27">
        <f>IF(C973="","",C973*'02_Eingaben'!$C$15)</f>
        <v/>
      </c>
      <c r="E973" s="27">
        <f>IF(D973="","",D973*'02_Eingaben'!$C$8)</f>
        <v/>
      </c>
      <c r="F973" s="27">
        <f>IF(E973="","",AVERAGE(INDEX($E$2:$E$3001,MAX(1,ROW()-1-'02_Eingaben'!$C$17)):INDEX($E$2:$E$3001,MIN('02_Eingaben'!$C$21,ROW()-1+'02_Eingaben'!$C$17))))</f>
        <v/>
      </c>
      <c r="G973" s="27">
        <f>IF(F973="","",F973-'02_Eingaben'!$C$10)</f>
        <v/>
      </c>
      <c r="H973">
        <f>IF(F973="","",IF(F973&lt;'02_Eingaben'!$C$18*'02_Eingaben'!$C$10,1,0))</f>
        <v/>
      </c>
      <c r="I973" s="27">
        <f>IF(OR(G973="",G974=""),"",(G973+G974)/2*(B974-B973))</f>
        <v/>
      </c>
      <c r="J973" s="27">
        <f>IF(B973="","",IF(B972&lt;'02_Eingaben'!$C$36,0,J972+I972/'02_Eingaben'!$C$8))</f>
        <v/>
      </c>
    </row>
    <row r="974">
      <c r="A974">
        <f>IF('01_Rohdaten'!A974="","",ROW()-1)</f>
        <v/>
      </c>
      <c r="B974" s="27">
        <f>IF('01_Rohdaten'!A974="","",'01_Rohdaten'!A974)</f>
        <v/>
      </c>
      <c r="C974" s="27">
        <f>IF(B974="","",INDEX('01_Rohdaten'!B974:D974,'02_Eingaben'!$C$13))</f>
        <v/>
      </c>
      <c r="D974" s="27">
        <f>IF(C974="","",C974*'02_Eingaben'!$C$15)</f>
        <v/>
      </c>
      <c r="E974" s="27">
        <f>IF(D974="","",D974*'02_Eingaben'!$C$8)</f>
        <v/>
      </c>
      <c r="F974" s="27">
        <f>IF(E974="","",AVERAGE(INDEX($E$2:$E$3001,MAX(1,ROW()-1-'02_Eingaben'!$C$17)):INDEX($E$2:$E$3001,MIN('02_Eingaben'!$C$21,ROW()-1+'02_Eingaben'!$C$17))))</f>
        <v/>
      </c>
      <c r="G974" s="27">
        <f>IF(F974="","",F974-'02_Eingaben'!$C$10)</f>
        <v/>
      </c>
      <c r="H974">
        <f>IF(F974="","",IF(F974&lt;'02_Eingaben'!$C$18*'02_Eingaben'!$C$10,1,0))</f>
        <v/>
      </c>
      <c r="I974" s="27">
        <f>IF(OR(G974="",G975=""),"",(G974+G975)/2*(B975-B974))</f>
        <v/>
      </c>
      <c r="J974" s="27">
        <f>IF(B974="","",IF(B973&lt;'02_Eingaben'!$C$36,0,J973+I973/'02_Eingaben'!$C$8))</f>
        <v/>
      </c>
    </row>
    <row r="975">
      <c r="A975">
        <f>IF('01_Rohdaten'!A975="","",ROW()-1)</f>
        <v/>
      </c>
      <c r="B975" s="27">
        <f>IF('01_Rohdaten'!A975="","",'01_Rohdaten'!A975)</f>
        <v/>
      </c>
      <c r="C975" s="27">
        <f>IF(B975="","",INDEX('01_Rohdaten'!B975:D975,'02_Eingaben'!$C$13))</f>
        <v/>
      </c>
      <c r="D975" s="27">
        <f>IF(C975="","",C975*'02_Eingaben'!$C$15)</f>
        <v/>
      </c>
      <c r="E975" s="27">
        <f>IF(D975="","",D975*'02_Eingaben'!$C$8)</f>
        <v/>
      </c>
      <c r="F975" s="27">
        <f>IF(E975="","",AVERAGE(INDEX($E$2:$E$3001,MAX(1,ROW()-1-'02_Eingaben'!$C$17)):INDEX($E$2:$E$3001,MIN('02_Eingaben'!$C$21,ROW()-1+'02_Eingaben'!$C$17))))</f>
        <v/>
      </c>
      <c r="G975" s="27">
        <f>IF(F975="","",F975-'02_Eingaben'!$C$10)</f>
        <v/>
      </c>
      <c r="H975">
        <f>IF(F975="","",IF(F975&lt;'02_Eingaben'!$C$18*'02_Eingaben'!$C$10,1,0))</f>
        <v/>
      </c>
      <c r="I975" s="27">
        <f>IF(OR(G975="",G976=""),"",(G975+G976)/2*(B976-B975))</f>
        <v/>
      </c>
      <c r="J975" s="27">
        <f>IF(B975="","",IF(B974&lt;'02_Eingaben'!$C$36,0,J974+I974/'02_Eingaben'!$C$8))</f>
        <v/>
      </c>
    </row>
    <row r="976">
      <c r="A976">
        <f>IF('01_Rohdaten'!A976="","",ROW()-1)</f>
        <v/>
      </c>
      <c r="B976" s="27">
        <f>IF('01_Rohdaten'!A976="","",'01_Rohdaten'!A976)</f>
        <v/>
      </c>
      <c r="C976" s="27">
        <f>IF(B976="","",INDEX('01_Rohdaten'!B976:D976,'02_Eingaben'!$C$13))</f>
        <v/>
      </c>
      <c r="D976" s="27">
        <f>IF(C976="","",C976*'02_Eingaben'!$C$15)</f>
        <v/>
      </c>
      <c r="E976" s="27">
        <f>IF(D976="","",D976*'02_Eingaben'!$C$8)</f>
        <v/>
      </c>
      <c r="F976" s="27">
        <f>IF(E976="","",AVERAGE(INDEX($E$2:$E$3001,MAX(1,ROW()-1-'02_Eingaben'!$C$17)):INDEX($E$2:$E$3001,MIN('02_Eingaben'!$C$21,ROW()-1+'02_Eingaben'!$C$17))))</f>
        <v/>
      </c>
      <c r="G976" s="27">
        <f>IF(F976="","",F976-'02_Eingaben'!$C$10)</f>
        <v/>
      </c>
      <c r="H976">
        <f>IF(F976="","",IF(F976&lt;'02_Eingaben'!$C$18*'02_Eingaben'!$C$10,1,0))</f>
        <v/>
      </c>
      <c r="I976" s="27">
        <f>IF(OR(G976="",G977=""),"",(G976+G977)/2*(B977-B976))</f>
        <v/>
      </c>
      <c r="J976" s="27">
        <f>IF(B976="","",IF(B975&lt;'02_Eingaben'!$C$36,0,J975+I975/'02_Eingaben'!$C$8))</f>
        <v/>
      </c>
    </row>
    <row r="977">
      <c r="A977">
        <f>IF('01_Rohdaten'!A977="","",ROW()-1)</f>
        <v/>
      </c>
      <c r="B977" s="27">
        <f>IF('01_Rohdaten'!A977="","",'01_Rohdaten'!A977)</f>
        <v/>
      </c>
      <c r="C977" s="27">
        <f>IF(B977="","",INDEX('01_Rohdaten'!B977:D977,'02_Eingaben'!$C$13))</f>
        <v/>
      </c>
      <c r="D977" s="27">
        <f>IF(C977="","",C977*'02_Eingaben'!$C$15)</f>
        <v/>
      </c>
      <c r="E977" s="27">
        <f>IF(D977="","",D977*'02_Eingaben'!$C$8)</f>
        <v/>
      </c>
      <c r="F977" s="27">
        <f>IF(E977="","",AVERAGE(INDEX($E$2:$E$3001,MAX(1,ROW()-1-'02_Eingaben'!$C$17)):INDEX($E$2:$E$3001,MIN('02_Eingaben'!$C$21,ROW()-1+'02_Eingaben'!$C$17))))</f>
        <v/>
      </c>
      <c r="G977" s="27">
        <f>IF(F977="","",F977-'02_Eingaben'!$C$10)</f>
        <v/>
      </c>
      <c r="H977">
        <f>IF(F977="","",IF(F977&lt;'02_Eingaben'!$C$18*'02_Eingaben'!$C$10,1,0))</f>
        <v/>
      </c>
      <c r="I977" s="27">
        <f>IF(OR(G977="",G978=""),"",(G977+G978)/2*(B978-B977))</f>
        <v/>
      </c>
      <c r="J977" s="27">
        <f>IF(B977="","",IF(B976&lt;'02_Eingaben'!$C$36,0,J976+I976/'02_Eingaben'!$C$8))</f>
        <v/>
      </c>
    </row>
    <row r="978">
      <c r="A978">
        <f>IF('01_Rohdaten'!A978="","",ROW()-1)</f>
        <v/>
      </c>
      <c r="B978" s="27">
        <f>IF('01_Rohdaten'!A978="","",'01_Rohdaten'!A978)</f>
        <v/>
      </c>
      <c r="C978" s="27">
        <f>IF(B978="","",INDEX('01_Rohdaten'!B978:D978,'02_Eingaben'!$C$13))</f>
        <v/>
      </c>
      <c r="D978" s="27">
        <f>IF(C978="","",C978*'02_Eingaben'!$C$15)</f>
        <v/>
      </c>
      <c r="E978" s="27">
        <f>IF(D978="","",D978*'02_Eingaben'!$C$8)</f>
        <v/>
      </c>
      <c r="F978" s="27">
        <f>IF(E978="","",AVERAGE(INDEX($E$2:$E$3001,MAX(1,ROW()-1-'02_Eingaben'!$C$17)):INDEX($E$2:$E$3001,MIN('02_Eingaben'!$C$21,ROW()-1+'02_Eingaben'!$C$17))))</f>
        <v/>
      </c>
      <c r="G978" s="27">
        <f>IF(F978="","",F978-'02_Eingaben'!$C$10)</f>
        <v/>
      </c>
      <c r="H978">
        <f>IF(F978="","",IF(F978&lt;'02_Eingaben'!$C$18*'02_Eingaben'!$C$10,1,0))</f>
        <v/>
      </c>
      <c r="I978" s="27">
        <f>IF(OR(G978="",G979=""),"",(G978+G979)/2*(B979-B978))</f>
        <v/>
      </c>
      <c r="J978" s="27">
        <f>IF(B978="","",IF(B977&lt;'02_Eingaben'!$C$36,0,J977+I977/'02_Eingaben'!$C$8))</f>
        <v/>
      </c>
    </row>
    <row r="979">
      <c r="A979">
        <f>IF('01_Rohdaten'!A979="","",ROW()-1)</f>
        <v/>
      </c>
      <c r="B979" s="27">
        <f>IF('01_Rohdaten'!A979="","",'01_Rohdaten'!A979)</f>
        <v/>
      </c>
      <c r="C979" s="27">
        <f>IF(B979="","",INDEX('01_Rohdaten'!B979:D979,'02_Eingaben'!$C$13))</f>
        <v/>
      </c>
      <c r="D979" s="27">
        <f>IF(C979="","",C979*'02_Eingaben'!$C$15)</f>
        <v/>
      </c>
      <c r="E979" s="27">
        <f>IF(D979="","",D979*'02_Eingaben'!$C$8)</f>
        <v/>
      </c>
      <c r="F979" s="27">
        <f>IF(E979="","",AVERAGE(INDEX($E$2:$E$3001,MAX(1,ROW()-1-'02_Eingaben'!$C$17)):INDEX($E$2:$E$3001,MIN('02_Eingaben'!$C$21,ROW()-1+'02_Eingaben'!$C$17))))</f>
        <v/>
      </c>
      <c r="G979" s="27">
        <f>IF(F979="","",F979-'02_Eingaben'!$C$10)</f>
        <v/>
      </c>
      <c r="H979">
        <f>IF(F979="","",IF(F979&lt;'02_Eingaben'!$C$18*'02_Eingaben'!$C$10,1,0))</f>
        <v/>
      </c>
      <c r="I979" s="27">
        <f>IF(OR(G979="",G980=""),"",(G979+G980)/2*(B980-B979))</f>
        <v/>
      </c>
      <c r="J979" s="27">
        <f>IF(B979="","",IF(B978&lt;'02_Eingaben'!$C$36,0,J978+I978/'02_Eingaben'!$C$8))</f>
        <v/>
      </c>
    </row>
    <row r="980">
      <c r="A980">
        <f>IF('01_Rohdaten'!A980="","",ROW()-1)</f>
        <v/>
      </c>
      <c r="B980" s="27">
        <f>IF('01_Rohdaten'!A980="","",'01_Rohdaten'!A980)</f>
        <v/>
      </c>
      <c r="C980" s="27">
        <f>IF(B980="","",INDEX('01_Rohdaten'!B980:D980,'02_Eingaben'!$C$13))</f>
        <v/>
      </c>
      <c r="D980" s="27">
        <f>IF(C980="","",C980*'02_Eingaben'!$C$15)</f>
        <v/>
      </c>
      <c r="E980" s="27">
        <f>IF(D980="","",D980*'02_Eingaben'!$C$8)</f>
        <v/>
      </c>
      <c r="F980" s="27">
        <f>IF(E980="","",AVERAGE(INDEX($E$2:$E$3001,MAX(1,ROW()-1-'02_Eingaben'!$C$17)):INDEX($E$2:$E$3001,MIN('02_Eingaben'!$C$21,ROW()-1+'02_Eingaben'!$C$17))))</f>
        <v/>
      </c>
      <c r="G980" s="27">
        <f>IF(F980="","",F980-'02_Eingaben'!$C$10)</f>
        <v/>
      </c>
      <c r="H980">
        <f>IF(F980="","",IF(F980&lt;'02_Eingaben'!$C$18*'02_Eingaben'!$C$10,1,0))</f>
        <v/>
      </c>
      <c r="I980" s="27">
        <f>IF(OR(G980="",G981=""),"",(G980+G981)/2*(B981-B980))</f>
        <v/>
      </c>
      <c r="J980" s="27">
        <f>IF(B980="","",IF(B979&lt;'02_Eingaben'!$C$36,0,J979+I979/'02_Eingaben'!$C$8))</f>
        <v/>
      </c>
    </row>
    <row r="981">
      <c r="A981">
        <f>IF('01_Rohdaten'!A981="","",ROW()-1)</f>
        <v/>
      </c>
      <c r="B981" s="27">
        <f>IF('01_Rohdaten'!A981="","",'01_Rohdaten'!A981)</f>
        <v/>
      </c>
      <c r="C981" s="27">
        <f>IF(B981="","",INDEX('01_Rohdaten'!B981:D981,'02_Eingaben'!$C$13))</f>
        <v/>
      </c>
      <c r="D981" s="27">
        <f>IF(C981="","",C981*'02_Eingaben'!$C$15)</f>
        <v/>
      </c>
      <c r="E981" s="27">
        <f>IF(D981="","",D981*'02_Eingaben'!$C$8)</f>
        <v/>
      </c>
      <c r="F981" s="27">
        <f>IF(E981="","",AVERAGE(INDEX($E$2:$E$3001,MAX(1,ROW()-1-'02_Eingaben'!$C$17)):INDEX($E$2:$E$3001,MIN('02_Eingaben'!$C$21,ROW()-1+'02_Eingaben'!$C$17))))</f>
        <v/>
      </c>
      <c r="G981" s="27">
        <f>IF(F981="","",F981-'02_Eingaben'!$C$10)</f>
        <v/>
      </c>
      <c r="H981">
        <f>IF(F981="","",IF(F981&lt;'02_Eingaben'!$C$18*'02_Eingaben'!$C$10,1,0))</f>
        <v/>
      </c>
      <c r="I981" s="27">
        <f>IF(OR(G981="",G982=""),"",(G981+G982)/2*(B982-B981))</f>
        <v/>
      </c>
      <c r="J981" s="27">
        <f>IF(B981="","",IF(B980&lt;'02_Eingaben'!$C$36,0,J980+I980/'02_Eingaben'!$C$8))</f>
        <v/>
      </c>
    </row>
    <row r="982">
      <c r="A982">
        <f>IF('01_Rohdaten'!A982="","",ROW()-1)</f>
        <v/>
      </c>
      <c r="B982" s="27">
        <f>IF('01_Rohdaten'!A982="","",'01_Rohdaten'!A982)</f>
        <v/>
      </c>
      <c r="C982" s="27">
        <f>IF(B982="","",INDEX('01_Rohdaten'!B982:D982,'02_Eingaben'!$C$13))</f>
        <v/>
      </c>
      <c r="D982" s="27">
        <f>IF(C982="","",C982*'02_Eingaben'!$C$15)</f>
        <v/>
      </c>
      <c r="E982" s="27">
        <f>IF(D982="","",D982*'02_Eingaben'!$C$8)</f>
        <v/>
      </c>
      <c r="F982" s="27">
        <f>IF(E982="","",AVERAGE(INDEX($E$2:$E$3001,MAX(1,ROW()-1-'02_Eingaben'!$C$17)):INDEX($E$2:$E$3001,MIN('02_Eingaben'!$C$21,ROW()-1+'02_Eingaben'!$C$17))))</f>
        <v/>
      </c>
      <c r="G982" s="27">
        <f>IF(F982="","",F982-'02_Eingaben'!$C$10)</f>
        <v/>
      </c>
      <c r="H982">
        <f>IF(F982="","",IF(F982&lt;'02_Eingaben'!$C$18*'02_Eingaben'!$C$10,1,0))</f>
        <v/>
      </c>
      <c r="I982" s="27">
        <f>IF(OR(G982="",G983=""),"",(G982+G983)/2*(B983-B982))</f>
        <v/>
      </c>
      <c r="J982" s="27">
        <f>IF(B982="","",IF(B981&lt;'02_Eingaben'!$C$36,0,J981+I981/'02_Eingaben'!$C$8))</f>
        <v/>
      </c>
    </row>
    <row r="983">
      <c r="A983">
        <f>IF('01_Rohdaten'!A983="","",ROW()-1)</f>
        <v/>
      </c>
      <c r="B983" s="27">
        <f>IF('01_Rohdaten'!A983="","",'01_Rohdaten'!A983)</f>
        <v/>
      </c>
      <c r="C983" s="27">
        <f>IF(B983="","",INDEX('01_Rohdaten'!B983:D983,'02_Eingaben'!$C$13))</f>
        <v/>
      </c>
      <c r="D983" s="27">
        <f>IF(C983="","",C983*'02_Eingaben'!$C$15)</f>
        <v/>
      </c>
      <c r="E983" s="27">
        <f>IF(D983="","",D983*'02_Eingaben'!$C$8)</f>
        <v/>
      </c>
      <c r="F983" s="27">
        <f>IF(E983="","",AVERAGE(INDEX($E$2:$E$3001,MAX(1,ROW()-1-'02_Eingaben'!$C$17)):INDEX($E$2:$E$3001,MIN('02_Eingaben'!$C$21,ROW()-1+'02_Eingaben'!$C$17))))</f>
        <v/>
      </c>
      <c r="G983" s="27">
        <f>IF(F983="","",F983-'02_Eingaben'!$C$10)</f>
        <v/>
      </c>
      <c r="H983">
        <f>IF(F983="","",IF(F983&lt;'02_Eingaben'!$C$18*'02_Eingaben'!$C$10,1,0))</f>
        <v/>
      </c>
      <c r="I983" s="27">
        <f>IF(OR(G983="",G984=""),"",(G983+G984)/2*(B984-B983))</f>
        <v/>
      </c>
      <c r="J983" s="27">
        <f>IF(B983="","",IF(B982&lt;'02_Eingaben'!$C$36,0,J982+I982/'02_Eingaben'!$C$8))</f>
        <v/>
      </c>
    </row>
    <row r="984">
      <c r="A984">
        <f>IF('01_Rohdaten'!A984="","",ROW()-1)</f>
        <v/>
      </c>
      <c r="B984" s="27">
        <f>IF('01_Rohdaten'!A984="","",'01_Rohdaten'!A984)</f>
        <v/>
      </c>
      <c r="C984" s="27">
        <f>IF(B984="","",INDEX('01_Rohdaten'!B984:D984,'02_Eingaben'!$C$13))</f>
        <v/>
      </c>
      <c r="D984" s="27">
        <f>IF(C984="","",C984*'02_Eingaben'!$C$15)</f>
        <v/>
      </c>
      <c r="E984" s="27">
        <f>IF(D984="","",D984*'02_Eingaben'!$C$8)</f>
        <v/>
      </c>
      <c r="F984" s="27">
        <f>IF(E984="","",AVERAGE(INDEX($E$2:$E$3001,MAX(1,ROW()-1-'02_Eingaben'!$C$17)):INDEX($E$2:$E$3001,MIN('02_Eingaben'!$C$21,ROW()-1+'02_Eingaben'!$C$17))))</f>
        <v/>
      </c>
      <c r="G984" s="27">
        <f>IF(F984="","",F984-'02_Eingaben'!$C$10)</f>
        <v/>
      </c>
      <c r="H984">
        <f>IF(F984="","",IF(F984&lt;'02_Eingaben'!$C$18*'02_Eingaben'!$C$10,1,0))</f>
        <v/>
      </c>
      <c r="I984" s="27">
        <f>IF(OR(G984="",G985=""),"",(G984+G985)/2*(B985-B984))</f>
        <v/>
      </c>
      <c r="J984" s="27">
        <f>IF(B984="","",IF(B983&lt;'02_Eingaben'!$C$36,0,J983+I983/'02_Eingaben'!$C$8))</f>
        <v/>
      </c>
    </row>
    <row r="985">
      <c r="A985">
        <f>IF('01_Rohdaten'!A985="","",ROW()-1)</f>
        <v/>
      </c>
      <c r="B985" s="27">
        <f>IF('01_Rohdaten'!A985="","",'01_Rohdaten'!A985)</f>
        <v/>
      </c>
      <c r="C985" s="27">
        <f>IF(B985="","",INDEX('01_Rohdaten'!B985:D985,'02_Eingaben'!$C$13))</f>
        <v/>
      </c>
      <c r="D985" s="27">
        <f>IF(C985="","",C985*'02_Eingaben'!$C$15)</f>
        <v/>
      </c>
      <c r="E985" s="27">
        <f>IF(D985="","",D985*'02_Eingaben'!$C$8)</f>
        <v/>
      </c>
      <c r="F985" s="27">
        <f>IF(E985="","",AVERAGE(INDEX($E$2:$E$3001,MAX(1,ROW()-1-'02_Eingaben'!$C$17)):INDEX($E$2:$E$3001,MIN('02_Eingaben'!$C$21,ROW()-1+'02_Eingaben'!$C$17))))</f>
        <v/>
      </c>
      <c r="G985" s="27">
        <f>IF(F985="","",F985-'02_Eingaben'!$C$10)</f>
        <v/>
      </c>
      <c r="H985">
        <f>IF(F985="","",IF(F985&lt;'02_Eingaben'!$C$18*'02_Eingaben'!$C$10,1,0))</f>
        <v/>
      </c>
      <c r="I985" s="27">
        <f>IF(OR(G985="",G986=""),"",(G985+G986)/2*(B986-B985))</f>
        <v/>
      </c>
      <c r="J985" s="27">
        <f>IF(B985="","",IF(B984&lt;'02_Eingaben'!$C$36,0,J984+I984/'02_Eingaben'!$C$8))</f>
        <v/>
      </c>
    </row>
    <row r="986">
      <c r="A986">
        <f>IF('01_Rohdaten'!A986="","",ROW()-1)</f>
        <v/>
      </c>
      <c r="B986" s="27">
        <f>IF('01_Rohdaten'!A986="","",'01_Rohdaten'!A986)</f>
        <v/>
      </c>
      <c r="C986" s="27">
        <f>IF(B986="","",INDEX('01_Rohdaten'!B986:D986,'02_Eingaben'!$C$13))</f>
        <v/>
      </c>
      <c r="D986" s="27">
        <f>IF(C986="","",C986*'02_Eingaben'!$C$15)</f>
        <v/>
      </c>
      <c r="E986" s="27">
        <f>IF(D986="","",D986*'02_Eingaben'!$C$8)</f>
        <v/>
      </c>
      <c r="F986" s="27">
        <f>IF(E986="","",AVERAGE(INDEX($E$2:$E$3001,MAX(1,ROW()-1-'02_Eingaben'!$C$17)):INDEX($E$2:$E$3001,MIN('02_Eingaben'!$C$21,ROW()-1+'02_Eingaben'!$C$17))))</f>
        <v/>
      </c>
      <c r="G986" s="27">
        <f>IF(F986="","",F986-'02_Eingaben'!$C$10)</f>
        <v/>
      </c>
      <c r="H986">
        <f>IF(F986="","",IF(F986&lt;'02_Eingaben'!$C$18*'02_Eingaben'!$C$10,1,0))</f>
        <v/>
      </c>
      <c r="I986" s="27">
        <f>IF(OR(G986="",G987=""),"",(G986+G987)/2*(B987-B986))</f>
        <v/>
      </c>
      <c r="J986" s="27">
        <f>IF(B986="","",IF(B985&lt;'02_Eingaben'!$C$36,0,J985+I985/'02_Eingaben'!$C$8))</f>
        <v/>
      </c>
    </row>
    <row r="987">
      <c r="A987">
        <f>IF('01_Rohdaten'!A987="","",ROW()-1)</f>
        <v/>
      </c>
      <c r="B987" s="27">
        <f>IF('01_Rohdaten'!A987="","",'01_Rohdaten'!A987)</f>
        <v/>
      </c>
      <c r="C987" s="27">
        <f>IF(B987="","",INDEX('01_Rohdaten'!B987:D987,'02_Eingaben'!$C$13))</f>
        <v/>
      </c>
      <c r="D987" s="27">
        <f>IF(C987="","",C987*'02_Eingaben'!$C$15)</f>
        <v/>
      </c>
      <c r="E987" s="27">
        <f>IF(D987="","",D987*'02_Eingaben'!$C$8)</f>
        <v/>
      </c>
      <c r="F987" s="27">
        <f>IF(E987="","",AVERAGE(INDEX($E$2:$E$3001,MAX(1,ROW()-1-'02_Eingaben'!$C$17)):INDEX($E$2:$E$3001,MIN('02_Eingaben'!$C$21,ROW()-1+'02_Eingaben'!$C$17))))</f>
        <v/>
      </c>
      <c r="G987" s="27">
        <f>IF(F987="","",F987-'02_Eingaben'!$C$10)</f>
        <v/>
      </c>
      <c r="H987">
        <f>IF(F987="","",IF(F987&lt;'02_Eingaben'!$C$18*'02_Eingaben'!$C$10,1,0))</f>
        <v/>
      </c>
      <c r="I987" s="27">
        <f>IF(OR(G987="",G988=""),"",(G987+G988)/2*(B988-B987))</f>
        <v/>
      </c>
      <c r="J987" s="27">
        <f>IF(B987="","",IF(B986&lt;'02_Eingaben'!$C$36,0,J986+I986/'02_Eingaben'!$C$8))</f>
        <v/>
      </c>
    </row>
    <row r="988">
      <c r="A988">
        <f>IF('01_Rohdaten'!A988="","",ROW()-1)</f>
        <v/>
      </c>
      <c r="B988" s="27">
        <f>IF('01_Rohdaten'!A988="","",'01_Rohdaten'!A988)</f>
        <v/>
      </c>
      <c r="C988" s="27">
        <f>IF(B988="","",INDEX('01_Rohdaten'!B988:D988,'02_Eingaben'!$C$13))</f>
        <v/>
      </c>
      <c r="D988" s="27">
        <f>IF(C988="","",C988*'02_Eingaben'!$C$15)</f>
        <v/>
      </c>
      <c r="E988" s="27">
        <f>IF(D988="","",D988*'02_Eingaben'!$C$8)</f>
        <v/>
      </c>
      <c r="F988" s="27">
        <f>IF(E988="","",AVERAGE(INDEX($E$2:$E$3001,MAX(1,ROW()-1-'02_Eingaben'!$C$17)):INDEX($E$2:$E$3001,MIN('02_Eingaben'!$C$21,ROW()-1+'02_Eingaben'!$C$17))))</f>
        <v/>
      </c>
      <c r="G988" s="27">
        <f>IF(F988="","",F988-'02_Eingaben'!$C$10)</f>
        <v/>
      </c>
      <c r="H988">
        <f>IF(F988="","",IF(F988&lt;'02_Eingaben'!$C$18*'02_Eingaben'!$C$10,1,0))</f>
        <v/>
      </c>
      <c r="I988" s="27">
        <f>IF(OR(G988="",G989=""),"",(G988+G989)/2*(B989-B988))</f>
        <v/>
      </c>
      <c r="J988" s="27">
        <f>IF(B988="","",IF(B987&lt;'02_Eingaben'!$C$36,0,J987+I987/'02_Eingaben'!$C$8))</f>
        <v/>
      </c>
    </row>
    <row r="989">
      <c r="A989">
        <f>IF('01_Rohdaten'!A989="","",ROW()-1)</f>
        <v/>
      </c>
      <c r="B989" s="27">
        <f>IF('01_Rohdaten'!A989="","",'01_Rohdaten'!A989)</f>
        <v/>
      </c>
      <c r="C989" s="27">
        <f>IF(B989="","",INDEX('01_Rohdaten'!B989:D989,'02_Eingaben'!$C$13))</f>
        <v/>
      </c>
      <c r="D989" s="27">
        <f>IF(C989="","",C989*'02_Eingaben'!$C$15)</f>
        <v/>
      </c>
      <c r="E989" s="27">
        <f>IF(D989="","",D989*'02_Eingaben'!$C$8)</f>
        <v/>
      </c>
      <c r="F989" s="27">
        <f>IF(E989="","",AVERAGE(INDEX($E$2:$E$3001,MAX(1,ROW()-1-'02_Eingaben'!$C$17)):INDEX($E$2:$E$3001,MIN('02_Eingaben'!$C$21,ROW()-1+'02_Eingaben'!$C$17))))</f>
        <v/>
      </c>
      <c r="G989" s="27">
        <f>IF(F989="","",F989-'02_Eingaben'!$C$10)</f>
        <v/>
      </c>
      <c r="H989">
        <f>IF(F989="","",IF(F989&lt;'02_Eingaben'!$C$18*'02_Eingaben'!$C$10,1,0))</f>
        <v/>
      </c>
      <c r="I989" s="27">
        <f>IF(OR(G989="",G990=""),"",(G989+G990)/2*(B990-B989))</f>
        <v/>
      </c>
      <c r="J989" s="27">
        <f>IF(B989="","",IF(B988&lt;'02_Eingaben'!$C$36,0,J988+I988/'02_Eingaben'!$C$8))</f>
        <v/>
      </c>
    </row>
    <row r="990">
      <c r="A990">
        <f>IF('01_Rohdaten'!A990="","",ROW()-1)</f>
        <v/>
      </c>
      <c r="B990" s="27">
        <f>IF('01_Rohdaten'!A990="","",'01_Rohdaten'!A990)</f>
        <v/>
      </c>
      <c r="C990" s="27">
        <f>IF(B990="","",INDEX('01_Rohdaten'!B990:D990,'02_Eingaben'!$C$13))</f>
        <v/>
      </c>
      <c r="D990" s="27">
        <f>IF(C990="","",C990*'02_Eingaben'!$C$15)</f>
        <v/>
      </c>
      <c r="E990" s="27">
        <f>IF(D990="","",D990*'02_Eingaben'!$C$8)</f>
        <v/>
      </c>
      <c r="F990" s="27">
        <f>IF(E990="","",AVERAGE(INDEX($E$2:$E$3001,MAX(1,ROW()-1-'02_Eingaben'!$C$17)):INDEX($E$2:$E$3001,MIN('02_Eingaben'!$C$21,ROW()-1+'02_Eingaben'!$C$17))))</f>
        <v/>
      </c>
      <c r="G990" s="27">
        <f>IF(F990="","",F990-'02_Eingaben'!$C$10)</f>
        <v/>
      </c>
      <c r="H990">
        <f>IF(F990="","",IF(F990&lt;'02_Eingaben'!$C$18*'02_Eingaben'!$C$10,1,0))</f>
        <v/>
      </c>
      <c r="I990" s="27">
        <f>IF(OR(G990="",G991=""),"",(G990+G991)/2*(B991-B990))</f>
        <v/>
      </c>
      <c r="J990" s="27">
        <f>IF(B990="","",IF(B989&lt;'02_Eingaben'!$C$36,0,J989+I989/'02_Eingaben'!$C$8))</f>
        <v/>
      </c>
    </row>
    <row r="991">
      <c r="A991">
        <f>IF('01_Rohdaten'!A991="","",ROW()-1)</f>
        <v/>
      </c>
      <c r="B991" s="27">
        <f>IF('01_Rohdaten'!A991="","",'01_Rohdaten'!A991)</f>
        <v/>
      </c>
      <c r="C991" s="27">
        <f>IF(B991="","",INDEX('01_Rohdaten'!B991:D991,'02_Eingaben'!$C$13))</f>
        <v/>
      </c>
      <c r="D991" s="27">
        <f>IF(C991="","",C991*'02_Eingaben'!$C$15)</f>
        <v/>
      </c>
      <c r="E991" s="27">
        <f>IF(D991="","",D991*'02_Eingaben'!$C$8)</f>
        <v/>
      </c>
      <c r="F991" s="27">
        <f>IF(E991="","",AVERAGE(INDEX($E$2:$E$3001,MAX(1,ROW()-1-'02_Eingaben'!$C$17)):INDEX($E$2:$E$3001,MIN('02_Eingaben'!$C$21,ROW()-1+'02_Eingaben'!$C$17))))</f>
        <v/>
      </c>
      <c r="G991" s="27">
        <f>IF(F991="","",F991-'02_Eingaben'!$C$10)</f>
        <v/>
      </c>
      <c r="H991">
        <f>IF(F991="","",IF(F991&lt;'02_Eingaben'!$C$18*'02_Eingaben'!$C$10,1,0))</f>
        <v/>
      </c>
      <c r="I991" s="27">
        <f>IF(OR(G991="",G992=""),"",(G991+G992)/2*(B992-B991))</f>
        <v/>
      </c>
      <c r="J991" s="27">
        <f>IF(B991="","",IF(B990&lt;'02_Eingaben'!$C$36,0,J990+I990/'02_Eingaben'!$C$8))</f>
        <v/>
      </c>
    </row>
    <row r="992">
      <c r="A992">
        <f>IF('01_Rohdaten'!A992="","",ROW()-1)</f>
        <v/>
      </c>
      <c r="B992" s="27">
        <f>IF('01_Rohdaten'!A992="","",'01_Rohdaten'!A992)</f>
        <v/>
      </c>
      <c r="C992" s="27">
        <f>IF(B992="","",INDEX('01_Rohdaten'!B992:D992,'02_Eingaben'!$C$13))</f>
        <v/>
      </c>
      <c r="D992" s="27">
        <f>IF(C992="","",C992*'02_Eingaben'!$C$15)</f>
        <v/>
      </c>
      <c r="E992" s="27">
        <f>IF(D992="","",D992*'02_Eingaben'!$C$8)</f>
        <v/>
      </c>
      <c r="F992" s="27">
        <f>IF(E992="","",AVERAGE(INDEX($E$2:$E$3001,MAX(1,ROW()-1-'02_Eingaben'!$C$17)):INDEX($E$2:$E$3001,MIN('02_Eingaben'!$C$21,ROW()-1+'02_Eingaben'!$C$17))))</f>
        <v/>
      </c>
      <c r="G992" s="27">
        <f>IF(F992="","",F992-'02_Eingaben'!$C$10)</f>
        <v/>
      </c>
      <c r="H992">
        <f>IF(F992="","",IF(F992&lt;'02_Eingaben'!$C$18*'02_Eingaben'!$C$10,1,0))</f>
        <v/>
      </c>
      <c r="I992" s="27">
        <f>IF(OR(G992="",G993=""),"",(G992+G993)/2*(B993-B992))</f>
        <v/>
      </c>
      <c r="J992" s="27">
        <f>IF(B992="","",IF(B991&lt;'02_Eingaben'!$C$36,0,J991+I991/'02_Eingaben'!$C$8))</f>
        <v/>
      </c>
    </row>
    <row r="993">
      <c r="A993">
        <f>IF('01_Rohdaten'!A993="","",ROW()-1)</f>
        <v/>
      </c>
      <c r="B993" s="27">
        <f>IF('01_Rohdaten'!A993="","",'01_Rohdaten'!A993)</f>
        <v/>
      </c>
      <c r="C993" s="27">
        <f>IF(B993="","",INDEX('01_Rohdaten'!B993:D993,'02_Eingaben'!$C$13))</f>
        <v/>
      </c>
      <c r="D993" s="27">
        <f>IF(C993="","",C993*'02_Eingaben'!$C$15)</f>
        <v/>
      </c>
      <c r="E993" s="27">
        <f>IF(D993="","",D993*'02_Eingaben'!$C$8)</f>
        <v/>
      </c>
      <c r="F993" s="27">
        <f>IF(E993="","",AVERAGE(INDEX($E$2:$E$3001,MAX(1,ROW()-1-'02_Eingaben'!$C$17)):INDEX($E$2:$E$3001,MIN('02_Eingaben'!$C$21,ROW()-1+'02_Eingaben'!$C$17))))</f>
        <v/>
      </c>
      <c r="G993" s="27">
        <f>IF(F993="","",F993-'02_Eingaben'!$C$10)</f>
        <v/>
      </c>
      <c r="H993">
        <f>IF(F993="","",IF(F993&lt;'02_Eingaben'!$C$18*'02_Eingaben'!$C$10,1,0))</f>
        <v/>
      </c>
      <c r="I993" s="27">
        <f>IF(OR(G993="",G994=""),"",(G993+G994)/2*(B994-B993))</f>
        <v/>
      </c>
      <c r="J993" s="27">
        <f>IF(B993="","",IF(B992&lt;'02_Eingaben'!$C$36,0,J992+I992/'02_Eingaben'!$C$8))</f>
        <v/>
      </c>
    </row>
    <row r="994">
      <c r="A994">
        <f>IF('01_Rohdaten'!A994="","",ROW()-1)</f>
        <v/>
      </c>
      <c r="B994" s="27">
        <f>IF('01_Rohdaten'!A994="","",'01_Rohdaten'!A994)</f>
        <v/>
      </c>
      <c r="C994" s="27">
        <f>IF(B994="","",INDEX('01_Rohdaten'!B994:D994,'02_Eingaben'!$C$13))</f>
        <v/>
      </c>
      <c r="D994" s="27">
        <f>IF(C994="","",C994*'02_Eingaben'!$C$15)</f>
        <v/>
      </c>
      <c r="E994" s="27">
        <f>IF(D994="","",D994*'02_Eingaben'!$C$8)</f>
        <v/>
      </c>
      <c r="F994" s="27">
        <f>IF(E994="","",AVERAGE(INDEX($E$2:$E$3001,MAX(1,ROW()-1-'02_Eingaben'!$C$17)):INDEX($E$2:$E$3001,MIN('02_Eingaben'!$C$21,ROW()-1+'02_Eingaben'!$C$17))))</f>
        <v/>
      </c>
      <c r="G994" s="27">
        <f>IF(F994="","",F994-'02_Eingaben'!$C$10)</f>
        <v/>
      </c>
      <c r="H994">
        <f>IF(F994="","",IF(F994&lt;'02_Eingaben'!$C$18*'02_Eingaben'!$C$10,1,0))</f>
        <v/>
      </c>
      <c r="I994" s="27">
        <f>IF(OR(G994="",G995=""),"",(G994+G995)/2*(B995-B994))</f>
        <v/>
      </c>
      <c r="J994" s="27">
        <f>IF(B994="","",IF(B993&lt;'02_Eingaben'!$C$36,0,J993+I993/'02_Eingaben'!$C$8))</f>
        <v/>
      </c>
    </row>
    <row r="995">
      <c r="A995">
        <f>IF('01_Rohdaten'!A995="","",ROW()-1)</f>
        <v/>
      </c>
      <c r="B995" s="27">
        <f>IF('01_Rohdaten'!A995="","",'01_Rohdaten'!A995)</f>
        <v/>
      </c>
      <c r="C995" s="27">
        <f>IF(B995="","",INDEX('01_Rohdaten'!B995:D995,'02_Eingaben'!$C$13))</f>
        <v/>
      </c>
      <c r="D995" s="27">
        <f>IF(C995="","",C995*'02_Eingaben'!$C$15)</f>
        <v/>
      </c>
      <c r="E995" s="27">
        <f>IF(D995="","",D995*'02_Eingaben'!$C$8)</f>
        <v/>
      </c>
      <c r="F995" s="27">
        <f>IF(E995="","",AVERAGE(INDEX($E$2:$E$3001,MAX(1,ROW()-1-'02_Eingaben'!$C$17)):INDEX($E$2:$E$3001,MIN('02_Eingaben'!$C$21,ROW()-1+'02_Eingaben'!$C$17))))</f>
        <v/>
      </c>
      <c r="G995" s="27">
        <f>IF(F995="","",F995-'02_Eingaben'!$C$10)</f>
        <v/>
      </c>
      <c r="H995">
        <f>IF(F995="","",IF(F995&lt;'02_Eingaben'!$C$18*'02_Eingaben'!$C$10,1,0))</f>
        <v/>
      </c>
      <c r="I995" s="27">
        <f>IF(OR(G995="",G996=""),"",(G995+G996)/2*(B996-B995))</f>
        <v/>
      </c>
      <c r="J995" s="27">
        <f>IF(B995="","",IF(B994&lt;'02_Eingaben'!$C$36,0,J994+I994/'02_Eingaben'!$C$8))</f>
        <v/>
      </c>
    </row>
    <row r="996">
      <c r="A996">
        <f>IF('01_Rohdaten'!A996="","",ROW()-1)</f>
        <v/>
      </c>
      <c r="B996" s="27">
        <f>IF('01_Rohdaten'!A996="","",'01_Rohdaten'!A996)</f>
        <v/>
      </c>
      <c r="C996" s="27">
        <f>IF(B996="","",INDEX('01_Rohdaten'!B996:D996,'02_Eingaben'!$C$13))</f>
        <v/>
      </c>
      <c r="D996" s="27">
        <f>IF(C996="","",C996*'02_Eingaben'!$C$15)</f>
        <v/>
      </c>
      <c r="E996" s="27">
        <f>IF(D996="","",D996*'02_Eingaben'!$C$8)</f>
        <v/>
      </c>
      <c r="F996" s="27">
        <f>IF(E996="","",AVERAGE(INDEX($E$2:$E$3001,MAX(1,ROW()-1-'02_Eingaben'!$C$17)):INDEX($E$2:$E$3001,MIN('02_Eingaben'!$C$21,ROW()-1+'02_Eingaben'!$C$17))))</f>
        <v/>
      </c>
      <c r="G996" s="27">
        <f>IF(F996="","",F996-'02_Eingaben'!$C$10)</f>
        <v/>
      </c>
      <c r="H996">
        <f>IF(F996="","",IF(F996&lt;'02_Eingaben'!$C$18*'02_Eingaben'!$C$10,1,0))</f>
        <v/>
      </c>
      <c r="I996" s="27">
        <f>IF(OR(G996="",G997=""),"",(G996+G997)/2*(B997-B996))</f>
        <v/>
      </c>
      <c r="J996" s="27">
        <f>IF(B996="","",IF(B995&lt;'02_Eingaben'!$C$36,0,J995+I995/'02_Eingaben'!$C$8))</f>
        <v/>
      </c>
    </row>
    <row r="997">
      <c r="A997">
        <f>IF('01_Rohdaten'!A997="","",ROW()-1)</f>
        <v/>
      </c>
      <c r="B997" s="27">
        <f>IF('01_Rohdaten'!A997="","",'01_Rohdaten'!A997)</f>
        <v/>
      </c>
      <c r="C997" s="27">
        <f>IF(B997="","",INDEX('01_Rohdaten'!B997:D997,'02_Eingaben'!$C$13))</f>
        <v/>
      </c>
      <c r="D997" s="27">
        <f>IF(C997="","",C997*'02_Eingaben'!$C$15)</f>
        <v/>
      </c>
      <c r="E997" s="27">
        <f>IF(D997="","",D997*'02_Eingaben'!$C$8)</f>
        <v/>
      </c>
      <c r="F997" s="27">
        <f>IF(E997="","",AVERAGE(INDEX($E$2:$E$3001,MAX(1,ROW()-1-'02_Eingaben'!$C$17)):INDEX($E$2:$E$3001,MIN('02_Eingaben'!$C$21,ROW()-1+'02_Eingaben'!$C$17))))</f>
        <v/>
      </c>
      <c r="G997" s="27">
        <f>IF(F997="","",F997-'02_Eingaben'!$C$10)</f>
        <v/>
      </c>
      <c r="H997">
        <f>IF(F997="","",IF(F997&lt;'02_Eingaben'!$C$18*'02_Eingaben'!$C$10,1,0))</f>
        <v/>
      </c>
      <c r="I997" s="27">
        <f>IF(OR(G997="",G998=""),"",(G997+G998)/2*(B998-B997))</f>
        <v/>
      </c>
      <c r="J997" s="27">
        <f>IF(B997="","",IF(B996&lt;'02_Eingaben'!$C$36,0,J996+I996/'02_Eingaben'!$C$8))</f>
        <v/>
      </c>
    </row>
    <row r="998">
      <c r="A998">
        <f>IF('01_Rohdaten'!A998="","",ROW()-1)</f>
        <v/>
      </c>
      <c r="B998" s="27">
        <f>IF('01_Rohdaten'!A998="","",'01_Rohdaten'!A998)</f>
        <v/>
      </c>
      <c r="C998" s="27">
        <f>IF(B998="","",INDEX('01_Rohdaten'!B998:D998,'02_Eingaben'!$C$13))</f>
        <v/>
      </c>
      <c r="D998" s="27">
        <f>IF(C998="","",C998*'02_Eingaben'!$C$15)</f>
        <v/>
      </c>
      <c r="E998" s="27">
        <f>IF(D998="","",D998*'02_Eingaben'!$C$8)</f>
        <v/>
      </c>
      <c r="F998" s="27">
        <f>IF(E998="","",AVERAGE(INDEX($E$2:$E$3001,MAX(1,ROW()-1-'02_Eingaben'!$C$17)):INDEX($E$2:$E$3001,MIN('02_Eingaben'!$C$21,ROW()-1+'02_Eingaben'!$C$17))))</f>
        <v/>
      </c>
      <c r="G998" s="27">
        <f>IF(F998="","",F998-'02_Eingaben'!$C$10)</f>
        <v/>
      </c>
      <c r="H998">
        <f>IF(F998="","",IF(F998&lt;'02_Eingaben'!$C$18*'02_Eingaben'!$C$10,1,0))</f>
        <v/>
      </c>
      <c r="I998" s="27">
        <f>IF(OR(G998="",G999=""),"",(G998+G999)/2*(B999-B998))</f>
        <v/>
      </c>
      <c r="J998" s="27">
        <f>IF(B998="","",IF(B997&lt;'02_Eingaben'!$C$36,0,J997+I997/'02_Eingaben'!$C$8))</f>
        <v/>
      </c>
    </row>
    <row r="999">
      <c r="A999">
        <f>IF('01_Rohdaten'!A999="","",ROW()-1)</f>
        <v/>
      </c>
      <c r="B999" s="27">
        <f>IF('01_Rohdaten'!A999="","",'01_Rohdaten'!A999)</f>
        <v/>
      </c>
      <c r="C999" s="27">
        <f>IF(B999="","",INDEX('01_Rohdaten'!B999:D999,'02_Eingaben'!$C$13))</f>
        <v/>
      </c>
      <c r="D999" s="27">
        <f>IF(C999="","",C999*'02_Eingaben'!$C$15)</f>
        <v/>
      </c>
      <c r="E999" s="27">
        <f>IF(D999="","",D999*'02_Eingaben'!$C$8)</f>
        <v/>
      </c>
      <c r="F999" s="27">
        <f>IF(E999="","",AVERAGE(INDEX($E$2:$E$3001,MAX(1,ROW()-1-'02_Eingaben'!$C$17)):INDEX($E$2:$E$3001,MIN('02_Eingaben'!$C$21,ROW()-1+'02_Eingaben'!$C$17))))</f>
        <v/>
      </c>
      <c r="G999" s="27">
        <f>IF(F999="","",F999-'02_Eingaben'!$C$10)</f>
        <v/>
      </c>
      <c r="H999">
        <f>IF(F999="","",IF(F999&lt;'02_Eingaben'!$C$18*'02_Eingaben'!$C$10,1,0))</f>
        <v/>
      </c>
      <c r="I999" s="27">
        <f>IF(OR(G999="",G1000=""),"",(G999+G1000)/2*(B1000-B999))</f>
        <v/>
      </c>
      <c r="J999" s="27">
        <f>IF(B999="","",IF(B998&lt;'02_Eingaben'!$C$36,0,J998+I998/'02_Eingaben'!$C$8))</f>
        <v/>
      </c>
    </row>
    <row r="1000">
      <c r="A1000">
        <f>IF('01_Rohdaten'!A1000="","",ROW()-1)</f>
        <v/>
      </c>
      <c r="B1000" s="27">
        <f>IF('01_Rohdaten'!A1000="","",'01_Rohdaten'!A1000)</f>
        <v/>
      </c>
      <c r="C1000" s="27">
        <f>IF(B1000="","",INDEX('01_Rohdaten'!B1000:D1000,'02_Eingaben'!$C$13))</f>
        <v/>
      </c>
      <c r="D1000" s="27">
        <f>IF(C1000="","",C1000*'02_Eingaben'!$C$15)</f>
        <v/>
      </c>
      <c r="E1000" s="27">
        <f>IF(D1000="","",D1000*'02_Eingaben'!$C$8)</f>
        <v/>
      </c>
      <c r="F1000" s="27">
        <f>IF(E1000="","",AVERAGE(INDEX($E$2:$E$3001,MAX(1,ROW()-1-'02_Eingaben'!$C$17)):INDEX($E$2:$E$3001,MIN('02_Eingaben'!$C$21,ROW()-1+'02_Eingaben'!$C$17))))</f>
        <v/>
      </c>
      <c r="G1000" s="27">
        <f>IF(F1000="","",F1000-'02_Eingaben'!$C$10)</f>
        <v/>
      </c>
      <c r="H1000">
        <f>IF(F1000="","",IF(F1000&lt;'02_Eingaben'!$C$18*'02_Eingaben'!$C$10,1,0))</f>
        <v/>
      </c>
      <c r="I1000" s="27">
        <f>IF(OR(G1000="",G1001=""),"",(G1000+G1001)/2*(B1001-B1000))</f>
        <v/>
      </c>
      <c r="J1000" s="27">
        <f>IF(B1000="","",IF(B999&lt;'02_Eingaben'!$C$36,0,J999+I999/'02_Eingaben'!$C$8))</f>
        <v/>
      </c>
    </row>
    <row r="1001">
      <c r="A1001">
        <f>IF('01_Rohdaten'!A1001="","",ROW()-1)</f>
        <v/>
      </c>
      <c r="B1001" s="27">
        <f>IF('01_Rohdaten'!A1001="","",'01_Rohdaten'!A1001)</f>
        <v/>
      </c>
      <c r="C1001" s="27">
        <f>IF(B1001="","",INDEX('01_Rohdaten'!B1001:D1001,'02_Eingaben'!$C$13))</f>
        <v/>
      </c>
      <c r="D1001" s="27">
        <f>IF(C1001="","",C1001*'02_Eingaben'!$C$15)</f>
        <v/>
      </c>
      <c r="E1001" s="27">
        <f>IF(D1001="","",D1001*'02_Eingaben'!$C$8)</f>
        <v/>
      </c>
      <c r="F1001" s="27">
        <f>IF(E1001="","",AVERAGE(INDEX($E$2:$E$3001,MAX(1,ROW()-1-'02_Eingaben'!$C$17)):INDEX($E$2:$E$3001,MIN('02_Eingaben'!$C$21,ROW()-1+'02_Eingaben'!$C$17))))</f>
        <v/>
      </c>
      <c r="G1001" s="27">
        <f>IF(F1001="","",F1001-'02_Eingaben'!$C$10)</f>
        <v/>
      </c>
      <c r="H1001">
        <f>IF(F1001="","",IF(F1001&lt;'02_Eingaben'!$C$18*'02_Eingaben'!$C$10,1,0))</f>
        <v/>
      </c>
      <c r="I1001" s="27">
        <f>IF(OR(G1001="",G1002=""),"",(G1001+G1002)/2*(B1002-B1001))</f>
        <v/>
      </c>
      <c r="J1001" s="27">
        <f>IF(B1001="","",IF(B1000&lt;'02_Eingaben'!$C$36,0,J1000+I1000/'02_Eingaben'!$C$8))</f>
        <v/>
      </c>
    </row>
    <row r="1002">
      <c r="A1002">
        <f>IF('01_Rohdaten'!A1002="","",ROW()-1)</f>
        <v/>
      </c>
      <c r="B1002" s="27">
        <f>IF('01_Rohdaten'!A1002="","",'01_Rohdaten'!A1002)</f>
        <v/>
      </c>
      <c r="C1002" s="27">
        <f>IF(B1002="","",INDEX('01_Rohdaten'!B1002:D1002,'02_Eingaben'!$C$13))</f>
        <v/>
      </c>
      <c r="D1002" s="27">
        <f>IF(C1002="","",C1002*'02_Eingaben'!$C$15)</f>
        <v/>
      </c>
      <c r="E1002" s="27">
        <f>IF(D1002="","",D1002*'02_Eingaben'!$C$8)</f>
        <v/>
      </c>
      <c r="F1002" s="27">
        <f>IF(E1002="","",AVERAGE(INDEX($E$2:$E$3001,MAX(1,ROW()-1-'02_Eingaben'!$C$17)):INDEX($E$2:$E$3001,MIN('02_Eingaben'!$C$21,ROW()-1+'02_Eingaben'!$C$17))))</f>
        <v/>
      </c>
      <c r="G1002" s="27">
        <f>IF(F1002="","",F1002-'02_Eingaben'!$C$10)</f>
        <v/>
      </c>
      <c r="H1002">
        <f>IF(F1002="","",IF(F1002&lt;'02_Eingaben'!$C$18*'02_Eingaben'!$C$10,1,0))</f>
        <v/>
      </c>
      <c r="I1002" s="27">
        <f>IF(OR(G1002="",G1003=""),"",(G1002+G1003)/2*(B1003-B1002))</f>
        <v/>
      </c>
      <c r="J1002" s="27">
        <f>IF(B1002="","",IF(B1001&lt;'02_Eingaben'!$C$36,0,J1001+I1001/'02_Eingaben'!$C$8))</f>
        <v/>
      </c>
    </row>
    <row r="1003">
      <c r="A1003">
        <f>IF('01_Rohdaten'!A1003="","",ROW()-1)</f>
        <v/>
      </c>
      <c r="B1003" s="27">
        <f>IF('01_Rohdaten'!A1003="","",'01_Rohdaten'!A1003)</f>
        <v/>
      </c>
      <c r="C1003" s="27">
        <f>IF(B1003="","",INDEX('01_Rohdaten'!B1003:D1003,'02_Eingaben'!$C$13))</f>
        <v/>
      </c>
      <c r="D1003" s="27">
        <f>IF(C1003="","",C1003*'02_Eingaben'!$C$15)</f>
        <v/>
      </c>
      <c r="E1003" s="27">
        <f>IF(D1003="","",D1003*'02_Eingaben'!$C$8)</f>
        <v/>
      </c>
      <c r="F1003" s="27">
        <f>IF(E1003="","",AVERAGE(INDEX($E$2:$E$3001,MAX(1,ROW()-1-'02_Eingaben'!$C$17)):INDEX($E$2:$E$3001,MIN('02_Eingaben'!$C$21,ROW()-1+'02_Eingaben'!$C$17))))</f>
        <v/>
      </c>
      <c r="G1003" s="27">
        <f>IF(F1003="","",F1003-'02_Eingaben'!$C$10)</f>
        <v/>
      </c>
      <c r="H1003">
        <f>IF(F1003="","",IF(F1003&lt;'02_Eingaben'!$C$18*'02_Eingaben'!$C$10,1,0))</f>
        <v/>
      </c>
      <c r="I1003" s="27">
        <f>IF(OR(G1003="",G1004=""),"",(G1003+G1004)/2*(B1004-B1003))</f>
        <v/>
      </c>
      <c r="J1003" s="27">
        <f>IF(B1003="","",IF(B1002&lt;'02_Eingaben'!$C$36,0,J1002+I1002/'02_Eingaben'!$C$8))</f>
        <v/>
      </c>
    </row>
    <row r="1004">
      <c r="A1004">
        <f>IF('01_Rohdaten'!A1004="","",ROW()-1)</f>
        <v/>
      </c>
      <c r="B1004" s="27">
        <f>IF('01_Rohdaten'!A1004="","",'01_Rohdaten'!A1004)</f>
        <v/>
      </c>
      <c r="C1004" s="27">
        <f>IF(B1004="","",INDEX('01_Rohdaten'!B1004:D1004,'02_Eingaben'!$C$13))</f>
        <v/>
      </c>
      <c r="D1004" s="27">
        <f>IF(C1004="","",C1004*'02_Eingaben'!$C$15)</f>
        <v/>
      </c>
      <c r="E1004" s="27">
        <f>IF(D1004="","",D1004*'02_Eingaben'!$C$8)</f>
        <v/>
      </c>
      <c r="F1004" s="27">
        <f>IF(E1004="","",AVERAGE(INDEX($E$2:$E$3001,MAX(1,ROW()-1-'02_Eingaben'!$C$17)):INDEX($E$2:$E$3001,MIN('02_Eingaben'!$C$21,ROW()-1+'02_Eingaben'!$C$17))))</f>
        <v/>
      </c>
      <c r="G1004" s="27">
        <f>IF(F1004="","",F1004-'02_Eingaben'!$C$10)</f>
        <v/>
      </c>
      <c r="H1004">
        <f>IF(F1004="","",IF(F1004&lt;'02_Eingaben'!$C$18*'02_Eingaben'!$C$10,1,0))</f>
        <v/>
      </c>
      <c r="I1004" s="27">
        <f>IF(OR(G1004="",G1005=""),"",(G1004+G1005)/2*(B1005-B1004))</f>
        <v/>
      </c>
      <c r="J1004" s="27">
        <f>IF(B1004="","",IF(B1003&lt;'02_Eingaben'!$C$36,0,J1003+I1003/'02_Eingaben'!$C$8))</f>
        <v/>
      </c>
    </row>
    <row r="1005">
      <c r="A1005">
        <f>IF('01_Rohdaten'!A1005="","",ROW()-1)</f>
        <v/>
      </c>
      <c r="B1005" s="27">
        <f>IF('01_Rohdaten'!A1005="","",'01_Rohdaten'!A1005)</f>
        <v/>
      </c>
      <c r="C1005" s="27">
        <f>IF(B1005="","",INDEX('01_Rohdaten'!B1005:D1005,'02_Eingaben'!$C$13))</f>
        <v/>
      </c>
      <c r="D1005" s="27">
        <f>IF(C1005="","",C1005*'02_Eingaben'!$C$15)</f>
        <v/>
      </c>
      <c r="E1005" s="27">
        <f>IF(D1005="","",D1005*'02_Eingaben'!$C$8)</f>
        <v/>
      </c>
      <c r="F1005" s="27">
        <f>IF(E1005="","",AVERAGE(INDEX($E$2:$E$3001,MAX(1,ROW()-1-'02_Eingaben'!$C$17)):INDEX($E$2:$E$3001,MIN('02_Eingaben'!$C$21,ROW()-1+'02_Eingaben'!$C$17))))</f>
        <v/>
      </c>
      <c r="G1005" s="27">
        <f>IF(F1005="","",F1005-'02_Eingaben'!$C$10)</f>
        <v/>
      </c>
      <c r="H1005">
        <f>IF(F1005="","",IF(F1005&lt;'02_Eingaben'!$C$18*'02_Eingaben'!$C$10,1,0))</f>
        <v/>
      </c>
      <c r="I1005" s="27">
        <f>IF(OR(G1005="",G1006=""),"",(G1005+G1006)/2*(B1006-B1005))</f>
        <v/>
      </c>
      <c r="J1005" s="27">
        <f>IF(B1005="","",IF(B1004&lt;'02_Eingaben'!$C$36,0,J1004+I1004/'02_Eingaben'!$C$8))</f>
        <v/>
      </c>
    </row>
    <row r="1006">
      <c r="A1006">
        <f>IF('01_Rohdaten'!A1006="","",ROW()-1)</f>
        <v/>
      </c>
      <c r="B1006" s="27">
        <f>IF('01_Rohdaten'!A1006="","",'01_Rohdaten'!A1006)</f>
        <v/>
      </c>
      <c r="C1006" s="27">
        <f>IF(B1006="","",INDEX('01_Rohdaten'!B1006:D1006,'02_Eingaben'!$C$13))</f>
        <v/>
      </c>
      <c r="D1006" s="27">
        <f>IF(C1006="","",C1006*'02_Eingaben'!$C$15)</f>
        <v/>
      </c>
      <c r="E1006" s="27">
        <f>IF(D1006="","",D1006*'02_Eingaben'!$C$8)</f>
        <v/>
      </c>
      <c r="F1006" s="27">
        <f>IF(E1006="","",AVERAGE(INDEX($E$2:$E$3001,MAX(1,ROW()-1-'02_Eingaben'!$C$17)):INDEX($E$2:$E$3001,MIN('02_Eingaben'!$C$21,ROW()-1+'02_Eingaben'!$C$17))))</f>
        <v/>
      </c>
      <c r="G1006" s="27">
        <f>IF(F1006="","",F1006-'02_Eingaben'!$C$10)</f>
        <v/>
      </c>
      <c r="H1006">
        <f>IF(F1006="","",IF(F1006&lt;'02_Eingaben'!$C$18*'02_Eingaben'!$C$10,1,0))</f>
        <v/>
      </c>
      <c r="I1006" s="27">
        <f>IF(OR(G1006="",G1007=""),"",(G1006+G1007)/2*(B1007-B1006))</f>
        <v/>
      </c>
      <c r="J1006" s="27">
        <f>IF(B1006="","",IF(B1005&lt;'02_Eingaben'!$C$36,0,J1005+I1005/'02_Eingaben'!$C$8))</f>
        <v/>
      </c>
    </row>
    <row r="1007">
      <c r="A1007">
        <f>IF('01_Rohdaten'!A1007="","",ROW()-1)</f>
        <v/>
      </c>
      <c r="B1007" s="27">
        <f>IF('01_Rohdaten'!A1007="","",'01_Rohdaten'!A1007)</f>
        <v/>
      </c>
      <c r="C1007" s="27">
        <f>IF(B1007="","",INDEX('01_Rohdaten'!B1007:D1007,'02_Eingaben'!$C$13))</f>
        <v/>
      </c>
      <c r="D1007" s="27">
        <f>IF(C1007="","",C1007*'02_Eingaben'!$C$15)</f>
        <v/>
      </c>
      <c r="E1007" s="27">
        <f>IF(D1007="","",D1007*'02_Eingaben'!$C$8)</f>
        <v/>
      </c>
      <c r="F1007" s="27">
        <f>IF(E1007="","",AVERAGE(INDEX($E$2:$E$3001,MAX(1,ROW()-1-'02_Eingaben'!$C$17)):INDEX($E$2:$E$3001,MIN('02_Eingaben'!$C$21,ROW()-1+'02_Eingaben'!$C$17))))</f>
        <v/>
      </c>
      <c r="G1007" s="27">
        <f>IF(F1007="","",F1007-'02_Eingaben'!$C$10)</f>
        <v/>
      </c>
      <c r="H1007">
        <f>IF(F1007="","",IF(F1007&lt;'02_Eingaben'!$C$18*'02_Eingaben'!$C$10,1,0))</f>
        <v/>
      </c>
      <c r="I1007" s="27">
        <f>IF(OR(G1007="",G1008=""),"",(G1007+G1008)/2*(B1008-B1007))</f>
        <v/>
      </c>
      <c r="J1007" s="27">
        <f>IF(B1007="","",IF(B1006&lt;'02_Eingaben'!$C$36,0,J1006+I1006/'02_Eingaben'!$C$8))</f>
        <v/>
      </c>
    </row>
    <row r="1008">
      <c r="A1008">
        <f>IF('01_Rohdaten'!A1008="","",ROW()-1)</f>
        <v/>
      </c>
      <c r="B1008" s="27">
        <f>IF('01_Rohdaten'!A1008="","",'01_Rohdaten'!A1008)</f>
        <v/>
      </c>
      <c r="C1008" s="27">
        <f>IF(B1008="","",INDEX('01_Rohdaten'!B1008:D1008,'02_Eingaben'!$C$13))</f>
        <v/>
      </c>
      <c r="D1008" s="27">
        <f>IF(C1008="","",C1008*'02_Eingaben'!$C$15)</f>
        <v/>
      </c>
      <c r="E1008" s="27">
        <f>IF(D1008="","",D1008*'02_Eingaben'!$C$8)</f>
        <v/>
      </c>
      <c r="F1008" s="27">
        <f>IF(E1008="","",AVERAGE(INDEX($E$2:$E$3001,MAX(1,ROW()-1-'02_Eingaben'!$C$17)):INDEX($E$2:$E$3001,MIN('02_Eingaben'!$C$21,ROW()-1+'02_Eingaben'!$C$17))))</f>
        <v/>
      </c>
      <c r="G1008" s="27">
        <f>IF(F1008="","",F1008-'02_Eingaben'!$C$10)</f>
        <v/>
      </c>
      <c r="H1008">
        <f>IF(F1008="","",IF(F1008&lt;'02_Eingaben'!$C$18*'02_Eingaben'!$C$10,1,0))</f>
        <v/>
      </c>
      <c r="I1008" s="27">
        <f>IF(OR(G1008="",G1009=""),"",(G1008+G1009)/2*(B1009-B1008))</f>
        <v/>
      </c>
      <c r="J1008" s="27">
        <f>IF(B1008="","",IF(B1007&lt;'02_Eingaben'!$C$36,0,J1007+I1007/'02_Eingaben'!$C$8))</f>
        <v/>
      </c>
    </row>
    <row r="1009">
      <c r="A1009">
        <f>IF('01_Rohdaten'!A1009="","",ROW()-1)</f>
        <v/>
      </c>
      <c r="B1009" s="27">
        <f>IF('01_Rohdaten'!A1009="","",'01_Rohdaten'!A1009)</f>
        <v/>
      </c>
      <c r="C1009" s="27">
        <f>IF(B1009="","",INDEX('01_Rohdaten'!B1009:D1009,'02_Eingaben'!$C$13))</f>
        <v/>
      </c>
      <c r="D1009" s="27">
        <f>IF(C1009="","",C1009*'02_Eingaben'!$C$15)</f>
        <v/>
      </c>
      <c r="E1009" s="27">
        <f>IF(D1009="","",D1009*'02_Eingaben'!$C$8)</f>
        <v/>
      </c>
      <c r="F1009" s="27">
        <f>IF(E1009="","",AVERAGE(INDEX($E$2:$E$3001,MAX(1,ROW()-1-'02_Eingaben'!$C$17)):INDEX($E$2:$E$3001,MIN('02_Eingaben'!$C$21,ROW()-1+'02_Eingaben'!$C$17))))</f>
        <v/>
      </c>
      <c r="G1009" s="27">
        <f>IF(F1009="","",F1009-'02_Eingaben'!$C$10)</f>
        <v/>
      </c>
      <c r="H1009">
        <f>IF(F1009="","",IF(F1009&lt;'02_Eingaben'!$C$18*'02_Eingaben'!$C$10,1,0))</f>
        <v/>
      </c>
      <c r="I1009" s="27">
        <f>IF(OR(G1009="",G1010=""),"",(G1009+G1010)/2*(B1010-B1009))</f>
        <v/>
      </c>
      <c r="J1009" s="27">
        <f>IF(B1009="","",IF(B1008&lt;'02_Eingaben'!$C$36,0,J1008+I1008/'02_Eingaben'!$C$8))</f>
        <v/>
      </c>
    </row>
    <row r="1010">
      <c r="A1010">
        <f>IF('01_Rohdaten'!A1010="","",ROW()-1)</f>
        <v/>
      </c>
      <c r="B1010" s="27">
        <f>IF('01_Rohdaten'!A1010="","",'01_Rohdaten'!A1010)</f>
        <v/>
      </c>
      <c r="C1010" s="27">
        <f>IF(B1010="","",INDEX('01_Rohdaten'!B1010:D1010,'02_Eingaben'!$C$13))</f>
        <v/>
      </c>
      <c r="D1010" s="27">
        <f>IF(C1010="","",C1010*'02_Eingaben'!$C$15)</f>
        <v/>
      </c>
      <c r="E1010" s="27">
        <f>IF(D1010="","",D1010*'02_Eingaben'!$C$8)</f>
        <v/>
      </c>
      <c r="F1010" s="27">
        <f>IF(E1010="","",AVERAGE(INDEX($E$2:$E$3001,MAX(1,ROW()-1-'02_Eingaben'!$C$17)):INDEX($E$2:$E$3001,MIN('02_Eingaben'!$C$21,ROW()-1+'02_Eingaben'!$C$17))))</f>
        <v/>
      </c>
      <c r="G1010" s="27">
        <f>IF(F1010="","",F1010-'02_Eingaben'!$C$10)</f>
        <v/>
      </c>
      <c r="H1010">
        <f>IF(F1010="","",IF(F1010&lt;'02_Eingaben'!$C$18*'02_Eingaben'!$C$10,1,0))</f>
        <v/>
      </c>
      <c r="I1010" s="27">
        <f>IF(OR(G1010="",G1011=""),"",(G1010+G1011)/2*(B1011-B1010))</f>
        <v/>
      </c>
      <c r="J1010" s="27">
        <f>IF(B1010="","",IF(B1009&lt;'02_Eingaben'!$C$36,0,J1009+I1009/'02_Eingaben'!$C$8))</f>
        <v/>
      </c>
    </row>
    <row r="1011">
      <c r="A1011">
        <f>IF('01_Rohdaten'!A1011="","",ROW()-1)</f>
        <v/>
      </c>
      <c r="B1011" s="27">
        <f>IF('01_Rohdaten'!A1011="","",'01_Rohdaten'!A1011)</f>
        <v/>
      </c>
      <c r="C1011" s="27">
        <f>IF(B1011="","",INDEX('01_Rohdaten'!B1011:D1011,'02_Eingaben'!$C$13))</f>
        <v/>
      </c>
      <c r="D1011" s="27">
        <f>IF(C1011="","",C1011*'02_Eingaben'!$C$15)</f>
        <v/>
      </c>
      <c r="E1011" s="27">
        <f>IF(D1011="","",D1011*'02_Eingaben'!$C$8)</f>
        <v/>
      </c>
      <c r="F1011" s="27">
        <f>IF(E1011="","",AVERAGE(INDEX($E$2:$E$3001,MAX(1,ROW()-1-'02_Eingaben'!$C$17)):INDEX($E$2:$E$3001,MIN('02_Eingaben'!$C$21,ROW()-1+'02_Eingaben'!$C$17))))</f>
        <v/>
      </c>
      <c r="G1011" s="27">
        <f>IF(F1011="","",F1011-'02_Eingaben'!$C$10)</f>
        <v/>
      </c>
      <c r="H1011">
        <f>IF(F1011="","",IF(F1011&lt;'02_Eingaben'!$C$18*'02_Eingaben'!$C$10,1,0))</f>
        <v/>
      </c>
      <c r="I1011" s="27">
        <f>IF(OR(G1011="",G1012=""),"",(G1011+G1012)/2*(B1012-B1011))</f>
        <v/>
      </c>
      <c r="J1011" s="27">
        <f>IF(B1011="","",IF(B1010&lt;'02_Eingaben'!$C$36,0,J1010+I1010/'02_Eingaben'!$C$8))</f>
        <v/>
      </c>
    </row>
    <row r="1012">
      <c r="A1012">
        <f>IF('01_Rohdaten'!A1012="","",ROW()-1)</f>
        <v/>
      </c>
      <c r="B1012" s="27">
        <f>IF('01_Rohdaten'!A1012="","",'01_Rohdaten'!A1012)</f>
        <v/>
      </c>
      <c r="C1012" s="27">
        <f>IF(B1012="","",INDEX('01_Rohdaten'!B1012:D1012,'02_Eingaben'!$C$13))</f>
        <v/>
      </c>
      <c r="D1012" s="27">
        <f>IF(C1012="","",C1012*'02_Eingaben'!$C$15)</f>
        <v/>
      </c>
      <c r="E1012" s="27">
        <f>IF(D1012="","",D1012*'02_Eingaben'!$C$8)</f>
        <v/>
      </c>
      <c r="F1012" s="27">
        <f>IF(E1012="","",AVERAGE(INDEX($E$2:$E$3001,MAX(1,ROW()-1-'02_Eingaben'!$C$17)):INDEX($E$2:$E$3001,MIN('02_Eingaben'!$C$21,ROW()-1+'02_Eingaben'!$C$17))))</f>
        <v/>
      </c>
      <c r="G1012" s="27">
        <f>IF(F1012="","",F1012-'02_Eingaben'!$C$10)</f>
        <v/>
      </c>
      <c r="H1012">
        <f>IF(F1012="","",IF(F1012&lt;'02_Eingaben'!$C$18*'02_Eingaben'!$C$10,1,0))</f>
        <v/>
      </c>
      <c r="I1012" s="27">
        <f>IF(OR(G1012="",G1013=""),"",(G1012+G1013)/2*(B1013-B1012))</f>
        <v/>
      </c>
      <c r="J1012" s="27">
        <f>IF(B1012="","",IF(B1011&lt;'02_Eingaben'!$C$36,0,J1011+I1011/'02_Eingaben'!$C$8))</f>
        <v/>
      </c>
    </row>
    <row r="1013">
      <c r="A1013">
        <f>IF('01_Rohdaten'!A1013="","",ROW()-1)</f>
        <v/>
      </c>
      <c r="B1013" s="27">
        <f>IF('01_Rohdaten'!A1013="","",'01_Rohdaten'!A1013)</f>
        <v/>
      </c>
      <c r="C1013" s="27">
        <f>IF(B1013="","",INDEX('01_Rohdaten'!B1013:D1013,'02_Eingaben'!$C$13))</f>
        <v/>
      </c>
      <c r="D1013" s="27">
        <f>IF(C1013="","",C1013*'02_Eingaben'!$C$15)</f>
        <v/>
      </c>
      <c r="E1013" s="27">
        <f>IF(D1013="","",D1013*'02_Eingaben'!$C$8)</f>
        <v/>
      </c>
      <c r="F1013" s="27">
        <f>IF(E1013="","",AVERAGE(INDEX($E$2:$E$3001,MAX(1,ROW()-1-'02_Eingaben'!$C$17)):INDEX($E$2:$E$3001,MIN('02_Eingaben'!$C$21,ROW()-1+'02_Eingaben'!$C$17))))</f>
        <v/>
      </c>
      <c r="G1013" s="27">
        <f>IF(F1013="","",F1013-'02_Eingaben'!$C$10)</f>
        <v/>
      </c>
      <c r="H1013">
        <f>IF(F1013="","",IF(F1013&lt;'02_Eingaben'!$C$18*'02_Eingaben'!$C$10,1,0))</f>
        <v/>
      </c>
      <c r="I1013" s="27">
        <f>IF(OR(G1013="",G1014=""),"",(G1013+G1014)/2*(B1014-B1013))</f>
        <v/>
      </c>
      <c r="J1013" s="27">
        <f>IF(B1013="","",IF(B1012&lt;'02_Eingaben'!$C$36,0,J1012+I1012/'02_Eingaben'!$C$8))</f>
        <v/>
      </c>
    </row>
    <row r="1014">
      <c r="A1014">
        <f>IF('01_Rohdaten'!A1014="","",ROW()-1)</f>
        <v/>
      </c>
      <c r="B1014" s="27">
        <f>IF('01_Rohdaten'!A1014="","",'01_Rohdaten'!A1014)</f>
        <v/>
      </c>
      <c r="C1014" s="27">
        <f>IF(B1014="","",INDEX('01_Rohdaten'!B1014:D1014,'02_Eingaben'!$C$13))</f>
        <v/>
      </c>
      <c r="D1014" s="27">
        <f>IF(C1014="","",C1014*'02_Eingaben'!$C$15)</f>
        <v/>
      </c>
      <c r="E1014" s="27">
        <f>IF(D1014="","",D1014*'02_Eingaben'!$C$8)</f>
        <v/>
      </c>
      <c r="F1014" s="27">
        <f>IF(E1014="","",AVERAGE(INDEX($E$2:$E$3001,MAX(1,ROW()-1-'02_Eingaben'!$C$17)):INDEX($E$2:$E$3001,MIN('02_Eingaben'!$C$21,ROW()-1+'02_Eingaben'!$C$17))))</f>
        <v/>
      </c>
      <c r="G1014" s="27">
        <f>IF(F1014="","",F1014-'02_Eingaben'!$C$10)</f>
        <v/>
      </c>
      <c r="H1014">
        <f>IF(F1014="","",IF(F1014&lt;'02_Eingaben'!$C$18*'02_Eingaben'!$C$10,1,0))</f>
        <v/>
      </c>
      <c r="I1014" s="27">
        <f>IF(OR(G1014="",G1015=""),"",(G1014+G1015)/2*(B1015-B1014))</f>
        <v/>
      </c>
      <c r="J1014" s="27">
        <f>IF(B1014="","",IF(B1013&lt;'02_Eingaben'!$C$36,0,J1013+I1013/'02_Eingaben'!$C$8))</f>
        <v/>
      </c>
    </row>
    <row r="1015">
      <c r="A1015">
        <f>IF('01_Rohdaten'!A1015="","",ROW()-1)</f>
        <v/>
      </c>
      <c r="B1015" s="27">
        <f>IF('01_Rohdaten'!A1015="","",'01_Rohdaten'!A1015)</f>
        <v/>
      </c>
      <c r="C1015" s="27">
        <f>IF(B1015="","",INDEX('01_Rohdaten'!B1015:D1015,'02_Eingaben'!$C$13))</f>
        <v/>
      </c>
      <c r="D1015" s="27">
        <f>IF(C1015="","",C1015*'02_Eingaben'!$C$15)</f>
        <v/>
      </c>
      <c r="E1015" s="27">
        <f>IF(D1015="","",D1015*'02_Eingaben'!$C$8)</f>
        <v/>
      </c>
      <c r="F1015" s="27">
        <f>IF(E1015="","",AVERAGE(INDEX($E$2:$E$3001,MAX(1,ROW()-1-'02_Eingaben'!$C$17)):INDEX($E$2:$E$3001,MIN('02_Eingaben'!$C$21,ROW()-1+'02_Eingaben'!$C$17))))</f>
        <v/>
      </c>
      <c r="G1015" s="27">
        <f>IF(F1015="","",F1015-'02_Eingaben'!$C$10)</f>
        <v/>
      </c>
      <c r="H1015">
        <f>IF(F1015="","",IF(F1015&lt;'02_Eingaben'!$C$18*'02_Eingaben'!$C$10,1,0))</f>
        <v/>
      </c>
      <c r="I1015" s="27">
        <f>IF(OR(G1015="",G1016=""),"",(G1015+G1016)/2*(B1016-B1015))</f>
        <v/>
      </c>
      <c r="J1015" s="27">
        <f>IF(B1015="","",IF(B1014&lt;'02_Eingaben'!$C$36,0,J1014+I1014/'02_Eingaben'!$C$8))</f>
        <v/>
      </c>
    </row>
    <row r="1016">
      <c r="A1016">
        <f>IF('01_Rohdaten'!A1016="","",ROW()-1)</f>
        <v/>
      </c>
      <c r="B1016" s="27">
        <f>IF('01_Rohdaten'!A1016="","",'01_Rohdaten'!A1016)</f>
        <v/>
      </c>
      <c r="C1016" s="27">
        <f>IF(B1016="","",INDEX('01_Rohdaten'!B1016:D1016,'02_Eingaben'!$C$13))</f>
        <v/>
      </c>
      <c r="D1016" s="27">
        <f>IF(C1016="","",C1016*'02_Eingaben'!$C$15)</f>
        <v/>
      </c>
      <c r="E1016" s="27">
        <f>IF(D1016="","",D1016*'02_Eingaben'!$C$8)</f>
        <v/>
      </c>
      <c r="F1016" s="27">
        <f>IF(E1016="","",AVERAGE(INDEX($E$2:$E$3001,MAX(1,ROW()-1-'02_Eingaben'!$C$17)):INDEX($E$2:$E$3001,MIN('02_Eingaben'!$C$21,ROW()-1+'02_Eingaben'!$C$17))))</f>
        <v/>
      </c>
      <c r="G1016" s="27">
        <f>IF(F1016="","",F1016-'02_Eingaben'!$C$10)</f>
        <v/>
      </c>
      <c r="H1016">
        <f>IF(F1016="","",IF(F1016&lt;'02_Eingaben'!$C$18*'02_Eingaben'!$C$10,1,0))</f>
        <v/>
      </c>
      <c r="I1016" s="27">
        <f>IF(OR(G1016="",G1017=""),"",(G1016+G1017)/2*(B1017-B1016))</f>
        <v/>
      </c>
      <c r="J1016" s="27">
        <f>IF(B1016="","",IF(B1015&lt;'02_Eingaben'!$C$36,0,J1015+I1015/'02_Eingaben'!$C$8))</f>
        <v/>
      </c>
    </row>
    <row r="1017">
      <c r="A1017">
        <f>IF('01_Rohdaten'!A1017="","",ROW()-1)</f>
        <v/>
      </c>
      <c r="B1017" s="27">
        <f>IF('01_Rohdaten'!A1017="","",'01_Rohdaten'!A1017)</f>
        <v/>
      </c>
      <c r="C1017" s="27">
        <f>IF(B1017="","",INDEX('01_Rohdaten'!B1017:D1017,'02_Eingaben'!$C$13))</f>
        <v/>
      </c>
      <c r="D1017" s="27">
        <f>IF(C1017="","",C1017*'02_Eingaben'!$C$15)</f>
        <v/>
      </c>
      <c r="E1017" s="27">
        <f>IF(D1017="","",D1017*'02_Eingaben'!$C$8)</f>
        <v/>
      </c>
      <c r="F1017" s="27">
        <f>IF(E1017="","",AVERAGE(INDEX($E$2:$E$3001,MAX(1,ROW()-1-'02_Eingaben'!$C$17)):INDEX($E$2:$E$3001,MIN('02_Eingaben'!$C$21,ROW()-1+'02_Eingaben'!$C$17))))</f>
        <v/>
      </c>
      <c r="G1017" s="27">
        <f>IF(F1017="","",F1017-'02_Eingaben'!$C$10)</f>
        <v/>
      </c>
      <c r="H1017">
        <f>IF(F1017="","",IF(F1017&lt;'02_Eingaben'!$C$18*'02_Eingaben'!$C$10,1,0))</f>
        <v/>
      </c>
      <c r="I1017" s="27">
        <f>IF(OR(G1017="",G1018=""),"",(G1017+G1018)/2*(B1018-B1017))</f>
        <v/>
      </c>
      <c r="J1017" s="27">
        <f>IF(B1017="","",IF(B1016&lt;'02_Eingaben'!$C$36,0,J1016+I1016/'02_Eingaben'!$C$8))</f>
        <v/>
      </c>
    </row>
    <row r="1018">
      <c r="A1018">
        <f>IF('01_Rohdaten'!A1018="","",ROW()-1)</f>
        <v/>
      </c>
      <c r="B1018" s="27">
        <f>IF('01_Rohdaten'!A1018="","",'01_Rohdaten'!A1018)</f>
        <v/>
      </c>
      <c r="C1018" s="27">
        <f>IF(B1018="","",INDEX('01_Rohdaten'!B1018:D1018,'02_Eingaben'!$C$13))</f>
        <v/>
      </c>
      <c r="D1018" s="27">
        <f>IF(C1018="","",C1018*'02_Eingaben'!$C$15)</f>
        <v/>
      </c>
      <c r="E1018" s="27">
        <f>IF(D1018="","",D1018*'02_Eingaben'!$C$8)</f>
        <v/>
      </c>
      <c r="F1018" s="27">
        <f>IF(E1018="","",AVERAGE(INDEX($E$2:$E$3001,MAX(1,ROW()-1-'02_Eingaben'!$C$17)):INDEX($E$2:$E$3001,MIN('02_Eingaben'!$C$21,ROW()-1+'02_Eingaben'!$C$17))))</f>
        <v/>
      </c>
      <c r="G1018" s="27">
        <f>IF(F1018="","",F1018-'02_Eingaben'!$C$10)</f>
        <v/>
      </c>
      <c r="H1018">
        <f>IF(F1018="","",IF(F1018&lt;'02_Eingaben'!$C$18*'02_Eingaben'!$C$10,1,0))</f>
        <v/>
      </c>
      <c r="I1018" s="27">
        <f>IF(OR(G1018="",G1019=""),"",(G1018+G1019)/2*(B1019-B1018))</f>
        <v/>
      </c>
      <c r="J1018" s="27">
        <f>IF(B1018="","",IF(B1017&lt;'02_Eingaben'!$C$36,0,J1017+I1017/'02_Eingaben'!$C$8))</f>
        <v/>
      </c>
    </row>
    <row r="1019">
      <c r="A1019">
        <f>IF('01_Rohdaten'!A1019="","",ROW()-1)</f>
        <v/>
      </c>
      <c r="B1019" s="27">
        <f>IF('01_Rohdaten'!A1019="","",'01_Rohdaten'!A1019)</f>
        <v/>
      </c>
      <c r="C1019" s="27">
        <f>IF(B1019="","",INDEX('01_Rohdaten'!B1019:D1019,'02_Eingaben'!$C$13))</f>
        <v/>
      </c>
      <c r="D1019" s="27">
        <f>IF(C1019="","",C1019*'02_Eingaben'!$C$15)</f>
        <v/>
      </c>
      <c r="E1019" s="27">
        <f>IF(D1019="","",D1019*'02_Eingaben'!$C$8)</f>
        <v/>
      </c>
      <c r="F1019" s="27">
        <f>IF(E1019="","",AVERAGE(INDEX($E$2:$E$3001,MAX(1,ROW()-1-'02_Eingaben'!$C$17)):INDEX($E$2:$E$3001,MIN('02_Eingaben'!$C$21,ROW()-1+'02_Eingaben'!$C$17))))</f>
        <v/>
      </c>
      <c r="G1019" s="27">
        <f>IF(F1019="","",F1019-'02_Eingaben'!$C$10)</f>
        <v/>
      </c>
      <c r="H1019">
        <f>IF(F1019="","",IF(F1019&lt;'02_Eingaben'!$C$18*'02_Eingaben'!$C$10,1,0))</f>
        <v/>
      </c>
      <c r="I1019" s="27">
        <f>IF(OR(G1019="",G1020=""),"",(G1019+G1020)/2*(B1020-B1019))</f>
        <v/>
      </c>
      <c r="J1019" s="27">
        <f>IF(B1019="","",IF(B1018&lt;'02_Eingaben'!$C$36,0,J1018+I1018/'02_Eingaben'!$C$8))</f>
        <v/>
      </c>
    </row>
    <row r="1020">
      <c r="A1020">
        <f>IF('01_Rohdaten'!A1020="","",ROW()-1)</f>
        <v/>
      </c>
      <c r="B1020" s="27">
        <f>IF('01_Rohdaten'!A1020="","",'01_Rohdaten'!A1020)</f>
        <v/>
      </c>
      <c r="C1020" s="27">
        <f>IF(B1020="","",INDEX('01_Rohdaten'!B1020:D1020,'02_Eingaben'!$C$13))</f>
        <v/>
      </c>
      <c r="D1020" s="27">
        <f>IF(C1020="","",C1020*'02_Eingaben'!$C$15)</f>
        <v/>
      </c>
      <c r="E1020" s="27">
        <f>IF(D1020="","",D1020*'02_Eingaben'!$C$8)</f>
        <v/>
      </c>
      <c r="F1020" s="27">
        <f>IF(E1020="","",AVERAGE(INDEX($E$2:$E$3001,MAX(1,ROW()-1-'02_Eingaben'!$C$17)):INDEX($E$2:$E$3001,MIN('02_Eingaben'!$C$21,ROW()-1+'02_Eingaben'!$C$17))))</f>
        <v/>
      </c>
      <c r="G1020" s="27">
        <f>IF(F1020="","",F1020-'02_Eingaben'!$C$10)</f>
        <v/>
      </c>
      <c r="H1020">
        <f>IF(F1020="","",IF(F1020&lt;'02_Eingaben'!$C$18*'02_Eingaben'!$C$10,1,0))</f>
        <v/>
      </c>
      <c r="I1020" s="27">
        <f>IF(OR(G1020="",G1021=""),"",(G1020+G1021)/2*(B1021-B1020))</f>
        <v/>
      </c>
      <c r="J1020" s="27">
        <f>IF(B1020="","",IF(B1019&lt;'02_Eingaben'!$C$36,0,J1019+I1019/'02_Eingaben'!$C$8))</f>
        <v/>
      </c>
    </row>
    <row r="1021">
      <c r="A1021">
        <f>IF('01_Rohdaten'!A1021="","",ROW()-1)</f>
        <v/>
      </c>
      <c r="B1021" s="27">
        <f>IF('01_Rohdaten'!A1021="","",'01_Rohdaten'!A1021)</f>
        <v/>
      </c>
      <c r="C1021" s="27">
        <f>IF(B1021="","",INDEX('01_Rohdaten'!B1021:D1021,'02_Eingaben'!$C$13))</f>
        <v/>
      </c>
      <c r="D1021" s="27">
        <f>IF(C1021="","",C1021*'02_Eingaben'!$C$15)</f>
        <v/>
      </c>
      <c r="E1021" s="27">
        <f>IF(D1021="","",D1021*'02_Eingaben'!$C$8)</f>
        <v/>
      </c>
      <c r="F1021" s="27">
        <f>IF(E1021="","",AVERAGE(INDEX($E$2:$E$3001,MAX(1,ROW()-1-'02_Eingaben'!$C$17)):INDEX($E$2:$E$3001,MIN('02_Eingaben'!$C$21,ROW()-1+'02_Eingaben'!$C$17))))</f>
        <v/>
      </c>
      <c r="G1021" s="27">
        <f>IF(F1021="","",F1021-'02_Eingaben'!$C$10)</f>
        <v/>
      </c>
      <c r="H1021">
        <f>IF(F1021="","",IF(F1021&lt;'02_Eingaben'!$C$18*'02_Eingaben'!$C$10,1,0))</f>
        <v/>
      </c>
      <c r="I1021" s="27">
        <f>IF(OR(G1021="",G1022=""),"",(G1021+G1022)/2*(B1022-B1021))</f>
        <v/>
      </c>
      <c r="J1021" s="27">
        <f>IF(B1021="","",IF(B1020&lt;'02_Eingaben'!$C$36,0,J1020+I1020/'02_Eingaben'!$C$8))</f>
        <v/>
      </c>
    </row>
    <row r="1022">
      <c r="A1022">
        <f>IF('01_Rohdaten'!A1022="","",ROW()-1)</f>
        <v/>
      </c>
      <c r="B1022" s="27">
        <f>IF('01_Rohdaten'!A1022="","",'01_Rohdaten'!A1022)</f>
        <v/>
      </c>
      <c r="C1022" s="27">
        <f>IF(B1022="","",INDEX('01_Rohdaten'!B1022:D1022,'02_Eingaben'!$C$13))</f>
        <v/>
      </c>
      <c r="D1022" s="27">
        <f>IF(C1022="","",C1022*'02_Eingaben'!$C$15)</f>
        <v/>
      </c>
      <c r="E1022" s="27">
        <f>IF(D1022="","",D1022*'02_Eingaben'!$C$8)</f>
        <v/>
      </c>
      <c r="F1022" s="27">
        <f>IF(E1022="","",AVERAGE(INDEX($E$2:$E$3001,MAX(1,ROW()-1-'02_Eingaben'!$C$17)):INDEX($E$2:$E$3001,MIN('02_Eingaben'!$C$21,ROW()-1+'02_Eingaben'!$C$17))))</f>
        <v/>
      </c>
      <c r="G1022" s="27">
        <f>IF(F1022="","",F1022-'02_Eingaben'!$C$10)</f>
        <v/>
      </c>
      <c r="H1022">
        <f>IF(F1022="","",IF(F1022&lt;'02_Eingaben'!$C$18*'02_Eingaben'!$C$10,1,0))</f>
        <v/>
      </c>
      <c r="I1022" s="27">
        <f>IF(OR(G1022="",G1023=""),"",(G1022+G1023)/2*(B1023-B1022))</f>
        <v/>
      </c>
      <c r="J1022" s="27">
        <f>IF(B1022="","",IF(B1021&lt;'02_Eingaben'!$C$36,0,J1021+I1021/'02_Eingaben'!$C$8))</f>
        <v/>
      </c>
    </row>
    <row r="1023">
      <c r="A1023">
        <f>IF('01_Rohdaten'!A1023="","",ROW()-1)</f>
        <v/>
      </c>
      <c r="B1023" s="27">
        <f>IF('01_Rohdaten'!A1023="","",'01_Rohdaten'!A1023)</f>
        <v/>
      </c>
      <c r="C1023" s="27">
        <f>IF(B1023="","",INDEX('01_Rohdaten'!B1023:D1023,'02_Eingaben'!$C$13))</f>
        <v/>
      </c>
      <c r="D1023" s="27">
        <f>IF(C1023="","",C1023*'02_Eingaben'!$C$15)</f>
        <v/>
      </c>
      <c r="E1023" s="27">
        <f>IF(D1023="","",D1023*'02_Eingaben'!$C$8)</f>
        <v/>
      </c>
      <c r="F1023" s="27">
        <f>IF(E1023="","",AVERAGE(INDEX($E$2:$E$3001,MAX(1,ROW()-1-'02_Eingaben'!$C$17)):INDEX($E$2:$E$3001,MIN('02_Eingaben'!$C$21,ROW()-1+'02_Eingaben'!$C$17))))</f>
        <v/>
      </c>
      <c r="G1023" s="27">
        <f>IF(F1023="","",F1023-'02_Eingaben'!$C$10)</f>
        <v/>
      </c>
      <c r="H1023">
        <f>IF(F1023="","",IF(F1023&lt;'02_Eingaben'!$C$18*'02_Eingaben'!$C$10,1,0))</f>
        <v/>
      </c>
      <c r="I1023" s="27">
        <f>IF(OR(G1023="",G1024=""),"",(G1023+G1024)/2*(B1024-B1023))</f>
        <v/>
      </c>
      <c r="J1023" s="27">
        <f>IF(B1023="","",IF(B1022&lt;'02_Eingaben'!$C$36,0,J1022+I1022/'02_Eingaben'!$C$8))</f>
        <v/>
      </c>
    </row>
    <row r="1024">
      <c r="A1024">
        <f>IF('01_Rohdaten'!A1024="","",ROW()-1)</f>
        <v/>
      </c>
      <c r="B1024" s="27">
        <f>IF('01_Rohdaten'!A1024="","",'01_Rohdaten'!A1024)</f>
        <v/>
      </c>
      <c r="C1024" s="27">
        <f>IF(B1024="","",INDEX('01_Rohdaten'!B1024:D1024,'02_Eingaben'!$C$13))</f>
        <v/>
      </c>
      <c r="D1024" s="27">
        <f>IF(C1024="","",C1024*'02_Eingaben'!$C$15)</f>
        <v/>
      </c>
      <c r="E1024" s="27">
        <f>IF(D1024="","",D1024*'02_Eingaben'!$C$8)</f>
        <v/>
      </c>
      <c r="F1024" s="27">
        <f>IF(E1024="","",AVERAGE(INDEX($E$2:$E$3001,MAX(1,ROW()-1-'02_Eingaben'!$C$17)):INDEX($E$2:$E$3001,MIN('02_Eingaben'!$C$21,ROW()-1+'02_Eingaben'!$C$17))))</f>
        <v/>
      </c>
      <c r="G1024" s="27">
        <f>IF(F1024="","",F1024-'02_Eingaben'!$C$10)</f>
        <v/>
      </c>
      <c r="H1024">
        <f>IF(F1024="","",IF(F1024&lt;'02_Eingaben'!$C$18*'02_Eingaben'!$C$10,1,0))</f>
        <v/>
      </c>
      <c r="I1024" s="27">
        <f>IF(OR(G1024="",G1025=""),"",(G1024+G1025)/2*(B1025-B1024))</f>
        <v/>
      </c>
      <c r="J1024" s="27">
        <f>IF(B1024="","",IF(B1023&lt;'02_Eingaben'!$C$36,0,J1023+I1023/'02_Eingaben'!$C$8))</f>
        <v/>
      </c>
    </row>
    <row r="1025">
      <c r="A1025">
        <f>IF('01_Rohdaten'!A1025="","",ROW()-1)</f>
        <v/>
      </c>
      <c r="B1025" s="27">
        <f>IF('01_Rohdaten'!A1025="","",'01_Rohdaten'!A1025)</f>
        <v/>
      </c>
      <c r="C1025" s="27">
        <f>IF(B1025="","",INDEX('01_Rohdaten'!B1025:D1025,'02_Eingaben'!$C$13))</f>
        <v/>
      </c>
      <c r="D1025" s="27">
        <f>IF(C1025="","",C1025*'02_Eingaben'!$C$15)</f>
        <v/>
      </c>
      <c r="E1025" s="27">
        <f>IF(D1025="","",D1025*'02_Eingaben'!$C$8)</f>
        <v/>
      </c>
      <c r="F1025" s="27">
        <f>IF(E1025="","",AVERAGE(INDEX($E$2:$E$3001,MAX(1,ROW()-1-'02_Eingaben'!$C$17)):INDEX($E$2:$E$3001,MIN('02_Eingaben'!$C$21,ROW()-1+'02_Eingaben'!$C$17))))</f>
        <v/>
      </c>
      <c r="G1025" s="27">
        <f>IF(F1025="","",F1025-'02_Eingaben'!$C$10)</f>
        <v/>
      </c>
      <c r="H1025">
        <f>IF(F1025="","",IF(F1025&lt;'02_Eingaben'!$C$18*'02_Eingaben'!$C$10,1,0))</f>
        <v/>
      </c>
      <c r="I1025" s="27">
        <f>IF(OR(G1025="",G1026=""),"",(G1025+G1026)/2*(B1026-B1025))</f>
        <v/>
      </c>
      <c r="J1025" s="27">
        <f>IF(B1025="","",IF(B1024&lt;'02_Eingaben'!$C$36,0,J1024+I1024/'02_Eingaben'!$C$8))</f>
        <v/>
      </c>
    </row>
    <row r="1026">
      <c r="A1026">
        <f>IF('01_Rohdaten'!A1026="","",ROW()-1)</f>
        <v/>
      </c>
      <c r="B1026" s="27">
        <f>IF('01_Rohdaten'!A1026="","",'01_Rohdaten'!A1026)</f>
        <v/>
      </c>
      <c r="C1026" s="27">
        <f>IF(B1026="","",INDEX('01_Rohdaten'!B1026:D1026,'02_Eingaben'!$C$13))</f>
        <v/>
      </c>
      <c r="D1026" s="27">
        <f>IF(C1026="","",C1026*'02_Eingaben'!$C$15)</f>
        <v/>
      </c>
      <c r="E1026" s="27">
        <f>IF(D1026="","",D1026*'02_Eingaben'!$C$8)</f>
        <v/>
      </c>
      <c r="F1026" s="27">
        <f>IF(E1026="","",AVERAGE(INDEX($E$2:$E$3001,MAX(1,ROW()-1-'02_Eingaben'!$C$17)):INDEX($E$2:$E$3001,MIN('02_Eingaben'!$C$21,ROW()-1+'02_Eingaben'!$C$17))))</f>
        <v/>
      </c>
      <c r="G1026" s="27">
        <f>IF(F1026="","",F1026-'02_Eingaben'!$C$10)</f>
        <v/>
      </c>
      <c r="H1026">
        <f>IF(F1026="","",IF(F1026&lt;'02_Eingaben'!$C$18*'02_Eingaben'!$C$10,1,0))</f>
        <v/>
      </c>
      <c r="I1026" s="27">
        <f>IF(OR(G1026="",G1027=""),"",(G1026+G1027)/2*(B1027-B1026))</f>
        <v/>
      </c>
      <c r="J1026" s="27">
        <f>IF(B1026="","",IF(B1025&lt;'02_Eingaben'!$C$36,0,J1025+I1025/'02_Eingaben'!$C$8))</f>
        <v/>
      </c>
    </row>
    <row r="1027">
      <c r="A1027">
        <f>IF('01_Rohdaten'!A1027="","",ROW()-1)</f>
        <v/>
      </c>
      <c r="B1027" s="27">
        <f>IF('01_Rohdaten'!A1027="","",'01_Rohdaten'!A1027)</f>
        <v/>
      </c>
      <c r="C1027" s="27">
        <f>IF(B1027="","",INDEX('01_Rohdaten'!B1027:D1027,'02_Eingaben'!$C$13))</f>
        <v/>
      </c>
      <c r="D1027" s="27">
        <f>IF(C1027="","",C1027*'02_Eingaben'!$C$15)</f>
        <v/>
      </c>
      <c r="E1027" s="27">
        <f>IF(D1027="","",D1027*'02_Eingaben'!$C$8)</f>
        <v/>
      </c>
      <c r="F1027" s="27">
        <f>IF(E1027="","",AVERAGE(INDEX($E$2:$E$3001,MAX(1,ROW()-1-'02_Eingaben'!$C$17)):INDEX($E$2:$E$3001,MIN('02_Eingaben'!$C$21,ROW()-1+'02_Eingaben'!$C$17))))</f>
        <v/>
      </c>
      <c r="G1027" s="27">
        <f>IF(F1027="","",F1027-'02_Eingaben'!$C$10)</f>
        <v/>
      </c>
      <c r="H1027">
        <f>IF(F1027="","",IF(F1027&lt;'02_Eingaben'!$C$18*'02_Eingaben'!$C$10,1,0))</f>
        <v/>
      </c>
      <c r="I1027" s="27">
        <f>IF(OR(G1027="",G1028=""),"",(G1027+G1028)/2*(B1028-B1027))</f>
        <v/>
      </c>
      <c r="J1027" s="27">
        <f>IF(B1027="","",IF(B1026&lt;'02_Eingaben'!$C$36,0,J1026+I1026/'02_Eingaben'!$C$8))</f>
        <v/>
      </c>
    </row>
    <row r="1028">
      <c r="A1028">
        <f>IF('01_Rohdaten'!A1028="","",ROW()-1)</f>
        <v/>
      </c>
      <c r="B1028" s="27">
        <f>IF('01_Rohdaten'!A1028="","",'01_Rohdaten'!A1028)</f>
        <v/>
      </c>
      <c r="C1028" s="27">
        <f>IF(B1028="","",INDEX('01_Rohdaten'!B1028:D1028,'02_Eingaben'!$C$13))</f>
        <v/>
      </c>
      <c r="D1028" s="27">
        <f>IF(C1028="","",C1028*'02_Eingaben'!$C$15)</f>
        <v/>
      </c>
      <c r="E1028" s="27">
        <f>IF(D1028="","",D1028*'02_Eingaben'!$C$8)</f>
        <v/>
      </c>
      <c r="F1028" s="27">
        <f>IF(E1028="","",AVERAGE(INDEX($E$2:$E$3001,MAX(1,ROW()-1-'02_Eingaben'!$C$17)):INDEX($E$2:$E$3001,MIN('02_Eingaben'!$C$21,ROW()-1+'02_Eingaben'!$C$17))))</f>
        <v/>
      </c>
      <c r="G1028" s="27">
        <f>IF(F1028="","",F1028-'02_Eingaben'!$C$10)</f>
        <v/>
      </c>
      <c r="H1028">
        <f>IF(F1028="","",IF(F1028&lt;'02_Eingaben'!$C$18*'02_Eingaben'!$C$10,1,0))</f>
        <v/>
      </c>
      <c r="I1028" s="27">
        <f>IF(OR(G1028="",G1029=""),"",(G1028+G1029)/2*(B1029-B1028))</f>
        <v/>
      </c>
      <c r="J1028" s="27">
        <f>IF(B1028="","",IF(B1027&lt;'02_Eingaben'!$C$36,0,J1027+I1027/'02_Eingaben'!$C$8))</f>
        <v/>
      </c>
    </row>
    <row r="1029">
      <c r="A1029">
        <f>IF('01_Rohdaten'!A1029="","",ROW()-1)</f>
        <v/>
      </c>
      <c r="B1029" s="27">
        <f>IF('01_Rohdaten'!A1029="","",'01_Rohdaten'!A1029)</f>
        <v/>
      </c>
      <c r="C1029" s="27">
        <f>IF(B1029="","",INDEX('01_Rohdaten'!B1029:D1029,'02_Eingaben'!$C$13))</f>
        <v/>
      </c>
      <c r="D1029" s="27">
        <f>IF(C1029="","",C1029*'02_Eingaben'!$C$15)</f>
        <v/>
      </c>
      <c r="E1029" s="27">
        <f>IF(D1029="","",D1029*'02_Eingaben'!$C$8)</f>
        <v/>
      </c>
      <c r="F1029" s="27">
        <f>IF(E1029="","",AVERAGE(INDEX($E$2:$E$3001,MAX(1,ROW()-1-'02_Eingaben'!$C$17)):INDEX($E$2:$E$3001,MIN('02_Eingaben'!$C$21,ROW()-1+'02_Eingaben'!$C$17))))</f>
        <v/>
      </c>
      <c r="G1029" s="27">
        <f>IF(F1029="","",F1029-'02_Eingaben'!$C$10)</f>
        <v/>
      </c>
      <c r="H1029">
        <f>IF(F1029="","",IF(F1029&lt;'02_Eingaben'!$C$18*'02_Eingaben'!$C$10,1,0))</f>
        <v/>
      </c>
      <c r="I1029" s="27">
        <f>IF(OR(G1029="",G1030=""),"",(G1029+G1030)/2*(B1030-B1029))</f>
        <v/>
      </c>
      <c r="J1029" s="27">
        <f>IF(B1029="","",IF(B1028&lt;'02_Eingaben'!$C$36,0,J1028+I1028/'02_Eingaben'!$C$8))</f>
        <v/>
      </c>
    </row>
    <row r="1030">
      <c r="A1030">
        <f>IF('01_Rohdaten'!A1030="","",ROW()-1)</f>
        <v/>
      </c>
      <c r="B1030" s="27">
        <f>IF('01_Rohdaten'!A1030="","",'01_Rohdaten'!A1030)</f>
        <v/>
      </c>
      <c r="C1030" s="27">
        <f>IF(B1030="","",INDEX('01_Rohdaten'!B1030:D1030,'02_Eingaben'!$C$13))</f>
        <v/>
      </c>
      <c r="D1030" s="27">
        <f>IF(C1030="","",C1030*'02_Eingaben'!$C$15)</f>
        <v/>
      </c>
      <c r="E1030" s="27">
        <f>IF(D1030="","",D1030*'02_Eingaben'!$C$8)</f>
        <v/>
      </c>
      <c r="F1030" s="27">
        <f>IF(E1030="","",AVERAGE(INDEX($E$2:$E$3001,MAX(1,ROW()-1-'02_Eingaben'!$C$17)):INDEX($E$2:$E$3001,MIN('02_Eingaben'!$C$21,ROW()-1+'02_Eingaben'!$C$17))))</f>
        <v/>
      </c>
      <c r="G1030" s="27">
        <f>IF(F1030="","",F1030-'02_Eingaben'!$C$10)</f>
        <v/>
      </c>
      <c r="H1030">
        <f>IF(F1030="","",IF(F1030&lt;'02_Eingaben'!$C$18*'02_Eingaben'!$C$10,1,0))</f>
        <v/>
      </c>
      <c r="I1030" s="27">
        <f>IF(OR(G1030="",G1031=""),"",(G1030+G1031)/2*(B1031-B1030))</f>
        <v/>
      </c>
      <c r="J1030" s="27">
        <f>IF(B1030="","",IF(B1029&lt;'02_Eingaben'!$C$36,0,J1029+I1029/'02_Eingaben'!$C$8))</f>
        <v/>
      </c>
    </row>
    <row r="1031">
      <c r="A1031">
        <f>IF('01_Rohdaten'!A1031="","",ROW()-1)</f>
        <v/>
      </c>
      <c r="B1031" s="27">
        <f>IF('01_Rohdaten'!A1031="","",'01_Rohdaten'!A1031)</f>
        <v/>
      </c>
      <c r="C1031" s="27">
        <f>IF(B1031="","",INDEX('01_Rohdaten'!B1031:D1031,'02_Eingaben'!$C$13))</f>
        <v/>
      </c>
      <c r="D1031" s="27">
        <f>IF(C1031="","",C1031*'02_Eingaben'!$C$15)</f>
        <v/>
      </c>
      <c r="E1031" s="27">
        <f>IF(D1031="","",D1031*'02_Eingaben'!$C$8)</f>
        <v/>
      </c>
      <c r="F1031" s="27">
        <f>IF(E1031="","",AVERAGE(INDEX($E$2:$E$3001,MAX(1,ROW()-1-'02_Eingaben'!$C$17)):INDEX($E$2:$E$3001,MIN('02_Eingaben'!$C$21,ROW()-1+'02_Eingaben'!$C$17))))</f>
        <v/>
      </c>
      <c r="G1031" s="27">
        <f>IF(F1031="","",F1031-'02_Eingaben'!$C$10)</f>
        <v/>
      </c>
      <c r="H1031">
        <f>IF(F1031="","",IF(F1031&lt;'02_Eingaben'!$C$18*'02_Eingaben'!$C$10,1,0))</f>
        <v/>
      </c>
      <c r="I1031" s="27">
        <f>IF(OR(G1031="",G1032=""),"",(G1031+G1032)/2*(B1032-B1031))</f>
        <v/>
      </c>
      <c r="J1031" s="27">
        <f>IF(B1031="","",IF(B1030&lt;'02_Eingaben'!$C$36,0,J1030+I1030/'02_Eingaben'!$C$8))</f>
        <v/>
      </c>
    </row>
    <row r="1032">
      <c r="A1032">
        <f>IF('01_Rohdaten'!A1032="","",ROW()-1)</f>
        <v/>
      </c>
      <c r="B1032" s="27">
        <f>IF('01_Rohdaten'!A1032="","",'01_Rohdaten'!A1032)</f>
        <v/>
      </c>
      <c r="C1032" s="27">
        <f>IF(B1032="","",INDEX('01_Rohdaten'!B1032:D1032,'02_Eingaben'!$C$13))</f>
        <v/>
      </c>
      <c r="D1032" s="27">
        <f>IF(C1032="","",C1032*'02_Eingaben'!$C$15)</f>
        <v/>
      </c>
      <c r="E1032" s="27">
        <f>IF(D1032="","",D1032*'02_Eingaben'!$C$8)</f>
        <v/>
      </c>
      <c r="F1032" s="27">
        <f>IF(E1032="","",AVERAGE(INDEX($E$2:$E$3001,MAX(1,ROW()-1-'02_Eingaben'!$C$17)):INDEX($E$2:$E$3001,MIN('02_Eingaben'!$C$21,ROW()-1+'02_Eingaben'!$C$17))))</f>
        <v/>
      </c>
      <c r="G1032" s="27">
        <f>IF(F1032="","",F1032-'02_Eingaben'!$C$10)</f>
        <v/>
      </c>
      <c r="H1032">
        <f>IF(F1032="","",IF(F1032&lt;'02_Eingaben'!$C$18*'02_Eingaben'!$C$10,1,0))</f>
        <v/>
      </c>
      <c r="I1032" s="27">
        <f>IF(OR(G1032="",G1033=""),"",(G1032+G1033)/2*(B1033-B1032))</f>
        <v/>
      </c>
      <c r="J1032" s="27">
        <f>IF(B1032="","",IF(B1031&lt;'02_Eingaben'!$C$36,0,J1031+I1031/'02_Eingaben'!$C$8))</f>
        <v/>
      </c>
    </row>
    <row r="1033">
      <c r="A1033">
        <f>IF('01_Rohdaten'!A1033="","",ROW()-1)</f>
        <v/>
      </c>
      <c r="B1033" s="27">
        <f>IF('01_Rohdaten'!A1033="","",'01_Rohdaten'!A1033)</f>
        <v/>
      </c>
      <c r="C1033" s="27">
        <f>IF(B1033="","",INDEX('01_Rohdaten'!B1033:D1033,'02_Eingaben'!$C$13))</f>
        <v/>
      </c>
      <c r="D1033" s="27">
        <f>IF(C1033="","",C1033*'02_Eingaben'!$C$15)</f>
        <v/>
      </c>
      <c r="E1033" s="27">
        <f>IF(D1033="","",D1033*'02_Eingaben'!$C$8)</f>
        <v/>
      </c>
      <c r="F1033" s="27">
        <f>IF(E1033="","",AVERAGE(INDEX($E$2:$E$3001,MAX(1,ROW()-1-'02_Eingaben'!$C$17)):INDEX($E$2:$E$3001,MIN('02_Eingaben'!$C$21,ROW()-1+'02_Eingaben'!$C$17))))</f>
        <v/>
      </c>
      <c r="G1033" s="27">
        <f>IF(F1033="","",F1033-'02_Eingaben'!$C$10)</f>
        <v/>
      </c>
      <c r="H1033">
        <f>IF(F1033="","",IF(F1033&lt;'02_Eingaben'!$C$18*'02_Eingaben'!$C$10,1,0))</f>
        <v/>
      </c>
      <c r="I1033" s="27">
        <f>IF(OR(G1033="",G1034=""),"",(G1033+G1034)/2*(B1034-B1033))</f>
        <v/>
      </c>
      <c r="J1033" s="27">
        <f>IF(B1033="","",IF(B1032&lt;'02_Eingaben'!$C$36,0,J1032+I1032/'02_Eingaben'!$C$8))</f>
        <v/>
      </c>
    </row>
    <row r="1034">
      <c r="A1034">
        <f>IF('01_Rohdaten'!A1034="","",ROW()-1)</f>
        <v/>
      </c>
      <c r="B1034" s="27">
        <f>IF('01_Rohdaten'!A1034="","",'01_Rohdaten'!A1034)</f>
        <v/>
      </c>
      <c r="C1034" s="27">
        <f>IF(B1034="","",INDEX('01_Rohdaten'!B1034:D1034,'02_Eingaben'!$C$13))</f>
        <v/>
      </c>
      <c r="D1034" s="27">
        <f>IF(C1034="","",C1034*'02_Eingaben'!$C$15)</f>
        <v/>
      </c>
      <c r="E1034" s="27">
        <f>IF(D1034="","",D1034*'02_Eingaben'!$C$8)</f>
        <v/>
      </c>
      <c r="F1034" s="27">
        <f>IF(E1034="","",AVERAGE(INDEX($E$2:$E$3001,MAX(1,ROW()-1-'02_Eingaben'!$C$17)):INDEX($E$2:$E$3001,MIN('02_Eingaben'!$C$21,ROW()-1+'02_Eingaben'!$C$17))))</f>
        <v/>
      </c>
      <c r="G1034" s="27">
        <f>IF(F1034="","",F1034-'02_Eingaben'!$C$10)</f>
        <v/>
      </c>
      <c r="H1034">
        <f>IF(F1034="","",IF(F1034&lt;'02_Eingaben'!$C$18*'02_Eingaben'!$C$10,1,0))</f>
        <v/>
      </c>
      <c r="I1034" s="27">
        <f>IF(OR(G1034="",G1035=""),"",(G1034+G1035)/2*(B1035-B1034))</f>
        <v/>
      </c>
      <c r="J1034" s="27">
        <f>IF(B1034="","",IF(B1033&lt;'02_Eingaben'!$C$36,0,J1033+I1033/'02_Eingaben'!$C$8))</f>
        <v/>
      </c>
    </row>
    <row r="1035">
      <c r="A1035">
        <f>IF('01_Rohdaten'!A1035="","",ROW()-1)</f>
        <v/>
      </c>
      <c r="B1035" s="27">
        <f>IF('01_Rohdaten'!A1035="","",'01_Rohdaten'!A1035)</f>
        <v/>
      </c>
      <c r="C1035" s="27">
        <f>IF(B1035="","",INDEX('01_Rohdaten'!B1035:D1035,'02_Eingaben'!$C$13))</f>
        <v/>
      </c>
      <c r="D1035" s="27">
        <f>IF(C1035="","",C1035*'02_Eingaben'!$C$15)</f>
        <v/>
      </c>
      <c r="E1035" s="27">
        <f>IF(D1035="","",D1035*'02_Eingaben'!$C$8)</f>
        <v/>
      </c>
      <c r="F1035" s="27">
        <f>IF(E1035="","",AVERAGE(INDEX($E$2:$E$3001,MAX(1,ROW()-1-'02_Eingaben'!$C$17)):INDEX($E$2:$E$3001,MIN('02_Eingaben'!$C$21,ROW()-1+'02_Eingaben'!$C$17))))</f>
        <v/>
      </c>
      <c r="G1035" s="27">
        <f>IF(F1035="","",F1035-'02_Eingaben'!$C$10)</f>
        <v/>
      </c>
      <c r="H1035">
        <f>IF(F1035="","",IF(F1035&lt;'02_Eingaben'!$C$18*'02_Eingaben'!$C$10,1,0))</f>
        <v/>
      </c>
      <c r="I1035" s="27">
        <f>IF(OR(G1035="",G1036=""),"",(G1035+G1036)/2*(B1036-B1035))</f>
        <v/>
      </c>
      <c r="J1035" s="27">
        <f>IF(B1035="","",IF(B1034&lt;'02_Eingaben'!$C$36,0,J1034+I1034/'02_Eingaben'!$C$8))</f>
        <v/>
      </c>
    </row>
    <row r="1036">
      <c r="A1036">
        <f>IF('01_Rohdaten'!A1036="","",ROW()-1)</f>
        <v/>
      </c>
      <c r="B1036" s="27">
        <f>IF('01_Rohdaten'!A1036="","",'01_Rohdaten'!A1036)</f>
        <v/>
      </c>
      <c r="C1036" s="27">
        <f>IF(B1036="","",INDEX('01_Rohdaten'!B1036:D1036,'02_Eingaben'!$C$13))</f>
        <v/>
      </c>
      <c r="D1036" s="27">
        <f>IF(C1036="","",C1036*'02_Eingaben'!$C$15)</f>
        <v/>
      </c>
      <c r="E1036" s="27">
        <f>IF(D1036="","",D1036*'02_Eingaben'!$C$8)</f>
        <v/>
      </c>
      <c r="F1036" s="27">
        <f>IF(E1036="","",AVERAGE(INDEX($E$2:$E$3001,MAX(1,ROW()-1-'02_Eingaben'!$C$17)):INDEX($E$2:$E$3001,MIN('02_Eingaben'!$C$21,ROW()-1+'02_Eingaben'!$C$17))))</f>
        <v/>
      </c>
      <c r="G1036" s="27">
        <f>IF(F1036="","",F1036-'02_Eingaben'!$C$10)</f>
        <v/>
      </c>
      <c r="H1036">
        <f>IF(F1036="","",IF(F1036&lt;'02_Eingaben'!$C$18*'02_Eingaben'!$C$10,1,0))</f>
        <v/>
      </c>
      <c r="I1036" s="27">
        <f>IF(OR(G1036="",G1037=""),"",(G1036+G1037)/2*(B1037-B1036))</f>
        <v/>
      </c>
      <c r="J1036" s="27">
        <f>IF(B1036="","",IF(B1035&lt;'02_Eingaben'!$C$36,0,J1035+I1035/'02_Eingaben'!$C$8))</f>
        <v/>
      </c>
    </row>
    <row r="1037">
      <c r="A1037">
        <f>IF('01_Rohdaten'!A1037="","",ROW()-1)</f>
        <v/>
      </c>
      <c r="B1037" s="27">
        <f>IF('01_Rohdaten'!A1037="","",'01_Rohdaten'!A1037)</f>
        <v/>
      </c>
      <c r="C1037" s="27">
        <f>IF(B1037="","",INDEX('01_Rohdaten'!B1037:D1037,'02_Eingaben'!$C$13))</f>
        <v/>
      </c>
      <c r="D1037" s="27">
        <f>IF(C1037="","",C1037*'02_Eingaben'!$C$15)</f>
        <v/>
      </c>
      <c r="E1037" s="27">
        <f>IF(D1037="","",D1037*'02_Eingaben'!$C$8)</f>
        <v/>
      </c>
      <c r="F1037" s="27">
        <f>IF(E1037="","",AVERAGE(INDEX($E$2:$E$3001,MAX(1,ROW()-1-'02_Eingaben'!$C$17)):INDEX($E$2:$E$3001,MIN('02_Eingaben'!$C$21,ROW()-1+'02_Eingaben'!$C$17))))</f>
        <v/>
      </c>
      <c r="G1037" s="27">
        <f>IF(F1037="","",F1037-'02_Eingaben'!$C$10)</f>
        <v/>
      </c>
      <c r="H1037">
        <f>IF(F1037="","",IF(F1037&lt;'02_Eingaben'!$C$18*'02_Eingaben'!$C$10,1,0))</f>
        <v/>
      </c>
      <c r="I1037" s="27">
        <f>IF(OR(G1037="",G1038=""),"",(G1037+G1038)/2*(B1038-B1037))</f>
        <v/>
      </c>
      <c r="J1037" s="27">
        <f>IF(B1037="","",IF(B1036&lt;'02_Eingaben'!$C$36,0,J1036+I1036/'02_Eingaben'!$C$8))</f>
        <v/>
      </c>
    </row>
    <row r="1038">
      <c r="A1038">
        <f>IF('01_Rohdaten'!A1038="","",ROW()-1)</f>
        <v/>
      </c>
      <c r="B1038" s="27">
        <f>IF('01_Rohdaten'!A1038="","",'01_Rohdaten'!A1038)</f>
        <v/>
      </c>
      <c r="C1038" s="27">
        <f>IF(B1038="","",INDEX('01_Rohdaten'!B1038:D1038,'02_Eingaben'!$C$13))</f>
        <v/>
      </c>
      <c r="D1038" s="27">
        <f>IF(C1038="","",C1038*'02_Eingaben'!$C$15)</f>
        <v/>
      </c>
      <c r="E1038" s="27">
        <f>IF(D1038="","",D1038*'02_Eingaben'!$C$8)</f>
        <v/>
      </c>
      <c r="F1038" s="27">
        <f>IF(E1038="","",AVERAGE(INDEX($E$2:$E$3001,MAX(1,ROW()-1-'02_Eingaben'!$C$17)):INDEX($E$2:$E$3001,MIN('02_Eingaben'!$C$21,ROW()-1+'02_Eingaben'!$C$17))))</f>
        <v/>
      </c>
      <c r="G1038" s="27">
        <f>IF(F1038="","",F1038-'02_Eingaben'!$C$10)</f>
        <v/>
      </c>
      <c r="H1038">
        <f>IF(F1038="","",IF(F1038&lt;'02_Eingaben'!$C$18*'02_Eingaben'!$C$10,1,0))</f>
        <v/>
      </c>
      <c r="I1038" s="27">
        <f>IF(OR(G1038="",G1039=""),"",(G1038+G1039)/2*(B1039-B1038))</f>
        <v/>
      </c>
      <c r="J1038" s="27">
        <f>IF(B1038="","",IF(B1037&lt;'02_Eingaben'!$C$36,0,J1037+I1037/'02_Eingaben'!$C$8))</f>
        <v/>
      </c>
    </row>
    <row r="1039">
      <c r="A1039">
        <f>IF('01_Rohdaten'!A1039="","",ROW()-1)</f>
        <v/>
      </c>
      <c r="B1039" s="27">
        <f>IF('01_Rohdaten'!A1039="","",'01_Rohdaten'!A1039)</f>
        <v/>
      </c>
      <c r="C1039" s="27">
        <f>IF(B1039="","",INDEX('01_Rohdaten'!B1039:D1039,'02_Eingaben'!$C$13))</f>
        <v/>
      </c>
      <c r="D1039" s="27">
        <f>IF(C1039="","",C1039*'02_Eingaben'!$C$15)</f>
        <v/>
      </c>
      <c r="E1039" s="27">
        <f>IF(D1039="","",D1039*'02_Eingaben'!$C$8)</f>
        <v/>
      </c>
      <c r="F1039" s="27">
        <f>IF(E1039="","",AVERAGE(INDEX($E$2:$E$3001,MAX(1,ROW()-1-'02_Eingaben'!$C$17)):INDEX($E$2:$E$3001,MIN('02_Eingaben'!$C$21,ROW()-1+'02_Eingaben'!$C$17))))</f>
        <v/>
      </c>
      <c r="G1039" s="27">
        <f>IF(F1039="","",F1039-'02_Eingaben'!$C$10)</f>
        <v/>
      </c>
      <c r="H1039">
        <f>IF(F1039="","",IF(F1039&lt;'02_Eingaben'!$C$18*'02_Eingaben'!$C$10,1,0))</f>
        <v/>
      </c>
      <c r="I1039" s="27">
        <f>IF(OR(G1039="",G1040=""),"",(G1039+G1040)/2*(B1040-B1039))</f>
        <v/>
      </c>
      <c r="J1039" s="27">
        <f>IF(B1039="","",IF(B1038&lt;'02_Eingaben'!$C$36,0,J1038+I1038/'02_Eingaben'!$C$8))</f>
        <v/>
      </c>
    </row>
    <row r="1040">
      <c r="A1040">
        <f>IF('01_Rohdaten'!A1040="","",ROW()-1)</f>
        <v/>
      </c>
      <c r="B1040" s="27">
        <f>IF('01_Rohdaten'!A1040="","",'01_Rohdaten'!A1040)</f>
        <v/>
      </c>
      <c r="C1040" s="27">
        <f>IF(B1040="","",INDEX('01_Rohdaten'!B1040:D1040,'02_Eingaben'!$C$13))</f>
        <v/>
      </c>
      <c r="D1040" s="27">
        <f>IF(C1040="","",C1040*'02_Eingaben'!$C$15)</f>
        <v/>
      </c>
      <c r="E1040" s="27">
        <f>IF(D1040="","",D1040*'02_Eingaben'!$C$8)</f>
        <v/>
      </c>
      <c r="F1040" s="27">
        <f>IF(E1040="","",AVERAGE(INDEX($E$2:$E$3001,MAX(1,ROW()-1-'02_Eingaben'!$C$17)):INDEX($E$2:$E$3001,MIN('02_Eingaben'!$C$21,ROW()-1+'02_Eingaben'!$C$17))))</f>
        <v/>
      </c>
      <c r="G1040" s="27">
        <f>IF(F1040="","",F1040-'02_Eingaben'!$C$10)</f>
        <v/>
      </c>
      <c r="H1040">
        <f>IF(F1040="","",IF(F1040&lt;'02_Eingaben'!$C$18*'02_Eingaben'!$C$10,1,0))</f>
        <v/>
      </c>
      <c r="I1040" s="27">
        <f>IF(OR(G1040="",G1041=""),"",(G1040+G1041)/2*(B1041-B1040))</f>
        <v/>
      </c>
      <c r="J1040" s="27">
        <f>IF(B1040="","",IF(B1039&lt;'02_Eingaben'!$C$36,0,J1039+I1039/'02_Eingaben'!$C$8))</f>
        <v/>
      </c>
    </row>
    <row r="1041">
      <c r="A1041">
        <f>IF('01_Rohdaten'!A1041="","",ROW()-1)</f>
        <v/>
      </c>
      <c r="B1041" s="27">
        <f>IF('01_Rohdaten'!A1041="","",'01_Rohdaten'!A1041)</f>
        <v/>
      </c>
      <c r="C1041" s="27">
        <f>IF(B1041="","",INDEX('01_Rohdaten'!B1041:D1041,'02_Eingaben'!$C$13))</f>
        <v/>
      </c>
      <c r="D1041" s="27">
        <f>IF(C1041="","",C1041*'02_Eingaben'!$C$15)</f>
        <v/>
      </c>
      <c r="E1041" s="27">
        <f>IF(D1041="","",D1041*'02_Eingaben'!$C$8)</f>
        <v/>
      </c>
      <c r="F1041" s="27">
        <f>IF(E1041="","",AVERAGE(INDEX($E$2:$E$3001,MAX(1,ROW()-1-'02_Eingaben'!$C$17)):INDEX($E$2:$E$3001,MIN('02_Eingaben'!$C$21,ROW()-1+'02_Eingaben'!$C$17))))</f>
        <v/>
      </c>
      <c r="G1041" s="27">
        <f>IF(F1041="","",F1041-'02_Eingaben'!$C$10)</f>
        <v/>
      </c>
      <c r="H1041">
        <f>IF(F1041="","",IF(F1041&lt;'02_Eingaben'!$C$18*'02_Eingaben'!$C$10,1,0))</f>
        <v/>
      </c>
      <c r="I1041" s="27">
        <f>IF(OR(G1041="",G1042=""),"",(G1041+G1042)/2*(B1042-B1041))</f>
        <v/>
      </c>
      <c r="J1041" s="27">
        <f>IF(B1041="","",IF(B1040&lt;'02_Eingaben'!$C$36,0,J1040+I1040/'02_Eingaben'!$C$8))</f>
        <v/>
      </c>
    </row>
    <row r="1042">
      <c r="A1042">
        <f>IF('01_Rohdaten'!A1042="","",ROW()-1)</f>
        <v/>
      </c>
      <c r="B1042" s="27">
        <f>IF('01_Rohdaten'!A1042="","",'01_Rohdaten'!A1042)</f>
        <v/>
      </c>
      <c r="C1042" s="27">
        <f>IF(B1042="","",INDEX('01_Rohdaten'!B1042:D1042,'02_Eingaben'!$C$13))</f>
        <v/>
      </c>
      <c r="D1042" s="27">
        <f>IF(C1042="","",C1042*'02_Eingaben'!$C$15)</f>
        <v/>
      </c>
      <c r="E1042" s="27">
        <f>IF(D1042="","",D1042*'02_Eingaben'!$C$8)</f>
        <v/>
      </c>
      <c r="F1042" s="27">
        <f>IF(E1042="","",AVERAGE(INDEX($E$2:$E$3001,MAX(1,ROW()-1-'02_Eingaben'!$C$17)):INDEX($E$2:$E$3001,MIN('02_Eingaben'!$C$21,ROW()-1+'02_Eingaben'!$C$17))))</f>
        <v/>
      </c>
      <c r="G1042" s="27">
        <f>IF(F1042="","",F1042-'02_Eingaben'!$C$10)</f>
        <v/>
      </c>
      <c r="H1042">
        <f>IF(F1042="","",IF(F1042&lt;'02_Eingaben'!$C$18*'02_Eingaben'!$C$10,1,0))</f>
        <v/>
      </c>
      <c r="I1042" s="27">
        <f>IF(OR(G1042="",G1043=""),"",(G1042+G1043)/2*(B1043-B1042))</f>
        <v/>
      </c>
      <c r="J1042" s="27">
        <f>IF(B1042="","",IF(B1041&lt;'02_Eingaben'!$C$36,0,J1041+I1041/'02_Eingaben'!$C$8))</f>
        <v/>
      </c>
    </row>
    <row r="1043">
      <c r="A1043">
        <f>IF('01_Rohdaten'!A1043="","",ROW()-1)</f>
        <v/>
      </c>
      <c r="B1043" s="27">
        <f>IF('01_Rohdaten'!A1043="","",'01_Rohdaten'!A1043)</f>
        <v/>
      </c>
      <c r="C1043" s="27">
        <f>IF(B1043="","",INDEX('01_Rohdaten'!B1043:D1043,'02_Eingaben'!$C$13))</f>
        <v/>
      </c>
      <c r="D1043" s="27">
        <f>IF(C1043="","",C1043*'02_Eingaben'!$C$15)</f>
        <v/>
      </c>
      <c r="E1043" s="27">
        <f>IF(D1043="","",D1043*'02_Eingaben'!$C$8)</f>
        <v/>
      </c>
      <c r="F1043" s="27">
        <f>IF(E1043="","",AVERAGE(INDEX($E$2:$E$3001,MAX(1,ROW()-1-'02_Eingaben'!$C$17)):INDEX($E$2:$E$3001,MIN('02_Eingaben'!$C$21,ROW()-1+'02_Eingaben'!$C$17))))</f>
        <v/>
      </c>
      <c r="G1043" s="27">
        <f>IF(F1043="","",F1043-'02_Eingaben'!$C$10)</f>
        <v/>
      </c>
      <c r="H1043">
        <f>IF(F1043="","",IF(F1043&lt;'02_Eingaben'!$C$18*'02_Eingaben'!$C$10,1,0))</f>
        <v/>
      </c>
      <c r="I1043" s="27">
        <f>IF(OR(G1043="",G1044=""),"",(G1043+G1044)/2*(B1044-B1043))</f>
        <v/>
      </c>
      <c r="J1043" s="27">
        <f>IF(B1043="","",IF(B1042&lt;'02_Eingaben'!$C$36,0,J1042+I1042/'02_Eingaben'!$C$8))</f>
        <v/>
      </c>
    </row>
    <row r="1044">
      <c r="A1044">
        <f>IF('01_Rohdaten'!A1044="","",ROW()-1)</f>
        <v/>
      </c>
      <c r="B1044" s="27">
        <f>IF('01_Rohdaten'!A1044="","",'01_Rohdaten'!A1044)</f>
        <v/>
      </c>
      <c r="C1044" s="27">
        <f>IF(B1044="","",INDEX('01_Rohdaten'!B1044:D1044,'02_Eingaben'!$C$13))</f>
        <v/>
      </c>
      <c r="D1044" s="27">
        <f>IF(C1044="","",C1044*'02_Eingaben'!$C$15)</f>
        <v/>
      </c>
      <c r="E1044" s="27">
        <f>IF(D1044="","",D1044*'02_Eingaben'!$C$8)</f>
        <v/>
      </c>
      <c r="F1044" s="27">
        <f>IF(E1044="","",AVERAGE(INDEX($E$2:$E$3001,MAX(1,ROW()-1-'02_Eingaben'!$C$17)):INDEX($E$2:$E$3001,MIN('02_Eingaben'!$C$21,ROW()-1+'02_Eingaben'!$C$17))))</f>
        <v/>
      </c>
      <c r="G1044" s="27">
        <f>IF(F1044="","",F1044-'02_Eingaben'!$C$10)</f>
        <v/>
      </c>
      <c r="H1044">
        <f>IF(F1044="","",IF(F1044&lt;'02_Eingaben'!$C$18*'02_Eingaben'!$C$10,1,0))</f>
        <v/>
      </c>
      <c r="I1044" s="27">
        <f>IF(OR(G1044="",G1045=""),"",(G1044+G1045)/2*(B1045-B1044))</f>
        <v/>
      </c>
      <c r="J1044" s="27">
        <f>IF(B1044="","",IF(B1043&lt;'02_Eingaben'!$C$36,0,J1043+I1043/'02_Eingaben'!$C$8))</f>
        <v/>
      </c>
    </row>
    <row r="1045">
      <c r="A1045">
        <f>IF('01_Rohdaten'!A1045="","",ROW()-1)</f>
        <v/>
      </c>
      <c r="B1045" s="27">
        <f>IF('01_Rohdaten'!A1045="","",'01_Rohdaten'!A1045)</f>
        <v/>
      </c>
      <c r="C1045" s="27">
        <f>IF(B1045="","",INDEX('01_Rohdaten'!B1045:D1045,'02_Eingaben'!$C$13))</f>
        <v/>
      </c>
      <c r="D1045" s="27">
        <f>IF(C1045="","",C1045*'02_Eingaben'!$C$15)</f>
        <v/>
      </c>
      <c r="E1045" s="27">
        <f>IF(D1045="","",D1045*'02_Eingaben'!$C$8)</f>
        <v/>
      </c>
      <c r="F1045" s="27">
        <f>IF(E1045="","",AVERAGE(INDEX($E$2:$E$3001,MAX(1,ROW()-1-'02_Eingaben'!$C$17)):INDEX($E$2:$E$3001,MIN('02_Eingaben'!$C$21,ROW()-1+'02_Eingaben'!$C$17))))</f>
        <v/>
      </c>
      <c r="G1045" s="27">
        <f>IF(F1045="","",F1045-'02_Eingaben'!$C$10)</f>
        <v/>
      </c>
      <c r="H1045">
        <f>IF(F1045="","",IF(F1045&lt;'02_Eingaben'!$C$18*'02_Eingaben'!$C$10,1,0))</f>
        <v/>
      </c>
      <c r="I1045" s="27">
        <f>IF(OR(G1045="",G1046=""),"",(G1045+G1046)/2*(B1046-B1045))</f>
        <v/>
      </c>
      <c r="J1045" s="27">
        <f>IF(B1045="","",IF(B1044&lt;'02_Eingaben'!$C$36,0,J1044+I1044/'02_Eingaben'!$C$8))</f>
        <v/>
      </c>
    </row>
    <row r="1046">
      <c r="A1046">
        <f>IF('01_Rohdaten'!A1046="","",ROW()-1)</f>
        <v/>
      </c>
      <c r="B1046" s="27">
        <f>IF('01_Rohdaten'!A1046="","",'01_Rohdaten'!A1046)</f>
        <v/>
      </c>
      <c r="C1046" s="27">
        <f>IF(B1046="","",INDEX('01_Rohdaten'!B1046:D1046,'02_Eingaben'!$C$13))</f>
        <v/>
      </c>
      <c r="D1046" s="27">
        <f>IF(C1046="","",C1046*'02_Eingaben'!$C$15)</f>
        <v/>
      </c>
      <c r="E1046" s="27">
        <f>IF(D1046="","",D1046*'02_Eingaben'!$C$8)</f>
        <v/>
      </c>
      <c r="F1046" s="27">
        <f>IF(E1046="","",AVERAGE(INDEX($E$2:$E$3001,MAX(1,ROW()-1-'02_Eingaben'!$C$17)):INDEX($E$2:$E$3001,MIN('02_Eingaben'!$C$21,ROW()-1+'02_Eingaben'!$C$17))))</f>
        <v/>
      </c>
      <c r="G1046" s="27">
        <f>IF(F1046="","",F1046-'02_Eingaben'!$C$10)</f>
        <v/>
      </c>
      <c r="H1046">
        <f>IF(F1046="","",IF(F1046&lt;'02_Eingaben'!$C$18*'02_Eingaben'!$C$10,1,0))</f>
        <v/>
      </c>
      <c r="I1046" s="27">
        <f>IF(OR(G1046="",G1047=""),"",(G1046+G1047)/2*(B1047-B1046))</f>
        <v/>
      </c>
      <c r="J1046" s="27">
        <f>IF(B1046="","",IF(B1045&lt;'02_Eingaben'!$C$36,0,J1045+I1045/'02_Eingaben'!$C$8))</f>
        <v/>
      </c>
    </row>
    <row r="1047">
      <c r="A1047">
        <f>IF('01_Rohdaten'!A1047="","",ROW()-1)</f>
        <v/>
      </c>
      <c r="B1047" s="27">
        <f>IF('01_Rohdaten'!A1047="","",'01_Rohdaten'!A1047)</f>
        <v/>
      </c>
      <c r="C1047" s="27">
        <f>IF(B1047="","",INDEX('01_Rohdaten'!B1047:D1047,'02_Eingaben'!$C$13))</f>
        <v/>
      </c>
      <c r="D1047" s="27">
        <f>IF(C1047="","",C1047*'02_Eingaben'!$C$15)</f>
        <v/>
      </c>
      <c r="E1047" s="27">
        <f>IF(D1047="","",D1047*'02_Eingaben'!$C$8)</f>
        <v/>
      </c>
      <c r="F1047" s="27">
        <f>IF(E1047="","",AVERAGE(INDEX($E$2:$E$3001,MAX(1,ROW()-1-'02_Eingaben'!$C$17)):INDEX($E$2:$E$3001,MIN('02_Eingaben'!$C$21,ROW()-1+'02_Eingaben'!$C$17))))</f>
        <v/>
      </c>
      <c r="G1047" s="27">
        <f>IF(F1047="","",F1047-'02_Eingaben'!$C$10)</f>
        <v/>
      </c>
      <c r="H1047">
        <f>IF(F1047="","",IF(F1047&lt;'02_Eingaben'!$C$18*'02_Eingaben'!$C$10,1,0))</f>
        <v/>
      </c>
      <c r="I1047" s="27">
        <f>IF(OR(G1047="",G1048=""),"",(G1047+G1048)/2*(B1048-B1047))</f>
        <v/>
      </c>
      <c r="J1047" s="27">
        <f>IF(B1047="","",IF(B1046&lt;'02_Eingaben'!$C$36,0,J1046+I1046/'02_Eingaben'!$C$8))</f>
        <v/>
      </c>
    </row>
    <row r="1048">
      <c r="A1048">
        <f>IF('01_Rohdaten'!A1048="","",ROW()-1)</f>
        <v/>
      </c>
      <c r="B1048" s="27">
        <f>IF('01_Rohdaten'!A1048="","",'01_Rohdaten'!A1048)</f>
        <v/>
      </c>
      <c r="C1048" s="27">
        <f>IF(B1048="","",INDEX('01_Rohdaten'!B1048:D1048,'02_Eingaben'!$C$13))</f>
        <v/>
      </c>
      <c r="D1048" s="27">
        <f>IF(C1048="","",C1048*'02_Eingaben'!$C$15)</f>
        <v/>
      </c>
      <c r="E1048" s="27">
        <f>IF(D1048="","",D1048*'02_Eingaben'!$C$8)</f>
        <v/>
      </c>
      <c r="F1048" s="27">
        <f>IF(E1048="","",AVERAGE(INDEX($E$2:$E$3001,MAX(1,ROW()-1-'02_Eingaben'!$C$17)):INDEX($E$2:$E$3001,MIN('02_Eingaben'!$C$21,ROW()-1+'02_Eingaben'!$C$17))))</f>
        <v/>
      </c>
      <c r="G1048" s="27">
        <f>IF(F1048="","",F1048-'02_Eingaben'!$C$10)</f>
        <v/>
      </c>
      <c r="H1048">
        <f>IF(F1048="","",IF(F1048&lt;'02_Eingaben'!$C$18*'02_Eingaben'!$C$10,1,0))</f>
        <v/>
      </c>
      <c r="I1048" s="27">
        <f>IF(OR(G1048="",G1049=""),"",(G1048+G1049)/2*(B1049-B1048))</f>
        <v/>
      </c>
      <c r="J1048" s="27">
        <f>IF(B1048="","",IF(B1047&lt;'02_Eingaben'!$C$36,0,J1047+I1047/'02_Eingaben'!$C$8))</f>
        <v/>
      </c>
    </row>
    <row r="1049">
      <c r="A1049">
        <f>IF('01_Rohdaten'!A1049="","",ROW()-1)</f>
        <v/>
      </c>
      <c r="B1049" s="27">
        <f>IF('01_Rohdaten'!A1049="","",'01_Rohdaten'!A1049)</f>
        <v/>
      </c>
      <c r="C1049" s="27">
        <f>IF(B1049="","",INDEX('01_Rohdaten'!B1049:D1049,'02_Eingaben'!$C$13))</f>
        <v/>
      </c>
      <c r="D1049" s="27">
        <f>IF(C1049="","",C1049*'02_Eingaben'!$C$15)</f>
        <v/>
      </c>
      <c r="E1049" s="27">
        <f>IF(D1049="","",D1049*'02_Eingaben'!$C$8)</f>
        <v/>
      </c>
      <c r="F1049" s="27">
        <f>IF(E1049="","",AVERAGE(INDEX($E$2:$E$3001,MAX(1,ROW()-1-'02_Eingaben'!$C$17)):INDEX($E$2:$E$3001,MIN('02_Eingaben'!$C$21,ROW()-1+'02_Eingaben'!$C$17))))</f>
        <v/>
      </c>
      <c r="G1049" s="27">
        <f>IF(F1049="","",F1049-'02_Eingaben'!$C$10)</f>
        <v/>
      </c>
      <c r="H1049">
        <f>IF(F1049="","",IF(F1049&lt;'02_Eingaben'!$C$18*'02_Eingaben'!$C$10,1,0))</f>
        <v/>
      </c>
      <c r="I1049" s="27">
        <f>IF(OR(G1049="",G1050=""),"",(G1049+G1050)/2*(B1050-B1049))</f>
        <v/>
      </c>
      <c r="J1049" s="27">
        <f>IF(B1049="","",IF(B1048&lt;'02_Eingaben'!$C$36,0,J1048+I1048/'02_Eingaben'!$C$8))</f>
        <v/>
      </c>
    </row>
    <row r="1050">
      <c r="A1050">
        <f>IF('01_Rohdaten'!A1050="","",ROW()-1)</f>
        <v/>
      </c>
      <c r="B1050" s="27">
        <f>IF('01_Rohdaten'!A1050="","",'01_Rohdaten'!A1050)</f>
        <v/>
      </c>
      <c r="C1050" s="27">
        <f>IF(B1050="","",INDEX('01_Rohdaten'!B1050:D1050,'02_Eingaben'!$C$13))</f>
        <v/>
      </c>
      <c r="D1050" s="27">
        <f>IF(C1050="","",C1050*'02_Eingaben'!$C$15)</f>
        <v/>
      </c>
      <c r="E1050" s="27">
        <f>IF(D1050="","",D1050*'02_Eingaben'!$C$8)</f>
        <v/>
      </c>
      <c r="F1050" s="27">
        <f>IF(E1050="","",AVERAGE(INDEX($E$2:$E$3001,MAX(1,ROW()-1-'02_Eingaben'!$C$17)):INDEX($E$2:$E$3001,MIN('02_Eingaben'!$C$21,ROW()-1+'02_Eingaben'!$C$17))))</f>
        <v/>
      </c>
      <c r="G1050" s="27">
        <f>IF(F1050="","",F1050-'02_Eingaben'!$C$10)</f>
        <v/>
      </c>
      <c r="H1050">
        <f>IF(F1050="","",IF(F1050&lt;'02_Eingaben'!$C$18*'02_Eingaben'!$C$10,1,0))</f>
        <v/>
      </c>
      <c r="I1050" s="27">
        <f>IF(OR(G1050="",G1051=""),"",(G1050+G1051)/2*(B1051-B1050))</f>
        <v/>
      </c>
      <c r="J1050" s="27">
        <f>IF(B1050="","",IF(B1049&lt;'02_Eingaben'!$C$36,0,J1049+I1049/'02_Eingaben'!$C$8))</f>
        <v/>
      </c>
    </row>
    <row r="1051">
      <c r="A1051">
        <f>IF('01_Rohdaten'!A1051="","",ROW()-1)</f>
        <v/>
      </c>
      <c r="B1051" s="27">
        <f>IF('01_Rohdaten'!A1051="","",'01_Rohdaten'!A1051)</f>
        <v/>
      </c>
      <c r="C1051" s="27">
        <f>IF(B1051="","",INDEX('01_Rohdaten'!B1051:D1051,'02_Eingaben'!$C$13))</f>
        <v/>
      </c>
      <c r="D1051" s="27">
        <f>IF(C1051="","",C1051*'02_Eingaben'!$C$15)</f>
        <v/>
      </c>
      <c r="E1051" s="27">
        <f>IF(D1051="","",D1051*'02_Eingaben'!$C$8)</f>
        <v/>
      </c>
      <c r="F1051" s="27">
        <f>IF(E1051="","",AVERAGE(INDEX($E$2:$E$3001,MAX(1,ROW()-1-'02_Eingaben'!$C$17)):INDEX($E$2:$E$3001,MIN('02_Eingaben'!$C$21,ROW()-1+'02_Eingaben'!$C$17))))</f>
        <v/>
      </c>
      <c r="G1051" s="27">
        <f>IF(F1051="","",F1051-'02_Eingaben'!$C$10)</f>
        <v/>
      </c>
      <c r="H1051">
        <f>IF(F1051="","",IF(F1051&lt;'02_Eingaben'!$C$18*'02_Eingaben'!$C$10,1,0))</f>
        <v/>
      </c>
      <c r="I1051" s="27">
        <f>IF(OR(G1051="",G1052=""),"",(G1051+G1052)/2*(B1052-B1051))</f>
        <v/>
      </c>
      <c r="J1051" s="27">
        <f>IF(B1051="","",IF(B1050&lt;'02_Eingaben'!$C$36,0,J1050+I1050/'02_Eingaben'!$C$8))</f>
        <v/>
      </c>
    </row>
    <row r="1052">
      <c r="A1052">
        <f>IF('01_Rohdaten'!A1052="","",ROW()-1)</f>
        <v/>
      </c>
      <c r="B1052" s="27">
        <f>IF('01_Rohdaten'!A1052="","",'01_Rohdaten'!A1052)</f>
        <v/>
      </c>
      <c r="C1052" s="27">
        <f>IF(B1052="","",INDEX('01_Rohdaten'!B1052:D1052,'02_Eingaben'!$C$13))</f>
        <v/>
      </c>
      <c r="D1052" s="27">
        <f>IF(C1052="","",C1052*'02_Eingaben'!$C$15)</f>
        <v/>
      </c>
      <c r="E1052" s="27">
        <f>IF(D1052="","",D1052*'02_Eingaben'!$C$8)</f>
        <v/>
      </c>
      <c r="F1052" s="27">
        <f>IF(E1052="","",AVERAGE(INDEX($E$2:$E$3001,MAX(1,ROW()-1-'02_Eingaben'!$C$17)):INDEX($E$2:$E$3001,MIN('02_Eingaben'!$C$21,ROW()-1+'02_Eingaben'!$C$17))))</f>
        <v/>
      </c>
      <c r="G1052" s="27">
        <f>IF(F1052="","",F1052-'02_Eingaben'!$C$10)</f>
        <v/>
      </c>
      <c r="H1052">
        <f>IF(F1052="","",IF(F1052&lt;'02_Eingaben'!$C$18*'02_Eingaben'!$C$10,1,0))</f>
        <v/>
      </c>
      <c r="I1052" s="27">
        <f>IF(OR(G1052="",G1053=""),"",(G1052+G1053)/2*(B1053-B1052))</f>
        <v/>
      </c>
      <c r="J1052" s="27">
        <f>IF(B1052="","",IF(B1051&lt;'02_Eingaben'!$C$36,0,J1051+I1051/'02_Eingaben'!$C$8))</f>
        <v/>
      </c>
    </row>
    <row r="1053">
      <c r="A1053">
        <f>IF('01_Rohdaten'!A1053="","",ROW()-1)</f>
        <v/>
      </c>
      <c r="B1053" s="27">
        <f>IF('01_Rohdaten'!A1053="","",'01_Rohdaten'!A1053)</f>
        <v/>
      </c>
      <c r="C1053" s="27">
        <f>IF(B1053="","",INDEX('01_Rohdaten'!B1053:D1053,'02_Eingaben'!$C$13))</f>
        <v/>
      </c>
      <c r="D1053" s="27">
        <f>IF(C1053="","",C1053*'02_Eingaben'!$C$15)</f>
        <v/>
      </c>
      <c r="E1053" s="27">
        <f>IF(D1053="","",D1053*'02_Eingaben'!$C$8)</f>
        <v/>
      </c>
      <c r="F1053" s="27">
        <f>IF(E1053="","",AVERAGE(INDEX($E$2:$E$3001,MAX(1,ROW()-1-'02_Eingaben'!$C$17)):INDEX($E$2:$E$3001,MIN('02_Eingaben'!$C$21,ROW()-1+'02_Eingaben'!$C$17))))</f>
        <v/>
      </c>
      <c r="G1053" s="27">
        <f>IF(F1053="","",F1053-'02_Eingaben'!$C$10)</f>
        <v/>
      </c>
      <c r="H1053">
        <f>IF(F1053="","",IF(F1053&lt;'02_Eingaben'!$C$18*'02_Eingaben'!$C$10,1,0))</f>
        <v/>
      </c>
      <c r="I1053" s="27">
        <f>IF(OR(G1053="",G1054=""),"",(G1053+G1054)/2*(B1054-B1053))</f>
        <v/>
      </c>
      <c r="J1053" s="27">
        <f>IF(B1053="","",IF(B1052&lt;'02_Eingaben'!$C$36,0,J1052+I1052/'02_Eingaben'!$C$8))</f>
        <v/>
      </c>
    </row>
    <row r="1054">
      <c r="A1054">
        <f>IF('01_Rohdaten'!A1054="","",ROW()-1)</f>
        <v/>
      </c>
      <c r="B1054" s="27">
        <f>IF('01_Rohdaten'!A1054="","",'01_Rohdaten'!A1054)</f>
        <v/>
      </c>
      <c r="C1054" s="27">
        <f>IF(B1054="","",INDEX('01_Rohdaten'!B1054:D1054,'02_Eingaben'!$C$13))</f>
        <v/>
      </c>
      <c r="D1054" s="27">
        <f>IF(C1054="","",C1054*'02_Eingaben'!$C$15)</f>
        <v/>
      </c>
      <c r="E1054" s="27">
        <f>IF(D1054="","",D1054*'02_Eingaben'!$C$8)</f>
        <v/>
      </c>
      <c r="F1054" s="27">
        <f>IF(E1054="","",AVERAGE(INDEX($E$2:$E$3001,MAX(1,ROW()-1-'02_Eingaben'!$C$17)):INDEX($E$2:$E$3001,MIN('02_Eingaben'!$C$21,ROW()-1+'02_Eingaben'!$C$17))))</f>
        <v/>
      </c>
      <c r="G1054" s="27">
        <f>IF(F1054="","",F1054-'02_Eingaben'!$C$10)</f>
        <v/>
      </c>
      <c r="H1054">
        <f>IF(F1054="","",IF(F1054&lt;'02_Eingaben'!$C$18*'02_Eingaben'!$C$10,1,0))</f>
        <v/>
      </c>
      <c r="I1054" s="27">
        <f>IF(OR(G1054="",G1055=""),"",(G1054+G1055)/2*(B1055-B1054))</f>
        <v/>
      </c>
      <c r="J1054" s="27">
        <f>IF(B1054="","",IF(B1053&lt;'02_Eingaben'!$C$36,0,J1053+I1053/'02_Eingaben'!$C$8))</f>
        <v/>
      </c>
    </row>
    <row r="1055">
      <c r="A1055">
        <f>IF('01_Rohdaten'!A1055="","",ROW()-1)</f>
        <v/>
      </c>
      <c r="B1055" s="27">
        <f>IF('01_Rohdaten'!A1055="","",'01_Rohdaten'!A1055)</f>
        <v/>
      </c>
      <c r="C1055" s="27">
        <f>IF(B1055="","",INDEX('01_Rohdaten'!B1055:D1055,'02_Eingaben'!$C$13))</f>
        <v/>
      </c>
      <c r="D1055" s="27">
        <f>IF(C1055="","",C1055*'02_Eingaben'!$C$15)</f>
        <v/>
      </c>
      <c r="E1055" s="27">
        <f>IF(D1055="","",D1055*'02_Eingaben'!$C$8)</f>
        <v/>
      </c>
      <c r="F1055" s="27">
        <f>IF(E1055="","",AVERAGE(INDEX($E$2:$E$3001,MAX(1,ROW()-1-'02_Eingaben'!$C$17)):INDEX($E$2:$E$3001,MIN('02_Eingaben'!$C$21,ROW()-1+'02_Eingaben'!$C$17))))</f>
        <v/>
      </c>
      <c r="G1055" s="27">
        <f>IF(F1055="","",F1055-'02_Eingaben'!$C$10)</f>
        <v/>
      </c>
      <c r="H1055">
        <f>IF(F1055="","",IF(F1055&lt;'02_Eingaben'!$C$18*'02_Eingaben'!$C$10,1,0))</f>
        <v/>
      </c>
      <c r="I1055" s="27">
        <f>IF(OR(G1055="",G1056=""),"",(G1055+G1056)/2*(B1056-B1055))</f>
        <v/>
      </c>
      <c r="J1055" s="27">
        <f>IF(B1055="","",IF(B1054&lt;'02_Eingaben'!$C$36,0,J1054+I1054/'02_Eingaben'!$C$8))</f>
        <v/>
      </c>
    </row>
    <row r="1056">
      <c r="A1056">
        <f>IF('01_Rohdaten'!A1056="","",ROW()-1)</f>
        <v/>
      </c>
      <c r="B1056" s="27">
        <f>IF('01_Rohdaten'!A1056="","",'01_Rohdaten'!A1056)</f>
        <v/>
      </c>
      <c r="C1056" s="27">
        <f>IF(B1056="","",INDEX('01_Rohdaten'!B1056:D1056,'02_Eingaben'!$C$13))</f>
        <v/>
      </c>
      <c r="D1056" s="27">
        <f>IF(C1056="","",C1056*'02_Eingaben'!$C$15)</f>
        <v/>
      </c>
      <c r="E1056" s="27">
        <f>IF(D1056="","",D1056*'02_Eingaben'!$C$8)</f>
        <v/>
      </c>
      <c r="F1056" s="27">
        <f>IF(E1056="","",AVERAGE(INDEX($E$2:$E$3001,MAX(1,ROW()-1-'02_Eingaben'!$C$17)):INDEX($E$2:$E$3001,MIN('02_Eingaben'!$C$21,ROW()-1+'02_Eingaben'!$C$17))))</f>
        <v/>
      </c>
      <c r="G1056" s="27">
        <f>IF(F1056="","",F1056-'02_Eingaben'!$C$10)</f>
        <v/>
      </c>
      <c r="H1056">
        <f>IF(F1056="","",IF(F1056&lt;'02_Eingaben'!$C$18*'02_Eingaben'!$C$10,1,0))</f>
        <v/>
      </c>
      <c r="I1056" s="27">
        <f>IF(OR(G1056="",G1057=""),"",(G1056+G1057)/2*(B1057-B1056))</f>
        <v/>
      </c>
      <c r="J1056" s="27">
        <f>IF(B1056="","",IF(B1055&lt;'02_Eingaben'!$C$36,0,J1055+I1055/'02_Eingaben'!$C$8))</f>
        <v/>
      </c>
    </row>
    <row r="1057">
      <c r="A1057">
        <f>IF('01_Rohdaten'!A1057="","",ROW()-1)</f>
        <v/>
      </c>
      <c r="B1057" s="27">
        <f>IF('01_Rohdaten'!A1057="","",'01_Rohdaten'!A1057)</f>
        <v/>
      </c>
      <c r="C1057" s="27">
        <f>IF(B1057="","",INDEX('01_Rohdaten'!B1057:D1057,'02_Eingaben'!$C$13))</f>
        <v/>
      </c>
      <c r="D1057" s="27">
        <f>IF(C1057="","",C1057*'02_Eingaben'!$C$15)</f>
        <v/>
      </c>
      <c r="E1057" s="27">
        <f>IF(D1057="","",D1057*'02_Eingaben'!$C$8)</f>
        <v/>
      </c>
      <c r="F1057" s="27">
        <f>IF(E1057="","",AVERAGE(INDEX($E$2:$E$3001,MAX(1,ROW()-1-'02_Eingaben'!$C$17)):INDEX($E$2:$E$3001,MIN('02_Eingaben'!$C$21,ROW()-1+'02_Eingaben'!$C$17))))</f>
        <v/>
      </c>
      <c r="G1057" s="27">
        <f>IF(F1057="","",F1057-'02_Eingaben'!$C$10)</f>
        <v/>
      </c>
      <c r="H1057">
        <f>IF(F1057="","",IF(F1057&lt;'02_Eingaben'!$C$18*'02_Eingaben'!$C$10,1,0))</f>
        <v/>
      </c>
      <c r="I1057" s="27">
        <f>IF(OR(G1057="",G1058=""),"",(G1057+G1058)/2*(B1058-B1057))</f>
        <v/>
      </c>
      <c r="J1057" s="27">
        <f>IF(B1057="","",IF(B1056&lt;'02_Eingaben'!$C$36,0,J1056+I1056/'02_Eingaben'!$C$8))</f>
        <v/>
      </c>
    </row>
    <row r="1058">
      <c r="A1058">
        <f>IF('01_Rohdaten'!A1058="","",ROW()-1)</f>
        <v/>
      </c>
      <c r="B1058" s="27">
        <f>IF('01_Rohdaten'!A1058="","",'01_Rohdaten'!A1058)</f>
        <v/>
      </c>
      <c r="C1058" s="27">
        <f>IF(B1058="","",INDEX('01_Rohdaten'!B1058:D1058,'02_Eingaben'!$C$13))</f>
        <v/>
      </c>
      <c r="D1058" s="27">
        <f>IF(C1058="","",C1058*'02_Eingaben'!$C$15)</f>
        <v/>
      </c>
      <c r="E1058" s="27">
        <f>IF(D1058="","",D1058*'02_Eingaben'!$C$8)</f>
        <v/>
      </c>
      <c r="F1058" s="27">
        <f>IF(E1058="","",AVERAGE(INDEX($E$2:$E$3001,MAX(1,ROW()-1-'02_Eingaben'!$C$17)):INDEX($E$2:$E$3001,MIN('02_Eingaben'!$C$21,ROW()-1+'02_Eingaben'!$C$17))))</f>
        <v/>
      </c>
      <c r="G1058" s="27">
        <f>IF(F1058="","",F1058-'02_Eingaben'!$C$10)</f>
        <v/>
      </c>
      <c r="H1058">
        <f>IF(F1058="","",IF(F1058&lt;'02_Eingaben'!$C$18*'02_Eingaben'!$C$10,1,0))</f>
        <v/>
      </c>
      <c r="I1058" s="27">
        <f>IF(OR(G1058="",G1059=""),"",(G1058+G1059)/2*(B1059-B1058))</f>
        <v/>
      </c>
      <c r="J1058" s="27">
        <f>IF(B1058="","",IF(B1057&lt;'02_Eingaben'!$C$36,0,J1057+I1057/'02_Eingaben'!$C$8))</f>
        <v/>
      </c>
    </row>
    <row r="1059">
      <c r="A1059">
        <f>IF('01_Rohdaten'!A1059="","",ROW()-1)</f>
        <v/>
      </c>
      <c r="B1059" s="27">
        <f>IF('01_Rohdaten'!A1059="","",'01_Rohdaten'!A1059)</f>
        <v/>
      </c>
      <c r="C1059" s="27">
        <f>IF(B1059="","",INDEX('01_Rohdaten'!B1059:D1059,'02_Eingaben'!$C$13))</f>
        <v/>
      </c>
      <c r="D1059" s="27">
        <f>IF(C1059="","",C1059*'02_Eingaben'!$C$15)</f>
        <v/>
      </c>
      <c r="E1059" s="27">
        <f>IF(D1059="","",D1059*'02_Eingaben'!$C$8)</f>
        <v/>
      </c>
      <c r="F1059" s="27">
        <f>IF(E1059="","",AVERAGE(INDEX($E$2:$E$3001,MAX(1,ROW()-1-'02_Eingaben'!$C$17)):INDEX($E$2:$E$3001,MIN('02_Eingaben'!$C$21,ROW()-1+'02_Eingaben'!$C$17))))</f>
        <v/>
      </c>
      <c r="G1059" s="27">
        <f>IF(F1059="","",F1059-'02_Eingaben'!$C$10)</f>
        <v/>
      </c>
      <c r="H1059">
        <f>IF(F1059="","",IF(F1059&lt;'02_Eingaben'!$C$18*'02_Eingaben'!$C$10,1,0))</f>
        <v/>
      </c>
      <c r="I1059" s="27">
        <f>IF(OR(G1059="",G1060=""),"",(G1059+G1060)/2*(B1060-B1059))</f>
        <v/>
      </c>
      <c r="J1059" s="27">
        <f>IF(B1059="","",IF(B1058&lt;'02_Eingaben'!$C$36,0,J1058+I1058/'02_Eingaben'!$C$8))</f>
        <v/>
      </c>
    </row>
    <row r="1060">
      <c r="A1060">
        <f>IF('01_Rohdaten'!A1060="","",ROW()-1)</f>
        <v/>
      </c>
      <c r="B1060" s="27">
        <f>IF('01_Rohdaten'!A1060="","",'01_Rohdaten'!A1060)</f>
        <v/>
      </c>
      <c r="C1060" s="27">
        <f>IF(B1060="","",INDEX('01_Rohdaten'!B1060:D1060,'02_Eingaben'!$C$13))</f>
        <v/>
      </c>
      <c r="D1060" s="27">
        <f>IF(C1060="","",C1060*'02_Eingaben'!$C$15)</f>
        <v/>
      </c>
      <c r="E1060" s="27">
        <f>IF(D1060="","",D1060*'02_Eingaben'!$C$8)</f>
        <v/>
      </c>
      <c r="F1060" s="27">
        <f>IF(E1060="","",AVERAGE(INDEX($E$2:$E$3001,MAX(1,ROW()-1-'02_Eingaben'!$C$17)):INDEX($E$2:$E$3001,MIN('02_Eingaben'!$C$21,ROW()-1+'02_Eingaben'!$C$17))))</f>
        <v/>
      </c>
      <c r="G1060" s="27">
        <f>IF(F1060="","",F1060-'02_Eingaben'!$C$10)</f>
        <v/>
      </c>
      <c r="H1060">
        <f>IF(F1060="","",IF(F1060&lt;'02_Eingaben'!$C$18*'02_Eingaben'!$C$10,1,0))</f>
        <v/>
      </c>
      <c r="I1060" s="27">
        <f>IF(OR(G1060="",G1061=""),"",(G1060+G1061)/2*(B1061-B1060))</f>
        <v/>
      </c>
      <c r="J1060" s="27">
        <f>IF(B1060="","",IF(B1059&lt;'02_Eingaben'!$C$36,0,J1059+I1059/'02_Eingaben'!$C$8))</f>
        <v/>
      </c>
    </row>
    <row r="1061">
      <c r="A1061">
        <f>IF('01_Rohdaten'!A1061="","",ROW()-1)</f>
        <v/>
      </c>
      <c r="B1061" s="27">
        <f>IF('01_Rohdaten'!A1061="","",'01_Rohdaten'!A1061)</f>
        <v/>
      </c>
      <c r="C1061" s="27">
        <f>IF(B1061="","",INDEX('01_Rohdaten'!B1061:D1061,'02_Eingaben'!$C$13))</f>
        <v/>
      </c>
      <c r="D1061" s="27">
        <f>IF(C1061="","",C1061*'02_Eingaben'!$C$15)</f>
        <v/>
      </c>
      <c r="E1061" s="27">
        <f>IF(D1061="","",D1061*'02_Eingaben'!$C$8)</f>
        <v/>
      </c>
      <c r="F1061" s="27">
        <f>IF(E1061="","",AVERAGE(INDEX($E$2:$E$3001,MAX(1,ROW()-1-'02_Eingaben'!$C$17)):INDEX($E$2:$E$3001,MIN('02_Eingaben'!$C$21,ROW()-1+'02_Eingaben'!$C$17))))</f>
        <v/>
      </c>
      <c r="G1061" s="27">
        <f>IF(F1061="","",F1061-'02_Eingaben'!$C$10)</f>
        <v/>
      </c>
      <c r="H1061">
        <f>IF(F1061="","",IF(F1061&lt;'02_Eingaben'!$C$18*'02_Eingaben'!$C$10,1,0))</f>
        <v/>
      </c>
      <c r="I1061" s="27">
        <f>IF(OR(G1061="",G1062=""),"",(G1061+G1062)/2*(B1062-B1061))</f>
        <v/>
      </c>
      <c r="J1061" s="27">
        <f>IF(B1061="","",IF(B1060&lt;'02_Eingaben'!$C$36,0,J1060+I1060/'02_Eingaben'!$C$8))</f>
        <v/>
      </c>
    </row>
    <row r="1062">
      <c r="A1062">
        <f>IF('01_Rohdaten'!A1062="","",ROW()-1)</f>
        <v/>
      </c>
      <c r="B1062" s="27">
        <f>IF('01_Rohdaten'!A1062="","",'01_Rohdaten'!A1062)</f>
        <v/>
      </c>
      <c r="C1062" s="27">
        <f>IF(B1062="","",INDEX('01_Rohdaten'!B1062:D1062,'02_Eingaben'!$C$13))</f>
        <v/>
      </c>
      <c r="D1062" s="27">
        <f>IF(C1062="","",C1062*'02_Eingaben'!$C$15)</f>
        <v/>
      </c>
      <c r="E1062" s="27">
        <f>IF(D1062="","",D1062*'02_Eingaben'!$C$8)</f>
        <v/>
      </c>
      <c r="F1062" s="27">
        <f>IF(E1062="","",AVERAGE(INDEX($E$2:$E$3001,MAX(1,ROW()-1-'02_Eingaben'!$C$17)):INDEX($E$2:$E$3001,MIN('02_Eingaben'!$C$21,ROW()-1+'02_Eingaben'!$C$17))))</f>
        <v/>
      </c>
      <c r="G1062" s="27">
        <f>IF(F1062="","",F1062-'02_Eingaben'!$C$10)</f>
        <v/>
      </c>
      <c r="H1062">
        <f>IF(F1062="","",IF(F1062&lt;'02_Eingaben'!$C$18*'02_Eingaben'!$C$10,1,0))</f>
        <v/>
      </c>
      <c r="I1062" s="27">
        <f>IF(OR(G1062="",G1063=""),"",(G1062+G1063)/2*(B1063-B1062))</f>
        <v/>
      </c>
      <c r="J1062" s="27">
        <f>IF(B1062="","",IF(B1061&lt;'02_Eingaben'!$C$36,0,J1061+I1061/'02_Eingaben'!$C$8))</f>
        <v/>
      </c>
    </row>
    <row r="1063">
      <c r="A1063">
        <f>IF('01_Rohdaten'!A1063="","",ROW()-1)</f>
        <v/>
      </c>
      <c r="B1063" s="27">
        <f>IF('01_Rohdaten'!A1063="","",'01_Rohdaten'!A1063)</f>
        <v/>
      </c>
      <c r="C1063" s="27">
        <f>IF(B1063="","",INDEX('01_Rohdaten'!B1063:D1063,'02_Eingaben'!$C$13))</f>
        <v/>
      </c>
      <c r="D1063" s="27">
        <f>IF(C1063="","",C1063*'02_Eingaben'!$C$15)</f>
        <v/>
      </c>
      <c r="E1063" s="27">
        <f>IF(D1063="","",D1063*'02_Eingaben'!$C$8)</f>
        <v/>
      </c>
      <c r="F1063" s="27">
        <f>IF(E1063="","",AVERAGE(INDEX($E$2:$E$3001,MAX(1,ROW()-1-'02_Eingaben'!$C$17)):INDEX($E$2:$E$3001,MIN('02_Eingaben'!$C$21,ROW()-1+'02_Eingaben'!$C$17))))</f>
        <v/>
      </c>
      <c r="G1063" s="27">
        <f>IF(F1063="","",F1063-'02_Eingaben'!$C$10)</f>
        <v/>
      </c>
      <c r="H1063">
        <f>IF(F1063="","",IF(F1063&lt;'02_Eingaben'!$C$18*'02_Eingaben'!$C$10,1,0))</f>
        <v/>
      </c>
      <c r="I1063" s="27">
        <f>IF(OR(G1063="",G1064=""),"",(G1063+G1064)/2*(B1064-B1063))</f>
        <v/>
      </c>
      <c r="J1063" s="27">
        <f>IF(B1063="","",IF(B1062&lt;'02_Eingaben'!$C$36,0,J1062+I1062/'02_Eingaben'!$C$8))</f>
        <v/>
      </c>
    </row>
    <row r="1064">
      <c r="A1064">
        <f>IF('01_Rohdaten'!A1064="","",ROW()-1)</f>
        <v/>
      </c>
      <c r="B1064" s="27">
        <f>IF('01_Rohdaten'!A1064="","",'01_Rohdaten'!A1064)</f>
        <v/>
      </c>
      <c r="C1064" s="27">
        <f>IF(B1064="","",INDEX('01_Rohdaten'!B1064:D1064,'02_Eingaben'!$C$13))</f>
        <v/>
      </c>
      <c r="D1064" s="27">
        <f>IF(C1064="","",C1064*'02_Eingaben'!$C$15)</f>
        <v/>
      </c>
      <c r="E1064" s="27">
        <f>IF(D1064="","",D1064*'02_Eingaben'!$C$8)</f>
        <v/>
      </c>
      <c r="F1064" s="27">
        <f>IF(E1064="","",AVERAGE(INDEX($E$2:$E$3001,MAX(1,ROW()-1-'02_Eingaben'!$C$17)):INDEX($E$2:$E$3001,MIN('02_Eingaben'!$C$21,ROW()-1+'02_Eingaben'!$C$17))))</f>
        <v/>
      </c>
      <c r="G1064" s="27">
        <f>IF(F1064="","",F1064-'02_Eingaben'!$C$10)</f>
        <v/>
      </c>
      <c r="H1064">
        <f>IF(F1064="","",IF(F1064&lt;'02_Eingaben'!$C$18*'02_Eingaben'!$C$10,1,0))</f>
        <v/>
      </c>
      <c r="I1064" s="27">
        <f>IF(OR(G1064="",G1065=""),"",(G1064+G1065)/2*(B1065-B1064))</f>
        <v/>
      </c>
      <c r="J1064" s="27">
        <f>IF(B1064="","",IF(B1063&lt;'02_Eingaben'!$C$36,0,J1063+I1063/'02_Eingaben'!$C$8))</f>
        <v/>
      </c>
    </row>
    <row r="1065">
      <c r="A1065">
        <f>IF('01_Rohdaten'!A1065="","",ROW()-1)</f>
        <v/>
      </c>
      <c r="B1065" s="27">
        <f>IF('01_Rohdaten'!A1065="","",'01_Rohdaten'!A1065)</f>
        <v/>
      </c>
      <c r="C1065" s="27">
        <f>IF(B1065="","",INDEX('01_Rohdaten'!B1065:D1065,'02_Eingaben'!$C$13))</f>
        <v/>
      </c>
      <c r="D1065" s="27">
        <f>IF(C1065="","",C1065*'02_Eingaben'!$C$15)</f>
        <v/>
      </c>
      <c r="E1065" s="27">
        <f>IF(D1065="","",D1065*'02_Eingaben'!$C$8)</f>
        <v/>
      </c>
      <c r="F1065" s="27">
        <f>IF(E1065="","",AVERAGE(INDEX($E$2:$E$3001,MAX(1,ROW()-1-'02_Eingaben'!$C$17)):INDEX($E$2:$E$3001,MIN('02_Eingaben'!$C$21,ROW()-1+'02_Eingaben'!$C$17))))</f>
        <v/>
      </c>
      <c r="G1065" s="27">
        <f>IF(F1065="","",F1065-'02_Eingaben'!$C$10)</f>
        <v/>
      </c>
      <c r="H1065">
        <f>IF(F1065="","",IF(F1065&lt;'02_Eingaben'!$C$18*'02_Eingaben'!$C$10,1,0))</f>
        <v/>
      </c>
      <c r="I1065" s="27">
        <f>IF(OR(G1065="",G1066=""),"",(G1065+G1066)/2*(B1066-B1065))</f>
        <v/>
      </c>
      <c r="J1065" s="27">
        <f>IF(B1065="","",IF(B1064&lt;'02_Eingaben'!$C$36,0,J1064+I1064/'02_Eingaben'!$C$8))</f>
        <v/>
      </c>
    </row>
    <row r="1066">
      <c r="A1066">
        <f>IF('01_Rohdaten'!A1066="","",ROW()-1)</f>
        <v/>
      </c>
      <c r="B1066" s="27">
        <f>IF('01_Rohdaten'!A1066="","",'01_Rohdaten'!A1066)</f>
        <v/>
      </c>
      <c r="C1066" s="27">
        <f>IF(B1066="","",INDEX('01_Rohdaten'!B1066:D1066,'02_Eingaben'!$C$13))</f>
        <v/>
      </c>
      <c r="D1066" s="27">
        <f>IF(C1066="","",C1066*'02_Eingaben'!$C$15)</f>
        <v/>
      </c>
      <c r="E1066" s="27">
        <f>IF(D1066="","",D1066*'02_Eingaben'!$C$8)</f>
        <v/>
      </c>
      <c r="F1066" s="27">
        <f>IF(E1066="","",AVERAGE(INDEX($E$2:$E$3001,MAX(1,ROW()-1-'02_Eingaben'!$C$17)):INDEX($E$2:$E$3001,MIN('02_Eingaben'!$C$21,ROW()-1+'02_Eingaben'!$C$17))))</f>
        <v/>
      </c>
      <c r="G1066" s="27">
        <f>IF(F1066="","",F1066-'02_Eingaben'!$C$10)</f>
        <v/>
      </c>
      <c r="H1066">
        <f>IF(F1066="","",IF(F1066&lt;'02_Eingaben'!$C$18*'02_Eingaben'!$C$10,1,0))</f>
        <v/>
      </c>
      <c r="I1066" s="27">
        <f>IF(OR(G1066="",G1067=""),"",(G1066+G1067)/2*(B1067-B1066))</f>
        <v/>
      </c>
      <c r="J1066" s="27">
        <f>IF(B1066="","",IF(B1065&lt;'02_Eingaben'!$C$36,0,J1065+I1065/'02_Eingaben'!$C$8))</f>
        <v/>
      </c>
    </row>
    <row r="1067">
      <c r="A1067">
        <f>IF('01_Rohdaten'!A1067="","",ROW()-1)</f>
        <v/>
      </c>
      <c r="B1067" s="27">
        <f>IF('01_Rohdaten'!A1067="","",'01_Rohdaten'!A1067)</f>
        <v/>
      </c>
      <c r="C1067" s="27">
        <f>IF(B1067="","",INDEX('01_Rohdaten'!B1067:D1067,'02_Eingaben'!$C$13))</f>
        <v/>
      </c>
      <c r="D1067" s="27">
        <f>IF(C1067="","",C1067*'02_Eingaben'!$C$15)</f>
        <v/>
      </c>
      <c r="E1067" s="27">
        <f>IF(D1067="","",D1067*'02_Eingaben'!$C$8)</f>
        <v/>
      </c>
      <c r="F1067" s="27">
        <f>IF(E1067="","",AVERAGE(INDEX($E$2:$E$3001,MAX(1,ROW()-1-'02_Eingaben'!$C$17)):INDEX($E$2:$E$3001,MIN('02_Eingaben'!$C$21,ROW()-1+'02_Eingaben'!$C$17))))</f>
        <v/>
      </c>
      <c r="G1067" s="27">
        <f>IF(F1067="","",F1067-'02_Eingaben'!$C$10)</f>
        <v/>
      </c>
      <c r="H1067">
        <f>IF(F1067="","",IF(F1067&lt;'02_Eingaben'!$C$18*'02_Eingaben'!$C$10,1,0))</f>
        <v/>
      </c>
      <c r="I1067" s="27">
        <f>IF(OR(G1067="",G1068=""),"",(G1067+G1068)/2*(B1068-B1067))</f>
        <v/>
      </c>
      <c r="J1067" s="27">
        <f>IF(B1067="","",IF(B1066&lt;'02_Eingaben'!$C$36,0,J1066+I1066/'02_Eingaben'!$C$8))</f>
        <v/>
      </c>
    </row>
    <row r="1068">
      <c r="A1068">
        <f>IF('01_Rohdaten'!A1068="","",ROW()-1)</f>
        <v/>
      </c>
      <c r="B1068" s="27">
        <f>IF('01_Rohdaten'!A1068="","",'01_Rohdaten'!A1068)</f>
        <v/>
      </c>
      <c r="C1068" s="27">
        <f>IF(B1068="","",INDEX('01_Rohdaten'!B1068:D1068,'02_Eingaben'!$C$13))</f>
        <v/>
      </c>
      <c r="D1068" s="27">
        <f>IF(C1068="","",C1068*'02_Eingaben'!$C$15)</f>
        <v/>
      </c>
      <c r="E1068" s="27">
        <f>IF(D1068="","",D1068*'02_Eingaben'!$C$8)</f>
        <v/>
      </c>
      <c r="F1068" s="27">
        <f>IF(E1068="","",AVERAGE(INDEX($E$2:$E$3001,MAX(1,ROW()-1-'02_Eingaben'!$C$17)):INDEX($E$2:$E$3001,MIN('02_Eingaben'!$C$21,ROW()-1+'02_Eingaben'!$C$17))))</f>
        <v/>
      </c>
      <c r="G1068" s="27">
        <f>IF(F1068="","",F1068-'02_Eingaben'!$C$10)</f>
        <v/>
      </c>
      <c r="H1068">
        <f>IF(F1068="","",IF(F1068&lt;'02_Eingaben'!$C$18*'02_Eingaben'!$C$10,1,0))</f>
        <v/>
      </c>
      <c r="I1068" s="27">
        <f>IF(OR(G1068="",G1069=""),"",(G1068+G1069)/2*(B1069-B1068))</f>
        <v/>
      </c>
      <c r="J1068" s="27">
        <f>IF(B1068="","",IF(B1067&lt;'02_Eingaben'!$C$36,0,J1067+I1067/'02_Eingaben'!$C$8))</f>
        <v/>
      </c>
    </row>
    <row r="1069">
      <c r="A1069">
        <f>IF('01_Rohdaten'!A1069="","",ROW()-1)</f>
        <v/>
      </c>
      <c r="B1069" s="27">
        <f>IF('01_Rohdaten'!A1069="","",'01_Rohdaten'!A1069)</f>
        <v/>
      </c>
      <c r="C1069" s="27">
        <f>IF(B1069="","",INDEX('01_Rohdaten'!B1069:D1069,'02_Eingaben'!$C$13))</f>
        <v/>
      </c>
      <c r="D1069" s="27">
        <f>IF(C1069="","",C1069*'02_Eingaben'!$C$15)</f>
        <v/>
      </c>
      <c r="E1069" s="27">
        <f>IF(D1069="","",D1069*'02_Eingaben'!$C$8)</f>
        <v/>
      </c>
      <c r="F1069" s="27">
        <f>IF(E1069="","",AVERAGE(INDEX($E$2:$E$3001,MAX(1,ROW()-1-'02_Eingaben'!$C$17)):INDEX($E$2:$E$3001,MIN('02_Eingaben'!$C$21,ROW()-1+'02_Eingaben'!$C$17))))</f>
        <v/>
      </c>
      <c r="G1069" s="27">
        <f>IF(F1069="","",F1069-'02_Eingaben'!$C$10)</f>
        <v/>
      </c>
      <c r="H1069">
        <f>IF(F1069="","",IF(F1069&lt;'02_Eingaben'!$C$18*'02_Eingaben'!$C$10,1,0))</f>
        <v/>
      </c>
      <c r="I1069" s="27">
        <f>IF(OR(G1069="",G1070=""),"",(G1069+G1070)/2*(B1070-B1069))</f>
        <v/>
      </c>
      <c r="J1069" s="27">
        <f>IF(B1069="","",IF(B1068&lt;'02_Eingaben'!$C$36,0,J1068+I1068/'02_Eingaben'!$C$8))</f>
        <v/>
      </c>
    </row>
    <row r="1070">
      <c r="A1070">
        <f>IF('01_Rohdaten'!A1070="","",ROW()-1)</f>
        <v/>
      </c>
      <c r="B1070" s="27">
        <f>IF('01_Rohdaten'!A1070="","",'01_Rohdaten'!A1070)</f>
        <v/>
      </c>
      <c r="C1070" s="27">
        <f>IF(B1070="","",INDEX('01_Rohdaten'!B1070:D1070,'02_Eingaben'!$C$13))</f>
        <v/>
      </c>
      <c r="D1070" s="27">
        <f>IF(C1070="","",C1070*'02_Eingaben'!$C$15)</f>
        <v/>
      </c>
      <c r="E1070" s="27">
        <f>IF(D1070="","",D1070*'02_Eingaben'!$C$8)</f>
        <v/>
      </c>
      <c r="F1070" s="27">
        <f>IF(E1070="","",AVERAGE(INDEX($E$2:$E$3001,MAX(1,ROW()-1-'02_Eingaben'!$C$17)):INDEX($E$2:$E$3001,MIN('02_Eingaben'!$C$21,ROW()-1+'02_Eingaben'!$C$17))))</f>
        <v/>
      </c>
      <c r="G1070" s="27">
        <f>IF(F1070="","",F1070-'02_Eingaben'!$C$10)</f>
        <v/>
      </c>
      <c r="H1070">
        <f>IF(F1070="","",IF(F1070&lt;'02_Eingaben'!$C$18*'02_Eingaben'!$C$10,1,0))</f>
        <v/>
      </c>
      <c r="I1070" s="27">
        <f>IF(OR(G1070="",G1071=""),"",(G1070+G1071)/2*(B1071-B1070))</f>
        <v/>
      </c>
      <c r="J1070" s="27">
        <f>IF(B1070="","",IF(B1069&lt;'02_Eingaben'!$C$36,0,J1069+I1069/'02_Eingaben'!$C$8))</f>
        <v/>
      </c>
    </row>
    <row r="1071">
      <c r="A1071">
        <f>IF('01_Rohdaten'!A1071="","",ROW()-1)</f>
        <v/>
      </c>
      <c r="B1071" s="27">
        <f>IF('01_Rohdaten'!A1071="","",'01_Rohdaten'!A1071)</f>
        <v/>
      </c>
      <c r="C1071" s="27">
        <f>IF(B1071="","",INDEX('01_Rohdaten'!B1071:D1071,'02_Eingaben'!$C$13))</f>
        <v/>
      </c>
      <c r="D1071" s="27">
        <f>IF(C1071="","",C1071*'02_Eingaben'!$C$15)</f>
        <v/>
      </c>
      <c r="E1071" s="27">
        <f>IF(D1071="","",D1071*'02_Eingaben'!$C$8)</f>
        <v/>
      </c>
      <c r="F1071" s="27">
        <f>IF(E1071="","",AVERAGE(INDEX($E$2:$E$3001,MAX(1,ROW()-1-'02_Eingaben'!$C$17)):INDEX($E$2:$E$3001,MIN('02_Eingaben'!$C$21,ROW()-1+'02_Eingaben'!$C$17))))</f>
        <v/>
      </c>
      <c r="G1071" s="27">
        <f>IF(F1071="","",F1071-'02_Eingaben'!$C$10)</f>
        <v/>
      </c>
      <c r="H1071">
        <f>IF(F1071="","",IF(F1071&lt;'02_Eingaben'!$C$18*'02_Eingaben'!$C$10,1,0))</f>
        <v/>
      </c>
      <c r="I1071" s="27">
        <f>IF(OR(G1071="",G1072=""),"",(G1071+G1072)/2*(B1072-B1071))</f>
        <v/>
      </c>
      <c r="J1071" s="27">
        <f>IF(B1071="","",IF(B1070&lt;'02_Eingaben'!$C$36,0,J1070+I1070/'02_Eingaben'!$C$8))</f>
        <v/>
      </c>
    </row>
    <row r="1072">
      <c r="A1072">
        <f>IF('01_Rohdaten'!A1072="","",ROW()-1)</f>
        <v/>
      </c>
      <c r="B1072" s="27">
        <f>IF('01_Rohdaten'!A1072="","",'01_Rohdaten'!A1072)</f>
        <v/>
      </c>
      <c r="C1072" s="27">
        <f>IF(B1072="","",INDEX('01_Rohdaten'!B1072:D1072,'02_Eingaben'!$C$13))</f>
        <v/>
      </c>
      <c r="D1072" s="27">
        <f>IF(C1072="","",C1072*'02_Eingaben'!$C$15)</f>
        <v/>
      </c>
      <c r="E1072" s="27">
        <f>IF(D1072="","",D1072*'02_Eingaben'!$C$8)</f>
        <v/>
      </c>
      <c r="F1072" s="27">
        <f>IF(E1072="","",AVERAGE(INDEX($E$2:$E$3001,MAX(1,ROW()-1-'02_Eingaben'!$C$17)):INDEX($E$2:$E$3001,MIN('02_Eingaben'!$C$21,ROW()-1+'02_Eingaben'!$C$17))))</f>
        <v/>
      </c>
      <c r="G1072" s="27">
        <f>IF(F1072="","",F1072-'02_Eingaben'!$C$10)</f>
        <v/>
      </c>
      <c r="H1072">
        <f>IF(F1072="","",IF(F1072&lt;'02_Eingaben'!$C$18*'02_Eingaben'!$C$10,1,0))</f>
        <v/>
      </c>
      <c r="I1072" s="27">
        <f>IF(OR(G1072="",G1073=""),"",(G1072+G1073)/2*(B1073-B1072))</f>
        <v/>
      </c>
      <c r="J1072" s="27">
        <f>IF(B1072="","",IF(B1071&lt;'02_Eingaben'!$C$36,0,J1071+I1071/'02_Eingaben'!$C$8))</f>
        <v/>
      </c>
    </row>
    <row r="1073">
      <c r="A1073">
        <f>IF('01_Rohdaten'!A1073="","",ROW()-1)</f>
        <v/>
      </c>
      <c r="B1073" s="27">
        <f>IF('01_Rohdaten'!A1073="","",'01_Rohdaten'!A1073)</f>
        <v/>
      </c>
      <c r="C1073" s="27">
        <f>IF(B1073="","",INDEX('01_Rohdaten'!B1073:D1073,'02_Eingaben'!$C$13))</f>
        <v/>
      </c>
      <c r="D1073" s="27">
        <f>IF(C1073="","",C1073*'02_Eingaben'!$C$15)</f>
        <v/>
      </c>
      <c r="E1073" s="27">
        <f>IF(D1073="","",D1073*'02_Eingaben'!$C$8)</f>
        <v/>
      </c>
      <c r="F1073" s="27">
        <f>IF(E1073="","",AVERAGE(INDEX($E$2:$E$3001,MAX(1,ROW()-1-'02_Eingaben'!$C$17)):INDEX($E$2:$E$3001,MIN('02_Eingaben'!$C$21,ROW()-1+'02_Eingaben'!$C$17))))</f>
        <v/>
      </c>
      <c r="G1073" s="27">
        <f>IF(F1073="","",F1073-'02_Eingaben'!$C$10)</f>
        <v/>
      </c>
      <c r="H1073">
        <f>IF(F1073="","",IF(F1073&lt;'02_Eingaben'!$C$18*'02_Eingaben'!$C$10,1,0))</f>
        <v/>
      </c>
      <c r="I1073" s="27">
        <f>IF(OR(G1073="",G1074=""),"",(G1073+G1074)/2*(B1074-B1073))</f>
        <v/>
      </c>
      <c r="J1073" s="27">
        <f>IF(B1073="","",IF(B1072&lt;'02_Eingaben'!$C$36,0,J1072+I1072/'02_Eingaben'!$C$8))</f>
        <v/>
      </c>
    </row>
    <row r="1074">
      <c r="A1074">
        <f>IF('01_Rohdaten'!A1074="","",ROW()-1)</f>
        <v/>
      </c>
      <c r="B1074" s="27">
        <f>IF('01_Rohdaten'!A1074="","",'01_Rohdaten'!A1074)</f>
        <v/>
      </c>
      <c r="C1074" s="27">
        <f>IF(B1074="","",INDEX('01_Rohdaten'!B1074:D1074,'02_Eingaben'!$C$13))</f>
        <v/>
      </c>
      <c r="D1074" s="27">
        <f>IF(C1074="","",C1074*'02_Eingaben'!$C$15)</f>
        <v/>
      </c>
      <c r="E1074" s="27">
        <f>IF(D1074="","",D1074*'02_Eingaben'!$C$8)</f>
        <v/>
      </c>
      <c r="F1074" s="27">
        <f>IF(E1074="","",AVERAGE(INDEX($E$2:$E$3001,MAX(1,ROW()-1-'02_Eingaben'!$C$17)):INDEX($E$2:$E$3001,MIN('02_Eingaben'!$C$21,ROW()-1+'02_Eingaben'!$C$17))))</f>
        <v/>
      </c>
      <c r="G1074" s="27">
        <f>IF(F1074="","",F1074-'02_Eingaben'!$C$10)</f>
        <v/>
      </c>
      <c r="H1074">
        <f>IF(F1074="","",IF(F1074&lt;'02_Eingaben'!$C$18*'02_Eingaben'!$C$10,1,0))</f>
        <v/>
      </c>
      <c r="I1074" s="27">
        <f>IF(OR(G1074="",G1075=""),"",(G1074+G1075)/2*(B1075-B1074))</f>
        <v/>
      </c>
      <c r="J1074" s="27">
        <f>IF(B1074="","",IF(B1073&lt;'02_Eingaben'!$C$36,0,J1073+I1073/'02_Eingaben'!$C$8))</f>
        <v/>
      </c>
    </row>
    <row r="1075">
      <c r="A1075">
        <f>IF('01_Rohdaten'!A1075="","",ROW()-1)</f>
        <v/>
      </c>
      <c r="B1075" s="27">
        <f>IF('01_Rohdaten'!A1075="","",'01_Rohdaten'!A1075)</f>
        <v/>
      </c>
      <c r="C1075" s="27">
        <f>IF(B1075="","",INDEX('01_Rohdaten'!B1075:D1075,'02_Eingaben'!$C$13))</f>
        <v/>
      </c>
      <c r="D1075" s="27">
        <f>IF(C1075="","",C1075*'02_Eingaben'!$C$15)</f>
        <v/>
      </c>
      <c r="E1075" s="27">
        <f>IF(D1075="","",D1075*'02_Eingaben'!$C$8)</f>
        <v/>
      </c>
      <c r="F1075" s="27">
        <f>IF(E1075="","",AVERAGE(INDEX($E$2:$E$3001,MAX(1,ROW()-1-'02_Eingaben'!$C$17)):INDEX($E$2:$E$3001,MIN('02_Eingaben'!$C$21,ROW()-1+'02_Eingaben'!$C$17))))</f>
        <v/>
      </c>
      <c r="G1075" s="27">
        <f>IF(F1075="","",F1075-'02_Eingaben'!$C$10)</f>
        <v/>
      </c>
      <c r="H1075">
        <f>IF(F1075="","",IF(F1075&lt;'02_Eingaben'!$C$18*'02_Eingaben'!$C$10,1,0))</f>
        <v/>
      </c>
      <c r="I1075" s="27">
        <f>IF(OR(G1075="",G1076=""),"",(G1075+G1076)/2*(B1076-B1075))</f>
        <v/>
      </c>
      <c r="J1075" s="27">
        <f>IF(B1075="","",IF(B1074&lt;'02_Eingaben'!$C$36,0,J1074+I1074/'02_Eingaben'!$C$8))</f>
        <v/>
      </c>
    </row>
    <row r="1076">
      <c r="A1076">
        <f>IF('01_Rohdaten'!A1076="","",ROW()-1)</f>
        <v/>
      </c>
      <c r="B1076" s="27">
        <f>IF('01_Rohdaten'!A1076="","",'01_Rohdaten'!A1076)</f>
        <v/>
      </c>
      <c r="C1076" s="27">
        <f>IF(B1076="","",INDEX('01_Rohdaten'!B1076:D1076,'02_Eingaben'!$C$13))</f>
        <v/>
      </c>
      <c r="D1076" s="27">
        <f>IF(C1076="","",C1076*'02_Eingaben'!$C$15)</f>
        <v/>
      </c>
      <c r="E1076" s="27">
        <f>IF(D1076="","",D1076*'02_Eingaben'!$C$8)</f>
        <v/>
      </c>
      <c r="F1076" s="27">
        <f>IF(E1076="","",AVERAGE(INDEX($E$2:$E$3001,MAX(1,ROW()-1-'02_Eingaben'!$C$17)):INDEX($E$2:$E$3001,MIN('02_Eingaben'!$C$21,ROW()-1+'02_Eingaben'!$C$17))))</f>
        <v/>
      </c>
      <c r="G1076" s="27">
        <f>IF(F1076="","",F1076-'02_Eingaben'!$C$10)</f>
        <v/>
      </c>
      <c r="H1076">
        <f>IF(F1076="","",IF(F1076&lt;'02_Eingaben'!$C$18*'02_Eingaben'!$C$10,1,0))</f>
        <v/>
      </c>
      <c r="I1076" s="27">
        <f>IF(OR(G1076="",G1077=""),"",(G1076+G1077)/2*(B1077-B1076))</f>
        <v/>
      </c>
      <c r="J1076" s="27">
        <f>IF(B1076="","",IF(B1075&lt;'02_Eingaben'!$C$36,0,J1075+I1075/'02_Eingaben'!$C$8))</f>
        <v/>
      </c>
    </row>
    <row r="1077">
      <c r="A1077">
        <f>IF('01_Rohdaten'!A1077="","",ROW()-1)</f>
        <v/>
      </c>
      <c r="B1077" s="27">
        <f>IF('01_Rohdaten'!A1077="","",'01_Rohdaten'!A1077)</f>
        <v/>
      </c>
      <c r="C1077" s="27">
        <f>IF(B1077="","",INDEX('01_Rohdaten'!B1077:D1077,'02_Eingaben'!$C$13))</f>
        <v/>
      </c>
      <c r="D1077" s="27">
        <f>IF(C1077="","",C1077*'02_Eingaben'!$C$15)</f>
        <v/>
      </c>
      <c r="E1077" s="27">
        <f>IF(D1077="","",D1077*'02_Eingaben'!$C$8)</f>
        <v/>
      </c>
      <c r="F1077" s="27">
        <f>IF(E1077="","",AVERAGE(INDEX($E$2:$E$3001,MAX(1,ROW()-1-'02_Eingaben'!$C$17)):INDEX($E$2:$E$3001,MIN('02_Eingaben'!$C$21,ROW()-1+'02_Eingaben'!$C$17))))</f>
        <v/>
      </c>
      <c r="G1077" s="27">
        <f>IF(F1077="","",F1077-'02_Eingaben'!$C$10)</f>
        <v/>
      </c>
      <c r="H1077">
        <f>IF(F1077="","",IF(F1077&lt;'02_Eingaben'!$C$18*'02_Eingaben'!$C$10,1,0))</f>
        <v/>
      </c>
      <c r="I1077" s="27">
        <f>IF(OR(G1077="",G1078=""),"",(G1077+G1078)/2*(B1078-B1077))</f>
        <v/>
      </c>
      <c r="J1077" s="27">
        <f>IF(B1077="","",IF(B1076&lt;'02_Eingaben'!$C$36,0,J1076+I1076/'02_Eingaben'!$C$8))</f>
        <v/>
      </c>
    </row>
    <row r="1078">
      <c r="A1078">
        <f>IF('01_Rohdaten'!A1078="","",ROW()-1)</f>
        <v/>
      </c>
      <c r="B1078" s="27">
        <f>IF('01_Rohdaten'!A1078="","",'01_Rohdaten'!A1078)</f>
        <v/>
      </c>
      <c r="C1078" s="27">
        <f>IF(B1078="","",INDEX('01_Rohdaten'!B1078:D1078,'02_Eingaben'!$C$13))</f>
        <v/>
      </c>
      <c r="D1078" s="27">
        <f>IF(C1078="","",C1078*'02_Eingaben'!$C$15)</f>
        <v/>
      </c>
      <c r="E1078" s="27">
        <f>IF(D1078="","",D1078*'02_Eingaben'!$C$8)</f>
        <v/>
      </c>
      <c r="F1078" s="27">
        <f>IF(E1078="","",AVERAGE(INDEX($E$2:$E$3001,MAX(1,ROW()-1-'02_Eingaben'!$C$17)):INDEX($E$2:$E$3001,MIN('02_Eingaben'!$C$21,ROW()-1+'02_Eingaben'!$C$17))))</f>
        <v/>
      </c>
      <c r="G1078" s="27">
        <f>IF(F1078="","",F1078-'02_Eingaben'!$C$10)</f>
        <v/>
      </c>
      <c r="H1078">
        <f>IF(F1078="","",IF(F1078&lt;'02_Eingaben'!$C$18*'02_Eingaben'!$C$10,1,0))</f>
        <v/>
      </c>
      <c r="I1078" s="27">
        <f>IF(OR(G1078="",G1079=""),"",(G1078+G1079)/2*(B1079-B1078))</f>
        <v/>
      </c>
      <c r="J1078" s="27">
        <f>IF(B1078="","",IF(B1077&lt;'02_Eingaben'!$C$36,0,J1077+I1077/'02_Eingaben'!$C$8))</f>
        <v/>
      </c>
    </row>
    <row r="1079">
      <c r="A1079">
        <f>IF('01_Rohdaten'!A1079="","",ROW()-1)</f>
        <v/>
      </c>
      <c r="B1079" s="27">
        <f>IF('01_Rohdaten'!A1079="","",'01_Rohdaten'!A1079)</f>
        <v/>
      </c>
      <c r="C1079" s="27">
        <f>IF(B1079="","",INDEX('01_Rohdaten'!B1079:D1079,'02_Eingaben'!$C$13))</f>
        <v/>
      </c>
      <c r="D1079" s="27">
        <f>IF(C1079="","",C1079*'02_Eingaben'!$C$15)</f>
        <v/>
      </c>
      <c r="E1079" s="27">
        <f>IF(D1079="","",D1079*'02_Eingaben'!$C$8)</f>
        <v/>
      </c>
      <c r="F1079" s="27">
        <f>IF(E1079="","",AVERAGE(INDEX($E$2:$E$3001,MAX(1,ROW()-1-'02_Eingaben'!$C$17)):INDEX($E$2:$E$3001,MIN('02_Eingaben'!$C$21,ROW()-1+'02_Eingaben'!$C$17))))</f>
        <v/>
      </c>
      <c r="G1079" s="27">
        <f>IF(F1079="","",F1079-'02_Eingaben'!$C$10)</f>
        <v/>
      </c>
      <c r="H1079">
        <f>IF(F1079="","",IF(F1079&lt;'02_Eingaben'!$C$18*'02_Eingaben'!$C$10,1,0))</f>
        <v/>
      </c>
      <c r="I1079" s="27">
        <f>IF(OR(G1079="",G1080=""),"",(G1079+G1080)/2*(B1080-B1079))</f>
        <v/>
      </c>
      <c r="J1079" s="27">
        <f>IF(B1079="","",IF(B1078&lt;'02_Eingaben'!$C$36,0,J1078+I1078/'02_Eingaben'!$C$8))</f>
        <v/>
      </c>
    </row>
    <row r="1080">
      <c r="A1080">
        <f>IF('01_Rohdaten'!A1080="","",ROW()-1)</f>
        <v/>
      </c>
      <c r="B1080" s="27">
        <f>IF('01_Rohdaten'!A1080="","",'01_Rohdaten'!A1080)</f>
        <v/>
      </c>
      <c r="C1080" s="27">
        <f>IF(B1080="","",INDEX('01_Rohdaten'!B1080:D1080,'02_Eingaben'!$C$13))</f>
        <v/>
      </c>
      <c r="D1080" s="27">
        <f>IF(C1080="","",C1080*'02_Eingaben'!$C$15)</f>
        <v/>
      </c>
      <c r="E1080" s="27">
        <f>IF(D1080="","",D1080*'02_Eingaben'!$C$8)</f>
        <v/>
      </c>
      <c r="F1080" s="27">
        <f>IF(E1080="","",AVERAGE(INDEX($E$2:$E$3001,MAX(1,ROW()-1-'02_Eingaben'!$C$17)):INDEX($E$2:$E$3001,MIN('02_Eingaben'!$C$21,ROW()-1+'02_Eingaben'!$C$17))))</f>
        <v/>
      </c>
      <c r="G1080" s="27">
        <f>IF(F1080="","",F1080-'02_Eingaben'!$C$10)</f>
        <v/>
      </c>
      <c r="H1080">
        <f>IF(F1080="","",IF(F1080&lt;'02_Eingaben'!$C$18*'02_Eingaben'!$C$10,1,0))</f>
        <v/>
      </c>
      <c r="I1080" s="27">
        <f>IF(OR(G1080="",G1081=""),"",(G1080+G1081)/2*(B1081-B1080))</f>
        <v/>
      </c>
      <c r="J1080" s="27">
        <f>IF(B1080="","",IF(B1079&lt;'02_Eingaben'!$C$36,0,J1079+I1079/'02_Eingaben'!$C$8))</f>
        <v/>
      </c>
    </row>
    <row r="1081">
      <c r="A1081">
        <f>IF('01_Rohdaten'!A1081="","",ROW()-1)</f>
        <v/>
      </c>
      <c r="B1081" s="27">
        <f>IF('01_Rohdaten'!A1081="","",'01_Rohdaten'!A1081)</f>
        <v/>
      </c>
      <c r="C1081" s="27">
        <f>IF(B1081="","",INDEX('01_Rohdaten'!B1081:D1081,'02_Eingaben'!$C$13))</f>
        <v/>
      </c>
      <c r="D1081" s="27">
        <f>IF(C1081="","",C1081*'02_Eingaben'!$C$15)</f>
        <v/>
      </c>
      <c r="E1081" s="27">
        <f>IF(D1081="","",D1081*'02_Eingaben'!$C$8)</f>
        <v/>
      </c>
      <c r="F1081" s="27">
        <f>IF(E1081="","",AVERAGE(INDEX($E$2:$E$3001,MAX(1,ROW()-1-'02_Eingaben'!$C$17)):INDEX($E$2:$E$3001,MIN('02_Eingaben'!$C$21,ROW()-1+'02_Eingaben'!$C$17))))</f>
        <v/>
      </c>
      <c r="G1081" s="27">
        <f>IF(F1081="","",F1081-'02_Eingaben'!$C$10)</f>
        <v/>
      </c>
      <c r="H1081">
        <f>IF(F1081="","",IF(F1081&lt;'02_Eingaben'!$C$18*'02_Eingaben'!$C$10,1,0))</f>
        <v/>
      </c>
      <c r="I1081" s="27">
        <f>IF(OR(G1081="",G1082=""),"",(G1081+G1082)/2*(B1082-B1081))</f>
        <v/>
      </c>
      <c r="J1081" s="27">
        <f>IF(B1081="","",IF(B1080&lt;'02_Eingaben'!$C$36,0,J1080+I1080/'02_Eingaben'!$C$8))</f>
        <v/>
      </c>
    </row>
    <row r="1082">
      <c r="A1082">
        <f>IF('01_Rohdaten'!A1082="","",ROW()-1)</f>
        <v/>
      </c>
      <c r="B1082" s="27">
        <f>IF('01_Rohdaten'!A1082="","",'01_Rohdaten'!A1082)</f>
        <v/>
      </c>
      <c r="C1082" s="27">
        <f>IF(B1082="","",INDEX('01_Rohdaten'!B1082:D1082,'02_Eingaben'!$C$13))</f>
        <v/>
      </c>
      <c r="D1082" s="27">
        <f>IF(C1082="","",C1082*'02_Eingaben'!$C$15)</f>
        <v/>
      </c>
      <c r="E1082" s="27">
        <f>IF(D1082="","",D1082*'02_Eingaben'!$C$8)</f>
        <v/>
      </c>
      <c r="F1082" s="27">
        <f>IF(E1082="","",AVERAGE(INDEX($E$2:$E$3001,MAX(1,ROW()-1-'02_Eingaben'!$C$17)):INDEX($E$2:$E$3001,MIN('02_Eingaben'!$C$21,ROW()-1+'02_Eingaben'!$C$17))))</f>
        <v/>
      </c>
      <c r="G1082" s="27">
        <f>IF(F1082="","",F1082-'02_Eingaben'!$C$10)</f>
        <v/>
      </c>
      <c r="H1082">
        <f>IF(F1082="","",IF(F1082&lt;'02_Eingaben'!$C$18*'02_Eingaben'!$C$10,1,0))</f>
        <v/>
      </c>
      <c r="I1082" s="27">
        <f>IF(OR(G1082="",G1083=""),"",(G1082+G1083)/2*(B1083-B1082))</f>
        <v/>
      </c>
      <c r="J1082" s="27">
        <f>IF(B1082="","",IF(B1081&lt;'02_Eingaben'!$C$36,0,J1081+I1081/'02_Eingaben'!$C$8))</f>
        <v/>
      </c>
    </row>
    <row r="1083">
      <c r="A1083">
        <f>IF('01_Rohdaten'!A1083="","",ROW()-1)</f>
        <v/>
      </c>
      <c r="B1083" s="27">
        <f>IF('01_Rohdaten'!A1083="","",'01_Rohdaten'!A1083)</f>
        <v/>
      </c>
      <c r="C1083" s="27">
        <f>IF(B1083="","",INDEX('01_Rohdaten'!B1083:D1083,'02_Eingaben'!$C$13))</f>
        <v/>
      </c>
      <c r="D1083" s="27">
        <f>IF(C1083="","",C1083*'02_Eingaben'!$C$15)</f>
        <v/>
      </c>
      <c r="E1083" s="27">
        <f>IF(D1083="","",D1083*'02_Eingaben'!$C$8)</f>
        <v/>
      </c>
      <c r="F1083" s="27">
        <f>IF(E1083="","",AVERAGE(INDEX($E$2:$E$3001,MAX(1,ROW()-1-'02_Eingaben'!$C$17)):INDEX($E$2:$E$3001,MIN('02_Eingaben'!$C$21,ROW()-1+'02_Eingaben'!$C$17))))</f>
        <v/>
      </c>
      <c r="G1083" s="27">
        <f>IF(F1083="","",F1083-'02_Eingaben'!$C$10)</f>
        <v/>
      </c>
      <c r="H1083">
        <f>IF(F1083="","",IF(F1083&lt;'02_Eingaben'!$C$18*'02_Eingaben'!$C$10,1,0))</f>
        <v/>
      </c>
      <c r="I1083" s="27">
        <f>IF(OR(G1083="",G1084=""),"",(G1083+G1084)/2*(B1084-B1083))</f>
        <v/>
      </c>
      <c r="J1083" s="27">
        <f>IF(B1083="","",IF(B1082&lt;'02_Eingaben'!$C$36,0,J1082+I1082/'02_Eingaben'!$C$8))</f>
        <v/>
      </c>
    </row>
    <row r="1084">
      <c r="A1084">
        <f>IF('01_Rohdaten'!A1084="","",ROW()-1)</f>
        <v/>
      </c>
      <c r="B1084" s="27">
        <f>IF('01_Rohdaten'!A1084="","",'01_Rohdaten'!A1084)</f>
        <v/>
      </c>
      <c r="C1084" s="27">
        <f>IF(B1084="","",INDEX('01_Rohdaten'!B1084:D1084,'02_Eingaben'!$C$13))</f>
        <v/>
      </c>
      <c r="D1084" s="27">
        <f>IF(C1084="","",C1084*'02_Eingaben'!$C$15)</f>
        <v/>
      </c>
      <c r="E1084" s="27">
        <f>IF(D1084="","",D1084*'02_Eingaben'!$C$8)</f>
        <v/>
      </c>
      <c r="F1084" s="27">
        <f>IF(E1084="","",AVERAGE(INDEX($E$2:$E$3001,MAX(1,ROW()-1-'02_Eingaben'!$C$17)):INDEX($E$2:$E$3001,MIN('02_Eingaben'!$C$21,ROW()-1+'02_Eingaben'!$C$17))))</f>
        <v/>
      </c>
      <c r="G1084" s="27">
        <f>IF(F1084="","",F1084-'02_Eingaben'!$C$10)</f>
        <v/>
      </c>
      <c r="H1084">
        <f>IF(F1084="","",IF(F1084&lt;'02_Eingaben'!$C$18*'02_Eingaben'!$C$10,1,0))</f>
        <v/>
      </c>
      <c r="I1084" s="27">
        <f>IF(OR(G1084="",G1085=""),"",(G1084+G1085)/2*(B1085-B1084))</f>
        <v/>
      </c>
      <c r="J1084" s="27">
        <f>IF(B1084="","",IF(B1083&lt;'02_Eingaben'!$C$36,0,J1083+I1083/'02_Eingaben'!$C$8))</f>
        <v/>
      </c>
    </row>
    <row r="1085">
      <c r="A1085">
        <f>IF('01_Rohdaten'!A1085="","",ROW()-1)</f>
        <v/>
      </c>
      <c r="B1085" s="27">
        <f>IF('01_Rohdaten'!A1085="","",'01_Rohdaten'!A1085)</f>
        <v/>
      </c>
      <c r="C1085" s="27">
        <f>IF(B1085="","",INDEX('01_Rohdaten'!B1085:D1085,'02_Eingaben'!$C$13))</f>
        <v/>
      </c>
      <c r="D1085" s="27">
        <f>IF(C1085="","",C1085*'02_Eingaben'!$C$15)</f>
        <v/>
      </c>
      <c r="E1085" s="27">
        <f>IF(D1085="","",D1085*'02_Eingaben'!$C$8)</f>
        <v/>
      </c>
      <c r="F1085" s="27">
        <f>IF(E1085="","",AVERAGE(INDEX($E$2:$E$3001,MAX(1,ROW()-1-'02_Eingaben'!$C$17)):INDEX($E$2:$E$3001,MIN('02_Eingaben'!$C$21,ROW()-1+'02_Eingaben'!$C$17))))</f>
        <v/>
      </c>
      <c r="G1085" s="27">
        <f>IF(F1085="","",F1085-'02_Eingaben'!$C$10)</f>
        <v/>
      </c>
      <c r="H1085">
        <f>IF(F1085="","",IF(F1085&lt;'02_Eingaben'!$C$18*'02_Eingaben'!$C$10,1,0))</f>
        <v/>
      </c>
      <c r="I1085" s="27">
        <f>IF(OR(G1085="",G1086=""),"",(G1085+G1086)/2*(B1086-B1085))</f>
        <v/>
      </c>
      <c r="J1085" s="27">
        <f>IF(B1085="","",IF(B1084&lt;'02_Eingaben'!$C$36,0,J1084+I1084/'02_Eingaben'!$C$8))</f>
        <v/>
      </c>
    </row>
    <row r="1086">
      <c r="A1086">
        <f>IF('01_Rohdaten'!A1086="","",ROW()-1)</f>
        <v/>
      </c>
      <c r="B1086" s="27">
        <f>IF('01_Rohdaten'!A1086="","",'01_Rohdaten'!A1086)</f>
        <v/>
      </c>
      <c r="C1086" s="27">
        <f>IF(B1086="","",INDEX('01_Rohdaten'!B1086:D1086,'02_Eingaben'!$C$13))</f>
        <v/>
      </c>
      <c r="D1086" s="27">
        <f>IF(C1086="","",C1086*'02_Eingaben'!$C$15)</f>
        <v/>
      </c>
      <c r="E1086" s="27">
        <f>IF(D1086="","",D1086*'02_Eingaben'!$C$8)</f>
        <v/>
      </c>
      <c r="F1086" s="27">
        <f>IF(E1086="","",AVERAGE(INDEX($E$2:$E$3001,MAX(1,ROW()-1-'02_Eingaben'!$C$17)):INDEX($E$2:$E$3001,MIN('02_Eingaben'!$C$21,ROW()-1+'02_Eingaben'!$C$17))))</f>
        <v/>
      </c>
      <c r="G1086" s="27">
        <f>IF(F1086="","",F1086-'02_Eingaben'!$C$10)</f>
        <v/>
      </c>
      <c r="H1086">
        <f>IF(F1086="","",IF(F1086&lt;'02_Eingaben'!$C$18*'02_Eingaben'!$C$10,1,0))</f>
        <v/>
      </c>
      <c r="I1086" s="27">
        <f>IF(OR(G1086="",G1087=""),"",(G1086+G1087)/2*(B1087-B1086))</f>
        <v/>
      </c>
      <c r="J1086" s="27">
        <f>IF(B1086="","",IF(B1085&lt;'02_Eingaben'!$C$36,0,J1085+I1085/'02_Eingaben'!$C$8))</f>
        <v/>
      </c>
    </row>
    <row r="1087">
      <c r="A1087">
        <f>IF('01_Rohdaten'!A1087="","",ROW()-1)</f>
        <v/>
      </c>
      <c r="B1087" s="27">
        <f>IF('01_Rohdaten'!A1087="","",'01_Rohdaten'!A1087)</f>
        <v/>
      </c>
      <c r="C1087" s="27">
        <f>IF(B1087="","",INDEX('01_Rohdaten'!B1087:D1087,'02_Eingaben'!$C$13))</f>
        <v/>
      </c>
      <c r="D1087" s="27">
        <f>IF(C1087="","",C1087*'02_Eingaben'!$C$15)</f>
        <v/>
      </c>
      <c r="E1087" s="27">
        <f>IF(D1087="","",D1087*'02_Eingaben'!$C$8)</f>
        <v/>
      </c>
      <c r="F1087" s="27">
        <f>IF(E1087="","",AVERAGE(INDEX($E$2:$E$3001,MAX(1,ROW()-1-'02_Eingaben'!$C$17)):INDEX($E$2:$E$3001,MIN('02_Eingaben'!$C$21,ROW()-1+'02_Eingaben'!$C$17))))</f>
        <v/>
      </c>
      <c r="G1087" s="27">
        <f>IF(F1087="","",F1087-'02_Eingaben'!$C$10)</f>
        <v/>
      </c>
      <c r="H1087">
        <f>IF(F1087="","",IF(F1087&lt;'02_Eingaben'!$C$18*'02_Eingaben'!$C$10,1,0))</f>
        <v/>
      </c>
      <c r="I1087" s="27">
        <f>IF(OR(G1087="",G1088=""),"",(G1087+G1088)/2*(B1088-B1087))</f>
        <v/>
      </c>
      <c r="J1087" s="27">
        <f>IF(B1087="","",IF(B1086&lt;'02_Eingaben'!$C$36,0,J1086+I1086/'02_Eingaben'!$C$8))</f>
        <v/>
      </c>
    </row>
    <row r="1088">
      <c r="A1088">
        <f>IF('01_Rohdaten'!A1088="","",ROW()-1)</f>
        <v/>
      </c>
      <c r="B1088" s="27">
        <f>IF('01_Rohdaten'!A1088="","",'01_Rohdaten'!A1088)</f>
        <v/>
      </c>
      <c r="C1088" s="27">
        <f>IF(B1088="","",INDEX('01_Rohdaten'!B1088:D1088,'02_Eingaben'!$C$13))</f>
        <v/>
      </c>
      <c r="D1088" s="27">
        <f>IF(C1088="","",C1088*'02_Eingaben'!$C$15)</f>
        <v/>
      </c>
      <c r="E1088" s="27">
        <f>IF(D1088="","",D1088*'02_Eingaben'!$C$8)</f>
        <v/>
      </c>
      <c r="F1088" s="27">
        <f>IF(E1088="","",AVERAGE(INDEX($E$2:$E$3001,MAX(1,ROW()-1-'02_Eingaben'!$C$17)):INDEX($E$2:$E$3001,MIN('02_Eingaben'!$C$21,ROW()-1+'02_Eingaben'!$C$17))))</f>
        <v/>
      </c>
      <c r="G1088" s="27">
        <f>IF(F1088="","",F1088-'02_Eingaben'!$C$10)</f>
        <v/>
      </c>
      <c r="H1088">
        <f>IF(F1088="","",IF(F1088&lt;'02_Eingaben'!$C$18*'02_Eingaben'!$C$10,1,0))</f>
        <v/>
      </c>
      <c r="I1088" s="27">
        <f>IF(OR(G1088="",G1089=""),"",(G1088+G1089)/2*(B1089-B1088))</f>
        <v/>
      </c>
      <c r="J1088" s="27">
        <f>IF(B1088="","",IF(B1087&lt;'02_Eingaben'!$C$36,0,J1087+I1087/'02_Eingaben'!$C$8))</f>
        <v/>
      </c>
    </row>
    <row r="1089">
      <c r="A1089">
        <f>IF('01_Rohdaten'!A1089="","",ROW()-1)</f>
        <v/>
      </c>
      <c r="B1089" s="27">
        <f>IF('01_Rohdaten'!A1089="","",'01_Rohdaten'!A1089)</f>
        <v/>
      </c>
      <c r="C1089" s="27">
        <f>IF(B1089="","",INDEX('01_Rohdaten'!B1089:D1089,'02_Eingaben'!$C$13))</f>
        <v/>
      </c>
      <c r="D1089" s="27">
        <f>IF(C1089="","",C1089*'02_Eingaben'!$C$15)</f>
        <v/>
      </c>
      <c r="E1089" s="27">
        <f>IF(D1089="","",D1089*'02_Eingaben'!$C$8)</f>
        <v/>
      </c>
      <c r="F1089" s="27">
        <f>IF(E1089="","",AVERAGE(INDEX($E$2:$E$3001,MAX(1,ROW()-1-'02_Eingaben'!$C$17)):INDEX($E$2:$E$3001,MIN('02_Eingaben'!$C$21,ROW()-1+'02_Eingaben'!$C$17))))</f>
        <v/>
      </c>
      <c r="G1089" s="27">
        <f>IF(F1089="","",F1089-'02_Eingaben'!$C$10)</f>
        <v/>
      </c>
      <c r="H1089">
        <f>IF(F1089="","",IF(F1089&lt;'02_Eingaben'!$C$18*'02_Eingaben'!$C$10,1,0))</f>
        <v/>
      </c>
      <c r="I1089" s="27">
        <f>IF(OR(G1089="",G1090=""),"",(G1089+G1090)/2*(B1090-B1089))</f>
        <v/>
      </c>
      <c r="J1089" s="27">
        <f>IF(B1089="","",IF(B1088&lt;'02_Eingaben'!$C$36,0,J1088+I1088/'02_Eingaben'!$C$8))</f>
        <v/>
      </c>
    </row>
    <row r="1090">
      <c r="A1090">
        <f>IF('01_Rohdaten'!A1090="","",ROW()-1)</f>
        <v/>
      </c>
      <c r="B1090" s="27">
        <f>IF('01_Rohdaten'!A1090="","",'01_Rohdaten'!A1090)</f>
        <v/>
      </c>
      <c r="C1090" s="27">
        <f>IF(B1090="","",INDEX('01_Rohdaten'!B1090:D1090,'02_Eingaben'!$C$13))</f>
        <v/>
      </c>
      <c r="D1090" s="27">
        <f>IF(C1090="","",C1090*'02_Eingaben'!$C$15)</f>
        <v/>
      </c>
      <c r="E1090" s="27">
        <f>IF(D1090="","",D1090*'02_Eingaben'!$C$8)</f>
        <v/>
      </c>
      <c r="F1090" s="27">
        <f>IF(E1090="","",AVERAGE(INDEX($E$2:$E$3001,MAX(1,ROW()-1-'02_Eingaben'!$C$17)):INDEX($E$2:$E$3001,MIN('02_Eingaben'!$C$21,ROW()-1+'02_Eingaben'!$C$17))))</f>
        <v/>
      </c>
      <c r="G1090" s="27">
        <f>IF(F1090="","",F1090-'02_Eingaben'!$C$10)</f>
        <v/>
      </c>
      <c r="H1090">
        <f>IF(F1090="","",IF(F1090&lt;'02_Eingaben'!$C$18*'02_Eingaben'!$C$10,1,0))</f>
        <v/>
      </c>
      <c r="I1090" s="27">
        <f>IF(OR(G1090="",G1091=""),"",(G1090+G1091)/2*(B1091-B1090))</f>
        <v/>
      </c>
      <c r="J1090" s="27">
        <f>IF(B1090="","",IF(B1089&lt;'02_Eingaben'!$C$36,0,J1089+I1089/'02_Eingaben'!$C$8))</f>
        <v/>
      </c>
    </row>
    <row r="1091">
      <c r="A1091">
        <f>IF('01_Rohdaten'!A1091="","",ROW()-1)</f>
        <v/>
      </c>
      <c r="B1091" s="27">
        <f>IF('01_Rohdaten'!A1091="","",'01_Rohdaten'!A1091)</f>
        <v/>
      </c>
      <c r="C1091" s="27">
        <f>IF(B1091="","",INDEX('01_Rohdaten'!B1091:D1091,'02_Eingaben'!$C$13))</f>
        <v/>
      </c>
      <c r="D1091" s="27">
        <f>IF(C1091="","",C1091*'02_Eingaben'!$C$15)</f>
        <v/>
      </c>
      <c r="E1091" s="27">
        <f>IF(D1091="","",D1091*'02_Eingaben'!$C$8)</f>
        <v/>
      </c>
      <c r="F1091" s="27">
        <f>IF(E1091="","",AVERAGE(INDEX($E$2:$E$3001,MAX(1,ROW()-1-'02_Eingaben'!$C$17)):INDEX($E$2:$E$3001,MIN('02_Eingaben'!$C$21,ROW()-1+'02_Eingaben'!$C$17))))</f>
        <v/>
      </c>
      <c r="G1091" s="27">
        <f>IF(F1091="","",F1091-'02_Eingaben'!$C$10)</f>
        <v/>
      </c>
      <c r="H1091">
        <f>IF(F1091="","",IF(F1091&lt;'02_Eingaben'!$C$18*'02_Eingaben'!$C$10,1,0))</f>
        <v/>
      </c>
      <c r="I1091" s="27">
        <f>IF(OR(G1091="",G1092=""),"",(G1091+G1092)/2*(B1092-B1091))</f>
        <v/>
      </c>
      <c r="J1091" s="27">
        <f>IF(B1091="","",IF(B1090&lt;'02_Eingaben'!$C$36,0,J1090+I1090/'02_Eingaben'!$C$8))</f>
        <v/>
      </c>
    </row>
    <row r="1092">
      <c r="A1092">
        <f>IF('01_Rohdaten'!A1092="","",ROW()-1)</f>
        <v/>
      </c>
      <c r="B1092" s="27">
        <f>IF('01_Rohdaten'!A1092="","",'01_Rohdaten'!A1092)</f>
        <v/>
      </c>
      <c r="C1092" s="27">
        <f>IF(B1092="","",INDEX('01_Rohdaten'!B1092:D1092,'02_Eingaben'!$C$13))</f>
        <v/>
      </c>
      <c r="D1092" s="27">
        <f>IF(C1092="","",C1092*'02_Eingaben'!$C$15)</f>
        <v/>
      </c>
      <c r="E1092" s="27">
        <f>IF(D1092="","",D1092*'02_Eingaben'!$C$8)</f>
        <v/>
      </c>
      <c r="F1092" s="27">
        <f>IF(E1092="","",AVERAGE(INDEX($E$2:$E$3001,MAX(1,ROW()-1-'02_Eingaben'!$C$17)):INDEX($E$2:$E$3001,MIN('02_Eingaben'!$C$21,ROW()-1+'02_Eingaben'!$C$17))))</f>
        <v/>
      </c>
      <c r="G1092" s="27">
        <f>IF(F1092="","",F1092-'02_Eingaben'!$C$10)</f>
        <v/>
      </c>
      <c r="H1092">
        <f>IF(F1092="","",IF(F1092&lt;'02_Eingaben'!$C$18*'02_Eingaben'!$C$10,1,0))</f>
        <v/>
      </c>
      <c r="I1092" s="27">
        <f>IF(OR(G1092="",G1093=""),"",(G1092+G1093)/2*(B1093-B1092))</f>
        <v/>
      </c>
      <c r="J1092" s="27">
        <f>IF(B1092="","",IF(B1091&lt;'02_Eingaben'!$C$36,0,J1091+I1091/'02_Eingaben'!$C$8))</f>
        <v/>
      </c>
    </row>
    <row r="1093">
      <c r="A1093">
        <f>IF('01_Rohdaten'!A1093="","",ROW()-1)</f>
        <v/>
      </c>
      <c r="B1093" s="27">
        <f>IF('01_Rohdaten'!A1093="","",'01_Rohdaten'!A1093)</f>
        <v/>
      </c>
      <c r="C1093" s="27">
        <f>IF(B1093="","",INDEX('01_Rohdaten'!B1093:D1093,'02_Eingaben'!$C$13))</f>
        <v/>
      </c>
      <c r="D1093" s="27">
        <f>IF(C1093="","",C1093*'02_Eingaben'!$C$15)</f>
        <v/>
      </c>
      <c r="E1093" s="27">
        <f>IF(D1093="","",D1093*'02_Eingaben'!$C$8)</f>
        <v/>
      </c>
      <c r="F1093" s="27">
        <f>IF(E1093="","",AVERAGE(INDEX($E$2:$E$3001,MAX(1,ROW()-1-'02_Eingaben'!$C$17)):INDEX($E$2:$E$3001,MIN('02_Eingaben'!$C$21,ROW()-1+'02_Eingaben'!$C$17))))</f>
        <v/>
      </c>
      <c r="G1093" s="27">
        <f>IF(F1093="","",F1093-'02_Eingaben'!$C$10)</f>
        <v/>
      </c>
      <c r="H1093">
        <f>IF(F1093="","",IF(F1093&lt;'02_Eingaben'!$C$18*'02_Eingaben'!$C$10,1,0))</f>
        <v/>
      </c>
      <c r="I1093" s="27">
        <f>IF(OR(G1093="",G1094=""),"",(G1093+G1094)/2*(B1094-B1093))</f>
        <v/>
      </c>
      <c r="J1093" s="27">
        <f>IF(B1093="","",IF(B1092&lt;'02_Eingaben'!$C$36,0,J1092+I1092/'02_Eingaben'!$C$8))</f>
        <v/>
      </c>
    </row>
    <row r="1094">
      <c r="A1094">
        <f>IF('01_Rohdaten'!A1094="","",ROW()-1)</f>
        <v/>
      </c>
      <c r="B1094" s="27">
        <f>IF('01_Rohdaten'!A1094="","",'01_Rohdaten'!A1094)</f>
        <v/>
      </c>
      <c r="C1094" s="27">
        <f>IF(B1094="","",INDEX('01_Rohdaten'!B1094:D1094,'02_Eingaben'!$C$13))</f>
        <v/>
      </c>
      <c r="D1094" s="27">
        <f>IF(C1094="","",C1094*'02_Eingaben'!$C$15)</f>
        <v/>
      </c>
      <c r="E1094" s="27">
        <f>IF(D1094="","",D1094*'02_Eingaben'!$C$8)</f>
        <v/>
      </c>
      <c r="F1094" s="27">
        <f>IF(E1094="","",AVERAGE(INDEX($E$2:$E$3001,MAX(1,ROW()-1-'02_Eingaben'!$C$17)):INDEX($E$2:$E$3001,MIN('02_Eingaben'!$C$21,ROW()-1+'02_Eingaben'!$C$17))))</f>
        <v/>
      </c>
      <c r="G1094" s="27">
        <f>IF(F1094="","",F1094-'02_Eingaben'!$C$10)</f>
        <v/>
      </c>
      <c r="H1094">
        <f>IF(F1094="","",IF(F1094&lt;'02_Eingaben'!$C$18*'02_Eingaben'!$C$10,1,0))</f>
        <v/>
      </c>
      <c r="I1094" s="27">
        <f>IF(OR(G1094="",G1095=""),"",(G1094+G1095)/2*(B1095-B1094))</f>
        <v/>
      </c>
      <c r="J1094" s="27">
        <f>IF(B1094="","",IF(B1093&lt;'02_Eingaben'!$C$36,0,J1093+I1093/'02_Eingaben'!$C$8))</f>
        <v/>
      </c>
    </row>
    <row r="1095">
      <c r="A1095">
        <f>IF('01_Rohdaten'!A1095="","",ROW()-1)</f>
        <v/>
      </c>
      <c r="B1095" s="27">
        <f>IF('01_Rohdaten'!A1095="","",'01_Rohdaten'!A1095)</f>
        <v/>
      </c>
      <c r="C1095" s="27">
        <f>IF(B1095="","",INDEX('01_Rohdaten'!B1095:D1095,'02_Eingaben'!$C$13))</f>
        <v/>
      </c>
      <c r="D1095" s="27">
        <f>IF(C1095="","",C1095*'02_Eingaben'!$C$15)</f>
        <v/>
      </c>
      <c r="E1095" s="27">
        <f>IF(D1095="","",D1095*'02_Eingaben'!$C$8)</f>
        <v/>
      </c>
      <c r="F1095" s="27">
        <f>IF(E1095="","",AVERAGE(INDEX($E$2:$E$3001,MAX(1,ROW()-1-'02_Eingaben'!$C$17)):INDEX($E$2:$E$3001,MIN('02_Eingaben'!$C$21,ROW()-1+'02_Eingaben'!$C$17))))</f>
        <v/>
      </c>
      <c r="G1095" s="27">
        <f>IF(F1095="","",F1095-'02_Eingaben'!$C$10)</f>
        <v/>
      </c>
      <c r="H1095">
        <f>IF(F1095="","",IF(F1095&lt;'02_Eingaben'!$C$18*'02_Eingaben'!$C$10,1,0))</f>
        <v/>
      </c>
      <c r="I1095" s="27">
        <f>IF(OR(G1095="",G1096=""),"",(G1095+G1096)/2*(B1096-B1095))</f>
        <v/>
      </c>
      <c r="J1095" s="27">
        <f>IF(B1095="","",IF(B1094&lt;'02_Eingaben'!$C$36,0,J1094+I1094/'02_Eingaben'!$C$8))</f>
        <v/>
      </c>
    </row>
    <row r="1096">
      <c r="A1096">
        <f>IF('01_Rohdaten'!A1096="","",ROW()-1)</f>
        <v/>
      </c>
      <c r="B1096" s="27">
        <f>IF('01_Rohdaten'!A1096="","",'01_Rohdaten'!A1096)</f>
        <v/>
      </c>
      <c r="C1096" s="27">
        <f>IF(B1096="","",INDEX('01_Rohdaten'!B1096:D1096,'02_Eingaben'!$C$13))</f>
        <v/>
      </c>
      <c r="D1096" s="27">
        <f>IF(C1096="","",C1096*'02_Eingaben'!$C$15)</f>
        <v/>
      </c>
      <c r="E1096" s="27">
        <f>IF(D1096="","",D1096*'02_Eingaben'!$C$8)</f>
        <v/>
      </c>
      <c r="F1096" s="27">
        <f>IF(E1096="","",AVERAGE(INDEX($E$2:$E$3001,MAX(1,ROW()-1-'02_Eingaben'!$C$17)):INDEX($E$2:$E$3001,MIN('02_Eingaben'!$C$21,ROW()-1+'02_Eingaben'!$C$17))))</f>
        <v/>
      </c>
      <c r="G1096" s="27">
        <f>IF(F1096="","",F1096-'02_Eingaben'!$C$10)</f>
        <v/>
      </c>
      <c r="H1096">
        <f>IF(F1096="","",IF(F1096&lt;'02_Eingaben'!$C$18*'02_Eingaben'!$C$10,1,0))</f>
        <v/>
      </c>
      <c r="I1096" s="27">
        <f>IF(OR(G1096="",G1097=""),"",(G1096+G1097)/2*(B1097-B1096))</f>
        <v/>
      </c>
      <c r="J1096" s="27">
        <f>IF(B1096="","",IF(B1095&lt;'02_Eingaben'!$C$36,0,J1095+I1095/'02_Eingaben'!$C$8))</f>
        <v/>
      </c>
    </row>
    <row r="1097">
      <c r="A1097">
        <f>IF('01_Rohdaten'!A1097="","",ROW()-1)</f>
        <v/>
      </c>
      <c r="B1097" s="27">
        <f>IF('01_Rohdaten'!A1097="","",'01_Rohdaten'!A1097)</f>
        <v/>
      </c>
      <c r="C1097" s="27">
        <f>IF(B1097="","",INDEX('01_Rohdaten'!B1097:D1097,'02_Eingaben'!$C$13))</f>
        <v/>
      </c>
      <c r="D1097" s="27">
        <f>IF(C1097="","",C1097*'02_Eingaben'!$C$15)</f>
        <v/>
      </c>
      <c r="E1097" s="27">
        <f>IF(D1097="","",D1097*'02_Eingaben'!$C$8)</f>
        <v/>
      </c>
      <c r="F1097" s="27">
        <f>IF(E1097="","",AVERAGE(INDEX($E$2:$E$3001,MAX(1,ROW()-1-'02_Eingaben'!$C$17)):INDEX($E$2:$E$3001,MIN('02_Eingaben'!$C$21,ROW()-1+'02_Eingaben'!$C$17))))</f>
        <v/>
      </c>
      <c r="G1097" s="27">
        <f>IF(F1097="","",F1097-'02_Eingaben'!$C$10)</f>
        <v/>
      </c>
      <c r="H1097">
        <f>IF(F1097="","",IF(F1097&lt;'02_Eingaben'!$C$18*'02_Eingaben'!$C$10,1,0))</f>
        <v/>
      </c>
      <c r="I1097" s="27">
        <f>IF(OR(G1097="",G1098=""),"",(G1097+G1098)/2*(B1098-B1097))</f>
        <v/>
      </c>
      <c r="J1097" s="27">
        <f>IF(B1097="","",IF(B1096&lt;'02_Eingaben'!$C$36,0,J1096+I1096/'02_Eingaben'!$C$8))</f>
        <v/>
      </c>
    </row>
    <row r="1098">
      <c r="A1098">
        <f>IF('01_Rohdaten'!A1098="","",ROW()-1)</f>
        <v/>
      </c>
      <c r="B1098" s="27">
        <f>IF('01_Rohdaten'!A1098="","",'01_Rohdaten'!A1098)</f>
        <v/>
      </c>
      <c r="C1098" s="27">
        <f>IF(B1098="","",INDEX('01_Rohdaten'!B1098:D1098,'02_Eingaben'!$C$13))</f>
        <v/>
      </c>
      <c r="D1098" s="27">
        <f>IF(C1098="","",C1098*'02_Eingaben'!$C$15)</f>
        <v/>
      </c>
      <c r="E1098" s="27">
        <f>IF(D1098="","",D1098*'02_Eingaben'!$C$8)</f>
        <v/>
      </c>
      <c r="F1098" s="27">
        <f>IF(E1098="","",AVERAGE(INDEX($E$2:$E$3001,MAX(1,ROW()-1-'02_Eingaben'!$C$17)):INDEX($E$2:$E$3001,MIN('02_Eingaben'!$C$21,ROW()-1+'02_Eingaben'!$C$17))))</f>
        <v/>
      </c>
      <c r="G1098" s="27">
        <f>IF(F1098="","",F1098-'02_Eingaben'!$C$10)</f>
        <v/>
      </c>
      <c r="H1098">
        <f>IF(F1098="","",IF(F1098&lt;'02_Eingaben'!$C$18*'02_Eingaben'!$C$10,1,0))</f>
        <v/>
      </c>
      <c r="I1098" s="27">
        <f>IF(OR(G1098="",G1099=""),"",(G1098+G1099)/2*(B1099-B1098))</f>
        <v/>
      </c>
      <c r="J1098" s="27">
        <f>IF(B1098="","",IF(B1097&lt;'02_Eingaben'!$C$36,0,J1097+I1097/'02_Eingaben'!$C$8))</f>
        <v/>
      </c>
    </row>
    <row r="1099">
      <c r="A1099">
        <f>IF('01_Rohdaten'!A1099="","",ROW()-1)</f>
        <v/>
      </c>
      <c r="B1099" s="27">
        <f>IF('01_Rohdaten'!A1099="","",'01_Rohdaten'!A1099)</f>
        <v/>
      </c>
      <c r="C1099" s="27">
        <f>IF(B1099="","",INDEX('01_Rohdaten'!B1099:D1099,'02_Eingaben'!$C$13))</f>
        <v/>
      </c>
      <c r="D1099" s="27">
        <f>IF(C1099="","",C1099*'02_Eingaben'!$C$15)</f>
        <v/>
      </c>
      <c r="E1099" s="27">
        <f>IF(D1099="","",D1099*'02_Eingaben'!$C$8)</f>
        <v/>
      </c>
      <c r="F1099" s="27">
        <f>IF(E1099="","",AVERAGE(INDEX($E$2:$E$3001,MAX(1,ROW()-1-'02_Eingaben'!$C$17)):INDEX($E$2:$E$3001,MIN('02_Eingaben'!$C$21,ROW()-1+'02_Eingaben'!$C$17))))</f>
        <v/>
      </c>
      <c r="G1099" s="27">
        <f>IF(F1099="","",F1099-'02_Eingaben'!$C$10)</f>
        <v/>
      </c>
      <c r="H1099">
        <f>IF(F1099="","",IF(F1099&lt;'02_Eingaben'!$C$18*'02_Eingaben'!$C$10,1,0))</f>
        <v/>
      </c>
      <c r="I1099" s="27">
        <f>IF(OR(G1099="",G1100=""),"",(G1099+G1100)/2*(B1100-B1099))</f>
        <v/>
      </c>
      <c r="J1099" s="27">
        <f>IF(B1099="","",IF(B1098&lt;'02_Eingaben'!$C$36,0,J1098+I1098/'02_Eingaben'!$C$8))</f>
        <v/>
      </c>
    </row>
    <row r="1100">
      <c r="A1100">
        <f>IF('01_Rohdaten'!A1100="","",ROW()-1)</f>
        <v/>
      </c>
      <c r="B1100" s="27">
        <f>IF('01_Rohdaten'!A1100="","",'01_Rohdaten'!A1100)</f>
        <v/>
      </c>
      <c r="C1100" s="27">
        <f>IF(B1100="","",INDEX('01_Rohdaten'!B1100:D1100,'02_Eingaben'!$C$13))</f>
        <v/>
      </c>
      <c r="D1100" s="27">
        <f>IF(C1100="","",C1100*'02_Eingaben'!$C$15)</f>
        <v/>
      </c>
      <c r="E1100" s="27">
        <f>IF(D1100="","",D1100*'02_Eingaben'!$C$8)</f>
        <v/>
      </c>
      <c r="F1100" s="27">
        <f>IF(E1100="","",AVERAGE(INDEX($E$2:$E$3001,MAX(1,ROW()-1-'02_Eingaben'!$C$17)):INDEX($E$2:$E$3001,MIN('02_Eingaben'!$C$21,ROW()-1+'02_Eingaben'!$C$17))))</f>
        <v/>
      </c>
      <c r="G1100" s="27">
        <f>IF(F1100="","",F1100-'02_Eingaben'!$C$10)</f>
        <v/>
      </c>
      <c r="H1100">
        <f>IF(F1100="","",IF(F1100&lt;'02_Eingaben'!$C$18*'02_Eingaben'!$C$10,1,0))</f>
        <v/>
      </c>
      <c r="I1100" s="27">
        <f>IF(OR(G1100="",G1101=""),"",(G1100+G1101)/2*(B1101-B1100))</f>
        <v/>
      </c>
      <c r="J1100" s="27">
        <f>IF(B1100="","",IF(B1099&lt;'02_Eingaben'!$C$36,0,J1099+I1099/'02_Eingaben'!$C$8))</f>
        <v/>
      </c>
    </row>
    <row r="1101">
      <c r="A1101">
        <f>IF('01_Rohdaten'!A1101="","",ROW()-1)</f>
        <v/>
      </c>
      <c r="B1101" s="27">
        <f>IF('01_Rohdaten'!A1101="","",'01_Rohdaten'!A1101)</f>
        <v/>
      </c>
      <c r="C1101" s="27">
        <f>IF(B1101="","",INDEX('01_Rohdaten'!B1101:D1101,'02_Eingaben'!$C$13))</f>
        <v/>
      </c>
      <c r="D1101" s="27">
        <f>IF(C1101="","",C1101*'02_Eingaben'!$C$15)</f>
        <v/>
      </c>
      <c r="E1101" s="27">
        <f>IF(D1101="","",D1101*'02_Eingaben'!$C$8)</f>
        <v/>
      </c>
      <c r="F1101" s="27">
        <f>IF(E1101="","",AVERAGE(INDEX($E$2:$E$3001,MAX(1,ROW()-1-'02_Eingaben'!$C$17)):INDEX($E$2:$E$3001,MIN('02_Eingaben'!$C$21,ROW()-1+'02_Eingaben'!$C$17))))</f>
        <v/>
      </c>
      <c r="G1101" s="27">
        <f>IF(F1101="","",F1101-'02_Eingaben'!$C$10)</f>
        <v/>
      </c>
      <c r="H1101">
        <f>IF(F1101="","",IF(F1101&lt;'02_Eingaben'!$C$18*'02_Eingaben'!$C$10,1,0))</f>
        <v/>
      </c>
      <c r="I1101" s="27">
        <f>IF(OR(G1101="",G1102=""),"",(G1101+G1102)/2*(B1102-B1101))</f>
        <v/>
      </c>
      <c r="J1101" s="27">
        <f>IF(B1101="","",IF(B1100&lt;'02_Eingaben'!$C$36,0,J1100+I1100/'02_Eingaben'!$C$8))</f>
        <v/>
      </c>
    </row>
    <row r="1102">
      <c r="A1102">
        <f>IF('01_Rohdaten'!A1102="","",ROW()-1)</f>
        <v/>
      </c>
      <c r="B1102" s="27">
        <f>IF('01_Rohdaten'!A1102="","",'01_Rohdaten'!A1102)</f>
        <v/>
      </c>
      <c r="C1102" s="27">
        <f>IF(B1102="","",INDEX('01_Rohdaten'!B1102:D1102,'02_Eingaben'!$C$13))</f>
        <v/>
      </c>
      <c r="D1102" s="27">
        <f>IF(C1102="","",C1102*'02_Eingaben'!$C$15)</f>
        <v/>
      </c>
      <c r="E1102" s="27">
        <f>IF(D1102="","",D1102*'02_Eingaben'!$C$8)</f>
        <v/>
      </c>
      <c r="F1102" s="27">
        <f>IF(E1102="","",AVERAGE(INDEX($E$2:$E$3001,MAX(1,ROW()-1-'02_Eingaben'!$C$17)):INDEX($E$2:$E$3001,MIN('02_Eingaben'!$C$21,ROW()-1+'02_Eingaben'!$C$17))))</f>
        <v/>
      </c>
      <c r="G1102" s="27">
        <f>IF(F1102="","",F1102-'02_Eingaben'!$C$10)</f>
        <v/>
      </c>
      <c r="H1102">
        <f>IF(F1102="","",IF(F1102&lt;'02_Eingaben'!$C$18*'02_Eingaben'!$C$10,1,0))</f>
        <v/>
      </c>
      <c r="I1102" s="27">
        <f>IF(OR(G1102="",G1103=""),"",(G1102+G1103)/2*(B1103-B1102))</f>
        <v/>
      </c>
      <c r="J1102" s="27">
        <f>IF(B1102="","",IF(B1101&lt;'02_Eingaben'!$C$36,0,J1101+I1101/'02_Eingaben'!$C$8))</f>
        <v/>
      </c>
    </row>
    <row r="1103">
      <c r="A1103">
        <f>IF('01_Rohdaten'!A1103="","",ROW()-1)</f>
        <v/>
      </c>
      <c r="B1103" s="27">
        <f>IF('01_Rohdaten'!A1103="","",'01_Rohdaten'!A1103)</f>
        <v/>
      </c>
      <c r="C1103" s="27">
        <f>IF(B1103="","",INDEX('01_Rohdaten'!B1103:D1103,'02_Eingaben'!$C$13))</f>
        <v/>
      </c>
      <c r="D1103" s="27">
        <f>IF(C1103="","",C1103*'02_Eingaben'!$C$15)</f>
        <v/>
      </c>
      <c r="E1103" s="27">
        <f>IF(D1103="","",D1103*'02_Eingaben'!$C$8)</f>
        <v/>
      </c>
      <c r="F1103" s="27">
        <f>IF(E1103="","",AVERAGE(INDEX($E$2:$E$3001,MAX(1,ROW()-1-'02_Eingaben'!$C$17)):INDEX($E$2:$E$3001,MIN('02_Eingaben'!$C$21,ROW()-1+'02_Eingaben'!$C$17))))</f>
        <v/>
      </c>
      <c r="G1103" s="27">
        <f>IF(F1103="","",F1103-'02_Eingaben'!$C$10)</f>
        <v/>
      </c>
      <c r="H1103">
        <f>IF(F1103="","",IF(F1103&lt;'02_Eingaben'!$C$18*'02_Eingaben'!$C$10,1,0))</f>
        <v/>
      </c>
      <c r="I1103" s="27">
        <f>IF(OR(G1103="",G1104=""),"",(G1103+G1104)/2*(B1104-B1103))</f>
        <v/>
      </c>
      <c r="J1103" s="27">
        <f>IF(B1103="","",IF(B1102&lt;'02_Eingaben'!$C$36,0,J1102+I1102/'02_Eingaben'!$C$8))</f>
        <v/>
      </c>
    </row>
    <row r="1104">
      <c r="A1104">
        <f>IF('01_Rohdaten'!A1104="","",ROW()-1)</f>
        <v/>
      </c>
      <c r="B1104" s="27">
        <f>IF('01_Rohdaten'!A1104="","",'01_Rohdaten'!A1104)</f>
        <v/>
      </c>
      <c r="C1104" s="27">
        <f>IF(B1104="","",INDEX('01_Rohdaten'!B1104:D1104,'02_Eingaben'!$C$13))</f>
        <v/>
      </c>
      <c r="D1104" s="27">
        <f>IF(C1104="","",C1104*'02_Eingaben'!$C$15)</f>
        <v/>
      </c>
      <c r="E1104" s="27">
        <f>IF(D1104="","",D1104*'02_Eingaben'!$C$8)</f>
        <v/>
      </c>
      <c r="F1104" s="27">
        <f>IF(E1104="","",AVERAGE(INDEX($E$2:$E$3001,MAX(1,ROW()-1-'02_Eingaben'!$C$17)):INDEX($E$2:$E$3001,MIN('02_Eingaben'!$C$21,ROW()-1+'02_Eingaben'!$C$17))))</f>
        <v/>
      </c>
      <c r="G1104" s="27">
        <f>IF(F1104="","",F1104-'02_Eingaben'!$C$10)</f>
        <v/>
      </c>
      <c r="H1104">
        <f>IF(F1104="","",IF(F1104&lt;'02_Eingaben'!$C$18*'02_Eingaben'!$C$10,1,0))</f>
        <v/>
      </c>
      <c r="I1104" s="27">
        <f>IF(OR(G1104="",G1105=""),"",(G1104+G1105)/2*(B1105-B1104))</f>
        <v/>
      </c>
      <c r="J1104" s="27">
        <f>IF(B1104="","",IF(B1103&lt;'02_Eingaben'!$C$36,0,J1103+I1103/'02_Eingaben'!$C$8))</f>
        <v/>
      </c>
    </row>
    <row r="1105">
      <c r="A1105">
        <f>IF('01_Rohdaten'!A1105="","",ROW()-1)</f>
        <v/>
      </c>
      <c r="B1105" s="27">
        <f>IF('01_Rohdaten'!A1105="","",'01_Rohdaten'!A1105)</f>
        <v/>
      </c>
      <c r="C1105" s="27">
        <f>IF(B1105="","",INDEX('01_Rohdaten'!B1105:D1105,'02_Eingaben'!$C$13))</f>
        <v/>
      </c>
      <c r="D1105" s="27">
        <f>IF(C1105="","",C1105*'02_Eingaben'!$C$15)</f>
        <v/>
      </c>
      <c r="E1105" s="27">
        <f>IF(D1105="","",D1105*'02_Eingaben'!$C$8)</f>
        <v/>
      </c>
      <c r="F1105" s="27">
        <f>IF(E1105="","",AVERAGE(INDEX($E$2:$E$3001,MAX(1,ROW()-1-'02_Eingaben'!$C$17)):INDEX($E$2:$E$3001,MIN('02_Eingaben'!$C$21,ROW()-1+'02_Eingaben'!$C$17))))</f>
        <v/>
      </c>
      <c r="G1105" s="27">
        <f>IF(F1105="","",F1105-'02_Eingaben'!$C$10)</f>
        <v/>
      </c>
      <c r="H1105">
        <f>IF(F1105="","",IF(F1105&lt;'02_Eingaben'!$C$18*'02_Eingaben'!$C$10,1,0))</f>
        <v/>
      </c>
      <c r="I1105" s="27">
        <f>IF(OR(G1105="",G1106=""),"",(G1105+G1106)/2*(B1106-B1105))</f>
        <v/>
      </c>
      <c r="J1105" s="27">
        <f>IF(B1105="","",IF(B1104&lt;'02_Eingaben'!$C$36,0,J1104+I1104/'02_Eingaben'!$C$8))</f>
        <v/>
      </c>
    </row>
    <row r="1106">
      <c r="A1106">
        <f>IF('01_Rohdaten'!A1106="","",ROW()-1)</f>
        <v/>
      </c>
      <c r="B1106" s="27">
        <f>IF('01_Rohdaten'!A1106="","",'01_Rohdaten'!A1106)</f>
        <v/>
      </c>
      <c r="C1106" s="27">
        <f>IF(B1106="","",INDEX('01_Rohdaten'!B1106:D1106,'02_Eingaben'!$C$13))</f>
        <v/>
      </c>
      <c r="D1106" s="27">
        <f>IF(C1106="","",C1106*'02_Eingaben'!$C$15)</f>
        <v/>
      </c>
      <c r="E1106" s="27">
        <f>IF(D1106="","",D1106*'02_Eingaben'!$C$8)</f>
        <v/>
      </c>
      <c r="F1106" s="27">
        <f>IF(E1106="","",AVERAGE(INDEX($E$2:$E$3001,MAX(1,ROW()-1-'02_Eingaben'!$C$17)):INDEX($E$2:$E$3001,MIN('02_Eingaben'!$C$21,ROW()-1+'02_Eingaben'!$C$17))))</f>
        <v/>
      </c>
      <c r="G1106" s="27">
        <f>IF(F1106="","",F1106-'02_Eingaben'!$C$10)</f>
        <v/>
      </c>
      <c r="H1106">
        <f>IF(F1106="","",IF(F1106&lt;'02_Eingaben'!$C$18*'02_Eingaben'!$C$10,1,0))</f>
        <v/>
      </c>
      <c r="I1106" s="27">
        <f>IF(OR(G1106="",G1107=""),"",(G1106+G1107)/2*(B1107-B1106))</f>
        <v/>
      </c>
      <c r="J1106" s="27">
        <f>IF(B1106="","",IF(B1105&lt;'02_Eingaben'!$C$36,0,J1105+I1105/'02_Eingaben'!$C$8))</f>
        <v/>
      </c>
    </row>
    <row r="1107">
      <c r="A1107">
        <f>IF('01_Rohdaten'!A1107="","",ROW()-1)</f>
        <v/>
      </c>
      <c r="B1107" s="27">
        <f>IF('01_Rohdaten'!A1107="","",'01_Rohdaten'!A1107)</f>
        <v/>
      </c>
      <c r="C1107" s="27">
        <f>IF(B1107="","",INDEX('01_Rohdaten'!B1107:D1107,'02_Eingaben'!$C$13))</f>
        <v/>
      </c>
      <c r="D1107" s="27">
        <f>IF(C1107="","",C1107*'02_Eingaben'!$C$15)</f>
        <v/>
      </c>
      <c r="E1107" s="27">
        <f>IF(D1107="","",D1107*'02_Eingaben'!$C$8)</f>
        <v/>
      </c>
      <c r="F1107" s="27">
        <f>IF(E1107="","",AVERAGE(INDEX($E$2:$E$3001,MAX(1,ROW()-1-'02_Eingaben'!$C$17)):INDEX($E$2:$E$3001,MIN('02_Eingaben'!$C$21,ROW()-1+'02_Eingaben'!$C$17))))</f>
        <v/>
      </c>
      <c r="G1107" s="27">
        <f>IF(F1107="","",F1107-'02_Eingaben'!$C$10)</f>
        <v/>
      </c>
      <c r="H1107">
        <f>IF(F1107="","",IF(F1107&lt;'02_Eingaben'!$C$18*'02_Eingaben'!$C$10,1,0))</f>
        <v/>
      </c>
      <c r="I1107" s="27">
        <f>IF(OR(G1107="",G1108=""),"",(G1107+G1108)/2*(B1108-B1107))</f>
        <v/>
      </c>
      <c r="J1107" s="27">
        <f>IF(B1107="","",IF(B1106&lt;'02_Eingaben'!$C$36,0,J1106+I1106/'02_Eingaben'!$C$8))</f>
        <v/>
      </c>
    </row>
    <row r="1108">
      <c r="A1108">
        <f>IF('01_Rohdaten'!A1108="","",ROW()-1)</f>
        <v/>
      </c>
      <c r="B1108" s="27">
        <f>IF('01_Rohdaten'!A1108="","",'01_Rohdaten'!A1108)</f>
        <v/>
      </c>
      <c r="C1108" s="27">
        <f>IF(B1108="","",INDEX('01_Rohdaten'!B1108:D1108,'02_Eingaben'!$C$13))</f>
        <v/>
      </c>
      <c r="D1108" s="27">
        <f>IF(C1108="","",C1108*'02_Eingaben'!$C$15)</f>
        <v/>
      </c>
      <c r="E1108" s="27">
        <f>IF(D1108="","",D1108*'02_Eingaben'!$C$8)</f>
        <v/>
      </c>
      <c r="F1108" s="27">
        <f>IF(E1108="","",AVERAGE(INDEX($E$2:$E$3001,MAX(1,ROW()-1-'02_Eingaben'!$C$17)):INDEX($E$2:$E$3001,MIN('02_Eingaben'!$C$21,ROW()-1+'02_Eingaben'!$C$17))))</f>
        <v/>
      </c>
      <c r="G1108" s="27">
        <f>IF(F1108="","",F1108-'02_Eingaben'!$C$10)</f>
        <v/>
      </c>
      <c r="H1108">
        <f>IF(F1108="","",IF(F1108&lt;'02_Eingaben'!$C$18*'02_Eingaben'!$C$10,1,0))</f>
        <v/>
      </c>
      <c r="I1108" s="27">
        <f>IF(OR(G1108="",G1109=""),"",(G1108+G1109)/2*(B1109-B1108))</f>
        <v/>
      </c>
      <c r="J1108" s="27">
        <f>IF(B1108="","",IF(B1107&lt;'02_Eingaben'!$C$36,0,J1107+I1107/'02_Eingaben'!$C$8))</f>
        <v/>
      </c>
    </row>
    <row r="1109">
      <c r="A1109">
        <f>IF('01_Rohdaten'!A1109="","",ROW()-1)</f>
        <v/>
      </c>
      <c r="B1109" s="27">
        <f>IF('01_Rohdaten'!A1109="","",'01_Rohdaten'!A1109)</f>
        <v/>
      </c>
      <c r="C1109" s="27">
        <f>IF(B1109="","",INDEX('01_Rohdaten'!B1109:D1109,'02_Eingaben'!$C$13))</f>
        <v/>
      </c>
      <c r="D1109" s="27">
        <f>IF(C1109="","",C1109*'02_Eingaben'!$C$15)</f>
        <v/>
      </c>
      <c r="E1109" s="27">
        <f>IF(D1109="","",D1109*'02_Eingaben'!$C$8)</f>
        <v/>
      </c>
      <c r="F1109" s="27">
        <f>IF(E1109="","",AVERAGE(INDEX($E$2:$E$3001,MAX(1,ROW()-1-'02_Eingaben'!$C$17)):INDEX($E$2:$E$3001,MIN('02_Eingaben'!$C$21,ROW()-1+'02_Eingaben'!$C$17))))</f>
        <v/>
      </c>
      <c r="G1109" s="27">
        <f>IF(F1109="","",F1109-'02_Eingaben'!$C$10)</f>
        <v/>
      </c>
      <c r="H1109">
        <f>IF(F1109="","",IF(F1109&lt;'02_Eingaben'!$C$18*'02_Eingaben'!$C$10,1,0))</f>
        <v/>
      </c>
      <c r="I1109" s="27">
        <f>IF(OR(G1109="",G1110=""),"",(G1109+G1110)/2*(B1110-B1109))</f>
        <v/>
      </c>
      <c r="J1109" s="27">
        <f>IF(B1109="","",IF(B1108&lt;'02_Eingaben'!$C$36,0,J1108+I1108/'02_Eingaben'!$C$8))</f>
        <v/>
      </c>
    </row>
    <row r="1110">
      <c r="A1110">
        <f>IF('01_Rohdaten'!A1110="","",ROW()-1)</f>
        <v/>
      </c>
      <c r="B1110" s="27">
        <f>IF('01_Rohdaten'!A1110="","",'01_Rohdaten'!A1110)</f>
        <v/>
      </c>
      <c r="C1110" s="27">
        <f>IF(B1110="","",INDEX('01_Rohdaten'!B1110:D1110,'02_Eingaben'!$C$13))</f>
        <v/>
      </c>
      <c r="D1110" s="27">
        <f>IF(C1110="","",C1110*'02_Eingaben'!$C$15)</f>
        <v/>
      </c>
      <c r="E1110" s="27">
        <f>IF(D1110="","",D1110*'02_Eingaben'!$C$8)</f>
        <v/>
      </c>
      <c r="F1110" s="27">
        <f>IF(E1110="","",AVERAGE(INDEX($E$2:$E$3001,MAX(1,ROW()-1-'02_Eingaben'!$C$17)):INDEX($E$2:$E$3001,MIN('02_Eingaben'!$C$21,ROW()-1+'02_Eingaben'!$C$17))))</f>
        <v/>
      </c>
      <c r="G1110" s="27">
        <f>IF(F1110="","",F1110-'02_Eingaben'!$C$10)</f>
        <v/>
      </c>
      <c r="H1110">
        <f>IF(F1110="","",IF(F1110&lt;'02_Eingaben'!$C$18*'02_Eingaben'!$C$10,1,0))</f>
        <v/>
      </c>
      <c r="I1110" s="27">
        <f>IF(OR(G1110="",G1111=""),"",(G1110+G1111)/2*(B1111-B1110))</f>
        <v/>
      </c>
      <c r="J1110" s="27">
        <f>IF(B1110="","",IF(B1109&lt;'02_Eingaben'!$C$36,0,J1109+I1109/'02_Eingaben'!$C$8))</f>
        <v/>
      </c>
    </row>
    <row r="1111">
      <c r="A1111">
        <f>IF('01_Rohdaten'!A1111="","",ROW()-1)</f>
        <v/>
      </c>
      <c r="B1111" s="27">
        <f>IF('01_Rohdaten'!A1111="","",'01_Rohdaten'!A1111)</f>
        <v/>
      </c>
      <c r="C1111" s="27">
        <f>IF(B1111="","",INDEX('01_Rohdaten'!B1111:D1111,'02_Eingaben'!$C$13))</f>
        <v/>
      </c>
      <c r="D1111" s="27">
        <f>IF(C1111="","",C1111*'02_Eingaben'!$C$15)</f>
        <v/>
      </c>
      <c r="E1111" s="27">
        <f>IF(D1111="","",D1111*'02_Eingaben'!$C$8)</f>
        <v/>
      </c>
      <c r="F1111" s="27">
        <f>IF(E1111="","",AVERAGE(INDEX($E$2:$E$3001,MAX(1,ROW()-1-'02_Eingaben'!$C$17)):INDEX($E$2:$E$3001,MIN('02_Eingaben'!$C$21,ROW()-1+'02_Eingaben'!$C$17))))</f>
        <v/>
      </c>
      <c r="G1111" s="27">
        <f>IF(F1111="","",F1111-'02_Eingaben'!$C$10)</f>
        <v/>
      </c>
      <c r="H1111">
        <f>IF(F1111="","",IF(F1111&lt;'02_Eingaben'!$C$18*'02_Eingaben'!$C$10,1,0))</f>
        <v/>
      </c>
      <c r="I1111" s="27">
        <f>IF(OR(G1111="",G1112=""),"",(G1111+G1112)/2*(B1112-B1111))</f>
        <v/>
      </c>
      <c r="J1111" s="27">
        <f>IF(B1111="","",IF(B1110&lt;'02_Eingaben'!$C$36,0,J1110+I1110/'02_Eingaben'!$C$8))</f>
        <v/>
      </c>
    </row>
    <row r="1112">
      <c r="A1112">
        <f>IF('01_Rohdaten'!A1112="","",ROW()-1)</f>
        <v/>
      </c>
      <c r="B1112" s="27">
        <f>IF('01_Rohdaten'!A1112="","",'01_Rohdaten'!A1112)</f>
        <v/>
      </c>
      <c r="C1112" s="27">
        <f>IF(B1112="","",INDEX('01_Rohdaten'!B1112:D1112,'02_Eingaben'!$C$13))</f>
        <v/>
      </c>
      <c r="D1112" s="27">
        <f>IF(C1112="","",C1112*'02_Eingaben'!$C$15)</f>
        <v/>
      </c>
      <c r="E1112" s="27">
        <f>IF(D1112="","",D1112*'02_Eingaben'!$C$8)</f>
        <v/>
      </c>
      <c r="F1112" s="27">
        <f>IF(E1112="","",AVERAGE(INDEX($E$2:$E$3001,MAX(1,ROW()-1-'02_Eingaben'!$C$17)):INDEX($E$2:$E$3001,MIN('02_Eingaben'!$C$21,ROW()-1+'02_Eingaben'!$C$17))))</f>
        <v/>
      </c>
      <c r="G1112" s="27">
        <f>IF(F1112="","",F1112-'02_Eingaben'!$C$10)</f>
        <v/>
      </c>
      <c r="H1112">
        <f>IF(F1112="","",IF(F1112&lt;'02_Eingaben'!$C$18*'02_Eingaben'!$C$10,1,0))</f>
        <v/>
      </c>
      <c r="I1112" s="27">
        <f>IF(OR(G1112="",G1113=""),"",(G1112+G1113)/2*(B1113-B1112))</f>
        <v/>
      </c>
      <c r="J1112" s="27">
        <f>IF(B1112="","",IF(B1111&lt;'02_Eingaben'!$C$36,0,J1111+I1111/'02_Eingaben'!$C$8))</f>
        <v/>
      </c>
    </row>
    <row r="1113">
      <c r="A1113">
        <f>IF('01_Rohdaten'!A1113="","",ROW()-1)</f>
        <v/>
      </c>
      <c r="B1113" s="27">
        <f>IF('01_Rohdaten'!A1113="","",'01_Rohdaten'!A1113)</f>
        <v/>
      </c>
      <c r="C1113" s="27">
        <f>IF(B1113="","",INDEX('01_Rohdaten'!B1113:D1113,'02_Eingaben'!$C$13))</f>
        <v/>
      </c>
      <c r="D1113" s="27">
        <f>IF(C1113="","",C1113*'02_Eingaben'!$C$15)</f>
        <v/>
      </c>
      <c r="E1113" s="27">
        <f>IF(D1113="","",D1113*'02_Eingaben'!$C$8)</f>
        <v/>
      </c>
      <c r="F1113" s="27">
        <f>IF(E1113="","",AVERAGE(INDEX($E$2:$E$3001,MAX(1,ROW()-1-'02_Eingaben'!$C$17)):INDEX($E$2:$E$3001,MIN('02_Eingaben'!$C$21,ROW()-1+'02_Eingaben'!$C$17))))</f>
        <v/>
      </c>
      <c r="G1113" s="27">
        <f>IF(F1113="","",F1113-'02_Eingaben'!$C$10)</f>
        <v/>
      </c>
      <c r="H1113">
        <f>IF(F1113="","",IF(F1113&lt;'02_Eingaben'!$C$18*'02_Eingaben'!$C$10,1,0))</f>
        <v/>
      </c>
      <c r="I1113" s="27">
        <f>IF(OR(G1113="",G1114=""),"",(G1113+G1114)/2*(B1114-B1113))</f>
        <v/>
      </c>
      <c r="J1113" s="27">
        <f>IF(B1113="","",IF(B1112&lt;'02_Eingaben'!$C$36,0,J1112+I1112/'02_Eingaben'!$C$8))</f>
        <v/>
      </c>
    </row>
    <row r="1114">
      <c r="A1114">
        <f>IF('01_Rohdaten'!A1114="","",ROW()-1)</f>
        <v/>
      </c>
      <c r="B1114" s="27">
        <f>IF('01_Rohdaten'!A1114="","",'01_Rohdaten'!A1114)</f>
        <v/>
      </c>
      <c r="C1114" s="27">
        <f>IF(B1114="","",INDEX('01_Rohdaten'!B1114:D1114,'02_Eingaben'!$C$13))</f>
        <v/>
      </c>
      <c r="D1114" s="27">
        <f>IF(C1114="","",C1114*'02_Eingaben'!$C$15)</f>
        <v/>
      </c>
      <c r="E1114" s="27">
        <f>IF(D1114="","",D1114*'02_Eingaben'!$C$8)</f>
        <v/>
      </c>
      <c r="F1114" s="27">
        <f>IF(E1114="","",AVERAGE(INDEX($E$2:$E$3001,MAX(1,ROW()-1-'02_Eingaben'!$C$17)):INDEX($E$2:$E$3001,MIN('02_Eingaben'!$C$21,ROW()-1+'02_Eingaben'!$C$17))))</f>
        <v/>
      </c>
      <c r="G1114" s="27">
        <f>IF(F1114="","",F1114-'02_Eingaben'!$C$10)</f>
        <v/>
      </c>
      <c r="H1114">
        <f>IF(F1114="","",IF(F1114&lt;'02_Eingaben'!$C$18*'02_Eingaben'!$C$10,1,0))</f>
        <v/>
      </c>
      <c r="I1114" s="27">
        <f>IF(OR(G1114="",G1115=""),"",(G1114+G1115)/2*(B1115-B1114))</f>
        <v/>
      </c>
      <c r="J1114" s="27">
        <f>IF(B1114="","",IF(B1113&lt;'02_Eingaben'!$C$36,0,J1113+I1113/'02_Eingaben'!$C$8))</f>
        <v/>
      </c>
    </row>
    <row r="1115">
      <c r="A1115">
        <f>IF('01_Rohdaten'!A1115="","",ROW()-1)</f>
        <v/>
      </c>
      <c r="B1115" s="27">
        <f>IF('01_Rohdaten'!A1115="","",'01_Rohdaten'!A1115)</f>
        <v/>
      </c>
      <c r="C1115" s="27">
        <f>IF(B1115="","",INDEX('01_Rohdaten'!B1115:D1115,'02_Eingaben'!$C$13))</f>
        <v/>
      </c>
      <c r="D1115" s="27">
        <f>IF(C1115="","",C1115*'02_Eingaben'!$C$15)</f>
        <v/>
      </c>
      <c r="E1115" s="27">
        <f>IF(D1115="","",D1115*'02_Eingaben'!$C$8)</f>
        <v/>
      </c>
      <c r="F1115" s="27">
        <f>IF(E1115="","",AVERAGE(INDEX($E$2:$E$3001,MAX(1,ROW()-1-'02_Eingaben'!$C$17)):INDEX($E$2:$E$3001,MIN('02_Eingaben'!$C$21,ROW()-1+'02_Eingaben'!$C$17))))</f>
        <v/>
      </c>
      <c r="G1115" s="27">
        <f>IF(F1115="","",F1115-'02_Eingaben'!$C$10)</f>
        <v/>
      </c>
      <c r="H1115">
        <f>IF(F1115="","",IF(F1115&lt;'02_Eingaben'!$C$18*'02_Eingaben'!$C$10,1,0))</f>
        <v/>
      </c>
      <c r="I1115" s="27">
        <f>IF(OR(G1115="",G1116=""),"",(G1115+G1116)/2*(B1116-B1115))</f>
        <v/>
      </c>
      <c r="J1115" s="27">
        <f>IF(B1115="","",IF(B1114&lt;'02_Eingaben'!$C$36,0,J1114+I1114/'02_Eingaben'!$C$8))</f>
        <v/>
      </c>
    </row>
    <row r="1116">
      <c r="A1116">
        <f>IF('01_Rohdaten'!A1116="","",ROW()-1)</f>
        <v/>
      </c>
      <c r="B1116" s="27">
        <f>IF('01_Rohdaten'!A1116="","",'01_Rohdaten'!A1116)</f>
        <v/>
      </c>
      <c r="C1116" s="27">
        <f>IF(B1116="","",INDEX('01_Rohdaten'!B1116:D1116,'02_Eingaben'!$C$13))</f>
        <v/>
      </c>
      <c r="D1116" s="27">
        <f>IF(C1116="","",C1116*'02_Eingaben'!$C$15)</f>
        <v/>
      </c>
      <c r="E1116" s="27">
        <f>IF(D1116="","",D1116*'02_Eingaben'!$C$8)</f>
        <v/>
      </c>
      <c r="F1116" s="27">
        <f>IF(E1116="","",AVERAGE(INDEX($E$2:$E$3001,MAX(1,ROW()-1-'02_Eingaben'!$C$17)):INDEX($E$2:$E$3001,MIN('02_Eingaben'!$C$21,ROW()-1+'02_Eingaben'!$C$17))))</f>
        <v/>
      </c>
      <c r="G1116" s="27">
        <f>IF(F1116="","",F1116-'02_Eingaben'!$C$10)</f>
        <v/>
      </c>
      <c r="H1116">
        <f>IF(F1116="","",IF(F1116&lt;'02_Eingaben'!$C$18*'02_Eingaben'!$C$10,1,0))</f>
        <v/>
      </c>
      <c r="I1116" s="27">
        <f>IF(OR(G1116="",G1117=""),"",(G1116+G1117)/2*(B1117-B1116))</f>
        <v/>
      </c>
      <c r="J1116" s="27">
        <f>IF(B1116="","",IF(B1115&lt;'02_Eingaben'!$C$36,0,J1115+I1115/'02_Eingaben'!$C$8))</f>
        <v/>
      </c>
    </row>
    <row r="1117">
      <c r="A1117">
        <f>IF('01_Rohdaten'!A1117="","",ROW()-1)</f>
        <v/>
      </c>
      <c r="B1117" s="27">
        <f>IF('01_Rohdaten'!A1117="","",'01_Rohdaten'!A1117)</f>
        <v/>
      </c>
      <c r="C1117" s="27">
        <f>IF(B1117="","",INDEX('01_Rohdaten'!B1117:D1117,'02_Eingaben'!$C$13))</f>
        <v/>
      </c>
      <c r="D1117" s="27">
        <f>IF(C1117="","",C1117*'02_Eingaben'!$C$15)</f>
        <v/>
      </c>
      <c r="E1117" s="27">
        <f>IF(D1117="","",D1117*'02_Eingaben'!$C$8)</f>
        <v/>
      </c>
      <c r="F1117" s="27">
        <f>IF(E1117="","",AVERAGE(INDEX($E$2:$E$3001,MAX(1,ROW()-1-'02_Eingaben'!$C$17)):INDEX($E$2:$E$3001,MIN('02_Eingaben'!$C$21,ROW()-1+'02_Eingaben'!$C$17))))</f>
        <v/>
      </c>
      <c r="G1117" s="27">
        <f>IF(F1117="","",F1117-'02_Eingaben'!$C$10)</f>
        <v/>
      </c>
      <c r="H1117">
        <f>IF(F1117="","",IF(F1117&lt;'02_Eingaben'!$C$18*'02_Eingaben'!$C$10,1,0))</f>
        <v/>
      </c>
      <c r="I1117" s="27">
        <f>IF(OR(G1117="",G1118=""),"",(G1117+G1118)/2*(B1118-B1117))</f>
        <v/>
      </c>
      <c r="J1117" s="27">
        <f>IF(B1117="","",IF(B1116&lt;'02_Eingaben'!$C$36,0,J1116+I1116/'02_Eingaben'!$C$8))</f>
        <v/>
      </c>
    </row>
    <row r="1118">
      <c r="A1118">
        <f>IF('01_Rohdaten'!A1118="","",ROW()-1)</f>
        <v/>
      </c>
      <c r="B1118" s="27">
        <f>IF('01_Rohdaten'!A1118="","",'01_Rohdaten'!A1118)</f>
        <v/>
      </c>
      <c r="C1118" s="27">
        <f>IF(B1118="","",INDEX('01_Rohdaten'!B1118:D1118,'02_Eingaben'!$C$13))</f>
        <v/>
      </c>
      <c r="D1118" s="27">
        <f>IF(C1118="","",C1118*'02_Eingaben'!$C$15)</f>
        <v/>
      </c>
      <c r="E1118" s="27">
        <f>IF(D1118="","",D1118*'02_Eingaben'!$C$8)</f>
        <v/>
      </c>
      <c r="F1118" s="27">
        <f>IF(E1118="","",AVERAGE(INDEX($E$2:$E$3001,MAX(1,ROW()-1-'02_Eingaben'!$C$17)):INDEX($E$2:$E$3001,MIN('02_Eingaben'!$C$21,ROW()-1+'02_Eingaben'!$C$17))))</f>
        <v/>
      </c>
      <c r="G1118" s="27">
        <f>IF(F1118="","",F1118-'02_Eingaben'!$C$10)</f>
        <v/>
      </c>
      <c r="H1118">
        <f>IF(F1118="","",IF(F1118&lt;'02_Eingaben'!$C$18*'02_Eingaben'!$C$10,1,0))</f>
        <v/>
      </c>
      <c r="I1118" s="27">
        <f>IF(OR(G1118="",G1119=""),"",(G1118+G1119)/2*(B1119-B1118))</f>
        <v/>
      </c>
      <c r="J1118" s="27">
        <f>IF(B1118="","",IF(B1117&lt;'02_Eingaben'!$C$36,0,J1117+I1117/'02_Eingaben'!$C$8))</f>
        <v/>
      </c>
    </row>
    <row r="1119">
      <c r="A1119">
        <f>IF('01_Rohdaten'!A1119="","",ROW()-1)</f>
        <v/>
      </c>
      <c r="B1119" s="27">
        <f>IF('01_Rohdaten'!A1119="","",'01_Rohdaten'!A1119)</f>
        <v/>
      </c>
      <c r="C1119" s="27">
        <f>IF(B1119="","",INDEX('01_Rohdaten'!B1119:D1119,'02_Eingaben'!$C$13))</f>
        <v/>
      </c>
      <c r="D1119" s="27">
        <f>IF(C1119="","",C1119*'02_Eingaben'!$C$15)</f>
        <v/>
      </c>
      <c r="E1119" s="27">
        <f>IF(D1119="","",D1119*'02_Eingaben'!$C$8)</f>
        <v/>
      </c>
      <c r="F1119" s="27">
        <f>IF(E1119="","",AVERAGE(INDEX($E$2:$E$3001,MAX(1,ROW()-1-'02_Eingaben'!$C$17)):INDEX($E$2:$E$3001,MIN('02_Eingaben'!$C$21,ROW()-1+'02_Eingaben'!$C$17))))</f>
        <v/>
      </c>
      <c r="G1119" s="27">
        <f>IF(F1119="","",F1119-'02_Eingaben'!$C$10)</f>
        <v/>
      </c>
      <c r="H1119">
        <f>IF(F1119="","",IF(F1119&lt;'02_Eingaben'!$C$18*'02_Eingaben'!$C$10,1,0))</f>
        <v/>
      </c>
      <c r="I1119" s="27">
        <f>IF(OR(G1119="",G1120=""),"",(G1119+G1120)/2*(B1120-B1119))</f>
        <v/>
      </c>
      <c r="J1119" s="27">
        <f>IF(B1119="","",IF(B1118&lt;'02_Eingaben'!$C$36,0,J1118+I1118/'02_Eingaben'!$C$8))</f>
        <v/>
      </c>
    </row>
    <row r="1120">
      <c r="A1120">
        <f>IF('01_Rohdaten'!A1120="","",ROW()-1)</f>
        <v/>
      </c>
      <c r="B1120" s="27">
        <f>IF('01_Rohdaten'!A1120="","",'01_Rohdaten'!A1120)</f>
        <v/>
      </c>
      <c r="C1120" s="27">
        <f>IF(B1120="","",INDEX('01_Rohdaten'!B1120:D1120,'02_Eingaben'!$C$13))</f>
        <v/>
      </c>
      <c r="D1120" s="27">
        <f>IF(C1120="","",C1120*'02_Eingaben'!$C$15)</f>
        <v/>
      </c>
      <c r="E1120" s="27">
        <f>IF(D1120="","",D1120*'02_Eingaben'!$C$8)</f>
        <v/>
      </c>
      <c r="F1120" s="27">
        <f>IF(E1120="","",AVERAGE(INDEX($E$2:$E$3001,MAX(1,ROW()-1-'02_Eingaben'!$C$17)):INDEX($E$2:$E$3001,MIN('02_Eingaben'!$C$21,ROW()-1+'02_Eingaben'!$C$17))))</f>
        <v/>
      </c>
      <c r="G1120" s="27">
        <f>IF(F1120="","",F1120-'02_Eingaben'!$C$10)</f>
        <v/>
      </c>
      <c r="H1120">
        <f>IF(F1120="","",IF(F1120&lt;'02_Eingaben'!$C$18*'02_Eingaben'!$C$10,1,0))</f>
        <v/>
      </c>
      <c r="I1120" s="27">
        <f>IF(OR(G1120="",G1121=""),"",(G1120+G1121)/2*(B1121-B1120))</f>
        <v/>
      </c>
      <c r="J1120" s="27">
        <f>IF(B1120="","",IF(B1119&lt;'02_Eingaben'!$C$36,0,J1119+I1119/'02_Eingaben'!$C$8))</f>
        <v/>
      </c>
    </row>
    <row r="1121">
      <c r="A1121">
        <f>IF('01_Rohdaten'!A1121="","",ROW()-1)</f>
        <v/>
      </c>
      <c r="B1121" s="27">
        <f>IF('01_Rohdaten'!A1121="","",'01_Rohdaten'!A1121)</f>
        <v/>
      </c>
      <c r="C1121" s="27">
        <f>IF(B1121="","",INDEX('01_Rohdaten'!B1121:D1121,'02_Eingaben'!$C$13))</f>
        <v/>
      </c>
      <c r="D1121" s="27">
        <f>IF(C1121="","",C1121*'02_Eingaben'!$C$15)</f>
        <v/>
      </c>
      <c r="E1121" s="27">
        <f>IF(D1121="","",D1121*'02_Eingaben'!$C$8)</f>
        <v/>
      </c>
      <c r="F1121" s="27">
        <f>IF(E1121="","",AVERAGE(INDEX($E$2:$E$3001,MAX(1,ROW()-1-'02_Eingaben'!$C$17)):INDEX($E$2:$E$3001,MIN('02_Eingaben'!$C$21,ROW()-1+'02_Eingaben'!$C$17))))</f>
        <v/>
      </c>
      <c r="G1121" s="27">
        <f>IF(F1121="","",F1121-'02_Eingaben'!$C$10)</f>
        <v/>
      </c>
      <c r="H1121">
        <f>IF(F1121="","",IF(F1121&lt;'02_Eingaben'!$C$18*'02_Eingaben'!$C$10,1,0))</f>
        <v/>
      </c>
      <c r="I1121" s="27">
        <f>IF(OR(G1121="",G1122=""),"",(G1121+G1122)/2*(B1122-B1121))</f>
        <v/>
      </c>
      <c r="J1121" s="27">
        <f>IF(B1121="","",IF(B1120&lt;'02_Eingaben'!$C$36,0,J1120+I1120/'02_Eingaben'!$C$8))</f>
        <v/>
      </c>
    </row>
    <row r="1122">
      <c r="A1122">
        <f>IF('01_Rohdaten'!A1122="","",ROW()-1)</f>
        <v/>
      </c>
      <c r="B1122" s="27">
        <f>IF('01_Rohdaten'!A1122="","",'01_Rohdaten'!A1122)</f>
        <v/>
      </c>
      <c r="C1122" s="27">
        <f>IF(B1122="","",INDEX('01_Rohdaten'!B1122:D1122,'02_Eingaben'!$C$13))</f>
        <v/>
      </c>
      <c r="D1122" s="27">
        <f>IF(C1122="","",C1122*'02_Eingaben'!$C$15)</f>
        <v/>
      </c>
      <c r="E1122" s="27">
        <f>IF(D1122="","",D1122*'02_Eingaben'!$C$8)</f>
        <v/>
      </c>
      <c r="F1122" s="27">
        <f>IF(E1122="","",AVERAGE(INDEX($E$2:$E$3001,MAX(1,ROW()-1-'02_Eingaben'!$C$17)):INDEX($E$2:$E$3001,MIN('02_Eingaben'!$C$21,ROW()-1+'02_Eingaben'!$C$17))))</f>
        <v/>
      </c>
      <c r="G1122" s="27">
        <f>IF(F1122="","",F1122-'02_Eingaben'!$C$10)</f>
        <v/>
      </c>
      <c r="H1122">
        <f>IF(F1122="","",IF(F1122&lt;'02_Eingaben'!$C$18*'02_Eingaben'!$C$10,1,0))</f>
        <v/>
      </c>
      <c r="I1122" s="27">
        <f>IF(OR(G1122="",G1123=""),"",(G1122+G1123)/2*(B1123-B1122))</f>
        <v/>
      </c>
      <c r="J1122" s="27">
        <f>IF(B1122="","",IF(B1121&lt;'02_Eingaben'!$C$36,0,J1121+I1121/'02_Eingaben'!$C$8))</f>
        <v/>
      </c>
    </row>
    <row r="1123">
      <c r="A1123">
        <f>IF('01_Rohdaten'!A1123="","",ROW()-1)</f>
        <v/>
      </c>
      <c r="B1123" s="27">
        <f>IF('01_Rohdaten'!A1123="","",'01_Rohdaten'!A1123)</f>
        <v/>
      </c>
      <c r="C1123" s="27">
        <f>IF(B1123="","",INDEX('01_Rohdaten'!B1123:D1123,'02_Eingaben'!$C$13))</f>
        <v/>
      </c>
      <c r="D1123" s="27">
        <f>IF(C1123="","",C1123*'02_Eingaben'!$C$15)</f>
        <v/>
      </c>
      <c r="E1123" s="27">
        <f>IF(D1123="","",D1123*'02_Eingaben'!$C$8)</f>
        <v/>
      </c>
      <c r="F1123" s="27">
        <f>IF(E1123="","",AVERAGE(INDEX($E$2:$E$3001,MAX(1,ROW()-1-'02_Eingaben'!$C$17)):INDEX($E$2:$E$3001,MIN('02_Eingaben'!$C$21,ROW()-1+'02_Eingaben'!$C$17))))</f>
        <v/>
      </c>
      <c r="G1123" s="27">
        <f>IF(F1123="","",F1123-'02_Eingaben'!$C$10)</f>
        <v/>
      </c>
      <c r="H1123">
        <f>IF(F1123="","",IF(F1123&lt;'02_Eingaben'!$C$18*'02_Eingaben'!$C$10,1,0))</f>
        <v/>
      </c>
      <c r="I1123" s="27">
        <f>IF(OR(G1123="",G1124=""),"",(G1123+G1124)/2*(B1124-B1123))</f>
        <v/>
      </c>
      <c r="J1123" s="27">
        <f>IF(B1123="","",IF(B1122&lt;'02_Eingaben'!$C$36,0,J1122+I1122/'02_Eingaben'!$C$8))</f>
        <v/>
      </c>
    </row>
    <row r="1124">
      <c r="A1124">
        <f>IF('01_Rohdaten'!A1124="","",ROW()-1)</f>
        <v/>
      </c>
      <c r="B1124" s="27">
        <f>IF('01_Rohdaten'!A1124="","",'01_Rohdaten'!A1124)</f>
        <v/>
      </c>
      <c r="C1124" s="27">
        <f>IF(B1124="","",INDEX('01_Rohdaten'!B1124:D1124,'02_Eingaben'!$C$13))</f>
        <v/>
      </c>
      <c r="D1124" s="27">
        <f>IF(C1124="","",C1124*'02_Eingaben'!$C$15)</f>
        <v/>
      </c>
      <c r="E1124" s="27">
        <f>IF(D1124="","",D1124*'02_Eingaben'!$C$8)</f>
        <v/>
      </c>
      <c r="F1124" s="27">
        <f>IF(E1124="","",AVERAGE(INDEX($E$2:$E$3001,MAX(1,ROW()-1-'02_Eingaben'!$C$17)):INDEX($E$2:$E$3001,MIN('02_Eingaben'!$C$21,ROW()-1+'02_Eingaben'!$C$17))))</f>
        <v/>
      </c>
      <c r="G1124" s="27">
        <f>IF(F1124="","",F1124-'02_Eingaben'!$C$10)</f>
        <v/>
      </c>
      <c r="H1124">
        <f>IF(F1124="","",IF(F1124&lt;'02_Eingaben'!$C$18*'02_Eingaben'!$C$10,1,0))</f>
        <v/>
      </c>
      <c r="I1124" s="27">
        <f>IF(OR(G1124="",G1125=""),"",(G1124+G1125)/2*(B1125-B1124))</f>
        <v/>
      </c>
      <c r="J1124" s="27">
        <f>IF(B1124="","",IF(B1123&lt;'02_Eingaben'!$C$36,0,J1123+I1123/'02_Eingaben'!$C$8))</f>
        <v/>
      </c>
    </row>
    <row r="1125">
      <c r="A1125">
        <f>IF('01_Rohdaten'!A1125="","",ROW()-1)</f>
        <v/>
      </c>
      <c r="B1125" s="27">
        <f>IF('01_Rohdaten'!A1125="","",'01_Rohdaten'!A1125)</f>
        <v/>
      </c>
      <c r="C1125" s="27">
        <f>IF(B1125="","",INDEX('01_Rohdaten'!B1125:D1125,'02_Eingaben'!$C$13))</f>
        <v/>
      </c>
      <c r="D1125" s="27">
        <f>IF(C1125="","",C1125*'02_Eingaben'!$C$15)</f>
        <v/>
      </c>
      <c r="E1125" s="27">
        <f>IF(D1125="","",D1125*'02_Eingaben'!$C$8)</f>
        <v/>
      </c>
      <c r="F1125" s="27">
        <f>IF(E1125="","",AVERAGE(INDEX($E$2:$E$3001,MAX(1,ROW()-1-'02_Eingaben'!$C$17)):INDEX($E$2:$E$3001,MIN('02_Eingaben'!$C$21,ROW()-1+'02_Eingaben'!$C$17))))</f>
        <v/>
      </c>
      <c r="G1125" s="27">
        <f>IF(F1125="","",F1125-'02_Eingaben'!$C$10)</f>
        <v/>
      </c>
      <c r="H1125">
        <f>IF(F1125="","",IF(F1125&lt;'02_Eingaben'!$C$18*'02_Eingaben'!$C$10,1,0))</f>
        <v/>
      </c>
      <c r="I1125" s="27">
        <f>IF(OR(G1125="",G1126=""),"",(G1125+G1126)/2*(B1126-B1125))</f>
        <v/>
      </c>
      <c r="J1125" s="27">
        <f>IF(B1125="","",IF(B1124&lt;'02_Eingaben'!$C$36,0,J1124+I1124/'02_Eingaben'!$C$8))</f>
        <v/>
      </c>
    </row>
    <row r="1126">
      <c r="A1126">
        <f>IF('01_Rohdaten'!A1126="","",ROW()-1)</f>
        <v/>
      </c>
      <c r="B1126" s="27">
        <f>IF('01_Rohdaten'!A1126="","",'01_Rohdaten'!A1126)</f>
        <v/>
      </c>
      <c r="C1126" s="27">
        <f>IF(B1126="","",INDEX('01_Rohdaten'!B1126:D1126,'02_Eingaben'!$C$13))</f>
        <v/>
      </c>
      <c r="D1126" s="27">
        <f>IF(C1126="","",C1126*'02_Eingaben'!$C$15)</f>
        <v/>
      </c>
      <c r="E1126" s="27">
        <f>IF(D1126="","",D1126*'02_Eingaben'!$C$8)</f>
        <v/>
      </c>
      <c r="F1126" s="27">
        <f>IF(E1126="","",AVERAGE(INDEX($E$2:$E$3001,MAX(1,ROW()-1-'02_Eingaben'!$C$17)):INDEX($E$2:$E$3001,MIN('02_Eingaben'!$C$21,ROW()-1+'02_Eingaben'!$C$17))))</f>
        <v/>
      </c>
      <c r="G1126" s="27">
        <f>IF(F1126="","",F1126-'02_Eingaben'!$C$10)</f>
        <v/>
      </c>
      <c r="H1126">
        <f>IF(F1126="","",IF(F1126&lt;'02_Eingaben'!$C$18*'02_Eingaben'!$C$10,1,0))</f>
        <v/>
      </c>
      <c r="I1126" s="27">
        <f>IF(OR(G1126="",G1127=""),"",(G1126+G1127)/2*(B1127-B1126))</f>
        <v/>
      </c>
      <c r="J1126" s="27">
        <f>IF(B1126="","",IF(B1125&lt;'02_Eingaben'!$C$36,0,J1125+I1125/'02_Eingaben'!$C$8))</f>
        <v/>
      </c>
    </row>
    <row r="1127">
      <c r="A1127">
        <f>IF('01_Rohdaten'!A1127="","",ROW()-1)</f>
        <v/>
      </c>
      <c r="B1127" s="27">
        <f>IF('01_Rohdaten'!A1127="","",'01_Rohdaten'!A1127)</f>
        <v/>
      </c>
      <c r="C1127" s="27">
        <f>IF(B1127="","",INDEX('01_Rohdaten'!B1127:D1127,'02_Eingaben'!$C$13))</f>
        <v/>
      </c>
      <c r="D1127" s="27">
        <f>IF(C1127="","",C1127*'02_Eingaben'!$C$15)</f>
        <v/>
      </c>
      <c r="E1127" s="27">
        <f>IF(D1127="","",D1127*'02_Eingaben'!$C$8)</f>
        <v/>
      </c>
      <c r="F1127" s="27">
        <f>IF(E1127="","",AVERAGE(INDEX($E$2:$E$3001,MAX(1,ROW()-1-'02_Eingaben'!$C$17)):INDEX($E$2:$E$3001,MIN('02_Eingaben'!$C$21,ROW()-1+'02_Eingaben'!$C$17))))</f>
        <v/>
      </c>
      <c r="G1127" s="27">
        <f>IF(F1127="","",F1127-'02_Eingaben'!$C$10)</f>
        <v/>
      </c>
      <c r="H1127">
        <f>IF(F1127="","",IF(F1127&lt;'02_Eingaben'!$C$18*'02_Eingaben'!$C$10,1,0))</f>
        <v/>
      </c>
      <c r="I1127" s="27">
        <f>IF(OR(G1127="",G1128=""),"",(G1127+G1128)/2*(B1128-B1127))</f>
        <v/>
      </c>
      <c r="J1127" s="27">
        <f>IF(B1127="","",IF(B1126&lt;'02_Eingaben'!$C$36,0,J1126+I1126/'02_Eingaben'!$C$8))</f>
        <v/>
      </c>
    </row>
    <row r="1128">
      <c r="A1128">
        <f>IF('01_Rohdaten'!A1128="","",ROW()-1)</f>
        <v/>
      </c>
      <c r="B1128" s="27">
        <f>IF('01_Rohdaten'!A1128="","",'01_Rohdaten'!A1128)</f>
        <v/>
      </c>
      <c r="C1128" s="27">
        <f>IF(B1128="","",INDEX('01_Rohdaten'!B1128:D1128,'02_Eingaben'!$C$13))</f>
        <v/>
      </c>
      <c r="D1128" s="27">
        <f>IF(C1128="","",C1128*'02_Eingaben'!$C$15)</f>
        <v/>
      </c>
      <c r="E1128" s="27">
        <f>IF(D1128="","",D1128*'02_Eingaben'!$C$8)</f>
        <v/>
      </c>
      <c r="F1128" s="27">
        <f>IF(E1128="","",AVERAGE(INDEX($E$2:$E$3001,MAX(1,ROW()-1-'02_Eingaben'!$C$17)):INDEX($E$2:$E$3001,MIN('02_Eingaben'!$C$21,ROW()-1+'02_Eingaben'!$C$17))))</f>
        <v/>
      </c>
      <c r="G1128" s="27">
        <f>IF(F1128="","",F1128-'02_Eingaben'!$C$10)</f>
        <v/>
      </c>
      <c r="H1128">
        <f>IF(F1128="","",IF(F1128&lt;'02_Eingaben'!$C$18*'02_Eingaben'!$C$10,1,0))</f>
        <v/>
      </c>
      <c r="I1128" s="27">
        <f>IF(OR(G1128="",G1129=""),"",(G1128+G1129)/2*(B1129-B1128))</f>
        <v/>
      </c>
      <c r="J1128" s="27">
        <f>IF(B1128="","",IF(B1127&lt;'02_Eingaben'!$C$36,0,J1127+I1127/'02_Eingaben'!$C$8))</f>
        <v/>
      </c>
    </row>
    <row r="1129">
      <c r="A1129">
        <f>IF('01_Rohdaten'!A1129="","",ROW()-1)</f>
        <v/>
      </c>
      <c r="B1129" s="27">
        <f>IF('01_Rohdaten'!A1129="","",'01_Rohdaten'!A1129)</f>
        <v/>
      </c>
      <c r="C1129" s="27">
        <f>IF(B1129="","",INDEX('01_Rohdaten'!B1129:D1129,'02_Eingaben'!$C$13))</f>
        <v/>
      </c>
      <c r="D1129" s="27">
        <f>IF(C1129="","",C1129*'02_Eingaben'!$C$15)</f>
        <v/>
      </c>
      <c r="E1129" s="27">
        <f>IF(D1129="","",D1129*'02_Eingaben'!$C$8)</f>
        <v/>
      </c>
      <c r="F1129" s="27">
        <f>IF(E1129="","",AVERAGE(INDEX($E$2:$E$3001,MAX(1,ROW()-1-'02_Eingaben'!$C$17)):INDEX($E$2:$E$3001,MIN('02_Eingaben'!$C$21,ROW()-1+'02_Eingaben'!$C$17))))</f>
        <v/>
      </c>
      <c r="G1129" s="27">
        <f>IF(F1129="","",F1129-'02_Eingaben'!$C$10)</f>
        <v/>
      </c>
      <c r="H1129">
        <f>IF(F1129="","",IF(F1129&lt;'02_Eingaben'!$C$18*'02_Eingaben'!$C$10,1,0))</f>
        <v/>
      </c>
      <c r="I1129" s="27">
        <f>IF(OR(G1129="",G1130=""),"",(G1129+G1130)/2*(B1130-B1129))</f>
        <v/>
      </c>
      <c r="J1129" s="27">
        <f>IF(B1129="","",IF(B1128&lt;'02_Eingaben'!$C$36,0,J1128+I1128/'02_Eingaben'!$C$8))</f>
        <v/>
      </c>
    </row>
    <row r="1130">
      <c r="A1130">
        <f>IF('01_Rohdaten'!A1130="","",ROW()-1)</f>
        <v/>
      </c>
      <c r="B1130" s="27">
        <f>IF('01_Rohdaten'!A1130="","",'01_Rohdaten'!A1130)</f>
        <v/>
      </c>
      <c r="C1130" s="27">
        <f>IF(B1130="","",INDEX('01_Rohdaten'!B1130:D1130,'02_Eingaben'!$C$13))</f>
        <v/>
      </c>
      <c r="D1130" s="27">
        <f>IF(C1130="","",C1130*'02_Eingaben'!$C$15)</f>
        <v/>
      </c>
      <c r="E1130" s="27">
        <f>IF(D1130="","",D1130*'02_Eingaben'!$C$8)</f>
        <v/>
      </c>
      <c r="F1130" s="27">
        <f>IF(E1130="","",AVERAGE(INDEX($E$2:$E$3001,MAX(1,ROW()-1-'02_Eingaben'!$C$17)):INDEX($E$2:$E$3001,MIN('02_Eingaben'!$C$21,ROW()-1+'02_Eingaben'!$C$17))))</f>
        <v/>
      </c>
      <c r="G1130" s="27">
        <f>IF(F1130="","",F1130-'02_Eingaben'!$C$10)</f>
        <v/>
      </c>
      <c r="H1130">
        <f>IF(F1130="","",IF(F1130&lt;'02_Eingaben'!$C$18*'02_Eingaben'!$C$10,1,0))</f>
        <v/>
      </c>
      <c r="I1130" s="27">
        <f>IF(OR(G1130="",G1131=""),"",(G1130+G1131)/2*(B1131-B1130))</f>
        <v/>
      </c>
      <c r="J1130" s="27">
        <f>IF(B1130="","",IF(B1129&lt;'02_Eingaben'!$C$36,0,J1129+I1129/'02_Eingaben'!$C$8))</f>
        <v/>
      </c>
    </row>
    <row r="1131">
      <c r="A1131">
        <f>IF('01_Rohdaten'!A1131="","",ROW()-1)</f>
        <v/>
      </c>
      <c r="B1131" s="27">
        <f>IF('01_Rohdaten'!A1131="","",'01_Rohdaten'!A1131)</f>
        <v/>
      </c>
      <c r="C1131" s="27">
        <f>IF(B1131="","",INDEX('01_Rohdaten'!B1131:D1131,'02_Eingaben'!$C$13))</f>
        <v/>
      </c>
      <c r="D1131" s="27">
        <f>IF(C1131="","",C1131*'02_Eingaben'!$C$15)</f>
        <v/>
      </c>
      <c r="E1131" s="27">
        <f>IF(D1131="","",D1131*'02_Eingaben'!$C$8)</f>
        <v/>
      </c>
      <c r="F1131" s="27">
        <f>IF(E1131="","",AVERAGE(INDEX($E$2:$E$3001,MAX(1,ROW()-1-'02_Eingaben'!$C$17)):INDEX($E$2:$E$3001,MIN('02_Eingaben'!$C$21,ROW()-1+'02_Eingaben'!$C$17))))</f>
        <v/>
      </c>
      <c r="G1131" s="27">
        <f>IF(F1131="","",F1131-'02_Eingaben'!$C$10)</f>
        <v/>
      </c>
      <c r="H1131">
        <f>IF(F1131="","",IF(F1131&lt;'02_Eingaben'!$C$18*'02_Eingaben'!$C$10,1,0))</f>
        <v/>
      </c>
      <c r="I1131" s="27">
        <f>IF(OR(G1131="",G1132=""),"",(G1131+G1132)/2*(B1132-B1131))</f>
        <v/>
      </c>
      <c r="J1131" s="27">
        <f>IF(B1131="","",IF(B1130&lt;'02_Eingaben'!$C$36,0,J1130+I1130/'02_Eingaben'!$C$8))</f>
        <v/>
      </c>
    </row>
    <row r="1132">
      <c r="A1132">
        <f>IF('01_Rohdaten'!A1132="","",ROW()-1)</f>
        <v/>
      </c>
      <c r="B1132" s="27">
        <f>IF('01_Rohdaten'!A1132="","",'01_Rohdaten'!A1132)</f>
        <v/>
      </c>
      <c r="C1132" s="27">
        <f>IF(B1132="","",INDEX('01_Rohdaten'!B1132:D1132,'02_Eingaben'!$C$13))</f>
        <v/>
      </c>
      <c r="D1132" s="27">
        <f>IF(C1132="","",C1132*'02_Eingaben'!$C$15)</f>
        <v/>
      </c>
      <c r="E1132" s="27">
        <f>IF(D1132="","",D1132*'02_Eingaben'!$C$8)</f>
        <v/>
      </c>
      <c r="F1132" s="27">
        <f>IF(E1132="","",AVERAGE(INDEX($E$2:$E$3001,MAX(1,ROW()-1-'02_Eingaben'!$C$17)):INDEX($E$2:$E$3001,MIN('02_Eingaben'!$C$21,ROW()-1+'02_Eingaben'!$C$17))))</f>
        <v/>
      </c>
      <c r="G1132" s="27">
        <f>IF(F1132="","",F1132-'02_Eingaben'!$C$10)</f>
        <v/>
      </c>
      <c r="H1132">
        <f>IF(F1132="","",IF(F1132&lt;'02_Eingaben'!$C$18*'02_Eingaben'!$C$10,1,0))</f>
        <v/>
      </c>
      <c r="I1132" s="27">
        <f>IF(OR(G1132="",G1133=""),"",(G1132+G1133)/2*(B1133-B1132))</f>
        <v/>
      </c>
      <c r="J1132" s="27">
        <f>IF(B1132="","",IF(B1131&lt;'02_Eingaben'!$C$36,0,J1131+I1131/'02_Eingaben'!$C$8))</f>
        <v/>
      </c>
    </row>
    <row r="1133">
      <c r="A1133">
        <f>IF('01_Rohdaten'!A1133="","",ROW()-1)</f>
        <v/>
      </c>
      <c r="B1133" s="27">
        <f>IF('01_Rohdaten'!A1133="","",'01_Rohdaten'!A1133)</f>
        <v/>
      </c>
      <c r="C1133" s="27">
        <f>IF(B1133="","",INDEX('01_Rohdaten'!B1133:D1133,'02_Eingaben'!$C$13))</f>
        <v/>
      </c>
      <c r="D1133" s="27">
        <f>IF(C1133="","",C1133*'02_Eingaben'!$C$15)</f>
        <v/>
      </c>
      <c r="E1133" s="27">
        <f>IF(D1133="","",D1133*'02_Eingaben'!$C$8)</f>
        <v/>
      </c>
      <c r="F1133" s="27">
        <f>IF(E1133="","",AVERAGE(INDEX($E$2:$E$3001,MAX(1,ROW()-1-'02_Eingaben'!$C$17)):INDEX($E$2:$E$3001,MIN('02_Eingaben'!$C$21,ROW()-1+'02_Eingaben'!$C$17))))</f>
        <v/>
      </c>
      <c r="G1133" s="27">
        <f>IF(F1133="","",F1133-'02_Eingaben'!$C$10)</f>
        <v/>
      </c>
      <c r="H1133">
        <f>IF(F1133="","",IF(F1133&lt;'02_Eingaben'!$C$18*'02_Eingaben'!$C$10,1,0))</f>
        <v/>
      </c>
      <c r="I1133" s="27">
        <f>IF(OR(G1133="",G1134=""),"",(G1133+G1134)/2*(B1134-B1133))</f>
        <v/>
      </c>
      <c r="J1133" s="27">
        <f>IF(B1133="","",IF(B1132&lt;'02_Eingaben'!$C$36,0,J1132+I1132/'02_Eingaben'!$C$8))</f>
        <v/>
      </c>
    </row>
    <row r="1134">
      <c r="A1134">
        <f>IF('01_Rohdaten'!A1134="","",ROW()-1)</f>
        <v/>
      </c>
      <c r="B1134" s="27">
        <f>IF('01_Rohdaten'!A1134="","",'01_Rohdaten'!A1134)</f>
        <v/>
      </c>
      <c r="C1134" s="27">
        <f>IF(B1134="","",INDEX('01_Rohdaten'!B1134:D1134,'02_Eingaben'!$C$13))</f>
        <v/>
      </c>
      <c r="D1134" s="27">
        <f>IF(C1134="","",C1134*'02_Eingaben'!$C$15)</f>
        <v/>
      </c>
      <c r="E1134" s="27">
        <f>IF(D1134="","",D1134*'02_Eingaben'!$C$8)</f>
        <v/>
      </c>
      <c r="F1134" s="27">
        <f>IF(E1134="","",AVERAGE(INDEX($E$2:$E$3001,MAX(1,ROW()-1-'02_Eingaben'!$C$17)):INDEX($E$2:$E$3001,MIN('02_Eingaben'!$C$21,ROW()-1+'02_Eingaben'!$C$17))))</f>
        <v/>
      </c>
      <c r="G1134" s="27">
        <f>IF(F1134="","",F1134-'02_Eingaben'!$C$10)</f>
        <v/>
      </c>
      <c r="H1134">
        <f>IF(F1134="","",IF(F1134&lt;'02_Eingaben'!$C$18*'02_Eingaben'!$C$10,1,0))</f>
        <v/>
      </c>
      <c r="I1134" s="27">
        <f>IF(OR(G1134="",G1135=""),"",(G1134+G1135)/2*(B1135-B1134))</f>
        <v/>
      </c>
      <c r="J1134" s="27">
        <f>IF(B1134="","",IF(B1133&lt;'02_Eingaben'!$C$36,0,J1133+I1133/'02_Eingaben'!$C$8))</f>
        <v/>
      </c>
    </row>
    <row r="1135">
      <c r="A1135">
        <f>IF('01_Rohdaten'!A1135="","",ROW()-1)</f>
        <v/>
      </c>
      <c r="B1135" s="27">
        <f>IF('01_Rohdaten'!A1135="","",'01_Rohdaten'!A1135)</f>
        <v/>
      </c>
      <c r="C1135" s="27">
        <f>IF(B1135="","",INDEX('01_Rohdaten'!B1135:D1135,'02_Eingaben'!$C$13))</f>
        <v/>
      </c>
      <c r="D1135" s="27">
        <f>IF(C1135="","",C1135*'02_Eingaben'!$C$15)</f>
        <v/>
      </c>
      <c r="E1135" s="27">
        <f>IF(D1135="","",D1135*'02_Eingaben'!$C$8)</f>
        <v/>
      </c>
      <c r="F1135" s="27">
        <f>IF(E1135="","",AVERAGE(INDEX($E$2:$E$3001,MAX(1,ROW()-1-'02_Eingaben'!$C$17)):INDEX($E$2:$E$3001,MIN('02_Eingaben'!$C$21,ROW()-1+'02_Eingaben'!$C$17))))</f>
        <v/>
      </c>
      <c r="G1135" s="27">
        <f>IF(F1135="","",F1135-'02_Eingaben'!$C$10)</f>
        <v/>
      </c>
      <c r="H1135">
        <f>IF(F1135="","",IF(F1135&lt;'02_Eingaben'!$C$18*'02_Eingaben'!$C$10,1,0))</f>
        <v/>
      </c>
      <c r="I1135" s="27">
        <f>IF(OR(G1135="",G1136=""),"",(G1135+G1136)/2*(B1136-B1135))</f>
        <v/>
      </c>
      <c r="J1135" s="27">
        <f>IF(B1135="","",IF(B1134&lt;'02_Eingaben'!$C$36,0,J1134+I1134/'02_Eingaben'!$C$8))</f>
        <v/>
      </c>
    </row>
    <row r="1136">
      <c r="A1136">
        <f>IF('01_Rohdaten'!A1136="","",ROW()-1)</f>
        <v/>
      </c>
      <c r="B1136" s="27">
        <f>IF('01_Rohdaten'!A1136="","",'01_Rohdaten'!A1136)</f>
        <v/>
      </c>
      <c r="C1136" s="27">
        <f>IF(B1136="","",INDEX('01_Rohdaten'!B1136:D1136,'02_Eingaben'!$C$13))</f>
        <v/>
      </c>
      <c r="D1136" s="27">
        <f>IF(C1136="","",C1136*'02_Eingaben'!$C$15)</f>
        <v/>
      </c>
      <c r="E1136" s="27">
        <f>IF(D1136="","",D1136*'02_Eingaben'!$C$8)</f>
        <v/>
      </c>
      <c r="F1136" s="27">
        <f>IF(E1136="","",AVERAGE(INDEX($E$2:$E$3001,MAX(1,ROW()-1-'02_Eingaben'!$C$17)):INDEX($E$2:$E$3001,MIN('02_Eingaben'!$C$21,ROW()-1+'02_Eingaben'!$C$17))))</f>
        <v/>
      </c>
      <c r="G1136" s="27">
        <f>IF(F1136="","",F1136-'02_Eingaben'!$C$10)</f>
        <v/>
      </c>
      <c r="H1136">
        <f>IF(F1136="","",IF(F1136&lt;'02_Eingaben'!$C$18*'02_Eingaben'!$C$10,1,0))</f>
        <v/>
      </c>
      <c r="I1136" s="27">
        <f>IF(OR(G1136="",G1137=""),"",(G1136+G1137)/2*(B1137-B1136))</f>
        <v/>
      </c>
      <c r="J1136" s="27">
        <f>IF(B1136="","",IF(B1135&lt;'02_Eingaben'!$C$36,0,J1135+I1135/'02_Eingaben'!$C$8))</f>
        <v/>
      </c>
    </row>
    <row r="1137">
      <c r="A1137">
        <f>IF('01_Rohdaten'!A1137="","",ROW()-1)</f>
        <v/>
      </c>
      <c r="B1137" s="27">
        <f>IF('01_Rohdaten'!A1137="","",'01_Rohdaten'!A1137)</f>
        <v/>
      </c>
      <c r="C1137" s="27">
        <f>IF(B1137="","",INDEX('01_Rohdaten'!B1137:D1137,'02_Eingaben'!$C$13))</f>
        <v/>
      </c>
      <c r="D1137" s="27">
        <f>IF(C1137="","",C1137*'02_Eingaben'!$C$15)</f>
        <v/>
      </c>
      <c r="E1137" s="27">
        <f>IF(D1137="","",D1137*'02_Eingaben'!$C$8)</f>
        <v/>
      </c>
      <c r="F1137" s="27">
        <f>IF(E1137="","",AVERAGE(INDEX($E$2:$E$3001,MAX(1,ROW()-1-'02_Eingaben'!$C$17)):INDEX($E$2:$E$3001,MIN('02_Eingaben'!$C$21,ROW()-1+'02_Eingaben'!$C$17))))</f>
        <v/>
      </c>
      <c r="G1137" s="27">
        <f>IF(F1137="","",F1137-'02_Eingaben'!$C$10)</f>
        <v/>
      </c>
      <c r="H1137">
        <f>IF(F1137="","",IF(F1137&lt;'02_Eingaben'!$C$18*'02_Eingaben'!$C$10,1,0))</f>
        <v/>
      </c>
      <c r="I1137" s="27">
        <f>IF(OR(G1137="",G1138=""),"",(G1137+G1138)/2*(B1138-B1137))</f>
        <v/>
      </c>
      <c r="J1137" s="27">
        <f>IF(B1137="","",IF(B1136&lt;'02_Eingaben'!$C$36,0,J1136+I1136/'02_Eingaben'!$C$8))</f>
        <v/>
      </c>
    </row>
    <row r="1138">
      <c r="A1138">
        <f>IF('01_Rohdaten'!A1138="","",ROW()-1)</f>
        <v/>
      </c>
      <c r="B1138" s="27">
        <f>IF('01_Rohdaten'!A1138="","",'01_Rohdaten'!A1138)</f>
        <v/>
      </c>
      <c r="C1138" s="27">
        <f>IF(B1138="","",INDEX('01_Rohdaten'!B1138:D1138,'02_Eingaben'!$C$13))</f>
        <v/>
      </c>
      <c r="D1138" s="27">
        <f>IF(C1138="","",C1138*'02_Eingaben'!$C$15)</f>
        <v/>
      </c>
      <c r="E1138" s="27">
        <f>IF(D1138="","",D1138*'02_Eingaben'!$C$8)</f>
        <v/>
      </c>
      <c r="F1138" s="27">
        <f>IF(E1138="","",AVERAGE(INDEX($E$2:$E$3001,MAX(1,ROW()-1-'02_Eingaben'!$C$17)):INDEX($E$2:$E$3001,MIN('02_Eingaben'!$C$21,ROW()-1+'02_Eingaben'!$C$17))))</f>
        <v/>
      </c>
      <c r="G1138" s="27">
        <f>IF(F1138="","",F1138-'02_Eingaben'!$C$10)</f>
        <v/>
      </c>
      <c r="H1138">
        <f>IF(F1138="","",IF(F1138&lt;'02_Eingaben'!$C$18*'02_Eingaben'!$C$10,1,0))</f>
        <v/>
      </c>
      <c r="I1138" s="27">
        <f>IF(OR(G1138="",G1139=""),"",(G1138+G1139)/2*(B1139-B1138))</f>
        <v/>
      </c>
      <c r="J1138" s="27">
        <f>IF(B1138="","",IF(B1137&lt;'02_Eingaben'!$C$36,0,J1137+I1137/'02_Eingaben'!$C$8))</f>
        <v/>
      </c>
    </row>
    <row r="1139">
      <c r="A1139">
        <f>IF('01_Rohdaten'!A1139="","",ROW()-1)</f>
        <v/>
      </c>
      <c r="B1139" s="27">
        <f>IF('01_Rohdaten'!A1139="","",'01_Rohdaten'!A1139)</f>
        <v/>
      </c>
      <c r="C1139" s="27">
        <f>IF(B1139="","",INDEX('01_Rohdaten'!B1139:D1139,'02_Eingaben'!$C$13))</f>
        <v/>
      </c>
      <c r="D1139" s="27">
        <f>IF(C1139="","",C1139*'02_Eingaben'!$C$15)</f>
        <v/>
      </c>
      <c r="E1139" s="27">
        <f>IF(D1139="","",D1139*'02_Eingaben'!$C$8)</f>
        <v/>
      </c>
      <c r="F1139" s="27">
        <f>IF(E1139="","",AVERAGE(INDEX($E$2:$E$3001,MAX(1,ROW()-1-'02_Eingaben'!$C$17)):INDEX($E$2:$E$3001,MIN('02_Eingaben'!$C$21,ROW()-1+'02_Eingaben'!$C$17))))</f>
        <v/>
      </c>
      <c r="G1139" s="27">
        <f>IF(F1139="","",F1139-'02_Eingaben'!$C$10)</f>
        <v/>
      </c>
      <c r="H1139">
        <f>IF(F1139="","",IF(F1139&lt;'02_Eingaben'!$C$18*'02_Eingaben'!$C$10,1,0))</f>
        <v/>
      </c>
      <c r="I1139" s="27">
        <f>IF(OR(G1139="",G1140=""),"",(G1139+G1140)/2*(B1140-B1139))</f>
        <v/>
      </c>
      <c r="J1139" s="27">
        <f>IF(B1139="","",IF(B1138&lt;'02_Eingaben'!$C$36,0,J1138+I1138/'02_Eingaben'!$C$8))</f>
        <v/>
      </c>
    </row>
    <row r="1140">
      <c r="A1140">
        <f>IF('01_Rohdaten'!A1140="","",ROW()-1)</f>
        <v/>
      </c>
      <c r="B1140" s="27">
        <f>IF('01_Rohdaten'!A1140="","",'01_Rohdaten'!A1140)</f>
        <v/>
      </c>
      <c r="C1140" s="27">
        <f>IF(B1140="","",INDEX('01_Rohdaten'!B1140:D1140,'02_Eingaben'!$C$13))</f>
        <v/>
      </c>
      <c r="D1140" s="27">
        <f>IF(C1140="","",C1140*'02_Eingaben'!$C$15)</f>
        <v/>
      </c>
      <c r="E1140" s="27">
        <f>IF(D1140="","",D1140*'02_Eingaben'!$C$8)</f>
        <v/>
      </c>
      <c r="F1140" s="27">
        <f>IF(E1140="","",AVERAGE(INDEX($E$2:$E$3001,MAX(1,ROW()-1-'02_Eingaben'!$C$17)):INDEX($E$2:$E$3001,MIN('02_Eingaben'!$C$21,ROW()-1+'02_Eingaben'!$C$17))))</f>
        <v/>
      </c>
      <c r="G1140" s="27">
        <f>IF(F1140="","",F1140-'02_Eingaben'!$C$10)</f>
        <v/>
      </c>
      <c r="H1140">
        <f>IF(F1140="","",IF(F1140&lt;'02_Eingaben'!$C$18*'02_Eingaben'!$C$10,1,0))</f>
        <v/>
      </c>
      <c r="I1140" s="27">
        <f>IF(OR(G1140="",G1141=""),"",(G1140+G1141)/2*(B1141-B1140))</f>
        <v/>
      </c>
      <c r="J1140" s="27">
        <f>IF(B1140="","",IF(B1139&lt;'02_Eingaben'!$C$36,0,J1139+I1139/'02_Eingaben'!$C$8))</f>
        <v/>
      </c>
    </row>
    <row r="1141">
      <c r="A1141">
        <f>IF('01_Rohdaten'!A1141="","",ROW()-1)</f>
        <v/>
      </c>
      <c r="B1141" s="27">
        <f>IF('01_Rohdaten'!A1141="","",'01_Rohdaten'!A1141)</f>
        <v/>
      </c>
      <c r="C1141" s="27">
        <f>IF(B1141="","",INDEX('01_Rohdaten'!B1141:D1141,'02_Eingaben'!$C$13))</f>
        <v/>
      </c>
      <c r="D1141" s="27">
        <f>IF(C1141="","",C1141*'02_Eingaben'!$C$15)</f>
        <v/>
      </c>
      <c r="E1141" s="27">
        <f>IF(D1141="","",D1141*'02_Eingaben'!$C$8)</f>
        <v/>
      </c>
      <c r="F1141" s="27">
        <f>IF(E1141="","",AVERAGE(INDEX($E$2:$E$3001,MAX(1,ROW()-1-'02_Eingaben'!$C$17)):INDEX($E$2:$E$3001,MIN('02_Eingaben'!$C$21,ROW()-1+'02_Eingaben'!$C$17))))</f>
        <v/>
      </c>
      <c r="G1141" s="27">
        <f>IF(F1141="","",F1141-'02_Eingaben'!$C$10)</f>
        <v/>
      </c>
      <c r="H1141">
        <f>IF(F1141="","",IF(F1141&lt;'02_Eingaben'!$C$18*'02_Eingaben'!$C$10,1,0))</f>
        <v/>
      </c>
      <c r="I1141" s="27">
        <f>IF(OR(G1141="",G1142=""),"",(G1141+G1142)/2*(B1142-B1141))</f>
        <v/>
      </c>
      <c r="J1141" s="27">
        <f>IF(B1141="","",IF(B1140&lt;'02_Eingaben'!$C$36,0,J1140+I1140/'02_Eingaben'!$C$8))</f>
        <v/>
      </c>
    </row>
    <row r="1142">
      <c r="A1142">
        <f>IF('01_Rohdaten'!A1142="","",ROW()-1)</f>
        <v/>
      </c>
      <c r="B1142" s="27">
        <f>IF('01_Rohdaten'!A1142="","",'01_Rohdaten'!A1142)</f>
        <v/>
      </c>
      <c r="C1142" s="27">
        <f>IF(B1142="","",INDEX('01_Rohdaten'!B1142:D1142,'02_Eingaben'!$C$13))</f>
        <v/>
      </c>
      <c r="D1142" s="27">
        <f>IF(C1142="","",C1142*'02_Eingaben'!$C$15)</f>
        <v/>
      </c>
      <c r="E1142" s="27">
        <f>IF(D1142="","",D1142*'02_Eingaben'!$C$8)</f>
        <v/>
      </c>
      <c r="F1142" s="27">
        <f>IF(E1142="","",AVERAGE(INDEX($E$2:$E$3001,MAX(1,ROW()-1-'02_Eingaben'!$C$17)):INDEX($E$2:$E$3001,MIN('02_Eingaben'!$C$21,ROW()-1+'02_Eingaben'!$C$17))))</f>
        <v/>
      </c>
      <c r="G1142" s="27">
        <f>IF(F1142="","",F1142-'02_Eingaben'!$C$10)</f>
        <v/>
      </c>
      <c r="H1142">
        <f>IF(F1142="","",IF(F1142&lt;'02_Eingaben'!$C$18*'02_Eingaben'!$C$10,1,0))</f>
        <v/>
      </c>
      <c r="I1142" s="27">
        <f>IF(OR(G1142="",G1143=""),"",(G1142+G1143)/2*(B1143-B1142))</f>
        <v/>
      </c>
      <c r="J1142" s="27">
        <f>IF(B1142="","",IF(B1141&lt;'02_Eingaben'!$C$36,0,J1141+I1141/'02_Eingaben'!$C$8))</f>
        <v/>
      </c>
    </row>
    <row r="1143">
      <c r="A1143">
        <f>IF('01_Rohdaten'!A1143="","",ROW()-1)</f>
        <v/>
      </c>
      <c r="B1143" s="27">
        <f>IF('01_Rohdaten'!A1143="","",'01_Rohdaten'!A1143)</f>
        <v/>
      </c>
      <c r="C1143" s="27">
        <f>IF(B1143="","",INDEX('01_Rohdaten'!B1143:D1143,'02_Eingaben'!$C$13))</f>
        <v/>
      </c>
      <c r="D1143" s="27">
        <f>IF(C1143="","",C1143*'02_Eingaben'!$C$15)</f>
        <v/>
      </c>
      <c r="E1143" s="27">
        <f>IF(D1143="","",D1143*'02_Eingaben'!$C$8)</f>
        <v/>
      </c>
      <c r="F1143" s="27">
        <f>IF(E1143="","",AVERAGE(INDEX($E$2:$E$3001,MAX(1,ROW()-1-'02_Eingaben'!$C$17)):INDEX($E$2:$E$3001,MIN('02_Eingaben'!$C$21,ROW()-1+'02_Eingaben'!$C$17))))</f>
        <v/>
      </c>
      <c r="G1143" s="27">
        <f>IF(F1143="","",F1143-'02_Eingaben'!$C$10)</f>
        <v/>
      </c>
      <c r="H1143">
        <f>IF(F1143="","",IF(F1143&lt;'02_Eingaben'!$C$18*'02_Eingaben'!$C$10,1,0))</f>
        <v/>
      </c>
      <c r="I1143" s="27">
        <f>IF(OR(G1143="",G1144=""),"",(G1143+G1144)/2*(B1144-B1143))</f>
        <v/>
      </c>
      <c r="J1143" s="27">
        <f>IF(B1143="","",IF(B1142&lt;'02_Eingaben'!$C$36,0,J1142+I1142/'02_Eingaben'!$C$8))</f>
        <v/>
      </c>
    </row>
    <row r="1144">
      <c r="A1144">
        <f>IF('01_Rohdaten'!A1144="","",ROW()-1)</f>
        <v/>
      </c>
      <c r="B1144" s="27">
        <f>IF('01_Rohdaten'!A1144="","",'01_Rohdaten'!A1144)</f>
        <v/>
      </c>
      <c r="C1144" s="27">
        <f>IF(B1144="","",INDEX('01_Rohdaten'!B1144:D1144,'02_Eingaben'!$C$13))</f>
        <v/>
      </c>
      <c r="D1144" s="27">
        <f>IF(C1144="","",C1144*'02_Eingaben'!$C$15)</f>
        <v/>
      </c>
      <c r="E1144" s="27">
        <f>IF(D1144="","",D1144*'02_Eingaben'!$C$8)</f>
        <v/>
      </c>
      <c r="F1144" s="27">
        <f>IF(E1144="","",AVERAGE(INDEX($E$2:$E$3001,MAX(1,ROW()-1-'02_Eingaben'!$C$17)):INDEX($E$2:$E$3001,MIN('02_Eingaben'!$C$21,ROW()-1+'02_Eingaben'!$C$17))))</f>
        <v/>
      </c>
      <c r="G1144" s="27">
        <f>IF(F1144="","",F1144-'02_Eingaben'!$C$10)</f>
        <v/>
      </c>
      <c r="H1144">
        <f>IF(F1144="","",IF(F1144&lt;'02_Eingaben'!$C$18*'02_Eingaben'!$C$10,1,0))</f>
        <v/>
      </c>
      <c r="I1144" s="27">
        <f>IF(OR(G1144="",G1145=""),"",(G1144+G1145)/2*(B1145-B1144))</f>
        <v/>
      </c>
      <c r="J1144" s="27">
        <f>IF(B1144="","",IF(B1143&lt;'02_Eingaben'!$C$36,0,J1143+I1143/'02_Eingaben'!$C$8))</f>
        <v/>
      </c>
    </row>
    <row r="1145">
      <c r="A1145">
        <f>IF('01_Rohdaten'!A1145="","",ROW()-1)</f>
        <v/>
      </c>
      <c r="B1145" s="27">
        <f>IF('01_Rohdaten'!A1145="","",'01_Rohdaten'!A1145)</f>
        <v/>
      </c>
      <c r="C1145" s="27">
        <f>IF(B1145="","",INDEX('01_Rohdaten'!B1145:D1145,'02_Eingaben'!$C$13))</f>
        <v/>
      </c>
      <c r="D1145" s="27">
        <f>IF(C1145="","",C1145*'02_Eingaben'!$C$15)</f>
        <v/>
      </c>
      <c r="E1145" s="27">
        <f>IF(D1145="","",D1145*'02_Eingaben'!$C$8)</f>
        <v/>
      </c>
      <c r="F1145" s="27">
        <f>IF(E1145="","",AVERAGE(INDEX($E$2:$E$3001,MAX(1,ROW()-1-'02_Eingaben'!$C$17)):INDEX($E$2:$E$3001,MIN('02_Eingaben'!$C$21,ROW()-1+'02_Eingaben'!$C$17))))</f>
        <v/>
      </c>
      <c r="G1145" s="27">
        <f>IF(F1145="","",F1145-'02_Eingaben'!$C$10)</f>
        <v/>
      </c>
      <c r="H1145">
        <f>IF(F1145="","",IF(F1145&lt;'02_Eingaben'!$C$18*'02_Eingaben'!$C$10,1,0))</f>
        <v/>
      </c>
      <c r="I1145" s="27">
        <f>IF(OR(G1145="",G1146=""),"",(G1145+G1146)/2*(B1146-B1145))</f>
        <v/>
      </c>
      <c r="J1145" s="27">
        <f>IF(B1145="","",IF(B1144&lt;'02_Eingaben'!$C$36,0,J1144+I1144/'02_Eingaben'!$C$8))</f>
        <v/>
      </c>
    </row>
    <row r="1146">
      <c r="A1146">
        <f>IF('01_Rohdaten'!A1146="","",ROW()-1)</f>
        <v/>
      </c>
      <c r="B1146" s="27">
        <f>IF('01_Rohdaten'!A1146="","",'01_Rohdaten'!A1146)</f>
        <v/>
      </c>
      <c r="C1146" s="27">
        <f>IF(B1146="","",INDEX('01_Rohdaten'!B1146:D1146,'02_Eingaben'!$C$13))</f>
        <v/>
      </c>
      <c r="D1146" s="27">
        <f>IF(C1146="","",C1146*'02_Eingaben'!$C$15)</f>
        <v/>
      </c>
      <c r="E1146" s="27">
        <f>IF(D1146="","",D1146*'02_Eingaben'!$C$8)</f>
        <v/>
      </c>
      <c r="F1146" s="27">
        <f>IF(E1146="","",AVERAGE(INDEX($E$2:$E$3001,MAX(1,ROW()-1-'02_Eingaben'!$C$17)):INDEX($E$2:$E$3001,MIN('02_Eingaben'!$C$21,ROW()-1+'02_Eingaben'!$C$17))))</f>
        <v/>
      </c>
      <c r="G1146" s="27">
        <f>IF(F1146="","",F1146-'02_Eingaben'!$C$10)</f>
        <v/>
      </c>
      <c r="H1146">
        <f>IF(F1146="","",IF(F1146&lt;'02_Eingaben'!$C$18*'02_Eingaben'!$C$10,1,0))</f>
        <v/>
      </c>
      <c r="I1146" s="27">
        <f>IF(OR(G1146="",G1147=""),"",(G1146+G1147)/2*(B1147-B1146))</f>
        <v/>
      </c>
      <c r="J1146" s="27">
        <f>IF(B1146="","",IF(B1145&lt;'02_Eingaben'!$C$36,0,J1145+I1145/'02_Eingaben'!$C$8))</f>
        <v/>
      </c>
    </row>
    <row r="1147">
      <c r="A1147">
        <f>IF('01_Rohdaten'!A1147="","",ROW()-1)</f>
        <v/>
      </c>
      <c r="B1147" s="27">
        <f>IF('01_Rohdaten'!A1147="","",'01_Rohdaten'!A1147)</f>
        <v/>
      </c>
      <c r="C1147" s="27">
        <f>IF(B1147="","",INDEX('01_Rohdaten'!B1147:D1147,'02_Eingaben'!$C$13))</f>
        <v/>
      </c>
      <c r="D1147" s="27">
        <f>IF(C1147="","",C1147*'02_Eingaben'!$C$15)</f>
        <v/>
      </c>
      <c r="E1147" s="27">
        <f>IF(D1147="","",D1147*'02_Eingaben'!$C$8)</f>
        <v/>
      </c>
      <c r="F1147" s="27">
        <f>IF(E1147="","",AVERAGE(INDEX($E$2:$E$3001,MAX(1,ROW()-1-'02_Eingaben'!$C$17)):INDEX($E$2:$E$3001,MIN('02_Eingaben'!$C$21,ROW()-1+'02_Eingaben'!$C$17))))</f>
        <v/>
      </c>
      <c r="G1147" s="27">
        <f>IF(F1147="","",F1147-'02_Eingaben'!$C$10)</f>
        <v/>
      </c>
      <c r="H1147">
        <f>IF(F1147="","",IF(F1147&lt;'02_Eingaben'!$C$18*'02_Eingaben'!$C$10,1,0))</f>
        <v/>
      </c>
      <c r="I1147" s="27">
        <f>IF(OR(G1147="",G1148=""),"",(G1147+G1148)/2*(B1148-B1147))</f>
        <v/>
      </c>
      <c r="J1147" s="27">
        <f>IF(B1147="","",IF(B1146&lt;'02_Eingaben'!$C$36,0,J1146+I1146/'02_Eingaben'!$C$8))</f>
        <v/>
      </c>
    </row>
    <row r="1148">
      <c r="A1148">
        <f>IF('01_Rohdaten'!A1148="","",ROW()-1)</f>
        <v/>
      </c>
      <c r="B1148" s="27">
        <f>IF('01_Rohdaten'!A1148="","",'01_Rohdaten'!A1148)</f>
        <v/>
      </c>
      <c r="C1148" s="27">
        <f>IF(B1148="","",INDEX('01_Rohdaten'!B1148:D1148,'02_Eingaben'!$C$13))</f>
        <v/>
      </c>
      <c r="D1148" s="27">
        <f>IF(C1148="","",C1148*'02_Eingaben'!$C$15)</f>
        <v/>
      </c>
      <c r="E1148" s="27">
        <f>IF(D1148="","",D1148*'02_Eingaben'!$C$8)</f>
        <v/>
      </c>
      <c r="F1148" s="27">
        <f>IF(E1148="","",AVERAGE(INDEX($E$2:$E$3001,MAX(1,ROW()-1-'02_Eingaben'!$C$17)):INDEX($E$2:$E$3001,MIN('02_Eingaben'!$C$21,ROW()-1+'02_Eingaben'!$C$17))))</f>
        <v/>
      </c>
      <c r="G1148" s="27">
        <f>IF(F1148="","",F1148-'02_Eingaben'!$C$10)</f>
        <v/>
      </c>
      <c r="H1148">
        <f>IF(F1148="","",IF(F1148&lt;'02_Eingaben'!$C$18*'02_Eingaben'!$C$10,1,0))</f>
        <v/>
      </c>
      <c r="I1148" s="27">
        <f>IF(OR(G1148="",G1149=""),"",(G1148+G1149)/2*(B1149-B1148))</f>
        <v/>
      </c>
      <c r="J1148" s="27">
        <f>IF(B1148="","",IF(B1147&lt;'02_Eingaben'!$C$36,0,J1147+I1147/'02_Eingaben'!$C$8))</f>
        <v/>
      </c>
    </row>
    <row r="1149">
      <c r="A1149">
        <f>IF('01_Rohdaten'!A1149="","",ROW()-1)</f>
        <v/>
      </c>
      <c r="B1149" s="27">
        <f>IF('01_Rohdaten'!A1149="","",'01_Rohdaten'!A1149)</f>
        <v/>
      </c>
      <c r="C1149" s="27">
        <f>IF(B1149="","",INDEX('01_Rohdaten'!B1149:D1149,'02_Eingaben'!$C$13))</f>
        <v/>
      </c>
      <c r="D1149" s="27">
        <f>IF(C1149="","",C1149*'02_Eingaben'!$C$15)</f>
        <v/>
      </c>
      <c r="E1149" s="27">
        <f>IF(D1149="","",D1149*'02_Eingaben'!$C$8)</f>
        <v/>
      </c>
      <c r="F1149" s="27">
        <f>IF(E1149="","",AVERAGE(INDEX($E$2:$E$3001,MAX(1,ROW()-1-'02_Eingaben'!$C$17)):INDEX($E$2:$E$3001,MIN('02_Eingaben'!$C$21,ROW()-1+'02_Eingaben'!$C$17))))</f>
        <v/>
      </c>
      <c r="G1149" s="27">
        <f>IF(F1149="","",F1149-'02_Eingaben'!$C$10)</f>
        <v/>
      </c>
      <c r="H1149">
        <f>IF(F1149="","",IF(F1149&lt;'02_Eingaben'!$C$18*'02_Eingaben'!$C$10,1,0))</f>
        <v/>
      </c>
      <c r="I1149" s="27">
        <f>IF(OR(G1149="",G1150=""),"",(G1149+G1150)/2*(B1150-B1149))</f>
        <v/>
      </c>
      <c r="J1149" s="27">
        <f>IF(B1149="","",IF(B1148&lt;'02_Eingaben'!$C$36,0,J1148+I1148/'02_Eingaben'!$C$8))</f>
        <v/>
      </c>
    </row>
    <row r="1150">
      <c r="A1150">
        <f>IF('01_Rohdaten'!A1150="","",ROW()-1)</f>
        <v/>
      </c>
      <c r="B1150" s="27">
        <f>IF('01_Rohdaten'!A1150="","",'01_Rohdaten'!A1150)</f>
        <v/>
      </c>
      <c r="C1150" s="27">
        <f>IF(B1150="","",INDEX('01_Rohdaten'!B1150:D1150,'02_Eingaben'!$C$13))</f>
        <v/>
      </c>
      <c r="D1150" s="27">
        <f>IF(C1150="","",C1150*'02_Eingaben'!$C$15)</f>
        <v/>
      </c>
      <c r="E1150" s="27">
        <f>IF(D1150="","",D1150*'02_Eingaben'!$C$8)</f>
        <v/>
      </c>
      <c r="F1150" s="27">
        <f>IF(E1150="","",AVERAGE(INDEX($E$2:$E$3001,MAX(1,ROW()-1-'02_Eingaben'!$C$17)):INDEX($E$2:$E$3001,MIN('02_Eingaben'!$C$21,ROW()-1+'02_Eingaben'!$C$17))))</f>
        <v/>
      </c>
      <c r="G1150" s="27">
        <f>IF(F1150="","",F1150-'02_Eingaben'!$C$10)</f>
        <v/>
      </c>
      <c r="H1150">
        <f>IF(F1150="","",IF(F1150&lt;'02_Eingaben'!$C$18*'02_Eingaben'!$C$10,1,0))</f>
        <v/>
      </c>
      <c r="I1150" s="27">
        <f>IF(OR(G1150="",G1151=""),"",(G1150+G1151)/2*(B1151-B1150))</f>
        <v/>
      </c>
      <c r="J1150" s="27">
        <f>IF(B1150="","",IF(B1149&lt;'02_Eingaben'!$C$36,0,J1149+I1149/'02_Eingaben'!$C$8))</f>
        <v/>
      </c>
    </row>
    <row r="1151">
      <c r="A1151">
        <f>IF('01_Rohdaten'!A1151="","",ROW()-1)</f>
        <v/>
      </c>
      <c r="B1151" s="27">
        <f>IF('01_Rohdaten'!A1151="","",'01_Rohdaten'!A1151)</f>
        <v/>
      </c>
      <c r="C1151" s="27">
        <f>IF(B1151="","",INDEX('01_Rohdaten'!B1151:D1151,'02_Eingaben'!$C$13))</f>
        <v/>
      </c>
      <c r="D1151" s="27">
        <f>IF(C1151="","",C1151*'02_Eingaben'!$C$15)</f>
        <v/>
      </c>
      <c r="E1151" s="27">
        <f>IF(D1151="","",D1151*'02_Eingaben'!$C$8)</f>
        <v/>
      </c>
      <c r="F1151" s="27">
        <f>IF(E1151="","",AVERAGE(INDEX($E$2:$E$3001,MAX(1,ROW()-1-'02_Eingaben'!$C$17)):INDEX($E$2:$E$3001,MIN('02_Eingaben'!$C$21,ROW()-1+'02_Eingaben'!$C$17))))</f>
        <v/>
      </c>
      <c r="G1151" s="27">
        <f>IF(F1151="","",F1151-'02_Eingaben'!$C$10)</f>
        <v/>
      </c>
      <c r="H1151">
        <f>IF(F1151="","",IF(F1151&lt;'02_Eingaben'!$C$18*'02_Eingaben'!$C$10,1,0))</f>
        <v/>
      </c>
      <c r="I1151" s="27">
        <f>IF(OR(G1151="",G1152=""),"",(G1151+G1152)/2*(B1152-B1151))</f>
        <v/>
      </c>
      <c r="J1151" s="27">
        <f>IF(B1151="","",IF(B1150&lt;'02_Eingaben'!$C$36,0,J1150+I1150/'02_Eingaben'!$C$8))</f>
        <v/>
      </c>
    </row>
    <row r="1152">
      <c r="A1152">
        <f>IF('01_Rohdaten'!A1152="","",ROW()-1)</f>
        <v/>
      </c>
      <c r="B1152" s="27">
        <f>IF('01_Rohdaten'!A1152="","",'01_Rohdaten'!A1152)</f>
        <v/>
      </c>
      <c r="C1152" s="27">
        <f>IF(B1152="","",INDEX('01_Rohdaten'!B1152:D1152,'02_Eingaben'!$C$13))</f>
        <v/>
      </c>
      <c r="D1152" s="27">
        <f>IF(C1152="","",C1152*'02_Eingaben'!$C$15)</f>
        <v/>
      </c>
      <c r="E1152" s="27">
        <f>IF(D1152="","",D1152*'02_Eingaben'!$C$8)</f>
        <v/>
      </c>
      <c r="F1152" s="27">
        <f>IF(E1152="","",AVERAGE(INDEX($E$2:$E$3001,MAX(1,ROW()-1-'02_Eingaben'!$C$17)):INDEX($E$2:$E$3001,MIN('02_Eingaben'!$C$21,ROW()-1+'02_Eingaben'!$C$17))))</f>
        <v/>
      </c>
      <c r="G1152" s="27">
        <f>IF(F1152="","",F1152-'02_Eingaben'!$C$10)</f>
        <v/>
      </c>
      <c r="H1152">
        <f>IF(F1152="","",IF(F1152&lt;'02_Eingaben'!$C$18*'02_Eingaben'!$C$10,1,0))</f>
        <v/>
      </c>
      <c r="I1152" s="27">
        <f>IF(OR(G1152="",G1153=""),"",(G1152+G1153)/2*(B1153-B1152))</f>
        <v/>
      </c>
      <c r="J1152" s="27">
        <f>IF(B1152="","",IF(B1151&lt;'02_Eingaben'!$C$36,0,J1151+I1151/'02_Eingaben'!$C$8))</f>
        <v/>
      </c>
    </row>
    <row r="1153">
      <c r="A1153">
        <f>IF('01_Rohdaten'!A1153="","",ROW()-1)</f>
        <v/>
      </c>
      <c r="B1153" s="27">
        <f>IF('01_Rohdaten'!A1153="","",'01_Rohdaten'!A1153)</f>
        <v/>
      </c>
      <c r="C1153" s="27">
        <f>IF(B1153="","",INDEX('01_Rohdaten'!B1153:D1153,'02_Eingaben'!$C$13))</f>
        <v/>
      </c>
      <c r="D1153" s="27">
        <f>IF(C1153="","",C1153*'02_Eingaben'!$C$15)</f>
        <v/>
      </c>
      <c r="E1153" s="27">
        <f>IF(D1153="","",D1153*'02_Eingaben'!$C$8)</f>
        <v/>
      </c>
      <c r="F1153" s="27">
        <f>IF(E1153="","",AVERAGE(INDEX($E$2:$E$3001,MAX(1,ROW()-1-'02_Eingaben'!$C$17)):INDEX($E$2:$E$3001,MIN('02_Eingaben'!$C$21,ROW()-1+'02_Eingaben'!$C$17))))</f>
        <v/>
      </c>
      <c r="G1153" s="27">
        <f>IF(F1153="","",F1153-'02_Eingaben'!$C$10)</f>
        <v/>
      </c>
      <c r="H1153">
        <f>IF(F1153="","",IF(F1153&lt;'02_Eingaben'!$C$18*'02_Eingaben'!$C$10,1,0))</f>
        <v/>
      </c>
      <c r="I1153" s="27">
        <f>IF(OR(G1153="",G1154=""),"",(G1153+G1154)/2*(B1154-B1153))</f>
        <v/>
      </c>
      <c r="J1153" s="27">
        <f>IF(B1153="","",IF(B1152&lt;'02_Eingaben'!$C$36,0,J1152+I1152/'02_Eingaben'!$C$8))</f>
        <v/>
      </c>
    </row>
    <row r="1154">
      <c r="A1154">
        <f>IF('01_Rohdaten'!A1154="","",ROW()-1)</f>
        <v/>
      </c>
      <c r="B1154" s="27">
        <f>IF('01_Rohdaten'!A1154="","",'01_Rohdaten'!A1154)</f>
        <v/>
      </c>
      <c r="C1154" s="27">
        <f>IF(B1154="","",INDEX('01_Rohdaten'!B1154:D1154,'02_Eingaben'!$C$13))</f>
        <v/>
      </c>
      <c r="D1154" s="27">
        <f>IF(C1154="","",C1154*'02_Eingaben'!$C$15)</f>
        <v/>
      </c>
      <c r="E1154" s="27">
        <f>IF(D1154="","",D1154*'02_Eingaben'!$C$8)</f>
        <v/>
      </c>
      <c r="F1154" s="27">
        <f>IF(E1154="","",AVERAGE(INDEX($E$2:$E$3001,MAX(1,ROW()-1-'02_Eingaben'!$C$17)):INDEX($E$2:$E$3001,MIN('02_Eingaben'!$C$21,ROW()-1+'02_Eingaben'!$C$17))))</f>
        <v/>
      </c>
      <c r="G1154" s="27">
        <f>IF(F1154="","",F1154-'02_Eingaben'!$C$10)</f>
        <v/>
      </c>
      <c r="H1154">
        <f>IF(F1154="","",IF(F1154&lt;'02_Eingaben'!$C$18*'02_Eingaben'!$C$10,1,0))</f>
        <v/>
      </c>
      <c r="I1154" s="27">
        <f>IF(OR(G1154="",G1155=""),"",(G1154+G1155)/2*(B1155-B1154))</f>
        <v/>
      </c>
      <c r="J1154" s="27">
        <f>IF(B1154="","",IF(B1153&lt;'02_Eingaben'!$C$36,0,J1153+I1153/'02_Eingaben'!$C$8))</f>
        <v/>
      </c>
    </row>
    <row r="1155">
      <c r="A1155">
        <f>IF('01_Rohdaten'!A1155="","",ROW()-1)</f>
        <v/>
      </c>
      <c r="B1155" s="27">
        <f>IF('01_Rohdaten'!A1155="","",'01_Rohdaten'!A1155)</f>
        <v/>
      </c>
      <c r="C1155" s="27">
        <f>IF(B1155="","",INDEX('01_Rohdaten'!B1155:D1155,'02_Eingaben'!$C$13))</f>
        <v/>
      </c>
      <c r="D1155" s="27">
        <f>IF(C1155="","",C1155*'02_Eingaben'!$C$15)</f>
        <v/>
      </c>
      <c r="E1155" s="27">
        <f>IF(D1155="","",D1155*'02_Eingaben'!$C$8)</f>
        <v/>
      </c>
      <c r="F1155" s="27">
        <f>IF(E1155="","",AVERAGE(INDEX($E$2:$E$3001,MAX(1,ROW()-1-'02_Eingaben'!$C$17)):INDEX($E$2:$E$3001,MIN('02_Eingaben'!$C$21,ROW()-1+'02_Eingaben'!$C$17))))</f>
        <v/>
      </c>
      <c r="G1155" s="27">
        <f>IF(F1155="","",F1155-'02_Eingaben'!$C$10)</f>
        <v/>
      </c>
      <c r="H1155">
        <f>IF(F1155="","",IF(F1155&lt;'02_Eingaben'!$C$18*'02_Eingaben'!$C$10,1,0))</f>
        <v/>
      </c>
      <c r="I1155" s="27">
        <f>IF(OR(G1155="",G1156=""),"",(G1155+G1156)/2*(B1156-B1155))</f>
        <v/>
      </c>
      <c r="J1155" s="27">
        <f>IF(B1155="","",IF(B1154&lt;'02_Eingaben'!$C$36,0,J1154+I1154/'02_Eingaben'!$C$8))</f>
        <v/>
      </c>
    </row>
    <row r="1156">
      <c r="A1156">
        <f>IF('01_Rohdaten'!A1156="","",ROW()-1)</f>
        <v/>
      </c>
      <c r="B1156" s="27">
        <f>IF('01_Rohdaten'!A1156="","",'01_Rohdaten'!A1156)</f>
        <v/>
      </c>
      <c r="C1156" s="27">
        <f>IF(B1156="","",INDEX('01_Rohdaten'!B1156:D1156,'02_Eingaben'!$C$13))</f>
        <v/>
      </c>
      <c r="D1156" s="27">
        <f>IF(C1156="","",C1156*'02_Eingaben'!$C$15)</f>
        <v/>
      </c>
      <c r="E1156" s="27">
        <f>IF(D1156="","",D1156*'02_Eingaben'!$C$8)</f>
        <v/>
      </c>
      <c r="F1156" s="27">
        <f>IF(E1156="","",AVERAGE(INDEX($E$2:$E$3001,MAX(1,ROW()-1-'02_Eingaben'!$C$17)):INDEX($E$2:$E$3001,MIN('02_Eingaben'!$C$21,ROW()-1+'02_Eingaben'!$C$17))))</f>
        <v/>
      </c>
      <c r="G1156" s="27">
        <f>IF(F1156="","",F1156-'02_Eingaben'!$C$10)</f>
        <v/>
      </c>
      <c r="H1156">
        <f>IF(F1156="","",IF(F1156&lt;'02_Eingaben'!$C$18*'02_Eingaben'!$C$10,1,0))</f>
        <v/>
      </c>
      <c r="I1156" s="27">
        <f>IF(OR(G1156="",G1157=""),"",(G1156+G1157)/2*(B1157-B1156))</f>
        <v/>
      </c>
      <c r="J1156" s="27">
        <f>IF(B1156="","",IF(B1155&lt;'02_Eingaben'!$C$36,0,J1155+I1155/'02_Eingaben'!$C$8))</f>
        <v/>
      </c>
    </row>
    <row r="1157">
      <c r="A1157">
        <f>IF('01_Rohdaten'!A1157="","",ROW()-1)</f>
        <v/>
      </c>
      <c r="B1157" s="27">
        <f>IF('01_Rohdaten'!A1157="","",'01_Rohdaten'!A1157)</f>
        <v/>
      </c>
      <c r="C1157" s="27">
        <f>IF(B1157="","",INDEX('01_Rohdaten'!B1157:D1157,'02_Eingaben'!$C$13))</f>
        <v/>
      </c>
      <c r="D1157" s="27">
        <f>IF(C1157="","",C1157*'02_Eingaben'!$C$15)</f>
        <v/>
      </c>
      <c r="E1157" s="27">
        <f>IF(D1157="","",D1157*'02_Eingaben'!$C$8)</f>
        <v/>
      </c>
      <c r="F1157" s="27">
        <f>IF(E1157="","",AVERAGE(INDEX($E$2:$E$3001,MAX(1,ROW()-1-'02_Eingaben'!$C$17)):INDEX($E$2:$E$3001,MIN('02_Eingaben'!$C$21,ROW()-1+'02_Eingaben'!$C$17))))</f>
        <v/>
      </c>
      <c r="G1157" s="27">
        <f>IF(F1157="","",F1157-'02_Eingaben'!$C$10)</f>
        <v/>
      </c>
      <c r="H1157">
        <f>IF(F1157="","",IF(F1157&lt;'02_Eingaben'!$C$18*'02_Eingaben'!$C$10,1,0))</f>
        <v/>
      </c>
      <c r="I1157" s="27">
        <f>IF(OR(G1157="",G1158=""),"",(G1157+G1158)/2*(B1158-B1157))</f>
        <v/>
      </c>
      <c r="J1157" s="27">
        <f>IF(B1157="","",IF(B1156&lt;'02_Eingaben'!$C$36,0,J1156+I1156/'02_Eingaben'!$C$8))</f>
        <v/>
      </c>
    </row>
    <row r="1158">
      <c r="A1158">
        <f>IF('01_Rohdaten'!A1158="","",ROW()-1)</f>
        <v/>
      </c>
      <c r="B1158" s="27">
        <f>IF('01_Rohdaten'!A1158="","",'01_Rohdaten'!A1158)</f>
        <v/>
      </c>
      <c r="C1158" s="27">
        <f>IF(B1158="","",INDEX('01_Rohdaten'!B1158:D1158,'02_Eingaben'!$C$13))</f>
        <v/>
      </c>
      <c r="D1158" s="27">
        <f>IF(C1158="","",C1158*'02_Eingaben'!$C$15)</f>
        <v/>
      </c>
      <c r="E1158" s="27">
        <f>IF(D1158="","",D1158*'02_Eingaben'!$C$8)</f>
        <v/>
      </c>
      <c r="F1158" s="27">
        <f>IF(E1158="","",AVERAGE(INDEX($E$2:$E$3001,MAX(1,ROW()-1-'02_Eingaben'!$C$17)):INDEX($E$2:$E$3001,MIN('02_Eingaben'!$C$21,ROW()-1+'02_Eingaben'!$C$17))))</f>
        <v/>
      </c>
      <c r="G1158" s="27">
        <f>IF(F1158="","",F1158-'02_Eingaben'!$C$10)</f>
        <v/>
      </c>
      <c r="H1158">
        <f>IF(F1158="","",IF(F1158&lt;'02_Eingaben'!$C$18*'02_Eingaben'!$C$10,1,0))</f>
        <v/>
      </c>
      <c r="I1158" s="27">
        <f>IF(OR(G1158="",G1159=""),"",(G1158+G1159)/2*(B1159-B1158))</f>
        <v/>
      </c>
      <c r="J1158" s="27">
        <f>IF(B1158="","",IF(B1157&lt;'02_Eingaben'!$C$36,0,J1157+I1157/'02_Eingaben'!$C$8))</f>
        <v/>
      </c>
    </row>
    <row r="1159">
      <c r="A1159">
        <f>IF('01_Rohdaten'!A1159="","",ROW()-1)</f>
        <v/>
      </c>
      <c r="B1159" s="27">
        <f>IF('01_Rohdaten'!A1159="","",'01_Rohdaten'!A1159)</f>
        <v/>
      </c>
      <c r="C1159" s="27">
        <f>IF(B1159="","",INDEX('01_Rohdaten'!B1159:D1159,'02_Eingaben'!$C$13))</f>
        <v/>
      </c>
      <c r="D1159" s="27">
        <f>IF(C1159="","",C1159*'02_Eingaben'!$C$15)</f>
        <v/>
      </c>
      <c r="E1159" s="27">
        <f>IF(D1159="","",D1159*'02_Eingaben'!$C$8)</f>
        <v/>
      </c>
      <c r="F1159" s="27">
        <f>IF(E1159="","",AVERAGE(INDEX($E$2:$E$3001,MAX(1,ROW()-1-'02_Eingaben'!$C$17)):INDEX($E$2:$E$3001,MIN('02_Eingaben'!$C$21,ROW()-1+'02_Eingaben'!$C$17))))</f>
        <v/>
      </c>
      <c r="G1159" s="27">
        <f>IF(F1159="","",F1159-'02_Eingaben'!$C$10)</f>
        <v/>
      </c>
      <c r="H1159">
        <f>IF(F1159="","",IF(F1159&lt;'02_Eingaben'!$C$18*'02_Eingaben'!$C$10,1,0))</f>
        <v/>
      </c>
      <c r="I1159" s="27">
        <f>IF(OR(G1159="",G1160=""),"",(G1159+G1160)/2*(B1160-B1159))</f>
        <v/>
      </c>
      <c r="J1159" s="27">
        <f>IF(B1159="","",IF(B1158&lt;'02_Eingaben'!$C$36,0,J1158+I1158/'02_Eingaben'!$C$8))</f>
        <v/>
      </c>
    </row>
    <row r="1160">
      <c r="A1160">
        <f>IF('01_Rohdaten'!A1160="","",ROW()-1)</f>
        <v/>
      </c>
      <c r="B1160" s="27">
        <f>IF('01_Rohdaten'!A1160="","",'01_Rohdaten'!A1160)</f>
        <v/>
      </c>
      <c r="C1160" s="27">
        <f>IF(B1160="","",INDEX('01_Rohdaten'!B1160:D1160,'02_Eingaben'!$C$13))</f>
        <v/>
      </c>
      <c r="D1160" s="27">
        <f>IF(C1160="","",C1160*'02_Eingaben'!$C$15)</f>
        <v/>
      </c>
      <c r="E1160" s="27">
        <f>IF(D1160="","",D1160*'02_Eingaben'!$C$8)</f>
        <v/>
      </c>
      <c r="F1160" s="27">
        <f>IF(E1160="","",AVERAGE(INDEX($E$2:$E$3001,MAX(1,ROW()-1-'02_Eingaben'!$C$17)):INDEX($E$2:$E$3001,MIN('02_Eingaben'!$C$21,ROW()-1+'02_Eingaben'!$C$17))))</f>
        <v/>
      </c>
      <c r="G1160" s="27">
        <f>IF(F1160="","",F1160-'02_Eingaben'!$C$10)</f>
        <v/>
      </c>
      <c r="H1160">
        <f>IF(F1160="","",IF(F1160&lt;'02_Eingaben'!$C$18*'02_Eingaben'!$C$10,1,0))</f>
        <v/>
      </c>
      <c r="I1160" s="27">
        <f>IF(OR(G1160="",G1161=""),"",(G1160+G1161)/2*(B1161-B1160))</f>
        <v/>
      </c>
      <c r="J1160" s="27">
        <f>IF(B1160="","",IF(B1159&lt;'02_Eingaben'!$C$36,0,J1159+I1159/'02_Eingaben'!$C$8))</f>
        <v/>
      </c>
    </row>
    <row r="1161">
      <c r="A1161">
        <f>IF('01_Rohdaten'!A1161="","",ROW()-1)</f>
        <v/>
      </c>
      <c r="B1161" s="27">
        <f>IF('01_Rohdaten'!A1161="","",'01_Rohdaten'!A1161)</f>
        <v/>
      </c>
      <c r="C1161" s="27">
        <f>IF(B1161="","",INDEX('01_Rohdaten'!B1161:D1161,'02_Eingaben'!$C$13))</f>
        <v/>
      </c>
      <c r="D1161" s="27">
        <f>IF(C1161="","",C1161*'02_Eingaben'!$C$15)</f>
        <v/>
      </c>
      <c r="E1161" s="27">
        <f>IF(D1161="","",D1161*'02_Eingaben'!$C$8)</f>
        <v/>
      </c>
      <c r="F1161" s="27">
        <f>IF(E1161="","",AVERAGE(INDEX($E$2:$E$3001,MAX(1,ROW()-1-'02_Eingaben'!$C$17)):INDEX($E$2:$E$3001,MIN('02_Eingaben'!$C$21,ROW()-1+'02_Eingaben'!$C$17))))</f>
        <v/>
      </c>
      <c r="G1161" s="27">
        <f>IF(F1161="","",F1161-'02_Eingaben'!$C$10)</f>
        <v/>
      </c>
      <c r="H1161">
        <f>IF(F1161="","",IF(F1161&lt;'02_Eingaben'!$C$18*'02_Eingaben'!$C$10,1,0))</f>
        <v/>
      </c>
      <c r="I1161" s="27">
        <f>IF(OR(G1161="",G1162=""),"",(G1161+G1162)/2*(B1162-B1161))</f>
        <v/>
      </c>
      <c r="J1161" s="27">
        <f>IF(B1161="","",IF(B1160&lt;'02_Eingaben'!$C$36,0,J1160+I1160/'02_Eingaben'!$C$8))</f>
        <v/>
      </c>
    </row>
    <row r="1162">
      <c r="A1162">
        <f>IF('01_Rohdaten'!A1162="","",ROW()-1)</f>
        <v/>
      </c>
      <c r="B1162" s="27">
        <f>IF('01_Rohdaten'!A1162="","",'01_Rohdaten'!A1162)</f>
        <v/>
      </c>
      <c r="C1162" s="27">
        <f>IF(B1162="","",INDEX('01_Rohdaten'!B1162:D1162,'02_Eingaben'!$C$13))</f>
        <v/>
      </c>
      <c r="D1162" s="27">
        <f>IF(C1162="","",C1162*'02_Eingaben'!$C$15)</f>
        <v/>
      </c>
      <c r="E1162" s="27">
        <f>IF(D1162="","",D1162*'02_Eingaben'!$C$8)</f>
        <v/>
      </c>
      <c r="F1162" s="27">
        <f>IF(E1162="","",AVERAGE(INDEX($E$2:$E$3001,MAX(1,ROW()-1-'02_Eingaben'!$C$17)):INDEX($E$2:$E$3001,MIN('02_Eingaben'!$C$21,ROW()-1+'02_Eingaben'!$C$17))))</f>
        <v/>
      </c>
      <c r="G1162" s="27">
        <f>IF(F1162="","",F1162-'02_Eingaben'!$C$10)</f>
        <v/>
      </c>
      <c r="H1162">
        <f>IF(F1162="","",IF(F1162&lt;'02_Eingaben'!$C$18*'02_Eingaben'!$C$10,1,0))</f>
        <v/>
      </c>
      <c r="I1162" s="27">
        <f>IF(OR(G1162="",G1163=""),"",(G1162+G1163)/2*(B1163-B1162))</f>
        <v/>
      </c>
      <c r="J1162" s="27">
        <f>IF(B1162="","",IF(B1161&lt;'02_Eingaben'!$C$36,0,J1161+I1161/'02_Eingaben'!$C$8))</f>
        <v/>
      </c>
    </row>
    <row r="1163">
      <c r="A1163">
        <f>IF('01_Rohdaten'!A1163="","",ROW()-1)</f>
        <v/>
      </c>
      <c r="B1163" s="27">
        <f>IF('01_Rohdaten'!A1163="","",'01_Rohdaten'!A1163)</f>
        <v/>
      </c>
      <c r="C1163" s="27">
        <f>IF(B1163="","",INDEX('01_Rohdaten'!B1163:D1163,'02_Eingaben'!$C$13))</f>
        <v/>
      </c>
      <c r="D1163" s="27">
        <f>IF(C1163="","",C1163*'02_Eingaben'!$C$15)</f>
        <v/>
      </c>
      <c r="E1163" s="27">
        <f>IF(D1163="","",D1163*'02_Eingaben'!$C$8)</f>
        <v/>
      </c>
      <c r="F1163" s="27">
        <f>IF(E1163="","",AVERAGE(INDEX($E$2:$E$3001,MAX(1,ROW()-1-'02_Eingaben'!$C$17)):INDEX($E$2:$E$3001,MIN('02_Eingaben'!$C$21,ROW()-1+'02_Eingaben'!$C$17))))</f>
        <v/>
      </c>
      <c r="G1163" s="27">
        <f>IF(F1163="","",F1163-'02_Eingaben'!$C$10)</f>
        <v/>
      </c>
      <c r="H1163">
        <f>IF(F1163="","",IF(F1163&lt;'02_Eingaben'!$C$18*'02_Eingaben'!$C$10,1,0))</f>
        <v/>
      </c>
      <c r="I1163" s="27">
        <f>IF(OR(G1163="",G1164=""),"",(G1163+G1164)/2*(B1164-B1163))</f>
        <v/>
      </c>
      <c r="J1163" s="27">
        <f>IF(B1163="","",IF(B1162&lt;'02_Eingaben'!$C$36,0,J1162+I1162/'02_Eingaben'!$C$8))</f>
        <v/>
      </c>
    </row>
    <row r="1164">
      <c r="A1164">
        <f>IF('01_Rohdaten'!A1164="","",ROW()-1)</f>
        <v/>
      </c>
      <c r="B1164" s="27">
        <f>IF('01_Rohdaten'!A1164="","",'01_Rohdaten'!A1164)</f>
        <v/>
      </c>
      <c r="C1164" s="27">
        <f>IF(B1164="","",INDEX('01_Rohdaten'!B1164:D1164,'02_Eingaben'!$C$13))</f>
        <v/>
      </c>
      <c r="D1164" s="27">
        <f>IF(C1164="","",C1164*'02_Eingaben'!$C$15)</f>
        <v/>
      </c>
      <c r="E1164" s="27">
        <f>IF(D1164="","",D1164*'02_Eingaben'!$C$8)</f>
        <v/>
      </c>
      <c r="F1164" s="27">
        <f>IF(E1164="","",AVERAGE(INDEX($E$2:$E$3001,MAX(1,ROW()-1-'02_Eingaben'!$C$17)):INDEX($E$2:$E$3001,MIN('02_Eingaben'!$C$21,ROW()-1+'02_Eingaben'!$C$17))))</f>
        <v/>
      </c>
      <c r="G1164" s="27">
        <f>IF(F1164="","",F1164-'02_Eingaben'!$C$10)</f>
        <v/>
      </c>
      <c r="H1164">
        <f>IF(F1164="","",IF(F1164&lt;'02_Eingaben'!$C$18*'02_Eingaben'!$C$10,1,0))</f>
        <v/>
      </c>
      <c r="I1164" s="27">
        <f>IF(OR(G1164="",G1165=""),"",(G1164+G1165)/2*(B1165-B1164))</f>
        <v/>
      </c>
      <c r="J1164" s="27">
        <f>IF(B1164="","",IF(B1163&lt;'02_Eingaben'!$C$36,0,J1163+I1163/'02_Eingaben'!$C$8))</f>
        <v/>
      </c>
    </row>
    <row r="1165">
      <c r="A1165">
        <f>IF('01_Rohdaten'!A1165="","",ROW()-1)</f>
        <v/>
      </c>
      <c r="B1165" s="27">
        <f>IF('01_Rohdaten'!A1165="","",'01_Rohdaten'!A1165)</f>
        <v/>
      </c>
      <c r="C1165" s="27">
        <f>IF(B1165="","",INDEX('01_Rohdaten'!B1165:D1165,'02_Eingaben'!$C$13))</f>
        <v/>
      </c>
      <c r="D1165" s="27">
        <f>IF(C1165="","",C1165*'02_Eingaben'!$C$15)</f>
        <v/>
      </c>
      <c r="E1165" s="27">
        <f>IF(D1165="","",D1165*'02_Eingaben'!$C$8)</f>
        <v/>
      </c>
      <c r="F1165" s="27">
        <f>IF(E1165="","",AVERAGE(INDEX($E$2:$E$3001,MAX(1,ROW()-1-'02_Eingaben'!$C$17)):INDEX($E$2:$E$3001,MIN('02_Eingaben'!$C$21,ROW()-1+'02_Eingaben'!$C$17))))</f>
        <v/>
      </c>
      <c r="G1165" s="27">
        <f>IF(F1165="","",F1165-'02_Eingaben'!$C$10)</f>
        <v/>
      </c>
      <c r="H1165">
        <f>IF(F1165="","",IF(F1165&lt;'02_Eingaben'!$C$18*'02_Eingaben'!$C$10,1,0))</f>
        <v/>
      </c>
      <c r="I1165" s="27">
        <f>IF(OR(G1165="",G1166=""),"",(G1165+G1166)/2*(B1166-B1165))</f>
        <v/>
      </c>
      <c r="J1165" s="27">
        <f>IF(B1165="","",IF(B1164&lt;'02_Eingaben'!$C$36,0,J1164+I1164/'02_Eingaben'!$C$8))</f>
        <v/>
      </c>
    </row>
    <row r="1166">
      <c r="A1166">
        <f>IF('01_Rohdaten'!A1166="","",ROW()-1)</f>
        <v/>
      </c>
      <c r="B1166" s="27">
        <f>IF('01_Rohdaten'!A1166="","",'01_Rohdaten'!A1166)</f>
        <v/>
      </c>
      <c r="C1166" s="27">
        <f>IF(B1166="","",INDEX('01_Rohdaten'!B1166:D1166,'02_Eingaben'!$C$13))</f>
        <v/>
      </c>
      <c r="D1166" s="27">
        <f>IF(C1166="","",C1166*'02_Eingaben'!$C$15)</f>
        <v/>
      </c>
      <c r="E1166" s="27">
        <f>IF(D1166="","",D1166*'02_Eingaben'!$C$8)</f>
        <v/>
      </c>
      <c r="F1166" s="27">
        <f>IF(E1166="","",AVERAGE(INDEX($E$2:$E$3001,MAX(1,ROW()-1-'02_Eingaben'!$C$17)):INDEX($E$2:$E$3001,MIN('02_Eingaben'!$C$21,ROW()-1+'02_Eingaben'!$C$17))))</f>
        <v/>
      </c>
      <c r="G1166" s="27">
        <f>IF(F1166="","",F1166-'02_Eingaben'!$C$10)</f>
        <v/>
      </c>
      <c r="H1166">
        <f>IF(F1166="","",IF(F1166&lt;'02_Eingaben'!$C$18*'02_Eingaben'!$C$10,1,0))</f>
        <v/>
      </c>
      <c r="I1166" s="27">
        <f>IF(OR(G1166="",G1167=""),"",(G1166+G1167)/2*(B1167-B1166))</f>
        <v/>
      </c>
      <c r="J1166" s="27">
        <f>IF(B1166="","",IF(B1165&lt;'02_Eingaben'!$C$36,0,J1165+I1165/'02_Eingaben'!$C$8))</f>
        <v/>
      </c>
    </row>
    <row r="1167">
      <c r="A1167">
        <f>IF('01_Rohdaten'!A1167="","",ROW()-1)</f>
        <v/>
      </c>
      <c r="B1167" s="27">
        <f>IF('01_Rohdaten'!A1167="","",'01_Rohdaten'!A1167)</f>
        <v/>
      </c>
      <c r="C1167" s="27">
        <f>IF(B1167="","",INDEX('01_Rohdaten'!B1167:D1167,'02_Eingaben'!$C$13))</f>
        <v/>
      </c>
      <c r="D1167" s="27">
        <f>IF(C1167="","",C1167*'02_Eingaben'!$C$15)</f>
        <v/>
      </c>
      <c r="E1167" s="27">
        <f>IF(D1167="","",D1167*'02_Eingaben'!$C$8)</f>
        <v/>
      </c>
      <c r="F1167" s="27">
        <f>IF(E1167="","",AVERAGE(INDEX($E$2:$E$3001,MAX(1,ROW()-1-'02_Eingaben'!$C$17)):INDEX($E$2:$E$3001,MIN('02_Eingaben'!$C$21,ROW()-1+'02_Eingaben'!$C$17))))</f>
        <v/>
      </c>
      <c r="G1167" s="27">
        <f>IF(F1167="","",F1167-'02_Eingaben'!$C$10)</f>
        <v/>
      </c>
      <c r="H1167">
        <f>IF(F1167="","",IF(F1167&lt;'02_Eingaben'!$C$18*'02_Eingaben'!$C$10,1,0))</f>
        <v/>
      </c>
      <c r="I1167" s="27">
        <f>IF(OR(G1167="",G1168=""),"",(G1167+G1168)/2*(B1168-B1167))</f>
        <v/>
      </c>
      <c r="J1167" s="27">
        <f>IF(B1167="","",IF(B1166&lt;'02_Eingaben'!$C$36,0,J1166+I1166/'02_Eingaben'!$C$8))</f>
        <v/>
      </c>
    </row>
    <row r="1168">
      <c r="A1168">
        <f>IF('01_Rohdaten'!A1168="","",ROW()-1)</f>
        <v/>
      </c>
      <c r="B1168" s="27">
        <f>IF('01_Rohdaten'!A1168="","",'01_Rohdaten'!A1168)</f>
        <v/>
      </c>
      <c r="C1168" s="27">
        <f>IF(B1168="","",INDEX('01_Rohdaten'!B1168:D1168,'02_Eingaben'!$C$13))</f>
        <v/>
      </c>
      <c r="D1168" s="27">
        <f>IF(C1168="","",C1168*'02_Eingaben'!$C$15)</f>
        <v/>
      </c>
      <c r="E1168" s="27">
        <f>IF(D1168="","",D1168*'02_Eingaben'!$C$8)</f>
        <v/>
      </c>
      <c r="F1168" s="27">
        <f>IF(E1168="","",AVERAGE(INDEX($E$2:$E$3001,MAX(1,ROW()-1-'02_Eingaben'!$C$17)):INDEX($E$2:$E$3001,MIN('02_Eingaben'!$C$21,ROW()-1+'02_Eingaben'!$C$17))))</f>
        <v/>
      </c>
      <c r="G1168" s="27">
        <f>IF(F1168="","",F1168-'02_Eingaben'!$C$10)</f>
        <v/>
      </c>
      <c r="H1168">
        <f>IF(F1168="","",IF(F1168&lt;'02_Eingaben'!$C$18*'02_Eingaben'!$C$10,1,0))</f>
        <v/>
      </c>
      <c r="I1168" s="27">
        <f>IF(OR(G1168="",G1169=""),"",(G1168+G1169)/2*(B1169-B1168))</f>
        <v/>
      </c>
      <c r="J1168" s="27">
        <f>IF(B1168="","",IF(B1167&lt;'02_Eingaben'!$C$36,0,J1167+I1167/'02_Eingaben'!$C$8))</f>
        <v/>
      </c>
    </row>
    <row r="1169">
      <c r="A1169">
        <f>IF('01_Rohdaten'!A1169="","",ROW()-1)</f>
        <v/>
      </c>
      <c r="B1169" s="27">
        <f>IF('01_Rohdaten'!A1169="","",'01_Rohdaten'!A1169)</f>
        <v/>
      </c>
      <c r="C1169" s="27">
        <f>IF(B1169="","",INDEX('01_Rohdaten'!B1169:D1169,'02_Eingaben'!$C$13))</f>
        <v/>
      </c>
      <c r="D1169" s="27">
        <f>IF(C1169="","",C1169*'02_Eingaben'!$C$15)</f>
        <v/>
      </c>
      <c r="E1169" s="27">
        <f>IF(D1169="","",D1169*'02_Eingaben'!$C$8)</f>
        <v/>
      </c>
      <c r="F1169" s="27">
        <f>IF(E1169="","",AVERAGE(INDEX($E$2:$E$3001,MAX(1,ROW()-1-'02_Eingaben'!$C$17)):INDEX($E$2:$E$3001,MIN('02_Eingaben'!$C$21,ROW()-1+'02_Eingaben'!$C$17))))</f>
        <v/>
      </c>
      <c r="G1169" s="27">
        <f>IF(F1169="","",F1169-'02_Eingaben'!$C$10)</f>
        <v/>
      </c>
      <c r="H1169">
        <f>IF(F1169="","",IF(F1169&lt;'02_Eingaben'!$C$18*'02_Eingaben'!$C$10,1,0))</f>
        <v/>
      </c>
      <c r="I1169" s="27">
        <f>IF(OR(G1169="",G1170=""),"",(G1169+G1170)/2*(B1170-B1169))</f>
        <v/>
      </c>
      <c r="J1169" s="27">
        <f>IF(B1169="","",IF(B1168&lt;'02_Eingaben'!$C$36,0,J1168+I1168/'02_Eingaben'!$C$8))</f>
        <v/>
      </c>
    </row>
    <row r="1170">
      <c r="A1170">
        <f>IF('01_Rohdaten'!A1170="","",ROW()-1)</f>
        <v/>
      </c>
      <c r="B1170" s="27">
        <f>IF('01_Rohdaten'!A1170="","",'01_Rohdaten'!A1170)</f>
        <v/>
      </c>
      <c r="C1170" s="27">
        <f>IF(B1170="","",INDEX('01_Rohdaten'!B1170:D1170,'02_Eingaben'!$C$13))</f>
        <v/>
      </c>
      <c r="D1170" s="27">
        <f>IF(C1170="","",C1170*'02_Eingaben'!$C$15)</f>
        <v/>
      </c>
      <c r="E1170" s="27">
        <f>IF(D1170="","",D1170*'02_Eingaben'!$C$8)</f>
        <v/>
      </c>
      <c r="F1170" s="27">
        <f>IF(E1170="","",AVERAGE(INDEX($E$2:$E$3001,MAX(1,ROW()-1-'02_Eingaben'!$C$17)):INDEX($E$2:$E$3001,MIN('02_Eingaben'!$C$21,ROW()-1+'02_Eingaben'!$C$17))))</f>
        <v/>
      </c>
      <c r="G1170" s="27">
        <f>IF(F1170="","",F1170-'02_Eingaben'!$C$10)</f>
        <v/>
      </c>
      <c r="H1170">
        <f>IF(F1170="","",IF(F1170&lt;'02_Eingaben'!$C$18*'02_Eingaben'!$C$10,1,0))</f>
        <v/>
      </c>
      <c r="I1170" s="27">
        <f>IF(OR(G1170="",G1171=""),"",(G1170+G1171)/2*(B1171-B1170))</f>
        <v/>
      </c>
      <c r="J1170" s="27">
        <f>IF(B1170="","",IF(B1169&lt;'02_Eingaben'!$C$36,0,J1169+I1169/'02_Eingaben'!$C$8))</f>
        <v/>
      </c>
    </row>
    <row r="1171">
      <c r="A1171">
        <f>IF('01_Rohdaten'!A1171="","",ROW()-1)</f>
        <v/>
      </c>
      <c r="B1171" s="27">
        <f>IF('01_Rohdaten'!A1171="","",'01_Rohdaten'!A1171)</f>
        <v/>
      </c>
      <c r="C1171" s="27">
        <f>IF(B1171="","",INDEX('01_Rohdaten'!B1171:D1171,'02_Eingaben'!$C$13))</f>
        <v/>
      </c>
      <c r="D1171" s="27">
        <f>IF(C1171="","",C1171*'02_Eingaben'!$C$15)</f>
        <v/>
      </c>
      <c r="E1171" s="27">
        <f>IF(D1171="","",D1171*'02_Eingaben'!$C$8)</f>
        <v/>
      </c>
      <c r="F1171" s="27">
        <f>IF(E1171="","",AVERAGE(INDEX($E$2:$E$3001,MAX(1,ROW()-1-'02_Eingaben'!$C$17)):INDEX($E$2:$E$3001,MIN('02_Eingaben'!$C$21,ROW()-1+'02_Eingaben'!$C$17))))</f>
        <v/>
      </c>
      <c r="G1171" s="27">
        <f>IF(F1171="","",F1171-'02_Eingaben'!$C$10)</f>
        <v/>
      </c>
      <c r="H1171">
        <f>IF(F1171="","",IF(F1171&lt;'02_Eingaben'!$C$18*'02_Eingaben'!$C$10,1,0))</f>
        <v/>
      </c>
      <c r="I1171" s="27">
        <f>IF(OR(G1171="",G1172=""),"",(G1171+G1172)/2*(B1172-B1171))</f>
        <v/>
      </c>
      <c r="J1171" s="27">
        <f>IF(B1171="","",IF(B1170&lt;'02_Eingaben'!$C$36,0,J1170+I1170/'02_Eingaben'!$C$8))</f>
        <v/>
      </c>
    </row>
    <row r="1172">
      <c r="A1172">
        <f>IF('01_Rohdaten'!A1172="","",ROW()-1)</f>
        <v/>
      </c>
      <c r="B1172" s="27">
        <f>IF('01_Rohdaten'!A1172="","",'01_Rohdaten'!A1172)</f>
        <v/>
      </c>
      <c r="C1172" s="27">
        <f>IF(B1172="","",INDEX('01_Rohdaten'!B1172:D1172,'02_Eingaben'!$C$13))</f>
        <v/>
      </c>
      <c r="D1172" s="27">
        <f>IF(C1172="","",C1172*'02_Eingaben'!$C$15)</f>
        <v/>
      </c>
      <c r="E1172" s="27">
        <f>IF(D1172="","",D1172*'02_Eingaben'!$C$8)</f>
        <v/>
      </c>
      <c r="F1172" s="27">
        <f>IF(E1172="","",AVERAGE(INDEX($E$2:$E$3001,MAX(1,ROW()-1-'02_Eingaben'!$C$17)):INDEX($E$2:$E$3001,MIN('02_Eingaben'!$C$21,ROW()-1+'02_Eingaben'!$C$17))))</f>
        <v/>
      </c>
      <c r="G1172" s="27">
        <f>IF(F1172="","",F1172-'02_Eingaben'!$C$10)</f>
        <v/>
      </c>
      <c r="H1172">
        <f>IF(F1172="","",IF(F1172&lt;'02_Eingaben'!$C$18*'02_Eingaben'!$C$10,1,0))</f>
        <v/>
      </c>
      <c r="I1172" s="27">
        <f>IF(OR(G1172="",G1173=""),"",(G1172+G1173)/2*(B1173-B1172))</f>
        <v/>
      </c>
      <c r="J1172" s="27">
        <f>IF(B1172="","",IF(B1171&lt;'02_Eingaben'!$C$36,0,J1171+I1171/'02_Eingaben'!$C$8))</f>
        <v/>
      </c>
    </row>
    <row r="1173">
      <c r="A1173">
        <f>IF('01_Rohdaten'!A1173="","",ROW()-1)</f>
        <v/>
      </c>
      <c r="B1173" s="27">
        <f>IF('01_Rohdaten'!A1173="","",'01_Rohdaten'!A1173)</f>
        <v/>
      </c>
      <c r="C1173" s="27">
        <f>IF(B1173="","",INDEX('01_Rohdaten'!B1173:D1173,'02_Eingaben'!$C$13))</f>
        <v/>
      </c>
      <c r="D1173" s="27">
        <f>IF(C1173="","",C1173*'02_Eingaben'!$C$15)</f>
        <v/>
      </c>
      <c r="E1173" s="27">
        <f>IF(D1173="","",D1173*'02_Eingaben'!$C$8)</f>
        <v/>
      </c>
      <c r="F1173" s="27">
        <f>IF(E1173="","",AVERAGE(INDEX($E$2:$E$3001,MAX(1,ROW()-1-'02_Eingaben'!$C$17)):INDEX($E$2:$E$3001,MIN('02_Eingaben'!$C$21,ROW()-1+'02_Eingaben'!$C$17))))</f>
        <v/>
      </c>
      <c r="G1173" s="27">
        <f>IF(F1173="","",F1173-'02_Eingaben'!$C$10)</f>
        <v/>
      </c>
      <c r="H1173">
        <f>IF(F1173="","",IF(F1173&lt;'02_Eingaben'!$C$18*'02_Eingaben'!$C$10,1,0))</f>
        <v/>
      </c>
      <c r="I1173" s="27">
        <f>IF(OR(G1173="",G1174=""),"",(G1173+G1174)/2*(B1174-B1173))</f>
        <v/>
      </c>
      <c r="J1173" s="27">
        <f>IF(B1173="","",IF(B1172&lt;'02_Eingaben'!$C$36,0,J1172+I1172/'02_Eingaben'!$C$8))</f>
        <v/>
      </c>
    </row>
    <row r="1174">
      <c r="A1174">
        <f>IF('01_Rohdaten'!A1174="","",ROW()-1)</f>
        <v/>
      </c>
      <c r="B1174" s="27">
        <f>IF('01_Rohdaten'!A1174="","",'01_Rohdaten'!A1174)</f>
        <v/>
      </c>
      <c r="C1174" s="27">
        <f>IF(B1174="","",INDEX('01_Rohdaten'!B1174:D1174,'02_Eingaben'!$C$13))</f>
        <v/>
      </c>
      <c r="D1174" s="27">
        <f>IF(C1174="","",C1174*'02_Eingaben'!$C$15)</f>
        <v/>
      </c>
      <c r="E1174" s="27">
        <f>IF(D1174="","",D1174*'02_Eingaben'!$C$8)</f>
        <v/>
      </c>
      <c r="F1174" s="27">
        <f>IF(E1174="","",AVERAGE(INDEX($E$2:$E$3001,MAX(1,ROW()-1-'02_Eingaben'!$C$17)):INDEX($E$2:$E$3001,MIN('02_Eingaben'!$C$21,ROW()-1+'02_Eingaben'!$C$17))))</f>
        <v/>
      </c>
      <c r="G1174" s="27">
        <f>IF(F1174="","",F1174-'02_Eingaben'!$C$10)</f>
        <v/>
      </c>
      <c r="H1174">
        <f>IF(F1174="","",IF(F1174&lt;'02_Eingaben'!$C$18*'02_Eingaben'!$C$10,1,0))</f>
        <v/>
      </c>
      <c r="I1174" s="27">
        <f>IF(OR(G1174="",G1175=""),"",(G1174+G1175)/2*(B1175-B1174))</f>
        <v/>
      </c>
      <c r="J1174" s="27">
        <f>IF(B1174="","",IF(B1173&lt;'02_Eingaben'!$C$36,0,J1173+I1173/'02_Eingaben'!$C$8))</f>
        <v/>
      </c>
    </row>
    <row r="1175">
      <c r="A1175">
        <f>IF('01_Rohdaten'!A1175="","",ROW()-1)</f>
        <v/>
      </c>
      <c r="B1175" s="27">
        <f>IF('01_Rohdaten'!A1175="","",'01_Rohdaten'!A1175)</f>
        <v/>
      </c>
      <c r="C1175" s="27">
        <f>IF(B1175="","",INDEX('01_Rohdaten'!B1175:D1175,'02_Eingaben'!$C$13))</f>
        <v/>
      </c>
      <c r="D1175" s="27">
        <f>IF(C1175="","",C1175*'02_Eingaben'!$C$15)</f>
        <v/>
      </c>
      <c r="E1175" s="27">
        <f>IF(D1175="","",D1175*'02_Eingaben'!$C$8)</f>
        <v/>
      </c>
      <c r="F1175" s="27">
        <f>IF(E1175="","",AVERAGE(INDEX($E$2:$E$3001,MAX(1,ROW()-1-'02_Eingaben'!$C$17)):INDEX($E$2:$E$3001,MIN('02_Eingaben'!$C$21,ROW()-1+'02_Eingaben'!$C$17))))</f>
        <v/>
      </c>
      <c r="G1175" s="27">
        <f>IF(F1175="","",F1175-'02_Eingaben'!$C$10)</f>
        <v/>
      </c>
      <c r="H1175">
        <f>IF(F1175="","",IF(F1175&lt;'02_Eingaben'!$C$18*'02_Eingaben'!$C$10,1,0))</f>
        <v/>
      </c>
      <c r="I1175" s="27">
        <f>IF(OR(G1175="",G1176=""),"",(G1175+G1176)/2*(B1176-B1175))</f>
        <v/>
      </c>
      <c r="J1175" s="27">
        <f>IF(B1175="","",IF(B1174&lt;'02_Eingaben'!$C$36,0,J1174+I1174/'02_Eingaben'!$C$8))</f>
        <v/>
      </c>
    </row>
    <row r="1176">
      <c r="A1176">
        <f>IF('01_Rohdaten'!A1176="","",ROW()-1)</f>
        <v/>
      </c>
      <c r="B1176" s="27">
        <f>IF('01_Rohdaten'!A1176="","",'01_Rohdaten'!A1176)</f>
        <v/>
      </c>
      <c r="C1176" s="27">
        <f>IF(B1176="","",INDEX('01_Rohdaten'!B1176:D1176,'02_Eingaben'!$C$13))</f>
        <v/>
      </c>
      <c r="D1176" s="27">
        <f>IF(C1176="","",C1176*'02_Eingaben'!$C$15)</f>
        <v/>
      </c>
      <c r="E1176" s="27">
        <f>IF(D1176="","",D1176*'02_Eingaben'!$C$8)</f>
        <v/>
      </c>
      <c r="F1176" s="27">
        <f>IF(E1176="","",AVERAGE(INDEX($E$2:$E$3001,MAX(1,ROW()-1-'02_Eingaben'!$C$17)):INDEX($E$2:$E$3001,MIN('02_Eingaben'!$C$21,ROW()-1+'02_Eingaben'!$C$17))))</f>
        <v/>
      </c>
      <c r="G1176" s="27">
        <f>IF(F1176="","",F1176-'02_Eingaben'!$C$10)</f>
        <v/>
      </c>
      <c r="H1176">
        <f>IF(F1176="","",IF(F1176&lt;'02_Eingaben'!$C$18*'02_Eingaben'!$C$10,1,0))</f>
        <v/>
      </c>
      <c r="I1176" s="27">
        <f>IF(OR(G1176="",G1177=""),"",(G1176+G1177)/2*(B1177-B1176))</f>
        <v/>
      </c>
      <c r="J1176" s="27">
        <f>IF(B1176="","",IF(B1175&lt;'02_Eingaben'!$C$36,0,J1175+I1175/'02_Eingaben'!$C$8))</f>
        <v/>
      </c>
    </row>
    <row r="1177">
      <c r="A1177">
        <f>IF('01_Rohdaten'!A1177="","",ROW()-1)</f>
        <v/>
      </c>
      <c r="B1177" s="27">
        <f>IF('01_Rohdaten'!A1177="","",'01_Rohdaten'!A1177)</f>
        <v/>
      </c>
      <c r="C1177" s="27">
        <f>IF(B1177="","",INDEX('01_Rohdaten'!B1177:D1177,'02_Eingaben'!$C$13))</f>
        <v/>
      </c>
      <c r="D1177" s="27">
        <f>IF(C1177="","",C1177*'02_Eingaben'!$C$15)</f>
        <v/>
      </c>
      <c r="E1177" s="27">
        <f>IF(D1177="","",D1177*'02_Eingaben'!$C$8)</f>
        <v/>
      </c>
      <c r="F1177" s="27">
        <f>IF(E1177="","",AVERAGE(INDEX($E$2:$E$3001,MAX(1,ROW()-1-'02_Eingaben'!$C$17)):INDEX($E$2:$E$3001,MIN('02_Eingaben'!$C$21,ROW()-1+'02_Eingaben'!$C$17))))</f>
        <v/>
      </c>
      <c r="G1177" s="27">
        <f>IF(F1177="","",F1177-'02_Eingaben'!$C$10)</f>
        <v/>
      </c>
      <c r="H1177">
        <f>IF(F1177="","",IF(F1177&lt;'02_Eingaben'!$C$18*'02_Eingaben'!$C$10,1,0))</f>
        <v/>
      </c>
      <c r="I1177" s="27">
        <f>IF(OR(G1177="",G1178=""),"",(G1177+G1178)/2*(B1178-B1177))</f>
        <v/>
      </c>
      <c r="J1177" s="27">
        <f>IF(B1177="","",IF(B1176&lt;'02_Eingaben'!$C$36,0,J1176+I1176/'02_Eingaben'!$C$8))</f>
        <v/>
      </c>
    </row>
    <row r="1178">
      <c r="A1178">
        <f>IF('01_Rohdaten'!A1178="","",ROW()-1)</f>
        <v/>
      </c>
      <c r="B1178" s="27">
        <f>IF('01_Rohdaten'!A1178="","",'01_Rohdaten'!A1178)</f>
        <v/>
      </c>
      <c r="C1178" s="27">
        <f>IF(B1178="","",INDEX('01_Rohdaten'!B1178:D1178,'02_Eingaben'!$C$13))</f>
        <v/>
      </c>
      <c r="D1178" s="27">
        <f>IF(C1178="","",C1178*'02_Eingaben'!$C$15)</f>
        <v/>
      </c>
      <c r="E1178" s="27">
        <f>IF(D1178="","",D1178*'02_Eingaben'!$C$8)</f>
        <v/>
      </c>
      <c r="F1178" s="27">
        <f>IF(E1178="","",AVERAGE(INDEX($E$2:$E$3001,MAX(1,ROW()-1-'02_Eingaben'!$C$17)):INDEX($E$2:$E$3001,MIN('02_Eingaben'!$C$21,ROW()-1+'02_Eingaben'!$C$17))))</f>
        <v/>
      </c>
      <c r="G1178" s="27">
        <f>IF(F1178="","",F1178-'02_Eingaben'!$C$10)</f>
        <v/>
      </c>
      <c r="H1178">
        <f>IF(F1178="","",IF(F1178&lt;'02_Eingaben'!$C$18*'02_Eingaben'!$C$10,1,0))</f>
        <v/>
      </c>
      <c r="I1178" s="27">
        <f>IF(OR(G1178="",G1179=""),"",(G1178+G1179)/2*(B1179-B1178))</f>
        <v/>
      </c>
      <c r="J1178" s="27">
        <f>IF(B1178="","",IF(B1177&lt;'02_Eingaben'!$C$36,0,J1177+I1177/'02_Eingaben'!$C$8))</f>
        <v/>
      </c>
    </row>
    <row r="1179">
      <c r="A1179">
        <f>IF('01_Rohdaten'!A1179="","",ROW()-1)</f>
        <v/>
      </c>
      <c r="B1179" s="27">
        <f>IF('01_Rohdaten'!A1179="","",'01_Rohdaten'!A1179)</f>
        <v/>
      </c>
      <c r="C1179" s="27">
        <f>IF(B1179="","",INDEX('01_Rohdaten'!B1179:D1179,'02_Eingaben'!$C$13))</f>
        <v/>
      </c>
      <c r="D1179" s="27">
        <f>IF(C1179="","",C1179*'02_Eingaben'!$C$15)</f>
        <v/>
      </c>
      <c r="E1179" s="27">
        <f>IF(D1179="","",D1179*'02_Eingaben'!$C$8)</f>
        <v/>
      </c>
      <c r="F1179" s="27">
        <f>IF(E1179="","",AVERAGE(INDEX($E$2:$E$3001,MAX(1,ROW()-1-'02_Eingaben'!$C$17)):INDEX($E$2:$E$3001,MIN('02_Eingaben'!$C$21,ROW()-1+'02_Eingaben'!$C$17))))</f>
        <v/>
      </c>
      <c r="G1179" s="27">
        <f>IF(F1179="","",F1179-'02_Eingaben'!$C$10)</f>
        <v/>
      </c>
      <c r="H1179">
        <f>IF(F1179="","",IF(F1179&lt;'02_Eingaben'!$C$18*'02_Eingaben'!$C$10,1,0))</f>
        <v/>
      </c>
      <c r="I1179" s="27">
        <f>IF(OR(G1179="",G1180=""),"",(G1179+G1180)/2*(B1180-B1179))</f>
        <v/>
      </c>
      <c r="J1179" s="27">
        <f>IF(B1179="","",IF(B1178&lt;'02_Eingaben'!$C$36,0,J1178+I1178/'02_Eingaben'!$C$8))</f>
        <v/>
      </c>
    </row>
    <row r="1180">
      <c r="A1180">
        <f>IF('01_Rohdaten'!A1180="","",ROW()-1)</f>
        <v/>
      </c>
      <c r="B1180" s="27">
        <f>IF('01_Rohdaten'!A1180="","",'01_Rohdaten'!A1180)</f>
        <v/>
      </c>
      <c r="C1180" s="27">
        <f>IF(B1180="","",INDEX('01_Rohdaten'!B1180:D1180,'02_Eingaben'!$C$13))</f>
        <v/>
      </c>
      <c r="D1180" s="27">
        <f>IF(C1180="","",C1180*'02_Eingaben'!$C$15)</f>
        <v/>
      </c>
      <c r="E1180" s="27">
        <f>IF(D1180="","",D1180*'02_Eingaben'!$C$8)</f>
        <v/>
      </c>
      <c r="F1180" s="27">
        <f>IF(E1180="","",AVERAGE(INDEX($E$2:$E$3001,MAX(1,ROW()-1-'02_Eingaben'!$C$17)):INDEX($E$2:$E$3001,MIN('02_Eingaben'!$C$21,ROW()-1+'02_Eingaben'!$C$17))))</f>
        <v/>
      </c>
      <c r="G1180" s="27">
        <f>IF(F1180="","",F1180-'02_Eingaben'!$C$10)</f>
        <v/>
      </c>
      <c r="H1180">
        <f>IF(F1180="","",IF(F1180&lt;'02_Eingaben'!$C$18*'02_Eingaben'!$C$10,1,0))</f>
        <v/>
      </c>
      <c r="I1180" s="27">
        <f>IF(OR(G1180="",G1181=""),"",(G1180+G1181)/2*(B1181-B1180))</f>
        <v/>
      </c>
      <c r="J1180" s="27">
        <f>IF(B1180="","",IF(B1179&lt;'02_Eingaben'!$C$36,0,J1179+I1179/'02_Eingaben'!$C$8))</f>
        <v/>
      </c>
    </row>
    <row r="1181">
      <c r="A1181">
        <f>IF('01_Rohdaten'!A1181="","",ROW()-1)</f>
        <v/>
      </c>
      <c r="B1181" s="27">
        <f>IF('01_Rohdaten'!A1181="","",'01_Rohdaten'!A1181)</f>
        <v/>
      </c>
      <c r="C1181" s="27">
        <f>IF(B1181="","",INDEX('01_Rohdaten'!B1181:D1181,'02_Eingaben'!$C$13))</f>
        <v/>
      </c>
      <c r="D1181" s="27">
        <f>IF(C1181="","",C1181*'02_Eingaben'!$C$15)</f>
        <v/>
      </c>
      <c r="E1181" s="27">
        <f>IF(D1181="","",D1181*'02_Eingaben'!$C$8)</f>
        <v/>
      </c>
      <c r="F1181" s="27">
        <f>IF(E1181="","",AVERAGE(INDEX($E$2:$E$3001,MAX(1,ROW()-1-'02_Eingaben'!$C$17)):INDEX($E$2:$E$3001,MIN('02_Eingaben'!$C$21,ROW()-1+'02_Eingaben'!$C$17))))</f>
        <v/>
      </c>
      <c r="G1181" s="27">
        <f>IF(F1181="","",F1181-'02_Eingaben'!$C$10)</f>
        <v/>
      </c>
      <c r="H1181">
        <f>IF(F1181="","",IF(F1181&lt;'02_Eingaben'!$C$18*'02_Eingaben'!$C$10,1,0))</f>
        <v/>
      </c>
      <c r="I1181" s="27">
        <f>IF(OR(G1181="",G1182=""),"",(G1181+G1182)/2*(B1182-B1181))</f>
        <v/>
      </c>
      <c r="J1181" s="27">
        <f>IF(B1181="","",IF(B1180&lt;'02_Eingaben'!$C$36,0,J1180+I1180/'02_Eingaben'!$C$8))</f>
        <v/>
      </c>
    </row>
    <row r="1182">
      <c r="A1182">
        <f>IF('01_Rohdaten'!A1182="","",ROW()-1)</f>
        <v/>
      </c>
      <c r="B1182" s="27">
        <f>IF('01_Rohdaten'!A1182="","",'01_Rohdaten'!A1182)</f>
        <v/>
      </c>
      <c r="C1182" s="27">
        <f>IF(B1182="","",INDEX('01_Rohdaten'!B1182:D1182,'02_Eingaben'!$C$13))</f>
        <v/>
      </c>
      <c r="D1182" s="27">
        <f>IF(C1182="","",C1182*'02_Eingaben'!$C$15)</f>
        <v/>
      </c>
      <c r="E1182" s="27">
        <f>IF(D1182="","",D1182*'02_Eingaben'!$C$8)</f>
        <v/>
      </c>
      <c r="F1182" s="27">
        <f>IF(E1182="","",AVERAGE(INDEX($E$2:$E$3001,MAX(1,ROW()-1-'02_Eingaben'!$C$17)):INDEX($E$2:$E$3001,MIN('02_Eingaben'!$C$21,ROW()-1+'02_Eingaben'!$C$17))))</f>
        <v/>
      </c>
      <c r="G1182" s="27">
        <f>IF(F1182="","",F1182-'02_Eingaben'!$C$10)</f>
        <v/>
      </c>
      <c r="H1182">
        <f>IF(F1182="","",IF(F1182&lt;'02_Eingaben'!$C$18*'02_Eingaben'!$C$10,1,0))</f>
        <v/>
      </c>
      <c r="I1182" s="27">
        <f>IF(OR(G1182="",G1183=""),"",(G1182+G1183)/2*(B1183-B1182))</f>
        <v/>
      </c>
      <c r="J1182" s="27">
        <f>IF(B1182="","",IF(B1181&lt;'02_Eingaben'!$C$36,0,J1181+I1181/'02_Eingaben'!$C$8))</f>
        <v/>
      </c>
    </row>
    <row r="1183">
      <c r="A1183">
        <f>IF('01_Rohdaten'!A1183="","",ROW()-1)</f>
        <v/>
      </c>
      <c r="B1183" s="27">
        <f>IF('01_Rohdaten'!A1183="","",'01_Rohdaten'!A1183)</f>
        <v/>
      </c>
      <c r="C1183" s="27">
        <f>IF(B1183="","",INDEX('01_Rohdaten'!B1183:D1183,'02_Eingaben'!$C$13))</f>
        <v/>
      </c>
      <c r="D1183" s="27">
        <f>IF(C1183="","",C1183*'02_Eingaben'!$C$15)</f>
        <v/>
      </c>
      <c r="E1183" s="27">
        <f>IF(D1183="","",D1183*'02_Eingaben'!$C$8)</f>
        <v/>
      </c>
      <c r="F1183" s="27">
        <f>IF(E1183="","",AVERAGE(INDEX($E$2:$E$3001,MAX(1,ROW()-1-'02_Eingaben'!$C$17)):INDEX($E$2:$E$3001,MIN('02_Eingaben'!$C$21,ROW()-1+'02_Eingaben'!$C$17))))</f>
        <v/>
      </c>
      <c r="G1183" s="27">
        <f>IF(F1183="","",F1183-'02_Eingaben'!$C$10)</f>
        <v/>
      </c>
      <c r="H1183">
        <f>IF(F1183="","",IF(F1183&lt;'02_Eingaben'!$C$18*'02_Eingaben'!$C$10,1,0))</f>
        <v/>
      </c>
      <c r="I1183" s="27">
        <f>IF(OR(G1183="",G1184=""),"",(G1183+G1184)/2*(B1184-B1183))</f>
        <v/>
      </c>
      <c r="J1183" s="27">
        <f>IF(B1183="","",IF(B1182&lt;'02_Eingaben'!$C$36,0,J1182+I1182/'02_Eingaben'!$C$8))</f>
        <v/>
      </c>
    </row>
    <row r="1184">
      <c r="A1184">
        <f>IF('01_Rohdaten'!A1184="","",ROW()-1)</f>
        <v/>
      </c>
      <c r="B1184" s="27">
        <f>IF('01_Rohdaten'!A1184="","",'01_Rohdaten'!A1184)</f>
        <v/>
      </c>
      <c r="C1184" s="27">
        <f>IF(B1184="","",INDEX('01_Rohdaten'!B1184:D1184,'02_Eingaben'!$C$13))</f>
        <v/>
      </c>
      <c r="D1184" s="27">
        <f>IF(C1184="","",C1184*'02_Eingaben'!$C$15)</f>
        <v/>
      </c>
      <c r="E1184" s="27">
        <f>IF(D1184="","",D1184*'02_Eingaben'!$C$8)</f>
        <v/>
      </c>
      <c r="F1184" s="27">
        <f>IF(E1184="","",AVERAGE(INDEX($E$2:$E$3001,MAX(1,ROW()-1-'02_Eingaben'!$C$17)):INDEX($E$2:$E$3001,MIN('02_Eingaben'!$C$21,ROW()-1+'02_Eingaben'!$C$17))))</f>
        <v/>
      </c>
      <c r="G1184" s="27">
        <f>IF(F1184="","",F1184-'02_Eingaben'!$C$10)</f>
        <v/>
      </c>
      <c r="H1184">
        <f>IF(F1184="","",IF(F1184&lt;'02_Eingaben'!$C$18*'02_Eingaben'!$C$10,1,0))</f>
        <v/>
      </c>
      <c r="I1184" s="27">
        <f>IF(OR(G1184="",G1185=""),"",(G1184+G1185)/2*(B1185-B1184))</f>
        <v/>
      </c>
      <c r="J1184" s="27">
        <f>IF(B1184="","",IF(B1183&lt;'02_Eingaben'!$C$36,0,J1183+I1183/'02_Eingaben'!$C$8))</f>
        <v/>
      </c>
    </row>
    <row r="1185">
      <c r="A1185">
        <f>IF('01_Rohdaten'!A1185="","",ROW()-1)</f>
        <v/>
      </c>
      <c r="B1185" s="27">
        <f>IF('01_Rohdaten'!A1185="","",'01_Rohdaten'!A1185)</f>
        <v/>
      </c>
      <c r="C1185" s="27">
        <f>IF(B1185="","",INDEX('01_Rohdaten'!B1185:D1185,'02_Eingaben'!$C$13))</f>
        <v/>
      </c>
      <c r="D1185" s="27">
        <f>IF(C1185="","",C1185*'02_Eingaben'!$C$15)</f>
        <v/>
      </c>
      <c r="E1185" s="27">
        <f>IF(D1185="","",D1185*'02_Eingaben'!$C$8)</f>
        <v/>
      </c>
      <c r="F1185" s="27">
        <f>IF(E1185="","",AVERAGE(INDEX($E$2:$E$3001,MAX(1,ROW()-1-'02_Eingaben'!$C$17)):INDEX($E$2:$E$3001,MIN('02_Eingaben'!$C$21,ROW()-1+'02_Eingaben'!$C$17))))</f>
        <v/>
      </c>
      <c r="G1185" s="27">
        <f>IF(F1185="","",F1185-'02_Eingaben'!$C$10)</f>
        <v/>
      </c>
      <c r="H1185">
        <f>IF(F1185="","",IF(F1185&lt;'02_Eingaben'!$C$18*'02_Eingaben'!$C$10,1,0))</f>
        <v/>
      </c>
      <c r="I1185" s="27">
        <f>IF(OR(G1185="",G1186=""),"",(G1185+G1186)/2*(B1186-B1185))</f>
        <v/>
      </c>
      <c r="J1185" s="27">
        <f>IF(B1185="","",IF(B1184&lt;'02_Eingaben'!$C$36,0,J1184+I1184/'02_Eingaben'!$C$8))</f>
        <v/>
      </c>
    </row>
    <row r="1186">
      <c r="A1186">
        <f>IF('01_Rohdaten'!A1186="","",ROW()-1)</f>
        <v/>
      </c>
      <c r="B1186" s="27">
        <f>IF('01_Rohdaten'!A1186="","",'01_Rohdaten'!A1186)</f>
        <v/>
      </c>
      <c r="C1186" s="27">
        <f>IF(B1186="","",INDEX('01_Rohdaten'!B1186:D1186,'02_Eingaben'!$C$13))</f>
        <v/>
      </c>
      <c r="D1186" s="27">
        <f>IF(C1186="","",C1186*'02_Eingaben'!$C$15)</f>
        <v/>
      </c>
      <c r="E1186" s="27">
        <f>IF(D1186="","",D1186*'02_Eingaben'!$C$8)</f>
        <v/>
      </c>
      <c r="F1186" s="27">
        <f>IF(E1186="","",AVERAGE(INDEX($E$2:$E$3001,MAX(1,ROW()-1-'02_Eingaben'!$C$17)):INDEX($E$2:$E$3001,MIN('02_Eingaben'!$C$21,ROW()-1+'02_Eingaben'!$C$17))))</f>
        <v/>
      </c>
      <c r="G1186" s="27">
        <f>IF(F1186="","",F1186-'02_Eingaben'!$C$10)</f>
        <v/>
      </c>
      <c r="H1186">
        <f>IF(F1186="","",IF(F1186&lt;'02_Eingaben'!$C$18*'02_Eingaben'!$C$10,1,0))</f>
        <v/>
      </c>
      <c r="I1186" s="27">
        <f>IF(OR(G1186="",G1187=""),"",(G1186+G1187)/2*(B1187-B1186))</f>
        <v/>
      </c>
      <c r="J1186" s="27">
        <f>IF(B1186="","",IF(B1185&lt;'02_Eingaben'!$C$36,0,J1185+I1185/'02_Eingaben'!$C$8))</f>
        <v/>
      </c>
    </row>
    <row r="1187">
      <c r="A1187">
        <f>IF('01_Rohdaten'!A1187="","",ROW()-1)</f>
        <v/>
      </c>
      <c r="B1187" s="27">
        <f>IF('01_Rohdaten'!A1187="","",'01_Rohdaten'!A1187)</f>
        <v/>
      </c>
      <c r="C1187" s="27">
        <f>IF(B1187="","",INDEX('01_Rohdaten'!B1187:D1187,'02_Eingaben'!$C$13))</f>
        <v/>
      </c>
      <c r="D1187" s="27">
        <f>IF(C1187="","",C1187*'02_Eingaben'!$C$15)</f>
        <v/>
      </c>
      <c r="E1187" s="27">
        <f>IF(D1187="","",D1187*'02_Eingaben'!$C$8)</f>
        <v/>
      </c>
      <c r="F1187" s="27">
        <f>IF(E1187="","",AVERAGE(INDEX($E$2:$E$3001,MAX(1,ROW()-1-'02_Eingaben'!$C$17)):INDEX($E$2:$E$3001,MIN('02_Eingaben'!$C$21,ROW()-1+'02_Eingaben'!$C$17))))</f>
        <v/>
      </c>
      <c r="G1187" s="27">
        <f>IF(F1187="","",F1187-'02_Eingaben'!$C$10)</f>
        <v/>
      </c>
      <c r="H1187">
        <f>IF(F1187="","",IF(F1187&lt;'02_Eingaben'!$C$18*'02_Eingaben'!$C$10,1,0))</f>
        <v/>
      </c>
      <c r="I1187" s="27">
        <f>IF(OR(G1187="",G1188=""),"",(G1187+G1188)/2*(B1188-B1187))</f>
        <v/>
      </c>
      <c r="J1187" s="27">
        <f>IF(B1187="","",IF(B1186&lt;'02_Eingaben'!$C$36,0,J1186+I1186/'02_Eingaben'!$C$8))</f>
        <v/>
      </c>
    </row>
    <row r="1188">
      <c r="A1188">
        <f>IF('01_Rohdaten'!A1188="","",ROW()-1)</f>
        <v/>
      </c>
      <c r="B1188" s="27">
        <f>IF('01_Rohdaten'!A1188="","",'01_Rohdaten'!A1188)</f>
        <v/>
      </c>
      <c r="C1188" s="27">
        <f>IF(B1188="","",INDEX('01_Rohdaten'!B1188:D1188,'02_Eingaben'!$C$13))</f>
        <v/>
      </c>
      <c r="D1188" s="27">
        <f>IF(C1188="","",C1188*'02_Eingaben'!$C$15)</f>
        <v/>
      </c>
      <c r="E1188" s="27">
        <f>IF(D1188="","",D1188*'02_Eingaben'!$C$8)</f>
        <v/>
      </c>
      <c r="F1188" s="27">
        <f>IF(E1188="","",AVERAGE(INDEX($E$2:$E$3001,MAX(1,ROW()-1-'02_Eingaben'!$C$17)):INDEX($E$2:$E$3001,MIN('02_Eingaben'!$C$21,ROW()-1+'02_Eingaben'!$C$17))))</f>
        <v/>
      </c>
      <c r="G1188" s="27">
        <f>IF(F1188="","",F1188-'02_Eingaben'!$C$10)</f>
        <v/>
      </c>
      <c r="H1188">
        <f>IF(F1188="","",IF(F1188&lt;'02_Eingaben'!$C$18*'02_Eingaben'!$C$10,1,0))</f>
        <v/>
      </c>
      <c r="I1188" s="27">
        <f>IF(OR(G1188="",G1189=""),"",(G1188+G1189)/2*(B1189-B1188))</f>
        <v/>
      </c>
      <c r="J1188" s="27">
        <f>IF(B1188="","",IF(B1187&lt;'02_Eingaben'!$C$36,0,J1187+I1187/'02_Eingaben'!$C$8))</f>
        <v/>
      </c>
    </row>
    <row r="1189">
      <c r="A1189">
        <f>IF('01_Rohdaten'!A1189="","",ROW()-1)</f>
        <v/>
      </c>
      <c r="B1189" s="27">
        <f>IF('01_Rohdaten'!A1189="","",'01_Rohdaten'!A1189)</f>
        <v/>
      </c>
      <c r="C1189" s="27">
        <f>IF(B1189="","",INDEX('01_Rohdaten'!B1189:D1189,'02_Eingaben'!$C$13))</f>
        <v/>
      </c>
      <c r="D1189" s="27">
        <f>IF(C1189="","",C1189*'02_Eingaben'!$C$15)</f>
        <v/>
      </c>
      <c r="E1189" s="27">
        <f>IF(D1189="","",D1189*'02_Eingaben'!$C$8)</f>
        <v/>
      </c>
      <c r="F1189" s="27">
        <f>IF(E1189="","",AVERAGE(INDEX($E$2:$E$3001,MAX(1,ROW()-1-'02_Eingaben'!$C$17)):INDEX($E$2:$E$3001,MIN('02_Eingaben'!$C$21,ROW()-1+'02_Eingaben'!$C$17))))</f>
        <v/>
      </c>
      <c r="G1189" s="27">
        <f>IF(F1189="","",F1189-'02_Eingaben'!$C$10)</f>
        <v/>
      </c>
      <c r="H1189">
        <f>IF(F1189="","",IF(F1189&lt;'02_Eingaben'!$C$18*'02_Eingaben'!$C$10,1,0))</f>
        <v/>
      </c>
      <c r="I1189" s="27">
        <f>IF(OR(G1189="",G1190=""),"",(G1189+G1190)/2*(B1190-B1189))</f>
        <v/>
      </c>
      <c r="J1189" s="27">
        <f>IF(B1189="","",IF(B1188&lt;'02_Eingaben'!$C$36,0,J1188+I1188/'02_Eingaben'!$C$8))</f>
        <v/>
      </c>
    </row>
    <row r="1190">
      <c r="A1190">
        <f>IF('01_Rohdaten'!A1190="","",ROW()-1)</f>
        <v/>
      </c>
      <c r="B1190" s="27">
        <f>IF('01_Rohdaten'!A1190="","",'01_Rohdaten'!A1190)</f>
        <v/>
      </c>
      <c r="C1190" s="27">
        <f>IF(B1190="","",INDEX('01_Rohdaten'!B1190:D1190,'02_Eingaben'!$C$13))</f>
        <v/>
      </c>
      <c r="D1190" s="27">
        <f>IF(C1190="","",C1190*'02_Eingaben'!$C$15)</f>
        <v/>
      </c>
      <c r="E1190" s="27">
        <f>IF(D1190="","",D1190*'02_Eingaben'!$C$8)</f>
        <v/>
      </c>
      <c r="F1190" s="27">
        <f>IF(E1190="","",AVERAGE(INDEX($E$2:$E$3001,MAX(1,ROW()-1-'02_Eingaben'!$C$17)):INDEX($E$2:$E$3001,MIN('02_Eingaben'!$C$21,ROW()-1+'02_Eingaben'!$C$17))))</f>
        <v/>
      </c>
      <c r="G1190" s="27">
        <f>IF(F1190="","",F1190-'02_Eingaben'!$C$10)</f>
        <v/>
      </c>
      <c r="H1190">
        <f>IF(F1190="","",IF(F1190&lt;'02_Eingaben'!$C$18*'02_Eingaben'!$C$10,1,0))</f>
        <v/>
      </c>
      <c r="I1190" s="27">
        <f>IF(OR(G1190="",G1191=""),"",(G1190+G1191)/2*(B1191-B1190))</f>
        <v/>
      </c>
      <c r="J1190" s="27">
        <f>IF(B1190="","",IF(B1189&lt;'02_Eingaben'!$C$36,0,J1189+I1189/'02_Eingaben'!$C$8))</f>
        <v/>
      </c>
    </row>
    <row r="1191">
      <c r="A1191">
        <f>IF('01_Rohdaten'!A1191="","",ROW()-1)</f>
        <v/>
      </c>
      <c r="B1191" s="27">
        <f>IF('01_Rohdaten'!A1191="","",'01_Rohdaten'!A1191)</f>
        <v/>
      </c>
      <c r="C1191" s="27">
        <f>IF(B1191="","",INDEX('01_Rohdaten'!B1191:D1191,'02_Eingaben'!$C$13))</f>
        <v/>
      </c>
      <c r="D1191" s="27">
        <f>IF(C1191="","",C1191*'02_Eingaben'!$C$15)</f>
        <v/>
      </c>
      <c r="E1191" s="27">
        <f>IF(D1191="","",D1191*'02_Eingaben'!$C$8)</f>
        <v/>
      </c>
      <c r="F1191" s="27">
        <f>IF(E1191="","",AVERAGE(INDEX($E$2:$E$3001,MAX(1,ROW()-1-'02_Eingaben'!$C$17)):INDEX($E$2:$E$3001,MIN('02_Eingaben'!$C$21,ROW()-1+'02_Eingaben'!$C$17))))</f>
        <v/>
      </c>
      <c r="G1191" s="27">
        <f>IF(F1191="","",F1191-'02_Eingaben'!$C$10)</f>
        <v/>
      </c>
      <c r="H1191">
        <f>IF(F1191="","",IF(F1191&lt;'02_Eingaben'!$C$18*'02_Eingaben'!$C$10,1,0))</f>
        <v/>
      </c>
      <c r="I1191" s="27">
        <f>IF(OR(G1191="",G1192=""),"",(G1191+G1192)/2*(B1192-B1191))</f>
        <v/>
      </c>
      <c r="J1191" s="27">
        <f>IF(B1191="","",IF(B1190&lt;'02_Eingaben'!$C$36,0,J1190+I1190/'02_Eingaben'!$C$8))</f>
        <v/>
      </c>
    </row>
    <row r="1192">
      <c r="A1192">
        <f>IF('01_Rohdaten'!A1192="","",ROW()-1)</f>
        <v/>
      </c>
      <c r="B1192" s="27">
        <f>IF('01_Rohdaten'!A1192="","",'01_Rohdaten'!A1192)</f>
        <v/>
      </c>
      <c r="C1192" s="27">
        <f>IF(B1192="","",INDEX('01_Rohdaten'!B1192:D1192,'02_Eingaben'!$C$13))</f>
        <v/>
      </c>
      <c r="D1192" s="27">
        <f>IF(C1192="","",C1192*'02_Eingaben'!$C$15)</f>
        <v/>
      </c>
      <c r="E1192" s="27">
        <f>IF(D1192="","",D1192*'02_Eingaben'!$C$8)</f>
        <v/>
      </c>
      <c r="F1192" s="27">
        <f>IF(E1192="","",AVERAGE(INDEX($E$2:$E$3001,MAX(1,ROW()-1-'02_Eingaben'!$C$17)):INDEX($E$2:$E$3001,MIN('02_Eingaben'!$C$21,ROW()-1+'02_Eingaben'!$C$17))))</f>
        <v/>
      </c>
      <c r="G1192" s="27">
        <f>IF(F1192="","",F1192-'02_Eingaben'!$C$10)</f>
        <v/>
      </c>
      <c r="H1192">
        <f>IF(F1192="","",IF(F1192&lt;'02_Eingaben'!$C$18*'02_Eingaben'!$C$10,1,0))</f>
        <v/>
      </c>
      <c r="I1192" s="27">
        <f>IF(OR(G1192="",G1193=""),"",(G1192+G1193)/2*(B1193-B1192))</f>
        <v/>
      </c>
      <c r="J1192" s="27">
        <f>IF(B1192="","",IF(B1191&lt;'02_Eingaben'!$C$36,0,J1191+I1191/'02_Eingaben'!$C$8))</f>
        <v/>
      </c>
    </row>
    <row r="1193">
      <c r="A1193">
        <f>IF('01_Rohdaten'!A1193="","",ROW()-1)</f>
        <v/>
      </c>
      <c r="B1193" s="27">
        <f>IF('01_Rohdaten'!A1193="","",'01_Rohdaten'!A1193)</f>
        <v/>
      </c>
      <c r="C1193" s="27">
        <f>IF(B1193="","",INDEX('01_Rohdaten'!B1193:D1193,'02_Eingaben'!$C$13))</f>
        <v/>
      </c>
      <c r="D1193" s="27">
        <f>IF(C1193="","",C1193*'02_Eingaben'!$C$15)</f>
        <v/>
      </c>
      <c r="E1193" s="27">
        <f>IF(D1193="","",D1193*'02_Eingaben'!$C$8)</f>
        <v/>
      </c>
      <c r="F1193" s="27">
        <f>IF(E1193="","",AVERAGE(INDEX($E$2:$E$3001,MAX(1,ROW()-1-'02_Eingaben'!$C$17)):INDEX($E$2:$E$3001,MIN('02_Eingaben'!$C$21,ROW()-1+'02_Eingaben'!$C$17))))</f>
        <v/>
      </c>
      <c r="G1193" s="27">
        <f>IF(F1193="","",F1193-'02_Eingaben'!$C$10)</f>
        <v/>
      </c>
      <c r="H1193">
        <f>IF(F1193="","",IF(F1193&lt;'02_Eingaben'!$C$18*'02_Eingaben'!$C$10,1,0))</f>
        <v/>
      </c>
      <c r="I1193" s="27">
        <f>IF(OR(G1193="",G1194=""),"",(G1193+G1194)/2*(B1194-B1193))</f>
        <v/>
      </c>
      <c r="J1193" s="27">
        <f>IF(B1193="","",IF(B1192&lt;'02_Eingaben'!$C$36,0,J1192+I1192/'02_Eingaben'!$C$8))</f>
        <v/>
      </c>
    </row>
    <row r="1194">
      <c r="A1194">
        <f>IF('01_Rohdaten'!A1194="","",ROW()-1)</f>
        <v/>
      </c>
      <c r="B1194" s="27">
        <f>IF('01_Rohdaten'!A1194="","",'01_Rohdaten'!A1194)</f>
        <v/>
      </c>
      <c r="C1194" s="27">
        <f>IF(B1194="","",INDEX('01_Rohdaten'!B1194:D1194,'02_Eingaben'!$C$13))</f>
        <v/>
      </c>
      <c r="D1194" s="27">
        <f>IF(C1194="","",C1194*'02_Eingaben'!$C$15)</f>
        <v/>
      </c>
      <c r="E1194" s="27">
        <f>IF(D1194="","",D1194*'02_Eingaben'!$C$8)</f>
        <v/>
      </c>
      <c r="F1194" s="27">
        <f>IF(E1194="","",AVERAGE(INDEX($E$2:$E$3001,MAX(1,ROW()-1-'02_Eingaben'!$C$17)):INDEX($E$2:$E$3001,MIN('02_Eingaben'!$C$21,ROW()-1+'02_Eingaben'!$C$17))))</f>
        <v/>
      </c>
      <c r="G1194" s="27">
        <f>IF(F1194="","",F1194-'02_Eingaben'!$C$10)</f>
        <v/>
      </c>
      <c r="H1194">
        <f>IF(F1194="","",IF(F1194&lt;'02_Eingaben'!$C$18*'02_Eingaben'!$C$10,1,0))</f>
        <v/>
      </c>
      <c r="I1194" s="27">
        <f>IF(OR(G1194="",G1195=""),"",(G1194+G1195)/2*(B1195-B1194))</f>
        <v/>
      </c>
      <c r="J1194" s="27">
        <f>IF(B1194="","",IF(B1193&lt;'02_Eingaben'!$C$36,0,J1193+I1193/'02_Eingaben'!$C$8))</f>
        <v/>
      </c>
    </row>
    <row r="1195">
      <c r="A1195">
        <f>IF('01_Rohdaten'!A1195="","",ROW()-1)</f>
        <v/>
      </c>
      <c r="B1195" s="27">
        <f>IF('01_Rohdaten'!A1195="","",'01_Rohdaten'!A1195)</f>
        <v/>
      </c>
      <c r="C1195" s="27">
        <f>IF(B1195="","",INDEX('01_Rohdaten'!B1195:D1195,'02_Eingaben'!$C$13))</f>
        <v/>
      </c>
      <c r="D1195" s="27">
        <f>IF(C1195="","",C1195*'02_Eingaben'!$C$15)</f>
        <v/>
      </c>
      <c r="E1195" s="27">
        <f>IF(D1195="","",D1195*'02_Eingaben'!$C$8)</f>
        <v/>
      </c>
      <c r="F1195" s="27">
        <f>IF(E1195="","",AVERAGE(INDEX($E$2:$E$3001,MAX(1,ROW()-1-'02_Eingaben'!$C$17)):INDEX($E$2:$E$3001,MIN('02_Eingaben'!$C$21,ROW()-1+'02_Eingaben'!$C$17))))</f>
        <v/>
      </c>
      <c r="G1195" s="27">
        <f>IF(F1195="","",F1195-'02_Eingaben'!$C$10)</f>
        <v/>
      </c>
      <c r="H1195">
        <f>IF(F1195="","",IF(F1195&lt;'02_Eingaben'!$C$18*'02_Eingaben'!$C$10,1,0))</f>
        <v/>
      </c>
      <c r="I1195" s="27">
        <f>IF(OR(G1195="",G1196=""),"",(G1195+G1196)/2*(B1196-B1195))</f>
        <v/>
      </c>
      <c r="J1195" s="27">
        <f>IF(B1195="","",IF(B1194&lt;'02_Eingaben'!$C$36,0,J1194+I1194/'02_Eingaben'!$C$8))</f>
        <v/>
      </c>
    </row>
    <row r="1196">
      <c r="A1196">
        <f>IF('01_Rohdaten'!A1196="","",ROW()-1)</f>
        <v/>
      </c>
      <c r="B1196" s="27">
        <f>IF('01_Rohdaten'!A1196="","",'01_Rohdaten'!A1196)</f>
        <v/>
      </c>
      <c r="C1196" s="27">
        <f>IF(B1196="","",INDEX('01_Rohdaten'!B1196:D1196,'02_Eingaben'!$C$13))</f>
        <v/>
      </c>
      <c r="D1196" s="27">
        <f>IF(C1196="","",C1196*'02_Eingaben'!$C$15)</f>
        <v/>
      </c>
      <c r="E1196" s="27">
        <f>IF(D1196="","",D1196*'02_Eingaben'!$C$8)</f>
        <v/>
      </c>
      <c r="F1196" s="27">
        <f>IF(E1196="","",AVERAGE(INDEX($E$2:$E$3001,MAX(1,ROW()-1-'02_Eingaben'!$C$17)):INDEX($E$2:$E$3001,MIN('02_Eingaben'!$C$21,ROW()-1+'02_Eingaben'!$C$17))))</f>
        <v/>
      </c>
      <c r="G1196" s="27">
        <f>IF(F1196="","",F1196-'02_Eingaben'!$C$10)</f>
        <v/>
      </c>
      <c r="H1196">
        <f>IF(F1196="","",IF(F1196&lt;'02_Eingaben'!$C$18*'02_Eingaben'!$C$10,1,0))</f>
        <v/>
      </c>
      <c r="I1196" s="27">
        <f>IF(OR(G1196="",G1197=""),"",(G1196+G1197)/2*(B1197-B1196))</f>
        <v/>
      </c>
      <c r="J1196" s="27">
        <f>IF(B1196="","",IF(B1195&lt;'02_Eingaben'!$C$36,0,J1195+I1195/'02_Eingaben'!$C$8))</f>
        <v/>
      </c>
    </row>
    <row r="1197">
      <c r="A1197">
        <f>IF('01_Rohdaten'!A1197="","",ROW()-1)</f>
        <v/>
      </c>
      <c r="B1197" s="27">
        <f>IF('01_Rohdaten'!A1197="","",'01_Rohdaten'!A1197)</f>
        <v/>
      </c>
      <c r="C1197" s="27">
        <f>IF(B1197="","",INDEX('01_Rohdaten'!B1197:D1197,'02_Eingaben'!$C$13))</f>
        <v/>
      </c>
      <c r="D1197" s="27">
        <f>IF(C1197="","",C1197*'02_Eingaben'!$C$15)</f>
        <v/>
      </c>
      <c r="E1197" s="27">
        <f>IF(D1197="","",D1197*'02_Eingaben'!$C$8)</f>
        <v/>
      </c>
      <c r="F1197" s="27">
        <f>IF(E1197="","",AVERAGE(INDEX($E$2:$E$3001,MAX(1,ROW()-1-'02_Eingaben'!$C$17)):INDEX($E$2:$E$3001,MIN('02_Eingaben'!$C$21,ROW()-1+'02_Eingaben'!$C$17))))</f>
        <v/>
      </c>
      <c r="G1197" s="27">
        <f>IF(F1197="","",F1197-'02_Eingaben'!$C$10)</f>
        <v/>
      </c>
      <c r="H1197">
        <f>IF(F1197="","",IF(F1197&lt;'02_Eingaben'!$C$18*'02_Eingaben'!$C$10,1,0))</f>
        <v/>
      </c>
      <c r="I1197" s="27">
        <f>IF(OR(G1197="",G1198=""),"",(G1197+G1198)/2*(B1198-B1197))</f>
        <v/>
      </c>
      <c r="J1197" s="27">
        <f>IF(B1197="","",IF(B1196&lt;'02_Eingaben'!$C$36,0,J1196+I1196/'02_Eingaben'!$C$8))</f>
        <v/>
      </c>
    </row>
    <row r="1198">
      <c r="A1198">
        <f>IF('01_Rohdaten'!A1198="","",ROW()-1)</f>
        <v/>
      </c>
      <c r="B1198" s="27">
        <f>IF('01_Rohdaten'!A1198="","",'01_Rohdaten'!A1198)</f>
        <v/>
      </c>
      <c r="C1198" s="27">
        <f>IF(B1198="","",INDEX('01_Rohdaten'!B1198:D1198,'02_Eingaben'!$C$13))</f>
        <v/>
      </c>
      <c r="D1198" s="27">
        <f>IF(C1198="","",C1198*'02_Eingaben'!$C$15)</f>
        <v/>
      </c>
      <c r="E1198" s="27">
        <f>IF(D1198="","",D1198*'02_Eingaben'!$C$8)</f>
        <v/>
      </c>
      <c r="F1198" s="27">
        <f>IF(E1198="","",AVERAGE(INDEX($E$2:$E$3001,MAX(1,ROW()-1-'02_Eingaben'!$C$17)):INDEX($E$2:$E$3001,MIN('02_Eingaben'!$C$21,ROW()-1+'02_Eingaben'!$C$17))))</f>
        <v/>
      </c>
      <c r="G1198" s="27">
        <f>IF(F1198="","",F1198-'02_Eingaben'!$C$10)</f>
        <v/>
      </c>
      <c r="H1198">
        <f>IF(F1198="","",IF(F1198&lt;'02_Eingaben'!$C$18*'02_Eingaben'!$C$10,1,0))</f>
        <v/>
      </c>
      <c r="I1198" s="27">
        <f>IF(OR(G1198="",G1199=""),"",(G1198+G1199)/2*(B1199-B1198))</f>
        <v/>
      </c>
      <c r="J1198" s="27">
        <f>IF(B1198="","",IF(B1197&lt;'02_Eingaben'!$C$36,0,J1197+I1197/'02_Eingaben'!$C$8))</f>
        <v/>
      </c>
    </row>
    <row r="1199">
      <c r="A1199">
        <f>IF('01_Rohdaten'!A1199="","",ROW()-1)</f>
        <v/>
      </c>
      <c r="B1199" s="27">
        <f>IF('01_Rohdaten'!A1199="","",'01_Rohdaten'!A1199)</f>
        <v/>
      </c>
      <c r="C1199" s="27">
        <f>IF(B1199="","",INDEX('01_Rohdaten'!B1199:D1199,'02_Eingaben'!$C$13))</f>
        <v/>
      </c>
      <c r="D1199" s="27">
        <f>IF(C1199="","",C1199*'02_Eingaben'!$C$15)</f>
        <v/>
      </c>
      <c r="E1199" s="27">
        <f>IF(D1199="","",D1199*'02_Eingaben'!$C$8)</f>
        <v/>
      </c>
      <c r="F1199" s="27">
        <f>IF(E1199="","",AVERAGE(INDEX($E$2:$E$3001,MAX(1,ROW()-1-'02_Eingaben'!$C$17)):INDEX($E$2:$E$3001,MIN('02_Eingaben'!$C$21,ROW()-1+'02_Eingaben'!$C$17))))</f>
        <v/>
      </c>
      <c r="G1199" s="27">
        <f>IF(F1199="","",F1199-'02_Eingaben'!$C$10)</f>
        <v/>
      </c>
      <c r="H1199">
        <f>IF(F1199="","",IF(F1199&lt;'02_Eingaben'!$C$18*'02_Eingaben'!$C$10,1,0))</f>
        <v/>
      </c>
      <c r="I1199" s="27">
        <f>IF(OR(G1199="",G1200=""),"",(G1199+G1200)/2*(B1200-B1199))</f>
        <v/>
      </c>
      <c r="J1199" s="27">
        <f>IF(B1199="","",IF(B1198&lt;'02_Eingaben'!$C$36,0,J1198+I1198/'02_Eingaben'!$C$8))</f>
        <v/>
      </c>
    </row>
    <row r="1200">
      <c r="A1200">
        <f>IF('01_Rohdaten'!A1200="","",ROW()-1)</f>
        <v/>
      </c>
      <c r="B1200" s="27">
        <f>IF('01_Rohdaten'!A1200="","",'01_Rohdaten'!A1200)</f>
        <v/>
      </c>
      <c r="C1200" s="27">
        <f>IF(B1200="","",INDEX('01_Rohdaten'!B1200:D1200,'02_Eingaben'!$C$13))</f>
        <v/>
      </c>
      <c r="D1200" s="27">
        <f>IF(C1200="","",C1200*'02_Eingaben'!$C$15)</f>
        <v/>
      </c>
      <c r="E1200" s="27">
        <f>IF(D1200="","",D1200*'02_Eingaben'!$C$8)</f>
        <v/>
      </c>
      <c r="F1200" s="27">
        <f>IF(E1200="","",AVERAGE(INDEX($E$2:$E$3001,MAX(1,ROW()-1-'02_Eingaben'!$C$17)):INDEX($E$2:$E$3001,MIN('02_Eingaben'!$C$21,ROW()-1+'02_Eingaben'!$C$17))))</f>
        <v/>
      </c>
      <c r="G1200" s="27">
        <f>IF(F1200="","",F1200-'02_Eingaben'!$C$10)</f>
        <v/>
      </c>
      <c r="H1200">
        <f>IF(F1200="","",IF(F1200&lt;'02_Eingaben'!$C$18*'02_Eingaben'!$C$10,1,0))</f>
        <v/>
      </c>
      <c r="I1200" s="27">
        <f>IF(OR(G1200="",G1201=""),"",(G1200+G1201)/2*(B1201-B1200))</f>
        <v/>
      </c>
      <c r="J1200" s="27">
        <f>IF(B1200="","",IF(B1199&lt;'02_Eingaben'!$C$36,0,J1199+I1199/'02_Eingaben'!$C$8))</f>
        <v/>
      </c>
    </row>
    <row r="1201">
      <c r="A1201">
        <f>IF('01_Rohdaten'!A1201="","",ROW()-1)</f>
        <v/>
      </c>
      <c r="B1201" s="27">
        <f>IF('01_Rohdaten'!A1201="","",'01_Rohdaten'!A1201)</f>
        <v/>
      </c>
      <c r="C1201" s="27">
        <f>IF(B1201="","",INDEX('01_Rohdaten'!B1201:D1201,'02_Eingaben'!$C$13))</f>
        <v/>
      </c>
      <c r="D1201" s="27">
        <f>IF(C1201="","",C1201*'02_Eingaben'!$C$15)</f>
        <v/>
      </c>
      <c r="E1201" s="27">
        <f>IF(D1201="","",D1201*'02_Eingaben'!$C$8)</f>
        <v/>
      </c>
      <c r="F1201" s="27">
        <f>IF(E1201="","",AVERAGE(INDEX($E$2:$E$3001,MAX(1,ROW()-1-'02_Eingaben'!$C$17)):INDEX($E$2:$E$3001,MIN('02_Eingaben'!$C$21,ROW()-1+'02_Eingaben'!$C$17))))</f>
        <v/>
      </c>
      <c r="G1201" s="27">
        <f>IF(F1201="","",F1201-'02_Eingaben'!$C$10)</f>
        <v/>
      </c>
      <c r="H1201">
        <f>IF(F1201="","",IF(F1201&lt;'02_Eingaben'!$C$18*'02_Eingaben'!$C$10,1,0))</f>
        <v/>
      </c>
      <c r="I1201" s="27">
        <f>IF(OR(G1201="",G1202=""),"",(G1201+G1202)/2*(B1202-B1201))</f>
        <v/>
      </c>
      <c r="J1201" s="27">
        <f>IF(B1201="","",IF(B1200&lt;'02_Eingaben'!$C$36,0,J1200+I1200/'02_Eingaben'!$C$8))</f>
        <v/>
      </c>
    </row>
    <row r="1202">
      <c r="A1202">
        <f>IF('01_Rohdaten'!A1202="","",ROW()-1)</f>
        <v/>
      </c>
      <c r="B1202" s="27">
        <f>IF('01_Rohdaten'!A1202="","",'01_Rohdaten'!A1202)</f>
        <v/>
      </c>
      <c r="C1202" s="27">
        <f>IF(B1202="","",INDEX('01_Rohdaten'!B1202:D1202,'02_Eingaben'!$C$13))</f>
        <v/>
      </c>
      <c r="D1202" s="27">
        <f>IF(C1202="","",C1202*'02_Eingaben'!$C$15)</f>
        <v/>
      </c>
      <c r="E1202" s="27">
        <f>IF(D1202="","",D1202*'02_Eingaben'!$C$8)</f>
        <v/>
      </c>
      <c r="F1202" s="27">
        <f>IF(E1202="","",AVERAGE(INDEX($E$2:$E$3001,MAX(1,ROW()-1-'02_Eingaben'!$C$17)):INDEX($E$2:$E$3001,MIN('02_Eingaben'!$C$21,ROW()-1+'02_Eingaben'!$C$17))))</f>
        <v/>
      </c>
      <c r="G1202" s="27">
        <f>IF(F1202="","",F1202-'02_Eingaben'!$C$10)</f>
        <v/>
      </c>
      <c r="H1202">
        <f>IF(F1202="","",IF(F1202&lt;'02_Eingaben'!$C$18*'02_Eingaben'!$C$10,1,0))</f>
        <v/>
      </c>
      <c r="I1202" s="27">
        <f>IF(OR(G1202="",G1203=""),"",(G1202+G1203)/2*(B1203-B1202))</f>
        <v/>
      </c>
      <c r="J1202" s="27">
        <f>IF(B1202="","",IF(B1201&lt;'02_Eingaben'!$C$36,0,J1201+I1201/'02_Eingaben'!$C$8))</f>
        <v/>
      </c>
    </row>
    <row r="1203">
      <c r="A1203">
        <f>IF('01_Rohdaten'!A1203="","",ROW()-1)</f>
        <v/>
      </c>
      <c r="B1203" s="27">
        <f>IF('01_Rohdaten'!A1203="","",'01_Rohdaten'!A1203)</f>
        <v/>
      </c>
      <c r="C1203" s="27">
        <f>IF(B1203="","",INDEX('01_Rohdaten'!B1203:D1203,'02_Eingaben'!$C$13))</f>
        <v/>
      </c>
      <c r="D1203" s="27">
        <f>IF(C1203="","",C1203*'02_Eingaben'!$C$15)</f>
        <v/>
      </c>
      <c r="E1203" s="27">
        <f>IF(D1203="","",D1203*'02_Eingaben'!$C$8)</f>
        <v/>
      </c>
      <c r="F1203" s="27">
        <f>IF(E1203="","",AVERAGE(INDEX($E$2:$E$3001,MAX(1,ROW()-1-'02_Eingaben'!$C$17)):INDEX($E$2:$E$3001,MIN('02_Eingaben'!$C$21,ROW()-1+'02_Eingaben'!$C$17))))</f>
        <v/>
      </c>
      <c r="G1203" s="27">
        <f>IF(F1203="","",F1203-'02_Eingaben'!$C$10)</f>
        <v/>
      </c>
      <c r="H1203">
        <f>IF(F1203="","",IF(F1203&lt;'02_Eingaben'!$C$18*'02_Eingaben'!$C$10,1,0))</f>
        <v/>
      </c>
      <c r="I1203" s="27">
        <f>IF(OR(G1203="",G1204=""),"",(G1203+G1204)/2*(B1204-B1203))</f>
        <v/>
      </c>
      <c r="J1203" s="27">
        <f>IF(B1203="","",IF(B1202&lt;'02_Eingaben'!$C$36,0,J1202+I1202/'02_Eingaben'!$C$8))</f>
        <v/>
      </c>
    </row>
    <row r="1204">
      <c r="A1204">
        <f>IF('01_Rohdaten'!A1204="","",ROW()-1)</f>
        <v/>
      </c>
      <c r="B1204" s="27">
        <f>IF('01_Rohdaten'!A1204="","",'01_Rohdaten'!A1204)</f>
        <v/>
      </c>
      <c r="C1204" s="27">
        <f>IF(B1204="","",INDEX('01_Rohdaten'!B1204:D1204,'02_Eingaben'!$C$13))</f>
        <v/>
      </c>
      <c r="D1204" s="27">
        <f>IF(C1204="","",C1204*'02_Eingaben'!$C$15)</f>
        <v/>
      </c>
      <c r="E1204" s="27">
        <f>IF(D1204="","",D1204*'02_Eingaben'!$C$8)</f>
        <v/>
      </c>
      <c r="F1204" s="27">
        <f>IF(E1204="","",AVERAGE(INDEX($E$2:$E$3001,MAX(1,ROW()-1-'02_Eingaben'!$C$17)):INDEX($E$2:$E$3001,MIN('02_Eingaben'!$C$21,ROW()-1+'02_Eingaben'!$C$17))))</f>
        <v/>
      </c>
      <c r="G1204" s="27">
        <f>IF(F1204="","",F1204-'02_Eingaben'!$C$10)</f>
        <v/>
      </c>
      <c r="H1204">
        <f>IF(F1204="","",IF(F1204&lt;'02_Eingaben'!$C$18*'02_Eingaben'!$C$10,1,0))</f>
        <v/>
      </c>
      <c r="I1204" s="27">
        <f>IF(OR(G1204="",G1205=""),"",(G1204+G1205)/2*(B1205-B1204))</f>
        <v/>
      </c>
      <c r="J1204" s="27">
        <f>IF(B1204="","",IF(B1203&lt;'02_Eingaben'!$C$36,0,J1203+I1203/'02_Eingaben'!$C$8))</f>
        <v/>
      </c>
    </row>
    <row r="1205">
      <c r="A1205">
        <f>IF('01_Rohdaten'!A1205="","",ROW()-1)</f>
        <v/>
      </c>
      <c r="B1205" s="27">
        <f>IF('01_Rohdaten'!A1205="","",'01_Rohdaten'!A1205)</f>
        <v/>
      </c>
      <c r="C1205" s="27">
        <f>IF(B1205="","",INDEX('01_Rohdaten'!B1205:D1205,'02_Eingaben'!$C$13))</f>
        <v/>
      </c>
      <c r="D1205" s="27">
        <f>IF(C1205="","",C1205*'02_Eingaben'!$C$15)</f>
        <v/>
      </c>
      <c r="E1205" s="27">
        <f>IF(D1205="","",D1205*'02_Eingaben'!$C$8)</f>
        <v/>
      </c>
      <c r="F1205" s="27">
        <f>IF(E1205="","",AVERAGE(INDEX($E$2:$E$3001,MAX(1,ROW()-1-'02_Eingaben'!$C$17)):INDEX($E$2:$E$3001,MIN('02_Eingaben'!$C$21,ROW()-1+'02_Eingaben'!$C$17))))</f>
        <v/>
      </c>
      <c r="G1205" s="27">
        <f>IF(F1205="","",F1205-'02_Eingaben'!$C$10)</f>
        <v/>
      </c>
      <c r="H1205">
        <f>IF(F1205="","",IF(F1205&lt;'02_Eingaben'!$C$18*'02_Eingaben'!$C$10,1,0))</f>
        <v/>
      </c>
      <c r="I1205" s="27">
        <f>IF(OR(G1205="",G1206=""),"",(G1205+G1206)/2*(B1206-B1205))</f>
        <v/>
      </c>
      <c r="J1205" s="27">
        <f>IF(B1205="","",IF(B1204&lt;'02_Eingaben'!$C$36,0,J1204+I1204/'02_Eingaben'!$C$8))</f>
        <v/>
      </c>
    </row>
    <row r="1206">
      <c r="A1206">
        <f>IF('01_Rohdaten'!A1206="","",ROW()-1)</f>
        <v/>
      </c>
      <c r="B1206" s="27">
        <f>IF('01_Rohdaten'!A1206="","",'01_Rohdaten'!A1206)</f>
        <v/>
      </c>
      <c r="C1206" s="27">
        <f>IF(B1206="","",INDEX('01_Rohdaten'!B1206:D1206,'02_Eingaben'!$C$13))</f>
        <v/>
      </c>
      <c r="D1206" s="27">
        <f>IF(C1206="","",C1206*'02_Eingaben'!$C$15)</f>
        <v/>
      </c>
      <c r="E1206" s="27">
        <f>IF(D1206="","",D1206*'02_Eingaben'!$C$8)</f>
        <v/>
      </c>
      <c r="F1206" s="27">
        <f>IF(E1206="","",AVERAGE(INDEX($E$2:$E$3001,MAX(1,ROW()-1-'02_Eingaben'!$C$17)):INDEX($E$2:$E$3001,MIN('02_Eingaben'!$C$21,ROW()-1+'02_Eingaben'!$C$17))))</f>
        <v/>
      </c>
      <c r="G1206" s="27">
        <f>IF(F1206="","",F1206-'02_Eingaben'!$C$10)</f>
        <v/>
      </c>
      <c r="H1206">
        <f>IF(F1206="","",IF(F1206&lt;'02_Eingaben'!$C$18*'02_Eingaben'!$C$10,1,0))</f>
        <v/>
      </c>
      <c r="I1206" s="27">
        <f>IF(OR(G1206="",G1207=""),"",(G1206+G1207)/2*(B1207-B1206))</f>
        <v/>
      </c>
      <c r="J1206" s="27">
        <f>IF(B1206="","",IF(B1205&lt;'02_Eingaben'!$C$36,0,J1205+I1205/'02_Eingaben'!$C$8))</f>
        <v/>
      </c>
    </row>
    <row r="1207">
      <c r="A1207">
        <f>IF('01_Rohdaten'!A1207="","",ROW()-1)</f>
        <v/>
      </c>
      <c r="B1207" s="27">
        <f>IF('01_Rohdaten'!A1207="","",'01_Rohdaten'!A1207)</f>
        <v/>
      </c>
      <c r="C1207" s="27">
        <f>IF(B1207="","",INDEX('01_Rohdaten'!B1207:D1207,'02_Eingaben'!$C$13))</f>
        <v/>
      </c>
      <c r="D1207" s="27">
        <f>IF(C1207="","",C1207*'02_Eingaben'!$C$15)</f>
        <v/>
      </c>
      <c r="E1207" s="27">
        <f>IF(D1207="","",D1207*'02_Eingaben'!$C$8)</f>
        <v/>
      </c>
      <c r="F1207" s="27">
        <f>IF(E1207="","",AVERAGE(INDEX($E$2:$E$3001,MAX(1,ROW()-1-'02_Eingaben'!$C$17)):INDEX($E$2:$E$3001,MIN('02_Eingaben'!$C$21,ROW()-1+'02_Eingaben'!$C$17))))</f>
        <v/>
      </c>
      <c r="G1207" s="27">
        <f>IF(F1207="","",F1207-'02_Eingaben'!$C$10)</f>
        <v/>
      </c>
      <c r="H1207">
        <f>IF(F1207="","",IF(F1207&lt;'02_Eingaben'!$C$18*'02_Eingaben'!$C$10,1,0))</f>
        <v/>
      </c>
      <c r="I1207" s="27">
        <f>IF(OR(G1207="",G1208=""),"",(G1207+G1208)/2*(B1208-B1207))</f>
        <v/>
      </c>
      <c r="J1207" s="27">
        <f>IF(B1207="","",IF(B1206&lt;'02_Eingaben'!$C$36,0,J1206+I1206/'02_Eingaben'!$C$8))</f>
        <v/>
      </c>
    </row>
    <row r="1208">
      <c r="A1208">
        <f>IF('01_Rohdaten'!A1208="","",ROW()-1)</f>
        <v/>
      </c>
      <c r="B1208" s="27">
        <f>IF('01_Rohdaten'!A1208="","",'01_Rohdaten'!A1208)</f>
        <v/>
      </c>
      <c r="C1208" s="27">
        <f>IF(B1208="","",INDEX('01_Rohdaten'!B1208:D1208,'02_Eingaben'!$C$13))</f>
        <v/>
      </c>
      <c r="D1208" s="27">
        <f>IF(C1208="","",C1208*'02_Eingaben'!$C$15)</f>
        <v/>
      </c>
      <c r="E1208" s="27">
        <f>IF(D1208="","",D1208*'02_Eingaben'!$C$8)</f>
        <v/>
      </c>
      <c r="F1208" s="27">
        <f>IF(E1208="","",AVERAGE(INDEX($E$2:$E$3001,MAX(1,ROW()-1-'02_Eingaben'!$C$17)):INDEX($E$2:$E$3001,MIN('02_Eingaben'!$C$21,ROW()-1+'02_Eingaben'!$C$17))))</f>
        <v/>
      </c>
      <c r="G1208" s="27">
        <f>IF(F1208="","",F1208-'02_Eingaben'!$C$10)</f>
        <v/>
      </c>
      <c r="H1208">
        <f>IF(F1208="","",IF(F1208&lt;'02_Eingaben'!$C$18*'02_Eingaben'!$C$10,1,0))</f>
        <v/>
      </c>
      <c r="I1208" s="27">
        <f>IF(OR(G1208="",G1209=""),"",(G1208+G1209)/2*(B1209-B1208))</f>
        <v/>
      </c>
      <c r="J1208" s="27">
        <f>IF(B1208="","",IF(B1207&lt;'02_Eingaben'!$C$36,0,J1207+I1207/'02_Eingaben'!$C$8))</f>
        <v/>
      </c>
    </row>
    <row r="1209">
      <c r="A1209">
        <f>IF('01_Rohdaten'!A1209="","",ROW()-1)</f>
        <v/>
      </c>
      <c r="B1209" s="27">
        <f>IF('01_Rohdaten'!A1209="","",'01_Rohdaten'!A1209)</f>
        <v/>
      </c>
      <c r="C1209" s="27">
        <f>IF(B1209="","",INDEX('01_Rohdaten'!B1209:D1209,'02_Eingaben'!$C$13))</f>
        <v/>
      </c>
      <c r="D1209" s="27">
        <f>IF(C1209="","",C1209*'02_Eingaben'!$C$15)</f>
        <v/>
      </c>
      <c r="E1209" s="27">
        <f>IF(D1209="","",D1209*'02_Eingaben'!$C$8)</f>
        <v/>
      </c>
      <c r="F1209" s="27">
        <f>IF(E1209="","",AVERAGE(INDEX($E$2:$E$3001,MAX(1,ROW()-1-'02_Eingaben'!$C$17)):INDEX($E$2:$E$3001,MIN('02_Eingaben'!$C$21,ROW()-1+'02_Eingaben'!$C$17))))</f>
        <v/>
      </c>
      <c r="G1209" s="27">
        <f>IF(F1209="","",F1209-'02_Eingaben'!$C$10)</f>
        <v/>
      </c>
      <c r="H1209">
        <f>IF(F1209="","",IF(F1209&lt;'02_Eingaben'!$C$18*'02_Eingaben'!$C$10,1,0))</f>
        <v/>
      </c>
      <c r="I1209" s="27">
        <f>IF(OR(G1209="",G1210=""),"",(G1209+G1210)/2*(B1210-B1209))</f>
        <v/>
      </c>
      <c r="J1209" s="27">
        <f>IF(B1209="","",IF(B1208&lt;'02_Eingaben'!$C$36,0,J1208+I1208/'02_Eingaben'!$C$8))</f>
        <v/>
      </c>
    </row>
    <row r="1210">
      <c r="A1210">
        <f>IF('01_Rohdaten'!A1210="","",ROW()-1)</f>
        <v/>
      </c>
      <c r="B1210" s="27">
        <f>IF('01_Rohdaten'!A1210="","",'01_Rohdaten'!A1210)</f>
        <v/>
      </c>
      <c r="C1210" s="27">
        <f>IF(B1210="","",INDEX('01_Rohdaten'!B1210:D1210,'02_Eingaben'!$C$13))</f>
        <v/>
      </c>
      <c r="D1210" s="27">
        <f>IF(C1210="","",C1210*'02_Eingaben'!$C$15)</f>
        <v/>
      </c>
      <c r="E1210" s="27">
        <f>IF(D1210="","",D1210*'02_Eingaben'!$C$8)</f>
        <v/>
      </c>
      <c r="F1210" s="27">
        <f>IF(E1210="","",AVERAGE(INDEX($E$2:$E$3001,MAX(1,ROW()-1-'02_Eingaben'!$C$17)):INDEX($E$2:$E$3001,MIN('02_Eingaben'!$C$21,ROW()-1+'02_Eingaben'!$C$17))))</f>
        <v/>
      </c>
      <c r="G1210" s="27">
        <f>IF(F1210="","",F1210-'02_Eingaben'!$C$10)</f>
        <v/>
      </c>
      <c r="H1210">
        <f>IF(F1210="","",IF(F1210&lt;'02_Eingaben'!$C$18*'02_Eingaben'!$C$10,1,0))</f>
        <v/>
      </c>
      <c r="I1210" s="27">
        <f>IF(OR(G1210="",G1211=""),"",(G1210+G1211)/2*(B1211-B1210))</f>
        <v/>
      </c>
      <c r="J1210" s="27">
        <f>IF(B1210="","",IF(B1209&lt;'02_Eingaben'!$C$36,0,J1209+I1209/'02_Eingaben'!$C$8))</f>
        <v/>
      </c>
    </row>
    <row r="1211">
      <c r="A1211">
        <f>IF('01_Rohdaten'!A1211="","",ROW()-1)</f>
        <v/>
      </c>
      <c r="B1211" s="27">
        <f>IF('01_Rohdaten'!A1211="","",'01_Rohdaten'!A1211)</f>
        <v/>
      </c>
      <c r="C1211" s="27">
        <f>IF(B1211="","",INDEX('01_Rohdaten'!B1211:D1211,'02_Eingaben'!$C$13))</f>
        <v/>
      </c>
      <c r="D1211" s="27">
        <f>IF(C1211="","",C1211*'02_Eingaben'!$C$15)</f>
        <v/>
      </c>
      <c r="E1211" s="27">
        <f>IF(D1211="","",D1211*'02_Eingaben'!$C$8)</f>
        <v/>
      </c>
      <c r="F1211" s="27">
        <f>IF(E1211="","",AVERAGE(INDEX($E$2:$E$3001,MAX(1,ROW()-1-'02_Eingaben'!$C$17)):INDEX($E$2:$E$3001,MIN('02_Eingaben'!$C$21,ROW()-1+'02_Eingaben'!$C$17))))</f>
        <v/>
      </c>
      <c r="G1211" s="27">
        <f>IF(F1211="","",F1211-'02_Eingaben'!$C$10)</f>
        <v/>
      </c>
      <c r="H1211">
        <f>IF(F1211="","",IF(F1211&lt;'02_Eingaben'!$C$18*'02_Eingaben'!$C$10,1,0))</f>
        <v/>
      </c>
      <c r="I1211" s="27">
        <f>IF(OR(G1211="",G1212=""),"",(G1211+G1212)/2*(B1212-B1211))</f>
        <v/>
      </c>
      <c r="J1211" s="27">
        <f>IF(B1211="","",IF(B1210&lt;'02_Eingaben'!$C$36,0,J1210+I1210/'02_Eingaben'!$C$8))</f>
        <v/>
      </c>
    </row>
    <row r="1212">
      <c r="A1212">
        <f>IF('01_Rohdaten'!A1212="","",ROW()-1)</f>
        <v/>
      </c>
      <c r="B1212" s="27">
        <f>IF('01_Rohdaten'!A1212="","",'01_Rohdaten'!A1212)</f>
        <v/>
      </c>
      <c r="C1212" s="27">
        <f>IF(B1212="","",INDEX('01_Rohdaten'!B1212:D1212,'02_Eingaben'!$C$13))</f>
        <v/>
      </c>
      <c r="D1212" s="27">
        <f>IF(C1212="","",C1212*'02_Eingaben'!$C$15)</f>
        <v/>
      </c>
      <c r="E1212" s="27">
        <f>IF(D1212="","",D1212*'02_Eingaben'!$C$8)</f>
        <v/>
      </c>
      <c r="F1212" s="27">
        <f>IF(E1212="","",AVERAGE(INDEX($E$2:$E$3001,MAX(1,ROW()-1-'02_Eingaben'!$C$17)):INDEX($E$2:$E$3001,MIN('02_Eingaben'!$C$21,ROW()-1+'02_Eingaben'!$C$17))))</f>
        <v/>
      </c>
      <c r="G1212" s="27">
        <f>IF(F1212="","",F1212-'02_Eingaben'!$C$10)</f>
        <v/>
      </c>
      <c r="H1212">
        <f>IF(F1212="","",IF(F1212&lt;'02_Eingaben'!$C$18*'02_Eingaben'!$C$10,1,0))</f>
        <v/>
      </c>
      <c r="I1212" s="27">
        <f>IF(OR(G1212="",G1213=""),"",(G1212+G1213)/2*(B1213-B1212))</f>
        <v/>
      </c>
      <c r="J1212" s="27">
        <f>IF(B1212="","",IF(B1211&lt;'02_Eingaben'!$C$36,0,J1211+I1211/'02_Eingaben'!$C$8))</f>
        <v/>
      </c>
    </row>
    <row r="1213">
      <c r="A1213">
        <f>IF('01_Rohdaten'!A1213="","",ROW()-1)</f>
        <v/>
      </c>
      <c r="B1213" s="27">
        <f>IF('01_Rohdaten'!A1213="","",'01_Rohdaten'!A1213)</f>
        <v/>
      </c>
      <c r="C1213" s="27">
        <f>IF(B1213="","",INDEX('01_Rohdaten'!B1213:D1213,'02_Eingaben'!$C$13))</f>
        <v/>
      </c>
      <c r="D1213" s="27">
        <f>IF(C1213="","",C1213*'02_Eingaben'!$C$15)</f>
        <v/>
      </c>
      <c r="E1213" s="27">
        <f>IF(D1213="","",D1213*'02_Eingaben'!$C$8)</f>
        <v/>
      </c>
      <c r="F1213" s="27">
        <f>IF(E1213="","",AVERAGE(INDEX($E$2:$E$3001,MAX(1,ROW()-1-'02_Eingaben'!$C$17)):INDEX($E$2:$E$3001,MIN('02_Eingaben'!$C$21,ROW()-1+'02_Eingaben'!$C$17))))</f>
        <v/>
      </c>
      <c r="G1213" s="27">
        <f>IF(F1213="","",F1213-'02_Eingaben'!$C$10)</f>
        <v/>
      </c>
      <c r="H1213">
        <f>IF(F1213="","",IF(F1213&lt;'02_Eingaben'!$C$18*'02_Eingaben'!$C$10,1,0))</f>
        <v/>
      </c>
      <c r="I1213" s="27">
        <f>IF(OR(G1213="",G1214=""),"",(G1213+G1214)/2*(B1214-B1213))</f>
        <v/>
      </c>
      <c r="J1213" s="27">
        <f>IF(B1213="","",IF(B1212&lt;'02_Eingaben'!$C$36,0,J1212+I1212/'02_Eingaben'!$C$8))</f>
        <v/>
      </c>
    </row>
    <row r="1214">
      <c r="A1214">
        <f>IF('01_Rohdaten'!A1214="","",ROW()-1)</f>
        <v/>
      </c>
      <c r="B1214" s="27">
        <f>IF('01_Rohdaten'!A1214="","",'01_Rohdaten'!A1214)</f>
        <v/>
      </c>
      <c r="C1214" s="27">
        <f>IF(B1214="","",INDEX('01_Rohdaten'!B1214:D1214,'02_Eingaben'!$C$13))</f>
        <v/>
      </c>
      <c r="D1214" s="27">
        <f>IF(C1214="","",C1214*'02_Eingaben'!$C$15)</f>
        <v/>
      </c>
      <c r="E1214" s="27">
        <f>IF(D1214="","",D1214*'02_Eingaben'!$C$8)</f>
        <v/>
      </c>
      <c r="F1214" s="27">
        <f>IF(E1214="","",AVERAGE(INDEX($E$2:$E$3001,MAX(1,ROW()-1-'02_Eingaben'!$C$17)):INDEX($E$2:$E$3001,MIN('02_Eingaben'!$C$21,ROW()-1+'02_Eingaben'!$C$17))))</f>
        <v/>
      </c>
      <c r="G1214" s="27">
        <f>IF(F1214="","",F1214-'02_Eingaben'!$C$10)</f>
        <v/>
      </c>
      <c r="H1214">
        <f>IF(F1214="","",IF(F1214&lt;'02_Eingaben'!$C$18*'02_Eingaben'!$C$10,1,0))</f>
        <v/>
      </c>
      <c r="I1214" s="27">
        <f>IF(OR(G1214="",G1215=""),"",(G1214+G1215)/2*(B1215-B1214))</f>
        <v/>
      </c>
      <c r="J1214" s="27">
        <f>IF(B1214="","",IF(B1213&lt;'02_Eingaben'!$C$36,0,J1213+I1213/'02_Eingaben'!$C$8))</f>
        <v/>
      </c>
    </row>
    <row r="1215">
      <c r="A1215">
        <f>IF('01_Rohdaten'!A1215="","",ROW()-1)</f>
        <v/>
      </c>
      <c r="B1215" s="27">
        <f>IF('01_Rohdaten'!A1215="","",'01_Rohdaten'!A1215)</f>
        <v/>
      </c>
      <c r="C1215" s="27">
        <f>IF(B1215="","",INDEX('01_Rohdaten'!B1215:D1215,'02_Eingaben'!$C$13))</f>
        <v/>
      </c>
      <c r="D1215" s="27">
        <f>IF(C1215="","",C1215*'02_Eingaben'!$C$15)</f>
        <v/>
      </c>
      <c r="E1215" s="27">
        <f>IF(D1215="","",D1215*'02_Eingaben'!$C$8)</f>
        <v/>
      </c>
      <c r="F1215" s="27">
        <f>IF(E1215="","",AVERAGE(INDEX($E$2:$E$3001,MAX(1,ROW()-1-'02_Eingaben'!$C$17)):INDEX($E$2:$E$3001,MIN('02_Eingaben'!$C$21,ROW()-1+'02_Eingaben'!$C$17))))</f>
        <v/>
      </c>
      <c r="G1215" s="27">
        <f>IF(F1215="","",F1215-'02_Eingaben'!$C$10)</f>
        <v/>
      </c>
      <c r="H1215">
        <f>IF(F1215="","",IF(F1215&lt;'02_Eingaben'!$C$18*'02_Eingaben'!$C$10,1,0))</f>
        <v/>
      </c>
      <c r="I1215" s="27">
        <f>IF(OR(G1215="",G1216=""),"",(G1215+G1216)/2*(B1216-B1215))</f>
        <v/>
      </c>
      <c r="J1215" s="27">
        <f>IF(B1215="","",IF(B1214&lt;'02_Eingaben'!$C$36,0,J1214+I1214/'02_Eingaben'!$C$8))</f>
        <v/>
      </c>
    </row>
    <row r="1216">
      <c r="A1216">
        <f>IF('01_Rohdaten'!A1216="","",ROW()-1)</f>
        <v/>
      </c>
      <c r="B1216" s="27">
        <f>IF('01_Rohdaten'!A1216="","",'01_Rohdaten'!A1216)</f>
        <v/>
      </c>
      <c r="C1216" s="27">
        <f>IF(B1216="","",INDEX('01_Rohdaten'!B1216:D1216,'02_Eingaben'!$C$13))</f>
        <v/>
      </c>
      <c r="D1216" s="27">
        <f>IF(C1216="","",C1216*'02_Eingaben'!$C$15)</f>
        <v/>
      </c>
      <c r="E1216" s="27">
        <f>IF(D1216="","",D1216*'02_Eingaben'!$C$8)</f>
        <v/>
      </c>
      <c r="F1216" s="27">
        <f>IF(E1216="","",AVERAGE(INDEX($E$2:$E$3001,MAX(1,ROW()-1-'02_Eingaben'!$C$17)):INDEX($E$2:$E$3001,MIN('02_Eingaben'!$C$21,ROW()-1+'02_Eingaben'!$C$17))))</f>
        <v/>
      </c>
      <c r="G1216" s="27">
        <f>IF(F1216="","",F1216-'02_Eingaben'!$C$10)</f>
        <v/>
      </c>
      <c r="H1216">
        <f>IF(F1216="","",IF(F1216&lt;'02_Eingaben'!$C$18*'02_Eingaben'!$C$10,1,0))</f>
        <v/>
      </c>
      <c r="I1216" s="27">
        <f>IF(OR(G1216="",G1217=""),"",(G1216+G1217)/2*(B1217-B1216))</f>
        <v/>
      </c>
      <c r="J1216" s="27">
        <f>IF(B1216="","",IF(B1215&lt;'02_Eingaben'!$C$36,0,J1215+I1215/'02_Eingaben'!$C$8))</f>
        <v/>
      </c>
    </row>
    <row r="1217">
      <c r="A1217">
        <f>IF('01_Rohdaten'!A1217="","",ROW()-1)</f>
        <v/>
      </c>
      <c r="B1217" s="27">
        <f>IF('01_Rohdaten'!A1217="","",'01_Rohdaten'!A1217)</f>
        <v/>
      </c>
      <c r="C1217" s="27">
        <f>IF(B1217="","",INDEX('01_Rohdaten'!B1217:D1217,'02_Eingaben'!$C$13))</f>
        <v/>
      </c>
      <c r="D1217" s="27">
        <f>IF(C1217="","",C1217*'02_Eingaben'!$C$15)</f>
        <v/>
      </c>
      <c r="E1217" s="27">
        <f>IF(D1217="","",D1217*'02_Eingaben'!$C$8)</f>
        <v/>
      </c>
      <c r="F1217" s="27">
        <f>IF(E1217="","",AVERAGE(INDEX($E$2:$E$3001,MAX(1,ROW()-1-'02_Eingaben'!$C$17)):INDEX($E$2:$E$3001,MIN('02_Eingaben'!$C$21,ROW()-1+'02_Eingaben'!$C$17))))</f>
        <v/>
      </c>
      <c r="G1217" s="27">
        <f>IF(F1217="","",F1217-'02_Eingaben'!$C$10)</f>
        <v/>
      </c>
      <c r="H1217">
        <f>IF(F1217="","",IF(F1217&lt;'02_Eingaben'!$C$18*'02_Eingaben'!$C$10,1,0))</f>
        <v/>
      </c>
      <c r="I1217" s="27">
        <f>IF(OR(G1217="",G1218=""),"",(G1217+G1218)/2*(B1218-B1217))</f>
        <v/>
      </c>
      <c r="J1217" s="27">
        <f>IF(B1217="","",IF(B1216&lt;'02_Eingaben'!$C$36,0,J1216+I1216/'02_Eingaben'!$C$8))</f>
        <v/>
      </c>
    </row>
    <row r="1218">
      <c r="A1218">
        <f>IF('01_Rohdaten'!A1218="","",ROW()-1)</f>
        <v/>
      </c>
      <c r="B1218" s="27">
        <f>IF('01_Rohdaten'!A1218="","",'01_Rohdaten'!A1218)</f>
        <v/>
      </c>
      <c r="C1218" s="27">
        <f>IF(B1218="","",INDEX('01_Rohdaten'!B1218:D1218,'02_Eingaben'!$C$13))</f>
        <v/>
      </c>
      <c r="D1218" s="27">
        <f>IF(C1218="","",C1218*'02_Eingaben'!$C$15)</f>
        <v/>
      </c>
      <c r="E1218" s="27">
        <f>IF(D1218="","",D1218*'02_Eingaben'!$C$8)</f>
        <v/>
      </c>
      <c r="F1218" s="27">
        <f>IF(E1218="","",AVERAGE(INDEX($E$2:$E$3001,MAX(1,ROW()-1-'02_Eingaben'!$C$17)):INDEX($E$2:$E$3001,MIN('02_Eingaben'!$C$21,ROW()-1+'02_Eingaben'!$C$17))))</f>
        <v/>
      </c>
      <c r="G1218" s="27">
        <f>IF(F1218="","",F1218-'02_Eingaben'!$C$10)</f>
        <v/>
      </c>
      <c r="H1218">
        <f>IF(F1218="","",IF(F1218&lt;'02_Eingaben'!$C$18*'02_Eingaben'!$C$10,1,0))</f>
        <v/>
      </c>
      <c r="I1218" s="27">
        <f>IF(OR(G1218="",G1219=""),"",(G1218+G1219)/2*(B1219-B1218))</f>
        <v/>
      </c>
      <c r="J1218" s="27">
        <f>IF(B1218="","",IF(B1217&lt;'02_Eingaben'!$C$36,0,J1217+I1217/'02_Eingaben'!$C$8))</f>
        <v/>
      </c>
    </row>
    <row r="1219">
      <c r="A1219">
        <f>IF('01_Rohdaten'!A1219="","",ROW()-1)</f>
        <v/>
      </c>
      <c r="B1219" s="27">
        <f>IF('01_Rohdaten'!A1219="","",'01_Rohdaten'!A1219)</f>
        <v/>
      </c>
      <c r="C1219" s="27">
        <f>IF(B1219="","",INDEX('01_Rohdaten'!B1219:D1219,'02_Eingaben'!$C$13))</f>
        <v/>
      </c>
      <c r="D1219" s="27">
        <f>IF(C1219="","",C1219*'02_Eingaben'!$C$15)</f>
        <v/>
      </c>
      <c r="E1219" s="27">
        <f>IF(D1219="","",D1219*'02_Eingaben'!$C$8)</f>
        <v/>
      </c>
      <c r="F1219" s="27">
        <f>IF(E1219="","",AVERAGE(INDEX($E$2:$E$3001,MAX(1,ROW()-1-'02_Eingaben'!$C$17)):INDEX($E$2:$E$3001,MIN('02_Eingaben'!$C$21,ROW()-1+'02_Eingaben'!$C$17))))</f>
        <v/>
      </c>
      <c r="G1219" s="27">
        <f>IF(F1219="","",F1219-'02_Eingaben'!$C$10)</f>
        <v/>
      </c>
      <c r="H1219">
        <f>IF(F1219="","",IF(F1219&lt;'02_Eingaben'!$C$18*'02_Eingaben'!$C$10,1,0))</f>
        <v/>
      </c>
      <c r="I1219" s="27">
        <f>IF(OR(G1219="",G1220=""),"",(G1219+G1220)/2*(B1220-B1219))</f>
        <v/>
      </c>
      <c r="J1219" s="27">
        <f>IF(B1219="","",IF(B1218&lt;'02_Eingaben'!$C$36,0,J1218+I1218/'02_Eingaben'!$C$8))</f>
        <v/>
      </c>
    </row>
    <row r="1220">
      <c r="A1220">
        <f>IF('01_Rohdaten'!A1220="","",ROW()-1)</f>
        <v/>
      </c>
      <c r="B1220" s="27">
        <f>IF('01_Rohdaten'!A1220="","",'01_Rohdaten'!A1220)</f>
        <v/>
      </c>
      <c r="C1220" s="27">
        <f>IF(B1220="","",INDEX('01_Rohdaten'!B1220:D1220,'02_Eingaben'!$C$13))</f>
        <v/>
      </c>
      <c r="D1220" s="27">
        <f>IF(C1220="","",C1220*'02_Eingaben'!$C$15)</f>
        <v/>
      </c>
      <c r="E1220" s="27">
        <f>IF(D1220="","",D1220*'02_Eingaben'!$C$8)</f>
        <v/>
      </c>
      <c r="F1220" s="27">
        <f>IF(E1220="","",AVERAGE(INDEX($E$2:$E$3001,MAX(1,ROW()-1-'02_Eingaben'!$C$17)):INDEX($E$2:$E$3001,MIN('02_Eingaben'!$C$21,ROW()-1+'02_Eingaben'!$C$17))))</f>
        <v/>
      </c>
      <c r="G1220" s="27">
        <f>IF(F1220="","",F1220-'02_Eingaben'!$C$10)</f>
        <v/>
      </c>
      <c r="H1220">
        <f>IF(F1220="","",IF(F1220&lt;'02_Eingaben'!$C$18*'02_Eingaben'!$C$10,1,0))</f>
        <v/>
      </c>
      <c r="I1220" s="27">
        <f>IF(OR(G1220="",G1221=""),"",(G1220+G1221)/2*(B1221-B1220))</f>
        <v/>
      </c>
      <c r="J1220" s="27">
        <f>IF(B1220="","",IF(B1219&lt;'02_Eingaben'!$C$36,0,J1219+I1219/'02_Eingaben'!$C$8))</f>
        <v/>
      </c>
    </row>
    <row r="1221">
      <c r="A1221">
        <f>IF('01_Rohdaten'!A1221="","",ROW()-1)</f>
        <v/>
      </c>
      <c r="B1221" s="27">
        <f>IF('01_Rohdaten'!A1221="","",'01_Rohdaten'!A1221)</f>
        <v/>
      </c>
      <c r="C1221" s="27">
        <f>IF(B1221="","",INDEX('01_Rohdaten'!B1221:D1221,'02_Eingaben'!$C$13))</f>
        <v/>
      </c>
      <c r="D1221" s="27">
        <f>IF(C1221="","",C1221*'02_Eingaben'!$C$15)</f>
        <v/>
      </c>
      <c r="E1221" s="27">
        <f>IF(D1221="","",D1221*'02_Eingaben'!$C$8)</f>
        <v/>
      </c>
      <c r="F1221" s="27">
        <f>IF(E1221="","",AVERAGE(INDEX($E$2:$E$3001,MAX(1,ROW()-1-'02_Eingaben'!$C$17)):INDEX($E$2:$E$3001,MIN('02_Eingaben'!$C$21,ROW()-1+'02_Eingaben'!$C$17))))</f>
        <v/>
      </c>
      <c r="G1221" s="27">
        <f>IF(F1221="","",F1221-'02_Eingaben'!$C$10)</f>
        <v/>
      </c>
      <c r="H1221">
        <f>IF(F1221="","",IF(F1221&lt;'02_Eingaben'!$C$18*'02_Eingaben'!$C$10,1,0))</f>
        <v/>
      </c>
      <c r="I1221" s="27">
        <f>IF(OR(G1221="",G1222=""),"",(G1221+G1222)/2*(B1222-B1221))</f>
        <v/>
      </c>
      <c r="J1221" s="27">
        <f>IF(B1221="","",IF(B1220&lt;'02_Eingaben'!$C$36,0,J1220+I1220/'02_Eingaben'!$C$8))</f>
        <v/>
      </c>
    </row>
    <row r="1222">
      <c r="A1222">
        <f>IF('01_Rohdaten'!A1222="","",ROW()-1)</f>
        <v/>
      </c>
      <c r="B1222" s="27">
        <f>IF('01_Rohdaten'!A1222="","",'01_Rohdaten'!A1222)</f>
        <v/>
      </c>
      <c r="C1222" s="27">
        <f>IF(B1222="","",INDEX('01_Rohdaten'!B1222:D1222,'02_Eingaben'!$C$13))</f>
        <v/>
      </c>
      <c r="D1222" s="27">
        <f>IF(C1222="","",C1222*'02_Eingaben'!$C$15)</f>
        <v/>
      </c>
      <c r="E1222" s="27">
        <f>IF(D1222="","",D1222*'02_Eingaben'!$C$8)</f>
        <v/>
      </c>
      <c r="F1222" s="27">
        <f>IF(E1222="","",AVERAGE(INDEX($E$2:$E$3001,MAX(1,ROW()-1-'02_Eingaben'!$C$17)):INDEX($E$2:$E$3001,MIN('02_Eingaben'!$C$21,ROW()-1+'02_Eingaben'!$C$17))))</f>
        <v/>
      </c>
      <c r="G1222" s="27">
        <f>IF(F1222="","",F1222-'02_Eingaben'!$C$10)</f>
        <v/>
      </c>
      <c r="H1222">
        <f>IF(F1222="","",IF(F1222&lt;'02_Eingaben'!$C$18*'02_Eingaben'!$C$10,1,0))</f>
        <v/>
      </c>
      <c r="I1222" s="27">
        <f>IF(OR(G1222="",G1223=""),"",(G1222+G1223)/2*(B1223-B1222))</f>
        <v/>
      </c>
      <c r="J1222" s="27">
        <f>IF(B1222="","",IF(B1221&lt;'02_Eingaben'!$C$36,0,J1221+I1221/'02_Eingaben'!$C$8))</f>
        <v/>
      </c>
    </row>
    <row r="1223">
      <c r="A1223">
        <f>IF('01_Rohdaten'!A1223="","",ROW()-1)</f>
        <v/>
      </c>
      <c r="B1223" s="27">
        <f>IF('01_Rohdaten'!A1223="","",'01_Rohdaten'!A1223)</f>
        <v/>
      </c>
      <c r="C1223" s="27">
        <f>IF(B1223="","",INDEX('01_Rohdaten'!B1223:D1223,'02_Eingaben'!$C$13))</f>
        <v/>
      </c>
      <c r="D1223" s="27">
        <f>IF(C1223="","",C1223*'02_Eingaben'!$C$15)</f>
        <v/>
      </c>
      <c r="E1223" s="27">
        <f>IF(D1223="","",D1223*'02_Eingaben'!$C$8)</f>
        <v/>
      </c>
      <c r="F1223" s="27">
        <f>IF(E1223="","",AVERAGE(INDEX($E$2:$E$3001,MAX(1,ROW()-1-'02_Eingaben'!$C$17)):INDEX($E$2:$E$3001,MIN('02_Eingaben'!$C$21,ROW()-1+'02_Eingaben'!$C$17))))</f>
        <v/>
      </c>
      <c r="G1223" s="27">
        <f>IF(F1223="","",F1223-'02_Eingaben'!$C$10)</f>
        <v/>
      </c>
      <c r="H1223">
        <f>IF(F1223="","",IF(F1223&lt;'02_Eingaben'!$C$18*'02_Eingaben'!$C$10,1,0))</f>
        <v/>
      </c>
      <c r="I1223" s="27">
        <f>IF(OR(G1223="",G1224=""),"",(G1223+G1224)/2*(B1224-B1223))</f>
        <v/>
      </c>
      <c r="J1223" s="27">
        <f>IF(B1223="","",IF(B1222&lt;'02_Eingaben'!$C$36,0,J1222+I1222/'02_Eingaben'!$C$8))</f>
        <v/>
      </c>
    </row>
    <row r="1224">
      <c r="A1224">
        <f>IF('01_Rohdaten'!A1224="","",ROW()-1)</f>
        <v/>
      </c>
      <c r="B1224" s="27">
        <f>IF('01_Rohdaten'!A1224="","",'01_Rohdaten'!A1224)</f>
        <v/>
      </c>
      <c r="C1224" s="27">
        <f>IF(B1224="","",INDEX('01_Rohdaten'!B1224:D1224,'02_Eingaben'!$C$13))</f>
        <v/>
      </c>
      <c r="D1224" s="27">
        <f>IF(C1224="","",C1224*'02_Eingaben'!$C$15)</f>
        <v/>
      </c>
      <c r="E1224" s="27">
        <f>IF(D1224="","",D1224*'02_Eingaben'!$C$8)</f>
        <v/>
      </c>
      <c r="F1224" s="27">
        <f>IF(E1224="","",AVERAGE(INDEX($E$2:$E$3001,MAX(1,ROW()-1-'02_Eingaben'!$C$17)):INDEX($E$2:$E$3001,MIN('02_Eingaben'!$C$21,ROW()-1+'02_Eingaben'!$C$17))))</f>
        <v/>
      </c>
      <c r="G1224" s="27">
        <f>IF(F1224="","",F1224-'02_Eingaben'!$C$10)</f>
        <v/>
      </c>
      <c r="H1224">
        <f>IF(F1224="","",IF(F1224&lt;'02_Eingaben'!$C$18*'02_Eingaben'!$C$10,1,0))</f>
        <v/>
      </c>
      <c r="I1224" s="27">
        <f>IF(OR(G1224="",G1225=""),"",(G1224+G1225)/2*(B1225-B1224))</f>
        <v/>
      </c>
      <c r="J1224" s="27">
        <f>IF(B1224="","",IF(B1223&lt;'02_Eingaben'!$C$36,0,J1223+I1223/'02_Eingaben'!$C$8))</f>
        <v/>
      </c>
    </row>
    <row r="1225">
      <c r="A1225">
        <f>IF('01_Rohdaten'!A1225="","",ROW()-1)</f>
        <v/>
      </c>
      <c r="B1225" s="27">
        <f>IF('01_Rohdaten'!A1225="","",'01_Rohdaten'!A1225)</f>
        <v/>
      </c>
      <c r="C1225" s="27">
        <f>IF(B1225="","",INDEX('01_Rohdaten'!B1225:D1225,'02_Eingaben'!$C$13))</f>
        <v/>
      </c>
      <c r="D1225" s="27">
        <f>IF(C1225="","",C1225*'02_Eingaben'!$C$15)</f>
        <v/>
      </c>
      <c r="E1225" s="27">
        <f>IF(D1225="","",D1225*'02_Eingaben'!$C$8)</f>
        <v/>
      </c>
      <c r="F1225" s="27">
        <f>IF(E1225="","",AVERAGE(INDEX($E$2:$E$3001,MAX(1,ROW()-1-'02_Eingaben'!$C$17)):INDEX($E$2:$E$3001,MIN('02_Eingaben'!$C$21,ROW()-1+'02_Eingaben'!$C$17))))</f>
        <v/>
      </c>
      <c r="G1225" s="27">
        <f>IF(F1225="","",F1225-'02_Eingaben'!$C$10)</f>
        <v/>
      </c>
      <c r="H1225">
        <f>IF(F1225="","",IF(F1225&lt;'02_Eingaben'!$C$18*'02_Eingaben'!$C$10,1,0))</f>
        <v/>
      </c>
      <c r="I1225" s="27">
        <f>IF(OR(G1225="",G1226=""),"",(G1225+G1226)/2*(B1226-B1225))</f>
        <v/>
      </c>
      <c r="J1225" s="27">
        <f>IF(B1225="","",IF(B1224&lt;'02_Eingaben'!$C$36,0,J1224+I1224/'02_Eingaben'!$C$8))</f>
        <v/>
      </c>
    </row>
    <row r="1226">
      <c r="A1226">
        <f>IF('01_Rohdaten'!A1226="","",ROW()-1)</f>
        <v/>
      </c>
      <c r="B1226" s="27">
        <f>IF('01_Rohdaten'!A1226="","",'01_Rohdaten'!A1226)</f>
        <v/>
      </c>
      <c r="C1226" s="27">
        <f>IF(B1226="","",INDEX('01_Rohdaten'!B1226:D1226,'02_Eingaben'!$C$13))</f>
        <v/>
      </c>
      <c r="D1226" s="27">
        <f>IF(C1226="","",C1226*'02_Eingaben'!$C$15)</f>
        <v/>
      </c>
      <c r="E1226" s="27">
        <f>IF(D1226="","",D1226*'02_Eingaben'!$C$8)</f>
        <v/>
      </c>
      <c r="F1226" s="27">
        <f>IF(E1226="","",AVERAGE(INDEX($E$2:$E$3001,MAX(1,ROW()-1-'02_Eingaben'!$C$17)):INDEX($E$2:$E$3001,MIN('02_Eingaben'!$C$21,ROW()-1+'02_Eingaben'!$C$17))))</f>
        <v/>
      </c>
      <c r="G1226" s="27">
        <f>IF(F1226="","",F1226-'02_Eingaben'!$C$10)</f>
        <v/>
      </c>
      <c r="H1226">
        <f>IF(F1226="","",IF(F1226&lt;'02_Eingaben'!$C$18*'02_Eingaben'!$C$10,1,0))</f>
        <v/>
      </c>
      <c r="I1226" s="27">
        <f>IF(OR(G1226="",G1227=""),"",(G1226+G1227)/2*(B1227-B1226))</f>
        <v/>
      </c>
      <c r="J1226" s="27">
        <f>IF(B1226="","",IF(B1225&lt;'02_Eingaben'!$C$36,0,J1225+I1225/'02_Eingaben'!$C$8))</f>
        <v/>
      </c>
    </row>
    <row r="1227">
      <c r="A1227">
        <f>IF('01_Rohdaten'!A1227="","",ROW()-1)</f>
        <v/>
      </c>
      <c r="B1227" s="27">
        <f>IF('01_Rohdaten'!A1227="","",'01_Rohdaten'!A1227)</f>
        <v/>
      </c>
      <c r="C1227" s="27">
        <f>IF(B1227="","",INDEX('01_Rohdaten'!B1227:D1227,'02_Eingaben'!$C$13))</f>
        <v/>
      </c>
      <c r="D1227" s="27">
        <f>IF(C1227="","",C1227*'02_Eingaben'!$C$15)</f>
        <v/>
      </c>
      <c r="E1227" s="27">
        <f>IF(D1227="","",D1227*'02_Eingaben'!$C$8)</f>
        <v/>
      </c>
      <c r="F1227" s="27">
        <f>IF(E1227="","",AVERAGE(INDEX($E$2:$E$3001,MAX(1,ROW()-1-'02_Eingaben'!$C$17)):INDEX($E$2:$E$3001,MIN('02_Eingaben'!$C$21,ROW()-1+'02_Eingaben'!$C$17))))</f>
        <v/>
      </c>
      <c r="G1227" s="27">
        <f>IF(F1227="","",F1227-'02_Eingaben'!$C$10)</f>
        <v/>
      </c>
      <c r="H1227">
        <f>IF(F1227="","",IF(F1227&lt;'02_Eingaben'!$C$18*'02_Eingaben'!$C$10,1,0))</f>
        <v/>
      </c>
      <c r="I1227" s="27">
        <f>IF(OR(G1227="",G1228=""),"",(G1227+G1228)/2*(B1228-B1227))</f>
        <v/>
      </c>
      <c r="J1227" s="27">
        <f>IF(B1227="","",IF(B1226&lt;'02_Eingaben'!$C$36,0,J1226+I1226/'02_Eingaben'!$C$8))</f>
        <v/>
      </c>
    </row>
    <row r="1228">
      <c r="A1228">
        <f>IF('01_Rohdaten'!A1228="","",ROW()-1)</f>
        <v/>
      </c>
      <c r="B1228" s="27">
        <f>IF('01_Rohdaten'!A1228="","",'01_Rohdaten'!A1228)</f>
        <v/>
      </c>
      <c r="C1228" s="27">
        <f>IF(B1228="","",INDEX('01_Rohdaten'!B1228:D1228,'02_Eingaben'!$C$13))</f>
        <v/>
      </c>
      <c r="D1228" s="27">
        <f>IF(C1228="","",C1228*'02_Eingaben'!$C$15)</f>
        <v/>
      </c>
      <c r="E1228" s="27">
        <f>IF(D1228="","",D1228*'02_Eingaben'!$C$8)</f>
        <v/>
      </c>
      <c r="F1228" s="27">
        <f>IF(E1228="","",AVERAGE(INDEX($E$2:$E$3001,MAX(1,ROW()-1-'02_Eingaben'!$C$17)):INDEX($E$2:$E$3001,MIN('02_Eingaben'!$C$21,ROW()-1+'02_Eingaben'!$C$17))))</f>
        <v/>
      </c>
      <c r="G1228" s="27">
        <f>IF(F1228="","",F1228-'02_Eingaben'!$C$10)</f>
        <v/>
      </c>
      <c r="H1228">
        <f>IF(F1228="","",IF(F1228&lt;'02_Eingaben'!$C$18*'02_Eingaben'!$C$10,1,0))</f>
        <v/>
      </c>
      <c r="I1228" s="27">
        <f>IF(OR(G1228="",G1229=""),"",(G1228+G1229)/2*(B1229-B1228))</f>
        <v/>
      </c>
      <c r="J1228" s="27">
        <f>IF(B1228="","",IF(B1227&lt;'02_Eingaben'!$C$36,0,J1227+I1227/'02_Eingaben'!$C$8))</f>
        <v/>
      </c>
    </row>
    <row r="1229">
      <c r="A1229">
        <f>IF('01_Rohdaten'!A1229="","",ROW()-1)</f>
        <v/>
      </c>
      <c r="B1229" s="27">
        <f>IF('01_Rohdaten'!A1229="","",'01_Rohdaten'!A1229)</f>
        <v/>
      </c>
      <c r="C1229" s="27">
        <f>IF(B1229="","",INDEX('01_Rohdaten'!B1229:D1229,'02_Eingaben'!$C$13))</f>
        <v/>
      </c>
      <c r="D1229" s="27">
        <f>IF(C1229="","",C1229*'02_Eingaben'!$C$15)</f>
        <v/>
      </c>
      <c r="E1229" s="27">
        <f>IF(D1229="","",D1229*'02_Eingaben'!$C$8)</f>
        <v/>
      </c>
      <c r="F1229" s="27">
        <f>IF(E1229="","",AVERAGE(INDEX($E$2:$E$3001,MAX(1,ROW()-1-'02_Eingaben'!$C$17)):INDEX($E$2:$E$3001,MIN('02_Eingaben'!$C$21,ROW()-1+'02_Eingaben'!$C$17))))</f>
        <v/>
      </c>
      <c r="G1229" s="27">
        <f>IF(F1229="","",F1229-'02_Eingaben'!$C$10)</f>
        <v/>
      </c>
      <c r="H1229">
        <f>IF(F1229="","",IF(F1229&lt;'02_Eingaben'!$C$18*'02_Eingaben'!$C$10,1,0))</f>
        <v/>
      </c>
      <c r="I1229" s="27">
        <f>IF(OR(G1229="",G1230=""),"",(G1229+G1230)/2*(B1230-B1229))</f>
        <v/>
      </c>
      <c r="J1229" s="27">
        <f>IF(B1229="","",IF(B1228&lt;'02_Eingaben'!$C$36,0,J1228+I1228/'02_Eingaben'!$C$8))</f>
        <v/>
      </c>
    </row>
    <row r="1230">
      <c r="A1230">
        <f>IF('01_Rohdaten'!A1230="","",ROW()-1)</f>
        <v/>
      </c>
      <c r="B1230" s="27">
        <f>IF('01_Rohdaten'!A1230="","",'01_Rohdaten'!A1230)</f>
        <v/>
      </c>
      <c r="C1230" s="27">
        <f>IF(B1230="","",INDEX('01_Rohdaten'!B1230:D1230,'02_Eingaben'!$C$13))</f>
        <v/>
      </c>
      <c r="D1230" s="27">
        <f>IF(C1230="","",C1230*'02_Eingaben'!$C$15)</f>
        <v/>
      </c>
      <c r="E1230" s="27">
        <f>IF(D1230="","",D1230*'02_Eingaben'!$C$8)</f>
        <v/>
      </c>
      <c r="F1230" s="27">
        <f>IF(E1230="","",AVERAGE(INDEX($E$2:$E$3001,MAX(1,ROW()-1-'02_Eingaben'!$C$17)):INDEX($E$2:$E$3001,MIN('02_Eingaben'!$C$21,ROW()-1+'02_Eingaben'!$C$17))))</f>
        <v/>
      </c>
      <c r="G1230" s="27">
        <f>IF(F1230="","",F1230-'02_Eingaben'!$C$10)</f>
        <v/>
      </c>
      <c r="H1230">
        <f>IF(F1230="","",IF(F1230&lt;'02_Eingaben'!$C$18*'02_Eingaben'!$C$10,1,0))</f>
        <v/>
      </c>
      <c r="I1230" s="27">
        <f>IF(OR(G1230="",G1231=""),"",(G1230+G1231)/2*(B1231-B1230))</f>
        <v/>
      </c>
      <c r="J1230" s="27">
        <f>IF(B1230="","",IF(B1229&lt;'02_Eingaben'!$C$36,0,J1229+I1229/'02_Eingaben'!$C$8))</f>
        <v/>
      </c>
    </row>
    <row r="1231">
      <c r="A1231">
        <f>IF('01_Rohdaten'!A1231="","",ROW()-1)</f>
        <v/>
      </c>
      <c r="B1231" s="27">
        <f>IF('01_Rohdaten'!A1231="","",'01_Rohdaten'!A1231)</f>
        <v/>
      </c>
      <c r="C1231" s="27">
        <f>IF(B1231="","",INDEX('01_Rohdaten'!B1231:D1231,'02_Eingaben'!$C$13))</f>
        <v/>
      </c>
      <c r="D1231" s="27">
        <f>IF(C1231="","",C1231*'02_Eingaben'!$C$15)</f>
        <v/>
      </c>
      <c r="E1231" s="27">
        <f>IF(D1231="","",D1231*'02_Eingaben'!$C$8)</f>
        <v/>
      </c>
      <c r="F1231" s="27">
        <f>IF(E1231="","",AVERAGE(INDEX($E$2:$E$3001,MAX(1,ROW()-1-'02_Eingaben'!$C$17)):INDEX($E$2:$E$3001,MIN('02_Eingaben'!$C$21,ROW()-1+'02_Eingaben'!$C$17))))</f>
        <v/>
      </c>
      <c r="G1231" s="27">
        <f>IF(F1231="","",F1231-'02_Eingaben'!$C$10)</f>
        <v/>
      </c>
      <c r="H1231">
        <f>IF(F1231="","",IF(F1231&lt;'02_Eingaben'!$C$18*'02_Eingaben'!$C$10,1,0))</f>
        <v/>
      </c>
      <c r="I1231" s="27">
        <f>IF(OR(G1231="",G1232=""),"",(G1231+G1232)/2*(B1232-B1231))</f>
        <v/>
      </c>
      <c r="J1231" s="27">
        <f>IF(B1231="","",IF(B1230&lt;'02_Eingaben'!$C$36,0,J1230+I1230/'02_Eingaben'!$C$8))</f>
        <v/>
      </c>
    </row>
    <row r="1232">
      <c r="A1232">
        <f>IF('01_Rohdaten'!A1232="","",ROW()-1)</f>
        <v/>
      </c>
      <c r="B1232" s="27">
        <f>IF('01_Rohdaten'!A1232="","",'01_Rohdaten'!A1232)</f>
        <v/>
      </c>
      <c r="C1232" s="27">
        <f>IF(B1232="","",INDEX('01_Rohdaten'!B1232:D1232,'02_Eingaben'!$C$13))</f>
        <v/>
      </c>
      <c r="D1232" s="27">
        <f>IF(C1232="","",C1232*'02_Eingaben'!$C$15)</f>
        <v/>
      </c>
      <c r="E1232" s="27">
        <f>IF(D1232="","",D1232*'02_Eingaben'!$C$8)</f>
        <v/>
      </c>
      <c r="F1232" s="27">
        <f>IF(E1232="","",AVERAGE(INDEX($E$2:$E$3001,MAX(1,ROW()-1-'02_Eingaben'!$C$17)):INDEX($E$2:$E$3001,MIN('02_Eingaben'!$C$21,ROW()-1+'02_Eingaben'!$C$17))))</f>
        <v/>
      </c>
      <c r="G1232" s="27">
        <f>IF(F1232="","",F1232-'02_Eingaben'!$C$10)</f>
        <v/>
      </c>
      <c r="H1232">
        <f>IF(F1232="","",IF(F1232&lt;'02_Eingaben'!$C$18*'02_Eingaben'!$C$10,1,0))</f>
        <v/>
      </c>
      <c r="I1232" s="27">
        <f>IF(OR(G1232="",G1233=""),"",(G1232+G1233)/2*(B1233-B1232))</f>
        <v/>
      </c>
      <c r="J1232" s="27">
        <f>IF(B1232="","",IF(B1231&lt;'02_Eingaben'!$C$36,0,J1231+I1231/'02_Eingaben'!$C$8))</f>
        <v/>
      </c>
    </row>
    <row r="1233">
      <c r="A1233">
        <f>IF('01_Rohdaten'!A1233="","",ROW()-1)</f>
        <v/>
      </c>
      <c r="B1233" s="27">
        <f>IF('01_Rohdaten'!A1233="","",'01_Rohdaten'!A1233)</f>
        <v/>
      </c>
      <c r="C1233" s="27">
        <f>IF(B1233="","",INDEX('01_Rohdaten'!B1233:D1233,'02_Eingaben'!$C$13))</f>
        <v/>
      </c>
      <c r="D1233" s="27">
        <f>IF(C1233="","",C1233*'02_Eingaben'!$C$15)</f>
        <v/>
      </c>
      <c r="E1233" s="27">
        <f>IF(D1233="","",D1233*'02_Eingaben'!$C$8)</f>
        <v/>
      </c>
      <c r="F1233" s="27">
        <f>IF(E1233="","",AVERAGE(INDEX($E$2:$E$3001,MAX(1,ROW()-1-'02_Eingaben'!$C$17)):INDEX($E$2:$E$3001,MIN('02_Eingaben'!$C$21,ROW()-1+'02_Eingaben'!$C$17))))</f>
        <v/>
      </c>
      <c r="G1233" s="27">
        <f>IF(F1233="","",F1233-'02_Eingaben'!$C$10)</f>
        <v/>
      </c>
      <c r="H1233">
        <f>IF(F1233="","",IF(F1233&lt;'02_Eingaben'!$C$18*'02_Eingaben'!$C$10,1,0))</f>
        <v/>
      </c>
      <c r="I1233" s="27">
        <f>IF(OR(G1233="",G1234=""),"",(G1233+G1234)/2*(B1234-B1233))</f>
        <v/>
      </c>
      <c r="J1233" s="27">
        <f>IF(B1233="","",IF(B1232&lt;'02_Eingaben'!$C$36,0,J1232+I1232/'02_Eingaben'!$C$8))</f>
        <v/>
      </c>
    </row>
    <row r="1234">
      <c r="A1234">
        <f>IF('01_Rohdaten'!A1234="","",ROW()-1)</f>
        <v/>
      </c>
      <c r="B1234" s="27">
        <f>IF('01_Rohdaten'!A1234="","",'01_Rohdaten'!A1234)</f>
        <v/>
      </c>
      <c r="C1234" s="27">
        <f>IF(B1234="","",INDEX('01_Rohdaten'!B1234:D1234,'02_Eingaben'!$C$13))</f>
        <v/>
      </c>
      <c r="D1234" s="27">
        <f>IF(C1234="","",C1234*'02_Eingaben'!$C$15)</f>
        <v/>
      </c>
      <c r="E1234" s="27">
        <f>IF(D1234="","",D1234*'02_Eingaben'!$C$8)</f>
        <v/>
      </c>
      <c r="F1234" s="27">
        <f>IF(E1234="","",AVERAGE(INDEX($E$2:$E$3001,MAX(1,ROW()-1-'02_Eingaben'!$C$17)):INDEX($E$2:$E$3001,MIN('02_Eingaben'!$C$21,ROW()-1+'02_Eingaben'!$C$17))))</f>
        <v/>
      </c>
      <c r="G1234" s="27">
        <f>IF(F1234="","",F1234-'02_Eingaben'!$C$10)</f>
        <v/>
      </c>
      <c r="H1234">
        <f>IF(F1234="","",IF(F1234&lt;'02_Eingaben'!$C$18*'02_Eingaben'!$C$10,1,0))</f>
        <v/>
      </c>
      <c r="I1234" s="27">
        <f>IF(OR(G1234="",G1235=""),"",(G1234+G1235)/2*(B1235-B1234))</f>
        <v/>
      </c>
      <c r="J1234" s="27">
        <f>IF(B1234="","",IF(B1233&lt;'02_Eingaben'!$C$36,0,J1233+I1233/'02_Eingaben'!$C$8))</f>
        <v/>
      </c>
    </row>
    <row r="1235">
      <c r="A1235">
        <f>IF('01_Rohdaten'!A1235="","",ROW()-1)</f>
        <v/>
      </c>
      <c r="B1235" s="27">
        <f>IF('01_Rohdaten'!A1235="","",'01_Rohdaten'!A1235)</f>
        <v/>
      </c>
      <c r="C1235" s="27">
        <f>IF(B1235="","",INDEX('01_Rohdaten'!B1235:D1235,'02_Eingaben'!$C$13))</f>
        <v/>
      </c>
      <c r="D1235" s="27">
        <f>IF(C1235="","",C1235*'02_Eingaben'!$C$15)</f>
        <v/>
      </c>
      <c r="E1235" s="27">
        <f>IF(D1235="","",D1235*'02_Eingaben'!$C$8)</f>
        <v/>
      </c>
      <c r="F1235" s="27">
        <f>IF(E1235="","",AVERAGE(INDEX($E$2:$E$3001,MAX(1,ROW()-1-'02_Eingaben'!$C$17)):INDEX($E$2:$E$3001,MIN('02_Eingaben'!$C$21,ROW()-1+'02_Eingaben'!$C$17))))</f>
        <v/>
      </c>
      <c r="G1235" s="27">
        <f>IF(F1235="","",F1235-'02_Eingaben'!$C$10)</f>
        <v/>
      </c>
      <c r="H1235">
        <f>IF(F1235="","",IF(F1235&lt;'02_Eingaben'!$C$18*'02_Eingaben'!$C$10,1,0))</f>
        <v/>
      </c>
      <c r="I1235" s="27">
        <f>IF(OR(G1235="",G1236=""),"",(G1235+G1236)/2*(B1236-B1235))</f>
        <v/>
      </c>
      <c r="J1235" s="27">
        <f>IF(B1235="","",IF(B1234&lt;'02_Eingaben'!$C$36,0,J1234+I1234/'02_Eingaben'!$C$8))</f>
        <v/>
      </c>
    </row>
    <row r="1236">
      <c r="A1236">
        <f>IF('01_Rohdaten'!A1236="","",ROW()-1)</f>
        <v/>
      </c>
      <c r="B1236" s="27">
        <f>IF('01_Rohdaten'!A1236="","",'01_Rohdaten'!A1236)</f>
        <v/>
      </c>
      <c r="C1236" s="27">
        <f>IF(B1236="","",INDEX('01_Rohdaten'!B1236:D1236,'02_Eingaben'!$C$13))</f>
        <v/>
      </c>
      <c r="D1236" s="27">
        <f>IF(C1236="","",C1236*'02_Eingaben'!$C$15)</f>
        <v/>
      </c>
      <c r="E1236" s="27">
        <f>IF(D1236="","",D1236*'02_Eingaben'!$C$8)</f>
        <v/>
      </c>
      <c r="F1236" s="27">
        <f>IF(E1236="","",AVERAGE(INDEX($E$2:$E$3001,MAX(1,ROW()-1-'02_Eingaben'!$C$17)):INDEX($E$2:$E$3001,MIN('02_Eingaben'!$C$21,ROW()-1+'02_Eingaben'!$C$17))))</f>
        <v/>
      </c>
      <c r="G1236" s="27">
        <f>IF(F1236="","",F1236-'02_Eingaben'!$C$10)</f>
        <v/>
      </c>
      <c r="H1236">
        <f>IF(F1236="","",IF(F1236&lt;'02_Eingaben'!$C$18*'02_Eingaben'!$C$10,1,0))</f>
        <v/>
      </c>
      <c r="I1236" s="27">
        <f>IF(OR(G1236="",G1237=""),"",(G1236+G1237)/2*(B1237-B1236))</f>
        <v/>
      </c>
      <c r="J1236" s="27">
        <f>IF(B1236="","",IF(B1235&lt;'02_Eingaben'!$C$36,0,J1235+I1235/'02_Eingaben'!$C$8))</f>
        <v/>
      </c>
    </row>
    <row r="1237">
      <c r="A1237">
        <f>IF('01_Rohdaten'!A1237="","",ROW()-1)</f>
        <v/>
      </c>
      <c r="B1237" s="27">
        <f>IF('01_Rohdaten'!A1237="","",'01_Rohdaten'!A1237)</f>
        <v/>
      </c>
      <c r="C1237" s="27">
        <f>IF(B1237="","",INDEX('01_Rohdaten'!B1237:D1237,'02_Eingaben'!$C$13))</f>
        <v/>
      </c>
      <c r="D1237" s="27">
        <f>IF(C1237="","",C1237*'02_Eingaben'!$C$15)</f>
        <v/>
      </c>
      <c r="E1237" s="27">
        <f>IF(D1237="","",D1237*'02_Eingaben'!$C$8)</f>
        <v/>
      </c>
      <c r="F1237" s="27">
        <f>IF(E1237="","",AVERAGE(INDEX($E$2:$E$3001,MAX(1,ROW()-1-'02_Eingaben'!$C$17)):INDEX($E$2:$E$3001,MIN('02_Eingaben'!$C$21,ROW()-1+'02_Eingaben'!$C$17))))</f>
        <v/>
      </c>
      <c r="G1237" s="27">
        <f>IF(F1237="","",F1237-'02_Eingaben'!$C$10)</f>
        <v/>
      </c>
      <c r="H1237">
        <f>IF(F1237="","",IF(F1237&lt;'02_Eingaben'!$C$18*'02_Eingaben'!$C$10,1,0))</f>
        <v/>
      </c>
      <c r="I1237" s="27">
        <f>IF(OR(G1237="",G1238=""),"",(G1237+G1238)/2*(B1238-B1237))</f>
        <v/>
      </c>
      <c r="J1237" s="27">
        <f>IF(B1237="","",IF(B1236&lt;'02_Eingaben'!$C$36,0,J1236+I1236/'02_Eingaben'!$C$8))</f>
        <v/>
      </c>
    </row>
    <row r="1238">
      <c r="A1238">
        <f>IF('01_Rohdaten'!A1238="","",ROW()-1)</f>
        <v/>
      </c>
      <c r="B1238" s="27">
        <f>IF('01_Rohdaten'!A1238="","",'01_Rohdaten'!A1238)</f>
        <v/>
      </c>
      <c r="C1238" s="27">
        <f>IF(B1238="","",INDEX('01_Rohdaten'!B1238:D1238,'02_Eingaben'!$C$13))</f>
        <v/>
      </c>
      <c r="D1238" s="27">
        <f>IF(C1238="","",C1238*'02_Eingaben'!$C$15)</f>
        <v/>
      </c>
      <c r="E1238" s="27">
        <f>IF(D1238="","",D1238*'02_Eingaben'!$C$8)</f>
        <v/>
      </c>
      <c r="F1238" s="27">
        <f>IF(E1238="","",AVERAGE(INDEX($E$2:$E$3001,MAX(1,ROW()-1-'02_Eingaben'!$C$17)):INDEX($E$2:$E$3001,MIN('02_Eingaben'!$C$21,ROW()-1+'02_Eingaben'!$C$17))))</f>
        <v/>
      </c>
      <c r="G1238" s="27">
        <f>IF(F1238="","",F1238-'02_Eingaben'!$C$10)</f>
        <v/>
      </c>
      <c r="H1238">
        <f>IF(F1238="","",IF(F1238&lt;'02_Eingaben'!$C$18*'02_Eingaben'!$C$10,1,0))</f>
        <v/>
      </c>
      <c r="I1238" s="27">
        <f>IF(OR(G1238="",G1239=""),"",(G1238+G1239)/2*(B1239-B1238))</f>
        <v/>
      </c>
      <c r="J1238" s="27">
        <f>IF(B1238="","",IF(B1237&lt;'02_Eingaben'!$C$36,0,J1237+I1237/'02_Eingaben'!$C$8))</f>
        <v/>
      </c>
    </row>
    <row r="1239">
      <c r="A1239">
        <f>IF('01_Rohdaten'!A1239="","",ROW()-1)</f>
        <v/>
      </c>
      <c r="B1239" s="27">
        <f>IF('01_Rohdaten'!A1239="","",'01_Rohdaten'!A1239)</f>
        <v/>
      </c>
      <c r="C1239" s="27">
        <f>IF(B1239="","",INDEX('01_Rohdaten'!B1239:D1239,'02_Eingaben'!$C$13))</f>
        <v/>
      </c>
      <c r="D1239" s="27">
        <f>IF(C1239="","",C1239*'02_Eingaben'!$C$15)</f>
        <v/>
      </c>
      <c r="E1239" s="27">
        <f>IF(D1239="","",D1239*'02_Eingaben'!$C$8)</f>
        <v/>
      </c>
      <c r="F1239" s="27">
        <f>IF(E1239="","",AVERAGE(INDEX($E$2:$E$3001,MAX(1,ROW()-1-'02_Eingaben'!$C$17)):INDEX($E$2:$E$3001,MIN('02_Eingaben'!$C$21,ROW()-1+'02_Eingaben'!$C$17))))</f>
        <v/>
      </c>
      <c r="G1239" s="27">
        <f>IF(F1239="","",F1239-'02_Eingaben'!$C$10)</f>
        <v/>
      </c>
      <c r="H1239">
        <f>IF(F1239="","",IF(F1239&lt;'02_Eingaben'!$C$18*'02_Eingaben'!$C$10,1,0))</f>
        <v/>
      </c>
      <c r="I1239" s="27">
        <f>IF(OR(G1239="",G1240=""),"",(G1239+G1240)/2*(B1240-B1239))</f>
        <v/>
      </c>
      <c r="J1239" s="27">
        <f>IF(B1239="","",IF(B1238&lt;'02_Eingaben'!$C$36,0,J1238+I1238/'02_Eingaben'!$C$8))</f>
        <v/>
      </c>
    </row>
    <row r="1240">
      <c r="A1240">
        <f>IF('01_Rohdaten'!A1240="","",ROW()-1)</f>
        <v/>
      </c>
      <c r="B1240" s="27">
        <f>IF('01_Rohdaten'!A1240="","",'01_Rohdaten'!A1240)</f>
        <v/>
      </c>
      <c r="C1240" s="27">
        <f>IF(B1240="","",INDEX('01_Rohdaten'!B1240:D1240,'02_Eingaben'!$C$13))</f>
        <v/>
      </c>
      <c r="D1240" s="27">
        <f>IF(C1240="","",C1240*'02_Eingaben'!$C$15)</f>
        <v/>
      </c>
      <c r="E1240" s="27">
        <f>IF(D1240="","",D1240*'02_Eingaben'!$C$8)</f>
        <v/>
      </c>
      <c r="F1240" s="27">
        <f>IF(E1240="","",AVERAGE(INDEX($E$2:$E$3001,MAX(1,ROW()-1-'02_Eingaben'!$C$17)):INDEX($E$2:$E$3001,MIN('02_Eingaben'!$C$21,ROW()-1+'02_Eingaben'!$C$17))))</f>
        <v/>
      </c>
      <c r="G1240" s="27">
        <f>IF(F1240="","",F1240-'02_Eingaben'!$C$10)</f>
        <v/>
      </c>
      <c r="H1240">
        <f>IF(F1240="","",IF(F1240&lt;'02_Eingaben'!$C$18*'02_Eingaben'!$C$10,1,0))</f>
        <v/>
      </c>
      <c r="I1240" s="27">
        <f>IF(OR(G1240="",G1241=""),"",(G1240+G1241)/2*(B1241-B1240))</f>
        <v/>
      </c>
      <c r="J1240" s="27">
        <f>IF(B1240="","",IF(B1239&lt;'02_Eingaben'!$C$36,0,J1239+I1239/'02_Eingaben'!$C$8))</f>
        <v/>
      </c>
    </row>
    <row r="1241">
      <c r="A1241">
        <f>IF('01_Rohdaten'!A1241="","",ROW()-1)</f>
        <v/>
      </c>
      <c r="B1241" s="27">
        <f>IF('01_Rohdaten'!A1241="","",'01_Rohdaten'!A1241)</f>
        <v/>
      </c>
      <c r="C1241" s="27">
        <f>IF(B1241="","",INDEX('01_Rohdaten'!B1241:D1241,'02_Eingaben'!$C$13))</f>
        <v/>
      </c>
      <c r="D1241" s="27">
        <f>IF(C1241="","",C1241*'02_Eingaben'!$C$15)</f>
        <v/>
      </c>
      <c r="E1241" s="27">
        <f>IF(D1241="","",D1241*'02_Eingaben'!$C$8)</f>
        <v/>
      </c>
      <c r="F1241" s="27">
        <f>IF(E1241="","",AVERAGE(INDEX($E$2:$E$3001,MAX(1,ROW()-1-'02_Eingaben'!$C$17)):INDEX($E$2:$E$3001,MIN('02_Eingaben'!$C$21,ROW()-1+'02_Eingaben'!$C$17))))</f>
        <v/>
      </c>
      <c r="G1241" s="27">
        <f>IF(F1241="","",F1241-'02_Eingaben'!$C$10)</f>
        <v/>
      </c>
      <c r="H1241">
        <f>IF(F1241="","",IF(F1241&lt;'02_Eingaben'!$C$18*'02_Eingaben'!$C$10,1,0))</f>
        <v/>
      </c>
      <c r="I1241" s="27">
        <f>IF(OR(G1241="",G1242=""),"",(G1241+G1242)/2*(B1242-B1241))</f>
        <v/>
      </c>
      <c r="J1241" s="27">
        <f>IF(B1241="","",IF(B1240&lt;'02_Eingaben'!$C$36,0,J1240+I1240/'02_Eingaben'!$C$8))</f>
        <v/>
      </c>
    </row>
    <row r="1242">
      <c r="A1242">
        <f>IF('01_Rohdaten'!A1242="","",ROW()-1)</f>
        <v/>
      </c>
      <c r="B1242" s="27">
        <f>IF('01_Rohdaten'!A1242="","",'01_Rohdaten'!A1242)</f>
        <v/>
      </c>
      <c r="C1242" s="27">
        <f>IF(B1242="","",INDEX('01_Rohdaten'!B1242:D1242,'02_Eingaben'!$C$13))</f>
        <v/>
      </c>
      <c r="D1242" s="27">
        <f>IF(C1242="","",C1242*'02_Eingaben'!$C$15)</f>
        <v/>
      </c>
      <c r="E1242" s="27">
        <f>IF(D1242="","",D1242*'02_Eingaben'!$C$8)</f>
        <v/>
      </c>
      <c r="F1242" s="27">
        <f>IF(E1242="","",AVERAGE(INDEX($E$2:$E$3001,MAX(1,ROW()-1-'02_Eingaben'!$C$17)):INDEX($E$2:$E$3001,MIN('02_Eingaben'!$C$21,ROW()-1+'02_Eingaben'!$C$17))))</f>
        <v/>
      </c>
      <c r="G1242" s="27">
        <f>IF(F1242="","",F1242-'02_Eingaben'!$C$10)</f>
        <v/>
      </c>
      <c r="H1242">
        <f>IF(F1242="","",IF(F1242&lt;'02_Eingaben'!$C$18*'02_Eingaben'!$C$10,1,0))</f>
        <v/>
      </c>
      <c r="I1242" s="27">
        <f>IF(OR(G1242="",G1243=""),"",(G1242+G1243)/2*(B1243-B1242))</f>
        <v/>
      </c>
      <c r="J1242" s="27">
        <f>IF(B1242="","",IF(B1241&lt;'02_Eingaben'!$C$36,0,J1241+I1241/'02_Eingaben'!$C$8))</f>
        <v/>
      </c>
    </row>
    <row r="1243">
      <c r="A1243">
        <f>IF('01_Rohdaten'!A1243="","",ROW()-1)</f>
        <v/>
      </c>
      <c r="B1243" s="27">
        <f>IF('01_Rohdaten'!A1243="","",'01_Rohdaten'!A1243)</f>
        <v/>
      </c>
      <c r="C1243" s="27">
        <f>IF(B1243="","",INDEX('01_Rohdaten'!B1243:D1243,'02_Eingaben'!$C$13))</f>
        <v/>
      </c>
      <c r="D1243" s="27">
        <f>IF(C1243="","",C1243*'02_Eingaben'!$C$15)</f>
        <v/>
      </c>
      <c r="E1243" s="27">
        <f>IF(D1243="","",D1243*'02_Eingaben'!$C$8)</f>
        <v/>
      </c>
      <c r="F1243" s="27">
        <f>IF(E1243="","",AVERAGE(INDEX($E$2:$E$3001,MAX(1,ROW()-1-'02_Eingaben'!$C$17)):INDEX($E$2:$E$3001,MIN('02_Eingaben'!$C$21,ROW()-1+'02_Eingaben'!$C$17))))</f>
        <v/>
      </c>
      <c r="G1243" s="27">
        <f>IF(F1243="","",F1243-'02_Eingaben'!$C$10)</f>
        <v/>
      </c>
      <c r="H1243">
        <f>IF(F1243="","",IF(F1243&lt;'02_Eingaben'!$C$18*'02_Eingaben'!$C$10,1,0))</f>
        <v/>
      </c>
      <c r="I1243" s="27">
        <f>IF(OR(G1243="",G1244=""),"",(G1243+G1244)/2*(B1244-B1243))</f>
        <v/>
      </c>
      <c r="J1243" s="27">
        <f>IF(B1243="","",IF(B1242&lt;'02_Eingaben'!$C$36,0,J1242+I1242/'02_Eingaben'!$C$8))</f>
        <v/>
      </c>
    </row>
    <row r="1244">
      <c r="A1244">
        <f>IF('01_Rohdaten'!A1244="","",ROW()-1)</f>
        <v/>
      </c>
      <c r="B1244" s="27">
        <f>IF('01_Rohdaten'!A1244="","",'01_Rohdaten'!A1244)</f>
        <v/>
      </c>
      <c r="C1244" s="27">
        <f>IF(B1244="","",INDEX('01_Rohdaten'!B1244:D1244,'02_Eingaben'!$C$13))</f>
        <v/>
      </c>
      <c r="D1244" s="27">
        <f>IF(C1244="","",C1244*'02_Eingaben'!$C$15)</f>
        <v/>
      </c>
      <c r="E1244" s="27">
        <f>IF(D1244="","",D1244*'02_Eingaben'!$C$8)</f>
        <v/>
      </c>
      <c r="F1244" s="27">
        <f>IF(E1244="","",AVERAGE(INDEX($E$2:$E$3001,MAX(1,ROW()-1-'02_Eingaben'!$C$17)):INDEX($E$2:$E$3001,MIN('02_Eingaben'!$C$21,ROW()-1+'02_Eingaben'!$C$17))))</f>
        <v/>
      </c>
      <c r="G1244" s="27">
        <f>IF(F1244="","",F1244-'02_Eingaben'!$C$10)</f>
        <v/>
      </c>
      <c r="H1244">
        <f>IF(F1244="","",IF(F1244&lt;'02_Eingaben'!$C$18*'02_Eingaben'!$C$10,1,0))</f>
        <v/>
      </c>
      <c r="I1244" s="27">
        <f>IF(OR(G1244="",G1245=""),"",(G1244+G1245)/2*(B1245-B1244))</f>
        <v/>
      </c>
      <c r="J1244" s="27">
        <f>IF(B1244="","",IF(B1243&lt;'02_Eingaben'!$C$36,0,J1243+I1243/'02_Eingaben'!$C$8))</f>
        <v/>
      </c>
    </row>
    <row r="1245">
      <c r="A1245">
        <f>IF('01_Rohdaten'!A1245="","",ROW()-1)</f>
        <v/>
      </c>
      <c r="B1245" s="27">
        <f>IF('01_Rohdaten'!A1245="","",'01_Rohdaten'!A1245)</f>
        <v/>
      </c>
      <c r="C1245" s="27">
        <f>IF(B1245="","",INDEX('01_Rohdaten'!B1245:D1245,'02_Eingaben'!$C$13))</f>
        <v/>
      </c>
      <c r="D1245" s="27">
        <f>IF(C1245="","",C1245*'02_Eingaben'!$C$15)</f>
        <v/>
      </c>
      <c r="E1245" s="27">
        <f>IF(D1245="","",D1245*'02_Eingaben'!$C$8)</f>
        <v/>
      </c>
      <c r="F1245" s="27">
        <f>IF(E1245="","",AVERAGE(INDEX($E$2:$E$3001,MAX(1,ROW()-1-'02_Eingaben'!$C$17)):INDEX($E$2:$E$3001,MIN('02_Eingaben'!$C$21,ROW()-1+'02_Eingaben'!$C$17))))</f>
        <v/>
      </c>
      <c r="G1245" s="27">
        <f>IF(F1245="","",F1245-'02_Eingaben'!$C$10)</f>
        <v/>
      </c>
      <c r="H1245">
        <f>IF(F1245="","",IF(F1245&lt;'02_Eingaben'!$C$18*'02_Eingaben'!$C$10,1,0))</f>
        <v/>
      </c>
      <c r="I1245" s="27">
        <f>IF(OR(G1245="",G1246=""),"",(G1245+G1246)/2*(B1246-B1245))</f>
        <v/>
      </c>
      <c r="J1245" s="27">
        <f>IF(B1245="","",IF(B1244&lt;'02_Eingaben'!$C$36,0,J1244+I1244/'02_Eingaben'!$C$8))</f>
        <v/>
      </c>
    </row>
    <row r="1246">
      <c r="A1246">
        <f>IF('01_Rohdaten'!A1246="","",ROW()-1)</f>
        <v/>
      </c>
      <c r="B1246" s="27">
        <f>IF('01_Rohdaten'!A1246="","",'01_Rohdaten'!A1246)</f>
        <v/>
      </c>
      <c r="C1246" s="27">
        <f>IF(B1246="","",INDEX('01_Rohdaten'!B1246:D1246,'02_Eingaben'!$C$13))</f>
        <v/>
      </c>
      <c r="D1246" s="27">
        <f>IF(C1246="","",C1246*'02_Eingaben'!$C$15)</f>
        <v/>
      </c>
      <c r="E1246" s="27">
        <f>IF(D1246="","",D1246*'02_Eingaben'!$C$8)</f>
        <v/>
      </c>
      <c r="F1246" s="27">
        <f>IF(E1246="","",AVERAGE(INDEX($E$2:$E$3001,MAX(1,ROW()-1-'02_Eingaben'!$C$17)):INDEX($E$2:$E$3001,MIN('02_Eingaben'!$C$21,ROW()-1+'02_Eingaben'!$C$17))))</f>
        <v/>
      </c>
      <c r="G1246" s="27">
        <f>IF(F1246="","",F1246-'02_Eingaben'!$C$10)</f>
        <v/>
      </c>
      <c r="H1246">
        <f>IF(F1246="","",IF(F1246&lt;'02_Eingaben'!$C$18*'02_Eingaben'!$C$10,1,0))</f>
        <v/>
      </c>
      <c r="I1246" s="27">
        <f>IF(OR(G1246="",G1247=""),"",(G1246+G1247)/2*(B1247-B1246))</f>
        <v/>
      </c>
      <c r="J1246" s="27">
        <f>IF(B1246="","",IF(B1245&lt;'02_Eingaben'!$C$36,0,J1245+I1245/'02_Eingaben'!$C$8))</f>
        <v/>
      </c>
    </row>
    <row r="1247">
      <c r="A1247">
        <f>IF('01_Rohdaten'!A1247="","",ROW()-1)</f>
        <v/>
      </c>
      <c r="B1247" s="27">
        <f>IF('01_Rohdaten'!A1247="","",'01_Rohdaten'!A1247)</f>
        <v/>
      </c>
      <c r="C1247" s="27">
        <f>IF(B1247="","",INDEX('01_Rohdaten'!B1247:D1247,'02_Eingaben'!$C$13))</f>
        <v/>
      </c>
      <c r="D1247" s="27">
        <f>IF(C1247="","",C1247*'02_Eingaben'!$C$15)</f>
        <v/>
      </c>
      <c r="E1247" s="27">
        <f>IF(D1247="","",D1247*'02_Eingaben'!$C$8)</f>
        <v/>
      </c>
      <c r="F1247" s="27">
        <f>IF(E1247="","",AVERAGE(INDEX($E$2:$E$3001,MAX(1,ROW()-1-'02_Eingaben'!$C$17)):INDEX($E$2:$E$3001,MIN('02_Eingaben'!$C$21,ROW()-1+'02_Eingaben'!$C$17))))</f>
        <v/>
      </c>
      <c r="G1247" s="27">
        <f>IF(F1247="","",F1247-'02_Eingaben'!$C$10)</f>
        <v/>
      </c>
      <c r="H1247">
        <f>IF(F1247="","",IF(F1247&lt;'02_Eingaben'!$C$18*'02_Eingaben'!$C$10,1,0))</f>
        <v/>
      </c>
      <c r="I1247" s="27">
        <f>IF(OR(G1247="",G1248=""),"",(G1247+G1248)/2*(B1248-B1247))</f>
        <v/>
      </c>
      <c r="J1247" s="27">
        <f>IF(B1247="","",IF(B1246&lt;'02_Eingaben'!$C$36,0,J1246+I1246/'02_Eingaben'!$C$8))</f>
        <v/>
      </c>
    </row>
    <row r="1248">
      <c r="A1248">
        <f>IF('01_Rohdaten'!A1248="","",ROW()-1)</f>
        <v/>
      </c>
      <c r="B1248" s="27">
        <f>IF('01_Rohdaten'!A1248="","",'01_Rohdaten'!A1248)</f>
        <v/>
      </c>
      <c r="C1248" s="27">
        <f>IF(B1248="","",INDEX('01_Rohdaten'!B1248:D1248,'02_Eingaben'!$C$13))</f>
        <v/>
      </c>
      <c r="D1248" s="27">
        <f>IF(C1248="","",C1248*'02_Eingaben'!$C$15)</f>
        <v/>
      </c>
      <c r="E1248" s="27">
        <f>IF(D1248="","",D1248*'02_Eingaben'!$C$8)</f>
        <v/>
      </c>
      <c r="F1248" s="27">
        <f>IF(E1248="","",AVERAGE(INDEX($E$2:$E$3001,MAX(1,ROW()-1-'02_Eingaben'!$C$17)):INDEX($E$2:$E$3001,MIN('02_Eingaben'!$C$21,ROW()-1+'02_Eingaben'!$C$17))))</f>
        <v/>
      </c>
      <c r="G1248" s="27">
        <f>IF(F1248="","",F1248-'02_Eingaben'!$C$10)</f>
        <v/>
      </c>
      <c r="H1248">
        <f>IF(F1248="","",IF(F1248&lt;'02_Eingaben'!$C$18*'02_Eingaben'!$C$10,1,0))</f>
        <v/>
      </c>
      <c r="I1248" s="27">
        <f>IF(OR(G1248="",G1249=""),"",(G1248+G1249)/2*(B1249-B1248))</f>
        <v/>
      </c>
      <c r="J1248" s="27">
        <f>IF(B1248="","",IF(B1247&lt;'02_Eingaben'!$C$36,0,J1247+I1247/'02_Eingaben'!$C$8))</f>
        <v/>
      </c>
    </row>
    <row r="1249">
      <c r="A1249">
        <f>IF('01_Rohdaten'!A1249="","",ROW()-1)</f>
        <v/>
      </c>
      <c r="B1249" s="27">
        <f>IF('01_Rohdaten'!A1249="","",'01_Rohdaten'!A1249)</f>
        <v/>
      </c>
      <c r="C1249" s="27">
        <f>IF(B1249="","",INDEX('01_Rohdaten'!B1249:D1249,'02_Eingaben'!$C$13))</f>
        <v/>
      </c>
      <c r="D1249" s="27">
        <f>IF(C1249="","",C1249*'02_Eingaben'!$C$15)</f>
        <v/>
      </c>
      <c r="E1249" s="27">
        <f>IF(D1249="","",D1249*'02_Eingaben'!$C$8)</f>
        <v/>
      </c>
      <c r="F1249" s="27">
        <f>IF(E1249="","",AVERAGE(INDEX($E$2:$E$3001,MAX(1,ROW()-1-'02_Eingaben'!$C$17)):INDEX($E$2:$E$3001,MIN('02_Eingaben'!$C$21,ROW()-1+'02_Eingaben'!$C$17))))</f>
        <v/>
      </c>
      <c r="G1249" s="27">
        <f>IF(F1249="","",F1249-'02_Eingaben'!$C$10)</f>
        <v/>
      </c>
      <c r="H1249">
        <f>IF(F1249="","",IF(F1249&lt;'02_Eingaben'!$C$18*'02_Eingaben'!$C$10,1,0))</f>
        <v/>
      </c>
      <c r="I1249" s="27">
        <f>IF(OR(G1249="",G1250=""),"",(G1249+G1250)/2*(B1250-B1249))</f>
        <v/>
      </c>
      <c r="J1249" s="27">
        <f>IF(B1249="","",IF(B1248&lt;'02_Eingaben'!$C$36,0,J1248+I1248/'02_Eingaben'!$C$8))</f>
        <v/>
      </c>
    </row>
    <row r="1250">
      <c r="A1250">
        <f>IF('01_Rohdaten'!A1250="","",ROW()-1)</f>
        <v/>
      </c>
      <c r="B1250" s="27">
        <f>IF('01_Rohdaten'!A1250="","",'01_Rohdaten'!A1250)</f>
        <v/>
      </c>
      <c r="C1250" s="27">
        <f>IF(B1250="","",INDEX('01_Rohdaten'!B1250:D1250,'02_Eingaben'!$C$13))</f>
        <v/>
      </c>
      <c r="D1250" s="27">
        <f>IF(C1250="","",C1250*'02_Eingaben'!$C$15)</f>
        <v/>
      </c>
      <c r="E1250" s="27">
        <f>IF(D1250="","",D1250*'02_Eingaben'!$C$8)</f>
        <v/>
      </c>
      <c r="F1250" s="27">
        <f>IF(E1250="","",AVERAGE(INDEX($E$2:$E$3001,MAX(1,ROW()-1-'02_Eingaben'!$C$17)):INDEX($E$2:$E$3001,MIN('02_Eingaben'!$C$21,ROW()-1+'02_Eingaben'!$C$17))))</f>
        <v/>
      </c>
      <c r="G1250" s="27">
        <f>IF(F1250="","",F1250-'02_Eingaben'!$C$10)</f>
        <v/>
      </c>
      <c r="H1250">
        <f>IF(F1250="","",IF(F1250&lt;'02_Eingaben'!$C$18*'02_Eingaben'!$C$10,1,0))</f>
        <v/>
      </c>
      <c r="I1250" s="27">
        <f>IF(OR(G1250="",G1251=""),"",(G1250+G1251)/2*(B1251-B1250))</f>
        <v/>
      </c>
      <c r="J1250" s="27">
        <f>IF(B1250="","",IF(B1249&lt;'02_Eingaben'!$C$36,0,J1249+I1249/'02_Eingaben'!$C$8))</f>
        <v/>
      </c>
    </row>
    <row r="1251">
      <c r="A1251">
        <f>IF('01_Rohdaten'!A1251="","",ROW()-1)</f>
        <v/>
      </c>
      <c r="B1251" s="27">
        <f>IF('01_Rohdaten'!A1251="","",'01_Rohdaten'!A1251)</f>
        <v/>
      </c>
      <c r="C1251" s="27">
        <f>IF(B1251="","",INDEX('01_Rohdaten'!B1251:D1251,'02_Eingaben'!$C$13))</f>
        <v/>
      </c>
      <c r="D1251" s="27">
        <f>IF(C1251="","",C1251*'02_Eingaben'!$C$15)</f>
        <v/>
      </c>
      <c r="E1251" s="27">
        <f>IF(D1251="","",D1251*'02_Eingaben'!$C$8)</f>
        <v/>
      </c>
      <c r="F1251" s="27">
        <f>IF(E1251="","",AVERAGE(INDEX($E$2:$E$3001,MAX(1,ROW()-1-'02_Eingaben'!$C$17)):INDEX($E$2:$E$3001,MIN('02_Eingaben'!$C$21,ROW()-1+'02_Eingaben'!$C$17))))</f>
        <v/>
      </c>
      <c r="G1251" s="27">
        <f>IF(F1251="","",F1251-'02_Eingaben'!$C$10)</f>
        <v/>
      </c>
      <c r="H1251">
        <f>IF(F1251="","",IF(F1251&lt;'02_Eingaben'!$C$18*'02_Eingaben'!$C$10,1,0))</f>
        <v/>
      </c>
      <c r="I1251" s="27">
        <f>IF(OR(G1251="",G1252=""),"",(G1251+G1252)/2*(B1252-B1251))</f>
        <v/>
      </c>
      <c r="J1251" s="27">
        <f>IF(B1251="","",IF(B1250&lt;'02_Eingaben'!$C$36,0,J1250+I1250/'02_Eingaben'!$C$8))</f>
        <v/>
      </c>
    </row>
    <row r="1252">
      <c r="A1252">
        <f>IF('01_Rohdaten'!A1252="","",ROW()-1)</f>
        <v/>
      </c>
      <c r="B1252" s="27">
        <f>IF('01_Rohdaten'!A1252="","",'01_Rohdaten'!A1252)</f>
        <v/>
      </c>
      <c r="C1252" s="27">
        <f>IF(B1252="","",INDEX('01_Rohdaten'!B1252:D1252,'02_Eingaben'!$C$13))</f>
        <v/>
      </c>
      <c r="D1252" s="27">
        <f>IF(C1252="","",C1252*'02_Eingaben'!$C$15)</f>
        <v/>
      </c>
      <c r="E1252" s="27">
        <f>IF(D1252="","",D1252*'02_Eingaben'!$C$8)</f>
        <v/>
      </c>
      <c r="F1252" s="27">
        <f>IF(E1252="","",AVERAGE(INDEX($E$2:$E$3001,MAX(1,ROW()-1-'02_Eingaben'!$C$17)):INDEX($E$2:$E$3001,MIN('02_Eingaben'!$C$21,ROW()-1+'02_Eingaben'!$C$17))))</f>
        <v/>
      </c>
      <c r="G1252" s="27">
        <f>IF(F1252="","",F1252-'02_Eingaben'!$C$10)</f>
        <v/>
      </c>
      <c r="H1252">
        <f>IF(F1252="","",IF(F1252&lt;'02_Eingaben'!$C$18*'02_Eingaben'!$C$10,1,0))</f>
        <v/>
      </c>
      <c r="I1252" s="27">
        <f>IF(OR(G1252="",G1253=""),"",(G1252+G1253)/2*(B1253-B1252))</f>
        <v/>
      </c>
      <c r="J1252" s="27">
        <f>IF(B1252="","",IF(B1251&lt;'02_Eingaben'!$C$36,0,J1251+I1251/'02_Eingaben'!$C$8))</f>
        <v/>
      </c>
    </row>
    <row r="1253">
      <c r="A1253">
        <f>IF('01_Rohdaten'!A1253="","",ROW()-1)</f>
        <v/>
      </c>
      <c r="B1253" s="27">
        <f>IF('01_Rohdaten'!A1253="","",'01_Rohdaten'!A1253)</f>
        <v/>
      </c>
      <c r="C1253" s="27">
        <f>IF(B1253="","",INDEX('01_Rohdaten'!B1253:D1253,'02_Eingaben'!$C$13))</f>
        <v/>
      </c>
      <c r="D1253" s="27">
        <f>IF(C1253="","",C1253*'02_Eingaben'!$C$15)</f>
        <v/>
      </c>
      <c r="E1253" s="27">
        <f>IF(D1253="","",D1253*'02_Eingaben'!$C$8)</f>
        <v/>
      </c>
      <c r="F1253" s="27">
        <f>IF(E1253="","",AVERAGE(INDEX($E$2:$E$3001,MAX(1,ROW()-1-'02_Eingaben'!$C$17)):INDEX($E$2:$E$3001,MIN('02_Eingaben'!$C$21,ROW()-1+'02_Eingaben'!$C$17))))</f>
        <v/>
      </c>
      <c r="G1253" s="27">
        <f>IF(F1253="","",F1253-'02_Eingaben'!$C$10)</f>
        <v/>
      </c>
      <c r="H1253">
        <f>IF(F1253="","",IF(F1253&lt;'02_Eingaben'!$C$18*'02_Eingaben'!$C$10,1,0))</f>
        <v/>
      </c>
      <c r="I1253" s="27">
        <f>IF(OR(G1253="",G1254=""),"",(G1253+G1254)/2*(B1254-B1253))</f>
        <v/>
      </c>
      <c r="J1253" s="27">
        <f>IF(B1253="","",IF(B1252&lt;'02_Eingaben'!$C$36,0,J1252+I1252/'02_Eingaben'!$C$8))</f>
        <v/>
      </c>
    </row>
    <row r="1254">
      <c r="A1254">
        <f>IF('01_Rohdaten'!A1254="","",ROW()-1)</f>
        <v/>
      </c>
      <c r="B1254" s="27">
        <f>IF('01_Rohdaten'!A1254="","",'01_Rohdaten'!A1254)</f>
        <v/>
      </c>
      <c r="C1254" s="27">
        <f>IF(B1254="","",INDEX('01_Rohdaten'!B1254:D1254,'02_Eingaben'!$C$13))</f>
        <v/>
      </c>
      <c r="D1254" s="27">
        <f>IF(C1254="","",C1254*'02_Eingaben'!$C$15)</f>
        <v/>
      </c>
      <c r="E1254" s="27">
        <f>IF(D1254="","",D1254*'02_Eingaben'!$C$8)</f>
        <v/>
      </c>
      <c r="F1254" s="27">
        <f>IF(E1254="","",AVERAGE(INDEX($E$2:$E$3001,MAX(1,ROW()-1-'02_Eingaben'!$C$17)):INDEX($E$2:$E$3001,MIN('02_Eingaben'!$C$21,ROW()-1+'02_Eingaben'!$C$17))))</f>
        <v/>
      </c>
      <c r="G1254" s="27">
        <f>IF(F1254="","",F1254-'02_Eingaben'!$C$10)</f>
        <v/>
      </c>
      <c r="H1254">
        <f>IF(F1254="","",IF(F1254&lt;'02_Eingaben'!$C$18*'02_Eingaben'!$C$10,1,0))</f>
        <v/>
      </c>
      <c r="I1254" s="27">
        <f>IF(OR(G1254="",G1255=""),"",(G1254+G1255)/2*(B1255-B1254))</f>
        <v/>
      </c>
      <c r="J1254" s="27">
        <f>IF(B1254="","",IF(B1253&lt;'02_Eingaben'!$C$36,0,J1253+I1253/'02_Eingaben'!$C$8))</f>
        <v/>
      </c>
    </row>
    <row r="1255">
      <c r="A1255">
        <f>IF('01_Rohdaten'!A1255="","",ROW()-1)</f>
        <v/>
      </c>
      <c r="B1255" s="27">
        <f>IF('01_Rohdaten'!A1255="","",'01_Rohdaten'!A1255)</f>
        <v/>
      </c>
      <c r="C1255" s="27">
        <f>IF(B1255="","",INDEX('01_Rohdaten'!B1255:D1255,'02_Eingaben'!$C$13))</f>
        <v/>
      </c>
      <c r="D1255" s="27">
        <f>IF(C1255="","",C1255*'02_Eingaben'!$C$15)</f>
        <v/>
      </c>
      <c r="E1255" s="27">
        <f>IF(D1255="","",D1255*'02_Eingaben'!$C$8)</f>
        <v/>
      </c>
      <c r="F1255" s="27">
        <f>IF(E1255="","",AVERAGE(INDEX($E$2:$E$3001,MAX(1,ROW()-1-'02_Eingaben'!$C$17)):INDEX($E$2:$E$3001,MIN('02_Eingaben'!$C$21,ROW()-1+'02_Eingaben'!$C$17))))</f>
        <v/>
      </c>
      <c r="G1255" s="27">
        <f>IF(F1255="","",F1255-'02_Eingaben'!$C$10)</f>
        <v/>
      </c>
      <c r="H1255">
        <f>IF(F1255="","",IF(F1255&lt;'02_Eingaben'!$C$18*'02_Eingaben'!$C$10,1,0))</f>
        <v/>
      </c>
      <c r="I1255" s="27">
        <f>IF(OR(G1255="",G1256=""),"",(G1255+G1256)/2*(B1256-B1255))</f>
        <v/>
      </c>
      <c r="J1255" s="27">
        <f>IF(B1255="","",IF(B1254&lt;'02_Eingaben'!$C$36,0,J1254+I1254/'02_Eingaben'!$C$8))</f>
        <v/>
      </c>
    </row>
    <row r="1256">
      <c r="A1256">
        <f>IF('01_Rohdaten'!A1256="","",ROW()-1)</f>
        <v/>
      </c>
      <c r="B1256" s="27">
        <f>IF('01_Rohdaten'!A1256="","",'01_Rohdaten'!A1256)</f>
        <v/>
      </c>
      <c r="C1256" s="27">
        <f>IF(B1256="","",INDEX('01_Rohdaten'!B1256:D1256,'02_Eingaben'!$C$13))</f>
        <v/>
      </c>
      <c r="D1256" s="27">
        <f>IF(C1256="","",C1256*'02_Eingaben'!$C$15)</f>
        <v/>
      </c>
      <c r="E1256" s="27">
        <f>IF(D1256="","",D1256*'02_Eingaben'!$C$8)</f>
        <v/>
      </c>
      <c r="F1256" s="27">
        <f>IF(E1256="","",AVERAGE(INDEX($E$2:$E$3001,MAX(1,ROW()-1-'02_Eingaben'!$C$17)):INDEX($E$2:$E$3001,MIN('02_Eingaben'!$C$21,ROW()-1+'02_Eingaben'!$C$17))))</f>
        <v/>
      </c>
      <c r="G1256" s="27">
        <f>IF(F1256="","",F1256-'02_Eingaben'!$C$10)</f>
        <v/>
      </c>
      <c r="H1256">
        <f>IF(F1256="","",IF(F1256&lt;'02_Eingaben'!$C$18*'02_Eingaben'!$C$10,1,0))</f>
        <v/>
      </c>
      <c r="I1256" s="27">
        <f>IF(OR(G1256="",G1257=""),"",(G1256+G1257)/2*(B1257-B1256))</f>
        <v/>
      </c>
      <c r="J1256" s="27">
        <f>IF(B1256="","",IF(B1255&lt;'02_Eingaben'!$C$36,0,J1255+I1255/'02_Eingaben'!$C$8))</f>
        <v/>
      </c>
    </row>
    <row r="1257">
      <c r="A1257">
        <f>IF('01_Rohdaten'!A1257="","",ROW()-1)</f>
        <v/>
      </c>
      <c r="B1257" s="27">
        <f>IF('01_Rohdaten'!A1257="","",'01_Rohdaten'!A1257)</f>
        <v/>
      </c>
      <c r="C1257" s="27">
        <f>IF(B1257="","",INDEX('01_Rohdaten'!B1257:D1257,'02_Eingaben'!$C$13))</f>
        <v/>
      </c>
      <c r="D1257" s="27">
        <f>IF(C1257="","",C1257*'02_Eingaben'!$C$15)</f>
        <v/>
      </c>
      <c r="E1257" s="27">
        <f>IF(D1257="","",D1257*'02_Eingaben'!$C$8)</f>
        <v/>
      </c>
      <c r="F1257" s="27">
        <f>IF(E1257="","",AVERAGE(INDEX($E$2:$E$3001,MAX(1,ROW()-1-'02_Eingaben'!$C$17)):INDEX($E$2:$E$3001,MIN('02_Eingaben'!$C$21,ROW()-1+'02_Eingaben'!$C$17))))</f>
        <v/>
      </c>
      <c r="G1257" s="27">
        <f>IF(F1257="","",F1257-'02_Eingaben'!$C$10)</f>
        <v/>
      </c>
      <c r="H1257">
        <f>IF(F1257="","",IF(F1257&lt;'02_Eingaben'!$C$18*'02_Eingaben'!$C$10,1,0))</f>
        <v/>
      </c>
      <c r="I1257" s="27">
        <f>IF(OR(G1257="",G1258=""),"",(G1257+G1258)/2*(B1258-B1257))</f>
        <v/>
      </c>
      <c r="J1257" s="27">
        <f>IF(B1257="","",IF(B1256&lt;'02_Eingaben'!$C$36,0,J1256+I1256/'02_Eingaben'!$C$8))</f>
        <v/>
      </c>
    </row>
    <row r="1258">
      <c r="A1258">
        <f>IF('01_Rohdaten'!A1258="","",ROW()-1)</f>
        <v/>
      </c>
      <c r="B1258" s="27">
        <f>IF('01_Rohdaten'!A1258="","",'01_Rohdaten'!A1258)</f>
        <v/>
      </c>
      <c r="C1258" s="27">
        <f>IF(B1258="","",INDEX('01_Rohdaten'!B1258:D1258,'02_Eingaben'!$C$13))</f>
        <v/>
      </c>
      <c r="D1258" s="27">
        <f>IF(C1258="","",C1258*'02_Eingaben'!$C$15)</f>
        <v/>
      </c>
      <c r="E1258" s="27">
        <f>IF(D1258="","",D1258*'02_Eingaben'!$C$8)</f>
        <v/>
      </c>
      <c r="F1258" s="27">
        <f>IF(E1258="","",AVERAGE(INDEX($E$2:$E$3001,MAX(1,ROW()-1-'02_Eingaben'!$C$17)):INDEX($E$2:$E$3001,MIN('02_Eingaben'!$C$21,ROW()-1+'02_Eingaben'!$C$17))))</f>
        <v/>
      </c>
      <c r="G1258" s="27">
        <f>IF(F1258="","",F1258-'02_Eingaben'!$C$10)</f>
        <v/>
      </c>
      <c r="H1258">
        <f>IF(F1258="","",IF(F1258&lt;'02_Eingaben'!$C$18*'02_Eingaben'!$C$10,1,0))</f>
        <v/>
      </c>
      <c r="I1258" s="27">
        <f>IF(OR(G1258="",G1259=""),"",(G1258+G1259)/2*(B1259-B1258))</f>
        <v/>
      </c>
      <c r="J1258" s="27">
        <f>IF(B1258="","",IF(B1257&lt;'02_Eingaben'!$C$36,0,J1257+I1257/'02_Eingaben'!$C$8))</f>
        <v/>
      </c>
    </row>
    <row r="1259">
      <c r="A1259">
        <f>IF('01_Rohdaten'!A1259="","",ROW()-1)</f>
        <v/>
      </c>
      <c r="B1259" s="27">
        <f>IF('01_Rohdaten'!A1259="","",'01_Rohdaten'!A1259)</f>
        <v/>
      </c>
      <c r="C1259" s="27">
        <f>IF(B1259="","",INDEX('01_Rohdaten'!B1259:D1259,'02_Eingaben'!$C$13))</f>
        <v/>
      </c>
      <c r="D1259" s="27">
        <f>IF(C1259="","",C1259*'02_Eingaben'!$C$15)</f>
        <v/>
      </c>
      <c r="E1259" s="27">
        <f>IF(D1259="","",D1259*'02_Eingaben'!$C$8)</f>
        <v/>
      </c>
      <c r="F1259" s="27">
        <f>IF(E1259="","",AVERAGE(INDEX($E$2:$E$3001,MAX(1,ROW()-1-'02_Eingaben'!$C$17)):INDEX($E$2:$E$3001,MIN('02_Eingaben'!$C$21,ROW()-1+'02_Eingaben'!$C$17))))</f>
        <v/>
      </c>
      <c r="G1259" s="27">
        <f>IF(F1259="","",F1259-'02_Eingaben'!$C$10)</f>
        <v/>
      </c>
      <c r="H1259">
        <f>IF(F1259="","",IF(F1259&lt;'02_Eingaben'!$C$18*'02_Eingaben'!$C$10,1,0))</f>
        <v/>
      </c>
      <c r="I1259" s="27">
        <f>IF(OR(G1259="",G1260=""),"",(G1259+G1260)/2*(B1260-B1259))</f>
        <v/>
      </c>
      <c r="J1259" s="27">
        <f>IF(B1259="","",IF(B1258&lt;'02_Eingaben'!$C$36,0,J1258+I1258/'02_Eingaben'!$C$8))</f>
        <v/>
      </c>
    </row>
    <row r="1260">
      <c r="A1260">
        <f>IF('01_Rohdaten'!A1260="","",ROW()-1)</f>
        <v/>
      </c>
      <c r="B1260" s="27">
        <f>IF('01_Rohdaten'!A1260="","",'01_Rohdaten'!A1260)</f>
        <v/>
      </c>
      <c r="C1260" s="27">
        <f>IF(B1260="","",INDEX('01_Rohdaten'!B1260:D1260,'02_Eingaben'!$C$13))</f>
        <v/>
      </c>
      <c r="D1260" s="27">
        <f>IF(C1260="","",C1260*'02_Eingaben'!$C$15)</f>
        <v/>
      </c>
      <c r="E1260" s="27">
        <f>IF(D1260="","",D1260*'02_Eingaben'!$C$8)</f>
        <v/>
      </c>
      <c r="F1260" s="27">
        <f>IF(E1260="","",AVERAGE(INDEX($E$2:$E$3001,MAX(1,ROW()-1-'02_Eingaben'!$C$17)):INDEX($E$2:$E$3001,MIN('02_Eingaben'!$C$21,ROW()-1+'02_Eingaben'!$C$17))))</f>
        <v/>
      </c>
      <c r="G1260" s="27">
        <f>IF(F1260="","",F1260-'02_Eingaben'!$C$10)</f>
        <v/>
      </c>
      <c r="H1260">
        <f>IF(F1260="","",IF(F1260&lt;'02_Eingaben'!$C$18*'02_Eingaben'!$C$10,1,0))</f>
        <v/>
      </c>
      <c r="I1260" s="27">
        <f>IF(OR(G1260="",G1261=""),"",(G1260+G1261)/2*(B1261-B1260))</f>
        <v/>
      </c>
      <c r="J1260" s="27">
        <f>IF(B1260="","",IF(B1259&lt;'02_Eingaben'!$C$36,0,J1259+I1259/'02_Eingaben'!$C$8))</f>
        <v/>
      </c>
    </row>
    <row r="1261">
      <c r="A1261">
        <f>IF('01_Rohdaten'!A1261="","",ROW()-1)</f>
        <v/>
      </c>
      <c r="B1261" s="27">
        <f>IF('01_Rohdaten'!A1261="","",'01_Rohdaten'!A1261)</f>
        <v/>
      </c>
      <c r="C1261" s="27">
        <f>IF(B1261="","",INDEX('01_Rohdaten'!B1261:D1261,'02_Eingaben'!$C$13))</f>
        <v/>
      </c>
      <c r="D1261" s="27">
        <f>IF(C1261="","",C1261*'02_Eingaben'!$C$15)</f>
        <v/>
      </c>
      <c r="E1261" s="27">
        <f>IF(D1261="","",D1261*'02_Eingaben'!$C$8)</f>
        <v/>
      </c>
      <c r="F1261" s="27">
        <f>IF(E1261="","",AVERAGE(INDEX($E$2:$E$3001,MAX(1,ROW()-1-'02_Eingaben'!$C$17)):INDEX($E$2:$E$3001,MIN('02_Eingaben'!$C$21,ROW()-1+'02_Eingaben'!$C$17))))</f>
        <v/>
      </c>
      <c r="G1261" s="27">
        <f>IF(F1261="","",F1261-'02_Eingaben'!$C$10)</f>
        <v/>
      </c>
      <c r="H1261">
        <f>IF(F1261="","",IF(F1261&lt;'02_Eingaben'!$C$18*'02_Eingaben'!$C$10,1,0))</f>
        <v/>
      </c>
      <c r="I1261" s="27">
        <f>IF(OR(G1261="",G1262=""),"",(G1261+G1262)/2*(B1262-B1261))</f>
        <v/>
      </c>
      <c r="J1261" s="27">
        <f>IF(B1261="","",IF(B1260&lt;'02_Eingaben'!$C$36,0,J1260+I1260/'02_Eingaben'!$C$8))</f>
        <v/>
      </c>
    </row>
    <row r="1262">
      <c r="A1262">
        <f>IF('01_Rohdaten'!A1262="","",ROW()-1)</f>
        <v/>
      </c>
      <c r="B1262" s="27">
        <f>IF('01_Rohdaten'!A1262="","",'01_Rohdaten'!A1262)</f>
        <v/>
      </c>
      <c r="C1262" s="27">
        <f>IF(B1262="","",INDEX('01_Rohdaten'!B1262:D1262,'02_Eingaben'!$C$13))</f>
        <v/>
      </c>
      <c r="D1262" s="27">
        <f>IF(C1262="","",C1262*'02_Eingaben'!$C$15)</f>
        <v/>
      </c>
      <c r="E1262" s="27">
        <f>IF(D1262="","",D1262*'02_Eingaben'!$C$8)</f>
        <v/>
      </c>
      <c r="F1262" s="27">
        <f>IF(E1262="","",AVERAGE(INDEX($E$2:$E$3001,MAX(1,ROW()-1-'02_Eingaben'!$C$17)):INDEX($E$2:$E$3001,MIN('02_Eingaben'!$C$21,ROW()-1+'02_Eingaben'!$C$17))))</f>
        <v/>
      </c>
      <c r="G1262" s="27">
        <f>IF(F1262="","",F1262-'02_Eingaben'!$C$10)</f>
        <v/>
      </c>
      <c r="H1262">
        <f>IF(F1262="","",IF(F1262&lt;'02_Eingaben'!$C$18*'02_Eingaben'!$C$10,1,0))</f>
        <v/>
      </c>
      <c r="I1262" s="27">
        <f>IF(OR(G1262="",G1263=""),"",(G1262+G1263)/2*(B1263-B1262))</f>
        <v/>
      </c>
      <c r="J1262" s="27">
        <f>IF(B1262="","",IF(B1261&lt;'02_Eingaben'!$C$36,0,J1261+I1261/'02_Eingaben'!$C$8))</f>
        <v/>
      </c>
    </row>
    <row r="1263">
      <c r="A1263">
        <f>IF('01_Rohdaten'!A1263="","",ROW()-1)</f>
        <v/>
      </c>
      <c r="B1263" s="27">
        <f>IF('01_Rohdaten'!A1263="","",'01_Rohdaten'!A1263)</f>
        <v/>
      </c>
      <c r="C1263" s="27">
        <f>IF(B1263="","",INDEX('01_Rohdaten'!B1263:D1263,'02_Eingaben'!$C$13))</f>
        <v/>
      </c>
      <c r="D1263" s="27">
        <f>IF(C1263="","",C1263*'02_Eingaben'!$C$15)</f>
        <v/>
      </c>
      <c r="E1263" s="27">
        <f>IF(D1263="","",D1263*'02_Eingaben'!$C$8)</f>
        <v/>
      </c>
      <c r="F1263" s="27">
        <f>IF(E1263="","",AVERAGE(INDEX($E$2:$E$3001,MAX(1,ROW()-1-'02_Eingaben'!$C$17)):INDEX($E$2:$E$3001,MIN('02_Eingaben'!$C$21,ROW()-1+'02_Eingaben'!$C$17))))</f>
        <v/>
      </c>
      <c r="G1263" s="27">
        <f>IF(F1263="","",F1263-'02_Eingaben'!$C$10)</f>
        <v/>
      </c>
      <c r="H1263">
        <f>IF(F1263="","",IF(F1263&lt;'02_Eingaben'!$C$18*'02_Eingaben'!$C$10,1,0))</f>
        <v/>
      </c>
      <c r="I1263" s="27">
        <f>IF(OR(G1263="",G1264=""),"",(G1263+G1264)/2*(B1264-B1263))</f>
        <v/>
      </c>
      <c r="J1263" s="27">
        <f>IF(B1263="","",IF(B1262&lt;'02_Eingaben'!$C$36,0,J1262+I1262/'02_Eingaben'!$C$8))</f>
        <v/>
      </c>
    </row>
    <row r="1264">
      <c r="A1264">
        <f>IF('01_Rohdaten'!A1264="","",ROW()-1)</f>
        <v/>
      </c>
      <c r="B1264" s="27">
        <f>IF('01_Rohdaten'!A1264="","",'01_Rohdaten'!A1264)</f>
        <v/>
      </c>
      <c r="C1264" s="27">
        <f>IF(B1264="","",INDEX('01_Rohdaten'!B1264:D1264,'02_Eingaben'!$C$13))</f>
        <v/>
      </c>
      <c r="D1264" s="27">
        <f>IF(C1264="","",C1264*'02_Eingaben'!$C$15)</f>
        <v/>
      </c>
      <c r="E1264" s="27">
        <f>IF(D1264="","",D1264*'02_Eingaben'!$C$8)</f>
        <v/>
      </c>
      <c r="F1264" s="27">
        <f>IF(E1264="","",AVERAGE(INDEX($E$2:$E$3001,MAX(1,ROW()-1-'02_Eingaben'!$C$17)):INDEX($E$2:$E$3001,MIN('02_Eingaben'!$C$21,ROW()-1+'02_Eingaben'!$C$17))))</f>
        <v/>
      </c>
      <c r="G1264" s="27">
        <f>IF(F1264="","",F1264-'02_Eingaben'!$C$10)</f>
        <v/>
      </c>
      <c r="H1264">
        <f>IF(F1264="","",IF(F1264&lt;'02_Eingaben'!$C$18*'02_Eingaben'!$C$10,1,0))</f>
        <v/>
      </c>
      <c r="I1264" s="27">
        <f>IF(OR(G1264="",G1265=""),"",(G1264+G1265)/2*(B1265-B1264))</f>
        <v/>
      </c>
      <c r="J1264" s="27">
        <f>IF(B1264="","",IF(B1263&lt;'02_Eingaben'!$C$36,0,J1263+I1263/'02_Eingaben'!$C$8))</f>
        <v/>
      </c>
    </row>
    <row r="1265">
      <c r="A1265">
        <f>IF('01_Rohdaten'!A1265="","",ROW()-1)</f>
        <v/>
      </c>
      <c r="B1265" s="27">
        <f>IF('01_Rohdaten'!A1265="","",'01_Rohdaten'!A1265)</f>
        <v/>
      </c>
      <c r="C1265" s="27">
        <f>IF(B1265="","",INDEX('01_Rohdaten'!B1265:D1265,'02_Eingaben'!$C$13))</f>
        <v/>
      </c>
      <c r="D1265" s="27">
        <f>IF(C1265="","",C1265*'02_Eingaben'!$C$15)</f>
        <v/>
      </c>
      <c r="E1265" s="27">
        <f>IF(D1265="","",D1265*'02_Eingaben'!$C$8)</f>
        <v/>
      </c>
      <c r="F1265" s="27">
        <f>IF(E1265="","",AVERAGE(INDEX($E$2:$E$3001,MAX(1,ROW()-1-'02_Eingaben'!$C$17)):INDEX($E$2:$E$3001,MIN('02_Eingaben'!$C$21,ROW()-1+'02_Eingaben'!$C$17))))</f>
        <v/>
      </c>
      <c r="G1265" s="27">
        <f>IF(F1265="","",F1265-'02_Eingaben'!$C$10)</f>
        <v/>
      </c>
      <c r="H1265">
        <f>IF(F1265="","",IF(F1265&lt;'02_Eingaben'!$C$18*'02_Eingaben'!$C$10,1,0))</f>
        <v/>
      </c>
      <c r="I1265" s="27">
        <f>IF(OR(G1265="",G1266=""),"",(G1265+G1266)/2*(B1266-B1265))</f>
        <v/>
      </c>
      <c r="J1265" s="27">
        <f>IF(B1265="","",IF(B1264&lt;'02_Eingaben'!$C$36,0,J1264+I1264/'02_Eingaben'!$C$8))</f>
        <v/>
      </c>
    </row>
    <row r="1266">
      <c r="A1266">
        <f>IF('01_Rohdaten'!A1266="","",ROW()-1)</f>
        <v/>
      </c>
      <c r="B1266" s="27">
        <f>IF('01_Rohdaten'!A1266="","",'01_Rohdaten'!A1266)</f>
        <v/>
      </c>
      <c r="C1266" s="27">
        <f>IF(B1266="","",INDEX('01_Rohdaten'!B1266:D1266,'02_Eingaben'!$C$13))</f>
        <v/>
      </c>
      <c r="D1266" s="27">
        <f>IF(C1266="","",C1266*'02_Eingaben'!$C$15)</f>
        <v/>
      </c>
      <c r="E1266" s="27">
        <f>IF(D1266="","",D1266*'02_Eingaben'!$C$8)</f>
        <v/>
      </c>
      <c r="F1266" s="27">
        <f>IF(E1266="","",AVERAGE(INDEX($E$2:$E$3001,MAX(1,ROW()-1-'02_Eingaben'!$C$17)):INDEX($E$2:$E$3001,MIN('02_Eingaben'!$C$21,ROW()-1+'02_Eingaben'!$C$17))))</f>
        <v/>
      </c>
      <c r="G1266" s="27">
        <f>IF(F1266="","",F1266-'02_Eingaben'!$C$10)</f>
        <v/>
      </c>
      <c r="H1266">
        <f>IF(F1266="","",IF(F1266&lt;'02_Eingaben'!$C$18*'02_Eingaben'!$C$10,1,0))</f>
        <v/>
      </c>
      <c r="I1266" s="27">
        <f>IF(OR(G1266="",G1267=""),"",(G1266+G1267)/2*(B1267-B1266))</f>
        <v/>
      </c>
      <c r="J1266" s="27">
        <f>IF(B1266="","",IF(B1265&lt;'02_Eingaben'!$C$36,0,J1265+I1265/'02_Eingaben'!$C$8))</f>
        <v/>
      </c>
    </row>
    <row r="1267">
      <c r="A1267">
        <f>IF('01_Rohdaten'!A1267="","",ROW()-1)</f>
        <v/>
      </c>
      <c r="B1267" s="27">
        <f>IF('01_Rohdaten'!A1267="","",'01_Rohdaten'!A1267)</f>
        <v/>
      </c>
      <c r="C1267" s="27">
        <f>IF(B1267="","",INDEX('01_Rohdaten'!B1267:D1267,'02_Eingaben'!$C$13))</f>
        <v/>
      </c>
      <c r="D1267" s="27">
        <f>IF(C1267="","",C1267*'02_Eingaben'!$C$15)</f>
        <v/>
      </c>
      <c r="E1267" s="27">
        <f>IF(D1267="","",D1267*'02_Eingaben'!$C$8)</f>
        <v/>
      </c>
      <c r="F1267" s="27">
        <f>IF(E1267="","",AVERAGE(INDEX($E$2:$E$3001,MAX(1,ROW()-1-'02_Eingaben'!$C$17)):INDEX($E$2:$E$3001,MIN('02_Eingaben'!$C$21,ROW()-1+'02_Eingaben'!$C$17))))</f>
        <v/>
      </c>
      <c r="G1267" s="27">
        <f>IF(F1267="","",F1267-'02_Eingaben'!$C$10)</f>
        <v/>
      </c>
      <c r="H1267">
        <f>IF(F1267="","",IF(F1267&lt;'02_Eingaben'!$C$18*'02_Eingaben'!$C$10,1,0))</f>
        <v/>
      </c>
      <c r="I1267" s="27">
        <f>IF(OR(G1267="",G1268=""),"",(G1267+G1268)/2*(B1268-B1267))</f>
        <v/>
      </c>
      <c r="J1267" s="27">
        <f>IF(B1267="","",IF(B1266&lt;'02_Eingaben'!$C$36,0,J1266+I1266/'02_Eingaben'!$C$8))</f>
        <v/>
      </c>
    </row>
    <row r="1268">
      <c r="A1268">
        <f>IF('01_Rohdaten'!A1268="","",ROW()-1)</f>
        <v/>
      </c>
      <c r="B1268" s="27">
        <f>IF('01_Rohdaten'!A1268="","",'01_Rohdaten'!A1268)</f>
        <v/>
      </c>
      <c r="C1268" s="27">
        <f>IF(B1268="","",INDEX('01_Rohdaten'!B1268:D1268,'02_Eingaben'!$C$13))</f>
        <v/>
      </c>
      <c r="D1268" s="27">
        <f>IF(C1268="","",C1268*'02_Eingaben'!$C$15)</f>
        <v/>
      </c>
      <c r="E1268" s="27">
        <f>IF(D1268="","",D1268*'02_Eingaben'!$C$8)</f>
        <v/>
      </c>
      <c r="F1268" s="27">
        <f>IF(E1268="","",AVERAGE(INDEX($E$2:$E$3001,MAX(1,ROW()-1-'02_Eingaben'!$C$17)):INDEX($E$2:$E$3001,MIN('02_Eingaben'!$C$21,ROW()-1+'02_Eingaben'!$C$17))))</f>
        <v/>
      </c>
      <c r="G1268" s="27">
        <f>IF(F1268="","",F1268-'02_Eingaben'!$C$10)</f>
        <v/>
      </c>
      <c r="H1268">
        <f>IF(F1268="","",IF(F1268&lt;'02_Eingaben'!$C$18*'02_Eingaben'!$C$10,1,0))</f>
        <v/>
      </c>
      <c r="I1268" s="27">
        <f>IF(OR(G1268="",G1269=""),"",(G1268+G1269)/2*(B1269-B1268))</f>
        <v/>
      </c>
      <c r="J1268" s="27">
        <f>IF(B1268="","",IF(B1267&lt;'02_Eingaben'!$C$36,0,J1267+I1267/'02_Eingaben'!$C$8))</f>
        <v/>
      </c>
    </row>
    <row r="1269">
      <c r="A1269">
        <f>IF('01_Rohdaten'!A1269="","",ROW()-1)</f>
        <v/>
      </c>
      <c r="B1269" s="27">
        <f>IF('01_Rohdaten'!A1269="","",'01_Rohdaten'!A1269)</f>
        <v/>
      </c>
      <c r="C1269" s="27">
        <f>IF(B1269="","",INDEX('01_Rohdaten'!B1269:D1269,'02_Eingaben'!$C$13))</f>
        <v/>
      </c>
      <c r="D1269" s="27">
        <f>IF(C1269="","",C1269*'02_Eingaben'!$C$15)</f>
        <v/>
      </c>
      <c r="E1269" s="27">
        <f>IF(D1269="","",D1269*'02_Eingaben'!$C$8)</f>
        <v/>
      </c>
      <c r="F1269" s="27">
        <f>IF(E1269="","",AVERAGE(INDEX($E$2:$E$3001,MAX(1,ROW()-1-'02_Eingaben'!$C$17)):INDEX($E$2:$E$3001,MIN('02_Eingaben'!$C$21,ROW()-1+'02_Eingaben'!$C$17))))</f>
        <v/>
      </c>
      <c r="G1269" s="27">
        <f>IF(F1269="","",F1269-'02_Eingaben'!$C$10)</f>
        <v/>
      </c>
      <c r="H1269">
        <f>IF(F1269="","",IF(F1269&lt;'02_Eingaben'!$C$18*'02_Eingaben'!$C$10,1,0))</f>
        <v/>
      </c>
      <c r="I1269" s="27">
        <f>IF(OR(G1269="",G1270=""),"",(G1269+G1270)/2*(B1270-B1269))</f>
        <v/>
      </c>
      <c r="J1269" s="27">
        <f>IF(B1269="","",IF(B1268&lt;'02_Eingaben'!$C$36,0,J1268+I1268/'02_Eingaben'!$C$8))</f>
        <v/>
      </c>
    </row>
    <row r="1270">
      <c r="A1270">
        <f>IF('01_Rohdaten'!A1270="","",ROW()-1)</f>
        <v/>
      </c>
      <c r="B1270" s="27">
        <f>IF('01_Rohdaten'!A1270="","",'01_Rohdaten'!A1270)</f>
        <v/>
      </c>
      <c r="C1270" s="27">
        <f>IF(B1270="","",INDEX('01_Rohdaten'!B1270:D1270,'02_Eingaben'!$C$13))</f>
        <v/>
      </c>
      <c r="D1270" s="27">
        <f>IF(C1270="","",C1270*'02_Eingaben'!$C$15)</f>
        <v/>
      </c>
      <c r="E1270" s="27">
        <f>IF(D1270="","",D1270*'02_Eingaben'!$C$8)</f>
        <v/>
      </c>
      <c r="F1270" s="27">
        <f>IF(E1270="","",AVERAGE(INDEX($E$2:$E$3001,MAX(1,ROW()-1-'02_Eingaben'!$C$17)):INDEX($E$2:$E$3001,MIN('02_Eingaben'!$C$21,ROW()-1+'02_Eingaben'!$C$17))))</f>
        <v/>
      </c>
      <c r="G1270" s="27">
        <f>IF(F1270="","",F1270-'02_Eingaben'!$C$10)</f>
        <v/>
      </c>
      <c r="H1270">
        <f>IF(F1270="","",IF(F1270&lt;'02_Eingaben'!$C$18*'02_Eingaben'!$C$10,1,0))</f>
        <v/>
      </c>
      <c r="I1270" s="27">
        <f>IF(OR(G1270="",G1271=""),"",(G1270+G1271)/2*(B1271-B1270))</f>
        <v/>
      </c>
      <c r="J1270" s="27">
        <f>IF(B1270="","",IF(B1269&lt;'02_Eingaben'!$C$36,0,J1269+I1269/'02_Eingaben'!$C$8))</f>
        <v/>
      </c>
    </row>
    <row r="1271">
      <c r="A1271">
        <f>IF('01_Rohdaten'!A1271="","",ROW()-1)</f>
        <v/>
      </c>
      <c r="B1271" s="27">
        <f>IF('01_Rohdaten'!A1271="","",'01_Rohdaten'!A1271)</f>
        <v/>
      </c>
      <c r="C1271" s="27">
        <f>IF(B1271="","",INDEX('01_Rohdaten'!B1271:D1271,'02_Eingaben'!$C$13))</f>
        <v/>
      </c>
      <c r="D1271" s="27">
        <f>IF(C1271="","",C1271*'02_Eingaben'!$C$15)</f>
        <v/>
      </c>
      <c r="E1271" s="27">
        <f>IF(D1271="","",D1271*'02_Eingaben'!$C$8)</f>
        <v/>
      </c>
      <c r="F1271" s="27">
        <f>IF(E1271="","",AVERAGE(INDEX($E$2:$E$3001,MAX(1,ROW()-1-'02_Eingaben'!$C$17)):INDEX($E$2:$E$3001,MIN('02_Eingaben'!$C$21,ROW()-1+'02_Eingaben'!$C$17))))</f>
        <v/>
      </c>
      <c r="G1271" s="27">
        <f>IF(F1271="","",F1271-'02_Eingaben'!$C$10)</f>
        <v/>
      </c>
      <c r="H1271">
        <f>IF(F1271="","",IF(F1271&lt;'02_Eingaben'!$C$18*'02_Eingaben'!$C$10,1,0))</f>
        <v/>
      </c>
      <c r="I1271" s="27">
        <f>IF(OR(G1271="",G1272=""),"",(G1271+G1272)/2*(B1272-B1271))</f>
        <v/>
      </c>
      <c r="J1271" s="27">
        <f>IF(B1271="","",IF(B1270&lt;'02_Eingaben'!$C$36,0,J1270+I1270/'02_Eingaben'!$C$8))</f>
        <v/>
      </c>
    </row>
    <row r="1272">
      <c r="A1272">
        <f>IF('01_Rohdaten'!A1272="","",ROW()-1)</f>
        <v/>
      </c>
      <c r="B1272" s="27">
        <f>IF('01_Rohdaten'!A1272="","",'01_Rohdaten'!A1272)</f>
        <v/>
      </c>
      <c r="C1272" s="27">
        <f>IF(B1272="","",INDEX('01_Rohdaten'!B1272:D1272,'02_Eingaben'!$C$13))</f>
        <v/>
      </c>
      <c r="D1272" s="27">
        <f>IF(C1272="","",C1272*'02_Eingaben'!$C$15)</f>
        <v/>
      </c>
      <c r="E1272" s="27">
        <f>IF(D1272="","",D1272*'02_Eingaben'!$C$8)</f>
        <v/>
      </c>
      <c r="F1272" s="27">
        <f>IF(E1272="","",AVERAGE(INDEX($E$2:$E$3001,MAX(1,ROW()-1-'02_Eingaben'!$C$17)):INDEX($E$2:$E$3001,MIN('02_Eingaben'!$C$21,ROW()-1+'02_Eingaben'!$C$17))))</f>
        <v/>
      </c>
      <c r="G1272" s="27">
        <f>IF(F1272="","",F1272-'02_Eingaben'!$C$10)</f>
        <v/>
      </c>
      <c r="H1272">
        <f>IF(F1272="","",IF(F1272&lt;'02_Eingaben'!$C$18*'02_Eingaben'!$C$10,1,0))</f>
        <v/>
      </c>
      <c r="I1272" s="27">
        <f>IF(OR(G1272="",G1273=""),"",(G1272+G1273)/2*(B1273-B1272))</f>
        <v/>
      </c>
      <c r="J1272" s="27">
        <f>IF(B1272="","",IF(B1271&lt;'02_Eingaben'!$C$36,0,J1271+I1271/'02_Eingaben'!$C$8))</f>
        <v/>
      </c>
    </row>
    <row r="1273">
      <c r="A1273">
        <f>IF('01_Rohdaten'!A1273="","",ROW()-1)</f>
        <v/>
      </c>
      <c r="B1273" s="27">
        <f>IF('01_Rohdaten'!A1273="","",'01_Rohdaten'!A1273)</f>
        <v/>
      </c>
      <c r="C1273" s="27">
        <f>IF(B1273="","",INDEX('01_Rohdaten'!B1273:D1273,'02_Eingaben'!$C$13))</f>
        <v/>
      </c>
      <c r="D1273" s="27">
        <f>IF(C1273="","",C1273*'02_Eingaben'!$C$15)</f>
        <v/>
      </c>
      <c r="E1273" s="27">
        <f>IF(D1273="","",D1273*'02_Eingaben'!$C$8)</f>
        <v/>
      </c>
      <c r="F1273" s="27">
        <f>IF(E1273="","",AVERAGE(INDEX($E$2:$E$3001,MAX(1,ROW()-1-'02_Eingaben'!$C$17)):INDEX($E$2:$E$3001,MIN('02_Eingaben'!$C$21,ROW()-1+'02_Eingaben'!$C$17))))</f>
        <v/>
      </c>
      <c r="G1273" s="27">
        <f>IF(F1273="","",F1273-'02_Eingaben'!$C$10)</f>
        <v/>
      </c>
      <c r="H1273">
        <f>IF(F1273="","",IF(F1273&lt;'02_Eingaben'!$C$18*'02_Eingaben'!$C$10,1,0))</f>
        <v/>
      </c>
      <c r="I1273" s="27">
        <f>IF(OR(G1273="",G1274=""),"",(G1273+G1274)/2*(B1274-B1273))</f>
        <v/>
      </c>
      <c r="J1273" s="27">
        <f>IF(B1273="","",IF(B1272&lt;'02_Eingaben'!$C$36,0,J1272+I1272/'02_Eingaben'!$C$8))</f>
        <v/>
      </c>
    </row>
    <row r="1274">
      <c r="A1274">
        <f>IF('01_Rohdaten'!A1274="","",ROW()-1)</f>
        <v/>
      </c>
      <c r="B1274" s="27">
        <f>IF('01_Rohdaten'!A1274="","",'01_Rohdaten'!A1274)</f>
        <v/>
      </c>
      <c r="C1274" s="27">
        <f>IF(B1274="","",INDEX('01_Rohdaten'!B1274:D1274,'02_Eingaben'!$C$13))</f>
        <v/>
      </c>
      <c r="D1274" s="27">
        <f>IF(C1274="","",C1274*'02_Eingaben'!$C$15)</f>
        <v/>
      </c>
      <c r="E1274" s="27">
        <f>IF(D1274="","",D1274*'02_Eingaben'!$C$8)</f>
        <v/>
      </c>
      <c r="F1274" s="27">
        <f>IF(E1274="","",AVERAGE(INDEX($E$2:$E$3001,MAX(1,ROW()-1-'02_Eingaben'!$C$17)):INDEX($E$2:$E$3001,MIN('02_Eingaben'!$C$21,ROW()-1+'02_Eingaben'!$C$17))))</f>
        <v/>
      </c>
      <c r="G1274" s="27">
        <f>IF(F1274="","",F1274-'02_Eingaben'!$C$10)</f>
        <v/>
      </c>
      <c r="H1274">
        <f>IF(F1274="","",IF(F1274&lt;'02_Eingaben'!$C$18*'02_Eingaben'!$C$10,1,0))</f>
        <v/>
      </c>
      <c r="I1274" s="27">
        <f>IF(OR(G1274="",G1275=""),"",(G1274+G1275)/2*(B1275-B1274))</f>
        <v/>
      </c>
      <c r="J1274" s="27">
        <f>IF(B1274="","",IF(B1273&lt;'02_Eingaben'!$C$36,0,J1273+I1273/'02_Eingaben'!$C$8))</f>
        <v/>
      </c>
    </row>
    <row r="1275">
      <c r="A1275">
        <f>IF('01_Rohdaten'!A1275="","",ROW()-1)</f>
        <v/>
      </c>
      <c r="B1275" s="27">
        <f>IF('01_Rohdaten'!A1275="","",'01_Rohdaten'!A1275)</f>
        <v/>
      </c>
      <c r="C1275" s="27">
        <f>IF(B1275="","",INDEX('01_Rohdaten'!B1275:D1275,'02_Eingaben'!$C$13))</f>
        <v/>
      </c>
      <c r="D1275" s="27">
        <f>IF(C1275="","",C1275*'02_Eingaben'!$C$15)</f>
        <v/>
      </c>
      <c r="E1275" s="27">
        <f>IF(D1275="","",D1275*'02_Eingaben'!$C$8)</f>
        <v/>
      </c>
      <c r="F1275" s="27">
        <f>IF(E1275="","",AVERAGE(INDEX($E$2:$E$3001,MAX(1,ROW()-1-'02_Eingaben'!$C$17)):INDEX($E$2:$E$3001,MIN('02_Eingaben'!$C$21,ROW()-1+'02_Eingaben'!$C$17))))</f>
        <v/>
      </c>
      <c r="G1275" s="27">
        <f>IF(F1275="","",F1275-'02_Eingaben'!$C$10)</f>
        <v/>
      </c>
      <c r="H1275">
        <f>IF(F1275="","",IF(F1275&lt;'02_Eingaben'!$C$18*'02_Eingaben'!$C$10,1,0))</f>
        <v/>
      </c>
      <c r="I1275" s="27">
        <f>IF(OR(G1275="",G1276=""),"",(G1275+G1276)/2*(B1276-B1275))</f>
        <v/>
      </c>
      <c r="J1275" s="27">
        <f>IF(B1275="","",IF(B1274&lt;'02_Eingaben'!$C$36,0,J1274+I1274/'02_Eingaben'!$C$8))</f>
        <v/>
      </c>
    </row>
    <row r="1276">
      <c r="A1276">
        <f>IF('01_Rohdaten'!A1276="","",ROW()-1)</f>
        <v/>
      </c>
      <c r="B1276" s="27">
        <f>IF('01_Rohdaten'!A1276="","",'01_Rohdaten'!A1276)</f>
        <v/>
      </c>
      <c r="C1276" s="27">
        <f>IF(B1276="","",INDEX('01_Rohdaten'!B1276:D1276,'02_Eingaben'!$C$13))</f>
        <v/>
      </c>
      <c r="D1276" s="27">
        <f>IF(C1276="","",C1276*'02_Eingaben'!$C$15)</f>
        <v/>
      </c>
      <c r="E1276" s="27">
        <f>IF(D1276="","",D1276*'02_Eingaben'!$C$8)</f>
        <v/>
      </c>
      <c r="F1276" s="27">
        <f>IF(E1276="","",AVERAGE(INDEX($E$2:$E$3001,MAX(1,ROW()-1-'02_Eingaben'!$C$17)):INDEX($E$2:$E$3001,MIN('02_Eingaben'!$C$21,ROW()-1+'02_Eingaben'!$C$17))))</f>
        <v/>
      </c>
      <c r="G1276" s="27">
        <f>IF(F1276="","",F1276-'02_Eingaben'!$C$10)</f>
        <v/>
      </c>
      <c r="H1276">
        <f>IF(F1276="","",IF(F1276&lt;'02_Eingaben'!$C$18*'02_Eingaben'!$C$10,1,0))</f>
        <v/>
      </c>
      <c r="I1276" s="27">
        <f>IF(OR(G1276="",G1277=""),"",(G1276+G1277)/2*(B1277-B1276))</f>
        <v/>
      </c>
      <c r="J1276" s="27">
        <f>IF(B1276="","",IF(B1275&lt;'02_Eingaben'!$C$36,0,J1275+I1275/'02_Eingaben'!$C$8))</f>
        <v/>
      </c>
    </row>
    <row r="1277">
      <c r="A1277">
        <f>IF('01_Rohdaten'!A1277="","",ROW()-1)</f>
        <v/>
      </c>
      <c r="B1277" s="27">
        <f>IF('01_Rohdaten'!A1277="","",'01_Rohdaten'!A1277)</f>
        <v/>
      </c>
      <c r="C1277" s="27">
        <f>IF(B1277="","",INDEX('01_Rohdaten'!B1277:D1277,'02_Eingaben'!$C$13))</f>
        <v/>
      </c>
      <c r="D1277" s="27">
        <f>IF(C1277="","",C1277*'02_Eingaben'!$C$15)</f>
        <v/>
      </c>
      <c r="E1277" s="27">
        <f>IF(D1277="","",D1277*'02_Eingaben'!$C$8)</f>
        <v/>
      </c>
      <c r="F1277" s="27">
        <f>IF(E1277="","",AVERAGE(INDEX($E$2:$E$3001,MAX(1,ROW()-1-'02_Eingaben'!$C$17)):INDEX($E$2:$E$3001,MIN('02_Eingaben'!$C$21,ROW()-1+'02_Eingaben'!$C$17))))</f>
        <v/>
      </c>
      <c r="G1277" s="27">
        <f>IF(F1277="","",F1277-'02_Eingaben'!$C$10)</f>
        <v/>
      </c>
      <c r="H1277">
        <f>IF(F1277="","",IF(F1277&lt;'02_Eingaben'!$C$18*'02_Eingaben'!$C$10,1,0))</f>
        <v/>
      </c>
      <c r="I1277" s="27">
        <f>IF(OR(G1277="",G1278=""),"",(G1277+G1278)/2*(B1278-B1277))</f>
        <v/>
      </c>
      <c r="J1277" s="27">
        <f>IF(B1277="","",IF(B1276&lt;'02_Eingaben'!$C$36,0,J1276+I1276/'02_Eingaben'!$C$8))</f>
        <v/>
      </c>
    </row>
    <row r="1278">
      <c r="A1278">
        <f>IF('01_Rohdaten'!A1278="","",ROW()-1)</f>
        <v/>
      </c>
      <c r="B1278" s="27">
        <f>IF('01_Rohdaten'!A1278="","",'01_Rohdaten'!A1278)</f>
        <v/>
      </c>
      <c r="C1278" s="27">
        <f>IF(B1278="","",INDEX('01_Rohdaten'!B1278:D1278,'02_Eingaben'!$C$13))</f>
        <v/>
      </c>
      <c r="D1278" s="27">
        <f>IF(C1278="","",C1278*'02_Eingaben'!$C$15)</f>
        <v/>
      </c>
      <c r="E1278" s="27">
        <f>IF(D1278="","",D1278*'02_Eingaben'!$C$8)</f>
        <v/>
      </c>
      <c r="F1278" s="27">
        <f>IF(E1278="","",AVERAGE(INDEX($E$2:$E$3001,MAX(1,ROW()-1-'02_Eingaben'!$C$17)):INDEX($E$2:$E$3001,MIN('02_Eingaben'!$C$21,ROW()-1+'02_Eingaben'!$C$17))))</f>
        <v/>
      </c>
      <c r="G1278" s="27">
        <f>IF(F1278="","",F1278-'02_Eingaben'!$C$10)</f>
        <v/>
      </c>
      <c r="H1278">
        <f>IF(F1278="","",IF(F1278&lt;'02_Eingaben'!$C$18*'02_Eingaben'!$C$10,1,0))</f>
        <v/>
      </c>
      <c r="I1278" s="27">
        <f>IF(OR(G1278="",G1279=""),"",(G1278+G1279)/2*(B1279-B1278))</f>
        <v/>
      </c>
      <c r="J1278" s="27">
        <f>IF(B1278="","",IF(B1277&lt;'02_Eingaben'!$C$36,0,J1277+I1277/'02_Eingaben'!$C$8))</f>
        <v/>
      </c>
    </row>
    <row r="1279">
      <c r="A1279">
        <f>IF('01_Rohdaten'!A1279="","",ROW()-1)</f>
        <v/>
      </c>
      <c r="B1279" s="27">
        <f>IF('01_Rohdaten'!A1279="","",'01_Rohdaten'!A1279)</f>
        <v/>
      </c>
      <c r="C1279" s="27">
        <f>IF(B1279="","",INDEX('01_Rohdaten'!B1279:D1279,'02_Eingaben'!$C$13))</f>
        <v/>
      </c>
      <c r="D1279" s="27">
        <f>IF(C1279="","",C1279*'02_Eingaben'!$C$15)</f>
        <v/>
      </c>
      <c r="E1279" s="27">
        <f>IF(D1279="","",D1279*'02_Eingaben'!$C$8)</f>
        <v/>
      </c>
      <c r="F1279" s="27">
        <f>IF(E1279="","",AVERAGE(INDEX($E$2:$E$3001,MAX(1,ROW()-1-'02_Eingaben'!$C$17)):INDEX($E$2:$E$3001,MIN('02_Eingaben'!$C$21,ROW()-1+'02_Eingaben'!$C$17))))</f>
        <v/>
      </c>
      <c r="G1279" s="27">
        <f>IF(F1279="","",F1279-'02_Eingaben'!$C$10)</f>
        <v/>
      </c>
      <c r="H1279">
        <f>IF(F1279="","",IF(F1279&lt;'02_Eingaben'!$C$18*'02_Eingaben'!$C$10,1,0))</f>
        <v/>
      </c>
      <c r="I1279" s="27">
        <f>IF(OR(G1279="",G1280=""),"",(G1279+G1280)/2*(B1280-B1279))</f>
        <v/>
      </c>
      <c r="J1279" s="27">
        <f>IF(B1279="","",IF(B1278&lt;'02_Eingaben'!$C$36,0,J1278+I1278/'02_Eingaben'!$C$8))</f>
        <v/>
      </c>
    </row>
    <row r="1280">
      <c r="A1280">
        <f>IF('01_Rohdaten'!A1280="","",ROW()-1)</f>
        <v/>
      </c>
      <c r="B1280" s="27">
        <f>IF('01_Rohdaten'!A1280="","",'01_Rohdaten'!A1280)</f>
        <v/>
      </c>
      <c r="C1280" s="27">
        <f>IF(B1280="","",INDEX('01_Rohdaten'!B1280:D1280,'02_Eingaben'!$C$13))</f>
        <v/>
      </c>
      <c r="D1280" s="27">
        <f>IF(C1280="","",C1280*'02_Eingaben'!$C$15)</f>
        <v/>
      </c>
      <c r="E1280" s="27">
        <f>IF(D1280="","",D1280*'02_Eingaben'!$C$8)</f>
        <v/>
      </c>
      <c r="F1280" s="27">
        <f>IF(E1280="","",AVERAGE(INDEX($E$2:$E$3001,MAX(1,ROW()-1-'02_Eingaben'!$C$17)):INDEX($E$2:$E$3001,MIN('02_Eingaben'!$C$21,ROW()-1+'02_Eingaben'!$C$17))))</f>
        <v/>
      </c>
      <c r="G1280" s="27">
        <f>IF(F1280="","",F1280-'02_Eingaben'!$C$10)</f>
        <v/>
      </c>
      <c r="H1280">
        <f>IF(F1280="","",IF(F1280&lt;'02_Eingaben'!$C$18*'02_Eingaben'!$C$10,1,0))</f>
        <v/>
      </c>
      <c r="I1280" s="27">
        <f>IF(OR(G1280="",G1281=""),"",(G1280+G1281)/2*(B1281-B1280))</f>
        <v/>
      </c>
      <c r="J1280" s="27">
        <f>IF(B1280="","",IF(B1279&lt;'02_Eingaben'!$C$36,0,J1279+I1279/'02_Eingaben'!$C$8))</f>
        <v/>
      </c>
    </row>
    <row r="1281">
      <c r="A1281">
        <f>IF('01_Rohdaten'!A1281="","",ROW()-1)</f>
        <v/>
      </c>
      <c r="B1281" s="27">
        <f>IF('01_Rohdaten'!A1281="","",'01_Rohdaten'!A1281)</f>
        <v/>
      </c>
      <c r="C1281" s="27">
        <f>IF(B1281="","",INDEX('01_Rohdaten'!B1281:D1281,'02_Eingaben'!$C$13))</f>
        <v/>
      </c>
      <c r="D1281" s="27">
        <f>IF(C1281="","",C1281*'02_Eingaben'!$C$15)</f>
        <v/>
      </c>
      <c r="E1281" s="27">
        <f>IF(D1281="","",D1281*'02_Eingaben'!$C$8)</f>
        <v/>
      </c>
      <c r="F1281" s="27">
        <f>IF(E1281="","",AVERAGE(INDEX($E$2:$E$3001,MAX(1,ROW()-1-'02_Eingaben'!$C$17)):INDEX($E$2:$E$3001,MIN('02_Eingaben'!$C$21,ROW()-1+'02_Eingaben'!$C$17))))</f>
        <v/>
      </c>
      <c r="G1281" s="27">
        <f>IF(F1281="","",F1281-'02_Eingaben'!$C$10)</f>
        <v/>
      </c>
      <c r="H1281">
        <f>IF(F1281="","",IF(F1281&lt;'02_Eingaben'!$C$18*'02_Eingaben'!$C$10,1,0))</f>
        <v/>
      </c>
      <c r="I1281" s="27">
        <f>IF(OR(G1281="",G1282=""),"",(G1281+G1282)/2*(B1282-B1281))</f>
        <v/>
      </c>
      <c r="J1281" s="27">
        <f>IF(B1281="","",IF(B1280&lt;'02_Eingaben'!$C$36,0,J1280+I1280/'02_Eingaben'!$C$8))</f>
        <v/>
      </c>
    </row>
    <row r="1282">
      <c r="A1282">
        <f>IF('01_Rohdaten'!A1282="","",ROW()-1)</f>
        <v/>
      </c>
      <c r="B1282" s="27">
        <f>IF('01_Rohdaten'!A1282="","",'01_Rohdaten'!A1282)</f>
        <v/>
      </c>
      <c r="C1282" s="27">
        <f>IF(B1282="","",INDEX('01_Rohdaten'!B1282:D1282,'02_Eingaben'!$C$13))</f>
        <v/>
      </c>
      <c r="D1282" s="27">
        <f>IF(C1282="","",C1282*'02_Eingaben'!$C$15)</f>
        <v/>
      </c>
      <c r="E1282" s="27">
        <f>IF(D1282="","",D1282*'02_Eingaben'!$C$8)</f>
        <v/>
      </c>
      <c r="F1282" s="27">
        <f>IF(E1282="","",AVERAGE(INDEX($E$2:$E$3001,MAX(1,ROW()-1-'02_Eingaben'!$C$17)):INDEX($E$2:$E$3001,MIN('02_Eingaben'!$C$21,ROW()-1+'02_Eingaben'!$C$17))))</f>
        <v/>
      </c>
      <c r="G1282" s="27">
        <f>IF(F1282="","",F1282-'02_Eingaben'!$C$10)</f>
        <v/>
      </c>
      <c r="H1282">
        <f>IF(F1282="","",IF(F1282&lt;'02_Eingaben'!$C$18*'02_Eingaben'!$C$10,1,0))</f>
        <v/>
      </c>
      <c r="I1282" s="27">
        <f>IF(OR(G1282="",G1283=""),"",(G1282+G1283)/2*(B1283-B1282))</f>
        <v/>
      </c>
      <c r="J1282" s="27">
        <f>IF(B1282="","",IF(B1281&lt;'02_Eingaben'!$C$36,0,J1281+I1281/'02_Eingaben'!$C$8))</f>
        <v/>
      </c>
    </row>
    <row r="1283">
      <c r="A1283">
        <f>IF('01_Rohdaten'!A1283="","",ROW()-1)</f>
        <v/>
      </c>
      <c r="B1283" s="27">
        <f>IF('01_Rohdaten'!A1283="","",'01_Rohdaten'!A1283)</f>
        <v/>
      </c>
      <c r="C1283" s="27">
        <f>IF(B1283="","",INDEX('01_Rohdaten'!B1283:D1283,'02_Eingaben'!$C$13))</f>
        <v/>
      </c>
      <c r="D1283" s="27">
        <f>IF(C1283="","",C1283*'02_Eingaben'!$C$15)</f>
        <v/>
      </c>
      <c r="E1283" s="27">
        <f>IF(D1283="","",D1283*'02_Eingaben'!$C$8)</f>
        <v/>
      </c>
      <c r="F1283" s="27">
        <f>IF(E1283="","",AVERAGE(INDEX($E$2:$E$3001,MAX(1,ROW()-1-'02_Eingaben'!$C$17)):INDEX($E$2:$E$3001,MIN('02_Eingaben'!$C$21,ROW()-1+'02_Eingaben'!$C$17))))</f>
        <v/>
      </c>
      <c r="G1283" s="27">
        <f>IF(F1283="","",F1283-'02_Eingaben'!$C$10)</f>
        <v/>
      </c>
      <c r="H1283">
        <f>IF(F1283="","",IF(F1283&lt;'02_Eingaben'!$C$18*'02_Eingaben'!$C$10,1,0))</f>
        <v/>
      </c>
      <c r="I1283" s="27">
        <f>IF(OR(G1283="",G1284=""),"",(G1283+G1284)/2*(B1284-B1283))</f>
        <v/>
      </c>
      <c r="J1283" s="27">
        <f>IF(B1283="","",IF(B1282&lt;'02_Eingaben'!$C$36,0,J1282+I1282/'02_Eingaben'!$C$8))</f>
        <v/>
      </c>
    </row>
    <row r="1284">
      <c r="A1284">
        <f>IF('01_Rohdaten'!A1284="","",ROW()-1)</f>
        <v/>
      </c>
      <c r="B1284" s="27">
        <f>IF('01_Rohdaten'!A1284="","",'01_Rohdaten'!A1284)</f>
        <v/>
      </c>
      <c r="C1284" s="27">
        <f>IF(B1284="","",INDEX('01_Rohdaten'!B1284:D1284,'02_Eingaben'!$C$13))</f>
        <v/>
      </c>
      <c r="D1284" s="27">
        <f>IF(C1284="","",C1284*'02_Eingaben'!$C$15)</f>
        <v/>
      </c>
      <c r="E1284" s="27">
        <f>IF(D1284="","",D1284*'02_Eingaben'!$C$8)</f>
        <v/>
      </c>
      <c r="F1284" s="27">
        <f>IF(E1284="","",AVERAGE(INDEX($E$2:$E$3001,MAX(1,ROW()-1-'02_Eingaben'!$C$17)):INDEX($E$2:$E$3001,MIN('02_Eingaben'!$C$21,ROW()-1+'02_Eingaben'!$C$17))))</f>
        <v/>
      </c>
      <c r="G1284" s="27">
        <f>IF(F1284="","",F1284-'02_Eingaben'!$C$10)</f>
        <v/>
      </c>
      <c r="H1284">
        <f>IF(F1284="","",IF(F1284&lt;'02_Eingaben'!$C$18*'02_Eingaben'!$C$10,1,0))</f>
        <v/>
      </c>
      <c r="I1284" s="27">
        <f>IF(OR(G1284="",G1285=""),"",(G1284+G1285)/2*(B1285-B1284))</f>
        <v/>
      </c>
      <c r="J1284" s="27">
        <f>IF(B1284="","",IF(B1283&lt;'02_Eingaben'!$C$36,0,J1283+I1283/'02_Eingaben'!$C$8))</f>
        <v/>
      </c>
    </row>
    <row r="1285">
      <c r="A1285">
        <f>IF('01_Rohdaten'!A1285="","",ROW()-1)</f>
        <v/>
      </c>
      <c r="B1285" s="27">
        <f>IF('01_Rohdaten'!A1285="","",'01_Rohdaten'!A1285)</f>
        <v/>
      </c>
      <c r="C1285" s="27">
        <f>IF(B1285="","",INDEX('01_Rohdaten'!B1285:D1285,'02_Eingaben'!$C$13))</f>
        <v/>
      </c>
      <c r="D1285" s="27">
        <f>IF(C1285="","",C1285*'02_Eingaben'!$C$15)</f>
        <v/>
      </c>
      <c r="E1285" s="27">
        <f>IF(D1285="","",D1285*'02_Eingaben'!$C$8)</f>
        <v/>
      </c>
      <c r="F1285" s="27">
        <f>IF(E1285="","",AVERAGE(INDEX($E$2:$E$3001,MAX(1,ROW()-1-'02_Eingaben'!$C$17)):INDEX($E$2:$E$3001,MIN('02_Eingaben'!$C$21,ROW()-1+'02_Eingaben'!$C$17))))</f>
        <v/>
      </c>
      <c r="G1285" s="27">
        <f>IF(F1285="","",F1285-'02_Eingaben'!$C$10)</f>
        <v/>
      </c>
      <c r="H1285">
        <f>IF(F1285="","",IF(F1285&lt;'02_Eingaben'!$C$18*'02_Eingaben'!$C$10,1,0))</f>
        <v/>
      </c>
      <c r="I1285" s="27">
        <f>IF(OR(G1285="",G1286=""),"",(G1285+G1286)/2*(B1286-B1285))</f>
        <v/>
      </c>
      <c r="J1285" s="27">
        <f>IF(B1285="","",IF(B1284&lt;'02_Eingaben'!$C$36,0,J1284+I1284/'02_Eingaben'!$C$8))</f>
        <v/>
      </c>
    </row>
    <row r="1286">
      <c r="A1286">
        <f>IF('01_Rohdaten'!A1286="","",ROW()-1)</f>
        <v/>
      </c>
      <c r="B1286" s="27">
        <f>IF('01_Rohdaten'!A1286="","",'01_Rohdaten'!A1286)</f>
        <v/>
      </c>
      <c r="C1286" s="27">
        <f>IF(B1286="","",INDEX('01_Rohdaten'!B1286:D1286,'02_Eingaben'!$C$13))</f>
        <v/>
      </c>
      <c r="D1286" s="27">
        <f>IF(C1286="","",C1286*'02_Eingaben'!$C$15)</f>
        <v/>
      </c>
      <c r="E1286" s="27">
        <f>IF(D1286="","",D1286*'02_Eingaben'!$C$8)</f>
        <v/>
      </c>
      <c r="F1286" s="27">
        <f>IF(E1286="","",AVERAGE(INDEX($E$2:$E$3001,MAX(1,ROW()-1-'02_Eingaben'!$C$17)):INDEX($E$2:$E$3001,MIN('02_Eingaben'!$C$21,ROW()-1+'02_Eingaben'!$C$17))))</f>
        <v/>
      </c>
      <c r="G1286" s="27">
        <f>IF(F1286="","",F1286-'02_Eingaben'!$C$10)</f>
        <v/>
      </c>
      <c r="H1286">
        <f>IF(F1286="","",IF(F1286&lt;'02_Eingaben'!$C$18*'02_Eingaben'!$C$10,1,0))</f>
        <v/>
      </c>
      <c r="I1286" s="27">
        <f>IF(OR(G1286="",G1287=""),"",(G1286+G1287)/2*(B1287-B1286))</f>
        <v/>
      </c>
      <c r="J1286" s="27">
        <f>IF(B1286="","",IF(B1285&lt;'02_Eingaben'!$C$36,0,J1285+I1285/'02_Eingaben'!$C$8))</f>
        <v/>
      </c>
    </row>
    <row r="1287">
      <c r="A1287">
        <f>IF('01_Rohdaten'!A1287="","",ROW()-1)</f>
        <v/>
      </c>
      <c r="B1287" s="27">
        <f>IF('01_Rohdaten'!A1287="","",'01_Rohdaten'!A1287)</f>
        <v/>
      </c>
      <c r="C1287" s="27">
        <f>IF(B1287="","",INDEX('01_Rohdaten'!B1287:D1287,'02_Eingaben'!$C$13))</f>
        <v/>
      </c>
      <c r="D1287" s="27">
        <f>IF(C1287="","",C1287*'02_Eingaben'!$C$15)</f>
        <v/>
      </c>
      <c r="E1287" s="27">
        <f>IF(D1287="","",D1287*'02_Eingaben'!$C$8)</f>
        <v/>
      </c>
      <c r="F1287" s="27">
        <f>IF(E1287="","",AVERAGE(INDEX($E$2:$E$3001,MAX(1,ROW()-1-'02_Eingaben'!$C$17)):INDEX($E$2:$E$3001,MIN('02_Eingaben'!$C$21,ROW()-1+'02_Eingaben'!$C$17))))</f>
        <v/>
      </c>
      <c r="G1287" s="27">
        <f>IF(F1287="","",F1287-'02_Eingaben'!$C$10)</f>
        <v/>
      </c>
      <c r="H1287">
        <f>IF(F1287="","",IF(F1287&lt;'02_Eingaben'!$C$18*'02_Eingaben'!$C$10,1,0))</f>
        <v/>
      </c>
      <c r="I1287" s="27">
        <f>IF(OR(G1287="",G1288=""),"",(G1287+G1288)/2*(B1288-B1287))</f>
        <v/>
      </c>
      <c r="J1287" s="27">
        <f>IF(B1287="","",IF(B1286&lt;'02_Eingaben'!$C$36,0,J1286+I1286/'02_Eingaben'!$C$8))</f>
        <v/>
      </c>
    </row>
    <row r="1288">
      <c r="A1288">
        <f>IF('01_Rohdaten'!A1288="","",ROW()-1)</f>
        <v/>
      </c>
      <c r="B1288" s="27">
        <f>IF('01_Rohdaten'!A1288="","",'01_Rohdaten'!A1288)</f>
        <v/>
      </c>
      <c r="C1288" s="27">
        <f>IF(B1288="","",INDEX('01_Rohdaten'!B1288:D1288,'02_Eingaben'!$C$13))</f>
        <v/>
      </c>
      <c r="D1288" s="27">
        <f>IF(C1288="","",C1288*'02_Eingaben'!$C$15)</f>
        <v/>
      </c>
      <c r="E1288" s="27">
        <f>IF(D1288="","",D1288*'02_Eingaben'!$C$8)</f>
        <v/>
      </c>
      <c r="F1288" s="27">
        <f>IF(E1288="","",AVERAGE(INDEX($E$2:$E$3001,MAX(1,ROW()-1-'02_Eingaben'!$C$17)):INDEX($E$2:$E$3001,MIN('02_Eingaben'!$C$21,ROW()-1+'02_Eingaben'!$C$17))))</f>
        <v/>
      </c>
      <c r="G1288" s="27">
        <f>IF(F1288="","",F1288-'02_Eingaben'!$C$10)</f>
        <v/>
      </c>
      <c r="H1288">
        <f>IF(F1288="","",IF(F1288&lt;'02_Eingaben'!$C$18*'02_Eingaben'!$C$10,1,0))</f>
        <v/>
      </c>
      <c r="I1288" s="27">
        <f>IF(OR(G1288="",G1289=""),"",(G1288+G1289)/2*(B1289-B1288))</f>
        <v/>
      </c>
      <c r="J1288" s="27">
        <f>IF(B1288="","",IF(B1287&lt;'02_Eingaben'!$C$36,0,J1287+I1287/'02_Eingaben'!$C$8))</f>
        <v/>
      </c>
    </row>
    <row r="1289">
      <c r="A1289">
        <f>IF('01_Rohdaten'!A1289="","",ROW()-1)</f>
        <v/>
      </c>
      <c r="B1289" s="27">
        <f>IF('01_Rohdaten'!A1289="","",'01_Rohdaten'!A1289)</f>
        <v/>
      </c>
      <c r="C1289" s="27">
        <f>IF(B1289="","",INDEX('01_Rohdaten'!B1289:D1289,'02_Eingaben'!$C$13))</f>
        <v/>
      </c>
      <c r="D1289" s="27">
        <f>IF(C1289="","",C1289*'02_Eingaben'!$C$15)</f>
        <v/>
      </c>
      <c r="E1289" s="27">
        <f>IF(D1289="","",D1289*'02_Eingaben'!$C$8)</f>
        <v/>
      </c>
      <c r="F1289" s="27">
        <f>IF(E1289="","",AVERAGE(INDEX($E$2:$E$3001,MAX(1,ROW()-1-'02_Eingaben'!$C$17)):INDEX($E$2:$E$3001,MIN('02_Eingaben'!$C$21,ROW()-1+'02_Eingaben'!$C$17))))</f>
        <v/>
      </c>
      <c r="G1289" s="27">
        <f>IF(F1289="","",F1289-'02_Eingaben'!$C$10)</f>
        <v/>
      </c>
      <c r="H1289">
        <f>IF(F1289="","",IF(F1289&lt;'02_Eingaben'!$C$18*'02_Eingaben'!$C$10,1,0))</f>
        <v/>
      </c>
      <c r="I1289" s="27">
        <f>IF(OR(G1289="",G1290=""),"",(G1289+G1290)/2*(B1290-B1289))</f>
        <v/>
      </c>
      <c r="J1289" s="27">
        <f>IF(B1289="","",IF(B1288&lt;'02_Eingaben'!$C$36,0,J1288+I1288/'02_Eingaben'!$C$8))</f>
        <v/>
      </c>
    </row>
    <row r="1290">
      <c r="A1290">
        <f>IF('01_Rohdaten'!A1290="","",ROW()-1)</f>
        <v/>
      </c>
      <c r="B1290" s="27">
        <f>IF('01_Rohdaten'!A1290="","",'01_Rohdaten'!A1290)</f>
        <v/>
      </c>
      <c r="C1290" s="27">
        <f>IF(B1290="","",INDEX('01_Rohdaten'!B1290:D1290,'02_Eingaben'!$C$13))</f>
        <v/>
      </c>
      <c r="D1290" s="27">
        <f>IF(C1290="","",C1290*'02_Eingaben'!$C$15)</f>
        <v/>
      </c>
      <c r="E1290" s="27">
        <f>IF(D1290="","",D1290*'02_Eingaben'!$C$8)</f>
        <v/>
      </c>
      <c r="F1290" s="27">
        <f>IF(E1290="","",AVERAGE(INDEX($E$2:$E$3001,MAX(1,ROW()-1-'02_Eingaben'!$C$17)):INDEX($E$2:$E$3001,MIN('02_Eingaben'!$C$21,ROW()-1+'02_Eingaben'!$C$17))))</f>
        <v/>
      </c>
      <c r="G1290" s="27">
        <f>IF(F1290="","",F1290-'02_Eingaben'!$C$10)</f>
        <v/>
      </c>
      <c r="H1290">
        <f>IF(F1290="","",IF(F1290&lt;'02_Eingaben'!$C$18*'02_Eingaben'!$C$10,1,0))</f>
        <v/>
      </c>
      <c r="I1290" s="27">
        <f>IF(OR(G1290="",G1291=""),"",(G1290+G1291)/2*(B1291-B1290))</f>
        <v/>
      </c>
      <c r="J1290" s="27">
        <f>IF(B1290="","",IF(B1289&lt;'02_Eingaben'!$C$36,0,J1289+I1289/'02_Eingaben'!$C$8))</f>
        <v/>
      </c>
    </row>
    <row r="1291">
      <c r="A1291">
        <f>IF('01_Rohdaten'!A1291="","",ROW()-1)</f>
        <v/>
      </c>
      <c r="B1291" s="27">
        <f>IF('01_Rohdaten'!A1291="","",'01_Rohdaten'!A1291)</f>
        <v/>
      </c>
      <c r="C1291" s="27">
        <f>IF(B1291="","",INDEX('01_Rohdaten'!B1291:D1291,'02_Eingaben'!$C$13))</f>
        <v/>
      </c>
      <c r="D1291" s="27">
        <f>IF(C1291="","",C1291*'02_Eingaben'!$C$15)</f>
        <v/>
      </c>
      <c r="E1291" s="27">
        <f>IF(D1291="","",D1291*'02_Eingaben'!$C$8)</f>
        <v/>
      </c>
      <c r="F1291" s="27">
        <f>IF(E1291="","",AVERAGE(INDEX($E$2:$E$3001,MAX(1,ROW()-1-'02_Eingaben'!$C$17)):INDEX($E$2:$E$3001,MIN('02_Eingaben'!$C$21,ROW()-1+'02_Eingaben'!$C$17))))</f>
        <v/>
      </c>
      <c r="G1291" s="27">
        <f>IF(F1291="","",F1291-'02_Eingaben'!$C$10)</f>
        <v/>
      </c>
      <c r="H1291">
        <f>IF(F1291="","",IF(F1291&lt;'02_Eingaben'!$C$18*'02_Eingaben'!$C$10,1,0))</f>
        <v/>
      </c>
      <c r="I1291" s="27">
        <f>IF(OR(G1291="",G1292=""),"",(G1291+G1292)/2*(B1292-B1291))</f>
        <v/>
      </c>
      <c r="J1291" s="27">
        <f>IF(B1291="","",IF(B1290&lt;'02_Eingaben'!$C$36,0,J1290+I1290/'02_Eingaben'!$C$8))</f>
        <v/>
      </c>
    </row>
    <row r="1292">
      <c r="A1292">
        <f>IF('01_Rohdaten'!A1292="","",ROW()-1)</f>
        <v/>
      </c>
      <c r="B1292" s="27">
        <f>IF('01_Rohdaten'!A1292="","",'01_Rohdaten'!A1292)</f>
        <v/>
      </c>
      <c r="C1292" s="27">
        <f>IF(B1292="","",INDEX('01_Rohdaten'!B1292:D1292,'02_Eingaben'!$C$13))</f>
        <v/>
      </c>
      <c r="D1292" s="27">
        <f>IF(C1292="","",C1292*'02_Eingaben'!$C$15)</f>
        <v/>
      </c>
      <c r="E1292" s="27">
        <f>IF(D1292="","",D1292*'02_Eingaben'!$C$8)</f>
        <v/>
      </c>
      <c r="F1292" s="27">
        <f>IF(E1292="","",AVERAGE(INDEX($E$2:$E$3001,MAX(1,ROW()-1-'02_Eingaben'!$C$17)):INDEX($E$2:$E$3001,MIN('02_Eingaben'!$C$21,ROW()-1+'02_Eingaben'!$C$17))))</f>
        <v/>
      </c>
      <c r="G1292" s="27">
        <f>IF(F1292="","",F1292-'02_Eingaben'!$C$10)</f>
        <v/>
      </c>
      <c r="H1292">
        <f>IF(F1292="","",IF(F1292&lt;'02_Eingaben'!$C$18*'02_Eingaben'!$C$10,1,0))</f>
        <v/>
      </c>
      <c r="I1292" s="27">
        <f>IF(OR(G1292="",G1293=""),"",(G1292+G1293)/2*(B1293-B1292))</f>
        <v/>
      </c>
      <c r="J1292" s="27">
        <f>IF(B1292="","",IF(B1291&lt;'02_Eingaben'!$C$36,0,J1291+I1291/'02_Eingaben'!$C$8))</f>
        <v/>
      </c>
    </row>
    <row r="1293">
      <c r="A1293">
        <f>IF('01_Rohdaten'!A1293="","",ROW()-1)</f>
        <v/>
      </c>
      <c r="B1293" s="27">
        <f>IF('01_Rohdaten'!A1293="","",'01_Rohdaten'!A1293)</f>
        <v/>
      </c>
      <c r="C1293" s="27">
        <f>IF(B1293="","",INDEX('01_Rohdaten'!B1293:D1293,'02_Eingaben'!$C$13))</f>
        <v/>
      </c>
      <c r="D1293" s="27">
        <f>IF(C1293="","",C1293*'02_Eingaben'!$C$15)</f>
        <v/>
      </c>
      <c r="E1293" s="27">
        <f>IF(D1293="","",D1293*'02_Eingaben'!$C$8)</f>
        <v/>
      </c>
      <c r="F1293" s="27">
        <f>IF(E1293="","",AVERAGE(INDEX($E$2:$E$3001,MAX(1,ROW()-1-'02_Eingaben'!$C$17)):INDEX($E$2:$E$3001,MIN('02_Eingaben'!$C$21,ROW()-1+'02_Eingaben'!$C$17))))</f>
        <v/>
      </c>
      <c r="G1293" s="27">
        <f>IF(F1293="","",F1293-'02_Eingaben'!$C$10)</f>
        <v/>
      </c>
      <c r="H1293">
        <f>IF(F1293="","",IF(F1293&lt;'02_Eingaben'!$C$18*'02_Eingaben'!$C$10,1,0))</f>
        <v/>
      </c>
      <c r="I1293" s="27">
        <f>IF(OR(G1293="",G1294=""),"",(G1293+G1294)/2*(B1294-B1293))</f>
        <v/>
      </c>
      <c r="J1293" s="27">
        <f>IF(B1293="","",IF(B1292&lt;'02_Eingaben'!$C$36,0,J1292+I1292/'02_Eingaben'!$C$8))</f>
        <v/>
      </c>
    </row>
    <row r="1294">
      <c r="A1294">
        <f>IF('01_Rohdaten'!A1294="","",ROW()-1)</f>
        <v/>
      </c>
      <c r="B1294" s="27">
        <f>IF('01_Rohdaten'!A1294="","",'01_Rohdaten'!A1294)</f>
        <v/>
      </c>
      <c r="C1294" s="27">
        <f>IF(B1294="","",INDEX('01_Rohdaten'!B1294:D1294,'02_Eingaben'!$C$13))</f>
        <v/>
      </c>
      <c r="D1294" s="27">
        <f>IF(C1294="","",C1294*'02_Eingaben'!$C$15)</f>
        <v/>
      </c>
      <c r="E1294" s="27">
        <f>IF(D1294="","",D1294*'02_Eingaben'!$C$8)</f>
        <v/>
      </c>
      <c r="F1294" s="27">
        <f>IF(E1294="","",AVERAGE(INDEX($E$2:$E$3001,MAX(1,ROW()-1-'02_Eingaben'!$C$17)):INDEX($E$2:$E$3001,MIN('02_Eingaben'!$C$21,ROW()-1+'02_Eingaben'!$C$17))))</f>
        <v/>
      </c>
      <c r="G1294" s="27">
        <f>IF(F1294="","",F1294-'02_Eingaben'!$C$10)</f>
        <v/>
      </c>
      <c r="H1294">
        <f>IF(F1294="","",IF(F1294&lt;'02_Eingaben'!$C$18*'02_Eingaben'!$C$10,1,0))</f>
        <v/>
      </c>
      <c r="I1294" s="27">
        <f>IF(OR(G1294="",G1295=""),"",(G1294+G1295)/2*(B1295-B1294))</f>
        <v/>
      </c>
      <c r="J1294" s="27">
        <f>IF(B1294="","",IF(B1293&lt;'02_Eingaben'!$C$36,0,J1293+I1293/'02_Eingaben'!$C$8))</f>
        <v/>
      </c>
    </row>
    <row r="1295">
      <c r="A1295">
        <f>IF('01_Rohdaten'!A1295="","",ROW()-1)</f>
        <v/>
      </c>
      <c r="B1295" s="27">
        <f>IF('01_Rohdaten'!A1295="","",'01_Rohdaten'!A1295)</f>
        <v/>
      </c>
      <c r="C1295" s="27">
        <f>IF(B1295="","",INDEX('01_Rohdaten'!B1295:D1295,'02_Eingaben'!$C$13))</f>
        <v/>
      </c>
      <c r="D1295" s="27">
        <f>IF(C1295="","",C1295*'02_Eingaben'!$C$15)</f>
        <v/>
      </c>
      <c r="E1295" s="27">
        <f>IF(D1295="","",D1295*'02_Eingaben'!$C$8)</f>
        <v/>
      </c>
      <c r="F1295" s="27">
        <f>IF(E1295="","",AVERAGE(INDEX($E$2:$E$3001,MAX(1,ROW()-1-'02_Eingaben'!$C$17)):INDEX($E$2:$E$3001,MIN('02_Eingaben'!$C$21,ROW()-1+'02_Eingaben'!$C$17))))</f>
        <v/>
      </c>
      <c r="G1295" s="27">
        <f>IF(F1295="","",F1295-'02_Eingaben'!$C$10)</f>
        <v/>
      </c>
      <c r="H1295">
        <f>IF(F1295="","",IF(F1295&lt;'02_Eingaben'!$C$18*'02_Eingaben'!$C$10,1,0))</f>
        <v/>
      </c>
      <c r="I1295" s="27">
        <f>IF(OR(G1295="",G1296=""),"",(G1295+G1296)/2*(B1296-B1295))</f>
        <v/>
      </c>
      <c r="J1295" s="27">
        <f>IF(B1295="","",IF(B1294&lt;'02_Eingaben'!$C$36,0,J1294+I1294/'02_Eingaben'!$C$8))</f>
        <v/>
      </c>
    </row>
    <row r="1296">
      <c r="A1296">
        <f>IF('01_Rohdaten'!A1296="","",ROW()-1)</f>
        <v/>
      </c>
      <c r="B1296" s="27">
        <f>IF('01_Rohdaten'!A1296="","",'01_Rohdaten'!A1296)</f>
        <v/>
      </c>
      <c r="C1296" s="27">
        <f>IF(B1296="","",INDEX('01_Rohdaten'!B1296:D1296,'02_Eingaben'!$C$13))</f>
        <v/>
      </c>
      <c r="D1296" s="27">
        <f>IF(C1296="","",C1296*'02_Eingaben'!$C$15)</f>
        <v/>
      </c>
      <c r="E1296" s="27">
        <f>IF(D1296="","",D1296*'02_Eingaben'!$C$8)</f>
        <v/>
      </c>
      <c r="F1296" s="27">
        <f>IF(E1296="","",AVERAGE(INDEX($E$2:$E$3001,MAX(1,ROW()-1-'02_Eingaben'!$C$17)):INDEX($E$2:$E$3001,MIN('02_Eingaben'!$C$21,ROW()-1+'02_Eingaben'!$C$17))))</f>
        <v/>
      </c>
      <c r="G1296" s="27">
        <f>IF(F1296="","",F1296-'02_Eingaben'!$C$10)</f>
        <v/>
      </c>
      <c r="H1296">
        <f>IF(F1296="","",IF(F1296&lt;'02_Eingaben'!$C$18*'02_Eingaben'!$C$10,1,0))</f>
        <v/>
      </c>
      <c r="I1296" s="27">
        <f>IF(OR(G1296="",G1297=""),"",(G1296+G1297)/2*(B1297-B1296))</f>
        <v/>
      </c>
      <c r="J1296" s="27">
        <f>IF(B1296="","",IF(B1295&lt;'02_Eingaben'!$C$36,0,J1295+I1295/'02_Eingaben'!$C$8))</f>
        <v/>
      </c>
    </row>
    <row r="1297">
      <c r="A1297">
        <f>IF('01_Rohdaten'!A1297="","",ROW()-1)</f>
        <v/>
      </c>
      <c r="B1297" s="27">
        <f>IF('01_Rohdaten'!A1297="","",'01_Rohdaten'!A1297)</f>
        <v/>
      </c>
      <c r="C1297" s="27">
        <f>IF(B1297="","",INDEX('01_Rohdaten'!B1297:D1297,'02_Eingaben'!$C$13))</f>
        <v/>
      </c>
      <c r="D1297" s="27">
        <f>IF(C1297="","",C1297*'02_Eingaben'!$C$15)</f>
        <v/>
      </c>
      <c r="E1297" s="27">
        <f>IF(D1297="","",D1297*'02_Eingaben'!$C$8)</f>
        <v/>
      </c>
      <c r="F1297" s="27">
        <f>IF(E1297="","",AVERAGE(INDEX($E$2:$E$3001,MAX(1,ROW()-1-'02_Eingaben'!$C$17)):INDEX($E$2:$E$3001,MIN('02_Eingaben'!$C$21,ROW()-1+'02_Eingaben'!$C$17))))</f>
        <v/>
      </c>
      <c r="G1297" s="27">
        <f>IF(F1297="","",F1297-'02_Eingaben'!$C$10)</f>
        <v/>
      </c>
      <c r="H1297">
        <f>IF(F1297="","",IF(F1297&lt;'02_Eingaben'!$C$18*'02_Eingaben'!$C$10,1,0))</f>
        <v/>
      </c>
      <c r="I1297" s="27">
        <f>IF(OR(G1297="",G1298=""),"",(G1297+G1298)/2*(B1298-B1297))</f>
        <v/>
      </c>
      <c r="J1297" s="27">
        <f>IF(B1297="","",IF(B1296&lt;'02_Eingaben'!$C$36,0,J1296+I1296/'02_Eingaben'!$C$8))</f>
        <v/>
      </c>
    </row>
    <row r="1298">
      <c r="A1298">
        <f>IF('01_Rohdaten'!A1298="","",ROW()-1)</f>
        <v/>
      </c>
      <c r="B1298" s="27">
        <f>IF('01_Rohdaten'!A1298="","",'01_Rohdaten'!A1298)</f>
        <v/>
      </c>
      <c r="C1298" s="27">
        <f>IF(B1298="","",INDEX('01_Rohdaten'!B1298:D1298,'02_Eingaben'!$C$13))</f>
        <v/>
      </c>
      <c r="D1298" s="27">
        <f>IF(C1298="","",C1298*'02_Eingaben'!$C$15)</f>
        <v/>
      </c>
      <c r="E1298" s="27">
        <f>IF(D1298="","",D1298*'02_Eingaben'!$C$8)</f>
        <v/>
      </c>
      <c r="F1298" s="27">
        <f>IF(E1298="","",AVERAGE(INDEX($E$2:$E$3001,MAX(1,ROW()-1-'02_Eingaben'!$C$17)):INDEX($E$2:$E$3001,MIN('02_Eingaben'!$C$21,ROW()-1+'02_Eingaben'!$C$17))))</f>
        <v/>
      </c>
      <c r="G1298" s="27">
        <f>IF(F1298="","",F1298-'02_Eingaben'!$C$10)</f>
        <v/>
      </c>
      <c r="H1298">
        <f>IF(F1298="","",IF(F1298&lt;'02_Eingaben'!$C$18*'02_Eingaben'!$C$10,1,0))</f>
        <v/>
      </c>
      <c r="I1298" s="27">
        <f>IF(OR(G1298="",G1299=""),"",(G1298+G1299)/2*(B1299-B1298))</f>
        <v/>
      </c>
      <c r="J1298" s="27">
        <f>IF(B1298="","",IF(B1297&lt;'02_Eingaben'!$C$36,0,J1297+I1297/'02_Eingaben'!$C$8))</f>
        <v/>
      </c>
    </row>
    <row r="1299">
      <c r="A1299">
        <f>IF('01_Rohdaten'!A1299="","",ROW()-1)</f>
        <v/>
      </c>
      <c r="B1299" s="27">
        <f>IF('01_Rohdaten'!A1299="","",'01_Rohdaten'!A1299)</f>
        <v/>
      </c>
      <c r="C1299" s="27">
        <f>IF(B1299="","",INDEX('01_Rohdaten'!B1299:D1299,'02_Eingaben'!$C$13))</f>
        <v/>
      </c>
      <c r="D1299" s="27">
        <f>IF(C1299="","",C1299*'02_Eingaben'!$C$15)</f>
        <v/>
      </c>
      <c r="E1299" s="27">
        <f>IF(D1299="","",D1299*'02_Eingaben'!$C$8)</f>
        <v/>
      </c>
      <c r="F1299" s="27">
        <f>IF(E1299="","",AVERAGE(INDEX($E$2:$E$3001,MAX(1,ROW()-1-'02_Eingaben'!$C$17)):INDEX($E$2:$E$3001,MIN('02_Eingaben'!$C$21,ROW()-1+'02_Eingaben'!$C$17))))</f>
        <v/>
      </c>
      <c r="G1299" s="27">
        <f>IF(F1299="","",F1299-'02_Eingaben'!$C$10)</f>
        <v/>
      </c>
      <c r="H1299">
        <f>IF(F1299="","",IF(F1299&lt;'02_Eingaben'!$C$18*'02_Eingaben'!$C$10,1,0))</f>
        <v/>
      </c>
      <c r="I1299" s="27">
        <f>IF(OR(G1299="",G1300=""),"",(G1299+G1300)/2*(B1300-B1299))</f>
        <v/>
      </c>
      <c r="J1299" s="27">
        <f>IF(B1299="","",IF(B1298&lt;'02_Eingaben'!$C$36,0,J1298+I1298/'02_Eingaben'!$C$8))</f>
        <v/>
      </c>
    </row>
    <row r="1300">
      <c r="A1300">
        <f>IF('01_Rohdaten'!A1300="","",ROW()-1)</f>
        <v/>
      </c>
      <c r="B1300" s="27">
        <f>IF('01_Rohdaten'!A1300="","",'01_Rohdaten'!A1300)</f>
        <v/>
      </c>
      <c r="C1300" s="27">
        <f>IF(B1300="","",INDEX('01_Rohdaten'!B1300:D1300,'02_Eingaben'!$C$13))</f>
        <v/>
      </c>
      <c r="D1300" s="27">
        <f>IF(C1300="","",C1300*'02_Eingaben'!$C$15)</f>
        <v/>
      </c>
      <c r="E1300" s="27">
        <f>IF(D1300="","",D1300*'02_Eingaben'!$C$8)</f>
        <v/>
      </c>
      <c r="F1300" s="27">
        <f>IF(E1300="","",AVERAGE(INDEX($E$2:$E$3001,MAX(1,ROW()-1-'02_Eingaben'!$C$17)):INDEX($E$2:$E$3001,MIN('02_Eingaben'!$C$21,ROW()-1+'02_Eingaben'!$C$17))))</f>
        <v/>
      </c>
      <c r="G1300" s="27">
        <f>IF(F1300="","",F1300-'02_Eingaben'!$C$10)</f>
        <v/>
      </c>
      <c r="H1300">
        <f>IF(F1300="","",IF(F1300&lt;'02_Eingaben'!$C$18*'02_Eingaben'!$C$10,1,0))</f>
        <v/>
      </c>
      <c r="I1300" s="27">
        <f>IF(OR(G1300="",G1301=""),"",(G1300+G1301)/2*(B1301-B1300))</f>
        <v/>
      </c>
      <c r="J1300" s="27">
        <f>IF(B1300="","",IF(B1299&lt;'02_Eingaben'!$C$36,0,J1299+I1299/'02_Eingaben'!$C$8))</f>
        <v/>
      </c>
    </row>
    <row r="1301">
      <c r="A1301">
        <f>IF('01_Rohdaten'!A1301="","",ROW()-1)</f>
        <v/>
      </c>
      <c r="B1301" s="27">
        <f>IF('01_Rohdaten'!A1301="","",'01_Rohdaten'!A1301)</f>
        <v/>
      </c>
      <c r="C1301" s="27">
        <f>IF(B1301="","",INDEX('01_Rohdaten'!B1301:D1301,'02_Eingaben'!$C$13))</f>
        <v/>
      </c>
      <c r="D1301" s="27">
        <f>IF(C1301="","",C1301*'02_Eingaben'!$C$15)</f>
        <v/>
      </c>
      <c r="E1301" s="27">
        <f>IF(D1301="","",D1301*'02_Eingaben'!$C$8)</f>
        <v/>
      </c>
      <c r="F1301" s="27">
        <f>IF(E1301="","",AVERAGE(INDEX($E$2:$E$3001,MAX(1,ROW()-1-'02_Eingaben'!$C$17)):INDEX($E$2:$E$3001,MIN('02_Eingaben'!$C$21,ROW()-1+'02_Eingaben'!$C$17))))</f>
        <v/>
      </c>
      <c r="G1301" s="27">
        <f>IF(F1301="","",F1301-'02_Eingaben'!$C$10)</f>
        <v/>
      </c>
      <c r="H1301">
        <f>IF(F1301="","",IF(F1301&lt;'02_Eingaben'!$C$18*'02_Eingaben'!$C$10,1,0))</f>
        <v/>
      </c>
      <c r="I1301" s="27">
        <f>IF(OR(G1301="",G1302=""),"",(G1301+G1302)/2*(B1302-B1301))</f>
        <v/>
      </c>
      <c r="J1301" s="27">
        <f>IF(B1301="","",IF(B1300&lt;'02_Eingaben'!$C$36,0,J1300+I1300/'02_Eingaben'!$C$8))</f>
        <v/>
      </c>
    </row>
    <row r="1302">
      <c r="A1302">
        <f>IF('01_Rohdaten'!A1302="","",ROW()-1)</f>
        <v/>
      </c>
      <c r="B1302" s="27">
        <f>IF('01_Rohdaten'!A1302="","",'01_Rohdaten'!A1302)</f>
        <v/>
      </c>
      <c r="C1302" s="27">
        <f>IF(B1302="","",INDEX('01_Rohdaten'!B1302:D1302,'02_Eingaben'!$C$13))</f>
        <v/>
      </c>
      <c r="D1302" s="27">
        <f>IF(C1302="","",C1302*'02_Eingaben'!$C$15)</f>
        <v/>
      </c>
      <c r="E1302" s="27">
        <f>IF(D1302="","",D1302*'02_Eingaben'!$C$8)</f>
        <v/>
      </c>
      <c r="F1302" s="27">
        <f>IF(E1302="","",AVERAGE(INDEX($E$2:$E$3001,MAX(1,ROW()-1-'02_Eingaben'!$C$17)):INDEX($E$2:$E$3001,MIN('02_Eingaben'!$C$21,ROW()-1+'02_Eingaben'!$C$17))))</f>
        <v/>
      </c>
      <c r="G1302" s="27">
        <f>IF(F1302="","",F1302-'02_Eingaben'!$C$10)</f>
        <v/>
      </c>
      <c r="H1302">
        <f>IF(F1302="","",IF(F1302&lt;'02_Eingaben'!$C$18*'02_Eingaben'!$C$10,1,0))</f>
        <v/>
      </c>
      <c r="I1302" s="27">
        <f>IF(OR(G1302="",G1303=""),"",(G1302+G1303)/2*(B1303-B1302))</f>
        <v/>
      </c>
      <c r="J1302" s="27">
        <f>IF(B1302="","",IF(B1301&lt;'02_Eingaben'!$C$36,0,J1301+I1301/'02_Eingaben'!$C$8))</f>
        <v/>
      </c>
    </row>
    <row r="1303">
      <c r="A1303">
        <f>IF('01_Rohdaten'!A1303="","",ROW()-1)</f>
        <v/>
      </c>
      <c r="B1303" s="27">
        <f>IF('01_Rohdaten'!A1303="","",'01_Rohdaten'!A1303)</f>
        <v/>
      </c>
      <c r="C1303" s="27">
        <f>IF(B1303="","",INDEX('01_Rohdaten'!B1303:D1303,'02_Eingaben'!$C$13))</f>
        <v/>
      </c>
      <c r="D1303" s="27">
        <f>IF(C1303="","",C1303*'02_Eingaben'!$C$15)</f>
        <v/>
      </c>
      <c r="E1303" s="27">
        <f>IF(D1303="","",D1303*'02_Eingaben'!$C$8)</f>
        <v/>
      </c>
      <c r="F1303" s="27">
        <f>IF(E1303="","",AVERAGE(INDEX($E$2:$E$3001,MAX(1,ROW()-1-'02_Eingaben'!$C$17)):INDEX($E$2:$E$3001,MIN('02_Eingaben'!$C$21,ROW()-1+'02_Eingaben'!$C$17))))</f>
        <v/>
      </c>
      <c r="G1303" s="27">
        <f>IF(F1303="","",F1303-'02_Eingaben'!$C$10)</f>
        <v/>
      </c>
      <c r="H1303">
        <f>IF(F1303="","",IF(F1303&lt;'02_Eingaben'!$C$18*'02_Eingaben'!$C$10,1,0))</f>
        <v/>
      </c>
      <c r="I1303" s="27">
        <f>IF(OR(G1303="",G1304=""),"",(G1303+G1304)/2*(B1304-B1303))</f>
        <v/>
      </c>
      <c r="J1303" s="27">
        <f>IF(B1303="","",IF(B1302&lt;'02_Eingaben'!$C$36,0,J1302+I1302/'02_Eingaben'!$C$8))</f>
        <v/>
      </c>
    </row>
    <row r="1304">
      <c r="A1304">
        <f>IF('01_Rohdaten'!A1304="","",ROW()-1)</f>
        <v/>
      </c>
      <c r="B1304" s="27">
        <f>IF('01_Rohdaten'!A1304="","",'01_Rohdaten'!A1304)</f>
        <v/>
      </c>
      <c r="C1304" s="27">
        <f>IF(B1304="","",INDEX('01_Rohdaten'!B1304:D1304,'02_Eingaben'!$C$13))</f>
        <v/>
      </c>
      <c r="D1304" s="27">
        <f>IF(C1304="","",C1304*'02_Eingaben'!$C$15)</f>
        <v/>
      </c>
      <c r="E1304" s="27">
        <f>IF(D1304="","",D1304*'02_Eingaben'!$C$8)</f>
        <v/>
      </c>
      <c r="F1304" s="27">
        <f>IF(E1304="","",AVERAGE(INDEX($E$2:$E$3001,MAX(1,ROW()-1-'02_Eingaben'!$C$17)):INDEX($E$2:$E$3001,MIN('02_Eingaben'!$C$21,ROW()-1+'02_Eingaben'!$C$17))))</f>
        <v/>
      </c>
      <c r="G1304" s="27">
        <f>IF(F1304="","",F1304-'02_Eingaben'!$C$10)</f>
        <v/>
      </c>
      <c r="H1304">
        <f>IF(F1304="","",IF(F1304&lt;'02_Eingaben'!$C$18*'02_Eingaben'!$C$10,1,0))</f>
        <v/>
      </c>
      <c r="I1304" s="27">
        <f>IF(OR(G1304="",G1305=""),"",(G1304+G1305)/2*(B1305-B1304))</f>
        <v/>
      </c>
      <c r="J1304" s="27">
        <f>IF(B1304="","",IF(B1303&lt;'02_Eingaben'!$C$36,0,J1303+I1303/'02_Eingaben'!$C$8))</f>
        <v/>
      </c>
    </row>
    <row r="1305">
      <c r="A1305">
        <f>IF('01_Rohdaten'!A1305="","",ROW()-1)</f>
        <v/>
      </c>
      <c r="B1305" s="27">
        <f>IF('01_Rohdaten'!A1305="","",'01_Rohdaten'!A1305)</f>
        <v/>
      </c>
      <c r="C1305" s="27">
        <f>IF(B1305="","",INDEX('01_Rohdaten'!B1305:D1305,'02_Eingaben'!$C$13))</f>
        <v/>
      </c>
      <c r="D1305" s="27">
        <f>IF(C1305="","",C1305*'02_Eingaben'!$C$15)</f>
        <v/>
      </c>
      <c r="E1305" s="27">
        <f>IF(D1305="","",D1305*'02_Eingaben'!$C$8)</f>
        <v/>
      </c>
      <c r="F1305" s="27">
        <f>IF(E1305="","",AVERAGE(INDEX($E$2:$E$3001,MAX(1,ROW()-1-'02_Eingaben'!$C$17)):INDEX($E$2:$E$3001,MIN('02_Eingaben'!$C$21,ROW()-1+'02_Eingaben'!$C$17))))</f>
        <v/>
      </c>
      <c r="G1305" s="27">
        <f>IF(F1305="","",F1305-'02_Eingaben'!$C$10)</f>
        <v/>
      </c>
      <c r="H1305">
        <f>IF(F1305="","",IF(F1305&lt;'02_Eingaben'!$C$18*'02_Eingaben'!$C$10,1,0))</f>
        <v/>
      </c>
      <c r="I1305" s="27">
        <f>IF(OR(G1305="",G1306=""),"",(G1305+G1306)/2*(B1306-B1305))</f>
        <v/>
      </c>
      <c r="J1305" s="27">
        <f>IF(B1305="","",IF(B1304&lt;'02_Eingaben'!$C$36,0,J1304+I1304/'02_Eingaben'!$C$8))</f>
        <v/>
      </c>
    </row>
    <row r="1306">
      <c r="A1306">
        <f>IF('01_Rohdaten'!A1306="","",ROW()-1)</f>
        <v/>
      </c>
      <c r="B1306" s="27">
        <f>IF('01_Rohdaten'!A1306="","",'01_Rohdaten'!A1306)</f>
        <v/>
      </c>
      <c r="C1306" s="27">
        <f>IF(B1306="","",INDEX('01_Rohdaten'!B1306:D1306,'02_Eingaben'!$C$13))</f>
        <v/>
      </c>
      <c r="D1306" s="27">
        <f>IF(C1306="","",C1306*'02_Eingaben'!$C$15)</f>
        <v/>
      </c>
      <c r="E1306" s="27">
        <f>IF(D1306="","",D1306*'02_Eingaben'!$C$8)</f>
        <v/>
      </c>
      <c r="F1306" s="27">
        <f>IF(E1306="","",AVERAGE(INDEX($E$2:$E$3001,MAX(1,ROW()-1-'02_Eingaben'!$C$17)):INDEX($E$2:$E$3001,MIN('02_Eingaben'!$C$21,ROW()-1+'02_Eingaben'!$C$17))))</f>
        <v/>
      </c>
      <c r="G1306" s="27">
        <f>IF(F1306="","",F1306-'02_Eingaben'!$C$10)</f>
        <v/>
      </c>
      <c r="H1306">
        <f>IF(F1306="","",IF(F1306&lt;'02_Eingaben'!$C$18*'02_Eingaben'!$C$10,1,0))</f>
        <v/>
      </c>
      <c r="I1306" s="27">
        <f>IF(OR(G1306="",G1307=""),"",(G1306+G1307)/2*(B1307-B1306))</f>
        <v/>
      </c>
      <c r="J1306" s="27">
        <f>IF(B1306="","",IF(B1305&lt;'02_Eingaben'!$C$36,0,J1305+I1305/'02_Eingaben'!$C$8))</f>
        <v/>
      </c>
    </row>
    <row r="1307">
      <c r="A1307">
        <f>IF('01_Rohdaten'!A1307="","",ROW()-1)</f>
        <v/>
      </c>
      <c r="B1307" s="27">
        <f>IF('01_Rohdaten'!A1307="","",'01_Rohdaten'!A1307)</f>
        <v/>
      </c>
      <c r="C1307" s="27">
        <f>IF(B1307="","",INDEX('01_Rohdaten'!B1307:D1307,'02_Eingaben'!$C$13))</f>
        <v/>
      </c>
      <c r="D1307" s="27">
        <f>IF(C1307="","",C1307*'02_Eingaben'!$C$15)</f>
        <v/>
      </c>
      <c r="E1307" s="27">
        <f>IF(D1307="","",D1307*'02_Eingaben'!$C$8)</f>
        <v/>
      </c>
      <c r="F1307" s="27">
        <f>IF(E1307="","",AVERAGE(INDEX($E$2:$E$3001,MAX(1,ROW()-1-'02_Eingaben'!$C$17)):INDEX($E$2:$E$3001,MIN('02_Eingaben'!$C$21,ROW()-1+'02_Eingaben'!$C$17))))</f>
        <v/>
      </c>
      <c r="G1307" s="27">
        <f>IF(F1307="","",F1307-'02_Eingaben'!$C$10)</f>
        <v/>
      </c>
      <c r="H1307">
        <f>IF(F1307="","",IF(F1307&lt;'02_Eingaben'!$C$18*'02_Eingaben'!$C$10,1,0))</f>
        <v/>
      </c>
      <c r="I1307" s="27">
        <f>IF(OR(G1307="",G1308=""),"",(G1307+G1308)/2*(B1308-B1307))</f>
        <v/>
      </c>
      <c r="J1307" s="27">
        <f>IF(B1307="","",IF(B1306&lt;'02_Eingaben'!$C$36,0,J1306+I1306/'02_Eingaben'!$C$8))</f>
        <v/>
      </c>
    </row>
    <row r="1308">
      <c r="A1308">
        <f>IF('01_Rohdaten'!A1308="","",ROW()-1)</f>
        <v/>
      </c>
      <c r="B1308" s="27">
        <f>IF('01_Rohdaten'!A1308="","",'01_Rohdaten'!A1308)</f>
        <v/>
      </c>
      <c r="C1308" s="27">
        <f>IF(B1308="","",INDEX('01_Rohdaten'!B1308:D1308,'02_Eingaben'!$C$13))</f>
        <v/>
      </c>
      <c r="D1308" s="27">
        <f>IF(C1308="","",C1308*'02_Eingaben'!$C$15)</f>
        <v/>
      </c>
      <c r="E1308" s="27">
        <f>IF(D1308="","",D1308*'02_Eingaben'!$C$8)</f>
        <v/>
      </c>
      <c r="F1308" s="27">
        <f>IF(E1308="","",AVERAGE(INDEX($E$2:$E$3001,MAX(1,ROW()-1-'02_Eingaben'!$C$17)):INDEX($E$2:$E$3001,MIN('02_Eingaben'!$C$21,ROW()-1+'02_Eingaben'!$C$17))))</f>
        <v/>
      </c>
      <c r="G1308" s="27">
        <f>IF(F1308="","",F1308-'02_Eingaben'!$C$10)</f>
        <v/>
      </c>
      <c r="H1308">
        <f>IF(F1308="","",IF(F1308&lt;'02_Eingaben'!$C$18*'02_Eingaben'!$C$10,1,0))</f>
        <v/>
      </c>
      <c r="I1308" s="27">
        <f>IF(OR(G1308="",G1309=""),"",(G1308+G1309)/2*(B1309-B1308))</f>
        <v/>
      </c>
      <c r="J1308" s="27">
        <f>IF(B1308="","",IF(B1307&lt;'02_Eingaben'!$C$36,0,J1307+I1307/'02_Eingaben'!$C$8))</f>
        <v/>
      </c>
    </row>
    <row r="1309">
      <c r="A1309">
        <f>IF('01_Rohdaten'!A1309="","",ROW()-1)</f>
        <v/>
      </c>
      <c r="B1309" s="27">
        <f>IF('01_Rohdaten'!A1309="","",'01_Rohdaten'!A1309)</f>
        <v/>
      </c>
      <c r="C1309" s="27">
        <f>IF(B1309="","",INDEX('01_Rohdaten'!B1309:D1309,'02_Eingaben'!$C$13))</f>
        <v/>
      </c>
      <c r="D1309" s="27">
        <f>IF(C1309="","",C1309*'02_Eingaben'!$C$15)</f>
        <v/>
      </c>
      <c r="E1309" s="27">
        <f>IF(D1309="","",D1309*'02_Eingaben'!$C$8)</f>
        <v/>
      </c>
      <c r="F1309" s="27">
        <f>IF(E1309="","",AVERAGE(INDEX($E$2:$E$3001,MAX(1,ROW()-1-'02_Eingaben'!$C$17)):INDEX($E$2:$E$3001,MIN('02_Eingaben'!$C$21,ROW()-1+'02_Eingaben'!$C$17))))</f>
        <v/>
      </c>
      <c r="G1309" s="27">
        <f>IF(F1309="","",F1309-'02_Eingaben'!$C$10)</f>
        <v/>
      </c>
      <c r="H1309">
        <f>IF(F1309="","",IF(F1309&lt;'02_Eingaben'!$C$18*'02_Eingaben'!$C$10,1,0))</f>
        <v/>
      </c>
      <c r="I1309" s="27">
        <f>IF(OR(G1309="",G1310=""),"",(G1309+G1310)/2*(B1310-B1309))</f>
        <v/>
      </c>
      <c r="J1309" s="27">
        <f>IF(B1309="","",IF(B1308&lt;'02_Eingaben'!$C$36,0,J1308+I1308/'02_Eingaben'!$C$8))</f>
        <v/>
      </c>
    </row>
    <row r="1310">
      <c r="A1310">
        <f>IF('01_Rohdaten'!A1310="","",ROW()-1)</f>
        <v/>
      </c>
      <c r="B1310" s="27">
        <f>IF('01_Rohdaten'!A1310="","",'01_Rohdaten'!A1310)</f>
        <v/>
      </c>
      <c r="C1310" s="27">
        <f>IF(B1310="","",INDEX('01_Rohdaten'!B1310:D1310,'02_Eingaben'!$C$13))</f>
        <v/>
      </c>
      <c r="D1310" s="27">
        <f>IF(C1310="","",C1310*'02_Eingaben'!$C$15)</f>
        <v/>
      </c>
      <c r="E1310" s="27">
        <f>IF(D1310="","",D1310*'02_Eingaben'!$C$8)</f>
        <v/>
      </c>
      <c r="F1310" s="27">
        <f>IF(E1310="","",AVERAGE(INDEX($E$2:$E$3001,MAX(1,ROW()-1-'02_Eingaben'!$C$17)):INDEX($E$2:$E$3001,MIN('02_Eingaben'!$C$21,ROW()-1+'02_Eingaben'!$C$17))))</f>
        <v/>
      </c>
      <c r="G1310" s="27">
        <f>IF(F1310="","",F1310-'02_Eingaben'!$C$10)</f>
        <v/>
      </c>
      <c r="H1310">
        <f>IF(F1310="","",IF(F1310&lt;'02_Eingaben'!$C$18*'02_Eingaben'!$C$10,1,0))</f>
        <v/>
      </c>
      <c r="I1310" s="27">
        <f>IF(OR(G1310="",G1311=""),"",(G1310+G1311)/2*(B1311-B1310))</f>
        <v/>
      </c>
      <c r="J1310" s="27">
        <f>IF(B1310="","",IF(B1309&lt;'02_Eingaben'!$C$36,0,J1309+I1309/'02_Eingaben'!$C$8))</f>
        <v/>
      </c>
    </row>
    <row r="1311">
      <c r="A1311">
        <f>IF('01_Rohdaten'!A1311="","",ROW()-1)</f>
        <v/>
      </c>
      <c r="B1311" s="27">
        <f>IF('01_Rohdaten'!A1311="","",'01_Rohdaten'!A1311)</f>
        <v/>
      </c>
      <c r="C1311" s="27">
        <f>IF(B1311="","",INDEX('01_Rohdaten'!B1311:D1311,'02_Eingaben'!$C$13))</f>
        <v/>
      </c>
      <c r="D1311" s="27">
        <f>IF(C1311="","",C1311*'02_Eingaben'!$C$15)</f>
        <v/>
      </c>
      <c r="E1311" s="27">
        <f>IF(D1311="","",D1311*'02_Eingaben'!$C$8)</f>
        <v/>
      </c>
      <c r="F1311" s="27">
        <f>IF(E1311="","",AVERAGE(INDEX($E$2:$E$3001,MAX(1,ROW()-1-'02_Eingaben'!$C$17)):INDEX($E$2:$E$3001,MIN('02_Eingaben'!$C$21,ROW()-1+'02_Eingaben'!$C$17))))</f>
        <v/>
      </c>
      <c r="G1311" s="27">
        <f>IF(F1311="","",F1311-'02_Eingaben'!$C$10)</f>
        <v/>
      </c>
      <c r="H1311">
        <f>IF(F1311="","",IF(F1311&lt;'02_Eingaben'!$C$18*'02_Eingaben'!$C$10,1,0))</f>
        <v/>
      </c>
      <c r="I1311" s="27">
        <f>IF(OR(G1311="",G1312=""),"",(G1311+G1312)/2*(B1312-B1311))</f>
        <v/>
      </c>
      <c r="J1311" s="27">
        <f>IF(B1311="","",IF(B1310&lt;'02_Eingaben'!$C$36,0,J1310+I1310/'02_Eingaben'!$C$8))</f>
        <v/>
      </c>
    </row>
    <row r="1312">
      <c r="A1312">
        <f>IF('01_Rohdaten'!A1312="","",ROW()-1)</f>
        <v/>
      </c>
      <c r="B1312" s="27">
        <f>IF('01_Rohdaten'!A1312="","",'01_Rohdaten'!A1312)</f>
        <v/>
      </c>
      <c r="C1312" s="27">
        <f>IF(B1312="","",INDEX('01_Rohdaten'!B1312:D1312,'02_Eingaben'!$C$13))</f>
        <v/>
      </c>
      <c r="D1312" s="27">
        <f>IF(C1312="","",C1312*'02_Eingaben'!$C$15)</f>
        <v/>
      </c>
      <c r="E1312" s="27">
        <f>IF(D1312="","",D1312*'02_Eingaben'!$C$8)</f>
        <v/>
      </c>
      <c r="F1312" s="27">
        <f>IF(E1312="","",AVERAGE(INDEX($E$2:$E$3001,MAX(1,ROW()-1-'02_Eingaben'!$C$17)):INDEX($E$2:$E$3001,MIN('02_Eingaben'!$C$21,ROW()-1+'02_Eingaben'!$C$17))))</f>
        <v/>
      </c>
      <c r="G1312" s="27">
        <f>IF(F1312="","",F1312-'02_Eingaben'!$C$10)</f>
        <v/>
      </c>
      <c r="H1312">
        <f>IF(F1312="","",IF(F1312&lt;'02_Eingaben'!$C$18*'02_Eingaben'!$C$10,1,0))</f>
        <v/>
      </c>
      <c r="I1312" s="27">
        <f>IF(OR(G1312="",G1313=""),"",(G1312+G1313)/2*(B1313-B1312))</f>
        <v/>
      </c>
      <c r="J1312" s="27">
        <f>IF(B1312="","",IF(B1311&lt;'02_Eingaben'!$C$36,0,J1311+I1311/'02_Eingaben'!$C$8))</f>
        <v/>
      </c>
    </row>
    <row r="1313">
      <c r="A1313">
        <f>IF('01_Rohdaten'!A1313="","",ROW()-1)</f>
        <v/>
      </c>
      <c r="B1313" s="27">
        <f>IF('01_Rohdaten'!A1313="","",'01_Rohdaten'!A1313)</f>
        <v/>
      </c>
      <c r="C1313" s="27">
        <f>IF(B1313="","",INDEX('01_Rohdaten'!B1313:D1313,'02_Eingaben'!$C$13))</f>
        <v/>
      </c>
      <c r="D1313" s="27">
        <f>IF(C1313="","",C1313*'02_Eingaben'!$C$15)</f>
        <v/>
      </c>
      <c r="E1313" s="27">
        <f>IF(D1313="","",D1313*'02_Eingaben'!$C$8)</f>
        <v/>
      </c>
      <c r="F1313" s="27">
        <f>IF(E1313="","",AVERAGE(INDEX($E$2:$E$3001,MAX(1,ROW()-1-'02_Eingaben'!$C$17)):INDEX($E$2:$E$3001,MIN('02_Eingaben'!$C$21,ROW()-1+'02_Eingaben'!$C$17))))</f>
        <v/>
      </c>
      <c r="G1313" s="27">
        <f>IF(F1313="","",F1313-'02_Eingaben'!$C$10)</f>
        <v/>
      </c>
      <c r="H1313">
        <f>IF(F1313="","",IF(F1313&lt;'02_Eingaben'!$C$18*'02_Eingaben'!$C$10,1,0))</f>
        <v/>
      </c>
      <c r="I1313" s="27">
        <f>IF(OR(G1313="",G1314=""),"",(G1313+G1314)/2*(B1314-B1313))</f>
        <v/>
      </c>
      <c r="J1313" s="27">
        <f>IF(B1313="","",IF(B1312&lt;'02_Eingaben'!$C$36,0,J1312+I1312/'02_Eingaben'!$C$8))</f>
        <v/>
      </c>
    </row>
    <row r="1314">
      <c r="A1314">
        <f>IF('01_Rohdaten'!A1314="","",ROW()-1)</f>
        <v/>
      </c>
      <c r="B1314" s="27">
        <f>IF('01_Rohdaten'!A1314="","",'01_Rohdaten'!A1314)</f>
        <v/>
      </c>
      <c r="C1314" s="27">
        <f>IF(B1314="","",INDEX('01_Rohdaten'!B1314:D1314,'02_Eingaben'!$C$13))</f>
        <v/>
      </c>
      <c r="D1314" s="27">
        <f>IF(C1314="","",C1314*'02_Eingaben'!$C$15)</f>
        <v/>
      </c>
      <c r="E1314" s="27">
        <f>IF(D1314="","",D1314*'02_Eingaben'!$C$8)</f>
        <v/>
      </c>
      <c r="F1314" s="27">
        <f>IF(E1314="","",AVERAGE(INDEX($E$2:$E$3001,MAX(1,ROW()-1-'02_Eingaben'!$C$17)):INDEX($E$2:$E$3001,MIN('02_Eingaben'!$C$21,ROW()-1+'02_Eingaben'!$C$17))))</f>
        <v/>
      </c>
      <c r="G1314" s="27">
        <f>IF(F1314="","",F1314-'02_Eingaben'!$C$10)</f>
        <v/>
      </c>
      <c r="H1314">
        <f>IF(F1314="","",IF(F1314&lt;'02_Eingaben'!$C$18*'02_Eingaben'!$C$10,1,0))</f>
        <v/>
      </c>
      <c r="I1314" s="27">
        <f>IF(OR(G1314="",G1315=""),"",(G1314+G1315)/2*(B1315-B1314))</f>
        <v/>
      </c>
      <c r="J1314" s="27">
        <f>IF(B1314="","",IF(B1313&lt;'02_Eingaben'!$C$36,0,J1313+I1313/'02_Eingaben'!$C$8))</f>
        <v/>
      </c>
    </row>
    <row r="1315">
      <c r="A1315">
        <f>IF('01_Rohdaten'!A1315="","",ROW()-1)</f>
        <v/>
      </c>
      <c r="B1315" s="27">
        <f>IF('01_Rohdaten'!A1315="","",'01_Rohdaten'!A1315)</f>
        <v/>
      </c>
      <c r="C1315" s="27">
        <f>IF(B1315="","",INDEX('01_Rohdaten'!B1315:D1315,'02_Eingaben'!$C$13))</f>
        <v/>
      </c>
      <c r="D1315" s="27">
        <f>IF(C1315="","",C1315*'02_Eingaben'!$C$15)</f>
        <v/>
      </c>
      <c r="E1315" s="27">
        <f>IF(D1315="","",D1315*'02_Eingaben'!$C$8)</f>
        <v/>
      </c>
      <c r="F1315" s="27">
        <f>IF(E1315="","",AVERAGE(INDEX($E$2:$E$3001,MAX(1,ROW()-1-'02_Eingaben'!$C$17)):INDEX($E$2:$E$3001,MIN('02_Eingaben'!$C$21,ROW()-1+'02_Eingaben'!$C$17))))</f>
        <v/>
      </c>
      <c r="G1315" s="27">
        <f>IF(F1315="","",F1315-'02_Eingaben'!$C$10)</f>
        <v/>
      </c>
      <c r="H1315">
        <f>IF(F1315="","",IF(F1315&lt;'02_Eingaben'!$C$18*'02_Eingaben'!$C$10,1,0))</f>
        <v/>
      </c>
      <c r="I1315" s="27">
        <f>IF(OR(G1315="",G1316=""),"",(G1315+G1316)/2*(B1316-B1315))</f>
        <v/>
      </c>
      <c r="J1315" s="27">
        <f>IF(B1315="","",IF(B1314&lt;'02_Eingaben'!$C$36,0,J1314+I1314/'02_Eingaben'!$C$8))</f>
        <v/>
      </c>
    </row>
    <row r="1316">
      <c r="A1316">
        <f>IF('01_Rohdaten'!A1316="","",ROW()-1)</f>
        <v/>
      </c>
      <c r="B1316" s="27">
        <f>IF('01_Rohdaten'!A1316="","",'01_Rohdaten'!A1316)</f>
        <v/>
      </c>
      <c r="C1316" s="27">
        <f>IF(B1316="","",INDEX('01_Rohdaten'!B1316:D1316,'02_Eingaben'!$C$13))</f>
        <v/>
      </c>
      <c r="D1316" s="27">
        <f>IF(C1316="","",C1316*'02_Eingaben'!$C$15)</f>
        <v/>
      </c>
      <c r="E1316" s="27">
        <f>IF(D1316="","",D1316*'02_Eingaben'!$C$8)</f>
        <v/>
      </c>
      <c r="F1316" s="27">
        <f>IF(E1316="","",AVERAGE(INDEX($E$2:$E$3001,MAX(1,ROW()-1-'02_Eingaben'!$C$17)):INDEX($E$2:$E$3001,MIN('02_Eingaben'!$C$21,ROW()-1+'02_Eingaben'!$C$17))))</f>
        <v/>
      </c>
      <c r="G1316" s="27">
        <f>IF(F1316="","",F1316-'02_Eingaben'!$C$10)</f>
        <v/>
      </c>
      <c r="H1316">
        <f>IF(F1316="","",IF(F1316&lt;'02_Eingaben'!$C$18*'02_Eingaben'!$C$10,1,0))</f>
        <v/>
      </c>
      <c r="I1316" s="27">
        <f>IF(OR(G1316="",G1317=""),"",(G1316+G1317)/2*(B1317-B1316))</f>
        <v/>
      </c>
      <c r="J1316" s="27">
        <f>IF(B1316="","",IF(B1315&lt;'02_Eingaben'!$C$36,0,J1315+I1315/'02_Eingaben'!$C$8))</f>
        <v/>
      </c>
    </row>
    <row r="1317">
      <c r="A1317">
        <f>IF('01_Rohdaten'!A1317="","",ROW()-1)</f>
        <v/>
      </c>
      <c r="B1317" s="27">
        <f>IF('01_Rohdaten'!A1317="","",'01_Rohdaten'!A1317)</f>
        <v/>
      </c>
      <c r="C1317" s="27">
        <f>IF(B1317="","",INDEX('01_Rohdaten'!B1317:D1317,'02_Eingaben'!$C$13))</f>
        <v/>
      </c>
      <c r="D1317" s="27">
        <f>IF(C1317="","",C1317*'02_Eingaben'!$C$15)</f>
        <v/>
      </c>
      <c r="E1317" s="27">
        <f>IF(D1317="","",D1317*'02_Eingaben'!$C$8)</f>
        <v/>
      </c>
      <c r="F1317" s="27">
        <f>IF(E1317="","",AVERAGE(INDEX($E$2:$E$3001,MAX(1,ROW()-1-'02_Eingaben'!$C$17)):INDEX($E$2:$E$3001,MIN('02_Eingaben'!$C$21,ROW()-1+'02_Eingaben'!$C$17))))</f>
        <v/>
      </c>
      <c r="G1317" s="27">
        <f>IF(F1317="","",F1317-'02_Eingaben'!$C$10)</f>
        <v/>
      </c>
      <c r="H1317">
        <f>IF(F1317="","",IF(F1317&lt;'02_Eingaben'!$C$18*'02_Eingaben'!$C$10,1,0))</f>
        <v/>
      </c>
      <c r="I1317" s="27">
        <f>IF(OR(G1317="",G1318=""),"",(G1317+G1318)/2*(B1318-B1317))</f>
        <v/>
      </c>
      <c r="J1317" s="27">
        <f>IF(B1317="","",IF(B1316&lt;'02_Eingaben'!$C$36,0,J1316+I1316/'02_Eingaben'!$C$8))</f>
        <v/>
      </c>
    </row>
    <row r="1318">
      <c r="A1318">
        <f>IF('01_Rohdaten'!A1318="","",ROW()-1)</f>
        <v/>
      </c>
      <c r="B1318" s="27">
        <f>IF('01_Rohdaten'!A1318="","",'01_Rohdaten'!A1318)</f>
        <v/>
      </c>
      <c r="C1318" s="27">
        <f>IF(B1318="","",INDEX('01_Rohdaten'!B1318:D1318,'02_Eingaben'!$C$13))</f>
        <v/>
      </c>
      <c r="D1318" s="27">
        <f>IF(C1318="","",C1318*'02_Eingaben'!$C$15)</f>
        <v/>
      </c>
      <c r="E1318" s="27">
        <f>IF(D1318="","",D1318*'02_Eingaben'!$C$8)</f>
        <v/>
      </c>
      <c r="F1318" s="27">
        <f>IF(E1318="","",AVERAGE(INDEX($E$2:$E$3001,MAX(1,ROW()-1-'02_Eingaben'!$C$17)):INDEX($E$2:$E$3001,MIN('02_Eingaben'!$C$21,ROW()-1+'02_Eingaben'!$C$17))))</f>
        <v/>
      </c>
      <c r="G1318" s="27">
        <f>IF(F1318="","",F1318-'02_Eingaben'!$C$10)</f>
        <v/>
      </c>
      <c r="H1318">
        <f>IF(F1318="","",IF(F1318&lt;'02_Eingaben'!$C$18*'02_Eingaben'!$C$10,1,0))</f>
        <v/>
      </c>
      <c r="I1318" s="27">
        <f>IF(OR(G1318="",G1319=""),"",(G1318+G1319)/2*(B1319-B1318))</f>
        <v/>
      </c>
      <c r="J1318" s="27">
        <f>IF(B1318="","",IF(B1317&lt;'02_Eingaben'!$C$36,0,J1317+I1317/'02_Eingaben'!$C$8))</f>
        <v/>
      </c>
    </row>
    <row r="1319">
      <c r="A1319">
        <f>IF('01_Rohdaten'!A1319="","",ROW()-1)</f>
        <v/>
      </c>
      <c r="B1319" s="27">
        <f>IF('01_Rohdaten'!A1319="","",'01_Rohdaten'!A1319)</f>
        <v/>
      </c>
      <c r="C1319" s="27">
        <f>IF(B1319="","",INDEX('01_Rohdaten'!B1319:D1319,'02_Eingaben'!$C$13))</f>
        <v/>
      </c>
      <c r="D1319" s="27">
        <f>IF(C1319="","",C1319*'02_Eingaben'!$C$15)</f>
        <v/>
      </c>
      <c r="E1319" s="27">
        <f>IF(D1319="","",D1319*'02_Eingaben'!$C$8)</f>
        <v/>
      </c>
      <c r="F1319" s="27">
        <f>IF(E1319="","",AVERAGE(INDEX($E$2:$E$3001,MAX(1,ROW()-1-'02_Eingaben'!$C$17)):INDEX($E$2:$E$3001,MIN('02_Eingaben'!$C$21,ROW()-1+'02_Eingaben'!$C$17))))</f>
        <v/>
      </c>
      <c r="G1319" s="27">
        <f>IF(F1319="","",F1319-'02_Eingaben'!$C$10)</f>
        <v/>
      </c>
      <c r="H1319">
        <f>IF(F1319="","",IF(F1319&lt;'02_Eingaben'!$C$18*'02_Eingaben'!$C$10,1,0))</f>
        <v/>
      </c>
      <c r="I1319" s="27">
        <f>IF(OR(G1319="",G1320=""),"",(G1319+G1320)/2*(B1320-B1319))</f>
        <v/>
      </c>
      <c r="J1319" s="27">
        <f>IF(B1319="","",IF(B1318&lt;'02_Eingaben'!$C$36,0,J1318+I1318/'02_Eingaben'!$C$8))</f>
        <v/>
      </c>
    </row>
    <row r="1320">
      <c r="A1320">
        <f>IF('01_Rohdaten'!A1320="","",ROW()-1)</f>
        <v/>
      </c>
      <c r="B1320" s="27">
        <f>IF('01_Rohdaten'!A1320="","",'01_Rohdaten'!A1320)</f>
        <v/>
      </c>
      <c r="C1320" s="27">
        <f>IF(B1320="","",INDEX('01_Rohdaten'!B1320:D1320,'02_Eingaben'!$C$13))</f>
        <v/>
      </c>
      <c r="D1320" s="27">
        <f>IF(C1320="","",C1320*'02_Eingaben'!$C$15)</f>
        <v/>
      </c>
      <c r="E1320" s="27">
        <f>IF(D1320="","",D1320*'02_Eingaben'!$C$8)</f>
        <v/>
      </c>
      <c r="F1320" s="27">
        <f>IF(E1320="","",AVERAGE(INDEX($E$2:$E$3001,MAX(1,ROW()-1-'02_Eingaben'!$C$17)):INDEX($E$2:$E$3001,MIN('02_Eingaben'!$C$21,ROW()-1+'02_Eingaben'!$C$17))))</f>
        <v/>
      </c>
      <c r="G1320" s="27">
        <f>IF(F1320="","",F1320-'02_Eingaben'!$C$10)</f>
        <v/>
      </c>
      <c r="H1320">
        <f>IF(F1320="","",IF(F1320&lt;'02_Eingaben'!$C$18*'02_Eingaben'!$C$10,1,0))</f>
        <v/>
      </c>
      <c r="I1320" s="27">
        <f>IF(OR(G1320="",G1321=""),"",(G1320+G1321)/2*(B1321-B1320))</f>
        <v/>
      </c>
      <c r="J1320" s="27">
        <f>IF(B1320="","",IF(B1319&lt;'02_Eingaben'!$C$36,0,J1319+I1319/'02_Eingaben'!$C$8))</f>
        <v/>
      </c>
    </row>
    <row r="1321">
      <c r="A1321">
        <f>IF('01_Rohdaten'!A1321="","",ROW()-1)</f>
        <v/>
      </c>
      <c r="B1321" s="27">
        <f>IF('01_Rohdaten'!A1321="","",'01_Rohdaten'!A1321)</f>
        <v/>
      </c>
      <c r="C1321" s="27">
        <f>IF(B1321="","",INDEX('01_Rohdaten'!B1321:D1321,'02_Eingaben'!$C$13))</f>
        <v/>
      </c>
      <c r="D1321" s="27">
        <f>IF(C1321="","",C1321*'02_Eingaben'!$C$15)</f>
        <v/>
      </c>
      <c r="E1321" s="27">
        <f>IF(D1321="","",D1321*'02_Eingaben'!$C$8)</f>
        <v/>
      </c>
      <c r="F1321" s="27">
        <f>IF(E1321="","",AVERAGE(INDEX($E$2:$E$3001,MAX(1,ROW()-1-'02_Eingaben'!$C$17)):INDEX($E$2:$E$3001,MIN('02_Eingaben'!$C$21,ROW()-1+'02_Eingaben'!$C$17))))</f>
        <v/>
      </c>
      <c r="G1321" s="27">
        <f>IF(F1321="","",F1321-'02_Eingaben'!$C$10)</f>
        <v/>
      </c>
      <c r="H1321">
        <f>IF(F1321="","",IF(F1321&lt;'02_Eingaben'!$C$18*'02_Eingaben'!$C$10,1,0))</f>
        <v/>
      </c>
      <c r="I1321" s="27">
        <f>IF(OR(G1321="",G1322=""),"",(G1321+G1322)/2*(B1322-B1321))</f>
        <v/>
      </c>
      <c r="J1321" s="27">
        <f>IF(B1321="","",IF(B1320&lt;'02_Eingaben'!$C$36,0,J1320+I1320/'02_Eingaben'!$C$8))</f>
        <v/>
      </c>
    </row>
    <row r="1322">
      <c r="A1322">
        <f>IF('01_Rohdaten'!A1322="","",ROW()-1)</f>
        <v/>
      </c>
      <c r="B1322" s="27">
        <f>IF('01_Rohdaten'!A1322="","",'01_Rohdaten'!A1322)</f>
        <v/>
      </c>
      <c r="C1322" s="27">
        <f>IF(B1322="","",INDEX('01_Rohdaten'!B1322:D1322,'02_Eingaben'!$C$13))</f>
        <v/>
      </c>
      <c r="D1322" s="27">
        <f>IF(C1322="","",C1322*'02_Eingaben'!$C$15)</f>
        <v/>
      </c>
      <c r="E1322" s="27">
        <f>IF(D1322="","",D1322*'02_Eingaben'!$C$8)</f>
        <v/>
      </c>
      <c r="F1322" s="27">
        <f>IF(E1322="","",AVERAGE(INDEX($E$2:$E$3001,MAX(1,ROW()-1-'02_Eingaben'!$C$17)):INDEX($E$2:$E$3001,MIN('02_Eingaben'!$C$21,ROW()-1+'02_Eingaben'!$C$17))))</f>
        <v/>
      </c>
      <c r="G1322" s="27">
        <f>IF(F1322="","",F1322-'02_Eingaben'!$C$10)</f>
        <v/>
      </c>
      <c r="H1322">
        <f>IF(F1322="","",IF(F1322&lt;'02_Eingaben'!$C$18*'02_Eingaben'!$C$10,1,0))</f>
        <v/>
      </c>
      <c r="I1322" s="27">
        <f>IF(OR(G1322="",G1323=""),"",(G1322+G1323)/2*(B1323-B1322))</f>
        <v/>
      </c>
      <c r="J1322" s="27">
        <f>IF(B1322="","",IF(B1321&lt;'02_Eingaben'!$C$36,0,J1321+I1321/'02_Eingaben'!$C$8))</f>
        <v/>
      </c>
    </row>
    <row r="1323">
      <c r="A1323">
        <f>IF('01_Rohdaten'!A1323="","",ROW()-1)</f>
        <v/>
      </c>
      <c r="B1323" s="27">
        <f>IF('01_Rohdaten'!A1323="","",'01_Rohdaten'!A1323)</f>
        <v/>
      </c>
      <c r="C1323" s="27">
        <f>IF(B1323="","",INDEX('01_Rohdaten'!B1323:D1323,'02_Eingaben'!$C$13))</f>
        <v/>
      </c>
      <c r="D1323" s="27">
        <f>IF(C1323="","",C1323*'02_Eingaben'!$C$15)</f>
        <v/>
      </c>
      <c r="E1323" s="27">
        <f>IF(D1323="","",D1323*'02_Eingaben'!$C$8)</f>
        <v/>
      </c>
      <c r="F1323" s="27">
        <f>IF(E1323="","",AVERAGE(INDEX($E$2:$E$3001,MAX(1,ROW()-1-'02_Eingaben'!$C$17)):INDEX($E$2:$E$3001,MIN('02_Eingaben'!$C$21,ROW()-1+'02_Eingaben'!$C$17))))</f>
        <v/>
      </c>
      <c r="G1323" s="27">
        <f>IF(F1323="","",F1323-'02_Eingaben'!$C$10)</f>
        <v/>
      </c>
      <c r="H1323">
        <f>IF(F1323="","",IF(F1323&lt;'02_Eingaben'!$C$18*'02_Eingaben'!$C$10,1,0))</f>
        <v/>
      </c>
      <c r="I1323" s="27">
        <f>IF(OR(G1323="",G1324=""),"",(G1323+G1324)/2*(B1324-B1323))</f>
        <v/>
      </c>
      <c r="J1323" s="27">
        <f>IF(B1323="","",IF(B1322&lt;'02_Eingaben'!$C$36,0,J1322+I1322/'02_Eingaben'!$C$8))</f>
        <v/>
      </c>
    </row>
    <row r="1324">
      <c r="A1324">
        <f>IF('01_Rohdaten'!A1324="","",ROW()-1)</f>
        <v/>
      </c>
      <c r="B1324" s="27">
        <f>IF('01_Rohdaten'!A1324="","",'01_Rohdaten'!A1324)</f>
        <v/>
      </c>
      <c r="C1324" s="27">
        <f>IF(B1324="","",INDEX('01_Rohdaten'!B1324:D1324,'02_Eingaben'!$C$13))</f>
        <v/>
      </c>
      <c r="D1324" s="27">
        <f>IF(C1324="","",C1324*'02_Eingaben'!$C$15)</f>
        <v/>
      </c>
      <c r="E1324" s="27">
        <f>IF(D1324="","",D1324*'02_Eingaben'!$C$8)</f>
        <v/>
      </c>
      <c r="F1324" s="27">
        <f>IF(E1324="","",AVERAGE(INDEX($E$2:$E$3001,MAX(1,ROW()-1-'02_Eingaben'!$C$17)):INDEX($E$2:$E$3001,MIN('02_Eingaben'!$C$21,ROW()-1+'02_Eingaben'!$C$17))))</f>
        <v/>
      </c>
      <c r="G1324" s="27">
        <f>IF(F1324="","",F1324-'02_Eingaben'!$C$10)</f>
        <v/>
      </c>
      <c r="H1324">
        <f>IF(F1324="","",IF(F1324&lt;'02_Eingaben'!$C$18*'02_Eingaben'!$C$10,1,0))</f>
        <v/>
      </c>
      <c r="I1324" s="27">
        <f>IF(OR(G1324="",G1325=""),"",(G1324+G1325)/2*(B1325-B1324))</f>
        <v/>
      </c>
      <c r="J1324" s="27">
        <f>IF(B1324="","",IF(B1323&lt;'02_Eingaben'!$C$36,0,J1323+I1323/'02_Eingaben'!$C$8))</f>
        <v/>
      </c>
    </row>
    <row r="1325">
      <c r="A1325">
        <f>IF('01_Rohdaten'!A1325="","",ROW()-1)</f>
        <v/>
      </c>
      <c r="B1325" s="27">
        <f>IF('01_Rohdaten'!A1325="","",'01_Rohdaten'!A1325)</f>
        <v/>
      </c>
      <c r="C1325" s="27">
        <f>IF(B1325="","",INDEX('01_Rohdaten'!B1325:D1325,'02_Eingaben'!$C$13))</f>
        <v/>
      </c>
      <c r="D1325" s="27">
        <f>IF(C1325="","",C1325*'02_Eingaben'!$C$15)</f>
        <v/>
      </c>
      <c r="E1325" s="27">
        <f>IF(D1325="","",D1325*'02_Eingaben'!$C$8)</f>
        <v/>
      </c>
      <c r="F1325" s="27">
        <f>IF(E1325="","",AVERAGE(INDEX($E$2:$E$3001,MAX(1,ROW()-1-'02_Eingaben'!$C$17)):INDEX($E$2:$E$3001,MIN('02_Eingaben'!$C$21,ROW()-1+'02_Eingaben'!$C$17))))</f>
        <v/>
      </c>
      <c r="G1325" s="27">
        <f>IF(F1325="","",F1325-'02_Eingaben'!$C$10)</f>
        <v/>
      </c>
      <c r="H1325">
        <f>IF(F1325="","",IF(F1325&lt;'02_Eingaben'!$C$18*'02_Eingaben'!$C$10,1,0))</f>
        <v/>
      </c>
      <c r="I1325" s="27">
        <f>IF(OR(G1325="",G1326=""),"",(G1325+G1326)/2*(B1326-B1325))</f>
        <v/>
      </c>
      <c r="J1325" s="27">
        <f>IF(B1325="","",IF(B1324&lt;'02_Eingaben'!$C$36,0,J1324+I1324/'02_Eingaben'!$C$8))</f>
        <v/>
      </c>
    </row>
    <row r="1326">
      <c r="A1326">
        <f>IF('01_Rohdaten'!A1326="","",ROW()-1)</f>
        <v/>
      </c>
      <c r="B1326" s="27">
        <f>IF('01_Rohdaten'!A1326="","",'01_Rohdaten'!A1326)</f>
        <v/>
      </c>
      <c r="C1326" s="27">
        <f>IF(B1326="","",INDEX('01_Rohdaten'!B1326:D1326,'02_Eingaben'!$C$13))</f>
        <v/>
      </c>
      <c r="D1326" s="27">
        <f>IF(C1326="","",C1326*'02_Eingaben'!$C$15)</f>
        <v/>
      </c>
      <c r="E1326" s="27">
        <f>IF(D1326="","",D1326*'02_Eingaben'!$C$8)</f>
        <v/>
      </c>
      <c r="F1326" s="27">
        <f>IF(E1326="","",AVERAGE(INDEX($E$2:$E$3001,MAX(1,ROW()-1-'02_Eingaben'!$C$17)):INDEX($E$2:$E$3001,MIN('02_Eingaben'!$C$21,ROW()-1+'02_Eingaben'!$C$17))))</f>
        <v/>
      </c>
      <c r="G1326" s="27">
        <f>IF(F1326="","",F1326-'02_Eingaben'!$C$10)</f>
        <v/>
      </c>
      <c r="H1326">
        <f>IF(F1326="","",IF(F1326&lt;'02_Eingaben'!$C$18*'02_Eingaben'!$C$10,1,0))</f>
        <v/>
      </c>
      <c r="I1326" s="27">
        <f>IF(OR(G1326="",G1327=""),"",(G1326+G1327)/2*(B1327-B1326))</f>
        <v/>
      </c>
      <c r="J1326" s="27">
        <f>IF(B1326="","",IF(B1325&lt;'02_Eingaben'!$C$36,0,J1325+I1325/'02_Eingaben'!$C$8))</f>
        <v/>
      </c>
    </row>
    <row r="1327">
      <c r="A1327">
        <f>IF('01_Rohdaten'!A1327="","",ROW()-1)</f>
        <v/>
      </c>
      <c r="B1327" s="27">
        <f>IF('01_Rohdaten'!A1327="","",'01_Rohdaten'!A1327)</f>
        <v/>
      </c>
      <c r="C1327" s="27">
        <f>IF(B1327="","",INDEX('01_Rohdaten'!B1327:D1327,'02_Eingaben'!$C$13))</f>
        <v/>
      </c>
      <c r="D1327" s="27">
        <f>IF(C1327="","",C1327*'02_Eingaben'!$C$15)</f>
        <v/>
      </c>
      <c r="E1327" s="27">
        <f>IF(D1327="","",D1327*'02_Eingaben'!$C$8)</f>
        <v/>
      </c>
      <c r="F1327" s="27">
        <f>IF(E1327="","",AVERAGE(INDEX($E$2:$E$3001,MAX(1,ROW()-1-'02_Eingaben'!$C$17)):INDEX($E$2:$E$3001,MIN('02_Eingaben'!$C$21,ROW()-1+'02_Eingaben'!$C$17))))</f>
        <v/>
      </c>
      <c r="G1327" s="27">
        <f>IF(F1327="","",F1327-'02_Eingaben'!$C$10)</f>
        <v/>
      </c>
      <c r="H1327">
        <f>IF(F1327="","",IF(F1327&lt;'02_Eingaben'!$C$18*'02_Eingaben'!$C$10,1,0))</f>
        <v/>
      </c>
      <c r="I1327" s="27">
        <f>IF(OR(G1327="",G1328=""),"",(G1327+G1328)/2*(B1328-B1327))</f>
        <v/>
      </c>
      <c r="J1327" s="27">
        <f>IF(B1327="","",IF(B1326&lt;'02_Eingaben'!$C$36,0,J1326+I1326/'02_Eingaben'!$C$8))</f>
        <v/>
      </c>
    </row>
    <row r="1328">
      <c r="A1328">
        <f>IF('01_Rohdaten'!A1328="","",ROW()-1)</f>
        <v/>
      </c>
      <c r="B1328" s="27">
        <f>IF('01_Rohdaten'!A1328="","",'01_Rohdaten'!A1328)</f>
        <v/>
      </c>
      <c r="C1328" s="27">
        <f>IF(B1328="","",INDEX('01_Rohdaten'!B1328:D1328,'02_Eingaben'!$C$13))</f>
        <v/>
      </c>
      <c r="D1328" s="27">
        <f>IF(C1328="","",C1328*'02_Eingaben'!$C$15)</f>
        <v/>
      </c>
      <c r="E1328" s="27">
        <f>IF(D1328="","",D1328*'02_Eingaben'!$C$8)</f>
        <v/>
      </c>
      <c r="F1328" s="27">
        <f>IF(E1328="","",AVERAGE(INDEX($E$2:$E$3001,MAX(1,ROW()-1-'02_Eingaben'!$C$17)):INDEX($E$2:$E$3001,MIN('02_Eingaben'!$C$21,ROW()-1+'02_Eingaben'!$C$17))))</f>
        <v/>
      </c>
      <c r="G1328" s="27">
        <f>IF(F1328="","",F1328-'02_Eingaben'!$C$10)</f>
        <v/>
      </c>
      <c r="H1328">
        <f>IF(F1328="","",IF(F1328&lt;'02_Eingaben'!$C$18*'02_Eingaben'!$C$10,1,0))</f>
        <v/>
      </c>
      <c r="I1328" s="27">
        <f>IF(OR(G1328="",G1329=""),"",(G1328+G1329)/2*(B1329-B1328))</f>
        <v/>
      </c>
      <c r="J1328" s="27">
        <f>IF(B1328="","",IF(B1327&lt;'02_Eingaben'!$C$36,0,J1327+I1327/'02_Eingaben'!$C$8))</f>
        <v/>
      </c>
    </row>
    <row r="1329">
      <c r="A1329">
        <f>IF('01_Rohdaten'!A1329="","",ROW()-1)</f>
        <v/>
      </c>
      <c r="B1329" s="27">
        <f>IF('01_Rohdaten'!A1329="","",'01_Rohdaten'!A1329)</f>
        <v/>
      </c>
      <c r="C1329" s="27">
        <f>IF(B1329="","",INDEX('01_Rohdaten'!B1329:D1329,'02_Eingaben'!$C$13))</f>
        <v/>
      </c>
      <c r="D1329" s="27">
        <f>IF(C1329="","",C1329*'02_Eingaben'!$C$15)</f>
        <v/>
      </c>
      <c r="E1329" s="27">
        <f>IF(D1329="","",D1329*'02_Eingaben'!$C$8)</f>
        <v/>
      </c>
      <c r="F1329" s="27">
        <f>IF(E1329="","",AVERAGE(INDEX($E$2:$E$3001,MAX(1,ROW()-1-'02_Eingaben'!$C$17)):INDEX($E$2:$E$3001,MIN('02_Eingaben'!$C$21,ROW()-1+'02_Eingaben'!$C$17))))</f>
        <v/>
      </c>
      <c r="G1329" s="27">
        <f>IF(F1329="","",F1329-'02_Eingaben'!$C$10)</f>
        <v/>
      </c>
      <c r="H1329">
        <f>IF(F1329="","",IF(F1329&lt;'02_Eingaben'!$C$18*'02_Eingaben'!$C$10,1,0))</f>
        <v/>
      </c>
      <c r="I1329" s="27">
        <f>IF(OR(G1329="",G1330=""),"",(G1329+G1330)/2*(B1330-B1329))</f>
        <v/>
      </c>
      <c r="J1329" s="27">
        <f>IF(B1329="","",IF(B1328&lt;'02_Eingaben'!$C$36,0,J1328+I1328/'02_Eingaben'!$C$8))</f>
        <v/>
      </c>
    </row>
    <row r="1330">
      <c r="A1330">
        <f>IF('01_Rohdaten'!A1330="","",ROW()-1)</f>
        <v/>
      </c>
      <c r="B1330" s="27">
        <f>IF('01_Rohdaten'!A1330="","",'01_Rohdaten'!A1330)</f>
        <v/>
      </c>
      <c r="C1330" s="27">
        <f>IF(B1330="","",INDEX('01_Rohdaten'!B1330:D1330,'02_Eingaben'!$C$13))</f>
        <v/>
      </c>
      <c r="D1330" s="27">
        <f>IF(C1330="","",C1330*'02_Eingaben'!$C$15)</f>
        <v/>
      </c>
      <c r="E1330" s="27">
        <f>IF(D1330="","",D1330*'02_Eingaben'!$C$8)</f>
        <v/>
      </c>
      <c r="F1330" s="27">
        <f>IF(E1330="","",AVERAGE(INDEX($E$2:$E$3001,MAX(1,ROW()-1-'02_Eingaben'!$C$17)):INDEX($E$2:$E$3001,MIN('02_Eingaben'!$C$21,ROW()-1+'02_Eingaben'!$C$17))))</f>
        <v/>
      </c>
      <c r="G1330" s="27">
        <f>IF(F1330="","",F1330-'02_Eingaben'!$C$10)</f>
        <v/>
      </c>
      <c r="H1330">
        <f>IF(F1330="","",IF(F1330&lt;'02_Eingaben'!$C$18*'02_Eingaben'!$C$10,1,0))</f>
        <v/>
      </c>
      <c r="I1330" s="27">
        <f>IF(OR(G1330="",G1331=""),"",(G1330+G1331)/2*(B1331-B1330))</f>
        <v/>
      </c>
      <c r="J1330" s="27">
        <f>IF(B1330="","",IF(B1329&lt;'02_Eingaben'!$C$36,0,J1329+I1329/'02_Eingaben'!$C$8))</f>
        <v/>
      </c>
    </row>
    <row r="1331">
      <c r="A1331">
        <f>IF('01_Rohdaten'!A1331="","",ROW()-1)</f>
        <v/>
      </c>
      <c r="B1331" s="27">
        <f>IF('01_Rohdaten'!A1331="","",'01_Rohdaten'!A1331)</f>
        <v/>
      </c>
      <c r="C1331" s="27">
        <f>IF(B1331="","",INDEX('01_Rohdaten'!B1331:D1331,'02_Eingaben'!$C$13))</f>
        <v/>
      </c>
      <c r="D1331" s="27">
        <f>IF(C1331="","",C1331*'02_Eingaben'!$C$15)</f>
        <v/>
      </c>
      <c r="E1331" s="27">
        <f>IF(D1331="","",D1331*'02_Eingaben'!$C$8)</f>
        <v/>
      </c>
      <c r="F1331" s="27">
        <f>IF(E1331="","",AVERAGE(INDEX($E$2:$E$3001,MAX(1,ROW()-1-'02_Eingaben'!$C$17)):INDEX($E$2:$E$3001,MIN('02_Eingaben'!$C$21,ROW()-1+'02_Eingaben'!$C$17))))</f>
        <v/>
      </c>
      <c r="G1331" s="27">
        <f>IF(F1331="","",F1331-'02_Eingaben'!$C$10)</f>
        <v/>
      </c>
      <c r="H1331">
        <f>IF(F1331="","",IF(F1331&lt;'02_Eingaben'!$C$18*'02_Eingaben'!$C$10,1,0))</f>
        <v/>
      </c>
      <c r="I1331" s="27">
        <f>IF(OR(G1331="",G1332=""),"",(G1331+G1332)/2*(B1332-B1331))</f>
        <v/>
      </c>
      <c r="J1331" s="27">
        <f>IF(B1331="","",IF(B1330&lt;'02_Eingaben'!$C$36,0,J1330+I1330/'02_Eingaben'!$C$8))</f>
        <v/>
      </c>
    </row>
    <row r="1332">
      <c r="A1332">
        <f>IF('01_Rohdaten'!A1332="","",ROW()-1)</f>
        <v/>
      </c>
      <c r="B1332" s="27">
        <f>IF('01_Rohdaten'!A1332="","",'01_Rohdaten'!A1332)</f>
        <v/>
      </c>
      <c r="C1332" s="27">
        <f>IF(B1332="","",INDEX('01_Rohdaten'!B1332:D1332,'02_Eingaben'!$C$13))</f>
        <v/>
      </c>
      <c r="D1332" s="27">
        <f>IF(C1332="","",C1332*'02_Eingaben'!$C$15)</f>
        <v/>
      </c>
      <c r="E1332" s="27">
        <f>IF(D1332="","",D1332*'02_Eingaben'!$C$8)</f>
        <v/>
      </c>
      <c r="F1332" s="27">
        <f>IF(E1332="","",AVERAGE(INDEX($E$2:$E$3001,MAX(1,ROW()-1-'02_Eingaben'!$C$17)):INDEX($E$2:$E$3001,MIN('02_Eingaben'!$C$21,ROW()-1+'02_Eingaben'!$C$17))))</f>
        <v/>
      </c>
      <c r="G1332" s="27">
        <f>IF(F1332="","",F1332-'02_Eingaben'!$C$10)</f>
        <v/>
      </c>
      <c r="H1332">
        <f>IF(F1332="","",IF(F1332&lt;'02_Eingaben'!$C$18*'02_Eingaben'!$C$10,1,0))</f>
        <v/>
      </c>
      <c r="I1332" s="27">
        <f>IF(OR(G1332="",G1333=""),"",(G1332+G1333)/2*(B1333-B1332))</f>
        <v/>
      </c>
      <c r="J1332" s="27">
        <f>IF(B1332="","",IF(B1331&lt;'02_Eingaben'!$C$36,0,J1331+I1331/'02_Eingaben'!$C$8))</f>
        <v/>
      </c>
    </row>
    <row r="1333">
      <c r="A1333">
        <f>IF('01_Rohdaten'!A1333="","",ROW()-1)</f>
        <v/>
      </c>
      <c r="B1333" s="27">
        <f>IF('01_Rohdaten'!A1333="","",'01_Rohdaten'!A1333)</f>
        <v/>
      </c>
      <c r="C1333" s="27">
        <f>IF(B1333="","",INDEX('01_Rohdaten'!B1333:D1333,'02_Eingaben'!$C$13))</f>
        <v/>
      </c>
      <c r="D1333" s="27">
        <f>IF(C1333="","",C1333*'02_Eingaben'!$C$15)</f>
        <v/>
      </c>
      <c r="E1333" s="27">
        <f>IF(D1333="","",D1333*'02_Eingaben'!$C$8)</f>
        <v/>
      </c>
      <c r="F1333" s="27">
        <f>IF(E1333="","",AVERAGE(INDEX($E$2:$E$3001,MAX(1,ROW()-1-'02_Eingaben'!$C$17)):INDEX($E$2:$E$3001,MIN('02_Eingaben'!$C$21,ROW()-1+'02_Eingaben'!$C$17))))</f>
        <v/>
      </c>
      <c r="G1333" s="27">
        <f>IF(F1333="","",F1333-'02_Eingaben'!$C$10)</f>
        <v/>
      </c>
      <c r="H1333">
        <f>IF(F1333="","",IF(F1333&lt;'02_Eingaben'!$C$18*'02_Eingaben'!$C$10,1,0))</f>
        <v/>
      </c>
      <c r="I1333" s="27">
        <f>IF(OR(G1333="",G1334=""),"",(G1333+G1334)/2*(B1334-B1333))</f>
        <v/>
      </c>
      <c r="J1333" s="27">
        <f>IF(B1333="","",IF(B1332&lt;'02_Eingaben'!$C$36,0,J1332+I1332/'02_Eingaben'!$C$8))</f>
        <v/>
      </c>
    </row>
    <row r="1334">
      <c r="A1334">
        <f>IF('01_Rohdaten'!A1334="","",ROW()-1)</f>
        <v/>
      </c>
      <c r="B1334" s="27">
        <f>IF('01_Rohdaten'!A1334="","",'01_Rohdaten'!A1334)</f>
        <v/>
      </c>
      <c r="C1334" s="27">
        <f>IF(B1334="","",INDEX('01_Rohdaten'!B1334:D1334,'02_Eingaben'!$C$13))</f>
        <v/>
      </c>
      <c r="D1334" s="27">
        <f>IF(C1334="","",C1334*'02_Eingaben'!$C$15)</f>
        <v/>
      </c>
      <c r="E1334" s="27">
        <f>IF(D1334="","",D1334*'02_Eingaben'!$C$8)</f>
        <v/>
      </c>
      <c r="F1334" s="27">
        <f>IF(E1334="","",AVERAGE(INDEX($E$2:$E$3001,MAX(1,ROW()-1-'02_Eingaben'!$C$17)):INDEX($E$2:$E$3001,MIN('02_Eingaben'!$C$21,ROW()-1+'02_Eingaben'!$C$17))))</f>
        <v/>
      </c>
      <c r="G1334" s="27">
        <f>IF(F1334="","",F1334-'02_Eingaben'!$C$10)</f>
        <v/>
      </c>
      <c r="H1334">
        <f>IF(F1334="","",IF(F1334&lt;'02_Eingaben'!$C$18*'02_Eingaben'!$C$10,1,0))</f>
        <v/>
      </c>
      <c r="I1334" s="27">
        <f>IF(OR(G1334="",G1335=""),"",(G1334+G1335)/2*(B1335-B1334))</f>
        <v/>
      </c>
      <c r="J1334" s="27">
        <f>IF(B1334="","",IF(B1333&lt;'02_Eingaben'!$C$36,0,J1333+I1333/'02_Eingaben'!$C$8))</f>
        <v/>
      </c>
    </row>
    <row r="1335">
      <c r="A1335">
        <f>IF('01_Rohdaten'!A1335="","",ROW()-1)</f>
        <v/>
      </c>
      <c r="B1335" s="27">
        <f>IF('01_Rohdaten'!A1335="","",'01_Rohdaten'!A1335)</f>
        <v/>
      </c>
      <c r="C1335" s="27">
        <f>IF(B1335="","",INDEX('01_Rohdaten'!B1335:D1335,'02_Eingaben'!$C$13))</f>
        <v/>
      </c>
      <c r="D1335" s="27">
        <f>IF(C1335="","",C1335*'02_Eingaben'!$C$15)</f>
        <v/>
      </c>
      <c r="E1335" s="27">
        <f>IF(D1335="","",D1335*'02_Eingaben'!$C$8)</f>
        <v/>
      </c>
      <c r="F1335" s="27">
        <f>IF(E1335="","",AVERAGE(INDEX($E$2:$E$3001,MAX(1,ROW()-1-'02_Eingaben'!$C$17)):INDEX($E$2:$E$3001,MIN('02_Eingaben'!$C$21,ROW()-1+'02_Eingaben'!$C$17))))</f>
        <v/>
      </c>
      <c r="G1335" s="27">
        <f>IF(F1335="","",F1335-'02_Eingaben'!$C$10)</f>
        <v/>
      </c>
      <c r="H1335">
        <f>IF(F1335="","",IF(F1335&lt;'02_Eingaben'!$C$18*'02_Eingaben'!$C$10,1,0))</f>
        <v/>
      </c>
      <c r="I1335" s="27">
        <f>IF(OR(G1335="",G1336=""),"",(G1335+G1336)/2*(B1336-B1335))</f>
        <v/>
      </c>
      <c r="J1335" s="27">
        <f>IF(B1335="","",IF(B1334&lt;'02_Eingaben'!$C$36,0,J1334+I1334/'02_Eingaben'!$C$8))</f>
        <v/>
      </c>
    </row>
    <row r="1336">
      <c r="A1336">
        <f>IF('01_Rohdaten'!A1336="","",ROW()-1)</f>
        <v/>
      </c>
      <c r="B1336" s="27">
        <f>IF('01_Rohdaten'!A1336="","",'01_Rohdaten'!A1336)</f>
        <v/>
      </c>
      <c r="C1336" s="27">
        <f>IF(B1336="","",INDEX('01_Rohdaten'!B1336:D1336,'02_Eingaben'!$C$13))</f>
        <v/>
      </c>
      <c r="D1336" s="27">
        <f>IF(C1336="","",C1336*'02_Eingaben'!$C$15)</f>
        <v/>
      </c>
      <c r="E1336" s="27">
        <f>IF(D1336="","",D1336*'02_Eingaben'!$C$8)</f>
        <v/>
      </c>
      <c r="F1336" s="27">
        <f>IF(E1336="","",AVERAGE(INDEX($E$2:$E$3001,MAX(1,ROW()-1-'02_Eingaben'!$C$17)):INDEX($E$2:$E$3001,MIN('02_Eingaben'!$C$21,ROW()-1+'02_Eingaben'!$C$17))))</f>
        <v/>
      </c>
      <c r="G1336" s="27">
        <f>IF(F1336="","",F1336-'02_Eingaben'!$C$10)</f>
        <v/>
      </c>
      <c r="H1336">
        <f>IF(F1336="","",IF(F1336&lt;'02_Eingaben'!$C$18*'02_Eingaben'!$C$10,1,0))</f>
        <v/>
      </c>
      <c r="I1336" s="27">
        <f>IF(OR(G1336="",G1337=""),"",(G1336+G1337)/2*(B1337-B1336))</f>
        <v/>
      </c>
      <c r="J1336" s="27">
        <f>IF(B1336="","",IF(B1335&lt;'02_Eingaben'!$C$36,0,J1335+I1335/'02_Eingaben'!$C$8))</f>
        <v/>
      </c>
    </row>
    <row r="1337">
      <c r="A1337">
        <f>IF('01_Rohdaten'!A1337="","",ROW()-1)</f>
        <v/>
      </c>
      <c r="B1337" s="27">
        <f>IF('01_Rohdaten'!A1337="","",'01_Rohdaten'!A1337)</f>
        <v/>
      </c>
      <c r="C1337" s="27">
        <f>IF(B1337="","",INDEX('01_Rohdaten'!B1337:D1337,'02_Eingaben'!$C$13))</f>
        <v/>
      </c>
      <c r="D1337" s="27">
        <f>IF(C1337="","",C1337*'02_Eingaben'!$C$15)</f>
        <v/>
      </c>
      <c r="E1337" s="27">
        <f>IF(D1337="","",D1337*'02_Eingaben'!$C$8)</f>
        <v/>
      </c>
      <c r="F1337" s="27">
        <f>IF(E1337="","",AVERAGE(INDEX($E$2:$E$3001,MAX(1,ROW()-1-'02_Eingaben'!$C$17)):INDEX($E$2:$E$3001,MIN('02_Eingaben'!$C$21,ROW()-1+'02_Eingaben'!$C$17))))</f>
        <v/>
      </c>
      <c r="G1337" s="27">
        <f>IF(F1337="","",F1337-'02_Eingaben'!$C$10)</f>
        <v/>
      </c>
      <c r="H1337">
        <f>IF(F1337="","",IF(F1337&lt;'02_Eingaben'!$C$18*'02_Eingaben'!$C$10,1,0))</f>
        <v/>
      </c>
      <c r="I1337" s="27">
        <f>IF(OR(G1337="",G1338=""),"",(G1337+G1338)/2*(B1338-B1337))</f>
        <v/>
      </c>
      <c r="J1337" s="27">
        <f>IF(B1337="","",IF(B1336&lt;'02_Eingaben'!$C$36,0,J1336+I1336/'02_Eingaben'!$C$8))</f>
        <v/>
      </c>
    </row>
    <row r="1338">
      <c r="A1338">
        <f>IF('01_Rohdaten'!A1338="","",ROW()-1)</f>
        <v/>
      </c>
      <c r="B1338" s="27">
        <f>IF('01_Rohdaten'!A1338="","",'01_Rohdaten'!A1338)</f>
        <v/>
      </c>
      <c r="C1338" s="27">
        <f>IF(B1338="","",INDEX('01_Rohdaten'!B1338:D1338,'02_Eingaben'!$C$13))</f>
        <v/>
      </c>
      <c r="D1338" s="27">
        <f>IF(C1338="","",C1338*'02_Eingaben'!$C$15)</f>
        <v/>
      </c>
      <c r="E1338" s="27">
        <f>IF(D1338="","",D1338*'02_Eingaben'!$C$8)</f>
        <v/>
      </c>
      <c r="F1338" s="27">
        <f>IF(E1338="","",AVERAGE(INDEX($E$2:$E$3001,MAX(1,ROW()-1-'02_Eingaben'!$C$17)):INDEX($E$2:$E$3001,MIN('02_Eingaben'!$C$21,ROW()-1+'02_Eingaben'!$C$17))))</f>
        <v/>
      </c>
      <c r="G1338" s="27">
        <f>IF(F1338="","",F1338-'02_Eingaben'!$C$10)</f>
        <v/>
      </c>
      <c r="H1338">
        <f>IF(F1338="","",IF(F1338&lt;'02_Eingaben'!$C$18*'02_Eingaben'!$C$10,1,0))</f>
        <v/>
      </c>
      <c r="I1338" s="27">
        <f>IF(OR(G1338="",G1339=""),"",(G1338+G1339)/2*(B1339-B1338))</f>
        <v/>
      </c>
      <c r="J1338" s="27">
        <f>IF(B1338="","",IF(B1337&lt;'02_Eingaben'!$C$36,0,J1337+I1337/'02_Eingaben'!$C$8))</f>
        <v/>
      </c>
    </row>
    <row r="1339">
      <c r="A1339">
        <f>IF('01_Rohdaten'!A1339="","",ROW()-1)</f>
        <v/>
      </c>
      <c r="B1339" s="27">
        <f>IF('01_Rohdaten'!A1339="","",'01_Rohdaten'!A1339)</f>
        <v/>
      </c>
      <c r="C1339" s="27">
        <f>IF(B1339="","",INDEX('01_Rohdaten'!B1339:D1339,'02_Eingaben'!$C$13))</f>
        <v/>
      </c>
      <c r="D1339" s="27">
        <f>IF(C1339="","",C1339*'02_Eingaben'!$C$15)</f>
        <v/>
      </c>
      <c r="E1339" s="27">
        <f>IF(D1339="","",D1339*'02_Eingaben'!$C$8)</f>
        <v/>
      </c>
      <c r="F1339" s="27">
        <f>IF(E1339="","",AVERAGE(INDEX($E$2:$E$3001,MAX(1,ROW()-1-'02_Eingaben'!$C$17)):INDEX($E$2:$E$3001,MIN('02_Eingaben'!$C$21,ROW()-1+'02_Eingaben'!$C$17))))</f>
        <v/>
      </c>
      <c r="G1339" s="27">
        <f>IF(F1339="","",F1339-'02_Eingaben'!$C$10)</f>
        <v/>
      </c>
      <c r="H1339">
        <f>IF(F1339="","",IF(F1339&lt;'02_Eingaben'!$C$18*'02_Eingaben'!$C$10,1,0))</f>
        <v/>
      </c>
      <c r="I1339" s="27">
        <f>IF(OR(G1339="",G1340=""),"",(G1339+G1340)/2*(B1340-B1339))</f>
        <v/>
      </c>
      <c r="J1339" s="27">
        <f>IF(B1339="","",IF(B1338&lt;'02_Eingaben'!$C$36,0,J1338+I1338/'02_Eingaben'!$C$8))</f>
        <v/>
      </c>
    </row>
    <row r="1340">
      <c r="A1340">
        <f>IF('01_Rohdaten'!A1340="","",ROW()-1)</f>
        <v/>
      </c>
      <c r="B1340" s="27">
        <f>IF('01_Rohdaten'!A1340="","",'01_Rohdaten'!A1340)</f>
        <v/>
      </c>
      <c r="C1340" s="27">
        <f>IF(B1340="","",INDEX('01_Rohdaten'!B1340:D1340,'02_Eingaben'!$C$13))</f>
        <v/>
      </c>
      <c r="D1340" s="27">
        <f>IF(C1340="","",C1340*'02_Eingaben'!$C$15)</f>
        <v/>
      </c>
      <c r="E1340" s="27">
        <f>IF(D1340="","",D1340*'02_Eingaben'!$C$8)</f>
        <v/>
      </c>
      <c r="F1340" s="27">
        <f>IF(E1340="","",AVERAGE(INDEX($E$2:$E$3001,MAX(1,ROW()-1-'02_Eingaben'!$C$17)):INDEX($E$2:$E$3001,MIN('02_Eingaben'!$C$21,ROW()-1+'02_Eingaben'!$C$17))))</f>
        <v/>
      </c>
      <c r="G1340" s="27">
        <f>IF(F1340="","",F1340-'02_Eingaben'!$C$10)</f>
        <v/>
      </c>
      <c r="H1340">
        <f>IF(F1340="","",IF(F1340&lt;'02_Eingaben'!$C$18*'02_Eingaben'!$C$10,1,0))</f>
        <v/>
      </c>
      <c r="I1340" s="27">
        <f>IF(OR(G1340="",G1341=""),"",(G1340+G1341)/2*(B1341-B1340))</f>
        <v/>
      </c>
      <c r="J1340" s="27">
        <f>IF(B1340="","",IF(B1339&lt;'02_Eingaben'!$C$36,0,J1339+I1339/'02_Eingaben'!$C$8))</f>
        <v/>
      </c>
    </row>
    <row r="1341">
      <c r="A1341">
        <f>IF('01_Rohdaten'!A1341="","",ROW()-1)</f>
        <v/>
      </c>
      <c r="B1341" s="27">
        <f>IF('01_Rohdaten'!A1341="","",'01_Rohdaten'!A1341)</f>
        <v/>
      </c>
      <c r="C1341" s="27">
        <f>IF(B1341="","",INDEX('01_Rohdaten'!B1341:D1341,'02_Eingaben'!$C$13))</f>
        <v/>
      </c>
      <c r="D1341" s="27">
        <f>IF(C1341="","",C1341*'02_Eingaben'!$C$15)</f>
        <v/>
      </c>
      <c r="E1341" s="27">
        <f>IF(D1341="","",D1341*'02_Eingaben'!$C$8)</f>
        <v/>
      </c>
      <c r="F1341" s="27">
        <f>IF(E1341="","",AVERAGE(INDEX($E$2:$E$3001,MAX(1,ROW()-1-'02_Eingaben'!$C$17)):INDEX($E$2:$E$3001,MIN('02_Eingaben'!$C$21,ROW()-1+'02_Eingaben'!$C$17))))</f>
        <v/>
      </c>
      <c r="G1341" s="27">
        <f>IF(F1341="","",F1341-'02_Eingaben'!$C$10)</f>
        <v/>
      </c>
      <c r="H1341">
        <f>IF(F1341="","",IF(F1341&lt;'02_Eingaben'!$C$18*'02_Eingaben'!$C$10,1,0))</f>
        <v/>
      </c>
      <c r="I1341" s="27">
        <f>IF(OR(G1341="",G1342=""),"",(G1341+G1342)/2*(B1342-B1341))</f>
        <v/>
      </c>
      <c r="J1341" s="27">
        <f>IF(B1341="","",IF(B1340&lt;'02_Eingaben'!$C$36,0,J1340+I1340/'02_Eingaben'!$C$8))</f>
        <v/>
      </c>
    </row>
    <row r="1342">
      <c r="A1342">
        <f>IF('01_Rohdaten'!A1342="","",ROW()-1)</f>
        <v/>
      </c>
      <c r="B1342" s="27">
        <f>IF('01_Rohdaten'!A1342="","",'01_Rohdaten'!A1342)</f>
        <v/>
      </c>
      <c r="C1342" s="27">
        <f>IF(B1342="","",INDEX('01_Rohdaten'!B1342:D1342,'02_Eingaben'!$C$13))</f>
        <v/>
      </c>
      <c r="D1342" s="27">
        <f>IF(C1342="","",C1342*'02_Eingaben'!$C$15)</f>
        <v/>
      </c>
      <c r="E1342" s="27">
        <f>IF(D1342="","",D1342*'02_Eingaben'!$C$8)</f>
        <v/>
      </c>
      <c r="F1342" s="27">
        <f>IF(E1342="","",AVERAGE(INDEX($E$2:$E$3001,MAX(1,ROW()-1-'02_Eingaben'!$C$17)):INDEX($E$2:$E$3001,MIN('02_Eingaben'!$C$21,ROW()-1+'02_Eingaben'!$C$17))))</f>
        <v/>
      </c>
      <c r="G1342" s="27">
        <f>IF(F1342="","",F1342-'02_Eingaben'!$C$10)</f>
        <v/>
      </c>
      <c r="H1342">
        <f>IF(F1342="","",IF(F1342&lt;'02_Eingaben'!$C$18*'02_Eingaben'!$C$10,1,0))</f>
        <v/>
      </c>
      <c r="I1342" s="27">
        <f>IF(OR(G1342="",G1343=""),"",(G1342+G1343)/2*(B1343-B1342))</f>
        <v/>
      </c>
      <c r="J1342" s="27">
        <f>IF(B1342="","",IF(B1341&lt;'02_Eingaben'!$C$36,0,J1341+I1341/'02_Eingaben'!$C$8))</f>
        <v/>
      </c>
    </row>
    <row r="1343">
      <c r="A1343">
        <f>IF('01_Rohdaten'!A1343="","",ROW()-1)</f>
        <v/>
      </c>
      <c r="B1343" s="27">
        <f>IF('01_Rohdaten'!A1343="","",'01_Rohdaten'!A1343)</f>
        <v/>
      </c>
      <c r="C1343" s="27">
        <f>IF(B1343="","",INDEX('01_Rohdaten'!B1343:D1343,'02_Eingaben'!$C$13))</f>
        <v/>
      </c>
      <c r="D1343" s="27">
        <f>IF(C1343="","",C1343*'02_Eingaben'!$C$15)</f>
        <v/>
      </c>
      <c r="E1343" s="27">
        <f>IF(D1343="","",D1343*'02_Eingaben'!$C$8)</f>
        <v/>
      </c>
      <c r="F1343" s="27">
        <f>IF(E1343="","",AVERAGE(INDEX($E$2:$E$3001,MAX(1,ROW()-1-'02_Eingaben'!$C$17)):INDEX($E$2:$E$3001,MIN('02_Eingaben'!$C$21,ROW()-1+'02_Eingaben'!$C$17))))</f>
        <v/>
      </c>
      <c r="G1343" s="27">
        <f>IF(F1343="","",F1343-'02_Eingaben'!$C$10)</f>
        <v/>
      </c>
      <c r="H1343">
        <f>IF(F1343="","",IF(F1343&lt;'02_Eingaben'!$C$18*'02_Eingaben'!$C$10,1,0))</f>
        <v/>
      </c>
      <c r="I1343" s="27">
        <f>IF(OR(G1343="",G1344=""),"",(G1343+G1344)/2*(B1344-B1343))</f>
        <v/>
      </c>
      <c r="J1343" s="27">
        <f>IF(B1343="","",IF(B1342&lt;'02_Eingaben'!$C$36,0,J1342+I1342/'02_Eingaben'!$C$8))</f>
        <v/>
      </c>
    </row>
    <row r="1344">
      <c r="A1344">
        <f>IF('01_Rohdaten'!A1344="","",ROW()-1)</f>
        <v/>
      </c>
      <c r="B1344" s="27">
        <f>IF('01_Rohdaten'!A1344="","",'01_Rohdaten'!A1344)</f>
        <v/>
      </c>
      <c r="C1344" s="27">
        <f>IF(B1344="","",INDEX('01_Rohdaten'!B1344:D1344,'02_Eingaben'!$C$13))</f>
        <v/>
      </c>
      <c r="D1344" s="27">
        <f>IF(C1344="","",C1344*'02_Eingaben'!$C$15)</f>
        <v/>
      </c>
      <c r="E1344" s="27">
        <f>IF(D1344="","",D1344*'02_Eingaben'!$C$8)</f>
        <v/>
      </c>
      <c r="F1344" s="27">
        <f>IF(E1344="","",AVERAGE(INDEX($E$2:$E$3001,MAX(1,ROW()-1-'02_Eingaben'!$C$17)):INDEX($E$2:$E$3001,MIN('02_Eingaben'!$C$21,ROW()-1+'02_Eingaben'!$C$17))))</f>
        <v/>
      </c>
      <c r="G1344" s="27">
        <f>IF(F1344="","",F1344-'02_Eingaben'!$C$10)</f>
        <v/>
      </c>
      <c r="H1344">
        <f>IF(F1344="","",IF(F1344&lt;'02_Eingaben'!$C$18*'02_Eingaben'!$C$10,1,0))</f>
        <v/>
      </c>
      <c r="I1344" s="27">
        <f>IF(OR(G1344="",G1345=""),"",(G1344+G1345)/2*(B1345-B1344))</f>
        <v/>
      </c>
      <c r="J1344" s="27">
        <f>IF(B1344="","",IF(B1343&lt;'02_Eingaben'!$C$36,0,J1343+I1343/'02_Eingaben'!$C$8))</f>
        <v/>
      </c>
    </row>
    <row r="1345">
      <c r="A1345">
        <f>IF('01_Rohdaten'!A1345="","",ROW()-1)</f>
        <v/>
      </c>
      <c r="B1345" s="27">
        <f>IF('01_Rohdaten'!A1345="","",'01_Rohdaten'!A1345)</f>
        <v/>
      </c>
      <c r="C1345" s="27">
        <f>IF(B1345="","",INDEX('01_Rohdaten'!B1345:D1345,'02_Eingaben'!$C$13))</f>
        <v/>
      </c>
      <c r="D1345" s="27">
        <f>IF(C1345="","",C1345*'02_Eingaben'!$C$15)</f>
        <v/>
      </c>
      <c r="E1345" s="27">
        <f>IF(D1345="","",D1345*'02_Eingaben'!$C$8)</f>
        <v/>
      </c>
      <c r="F1345" s="27">
        <f>IF(E1345="","",AVERAGE(INDEX($E$2:$E$3001,MAX(1,ROW()-1-'02_Eingaben'!$C$17)):INDEX($E$2:$E$3001,MIN('02_Eingaben'!$C$21,ROW()-1+'02_Eingaben'!$C$17))))</f>
        <v/>
      </c>
      <c r="G1345" s="27">
        <f>IF(F1345="","",F1345-'02_Eingaben'!$C$10)</f>
        <v/>
      </c>
      <c r="H1345">
        <f>IF(F1345="","",IF(F1345&lt;'02_Eingaben'!$C$18*'02_Eingaben'!$C$10,1,0))</f>
        <v/>
      </c>
      <c r="I1345" s="27">
        <f>IF(OR(G1345="",G1346=""),"",(G1345+G1346)/2*(B1346-B1345))</f>
        <v/>
      </c>
      <c r="J1345" s="27">
        <f>IF(B1345="","",IF(B1344&lt;'02_Eingaben'!$C$36,0,J1344+I1344/'02_Eingaben'!$C$8))</f>
        <v/>
      </c>
    </row>
    <row r="1346">
      <c r="A1346">
        <f>IF('01_Rohdaten'!A1346="","",ROW()-1)</f>
        <v/>
      </c>
      <c r="B1346" s="27">
        <f>IF('01_Rohdaten'!A1346="","",'01_Rohdaten'!A1346)</f>
        <v/>
      </c>
      <c r="C1346" s="27">
        <f>IF(B1346="","",INDEX('01_Rohdaten'!B1346:D1346,'02_Eingaben'!$C$13))</f>
        <v/>
      </c>
      <c r="D1346" s="27">
        <f>IF(C1346="","",C1346*'02_Eingaben'!$C$15)</f>
        <v/>
      </c>
      <c r="E1346" s="27">
        <f>IF(D1346="","",D1346*'02_Eingaben'!$C$8)</f>
        <v/>
      </c>
      <c r="F1346" s="27">
        <f>IF(E1346="","",AVERAGE(INDEX($E$2:$E$3001,MAX(1,ROW()-1-'02_Eingaben'!$C$17)):INDEX($E$2:$E$3001,MIN('02_Eingaben'!$C$21,ROW()-1+'02_Eingaben'!$C$17))))</f>
        <v/>
      </c>
      <c r="G1346" s="27">
        <f>IF(F1346="","",F1346-'02_Eingaben'!$C$10)</f>
        <v/>
      </c>
      <c r="H1346">
        <f>IF(F1346="","",IF(F1346&lt;'02_Eingaben'!$C$18*'02_Eingaben'!$C$10,1,0))</f>
        <v/>
      </c>
      <c r="I1346" s="27">
        <f>IF(OR(G1346="",G1347=""),"",(G1346+G1347)/2*(B1347-B1346))</f>
        <v/>
      </c>
      <c r="J1346" s="27">
        <f>IF(B1346="","",IF(B1345&lt;'02_Eingaben'!$C$36,0,J1345+I1345/'02_Eingaben'!$C$8))</f>
        <v/>
      </c>
    </row>
    <row r="1347">
      <c r="A1347">
        <f>IF('01_Rohdaten'!A1347="","",ROW()-1)</f>
        <v/>
      </c>
      <c r="B1347" s="27">
        <f>IF('01_Rohdaten'!A1347="","",'01_Rohdaten'!A1347)</f>
        <v/>
      </c>
      <c r="C1347" s="27">
        <f>IF(B1347="","",INDEX('01_Rohdaten'!B1347:D1347,'02_Eingaben'!$C$13))</f>
        <v/>
      </c>
      <c r="D1347" s="27">
        <f>IF(C1347="","",C1347*'02_Eingaben'!$C$15)</f>
        <v/>
      </c>
      <c r="E1347" s="27">
        <f>IF(D1347="","",D1347*'02_Eingaben'!$C$8)</f>
        <v/>
      </c>
      <c r="F1347" s="27">
        <f>IF(E1347="","",AVERAGE(INDEX($E$2:$E$3001,MAX(1,ROW()-1-'02_Eingaben'!$C$17)):INDEX($E$2:$E$3001,MIN('02_Eingaben'!$C$21,ROW()-1+'02_Eingaben'!$C$17))))</f>
        <v/>
      </c>
      <c r="G1347" s="27">
        <f>IF(F1347="","",F1347-'02_Eingaben'!$C$10)</f>
        <v/>
      </c>
      <c r="H1347">
        <f>IF(F1347="","",IF(F1347&lt;'02_Eingaben'!$C$18*'02_Eingaben'!$C$10,1,0))</f>
        <v/>
      </c>
      <c r="I1347" s="27">
        <f>IF(OR(G1347="",G1348=""),"",(G1347+G1348)/2*(B1348-B1347))</f>
        <v/>
      </c>
      <c r="J1347" s="27">
        <f>IF(B1347="","",IF(B1346&lt;'02_Eingaben'!$C$36,0,J1346+I1346/'02_Eingaben'!$C$8))</f>
        <v/>
      </c>
    </row>
    <row r="1348">
      <c r="A1348">
        <f>IF('01_Rohdaten'!A1348="","",ROW()-1)</f>
        <v/>
      </c>
      <c r="B1348" s="27">
        <f>IF('01_Rohdaten'!A1348="","",'01_Rohdaten'!A1348)</f>
        <v/>
      </c>
      <c r="C1348" s="27">
        <f>IF(B1348="","",INDEX('01_Rohdaten'!B1348:D1348,'02_Eingaben'!$C$13))</f>
        <v/>
      </c>
      <c r="D1348" s="27">
        <f>IF(C1348="","",C1348*'02_Eingaben'!$C$15)</f>
        <v/>
      </c>
      <c r="E1348" s="27">
        <f>IF(D1348="","",D1348*'02_Eingaben'!$C$8)</f>
        <v/>
      </c>
      <c r="F1348" s="27">
        <f>IF(E1348="","",AVERAGE(INDEX($E$2:$E$3001,MAX(1,ROW()-1-'02_Eingaben'!$C$17)):INDEX($E$2:$E$3001,MIN('02_Eingaben'!$C$21,ROW()-1+'02_Eingaben'!$C$17))))</f>
        <v/>
      </c>
      <c r="G1348" s="27">
        <f>IF(F1348="","",F1348-'02_Eingaben'!$C$10)</f>
        <v/>
      </c>
      <c r="H1348">
        <f>IF(F1348="","",IF(F1348&lt;'02_Eingaben'!$C$18*'02_Eingaben'!$C$10,1,0))</f>
        <v/>
      </c>
      <c r="I1348" s="27">
        <f>IF(OR(G1348="",G1349=""),"",(G1348+G1349)/2*(B1349-B1348))</f>
        <v/>
      </c>
      <c r="J1348" s="27">
        <f>IF(B1348="","",IF(B1347&lt;'02_Eingaben'!$C$36,0,J1347+I1347/'02_Eingaben'!$C$8))</f>
        <v/>
      </c>
    </row>
    <row r="1349">
      <c r="A1349">
        <f>IF('01_Rohdaten'!A1349="","",ROW()-1)</f>
        <v/>
      </c>
      <c r="B1349" s="27">
        <f>IF('01_Rohdaten'!A1349="","",'01_Rohdaten'!A1349)</f>
        <v/>
      </c>
      <c r="C1349" s="27">
        <f>IF(B1349="","",INDEX('01_Rohdaten'!B1349:D1349,'02_Eingaben'!$C$13))</f>
        <v/>
      </c>
      <c r="D1349" s="27">
        <f>IF(C1349="","",C1349*'02_Eingaben'!$C$15)</f>
        <v/>
      </c>
      <c r="E1349" s="27">
        <f>IF(D1349="","",D1349*'02_Eingaben'!$C$8)</f>
        <v/>
      </c>
      <c r="F1349" s="27">
        <f>IF(E1349="","",AVERAGE(INDEX($E$2:$E$3001,MAX(1,ROW()-1-'02_Eingaben'!$C$17)):INDEX($E$2:$E$3001,MIN('02_Eingaben'!$C$21,ROW()-1+'02_Eingaben'!$C$17))))</f>
        <v/>
      </c>
      <c r="G1349" s="27">
        <f>IF(F1349="","",F1349-'02_Eingaben'!$C$10)</f>
        <v/>
      </c>
      <c r="H1349">
        <f>IF(F1349="","",IF(F1349&lt;'02_Eingaben'!$C$18*'02_Eingaben'!$C$10,1,0))</f>
        <v/>
      </c>
      <c r="I1349" s="27">
        <f>IF(OR(G1349="",G1350=""),"",(G1349+G1350)/2*(B1350-B1349))</f>
        <v/>
      </c>
      <c r="J1349" s="27">
        <f>IF(B1349="","",IF(B1348&lt;'02_Eingaben'!$C$36,0,J1348+I1348/'02_Eingaben'!$C$8))</f>
        <v/>
      </c>
    </row>
    <row r="1350">
      <c r="A1350">
        <f>IF('01_Rohdaten'!A1350="","",ROW()-1)</f>
        <v/>
      </c>
      <c r="B1350" s="27">
        <f>IF('01_Rohdaten'!A1350="","",'01_Rohdaten'!A1350)</f>
        <v/>
      </c>
      <c r="C1350" s="27">
        <f>IF(B1350="","",INDEX('01_Rohdaten'!B1350:D1350,'02_Eingaben'!$C$13))</f>
        <v/>
      </c>
      <c r="D1350" s="27">
        <f>IF(C1350="","",C1350*'02_Eingaben'!$C$15)</f>
        <v/>
      </c>
      <c r="E1350" s="27">
        <f>IF(D1350="","",D1350*'02_Eingaben'!$C$8)</f>
        <v/>
      </c>
      <c r="F1350" s="27">
        <f>IF(E1350="","",AVERAGE(INDEX($E$2:$E$3001,MAX(1,ROW()-1-'02_Eingaben'!$C$17)):INDEX($E$2:$E$3001,MIN('02_Eingaben'!$C$21,ROW()-1+'02_Eingaben'!$C$17))))</f>
        <v/>
      </c>
      <c r="G1350" s="27">
        <f>IF(F1350="","",F1350-'02_Eingaben'!$C$10)</f>
        <v/>
      </c>
      <c r="H1350">
        <f>IF(F1350="","",IF(F1350&lt;'02_Eingaben'!$C$18*'02_Eingaben'!$C$10,1,0))</f>
        <v/>
      </c>
      <c r="I1350" s="27">
        <f>IF(OR(G1350="",G1351=""),"",(G1350+G1351)/2*(B1351-B1350))</f>
        <v/>
      </c>
      <c r="J1350" s="27">
        <f>IF(B1350="","",IF(B1349&lt;'02_Eingaben'!$C$36,0,J1349+I1349/'02_Eingaben'!$C$8))</f>
        <v/>
      </c>
    </row>
    <row r="1351">
      <c r="A1351">
        <f>IF('01_Rohdaten'!A1351="","",ROW()-1)</f>
        <v/>
      </c>
      <c r="B1351" s="27">
        <f>IF('01_Rohdaten'!A1351="","",'01_Rohdaten'!A1351)</f>
        <v/>
      </c>
      <c r="C1351" s="27">
        <f>IF(B1351="","",INDEX('01_Rohdaten'!B1351:D1351,'02_Eingaben'!$C$13))</f>
        <v/>
      </c>
      <c r="D1351" s="27">
        <f>IF(C1351="","",C1351*'02_Eingaben'!$C$15)</f>
        <v/>
      </c>
      <c r="E1351" s="27">
        <f>IF(D1351="","",D1351*'02_Eingaben'!$C$8)</f>
        <v/>
      </c>
      <c r="F1351" s="27">
        <f>IF(E1351="","",AVERAGE(INDEX($E$2:$E$3001,MAX(1,ROW()-1-'02_Eingaben'!$C$17)):INDEX($E$2:$E$3001,MIN('02_Eingaben'!$C$21,ROW()-1+'02_Eingaben'!$C$17))))</f>
        <v/>
      </c>
      <c r="G1351" s="27">
        <f>IF(F1351="","",F1351-'02_Eingaben'!$C$10)</f>
        <v/>
      </c>
      <c r="H1351">
        <f>IF(F1351="","",IF(F1351&lt;'02_Eingaben'!$C$18*'02_Eingaben'!$C$10,1,0))</f>
        <v/>
      </c>
      <c r="I1351" s="27">
        <f>IF(OR(G1351="",G1352=""),"",(G1351+G1352)/2*(B1352-B1351))</f>
        <v/>
      </c>
      <c r="J1351" s="27">
        <f>IF(B1351="","",IF(B1350&lt;'02_Eingaben'!$C$36,0,J1350+I1350/'02_Eingaben'!$C$8))</f>
        <v/>
      </c>
    </row>
    <row r="1352">
      <c r="A1352">
        <f>IF('01_Rohdaten'!A1352="","",ROW()-1)</f>
        <v/>
      </c>
      <c r="B1352" s="27">
        <f>IF('01_Rohdaten'!A1352="","",'01_Rohdaten'!A1352)</f>
        <v/>
      </c>
      <c r="C1352" s="27">
        <f>IF(B1352="","",INDEX('01_Rohdaten'!B1352:D1352,'02_Eingaben'!$C$13))</f>
        <v/>
      </c>
      <c r="D1352" s="27">
        <f>IF(C1352="","",C1352*'02_Eingaben'!$C$15)</f>
        <v/>
      </c>
      <c r="E1352" s="27">
        <f>IF(D1352="","",D1352*'02_Eingaben'!$C$8)</f>
        <v/>
      </c>
      <c r="F1352" s="27">
        <f>IF(E1352="","",AVERAGE(INDEX($E$2:$E$3001,MAX(1,ROW()-1-'02_Eingaben'!$C$17)):INDEX($E$2:$E$3001,MIN('02_Eingaben'!$C$21,ROW()-1+'02_Eingaben'!$C$17))))</f>
        <v/>
      </c>
      <c r="G1352" s="27">
        <f>IF(F1352="","",F1352-'02_Eingaben'!$C$10)</f>
        <v/>
      </c>
      <c r="H1352">
        <f>IF(F1352="","",IF(F1352&lt;'02_Eingaben'!$C$18*'02_Eingaben'!$C$10,1,0))</f>
        <v/>
      </c>
      <c r="I1352" s="27">
        <f>IF(OR(G1352="",G1353=""),"",(G1352+G1353)/2*(B1353-B1352))</f>
        <v/>
      </c>
      <c r="J1352" s="27">
        <f>IF(B1352="","",IF(B1351&lt;'02_Eingaben'!$C$36,0,J1351+I1351/'02_Eingaben'!$C$8))</f>
        <v/>
      </c>
    </row>
    <row r="1353">
      <c r="A1353">
        <f>IF('01_Rohdaten'!A1353="","",ROW()-1)</f>
        <v/>
      </c>
      <c r="B1353" s="27">
        <f>IF('01_Rohdaten'!A1353="","",'01_Rohdaten'!A1353)</f>
        <v/>
      </c>
      <c r="C1353" s="27">
        <f>IF(B1353="","",INDEX('01_Rohdaten'!B1353:D1353,'02_Eingaben'!$C$13))</f>
        <v/>
      </c>
      <c r="D1353" s="27">
        <f>IF(C1353="","",C1353*'02_Eingaben'!$C$15)</f>
        <v/>
      </c>
      <c r="E1353" s="27">
        <f>IF(D1353="","",D1353*'02_Eingaben'!$C$8)</f>
        <v/>
      </c>
      <c r="F1353" s="27">
        <f>IF(E1353="","",AVERAGE(INDEX($E$2:$E$3001,MAX(1,ROW()-1-'02_Eingaben'!$C$17)):INDEX($E$2:$E$3001,MIN('02_Eingaben'!$C$21,ROW()-1+'02_Eingaben'!$C$17))))</f>
        <v/>
      </c>
      <c r="G1353" s="27">
        <f>IF(F1353="","",F1353-'02_Eingaben'!$C$10)</f>
        <v/>
      </c>
      <c r="H1353">
        <f>IF(F1353="","",IF(F1353&lt;'02_Eingaben'!$C$18*'02_Eingaben'!$C$10,1,0))</f>
        <v/>
      </c>
      <c r="I1353" s="27">
        <f>IF(OR(G1353="",G1354=""),"",(G1353+G1354)/2*(B1354-B1353))</f>
        <v/>
      </c>
      <c r="J1353" s="27">
        <f>IF(B1353="","",IF(B1352&lt;'02_Eingaben'!$C$36,0,J1352+I1352/'02_Eingaben'!$C$8))</f>
        <v/>
      </c>
    </row>
    <row r="1354">
      <c r="A1354">
        <f>IF('01_Rohdaten'!A1354="","",ROW()-1)</f>
        <v/>
      </c>
      <c r="B1354" s="27">
        <f>IF('01_Rohdaten'!A1354="","",'01_Rohdaten'!A1354)</f>
        <v/>
      </c>
      <c r="C1354" s="27">
        <f>IF(B1354="","",INDEX('01_Rohdaten'!B1354:D1354,'02_Eingaben'!$C$13))</f>
        <v/>
      </c>
      <c r="D1354" s="27">
        <f>IF(C1354="","",C1354*'02_Eingaben'!$C$15)</f>
        <v/>
      </c>
      <c r="E1354" s="27">
        <f>IF(D1354="","",D1354*'02_Eingaben'!$C$8)</f>
        <v/>
      </c>
      <c r="F1354" s="27">
        <f>IF(E1354="","",AVERAGE(INDEX($E$2:$E$3001,MAX(1,ROW()-1-'02_Eingaben'!$C$17)):INDEX($E$2:$E$3001,MIN('02_Eingaben'!$C$21,ROW()-1+'02_Eingaben'!$C$17))))</f>
        <v/>
      </c>
      <c r="G1354" s="27">
        <f>IF(F1354="","",F1354-'02_Eingaben'!$C$10)</f>
        <v/>
      </c>
      <c r="H1354">
        <f>IF(F1354="","",IF(F1354&lt;'02_Eingaben'!$C$18*'02_Eingaben'!$C$10,1,0))</f>
        <v/>
      </c>
      <c r="I1354" s="27">
        <f>IF(OR(G1354="",G1355=""),"",(G1354+G1355)/2*(B1355-B1354))</f>
        <v/>
      </c>
      <c r="J1354" s="27">
        <f>IF(B1354="","",IF(B1353&lt;'02_Eingaben'!$C$36,0,J1353+I1353/'02_Eingaben'!$C$8))</f>
        <v/>
      </c>
    </row>
    <row r="1355">
      <c r="A1355">
        <f>IF('01_Rohdaten'!A1355="","",ROW()-1)</f>
        <v/>
      </c>
      <c r="B1355" s="27">
        <f>IF('01_Rohdaten'!A1355="","",'01_Rohdaten'!A1355)</f>
        <v/>
      </c>
      <c r="C1355" s="27">
        <f>IF(B1355="","",INDEX('01_Rohdaten'!B1355:D1355,'02_Eingaben'!$C$13))</f>
        <v/>
      </c>
      <c r="D1355" s="27">
        <f>IF(C1355="","",C1355*'02_Eingaben'!$C$15)</f>
        <v/>
      </c>
      <c r="E1355" s="27">
        <f>IF(D1355="","",D1355*'02_Eingaben'!$C$8)</f>
        <v/>
      </c>
      <c r="F1355" s="27">
        <f>IF(E1355="","",AVERAGE(INDEX($E$2:$E$3001,MAX(1,ROW()-1-'02_Eingaben'!$C$17)):INDEX($E$2:$E$3001,MIN('02_Eingaben'!$C$21,ROW()-1+'02_Eingaben'!$C$17))))</f>
        <v/>
      </c>
      <c r="G1355" s="27">
        <f>IF(F1355="","",F1355-'02_Eingaben'!$C$10)</f>
        <v/>
      </c>
      <c r="H1355">
        <f>IF(F1355="","",IF(F1355&lt;'02_Eingaben'!$C$18*'02_Eingaben'!$C$10,1,0))</f>
        <v/>
      </c>
      <c r="I1355" s="27">
        <f>IF(OR(G1355="",G1356=""),"",(G1355+G1356)/2*(B1356-B1355))</f>
        <v/>
      </c>
      <c r="J1355" s="27">
        <f>IF(B1355="","",IF(B1354&lt;'02_Eingaben'!$C$36,0,J1354+I1354/'02_Eingaben'!$C$8))</f>
        <v/>
      </c>
    </row>
    <row r="1356">
      <c r="A1356">
        <f>IF('01_Rohdaten'!A1356="","",ROW()-1)</f>
        <v/>
      </c>
      <c r="B1356" s="27">
        <f>IF('01_Rohdaten'!A1356="","",'01_Rohdaten'!A1356)</f>
        <v/>
      </c>
      <c r="C1356" s="27">
        <f>IF(B1356="","",INDEX('01_Rohdaten'!B1356:D1356,'02_Eingaben'!$C$13))</f>
        <v/>
      </c>
      <c r="D1356" s="27">
        <f>IF(C1356="","",C1356*'02_Eingaben'!$C$15)</f>
        <v/>
      </c>
      <c r="E1356" s="27">
        <f>IF(D1356="","",D1356*'02_Eingaben'!$C$8)</f>
        <v/>
      </c>
      <c r="F1356" s="27">
        <f>IF(E1356="","",AVERAGE(INDEX($E$2:$E$3001,MAX(1,ROW()-1-'02_Eingaben'!$C$17)):INDEX($E$2:$E$3001,MIN('02_Eingaben'!$C$21,ROW()-1+'02_Eingaben'!$C$17))))</f>
        <v/>
      </c>
      <c r="G1356" s="27">
        <f>IF(F1356="","",F1356-'02_Eingaben'!$C$10)</f>
        <v/>
      </c>
      <c r="H1356">
        <f>IF(F1356="","",IF(F1356&lt;'02_Eingaben'!$C$18*'02_Eingaben'!$C$10,1,0))</f>
        <v/>
      </c>
      <c r="I1356" s="27">
        <f>IF(OR(G1356="",G1357=""),"",(G1356+G1357)/2*(B1357-B1356))</f>
        <v/>
      </c>
      <c r="J1356" s="27">
        <f>IF(B1356="","",IF(B1355&lt;'02_Eingaben'!$C$36,0,J1355+I1355/'02_Eingaben'!$C$8))</f>
        <v/>
      </c>
    </row>
    <row r="1357">
      <c r="A1357">
        <f>IF('01_Rohdaten'!A1357="","",ROW()-1)</f>
        <v/>
      </c>
      <c r="B1357" s="27">
        <f>IF('01_Rohdaten'!A1357="","",'01_Rohdaten'!A1357)</f>
        <v/>
      </c>
      <c r="C1357" s="27">
        <f>IF(B1357="","",INDEX('01_Rohdaten'!B1357:D1357,'02_Eingaben'!$C$13))</f>
        <v/>
      </c>
      <c r="D1357" s="27">
        <f>IF(C1357="","",C1357*'02_Eingaben'!$C$15)</f>
        <v/>
      </c>
      <c r="E1357" s="27">
        <f>IF(D1357="","",D1357*'02_Eingaben'!$C$8)</f>
        <v/>
      </c>
      <c r="F1357" s="27">
        <f>IF(E1357="","",AVERAGE(INDEX($E$2:$E$3001,MAX(1,ROW()-1-'02_Eingaben'!$C$17)):INDEX($E$2:$E$3001,MIN('02_Eingaben'!$C$21,ROW()-1+'02_Eingaben'!$C$17))))</f>
        <v/>
      </c>
      <c r="G1357" s="27">
        <f>IF(F1357="","",F1357-'02_Eingaben'!$C$10)</f>
        <v/>
      </c>
      <c r="H1357">
        <f>IF(F1357="","",IF(F1357&lt;'02_Eingaben'!$C$18*'02_Eingaben'!$C$10,1,0))</f>
        <v/>
      </c>
      <c r="I1357" s="27">
        <f>IF(OR(G1357="",G1358=""),"",(G1357+G1358)/2*(B1358-B1357))</f>
        <v/>
      </c>
      <c r="J1357" s="27">
        <f>IF(B1357="","",IF(B1356&lt;'02_Eingaben'!$C$36,0,J1356+I1356/'02_Eingaben'!$C$8))</f>
        <v/>
      </c>
    </row>
    <row r="1358">
      <c r="A1358">
        <f>IF('01_Rohdaten'!A1358="","",ROW()-1)</f>
        <v/>
      </c>
      <c r="B1358" s="27">
        <f>IF('01_Rohdaten'!A1358="","",'01_Rohdaten'!A1358)</f>
        <v/>
      </c>
      <c r="C1358" s="27">
        <f>IF(B1358="","",INDEX('01_Rohdaten'!B1358:D1358,'02_Eingaben'!$C$13))</f>
        <v/>
      </c>
      <c r="D1358" s="27">
        <f>IF(C1358="","",C1358*'02_Eingaben'!$C$15)</f>
        <v/>
      </c>
      <c r="E1358" s="27">
        <f>IF(D1358="","",D1358*'02_Eingaben'!$C$8)</f>
        <v/>
      </c>
      <c r="F1358" s="27">
        <f>IF(E1358="","",AVERAGE(INDEX($E$2:$E$3001,MAX(1,ROW()-1-'02_Eingaben'!$C$17)):INDEX($E$2:$E$3001,MIN('02_Eingaben'!$C$21,ROW()-1+'02_Eingaben'!$C$17))))</f>
        <v/>
      </c>
      <c r="G1358" s="27">
        <f>IF(F1358="","",F1358-'02_Eingaben'!$C$10)</f>
        <v/>
      </c>
      <c r="H1358">
        <f>IF(F1358="","",IF(F1358&lt;'02_Eingaben'!$C$18*'02_Eingaben'!$C$10,1,0))</f>
        <v/>
      </c>
      <c r="I1358" s="27">
        <f>IF(OR(G1358="",G1359=""),"",(G1358+G1359)/2*(B1359-B1358))</f>
        <v/>
      </c>
      <c r="J1358" s="27">
        <f>IF(B1358="","",IF(B1357&lt;'02_Eingaben'!$C$36,0,J1357+I1357/'02_Eingaben'!$C$8))</f>
        <v/>
      </c>
    </row>
    <row r="1359">
      <c r="A1359">
        <f>IF('01_Rohdaten'!A1359="","",ROW()-1)</f>
        <v/>
      </c>
      <c r="B1359" s="27">
        <f>IF('01_Rohdaten'!A1359="","",'01_Rohdaten'!A1359)</f>
        <v/>
      </c>
      <c r="C1359" s="27">
        <f>IF(B1359="","",INDEX('01_Rohdaten'!B1359:D1359,'02_Eingaben'!$C$13))</f>
        <v/>
      </c>
      <c r="D1359" s="27">
        <f>IF(C1359="","",C1359*'02_Eingaben'!$C$15)</f>
        <v/>
      </c>
      <c r="E1359" s="27">
        <f>IF(D1359="","",D1359*'02_Eingaben'!$C$8)</f>
        <v/>
      </c>
      <c r="F1359" s="27">
        <f>IF(E1359="","",AVERAGE(INDEX($E$2:$E$3001,MAX(1,ROW()-1-'02_Eingaben'!$C$17)):INDEX($E$2:$E$3001,MIN('02_Eingaben'!$C$21,ROW()-1+'02_Eingaben'!$C$17))))</f>
        <v/>
      </c>
      <c r="G1359" s="27">
        <f>IF(F1359="","",F1359-'02_Eingaben'!$C$10)</f>
        <v/>
      </c>
      <c r="H1359">
        <f>IF(F1359="","",IF(F1359&lt;'02_Eingaben'!$C$18*'02_Eingaben'!$C$10,1,0))</f>
        <v/>
      </c>
      <c r="I1359" s="27">
        <f>IF(OR(G1359="",G1360=""),"",(G1359+G1360)/2*(B1360-B1359))</f>
        <v/>
      </c>
      <c r="J1359" s="27">
        <f>IF(B1359="","",IF(B1358&lt;'02_Eingaben'!$C$36,0,J1358+I1358/'02_Eingaben'!$C$8))</f>
        <v/>
      </c>
    </row>
    <row r="1360">
      <c r="A1360">
        <f>IF('01_Rohdaten'!A1360="","",ROW()-1)</f>
        <v/>
      </c>
      <c r="B1360" s="27">
        <f>IF('01_Rohdaten'!A1360="","",'01_Rohdaten'!A1360)</f>
        <v/>
      </c>
      <c r="C1360" s="27">
        <f>IF(B1360="","",INDEX('01_Rohdaten'!B1360:D1360,'02_Eingaben'!$C$13))</f>
        <v/>
      </c>
      <c r="D1360" s="27">
        <f>IF(C1360="","",C1360*'02_Eingaben'!$C$15)</f>
        <v/>
      </c>
      <c r="E1360" s="27">
        <f>IF(D1360="","",D1360*'02_Eingaben'!$C$8)</f>
        <v/>
      </c>
      <c r="F1360" s="27">
        <f>IF(E1360="","",AVERAGE(INDEX($E$2:$E$3001,MAX(1,ROW()-1-'02_Eingaben'!$C$17)):INDEX($E$2:$E$3001,MIN('02_Eingaben'!$C$21,ROW()-1+'02_Eingaben'!$C$17))))</f>
        <v/>
      </c>
      <c r="G1360" s="27">
        <f>IF(F1360="","",F1360-'02_Eingaben'!$C$10)</f>
        <v/>
      </c>
      <c r="H1360">
        <f>IF(F1360="","",IF(F1360&lt;'02_Eingaben'!$C$18*'02_Eingaben'!$C$10,1,0))</f>
        <v/>
      </c>
      <c r="I1360" s="27">
        <f>IF(OR(G1360="",G1361=""),"",(G1360+G1361)/2*(B1361-B1360))</f>
        <v/>
      </c>
      <c r="J1360" s="27">
        <f>IF(B1360="","",IF(B1359&lt;'02_Eingaben'!$C$36,0,J1359+I1359/'02_Eingaben'!$C$8))</f>
        <v/>
      </c>
    </row>
    <row r="1361">
      <c r="A1361">
        <f>IF('01_Rohdaten'!A1361="","",ROW()-1)</f>
        <v/>
      </c>
      <c r="B1361" s="27">
        <f>IF('01_Rohdaten'!A1361="","",'01_Rohdaten'!A1361)</f>
        <v/>
      </c>
      <c r="C1361" s="27">
        <f>IF(B1361="","",INDEX('01_Rohdaten'!B1361:D1361,'02_Eingaben'!$C$13))</f>
        <v/>
      </c>
      <c r="D1361" s="27">
        <f>IF(C1361="","",C1361*'02_Eingaben'!$C$15)</f>
        <v/>
      </c>
      <c r="E1361" s="27">
        <f>IF(D1361="","",D1361*'02_Eingaben'!$C$8)</f>
        <v/>
      </c>
      <c r="F1361" s="27">
        <f>IF(E1361="","",AVERAGE(INDEX($E$2:$E$3001,MAX(1,ROW()-1-'02_Eingaben'!$C$17)):INDEX($E$2:$E$3001,MIN('02_Eingaben'!$C$21,ROW()-1+'02_Eingaben'!$C$17))))</f>
        <v/>
      </c>
      <c r="G1361" s="27">
        <f>IF(F1361="","",F1361-'02_Eingaben'!$C$10)</f>
        <v/>
      </c>
      <c r="H1361">
        <f>IF(F1361="","",IF(F1361&lt;'02_Eingaben'!$C$18*'02_Eingaben'!$C$10,1,0))</f>
        <v/>
      </c>
      <c r="I1361" s="27">
        <f>IF(OR(G1361="",G1362=""),"",(G1361+G1362)/2*(B1362-B1361))</f>
        <v/>
      </c>
      <c r="J1361" s="27">
        <f>IF(B1361="","",IF(B1360&lt;'02_Eingaben'!$C$36,0,J1360+I1360/'02_Eingaben'!$C$8))</f>
        <v/>
      </c>
    </row>
    <row r="1362">
      <c r="A1362">
        <f>IF('01_Rohdaten'!A1362="","",ROW()-1)</f>
        <v/>
      </c>
      <c r="B1362" s="27">
        <f>IF('01_Rohdaten'!A1362="","",'01_Rohdaten'!A1362)</f>
        <v/>
      </c>
      <c r="C1362" s="27">
        <f>IF(B1362="","",INDEX('01_Rohdaten'!B1362:D1362,'02_Eingaben'!$C$13))</f>
        <v/>
      </c>
      <c r="D1362" s="27">
        <f>IF(C1362="","",C1362*'02_Eingaben'!$C$15)</f>
        <v/>
      </c>
      <c r="E1362" s="27">
        <f>IF(D1362="","",D1362*'02_Eingaben'!$C$8)</f>
        <v/>
      </c>
      <c r="F1362" s="27">
        <f>IF(E1362="","",AVERAGE(INDEX($E$2:$E$3001,MAX(1,ROW()-1-'02_Eingaben'!$C$17)):INDEX($E$2:$E$3001,MIN('02_Eingaben'!$C$21,ROW()-1+'02_Eingaben'!$C$17))))</f>
        <v/>
      </c>
      <c r="G1362" s="27">
        <f>IF(F1362="","",F1362-'02_Eingaben'!$C$10)</f>
        <v/>
      </c>
      <c r="H1362">
        <f>IF(F1362="","",IF(F1362&lt;'02_Eingaben'!$C$18*'02_Eingaben'!$C$10,1,0))</f>
        <v/>
      </c>
      <c r="I1362" s="27">
        <f>IF(OR(G1362="",G1363=""),"",(G1362+G1363)/2*(B1363-B1362))</f>
        <v/>
      </c>
      <c r="J1362" s="27">
        <f>IF(B1362="","",IF(B1361&lt;'02_Eingaben'!$C$36,0,J1361+I1361/'02_Eingaben'!$C$8))</f>
        <v/>
      </c>
    </row>
    <row r="1363">
      <c r="A1363">
        <f>IF('01_Rohdaten'!A1363="","",ROW()-1)</f>
        <v/>
      </c>
      <c r="B1363" s="27">
        <f>IF('01_Rohdaten'!A1363="","",'01_Rohdaten'!A1363)</f>
        <v/>
      </c>
      <c r="C1363" s="27">
        <f>IF(B1363="","",INDEX('01_Rohdaten'!B1363:D1363,'02_Eingaben'!$C$13))</f>
        <v/>
      </c>
      <c r="D1363" s="27">
        <f>IF(C1363="","",C1363*'02_Eingaben'!$C$15)</f>
        <v/>
      </c>
      <c r="E1363" s="27">
        <f>IF(D1363="","",D1363*'02_Eingaben'!$C$8)</f>
        <v/>
      </c>
      <c r="F1363" s="27">
        <f>IF(E1363="","",AVERAGE(INDEX($E$2:$E$3001,MAX(1,ROW()-1-'02_Eingaben'!$C$17)):INDEX($E$2:$E$3001,MIN('02_Eingaben'!$C$21,ROW()-1+'02_Eingaben'!$C$17))))</f>
        <v/>
      </c>
      <c r="G1363" s="27">
        <f>IF(F1363="","",F1363-'02_Eingaben'!$C$10)</f>
        <v/>
      </c>
      <c r="H1363">
        <f>IF(F1363="","",IF(F1363&lt;'02_Eingaben'!$C$18*'02_Eingaben'!$C$10,1,0))</f>
        <v/>
      </c>
      <c r="I1363" s="27">
        <f>IF(OR(G1363="",G1364=""),"",(G1363+G1364)/2*(B1364-B1363))</f>
        <v/>
      </c>
      <c r="J1363" s="27">
        <f>IF(B1363="","",IF(B1362&lt;'02_Eingaben'!$C$36,0,J1362+I1362/'02_Eingaben'!$C$8))</f>
        <v/>
      </c>
    </row>
    <row r="1364">
      <c r="A1364">
        <f>IF('01_Rohdaten'!A1364="","",ROW()-1)</f>
        <v/>
      </c>
      <c r="B1364" s="27">
        <f>IF('01_Rohdaten'!A1364="","",'01_Rohdaten'!A1364)</f>
        <v/>
      </c>
      <c r="C1364" s="27">
        <f>IF(B1364="","",INDEX('01_Rohdaten'!B1364:D1364,'02_Eingaben'!$C$13))</f>
        <v/>
      </c>
      <c r="D1364" s="27">
        <f>IF(C1364="","",C1364*'02_Eingaben'!$C$15)</f>
        <v/>
      </c>
      <c r="E1364" s="27">
        <f>IF(D1364="","",D1364*'02_Eingaben'!$C$8)</f>
        <v/>
      </c>
      <c r="F1364" s="27">
        <f>IF(E1364="","",AVERAGE(INDEX($E$2:$E$3001,MAX(1,ROW()-1-'02_Eingaben'!$C$17)):INDEX($E$2:$E$3001,MIN('02_Eingaben'!$C$21,ROW()-1+'02_Eingaben'!$C$17))))</f>
        <v/>
      </c>
      <c r="G1364" s="27">
        <f>IF(F1364="","",F1364-'02_Eingaben'!$C$10)</f>
        <v/>
      </c>
      <c r="H1364">
        <f>IF(F1364="","",IF(F1364&lt;'02_Eingaben'!$C$18*'02_Eingaben'!$C$10,1,0))</f>
        <v/>
      </c>
      <c r="I1364" s="27">
        <f>IF(OR(G1364="",G1365=""),"",(G1364+G1365)/2*(B1365-B1364))</f>
        <v/>
      </c>
      <c r="J1364" s="27">
        <f>IF(B1364="","",IF(B1363&lt;'02_Eingaben'!$C$36,0,J1363+I1363/'02_Eingaben'!$C$8))</f>
        <v/>
      </c>
    </row>
    <row r="1365">
      <c r="A1365">
        <f>IF('01_Rohdaten'!A1365="","",ROW()-1)</f>
        <v/>
      </c>
      <c r="B1365" s="27">
        <f>IF('01_Rohdaten'!A1365="","",'01_Rohdaten'!A1365)</f>
        <v/>
      </c>
      <c r="C1365" s="27">
        <f>IF(B1365="","",INDEX('01_Rohdaten'!B1365:D1365,'02_Eingaben'!$C$13))</f>
        <v/>
      </c>
      <c r="D1365" s="27">
        <f>IF(C1365="","",C1365*'02_Eingaben'!$C$15)</f>
        <v/>
      </c>
      <c r="E1365" s="27">
        <f>IF(D1365="","",D1365*'02_Eingaben'!$C$8)</f>
        <v/>
      </c>
      <c r="F1365" s="27">
        <f>IF(E1365="","",AVERAGE(INDEX($E$2:$E$3001,MAX(1,ROW()-1-'02_Eingaben'!$C$17)):INDEX($E$2:$E$3001,MIN('02_Eingaben'!$C$21,ROW()-1+'02_Eingaben'!$C$17))))</f>
        <v/>
      </c>
      <c r="G1365" s="27">
        <f>IF(F1365="","",F1365-'02_Eingaben'!$C$10)</f>
        <v/>
      </c>
      <c r="H1365">
        <f>IF(F1365="","",IF(F1365&lt;'02_Eingaben'!$C$18*'02_Eingaben'!$C$10,1,0))</f>
        <v/>
      </c>
      <c r="I1365" s="27">
        <f>IF(OR(G1365="",G1366=""),"",(G1365+G1366)/2*(B1366-B1365))</f>
        <v/>
      </c>
      <c r="J1365" s="27">
        <f>IF(B1365="","",IF(B1364&lt;'02_Eingaben'!$C$36,0,J1364+I1364/'02_Eingaben'!$C$8))</f>
        <v/>
      </c>
    </row>
    <row r="1366">
      <c r="A1366">
        <f>IF('01_Rohdaten'!A1366="","",ROW()-1)</f>
        <v/>
      </c>
      <c r="B1366" s="27">
        <f>IF('01_Rohdaten'!A1366="","",'01_Rohdaten'!A1366)</f>
        <v/>
      </c>
      <c r="C1366" s="27">
        <f>IF(B1366="","",INDEX('01_Rohdaten'!B1366:D1366,'02_Eingaben'!$C$13))</f>
        <v/>
      </c>
      <c r="D1366" s="27">
        <f>IF(C1366="","",C1366*'02_Eingaben'!$C$15)</f>
        <v/>
      </c>
      <c r="E1366" s="27">
        <f>IF(D1366="","",D1366*'02_Eingaben'!$C$8)</f>
        <v/>
      </c>
      <c r="F1366" s="27">
        <f>IF(E1366="","",AVERAGE(INDEX($E$2:$E$3001,MAX(1,ROW()-1-'02_Eingaben'!$C$17)):INDEX($E$2:$E$3001,MIN('02_Eingaben'!$C$21,ROW()-1+'02_Eingaben'!$C$17))))</f>
        <v/>
      </c>
      <c r="G1366" s="27">
        <f>IF(F1366="","",F1366-'02_Eingaben'!$C$10)</f>
        <v/>
      </c>
      <c r="H1366">
        <f>IF(F1366="","",IF(F1366&lt;'02_Eingaben'!$C$18*'02_Eingaben'!$C$10,1,0))</f>
        <v/>
      </c>
      <c r="I1366" s="27">
        <f>IF(OR(G1366="",G1367=""),"",(G1366+G1367)/2*(B1367-B1366))</f>
        <v/>
      </c>
      <c r="J1366" s="27">
        <f>IF(B1366="","",IF(B1365&lt;'02_Eingaben'!$C$36,0,J1365+I1365/'02_Eingaben'!$C$8))</f>
        <v/>
      </c>
    </row>
    <row r="1367">
      <c r="A1367">
        <f>IF('01_Rohdaten'!A1367="","",ROW()-1)</f>
        <v/>
      </c>
      <c r="B1367" s="27">
        <f>IF('01_Rohdaten'!A1367="","",'01_Rohdaten'!A1367)</f>
        <v/>
      </c>
      <c r="C1367" s="27">
        <f>IF(B1367="","",INDEX('01_Rohdaten'!B1367:D1367,'02_Eingaben'!$C$13))</f>
        <v/>
      </c>
      <c r="D1367" s="27">
        <f>IF(C1367="","",C1367*'02_Eingaben'!$C$15)</f>
        <v/>
      </c>
      <c r="E1367" s="27">
        <f>IF(D1367="","",D1367*'02_Eingaben'!$C$8)</f>
        <v/>
      </c>
      <c r="F1367" s="27">
        <f>IF(E1367="","",AVERAGE(INDEX($E$2:$E$3001,MAX(1,ROW()-1-'02_Eingaben'!$C$17)):INDEX($E$2:$E$3001,MIN('02_Eingaben'!$C$21,ROW()-1+'02_Eingaben'!$C$17))))</f>
        <v/>
      </c>
      <c r="G1367" s="27">
        <f>IF(F1367="","",F1367-'02_Eingaben'!$C$10)</f>
        <v/>
      </c>
      <c r="H1367">
        <f>IF(F1367="","",IF(F1367&lt;'02_Eingaben'!$C$18*'02_Eingaben'!$C$10,1,0))</f>
        <v/>
      </c>
      <c r="I1367" s="27">
        <f>IF(OR(G1367="",G1368=""),"",(G1367+G1368)/2*(B1368-B1367))</f>
        <v/>
      </c>
      <c r="J1367" s="27">
        <f>IF(B1367="","",IF(B1366&lt;'02_Eingaben'!$C$36,0,J1366+I1366/'02_Eingaben'!$C$8))</f>
        <v/>
      </c>
    </row>
    <row r="1368">
      <c r="A1368">
        <f>IF('01_Rohdaten'!A1368="","",ROW()-1)</f>
        <v/>
      </c>
      <c r="B1368" s="27">
        <f>IF('01_Rohdaten'!A1368="","",'01_Rohdaten'!A1368)</f>
        <v/>
      </c>
      <c r="C1368" s="27">
        <f>IF(B1368="","",INDEX('01_Rohdaten'!B1368:D1368,'02_Eingaben'!$C$13))</f>
        <v/>
      </c>
      <c r="D1368" s="27">
        <f>IF(C1368="","",C1368*'02_Eingaben'!$C$15)</f>
        <v/>
      </c>
      <c r="E1368" s="27">
        <f>IF(D1368="","",D1368*'02_Eingaben'!$C$8)</f>
        <v/>
      </c>
      <c r="F1368" s="27">
        <f>IF(E1368="","",AVERAGE(INDEX($E$2:$E$3001,MAX(1,ROW()-1-'02_Eingaben'!$C$17)):INDEX($E$2:$E$3001,MIN('02_Eingaben'!$C$21,ROW()-1+'02_Eingaben'!$C$17))))</f>
        <v/>
      </c>
      <c r="G1368" s="27">
        <f>IF(F1368="","",F1368-'02_Eingaben'!$C$10)</f>
        <v/>
      </c>
      <c r="H1368">
        <f>IF(F1368="","",IF(F1368&lt;'02_Eingaben'!$C$18*'02_Eingaben'!$C$10,1,0))</f>
        <v/>
      </c>
      <c r="I1368" s="27">
        <f>IF(OR(G1368="",G1369=""),"",(G1368+G1369)/2*(B1369-B1368))</f>
        <v/>
      </c>
      <c r="J1368" s="27">
        <f>IF(B1368="","",IF(B1367&lt;'02_Eingaben'!$C$36,0,J1367+I1367/'02_Eingaben'!$C$8))</f>
        <v/>
      </c>
    </row>
    <row r="1369">
      <c r="A1369">
        <f>IF('01_Rohdaten'!A1369="","",ROW()-1)</f>
        <v/>
      </c>
      <c r="B1369" s="27">
        <f>IF('01_Rohdaten'!A1369="","",'01_Rohdaten'!A1369)</f>
        <v/>
      </c>
      <c r="C1369" s="27">
        <f>IF(B1369="","",INDEX('01_Rohdaten'!B1369:D1369,'02_Eingaben'!$C$13))</f>
        <v/>
      </c>
      <c r="D1369" s="27">
        <f>IF(C1369="","",C1369*'02_Eingaben'!$C$15)</f>
        <v/>
      </c>
      <c r="E1369" s="27">
        <f>IF(D1369="","",D1369*'02_Eingaben'!$C$8)</f>
        <v/>
      </c>
      <c r="F1369" s="27">
        <f>IF(E1369="","",AVERAGE(INDEX($E$2:$E$3001,MAX(1,ROW()-1-'02_Eingaben'!$C$17)):INDEX($E$2:$E$3001,MIN('02_Eingaben'!$C$21,ROW()-1+'02_Eingaben'!$C$17))))</f>
        <v/>
      </c>
      <c r="G1369" s="27">
        <f>IF(F1369="","",F1369-'02_Eingaben'!$C$10)</f>
        <v/>
      </c>
      <c r="H1369">
        <f>IF(F1369="","",IF(F1369&lt;'02_Eingaben'!$C$18*'02_Eingaben'!$C$10,1,0))</f>
        <v/>
      </c>
      <c r="I1369" s="27">
        <f>IF(OR(G1369="",G1370=""),"",(G1369+G1370)/2*(B1370-B1369))</f>
        <v/>
      </c>
      <c r="J1369" s="27">
        <f>IF(B1369="","",IF(B1368&lt;'02_Eingaben'!$C$36,0,J1368+I1368/'02_Eingaben'!$C$8))</f>
        <v/>
      </c>
    </row>
    <row r="1370">
      <c r="A1370">
        <f>IF('01_Rohdaten'!A1370="","",ROW()-1)</f>
        <v/>
      </c>
      <c r="B1370" s="27">
        <f>IF('01_Rohdaten'!A1370="","",'01_Rohdaten'!A1370)</f>
        <v/>
      </c>
      <c r="C1370" s="27">
        <f>IF(B1370="","",INDEX('01_Rohdaten'!B1370:D1370,'02_Eingaben'!$C$13))</f>
        <v/>
      </c>
      <c r="D1370" s="27">
        <f>IF(C1370="","",C1370*'02_Eingaben'!$C$15)</f>
        <v/>
      </c>
      <c r="E1370" s="27">
        <f>IF(D1370="","",D1370*'02_Eingaben'!$C$8)</f>
        <v/>
      </c>
      <c r="F1370" s="27">
        <f>IF(E1370="","",AVERAGE(INDEX($E$2:$E$3001,MAX(1,ROW()-1-'02_Eingaben'!$C$17)):INDEX($E$2:$E$3001,MIN('02_Eingaben'!$C$21,ROW()-1+'02_Eingaben'!$C$17))))</f>
        <v/>
      </c>
      <c r="G1370" s="27">
        <f>IF(F1370="","",F1370-'02_Eingaben'!$C$10)</f>
        <v/>
      </c>
      <c r="H1370">
        <f>IF(F1370="","",IF(F1370&lt;'02_Eingaben'!$C$18*'02_Eingaben'!$C$10,1,0))</f>
        <v/>
      </c>
      <c r="I1370" s="27">
        <f>IF(OR(G1370="",G1371=""),"",(G1370+G1371)/2*(B1371-B1370))</f>
        <v/>
      </c>
      <c r="J1370" s="27">
        <f>IF(B1370="","",IF(B1369&lt;'02_Eingaben'!$C$36,0,J1369+I1369/'02_Eingaben'!$C$8))</f>
        <v/>
      </c>
    </row>
    <row r="1371">
      <c r="A1371">
        <f>IF('01_Rohdaten'!A1371="","",ROW()-1)</f>
        <v/>
      </c>
      <c r="B1371" s="27">
        <f>IF('01_Rohdaten'!A1371="","",'01_Rohdaten'!A1371)</f>
        <v/>
      </c>
      <c r="C1371" s="27">
        <f>IF(B1371="","",INDEX('01_Rohdaten'!B1371:D1371,'02_Eingaben'!$C$13))</f>
        <v/>
      </c>
      <c r="D1371" s="27">
        <f>IF(C1371="","",C1371*'02_Eingaben'!$C$15)</f>
        <v/>
      </c>
      <c r="E1371" s="27">
        <f>IF(D1371="","",D1371*'02_Eingaben'!$C$8)</f>
        <v/>
      </c>
      <c r="F1371" s="27">
        <f>IF(E1371="","",AVERAGE(INDEX($E$2:$E$3001,MAX(1,ROW()-1-'02_Eingaben'!$C$17)):INDEX($E$2:$E$3001,MIN('02_Eingaben'!$C$21,ROW()-1+'02_Eingaben'!$C$17))))</f>
        <v/>
      </c>
      <c r="G1371" s="27">
        <f>IF(F1371="","",F1371-'02_Eingaben'!$C$10)</f>
        <v/>
      </c>
      <c r="H1371">
        <f>IF(F1371="","",IF(F1371&lt;'02_Eingaben'!$C$18*'02_Eingaben'!$C$10,1,0))</f>
        <v/>
      </c>
      <c r="I1371" s="27">
        <f>IF(OR(G1371="",G1372=""),"",(G1371+G1372)/2*(B1372-B1371))</f>
        <v/>
      </c>
      <c r="J1371" s="27">
        <f>IF(B1371="","",IF(B1370&lt;'02_Eingaben'!$C$36,0,J1370+I1370/'02_Eingaben'!$C$8))</f>
        <v/>
      </c>
    </row>
    <row r="1372">
      <c r="A1372">
        <f>IF('01_Rohdaten'!A1372="","",ROW()-1)</f>
        <v/>
      </c>
      <c r="B1372" s="27">
        <f>IF('01_Rohdaten'!A1372="","",'01_Rohdaten'!A1372)</f>
        <v/>
      </c>
      <c r="C1372" s="27">
        <f>IF(B1372="","",INDEX('01_Rohdaten'!B1372:D1372,'02_Eingaben'!$C$13))</f>
        <v/>
      </c>
      <c r="D1372" s="27">
        <f>IF(C1372="","",C1372*'02_Eingaben'!$C$15)</f>
        <v/>
      </c>
      <c r="E1372" s="27">
        <f>IF(D1372="","",D1372*'02_Eingaben'!$C$8)</f>
        <v/>
      </c>
      <c r="F1372" s="27">
        <f>IF(E1372="","",AVERAGE(INDEX($E$2:$E$3001,MAX(1,ROW()-1-'02_Eingaben'!$C$17)):INDEX($E$2:$E$3001,MIN('02_Eingaben'!$C$21,ROW()-1+'02_Eingaben'!$C$17))))</f>
        <v/>
      </c>
      <c r="G1372" s="27">
        <f>IF(F1372="","",F1372-'02_Eingaben'!$C$10)</f>
        <v/>
      </c>
      <c r="H1372">
        <f>IF(F1372="","",IF(F1372&lt;'02_Eingaben'!$C$18*'02_Eingaben'!$C$10,1,0))</f>
        <v/>
      </c>
      <c r="I1372" s="27">
        <f>IF(OR(G1372="",G1373=""),"",(G1372+G1373)/2*(B1373-B1372))</f>
        <v/>
      </c>
      <c r="J1372" s="27">
        <f>IF(B1372="","",IF(B1371&lt;'02_Eingaben'!$C$36,0,J1371+I1371/'02_Eingaben'!$C$8))</f>
        <v/>
      </c>
    </row>
    <row r="1373">
      <c r="A1373">
        <f>IF('01_Rohdaten'!A1373="","",ROW()-1)</f>
        <v/>
      </c>
      <c r="B1373" s="27">
        <f>IF('01_Rohdaten'!A1373="","",'01_Rohdaten'!A1373)</f>
        <v/>
      </c>
      <c r="C1373" s="27">
        <f>IF(B1373="","",INDEX('01_Rohdaten'!B1373:D1373,'02_Eingaben'!$C$13))</f>
        <v/>
      </c>
      <c r="D1373" s="27">
        <f>IF(C1373="","",C1373*'02_Eingaben'!$C$15)</f>
        <v/>
      </c>
      <c r="E1373" s="27">
        <f>IF(D1373="","",D1373*'02_Eingaben'!$C$8)</f>
        <v/>
      </c>
      <c r="F1373" s="27">
        <f>IF(E1373="","",AVERAGE(INDEX($E$2:$E$3001,MAX(1,ROW()-1-'02_Eingaben'!$C$17)):INDEX($E$2:$E$3001,MIN('02_Eingaben'!$C$21,ROW()-1+'02_Eingaben'!$C$17))))</f>
        <v/>
      </c>
      <c r="G1373" s="27">
        <f>IF(F1373="","",F1373-'02_Eingaben'!$C$10)</f>
        <v/>
      </c>
      <c r="H1373">
        <f>IF(F1373="","",IF(F1373&lt;'02_Eingaben'!$C$18*'02_Eingaben'!$C$10,1,0))</f>
        <v/>
      </c>
      <c r="I1373" s="27">
        <f>IF(OR(G1373="",G1374=""),"",(G1373+G1374)/2*(B1374-B1373))</f>
        <v/>
      </c>
      <c r="J1373" s="27">
        <f>IF(B1373="","",IF(B1372&lt;'02_Eingaben'!$C$36,0,J1372+I1372/'02_Eingaben'!$C$8))</f>
        <v/>
      </c>
    </row>
    <row r="1374">
      <c r="A1374">
        <f>IF('01_Rohdaten'!A1374="","",ROW()-1)</f>
        <v/>
      </c>
      <c r="B1374" s="27">
        <f>IF('01_Rohdaten'!A1374="","",'01_Rohdaten'!A1374)</f>
        <v/>
      </c>
      <c r="C1374" s="27">
        <f>IF(B1374="","",INDEX('01_Rohdaten'!B1374:D1374,'02_Eingaben'!$C$13))</f>
        <v/>
      </c>
      <c r="D1374" s="27">
        <f>IF(C1374="","",C1374*'02_Eingaben'!$C$15)</f>
        <v/>
      </c>
      <c r="E1374" s="27">
        <f>IF(D1374="","",D1374*'02_Eingaben'!$C$8)</f>
        <v/>
      </c>
      <c r="F1374" s="27">
        <f>IF(E1374="","",AVERAGE(INDEX($E$2:$E$3001,MAX(1,ROW()-1-'02_Eingaben'!$C$17)):INDEX($E$2:$E$3001,MIN('02_Eingaben'!$C$21,ROW()-1+'02_Eingaben'!$C$17))))</f>
        <v/>
      </c>
      <c r="G1374" s="27">
        <f>IF(F1374="","",F1374-'02_Eingaben'!$C$10)</f>
        <v/>
      </c>
      <c r="H1374">
        <f>IF(F1374="","",IF(F1374&lt;'02_Eingaben'!$C$18*'02_Eingaben'!$C$10,1,0))</f>
        <v/>
      </c>
      <c r="I1374" s="27">
        <f>IF(OR(G1374="",G1375=""),"",(G1374+G1375)/2*(B1375-B1374))</f>
        <v/>
      </c>
      <c r="J1374" s="27">
        <f>IF(B1374="","",IF(B1373&lt;'02_Eingaben'!$C$36,0,J1373+I1373/'02_Eingaben'!$C$8))</f>
        <v/>
      </c>
    </row>
    <row r="1375">
      <c r="A1375">
        <f>IF('01_Rohdaten'!A1375="","",ROW()-1)</f>
        <v/>
      </c>
      <c r="B1375" s="27">
        <f>IF('01_Rohdaten'!A1375="","",'01_Rohdaten'!A1375)</f>
        <v/>
      </c>
      <c r="C1375" s="27">
        <f>IF(B1375="","",INDEX('01_Rohdaten'!B1375:D1375,'02_Eingaben'!$C$13))</f>
        <v/>
      </c>
      <c r="D1375" s="27">
        <f>IF(C1375="","",C1375*'02_Eingaben'!$C$15)</f>
        <v/>
      </c>
      <c r="E1375" s="27">
        <f>IF(D1375="","",D1375*'02_Eingaben'!$C$8)</f>
        <v/>
      </c>
      <c r="F1375" s="27">
        <f>IF(E1375="","",AVERAGE(INDEX($E$2:$E$3001,MAX(1,ROW()-1-'02_Eingaben'!$C$17)):INDEX($E$2:$E$3001,MIN('02_Eingaben'!$C$21,ROW()-1+'02_Eingaben'!$C$17))))</f>
        <v/>
      </c>
      <c r="G1375" s="27">
        <f>IF(F1375="","",F1375-'02_Eingaben'!$C$10)</f>
        <v/>
      </c>
      <c r="H1375">
        <f>IF(F1375="","",IF(F1375&lt;'02_Eingaben'!$C$18*'02_Eingaben'!$C$10,1,0))</f>
        <v/>
      </c>
      <c r="I1375" s="27">
        <f>IF(OR(G1375="",G1376=""),"",(G1375+G1376)/2*(B1376-B1375))</f>
        <v/>
      </c>
      <c r="J1375" s="27">
        <f>IF(B1375="","",IF(B1374&lt;'02_Eingaben'!$C$36,0,J1374+I1374/'02_Eingaben'!$C$8))</f>
        <v/>
      </c>
    </row>
    <row r="1376">
      <c r="A1376">
        <f>IF('01_Rohdaten'!A1376="","",ROW()-1)</f>
        <v/>
      </c>
      <c r="B1376" s="27">
        <f>IF('01_Rohdaten'!A1376="","",'01_Rohdaten'!A1376)</f>
        <v/>
      </c>
      <c r="C1376" s="27">
        <f>IF(B1376="","",INDEX('01_Rohdaten'!B1376:D1376,'02_Eingaben'!$C$13))</f>
        <v/>
      </c>
      <c r="D1376" s="27">
        <f>IF(C1376="","",C1376*'02_Eingaben'!$C$15)</f>
        <v/>
      </c>
      <c r="E1376" s="27">
        <f>IF(D1376="","",D1376*'02_Eingaben'!$C$8)</f>
        <v/>
      </c>
      <c r="F1376" s="27">
        <f>IF(E1376="","",AVERAGE(INDEX($E$2:$E$3001,MAX(1,ROW()-1-'02_Eingaben'!$C$17)):INDEX($E$2:$E$3001,MIN('02_Eingaben'!$C$21,ROW()-1+'02_Eingaben'!$C$17))))</f>
        <v/>
      </c>
      <c r="G1376" s="27">
        <f>IF(F1376="","",F1376-'02_Eingaben'!$C$10)</f>
        <v/>
      </c>
      <c r="H1376">
        <f>IF(F1376="","",IF(F1376&lt;'02_Eingaben'!$C$18*'02_Eingaben'!$C$10,1,0))</f>
        <v/>
      </c>
      <c r="I1376" s="27">
        <f>IF(OR(G1376="",G1377=""),"",(G1376+G1377)/2*(B1377-B1376))</f>
        <v/>
      </c>
      <c r="J1376" s="27">
        <f>IF(B1376="","",IF(B1375&lt;'02_Eingaben'!$C$36,0,J1375+I1375/'02_Eingaben'!$C$8))</f>
        <v/>
      </c>
    </row>
    <row r="1377">
      <c r="A1377">
        <f>IF('01_Rohdaten'!A1377="","",ROW()-1)</f>
        <v/>
      </c>
      <c r="B1377" s="27">
        <f>IF('01_Rohdaten'!A1377="","",'01_Rohdaten'!A1377)</f>
        <v/>
      </c>
      <c r="C1377" s="27">
        <f>IF(B1377="","",INDEX('01_Rohdaten'!B1377:D1377,'02_Eingaben'!$C$13))</f>
        <v/>
      </c>
      <c r="D1377" s="27">
        <f>IF(C1377="","",C1377*'02_Eingaben'!$C$15)</f>
        <v/>
      </c>
      <c r="E1377" s="27">
        <f>IF(D1377="","",D1377*'02_Eingaben'!$C$8)</f>
        <v/>
      </c>
      <c r="F1377" s="27">
        <f>IF(E1377="","",AVERAGE(INDEX($E$2:$E$3001,MAX(1,ROW()-1-'02_Eingaben'!$C$17)):INDEX($E$2:$E$3001,MIN('02_Eingaben'!$C$21,ROW()-1+'02_Eingaben'!$C$17))))</f>
        <v/>
      </c>
      <c r="G1377" s="27">
        <f>IF(F1377="","",F1377-'02_Eingaben'!$C$10)</f>
        <v/>
      </c>
      <c r="H1377">
        <f>IF(F1377="","",IF(F1377&lt;'02_Eingaben'!$C$18*'02_Eingaben'!$C$10,1,0))</f>
        <v/>
      </c>
      <c r="I1377" s="27">
        <f>IF(OR(G1377="",G1378=""),"",(G1377+G1378)/2*(B1378-B1377))</f>
        <v/>
      </c>
      <c r="J1377" s="27">
        <f>IF(B1377="","",IF(B1376&lt;'02_Eingaben'!$C$36,0,J1376+I1376/'02_Eingaben'!$C$8))</f>
        <v/>
      </c>
    </row>
    <row r="1378">
      <c r="A1378">
        <f>IF('01_Rohdaten'!A1378="","",ROW()-1)</f>
        <v/>
      </c>
      <c r="B1378" s="27">
        <f>IF('01_Rohdaten'!A1378="","",'01_Rohdaten'!A1378)</f>
        <v/>
      </c>
      <c r="C1378" s="27">
        <f>IF(B1378="","",INDEX('01_Rohdaten'!B1378:D1378,'02_Eingaben'!$C$13))</f>
        <v/>
      </c>
      <c r="D1378" s="27">
        <f>IF(C1378="","",C1378*'02_Eingaben'!$C$15)</f>
        <v/>
      </c>
      <c r="E1378" s="27">
        <f>IF(D1378="","",D1378*'02_Eingaben'!$C$8)</f>
        <v/>
      </c>
      <c r="F1378" s="27">
        <f>IF(E1378="","",AVERAGE(INDEX($E$2:$E$3001,MAX(1,ROW()-1-'02_Eingaben'!$C$17)):INDEX($E$2:$E$3001,MIN('02_Eingaben'!$C$21,ROW()-1+'02_Eingaben'!$C$17))))</f>
        <v/>
      </c>
      <c r="G1378" s="27">
        <f>IF(F1378="","",F1378-'02_Eingaben'!$C$10)</f>
        <v/>
      </c>
      <c r="H1378">
        <f>IF(F1378="","",IF(F1378&lt;'02_Eingaben'!$C$18*'02_Eingaben'!$C$10,1,0))</f>
        <v/>
      </c>
      <c r="I1378" s="27">
        <f>IF(OR(G1378="",G1379=""),"",(G1378+G1379)/2*(B1379-B1378))</f>
        <v/>
      </c>
      <c r="J1378" s="27">
        <f>IF(B1378="","",IF(B1377&lt;'02_Eingaben'!$C$36,0,J1377+I1377/'02_Eingaben'!$C$8))</f>
        <v/>
      </c>
    </row>
    <row r="1379">
      <c r="A1379">
        <f>IF('01_Rohdaten'!A1379="","",ROW()-1)</f>
        <v/>
      </c>
      <c r="B1379" s="27">
        <f>IF('01_Rohdaten'!A1379="","",'01_Rohdaten'!A1379)</f>
        <v/>
      </c>
      <c r="C1379" s="27">
        <f>IF(B1379="","",INDEX('01_Rohdaten'!B1379:D1379,'02_Eingaben'!$C$13))</f>
        <v/>
      </c>
      <c r="D1379" s="27">
        <f>IF(C1379="","",C1379*'02_Eingaben'!$C$15)</f>
        <v/>
      </c>
      <c r="E1379" s="27">
        <f>IF(D1379="","",D1379*'02_Eingaben'!$C$8)</f>
        <v/>
      </c>
      <c r="F1379" s="27">
        <f>IF(E1379="","",AVERAGE(INDEX($E$2:$E$3001,MAX(1,ROW()-1-'02_Eingaben'!$C$17)):INDEX($E$2:$E$3001,MIN('02_Eingaben'!$C$21,ROW()-1+'02_Eingaben'!$C$17))))</f>
        <v/>
      </c>
      <c r="G1379" s="27">
        <f>IF(F1379="","",F1379-'02_Eingaben'!$C$10)</f>
        <v/>
      </c>
      <c r="H1379">
        <f>IF(F1379="","",IF(F1379&lt;'02_Eingaben'!$C$18*'02_Eingaben'!$C$10,1,0))</f>
        <v/>
      </c>
      <c r="I1379" s="27">
        <f>IF(OR(G1379="",G1380=""),"",(G1379+G1380)/2*(B1380-B1379))</f>
        <v/>
      </c>
      <c r="J1379" s="27">
        <f>IF(B1379="","",IF(B1378&lt;'02_Eingaben'!$C$36,0,J1378+I1378/'02_Eingaben'!$C$8))</f>
        <v/>
      </c>
    </row>
    <row r="1380">
      <c r="A1380">
        <f>IF('01_Rohdaten'!A1380="","",ROW()-1)</f>
        <v/>
      </c>
      <c r="B1380" s="27">
        <f>IF('01_Rohdaten'!A1380="","",'01_Rohdaten'!A1380)</f>
        <v/>
      </c>
      <c r="C1380" s="27">
        <f>IF(B1380="","",INDEX('01_Rohdaten'!B1380:D1380,'02_Eingaben'!$C$13))</f>
        <v/>
      </c>
      <c r="D1380" s="27">
        <f>IF(C1380="","",C1380*'02_Eingaben'!$C$15)</f>
        <v/>
      </c>
      <c r="E1380" s="27">
        <f>IF(D1380="","",D1380*'02_Eingaben'!$C$8)</f>
        <v/>
      </c>
      <c r="F1380" s="27">
        <f>IF(E1380="","",AVERAGE(INDEX($E$2:$E$3001,MAX(1,ROW()-1-'02_Eingaben'!$C$17)):INDEX($E$2:$E$3001,MIN('02_Eingaben'!$C$21,ROW()-1+'02_Eingaben'!$C$17))))</f>
        <v/>
      </c>
      <c r="G1380" s="27">
        <f>IF(F1380="","",F1380-'02_Eingaben'!$C$10)</f>
        <v/>
      </c>
      <c r="H1380">
        <f>IF(F1380="","",IF(F1380&lt;'02_Eingaben'!$C$18*'02_Eingaben'!$C$10,1,0))</f>
        <v/>
      </c>
      <c r="I1380" s="27">
        <f>IF(OR(G1380="",G1381=""),"",(G1380+G1381)/2*(B1381-B1380))</f>
        <v/>
      </c>
      <c r="J1380" s="27">
        <f>IF(B1380="","",IF(B1379&lt;'02_Eingaben'!$C$36,0,J1379+I1379/'02_Eingaben'!$C$8))</f>
        <v/>
      </c>
    </row>
    <row r="1381">
      <c r="A1381">
        <f>IF('01_Rohdaten'!A1381="","",ROW()-1)</f>
        <v/>
      </c>
      <c r="B1381" s="27">
        <f>IF('01_Rohdaten'!A1381="","",'01_Rohdaten'!A1381)</f>
        <v/>
      </c>
      <c r="C1381" s="27">
        <f>IF(B1381="","",INDEX('01_Rohdaten'!B1381:D1381,'02_Eingaben'!$C$13))</f>
        <v/>
      </c>
      <c r="D1381" s="27">
        <f>IF(C1381="","",C1381*'02_Eingaben'!$C$15)</f>
        <v/>
      </c>
      <c r="E1381" s="27">
        <f>IF(D1381="","",D1381*'02_Eingaben'!$C$8)</f>
        <v/>
      </c>
      <c r="F1381" s="27">
        <f>IF(E1381="","",AVERAGE(INDEX($E$2:$E$3001,MAX(1,ROW()-1-'02_Eingaben'!$C$17)):INDEX($E$2:$E$3001,MIN('02_Eingaben'!$C$21,ROW()-1+'02_Eingaben'!$C$17))))</f>
        <v/>
      </c>
      <c r="G1381" s="27">
        <f>IF(F1381="","",F1381-'02_Eingaben'!$C$10)</f>
        <v/>
      </c>
      <c r="H1381">
        <f>IF(F1381="","",IF(F1381&lt;'02_Eingaben'!$C$18*'02_Eingaben'!$C$10,1,0))</f>
        <v/>
      </c>
      <c r="I1381" s="27">
        <f>IF(OR(G1381="",G1382=""),"",(G1381+G1382)/2*(B1382-B1381))</f>
        <v/>
      </c>
      <c r="J1381" s="27">
        <f>IF(B1381="","",IF(B1380&lt;'02_Eingaben'!$C$36,0,J1380+I1380/'02_Eingaben'!$C$8))</f>
        <v/>
      </c>
    </row>
    <row r="1382">
      <c r="A1382">
        <f>IF('01_Rohdaten'!A1382="","",ROW()-1)</f>
        <v/>
      </c>
      <c r="B1382" s="27">
        <f>IF('01_Rohdaten'!A1382="","",'01_Rohdaten'!A1382)</f>
        <v/>
      </c>
      <c r="C1382" s="27">
        <f>IF(B1382="","",INDEX('01_Rohdaten'!B1382:D1382,'02_Eingaben'!$C$13))</f>
        <v/>
      </c>
      <c r="D1382" s="27">
        <f>IF(C1382="","",C1382*'02_Eingaben'!$C$15)</f>
        <v/>
      </c>
      <c r="E1382" s="27">
        <f>IF(D1382="","",D1382*'02_Eingaben'!$C$8)</f>
        <v/>
      </c>
      <c r="F1382" s="27">
        <f>IF(E1382="","",AVERAGE(INDEX($E$2:$E$3001,MAX(1,ROW()-1-'02_Eingaben'!$C$17)):INDEX($E$2:$E$3001,MIN('02_Eingaben'!$C$21,ROW()-1+'02_Eingaben'!$C$17))))</f>
        <v/>
      </c>
      <c r="G1382" s="27">
        <f>IF(F1382="","",F1382-'02_Eingaben'!$C$10)</f>
        <v/>
      </c>
      <c r="H1382">
        <f>IF(F1382="","",IF(F1382&lt;'02_Eingaben'!$C$18*'02_Eingaben'!$C$10,1,0))</f>
        <v/>
      </c>
      <c r="I1382" s="27">
        <f>IF(OR(G1382="",G1383=""),"",(G1382+G1383)/2*(B1383-B1382))</f>
        <v/>
      </c>
      <c r="J1382" s="27">
        <f>IF(B1382="","",IF(B1381&lt;'02_Eingaben'!$C$36,0,J1381+I1381/'02_Eingaben'!$C$8))</f>
        <v/>
      </c>
    </row>
    <row r="1383">
      <c r="A1383">
        <f>IF('01_Rohdaten'!A1383="","",ROW()-1)</f>
        <v/>
      </c>
      <c r="B1383" s="27">
        <f>IF('01_Rohdaten'!A1383="","",'01_Rohdaten'!A1383)</f>
        <v/>
      </c>
      <c r="C1383" s="27">
        <f>IF(B1383="","",INDEX('01_Rohdaten'!B1383:D1383,'02_Eingaben'!$C$13))</f>
        <v/>
      </c>
      <c r="D1383" s="27">
        <f>IF(C1383="","",C1383*'02_Eingaben'!$C$15)</f>
        <v/>
      </c>
      <c r="E1383" s="27">
        <f>IF(D1383="","",D1383*'02_Eingaben'!$C$8)</f>
        <v/>
      </c>
      <c r="F1383" s="27">
        <f>IF(E1383="","",AVERAGE(INDEX($E$2:$E$3001,MAX(1,ROW()-1-'02_Eingaben'!$C$17)):INDEX($E$2:$E$3001,MIN('02_Eingaben'!$C$21,ROW()-1+'02_Eingaben'!$C$17))))</f>
        <v/>
      </c>
      <c r="G1383" s="27">
        <f>IF(F1383="","",F1383-'02_Eingaben'!$C$10)</f>
        <v/>
      </c>
      <c r="H1383">
        <f>IF(F1383="","",IF(F1383&lt;'02_Eingaben'!$C$18*'02_Eingaben'!$C$10,1,0))</f>
        <v/>
      </c>
      <c r="I1383" s="27">
        <f>IF(OR(G1383="",G1384=""),"",(G1383+G1384)/2*(B1384-B1383))</f>
        <v/>
      </c>
      <c r="J1383" s="27">
        <f>IF(B1383="","",IF(B1382&lt;'02_Eingaben'!$C$36,0,J1382+I1382/'02_Eingaben'!$C$8))</f>
        <v/>
      </c>
    </row>
    <row r="1384">
      <c r="A1384">
        <f>IF('01_Rohdaten'!A1384="","",ROW()-1)</f>
        <v/>
      </c>
      <c r="B1384" s="27">
        <f>IF('01_Rohdaten'!A1384="","",'01_Rohdaten'!A1384)</f>
        <v/>
      </c>
      <c r="C1384" s="27">
        <f>IF(B1384="","",INDEX('01_Rohdaten'!B1384:D1384,'02_Eingaben'!$C$13))</f>
        <v/>
      </c>
      <c r="D1384" s="27">
        <f>IF(C1384="","",C1384*'02_Eingaben'!$C$15)</f>
        <v/>
      </c>
      <c r="E1384" s="27">
        <f>IF(D1384="","",D1384*'02_Eingaben'!$C$8)</f>
        <v/>
      </c>
      <c r="F1384" s="27">
        <f>IF(E1384="","",AVERAGE(INDEX($E$2:$E$3001,MAX(1,ROW()-1-'02_Eingaben'!$C$17)):INDEX($E$2:$E$3001,MIN('02_Eingaben'!$C$21,ROW()-1+'02_Eingaben'!$C$17))))</f>
        <v/>
      </c>
      <c r="G1384" s="27">
        <f>IF(F1384="","",F1384-'02_Eingaben'!$C$10)</f>
        <v/>
      </c>
      <c r="H1384">
        <f>IF(F1384="","",IF(F1384&lt;'02_Eingaben'!$C$18*'02_Eingaben'!$C$10,1,0))</f>
        <v/>
      </c>
      <c r="I1384" s="27">
        <f>IF(OR(G1384="",G1385=""),"",(G1384+G1385)/2*(B1385-B1384))</f>
        <v/>
      </c>
      <c r="J1384" s="27">
        <f>IF(B1384="","",IF(B1383&lt;'02_Eingaben'!$C$36,0,J1383+I1383/'02_Eingaben'!$C$8))</f>
        <v/>
      </c>
    </row>
    <row r="1385">
      <c r="A1385">
        <f>IF('01_Rohdaten'!A1385="","",ROW()-1)</f>
        <v/>
      </c>
      <c r="B1385" s="27">
        <f>IF('01_Rohdaten'!A1385="","",'01_Rohdaten'!A1385)</f>
        <v/>
      </c>
      <c r="C1385" s="27">
        <f>IF(B1385="","",INDEX('01_Rohdaten'!B1385:D1385,'02_Eingaben'!$C$13))</f>
        <v/>
      </c>
      <c r="D1385" s="27">
        <f>IF(C1385="","",C1385*'02_Eingaben'!$C$15)</f>
        <v/>
      </c>
      <c r="E1385" s="27">
        <f>IF(D1385="","",D1385*'02_Eingaben'!$C$8)</f>
        <v/>
      </c>
      <c r="F1385" s="27">
        <f>IF(E1385="","",AVERAGE(INDEX($E$2:$E$3001,MAX(1,ROW()-1-'02_Eingaben'!$C$17)):INDEX($E$2:$E$3001,MIN('02_Eingaben'!$C$21,ROW()-1+'02_Eingaben'!$C$17))))</f>
        <v/>
      </c>
      <c r="G1385" s="27">
        <f>IF(F1385="","",F1385-'02_Eingaben'!$C$10)</f>
        <v/>
      </c>
      <c r="H1385">
        <f>IF(F1385="","",IF(F1385&lt;'02_Eingaben'!$C$18*'02_Eingaben'!$C$10,1,0))</f>
        <v/>
      </c>
      <c r="I1385" s="27">
        <f>IF(OR(G1385="",G1386=""),"",(G1385+G1386)/2*(B1386-B1385))</f>
        <v/>
      </c>
      <c r="J1385" s="27">
        <f>IF(B1385="","",IF(B1384&lt;'02_Eingaben'!$C$36,0,J1384+I1384/'02_Eingaben'!$C$8))</f>
        <v/>
      </c>
    </row>
    <row r="1386">
      <c r="A1386">
        <f>IF('01_Rohdaten'!A1386="","",ROW()-1)</f>
        <v/>
      </c>
      <c r="B1386" s="27">
        <f>IF('01_Rohdaten'!A1386="","",'01_Rohdaten'!A1386)</f>
        <v/>
      </c>
      <c r="C1386" s="27">
        <f>IF(B1386="","",INDEX('01_Rohdaten'!B1386:D1386,'02_Eingaben'!$C$13))</f>
        <v/>
      </c>
      <c r="D1386" s="27">
        <f>IF(C1386="","",C1386*'02_Eingaben'!$C$15)</f>
        <v/>
      </c>
      <c r="E1386" s="27">
        <f>IF(D1386="","",D1386*'02_Eingaben'!$C$8)</f>
        <v/>
      </c>
      <c r="F1386" s="27">
        <f>IF(E1386="","",AVERAGE(INDEX($E$2:$E$3001,MAX(1,ROW()-1-'02_Eingaben'!$C$17)):INDEX($E$2:$E$3001,MIN('02_Eingaben'!$C$21,ROW()-1+'02_Eingaben'!$C$17))))</f>
        <v/>
      </c>
      <c r="G1386" s="27">
        <f>IF(F1386="","",F1386-'02_Eingaben'!$C$10)</f>
        <v/>
      </c>
      <c r="H1386">
        <f>IF(F1386="","",IF(F1386&lt;'02_Eingaben'!$C$18*'02_Eingaben'!$C$10,1,0))</f>
        <v/>
      </c>
      <c r="I1386" s="27">
        <f>IF(OR(G1386="",G1387=""),"",(G1386+G1387)/2*(B1387-B1386))</f>
        <v/>
      </c>
      <c r="J1386" s="27">
        <f>IF(B1386="","",IF(B1385&lt;'02_Eingaben'!$C$36,0,J1385+I1385/'02_Eingaben'!$C$8))</f>
        <v/>
      </c>
    </row>
    <row r="1387">
      <c r="A1387">
        <f>IF('01_Rohdaten'!A1387="","",ROW()-1)</f>
        <v/>
      </c>
      <c r="B1387" s="27">
        <f>IF('01_Rohdaten'!A1387="","",'01_Rohdaten'!A1387)</f>
        <v/>
      </c>
      <c r="C1387" s="27">
        <f>IF(B1387="","",INDEX('01_Rohdaten'!B1387:D1387,'02_Eingaben'!$C$13))</f>
        <v/>
      </c>
      <c r="D1387" s="27">
        <f>IF(C1387="","",C1387*'02_Eingaben'!$C$15)</f>
        <v/>
      </c>
      <c r="E1387" s="27">
        <f>IF(D1387="","",D1387*'02_Eingaben'!$C$8)</f>
        <v/>
      </c>
      <c r="F1387" s="27">
        <f>IF(E1387="","",AVERAGE(INDEX($E$2:$E$3001,MAX(1,ROW()-1-'02_Eingaben'!$C$17)):INDEX($E$2:$E$3001,MIN('02_Eingaben'!$C$21,ROW()-1+'02_Eingaben'!$C$17))))</f>
        <v/>
      </c>
      <c r="G1387" s="27">
        <f>IF(F1387="","",F1387-'02_Eingaben'!$C$10)</f>
        <v/>
      </c>
      <c r="H1387">
        <f>IF(F1387="","",IF(F1387&lt;'02_Eingaben'!$C$18*'02_Eingaben'!$C$10,1,0))</f>
        <v/>
      </c>
      <c r="I1387" s="27">
        <f>IF(OR(G1387="",G1388=""),"",(G1387+G1388)/2*(B1388-B1387))</f>
        <v/>
      </c>
      <c r="J1387" s="27">
        <f>IF(B1387="","",IF(B1386&lt;'02_Eingaben'!$C$36,0,J1386+I1386/'02_Eingaben'!$C$8))</f>
        <v/>
      </c>
    </row>
    <row r="1388">
      <c r="A1388">
        <f>IF('01_Rohdaten'!A1388="","",ROW()-1)</f>
        <v/>
      </c>
      <c r="B1388" s="27">
        <f>IF('01_Rohdaten'!A1388="","",'01_Rohdaten'!A1388)</f>
        <v/>
      </c>
      <c r="C1388" s="27">
        <f>IF(B1388="","",INDEX('01_Rohdaten'!B1388:D1388,'02_Eingaben'!$C$13))</f>
        <v/>
      </c>
      <c r="D1388" s="27">
        <f>IF(C1388="","",C1388*'02_Eingaben'!$C$15)</f>
        <v/>
      </c>
      <c r="E1388" s="27">
        <f>IF(D1388="","",D1388*'02_Eingaben'!$C$8)</f>
        <v/>
      </c>
      <c r="F1388" s="27">
        <f>IF(E1388="","",AVERAGE(INDEX($E$2:$E$3001,MAX(1,ROW()-1-'02_Eingaben'!$C$17)):INDEX($E$2:$E$3001,MIN('02_Eingaben'!$C$21,ROW()-1+'02_Eingaben'!$C$17))))</f>
        <v/>
      </c>
      <c r="G1388" s="27">
        <f>IF(F1388="","",F1388-'02_Eingaben'!$C$10)</f>
        <v/>
      </c>
      <c r="H1388">
        <f>IF(F1388="","",IF(F1388&lt;'02_Eingaben'!$C$18*'02_Eingaben'!$C$10,1,0))</f>
        <v/>
      </c>
      <c r="I1388" s="27">
        <f>IF(OR(G1388="",G1389=""),"",(G1388+G1389)/2*(B1389-B1388))</f>
        <v/>
      </c>
      <c r="J1388" s="27">
        <f>IF(B1388="","",IF(B1387&lt;'02_Eingaben'!$C$36,0,J1387+I1387/'02_Eingaben'!$C$8))</f>
        <v/>
      </c>
    </row>
    <row r="1389">
      <c r="A1389">
        <f>IF('01_Rohdaten'!A1389="","",ROW()-1)</f>
        <v/>
      </c>
      <c r="B1389" s="27">
        <f>IF('01_Rohdaten'!A1389="","",'01_Rohdaten'!A1389)</f>
        <v/>
      </c>
      <c r="C1389" s="27">
        <f>IF(B1389="","",INDEX('01_Rohdaten'!B1389:D1389,'02_Eingaben'!$C$13))</f>
        <v/>
      </c>
      <c r="D1389" s="27">
        <f>IF(C1389="","",C1389*'02_Eingaben'!$C$15)</f>
        <v/>
      </c>
      <c r="E1389" s="27">
        <f>IF(D1389="","",D1389*'02_Eingaben'!$C$8)</f>
        <v/>
      </c>
      <c r="F1389" s="27">
        <f>IF(E1389="","",AVERAGE(INDEX($E$2:$E$3001,MAX(1,ROW()-1-'02_Eingaben'!$C$17)):INDEX($E$2:$E$3001,MIN('02_Eingaben'!$C$21,ROW()-1+'02_Eingaben'!$C$17))))</f>
        <v/>
      </c>
      <c r="G1389" s="27">
        <f>IF(F1389="","",F1389-'02_Eingaben'!$C$10)</f>
        <v/>
      </c>
      <c r="H1389">
        <f>IF(F1389="","",IF(F1389&lt;'02_Eingaben'!$C$18*'02_Eingaben'!$C$10,1,0))</f>
        <v/>
      </c>
      <c r="I1389" s="27">
        <f>IF(OR(G1389="",G1390=""),"",(G1389+G1390)/2*(B1390-B1389))</f>
        <v/>
      </c>
      <c r="J1389" s="27">
        <f>IF(B1389="","",IF(B1388&lt;'02_Eingaben'!$C$36,0,J1388+I1388/'02_Eingaben'!$C$8))</f>
        <v/>
      </c>
    </row>
    <row r="1390">
      <c r="A1390">
        <f>IF('01_Rohdaten'!A1390="","",ROW()-1)</f>
        <v/>
      </c>
      <c r="B1390" s="27">
        <f>IF('01_Rohdaten'!A1390="","",'01_Rohdaten'!A1390)</f>
        <v/>
      </c>
      <c r="C1390" s="27">
        <f>IF(B1390="","",INDEX('01_Rohdaten'!B1390:D1390,'02_Eingaben'!$C$13))</f>
        <v/>
      </c>
      <c r="D1390" s="27">
        <f>IF(C1390="","",C1390*'02_Eingaben'!$C$15)</f>
        <v/>
      </c>
      <c r="E1390" s="27">
        <f>IF(D1390="","",D1390*'02_Eingaben'!$C$8)</f>
        <v/>
      </c>
      <c r="F1390" s="27">
        <f>IF(E1390="","",AVERAGE(INDEX($E$2:$E$3001,MAX(1,ROW()-1-'02_Eingaben'!$C$17)):INDEX($E$2:$E$3001,MIN('02_Eingaben'!$C$21,ROW()-1+'02_Eingaben'!$C$17))))</f>
        <v/>
      </c>
      <c r="G1390" s="27">
        <f>IF(F1390="","",F1390-'02_Eingaben'!$C$10)</f>
        <v/>
      </c>
      <c r="H1390">
        <f>IF(F1390="","",IF(F1390&lt;'02_Eingaben'!$C$18*'02_Eingaben'!$C$10,1,0))</f>
        <v/>
      </c>
      <c r="I1390" s="27">
        <f>IF(OR(G1390="",G1391=""),"",(G1390+G1391)/2*(B1391-B1390))</f>
        <v/>
      </c>
      <c r="J1390" s="27">
        <f>IF(B1390="","",IF(B1389&lt;'02_Eingaben'!$C$36,0,J1389+I1389/'02_Eingaben'!$C$8))</f>
        <v/>
      </c>
    </row>
    <row r="1391">
      <c r="A1391">
        <f>IF('01_Rohdaten'!A1391="","",ROW()-1)</f>
        <v/>
      </c>
      <c r="B1391" s="27">
        <f>IF('01_Rohdaten'!A1391="","",'01_Rohdaten'!A1391)</f>
        <v/>
      </c>
      <c r="C1391" s="27">
        <f>IF(B1391="","",INDEX('01_Rohdaten'!B1391:D1391,'02_Eingaben'!$C$13))</f>
        <v/>
      </c>
      <c r="D1391" s="27">
        <f>IF(C1391="","",C1391*'02_Eingaben'!$C$15)</f>
        <v/>
      </c>
      <c r="E1391" s="27">
        <f>IF(D1391="","",D1391*'02_Eingaben'!$C$8)</f>
        <v/>
      </c>
      <c r="F1391" s="27">
        <f>IF(E1391="","",AVERAGE(INDEX($E$2:$E$3001,MAX(1,ROW()-1-'02_Eingaben'!$C$17)):INDEX($E$2:$E$3001,MIN('02_Eingaben'!$C$21,ROW()-1+'02_Eingaben'!$C$17))))</f>
        <v/>
      </c>
      <c r="G1391" s="27">
        <f>IF(F1391="","",F1391-'02_Eingaben'!$C$10)</f>
        <v/>
      </c>
      <c r="H1391">
        <f>IF(F1391="","",IF(F1391&lt;'02_Eingaben'!$C$18*'02_Eingaben'!$C$10,1,0))</f>
        <v/>
      </c>
      <c r="I1391" s="27">
        <f>IF(OR(G1391="",G1392=""),"",(G1391+G1392)/2*(B1392-B1391))</f>
        <v/>
      </c>
      <c r="J1391" s="27">
        <f>IF(B1391="","",IF(B1390&lt;'02_Eingaben'!$C$36,0,J1390+I1390/'02_Eingaben'!$C$8))</f>
        <v/>
      </c>
    </row>
    <row r="1392">
      <c r="A1392">
        <f>IF('01_Rohdaten'!A1392="","",ROW()-1)</f>
        <v/>
      </c>
      <c r="B1392" s="27">
        <f>IF('01_Rohdaten'!A1392="","",'01_Rohdaten'!A1392)</f>
        <v/>
      </c>
      <c r="C1392" s="27">
        <f>IF(B1392="","",INDEX('01_Rohdaten'!B1392:D1392,'02_Eingaben'!$C$13))</f>
        <v/>
      </c>
      <c r="D1392" s="27">
        <f>IF(C1392="","",C1392*'02_Eingaben'!$C$15)</f>
        <v/>
      </c>
      <c r="E1392" s="27">
        <f>IF(D1392="","",D1392*'02_Eingaben'!$C$8)</f>
        <v/>
      </c>
      <c r="F1392" s="27">
        <f>IF(E1392="","",AVERAGE(INDEX($E$2:$E$3001,MAX(1,ROW()-1-'02_Eingaben'!$C$17)):INDEX($E$2:$E$3001,MIN('02_Eingaben'!$C$21,ROW()-1+'02_Eingaben'!$C$17))))</f>
        <v/>
      </c>
      <c r="G1392" s="27">
        <f>IF(F1392="","",F1392-'02_Eingaben'!$C$10)</f>
        <v/>
      </c>
      <c r="H1392">
        <f>IF(F1392="","",IF(F1392&lt;'02_Eingaben'!$C$18*'02_Eingaben'!$C$10,1,0))</f>
        <v/>
      </c>
      <c r="I1392" s="27">
        <f>IF(OR(G1392="",G1393=""),"",(G1392+G1393)/2*(B1393-B1392))</f>
        <v/>
      </c>
      <c r="J1392" s="27">
        <f>IF(B1392="","",IF(B1391&lt;'02_Eingaben'!$C$36,0,J1391+I1391/'02_Eingaben'!$C$8))</f>
        <v/>
      </c>
    </row>
    <row r="1393">
      <c r="A1393">
        <f>IF('01_Rohdaten'!A1393="","",ROW()-1)</f>
        <v/>
      </c>
      <c r="B1393" s="27">
        <f>IF('01_Rohdaten'!A1393="","",'01_Rohdaten'!A1393)</f>
        <v/>
      </c>
      <c r="C1393" s="27">
        <f>IF(B1393="","",INDEX('01_Rohdaten'!B1393:D1393,'02_Eingaben'!$C$13))</f>
        <v/>
      </c>
      <c r="D1393" s="27">
        <f>IF(C1393="","",C1393*'02_Eingaben'!$C$15)</f>
        <v/>
      </c>
      <c r="E1393" s="27">
        <f>IF(D1393="","",D1393*'02_Eingaben'!$C$8)</f>
        <v/>
      </c>
      <c r="F1393" s="27">
        <f>IF(E1393="","",AVERAGE(INDEX($E$2:$E$3001,MAX(1,ROW()-1-'02_Eingaben'!$C$17)):INDEX($E$2:$E$3001,MIN('02_Eingaben'!$C$21,ROW()-1+'02_Eingaben'!$C$17))))</f>
        <v/>
      </c>
      <c r="G1393" s="27">
        <f>IF(F1393="","",F1393-'02_Eingaben'!$C$10)</f>
        <v/>
      </c>
      <c r="H1393">
        <f>IF(F1393="","",IF(F1393&lt;'02_Eingaben'!$C$18*'02_Eingaben'!$C$10,1,0))</f>
        <v/>
      </c>
      <c r="I1393" s="27">
        <f>IF(OR(G1393="",G1394=""),"",(G1393+G1394)/2*(B1394-B1393))</f>
        <v/>
      </c>
      <c r="J1393" s="27">
        <f>IF(B1393="","",IF(B1392&lt;'02_Eingaben'!$C$36,0,J1392+I1392/'02_Eingaben'!$C$8))</f>
        <v/>
      </c>
    </row>
    <row r="1394">
      <c r="A1394">
        <f>IF('01_Rohdaten'!A1394="","",ROW()-1)</f>
        <v/>
      </c>
      <c r="B1394" s="27">
        <f>IF('01_Rohdaten'!A1394="","",'01_Rohdaten'!A1394)</f>
        <v/>
      </c>
      <c r="C1394" s="27">
        <f>IF(B1394="","",INDEX('01_Rohdaten'!B1394:D1394,'02_Eingaben'!$C$13))</f>
        <v/>
      </c>
      <c r="D1394" s="27">
        <f>IF(C1394="","",C1394*'02_Eingaben'!$C$15)</f>
        <v/>
      </c>
      <c r="E1394" s="27">
        <f>IF(D1394="","",D1394*'02_Eingaben'!$C$8)</f>
        <v/>
      </c>
      <c r="F1394" s="27">
        <f>IF(E1394="","",AVERAGE(INDEX($E$2:$E$3001,MAX(1,ROW()-1-'02_Eingaben'!$C$17)):INDEX($E$2:$E$3001,MIN('02_Eingaben'!$C$21,ROW()-1+'02_Eingaben'!$C$17))))</f>
        <v/>
      </c>
      <c r="G1394" s="27">
        <f>IF(F1394="","",F1394-'02_Eingaben'!$C$10)</f>
        <v/>
      </c>
      <c r="H1394">
        <f>IF(F1394="","",IF(F1394&lt;'02_Eingaben'!$C$18*'02_Eingaben'!$C$10,1,0))</f>
        <v/>
      </c>
      <c r="I1394" s="27">
        <f>IF(OR(G1394="",G1395=""),"",(G1394+G1395)/2*(B1395-B1394))</f>
        <v/>
      </c>
      <c r="J1394" s="27">
        <f>IF(B1394="","",IF(B1393&lt;'02_Eingaben'!$C$36,0,J1393+I1393/'02_Eingaben'!$C$8))</f>
        <v/>
      </c>
    </row>
    <row r="1395">
      <c r="A1395">
        <f>IF('01_Rohdaten'!A1395="","",ROW()-1)</f>
        <v/>
      </c>
      <c r="B1395" s="27">
        <f>IF('01_Rohdaten'!A1395="","",'01_Rohdaten'!A1395)</f>
        <v/>
      </c>
      <c r="C1395" s="27">
        <f>IF(B1395="","",INDEX('01_Rohdaten'!B1395:D1395,'02_Eingaben'!$C$13))</f>
        <v/>
      </c>
      <c r="D1395" s="27">
        <f>IF(C1395="","",C1395*'02_Eingaben'!$C$15)</f>
        <v/>
      </c>
      <c r="E1395" s="27">
        <f>IF(D1395="","",D1395*'02_Eingaben'!$C$8)</f>
        <v/>
      </c>
      <c r="F1395" s="27">
        <f>IF(E1395="","",AVERAGE(INDEX($E$2:$E$3001,MAX(1,ROW()-1-'02_Eingaben'!$C$17)):INDEX($E$2:$E$3001,MIN('02_Eingaben'!$C$21,ROW()-1+'02_Eingaben'!$C$17))))</f>
        <v/>
      </c>
      <c r="G1395" s="27">
        <f>IF(F1395="","",F1395-'02_Eingaben'!$C$10)</f>
        <v/>
      </c>
      <c r="H1395">
        <f>IF(F1395="","",IF(F1395&lt;'02_Eingaben'!$C$18*'02_Eingaben'!$C$10,1,0))</f>
        <v/>
      </c>
      <c r="I1395" s="27">
        <f>IF(OR(G1395="",G1396=""),"",(G1395+G1396)/2*(B1396-B1395))</f>
        <v/>
      </c>
      <c r="J1395" s="27">
        <f>IF(B1395="","",IF(B1394&lt;'02_Eingaben'!$C$36,0,J1394+I1394/'02_Eingaben'!$C$8))</f>
        <v/>
      </c>
    </row>
    <row r="1396">
      <c r="A1396">
        <f>IF('01_Rohdaten'!A1396="","",ROW()-1)</f>
        <v/>
      </c>
      <c r="B1396" s="27">
        <f>IF('01_Rohdaten'!A1396="","",'01_Rohdaten'!A1396)</f>
        <v/>
      </c>
      <c r="C1396" s="27">
        <f>IF(B1396="","",INDEX('01_Rohdaten'!B1396:D1396,'02_Eingaben'!$C$13))</f>
        <v/>
      </c>
      <c r="D1396" s="27">
        <f>IF(C1396="","",C1396*'02_Eingaben'!$C$15)</f>
        <v/>
      </c>
      <c r="E1396" s="27">
        <f>IF(D1396="","",D1396*'02_Eingaben'!$C$8)</f>
        <v/>
      </c>
      <c r="F1396" s="27">
        <f>IF(E1396="","",AVERAGE(INDEX($E$2:$E$3001,MAX(1,ROW()-1-'02_Eingaben'!$C$17)):INDEX($E$2:$E$3001,MIN('02_Eingaben'!$C$21,ROW()-1+'02_Eingaben'!$C$17))))</f>
        <v/>
      </c>
      <c r="G1396" s="27">
        <f>IF(F1396="","",F1396-'02_Eingaben'!$C$10)</f>
        <v/>
      </c>
      <c r="H1396">
        <f>IF(F1396="","",IF(F1396&lt;'02_Eingaben'!$C$18*'02_Eingaben'!$C$10,1,0))</f>
        <v/>
      </c>
      <c r="I1396" s="27">
        <f>IF(OR(G1396="",G1397=""),"",(G1396+G1397)/2*(B1397-B1396))</f>
        <v/>
      </c>
      <c r="J1396" s="27">
        <f>IF(B1396="","",IF(B1395&lt;'02_Eingaben'!$C$36,0,J1395+I1395/'02_Eingaben'!$C$8))</f>
        <v/>
      </c>
    </row>
    <row r="1397">
      <c r="A1397">
        <f>IF('01_Rohdaten'!A1397="","",ROW()-1)</f>
        <v/>
      </c>
      <c r="B1397" s="27">
        <f>IF('01_Rohdaten'!A1397="","",'01_Rohdaten'!A1397)</f>
        <v/>
      </c>
      <c r="C1397" s="27">
        <f>IF(B1397="","",INDEX('01_Rohdaten'!B1397:D1397,'02_Eingaben'!$C$13))</f>
        <v/>
      </c>
      <c r="D1397" s="27">
        <f>IF(C1397="","",C1397*'02_Eingaben'!$C$15)</f>
        <v/>
      </c>
      <c r="E1397" s="27">
        <f>IF(D1397="","",D1397*'02_Eingaben'!$C$8)</f>
        <v/>
      </c>
      <c r="F1397" s="27">
        <f>IF(E1397="","",AVERAGE(INDEX($E$2:$E$3001,MAX(1,ROW()-1-'02_Eingaben'!$C$17)):INDEX($E$2:$E$3001,MIN('02_Eingaben'!$C$21,ROW()-1+'02_Eingaben'!$C$17))))</f>
        <v/>
      </c>
      <c r="G1397" s="27">
        <f>IF(F1397="","",F1397-'02_Eingaben'!$C$10)</f>
        <v/>
      </c>
      <c r="H1397">
        <f>IF(F1397="","",IF(F1397&lt;'02_Eingaben'!$C$18*'02_Eingaben'!$C$10,1,0))</f>
        <v/>
      </c>
      <c r="I1397" s="27">
        <f>IF(OR(G1397="",G1398=""),"",(G1397+G1398)/2*(B1398-B1397))</f>
        <v/>
      </c>
      <c r="J1397" s="27">
        <f>IF(B1397="","",IF(B1396&lt;'02_Eingaben'!$C$36,0,J1396+I1396/'02_Eingaben'!$C$8))</f>
        <v/>
      </c>
    </row>
    <row r="1398">
      <c r="A1398">
        <f>IF('01_Rohdaten'!A1398="","",ROW()-1)</f>
        <v/>
      </c>
      <c r="B1398" s="27">
        <f>IF('01_Rohdaten'!A1398="","",'01_Rohdaten'!A1398)</f>
        <v/>
      </c>
      <c r="C1398" s="27">
        <f>IF(B1398="","",INDEX('01_Rohdaten'!B1398:D1398,'02_Eingaben'!$C$13))</f>
        <v/>
      </c>
      <c r="D1398" s="27">
        <f>IF(C1398="","",C1398*'02_Eingaben'!$C$15)</f>
        <v/>
      </c>
      <c r="E1398" s="27">
        <f>IF(D1398="","",D1398*'02_Eingaben'!$C$8)</f>
        <v/>
      </c>
      <c r="F1398" s="27">
        <f>IF(E1398="","",AVERAGE(INDEX($E$2:$E$3001,MAX(1,ROW()-1-'02_Eingaben'!$C$17)):INDEX($E$2:$E$3001,MIN('02_Eingaben'!$C$21,ROW()-1+'02_Eingaben'!$C$17))))</f>
        <v/>
      </c>
      <c r="G1398" s="27">
        <f>IF(F1398="","",F1398-'02_Eingaben'!$C$10)</f>
        <v/>
      </c>
      <c r="H1398">
        <f>IF(F1398="","",IF(F1398&lt;'02_Eingaben'!$C$18*'02_Eingaben'!$C$10,1,0))</f>
        <v/>
      </c>
      <c r="I1398" s="27">
        <f>IF(OR(G1398="",G1399=""),"",(G1398+G1399)/2*(B1399-B1398))</f>
        <v/>
      </c>
      <c r="J1398" s="27">
        <f>IF(B1398="","",IF(B1397&lt;'02_Eingaben'!$C$36,0,J1397+I1397/'02_Eingaben'!$C$8))</f>
        <v/>
      </c>
    </row>
    <row r="1399">
      <c r="A1399">
        <f>IF('01_Rohdaten'!A1399="","",ROW()-1)</f>
        <v/>
      </c>
      <c r="B1399" s="27">
        <f>IF('01_Rohdaten'!A1399="","",'01_Rohdaten'!A1399)</f>
        <v/>
      </c>
      <c r="C1399" s="27">
        <f>IF(B1399="","",INDEX('01_Rohdaten'!B1399:D1399,'02_Eingaben'!$C$13))</f>
        <v/>
      </c>
      <c r="D1399" s="27">
        <f>IF(C1399="","",C1399*'02_Eingaben'!$C$15)</f>
        <v/>
      </c>
      <c r="E1399" s="27">
        <f>IF(D1399="","",D1399*'02_Eingaben'!$C$8)</f>
        <v/>
      </c>
      <c r="F1399" s="27">
        <f>IF(E1399="","",AVERAGE(INDEX($E$2:$E$3001,MAX(1,ROW()-1-'02_Eingaben'!$C$17)):INDEX($E$2:$E$3001,MIN('02_Eingaben'!$C$21,ROW()-1+'02_Eingaben'!$C$17))))</f>
        <v/>
      </c>
      <c r="G1399" s="27">
        <f>IF(F1399="","",F1399-'02_Eingaben'!$C$10)</f>
        <v/>
      </c>
      <c r="H1399">
        <f>IF(F1399="","",IF(F1399&lt;'02_Eingaben'!$C$18*'02_Eingaben'!$C$10,1,0))</f>
        <v/>
      </c>
      <c r="I1399" s="27">
        <f>IF(OR(G1399="",G1400=""),"",(G1399+G1400)/2*(B1400-B1399))</f>
        <v/>
      </c>
      <c r="J1399" s="27">
        <f>IF(B1399="","",IF(B1398&lt;'02_Eingaben'!$C$36,0,J1398+I1398/'02_Eingaben'!$C$8))</f>
        <v/>
      </c>
    </row>
    <row r="1400">
      <c r="A1400">
        <f>IF('01_Rohdaten'!A1400="","",ROW()-1)</f>
        <v/>
      </c>
      <c r="B1400" s="27">
        <f>IF('01_Rohdaten'!A1400="","",'01_Rohdaten'!A1400)</f>
        <v/>
      </c>
      <c r="C1400" s="27">
        <f>IF(B1400="","",INDEX('01_Rohdaten'!B1400:D1400,'02_Eingaben'!$C$13))</f>
        <v/>
      </c>
      <c r="D1400" s="27">
        <f>IF(C1400="","",C1400*'02_Eingaben'!$C$15)</f>
        <v/>
      </c>
      <c r="E1400" s="27">
        <f>IF(D1400="","",D1400*'02_Eingaben'!$C$8)</f>
        <v/>
      </c>
      <c r="F1400" s="27">
        <f>IF(E1400="","",AVERAGE(INDEX($E$2:$E$3001,MAX(1,ROW()-1-'02_Eingaben'!$C$17)):INDEX($E$2:$E$3001,MIN('02_Eingaben'!$C$21,ROW()-1+'02_Eingaben'!$C$17))))</f>
        <v/>
      </c>
      <c r="G1400" s="27">
        <f>IF(F1400="","",F1400-'02_Eingaben'!$C$10)</f>
        <v/>
      </c>
      <c r="H1400">
        <f>IF(F1400="","",IF(F1400&lt;'02_Eingaben'!$C$18*'02_Eingaben'!$C$10,1,0))</f>
        <v/>
      </c>
      <c r="I1400" s="27">
        <f>IF(OR(G1400="",G1401=""),"",(G1400+G1401)/2*(B1401-B1400))</f>
        <v/>
      </c>
      <c r="J1400" s="27">
        <f>IF(B1400="","",IF(B1399&lt;'02_Eingaben'!$C$36,0,J1399+I1399/'02_Eingaben'!$C$8))</f>
        <v/>
      </c>
    </row>
    <row r="1401">
      <c r="A1401">
        <f>IF('01_Rohdaten'!A1401="","",ROW()-1)</f>
        <v/>
      </c>
      <c r="B1401" s="27">
        <f>IF('01_Rohdaten'!A1401="","",'01_Rohdaten'!A1401)</f>
        <v/>
      </c>
      <c r="C1401" s="27">
        <f>IF(B1401="","",INDEX('01_Rohdaten'!B1401:D1401,'02_Eingaben'!$C$13))</f>
        <v/>
      </c>
      <c r="D1401" s="27">
        <f>IF(C1401="","",C1401*'02_Eingaben'!$C$15)</f>
        <v/>
      </c>
      <c r="E1401" s="27">
        <f>IF(D1401="","",D1401*'02_Eingaben'!$C$8)</f>
        <v/>
      </c>
      <c r="F1401" s="27">
        <f>IF(E1401="","",AVERAGE(INDEX($E$2:$E$3001,MAX(1,ROW()-1-'02_Eingaben'!$C$17)):INDEX($E$2:$E$3001,MIN('02_Eingaben'!$C$21,ROW()-1+'02_Eingaben'!$C$17))))</f>
        <v/>
      </c>
      <c r="G1401" s="27">
        <f>IF(F1401="","",F1401-'02_Eingaben'!$C$10)</f>
        <v/>
      </c>
      <c r="H1401">
        <f>IF(F1401="","",IF(F1401&lt;'02_Eingaben'!$C$18*'02_Eingaben'!$C$10,1,0))</f>
        <v/>
      </c>
      <c r="I1401" s="27">
        <f>IF(OR(G1401="",G1402=""),"",(G1401+G1402)/2*(B1402-B1401))</f>
        <v/>
      </c>
      <c r="J1401" s="27">
        <f>IF(B1401="","",IF(B1400&lt;'02_Eingaben'!$C$36,0,J1400+I1400/'02_Eingaben'!$C$8))</f>
        <v/>
      </c>
    </row>
    <row r="1402">
      <c r="A1402">
        <f>IF('01_Rohdaten'!A1402="","",ROW()-1)</f>
        <v/>
      </c>
      <c r="B1402" s="27">
        <f>IF('01_Rohdaten'!A1402="","",'01_Rohdaten'!A1402)</f>
        <v/>
      </c>
      <c r="C1402" s="27">
        <f>IF(B1402="","",INDEX('01_Rohdaten'!B1402:D1402,'02_Eingaben'!$C$13))</f>
        <v/>
      </c>
      <c r="D1402" s="27">
        <f>IF(C1402="","",C1402*'02_Eingaben'!$C$15)</f>
        <v/>
      </c>
      <c r="E1402" s="27">
        <f>IF(D1402="","",D1402*'02_Eingaben'!$C$8)</f>
        <v/>
      </c>
      <c r="F1402" s="27">
        <f>IF(E1402="","",AVERAGE(INDEX($E$2:$E$3001,MAX(1,ROW()-1-'02_Eingaben'!$C$17)):INDEX($E$2:$E$3001,MIN('02_Eingaben'!$C$21,ROW()-1+'02_Eingaben'!$C$17))))</f>
        <v/>
      </c>
      <c r="G1402" s="27">
        <f>IF(F1402="","",F1402-'02_Eingaben'!$C$10)</f>
        <v/>
      </c>
      <c r="H1402">
        <f>IF(F1402="","",IF(F1402&lt;'02_Eingaben'!$C$18*'02_Eingaben'!$C$10,1,0))</f>
        <v/>
      </c>
      <c r="I1402" s="27">
        <f>IF(OR(G1402="",G1403=""),"",(G1402+G1403)/2*(B1403-B1402))</f>
        <v/>
      </c>
      <c r="J1402" s="27">
        <f>IF(B1402="","",IF(B1401&lt;'02_Eingaben'!$C$36,0,J1401+I1401/'02_Eingaben'!$C$8))</f>
        <v/>
      </c>
    </row>
    <row r="1403">
      <c r="A1403">
        <f>IF('01_Rohdaten'!A1403="","",ROW()-1)</f>
        <v/>
      </c>
      <c r="B1403" s="27">
        <f>IF('01_Rohdaten'!A1403="","",'01_Rohdaten'!A1403)</f>
        <v/>
      </c>
      <c r="C1403" s="27">
        <f>IF(B1403="","",INDEX('01_Rohdaten'!B1403:D1403,'02_Eingaben'!$C$13))</f>
        <v/>
      </c>
      <c r="D1403" s="27">
        <f>IF(C1403="","",C1403*'02_Eingaben'!$C$15)</f>
        <v/>
      </c>
      <c r="E1403" s="27">
        <f>IF(D1403="","",D1403*'02_Eingaben'!$C$8)</f>
        <v/>
      </c>
      <c r="F1403" s="27">
        <f>IF(E1403="","",AVERAGE(INDEX($E$2:$E$3001,MAX(1,ROW()-1-'02_Eingaben'!$C$17)):INDEX($E$2:$E$3001,MIN('02_Eingaben'!$C$21,ROW()-1+'02_Eingaben'!$C$17))))</f>
        <v/>
      </c>
      <c r="G1403" s="27">
        <f>IF(F1403="","",F1403-'02_Eingaben'!$C$10)</f>
        <v/>
      </c>
      <c r="H1403">
        <f>IF(F1403="","",IF(F1403&lt;'02_Eingaben'!$C$18*'02_Eingaben'!$C$10,1,0))</f>
        <v/>
      </c>
      <c r="I1403" s="27">
        <f>IF(OR(G1403="",G1404=""),"",(G1403+G1404)/2*(B1404-B1403))</f>
        <v/>
      </c>
      <c r="J1403" s="27">
        <f>IF(B1403="","",IF(B1402&lt;'02_Eingaben'!$C$36,0,J1402+I1402/'02_Eingaben'!$C$8))</f>
        <v/>
      </c>
    </row>
    <row r="1404">
      <c r="A1404">
        <f>IF('01_Rohdaten'!A1404="","",ROW()-1)</f>
        <v/>
      </c>
      <c r="B1404" s="27">
        <f>IF('01_Rohdaten'!A1404="","",'01_Rohdaten'!A1404)</f>
        <v/>
      </c>
      <c r="C1404" s="27">
        <f>IF(B1404="","",INDEX('01_Rohdaten'!B1404:D1404,'02_Eingaben'!$C$13))</f>
        <v/>
      </c>
      <c r="D1404" s="27">
        <f>IF(C1404="","",C1404*'02_Eingaben'!$C$15)</f>
        <v/>
      </c>
      <c r="E1404" s="27">
        <f>IF(D1404="","",D1404*'02_Eingaben'!$C$8)</f>
        <v/>
      </c>
      <c r="F1404" s="27">
        <f>IF(E1404="","",AVERAGE(INDEX($E$2:$E$3001,MAX(1,ROW()-1-'02_Eingaben'!$C$17)):INDEX($E$2:$E$3001,MIN('02_Eingaben'!$C$21,ROW()-1+'02_Eingaben'!$C$17))))</f>
        <v/>
      </c>
      <c r="G1404" s="27">
        <f>IF(F1404="","",F1404-'02_Eingaben'!$C$10)</f>
        <v/>
      </c>
      <c r="H1404">
        <f>IF(F1404="","",IF(F1404&lt;'02_Eingaben'!$C$18*'02_Eingaben'!$C$10,1,0))</f>
        <v/>
      </c>
      <c r="I1404" s="27">
        <f>IF(OR(G1404="",G1405=""),"",(G1404+G1405)/2*(B1405-B1404))</f>
        <v/>
      </c>
      <c r="J1404" s="27">
        <f>IF(B1404="","",IF(B1403&lt;'02_Eingaben'!$C$36,0,J1403+I1403/'02_Eingaben'!$C$8))</f>
        <v/>
      </c>
    </row>
    <row r="1405">
      <c r="A1405">
        <f>IF('01_Rohdaten'!A1405="","",ROW()-1)</f>
        <v/>
      </c>
      <c r="B1405" s="27">
        <f>IF('01_Rohdaten'!A1405="","",'01_Rohdaten'!A1405)</f>
        <v/>
      </c>
      <c r="C1405" s="27">
        <f>IF(B1405="","",INDEX('01_Rohdaten'!B1405:D1405,'02_Eingaben'!$C$13))</f>
        <v/>
      </c>
      <c r="D1405" s="27">
        <f>IF(C1405="","",C1405*'02_Eingaben'!$C$15)</f>
        <v/>
      </c>
      <c r="E1405" s="27">
        <f>IF(D1405="","",D1405*'02_Eingaben'!$C$8)</f>
        <v/>
      </c>
      <c r="F1405" s="27">
        <f>IF(E1405="","",AVERAGE(INDEX($E$2:$E$3001,MAX(1,ROW()-1-'02_Eingaben'!$C$17)):INDEX($E$2:$E$3001,MIN('02_Eingaben'!$C$21,ROW()-1+'02_Eingaben'!$C$17))))</f>
        <v/>
      </c>
      <c r="G1405" s="27">
        <f>IF(F1405="","",F1405-'02_Eingaben'!$C$10)</f>
        <v/>
      </c>
      <c r="H1405">
        <f>IF(F1405="","",IF(F1405&lt;'02_Eingaben'!$C$18*'02_Eingaben'!$C$10,1,0))</f>
        <v/>
      </c>
      <c r="I1405" s="27">
        <f>IF(OR(G1405="",G1406=""),"",(G1405+G1406)/2*(B1406-B1405))</f>
        <v/>
      </c>
      <c r="J1405" s="27">
        <f>IF(B1405="","",IF(B1404&lt;'02_Eingaben'!$C$36,0,J1404+I1404/'02_Eingaben'!$C$8))</f>
        <v/>
      </c>
    </row>
    <row r="1406">
      <c r="A1406">
        <f>IF('01_Rohdaten'!A1406="","",ROW()-1)</f>
        <v/>
      </c>
      <c r="B1406" s="27">
        <f>IF('01_Rohdaten'!A1406="","",'01_Rohdaten'!A1406)</f>
        <v/>
      </c>
      <c r="C1406" s="27">
        <f>IF(B1406="","",INDEX('01_Rohdaten'!B1406:D1406,'02_Eingaben'!$C$13))</f>
        <v/>
      </c>
      <c r="D1406" s="27">
        <f>IF(C1406="","",C1406*'02_Eingaben'!$C$15)</f>
        <v/>
      </c>
      <c r="E1406" s="27">
        <f>IF(D1406="","",D1406*'02_Eingaben'!$C$8)</f>
        <v/>
      </c>
      <c r="F1406" s="27">
        <f>IF(E1406="","",AVERAGE(INDEX($E$2:$E$3001,MAX(1,ROW()-1-'02_Eingaben'!$C$17)):INDEX($E$2:$E$3001,MIN('02_Eingaben'!$C$21,ROW()-1+'02_Eingaben'!$C$17))))</f>
        <v/>
      </c>
      <c r="G1406" s="27">
        <f>IF(F1406="","",F1406-'02_Eingaben'!$C$10)</f>
        <v/>
      </c>
      <c r="H1406">
        <f>IF(F1406="","",IF(F1406&lt;'02_Eingaben'!$C$18*'02_Eingaben'!$C$10,1,0))</f>
        <v/>
      </c>
      <c r="I1406" s="27">
        <f>IF(OR(G1406="",G1407=""),"",(G1406+G1407)/2*(B1407-B1406))</f>
        <v/>
      </c>
      <c r="J1406" s="27">
        <f>IF(B1406="","",IF(B1405&lt;'02_Eingaben'!$C$36,0,J1405+I1405/'02_Eingaben'!$C$8))</f>
        <v/>
      </c>
    </row>
    <row r="1407">
      <c r="A1407">
        <f>IF('01_Rohdaten'!A1407="","",ROW()-1)</f>
        <v/>
      </c>
      <c r="B1407" s="27">
        <f>IF('01_Rohdaten'!A1407="","",'01_Rohdaten'!A1407)</f>
        <v/>
      </c>
      <c r="C1407" s="27">
        <f>IF(B1407="","",INDEX('01_Rohdaten'!B1407:D1407,'02_Eingaben'!$C$13))</f>
        <v/>
      </c>
      <c r="D1407" s="27">
        <f>IF(C1407="","",C1407*'02_Eingaben'!$C$15)</f>
        <v/>
      </c>
      <c r="E1407" s="27">
        <f>IF(D1407="","",D1407*'02_Eingaben'!$C$8)</f>
        <v/>
      </c>
      <c r="F1407" s="27">
        <f>IF(E1407="","",AVERAGE(INDEX($E$2:$E$3001,MAX(1,ROW()-1-'02_Eingaben'!$C$17)):INDEX($E$2:$E$3001,MIN('02_Eingaben'!$C$21,ROW()-1+'02_Eingaben'!$C$17))))</f>
        <v/>
      </c>
      <c r="G1407" s="27">
        <f>IF(F1407="","",F1407-'02_Eingaben'!$C$10)</f>
        <v/>
      </c>
      <c r="H1407">
        <f>IF(F1407="","",IF(F1407&lt;'02_Eingaben'!$C$18*'02_Eingaben'!$C$10,1,0))</f>
        <v/>
      </c>
      <c r="I1407" s="27">
        <f>IF(OR(G1407="",G1408=""),"",(G1407+G1408)/2*(B1408-B1407))</f>
        <v/>
      </c>
      <c r="J1407" s="27">
        <f>IF(B1407="","",IF(B1406&lt;'02_Eingaben'!$C$36,0,J1406+I1406/'02_Eingaben'!$C$8))</f>
        <v/>
      </c>
    </row>
    <row r="1408">
      <c r="A1408">
        <f>IF('01_Rohdaten'!A1408="","",ROW()-1)</f>
        <v/>
      </c>
      <c r="B1408" s="27">
        <f>IF('01_Rohdaten'!A1408="","",'01_Rohdaten'!A1408)</f>
        <v/>
      </c>
      <c r="C1408" s="27">
        <f>IF(B1408="","",INDEX('01_Rohdaten'!B1408:D1408,'02_Eingaben'!$C$13))</f>
        <v/>
      </c>
      <c r="D1408" s="27">
        <f>IF(C1408="","",C1408*'02_Eingaben'!$C$15)</f>
        <v/>
      </c>
      <c r="E1408" s="27">
        <f>IF(D1408="","",D1408*'02_Eingaben'!$C$8)</f>
        <v/>
      </c>
      <c r="F1408" s="27">
        <f>IF(E1408="","",AVERAGE(INDEX($E$2:$E$3001,MAX(1,ROW()-1-'02_Eingaben'!$C$17)):INDEX($E$2:$E$3001,MIN('02_Eingaben'!$C$21,ROW()-1+'02_Eingaben'!$C$17))))</f>
        <v/>
      </c>
      <c r="G1408" s="27">
        <f>IF(F1408="","",F1408-'02_Eingaben'!$C$10)</f>
        <v/>
      </c>
      <c r="H1408">
        <f>IF(F1408="","",IF(F1408&lt;'02_Eingaben'!$C$18*'02_Eingaben'!$C$10,1,0))</f>
        <v/>
      </c>
      <c r="I1408" s="27">
        <f>IF(OR(G1408="",G1409=""),"",(G1408+G1409)/2*(B1409-B1408))</f>
        <v/>
      </c>
      <c r="J1408" s="27">
        <f>IF(B1408="","",IF(B1407&lt;'02_Eingaben'!$C$36,0,J1407+I1407/'02_Eingaben'!$C$8))</f>
        <v/>
      </c>
    </row>
    <row r="1409">
      <c r="A1409">
        <f>IF('01_Rohdaten'!A1409="","",ROW()-1)</f>
        <v/>
      </c>
      <c r="B1409" s="27">
        <f>IF('01_Rohdaten'!A1409="","",'01_Rohdaten'!A1409)</f>
        <v/>
      </c>
      <c r="C1409" s="27">
        <f>IF(B1409="","",INDEX('01_Rohdaten'!B1409:D1409,'02_Eingaben'!$C$13))</f>
        <v/>
      </c>
      <c r="D1409" s="27">
        <f>IF(C1409="","",C1409*'02_Eingaben'!$C$15)</f>
        <v/>
      </c>
      <c r="E1409" s="27">
        <f>IF(D1409="","",D1409*'02_Eingaben'!$C$8)</f>
        <v/>
      </c>
      <c r="F1409" s="27">
        <f>IF(E1409="","",AVERAGE(INDEX($E$2:$E$3001,MAX(1,ROW()-1-'02_Eingaben'!$C$17)):INDEX($E$2:$E$3001,MIN('02_Eingaben'!$C$21,ROW()-1+'02_Eingaben'!$C$17))))</f>
        <v/>
      </c>
      <c r="G1409" s="27">
        <f>IF(F1409="","",F1409-'02_Eingaben'!$C$10)</f>
        <v/>
      </c>
      <c r="H1409">
        <f>IF(F1409="","",IF(F1409&lt;'02_Eingaben'!$C$18*'02_Eingaben'!$C$10,1,0))</f>
        <v/>
      </c>
      <c r="I1409" s="27">
        <f>IF(OR(G1409="",G1410=""),"",(G1409+G1410)/2*(B1410-B1409))</f>
        <v/>
      </c>
      <c r="J1409" s="27">
        <f>IF(B1409="","",IF(B1408&lt;'02_Eingaben'!$C$36,0,J1408+I1408/'02_Eingaben'!$C$8))</f>
        <v/>
      </c>
    </row>
    <row r="1410">
      <c r="A1410">
        <f>IF('01_Rohdaten'!A1410="","",ROW()-1)</f>
        <v/>
      </c>
      <c r="B1410" s="27">
        <f>IF('01_Rohdaten'!A1410="","",'01_Rohdaten'!A1410)</f>
        <v/>
      </c>
      <c r="C1410" s="27">
        <f>IF(B1410="","",INDEX('01_Rohdaten'!B1410:D1410,'02_Eingaben'!$C$13))</f>
        <v/>
      </c>
      <c r="D1410" s="27">
        <f>IF(C1410="","",C1410*'02_Eingaben'!$C$15)</f>
        <v/>
      </c>
      <c r="E1410" s="27">
        <f>IF(D1410="","",D1410*'02_Eingaben'!$C$8)</f>
        <v/>
      </c>
      <c r="F1410" s="27">
        <f>IF(E1410="","",AVERAGE(INDEX($E$2:$E$3001,MAX(1,ROW()-1-'02_Eingaben'!$C$17)):INDEX($E$2:$E$3001,MIN('02_Eingaben'!$C$21,ROW()-1+'02_Eingaben'!$C$17))))</f>
        <v/>
      </c>
      <c r="G1410" s="27">
        <f>IF(F1410="","",F1410-'02_Eingaben'!$C$10)</f>
        <v/>
      </c>
      <c r="H1410">
        <f>IF(F1410="","",IF(F1410&lt;'02_Eingaben'!$C$18*'02_Eingaben'!$C$10,1,0))</f>
        <v/>
      </c>
      <c r="I1410" s="27">
        <f>IF(OR(G1410="",G1411=""),"",(G1410+G1411)/2*(B1411-B1410))</f>
        <v/>
      </c>
      <c r="J1410" s="27">
        <f>IF(B1410="","",IF(B1409&lt;'02_Eingaben'!$C$36,0,J1409+I1409/'02_Eingaben'!$C$8))</f>
        <v/>
      </c>
    </row>
    <row r="1411">
      <c r="A1411">
        <f>IF('01_Rohdaten'!A1411="","",ROW()-1)</f>
        <v/>
      </c>
      <c r="B1411" s="27">
        <f>IF('01_Rohdaten'!A1411="","",'01_Rohdaten'!A1411)</f>
        <v/>
      </c>
      <c r="C1411" s="27">
        <f>IF(B1411="","",INDEX('01_Rohdaten'!B1411:D1411,'02_Eingaben'!$C$13))</f>
        <v/>
      </c>
      <c r="D1411" s="27">
        <f>IF(C1411="","",C1411*'02_Eingaben'!$C$15)</f>
        <v/>
      </c>
      <c r="E1411" s="27">
        <f>IF(D1411="","",D1411*'02_Eingaben'!$C$8)</f>
        <v/>
      </c>
      <c r="F1411" s="27">
        <f>IF(E1411="","",AVERAGE(INDEX($E$2:$E$3001,MAX(1,ROW()-1-'02_Eingaben'!$C$17)):INDEX($E$2:$E$3001,MIN('02_Eingaben'!$C$21,ROW()-1+'02_Eingaben'!$C$17))))</f>
        <v/>
      </c>
      <c r="G1411" s="27">
        <f>IF(F1411="","",F1411-'02_Eingaben'!$C$10)</f>
        <v/>
      </c>
      <c r="H1411">
        <f>IF(F1411="","",IF(F1411&lt;'02_Eingaben'!$C$18*'02_Eingaben'!$C$10,1,0))</f>
        <v/>
      </c>
      <c r="I1411" s="27">
        <f>IF(OR(G1411="",G1412=""),"",(G1411+G1412)/2*(B1412-B1411))</f>
        <v/>
      </c>
      <c r="J1411" s="27">
        <f>IF(B1411="","",IF(B1410&lt;'02_Eingaben'!$C$36,0,J1410+I1410/'02_Eingaben'!$C$8))</f>
        <v/>
      </c>
    </row>
    <row r="1412">
      <c r="A1412">
        <f>IF('01_Rohdaten'!A1412="","",ROW()-1)</f>
        <v/>
      </c>
      <c r="B1412" s="27">
        <f>IF('01_Rohdaten'!A1412="","",'01_Rohdaten'!A1412)</f>
        <v/>
      </c>
      <c r="C1412" s="27">
        <f>IF(B1412="","",INDEX('01_Rohdaten'!B1412:D1412,'02_Eingaben'!$C$13))</f>
        <v/>
      </c>
      <c r="D1412" s="27">
        <f>IF(C1412="","",C1412*'02_Eingaben'!$C$15)</f>
        <v/>
      </c>
      <c r="E1412" s="27">
        <f>IF(D1412="","",D1412*'02_Eingaben'!$C$8)</f>
        <v/>
      </c>
      <c r="F1412" s="27">
        <f>IF(E1412="","",AVERAGE(INDEX($E$2:$E$3001,MAX(1,ROW()-1-'02_Eingaben'!$C$17)):INDEX($E$2:$E$3001,MIN('02_Eingaben'!$C$21,ROW()-1+'02_Eingaben'!$C$17))))</f>
        <v/>
      </c>
      <c r="G1412" s="27">
        <f>IF(F1412="","",F1412-'02_Eingaben'!$C$10)</f>
        <v/>
      </c>
      <c r="H1412">
        <f>IF(F1412="","",IF(F1412&lt;'02_Eingaben'!$C$18*'02_Eingaben'!$C$10,1,0))</f>
        <v/>
      </c>
      <c r="I1412" s="27">
        <f>IF(OR(G1412="",G1413=""),"",(G1412+G1413)/2*(B1413-B1412))</f>
        <v/>
      </c>
      <c r="J1412" s="27">
        <f>IF(B1412="","",IF(B1411&lt;'02_Eingaben'!$C$36,0,J1411+I1411/'02_Eingaben'!$C$8))</f>
        <v/>
      </c>
    </row>
    <row r="1413">
      <c r="A1413">
        <f>IF('01_Rohdaten'!A1413="","",ROW()-1)</f>
        <v/>
      </c>
      <c r="B1413" s="27">
        <f>IF('01_Rohdaten'!A1413="","",'01_Rohdaten'!A1413)</f>
        <v/>
      </c>
      <c r="C1413" s="27">
        <f>IF(B1413="","",INDEX('01_Rohdaten'!B1413:D1413,'02_Eingaben'!$C$13))</f>
        <v/>
      </c>
      <c r="D1413" s="27">
        <f>IF(C1413="","",C1413*'02_Eingaben'!$C$15)</f>
        <v/>
      </c>
      <c r="E1413" s="27">
        <f>IF(D1413="","",D1413*'02_Eingaben'!$C$8)</f>
        <v/>
      </c>
      <c r="F1413" s="27">
        <f>IF(E1413="","",AVERAGE(INDEX($E$2:$E$3001,MAX(1,ROW()-1-'02_Eingaben'!$C$17)):INDEX($E$2:$E$3001,MIN('02_Eingaben'!$C$21,ROW()-1+'02_Eingaben'!$C$17))))</f>
        <v/>
      </c>
      <c r="G1413" s="27">
        <f>IF(F1413="","",F1413-'02_Eingaben'!$C$10)</f>
        <v/>
      </c>
      <c r="H1413">
        <f>IF(F1413="","",IF(F1413&lt;'02_Eingaben'!$C$18*'02_Eingaben'!$C$10,1,0))</f>
        <v/>
      </c>
      <c r="I1413" s="27">
        <f>IF(OR(G1413="",G1414=""),"",(G1413+G1414)/2*(B1414-B1413))</f>
        <v/>
      </c>
      <c r="J1413" s="27">
        <f>IF(B1413="","",IF(B1412&lt;'02_Eingaben'!$C$36,0,J1412+I1412/'02_Eingaben'!$C$8))</f>
        <v/>
      </c>
    </row>
    <row r="1414">
      <c r="A1414">
        <f>IF('01_Rohdaten'!A1414="","",ROW()-1)</f>
        <v/>
      </c>
      <c r="B1414" s="27">
        <f>IF('01_Rohdaten'!A1414="","",'01_Rohdaten'!A1414)</f>
        <v/>
      </c>
      <c r="C1414" s="27">
        <f>IF(B1414="","",INDEX('01_Rohdaten'!B1414:D1414,'02_Eingaben'!$C$13))</f>
        <v/>
      </c>
      <c r="D1414" s="27">
        <f>IF(C1414="","",C1414*'02_Eingaben'!$C$15)</f>
        <v/>
      </c>
      <c r="E1414" s="27">
        <f>IF(D1414="","",D1414*'02_Eingaben'!$C$8)</f>
        <v/>
      </c>
      <c r="F1414" s="27">
        <f>IF(E1414="","",AVERAGE(INDEX($E$2:$E$3001,MAX(1,ROW()-1-'02_Eingaben'!$C$17)):INDEX($E$2:$E$3001,MIN('02_Eingaben'!$C$21,ROW()-1+'02_Eingaben'!$C$17))))</f>
        <v/>
      </c>
      <c r="G1414" s="27">
        <f>IF(F1414="","",F1414-'02_Eingaben'!$C$10)</f>
        <v/>
      </c>
      <c r="H1414">
        <f>IF(F1414="","",IF(F1414&lt;'02_Eingaben'!$C$18*'02_Eingaben'!$C$10,1,0))</f>
        <v/>
      </c>
      <c r="I1414" s="27">
        <f>IF(OR(G1414="",G1415=""),"",(G1414+G1415)/2*(B1415-B1414))</f>
        <v/>
      </c>
      <c r="J1414" s="27">
        <f>IF(B1414="","",IF(B1413&lt;'02_Eingaben'!$C$36,0,J1413+I1413/'02_Eingaben'!$C$8))</f>
        <v/>
      </c>
    </row>
    <row r="1415">
      <c r="A1415">
        <f>IF('01_Rohdaten'!A1415="","",ROW()-1)</f>
        <v/>
      </c>
      <c r="B1415" s="27">
        <f>IF('01_Rohdaten'!A1415="","",'01_Rohdaten'!A1415)</f>
        <v/>
      </c>
      <c r="C1415" s="27">
        <f>IF(B1415="","",INDEX('01_Rohdaten'!B1415:D1415,'02_Eingaben'!$C$13))</f>
        <v/>
      </c>
      <c r="D1415" s="27">
        <f>IF(C1415="","",C1415*'02_Eingaben'!$C$15)</f>
        <v/>
      </c>
      <c r="E1415" s="27">
        <f>IF(D1415="","",D1415*'02_Eingaben'!$C$8)</f>
        <v/>
      </c>
      <c r="F1415" s="27">
        <f>IF(E1415="","",AVERAGE(INDEX($E$2:$E$3001,MAX(1,ROW()-1-'02_Eingaben'!$C$17)):INDEX($E$2:$E$3001,MIN('02_Eingaben'!$C$21,ROW()-1+'02_Eingaben'!$C$17))))</f>
        <v/>
      </c>
      <c r="G1415" s="27">
        <f>IF(F1415="","",F1415-'02_Eingaben'!$C$10)</f>
        <v/>
      </c>
      <c r="H1415">
        <f>IF(F1415="","",IF(F1415&lt;'02_Eingaben'!$C$18*'02_Eingaben'!$C$10,1,0))</f>
        <v/>
      </c>
      <c r="I1415" s="27">
        <f>IF(OR(G1415="",G1416=""),"",(G1415+G1416)/2*(B1416-B1415))</f>
        <v/>
      </c>
      <c r="J1415" s="27">
        <f>IF(B1415="","",IF(B1414&lt;'02_Eingaben'!$C$36,0,J1414+I1414/'02_Eingaben'!$C$8))</f>
        <v/>
      </c>
    </row>
    <row r="1416">
      <c r="A1416">
        <f>IF('01_Rohdaten'!A1416="","",ROW()-1)</f>
        <v/>
      </c>
      <c r="B1416" s="27">
        <f>IF('01_Rohdaten'!A1416="","",'01_Rohdaten'!A1416)</f>
        <v/>
      </c>
      <c r="C1416" s="27">
        <f>IF(B1416="","",INDEX('01_Rohdaten'!B1416:D1416,'02_Eingaben'!$C$13))</f>
        <v/>
      </c>
      <c r="D1416" s="27">
        <f>IF(C1416="","",C1416*'02_Eingaben'!$C$15)</f>
        <v/>
      </c>
      <c r="E1416" s="27">
        <f>IF(D1416="","",D1416*'02_Eingaben'!$C$8)</f>
        <v/>
      </c>
      <c r="F1416" s="27">
        <f>IF(E1416="","",AVERAGE(INDEX($E$2:$E$3001,MAX(1,ROW()-1-'02_Eingaben'!$C$17)):INDEX($E$2:$E$3001,MIN('02_Eingaben'!$C$21,ROW()-1+'02_Eingaben'!$C$17))))</f>
        <v/>
      </c>
      <c r="G1416" s="27">
        <f>IF(F1416="","",F1416-'02_Eingaben'!$C$10)</f>
        <v/>
      </c>
      <c r="H1416">
        <f>IF(F1416="","",IF(F1416&lt;'02_Eingaben'!$C$18*'02_Eingaben'!$C$10,1,0))</f>
        <v/>
      </c>
      <c r="I1416" s="27">
        <f>IF(OR(G1416="",G1417=""),"",(G1416+G1417)/2*(B1417-B1416))</f>
        <v/>
      </c>
      <c r="J1416" s="27">
        <f>IF(B1416="","",IF(B1415&lt;'02_Eingaben'!$C$36,0,J1415+I1415/'02_Eingaben'!$C$8))</f>
        <v/>
      </c>
    </row>
    <row r="1417">
      <c r="A1417">
        <f>IF('01_Rohdaten'!A1417="","",ROW()-1)</f>
        <v/>
      </c>
      <c r="B1417" s="27">
        <f>IF('01_Rohdaten'!A1417="","",'01_Rohdaten'!A1417)</f>
        <v/>
      </c>
      <c r="C1417" s="27">
        <f>IF(B1417="","",INDEX('01_Rohdaten'!B1417:D1417,'02_Eingaben'!$C$13))</f>
        <v/>
      </c>
      <c r="D1417" s="27">
        <f>IF(C1417="","",C1417*'02_Eingaben'!$C$15)</f>
        <v/>
      </c>
      <c r="E1417" s="27">
        <f>IF(D1417="","",D1417*'02_Eingaben'!$C$8)</f>
        <v/>
      </c>
      <c r="F1417" s="27">
        <f>IF(E1417="","",AVERAGE(INDEX($E$2:$E$3001,MAX(1,ROW()-1-'02_Eingaben'!$C$17)):INDEX($E$2:$E$3001,MIN('02_Eingaben'!$C$21,ROW()-1+'02_Eingaben'!$C$17))))</f>
        <v/>
      </c>
      <c r="G1417" s="27">
        <f>IF(F1417="","",F1417-'02_Eingaben'!$C$10)</f>
        <v/>
      </c>
      <c r="H1417">
        <f>IF(F1417="","",IF(F1417&lt;'02_Eingaben'!$C$18*'02_Eingaben'!$C$10,1,0))</f>
        <v/>
      </c>
      <c r="I1417" s="27">
        <f>IF(OR(G1417="",G1418=""),"",(G1417+G1418)/2*(B1418-B1417))</f>
        <v/>
      </c>
      <c r="J1417" s="27">
        <f>IF(B1417="","",IF(B1416&lt;'02_Eingaben'!$C$36,0,J1416+I1416/'02_Eingaben'!$C$8))</f>
        <v/>
      </c>
    </row>
    <row r="1418">
      <c r="A1418">
        <f>IF('01_Rohdaten'!A1418="","",ROW()-1)</f>
        <v/>
      </c>
      <c r="B1418" s="27">
        <f>IF('01_Rohdaten'!A1418="","",'01_Rohdaten'!A1418)</f>
        <v/>
      </c>
      <c r="C1418" s="27">
        <f>IF(B1418="","",INDEX('01_Rohdaten'!B1418:D1418,'02_Eingaben'!$C$13))</f>
        <v/>
      </c>
      <c r="D1418" s="27">
        <f>IF(C1418="","",C1418*'02_Eingaben'!$C$15)</f>
        <v/>
      </c>
      <c r="E1418" s="27">
        <f>IF(D1418="","",D1418*'02_Eingaben'!$C$8)</f>
        <v/>
      </c>
      <c r="F1418" s="27">
        <f>IF(E1418="","",AVERAGE(INDEX($E$2:$E$3001,MAX(1,ROW()-1-'02_Eingaben'!$C$17)):INDEX($E$2:$E$3001,MIN('02_Eingaben'!$C$21,ROW()-1+'02_Eingaben'!$C$17))))</f>
        <v/>
      </c>
      <c r="G1418" s="27">
        <f>IF(F1418="","",F1418-'02_Eingaben'!$C$10)</f>
        <v/>
      </c>
      <c r="H1418">
        <f>IF(F1418="","",IF(F1418&lt;'02_Eingaben'!$C$18*'02_Eingaben'!$C$10,1,0))</f>
        <v/>
      </c>
      <c r="I1418" s="27">
        <f>IF(OR(G1418="",G1419=""),"",(G1418+G1419)/2*(B1419-B1418))</f>
        <v/>
      </c>
      <c r="J1418" s="27">
        <f>IF(B1418="","",IF(B1417&lt;'02_Eingaben'!$C$36,0,J1417+I1417/'02_Eingaben'!$C$8))</f>
        <v/>
      </c>
    </row>
    <row r="1419">
      <c r="A1419">
        <f>IF('01_Rohdaten'!A1419="","",ROW()-1)</f>
        <v/>
      </c>
      <c r="B1419" s="27">
        <f>IF('01_Rohdaten'!A1419="","",'01_Rohdaten'!A1419)</f>
        <v/>
      </c>
      <c r="C1419" s="27">
        <f>IF(B1419="","",INDEX('01_Rohdaten'!B1419:D1419,'02_Eingaben'!$C$13))</f>
        <v/>
      </c>
      <c r="D1419" s="27">
        <f>IF(C1419="","",C1419*'02_Eingaben'!$C$15)</f>
        <v/>
      </c>
      <c r="E1419" s="27">
        <f>IF(D1419="","",D1419*'02_Eingaben'!$C$8)</f>
        <v/>
      </c>
      <c r="F1419" s="27">
        <f>IF(E1419="","",AVERAGE(INDEX($E$2:$E$3001,MAX(1,ROW()-1-'02_Eingaben'!$C$17)):INDEX($E$2:$E$3001,MIN('02_Eingaben'!$C$21,ROW()-1+'02_Eingaben'!$C$17))))</f>
        <v/>
      </c>
      <c r="G1419" s="27">
        <f>IF(F1419="","",F1419-'02_Eingaben'!$C$10)</f>
        <v/>
      </c>
      <c r="H1419">
        <f>IF(F1419="","",IF(F1419&lt;'02_Eingaben'!$C$18*'02_Eingaben'!$C$10,1,0))</f>
        <v/>
      </c>
      <c r="I1419" s="27">
        <f>IF(OR(G1419="",G1420=""),"",(G1419+G1420)/2*(B1420-B1419))</f>
        <v/>
      </c>
      <c r="J1419" s="27">
        <f>IF(B1419="","",IF(B1418&lt;'02_Eingaben'!$C$36,0,J1418+I1418/'02_Eingaben'!$C$8))</f>
        <v/>
      </c>
    </row>
    <row r="1420">
      <c r="A1420">
        <f>IF('01_Rohdaten'!A1420="","",ROW()-1)</f>
        <v/>
      </c>
      <c r="B1420" s="27">
        <f>IF('01_Rohdaten'!A1420="","",'01_Rohdaten'!A1420)</f>
        <v/>
      </c>
      <c r="C1420" s="27">
        <f>IF(B1420="","",INDEX('01_Rohdaten'!B1420:D1420,'02_Eingaben'!$C$13))</f>
        <v/>
      </c>
      <c r="D1420" s="27">
        <f>IF(C1420="","",C1420*'02_Eingaben'!$C$15)</f>
        <v/>
      </c>
      <c r="E1420" s="27">
        <f>IF(D1420="","",D1420*'02_Eingaben'!$C$8)</f>
        <v/>
      </c>
      <c r="F1420" s="27">
        <f>IF(E1420="","",AVERAGE(INDEX($E$2:$E$3001,MAX(1,ROW()-1-'02_Eingaben'!$C$17)):INDEX($E$2:$E$3001,MIN('02_Eingaben'!$C$21,ROW()-1+'02_Eingaben'!$C$17))))</f>
        <v/>
      </c>
      <c r="G1420" s="27">
        <f>IF(F1420="","",F1420-'02_Eingaben'!$C$10)</f>
        <v/>
      </c>
      <c r="H1420">
        <f>IF(F1420="","",IF(F1420&lt;'02_Eingaben'!$C$18*'02_Eingaben'!$C$10,1,0))</f>
        <v/>
      </c>
      <c r="I1420" s="27">
        <f>IF(OR(G1420="",G1421=""),"",(G1420+G1421)/2*(B1421-B1420))</f>
        <v/>
      </c>
      <c r="J1420" s="27">
        <f>IF(B1420="","",IF(B1419&lt;'02_Eingaben'!$C$36,0,J1419+I1419/'02_Eingaben'!$C$8))</f>
        <v/>
      </c>
    </row>
    <row r="1421">
      <c r="A1421">
        <f>IF('01_Rohdaten'!A1421="","",ROW()-1)</f>
        <v/>
      </c>
      <c r="B1421" s="27">
        <f>IF('01_Rohdaten'!A1421="","",'01_Rohdaten'!A1421)</f>
        <v/>
      </c>
      <c r="C1421" s="27">
        <f>IF(B1421="","",INDEX('01_Rohdaten'!B1421:D1421,'02_Eingaben'!$C$13))</f>
        <v/>
      </c>
      <c r="D1421" s="27">
        <f>IF(C1421="","",C1421*'02_Eingaben'!$C$15)</f>
        <v/>
      </c>
      <c r="E1421" s="27">
        <f>IF(D1421="","",D1421*'02_Eingaben'!$C$8)</f>
        <v/>
      </c>
      <c r="F1421" s="27">
        <f>IF(E1421="","",AVERAGE(INDEX($E$2:$E$3001,MAX(1,ROW()-1-'02_Eingaben'!$C$17)):INDEX($E$2:$E$3001,MIN('02_Eingaben'!$C$21,ROW()-1+'02_Eingaben'!$C$17))))</f>
        <v/>
      </c>
      <c r="G1421" s="27">
        <f>IF(F1421="","",F1421-'02_Eingaben'!$C$10)</f>
        <v/>
      </c>
      <c r="H1421">
        <f>IF(F1421="","",IF(F1421&lt;'02_Eingaben'!$C$18*'02_Eingaben'!$C$10,1,0))</f>
        <v/>
      </c>
      <c r="I1421" s="27">
        <f>IF(OR(G1421="",G1422=""),"",(G1421+G1422)/2*(B1422-B1421))</f>
        <v/>
      </c>
      <c r="J1421" s="27">
        <f>IF(B1421="","",IF(B1420&lt;'02_Eingaben'!$C$36,0,J1420+I1420/'02_Eingaben'!$C$8))</f>
        <v/>
      </c>
    </row>
    <row r="1422">
      <c r="A1422">
        <f>IF('01_Rohdaten'!A1422="","",ROW()-1)</f>
        <v/>
      </c>
      <c r="B1422" s="27">
        <f>IF('01_Rohdaten'!A1422="","",'01_Rohdaten'!A1422)</f>
        <v/>
      </c>
      <c r="C1422" s="27">
        <f>IF(B1422="","",INDEX('01_Rohdaten'!B1422:D1422,'02_Eingaben'!$C$13))</f>
        <v/>
      </c>
      <c r="D1422" s="27">
        <f>IF(C1422="","",C1422*'02_Eingaben'!$C$15)</f>
        <v/>
      </c>
      <c r="E1422" s="27">
        <f>IF(D1422="","",D1422*'02_Eingaben'!$C$8)</f>
        <v/>
      </c>
      <c r="F1422" s="27">
        <f>IF(E1422="","",AVERAGE(INDEX($E$2:$E$3001,MAX(1,ROW()-1-'02_Eingaben'!$C$17)):INDEX($E$2:$E$3001,MIN('02_Eingaben'!$C$21,ROW()-1+'02_Eingaben'!$C$17))))</f>
        <v/>
      </c>
      <c r="G1422" s="27">
        <f>IF(F1422="","",F1422-'02_Eingaben'!$C$10)</f>
        <v/>
      </c>
      <c r="H1422">
        <f>IF(F1422="","",IF(F1422&lt;'02_Eingaben'!$C$18*'02_Eingaben'!$C$10,1,0))</f>
        <v/>
      </c>
      <c r="I1422" s="27">
        <f>IF(OR(G1422="",G1423=""),"",(G1422+G1423)/2*(B1423-B1422))</f>
        <v/>
      </c>
      <c r="J1422" s="27">
        <f>IF(B1422="","",IF(B1421&lt;'02_Eingaben'!$C$36,0,J1421+I1421/'02_Eingaben'!$C$8))</f>
        <v/>
      </c>
    </row>
    <row r="1423">
      <c r="A1423">
        <f>IF('01_Rohdaten'!A1423="","",ROW()-1)</f>
        <v/>
      </c>
      <c r="B1423" s="27">
        <f>IF('01_Rohdaten'!A1423="","",'01_Rohdaten'!A1423)</f>
        <v/>
      </c>
      <c r="C1423" s="27">
        <f>IF(B1423="","",INDEX('01_Rohdaten'!B1423:D1423,'02_Eingaben'!$C$13))</f>
        <v/>
      </c>
      <c r="D1423" s="27">
        <f>IF(C1423="","",C1423*'02_Eingaben'!$C$15)</f>
        <v/>
      </c>
      <c r="E1423" s="27">
        <f>IF(D1423="","",D1423*'02_Eingaben'!$C$8)</f>
        <v/>
      </c>
      <c r="F1423" s="27">
        <f>IF(E1423="","",AVERAGE(INDEX($E$2:$E$3001,MAX(1,ROW()-1-'02_Eingaben'!$C$17)):INDEX($E$2:$E$3001,MIN('02_Eingaben'!$C$21,ROW()-1+'02_Eingaben'!$C$17))))</f>
        <v/>
      </c>
      <c r="G1423" s="27">
        <f>IF(F1423="","",F1423-'02_Eingaben'!$C$10)</f>
        <v/>
      </c>
      <c r="H1423">
        <f>IF(F1423="","",IF(F1423&lt;'02_Eingaben'!$C$18*'02_Eingaben'!$C$10,1,0))</f>
        <v/>
      </c>
      <c r="I1423" s="27">
        <f>IF(OR(G1423="",G1424=""),"",(G1423+G1424)/2*(B1424-B1423))</f>
        <v/>
      </c>
      <c r="J1423" s="27">
        <f>IF(B1423="","",IF(B1422&lt;'02_Eingaben'!$C$36,0,J1422+I1422/'02_Eingaben'!$C$8))</f>
        <v/>
      </c>
    </row>
    <row r="1424">
      <c r="A1424">
        <f>IF('01_Rohdaten'!A1424="","",ROW()-1)</f>
        <v/>
      </c>
      <c r="B1424" s="27">
        <f>IF('01_Rohdaten'!A1424="","",'01_Rohdaten'!A1424)</f>
        <v/>
      </c>
      <c r="C1424" s="27">
        <f>IF(B1424="","",INDEX('01_Rohdaten'!B1424:D1424,'02_Eingaben'!$C$13))</f>
        <v/>
      </c>
      <c r="D1424" s="27">
        <f>IF(C1424="","",C1424*'02_Eingaben'!$C$15)</f>
        <v/>
      </c>
      <c r="E1424" s="27">
        <f>IF(D1424="","",D1424*'02_Eingaben'!$C$8)</f>
        <v/>
      </c>
      <c r="F1424" s="27">
        <f>IF(E1424="","",AVERAGE(INDEX($E$2:$E$3001,MAX(1,ROW()-1-'02_Eingaben'!$C$17)):INDEX($E$2:$E$3001,MIN('02_Eingaben'!$C$21,ROW()-1+'02_Eingaben'!$C$17))))</f>
        <v/>
      </c>
      <c r="G1424" s="27">
        <f>IF(F1424="","",F1424-'02_Eingaben'!$C$10)</f>
        <v/>
      </c>
      <c r="H1424">
        <f>IF(F1424="","",IF(F1424&lt;'02_Eingaben'!$C$18*'02_Eingaben'!$C$10,1,0))</f>
        <v/>
      </c>
      <c r="I1424" s="27">
        <f>IF(OR(G1424="",G1425=""),"",(G1424+G1425)/2*(B1425-B1424))</f>
        <v/>
      </c>
      <c r="J1424" s="27">
        <f>IF(B1424="","",IF(B1423&lt;'02_Eingaben'!$C$36,0,J1423+I1423/'02_Eingaben'!$C$8))</f>
        <v/>
      </c>
    </row>
    <row r="1425">
      <c r="A1425">
        <f>IF('01_Rohdaten'!A1425="","",ROW()-1)</f>
        <v/>
      </c>
      <c r="B1425" s="27">
        <f>IF('01_Rohdaten'!A1425="","",'01_Rohdaten'!A1425)</f>
        <v/>
      </c>
      <c r="C1425" s="27">
        <f>IF(B1425="","",INDEX('01_Rohdaten'!B1425:D1425,'02_Eingaben'!$C$13))</f>
        <v/>
      </c>
      <c r="D1425" s="27">
        <f>IF(C1425="","",C1425*'02_Eingaben'!$C$15)</f>
        <v/>
      </c>
      <c r="E1425" s="27">
        <f>IF(D1425="","",D1425*'02_Eingaben'!$C$8)</f>
        <v/>
      </c>
      <c r="F1425" s="27">
        <f>IF(E1425="","",AVERAGE(INDEX($E$2:$E$3001,MAX(1,ROW()-1-'02_Eingaben'!$C$17)):INDEX($E$2:$E$3001,MIN('02_Eingaben'!$C$21,ROW()-1+'02_Eingaben'!$C$17))))</f>
        <v/>
      </c>
      <c r="G1425" s="27">
        <f>IF(F1425="","",F1425-'02_Eingaben'!$C$10)</f>
        <v/>
      </c>
      <c r="H1425">
        <f>IF(F1425="","",IF(F1425&lt;'02_Eingaben'!$C$18*'02_Eingaben'!$C$10,1,0))</f>
        <v/>
      </c>
      <c r="I1425" s="27">
        <f>IF(OR(G1425="",G1426=""),"",(G1425+G1426)/2*(B1426-B1425))</f>
        <v/>
      </c>
      <c r="J1425" s="27">
        <f>IF(B1425="","",IF(B1424&lt;'02_Eingaben'!$C$36,0,J1424+I1424/'02_Eingaben'!$C$8))</f>
        <v/>
      </c>
    </row>
    <row r="1426">
      <c r="A1426">
        <f>IF('01_Rohdaten'!A1426="","",ROW()-1)</f>
        <v/>
      </c>
      <c r="B1426" s="27">
        <f>IF('01_Rohdaten'!A1426="","",'01_Rohdaten'!A1426)</f>
        <v/>
      </c>
      <c r="C1426" s="27">
        <f>IF(B1426="","",INDEX('01_Rohdaten'!B1426:D1426,'02_Eingaben'!$C$13))</f>
        <v/>
      </c>
      <c r="D1426" s="27">
        <f>IF(C1426="","",C1426*'02_Eingaben'!$C$15)</f>
        <v/>
      </c>
      <c r="E1426" s="27">
        <f>IF(D1426="","",D1426*'02_Eingaben'!$C$8)</f>
        <v/>
      </c>
      <c r="F1426" s="27">
        <f>IF(E1426="","",AVERAGE(INDEX($E$2:$E$3001,MAX(1,ROW()-1-'02_Eingaben'!$C$17)):INDEX($E$2:$E$3001,MIN('02_Eingaben'!$C$21,ROW()-1+'02_Eingaben'!$C$17))))</f>
        <v/>
      </c>
      <c r="G1426" s="27">
        <f>IF(F1426="","",F1426-'02_Eingaben'!$C$10)</f>
        <v/>
      </c>
      <c r="H1426">
        <f>IF(F1426="","",IF(F1426&lt;'02_Eingaben'!$C$18*'02_Eingaben'!$C$10,1,0))</f>
        <v/>
      </c>
      <c r="I1426" s="27">
        <f>IF(OR(G1426="",G1427=""),"",(G1426+G1427)/2*(B1427-B1426))</f>
        <v/>
      </c>
      <c r="J1426" s="27">
        <f>IF(B1426="","",IF(B1425&lt;'02_Eingaben'!$C$36,0,J1425+I1425/'02_Eingaben'!$C$8))</f>
        <v/>
      </c>
    </row>
    <row r="1427">
      <c r="A1427">
        <f>IF('01_Rohdaten'!A1427="","",ROW()-1)</f>
        <v/>
      </c>
      <c r="B1427" s="27">
        <f>IF('01_Rohdaten'!A1427="","",'01_Rohdaten'!A1427)</f>
        <v/>
      </c>
      <c r="C1427" s="27">
        <f>IF(B1427="","",INDEX('01_Rohdaten'!B1427:D1427,'02_Eingaben'!$C$13))</f>
        <v/>
      </c>
      <c r="D1427" s="27">
        <f>IF(C1427="","",C1427*'02_Eingaben'!$C$15)</f>
        <v/>
      </c>
      <c r="E1427" s="27">
        <f>IF(D1427="","",D1427*'02_Eingaben'!$C$8)</f>
        <v/>
      </c>
      <c r="F1427" s="27">
        <f>IF(E1427="","",AVERAGE(INDEX($E$2:$E$3001,MAX(1,ROW()-1-'02_Eingaben'!$C$17)):INDEX($E$2:$E$3001,MIN('02_Eingaben'!$C$21,ROW()-1+'02_Eingaben'!$C$17))))</f>
        <v/>
      </c>
      <c r="G1427" s="27">
        <f>IF(F1427="","",F1427-'02_Eingaben'!$C$10)</f>
        <v/>
      </c>
      <c r="H1427">
        <f>IF(F1427="","",IF(F1427&lt;'02_Eingaben'!$C$18*'02_Eingaben'!$C$10,1,0))</f>
        <v/>
      </c>
      <c r="I1427" s="27">
        <f>IF(OR(G1427="",G1428=""),"",(G1427+G1428)/2*(B1428-B1427))</f>
        <v/>
      </c>
      <c r="J1427" s="27">
        <f>IF(B1427="","",IF(B1426&lt;'02_Eingaben'!$C$36,0,J1426+I1426/'02_Eingaben'!$C$8))</f>
        <v/>
      </c>
    </row>
    <row r="1428">
      <c r="A1428">
        <f>IF('01_Rohdaten'!A1428="","",ROW()-1)</f>
        <v/>
      </c>
      <c r="B1428" s="27">
        <f>IF('01_Rohdaten'!A1428="","",'01_Rohdaten'!A1428)</f>
        <v/>
      </c>
      <c r="C1428" s="27">
        <f>IF(B1428="","",INDEX('01_Rohdaten'!B1428:D1428,'02_Eingaben'!$C$13))</f>
        <v/>
      </c>
      <c r="D1428" s="27">
        <f>IF(C1428="","",C1428*'02_Eingaben'!$C$15)</f>
        <v/>
      </c>
      <c r="E1428" s="27">
        <f>IF(D1428="","",D1428*'02_Eingaben'!$C$8)</f>
        <v/>
      </c>
      <c r="F1428" s="27">
        <f>IF(E1428="","",AVERAGE(INDEX($E$2:$E$3001,MAX(1,ROW()-1-'02_Eingaben'!$C$17)):INDEX($E$2:$E$3001,MIN('02_Eingaben'!$C$21,ROW()-1+'02_Eingaben'!$C$17))))</f>
        <v/>
      </c>
      <c r="G1428" s="27">
        <f>IF(F1428="","",F1428-'02_Eingaben'!$C$10)</f>
        <v/>
      </c>
      <c r="H1428">
        <f>IF(F1428="","",IF(F1428&lt;'02_Eingaben'!$C$18*'02_Eingaben'!$C$10,1,0))</f>
        <v/>
      </c>
      <c r="I1428" s="27">
        <f>IF(OR(G1428="",G1429=""),"",(G1428+G1429)/2*(B1429-B1428))</f>
        <v/>
      </c>
      <c r="J1428" s="27">
        <f>IF(B1428="","",IF(B1427&lt;'02_Eingaben'!$C$36,0,J1427+I1427/'02_Eingaben'!$C$8))</f>
        <v/>
      </c>
    </row>
    <row r="1429">
      <c r="A1429">
        <f>IF('01_Rohdaten'!A1429="","",ROW()-1)</f>
        <v/>
      </c>
      <c r="B1429" s="27">
        <f>IF('01_Rohdaten'!A1429="","",'01_Rohdaten'!A1429)</f>
        <v/>
      </c>
      <c r="C1429" s="27">
        <f>IF(B1429="","",INDEX('01_Rohdaten'!B1429:D1429,'02_Eingaben'!$C$13))</f>
        <v/>
      </c>
      <c r="D1429" s="27">
        <f>IF(C1429="","",C1429*'02_Eingaben'!$C$15)</f>
        <v/>
      </c>
      <c r="E1429" s="27">
        <f>IF(D1429="","",D1429*'02_Eingaben'!$C$8)</f>
        <v/>
      </c>
      <c r="F1429" s="27">
        <f>IF(E1429="","",AVERAGE(INDEX($E$2:$E$3001,MAX(1,ROW()-1-'02_Eingaben'!$C$17)):INDEX($E$2:$E$3001,MIN('02_Eingaben'!$C$21,ROW()-1+'02_Eingaben'!$C$17))))</f>
        <v/>
      </c>
      <c r="G1429" s="27">
        <f>IF(F1429="","",F1429-'02_Eingaben'!$C$10)</f>
        <v/>
      </c>
      <c r="H1429">
        <f>IF(F1429="","",IF(F1429&lt;'02_Eingaben'!$C$18*'02_Eingaben'!$C$10,1,0))</f>
        <v/>
      </c>
      <c r="I1429" s="27">
        <f>IF(OR(G1429="",G1430=""),"",(G1429+G1430)/2*(B1430-B1429))</f>
        <v/>
      </c>
      <c r="J1429" s="27">
        <f>IF(B1429="","",IF(B1428&lt;'02_Eingaben'!$C$36,0,J1428+I1428/'02_Eingaben'!$C$8))</f>
        <v/>
      </c>
    </row>
    <row r="1430">
      <c r="A1430">
        <f>IF('01_Rohdaten'!A1430="","",ROW()-1)</f>
        <v/>
      </c>
      <c r="B1430" s="27">
        <f>IF('01_Rohdaten'!A1430="","",'01_Rohdaten'!A1430)</f>
        <v/>
      </c>
      <c r="C1430" s="27">
        <f>IF(B1430="","",INDEX('01_Rohdaten'!B1430:D1430,'02_Eingaben'!$C$13))</f>
        <v/>
      </c>
      <c r="D1430" s="27">
        <f>IF(C1430="","",C1430*'02_Eingaben'!$C$15)</f>
        <v/>
      </c>
      <c r="E1430" s="27">
        <f>IF(D1430="","",D1430*'02_Eingaben'!$C$8)</f>
        <v/>
      </c>
      <c r="F1430" s="27">
        <f>IF(E1430="","",AVERAGE(INDEX($E$2:$E$3001,MAX(1,ROW()-1-'02_Eingaben'!$C$17)):INDEX($E$2:$E$3001,MIN('02_Eingaben'!$C$21,ROW()-1+'02_Eingaben'!$C$17))))</f>
        <v/>
      </c>
      <c r="G1430" s="27">
        <f>IF(F1430="","",F1430-'02_Eingaben'!$C$10)</f>
        <v/>
      </c>
      <c r="H1430">
        <f>IF(F1430="","",IF(F1430&lt;'02_Eingaben'!$C$18*'02_Eingaben'!$C$10,1,0))</f>
        <v/>
      </c>
      <c r="I1430" s="27">
        <f>IF(OR(G1430="",G1431=""),"",(G1430+G1431)/2*(B1431-B1430))</f>
        <v/>
      </c>
      <c r="J1430" s="27">
        <f>IF(B1430="","",IF(B1429&lt;'02_Eingaben'!$C$36,0,J1429+I1429/'02_Eingaben'!$C$8))</f>
        <v/>
      </c>
    </row>
    <row r="1431">
      <c r="A1431">
        <f>IF('01_Rohdaten'!A1431="","",ROW()-1)</f>
        <v/>
      </c>
      <c r="B1431" s="27">
        <f>IF('01_Rohdaten'!A1431="","",'01_Rohdaten'!A1431)</f>
        <v/>
      </c>
      <c r="C1431" s="27">
        <f>IF(B1431="","",INDEX('01_Rohdaten'!B1431:D1431,'02_Eingaben'!$C$13))</f>
        <v/>
      </c>
      <c r="D1431" s="27">
        <f>IF(C1431="","",C1431*'02_Eingaben'!$C$15)</f>
        <v/>
      </c>
      <c r="E1431" s="27">
        <f>IF(D1431="","",D1431*'02_Eingaben'!$C$8)</f>
        <v/>
      </c>
      <c r="F1431" s="27">
        <f>IF(E1431="","",AVERAGE(INDEX($E$2:$E$3001,MAX(1,ROW()-1-'02_Eingaben'!$C$17)):INDEX($E$2:$E$3001,MIN('02_Eingaben'!$C$21,ROW()-1+'02_Eingaben'!$C$17))))</f>
        <v/>
      </c>
      <c r="G1431" s="27">
        <f>IF(F1431="","",F1431-'02_Eingaben'!$C$10)</f>
        <v/>
      </c>
      <c r="H1431">
        <f>IF(F1431="","",IF(F1431&lt;'02_Eingaben'!$C$18*'02_Eingaben'!$C$10,1,0))</f>
        <v/>
      </c>
      <c r="I1431" s="27">
        <f>IF(OR(G1431="",G1432=""),"",(G1431+G1432)/2*(B1432-B1431))</f>
        <v/>
      </c>
      <c r="J1431" s="27">
        <f>IF(B1431="","",IF(B1430&lt;'02_Eingaben'!$C$36,0,J1430+I1430/'02_Eingaben'!$C$8))</f>
        <v/>
      </c>
    </row>
    <row r="1432">
      <c r="A1432">
        <f>IF('01_Rohdaten'!A1432="","",ROW()-1)</f>
        <v/>
      </c>
      <c r="B1432" s="27">
        <f>IF('01_Rohdaten'!A1432="","",'01_Rohdaten'!A1432)</f>
        <v/>
      </c>
      <c r="C1432" s="27">
        <f>IF(B1432="","",INDEX('01_Rohdaten'!B1432:D1432,'02_Eingaben'!$C$13))</f>
        <v/>
      </c>
      <c r="D1432" s="27">
        <f>IF(C1432="","",C1432*'02_Eingaben'!$C$15)</f>
        <v/>
      </c>
      <c r="E1432" s="27">
        <f>IF(D1432="","",D1432*'02_Eingaben'!$C$8)</f>
        <v/>
      </c>
      <c r="F1432" s="27">
        <f>IF(E1432="","",AVERAGE(INDEX($E$2:$E$3001,MAX(1,ROW()-1-'02_Eingaben'!$C$17)):INDEX($E$2:$E$3001,MIN('02_Eingaben'!$C$21,ROW()-1+'02_Eingaben'!$C$17))))</f>
        <v/>
      </c>
      <c r="G1432" s="27">
        <f>IF(F1432="","",F1432-'02_Eingaben'!$C$10)</f>
        <v/>
      </c>
      <c r="H1432">
        <f>IF(F1432="","",IF(F1432&lt;'02_Eingaben'!$C$18*'02_Eingaben'!$C$10,1,0))</f>
        <v/>
      </c>
      <c r="I1432" s="27">
        <f>IF(OR(G1432="",G1433=""),"",(G1432+G1433)/2*(B1433-B1432))</f>
        <v/>
      </c>
      <c r="J1432" s="27">
        <f>IF(B1432="","",IF(B1431&lt;'02_Eingaben'!$C$36,0,J1431+I1431/'02_Eingaben'!$C$8))</f>
        <v/>
      </c>
    </row>
    <row r="1433">
      <c r="A1433">
        <f>IF('01_Rohdaten'!A1433="","",ROW()-1)</f>
        <v/>
      </c>
      <c r="B1433" s="27">
        <f>IF('01_Rohdaten'!A1433="","",'01_Rohdaten'!A1433)</f>
        <v/>
      </c>
      <c r="C1433" s="27">
        <f>IF(B1433="","",INDEX('01_Rohdaten'!B1433:D1433,'02_Eingaben'!$C$13))</f>
        <v/>
      </c>
      <c r="D1433" s="27">
        <f>IF(C1433="","",C1433*'02_Eingaben'!$C$15)</f>
        <v/>
      </c>
      <c r="E1433" s="27">
        <f>IF(D1433="","",D1433*'02_Eingaben'!$C$8)</f>
        <v/>
      </c>
      <c r="F1433" s="27">
        <f>IF(E1433="","",AVERAGE(INDEX($E$2:$E$3001,MAX(1,ROW()-1-'02_Eingaben'!$C$17)):INDEX($E$2:$E$3001,MIN('02_Eingaben'!$C$21,ROW()-1+'02_Eingaben'!$C$17))))</f>
        <v/>
      </c>
      <c r="G1433" s="27">
        <f>IF(F1433="","",F1433-'02_Eingaben'!$C$10)</f>
        <v/>
      </c>
      <c r="H1433">
        <f>IF(F1433="","",IF(F1433&lt;'02_Eingaben'!$C$18*'02_Eingaben'!$C$10,1,0))</f>
        <v/>
      </c>
      <c r="I1433" s="27">
        <f>IF(OR(G1433="",G1434=""),"",(G1433+G1434)/2*(B1434-B1433))</f>
        <v/>
      </c>
      <c r="J1433" s="27">
        <f>IF(B1433="","",IF(B1432&lt;'02_Eingaben'!$C$36,0,J1432+I1432/'02_Eingaben'!$C$8))</f>
        <v/>
      </c>
    </row>
    <row r="1434">
      <c r="A1434">
        <f>IF('01_Rohdaten'!A1434="","",ROW()-1)</f>
        <v/>
      </c>
      <c r="B1434" s="27">
        <f>IF('01_Rohdaten'!A1434="","",'01_Rohdaten'!A1434)</f>
        <v/>
      </c>
      <c r="C1434" s="27">
        <f>IF(B1434="","",INDEX('01_Rohdaten'!B1434:D1434,'02_Eingaben'!$C$13))</f>
        <v/>
      </c>
      <c r="D1434" s="27">
        <f>IF(C1434="","",C1434*'02_Eingaben'!$C$15)</f>
        <v/>
      </c>
      <c r="E1434" s="27">
        <f>IF(D1434="","",D1434*'02_Eingaben'!$C$8)</f>
        <v/>
      </c>
      <c r="F1434" s="27">
        <f>IF(E1434="","",AVERAGE(INDEX($E$2:$E$3001,MAX(1,ROW()-1-'02_Eingaben'!$C$17)):INDEX($E$2:$E$3001,MIN('02_Eingaben'!$C$21,ROW()-1+'02_Eingaben'!$C$17))))</f>
        <v/>
      </c>
      <c r="G1434" s="27">
        <f>IF(F1434="","",F1434-'02_Eingaben'!$C$10)</f>
        <v/>
      </c>
      <c r="H1434">
        <f>IF(F1434="","",IF(F1434&lt;'02_Eingaben'!$C$18*'02_Eingaben'!$C$10,1,0))</f>
        <v/>
      </c>
      <c r="I1434" s="27">
        <f>IF(OR(G1434="",G1435=""),"",(G1434+G1435)/2*(B1435-B1434))</f>
        <v/>
      </c>
      <c r="J1434" s="27">
        <f>IF(B1434="","",IF(B1433&lt;'02_Eingaben'!$C$36,0,J1433+I1433/'02_Eingaben'!$C$8))</f>
        <v/>
      </c>
    </row>
    <row r="1435">
      <c r="A1435">
        <f>IF('01_Rohdaten'!A1435="","",ROW()-1)</f>
        <v/>
      </c>
      <c r="B1435" s="27">
        <f>IF('01_Rohdaten'!A1435="","",'01_Rohdaten'!A1435)</f>
        <v/>
      </c>
      <c r="C1435" s="27">
        <f>IF(B1435="","",INDEX('01_Rohdaten'!B1435:D1435,'02_Eingaben'!$C$13))</f>
        <v/>
      </c>
      <c r="D1435" s="27">
        <f>IF(C1435="","",C1435*'02_Eingaben'!$C$15)</f>
        <v/>
      </c>
      <c r="E1435" s="27">
        <f>IF(D1435="","",D1435*'02_Eingaben'!$C$8)</f>
        <v/>
      </c>
      <c r="F1435" s="27">
        <f>IF(E1435="","",AVERAGE(INDEX($E$2:$E$3001,MAX(1,ROW()-1-'02_Eingaben'!$C$17)):INDEX($E$2:$E$3001,MIN('02_Eingaben'!$C$21,ROW()-1+'02_Eingaben'!$C$17))))</f>
        <v/>
      </c>
      <c r="G1435" s="27">
        <f>IF(F1435="","",F1435-'02_Eingaben'!$C$10)</f>
        <v/>
      </c>
      <c r="H1435">
        <f>IF(F1435="","",IF(F1435&lt;'02_Eingaben'!$C$18*'02_Eingaben'!$C$10,1,0))</f>
        <v/>
      </c>
      <c r="I1435" s="27">
        <f>IF(OR(G1435="",G1436=""),"",(G1435+G1436)/2*(B1436-B1435))</f>
        <v/>
      </c>
      <c r="J1435" s="27">
        <f>IF(B1435="","",IF(B1434&lt;'02_Eingaben'!$C$36,0,J1434+I1434/'02_Eingaben'!$C$8))</f>
        <v/>
      </c>
    </row>
    <row r="1436">
      <c r="A1436">
        <f>IF('01_Rohdaten'!A1436="","",ROW()-1)</f>
        <v/>
      </c>
      <c r="B1436" s="27">
        <f>IF('01_Rohdaten'!A1436="","",'01_Rohdaten'!A1436)</f>
        <v/>
      </c>
      <c r="C1436" s="27">
        <f>IF(B1436="","",INDEX('01_Rohdaten'!B1436:D1436,'02_Eingaben'!$C$13))</f>
        <v/>
      </c>
      <c r="D1436" s="27">
        <f>IF(C1436="","",C1436*'02_Eingaben'!$C$15)</f>
        <v/>
      </c>
      <c r="E1436" s="27">
        <f>IF(D1436="","",D1436*'02_Eingaben'!$C$8)</f>
        <v/>
      </c>
      <c r="F1436" s="27">
        <f>IF(E1436="","",AVERAGE(INDEX($E$2:$E$3001,MAX(1,ROW()-1-'02_Eingaben'!$C$17)):INDEX($E$2:$E$3001,MIN('02_Eingaben'!$C$21,ROW()-1+'02_Eingaben'!$C$17))))</f>
        <v/>
      </c>
      <c r="G1436" s="27">
        <f>IF(F1436="","",F1436-'02_Eingaben'!$C$10)</f>
        <v/>
      </c>
      <c r="H1436">
        <f>IF(F1436="","",IF(F1436&lt;'02_Eingaben'!$C$18*'02_Eingaben'!$C$10,1,0))</f>
        <v/>
      </c>
      <c r="I1436" s="27">
        <f>IF(OR(G1436="",G1437=""),"",(G1436+G1437)/2*(B1437-B1436))</f>
        <v/>
      </c>
      <c r="J1436" s="27">
        <f>IF(B1436="","",IF(B1435&lt;'02_Eingaben'!$C$36,0,J1435+I1435/'02_Eingaben'!$C$8))</f>
        <v/>
      </c>
    </row>
    <row r="1437">
      <c r="A1437">
        <f>IF('01_Rohdaten'!A1437="","",ROW()-1)</f>
        <v/>
      </c>
      <c r="B1437" s="27">
        <f>IF('01_Rohdaten'!A1437="","",'01_Rohdaten'!A1437)</f>
        <v/>
      </c>
      <c r="C1437" s="27">
        <f>IF(B1437="","",INDEX('01_Rohdaten'!B1437:D1437,'02_Eingaben'!$C$13))</f>
        <v/>
      </c>
      <c r="D1437" s="27">
        <f>IF(C1437="","",C1437*'02_Eingaben'!$C$15)</f>
        <v/>
      </c>
      <c r="E1437" s="27">
        <f>IF(D1437="","",D1437*'02_Eingaben'!$C$8)</f>
        <v/>
      </c>
      <c r="F1437" s="27">
        <f>IF(E1437="","",AVERAGE(INDEX($E$2:$E$3001,MAX(1,ROW()-1-'02_Eingaben'!$C$17)):INDEX($E$2:$E$3001,MIN('02_Eingaben'!$C$21,ROW()-1+'02_Eingaben'!$C$17))))</f>
        <v/>
      </c>
      <c r="G1437" s="27">
        <f>IF(F1437="","",F1437-'02_Eingaben'!$C$10)</f>
        <v/>
      </c>
      <c r="H1437">
        <f>IF(F1437="","",IF(F1437&lt;'02_Eingaben'!$C$18*'02_Eingaben'!$C$10,1,0))</f>
        <v/>
      </c>
      <c r="I1437" s="27">
        <f>IF(OR(G1437="",G1438=""),"",(G1437+G1438)/2*(B1438-B1437))</f>
        <v/>
      </c>
      <c r="J1437" s="27">
        <f>IF(B1437="","",IF(B1436&lt;'02_Eingaben'!$C$36,0,J1436+I1436/'02_Eingaben'!$C$8))</f>
        <v/>
      </c>
    </row>
    <row r="1438">
      <c r="A1438">
        <f>IF('01_Rohdaten'!A1438="","",ROW()-1)</f>
        <v/>
      </c>
      <c r="B1438" s="27">
        <f>IF('01_Rohdaten'!A1438="","",'01_Rohdaten'!A1438)</f>
        <v/>
      </c>
      <c r="C1438" s="27">
        <f>IF(B1438="","",INDEX('01_Rohdaten'!B1438:D1438,'02_Eingaben'!$C$13))</f>
        <v/>
      </c>
      <c r="D1438" s="27">
        <f>IF(C1438="","",C1438*'02_Eingaben'!$C$15)</f>
        <v/>
      </c>
      <c r="E1438" s="27">
        <f>IF(D1438="","",D1438*'02_Eingaben'!$C$8)</f>
        <v/>
      </c>
      <c r="F1438" s="27">
        <f>IF(E1438="","",AVERAGE(INDEX($E$2:$E$3001,MAX(1,ROW()-1-'02_Eingaben'!$C$17)):INDEX($E$2:$E$3001,MIN('02_Eingaben'!$C$21,ROW()-1+'02_Eingaben'!$C$17))))</f>
        <v/>
      </c>
      <c r="G1438" s="27">
        <f>IF(F1438="","",F1438-'02_Eingaben'!$C$10)</f>
        <v/>
      </c>
      <c r="H1438">
        <f>IF(F1438="","",IF(F1438&lt;'02_Eingaben'!$C$18*'02_Eingaben'!$C$10,1,0))</f>
        <v/>
      </c>
      <c r="I1438" s="27">
        <f>IF(OR(G1438="",G1439=""),"",(G1438+G1439)/2*(B1439-B1438))</f>
        <v/>
      </c>
      <c r="J1438" s="27">
        <f>IF(B1438="","",IF(B1437&lt;'02_Eingaben'!$C$36,0,J1437+I1437/'02_Eingaben'!$C$8))</f>
        <v/>
      </c>
    </row>
    <row r="1439">
      <c r="A1439">
        <f>IF('01_Rohdaten'!A1439="","",ROW()-1)</f>
        <v/>
      </c>
      <c r="B1439" s="27">
        <f>IF('01_Rohdaten'!A1439="","",'01_Rohdaten'!A1439)</f>
        <v/>
      </c>
      <c r="C1439" s="27">
        <f>IF(B1439="","",INDEX('01_Rohdaten'!B1439:D1439,'02_Eingaben'!$C$13))</f>
        <v/>
      </c>
      <c r="D1439" s="27">
        <f>IF(C1439="","",C1439*'02_Eingaben'!$C$15)</f>
        <v/>
      </c>
      <c r="E1439" s="27">
        <f>IF(D1439="","",D1439*'02_Eingaben'!$C$8)</f>
        <v/>
      </c>
      <c r="F1439" s="27">
        <f>IF(E1439="","",AVERAGE(INDEX($E$2:$E$3001,MAX(1,ROW()-1-'02_Eingaben'!$C$17)):INDEX($E$2:$E$3001,MIN('02_Eingaben'!$C$21,ROW()-1+'02_Eingaben'!$C$17))))</f>
        <v/>
      </c>
      <c r="G1439" s="27">
        <f>IF(F1439="","",F1439-'02_Eingaben'!$C$10)</f>
        <v/>
      </c>
      <c r="H1439">
        <f>IF(F1439="","",IF(F1439&lt;'02_Eingaben'!$C$18*'02_Eingaben'!$C$10,1,0))</f>
        <v/>
      </c>
      <c r="I1439" s="27">
        <f>IF(OR(G1439="",G1440=""),"",(G1439+G1440)/2*(B1440-B1439))</f>
        <v/>
      </c>
      <c r="J1439" s="27">
        <f>IF(B1439="","",IF(B1438&lt;'02_Eingaben'!$C$36,0,J1438+I1438/'02_Eingaben'!$C$8))</f>
        <v/>
      </c>
    </row>
    <row r="1440">
      <c r="A1440">
        <f>IF('01_Rohdaten'!A1440="","",ROW()-1)</f>
        <v/>
      </c>
      <c r="B1440" s="27">
        <f>IF('01_Rohdaten'!A1440="","",'01_Rohdaten'!A1440)</f>
        <v/>
      </c>
      <c r="C1440" s="27">
        <f>IF(B1440="","",INDEX('01_Rohdaten'!B1440:D1440,'02_Eingaben'!$C$13))</f>
        <v/>
      </c>
      <c r="D1440" s="27">
        <f>IF(C1440="","",C1440*'02_Eingaben'!$C$15)</f>
        <v/>
      </c>
      <c r="E1440" s="27">
        <f>IF(D1440="","",D1440*'02_Eingaben'!$C$8)</f>
        <v/>
      </c>
      <c r="F1440" s="27">
        <f>IF(E1440="","",AVERAGE(INDEX($E$2:$E$3001,MAX(1,ROW()-1-'02_Eingaben'!$C$17)):INDEX($E$2:$E$3001,MIN('02_Eingaben'!$C$21,ROW()-1+'02_Eingaben'!$C$17))))</f>
        <v/>
      </c>
      <c r="G1440" s="27">
        <f>IF(F1440="","",F1440-'02_Eingaben'!$C$10)</f>
        <v/>
      </c>
      <c r="H1440">
        <f>IF(F1440="","",IF(F1440&lt;'02_Eingaben'!$C$18*'02_Eingaben'!$C$10,1,0))</f>
        <v/>
      </c>
      <c r="I1440" s="27">
        <f>IF(OR(G1440="",G1441=""),"",(G1440+G1441)/2*(B1441-B1440))</f>
        <v/>
      </c>
      <c r="J1440" s="27">
        <f>IF(B1440="","",IF(B1439&lt;'02_Eingaben'!$C$36,0,J1439+I1439/'02_Eingaben'!$C$8))</f>
        <v/>
      </c>
    </row>
    <row r="1441">
      <c r="A1441">
        <f>IF('01_Rohdaten'!A1441="","",ROW()-1)</f>
        <v/>
      </c>
      <c r="B1441" s="27">
        <f>IF('01_Rohdaten'!A1441="","",'01_Rohdaten'!A1441)</f>
        <v/>
      </c>
      <c r="C1441" s="27">
        <f>IF(B1441="","",INDEX('01_Rohdaten'!B1441:D1441,'02_Eingaben'!$C$13))</f>
        <v/>
      </c>
      <c r="D1441" s="27">
        <f>IF(C1441="","",C1441*'02_Eingaben'!$C$15)</f>
        <v/>
      </c>
      <c r="E1441" s="27">
        <f>IF(D1441="","",D1441*'02_Eingaben'!$C$8)</f>
        <v/>
      </c>
      <c r="F1441" s="27">
        <f>IF(E1441="","",AVERAGE(INDEX($E$2:$E$3001,MAX(1,ROW()-1-'02_Eingaben'!$C$17)):INDEX($E$2:$E$3001,MIN('02_Eingaben'!$C$21,ROW()-1+'02_Eingaben'!$C$17))))</f>
        <v/>
      </c>
      <c r="G1441" s="27">
        <f>IF(F1441="","",F1441-'02_Eingaben'!$C$10)</f>
        <v/>
      </c>
      <c r="H1441">
        <f>IF(F1441="","",IF(F1441&lt;'02_Eingaben'!$C$18*'02_Eingaben'!$C$10,1,0))</f>
        <v/>
      </c>
      <c r="I1441" s="27">
        <f>IF(OR(G1441="",G1442=""),"",(G1441+G1442)/2*(B1442-B1441))</f>
        <v/>
      </c>
      <c r="J1441" s="27">
        <f>IF(B1441="","",IF(B1440&lt;'02_Eingaben'!$C$36,0,J1440+I1440/'02_Eingaben'!$C$8))</f>
        <v/>
      </c>
    </row>
    <row r="1442">
      <c r="A1442">
        <f>IF('01_Rohdaten'!A1442="","",ROW()-1)</f>
        <v/>
      </c>
      <c r="B1442" s="27">
        <f>IF('01_Rohdaten'!A1442="","",'01_Rohdaten'!A1442)</f>
        <v/>
      </c>
      <c r="C1442" s="27">
        <f>IF(B1442="","",INDEX('01_Rohdaten'!B1442:D1442,'02_Eingaben'!$C$13))</f>
        <v/>
      </c>
      <c r="D1442" s="27">
        <f>IF(C1442="","",C1442*'02_Eingaben'!$C$15)</f>
        <v/>
      </c>
      <c r="E1442" s="27">
        <f>IF(D1442="","",D1442*'02_Eingaben'!$C$8)</f>
        <v/>
      </c>
      <c r="F1442" s="27">
        <f>IF(E1442="","",AVERAGE(INDEX($E$2:$E$3001,MAX(1,ROW()-1-'02_Eingaben'!$C$17)):INDEX($E$2:$E$3001,MIN('02_Eingaben'!$C$21,ROW()-1+'02_Eingaben'!$C$17))))</f>
        <v/>
      </c>
      <c r="G1442" s="27">
        <f>IF(F1442="","",F1442-'02_Eingaben'!$C$10)</f>
        <v/>
      </c>
      <c r="H1442">
        <f>IF(F1442="","",IF(F1442&lt;'02_Eingaben'!$C$18*'02_Eingaben'!$C$10,1,0))</f>
        <v/>
      </c>
      <c r="I1442" s="27">
        <f>IF(OR(G1442="",G1443=""),"",(G1442+G1443)/2*(B1443-B1442))</f>
        <v/>
      </c>
      <c r="J1442" s="27">
        <f>IF(B1442="","",IF(B1441&lt;'02_Eingaben'!$C$36,0,J1441+I1441/'02_Eingaben'!$C$8))</f>
        <v/>
      </c>
    </row>
    <row r="1443">
      <c r="A1443">
        <f>IF('01_Rohdaten'!A1443="","",ROW()-1)</f>
        <v/>
      </c>
      <c r="B1443" s="27">
        <f>IF('01_Rohdaten'!A1443="","",'01_Rohdaten'!A1443)</f>
        <v/>
      </c>
      <c r="C1443" s="27">
        <f>IF(B1443="","",INDEX('01_Rohdaten'!B1443:D1443,'02_Eingaben'!$C$13))</f>
        <v/>
      </c>
      <c r="D1443" s="27">
        <f>IF(C1443="","",C1443*'02_Eingaben'!$C$15)</f>
        <v/>
      </c>
      <c r="E1443" s="27">
        <f>IF(D1443="","",D1443*'02_Eingaben'!$C$8)</f>
        <v/>
      </c>
      <c r="F1443" s="27">
        <f>IF(E1443="","",AVERAGE(INDEX($E$2:$E$3001,MAX(1,ROW()-1-'02_Eingaben'!$C$17)):INDEX($E$2:$E$3001,MIN('02_Eingaben'!$C$21,ROW()-1+'02_Eingaben'!$C$17))))</f>
        <v/>
      </c>
      <c r="G1443" s="27">
        <f>IF(F1443="","",F1443-'02_Eingaben'!$C$10)</f>
        <v/>
      </c>
      <c r="H1443">
        <f>IF(F1443="","",IF(F1443&lt;'02_Eingaben'!$C$18*'02_Eingaben'!$C$10,1,0))</f>
        <v/>
      </c>
      <c r="I1443" s="27">
        <f>IF(OR(G1443="",G1444=""),"",(G1443+G1444)/2*(B1444-B1443))</f>
        <v/>
      </c>
      <c r="J1443" s="27">
        <f>IF(B1443="","",IF(B1442&lt;'02_Eingaben'!$C$36,0,J1442+I1442/'02_Eingaben'!$C$8))</f>
        <v/>
      </c>
    </row>
    <row r="1444">
      <c r="A1444">
        <f>IF('01_Rohdaten'!A1444="","",ROW()-1)</f>
        <v/>
      </c>
      <c r="B1444" s="27">
        <f>IF('01_Rohdaten'!A1444="","",'01_Rohdaten'!A1444)</f>
        <v/>
      </c>
      <c r="C1444" s="27">
        <f>IF(B1444="","",INDEX('01_Rohdaten'!B1444:D1444,'02_Eingaben'!$C$13))</f>
        <v/>
      </c>
      <c r="D1444" s="27">
        <f>IF(C1444="","",C1444*'02_Eingaben'!$C$15)</f>
        <v/>
      </c>
      <c r="E1444" s="27">
        <f>IF(D1444="","",D1444*'02_Eingaben'!$C$8)</f>
        <v/>
      </c>
      <c r="F1444" s="27">
        <f>IF(E1444="","",AVERAGE(INDEX($E$2:$E$3001,MAX(1,ROW()-1-'02_Eingaben'!$C$17)):INDEX($E$2:$E$3001,MIN('02_Eingaben'!$C$21,ROW()-1+'02_Eingaben'!$C$17))))</f>
        <v/>
      </c>
      <c r="G1444" s="27">
        <f>IF(F1444="","",F1444-'02_Eingaben'!$C$10)</f>
        <v/>
      </c>
      <c r="H1444">
        <f>IF(F1444="","",IF(F1444&lt;'02_Eingaben'!$C$18*'02_Eingaben'!$C$10,1,0))</f>
        <v/>
      </c>
      <c r="I1444" s="27">
        <f>IF(OR(G1444="",G1445=""),"",(G1444+G1445)/2*(B1445-B1444))</f>
        <v/>
      </c>
      <c r="J1444" s="27">
        <f>IF(B1444="","",IF(B1443&lt;'02_Eingaben'!$C$36,0,J1443+I1443/'02_Eingaben'!$C$8))</f>
        <v/>
      </c>
    </row>
    <row r="1445">
      <c r="A1445">
        <f>IF('01_Rohdaten'!A1445="","",ROW()-1)</f>
        <v/>
      </c>
      <c r="B1445" s="27">
        <f>IF('01_Rohdaten'!A1445="","",'01_Rohdaten'!A1445)</f>
        <v/>
      </c>
      <c r="C1445" s="27">
        <f>IF(B1445="","",INDEX('01_Rohdaten'!B1445:D1445,'02_Eingaben'!$C$13))</f>
        <v/>
      </c>
      <c r="D1445" s="27">
        <f>IF(C1445="","",C1445*'02_Eingaben'!$C$15)</f>
        <v/>
      </c>
      <c r="E1445" s="27">
        <f>IF(D1445="","",D1445*'02_Eingaben'!$C$8)</f>
        <v/>
      </c>
      <c r="F1445" s="27">
        <f>IF(E1445="","",AVERAGE(INDEX($E$2:$E$3001,MAX(1,ROW()-1-'02_Eingaben'!$C$17)):INDEX($E$2:$E$3001,MIN('02_Eingaben'!$C$21,ROW()-1+'02_Eingaben'!$C$17))))</f>
        <v/>
      </c>
      <c r="G1445" s="27">
        <f>IF(F1445="","",F1445-'02_Eingaben'!$C$10)</f>
        <v/>
      </c>
      <c r="H1445">
        <f>IF(F1445="","",IF(F1445&lt;'02_Eingaben'!$C$18*'02_Eingaben'!$C$10,1,0))</f>
        <v/>
      </c>
      <c r="I1445" s="27">
        <f>IF(OR(G1445="",G1446=""),"",(G1445+G1446)/2*(B1446-B1445))</f>
        <v/>
      </c>
      <c r="J1445" s="27">
        <f>IF(B1445="","",IF(B1444&lt;'02_Eingaben'!$C$36,0,J1444+I1444/'02_Eingaben'!$C$8))</f>
        <v/>
      </c>
    </row>
    <row r="1446">
      <c r="A1446">
        <f>IF('01_Rohdaten'!A1446="","",ROW()-1)</f>
        <v/>
      </c>
      <c r="B1446" s="27">
        <f>IF('01_Rohdaten'!A1446="","",'01_Rohdaten'!A1446)</f>
        <v/>
      </c>
      <c r="C1446" s="27">
        <f>IF(B1446="","",INDEX('01_Rohdaten'!B1446:D1446,'02_Eingaben'!$C$13))</f>
        <v/>
      </c>
      <c r="D1446" s="27">
        <f>IF(C1446="","",C1446*'02_Eingaben'!$C$15)</f>
        <v/>
      </c>
      <c r="E1446" s="27">
        <f>IF(D1446="","",D1446*'02_Eingaben'!$C$8)</f>
        <v/>
      </c>
      <c r="F1446" s="27">
        <f>IF(E1446="","",AVERAGE(INDEX($E$2:$E$3001,MAX(1,ROW()-1-'02_Eingaben'!$C$17)):INDEX($E$2:$E$3001,MIN('02_Eingaben'!$C$21,ROW()-1+'02_Eingaben'!$C$17))))</f>
        <v/>
      </c>
      <c r="G1446" s="27">
        <f>IF(F1446="","",F1446-'02_Eingaben'!$C$10)</f>
        <v/>
      </c>
      <c r="H1446">
        <f>IF(F1446="","",IF(F1446&lt;'02_Eingaben'!$C$18*'02_Eingaben'!$C$10,1,0))</f>
        <v/>
      </c>
      <c r="I1446" s="27">
        <f>IF(OR(G1446="",G1447=""),"",(G1446+G1447)/2*(B1447-B1446))</f>
        <v/>
      </c>
      <c r="J1446" s="27">
        <f>IF(B1446="","",IF(B1445&lt;'02_Eingaben'!$C$36,0,J1445+I1445/'02_Eingaben'!$C$8))</f>
        <v/>
      </c>
    </row>
    <row r="1447">
      <c r="A1447">
        <f>IF('01_Rohdaten'!A1447="","",ROW()-1)</f>
        <v/>
      </c>
      <c r="B1447" s="27">
        <f>IF('01_Rohdaten'!A1447="","",'01_Rohdaten'!A1447)</f>
        <v/>
      </c>
      <c r="C1447" s="27">
        <f>IF(B1447="","",INDEX('01_Rohdaten'!B1447:D1447,'02_Eingaben'!$C$13))</f>
        <v/>
      </c>
      <c r="D1447" s="27">
        <f>IF(C1447="","",C1447*'02_Eingaben'!$C$15)</f>
        <v/>
      </c>
      <c r="E1447" s="27">
        <f>IF(D1447="","",D1447*'02_Eingaben'!$C$8)</f>
        <v/>
      </c>
      <c r="F1447" s="27">
        <f>IF(E1447="","",AVERAGE(INDEX($E$2:$E$3001,MAX(1,ROW()-1-'02_Eingaben'!$C$17)):INDEX($E$2:$E$3001,MIN('02_Eingaben'!$C$21,ROW()-1+'02_Eingaben'!$C$17))))</f>
        <v/>
      </c>
      <c r="G1447" s="27">
        <f>IF(F1447="","",F1447-'02_Eingaben'!$C$10)</f>
        <v/>
      </c>
      <c r="H1447">
        <f>IF(F1447="","",IF(F1447&lt;'02_Eingaben'!$C$18*'02_Eingaben'!$C$10,1,0))</f>
        <v/>
      </c>
      <c r="I1447" s="27">
        <f>IF(OR(G1447="",G1448=""),"",(G1447+G1448)/2*(B1448-B1447))</f>
        <v/>
      </c>
      <c r="J1447" s="27">
        <f>IF(B1447="","",IF(B1446&lt;'02_Eingaben'!$C$36,0,J1446+I1446/'02_Eingaben'!$C$8))</f>
        <v/>
      </c>
    </row>
    <row r="1448">
      <c r="A1448">
        <f>IF('01_Rohdaten'!A1448="","",ROW()-1)</f>
        <v/>
      </c>
      <c r="B1448" s="27">
        <f>IF('01_Rohdaten'!A1448="","",'01_Rohdaten'!A1448)</f>
        <v/>
      </c>
      <c r="C1448" s="27">
        <f>IF(B1448="","",INDEX('01_Rohdaten'!B1448:D1448,'02_Eingaben'!$C$13))</f>
        <v/>
      </c>
      <c r="D1448" s="27">
        <f>IF(C1448="","",C1448*'02_Eingaben'!$C$15)</f>
        <v/>
      </c>
      <c r="E1448" s="27">
        <f>IF(D1448="","",D1448*'02_Eingaben'!$C$8)</f>
        <v/>
      </c>
      <c r="F1448" s="27">
        <f>IF(E1448="","",AVERAGE(INDEX($E$2:$E$3001,MAX(1,ROW()-1-'02_Eingaben'!$C$17)):INDEX($E$2:$E$3001,MIN('02_Eingaben'!$C$21,ROW()-1+'02_Eingaben'!$C$17))))</f>
        <v/>
      </c>
      <c r="G1448" s="27">
        <f>IF(F1448="","",F1448-'02_Eingaben'!$C$10)</f>
        <v/>
      </c>
      <c r="H1448">
        <f>IF(F1448="","",IF(F1448&lt;'02_Eingaben'!$C$18*'02_Eingaben'!$C$10,1,0))</f>
        <v/>
      </c>
      <c r="I1448" s="27">
        <f>IF(OR(G1448="",G1449=""),"",(G1448+G1449)/2*(B1449-B1448))</f>
        <v/>
      </c>
      <c r="J1448" s="27">
        <f>IF(B1448="","",IF(B1447&lt;'02_Eingaben'!$C$36,0,J1447+I1447/'02_Eingaben'!$C$8))</f>
        <v/>
      </c>
    </row>
    <row r="1449">
      <c r="A1449">
        <f>IF('01_Rohdaten'!A1449="","",ROW()-1)</f>
        <v/>
      </c>
      <c r="B1449" s="27">
        <f>IF('01_Rohdaten'!A1449="","",'01_Rohdaten'!A1449)</f>
        <v/>
      </c>
      <c r="C1449" s="27">
        <f>IF(B1449="","",INDEX('01_Rohdaten'!B1449:D1449,'02_Eingaben'!$C$13))</f>
        <v/>
      </c>
      <c r="D1449" s="27">
        <f>IF(C1449="","",C1449*'02_Eingaben'!$C$15)</f>
        <v/>
      </c>
      <c r="E1449" s="27">
        <f>IF(D1449="","",D1449*'02_Eingaben'!$C$8)</f>
        <v/>
      </c>
      <c r="F1449" s="27">
        <f>IF(E1449="","",AVERAGE(INDEX($E$2:$E$3001,MAX(1,ROW()-1-'02_Eingaben'!$C$17)):INDEX($E$2:$E$3001,MIN('02_Eingaben'!$C$21,ROW()-1+'02_Eingaben'!$C$17))))</f>
        <v/>
      </c>
      <c r="G1449" s="27">
        <f>IF(F1449="","",F1449-'02_Eingaben'!$C$10)</f>
        <v/>
      </c>
      <c r="H1449">
        <f>IF(F1449="","",IF(F1449&lt;'02_Eingaben'!$C$18*'02_Eingaben'!$C$10,1,0))</f>
        <v/>
      </c>
      <c r="I1449" s="27">
        <f>IF(OR(G1449="",G1450=""),"",(G1449+G1450)/2*(B1450-B1449))</f>
        <v/>
      </c>
      <c r="J1449" s="27">
        <f>IF(B1449="","",IF(B1448&lt;'02_Eingaben'!$C$36,0,J1448+I1448/'02_Eingaben'!$C$8))</f>
        <v/>
      </c>
    </row>
    <row r="1450">
      <c r="A1450">
        <f>IF('01_Rohdaten'!A1450="","",ROW()-1)</f>
        <v/>
      </c>
      <c r="B1450" s="27">
        <f>IF('01_Rohdaten'!A1450="","",'01_Rohdaten'!A1450)</f>
        <v/>
      </c>
      <c r="C1450" s="27">
        <f>IF(B1450="","",INDEX('01_Rohdaten'!B1450:D1450,'02_Eingaben'!$C$13))</f>
        <v/>
      </c>
      <c r="D1450" s="27">
        <f>IF(C1450="","",C1450*'02_Eingaben'!$C$15)</f>
        <v/>
      </c>
      <c r="E1450" s="27">
        <f>IF(D1450="","",D1450*'02_Eingaben'!$C$8)</f>
        <v/>
      </c>
      <c r="F1450" s="27">
        <f>IF(E1450="","",AVERAGE(INDEX($E$2:$E$3001,MAX(1,ROW()-1-'02_Eingaben'!$C$17)):INDEX($E$2:$E$3001,MIN('02_Eingaben'!$C$21,ROW()-1+'02_Eingaben'!$C$17))))</f>
        <v/>
      </c>
      <c r="G1450" s="27">
        <f>IF(F1450="","",F1450-'02_Eingaben'!$C$10)</f>
        <v/>
      </c>
      <c r="H1450">
        <f>IF(F1450="","",IF(F1450&lt;'02_Eingaben'!$C$18*'02_Eingaben'!$C$10,1,0))</f>
        <v/>
      </c>
      <c r="I1450" s="27">
        <f>IF(OR(G1450="",G1451=""),"",(G1450+G1451)/2*(B1451-B1450))</f>
        <v/>
      </c>
      <c r="J1450" s="27">
        <f>IF(B1450="","",IF(B1449&lt;'02_Eingaben'!$C$36,0,J1449+I1449/'02_Eingaben'!$C$8))</f>
        <v/>
      </c>
    </row>
    <row r="1451">
      <c r="A1451">
        <f>IF('01_Rohdaten'!A1451="","",ROW()-1)</f>
        <v/>
      </c>
      <c r="B1451" s="27">
        <f>IF('01_Rohdaten'!A1451="","",'01_Rohdaten'!A1451)</f>
        <v/>
      </c>
      <c r="C1451" s="27">
        <f>IF(B1451="","",INDEX('01_Rohdaten'!B1451:D1451,'02_Eingaben'!$C$13))</f>
        <v/>
      </c>
      <c r="D1451" s="27">
        <f>IF(C1451="","",C1451*'02_Eingaben'!$C$15)</f>
        <v/>
      </c>
      <c r="E1451" s="27">
        <f>IF(D1451="","",D1451*'02_Eingaben'!$C$8)</f>
        <v/>
      </c>
      <c r="F1451" s="27">
        <f>IF(E1451="","",AVERAGE(INDEX($E$2:$E$3001,MAX(1,ROW()-1-'02_Eingaben'!$C$17)):INDEX($E$2:$E$3001,MIN('02_Eingaben'!$C$21,ROW()-1+'02_Eingaben'!$C$17))))</f>
        <v/>
      </c>
      <c r="G1451" s="27">
        <f>IF(F1451="","",F1451-'02_Eingaben'!$C$10)</f>
        <v/>
      </c>
      <c r="H1451">
        <f>IF(F1451="","",IF(F1451&lt;'02_Eingaben'!$C$18*'02_Eingaben'!$C$10,1,0))</f>
        <v/>
      </c>
      <c r="I1451" s="27">
        <f>IF(OR(G1451="",G1452=""),"",(G1451+G1452)/2*(B1452-B1451))</f>
        <v/>
      </c>
      <c r="J1451" s="27">
        <f>IF(B1451="","",IF(B1450&lt;'02_Eingaben'!$C$36,0,J1450+I1450/'02_Eingaben'!$C$8))</f>
        <v/>
      </c>
    </row>
    <row r="1452">
      <c r="A1452">
        <f>IF('01_Rohdaten'!A1452="","",ROW()-1)</f>
        <v/>
      </c>
      <c r="B1452" s="27">
        <f>IF('01_Rohdaten'!A1452="","",'01_Rohdaten'!A1452)</f>
        <v/>
      </c>
      <c r="C1452" s="27">
        <f>IF(B1452="","",INDEX('01_Rohdaten'!B1452:D1452,'02_Eingaben'!$C$13))</f>
        <v/>
      </c>
      <c r="D1452" s="27">
        <f>IF(C1452="","",C1452*'02_Eingaben'!$C$15)</f>
        <v/>
      </c>
      <c r="E1452" s="27">
        <f>IF(D1452="","",D1452*'02_Eingaben'!$C$8)</f>
        <v/>
      </c>
      <c r="F1452" s="27">
        <f>IF(E1452="","",AVERAGE(INDEX($E$2:$E$3001,MAX(1,ROW()-1-'02_Eingaben'!$C$17)):INDEX($E$2:$E$3001,MIN('02_Eingaben'!$C$21,ROW()-1+'02_Eingaben'!$C$17))))</f>
        <v/>
      </c>
      <c r="G1452" s="27">
        <f>IF(F1452="","",F1452-'02_Eingaben'!$C$10)</f>
        <v/>
      </c>
      <c r="H1452">
        <f>IF(F1452="","",IF(F1452&lt;'02_Eingaben'!$C$18*'02_Eingaben'!$C$10,1,0))</f>
        <v/>
      </c>
      <c r="I1452" s="27">
        <f>IF(OR(G1452="",G1453=""),"",(G1452+G1453)/2*(B1453-B1452))</f>
        <v/>
      </c>
      <c r="J1452" s="27">
        <f>IF(B1452="","",IF(B1451&lt;'02_Eingaben'!$C$36,0,J1451+I1451/'02_Eingaben'!$C$8))</f>
        <v/>
      </c>
    </row>
    <row r="1453">
      <c r="A1453">
        <f>IF('01_Rohdaten'!A1453="","",ROW()-1)</f>
        <v/>
      </c>
      <c r="B1453" s="27">
        <f>IF('01_Rohdaten'!A1453="","",'01_Rohdaten'!A1453)</f>
        <v/>
      </c>
      <c r="C1453" s="27">
        <f>IF(B1453="","",INDEX('01_Rohdaten'!B1453:D1453,'02_Eingaben'!$C$13))</f>
        <v/>
      </c>
      <c r="D1453" s="27">
        <f>IF(C1453="","",C1453*'02_Eingaben'!$C$15)</f>
        <v/>
      </c>
      <c r="E1453" s="27">
        <f>IF(D1453="","",D1453*'02_Eingaben'!$C$8)</f>
        <v/>
      </c>
      <c r="F1453" s="27">
        <f>IF(E1453="","",AVERAGE(INDEX($E$2:$E$3001,MAX(1,ROW()-1-'02_Eingaben'!$C$17)):INDEX($E$2:$E$3001,MIN('02_Eingaben'!$C$21,ROW()-1+'02_Eingaben'!$C$17))))</f>
        <v/>
      </c>
      <c r="G1453" s="27">
        <f>IF(F1453="","",F1453-'02_Eingaben'!$C$10)</f>
        <v/>
      </c>
      <c r="H1453">
        <f>IF(F1453="","",IF(F1453&lt;'02_Eingaben'!$C$18*'02_Eingaben'!$C$10,1,0))</f>
        <v/>
      </c>
      <c r="I1453" s="27">
        <f>IF(OR(G1453="",G1454=""),"",(G1453+G1454)/2*(B1454-B1453))</f>
        <v/>
      </c>
      <c r="J1453" s="27">
        <f>IF(B1453="","",IF(B1452&lt;'02_Eingaben'!$C$36,0,J1452+I1452/'02_Eingaben'!$C$8))</f>
        <v/>
      </c>
    </row>
    <row r="1454">
      <c r="A1454">
        <f>IF('01_Rohdaten'!A1454="","",ROW()-1)</f>
        <v/>
      </c>
      <c r="B1454" s="27">
        <f>IF('01_Rohdaten'!A1454="","",'01_Rohdaten'!A1454)</f>
        <v/>
      </c>
      <c r="C1454" s="27">
        <f>IF(B1454="","",INDEX('01_Rohdaten'!B1454:D1454,'02_Eingaben'!$C$13))</f>
        <v/>
      </c>
      <c r="D1454" s="27">
        <f>IF(C1454="","",C1454*'02_Eingaben'!$C$15)</f>
        <v/>
      </c>
      <c r="E1454" s="27">
        <f>IF(D1454="","",D1454*'02_Eingaben'!$C$8)</f>
        <v/>
      </c>
      <c r="F1454" s="27">
        <f>IF(E1454="","",AVERAGE(INDEX($E$2:$E$3001,MAX(1,ROW()-1-'02_Eingaben'!$C$17)):INDEX($E$2:$E$3001,MIN('02_Eingaben'!$C$21,ROW()-1+'02_Eingaben'!$C$17))))</f>
        <v/>
      </c>
      <c r="G1454" s="27">
        <f>IF(F1454="","",F1454-'02_Eingaben'!$C$10)</f>
        <v/>
      </c>
      <c r="H1454">
        <f>IF(F1454="","",IF(F1454&lt;'02_Eingaben'!$C$18*'02_Eingaben'!$C$10,1,0))</f>
        <v/>
      </c>
      <c r="I1454" s="27">
        <f>IF(OR(G1454="",G1455=""),"",(G1454+G1455)/2*(B1455-B1454))</f>
        <v/>
      </c>
      <c r="J1454" s="27">
        <f>IF(B1454="","",IF(B1453&lt;'02_Eingaben'!$C$36,0,J1453+I1453/'02_Eingaben'!$C$8))</f>
        <v/>
      </c>
    </row>
    <row r="1455">
      <c r="A1455">
        <f>IF('01_Rohdaten'!A1455="","",ROW()-1)</f>
        <v/>
      </c>
      <c r="B1455" s="27">
        <f>IF('01_Rohdaten'!A1455="","",'01_Rohdaten'!A1455)</f>
        <v/>
      </c>
      <c r="C1455" s="27">
        <f>IF(B1455="","",INDEX('01_Rohdaten'!B1455:D1455,'02_Eingaben'!$C$13))</f>
        <v/>
      </c>
      <c r="D1455" s="27">
        <f>IF(C1455="","",C1455*'02_Eingaben'!$C$15)</f>
        <v/>
      </c>
      <c r="E1455" s="27">
        <f>IF(D1455="","",D1455*'02_Eingaben'!$C$8)</f>
        <v/>
      </c>
      <c r="F1455" s="27">
        <f>IF(E1455="","",AVERAGE(INDEX($E$2:$E$3001,MAX(1,ROW()-1-'02_Eingaben'!$C$17)):INDEX($E$2:$E$3001,MIN('02_Eingaben'!$C$21,ROW()-1+'02_Eingaben'!$C$17))))</f>
        <v/>
      </c>
      <c r="G1455" s="27">
        <f>IF(F1455="","",F1455-'02_Eingaben'!$C$10)</f>
        <v/>
      </c>
      <c r="H1455">
        <f>IF(F1455="","",IF(F1455&lt;'02_Eingaben'!$C$18*'02_Eingaben'!$C$10,1,0))</f>
        <v/>
      </c>
      <c r="I1455" s="27">
        <f>IF(OR(G1455="",G1456=""),"",(G1455+G1456)/2*(B1456-B1455))</f>
        <v/>
      </c>
      <c r="J1455" s="27">
        <f>IF(B1455="","",IF(B1454&lt;'02_Eingaben'!$C$36,0,J1454+I1454/'02_Eingaben'!$C$8))</f>
        <v/>
      </c>
    </row>
    <row r="1456">
      <c r="A1456">
        <f>IF('01_Rohdaten'!A1456="","",ROW()-1)</f>
        <v/>
      </c>
      <c r="B1456" s="27">
        <f>IF('01_Rohdaten'!A1456="","",'01_Rohdaten'!A1456)</f>
        <v/>
      </c>
      <c r="C1456" s="27">
        <f>IF(B1456="","",INDEX('01_Rohdaten'!B1456:D1456,'02_Eingaben'!$C$13))</f>
        <v/>
      </c>
      <c r="D1456" s="27">
        <f>IF(C1456="","",C1456*'02_Eingaben'!$C$15)</f>
        <v/>
      </c>
      <c r="E1456" s="27">
        <f>IF(D1456="","",D1456*'02_Eingaben'!$C$8)</f>
        <v/>
      </c>
      <c r="F1456" s="27">
        <f>IF(E1456="","",AVERAGE(INDEX($E$2:$E$3001,MAX(1,ROW()-1-'02_Eingaben'!$C$17)):INDEX($E$2:$E$3001,MIN('02_Eingaben'!$C$21,ROW()-1+'02_Eingaben'!$C$17))))</f>
        <v/>
      </c>
      <c r="G1456" s="27">
        <f>IF(F1456="","",F1456-'02_Eingaben'!$C$10)</f>
        <v/>
      </c>
      <c r="H1456">
        <f>IF(F1456="","",IF(F1456&lt;'02_Eingaben'!$C$18*'02_Eingaben'!$C$10,1,0))</f>
        <v/>
      </c>
      <c r="I1456" s="27">
        <f>IF(OR(G1456="",G1457=""),"",(G1456+G1457)/2*(B1457-B1456))</f>
        <v/>
      </c>
      <c r="J1456" s="27">
        <f>IF(B1456="","",IF(B1455&lt;'02_Eingaben'!$C$36,0,J1455+I1455/'02_Eingaben'!$C$8))</f>
        <v/>
      </c>
    </row>
    <row r="1457">
      <c r="A1457">
        <f>IF('01_Rohdaten'!A1457="","",ROW()-1)</f>
        <v/>
      </c>
      <c r="B1457" s="27">
        <f>IF('01_Rohdaten'!A1457="","",'01_Rohdaten'!A1457)</f>
        <v/>
      </c>
      <c r="C1457" s="27">
        <f>IF(B1457="","",INDEX('01_Rohdaten'!B1457:D1457,'02_Eingaben'!$C$13))</f>
        <v/>
      </c>
      <c r="D1457" s="27">
        <f>IF(C1457="","",C1457*'02_Eingaben'!$C$15)</f>
        <v/>
      </c>
      <c r="E1457" s="27">
        <f>IF(D1457="","",D1457*'02_Eingaben'!$C$8)</f>
        <v/>
      </c>
      <c r="F1457" s="27">
        <f>IF(E1457="","",AVERAGE(INDEX($E$2:$E$3001,MAX(1,ROW()-1-'02_Eingaben'!$C$17)):INDEX($E$2:$E$3001,MIN('02_Eingaben'!$C$21,ROW()-1+'02_Eingaben'!$C$17))))</f>
        <v/>
      </c>
      <c r="G1457" s="27">
        <f>IF(F1457="","",F1457-'02_Eingaben'!$C$10)</f>
        <v/>
      </c>
      <c r="H1457">
        <f>IF(F1457="","",IF(F1457&lt;'02_Eingaben'!$C$18*'02_Eingaben'!$C$10,1,0))</f>
        <v/>
      </c>
      <c r="I1457" s="27">
        <f>IF(OR(G1457="",G1458=""),"",(G1457+G1458)/2*(B1458-B1457))</f>
        <v/>
      </c>
      <c r="J1457" s="27">
        <f>IF(B1457="","",IF(B1456&lt;'02_Eingaben'!$C$36,0,J1456+I1456/'02_Eingaben'!$C$8))</f>
        <v/>
      </c>
    </row>
    <row r="1458">
      <c r="A1458">
        <f>IF('01_Rohdaten'!A1458="","",ROW()-1)</f>
        <v/>
      </c>
      <c r="B1458" s="27">
        <f>IF('01_Rohdaten'!A1458="","",'01_Rohdaten'!A1458)</f>
        <v/>
      </c>
      <c r="C1458" s="27">
        <f>IF(B1458="","",INDEX('01_Rohdaten'!B1458:D1458,'02_Eingaben'!$C$13))</f>
        <v/>
      </c>
      <c r="D1458" s="27">
        <f>IF(C1458="","",C1458*'02_Eingaben'!$C$15)</f>
        <v/>
      </c>
      <c r="E1458" s="27">
        <f>IF(D1458="","",D1458*'02_Eingaben'!$C$8)</f>
        <v/>
      </c>
      <c r="F1458" s="27">
        <f>IF(E1458="","",AVERAGE(INDEX($E$2:$E$3001,MAX(1,ROW()-1-'02_Eingaben'!$C$17)):INDEX($E$2:$E$3001,MIN('02_Eingaben'!$C$21,ROW()-1+'02_Eingaben'!$C$17))))</f>
        <v/>
      </c>
      <c r="G1458" s="27">
        <f>IF(F1458="","",F1458-'02_Eingaben'!$C$10)</f>
        <v/>
      </c>
      <c r="H1458">
        <f>IF(F1458="","",IF(F1458&lt;'02_Eingaben'!$C$18*'02_Eingaben'!$C$10,1,0))</f>
        <v/>
      </c>
      <c r="I1458" s="27">
        <f>IF(OR(G1458="",G1459=""),"",(G1458+G1459)/2*(B1459-B1458))</f>
        <v/>
      </c>
      <c r="J1458" s="27">
        <f>IF(B1458="","",IF(B1457&lt;'02_Eingaben'!$C$36,0,J1457+I1457/'02_Eingaben'!$C$8))</f>
        <v/>
      </c>
    </row>
    <row r="1459">
      <c r="A1459">
        <f>IF('01_Rohdaten'!A1459="","",ROW()-1)</f>
        <v/>
      </c>
      <c r="B1459" s="27">
        <f>IF('01_Rohdaten'!A1459="","",'01_Rohdaten'!A1459)</f>
        <v/>
      </c>
      <c r="C1459" s="27">
        <f>IF(B1459="","",INDEX('01_Rohdaten'!B1459:D1459,'02_Eingaben'!$C$13))</f>
        <v/>
      </c>
      <c r="D1459" s="27">
        <f>IF(C1459="","",C1459*'02_Eingaben'!$C$15)</f>
        <v/>
      </c>
      <c r="E1459" s="27">
        <f>IF(D1459="","",D1459*'02_Eingaben'!$C$8)</f>
        <v/>
      </c>
      <c r="F1459" s="27">
        <f>IF(E1459="","",AVERAGE(INDEX($E$2:$E$3001,MAX(1,ROW()-1-'02_Eingaben'!$C$17)):INDEX($E$2:$E$3001,MIN('02_Eingaben'!$C$21,ROW()-1+'02_Eingaben'!$C$17))))</f>
        <v/>
      </c>
      <c r="G1459" s="27">
        <f>IF(F1459="","",F1459-'02_Eingaben'!$C$10)</f>
        <v/>
      </c>
      <c r="H1459">
        <f>IF(F1459="","",IF(F1459&lt;'02_Eingaben'!$C$18*'02_Eingaben'!$C$10,1,0))</f>
        <v/>
      </c>
      <c r="I1459" s="27">
        <f>IF(OR(G1459="",G1460=""),"",(G1459+G1460)/2*(B1460-B1459))</f>
        <v/>
      </c>
      <c r="J1459" s="27">
        <f>IF(B1459="","",IF(B1458&lt;'02_Eingaben'!$C$36,0,J1458+I1458/'02_Eingaben'!$C$8))</f>
        <v/>
      </c>
    </row>
    <row r="1460">
      <c r="A1460">
        <f>IF('01_Rohdaten'!A1460="","",ROW()-1)</f>
        <v/>
      </c>
      <c r="B1460" s="27">
        <f>IF('01_Rohdaten'!A1460="","",'01_Rohdaten'!A1460)</f>
        <v/>
      </c>
      <c r="C1460" s="27">
        <f>IF(B1460="","",INDEX('01_Rohdaten'!B1460:D1460,'02_Eingaben'!$C$13))</f>
        <v/>
      </c>
      <c r="D1460" s="27">
        <f>IF(C1460="","",C1460*'02_Eingaben'!$C$15)</f>
        <v/>
      </c>
      <c r="E1460" s="27">
        <f>IF(D1460="","",D1460*'02_Eingaben'!$C$8)</f>
        <v/>
      </c>
      <c r="F1460" s="27">
        <f>IF(E1460="","",AVERAGE(INDEX($E$2:$E$3001,MAX(1,ROW()-1-'02_Eingaben'!$C$17)):INDEX($E$2:$E$3001,MIN('02_Eingaben'!$C$21,ROW()-1+'02_Eingaben'!$C$17))))</f>
        <v/>
      </c>
      <c r="G1460" s="27">
        <f>IF(F1460="","",F1460-'02_Eingaben'!$C$10)</f>
        <v/>
      </c>
      <c r="H1460">
        <f>IF(F1460="","",IF(F1460&lt;'02_Eingaben'!$C$18*'02_Eingaben'!$C$10,1,0))</f>
        <v/>
      </c>
      <c r="I1460" s="27">
        <f>IF(OR(G1460="",G1461=""),"",(G1460+G1461)/2*(B1461-B1460))</f>
        <v/>
      </c>
      <c r="J1460" s="27">
        <f>IF(B1460="","",IF(B1459&lt;'02_Eingaben'!$C$36,0,J1459+I1459/'02_Eingaben'!$C$8))</f>
        <v/>
      </c>
    </row>
    <row r="1461">
      <c r="A1461">
        <f>IF('01_Rohdaten'!A1461="","",ROW()-1)</f>
        <v/>
      </c>
      <c r="B1461" s="27">
        <f>IF('01_Rohdaten'!A1461="","",'01_Rohdaten'!A1461)</f>
        <v/>
      </c>
      <c r="C1461" s="27">
        <f>IF(B1461="","",INDEX('01_Rohdaten'!B1461:D1461,'02_Eingaben'!$C$13))</f>
        <v/>
      </c>
      <c r="D1461" s="27">
        <f>IF(C1461="","",C1461*'02_Eingaben'!$C$15)</f>
        <v/>
      </c>
      <c r="E1461" s="27">
        <f>IF(D1461="","",D1461*'02_Eingaben'!$C$8)</f>
        <v/>
      </c>
      <c r="F1461" s="27">
        <f>IF(E1461="","",AVERAGE(INDEX($E$2:$E$3001,MAX(1,ROW()-1-'02_Eingaben'!$C$17)):INDEX($E$2:$E$3001,MIN('02_Eingaben'!$C$21,ROW()-1+'02_Eingaben'!$C$17))))</f>
        <v/>
      </c>
      <c r="G1461" s="27">
        <f>IF(F1461="","",F1461-'02_Eingaben'!$C$10)</f>
        <v/>
      </c>
      <c r="H1461">
        <f>IF(F1461="","",IF(F1461&lt;'02_Eingaben'!$C$18*'02_Eingaben'!$C$10,1,0))</f>
        <v/>
      </c>
      <c r="I1461" s="27">
        <f>IF(OR(G1461="",G1462=""),"",(G1461+G1462)/2*(B1462-B1461))</f>
        <v/>
      </c>
      <c r="J1461" s="27">
        <f>IF(B1461="","",IF(B1460&lt;'02_Eingaben'!$C$36,0,J1460+I1460/'02_Eingaben'!$C$8))</f>
        <v/>
      </c>
    </row>
    <row r="1462">
      <c r="A1462">
        <f>IF('01_Rohdaten'!A1462="","",ROW()-1)</f>
        <v/>
      </c>
      <c r="B1462" s="27">
        <f>IF('01_Rohdaten'!A1462="","",'01_Rohdaten'!A1462)</f>
        <v/>
      </c>
      <c r="C1462" s="27">
        <f>IF(B1462="","",INDEX('01_Rohdaten'!B1462:D1462,'02_Eingaben'!$C$13))</f>
        <v/>
      </c>
      <c r="D1462" s="27">
        <f>IF(C1462="","",C1462*'02_Eingaben'!$C$15)</f>
        <v/>
      </c>
      <c r="E1462" s="27">
        <f>IF(D1462="","",D1462*'02_Eingaben'!$C$8)</f>
        <v/>
      </c>
      <c r="F1462" s="27">
        <f>IF(E1462="","",AVERAGE(INDEX($E$2:$E$3001,MAX(1,ROW()-1-'02_Eingaben'!$C$17)):INDEX($E$2:$E$3001,MIN('02_Eingaben'!$C$21,ROW()-1+'02_Eingaben'!$C$17))))</f>
        <v/>
      </c>
      <c r="G1462" s="27">
        <f>IF(F1462="","",F1462-'02_Eingaben'!$C$10)</f>
        <v/>
      </c>
      <c r="H1462">
        <f>IF(F1462="","",IF(F1462&lt;'02_Eingaben'!$C$18*'02_Eingaben'!$C$10,1,0))</f>
        <v/>
      </c>
      <c r="I1462" s="27">
        <f>IF(OR(G1462="",G1463=""),"",(G1462+G1463)/2*(B1463-B1462))</f>
        <v/>
      </c>
      <c r="J1462" s="27">
        <f>IF(B1462="","",IF(B1461&lt;'02_Eingaben'!$C$36,0,J1461+I1461/'02_Eingaben'!$C$8))</f>
        <v/>
      </c>
    </row>
    <row r="1463">
      <c r="A1463">
        <f>IF('01_Rohdaten'!A1463="","",ROW()-1)</f>
        <v/>
      </c>
      <c r="B1463" s="27">
        <f>IF('01_Rohdaten'!A1463="","",'01_Rohdaten'!A1463)</f>
        <v/>
      </c>
      <c r="C1463" s="27">
        <f>IF(B1463="","",INDEX('01_Rohdaten'!B1463:D1463,'02_Eingaben'!$C$13))</f>
        <v/>
      </c>
      <c r="D1463" s="27">
        <f>IF(C1463="","",C1463*'02_Eingaben'!$C$15)</f>
        <v/>
      </c>
      <c r="E1463" s="27">
        <f>IF(D1463="","",D1463*'02_Eingaben'!$C$8)</f>
        <v/>
      </c>
      <c r="F1463" s="27">
        <f>IF(E1463="","",AVERAGE(INDEX($E$2:$E$3001,MAX(1,ROW()-1-'02_Eingaben'!$C$17)):INDEX($E$2:$E$3001,MIN('02_Eingaben'!$C$21,ROW()-1+'02_Eingaben'!$C$17))))</f>
        <v/>
      </c>
      <c r="G1463" s="27">
        <f>IF(F1463="","",F1463-'02_Eingaben'!$C$10)</f>
        <v/>
      </c>
      <c r="H1463">
        <f>IF(F1463="","",IF(F1463&lt;'02_Eingaben'!$C$18*'02_Eingaben'!$C$10,1,0))</f>
        <v/>
      </c>
      <c r="I1463" s="27">
        <f>IF(OR(G1463="",G1464=""),"",(G1463+G1464)/2*(B1464-B1463))</f>
        <v/>
      </c>
      <c r="J1463" s="27">
        <f>IF(B1463="","",IF(B1462&lt;'02_Eingaben'!$C$36,0,J1462+I1462/'02_Eingaben'!$C$8))</f>
        <v/>
      </c>
    </row>
    <row r="1464">
      <c r="A1464">
        <f>IF('01_Rohdaten'!A1464="","",ROW()-1)</f>
        <v/>
      </c>
      <c r="B1464" s="27">
        <f>IF('01_Rohdaten'!A1464="","",'01_Rohdaten'!A1464)</f>
        <v/>
      </c>
      <c r="C1464" s="27">
        <f>IF(B1464="","",INDEX('01_Rohdaten'!B1464:D1464,'02_Eingaben'!$C$13))</f>
        <v/>
      </c>
      <c r="D1464" s="27">
        <f>IF(C1464="","",C1464*'02_Eingaben'!$C$15)</f>
        <v/>
      </c>
      <c r="E1464" s="27">
        <f>IF(D1464="","",D1464*'02_Eingaben'!$C$8)</f>
        <v/>
      </c>
      <c r="F1464" s="27">
        <f>IF(E1464="","",AVERAGE(INDEX($E$2:$E$3001,MAX(1,ROW()-1-'02_Eingaben'!$C$17)):INDEX($E$2:$E$3001,MIN('02_Eingaben'!$C$21,ROW()-1+'02_Eingaben'!$C$17))))</f>
        <v/>
      </c>
      <c r="G1464" s="27">
        <f>IF(F1464="","",F1464-'02_Eingaben'!$C$10)</f>
        <v/>
      </c>
      <c r="H1464">
        <f>IF(F1464="","",IF(F1464&lt;'02_Eingaben'!$C$18*'02_Eingaben'!$C$10,1,0))</f>
        <v/>
      </c>
      <c r="I1464" s="27">
        <f>IF(OR(G1464="",G1465=""),"",(G1464+G1465)/2*(B1465-B1464))</f>
        <v/>
      </c>
      <c r="J1464" s="27">
        <f>IF(B1464="","",IF(B1463&lt;'02_Eingaben'!$C$36,0,J1463+I1463/'02_Eingaben'!$C$8))</f>
        <v/>
      </c>
    </row>
    <row r="1465">
      <c r="A1465">
        <f>IF('01_Rohdaten'!A1465="","",ROW()-1)</f>
        <v/>
      </c>
      <c r="B1465" s="27">
        <f>IF('01_Rohdaten'!A1465="","",'01_Rohdaten'!A1465)</f>
        <v/>
      </c>
      <c r="C1465" s="27">
        <f>IF(B1465="","",INDEX('01_Rohdaten'!B1465:D1465,'02_Eingaben'!$C$13))</f>
        <v/>
      </c>
      <c r="D1465" s="27">
        <f>IF(C1465="","",C1465*'02_Eingaben'!$C$15)</f>
        <v/>
      </c>
      <c r="E1465" s="27">
        <f>IF(D1465="","",D1465*'02_Eingaben'!$C$8)</f>
        <v/>
      </c>
      <c r="F1465" s="27">
        <f>IF(E1465="","",AVERAGE(INDEX($E$2:$E$3001,MAX(1,ROW()-1-'02_Eingaben'!$C$17)):INDEX($E$2:$E$3001,MIN('02_Eingaben'!$C$21,ROW()-1+'02_Eingaben'!$C$17))))</f>
        <v/>
      </c>
      <c r="G1465" s="27">
        <f>IF(F1465="","",F1465-'02_Eingaben'!$C$10)</f>
        <v/>
      </c>
      <c r="H1465">
        <f>IF(F1465="","",IF(F1465&lt;'02_Eingaben'!$C$18*'02_Eingaben'!$C$10,1,0))</f>
        <v/>
      </c>
      <c r="I1465" s="27">
        <f>IF(OR(G1465="",G1466=""),"",(G1465+G1466)/2*(B1466-B1465))</f>
        <v/>
      </c>
      <c r="J1465" s="27">
        <f>IF(B1465="","",IF(B1464&lt;'02_Eingaben'!$C$36,0,J1464+I1464/'02_Eingaben'!$C$8))</f>
        <v/>
      </c>
    </row>
    <row r="1466">
      <c r="A1466">
        <f>IF('01_Rohdaten'!A1466="","",ROW()-1)</f>
        <v/>
      </c>
      <c r="B1466" s="27">
        <f>IF('01_Rohdaten'!A1466="","",'01_Rohdaten'!A1466)</f>
        <v/>
      </c>
      <c r="C1466" s="27">
        <f>IF(B1466="","",INDEX('01_Rohdaten'!B1466:D1466,'02_Eingaben'!$C$13))</f>
        <v/>
      </c>
      <c r="D1466" s="27">
        <f>IF(C1466="","",C1466*'02_Eingaben'!$C$15)</f>
        <v/>
      </c>
      <c r="E1466" s="27">
        <f>IF(D1466="","",D1466*'02_Eingaben'!$C$8)</f>
        <v/>
      </c>
      <c r="F1466" s="27">
        <f>IF(E1466="","",AVERAGE(INDEX($E$2:$E$3001,MAX(1,ROW()-1-'02_Eingaben'!$C$17)):INDEX($E$2:$E$3001,MIN('02_Eingaben'!$C$21,ROW()-1+'02_Eingaben'!$C$17))))</f>
        <v/>
      </c>
      <c r="G1466" s="27">
        <f>IF(F1466="","",F1466-'02_Eingaben'!$C$10)</f>
        <v/>
      </c>
      <c r="H1466">
        <f>IF(F1466="","",IF(F1466&lt;'02_Eingaben'!$C$18*'02_Eingaben'!$C$10,1,0))</f>
        <v/>
      </c>
      <c r="I1466" s="27">
        <f>IF(OR(G1466="",G1467=""),"",(G1466+G1467)/2*(B1467-B1466))</f>
        <v/>
      </c>
      <c r="J1466" s="27">
        <f>IF(B1466="","",IF(B1465&lt;'02_Eingaben'!$C$36,0,J1465+I1465/'02_Eingaben'!$C$8))</f>
        <v/>
      </c>
    </row>
    <row r="1467">
      <c r="A1467">
        <f>IF('01_Rohdaten'!A1467="","",ROW()-1)</f>
        <v/>
      </c>
      <c r="B1467" s="27">
        <f>IF('01_Rohdaten'!A1467="","",'01_Rohdaten'!A1467)</f>
        <v/>
      </c>
      <c r="C1467" s="27">
        <f>IF(B1467="","",INDEX('01_Rohdaten'!B1467:D1467,'02_Eingaben'!$C$13))</f>
        <v/>
      </c>
      <c r="D1467" s="27">
        <f>IF(C1467="","",C1467*'02_Eingaben'!$C$15)</f>
        <v/>
      </c>
      <c r="E1467" s="27">
        <f>IF(D1467="","",D1467*'02_Eingaben'!$C$8)</f>
        <v/>
      </c>
      <c r="F1467" s="27">
        <f>IF(E1467="","",AVERAGE(INDEX($E$2:$E$3001,MAX(1,ROW()-1-'02_Eingaben'!$C$17)):INDEX($E$2:$E$3001,MIN('02_Eingaben'!$C$21,ROW()-1+'02_Eingaben'!$C$17))))</f>
        <v/>
      </c>
      <c r="G1467" s="27">
        <f>IF(F1467="","",F1467-'02_Eingaben'!$C$10)</f>
        <v/>
      </c>
      <c r="H1467">
        <f>IF(F1467="","",IF(F1467&lt;'02_Eingaben'!$C$18*'02_Eingaben'!$C$10,1,0))</f>
        <v/>
      </c>
      <c r="I1467" s="27">
        <f>IF(OR(G1467="",G1468=""),"",(G1467+G1468)/2*(B1468-B1467))</f>
        <v/>
      </c>
      <c r="J1467" s="27">
        <f>IF(B1467="","",IF(B1466&lt;'02_Eingaben'!$C$36,0,J1466+I1466/'02_Eingaben'!$C$8))</f>
        <v/>
      </c>
    </row>
    <row r="1468">
      <c r="A1468">
        <f>IF('01_Rohdaten'!A1468="","",ROW()-1)</f>
        <v/>
      </c>
      <c r="B1468" s="27">
        <f>IF('01_Rohdaten'!A1468="","",'01_Rohdaten'!A1468)</f>
        <v/>
      </c>
      <c r="C1468" s="27">
        <f>IF(B1468="","",INDEX('01_Rohdaten'!B1468:D1468,'02_Eingaben'!$C$13))</f>
        <v/>
      </c>
      <c r="D1468" s="27">
        <f>IF(C1468="","",C1468*'02_Eingaben'!$C$15)</f>
        <v/>
      </c>
      <c r="E1468" s="27">
        <f>IF(D1468="","",D1468*'02_Eingaben'!$C$8)</f>
        <v/>
      </c>
      <c r="F1468" s="27">
        <f>IF(E1468="","",AVERAGE(INDEX($E$2:$E$3001,MAX(1,ROW()-1-'02_Eingaben'!$C$17)):INDEX($E$2:$E$3001,MIN('02_Eingaben'!$C$21,ROW()-1+'02_Eingaben'!$C$17))))</f>
        <v/>
      </c>
      <c r="G1468" s="27">
        <f>IF(F1468="","",F1468-'02_Eingaben'!$C$10)</f>
        <v/>
      </c>
      <c r="H1468">
        <f>IF(F1468="","",IF(F1468&lt;'02_Eingaben'!$C$18*'02_Eingaben'!$C$10,1,0))</f>
        <v/>
      </c>
      <c r="I1468" s="27">
        <f>IF(OR(G1468="",G1469=""),"",(G1468+G1469)/2*(B1469-B1468))</f>
        <v/>
      </c>
      <c r="J1468" s="27">
        <f>IF(B1468="","",IF(B1467&lt;'02_Eingaben'!$C$36,0,J1467+I1467/'02_Eingaben'!$C$8))</f>
        <v/>
      </c>
    </row>
    <row r="1469">
      <c r="A1469">
        <f>IF('01_Rohdaten'!A1469="","",ROW()-1)</f>
        <v/>
      </c>
      <c r="B1469" s="27">
        <f>IF('01_Rohdaten'!A1469="","",'01_Rohdaten'!A1469)</f>
        <v/>
      </c>
      <c r="C1469" s="27">
        <f>IF(B1469="","",INDEX('01_Rohdaten'!B1469:D1469,'02_Eingaben'!$C$13))</f>
        <v/>
      </c>
      <c r="D1469" s="27">
        <f>IF(C1469="","",C1469*'02_Eingaben'!$C$15)</f>
        <v/>
      </c>
      <c r="E1469" s="27">
        <f>IF(D1469="","",D1469*'02_Eingaben'!$C$8)</f>
        <v/>
      </c>
      <c r="F1469" s="27">
        <f>IF(E1469="","",AVERAGE(INDEX($E$2:$E$3001,MAX(1,ROW()-1-'02_Eingaben'!$C$17)):INDEX($E$2:$E$3001,MIN('02_Eingaben'!$C$21,ROW()-1+'02_Eingaben'!$C$17))))</f>
        <v/>
      </c>
      <c r="G1469" s="27">
        <f>IF(F1469="","",F1469-'02_Eingaben'!$C$10)</f>
        <v/>
      </c>
      <c r="H1469">
        <f>IF(F1469="","",IF(F1469&lt;'02_Eingaben'!$C$18*'02_Eingaben'!$C$10,1,0))</f>
        <v/>
      </c>
      <c r="I1469" s="27">
        <f>IF(OR(G1469="",G1470=""),"",(G1469+G1470)/2*(B1470-B1469))</f>
        <v/>
      </c>
      <c r="J1469" s="27">
        <f>IF(B1469="","",IF(B1468&lt;'02_Eingaben'!$C$36,0,J1468+I1468/'02_Eingaben'!$C$8))</f>
        <v/>
      </c>
    </row>
    <row r="1470">
      <c r="A1470">
        <f>IF('01_Rohdaten'!A1470="","",ROW()-1)</f>
        <v/>
      </c>
      <c r="B1470" s="27">
        <f>IF('01_Rohdaten'!A1470="","",'01_Rohdaten'!A1470)</f>
        <v/>
      </c>
      <c r="C1470" s="27">
        <f>IF(B1470="","",INDEX('01_Rohdaten'!B1470:D1470,'02_Eingaben'!$C$13))</f>
        <v/>
      </c>
      <c r="D1470" s="27">
        <f>IF(C1470="","",C1470*'02_Eingaben'!$C$15)</f>
        <v/>
      </c>
      <c r="E1470" s="27">
        <f>IF(D1470="","",D1470*'02_Eingaben'!$C$8)</f>
        <v/>
      </c>
      <c r="F1470" s="27">
        <f>IF(E1470="","",AVERAGE(INDEX($E$2:$E$3001,MAX(1,ROW()-1-'02_Eingaben'!$C$17)):INDEX($E$2:$E$3001,MIN('02_Eingaben'!$C$21,ROW()-1+'02_Eingaben'!$C$17))))</f>
        <v/>
      </c>
      <c r="G1470" s="27">
        <f>IF(F1470="","",F1470-'02_Eingaben'!$C$10)</f>
        <v/>
      </c>
      <c r="H1470">
        <f>IF(F1470="","",IF(F1470&lt;'02_Eingaben'!$C$18*'02_Eingaben'!$C$10,1,0))</f>
        <v/>
      </c>
      <c r="I1470" s="27">
        <f>IF(OR(G1470="",G1471=""),"",(G1470+G1471)/2*(B1471-B1470))</f>
        <v/>
      </c>
      <c r="J1470" s="27">
        <f>IF(B1470="","",IF(B1469&lt;'02_Eingaben'!$C$36,0,J1469+I1469/'02_Eingaben'!$C$8))</f>
        <v/>
      </c>
    </row>
    <row r="1471">
      <c r="A1471">
        <f>IF('01_Rohdaten'!A1471="","",ROW()-1)</f>
        <v/>
      </c>
      <c r="B1471" s="27">
        <f>IF('01_Rohdaten'!A1471="","",'01_Rohdaten'!A1471)</f>
        <v/>
      </c>
      <c r="C1471" s="27">
        <f>IF(B1471="","",INDEX('01_Rohdaten'!B1471:D1471,'02_Eingaben'!$C$13))</f>
        <v/>
      </c>
      <c r="D1471" s="27">
        <f>IF(C1471="","",C1471*'02_Eingaben'!$C$15)</f>
        <v/>
      </c>
      <c r="E1471" s="27">
        <f>IF(D1471="","",D1471*'02_Eingaben'!$C$8)</f>
        <v/>
      </c>
      <c r="F1471" s="27">
        <f>IF(E1471="","",AVERAGE(INDEX($E$2:$E$3001,MAX(1,ROW()-1-'02_Eingaben'!$C$17)):INDEX($E$2:$E$3001,MIN('02_Eingaben'!$C$21,ROW()-1+'02_Eingaben'!$C$17))))</f>
        <v/>
      </c>
      <c r="G1471" s="27">
        <f>IF(F1471="","",F1471-'02_Eingaben'!$C$10)</f>
        <v/>
      </c>
      <c r="H1471">
        <f>IF(F1471="","",IF(F1471&lt;'02_Eingaben'!$C$18*'02_Eingaben'!$C$10,1,0))</f>
        <v/>
      </c>
      <c r="I1471" s="27">
        <f>IF(OR(G1471="",G1472=""),"",(G1471+G1472)/2*(B1472-B1471))</f>
        <v/>
      </c>
      <c r="J1471" s="27">
        <f>IF(B1471="","",IF(B1470&lt;'02_Eingaben'!$C$36,0,J1470+I1470/'02_Eingaben'!$C$8))</f>
        <v/>
      </c>
    </row>
    <row r="1472">
      <c r="A1472">
        <f>IF('01_Rohdaten'!A1472="","",ROW()-1)</f>
        <v/>
      </c>
      <c r="B1472" s="27">
        <f>IF('01_Rohdaten'!A1472="","",'01_Rohdaten'!A1472)</f>
        <v/>
      </c>
      <c r="C1472" s="27">
        <f>IF(B1472="","",INDEX('01_Rohdaten'!B1472:D1472,'02_Eingaben'!$C$13))</f>
        <v/>
      </c>
      <c r="D1472" s="27">
        <f>IF(C1472="","",C1472*'02_Eingaben'!$C$15)</f>
        <v/>
      </c>
      <c r="E1472" s="27">
        <f>IF(D1472="","",D1472*'02_Eingaben'!$C$8)</f>
        <v/>
      </c>
      <c r="F1472" s="27">
        <f>IF(E1472="","",AVERAGE(INDEX($E$2:$E$3001,MAX(1,ROW()-1-'02_Eingaben'!$C$17)):INDEX($E$2:$E$3001,MIN('02_Eingaben'!$C$21,ROW()-1+'02_Eingaben'!$C$17))))</f>
        <v/>
      </c>
      <c r="G1472" s="27">
        <f>IF(F1472="","",F1472-'02_Eingaben'!$C$10)</f>
        <v/>
      </c>
      <c r="H1472">
        <f>IF(F1472="","",IF(F1472&lt;'02_Eingaben'!$C$18*'02_Eingaben'!$C$10,1,0))</f>
        <v/>
      </c>
      <c r="I1472" s="27">
        <f>IF(OR(G1472="",G1473=""),"",(G1472+G1473)/2*(B1473-B1472))</f>
        <v/>
      </c>
      <c r="J1472" s="27">
        <f>IF(B1472="","",IF(B1471&lt;'02_Eingaben'!$C$36,0,J1471+I1471/'02_Eingaben'!$C$8))</f>
        <v/>
      </c>
    </row>
    <row r="1473">
      <c r="A1473">
        <f>IF('01_Rohdaten'!A1473="","",ROW()-1)</f>
        <v/>
      </c>
      <c r="B1473" s="27">
        <f>IF('01_Rohdaten'!A1473="","",'01_Rohdaten'!A1473)</f>
        <v/>
      </c>
      <c r="C1473" s="27">
        <f>IF(B1473="","",INDEX('01_Rohdaten'!B1473:D1473,'02_Eingaben'!$C$13))</f>
        <v/>
      </c>
      <c r="D1473" s="27">
        <f>IF(C1473="","",C1473*'02_Eingaben'!$C$15)</f>
        <v/>
      </c>
      <c r="E1473" s="27">
        <f>IF(D1473="","",D1473*'02_Eingaben'!$C$8)</f>
        <v/>
      </c>
      <c r="F1473" s="27">
        <f>IF(E1473="","",AVERAGE(INDEX($E$2:$E$3001,MAX(1,ROW()-1-'02_Eingaben'!$C$17)):INDEX($E$2:$E$3001,MIN('02_Eingaben'!$C$21,ROW()-1+'02_Eingaben'!$C$17))))</f>
        <v/>
      </c>
      <c r="G1473" s="27">
        <f>IF(F1473="","",F1473-'02_Eingaben'!$C$10)</f>
        <v/>
      </c>
      <c r="H1473">
        <f>IF(F1473="","",IF(F1473&lt;'02_Eingaben'!$C$18*'02_Eingaben'!$C$10,1,0))</f>
        <v/>
      </c>
      <c r="I1473" s="27">
        <f>IF(OR(G1473="",G1474=""),"",(G1473+G1474)/2*(B1474-B1473))</f>
        <v/>
      </c>
      <c r="J1473" s="27">
        <f>IF(B1473="","",IF(B1472&lt;'02_Eingaben'!$C$36,0,J1472+I1472/'02_Eingaben'!$C$8))</f>
        <v/>
      </c>
    </row>
    <row r="1474">
      <c r="A1474">
        <f>IF('01_Rohdaten'!A1474="","",ROW()-1)</f>
        <v/>
      </c>
      <c r="B1474" s="27">
        <f>IF('01_Rohdaten'!A1474="","",'01_Rohdaten'!A1474)</f>
        <v/>
      </c>
      <c r="C1474" s="27">
        <f>IF(B1474="","",INDEX('01_Rohdaten'!B1474:D1474,'02_Eingaben'!$C$13))</f>
        <v/>
      </c>
      <c r="D1474" s="27">
        <f>IF(C1474="","",C1474*'02_Eingaben'!$C$15)</f>
        <v/>
      </c>
      <c r="E1474" s="27">
        <f>IF(D1474="","",D1474*'02_Eingaben'!$C$8)</f>
        <v/>
      </c>
      <c r="F1474" s="27">
        <f>IF(E1474="","",AVERAGE(INDEX($E$2:$E$3001,MAX(1,ROW()-1-'02_Eingaben'!$C$17)):INDEX($E$2:$E$3001,MIN('02_Eingaben'!$C$21,ROW()-1+'02_Eingaben'!$C$17))))</f>
        <v/>
      </c>
      <c r="G1474" s="27">
        <f>IF(F1474="","",F1474-'02_Eingaben'!$C$10)</f>
        <v/>
      </c>
      <c r="H1474">
        <f>IF(F1474="","",IF(F1474&lt;'02_Eingaben'!$C$18*'02_Eingaben'!$C$10,1,0))</f>
        <v/>
      </c>
      <c r="I1474" s="27">
        <f>IF(OR(G1474="",G1475=""),"",(G1474+G1475)/2*(B1475-B1474))</f>
        <v/>
      </c>
      <c r="J1474" s="27">
        <f>IF(B1474="","",IF(B1473&lt;'02_Eingaben'!$C$36,0,J1473+I1473/'02_Eingaben'!$C$8))</f>
        <v/>
      </c>
    </row>
    <row r="1475">
      <c r="A1475">
        <f>IF('01_Rohdaten'!A1475="","",ROW()-1)</f>
        <v/>
      </c>
      <c r="B1475" s="27">
        <f>IF('01_Rohdaten'!A1475="","",'01_Rohdaten'!A1475)</f>
        <v/>
      </c>
      <c r="C1475" s="27">
        <f>IF(B1475="","",INDEX('01_Rohdaten'!B1475:D1475,'02_Eingaben'!$C$13))</f>
        <v/>
      </c>
      <c r="D1475" s="27">
        <f>IF(C1475="","",C1475*'02_Eingaben'!$C$15)</f>
        <v/>
      </c>
      <c r="E1475" s="27">
        <f>IF(D1475="","",D1475*'02_Eingaben'!$C$8)</f>
        <v/>
      </c>
      <c r="F1475" s="27">
        <f>IF(E1475="","",AVERAGE(INDEX($E$2:$E$3001,MAX(1,ROW()-1-'02_Eingaben'!$C$17)):INDEX($E$2:$E$3001,MIN('02_Eingaben'!$C$21,ROW()-1+'02_Eingaben'!$C$17))))</f>
        <v/>
      </c>
      <c r="G1475" s="27">
        <f>IF(F1475="","",F1475-'02_Eingaben'!$C$10)</f>
        <v/>
      </c>
      <c r="H1475">
        <f>IF(F1475="","",IF(F1475&lt;'02_Eingaben'!$C$18*'02_Eingaben'!$C$10,1,0))</f>
        <v/>
      </c>
      <c r="I1475" s="27">
        <f>IF(OR(G1475="",G1476=""),"",(G1475+G1476)/2*(B1476-B1475))</f>
        <v/>
      </c>
      <c r="J1475" s="27">
        <f>IF(B1475="","",IF(B1474&lt;'02_Eingaben'!$C$36,0,J1474+I1474/'02_Eingaben'!$C$8))</f>
        <v/>
      </c>
    </row>
    <row r="1476">
      <c r="A1476">
        <f>IF('01_Rohdaten'!A1476="","",ROW()-1)</f>
        <v/>
      </c>
      <c r="B1476" s="27">
        <f>IF('01_Rohdaten'!A1476="","",'01_Rohdaten'!A1476)</f>
        <v/>
      </c>
      <c r="C1476" s="27">
        <f>IF(B1476="","",INDEX('01_Rohdaten'!B1476:D1476,'02_Eingaben'!$C$13))</f>
        <v/>
      </c>
      <c r="D1476" s="27">
        <f>IF(C1476="","",C1476*'02_Eingaben'!$C$15)</f>
        <v/>
      </c>
      <c r="E1476" s="27">
        <f>IF(D1476="","",D1476*'02_Eingaben'!$C$8)</f>
        <v/>
      </c>
      <c r="F1476" s="27">
        <f>IF(E1476="","",AVERAGE(INDEX($E$2:$E$3001,MAX(1,ROW()-1-'02_Eingaben'!$C$17)):INDEX($E$2:$E$3001,MIN('02_Eingaben'!$C$21,ROW()-1+'02_Eingaben'!$C$17))))</f>
        <v/>
      </c>
      <c r="G1476" s="27">
        <f>IF(F1476="","",F1476-'02_Eingaben'!$C$10)</f>
        <v/>
      </c>
      <c r="H1476">
        <f>IF(F1476="","",IF(F1476&lt;'02_Eingaben'!$C$18*'02_Eingaben'!$C$10,1,0))</f>
        <v/>
      </c>
      <c r="I1476" s="27">
        <f>IF(OR(G1476="",G1477=""),"",(G1476+G1477)/2*(B1477-B1476))</f>
        <v/>
      </c>
      <c r="J1476" s="27">
        <f>IF(B1476="","",IF(B1475&lt;'02_Eingaben'!$C$36,0,J1475+I1475/'02_Eingaben'!$C$8))</f>
        <v/>
      </c>
    </row>
    <row r="1477">
      <c r="A1477">
        <f>IF('01_Rohdaten'!A1477="","",ROW()-1)</f>
        <v/>
      </c>
      <c r="B1477" s="27">
        <f>IF('01_Rohdaten'!A1477="","",'01_Rohdaten'!A1477)</f>
        <v/>
      </c>
      <c r="C1477" s="27">
        <f>IF(B1477="","",INDEX('01_Rohdaten'!B1477:D1477,'02_Eingaben'!$C$13))</f>
        <v/>
      </c>
      <c r="D1477" s="27">
        <f>IF(C1477="","",C1477*'02_Eingaben'!$C$15)</f>
        <v/>
      </c>
      <c r="E1477" s="27">
        <f>IF(D1477="","",D1477*'02_Eingaben'!$C$8)</f>
        <v/>
      </c>
      <c r="F1477" s="27">
        <f>IF(E1477="","",AVERAGE(INDEX($E$2:$E$3001,MAX(1,ROW()-1-'02_Eingaben'!$C$17)):INDEX($E$2:$E$3001,MIN('02_Eingaben'!$C$21,ROW()-1+'02_Eingaben'!$C$17))))</f>
        <v/>
      </c>
      <c r="G1477" s="27">
        <f>IF(F1477="","",F1477-'02_Eingaben'!$C$10)</f>
        <v/>
      </c>
      <c r="H1477">
        <f>IF(F1477="","",IF(F1477&lt;'02_Eingaben'!$C$18*'02_Eingaben'!$C$10,1,0))</f>
        <v/>
      </c>
      <c r="I1477" s="27">
        <f>IF(OR(G1477="",G1478=""),"",(G1477+G1478)/2*(B1478-B1477))</f>
        <v/>
      </c>
      <c r="J1477" s="27">
        <f>IF(B1477="","",IF(B1476&lt;'02_Eingaben'!$C$36,0,J1476+I1476/'02_Eingaben'!$C$8))</f>
        <v/>
      </c>
    </row>
    <row r="1478">
      <c r="A1478">
        <f>IF('01_Rohdaten'!A1478="","",ROW()-1)</f>
        <v/>
      </c>
      <c r="B1478" s="27">
        <f>IF('01_Rohdaten'!A1478="","",'01_Rohdaten'!A1478)</f>
        <v/>
      </c>
      <c r="C1478" s="27">
        <f>IF(B1478="","",INDEX('01_Rohdaten'!B1478:D1478,'02_Eingaben'!$C$13))</f>
        <v/>
      </c>
      <c r="D1478" s="27">
        <f>IF(C1478="","",C1478*'02_Eingaben'!$C$15)</f>
        <v/>
      </c>
      <c r="E1478" s="27">
        <f>IF(D1478="","",D1478*'02_Eingaben'!$C$8)</f>
        <v/>
      </c>
      <c r="F1478" s="27">
        <f>IF(E1478="","",AVERAGE(INDEX($E$2:$E$3001,MAX(1,ROW()-1-'02_Eingaben'!$C$17)):INDEX($E$2:$E$3001,MIN('02_Eingaben'!$C$21,ROW()-1+'02_Eingaben'!$C$17))))</f>
        <v/>
      </c>
      <c r="G1478" s="27">
        <f>IF(F1478="","",F1478-'02_Eingaben'!$C$10)</f>
        <v/>
      </c>
      <c r="H1478">
        <f>IF(F1478="","",IF(F1478&lt;'02_Eingaben'!$C$18*'02_Eingaben'!$C$10,1,0))</f>
        <v/>
      </c>
      <c r="I1478" s="27">
        <f>IF(OR(G1478="",G1479=""),"",(G1478+G1479)/2*(B1479-B1478))</f>
        <v/>
      </c>
      <c r="J1478" s="27">
        <f>IF(B1478="","",IF(B1477&lt;'02_Eingaben'!$C$36,0,J1477+I1477/'02_Eingaben'!$C$8))</f>
        <v/>
      </c>
    </row>
    <row r="1479">
      <c r="A1479">
        <f>IF('01_Rohdaten'!A1479="","",ROW()-1)</f>
        <v/>
      </c>
      <c r="B1479" s="27">
        <f>IF('01_Rohdaten'!A1479="","",'01_Rohdaten'!A1479)</f>
        <v/>
      </c>
      <c r="C1479" s="27">
        <f>IF(B1479="","",INDEX('01_Rohdaten'!B1479:D1479,'02_Eingaben'!$C$13))</f>
        <v/>
      </c>
      <c r="D1479" s="27">
        <f>IF(C1479="","",C1479*'02_Eingaben'!$C$15)</f>
        <v/>
      </c>
      <c r="E1479" s="27">
        <f>IF(D1479="","",D1479*'02_Eingaben'!$C$8)</f>
        <v/>
      </c>
      <c r="F1479" s="27">
        <f>IF(E1479="","",AVERAGE(INDEX($E$2:$E$3001,MAX(1,ROW()-1-'02_Eingaben'!$C$17)):INDEX($E$2:$E$3001,MIN('02_Eingaben'!$C$21,ROW()-1+'02_Eingaben'!$C$17))))</f>
        <v/>
      </c>
      <c r="G1479" s="27">
        <f>IF(F1479="","",F1479-'02_Eingaben'!$C$10)</f>
        <v/>
      </c>
      <c r="H1479">
        <f>IF(F1479="","",IF(F1479&lt;'02_Eingaben'!$C$18*'02_Eingaben'!$C$10,1,0))</f>
        <v/>
      </c>
      <c r="I1479" s="27">
        <f>IF(OR(G1479="",G1480=""),"",(G1479+G1480)/2*(B1480-B1479))</f>
        <v/>
      </c>
      <c r="J1479" s="27">
        <f>IF(B1479="","",IF(B1478&lt;'02_Eingaben'!$C$36,0,J1478+I1478/'02_Eingaben'!$C$8))</f>
        <v/>
      </c>
    </row>
    <row r="1480">
      <c r="A1480">
        <f>IF('01_Rohdaten'!A1480="","",ROW()-1)</f>
        <v/>
      </c>
      <c r="B1480" s="27">
        <f>IF('01_Rohdaten'!A1480="","",'01_Rohdaten'!A1480)</f>
        <v/>
      </c>
      <c r="C1480" s="27">
        <f>IF(B1480="","",INDEX('01_Rohdaten'!B1480:D1480,'02_Eingaben'!$C$13))</f>
        <v/>
      </c>
      <c r="D1480" s="27">
        <f>IF(C1480="","",C1480*'02_Eingaben'!$C$15)</f>
        <v/>
      </c>
      <c r="E1480" s="27">
        <f>IF(D1480="","",D1480*'02_Eingaben'!$C$8)</f>
        <v/>
      </c>
      <c r="F1480" s="27">
        <f>IF(E1480="","",AVERAGE(INDEX($E$2:$E$3001,MAX(1,ROW()-1-'02_Eingaben'!$C$17)):INDEX($E$2:$E$3001,MIN('02_Eingaben'!$C$21,ROW()-1+'02_Eingaben'!$C$17))))</f>
        <v/>
      </c>
      <c r="G1480" s="27">
        <f>IF(F1480="","",F1480-'02_Eingaben'!$C$10)</f>
        <v/>
      </c>
      <c r="H1480">
        <f>IF(F1480="","",IF(F1480&lt;'02_Eingaben'!$C$18*'02_Eingaben'!$C$10,1,0))</f>
        <v/>
      </c>
      <c r="I1480" s="27">
        <f>IF(OR(G1480="",G1481=""),"",(G1480+G1481)/2*(B1481-B1480))</f>
        <v/>
      </c>
      <c r="J1480" s="27">
        <f>IF(B1480="","",IF(B1479&lt;'02_Eingaben'!$C$36,0,J1479+I1479/'02_Eingaben'!$C$8))</f>
        <v/>
      </c>
    </row>
    <row r="1481">
      <c r="A1481">
        <f>IF('01_Rohdaten'!A1481="","",ROW()-1)</f>
        <v/>
      </c>
      <c r="B1481" s="27">
        <f>IF('01_Rohdaten'!A1481="","",'01_Rohdaten'!A1481)</f>
        <v/>
      </c>
      <c r="C1481" s="27">
        <f>IF(B1481="","",INDEX('01_Rohdaten'!B1481:D1481,'02_Eingaben'!$C$13))</f>
        <v/>
      </c>
      <c r="D1481" s="27">
        <f>IF(C1481="","",C1481*'02_Eingaben'!$C$15)</f>
        <v/>
      </c>
      <c r="E1481" s="27">
        <f>IF(D1481="","",D1481*'02_Eingaben'!$C$8)</f>
        <v/>
      </c>
      <c r="F1481" s="27">
        <f>IF(E1481="","",AVERAGE(INDEX($E$2:$E$3001,MAX(1,ROW()-1-'02_Eingaben'!$C$17)):INDEX($E$2:$E$3001,MIN('02_Eingaben'!$C$21,ROW()-1+'02_Eingaben'!$C$17))))</f>
        <v/>
      </c>
      <c r="G1481" s="27">
        <f>IF(F1481="","",F1481-'02_Eingaben'!$C$10)</f>
        <v/>
      </c>
      <c r="H1481">
        <f>IF(F1481="","",IF(F1481&lt;'02_Eingaben'!$C$18*'02_Eingaben'!$C$10,1,0))</f>
        <v/>
      </c>
      <c r="I1481" s="27">
        <f>IF(OR(G1481="",G1482=""),"",(G1481+G1482)/2*(B1482-B1481))</f>
        <v/>
      </c>
      <c r="J1481" s="27">
        <f>IF(B1481="","",IF(B1480&lt;'02_Eingaben'!$C$36,0,J1480+I1480/'02_Eingaben'!$C$8))</f>
        <v/>
      </c>
    </row>
    <row r="1482">
      <c r="A1482">
        <f>IF('01_Rohdaten'!A1482="","",ROW()-1)</f>
        <v/>
      </c>
      <c r="B1482" s="27">
        <f>IF('01_Rohdaten'!A1482="","",'01_Rohdaten'!A1482)</f>
        <v/>
      </c>
      <c r="C1482" s="27">
        <f>IF(B1482="","",INDEX('01_Rohdaten'!B1482:D1482,'02_Eingaben'!$C$13))</f>
        <v/>
      </c>
      <c r="D1482" s="27">
        <f>IF(C1482="","",C1482*'02_Eingaben'!$C$15)</f>
        <v/>
      </c>
      <c r="E1482" s="27">
        <f>IF(D1482="","",D1482*'02_Eingaben'!$C$8)</f>
        <v/>
      </c>
      <c r="F1482" s="27">
        <f>IF(E1482="","",AVERAGE(INDEX($E$2:$E$3001,MAX(1,ROW()-1-'02_Eingaben'!$C$17)):INDEX($E$2:$E$3001,MIN('02_Eingaben'!$C$21,ROW()-1+'02_Eingaben'!$C$17))))</f>
        <v/>
      </c>
      <c r="G1482" s="27">
        <f>IF(F1482="","",F1482-'02_Eingaben'!$C$10)</f>
        <v/>
      </c>
      <c r="H1482">
        <f>IF(F1482="","",IF(F1482&lt;'02_Eingaben'!$C$18*'02_Eingaben'!$C$10,1,0))</f>
        <v/>
      </c>
      <c r="I1482" s="27">
        <f>IF(OR(G1482="",G1483=""),"",(G1482+G1483)/2*(B1483-B1482))</f>
        <v/>
      </c>
      <c r="J1482" s="27">
        <f>IF(B1482="","",IF(B1481&lt;'02_Eingaben'!$C$36,0,J1481+I1481/'02_Eingaben'!$C$8))</f>
        <v/>
      </c>
    </row>
    <row r="1483">
      <c r="A1483">
        <f>IF('01_Rohdaten'!A1483="","",ROW()-1)</f>
        <v/>
      </c>
      <c r="B1483" s="27">
        <f>IF('01_Rohdaten'!A1483="","",'01_Rohdaten'!A1483)</f>
        <v/>
      </c>
      <c r="C1483" s="27">
        <f>IF(B1483="","",INDEX('01_Rohdaten'!B1483:D1483,'02_Eingaben'!$C$13))</f>
        <v/>
      </c>
      <c r="D1483" s="27">
        <f>IF(C1483="","",C1483*'02_Eingaben'!$C$15)</f>
        <v/>
      </c>
      <c r="E1483" s="27">
        <f>IF(D1483="","",D1483*'02_Eingaben'!$C$8)</f>
        <v/>
      </c>
      <c r="F1483" s="27">
        <f>IF(E1483="","",AVERAGE(INDEX($E$2:$E$3001,MAX(1,ROW()-1-'02_Eingaben'!$C$17)):INDEX($E$2:$E$3001,MIN('02_Eingaben'!$C$21,ROW()-1+'02_Eingaben'!$C$17))))</f>
        <v/>
      </c>
      <c r="G1483" s="27">
        <f>IF(F1483="","",F1483-'02_Eingaben'!$C$10)</f>
        <v/>
      </c>
      <c r="H1483">
        <f>IF(F1483="","",IF(F1483&lt;'02_Eingaben'!$C$18*'02_Eingaben'!$C$10,1,0))</f>
        <v/>
      </c>
      <c r="I1483" s="27">
        <f>IF(OR(G1483="",G1484=""),"",(G1483+G1484)/2*(B1484-B1483))</f>
        <v/>
      </c>
      <c r="J1483" s="27">
        <f>IF(B1483="","",IF(B1482&lt;'02_Eingaben'!$C$36,0,J1482+I1482/'02_Eingaben'!$C$8))</f>
        <v/>
      </c>
    </row>
    <row r="1484">
      <c r="A1484">
        <f>IF('01_Rohdaten'!A1484="","",ROW()-1)</f>
        <v/>
      </c>
      <c r="B1484" s="27">
        <f>IF('01_Rohdaten'!A1484="","",'01_Rohdaten'!A1484)</f>
        <v/>
      </c>
      <c r="C1484" s="27">
        <f>IF(B1484="","",INDEX('01_Rohdaten'!B1484:D1484,'02_Eingaben'!$C$13))</f>
        <v/>
      </c>
      <c r="D1484" s="27">
        <f>IF(C1484="","",C1484*'02_Eingaben'!$C$15)</f>
        <v/>
      </c>
      <c r="E1484" s="27">
        <f>IF(D1484="","",D1484*'02_Eingaben'!$C$8)</f>
        <v/>
      </c>
      <c r="F1484" s="27">
        <f>IF(E1484="","",AVERAGE(INDEX($E$2:$E$3001,MAX(1,ROW()-1-'02_Eingaben'!$C$17)):INDEX($E$2:$E$3001,MIN('02_Eingaben'!$C$21,ROW()-1+'02_Eingaben'!$C$17))))</f>
        <v/>
      </c>
      <c r="G1484" s="27">
        <f>IF(F1484="","",F1484-'02_Eingaben'!$C$10)</f>
        <v/>
      </c>
      <c r="H1484">
        <f>IF(F1484="","",IF(F1484&lt;'02_Eingaben'!$C$18*'02_Eingaben'!$C$10,1,0))</f>
        <v/>
      </c>
      <c r="I1484" s="27">
        <f>IF(OR(G1484="",G1485=""),"",(G1484+G1485)/2*(B1485-B1484))</f>
        <v/>
      </c>
      <c r="J1484" s="27">
        <f>IF(B1484="","",IF(B1483&lt;'02_Eingaben'!$C$36,0,J1483+I1483/'02_Eingaben'!$C$8))</f>
        <v/>
      </c>
    </row>
    <row r="1485">
      <c r="A1485">
        <f>IF('01_Rohdaten'!A1485="","",ROW()-1)</f>
        <v/>
      </c>
      <c r="B1485" s="27">
        <f>IF('01_Rohdaten'!A1485="","",'01_Rohdaten'!A1485)</f>
        <v/>
      </c>
      <c r="C1485" s="27">
        <f>IF(B1485="","",INDEX('01_Rohdaten'!B1485:D1485,'02_Eingaben'!$C$13))</f>
        <v/>
      </c>
      <c r="D1485" s="27">
        <f>IF(C1485="","",C1485*'02_Eingaben'!$C$15)</f>
        <v/>
      </c>
      <c r="E1485" s="27">
        <f>IF(D1485="","",D1485*'02_Eingaben'!$C$8)</f>
        <v/>
      </c>
      <c r="F1485" s="27">
        <f>IF(E1485="","",AVERAGE(INDEX($E$2:$E$3001,MAX(1,ROW()-1-'02_Eingaben'!$C$17)):INDEX($E$2:$E$3001,MIN('02_Eingaben'!$C$21,ROW()-1+'02_Eingaben'!$C$17))))</f>
        <v/>
      </c>
      <c r="G1485" s="27">
        <f>IF(F1485="","",F1485-'02_Eingaben'!$C$10)</f>
        <v/>
      </c>
      <c r="H1485">
        <f>IF(F1485="","",IF(F1485&lt;'02_Eingaben'!$C$18*'02_Eingaben'!$C$10,1,0))</f>
        <v/>
      </c>
      <c r="I1485" s="27">
        <f>IF(OR(G1485="",G1486=""),"",(G1485+G1486)/2*(B1486-B1485))</f>
        <v/>
      </c>
      <c r="J1485" s="27">
        <f>IF(B1485="","",IF(B1484&lt;'02_Eingaben'!$C$36,0,J1484+I1484/'02_Eingaben'!$C$8))</f>
        <v/>
      </c>
    </row>
    <row r="1486">
      <c r="A1486">
        <f>IF('01_Rohdaten'!A1486="","",ROW()-1)</f>
        <v/>
      </c>
      <c r="B1486" s="27">
        <f>IF('01_Rohdaten'!A1486="","",'01_Rohdaten'!A1486)</f>
        <v/>
      </c>
      <c r="C1486" s="27">
        <f>IF(B1486="","",INDEX('01_Rohdaten'!B1486:D1486,'02_Eingaben'!$C$13))</f>
        <v/>
      </c>
      <c r="D1486" s="27">
        <f>IF(C1486="","",C1486*'02_Eingaben'!$C$15)</f>
        <v/>
      </c>
      <c r="E1486" s="27">
        <f>IF(D1486="","",D1486*'02_Eingaben'!$C$8)</f>
        <v/>
      </c>
      <c r="F1486" s="27">
        <f>IF(E1486="","",AVERAGE(INDEX($E$2:$E$3001,MAX(1,ROW()-1-'02_Eingaben'!$C$17)):INDEX($E$2:$E$3001,MIN('02_Eingaben'!$C$21,ROW()-1+'02_Eingaben'!$C$17))))</f>
        <v/>
      </c>
      <c r="G1486" s="27">
        <f>IF(F1486="","",F1486-'02_Eingaben'!$C$10)</f>
        <v/>
      </c>
      <c r="H1486">
        <f>IF(F1486="","",IF(F1486&lt;'02_Eingaben'!$C$18*'02_Eingaben'!$C$10,1,0))</f>
        <v/>
      </c>
      <c r="I1486" s="27">
        <f>IF(OR(G1486="",G1487=""),"",(G1486+G1487)/2*(B1487-B1486))</f>
        <v/>
      </c>
      <c r="J1486" s="27">
        <f>IF(B1486="","",IF(B1485&lt;'02_Eingaben'!$C$36,0,J1485+I1485/'02_Eingaben'!$C$8))</f>
        <v/>
      </c>
    </row>
    <row r="1487">
      <c r="A1487">
        <f>IF('01_Rohdaten'!A1487="","",ROW()-1)</f>
        <v/>
      </c>
      <c r="B1487" s="27">
        <f>IF('01_Rohdaten'!A1487="","",'01_Rohdaten'!A1487)</f>
        <v/>
      </c>
      <c r="C1487" s="27">
        <f>IF(B1487="","",INDEX('01_Rohdaten'!B1487:D1487,'02_Eingaben'!$C$13))</f>
        <v/>
      </c>
      <c r="D1487" s="27">
        <f>IF(C1487="","",C1487*'02_Eingaben'!$C$15)</f>
        <v/>
      </c>
      <c r="E1487" s="27">
        <f>IF(D1487="","",D1487*'02_Eingaben'!$C$8)</f>
        <v/>
      </c>
      <c r="F1487" s="27">
        <f>IF(E1487="","",AVERAGE(INDEX($E$2:$E$3001,MAX(1,ROW()-1-'02_Eingaben'!$C$17)):INDEX($E$2:$E$3001,MIN('02_Eingaben'!$C$21,ROW()-1+'02_Eingaben'!$C$17))))</f>
        <v/>
      </c>
      <c r="G1487" s="27">
        <f>IF(F1487="","",F1487-'02_Eingaben'!$C$10)</f>
        <v/>
      </c>
      <c r="H1487">
        <f>IF(F1487="","",IF(F1487&lt;'02_Eingaben'!$C$18*'02_Eingaben'!$C$10,1,0))</f>
        <v/>
      </c>
      <c r="I1487" s="27">
        <f>IF(OR(G1487="",G1488=""),"",(G1487+G1488)/2*(B1488-B1487))</f>
        <v/>
      </c>
      <c r="J1487" s="27">
        <f>IF(B1487="","",IF(B1486&lt;'02_Eingaben'!$C$36,0,J1486+I1486/'02_Eingaben'!$C$8))</f>
        <v/>
      </c>
    </row>
    <row r="1488">
      <c r="A1488">
        <f>IF('01_Rohdaten'!A1488="","",ROW()-1)</f>
        <v/>
      </c>
      <c r="B1488" s="27">
        <f>IF('01_Rohdaten'!A1488="","",'01_Rohdaten'!A1488)</f>
        <v/>
      </c>
      <c r="C1488" s="27">
        <f>IF(B1488="","",INDEX('01_Rohdaten'!B1488:D1488,'02_Eingaben'!$C$13))</f>
        <v/>
      </c>
      <c r="D1488" s="27">
        <f>IF(C1488="","",C1488*'02_Eingaben'!$C$15)</f>
        <v/>
      </c>
      <c r="E1488" s="27">
        <f>IF(D1488="","",D1488*'02_Eingaben'!$C$8)</f>
        <v/>
      </c>
      <c r="F1488" s="27">
        <f>IF(E1488="","",AVERAGE(INDEX($E$2:$E$3001,MAX(1,ROW()-1-'02_Eingaben'!$C$17)):INDEX($E$2:$E$3001,MIN('02_Eingaben'!$C$21,ROW()-1+'02_Eingaben'!$C$17))))</f>
        <v/>
      </c>
      <c r="G1488" s="27">
        <f>IF(F1488="","",F1488-'02_Eingaben'!$C$10)</f>
        <v/>
      </c>
      <c r="H1488">
        <f>IF(F1488="","",IF(F1488&lt;'02_Eingaben'!$C$18*'02_Eingaben'!$C$10,1,0))</f>
        <v/>
      </c>
      <c r="I1488" s="27">
        <f>IF(OR(G1488="",G1489=""),"",(G1488+G1489)/2*(B1489-B1488))</f>
        <v/>
      </c>
      <c r="J1488" s="27">
        <f>IF(B1488="","",IF(B1487&lt;'02_Eingaben'!$C$36,0,J1487+I1487/'02_Eingaben'!$C$8))</f>
        <v/>
      </c>
    </row>
    <row r="1489">
      <c r="A1489">
        <f>IF('01_Rohdaten'!A1489="","",ROW()-1)</f>
        <v/>
      </c>
      <c r="B1489" s="27">
        <f>IF('01_Rohdaten'!A1489="","",'01_Rohdaten'!A1489)</f>
        <v/>
      </c>
      <c r="C1489" s="27">
        <f>IF(B1489="","",INDEX('01_Rohdaten'!B1489:D1489,'02_Eingaben'!$C$13))</f>
        <v/>
      </c>
      <c r="D1489" s="27">
        <f>IF(C1489="","",C1489*'02_Eingaben'!$C$15)</f>
        <v/>
      </c>
      <c r="E1489" s="27">
        <f>IF(D1489="","",D1489*'02_Eingaben'!$C$8)</f>
        <v/>
      </c>
      <c r="F1489" s="27">
        <f>IF(E1489="","",AVERAGE(INDEX($E$2:$E$3001,MAX(1,ROW()-1-'02_Eingaben'!$C$17)):INDEX($E$2:$E$3001,MIN('02_Eingaben'!$C$21,ROW()-1+'02_Eingaben'!$C$17))))</f>
        <v/>
      </c>
      <c r="G1489" s="27">
        <f>IF(F1489="","",F1489-'02_Eingaben'!$C$10)</f>
        <v/>
      </c>
      <c r="H1489">
        <f>IF(F1489="","",IF(F1489&lt;'02_Eingaben'!$C$18*'02_Eingaben'!$C$10,1,0))</f>
        <v/>
      </c>
      <c r="I1489" s="27">
        <f>IF(OR(G1489="",G1490=""),"",(G1489+G1490)/2*(B1490-B1489))</f>
        <v/>
      </c>
      <c r="J1489" s="27">
        <f>IF(B1489="","",IF(B1488&lt;'02_Eingaben'!$C$36,0,J1488+I1488/'02_Eingaben'!$C$8))</f>
        <v/>
      </c>
    </row>
    <row r="1490">
      <c r="A1490">
        <f>IF('01_Rohdaten'!A1490="","",ROW()-1)</f>
        <v/>
      </c>
      <c r="B1490" s="27">
        <f>IF('01_Rohdaten'!A1490="","",'01_Rohdaten'!A1490)</f>
        <v/>
      </c>
      <c r="C1490" s="27">
        <f>IF(B1490="","",INDEX('01_Rohdaten'!B1490:D1490,'02_Eingaben'!$C$13))</f>
        <v/>
      </c>
      <c r="D1490" s="27">
        <f>IF(C1490="","",C1490*'02_Eingaben'!$C$15)</f>
        <v/>
      </c>
      <c r="E1490" s="27">
        <f>IF(D1490="","",D1490*'02_Eingaben'!$C$8)</f>
        <v/>
      </c>
      <c r="F1490" s="27">
        <f>IF(E1490="","",AVERAGE(INDEX($E$2:$E$3001,MAX(1,ROW()-1-'02_Eingaben'!$C$17)):INDEX($E$2:$E$3001,MIN('02_Eingaben'!$C$21,ROW()-1+'02_Eingaben'!$C$17))))</f>
        <v/>
      </c>
      <c r="G1490" s="27">
        <f>IF(F1490="","",F1490-'02_Eingaben'!$C$10)</f>
        <v/>
      </c>
      <c r="H1490">
        <f>IF(F1490="","",IF(F1490&lt;'02_Eingaben'!$C$18*'02_Eingaben'!$C$10,1,0))</f>
        <v/>
      </c>
      <c r="I1490" s="27">
        <f>IF(OR(G1490="",G1491=""),"",(G1490+G1491)/2*(B1491-B1490))</f>
        <v/>
      </c>
      <c r="J1490" s="27">
        <f>IF(B1490="","",IF(B1489&lt;'02_Eingaben'!$C$36,0,J1489+I1489/'02_Eingaben'!$C$8))</f>
        <v/>
      </c>
    </row>
    <row r="1491">
      <c r="A1491">
        <f>IF('01_Rohdaten'!A1491="","",ROW()-1)</f>
        <v/>
      </c>
      <c r="B1491" s="27">
        <f>IF('01_Rohdaten'!A1491="","",'01_Rohdaten'!A1491)</f>
        <v/>
      </c>
      <c r="C1491" s="27">
        <f>IF(B1491="","",INDEX('01_Rohdaten'!B1491:D1491,'02_Eingaben'!$C$13))</f>
        <v/>
      </c>
      <c r="D1491" s="27">
        <f>IF(C1491="","",C1491*'02_Eingaben'!$C$15)</f>
        <v/>
      </c>
      <c r="E1491" s="27">
        <f>IF(D1491="","",D1491*'02_Eingaben'!$C$8)</f>
        <v/>
      </c>
      <c r="F1491" s="27">
        <f>IF(E1491="","",AVERAGE(INDEX($E$2:$E$3001,MAX(1,ROW()-1-'02_Eingaben'!$C$17)):INDEX($E$2:$E$3001,MIN('02_Eingaben'!$C$21,ROW()-1+'02_Eingaben'!$C$17))))</f>
        <v/>
      </c>
      <c r="G1491" s="27">
        <f>IF(F1491="","",F1491-'02_Eingaben'!$C$10)</f>
        <v/>
      </c>
      <c r="H1491">
        <f>IF(F1491="","",IF(F1491&lt;'02_Eingaben'!$C$18*'02_Eingaben'!$C$10,1,0))</f>
        <v/>
      </c>
      <c r="I1491" s="27">
        <f>IF(OR(G1491="",G1492=""),"",(G1491+G1492)/2*(B1492-B1491))</f>
        <v/>
      </c>
      <c r="J1491" s="27">
        <f>IF(B1491="","",IF(B1490&lt;'02_Eingaben'!$C$36,0,J1490+I1490/'02_Eingaben'!$C$8))</f>
        <v/>
      </c>
    </row>
    <row r="1492">
      <c r="A1492">
        <f>IF('01_Rohdaten'!A1492="","",ROW()-1)</f>
        <v/>
      </c>
      <c r="B1492" s="27">
        <f>IF('01_Rohdaten'!A1492="","",'01_Rohdaten'!A1492)</f>
        <v/>
      </c>
      <c r="C1492" s="27">
        <f>IF(B1492="","",INDEX('01_Rohdaten'!B1492:D1492,'02_Eingaben'!$C$13))</f>
        <v/>
      </c>
      <c r="D1492" s="27">
        <f>IF(C1492="","",C1492*'02_Eingaben'!$C$15)</f>
        <v/>
      </c>
      <c r="E1492" s="27">
        <f>IF(D1492="","",D1492*'02_Eingaben'!$C$8)</f>
        <v/>
      </c>
      <c r="F1492" s="27">
        <f>IF(E1492="","",AVERAGE(INDEX($E$2:$E$3001,MAX(1,ROW()-1-'02_Eingaben'!$C$17)):INDEX($E$2:$E$3001,MIN('02_Eingaben'!$C$21,ROW()-1+'02_Eingaben'!$C$17))))</f>
        <v/>
      </c>
      <c r="G1492" s="27">
        <f>IF(F1492="","",F1492-'02_Eingaben'!$C$10)</f>
        <v/>
      </c>
      <c r="H1492">
        <f>IF(F1492="","",IF(F1492&lt;'02_Eingaben'!$C$18*'02_Eingaben'!$C$10,1,0))</f>
        <v/>
      </c>
      <c r="I1492" s="27">
        <f>IF(OR(G1492="",G1493=""),"",(G1492+G1493)/2*(B1493-B1492))</f>
        <v/>
      </c>
      <c r="J1492" s="27">
        <f>IF(B1492="","",IF(B1491&lt;'02_Eingaben'!$C$36,0,J1491+I1491/'02_Eingaben'!$C$8))</f>
        <v/>
      </c>
    </row>
    <row r="1493">
      <c r="A1493">
        <f>IF('01_Rohdaten'!A1493="","",ROW()-1)</f>
        <v/>
      </c>
      <c r="B1493" s="27">
        <f>IF('01_Rohdaten'!A1493="","",'01_Rohdaten'!A1493)</f>
        <v/>
      </c>
      <c r="C1493" s="27">
        <f>IF(B1493="","",INDEX('01_Rohdaten'!B1493:D1493,'02_Eingaben'!$C$13))</f>
        <v/>
      </c>
      <c r="D1493" s="27">
        <f>IF(C1493="","",C1493*'02_Eingaben'!$C$15)</f>
        <v/>
      </c>
      <c r="E1493" s="27">
        <f>IF(D1493="","",D1493*'02_Eingaben'!$C$8)</f>
        <v/>
      </c>
      <c r="F1493" s="27">
        <f>IF(E1493="","",AVERAGE(INDEX($E$2:$E$3001,MAX(1,ROW()-1-'02_Eingaben'!$C$17)):INDEX($E$2:$E$3001,MIN('02_Eingaben'!$C$21,ROW()-1+'02_Eingaben'!$C$17))))</f>
        <v/>
      </c>
      <c r="G1493" s="27">
        <f>IF(F1493="","",F1493-'02_Eingaben'!$C$10)</f>
        <v/>
      </c>
      <c r="H1493">
        <f>IF(F1493="","",IF(F1493&lt;'02_Eingaben'!$C$18*'02_Eingaben'!$C$10,1,0))</f>
        <v/>
      </c>
      <c r="I1493" s="27">
        <f>IF(OR(G1493="",G1494=""),"",(G1493+G1494)/2*(B1494-B1493))</f>
        <v/>
      </c>
      <c r="J1493" s="27">
        <f>IF(B1493="","",IF(B1492&lt;'02_Eingaben'!$C$36,0,J1492+I1492/'02_Eingaben'!$C$8))</f>
        <v/>
      </c>
    </row>
    <row r="1494">
      <c r="A1494">
        <f>IF('01_Rohdaten'!A1494="","",ROW()-1)</f>
        <v/>
      </c>
      <c r="B1494" s="27">
        <f>IF('01_Rohdaten'!A1494="","",'01_Rohdaten'!A1494)</f>
        <v/>
      </c>
      <c r="C1494" s="27">
        <f>IF(B1494="","",INDEX('01_Rohdaten'!B1494:D1494,'02_Eingaben'!$C$13))</f>
        <v/>
      </c>
      <c r="D1494" s="27">
        <f>IF(C1494="","",C1494*'02_Eingaben'!$C$15)</f>
        <v/>
      </c>
      <c r="E1494" s="27">
        <f>IF(D1494="","",D1494*'02_Eingaben'!$C$8)</f>
        <v/>
      </c>
      <c r="F1494" s="27">
        <f>IF(E1494="","",AVERAGE(INDEX($E$2:$E$3001,MAX(1,ROW()-1-'02_Eingaben'!$C$17)):INDEX($E$2:$E$3001,MIN('02_Eingaben'!$C$21,ROW()-1+'02_Eingaben'!$C$17))))</f>
        <v/>
      </c>
      <c r="G1494" s="27">
        <f>IF(F1494="","",F1494-'02_Eingaben'!$C$10)</f>
        <v/>
      </c>
      <c r="H1494">
        <f>IF(F1494="","",IF(F1494&lt;'02_Eingaben'!$C$18*'02_Eingaben'!$C$10,1,0))</f>
        <v/>
      </c>
      <c r="I1494" s="27">
        <f>IF(OR(G1494="",G1495=""),"",(G1494+G1495)/2*(B1495-B1494))</f>
        <v/>
      </c>
      <c r="J1494" s="27">
        <f>IF(B1494="","",IF(B1493&lt;'02_Eingaben'!$C$36,0,J1493+I1493/'02_Eingaben'!$C$8))</f>
        <v/>
      </c>
    </row>
    <row r="1495">
      <c r="A1495">
        <f>IF('01_Rohdaten'!A1495="","",ROW()-1)</f>
        <v/>
      </c>
      <c r="B1495" s="27">
        <f>IF('01_Rohdaten'!A1495="","",'01_Rohdaten'!A1495)</f>
        <v/>
      </c>
      <c r="C1495" s="27">
        <f>IF(B1495="","",INDEX('01_Rohdaten'!B1495:D1495,'02_Eingaben'!$C$13))</f>
        <v/>
      </c>
      <c r="D1495" s="27">
        <f>IF(C1495="","",C1495*'02_Eingaben'!$C$15)</f>
        <v/>
      </c>
      <c r="E1495" s="27">
        <f>IF(D1495="","",D1495*'02_Eingaben'!$C$8)</f>
        <v/>
      </c>
      <c r="F1495" s="27">
        <f>IF(E1495="","",AVERAGE(INDEX($E$2:$E$3001,MAX(1,ROW()-1-'02_Eingaben'!$C$17)):INDEX($E$2:$E$3001,MIN('02_Eingaben'!$C$21,ROW()-1+'02_Eingaben'!$C$17))))</f>
        <v/>
      </c>
      <c r="G1495" s="27">
        <f>IF(F1495="","",F1495-'02_Eingaben'!$C$10)</f>
        <v/>
      </c>
      <c r="H1495">
        <f>IF(F1495="","",IF(F1495&lt;'02_Eingaben'!$C$18*'02_Eingaben'!$C$10,1,0))</f>
        <v/>
      </c>
      <c r="I1495" s="27">
        <f>IF(OR(G1495="",G1496=""),"",(G1495+G1496)/2*(B1496-B1495))</f>
        <v/>
      </c>
      <c r="J1495" s="27">
        <f>IF(B1495="","",IF(B1494&lt;'02_Eingaben'!$C$36,0,J1494+I1494/'02_Eingaben'!$C$8))</f>
        <v/>
      </c>
    </row>
    <row r="1496">
      <c r="A1496">
        <f>IF('01_Rohdaten'!A1496="","",ROW()-1)</f>
        <v/>
      </c>
      <c r="B1496" s="27">
        <f>IF('01_Rohdaten'!A1496="","",'01_Rohdaten'!A1496)</f>
        <v/>
      </c>
      <c r="C1496" s="27">
        <f>IF(B1496="","",INDEX('01_Rohdaten'!B1496:D1496,'02_Eingaben'!$C$13))</f>
        <v/>
      </c>
      <c r="D1496" s="27">
        <f>IF(C1496="","",C1496*'02_Eingaben'!$C$15)</f>
        <v/>
      </c>
      <c r="E1496" s="27">
        <f>IF(D1496="","",D1496*'02_Eingaben'!$C$8)</f>
        <v/>
      </c>
      <c r="F1496" s="27">
        <f>IF(E1496="","",AVERAGE(INDEX($E$2:$E$3001,MAX(1,ROW()-1-'02_Eingaben'!$C$17)):INDEX($E$2:$E$3001,MIN('02_Eingaben'!$C$21,ROW()-1+'02_Eingaben'!$C$17))))</f>
        <v/>
      </c>
      <c r="G1496" s="27">
        <f>IF(F1496="","",F1496-'02_Eingaben'!$C$10)</f>
        <v/>
      </c>
      <c r="H1496">
        <f>IF(F1496="","",IF(F1496&lt;'02_Eingaben'!$C$18*'02_Eingaben'!$C$10,1,0))</f>
        <v/>
      </c>
      <c r="I1496" s="27">
        <f>IF(OR(G1496="",G1497=""),"",(G1496+G1497)/2*(B1497-B1496))</f>
        <v/>
      </c>
      <c r="J1496" s="27">
        <f>IF(B1496="","",IF(B1495&lt;'02_Eingaben'!$C$36,0,J1495+I1495/'02_Eingaben'!$C$8))</f>
        <v/>
      </c>
    </row>
    <row r="1497">
      <c r="A1497">
        <f>IF('01_Rohdaten'!A1497="","",ROW()-1)</f>
        <v/>
      </c>
      <c r="B1497" s="27">
        <f>IF('01_Rohdaten'!A1497="","",'01_Rohdaten'!A1497)</f>
        <v/>
      </c>
      <c r="C1497" s="27">
        <f>IF(B1497="","",INDEX('01_Rohdaten'!B1497:D1497,'02_Eingaben'!$C$13))</f>
        <v/>
      </c>
      <c r="D1497" s="27">
        <f>IF(C1497="","",C1497*'02_Eingaben'!$C$15)</f>
        <v/>
      </c>
      <c r="E1497" s="27">
        <f>IF(D1497="","",D1497*'02_Eingaben'!$C$8)</f>
        <v/>
      </c>
      <c r="F1497" s="27">
        <f>IF(E1497="","",AVERAGE(INDEX($E$2:$E$3001,MAX(1,ROW()-1-'02_Eingaben'!$C$17)):INDEX($E$2:$E$3001,MIN('02_Eingaben'!$C$21,ROW()-1+'02_Eingaben'!$C$17))))</f>
        <v/>
      </c>
      <c r="G1497" s="27">
        <f>IF(F1497="","",F1497-'02_Eingaben'!$C$10)</f>
        <v/>
      </c>
      <c r="H1497">
        <f>IF(F1497="","",IF(F1497&lt;'02_Eingaben'!$C$18*'02_Eingaben'!$C$10,1,0))</f>
        <v/>
      </c>
      <c r="I1497" s="27">
        <f>IF(OR(G1497="",G1498=""),"",(G1497+G1498)/2*(B1498-B1497))</f>
        <v/>
      </c>
      <c r="J1497" s="27">
        <f>IF(B1497="","",IF(B1496&lt;'02_Eingaben'!$C$36,0,J1496+I1496/'02_Eingaben'!$C$8))</f>
        <v/>
      </c>
    </row>
    <row r="1498">
      <c r="A1498">
        <f>IF('01_Rohdaten'!A1498="","",ROW()-1)</f>
        <v/>
      </c>
      <c r="B1498" s="27">
        <f>IF('01_Rohdaten'!A1498="","",'01_Rohdaten'!A1498)</f>
        <v/>
      </c>
      <c r="C1498" s="27">
        <f>IF(B1498="","",INDEX('01_Rohdaten'!B1498:D1498,'02_Eingaben'!$C$13))</f>
        <v/>
      </c>
      <c r="D1498" s="27">
        <f>IF(C1498="","",C1498*'02_Eingaben'!$C$15)</f>
        <v/>
      </c>
      <c r="E1498" s="27">
        <f>IF(D1498="","",D1498*'02_Eingaben'!$C$8)</f>
        <v/>
      </c>
      <c r="F1498" s="27">
        <f>IF(E1498="","",AVERAGE(INDEX($E$2:$E$3001,MAX(1,ROW()-1-'02_Eingaben'!$C$17)):INDEX($E$2:$E$3001,MIN('02_Eingaben'!$C$21,ROW()-1+'02_Eingaben'!$C$17))))</f>
        <v/>
      </c>
      <c r="G1498" s="27">
        <f>IF(F1498="","",F1498-'02_Eingaben'!$C$10)</f>
        <v/>
      </c>
      <c r="H1498">
        <f>IF(F1498="","",IF(F1498&lt;'02_Eingaben'!$C$18*'02_Eingaben'!$C$10,1,0))</f>
        <v/>
      </c>
      <c r="I1498" s="27">
        <f>IF(OR(G1498="",G1499=""),"",(G1498+G1499)/2*(B1499-B1498))</f>
        <v/>
      </c>
      <c r="J1498" s="27">
        <f>IF(B1498="","",IF(B1497&lt;'02_Eingaben'!$C$36,0,J1497+I1497/'02_Eingaben'!$C$8))</f>
        <v/>
      </c>
    </row>
    <row r="1499">
      <c r="A1499">
        <f>IF('01_Rohdaten'!A1499="","",ROW()-1)</f>
        <v/>
      </c>
      <c r="B1499" s="27">
        <f>IF('01_Rohdaten'!A1499="","",'01_Rohdaten'!A1499)</f>
        <v/>
      </c>
      <c r="C1499" s="27">
        <f>IF(B1499="","",INDEX('01_Rohdaten'!B1499:D1499,'02_Eingaben'!$C$13))</f>
        <v/>
      </c>
      <c r="D1499" s="27">
        <f>IF(C1499="","",C1499*'02_Eingaben'!$C$15)</f>
        <v/>
      </c>
      <c r="E1499" s="27">
        <f>IF(D1499="","",D1499*'02_Eingaben'!$C$8)</f>
        <v/>
      </c>
      <c r="F1499" s="27">
        <f>IF(E1499="","",AVERAGE(INDEX($E$2:$E$3001,MAX(1,ROW()-1-'02_Eingaben'!$C$17)):INDEX($E$2:$E$3001,MIN('02_Eingaben'!$C$21,ROW()-1+'02_Eingaben'!$C$17))))</f>
        <v/>
      </c>
      <c r="G1499" s="27">
        <f>IF(F1499="","",F1499-'02_Eingaben'!$C$10)</f>
        <v/>
      </c>
      <c r="H1499">
        <f>IF(F1499="","",IF(F1499&lt;'02_Eingaben'!$C$18*'02_Eingaben'!$C$10,1,0))</f>
        <v/>
      </c>
      <c r="I1499" s="27">
        <f>IF(OR(G1499="",G1500=""),"",(G1499+G1500)/2*(B1500-B1499))</f>
        <v/>
      </c>
      <c r="J1499" s="27">
        <f>IF(B1499="","",IF(B1498&lt;'02_Eingaben'!$C$36,0,J1498+I1498/'02_Eingaben'!$C$8))</f>
        <v/>
      </c>
    </row>
    <row r="1500">
      <c r="A1500">
        <f>IF('01_Rohdaten'!A1500="","",ROW()-1)</f>
        <v/>
      </c>
      <c r="B1500" s="27">
        <f>IF('01_Rohdaten'!A1500="","",'01_Rohdaten'!A1500)</f>
        <v/>
      </c>
      <c r="C1500" s="27">
        <f>IF(B1500="","",INDEX('01_Rohdaten'!B1500:D1500,'02_Eingaben'!$C$13))</f>
        <v/>
      </c>
      <c r="D1500" s="27">
        <f>IF(C1500="","",C1500*'02_Eingaben'!$C$15)</f>
        <v/>
      </c>
      <c r="E1500" s="27">
        <f>IF(D1500="","",D1500*'02_Eingaben'!$C$8)</f>
        <v/>
      </c>
      <c r="F1500" s="27">
        <f>IF(E1500="","",AVERAGE(INDEX($E$2:$E$3001,MAX(1,ROW()-1-'02_Eingaben'!$C$17)):INDEX($E$2:$E$3001,MIN('02_Eingaben'!$C$21,ROW()-1+'02_Eingaben'!$C$17))))</f>
        <v/>
      </c>
      <c r="G1500" s="27">
        <f>IF(F1500="","",F1500-'02_Eingaben'!$C$10)</f>
        <v/>
      </c>
      <c r="H1500">
        <f>IF(F1500="","",IF(F1500&lt;'02_Eingaben'!$C$18*'02_Eingaben'!$C$10,1,0))</f>
        <v/>
      </c>
      <c r="I1500" s="27">
        <f>IF(OR(G1500="",G1501=""),"",(G1500+G1501)/2*(B1501-B1500))</f>
        <v/>
      </c>
      <c r="J1500" s="27">
        <f>IF(B1500="","",IF(B1499&lt;'02_Eingaben'!$C$36,0,J1499+I1499/'02_Eingaben'!$C$8))</f>
        <v/>
      </c>
    </row>
    <row r="1501">
      <c r="A1501">
        <f>IF('01_Rohdaten'!A1501="","",ROW()-1)</f>
        <v/>
      </c>
      <c r="B1501" s="27">
        <f>IF('01_Rohdaten'!A1501="","",'01_Rohdaten'!A1501)</f>
        <v/>
      </c>
      <c r="C1501" s="27">
        <f>IF(B1501="","",INDEX('01_Rohdaten'!B1501:D1501,'02_Eingaben'!$C$13))</f>
        <v/>
      </c>
      <c r="D1501" s="27">
        <f>IF(C1501="","",C1501*'02_Eingaben'!$C$15)</f>
        <v/>
      </c>
      <c r="E1501" s="27">
        <f>IF(D1501="","",D1501*'02_Eingaben'!$C$8)</f>
        <v/>
      </c>
      <c r="F1501" s="27">
        <f>IF(E1501="","",AVERAGE(INDEX($E$2:$E$3001,MAX(1,ROW()-1-'02_Eingaben'!$C$17)):INDEX($E$2:$E$3001,MIN('02_Eingaben'!$C$21,ROW()-1+'02_Eingaben'!$C$17))))</f>
        <v/>
      </c>
      <c r="G1501" s="27">
        <f>IF(F1501="","",F1501-'02_Eingaben'!$C$10)</f>
        <v/>
      </c>
      <c r="H1501">
        <f>IF(F1501="","",IF(F1501&lt;'02_Eingaben'!$C$18*'02_Eingaben'!$C$10,1,0))</f>
        <v/>
      </c>
      <c r="I1501" s="27">
        <f>IF(OR(G1501="",G1502=""),"",(G1501+G1502)/2*(B1502-B1501))</f>
        <v/>
      </c>
      <c r="J1501" s="27">
        <f>IF(B1501="","",IF(B1500&lt;'02_Eingaben'!$C$36,0,J1500+I1500/'02_Eingaben'!$C$8))</f>
        <v/>
      </c>
    </row>
    <row r="1502">
      <c r="A1502">
        <f>IF('01_Rohdaten'!A1502="","",ROW()-1)</f>
        <v/>
      </c>
      <c r="B1502" s="27">
        <f>IF('01_Rohdaten'!A1502="","",'01_Rohdaten'!A1502)</f>
        <v/>
      </c>
      <c r="C1502" s="27">
        <f>IF(B1502="","",INDEX('01_Rohdaten'!B1502:D1502,'02_Eingaben'!$C$13))</f>
        <v/>
      </c>
      <c r="D1502" s="27">
        <f>IF(C1502="","",C1502*'02_Eingaben'!$C$15)</f>
        <v/>
      </c>
      <c r="E1502" s="27">
        <f>IF(D1502="","",D1502*'02_Eingaben'!$C$8)</f>
        <v/>
      </c>
      <c r="F1502" s="27">
        <f>IF(E1502="","",AVERAGE(INDEX($E$2:$E$3001,MAX(1,ROW()-1-'02_Eingaben'!$C$17)):INDEX($E$2:$E$3001,MIN('02_Eingaben'!$C$21,ROW()-1+'02_Eingaben'!$C$17))))</f>
        <v/>
      </c>
      <c r="G1502" s="27">
        <f>IF(F1502="","",F1502-'02_Eingaben'!$C$10)</f>
        <v/>
      </c>
      <c r="H1502">
        <f>IF(F1502="","",IF(F1502&lt;'02_Eingaben'!$C$18*'02_Eingaben'!$C$10,1,0))</f>
        <v/>
      </c>
      <c r="I1502" s="27">
        <f>IF(OR(G1502="",G1503=""),"",(G1502+G1503)/2*(B1503-B1502))</f>
        <v/>
      </c>
      <c r="J1502" s="27">
        <f>IF(B1502="","",IF(B1501&lt;'02_Eingaben'!$C$36,0,J1501+I1501/'02_Eingaben'!$C$8))</f>
        <v/>
      </c>
    </row>
    <row r="1503">
      <c r="A1503">
        <f>IF('01_Rohdaten'!A1503="","",ROW()-1)</f>
        <v/>
      </c>
      <c r="B1503" s="27">
        <f>IF('01_Rohdaten'!A1503="","",'01_Rohdaten'!A1503)</f>
        <v/>
      </c>
      <c r="C1503" s="27">
        <f>IF(B1503="","",INDEX('01_Rohdaten'!B1503:D1503,'02_Eingaben'!$C$13))</f>
        <v/>
      </c>
      <c r="D1503" s="27">
        <f>IF(C1503="","",C1503*'02_Eingaben'!$C$15)</f>
        <v/>
      </c>
      <c r="E1503" s="27">
        <f>IF(D1503="","",D1503*'02_Eingaben'!$C$8)</f>
        <v/>
      </c>
      <c r="F1503" s="27">
        <f>IF(E1503="","",AVERAGE(INDEX($E$2:$E$3001,MAX(1,ROW()-1-'02_Eingaben'!$C$17)):INDEX($E$2:$E$3001,MIN('02_Eingaben'!$C$21,ROW()-1+'02_Eingaben'!$C$17))))</f>
        <v/>
      </c>
      <c r="G1503" s="27">
        <f>IF(F1503="","",F1503-'02_Eingaben'!$C$10)</f>
        <v/>
      </c>
      <c r="H1503">
        <f>IF(F1503="","",IF(F1503&lt;'02_Eingaben'!$C$18*'02_Eingaben'!$C$10,1,0))</f>
        <v/>
      </c>
      <c r="I1503" s="27">
        <f>IF(OR(G1503="",G1504=""),"",(G1503+G1504)/2*(B1504-B1503))</f>
        <v/>
      </c>
      <c r="J1503" s="27">
        <f>IF(B1503="","",IF(B1502&lt;'02_Eingaben'!$C$36,0,J1502+I1502/'02_Eingaben'!$C$8))</f>
        <v/>
      </c>
    </row>
    <row r="1504">
      <c r="A1504">
        <f>IF('01_Rohdaten'!A1504="","",ROW()-1)</f>
        <v/>
      </c>
      <c r="B1504" s="27">
        <f>IF('01_Rohdaten'!A1504="","",'01_Rohdaten'!A1504)</f>
        <v/>
      </c>
      <c r="C1504" s="27">
        <f>IF(B1504="","",INDEX('01_Rohdaten'!B1504:D1504,'02_Eingaben'!$C$13))</f>
        <v/>
      </c>
      <c r="D1504" s="27">
        <f>IF(C1504="","",C1504*'02_Eingaben'!$C$15)</f>
        <v/>
      </c>
      <c r="E1504" s="27">
        <f>IF(D1504="","",D1504*'02_Eingaben'!$C$8)</f>
        <v/>
      </c>
      <c r="F1504" s="27">
        <f>IF(E1504="","",AVERAGE(INDEX($E$2:$E$3001,MAX(1,ROW()-1-'02_Eingaben'!$C$17)):INDEX($E$2:$E$3001,MIN('02_Eingaben'!$C$21,ROW()-1+'02_Eingaben'!$C$17))))</f>
        <v/>
      </c>
      <c r="G1504" s="27">
        <f>IF(F1504="","",F1504-'02_Eingaben'!$C$10)</f>
        <v/>
      </c>
      <c r="H1504">
        <f>IF(F1504="","",IF(F1504&lt;'02_Eingaben'!$C$18*'02_Eingaben'!$C$10,1,0))</f>
        <v/>
      </c>
      <c r="I1504" s="27">
        <f>IF(OR(G1504="",G1505=""),"",(G1504+G1505)/2*(B1505-B1504))</f>
        <v/>
      </c>
      <c r="J1504" s="27">
        <f>IF(B1504="","",IF(B1503&lt;'02_Eingaben'!$C$36,0,J1503+I1503/'02_Eingaben'!$C$8))</f>
        <v/>
      </c>
    </row>
    <row r="1505">
      <c r="A1505">
        <f>IF('01_Rohdaten'!A1505="","",ROW()-1)</f>
        <v/>
      </c>
      <c r="B1505" s="27">
        <f>IF('01_Rohdaten'!A1505="","",'01_Rohdaten'!A1505)</f>
        <v/>
      </c>
      <c r="C1505" s="27">
        <f>IF(B1505="","",INDEX('01_Rohdaten'!B1505:D1505,'02_Eingaben'!$C$13))</f>
        <v/>
      </c>
      <c r="D1505" s="27">
        <f>IF(C1505="","",C1505*'02_Eingaben'!$C$15)</f>
        <v/>
      </c>
      <c r="E1505" s="27">
        <f>IF(D1505="","",D1505*'02_Eingaben'!$C$8)</f>
        <v/>
      </c>
      <c r="F1505" s="27">
        <f>IF(E1505="","",AVERAGE(INDEX($E$2:$E$3001,MAX(1,ROW()-1-'02_Eingaben'!$C$17)):INDEX($E$2:$E$3001,MIN('02_Eingaben'!$C$21,ROW()-1+'02_Eingaben'!$C$17))))</f>
        <v/>
      </c>
      <c r="G1505" s="27">
        <f>IF(F1505="","",F1505-'02_Eingaben'!$C$10)</f>
        <v/>
      </c>
      <c r="H1505">
        <f>IF(F1505="","",IF(F1505&lt;'02_Eingaben'!$C$18*'02_Eingaben'!$C$10,1,0))</f>
        <v/>
      </c>
      <c r="I1505" s="27">
        <f>IF(OR(G1505="",G1506=""),"",(G1505+G1506)/2*(B1506-B1505))</f>
        <v/>
      </c>
      <c r="J1505" s="27">
        <f>IF(B1505="","",IF(B1504&lt;'02_Eingaben'!$C$36,0,J1504+I1504/'02_Eingaben'!$C$8))</f>
        <v/>
      </c>
    </row>
    <row r="1506">
      <c r="A1506">
        <f>IF('01_Rohdaten'!A1506="","",ROW()-1)</f>
        <v/>
      </c>
      <c r="B1506" s="27">
        <f>IF('01_Rohdaten'!A1506="","",'01_Rohdaten'!A1506)</f>
        <v/>
      </c>
      <c r="C1506" s="27">
        <f>IF(B1506="","",INDEX('01_Rohdaten'!B1506:D1506,'02_Eingaben'!$C$13))</f>
        <v/>
      </c>
      <c r="D1506" s="27">
        <f>IF(C1506="","",C1506*'02_Eingaben'!$C$15)</f>
        <v/>
      </c>
      <c r="E1506" s="27">
        <f>IF(D1506="","",D1506*'02_Eingaben'!$C$8)</f>
        <v/>
      </c>
      <c r="F1506" s="27">
        <f>IF(E1506="","",AVERAGE(INDEX($E$2:$E$3001,MAX(1,ROW()-1-'02_Eingaben'!$C$17)):INDEX($E$2:$E$3001,MIN('02_Eingaben'!$C$21,ROW()-1+'02_Eingaben'!$C$17))))</f>
        <v/>
      </c>
      <c r="G1506" s="27">
        <f>IF(F1506="","",F1506-'02_Eingaben'!$C$10)</f>
        <v/>
      </c>
      <c r="H1506">
        <f>IF(F1506="","",IF(F1506&lt;'02_Eingaben'!$C$18*'02_Eingaben'!$C$10,1,0))</f>
        <v/>
      </c>
      <c r="I1506" s="27">
        <f>IF(OR(G1506="",G1507=""),"",(G1506+G1507)/2*(B1507-B1506))</f>
        <v/>
      </c>
      <c r="J1506" s="27">
        <f>IF(B1506="","",IF(B1505&lt;'02_Eingaben'!$C$36,0,J1505+I1505/'02_Eingaben'!$C$8))</f>
        <v/>
      </c>
    </row>
    <row r="1507">
      <c r="A1507">
        <f>IF('01_Rohdaten'!A1507="","",ROW()-1)</f>
        <v/>
      </c>
      <c r="B1507" s="27">
        <f>IF('01_Rohdaten'!A1507="","",'01_Rohdaten'!A1507)</f>
        <v/>
      </c>
      <c r="C1507" s="27">
        <f>IF(B1507="","",INDEX('01_Rohdaten'!B1507:D1507,'02_Eingaben'!$C$13))</f>
        <v/>
      </c>
      <c r="D1507" s="27">
        <f>IF(C1507="","",C1507*'02_Eingaben'!$C$15)</f>
        <v/>
      </c>
      <c r="E1507" s="27">
        <f>IF(D1507="","",D1507*'02_Eingaben'!$C$8)</f>
        <v/>
      </c>
      <c r="F1507" s="27">
        <f>IF(E1507="","",AVERAGE(INDEX($E$2:$E$3001,MAX(1,ROW()-1-'02_Eingaben'!$C$17)):INDEX($E$2:$E$3001,MIN('02_Eingaben'!$C$21,ROW()-1+'02_Eingaben'!$C$17))))</f>
        <v/>
      </c>
      <c r="G1507" s="27">
        <f>IF(F1507="","",F1507-'02_Eingaben'!$C$10)</f>
        <v/>
      </c>
      <c r="H1507">
        <f>IF(F1507="","",IF(F1507&lt;'02_Eingaben'!$C$18*'02_Eingaben'!$C$10,1,0))</f>
        <v/>
      </c>
      <c r="I1507" s="27">
        <f>IF(OR(G1507="",G1508=""),"",(G1507+G1508)/2*(B1508-B1507))</f>
        <v/>
      </c>
      <c r="J1507" s="27">
        <f>IF(B1507="","",IF(B1506&lt;'02_Eingaben'!$C$36,0,J1506+I1506/'02_Eingaben'!$C$8))</f>
        <v/>
      </c>
    </row>
    <row r="1508">
      <c r="A1508">
        <f>IF('01_Rohdaten'!A1508="","",ROW()-1)</f>
        <v/>
      </c>
      <c r="B1508" s="27">
        <f>IF('01_Rohdaten'!A1508="","",'01_Rohdaten'!A1508)</f>
        <v/>
      </c>
      <c r="C1508" s="27">
        <f>IF(B1508="","",INDEX('01_Rohdaten'!B1508:D1508,'02_Eingaben'!$C$13))</f>
        <v/>
      </c>
      <c r="D1508" s="27">
        <f>IF(C1508="","",C1508*'02_Eingaben'!$C$15)</f>
        <v/>
      </c>
      <c r="E1508" s="27">
        <f>IF(D1508="","",D1508*'02_Eingaben'!$C$8)</f>
        <v/>
      </c>
      <c r="F1508" s="27">
        <f>IF(E1508="","",AVERAGE(INDEX($E$2:$E$3001,MAX(1,ROW()-1-'02_Eingaben'!$C$17)):INDEX($E$2:$E$3001,MIN('02_Eingaben'!$C$21,ROW()-1+'02_Eingaben'!$C$17))))</f>
        <v/>
      </c>
      <c r="G1508" s="27">
        <f>IF(F1508="","",F1508-'02_Eingaben'!$C$10)</f>
        <v/>
      </c>
      <c r="H1508">
        <f>IF(F1508="","",IF(F1508&lt;'02_Eingaben'!$C$18*'02_Eingaben'!$C$10,1,0))</f>
        <v/>
      </c>
      <c r="I1508" s="27">
        <f>IF(OR(G1508="",G1509=""),"",(G1508+G1509)/2*(B1509-B1508))</f>
        <v/>
      </c>
      <c r="J1508" s="27">
        <f>IF(B1508="","",IF(B1507&lt;'02_Eingaben'!$C$36,0,J1507+I1507/'02_Eingaben'!$C$8))</f>
        <v/>
      </c>
    </row>
    <row r="1509">
      <c r="A1509">
        <f>IF('01_Rohdaten'!A1509="","",ROW()-1)</f>
        <v/>
      </c>
      <c r="B1509" s="27">
        <f>IF('01_Rohdaten'!A1509="","",'01_Rohdaten'!A1509)</f>
        <v/>
      </c>
      <c r="C1509" s="27">
        <f>IF(B1509="","",INDEX('01_Rohdaten'!B1509:D1509,'02_Eingaben'!$C$13))</f>
        <v/>
      </c>
      <c r="D1509" s="27">
        <f>IF(C1509="","",C1509*'02_Eingaben'!$C$15)</f>
        <v/>
      </c>
      <c r="E1509" s="27">
        <f>IF(D1509="","",D1509*'02_Eingaben'!$C$8)</f>
        <v/>
      </c>
      <c r="F1509" s="27">
        <f>IF(E1509="","",AVERAGE(INDEX($E$2:$E$3001,MAX(1,ROW()-1-'02_Eingaben'!$C$17)):INDEX($E$2:$E$3001,MIN('02_Eingaben'!$C$21,ROW()-1+'02_Eingaben'!$C$17))))</f>
        <v/>
      </c>
      <c r="G1509" s="27">
        <f>IF(F1509="","",F1509-'02_Eingaben'!$C$10)</f>
        <v/>
      </c>
      <c r="H1509">
        <f>IF(F1509="","",IF(F1509&lt;'02_Eingaben'!$C$18*'02_Eingaben'!$C$10,1,0))</f>
        <v/>
      </c>
      <c r="I1509" s="27">
        <f>IF(OR(G1509="",G1510=""),"",(G1509+G1510)/2*(B1510-B1509))</f>
        <v/>
      </c>
      <c r="J1509" s="27">
        <f>IF(B1509="","",IF(B1508&lt;'02_Eingaben'!$C$36,0,J1508+I1508/'02_Eingaben'!$C$8))</f>
        <v/>
      </c>
    </row>
    <row r="1510">
      <c r="A1510">
        <f>IF('01_Rohdaten'!A1510="","",ROW()-1)</f>
        <v/>
      </c>
      <c r="B1510" s="27">
        <f>IF('01_Rohdaten'!A1510="","",'01_Rohdaten'!A1510)</f>
        <v/>
      </c>
      <c r="C1510" s="27">
        <f>IF(B1510="","",INDEX('01_Rohdaten'!B1510:D1510,'02_Eingaben'!$C$13))</f>
        <v/>
      </c>
      <c r="D1510" s="27">
        <f>IF(C1510="","",C1510*'02_Eingaben'!$C$15)</f>
        <v/>
      </c>
      <c r="E1510" s="27">
        <f>IF(D1510="","",D1510*'02_Eingaben'!$C$8)</f>
        <v/>
      </c>
      <c r="F1510" s="27">
        <f>IF(E1510="","",AVERAGE(INDEX($E$2:$E$3001,MAX(1,ROW()-1-'02_Eingaben'!$C$17)):INDEX($E$2:$E$3001,MIN('02_Eingaben'!$C$21,ROW()-1+'02_Eingaben'!$C$17))))</f>
        <v/>
      </c>
      <c r="G1510" s="27">
        <f>IF(F1510="","",F1510-'02_Eingaben'!$C$10)</f>
        <v/>
      </c>
      <c r="H1510">
        <f>IF(F1510="","",IF(F1510&lt;'02_Eingaben'!$C$18*'02_Eingaben'!$C$10,1,0))</f>
        <v/>
      </c>
      <c r="I1510" s="27">
        <f>IF(OR(G1510="",G1511=""),"",(G1510+G1511)/2*(B1511-B1510))</f>
        <v/>
      </c>
      <c r="J1510" s="27">
        <f>IF(B1510="","",IF(B1509&lt;'02_Eingaben'!$C$36,0,J1509+I1509/'02_Eingaben'!$C$8))</f>
        <v/>
      </c>
    </row>
    <row r="1511">
      <c r="A1511">
        <f>IF('01_Rohdaten'!A1511="","",ROW()-1)</f>
        <v/>
      </c>
      <c r="B1511" s="27">
        <f>IF('01_Rohdaten'!A1511="","",'01_Rohdaten'!A1511)</f>
        <v/>
      </c>
      <c r="C1511" s="27">
        <f>IF(B1511="","",INDEX('01_Rohdaten'!B1511:D1511,'02_Eingaben'!$C$13))</f>
        <v/>
      </c>
      <c r="D1511" s="27">
        <f>IF(C1511="","",C1511*'02_Eingaben'!$C$15)</f>
        <v/>
      </c>
      <c r="E1511" s="27">
        <f>IF(D1511="","",D1511*'02_Eingaben'!$C$8)</f>
        <v/>
      </c>
      <c r="F1511" s="27">
        <f>IF(E1511="","",AVERAGE(INDEX($E$2:$E$3001,MAX(1,ROW()-1-'02_Eingaben'!$C$17)):INDEX($E$2:$E$3001,MIN('02_Eingaben'!$C$21,ROW()-1+'02_Eingaben'!$C$17))))</f>
        <v/>
      </c>
      <c r="G1511" s="27">
        <f>IF(F1511="","",F1511-'02_Eingaben'!$C$10)</f>
        <v/>
      </c>
      <c r="H1511">
        <f>IF(F1511="","",IF(F1511&lt;'02_Eingaben'!$C$18*'02_Eingaben'!$C$10,1,0))</f>
        <v/>
      </c>
      <c r="I1511" s="27">
        <f>IF(OR(G1511="",G1512=""),"",(G1511+G1512)/2*(B1512-B1511))</f>
        <v/>
      </c>
      <c r="J1511" s="27">
        <f>IF(B1511="","",IF(B1510&lt;'02_Eingaben'!$C$36,0,J1510+I1510/'02_Eingaben'!$C$8))</f>
        <v/>
      </c>
    </row>
    <row r="1512">
      <c r="A1512">
        <f>IF('01_Rohdaten'!A1512="","",ROW()-1)</f>
        <v/>
      </c>
      <c r="B1512" s="27">
        <f>IF('01_Rohdaten'!A1512="","",'01_Rohdaten'!A1512)</f>
        <v/>
      </c>
      <c r="C1512" s="27">
        <f>IF(B1512="","",INDEX('01_Rohdaten'!B1512:D1512,'02_Eingaben'!$C$13))</f>
        <v/>
      </c>
      <c r="D1512" s="27">
        <f>IF(C1512="","",C1512*'02_Eingaben'!$C$15)</f>
        <v/>
      </c>
      <c r="E1512" s="27">
        <f>IF(D1512="","",D1512*'02_Eingaben'!$C$8)</f>
        <v/>
      </c>
      <c r="F1512" s="27">
        <f>IF(E1512="","",AVERAGE(INDEX($E$2:$E$3001,MAX(1,ROW()-1-'02_Eingaben'!$C$17)):INDEX($E$2:$E$3001,MIN('02_Eingaben'!$C$21,ROW()-1+'02_Eingaben'!$C$17))))</f>
        <v/>
      </c>
      <c r="G1512" s="27">
        <f>IF(F1512="","",F1512-'02_Eingaben'!$C$10)</f>
        <v/>
      </c>
      <c r="H1512">
        <f>IF(F1512="","",IF(F1512&lt;'02_Eingaben'!$C$18*'02_Eingaben'!$C$10,1,0))</f>
        <v/>
      </c>
      <c r="I1512" s="27">
        <f>IF(OR(G1512="",G1513=""),"",(G1512+G1513)/2*(B1513-B1512))</f>
        <v/>
      </c>
      <c r="J1512" s="27">
        <f>IF(B1512="","",IF(B1511&lt;'02_Eingaben'!$C$36,0,J1511+I1511/'02_Eingaben'!$C$8))</f>
        <v/>
      </c>
    </row>
    <row r="1513">
      <c r="A1513">
        <f>IF('01_Rohdaten'!A1513="","",ROW()-1)</f>
        <v/>
      </c>
      <c r="B1513" s="27">
        <f>IF('01_Rohdaten'!A1513="","",'01_Rohdaten'!A1513)</f>
        <v/>
      </c>
      <c r="C1513" s="27">
        <f>IF(B1513="","",INDEX('01_Rohdaten'!B1513:D1513,'02_Eingaben'!$C$13))</f>
        <v/>
      </c>
      <c r="D1513" s="27">
        <f>IF(C1513="","",C1513*'02_Eingaben'!$C$15)</f>
        <v/>
      </c>
      <c r="E1513" s="27">
        <f>IF(D1513="","",D1513*'02_Eingaben'!$C$8)</f>
        <v/>
      </c>
      <c r="F1513" s="27">
        <f>IF(E1513="","",AVERAGE(INDEX($E$2:$E$3001,MAX(1,ROW()-1-'02_Eingaben'!$C$17)):INDEX($E$2:$E$3001,MIN('02_Eingaben'!$C$21,ROW()-1+'02_Eingaben'!$C$17))))</f>
        <v/>
      </c>
      <c r="G1513" s="27">
        <f>IF(F1513="","",F1513-'02_Eingaben'!$C$10)</f>
        <v/>
      </c>
      <c r="H1513">
        <f>IF(F1513="","",IF(F1513&lt;'02_Eingaben'!$C$18*'02_Eingaben'!$C$10,1,0))</f>
        <v/>
      </c>
      <c r="I1513" s="27">
        <f>IF(OR(G1513="",G1514=""),"",(G1513+G1514)/2*(B1514-B1513))</f>
        <v/>
      </c>
      <c r="J1513" s="27">
        <f>IF(B1513="","",IF(B1512&lt;'02_Eingaben'!$C$36,0,J1512+I1512/'02_Eingaben'!$C$8))</f>
        <v/>
      </c>
    </row>
    <row r="1514">
      <c r="A1514">
        <f>IF('01_Rohdaten'!A1514="","",ROW()-1)</f>
        <v/>
      </c>
      <c r="B1514" s="27">
        <f>IF('01_Rohdaten'!A1514="","",'01_Rohdaten'!A1514)</f>
        <v/>
      </c>
      <c r="C1514" s="27">
        <f>IF(B1514="","",INDEX('01_Rohdaten'!B1514:D1514,'02_Eingaben'!$C$13))</f>
        <v/>
      </c>
      <c r="D1514" s="27">
        <f>IF(C1514="","",C1514*'02_Eingaben'!$C$15)</f>
        <v/>
      </c>
      <c r="E1514" s="27">
        <f>IF(D1514="","",D1514*'02_Eingaben'!$C$8)</f>
        <v/>
      </c>
      <c r="F1514" s="27">
        <f>IF(E1514="","",AVERAGE(INDEX($E$2:$E$3001,MAX(1,ROW()-1-'02_Eingaben'!$C$17)):INDEX($E$2:$E$3001,MIN('02_Eingaben'!$C$21,ROW()-1+'02_Eingaben'!$C$17))))</f>
        <v/>
      </c>
      <c r="G1514" s="27">
        <f>IF(F1514="","",F1514-'02_Eingaben'!$C$10)</f>
        <v/>
      </c>
      <c r="H1514">
        <f>IF(F1514="","",IF(F1514&lt;'02_Eingaben'!$C$18*'02_Eingaben'!$C$10,1,0))</f>
        <v/>
      </c>
      <c r="I1514" s="27">
        <f>IF(OR(G1514="",G1515=""),"",(G1514+G1515)/2*(B1515-B1514))</f>
        <v/>
      </c>
      <c r="J1514" s="27">
        <f>IF(B1514="","",IF(B1513&lt;'02_Eingaben'!$C$36,0,J1513+I1513/'02_Eingaben'!$C$8))</f>
        <v/>
      </c>
    </row>
    <row r="1515">
      <c r="A1515">
        <f>IF('01_Rohdaten'!A1515="","",ROW()-1)</f>
        <v/>
      </c>
      <c r="B1515" s="27">
        <f>IF('01_Rohdaten'!A1515="","",'01_Rohdaten'!A1515)</f>
        <v/>
      </c>
      <c r="C1515" s="27">
        <f>IF(B1515="","",INDEX('01_Rohdaten'!B1515:D1515,'02_Eingaben'!$C$13))</f>
        <v/>
      </c>
      <c r="D1515" s="27">
        <f>IF(C1515="","",C1515*'02_Eingaben'!$C$15)</f>
        <v/>
      </c>
      <c r="E1515" s="27">
        <f>IF(D1515="","",D1515*'02_Eingaben'!$C$8)</f>
        <v/>
      </c>
      <c r="F1515" s="27">
        <f>IF(E1515="","",AVERAGE(INDEX($E$2:$E$3001,MAX(1,ROW()-1-'02_Eingaben'!$C$17)):INDEX($E$2:$E$3001,MIN('02_Eingaben'!$C$21,ROW()-1+'02_Eingaben'!$C$17))))</f>
        <v/>
      </c>
      <c r="G1515" s="27">
        <f>IF(F1515="","",F1515-'02_Eingaben'!$C$10)</f>
        <v/>
      </c>
      <c r="H1515">
        <f>IF(F1515="","",IF(F1515&lt;'02_Eingaben'!$C$18*'02_Eingaben'!$C$10,1,0))</f>
        <v/>
      </c>
      <c r="I1515" s="27">
        <f>IF(OR(G1515="",G1516=""),"",(G1515+G1516)/2*(B1516-B1515))</f>
        <v/>
      </c>
      <c r="J1515" s="27">
        <f>IF(B1515="","",IF(B1514&lt;'02_Eingaben'!$C$36,0,J1514+I1514/'02_Eingaben'!$C$8))</f>
        <v/>
      </c>
    </row>
    <row r="1516">
      <c r="A1516">
        <f>IF('01_Rohdaten'!A1516="","",ROW()-1)</f>
        <v/>
      </c>
      <c r="B1516" s="27">
        <f>IF('01_Rohdaten'!A1516="","",'01_Rohdaten'!A1516)</f>
        <v/>
      </c>
      <c r="C1516" s="27">
        <f>IF(B1516="","",INDEX('01_Rohdaten'!B1516:D1516,'02_Eingaben'!$C$13))</f>
        <v/>
      </c>
      <c r="D1516" s="27">
        <f>IF(C1516="","",C1516*'02_Eingaben'!$C$15)</f>
        <v/>
      </c>
      <c r="E1516" s="27">
        <f>IF(D1516="","",D1516*'02_Eingaben'!$C$8)</f>
        <v/>
      </c>
      <c r="F1516" s="27">
        <f>IF(E1516="","",AVERAGE(INDEX($E$2:$E$3001,MAX(1,ROW()-1-'02_Eingaben'!$C$17)):INDEX($E$2:$E$3001,MIN('02_Eingaben'!$C$21,ROW()-1+'02_Eingaben'!$C$17))))</f>
        <v/>
      </c>
      <c r="G1516" s="27">
        <f>IF(F1516="","",F1516-'02_Eingaben'!$C$10)</f>
        <v/>
      </c>
      <c r="H1516">
        <f>IF(F1516="","",IF(F1516&lt;'02_Eingaben'!$C$18*'02_Eingaben'!$C$10,1,0))</f>
        <v/>
      </c>
      <c r="I1516" s="27">
        <f>IF(OR(G1516="",G1517=""),"",(G1516+G1517)/2*(B1517-B1516))</f>
        <v/>
      </c>
      <c r="J1516" s="27">
        <f>IF(B1516="","",IF(B1515&lt;'02_Eingaben'!$C$36,0,J1515+I1515/'02_Eingaben'!$C$8))</f>
        <v/>
      </c>
    </row>
    <row r="1517">
      <c r="A1517">
        <f>IF('01_Rohdaten'!A1517="","",ROW()-1)</f>
        <v/>
      </c>
      <c r="B1517" s="27">
        <f>IF('01_Rohdaten'!A1517="","",'01_Rohdaten'!A1517)</f>
        <v/>
      </c>
      <c r="C1517" s="27">
        <f>IF(B1517="","",INDEX('01_Rohdaten'!B1517:D1517,'02_Eingaben'!$C$13))</f>
        <v/>
      </c>
      <c r="D1517" s="27">
        <f>IF(C1517="","",C1517*'02_Eingaben'!$C$15)</f>
        <v/>
      </c>
      <c r="E1517" s="27">
        <f>IF(D1517="","",D1517*'02_Eingaben'!$C$8)</f>
        <v/>
      </c>
      <c r="F1517" s="27">
        <f>IF(E1517="","",AVERAGE(INDEX($E$2:$E$3001,MAX(1,ROW()-1-'02_Eingaben'!$C$17)):INDEX($E$2:$E$3001,MIN('02_Eingaben'!$C$21,ROW()-1+'02_Eingaben'!$C$17))))</f>
        <v/>
      </c>
      <c r="G1517" s="27">
        <f>IF(F1517="","",F1517-'02_Eingaben'!$C$10)</f>
        <v/>
      </c>
      <c r="H1517">
        <f>IF(F1517="","",IF(F1517&lt;'02_Eingaben'!$C$18*'02_Eingaben'!$C$10,1,0))</f>
        <v/>
      </c>
      <c r="I1517" s="27">
        <f>IF(OR(G1517="",G1518=""),"",(G1517+G1518)/2*(B1518-B1517))</f>
        <v/>
      </c>
      <c r="J1517" s="27">
        <f>IF(B1517="","",IF(B1516&lt;'02_Eingaben'!$C$36,0,J1516+I1516/'02_Eingaben'!$C$8))</f>
        <v/>
      </c>
    </row>
    <row r="1518">
      <c r="A1518">
        <f>IF('01_Rohdaten'!A1518="","",ROW()-1)</f>
        <v/>
      </c>
      <c r="B1518" s="27">
        <f>IF('01_Rohdaten'!A1518="","",'01_Rohdaten'!A1518)</f>
        <v/>
      </c>
      <c r="C1518" s="27">
        <f>IF(B1518="","",INDEX('01_Rohdaten'!B1518:D1518,'02_Eingaben'!$C$13))</f>
        <v/>
      </c>
      <c r="D1518" s="27">
        <f>IF(C1518="","",C1518*'02_Eingaben'!$C$15)</f>
        <v/>
      </c>
      <c r="E1518" s="27">
        <f>IF(D1518="","",D1518*'02_Eingaben'!$C$8)</f>
        <v/>
      </c>
      <c r="F1518" s="27">
        <f>IF(E1518="","",AVERAGE(INDEX($E$2:$E$3001,MAX(1,ROW()-1-'02_Eingaben'!$C$17)):INDEX($E$2:$E$3001,MIN('02_Eingaben'!$C$21,ROW()-1+'02_Eingaben'!$C$17))))</f>
        <v/>
      </c>
      <c r="G1518" s="27">
        <f>IF(F1518="","",F1518-'02_Eingaben'!$C$10)</f>
        <v/>
      </c>
      <c r="H1518">
        <f>IF(F1518="","",IF(F1518&lt;'02_Eingaben'!$C$18*'02_Eingaben'!$C$10,1,0))</f>
        <v/>
      </c>
      <c r="I1518" s="27">
        <f>IF(OR(G1518="",G1519=""),"",(G1518+G1519)/2*(B1519-B1518))</f>
        <v/>
      </c>
      <c r="J1518" s="27">
        <f>IF(B1518="","",IF(B1517&lt;'02_Eingaben'!$C$36,0,J1517+I1517/'02_Eingaben'!$C$8))</f>
        <v/>
      </c>
    </row>
    <row r="1519">
      <c r="A1519">
        <f>IF('01_Rohdaten'!A1519="","",ROW()-1)</f>
        <v/>
      </c>
      <c r="B1519" s="27">
        <f>IF('01_Rohdaten'!A1519="","",'01_Rohdaten'!A1519)</f>
        <v/>
      </c>
      <c r="C1519" s="27">
        <f>IF(B1519="","",INDEX('01_Rohdaten'!B1519:D1519,'02_Eingaben'!$C$13))</f>
        <v/>
      </c>
      <c r="D1519" s="27">
        <f>IF(C1519="","",C1519*'02_Eingaben'!$C$15)</f>
        <v/>
      </c>
      <c r="E1519" s="27">
        <f>IF(D1519="","",D1519*'02_Eingaben'!$C$8)</f>
        <v/>
      </c>
      <c r="F1519" s="27">
        <f>IF(E1519="","",AVERAGE(INDEX($E$2:$E$3001,MAX(1,ROW()-1-'02_Eingaben'!$C$17)):INDEX($E$2:$E$3001,MIN('02_Eingaben'!$C$21,ROW()-1+'02_Eingaben'!$C$17))))</f>
        <v/>
      </c>
      <c r="G1519" s="27">
        <f>IF(F1519="","",F1519-'02_Eingaben'!$C$10)</f>
        <v/>
      </c>
      <c r="H1519">
        <f>IF(F1519="","",IF(F1519&lt;'02_Eingaben'!$C$18*'02_Eingaben'!$C$10,1,0))</f>
        <v/>
      </c>
      <c r="I1519" s="27">
        <f>IF(OR(G1519="",G1520=""),"",(G1519+G1520)/2*(B1520-B1519))</f>
        <v/>
      </c>
      <c r="J1519" s="27">
        <f>IF(B1519="","",IF(B1518&lt;'02_Eingaben'!$C$36,0,J1518+I1518/'02_Eingaben'!$C$8))</f>
        <v/>
      </c>
    </row>
    <row r="1520">
      <c r="A1520">
        <f>IF('01_Rohdaten'!A1520="","",ROW()-1)</f>
        <v/>
      </c>
      <c r="B1520" s="27">
        <f>IF('01_Rohdaten'!A1520="","",'01_Rohdaten'!A1520)</f>
        <v/>
      </c>
      <c r="C1520" s="27">
        <f>IF(B1520="","",INDEX('01_Rohdaten'!B1520:D1520,'02_Eingaben'!$C$13))</f>
        <v/>
      </c>
      <c r="D1520" s="27">
        <f>IF(C1520="","",C1520*'02_Eingaben'!$C$15)</f>
        <v/>
      </c>
      <c r="E1520" s="27">
        <f>IF(D1520="","",D1520*'02_Eingaben'!$C$8)</f>
        <v/>
      </c>
      <c r="F1520" s="27">
        <f>IF(E1520="","",AVERAGE(INDEX($E$2:$E$3001,MAX(1,ROW()-1-'02_Eingaben'!$C$17)):INDEX($E$2:$E$3001,MIN('02_Eingaben'!$C$21,ROW()-1+'02_Eingaben'!$C$17))))</f>
        <v/>
      </c>
      <c r="G1520" s="27">
        <f>IF(F1520="","",F1520-'02_Eingaben'!$C$10)</f>
        <v/>
      </c>
      <c r="H1520">
        <f>IF(F1520="","",IF(F1520&lt;'02_Eingaben'!$C$18*'02_Eingaben'!$C$10,1,0))</f>
        <v/>
      </c>
      <c r="I1520" s="27">
        <f>IF(OR(G1520="",G1521=""),"",(G1520+G1521)/2*(B1521-B1520))</f>
        <v/>
      </c>
      <c r="J1520" s="27">
        <f>IF(B1520="","",IF(B1519&lt;'02_Eingaben'!$C$36,0,J1519+I1519/'02_Eingaben'!$C$8))</f>
        <v/>
      </c>
    </row>
    <row r="1521">
      <c r="A1521">
        <f>IF('01_Rohdaten'!A1521="","",ROW()-1)</f>
        <v/>
      </c>
      <c r="B1521" s="27">
        <f>IF('01_Rohdaten'!A1521="","",'01_Rohdaten'!A1521)</f>
        <v/>
      </c>
      <c r="C1521" s="27">
        <f>IF(B1521="","",INDEX('01_Rohdaten'!B1521:D1521,'02_Eingaben'!$C$13))</f>
        <v/>
      </c>
      <c r="D1521" s="27">
        <f>IF(C1521="","",C1521*'02_Eingaben'!$C$15)</f>
        <v/>
      </c>
      <c r="E1521" s="27">
        <f>IF(D1521="","",D1521*'02_Eingaben'!$C$8)</f>
        <v/>
      </c>
      <c r="F1521" s="27">
        <f>IF(E1521="","",AVERAGE(INDEX($E$2:$E$3001,MAX(1,ROW()-1-'02_Eingaben'!$C$17)):INDEX($E$2:$E$3001,MIN('02_Eingaben'!$C$21,ROW()-1+'02_Eingaben'!$C$17))))</f>
        <v/>
      </c>
      <c r="G1521" s="27">
        <f>IF(F1521="","",F1521-'02_Eingaben'!$C$10)</f>
        <v/>
      </c>
      <c r="H1521">
        <f>IF(F1521="","",IF(F1521&lt;'02_Eingaben'!$C$18*'02_Eingaben'!$C$10,1,0))</f>
        <v/>
      </c>
      <c r="I1521" s="27">
        <f>IF(OR(G1521="",G1522=""),"",(G1521+G1522)/2*(B1522-B1521))</f>
        <v/>
      </c>
      <c r="J1521" s="27">
        <f>IF(B1521="","",IF(B1520&lt;'02_Eingaben'!$C$36,0,J1520+I1520/'02_Eingaben'!$C$8))</f>
        <v/>
      </c>
    </row>
    <row r="1522">
      <c r="A1522">
        <f>IF('01_Rohdaten'!A1522="","",ROW()-1)</f>
        <v/>
      </c>
      <c r="B1522" s="27">
        <f>IF('01_Rohdaten'!A1522="","",'01_Rohdaten'!A1522)</f>
        <v/>
      </c>
      <c r="C1522" s="27">
        <f>IF(B1522="","",INDEX('01_Rohdaten'!B1522:D1522,'02_Eingaben'!$C$13))</f>
        <v/>
      </c>
      <c r="D1522" s="27">
        <f>IF(C1522="","",C1522*'02_Eingaben'!$C$15)</f>
        <v/>
      </c>
      <c r="E1522" s="27">
        <f>IF(D1522="","",D1522*'02_Eingaben'!$C$8)</f>
        <v/>
      </c>
      <c r="F1522" s="27">
        <f>IF(E1522="","",AVERAGE(INDEX($E$2:$E$3001,MAX(1,ROW()-1-'02_Eingaben'!$C$17)):INDEX($E$2:$E$3001,MIN('02_Eingaben'!$C$21,ROW()-1+'02_Eingaben'!$C$17))))</f>
        <v/>
      </c>
      <c r="G1522" s="27">
        <f>IF(F1522="","",F1522-'02_Eingaben'!$C$10)</f>
        <v/>
      </c>
      <c r="H1522">
        <f>IF(F1522="","",IF(F1522&lt;'02_Eingaben'!$C$18*'02_Eingaben'!$C$10,1,0))</f>
        <v/>
      </c>
      <c r="I1522" s="27">
        <f>IF(OR(G1522="",G1523=""),"",(G1522+G1523)/2*(B1523-B1522))</f>
        <v/>
      </c>
      <c r="J1522" s="27">
        <f>IF(B1522="","",IF(B1521&lt;'02_Eingaben'!$C$36,0,J1521+I1521/'02_Eingaben'!$C$8))</f>
        <v/>
      </c>
    </row>
    <row r="1523">
      <c r="A1523">
        <f>IF('01_Rohdaten'!A1523="","",ROW()-1)</f>
        <v/>
      </c>
      <c r="B1523" s="27">
        <f>IF('01_Rohdaten'!A1523="","",'01_Rohdaten'!A1523)</f>
        <v/>
      </c>
      <c r="C1523" s="27">
        <f>IF(B1523="","",INDEX('01_Rohdaten'!B1523:D1523,'02_Eingaben'!$C$13))</f>
        <v/>
      </c>
      <c r="D1523" s="27">
        <f>IF(C1523="","",C1523*'02_Eingaben'!$C$15)</f>
        <v/>
      </c>
      <c r="E1523" s="27">
        <f>IF(D1523="","",D1523*'02_Eingaben'!$C$8)</f>
        <v/>
      </c>
      <c r="F1523" s="27">
        <f>IF(E1523="","",AVERAGE(INDEX($E$2:$E$3001,MAX(1,ROW()-1-'02_Eingaben'!$C$17)):INDEX($E$2:$E$3001,MIN('02_Eingaben'!$C$21,ROW()-1+'02_Eingaben'!$C$17))))</f>
        <v/>
      </c>
      <c r="G1523" s="27">
        <f>IF(F1523="","",F1523-'02_Eingaben'!$C$10)</f>
        <v/>
      </c>
      <c r="H1523">
        <f>IF(F1523="","",IF(F1523&lt;'02_Eingaben'!$C$18*'02_Eingaben'!$C$10,1,0))</f>
        <v/>
      </c>
      <c r="I1523" s="27">
        <f>IF(OR(G1523="",G1524=""),"",(G1523+G1524)/2*(B1524-B1523))</f>
        <v/>
      </c>
      <c r="J1523" s="27">
        <f>IF(B1523="","",IF(B1522&lt;'02_Eingaben'!$C$36,0,J1522+I1522/'02_Eingaben'!$C$8))</f>
        <v/>
      </c>
    </row>
    <row r="1524">
      <c r="A1524">
        <f>IF('01_Rohdaten'!A1524="","",ROW()-1)</f>
        <v/>
      </c>
      <c r="B1524" s="27">
        <f>IF('01_Rohdaten'!A1524="","",'01_Rohdaten'!A1524)</f>
        <v/>
      </c>
      <c r="C1524" s="27">
        <f>IF(B1524="","",INDEX('01_Rohdaten'!B1524:D1524,'02_Eingaben'!$C$13))</f>
        <v/>
      </c>
      <c r="D1524" s="27">
        <f>IF(C1524="","",C1524*'02_Eingaben'!$C$15)</f>
        <v/>
      </c>
      <c r="E1524" s="27">
        <f>IF(D1524="","",D1524*'02_Eingaben'!$C$8)</f>
        <v/>
      </c>
      <c r="F1524" s="27">
        <f>IF(E1524="","",AVERAGE(INDEX($E$2:$E$3001,MAX(1,ROW()-1-'02_Eingaben'!$C$17)):INDEX($E$2:$E$3001,MIN('02_Eingaben'!$C$21,ROW()-1+'02_Eingaben'!$C$17))))</f>
        <v/>
      </c>
      <c r="G1524" s="27">
        <f>IF(F1524="","",F1524-'02_Eingaben'!$C$10)</f>
        <v/>
      </c>
      <c r="H1524">
        <f>IF(F1524="","",IF(F1524&lt;'02_Eingaben'!$C$18*'02_Eingaben'!$C$10,1,0))</f>
        <v/>
      </c>
      <c r="I1524" s="27">
        <f>IF(OR(G1524="",G1525=""),"",(G1524+G1525)/2*(B1525-B1524))</f>
        <v/>
      </c>
      <c r="J1524" s="27">
        <f>IF(B1524="","",IF(B1523&lt;'02_Eingaben'!$C$36,0,J1523+I1523/'02_Eingaben'!$C$8))</f>
        <v/>
      </c>
    </row>
    <row r="1525">
      <c r="A1525">
        <f>IF('01_Rohdaten'!A1525="","",ROW()-1)</f>
        <v/>
      </c>
      <c r="B1525" s="27">
        <f>IF('01_Rohdaten'!A1525="","",'01_Rohdaten'!A1525)</f>
        <v/>
      </c>
      <c r="C1525" s="27">
        <f>IF(B1525="","",INDEX('01_Rohdaten'!B1525:D1525,'02_Eingaben'!$C$13))</f>
        <v/>
      </c>
      <c r="D1525" s="27">
        <f>IF(C1525="","",C1525*'02_Eingaben'!$C$15)</f>
        <v/>
      </c>
      <c r="E1525" s="27">
        <f>IF(D1525="","",D1525*'02_Eingaben'!$C$8)</f>
        <v/>
      </c>
      <c r="F1525" s="27">
        <f>IF(E1525="","",AVERAGE(INDEX($E$2:$E$3001,MAX(1,ROW()-1-'02_Eingaben'!$C$17)):INDEX($E$2:$E$3001,MIN('02_Eingaben'!$C$21,ROW()-1+'02_Eingaben'!$C$17))))</f>
        <v/>
      </c>
      <c r="G1525" s="27">
        <f>IF(F1525="","",F1525-'02_Eingaben'!$C$10)</f>
        <v/>
      </c>
      <c r="H1525">
        <f>IF(F1525="","",IF(F1525&lt;'02_Eingaben'!$C$18*'02_Eingaben'!$C$10,1,0))</f>
        <v/>
      </c>
      <c r="I1525" s="27">
        <f>IF(OR(G1525="",G1526=""),"",(G1525+G1526)/2*(B1526-B1525))</f>
        <v/>
      </c>
      <c r="J1525" s="27">
        <f>IF(B1525="","",IF(B1524&lt;'02_Eingaben'!$C$36,0,J1524+I1524/'02_Eingaben'!$C$8))</f>
        <v/>
      </c>
    </row>
    <row r="1526">
      <c r="A1526">
        <f>IF('01_Rohdaten'!A1526="","",ROW()-1)</f>
        <v/>
      </c>
      <c r="B1526" s="27">
        <f>IF('01_Rohdaten'!A1526="","",'01_Rohdaten'!A1526)</f>
        <v/>
      </c>
      <c r="C1526" s="27">
        <f>IF(B1526="","",INDEX('01_Rohdaten'!B1526:D1526,'02_Eingaben'!$C$13))</f>
        <v/>
      </c>
      <c r="D1526" s="27">
        <f>IF(C1526="","",C1526*'02_Eingaben'!$C$15)</f>
        <v/>
      </c>
      <c r="E1526" s="27">
        <f>IF(D1526="","",D1526*'02_Eingaben'!$C$8)</f>
        <v/>
      </c>
      <c r="F1526" s="27">
        <f>IF(E1526="","",AVERAGE(INDEX($E$2:$E$3001,MAX(1,ROW()-1-'02_Eingaben'!$C$17)):INDEX($E$2:$E$3001,MIN('02_Eingaben'!$C$21,ROW()-1+'02_Eingaben'!$C$17))))</f>
        <v/>
      </c>
      <c r="G1526" s="27">
        <f>IF(F1526="","",F1526-'02_Eingaben'!$C$10)</f>
        <v/>
      </c>
      <c r="H1526">
        <f>IF(F1526="","",IF(F1526&lt;'02_Eingaben'!$C$18*'02_Eingaben'!$C$10,1,0))</f>
        <v/>
      </c>
      <c r="I1526" s="27">
        <f>IF(OR(G1526="",G1527=""),"",(G1526+G1527)/2*(B1527-B1526))</f>
        <v/>
      </c>
      <c r="J1526" s="27">
        <f>IF(B1526="","",IF(B1525&lt;'02_Eingaben'!$C$36,0,J1525+I1525/'02_Eingaben'!$C$8))</f>
        <v/>
      </c>
    </row>
    <row r="1527">
      <c r="A1527">
        <f>IF('01_Rohdaten'!A1527="","",ROW()-1)</f>
        <v/>
      </c>
      <c r="B1527" s="27">
        <f>IF('01_Rohdaten'!A1527="","",'01_Rohdaten'!A1527)</f>
        <v/>
      </c>
      <c r="C1527" s="27">
        <f>IF(B1527="","",INDEX('01_Rohdaten'!B1527:D1527,'02_Eingaben'!$C$13))</f>
        <v/>
      </c>
      <c r="D1527" s="27">
        <f>IF(C1527="","",C1527*'02_Eingaben'!$C$15)</f>
        <v/>
      </c>
      <c r="E1527" s="27">
        <f>IF(D1527="","",D1527*'02_Eingaben'!$C$8)</f>
        <v/>
      </c>
      <c r="F1527" s="27">
        <f>IF(E1527="","",AVERAGE(INDEX($E$2:$E$3001,MAX(1,ROW()-1-'02_Eingaben'!$C$17)):INDEX($E$2:$E$3001,MIN('02_Eingaben'!$C$21,ROW()-1+'02_Eingaben'!$C$17))))</f>
        <v/>
      </c>
      <c r="G1527" s="27">
        <f>IF(F1527="","",F1527-'02_Eingaben'!$C$10)</f>
        <v/>
      </c>
      <c r="H1527">
        <f>IF(F1527="","",IF(F1527&lt;'02_Eingaben'!$C$18*'02_Eingaben'!$C$10,1,0))</f>
        <v/>
      </c>
      <c r="I1527" s="27">
        <f>IF(OR(G1527="",G1528=""),"",(G1527+G1528)/2*(B1528-B1527))</f>
        <v/>
      </c>
      <c r="J1527" s="27">
        <f>IF(B1527="","",IF(B1526&lt;'02_Eingaben'!$C$36,0,J1526+I1526/'02_Eingaben'!$C$8))</f>
        <v/>
      </c>
    </row>
    <row r="1528">
      <c r="A1528">
        <f>IF('01_Rohdaten'!A1528="","",ROW()-1)</f>
        <v/>
      </c>
      <c r="B1528" s="27">
        <f>IF('01_Rohdaten'!A1528="","",'01_Rohdaten'!A1528)</f>
        <v/>
      </c>
      <c r="C1528" s="27">
        <f>IF(B1528="","",INDEX('01_Rohdaten'!B1528:D1528,'02_Eingaben'!$C$13))</f>
        <v/>
      </c>
      <c r="D1528" s="27">
        <f>IF(C1528="","",C1528*'02_Eingaben'!$C$15)</f>
        <v/>
      </c>
      <c r="E1528" s="27">
        <f>IF(D1528="","",D1528*'02_Eingaben'!$C$8)</f>
        <v/>
      </c>
      <c r="F1528" s="27">
        <f>IF(E1528="","",AVERAGE(INDEX($E$2:$E$3001,MAX(1,ROW()-1-'02_Eingaben'!$C$17)):INDEX($E$2:$E$3001,MIN('02_Eingaben'!$C$21,ROW()-1+'02_Eingaben'!$C$17))))</f>
        <v/>
      </c>
      <c r="G1528" s="27">
        <f>IF(F1528="","",F1528-'02_Eingaben'!$C$10)</f>
        <v/>
      </c>
      <c r="H1528">
        <f>IF(F1528="","",IF(F1528&lt;'02_Eingaben'!$C$18*'02_Eingaben'!$C$10,1,0))</f>
        <v/>
      </c>
      <c r="I1528" s="27">
        <f>IF(OR(G1528="",G1529=""),"",(G1528+G1529)/2*(B1529-B1528))</f>
        <v/>
      </c>
      <c r="J1528" s="27">
        <f>IF(B1528="","",IF(B1527&lt;'02_Eingaben'!$C$36,0,J1527+I1527/'02_Eingaben'!$C$8))</f>
        <v/>
      </c>
    </row>
    <row r="1529">
      <c r="A1529">
        <f>IF('01_Rohdaten'!A1529="","",ROW()-1)</f>
        <v/>
      </c>
      <c r="B1529" s="27">
        <f>IF('01_Rohdaten'!A1529="","",'01_Rohdaten'!A1529)</f>
        <v/>
      </c>
      <c r="C1529" s="27">
        <f>IF(B1529="","",INDEX('01_Rohdaten'!B1529:D1529,'02_Eingaben'!$C$13))</f>
        <v/>
      </c>
      <c r="D1529" s="27">
        <f>IF(C1529="","",C1529*'02_Eingaben'!$C$15)</f>
        <v/>
      </c>
      <c r="E1529" s="27">
        <f>IF(D1529="","",D1529*'02_Eingaben'!$C$8)</f>
        <v/>
      </c>
      <c r="F1529" s="27">
        <f>IF(E1529="","",AVERAGE(INDEX($E$2:$E$3001,MAX(1,ROW()-1-'02_Eingaben'!$C$17)):INDEX($E$2:$E$3001,MIN('02_Eingaben'!$C$21,ROW()-1+'02_Eingaben'!$C$17))))</f>
        <v/>
      </c>
      <c r="G1529" s="27">
        <f>IF(F1529="","",F1529-'02_Eingaben'!$C$10)</f>
        <v/>
      </c>
      <c r="H1529">
        <f>IF(F1529="","",IF(F1529&lt;'02_Eingaben'!$C$18*'02_Eingaben'!$C$10,1,0))</f>
        <v/>
      </c>
      <c r="I1529" s="27">
        <f>IF(OR(G1529="",G1530=""),"",(G1529+G1530)/2*(B1530-B1529))</f>
        <v/>
      </c>
      <c r="J1529" s="27">
        <f>IF(B1529="","",IF(B1528&lt;'02_Eingaben'!$C$36,0,J1528+I1528/'02_Eingaben'!$C$8))</f>
        <v/>
      </c>
    </row>
    <row r="1530">
      <c r="A1530">
        <f>IF('01_Rohdaten'!A1530="","",ROW()-1)</f>
        <v/>
      </c>
      <c r="B1530" s="27">
        <f>IF('01_Rohdaten'!A1530="","",'01_Rohdaten'!A1530)</f>
        <v/>
      </c>
      <c r="C1530" s="27">
        <f>IF(B1530="","",INDEX('01_Rohdaten'!B1530:D1530,'02_Eingaben'!$C$13))</f>
        <v/>
      </c>
      <c r="D1530" s="27">
        <f>IF(C1530="","",C1530*'02_Eingaben'!$C$15)</f>
        <v/>
      </c>
      <c r="E1530" s="27">
        <f>IF(D1530="","",D1530*'02_Eingaben'!$C$8)</f>
        <v/>
      </c>
      <c r="F1530" s="27">
        <f>IF(E1530="","",AVERAGE(INDEX($E$2:$E$3001,MAX(1,ROW()-1-'02_Eingaben'!$C$17)):INDEX($E$2:$E$3001,MIN('02_Eingaben'!$C$21,ROW()-1+'02_Eingaben'!$C$17))))</f>
        <v/>
      </c>
      <c r="G1530" s="27">
        <f>IF(F1530="","",F1530-'02_Eingaben'!$C$10)</f>
        <v/>
      </c>
      <c r="H1530">
        <f>IF(F1530="","",IF(F1530&lt;'02_Eingaben'!$C$18*'02_Eingaben'!$C$10,1,0))</f>
        <v/>
      </c>
      <c r="I1530" s="27">
        <f>IF(OR(G1530="",G1531=""),"",(G1530+G1531)/2*(B1531-B1530))</f>
        <v/>
      </c>
      <c r="J1530" s="27">
        <f>IF(B1530="","",IF(B1529&lt;'02_Eingaben'!$C$36,0,J1529+I1529/'02_Eingaben'!$C$8))</f>
        <v/>
      </c>
    </row>
    <row r="1531">
      <c r="A1531">
        <f>IF('01_Rohdaten'!A1531="","",ROW()-1)</f>
        <v/>
      </c>
      <c r="B1531" s="27">
        <f>IF('01_Rohdaten'!A1531="","",'01_Rohdaten'!A1531)</f>
        <v/>
      </c>
      <c r="C1531" s="27">
        <f>IF(B1531="","",INDEX('01_Rohdaten'!B1531:D1531,'02_Eingaben'!$C$13))</f>
        <v/>
      </c>
      <c r="D1531" s="27">
        <f>IF(C1531="","",C1531*'02_Eingaben'!$C$15)</f>
        <v/>
      </c>
      <c r="E1531" s="27">
        <f>IF(D1531="","",D1531*'02_Eingaben'!$C$8)</f>
        <v/>
      </c>
      <c r="F1531" s="27">
        <f>IF(E1531="","",AVERAGE(INDEX($E$2:$E$3001,MAX(1,ROW()-1-'02_Eingaben'!$C$17)):INDEX($E$2:$E$3001,MIN('02_Eingaben'!$C$21,ROW()-1+'02_Eingaben'!$C$17))))</f>
        <v/>
      </c>
      <c r="G1531" s="27">
        <f>IF(F1531="","",F1531-'02_Eingaben'!$C$10)</f>
        <v/>
      </c>
      <c r="H1531">
        <f>IF(F1531="","",IF(F1531&lt;'02_Eingaben'!$C$18*'02_Eingaben'!$C$10,1,0))</f>
        <v/>
      </c>
      <c r="I1531" s="27">
        <f>IF(OR(G1531="",G1532=""),"",(G1531+G1532)/2*(B1532-B1531))</f>
        <v/>
      </c>
      <c r="J1531" s="27">
        <f>IF(B1531="","",IF(B1530&lt;'02_Eingaben'!$C$36,0,J1530+I1530/'02_Eingaben'!$C$8))</f>
        <v/>
      </c>
    </row>
    <row r="1532">
      <c r="A1532">
        <f>IF('01_Rohdaten'!A1532="","",ROW()-1)</f>
        <v/>
      </c>
      <c r="B1532" s="27">
        <f>IF('01_Rohdaten'!A1532="","",'01_Rohdaten'!A1532)</f>
        <v/>
      </c>
      <c r="C1532" s="27">
        <f>IF(B1532="","",INDEX('01_Rohdaten'!B1532:D1532,'02_Eingaben'!$C$13))</f>
        <v/>
      </c>
      <c r="D1532" s="27">
        <f>IF(C1532="","",C1532*'02_Eingaben'!$C$15)</f>
        <v/>
      </c>
      <c r="E1532" s="27">
        <f>IF(D1532="","",D1532*'02_Eingaben'!$C$8)</f>
        <v/>
      </c>
      <c r="F1532" s="27">
        <f>IF(E1532="","",AVERAGE(INDEX($E$2:$E$3001,MAX(1,ROW()-1-'02_Eingaben'!$C$17)):INDEX($E$2:$E$3001,MIN('02_Eingaben'!$C$21,ROW()-1+'02_Eingaben'!$C$17))))</f>
        <v/>
      </c>
      <c r="G1532" s="27">
        <f>IF(F1532="","",F1532-'02_Eingaben'!$C$10)</f>
        <v/>
      </c>
      <c r="H1532">
        <f>IF(F1532="","",IF(F1532&lt;'02_Eingaben'!$C$18*'02_Eingaben'!$C$10,1,0))</f>
        <v/>
      </c>
      <c r="I1532" s="27">
        <f>IF(OR(G1532="",G1533=""),"",(G1532+G1533)/2*(B1533-B1532))</f>
        <v/>
      </c>
      <c r="J1532" s="27">
        <f>IF(B1532="","",IF(B1531&lt;'02_Eingaben'!$C$36,0,J1531+I1531/'02_Eingaben'!$C$8))</f>
        <v/>
      </c>
    </row>
    <row r="1533">
      <c r="A1533">
        <f>IF('01_Rohdaten'!A1533="","",ROW()-1)</f>
        <v/>
      </c>
      <c r="B1533" s="27">
        <f>IF('01_Rohdaten'!A1533="","",'01_Rohdaten'!A1533)</f>
        <v/>
      </c>
      <c r="C1533" s="27">
        <f>IF(B1533="","",INDEX('01_Rohdaten'!B1533:D1533,'02_Eingaben'!$C$13))</f>
        <v/>
      </c>
      <c r="D1533" s="27">
        <f>IF(C1533="","",C1533*'02_Eingaben'!$C$15)</f>
        <v/>
      </c>
      <c r="E1533" s="27">
        <f>IF(D1533="","",D1533*'02_Eingaben'!$C$8)</f>
        <v/>
      </c>
      <c r="F1533" s="27">
        <f>IF(E1533="","",AVERAGE(INDEX($E$2:$E$3001,MAX(1,ROW()-1-'02_Eingaben'!$C$17)):INDEX($E$2:$E$3001,MIN('02_Eingaben'!$C$21,ROW()-1+'02_Eingaben'!$C$17))))</f>
        <v/>
      </c>
      <c r="G1533" s="27">
        <f>IF(F1533="","",F1533-'02_Eingaben'!$C$10)</f>
        <v/>
      </c>
      <c r="H1533">
        <f>IF(F1533="","",IF(F1533&lt;'02_Eingaben'!$C$18*'02_Eingaben'!$C$10,1,0))</f>
        <v/>
      </c>
      <c r="I1533" s="27">
        <f>IF(OR(G1533="",G1534=""),"",(G1533+G1534)/2*(B1534-B1533))</f>
        <v/>
      </c>
      <c r="J1533" s="27">
        <f>IF(B1533="","",IF(B1532&lt;'02_Eingaben'!$C$36,0,J1532+I1532/'02_Eingaben'!$C$8))</f>
        <v/>
      </c>
    </row>
    <row r="1534">
      <c r="A1534">
        <f>IF('01_Rohdaten'!A1534="","",ROW()-1)</f>
        <v/>
      </c>
      <c r="B1534" s="27">
        <f>IF('01_Rohdaten'!A1534="","",'01_Rohdaten'!A1534)</f>
        <v/>
      </c>
      <c r="C1534" s="27">
        <f>IF(B1534="","",INDEX('01_Rohdaten'!B1534:D1534,'02_Eingaben'!$C$13))</f>
        <v/>
      </c>
      <c r="D1534" s="27">
        <f>IF(C1534="","",C1534*'02_Eingaben'!$C$15)</f>
        <v/>
      </c>
      <c r="E1534" s="27">
        <f>IF(D1534="","",D1534*'02_Eingaben'!$C$8)</f>
        <v/>
      </c>
      <c r="F1534" s="27">
        <f>IF(E1534="","",AVERAGE(INDEX($E$2:$E$3001,MAX(1,ROW()-1-'02_Eingaben'!$C$17)):INDEX($E$2:$E$3001,MIN('02_Eingaben'!$C$21,ROW()-1+'02_Eingaben'!$C$17))))</f>
        <v/>
      </c>
      <c r="G1534" s="27">
        <f>IF(F1534="","",F1534-'02_Eingaben'!$C$10)</f>
        <v/>
      </c>
      <c r="H1534">
        <f>IF(F1534="","",IF(F1534&lt;'02_Eingaben'!$C$18*'02_Eingaben'!$C$10,1,0))</f>
        <v/>
      </c>
      <c r="I1534" s="27">
        <f>IF(OR(G1534="",G1535=""),"",(G1534+G1535)/2*(B1535-B1534))</f>
        <v/>
      </c>
      <c r="J1534" s="27">
        <f>IF(B1534="","",IF(B1533&lt;'02_Eingaben'!$C$36,0,J1533+I1533/'02_Eingaben'!$C$8))</f>
        <v/>
      </c>
    </row>
    <row r="1535">
      <c r="A1535">
        <f>IF('01_Rohdaten'!A1535="","",ROW()-1)</f>
        <v/>
      </c>
      <c r="B1535" s="27">
        <f>IF('01_Rohdaten'!A1535="","",'01_Rohdaten'!A1535)</f>
        <v/>
      </c>
      <c r="C1535" s="27">
        <f>IF(B1535="","",INDEX('01_Rohdaten'!B1535:D1535,'02_Eingaben'!$C$13))</f>
        <v/>
      </c>
      <c r="D1535" s="27">
        <f>IF(C1535="","",C1535*'02_Eingaben'!$C$15)</f>
        <v/>
      </c>
      <c r="E1535" s="27">
        <f>IF(D1535="","",D1535*'02_Eingaben'!$C$8)</f>
        <v/>
      </c>
      <c r="F1535" s="27">
        <f>IF(E1535="","",AVERAGE(INDEX($E$2:$E$3001,MAX(1,ROW()-1-'02_Eingaben'!$C$17)):INDEX($E$2:$E$3001,MIN('02_Eingaben'!$C$21,ROW()-1+'02_Eingaben'!$C$17))))</f>
        <v/>
      </c>
      <c r="G1535" s="27">
        <f>IF(F1535="","",F1535-'02_Eingaben'!$C$10)</f>
        <v/>
      </c>
      <c r="H1535">
        <f>IF(F1535="","",IF(F1535&lt;'02_Eingaben'!$C$18*'02_Eingaben'!$C$10,1,0))</f>
        <v/>
      </c>
      <c r="I1535" s="27">
        <f>IF(OR(G1535="",G1536=""),"",(G1535+G1536)/2*(B1536-B1535))</f>
        <v/>
      </c>
      <c r="J1535" s="27">
        <f>IF(B1535="","",IF(B1534&lt;'02_Eingaben'!$C$36,0,J1534+I1534/'02_Eingaben'!$C$8))</f>
        <v/>
      </c>
    </row>
    <row r="1536">
      <c r="A1536">
        <f>IF('01_Rohdaten'!A1536="","",ROW()-1)</f>
        <v/>
      </c>
      <c r="B1536" s="27">
        <f>IF('01_Rohdaten'!A1536="","",'01_Rohdaten'!A1536)</f>
        <v/>
      </c>
      <c r="C1536" s="27">
        <f>IF(B1536="","",INDEX('01_Rohdaten'!B1536:D1536,'02_Eingaben'!$C$13))</f>
        <v/>
      </c>
      <c r="D1536" s="27">
        <f>IF(C1536="","",C1536*'02_Eingaben'!$C$15)</f>
        <v/>
      </c>
      <c r="E1536" s="27">
        <f>IF(D1536="","",D1536*'02_Eingaben'!$C$8)</f>
        <v/>
      </c>
      <c r="F1536" s="27">
        <f>IF(E1536="","",AVERAGE(INDEX($E$2:$E$3001,MAX(1,ROW()-1-'02_Eingaben'!$C$17)):INDEX($E$2:$E$3001,MIN('02_Eingaben'!$C$21,ROW()-1+'02_Eingaben'!$C$17))))</f>
        <v/>
      </c>
      <c r="G1536" s="27">
        <f>IF(F1536="","",F1536-'02_Eingaben'!$C$10)</f>
        <v/>
      </c>
      <c r="H1536">
        <f>IF(F1536="","",IF(F1536&lt;'02_Eingaben'!$C$18*'02_Eingaben'!$C$10,1,0))</f>
        <v/>
      </c>
      <c r="I1536" s="27">
        <f>IF(OR(G1536="",G1537=""),"",(G1536+G1537)/2*(B1537-B1536))</f>
        <v/>
      </c>
      <c r="J1536" s="27">
        <f>IF(B1536="","",IF(B1535&lt;'02_Eingaben'!$C$36,0,J1535+I1535/'02_Eingaben'!$C$8))</f>
        <v/>
      </c>
    </row>
    <row r="1537">
      <c r="A1537">
        <f>IF('01_Rohdaten'!A1537="","",ROW()-1)</f>
        <v/>
      </c>
      <c r="B1537" s="27">
        <f>IF('01_Rohdaten'!A1537="","",'01_Rohdaten'!A1537)</f>
        <v/>
      </c>
      <c r="C1537" s="27">
        <f>IF(B1537="","",INDEX('01_Rohdaten'!B1537:D1537,'02_Eingaben'!$C$13))</f>
        <v/>
      </c>
      <c r="D1537" s="27">
        <f>IF(C1537="","",C1537*'02_Eingaben'!$C$15)</f>
        <v/>
      </c>
      <c r="E1537" s="27">
        <f>IF(D1537="","",D1537*'02_Eingaben'!$C$8)</f>
        <v/>
      </c>
      <c r="F1537" s="27">
        <f>IF(E1537="","",AVERAGE(INDEX($E$2:$E$3001,MAX(1,ROW()-1-'02_Eingaben'!$C$17)):INDEX($E$2:$E$3001,MIN('02_Eingaben'!$C$21,ROW()-1+'02_Eingaben'!$C$17))))</f>
        <v/>
      </c>
      <c r="G1537" s="27">
        <f>IF(F1537="","",F1537-'02_Eingaben'!$C$10)</f>
        <v/>
      </c>
      <c r="H1537">
        <f>IF(F1537="","",IF(F1537&lt;'02_Eingaben'!$C$18*'02_Eingaben'!$C$10,1,0))</f>
        <v/>
      </c>
      <c r="I1537" s="27">
        <f>IF(OR(G1537="",G1538=""),"",(G1537+G1538)/2*(B1538-B1537))</f>
        <v/>
      </c>
      <c r="J1537" s="27">
        <f>IF(B1537="","",IF(B1536&lt;'02_Eingaben'!$C$36,0,J1536+I1536/'02_Eingaben'!$C$8))</f>
        <v/>
      </c>
    </row>
    <row r="1538">
      <c r="A1538">
        <f>IF('01_Rohdaten'!A1538="","",ROW()-1)</f>
        <v/>
      </c>
      <c r="B1538" s="27">
        <f>IF('01_Rohdaten'!A1538="","",'01_Rohdaten'!A1538)</f>
        <v/>
      </c>
      <c r="C1538" s="27">
        <f>IF(B1538="","",INDEX('01_Rohdaten'!B1538:D1538,'02_Eingaben'!$C$13))</f>
        <v/>
      </c>
      <c r="D1538" s="27">
        <f>IF(C1538="","",C1538*'02_Eingaben'!$C$15)</f>
        <v/>
      </c>
      <c r="E1538" s="27">
        <f>IF(D1538="","",D1538*'02_Eingaben'!$C$8)</f>
        <v/>
      </c>
      <c r="F1538" s="27">
        <f>IF(E1538="","",AVERAGE(INDEX($E$2:$E$3001,MAX(1,ROW()-1-'02_Eingaben'!$C$17)):INDEX($E$2:$E$3001,MIN('02_Eingaben'!$C$21,ROW()-1+'02_Eingaben'!$C$17))))</f>
        <v/>
      </c>
      <c r="G1538" s="27">
        <f>IF(F1538="","",F1538-'02_Eingaben'!$C$10)</f>
        <v/>
      </c>
      <c r="H1538">
        <f>IF(F1538="","",IF(F1538&lt;'02_Eingaben'!$C$18*'02_Eingaben'!$C$10,1,0))</f>
        <v/>
      </c>
      <c r="I1538" s="27">
        <f>IF(OR(G1538="",G1539=""),"",(G1538+G1539)/2*(B1539-B1538))</f>
        <v/>
      </c>
      <c r="J1538" s="27">
        <f>IF(B1538="","",IF(B1537&lt;'02_Eingaben'!$C$36,0,J1537+I1537/'02_Eingaben'!$C$8))</f>
        <v/>
      </c>
    </row>
    <row r="1539">
      <c r="A1539">
        <f>IF('01_Rohdaten'!A1539="","",ROW()-1)</f>
        <v/>
      </c>
      <c r="B1539" s="27">
        <f>IF('01_Rohdaten'!A1539="","",'01_Rohdaten'!A1539)</f>
        <v/>
      </c>
      <c r="C1539" s="27">
        <f>IF(B1539="","",INDEX('01_Rohdaten'!B1539:D1539,'02_Eingaben'!$C$13))</f>
        <v/>
      </c>
      <c r="D1539" s="27">
        <f>IF(C1539="","",C1539*'02_Eingaben'!$C$15)</f>
        <v/>
      </c>
      <c r="E1539" s="27">
        <f>IF(D1539="","",D1539*'02_Eingaben'!$C$8)</f>
        <v/>
      </c>
      <c r="F1539" s="27">
        <f>IF(E1539="","",AVERAGE(INDEX($E$2:$E$3001,MAX(1,ROW()-1-'02_Eingaben'!$C$17)):INDEX($E$2:$E$3001,MIN('02_Eingaben'!$C$21,ROW()-1+'02_Eingaben'!$C$17))))</f>
        <v/>
      </c>
      <c r="G1539" s="27">
        <f>IF(F1539="","",F1539-'02_Eingaben'!$C$10)</f>
        <v/>
      </c>
      <c r="H1539">
        <f>IF(F1539="","",IF(F1539&lt;'02_Eingaben'!$C$18*'02_Eingaben'!$C$10,1,0))</f>
        <v/>
      </c>
      <c r="I1539" s="27">
        <f>IF(OR(G1539="",G1540=""),"",(G1539+G1540)/2*(B1540-B1539))</f>
        <v/>
      </c>
      <c r="J1539" s="27">
        <f>IF(B1539="","",IF(B1538&lt;'02_Eingaben'!$C$36,0,J1538+I1538/'02_Eingaben'!$C$8))</f>
        <v/>
      </c>
    </row>
    <row r="1540">
      <c r="A1540">
        <f>IF('01_Rohdaten'!A1540="","",ROW()-1)</f>
        <v/>
      </c>
      <c r="B1540" s="27">
        <f>IF('01_Rohdaten'!A1540="","",'01_Rohdaten'!A1540)</f>
        <v/>
      </c>
      <c r="C1540" s="27">
        <f>IF(B1540="","",INDEX('01_Rohdaten'!B1540:D1540,'02_Eingaben'!$C$13))</f>
        <v/>
      </c>
      <c r="D1540" s="27">
        <f>IF(C1540="","",C1540*'02_Eingaben'!$C$15)</f>
        <v/>
      </c>
      <c r="E1540" s="27">
        <f>IF(D1540="","",D1540*'02_Eingaben'!$C$8)</f>
        <v/>
      </c>
      <c r="F1540" s="27">
        <f>IF(E1540="","",AVERAGE(INDEX($E$2:$E$3001,MAX(1,ROW()-1-'02_Eingaben'!$C$17)):INDEX($E$2:$E$3001,MIN('02_Eingaben'!$C$21,ROW()-1+'02_Eingaben'!$C$17))))</f>
        <v/>
      </c>
      <c r="G1540" s="27">
        <f>IF(F1540="","",F1540-'02_Eingaben'!$C$10)</f>
        <v/>
      </c>
      <c r="H1540">
        <f>IF(F1540="","",IF(F1540&lt;'02_Eingaben'!$C$18*'02_Eingaben'!$C$10,1,0))</f>
        <v/>
      </c>
      <c r="I1540" s="27">
        <f>IF(OR(G1540="",G1541=""),"",(G1540+G1541)/2*(B1541-B1540))</f>
        <v/>
      </c>
      <c r="J1540" s="27">
        <f>IF(B1540="","",IF(B1539&lt;'02_Eingaben'!$C$36,0,J1539+I1539/'02_Eingaben'!$C$8))</f>
        <v/>
      </c>
    </row>
    <row r="1541">
      <c r="A1541">
        <f>IF('01_Rohdaten'!A1541="","",ROW()-1)</f>
        <v/>
      </c>
      <c r="B1541" s="27">
        <f>IF('01_Rohdaten'!A1541="","",'01_Rohdaten'!A1541)</f>
        <v/>
      </c>
      <c r="C1541" s="27">
        <f>IF(B1541="","",INDEX('01_Rohdaten'!B1541:D1541,'02_Eingaben'!$C$13))</f>
        <v/>
      </c>
      <c r="D1541" s="27">
        <f>IF(C1541="","",C1541*'02_Eingaben'!$C$15)</f>
        <v/>
      </c>
      <c r="E1541" s="27">
        <f>IF(D1541="","",D1541*'02_Eingaben'!$C$8)</f>
        <v/>
      </c>
      <c r="F1541" s="27">
        <f>IF(E1541="","",AVERAGE(INDEX($E$2:$E$3001,MAX(1,ROW()-1-'02_Eingaben'!$C$17)):INDEX($E$2:$E$3001,MIN('02_Eingaben'!$C$21,ROW()-1+'02_Eingaben'!$C$17))))</f>
        <v/>
      </c>
      <c r="G1541" s="27">
        <f>IF(F1541="","",F1541-'02_Eingaben'!$C$10)</f>
        <v/>
      </c>
      <c r="H1541">
        <f>IF(F1541="","",IF(F1541&lt;'02_Eingaben'!$C$18*'02_Eingaben'!$C$10,1,0))</f>
        <v/>
      </c>
      <c r="I1541" s="27">
        <f>IF(OR(G1541="",G1542=""),"",(G1541+G1542)/2*(B1542-B1541))</f>
        <v/>
      </c>
      <c r="J1541" s="27">
        <f>IF(B1541="","",IF(B1540&lt;'02_Eingaben'!$C$36,0,J1540+I1540/'02_Eingaben'!$C$8))</f>
        <v/>
      </c>
    </row>
    <row r="1542">
      <c r="A1542">
        <f>IF('01_Rohdaten'!A1542="","",ROW()-1)</f>
        <v/>
      </c>
      <c r="B1542" s="27">
        <f>IF('01_Rohdaten'!A1542="","",'01_Rohdaten'!A1542)</f>
        <v/>
      </c>
      <c r="C1542" s="27">
        <f>IF(B1542="","",INDEX('01_Rohdaten'!B1542:D1542,'02_Eingaben'!$C$13))</f>
        <v/>
      </c>
      <c r="D1542" s="27">
        <f>IF(C1542="","",C1542*'02_Eingaben'!$C$15)</f>
        <v/>
      </c>
      <c r="E1542" s="27">
        <f>IF(D1542="","",D1542*'02_Eingaben'!$C$8)</f>
        <v/>
      </c>
      <c r="F1542" s="27">
        <f>IF(E1542="","",AVERAGE(INDEX($E$2:$E$3001,MAX(1,ROW()-1-'02_Eingaben'!$C$17)):INDEX($E$2:$E$3001,MIN('02_Eingaben'!$C$21,ROW()-1+'02_Eingaben'!$C$17))))</f>
        <v/>
      </c>
      <c r="G1542" s="27">
        <f>IF(F1542="","",F1542-'02_Eingaben'!$C$10)</f>
        <v/>
      </c>
      <c r="H1542">
        <f>IF(F1542="","",IF(F1542&lt;'02_Eingaben'!$C$18*'02_Eingaben'!$C$10,1,0))</f>
        <v/>
      </c>
      <c r="I1542" s="27">
        <f>IF(OR(G1542="",G1543=""),"",(G1542+G1543)/2*(B1543-B1542))</f>
        <v/>
      </c>
      <c r="J1542" s="27">
        <f>IF(B1542="","",IF(B1541&lt;'02_Eingaben'!$C$36,0,J1541+I1541/'02_Eingaben'!$C$8))</f>
        <v/>
      </c>
    </row>
    <row r="1543">
      <c r="A1543">
        <f>IF('01_Rohdaten'!A1543="","",ROW()-1)</f>
        <v/>
      </c>
      <c r="B1543" s="27">
        <f>IF('01_Rohdaten'!A1543="","",'01_Rohdaten'!A1543)</f>
        <v/>
      </c>
      <c r="C1543" s="27">
        <f>IF(B1543="","",INDEX('01_Rohdaten'!B1543:D1543,'02_Eingaben'!$C$13))</f>
        <v/>
      </c>
      <c r="D1543" s="27">
        <f>IF(C1543="","",C1543*'02_Eingaben'!$C$15)</f>
        <v/>
      </c>
      <c r="E1543" s="27">
        <f>IF(D1543="","",D1543*'02_Eingaben'!$C$8)</f>
        <v/>
      </c>
      <c r="F1543" s="27">
        <f>IF(E1543="","",AVERAGE(INDEX($E$2:$E$3001,MAX(1,ROW()-1-'02_Eingaben'!$C$17)):INDEX($E$2:$E$3001,MIN('02_Eingaben'!$C$21,ROW()-1+'02_Eingaben'!$C$17))))</f>
        <v/>
      </c>
      <c r="G1543" s="27">
        <f>IF(F1543="","",F1543-'02_Eingaben'!$C$10)</f>
        <v/>
      </c>
      <c r="H1543">
        <f>IF(F1543="","",IF(F1543&lt;'02_Eingaben'!$C$18*'02_Eingaben'!$C$10,1,0))</f>
        <v/>
      </c>
      <c r="I1543" s="27">
        <f>IF(OR(G1543="",G1544=""),"",(G1543+G1544)/2*(B1544-B1543))</f>
        <v/>
      </c>
      <c r="J1543" s="27">
        <f>IF(B1543="","",IF(B1542&lt;'02_Eingaben'!$C$36,0,J1542+I1542/'02_Eingaben'!$C$8))</f>
        <v/>
      </c>
    </row>
    <row r="1544">
      <c r="A1544">
        <f>IF('01_Rohdaten'!A1544="","",ROW()-1)</f>
        <v/>
      </c>
      <c r="B1544" s="27">
        <f>IF('01_Rohdaten'!A1544="","",'01_Rohdaten'!A1544)</f>
        <v/>
      </c>
      <c r="C1544" s="27">
        <f>IF(B1544="","",INDEX('01_Rohdaten'!B1544:D1544,'02_Eingaben'!$C$13))</f>
        <v/>
      </c>
      <c r="D1544" s="27">
        <f>IF(C1544="","",C1544*'02_Eingaben'!$C$15)</f>
        <v/>
      </c>
      <c r="E1544" s="27">
        <f>IF(D1544="","",D1544*'02_Eingaben'!$C$8)</f>
        <v/>
      </c>
      <c r="F1544" s="27">
        <f>IF(E1544="","",AVERAGE(INDEX($E$2:$E$3001,MAX(1,ROW()-1-'02_Eingaben'!$C$17)):INDEX($E$2:$E$3001,MIN('02_Eingaben'!$C$21,ROW()-1+'02_Eingaben'!$C$17))))</f>
        <v/>
      </c>
      <c r="G1544" s="27">
        <f>IF(F1544="","",F1544-'02_Eingaben'!$C$10)</f>
        <v/>
      </c>
      <c r="H1544">
        <f>IF(F1544="","",IF(F1544&lt;'02_Eingaben'!$C$18*'02_Eingaben'!$C$10,1,0))</f>
        <v/>
      </c>
      <c r="I1544" s="27">
        <f>IF(OR(G1544="",G1545=""),"",(G1544+G1545)/2*(B1545-B1544))</f>
        <v/>
      </c>
      <c r="J1544" s="27">
        <f>IF(B1544="","",IF(B1543&lt;'02_Eingaben'!$C$36,0,J1543+I1543/'02_Eingaben'!$C$8))</f>
        <v/>
      </c>
    </row>
    <row r="1545">
      <c r="A1545">
        <f>IF('01_Rohdaten'!A1545="","",ROW()-1)</f>
        <v/>
      </c>
      <c r="B1545" s="27">
        <f>IF('01_Rohdaten'!A1545="","",'01_Rohdaten'!A1545)</f>
        <v/>
      </c>
      <c r="C1545" s="27">
        <f>IF(B1545="","",INDEX('01_Rohdaten'!B1545:D1545,'02_Eingaben'!$C$13))</f>
        <v/>
      </c>
      <c r="D1545" s="27">
        <f>IF(C1545="","",C1545*'02_Eingaben'!$C$15)</f>
        <v/>
      </c>
      <c r="E1545" s="27">
        <f>IF(D1545="","",D1545*'02_Eingaben'!$C$8)</f>
        <v/>
      </c>
      <c r="F1545" s="27">
        <f>IF(E1545="","",AVERAGE(INDEX($E$2:$E$3001,MAX(1,ROW()-1-'02_Eingaben'!$C$17)):INDEX($E$2:$E$3001,MIN('02_Eingaben'!$C$21,ROW()-1+'02_Eingaben'!$C$17))))</f>
        <v/>
      </c>
      <c r="G1545" s="27">
        <f>IF(F1545="","",F1545-'02_Eingaben'!$C$10)</f>
        <v/>
      </c>
      <c r="H1545">
        <f>IF(F1545="","",IF(F1545&lt;'02_Eingaben'!$C$18*'02_Eingaben'!$C$10,1,0))</f>
        <v/>
      </c>
      <c r="I1545" s="27">
        <f>IF(OR(G1545="",G1546=""),"",(G1545+G1546)/2*(B1546-B1545))</f>
        <v/>
      </c>
      <c r="J1545" s="27">
        <f>IF(B1545="","",IF(B1544&lt;'02_Eingaben'!$C$36,0,J1544+I1544/'02_Eingaben'!$C$8))</f>
        <v/>
      </c>
    </row>
    <row r="1546">
      <c r="A1546">
        <f>IF('01_Rohdaten'!A1546="","",ROW()-1)</f>
        <v/>
      </c>
      <c r="B1546" s="27">
        <f>IF('01_Rohdaten'!A1546="","",'01_Rohdaten'!A1546)</f>
        <v/>
      </c>
      <c r="C1546" s="27">
        <f>IF(B1546="","",INDEX('01_Rohdaten'!B1546:D1546,'02_Eingaben'!$C$13))</f>
        <v/>
      </c>
      <c r="D1546" s="27">
        <f>IF(C1546="","",C1546*'02_Eingaben'!$C$15)</f>
        <v/>
      </c>
      <c r="E1546" s="27">
        <f>IF(D1546="","",D1546*'02_Eingaben'!$C$8)</f>
        <v/>
      </c>
      <c r="F1546" s="27">
        <f>IF(E1546="","",AVERAGE(INDEX($E$2:$E$3001,MAX(1,ROW()-1-'02_Eingaben'!$C$17)):INDEX($E$2:$E$3001,MIN('02_Eingaben'!$C$21,ROW()-1+'02_Eingaben'!$C$17))))</f>
        <v/>
      </c>
      <c r="G1546" s="27">
        <f>IF(F1546="","",F1546-'02_Eingaben'!$C$10)</f>
        <v/>
      </c>
      <c r="H1546">
        <f>IF(F1546="","",IF(F1546&lt;'02_Eingaben'!$C$18*'02_Eingaben'!$C$10,1,0))</f>
        <v/>
      </c>
      <c r="I1546" s="27">
        <f>IF(OR(G1546="",G1547=""),"",(G1546+G1547)/2*(B1547-B1546))</f>
        <v/>
      </c>
      <c r="J1546" s="27">
        <f>IF(B1546="","",IF(B1545&lt;'02_Eingaben'!$C$36,0,J1545+I1545/'02_Eingaben'!$C$8))</f>
        <v/>
      </c>
    </row>
    <row r="1547">
      <c r="A1547">
        <f>IF('01_Rohdaten'!A1547="","",ROW()-1)</f>
        <v/>
      </c>
      <c r="B1547" s="27">
        <f>IF('01_Rohdaten'!A1547="","",'01_Rohdaten'!A1547)</f>
        <v/>
      </c>
      <c r="C1547" s="27">
        <f>IF(B1547="","",INDEX('01_Rohdaten'!B1547:D1547,'02_Eingaben'!$C$13))</f>
        <v/>
      </c>
      <c r="D1547" s="27">
        <f>IF(C1547="","",C1547*'02_Eingaben'!$C$15)</f>
        <v/>
      </c>
      <c r="E1547" s="27">
        <f>IF(D1547="","",D1547*'02_Eingaben'!$C$8)</f>
        <v/>
      </c>
      <c r="F1547" s="27">
        <f>IF(E1547="","",AVERAGE(INDEX($E$2:$E$3001,MAX(1,ROW()-1-'02_Eingaben'!$C$17)):INDEX($E$2:$E$3001,MIN('02_Eingaben'!$C$21,ROW()-1+'02_Eingaben'!$C$17))))</f>
        <v/>
      </c>
      <c r="G1547" s="27">
        <f>IF(F1547="","",F1547-'02_Eingaben'!$C$10)</f>
        <v/>
      </c>
      <c r="H1547">
        <f>IF(F1547="","",IF(F1547&lt;'02_Eingaben'!$C$18*'02_Eingaben'!$C$10,1,0))</f>
        <v/>
      </c>
      <c r="I1547" s="27">
        <f>IF(OR(G1547="",G1548=""),"",(G1547+G1548)/2*(B1548-B1547))</f>
        <v/>
      </c>
      <c r="J1547" s="27">
        <f>IF(B1547="","",IF(B1546&lt;'02_Eingaben'!$C$36,0,J1546+I1546/'02_Eingaben'!$C$8))</f>
        <v/>
      </c>
    </row>
    <row r="1548">
      <c r="A1548">
        <f>IF('01_Rohdaten'!A1548="","",ROW()-1)</f>
        <v/>
      </c>
      <c r="B1548" s="27">
        <f>IF('01_Rohdaten'!A1548="","",'01_Rohdaten'!A1548)</f>
        <v/>
      </c>
      <c r="C1548" s="27">
        <f>IF(B1548="","",INDEX('01_Rohdaten'!B1548:D1548,'02_Eingaben'!$C$13))</f>
        <v/>
      </c>
      <c r="D1548" s="27">
        <f>IF(C1548="","",C1548*'02_Eingaben'!$C$15)</f>
        <v/>
      </c>
      <c r="E1548" s="27">
        <f>IF(D1548="","",D1548*'02_Eingaben'!$C$8)</f>
        <v/>
      </c>
      <c r="F1548" s="27">
        <f>IF(E1548="","",AVERAGE(INDEX($E$2:$E$3001,MAX(1,ROW()-1-'02_Eingaben'!$C$17)):INDEX($E$2:$E$3001,MIN('02_Eingaben'!$C$21,ROW()-1+'02_Eingaben'!$C$17))))</f>
        <v/>
      </c>
      <c r="G1548" s="27">
        <f>IF(F1548="","",F1548-'02_Eingaben'!$C$10)</f>
        <v/>
      </c>
      <c r="H1548">
        <f>IF(F1548="","",IF(F1548&lt;'02_Eingaben'!$C$18*'02_Eingaben'!$C$10,1,0))</f>
        <v/>
      </c>
      <c r="I1548" s="27">
        <f>IF(OR(G1548="",G1549=""),"",(G1548+G1549)/2*(B1549-B1548))</f>
        <v/>
      </c>
      <c r="J1548" s="27">
        <f>IF(B1548="","",IF(B1547&lt;'02_Eingaben'!$C$36,0,J1547+I1547/'02_Eingaben'!$C$8))</f>
        <v/>
      </c>
    </row>
    <row r="1549">
      <c r="A1549">
        <f>IF('01_Rohdaten'!A1549="","",ROW()-1)</f>
        <v/>
      </c>
      <c r="B1549" s="27">
        <f>IF('01_Rohdaten'!A1549="","",'01_Rohdaten'!A1549)</f>
        <v/>
      </c>
      <c r="C1549" s="27">
        <f>IF(B1549="","",INDEX('01_Rohdaten'!B1549:D1549,'02_Eingaben'!$C$13))</f>
        <v/>
      </c>
      <c r="D1549" s="27">
        <f>IF(C1549="","",C1549*'02_Eingaben'!$C$15)</f>
        <v/>
      </c>
      <c r="E1549" s="27">
        <f>IF(D1549="","",D1549*'02_Eingaben'!$C$8)</f>
        <v/>
      </c>
      <c r="F1549" s="27">
        <f>IF(E1549="","",AVERAGE(INDEX($E$2:$E$3001,MAX(1,ROW()-1-'02_Eingaben'!$C$17)):INDEX($E$2:$E$3001,MIN('02_Eingaben'!$C$21,ROW()-1+'02_Eingaben'!$C$17))))</f>
        <v/>
      </c>
      <c r="G1549" s="27">
        <f>IF(F1549="","",F1549-'02_Eingaben'!$C$10)</f>
        <v/>
      </c>
      <c r="H1549">
        <f>IF(F1549="","",IF(F1549&lt;'02_Eingaben'!$C$18*'02_Eingaben'!$C$10,1,0))</f>
        <v/>
      </c>
      <c r="I1549" s="27">
        <f>IF(OR(G1549="",G1550=""),"",(G1549+G1550)/2*(B1550-B1549))</f>
        <v/>
      </c>
      <c r="J1549" s="27">
        <f>IF(B1549="","",IF(B1548&lt;'02_Eingaben'!$C$36,0,J1548+I1548/'02_Eingaben'!$C$8))</f>
        <v/>
      </c>
    </row>
    <row r="1550">
      <c r="A1550">
        <f>IF('01_Rohdaten'!A1550="","",ROW()-1)</f>
        <v/>
      </c>
      <c r="B1550" s="27">
        <f>IF('01_Rohdaten'!A1550="","",'01_Rohdaten'!A1550)</f>
        <v/>
      </c>
      <c r="C1550" s="27">
        <f>IF(B1550="","",INDEX('01_Rohdaten'!B1550:D1550,'02_Eingaben'!$C$13))</f>
        <v/>
      </c>
      <c r="D1550" s="27">
        <f>IF(C1550="","",C1550*'02_Eingaben'!$C$15)</f>
        <v/>
      </c>
      <c r="E1550" s="27">
        <f>IF(D1550="","",D1550*'02_Eingaben'!$C$8)</f>
        <v/>
      </c>
      <c r="F1550" s="27">
        <f>IF(E1550="","",AVERAGE(INDEX($E$2:$E$3001,MAX(1,ROW()-1-'02_Eingaben'!$C$17)):INDEX($E$2:$E$3001,MIN('02_Eingaben'!$C$21,ROW()-1+'02_Eingaben'!$C$17))))</f>
        <v/>
      </c>
      <c r="G1550" s="27">
        <f>IF(F1550="","",F1550-'02_Eingaben'!$C$10)</f>
        <v/>
      </c>
      <c r="H1550">
        <f>IF(F1550="","",IF(F1550&lt;'02_Eingaben'!$C$18*'02_Eingaben'!$C$10,1,0))</f>
        <v/>
      </c>
      <c r="I1550" s="27">
        <f>IF(OR(G1550="",G1551=""),"",(G1550+G1551)/2*(B1551-B1550))</f>
        <v/>
      </c>
      <c r="J1550" s="27">
        <f>IF(B1550="","",IF(B1549&lt;'02_Eingaben'!$C$36,0,J1549+I1549/'02_Eingaben'!$C$8))</f>
        <v/>
      </c>
    </row>
    <row r="1551">
      <c r="A1551">
        <f>IF('01_Rohdaten'!A1551="","",ROW()-1)</f>
        <v/>
      </c>
      <c r="B1551" s="27">
        <f>IF('01_Rohdaten'!A1551="","",'01_Rohdaten'!A1551)</f>
        <v/>
      </c>
      <c r="C1551" s="27">
        <f>IF(B1551="","",INDEX('01_Rohdaten'!B1551:D1551,'02_Eingaben'!$C$13))</f>
        <v/>
      </c>
      <c r="D1551" s="27">
        <f>IF(C1551="","",C1551*'02_Eingaben'!$C$15)</f>
        <v/>
      </c>
      <c r="E1551" s="27">
        <f>IF(D1551="","",D1551*'02_Eingaben'!$C$8)</f>
        <v/>
      </c>
      <c r="F1551" s="27">
        <f>IF(E1551="","",AVERAGE(INDEX($E$2:$E$3001,MAX(1,ROW()-1-'02_Eingaben'!$C$17)):INDEX($E$2:$E$3001,MIN('02_Eingaben'!$C$21,ROW()-1+'02_Eingaben'!$C$17))))</f>
        <v/>
      </c>
      <c r="G1551" s="27">
        <f>IF(F1551="","",F1551-'02_Eingaben'!$C$10)</f>
        <v/>
      </c>
      <c r="H1551">
        <f>IF(F1551="","",IF(F1551&lt;'02_Eingaben'!$C$18*'02_Eingaben'!$C$10,1,0))</f>
        <v/>
      </c>
      <c r="I1551" s="27">
        <f>IF(OR(G1551="",G1552=""),"",(G1551+G1552)/2*(B1552-B1551))</f>
        <v/>
      </c>
      <c r="J1551" s="27">
        <f>IF(B1551="","",IF(B1550&lt;'02_Eingaben'!$C$36,0,J1550+I1550/'02_Eingaben'!$C$8))</f>
        <v/>
      </c>
    </row>
    <row r="1552">
      <c r="A1552">
        <f>IF('01_Rohdaten'!A1552="","",ROW()-1)</f>
        <v/>
      </c>
      <c r="B1552" s="27">
        <f>IF('01_Rohdaten'!A1552="","",'01_Rohdaten'!A1552)</f>
        <v/>
      </c>
      <c r="C1552" s="27">
        <f>IF(B1552="","",INDEX('01_Rohdaten'!B1552:D1552,'02_Eingaben'!$C$13))</f>
        <v/>
      </c>
      <c r="D1552" s="27">
        <f>IF(C1552="","",C1552*'02_Eingaben'!$C$15)</f>
        <v/>
      </c>
      <c r="E1552" s="27">
        <f>IF(D1552="","",D1552*'02_Eingaben'!$C$8)</f>
        <v/>
      </c>
      <c r="F1552" s="27">
        <f>IF(E1552="","",AVERAGE(INDEX($E$2:$E$3001,MAX(1,ROW()-1-'02_Eingaben'!$C$17)):INDEX($E$2:$E$3001,MIN('02_Eingaben'!$C$21,ROW()-1+'02_Eingaben'!$C$17))))</f>
        <v/>
      </c>
      <c r="G1552" s="27">
        <f>IF(F1552="","",F1552-'02_Eingaben'!$C$10)</f>
        <v/>
      </c>
      <c r="H1552">
        <f>IF(F1552="","",IF(F1552&lt;'02_Eingaben'!$C$18*'02_Eingaben'!$C$10,1,0))</f>
        <v/>
      </c>
      <c r="I1552" s="27">
        <f>IF(OR(G1552="",G1553=""),"",(G1552+G1553)/2*(B1553-B1552))</f>
        <v/>
      </c>
      <c r="J1552" s="27">
        <f>IF(B1552="","",IF(B1551&lt;'02_Eingaben'!$C$36,0,J1551+I1551/'02_Eingaben'!$C$8))</f>
        <v/>
      </c>
    </row>
    <row r="1553">
      <c r="A1553">
        <f>IF('01_Rohdaten'!A1553="","",ROW()-1)</f>
        <v/>
      </c>
      <c r="B1553" s="27">
        <f>IF('01_Rohdaten'!A1553="","",'01_Rohdaten'!A1553)</f>
        <v/>
      </c>
      <c r="C1553" s="27">
        <f>IF(B1553="","",INDEX('01_Rohdaten'!B1553:D1553,'02_Eingaben'!$C$13))</f>
        <v/>
      </c>
      <c r="D1553" s="27">
        <f>IF(C1553="","",C1553*'02_Eingaben'!$C$15)</f>
        <v/>
      </c>
      <c r="E1553" s="27">
        <f>IF(D1553="","",D1553*'02_Eingaben'!$C$8)</f>
        <v/>
      </c>
      <c r="F1553" s="27">
        <f>IF(E1553="","",AVERAGE(INDEX($E$2:$E$3001,MAX(1,ROW()-1-'02_Eingaben'!$C$17)):INDEX($E$2:$E$3001,MIN('02_Eingaben'!$C$21,ROW()-1+'02_Eingaben'!$C$17))))</f>
        <v/>
      </c>
      <c r="G1553" s="27">
        <f>IF(F1553="","",F1553-'02_Eingaben'!$C$10)</f>
        <v/>
      </c>
      <c r="H1553">
        <f>IF(F1553="","",IF(F1553&lt;'02_Eingaben'!$C$18*'02_Eingaben'!$C$10,1,0))</f>
        <v/>
      </c>
      <c r="I1553" s="27">
        <f>IF(OR(G1553="",G1554=""),"",(G1553+G1554)/2*(B1554-B1553))</f>
        <v/>
      </c>
      <c r="J1553" s="27">
        <f>IF(B1553="","",IF(B1552&lt;'02_Eingaben'!$C$36,0,J1552+I1552/'02_Eingaben'!$C$8))</f>
        <v/>
      </c>
    </row>
    <row r="1554">
      <c r="A1554">
        <f>IF('01_Rohdaten'!A1554="","",ROW()-1)</f>
        <v/>
      </c>
      <c r="B1554" s="27">
        <f>IF('01_Rohdaten'!A1554="","",'01_Rohdaten'!A1554)</f>
        <v/>
      </c>
      <c r="C1554" s="27">
        <f>IF(B1554="","",INDEX('01_Rohdaten'!B1554:D1554,'02_Eingaben'!$C$13))</f>
        <v/>
      </c>
      <c r="D1554" s="27">
        <f>IF(C1554="","",C1554*'02_Eingaben'!$C$15)</f>
        <v/>
      </c>
      <c r="E1554" s="27">
        <f>IF(D1554="","",D1554*'02_Eingaben'!$C$8)</f>
        <v/>
      </c>
      <c r="F1554" s="27">
        <f>IF(E1554="","",AVERAGE(INDEX($E$2:$E$3001,MAX(1,ROW()-1-'02_Eingaben'!$C$17)):INDEX($E$2:$E$3001,MIN('02_Eingaben'!$C$21,ROW()-1+'02_Eingaben'!$C$17))))</f>
        <v/>
      </c>
      <c r="G1554" s="27">
        <f>IF(F1554="","",F1554-'02_Eingaben'!$C$10)</f>
        <v/>
      </c>
      <c r="H1554">
        <f>IF(F1554="","",IF(F1554&lt;'02_Eingaben'!$C$18*'02_Eingaben'!$C$10,1,0))</f>
        <v/>
      </c>
      <c r="I1554" s="27">
        <f>IF(OR(G1554="",G1555=""),"",(G1554+G1555)/2*(B1555-B1554))</f>
        <v/>
      </c>
      <c r="J1554" s="27">
        <f>IF(B1554="","",IF(B1553&lt;'02_Eingaben'!$C$36,0,J1553+I1553/'02_Eingaben'!$C$8))</f>
        <v/>
      </c>
    </row>
    <row r="1555">
      <c r="A1555">
        <f>IF('01_Rohdaten'!A1555="","",ROW()-1)</f>
        <v/>
      </c>
      <c r="B1555" s="27">
        <f>IF('01_Rohdaten'!A1555="","",'01_Rohdaten'!A1555)</f>
        <v/>
      </c>
      <c r="C1555" s="27">
        <f>IF(B1555="","",INDEX('01_Rohdaten'!B1555:D1555,'02_Eingaben'!$C$13))</f>
        <v/>
      </c>
      <c r="D1555" s="27">
        <f>IF(C1555="","",C1555*'02_Eingaben'!$C$15)</f>
        <v/>
      </c>
      <c r="E1555" s="27">
        <f>IF(D1555="","",D1555*'02_Eingaben'!$C$8)</f>
        <v/>
      </c>
      <c r="F1555" s="27">
        <f>IF(E1555="","",AVERAGE(INDEX($E$2:$E$3001,MAX(1,ROW()-1-'02_Eingaben'!$C$17)):INDEX($E$2:$E$3001,MIN('02_Eingaben'!$C$21,ROW()-1+'02_Eingaben'!$C$17))))</f>
        <v/>
      </c>
      <c r="G1555" s="27">
        <f>IF(F1555="","",F1555-'02_Eingaben'!$C$10)</f>
        <v/>
      </c>
      <c r="H1555">
        <f>IF(F1555="","",IF(F1555&lt;'02_Eingaben'!$C$18*'02_Eingaben'!$C$10,1,0))</f>
        <v/>
      </c>
      <c r="I1555" s="27">
        <f>IF(OR(G1555="",G1556=""),"",(G1555+G1556)/2*(B1556-B1555))</f>
        <v/>
      </c>
      <c r="J1555" s="27">
        <f>IF(B1555="","",IF(B1554&lt;'02_Eingaben'!$C$36,0,J1554+I1554/'02_Eingaben'!$C$8))</f>
        <v/>
      </c>
    </row>
    <row r="1556">
      <c r="A1556">
        <f>IF('01_Rohdaten'!A1556="","",ROW()-1)</f>
        <v/>
      </c>
      <c r="B1556" s="27">
        <f>IF('01_Rohdaten'!A1556="","",'01_Rohdaten'!A1556)</f>
        <v/>
      </c>
      <c r="C1556" s="27">
        <f>IF(B1556="","",INDEX('01_Rohdaten'!B1556:D1556,'02_Eingaben'!$C$13))</f>
        <v/>
      </c>
      <c r="D1556" s="27">
        <f>IF(C1556="","",C1556*'02_Eingaben'!$C$15)</f>
        <v/>
      </c>
      <c r="E1556" s="27">
        <f>IF(D1556="","",D1556*'02_Eingaben'!$C$8)</f>
        <v/>
      </c>
      <c r="F1556" s="27">
        <f>IF(E1556="","",AVERAGE(INDEX($E$2:$E$3001,MAX(1,ROW()-1-'02_Eingaben'!$C$17)):INDEX($E$2:$E$3001,MIN('02_Eingaben'!$C$21,ROW()-1+'02_Eingaben'!$C$17))))</f>
        <v/>
      </c>
      <c r="G1556" s="27">
        <f>IF(F1556="","",F1556-'02_Eingaben'!$C$10)</f>
        <v/>
      </c>
      <c r="H1556">
        <f>IF(F1556="","",IF(F1556&lt;'02_Eingaben'!$C$18*'02_Eingaben'!$C$10,1,0))</f>
        <v/>
      </c>
      <c r="I1556" s="27">
        <f>IF(OR(G1556="",G1557=""),"",(G1556+G1557)/2*(B1557-B1556))</f>
        <v/>
      </c>
      <c r="J1556" s="27">
        <f>IF(B1556="","",IF(B1555&lt;'02_Eingaben'!$C$36,0,J1555+I1555/'02_Eingaben'!$C$8))</f>
        <v/>
      </c>
    </row>
    <row r="1557">
      <c r="A1557">
        <f>IF('01_Rohdaten'!A1557="","",ROW()-1)</f>
        <v/>
      </c>
      <c r="B1557" s="27">
        <f>IF('01_Rohdaten'!A1557="","",'01_Rohdaten'!A1557)</f>
        <v/>
      </c>
      <c r="C1557" s="27">
        <f>IF(B1557="","",INDEX('01_Rohdaten'!B1557:D1557,'02_Eingaben'!$C$13))</f>
        <v/>
      </c>
      <c r="D1557" s="27">
        <f>IF(C1557="","",C1557*'02_Eingaben'!$C$15)</f>
        <v/>
      </c>
      <c r="E1557" s="27">
        <f>IF(D1557="","",D1557*'02_Eingaben'!$C$8)</f>
        <v/>
      </c>
      <c r="F1557" s="27">
        <f>IF(E1557="","",AVERAGE(INDEX($E$2:$E$3001,MAX(1,ROW()-1-'02_Eingaben'!$C$17)):INDEX($E$2:$E$3001,MIN('02_Eingaben'!$C$21,ROW()-1+'02_Eingaben'!$C$17))))</f>
        <v/>
      </c>
      <c r="G1557" s="27">
        <f>IF(F1557="","",F1557-'02_Eingaben'!$C$10)</f>
        <v/>
      </c>
      <c r="H1557">
        <f>IF(F1557="","",IF(F1557&lt;'02_Eingaben'!$C$18*'02_Eingaben'!$C$10,1,0))</f>
        <v/>
      </c>
      <c r="I1557" s="27">
        <f>IF(OR(G1557="",G1558=""),"",(G1557+G1558)/2*(B1558-B1557))</f>
        <v/>
      </c>
      <c r="J1557" s="27">
        <f>IF(B1557="","",IF(B1556&lt;'02_Eingaben'!$C$36,0,J1556+I1556/'02_Eingaben'!$C$8))</f>
        <v/>
      </c>
    </row>
    <row r="1558">
      <c r="A1558">
        <f>IF('01_Rohdaten'!A1558="","",ROW()-1)</f>
        <v/>
      </c>
      <c r="B1558" s="27">
        <f>IF('01_Rohdaten'!A1558="","",'01_Rohdaten'!A1558)</f>
        <v/>
      </c>
      <c r="C1558" s="27">
        <f>IF(B1558="","",INDEX('01_Rohdaten'!B1558:D1558,'02_Eingaben'!$C$13))</f>
        <v/>
      </c>
      <c r="D1558" s="27">
        <f>IF(C1558="","",C1558*'02_Eingaben'!$C$15)</f>
        <v/>
      </c>
      <c r="E1558" s="27">
        <f>IF(D1558="","",D1558*'02_Eingaben'!$C$8)</f>
        <v/>
      </c>
      <c r="F1558" s="27">
        <f>IF(E1558="","",AVERAGE(INDEX($E$2:$E$3001,MAX(1,ROW()-1-'02_Eingaben'!$C$17)):INDEX($E$2:$E$3001,MIN('02_Eingaben'!$C$21,ROW()-1+'02_Eingaben'!$C$17))))</f>
        <v/>
      </c>
      <c r="G1558" s="27">
        <f>IF(F1558="","",F1558-'02_Eingaben'!$C$10)</f>
        <v/>
      </c>
      <c r="H1558">
        <f>IF(F1558="","",IF(F1558&lt;'02_Eingaben'!$C$18*'02_Eingaben'!$C$10,1,0))</f>
        <v/>
      </c>
      <c r="I1558" s="27">
        <f>IF(OR(G1558="",G1559=""),"",(G1558+G1559)/2*(B1559-B1558))</f>
        <v/>
      </c>
      <c r="J1558" s="27">
        <f>IF(B1558="","",IF(B1557&lt;'02_Eingaben'!$C$36,0,J1557+I1557/'02_Eingaben'!$C$8))</f>
        <v/>
      </c>
    </row>
    <row r="1559">
      <c r="A1559">
        <f>IF('01_Rohdaten'!A1559="","",ROW()-1)</f>
        <v/>
      </c>
      <c r="B1559" s="27">
        <f>IF('01_Rohdaten'!A1559="","",'01_Rohdaten'!A1559)</f>
        <v/>
      </c>
      <c r="C1559" s="27">
        <f>IF(B1559="","",INDEX('01_Rohdaten'!B1559:D1559,'02_Eingaben'!$C$13))</f>
        <v/>
      </c>
      <c r="D1559" s="27">
        <f>IF(C1559="","",C1559*'02_Eingaben'!$C$15)</f>
        <v/>
      </c>
      <c r="E1559" s="27">
        <f>IF(D1559="","",D1559*'02_Eingaben'!$C$8)</f>
        <v/>
      </c>
      <c r="F1559" s="27">
        <f>IF(E1559="","",AVERAGE(INDEX($E$2:$E$3001,MAX(1,ROW()-1-'02_Eingaben'!$C$17)):INDEX($E$2:$E$3001,MIN('02_Eingaben'!$C$21,ROW()-1+'02_Eingaben'!$C$17))))</f>
        <v/>
      </c>
      <c r="G1559" s="27">
        <f>IF(F1559="","",F1559-'02_Eingaben'!$C$10)</f>
        <v/>
      </c>
      <c r="H1559">
        <f>IF(F1559="","",IF(F1559&lt;'02_Eingaben'!$C$18*'02_Eingaben'!$C$10,1,0))</f>
        <v/>
      </c>
      <c r="I1559" s="27">
        <f>IF(OR(G1559="",G1560=""),"",(G1559+G1560)/2*(B1560-B1559))</f>
        <v/>
      </c>
      <c r="J1559" s="27">
        <f>IF(B1559="","",IF(B1558&lt;'02_Eingaben'!$C$36,0,J1558+I1558/'02_Eingaben'!$C$8))</f>
        <v/>
      </c>
    </row>
    <row r="1560">
      <c r="A1560">
        <f>IF('01_Rohdaten'!A1560="","",ROW()-1)</f>
        <v/>
      </c>
      <c r="B1560" s="27">
        <f>IF('01_Rohdaten'!A1560="","",'01_Rohdaten'!A1560)</f>
        <v/>
      </c>
      <c r="C1560" s="27">
        <f>IF(B1560="","",INDEX('01_Rohdaten'!B1560:D1560,'02_Eingaben'!$C$13))</f>
        <v/>
      </c>
      <c r="D1560" s="27">
        <f>IF(C1560="","",C1560*'02_Eingaben'!$C$15)</f>
        <v/>
      </c>
      <c r="E1560" s="27">
        <f>IF(D1560="","",D1560*'02_Eingaben'!$C$8)</f>
        <v/>
      </c>
      <c r="F1560" s="27">
        <f>IF(E1560="","",AVERAGE(INDEX($E$2:$E$3001,MAX(1,ROW()-1-'02_Eingaben'!$C$17)):INDEX($E$2:$E$3001,MIN('02_Eingaben'!$C$21,ROW()-1+'02_Eingaben'!$C$17))))</f>
        <v/>
      </c>
      <c r="G1560" s="27">
        <f>IF(F1560="","",F1560-'02_Eingaben'!$C$10)</f>
        <v/>
      </c>
      <c r="H1560">
        <f>IF(F1560="","",IF(F1560&lt;'02_Eingaben'!$C$18*'02_Eingaben'!$C$10,1,0))</f>
        <v/>
      </c>
      <c r="I1560" s="27">
        <f>IF(OR(G1560="",G1561=""),"",(G1560+G1561)/2*(B1561-B1560))</f>
        <v/>
      </c>
      <c r="J1560" s="27">
        <f>IF(B1560="","",IF(B1559&lt;'02_Eingaben'!$C$36,0,J1559+I1559/'02_Eingaben'!$C$8))</f>
        <v/>
      </c>
    </row>
    <row r="1561">
      <c r="A1561">
        <f>IF('01_Rohdaten'!A1561="","",ROW()-1)</f>
        <v/>
      </c>
      <c r="B1561" s="27">
        <f>IF('01_Rohdaten'!A1561="","",'01_Rohdaten'!A1561)</f>
        <v/>
      </c>
      <c r="C1561" s="27">
        <f>IF(B1561="","",INDEX('01_Rohdaten'!B1561:D1561,'02_Eingaben'!$C$13))</f>
        <v/>
      </c>
      <c r="D1561" s="27">
        <f>IF(C1561="","",C1561*'02_Eingaben'!$C$15)</f>
        <v/>
      </c>
      <c r="E1561" s="27">
        <f>IF(D1561="","",D1561*'02_Eingaben'!$C$8)</f>
        <v/>
      </c>
      <c r="F1561" s="27">
        <f>IF(E1561="","",AVERAGE(INDEX($E$2:$E$3001,MAX(1,ROW()-1-'02_Eingaben'!$C$17)):INDEX($E$2:$E$3001,MIN('02_Eingaben'!$C$21,ROW()-1+'02_Eingaben'!$C$17))))</f>
        <v/>
      </c>
      <c r="G1561" s="27">
        <f>IF(F1561="","",F1561-'02_Eingaben'!$C$10)</f>
        <v/>
      </c>
      <c r="H1561">
        <f>IF(F1561="","",IF(F1561&lt;'02_Eingaben'!$C$18*'02_Eingaben'!$C$10,1,0))</f>
        <v/>
      </c>
      <c r="I1561" s="27">
        <f>IF(OR(G1561="",G1562=""),"",(G1561+G1562)/2*(B1562-B1561))</f>
        <v/>
      </c>
      <c r="J1561" s="27">
        <f>IF(B1561="","",IF(B1560&lt;'02_Eingaben'!$C$36,0,J1560+I1560/'02_Eingaben'!$C$8))</f>
        <v/>
      </c>
    </row>
    <row r="1562">
      <c r="A1562">
        <f>IF('01_Rohdaten'!A1562="","",ROW()-1)</f>
        <v/>
      </c>
      <c r="B1562" s="27">
        <f>IF('01_Rohdaten'!A1562="","",'01_Rohdaten'!A1562)</f>
        <v/>
      </c>
      <c r="C1562" s="27">
        <f>IF(B1562="","",INDEX('01_Rohdaten'!B1562:D1562,'02_Eingaben'!$C$13))</f>
        <v/>
      </c>
      <c r="D1562" s="27">
        <f>IF(C1562="","",C1562*'02_Eingaben'!$C$15)</f>
        <v/>
      </c>
      <c r="E1562" s="27">
        <f>IF(D1562="","",D1562*'02_Eingaben'!$C$8)</f>
        <v/>
      </c>
      <c r="F1562" s="27">
        <f>IF(E1562="","",AVERAGE(INDEX($E$2:$E$3001,MAX(1,ROW()-1-'02_Eingaben'!$C$17)):INDEX($E$2:$E$3001,MIN('02_Eingaben'!$C$21,ROW()-1+'02_Eingaben'!$C$17))))</f>
        <v/>
      </c>
      <c r="G1562" s="27">
        <f>IF(F1562="","",F1562-'02_Eingaben'!$C$10)</f>
        <v/>
      </c>
      <c r="H1562">
        <f>IF(F1562="","",IF(F1562&lt;'02_Eingaben'!$C$18*'02_Eingaben'!$C$10,1,0))</f>
        <v/>
      </c>
      <c r="I1562" s="27">
        <f>IF(OR(G1562="",G1563=""),"",(G1562+G1563)/2*(B1563-B1562))</f>
        <v/>
      </c>
      <c r="J1562" s="27">
        <f>IF(B1562="","",IF(B1561&lt;'02_Eingaben'!$C$36,0,J1561+I1561/'02_Eingaben'!$C$8))</f>
        <v/>
      </c>
    </row>
    <row r="1563">
      <c r="A1563">
        <f>IF('01_Rohdaten'!A1563="","",ROW()-1)</f>
        <v/>
      </c>
      <c r="B1563" s="27">
        <f>IF('01_Rohdaten'!A1563="","",'01_Rohdaten'!A1563)</f>
        <v/>
      </c>
      <c r="C1563" s="27">
        <f>IF(B1563="","",INDEX('01_Rohdaten'!B1563:D1563,'02_Eingaben'!$C$13))</f>
        <v/>
      </c>
      <c r="D1563" s="27">
        <f>IF(C1563="","",C1563*'02_Eingaben'!$C$15)</f>
        <v/>
      </c>
      <c r="E1563" s="27">
        <f>IF(D1563="","",D1563*'02_Eingaben'!$C$8)</f>
        <v/>
      </c>
      <c r="F1563" s="27">
        <f>IF(E1563="","",AVERAGE(INDEX($E$2:$E$3001,MAX(1,ROW()-1-'02_Eingaben'!$C$17)):INDEX($E$2:$E$3001,MIN('02_Eingaben'!$C$21,ROW()-1+'02_Eingaben'!$C$17))))</f>
        <v/>
      </c>
      <c r="G1563" s="27">
        <f>IF(F1563="","",F1563-'02_Eingaben'!$C$10)</f>
        <v/>
      </c>
      <c r="H1563">
        <f>IF(F1563="","",IF(F1563&lt;'02_Eingaben'!$C$18*'02_Eingaben'!$C$10,1,0))</f>
        <v/>
      </c>
      <c r="I1563" s="27">
        <f>IF(OR(G1563="",G1564=""),"",(G1563+G1564)/2*(B1564-B1563))</f>
        <v/>
      </c>
      <c r="J1563" s="27">
        <f>IF(B1563="","",IF(B1562&lt;'02_Eingaben'!$C$36,0,J1562+I1562/'02_Eingaben'!$C$8))</f>
        <v/>
      </c>
    </row>
    <row r="1564">
      <c r="A1564">
        <f>IF('01_Rohdaten'!A1564="","",ROW()-1)</f>
        <v/>
      </c>
      <c r="B1564" s="27">
        <f>IF('01_Rohdaten'!A1564="","",'01_Rohdaten'!A1564)</f>
        <v/>
      </c>
      <c r="C1564" s="27">
        <f>IF(B1564="","",INDEX('01_Rohdaten'!B1564:D1564,'02_Eingaben'!$C$13))</f>
        <v/>
      </c>
      <c r="D1564" s="27">
        <f>IF(C1564="","",C1564*'02_Eingaben'!$C$15)</f>
        <v/>
      </c>
      <c r="E1564" s="27">
        <f>IF(D1564="","",D1564*'02_Eingaben'!$C$8)</f>
        <v/>
      </c>
      <c r="F1564" s="27">
        <f>IF(E1564="","",AVERAGE(INDEX($E$2:$E$3001,MAX(1,ROW()-1-'02_Eingaben'!$C$17)):INDEX($E$2:$E$3001,MIN('02_Eingaben'!$C$21,ROW()-1+'02_Eingaben'!$C$17))))</f>
        <v/>
      </c>
      <c r="G1564" s="27">
        <f>IF(F1564="","",F1564-'02_Eingaben'!$C$10)</f>
        <v/>
      </c>
      <c r="H1564">
        <f>IF(F1564="","",IF(F1564&lt;'02_Eingaben'!$C$18*'02_Eingaben'!$C$10,1,0))</f>
        <v/>
      </c>
      <c r="I1564" s="27">
        <f>IF(OR(G1564="",G1565=""),"",(G1564+G1565)/2*(B1565-B1564))</f>
        <v/>
      </c>
      <c r="J1564" s="27">
        <f>IF(B1564="","",IF(B1563&lt;'02_Eingaben'!$C$36,0,J1563+I1563/'02_Eingaben'!$C$8))</f>
        <v/>
      </c>
    </row>
    <row r="1565">
      <c r="A1565">
        <f>IF('01_Rohdaten'!A1565="","",ROW()-1)</f>
        <v/>
      </c>
      <c r="B1565" s="27">
        <f>IF('01_Rohdaten'!A1565="","",'01_Rohdaten'!A1565)</f>
        <v/>
      </c>
      <c r="C1565" s="27">
        <f>IF(B1565="","",INDEX('01_Rohdaten'!B1565:D1565,'02_Eingaben'!$C$13))</f>
        <v/>
      </c>
      <c r="D1565" s="27">
        <f>IF(C1565="","",C1565*'02_Eingaben'!$C$15)</f>
        <v/>
      </c>
      <c r="E1565" s="27">
        <f>IF(D1565="","",D1565*'02_Eingaben'!$C$8)</f>
        <v/>
      </c>
      <c r="F1565" s="27">
        <f>IF(E1565="","",AVERAGE(INDEX($E$2:$E$3001,MAX(1,ROW()-1-'02_Eingaben'!$C$17)):INDEX($E$2:$E$3001,MIN('02_Eingaben'!$C$21,ROW()-1+'02_Eingaben'!$C$17))))</f>
        <v/>
      </c>
      <c r="G1565" s="27">
        <f>IF(F1565="","",F1565-'02_Eingaben'!$C$10)</f>
        <v/>
      </c>
      <c r="H1565">
        <f>IF(F1565="","",IF(F1565&lt;'02_Eingaben'!$C$18*'02_Eingaben'!$C$10,1,0))</f>
        <v/>
      </c>
      <c r="I1565" s="27">
        <f>IF(OR(G1565="",G1566=""),"",(G1565+G1566)/2*(B1566-B1565))</f>
        <v/>
      </c>
      <c r="J1565" s="27">
        <f>IF(B1565="","",IF(B1564&lt;'02_Eingaben'!$C$36,0,J1564+I1564/'02_Eingaben'!$C$8))</f>
        <v/>
      </c>
    </row>
    <row r="1566">
      <c r="A1566">
        <f>IF('01_Rohdaten'!A1566="","",ROW()-1)</f>
        <v/>
      </c>
      <c r="B1566" s="27">
        <f>IF('01_Rohdaten'!A1566="","",'01_Rohdaten'!A1566)</f>
        <v/>
      </c>
      <c r="C1566" s="27">
        <f>IF(B1566="","",INDEX('01_Rohdaten'!B1566:D1566,'02_Eingaben'!$C$13))</f>
        <v/>
      </c>
      <c r="D1566" s="27">
        <f>IF(C1566="","",C1566*'02_Eingaben'!$C$15)</f>
        <v/>
      </c>
      <c r="E1566" s="27">
        <f>IF(D1566="","",D1566*'02_Eingaben'!$C$8)</f>
        <v/>
      </c>
      <c r="F1566" s="27">
        <f>IF(E1566="","",AVERAGE(INDEX($E$2:$E$3001,MAX(1,ROW()-1-'02_Eingaben'!$C$17)):INDEX($E$2:$E$3001,MIN('02_Eingaben'!$C$21,ROW()-1+'02_Eingaben'!$C$17))))</f>
        <v/>
      </c>
      <c r="G1566" s="27">
        <f>IF(F1566="","",F1566-'02_Eingaben'!$C$10)</f>
        <v/>
      </c>
      <c r="H1566">
        <f>IF(F1566="","",IF(F1566&lt;'02_Eingaben'!$C$18*'02_Eingaben'!$C$10,1,0))</f>
        <v/>
      </c>
      <c r="I1566" s="27">
        <f>IF(OR(G1566="",G1567=""),"",(G1566+G1567)/2*(B1567-B1566))</f>
        <v/>
      </c>
      <c r="J1566" s="27">
        <f>IF(B1566="","",IF(B1565&lt;'02_Eingaben'!$C$36,0,J1565+I1565/'02_Eingaben'!$C$8))</f>
        <v/>
      </c>
    </row>
    <row r="1567">
      <c r="A1567">
        <f>IF('01_Rohdaten'!A1567="","",ROW()-1)</f>
        <v/>
      </c>
      <c r="B1567" s="27">
        <f>IF('01_Rohdaten'!A1567="","",'01_Rohdaten'!A1567)</f>
        <v/>
      </c>
      <c r="C1567" s="27">
        <f>IF(B1567="","",INDEX('01_Rohdaten'!B1567:D1567,'02_Eingaben'!$C$13))</f>
        <v/>
      </c>
      <c r="D1567" s="27">
        <f>IF(C1567="","",C1567*'02_Eingaben'!$C$15)</f>
        <v/>
      </c>
      <c r="E1567" s="27">
        <f>IF(D1567="","",D1567*'02_Eingaben'!$C$8)</f>
        <v/>
      </c>
      <c r="F1567" s="27">
        <f>IF(E1567="","",AVERAGE(INDEX($E$2:$E$3001,MAX(1,ROW()-1-'02_Eingaben'!$C$17)):INDEX($E$2:$E$3001,MIN('02_Eingaben'!$C$21,ROW()-1+'02_Eingaben'!$C$17))))</f>
        <v/>
      </c>
      <c r="G1567" s="27">
        <f>IF(F1567="","",F1567-'02_Eingaben'!$C$10)</f>
        <v/>
      </c>
      <c r="H1567">
        <f>IF(F1567="","",IF(F1567&lt;'02_Eingaben'!$C$18*'02_Eingaben'!$C$10,1,0))</f>
        <v/>
      </c>
      <c r="I1567" s="27">
        <f>IF(OR(G1567="",G1568=""),"",(G1567+G1568)/2*(B1568-B1567))</f>
        <v/>
      </c>
      <c r="J1567" s="27">
        <f>IF(B1567="","",IF(B1566&lt;'02_Eingaben'!$C$36,0,J1566+I1566/'02_Eingaben'!$C$8))</f>
        <v/>
      </c>
    </row>
    <row r="1568">
      <c r="A1568">
        <f>IF('01_Rohdaten'!A1568="","",ROW()-1)</f>
        <v/>
      </c>
      <c r="B1568" s="27">
        <f>IF('01_Rohdaten'!A1568="","",'01_Rohdaten'!A1568)</f>
        <v/>
      </c>
      <c r="C1568" s="27">
        <f>IF(B1568="","",INDEX('01_Rohdaten'!B1568:D1568,'02_Eingaben'!$C$13))</f>
        <v/>
      </c>
      <c r="D1568" s="27">
        <f>IF(C1568="","",C1568*'02_Eingaben'!$C$15)</f>
        <v/>
      </c>
      <c r="E1568" s="27">
        <f>IF(D1568="","",D1568*'02_Eingaben'!$C$8)</f>
        <v/>
      </c>
      <c r="F1568" s="27">
        <f>IF(E1568="","",AVERAGE(INDEX($E$2:$E$3001,MAX(1,ROW()-1-'02_Eingaben'!$C$17)):INDEX($E$2:$E$3001,MIN('02_Eingaben'!$C$21,ROW()-1+'02_Eingaben'!$C$17))))</f>
        <v/>
      </c>
      <c r="G1568" s="27">
        <f>IF(F1568="","",F1568-'02_Eingaben'!$C$10)</f>
        <v/>
      </c>
      <c r="H1568">
        <f>IF(F1568="","",IF(F1568&lt;'02_Eingaben'!$C$18*'02_Eingaben'!$C$10,1,0))</f>
        <v/>
      </c>
      <c r="I1568" s="27">
        <f>IF(OR(G1568="",G1569=""),"",(G1568+G1569)/2*(B1569-B1568))</f>
        <v/>
      </c>
      <c r="J1568" s="27">
        <f>IF(B1568="","",IF(B1567&lt;'02_Eingaben'!$C$36,0,J1567+I1567/'02_Eingaben'!$C$8))</f>
        <v/>
      </c>
    </row>
    <row r="1569">
      <c r="A1569">
        <f>IF('01_Rohdaten'!A1569="","",ROW()-1)</f>
        <v/>
      </c>
      <c r="B1569" s="27">
        <f>IF('01_Rohdaten'!A1569="","",'01_Rohdaten'!A1569)</f>
        <v/>
      </c>
      <c r="C1569" s="27">
        <f>IF(B1569="","",INDEX('01_Rohdaten'!B1569:D1569,'02_Eingaben'!$C$13))</f>
        <v/>
      </c>
      <c r="D1569" s="27">
        <f>IF(C1569="","",C1569*'02_Eingaben'!$C$15)</f>
        <v/>
      </c>
      <c r="E1569" s="27">
        <f>IF(D1569="","",D1569*'02_Eingaben'!$C$8)</f>
        <v/>
      </c>
      <c r="F1569" s="27">
        <f>IF(E1569="","",AVERAGE(INDEX($E$2:$E$3001,MAX(1,ROW()-1-'02_Eingaben'!$C$17)):INDEX($E$2:$E$3001,MIN('02_Eingaben'!$C$21,ROW()-1+'02_Eingaben'!$C$17))))</f>
        <v/>
      </c>
      <c r="G1569" s="27">
        <f>IF(F1569="","",F1569-'02_Eingaben'!$C$10)</f>
        <v/>
      </c>
      <c r="H1569">
        <f>IF(F1569="","",IF(F1569&lt;'02_Eingaben'!$C$18*'02_Eingaben'!$C$10,1,0))</f>
        <v/>
      </c>
      <c r="I1569" s="27">
        <f>IF(OR(G1569="",G1570=""),"",(G1569+G1570)/2*(B1570-B1569))</f>
        <v/>
      </c>
      <c r="J1569" s="27">
        <f>IF(B1569="","",IF(B1568&lt;'02_Eingaben'!$C$36,0,J1568+I1568/'02_Eingaben'!$C$8))</f>
        <v/>
      </c>
    </row>
    <row r="1570">
      <c r="A1570">
        <f>IF('01_Rohdaten'!A1570="","",ROW()-1)</f>
        <v/>
      </c>
      <c r="B1570" s="27">
        <f>IF('01_Rohdaten'!A1570="","",'01_Rohdaten'!A1570)</f>
        <v/>
      </c>
      <c r="C1570" s="27">
        <f>IF(B1570="","",INDEX('01_Rohdaten'!B1570:D1570,'02_Eingaben'!$C$13))</f>
        <v/>
      </c>
      <c r="D1570" s="27">
        <f>IF(C1570="","",C1570*'02_Eingaben'!$C$15)</f>
        <v/>
      </c>
      <c r="E1570" s="27">
        <f>IF(D1570="","",D1570*'02_Eingaben'!$C$8)</f>
        <v/>
      </c>
      <c r="F1570" s="27">
        <f>IF(E1570="","",AVERAGE(INDEX($E$2:$E$3001,MAX(1,ROW()-1-'02_Eingaben'!$C$17)):INDEX($E$2:$E$3001,MIN('02_Eingaben'!$C$21,ROW()-1+'02_Eingaben'!$C$17))))</f>
        <v/>
      </c>
      <c r="G1570" s="27">
        <f>IF(F1570="","",F1570-'02_Eingaben'!$C$10)</f>
        <v/>
      </c>
      <c r="H1570">
        <f>IF(F1570="","",IF(F1570&lt;'02_Eingaben'!$C$18*'02_Eingaben'!$C$10,1,0))</f>
        <v/>
      </c>
      <c r="I1570" s="27">
        <f>IF(OR(G1570="",G1571=""),"",(G1570+G1571)/2*(B1571-B1570))</f>
        <v/>
      </c>
      <c r="J1570" s="27">
        <f>IF(B1570="","",IF(B1569&lt;'02_Eingaben'!$C$36,0,J1569+I1569/'02_Eingaben'!$C$8))</f>
        <v/>
      </c>
    </row>
    <row r="1571">
      <c r="A1571">
        <f>IF('01_Rohdaten'!A1571="","",ROW()-1)</f>
        <v/>
      </c>
      <c r="B1571" s="27">
        <f>IF('01_Rohdaten'!A1571="","",'01_Rohdaten'!A1571)</f>
        <v/>
      </c>
      <c r="C1571" s="27">
        <f>IF(B1571="","",INDEX('01_Rohdaten'!B1571:D1571,'02_Eingaben'!$C$13))</f>
        <v/>
      </c>
      <c r="D1571" s="27">
        <f>IF(C1571="","",C1571*'02_Eingaben'!$C$15)</f>
        <v/>
      </c>
      <c r="E1571" s="27">
        <f>IF(D1571="","",D1571*'02_Eingaben'!$C$8)</f>
        <v/>
      </c>
      <c r="F1571" s="27">
        <f>IF(E1571="","",AVERAGE(INDEX($E$2:$E$3001,MAX(1,ROW()-1-'02_Eingaben'!$C$17)):INDEX($E$2:$E$3001,MIN('02_Eingaben'!$C$21,ROW()-1+'02_Eingaben'!$C$17))))</f>
        <v/>
      </c>
      <c r="G1571" s="27">
        <f>IF(F1571="","",F1571-'02_Eingaben'!$C$10)</f>
        <v/>
      </c>
      <c r="H1571">
        <f>IF(F1571="","",IF(F1571&lt;'02_Eingaben'!$C$18*'02_Eingaben'!$C$10,1,0))</f>
        <v/>
      </c>
      <c r="I1571" s="27">
        <f>IF(OR(G1571="",G1572=""),"",(G1571+G1572)/2*(B1572-B1571))</f>
        <v/>
      </c>
      <c r="J1571" s="27">
        <f>IF(B1571="","",IF(B1570&lt;'02_Eingaben'!$C$36,0,J1570+I1570/'02_Eingaben'!$C$8))</f>
        <v/>
      </c>
    </row>
    <row r="1572">
      <c r="A1572">
        <f>IF('01_Rohdaten'!A1572="","",ROW()-1)</f>
        <v/>
      </c>
      <c r="B1572" s="27">
        <f>IF('01_Rohdaten'!A1572="","",'01_Rohdaten'!A1572)</f>
        <v/>
      </c>
      <c r="C1572" s="27">
        <f>IF(B1572="","",INDEX('01_Rohdaten'!B1572:D1572,'02_Eingaben'!$C$13))</f>
        <v/>
      </c>
      <c r="D1572" s="27">
        <f>IF(C1572="","",C1572*'02_Eingaben'!$C$15)</f>
        <v/>
      </c>
      <c r="E1572" s="27">
        <f>IF(D1572="","",D1572*'02_Eingaben'!$C$8)</f>
        <v/>
      </c>
      <c r="F1572" s="27">
        <f>IF(E1572="","",AVERAGE(INDEX($E$2:$E$3001,MAX(1,ROW()-1-'02_Eingaben'!$C$17)):INDEX($E$2:$E$3001,MIN('02_Eingaben'!$C$21,ROW()-1+'02_Eingaben'!$C$17))))</f>
        <v/>
      </c>
      <c r="G1572" s="27">
        <f>IF(F1572="","",F1572-'02_Eingaben'!$C$10)</f>
        <v/>
      </c>
      <c r="H1572">
        <f>IF(F1572="","",IF(F1572&lt;'02_Eingaben'!$C$18*'02_Eingaben'!$C$10,1,0))</f>
        <v/>
      </c>
      <c r="I1572" s="27">
        <f>IF(OR(G1572="",G1573=""),"",(G1572+G1573)/2*(B1573-B1572))</f>
        <v/>
      </c>
      <c r="J1572" s="27">
        <f>IF(B1572="","",IF(B1571&lt;'02_Eingaben'!$C$36,0,J1571+I1571/'02_Eingaben'!$C$8))</f>
        <v/>
      </c>
    </row>
    <row r="1573">
      <c r="A1573">
        <f>IF('01_Rohdaten'!A1573="","",ROW()-1)</f>
        <v/>
      </c>
      <c r="B1573" s="27">
        <f>IF('01_Rohdaten'!A1573="","",'01_Rohdaten'!A1573)</f>
        <v/>
      </c>
      <c r="C1573" s="27">
        <f>IF(B1573="","",INDEX('01_Rohdaten'!B1573:D1573,'02_Eingaben'!$C$13))</f>
        <v/>
      </c>
      <c r="D1573" s="27">
        <f>IF(C1573="","",C1573*'02_Eingaben'!$C$15)</f>
        <v/>
      </c>
      <c r="E1573" s="27">
        <f>IF(D1573="","",D1573*'02_Eingaben'!$C$8)</f>
        <v/>
      </c>
      <c r="F1573" s="27">
        <f>IF(E1573="","",AVERAGE(INDEX($E$2:$E$3001,MAX(1,ROW()-1-'02_Eingaben'!$C$17)):INDEX($E$2:$E$3001,MIN('02_Eingaben'!$C$21,ROW()-1+'02_Eingaben'!$C$17))))</f>
        <v/>
      </c>
      <c r="G1573" s="27">
        <f>IF(F1573="","",F1573-'02_Eingaben'!$C$10)</f>
        <v/>
      </c>
      <c r="H1573">
        <f>IF(F1573="","",IF(F1573&lt;'02_Eingaben'!$C$18*'02_Eingaben'!$C$10,1,0))</f>
        <v/>
      </c>
      <c r="I1573" s="27">
        <f>IF(OR(G1573="",G1574=""),"",(G1573+G1574)/2*(B1574-B1573))</f>
        <v/>
      </c>
      <c r="J1573" s="27">
        <f>IF(B1573="","",IF(B1572&lt;'02_Eingaben'!$C$36,0,J1572+I1572/'02_Eingaben'!$C$8))</f>
        <v/>
      </c>
    </row>
    <row r="1574">
      <c r="A1574">
        <f>IF('01_Rohdaten'!A1574="","",ROW()-1)</f>
        <v/>
      </c>
      <c r="B1574" s="27">
        <f>IF('01_Rohdaten'!A1574="","",'01_Rohdaten'!A1574)</f>
        <v/>
      </c>
      <c r="C1574" s="27">
        <f>IF(B1574="","",INDEX('01_Rohdaten'!B1574:D1574,'02_Eingaben'!$C$13))</f>
        <v/>
      </c>
      <c r="D1574" s="27">
        <f>IF(C1574="","",C1574*'02_Eingaben'!$C$15)</f>
        <v/>
      </c>
      <c r="E1574" s="27">
        <f>IF(D1574="","",D1574*'02_Eingaben'!$C$8)</f>
        <v/>
      </c>
      <c r="F1574" s="27">
        <f>IF(E1574="","",AVERAGE(INDEX($E$2:$E$3001,MAX(1,ROW()-1-'02_Eingaben'!$C$17)):INDEX($E$2:$E$3001,MIN('02_Eingaben'!$C$21,ROW()-1+'02_Eingaben'!$C$17))))</f>
        <v/>
      </c>
      <c r="G1574" s="27">
        <f>IF(F1574="","",F1574-'02_Eingaben'!$C$10)</f>
        <v/>
      </c>
      <c r="H1574">
        <f>IF(F1574="","",IF(F1574&lt;'02_Eingaben'!$C$18*'02_Eingaben'!$C$10,1,0))</f>
        <v/>
      </c>
      <c r="I1574" s="27">
        <f>IF(OR(G1574="",G1575=""),"",(G1574+G1575)/2*(B1575-B1574))</f>
        <v/>
      </c>
      <c r="J1574" s="27">
        <f>IF(B1574="","",IF(B1573&lt;'02_Eingaben'!$C$36,0,J1573+I1573/'02_Eingaben'!$C$8))</f>
        <v/>
      </c>
    </row>
    <row r="1575">
      <c r="A1575">
        <f>IF('01_Rohdaten'!A1575="","",ROW()-1)</f>
        <v/>
      </c>
      <c r="B1575" s="27">
        <f>IF('01_Rohdaten'!A1575="","",'01_Rohdaten'!A1575)</f>
        <v/>
      </c>
      <c r="C1575" s="27">
        <f>IF(B1575="","",INDEX('01_Rohdaten'!B1575:D1575,'02_Eingaben'!$C$13))</f>
        <v/>
      </c>
      <c r="D1575" s="27">
        <f>IF(C1575="","",C1575*'02_Eingaben'!$C$15)</f>
        <v/>
      </c>
      <c r="E1575" s="27">
        <f>IF(D1575="","",D1575*'02_Eingaben'!$C$8)</f>
        <v/>
      </c>
      <c r="F1575" s="27">
        <f>IF(E1575="","",AVERAGE(INDEX($E$2:$E$3001,MAX(1,ROW()-1-'02_Eingaben'!$C$17)):INDEX($E$2:$E$3001,MIN('02_Eingaben'!$C$21,ROW()-1+'02_Eingaben'!$C$17))))</f>
        <v/>
      </c>
      <c r="G1575" s="27">
        <f>IF(F1575="","",F1575-'02_Eingaben'!$C$10)</f>
        <v/>
      </c>
      <c r="H1575">
        <f>IF(F1575="","",IF(F1575&lt;'02_Eingaben'!$C$18*'02_Eingaben'!$C$10,1,0))</f>
        <v/>
      </c>
      <c r="I1575" s="27">
        <f>IF(OR(G1575="",G1576=""),"",(G1575+G1576)/2*(B1576-B1575))</f>
        <v/>
      </c>
      <c r="J1575" s="27">
        <f>IF(B1575="","",IF(B1574&lt;'02_Eingaben'!$C$36,0,J1574+I1574/'02_Eingaben'!$C$8))</f>
        <v/>
      </c>
    </row>
    <row r="1576">
      <c r="A1576">
        <f>IF('01_Rohdaten'!A1576="","",ROW()-1)</f>
        <v/>
      </c>
      <c r="B1576" s="27">
        <f>IF('01_Rohdaten'!A1576="","",'01_Rohdaten'!A1576)</f>
        <v/>
      </c>
      <c r="C1576" s="27">
        <f>IF(B1576="","",INDEX('01_Rohdaten'!B1576:D1576,'02_Eingaben'!$C$13))</f>
        <v/>
      </c>
      <c r="D1576" s="27">
        <f>IF(C1576="","",C1576*'02_Eingaben'!$C$15)</f>
        <v/>
      </c>
      <c r="E1576" s="27">
        <f>IF(D1576="","",D1576*'02_Eingaben'!$C$8)</f>
        <v/>
      </c>
      <c r="F1576" s="27">
        <f>IF(E1576="","",AVERAGE(INDEX($E$2:$E$3001,MAX(1,ROW()-1-'02_Eingaben'!$C$17)):INDEX($E$2:$E$3001,MIN('02_Eingaben'!$C$21,ROW()-1+'02_Eingaben'!$C$17))))</f>
        <v/>
      </c>
      <c r="G1576" s="27">
        <f>IF(F1576="","",F1576-'02_Eingaben'!$C$10)</f>
        <v/>
      </c>
      <c r="H1576">
        <f>IF(F1576="","",IF(F1576&lt;'02_Eingaben'!$C$18*'02_Eingaben'!$C$10,1,0))</f>
        <v/>
      </c>
      <c r="I1576" s="27">
        <f>IF(OR(G1576="",G1577=""),"",(G1576+G1577)/2*(B1577-B1576))</f>
        <v/>
      </c>
      <c r="J1576" s="27">
        <f>IF(B1576="","",IF(B1575&lt;'02_Eingaben'!$C$36,0,J1575+I1575/'02_Eingaben'!$C$8))</f>
        <v/>
      </c>
    </row>
    <row r="1577">
      <c r="A1577">
        <f>IF('01_Rohdaten'!A1577="","",ROW()-1)</f>
        <v/>
      </c>
      <c r="B1577" s="27">
        <f>IF('01_Rohdaten'!A1577="","",'01_Rohdaten'!A1577)</f>
        <v/>
      </c>
      <c r="C1577" s="27">
        <f>IF(B1577="","",INDEX('01_Rohdaten'!B1577:D1577,'02_Eingaben'!$C$13))</f>
        <v/>
      </c>
      <c r="D1577" s="27">
        <f>IF(C1577="","",C1577*'02_Eingaben'!$C$15)</f>
        <v/>
      </c>
      <c r="E1577" s="27">
        <f>IF(D1577="","",D1577*'02_Eingaben'!$C$8)</f>
        <v/>
      </c>
      <c r="F1577" s="27">
        <f>IF(E1577="","",AVERAGE(INDEX($E$2:$E$3001,MAX(1,ROW()-1-'02_Eingaben'!$C$17)):INDEX($E$2:$E$3001,MIN('02_Eingaben'!$C$21,ROW()-1+'02_Eingaben'!$C$17))))</f>
        <v/>
      </c>
      <c r="G1577" s="27">
        <f>IF(F1577="","",F1577-'02_Eingaben'!$C$10)</f>
        <v/>
      </c>
      <c r="H1577">
        <f>IF(F1577="","",IF(F1577&lt;'02_Eingaben'!$C$18*'02_Eingaben'!$C$10,1,0))</f>
        <v/>
      </c>
      <c r="I1577" s="27">
        <f>IF(OR(G1577="",G1578=""),"",(G1577+G1578)/2*(B1578-B1577))</f>
        <v/>
      </c>
      <c r="J1577" s="27">
        <f>IF(B1577="","",IF(B1576&lt;'02_Eingaben'!$C$36,0,J1576+I1576/'02_Eingaben'!$C$8))</f>
        <v/>
      </c>
    </row>
    <row r="1578">
      <c r="A1578">
        <f>IF('01_Rohdaten'!A1578="","",ROW()-1)</f>
        <v/>
      </c>
      <c r="B1578" s="27">
        <f>IF('01_Rohdaten'!A1578="","",'01_Rohdaten'!A1578)</f>
        <v/>
      </c>
      <c r="C1578" s="27">
        <f>IF(B1578="","",INDEX('01_Rohdaten'!B1578:D1578,'02_Eingaben'!$C$13))</f>
        <v/>
      </c>
      <c r="D1578" s="27">
        <f>IF(C1578="","",C1578*'02_Eingaben'!$C$15)</f>
        <v/>
      </c>
      <c r="E1578" s="27">
        <f>IF(D1578="","",D1578*'02_Eingaben'!$C$8)</f>
        <v/>
      </c>
      <c r="F1578" s="27">
        <f>IF(E1578="","",AVERAGE(INDEX($E$2:$E$3001,MAX(1,ROW()-1-'02_Eingaben'!$C$17)):INDEX($E$2:$E$3001,MIN('02_Eingaben'!$C$21,ROW()-1+'02_Eingaben'!$C$17))))</f>
        <v/>
      </c>
      <c r="G1578" s="27">
        <f>IF(F1578="","",F1578-'02_Eingaben'!$C$10)</f>
        <v/>
      </c>
      <c r="H1578">
        <f>IF(F1578="","",IF(F1578&lt;'02_Eingaben'!$C$18*'02_Eingaben'!$C$10,1,0))</f>
        <v/>
      </c>
      <c r="I1578" s="27">
        <f>IF(OR(G1578="",G1579=""),"",(G1578+G1579)/2*(B1579-B1578))</f>
        <v/>
      </c>
      <c r="J1578" s="27">
        <f>IF(B1578="","",IF(B1577&lt;'02_Eingaben'!$C$36,0,J1577+I1577/'02_Eingaben'!$C$8))</f>
        <v/>
      </c>
    </row>
    <row r="1579">
      <c r="A1579">
        <f>IF('01_Rohdaten'!A1579="","",ROW()-1)</f>
        <v/>
      </c>
      <c r="B1579" s="27">
        <f>IF('01_Rohdaten'!A1579="","",'01_Rohdaten'!A1579)</f>
        <v/>
      </c>
      <c r="C1579" s="27">
        <f>IF(B1579="","",INDEX('01_Rohdaten'!B1579:D1579,'02_Eingaben'!$C$13))</f>
        <v/>
      </c>
      <c r="D1579" s="27">
        <f>IF(C1579="","",C1579*'02_Eingaben'!$C$15)</f>
        <v/>
      </c>
      <c r="E1579" s="27">
        <f>IF(D1579="","",D1579*'02_Eingaben'!$C$8)</f>
        <v/>
      </c>
      <c r="F1579" s="27">
        <f>IF(E1579="","",AVERAGE(INDEX($E$2:$E$3001,MAX(1,ROW()-1-'02_Eingaben'!$C$17)):INDEX($E$2:$E$3001,MIN('02_Eingaben'!$C$21,ROW()-1+'02_Eingaben'!$C$17))))</f>
        <v/>
      </c>
      <c r="G1579" s="27">
        <f>IF(F1579="","",F1579-'02_Eingaben'!$C$10)</f>
        <v/>
      </c>
      <c r="H1579">
        <f>IF(F1579="","",IF(F1579&lt;'02_Eingaben'!$C$18*'02_Eingaben'!$C$10,1,0))</f>
        <v/>
      </c>
      <c r="I1579" s="27">
        <f>IF(OR(G1579="",G1580=""),"",(G1579+G1580)/2*(B1580-B1579))</f>
        <v/>
      </c>
      <c r="J1579" s="27">
        <f>IF(B1579="","",IF(B1578&lt;'02_Eingaben'!$C$36,0,J1578+I1578/'02_Eingaben'!$C$8))</f>
        <v/>
      </c>
    </row>
    <row r="1580">
      <c r="A1580">
        <f>IF('01_Rohdaten'!A1580="","",ROW()-1)</f>
        <v/>
      </c>
      <c r="B1580" s="27">
        <f>IF('01_Rohdaten'!A1580="","",'01_Rohdaten'!A1580)</f>
        <v/>
      </c>
      <c r="C1580" s="27">
        <f>IF(B1580="","",INDEX('01_Rohdaten'!B1580:D1580,'02_Eingaben'!$C$13))</f>
        <v/>
      </c>
      <c r="D1580" s="27">
        <f>IF(C1580="","",C1580*'02_Eingaben'!$C$15)</f>
        <v/>
      </c>
      <c r="E1580" s="27">
        <f>IF(D1580="","",D1580*'02_Eingaben'!$C$8)</f>
        <v/>
      </c>
      <c r="F1580" s="27">
        <f>IF(E1580="","",AVERAGE(INDEX($E$2:$E$3001,MAX(1,ROW()-1-'02_Eingaben'!$C$17)):INDEX($E$2:$E$3001,MIN('02_Eingaben'!$C$21,ROW()-1+'02_Eingaben'!$C$17))))</f>
        <v/>
      </c>
      <c r="G1580" s="27">
        <f>IF(F1580="","",F1580-'02_Eingaben'!$C$10)</f>
        <v/>
      </c>
      <c r="H1580">
        <f>IF(F1580="","",IF(F1580&lt;'02_Eingaben'!$C$18*'02_Eingaben'!$C$10,1,0))</f>
        <v/>
      </c>
      <c r="I1580" s="27">
        <f>IF(OR(G1580="",G1581=""),"",(G1580+G1581)/2*(B1581-B1580))</f>
        <v/>
      </c>
      <c r="J1580" s="27">
        <f>IF(B1580="","",IF(B1579&lt;'02_Eingaben'!$C$36,0,J1579+I1579/'02_Eingaben'!$C$8))</f>
        <v/>
      </c>
    </row>
    <row r="1581">
      <c r="A1581">
        <f>IF('01_Rohdaten'!A1581="","",ROW()-1)</f>
        <v/>
      </c>
      <c r="B1581" s="27">
        <f>IF('01_Rohdaten'!A1581="","",'01_Rohdaten'!A1581)</f>
        <v/>
      </c>
      <c r="C1581" s="27">
        <f>IF(B1581="","",INDEX('01_Rohdaten'!B1581:D1581,'02_Eingaben'!$C$13))</f>
        <v/>
      </c>
      <c r="D1581" s="27">
        <f>IF(C1581="","",C1581*'02_Eingaben'!$C$15)</f>
        <v/>
      </c>
      <c r="E1581" s="27">
        <f>IF(D1581="","",D1581*'02_Eingaben'!$C$8)</f>
        <v/>
      </c>
      <c r="F1581" s="27">
        <f>IF(E1581="","",AVERAGE(INDEX($E$2:$E$3001,MAX(1,ROW()-1-'02_Eingaben'!$C$17)):INDEX($E$2:$E$3001,MIN('02_Eingaben'!$C$21,ROW()-1+'02_Eingaben'!$C$17))))</f>
        <v/>
      </c>
      <c r="G1581" s="27">
        <f>IF(F1581="","",F1581-'02_Eingaben'!$C$10)</f>
        <v/>
      </c>
      <c r="H1581">
        <f>IF(F1581="","",IF(F1581&lt;'02_Eingaben'!$C$18*'02_Eingaben'!$C$10,1,0))</f>
        <v/>
      </c>
      <c r="I1581" s="27">
        <f>IF(OR(G1581="",G1582=""),"",(G1581+G1582)/2*(B1582-B1581))</f>
        <v/>
      </c>
      <c r="J1581" s="27">
        <f>IF(B1581="","",IF(B1580&lt;'02_Eingaben'!$C$36,0,J1580+I1580/'02_Eingaben'!$C$8))</f>
        <v/>
      </c>
    </row>
    <row r="1582">
      <c r="A1582">
        <f>IF('01_Rohdaten'!A1582="","",ROW()-1)</f>
        <v/>
      </c>
      <c r="B1582" s="27">
        <f>IF('01_Rohdaten'!A1582="","",'01_Rohdaten'!A1582)</f>
        <v/>
      </c>
      <c r="C1582" s="27">
        <f>IF(B1582="","",INDEX('01_Rohdaten'!B1582:D1582,'02_Eingaben'!$C$13))</f>
        <v/>
      </c>
      <c r="D1582" s="27">
        <f>IF(C1582="","",C1582*'02_Eingaben'!$C$15)</f>
        <v/>
      </c>
      <c r="E1582" s="27">
        <f>IF(D1582="","",D1582*'02_Eingaben'!$C$8)</f>
        <v/>
      </c>
      <c r="F1582" s="27">
        <f>IF(E1582="","",AVERAGE(INDEX($E$2:$E$3001,MAX(1,ROW()-1-'02_Eingaben'!$C$17)):INDEX($E$2:$E$3001,MIN('02_Eingaben'!$C$21,ROW()-1+'02_Eingaben'!$C$17))))</f>
        <v/>
      </c>
      <c r="G1582" s="27">
        <f>IF(F1582="","",F1582-'02_Eingaben'!$C$10)</f>
        <v/>
      </c>
      <c r="H1582">
        <f>IF(F1582="","",IF(F1582&lt;'02_Eingaben'!$C$18*'02_Eingaben'!$C$10,1,0))</f>
        <v/>
      </c>
      <c r="I1582" s="27">
        <f>IF(OR(G1582="",G1583=""),"",(G1582+G1583)/2*(B1583-B1582))</f>
        <v/>
      </c>
      <c r="J1582" s="27">
        <f>IF(B1582="","",IF(B1581&lt;'02_Eingaben'!$C$36,0,J1581+I1581/'02_Eingaben'!$C$8))</f>
        <v/>
      </c>
    </row>
    <row r="1583">
      <c r="A1583">
        <f>IF('01_Rohdaten'!A1583="","",ROW()-1)</f>
        <v/>
      </c>
      <c r="B1583" s="27">
        <f>IF('01_Rohdaten'!A1583="","",'01_Rohdaten'!A1583)</f>
        <v/>
      </c>
      <c r="C1583" s="27">
        <f>IF(B1583="","",INDEX('01_Rohdaten'!B1583:D1583,'02_Eingaben'!$C$13))</f>
        <v/>
      </c>
      <c r="D1583" s="27">
        <f>IF(C1583="","",C1583*'02_Eingaben'!$C$15)</f>
        <v/>
      </c>
      <c r="E1583" s="27">
        <f>IF(D1583="","",D1583*'02_Eingaben'!$C$8)</f>
        <v/>
      </c>
      <c r="F1583" s="27">
        <f>IF(E1583="","",AVERAGE(INDEX($E$2:$E$3001,MAX(1,ROW()-1-'02_Eingaben'!$C$17)):INDEX($E$2:$E$3001,MIN('02_Eingaben'!$C$21,ROW()-1+'02_Eingaben'!$C$17))))</f>
        <v/>
      </c>
      <c r="G1583" s="27">
        <f>IF(F1583="","",F1583-'02_Eingaben'!$C$10)</f>
        <v/>
      </c>
      <c r="H1583">
        <f>IF(F1583="","",IF(F1583&lt;'02_Eingaben'!$C$18*'02_Eingaben'!$C$10,1,0))</f>
        <v/>
      </c>
      <c r="I1583" s="27">
        <f>IF(OR(G1583="",G1584=""),"",(G1583+G1584)/2*(B1584-B1583))</f>
        <v/>
      </c>
      <c r="J1583" s="27">
        <f>IF(B1583="","",IF(B1582&lt;'02_Eingaben'!$C$36,0,J1582+I1582/'02_Eingaben'!$C$8))</f>
        <v/>
      </c>
    </row>
    <row r="1584">
      <c r="A1584">
        <f>IF('01_Rohdaten'!A1584="","",ROW()-1)</f>
        <v/>
      </c>
      <c r="B1584" s="27">
        <f>IF('01_Rohdaten'!A1584="","",'01_Rohdaten'!A1584)</f>
        <v/>
      </c>
      <c r="C1584" s="27">
        <f>IF(B1584="","",INDEX('01_Rohdaten'!B1584:D1584,'02_Eingaben'!$C$13))</f>
        <v/>
      </c>
      <c r="D1584" s="27">
        <f>IF(C1584="","",C1584*'02_Eingaben'!$C$15)</f>
        <v/>
      </c>
      <c r="E1584" s="27">
        <f>IF(D1584="","",D1584*'02_Eingaben'!$C$8)</f>
        <v/>
      </c>
      <c r="F1584" s="27">
        <f>IF(E1584="","",AVERAGE(INDEX($E$2:$E$3001,MAX(1,ROW()-1-'02_Eingaben'!$C$17)):INDEX($E$2:$E$3001,MIN('02_Eingaben'!$C$21,ROW()-1+'02_Eingaben'!$C$17))))</f>
        <v/>
      </c>
      <c r="G1584" s="27">
        <f>IF(F1584="","",F1584-'02_Eingaben'!$C$10)</f>
        <v/>
      </c>
      <c r="H1584">
        <f>IF(F1584="","",IF(F1584&lt;'02_Eingaben'!$C$18*'02_Eingaben'!$C$10,1,0))</f>
        <v/>
      </c>
      <c r="I1584" s="27">
        <f>IF(OR(G1584="",G1585=""),"",(G1584+G1585)/2*(B1585-B1584))</f>
        <v/>
      </c>
      <c r="J1584" s="27">
        <f>IF(B1584="","",IF(B1583&lt;'02_Eingaben'!$C$36,0,J1583+I1583/'02_Eingaben'!$C$8))</f>
        <v/>
      </c>
    </row>
    <row r="1585">
      <c r="A1585">
        <f>IF('01_Rohdaten'!A1585="","",ROW()-1)</f>
        <v/>
      </c>
      <c r="B1585" s="27">
        <f>IF('01_Rohdaten'!A1585="","",'01_Rohdaten'!A1585)</f>
        <v/>
      </c>
      <c r="C1585" s="27">
        <f>IF(B1585="","",INDEX('01_Rohdaten'!B1585:D1585,'02_Eingaben'!$C$13))</f>
        <v/>
      </c>
      <c r="D1585" s="27">
        <f>IF(C1585="","",C1585*'02_Eingaben'!$C$15)</f>
        <v/>
      </c>
      <c r="E1585" s="27">
        <f>IF(D1585="","",D1585*'02_Eingaben'!$C$8)</f>
        <v/>
      </c>
      <c r="F1585" s="27">
        <f>IF(E1585="","",AVERAGE(INDEX($E$2:$E$3001,MAX(1,ROW()-1-'02_Eingaben'!$C$17)):INDEX($E$2:$E$3001,MIN('02_Eingaben'!$C$21,ROW()-1+'02_Eingaben'!$C$17))))</f>
        <v/>
      </c>
      <c r="G1585" s="27">
        <f>IF(F1585="","",F1585-'02_Eingaben'!$C$10)</f>
        <v/>
      </c>
      <c r="H1585">
        <f>IF(F1585="","",IF(F1585&lt;'02_Eingaben'!$C$18*'02_Eingaben'!$C$10,1,0))</f>
        <v/>
      </c>
      <c r="I1585" s="27">
        <f>IF(OR(G1585="",G1586=""),"",(G1585+G1586)/2*(B1586-B1585))</f>
        <v/>
      </c>
      <c r="J1585" s="27">
        <f>IF(B1585="","",IF(B1584&lt;'02_Eingaben'!$C$36,0,J1584+I1584/'02_Eingaben'!$C$8))</f>
        <v/>
      </c>
    </row>
    <row r="1586">
      <c r="A1586">
        <f>IF('01_Rohdaten'!A1586="","",ROW()-1)</f>
        <v/>
      </c>
      <c r="B1586" s="27">
        <f>IF('01_Rohdaten'!A1586="","",'01_Rohdaten'!A1586)</f>
        <v/>
      </c>
      <c r="C1586" s="27">
        <f>IF(B1586="","",INDEX('01_Rohdaten'!B1586:D1586,'02_Eingaben'!$C$13))</f>
        <v/>
      </c>
      <c r="D1586" s="27">
        <f>IF(C1586="","",C1586*'02_Eingaben'!$C$15)</f>
        <v/>
      </c>
      <c r="E1586" s="27">
        <f>IF(D1586="","",D1586*'02_Eingaben'!$C$8)</f>
        <v/>
      </c>
      <c r="F1586" s="27">
        <f>IF(E1586="","",AVERAGE(INDEX($E$2:$E$3001,MAX(1,ROW()-1-'02_Eingaben'!$C$17)):INDEX($E$2:$E$3001,MIN('02_Eingaben'!$C$21,ROW()-1+'02_Eingaben'!$C$17))))</f>
        <v/>
      </c>
      <c r="G1586" s="27">
        <f>IF(F1586="","",F1586-'02_Eingaben'!$C$10)</f>
        <v/>
      </c>
      <c r="H1586">
        <f>IF(F1586="","",IF(F1586&lt;'02_Eingaben'!$C$18*'02_Eingaben'!$C$10,1,0))</f>
        <v/>
      </c>
      <c r="I1586" s="27">
        <f>IF(OR(G1586="",G1587=""),"",(G1586+G1587)/2*(B1587-B1586))</f>
        <v/>
      </c>
      <c r="J1586" s="27">
        <f>IF(B1586="","",IF(B1585&lt;'02_Eingaben'!$C$36,0,J1585+I1585/'02_Eingaben'!$C$8))</f>
        <v/>
      </c>
    </row>
    <row r="1587">
      <c r="A1587">
        <f>IF('01_Rohdaten'!A1587="","",ROW()-1)</f>
        <v/>
      </c>
      <c r="B1587" s="27">
        <f>IF('01_Rohdaten'!A1587="","",'01_Rohdaten'!A1587)</f>
        <v/>
      </c>
      <c r="C1587" s="27">
        <f>IF(B1587="","",INDEX('01_Rohdaten'!B1587:D1587,'02_Eingaben'!$C$13))</f>
        <v/>
      </c>
      <c r="D1587" s="27">
        <f>IF(C1587="","",C1587*'02_Eingaben'!$C$15)</f>
        <v/>
      </c>
      <c r="E1587" s="27">
        <f>IF(D1587="","",D1587*'02_Eingaben'!$C$8)</f>
        <v/>
      </c>
      <c r="F1587" s="27">
        <f>IF(E1587="","",AVERAGE(INDEX($E$2:$E$3001,MAX(1,ROW()-1-'02_Eingaben'!$C$17)):INDEX($E$2:$E$3001,MIN('02_Eingaben'!$C$21,ROW()-1+'02_Eingaben'!$C$17))))</f>
        <v/>
      </c>
      <c r="G1587" s="27">
        <f>IF(F1587="","",F1587-'02_Eingaben'!$C$10)</f>
        <v/>
      </c>
      <c r="H1587">
        <f>IF(F1587="","",IF(F1587&lt;'02_Eingaben'!$C$18*'02_Eingaben'!$C$10,1,0))</f>
        <v/>
      </c>
      <c r="I1587" s="27">
        <f>IF(OR(G1587="",G1588=""),"",(G1587+G1588)/2*(B1588-B1587))</f>
        <v/>
      </c>
      <c r="J1587" s="27">
        <f>IF(B1587="","",IF(B1586&lt;'02_Eingaben'!$C$36,0,J1586+I1586/'02_Eingaben'!$C$8))</f>
        <v/>
      </c>
    </row>
    <row r="1588">
      <c r="A1588">
        <f>IF('01_Rohdaten'!A1588="","",ROW()-1)</f>
        <v/>
      </c>
      <c r="B1588" s="27">
        <f>IF('01_Rohdaten'!A1588="","",'01_Rohdaten'!A1588)</f>
        <v/>
      </c>
      <c r="C1588" s="27">
        <f>IF(B1588="","",INDEX('01_Rohdaten'!B1588:D1588,'02_Eingaben'!$C$13))</f>
        <v/>
      </c>
      <c r="D1588" s="27">
        <f>IF(C1588="","",C1588*'02_Eingaben'!$C$15)</f>
        <v/>
      </c>
      <c r="E1588" s="27">
        <f>IF(D1588="","",D1588*'02_Eingaben'!$C$8)</f>
        <v/>
      </c>
      <c r="F1588" s="27">
        <f>IF(E1588="","",AVERAGE(INDEX($E$2:$E$3001,MAX(1,ROW()-1-'02_Eingaben'!$C$17)):INDEX($E$2:$E$3001,MIN('02_Eingaben'!$C$21,ROW()-1+'02_Eingaben'!$C$17))))</f>
        <v/>
      </c>
      <c r="G1588" s="27">
        <f>IF(F1588="","",F1588-'02_Eingaben'!$C$10)</f>
        <v/>
      </c>
      <c r="H1588">
        <f>IF(F1588="","",IF(F1588&lt;'02_Eingaben'!$C$18*'02_Eingaben'!$C$10,1,0))</f>
        <v/>
      </c>
      <c r="I1588" s="27">
        <f>IF(OR(G1588="",G1589=""),"",(G1588+G1589)/2*(B1589-B1588))</f>
        <v/>
      </c>
      <c r="J1588" s="27">
        <f>IF(B1588="","",IF(B1587&lt;'02_Eingaben'!$C$36,0,J1587+I1587/'02_Eingaben'!$C$8))</f>
        <v/>
      </c>
    </row>
    <row r="1589">
      <c r="A1589">
        <f>IF('01_Rohdaten'!A1589="","",ROW()-1)</f>
        <v/>
      </c>
      <c r="B1589" s="27">
        <f>IF('01_Rohdaten'!A1589="","",'01_Rohdaten'!A1589)</f>
        <v/>
      </c>
      <c r="C1589" s="27">
        <f>IF(B1589="","",INDEX('01_Rohdaten'!B1589:D1589,'02_Eingaben'!$C$13))</f>
        <v/>
      </c>
      <c r="D1589" s="27">
        <f>IF(C1589="","",C1589*'02_Eingaben'!$C$15)</f>
        <v/>
      </c>
      <c r="E1589" s="27">
        <f>IF(D1589="","",D1589*'02_Eingaben'!$C$8)</f>
        <v/>
      </c>
      <c r="F1589" s="27">
        <f>IF(E1589="","",AVERAGE(INDEX($E$2:$E$3001,MAX(1,ROW()-1-'02_Eingaben'!$C$17)):INDEX($E$2:$E$3001,MIN('02_Eingaben'!$C$21,ROW()-1+'02_Eingaben'!$C$17))))</f>
        <v/>
      </c>
      <c r="G1589" s="27">
        <f>IF(F1589="","",F1589-'02_Eingaben'!$C$10)</f>
        <v/>
      </c>
      <c r="H1589">
        <f>IF(F1589="","",IF(F1589&lt;'02_Eingaben'!$C$18*'02_Eingaben'!$C$10,1,0))</f>
        <v/>
      </c>
      <c r="I1589" s="27">
        <f>IF(OR(G1589="",G1590=""),"",(G1589+G1590)/2*(B1590-B1589))</f>
        <v/>
      </c>
      <c r="J1589" s="27">
        <f>IF(B1589="","",IF(B1588&lt;'02_Eingaben'!$C$36,0,J1588+I1588/'02_Eingaben'!$C$8))</f>
        <v/>
      </c>
    </row>
    <row r="1590">
      <c r="A1590">
        <f>IF('01_Rohdaten'!A1590="","",ROW()-1)</f>
        <v/>
      </c>
      <c r="B1590" s="27">
        <f>IF('01_Rohdaten'!A1590="","",'01_Rohdaten'!A1590)</f>
        <v/>
      </c>
      <c r="C1590" s="27">
        <f>IF(B1590="","",INDEX('01_Rohdaten'!B1590:D1590,'02_Eingaben'!$C$13))</f>
        <v/>
      </c>
      <c r="D1590" s="27">
        <f>IF(C1590="","",C1590*'02_Eingaben'!$C$15)</f>
        <v/>
      </c>
      <c r="E1590" s="27">
        <f>IF(D1590="","",D1590*'02_Eingaben'!$C$8)</f>
        <v/>
      </c>
      <c r="F1590" s="27">
        <f>IF(E1590="","",AVERAGE(INDEX($E$2:$E$3001,MAX(1,ROW()-1-'02_Eingaben'!$C$17)):INDEX($E$2:$E$3001,MIN('02_Eingaben'!$C$21,ROW()-1+'02_Eingaben'!$C$17))))</f>
        <v/>
      </c>
      <c r="G1590" s="27">
        <f>IF(F1590="","",F1590-'02_Eingaben'!$C$10)</f>
        <v/>
      </c>
      <c r="H1590">
        <f>IF(F1590="","",IF(F1590&lt;'02_Eingaben'!$C$18*'02_Eingaben'!$C$10,1,0))</f>
        <v/>
      </c>
      <c r="I1590" s="27">
        <f>IF(OR(G1590="",G1591=""),"",(G1590+G1591)/2*(B1591-B1590))</f>
        <v/>
      </c>
      <c r="J1590" s="27">
        <f>IF(B1590="","",IF(B1589&lt;'02_Eingaben'!$C$36,0,J1589+I1589/'02_Eingaben'!$C$8))</f>
        <v/>
      </c>
    </row>
    <row r="1591">
      <c r="A1591">
        <f>IF('01_Rohdaten'!A1591="","",ROW()-1)</f>
        <v/>
      </c>
      <c r="B1591" s="27">
        <f>IF('01_Rohdaten'!A1591="","",'01_Rohdaten'!A1591)</f>
        <v/>
      </c>
      <c r="C1591" s="27">
        <f>IF(B1591="","",INDEX('01_Rohdaten'!B1591:D1591,'02_Eingaben'!$C$13))</f>
        <v/>
      </c>
      <c r="D1591" s="27">
        <f>IF(C1591="","",C1591*'02_Eingaben'!$C$15)</f>
        <v/>
      </c>
      <c r="E1591" s="27">
        <f>IF(D1591="","",D1591*'02_Eingaben'!$C$8)</f>
        <v/>
      </c>
      <c r="F1591" s="27">
        <f>IF(E1591="","",AVERAGE(INDEX($E$2:$E$3001,MAX(1,ROW()-1-'02_Eingaben'!$C$17)):INDEX($E$2:$E$3001,MIN('02_Eingaben'!$C$21,ROW()-1+'02_Eingaben'!$C$17))))</f>
        <v/>
      </c>
      <c r="G1591" s="27">
        <f>IF(F1591="","",F1591-'02_Eingaben'!$C$10)</f>
        <v/>
      </c>
      <c r="H1591">
        <f>IF(F1591="","",IF(F1591&lt;'02_Eingaben'!$C$18*'02_Eingaben'!$C$10,1,0))</f>
        <v/>
      </c>
      <c r="I1591" s="27">
        <f>IF(OR(G1591="",G1592=""),"",(G1591+G1592)/2*(B1592-B1591))</f>
        <v/>
      </c>
      <c r="J1591" s="27">
        <f>IF(B1591="","",IF(B1590&lt;'02_Eingaben'!$C$36,0,J1590+I1590/'02_Eingaben'!$C$8))</f>
        <v/>
      </c>
    </row>
    <row r="1592">
      <c r="A1592">
        <f>IF('01_Rohdaten'!A1592="","",ROW()-1)</f>
        <v/>
      </c>
      <c r="B1592" s="27">
        <f>IF('01_Rohdaten'!A1592="","",'01_Rohdaten'!A1592)</f>
        <v/>
      </c>
      <c r="C1592" s="27">
        <f>IF(B1592="","",INDEX('01_Rohdaten'!B1592:D1592,'02_Eingaben'!$C$13))</f>
        <v/>
      </c>
      <c r="D1592" s="27">
        <f>IF(C1592="","",C1592*'02_Eingaben'!$C$15)</f>
        <v/>
      </c>
      <c r="E1592" s="27">
        <f>IF(D1592="","",D1592*'02_Eingaben'!$C$8)</f>
        <v/>
      </c>
      <c r="F1592" s="27">
        <f>IF(E1592="","",AVERAGE(INDEX($E$2:$E$3001,MAX(1,ROW()-1-'02_Eingaben'!$C$17)):INDEX($E$2:$E$3001,MIN('02_Eingaben'!$C$21,ROW()-1+'02_Eingaben'!$C$17))))</f>
        <v/>
      </c>
      <c r="G1592" s="27">
        <f>IF(F1592="","",F1592-'02_Eingaben'!$C$10)</f>
        <v/>
      </c>
      <c r="H1592">
        <f>IF(F1592="","",IF(F1592&lt;'02_Eingaben'!$C$18*'02_Eingaben'!$C$10,1,0))</f>
        <v/>
      </c>
      <c r="I1592" s="27">
        <f>IF(OR(G1592="",G1593=""),"",(G1592+G1593)/2*(B1593-B1592))</f>
        <v/>
      </c>
      <c r="J1592" s="27">
        <f>IF(B1592="","",IF(B1591&lt;'02_Eingaben'!$C$36,0,J1591+I1591/'02_Eingaben'!$C$8))</f>
        <v/>
      </c>
    </row>
    <row r="1593">
      <c r="A1593">
        <f>IF('01_Rohdaten'!A1593="","",ROW()-1)</f>
        <v/>
      </c>
      <c r="B1593" s="27">
        <f>IF('01_Rohdaten'!A1593="","",'01_Rohdaten'!A1593)</f>
        <v/>
      </c>
      <c r="C1593" s="27">
        <f>IF(B1593="","",INDEX('01_Rohdaten'!B1593:D1593,'02_Eingaben'!$C$13))</f>
        <v/>
      </c>
      <c r="D1593" s="27">
        <f>IF(C1593="","",C1593*'02_Eingaben'!$C$15)</f>
        <v/>
      </c>
      <c r="E1593" s="27">
        <f>IF(D1593="","",D1593*'02_Eingaben'!$C$8)</f>
        <v/>
      </c>
      <c r="F1593" s="27">
        <f>IF(E1593="","",AVERAGE(INDEX($E$2:$E$3001,MAX(1,ROW()-1-'02_Eingaben'!$C$17)):INDEX($E$2:$E$3001,MIN('02_Eingaben'!$C$21,ROW()-1+'02_Eingaben'!$C$17))))</f>
        <v/>
      </c>
      <c r="G1593" s="27">
        <f>IF(F1593="","",F1593-'02_Eingaben'!$C$10)</f>
        <v/>
      </c>
      <c r="H1593">
        <f>IF(F1593="","",IF(F1593&lt;'02_Eingaben'!$C$18*'02_Eingaben'!$C$10,1,0))</f>
        <v/>
      </c>
      <c r="I1593" s="27">
        <f>IF(OR(G1593="",G1594=""),"",(G1593+G1594)/2*(B1594-B1593))</f>
        <v/>
      </c>
      <c r="J1593" s="27">
        <f>IF(B1593="","",IF(B1592&lt;'02_Eingaben'!$C$36,0,J1592+I1592/'02_Eingaben'!$C$8))</f>
        <v/>
      </c>
    </row>
    <row r="1594">
      <c r="A1594">
        <f>IF('01_Rohdaten'!A1594="","",ROW()-1)</f>
        <v/>
      </c>
      <c r="B1594" s="27">
        <f>IF('01_Rohdaten'!A1594="","",'01_Rohdaten'!A1594)</f>
        <v/>
      </c>
      <c r="C1594" s="27">
        <f>IF(B1594="","",INDEX('01_Rohdaten'!B1594:D1594,'02_Eingaben'!$C$13))</f>
        <v/>
      </c>
      <c r="D1594" s="27">
        <f>IF(C1594="","",C1594*'02_Eingaben'!$C$15)</f>
        <v/>
      </c>
      <c r="E1594" s="27">
        <f>IF(D1594="","",D1594*'02_Eingaben'!$C$8)</f>
        <v/>
      </c>
      <c r="F1594" s="27">
        <f>IF(E1594="","",AVERAGE(INDEX($E$2:$E$3001,MAX(1,ROW()-1-'02_Eingaben'!$C$17)):INDEX($E$2:$E$3001,MIN('02_Eingaben'!$C$21,ROW()-1+'02_Eingaben'!$C$17))))</f>
        <v/>
      </c>
      <c r="G1594" s="27">
        <f>IF(F1594="","",F1594-'02_Eingaben'!$C$10)</f>
        <v/>
      </c>
      <c r="H1594">
        <f>IF(F1594="","",IF(F1594&lt;'02_Eingaben'!$C$18*'02_Eingaben'!$C$10,1,0))</f>
        <v/>
      </c>
      <c r="I1594" s="27">
        <f>IF(OR(G1594="",G1595=""),"",(G1594+G1595)/2*(B1595-B1594))</f>
        <v/>
      </c>
      <c r="J1594" s="27">
        <f>IF(B1594="","",IF(B1593&lt;'02_Eingaben'!$C$36,0,J1593+I1593/'02_Eingaben'!$C$8))</f>
        <v/>
      </c>
    </row>
    <row r="1595">
      <c r="A1595">
        <f>IF('01_Rohdaten'!A1595="","",ROW()-1)</f>
        <v/>
      </c>
      <c r="B1595" s="27">
        <f>IF('01_Rohdaten'!A1595="","",'01_Rohdaten'!A1595)</f>
        <v/>
      </c>
      <c r="C1595" s="27">
        <f>IF(B1595="","",INDEX('01_Rohdaten'!B1595:D1595,'02_Eingaben'!$C$13))</f>
        <v/>
      </c>
      <c r="D1595" s="27">
        <f>IF(C1595="","",C1595*'02_Eingaben'!$C$15)</f>
        <v/>
      </c>
      <c r="E1595" s="27">
        <f>IF(D1595="","",D1595*'02_Eingaben'!$C$8)</f>
        <v/>
      </c>
      <c r="F1595" s="27">
        <f>IF(E1595="","",AVERAGE(INDEX($E$2:$E$3001,MAX(1,ROW()-1-'02_Eingaben'!$C$17)):INDEX($E$2:$E$3001,MIN('02_Eingaben'!$C$21,ROW()-1+'02_Eingaben'!$C$17))))</f>
        <v/>
      </c>
      <c r="G1595" s="27">
        <f>IF(F1595="","",F1595-'02_Eingaben'!$C$10)</f>
        <v/>
      </c>
      <c r="H1595">
        <f>IF(F1595="","",IF(F1595&lt;'02_Eingaben'!$C$18*'02_Eingaben'!$C$10,1,0))</f>
        <v/>
      </c>
      <c r="I1595" s="27">
        <f>IF(OR(G1595="",G1596=""),"",(G1595+G1596)/2*(B1596-B1595))</f>
        <v/>
      </c>
      <c r="J1595" s="27">
        <f>IF(B1595="","",IF(B1594&lt;'02_Eingaben'!$C$36,0,J1594+I1594/'02_Eingaben'!$C$8))</f>
        <v/>
      </c>
    </row>
    <row r="1596">
      <c r="A1596">
        <f>IF('01_Rohdaten'!A1596="","",ROW()-1)</f>
        <v/>
      </c>
      <c r="B1596" s="27">
        <f>IF('01_Rohdaten'!A1596="","",'01_Rohdaten'!A1596)</f>
        <v/>
      </c>
      <c r="C1596" s="27">
        <f>IF(B1596="","",INDEX('01_Rohdaten'!B1596:D1596,'02_Eingaben'!$C$13))</f>
        <v/>
      </c>
      <c r="D1596" s="27">
        <f>IF(C1596="","",C1596*'02_Eingaben'!$C$15)</f>
        <v/>
      </c>
      <c r="E1596" s="27">
        <f>IF(D1596="","",D1596*'02_Eingaben'!$C$8)</f>
        <v/>
      </c>
      <c r="F1596" s="27">
        <f>IF(E1596="","",AVERAGE(INDEX($E$2:$E$3001,MAX(1,ROW()-1-'02_Eingaben'!$C$17)):INDEX($E$2:$E$3001,MIN('02_Eingaben'!$C$21,ROW()-1+'02_Eingaben'!$C$17))))</f>
        <v/>
      </c>
      <c r="G1596" s="27">
        <f>IF(F1596="","",F1596-'02_Eingaben'!$C$10)</f>
        <v/>
      </c>
      <c r="H1596">
        <f>IF(F1596="","",IF(F1596&lt;'02_Eingaben'!$C$18*'02_Eingaben'!$C$10,1,0))</f>
        <v/>
      </c>
      <c r="I1596" s="27">
        <f>IF(OR(G1596="",G1597=""),"",(G1596+G1597)/2*(B1597-B1596))</f>
        <v/>
      </c>
      <c r="J1596" s="27">
        <f>IF(B1596="","",IF(B1595&lt;'02_Eingaben'!$C$36,0,J1595+I1595/'02_Eingaben'!$C$8))</f>
        <v/>
      </c>
    </row>
    <row r="1597">
      <c r="A1597">
        <f>IF('01_Rohdaten'!A1597="","",ROW()-1)</f>
        <v/>
      </c>
      <c r="B1597" s="27">
        <f>IF('01_Rohdaten'!A1597="","",'01_Rohdaten'!A1597)</f>
        <v/>
      </c>
      <c r="C1597" s="27">
        <f>IF(B1597="","",INDEX('01_Rohdaten'!B1597:D1597,'02_Eingaben'!$C$13))</f>
        <v/>
      </c>
      <c r="D1597" s="27">
        <f>IF(C1597="","",C1597*'02_Eingaben'!$C$15)</f>
        <v/>
      </c>
      <c r="E1597" s="27">
        <f>IF(D1597="","",D1597*'02_Eingaben'!$C$8)</f>
        <v/>
      </c>
      <c r="F1597" s="27">
        <f>IF(E1597="","",AVERAGE(INDEX($E$2:$E$3001,MAX(1,ROW()-1-'02_Eingaben'!$C$17)):INDEX($E$2:$E$3001,MIN('02_Eingaben'!$C$21,ROW()-1+'02_Eingaben'!$C$17))))</f>
        <v/>
      </c>
      <c r="G1597" s="27">
        <f>IF(F1597="","",F1597-'02_Eingaben'!$C$10)</f>
        <v/>
      </c>
      <c r="H1597">
        <f>IF(F1597="","",IF(F1597&lt;'02_Eingaben'!$C$18*'02_Eingaben'!$C$10,1,0))</f>
        <v/>
      </c>
      <c r="I1597" s="27">
        <f>IF(OR(G1597="",G1598=""),"",(G1597+G1598)/2*(B1598-B1597))</f>
        <v/>
      </c>
      <c r="J1597" s="27">
        <f>IF(B1597="","",IF(B1596&lt;'02_Eingaben'!$C$36,0,J1596+I1596/'02_Eingaben'!$C$8))</f>
        <v/>
      </c>
    </row>
    <row r="1598">
      <c r="A1598">
        <f>IF('01_Rohdaten'!A1598="","",ROW()-1)</f>
        <v/>
      </c>
      <c r="B1598" s="27">
        <f>IF('01_Rohdaten'!A1598="","",'01_Rohdaten'!A1598)</f>
        <v/>
      </c>
      <c r="C1598" s="27">
        <f>IF(B1598="","",INDEX('01_Rohdaten'!B1598:D1598,'02_Eingaben'!$C$13))</f>
        <v/>
      </c>
      <c r="D1598" s="27">
        <f>IF(C1598="","",C1598*'02_Eingaben'!$C$15)</f>
        <v/>
      </c>
      <c r="E1598" s="27">
        <f>IF(D1598="","",D1598*'02_Eingaben'!$C$8)</f>
        <v/>
      </c>
      <c r="F1598" s="27">
        <f>IF(E1598="","",AVERAGE(INDEX($E$2:$E$3001,MAX(1,ROW()-1-'02_Eingaben'!$C$17)):INDEX($E$2:$E$3001,MIN('02_Eingaben'!$C$21,ROW()-1+'02_Eingaben'!$C$17))))</f>
        <v/>
      </c>
      <c r="G1598" s="27">
        <f>IF(F1598="","",F1598-'02_Eingaben'!$C$10)</f>
        <v/>
      </c>
      <c r="H1598">
        <f>IF(F1598="","",IF(F1598&lt;'02_Eingaben'!$C$18*'02_Eingaben'!$C$10,1,0))</f>
        <v/>
      </c>
      <c r="I1598" s="27">
        <f>IF(OR(G1598="",G1599=""),"",(G1598+G1599)/2*(B1599-B1598))</f>
        <v/>
      </c>
      <c r="J1598" s="27">
        <f>IF(B1598="","",IF(B1597&lt;'02_Eingaben'!$C$36,0,J1597+I1597/'02_Eingaben'!$C$8))</f>
        <v/>
      </c>
    </row>
    <row r="1599">
      <c r="A1599">
        <f>IF('01_Rohdaten'!A1599="","",ROW()-1)</f>
        <v/>
      </c>
      <c r="B1599" s="27">
        <f>IF('01_Rohdaten'!A1599="","",'01_Rohdaten'!A1599)</f>
        <v/>
      </c>
      <c r="C1599" s="27">
        <f>IF(B1599="","",INDEX('01_Rohdaten'!B1599:D1599,'02_Eingaben'!$C$13))</f>
        <v/>
      </c>
      <c r="D1599" s="27">
        <f>IF(C1599="","",C1599*'02_Eingaben'!$C$15)</f>
        <v/>
      </c>
      <c r="E1599" s="27">
        <f>IF(D1599="","",D1599*'02_Eingaben'!$C$8)</f>
        <v/>
      </c>
      <c r="F1599" s="27">
        <f>IF(E1599="","",AVERAGE(INDEX($E$2:$E$3001,MAX(1,ROW()-1-'02_Eingaben'!$C$17)):INDEX($E$2:$E$3001,MIN('02_Eingaben'!$C$21,ROW()-1+'02_Eingaben'!$C$17))))</f>
        <v/>
      </c>
      <c r="G1599" s="27">
        <f>IF(F1599="","",F1599-'02_Eingaben'!$C$10)</f>
        <v/>
      </c>
      <c r="H1599">
        <f>IF(F1599="","",IF(F1599&lt;'02_Eingaben'!$C$18*'02_Eingaben'!$C$10,1,0))</f>
        <v/>
      </c>
      <c r="I1599" s="27">
        <f>IF(OR(G1599="",G1600=""),"",(G1599+G1600)/2*(B1600-B1599))</f>
        <v/>
      </c>
      <c r="J1599" s="27">
        <f>IF(B1599="","",IF(B1598&lt;'02_Eingaben'!$C$36,0,J1598+I1598/'02_Eingaben'!$C$8))</f>
        <v/>
      </c>
    </row>
    <row r="1600">
      <c r="A1600">
        <f>IF('01_Rohdaten'!A1600="","",ROW()-1)</f>
        <v/>
      </c>
      <c r="B1600" s="27">
        <f>IF('01_Rohdaten'!A1600="","",'01_Rohdaten'!A1600)</f>
        <v/>
      </c>
      <c r="C1600" s="27">
        <f>IF(B1600="","",INDEX('01_Rohdaten'!B1600:D1600,'02_Eingaben'!$C$13))</f>
        <v/>
      </c>
      <c r="D1600" s="27">
        <f>IF(C1600="","",C1600*'02_Eingaben'!$C$15)</f>
        <v/>
      </c>
      <c r="E1600" s="27">
        <f>IF(D1600="","",D1600*'02_Eingaben'!$C$8)</f>
        <v/>
      </c>
      <c r="F1600" s="27">
        <f>IF(E1600="","",AVERAGE(INDEX($E$2:$E$3001,MAX(1,ROW()-1-'02_Eingaben'!$C$17)):INDEX($E$2:$E$3001,MIN('02_Eingaben'!$C$21,ROW()-1+'02_Eingaben'!$C$17))))</f>
        <v/>
      </c>
      <c r="G1600" s="27">
        <f>IF(F1600="","",F1600-'02_Eingaben'!$C$10)</f>
        <v/>
      </c>
      <c r="H1600">
        <f>IF(F1600="","",IF(F1600&lt;'02_Eingaben'!$C$18*'02_Eingaben'!$C$10,1,0))</f>
        <v/>
      </c>
      <c r="I1600" s="27">
        <f>IF(OR(G1600="",G1601=""),"",(G1600+G1601)/2*(B1601-B1600))</f>
        <v/>
      </c>
      <c r="J1600" s="27">
        <f>IF(B1600="","",IF(B1599&lt;'02_Eingaben'!$C$36,0,J1599+I1599/'02_Eingaben'!$C$8))</f>
        <v/>
      </c>
    </row>
    <row r="1601">
      <c r="A1601">
        <f>IF('01_Rohdaten'!A1601="","",ROW()-1)</f>
        <v/>
      </c>
      <c r="B1601" s="27">
        <f>IF('01_Rohdaten'!A1601="","",'01_Rohdaten'!A1601)</f>
        <v/>
      </c>
      <c r="C1601" s="27">
        <f>IF(B1601="","",INDEX('01_Rohdaten'!B1601:D1601,'02_Eingaben'!$C$13))</f>
        <v/>
      </c>
      <c r="D1601" s="27">
        <f>IF(C1601="","",C1601*'02_Eingaben'!$C$15)</f>
        <v/>
      </c>
      <c r="E1601" s="27">
        <f>IF(D1601="","",D1601*'02_Eingaben'!$C$8)</f>
        <v/>
      </c>
      <c r="F1601" s="27">
        <f>IF(E1601="","",AVERAGE(INDEX($E$2:$E$3001,MAX(1,ROW()-1-'02_Eingaben'!$C$17)):INDEX($E$2:$E$3001,MIN('02_Eingaben'!$C$21,ROW()-1+'02_Eingaben'!$C$17))))</f>
        <v/>
      </c>
      <c r="G1601" s="27">
        <f>IF(F1601="","",F1601-'02_Eingaben'!$C$10)</f>
        <v/>
      </c>
      <c r="H1601">
        <f>IF(F1601="","",IF(F1601&lt;'02_Eingaben'!$C$18*'02_Eingaben'!$C$10,1,0))</f>
        <v/>
      </c>
      <c r="I1601" s="27">
        <f>IF(OR(G1601="",G1602=""),"",(G1601+G1602)/2*(B1602-B1601))</f>
        <v/>
      </c>
      <c r="J1601" s="27">
        <f>IF(B1601="","",IF(B1600&lt;'02_Eingaben'!$C$36,0,J1600+I1600/'02_Eingaben'!$C$8))</f>
        <v/>
      </c>
    </row>
    <row r="1602">
      <c r="A1602">
        <f>IF('01_Rohdaten'!A1602="","",ROW()-1)</f>
        <v/>
      </c>
      <c r="B1602" s="27">
        <f>IF('01_Rohdaten'!A1602="","",'01_Rohdaten'!A1602)</f>
        <v/>
      </c>
      <c r="C1602" s="27">
        <f>IF(B1602="","",INDEX('01_Rohdaten'!B1602:D1602,'02_Eingaben'!$C$13))</f>
        <v/>
      </c>
      <c r="D1602" s="27">
        <f>IF(C1602="","",C1602*'02_Eingaben'!$C$15)</f>
        <v/>
      </c>
      <c r="E1602" s="27">
        <f>IF(D1602="","",D1602*'02_Eingaben'!$C$8)</f>
        <v/>
      </c>
      <c r="F1602" s="27">
        <f>IF(E1602="","",AVERAGE(INDEX($E$2:$E$3001,MAX(1,ROW()-1-'02_Eingaben'!$C$17)):INDEX($E$2:$E$3001,MIN('02_Eingaben'!$C$21,ROW()-1+'02_Eingaben'!$C$17))))</f>
        <v/>
      </c>
      <c r="G1602" s="27">
        <f>IF(F1602="","",F1602-'02_Eingaben'!$C$10)</f>
        <v/>
      </c>
      <c r="H1602">
        <f>IF(F1602="","",IF(F1602&lt;'02_Eingaben'!$C$18*'02_Eingaben'!$C$10,1,0))</f>
        <v/>
      </c>
      <c r="I1602" s="27">
        <f>IF(OR(G1602="",G1603=""),"",(G1602+G1603)/2*(B1603-B1602))</f>
        <v/>
      </c>
      <c r="J1602" s="27">
        <f>IF(B1602="","",IF(B1601&lt;'02_Eingaben'!$C$36,0,J1601+I1601/'02_Eingaben'!$C$8))</f>
        <v/>
      </c>
    </row>
    <row r="1603">
      <c r="A1603">
        <f>IF('01_Rohdaten'!A1603="","",ROW()-1)</f>
        <v/>
      </c>
      <c r="B1603" s="27">
        <f>IF('01_Rohdaten'!A1603="","",'01_Rohdaten'!A1603)</f>
        <v/>
      </c>
      <c r="C1603" s="27">
        <f>IF(B1603="","",INDEX('01_Rohdaten'!B1603:D1603,'02_Eingaben'!$C$13))</f>
        <v/>
      </c>
      <c r="D1603" s="27">
        <f>IF(C1603="","",C1603*'02_Eingaben'!$C$15)</f>
        <v/>
      </c>
      <c r="E1603" s="27">
        <f>IF(D1603="","",D1603*'02_Eingaben'!$C$8)</f>
        <v/>
      </c>
      <c r="F1603" s="27">
        <f>IF(E1603="","",AVERAGE(INDEX($E$2:$E$3001,MAX(1,ROW()-1-'02_Eingaben'!$C$17)):INDEX($E$2:$E$3001,MIN('02_Eingaben'!$C$21,ROW()-1+'02_Eingaben'!$C$17))))</f>
        <v/>
      </c>
      <c r="G1603" s="27">
        <f>IF(F1603="","",F1603-'02_Eingaben'!$C$10)</f>
        <v/>
      </c>
      <c r="H1603">
        <f>IF(F1603="","",IF(F1603&lt;'02_Eingaben'!$C$18*'02_Eingaben'!$C$10,1,0))</f>
        <v/>
      </c>
      <c r="I1603" s="27">
        <f>IF(OR(G1603="",G1604=""),"",(G1603+G1604)/2*(B1604-B1603))</f>
        <v/>
      </c>
      <c r="J1603" s="27">
        <f>IF(B1603="","",IF(B1602&lt;'02_Eingaben'!$C$36,0,J1602+I1602/'02_Eingaben'!$C$8))</f>
        <v/>
      </c>
    </row>
    <row r="1604">
      <c r="A1604">
        <f>IF('01_Rohdaten'!A1604="","",ROW()-1)</f>
        <v/>
      </c>
      <c r="B1604" s="27">
        <f>IF('01_Rohdaten'!A1604="","",'01_Rohdaten'!A1604)</f>
        <v/>
      </c>
      <c r="C1604" s="27">
        <f>IF(B1604="","",INDEX('01_Rohdaten'!B1604:D1604,'02_Eingaben'!$C$13))</f>
        <v/>
      </c>
      <c r="D1604" s="27">
        <f>IF(C1604="","",C1604*'02_Eingaben'!$C$15)</f>
        <v/>
      </c>
      <c r="E1604" s="27">
        <f>IF(D1604="","",D1604*'02_Eingaben'!$C$8)</f>
        <v/>
      </c>
      <c r="F1604" s="27">
        <f>IF(E1604="","",AVERAGE(INDEX($E$2:$E$3001,MAX(1,ROW()-1-'02_Eingaben'!$C$17)):INDEX($E$2:$E$3001,MIN('02_Eingaben'!$C$21,ROW()-1+'02_Eingaben'!$C$17))))</f>
        <v/>
      </c>
      <c r="G1604" s="27">
        <f>IF(F1604="","",F1604-'02_Eingaben'!$C$10)</f>
        <v/>
      </c>
      <c r="H1604">
        <f>IF(F1604="","",IF(F1604&lt;'02_Eingaben'!$C$18*'02_Eingaben'!$C$10,1,0))</f>
        <v/>
      </c>
      <c r="I1604" s="27">
        <f>IF(OR(G1604="",G1605=""),"",(G1604+G1605)/2*(B1605-B1604))</f>
        <v/>
      </c>
      <c r="J1604" s="27">
        <f>IF(B1604="","",IF(B1603&lt;'02_Eingaben'!$C$36,0,J1603+I1603/'02_Eingaben'!$C$8))</f>
        <v/>
      </c>
    </row>
    <row r="1605">
      <c r="A1605">
        <f>IF('01_Rohdaten'!A1605="","",ROW()-1)</f>
        <v/>
      </c>
      <c r="B1605" s="27">
        <f>IF('01_Rohdaten'!A1605="","",'01_Rohdaten'!A1605)</f>
        <v/>
      </c>
      <c r="C1605" s="27">
        <f>IF(B1605="","",INDEX('01_Rohdaten'!B1605:D1605,'02_Eingaben'!$C$13))</f>
        <v/>
      </c>
      <c r="D1605" s="27">
        <f>IF(C1605="","",C1605*'02_Eingaben'!$C$15)</f>
        <v/>
      </c>
      <c r="E1605" s="27">
        <f>IF(D1605="","",D1605*'02_Eingaben'!$C$8)</f>
        <v/>
      </c>
      <c r="F1605" s="27">
        <f>IF(E1605="","",AVERAGE(INDEX($E$2:$E$3001,MAX(1,ROW()-1-'02_Eingaben'!$C$17)):INDEX($E$2:$E$3001,MIN('02_Eingaben'!$C$21,ROW()-1+'02_Eingaben'!$C$17))))</f>
        <v/>
      </c>
      <c r="G1605" s="27">
        <f>IF(F1605="","",F1605-'02_Eingaben'!$C$10)</f>
        <v/>
      </c>
      <c r="H1605">
        <f>IF(F1605="","",IF(F1605&lt;'02_Eingaben'!$C$18*'02_Eingaben'!$C$10,1,0))</f>
        <v/>
      </c>
      <c r="I1605" s="27">
        <f>IF(OR(G1605="",G1606=""),"",(G1605+G1606)/2*(B1606-B1605))</f>
        <v/>
      </c>
      <c r="J1605" s="27">
        <f>IF(B1605="","",IF(B1604&lt;'02_Eingaben'!$C$36,0,J1604+I1604/'02_Eingaben'!$C$8))</f>
        <v/>
      </c>
    </row>
    <row r="1606">
      <c r="A1606">
        <f>IF('01_Rohdaten'!A1606="","",ROW()-1)</f>
        <v/>
      </c>
      <c r="B1606" s="27">
        <f>IF('01_Rohdaten'!A1606="","",'01_Rohdaten'!A1606)</f>
        <v/>
      </c>
      <c r="C1606" s="27">
        <f>IF(B1606="","",INDEX('01_Rohdaten'!B1606:D1606,'02_Eingaben'!$C$13))</f>
        <v/>
      </c>
      <c r="D1606" s="27">
        <f>IF(C1606="","",C1606*'02_Eingaben'!$C$15)</f>
        <v/>
      </c>
      <c r="E1606" s="27">
        <f>IF(D1606="","",D1606*'02_Eingaben'!$C$8)</f>
        <v/>
      </c>
      <c r="F1606" s="27">
        <f>IF(E1606="","",AVERAGE(INDEX($E$2:$E$3001,MAX(1,ROW()-1-'02_Eingaben'!$C$17)):INDEX($E$2:$E$3001,MIN('02_Eingaben'!$C$21,ROW()-1+'02_Eingaben'!$C$17))))</f>
        <v/>
      </c>
      <c r="G1606" s="27">
        <f>IF(F1606="","",F1606-'02_Eingaben'!$C$10)</f>
        <v/>
      </c>
      <c r="H1606">
        <f>IF(F1606="","",IF(F1606&lt;'02_Eingaben'!$C$18*'02_Eingaben'!$C$10,1,0))</f>
        <v/>
      </c>
      <c r="I1606" s="27">
        <f>IF(OR(G1606="",G1607=""),"",(G1606+G1607)/2*(B1607-B1606))</f>
        <v/>
      </c>
      <c r="J1606" s="27">
        <f>IF(B1606="","",IF(B1605&lt;'02_Eingaben'!$C$36,0,J1605+I1605/'02_Eingaben'!$C$8))</f>
        <v/>
      </c>
    </row>
    <row r="1607">
      <c r="A1607">
        <f>IF('01_Rohdaten'!A1607="","",ROW()-1)</f>
        <v/>
      </c>
      <c r="B1607" s="27">
        <f>IF('01_Rohdaten'!A1607="","",'01_Rohdaten'!A1607)</f>
        <v/>
      </c>
      <c r="C1607" s="27">
        <f>IF(B1607="","",INDEX('01_Rohdaten'!B1607:D1607,'02_Eingaben'!$C$13))</f>
        <v/>
      </c>
      <c r="D1607" s="27">
        <f>IF(C1607="","",C1607*'02_Eingaben'!$C$15)</f>
        <v/>
      </c>
      <c r="E1607" s="27">
        <f>IF(D1607="","",D1607*'02_Eingaben'!$C$8)</f>
        <v/>
      </c>
      <c r="F1607" s="27">
        <f>IF(E1607="","",AVERAGE(INDEX($E$2:$E$3001,MAX(1,ROW()-1-'02_Eingaben'!$C$17)):INDEX($E$2:$E$3001,MIN('02_Eingaben'!$C$21,ROW()-1+'02_Eingaben'!$C$17))))</f>
        <v/>
      </c>
      <c r="G1607" s="27">
        <f>IF(F1607="","",F1607-'02_Eingaben'!$C$10)</f>
        <v/>
      </c>
      <c r="H1607">
        <f>IF(F1607="","",IF(F1607&lt;'02_Eingaben'!$C$18*'02_Eingaben'!$C$10,1,0))</f>
        <v/>
      </c>
      <c r="I1607" s="27">
        <f>IF(OR(G1607="",G1608=""),"",(G1607+G1608)/2*(B1608-B1607))</f>
        <v/>
      </c>
      <c r="J1607" s="27">
        <f>IF(B1607="","",IF(B1606&lt;'02_Eingaben'!$C$36,0,J1606+I1606/'02_Eingaben'!$C$8))</f>
        <v/>
      </c>
    </row>
    <row r="1608">
      <c r="A1608">
        <f>IF('01_Rohdaten'!A1608="","",ROW()-1)</f>
        <v/>
      </c>
      <c r="B1608" s="27">
        <f>IF('01_Rohdaten'!A1608="","",'01_Rohdaten'!A1608)</f>
        <v/>
      </c>
      <c r="C1608" s="27">
        <f>IF(B1608="","",INDEX('01_Rohdaten'!B1608:D1608,'02_Eingaben'!$C$13))</f>
        <v/>
      </c>
      <c r="D1608" s="27">
        <f>IF(C1608="","",C1608*'02_Eingaben'!$C$15)</f>
        <v/>
      </c>
      <c r="E1608" s="27">
        <f>IF(D1608="","",D1608*'02_Eingaben'!$C$8)</f>
        <v/>
      </c>
      <c r="F1608" s="27">
        <f>IF(E1608="","",AVERAGE(INDEX($E$2:$E$3001,MAX(1,ROW()-1-'02_Eingaben'!$C$17)):INDEX($E$2:$E$3001,MIN('02_Eingaben'!$C$21,ROW()-1+'02_Eingaben'!$C$17))))</f>
        <v/>
      </c>
      <c r="G1608" s="27">
        <f>IF(F1608="","",F1608-'02_Eingaben'!$C$10)</f>
        <v/>
      </c>
      <c r="H1608">
        <f>IF(F1608="","",IF(F1608&lt;'02_Eingaben'!$C$18*'02_Eingaben'!$C$10,1,0))</f>
        <v/>
      </c>
      <c r="I1608" s="27">
        <f>IF(OR(G1608="",G1609=""),"",(G1608+G1609)/2*(B1609-B1608))</f>
        <v/>
      </c>
      <c r="J1608" s="27">
        <f>IF(B1608="","",IF(B1607&lt;'02_Eingaben'!$C$36,0,J1607+I1607/'02_Eingaben'!$C$8))</f>
        <v/>
      </c>
    </row>
    <row r="1609">
      <c r="A1609">
        <f>IF('01_Rohdaten'!A1609="","",ROW()-1)</f>
        <v/>
      </c>
      <c r="B1609" s="27">
        <f>IF('01_Rohdaten'!A1609="","",'01_Rohdaten'!A1609)</f>
        <v/>
      </c>
      <c r="C1609" s="27">
        <f>IF(B1609="","",INDEX('01_Rohdaten'!B1609:D1609,'02_Eingaben'!$C$13))</f>
        <v/>
      </c>
      <c r="D1609" s="27">
        <f>IF(C1609="","",C1609*'02_Eingaben'!$C$15)</f>
        <v/>
      </c>
      <c r="E1609" s="27">
        <f>IF(D1609="","",D1609*'02_Eingaben'!$C$8)</f>
        <v/>
      </c>
      <c r="F1609" s="27">
        <f>IF(E1609="","",AVERAGE(INDEX($E$2:$E$3001,MAX(1,ROW()-1-'02_Eingaben'!$C$17)):INDEX($E$2:$E$3001,MIN('02_Eingaben'!$C$21,ROW()-1+'02_Eingaben'!$C$17))))</f>
        <v/>
      </c>
      <c r="G1609" s="27">
        <f>IF(F1609="","",F1609-'02_Eingaben'!$C$10)</f>
        <v/>
      </c>
      <c r="H1609">
        <f>IF(F1609="","",IF(F1609&lt;'02_Eingaben'!$C$18*'02_Eingaben'!$C$10,1,0))</f>
        <v/>
      </c>
      <c r="I1609" s="27">
        <f>IF(OR(G1609="",G1610=""),"",(G1609+G1610)/2*(B1610-B1609))</f>
        <v/>
      </c>
      <c r="J1609" s="27">
        <f>IF(B1609="","",IF(B1608&lt;'02_Eingaben'!$C$36,0,J1608+I1608/'02_Eingaben'!$C$8))</f>
        <v/>
      </c>
    </row>
    <row r="1610">
      <c r="A1610">
        <f>IF('01_Rohdaten'!A1610="","",ROW()-1)</f>
        <v/>
      </c>
      <c r="B1610" s="27">
        <f>IF('01_Rohdaten'!A1610="","",'01_Rohdaten'!A1610)</f>
        <v/>
      </c>
      <c r="C1610" s="27">
        <f>IF(B1610="","",INDEX('01_Rohdaten'!B1610:D1610,'02_Eingaben'!$C$13))</f>
        <v/>
      </c>
      <c r="D1610" s="27">
        <f>IF(C1610="","",C1610*'02_Eingaben'!$C$15)</f>
        <v/>
      </c>
      <c r="E1610" s="27">
        <f>IF(D1610="","",D1610*'02_Eingaben'!$C$8)</f>
        <v/>
      </c>
      <c r="F1610" s="27">
        <f>IF(E1610="","",AVERAGE(INDEX($E$2:$E$3001,MAX(1,ROW()-1-'02_Eingaben'!$C$17)):INDEX($E$2:$E$3001,MIN('02_Eingaben'!$C$21,ROW()-1+'02_Eingaben'!$C$17))))</f>
        <v/>
      </c>
      <c r="G1610" s="27">
        <f>IF(F1610="","",F1610-'02_Eingaben'!$C$10)</f>
        <v/>
      </c>
      <c r="H1610">
        <f>IF(F1610="","",IF(F1610&lt;'02_Eingaben'!$C$18*'02_Eingaben'!$C$10,1,0))</f>
        <v/>
      </c>
      <c r="I1610" s="27">
        <f>IF(OR(G1610="",G1611=""),"",(G1610+G1611)/2*(B1611-B1610))</f>
        <v/>
      </c>
      <c r="J1610" s="27">
        <f>IF(B1610="","",IF(B1609&lt;'02_Eingaben'!$C$36,0,J1609+I1609/'02_Eingaben'!$C$8))</f>
        <v/>
      </c>
    </row>
    <row r="1611">
      <c r="A1611">
        <f>IF('01_Rohdaten'!A1611="","",ROW()-1)</f>
        <v/>
      </c>
      <c r="B1611" s="27">
        <f>IF('01_Rohdaten'!A1611="","",'01_Rohdaten'!A1611)</f>
        <v/>
      </c>
      <c r="C1611" s="27">
        <f>IF(B1611="","",INDEX('01_Rohdaten'!B1611:D1611,'02_Eingaben'!$C$13))</f>
        <v/>
      </c>
      <c r="D1611" s="27">
        <f>IF(C1611="","",C1611*'02_Eingaben'!$C$15)</f>
        <v/>
      </c>
      <c r="E1611" s="27">
        <f>IF(D1611="","",D1611*'02_Eingaben'!$C$8)</f>
        <v/>
      </c>
      <c r="F1611" s="27">
        <f>IF(E1611="","",AVERAGE(INDEX($E$2:$E$3001,MAX(1,ROW()-1-'02_Eingaben'!$C$17)):INDEX($E$2:$E$3001,MIN('02_Eingaben'!$C$21,ROW()-1+'02_Eingaben'!$C$17))))</f>
        <v/>
      </c>
      <c r="G1611" s="27">
        <f>IF(F1611="","",F1611-'02_Eingaben'!$C$10)</f>
        <v/>
      </c>
      <c r="H1611">
        <f>IF(F1611="","",IF(F1611&lt;'02_Eingaben'!$C$18*'02_Eingaben'!$C$10,1,0))</f>
        <v/>
      </c>
      <c r="I1611" s="27">
        <f>IF(OR(G1611="",G1612=""),"",(G1611+G1612)/2*(B1612-B1611))</f>
        <v/>
      </c>
      <c r="J1611" s="27">
        <f>IF(B1611="","",IF(B1610&lt;'02_Eingaben'!$C$36,0,J1610+I1610/'02_Eingaben'!$C$8))</f>
        <v/>
      </c>
    </row>
    <row r="1612">
      <c r="A1612">
        <f>IF('01_Rohdaten'!A1612="","",ROW()-1)</f>
        <v/>
      </c>
      <c r="B1612" s="27">
        <f>IF('01_Rohdaten'!A1612="","",'01_Rohdaten'!A1612)</f>
        <v/>
      </c>
      <c r="C1612" s="27">
        <f>IF(B1612="","",INDEX('01_Rohdaten'!B1612:D1612,'02_Eingaben'!$C$13))</f>
        <v/>
      </c>
      <c r="D1612" s="27">
        <f>IF(C1612="","",C1612*'02_Eingaben'!$C$15)</f>
        <v/>
      </c>
      <c r="E1612" s="27">
        <f>IF(D1612="","",D1612*'02_Eingaben'!$C$8)</f>
        <v/>
      </c>
      <c r="F1612" s="27">
        <f>IF(E1612="","",AVERAGE(INDEX($E$2:$E$3001,MAX(1,ROW()-1-'02_Eingaben'!$C$17)):INDEX($E$2:$E$3001,MIN('02_Eingaben'!$C$21,ROW()-1+'02_Eingaben'!$C$17))))</f>
        <v/>
      </c>
      <c r="G1612" s="27">
        <f>IF(F1612="","",F1612-'02_Eingaben'!$C$10)</f>
        <v/>
      </c>
      <c r="H1612">
        <f>IF(F1612="","",IF(F1612&lt;'02_Eingaben'!$C$18*'02_Eingaben'!$C$10,1,0))</f>
        <v/>
      </c>
      <c r="I1612" s="27">
        <f>IF(OR(G1612="",G1613=""),"",(G1612+G1613)/2*(B1613-B1612))</f>
        <v/>
      </c>
      <c r="J1612" s="27">
        <f>IF(B1612="","",IF(B1611&lt;'02_Eingaben'!$C$36,0,J1611+I1611/'02_Eingaben'!$C$8))</f>
        <v/>
      </c>
    </row>
    <row r="1613">
      <c r="A1613">
        <f>IF('01_Rohdaten'!A1613="","",ROW()-1)</f>
        <v/>
      </c>
      <c r="B1613" s="27">
        <f>IF('01_Rohdaten'!A1613="","",'01_Rohdaten'!A1613)</f>
        <v/>
      </c>
      <c r="C1613" s="27">
        <f>IF(B1613="","",INDEX('01_Rohdaten'!B1613:D1613,'02_Eingaben'!$C$13))</f>
        <v/>
      </c>
      <c r="D1613" s="27">
        <f>IF(C1613="","",C1613*'02_Eingaben'!$C$15)</f>
        <v/>
      </c>
      <c r="E1613" s="27">
        <f>IF(D1613="","",D1613*'02_Eingaben'!$C$8)</f>
        <v/>
      </c>
      <c r="F1613" s="27">
        <f>IF(E1613="","",AVERAGE(INDEX($E$2:$E$3001,MAX(1,ROW()-1-'02_Eingaben'!$C$17)):INDEX($E$2:$E$3001,MIN('02_Eingaben'!$C$21,ROW()-1+'02_Eingaben'!$C$17))))</f>
        <v/>
      </c>
      <c r="G1613" s="27">
        <f>IF(F1613="","",F1613-'02_Eingaben'!$C$10)</f>
        <v/>
      </c>
      <c r="H1613">
        <f>IF(F1613="","",IF(F1613&lt;'02_Eingaben'!$C$18*'02_Eingaben'!$C$10,1,0))</f>
        <v/>
      </c>
      <c r="I1613" s="27">
        <f>IF(OR(G1613="",G1614=""),"",(G1613+G1614)/2*(B1614-B1613))</f>
        <v/>
      </c>
      <c r="J1613" s="27">
        <f>IF(B1613="","",IF(B1612&lt;'02_Eingaben'!$C$36,0,J1612+I1612/'02_Eingaben'!$C$8))</f>
        <v/>
      </c>
    </row>
    <row r="1614">
      <c r="A1614">
        <f>IF('01_Rohdaten'!A1614="","",ROW()-1)</f>
        <v/>
      </c>
      <c r="B1614" s="27">
        <f>IF('01_Rohdaten'!A1614="","",'01_Rohdaten'!A1614)</f>
        <v/>
      </c>
      <c r="C1614" s="27">
        <f>IF(B1614="","",INDEX('01_Rohdaten'!B1614:D1614,'02_Eingaben'!$C$13))</f>
        <v/>
      </c>
      <c r="D1614" s="27">
        <f>IF(C1614="","",C1614*'02_Eingaben'!$C$15)</f>
        <v/>
      </c>
      <c r="E1614" s="27">
        <f>IF(D1614="","",D1614*'02_Eingaben'!$C$8)</f>
        <v/>
      </c>
      <c r="F1614" s="27">
        <f>IF(E1614="","",AVERAGE(INDEX($E$2:$E$3001,MAX(1,ROW()-1-'02_Eingaben'!$C$17)):INDEX($E$2:$E$3001,MIN('02_Eingaben'!$C$21,ROW()-1+'02_Eingaben'!$C$17))))</f>
        <v/>
      </c>
      <c r="G1614" s="27">
        <f>IF(F1614="","",F1614-'02_Eingaben'!$C$10)</f>
        <v/>
      </c>
      <c r="H1614">
        <f>IF(F1614="","",IF(F1614&lt;'02_Eingaben'!$C$18*'02_Eingaben'!$C$10,1,0))</f>
        <v/>
      </c>
      <c r="I1614" s="27">
        <f>IF(OR(G1614="",G1615=""),"",(G1614+G1615)/2*(B1615-B1614))</f>
        <v/>
      </c>
      <c r="J1614" s="27">
        <f>IF(B1614="","",IF(B1613&lt;'02_Eingaben'!$C$36,0,J1613+I1613/'02_Eingaben'!$C$8))</f>
        <v/>
      </c>
    </row>
    <row r="1615">
      <c r="A1615">
        <f>IF('01_Rohdaten'!A1615="","",ROW()-1)</f>
        <v/>
      </c>
      <c r="B1615" s="27">
        <f>IF('01_Rohdaten'!A1615="","",'01_Rohdaten'!A1615)</f>
        <v/>
      </c>
      <c r="C1615" s="27">
        <f>IF(B1615="","",INDEX('01_Rohdaten'!B1615:D1615,'02_Eingaben'!$C$13))</f>
        <v/>
      </c>
      <c r="D1615" s="27">
        <f>IF(C1615="","",C1615*'02_Eingaben'!$C$15)</f>
        <v/>
      </c>
      <c r="E1615" s="27">
        <f>IF(D1615="","",D1615*'02_Eingaben'!$C$8)</f>
        <v/>
      </c>
      <c r="F1615" s="27">
        <f>IF(E1615="","",AVERAGE(INDEX($E$2:$E$3001,MAX(1,ROW()-1-'02_Eingaben'!$C$17)):INDEX($E$2:$E$3001,MIN('02_Eingaben'!$C$21,ROW()-1+'02_Eingaben'!$C$17))))</f>
        <v/>
      </c>
      <c r="G1615" s="27">
        <f>IF(F1615="","",F1615-'02_Eingaben'!$C$10)</f>
        <v/>
      </c>
      <c r="H1615">
        <f>IF(F1615="","",IF(F1615&lt;'02_Eingaben'!$C$18*'02_Eingaben'!$C$10,1,0))</f>
        <v/>
      </c>
      <c r="I1615" s="27">
        <f>IF(OR(G1615="",G1616=""),"",(G1615+G1616)/2*(B1616-B1615))</f>
        <v/>
      </c>
      <c r="J1615" s="27">
        <f>IF(B1615="","",IF(B1614&lt;'02_Eingaben'!$C$36,0,J1614+I1614/'02_Eingaben'!$C$8))</f>
        <v/>
      </c>
    </row>
    <row r="1616">
      <c r="A1616">
        <f>IF('01_Rohdaten'!A1616="","",ROW()-1)</f>
        <v/>
      </c>
      <c r="B1616" s="27">
        <f>IF('01_Rohdaten'!A1616="","",'01_Rohdaten'!A1616)</f>
        <v/>
      </c>
      <c r="C1616" s="27">
        <f>IF(B1616="","",INDEX('01_Rohdaten'!B1616:D1616,'02_Eingaben'!$C$13))</f>
        <v/>
      </c>
      <c r="D1616" s="27">
        <f>IF(C1616="","",C1616*'02_Eingaben'!$C$15)</f>
        <v/>
      </c>
      <c r="E1616" s="27">
        <f>IF(D1616="","",D1616*'02_Eingaben'!$C$8)</f>
        <v/>
      </c>
      <c r="F1616" s="27">
        <f>IF(E1616="","",AVERAGE(INDEX($E$2:$E$3001,MAX(1,ROW()-1-'02_Eingaben'!$C$17)):INDEX($E$2:$E$3001,MIN('02_Eingaben'!$C$21,ROW()-1+'02_Eingaben'!$C$17))))</f>
        <v/>
      </c>
      <c r="G1616" s="27">
        <f>IF(F1616="","",F1616-'02_Eingaben'!$C$10)</f>
        <v/>
      </c>
      <c r="H1616">
        <f>IF(F1616="","",IF(F1616&lt;'02_Eingaben'!$C$18*'02_Eingaben'!$C$10,1,0))</f>
        <v/>
      </c>
      <c r="I1616" s="27">
        <f>IF(OR(G1616="",G1617=""),"",(G1616+G1617)/2*(B1617-B1616))</f>
        <v/>
      </c>
      <c r="J1616" s="27">
        <f>IF(B1616="","",IF(B1615&lt;'02_Eingaben'!$C$36,0,J1615+I1615/'02_Eingaben'!$C$8))</f>
        <v/>
      </c>
    </row>
    <row r="1617">
      <c r="A1617">
        <f>IF('01_Rohdaten'!A1617="","",ROW()-1)</f>
        <v/>
      </c>
      <c r="B1617" s="27">
        <f>IF('01_Rohdaten'!A1617="","",'01_Rohdaten'!A1617)</f>
        <v/>
      </c>
      <c r="C1617" s="27">
        <f>IF(B1617="","",INDEX('01_Rohdaten'!B1617:D1617,'02_Eingaben'!$C$13))</f>
        <v/>
      </c>
      <c r="D1617" s="27">
        <f>IF(C1617="","",C1617*'02_Eingaben'!$C$15)</f>
        <v/>
      </c>
      <c r="E1617" s="27">
        <f>IF(D1617="","",D1617*'02_Eingaben'!$C$8)</f>
        <v/>
      </c>
      <c r="F1617" s="27">
        <f>IF(E1617="","",AVERAGE(INDEX($E$2:$E$3001,MAX(1,ROW()-1-'02_Eingaben'!$C$17)):INDEX($E$2:$E$3001,MIN('02_Eingaben'!$C$21,ROW()-1+'02_Eingaben'!$C$17))))</f>
        <v/>
      </c>
      <c r="G1617" s="27">
        <f>IF(F1617="","",F1617-'02_Eingaben'!$C$10)</f>
        <v/>
      </c>
      <c r="H1617">
        <f>IF(F1617="","",IF(F1617&lt;'02_Eingaben'!$C$18*'02_Eingaben'!$C$10,1,0))</f>
        <v/>
      </c>
      <c r="I1617" s="27">
        <f>IF(OR(G1617="",G1618=""),"",(G1617+G1618)/2*(B1618-B1617))</f>
        <v/>
      </c>
      <c r="J1617" s="27">
        <f>IF(B1617="","",IF(B1616&lt;'02_Eingaben'!$C$36,0,J1616+I1616/'02_Eingaben'!$C$8))</f>
        <v/>
      </c>
    </row>
    <row r="1618">
      <c r="A1618">
        <f>IF('01_Rohdaten'!A1618="","",ROW()-1)</f>
        <v/>
      </c>
      <c r="B1618" s="27">
        <f>IF('01_Rohdaten'!A1618="","",'01_Rohdaten'!A1618)</f>
        <v/>
      </c>
      <c r="C1618" s="27">
        <f>IF(B1618="","",INDEX('01_Rohdaten'!B1618:D1618,'02_Eingaben'!$C$13))</f>
        <v/>
      </c>
      <c r="D1618" s="27">
        <f>IF(C1618="","",C1618*'02_Eingaben'!$C$15)</f>
        <v/>
      </c>
      <c r="E1618" s="27">
        <f>IF(D1618="","",D1618*'02_Eingaben'!$C$8)</f>
        <v/>
      </c>
      <c r="F1618" s="27">
        <f>IF(E1618="","",AVERAGE(INDEX($E$2:$E$3001,MAX(1,ROW()-1-'02_Eingaben'!$C$17)):INDEX($E$2:$E$3001,MIN('02_Eingaben'!$C$21,ROW()-1+'02_Eingaben'!$C$17))))</f>
        <v/>
      </c>
      <c r="G1618" s="27">
        <f>IF(F1618="","",F1618-'02_Eingaben'!$C$10)</f>
        <v/>
      </c>
      <c r="H1618">
        <f>IF(F1618="","",IF(F1618&lt;'02_Eingaben'!$C$18*'02_Eingaben'!$C$10,1,0))</f>
        <v/>
      </c>
      <c r="I1618" s="27">
        <f>IF(OR(G1618="",G1619=""),"",(G1618+G1619)/2*(B1619-B1618))</f>
        <v/>
      </c>
      <c r="J1618" s="27">
        <f>IF(B1618="","",IF(B1617&lt;'02_Eingaben'!$C$36,0,J1617+I1617/'02_Eingaben'!$C$8))</f>
        <v/>
      </c>
    </row>
    <row r="1619">
      <c r="A1619">
        <f>IF('01_Rohdaten'!A1619="","",ROW()-1)</f>
        <v/>
      </c>
      <c r="B1619" s="27">
        <f>IF('01_Rohdaten'!A1619="","",'01_Rohdaten'!A1619)</f>
        <v/>
      </c>
      <c r="C1619" s="27">
        <f>IF(B1619="","",INDEX('01_Rohdaten'!B1619:D1619,'02_Eingaben'!$C$13))</f>
        <v/>
      </c>
      <c r="D1619" s="27">
        <f>IF(C1619="","",C1619*'02_Eingaben'!$C$15)</f>
        <v/>
      </c>
      <c r="E1619" s="27">
        <f>IF(D1619="","",D1619*'02_Eingaben'!$C$8)</f>
        <v/>
      </c>
      <c r="F1619" s="27">
        <f>IF(E1619="","",AVERAGE(INDEX($E$2:$E$3001,MAX(1,ROW()-1-'02_Eingaben'!$C$17)):INDEX($E$2:$E$3001,MIN('02_Eingaben'!$C$21,ROW()-1+'02_Eingaben'!$C$17))))</f>
        <v/>
      </c>
      <c r="G1619" s="27">
        <f>IF(F1619="","",F1619-'02_Eingaben'!$C$10)</f>
        <v/>
      </c>
      <c r="H1619">
        <f>IF(F1619="","",IF(F1619&lt;'02_Eingaben'!$C$18*'02_Eingaben'!$C$10,1,0))</f>
        <v/>
      </c>
      <c r="I1619" s="27">
        <f>IF(OR(G1619="",G1620=""),"",(G1619+G1620)/2*(B1620-B1619))</f>
        <v/>
      </c>
      <c r="J1619" s="27">
        <f>IF(B1619="","",IF(B1618&lt;'02_Eingaben'!$C$36,0,J1618+I1618/'02_Eingaben'!$C$8))</f>
        <v/>
      </c>
    </row>
    <row r="1620">
      <c r="A1620">
        <f>IF('01_Rohdaten'!A1620="","",ROW()-1)</f>
        <v/>
      </c>
      <c r="B1620" s="27">
        <f>IF('01_Rohdaten'!A1620="","",'01_Rohdaten'!A1620)</f>
        <v/>
      </c>
      <c r="C1620" s="27">
        <f>IF(B1620="","",INDEX('01_Rohdaten'!B1620:D1620,'02_Eingaben'!$C$13))</f>
        <v/>
      </c>
      <c r="D1620" s="27">
        <f>IF(C1620="","",C1620*'02_Eingaben'!$C$15)</f>
        <v/>
      </c>
      <c r="E1620" s="27">
        <f>IF(D1620="","",D1620*'02_Eingaben'!$C$8)</f>
        <v/>
      </c>
      <c r="F1620" s="27">
        <f>IF(E1620="","",AVERAGE(INDEX($E$2:$E$3001,MAX(1,ROW()-1-'02_Eingaben'!$C$17)):INDEX($E$2:$E$3001,MIN('02_Eingaben'!$C$21,ROW()-1+'02_Eingaben'!$C$17))))</f>
        <v/>
      </c>
      <c r="G1620" s="27">
        <f>IF(F1620="","",F1620-'02_Eingaben'!$C$10)</f>
        <v/>
      </c>
      <c r="H1620">
        <f>IF(F1620="","",IF(F1620&lt;'02_Eingaben'!$C$18*'02_Eingaben'!$C$10,1,0))</f>
        <v/>
      </c>
      <c r="I1620" s="27">
        <f>IF(OR(G1620="",G1621=""),"",(G1620+G1621)/2*(B1621-B1620))</f>
        <v/>
      </c>
      <c r="J1620" s="27">
        <f>IF(B1620="","",IF(B1619&lt;'02_Eingaben'!$C$36,0,J1619+I1619/'02_Eingaben'!$C$8))</f>
        <v/>
      </c>
    </row>
    <row r="1621">
      <c r="A1621">
        <f>IF('01_Rohdaten'!A1621="","",ROW()-1)</f>
        <v/>
      </c>
      <c r="B1621" s="27">
        <f>IF('01_Rohdaten'!A1621="","",'01_Rohdaten'!A1621)</f>
        <v/>
      </c>
      <c r="C1621" s="27">
        <f>IF(B1621="","",INDEX('01_Rohdaten'!B1621:D1621,'02_Eingaben'!$C$13))</f>
        <v/>
      </c>
      <c r="D1621" s="27">
        <f>IF(C1621="","",C1621*'02_Eingaben'!$C$15)</f>
        <v/>
      </c>
      <c r="E1621" s="27">
        <f>IF(D1621="","",D1621*'02_Eingaben'!$C$8)</f>
        <v/>
      </c>
      <c r="F1621" s="27">
        <f>IF(E1621="","",AVERAGE(INDEX($E$2:$E$3001,MAX(1,ROW()-1-'02_Eingaben'!$C$17)):INDEX($E$2:$E$3001,MIN('02_Eingaben'!$C$21,ROW()-1+'02_Eingaben'!$C$17))))</f>
        <v/>
      </c>
      <c r="G1621" s="27">
        <f>IF(F1621="","",F1621-'02_Eingaben'!$C$10)</f>
        <v/>
      </c>
      <c r="H1621">
        <f>IF(F1621="","",IF(F1621&lt;'02_Eingaben'!$C$18*'02_Eingaben'!$C$10,1,0))</f>
        <v/>
      </c>
      <c r="I1621" s="27">
        <f>IF(OR(G1621="",G1622=""),"",(G1621+G1622)/2*(B1622-B1621))</f>
        <v/>
      </c>
      <c r="J1621" s="27">
        <f>IF(B1621="","",IF(B1620&lt;'02_Eingaben'!$C$36,0,J1620+I1620/'02_Eingaben'!$C$8))</f>
        <v/>
      </c>
    </row>
    <row r="1622">
      <c r="A1622">
        <f>IF('01_Rohdaten'!A1622="","",ROW()-1)</f>
        <v/>
      </c>
      <c r="B1622" s="27">
        <f>IF('01_Rohdaten'!A1622="","",'01_Rohdaten'!A1622)</f>
        <v/>
      </c>
      <c r="C1622" s="27">
        <f>IF(B1622="","",INDEX('01_Rohdaten'!B1622:D1622,'02_Eingaben'!$C$13))</f>
        <v/>
      </c>
      <c r="D1622" s="27">
        <f>IF(C1622="","",C1622*'02_Eingaben'!$C$15)</f>
        <v/>
      </c>
      <c r="E1622" s="27">
        <f>IF(D1622="","",D1622*'02_Eingaben'!$C$8)</f>
        <v/>
      </c>
      <c r="F1622" s="27">
        <f>IF(E1622="","",AVERAGE(INDEX($E$2:$E$3001,MAX(1,ROW()-1-'02_Eingaben'!$C$17)):INDEX($E$2:$E$3001,MIN('02_Eingaben'!$C$21,ROW()-1+'02_Eingaben'!$C$17))))</f>
        <v/>
      </c>
      <c r="G1622" s="27">
        <f>IF(F1622="","",F1622-'02_Eingaben'!$C$10)</f>
        <v/>
      </c>
      <c r="H1622">
        <f>IF(F1622="","",IF(F1622&lt;'02_Eingaben'!$C$18*'02_Eingaben'!$C$10,1,0))</f>
        <v/>
      </c>
      <c r="I1622" s="27">
        <f>IF(OR(G1622="",G1623=""),"",(G1622+G1623)/2*(B1623-B1622))</f>
        <v/>
      </c>
      <c r="J1622" s="27">
        <f>IF(B1622="","",IF(B1621&lt;'02_Eingaben'!$C$36,0,J1621+I1621/'02_Eingaben'!$C$8))</f>
        <v/>
      </c>
    </row>
    <row r="1623">
      <c r="A1623">
        <f>IF('01_Rohdaten'!A1623="","",ROW()-1)</f>
        <v/>
      </c>
      <c r="B1623" s="27">
        <f>IF('01_Rohdaten'!A1623="","",'01_Rohdaten'!A1623)</f>
        <v/>
      </c>
      <c r="C1623" s="27">
        <f>IF(B1623="","",INDEX('01_Rohdaten'!B1623:D1623,'02_Eingaben'!$C$13))</f>
        <v/>
      </c>
      <c r="D1623" s="27">
        <f>IF(C1623="","",C1623*'02_Eingaben'!$C$15)</f>
        <v/>
      </c>
      <c r="E1623" s="27">
        <f>IF(D1623="","",D1623*'02_Eingaben'!$C$8)</f>
        <v/>
      </c>
      <c r="F1623" s="27">
        <f>IF(E1623="","",AVERAGE(INDEX($E$2:$E$3001,MAX(1,ROW()-1-'02_Eingaben'!$C$17)):INDEX($E$2:$E$3001,MIN('02_Eingaben'!$C$21,ROW()-1+'02_Eingaben'!$C$17))))</f>
        <v/>
      </c>
      <c r="G1623" s="27">
        <f>IF(F1623="","",F1623-'02_Eingaben'!$C$10)</f>
        <v/>
      </c>
      <c r="H1623">
        <f>IF(F1623="","",IF(F1623&lt;'02_Eingaben'!$C$18*'02_Eingaben'!$C$10,1,0))</f>
        <v/>
      </c>
      <c r="I1623" s="27">
        <f>IF(OR(G1623="",G1624=""),"",(G1623+G1624)/2*(B1624-B1623))</f>
        <v/>
      </c>
      <c r="J1623" s="27">
        <f>IF(B1623="","",IF(B1622&lt;'02_Eingaben'!$C$36,0,J1622+I1622/'02_Eingaben'!$C$8))</f>
        <v/>
      </c>
    </row>
    <row r="1624">
      <c r="A1624">
        <f>IF('01_Rohdaten'!A1624="","",ROW()-1)</f>
        <v/>
      </c>
      <c r="B1624" s="27">
        <f>IF('01_Rohdaten'!A1624="","",'01_Rohdaten'!A1624)</f>
        <v/>
      </c>
      <c r="C1624" s="27">
        <f>IF(B1624="","",INDEX('01_Rohdaten'!B1624:D1624,'02_Eingaben'!$C$13))</f>
        <v/>
      </c>
      <c r="D1624" s="27">
        <f>IF(C1624="","",C1624*'02_Eingaben'!$C$15)</f>
        <v/>
      </c>
      <c r="E1624" s="27">
        <f>IF(D1624="","",D1624*'02_Eingaben'!$C$8)</f>
        <v/>
      </c>
      <c r="F1624" s="27">
        <f>IF(E1624="","",AVERAGE(INDEX($E$2:$E$3001,MAX(1,ROW()-1-'02_Eingaben'!$C$17)):INDEX($E$2:$E$3001,MIN('02_Eingaben'!$C$21,ROW()-1+'02_Eingaben'!$C$17))))</f>
        <v/>
      </c>
      <c r="G1624" s="27">
        <f>IF(F1624="","",F1624-'02_Eingaben'!$C$10)</f>
        <v/>
      </c>
      <c r="H1624">
        <f>IF(F1624="","",IF(F1624&lt;'02_Eingaben'!$C$18*'02_Eingaben'!$C$10,1,0))</f>
        <v/>
      </c>
      <c r="I1624" s="27">
        <f>IF(OR(G1624="",G1625=""),"",(G1624+G1625)/2*(B1625-B1624))</f>
        <v/>
      </c>
      <c r="J1624" s="27">
        <f>IF(B1624="","",IF(B1623&lt;'02_Eingaben'!$C$36,0,J1623+I1623/'02_Eingaben'!$C$8))</f>
        <v/>
      </c>
    </row>
    <row r="1625">
      <c r="A1625">
        <f>IF('01_Rohdaten'!A1625="","",ROW()-1)</f>
        <v/>
      </c>
      <c r="B1625" s="27">
        <f>IF('01_Rohdaten'!A1625="","",'01_Rohdaten'!A1625)</f>
        <v/>
      </c>
      <c r="C1625" s="27">
        <f>IF(B1625="","",INDEX('01_Rohdaten'!B1625:D1625,'02_Eingaben'!$C$13))</f>
        <v/>
      </c>
      <c r="D1625" s="27">
        <f>IF(C1625="","",C1625*'02_Eingaben'!$C$15)</f>
        <v/>
      </c>
      <c r="E1625" s="27">
        <f>IF(D1625="","",D1625*'02_Eingaben'!$C$8)</f>
        <v/>
      </c>
      <c r="F1625" s="27">
        <f>IF(E1625="","",AVERAGE(INDEX($E$2:$E$3001,MAX(1,ROW()-1-'02_Eingaben'!$C$17)):INDEX($E$2:$E$3001,MIN('02_Eingaben'!$C$21,ROW()-1+'02_Eingaben'!$C$17))))</f>
        <v/>
      </c>
      <c r="G1625" s="27">
        <f>IF(F1625="","",F1625-'02_Eingaben'!$C$10)</f>
        <v/>
      </c>
      <c r="H1625">
        <f>IF(F1625="","",IF(F1625&lt;'02_Eingaben'!$C$18*'02_Eingaben'!$C$10,1,0))</f>
        <v/>
      </c>
      <c r="I1625" s="27">
        <f>IF(OR(G1625="",G1626=""),"",(G1625+G1626)/2*(B1626-B1625))</f>
        <v/>
      </c>
      <c r="J1625" s="27">
        <f>IF(B1625="","",IF(B1624&lt;'02_Eingaben'!$C$36,0,J1624+I1624/'02_Eingaben'!$C$8))</f>
        <v/>
      </c>
    </row>
    <row r="1626">
      <c r="A1626">
        <f>IF('01_Rohdaten'!A1626="","",ROW()-1)</f>
        <v/>
      </c>
      <c r="B1626" s="27">
        <f>IF('01_Rohdaten'!A1626="","",'01_Rohdaten'!A1626)</f>
        <v/>
      </c>
      <c r="C1626" s="27">
        <f>IF(B1626="","",INDEX('01_Rohdaten'!B1626:D1626,'02_Eingaben'!$C$13))</f>
        <v/>
      </c>
      <c r="D1626" s="27">
        <f>IF(C1626="","",C1626*'02_Eingaben'!$C$15)</f>
        <v/>
      </c>
      <c r="E1626" s="27">
        <f>IF(D1626="","",D1626*'02_Eingaben'!$C$8)</f>
        <v/>
      </c>
      <c r="F1626" s="27">
        <f>IF(E1626="","",AVERAGE(INDEX($E$2:$E$3001,MAX(1,ROW()-1-'02_Eingaben'!$C$17)):INDEX($E$2:$E$3001,MIN('02_Eingaben'!$C$21,ROW()-1+'02_Eingaben'!$C$17))))</f>
        <v/>
      </c>
      <c r="G1626" s="27">
        <f>IF(F1626="","",F1626-'02_Eingaben'!$C$10)</f>
        <v/>
      </c>
      <c r="H1626">
        <f>IF(F1626="","",IF(F1626&lt;'02_Eingaben'!$C$18*'02_Eingaben'!$C$10,1,0))</f>
        <v/>
      </c>
      <c r="I1626" s="27">
        <f>IF(OR(G1626="",G1627=""),"",(G1626+G1627)/2*(B1627-B1626))</f>
        <v/>
      </c>
      <c r="J1626" s="27">
        <f>IF(B1626="","",IF(B1625&lt;'02_Eingaben'!$C$36,0,J1625+I1625/'02_Eingaben'!$C$8))</f>
        <v/>
      </c>
    </row>
    <row r="1627">
      <c r="A1627">
        <f>IF('01_Rohdaten'!A1627="","",ROW()-1)</f>
        <v/>
      </c>
      <c r="B1627" s="27">
        <f>IF('01_Rohdaten'!A1627="","",'01_Rohdaten'!A1627)</f>
        <v/>
      </c>
      <c r="C1627" s="27">
        <f>IF(B1627="","",INDEX('01_Rohdaten'!B1627:D1627,'02_Eingaben'!$C$13))</f>
        <v/>
      </c>
      <c r="D1627" s="27">
        <f>IF(C1627="","",C1627*'02_Eingaben'!$C$15)</f>
        <v/>
      </c>
      <c r="E1627" s="27">
        <f>IF(D1627="","",D1627*'02_Eingaben'!$C$8)</f>
        <v/>
      </c>
      <c r="F1627" s="27">
        <f>IF(E1627="","",AVERAGE(INDEX($E$2:$E$3001,MAX(1,ROW()-1-'02_Eingaben'!$C$17)):INDEX($E$2:$E$3001,MIN('02_Eingaben'!$C$21,ROW()-1+'02_Eingaben'!$C$17))))</f>
        <v/>
      </c>
      <c r="G1627" s="27">
        <f>IF(F1627="","",F1627-'02_Eingaben'!$C$10)</f>
        <v/>
      </c>
      <c r="H1627">
        <f>IF(F1627="","",IF(F1627&lt;'02_Eingaben'!$C$18*'02_Eingaben'!$C$10,1,0))</f>
        <v/>
      </c>
      <c r="I1627" s="27">
        <f>IF(OR(G1627="",G1628=""),"",(G1627+G1628)/2*(B1628-B1627))</f>
        <v/>
      </c>
      <c r="J1627" s="27">
        <f>IF(B1627="","",IF(B1626&lt;'02_Eingaben'!$C$36,0,J1626+I1626/'02_Eingaben'!$C$8))</f>
        <v/>
      </c>
    </row>
    <row r="1628">
      <c r="A1628">
        <f>IF('01_Rohdaten'!A1628="","",ROW()-1)</f>
        <v/>
      </c>
      <c r="B1628" s="27">
        <f>IF('01_Rohdaten'!A1628="","",'01_Rohdaten'!A1628)</f>
        <v/>
      </c>
      <c r="C1628" s="27">
        <f>IF(B1628="","",INDEX('01_Rohdaten'!B1628:D1628,'02_Eingaben'!$C$13))</f>
        <v/>
      </c>
      <c r="D1628" s="27">
        <f>IF(C1628="","",C1628*'02_Eingaben'!$C$15)</f>
        <v/>
      </c>
      <c r="E1628" s="27">
        <f>IF(D1628="","",D1628*'02_Eingaben'!$C$8)</f>
        <v/>
      </c>
      <c r="F1628" s="27">
        <f>IF(E1628="","",AVERAGE(INDEX($E$2:$E$3001,MAX(1,ROW()-1-'02_Eingaben'!$C$17)):INDEX($E$2:$E$3001,MIN('02_Eingaben'!$C$21,ROW()-1+'02_Eingaben'!$C$17))))</f>
        <v/>
      </c>
      <c r="G1628" s="27">
        <f>IF(F1628="","",F1628-'02_Eingaben'!$C$10)</f>
        <v/>
      </c>
      <c r="H1628">
        <f>IF(F1628="","",IF(F1628&lt;'02_Eingaben'!$C$18*'02_Eingaben'!$C$10,1,0))</f>
        <v/>
      </c>
      <c r="I1628" s="27">
        <f>IF(OR(G1628="",G1629=""),"",(G1628+G1629)/2*(B1629-B1628))</f>
        <v/>
      </c>
      <c r="J1628" s="27">
        <f>IF(B1628="","",IF(B1627&lt;'02_Eingaben'!$C$36,0,J1627+I1627/'02_Eingaben'!$C$8))</f>
        <v/>
      </c>
    </row>
    <row r="1629">
      <c r="A1629">
        <f>IF('01_Rohdaten'!A1629="","",ROW()-1)</f>
        <v/>
      </c>
      <c r="B1629" s="27">
        <f>IF('01_Rohdaten'!A1629="","",'01_Rohdaten'!A1629)</f>
        <v/>
      </c>
      <c r="C1629" s="27">
        <f>IF(B1629="","",INDEX('01_Rohdaten'!B1629:D1629,'02_Eingaben'!$C$13))</f>
        <v/>
      </c>
      <c r="D1629" s="27">
        <f>IF(C1629="","",C1629*'02_Eingaben'!$C$15)</f>
        <v/>
      </c>
      <c r="E1629" s="27">
        <f>IF(D1629="","",D1629*'02_Eingaben'!$C$8)</f>
        <v/>
      </c>
      <c r="F1629" s="27">
        <f>IF(E1629="","",AVERAGE(INDEX($E$2:$E$3001,MAX(1,ROW()-1-'02_Eingaben'!$C$17)):INDEX($E$2:$E$3001,MIN('02_Eingaben'!$C$21,ROW()-1+'02_Eingaben'!$C$17))))</f>
        <v/>
      </c>
      <c r="G1629" s="27">
        <f>IF(F1629="","",F1629-'02_Eingaben'!$C$10)</f>
        <v/>
      </c>
      <c r="H1629">
        <f>IF(F1629="","",IF(F1629&lt;'02_Eingaben'!$C$18*'02_Eingaben'!$C$10,1,0))</f>
        <v/>
      </c>
      <c r="I1629" s="27">
        <f>IF(OR(G1629="",G1630=""),"",(G1629+G1630)/2*(B1630-B1629))</f>
        <v/>
      </c>
      <c r="J1629" s="27">
        <f>IF(B1629="","",IF(B1628&lt;'02_Eingaben'!$C$36,0,J1628+I1628/'02_Eingaben'!$C$8))</f>
        <v/>
      </c>
    </row>
    <row r="1630">
      <c r="A1630">
        <f>IF('01_Rohdaten'!A1630="","",ROW()-1)</f>
        <v/>
      </c>
      <c r="B1630" s="27">
        <f>IF('01_Rohdaten'!A1630="","",'01_Rohdaten'!A1630)</f>
        <v/>
      </c>
      <c r="C1630" s="27">
        <f>IF(B1630="","",INDEX('01_Rohdaten'!B1630:D1630,'02_Eingaben'!$C$13))</f>
        <v/>
      </c>
      <c r="D1630" s="27">
        <f>IF(C1630="","",C1630*'02_Eingaben'!$C$15)</f>
        <v/>
      </c>
      <c r="E1630" s="27">
        <f>IF(D1630="","",D1630*'02_Eingaben'!$C$8)</f>
        <v/>
      </c>
      <c r="F1630" s="27">
        <f>IF(E1630="","",AVERAGE(INDEX($E$2:$E$3001,MAX(1,ROW()-1-'02_Eingaben'!$C$17)):INDEX($E$2:$E$3001,MIN('02_Eingaben'!$C$21,ROW()-1+'02_Eingaben'!$C$17))))</f>
        <v/>
      </c>
      <c r="G1630" s="27">
        <f>IF(F1630="","",F1630-'02_Eingaben'!$C$10)</f>
        <v/>
      </c>
      <c r="H1630">
        <f>IF(F1630="","",IF(F1630&lt;'02_Eingaben'!$C$18*'02_Eingaben'!$C$10,1,0))</f>
        <v/>
      </c>
      <c r="I1630" s="27">
        <f>IF(OR(G1630="",G1631=""),"",(G1630+G1631)/2*(B1631-B1630))</f>
        <v/>
      </c>
      <c r="J1630" s="27">
        <f>IF(B1630="","",IF(B1629&lt;'02_Eingaben'!$C$36,0,J1629+I1629/'02_Eingaben'!$C$8))</f>
        <v/>
      </c>
    </row>
    <row r="1631">
      <c r="A1631">
        <f>IF('01_Rohdaten'!A1631="","",ROW()-1)</f>
        <v/>
      </c>
      <c r="B1631" s="27">
        <f>IF('01_Rohdaten'!A1631="","",'01_Rohdaten'!A1631)</f>
        <v/>
      </c>
      <c r="C1631" s="27">
        <f>IF(B1631="","",INDEX('01_Rohdaten'!B1631:D1631,'02_Eingaben'!$C$13))</f>
        <v/>
      </c>
      <c r="D1631" s="27">
        <f>IF(C1631="","",C1631*'02_Eingaben'!$C$15)</f>
        <v/>
      </c>
      <c r="E1631" s="27">
        <f>IF(D1631="","",D1631*'02_Eingaben'!$C$8)</f>
        <v/>
      </c>
      <c r="F1631" s="27">
        <f>IF(E1631="","",AVERAGE(INDEX($E$2:$E$3001,MAX(1,ROW()-1-'02_Eingaben'!$C$17)):INDEX($E$2:$E$3001,MIN('02_Eingaben'!$C$21,ROW()-1+'02_Eingaben'!$C$17))))</f>
        <v/>
      </c>
      <c r="G1631" s="27">
        <f>IF(F1631="","",F1631-'02_Eingaben'!$C$10)</f>
        <v/>
      </c>
      <c r="H1631">
        <f>IF(F1631="","",IF(F1631&lt;'02_Eingaben'!$C$18*'02_Eingaben'!$C$10,1,0))</f>
        <v/>
      </c>
      <c r="I1631" s="27">
        <f>IF(OR(G1631="",G1632=""),"",(G1631+G1632)/2*(B1632-B1631))</f>
        <v/>
      </c>
      <c r="J1631" s="27">
        <f>IF(B1631="","",IF(B1630&lt;'02_Eingaben'!$C$36,0,J1630+I1630/'02_Eingaben'!$C$8))</f>
        <v/>
      </c>
    </row>
    <row r="1632">
      <c r="A1632">
        <f>IF('01_Rohdaten'!A1632="","",ROW()-1)</f>
        <v/>
      </c>
      <c r="B1632" s="27">
        <f>IF('01_Rohdaten'!A1632="","",'01_Rohdaten'!A1632)</f>
        <v/>
      </c>
      <c r="C1632" s="27">
        <f>IF(B1632="","",INDEX('01_Rohdaten'!B1632:D1632,'02_Eingaben'!$C$13))</f>
        <v/>
      </c>
      <c r="D1632" s="27">
        <f>IF(C1632="","",C1632*'02_Eingaben'!$C$15)</f>
        <v/>
      </c>
      <c r="E1632" s="27">
        <f>IF(D1632="","",D1632*'02_Eingaben'!$C$8)</f>
        <v/>
      </c>
      <c r="F1632" s="27">
        <f>IF(E1632="","",AVERAGE(INDEX($E$2:$E$3001,MAX(1,ROW()-1-'02_Eingaben'!$C$17)):INDEX($E$2:$E$3001,MIN('02_Eingaben'!$C$21,ROW()-1+'02_Eingaben'!$C$17))))</f>
        <v/>
      </c>
      <c r="G1632" s="27">
        <f>IF(F1632="","",F1632-'02_Eingaben'!$C$10)</f>
        <v/>
      </c>
      <c r="H1632">
        <f>IF(F1632="","",IF(F1632&lt;'02_Eingaben'!$C$18*'02_Eingaben'!$C$10,1,0))</f>
        <v/>
      </c>
      <c r="I1632" s="27">
        <f>IF(OR(G1632="",G1633=""),"",(G1632+G1633)/2*(B1633-B1632))</f>
        <v/>
      </c>
      <c r="J1632" s="27">
        <f>IF(B1632="","",IF(B1631&lt;'02_Eingaben'!$C$36,0,J1631+I1631/'02_Eingaben'!$C$8))</f>
        <v/>
      </c>
    </row>
    <row r="1633">
      <c r="A1633">
        <f>IF('01_Rohdaten'!A1633="","",ROW()-1)</f>
        <v/>
      </c>
      <c r="B1633" s="27">
        <f>IF('01_Rohdaten'!A1633="","",'01_Rohdaten'!A1633)</f>
        <v/>
      </c>
      <c r="C1633" s="27">
        <f>IF(B1633="","",INDEX('01_Rohdaten'!B1633:D1633,'02_Eingaben'!$C$13))</f>
        <v/>
      </c>
      <c r="D1633" s="27">
        <f>IF(C1633="","",C1633*'02_Eingaben'!$C$15)</f>
        <v/>
      </c>
      <c r="E1633" s="27">
        <f>IF(D1633="","",D1633*'02_Eingaben'!$C$8)</f>
        <v/>
      </c>
      <c r="F1633" s="27">
        <f>IF(E1633="","",AVERAGE(INDEX($E$2:$E$3001,MAX(1,ROW()-1-'02_Eingaben'!$C$17)):INDEX($E$2:$E$3001,MIN('02_Eingaben'!$C$21,ROW()-1+'02_Eingaben'!$C$17))))</f>
        <v/>
      </c>
      <c r="G1633" s="27">
        <f>IF(F1633="","",F1633-'02_Eingaben'!$C$10)</f>
        <v/>
      </c>
      <c r="H1633">
        <f>IF(F1633="","",IF(F1633&lt;'02_Eingaben'!$C$18*'02_Eingaben'!$C$10,1,0))</f>
        <v/>
      </c>
      <c r="I1633" s="27">
        <f>IF(OR(G1633="",G1634=""),"",(G1633+G1634)/2*(B1634-B1633))</f>
        <v/>
      </c>
      <c r="J1633" s="27">
        <f>IF(B1633="","",IF(B1632&lt;'02_Eingaben'!$C$36,0,J1632+I1632/'02_Eingaben'!$C$8))</f>
        <v/>
      </c>
    </row>
    <row r="1634">
      <c r="A1634">
        <f>IF('01_Rohdaten'!A1634="","",ROW()-1)</f>
        <v/>
      </c>
      <c r="B1634" s="27">
        <f>IF('01_Rohdaten'!A1634="","",'01_Rohdaten'!A1634)</f>
        <v/>
      </c>
      <c r="C1634" s="27">
        <f>IF(B1634="","",INDEX('01_Rohdaten'!B1634:D1634,'02_Eingaben'!$C$13))</f>
        <v/>
      </c>
      <c r="D1634" s="27">
        <f>IF(C1634="","",C1634*'02_Eingaben'!$C$15)</f>
        <v/>
      </c>
      <c r="E1634" s="27">
        <f>IF(D1634="","",D1634*'02_Eingaben'!$C$8)</f>
        <v/>
      </c>
      <c r="F1634" s="27">
        <f>IF(E1634="","",AVERAGE(INDEX($E$2:$E$3001,MAX(1,ROW()-1-'02_Eingaben'!$C$17)):INDEX($E$2:$E$3001,MIN('02_Eingaben'!$C$21,ROW()-1+'02_Eingaben'!$C$17))))</f>
        <v/>
      </c>
      <c r="G1634" s="27">
        <f>IF(F1634="","",F1634-'02_Eingaben'!$C$10)</f>
        <v/>
      </c>
      <c r="H1634">
        <f>IF(F1634="","",IF(F1634&lt;'02_Eingaben'!$C$18*'02_Eingaben'!$C$10,1,0))</f>
        <v/>
      </c>
      <c r="I1634" s="27">
        <f>IF(OR(G1634="",G1635=""),"",(G1634+G1635)/2*(B1635-B1634))</f>
        <v/>
      </c>
      <c r="J1634" s="27">
        <f>IF(B1634="","",IF(B1633&lt;'02_Eingaben'!$C$36,0,J1633+I1633/'02_Eingaben'!$C$8))</f>
        <v/>
      </c>
    </row>
    <row r="1635">
      <c r="A1635">
        <f>IF('01_Rohdaten'!A1635="","",ROW()-1)</f>
        <v/>
      </c>
      <c r="B1635" s="27">
        <f>IF('01_Rohdaten'!A1635="","",'01_Rohdaten'!A1635)</f>
        <v/>
      </c>
      <c r="C1635" s="27">
        <f>IF(B1635="","",INDEX('01_Rohdaten'!B1635:D1635,'02_Eingaben'!$C$13))</f>
        <v/>
      </c>
      <c r="D1635" s="27">
        <f>IF(C1635="","",C1635*'02_Eingaben'!$C$15)</f>
        <v/>
      </c>
      <c r="E1635" s="27">
        <f>IF(D1635="","",D1635*'02_Eingaben'!$C$8)</f>
        <v/>
      </c>
      <c r="F1635" s="27">
        <f>IF(E1635="","",AVERAGE(INDEX($E$2:$E$3001,MAX(1,ROW()-1-'02_Eingaben'!$C$17)):INDEX($E$2:$E$3001,MIN('02_Eingaben'!$C$21,ROW()-1+'02_Eingaben'!$C$17))))</f>
        <v/>
      </c>
      <c r="G1635" s="27">
        <f>IF(F1635="","",F1635-'02_Eingaben'!$C$10)</f>
        <v/>
      </c>
      <c r="H1635">
        <f>IF(F1635="","",IF(F1635&lt;'02_Eingaben'!$C$18*'02_Eingaben'!$C$10,1,0))</f>
        <v/>
      </c>
      <c r="I1635" s="27">
        <f>IF(OR(G1635="",G1636=""),"",(G1635+G1636)/2*(B1636-B1635))</f>
        <v/>
      </c>
      <c r="J1635" s="27">
        <f>IF(B1635="","",IF(B1634&lt;'02_Eingaben'!$C$36,0,J1634+I1634/'02_Eingaben'!$C$8))</f>
        <v/>
      </c>
    </row>
    <row r="1636">
      <c r="A1636">
        <f>IF('01_Rohdaten'!A1636="","",ROW()-1)</f>
        <v/>
      </c>
      <c r="B1636" s="27">
        <f>IF('01_Rohdaten'!A1636="","",'01_Rohdaten'!A1636)</f>
        <v/>
      </c>
      <c r="C1636" s="27">
        <f>IF(B1636="","",INDEX('01_Rohdaten'!B1636:D1636,'02_Eingaben'!$C$13))</f>
        <v/>
      </c>
      <c r="D1636" s="27">
        <f>IF(C1636="","",C1636*'02_Eingaben'!$C$15)</f>
        <v/>
      </c>
      <c r="E1636" s="27">
        <f>IF(D1636="","",D1636*'02_Eingaben'!$C$8)</f>
        <v/>
      </c>
      <c r="F1636" s="27">
        <f>IF(E1636="","",AVERAGE(INDEX($E$2:$E$3001,MAX(1,ROW()-1-'02_Eingaben'!$C$17)):INDEX($E$2:$E$3001,MIN('02_Eingaben'!$C$21,ROW()-1+'02_Eingaben'!$C$17))))</f>
        <v/>
      </c>
      <c r="G1636" s="27">
        <f>IF(F1636="","",F1636-'02_Eingaben'!$C$10)</f>
        <v/>
      </c>
      <c r="H1636">
        <f>IF(F1636="","",IF(F1636&lt;'02_Eingaben'!$C$18*'02_Eingaben'!$C$10,1,0))</f>
        <v/>
      </c>
      <c r="I1636" s="27">
        <f>IF(OR(G1636="",G1637=""),"",(G1636+G1637)/2*(B1637-B1636))</f>
        <v/>
      </c>
      <c r="J1636" s="27">
        <f>IF(B1636="","",IF(B1635&lt;'02_Eingaben'!$C$36,0,J1635+I1635/'02_Eingaben'!$C$8))</f>
        <v/>
      </c>
    </row>
    <row r="1637">
      <c r="A1637">
        <f>IF('01_Rohdaten'!A1637="","",ROW()-1)</f>
        <v/>
      </c>
      <c r="B1637" s="27">
        <f>IF('01_Rohdaten'!A1637="","",'01_Rohdaten'!A1637)</f>
        <v/>
      </c>
      <c r="C1637" s="27">
        <f>IF(B1637="","",INDEX('01_Rohdaten'!B1637:D1637,'02_Eingaben'!$C$13))</f>
        <v/>
      </c>
      <c r="D1637" s="27">
        <f>IF(C1637="","",C1637*'02_Eingaben'!$C$15)</f>
        <v/>
      </c>
      <c r="E1637" s="27">
        <f>IF(D1637="","",D1637*'02_Eingaben'!$C$8)</f>
        <v/>
      </c>
      <c r="F1637" s="27">
        <f>IF(E1637="","",AVERAGE(INDEX($E$2:$E$3001,MAX(1,ROW()-1-'02_Eingaben'!$C$17)):INDEX($E$2:$E$3001,MIN('02_Eingaben'!$C$21,ROW()-1+'02_Eingaben'!$C$17))))</f>
        <v/>
      </c>
      <c r="G1637" s="27">
        <f>IF(F1637="","",F1637-'02_Eingaben'!$C$10)</f>
        <v/>
      </c>
      <c r="H1637">
        <f>IF(F1637="","",IF(F1637&lt;'02_Eingaben'!$C$18*'02_Eingaben'!$C$10,1,0))</f>
        <v/>
      </c>
      <c r="I1637" s="27">
        <f>IF(OR(G1637="",G1638=""),"",(G1637+G1638)/2*(B1638-B1637))</f>
        <v/>
      </c>
      <c r="J1637" s="27">
        <f>IF(B1637="","",IF(B1636&lt;'02_Eingaben'!$C$36,0,J1636+I1636/'02_Eingaben'!$C$8))</f>
        <v/>
      </c>
    </row>
    <row r="1638">
      <c r="A1638">
        <f>IF('01_Rohdaten'!A1638="","",ROW()-1)</f>
        <v/>
      </c>
      <c r="B1638" s="27">
        <f>IF('01_Rohdaten'!A1638="","",'01_Rohdaten'!A1638)</f>
        <v/>
      </c>
      <c r="C1638" s="27">
        <f>IF(B1638="","",INDEX('01_Rohdaten'!B1638:D1638,'02_Eingaben'!$C$13))</f>
        <v/>
      </c>
      <c r="D1638" s="27">
        <f>IF(C1638="","",C1638*'02_Eingaben'!$C$15)</f>
        <v/>
      </c>
      <c r="E1638" s="27">
        <f>IF(D1638="","",D1638*'02_Eingaben'!$C$8)</f>
        <v/>
      </c>
      <c r="F1638" s="27">
        <f>IF(E1638="","",AVERAGE(INDEX($E$2:$E$3001,MAX(1,ROW()-1-'02_Eingaben'!$C$17)):INDEX($E$2:$E$3001,MIN('02_Eingaben'!$C$21,ROW()-1+'02_Eingaben'!$C$17))))</f>
        <v/>
      </c>
      <c r="G1638" s="27">
        <f>IF(F1638="","",F1638-'02_Eingaben'!$C$10)</f>
        <v/>
      </c>
      <c r="H1638">
        <f>IF(F1638="","",IF(F1638&lt;'02_Eingaben'!$C$18*'02_Eingaben'!$C$10,1,0))</f>
        <v/>
      </c>
      <c r="I1638" s="27">
        <f>IF(OR(G1638="",G1639=""),"",(G1638+G1639)/2*(B1639-B1638))</f>
        <v/>
      </c>
      <c r="J1638" s="27">
        <f>IF(B1638="","",IF(B1637&lt;'02_Eingaben'!$C$36,0,J1637+I1637/'02_Eingaben'!$C$8))</f>
        <v/>
      </c>
    </row>
    <row r="1639">
      <c r="A1639">
        <f>IF('01_Rohdaten'!A1639="","",ROW()-1)</f>
        <v/>
      </c>
      <c r="B1639" s="27">
        <f>IF('01_Rohdaten'!A1639="","",'01_Rohdaten'!A1639)</f>
        <v/>
      </c>
      <c r="C1639" s="27">
        <f>IF(B1639="","",INDEX('01_Rohdaten'!B1639:D1639,'02_Eingaben'!$C$13))</f>
        <v/>
      </c>
      <c r="D1639" s="27">
        <f>IF(C1639="","",C1639*'02_Eingaben'!$C$15)</f>
        <v/>
      </c>
      <c r="E1639" s="27">
        <f>IF(D1639="","",D1639*'02_Eingaben'!$C$8)</f>
        <v/>
      </c>
      <c r="F1639" s="27">
        <f>IF(E1639="","",AVERAGE(INDEX($E$2:$E$3001,MAX(1,ROW()-1-'02_Eingaben'!$C$17)):INDEX($E$2:$E$3001,MIN('02_Eingaben'!$C$21,ROW()-1+'02_Eingaben'!$C$17))))</f>
        <v/>
      </c>
      <c r="G1639" s="27">
        <f>IF(F1639="","",F1639-'02_Eingaben'!$C$10)</f>
        <v/>
      </c>
      <c r="H1639">
        <f>IF(F1639="","",IF(F1639&lt;'02_Eingaben'!$C$18*'02_Eingaben'!$C$10,1,0))</f>
        <v/>
      </c>
      <c r="I1639" s="27">
        <f>IF(OR(G1639="",G1640=""),"",(G1639+G1640)/2*(B1640-B1639))</f>
        <v/>
      </c>
      <c r="J1639" s="27">
        <f>IF(B1639="","",IF(B1638&lt;'02_Eingaben'!$C$36,0,J1638+I1638/'02_Eingaben'!$C$8))</f>
        <v/>
      </c>
    </row>
    <row r="1640">
      <c r="A1640">
        <f>IF('01_Rohdaten'!A1640="","",ROW()-1)</f>
        <v/>
      </c>
      <c r="B1640" s="27">
        <f>IF('01_Rohdaten'!A1640="","",'01_Rohdaten'!A1640)</f>
        <v/>
      </c>
      <c r="C1640" s="27">
        <f>IF(B1640="","",INDEX('01_Rohdaten'!B1640:D1640,'02_Eingaben'!$C$13))</f>
        <v/>
      </c>
      <c r="D1640" s="27">
        <f>IF(C1640="","",C1640*'02_Eingaben'!$C$15)</f>
        <v/>
      </c>
      <c r="E1640" s="27">
        <f>IF(D1640="","",D1640*'02_Eingaben'!$C$8)</f>
        <v/>
      </c>
      <c r="F1640" s="27">
        <f>IF(E1640="","",AVERAGE(INDEX($E$2:$E$3001,MAX(1,ROW()-1-'02_Eingaben'!$C$17)):INDEX($E$2:$E$3001,MIN('02_Eingaben'!$C$21,ROW()-1+'02_Eingaben'!$C$17))))</f>
        <v/>
      </c>
      <c r="G1640" s="27">
        <f>IF(F1640="","",F1640-'02_Eingaben'!$C$10)</f>
        <v/>
      </c>
      <c r="H1640">
        <f>IF(F1640="","",IF(F1640&lt;'02_Eingaben'!$C$18*'02_Eingaben'!$C$10,1,0))</f>
        <v/>
      </c>
      <c r="I1640" s="27">
        <f>IF(OR(G1640="",G1641=""),"",(G1640+G1641)/2*(B1641-B1640))</f>
        <v/>
      </c>
      <c r="J1640" s="27">
        <f>IF(B1640="","",IF(B1639&lt;'02_Eingaben'!$C$36,0,J1639+I1639/'02_Eingaben'!$C$8))</f>
        <v/>
      </c>
    </row>
    <row r="1641">
      <c r="A1641">
        <f>IF('01_Rohdaten'!A1641="","",ROW()-1)</f>
        <v/>
      </c>
      <c r="B1641" s="27">
        <f>IF('01_Rohdaten'!A1641="","",'01_Rohdaten'!A1641)</f>
        <v/>
      </c>
      <c r="C1641" s="27">
        <f>IF(B1641="","",INDEX('01_Rohdaten'!B1641:D1641,'02_Eingaben'!$C$13))</f>
        <v/>
      </c>
      <c r="D1641" s="27">
        <f>IF(C1641="","",C1641*'02_Eingaben'!$C$15)</f>
        <v/>
      </c>
      <c r="E1641" s="27">
        <f>IF(D1641="","",D1641*'02_Eingaben'!$C$8)</f>
        <v/>
      </c>
      <c r="F1641" s="27">
        <f>IF(E1641="","",AVERAGE(INDEX($E$2:$E$3001,MAX(1,ROW()-1-'02_Eingaben'!$C$17)):INDEX($E$2:$E$3001,MIN('02_Eingaben'!$C$21,ROW()-1+'02_Eingaben'!$C$17))))</f>
        <v/>
      </c>
      <c r="G1641" s="27">
        <f>IF(F1641="","",F1641-'02_Eingaben'!$C$10)</f>
        <v/>
      </c>
      <c r="H1641">
        <f>IF(F1641="","",IF(F1641&lt;'02_Eingaben'!$C$18*'02_Eingaben'!$C$10,1,0))</f>
        <v/>
      </c>
      <c r="I1641" s="27">
        <f>IF(OR(G1641="",G1642=""),"",(G1641+G1642)/2*(B1642-B1641))</f>
        <v/>
      </c>
      <c r="J1641" s="27">
        <f>IF(B1641="","",IF(B1640&lt;'02_Eingaben'!$C$36,0,J1640+I1640/'02_Eingaben'!$C$8))</f>
        <v/>
      </c>
    </row>
    <row r="1642">
      <c r="A1642">
        <f>IF('01_Rohdaten'!A1642="","",ROW()-1)</f>
        <v/>
      </c>
      <c r="B1642" s="27">
        <f>IF('01_Rohdaten'!A1642="","",'01_Rohdaten'!A1642)</f>
        <v/>
      </c>
      <c r="C1642" s="27">
        <f>IF(B1642="","",INDEX('01_Rohdaten'!B1642:D1642,'02_Eingaben'!$C$13))</f>
        <v/>
      </c>
      <c r="D1642" s="27">
        <f>IF(C1642="","",C1642*'02_Eingaben'!$C$15)</f>
        <v/>
      </c>
      <c r="E1642" s="27">
        <f>IF(D1642="","",D1642*'02_Eingaben'!$C$8)</f>
        <v/>
      </c>
      <c r="F1642" s="27">
        <f>IF(E1642="","",AVERAGE(INDEX($E$2:$E$3001,MAX(1,ROW()-1-'02_Eingaben'!$C$17)):INDEX($E$2:$E$3001,MIN('02_Eingaben'!$C$21,ROW()-1+'02_Eingaben'!$C$17))))</f>
        <v/>
      </c>
      <c r="G1642" s="27">
        <f>IF(F1642="","",F1642-'02_Eingaben'!$C$10)</f>
        <v/>
      </c>
      <c r="H1642">
        <f>IF(F1642="","",IF(F1642&lt;'02_Eingaben'!$C$18*'02_Eingaben'!$C$10,1,0))</f>
        <v/>
      </c>
      <c r="I1642" s="27">
        <f>IF(OR(G1642="",G1643=""),"",(G1642+G1643)/2*(B1643-B1642))</f>
        <v/>
      </c>
      <c r="J1642" s="27">
        <f>IF(B1642="","",IF(B1641&lt;'02_Eingaben'!$C$36,0,J1641+I1641/'02_Eingaben'!$C$8))</f>
        <v/>
      </c>
    </row>
    <row r="1643">
      <c r="A1643">
        <f>IF('01_Rohdaten'!A1643="","",ROW()-1)</f>
        <v/>
      </c>
      <c r="B1643" s="27">
        <f>IF('01_Rohdaten'!A1643="","",'01_Rohdaten'!A1643)</f>
        <v/>
      </c>
      <c r="C1643" s="27">
        <f>IF(B1643="","",INDEX('01_Rohdaten'!B1643:D1643,'02_Eingaben'!$C$13))</f>
        <v/>
      </c>
      <c r="D1643" s="27">
        <f>IF(C1643="","",C1643*'02_Eingaben'!$C$15)</f>
        <v/>
      </c>
      <c r="E1643" s="27">
        <f>IF(D1643="","",D1643*'02_Eingaben'!$C$8)</f>
        <v/>
      </c>
      <c r="F1643" s="27">
        <f>IF(E1643="","",AVERAGE(INDEX($E$2:$E$3001,MAX(1,ROW()-1-'02_Eingaben'!$C$17)):INDEX($E$2:$E$3001,MIN('02_Eingaben'!$C$21,ROW()-1+'02_Eingaben'!$C$17))))</f>
        <v/>
      </c>
      <c r="G1643" s="27">
        <f>IF(F1643="","",F1643-'02_Eingaben'!$C$10)</f>
        <v/>
      </c>
      <c r="H1643">
        <f>IF(F1643="","",IF(F1643&lt;'02_Eingaben'!$C$18*'02_Eingaben'!$C$10,1,0))</f>
        <v/>
      </c>
      <c r="I1643" s="27">
        <f>IF(OR(G1643="",G1644=""),"",(G1643+G1644)/2*(B1644-B1643))</f>
        <v/>
      </c>
      <c r="J1643" s="27">
        <f>IF(B1643="","",IF(B1642&lt;'02_Eingaben'!$C$36,0,J1642+I1642/'02_Eingaben'!$C$8))</f>
        <v/>
      </c>
    </row>
    <row r="1644">
      <c r="A1644">
        <f>IF('01_Rohdaten'!A1644="","",ROW()-1)</f>
        <v/>
      </c>
      <c r="B1644" s="27">
        <f>IF('01_Rohdaten'!A1644="","",'01_Rohdaten'!A1644)</f>
        <v/>
      </c>
      <c r="C1644" s="27">
        <f>IF(B1644="","",INDEX('01_Rohdaten'!B1644:D1644,'02_Eingaben'!$C$13))</f>
        <v/>
      </c>
      <c r="D1644" s="27">
        <f>IF(C1644="","",C1644*'02_Eingaben'!$C$15)</f>
        <v/>
      </c>
      <c r="E1644" s="27">
        <f>IF(D1644="","",D1644*'02_Eingaben'!$C$8)</f>
        <v/>
      </c>
      <c r="F1644" s="27">
        <f>IF(E1644="","",AVERAGE(INDEX($E$2:$E$3001,MAX(1,ROW()-1-'02_Eingaben'!$C$17)):INDEX($E$2:$E$3001,MIN('02_Eingaben'!$C$21,ROW()-1+'02_Eingaben'!$C$17))))</f>
        <v/>
      </c>
      <c r="G1644" s="27">
        <f>IF(F1644="","",F1644-'02_Eingaben'!$C$10)</f>
        <v/>
      </c>
      <c r="H1644">
        <f>IF(F1644="","",IF(F1644&lt;'02_Eingaben'!$C$18*'02_Eingaben'!$C$10,1,0))</f>
        <v/>
      </c>
      <c r="I1644" s="27">
        <f>IF(OR(G1644="",G1645=""),"",(G1644+G1645)/2*(B1645-B1644))</f>
        <v/>
      </c>
      <c r="J1644" s="27">
        <f>IF(B1644="","",IF(B1643&lt;'02_Eingaben'!$C$36,0,J1643+I1643/'02_Eingaben'!$C$8))</f>
        <v/>
      </c>
    </row>
    <row r="1645">
      <c r="A1645">
        <f>IF('01_Rohdaten'!A1645="","",ROW()-1)</f>
        <v/>
      </c>
      <c r="B1645" s="27">
        <f>IF('01_Rohdaten'!A1645="","",'01_Rohdaten'!A1645)</f>
        <v/>
      </c>
      <c r="C1645" s="27">
        <f>IF(B1645="","",INDEX('01_Rohdaten'!B1645:D1645,'02_Eingaben'!$C$13))</f>
        <v/>
      </c>
      <c r="D1645" s="27">
        <f>IF(C1645="","",C1645*'02_Eingaben'!$C$15)</f>
        <v/>
      </c>
      <c r="E1645" s="27">
        <f>IF(D1645="","",D1645*'02_Eingaben'!$C$8)</f>
        <v/>
      </c>
      <c r="F1645" s="27">
        <f>IF(E1645="","",AVERAGE(INDEX($E$2:$E$3001,MAX(1,ROW()-1-'02_Eingaben'!$C$17)):INDEX($E$2:$E$3001,MIN('02_Eingaben'!$C$21,ROW()-1+'02_Eingaben'!$C$17))))</f>
        <v/>
      </c>
      <c r="G1645" s="27">
        <f>IF(F1645="","",F1645-'02_Eingaben'!$C$10)</f>
        <v/>
      </c>
      <c r="H1645">
        <f>IF(F1645="","",IF(F1645&lt;'02_Eingaben'!$C$18*'02_Eingaben'!$C$10,1,0))</f>
        <v/>
      </c>
      <c r="I1645" s="27">
        <f>IF(OR(G1645="",G1646=""),"",(G1645+G1646)/2*(B1646-B1645))</f>
        <v/>
      </c>
      <c r="J1645" s="27">
        <f>IF(B1645="","",IF(B1644&lt;'02_Eingaben'!$C$36,0,J1644+I1644/'02_Eingaben'!$C$8))</f>
        <v/>
      </c>
    </row>
    <row r="1646">
      <c r="A1646">
        <f>IF('01_Rohdaten'!A1646="","",ROW()-1)</f>
        <v/>
      </c>
      <c r="B1646" s="27">
        <f>IF('01_Rohdaten'!A1646="","",'01_Rohdaten'!A1646)</f>
        <v/>
      </c>
      <c r="C1646" s="27">
        <f>IF(B1646="","",INDEX('01_Rohdaten'!B1646:D1646,'02_Eingaben'!$C$13))</f>
        <v/>
      </c>
      <c r="D1646" s="27">
        <f>IF(C1646="","",C1646*'02_Eingaben'!$C$15)</f>
        <v/>
      </c>
      <c r="E1646" s="27">
        <f>IF(D1646="","",D1646*'02_Eingaben'!$C$8)</f>
        <v/>
      </c>
      <c r="F1646" s="27">
        <f>IF(E1646="","",AVERAGE(INDEX($E$2:$E$3001,MAX(1,ROW()-1-'02_Eingaben'!$C$17)):INDEX($E$2:$E$3001,MIN('02_Eingaben'!$C$21,ROW()-1+'02_Eingaben'!$C$17))))</f>
        <v/>
      </c>
      <c r="G1646" s="27">
        <f>IF(F1646="","",F1646-'02_Eingaben'!$C$10)</f>
        <v/>
      </c>
      <c r="H1646">
        <f>IF(F1646="","",IF(F1646&lt;'02_Eingaben'!$C$18*'02_Eingaben'!$C$10,1,0))</f>
        <v/>
      </c>
      <c r="I1646" s="27">
        <f>IF(OR(G1646="",G1647=""),"",(G1646+G1647)/2*(B1647-B1646))</f>
        <v/>
      </c>
      <c r="J1646" s="27">
        <f>IF(B1646="","",IF(B1645&lt;'02_Eingaben'!$C$36,0,J1645+I1645/'02_Eingaben'!$C$8))</f>
        <v/>
      </c>
    </row>
    <row r="1647">
      <c r="A1647">
        <f>IF('01_Rohdaten'!A1647="","",ROW()-1)</f>
        <v/>
      </c>
      <c r="B1647" s="27">
        <f>IF('01_Rohdaten'!A1647="","",'01_Rohdaten'!A1647)</f>
        <v/>
      </c>
      <c r="C1647" s="27">
        <f>IF(B1647="","",INDEX('01_Rohdaten'!B1647:D1647,'02_Eingaben'!$C$13))</f>
        <v/>
      </c>
      <c r="D1647" s="27">
        <f>IF(C1647="","",C1647*'02_Eingaben'!$C$15)</f>
        <v/>
      </c>
      <c r="E1647" s="27">
        <f>IF(D1647="","",D1647*'02_Eingaben'!$C$8)</f>
        <v/>
      </c>
      <c r="F1647" s="27">
        <f>IF(E1647="","",AVERAGE(INDEX($E$2:$E$3001,MAX(1,ROW()-1-'02_Eingaben'!$C$17)):INDEX($E$2:$E$3001,MIN('02_Eingaben'!$C$21,ROW()-1+'02_Eingaben'!$C$17))))</f>
        <v/>
      </c>
      <c r="G1647" s="27">
        <f>IF(F1647="","",F1647-'02_Eingaben'!$C$10)</f>
        <v/>
      </c>
      <c r="H1647">
        <f>IF(F1647="","",IF(F1647&lt;'02_Eingaben'!$C$18*'02_Eingaben'!$C$10,1,0))</f>
        <v/>
      </c>
      <c r="I1647" s="27">
        <f>IF(OR(G1647="",G1648=""),"",(G1647+G1648)/2*(B1648-B1647))</f>
        <v/>
      </c>
      <c r="J1647" s="27">
        <f>IF(B1647="","",IF(B1646&lt;'02_Eingaben'!$C$36,0,J1646+I1646/'02_Eingaben'!$C$8))</f>
        <v/>
      </c>
    </row>
    <row r="1648">
      <c r="A1648">
        <f>IF('01_Rohdaten'!A1648="","",ROW()-1)</f>
        <v/>
      </c>
      <c r="B1648" s="27">
        <f>IF('01_Rohdaten'!A1648="","",'01_Rohdaten'!A1648)</f>
        <v/>
      </c>
      <c r="C1648" s="27">
        <f>IF(B1648="","",INDEX('01_Rohdaten'!B1648:D1648,'02_Eingaben'!$C$13))</f>
        <v/>
      </c>
      <c r="D1648" s="27">
        <f>IF(C1648="","",C1648*'02_Eingaben'!$C$15)</f>
        <v/>
      </c>
      <c r="E1648" s="27">
        <f>IF(D1648="","",D1648*'02_Eingaben'!$C$8)</f>
        <v/>
      </c>
      <c r="F1648" s="27">
        <f>IF(E1648="","",AVERAGE(INDEX($E$2:$E$3001,MAX(1,ROW()-1-'02_Eingaben'!$C$17)):INDEX($E$2:$E$3001,MIN('02_Eingaben'!$C$21,ROW()-1+'02_Eingaben'!$C$17))))</f>
        <v/>
      </c>
      <c r="G1648" s="27">
        <f>IF(F1648="","",F1648-'02_Eingaben'!$C$10)</f>
        <v/>
      </c>
      <c r="H1648">
        <f>IF(F1648="","",IF(F1648&lt;'02_Eingaben'!$C$18*'02_Eingaben'!$C$10,1,0))</f>
        <v/>
      </c>
      <c r="I1648" s="27">
        <f>IF(OR(G1648="",G1649=""),"",(G1648+G1649)/2*(B1649-B1648))</f>
        <v/>
      </c>
      <c r="J1648" s="27">
        <f>IF(B1648="","",IF(B1647&lt;'02_Eingaben'!$C$36,0,J1647+I1647/'02_Eingaben'!$C$8))</f>
        <v/>
      </c>
    </row>
    <row r="1649">
      <c r="A1649">
        <f>IF('01_Rohdaten'!A1649="","",ROW()-1)</f>
        <v/>
      </c>
      <c r="B1649" s="27">
        <f>IF('01_Rohdaten'!A1649="","",'01_Rohdaten'!A1649)</f>
        <v/>
      </c>
      <c r="C1649" s="27">
        <f>IF(B1649="","",INDEX('01_Rohdaten'!B1649:D1649,'02_Eingaben'!$C$13))</f>
        <v/>
      </c>
      <c r="D1649" s="27">
        <f>IF(C1649="","",C1649*'02_Eingaben'!$C$15)</f>
        <v/>
      </c>
      <c r="E1649" s="27">
        <f>IF(D1649="","",D1649*'02_Eingaben'!$C$8)</f>
        <v/>
      </c>
      <c r="F1649" s="27">
        <f>IF(E1649="","",AVERAGE(INDEX($E$2:$E$3001,MAX(1,ROW()-1-'02_Eingaben'!$C$17)):INDEX($E$2:$E$3001,MIN('02_Eingaben'!$C$21,ROW()-1+'02_Eingaben'!$C$17))))</f>
        <v/>
      </c>
      <c r="G1649" s="27">
        <f>IF(F1649="","",F1649-'02_Eingaben'!$C$10)</f>
        <v/>
      </c>
      <c r="H1649">
        <f>IF(F1649="","",IF(F1649&lt;'02_Eingaben'!$C$18*'02_Eingaben'!$C$10,1,0))</f>
        <v/>
      </c>
      <c r="I1649" s="27">
        <f>IF(OR(G1649="",G1650=""),"",(G1649+G1650)/2*(B1650-B1649))</f>
        <v/>
      </c>
      <c r="J1649" s="27">
        <f>IF(B1649="","",IF(B1648&lt;'02_Eingaben'!$C$36,0,J1648+I1648/'02_Eingaben'!$C$8))</f>
        <v/>
      </c>
    </row>
    <row r="1650">
      <c r="A1650">
        <f>IF('01_Rohdaten'!A1650="","",ROW()-1)</f>
        <v/>
      </c>
      <c r="B1650" s="27">
        <f>IF('01_Rohdaten'!A1650="","",'01_Rohdaten'!A1650)</f>
        <v/>
      </c>
      <c r="C1650" s="27">
        <f>IF(B1650="","",INDEX('01_Rohdaten'!B1650:D1650,'02_Eingaben'!$C$13))</f>
        <v/>
      </c>
      <c r="D1650" s="27">
        <f>IF(C1650="","",C1650*'02_Eingaben'!$C$15)</f>
        <v/>
      </c>
      <c r="E1650" s="27">
        <f>IF(D1650="","",D1650*'02_Eingaben'!$C$8)</f>
        <v/>
      </c>
      <c r="F1650" s="27">
        <f>IF(E1650="","",AVERAGE(INDEX($E$2:$E$3001,MAX(1,ROW()-1-'02_Eingaben'!$C$17)):INDEX($E$2:$E$3001,MIN('02_Eingaben'!$C$21,ROW()-1+'02_Eingaben'!$C$17))))</f>
        <v/>
      </c>
      <c r="G1650" s="27">
        <f>IF(F1650="","",F1650-'02_Eingaben'!$C$10)</f>
        <v/>
      </c>
      <c r="H1650">
        <f>IF(F1650="","",IF(F1650&lt;'02_Eingaben'!$C$18*'02_Eingaben'!$C$10,1,0))</f>
        <v/>
      </c>
      <c r="I1650" s="27">
        <f>IF(OR(G1650="",G1651=""),"",(G1650+G1651)/2*(B1651-B1650))</f>
        <v/>
      </c>
      <c r="J1650" s="27">
        <f>IF(B1650="","",IF(B1649&lt;'02_Eingaben'!$C$36,0,J1649+I1649/'02_Eingaben'!$C$8))</f>
        <v/>
      </c>
    </row>
    <row r="1651">
      <c r="A1651">
        <f>IF('01_Rohdaten'!A1651="","",ROW()-1)</f>
        <v/>
      </c>
      <c r="B1651" s="27">
        <f>IF('01_Rohdaten'!A1651="","",'01_Rohdaten'!A1651)</f>
        <v/>
      </c>
      <c r="C1651" s="27">
        <f>IF(B1651="","",INDEX('01_Rohdaten'!B1651:D1651,'02_Eingaben'!$C$13))</f>
        <v/>
      </c>
      <c r="D1651" s="27">
        <f>IF(C1651="","",C1651*'02_Eingaben'!$C$15)</f>
        <v/>
      </c>
      <c r="E1651" s="27">
        <f>IF(D1651="","",D1651*'02_Eingaben'!$C$8)</f>
        <v/>
      </c>
      <c r="F1651" s="27">
        <f>IF(E1651="","",AVERAGE(INDEX($E$2:$E$3001,MAX(1,ROW()-1-'02_Eingaben'!$C$17)):INDEX($E$2:$E$3001,MIN('02_Eingaben'!$C$21,ROW()-1+'02_Eingaben'!$C$17))))</f>
        <v/>
      </c>
      <c r="G1651" s="27">
        <f>IF(F1651="","",F1651-'02_Eingaben'!$C$10)</f>
        <v/>
      </c>
      <c r="H1651">
        <f>IF(F1651="","",IF(F1651&lt;'02_Eingaben'!$C$18*'02_Eingaben'!$C$10,1,0))</f>
        <v/>
      </c>
      <c r="I1651" s="27">
        <f>IF(OR(G1651="",G1652=""),"",(G1651+G1652)/2*(B1652-B1651))</f>
        <v/>
      </c>
      <c r="J1651" s="27">
        <f>IF(B1651="","",IF(B1650&lt;'02_Eingaben'!$C$36,0,J1650+I1650/'02_Eingaben'!$C$8))</f>
        <v/>
      </c>
    </row>
    <row r="1652">
      <c r="A1652">
        <f>IF('01_Rohdaten'!A1652="","",ROW()-1)</f>
        <v/>
      </c>
      <c r="B1652" s="27">
        <f>IF('01_Rohdaten'!A1652="","",'01_Rohdaten'!A1652)</f>
        <v/>
      </c>
      <c r="C1652" s="27">
        <f>IF(B1652="","",INDEX('01_Rohdaten'!B1652:D1652,'02_Eingaben'!$C$13))</f>
        <v/>
      </c>
      <c r="D1652" s="27">
        <f>IF(C1652="","",C1652*'02_Eingaben'!$C$15)</f>
        <v/>
      </c>
      <c r="E1652" s="27">
        <f>IF(D1652="","",D1652*'02_Eingaben'!$C$8)</f>
        <v/>
      </c>
      <c r="F1652" s="27">
        <f>IF(E1652="","",AVERAGE(INDEX($E$2:$E$3001,MAX(1,ROW()-1-'02_Eingaben'!$C$17)):INDEX($E$2:$E$3001,MIN('02_Eingaben'!$C$21,ROW()-1+'02_Eingaben'!$C$17))))</f>
        <v/>
      </c>
      <c r="G1652" s="27">
        <f>IF(F1652="","",F1652-'02_Eingaben'!$C$10)</f>
        <v/>
      </c>
      <c r="H1652">
        <f>IF(F1652="","",IF(F1652&lt;'02_Eingaben'!$C$18*'02_Eingaben'!$C$10,1,0))</f>
        <v/>
      </c>
      <c r="I1652" s="27">
        <f>IF(OR(G1652="",G1653=""),"",(G1652+G1653)/2*(B1653-B1652))</f>
        <v/>
      </c>
      <c r="J1652" s="27">
        <f>IF(B1652="","",IF(B1651&lt;'02_Eingaben'!$C$36,0,J1651+I1651/'02_Eingaben'!$C$8))</f>
        <v/>
      </c>
    </row>
    <row r="1653">
      <c r="A1653">
        <f>IF('01_Rohdaten'!A1653="","",ROW()-1)</f>
        <v/>
      </c>
      <c r="B1653" s="27">
        <f>IF('01_Rohdaten'!A1653="","",'01_Rohdaten'!A1653)</f>
        <v/>
      </c>
      <c r="C1653" s="27">
        <f>IF(B1653="","",INDEX('01_Rohdaten'!B1653:D1653,'02_Eingaben'!$C$13))</f>
        <v/>
      </c>
      <c r="D1653" s="27">
        <f>IF(C1653="","",C1653*'02_Eingaben'!$C$15)</f>
        <v/>
      </c>
      <c r="E1653" s="27">
        <f>IF(D1653="","",D1653*'02_Eingaben'!$C$8)</f>
        <v/>
      </c>
      <c r="F1653" s="27">
        <f>IF(E1653="","",AVERAGE(INDEX($E$2:$E$3001,MAX(1,ROW()-1-'02_Eingaben'!$C$17)):INDEX($E$2:$E$3001,MIN('02_Eingaben'!$C$21,ROW()-1+'02_Eingaben'!$C$17))))</f>
        <v/>
      </c>
      <c r="G1653" s="27">
        <f>IF(F1653="","",F1653-'02_Eingaben'!$C$10)</f>
        <v/>
      </c>
      <c r="H1653">
        <f>IF(F1653="","",IF(F1653&lt;'02_Eingaben'!$C$18*'02_Eingaben'!$C$10,1,0))</f>
        <v/>
      </c>
      <c r="I1653" s="27">
        <f>IF(OR(G1653="",G1654=""),"",(G1653+G1654)/2*(B1654-B1653))</f>
        <v/>
      </c>
      <c r="J1653" s="27">
        <f>IF(B1653="","",IF(B1652&lt;'02_Eingaben'!$C$36,0,J1652+I1652/'02_Eingaben'!$C$8))</f>
        <v/>
      </c>
    </row>
    <row r="1654">
      <c r="A1654">
        <f>IF('01_Rohdaten'!A1654="","",ROW()-1)</f>
        <v/>
      </c>
      <c r="B1654" s="27">
        <f>IF('01_Rohdaten'!A1654="","",'01_Rohdaten'!A1654)</f>
        <v/>
      </c>
      <c r="C1654" s="27">
        <f>IF(B1654="","",INDEX('01_Rohdaten'!B1654:D1654,'02_Eingaben'!$C$13))</f>
        <v/>
      </c>
      <c r="D1654" s="27">
        <f>IF(C1654="","",C1654*'02_Eingaben'!$C$15)</f>
        <v/>
      </c>
      <c r="E1654" s="27">
        <f>IF(D1654="","",D1654*'02_Eingaben'!$C$8)</f>
        <v/>
      </c>
      <c r="F1654" s="27">
        <f>IF(E1654="","",AVERAGE(INDEX($E$2:$E$3001,MAX(1,ROW()-1-'02_Eingaben'!$C$17)):INDEX($E$2:$E$3001,MIN('02_Eingaben'!$C$21,ROW()-1+'02_Eingaben'!$C$17))))</f>
        <v/>
      </c>
      <c r="G1654" s="27">
        <f>IF(F1654="","",F1654-'02_Eingaben'!$C$10)</f>
        <v/>
      </c>
      <c r="H1654">
        <f>IF(F1654="","",IF(F1654&lt;'02_Eingaben'!$C$18*'02_Eingaben'!$C$10,1,0))</f>
        <v/>
      </c>
      <c r="I1654" s="27">
        <f>IF(OR(G1654="",G1655=""),"",(G1654+G1655)/2*(B1655-B1654))</f>
        <v/>
      </c>
      <c r="J1654" s="27">
        <f>IF(B1654="","",IF(B1653&lt;'02_Eingaben'!$C$36,0,J1653+I1653/'02_Eingaben'!$C$8))</f>
        <v/>
      </c>
    </row>
    <row r="1655">
      <c r="A1655">
        <f>IF('01_Rohdaten'!A1655="","",ROW()-1)</f>
        <v/>
      </c>
      <c r="B1655" s="27">
        <f>IF('01_Rohdaten'!A1655="","",'01_Rohdaten'!A1655)</f>
        <v/>
      </c>
      <c r="C1655" s="27">
        <f>IF(B1655="","",INDEX('01_Rohdaten'!B1655:D1655,'02_Eingaben'!$C$13))</f>
        <v/>
      </c>
      <c r="D1655" s="27">
        <f>IF(C1655="","",C1655*'02_Eingaben'!$C$15)</f>
        <v/>
      </c>
      <c r="E1655" s="27">
        <f>IF(D1655="","",D1655*'02_Eingaben'!$C$8)</f>
        <v/>
      </c>
      <c r="F1655" s="27">
        <f>IF(E1655="","",AVERAGE(INDEX($E$2:$E$3001,MAX(1,ROW()-1-'02_Eingaben'!$C$17)):INDEX($E$2:$E$3001,MIN('02_Eingaben'!$C$21,ROW()-1+'02_Eingaben'!$C$17))))</f>
        <v/>
      </c>
      <c r="G1655" s="27">
        <f>IF(F1655="","",F1655-'02_Eingaben'!$C$10)</f>
        <v/>
      </c>
      <c r="H1655">
        <f>IF(F1655="","",IF(F1655&lt;'02_Eingaben'!$C$18*'02_Eingaben'!$C$10,1,0))</f>
        <v/>
      </c>
      <c r="I1655" s="27">
        <f>IF(OR(G1655="",G1656=""),"",(G1655+G1656)/2*(B1656-B1655))</f>
        <v/>
      </c>
      <c r="J1655" s="27">
        <f>IF(B1655="","",IF(B1654&lt;'02_Eingaben'!$C$36,0,J1654+I1654/'02_Eingaben'!$C$8))</f>
        <v/>
      </c>
    </row>
    <row r="1656">
      <c r="A1656">
        <f>IF('01_Rohdaten'!A1656="","",ROW()-1)</f>
        <v/>
      </c>
      <c r="B1656" s="27">
        <f>IF('01_Rohdaten'!A1656="","",'01_Rohdaten'!A1656)</f>
        <v/>
      </c>
      <c r="C1656" s="27">
        <f>IF(B1656="","",INDEX('01_Rohdaten'!B1656:D1656,'02_Eingaben'!$C$13))</f>
        <v/>
      </c>
      <c r="D1656" s="27">
        <f>IF(C1656="","",C1656*'02_Eingaben'!$C$15)</f>
        <v/>
      </c>
      <c r="E1656" s="27">
        <f>IF(D1656="","",D1656*'02_Eingaben'!$C$8)</f>
        <v/>
      </c>
      <c r="F1656" s="27">
        <f>IF(E1656="","",AVERAGE(INDEX($E$2:$E$3001,MAX(1,ROW()-1-'02_Eingaben'!$C$17)):INDEX($E$2:$E$3001,MIN('02_Eingaben'!$C$21,ROW()-1+'02_Eingaben'!$C$17))))</f>
        <v/>
      </c>
      <c r="G1656" s="27">
        <f>IF(F1656="","",F1656-'02_Eingaben'!$C$10)</f>
        <v/>
      </c>
      <c r="H1656">
        <f>IF(F1656="","",IF(F1656&lt;'02_Eingaben'!$C$18*'02_Eingaben'!$C$10,1,0))</f>
        <v/>
      </c>
      <c r="I1656" s="27">
        <f>IF(OR(G1656="",G1657=""),"",(G1656+G1657)/2*(B1657-B1656))</f>
        <v/>
      </c>
      <c r="J1656" s="27">
        <f>IF(B1656="","",IF(B1655&lt;'02_Eingaben'!$C$36,0,J1655+I1655/'02_Eingaben'!$C$8))</f>
        <v/>
      </c>
    </row>
    <row r="1657">
      <c r="A1657">
        <f>IF('01_Rohdaten'!A1657="","",ROW()-1)</f>
        <v/>
      </c>
      <c r="B1657" s="27">
        <f>IF('01_Rohdaten'!A1657="","",'01_Rohdaten'!A1657)</f>
        <v/>
      </c>
      <c r="C1657" s="27">
        <f>IF(B1657="","",INDEX('01_Rohdaten'!B1657:D1657,'02_Eingaben'!$C$13))</f>
        <v/>
      </c>
      <c r="D1657" s="27">
        <f>IF(C1657="","",C1657*'02_Eingaben'!$C$15)</f>
        <v/>
      </c>
      <c r="E1657" s="27">
        <f>IF(D1657="","",D1657*'02_Eingaben'!$C$8)</f>
        <v/>
      </c>
      <c r="F1657" s="27">
        <f>IF(E1657="","",AVERAGE(INDEX($E$2:$E$3001,MAX(1,ROW()-1-'02_Eingaben'!$C$17)):INDEX($E$2:$E$3001,MIN('02_Eingaben'!$C$21,ROW()-1+'02_Eingaben'!$C$17))))</f>
        <v/>
      </c>
      <c r="G1657" s="27">
        <f>IF(F1657="","",F1657-'02_Eingaben'!$C$10)</f>
        <v/>
      </c>
      <c r="H1657">
        <f>IF(F1657="","",IF(F1657&lt;'02_Eingaben'!$C$18*'02_Eingaben'!$C$10,1,0))</f>
        <v/>
      </c>
      <c r="I1657" s="27">
        <f>IF(OR(G1657="",G1658=""),"",(G1657+G1658)/2*(B1658-B1657))</f>
        <v/>
      </c>
      <c r="J1657" s="27">
        <f>IF(B1657="","",IF(B1656&lt;'02_Eingaben'!$C$36,0,J1656+I1656/'02_Eingaben'!$C$8))</f>
        <v/>
      </c>
    </row>
    <row r="1658">
      <c r="A1658">
        <f>IF('01_Rohdaten'!A1658="","",ROW()-1)</f>
        <v/>
      </c>
      <c r="B1658" s="27">
        <f>IF('01_Rohdaten'!A1658="","",'01_Rohdaten'!A1658)</f>
        <v/>
      </c>
      <c r="C1658" s="27">
        <f>IF(B1658="","",INDEX('01_Rohdaten'!B1658:D1658,'02_Eingaben'!$C$13))</f>
        <v/>
      </c>
      <c r="D1658" s="27">
        <f>IF(C1658="","",C1658*'02_Eingaben'!$C$15)</f>
        <v/>
      </c>
      <c r="E1658" s="27">
        <f>IF(D1658="","",D1658*'02_Eingaben'!$C$8)</f>
        <v/>
      </c>
      <c r="F1658" s="27">
        <f>IF(E1658="","",AVERAGE(INDEX($E$2:$E$3001,MAX(1,ROW()-1-'02_Eingaben'!$C$17)):INDEX($E$2:$E$3001,MIN('02_Eingaben'!$C$21,ROW()-1+'02_Eingaben'!$C$17))))</f>
        <v/>
      </c>
      <c r="G1658" s="27">
        <f>IF(F1658="","",F1658-'02_Eingaben'!$C$10)</f>
        <v/>
      </c>
      <c r="H1658">
        <f>IF(F1658="","",IF(F1658&lt;'02_Eingaben'!$C$18*'02_Eingaben'!$C$10,1,0))</f>
        <v/>
      </c>
      <c r="I1658" s="27">
        <f>IF(OR(G1658="",G1659=""),"",(G1658+G1659)/2*(B1659-B1658))</f>
        <v/>
      </c>
      <c r="J1658" s="27">
        <f>IF(B1658="","",IF(B1657&lt;'02_Eingaben'!$C$36,0,J1657+I1657/'02_Eingaben'!$C$8))</f>
        <v/>
      </c>
    </row>
    <row r="1659">
      <c r="A1659">
        <f>IF('01_Rohdaten'!A1659="","",ROW()-1)</f>
        <v/>
      </c>
      <c r="B1659" s="27">
        <f>IF('01_Rohdaten'!A1659="","",'01_Rohdaten'!A1659)</f>
        <v/>
      </c>
      <c r="C1659" s="27">
        <f>IF(B1659="","",INDEX('01_Rohdaten'!B1659:D1659,'02_Eingaben'!$C$13))</f>
        <v/>
      </c>
      <c r="D1659" s="27">
        <f>IF(C1659="","",C1659*'02_Eingaben'!$C$15)</f>
        <v/>
      </c>
      <c r="E1659" s="27">
        <f>IF(D1659="","",D1659*'02_Eingaben'!$C$8)</f>
        <v/>
      </c>
      <c r="F1659" s="27">
        <f>IF(E1659="","",AVERAGE(INDEX($E$2:$E$3001,MAX(1,ROW()-1-'02_Eingaben'!$C$17)):INDEX($E$2:$E$3001,MIN('02_Eingaben'!$C$21,ROW()-1+'02_Eingaben'!$C$17))))</f>
        <v/>
      </c>
      <c r="G1659" s="27">
        <f>IF(F1659="","",F1659-'02_Eingaben'!$C$10)</f>
        <v/>
      </c>
      <c r="H1659">
        <f>IF(F1659="","",IF(F1659&lt;'02_Eingaben'!$C$18*'02_Eingaben'!$C$10,1,0))</f>
        <v/>
      </c>
      <c r="I1659" s="27">
        <f>IF(OR(G1659="",G1660=""),"",(G1659+G1660)/2*(B1660-B1659))</f>
        <v/>
      </c>
      <c r="J1659" s="27">
        <f>IF(B1659="","",IF(B1658&lt;'02_Eingaben'!$C$36,0,J1658+I1658/'02_Eingaben'!$C$8))</f>
        <v/>
      </c>
    </row>
    <row r="1660">
      <c r="A1660">
        <f>IF('01_Rohdaten'!A1660="","",ROW()-1)</f>
        <v/>
      </c>
      <c r="B1660" s="27">
        <f>IF('01_Rohdaten'!A1660="","",'01_Rohdaten'!A1660)</f>
        <v/>
      </c>
      <c r="C1660" s="27">
        <f>IF(B1660="","",INDEX('01_Rohdaten'!B1660:D1660,'02_Eingaben'!$C$13))</f>
        <v/>
      </c>
      <c r="D1660" s="27">
        <f>IF(C1660="","",C1660*'02_Eingaben'!$C$15)</f>
        <v/>
      </c>
      <c r="E1660" s="27">
        <f>IF(D1660="","",D1660*'02_Eingaben'!$C$8)</f>
        <v/>
      </c>
      <c r="F1660" s="27">
        <f>IF(E1660="","",AVERAGE(INDEX($E$2:$E$3001,MAX(1,ROW()-1-'02_Eingaben'!$C$17)):INDEX($E$2:$E$3001,MIN('02_Eingaben'!$C$21,ROW()-1+'02_Eingaben'!$C$17))))</f>
        <v/>
      </c>
      <c r="G1660" s="27">
        <f>IF(F1660="","",F1660-'02_Eingaben'!$C$10)</f>
        <v/>
      </c>
      <c r="H1660">
        <f>IF(F1660="","",IF(F1660&lt;'02_Eingaben'!$C$18*'02_Eingaben'!$C$10,1,0))</f>
        <v/>
      </c>
      <c r="I1660" s="27">
        <f>IF(OR(G1660="",G1661=""),"",(G1660+G1661)/2*(B1661-B1660))</f>
        <v/>
      </c>
      <c r="J1660" s="27">
        <f>IF(B1660="","",IF(B1659&lt;'02_Eingaben'!$C$36,0,J1659+I1659/'02_Eingaben'!$C$8))</f>
        <v/>
      </c>
    </row>
    <row r="1661">
      <c r="A1661">
        <f>IF('01_Rohdaten'!A1661="","",ROW()-1)</f>
        <v/>
      </c>
      <c r="B1661" s="27">
        <f>IF('01_Rohdaten'!A1661="","",'01_Rohdaten'!A1661)</f>
        <v/>
      </c>
      <c r="C1661" s="27">
        <f>IF(B1661="","",INDEX('01_Rohdaten'!B1661:D1661,'02_Eingaben'!$C$13))</f>
        <v/>
      </c>
      <c r="D1661" s="27">
        <f>IF(C1661="","",C1661*'02_Eingaben'!$C$15)</f>
        <v/>
      </c>
      <c r="E1661" s="27">
        <f>IF(D1661="","",D1661*'02_Eingaben'!$C$8)</f>
        <v/>
      </c>
      <c r="F1661" s="27">
        <f>IF(E1661="","",AVERAGE(INDEX($E$2:$E$3001,MAX(1,ROW()-1-'02_Eingaben'!$C$17)):INDEX($E$2:$E$3001,MIN('02_Eingaben'!$C$21,ROW()-1+'02_Eingaben'!$C$17))))</f>
        <v/>
      </c>
      <c r="G1661" s="27">
        <f>IF(F1661="","",F1661-'02_Eingaben'!$C$10)</f>
        <v/>
      </c>
      <c r="H1661">
        <f>IF(F1661="","",IF(F1661&lt;'02_Eingaben'!$C$18*'02_Eingaben'!$C$10,1,0))</f>
        <v/>
      </c>
      <c r="I1661" s="27">
        <f>IF(OR(G1661="",G1662=""),"",(G1661+G1662)/2*(B1662-B1661))</f>
        <v/>
      </c>
      <c r="J1661" s="27">
        <f>IF(B1661="","",IF(B1660&lt;'02_Eingaben'!$C$36,0,J1660+I1660/'02_Eingaben'!$C$8))</f>
        <v/>
      </c>
    </row>
    <row r="1662">
      <c r="A1662">
        <f>IF('01_Rohdaten'!A1662="","",ROW()-1)</f>
        <v/>
      </c>
      <c r="B1662" s="27">
        <f>IF('01_Rohdaten'!A1662="","",'01_Rohdaten'!A1662)</f>
        <v/>
      </c>
      <c r="C1662" s="27">
        <f>IF(B1662="","",INDEX('01_Rohdaten'!B1662:D1662,'02_Eingaben'!$C$13))</f>
        <v/>
      </c>
      <c r="D1662" s="27">
        <f>IF(C1662="","",C1662*'02_Eingaben'!$C$15)</f>
        <v/>
      </c>
      <c r="E1662" s="27">
        <f>IF(D1662="","",D1662*'02_Eingaben'!$C$8)</f>
        <v/>
      </c>
      <c r="F1662" s="27">
        <f>IF(E1662="","",AVERAGE(INDEX($E$2:$E$3001,MAX(1,ROW()-1-'02_Eingaben'!$C$17)):INDEX($E$2:$E$3001,MIN('02_Eingaben'!$C$21,ROW()-1+'02_Eingaben'!$C$17))))</f>
        <v/>
      </c>
      <c r="G1662" s="27">
        <f>IF(F1662="","",F1662-'02_Eingaben'!$C$10)</f>
        <v/>
      </c>
      <c r="H1662">
        <f>IF(F1662="","",IF(F1662&lt;'02_Eingaben'!$C$18*'02_Eingaben'!$C$10,1,0))</f>
        <v/>
      </c>
      <c r="I1662" s="27">
        <f>IF(OR(G1662="",G1663=""),"",(G1662+G1663)/2*(B1663-B1662))</f>
        <v/>
      </c>
      <c r="J1662" s="27">
        <f>IF(B1662="","",IF(B1661&lt;'02_Eingaben'!$C$36,0,J1661+I1661/'02_Eingaben'!$C$8))</f>
        <v/>
      </c>
    </row>
    <row r="1663">
      <c r="A1663">
        <f>IF('01_Rohdaten'!A1663="","",ROW()-1)</f>
        <v/>
      </c>
      <c r="B1663" s="27">
        <f>IF('01_Rohdaten'!A1663="","",'01_Rohdaten'!A1663)</f>
        <v/>
      </c>
      <c r="C1663" s="27">
        <f>IF(B1663="","",INDEX('01_Rohdaten'!B1663:D1663,'02_Eingaben'!$C$13))</f>
        <v/>
      </c>
      <c r="D1663" s="27">
        <f>IF(C1663="","",C1663*'02_Eingaben'!$C$15)</f>
        <v/>
      </c>
      <c r="E1663" s="27">
        <f>IF(D1663="","",D1663*'02_Eingaben'!$C$8)</f>
        <v/>
      </c>
      <c r="F1663" s="27">
        <f>IF(E1663="","",AVERAGE(INDEX($E$2:$E$3001,MAX(1,ROW()-1-'02_Eingaben'!$C$17)):INDEX($E$2:$E$3001,MIN('02_Eingaben'!$C$21,ROW()-1+'02_Eingaben'!$C$17))))</f>
        <v/>
      </c>
      <c r="G1663" s="27">
        <f>IF(F1663="","",F1663-'02_Eingaben'!$C$10)</f>
        <v/>
      </c>
      <c r="H1663">
        <f>IF(F1663="","",IF(F1663&lt;'02_Eingaben'!$C$18*'02_Eingaben'!$C$10,1,0))</f>
        <v/>
      </c>
      <c r="I1663" s="27">
        <f>IF(OR(G1663="",G1664=""),"",(G1663+G1664)/2*(B1664-B1663))</f>
        <v/>
      </c>
      <c r="J1663" s="27">
        <f>IF(B1663="","",IF(B1662&lt;'02_Eingaben'!$C$36,0,J1662+I1662/'02_Eingaben'!$C$8))</f>
        <v/>
      </c>
    </row>
    <row r="1664">
      <c r="A1664">
        <f>IF('01_Rohdaten'!A1664="","",ROW()-1)</f>
        <v/>
      </c>
      <c r="B1664" s="27">
        <f>IF('01_Rohdaten'!A1664="","",'01_Rohdaten'!A1664)</f>
        <v/>
      </c>
      <c r="C1664" s="27">
        <f>IF(B1664="","",INDEX('01_Rohdaten'!B1664:D1664,'02_Eingaben'!$C$13))</f>
        <v/>
      </c>
      <c r="D1664" s="27">
        <f>IF(C1664="","",C1664*'02_Eingaben'!$C$15)</f>
        <v/>
      </c>
      <c r="E1664" s="27">
        <f>IF(D1664="","",D1664*'02_Eingaben'!$C$8)</f>
        <v/>
      </c>
      <c r="F1664" s="27">
        <f>IF(E1664="","",AVERAGE(INDEX($E$2:$E$3001,MAX(1,ROW()-1-'02_Eingaben'!$C$17)):INDEX($E$2:$E$3001,MIN('02_Eingaben'!$C$21,ROW()-1+'02_Eingaben'!$C$17))))</f>
        <v/>
      </c>
      <c r="G1664" s="27">
        <f>IF(F1664="","",F1664-'02_Eingaben'!$C$10)</f>
        <v/>
      </c>
      <c r="H1664">
        <f>IF(F1664="","",IF(F1664&lt;'02_Eingaben'!$C$18*'02_Eingaben'!$C$10,1,0))</f>
        <v/>
      </c>
      <c r="I1664" s="27">
        <f>IF(OR(G1664="",G1665=""),"",(G1664+G1665)/2*(B1665-B1664))</f>
        <v/>
      </c>
      <c r="J1664" s="27">
        <f>IF(B1664="","",IF(B1663&lt;'02_Eingaben'!$C$36,0,J1663+I1663/'02_Eingaben'!$C$8))</f>
        <v/>
      </c>
    </row>
    <row r="1665">
      <c r="A1665">
        <f>IF('01_Rohdaten'!A1665="","",ROW()-1)</f>
        <v/>
      </c>
      <c r="B1665" s="27">
        <f>IF('01_Rohdaten'!A1665="","",'01_Rohdaten'!A1665)</f>
        <v/>
      </c>
      <c r="C1665" s="27">
        <f>IF(B1665="","",INDEX('01_Rohdaten'!B1665:D1665,'02_Eingaben'!$C$13))</f>
        <v/>
      </c>
      <c r="D1665" s="27">
        <f>IF(C1665="","",C1665*'02_Eingaben'!$C$15)</f>
        <v/>
      </c>
      <c r="E1665" s="27">
        <f>IF(D1665="","",D1665*'02_Eingaben'!$C$8)</f>
        <v/>
      </c>
      <c r="F1665" s="27">
        <f>IF(E1665="","",AVERAGE(INDEX($E$2:$E$3001,MAX(1,ROW()-1-'02_Eingaben'!$C$17)):INDEX($E$2:$E$3001,MIN('02_Eingaben'!$C$21,ROW()-1+'02_Eingaben'!$C$17))))</f>
        <v/>
      </c>
      <c r="G1665" s="27">
        <f>IF(F1665="","",F1665-'02_Eingaben'!$C$10)</f>
        <v/>
      </c>
      <c r="H1665">
        <f>IF(F1665="","",IF(F1665&lt;'02_Eingaben'!$C$18*'02_Eingaben'!$C$10,1,0))</f>
        <v/>
      </c>
      <c r="I1665" s="27">
        <f>IF(OR(G1665="",G1666=""),"",(G1665+G1666)/2*(B1666-B1665))</f>
        <v/>
      </c>
      <c r="J1665" s="27">
        <f>IF(B1665="","",IF(B1664&lt;'02_Eingaben'!$C$36,0,J1664+I1664/'02_Eingaben'!$C$8))</f>
        <v/>
      </c>
    </row>
    <row r="1666">
      <c r="A1666">
        <f>IF('01_Rohdaten'!A1666="","",ROW()-1)</f>
        <v/>
      </c>
      <c r="B1666" s="27">
        <f>IF('01_Rohdaten'!A1666="","",'01_Rohdaten'!A1666)</f>
        <v/>
      </c>
      <c r="C1666" s="27">
        <f>IF(B1666="","",INDEX('01_Rohdaten'!B1666:D1666,'02_Eingaben'!$C$13))</f>
        <v/>
      </c>
      <c r="D1666" s="27">
        <f>IF(C1666="","",C1666*'02_Eingaben'!$C$15)</f>
        <v/>
      </c>
      <c r="E1666" s="27">
        <f>IF(D1666="","",D1666*'02_Eingaben'!$C$8)</f>
        <v/>
      </c>
      <c r="F1666" s="27">
        <f>IF(E1666="","",AVERAGE(INDEX($E$2:$E$3001,MAX(1,ROW()-1-'02_Eingaben'!$C$17)):INDEX($E$2:$E$3001,MIN('02_Eingaben'!$C$21,ROW()-1+'02_Eingaben'!$C$17))))</f>
        <v/>
      </c>
      <c r="G1666" s="27">
        <f>IF(F1666="","",F1666-'02_Eingaben'!$C$10)</f>
        <v/>
      </c>
      <c r="H1666">
        <f>IF(F1666="","",IF(F1666&lt;'02_Eingaben'!$C$18*'02_Eingaben'!$C$10,1,0))</f>
        <v/>
      </c>
      <c r="I1666" s="27">
        <f>IF(OR(G1666="",G1667=""),"",(G1666+G1667)/2*(B1667-B1666))</f>
        <v/>
      </c>
      <c r="J1666" s="27">
        <f>IF(B1666="","",IF(B1665&lt;'02_Eingaben'!$C$36,0,J1665+I1665/'02_Eingaben'!$C$8))</f>
        <v/>
      </c>
    </row>
    <row r="1667">
      <c r="A1667">
        <f>IF('01_Rohdaten'!A1667="","",ROW()-1)</f>
        <v/>
      </c>
      <c r="B1667" s="27">
        <f>IF('01_Rohdaten'!A1667="","",'01_Rohdaten'!A1667)</f>
        <v/>
      </c>
      <c r="C1667" s="27">
        <f>IF(B1667="","",INDEX('01_Rohdaten'!B1667:D1667,'02_Eingaben'!$C$13))</f>
        <v/>
      </c>
      <c r="D1667" s="27">
        <f>IF(C1667="","",C1667*'02_Eingaben'!$C$15)</f>
        <v/>
      </c>
      <c r="E1667" s="27">
        <f>IF(D1667="","",D1667*'02_Eingaben'!$C$8)</f>
        <v/>
      </c>
      <c r="F1667" s="27">
        <f>IF(E1667="","",AVERAGE(INDEX($E$2:$E$3001,MAX(1,ROW()-1-'02_Eingaben'!$C$17)):INDEX($E$2:$E$3001,MIN('02_Eingaben'!$C$21,ROW()-1+'02_Eingaben'!$C$17))))</f>
        <v/>
      </c>
      <c r="G1667" s="27">
        <f>IF(F1667="","",F1667-'02_Eingaben'!$C$10)</f>
        <v/>
      </c>
      <c r="H1667">
        <f>IF(F1667="","",IF(F1667&lt;'02_Eingaben'!$C$18*'02_Eingaben'!$C$10,1,0))</f>
        <v/>
      </c>
      <c r="I1667" s="27">
        <f>IF(OR(G1667="",G1668=""),"",(G1667+G1668)/2*(B1668-B1667))</f>
        <v/>
      </c>
      <c r="J1667" s="27">
        <f>IF(B1667="","",IF(B1666&lt;'02_Eingaben'!$C$36,0,J1666+I1666/'02_Eingaben'!$C$8))</f>
        <v/>
      </c>
    </row>
    <row r="1668">
      <c r="A1668">
        <f>IF('01_Rohdaten'!A1668="","",ROW()-1)</f>
        <v/>
      </c>
      <c r="B1668" s="27">
        <f>IF('01_Rohdaten'!A1668="","",'01_Rohdaten'!A1668)</f>
        <v/>
      </c>
      <c r="C1668" s="27">
        <f>IF(B1668="","",INDEX('01_Rohdaten'!B1668:D1668,'02_Eingaben'!$C$13))</f>
        <v/>
      </c>
      <c r="D1668" s="27">
        <f>IF(C1668="","",C1668*'02_Eingaben'!$C$15)</f>
        <v/>
      </c>
      <c r="E1668" s="27">
        <f>IF(D1668="","",D1668*'02_Eingaben'!$C$8)</f>
        <v/>
      </c>
      <c r="F1668" s="27">
        <f>IF(E1668="","",AVERAGE(INDEX($E$2:$E$3001,MAX(1,ROW()-1-'02_Eingaben'!$C$17)):INDEX($E$2:$E$3001,MIN('02_Eingaben'!$C$21,ROW()-1+'02_Eingaben'!$C$17))))</f>
        <v/>
      </c>
      <c r="G1668" s="27">
        <f>IF(F1668="","",F1668-'02_Eingaben'!$C$10)</f>
        <v/>
      </c>
      <c r="H1668">
        <f>IF(F1668="","",IF(F1668&lt;'02_Eingaben'!$C$18*'02_Eingaben'!$C$10,1,0))</f>
        <v/>
      </c>
      <c r="I1668" s="27">
        <f>IF(OR(G1668="",G1669=""),"",(G1668+G1669)/2*(B1669-B1668))</f>
        <v/>
      </c>
      <c r="J1668" s="27">
        <f>IF(B1668="","",IF(B1667&lt;'02_Eingaben'!$C$36,0,J1667+I1667/'02_Eingaben'!$C$8))</f>
        <v/>
      </c>
    </row>
    <row r="1669">
      <c r="A1669">
        <f>IF('01_Rohdaten'!A1669="","",ROW()-1)</f>
        <v/>
      </c>
      <c r="B1669" s="27">
        <f>IF('01_Rohdaten'!A1669="","",'01_Rohdaten'!A1669)</f>
        <v/>
      </c>
      <c r="C1669" s="27">
        <f>IF(B1669="","",INDEX('01_Rohdaten'!B1669:D1669,'02_Eingaben'!$C$13))</f>
        <v/>
      </c>
      <c r="D1669" s="27">
        <f>IF(C1669="","",C1669*'02_Eingaben'!$C$15)</f>
        <v/>
      </c>
      <c r="E1669" s="27">
        <f>IF(D1669="","",D1669*'02_Eingaben'!$C$8)</f>
        <v/>
      </c>
      <c r="F1669" s="27">
        <f>IF(E1669="","",AVERAGE(INDEX($E$2:$E$3001,MAX(1,ROW()-1-'02_Eingaben'!$C$17)):INDEX($E$2:$E$3001,MIN('02_Eingaben'!$C$21,ROW()-1+'02_Eingaben'!$C$17))))</f>
        <v/>
      </c>
      <c r="G1669" s="27">
        <f>IF(F1669="","",F1669-'02_Eingaben'!$C$10)</f>
        <v/>
      </c>
      <c r="H1669">
        <f>IF(F1669="","",IF(F1669&lt;'02_Eingaben'!$C$18*'02_Eingaben'!$C$10,1,0))</f>
        <v/>
      </c>
      <c r="I1669" s="27">
        <f>IF(OR(G1669="",G1670=""),"",(G1669+G1670)/2*(B1670-B1669))</f>
        <v/>
      </c>
      <c r="J1669" s="27">
        <f>IF(B1669="","",IF(B1668&lt;'02_Eingaben'!$C$36,0,J1668+I1668/'02_Eingaben'!$C$8))</f>
        <v/>
      </c>
    </row>
    <row r="1670">
      <c r="A1670">
        <f>IF('01_Rohdaten'!A1670="","",ROW()-1)</f>
        <v/>
      </c>
      <c r="B1670" s="27">
        <f>IF('01_Rohdaten'!A1670="","",'01_Rohdaten'!A1670)</f>
        <v/>
      </c>
      <c r="C1670" s="27">
        <f>IF(B1670="","",INDEX('01_Rohdaten'!B1670:D1670,'02_Eingaben'!$C$13))</f>
        <v/>
      </c>
      <c r="D1670" s="27">
        <f>IF(C1670="","",C1670*'02_Eingaben'!$C$15)</f>
        <v/>
      </c>
      <c r="E1670" s="27">
        <f>IF(D1670="","",D1670*'02_Eingaben'!$C$8)</f>
        <v/>
      </c>
      <c r="F1670" s="27">
        <f>IF(E1670="","",AVERAGE(INDEX($E$2:$E$3001,MAX(1,ROW()-1-'02_Eingaben'!$C$17)):INDEX($E$2:$E$3001,MIN('02_Eingaben'!$C$21,ROW()-1+'02_Eingaben'!$C$17))))</f>
        <v/>
      </c>
      <c r="G1670" s="27">
        <f>IF(F1670="","",F1670-'02_Eingaben'!$C$10)</f>
        <v/>
      </c>
      <c r="H1670">
        <f>IF(F1670="","",IF(F1670&lt;'02_Eingaben'!$C$18*'02_Eingaben'!$C$10,1,0))</f>
        <v/>
      </c>
      <c r="I1670" s="27">
        <f>IF(OR(G1670="",G1671=""),"",(G1670+G1671)/2*(B1671-B1670))</f>
        <v/>
      </c>
      <c r="J1670" s="27">
        <f>IF(B1670="","",IF(B1669&lt;'02_Eingaben'!$C$36,0,J1669+I1669/'02_Eingaben'!$C$8))</f>
        <v/>
      </c>
    </row>
    <row r="1671">
      <c r="A1671">
        <f>IF('01_Rohdaten'!A1671="","",ROW()-1)</f>
        <v/>
      </c>
      <c r="B1671" s="27">
        <f>IF('01_Rohdaten'!A1671="","",'01_Rohdaten'!A1671)</f>
        <v/>
      </c>
      <c r="C1671" s="27">
        <f>IF(B1671="","",INDEX('01_Rohdaten'!B1671:D1671,'02_Eingaben'!$C$13))</f>
        <v/>
      </c>
      <c r="D1671" s="27">
        <f>IF(C1671="","",C1671*'02_Eingaben'!$C$15)</f>
        <v/>
      </c>
      <c r="E1671" s="27">
        <f>IF(D1671="","",D1671*'02_Eingaben'!$C$8)</f>
        <v/>
      </c>
      <c r="F1671" s="27">
        <f>IF(E1671="","",AVERAGE(INDEX($E$2:$E$3001,MAX(1,ROW()-1-'02_Eingaben'!$C$17)):INDEX($E$2:$E$3001,MIN('02_Eingaben'!$C$21,ROW()-1+'02_Eingaben'!$C$17))))</f>
        <v/>
      </c>
      <c r="G1671" s="27">
        <f>IF(F1671="","",F1671-'02_Eingaben'!$C$10)</f>
        <v/>
      </c>
      <c r="H1671">
        <f>IF(F1671="","",IF(F1671&lt;'02_Eingaben'!$C$18*'02_Eingaben'!$C$10,1,0))</f>
        <v/>
      </c>
      <c r="I1671" s="27">
        <f>IF(OR(G1671="",G1672=""),"",(G1671+G1672)/2*(B1672-B1671))</f>
        <v/>
      </c>
      <c r="J1671" s="27">
        <f>IF(B1671="","",IF(B1670&lt;'02_Eingaben'!$C$36,0,J1670+I1670/'02_Eingaben'!$C$8))</f>
        <v/>
      </c>
    </row>
    <row r="1672">
      <c r="A1672">
        <f>IF('01_Rohdaten'!A1672="","",ROW()-1)</f>
        <v/>
      </c>
      <c r="B1672" s="27">
        <f>IF('01_Rohdaten'!A1672="","",'01_Rohdaten'!A1672)</f>
        <v/>
      </c>
      <c r="C1672" s="27">
        <f>IF(B1672="","",INDEX('01_Rohdaten'!B1672:D1672,'02_Eingaben'!$C$13))</f>
        <v/>
      </c>
      <c r="D1672" s="27">
        <f>IF(C1672="","",C1672*'02_Eingaben'!$C$15)</f>
        <v/>
      </c>
      <c r="E1672" s="27">
        <f>IF(D1672="","",D1672*'02_Eingaben'!$C$8)</f>
        <v/>
      </c>
      <c r="F1672" s="27">
        <f>IF(E1672="","",AVERAGE(INDEX($E$2:$E$3001,MAX(1,ROW()-1-'02_Eingaben'!$C$17)):INDEX($E$2:$E$3001,MIN('02_Eingaben'!$C$21,ROW()-1+'02_Eingaben'!$C$17))))</f>
        <v/>
      </c>
      <c r="G1672" s="27">
        <f>IF(F1672="","",F1672-'02_Eingaben'!$C$10)</f>
        <v/>
      </c>
      <c r="H1672">
        <f>IF(F1672="","",IF(F1672&lt;'02_Eingaben'!$C$18*'02_Eingaben'!$C$10,1,0))</f>
        <v/>
      </c>
      <c r="I1672" s="27">
        <f>IF(OR(G1672="",G1673=""),"",(G1672+G1673)/2*(B1673-B1672))</f>
        <v/>
      </c>
      <c r="J1672" s="27">
        <f>IF(B1672="","",IF(B1671&lt;'02_Eingaben'!$C$36,0,J1671+I1671/'02_Eingaben'!$C$8))</f>
        <v/>
      </c>
    </row>
    <row r="1673">
      <c r="A1673">
        <f>IF('01_Rohdaten'!A1673="","",ROW()-1)</f>
        <v/>
      </c>
      <c r="B1673" s="27">
        <f>IF('01_Rohdaten'!A1673="","",'01_Rohdaten'!A1673)</f>
        <v/>
      </c>
      <c r="C1673" s="27">
        <f>IF(B1673="","",INDEX('01_Rohdaten'!B1673:D1673,'02_Eingaben'!$C$13))</f>
        <v/>
      </c>
      <c r="D1673" s="27">
        <f>IF(C1673="","",C1673*'02_Eingaben'!$C$15)</f>
        <v/>
      </c>
      <c r="E1673" s="27">
        <f>IF(D1673="","",D1673*'02_Eingaben'!$C$8)</f>
        <v/>
      </c>
      <c r="F1673" s="27">
        <f>IF(E1673="","",AVERAGE(INDEX($E$2:$E$3001,MAX(1,ROW()-1-'02_Eingaben'!$C$17)):INDEX($E$2:$E$3001,MIN('02_Eingaben'!$C$21,ROW()-1+'02_Eingaben'!$C$17))))</f>
        <v/>
      </c>
      <c r="G1673" s="27">
        <f>IF(F1673="","",F1673-'02_Eingaben'!$C$10)</f>
        <v/>
      </c>
      <c r="H1673">
        <f>IF(F1673="","",IF(F1673&lt;'02_Eingaben'!$C$18*'02_Eingaben'!$C$10,1,0))</f>
        <v/>
      </c>
      <c r="I1673" s="27">
        <f>IF(OR(G1673="",G1674=""),"",(G1673+G1674)/2*(B1674-B1673))</f>
        <v/>
      </c>
      <c r="J1673" s="27">
        <f>IF(B1673="","",IF(B1672&lt;'02_Eingaben'!$C$36,0,J1672+I1672/'02_Eingaben'!$C$8))</f>
        <v/>
      </c>
    </row>
    <row r="1674">
      <c r="A1674">
        <f>IF('01_Rohdaten'!A1674="","",ROW()-1)</f>
        <v/>
      </c>
      <c r="B1674" s="27">
        <f>IF('01_Rohdaten'!A1674="","",'01_Rohdaten'!A1674)</f>
        <v/>
      </c>
      <c r="C1674" s="27">
        <f>IF(B1674="","",INDEX('01_Rohdaten'!B1674:D1674,'02_Eingaben'!$C$13))</f>
        <v/>
      </c>
      <c r="D1674" s="27">
        <f>IF(C1674="","",C1674*'02_Eingaben'!$C$15)</f>
        <v/>
      </c>
      <c r="E1674" s="27">
        <f>IF(D1674="","",D1674*'02_Eingaben'!$C$8)</f>
        <v/>
      </c>
      <c r="F1674" s="27">
        <f>IF(E1674="","",AVERAGE(INDEX($E$2:$E$3001,MAX(1,ROW()-1-'02_Eingaben'!$C$17)):INDEX($E$2:$E$3001,MIN('02_Eingaben'!$C$21,ROW()-1+'02_Eingaben'!$C$17))))</f>
        <v/>
      </c>
      <c r="G1674" s="27">
        <f>IF(F1674="","",F1674-'02_Eingaben'!$C$10)</f>
        <v/>
      </c>
      <c r="H1674">
        <f>IF(F1674="","",IF(F1674&lt;'02_Eingaben'!$C$18*'02_Eingaben'!$C$10,1,0))</f>
        <v/>
      </c>
      <c r="I1674" s="27">
        <f>IF(OR(G1674="",G1675=""),"",(G1674+G1675)/2*(B1675-B1674))</f>
        <v/>
      </c>
      <c r="J1674" s="27">
        <f>IF(B1674="","",IF(B1673&lt;'02_Eingaben'!$C$36,0,J1673+I1673/'02_Eingaben'!$C$8))</f>
        <v/>
      </c>
    </row>
    <row r="1675">
      <c r="A1675">
        <f>IF('01_Rohdaten'!A1675="","",ROW()-1)</f>
        <v/>
      </c>
      <c r="B1675" s="27">
        <f>IF('01_Rohdaten'!A1675="","",'01_Rohdaten'!A1675)</f>
        <v/>
      </c>
      <c r="C1675" s="27">
        <f>IF(B1675="","",INDEX('01_Rohdaten'!B1675:D1675,'02_Eingaben'!$C$13))</f>
        <v/>
      </c>
      <c r="D1675" s="27">
        <f>IF(C1675="","",C1675*'02_Eingaben'!$C$15)</f>
        <v/>
      </c>
      <c r="E1675" s="27">
        <f>IF(D1675="","",D1675*'02_Eingaben'!$C$8)</f>
        <v/>
      </c>
      <c r="F1675" s="27">
        <f>IF(E1675="","",AVERAGE(INDEX($E$2:$E$3001,MAX(1,ROW()-1-'02_Eingaben'!$C$17)):INDEX($E$2:$E$3001,MIN('02_Eingaben'!$C$21,ROW()-1+'02_Eingaben'!$C$17))))</f>
        <v/>
      </c>
      <c r="G1675" s="27">
        <f>IF(F1675="","",F1675-'02_Eingaben'!$C$10)</f>
        <v/>
      </c>
      <c r="H1675">
        <f>IF(F1675="","",IF(F1675&lt;'02_Eingaben'!$C$18*'02_Eingaben'!$C$10,1,0))</f>
        <v/>
      </c>
      <c r="I1675" s="27">
        <f>IF(OR(G1675="",G1676=""),"",(G1675+G1676)/2*(B1676-B1675))</f>
        <v/>
      </c>
      <c r="J1675" s="27">
        <f>IF(B1675="","",IF(B1674&lt;'02_Eingaben'!$C$36,0,J1674+I1674/'02_Eingaben'!$C$8))</f>
        <v/>
      </c>
    </row>
    <row r="1676">
      <c r="A1676">
        <f>IF('01_Rohdaten'!A1676="","",ROW()-1)</f>
        <v/>
      </c>
      <c r="B1676" s="27">
        <f>IF('01_Rohdaten'!A1676="","",'01_Rohdaten'!A1676)</f>
        <v/>
      </c>
      <c r="C1676" s="27">
        <f>IF(B1676="","",INDEX('01_Rohdaten'!B1676:D1676,'02_Eingaben'!$C$13))</f>
        <v/>
      </c>
      <c r="D1676" s="27">
        <f>IF(C1676="","",C1676*'02_Eingaben'!$C$15)</f>
        <v/>
      </c>
      <c r="E1676" s="27">
        <f>IF(D1676="","",D1676*'02_Eingaben'!$C$8)</f>
        <v/>
      </c>
      <c r="F1676" s="27">
        <f>IF(E1676="","",AVERAGE(INDEX($E$2:$E$3001,MAX(1,ROW()-1-'02_Eingaben'!$C$17)):INDEX($E$2:$E$3001,MIN('02_Eingaben'!$C$21,ROW()-1+'02_Eingaben'!$C$17))))</f>
        <v/>
      </c>
      <c r="G1676" s="27">
        <f>IF(F1676="","",F1676-'02_Eingaben'!$C$10)</f>
        <v/>
      </c>
      <c r="H1676">
        <f>IF(F1676="","",IF(F1676&lt;'02_Eingaben'!$C$18*'02_Eingaben'!$C$10,1,0))</f>
        <v/>
      </c>
      <c r="I1676" s="27">
        <f>IF(OR(G1676="",G1677=""),"",(G1676+G1677)/2*(B1677-B1676))</f>
        <v/>
      </c>
      <c r="J1676" s="27">
        <f>IF(B1676="","",IF(B1675&lt;'02_Eingaben'!$C$36,0,J1675+I1675/'02_Eingaben'!$C$8))</f>
        <v/>
      </c>
    </row>
    <row r="1677">
      <c r="A1677">
        <f>IF('01_Rohdaten'!A1677="","",ROW()-1)</f>
        <v/>
      </c>
      <c r="B1677" s="27">
        <f>IF('01_Rohdaten'!A1677="","",'01_Rohdaten'!A1677)</f>
        <v/>
      </c>
      <c r="C1677" s="27">
        <f>IF(B1677="","",INDEX('01_Rohdaten'!B1677:D1677,'02_Eingaben'!$C$13))</f>
        <v/>
      </c>
      <c r="D1677" s="27">
        <f>IF(C1677="","",C1677*'02_Eingaben'!$C$15)</f>
        <v/>
      </c>
      <c r="E1677" s="27">
        <f>IF(D1677="","",D1677*'02_Eingaben'!$C$8)</f>
        <v/>
      </c>
      <c r="F1677" s="27">
        <f>IF(E1677="","",AVERAGE(INDEX($E$2:$E$3001,MAX(1,ROW()-1-'02_Eingaben'!$C$17)):INDEX($E$2:$E$3001,MIN('02_Eingaben'!$C$21,ROW()-1+'02_Eingaben'!$C$17))))</f>
        <v/>
      </c>
      <c r="G1677" s="27">
        <f>IF(F1677="","",F1677-'02_Eingaben'!$C$10)</f>
        <v/>
      </c>
      <c r="H1677">
        <f>IF(F1677="","",IF(F1677&lt;'02_Eingaben'!$C$18*'02_Eingaben'!$C$10,1,0))</f>
        <v/>
      </c>
      <c r="I1677" s="27">
        <f>IF(OR(G1677="",G1678=""),"",(G1677+G1678)/2*(B1678-B1677))</f>
        <v/>
      </c>
      <c r="J1677" s="27">
        <f>IF(B1677="","",IF(B1676&lt;'02_Eingaben'!$C$36,0,J1676+I1676/'02_Eingaben'!$C$8))</f>
        <v/>
      </c>
    </row>
    <row r="1678">
      <c r="A1678">
        <f>IF('01_Rohdaten'!A1678="","",ROW()-1)</f>
        <v/>
      </c>
      <c r="B1678" s="27">
        <f>IF('01_Rohdaten'!A1678="","",'01_Rohdaten'!A1678)</f>
        <v/>
      </c>
      <c r="C1678" s="27">
        <f>IF(B1678="","",INDEX('01_Rohdaten'!B1678:D1678,'02_Eingaben'!$C$13))</f>
        <v/>
      </c>
      <c r="D1678" s="27">
        <f>IF(C1678="","",C1678*'02_Eingaben'!$C$15)</f>
        <v/>
      </c>
      <c r="E1678" s="27">
        <f>IF(D1678="","",D1678*'02_Eingaben'!$C$8)</f>
        <v/>
      </c>
      <c r="F1678" s="27">
        <f>IF(E1678="","",AVERAGE(INDEX($E$2:$E$3001,MAX(1,ROW()-1-'02_Eingaben'!$C$17)):INDEX($E$2:$E$3001,MIN('02_Eingaben'!$C$21,ROW()-1+'02_Eingaben'!$C$17))))</f>
        <v/>
      </c>
      <c r="G1678" s="27">
        <f>IF(F1678="","",F1678-'02_Eingaben'!$C$10)</f>
        <v/>
      </c>
      <c r="H1678">
        <f>IF(F1678="","",IF(F1678&lt;'02_Eingaben'!$C$18*'02_Eingaben'!$C$10,1,0))</f>
        <v/>
      </c>
      <c r="I1678" s="27">
        <f>IF(OR(G1678="",G1679=""),"",(G1678+G1679)/2*(B1679-B1678))</f>
        <v/>
      </c>
      <c r="J1678" s="27">
        <f>IF(B1678="","",IF(B1677&lt;'02_Eingaben'!$C$36,0,J1677+I1677/'02_Eingaben'!$C$8))</f>
        <v/>
      </c>
    </row>
    <row r="1679">
      <c r="A1679">
        <f>IF('01_Rohdaten'!A1679="","",ROW()-1)</f>
        <v/>
      </c>
      <c r="B1679" s="27">
        <f>IF('01_Rohdaten'!A1679="","",'01_Rohdaten'!A1679)</f>
        <v/>
      </c>
      <c r="C1679" s="27">
        <f>IF(B1679="","",INDEX('01_Rohdaten'!B1679:D1679,'02_Eingaben'!$C$13))</f>
        <v/>
      </c>
      <c r="D1679" s="27">
        <f>IF(C1679="","",C1679*'02_Eingaben'!$C$15)</f>
        <v/>
      </c>
      <c r="E1679" s="27">
        <f>IF(D1679="","",D1679*'02_Eingaben'!$C$8)</f>
        <v/>
      </c>
      <c r="F1679" s="27">
        <f>IF(E1679="","",AVERAGE(INDEX($E$2:$E$3001,MAX(1,ROW()-1-'02_Eingaben'!$C$17)):INDEX($E$2:$E$3001,MIN('02_Eingaben'!$C$21,ROW()-1+'02_Eingaben'!$C$17))))</f>
        <v/>
      </c>
      <c r="G1679" s="27">
        <f>IF(F1679="","",F1679-'02_Eingaben'!$C$10)</f>
        <v/>
      </c>
      <c r="H1679">
        <f>IF(F1679="","",IF(F1679&lt;'02_Eingaben'!$C$18*'02_Eingaben'!$C$10,1,0))</f>
        <v/>
      </c>
      <c r="I1679" s="27">
        <f>IF(OR(G1679="",G1680=""),"",(G1679+G1680)/2*(B1680-B1679))</f>
        <v/>
      </c>
      <c r="J1679" s="27">
        <f>IF(B1679="","",IF(B1678&lt;'02_Eingaben'!$C$36,0,J1678+I1678/'02_Eingaben'!$C$8))</f>
        <v/>
      </c>
    </row>
    <row r="1680">
      <c r="A1680">
        <f>IF('01_Rohdaten'!A1680="","",ROW()-1)</f>
        <v/>
      </c>
      <c r="B1680" s="27">
        <f>IF('01_Rohdaten'!A1680="","",'01_Rohdaten'!A1680)</f>
        <v/>
      </c>
      <c r="C1680" s="27">
        <f>IF(B1680="","",INDEX('01_Rohdaten'!B1680:D1680,'02_Eingaben'!$C$13))</f>
        <v/>
      </c>
      <c r="D1680" s="27">
        <f>IF(C1680="","",C1680*'02_Eingaben'!$C$15)</f>
        <v/>
      </c>
      <c r="E1680" s="27">
        <f>IF(D1680="","",D1680*'02_Eingaben'!$C$8)</f>
        <v/>
      </c>
      <c r="F1680" s="27">
        <f>IF(E1680="","",AVERAGE(INDEX($E$2:$E$3001,MAX(1,ROW()-1-'02_Eingaben'!$C$17)):INDEX($E$2:$E$3001,MIN('02_Eingaben'!$C$21,ROW()-1+'02_Eingaben'!$C$17))))</f>
        <v/>
      </c>
      <c r="G1680" s="27">
        <f>IF(F1680="","",F1680-'02_Eingaben'!$C$10)</f>
        <v/>
      </c>
      <c r="H1680">
        <f>IF(F1680="","",IF(F1680&lt;'02_Eingaben'!$C$18*'02_Eingaben'!$C$10,1,0))</f>
        <v/>
      </c>
      <c r="I1680" s="27">
        <f>IF(OR(G1680="",G1681=""),"",(G1680+G1681)/2*(B1681-B1680))</f>
        <v/>
      </c>
      <c r="J1680" s="27">
        <f>IF(B1680="","",IF(B1679&lt;'02_Eingaben'!$C$36,0,J1679+I1679/'02_Eingaben'!$C$8))</f>
        <v/>
      </c>
    </row>
    <row r="1681">
      <c r="A1681">
        <f>IF('01_Rohdaten'!A1681="","",ROW()-1)</f>
        <v/>
      </c>
      <c r="B1681" s="27">
        <f>IF('01_Rohdaten'!A1681="","",'01_Rohdaten'!A1681)</f>
        <v/>
      </c>
      <c r="C1681" s="27">
        <f>IF(B1681="","",INDEX('01_Rohdaten'!B1681:D1681,'02_Eingaben'!$C$13))</f>
        <v/>
      </c>
      <c r="D1681" s="27">
        <f>IF(C1681="","",C1681*'02_Eingaben'!$C$15)</f>
        <v/>
      </c>
      <c r="E1681" s="27">
        <f>IF(D1681="","",D1681*'02_Eingaben'!$C$8)</f>
        <v/>
      </c>
      <c r="F1681" s="27">
        <f>IF(E1681="","",AVERAGE(INDEX($E$2:$E$3001,MAX(1,ROW()-1-'02_Eingaben'!$C$17)):INDEX($E$2:$E$3001,MIN('02_Eingaben'!$C$21,ROW()-1+'02_Eingaben'!$C$17))))</f>
        <v/>
      </c>
      <c r="G1681" s="27">
        <f>IF(F1681="","",F1681-'02_Eingaben'!$C$10)</f>
        <v/>
      </c>
      <c r="H1681">
        <f>IF(F1681="","",IF(F1681&lt;'02_Eingaben'!$C$18*'02_Eingaben'!$C$10,1,0))</f>
        <v/>
      </c>
      <c r="I1681" s="27">
        <f>IF(OR(G1681="",G1682=""),"",(G1681+G1682)/2*(B1682-B1681))</f>
        <v/>
      </c>
      <c r="J1681" s="27">
        <f>IF(B1681="","",IF(B1680&lt;'02_Eingaben'!$C$36,0,J1680+I1680/'02_Eingaben'!$C$8))</f>
        <v/>
      </c>
    </row>
    <row r="1682">
      <c r="A1682">
        <f>IF('01_Rohdaten'!A1682="","",ROW()-1)</f>
        <v/>
      </c>
      <c r="B1682" s="27">
        <f>IF('01_Rohdaten'!A1682="","",'01_Rohdaten'!A1682)</f>
        <v/>
      </c>
      <c r="C1682" s="27">
        <f>IF(B1682="","",INDEX('01_Rohdaten'!B1682:D1682,'02_Eingaben'!$C$13))</f>
        <v/>
      </c>
      <c r="D1682" s="27">
        <f>IF(C1682="","",C1682*'02_Eingaben'!$C$15)</f>
        <v/>
      </c>
      <c r="E1682" s="27">
        <f>IF(D1682="","",D1682*'02_Eingaben'!$C$8)</f>
        <v/>
      </c>
      <c r="F1682" s="27">
        <f>IF(E1682="","",AVERAGE(INDEX($E$2:$E$3001,MAX(1,ROW()-1-'02_Eingaben'!$C$17)):INDEX($E$2:$E$3001,MIN('02_Eingaben'!$C$21,ROW()-1+'02_Eingaben'!$C$17))))</f>
        <v/>
      </c>
      <c r="G1682" s="27">
        <f>IF(F1682="","",F1682-'02_Eingaben'!$C$10)</f>
        <v/>
      </c>
      <c r="H1682">
        <f>IF(F1682="","",IF(F1682&lt;'02_Eingaben'!$C$18*'02_Eingaben'!$C$10,1,0))</f>
        <v/>
      </c>
      <c r="I1682" s="27">
        <f>IF(OR(G1682="",G1683=""),"",(G1682+G1683)/2*(B1683-B1682))</f>
        <v/>
      </c>
      <c r="J1682" s="27">
        <f>IF(B1682="","",IF(B1681&lt;'02_Eingaben'!$C$36,0,J1681+I1681/'02_Eingaben'!$C$8))</f>
        <v/>
      </c>
    </row>
    <row r="1683">
      <c r="A1683">
        <f>IF('01_Rohdaten'!A1683="","",ROW()-1)</f>
        <v/>
      </c>
      <c r="B1683" s="27">
        <f>IF('01_Rohdaten'!A1683="","",'01_Rohdaten'!A1683)</f>
        <v/>
      </c>
      <c r="C1683" s="27">
        <f>IF(B1683="","",INDEX('01_Rohdaten'!B1683:D1683,'02_Eingaben'!$C$13))</f>
        <v/>
      </c>
      <c r="D1683" s="27">
        <f>IF(C1683="","",C1683*'02_Eingaben'!$C$15)</f>
        <v/>
      </c>
      <c r="E1683" s="27">
        <f>IF(D1683="","",D1683*'02_Eingaben'!$C$8)</f>
        <v/>
      </c>
      <c r="F1683" s="27">
        <f>IF(E1683="","",AVERAGE(INDEX($E$2:$E$3001,MAX(1,ROW()-1-'02_Eingaben'!$C$17)):INDEX($E$2:$E$3001,MIN('02_Eingaben'!$C$21,ROW()-1+'02_Eingaben'!$C$17))))</f>
        <v/>
      </c>
      <c r="G1683" s="27">
        <f>IF(F1683="","",F1683-'02_Eingaben'!$C$10)</f>
        <v/>
      </c>
      <c r="H1683">
        <f>IF(F1683="","",IF(F1683&lt;'02_Eingaben'!$C$18*'02_Eingaben'!$C$10,1,0))</f>
        <v/>
      </c>
      <c r="I1683" s="27">
        <f>IF(OR(G1683="",G1684=""),"",(G1683+G1684)/2*(B1684-B1683))</f>
        <v/>
      </c>
      <c r="J1683" s="27">
        <f>IF(B1683="","",IF(B1682&lt;'02_Eingaben'!$C$36,0,J1682+I1682/'02_Eingaben'!$C$8))</f>
        <v/>
      </c>
    </row>
    <row r="1684">
      <c r="A1684">
        <f>IF('01_Rohdaten'!A1684="","",ROW()-1)</f>
        <v/>
      </c>
      <c r="B1684" s="27">
        <f>IF('01_Rohdaten'!A1684="","",'01_Rohdaten'!A1684)</f>
        <v/>
      </c>
      <c r="C1684" s="27">
        <f>IF(B1684="","",INDEX('01_Rohdaten'!B1684:D1684,'02_Eingaben'!$C$13))</f>
        <v/>
      </c>
      <c r="D1684" s="27">
        <f>IF(C1684="","",C1684*'02_Eingaben'!$C$15)</f>
        <v/>
      </c>
      <c r="E1684" s="27">
        <f>IF(D1684="","",D1684*'02_Eingaben'!$C$8)</f>
        <v/>
      </c>
      <c r="F1684" s="27">
        <f>IF(E1684="","",AVERAGE(INDEX($E$2:$E$3001,MAX(1,ROW()-1-'02_Eingaben'!$C$17)):INDEX($E$2:$E$3001,MIN('02_Eingaben'!$C$21,ROW()-1+'02_Eingaben'!$C$17))))</f>
        <v/>
      </c>
      <c r="G1684" s="27">
        <f>IF(F1684="","",F1684-'02_Eingaben'!$C$10)</f>
        <v/>
      </c>
      <c r="H1684">
        <f>IF(F1684="","",IF(F1684&lt;'02_Eingaben'!$C$18*'02_Eingaben'!$C$10,1,0))</f>
        <v/>
      </c>
      <c r="I1684" s="27">
        <f>IF(OR(G1684="",G1685=""),"",(G1684+G1685)/2*(B1685-B1684))</f>
        <v/>
      </c>
      <c r="J1684" s="27">
        <f>IF(B1684="","",IF(B1683&lt;'02_Eingaben'!$C$36,0,J1683+I1683/'02_Eingaben'!$C$8))</f>
        <v/>
      </c>
    </row>
    <row r="1685">
      <c r="A1685">
        <f>IF('01_Rohdaten'!A1685="","",ROW()-1)</f>
        <v/>
      </c>
      <c r="B1685" s="27">
        <f>IF('01_Rohdaten'!A1685="","",'01_Rohdaten'!A1685)</f>
        <v/>
      </c>
      <c r="C1685" s="27">
        <f>IF(B1685="","",INDEX('01_Rohdaten'!B1685:D1685,'02_Eingaben'!$C$13))</f>
        <v/>
      </c>
      <c r="D1685" s="27">
        <f>IF(C1685="","",C1685*'02_Eingaben'!$C$15)</f>
        <v/>
      </c>
      <c r="E1685" s="27">
        <f>IF(D1685="","",D1685*'02_Eingaben'!$C$8)</f>
        <v/>
      </c>
      <c r="F1685" s="27">
        <f>IF(E1685="","",AVERAGE(INDEX($E$2:$E$3001,MAX(1,ROW()-1-'02_Eingaben'!$C$17)):INDEX($E$2:$E$3001,MIN('02_Eingaben'!$C$21,ROW()-1+'02_Eingaben'!$C$17))))</f>
        <v/>
      </c>
      <c r="G1685" s="27">
        <f>IF(F1685="","",F1685-'02_Eingaben'!$C$10)</f>
        <v/>
      </c>
      <c r="H1685">
        <f>IF(F1685="","",IF(F1685&lt;'02_Eingaben'!$C$18*'02_Eingaben'!$C$10,1,0))</f>
        <v/>
      </c>
      <c r="I1685" s="27">
        <f>IF(OR(G1685="",G1686=""),"",(G1685+G1686)/2*(B1686-B1685))</f>
        <v/>
      </c>
      <c r="J1685" s="27">
        <f>IF(B1685="","",IF(B1684&lt;'02_Eingaben'!$C$36,0,J1684+I1684/'02_Eingaben'!$C$8))</f>
        <v/>
      </c>
    </row>
    <row r="1686">
      <c r="A1686">
        <f>IF('01_Rohdaten'!A1686="","",ROW()-1)</f>
        <v/>
      </c>
      <c r="B1686" s="27">
        <f>IF('01_Rohdaten'!A1686="","",'01_Rohdaten'!A1686)</f>
        <v/>
      </c>
      <c r="C1686" s="27">
        <f>IF(B1686="","",INDEX('01_Rohdaten'!B1686:D1686,'02_Eingaben'!$C$13))</f>
        <v/>
      </c>
      <c r="D1686" s="27">
        <f>IF(C1686="","",C1686*'02_Eingaben'!$C$15)</f>
        <v/>
      </c>
      <c r="E1686" s="27">
        <f>IF(D1686="","",D1686*'02_Eingaben'!$C$8)</f>
        <v/>
      </c>
      <c r="F1686" s="27">
        <f>IF(E1686="","",AVERAGE(INDEX($E$2:$E$3001,MAX(1,ROW()-1-'02_Eingaben'!$C$17)):INDEX($E$2:$E$3001,MIN('02_Eingaben'!$C$21,ROW()-1+'02_Eingaben'!$C$17))))</f>
        <v/>
      </c>
      <c r="G1686" s="27">
        <f>IF(F1686="","",F1686-'02_Eingaben'!$C$10)</f>
        <v/>
      </c>
      <c r="H1686">
        <f>IF(F1686="","",IF(F1686&lt;'02_Eingaben'!$C$18*'02_Eingaben'!$C$10,1,0))</f>
        <v/>
      </c>
      <c r="I1686" s="27">
        <f>IF(OR(G1686="",G1687=""),"",(G1686+G1687)/2*(B1687-B1686))</f>
        <v/>
      </c>
      <c r="J1686" s="27">
        <f>IF(B1686="","",IF(B1685&lt;'02_Eingaben'!$C$36,0,J1685+I1685/'02_Eingaben'!$C$8))</f>
        <v/>
      </c>
    </row>
    <row r="1687">
      <c r="A1687">
        <f>IF('01_Rohdaten'!A1687="","",ROW()-1)</f>
        <v/>
      </c>
      <c r="B1687" s="27">
        <f>IF('01_Rohdaten'!A1687="","",'01_Rohdaten'!A1687)</f>
        <v/>
      </c>
      <c r="C1687" s="27">
        <f>IF(B1687="","",INDEX('01_Rohdaten'!B1687:D1687,'02_Eingaben'!$C$13))</f>
        <v/>
      </c>
      <c r="D1687" s="27">
        <f>IF(C1687="","",C1687*'02_Eingaben'!$C$15)</f>
        <v/>
      </c>
      <c r="E1687" s="27">
        <f>IF(D1687="","",D1687*'02_Eingaben'!$C$8)</f>
        <v/>
      </c>
      <c r="F1687" s="27">
        <f>IF(E1687="","",AVERAGE(INDEX($E$2:$E$3001,MAX(1,ROW()-1-'02_Eingaben'!$C$17)):INDEX($E$2:$E$3001,MIN('02_Eingaben'!$C$21,ROW()-1+'02_Eingaben'!$C$17))))</f>
        <v/>
      </c>
      <c r="G1687" s="27">
        <f>IF(F1687="","",F1687-'02_Eingaben'!$C$10)</f>
        <v/>
      </c>
      <c r="H1687">
        <f>IF(F1687="","",IF(F1687&lt;'02_Eingaben'!$C$18*'02_Eingaben'!$C$10,1,0))</f>
        <v/>
      </c>
      <c r="I1687" s="27">
        <f>IF(OR(G1687="",G1688=""),"",(G1687+G1688)/2*(B1688-B1687))</f>
        <v/>
      </c>
      <c r="J1687" s="27">
        <f>IF(B1687="","",IF(B1686&lt;'02_Eingaben'!$C$36,0,J1686+I1686/'02_Eingaben'!$C$8))</f>
        <v/>
      </c>
    </row>
    <row r="1688">
      <c r="A1688">
        <f>IF('01_Rohdaten'!A1688="","",ROW()-1)</f>
        <v/>
      </c>
      <c r="B1688" s="27">
        <f>IF('01_Rohdaten'!A1688="","",'01_Rohdaten'!A1688)</f>
        <v/>
      </c>
      <c r="C1688" s="27">
        <f>IF(B1688="","",INDEX('01_Rohdaten'!B1688:D1688,'02_Eingaben'!$C$13))</f>
        <v/>
      </c>
      <c r="D1688" s="27">
        <f>IF(C1688="","",C1688*'02_Eingaben'!$C$15)</f>
        <v/>
      </c>
      <c r="E1688" s="27">
        <f>IF(D1688="","",D1688*'02_Eingaben'!$C$8)</f>
        <v/>
      </c>
      <c r="F1688" s="27">
        <f>IF(E1688="","",AVERAGE(INDEX($E$2:$E$3001,MAX(1,ROW()-1-'02_Eingaben'!$C$17)):INDEX($E$2:$E$3001,MIN('02_Eingaben'!$C$21,ROW()-1+'02_Eingaben'!$C$17))))</f>
        <v/>
      </c>
      <c r="G1688" s="27">
        <f>IF(F1688="","",F1688-'02_Eingaben'!$C$10)</f>
        <v/>
      </c>
      <c r="H1688">
        <f>IF(F1688="","",IF(F1688&lt;'02_Eingaben'!$C$18*'02_Eingaben'!$C$10,1,0))</f>
        <v/>
      </c>
      <c r="I1688" s="27">
        <f>IF(OR(G1688="",G1689=""),"",(G1688+G1689)/2*(B1689-B1688))</f>
        <v/>
      </c>
      <c r="J1688" s="27">
        <f>IF(B1688="","",IF(B1687&lt;'02_Eingaben'!$C$36,0,J1687+I1687/'02_Eingaben'!$C$8))</f>
        <v/>
      </c>
    </row>
    <row r="1689">
      <c r="A1689">
        <f>IF('01_Rohdaten'!A1689="","",ROW()-1)</f>
        <v/>
      </c>
      <c r="B1689" s="27">
        <f>IF('01_Rohdaten'!A1689="","",'01_Rohdaten'!A1689)</f>
        <v/>
      </c>
      <c r="C1689" s="27">
        <f>IF(B1689="","",INDEX('01_Rohdaten'!B1689:D1689,'02_Eingaben'!$C$13))</f>
        <v/>
      </c>
      <c r="D1689" s="27">
        <f>IF(C1689="","",C1689*'02_Eingaben'!$C$15)</f>
        <v/>
      </c>
      <c r="E1689" s="27">
        <f>IF(D1689="","",D1689*'02_Eingaben'!$C$8)</f>
        <v/>
      </c>
      <c r="F1689" s="27">
        <f>IF(E1689="","",AVERAGE(INDEX($E$2:$E$3001,MAX(1,ROW()-1-'02_Eingaben'!$C$17)):INDEX($E$2:$E$3001,MIN('02_Eingaben'!$C$21,ROW()-1+'02_Eingaben'!$C$17))))</f>
        <v/>
      </c>
      <c r="G1689" s="27">
        <f>IF(F1689="","",F1689-'02_Eingaben'!$C$10)</f>
        <v/>
      </c>
      <c r="H1689">
        <f>IF(F1689="","",IF(F1689&lt;'02_Eingaben'!$C$18*'02_Eingaben'!$C$10,1,0))</f>
        <v/>
      </c>
      <c r="I1689" s="27">
        <f>IF(OR(G1689="",G1690=""),"",(G1689+G1690)/2*(B1690-B1689))</f>
        <v/>
      </c>
      <c r="J1689" s="27">
        <f>IF(B1689="","",IF(B1688&lt;'02_Eingaben'!$C$36,0,J1688+I1688/'02_Eingaben'!$C$8))</f>
        <v/>
      </c>
    </row>
    <row r="1690">
      <c r="A1690">
        <f>IF('01_Rohdaten'!A1690="","",ROW()-1)</f>
        <v/>
      </c>
      <c r="B1690" s="27">
        <f>IF('01_Rohdaten'!A1690="","",'01_Rohdaten'!A1690)</f>
        <v/>
      </c>
      <c r="C1690" s="27">
        <f>IF(B1690="","",INDEX('01_Rohdaten'!B1690:D1690,'02_Eingaben'!$C$13))</f>
        <v/>
      </c>
      <c r="D1690" s="27">
        <f>IF(C1690="","",C1690*'02_Eingaben'!$C$15)</f>
        <v/>
      </c>
      <c r="E1690" s="27">
        <f>IF(D1690="","",D1690*'02_Eingaben'!$C$8)</f>
        <v/>
      </c>
      <c r="F1690" s="27">
        <f>IF(E1690="","",AVERAGE(INDEX($E$2:$E$3001,MAX(1,ROW()-1-'02_Eingaben'!$C$17)):INDEX($E$2:$E$3001,MIN('02_Eingaben'!$C$21,ROW()-1+'02_Eingaben'!$C$17))))</f>
        <v/>
      </c>
      <c r="G1690" s="27">
        <f>IF(F1690="","",F1690-'02_Eingaben'!$C$10)</f>
        <v/>
      </c>
      <c r="H1690">
        <f>IF(F1690="","",IF(F1690&lt;'02_Eingaben'!$C$18*'02_Eingaben'!$C$10,1,0))</f>
        <v/>
      </c>
      <c r="I1690" s="27">
        <f>IF(OR(G1690="",G1691=""),"",(G1690+G1691)/2*(B1691-B1690))</f>
        <v/>
      </c>
      <c r="J1690" s="27">
        <f>IF(B1690="","",IF(B1689&lt;'02_Eingaben'!$C$36,0,J1689+I1689/'02_Eingaben'!$C$8))</f>
        <v/>
      </c>
    </row>
    <row r="1691">
      <c r="A1691">
        <f>IF('01_Rohdaten'!A1691="","",ROW()-1)</f>
        <v/>
      </c>
      <c r="B1691" s="27">
        <f>IF('01_Rohdaten'!A1691="","",'01_Rohdaten'!A1691)</f>
        <v/>
      </c>
      <c r="C1691" s="27">
        <f>IF(B1691="","",INDEX('01_Rohdaten'!B1691:D1691,'02_Eingaben'!$C$13))</f>
        <v/>
      </c>
      <c r="D1691" s="27">
        <f>IF(C1691="","",C1691*'02_Eingaben'!$C$15)</f>
        <v/>
      </c>
      <c r="E1691" s="27">
        <f>IF(D1691="","",D1691*'02_Eingaben'!$C$8)</f>
        <v/>
      </c>
      <c r="F1691" s="27">
        <f>IF(E1691="","",AVERAGE(INDEX($E$2:$E$3001,MAX(1,ROW()-1-'02_Eingaben'!$C$17)):INDEX($E$2:$E$3001,MIN('02_Eingaben'!$C$21,ROW()-1+'02_Eingaben'!$C$17))))</f>
        <v/>
      </c>
      <c r="G1691" s="27">
        <f>IF(F1691="","",F1691-'02_Eingaben'!$C$10)</f>
        <v/>
      </c>
      <c r="H1691">
        <f>IF(F1691="","",IF(F1691&lt;'02_Eingaben'!$C$18*'02_Eingaben'!$C$10,1,0))</f>
        <v/>
      </c>
      <c r="I1691" s="27">
        <f>IF(OR(G1691="",G1692=""),"",(G1691+G1692)/2*(B1692-B1691))</f>
        <v/>
      </c>
      <c r="J1691" s="27">
        <f>IF(B1691="","",IF(B1690&lt;'02_Eingaben'!$C$36,0,J1690+I1690/'02_Eingaben'!$C$8))</f>
        <v/>
      </c>
    </row>
    <row r="1692">
      <c r="A1692">
        <f>IF('01_Rohdaten'!A1692="","",ROW()-1)</f>
        <v/>
      </c>
      <c r="B1692" s="27">
        <f>IF('01_Rohdaten'!A1692="","",'01_Rohdaten'!A1692)</f>
        <v/>
      </c>
      <c r="C1692" s="27">
        <f>IF(B1692="","",INDEX('01_Rohdaten'!B1692:D1692,'02_Eingaben'!$C$13))</f>
        <v/>
      </c>
      <c r="D1692" s="27">
        <f>IF(C1692="","",C1692*'02_Eingaben'!$C$15)</f>
        <v/>
      </c>
      <c r="E1692" s="27">
        <f>IF(D1692="","",D1692*'02_Eingaben'!$C$8)</f>
        <v/>
      </c>
      <c r="F1692" s="27">
        <f>IF(E1692="","",AVERAGE(INDEX($E$2:$E$3001,MAX(1,ROW()-1-'02_Eingaben'!$C$17)):INDEX($E$2:$E$3001,MIN('02_Eingaben'!$C$21,ROW()-1+'02_Eingaben'!$C$17))))</f>
        <v/>
      </c>
      <c r="G1692" s="27">
        <f>IF(F1692="","",F1692-'02_Eingaben'!$C$10)</f>
        <v/>
      </c>
      <c r="H1692">
        <f>IF(F1692="","",IF(F1692&lt;'02_Eingaben'!$C$18*'02_Eingaben'!$C$10,1,0))</f>
        <v/>
      </c>
      <c r="I1692" s="27">
        <f>IF(OR(G1692="",G1693=""),"",(G1692+G1693)/2*(B1693-B1692))</f>
        <v/>
      </c>
      <c r="J1692" s="27">
        <f>IF(B1692="","",IF(B1691&lt;'02_Eingaben'!$C$36,0,J1691+I1691/'02_Eingaben'!$C$8))</f>
        <v/>
      </c>
    </row>
    <row r="1693">
      <c r="A1693">
        <f>IF('01_Rohdaten'!A1693="","",ROW()-1)</f>
        <v/>
      </c>
      <c r="B1693" s="27">
        <f>IF('01_Rohdaten'!A1693="","",'01_Rohdaten'!A1693)</f>
        <v/>
      </c>
      <c r="C1693" s="27">
        <f>IF(B1693="","",INDEX('01_Rohdaten'!B1693:D1693,'02_Eingaben'!$C$13))</f>
        <v/>
      </c>
      <c r="D1693" s="27">
        <f>IF(C1693="","",C1693*'02_Eingaben'!$C$15)</f>
        <v/>
      </c>
      <c r="E1693" s="27">
        <f>IF(D1693="","",D1693*'02_Eingaben'!$C$8)</f>
        <v/>
      </c>
      <c r="F1693" s="27">
        <f>IF(E1693="","",AVERAGE(INDEX($E$2:$E$3001,MAX(1,ROW()-1-'02_Eingaben'!$C$17)):INDEX($E$2:$E$3001,MIN('02_Eingaben'!$C$21,ROW()-1+'02_Eingaben'!$C$17))))</f>
        <v/>
      </c>
      <c r="G1693" s="27">
        <f>IF(F1693="","",F1693-'02_Eingaben'!$C$10)</f>
        <v/>
      </c>
      <c r="H1693">
        <f>IF(F1693="","",IF(F1693&lt;'02_Eingaben'!$C$18*'02_Eingaben'!$C$10,1,0))</f>
        <v/>
      </c>
      <c r="I1693" s="27">
        <f>IF(OR(G1693="",G1694=""),"",(G1693+G1694)/2*(B1694-B1693))</f>
        <v/>
      </c>
      <c r="J1693" s="27">
        <f>IF(B1693="","",IF(B1692&lt;'02_Eingaben'!$C$36,0,J1692+I1692/'02_Eingaben'!$C$8))</f>
        <v/>
      </c>
    </row>
    <row r="1694">
      <c r="A1694">
        <f>IF('01_Rohdaten'!A1694="","",ROW()-1)</f>
        <v/>
      </c>
      <c r="B1694" s="27">
        <f>IF('01_Rohdaten'!A1694="","",'01_Rohdaten'!A1694)</f>
        <v/>
      </c>
      <c r="C1694" s="27">
        <f>IF(B1694="","",INDEX('01_Rohdaten'!B1694:D1694,'02_Eingaben'!$C$13))</f>
        <v/>
      </c>
      <c r="D1694" s="27">
        <f>IF(C1694="","",C1694*'02_Eingaben'!$C$15)</f>
        <v/>
      </c>
      <c r="E1694" s="27">
        <f>IF(D1694="","",D1694*'02_Eingaben'!$C$8)</f>
        <v/>
      </c>
      <c r="F1694" s="27">
        <f>IF(E1694="","",AVERAGE(INDEX($E$2:$E$3001,MAX(1,ROW()-1-'02_Eingaben'!$C$17)):INDEX($E$2:$E$3001,MIN('02_Eingaben'!$C$21,ROW()-1+'02_Eingaben'!$C$17))))</f>
        <v/>
      </c>
      <c r="G1694" s="27">
        <f>IF(F1694="","",F1694-'02_Eingaben'!$C$10)</f>
        <v/>
      </c>
      <c r="H1694">
        <f>IF(F1694="","",IF(F1694&lt;'02_Eingaben'!$C$18*'02_Eingaben'!$C$10,1,0))</f>
        <v/>
      </c>
      <c r="I1694" s="27">
        <f>IF(OR(G1694="",G1695=""),"",(G1694+G1695)/2*(B1695-B1694))</f>
        <v/>
      </c>
      <c r="J1694" s="27">
        <f>IF(B1694="","",IF(B1693&lt;'02_Eingaben'!$C$36,0,J1693+I1693/'02_Eingaben'!$C$8))</f>
        <v/>
      </c>
    </row>
    <row r="1695">
      <c r="A1695">
        <f>IF('01_Rohdaten'!A1695="","",ROW()-1)</f>
        <v/>
      </c>
      <c r="B1695" s="27">
        <f>IF('01_Rohdaten'!A1695="","",'01_Rohdaten'!A1695)</f>
        <v/>
      </c>
      <c r="C1695" s="27">
        <f>IF(B1695="","",INDEX('01_Rohdaten'!B1695:D1695,'02_Eingaben'!$C$13))</f>
        <v/>
      </c>
      <c r="D1695" s="27">
        <f>IF(C1695="","",C1695*'02_Eingaben'!$C$15)</f>
        <v/>
      </c>
      <c r="E1695" s="27">
        <f>IF(D1695="","",D1695*'02_Eingaben'!$C$8)</f>
        <v/>
      </c>
      <c r="F1695" s="27">
        <f>IF(E1695="","",AVERAGE(INDEX($E$2:$E$3001,MAX(1,ROW()-1-'02_Eingaben'!$C$17)):INDEX($E$2:$E$3001,MIN('02_Eingaben'!$C$21,ROW()-1+'02_Eingaben'!$C$17))))</f>
        <v/>
      </c>
      <c r="G1695" s="27">
        <f>IF(F1695="","",F1695-'02_Eingaben'!$C$10)</f>
        <v/>
      </c>
      <c r="H1695">
        <f>IF(F1695="","",IF(F1695&lt;'02_Eingaben'!$C$18*'02_Eingaben'!$C$10,1,0))</f>
        <v/>
      </c>
      <c r="I1695" s="27">
        <f>IF(OR(G1695="",G1696=""),"",(G1695+G1696)/2*(B1696-B1695))</f>
        <v/>
      </c>
      <c r="J1695" s="27">
        <f>IF(B1695="","",IF(B1694&lt;'02_Eingaben'!$C$36,0,J1694+I1694/'02_Eingaben'!$C$8))</f>
        <v/>
      </c>
    </row>
    <row r="1696">
      <c r="A1696">
        <f>IF('01_Rohdaten'!A1696="","",ROW()-1)</f>
        <v/>
      </c>
      <c r="B1696" s="27">
        <f>IF('01_Rohdaten'!A1696="","",'01_Rohdaten'!A1696)</f>
        <v/>
      </c>
      <c r="C1696" s="27">
        <f>IF(B1696="","",INDEX('01_Rohdaten'!B1696:D1696,'02_Eingaben'!$C$13))</f>
        <v/>
      </c>
      <c r="D1696" s="27">
        <f>IF(C1696="","",C1696*'02_Eingaben'!$C$15)</f>
        <v/>
      </c>
      <c r="E1696" s="27">
        <f>IF(D1696="","",D1696*'02_Eingaben'!$C$8)</f>
        <v/>
      </c>
      <c r="F1696" s="27">
        <f>IF(E1696="","",AVERAGE(INDEX($E$2:$E$3001,MAX(1,ROW()-1-'02_Eingaben'!$C$17)):INDEX($E$2:$E$3001,MIN('02_Eingaben'!$C$21,ROW()-1+'02_Eingaben'!$C$17))))</f>
        <v/>
      </c>
      <c r="G1696" s="27">
        <f>IF(F1696="","",F1696-'02_Eingaben'!$C$10)</f>
        <v/>
      </c>
      <c r="H1696">
        <f>IF(F1696="","",IF(F1696&lt;'02_Eingaben'!$C$18*'02_Eingaben'!$C$10,1,0))</f>
        <v/>
      </c>
      <c r="I1696" s="27">
        <f>IF(OR(G1696="",G1697=""),"",(G1696+G1697)/2*(B1697-B1696))</f>
        <v/>
      </c>
      <c r="J1696" s="27">
        <f>IF(B1696="","",IF(B1695&lt;'02_Eingaben'!$C$36,0,J1695+I1695/'02_Eingaben'!$C$8))</f>
        <v/>
      </c>
    </row>
    <row r="1697">
      <c r="A1697">
        <f>IF('01_Rohdaten'!A1697="","",ROW()-1)</f>
        <v/>
      </c>
      <c r="B1697" s="27">
        <f>IF('01_Rohdaten'!A1697="","",'01_Rohdaten'!A1697)</f>
        <v/>
      </c>
      <c r="C1697" s="27">
        <f>IF(B1697="","",INDEX('01_Rohdaten'!B1697:D1697,'02_Eingaben'!$C$13))</f>
        <v/>
      </c>
      <c r="D1697" s="27">
        <f>IF(C1697="","",C1697*'02_Eingaben'!$C$15)</f>
        <v/>
      </c>
      <c r="E1697" s="27">
        <f>IF(D1697="","",D1697*'02_Eingaben'!$C$8)</f>
        <v/>
      </c>
      <c r="F1697" s="27">
        <f>IF(E1697="","",AVERAGE(INDEX($E$2:$E$3001,MAX(1,ROW()-1-'02_Eingaben'!$C$17)):INDEX($E$2:$E$3001,MIN('02_Eingaben'!$C$21,ROW()-1+'02_Eingaben'!$C$17))))</f>
        <v/>
      </c>
      <c r="G1697" s="27">
        <f>IF(F1697="","",F1697-'02_Eingaben'!$C$10)</f>
        <v/>
      </c>
      <c r="H1697">
        <f>IF(F1697="","",IF(F1697&lt;'02_Eingaben'!$C$18*'02_Eingaben'!$C$10,1,0))</f>
        <v/>
      </c>
      <c r="I1697" s="27">
        <f>IF(OR(G1697="",G1698=""),"",(G1697+G1698)/2*(B1698-B1697))</f>
        <v/>
      </c>
      <c r="J1697" s="27">
        <f>IF(B1697="","",IF(B1696&lt;'02_Eingaben'!$C$36,0,J1696+I1696/'02_Eingaben'!$C$8))</f>
        <v/>
      </c>
    </row>
    <row r="1698">
      <c r="A1698">
        <f>IF('01_Rohdaten'!A1698="","",ROW()-1)</f>
        <v/>
      </c>
      <c r="B1698" s="27">
        <f>IF('01_Rohdaten'!A1698="","",'01_Rohdaten'!A1698)</f>
        <v/>
      </c>
      <c r="C1698" s="27">
        <f>IF(B1698="","",INDEX('01_Rohdaten'!B1698:D1698,'02_Eingaben'!$C$13))</f>
        <v/>
      </c>
      <c r="D1698" s="27">
        <f>IF(C1698="","",C1698*'02_Eingaben'!$C$15)</f>
        <v/>
      </c>
      <c r="E1698" s="27">
        <f>IF(D1698="","",D1698*'02_Eingaben'!$C$8)</f>
        <v/>
      </c>
      <c r="F1698" s="27">
        <f>IF(E1698="","",AVERAGE(INDEX($E$2:$E$3001,MAX(1,ROW()-1-'02_Eingaben'!$C$17)):INDEX($E$2:$E$3001,MIN('02_Eingaben'!$C$21,ROW()-1+'02_Eingaben'!$C$17))))</f>
        <v/>
      </c>
      <c r="G1698" s="27">
        <f>IF(F1698="","",F1698-'02_Eingaben'!$C$10)</f>
        <v/>
      </c>
      <c r="H1698">
        <f>IF(F1698="","",IF(F1698&lt;'02_Eingaben'!$C$18*'02_Eingaben'!$C$10,1,0))</f>
        <v/>
      </c>
      <c r="I1698" s="27">
        <f>IF(OR(G1698="",G1699=""),"",(G1698+G1699)/2*(B1699-B1698))</f>
        <v/>
      </c>
      <c r="J1698" s="27">
        <f>IF(B1698="","",IF(B1697&lt;'02_Eingaben'!$C$36,0,J1697+I1697/'02_Eingaben'!$C$8))</f>
        <v/>
      </c>
    </row>
    <row r="1699">
      <c r="A1699">
        <f>IF('01_Rohdaten'!A1699="","",ROW()-1)</f>
        <v/>
      </c>
      <c r="B1699" s="27">
        <f>IF('01_Rohdaten'!A1699="","",'01_Rohdaten'!A1699)</f>
        <v/>
      </c>
      <c r="C1699" s="27">
        <f>IF(B1699="","",INDEX('01_Rohdaten'!B1699:D1699,'02_Eingaben'!$C$13))</f>
        <v/>
      </c>
      <c r="D1699" s="27">
        <f>IF(C1699="","",C1699*'02_Eingaben'!$C$15)</f>
        <v/>
      </c>
      <c r="E1699" s="27">
        <f>IF(D1699="","",D1699*'02_Eingaben'!$C$8)</f>
        <v/>
      </c>
      <c r="F1699" s="27">
        <f>IF(E1699="","",AVERAGE(INDEX($E$2:$E$3001,MAX(1,ROW()-1-'02_Eingaben'!$C$17)):INDEX($E$2:$E$3001,MIN('02_Eingaben'!$C$21,ROW()-1+'02_Eingaben'!$C$17))))</f>
        <v/>
      </c>
      <c r="G1699" s="27">
        <f>IF(F1699="","",F1699-'02_Eingaben'!$C$10)</f>
        <v/>
      </c>
      <c r="H1699">
        <f>IF(F1699="","",IF(F1699&lt;'02_Eingaben'!$C$18*'02_Eingaben'!$C$10,1,0))</f>
        <v/>
      </c>
      <c r="I1699" s="27">
        <f>IF(OR(G1699="",G1700=""),"",(G1699+G1700)/2*(B1700-B1699))</f>
        <v/>
      </c>
      <c r="J1699" s="27">
        <f>IF(B1699="","",IF(B1698&lt;'02_Eingaben'!$C$36,0,J1698+I1698/'02_Eingaben'!$C$8))</f>
        <v/>
      </c>
    </row>
    <row r="1700">
      <c r="A1700">
        <f>IF('01_Rohdaten'!A1700="","",ROW()-1)</f>
        <v/>
      </c>
      <c r="B1700" s="27">
        <f>IF('01_Rohdaten'!A1700="","",'01_Rohdaten'!A1700)</f>
        <v/>
      </c>
      <c r="C1700" s="27">
        <f>IF(B1700="","",INDEX('01_Rohdaten'!B1700:D1700,'02_Eingaben'!$C$13))</f>
        <v/>
      </c>
      <c r="D1700" s="27">
        <f>IF(C1700="","",C1700*'02_Eingaben'!$C$15)</f>
        <v/>
      </c>
      <c r="E1700" s="27">
        <f>IF(D1700="","",D1700*'02_Eingaben'!$C$8)</f>
        <v/>
      </c>
      <c r="F1700" s="27">
        <f>IF(E1700="","",AVERAGE(INDEX($E$2:$E$3001,MAX(1,ROW()-1-'02_Eingaben'!$C$17)):INDEX($E$2:$E$3001,MIN('02_Eingaben'!$C$21,ROW()-1+'02_Eingaben'!$C$17))))</f>
        <v/>
      </c>
      <c r="G1700" s="27">
        <f>IF(F1700="","",F1700-'02_Eingaben'!$C$10)</f>
        <v/>
      </c>
      <c r="H1700">
        <f>IF(F1700="","",IF(F1700&lt;'02_Eingaben'!$C$18*'02_Eingaben'!$C$10,1,0))</f>
        <v/>
      </c>
      <c r="I1700" s="27">
        <f>IF(OR(G1700="",G1701=""),"",(G1700+G1701)/2*(B1701-B1700))</f>
        <v/>
      </c>
      <c r="J1700" s="27">
        <f>IF(B1700="","",IF(B1699&lt;'02_Eingaben'!$C$36,0,J1699+I1699/'02_Eingaben'!$C$8))</f>
        <v/>
      </c>
    </row>
    <row r="1701">
      <c r="A1701">
        <f>IF('01_Rohdaten'!A1701="","",ROW()-1)</f>
        <v/>
      </c>
      <c r="B1701" s="27">
        <f>IF('01_Rohdaten'!A1701="","",'01_Rohdaten'!A1701)</f>
        <v/>
      </c>
      <c r="C1701" s="27">
        <f>IF(B1701="","",INDEX('01_Rohdaten'!B1701:D1701,'02_Eingaben'!$C$13))</f>
        <v/>
      </c>
      <c r="D1701" s="27">
        <f>IF(C1701="","",C1701*'02_Eingaben'!$C$15)</f>
        <v/>
      </c>
      <c r="E1701" s="27">
        <f>IF(D1701="","",D1701*'02_Eingaben'!$C$8)</f>
        <v/>
      </c>
      <c r="F1701" s="27">
        <f>IF(E1701="","",AVERAGE(INDEX($E$2:$E$3001,MAX(1,ROW()-1-'02_Eingaben'!$C$17)):INDEX($E$2:$E$3001,MIN('02_Eingaben'!$C$21,ROW()-1+'02_Eingaben'!$C$17))))</f>
        <v/>
      </c>
      <c r="G1701" s="27">
        <f>IF(F1701="","",F1701-'02_Eingaben'!$C$10)</f>
        <v/>
      </c>
      <c r="H1701">
        <f>IF(F1701="","",IF(F1701&lt;'02_Eingaben'!$C$18*'02_Eingaben'!$C$10,1,0))</f>
        <v/>
      </c>
      <c r="I1701" s="27">
        <f>IF(OR(G1701="",G1702=""),"",(G1701+G1702)/2*(B1702-B1701))</f>
        <v/>
      </c>
      <c r="J1701" s="27">
        <f>IF(B1701="","",IF(B1700&lt;'02_Eingaben'!$C$36,0,J1700+I1700/'02_Eingaben'!$C$8))</f>
        <v/>
      </c>
    </row>
    <row r="1702">
      <c r="A1702">
        <f>IF('01_Rohdaten'!A1702="","",ROW()-1)</f>
        <v/>
      </c>
      <c r="B1702" s="27">
        <f>IF('01_Rohdaten'!A1702="","",'01_Rohdaten'!A1702)</f>
        <v/>
      </c>
      <c r="C1702" s="27">
        <f>IF(B1702="","",INDEX('01_Rohdaten'!B1702:D1702,'02_Eingaben'!$C$13))</f>
        <v/>
      </c>
      <c r="D1702" s="27">
        <f>IF(C1702="","",C1702*'02_Eingaben'!$C$15)</f>
        <v/>
      </c>
      <c r="E1702" s="27">
        <f>IF(D1702="","",D1702*'02_Eingaben'!$C$8)</f>
        <v/>
      </c>
      <c r="F1702" s="27">
        <f>IF(E1702="","",AVERAGE(INDEX($E$2:$E$3001,MAX(1,ROW()-1-'02_Eingaben'!$C$17)):INDEX($E$2:$E$3001,MIN('02_Eingaben'!$C$21,ROW()-1+'02_Eingaben'!$C$17))))</f>
        <v/>
      </c>
      <c r="G1702" s="27">
        <f>IF(F1702="","",F1702-'02_Eingaben'!$C$10)</f>
        <v/>
      </c>
      <c r="H1702">
        <f>IF(F1702="","",IF(F1702&lt;'02_Eingaben'!$C$18*'02_Eingaben'!$C$10,1,0))</f>
        <v/>
      </c>
      <c r="I1702" s="27">
        <f>IF(OR(G1702="",G1703=""),"",(G1702+G1703)/2*(B1703-B1702))</f>
        <v/>
      </c>
      <c r="J1702" s="27">
        <f>IF(B1702="","",IF(B1701&lt;'02_Eingaben'!$C$36,0,J1701+I1701/'02_Eingaben'!$C$8))</f>
        <v/>
      </c>
    </row>
    <row r="1703">
      <c r="A1703">
        <f>IF('01_Rohdaten'!A1703="","",ROW()-1)</f>
        <v/>
      </c>
      <c r="B1703" s="27">
        <f>IF('01_Rohdaten'!A1703="","",'01_Rohdaten'!A1703)</f>
        <v/>
      </c>
      <c r="C1703" s="27">
        <f>IF(B1703="","",INDEX('01_Rohdaten'!B1703:D1703,'02_Eingaben'!$C$13))</f>
        <v/>
      </c>
      <c r="D1703" s="27">
        <f>IF(C1703="","",C1703*'02_Eingaben'!$C$15)</f>
        <v/>
      </c>
      <c r="E1703" s="27">
        <f>IF(D1703="","",D1703*'02_Eingaben'!$C$8)</f>
        <v/>
      </c>
      <c r="F1703" s="27">
        <f>IF(E1703="","",AVERAGE(INDEX($E$2:$E$3001,MAX(1,ROW()-1-'02_Eingaben'!$C$17)):INDEX($E$2:$E$3001,MIN('02_Eingaben'!$C$21,ROW()-1+'02_Eingaben'!$C$17))))</f>
        <v/>
      </c>
      <c r="G1703" s="27">
        <f>IF(F1703="","",F1703-'02_Eingaben'!$C$10)</f>
        <v/>
      </c>
      <c r="H1703">
        <f>IF(F1703="","",IF(F1703&lt;'02_Eingaben'!$C$18*'02_Eingaben'!$C$10,1,0))</f>
        <v/>
      </c>
      <c r="I1703" s="27">
        <f>IF(OR(G1703="",G1704=""),"",(G1703+G1704)/2*(B1704-B1703))</f>
        <v/>
      </c>
      <c r="J1703" s="27">
        <f>IF(B1703="","",IF(B1702&lt;'02_Eingaben'!$C$36,0,J1702+I1702/'02_Eingaben'!$C$8))</f>
        <v/>
      </c>
    </row>
    <row r="1704">
      <c r="A1704">
        <f>IF('01_Rohdaten'!A1704="","",ROW()-1)</f>
        <v/>
      </c>
      <c r="B1704" s="27">
        <f>IF('01_Rohdaten'!A1704="","",'01_Rohdaten'!A1704)</f>
        <v/>
      </c>
      <c r="C1704" s="27">
        <f>IF(B1704="","",INDEX('01_Rohdaten'!B1704:D1704,'02_Eingaben'!$C$13))</f>
        <v/>
      </c>
      <c r="D1704" s="27">
        <f>IF(C1704="","",C1704*'02_Eingaben'!$C$15)</f>
        <v/>
      </c>
      <c r="E1704" s="27">
        <f>IF(D1704="","",D1704*'02_Eingaben'!$C$8)</f>
        <v/>
      </c>
      <c r="F1704" s="27">
        <f>IF(E1704="","",AVERAGE(INDEX($E$2:$E$3001,MAX(1,ROW()-1-'02_Eingaben'!$C$17)):INDEX($E$2:$E$3001,MIN('02_Eingaben'!$C$21,ROW()-1+'02_Eingaben'!$C$17))))</f>
        <v/>
      </c>
      <c r="G1704" s="27">
        <f>IF(F1704="","",F1704-'02_Eingaben'!$C$10)</f>
        <v/>
      </c>
      <c r="H1704">
        <f>IF(F1704="","",IF(F1704&lt;'02_Eingaben'!$C$18*'02_Eingaben'!$C$10,1,0))</f>
        <v/>
      </c>
      <c r="I1704" s="27">
        <f>IF(OR(G1704="",G1705=""),"",(G1704+G1705)/2*(B1705-B1704))</f>
        <v/>
      </c>
      <c r="J1704" s="27">
        <f>IF(B1704="","",IF(B1703&lt;'02_Eingaben'!$C$36,0,J1703+I1703/'02_Eingaben'!$C$8))</f>
        <v/>
      </c>
    </row>
    <row r="1705">
      <c r="A1705">
        <f>IF('01_Rohdaten'!A1705="","",ROW()-1)</f>
        <v/>
      </c>
      <c r="B1705" s="27">
        <f>IF('01_Rohdaten'!A1705="","",'01_Rohdaten'!A1705)</f>
        <v/>
      </c>
      <c r="C1705" s="27">
        <f>IF(B1705="","",INDEX('01_Rohdaten'!B1705:D1705,'02_Eingaben'!$C$13))</f>
        <v/>
      </c>
      <c r="D1705" s="27">
        <f>IF(C1705="","",C1705*'02_Eingaben'!$C$15)</f>
        <v/>
      </c>
      <c r="E1705" s="27">
        <f>IF(D1705="","",D1705*'02_Eingaben'!$C$8)</f>
        <v/>
      </c>
      <c r="F1705" s="27">
        <f>IF(E1705="","",AVERAGE(INDEX($E$2:$E$3001,MAX(1,ROW()-1-'02_Eingaben'!$C$17)):INDEX($E$2:$E$3001,MIN('02_Eingaben'!$C$21,ROW()-1+'02_Eingaben'!$C$17))))</f>
        <v/>
      </c>
      <c r="G1705" s="27">
        <f>IF(F1705="","",F1705-'02_Eingaben'!$C$10)</f>
        <v/>
      </c>
      <c r="H1705">
        <f>IF(F1705="","",IF(F1705&lt;'02_Eingaben'!$C$18*'02_Eingaben'!$C$10,1,0))</f>
        <v/>
      </c>
      <c r="I1705" s="27">
        <f>IF(OR(G1705="",G1706=""),"",(G1705+G1706)/2*(B1706-B1705))</f>
        <v/>
      </c>
      <c r="J1705" s="27">
        <f>IF(B1705="","",IF(B1704&lt;'02_Eingaben'!$C$36,0,J1704+I1704/'02_Eingaben'!$C$8))</f>
        <v/>
      </c>
    </row>
    <row r="1706">
      <c r="A1706">
        <f>IF('01_Rohdaten'!A1706="","",ROW()-1)</f>
        <v/>
      </c>
      <c r="B1706" s="27">
        <f>IF('01_Rohdaten'!A1706="","",'01_Rohdaten'!A1706)</f>
        <v/>
      </c>
      <c r="C1706" s="27">
        <f>IF(B1706="","",INDEX('01_Rohdaten'!B1706:D1706,'02_Eingaben'!$C$13))</f>
        <v/>
      </c>
      <c r="D1706" s="27">
        <f>IF(C1706="","",C1706*'02_Eingaben'!$C$15)</f>
        <v/>
      </c>
      <c r="E1706" s="27">
        <f>IF(D1706="","",D1706*'02_Eingaben'!$C$8)</f>
        <v/>
      </c>
      <c r="F1706" s="27">
        <f>IF(E1706="","",AVERAGE(INDEX($E$2:$E$3001,MAX(1,ROW()-1-'02_Eingaben'!$C$17)):INDEX($E$2:$E$3001,MIN('02_Eingaben'!$C$21,ROW()-1+'02_Eingaben'!$C$17))))</f>
        <v/>
      </c>
      <c r="G1706" s="27">
        <f>IF(F1706="","",F1706-'02_Eingaben'!$C$10)</f>
        <v/>
      </c>
      <c r="H1706">
        <f>IF(F1706="","",IF(F1706&lt;'02_Eingaben'!$C$18*'02_Eingaben'!$C$10,1,0))</f>
        <v/>
      </c>
      <c r="I1706" s="27">
        <f>IF(OR(G1706="",G1707=""),"",(G1706+G1707)/2*(B1707-B1706))</f>
        <v/>
      </c>
      <c r="J1706" s="27">
        <f>IF(B1706="","",IF(B1705&lt;'02_Eingaben'!$C$36,0,J1705+I1705/'02_Eingaben'!$C$8))</f>
        <v/>
      </c>
    </row>
    <row r="1707">
      <c r="A1707">
        <f>IF('01_Rohdaten'!A1707="","",ROW()-1)</f>
        <v/>
      </c>
      <c r="B1707" s="27">
        <f>IF('01_Rohdaten'!A1707="","",'01_Rohdaten'!A1707)</f>
        <v/>
      </c>
      <c r="C1707" s="27">
        <f>IF(B1707="","",INDEX('01_Rohdaten'!B1707:D1707,'02_Eingaben'!$C$13))</f>
        <v/>
      </c>
      <c r="D1707" s="27">
        <f>IF(C1707="","",C1707*'02_Eingaben'!$C$15)</f>
        <v/>
      </c>
      <c r="E1707" s="27">
        <f>IF(D1707="","",D1707*'02_Eingaben'!$C$8)</f>
        <v/>
      </c>
      <c r="F1707" s="27">
        <f>IF(E1707="","",AVERAGE(INDEX($E$2:$E$3001,MAX(1,ROW()-1-'02_Eingaben'!$C$17)):INDEX($E$2:$E$3001,MIN('02_Eingaben'!$C$21,ROW()-1+'02_Eingaben'!$C$17))))</f>
        <v/>
      </c>
      <c r="G1707" s="27">
        <f>IF(F1707="","",F1707-'02_Eingaben'!$C$10)</f>
        <v/>
      </c>
      <c r="H1707">
        <f>IF(F1707="","",IF(F1707&lt;'02_Eingaben'!$C$18*'02_Eingaben'!$C$10,1,0))</f>
        <v/>
      </c>
      <c r="I1707" s="27">
        <f>IF(OR(G1707="",G1708=""),"",(G1707+G1708)/2*(B1708-B1707))</f>
        <v/>
      </c>
      <c r="J1707" s="27">
        <f>IF(B1707="","",IF(B1706&lt;'02_Eingaben'!$C$36,0,J1706+I1706/'02_Eingaben'!$C$8))</f>
        <v/>
      </c>
    </row>
    <row r="1708">
      <c r="A1708">
        <f>IF('01_Rohdaten'!A1708="","",ROW()-1)</f>
        <v/>
      </c>
      <c r="B1708" s="27">
        <f>IF('01_Rohdaten'!A1708="","",'01_Rohdaten'!A1708)</f>
        <v/>
      </c>
      <c r="C1708" s="27">
        <f>IF(B1708="","",INDEX('01_Rohdaten'!B1708:D1708,'02_Eingaben'!$C$13))</f>
        <v/>
      </c>
      <c r="D1708" s="27">
        <f>IF(C1708="","",C1708*'02_Eingaben'!$C$15)</f>
        <v/>
      </c>
      <c r="E1708" s="27">
        <f>IF(D1708="","",D1708*'02_Eingaben'!$C$8)</f>
        <v/>
      </c>
      <c r="F1708" s="27">
        <f>IF(E1708="","",AVERAGE(INDEX($E$2:$E$3001,MAX(1,ROW()-1-'02_Eingaben'!$C$17)):INDEX($E$2:$E$3001,MIN('02_Eingaben'!$C$21,ROW()-1+'02_Eingaben'!$C$17))))</f>
        <v/>
      </c>
      <c r="G1708" s="27">
        <f>IF(F1708="","",F1708-'02_Eingaben'!$C$10)</f>
        <v/>
      </c>
      <c r="H1708">
        <f>IF(F1708="","",IF(F1708&lt;'02_Eingaben'!$C$18*'02_Eingaben'!$C$10,1,0))</f>
        <v/>
      </c>
      <c r="I1708" s="27">
        <f>IF(OR(G1708="",G1709=""),"",(G1708+G1709)/2*(B1709-B1708))</f>
        <v/>
      </c>
      <c r="J1708" s="27">
        <f>IF(B1708="","",IF(B1707&lt;'02_Eingaben'!$C$36,0,J1707+I1707/'02_Eingaben'!$C$8))</f>
        <v/>
      </c>
    </row>
    <row r="1709">
      <c r="A1709">
        <f>IF('01_Rohdaten'!A1709="","",ROW()-1)</f>
        <v/>
      </c>
      <c r="B1709" s="27">
        <f>IF('01_Rohdaten'!A1709="","",'01_Rohdaten'!A1709)</f>
        <v/>
      </c>
      <c r="C1709" s="27">
        <f>IF(B1709="","",INDEX('01_Rohdaten'!B1709:D1709,'02_Eingaben'!$C$13))</f>
        <v/>
      </c>
      <c r="D1709" s="27">
        <f>IF(C1709="","",C1709*'02_Eingaben'!$C$15)</f>
        <v/>
      </c>
      <c r="E1709" s="27">
        <f>IF(D1709="","",D1709*'02_Eingaben'!$C$8)</f>
        <v/>
      </c>
      <c r="F1709" s="27">
        <f>IF(E1709="","",AVERAGE(INDEX($E$2:$E$3001,MAX(1,ROW()-1-'02_Eingaben'!$C$17)):INDEX($E$2:$E$3001,MIN('02_Eingaben'!$C$21,ROW()-1+'02_Eingaben'!$C$17))))</f>
        <v/>
      </c>
      <c r="G1709" s="27">
        <f>IF(F1709="","",F1709-'02_Eingaben'!$C$10)</f>
        <v/>
      </c>
      <c r="H1709">
        <f>IF(F1709="","",IF(F1709&lt;'02_Eingaben'!$C$18*'02_Eingaben'!$C$10,1,0))</f>
        <v/>
      </c>
      <c r="I1709" s="27">
        <f>IF(OR(G1709="",G1710=""),"",(G1709+G1710)/2*(B1710-B1709))</f>
        <v/>
      </c>
      <c r="J1709" s="27">
        <f>IF(B1709="","",IF(B1708&lt;'02_Eingaben'!$C$36,0,J1708+I1708/'02_Eingaben'!$C$8))</f>
        <v/>
      </c>
    </row>
    <row r="1710">
      <c r="A1710">
        <f>IF('01_Rohdaten'!A1710="","",ROW()-1)</f>
        <v/>
      </c>
      <c r="B1710" s="27">
        <f>IF('01_Rohdaten'!A1710="","",'01_Rohdaten'!A1710)</f>
        <v/>
      </c>
      <c r="C1710" s="27">
        <f>IF(B1710="","",INDEX('01_Rohdaten'!B1710:D1710,'02_Eingaben'!$C$13))</f>
        <v/>
      </c>
      <c r="D1710" s="27">
        <f>IF(C1710="","",C1710*'02_Eingaben'!$C$15)</f>
        <v/>
      </c>
      <c r="E1710" s="27">
        <f>IF(D1710="","",D1710*'02_Eingaben'!$C$8)</f>
        <v/>
      </c>
      <c r="F1710" s="27">
        <f>IF(E1710="","",AVERAGE(INDEX($E$2:$E$3001,MAX(1,ROW()-1-'02_Eingaben'!$C$17)):INDEX($E$2:$E$3001,MIN('02_Eingaben'!$C$21,ROW()-1+'02_Eingaben'!$C$17))))</f>
        <v/>
      </c>
      <c r="G1710" s="27">
        <f>IF(F1710="","",F1710-'02_Eingaben'!$C$10)</f>
        <v/>
      </c>
      <c r="H1710">
        <f>IF(F1710="","",IF(F1710&lt;'02_Eingaben'!$C$18*'02_Eingaben'!$C$10,1,0))</f>
        <v/>
      </c>
      <c r="I1710" s="27">
        <f>IF(OR(G1710="",G1711=""),"",(G1710+G1711)/2*(B1711-B1710))</f>
        <v/>
      </c>
      <c r="J1710" s="27">
        <f>IF(B1710="","",IF(B1709&lt;'02_Eingaben'!$C$36,0,J1709+I1709/'02_Eingaben'!$C$8))</f>
        <v/>
      </c>
    </row>
    <row r="1711">
      <c r="A1711">
        <f>IF('01_Rohdaten'!A1711="","",ROW()-1)</f>
        <v/>
      </c>
      <c r="B1711" s="27">
        <f>IF('01_Rohdaten'!A1711="","",'01_Rohdaten'!A1711)</f>
        <v/>
      </c>
      <c r="C1711" s="27">
        <f>IF(B1711="","",INDEX('01_Rohdaten'!B1711:D1711,'02_Eingaben'!$C$13))</f>
        <v/>
      </c>
      <c r="D1711" s="27">
        <f>IF(C1711="","",C1711*'02_Eingaben'!$C$15)</f>
        <v/>
      </c>
      <c r="E1711" s="27">
        <f>IF(D1711="","",D1711*'02_Eingaben'!$C$8)</f>
        <v/>
      </c>
      <c r="F1711" s="27">
        <f>IF(E1711="","",AVERAGE(INDEX($E$2:$E$3001,MAX(1,ROW()-1-'02_Eingaben'!$C$17)):INDEX($E$2:$E$3001,MIN('02_Eingaben'!$C$21,ROW()-1+'02_Eingaben'!$C$17))))</f>
        <v/>
      </c>
      <c r="G1711" s="27">
        <f>IF(F1711="","",F1711-'02_Eingaben'!$C$10)</f>
        <v/>
      </c>
      <c r="H1711">
        <f>IF(F1711="","",IF(F1711&lt;'02_Eingaben'!$C$18*'02_Eingaben'!$C$10,1,0))</f>
        <v/>
      </c>
      <c r="I1711" s="27">
        <f>IF(OR(G1711="",G1712=""),"",(G1711+G1712)/2*(B1712-B1711))</f>
        <v/>
      </c>
      <c r="J1711" s="27">
        <f>IF(B1711="","",IF(B1710&lt;'02_Eingaben'!$C$36,0,J1710+I1710/'02_Eingaben'!$C$8))</f>
        <v/>
      </c>
    </row>
    <row r="1712">
      <c r="A1712">
        <f>IF('01_Rohdaten'!A1712="","",ROW()-1)</f>
        <v/>
      </c>
      <c r="B1712" s="27">
        <f>IF('01_Rohdaten'!A1712="","",'01_Rohdaten'!A1712)</f>
        <v/>
      </c>
      <c r="C1712" s="27">
        <f>IF(B1712="","",INDEX('01_Rohdaten'!B1712:D1712,'02_Eingaben'!$C$13))</f>
        <v/>
      </c>
      <c r="D1712" s="27">
        <f>IF(C1712="","",C1712*'02_Eingaben'!$C$15)</f>
        <v/>
      </c>
      <c r="E1712" s="27">
        <f>IF(D1712="","",D1712*'02_Eingaben'!$C$8)</f>
        <v/>
      </c>
      <c r="F1712" s="27">
        <f>IF(E1712="","",AVERAGE(INDEX($E$2:$E$3001,MAX(1,ROW()-1-'02_Eingaben'!$C$17)):INDEX($E$2:$E$3001,MIN('02_Eingaben'!$C$21,ROW()-1+'02_Eingaben'!$C$17))))</f>
        <v/>
      </c>
      <c r="G1712" s="27">
        <f>IF(F1712="","",F1712-'02_Eingaben'!$C$10)</f>
        <v/>
      </c>
      <c r="H1712">
        <f>IF(F1712="","",IF(F1712&lt;'02_Eingaben'!$C$18*'02_Eingaben'!$C$10,1,0))</f>
        <v/>
      </c>
      <c r="I1712" s="27">
        <f>IF(OR(G1712="",G1713=""),"",(G1712+G1713)/2*(B1713-B1712))</f>
        <v/>
      </c>
      <c r="J1712" s="27">
        <f>IF(B1712="","",IF(B1711&lt;'02_Eingaben'!$C$36,0,J1711+I1711/'02_Eingaben'!$C$8))</f>
        <v/>
      </c>
    </row>
    <row r="1713">
      <c r="A1713">
        <f>IF('01_Rohdaten'!A1713="","",ROW()-1)</f>
        <v/>
      </c>
      <c r="B1713" s="27">
        <f>IF('01_Rohdaten'!A1713="","",'01_Rohdaten'!A1713)</f>
        <v/>
      </c>
      <c r="C1713" s="27">
        <f>IF(B1713="","",INDEX('01_Rohdaten'!B1713:D1713,'02_Eingaben'!$C$13))</f>
        <v/>
      </c>
      <c r="D1713" s="27">
        <f>IF(C1713="","",C1713*'02_Eingaben'!$C$15)</f>
        <v/>
      </c>
      <c r="E1713" s="27">
        <f>IF(D1713="","",D1713*'02_Eingaben'!$C$8)</f>
        <v/>
      </c>
      <c r="F1713" s="27">
        <f>IF(E1713="","",AVERAGE(INDEX($E$2:$E$3001,MAX(1,ROW()-1-'02_Eingaben'!$C$17)):INDEX($E$2:$E$3001,MIN('02_Eingaben'!$C$21,ROW()-1+'02_Eingaben'!$C$17))))</f>
        <v/>
      </c>
      <c r="G1713" s="27">
        <f>IF(F1713="","",F1713-'02_Eingaben'!$C$10)</f>
        <v/>
      </c>
      <c r="H1713">
        <f>IF(F1713="","",IF(F1713&lt;'02_Eingaben'!$C$18*'02_Eingaben'!$C$10,1,0))</f>
        <v/>
      </c>
      <c r="I1713" s="27">
        <f>IF(OR(G1713="",G1714=""),"",(G1713+G1714)/2*(B1714-B1713))</f>
        <v/>
      </c>
      <c r="J1713" s="27">
        <f>IF(B1713="","",IF(B1712&lt;'02_Eingaben'!$C$36,0,J1712+I1712/'02_Eingaben'!$C$8))</f>
        <v/>
      </c>
    </row>
    <row r="1714">
      <c r="A1714">
        <f>IF('01_Rohdaten'!A1714="","",ROW()-1)</f>
        <v/>
      </c>
      <c r="B1714" s="27">
        <f>IF('01_Rohdaten'!A1714="","",'01_Rohdaten'!A1714)</f>
        <v/>
      </c>
      <c r="C1714" s="27">
        <f>IF(B1714="","",INDEX('01_Rohdaten'!B1714:D1714,'02_Eingaben'!$C$13))</f>
        <v/>
      </c>
      <c r="D1714" s="27">
        <f>IF(C1714="","",C1714*'02_Eingaben'!$C$15)</f>
        <v/>
      </c>
      <c r="E1714" s="27">
        <f>IF(D1714="","",D1714*'02_Eingaben'!$C$8)</f>
        <v/>
      </c>
      <c r="F1714" s="27">
        <f>IF(E1714="","",AVERAGE(INDEX($E$2:$E$3001,MAX(1,ROW()-1-'02_Eingaben'!$C$17)):INDEX($E$2:$E$3001,MIN('02_Eingaben'!$C$21,ROW()-1+'02_Eingaben'!$C$17))))</f>
        <v/>
      </c>
      <c r="G1714" s="27">
        <f>IF(F1714="","",F1714-'02_Eingaben'!$C$10)</f>
        <v/>
      </c>
      <c r="H1714">
        <f>IF(F1714="","",IF(F1714&lt;'02_Eingaben'!$C$18*'02_Eingaben'!$C$10,1,0))</f>
        <v/>
      </c>
      <c r="I1714" s="27">
        <f>IF(OR(G1714="",G1715=""),"",(G1714+G1715)/2*(B1715-B1714))</f>
        <v/>
      </c>
      <c r="J1714" s="27">
        <f>IF(B1714="","",IF(B1713&lt;'02_Eingaben'!$C$36,0,J1713+I1713/'02_Eingaben'!$C$8))</f>
        <v/>
      </c>
    </row>
    <row r="1715">
      <c r="A1715">
        <f>IF('01_Rohdaten'!A1715="","",ROW()-1)</f>
        <v/>
      </c>
      <c r="B1715" s="27">
        <f>IF('01_Rohdaten'!A1715="","",'01_Rohdaten'!A1715)</f>
        <v/>
      </c>
      <c r="C1715" s="27">
        <f>IF(B1715="","",INDEX('01_Rohdaten'!B1715:D1715,'02_Eingaben'!$C$13))</f>
        <v/>
      </c>
      <c r="D1715" s="27">
        <f>IF(C1715="","",C1715*'02_Eingaben'!$C$15)</f>
        <v/>
      </c>
      <c r="E1715" s="27">
        <f>IF(D1715="","",D1715*'02_Eingaben'!$C$8)</f>
        <v/>
      </c>
      <c r="F1715" s="27">
        <f>IF(E1715="","",AVERAGE(INDEX($E$2:$E$3001,MAX(1,ROW()-1-'02_Eingaben'!$C$17)):INDEX($E$2:$E$3001,MIN('02_Eingaben'!$C$21,ROW()-1+'02_Eingaben'!$C$17))))</f>
        <v/>
      </c>
      <c r="G1715" s="27">
        <f>IF(F1715="","",F1715-'02_Eingaben'!$C$10)</f>
        <v/>
      </c>
      <c r="H1715">
        <f>IF(F1715="","",IF(F1715&lt;'02_Eingaben'!$C$18*'02_Eingaben'!$C$10,1,0))</f>
        <v/>
      </c>
      <c r="I1715" s="27">
        <f>IF(OR(G1715="",G1716=""),"",(G1715+G1716)/2*(B1716-B1715))</f>
        <v/>
      </c>
      <c r="J1715" s="27">
        <f>IF(B1715="","",IF(B1714&lt;'02_Eingaben'!$C$36,0,J1714+I1714/'02_Eingaben'!$C$8))</f>
        <v/>
      </c>
    </row>
    <row r="1716">
      <c r="A1716">
        <f>IF('01_Rohdaten'!A1716="","",ROW()-1)</f>
        <v/>
      </c>
      <c r="B1716" s="27">
        <f>IF('01_Rohdaten'!A1716="","",'01_Rohdaten'!A1716)</f>
        <v/>
      </c>
      <c r="C1716" s="27">
        <f>IF(B1716="","",INDEX('01_Rohdaten'!B1716:D1716,'02_Eingaben'!$C$13))</f>
        <v/>
      </c>
      <c r="D1716" s="27">
        <f>IF(C1716="","",C1716*'02_Eingaben'!$C$15)</f>
        <v/>
      </c>
      <c r="E1716" s="27">
        <f>IF(D1716="","",D1716*'02_Eingaben'!$C$8)</f>
        <v/>
      </c>
      <c r="F1716" s="27">
        <f>IF(E1716="","",AVERAGE(INDEX($E$2:$E$3001,MAX(1,ROW()-1-'02_Eingaben'!$C$17)):INDEX($E$2:$E$3001,MIN('02_Eingaben'!$C$21,ROW()-1+'02_Eingaben'!$C$17))))</f>
        <v/>
      </c>
      <c r="G1716" s="27">
        <f>IF(F1716="","",F1716-'02_Eingaben'!$C$10)</f>
        <v/>
      </c>
      <c r="H1716">
        <f>IF(F1716="","",IF(F1716&lt;'02_Eingaben'!$C$18*'02_Eingaben'!$C$10,1,0))</f>
        <v/>
      </c>
      <c r="I1716" s="27">
        <f>IF(OR(G1716="",G1717=""),"",(G1716+G1717)/2*(B1717-B1716))</f>
        <v/>
      </c>
      <c r="J1716" s="27">
        <f>IF(B1716="","",IF(B1715&lt;'02_Eingaben'!$C$36,0,J1715+I1715/'02_Eingaben'!$C$8))</f>
        <v/>
      </c>
    </row>
    <row r="1717">
      <c r="A1717">
        <f>IF('01_Rohdaten'!A1717="","",ROW()-1)</f>
        <v/>
      </c>
      <c r="B1717" s="27">
        <f>IF('01_Rohdaten'!A1717="","",'01_Rohdaten'!A1717)</f>
        <v/>
      </c>
      <c r="C1717" s="27">
        <f>IF(B1717="","",INDEX('01_Rohdaten'!B1717:D1717,'02_Eingaben'!$C$13))</f>
        <v/>
      </c>
      <c r="D1717" s="27">
        <f>IF(C1717="","",C1717*'02_Eingaben'!$C$15)</f>
        <v/>
      </c>
      <c r="E1717" s="27">
        <f>IF(D1717="","",D1717*'02_Eingaben'!$C$8)</f>
        <v/>
      </c>
      <c r="F1717" s="27">
        <f>IF(E1717="","",AVERAGE(INDEX($E$2:$E$3001,MAX(1,ROW()-1-'02_Eingaben'!$C$17)):INDEX($E$2:$E$3001,MIN('02_Eingaben'!$C$21,ROW()-1+'02_Eingaben'!$C$17))))</f>
        <v/>
      </c>
      <c r="G1717" s="27">
        <f>IF(F1717="","",F1717-'02_Eingaben'!$C$10)</f>
        <v/>
      </c>
      <c r="H1717">
        <f>IF(F1717="","",IF(F1717&lt;'02_Eingaben'!$C$18*'02_Eingaben'!$C$10,1,0))</f>
        <v/>
      </c>
      <c r="I1717" s="27">
        <f>IF(OR(G1717="",G1718=""),"",(G1717+G1718)/2*(B1718-B1717))</f>
        <v/>
      </c>
      <c r="J1717" s="27">
        <f>IF(B1717="","",IF(B1716&lt;'02_Eingaben'!$C$36,0,J1716+I1716/'02_Eingaben'!$C$8))</f>
        <v/>
      </c>
    </row>
    <row r="1718">
      <c r="A1718">
        <f>IF('01_Rohdaten'!A1718="","",ROW()-1)</f>
        <v/>
      </c>
      <c r="B1718" s="27">
        <f>IF('01_Rohdaten'!A1718="","",'01_Rohdaten'!A1718)</f>
        <v/>
      </c>
      <c r="C1718" s="27">
        <f>IF(B1718="","",INDEX('01_Rohdaten'!B1718:D1718,'02_Eingaben'!$C$13))</f>
        <v/>
      </c>
      <c r="D1718" s="27">
        <f>IF(C1718="","",C1718*'02_Eingaben'!$C$15)</f>
        <v/>
      </c>
      <c r="E1718" s="27">
        <f>IF(D1718="","",D1718*'02_Eingaben'!$C$8)</f>
        <v/>
      </c>
      <c r="F1718" s="27">
        <f>IF(E1718="","",AVERAGE(INDEX($E$2:$E$3001,MAX(1,ROW()-1-'02_Eingaben'!$C$17)):INDEX($E$2:$E$3001,MIN('02_Eingaben'!$C$21,ROW()-1+'02_Eingaben'!$C$17))))</f>
        <v/>
      </c>
      <c r="G1718" s="27">
        <f>IF(F1718="","",F1718-'02_Eingaben'!$C$10)</f>
        <v/>
      </c>
      <c r="H1718">
        <f>IF(F1718="","",IF(F1718&lt;'02_Eingaben'!$C$18*'02_Eingaben'!$C$10,1,0))</f>
        <v/>
      </c>
      <c r="I1718" s="27">
        <f>IF(OR(G1718="",G1719=""),"",(G1718+G1719)/2*(B1719-B1718))</f>
        <v/>
      </c>
      <c r="J1718" s="27">
        <f>IF(B1718="","",IF(B1717&lt;'02_Eingaben'!$C$36,0,J1717+I1717/'02_Eingaben'!$C$8))</f>
        <v/>
      </c>
    </row>
    <row r="1719">
      <c r="A1719">
        <f>IF('01_Rohdaten'!A1719="","",ROW()-1)</f>
        <v/>
      </c>
      <c r="B1719" s="27">
        <f>IF('01_Rohdaten'!A1719="","",'01_Rohdaten'!A1719)</f>
        <v/>
      </c>
      <c r="C1719" s="27">
        <f>IF(B1719="","",INDEX('01_Rohdaten'!B1719:D1719,'02_Eingaben'!$C$13))</f>
        <v/>
      </c>
      <c r="D1719" s="27">
        <f>IF(C1719="","",C1719*'02_Eingaben'!$C$15)</f>
        <v/>
      </c>
      <c r="E1719" s="27">
        <f>IF(D1719="","",D1719*'02_Eingaben'!$C$8)</f>
        <v/>
      </c>
      <c r="F1719" s="27">
        <f>IF(E1719="","",AVERAGE(INDEX($E$2:$E$3001,MAX(1,ROW()-1-'02_Eingaben'!$C$17)):INDEX($E$2:$E$3001,MIN('02_Eingaben'!$C$21,ROW()-1+'02_Eingaben'!$C$17))))</f>
        <v/>
      </c>
      <c r="G1719" s="27">
        <f>IF(F1719="","",F1719-'02_Eingaben'!$C$10)</f>
        <v/>
      </c>
      <c r="H1719">
        <f>IF(F1719="","",IF(F1719&lt;'02_Eingaben'!$C$18*'02_Eingaben'!$C$10,1,0))</f>
        <v/>
      </c>
      <c r="I1719" s="27">
        <f>IF(OR(G1719="",G1720=""),"",(G1719+G1720)/2*(B1720-B1719))</f>
        <v/>
      </c>
      <c r="J1719" s="27">
        <f>IF(B1719="","",IF(B1718&lt;'02_Eingaben'!$C$36,0,J1718+I1718/'02_Eingaben'!$C$8))</f>
        <v/>
      </c>
    </row>
    <row r="1720">
      <c r="A1720">
        <f>IF('01_Rohdaten'!A1720="","",ROW()-1)</f>
        <v/>
      </c>
      <c r="B1720" s="27">
        <f>IF('01_Rohdaten'!A1720="","",'01_Rohdaten'!A1720)</f>
        <v/>
      </c>
      <c r="C1720" s="27">
        <f>IF(B1720="","",INDEX('01_Rohdaten'!B1720:D1720,'02_Eingaben'!$C$13))</f>
        <v/>
      </c>
      <c r="D1720" s="27">
        <f>IF(C1720="","",C1720*'02_Eingaben'!$C$15)</f>
        <v/>
      </c>
      <c r="E1720" s="27">
        <f>IF(D1720="","",D1720*'02_Eingaben'!$C$8)</f>
        <v/>
      </c>
      <c r="F1720" s="27">
        <f>IF(E1720="","",AVERAGE(INDEX($E$2:$E$3001,MAX(1,ROW()-1-'02_Eingaben'!$C$17)):INDEX($E$2:$E$3001,MIN('02_Eingaben'!$C$21,ROW()-1+'02_Eingaben'!$C$17))))</f>
        <v/>
      </c>
      <c r="G1720" s="27">
        <f>IF(F1720="","",F1720-'02_Eingaben'!$C$10)</f>
        <v/>
      </c>
      <c r="H1720">
        <f>IF(F1720="","",IF(F1720&lt;'02_Eingaben'!$C$18*'02_Eingaben'!$C$10,1,0))</f>
        <v/>
      </c>
      <c r="I1720" s="27">
        <f>IF(OR(G1720="",G1721=""),"",(G1720+G1721)/2*(B1721-B1720))</f>
        <v/>
      </c>
      <c r="J1720" s="27">
        <f>IF(B1720="","",IF(B1719&lt;'02_Eingaben'!$C$36,0,J1719+I1719/'02_Eingaben'!$C$8))</f>
        <v/>
      </c>
    </row>
    <row r="1721">
      <c r="A1721">
        <f>IF('01_Rohdaten'!A1721="","",ROW()-1)</f>
        <v/>
      </c>
      <c r="B1721" s="27">
        <f>IF('01_Rohdaten'!A1721="","",'01_Rohdaten'!A1721)</f>
        <v/>
      </c>
      <c r="C1721" s="27">
        <f>IF(B1721="","",INDEX('01_Rohdaten'!B1721:D1721,'02_Eingaben'!$C$13))</f>
        <v/>
      </c>
      <c r="D1721" s="27">
        <f>IF(C1721="","",C1721*'02_Eingaben'!$C$15)</f>
        <v/>
      </c>
      <c r="E1721" s="27">
        <f>IF(D1721="","",D1721*'02_Eingaben'!$C$8)</f>
        <v/>
      </c>
      <c r="F1721" s="27">
        <f>IF(E1721="","",AVERAGE(INDEX($E$2:$E$3001,MAX(1,ROW()-1-'02_Eingaben'!$C$17)):INDEX($E$2:$E$3001,MIN('02_Eingaben'!$C$21,ROW()-1+'02_Eingaben'!$C$17))))</f>
        <v/>
      </c>
      <c r="G1721" s="27">
        <f>IF(F1721="","",F1721-'02_Eingaben'!$C$10)</f>
        <v/>
      </c>
      <c r="H1721">
        <f>IF(F1721="","",IF(F1721&lt;'02_Eingaben'!$C$18*'02_Eingaben'!$C$10,1,0))</f>
        <v/>
      </c>
      <c r="I1721" s="27">
        <f>IF(OR(G1721="",G1722=""),"",(G1721+G1722)/2*(B1722-B1721))</f>
        <v/>
      </c>
      <c r="J1721" s="27">
        <f>IF(B1721="","",IF(B1720&lt;'02_Eingaben'!$C$36,0,J1720+I1720/'02_Eingaben'!$C$8))</f>
        <v/>
      </c>
    </row>
    <row r="1722">
      <c r="A1722">
        <f>IF('01_Rohdaten'!A1722="","",ROW()-1)</f>
        <v/>
      </c>
      <c r="B1722" s="27">
        <f>IF('01_Rohdaten'!A1722="","",'01_Rohdaten'!A1722)</f>
        <v/>
      </c>
      <c r="C1722" s="27">
        <f>IF(B1722="","",INDEX('01_Rohdaten'!B1722:D1722,'02_Eingaben'!$C$13))</f>
        <v/>
      </c>
      <c r="D1722" s="27">
        <f>IF(C1722="","",C1722*'02_Eingaben'!$C$15)</f>
        <v/>
      </c>
      <c r="E1722" s="27">
        <f>IF(D1722="","",D1722*'02_Eingaben'!$C$8)</f>
        <v/>
      </c>
      <c r="F1722" s="27">
        <f>IF(E1722="","",AVERAGE(INDEX($E$2:$E$3001,MAX(1,ROW()-1-'02_Eingaben'!$C$17)):INDEX($E$2:$E$3001,MIN('02_Eingaben'!$C$21,ROW()-1+'02_Eingaben'!$C$17))))</f>
        <v/>
      </c>
      <c r="G1722" s="27">
        <f>IF(F1722="","",F1722-'02_Eingaben'!$C$10)</f>
        <v/>
      </c>
      <c r="H1722">
        <f>IF(F1722="","",IF(F1722&lt;'02_Eingaben'!$C$18*'02_Eingaben'!$C$10,1,0))</f>
        <v/>
      </c>
      <c r="I1722" s="27">
        <f>IF(OR(G1722="",G1723=""),"",(G1722+G1723)/2*(B1723-B1722))</f>
        <v/>
      </c>
      <c r="J1722" s="27">
        <f>IF(B1722="","",IF(B1721&lt;'02_Eingaben'!$C$36,0,J1721+I1721/'02_Eingaben'!$C$8))</f>
        <v/>
      </c>
    </row>
    <row r="1723">
      <c r="A1723">
        <f>IF('01_Rohdaten'!A1723="","",ROW()-1)</f>
        <v/>
      </c>
      <c r="B1723" s="27">
        <f>IF('01_Rohdaten'!A1723="","",'01_Rohdaten'!A1723)</f>
        <v/>
      </c>
      <c r="C1723" s="27">
        <f>IF(B1723="","",INDEX('01_Rohdaten'!B1723:D1723,'02_Eingaben'!$C$13))</f>
        <v/>
      </c>
      <c r="D1723" s="27">
        <f>IF(C1723="","",C1723*'02_Eingaben'!$C$15)</f>
        <v/>
      </c>
      <c r="E1723" s="27">
        <f>IF(D1723="","",D1723*'02_Eingaben'!$C$8)</f>
        <v/>
      </c>
      <c r="F1723" s="27">
        <f>IF(E1723="","",AVERAGE(INDEX($E$2:$E$3001,MAX(1,ROW()-1-'02_Eingaben'!$C$17)):INDEX($E$2:$E$3001,MIN('02_Eingaben'!$C$21,ROW()-1+'02_Eingaben'!$C$17))))</f>
        <v/>
      </c>
      <c r="G1723" s="27">
        <f>IF(F1723="","",F1723-'02_Eingaben'!$C$10)</f>
        <v/>
      </c>
      <c r="H1723">
        <f>IF(F1723="","",IF(F1723&lt;'02_Eingaben'!$C$18*'02_Eingaben'!$C$10,1,0))</f>
        <v/>
      </c>
      <c r="I1723" s="27">
        <f>IF(OR(G1723="",G1724=""),"",(G1723+G1724)/2*(B1724-B1723))</f>
        <v/>
      </c>
      <c r="J1723" s="27">
        <f>IF(B1723="","",IF(B1722&lt;'02_Eingaben'!$C$36,0,J1722+I1722/'02_Eingaben'!$C$8))</f>
        <v/>
      </c>
    </row>
    <row r="1724">
      <c r="A1724">
        <f>IF('01_Rohdaten'!A1724="","",ROW()-1)</f>
        <v/>
      </c>
      <c r="B1724" s="27">
        <f>IF('01_Rohdaten'!A1724="","",'01_Rohdaten'!A1724)</f>
        <v/>
      </c>
      <c r="C1724" s="27">
        <f>IF(B1724="","",INDEX('01_Rohdaten'!B1724:D1724,'02_Eingaben'!$C$13))</f>
        <v/>
      </c>
      <c r="D1724" s="27">
        <f>IF(C1724="","",C1724*'02_Eingaben'!$C$15)</f>
        <v/>
      </c>
      <c r="E1724" s="27">
        <f>IF(D1724="","",D1724*'02_Eingaben'!$C$8)</f>
        <v/>
      </c>
      <c r="F1724" s="27">
        <f>IF(E1724="","",AVERAGE(INDEX($E$2:$E$3001,MAX(1,ROW()-1-'02_Eingaben'!$C$17)):INDEX($E$2:$E$3001,MIN('02_Eingaben'!$C$21,ROW()-1+'02_Eingaben'!$C$17))))</f>
        <v/>
      </c>
      <c r="G1724" s="27">
        <f>IF(F1724="","",F1724-'02_Eingaben'!$C$10)</f>
        <v/>
      </c>
      <c r="H1724">
        <f>IF(F1724="","",IF(F1724&lt;'02_Eingaben'!$C$18*'02_Eingaben'!$C$10,1,0))</f>
        <v/>
      </c>
      <c r="I1724" s="27">
        <f>IF(OR(G1724="",G1725=""),"",(G1724+G1725)/2*(B1725-B1724))</f>
        <v/>
      </c>
      <c r="J1724" s="27">
        <f>IF(B1724="","",IF(B1723&lt;'02_Eingaben'!$C$36,0,J1723+I1723/'02_Eingaben'!$C$8))</f>
        <v/>
      </c>
    </row>
    <row r="1725">
      <c r="A1725">
        <f>IF('01_Rohdaten'!A1725="","",ROW()-1)</f>
        <v/>
      </c>
      <c r="B1725" s="27">
        <f>IF('01_Rohdaten'!A1725="","",'01_Rohdaten'!A1725)</f>
        <v/>
      </c>
      <c r="C1725" s="27">
        <f>IF(B1725="","",INDEX('01_Rohdaten'!B1725:D1725,'02_Eingaben'!$C$13))</f>
        <v/>
      </c>
      <c r="D1725" s="27">
        <f>IF(C1725="","",C1725*'02_Eingaben'!$C$15)</f>
        <v/>
      </c>
      <c r="E1725" s="27">
        <f>IF(D1725="","",D1725*'02_Eingaben'!$C$8)</f>
        <v/>
      </c>
      <c r="F1725" s="27">
        <f>IF(E1725="","",AVERAGE(INDEX($E$2:$E$3001,MAX(1,ROW()-1-'02_Eingaben'!$C$17)):INDEX($E$2:$E$3001,MIN('02_Eingaben'!$C$21,ROW()-1+'02_Eingaben'!$C$17))))</f>
        <v/>
      </c>
      <c r="G1725" s="27">
        <f>IF(F1725="","",F1725-'02_Eingaben'!$C$10)</f>
        <v/>
      </c>
      <c r="H1725">
        <f>IF(F1725="","",IF(F1725&lt;'02_Eingaben'!$C$18*'02_Eingaben'!$C$10,1,0))</f>
        <v/>
      </c>
      <c r="I1725" s="27">
        <f>IF(OR(G1725="",G1726=""),"",(G1725+G1726)/2*(B1726-B1725))</f>
        <v/>
      </c>
      <c r="J1725" s="27">
        <f>IF(B1725="","",IF(B1724&lt;'02_Eingaben'!$C$36,0,J1724+I1724/'02_Eingaben'!$C$8))</f>
        <v/>
      </c>
    </row>
    <row r="1726">
      <c r="A1726">
        <f>IF('01_Rohdaten'!A1726="","",ROW()-1)</f>
        <v/>
      </c>
      <c r="B1726" s="27">
        <f>IF('01_Rohdaten'!A1726="","",'01_Rohdaten'!A1726)</f>
        <v/>
      </c>
      <c r="C1726" s="27">
        <f>IF(B1726="","",INDEX('01_Rohdaten'!B1726:D1726,'02_Eingaben'!$C$13))</f>
        <v/>
      </c>
      <c r="D1726" s="27">
        <f>IF(C1726="","",C1726*'02_Eingaben'!$C$15)</f>
        <v/>
      </c>
      <c r="E1726" s="27">
        <f>IF(D1726="","",D1726*'02_Eingaben'!$C$8)</f>
        <v/>
      </c>
      <c r="F1726" s="27">
        <f>IF(E1726="","",AVERAGE(INDEX($E$2:$E$3001,MAX(1,ROW()-1-'02_Eingaben'!$C$17)):INDEX($E$2:$E$3001,MIN('02_Eingaben'!$C$21,ROW()-1+'02_Eingaben'!$C$17))))</f>
        <v/>
      </c>
      <c r="G1726" s="27">
        <f>IF(F1726="","",F1726-'02_Eingaben'!$C$10)</f>
        <v/>
      </c>
      <c r="H1726">
        <f>IF(F1726="","",IF(F1726&lt;'02_Eingaben'!$C$18*'02_Eingaben'!$C$10,1,0))</f>
        <v/>
      </c>
      <c r="I1726" s="27">
        <f>IF(OR(G1726="",G1727=""),"",(G1726+G1727)/2*(B1727-B1726))</f>
        <v/>
      </c>
      <c r="J1726" s="27">
        <f>IF(B1726="","",IF(B1725&lt;'02_Eingaben'!$C$36,0,J1725+I1725/'02_Eingaben'!$C$8))</f>
        <v/>
      </c>
    </row>
    <row r="1727">
      <c r="A1727">
        <f>IF('01_Rohdaten'!A1727="","",ROW()-1)</f>
        <v/>
      </c>
      <c r="B1727" s="27">
        <f>IF('01_Rohdaten'!A1727="","",'01_Rohdaten'!A1727)</f>
        <v/>
      </c>
      <c r="C1727" s="27">
        <f>IF(B1727="","",INDEX('01_Rohdaten'!B1727:D1727,'02_Eingaben'!$C$13))</f>
        <v/>
      </c>
      <c r="D1727" s="27">
        <f>IF(C1727="","",C1727*'02_Eingaben'!$C$15)</f>
        <v/>
      </c>
      <c r="E1727" s="27">
        <f>IF(D1727="","",D1727*'02_Eingaben'!$C$8)</f>
        <v/>
      </c>
      <c r="F1727" s="27">
        <f>IF(E1727="","",AVERAGE(INDEX($E$2:$E$3001,MAX(1,ROW()-1-'02_Eingaben'!$C$17)):INDEX($E$2:$E$3001,MIN('02_Eingaben'!$C$21,ROW()-1+'02_Eingaben'!$C$17))))</f>
        <v/>
      </c>
      <c r="G1727" s="27">
        <f>IF(F1727="","",F1727-'02_Eingaben'!$C$10)</f>
        <v/>
      </c>
      <c r="H1727">
        <f>IF(F1727="","",IF(F1727&lt;'02_Eingaben'!$C$18*'02_Eingaben'!$C$10,1,0))</f>
        <v/>
      </c>
      <c r="I1727" s="27">
        <f>IF(OR(G1727="",G1728=""),"",(G1727+G1728)/2*(B1728-B1727))</f>
        <v/>
      </c>
      <c r="J1727" s="27">
        <f>IF(B1727="","",IF(B1726&lt;'02_Eingaben'!$C$36,0,J1726+I1726/'02_Eingaben'!$C$8))</f>
        <v/>
      </c>
    </row>
    <row r="1728">
      <c r="A1728">
        <f>IF('01_Rohdaten'!A1728="","",ROW()-1)</f>
        <v/>
      </c>
      <c r="B1728" s="27">
        <f>IF('01_Rohdaten'!A1728="","",'01_Rohdaten'!A1728)</f>
        <v/>
      </c>
      <c r="C1728" s="27">
        <f>IF(B1728="","",INDEX('01_Rohdaten'!B1728:D1728,'02_Eingaben'!$C$13))</f>
        <v/>
      </c>
      <c r="D1728" s="27">
        <f>IF(C1728="","",C1728*'02_Eingaben'!$C$15)</f>
        <v/>
      </c>
      <c r="E1728" s="27">
        <f>IF(D1728="","",D1728*'02_Eingaben'!$C$8)</f>
        <v/>
      </c>
      <c r="F1728" s="27">
        <f>IF(E1728="","",AVERAGE(INDEX($E$2:$E$3001,MAX(1,ROW()-1-'02_Eingaben'!$C$17)):INDEX($E$2:$E$3001,MIN('02_Eingaben'!$C$21,ROW()-1+'02_Eingaben'!$C$17))))</f>
        <v/>
      </c>
      <c r="G1728" s="27">
        <f>IF(F1728="","",F1728-'02_Eingaben'!$C$10)</f>
        <v/>
      </c>
      <c r="H1728">
        <f>IF(F1728="","",IF(F1728&lt;'02_Eingaben'!$C$18*'02_Eingaben'!$C$10,1,0))</f>
        <v/>
      </c>
      <c r="I1728" s="27">
        <f>IF(OR(G1728="",G1729=""),"",(G1728+G1729)/2*(B1729-B1728))</f>
        <v/>
      </c>
      <c r="J1728" s="27">
        <f>IF(B1728="","",IF(B1727&lt;'02_Eingaben'!$C$36,0,J1727+I1727/'02_Eingaben'!$C$8))</f>
        <v/>
      </c>
    </row>
    <row r="1729">
      <c r="A1729">
        <f>IF('01_Rohdaten'!A1729="","",ROW()-1)</f>
        <v/>
      </c>
      <c r="B1729" s="27">
        <f>IF('01_Rohdaten'!A1729="","",'01_Rohdaten'!A1729)</f>
        <v/>
      </c>
      <c r="C1729" s="27">
        <f>IF(B1729="","",INDEX('01_Rohdaten'!B1729:D1729,'02_Eingaben'!$C$13))</f>
        <v/>
      </c>
      <c r="D1729" s="27">
        <f>IF(C1729="","",C1729*'02_Eingaben'!$C$15)</f>
        <v/>
      </c>
      <c r="E1729" s="27">
        <f>IF(D1729="","",D1729*'02_Eingaben'!$C$8)</f>
        <v/>
      </c>
      <c r="F1729" s="27">
        <f>IF(E1729="","",AVERAGE(INDEX($E$2:$E$3001,MAX(1,ROW()-1-'02_Eingaben'!$C$17)):INDEX($E$2:$E$3001,MIN('02_Eingaben'!$C$21,ROW()-1+'02_Eingaben'!$C$17))))</f>
        <v/>
      </c>
      <c r="G1729" s="27">
        <f>IF(F1729="","",F1729-'02_Eingaben'!$C$10)</f>
        <v/>
      </c>
      <c r="H1729">
        <f>IF(F1729="","",IF(F1729&lt;'02_Eingaben'!$C$18*'02_Eingaben'!$C$10,1,0))</f>
        <v/>
      </c>
      <c r="I1729" s="27">
        <f>IF(OR(G1729="",G1730=""),"",(G1729+G1730)/2*(B1730-B1729))</f>
        <v/>
      </c>
      <c r="J1729" s="27">
        <f>IF(B1729="","",IF(B1728&lt;'02_Eingaben'!$C$36,0,J1728+I1728/'02_Eingaben'!$C$8))</f>
        <v/>
      </c>
    </row>
    <row r="1730">
      <c r="A1730">
        <f>IF('01_Rohdaten'!A1730="","",ROW()-1)</f>
        <v/>
      </c>
      <c r="B1730" s="27">
        <f>IF('01_Rohdaten'!A1730="","",'01_Rohdaten'!A1730)</f>
        <v/>
      </c>
      <c r="C1730" s="27">
        <f>IF(B1730="","",INDEX('01_Rohdaten'!B1730:D1730,'02_Eingaben'!$C$13))</f>
        <v/>
      </c>
      <c r="D1730" s="27">
        <f>IF(C1730="","",C1730*'02_Eingaben'!$C$15)</f>
        <v/>
      </c>
      <c r="E1730" s="27">
        <f>IF(D1730="","",D1730*'02_Eingaben'!$C$8)</f>
        <v/>
      </c>
      <c r="F1730" s="27">
        <f>IF(E1730="","",AVERAGE(INDEX($E$2:$E$3001,MAX(1,ROW()-1-'02_Eingaben'!$C$17)):INDEX($E$2:$E$3001,MIN('02_Eingaben'!$C$21,ROW()-1+'02_Eingaben'!$C$17))))</f>
        <v/>
      </c>
      <c r="G1730" s="27">
        <f>IF(F1730="","",F1730-'02_Eingaben'!$C$10)</f>
        <v/>
      </c>
      <c r="H1730">
        <f>IF(F1730="","",IF(F1730&lt;'02_Eingaben'!$C$18*'02_Eingaben'!$C$10,1,0))</f>
        <v/>
      </c>
      <c r="I1730" s="27">
        <f>IF(OR(G1730="",G1731=""),"",(G1730+G1731)/2*(B1731-B1730))</f>
        <v/>
      </c>
      <c r="J1730" s="27">
        <f>IF(B1730="","",IF(B1729&lt;'02_Eingaben'!$C$36,0,J1729+I1729/'02_Eingaben'!$C$8))</f>
        <v/>
      </c>
    </row>
    <row r="1731">
      <c r="A1731">
        <f>IF('01_Rohdaten'!A1731="","",ROW()-1)</f>
        <v/>
      </c>
      <c r="B1731" s="27">
        <f>IF('01_Rohdaten'!A1731="","",'01_Rohdaten'!A1731)</f>
        <v/>
      </c>
      <c r="C1731" s="27">
        <f>IF(B1731="","",INDEX('01_Rohdaten'!B1731:D1731,'02_Eingaben'!$C$13))</f>
        <v/>
      </c>
      <c r="D1731" s="27">
        <f>IF(C1731="","",C1731*'02_Eingaben'!$C$15)</f>
        <v/>
      </c>
      <c r="E1731" s="27">
        <f>IF(D1731="","",D1731*'02_Eingaben'!$C$8)</f>
        <v/>
      </c>
      <c r="F1731" s="27">
        <f>IF(E1731="","",AVERAGE(INDEX($E$2:$E$3001,MAX(1,ROW()-1-'02_Eingaben'!$C$17)):INDEX($E$2:$E$3001,MIN('02_Eingaben'!$C$21,ROW()-1+'02_Eingaben'!$C$17))))</f>
        <v/>
      </c>
      <c r="G1731" s="27">
        <f>IF(F1731="","",F1731-'02_Eingaben'!$C$10)</f>
        <v/>
      </c>
      <c r="H1731">
        <f>IF(F1731="","",IF(F1731&lt;'02_Eingaben'!$C$18*'02_Eingaben'!$C$10,1,0))</f>
        <v/>
      </c>
      <c r="I1731" s="27">
        <f>IF(OR(G1731="",G1732=""),"",(G1731+G1732)/2*(B1732-B1731))</f>
        <v/>
      </c>
      <c r="J1731" s="27">
        <f>IF(B1731="","",IF(B1730&lt;'02_Eingaben'!$C$36,0,J1730+I1730/'02_Eingaben'!$C$8))</f>
        <v/>
      </c>
    </row>
    <row r="1732">
      <c r="A1732">
        <f>IF('01_Rohdaten'!A1732="","",ROW()-1)</f>
        <v/>
      </c>
      <c r="B1732" s="27">
        <f>IF('01_Rohdaten'!A1732="","",'01_Rohdaten'!A1732)</f>
        <v/>
      </c>
      <c r="C1732" s="27">
        <f>IF(B1732="","",INDEX('01_Rohdaten'!B1732:D1732,'02_Eingaben'!$C$13))</f>
        <v/>
      </c>
      <c r="D1732" s="27">
        <f>IF(C1732="","",C1732*'02_Eingaben'!$C$15)</f>
        <v/>
      </c>
      <c r="E1732" s="27">
        <f>IF(D1732="","",D1732*'02_Eingaben'!$C$8)</f>
        <v/>
      </c>
      <c r="F1732" s="27">
        <f>IF(E1732="","",AVERAGE(INDEX($E$2:$E$3001,MAX(1,ROW()-1-'02_Eingaben'!$C$17)):INDEX($E$2:$E$3001,MIN('02_Eingaben'!$C$21,ROW()-1+'02_Eingaben'!$C$17))))</f>
        <v/>
      </c>
      <c r="G1732" s="27">
        <f>IF(F1732="","",F1732-'02_Eingaben'!$C$10)</f>
        <v/>
      </c>
      <c r="H1732">
        <f>IF(F1732="","",IF(F1732&lt;'02_Eingaben'!$C$18*'02_Eingaben'!$C$10,1,0))</f>
        <v/>
      </c>
      <c r="I1732" s="27">
        <f>IF(OR(G1732="",G1733=""),"",(G1732+G1733)/2*(B1733-B1732))</f>
        <v/>
      </c>
      <c r="J1732" s="27">
        <f>IF(B1732="","",IF(B1731&lt;'02_Eingaben'!$C$36,0,J1731+I1731/'02_Eingaben'!$C$8))</f>
        <v/>
      </c>
    </row>
    <row r="1733">
      <c r="A1733">
        <f>IF('01_Rohdaten'!A1733="","",ROW()-1)</f>
        <v/>
      </c>
      <c r="B1733" s="27">
        <f>IF('01_Rohdaten'!A1733="","",'01_Rohdaten'!A1733)</f>
        <v/>
      </c>
      <c r="C1733" s="27">
        <f>IF(B1733="","",INDEX('01_Rohdaten'!B1733:D1733,'02_Eingaben'!$C$13))</f>
        <v/>
      </c>
      <c r="D1733" s="27">
        <f>IF(C1733="","",C1733*'02_Eingaben'!$C$15)</f>
        <v/>
      </c>
      <c r="E1733" s="27">
        <f>IF(D1733="","",D1733*'02_Eingaben'!$C$8)</f>
        <v/>
      </c>
      <c r="F1733" s="27">
        <f>IF(E1733="","",AVERAGE(INDEX($E$2:$E$3001,MAX(1,ROW()-1-'02_Eingaben'!$C$17)):INDEX($E$2:$E$3001,MIN('02_Eingaben'!$C$21,ROW()-1+'02_Eingaben'!$C$17))))</f>
        <v/>
      </c>
      <c r="G1733" s="27">
        <f>IF(F1733="","",F1733-'02_Eingaben'!$C$10)</f>
        <v/>
      </c>
      <c r="H1733">
        <f>IF(F1733="","",IF(F1733&lt;'02_Eingaben'!$C$18*'02_Eingaben'!$C$10,1,0))</f>
        <v/>
      </c>
      <c r="I1733" s="27">
        <f>IF(OR(G1733="",G1734=""),"",(G1733+G1734)/2*(B1734-B1733))</f>
        <v/>
      </c>
      <c r="J1733" s="27">
        <f>IF(B1733="","",IF(B1732&lt;'02_Eingaben'!$C$36,0,J1732+I1732/'02_Eingaben'!$C$8))</f>
        <v/>
      </c>
    </row>
    <row r="1734">
      <c r="A1734">
        <f>IF('01_Rohdaten'!A1734="","",ROW()-1)</f>
        <v/>
      </c>
      <c r="B1734" s="27">
        <f>IF('01_Rohdaten'!A1734="","",'01_Rohdaten'!A1734)</f>
        <v/>
      </c>
      <c r="C1734" s="27">
        <f>IF(B1734="","",INDEX('01_Rohdaten'!B1734:D1734,'02_Eingaben'!$C$13))</f>
        <v/>
      </c>
      <c r="D1734" s="27">
        <f>IF(C1734="","",C1734*'02_Eingaben'!$C$15)</f>
        <v/>
      </c>
      <c r="E1734" s="27">
        <f>IF(D1734="","",D1734*'02_Eingaben'!$C$8)</f>
        <v/>
      </c>
      <c r="F1734" s="27">
        <f>IF(E1734="","",AVERAGE(INDEX($E$2:$E$3001,MAX(1,ROW()-1-'02_Eingaben'!$C$17)):INDEX($E$2:$E$3001,MIN('02_Eingaben'!$C$21,ROW()-1+'02_Eingaben'!$C$17))))</f>
        <v/>
      </c>
      <c r="G1734" s="27">
        <f>IF(F1734="","",F1734-'02_Eingaben'!$C$10)</f>
        <v/>
      </c>
      <c r="H1734">
        <f>IF(F1734="","",IF(F1734&lt;'02_Eingaben'!$C$18*'02_Eingaben'!$C$10,1,0))</f>
        <v/>
      </c>
      <c r="I1734" s="27">
        <f>IF(OR(G1734="",G1735=""),"",(G1734+G1735)/2*(B1735-B1734))</f>
        <v/>
      </c>
      <c r="J1734" s="27">
        <f>IF(B1734="","",IF(B1733&lt;'02_Eingaben'!$C$36,0,J1733+I1733/'02_Eingaben'!$C$8))</f>
        <v/>
      </c>
    </row>
    <row r="1735">
      <c r="A1735">
        <f>IF('01_Rohdaten'!A1735="","",ROW()-1)</f>
        <v/>
      </c>
      <c r="B1735" s="27">
        <f>IF('01_Rohdaten'!A1735="","",'01_Rohdaten'!A1735)</f>
        <v/>
      </c>
      <c r="C1735" s="27">
        <f>IF(B1735="","",INDEX('01_Rohdaten'!B1735:D1735,'02_Eingaben'!$C$13))</f>
        <v/>
      </c>
      <c r="D1735" s="27">
        <f>IF(C1735="","",C1735*'02_Eingaben'!$C$15)</f>
        <v/>
      </c>
      <c r="E1735" s="27">
        <f>IF(D1735="","",D1735*'02_Eingaben'!$C$8)</f>
        <v/>
      </c>
      <c r="F1735" s="27">
        <f>IF(E1735="","",AVERAGE(INDEX($E$2:$E$3001,MAX(1,ROW()-1-'02_Eingaben'!$C$17)):INDEX($E$2:$E$3001,MIN('02_Eingaben'!$C$21,ROW()-1+'02_Eingaben'!$C$17))))</f>
        <v/>
      </c>
      <c r="G1735" s="27">
        <f>IF(F1735="","",F1735-'02_Eingaben'!$C$10)</f>
        <v/>
      </c>
      <c r="H1735">
        <f>IF(F1735="","",IF(F1735&lt;'02_Eingaben'!$C$18*'02_Eingaben'!$C$10,1,0))</f>
        <v/>
      </c>
      <c r="I1735" s="27">
        <f>IF(OR(G1735="",G1736=""),"",(G1735+G1736)/2*(B1736-B1735))</f>
        <v/>
      </c>
      <c r="J1735" s="27">
        <f>IF(B1735="","",IF(B1734&lt;'02_Eingaben'!$C$36,0,J1734+I1734/'02_Eingaben'!$C$8))</f>
        <v/>
      </c>
    </row>
    <row r="1736">
      <c r="A1736">
        <f>IF('01_Rohdaten'!A1736="","",ROW()-1)</f>
        <v/>
      </c>
      <c r="B1736" s="27">
        <f>IF('01_Rohdaten'!A1736="","",'01_Rohdaten'!A1736)</f>
        <v/>
      </c>
      <c r="C1736" s="27">
        <f>IF(B1736="","",INDEX('01_Rohdaten'!B1736:D1736,'02_Eingaben'!$C$13))</f>
        <v/>
      </c>
      <c r="D1736" s="27">
        <f>IF(C1736="","",C1736*'02_Eingaben'!$C$15)</f>
        <v/>
      </c>
      <c r="E1736" s="27">
        <f>IF(D1736="","",D1736*'02_Eingaben'!$C$8)</f>
        <v/>
      </c>
      <c r="F1736" s="27">
        <f>IF(E1736="","",AVERAGE(INDEX($E$2:$E$3001,MAX(1,ROW()-1-'02_Eingaben'!$C$17)):INDEX($E$2:$E$3001,MIN('02_Eingaben'!$C$21,ROW()-1+'02_Eingaben'!$C$17))))</f>
        <v/>
      </c>
      <c r="G1736" s="27">
        <f>IF(F1736="","",F1736-'02_Eingaben'!$C$10)</f>
        <v/>
      </c>
      <c r="H1736">
        <f>IF(F1736="","",IF(F1736&lt;'02_Eingaben'!$C$18*'02_Eingaben'!$C$10,1,0))</f>
        <v/>
      </c>
      <c r="I1736" s="27">
        <f>IF(OR(G1736="",G1737=""),"",(G1736+G1737)/2*(B1737-B1736))</f>
        <v/>
      </c>
      <c r="J1736" s="27">
        <f>IF(B1736="","",IF(B1735&lt;'02_Eingaben'!$C$36,0,J1735+I1735/'02_Eingaben'!$C$8))</f>
        <v/>
      </c>
    </row>
    <row r="1737">
      <c r="A1737">
        <f>IF('01_Rohdaten'!A1737="","",ROW()-1)</f>
        <v/>
      </c>
      <c r="B1737" s="27">
        <f>IF('01_Rohdaten'!A1737="","",'01_Rohdaten'!A1737)</f>
        <v/>
      </c>
      <c r="C1737" s="27">
        <f>IF(B1737="","",INDEX('01_Rohdaten'!B1737:D1737,'02_Eingaben'!$C$13))</f>
        <v/>
      </c>
      <c r="D1737" s="27">
        <f>IF(C1737="","",C1737*'02_Eingaben'!$C$15)</f>
        <v/>
      </c>
      <c r="E1737" s="27">
        <f>IF(D1737="","",D1737*'02_Eingaben'!$C$8)</f>
        <v/>
      </c>
      <c r="F1737" s="27">
        <f>IF(E1737="","",AVERAGE(INDEX($E$2:$E$3001,MAX(1,ROW()-1-'02_Eingaben'!$C$17)):INDEX($E$2:$E$3001,MIN('02_Eingaben'!$C$21,ROW()-1+'02_Eingaben'!$C$17))))</f>
        <v/>
      </c>
      <c r="G1737" s="27">
        <f>IF(F1737="","",F1737-'02_Eingaben'!$C$10)</f>
        <v/>
      </c>
      <c r="H1737">
        <f>IF(F1737="","",IF(F1737&lt;'02_Eingaben'!$C$18*'02_Eingaben'!$C$10,1,0))</f>
        <v/>
      </c>
      <c r="I1737" s="27">
        <f>IF(OR(G1737="",G1738=""),"",(G1737+G1738)/2*(B1738-B1737))</f>
        <v/>
      </c>
      <c r="J1737" s="27">
        <f>IF(B1737="","",IF(B1736&lt;'02_Eingaben'!$C$36,0,J1736+I1736/'02_Eingaben'!$C$8))</f>
        <v/>
      </c>
    </row>
    <row r="1738">
      <c r="A1738">
        <f>IF('01_Rohdaten'!A1738="","",ROW()-1)</f>
        <v/>
      </c>
      <c r="B1738" s="27">
        <f>IF('01_Rohdaten'!A1738="","",'01_Rohdaten'!A1738)</f>
        <v/>
      </c>
      <c r="C1738" s="27">
        <f>IF(B1738="","",INDEX('01_Rohdaten'!B1738:D1738,'02_Eingaben'!$C$13))</f>
        <v/>
      </c>
      <c r="D1738" s="27">
        <f>IF(C1738="","",C1738*'02_Eingaben'!$C$15)</f>
        <v/>
      </c>
      <c r="E1738" s="27">
        <f>IF(D1738="","",D1738*'02_Eingaben'!$C$8)</f>
        <v/>
      </c>
      <c r="F1738" s="27">
        <f>IF(E1738="","",AVERAGE(INDEX($E$2:$E$3001,MAX(1,ROW()-1-'02_Eingaben'!$C$17)):INDEX($E$2:$E$3001,MIN('02_Eingaben'!$C$21,ROW()-1+'02_Eingaben'!$C$17))))</f>
        <v/>
      </c>
      <c r="G1738" s="27">
        <f>IF(F1738="","",F1738-'02_Eingaben'!$C$10)</f>
        <v/>
      </c>
      <c r="H1738">
        <f>IF(F1738="","",IF(F1738&lt;'02_Eingaben'!$C$18*'02_Eingaben'!$C$10,1,0))</f>
        <v/>
      </c>
      <c r="I1738" s="27">
        <f>IF(OR(G1738="",G1739=""),"",(G1738+G1739)/2*(B1739-B1738))</f>
        <v/>
      </c>
      <c r="J1738" s="27">
        <f>IF(B1738="","",IF(B1737&lt;'02_Eingaben'!$C$36,0,J1737+I1737/'02_Eingaben'!$C$8))</f>
        <v/>
      </c>
    </row>
    <row r="1739">
      <c r="A1739">
        <f>IF('01_Rohdaten'!A1739="","",ROW()-1)</f>
        <v/>
      </c>
      <c r="B1739" s="27">
        <f>IF('01_Rohdaten'!A1739="","",'01_Rohdaten'!A1739)</f>
        <v/>
      </c>
      <c r="C1739" s="27">
        <f>IF(B1739="","",INDEX('01_Rohdaten'!B1739:D1739,'02_Eingaben'!$C$13))</f>
        <v/>
      </c>
      <c r="D1739" s="27">
        <f>IF(C1739="","",C1739*'02_Eingaben'!$C$15)</f>
        <v/>
      </c>
      <c r="E1739" s="27">
        <f>IF(D1739="","",D1739*'02_Eingaben'!$C$8)</f>
        <v/>
      </c>
      <c r="F1739" s="27">
        <f>IF(E1739="","",AVERAGE(INDEX($E$2:$E$3001,MAX(1,ROW()-1-'02_Eingaben'!$C$17)):INDEX($E$2:$E$3001,MIN('02_Eingaben'!$C$21,ROW()-1+'02_Eingaben'!$C$17))))</f>
        <v/>
      </c>
      <c r="G1739" s="27">
        <f>IF(F1739="","",F1739-'02_Eingaben'!$C$10)</f>
        <v/>
      </c>
      <c r="H1739">
        <f>IF(F1739="","",IF(F1739&lt;'02_Eingaben'!$C$18*'02_Eingaben'!$C$10,1,0))</f>
        <v/>
      </c>
      <c r="I1739" s="27">
        <f>IF(OR(G1739="",G1740=""),"",(G1739+G1740)/2*(B1740-B1739))</f>
        <v/>
      </c>
      <c r="J1739" s="27">
        <f>IF(B1739="","",IF(B1738&lt;'02_Eingaben'!$C$36,0,J1738+I1738/'02_Eingaben'!$C$8))</f>
        <v/>
      </c>
    </row>
    <row r="1740">
      <c r="A1740">
        <f>IF('01_Rohdaten'!A1740="","",ROW()-1)</f>
        <v/>
      </c>
      <c r="B1740" s="27">
        <f>IF('01_Rohdaten'!A1740="","",'01_Rohdaten'!A1740)</f>
        <v/>
      </c>
      <c r="C1740" s="27">
        <f>IF(B1740="","",INDEX('01_Rohdaten'!B1740:D1740,'02_Eingaben'!$C$13))</f>
        <v/>
      </c>
      <c r="D1740" s="27">
        <f>IF(C1740="","",C1740*'02_Eingaben'!$C$15)</f>
        <v/>
      </c>
      <c r="E1740" s="27">
        <f>IF(D1740="","",D1740*'02_Eingaben'!$C$8)</f>
        <v/>
      </c>
      <c r="F1740" s="27">
        <f>IF(E1740="","",AVERAGE(INDEX($E$2:$E$3001,MAX(1,ROW()-1-'02_Eingaben'!$C$17)):INDEX($E$2:$E$3001,MIN('02_Eingaben'!$C$21,ROW()-1+'02_Eingaben'!$C$17))))</f>
        <v/>
      </c>
      <c r="G1740" s="27">
        <f>IF(F1740="","",F1740-'02_Eingaben'!$C$10)</f>
        <v/>
      </c>
      <c r="H1740">
        <f>IF(F1740="","",IF(F1740&lt;'02_Eingaben'!$C$18*'02_Eingaben'!$C$10,1,0))</f>
        <v/>
      </c>
      <c r="I1740" s="27">
        <f>IF(OR(G1740="",G1741=""),"",(G1740+G1741)/2*(B1741-B1740))</f>
        <v/>
      </c>
      <c r="J1740" s="27">
        <f>IF(B1740="","",IF(B1739&lt;'02_Eingaben'!$C$36,0,J1739+I1739/'02_Eingaben'!$C$8))</f>
        <v/>
      </c>
    </row>
    <row r="1741">
      <c r="A1741">
        <f>IF('01_Rohdaten'!A1741="","",ROW()-1)</f>
        <v/>
      </c>
      <c r="B1741" s="27">
        <f>IF('01_Rohdaten'!A1741="","",'01_Rohdaten'!A1741)</f>
        <v/>
      </c>
      <c r="C1741" s="27">
        <f>IF(B1741="","",INDEX('01_Rohdaten'!B1741:D1741,'02_Eingaben'!$C$13))</f>
        <v/>
      </c>
      <c r="D1741" s="27">
        <f>IF(C1741="","",C1741*'02_Eingaben'!$C$15)</f>
        <v/>
      </c>
      <c r="E1741" s="27">
        <f>IF(D1741="","",D1741*'02_Eingaben'!$C$8)</f>
        <v/>
      </c>
      <c r="F1741" s="27">
        <f>IF(E1741="","",AVERAGE(INDEX($E$2:$E$3001,MAX(1,ROW()-1-'02_Eingaben'!$C$17)):INDEX($E$2:$E$3001,MIN('02_Eingaben'!$C$21,ROW()-1+'02_Eingaben'!$C$17))))</f>
        <v/>
      </c>
      <c r="G1741" s="27">
        <f>IF(F1741="","",F1741-'02_Eingaben'!$C$10)</f>
        <v/>
      </c>
      <c r="H1741">
        <f>IF(F1741="","",IF(F1741&lt;'02_Eingaben'!$C$18*'02_Eingaben'!$C$10,1,0))</f>
        <v/>
      </c>
      <c r="I1741" s="27">
        <f>IF(OR(G1741="",G1742=""),"",(G1741+G1742)/2*(B1742-B1741))</f>
        <v/>
      </c>
      <c r="J1741" s="27">
        <f>IF(B1741="","",IF(B1740&lt;'02_Eingaben'!$C$36,0,J1740+I1740/'02_Eingaben'!$C$8))</f>
        <v/>
      </c>
    </row>
    <row r="1742">
      <c r="A1742">
        <f>IF('01_Rohdaten'!A1742="","",ROW()-1)</f>
        <v/>
      </c>
      <c r="B1742" s="27">
        <f>IF('01_Rohdaten'!A1742="","",'01_Rohdaten'!A1742)</f>
        <v/>
      </c>
      <c r="C1742" s="27">
        <f>IF(B1742="","",INDEX('01_Rohdaten'!B1742:D1742,'02_Eingaben'!$C$13))</f>
        <v/>
      </c>
      <c r="D1742" s="27">
        <f>IF(C1742="","",C1742*'02_Eingaben'!$C$15)</f>
        <v/>
      </c>
      <c r="E1742" s="27">
        <f>IF(D1742="","",D1742*'02_Eingaben'!$C$8)</f>
        <v/>
      </c>
      <c r="F1742" s="27">
        <f>IF(E1742="","",AVERAGE(INDEX($E$2:$E$3001,MAX(1,ROW()-1-'02_Eingaben'!$C$17)):INDEX($E$2:$E$3001,MIN('02_Eingaben'!$C$21,ROW()-1+'02_Eingaben'!$C$17))))</f>
        <v/>
      </c>
      <c r="G1742" s="27">
        <f>IF(F1742="","",F1742-'02_Eingaben'!$C$10)</f>
        <v/>
      </c>
      <c r="H1742">
        <f>IF(F1742="","",IF(F1742&lt;'02_Eingaben'!$C$18*'02_Eingaben'!$C$10,1,0))</f>
        <v/>
      </c>
      <c r="I1742" s="27">
        <f>IF(OR(G1742="",G1743=""),"",(G1742+G1743)/2*(B1743-B1742))</f>
        <v/>
      </c>
      <c r="J1742" s="27">
        <f>IF(B1742="","",IF(B1741&lt;'02_Eingaben'!$C$36,0,J1741+I1741/'02_Eingaben'!$C$8))</f>
        <v/>
      </c>
    </row>
    <row r="1743">
      <c r="A1743">
        <f>IF('01_Rohdaten'!A1743="","",ROW()-1)</f>
        <v/>
      </c>
      <c r="B1743" s="27">
        <f>IF('01_Rohdaten'!A1743="","",'01_Rohdaten'!A1743)</f>
        <v/>
      </c>
      <c r="C1743" s="27">
        <f>IF(B1743="","",INDEX('01_Rohdaten'!B1743:D1743,'02_Eingaben'!$C$13))</f>
        <v/>
      </c>
      <c r="D1743" s="27">
        <f>IF(C1743="","",C1743*'02_Eingaben'!$C$15)</f>
        <v/>
      </c>
      <c r="E1743" s="27">
        <f>IF(D1743="","",D1743*'02_Eingaben'!$C$8)</f>
        <v/>
      </c>
      <c r="F1743" s="27">
        <f>IF(E1743="","",AVERAGE(INDEX($E$2:$E$3001,MAX(1,ROW()-1-'02_Eingaben'!$C$17)):INDEX($E$2:$E$3001,MIN('02_Eingaben'!$C$21,ROW()-1+'02_Eingaben'!$C$17))))</f>
        <v/>
      </c>
      <c r="G1743" s="27">
        <f>IF(F1743="","",F1743-'02_Eingaben'!$C$10)</f>
        <v/>
      </c>
      <c r="H1743">
        <f>IF(F1743="","",IF(F1743&lt;'02_Eingaben'!$C$18*'02_Eingaben'!$C$10,1,0))</f>
        <v/>
      </c>
      <c r="I1743" s="27">
        <f>IF(OR(G1743="",G1744=""),"",(G1743+G1744)/2*(B1744-B1743))</f>
        <v/>
      </c>
      <c r="J1743" s="27">
        <f>IF(B1743="","",IF(B1742&lt;'02_Eingaben'!$C$36,0,J1742+I1742/'02_Eingaben'!$C$8))</f>
        <v/>
      </c>
    </row>
    <row r="1744">
      <c r="A1744">
        <f>IF('01_Rohdaten'!A1744="","",ROW()-1)</f>
        <v/>
      </c>
      <c r="B1744" s="27">
        <f>IF('01_Rohdaten'!A1744="","",'01_Rohdaten'!A1744)</f>
        <v/>
      </c>
      <c r="C1744" s="27">
        <f>IF(B1744="","",INDEX('01_Rohdaten'!B1744:D1744,'02_Eingaben'!$C$13))</f>
        <v/>
      </c>
      <c r="D1744" s="27">
        <f>IF(C1744="","",C1744*'02_Eingaben'!$C$15)</f>
        <v/>
      </c>
      <c r="E1744" s="27">
        <f>IF(D1744="","",D1744*'02_Eingaben'!$C$8)</f>
        <v/>
      </c>
      <c r="F1744" s="27">
        <f>IF(E1744="","",AVERAGE(INDEX($E$2:$E$3001,MAX(1,ROW()-1-'02_Eingaben'!$C$17)):INDEX($E$2:$E$3001,MIN('02_Eingaben'!$C$21,ROW()-1+'02_Eingaben'!$C$17))))</f>
        <v/>
      </c>
      <c r="G1744" s="27">
        <f>IF(F1744="","",F1744-'02_Eingaben'!$C$10)</f>
        <v/>
      </c>
      <c r="H1744">
        <f>IF(F1744="","",IF(F1744&lt;'02_Eingaben'!$C$18*'02_Eingaben'!$C$10,1,0))</f>
        <v/>
      </c>
      <c r="I1744" s="27">
        <f>IF(OR(G1744="",G1745=""),"",(G1744+G1745)/2*(B1745-B1744))</f>
        <v/>
      </c>
      <c r="J1744" s="27">
        <f>IF(B1744="","",IF(B1743&lt;'02_Eingaben'!$C$36,0,J1743+I1743/'02_Eingaben'!$C$8))</f>
        <v/>
      </c>
    </row>
    <row r="1745">
      <c r="A1745">
        <f>IF('01_Rohdaten'!A1745="","",ROW()-1)</f>
        <v/>
      </c>
      <c r="B1745" s="27">
        <f>IF('01_Rohdaten'!A1745="","",'01_Rohdaten'!A1745)</f>
        <v/>
      </c>
      <c r="C1745" s="27">
        <f>IF(B1745="","",INDEX('01_Rohdaten'!B1745:D1745,'02_Eingaben'!$C$13))</f>
        <v/>
      </c>
      <c r="D1745" s="27">
        <f>IF(C1745="","",C1745*'02_Eingaben'!$C$15)</f>
        <v/>
      </c>
      <c r="E1745" s="27">
        <f>IF(D1745="","",D1745*'02_Eingaben'!$C$8)</f>
        <v/>
      </c>
      <c r="F1745" s="27">
        <f>IF(E1745="","",AVERAGE(INDEX($E$2:$E$3001,MAX(1,ROW()-1-'02_Eingaben'!$C$17)):INDEX($E$2:$E$3001,MIN('02_Eingaben'!$C$21,ROW()-1+'02_Eingaben'!$C$17))))</f>
        <v/>
      </c>
      <c r="G1745" s="27">
        <f>IF(F1745="","",F1745-'02_Eingaben'!$C$10)</f>
        <v/>
      </c>
      <c r="H1745">
        <f>IF(F1745="","",IF(F1745&lt;'02_Eingaben'!$C$18*'02_Eingaben'!$C$10,1,0))</f>
        <v/>
      </c>
      <c r="I1745" s="27">
        <f>IF(OR(G1745="",G1746=""),"",(G1745+G1746)/2*(B1746-B1745))</f>
        <v/>
      </c>
      <c r="J1745" s="27">
        <f>IF(B1745="","",IF(B1744&lt;'02_Eingaben'!$C$36,0,J1744+I1744/'02_Eingaben'!$C$8))</f>
        <v/>
      </c>
    </row>
    <row r="1746">
      <c r="A1746">
        <f>IF('01_Rohdaten'!A1746="","",ROW()-1)</f>
        <v/>
      </c>
      <c r="B1746" s="27">
        <f>IF('01_Rohdaten'!A1746="","",'01_Rohdaten'!A1746)</f>
        <v/>
      </c>
      <c r="C1746" s="27">
        <f>IF(B1746="","",INDEX('01_Rohdaten'!B1746:D1746,'02_Eingaben'!$C$13))</f>
        <v/>
      </c>
      <c r="D1746" s="27">
        <f>IF(C1746="","",C1746*'02_Eingaben'!$C$15)</f>
        <v/>
      </c>
      <c r="E1746" s="27">
        <f>IF(D1746="","",D1746*'02_Eingaben'!$C$8)</f>
        <v/>
      </c>
      <c r="F1746" s="27">
        <f>IF(E1746="","",AVERAGE(INDEX($E$2:$E$3001,MAX(1,ROW()-1-'02_Eingaben'!$C$17)):INDEX($E$2:$E$3001,MIN('02_Eingaben'!$C$21,ROW()-1+'02_Eingaben'!$C$17))))</f>
        <v/>
      </c>
      <c r="G1746" s="27">
        <f>IF(F1746="","",F1746-'02_Eingaben'!$C$10)</f>
        <v/>
      </c>
      <c r="H1746">
        <f>IF(F1746="","",IF(F1746&lt;'02_Eingaben'!$C$18*'02_Eingaben'!$C$10,1,0))</f>
        <v/>
      </c>
      <c r="I1746" s="27">
        <f>IF(OR(G1746="",G1747=""),"",(G1746+G1747)/2*(B1747-B1746))</f>
        <v/>
      </c>
      <c r="J1746" s="27">
        <f>IF(B1746="","",IF(B1745&lt;'02_Eingaben'!$C$36,0,J1745+I1745/'02_Eingaben'!$C$8))</f>
        <v/>
      </c>
    </row>
    <row r="1747">
      <c r="A1747">
        <f>IF('01_Rohdaten'!A1747="","",ROW()-1)</f>
        <v/>
      </c>
      <c r="B1747" s="27">
        <f>IF('01_Rohdaten'!A1747="","",'01_Rohdaten'!A1747)</f>
        <v/>
      </c>
      <c r="C1747" s="27">
        <f>IF(B1747="","",INDEX('01_Rohdaten'!B1747:D1747,'02_Eingaben'!$C$13))</f>
        <v/>
      </c>
      <c r="D1747" s="27">
        <f>IF(C1747="","",C1747*'02_Eingaben'!$C$15)</f>
        <v/>
      </c>
      <c r="E1747" s="27">
        <f>IF(D1747="","",D1747*'02_Eingaben'!$C$8)</f>
        <v/>
      </c>
      <c r="F1747" s="27">
        <f>IF(E1747="","",AVERAGE(INDEX($E$2:$E$3001,MAX(1,ROW()-1-'02_Eingaben'!$C$17)):INDEX($E$2:$E$3001,MIN('02_Eingaben'!$C$21,ROW()-1+'02_Eingaben'!$C$17))))</f>
        <v/>
      </c>
      <c r="G1747" s="27">
        <f>IF(F1747="","",F1747-'02_Eingaben'!$C$10)</f>
        <v/>
      </c>
      <c r="H1747">
        <f>IF(F1747="","",IF(F1747&lt;'02_Eingaben'!$C$18*'02_Eingaben'!$C$10,1,0))</f>
        <v/>
      </c>
      <c r="I1747" s="27">
        <f>IF(OR(G1747="",G1748=""),"",(G1747+G1748)/2*(B1748-B1747))</f>
        <v/>
      </c>
      <c r="J1747" s="27">
        <f>IF(B1747="","",IF(B1746&lt;'02_Eingaben'!$C$36,0,J1746+I1746/'02_Eingaben'!$C$8))</f>
        <v/>
      </c>
    </row>
    <row r="1748">
      <c r="A1748">
        <f>IF('01_Rohdaten'!A1748="","",ROW()-1)</f>
        <v/>
      </c>
      <c r="B1748" s="27">
        <f>IF('01_Rohdaten'!A1748="","",'01_Rohdaten'!A1748)</f>
        <v/>
      </c>
      <c r="C1748" s="27">
        <f>IF(B1748="","",INDEX('01_Rohdaten'!B1748:D1748,'02_Eingaben'!$C$13))</f>
        <v/>
      </c>
      <c r="D1748" s="27">
        <f>IF(C1748="","",C1748*'02_Eingaben'!$C$15)</f>
        <v/>
      </c>
      <c r="E1748" s="27">
        <f>IF(D1748="","",D1748*'02_Eingaben'!$C$8)</f>
        <v/>
      </c>
      <c r="F1748" s="27">
        <f>IF(E1748="","",AVERAGE(INDEX($E$2:$E$3001,MAX(1,ROW()-1-'02_Eingaben'!$C$17)):INDEX($E$2:$E$3001,MIN('02_Eingaben'!$C$21,ROW()-1+'02_Eingaben'!$C$17))))</f>
        <v/>
      </c>
      <c r="G1748" s="27">
        <f>IF(F1748="","",F1748-'02_Eingaben'!$C$10)</f>
        <v/>
      </c>
      <c r="H1748">
        <f>IF(F1748="","",IF(F1748&lt;'02_Eingaben'!$C$18*'02_Eingaben'!$C$10,1,0))</f>
        <v/>
      </c>
      <c r="I1748" s="27">
        <f>IF(OR(G1748="",G1749=""),"",(G1748+G1749)/2*(B1749-B1748))</f>
        <v/>
      </c>
      <c r="J1748" s="27">
        <f>IF(B1748="","",IF(B1747&lt;'02_Eingaben'!$C$36,0,J1747+I1747/'02_Eingaben'!$C$8))</f>
        <v/>
      </c>
    </row>
    <row r="1749">
      <c r="A1749">
        <f>IF('01_Rohdaten'!A1749="","",ROW()-1)</f>
        <v/>
      </c>
      <c r="B1749" s="27">
        <f>IF('01_Rohdaten'!A1749="","",'01_Rohdaten'!A1749)</f>
        <v/>
      </c>
      <c r="C1749" s="27">
        <f>IF(B1749="","",INDEX('01_Rohdaten'!B1749:D1749,'02_Eingaben'!$C$13))</f>
        <v/>
      </c>
      <c r="D1749" s="27">
        <f>IF(C1749="","",C1749*'02_Eingaben'!$C$15)</f>
        <v/>
      </c>
      <c r="E1749" s="27">
        <f>IF(D1749="","",D1749*'02_Eingaben'!$C$8)</f>
        <v/>
      </c>
      <c r="F1749" s="27">
        <f>IF(E1749="","",AVERAGE(INDEX($E$2:$E$3001,MAX(1,ROW()-1-'02_Eingaben'!$C$17)):INDEX($E$2:$E$3001,MIN('02_Eingaben'!$C$21,ROW()-1+'02_Eingaben'!$C$17))))</f>
        <v/>
      </c>
      <c r="G1749" s="27">
        <f>IF(F1749="","",F1749-'02_Eingaben'!$C$10)</f>
        <v/>
      </c>
      <c r="H1749">
        <f>IF(F1749="","",IF(F1749&lt;'02_Eingaben'!$C$18*'02_Eingaben'!$C$10,1,0))</f>
        <v/>
      </c>
      <c r="I1749" s="27">
        <f>IF(OR(G1749="",G1750=""),"",(G1749+G1750)/2*(B1750-B1749))</f>
        <v/>
      </c>
      <c r="J1749" s="27">
        <f>IF(B1749="","",IF(B1748&lt;'02_Eingaben'!$C$36,0,J1748+I1748/'02_Eingaben'!$C$8))</f>
        <v/>
      </c>
    </row>
    <row r="1750">
      <c r="A1750">
        <f>IF('01_Rohdaten'!A1750="","",ROW()-1)</f>
        <v/>
      </c>
      <c r="B1750" s="27">
        <f>IF('01_Rohdaten'!A1750="","",'01_Rohdaten'!A1750)</f>
        <v/>
      </c>
      <c r="C1750" s="27">
        <f>IF(B1750="","",INDEX('01_Rohdaten'!B1750:D1750,'02_Eingaben'!$C$13))</f>
        <v/>
      </c>
      <c r="D1750" s="27">
        <f>IF(C1750="","",C1750*'02_Eingaben'!$C$15)</f>
        <v/>
      </c>
      <c r="E1750" s="27">
        <f>IF(D1750="","",D1750*'02_Eingaben'!$C$8)</f>
        <v/>
      </c>
      <c r="F1750" s="27">
        <f>IF(E1750="","",AVERAGE(INDEX($E$2:$E$3001,MAX(1,ROW()-1-'02_Eingaben'!$C$17)):INDEX($E$2:$E$3001,MIN('02_Eingaben'!$C$21,ROW()-1+'02_Eingaben'!$C$17))))</f>
        <v/>
      </c>
      <c r="G1750" s="27">
        <f>IF(F1750="","",F1750-'02_Eingaben'!$C$10)</f>
        <v/>
      </c>
      <c r="H1750">
        <f>IF(F1750="","",IF(F1750&lt;'02_Eingaben'!$C$18*'02_Eingaben'!$C$10,1,0))</f>
        <v/>
      </c>
      <c r="I1750" s="27">
        <f>IF(OR(G1750="",G1751=""),"",(G1750+G1751)/2*(B1751-B1750))</f>
        <v/>
      </c>
      <c r="J1750" s="27">
        <f>IF(B1750="","",IF(B1749&lt;'02_Eingaben'!$C$36,0,J1749+I1749/'02_Eingaben'!$C$8))</f>
        <v/>
      </c>
    </row>
    <row r="1751">
      <c r="A1751">
        <f>IF('01_Rohdaten'!A1751="","",ROW()-1)</f>
        <v/>
      </c>
      <c r="B1751" s="27">
        <f>IF('01_Rohdaten'!A1751="","",'01_Rohdaten'!A1751)</f>
        <v/>
      </c>
      <c r="C1751" s="27">
        <f>IF(B1751="","",INDEX('01_Rohdaten'!B1751:D1751,'02_Eingaben'!$C$13))</f>
        <v/>
      </c>
      <c r="D1751" s="27">
        <f>IF(C1751="","",C1751*'02_Eingaben'!$C$15)</f>
        <v/>
      </c>
      <c r="E1751" s="27">
        <f>IF(D1751="","",D1751*'02_Eingaben'!$C$8)</f>
        <v/>
      </c>
      <c r="F1751" s="27">
        <f>IF(E1751="","",AVERAGE(INDEX($E$2:$E$3001,MAX(1,ROW()-1-'02_Eingaben'!$C$17)):INDEX($E$2:$E$3001,MIN('02_Eingaben'!$C$21,ROW()-1+'02_Eingaben'!$C$17))))</f>
        <v/>
      </c>
      <c r="G1751" s="27">
        <f>IF(F1751="","",F1751-'02_Eingaben'!$C$10)</f>
        <v/>
      </c>
      <c r="H1751">
        <f>IF(F1751="","",IF(F1751&lt;'02_Eingaben'!$C$18*'02_Eingaben'!$C$10,1,0))</f>
        <v/>
      </c>
      <c r="I1751" s="27">
        <f>IF(OR(G1751="",G1752=""),"",(G1751+G1752)/2*(B1752-B1751))</f>
        <v/>
      </c>
      <c r="J1751" s="27">
        <f>IF(B1751="","",IF(B1750&lt;'02_Eingaben'!$C$36,0,J1750+I1750/'02_Eingaben'!$C$8))</f>
        <v/>
      </c>
    </row>
    <row r="1752">
      <c r="A1752">
        <f>IF('01_Rohdaten'!A1752="","",ROW()-1)</f>
        <v/>
      </c>
      <c r="B1752" s="27">
        <f>IF('01_Rohdaten'!A1752="","",'01_Rohdaten'!A1752)</f>
        <v/>
      </c>
      <c r="C1752" s="27">
        <f>IF(B1752="","",INDEX('01_Rohdaten'!B1752:D1752,'02_Eingaben'!$C$13))</f>
        <v/>
      </c>
      <c r="D1752" s="27">
        <f>IF(C1752="","",C1752*'02_Eingaben'!$C$15)</f>
        <v/>
      </c>
      <c r="E1752" s="27">
        <f>IF(D1752="","",D1752*'02_Eingaben'!$C$8)</f>
        <v/>
      </c>
      <c r="F1752" s="27">
        <f>IF(E1752="","",AVERAGE(INDEX($E$2:$E$3001,MAX(1,ROW()-1-'02_Eingaben'!$C$17)):INDEX($E$2:$E$3001,MIN('02_Eingaben'!$C$21,ROW()-1+'02_Eingaben'!$C$17))))</f>
        <v/>
      </c>
      <c r="G1752" s="27">
        <f>IF(F1752="","",F1752-'02_Eingaben'!$C$10)</f>
        <v/>
      </c>
      <c r="H1752">
        <f>IF(F1752="","",IF(F1752&lt;'02_Eingaben'!$C$18*'02_Eingaben'!$C$10,1,0))</f>
        <v/>
      </c>
      <c r="I1752" s="27">
        <f>IF(OR(G1752="",G1753=""),"",(G1752+G1753)/2*(B1753-B1752))</f>
        <v/>
      </c>
      <c r="J1752" s="27">
        <f>IF(B1752="","",IF(B1751&lt;'02_Eingaben'!$C$36,0,J1751+I1751/'02_Eingaben'!$C$8))</f>
        <v/>
      </c>
    </row>
    <row r="1753">
      <c r="A1753">
        <f>IF('01_Rohdaten'!A1753="","",ROW()-1)</f>
        <v/>
      </c>
      <c r="B1753" s="27">
        <f>IF('01_Rohdaten'!A1753="","",'01_Rohdaten'!A1753)</f>
        <v/>
      </c>
      <c r="C1753" s="27">
        <f>IF(B1753="","",INDEX('01_Rohdaten'!B1753:D1753,'02_Eingaben'!$C$13))</f>
        <v/>
      </c>
      <c r="D1753" s="27">
        <f>IF(C1753="","",C1753*'02_Eingaben'!$C$15)</f>
        <v/>
      </c>
      <c r="E1753" s="27">
        <f>IF(D1753="","",D1753*'02_Eingaben'!$C$8)</f>
        <v/>
      </c>
      <c r="F1753" s="27">
        <f>IF(E1753="","",AVERAGE(INDEX($E$2:$E$3001,MAX(1,ROW()-1-'02_Eingaben'!$C$17)):INDEX($E$2:$E$3001,MIN('02_Eingaben'!$C$21,ROW()-1+'02_Eingaben'!$C$17))))</f>
        <v/>
      </c>
      <c r="G1753" s="27">
        <f>IF(F1753="","",F1753-'02_Eingaben'!$C$10)</f>
        <v/>
      </c>
      <c r="H1753">
        <f>IF(F1753="","",IF(F1753&lt;'02_Eingaben'!$C$18*'02_Eingaben'!$C$10,1,0))</f>
        <v/>
      </c>
      <c r="I1753" s="27">
        <f>IF(OR(G1753="",G1754=""),"",(G1753+G1754)/2*(B1754-B1753))</f>
        <v/>
      </c>
      <c r="J1753" s="27">
        <f>IF(B1753="","",IF(B1752&lt;'02_Eingaben'!$C$36,0,J1752+I1752/'02_Eingaben'!$C$8))</f>
        <v/>
      </c>
    </row>
    <row r="1754">
      <c r="A1754">
        <f>IF('01_Rohdaten'!A1754="","",ROW()-1)</f>
        <v/>
      </c>
      <c r="B1754" s="27">
        <f>IF('01_Rohdaten'!A1754="","",'01_Rohdaten'!A1754)</f>
        <v/>
      </c>
      <c r="C1754" s="27">
        <f>IF(B1754="","",INDEX('01_Rohdaten'!B1754:D1754,'02_Eingaben'!$C$13))</f>
        <v/>
      </c>
      <c r="D1754" s="27">
        <f>IF(C1754="","",C1754*'02_Eingaben'!$C$15)</f>
        <v/>
      </c>
      <c r="E1754" s="27">
        <f>IF(D1754="","",D1754*'02_Eingaben'!$C$8)</f>
        <v/>
      </c>
      <c r="F1754" s="27">
        <f>IF(E1754="","",AVERAGE(INDEX($E$2:$E$3001,MAX(1,ROW()-1-'02_Eingaben'!$C$17)):INDEX($E$2:$E$3001,MIN('02_Eingaben'!$C$21,ROW()-1+'02_Eingaben'!$C$17))))</f>
        <v/>
      </c>
      <c r="G1754" s="27">
        <f>IF(F1754="","",F1754-'02_Eingaben'!$C$10)</f>
        <v/>
      </c>
      <c r="H1754">
        <f>IF(F1754="","",IF(F1754&lt;'02_Eingaben'!$C$18*'02_Eingaben'!$C$10,1,0))</f>
        <v/>
      </c>
      <c r="I1754" s="27">
        <f>IF(OR(G1754="",G1755=""),"",(G1754+G1755)/2*(B1755-B1754))</f>
        <v/>
      </c>
      <c r="J1754" s="27">
        <f>IF(B1754="","",IF(B1753&lt;'02_Eingaben'!$C$36,0,J1753+I1753/'02_Eingaben'!$C$8))</f>
        <v/>
      </c>
    </row>
    <row r="1755">
      <c r="A1755">
        <f>IF('01_Rohdaten'!A1755="","",ROW()-1)</f>
        <v/>
      </c>
      <c r="B1755" s="27">
        <f>IF('01_Rohdaten'!A1755="","",'01_Rohdaten'!A1755)</f>
        <v/>
      </c>
      <c r="C1755" s="27">
        <f>IF(B1755="","",INDEX('01_Rohdaten'!B1755:D1755,'02_Eingaben'!$C$13))</f>
        <v/>
      </c>
      <c r="D1755" s="27">
        <f>IF(C1755="","",C1755*'02_Eingaben'!$C$15)</f>
        <v/>
      </c>
      <c r="E1755" s="27">
        <f>IF(D1755="","",D1755*'02_Eingaben'!$C$8)</f>
        <v/>
      </c>
      <c r="F1755" s="27">
        <f>IF(E1755="","",AVERAGE(INDEX($E$2:$E$3001,MAX(1,ROW()-1-'02_Eingaben'!$C$17)):INDEX($E$2:$E$3001,MIN('02_Eingaben'!$C$21,ROW()-1+'02_Eingaben'!$C$17))))</f>
        <v/>
      </c>
      <c r="G1755" s="27">
        <f>IF(F1755="","",F1755-'02_Eingaben'!$C$10)</f>
        <v/>
      </c>
      <c r="H1755">
        <f>IF(F1755="","",IF(F1755&lt;'02_Eingaben'!$C$18*'02_Eingaben'!$C$10,1,0))</f>
        <v/>
      </c>
      <c r="I1755" s="27">
        <f>IF(OR(G1755="",G1756=""),"",(G1755+G1756)/2*(B1756-B1755))</f>
        <v/>
      </c>
      <c r="J1755" s="27">
        <f>IF(B1755="","",IF(B1754&lt;'02_Eingaben'!$C$36,0,J1754+I1754/'02_Eingaben'!$C$8))</f>
        <v/>
      </c>
    </row>
    <row r="1756">
      <c r="A1756">
        <f>IF('01_Rohdaten'!A1756="","",ROW()-1)</f>
        <v/>
      </c>
      <c r="B1756" s="27">
        <f>IF('01_Rohdaten'!A1756="","",'01_Rohdaten'!A1756)</f>
        <v/>
      </c>
      <c r="C1756" s="27">
        <f>IF(B1756="","",INDEX('01_Rohdaten'!B1756:D1756,'02_Eingaben'!$C$13))</f>
        <v/>
      </c>
      <c r="D1756" s="27">
        <f>IF(C1756="","",C1756*'02_Eingaben'!$C$15)</f>
        <v/>
      </c>
      <c r="E1756" s="27">
        <f>IF(D1756="","",D1756*'02_Eingaben'!$C$8)</f>
        <v/>
      </c>
      <c r="F1756" s="27">
        <f>IF(E1756="","",AVERAGE(INDEX($E$2:$E$3001,MAX(1,ROW()-1-'02_Eingaben'!$C$17)):INDEX($E$2:$E$3001,MIN('02_Eingaben'!$C$21,ROW()-1+'02_Eingaben'!$C$17))))</f>
        <v/>
      </c>
      <c r="G1756" s="27">
        <f>IF(F1756="","",F1756-'02_Eingaben'!$C$10)</f>
        <v/>
      </c>
      <c r="H1756">
        <f>IF(F1756="","",IF(F1756&lt;'02_Eingaben'!$C$18*'02_Eingaben'!$C$10,1,0))</f>
        <v/>
      </c>
      <c r="I1756" s="27">
        <f>IF(OR(G1756="",G1757=""),"",(G1756+G1757)/2*(B1757-B1756))</f>
        <v/>
      </c>
      <c r="J1756" s="27">
        <f>IF(B1756="","",IF(B1755&lt;'02_Eingaben'!$C$36,0,J1755+I1755/'02_Eingaben'!$C$8))</f>
        <v/>
      </c>
    </row>
    <row r="1757">
      <c r="A1757">
        <f>IF('01_Rohdaten'!A1757="","",ROW()-1)</f>
        <v/>
      </c>
      <c r="B1757" s="27">
        <f>IF('01_Rohdaten'!A1757="","",'01_Rohdaten'!A1757)</f>
        <v/>
      </c>
      <c r="C1757" s="27">
        <f>IF(B1757="","",INDEX('01_Rohdaten'!B1757:D1757,'02_Eingaben'!$C$13))</f>
        <v/>
      </c>
      <c r="D1757" s="27">
        <f>IF(C1757="","",C1757*'02_Eingaben'!$C$15)</f>
        <v/>
      </c>
      <c r="E1757" s="27">
        <f>IF(D1757="","",D1757*'02_Eingaben'!$C$8)</f>
        <v/>
      </c>
      <c r="F1757" s="27">
        <f>IF(E1757="","",AVERAGE(INDEX($E$2:$E$3001,MAX(1,ROW()-1-'02_Eingaben'!$C$17)):INDEX($E$2:$E$3001,MIN('02_Eingaben'!$C$21,ROW()-1+'02_Eingaben'!$C$17))))</f>
        <v/>
      </c>
      <c r="G1757" s="27">
        <f>IF(F1757="","",F1757-'02_Eingaben'!$C$10)</f>
        <v/>
      </c>
      <c r="H1757">
        <f>IF(F1757="","",IF(F1757&lt;'02_Eingaben'!$C$18*'02_Eingaben'!$C$10,1,0))</f>
        <v/>
      </c>
      <c r="I1757" s="27">
        <f>IF(OR(G1757="",G1758=""),"",(G1757+G1758)/2*(B1758-B1757))</f>
        <v/>
      </c>
      <c r="J1757" s="27">
        <f>IF(B1757="","",IF(B1756&lt;'02_Eingaben'!$C$36,0,J1756+I1756/'02_Eingaben'!$C$8))</f>
        <v/>
      </c>
    </row>
    <row r="1758">
      <c r="A1758">
        <f>IF('01_Rohdaten'!A1758="","",ROW()-1)</f>
        <v/>
      </c>
      <c r="B1758" s="27">
        <f>IF('01_Rohdaten'!A1758="","",'01_Rohdaten'!A1758)</f>
        <v/>
      </c>
      <c r="C1758" s="27">
        <f>IF(B1758="","",INDEX('01_Rohdaten'!B1758:D1758,'02_Eingaben'!$C$13))</f>
        <v/>
      </c>
      <c r="D1758" s="27">
        <f>IF(C1758="","",C1758*'02_Eingaben'!$C$15)</f>
        <v/>
      </c>
      <c r="E1758" s="27">
        <f>IF(D1758="","",D1758*'02_Eingaben'!$C$8)</f>
        <v/>
      </c>
      <c r="F1758" s="27">
        <f>IF(E1758="","",AVERAGE(INDEX($E$2:$E$3001,MAX(1,ROW()-1-'02_Eingaben'!$C$17)):INDEX($E$2:$E$3001,MIN('02_Eingaben'!$C$21,ROW()-1+'02_Eingaben'!$C$17))))</f>
        <v/>
      </c>
      <c r="G1758" s="27">
        <f>IF(F1758="","",F1758-'02_Eingaben'!$C$10)</f>
        <v/>
      </c>
      <c r="H1758">
        <f>IF(F1758="","",IF(F1758&lt;'02_Eingaben'!$C$18*'02_Eingaben'!$C$10,1,0))</f>
        <v/>
      </c>
      <c r="I1758" s="27">
        <f>IF(OR(G1758="",G1759=""),"",(G1758+G1759)/2*(B1759-B1758))</f>
        <v/>
      </c>
      <c r="J1758" s="27">
        <f>IF(B1758="","",IF(B1757&lt;'02_Eingaben'!$C$36,0,J1757+I1757/'02_Eingaben'!$C$8))</f>
        <v/>
      </c>
    </row>
    <row r="1759">
      <c r="A1759">
        <f>IF('01_Rohdaten'!A1759="","",ROW()-1)</f>
        <v/>
      </c>
      <c r="B1759" s="27">
        <f>IF('01_Rohdaten'!A1759="","",'01_Rohdaten'!A1759)</f>
        <v/>
      </c>
      <c r="C1759" s="27">
        <f>IF(B1759="","",INDEX('01_Rohdaten'!B1759:D1759,'02_Eingaben'!$C$13))</f>
        <v/>
      </c>
      <c r="D1759" s="27">
        <f>IF(C1759="","",C1759*'02_Eingaben'!$C$15)</f>
        <v/>
      </c>
      <c r="E1759" s="27">
        <f>IF(D1759="","",D1759*'02_Eingaben'!$C$8)</f>
        <v/>
      </c>
      <c r="F1759" s="27">
        <f>IF(E1759="","",AVERAGE(INDEX($E$2:$E$3001,MAX(1,ROW()-1-'02_Eingaben'!$C$17)):INDEX($E$2:$E$3001,MIN('02_Eingaben'!$C$21,ROW()-1+'02_Eingaben'!$C$17))))</f>
        <v/>
      </c>
      <c r="G1759" s="27">
        <f>IF(F1759="","",F1759-'02_Eingaben'!$C$10)</f>
        <v/>
      </c>
      <c r="H1759">
        <f>IF(F1759="","",IF(F1759&lt;'02_Eingaben'!$C$18*'02_Eingaben'!$C$10,1,0))</f>
        <v/>
      </c>
      <c r="I1759" s="27">
        <f>IF(OR(G1759="",G1760=""),"",(G1759+G1760)/2*(B1760-B1759))</f>
        <v/>
      </c>
      <c r="J1759" s="27">
        <f>IF(B1759="","",IF(B1758&lt;'02_Eingaben'!$C$36,0,J1758+I1758/'02_Eingaben'!$C$8))</f>
        <v/>
      </c>
    </row>
    <row r="1760">
      <c r="A1760">
        <f>IF('01_Rohdaten'!A1760="","",ROW()-1)</f>
        <v/>
      </c>
      <c r="B1760" s="27">
        <f>IF('01_Rohdaten'!A1760="","",'01_Rohdaten'!A1760)</f>
        <v/>
      </c>
      <c r="C1760" s="27">
        <f>IF(B1760="","",INDEX('01_Rohdaten'!B1760:D1760,'02_Eingaben'!$C$13))</f>
        <v/>
      </c>
      <c r="D1760" s="27">
        <f>IF(C1760="","",C1760*'02_Eingaben'!$C$15)</f>
        <v/>
      </c>
      <c r="E1760" s="27">
        <f>IF(D1760="","",D1760*'02_Eingaben'!$C$8)</f>
        <v/>
      </c>
      <c r="F1760" s="27">
        <f>IF(E1760="","",AVERAGE(INDEX($E$2:$E$3001,MAX(1,ROW()-1-'02_Eingaben'!$C$17)):INDEX($E$2:$E$3001,MIN('02_Eingaben'!$C$21,ROW()-1+'02_Eingaben'!$C$17))))</f>
        <v/>
      </c>
      <c r="G1760" s="27">
        <f>IF(F1760="","",F1760-'02_Eingaben'!$C$10)</f>
        <v/>
      </c>
      <c r="H1760">
        <f>IF(F1760="","",IF(F1760&lt;'02_Eingaben'!$C$18*'02_Eingaben'!$C$10,1,0))</f>
        <v/>
      </c>
      <c r="I1760" s="27">
        <f>IF(OR(G1760="",G1761=""),"",(G1760+G1761)/2*(B1761-B1760))</f>
        <v/>
      </c>
      <c r="J1760" s="27">
        <f>IF(B1760="","",IF(B1759&lt;'02_Eingaben'!$C$36,0,J1759+I1759/'02_Eingaben'!$C$8))</f>
        <v/>
      </c>
    </row>
    <row r="1761">
      <c r="A1761">
        <f>IF('01_Rohdaten'!A1761="","",ROW()-1)</f>
        <v/>
      </c>
      <c r="B1761" s="27">
        <f>IF('01_Rohdaten'!A1761="","",'01_Rohdaten'!A1761)</f>
        <v/>
      </c>
      <c r="C1761" s="27">
        <f>IF(B1761="","",INDEX('01_Rohdaten'!B1761:D1761,'02_Eingaben'!$C$13))</f>
        <v/>
      </c>
      <c r="D1761" s="27">
        <f>IF(C1761="","",C1761*'02_Eingaben'!$C$15)</f>
        <v/>
      </c>
      <c r="E1761" s="27">
        <f>IF(D1761="","",D1761*'02_Eingaben'!$C$8)</f>
        <v/>
      </c>
      <c r="F1761" s="27">
        <f>IF(E1761="","",AVERAGE(INDEX($E$2:$E$3001,MAX(1,ROW()-1-'02_Eingaben'!$C$17)):INDEX($E$2:$E$3001,MIN('02_Eingaben'!$C$21,ROW()-1+'02_Eingaben'!$C$17))))</f>
        <v/>
      </c>
      <c r="G1761" s="27">
        <f>IF(F1761="","",F1761-'02_Eingaben'!$C$10)</f>
        <v/>
      </c>
      <c r="H1761">
        <f>IF(F1761="","",IF(F1761&lt;'02_Eingaben'!$C$18*'02_Eingaben'!$C$10,1,0))</f>
        <v/>
      </c>
      <c r="I1761" s="27">
        <f>IF(OR(G1761="",G1762=""),"",(G1761+G1762)/2*(B1762-B1761))</f>
        <v/>
      </c>
      <c r="J1761" s="27">
        <f>IF(B1761="","",IF(B1760&lt;'02_Eingaben'!$C$36,0,J1760+I1760/'02_Eingaben'!$C$8))</f>
        <v/>
      </c>
    </row>
    <row r="1762">
      <c r="A1762">
        <f>IF('01_Rohdaten'!A1762="","",ROW()-1)</f>
        <v/>
      </c>
      <c r="B1762" s="27">
        <f>IF('01_Rohdaten'!A1762="","",'01_Rohdaten'!A1762)</f>
        <v/>
      </c>
      <c r="C1762" s="27">
        <f>IF(B1762="","",INDEX('01_Rohdaten'!B1762:D1762,'02_Eingaben'!$C$13))</f>
        <v/>
      </c>
      <c r="D1762" s="27">
        <f>IF(C1762="","",C1762*'02_Eingaben'!$C$15)</f>
        <v/>
      </c>
      <c r="E1762" s="27">
        <f>IF(D1762="","",D1762*'02_Eingaben'!$C$8)</f>
        <v/>
      </c>
      <c r="F1762" s="27">
        <f>IF(E1762="","",AVERAGE(INDEX($E$2:$E$3001,MAX(1,ROW()-1-'02_Eingaben'!$C$17)):INDEX($E$2:$E$3001,MIN('02_Eingaben'!$C$21,ROW()-1+'02_Eingaben'!$C$17))))</f>
        <v/>
      </c>
      <c r="G1762" s="27">
        <f>IF(F1762="","",F1762-'02_Eingaben'!$C$10)</f>
        <v/>
      </c>
      <c r="H1762">
        <f>IF(F1762="","",IF(F1762&lt;'02_Eingaben'!$C$18*'02_Eingaben'!$C$10,1,0))</f>
        <v/>
      </c>
      <c r="I1762" s="27">
        <f>IF(OR(G1762="",G1763=""),"",(G1762+G1763)/2*(B1763-B1762))</f>
        <v/>
      </c>
      <c r="J1762" s="27">
        <f>IF(B1762="","",IF(B1761&lt;'02_Eingaben'!$C$36,0,J1761+I1761/'02_Eingaben'!$C$8))</f>
        <v/>
      </c>
    </row>
    <row r="1763">
      <c r="A1763">
        <f>IF('01_Rohdaten'!A1763="","",ROW()-1)</f>
        <v/>
      </c>
      <c r="B1763" s="27">
        <f>IF('01_Rohdaten'!A1763="","",'01_Rohdaten'!A1763)</f>
        <v/>
      </c>
      <c r="C1763" s="27">
        <f>IF(B1763="","",INDEX('01_Rohdaten'!B1763:D1763,'02_Eingaben'!$C$13))</f>
        <v/>
      </c>
      <c r="D1763" s="27">
        <f>IF(C1763="","",C1763*'02_Eingaben'!$C$15)</f>
        <v/>
      </c>
      <c r="E1763" s="27">
        <f>IF(D1763="","",D1763*'02_Eingaben'!$C$8)</f>
        <v/>
      </c>
      <c r="F1763" s="27">
        <f>IF(E1763="","",AVERAGE(INDEX($E$2:$E$3001,MAX(1,ROW()-1-'02_Eingaben'!$C$17)):INDEX($E$2:$E$3001,MIN('02_Eingaben'!$C$21,ROW()-1+'02_Eingaben'!$C$17))))</f>
        <v/>
      </c>
      <c r="G1763" s="27">
        <f>IF(F1763="","",F1763-'02_Eingaben'!$C$10)</f>
        <v/>
      </c>
      <c r="H1763">
        <f>IF(F1763="","",IF(F1763&lt;'02_Eingaben'!$C$18*'02_Eingaben'!$C$10,1,0))</f>
        <v/>
      </c>
      <c r="I1763" s="27">
        <f>IF(OR(G1763="",G1764=""),"",(G1763+G1764)/2*(B1764-B1763))</f>
        <v/>
      </c>
      <c r="J1763" s="27">
        <f>IF(B1763="","",IF(B1762&lt;'02_Eingaben'!$C$36,0,J1762+I1762/'02_Eingaben'!$C$8))</f>
        <v/>
      </c>
    </row>
    <row r="1764">
      <c r="A1764">
        <f>IF('01_Rohdaten'!A1764="","",ROW()-1)</f>
        <v/>
      </c>
      <c r="B1764" s="27">
        <f>IF('01_Rohdaten'!A1764="","",'01_Rohdaten'!A1764)</f>
        <v/>
      </c>
      <c r="C1764" s="27">
        <f>IF(B1764="","",INDEX('01_Rohdaten'!B1764:D1764,'02_Eingaben'!$C$13))</f>
        <v/>
      </c>
      <c r="D1764" s="27">
        <f>IF(C1764="","",C1764*'02_Eingaben'!$C$15)</f>
        <v/>
      </c>
      <c r="E1764" s="27">
        <f>IF(D1764="","",D1764*'02_Eingaben'!$C$8)</f>
        <v/>
      </c>
      <c r="F1764" s="27">
        <f>IF(E1764="","",AVERAGE(INDEX($E$2:$E$3001,MAX(1,ROW()-1-'02_Eingaben'!$C$17)):INDEX($E$2:$E$3001,MIN('02_Eingaben'!$C$21,ROW()-1+'02_Eingaben'!$C$17))))</f>
        <v/>
      </c>
      <c r="G1764" s="27">
        <f>IF(F1764="","",F1764-'02_Eingaben'!$C$10)</f>
        <v/>
      </c>
      <c r="H1764">
        <f>IF(F1764="","",IF(F1764&lt;'02_Eingaben'!$C$18*'02_Eingaben'!$C$10,1,0))</f>
        <v/>
      </c>
      <c r="I1764" s="27">
        <f>IF(OR(G1764="",G1765=""),"",(G1764+G1765)/2*(B1765-B1764))</f>
        <v/>
      </c>
      <c r="J1764" s="27">
        <f>IF(B1764="","",IF(B1763&lt;'02_Eingaben'!$C$36,0,J1763+I1763/'02_Eingaben'!$C$8))</f>
        <v/>
      </c>
    </row>
    <row r="1765">
      <c r="A1765">
        <f>IF('01_Rohdaten'!A1765="","",ROW()-1)</f>
        <v/>
      </c>
      <c r="B1765" s="27">
        <f>IF('01_Rohdaten'!A1765="","",'01_Rohdaten'!A1765)</f>
        <v/>
      </c>
      <c r="C1765" s="27">
        <f>IF(B1765="","",INDEX('01_Rohdaten'!B1765:D1765,'02_Eingaben'!$C$13))</f>
        <v/>
      </c>
      <c r="D1765" s="27">
        <f>IF(C1765="","",C1765*'02_Eingaben'!$C$15)</f>
        <v/>
      </c>
      <c r="E1765" s="27">
        <f>IF(D1765="","",D1765*'02_Eingaben'!$C$8)</f>
        <v/>
      </c>
      <c r="F1765" s="27">
        <f>IF(E1765="","",AVERAGE(INDEX($E$2:$E$3001,MAX(1,ROW()-1-'02_Eingaben'!$C$17)):INDEX($E$2:$E$3001,MIN('02_Eingaben'!$C$21,ROW()-1+'02_Eingaben'!$C$17))))</f>
        <v/>
      </c>
      <c r="G1765" s="27">
        <f>IF(F1765="","",F1765-'02_Eingaben'!$C$10)</f>
        <v/>
      </c>
      <c r="H1765">
        <f>IF(F1765="","",IF(F1765&lt;'02_Eingaben'!$C$18*'02_Eingaben'!$C$10,1,0))</f>
        <v/>
      </c>
      <c r="I1765" s="27">
        <f>IF(OR(G1765="",G1766=""),"",(G1765+G1766)/2*(B1766-B1765))</f>
        <v/>
      </c>
      <c r="J1765" s="27">
        <f>IF(B1765="","",IF(B1764&lt;'02_Eingaben'!$C$36,0,J1764+I1764/'02_Eingaben'!$C$8))</f>
        <v/>
      </c>
    </row>
    <row r="1766">
      <c r="A1766">
        <f>IF('01_Rohdaten'!A1766="","",ROW()-1)</f>
        <v/>
      </c>
      <c r="B1766" s="27">
        <f>IF('01_Rohdaten'!A1766="","",'01_Rohdaten'!A1766)</f>
        <v/>
      </c>
      <c r="C1766" s="27">
        <f>IF(B1766="","",INDEX('01_Rohdaten'!B1766:D1766,'02_Eingaben'!$C$13))</f>
        <v/>
      </c>
      <c r="D1766" s="27">
        <f>IF(C1766="","",C1766*'02_Eingaben'!$C$15)</f>
        <v/>
      </c>
      <c r="E1766" s="27">
        <f>IF(D1766="","",D1766*'02_Eingaben'!$C$8)</f>
        <v/>
      </c>
      <c r="F1766" s="27">
        <f>IF(E1766="","",AVERAGE(INDEX($E$2:$E$3001,MAX(1,ROW()-1-'02_Eingaben'!$C$17)):INDEX($E$2:$E$3001,MIN('02_Eingaben'!$C$21,ROW()-1+'02_Eingaben'!$C$17))))</f>
        <v/>
      </c>
      <c r="G1766" s="27">
        <f>IF(F1766="","",F1766-'02_Eingaben'!$C$10)</f>
        <v/>
      </c>
      <c r="H1766">
        <f>IF(F1766="","",IF(F1766&lt;'02_Eingaben'!$C$18*'02_Eingaben'!$C$10,1,0))</f>
        <v/>
      </c>
      <c r="I1766" s="27">
        <f>IF(OR(G1766="",G1767=""),"",(G1766+G1767)/2*(B1767-B1766))</f>
        <v/>
      </c>
      <c r="J1766" s="27">
        <f>IF(B1766="","",IF(B1765&lt;'02_Eingaben'!$C$36,0,J1765+I1765/'02_Eingaben'!$C$8))</f>
        <v/>
      </c>
    </row>
    <row r="1767">
      <c r="A1767">
        <f>IF('01_Rohdaten'!A1767="","",ROW()-1)</f>
        <v/>
      </c>
      <c r="B1767" s="27">
        <f>IF('01_Rohdaten'!A1767="","",'01_Rohdaten'!A1767)</f>
        <v/>
      </c>
      <c r="C1767" s="27">
        <f>IF(B1767="","",INDEX('01_Rohdaten'!B1767:D1767,'02_Eingaben'!$C$13))</f>
        <v/>
      </c>
      <c r="D1767" s="27">
        <f>IF(C1767="","",C1767*'02_Eingaben'!$C$15)</f>
        <v/>
      </c>
      <c r="E1767" s="27">
        <f>IF(D1767="","",D1767*'02_Eingaben'!$C$8)</f>
        <v/>
      </c>
      <c r="F1767" s="27">
        <f>IF(E1767="","",AVERAGE(INDEX($E$2:$E$3001,MAX(1,ROW()-1-'02_Eingaben'!$C$17)):INDEX($E$2:$E$3001,MIN('02_Eingaben'!$C$21,ROW()-1+'02_Eingaben'!$C$17))))</f>
        <v/>
      </c>
      <c r="G1767" s="27">
        <f>IF(F1767="","",F1767-'02_Eingaben'!$C$10)</f>
        <v/>
      </c>
      <c r="H1767">
        <f>IF(F1767="","",IF(F1767&lt;'02_Eingaben'!$C$18*'02_Eingaben'!$C$10,1,0))</f>
        <v/>
      </c>
      <c r="I1767" s="27">
        <f>IF(OR(G1767="",G1768=""),"",(G1767+G1768)/2*(B1768-B1767))</f>
        <v/>
      </c>
      <c r="J1767" s="27">
        <f>IF(B1767="","",IF(B1766&lt;'02_Eingaben'!$C$36,0,J1766+I1766/'02_Eingaben'!$C$8))</f>
        <v/>
      </c>
    </row>
    <row r="1768">
      <c r="A1768">
        <f>IF('01_Rohdaten'!A1768="","",ROW()-1)</f>
        <v/>
      </c>
      <c r="B1768" s="27">
        <f>IF('01_Rohdaten'!A1768="","",'01_Rohdaten'!A1768)</f>
        <v/>
      </c>
      <c r="C1768" s="27">
        <f>IF(B1768="","",INDEX('01_Rohdaten'!B1768:D1768,'02_Eingaben'!$C$13))</f>
        <v/>
      </c>
      <c r="D1768" s="27">
        <f>IF(C1768="","",C1768*'02_Eingaben'!$C$15)</f>
        <v/>
      </c>
      <c r="E1768" s="27">
        <f>IF(D1768="","",D1768*'02_Eingaben'!$C$8)</f>
        <v/>
      </c>
      <c r="F1768" s="27">
        <f>IF(E1768="","",AVERAGE(INDEX($E$2:$E$3001,MAX(1,ROW()-1-'02_Eingaben'!$C$17)):INDEX($E$2:$E$3001,MIN('02_Eingaben'!$C$21,ROW()-1+'02_Eingaben'!$C$17))))</f>
        <v/>
      </c>
      <c r="G1768" s="27">
        <f>IF(F1768="","",F1768-'02_Eingaben'!$C$10)</f>
        <v/>
      </c>
      <c r="H1768">
        <f>IF(F1768="","",IF(F1768&lt;'02_Eingaben'!$C$18*'02_Eingaben'!$C$10,1,0))</f>
        <v/>
      </c>
      <c r="I1768" s="27">
        <f>IF(OR(G1768="",G1769=""),"",(G1768+G1769)/2*(B1769-B1768))</f>
        <v/>
      </c>
      <c r="J1768" s="27">
        <f>IF(B1768="","",IF(B1767&lt;'02_Eingaben'!$C$36,0,J1767+I1767/'02_Eingaben'!$C$8))</f>
        <v/>
      </c>
    </row>
    <row r="1769">
      <c r="A1769">
        <f>IF('01_Rohdaten'!A1769="","",ROW()-1)</f>
        <v/>
      </c>
      <c r="B1769" s="27">
        <f>IF('01_Rohdaten'!A1769="","",'01_Rohdaten'!A1769)</f>
        <v/>
      </c>
      <c r="C1769" s="27">
        <f>IF(B1769="","",INDEX('01_Rohdaten'!B1769:D1769,'02_Eingaben'!$C$13))</f>
        <v/>
      </c>
      <c r="D1769" s="27">
        <f>IF(C1769="","",C1769*'02_Eingaben'!$C$15)</f>
        <v/>
      </c>
      <c r="E1769" s="27">
        <f>IF(D1769="","",D1769*'02_Eingaben'!$C$8)</f>
        <v/>
      </c>
      <c r="F1769" s="27">
        <f>IF(E1769="","",AVERAGE(INDEX($E$2:$E$3001,MAX(1,ROW()-1-'02_Eingaben'!$C$17)):INDEX($E$2:$E$3001,MIN('02_Eingaben'!$C$21,ROW()-1+'02_Eingaben'!$C$17))))</f>
        <v/>
      </c>
      <c r="G1769" s="27">
        <f>IF(F1769="","",F1769-'02_Eingaben'!$C$10)</f>
        <v/>
      </c>
      <c r="H1769">
        <f>IF(F1769="","",IF(F1769&lt;'02_Eingaben'!$C$18*'02_Eingaben'!$C$10,1,0))</f>
        <v/>
      </c>
      <c r="I1769" s="27">
        <f>IF(OR(G1769="",G1770=""),"",(G1769+G1770)/2*(B1770-B1769))</f>
        <v/>
      </c>
      <c r="J1769" s="27">
        <f>IF(B1769="","",IF(B1768&lt;'02_Eingaben'!$C$36,0,J1768+I1768/'02_Eingaben'!$C$8))</f>
        <v/>
      </c>
    </row>
    <row r="1770">
      <c r="A1770">
        <f>IF('01_Rohdaten'!A1770="","",ROW()-1)</f>
        <v/>
      </c>
      <c r="B1770" s="27">
        <f>IF('01_Rohdaten'!A1770="","",'01_Rohdaten'!A1770)</f>
        <v/>
      </c>
      <c r="C1770" s="27">
        <f>IF(B1770="","",INDEX('01_Rohdaten'!B1770:D1770,'02_Eingaben'!$C$13))</f>
        <v/>
      </c>
      <c r="D1770" s="27">
        <f>IF(C1770="","",C1770*'02_Eingaben'!$C$15)</f>
        <v/>
      </c>
      <c r="E1770" s="27">
        <f>IF(D1770="","",D1770*'02_Eingaben'!$C$8)</f>
        <v/>
      </c>
      <c r="F1770" s="27">
        <f>IF(E1770="","",AVERAGE(INDEX($E$2:$E$3001,MAX(1,ROW()-1-'02_Eingaben'!$C$17)):INDEX($E$2:$E$3001,MIN('02_Eingaben'!$C$21,ROW()-1+'02_Eingaben'!$C$17))))</f>
        <v/>
      </c>
      <c r="G1770" s="27">
        <f>IF(F1770="","",F1770-'02_Eingaben'!$C$10)</f>
        <v/>
      </c>
      <c r="H1770">
        <f>IF(F1770="","",IF(F1770&lt;'02_Eingaben'!$C$18*'02_Eingaben'!$C$10,1,0))</f>
        <v/>
      </c>
      <c r="I1770" s="27">
        <f>IF(OR(G1770="",G1771=""),"",(G1770+G1771)/2*(B1771-B1770))</f>
        <v/>
      </c>
      <c r="J1770" s="27">
        <f>IF(B1770="","",IF(B1769&lt;'02_Eingaben'!$C$36,0,J1769+I1769/'02_Eingaben'!$C$8))</f>
        <v/>
      </c>
    </row>
    <row r="1771">
      <c r="A1771">
        <f>IF('01_Rohdaten'!A1771="","",ROW()-1)</f>
        <v/>
      </c>
      <c r="B1771" s="27">
        <f>IF('01_Rohdaten'!A1771="","",'01_Rohdaten'!A1771)</f>
        <v/>
      </c>
      <c r="C1771" s="27">
        <f>IF(B1771="","",INDEX('01_Rohdaten'!B1771:D1771,'02_Eingaben'!$C$13))</f>
        <v/>
      </c>
      <c r="D1771" s="27">
        <f>IF(C1771="","",C1771*'02_Eingaben'!$C$15)</f>
        <v/>
      </c>
      <c r="E1771" s="27">
        <f>IF(D1771="","",D1771*'02_Eingaben'!$C$8)</f>
        <v/>
      </c>
      <c r="F1771" s="27">
        <f>IF(E1771="","",AVERAGE(INDEX($E$2:$E$3001,MAX(1,ROW()-1-'02_Eingaben'!$C$17)):INDEX($E$2:$E$3001,MIN('02_Eingaben'!$C$21,ROW()-1+'02_Eingaben'!$C$17))))</f>
        <v/>
      </c>
      <c r="G1771" s="27">
        <f>IF(F1771="","",F1771-'02_Eingaben'!$C$10)</f>
        <v/>
      </c>
      <c r="H1771">
        <f>IF(F1771="","",IF(F1771&lt;'02_Eingaben'!$C$18*'02_Eingaben'!$C$10,1,0))</f>
        <v/>
      </c>
      <c r="I1771" s="27">
        <f>IF(OR(G1771="",G1772=""),"",(G1771+G1772)/2*(B1772-B1771))</f>
        <v/>
      </c>
      <c r="J1771" s="27">
        <f>IF(B1771="","",IF(B1770&lt;'02_Eingaben'!$C$36,0,J1770+I1770/'02_Eingaben'!$C$8))</f>
        <v/>
      </c>
    </row>
    <row r="1772">
      <c r="A1772">
        <f>IF('01_Rohdaten'!A1772="","",ROW()-1)</f>
        <v/>
      </c>
      <c r="B1772" s="27">
        <f>IF('01_Rohdaten'!A1772="","",'01_Rohdaten'!A1772)</f>
        <v/>
      </c>
      <c r="C1772" s="27">
        <f>IF(B1772="","",INDEX('01_Rohdaten'!B1772:D1772,'02_Eingaben'!$C$13))</f>
        <v/>
      </c>
      <c r="D1772" s="27">
        <f>IF(C1772="","",C1772*'02_Eingaben'!$C$15)</f>
        <v/>
      </c>
      <c r="E1772" s="27">
        <f>IF(D1772="","",D1772*'02_Eingaben'!$C$8)</f>
        <v/>
      </c>
      <c r="F1772" s="27">
        <f>IF(E1772="","",AVERAGE(INDEX($E$2:$E$3001,MAX(1,ROW()-1-'02_Eingaben'!$C$17)):INDEX($E$2:$E$3001,MIN('02_Eingaben'!$C$21,ROW()-1+'02_Eingaben'!$C$17))))</f>
        <v/>
      </c>
      <c r="G1772" s="27">
        <f>IF(F1772="","",F1772-'02_Eingaben'!$C$10)</f>
        <v/>
      </c>
      <c r="H1772">
        <f>IF(F1772="","",IF(F1772&lt;'02_Eingaben'!$C$18*'02_Eingaben'!$C$10,1,0))</f>
        <v/>
      </c>
      <c r="I1772" s="27">
        <f>IF(OR(G1772="",G1773=""),"",(G1772+G1773)/2*(B1773-B1772))</f>
        <v/>
      </c>
      <c r="J1772" s="27">
        <f>IF(B1772="","",IF(B1771&lt;'02_Eingaben'!$C$36,0,J1771+I1771/'02_Eingaben'!$C$8))</f>
        <v/>
      </c>
    </row>
    <row r="1773">
      <c r="A1773">
        <f>IF('01_Rohdaten'!A1773="","",ROW()-1)</f>
        <v/>
      </c>
      <c r="B1773" s="27">
        <f>IF('01_Rohdaten'!A1773="","",'01_Rohdaten'!A1773)</f>
        <v/>
      </c>
      <c r="C1773" s="27">
        <f>IF(B1773="","",INDEX('01_Rohdaten'!B1773:D1773,'02_Eingaben'!$C$13))</f>
        <v/>
      </c>
      <c r="D1773" s="27">
        <f>IF(C1773="","",C1773*'02_Eingaben'!$C$15)</f>
        <v/>
      </c>
      <c r="E1773" s="27">
        <f>IF(D1773="","",D1773*'02_Eingaben'!$C$8)</f>
        <v/>
      </c>
      <c r="F1773" s="27">
        <f>IF(E1773="","",AVERAGE(INDEX($E$2:$E$3001,MAX(1,ROW()-1-'02_Eingaben'!$C$17)):INDEX($E$2:$E$3001,MIN('02_Eingaben'!$C$21,ROW()-1+'02_Eingaben'!$C$17))))</f>
        <v/>
      </c>
      <c r="G1773" s="27">
        <f>IF(F1773="","",F1773-'02_Eingaben'!$C$10)</f>
        <v/>
      </c>
      <c r="H1773">
        <f>IF(F1773="","",IF(F1773&lt;'02_Eingaben'!$C$18*'02_Eingaben'!$C$10,1,0))</f>
        <v/>
      </c>
      <c r="I1773" s="27">
        <f>IF(OR(G1773="",G1774=""),"",(G1773+G1774)/2*(B1774-B1773))</f>
        <v/>
      </c>
      <c r="J1773" s="27">
        <f>IF(B1773="","",IF(B1772&lt;'02_Eingaben'!$C$36,0,J1772+I1772/'02_Eingaben'!$C$8))</f>
        <v/>
      </c>
    </row>
    <row r="1774">
      <c r="A1774">
        <f>IF('01_Rohdaten'!A1774="","",ROW()-1)</f>
        <v/>
      </c>
      <c r="B1774" s="27">
        <f>IF('01_Rohdaten'!A1774="","",'01_Rohdaten'!A1774)</f>
        <v/>
      </c>
      <c r="C1774" s="27">
        <f>IF(B1774="","",INDEX('01_Rohdaten'!B1774:D1774,'02_Eingaben'!$C$13))</f>
        <v/>
      </c>
      <c r="D1774" s="27">
        <f>IF(C1774="","",C1774*'02_Eingaben'!$C$15)</f>
        <v/>
      </c>
      <c r="E1774" s="27">
        <f>IF(D1774="","",D1774*'02_Eingaben'!$C$8)</f>
        <v/>
      </c>
      <c r="F1774" s="27">
        <f>IF(E1774="","",AVERAGE(INDEX($E$2:$E$3001,MAX(1,ROW()-1-'02_Eingaben'!$C$17)):INDEX($E$2:$E$3001,MIN('02_Eingaben'!$C$21,ROW()-1+'02_Eingaben'!$C$17))))</f>
        <v/>
      </c>
      <c r="G1774" s="27">
        <f>IF(F1774="","",F1774-'02_Eingaben'!$C$10)</f>
        <v/>
      </c>
      <c r="H1774">
        <f>IF(F1774="","",IF(F1774&lt;'02_Eingaben'!$C$18*'02_Eingaben'!$C$10,1,0))</f>
        <v/>
      </c>
      <c r="I1774" s="27">
        <f>IF(OR(G1774="",G1775=""),"",(G1774+G1775)/2*(B1775-B1774))</f>
        <v/>
      </c>
      <c r="J1774" s="27">
        <f>IF(B1774="","",IF(B1773&lt;'02_Eingaben'!$C$36,0,J1773+I1773/'02_Eingaben'!$C$8))</f>
        <v/>
      </c>
    </row>
    <row r="1775">
      <c r="A1775">
        <f>IF('01_Rohdaten'!A1775="","",ROW()-1)</f>
        <v/>
      </c>
      <c r="B1775" s="27">
        <f>IF('01_Rohdaten'!A1775="","",'01_Rohdaten'!A1775)</f>
        <v/>
      </c>
      <c r="C1775" s="27">
        <f>IF(B1775="","",INDEX('01_Rohdaten'!B1775:D1775,'02_Eingaben'!$C$13))</f>
        <v/>
      </c>
      <c r="D1775" s="27">
        <f>IF(C1775="","",C1775*'02_Eingaben'!$C$15)</f>
        <v/>
      </c>
      <c r="E1775" s="27">
        <f>IF(D1775="","",D1775*'02_Eingaben'!$C$8)</f>
        <v/>
      </c>
      <c r="F1775" s="27">
        <f>IF(E1775="","",AVERAGE(INDEX($E$2:$E$3001,MAX(1,ROW()-1-'02_Eingaben'!$C$17)):INDEX($E$2:$E$3001,MIN('02_Eingaben'!$C$21,ROW()-1+'02_Eingaben'!$C$17))))</f>
        <v/>
      </c>
      <c r="G1775" s="27">
        <f>IF(F1775="","",F1775-'02_Eingaben'!$C$10)</f>
        <v/>
      </c>
      <c r="H1775">
        <f>IF(F1775="","",IF(F1775&lt;'02_Eingaben'!$C$18*'02_Eingaben'!$C$10,1,0))</f>
        <v/>
      </c>
      <c r="I1775" s="27">
        <f>IF(OR(G1775="",G1776=""),"",(G1775+G1776)/2*(B1776-B1775))</f>
        <v/>
      </c>
      <c r="J1775" s="27">
        <f>IF(B1775="","",IF(B1774&lt;'02_Eingaben'!$C$36,0,J1774+I1774/'02_Eingaben'!$C$8))</f>
        <v/>
      </c>
    </row>
    <row r="1776">
      <c r="A1776">
        <f>IF('01_Rohdaten'!A1776="","",ROW()-1)</f>
        <v/>
      </c>
      <c r="B1776" s="27">
        <f>IF('01_Rohdaten'!A1776="","",'01_Rohdaten'!A1776)</f>
        <v/>
      </c>
      <c r="C1776" s="27">
        <f>IF(B1776="","",INDEX('01_Rohdaten'!B1776:D1776,'02_Eingaben'!$C$13))</f>
        <v/>
      </c>
      <c r="D1776" s="27">
        <f>IF(C1776="","",C1776*'02_Eingaben'!$C$15)</f>
        <v/>
      </c>
      <c r="E1776" s="27">
        <f>IF(D1776="","",D1776*'02_Eingaben'!$C$8)</f>
        <v/>
      </c>
      <c r="F1776" s="27">
        <f>IF(E1776="","",AVERAGE(INDEX($E$2:$E$3001,MAX(1,ROW()-1-'02_Eingaben'!$C$17)):INDEX($E$2:$E$3001,MIN('02_Eingaben'!$C$21,ROW()-1+'02_Eingaben'!$C$17))))</f>
        <v/>
      </c>
      <c r="G1776" s="27">
        <f>IF(F1776="","",F1776-'02_Eingaben'!$C$10)</f>
        <v/>
      </c>
      <c r="H1776">
        <f>IF(F1776="","",IF(F1776&lt;'02_Eingaben'!$C$18*'02_Eingaben'!$C$10,1,0))</f>
        <v/>
      </c>
      <c r="I1776" s="27">
        <f>IF(OR(G1776="",G1777=""),"",(G1776+G1777)/2*(B1777-B1776))</f>
        <v/>
      </c>
      <c r="J1776" s="27">
        <f>IF(B1776="","",IF(B1775&lt;'02_Eingaben'!$C$36,0,J1775+I1775/'02_Eingaben'!$C$8))</f>
        <v/>
      </c>
    </row>
    <row r="1777">
      <c r="A1777">
        <f>IF('01_Rohdaten'!A1777="","",ROW()-1)</f>
        <v/>
      </c>
      <c r="B1777" s="27">
        <f>IF('01_Rohdaten'!A1777="","",'01_Rohdaten'!A1777)</f>
        <v/>
      </c>
      <c r="C1777" s="27">
        <f>IF(B1777="","",INDEX('01_Rohdaten'!B1777:D1777,'02_Eingaben'!$C$13))</f>
        <v/>
      </c>
      <c r="D1777" s="27">
        <f>IF(C1777="","",C1777*'02_Eingaben'!$C$15)</f>
        <v/>
      </c>
      <c r="E1777" s="27">
        <f>IF(D1777="","",D1777*'02_Eingaben'!$C$8)</f>
        <v/>
      </c>
      <c r="F1777" s="27">
        <f>IF(E1777="","",AVERAGE(INDEX($E$2:$E$3001,MAX(1,ROW()-1-'02_Eingaben'!$C$17)):INDEX($E$2:$E$3001,MIN('02_Eingaben'!$C$21,ROW()-1+'02_Eingaben'!$C$17))))</f>
        <v/>
      </c>
      <c r="G1777" s="27">
        <f>IF(F1777="","",F1777-'02_Eingaben'!$C$10)</f>
        <v/>
      </c>
      <c r="H1777">
        <f>IF(F1777="","",IF(F1777&lt;'02_Eingaben'!$C$18*'02_Eingaben'!$C$10,1,0))</f>
        <v/>
      </c>
      <c r="I1777" s="27">
        <f>IF(OR(G1777="",G1778=""),"",(G1777+G1778)/2*(B1778-B1777))</f>
        <v/>
      </c>
      <c r="J1777" s="27">
        <f>IF(B1777="","",IF(B1776&lt;'02_Eingaben'!$C$36,0,J1776+I1776/'02_Eingaben'!$C$8))</f>
        <v/>
      </c>
    </row>
    <row r="1778">
      <c r="A1778">
        <f>IF('01_Rohdaten'!A1778="","",ROW()-1)</f>
        <v/>
      </c>
      <c r="B1778" s="27">
        <f>IF('01_Rohdaten'!A1778="","",'01_Rohdaten'!A1778)</f>
        <v/>
      </c>
      <c r="C1778" s="27">
        <f>IF(B1778="","",INDEX('01_Rohdaten'!B1778:D1778,'02_Eingaben'!$C$13))</f>
        <v/>
      </c>
      <c r="D1778" s="27">
        <f>IF(C1778="","",C1778*'02_Eingaben'!$C$15)</f>
        <v/>
      </c>
      <c r="E1778" s="27">
        <f>IF(D1778="","",D1778*'02_Eingaben'!$C$8)</f>
        <v/>
      </c>
      <c r="F1778" s="27">
        <f>IF(E1778="","",AVERAGE(INDEX($E$2:$E$3001,MAX(1,ROW()-1-'02_Eingaben'!$C$17)):INDEX($E$2:$E$3001,MIN('02_Eingaben'!$C$21,ROW()-1+'02_Eingaben'!$C$17))))</f>
        <v/>
      </c>
      <c r="G1778" s="27">
        <f>IF(F1778="","",F1778-'02_Eingaben'!$C$10)</f>
        <v/>
      </c>
      <c r="H1778">
        <f>IF(F1778="","",IF(F1778&lt;'02_Eingaben'!$C$18*'02_Eingaben'!$C$10,1,0))</f>
        <v/>
      </c>
      <c r="I1778" s="27">
        <f>IF(OR(G1778="",G1779=""),"",(G1778+G1779)/2*(B1779-B1778))</f>
        <v/>
      </c>
      <c r="J1778" s="27">
        <f>IF(B1778="","",IF(B1777&lt;'02_Eingaben'!$C$36,0,J1777+I1777/'02_Eingaben'!$C$8))</f>
        <v/>
      </c>
    </row>
    <row r="1779">
      <c r="A1779">
        <f>IF('01_Rohdaten'!A1779="","",ROW()-1)</f>
        <v/>
      </c>
      <c r="B1779" s="27">
        <f>IF('01_Rohdaten'!A1779="","",'01_Rohdaten'!A1779)</f>
        <v/>
      </c>
      <c r="C1779" s="27">
        <f>IF(B1779="","",INDEX('01_Rohdaten'!B1779:D1779,'02_Eingaben'!$C$13))</f>
        <v/>
      </c>
      <c r="D1779" s="27">
        <f>IF(C1779="","",C1779*'02_Eingaben'!$C$15)</f>
        <v/>
      </c>
      <c r="E1779" s="27">
        <f>IF(D1779="","",D1779*'02_Eingaben'!$C$8)</f>
        <v/>
      </c>
      <c r="F1779" s="27">
        <f>IF(E1779="","",AVERAGE(INDEX($E$2:$E$3001,MAX(1,ROW()-1-'02_Eingaben'!$C$17)):INDEX($E$2:$E$3001,MIN('02_Eingaben'!$C$21,ROW()-1+'02_Eingaben'!$C$17))))</f>
        <v/>
      </c>
      <c r="G1779" s="27">
        <f>IF(F1779="","",F1779-'02_Eingaben'!$C$10)</f>
        <v/>
      </c>
      <c r="H1779">
        <f>IF(F1779="","",IF(F1779&lt;'02_Eingaben'!$C$18*'02_Eingaben'!$C$10,1,0))</f>
        <v/>
      </c>
      <c r="I1779" s="27">
        <f>IF(OR(G1779="",G1780=""),"",(G1779+G1780)/2*(B1780-B1779))</f>
        <v/>
      </c>
      <c r="J1779" s="27">
        <f>IF(B1779="","",IF(B1778&lt;'02_Eingaben'!$C$36,0,J1778+I1778/'02_Eingaben'!$C$8))</f>
        <v/>
      </c>
    </row>
    <row r="1780">
      <c r="A1780">
        <f>IF('01_Rohdaten'!A1780="","",ROW()-1)</f>
        <v/>
      </c>
      <c r="B1780" s="27">
        <f>IF('01_Rohdaten'!A1780="","",'01_Rohdaten'!A1780)</f>
        <v/>
      </c>
      <c r="C1780" s="27">
        <f>IF(B1780="","",INDEX('01_Rohdaten'!B1780:D1780,'02_Eingaben'!$C$13))</f>
        <v/>
      </c>
      <c r="D1780" s="27">
        <f>IF(C1780="","",C1780*'02_Eingaben'!$C$15)</f>
        <v/>
      </c>
      <c r="E1780" s="27">
        <f>IF(D1780="","",D1780*'02_Eingaben'!$C$8)</f>
        <v/>
      </c>
      <c r="F1780" s="27">
        <f>IF(E1780="","",AVERAGE(INDEX($E$2:$E$3001,MAX(1,ROW()-1-'02_Eingaben'!$C$17)):INDEX($E$2:$E$3001,MIN('02_Eingaben'!$C$21,ROW()-1+'02_Eingaben'!$C$17))))</f>
        <v/>
      </c>
      <c r="G1780" s="27">
        <f>IF(F1780="","",F1780-'02_Eingaben'!$C$10)</f>
        <v/>
      </c>
      <c r="H1780">
        <f>IF(F1780="","",IF(F1780&lt;'02_Eingaben'!$C$18*'02_Eingaben'!$C$10,1,0))</f>
        <v/>
      </c>
      <c r="I1780" s="27">
        <f>IF(OR(G1780="",G1781=""),"",(G1780+G1781)/2*(B1781-B1780))</f>
        <v/>
      </c>
      <c r="J1780" s="27">
        <f>IF(B1780="","",IF(B1779&lt;'02_Eingaben'!$C$36,0,J1779+I1779/'02_Eingaben'!$C$8))</f>
        <v/>
      </c>
    </row>
    <row r="1781">
      <c r="A1781">
        <f>IF('01_Rohdaten'!A1781="","",ROW()-1)</f>
        <v/>
      </c>
      <c r="B1781" s="27">
        <f>IF('01_Rohdaten'!A1781="","",'01_Rohdaten'!A1781)</f>
        <v/>
      </c>
      <c r="C1781" s="27">
        <f>IF(B1781="","",INDEX('01_Rohdaten'!B1781:D1781,'02_Eingaben'!$C$13))</f>
        <v/>
      </c>
      <c r="D1781" s="27">
        <f>IF(C1781="","",C1781*'02_Eingaben'!$C$15)</f>
        <v/>
      </c>
      <c r="E1781" s="27">
        <f>IF(D1781="","",D1781*'02_Eingaben'!$C$8)</f>
        <v/>
      </c>
      <c r="F1781" s="27">
        <f>IF(E1781="","",AVERAGE(INDEX($E$2:$E$3001,MAX(1,ROW()-1-'02_Eingaben'!$C$17)):INDEX($E$2:$E$3001,MIN('02_Eingaben'!$C$21,ROW()-1+'02_Eingaben'!$C$17))))</f>
        <v/>
      </c>
      <c r="G1781" s="27">
        <f>IF(F1781="","",F1781-'02_Eingaben'!$C$10)</f>
        <v/>
      </c>
      <c r="H1781">
        <f>IF(F1781="","",IF(F1781&lt;'02_Eingaben'!$C$18*'02_Eingaben'!$C$10,1,0))</f>
        <v/>
      </c>
      <c r="I1781" s="27">
        <f>IF(OR(G1781="",G1782=""),"",(G1781+G1782)/2*(B1782-B1781))</f>
        <v/>
      </c>
      <c r="J1781" s="27">
        <f>IF(B1781="","",IF(B1780&lt;'02_Eingaben'!$C$36,0,J1780+I1780/'02_Eingaben'!$C$8))</f>
        <v/>
      </c>
    </row>
    <row r="1782">
      <c r="A1782">
        <f>IF('01_Rohdaten'!A1782="","",ROW()-1)</f>
        <v/>
      </c>
      <c r="B1782" s="27">
        <f>IF('01_Rohdaten'!A1782="","",'01_Rohdaten'!A1782)</f>
        <v/>
      </c>
      <c r="C1782" s="27">
        <f>IF(B1782="","",INDEX('01_Rohdaten'!B1782:D1782,'02_Eingaben'!$C$13))</f>
        <v/>
      </c>
      <c r="D1782" s="27">
        <f>IF(C1782="","",C1782*'02_Eingaben'!$C$15)</f>
        <v/>
      </c>
      <c r="E1782" s="27">
        <f>IF(D1782="","",D1782*'02_Eingaben'!$C$8)</f>
        <v/>
      </c>
      <c r="F1782" s="27">
        <f>IF(E1782="","",AVERAGE(INDEX($E$2:$E$3001,MAX(1,ROW()-1-'02_Eingaben'!$C$17)):INDEX($E$2:$E$3001,MIN('02_Eingaben'!$C$21,ROW()-1+'02_Eingaben'!$C$17))))</f>
        <v/>
      </c>
      <c r="G1782" s="27">
        <f>IF(F1782="","",F1782-'02_Eingaben'!$C$10)</f>
        <v/>
      </c>
      <c r="H1782">
        <f>IF(F1782="","",IF(F1782&lt;'02_Eingaben'!$C$18*'02_Eingaben'!$C$10,1,0))</f>
        <v/>
      </c>
      <c r="I1782" s="27">
        <f>IF(OR(G1782="",G1783=""),"",(G1782+G1783)/2*(B1783-B1782))</f>
        <v/>
      </c>
      <c r="J1782" s="27">
        <f>IF(B1782="","",IF(B1781&lt;'02_Eingaben'!$C$36,0,J1781+I1781/'02_Eingaben'!$C$8))</f>
        <v/>
      </c>
    </row>
    <row r="1783">
      <c r="A1783">
        <f>IF('01_Rohdaten'!A1783="","",ROW()-1)</f>
        <v/>
      </c>
      <c r="B1783" s="27">
        <f>IF('01_Rohdaten'!A1783="","",'01_Rohdaten'!A1783)</f>
        <v/>
      </c>
      <c r="C1783" s="27">
        <f>IF(B1783="","",INDEX('01_Rohdaten'!B1783:D1783,'02_Eingaben'!$C$13))</f>
        <v/>
      </c>
      <c r="D1783" s="27">
        <f>IF(C1783="","",C1783*'02_Eingaben'!$C$15)</f>
        <v/>
      </c>
      <c r="E1783" s="27">
        <f>IF(D1783="","",D1783*'02_Eingaben'!$C$8)</f>
        <v/>
      </c>
      <c r="F1783" s="27">
        <f>IF(E1783="","",AVERAGE(INDEX($E$2:$E$3001,MAX(1,ROW()-1-'02_Eingaben'!$C$17)):INDEX($E$2:$E$3001,MIN('02_Eingaben'!$C$21,ROW()-1+'02_Eingaben'!$C$17))))</f>
        <v/>
      </c>
      <c r="G1783" s="27">
        <f>IF(F1783="","",F1783-'02_Eingaben'!$C$10)</f>
        <v/>
      </c>
      <c r="H1783">
        <f>IF(F1783="","",IF(F1783&lt;'02_Eingaben'!$C$18*'02_Eingaben'!$C$10,1,0))</f>
        <v/>
      </c>
      <c r="I1783" s="27">
        <f>IF(OR(G1783="",G1784=""),"",(G1783+G1784)/2*(B1784-B1783))</f>
        <v/>
      </c>
      <c r="J1783" s="27">
        <f>IF(B1783="","",IF(B1782&lt;'02_Eingaben'!$C$36,0,J1782+I1782/'02_Eingaben'!$C$8))</f>
        <v/>
      </c>
    </row>
    <row r="1784">
      <c r="A1784">
        <f>IF('01_Rohdaten'!A1784="","",ROW()-1)</f>
        <v/>
      </c>
      <c r="B1784" s="27">
        <f>IF('01_Rohdaten'!A1784="","",'01_Rohdaten'!A1784)</f>
        <v/>
      </c>
      <c r="C1784" s="27">
        <f>IF(B1784="","",INDEX('01_Rohdaten'!B1784:D1784,'02_Eingaben'!$C$13))</f>
        <v/>
      </c>
      <c r="D1784" s="27">
        <f>IF(C1784="","",C1784*'02_Eingaben'!$C$15)</f>
        <v/>
      </c>
      <c r="E1784" s="27">
        <f>IF(D1784="","",D1784*'02_Eingaben'!$C$8)</f>
        <v/>
      </c>
      <c r="F1784" s="27">
        <f>IF(E1784="","",AVERAGE(INDEX($E$2:$E$3001,MAX(1,ROW()-1-'02_Eingaben'!$C$17)):INDEX($E$2:$E$3001,MIN('02_Eingaben'!$C$21,ROW()-1+'02_Eingaben'!$C$17))))</f>
        <v/>
      </c>
      <c r="G1784" s="27">
        <f>IF(F1784="","",F1784-'02_Eingaben'!$C$10)</f>
        <v/>
      </c>
      <c r="H1784">
        <f>IF(F1784="","",IF(F1784&lt;'02_Eingaben'!$C$18*'02_Eingaben'!$C$10,1,0))</f>
        <v/>
      </c>
      <c r="I1784" s="27">
        <f>IF(OR(G1784="",G1785=""),"",(G1784+G1785)/2*(B1785-B1784))</f>
        <v/>
      </c>
      <c r="J1784" s="27">
        <f>IF(B1784="","",IF(B1783&lt;'02_Eingaben'!$C$36,0,J1783+I1783/'02_Eingaben'!$C$8))</f>
        <v/>
      </c>
    </row>
    <row r="1785">
      <c r="A1785">
        <f>IF('01_Rohdaten'!A1785="","",ROW()-1)</f>
        <v/>
      </c>
      <c r="B1785" s="27">
        <f>IF('01_Rohdaten'!A1785="","",'01_Rohdaten'!A1785)</f>
        <v/>
      </c>
      <c r="C1785" s="27">
        <f>IF(B1785="","",INDEX('01_Rohdaten'!B1785:D1785,'02_Eingaben'!$C$13))</f>
        <v/>
      </c>
      <c r="D1785" s="27">
        <f>IF(C1785="","",C1785*'02_Eingaben'!$C$15)</f>
        <v/>
      </c>
      <c r="E1785" s="27">
        <f>IF(D1785="","",D1785*'02_Eingaben'!$C$8)</f>
        <v/>
      </c>
      <c r="F1785" s="27">
        <f>IF(E1785="","",AVERAGE(INDEX($E$2:$E$3001,MAX(1,ROW()-1-'02_Eingaben'!$C$17)):INDEX($E$2:$E$3001,MIN('02_Eingaben'!$C$21,ROW()-1+'02_Eingaben'!$C$17))))</f>
        <v/>
      </c>
      <c r="G1785" s="27">
        <f>IF(F1785="","",F1785-'02_Eingaben'!$C$10)</f>
        <v/>
      </c>
      <c r="H1785">
        <f>IF(F1785="","",IF(F1785&lt;'02_Eingaben'!$C$18*'02_Eingaben'!$C$10,1,0))</f>
        <v/>
      </c>
      <c r="I1785" s="27">
        <f>IF(OR(G1785="",G1786=""),"",(G1785+G1786)/2*(B1786-B1785))</f>
        <v/>
      </c>
      <c r="J1785" s="27">
        <f>IF(B1785="","",IF(B1784&lt;'02_Eingaben'!$C$36,0,J1784+I1784/'02_Eingaben'!$C$8))</f>
        <v/>
      </c>
    </row>
    <row r="1786">
      <c r="A1786">
        <f>IF('01_Rohdaten'!A1786="","",ROW()-1)</f>
        <v/>
      </c>
      <c r="B1786" s="27">
        <f>IF('01_Rohdaten'!A1786="","",'01_Rohdaten'!A1786)</f>
        <v/>
      </c>
      <c r="C1786" s="27">
        <f>IF(B1786="","",INDEX('01_Rohdaten'!B1786:D1786,'02_Eingaben'!$C$13))</f>
        <v/>
      </c>
      <c r="D1786" s="27">
        <f>IF(C1786="","",C1786*'02_Eingaben'!$C$15)</f>
        <v/>
      </c>
      <c r="E1786" s="27">
        <f>IF(D1786="","",D1786*'02_Eingaben'!$C$8)</f>
        <v/>
      </c>
      <c r="F1786" s="27">
        <f>IF(E1786="","",AVERAGE(INDEX($E$2:$E$3001,MAX(1,ROW()-1-'02_Eingaben'!$C$17)):INDEX($E$2:$E$3001,MIN('02_Eingaben'!$C$21,ROW()-1+'02_Eingaben'!$C$17))))</f>
        <v/>
      </c>
      <c r="G1786" s="27">
        <f>IF(F1786="","",F1786-'02_Eingaben'!$C$10)</f>
        <v/>
      </c>
      <c r="H1786">
        <f>IF(F1786="","",IF(F1786&lt;'02_Eingaben'!$C$18*'02_Eingaben'!$C$10,1,0))</f>
        <v/>
      </c>
      <c r="I1786" s="27">
        <f>IF(OR(G1786="",G1787=""),"",(G1786+G1787)/2*(B1787-B1786))</f>
        <v/>
      </c>
      <c r="J1786" s="27">
        <f>IF(B1786="","",IF(B1785&lt;'02_Eingaben'!$C$36,0,J1785+I1785/'02_Eingaben'!$C$8))</f>
        <v/>
      </c>
    </row>
    <row r="1787">
      <c r="A1787">
        <f>IF('01_Rohdaten'!A1787="","",ROW()-1)</f>
        <v/>
      </c>
      <c r="B1787" s="27">
        <f>IF('01_Rohdaten'!A1787="","",'01_Rohdaten'!A1787)</f>
        <v/>
      </c>
      <c r="C1787" s="27">
        <f>IF(B1787="","",INDEX('01_Rohdaten'!B1787:D1787,'02_Eingaben'!$C$13))</f>
        <v/>
      </c>
      <c r="D1787" s="27">
        <f>IF(C1787="","",C1787*'02_Eingaben'!$C$15)</f>
        <v/>
      </c>
      <c r="E1787" s="27">
        <f>IF(D1787="","",D1787*'02_Eingaben'!$C$8)</f>
        <v/>
      </c>
      <c r="F1787" s="27">
        <f>IF(E1787="","",AVERAGE(INDEX($E$2:$E$3001,MAX(1,ROW()-1-'02_Eingaben'!$C$17)):INDEX($E$2:$E$3001,MIN('02_Eingaben'!$C$21,ROW()-1+'02_Eingaben'!$C$17))))</f>
        <v/>
      </c>
      <c r="G1787" s="27">
        <f>IF(F1787="","",F1787-'02_Eingaben'!$C$10)</f>
        <v/>
      </c>
      <c r="H1787">
        <f>IF(F1787="","",IF(F1787&lt;'02_Eingaben'!$C$18*'02_Eingaben'!$C$10,1,0))</f>
        <v/>
      </c>
      <c r="I1787" s="27">
        <f>IF(OR(G1787="",G1788=""),"",(G1787+G1788)/2*(B1788-B1787))</f>
        <v/>
      </c>
      <c r="J1787" s="27">
        <f>IF(B1787="","",IF(B1786&lt;'02_Eingaben'!$C$36,0,J1786+I1786/'02_Eingaben'!$C$8))</f>
        <v/>
      </c>
    </row>
    <row r="1788">
      <c r="A1788">
        <f>IF('01_Rohdaten'!A1788="","",ROW()-1)</f>
        <v/>
      </c>
      <c r="B1788" s="27">
        <f>IF('01_Rohdaten'!A1788="","",'01_Rohdaten'!A1788)</f>
        <v/>
      </c>
      <c r="C1788" s="27">
        <f>IF(B1788="","",INDEX('01_Rohdaten'!B1788:D1788,'02_Eingaben'!$C$13))</f>
        <v/>
      </c>
      <c r="D1788" s="27">
        <f>IF(C1788="","",C1788*'02_Eingaben'!$C$15)</f>
        <v/>
      </c>
      <c r="E1788" s="27">
        <f>IF(D1788="","",D1788*'02_Eingaben'!$C$8)</f>
        <v/>
      </c>
      <c r="F1788" s="27">
        <f>IF(E1788="","",AVERAGE(INDEX($E$2:$E$3001,MAX(1,ROW()-1-'02_Eingaben'!$C$17)):INDEX($E$2:$E$3001,MIN('02_Eingaben'!$C$21,ROW()-1+'02_Eingaben'!$C$17))))</f>
        <v/>
      </c>
      <c r="G1788" s="27">
        <f>IF(F1788="","",F1788-'02_Eingaben'!$C$10)</f>
        <v/>
      </c>
      <c r="H1788">
        <f>IF(F1788="","",IF(F1788&lt;'02_Eingaben'!$C$18*'02_Eingaben'!$C$10,1,0))</f>
        <v/>
      </c>
      <c r="I1788" s="27">
        <f>IF(OR(G1788="",G1789=""),"",(G1788+G1789)/2*(B1789-B1788))</f>
        <v/>
      </c>
      <c r="J1788" s="27">
        <f>IF(B1788="","",IF(B1787&lt;'02_Eingaben'!$C$36,0,J1787+I1787/'02_Eingaben'!$C$8))</f>
        <v/>
      </c>
    </row>
    <row r="1789">
      <c r="A1789">
        <f>IF('01_Rohdaten'!A1789="","",ROW()-1)</f>
        <v/>
      </c>
      <c r="B1789" s="27">
        <f>IF('01_Rohdaten'!A1789="","",'01_Rohdaten'!A1789)</f>
        <v/>
      </c>
      <c r="C1789" s="27">
        <f>IF(B1789="","",INDEX('01_Rohdaten'!B1789:D1789,'02_Eingaben'!$C$13))</f>
        <v/>
      </c>
      <c r="D1789" s="27">
        <f>IF(C1789="","",C1789*'02_Eingaben'!$C$15)</f>
        <v/>
      </c>
      <c r="E1789" s="27">
        <f>IF(D1789="","",D1789*'02_Eingaben'!$C$8)</f>
        <v/>
      </c>
      <c r="F1789" s="27">
        <f>IF(E1789="","",AVERAGE(INDEX($E$2:$E$3001,MAX(1,ROW()-1-'02_Eingaben'!$C$17)):INDEX($E$2:$E$3001,MIN('02_Eingaben'!$C$21,ROW()-1+'02_Eingaben'!$C$17))))</f>
        <v/>
      </c>
      <c r="G1789" s="27">
        <f>IF(F1789="","",F1789-'02_Eingaben'!$C$10)</f>
        <v/>
      </c>
      <c r="H1789">
        <f>IF(F1789="","",IF(F1789&lt;'02_Eingaben'!$C$18*'02_Eingaben'!$C$10,1,0))</f>
        <v/>
      </c>
      <c r="I1789" s="27">
        <f>IF(OR(G1789="",G1790=""),"",(G1789+G1790)/2*(B1790-B1789))</f>
        <v/>
      </c>
      <c r="J1789" s="27">
        <f>IF(B1789="","",IF(B1788&lt;'02_Eingaben'!$C$36,0,J1788+I1788/'02_Eingaben'!$C$8))</f>
        <v/>
      </c>
    </row>
    <row r="1790">
      <c r="A1790">
        <f>IF('01_Rohdaten'!A1790="","",ROW()-1)</f>
        <v/>
      </c>
      <c r="B1790" s="27">
        <f>IF('01_Rohdaten'!A1790="","",'01_Rohdaten'!A1790)</f>
        <v/>
      </c>
      <c r="C1790" s="27">
        <f>IF(B1790="","",INDEX('01_Rohdaten'!B1790:D1790,'02_Eingaben'!$C$13))</f>
        <v/>
      </c>
      <c r="D1790" s="27">
        <f>IF(C1790="","",C1790*'02_Eingaben'!$C$15)</f>
        <v/>
      </c>
      <c r="E1790" s="27">
        <f>IF(D1790="","",D1790*'02_Eingaben'!$C$8)</f>
        <v/>
      </c>
      <c r="F1790" s="27">
        <f>IF(E1790="","",AVERAGE(INDEX($E$2:$E$3001,MAX(1,ROW()-1-'02_Eingaben'!$C$17)):INDEX($E$2:$E$3001,MIN('02_Eingaben'!$C$21,ROW()-1+'02_Eingaben'!$C$17))))</f>
        <v/>
      </c>
      <c r="G1790" s="27">
        <f>IF(F1790="","",F1790-'02_Eingaben'!$C$10)</f>
        <v/>
      </c>
      <c r="H1790">
        <f>IF(F1790="","",IF(F1790&lt;'02_Eingaben'!$C$18*'02_Eingaben'!$C$10,1,0))</f>
        <v/>
      </c>
      <c r="I1790" s="27">
        <f>IF(OR(G1790="",G1791=""),"",(G1790+G1791)/2*(B1791-B1790))</f>
        <v/>
      </c>
      <c r="J1790" s="27">
        <f>IF(B1790="","",IF(B1789&lt;'02_Eingaben'!$C$36,0,J1789+I1789/'02_Eingaben'!$C$8))</f>
        <v/>
      </c>
    </row>
    <row r="1791">
      <c r="A1791">
        <f>IF('01_Rohdaten'!A1791="","",ROW()-1)</f>
        <v/>
      </c>
      <c r="B1791" s="27">
        <f>IF('01_Rohdaten'!A1791="","",'01_Rohdaten'!A1791)</f>
        <v/>
      </c>
      <c r="C1791" s="27">
        <f>IF(B1791="","",INDEX('01_Rohdaten'!B1791:D1791,'02_Eingaben'!$C$13))</f>
        <v/>
      </c>
      <c r="D1791" s="27">
        <f>IF(C1791="","",C1791*'02_Eingaben'!$C$15)</f>
        <v/>
      </c>
      <c r="E1791" s="27">
        <f>IF(D1791="","",D1791*'02_Eingaben'!$C$8)</f>
        <v/>
      </c>
      <c r="F1791" s="27">
        <f>IF(E1791="","",AVERAGE(INDEX($E$2:$E$3001,MAX(1,ROW()-1-'02_Eingaben'!$C$17)):INDEX($E$2:$E$3001,MIN('02_Eingaben'!$C$21,ROW()-1+'02_Eingaben'!$C$17))))</f>
        <v/>
      </c>
      <c r="G1791" s="27">
        <f>IF(F1791="","",F1791-'02_Eingaben'!$C$10)</f>
        <v/>
      </c>
      <c r="H1791">
        <f>IF(F1791="","",IF(F1791&lt;'02_Eingaben'!$C$18*'02_Eingaben'!$C$10,1,0))</f>
        <v/>
      </c>
      <c r="I1791" s="27">
        <f>IF(OR(G1791="",G1792=""),"",(G1791+G1792)/2*(B1792-B1791))</f>
        <v/>
      </c>
      <c r="J1791" s="27">
        <f>IF(B1791="","",IF(B1790&lt;'02_Eingaben'!$C$36,0,J1790+I1790/'02_Eingaben'!$C$8))</f>
        <v/>
      </c>
    </row>
    <row r="1792">
      <c r="A1792">
        <f>IF('01_Rohdaten'!A1792="","",ROW()-1)</f>
        <v/>
      </c>
      <c r="B1792" s="27">
        <f>IF('01_Rohdaten'!A1792="","",'01_Rohdaten'!A1792)</f>
        <v/>
      </c>
      <c r="C1792" s="27">
        <f>IF(B1792="","",INDEX('01_Rohdaten'!B1792:D1792,'02_Eingaben'!$C$13))</f>
        <v/>
      </c>
      <c r="D1792" s="27">
        <f>IF(C1792="","",C1792*'02_Eingaben'!$C$15)</f>
        <v/>
      </c>
      <c r="E1792" s="27">
        <f>IF(D1792="","",D1792*'02_Eingaben'!$C$8)</f>
        <v/>
      </c>
      <c r="F1792" s="27">
        <f>IF(E1792="","",AVERAGE(INDEX($E$2:$E$3001,MAX(1,ROW()-1-'02_Eingaben'!$C$17)):INDEX($E$2:$E$3001,MIN('02_Eingaben'!$C$21,ROW()-1+'02_Eingaben'!$C$17))))</f>
        <v/>
      </c>
      <c r="G1792" s="27">
        <f>IF(F1792="","",F1792-'02_Eingaben'!$C$10)</f>
        <v/>
      </c>
      <c r="H1792">
        <f>IF(F1792="","",IF(F1792&lt;'02_Eingaben'!$C$18*'02_Eingaben'!$C$10,1,0))</f>
        <v/>
      </c>
      <c r="I1792" s="27">
        <f>IF(OR(G1792="",G1793=""),"",(G1792+G1793)/2*(B1793-B1792))</f>
        <v/>
      </c>
      <c r="J1792" s="27">
        <f>IF(B1792="","",IF(B1791&lt;'02_Eingaben'!$C$36,0,J1791+I1791/'02_Eingaben'!$C$8))</f>
        <v/>
      </c>
    </row>
    <row r="1793">
      <c r="A1793">
        <f>IF('01_Rohdaten'!A1793="","",ROW()-1)</f>
        <v/>
      </c>
      <c r="B1793" s="27">
        <f>IF('01_Rohdaten'!A1793="","",'01_Rohdaten'!A1793)</f>
        <v/>
      </c>
      <c r="C1793" s="27">
        <f>IF(B1793="","",INDEX('01_Rohdaten'!B1793:D1793,'02_Eingaben'!$C$13))</f>
        <v/>
      </c>
      <c r="D1793" s="27">
        <f>IF(C1793="","",C1793*'02_Eingaben'!$C$15)</f>
        <v/>
      </c>
      <c r="E1793" s="27">
        <f>IF(D1793="","",D1793*'02_Eingaben'!$C$8)</f>
        <v/>
      </c>
      <c r="F1793" s="27">
        <f>IF(E1793="","",AVERAGE(INDEX($E$2:$E$3001,MAX(1,ROW()-1-'02_Eingaben'!$C$17)):INDEX($E$2:$E$3001,MIN('02_Eingaben'!$C$21,ROW()-1+'02_Eingaben'!$C$17))))</f>
        <v/>
      </c>
      <c r="G1793" s="27">
        <f>IF(F1793="","",F1793-'02_Eingaben'!$C$10)</f>
        <v/>
      </c>
      <c r="H1793">
        <f>IF(F1793="","",IF(F1793&lt;'02_Eingaben'!$C$18*'02_Eingaben'!$C$10,1,0))</f>
        <v/>
      </c>
      <c r="I1793" s="27">
        <f>IF(OR(G1793="",G1794=""),"",(G1793+G1794)/2*(B1794-B1793))</f>
        <v/>
      </c>
      <c r="J1793" s="27">
        <f>IF(B1793="","",IF(B1792&lt;'02_Eingaben'!$C$36,0,J1792+I1792/'02_Eingaben'!$C$8))</f>
        <v/>
      </c>
    </row>
    <row r="1794">
      <c r="A1794">
        <f>IF('01_Rohdaten'!A1794="","",ROW()-1)</f>
        <v/>
      </c>
      <c r="B1794" s="27">
        <f>IF('01_Rohdaten'!A1794="","",'01_Rohdaten'!A1794)</f>
        <v/>
      </c>
      <c r="C1794" s="27">
        <f>IF(B1794="","",INDEX('01_Rohdaten'!B1794:D1794,'02_Eingaben'!$C$13))</f>
        <v/>
      </c>
      <c r="D1794" s="27">
        <f>IF(C1794="","",C1794*'02_Eingaben'!$C$15)</f>
        <v/>
      </c>
      <c r="E1794" s="27">
        <f>IF(D1794="","",D1794*'02_Eingaben'!$C$8)</f>
        <v/>
      </c>
      <c r="F1794" s="27">
        <f>IF(E1794="","",AVERAGE(INDEX($E$2:$E$3001,MAX(1,ROW()-1-'02_Eingaben'!$C$17)):INDEX($E$2:$E$3001,MIN('02_Eingaben'!$C$21,ROW()-1+'02_Eingaben'!$C$17))))</f>
        <v/>
      </c>
      <c r="G1794" s="27">
        <f>IF(F1794="","",F1794-'02_Eingaben'!$C$10)</f>
        <v/>
      </c>
      <c r="H1794">
        <f>IF(F1794="","",IF(F1794&lt;'02_Eingaben'!$C$18*'02_Eingaben'!$C$10,1,0))</f>
        <v/>
      </c>
      <c r="I1794" s="27">
        <f>IF(OR(G1794="",G1795=""),"",(G1794+G1795)/2*(B1795-B1794))</f>
        <v/>
      </c>
      <c r="J1794" s="27">
        <f>IF(B1794="","",IF(B1793&lt;'02_Eingaben'!$C$36,0,J1793+I1793/'02_Eingaben'!$C$8))</f>
        <v/>
      </c>
    </row>
    <row r="1795">
      <c r="A1795">
        <f>IF('01_Rohdaten'!A1795="","",ROW()-1)</f>
        <v/>
      </c>
      <c r="B1795" s="27">
        <f>IF('01_Rohdaten'!A1795="","",'01_Rohdaten'!A1795)</f>
        <v/>
      </c>
      <c r="C1795" s="27">
        <f>IF(B1795="","",INDEX('01_Rohdaten'!B1795:D1795,'02_Eingaben'!$C$13))</f>
        <v/>
      </c>
      <c r="D1795" s="27">
        <f>IF(C1795="","",C1795*'02_Eingaben'!$C$15)</f>
        <v/>
      </c>
      <c r="E1795" s="27">
        <f>IF(D1795="","",D1795*'02_Eingaben'!$C$8)</f>
        <v/>
      </c>
      <c r="F1795" s="27">
        <f>IF(E1795="","",AVERAGE(INDEX($E$2:$E$3001,MAX(1,ROW()-1-'02_Eingaben'!$C$17)):INDEX($E$2:$E$3001,MIN('02_Eingaben'!$C$21,ROW()-1+'02_Eingaben'!$C$17))))</f>
        <v/>
      </c>
      <c r="G1795" s="27">
        <f>IF(F1795="","",F1795-'02_Eingaben'!$C$10)</f>
        <v/>
      </c>
      <c r="H1795">
        <f>IF(F1795="","",IF(F1795&lt;'02_Eingaben'!$C$18*'02_Eingaben'!$C$10,1,0))</f>
        <v/>
      </c>
      <c r="I1795" s="27">
        <f>IF(OR(G1795="",G1796=""),"",(G1795+G1796)/2*(B1796-B1795))</f>
        <v/>
      </c>
      <c r="J1795" s="27">
        <f>IF(B1795="","",IF(B1794&lt;'02_Eingaben'!$C$36,0,J1794+I1794/'02_Eingaben'!$C$8))</f>
        <v/>
      </c>
    </row>
    <row r="1796">
      <c r="A1796">
        <f>IF('01_Rohdaten'!A1796="","",ROW()-1)</f>
        <v/>
      </c>
      <c r="B1796" s="27">
        <f>IF('01_Rohdaten'!A1796="","",'01_Rohdaten'!A1796)</f>
        <v/>
      </c>
      <c r="C1796" s="27">
        <f>IF(B1796="","",INDEX('01_Rohdaten'!B1796:D1796,'02_Eingaben'!$C$13))</f>
        <v/>
      </c>
      <c r="D1796" s="27">
        <f>IF(C1796="","",C1796*'02_Eingaben'!$C$15)</f>
        <v/>
      </c>
      <c r="E1796" s="27">
        <f>IF(D1796="","",D1796*'02_Eingaben'!$C$8)</f>
        <v/>
      </c>
      <c r="F1796" s="27">
        <f>IF(E1796="","",AVERAGE(INDEX($E$2:$E$3001,MAX(1,ROW()-1-'02_Eingaben'!$C$17)):INDEX($E$2:$E$3001,MIN('02_Eingaben'!$C$21,ROW()-1+'02_Eingaben'!$C$17))))</f>
        <v/>
      </c>
      <c r="G1796" s="27">
        <f>IF(F1796="","",F1796-'02_Eingaben'!$C$10)</f>
        <v/>
      </c>
      <c r="H1796">
        <f>IF(F1796="","",IF(F1796&lt;'02_Eingaben'!$C$18*'02_Eingaben'!$C$10,1,0))</f>
        <v/>
      </c>
      <c r="I1796" s="27">
        <f>IF(OR(G1796="",G1797=""),"",(G1796+G1797)/2*(B1797-B1796))</f>
        <v/>
      </c>
      <c r="J1796" s="27">
        <f>IF(B1796="","",IF(B1795&lt;'02_Eingaben'!$C$36,0,J1795+I1795/'02_Eingaben'!$C$8))</f>
        <v/>
      </c>
    </row>
    <row r="1797">
      <c r="A1797">
        <f>IF('01_Rohdaten'!A1797="","",ROW()-1)</f>
        <v/>
      </c>
      <c r="B1797" s="27">
        <f>IF('01_Rohdaten'!A1797="","",'01_Rohdaten'!A1797)</f>
        <v/>
      </c>
      <c r="C1797" s="27">
        <f>IF(B1797="","",INDEX('01_Rohdaten'!B1797:D1797,'02_Eingaben'!$C$13))</f>
        <v/>
      </c>
      <c r="D1797" s="27">
        <f>IF(C1797="","",C1797*'02_Eingaben'!$C$15)</f>
        <v/>
      </c>
      <c r="E1797" s="27">
        <f>IF(D1797="","",D1797*'02_Eingaben'!$C$8)</f>
        <v/>
      </c>
      <c r="F1797" s="27">
        <f>IF(E1797="","",AVERAGE(INDEX($E$2:$E$3001,MAX(1,ROW()-1-'02_Eingaben'!$C$17)):INDEX($E$2:$E$3001,MIN('02_Eingaben'!$C$21,ROW()-1+'02_Eingaben'!$C$17))))</f>
        <v/>
      </c>
      <c r="G1797" s="27">
        <f>IF(F1797="","",F1797-'02_Eingaben'!$C$10)</f>
        <v/>
      </c>
      <c r="H1797">
        <f>IF(F1797="","",IF(F1797&lt;'02_Eingaben'!$C$18*'02_Eingaben'!$C$10,1,0))</f>
        <v/>
      </c>
      <c r="I1797" s="27">
        <f>IF(OR(G1797="",G1798=""),"",(G1797+G1798)/2*(B1798-B1797))</f>
        <v/>
      </c>
      <c r="J1797" s="27">
        <f>IF(B1797="","",IF(B1796&lt;'02_Eingaben'!$C$36,0,J1796+I1796/'02_Eingaben'!$C$8))</f>
        <v/>
      </c>
    </row>
    <row r="1798">
      <c r="A1798">
        <f>IF('01_Rohdaten'!A1798="","",ROW()-1)</f>
        <v/>
      </c>
      <c r="B1798" s="27">
        <f>IF('01_Rohdaten'!A1798="","",'01_Rohdaten'!A1798)</f>
        <v/>
      </c>
      <c r="C1798" s="27">
        <f>IF(B1798="","",INDEX('01_Rohdaten'!B1798:D1798,'02_Eingaben'!$C$13))</f>
        <v/>
      </c>
      <c r="D1798" s="27">
        <f>IF(C1798="","",C1798*'02_Eingaben'!$C$15)</f>
        <v/>
      </c>
      <c r="E1798" s="27">
        <f>IF(D1798="","",D1798*'02_Eingaben'!$C$8)</f>
        <v/>
      </c>
      <c r="F1798" s="27">
        <f>IF(E1798="","",AVERAGE(INDEX($E$2:$E$3001,MAX(1,ROW()-1-'02_Eingaben'!$C$17)):INDEX($E$2:$E$3001,MIN('02_Eingaben'!$C$21,ROW()-1+'02_Eingaben'!$C$17))))</f>
        <v/>
      </c>
      <c r="G1798" s="27">
        <f>IF(F1798="","",F1798-'02_Eingaben'!$C$10)</f>
        <v/>
      </c>
      <c r="H1798">
        <f>IF(F1798="","",IF(F1798&lt;'02_Eingaben'!$C$18*'02_Eingaben'!$C$10,1,0))</f>
        <v/>
      </c>
      <c r="I1798" s="27">
        <f>IF(OR(G1798="",G1799=""),"",(G1798+G1799)/2*(B1799-B1798))</f>
        <v/>
      </c>
      <c r="J1798" s="27">
        <f>IF(B1798="","",IF(B1797&lt;'02_Eingaben'!$C$36,0,J1797+I1797/'02_Eingaben'!$C$8))</f>
        <v/>
      </c>
    </row>
    <row r="1799">
      <c r="A1799">
        <f>IF('01_Rohdaten'!A1799="","",ROW()-1)</f>
        <v/>
      </c>
      <c r="B1799" s="27">
        <f>IF('01_Rohdaten'!A1799="","",'01_Rohdaten'!A1799)</f>
        <v/>
      </c>
      <c r="C1799" s="27">
        <f>IF(B1799="","",INDEX('01_Rohdaten'!B1799:D1799,'02_Eingaben'!$C$13))</f>
        <v/>
      </c>
      <c r="D1799" s="27">
        <f>IF(C1799="","",C1799*'02_Eingaben'!$C$15)</f>
        <v/>
      </c>
      <c r="E1799" s="27">
        <f>IF(D1799="","",D1799*'02_Eingaben'!$C$8)</f>
        <v/>
      </c>
      <c r="F1799" s="27">
        <f>IF(E1799="","",AVERAGE(INDEX($E$2:$E$3001,MAX(1,ROW()-1-'02_Eingaben'!$C$17)):INDEX($E$2:$E$3001,MIN('02_Eingaben'!$C$21,ROW()-1+'02_Eingaben'!$C$17))))</f>
        <v/>
      </c>
      <c r="G1799" s="27">
        <f>IF(F1799="","",F1799-'02_Eingaben'!$C$10)</f>
        <v/>
      </c>
      <c r="H1799">
        <f>IF(F1799="","",IF(F1799&lt;'02_Eingaben'!$C$18*'02_Eingaben'!$C$10,1,0))</f>
        <v/>
      </c>
      <c r="I1799" s="27">
        <f>IF(OR(G1799="",G1800=""),"",(G1799+G1800)/2*(B1800-B1799))</f>
        <v/>
      </c>
      <c r="J1799" s="27">
        <f>IF(B1799="","",IF(B1798&lt;'02_Eingaben'!$C$36,0,J1798+I1798/'02_Eingaben'!$C$8))</f>
        <v/>
      </c>
    </row>
    <row r="1800">
      <c r="A1800">
        <f>IF('01_Rohdaten'!A1800="","",ROW()-1)</f>
        <v/>
      </c>
      <c r="B1800" s="27">
        <f>IF('01_Rohdaten'!A1800="","",'01_Rohdaten'!A1800)</f>
        <v/>
      </c>
      <c r="C1800" s="27">
        <f>IF(B1800="","",INDEX('01_Rohdaten'!B1800:D1800,'02_Eingaben'!$C$13))</f>
        <v/>
      </c>
      <c r="D1800" s="27">
        <f>IF(C1800="","",C1800*'02_Eingaben'!$C$15)</f>
        <v/>
      </c>
      <c r="E1800" s="27">
        <f>IF(D1800="","",D1800*'02_Eingaben'!$C$8)</f>
        <v/>
      </c>
      <c r="F1800" s="27">
        <f>IF(E1800="","",AVERAGE(INDEX($E$2:$E$3001,MAX(1,ROW()-1-'02_Eingaben'!$C$17)):INDEX($E$2:$E$3001,MIN('02_Eingaben'!$C$21,ROW()-1+'02_Eingaben'!$C$17))))</f>
        <v/>
      </c>
      <c r="G1800" s="27">
        <f>IF(F1800="","",F1800-'02_Eingaben'!$C$10)</f>
        <v/>
      </c>
      <c r="H1800">
        <f>IF(F1800="","",IF(F1800&lt;'02_Eingaben'!$C$18*'02_Eingaben'!$C$10,1,0))</f>
        <v/>
      </c>
      <c r="I1800" s="27">
        <f>IF(OR(G1800="",G1801=""),"",(G1800+G1801)/2*(B1801-B1800))</f>
        <v/>
      </c>
      <c r="J1800" s="27">
        <f>IF(B1800="","",IF(B1799&lt;'02_Eingaben'!$C$36,0,J1799+I1799/'02_Eingaben'!$C$8))</f>
        <v/>
      </c>
    </row>
    <row r="1801">
      <c r="A1801">
        <f>IF('01_Rohdaten'!A1801="","",ROW()-1)</f>
        <v/>
      </c>
      <c r="B1801" s="27">
        <f>IF('01_Rohdaten'!A1801="","",'01_Rohdaten'!A1801)</f>
        <v/>
      </c>
      <c r="C1801" s="27">
        <f>IF(B1801="","",INDEX('01_Rohdaten'!B1801:D1801,'02_Eingaben'!$C$13))</f>
        <v/>
      </c>
      <c r="D1801" s="27">
        <f>IF(C1801="","",C1801*'02_Eingaben'!$C$15)</f>
        <v/>
      </c>
      <c r="E1801" s="27">
        <f>IF(D1801="","",D1801*'02_Eingaben'!$C$8)</f>
        <v/>
      </c>
      <c r="F1801" s="27">
        <f>IF(E1801="","",AVERAGE(INDEX($E$2:$E$3001,MAX(1,ROW()-1-'02_Eingaben'!$C$17)):INDEX($E$2:$E$3001,MIN('02_Eingaben'!$C$21,ROW()-1+'02_Eingaben'!$C$17))))</f>
        <v/>
      </c>
      <c r="G1801" s="27">
        <f>IF(F1801="","",F1801-'02_Eingaben'!$C$10)</f>
        <v/>
      </c>
      <c r="H1801">
        <f>IF(F1801="","",IF(F1801&lt;'02_Eingaben'!$C$18*'02_Eingaben'!$C$10,1,0))</f>
        <v/>
      </c>
      <c r="I1801" s="27">
        <f>IF(OR(G1801="",G1802=""),"",(G1801+G1802)/2*(B1802-B1801))</f>
        <v/>
      </c>
      <c r="J1801" s="27">
        <f>IF(B1801="","",IF(B1800&lt;'02_Eingaben'!$C$36,0,J1800+I1800/'02_Eingaben'!$C$8))</f>
        <v/>
      </c>
    </row>
    <row r="1802">
      <c r="A1802">
        <f>IF('01_Rohdaten'!A1802="","",ROW()-1)</f>
        <v/>
      </c>
      <c r="B1802" s="27">
        <f>IF('01_Rohdaten'!A1802="","",'01_Rohdaten'!A1802)</f>
        <v/>
      </c>
      <c r="C1802" s="27">
        <f>IF(B1802="","",INDEX('01_Rohdaten'!B1802:D1802,'02_Eingaben'!$C$13))</f>
        <v/>
      </c>
      <c r="D1802" s="27">
        <f>IF(C1802="","",C1802*'02_Eingaben'!$C$15)</f>
        <v/>
      </c>
      <c r="E1802" s="27">
        <f>IF(D1802="","",D1802*'02_Eingaben'!$C$8)</f>
        <v/>
      </c>
      <c r="F1802" s="27">
        <f>IF(E1802="","",AVERAGE(INDEX($E$2:$E$3001,MAX(1,ROW()-1-'02_Eingaben'!$C$17)):INDEX($E$2:$E$3001,MIN('02_Eingaben'!$C$21,ROW()-1+'02_Eingaben'!$C$17))))</f>
        <v/>
      </c>
      <c r="G1802" s="27">
        <f>IF(F1802="","",F1802-'02_Eingaben'!$C$10)</f>
        <v/>
      </c>
      <c r="H1802">
        <f>IF(F1802="","",IF(F1802&lt;'02_Eingaben'!$C$18*'02_Eingaben'!$C$10,1,0))</f>
        <v/>
      </c>
      <c r="I1802" s="27">
        <f>IF(OR(G1802="",G1803=""),"",(G1802+G1803)/2*(B1803-B1802))</f>
        <v/>
      </c>
      <c r="J1802" s="27">
        <f>IF(B1802="","",IF(B1801&lt;'02_Eingaben'!$C$36,0,J1801+I1801/'02_Eingaben'!$C$8))</f>
        <v/>
      </c>
    </row>
    <row r="1803">
      <c r="A1803">
        <f>IF('01_Rohdaten'!A1803="","",ROW()-1)</f>
        <v/>
      </c>
      <c r="B1803" s="27">
        <f>IF('01_Rohdaten'!A1803="","",'01_Rohdaten'!A1803)</f>
        <v/>
      </c>
      <c r="C1803" s="27">
        <f>IF(B1803="","",INDEX('01_Rohdaten'!B1803:D1803,'02_Eingaben'!$C$13))</f>
        <v/>
      </c>
      <c r="D1803" s="27">
        <f>IF(C1803="","",C1803*'02_Eingaben'!$C$15)</f>
        <v/>
      </c>
      <c r="E1803" s="27">
        <f>IF(D1803="","",D1803*'02_Eingaben'!$C$8)</f>
        <v/>
      </c>
      <c r="F1803" s="27">
        <f>IF(E1803="","",AVERAGE(INDEX($E$2:$E$3001,MAX(1,ROW()-1-'02_Eingaben'!$C$17)):INDEX($E$2:$E$3001,MIN('02_Eingaben'!$C$21,ROW()-1+'02_Eingaben'!$C$17))))</f>
        <v/>
      </c>
      <c r="G1803" s="27">
        <f>IF(F1803="","",F1803-'02_Eingaben'!$C$10)</f>
        <v/>
      </c>
      <c r="H1803">
        <f>IF(F1803="","",IF(F1803&lt;'02_Eingaben'!$C$18*'02_Eingaben'!$C$10,1,0))</f>
        <v/>
      </c>
      <c r="I1803" s="27">
        <f>IF(OR(G1803="",G1804=""),"",(G1803+G1804)/2*(B1804-B1803))</f>
        <v/>
      </c>
      <c r="J1803" s="27">
        <f>IF(B1803="","",IF(B1802&lt;'02_Eingaben'!$C$36,0,J1802+I1802/'02_Eingaben'!$C$8))</f>
        <v/>
      </c>
    </row>
    <row r="1804">
      <c r="A1804">
        <f>IF('01_Rohdaten'!A1804="","",ROW()-1)</f>
        <v/>
      </c>
      <c r="B1804" s="27">
        <f>IF('01_Rohdaten'!A1804="","",'01_Rohdaten'!A1804)</f>
        <v/>
      </c>
      <c r="C1804" s="27">
        <f>IF(B1804="","",INDEX('01_Rohdaten'!B1804:D1804,'02_Eingaben'!$C$13))</f>
        <v/>
      </c>
      <c r="D1804" s="27">
        <f>IF(C1804="","",C1804*'02_Eingaben'!$C$15)</f>
        <v/>
      </c>
      <c r="E1804" s="27">
        <f>IF(D1804="","",D1804*'02_Eingaben'!$C$8)</f>
        <v/>
      </c>
      <c r="F1804" s="27">
        <f>IF(E1804="","",AVERAGE(INDEX($E$2:$E$3001,MAX(1,ROW()-1-'02_Eingaben'!$C$17)):INDEX($E$2:$E$3001,MIN('02_Eingaben'!$C$21,ROW()-1+'02_Eingaben'!$C$17))))</f>
        <v/>
      </c>
      <c r="G1804" s="27">
        <f>IF(F1804="","",F1804-'02_Eingaben'!$C$10)</f>
        <v/>
      </c>
      <c r="H1804">
        <f>IF(F1804="","",IF(F1804&lt;'02_Eingaben'!$C$18*'02_Eingaben'!$C$10,1,0))</f>
        <v/>
      </c>
      <c r="I1804" s="27">
        <f>IF(OR(G1804="",G1805=""),"",(G1804+G1805)/2*(B1805-B1804))</f>
        <v/>
      </c>
      <c r="J1804" s="27">
        <f>IF(B1804="","",IF(B1803&lt;'02_Eingaben'!$C$36,0,J1803+I1803/'02_Eingaben'!$C$8))</f>
        <v/>
      </c>
    </row>
    <row r="1805">
      <c r="A1805">
        <f>IF('01_Rohdaten'!A1805="","",ROW()-1)</f>
        <v/>
      </c>
      <c r="B1805" s="27">
        <f>IF('01_Rohdaten'!A1805="","",'01_Rohdaten'!A1805)</f>
        <v/>
      </c>
      <c r="C1805" s="27">
        <f>IF(B1805="","",INDEX('01_Rohdaten'!B1805:D1805,'02_Eingaben'!$C$13))</f>
        <v/>
      </c>
      <c r="D1805" s="27">
        <f>IF(C1805="","",C1805*'02_Eingaben'!$C$15)</f>
        <v/>
      </c>
      <c r="E1805" s="27">
        <f>IF(D1805="","",D1805*'02_Eingaben'!$C$8)</f>
        <v/>
      </c>
      <c r="F1805" s="27">
        <f>IF(E1805="","",AVERAGE(INDEX($E$2:$E$3001,MAX(1,ROW()-1-'02_Eingaben'!$C$17)):INDEX($E$2:$E$3001,MIN('02_Eingaben'!$C$21,ROW()-1+'02_Eingaben'!$C$17))))</f>
        <v/>
      </c>
      <c r="G1805" s="27">
        <f>IF(F1805="","",F1805-'02_Eingaben'!$C$10)</f>
        <v/>
      </c>
      <c r="H1805">
        <f>IF(F1805="","",IF(F1805&lt;'02_Eingaben'!$C$18*'02_Eingaben'!$C$10,1,0))</f>
        <v/>
      </c>
      <c r="I1805" s="27">
        <f>IF(OR(G1805="",G1806=""),"",(G1805+G1806)/2*(B1806-B1805))</f>
        <v/>
      </c>
      <c r="J1805" s="27">
        <f>IF(B1805="","",IF(B1804&lt;'02_Eingaben'!$C$36,0,J1804+I1804/'02_Eingaben'!$C$8))</f>
        <v/>
      </c>
    </row>
    <row r="1806">
      <c r="A1806">
        <f>IF('01_Rohdaten'!A1806="","",ROW()-1)</f>
        <v/>
      </c>
      <c r="B1806" s="27">
        <f>IF('01_Rohdaten'!A1806="","",'01_Rohdaten'!A1806)</f>
        <v/>
      </c>
      <c r="C1806" s="27">
        <f>IF(B1806="","",INDEX('01_Rohdaten'!B1806:D1806,'02_Eingaben'!$C$13))</f>
        <v/>
      </c>
      <c r="D1806" s="27">
        <f>IF(C1806="","",C1806*'02_Eingaben'!$C$15)</f>
        <v/>
      </c>
      <c r="E1806" s="27">
        <f>IF(D1806="","",D1806*'02_Eingaben'!$C$8)</f>
        <v/>
      </c>
      <c r="F1806" s="27">
        <f>IF(E1806="","",AVERAGE(INDEX($E$2:$E$3001,MAX(1,ROW()-1-'02_Eingaben'!$C$17)):INDEX($E$2:$E$3001,MIN('02_Eingaben'!$C$21,ROW()-1+'02_Eingaben'!$C$17))))</f>
        <v/>
      </c>
      <c r="G1806" s="27">
        <f>IF(F1806="","",F1806-'02_Eingaben'!$C$10)</f>
        <v/>
      </c>
      <c r="H1806">
        <f>IF(F1806="","",IF(F1806&lt;'02_Eingaben'!$C$18*'02_Eingaben'!$C$10,1,0))</f>
        <v/>
      </c>
      <c r="I1806" s="27">
        <f>IF(OR(G1806="",G1807=""),"",(G1806+G1807)/2*(B1807-B1806))</f>
        <v/>
      </c>
      <c r="J1806" s="27">
        <f>IF(B1806="","",IF(B1805&lt;'02_Eingaben'!$C$36,0,J1805+I1805/'02_Eingaben'!$C$8))</f>
        <v/>
      </c>
    </row>
    <row r="1807">
      <c r="A1807">
        <f>IF('01_Rohdaten'!A1807="","",ROW()-1)</f>
        <v/>
      </c>
      <c r="B1807" s="27">
        <f>IF('01_Rohdaten'!A1807="","",'01_Rohdaten'!A1807)</f>
        <v/>
      </c>
      <c r="C1807" s="27">
        <f>IF(B1807="","",INDEX('01_Rohdaten'!B1807:D1807,'02_Eingaben'!$C$13))</f>
        <v/>
      </c>
      <c r="D1807" s="27">
        <f>IF(C1807="","",C1807*'02_Eingaben'!$C$15)</f>
        <v/>
      </c>
      <c r="E1807" s="27">
        <f>IF(D1807="","",D1807*'02_Eingaben'!$C$8)</f>
        <v/>
      </c>
      <c r="F1807" s="27">
        <f>IF(E1807="","",AVERAGE(INDEX($E$2:$E$3001,MAX(1,ROW()-1-'02_Eingaben'!$C$17)):INDEX($E$2:$E$3001,MIN('02_Eingaben'!$C$21,ROW()-1+'02_Eingaben'!$C$17))))</f>
        <v/>
      </c>
      <c r="G1807" s="27">
        <f>IF(F1807="","",F1807-'02_Eingaben'!$C$10)</f>
        <v/>
      </c>
      <c r="H1807">
        <f>IF(F1807="","",IF(F1807&lt;'02_Eingaben'!$C$18*'02_Eingaben'!$C$10,1,0))</f>
        <v/>
      </c>
      <c r="I1807" s="27">
        <f>IF(OR(G1807="",G1808=""),"",(G1807+G1808)/2*(B1808-B1807))</f>
        <v/>
      </c>
      <c r="J1807" s="27">
        <f>IF(B1807="","",IF(B1806&lt;'02_Eingaben'!$C$36,0,J1806+I1806/'02_Eingaben'!$C$8))</f>
        <v/>
      </c>
    </row>
    <row r="1808">
      <c r="A1808">
        <f>IF('01_Rohdaten'!A1808="","",ROW()-1)</f>
        <v/>
      </c>
      <c r="B1808" s="27">
        <f>IF('01_Rohdaten'!A1808="","",'01_Rohdaten'!A1808)</f>
        <v/>
      </c>
      <c r="C1808" s="27">
        <f>IF(B1808="","",INDEX('01_Rohdaten'!B1808:D1808,'02_Eingaben'!$C$13))</f>
        <v/>
      </c>
      <c r="D1808" s="27">
        <f>IF(C1808="","",C1808*'02_Eingaben'!$C$15)</f>
        <v/>
      </c>
      <c r="E1808" s="27">
        <f>IF(D1808="","",D1808*'02_Eingaben'!$C$8)</f>
        <v/>
      </c>
      <c r="F1808" s="27">
        <f>IF(E1808="","",AVERAGE(INDEX($E$2:$E$3001,MAX(1,ROW()-1-'02_Eingaben'!$C$17)):INDEX($E$2:$E$3001,MIN('02_Eingaben'!$C$21,ROW()-1+'02_Eingaben'!$C$17))))</f>
        <v/>
      </c>
      <c r="G1808" s="27">
        <f>IF(F1808="","",F1808-'02_Eingaben'!$C$10)</f>
        <v/>
      </c>
      <c r="H1808">
        <f>IF(F1808="","",IF(F1808&lt;'02_Eingaben'!$C$18*'02_Eingaben'!$C$10,1,0))</f>
        <v/>
      </c>
      <c r="I1808" s="27">
        <f>IF(OR(G1808="",G1809=""),"",(G1808+G1809)/2*(B1809-B1808))</f>
        <v/>
      </c>
      <c r="J1808" s="27">
        <f>IF(B1808="","",IF(B1807&lt;'02_Eingaben'!$C$36,0,J1807+I1807/'02_Eingaben'!$C$8))</f>
        <v/>
      </c>
    </row>
    <row r="1809">
      <c r="A1809">
        <f>IF('01_Rohdaten'!A1809="","",ROW()-1)</f>
        <v/>
      </c>
      <c r="B1809" s="27">
        <f>IF('01_Rohdaten'!A1809="","",'01_Rohdaten'!A1809)</f>
        <v/>
      </c>
      <c r="C1809" s="27">
        <f>IF(B1809="","",INDEX('01_Rohdaten'!B1809:D1809,'02_Eingaben'!$C$13))</f>
        <v/>
      </c>
      <c r="D1809" s="27">
        <f>IF(C1809="","",C1809*'02_Eingaben'!$C$15)</f>
        <v/>
      </c>
      <c r="E1809" s="27">
        <f>IF(D1809="","",D1809*'02_Eingaben'!$C$8)</f>
        <v/>
      </c>
      <c r="F1809" s="27">
        <f>IF(E1809="","",AVERAGE(INDEX($E$2:$E$3001,MAX(1,ROW()-1-'02_Eingaben'!$C$17)):INDEX($E$2:$E$3001,MIN('02_Eingaben'!$C$21,ROW()-1+'02_Eingaben'!$C$17))))</f>
        <v/>
      </c>
      <c r="G1809" s="27">
        <f>IF(F1809="","",F1809-'02_Eingaben'!$C$10)</f>
        <v/>
      </c>
      <c r="H1809">
        <f>IF(F1809="","",IF(F1809&lt;'02_Eingaben'!$C$18*'02_Eingaben'!$C$10,1,0))</f>
        <v/>
      </c>
      <c r="I1809" s="27">
        <f>IF(OR(G1809="",G1810=""),"",(G1809+G1810)/2*(B1810-B1809))</f>
        <v/>
      </c>
      <c r="J1809" s="27">
        <f>IF(B1809="","",IF(B1808&lt;'02_Eingaben'!$C$36,0,J1808+I1808/'02_Eingaben'!$C$8))</f>
        <v/>
      </c>
    </row>
    <row r="1810">
      <c r="A1810">
        <f>IF('01_Rohdaten'!A1810="","",ROW()-1)</f>
        <v/>
      </c>
      <c r="B1810" s="27">
        <f>IF('01_Rohdaten'!A1810="","",'01_Rohdaten'!A1810)</f>
        <v/>
      </c>
      <c r="C1810" s="27">
        <f>IF(B1810="","",INDEX('01_Rohdaten'!B1810:D1810,'02_Eingaben'!$C$13))</f>
        <v/>
      </c>
      <c r="D1810" s="27">
        <f>IF(C1810="","",C1810*'02_Eingaben'!$C$15)</f>
        <v/>
      </c>
      <c r="E1810" s="27">
        <f>IF(D1810="","",D1810*'02_Eingaben'!$C$8)</f>
        <v/>
      </c>
      <c r="F1810" s="27">
        <f>IF(E1810="","",AVERAGE(INDEX($E$2:$E$3001,MAX(1,ROW()-1-'02_Eingaben'!$C$17)):INDEX($E$2:$E$3001,MIN('02_Eingaben'!$C$21,ROW()-1+'02_Eingaben'!$C$17))))</f>
        <v/>
      </c>
      <c r="G1810" s="27">
        <f>IF(F1810="","",F1810-'02_Eingaben'!$C$10)</f>
        <v/>
      </c>
      <c r="H1810">
        <f>IF(F1810="","",IF(F1810&lt;'02_Eingaben'!$C$18*'02_Eingaben'!$C$10,1,0))</f>
        <v/>
      </c>
      <c r="I1810" s="27">
        <f>IF(OR(G1810="",G1811=""),"",(G1810+G1811)/2*(B1811-B1810))</f>
        <v/>
      </c>
      <c r="J1810" s="27">
        <f>IF(B1810="","",IF(B1809&lt;'02_Eingaben'!$C$36,0,J1809+I1809/'02_Eingaben'!$C$8))</f>
        <v/>
      </c>
    </row>
    <row r="1811">
      <c r="A1811">
        <f>IF('01_Rohdaten'!A1811="","",ROW()-1)</f>
        <v/>
      </c>
      <c r="B1811" s="27">
        <f>IF('01_Rohdaten'!A1811="","",'01_Rohdaten'!A1811)</f>
        <v/>
      </c>
      <c r="C1811" s="27">
        <f>IF(B1811="","",INDEX('01_Rohdaten'!B1811:D1811,'02_Eingaben'!$C$13))</f>
        <v/>
      </c>
      <c r="D1811" s="27">
        <f>IF(C1811="","",C1811*'02_Eingaben'!$C$15)</f>
        <v/>
      </c>
      <c r="E1811" s="27">
        <f>IF(D1811="","",D1811*'02_Eingaben'!$C$8)</f>
        <v/>
      </c>
      <c r="F1811" s="27">
        <f>IF(E1811="","",AVERAGE(INDEX($E$2:$E$3001,MAX(1,ROW()-1-'02_Eingaben'!$C$17)):INDEX($E$2:$E$3001,MIN('02_Eingaben'!$C$21,ROW()-1+'02_Eingaben'!$C$17))))</f>
        <v/>
      </c>
      <c r="G1811" s="27">
        <f>IF(F1811="","",F1811-'02_Eingaben'!$C$10)</f>
        <v/>
      </c>
      <c r="H1811">
        <f>IF(F1811="","",IF(F1811&lt;'02_Eingaben'!$C$18*'02_Eingaben'!$C$10,1,0))</f>
        <v/>
      </c>
      <c r="I1811" s="27">
        <f>IF(OR(G1811="",G1812=""),"",(G1811+G1812)/2*(B1812-B1811))</f>
        <v/>
      </c>
      <c r="J1811" s="27">
        <f>IF(B1811="","",IF(B1810&lt;'02_Eingaben'!$C$36,0,J1810+I1810/'02_Eingaben'!$C$8))</f>
        <v/>
      </c>
    </row>
    <row r="1812">
      <c r="A1812">
        <f>IF('01_Rohdaten'!A1812="","",ROW()-1)</f>
        <v/>
      </c>
      <c r="B1812" s="27">
        <f>IF('01_Rohdaten'!A1812="","",'01_Rohdaten'!A1812)</f>
        <v/>
      </c>
      <c r="C1812" s="27">
        <f>IF(B1812="","",INDEX('01_Rohdaten'!B1812:D1812,'02_Eingaben'!$C$13))</f>
        <v/>
      </c>
      <c r="D1812" s="27">
        <f>IF(C1812="","",C1812*'02_Eingaben'!$C$15)</f>
        <v/>
      </c>
      <c r="E1812" s="27">
        <f>IF(D1812="","",D1812*'02_Eingaben'!$C$8)</f>
        <v/>
      </c>
      <c r="F1812" s="27">
        <f>IF(E1812="","",AVERAGE(INDEX($E$2:$E$3001,MAX(1,ROW()-1-'02_Eingaben'!$C$17)):INDEX($E$2:$E$3001,MIN('02_Eingaben'!$C$21,ROW()-1+'02_Eingaben'!$C$17))))</f>
        <v/>
      </c>
      <c r="G1812" s="27">
        <f>IF(F1812="","",F1812-'02_Eingaben'!$C$10)</f>
        <v/>
      </c>
      <c r="H1812">
        <f>IF(F1812="","",IF(F1812&lt;'02_Eingaben'!$C$18*'02_Eingaben'!$C$10,1,0))</f>
        <v/>
      </c>
      <c r="I1812" s="27">
        <f>IF(OR(G1812="",G1813=""),"",(G1812+G1813)/2*(B1813-B1812))</f>
        <v/>
      </c>
      <c r="J1812" s="27">
        <f>IF(B1812="","",IF(B1811&lt;'02_Eingaben'!$C$36,0,J1811+I1811/'02_Eingaben'!$C$8))</f>
        <v/>
      </c>
    </row>
    <row r="1813">
      <c r="A1813">
        <f>IF('01_Rohdaten'!A1813="","",ROW()-1)</f>
        <v/>
      </c>
      <c r="B1813" s="27">
        <f>IF('01_Rohdaten'!A1813="","",'01_Rohdaten'!A1813)</f>
        <v/>
      </c>
      <c r="C1813" s="27">
        <f>IF(B1813="","",INDEX('01_Rohdaten'!B1813:D1813,'02_Eingaben'!$C$13))</f>
        <v/>
      </c>
      <c r="D1813" s="27">
        <f>IF(C1813="","",C1813*'02_Eingaben'!$C$15)</f>
        <v/>
      </c>
      <c r="E1813" s="27">
        <f>IF(D1813="","",D1813*'02_Eingaben'!$C$8)</f>
        <v/>
      </c>
      <c r="F1813" s="27">
        <f>IF(E1813="","",AVERAGE(INDEX($E$2:$E$3001,MAX(1,ROW()-1-'02_Eingaben'!$C$17)):INDEX($E$2:$E$3001,MIN('02_Eingaben'!$C$21,ROW()-1+'02_Eingaben'!$C$17))))</f>
        <v/>
      </c>
      <c r="G1813" s="27">
        <f>IF(F1813="","",F1813-'02_Eingaben'!$C$10)</f>
        <v/>
      </c>
      <c r="H1813">
        <f>IF(F1813="","",IF(F1813&lt;'02_Eingaben'!$C$18*'02_Eingaben'!$C$10,1,0))</f>
        <v/>
      </c>
      <c r="I1813" s="27">
        <f>IF(OR(G1813="",G1814=""),"",(G1813+G1814)/2*(B1814-B1813))</f>
        <v/>
      </c>
      <c r="J1813" s="27">
        <f>IF(B1813="","",IF(B1812&lt;'02_Eingaben'!$C$36,0,J1812+I1812/'02_Eingaben'!$C$8))</f>
        <v/>
      </c>
    </row>
    <row r="1814">
      <c r="A1814">
        <f>IF('01_Rohdaten'!A1814="","",ROW()-1)</f>
        <v/>
      </c>
      <c r="B1814" s="27">
        <f>IF('01_Rohdaten'!A1814="","",'01_Rohdaten'!A1814)</f>
        <v/>
      </c>
      <c r="C1814" s="27">
        <f>IF(B1814="","",INDEX('01_Rohdaten'!B1814:D1814,'02_Eingaben'!$C$13))</f>
        <v/>
      </c>
      <c r="D1814" s="27">
        <f>IF(C1814="","",C1814*'02_Eingaben'!$C$15)</f>
        <v/>
      </c>
      <c r="E1814" s="27">
        <f>IF(D1814="","",D1814*'02_Eingaben'!$C$8)</f>
        <v/>
      </c>
      <c r="F1814" s="27">
        <f>IF(E1814="","",AVERAGE(INDEX($E$2:$E$3001,MAX(1,ROW()-1-'02_Eingaben'!$C$17)):INDEX($E$2:$E$3001,MIN('02_Eingaben'!$C$21,ROW()-1+'02_Eingaben'!$C$17))))</f>
        <v/>
      </c>
      <c r="G1814" s="27">
        <f>IF(F1814="","",F1814-'02_Eingaben'!$C$10)</f>
        <v/>
      </c>
      <c r="H1814">
        <f>IF(F1814="","",IF(F1814&lt;'02_Eingaben'!$C$18*'02_Eingaben'!$C$10,1,0))</f>
        <v/>
      </c>
      <c r="I1814" s="27">
        <f>IF(OR(G1814="",G1815=""),"",(G1814+G1815)/2*(B1815-B1814))</f>
        <v/>
      </c>
      <c r="J1814" s="27">
        <f>IF(B1814="","",IF(B1813&lt;'02_Eingaben'!$C$36,0,J1813+I1813/'02_Eingaben'!$C$8))</f>
        <v/>
      </c>
    </row>
    <row r="1815">
      <c r="A1815">
        <f>IF('01_Rohdaten'!A1815="","",ROW()-1)</f>
        <v/>
      </c>
      <c r="B1815" s="27">
        <f>IF('01_Rohdaten'!A1815="","",'01_Rohdaten'!A1815)</f>
        <v/>
      </c>
      <c r="C1815" s="27">
        <f>IF(B1815="","",INDEX('01_Rohdaten'!B1815:D1815,'02_Eingaben'!$C$13))</f>
        <v/>
      </c>
      <c r="D1815" s="27">
        <f>IF(C1815="","",C1815*'02_Eingaben'!$C$15)</f>
        <v/>
      </c>
      <c r="E1815" s="27">
        <f>IF(D1815="","",D1815*'02_Eingaben'!$C$8)</f>
        <v/>
      </c>
      <c r="F1815" s="27">
        <f>IF(E1815="","",AVERAGE(INDEX($E$2:$E$3001,MAX(1,ROW()-1-'02_Eingaben'!$C$17)):INDEX($E$2:$E$3001,MIN('02_Eingaben'!$C$21,ROW()-1+'02_Eingaben'!$C$17))))</f>
        <v/>
      </c>
      <c r="G1815" s="27">
        <f>IF(F1815="","",F1815-'02_Eingaben'!$C$10)</f>
        <v/>
      </c>
      <c r="H1815">
        <f>IF(F1815="","",IF(F1815&lt;'02_Eingaben'!$C$18*'02_Eingaben'!$C$10,1,0))</f>
        <v/>
      </c>
      <c r="I1815" s="27">
        <f>IF(OR(G1815="",G1816=""),"",(G1815+G1816)/2*(B1816-B1815))</f>
        <v/>
      </c>
      <c r="J1815" s="27">
        <f>IF(B1815="","",IF(B1814&lt;'02_Eingaben'!$C$36,0,J1814+I1814/'02_Eingaben'!$C$8))</f>
        <v/>
      </c>
    </row>
    <row r="1816">
      <c r="A1816">
        <f>IF('01_Rohdaten'!A1816="","",ROW()-1)</f>
        <v/>
      </c>
      <c r="B1816" s="27">
        <f>IF('01_Rohdaten'!A1816="","",'01_Rohdaten'!A1816)</f>
        <v/>
      </c>
      <c r="C1816" s="27">
        <f>IF(B1816="","",INDEX('01_Rohdaten'!B1816:D1816,'02_Eingaben'!$C$13))</f>
        <v/>
      </c>
      <c r="D1816" s="27">
        <f>IF(C1816="","",C1816*'02_Eingaben'!$C$15)</f>
        <v/>
      </c>
      <c r="E1816" s="27">
        <f>IF(D1816="","",D1816*'02_Eingaben'!$C$8)</f>
        <v/>
      </c>
      <c r="F1816" s="27">
        <f>IF(E1816="","",AVERAGE(INDEX($E$2:$E$3001,MAX(1,ROW()-1-'02_Eingaben'!$C$17)):INDEX($E$2:$E$3001,MIN('02_Eingaben'!$C$21,ROW()-1+'02_Eingaben'!$C$17))))</f>
        <v/>
      </c>
      <c r="G1816" s="27">
        <f>IF(F1816="","",F1816-'02_Eingaben'!$C$10)</f>
        <v/>
      </c>
      <c r="H1816">
        <f>IF(F1816="","",IF(F1816&lt;'02_Eingaben'!$C$18*'02_Eingaben'!$C$10,1,0))</f>
        <v/>
      </c>
      <c r="I1816" s="27">
        <f>IF(OR(G1816="",G1817=""),"",(G1816+G1817)/2*(B1817-B1816))</f>
        <v/>
      </c>
      <c r="J1816" s="27">
        <f>IF(B1816="","",IF(B1815&lt;'02_Eingaben'!$C$36,0,J1815+I1815/'02_Eingaben'!$C$8))</f>
        <v/>
      </c>
    </row>
    <row r="1817">
      <c r="A1817">
        <f>IF('01_Rohdaten'!A1817="","",ROW()-1)</f>
        <v/>
      </c>
      <c r="B1817" s="27">
        <f>IF('01_Rohdaten'!A1817="","",'01_Rohdaten'!A1817)</f>
        <v/>
      </c>
      <c r="C1817" s="27">
        <f>IF(B1817="","",INDEX('01_Rohdaten'!B1817:D1817,'02_Eingaben'!$C$13))</f>
        <v/>
      </c>
      <c r="D1817" s="27">
        <f>IF(C1817="","",C1817*'02_Eingaben'!$C$15)</f>
        <v/>
      </c>
      <c r="E1817" s="27">
        <f>IF(D1817="","",D1817*'02_Eingaben'!$C$8)</f>
        <v/>
      </c>
      <c r="F1817" s="27">
        <f>IF(E1817="","",AVERAGE(INDEX($E$2:$E$3001,MAX(1,ROW()-1-'02_Eingaben'!$C$17)):INDEX($E$2:$E$3001,MIN('02_Eingaben'!$C$21,ROW()-1+'02_Eingaben'!$C$17))))</f>
        <v/>
      </c>
      <c r="G1817" s="27">
        <f>IF(F1817="","",F1817-'02_Eingaben'!$C$10)</f>
        <v/>
      </c>
      <c r="H1817">
        <f>IF(F1817="","",IF(F1817&lt;'02_Eingaben'!$C$18*'02_Eingaben'!$C$10,1,0))</f>
        <v/>
      </c>
      <c r="I1817" s="27">
        <f>IF(OR(G1817="",G1818=""),"",(G1817+G1818)/2*(B1818-B1817))</f>
        <v/>
      </c>
      <c r="J1817" s="27">
        <f>IF(B1817="","",IF(B1816&lt;'02_Eingaben'!$C$36,0,J1816+I1816/'02_Eingaben'!$C$8))</f>
        <v/>
      </c>
    </row>
    <row r="1818">
      <c r="A1818">
        <f>IF('01_Rohdaten'!A1818="","",ROW()-1)</f>
        <v/>
      </c>
      <c r="B1818" s="27">
        <f>IF('01_Rohdaten'!A1818="","",'01_Rohdaten'!A1818)</f>
        <v/>
      </c>
      <c r="C1818" s="27">
        <f>IF(B1818="","",INDEX('01_Rohdaten'!B1818:D1818,'02_Eingaben'!$C$13))</f>
        <v/>
      </c>
      <c r="D1818" s="27">
        <f>IF(C1818="","",C1818*'02_Eingaben'!$C$15)</f>
        <v/>
      </c>
      <c r="E1818" s="27">
        <f>IF(D1818="","",D1818*'02_Eingaben'!$C$8)</f>
        <v/>
      </c>
      <c r="F1818" s="27">
        <f>IF(E1818="","",AVERAGE(INDEX($E$2:$E$3001,MAX(1,ROW()-1-'02_Eingaben'!$C$17)):INDEX($E$2:$E$3001,MIN('02_Eingaben'!$C$21,ROW()-1+'02_Eingaben'!$C$17))))</f>
        <v/>
      </c>
      <c r="G1818" s="27">
        <f>IF(F1818="","",F1818-'02_Eingaben'!$C$10)</f>
        <v/>
      </c>
      <c r="H1818">
        <f>IF(F1818="","",IF(F1818&lt;'02_Eingaben'!$C$18*'02_Eingaben'!$C$10,1,0))</f>
        <v/>
      </c>
      <c r="I1818" s="27">
        <f>IF(OR(G1818="",G1819=""),"",(G1818+G1819)/2*(B1819-B1818))</f>
        <v/>
      </c>
      <c r="J1818" s="27">
        <f>IF(B1818="","",IF(B1817&lt;'02_Eingaben'!$C$36,0,J1817+I1817/'02_Eingaben'!$C$8))</f>
        <v/>
      </c>
    </row>
    <row r="1819">
      <c r="A1819">
        <f>IF('01_Rohdaten'!A1819="","",ROW()-1)</f>
        <v/>
      </c>
      <c r="B1819" s="27">
        <f>IF('01_Rohdaten'!A1819="","",'01_Rohdaten'!A1819)</f>
        <v/>
      </c>
      <c r="C1819" s="27">
        <f>IF(B1819="","",INDEX('01_Rohdaten'!B1819:D1819,'02_Eingaben'!$C$13))</f>
        <v/>
      </c>
      <c r="D1819" s="27">
        <f>IF(C1819="","",C1819*'02_Eingaben'!$C$15)</f>
        <v/>
      </c>
      <c r="E1819" s="27">
        <f>IF(D1819="","",D1819*'02_Eingaben'!$C$8)</f>
        <v/>
      </c>
      <c r="F1819" s="27">
        <f>IF(E1819="","",AVERAGE(INDEX($E$2:$E$3001,MAX(1,ROW()-1-'02_Eingaben'!$C$17)):INDEX($E$2:$E$3001,MIN('02_Eingaben'!$C$21,ROW()-1+'02_Eingaben'!$C$17))))</f>
        <v/>
      </c>
      <c r="G1819" s="27">
        <f>IF(F1819="","",F1819-'02_Eingaben'!$C$10)</f>
        <v/>
      </c>
      <c r="H1819">
        <f>IF(F1819="","",IF(F1819&lt;'02_Eingaben'!$C$18*'02_Eingaben'!$C$10,1,0))</f>
        <v/>
      </c>
      <c r="I1819" s="27">
        <f>IF(OR(G1819="",G1820=""),"",(G1819+G1820)/2*(B1820-B1819))</f>
        <v/>
      </c>
      <c r="J1819" s="27">
        <f>IF(B1819="","",IF(B1818&lt;'02_Eingaben'!$C$36,0,J1818+I1818/'02_Eingaben'!$C$8))</f>
        <v/>
      </c>
    </row>
    <row r="1820">
      <c r="A1820">
        <f>IF('01_Rohdaten'!A1820="","",ROW()-1)</f>
        <v/>
      </c>
      <c r="B1820" s="27">
        <f>IF('01_Rohdaten'!A1820="","",'01_Rohdaten'!A1820)</f>
        <v/>
      </c>
      <c r="C1820" s="27">
        <f>IF(B1820="","",INDEX('01_Rohdaten'!B1820:D1820,'02_Eingaben'!$C$13))</f>
        <v/>
      </c>
      <c r="D1820" s="27">
        <f>IF(C1820="","",C1820*'02_Eingaben'!$C$15)</f>
        <v/>
      </c>
      <c r="E1820" s="27">
        <f>IF(D1820="","",D1820*'02_Eingaben'!$C$8)</f>
        <v/>
      </c>
      <c r="F1820" s="27">
        <f>IF(E1820="","",AVERAGE(INDEX($E$2:$E$3001,MAX(1,ROW()-1-'02_Eingaben'!$C$17)):INDEX($E$2:$E$3001,MIN('02_Eingaben'!$C$21,ROW()-1+'02_Eingaben'!$C$17))))</f>
        <v/>
      </c>
      <c r="G1820" s="27">
        <f>IF(F1820="","",F1820-'02_Eingaben'!$C$10)</f>
        <v/>
      </c>
      <c r="H1820">
        <f>IF(F1820="","",IF(F1820&lt;'02_Eingaben'!$C$18*'02_Eingaben'!$C$10,1,0))</f>
        <v/>
      </c>
      <c r="I1820" s="27">
        <f>IF(OR(G1820="",G1821=""),"",(G1820+G1821)/2*(B1821-B1820))</f>
        <v/>
      </c>
      <c r="J1820" s="27">
        <f>IF(B1820="","",IF(B1819&lt;'02_Eingaben'!$C$36,0,J1819+I1819/'02_Eingaben'!$C$8))</f>
        <v/>
      </c>
    </row>
    <row r="1821">
      <c r="A1821">
        <f>IF('01_Rohdaten'!A1821="","",ROW()-1)</f>
        <v/>
      </c>
      <c r="B1821" s="27">
        <f>IF('01_Rohdaten'!A1821="","",'01_Rohdaten'!A1821)</f>
        <v/>
      </c>
      <c r="C1821" s="27">
        <f>IF(B1821="","",INDEX('01_Rohdaten'!B1821:D1821,'02_Eingaben'!$C$13))</f>
        <v/>
      </c>
      <c r="D1821" s="27">
        <f>IF(C1821="","",C1821*'02_Eingaben'!$C$15)</f>
        <v/>
      </c>
      <c r="E1821" s="27">
        <f>IF(D1821="","",D1821*'02_Eingaben'!$C$8)</f>
        <v/>
      </c>
      <c r="F1821" s="27">
        <f>IF(E1821="","",AVERAGE(INDEX($E$2:$E$3001,MAX(1,ROW()-1-'02_Eingaben'!$C$17)):INDEX($E$2:$E$3001,MIN('02_Eingaben'!$C$21,ROW()-1+'02_Eingaben'!$C$17))))</f>
        <v/>
      </c>
      <c r="G1821" s="27">
        <f>IF(F1821="","",F1821-'02_Eingaben'!$C$10)</f>
        <v/>
      </c>
      <c r="H1821">
        <f>IF(F1821="","",IF(F1821&lt;'02_Eingaben'!$C$18*'02_Eingaben'!$C$10,1,0))</f>
        <v/>
      </c>
      <c r="I1821" s="27">
        <f>IF(OR(G1821="",G1822=""),"",(G1821+G1822)/2*(B1822-B1821))</f>
        <v/>
      </c>
      <c r="J1821" s="27">
        <f>IF(B1821="","",IF(B1820&lt;'02_Eingaben'!$C$36,0,J1820+I1820/'02_Eingaben'!$C$8))</f>
        <v/>
      </c>
    </row>
    <row r="1822">
      <c r="A1822">
        <f>IF('01_Rohdaten'!A1822="","",ROW()-1)</f>
        <v/>
      </c>
      <c r="B1822" s="27">
        <f>IF('01_Rohdaten'!A1822="","",'01_Rohdaten'!A1822)</f>
        <v/>
      </c>
      <c r="C1822" s="27">
        <f>IF(B1822="","",INDEX('01_Rohdaten'!B1822:D1822,'02_Eingaben'!$C$13))</f>
        <v/>
      </c>
      <c r="D1822" s="27">
        <f>IF(C1822="","",C1822*'02_Eingaben'!$C$15)</f>
        <v/>
      </c>
      <c r="E1822" s="27">
        <f>IF(D1822="","",D1822*'02_Eingaben'!$C$8)</f>
        <v/>
      </c>
      <c r="F1822" s="27">
        <f>IF(E1822="","",AVERAGE(INDEX($E$2:$E$3001,MAX(1,ROW()-1-'02_Eingaben'!$C$17)):INDEX($E$2:$E$3001,MIN('02_Eingaben'!$C$21,ROW()-1+'02_Eingaben'!$C$17))))</f>
        <v/>
      </c>
      <c r="G1822" s="27">
        <f>IF(F1822="","",F1822-'02_Eingaben'!$C$10)</f>
        <v/>
      </c>
      <c r="H1822">
        <f>IF(F1822="","",IF(F1822&lt;'02_Eingaben'!$C$18*'02_Eingaben'!$C$10,1,0))</f>
        <v/>
      </c>
      <c r="I1822" s="27">
        <f>IF(OR(G1822="",G1823=""),"",(G1822+G1823)/2*(B1823-B1822))</f>
        <v/>
      </c>
      <c r="J1822" s="27">
        <f>IF(B1822="","",IF(B1821&lt;'02_Eingaben'!$C$36,0,J1821+I1821/'02_Eingaben'!$C$8))</f>
        <v/>
      </c>
    </row>
    <row r="1823">
      <c r="A1823">
        <f>IF('01_Rohdaten'!A1823="","",ROW()-1)</f>
        <v/>
      </c>
      <c r="B1823" s="27">
        <f>IF('01_Rohdaten'!A1823="","",'01_Rohdaten'!A1823)</f>
        <v/>
      </c>
      <c r="C1823" s="27">
        <f>IF(B1823="","",INDEX('01_Rohdaten'!B1823:D1823,'02_Eingaben'!$C$13))</f>
        <v/>
      </c>
      <c r="D1823" s="27">
        <f>IF(C1823="","",C1823*'02_Eingaben'!$C$15)</f>
        <v/>
      </c>
      <c r="E1823" s="27">
        <f>IF(D1823="","",D1823*'02_Eingaben'!$C$8)</f>
        <v/>
      </c>
      <c r="F1823" s="27">
        <f>IF(E1823="","",AVERAGE(INDEX($E$2:$E$3001,MAX(1,ROW()-1-'02_Eingaben'!$C$17)):INDEX($E$2:$E$3001,MIN('02_Eingaben'!$C$21,ROW()-1+'02_Eingaben'!$C$17))))</f>
        <v/>
      </c>
      <c r="G1823" s="27">
        <f>IF(F1823="","",F1823-'02_Eingaben'!$C$10)</f>
        <v/>
      </c>
      <c r="H1823">
        <f>IF(F1823="","",IF(F1823&lt;'02_Eingaben'!$C$18*'02_Eingaben'!$C$10,1,0))</f>
        <v/>
      </c>
      <c r="I1823" s="27">
        <f>IF(OR(G1823="",G1824=""),"",(G1823+G1824)/2*(B1824-B1823))</f>
        <v/>
      </c>
      <c r="J1823" s="27">
        <f>IF(B1823="","",IF(B1822&lt;'02_Eingaben'!$C$36,0,J1822+I1822/'02_Eingaben'!$C$8))</f>
        <v/>
      </c>
    </row>
    <row r="1824">
      <c r="A1824">
        <f>IF('01_Rohdaten'!A1824="","",ROW()-1)</f>
        <v/>
      </c>
      <c r="B1824" s="27">
        <f>IF('01_Rohdaten'!A1824="","",'01_Rohdaten'!A1824)</f>
        <v/>
      </c>
      <c r="C1824" s="27">
        <f>IF(B1824="","",INDEX('01_Rohdaten'!B1824:D1824,'02_Eingaben'!$C$13))</f>
        <v/>
      </c>
      <c r="D1824" s="27">
        <f>IF(C1824="","",C1824*'02_Eingaben'!$C$15)</f>
        <v/>
      </c>
      <c r="E1824" s="27">
        <f>IF(D1824="","",D1824*'02_Eingaben'!$C$8)</f>
        <v/>
      </c>
      <c r="F1824" s="27">
        <f>IF(E1824="","",AVERAGE(INDEX($E$2:$E$3001,MAX(1,ROW()-1-'02_Eingaben'!$C$17)):INDEX($E$2:$E$3001,MIN('02_Eingaben'!$C$21,ROW()-1+'02_Eingaben'!$C$17))))</f>
        <v/>
      </c>
      <c r="G1824" s="27">
        <f>IF(F1824="","",F1824-'02_Eingaben'!$C$10)</f>
        <v/>
      </c>
      <c r="H1824">
        <f>IF(F1824="","",IF(F1824&lt;'02_Eingaben'!$C$18*'02_Eingaben'!$C$10,1,0))</f>
        <v/>
      </c>
      <c r="I1824" s="27">
        <f>IF(OR(G1824="",G1825=""),"",(G1824+G1825)/2*(B1825-B1824))</f>
        <v/>
      </c>
      <c r="J1824" s="27">
        <f>IF(B1824="","",IF(B1823&lt;'02_Eingaben'!$C$36,0,J1823+I1823/'02_Eingaben'!$C$8))</f>
        <v/>
      </c>
    </row>
    <row r="1825">
      <c r="A1825">
        <f>IF('01_Rohdaten'!A1825="","",ROW()-1)</f>
        <v/>
      </c>
      <c r="B1825" s="27">
        <f>IF('01_Rohdaten'!A1825="","",'01_Rohdaten'!A1825)</f>
        <v/>
      </c>
      <c r="C1825" s="27">
        <f>IF(B1825="","",INDEX('01_Rohdaten'!B1825:D1825,'02_Eingaben'!$C$13))</f>
        <v/>
      </c>
      <c r="D1825" s="27">
        <f>IF(C1825="","",C1825*'02_Eingaben'!$C$15)</f>
        <v/>
      </c>
      <c r="E1825" s="27">
        <f>IF(D1825="","",D1825*'02_Eingaben'!$C$8)</f>
        <v/>
      </c>
      <c r="F1825" s="27">
        <f>IF(E1825="","",AVERAGE(INDEX($E$2:$E$3001,MAX(1,ROW()-1-'02_Eingaben'!$C$17)):INDEX($E$2:$E$3001,MIN('02_Eingaben'!$C$21,ROW()-1+'02_Eingaben'!$C$17))))</f>
        <v/>
      </c>
      <c r="G1825" s="27">
        <f>IF(F1825="","",F1825-'02_Eingaben'!$C$10)</f>
        <v/>
      </c>
      <c r="H1825">
        <f>IF(F1825="","",IF(F1825&lt;'02_Eingaben'!$C$18*'02_Eingaben'!$C$10,1,0))</f>
        <v/>
      </c>
      <c r="I1825" s="27">
        <f>IF(OR(G1825="",G1826=""),"",(G1825+G1826)/2*(B1826-B1825))</f>
        <v/>
      </c>
      <c r="J1825" s="27">
        <f>IF(B1825="","",IF(B1824&lt;'02_Eingaben'!$C$36,0,J1824+I1824/'02_Eingaben'!$C$8))</f>
        <v/>
      </c>
    </row>
    <row r="1826">
      <c r="A1826">
        <f>IF('01_Rohdaten'!A1826="","",ROW()-1)</f>
        <v/>
      </c>
      <c r="B1826" s="27">
        <f>IF('01_Rohdaten'!A1826="","",'01_Rohdaten'!A1826)</f>
        <v/>
      </c>
      <c r="C1826" s="27">
        <f>IF(B1826="","",INDEX('01_Rohdaten'!B1826:D1826,'02_Eingaben'!$C$13))</f>
        <v/>
      </c>
      <c r="D1826" s="27">
        <f>IF(C1826="","",C1826*'02_Eingaben'!$C$15)</f>
        <v/>
      </c>
      <c r="E1826" s="27">
        <f>IF(D1826="","",D1826*'02_Eingaben'!$C$8)</f>
        <v/>
      </c>
      <c r="F1826" s="27">
        <f>IF(E1826="","",AVERAGE(INDEX($E$2:$E$3001,MAX(1,ROW()-1-'02_Eingaben'!$C$17)):INDEX($E$2:$E$3001,MIN('02_Eingaben'!$C$21,ROW()-1+'02_Eingaben'!$C$17))))</f>
        <v/>
      </c>
      <c r="G1826" s="27">
        <f>IF(F1826="","",F1826-'02_Eingaben'!$C$10)</f>
        <v/>
      </c>
      <c r="H1826">
        <f>IF(F1826="","",IF(F1826&lt;'02_Eingaben'!$C$18*'02_Eingaben'!$C$10,1,0))</f>
        <v/>
      </c>
      <c r="I1826" s="27">
        <f>IF(OR(G1826="",G1827=""),"",(G1826+G1827)/2*(B1827-B1826))</f>
        <v/>
      </c>
      <c r="J1826" s="27">
        <f>IF(B1826="","",IF(B1825&lt;'02_Eingaben'!$C$36,0,J1825+I1825/'02_Eingaben'!$C$8))</f>
        <v/>
      </c>
    </row>
    <row r="1827">
      <c r="A1827">
        <f>IF('01_Rohdaten'!A1827="","",ROW()-1)</f>
        <v/>
      </c>
      <c r="B1827" s="27">
        <f>IF('01_Rohdaten'!A1827="","",'01_Rohdaten'!A1827)</f>
        <v/>
      </c>
      <c r="C1827" s="27">
        <f>IF(B1827="","",INDEX('01_Rohdaten'!B1827:D1827,'02_Eingaben'!$C$13))</f>
        <v/>
      </c>
      <c r="D1827" s="27">
        <f>IF(C1827="","",C1827*'02_Eingaben'!$C$15)</f>
        <v/>
      </c>
      <c r="E1827" s="27">
        <f>IF(D1827="","",D1827*'02_Eingaben'!$C$8)</f>
        <v/>
      </c>
      <c r="F1827" s="27">
        <f>IF(E1827="","",AVERAGE(INDEX($E$2:$E$3001,MAX(1,ROW()-1-'02_Eingaben'!$C$17)):INDEX($E$2:$E$3001,MIN('02_Eingaben'!$C$21,ROW()-1+'02_Eingaben'!$C$17))))</f>
        <v/>
      </c>
      <c r="G1827" s="27">
        <f>IF(F1827="","",F1827-'02_Eingaben'!$C$10)</f>
        <v/>
      </c>
      <c r="H1827">
        <f>IF(F1827="","",IF(F1827&lt;'02_Eingaben'!$C$18*'02_Eingaben'!$C$10,1,0))</f>
        <v/>
      </c>
      <c r="I1827" s="27">
        <f>IF(OR(G1827="",G1828=""),"",(G1827+G1828)/2*(B1828-B1827))</f>
        <v/>
      </c>
      <c r="J1827" s="27">
        <f>IF(B1827="","",IF(B1826&lt;'02_Eingaben'!$C$36,0,J1826+I1826/'02_Eingaben'!$C$8))</f>
        <v/>
      </c>
    </row>
    <row r="1828">
      <c r="A1828">
        <f>IF('01_Rohdaten'!A1828="","",ROW()-1)</f>
        <v/>
      </c>
      <c r="B1828" s="27">
        <f>IF('01_Rohdaten'!A1828="","",'01_Rohdaten'!A1828)</f>
        <v/>
      </c>
      <c r="C1828" s="27">
        <f>IF(B1828="","",INDEX('01_Rohdaten'!B1828:D1828,'02_Eingaben'!$C$13))</f>
        <v/>
      </c>
      <c r="D1828" s="27">
        <f>IF(C1828="","",C1828*'02_Eingaben'!$C$15)</f>
        <v/>
      </c>
      <c r="E1828" s="27">
        <f>IF(D1828="","",D1828*'02_Eingaben'!$C$8)</f>
        <v/>
      </c>
      <c r="F1828" s="27">
        <f>IF(E1828="","",AVERAGE(INDEX($E$2:$E$3001,MAX(1,ROW()-1-'02_Eingaben'!$C$17)):INDEX($E$2:$E$3001,MIN('02_Eingaben'!$C$21,ROW()-1+'02_Eingaben'!$C$17))))</f>
        <v/>
      </c>
      <c r="G1828" s="27">
        <f>IF(F1828="","",F1828-'02_Eingaben'!$C$10)</f>
        <v/>
      </c>
      <c r="H1828">
        <f>IF(F1828="","",IF(F1828&lt;'02_Eingaben'!$C$18*'02_Eingaben'!$C$10,1,0))</f>
        <v/>
      </c>
      <c r="I1828" s="27">
        <f>IF(OR(G1828="",G1829=""),"",(G1828+G1829)/2*(B1829-B1828))</f>
        <v/>
      </c>
      <c r="J1828" s="27">
        <f>IF(B1828="","",IF(B1827&lt;'02_Eingaben'!$C$36,0,J1827+I1827/'02_Eingaben'!$C$8))</f>
        <v/>
      </c>
    </row>
    <row r="1829">
      <c r="A1829">
        <f>IF('01_Rohdaten'!A1829="","",ROW()-1)</f>
        <v/>
      </c>
      <c r="B1829" s="27">
        <f>IF('01_Rohdaten'!A1829="","",'01_Rohdaten'!A1829)</f>
        <v/>
      </c>
      <c r="C1829" s="27">
        <f>IF(B1829="","",INDEX('01_Rohdaten'!B1829:D1829,'02_Eingaben'!$C$13))</f>
        <v/>
      </c>
      <c r="D1829" s="27">
        <f>IF(C1829="","",C1829*'02_Eingaben'!$C$15)</f>
        <v/>
      </c>
      <c r="E1829" s="27">
        <f>IF(D1829="","",D1829*'02_Eingaben'!$C$8)</f>
        <v/>
      </c>
      <c r="F1829" s="27">
        <f>IF(E1829="","",AVERAGE(INDEX($E$2:$E$3001,MAX(1,ROW()-1-'02_Eingaben'!$C$17)):INDEX($E$2:$E$3001,MIN('02_Eingaben'!$C$21,ROW()-1+'02_Eingaben'!$C$17))))</f>
        <v/>
      </c>
      <c r="G1829" s="27">
        <f>IF(F1829="","",F1829-'02_Eingaben'!$C$10)</f>
        <v/>
      </c>
      <c r="H1829">
        <f>IF(F1829="","",IF(F1829&lt;'02_Eingaben'!$C$18*'02_Eingaben'!$C$10,1,0))</f>
        <v/>
      </c>
      <c r="I1829" s="27">
        <f>IF(OR(G1829="",G1830=""),"",(G1829+G1830)/2*(B1830-B1829))</f>
        <v/>
      </c>
      <c r="J1829" s="27">
        <f>IF(B1829="","",IF(B1828&lt;'02_Eingaben'!$C$36,0,J1828+I1828/'02_Eingaben'!$C$8))</f>
        <v/>
      </c>
    </row>
    <row r="1830">
      <c r="A1830">
        <f>IF('01_Rohdaten'!A1830="","",ROW()-1)</f>
        <v/>
      </c>
      <c r="B1830" s="27">
        <f>IF('01_Rohdaten'!A1830="","",'01_Rohdaten'!A1830)</f>
        <v/>
      </c>
      <c r="C1830" s="27">
        <f>IF(B1830="","",INDEX('01_Rohdaten'!B1830:D1830,'02_Eingaben'!$C$13))</f>
        <v/>
      </c>
      <c r="D1830" s="27">
        <f>IF(C1830="","",C1830*'02_Eingaben'!$C$15)</f>
        <v/>
      </c>
      <c r="E1830" s="27">
        <f>IF(D1830="","",D1830*'02_Eingaben'!$C$8)</f>
        <v/>
      </c>
      <c r="F1830" s="27">
        <f>IF(E1830="","",AVERAGE(INDEX($E$2:$E$3001,MAX(1,ROW()-1-'02_Eingaben'!$C$17)):INDEX($E$2:$E$3001,MIN('02_Eingaben'!$C$21,ROW()-1+'02_Eingaben'!$C$17))))</f>
        <v/>
      </c>
      <c r="G1830" s="27">
        <f>IF(F1830="","",F1830-'02_Eingaben'!$C$10)</f>
        <v/>
      </c>
      <c r="H1830">
        <f>IF(F1830="","",IF(F1830&lt;'02_Eingaben'!$C$18*'02_Eingaben'!$C$10,1,0))</f>
        <v/>
      </c>
      <c r="I1830" s="27">
        <f>IF(OR(G1830="",G1831=""),"",(G1830+G1831)/2*(B1831-B1830))</f>
        <v/>
      </c>
      <c r="J1830" s="27">
        <f>IF(B1830="","",IF(B1829&lt;'02_Eingaben'!$C$36,0,J1829+I1829/'02_Eingaben'!$C$8))</f>
        <v/>
      </c>
    </row>
    <row r="1831">
      <c r="A1831">
        <f>IF('01_Rohdaten'!A1831="","",ROW()-1)</f>
        <v/>
      </c>
      <c r="B1831" s="27">
        <f>IF('01_Rohdaten'!A1831="","",'01_Rohdaten'!A1831)</f>
        <v/>
      </c>
      <c r="C1831" s="27">
        <f>IF(B1831="","",INDEX('01_Rohdaten'!B1831:D1831,'02_Eingaben'!$C$13))</f>
        <v/>
      </c>
      <c r="D1831" s="27">
        <f>IF(C1831="","",C1831*'02_Eingaben'!$C$15)</f>
        <v/>
      </c>
      <c r="E1831" s="27">
        <f>IF(D1831="","",D1831*'02_Eingaben'!$C$8)</f>
        <v/>
      </c>
      <c r="F1831" s="27">
        <f>IF(E1831="","",AVERAGE(INDEX($E$2:$E$3001,MAX(1,ROW()-1-'02_Eingaben'!$C$17)):INDEX($E$2:$E$3001,MIN('02_Eingaben'!$C$21,ROW()-1+'02_Eingaben'!$C$17))))</f>
        <v/>
      </c>
      <c r="G1831" s="27">
        <f>IF(F1831="","",F1831-'02_Eingaben'!$C$10)</f>
        <v/>
      </c>
      <c r="H1831">
        <f>IF(F1831="","",IF(F1831&lt;'02_Eingaben'!$C$18*'02_Eingaben'!$C$10,1,0))</f>
        <v/>
      </c>
      <c r="I1831" s="27">
        <f>IF(OR(G1831="",G1832=""),"",(G1831+G1832)/2*(B1832-B1831))</f>
        <v/>
      </c>
      <c r="J1831" s="27">
        <f>IF(B1831="","",IF(B1830&lt;'02_Eingaben'!$C$36,0,J1830+I1830/'02_Eingaben'!$C$8))</f>
        <v/>
      </c>
    </row>
    <row r="1832">
      <c r="A1832">
        <f>IF('01_Rohdaten'!A1832="","",ROW()-1)</f>
        <v/>
      </c>
      <c r="B1832" s="27">
        <f>IF('01_Rohdaten'!A1832="","",'01_Rohdaten'!A1832)</f>
        <v/>
      </c>
      <c r="C1832" s="27">
        <f>IF(B1832="","",INDEX('01_Rohdaten'!B1832:D1832,'02_Eingaben'!$C$13))</f>
        <v/>
      </c>
      <c r="D1832" s="27">
        <f>IF(C1832="","",C1832*'02_Eingaben'!$C$15)</f>
        <v/>
      </c>
      <c r="E1832" s="27">
        <f>IF(D1832="","",D1832*'02_Eingaben'!$C$8)</f>
        <v/>
      </c>
      <c r="F1832" s="27">
        <f>IF(E1832="","",AVERAGE(INDEX($E$2:$E$3001,MAX(1,ROW()-1-'02_Eingaben'!$C$17)):INDEX($E$2:$E$3001,MIN('02_Eingaben'!$C$21,ROW()-1+'02_Eingaben'!$C$17))))</f>
        <v/>
      </c>
      <c r="G1832" s="27">
        <f>IF(F1832="","",F1832-'02_Eingaben'!$C$10)</f>
        <v/>
      </c>
      <c r="H1832">
        <f>IF(F1832="","",IF(F1832&lt;'02_Eingaben'!$C$18*'02_Eingaben'!$C$10,1,0))</f>
        <v/>
      </c>
      <c r="I1832" s="27">
        <f>IF(OR(G1832="",G1833=""),"",(G1832+G1833)/2*(B1833-B1832))</f>
        <v/>
      </c>
      <c r="J1832" s="27">
        <f>IF(B1832="","",IF(B1831&lt;'02_Eingaben'!$C$36,0,J1831+I1831/'02_Eingaben'!$C$8))</f>
        <v/>
      </c>
    </row>
    <row r="1833">
      <c r="A1833">
        <f>IF('01_Rohdaten'!A1833="","",ROW()-1)</f>
        <v/>
      </c>
      <c r="B1833" s="27">
        <f>IF('01_Rohdaten'!A1833="","",'01_Rohdaten'!A1833)</f>
        <v/>
      </c>
      <c r="C1833" s="27">
        <f>IF(B1833="","",INDEX('01_Rohdaten'!B1833:D1833,'02_Eingaben'!$C$13))</f>
        <v/>
      </c>
      <c r="D1833" s="27">
        <f>IF(C1833="","",C1833*'02_Eingaben'!$C$15)</f>
        <v/>
      </c>
      <c r="E1833" s="27">
        <f>IF(D1833="","",D1833*'02_Eingaben'!$C$8)</f>
        <v/>
      </c>
      <c r="F1833" s="27">
        <f>IF(E1833="","",AVERAGE(INDEX($E$2:$E$3001,MAX(1,ROW()-1-'02_Eingaben'!$C$17)):INDEX($E$2:$E$3001,MIN('02_Eingaben'!$C$21,ROW()-1+'02_Eingaben'!$C$17))))</f>
        <v/>
      </c>
      <c r="G1833" s="27">
        <f>IF(F1833="","",F1833-'02_Eingaben'!$C$10)</f>
        <v/>
      </c>
      <c r="H1833">
        <f>IF(F1833="","",IF(F1833&lt;'02_Eingaben'!$C$18*'02_Eingaben'!$C$10,1,0))</f>
        <v/>
      </c>
      <c r="I1833" s="27">
        <f>IF(OR(G1833="",G1834=""),"",(G1833+G1834)/2*(B1834-B1833))</f>
        <v/>
      </c>
      <c r="J1833" s="27">
        <f>IF(B1833="","",IF(B1832&lt;'02_Eingaben'!$C$36,0,J1832+I1832/'02_Eingaben'!$C$8))</f>
        <v/>
      </c>
    </row>
    <row r="1834">
      <c r="A1834">
        <f>IF('01_Rohdaten'!A1834="","",ROW()-1)</f>
        <v/>
      </c>
      <c r="B1834" s="27">
        <f>IF('01_Rohdaten'!A1834="","",'01_Rohdaten'!A1834)</f>
        <v/>
      </c>
      <c r="C1834" s="27">
        <f>IF(B1834="","",INDEX('01_Rohdaten'!B1834:D1834,'02_Eingaben'!$C$13))</f>
        <v/>
      </c>
      <c r="D1834" s="27">
        <f>IF(C1834="","",C1834*'02_Eingaben'!$C$15)</f>
        <v/>
      </c>
      <c r="E1834" s="27">
        <f>IF(D1834="","",D1834*'02_Eingaben'!$C$8)</f>
        <v/>
      </c>
      <c r="F1834" s="27">
        <f>IF(E1834="","",AVERAGE(INDEX($E$2:$E$3001,MAX(1,ROW()-1-'02_Eingaben'!$C$17)):INDEX($E$2:$E$3001,MIN('02_Eingaben'!$C$21,ROW()-1+'02_Eingaben'!$C$17))))</f>
        <v/>
      </c>
      <c r="G1834" s="27">
        <f>IF(F1834="","",F1834-'02_Eingaben'!$C$10)</f>
        <v/>
      </c>
      <c r="H1834">
        <f>IF(F1834="","",IF(F1834&lt;'02_Eingaben'!$C$18*'02_Eingaben'!$C$10,1,0))</f>
        <v/>
      </c>
      <c r="I1834" s="27">
        <f>IF(OR(G1834="",G1835=""),"",(G1834+G1835)/2*(B1835-B1834))</f>
        <v/>
      </c>
      <c r="J1834" s="27">
        <f>IF(B1834="","",IF(B1833&lt;'02_Eingaben'!$C$36,0,J1833+I1833/'02_Eingaben'!$C$8))</f>
        <v/>
      </c>
    </row>
    <row r="1835">
      <c r="A1835">
        <f>IF('01_Rohdaten'!A1835="","",ROW()-1)</f>
        <v/>
      </c>
      <c r="B1835" s="27">
        <f>IF('01_Rohdaten'!A1835="","",'01_Rohdaten'!A1835)</f>
        <v/>
      </c>
      <c r="C1835" s="27">
        <f>IF(B1835="","",INDEX('01_Rohdaten'!B1835:D1835,'02_Eingaben'!$C$13))</f>
        <v/>
      </c>
      <c r="D1835" s="27">
        <f>IF(C1835="","",C1835*'02_Eingaben'!$C$15)</f>
        <v/>
      </c>
      <c r="E1835" s="27">
        <f>IF(D1835="","",D1835*'02_Eingaben'!$C$8)</f>
        <v/>
      </c>
      <c r="F1835" s="27">
        <f>IF(E1835="","",AVERAGE(INDEX($E$2:$E$3001,MAX(1,ROW()-1-'02_Eingaben'!$C$17)):INDEX($E$2:$E$3001,MIN('02_Eingaben'!$C$21,ROW()-1+'02_Eingaben'!$C$17))))</f>
        <v/>
      </c>
      <c r="G1835" s="27">
        <f>IF(F1835="","",F1835-'02_Eingaben'!$C$10)</f>
        <v/>
      </c>
      <c r="H1835">
        <f>IF(F1835="","",IF(F1835&lt;'02_Eingaben'!$C$18*'02_Eingaben'!$C$10,1,0))</f>
        <v/>
      </c>
      <c r="I1835" s="27">
        <f>IF(OR(G1835="",G1836=""),"",(G1835+G1836)/2*(B1836-B1835))</f>
        <v/>
      </c>
      <c r="J1835" s="27">
        <f>IF(B1835="","",IF(B1834&lt;'02_Eingaben'!$C$36,0,J1834+I1834/'02_Eingaben'!$C$8))</f>
        <v/>
      </c>
    </row>
    <row r="1836">
      <c r="A1836">
        <f>IF('01_Rohdaten'!A1836="","",ROW()-1)</f>
        <v/>
      </c>
      <c r="B1836" s="27">
        <f>IF('01_Rohdaten'!A1836="","",'01_Rohdaten'!A1836)</f>
        <v/>
      </c>
      <c r="C1836" s="27">
        <f>IF(B1836="","",INDEX('01_Rohdaten'!B1836:D1836,'02_Eingaben'!$C$13))</f>
        <v/>
      </c>
      <c r="D1836" s="27">
        <f>IF(C1836="","",C1836*'02_Eingaben'!$C$15)</f>
        <v/>
      </c>
      <c r="E1836" s="27">
        <f>IF(D1836="","",D1836*'02_Eingaben'!$C$8)</f>
        <v/>
      </c>
      <c r="F1836" s="27">
        <f>IF(E1836="","",AVERAGE(INDEX($E$2:$E$3001,MAX(1,ROW()-1-'02_Eingaben'!$C$17)):INDEX($E$2:$E$3001,MIN('02_Eingaben'!$C$21,ROW()-1+'02_Eingaben'!$C$17))))</f>
        <v/>
      </c>
      <c r="G1836" s="27">
        <f>IF(F1836="","",F1836-'02_Eingaben'!$C$10)</f>
        <v/>
      </c>
      <c r="H1836">
        <f>IF(F1836="","",IF(F1836&lt;'02_Eingaben'!$C$18*'02_Eingaben'!$C$10,1,0))</f>
        <v/>
      </c>
      <c r="I1836" s="27">
        <f>IF(OR(G1836="",G1837=""),"",(G1836+G1837)/2*(B1837-B1836))</f>
        <v/>
      </c>
      <c r="J1836" s="27">
        <f>IF(B1836="","",IF(B1835&lt;'02_Eingaben'!$C$36,0,J1835+I1835/'02_Eingaben'!$C$8))</f>
        <v/>
      </c>
    </row>
    <row r="1837">
      <c r="A1837">
        <f>IF('01_Rohdaten'!A1837="","",ROW()-1)</f>
        <v/>
      </c>
      <c r="B1837" s="27">
        <f>IF('01_Rohdaten'!A1837="","",'01_Rohdaten'!A1837)</f>
        <v/>
      </c>
      <c r="C1837" s="27">
        <f>IF(B1837="","",INDEX('01_Rohdaten'!B1837:D1837,'02_Eingaben'!$C$13))</f>
        <v/>
      </c>
      <c r="D1837" s="27">
        <f>IF(C1837="","",C1837*'02_Eingaben'!$C$15)</f>
        <v/>
      </c>
      <c r="E1837" s="27">
        <f>IF(D1837="","",D1837*'02_Eingaben'!$C$8)</f>
        <v/>
      </c>
      <c r="F1837" s="27">
        <f>IF(E1837="","",AVERAGE(INDEX($E$2:$E$3001,MAX(1,ROW()-1-'02_Eingaben'!$C$17)):INDEX($E$2:$E$3001,MIN('02_Eingaben'!$C$21,ROW()-1+'02_Eingaben'!$C$17))))</f>
        <v/>
      </c>
      <c r="G1837" s="27">
        <f>IF(F1837="","",F1837-'02_Eingaben'!$C$10)</f>
        <v/>
      </c>
      <c r="H1837">
        <f>IF(F1837="","",IF(F1837&lt;'02_Eingaben'!$C$18*'02_Eingaben'!$C$10,1,0))</f>
        <v/>
      </c>
      <c r="I1837" s="27">
        <f>IF(OR(G1837="",G1838=""),"",(G1837+G1838)/2*(B1838-B1837))</f>
        <v/>
      </c>
      <c r="J1837" s="27">
        <f>IF(B1837="","",IF(B1836&lt;'02_Eingaben'!$C$36,0,J1836+I1836/'02_Eingaben'!$C$8))</f>
        <v/>
      </c>
    </row>
    <row r="1838">
      <c r="A1838">
        <f>IF('01_Rohdaten'!A1838="","",ROW()-1)</f>
        <v/>
      </c>
      <c r="B1838" s="27">
        <f>IF('01_Rohdaten'!A1838="","",'01_Rohdaten'!A1838)</f>
        <v/>
      </c>
      <c r="C1838" s="27">
        <f>IF(B1838="","",INDEX('01_Rohdaten'!B1838:D1838,'02_Eingaben'!$C$13))</f>
        <v/>
      </c>
      <c r="D1838" s="27">
        <f>IF(C1838="","",C1838*'02_Eingaben'!$C$15)</f>
        <v/>
      </c>
      <c r="E1838" s="27">
        <f>IF(D1838="","",D1838*'02_Eingaben'!$C$8)</f>
        <v/>
      </c>
      <c r="F1838" s="27">
        <f>IF(E1838="","",AVERAGE(INDEX($E$2:$E$3001,MAX(1,ROW()-1-'02_Eingaben'!$C$17)):INDEX($E$2:$E$3001,MIN('02_Eingaben'!$C$21,ROW()-1+'02_Eingaben'!$C$17))))</f>
        <v/>
      </c>
      <c r="G1838" s="27">
        <f>IF(F1838="","",F1838-'02_Eingaben'!$C$10)</f>
        <v/>
      </c>
      <c r="H1838">
        <f>IF(F1838="","",IF(F1838&lt;'02_Eingaben'!$C$18*'02_Eingaben'!$C$10,1,0))</f>
        <v/>
      </c>
      <c r="I1838" s="27">
        <f>IF(OR(G1838="",G1839=""),"",(G1838+G1839)/2*(B1839-B1838))</f>
        <v/>
      </c>
      <c r="J1838" s="27">
        <f>IF(B1838="","",IF(B1837&lt;'02_Eingaben'!$C$36,0,J1837+I1837/'02_Eingaben'!$C$8))</f>
        <v/>
      </c>
    </row>
    <row r="1839">
      <c r="A1839">
        <f>IF('01_Rohdaten'!A1839="","",ROW()-1)</f>
        <v/>
      </c>
      <c r="B1839" s="27">
        <f>IF('01_Rohdaten'!A1839="","",'01_Rohdaten'!A1839)</f>
        <v/>
      </c>
      <c r="C1839" s="27">
        <f>IF(B1839="","",INDEX('01_Rohdaten'!B1839:D1839,'02_Eingaben'!$C$13))</f>
        <v/>
      </c>
      <c r="D1839" s="27">
        <f>IF(C1839="","",C1839*'02_Eingaben'!$C$15)</f>
        <v/>
      </c>
      <c r="E1839" s="27">
        <f>IF(D1839="","",D1839*'02_Eingaben'!$C$8)</f>
        <v/>
      </c>
      <c r="F1839" s="27">
        <f>IF(E1839="","",AVERAGE(INDEX($E$2:$E$3001,MAX(1,ROW()-1-'02_Eingaben'!$C$17)):INDEX($E$2:$E$3001,MIN('02_Eingaben'!$C$21,ROW()-1+'02_Eingaben'!$C$17))))</f>
        <v/>
      </c>
      <c r="G1839" s="27">
        <f>IF(F1839="","",F1839-'02_Eingaben'!$C$10)</f>
        <v/>
      </c>
      <c r="H1839">
        <f>IF(F1839="","",IF(F1839&lt;'02_Eingaben'!$C$18*'02_Eingaben'!$C$10,1,0))</f>
        <v/>
      </c>
      <c r="I1839" s="27">
        <f>IF(OR(G1839="",G1840=""),"",(G1839+G1840)/2*(B1840-B1839))</f>
        <v/>
      </c>
      <c r="J1839" s="27">
        <f>IF(B1839="","",IF(B1838&lt;'02_Eingaben'!$C$36,0,J1838+I1838/'02_Eingaben'!$C$8))</f>
        <v/>
      </c>
    </row>
    <row r="1840">
      <c r="A1840">
        <f>IF('01_Rohdaten'!A1840="","",ROW()-1)</f>
        <v/>
      </c>
      <c r="B1840" s="27">
        <f>IF('01_Rohdaten'!A1840="","",'01_Rohdaten'!A1840)</f>
        <v/>
      </c>
      <c r="C1840" s="27">
        <f>IF(B1840="","",INDEX('01_Rohdaten'!B1840:D1840,'02_Eingaben'!$C$13))</f>
        <v/>
      </c>
      <c r="D1840" s="27">
        <f>IF(C1840="","",C1840*'02_Eingaben'!$C$15)</f>
        <v/>
      </c>
      <c r="E1840" s="27">
        <f>IF(D1840="","",D1840*'02_Eingaben'!$C$8)</f>
        <v/>
      </c>
      <c r="F1840" s="27">
        <f>IF(E1840="","",AVERAGE(INDEX($E$2:$E$3001,MAX(1,ROW()-1-'02_Eingaben'!$C$17)):INDEX($E$2:$E$3001,MIN('02_Eingaben'!$C$21,ROW()-1+'02_Eingaben'!$C$17))))</f>
        <v/>
      </c>
      <c r="G1840" s="27">
        <f>IF(F1840="","",F1840-'02_Eingaben'!$C$10)</f>
        <v/>
      </c>
      <c r="H1840">
        <f>IF(F1840="","",IF(F1840&lt;'02_Eingaben'!$C$18*'02_Eingaben'!$C$10,1,0))</f>
        <v/>
      </c>
      <c r="I1840" s="27">
        <f>IF(OR(G1840="",G1841=""),"",(G1840+G1841)/2*(B1841-B1840))</f>
        <v/>
      </c>
      <c r="J1840" s="27">
        <f>IF(B1840="","",IF(B1839&lt;'02_Eingaben'!$C$36,0,J1839+I1839/'02_Eingaben'!$C$8))</f>
        <v/>
      </c>
    </row>
    <row r="1841">
      <c r="A1841">
        <f>IF('01_Rohdaten'!A1841="","",ROW()-1)</f>
        <v/>
      </c>
      <c r="B1841" s="27">
        <f>IF('01_Rohdaten'!A1841="","",'01_Rohdaten'!A1841)</f>
        <v/>
      </c>
      <c r="C1841" s="27">
        <f>IF(B1841="","",INDEX('01_Rohdaten'!B1841:D1841,'02_Eingaben'!$C$13))</f>
        <v/>
      </c>
      <c r="D1841" s="27">
        <f>IF(C1841="","",C1841*'02_Eingaben'!$C$15)</f>
        <v/>
      </c>
      <c r="E1841" s="27">
        <f>IF(D1841="","",D1841*'02_Eingaben'!$C$8)</f>
        <v/>
      </c>
      <c r="F1841" s="27">
        <f>IF(E1841="","",AVERAGE(INDEX($E$2:$E$3001,MAX(1,ROW()-1-'02_Eingaben'!$C$17)):INDEX($E$2:$E$3001,MIN('02_Eingaben'!$C$21,ROW()-1+'02_Eingaben'!$C$17))))</f>
        <v/>
      </c>
      <c r="G1841" s="27">
        <f>IF(F1841="","",F1841-'02_Eingaben'!$C$10)</f>
        <v/>
      </c>
      <c r="H1841">
        <f>IF(F1841="","",IF(F1841&lt;'02_Eingaben'!$C$18*'02_Eingaben'!$C$10,1,0))</f>
        <v/>
      </c>
      <c r="I1841" s="27">
        <f>IF(OR(G1841="",G1842=""),"",(G1841+G1842)/2*(B1842-B1841))</f>
        <v/>
      </c>
      <c r="J1841" s="27">
        <f>IF(B1841="","",IF(B1840&lt;'02_Eingaben'!$C$36,0,J1840+I1840/'02_Eingaben'!$C$8))</f>
        <v/>
      </c>
    </row>
    <row r="1842">
      <c r="A1842">
        <f>IF('01_Rohdaten'!A1842="","",ROW()-1)</f>
        <v/>
      </c>
      <c r="B1842" s="27">
        <f>IF('01_Rohdaten'!A1842="","",'01_Rohdaten'!A1842)</f>
        <v/>
      </c>
      <c r="C1842" s="27">
        <f>IF(B1842="","",INDEX('01_Rohdaten'!B1842:D1842,'02_Eingaben'!$C$13))</f>
        <v/>
      </c>
      <c r="D1842" s="27">
        <f>IF(C1842="","",C1842*'02_Eingaben'!$C$15)</f>
        <v/>
      </c>
      <c r="E1842" s="27">
        <f>IF(D1842="","",D1842*'02_Eingaben'!$C$8)</f>
        <v/>
      </c>
      <c r="F1842" s="27">
        <f>IF(E1842="","",AVERAGE(INDEX($E$2:$E$3001,MAX(1,ROW()-1-'02_Eingaben'!$C$17)):INDEX($E$2:$E$3001,MIN('02_Eingaben'!$C$21,ROW()-1+'02_Eingaben'!$C$17))))</f>
        <v/>
      </c>
      <c r="G1842" s="27">
        <f>IF(F1842="","",F1842-'02_Eingaben'!$C$10)</f>
        <v/>
      </c>
      <c r="H1842">
        <f>IF(F1842="","",IF(F1842&lt;'02_Eingaben'!$C$18*'02_Eingaben'!$C$10,1,0))</f>
        <v/>
      </c>
      <c r="I1842" s="27">
        <f>IF(OR(G1842="",G1843=""),"",(G1842+G1843)/2*(B1843-B1842))</f>
        <v/>
      </c>
      <c r="J1842" s="27">
        <f>IF(B1842="","",IF(B1841&lt;'02_Eingaben'!$C$36,0,J1841+I1841/'02_Eingaben'!$C$8))</f>
        <v/>
      </c>
    </row>
    <row r="1843">
      <c r="A1843">
        <f>IF('01_Rohdaten'!A1843="","",ROW()-1)</f>
        <v/>
      </c>
      <c r="B1843" s="27">
        <f>IF('01_Rohdaten'!A1843="","",'01_Rohdaten'!A1843)</f>
        <v/>
      </c>
      <c r="C1843" s="27">
        <f>IF(B1843="","",INDEX('01_Rohdaten'!B1843:D1843,'02_Eingaben'!$C$13))</f>
        <v/>
      </c>
      <c r="D1843" s="27">
        <f>IF(C1843="","",C1843*'02_Eingaben'!$C$15)</f>
        <v/>
      </c>
      <c r="E1843" s="27">
        <f>IF(D1843="","",D1843*'02_Eingaben'!$C$8)</f>
        <v/>
      </c>
      <c r="F1843" s="27">
        <f>IF(E1843="","",AVERAGE(INDEX($E$2:$E$3001,MAX(1,ROW()-1-'02_Eingaben'!$C$17)):INDEX($E$2:$E$3001,MIN('02_Eingaben'!$C$21,ROW()-1+'02_Eingaben'!$C$17))))</f>
        <v/>
      </c>
      <c r="G1843" s="27">
        <f>IF(F1843="","",F1843-'02_Eingaben'!$C$10)</f>
        <v/>
      </c>
      <c r="H1843">
        <f>IF(F1843="","",IF(F1843&lt;'02_Eingaben'!$C$18*'02_Eingaben'!$C$10,1,0))</f>
        <v/>
      </c>
      <c r="I1843" s="27">
        <f>IF(OR(G1843="",G1844=""),"",(G1843+G1844)/2*(B1844-B1843))</f>
        <v/>
      </c>
      <c r="J1843" s="27">
        <f>IF(B1843="","",IF(B1842&lt;'02_Eingaben'!$C$36,0,J1842+I1842/'02_Eingaben'!$C$8))</f>
        <v/>
      </c>
    </row>
    <row r="1844">
      <c r="A1844">
        <f>IF('01_Rohdaten'!A1844="","",ROW()-1)</f>
        <v/>
      </c>
      <c r="B1844" s="27">
        <f>IF('01_Rohdaten'!A1844="","",'01_Rohdaten'!A1844)</f>
        <v/>
      </c>
      <c r="C1844" s="27">
        <f>IF(B1844="","",INDEX('01_Rohdaten'!B1844:D1844,'02_Eingaben'!$C$13))</f>
        <v/>
      </c>
      <c r="D1844" s="27">
        <f>IF(C1844="","",C1844*'02_Eingaben'!$C$15)</f>
        <v/>
      </c>
      <c r="E1844" s="27">
        <f>IF(D1844="","",D1844*'02_Eingaben'!$C$8)</f>
        <v/>
      </c>
      <c r="F1844" s="27">
        <f>IF(E1844="","",AVERAGE(INDEX($E$2:$E$3001,MAX(1,ROW()-1-'02_Eingaben'!$C$17)):INDEX($E$2:$E$3001,MIN('02_Eingaben'!$C$21,ROW()-1+'02_Eingaben'!$C$17))))</f>
        <v/>
      </c>
      <c r="G1844" s="27">
        <f>IF(F1844="","",F1844-'02_Eingaben'!$C$10)</f>
        <v/>
      </c>
      <c r="H1844">
        <f>IF(F1844="","",IF(F1844&lt;'02_Eingaben'!$C$18*'02_Eingaben'!$C$10,1,0))</f>
        <v/>
      </c>
      <c r="I1844" s="27">
        <f>IF(OR(G1844="",G1845=""),"",(G1844+G1845)/2*(B1845-B1844))</f>
        <v/>
      </c>
      <c r="J1844" s="27">
        <f>IF(B1844="","",IF(B1843&lt;'02_Eingaben'!$C$36,0,J1843+I1843/'02_Eingaben'!$C$8))</f>
        <v/>
      </c>
    </row>
    <row r="1845">
      <c r="A1845">
        <f>IF('01_Rohdaten'!A1845="","",ROW()-1)</f>
        <v/>
      </c>
      <c r="B1845" s="27">
        <f>IF('01_Rohdaten'!A1845="","",'01_Rohdaten'!A1845)</f>
        <v/>
      </c>
      <c r="C1845" s="27">
        <f>IF(B1845="","",INDEX('01_Rohdaten'!B1845:D1845,'02_Eingaben'!$C$13))</f>
        <v/>
      </c>
      <c r="D1845" s="27">
        <f>IF(C1845="","",C1845*'02_Eingaben'!$C$15)</f>
        <v/>
      </c>
      <c r="E1845" s="27">
        <f>IF(D1845="","",D1845*'02_Eingaben'!$C$8)</f>
        <v/>
      </c>
      <c r="F1845" s="27">
        <f>IF(E1845="","",AVERAGE(INDEX($E$2:$E$3001,MAX(1,ROW()-1-'02_Eingaben'!$C$17)):INDEX($E$2:$E$3001,MIN('02_Eingaben'!$C$21,ROW()-1+'02_Eingaben'!$C$17))))</f>
        <v/>
      </c>
      <c r="G1845" s="27">
        <f>IF(F1845="","",F1845-'02_Eingaben'!$C$10)</f>
        <v/>
      </c>
      <c r="H1845">
        <f>IF(F1845="","",IF(F1845&lt;'02_Eingaben'!$C$18*'02_Eingaben'!$C$10,1,0))</f>
        <v/>
      </c>
      <c r="I1845" s="27">
        <f>IF(OR(G1845="",G1846=""),"",(G1845+G1846)/2*(B1846-B1845))</f>
        <v/>
      </c>
      <c r="J1845" s="27">
        <f>IF(B1845="","",IF(B1844&lt;'02_Eingaben'!$C$36,0,J1844+I1844/'02_Eingaben'!$C$8))</f>
        <v/>
      </c>
    </row>
    <row r="1846">
      <c r="A1846">
        <f>IF('01_Rohdaten'!A1846="","",ROW()-1)</f>
        <v/>
      </c>
      <c r="B1846" s="27">
        <f>IF('01_Rohdaten'!A1846="","",'01_Rohdaten'!A1846)</f>
        <v/>
      </c>
      <c r="C1846" s="27">
        <f>IF(B1846="","",INDEX('01_Rohdaten'!B1846:D1846,'02_Eingaben'!$C$13))</f>
        <v/>
      </c>
      <c r="D1846" s="27">
        <f>IF(C1846="","",C1846*'02_Eingaben'!$C$15)</f>
        <v/>
      </c>
      <c r="E1846" s="27">
        <f>IF(D1846="","",D1846*'02_Eingaben'!$C$8)</f>
        <v/>
      </c>
      <c r="F1846" s="27">
        <f>IF(E1846="","",AVERAGE(INDEX($E$2:$E$3001,MAX(1,ROW()-1-'02_Eingaben'!$C$17)):INDEX($E$2:$E$3001,MIN('02_Eingaben'!$C$21,ROW()-1+'02_Eingaben'!$C$17))))</f>
        <v/>
      </c>
      <c r="G1846" s="27">
        <f>IF(F1846="","",F1846-'02_Eingaben'!$C$10)</f>
        <v/>
      </c>
      <c r="H1846">
        <f>IF(F1846="","",IF(F1846&lt;'02_Eingaben'!$C$18*'02_Eingaben'!$C$10,1,0))</f>
        <v/>
      </c>
      <c r="I1846" s="27">
        <f>IF(OR(G1846="",G1847=""),"",(G1846+G1847)/2*(B1847-B1846))</f>
        <v/>
      </c>
      <c r="J1846" s="27">
        <f>IF(B1846="","",IF(B1845&lt;'02_Eingaben'!$C$36,0,J1845+I1845/'02_Eingaben'!$C$8))</f>
        <v/>
      </c>
    </row>
    <row r="1847">
      <c r="A1847">
        <f>IF('01_Rohdaten'!A1847="","",ROW()-1)</f>
        <v/>
      </c>
      <c r="B1847" s="27">
        <f>IF('01_Rohdaten'!A1847="","",'01_Rohdaten'!A1847)</f>
        <v/>
      </c>
      <c r="C1847" s="27">
        <f>IF(B1847="","",INDEX('01_Rohdaten'!B1847:D1847,'02_Eingaben'!$C$13))</f>
        <v/>
      </c>
      <c r="D1847" s="27">
        <f>IF(C1847="","",C1847*'02_Eingaben'!$C$15)</f>
        <v/>
      </c>
      <c r="E1847" s="27">
        <f>IF(D1847="","",D1847*'02_Eingaben'!$C$8)</f>
        <v/>
      </c>
      <c r="F1847" s="27">
        <f>IF(E1847="","",AVERAGE(INDEX($E$2:$E$3001,MAX(1,ROW()-1-'02_Eingaben'!$C$17)):INDEX($E$2:$E$3001,MIN('02_Eingaben'!$C$21,ROW()-1+'02_Eingaben'!$C$17))))</f>
        <v/>
      </c>
      <c r="G1847" s="27">
        <f>IF(F1847="","",F1847-'02_Eingaben'!$C$10)</f>
        <v/>
      </c>
      <c r="H1847">
        <f>IF(F1847="","",IF(F1847&lt;'02_Eingaben'!$C$18*'02_Eingaben'!$C$10,1,0))</f>
        <v/>
      </c>
      <c r="I1847" s="27">
        <f>IF(OR(G1847="",G1848=""),"",(G1847+G1848)/2*(B1848-B1847))</f>
        <v/>
      </c>
      <c r="J1847" s="27">
        <f>IF(B1847="","",IF(B1846&lt;'02_Eingaben'!$C$36,0,J1846+I1846/'02_Eingaben'!$C$8))</f>
        <v/>
      </c>
    </row>
    <row r="1848">
      <c r="A1848">
        <f>IF('01_Rohdaten'!A1848="","",ROW()-1)</f>
        <v/>
      </c>
      <c r="B1848" s="27">
        <f>IF('01_Rohdaten'!A1848="","",'01_Rohdaten'!A1848)</f>
        <v/>
      </c>
      <c r="C1848" s="27">
        <f>IF(B1848="","",INDEX('01_Rohdaten'!B1848:D1848,'02_Eingaben'!$C$13))</f>
        <v/>
      </c>
      <c r="D1848" s="27">
        <f>IF(C1848="","",C1848*'02_Eingaben'!$C$15)</f>
        <v/>
      </c>
      <c r="E1848" s="27">
        <f>IF(D1848="","",D1848*'02_Eingaben'!$C$8)</f>
        <v/>
      </c>
      <c r="F1848" s="27">
        <f>IF(E1848="","",AVERAGE(INDEX($E$2:$E$3001,MAX(1,ROW()-1-'02_Eingaben'!$C$17)):INDEX($E$2:$E$3001,MIN('02_Eingaben'!$C$21,ROW()-1+'02_Eingaben'!$C$17))))</f>
        <v/>
      </c>
      <c r="G1848" s="27">
        <f>IF(F1848="","",F1848-'02_Eingaben'!$C$10)</f>
        <v/>
      </c>
      <c r="H1848">
        <f>IF(F1848="","",IF(F1848&lt;'02_Eingaben'!$C$18*'02_Eingaben'!$C$10,1,0))</f>
        <v/>
      </c>
      <c r="I1848" s="27">
        <f>IF(OR(G1848="",G1849=""),"",(G1848+G1849)/2*(B1849-B1848))</f>
        <v/>
      </c>
      <c r="J1848" s="27">
        <f>IF(B1848="","",IF(B1847&lt;'02_Eingaben'!$C$36,0,J1847+I1847/'02_Eingaben'!$C$8))</f>
        <v/>
      </c>
    </row>
    <row r="1849">
      <c r="A1849">
        <f>IF('01_Rohdaten'!A1849="","",ROW()-1)</f>
        <v/>
      </c>
      <c r="B1849" s="27">
        <f>IF('01_Rohdaten'!A1849="","",'01_Rohdaten'!A1849)</f>
        <v/>
      </c>
      <c r="C1849" s="27">
        <f>IF(B1849="","",INDEX('01_Rohdaten'!B1849:D1849,'02_Eingaben'!$C$13))</f>
        <v/>
      </c>
      <c r="D1849" s="27">
        <f>IF(C1849="","",C1849*'02_Eingaben'!$C$15)</f>
        <v/>
      </c>
      <c r="E1849" s="27">
        <f>IF(D1849="","",D1849*'02_Eingaben'!$C$8)</f>
        <v/>
      </c>
      <c r="F1849" s="27">
        <f>IF(E1849="","",AVERAGE(INDEX($E$2:$E$3001,MAX(1,ROW()-1-'02_Eingaben'!$C$17)):INDEX($E$2:$E$3001,MIN('02_Eingaben'!$C$21,ROW()-1+'02_Eingaben'!$C$17))))</f>
        <v/>
      </c>
      <c r="G1849" s="27">
        <f>IF(F1849="","",F1849-'02_Eingaben'!$C$10)</f>
        <v/>
      </c>
      <c r="H1849">
        <f>IF(F1849="","",IF(F1849&lt;'02_Eingaben'!$C$18*'02_Eingaben'!$C$10,1,0))</f>
        <v/>
      </c>
      <c r="I1849" s="27">
        <f>IF(OR(G1849="",G1850=""),"",(G1849+G1850)/2*(B1850-B1849))</f>
        <v/>
      </c>
      <c r="J1849" s="27">
        <f>IF(B1849="","",IF(B1848&lt;'02_Eingaben'!$C$36,0,J1848+I1848/'02_Eingaben'!$C$8))</f>
        <v/>
      </c>
    </row>
    <row r="1850">
      <c r="A1850">
        <f>IF('01_Rohdaten'!A1850="","",ROW()-1)</f>
        <v/>
      </c>
      <c r="B1850" s="27">
        <f>IF('01_Rohdaten'!A1850="","",'01_Rohdaten'!A1850)</f>
        <v/>
      </c>
      <c r="C1850" s="27">
        <f>IF(B1850="","",INDEX('01_Rohdaten'!B1850:D1850,'02_Eingaben'!$C$13))</f>
        <v/>
      </c>
      <c r="D1850" s="27">
        <f>IF(C1850="","",C1850*'02_Eingaben'!$C$15)</f>
        <v/>
      </c>
      <c r="E1850" s="27">
        <f>IF(D1850="","",D1850*'02_Eingaben'!$C$8)</f>
        <v/>
      </c>
      <c r="F1850" s="27">
        <f>IF(E1850="","",AVERAGE(INDEX($E$2:$E$3001,MAX(1,ROW()-1-'02_Eingaben'!$C$17)):INDEX($E$2:$E$3001,MIN('02_Eingaben'!$C$21,ROW()-1+'02_Eingaben'!$C$17))))</f>
        <v/>
      </c>
      <c r="G1850" s="27">
        <f>IF(F1850="","",F1850-'02_Eingaben'!$C$10)</f>
        <v/>
      </c>
      <c r="H1850">
        <f>IF(F1850="","",IF(F1850&lt;'02_Eingaben'!$C$18*'02_Eingaben'!$C$10,1,0))</f>
        <v/>
      </c>
      <c r="I1850" s="27">
        <f>IF(OR(G1850="",G1851=""),"",(G1850+G1851)/2*(B1851-B1850))</f>
        <v/>
      </c>
      <c r="J1850" s="27">
        <f>IF(B1850="","",IF(B1849&lt;'02_Eingaben'!$C$36,0,J1849+I1849/'02_Eingaben'!$C$8))</f>
        <v/>
      </c>
    </row>
    <row r="1851">
      <c r="A1851">
        <f>IF('01_Rohdaten'!A1851="","",ROW()-1)</f>
        <v/>
      </c>
      <c r="B1851" s="27">
        <f>IF('01_Rohdaten'!A1851="","",'01_Rohdaten'!A1851)</f>
        <v/>
      </c>
      <c r="C1851" s="27">
        <f>IF(B1851="","",INDEX('01_Rohdaten'!B1851:D1851,'02_Eingaben'!$C$13))</f>
        <v/>
      </c>
      <c r="D1851" s="27">
        <f>IF(C1851="","",C1851*'02_Eingaben'!$C$15)</f>
        <v/>
      </c>
      <c r="E1851" s="27">
        <f>IF(D1851="","",D1851*'02_Eingaben'!$C$8)</f>
        <v/>
      </c>
      <c r="F1851" s="27">
        <f>IF(E1851="","",AVERAGE(INDEX($E$2:$E$3001,MAX(1,ROW()-1-'02_Eingaben'!$C$17)):INDEX($E$2:$E$3001,MIN('02_Eingaben'!$C$21,ROW()-1+'02_Eingaben'!$C$17))))</f>
        <v/>
      </c>
      <c r="G1851" s="27">
        <f>IF(F1851="","",F1851-'02_Eingaben'!$C$10)</f>
        <v/>
      </c>
      <c r="H1851">
        <f>IF(F1851="","",IF(F1851&lt;'02_Eingaben'!$C$18*'02_Eingaben'!$C$10,1,0))</f>
        <v/>
      </c>
      <c r="I1851" s="27">
        <f>IF(OR(G1851="",G1852=""),"",(G1851+G1852)/2*(B1852-B1851))</f>
        <v/>
      </c>
      <c r="J1851" s="27">
        <f>IF(B1851="","",IF(B1850&lt;'02_Eingaben'!$C$36,0,J1850+I1850/'02_Eingaben'!$C$8))</f>
        <v/>
      </c>
    </row>
    <row r="1852">
      <c r="A1852">
        <f>IF('01_Rohdaten'!A1852="","",ROW()-1)</f>
        <v/>
      </c>
      <c r="B1852" s="27">
        <f>IF('01_Rohdaten'!A1852="","",'01_Rohdaten'!A1852)</f>
        <v/>
      </c>
      <c r="C1852" s="27">
        <f>IF(B1852="","",INDEX('01_Rohdaten'!B1852:D1852,'02_Eingaben'!$C$13))</f>
        <v/>
      </c>
      <c r="D1852" s="27">
        <f>IF(C1852="","",C1852*'02_Eingaben'!$C$15)</f>
        <v/>
      </c>
      <c r="E1852" s="27">
        <f>IF(D1852="","",D1852*'02_Eingaben'!$C$8)</f>
        <v/>
      </c>
      <c r="F1852" s="27">
        <f>IF(E1852="","",AVERAGE(INDEX($E$2:$E$3001,MAX(1,ROW()-1-'02_Eingaben'!$C$17)):INDEX($E$2:$E$3001,MIN('02_Eingaben'!$C$21,ROW()-1+'02_Eingaben'!$C$17))))</f>
        <v/>
      </c>
      <c r="G1852" s="27">
        <f>IF(F1852="","",F1852-'02_Eingaben'!$C$10)</f>
        <v/>
      </c>
      <c r="H1852">
        <f>IF(F1852="","",IF(F1852&lt;'02_Eingaben'!$C$18*'02_Eingaben'!$C$10,1,0))</f>
        <v/>
      </c>
      <c r="I1852" s="27">
        <f>IF(OR(G1852="",G1853=""),"",(G1852+G1853)/2*(B1853-B1852))</f>
        <v/>
      </c>
      <c r="J1852" s="27">
        <f>IF(B1852="","",IF(B1851&lt;'02_Eingaben'!$C$36,0,J1851+I1851/'02_Eingaben'!$C$8))</f>
        <v/>
      </c>
    </row>
    <row r="1853">
      <c r="A1853">
        <f>IF('01_Rohdaten'!A1853="","",ROW()-1)</f>
        <v/>
      </c>
      <c r="B1853" s="27">
        <f>IF('01_Rohdaten'!A1853="","",'01_Rohdaten'!A1853)</f>
        <v/>
      </c>
      <c r="C1853" s="27">
        <f>IF(B1853="","",INDEX('01_Rohdaten'!B1853:D1853,'02_Eingaben'!$C$13))</f>
        <v/>
      </c>
      <c r="D1853" s="27">
        <f>IF(C1853="","",C1853*'02_Eingaben'!$C$15)</f>
        <v/>
      </c>
      <c r="E1853" s="27">
        <f>IF(D1853="","",D1853*'02_Eingaben'!$C$8)</f>
        <v/>
      </c>
      <c r="F1853" s="27">
        <f>IF(E1853="","",AVERAGE(INDEX($E$2:$E$3001,MAX(1,ROW()-1-'02_Eingaben'!$C$17)):INDEX($E$2:$E$3001,MIN('02_Eingaben'!$C$21,ROW()-1+'02_Eingaben'!$C$17))))</f>
        <v/>
      </c>
      <c r="G1853" s="27">
        <f>IF(F1853="","",F1853-'02_Eingaben'!$C$10)</f>
        <v/>
      </c>
      <c r="H1853">
        <f>IF(F1853="","",IF(F1853&lt;'02_Eingaben'!$C$18*'02_Eingaben'!$C$10,1,0))</f>
        <v/>
      </c>
      <c r="I1853" s="27">
        <f>IF(OR(G1853="",G1854=""),"",(G1853+G1854)/2*(B1854-B1853))</f>
        <v/>
      </c>
      <c r="J1853" s="27">
        <f>IF(B1853="","",IF(B1852&lt;'02_Eingaben'!$C$36,0,J1852+I1852/'02_Eingaben'!$C$8))</f>
        <v/>
      </c>
    </row>
    <row r="1854">
      <c r="A1854">
        <f>IF('01_Rohdaten'!A1854="","",ROW()-1)</f>
        <v/>
      </c>
      <c r="B1854" s="27">
        <f>IF('01_Rohdaten'!A1854="","",'01_Rohdaten'!A1854)</f>
        <v/>
      </c>
      <c r="C1854" s="27">
        <f>IF(B1854="","",INDEX('01_Rohdaten'!B1854:D1854,'02_Eingaben'!$C$13))</f>
        <v/>
      </c>
      <c r="D1854" s="27">
        <f>IF(C1854="","",C1854*'02_Eingaben'!$C$15)</f>
        <v/>
      </c>
      <c r="E1854" s="27">
        <f>IF(D1854="","",D1854*'02_Eingaben'!$C$8)</f>
        <v/>
      </c>
      <c r="F1854" s="27">
        <f>IF(E1854="","",AVERAGE(INDEX($E$2:$E$3001,MAX(1,ROW()-1-'02_Eingaben'!$C$17)):INDEX($E$2:$E$3001,MIN('02_Eingaben'!$C$21,ROW()-1+'02_Eingaben'!$C$17))))</f>
        <v/>
      </c>
      <c r="G1854" s="27">
        <f>IF(F1854="","",F1854-'02_Eingaben'!$C$10)</f>
        <v/>
      </c>
      <c r="H1854">
        <f>IF(F1854="","",IF(F1854&lt;'02_Eingaben'!$C$18*'02_Eingaben'!$C$10,1,0))</f>
        <v/>
      </c>
      <c r="I1854" s="27">
        <f>IF(OR(G1854="",G1855=""),"",(G1854+G1855)/2*(B1855-B1854))</f>
        <v/>
      </c>
      <c r="J1854" s="27">
        <f>IF(B1854="","",IF(B1853&lt;'02_Eingaben'!$C$36,0,J1853+I1853/'02_Eingaben'!$C$8))</f>
        <v/>
      </c>
    </row>
    <row r="1855">
      <c r="A1855">
        <f>IF('01_Rohdaten'!A1855="","",ROW()-1)</f>
        <v/>
      </c>
      <c r="B1855" s="27">
        <f>IF('01_Rohdaten'!A1855="","",'01_Rohdaten'!A1855)</f>
        <v/>
      </c>
      <c r="C1855" s="27">
        <f>IF(B1855="","",INDEX('01_Rohdaten'!B1855:D1855,'02_Eingaben'!$C$13))</f>
        <v/>
      </c>
      <c r="D1855" s="27">
        <f>IF(C1855="","",C1855*'02_Eingaben'!$C$15)</f>
        <v/>
      </c>
      <c r="E1855" s="27">
        <f>IF(D1855="","",D1855*'02_Eingaben'!$C$8)</f>
        <v/>
      </c>
      <c r="F1855" s="27">
        <f>IF(E1855="","",AVERAGE(INDEX($E$2:$E$3001,MAX(1,ROW()-1-'02_Eingaben'!$C$17)):INDEX($E$2:$E$3001,MIN('02_Eingaben'!$C$21,ROW()-1+'02_Eingaben'!$C$17))))</f>
        <v/>
      </c>
      <c r="G1855" s="27">
        <f>IF(F1855="","",F1855-'02_Eingaben'!$C$10)</f>
        <v/>
      </c>
      <c r="H1855">
        <f>IF(F1855="","",IF(F1855&lt;'02_Eingaben'!$C$18*'02_Eingaben'!$C$10,1,0))</f>
        <v/>
      </c>
      <c r="I1855" s="27">
        <f>IF(OR(G1855="",G1856=""),"",(G1855+G1856)/2*(B1856-B1855))</f>
        <v/>
      </c>
      <c r="J1855" s="27">
        <f>IF(B1855="","",IF(B1854&lt;'02_Eingaben'!$C$36,0,J1854+I1854/'02_Eingaben'!$C$8))</f>
        <v/>
      </c>
    </row>
    <row r="1856">
      <c r="A1856">
        <f>IF('01_Rohdaten'!A1856="","",ROW()-1)</f>
        <v/>
      </c>
      <c r="B1856" s="27">
        <f>IF('01_Rohdaten'!A1856="","",'01_Rohdaten'!A1856)</f>
        <v/>
      </c>
      <c r="C1856" s="27">
        <f>IF(B1856="","",INDEX('01_Rohdaten'!B1856:D1856,'02_Eingaben'!$C$13))</f>
        <v/>
      </c>
      <c r="D1856" s="27">
        <f>IF(C1856="","",C1856*'02_Eingaben'!$C$15)</f>
        <v/>
      </c>
      <c r="E1856" s="27">
        <f>IF(D1856="","",D1856*'02_Eingaben'!$C$8)</f>
        <v/>
      </c>
      <c r="F1856" s="27">
        <f>IF(E1856="","",AVERAGE(INDEX($E$2:$E$3001,MAX(1,ROW()-1-'02_Eingaben'!$C$17)):INDEX($E$2:$E$3001,MIN('02_Eingaben'!$C$21,ROW()-1+'02_Eingaben'!$C$17))))</f>
        <v/>
      </c>
      <c r="G1856" s="27">
        <f>IF(F1856="","",F1856-'02_Eingaben'!$C$10)</f>
        <v/>
      </c>
      <c r="H1856">
        <f>IF(F1856="","",IF(F1856&lt;'02_Eingaben'!$C$18*'02_Eingaben'!$C$10,1,0))</f>
        <v/>
      </c>
      <c r="I1856" s="27">
        <f>IF(OR(G1856="",G1857=""),"",(G1856+G1857)/2*(B1857-B1856))</f>
        <v/>
      </c>
      <c r="J1856" s="27">
        <f>IF(B1856="","",IF(B1855&lt;'02_Eingaben'!$C$36,0,J1855+I1855/'02_Eingaben'!$C$8))</f>
        <v/>
      </c>
    </row>
    <row r="1857">
      <c r="A1857">
        <f>IF('01_Rohdaten'!A1857="","",ROW()-1)</f>
        <v/>
      </c>
      <c r="B1857" s="27">
        <f>IF('01_Rohdaten'!A1857="","",'01_Rohdaten'!A1857)</f>
        <v/>
      </c>
      <c r="C1857" s="27">
        <f>IF(B1857="","",INDEX('01_Rohdaten'!B1857:D1857,'02_Eingaben'!$C$13))</f>
        <v/>
      </c>
      <c r="D1857" s="27">
        <f>IF(C1857="","",C1857*'02_Eingaben'!$C$15)</f>
        <v/>
      </c>
      <c r="E1857" s="27">
        <f>IF(D1857="","",D1857*'02_Eingaben'!$C$8)</f>
        <v/>
      </c>
      <c r="F1857" s="27">
        <f>IF(E1857="","",AVERAGE(INDEX($E$2:$E$3001,MAX(1,ROW()-1-'02_Eingaben'!$C$17)):INDEX($E$2:$E$3001,MIN('02_Eingaben'!$C$21,ROW()-1+'02_Eingaben'!$C$17))))</f>
        <v/>
      </c>
      <c r="G1857" s="27">
        <f>IF(F1857="","",F1857-'02_Eingaben'!$C$10)</f>
        <v/>
      </c>
      <c r="H1857">
        <f>IF(F1857="","",IF(F1857&lt;'02_Eingaben'!$C$18*'02_Eingaben'!$C$10,1,0))</f>
        <v/>
      </c>
      <c r="I1857" s="27">
        <f>IF(OR(G1857="",G1858=""),"",(G1857+G1858)/2*(B1858-B1857))</f>
        <v/>
      </c>
      <c r="J1857" s="27">
        <f>IF(B1857="","",IF(B1856&lt;'02_Eingaben'!$C$36,0,J1856+I1856/'02_Eingaben'!$C$8))</f>
        <v/>
      </c>
    </row>
    <row r="1858">
      <c r="A1858">
        <f>IF('01_Rohdaten'!A1858="","",ROW()-1)</f>
        <v/>
      </c>
      <c r="B1858" s="27">
        <f>IF('01_Rohdaten'!A1858="","",'01_Rohdaten'!A1858)</f>
        <v/>
      </c>
      <c r="C1858" s="27">
        <f>IF(B1858="","",INDEX('01_Rohdaten'!B1858:D1858,'02_Eingaben'!$C$13))</f>
        <v/>
      </c>
      <c r="D1858" s="27">
        <f>IF(C1858="","",C1858*'02_Eingaben'!$C$15)</f>
        <v/>
      </c>
      <c r="E1858" s="27">
        <f>IF(D1858="","",D1858*'02_Eingaben'!$C$8)</f>
        <v/>
      </c>
      <c r="F1858" s="27">
        <f>IF(E1858="","",AVERAGE(INDEX($E$2:$E$3001,MAX(1,ROW()-1-'02_Eingaben'!$C$17)):INDEX($E$2:$E$3001,MIN('02_Eingaben'!$C$21,ROW()-1+'02_Eingaben'!$C$17))))</f>
        <v/>
      </c>
      <c r="G1858" s="27">
        <f>IF(F1858="","",F1858-'02_Eingaben'!$C$10)</f>
        <v/>
      </c>
      <c r="H1858">
        <f>IF(F1858="","",IF(F1858&lt;'02_Eingaben'!$C$18*'02_Eingaben'!$C$10,1,0))</f>
        <v/>
      </c>
      <c r="I1858" s="27">
        <f>IF(OR(G1858="",G1859=""),"",(G1858+G1859)/2*(B1859-B1858))</f>
        <v/>
      </c>
      <c r="J1858" s="27">
        <f>IF(B1858="","",IF(B1857&lt;'02_Eingaben'!$C$36,0,J1857+I1857/'02_Eingaben'!$C$8))</f>
        <v/>
      </c>
    </row>
    <row r="1859">
      <c r="A1859">
        <f>IF('01_Rohdaten'!A1859="","",ROW()-1)</f>
        <v/>
      </c>
      <c r="B1859" s="27">
        <f>IF('01_Rohdaten'!A1859="","",'01_Rohdaten'!A1859)</f>
        <v/>
      </c>
      <c r="C1859" s="27">
        <f>IF(B1859="","",INDEX('01_Rohdaten'!B1859:D1859,'02_Eingaben'!$C$13))</f>
        <v/>
      </c>
      <c r="D1859" s="27">
        <f>IF(C1859="","",C1859*'02_Eingaben'!$C$15)</f>
        <v/>
      </c>
      <c r="E1859" s="27">
        <f>IF(D1859="","",D1859*'02_Eingaben'!$C$8)</f>
        <v/>
      </c>
      <c r="F1859" s="27">
        <f>IF(E1859="","",AVERAGE(INDEX($E$2:$E$3001,MAX(1,ROW()-1-'02_Eingaben'!$C$17)):INDEX($E$2:$E$3001,MIN('02_Eingaben'!$C$21,ROW()-1+'02_Eingaben'!$C$17))))</f>
        <v/>
      </c>
      <c r="G1859" s="27">
        <f>IF(F1859="","",F1859-'02_Eingaben'!$C$10)</f>
        <v/>
      </c>
      <c r="H1859">
        <f>IF(F1859="","",IF(F1859&lt;'02_Eingaben'!$C$18*'02_Eingaben'!$C$10,1,0))</f>
        <v/>
      </c>
      <c r="I1859" s="27">
        <f>IF(OR(G1859="",G1860=""),"",(G1859+G1860)/2*(B1860-B1859))</f>
        <v/>
      </c>
      <c r="J1859" s="27">
        <f>IF(B1859="","",IF(B1858&lt;'02_Eingaben'!$C$36,0,J1858+I1858/'02_Eingaben'!$C$8))</f>
        <v/>
      </c>
    </row>
    <row r="1860">
      <c r="A1860">
        <f>IF('01_Rohdaten'!A1860="","",ROW()-1)</f>
        <v/>
      </c>
      <c r="B1860" s="27">
        <f>IF('01_Rohdaten'!A1860="","",'01_Rohdaten'!A1860)</f>
        <v/>
      </c>
      <c r="C1860" s="27">
        <f>IF(B1860="","",INDEX('01_Rohdaten'!B1860:D1860,'02_Eingaben'!$C$13))</f>
        <v/>
      </c>
      <c r="D1860" s="27">
        <f>IF(C1860="","",C1860*'02_Eingaben'!$C$15)</f>
        <v/>
      </c>
      <c r="E1860" s="27">
        <f>IF(D1860="","",D1860*'02_Eingaben'!$C$8)</f>
        <v/>
      </c>
      <c r="F1860" s="27">
        <f>IF(E1860="","",AVERAGE(INDEX($E$2:$E$3001,MAX(1,ROW()-1-'02_Eingaben'!$C$17)):INDEX($E$2:$E$3001,MIN('02_Eingaben'!$C$21,ROW()-1+'02_Eingaben'!$C$17))))</f>
        <v/>
      </c>
      <c r="G1860" s="27">
        <f>IF(F1860="","",F1860-'02_Eingaben'!$C$10)</f>
        <v/>
      </c>
      <c r="H1860">
        <f>IF(F1860="","",IF(F1860&lt;'02_Eingaben'!$C$18*'02_Eingaben'!$C$10,1,0))</f>
        <v/>
      </c>
      <c r="I1860" s="27">
        <f>IF(OR(G1860="",G1861=""),"",(G1860+G1861)/2*(B1861-B1860))</f>
        <v/>
      </c>
      <c r="J1860" s="27">
        <f>IF(B1860="","",IF(B1859&lt;'02_Eingaben'!$C$36,0,J1859+I1859/'02_Eingaben'!$C$8))</f>
        <v/>
      </c>
    </row>
    <row r="1861">
      <c r="A1861">
        <f>IF('01_Rohdaten'!A1861="","",ROW()-1)</f>
        <v/>
      </c>
      <c r="B1861" s="27">
        <f>IF('01_Rohdaten'!A1861="","",'01_Rohdaten'!A1861)</f>
        <v/>
      </c>
      <c r="C1861" s="27">
        <f>IF(B1861="","",INDEX('01_Rohdaten'!B1861:D1861,'02_Eingaben'!$C$13))</f>
        <v/>
      </c>
      <c r="D1861" s="27">
        <f>IF(C1861="","",C1861*'02_Eingaben'!$C$15)</f>
        <v/>
      </c>
      <c r="E1861" s="27">
        <f>IF(D1861="","",D1861*'02_Eingaben'!$C$8)</f>
        <v/>
      </c>
      <c r="F1861" s="27">
        <f>IF(E1861="","",AVERAGE(INDEX($E$2:$E$3001,MAX(1,ROW()-1-'02_Eingaben'!$C$17)):INDEX($E$2:$E$3001,MIN('02_Eingaben'!$C$21,ROW()-1+'02_Eingaben'!$C$17))))</f>
        <v/>
      </c>
      <c r="G1861" s="27">
        <f>IF(F1861="","",F1861-'02_Eingaben'!$C$10)</f>
        <v/>
      </c>
      <c r="H1861">
        <f>IF(F1861="","",IF(F1861&lt;'02_Eingaben'!$C$18*'02_Eingaben'!$C$10,1,0))</f>
        <v/>
      </c>
      <c r="I1861" s="27">
        <f>IF(OR(G1861="",G1862=""),"",(G1861+G1862)/2*(B1862-B1861))</f>
        <v/>
      </c>
      <c r="J1861" s="27">
        <f>IF(B1861="","",IF(B1860&lt;'02_Eingaben'!$C$36,0,J1860+I1860/'02_Eingaben'!$C$8))</f>
        <v/>
      </c>
    </row>
    <row r="1862">
      <c r="A1862">
        <f>IF('01_Rohdaten'!A1862="","",ROW()-1)</f>
        <v/>
      </c>
      <c r="B1862" s="27">
        <f>IF('01_Rohdaten'!A1862="","",'01_Rohdaten'!A1862)</f>
        <v/>
      </c>
      <c r="C1862" s="27">
        <f>IF(B1862="","",INDEX('01_Rohdaten'!B1862:D1862,'02_Eingaben'!$C$13))</f>
        <v/>
      </c>
      <c r="D1862" s="27">
        <f>IF(C1862="","",C1862*'02_Eingaben'!$C$15)</f>
        <v/>
      </c>
      <c r="E1862" s="27">
        <f>IF(D1862="","",D1862*'02_Eingaben'!$C$8)</f>
        <v/>
      </c>
      <c r="F1862" s="27">
        <f>IF(E1862="","",AVERAGE(INDEX($E$2:$E$3001,MAX(1,ROW()-1-'02_Eingaben'!$C$17)):INDEX($E$2:$E$3001,MIN('02_Eingaben'!$C$21,ROW()-1+'02_Eingaben'!$C$17))))</f>
        <v/>
      </c>
      <c r="G1862" s="27">
        <f>IF(F1862="","",F1862-'02_Eingaben'!$C$10)</f>
        <v/>
      </c>
      <c r="H1862">
        <f>IF(F1862="","",IF(F1862&lt;'02_Eingaben'!$C$18*'02_Eingaben'!$C$10,1,0))</f>
        <v/>
      </c>
      <c r="I1862" s="27">
        <f>IF(OR(G1862="",G1863=""),"",(G1862+G1863)/2*(B1863-B1862))</f>
        <v/>
      </c>
      <c r="J1862" s="27">
        <f>IF(B1862="","",IF(B1861&lt;'02_Eingaben'!$C$36,0,J1861+I1861/'02_Eingaben'!$C$8))</f>
        <v/>
      </c>
    </row>
    <row r="1863">
      <c r="A1863">
        <f>IF('01_Rohdaten'!A1863="","",ROW()-1)</f>
        <v/>
      </c>
      <c r="B1863" s="27">
        <f>IF('01_Rohdaten'!A1863="","",'01_Rohdaten'!A1863)</f>
        <v/>
      </c>
      <c r="C1863" s="27">
        <f>IF(B1863="","",INDEX('01_Rohdaten'!B1863:D1863,'02_Eingaben'!$C$13))</f>
        <v/>
      </c>
      <c r="D1863" s="27">
        <f>IF(C1863="","",C1863*'02_Eingaben'!$C$15)</f>
        <v/>
      </c>
      <c r="E1863" s="27">
        <f>IF(D1863="","",D1863*'02_Eingaben'!$C$8)</f>
        <v/>
      </c>
      <c r="F1863" s="27">
        <f>IF(E1863="","",AVERAGE(INDEX($E$2:$E$3001,MAX(1,ROW()-1-'02_Eingaben'!$C$17)):INDEX($E$2:$E$3001,MIN('02_Eingaben'!$C$21,ROW()-1+'02_Eingaben'!$C$17))))</f>
        <v/>
      </c>
      <c r="G1863" s="27">
        <f>IF(F1863="","",F1863-'02_Eingaben'!$C$10)</f>
        <v/>
      </c>
      <c r="H1863">
        <f>IF(F1863="","",IF(F1863&lt;'02_Eingaben'!$C$18*'02_Eingaben'!$C$10,1,0))</f>
        <v/>
      </c>
      <c r="I1863" s="27">
        <f>IF(OR(G1863="",G1864=""),"",(G1863+G1864)/2*(B1864-B1863))</f>
        <v/>
      </c>
      <c r="J1863" s="27">
        <f>IF(B1863="","",IF(B1862&lt;'02_Eingaben'!$C$36,0,J1862+I1862/'02_Eingaben'!$C$8))</f>
        <v/>
      </c>
    </row>
    <row r="1864">
      <c r="A1864">
        <f>IF('01_Rohdaten'!A1864="","",ROW()-1)</f>
        <v/>
      </c>
      <c r="B1864" s="27">
        <f>IF('01_Rohdaten'!A1864="","",'01_Rohdaten'!A1864)</f>
        <v/>
      </c>
      <c r="C1864" s="27">
        <f>IF(B1864="","",INDEX('01_Rohdaten'!B1864:D1864,'02_Eingaben'!$C$13))</f>
        <v/>
      </c>
      <c r="D1864" s="27">
        <f>IF(C1864="","",C1864*'02_Eingaben'!$C$15)</f>
        <v/>
      </c>
      <c r="E1864" s="27">
        <f>IF(D1864="","",D1864*'02_Eingaben'!$C$8)</f>
        <v/>
      </c>
      <c r="F1864" s="27">
        <f>IF(E1864="","",AVERAGE(INDEX($E$2:$E$3001,MAX(1,ROW()-1-'02_Eingaben'!$C$17)):INDEX($E$2:$E$3001,MIN('02_Eingaben'!$C$21,ROW()-1+'02_Eingaben'!$C$17))))</f>
        <v/>
      </c>
      <c r="G1864" s="27">
        <f>IF(F1864="","",F1864-'02_Eingaben'!$C$10)</f>
        <v/>
      </c>
      <c r="H1864">
        <f>IF(F1864="","",IF(F1864&lt;'02_Eingaben'!$C$18*'02_Eingaben'!$C$10,1,0))</f>
        <v/>
      </c>
      <c r="I1864" s="27">
        <f>IF(OR(G1864="",G1865=""),"",(G1864+G1865)/2*(B1865-B1864))</f>
        <v/>
      </c>
      <c r="J1864" s="27">
        <f>IF(B1864="","",IF(B1863&lt;'02_Eingaben'!$C$36,0,J1863+I1863/'02_Eingaben'!$C$8))</f>
        <v/>
      </c>
    </row>
    <row r="1865">
      <c r="A1865">
        <f>IF('01_Rohdaten'!A1865="","",ROW()-1)</f>
        <v/>
      </c>
      <c r="B1865" s="27">
        <f>IF('01_Rohdaten'!A1865="","",'01_Rohdaten'!A1865)</f>
        <v/>
      </c>
      <c r="C1865" s="27">
        <f>IF(B1865="","",INDEX('01_Rohdaten'!B1865:D1865,'02_Eingaben'!$C$13))</f>
        <v/>
      </c>
      <c r="D1865" s="27">
        <f>IF(C1865="","",C1865*'02_Eingaben'!$C$15)</f>
        <v/>
      </c>
      <c r="E1865" s="27">
        <f>IF(D1865="","",D1865*'02_Eingaben'!$C$8)</f>
        <v/>
      </c>
      <c r="F1865" s="27">
        <f>IF(E1865="","",AVERAGE(INDEX($E$2:$E$3001,MAX(1,ROW()-1-'02_Eingaben'!$C$17)):INDEX($E$2:$E$3001,MIN('02_Eingaben'!$C$21,ROW()-1+'02_Eingaben'!$C$17))))</f>
        <v/>
      </c>
      <c r="G1865" s="27">
        <f>IF(F1865="","",F1865-'02_Eingaben'!$C$10)</f>
        <v/>
      </c>
      <c r="H1865">
        <f>IF(F1865="","",IF(F1865&lt;'02_Eingaben'!$C$18*'02_Eingaben'!$C$10,1,0))</f>
        <v/>
      </c>
      <c r="I1865" s="27">
        <f>IF(OR(G1865="",G1866=""),"",(G1865+G1866)/2*(B1866-B1865))</f>
        <v/>
      </c>
      <c r="J1865" s="27">
        <f>IF(B1865="","",IF(B1864&lt;'02_Eingaben'!$C$36,0,J1864+I1864/'02_Eingaben'!$C$8))</f>
        <v/>
      </c>
    </row>
    <row r="1866">
      <c r="A1866">
        <f>IF('01_Rohdaten'!A1866="","",ROW()-1)</f>
        <v/>
      </c>
      <c r="B1866" s="27">
        <f>IF('01_Rohdaten'!A1866="","",'01_Rohdaten'!A1866)</f>
        <v/>
      </c>
      <c r="C1866" s="27">
        <f>IF(B1866="","",INDEX('01_Rohdaten'!B1866:D1866,'02_Eingaben'!$C$13))</f>
        <v/>
      </c>
      <c r="D1866" s="27">
        <f>IF(C1866="","",C1866*'02_Eingaben'!$C$15)</f>
        <v/>
      </c>
      <c r="E1866" s="27">
        <f>IF(D1866="","",D1866*'02_Eingaben'!$C$8)</f>
        <v/>
      </c>
      <c r="F1866" s="27">
        <f>IF(E1866="","",AVERAGE(INDEX($E$2:$E$3001,MAX(1,ROW()-1-'02_Eingaben'!$C$17)):INDEX($E$2:$E$3001,MIN('02_Eingaben'!$C$21,ROW()-1+'02_Eingaben'!$C$17))))</f>
        <v/>
      </c>
      <c r="G1866" s="27">
        <f>IF(F1866="","",F1866-'02_Eingaben'!$C$10)</f>
        <v/>
      </c>
      <c r="H1866">
        <f>IF(F1866="","",IF(F1866&lt;'02_Eingaben'!$C$18*'02_Eingaben'!$C$10,1,0))</f>
        <v/>
      </c>
      <c r="I1866" s="27">
        <f>IF(OR(G1866="",G1867=""),"",(G1866+G1867)/2*(B1867-B1866))</f>
        <v/>
      </c>
      <c r="J1866" s="27">
        <f>IF(B1866="","",IF(B1865&lt;'02_Eingaben'!$C$36,0,J1865+I1865/'02_Eingaben'!$C$8))</f>
        <v/>
      </c>
    </row>
    <row r="1867">
      <c r="A1867">
        <f>IF('01_Rohdaten'!A1867="","",ROW()-1)</f>
        <v/>
      </c>
      <c r="B1867" s="27">
        <f>IF('01_Rohdaten'!A1867="","",'01_Rohdaten'!A1867)</f>
        <v/>
      </c>
      <c r="C1867" s="27">
        <f>IF(B1867="","",INDEX('01_Rohdaten'!B1867:D1867,'02_Eingaben'!$C$13))</f>
        <v/>
      </c>
      <c r="D1867" s="27">
        <f>IF(C1867="","",C1867*'02_Eingaben'!$C$15)</f>
        <v/>
      </c>
      <c r="E1867" s="27">
        <f>IF(D1867="","",D1867*'02_Eingaben'!$C$8)</f>
        <v/>
      </c>
      <c r="F1867" s="27">
        <f>IF(E1867="","",AVERAGE(INDEX($E$2:$E$3001,MAX(1,ROW()-1-'02_Eingaben'!$C$17)):INDEX($E$2:$E$3001,MIN('02_Eingaben'!$C$21,ROW()-1+'02_Eingaben'!$C$17))))</f>
        <v/>
      </c>
      <c r="G1867" s="27">
        <f>IF(F1867="","",F1867-'02_Eingaben'!$C$10)</f>
        <v/>
      </c>
      <c r="H1867">
        <f>IF(F1867="","",IF(F1867&lt;'02_Eingaben'!$C$18*'02_Eingaben'!$C$10,1,0))</f>
        <v/>
      </c>
      <c r="I1867" s="27">
        <f>IF(OR(G1867="",G1868=""),"",(G1867+G1868)/2*(B1868-B1867))</f>
        <v/>
      </c>
      <c r="J1867" s="27">
        <f>IF(B1867="","",IF(B1866&lt;'02_Eingaben'!$C$36,0,J1866+I1866/'02_Eingaben'!$C$8))</f>
        <v/>
      </c>
    </row>
    <row r="1868">
      <c r="A1868">
        <f>IF('01_Rohdaten'!A1868="","",ROW()-1)</f>
        <v/>
      </c>
      <c r="B1868" s="27">
        <f>IF('01_Rohdaten'!A1868="","",'01_Rohdaten'!A1868)</f>
        <v/>
      </c>
      <c r="C1868" s="27">
        <f>IF(B1868="","",INDEX('01_Rohdaten'!B1868:D1868,'02_Eingaben'!$C$13))</f>
        <v/>
      </c>
      <c r="D1868" s="27">
        <f>IF(C1868="","",C1868*'02_Eingaben'!$C$15)</f>
        <v/>
      </c>
      <c r="E1868" s="27">
        <f>IF(D1868="","",D1868*'02_Eingaben'!$C$8)</f>
        <v/>
      </c>
      <c r="F1868" s="27">
        <f>IF(E1868="","",AVERAGE(INDEX($E$2:$E$3001,MAX(1,ROW()-1-'02_Eingaben'!$C$17)):INDEX($E$2:$E$3001,MIN('02_Eingaben'!$C$21,ROW()-1+'02_Eingaben'!$C$17))))</f>
        <v/>
      </c>
      <c r="G1868" s="27">
        <f>IF(F1868="","",F1868-'02_Eingaben'!$C$10)</f>
        <v/>
      </c>
      <c r="H1868">
        <f>IF(F1868="","",IF(F1868&lt;'02_Eingaben'!$C$18*'02_Eingaben'!$C$10,1,0))</f>
        <v/>
      </c>
      <c r="I1868" s="27">
        <f>IF(OR(G1868="",G1869=""),"",(G1868+G1869)/2*(B1869-B1868))</f>
        <v/>
      </c>
      <c r="J1868" s="27">
        <f>IF(B1868="","",IF(B1867&lt;'02_Eingaben'!$C$36,0,J1867+I1867/'02_Eingaben'!$C$8))</f>
        <v/>
      </c>
    </row>
    <row r="1869">
      <c r="A1869">
        <f>IF('01_Rohdaten'!A1869="","",ROW()-1)</f>
        <v/>
      </c>
      <c r="B1869" s="27">
        <f>IF('01_Rohdaten'!A1869="","",'01_Rohdaten'!A1869)</f>
        <v/>
      </c>
      <c r="C1869" s="27">
        <f>IF(B1869="","",INDEX('01_Rohdaten'!B1869:D1869,'02_Eingaben'!$C$13))</f>
        <v/>
      </c>
      <c r="D1869" s="27">
        <f>IF(C1869="","",C1869*'02_Eingaben'!$C$15)</f>
        <v/>
      </c>
      <c r="E1869" s="27">
        <f>IF(D1869="","",D1869*'02_Eingaben'!$C$8)</f>
        <v/>
      </c>
      <c r="F1869" s="27">
        <f>IF(E1869="","",AVERAGE(INDEX($E$2:$E$3001,MAX(1,ROW()-1-'02_Eingaben'!$C$17)):INDEX($E$2:$E$3001,MIN('02_Eingaben'!$C$21,ROW()-1+'02_Eingaben'!$C$17))))</f>
        <v/>
      </c>
      <c r="G1869" s="27">
        <f>IF(F1869="","",F1869-'02_Eingaben'!$C$10)</f>
        <v/>
      </c>
      <c r="H1869">
        <f>IF(F1869="","",IF(F1869&lt;'02_Eingaben'!$C$18*'02_Eingaben'!$C$10,1,0))</f>
        <v/>
      </c>
      <c r="I1869" s="27">
        <f>IF(OR(G1869="",G1870=""),"",(G1869+G1870)/2*(B1870-B1869))</f>
        <v/>
      </c>
      <c r="J1869" s="27">
        <f>IF(B1869="","",IF(B1868&lt;'02_Eingaben'!$C$36,0,J1868+I1868/'02_Eingaben'!$C$8))</f>
        <v/>
      </c>
    </row>
    <row r="1870">
      <c r="A1870">
        <f>IF('01_Rohdaten'!A1870="","",ROW()-1)</f>
        <v/>
      </c>
      <c r="B1870" s="27">
        <f>IF('01_Rohdaten'!A1870="","",'01_Rohdaten'!A1870)</f>
        <v/>
      </c>
      <c r="C1870" s="27">
        <f>IF(B1870="","",INDEX('01_Rohdaten'!B1870:D1870,'02_Eingaben'!$C$13))</f>
        <v/>
      </c>
      <c r="D1870" s="27">
        <f>IF(C1870="","",C1870*'02_Eingaben'!$C$15)</f>
        <v/>
      </c>
      <c r="E1870" s="27">
        <f>IF(D1870="","",D1870*'02_Eingaben'!$C$8)</f>
        <v/>
      </c>
      <c r="F1870" s="27">
        <f>IF(E1870="","",AVERAGE(INDEX($E$2:$E$3001,MAX(1,ROW()-1-'02_Eingaben'!$C$17)):INDEX($E$2:$E$3001,MIN('02_Eingaben'!$C$21,ROW()-1+'02_Eingaben'!$C$17))))</f>
        <v/>
      </c>
      <c r="G1870" s="27">
        <f>IF(F1870="","",F1870-'02_Eingaben'!$C$10)</f>
        <v/>
      </c>
      <c r="H1870">
        <f>IF(F1870="","",IF(F1870&lt;'02_Eingaben'!$C$18*'02_Eingaben'!$C$10,1,0))</f>
        <v/>
      </c>
      <c r="I1870" s="27">
        <f>IF(OR(G1870="",G1871=""),"",(G1870+G1871)/2*(B1871-B1870))</f>
        <v/>
      </c>
      <c r="J1870" s="27">
        <f>IF(B1870="","",IF(B1869&lt;'02_Eingaben'!$C$36,0,J1869+I1869/'02_Eingaben'!$C$8))</f>
        <v/>
      </c>
    </row>
    <row r="1871">
      <c r="A1871">
        <f>IF('01_Rohdaten'!A1871="","",ROW()-1)</f>
        <v/>
      </c>
      <c r="B1871" s="27">
        <f>IF('01_Rohdaten'!A1871="","",'01_Rohdaten'!A1871)</f>
        <v/>
      </c>
      <c r="C1871" s="27">
        <f>IF(B1871="","",INDEX('01_Rohdaten'!B1871:D1871,'02_Eingaben'!$C$13))</f>
        <v/>
      </c>
      <c r="D1871" s="27">
        <f>IF(C1871="","",C1871*'02_Eingaben'!$C$15)</f>
        <v/>
      </c>
      <c r="E1871" s="27">
        <f>IF(D1871="","",D1871*'02_Eingaben'!$C$8)</f>
        <v/>
      </c>
      <c r="F1871" s="27">
        <f>IF(E1871="","",AVERAGE(INDEX($E$2:$E$3001,MAX(1,ROW()-1-'02_Eingaben'!$C$17)):INDEX($E$2:$E$3001,MIN('02_Eingaben'!$C$21,ROW()-1+'02_Eingaben'!$C$17))))</f>
        <v/>
      </c>
      <c r="G1871" s="27">
        <f>IF(F1871="","",F1871-'02_Eingaben'!$C$10)</f>
        <v/>
      </c>
      <c r="H1871">
        <f>IF(F1871="","",IF(F1871&lt;'02_Eingaben'!$C$18*'02_Eingaben'!$C$10,1,0))</f>
        <v/>
      </c>
      <c r="I1871" s="27">
        <f>IF(OR(G1871="",G1872=""),"",(G1871+G1872)/2*(B1872-B1871))</f>
        <v/>
      </c>
      <c r="J1871" s="27">
        <f>IF(B1871="","",IF(B1870&lt;'02_Eingaben'!$C$36,0,J1870+I1870/'02_Eingaben'!$C$8))</f>
        <v/>
      </c>
    </row>
    <row r="1872">
      <c r="A1872">
        <f>IF('01_Rohdaten'!A1872="","",ROW()-1)</f>
        <v/>
      </c>
      <c r="B1872" s="27">
        <f>IF('01_Rohdaten'!A1872="","",'01_Rohdaten'!A1872)</f>
        <v/>
      </c>
      <c r="C1872" s="27">
        <f>IF(B1872="","",INDEX('01_Rohdaten'!B1872:D1872,'02_Eingaben'!$C$13))</f>
        <v/>
      </c>
      <c r="D1872" s="27">
        <f>IF(C1872="","",C1872*'02_Eingaben'!$C$15)</f>
        <v/>
      </c>
      <c r="E1872" s="27">
        <f>IF(D1872="","",D1872*'02_Eingaben'!$C$8)</f>
        <v/>
      </c>
      <c r="F1872" s="27">
        <f>IF(E1872="","",AVERAGE(INDEX($E$2:$E$3001,MAX(1,ROW()-1-'02_Eingaben'!$C$17)):INDEX($E$2:$E$3001,MIN('02_Eingaben'!$C$21,ROW()-1+'02_Eingaben'!$C$17))))</f>
        <v/>
      </c>
      <c r="G1872" s="27">
        <f>IF(F1872="","",F1872-'02_Eingaben'!$C$10)</f>
        <v/>
      </c>
      <c r="H1872">
        <f>IF(F1872="","",IF(F1872&lt;'02_Eingaben'!$C$18*'02_Eingaben'!$C$10,1,0))</f>
        <v/>
      </c>
      <c r="I1872" s="27">
        <f>IF(OR(G1872="",G1873=""),"",(G1872+G1873)/2*(B1873-B1872))</f>
        <v/>
      </c>
      <c r="J1872" s="27">
        <f>IF(B1872="","",IF(B1871&lt;'02_Eingaben'!$C$36,0,J1871+I1871/'02_Eingaben'!$C$8))</f>
        <v/>
      </c>
    </row>
    <row r="1873">
      <c r="A1873">
        <f>IF('01_Rohdaten'!A1873="","",ROW()-1)</f>
        <v/>
      </c>
      <c r="B1873" s="27">
        <f>IF('01_Rohdaten'!A1873="","",'01_Rohdaten'!A1873)</f>
        <v/>
      </c>
      <c r="C1873" s="27">
        <f>IF(B1873="","",INDEX('01_Rohdaten'!B1873:D1873,'02_Eingaben'!$C$13))</f>
        <v/>
      </c>
      <c r="D1873" s="27">
        <f>IF(C1873="","",C1873*'02_Eingaben'!$C$15)</f>
        <v/>
      </c>
      <c r="E1873" s="27">
        <f>IF(D1873="","",D1873*'02_Eingaben'!$C$8)</f>
        <v/>
      </c>
      <c r="F1873" s="27">
        <f>IF(E1873="","",AVERAGE(INDEX($E$2:$E$3001,MAX(1,ROW()-1-'02_Eingaben'!$C$17)):INDEX($E$2:$E$3001,MIN('02_Eingaben'!$C$21,ROW()-1+'02_Eingaben'!$C$17))))</f>
        <v/>
      </c>
      <c r="G1873" s="27">
        <f>IF(F1873="","",F1873-'02_Eingaben'!$C$10)</f>
        <v/>
      </c>
      <c r="H1873">
        <f>IF(F1873="","",IF(F1873&lt;'02_Eingaben'!$C$18*'02_Eingaben'!$C$10,1,0))</f>
        <v/>
      </c>
      <c r="I1873" s="27">
        <f>IF(OR(G1873="",G1874=""),"",(G1873+G1874)/2*(B1874-B1873))</f>
        <v/>
      </c>
      <c r="J1873" s="27">
        <f>IF(B1873="","",IF(B1872&lt;'02_Eingaben'!$C$36,0,J1872+I1872/'02_Eingaben'!$C$8))</f>
        <v/>
      </c>
    </row>
    <row r="1874">
      <c r="A1874">
        <f>IF('01_Rohdaten'!A1874="","",ROW()-1)</f>
        <v/>
      </c>
      <c r="B1874" s="27">
        <f>IF('01_Rohdaten'!A1874="","",'01_Rohdaten'!A1874)</f>
        <v/>
      </c>
      <c r="C1874" s="27">
        <f>IF(B1874="","",INDEX('01_Rohdaten'!B1874:D1874,'02_Eingaben'!$C$13))</f>
        <v/>
      </c>
      <c r="D1874" s="27">
        <f>IF(C1874="","",C1874*'02_Eingaben'!$C$15)</f>
        <v/>
      </c>
      <c r="E1874" s="27">
        <f>IF(D1874="","",D1874*'02_Eingaben'!$C$8)</f>
        <v/>
      </c>
      <c r="F1874" s="27">
        <f>IF(E1874="","",AVERAGE(INDEX($E$2:$E$3001,MAX(1,ROW()-1-'02_Eingaben'!$C$17)):INDEX($E$2:$E$3001,MIN('02_Eingaben'!$C$21,ROW()-1+'02_Eingaben'!$C$17))))</f>
        <v/>
      </c>
      <c r="G1874" s="27">
        <f>IF(F1874="","",F1874-'02_Eingaben'!$C$10)</f>
        <v/>
      </c>
      <c r="H1874">
        <f>IF(F1874="","",IF(F1874&lt;'02_Eingaben'!$C$18*'02_Eingaben'!$C$10,1,0))</f>
        <v/>
      </c>
      <c r="I1874" s="27">
        <f>IF(OR(G1874="",G1875=""),"",(G1874+G1875)/2*(B1875-B1874))</f>
        <v/>
      </c>
      <c r="J1874" s="27">
        <f>IF(B1874="","",IF(B1873&lt;'02_Eingaben'!$C$36,0,J1873+I1873/'02_Eingaben'!$C$8))</f>
        <v/>
      </c>
    </row>
    <row r="1875">
      <c r="A1875">
        <f>IF('01_Rohdaten'!A1875="","",ROW()-1)</f>
        <v/>
      </c>
      <c r="B1875" s="27">
        <f>IF('01_Rohdaten'!A1875="","",'01_Rohdaten'!A1875)</f>
        <v/>
      </c>
      <c r="C1875" s="27">
        <f>IF(B1875="","",INDEX('01_Rohdaten'!B1875:D1875,'02_Eingaben'!$C$13))</f>
        <v/>
      </c>
      <c r="D1875" s="27">
        <f>IF(C1875="","",C1875*'02_Eingaben'!$C$15)</f>
        <v/>
      </c>
      <c r="E1875" s="27">
        <f>IF(D1875="","",D1875*'02_Eingaben'!$C$8)</f>
        <v/>
      </c>
      <c r="F1875" s="27">
        <f>IF(E1875="","",AVERAGE(INDEX($E$2:$E$3001,MAX(1,ROW()-1-'02_Eingaben'!$C$17)):INDEX($E$2:$E$3001,MIN('02_Eingaben'!$C$21,ROW()-1+'02_Eingaben'!$C$17))))</f>
        <v/>
      </c>
      <c r="G1875" s="27">
        <f>IF(F1875="","",F1875-'02_Eingaben'!$C$10)</f>
        <v/>
      </c>
      <c r="H1875">
        <f>IF(F1875="","",IF(F1875&lt;'02_Eingaben'!$C$18*'02_Eingaben'!$C$10,1,0))</f>
        <v/>
      </c>
      <c r="I1875" s="27">
        <f>IF(OR(G1875="",G1876=""),"",(G1875+G1876)/2*(B1876-B1875))</f>
        <v/>
      </c>
      <c r="J1875" s="27">
        <f>IF(B1875="","",IF(B1874&lt;'02_Eingaben'!$C$36,0,J1874+I1874/'02_Eingaben'!$C$8))</f>
        <v/>
      </c>
    </row>
    <row r="1876">
      <c r="A1876">
        <f>IF('01_Rohdaten'!A1876="","",ROW()-1)</f>
        <v/>
      </c>
      <c r="B1876" s="27">
        <f>IF('01_Rohdaten'!A1876="","",'01_Rohdaten'!A1876)</f>
        <v/>
      </c>
      <c r="C1876" s="27">
        <f>IF(B1876="","",INDEX('01_Rohdaten'!B1876:D1876,'02_Eingaben'!$C$13))</f>
        <v/>
      </c>
      <c r="D1876" s="27">
        <f>IF(C1876="","",C1876*'02_Eingaben'!$C$15)</f>
        <v/>
      </c>
      <c r="E1876" s="27">
        <f>IF(D1876="","",D1876*'02_Eingaben'!$C$8)</f>
        <v/>
      </c>
      <c r="F1876" s="27">
        <f>IF(E1876="","",AVERAGE(INDEX($E$2:$E$3001,MAX(1,ROW()-1-'02_Eingaben'!$C$17)):INDEX($E$2:$E$3001,MIN('02_Eingaben'!$C$21,ROW()-1+'02_Eingaben'!$C$17))))</f>
        <v/>
      </c>
      <c r="G1876" s="27">
        <f>IF(F1876="","",F1876-'02_Eingaben'!$C$10)</f>
        <v/>
      </c>
      <c r="H1876">
        <f>IF(F1876="","",IF(F1876&lt;'02_Eingaben'!$C$18*'02_Eingaben'!$C$10,1,0))</f>
        <v/>
      </c>
      <c r="I1876" s="27">
        <f>IF(OR(G1876="",G1877=""),"",(G1876+G1877)/2*(B1877-B1876))</f>
        <v/>
      </c>
      <c r="J1876" s="27">
        <f>IF(B1876="","",IF(B1875&lt;'02_Eingaben'!$C$36,0,J1875+I1875/'02_Eingaben'!$C$8))</f>
        <v/>
      </c>
    </row>
    <row r="1877">
      <c r="A1877">
        <f>IF('01_Rohdaten'!A1877="","",ROW()-1)</f>
        <v/>
      </c>
      <c r="B1877" s="27">
        <f>IF('01_Rohdaten'!A1877="","",'01_Rohdaten'!A1877)</f>
        <v/>
      </c>
      <c r="C1877" s="27">
        <f>IF(B1877="","",INDEX('01_Rohdaten'!B1877:D1877,'02_Eingaben'!$C$13))</f>
        <v/>
      </c>
      <c r="D1877" s="27">
        <f>IF(C1877="","",C1877*'02_Eingaben'!$C$15)</f>
        <v/>
      </c>
      <c r="E1877" s="27">
        <f>IF(D1877="","",D1877*'02_Eingaben'!$C$8)</f>
        <v/>
      </c>
      <c r="F1877" s="27">
        <f>IF(E1877="","",AVERAGE(INDEX($E$2:$E$3001,MAX(1,ROW()-1-'02_Eingaben'!$C$17)):INDEX($E$2:$E$3001,MIN('02_Eingaben'!$C$21,ROW()-1+'02_Eingaben'!$C$17))))</f>
        <v/>
      </c>
      <c r="G1877" s="27">
        <f>IF(F1877="","",F1877-'02_Eingaben'!$C$10)</f>
        <v/>
      </c>
      <c r="H1877">
        <f>IF(F1877="","",IF(F1877&lt;'02_Eingaben'!$C$18*'02_Eingaben'!$C$10,1,0))</f>
        <v/>
      </c>
      <c r="I1877" s="27">
        <f>IF(OR(G1877="",G1878=""),"",(G1877+G1878)/2*(B1878-B1877))</f>
        <v/>
      </c>
      <c r="J1877" s="27">
        <f>IF(B1877="","",IF(B1876&lt;'02_Eingaben'!$C$36,0,J1876+I1876/'02_Eingaben'!$C$8))</f>
        <v/>
      </c>
    </row>
    <row r="1878">
      <c r="A1878">
        <f>IF('01_Rohdaten'!A1878="","",ROW()-1)</f>
        <v/>
      </c>
      <c r="B1878" s="27">
        <f>IF('01_Rohdaten'!A1878="","",'01_Rohdaten'!A1878)</f>
        <v/>
      </c>
      <c r="C1878" s="27">
        <f>IF(B1878="","",INDEX('01_Rohdaten'!B1878:D1878,'02_Eingaben'!$C$13))</f>
        <v/>
      </c>
      <c r="D1878" s="27">
        <f>IF(C1878="","",C1878*'02_Eingaben'!$C$15)</f>
        <v/>
      </c>
      <c r="E1878" s="27">
        <f>IF(D1878="","",D1878*'02_Eingaben'!$C$8)</f>
        <v/>
      </c>
      <c r="F1878" s="27">
        <f>IF(E1878="","",AVERAGE(INDEX($E$2:$E$3001,MAX(1,ROW()-1-'02_Eingaben'!$C$17)):INDEX($E$2:$E$3001,MIN('02_Eingaben'!$C$21,ROW()-1+'02_Eingaben'!$C$17))))</f>
        <v/>
      </c>
      <c r="G1878" s="27">
        <f>IF(F1878="","",F1878-'02_Eingaben'!$C$10)</f>
        <v/>
      </c>
      <c r="H1878">
        <f>IF(F1878="","",IF(F1878&lt;'02_Eingaben'!$C$18*'02_Eingaben'!$C$10,1,0))</f>
        <v/>
      </c>
      <c r="I1878" s="27">
        <f>IF(OR(G1878="",G1879=""),"",(G1878+G1879)/2*(B1879-B1878))</f>
        <v/>
      </c>
      <c r="J1878" s="27">
        <f>IF(B1878="","",IF(B1877&lt;'02_Eingaben'!$C$36,0,J1877+I1877/'02_Eingaben'!$C$8))</f>
        <v/>
      </c>
    </row>
    <row r="1879">
      <c r="A1879">
        <f>IF('01_Rohdaten'!A1879="","",ROW()-1)</f>
        <v/>
      </c>
      <c r="B1879" s="27">
        <f>IF('01_Rohdaten'!A1879="","",'01_Rohdaten'!A1879)</f>
        <v/>
      </c>
      <c r="C1879" s="27">
        <f>IF(B1879="","",INDEX('01_Rohdaten'!B1879:D1879,'02_Eingaben'!$C$13))</f>
        <v/>
      </c>
      <c r="D1879" s="27">
        <f>IF(C1879="","",C1879*'02_Eingaben'!$C$15)</f>
        <v/>
      </c>
      <c r="E1879" s="27">
        <f>IF(D1879="","",D1879*'02_Eingaben'!$C$8)</f>
        <v/>
      </c>
      <c r="F1879" s="27">
        <f>IF(E1879="","",AVERAGE(INDEX($E$2:$E$3001,MAX(1,ROW()-1-'02_Eingaben'!$C$17)):INDEX($E$2:$E$3001,MIN('02_Eingaben'!$C$21,ROW()-1+'02_Eingaben'!$C$17))))</f>
        <v/>
      </c>
      <c r="G1879" s="27">
        <f>IF(F1879="","",F1879-'02_Eingaben'!$C$10)</f>
        <v/>
      </c>
      <c r="H1879">
        <f>IF(F1879="","",IF(F1879&lt;'02_Eingaben'!$C$18*'02_Eingaben'!$C$10,1,0))</f>
        <v/>
      </c>
      <c r="I1879" s="27">
        <f>IF(OR(G1879="",G1880=""),"",(G1879+G1880)/2*(B1880-B1879))</f>
        <v/>
      </c>
      <c r="J1879" s="27">
        <f>IF(B1879="","",IF(B1878&lt;'02_Eingaben'!$C$36,0,J1878+I1878/'02_Eingaben'!$C$8))</f>
        <v/>
      </c>
    </row>
    <row r="1880">
      <c r="A1880">
        <f>IF('01_Rohdaten'!A1880="","",ROW()-1)</f>
        <v/>
      </c>
      <c r="B1880" s="27">
        <f>IF('01_Rohdaten'!A1880="","",'01_Rohdaten'!A1880)</f>
        <v/>
      </c>
      <c r="C1880" s="27">
        <f>IF(B1880="","",INDEX('01_Rohdaten'!B1880:D1880,'02_Eingaben'!$C$13))</f>
        <v/>
      </c>
      <c r="D1880" s="27">
        <f>IF(C1880="","",C1880*'02_Eingaben'!$C$15)</f>
        <v/>
      </c>
      <c r="E1880" s="27">
        <f>IF(D1880="","",D1880*'02_Eingaben'!$C$8)</f>
        <v/>
      </c>
      <c r="F1880" s="27">
        <f>IF(E1880="","",AVERAGE(INDEX($E$2:$E$3001,MAX(1,ROW()-1-'02_Eingaben'!$C$17)):INDEX($E$2:$E$3001,MIN('02_Eingaben'!$C$21,ROW()-1+'02_Eingaben'!$C$17))))</f>
        <v/>
      </c>
      <c r="G1880" s="27">
        <f>IF(F1880="","",F1880-'02_Eingaben'!$C$10)</f>
        <v/>
      </c>
      <c r="H1880">
        <f>IF(F1880="","",IF(F1880&lt;'02_Eingaben'!$C$18*'02_Eingaben'!$C$10,1,0))</f>
        <v/>
      </c>
      <c r="I1880" s="27">
        <f>IF(OR(G1880="",G1881=""),"",(G1880+G1881)/2*(B1881-B1880))</f>
        <v/>
      </c>
      <c r="J1880" s="27">
        <f>IF(B1880="","",IF(B1879&lt;'02_Eingaben'!$C$36,0,J1879+I1879/'02_Eingaben'!$C$8))</f>
        <v/>
      </c>
    </row>
    <row r="1881">
      <c r="A1881">
        <f>IF('01_Rohdaten'!A1881="","",ROW()-1)</f>
        <v/>
      </c>
      <c r="B1881" s="27">
        <f>IF('01_Rohdaten'!A1881="","",'01_Rohdaten'!A1881)</f>
        <v/>
      </c>
      <c r="C1881" s="27">
        <f>IF(B1881="","",INDEX('01_Rohdaten'!B1881:D1881,'02_Eingaben'!$C$13))</f>
        <v/>
      </c>
      <c r="D1881" s="27">
        <f>IF(C1881="","",C1881*'02_Eingaben'!$C$15)</f>
        <v/>
      </c>
      <c r="E1881" s="27">
        <f>IF(D1881="","",D1881*'02_Eingaben'!$C$8)</f>
        <v/>
      </c>
      <c r="F1881" s="27">
        <f>IF(E1881="","",AVERAGE(INDEX($E$2:$E$3001,MAX(1,ROW()-1-'02_Eingaben'!$C$17)):INDEX($E$2:$E$3001,MIN('02_Eingaben'!$C$21,ROW()-1+'02_Eingaben'!$C$17))))</f>
        <v/>
      </c>
      <c r="G1881" s="27">
        <f>IF(F1881="","",F1881-'02_Eingaben'!$C$10)</f>
        <v/>
      </c>
      <c r="H1881">
        <f>IF(F1881="","",IF(F1881&lt;'02_Eingaben'!$C$18*'02_Eingaben'!$C$10,1,0))</f>
        <v/>
      </c>
      <c r="I1881" s="27">
        <f>IF(OR(G1881="",G1882=""),"",(G1881+G1882)/2*(B1882-B1881))</f>
        <v/>
      </c>
      <c r="J1881" s="27">
        <f>IF(B1881="","",IF(B1880&lt;'02_Eingaben'!$C$36,0,J1880+I1880/'02_Eingaben'!$C$8))</f>
        <v/>
      </c>
    </row>
    <row r="1882">
      <c r="A1882">
        <f>IF('01_Rohdaten'!A1882="","",ROW()-1)</f>
        <v/>
      </c>
      <c r="B1882" s="27">
        <f>IF('01_Rohdaten'!A1882="","",'01_Rohdaten'!A1882)</f>
        <v/>
      </c>
      <c r="C1882" s="27">
        <f>IF(B1882="","",INDEX('01_Rohdaten'!B1882:D1882,'02_Eingaben'!$C$13))</f>
        <v/>
      </c>
      <c r="D1882" s="27">
        <f>IF(C1882="","",C1882*'02_Eingaben'!$C$15)</f>
        <v/>
      </c>
      <c r="E1882" s="27">
        <f>IF(D1882="","",D1882*'02_Eingaben'!$C$8)</f>
        <v/>
      </c>
      <c r="F1882" s="27">
        <f>IF(E1882="","",AVERAGE(INDEX($E$2:$E$3001,MAX(1,ROW()-1-'02_Eingaben'!$C$17)):INDEX($E$2:$E$3001,MIN('02_Eingaben'!$C$21,ROW()-1+'02_Eingaben'!$C$17))))</f>
        <v/>
      </c>
      <c r="G1882" s="27">
        <f>IF(F1882="","",F1882-'02_Eingaben'!$C$10)</f>
        <v/>
      </c>
      <c r="H1882">
        <f>IF(F1882="","",IF(F1882&lt;'02_Eingaben'!$C$18*'02_Eingaben'!$C$10,1,0))</f>
        <v/>
      </c>
      <c r="I1882" s="27">
        <f>IF(OR(G1882="",G1883=""),"",(G1882+G1883)/2*(B1883-B1882))</f>
        <v/>
      </c>
      <c r="J1882" s="27">
        <f>IF(B1882="","",IF(B1881&lt;'02_Eingaben'!$C$36,0,J1881+I1881/'02_Eingaben'!$C$8))</f>
        <v/>
      </c>
    </row>
    <row r="1883">
      <c r="A1883">
        <f>IF('01_Rohdaten'!A1883="","",ROW()-1)</f>
        <v/>
      </c>
      <c r="B1883" s="27">
        <f>IF('01_Rohdaten'!A1883="","",'01_Rohdaten'!A1883)</f>
        <v/>
      </c>
      <c r="C1883" s="27">
        <f>IF(B1883="","",INDEX('01_Rohdaten'!B1883:D1883,'02_Eingaben'!$C$13))</f>
        <v/>
      </c>
      <c r="D1883" s="27">
        <f>IF(C1883="","",C1883*'02_Eingaben'!$C$15)</f>
        <v/>
      </c>
      <c r="E1883" s="27">
        <f>IF(D1883="","",D1883*'02_Eingaben'!$C$8)</f>
        <v/>
      </c>
      <c r="F1883" s="27">
        <f>IF(E1883="","",AVERAGE(INDEX($E$2:$E$3001,MAX(1,ROW()-1-'02_Eingaben'!$C$17)):INDEX($E$2:$E$3001,MIN('02_Eingaben'!$C$21,ROW()-1+'02_Eingaben'!$C$17))))</f>
        <v/>
      </c>
      <c r="G1883" s="27">
        <f>IF(F1883="","",F1883-'02_Eingaben'!$C$10)</f>
        <v/>
      </c>
      <c r="H1883">
        <f>IF(F1883="","",IF(F1883&lt;'02_Eingaben'!$C$18*'02_Eingaben'!$C$10,1,0))</f>
        <v/>
      </c>
      <c r="I1883" s="27">
        <f>IF(OR(G1883="",G1884=""),"",(G1883+G1884)/2*(B1884-B1883))</f>
        <v/>
      </c>
      <c r="J1883" s="27">
        <f>IF(B1883="","",IF(B1882&lt;'02_Eingaben'!$C$36,0,J1882+I1882/'02_Eingaben'!$C$8))</f>
        <v/>
      </c>
    </row>
    <row r="1884">
      <c r="A1884">
        <f>IF('01_Rohdaten'!A1884="","",ROW()-1)</f>
        <v/>
      </c>
      <c r="B1884" s="27">
        <f>IF('01_Rohdaten'!A1884="","",'01_Rohdaten'!A1884)</f>
        <v/>
      </c>
      <c r="C1884" s="27">
        <f>IF(B1884="","",INDEX('01_Rohdaten'!B1884:D1884,'02_Eingaben'!$C$13))</f>
        <v/>
      </c>
      <c r="D1884" s="27">
        <f>IF(C1884="","",C1884*'02_Eingaben'!$C$15)</f>
        <v/>
      </c>
      <c r="E1884" s="27">
        <f>IF(D1884="","",D1884*'02_Eingaben'!$C$8)</f>
        <v/>
      </c>
      <c r="F1884" s="27">
        <f>IF(E1884="","",AVERAGE(INDEX($E$2:$E$3001,MAX(1,ROW()-1-'02_Eingaben'!$C$17)):INDEX($E$2:$E$3001,MIN('02_Eingaben'!$C$21,ROW()-1+'02_Eingaben'!$C$17))))</f>
        <v/>
      </c>
      <c r="G1884" s="27">
        <f>IF(F1884="","",F1884-'02_Eingaben'!$C$10)</f>
        <v/>
      </c>
      <c r="H1884">
        <f>IF(F1884="","",IF(F1884&lt;'02_Eingaben'!$C$18*'02_Eingaben'!$C$10,1,0))</f>
        <v/>
      </c>
      <c r="I1884" s="27">
        <f>IF(OR(G1884="",G1885=""),"",(G1884+G1885)/2*(B1885-B1884))</f>
        <v/>
      </c>
      <c r="J1884" s="27">
        <f>IF(B1884="","",IF(B1883&lt;'02_Eingaben'!$C$36,0,J1883+I1883/'02_Eingaben'!$C$8))</f>
        <v/>
      </c>
    </row>
    <row r="1885">
      <c r="A1885">
        <f>IF('01_Rohdaten'!A1885="","",ROW()-1)</f>
        <v/>
      </c>
      <c r="B1885" s="27">
        <f>IF('01_Rohdaten'!A1885="","",'01_Rohdaten'!A1885)</f>
        <v/>
      </c>
      <c r="C1885" s="27">
        <f>IF(B1885="","",INDEX('01_Rohdaten'!B1885:D1885,'02_Eingaben'!$C$13))</f>
        <v/>
      </c>
      <c r="D1885" s="27">
        <f>IF(C1885="","",C1885*'02_Eingaben'!$C$15)</f>
        <v/>
      </c>
      <c r="E1885" s="27">
        <f>IF(D1885="","",D1885*'02_Eingaben'!$C$8)</f>
        <v/>
      </c>
      <c r="F1885" s="27">
        <f>IF(E1885="","",AVERAGE(INDEX($E$2:$E$3001,MAX(1,ROW()-1-'02_Eingaben'!$C$17)):INDEX($E$2:$E$3001,MIN('02_Eingaben'!$C$21,ROW()-1+'02_Eingaben'!$C$17))))</f>
        <v/>
      </c>
      <c r="G1885" s="27">
        <f>IF(F1885="","",F1885-'02_Eingaben'!$C$10)</f>
        <v/>
      </c>
      <c r="H1885">
        <f>IF(F1885="","",IF(F1885&lt;'02_Eingaben'!$C$18*'02_Eingaben'!$C$10,1,0))</f>
        <v/>
      </c>
      <c r="I1885" s="27">
        <f>IF(OR(G1885="",G1886=""),"",(G1885+G1886)/2*(B1886-B1885))</f>
        <v/>
      </c>
      <c r="J1885" s="27">
        <f>IF(B1885="","",IF(B1884&lt;'02_Eingaben'!$C$36,0,J1884+I1884/'02_Eingaben'!$C$8))</f>
        <v/>
      </c>
    </row>
    <row r="1886">
      <c r="A1886">
        <f>IF('01_Rohdaten'!A1886="","",ROW()-1)</f>
        <v/>
      </c>
      <c r="B1886" s="27">
        <f>IF('01_Rohdaten'!A1886="","",'01_Rohdaten'!A1886)</f>
        <v/>
      </c>
      <c r="C1886" s="27">
        <f>IF(B1886="","",INDEX('01_Rohdaten'!B1886:D1886,'02_Eingaben'!$C$13))</f>
        <v/>
      </c>
      <c r="D1886" s="27">
        <f>IF(C1886="","",C1886*'02_Eingaben'!$C$15)</f>
        <v/>
      </c>
      <c r="E1886" s="27">
        <f>IF(D1886="","",D1886*'02_Eingaben'!$C$8)</f>
        <v/>
      </c>
      <c r="F1886" s="27">
        <f>IF(E1886="","",AVERAGE(INDEX($E$2:$E$3001,MAX(1,ROW()-1-'02_Eingaben'!$C$17)):INDEX($E$2:$E$3001,MIN('02_Eingaben'!$C$21,ROW()-1+'02_Eingaben'!$C$17))))</f>
        <v/>
      </c>
      <c r="G1886" s="27">
        <f>IF(F1886="","",F1886-'02_Eingaben'!$C$10)</f>
        <v/>
      </c>
      <c r="H1886">
        <f>IF(F1886="","",IF(F1886&lt;'02_Eingaben'!$C$18*'02_Eingaben'!$C$10,1,0))</f>
        <v/>
      </c>
      <c r="I1886" s="27">
        <f>IF(OR(G1886="",G1887=""),"",(G1886+G1887)/2*(B1887-B1886))</f>
        <v/>
      </c>
      <c r="J1886" s="27">
        <f>IF(B1886="","",IF(B1885&lt;'02_Eingaben'!$C$36,0,J1885+I1885/'02_Eingaben'!$C$8))</f>
        <v/>
      </c>
    </row>
    <row r="1887">
      <c r="A1887">
        <f>IF('01_Rohdaten'!A1887="","",ROW()-1)</f>
        <v/>
      </c>
      <c r="B1887" s="27">
        <f>IF('01_Rohdaten'!A1887="","",'01_Rohdaten'!A1887)</f>
        <v/>
      </c>
      <c r="C1887" s="27">
        <f>IF(B1887="","",INDEX('01_Rohdaten'!B1887:D1887,'02_Eingaben'!$C$13))</f>
        <v/>
      </c>
      <c r="D1887" s="27">
        <f>IF(C1887="","",C1887*'02_Eingaben'!$C$15)</f>
        <v/>
      </c>
      <c r="E1887" s="27">
        <f>IF(D1887="","",D1887*'02_Eingaben'!$C$8)</f>
        <v/>
      </c>
      <c r="F1887" s="27">
        <f>IF(E1887="","",AVERAGE(INDEX($E$2:$E$3001,MAX(1,ROW()-1-'02_Eingaben'!$C$17)):INDEX($E$2:$E$3001,MIN('02_Eingaben'!$C$21,ROW()-1+'02_Eingaben'!$C$17))))</f>
        <v/>
      </c>
      <c r="G1887" s="27">
        <f>IF(F1887="","",F1887-'02_Eingaben'!$C$10)</f>
        <v/>
      </c>
      <c r="H1887">
        <f>IF(F1887="","",IF(F1887&lt;'02_Eingaben'!$C$18*'02_Eingaben'!$C$10,1,0))</f>
        <v/>
      </c>
      <c r="I1887" s="27">
        <f>IF(OR(G1887="",G1888=""),"",(G1887+G1888)/2*(B1888-B1887))</f>
        <v/>
      </c>
      <c r="J1887" s="27">
        <f>IF(B1887="","",IF(B1886&lt;'02_Eingaben'!$C$36,0,J1886+I1886/'02_Eingaben'!$C$8))</f>
        <v/>
      </c>
    </row>
    <row r="1888">
      <c r="A1888">
        <f>IF('01_Rohdaten'!A1888="","",ROW()-1)</f>
        <v/>
      </c>
      <c r="B1888" s="27">
        <f>IF('01_Rohdaten'!A1888="","",'01_Rohdaten'!A1888)</f>
        <v/>
      </c>
      <c r="C1888" s="27">
        <f>IF(B1888="","",INDEX('01_Rohdaten'!B1888:D1888,'02_Eingaben'!$C$13))</f>
        <v/>
      </c>
      <c r="D1888" s="27">
        <f>IF(C1888="","",C1888*'02_Eingaben'!$C$15)</f>
        <v/>
      </c>
      <c r="E1888" s="27">
        <f>IF(D1888="","",D1888*'02_Eingaben'!$C$8)</f>
        <v/>
      </c>
      <c r="F1888" s="27">
        <f>IF(E1888="","",AVERAGE(INDEX($E$2:$E$3001,MAX(1,ROW()-1-'02_Eingaben'!$C$17)):INDEX($E$2:$E$3001,MIN('02_Eingaben'!$C$21,ROW()-1+'02_Eingaben'!$C$17))))</f>
        <v/>
      </c>
      <c r="G1888" s="27">
        <f>IF(F1888="","",F1888-'02_Eingaben'!$C$10)</f>
        <v/>
      </c>
      <c r="H1888">
        <f>IF(F1888="","",IF(F1888&lt;'02_Eingaben'!$C$18*'02_Eingaben'!$C$10,1,0))</f>
        <v/>
      </c>
      <c r="I1888" s="27">
        <f>IF(OR(G1888="",G1889=""),"",(G1888+G1889)/2*(B1889-B1888))</f>
        <v/>
      </c>
      <c r="J1888" s="27">
        <f>IF(B1888="","",IF(B1887&lt;'02_Eingaben'!$C$36,0,J1887+I1887/'02_Eingaben'!$C$8))</f>
        <v/>
      </c>
    </row>
    <row r="1889">
      <c r="A1889">
        <f>IF('01_Rohdaten'!A1889="","",ROW()-1)</f>
        <v/>
      </c>
      <c r="B1889" s="27">
        <f>IF('01_Rohdaten'!A1889="","",'01_Rohdaten'!A1889)</f>
        <v/>
      </c>
      <c r="C1889" s="27">
        <f>IF(B1889="","",INDEX('01_Rohdaten'!B1889:D1889,'02_Eingaben'!$C$13))</f>
        <v/>
      </c>
      <c r="D1889" s="27">
        <f>IF(C1889="","",C1889*'02_Eingaben'!$C$15)</f>
        <v/>
      </c>
      <c r="E1889" s="27">
        <f>IF(D1889="","",D1889*'02_Eingaben'!$C$8)</f>
        <v/>
      </c>
      <c r="F1889" s="27">
        <f>IF(E1889="","",AVERAGE(INDEX($E$2:$E$3001,MAX(1,ROW()-1-'02_Eingaben'!$C$17)):INDEX($E$2:$E$3001,MIN('02_Eingaben'!$C$21,ROW()-1+'02_Eingaben'!$C$17))))</f>
        <v/>
      </c>
      <c r="G1889" s="27">
        <f>IF(F1889="","",F1889-'02_Eingaben'!$C$10)</f>
        <v/>
      </c>
      <c r="H1889">
        <f>IF(F1889="","",IF(F1889&lt;'02_Eingaben'!$C$18*'02_Eingaben'!$C$10,1,0))</f>
        <v/>
      </c>
      <c r="I1889" s="27">
        <f>IF(OR(G1889="",G1890=""),"",(G1889+G1890)/2*(B1890-B1889))</f>
        <v/>
      </c>
      <c r="J1889" s="27">
        <f>IF(B1889="","",IF(B1888&lt;'02_Eingaben'!$C$36,0,J1888+I1888/'02_Eingaben'!$C$8))</f>
        <v/>
      </c>
    </row>
    <row r="1890">
      <c r="A1890">
        <f>IF('01_Rohdaten'!A1890="","",ROW()-1)</f>
        <v/>
      </c>
      <c r="B1890" s="27">
        <f>IF('01_Rohdaten'!A1890="","",'01_Rohdaten'!A1890)</f>
        <v/>
      </c>
      <c r="C1890" s="27">
        <f>IF(B1890="","",INDEX('01_Rohdaten'!B1890:D1890,'02_Eingaben'!$C$13))</f>
        <v/>
      </c>
      <c r="D1890" s="27">
        <f>IF(C1890="","",C1890*'02_Eingaben'!$C$15)</f>
        <v/>
      </c>
      <c r="E1890" s="27">
        <f>IF(D1890="","",D1890*'02_Eingaben'!$C$8)</f>
        <v/>
      </c>
      <c r="F1890" s="27">
        <f>IF(E1890="","",AVERAGE(INDEX($E$2:$E$3001,MAX(1,ROW()-1-'02_Eingaben'!$C$17)):INDEX($E$2:$E$3001,MIN('02_Eingaben'!$C$21,ROW()-1+'02_Eingaben'!$C$17))))</f>
        <v/>
      </c>
      <c r="G1890" s="27">
        <f>IF(F1890="","",F1890-'02_Eingaben'!$C$10)</f>
        <v/>
      </c>
      <c r="H1890">
        <f>IF(F1890="","",IF(F1890&lt;'02_Eingaben'!$C$18*'02_Eingaben'!$C$10,1,0))</f>
        <v/>
      </c>
      <c r="I1890" s="27">
        <f>IF(OR(G1890="",G1891=""),"",(G1890+G1891)/2*(B1891-B1890))</f>
        <v/>
      </c>
      <c r="J1890" s="27">
        <f>IF(B1890="","",IF(B1889&lt;'02_Eingaben'!$C$36,0,J1889+I1889/'02_Eingaben'!$C$8))</f>
        <v/>
      </c>
    </row>
    <row r="1891">
      <c r="A1891">
        <f>IF('01_Rohdaten'!A1891="","",ROW()-1)</f>
        <v/>
      </c>
      <c r="B1891" s="27">
        <f>IF('01_Rohdaten'!A1891="","",'01_Rohdaten'!A1891)</f>
        <v/>
      </c>
      <c r="C1891" s="27">
        <f>IF(B1891="","",INDEX('01_Rohdaten'!B1891:D1891,'02_Eingaben'!$C$13))</f>
        <v/>
      </c>
      <c r="D1891" s="27">
        <f>IF(C1891="","",C1891*'02_Eingaben'!$C$15)</f>
        <v/>
      </c>
      <c r="E1891" s="27">
        <f>IF(D1891="","",D1891*'02_Eingaben'!$C$8)</f>
        <v/>
      </c>
      <c r="F1891" s="27">
        <f>IF(E1891="","",AVERAGE(INDEX($E$2:$E$3001,MAX(1,ROW()-1-'02_Eingaben'!$C$17)):INDEX($E$2:$E$3001,MIN('02_Eingaben'!$C$21,ROW()-1+'02_Eingaben'!$C$17))))</f>
        <v/>
      </c>
      <c r="G1891" s="27">
        <f>IF(F1891="","",F1891-'02_Eingaben'!$C$10)</f>
        <v/>
      </c>
      <c r="H1891">
        <f>IF(F1891="","",IF(F1891&lt;'02_Eingaben'!$C$18*'02_Eingaben'!$C$10,1,0))</f>
        <v/>
      </c>
      <c r="I1891" s="27">
        <f>IF(OR(G1891="",G1892=""),"",(G1891+G1892)/2*(B1892-B1891))</f>
        <v/>
      </c>
      <c r="J1891" s="27">
        <f>IF(B1891="","",IF(B1890&lt;'02_Eingaben'!$C$36,0,J1890+I1890/'02_Eingaben'!$C$8))</f>
        <v/>
      </c>
    </row>
    <row r="1892">
      <c r="A1892">
        <f>IF('01_Rohdaten'!A1892="","",ROW()-1)</f>
        <v/>
      </c>
      <c r="B1892" s="27">
        <f>IF('01_Rohdaten'!A1892="","",'01_Rohdaten'!A1892)</f>
        <v/>
      </c>
      <c r="C1892" s="27">
        <f>IF(B1892="","",INDEX('01_Rohdaten'!B1892:D1892,'02_Eingaben'!$C$13))</f>
        <v/>
      </c>
      <c r="D1892" s="27">
        <f>IF(C1892="","",C1892*'02_Eingaben'!$C$15)</f>
        <v/>
      </c>
      <c r="E1892" s="27">
        <f>IF(D1892="","",D1892*'02_Eingaben'!$C$8)</f>
        <v/>
      </c>
      <c r="F1892" s="27">
        <f>IF(E1892="","",AVERAGE(INDEX($E$2:$E$3001,MAX(1,ROW()-1-'02_Eingaben'!$C$17)):INDEX($E$2:$E$3001,MIN('02_Eingaben'!$C$21,ROW()-1+'02_Eingaben'!$C$17))))</f>
        <v/>
      </c>
      <c r="G1892" s="27">
        <f>IF(F1892="","",F1892-'02_Eingaben'!$C$10)</f>
        <v/>
      </c>
      <c r="H1892">
        <f>IF(F1892="","",IF(F1892&lt;'02_Eingaben'!$C$18*'02_Eingaben'!$C$10,1,0))</f>
        <v/>
      </c>
      <c r="I1892" s="27">
        <f>IF(OR(G1892="",G1893=""),"",(G1892+G1893)/2*(B1893-B1892))</f>
        <v/>
      </c>
      <c r="J1892" s="27">
        <f>IF(B1892="","",IF(B1891&lt;'02_Eingaben'!$C$36,0,J1891+I1891/'02_Eingaben'!$C$8))</f>
        <v/>
      </c>
    </row>
    <row r="1893">
      <c r="A1893">
        <f>IF('01_Rohdaten'!A1893="","",ROW()-1)</f>
        <v/>
      </c>
      <c r="B1893" s="27">
        <f>IF('01_Rohdaten'!A1893="","",'01_Rohdaten'!A1893)</f>
        <v/>
      </c>
      <c r="C1893" s="27">
        <f>IF(B1893="","",INDEX('01_Rohdaten'!B1893:D1893,'02_Eingaben'!$C$13))</f>
        <v/>
      </c>
      <c r="D1893" s="27">
        <f>IF(C1893="","",C1893*'02_Eingaben'!$C$15)</f>
        <v/>
      </c>
      <c r="E1893" s="27">
        <f>IF(D1893="","",D1893*'02_Eingaben'!$C$8)</f>
        <v/>
      </c>
      <c r="F1893" s="27">
        <f>IF(E1893="","",AVERAGE(INDEX($E$2:$E$3001,MAX(1,ROW()-1-'02_Eingaben'!$C$17)):INDEX($E$2:$E$3001,MIN('02_Eingaben'!$C$21,ROW()-1+'02_Eingaben'!$C$17))))</f>
        <v/>
      </c>
      <c r="G1893" s="27">
        <f>IF(F1893="","",F1893-'02_Eingaben'!$C$10)</f>
        <v/>
      </c>
      <c r="H1893">
        <f>IF(F1893="","",IF(F1893&lt;'02_Eingaben'!$C$18*'02_Eingaben'!$C$10,1,0))</f>
        <v/>
      </c>
      <c r="I1893" s="27">
        <f>IF(OR(G1893="",G1894=""),"",(G1893+G1894)/2*(B1894-B1893))</f>
        <v/>
      </c>
      <c r="J1893" s="27">
        <f>IF(B1893="","",IF(B1892&lt;'02_Eingaben'!$C$36,0,J1892+I1892/'02_Eingaben'!$C$8))</f>
        <v/>
      </c>
    </row>
    <row r="1894">
      <c r="A1894">
        <f>IF('01_Rohdaten'!A1894="","",ROW()-1)</f>
        <v/>
      </c>
      <c r="B1894" s="27">
        <f>IF('01_Rohdaten'!A1894="","",'01_Rohdaten'!A1894)</f>
        <v/>
      </c>
      <c r="C1894" s="27">
        <f>IF(B1894="","",INDEX('01_Rohdaten'!B1894:D1894,'02_Eingaben'!$C$13))</f>
        <v/>
      </c>
      <c r="D1894" s="27">
        <f>IF(C1894="","",C1894*'02_Eingaben'!$C$15)</f>
        <v/>
      </c>
      <c r="E1894" s="27">
        <f>IF(D1894="","",D1894*'02_Eingaben'!$C$8)</f>
        <v/>
      </c>
      <c r="F1894" s="27">
        <f>IF(E1894="","",AVERAGE(INDEX($E$2:$E$3001,MAX(1,ROW()-1-'02_Eingaben'!$C$17)):INDEX($E$2:$E$3001,MIN('02_Eingaben'!$C$21,ROW()-1+'02_Eingaben'!$C$17))))</f>
        <v/>
      </c>
      <c r="G1894" s="27">
        <f>IF(F1894="","",F1894-'02_Eingaben'!$C$10)</f>
        <v/>
      </c>
      <c r="H1894">
        <f>IF(F1894="","",IF(F1894&lt;'02_Eingaben'!$C$18*'02_Eingaben'!$C$10,1,0))</f>
        <v/>
      </c>
      <c r="I1894" s="27">
        <f>IF(OR(G1894="",G1895=""),"",(G1894+G1895)/2*(B1895-B1894))</f>
        <v/>
      </c>
      <c r="J1894" s="27">
        <f>IF(B1894="","",IF(B1893&lt;'02_Eingaben'!$C$36,0,J1893+I1893/'02_Eingaben'!$C$8))</f>
        <v/>
      </c>
    </row>
    <row r="1895">
      <c r="A1895">
        <f>IF('01_Rohdaten'!A1895="","",ROW()-1)</f>
        <v/>
      </c>
      <c r="B1895" s="27">
        <f>IF('01_Rohdaten'!A1895="","",'01_Rohdaten'!A1895)</f>
        <v/>
      </c>
      <c r="C1895" s="27">
        <f>IF(B1895="","",INDEX('01_Rohdaten'!B1895:D1895,'02_Eingaben'!$C$13))</f>
        <v/>
      </c>
      <c r="D1895" s="27">
        <f>IF(C1895="","",C1895*'02_Eingaben'!$C$15)</f>
        <v/>
      </c>
      <c r="E1895" s="27">
        <f>IF(D1895="","",D1895*'02_Eingaben'!$C$8)</f>
        <v/>
      </c>
      <c r="F1895" s="27">
        <f>IF(E1895="","",AVERAGE(INDEX($E$2:$E$3001,MAX(1,ROW()-1-'02_Eingaben'!$C$17)):INDEX($E$2:$E$3001,MIN('02_Eingaben'!$C$21,ROW()-1+'02_Eingaben'!$C$17))))</f>
        <v/>
      </c>
      <c r="G1895" s="27">
        <f>IF(F1895="","",F1895-'02_Eingaben'!$C$10)</f>
        <v/>
      </c>
      <c r="H1895">
        <f>IF(F1895="","",IF(F1895&lt;'02_Eingaben'!$C$18*'02_Eingaben'!$C$10,1,0))</f>
        <v/>
      </c>
      <c r="I1895" s="27">
        <f>IF(OR(G1895="",G1896=""),"",(G1895+G1896)/2*(B1896-B1895))</f>
        <v/>
      </c>
      <c r="J1895" s="27">
        <f>IF(B1895="","",IF(B1894&lt;'02_Eingaben'!$C$36,0,J1894+I1894/'02_Eingaben'!$C$8))</f>
        <v/>
      </c>
    </row>
    <row r="1896">
      <c r="A1896">
        <f>IF('01_Rohdaten'!A1896="","",ROW()-1)</f>
        <v/>
      </c>
      <c r="B1896" s="27">
        <f>IF('01_Rohdaten'!A1896="","",'01_Rohdaten'!A1896)</f>
        <v/>
      </c>
      <c r="C1896" s="27">
        <f>IF(B1896="","",INDEX('01_Rohdaten'!B1896:D1896,'02_Eingaben'!$C$13))</f>
        <v/>
      </c>
      <c r="D1896" s="27">
        <f>IF(C1896="","",C1896*'02_Eingaben'!$C$15)</f>
        <v/>
      </c>
      <c r="E1896" s="27">
        <f>IF(D1896="","",D1896*'02_Eingaben'!$C$8)</f>
        <v/>
      </c>
      <c r="F1896" s="27">
        <f>IF(E1896="","",AVERAGE(INDEX($E$2:$E$3001,MAX(1,ROW()-1-'02_Eingaben'!$C$17)):INDEX($E$2:$E$3001,MIN('02_Eingaben'!$C$21,ROW()-1+'02_Eingaben'!$C$17))))</f>
        <v/>
      </c>
      <c r="G1896" s="27">
        <f>IF(F1896="","",F1896-'02_Eingaben'!$C$10)</f>
        <v/>
      </c>
      <c r="H1896">
        <f>IF(F1896="","",IF(F1896&lt;'02_Eingaben'!$C$18*'02_Eingaben'!$C$10,1,0))</f>
        <v/>
      </c>
      <c r="I1896" s="27">
        <f>IF(OR(G1896="",G1897=""),"",(G1896+G1897)/2*(B1897-B1896))</f>
        <v/>
      </c>
      <c r="J1896" s="27">
        <f>IF(B1896="","",IF(B1895&lt;'02_Eingaben'!$C$36,0,J1895+I1895/'02_Eingaben'!$C$8))</f>
        <v/>
      </c>
    </row>
    <row r="1897">
      <c r="A1897">
        <f>IF('01_Rohdaten'!A1897="","",ROW()-1)</f>
        <v/>
      </c>
      <c r="B1897" s="27">
        <f>IF('01_Rohdaten'!A1897="","",'01_Rohdaten'!A1897)</f>
        <v/>
      </c>
      <c r="C1897" s="27">
        <f>IF(B1897="","",INDEX('01_Rohdaten'!B1897:D1897,'02_Eingaben'!$C$13))</f>
        <v/>
      </c>
      <c r="D1897" s="27">
        <f>IF(C1897="","",C1897*'02_Eingaben'!$C$15)</f>
        <v/>
      </c>
      <c r="E1897" s="27">
        <f>IF(D1897="","",D1897*'02_Eingaben'!$C$8)</f>
        <v/>
      </c>
      <c r="F1897" s="27">
        <f>IF(E1897="","",AVERAGE(INDEX($E$2:$E$3001,MAX(1,ROW()-1-'02_Eingaben'!$C$17)):INDEX($E$2:$E$3001,MIN('02_Eingaben'!$C$21,ROW()-1+'02_Eingaben'!$C$17))))</f>
        <v/>
      </c>
      <c r="G1897" s="27">
        <f>IF(F1897="","",F1897-'02_Eingaben'!$C$10)</f>
        <v/>
      </c>
      <c r="H1897">
        <f>IF(F1897="","",IF(F1897&lt;'02_Eingaben'!$C$18*'02_Eingaben'!$C$10,1,0))</f>
        <v/>
      </c>
      <c r="I1897" s="27">
        <f>IF(OR(G1897="",G1898=""),"",(G1897+G1898)/2*(B1898-B1897))</f>
        <v/>
      </c>
      <c r="J1897" s="27">
        <f>IF(B1897="","",IF(B1896&lt;'02_Eingaben'!$C$36,0,J1896+I1896/'02_Eingaben'!$C$8))</f>
        <v/>
      </c>
    </row>
    <row r="1898">
      <c r="A1898">
        <f>IF('01_Rohdaten'!A1898="","",ROW()-1)</f>
        <v/>
      </c>
      <c r="B1898" s="27">
        <f>IF('01_Rohdaten'!A1898="","",'01_Rohdaten'!A1898)</f>
        <v/>
      </c>
      <c r="C1898" s="27">
        <f>IF(B1898="","",INDEX('01_Rohdaten'!B1898:D1898,'02_Eingaben'!$C$13))</f>
        <v/>
      </c>
      <c r="D1898" s="27">
        <f>IF(C1898="","",C1898*'02_Eingaben'!$C$15)</f>
        <v/>
      </c>
      <c r="E1898" s="27">
        <f>IF(D1898="","",D1898*'02_Eingaben'!$C$8)</f>
        <v/>
      </c>
      <c r="F1898" s="27">
        <f>IF(E1898="","",AVERAGE(INDEX($E$2:$E$3001,MAX(1,ROW()-1-'02_Eingaben'!$C$17)):INDEX($E$2:$E$3001,MIN('02_Eingaben'!$C$21,ROW()-1+'02_Eingaben'!$C$17))))</f>
        <v/>
      </c>
      <c r="G1898" s="27">
        <f>IF(F1898="","",F1898-'02_Eingaben'!$C$10)</f>
        <v/>
      </c>
      <c r="H1898">
        <f>IF(F1898="","",IF(F1898&lt;'02_Eingaben'!$C$18*'02_Eingaben'!$C$10,1,0))</f>
        <v/>
      </c>
      <c r="I1898" s="27">
        <f>IF(OR(G1898="",G1899=""),"",(G1898+G1899)/2*(B1899-B1898))</f>
        <v/>
      </c>
      <c r="J1898" s="27">
        <f>IF(B1898="","",IF(B1897&lt;'02_Eingaben'!$C$36,0,J1897+I1897/'02_Eingaben'!$C$8))</f>
        <v/>
      </c>
    </row>
    <row r="1899">
      <c r="A1899">
        <f>IF('01_Rohdaten'!A1899="","",ROW()-1)</f>
        <v/>
      </c>
      <c r="B1899" s="27">
        <f>IF('01_Rohdaten'!A1899="","",'01_Rohdaten'!A1899)</f>
        <v/>
      </c>
      <c r="C1899" s="27">
        <f>IF(B1899="","",INDEX('01_Rohdaten'!B1899:D1899,'02_Eingaben'!$C$13))</f>
        <v/>
      </c>
      <c r="D1899" s="27">
        <f>IF(C1899="","",C1899*'02_Eingaben'!$C$15)</f>
        <v/>
      </c>
      <c r="E1899" s="27">
        <f>IF(D1899="","",D1899*'02_Eingaben'!$C$8)</f>
        <v/>
      </c>
      <c r="F1899" s="27">
        <f>IF(E1899="","",AVERAGE(INDEX($E$2:$E$3001,MAX(1,ROW()-1-'02_Eingaben'!$C$17)):INDEX($E$2:$E$3001,MIN('02_Eingaben'!$C$21,ROW()-1+'02_Eingaben'!$C$17))))</f>
        <v/>
      </c>
      <c r="G1899" s="27">
        <f>IF(F1899="","",F1899-'02_Eingaben'!$C$10)</f>
        <v/>
      </c>
      <c r="H1899">
        <f>IF(F1899="","",IF(F1899&lt;'02_Eingaben'!$C$18*'02_Eingaben'!$C$10,1,0))</f>
        <v/>
      </c>
      <c r="I1899" s="27">
        <f>IF(OR(G1899="",G1900=""),"",(G1899+G1900)/2*(B1900-B1899))</f>
        <v/>
      </c>
      <c r="J1899" s="27">
        <f>IF(B1899="","",IF(B1898&lt;'02_Eingaben'!$C$36,0,J1898+I1898/'02_Eingaben'!$C$8))</f>
        <v/>
      </c>
    </row>
    <row r="1900">
      <c r="A1900">
        <f>IF('01_Rohdaten'!A1900="","",ROW()-1)</f>
        <v/>
      </c>
      <c r="B1900" s="27">
        <f>IF('01_Rohdaten'!A1900="","",'01_Rohdaten'!A1900)</f>
        <v/>
      </c>
      <c r="C1900" s="27">
        <f>IF(B1900="","",INDEX('01_Rohdaten'!B1900:D1900,'02_Eingaben'!$C$13))</f>
        <v/>
      </c>
      <c r="D1900" s="27">
        <f>IF(C1900="","",C1900*'02_Eingaben'!$C$15)</f>
        <v/>
      </c>
      <c r="E1900" s="27">
        <f>IF(D1900="","",D1900*'02_Eingaben'!$C$8)</f>
        <v/>
      </c>
      <c r="F1900" s="27">
        <f>IF(E1900="","",AVERAGE(INDEX($E$2:$E$3001,MAX(1,ROW()-1-'02_Eingaben'!$C$17)):INDEX($E$2:$E$3001,MIN('02_Eingaben'!$C$21,ROW()-1+'02_Eingaben'!$C$17))))</f>
        <v/>
      </c>
      <c r="G1900" s="27">
        <f>IF(F1900="","",F1900-'02_Eingaben'!$C$10)</f>
        <v/>
      </c>
      <c r="H1900">
        <f>IF(F1900="","",IF(F1900&lt;'02_Eingaben'!$C$18*'02_Eingaben'!$C$10,1,0))</f>
        <v/>
      </c>
      <c r="I1900" s="27">
        <f>IF(OR(G1900="",G1901=""),"",(G1900+G1901)/2*(B1901-B1900))</f>
        <v/>
      </c>
      <c r="J1900" s="27">
        <f>IF(B1900="","",IF(B1899&lt;'02_Eingaben'!$C$36,0,J1899+I1899/'02_Eingaben'!$C$8))</f>
        <v/>
      </c>
    </row>
    <row r="1901">
      <c r="A1901">
        <f>IF('01_Rohdaten'!A1901="","",ROW()-1)</f>
        <v/>
      </c>
      <c r="B1901" s="27">
        <f>IF('01_Rohdaten'!A1901="","",'01_Rohdaten'!A1901)</f>
        <v/>
      </c>
      <c r="C1901" s="27">
        <f>IF(B1901="","",INDEX('01_Rohdaten'!B1901:D1901,'02_Eingaben'!$C$13))</f>
        <v/>
      </c>
      <c r="D1901" s="27">
        <f>IF(C1901="","",C1901*'02_Eingaben'!$C$15)</f>
        <v/>
      </c>
      <c r="E1901" s="27">
        <f>IF(D1901="","",D1901*'02_Eingaben'!$C$8)</f>
        <v/>
      </c>
      <c r="F1901" s="27">
        <f>IF(E1901="","",AVERAGE(INDEX($E$2:$E$3001,MAX(1,ROW()-1-'02_Eingaben'!$C$17)):INDEX($E$2:$E$3001,MIN('02_Eingaben'!$C$21,ROW()-1+'02_Eingaben'!$C$17))))</f>
        <v/>
      </c>
      <c r="G1901" s="27">
        <f>IF(F1901="","",F1901-'02_Eingaben'!$C$10)</f>
        <v/>
      </c>
      <c r="H1901">
        <f>IF(F1901="","",IF(F1901&lt;'02_Eingaben'!$C$18*'02_Eingaben'!$C$10,1,0))</f>
        <v/>
      </c>
      <c r="I1901" s="27">
        <f>IF(OR(G1901="",G1902=""),"",(G1901+G1902)/2*(B1902-B1901))</f>
        <v/>
      </c>
      <c r="J1901" s="27">
        <f>IF(B1901="","",IF(B1900&lt;'02_Eingaben'!$C$36,0,J1900+I1900/'02_Eingaben'!$C$8))</f>
        <v/>
      </c>
    </row>
    <row r="1902">
      <c r="A1902">
        <f>IF('01_Rohdaten'!A1902="","",ROW()-1)</f>
        <v/>
      </c>
      <c r="B1902" s="27">
        <f>IF('01_Rohdaten'!A1902="","",'01_Rohdaten'!A1902)</f>
        <v/>
      </c>
      <c r="C1902" s="27">
        <f>IF(B1902="","",INDEX('01_Rohdaten'!B1902:D1902,'02_Eingaben'!$C$13))</f>
        <v/>
      </c>
      <c r="D1902" s="27">
        <f>IF(C1902="","",C1902*'02_Eingaben'!$C$15)</f>
        <v/>
      </c>
      <c r="E1902" s="27">
        <f>IF(D1902="","",D1902*'02_Eingaben'!$C$8)</f>
        <v/>
      </c>
      <c r="F1902" s="27">
        <f>IF(E1902="","",AVERAGE(INDEX($E$2:$E$3001,MAX(1,ROW()-1-'02_Eingaben'!$C$17)):INDEX($E$2:$E$3001,MIN('02_Eingaben'!$C$21,ROW()-1+'02_Eingaben'!$C$17))))</f>
        <v/>
      </c>
      <c r="G1902" s="27">
        <f>IF(F1902="","",F1902-'02_Eingaben'!$C$10)</f>
        <v/>
      </c>
      <c r="H1902">
        <f>IF(F1902="","",IF(F1902&lt;'02_Eingaben'!$C$18*'02_Eingaben'!$C$10,1,0))</f>
        <v/>
      </c>
      <c r="I1902" s="27">
        <f>IF(OR(G1902="",G1903=""),"",(G1902+G1903)/2*(B1903-B1902))</f>
        <v/>
      </c>
      <c r="J1902" s="27">
        <f>IF(B1902="","",IF(B1901&lt;'02_Eingaben'!$C$36,0,J1901+I1901/'02_Eingaben'!$C$8))</f>
        <v/>
      </c>
    </row>
    <row r="1903">
      <c r="A1903">
        <f>IF('01_Rohdaten'!A1903="","",ROW()-1)</f>
        <v/>
      </c>
      <c r="B1903" s="27">
        <f>IF('01_Rohdaten'!A1903="","",'01_Rohdaten'!A1903)</f>
        <v/>
      </c>
      <c r="C1903" s="27">
        <f>IF(B1903="","",INDEX('01_Rohdaten'!B1903:D1903,'02_Eingaben'!$C$13))</f>
        <v/>
      </c>
      <c r="D1903" s="27">
        <f>IF(C1903="","",C1903*'02_Eingaben'!$C$15)</f>
        <v/>
      </c>
      <c r="E1903" s="27">
        <f>IF(D1903="","",D1903*'02_Eingaben'!$C$8)</f>
        <v/>
      </c>
      <c r="F1903" s="27">
        <f>IF(E1903="","",AVERAGE(INDEX($E$2:$E$3001,MAX(1,ROW()-1-'02_Eingaben'!$C$17)):INDEX($E$2:$E$3001,MIN('02_Eingaben'!$C$21,ROW()-1+'02_Eingaben'!$C$17))))</f>
        <v/>
      </c>
      <c r="G1903" s="27">
        <f>IF(F1903="","",F1903-'02_Eingaben'!$C$10)</f>
        <v/>
      </c>
      <c r="H1903">
        <f>IF(F1903="","",IF(F1903&lt;'02_Eingaben'!$C$18*'02_Eingaben'!$C$10,1,0))</f>
        <v/>
      </c>
      <c r="I1903" s="27">
        <f>IF(OR(G1903="",G1904=""),"",(G1903+G1904)/2*(B1904-B1903))</f>
        <v/>
      </c>
      <c r="J1903" s="27">
        <f>IF(B1903="","",IF(B1902&lt;'02_Eingaben'!$C$36,0,J1902+I1902/'02_Eingaben'!$C$8))</f>
        <v/>
      </c>
    </row>
    <row r="1904">
      <c r="A1904">
        <f>IF('01_Rohdaten'!A1904="","",ROW()-1)</f>
        <v/>
      </c>
      <c r="B1904" s="27">
        <f>IF('01_Rohdaten'!A1904="","",'01_Rohdaten'!A1904)</f>
        <v/>
      </c>
      <c r="C1904" s="27">
        <f>IF(B1904="","",INDEX('01_Rohdaten'!B1904:D1904,'02_Eingaben'!$C$13))</f>
        <v/>
      </c>
      <c r="D1904" s="27">
        <f>IF(C1904="","",C1904*'02_Eingaben'!$C$15)</f>
        <v/>
      </c>
      <c r="E1904" s="27">
        <f>IF(D1904="","",D1904*'02_Eingaben'!$C$8)</f>
        <v/>
      </c>
      <c r="F1904" s="27">
        <f>IF(E1904="","",AVERAGE(INDEX($E$2:$E$3001,MAX(1,ROW()-1-'02_Eingaben'!$C$17)):INDEX($E$2:$E$3001,MIN('02_Eingaben'!$C$21,ROW()-1+'02_Eingaben'!$C$17))))</f>
        <v/>
      </c>
      <c r="G1904" s="27">
        <f>IF(F1904="","",F1904-'02_Eingaben'!$C$10)</f>
        <v/>
      </c>
      <c r="H1904">
        <f>IF(F1904="","",IF(F1904&lt;'02_Eingaben'!$C$18*'02_Eingaben'!$C$10,1,0))</f>
        <v/>
      </c>
      <c r="I1904" s="27">
        <f>IF(OR(G1904="",G1905=""),"",(G1904+G1905)/2*(B1905-B1904))</f>
        <v/>
      </c>
      <c r="J1904" s="27">
        <f>IF(B1904="","",IF(B1903&lt;'02_Eingaben'!$C$36,0,J1903+I1903/'02_Eingaben'!$C$8))</f>
        <v/>
      </c>
    </row>
    <row r="1905">
      <c r="A1905">
        <f>IF('01_Rohdaten'!A1905="","",ROW()-1)</f>
        <v/>
      </c>
      <c r="B1905" s="27">
        <f>IF('01_Rohdaten'!A1905="","",'01_Rohdaten'!A1905)</f>
        <v/>
      </c>
      <c r="C1905" s="27">
        <f>IF(B1905="","",INDEX('01_Rohdaten'!B1905:D1905,'02_Eingaben'!$C$13))</f>
        <v/>
      </c>
      <c r="D1905" s="27">
        <f>IF(C1905="","",C1905*'02_Eingaben'!$C$15)</f>
        <v/>
      </c>
      <c r="E1905" s="27">
        <f>IF(D1905="","",D1905*'02_Eingaben'!$C$8)</f>
        <v/>
      </c>
      <c r="F1905" s="27">
        <f>IF(E1905="","",AVERAGE(INDEX($E$2:$E$3001,MAX(1,ROW()-1-'02_Eingaben'!$C$17)):INDEX($E$2:$E$3001,MIN('02_Eingaben'!$C$21,ROW()-1+'02_Eingaben'!$C$17))))</f>
        <v/>
      </c>
      <c r="G1905" s="27">
        <f>IF(F1905="","",F1905-'02_Eingaben'!$C$10)</f>
        <v/>
      </c>
      <c r="H1905">
        <f>IF(F1905="","",IF(F1905&lt;'02_Eingaben'!$C$18*'02_Eingaben'!$C$10,1,0))</f>
        <v/>
      </c>
      <c r="I1905" s="27">
        <f>IF(OR(G1905="",G1906=""),"",(G1905+G1906)/2*(B1906-B1905))</f>
        <v/>
      </c>
      <c r="J1905" s="27">
        <f>IF(B1905="","",IF(B1904&lt;'02_Eingaben'!$C$36,0,J1904+I1904/'02_Eingaben'!$C$8))</f>
        <v/>
      </c>
    </row>
    <row r="1906">
      <c r="A1906">
        <f>IF('01_Rohdaten'!A1906="","",ROW()-1)</f>
        <v/>
      </c>
      <c r="B1906" s="27">
        <f>IF('01_Rohdaten'!A1906="","",'01_Rohdaten'!A1906)</f>
        <v/>
      </c>
      <c r="C1906" s="27">
        <f>IF(B1906="","",INDEX('01_Rohdaten'!B1906:D1906,'02_Eingaben'!$C$13))</f>
        <v/>
      </c>
      <c r="D1906" s="27">
        <f>IF(C1906="","",C1906*'02_Eingaben'!$C$15)</f>
        <v/>
      </c>
      <c r="E1906" s="27">
        <f>IF(D1906="","",D1906*'02_Eingaben'!$C$8)</f>
        <v/>
      </c>
      <c r="F1906" s="27">
        <f>IF(E1906="","",AVERAGE(INDEX($E$2:$E$3001,MAX(1,ROW()-1-'02_Eingaben'!$C$17)):INDEX($E$2:$E$3001,MIN('02_Eingaben'!$C$21,ROW()-1+'02_Eingaben'!$C$17))))</f>
        <v/>
      </c>
      <c r="G1906" s="27">
        <f>IF(F1906="","",F1906-'02_Eingaben'!$C$10)</f>
        <v/>
      </c>
      <c r="H1906">
        <f>IF(F1906="","",IF(F1906&lt;'02_Eingaben'!$C$18*'02_Eingaben'!$C$10,1,0))</f>
        <v/>
      </c>
      <c r="I1906" s="27">
        <f>IF(OR(G1906="",G1907=""),"",(G1906+G1907)/2*(B1907-B1906))</f>
        <v/>
      </c>
      <c r="J1906" s="27">
        <f>IF(B1906="","",IF(B1905&lt;'02_Eingaben'!$C$36,0,J1905+I1905/'02_Eingaben'!$C$8))</f>
        <v/>
      </c>
    </row>
    <row r="1907">
      <c r="A1907">
        <f>IF('01_Rohdaten'!A1907="","",ROW()-1)</f>
        <v/>
      </c>
      <c r="B1907" s="27">
        <f>IF('01_Rohdaten'!A1907="","",'01_Rohdaten'!A1907)</f>
        <v/>
      </c>
      <c r="C1907" s="27">
        <f>IF(B1907="","",INDEX('01_Rohdaten'!B1907:D1907,'02_Eingaben'!$C$13))</f>
        <v/>
      </c>
      <c r="D1907" s="27">
        <f>IF(C1907="","",C1907*'02_Eingaben'!$C$15)</f>
        <v/>
      </c>
      <c r="E1907" s="27">
        <f>IF(D1907="","",D1907*'02_Eingaben'!$C$8)</f>
        <v/>
      </c>
      <c r="F1907" s="27">
        <f>IF(E1907="","",AVERAGE(INDEX($E$2:$E$3001,MAX(1,ROW()-1-'02_Eingaben'!$C$17)):INDEX($E$2:$E$3001,MIN('02_Eingaben'!$C$21,ROW()-1+'02_Eingaben'!$C$17))))</f>
        <v/>
      </c>
      <c r="G1907" s="27">
        <f>IF(F1907="","",F1907-'02_Eingaben'!$C$10)</f>
        <v/>
      </c>
      <c r="H1907">
        <f>IF(F1907="","",IF(F1907&lt;'02_Eingaben'!$C$18*'02_Eingaben'!$C$10,1,0))</f>
        <v/>
      </c>
      <c r="I1907" s="27">
        <f>IF(OR(G1907="",G1908=""),"",(G1907+G1908)/2*(B1908-B1907))</f>
        <v/>
      </c>
      <c r="J1907" s="27">
        <f>IF(B1907="","",IF(B1906&lt;'02_Eingaben'!$C$36,0,J1906+I1906/'02_Eingaben'!$C$8))</f>
        <v/>
      </c>
    </row>
    <row r="1908">
      <c r="A1908">
        <f>IF('01_Rohdaten'!A1908="","",ROW()-1)</f>
        <v/>
      </c>
      <c r="B1908" s="27">
        <f>IF('01_Rohdaten'!A1908="","",'01_Rohdaten'!A1908)</f>
        <v/>
      </c>
      <c r="C1908" s="27">
        <f>IF(B1908="","",INDEX('01_Rohdaten'!B1908:D1908,'02_Eingaben'!$C$13))</f>
        <v/>
      </c>
      <c r="D1908" s="27">
        <f>IF(C1908="","",C1908*'02_Eingaben'!$C$15)</f>
        <v/>
      </c>
      <c r="E1908" s="27">
        <f>IF(D1908="","",D1908*'02_Eingaben'!$C$8)</f>
        <v/>
      </c>
      <c r="F1908" s="27">
        <f>IF(E1908="","",AVERAGE(INDEX($E$2:$E$3001,MAX(1,ROW()-1-'02_Eingaben'!$C$17)):INDEX($E$2:$E$3001,MIN('02_Eingaben'!$C$21,ROW()-1+'02_Eingaben'!$C$17))))</f>
        <v/>
      </c>
      <c r="G1908" s="27">
        <f>IF(F1908="","",F1908-'02_Eingaben'!$C$10)</f>
        <v/>
      </c>
      <c r="H1908">
        <f>IF(F1908="","",IF(F1908&lt;'02_Eingaben'!$C$18*'02_Eingaben'!$C$10,1,0))</f>
        <v/>
      </c>
      <c r="I1908" s="27">
        <f>IF(OR(G1908="",G1909=""),"",(G1908+G1909)/2*(B1909-B1908))</f>
        <v/>
      </c>
      <c r="J1908" s="27">
        <f>IF(B1908="","",IF(B1907&lt;'02_Eingaben'!$C$36,0,J1907+I1907/'02_Eingaben'!$C$8))</f>
        <v/>
      </c>
    </row>
    <row r="1909">
      <c r="A1909">
        <f>IF('01_Rohdaten'!A1909="","",ROW()-1)</f>
        <v/>
      </c>
      <c r="B1909" s="27">
        <f>IF('01_Rohdaten'!A1909="","",'01_Rohdaten'!A1909)</f>
        <v/>
      </c>
      <c r="C1909" s="27">
        <f>IF(B1909="","",INDEX('01_Rohdaten'!B1909:D1909,'02_Eingaben'!$C$13))</f>
        <v/>
      </c>
      <c r="D1909" s="27">
        <f>IF(C1909="","",C1909*'02_Eingaben'!$C$15)</f>
        <v/>
      </c>
      <c r="E1909" s="27">
        <f>IF(D1909="","",D1909*'02_Eingaben'!$C$8)</f>
        <v/>
      </c>
      <c r="F1909" s="27">
        <f>IF(E1909="","",AVERAGE(INDEX($E$2:$E$3001,MAX(1,ROW()-1-'02_Eingaben'!$C$17)):INDEX($E$2:$E$3001,MIN('02_Eingaben'!$C$21,ROW()-1+'02_Eingaben'!$C$17))))</f>
        <v/>
      </c>
      <c r="G1909" s="27">
        <f>IF(F1909="","",F1909-'02_Eingaben'!$C$10)</f>
        <v/>
      </c>
      <c r="H1909">
        <f>IF(F1909="","",IF(F1909&lt;'02_Eingaben'!$C$18*'02_Eingaben'!$C$10,1,0))</f>
        <v/>
      </c>
      <c r="I1909" s="27">
        <f>IF(OR(G1909="",G1910=""),"",(G1909+G1910)/2*(B1910-B1909))</f>
        <v/>
      </c>
      <c r="J1909" s="27">
        <f>IF(B1909="","",IF(B1908&lt;'02_Eingaben'!$C$36,0,J1908+I1908/'02_Eingaben'!$C$8))</f>
        <v/>
      </c>
    </row>
    <row r="1910">
      <c r="A1910">
        <f>IF('01_Rohdaten'!A1910="","",ROW()-1)</f>
        <v/>
      </c>
      <c r="B1910" s="27">
        <f>IF('01_Rohdaten'!A1910="","",'01_Rohdaten'!A1910)</f>
        <v/>
      </c>
      <c r="C1910" s="27">
        <f>IF(B1910="","",INDEX('01_Rohdaten'!B1910:D1910,'02_Eingaben'!$C$13))</f>
        <v/>
      </c>
      <c r="D1910" s="27">
        <f>IF(C1910="","",C1910*'02_Eingaben'!$C$15)</f>
        <v/>
      </c>
      <c r="E1910" s="27">
        <f>IF(D1910="","",D1910*'02_Eingaben'!$C$8)</f>
        <v/>
      </c>
      <c r="F1910" s="27">
        <f>IF(E1910="","",AVERAGE(INDEX($E$2:$E$3001,MAX(1,ROW()-1-'02_Eingaben'!$C$17)):INDEX($E$2:$E$3001,MIN('02_Eingaben'!$C$21,ROW()-1+'02_Eingaben'!$C$17))))</f>
        <v/>
      </c>
      <c r="G1910" s="27">
        <f>IF(F1910="","",F1910-'02_Eingaben'!$C$10)</f>
        <v/>
      </c>
      <c r="H1910">
        <f>IF(F1910="","",IF(F1910&lt;'02_Eingaben'!$C$18*'02_Eingaben'!$C$10,1,0))</f>
        <v/>
      </c>
      <c r="I1910" s="27">
        <f>IF(OR(G1910="",G1911=""),"",(G1910+G1911)/2*(B1911-B1910))</f>
        <v/>
      </c>
      <c r="J1910" s="27">
        <f>IF(B1910="","",IF(B1909&lt;'02_Eingaben'!$C$36,0,J1909+I1909/'02_Eingaben'!$C$8))</f>
        <v/>
      </c>
    </row>
    <row r="1911">
      <c r="A1911">
        <f>IF('01_Rohdaten'!A1911="","",ROW()-1)</f>
        <v/>
      </c>
      <c r="B1911" s="27">
        <f>IF('01_Rohdaten'!A1911="","",'01_Rohdaten'!A1911)</f>
        <v/>
      </c>
      <c r="C1911" s="27">
        <f>IF(B1911="","",INDEX('01_Rohdaten'!B1911:D1911,'02_Eingaben'!$C$13))</f>
        <v/>
      </c>
      <c r="D1911" s="27">
        <f>IF(C1911="","",C1911*'02_Eingaben'!$C$15)</f>
        <v/>
      </c>
      <c r="E1911" s="27">
        <f>IF(D1911="","",D1911*'02_Eingaben'!$C$8)</f>
        <v/>
      </c>
      <c r="F1911" s="27">
        <f>IF(E1911="","",AVERAGE(INDEX($E$2:$E$3001,MAX(1,ROW()-1-'02_Eingaben'!$C$17)):INDEX($E$2:$E$3001,MIN('02_Eingaben'!$C$21,ROW()-1+'02_Eingaben'!$C$17))))</f>
        <v/>
      </c>
      <c r="G1911" s="27">
        <f>IF(F1911="","",F1911-'02_Eingaben'!$C$10)</f>
        <v/>
      </c>
      <c r="H1911">
        <f>IF(F1911="","",IF(F1911&lt;'02_Eingaben'!$C$18*'02_Eingaben'!$C$10,1,0))</f>
        <v/>
      </c>
      <c r="I1911" s="27">
        <f>IF(OR(G1911="",G1912=""),"",(G1911+G1912)/2*(B1912-B1911))</f>
        <v/>
      </c>
      <c r="J1911" s="27">
        <f>IF(B1911="","",IF(B1910&lt;'02_Eingaben'!$C$36,0,J1910+I1910/'02_Eingaben'!$C$8))</f>
        <v/>
      </c>
    </row>
    <row r="1912">
      <c r="A1912">
        <f>IF('01_Rohdaten'!A1912="","",ROW()-1)</f>
        <v/>
      </c>
      <c r="B1912" s="27">
        <f>IF('01_Rohdaten'!A1912="","",'01_Rohdaten'!A1912)</f>
        <v/>
      </c>
      <c r="C1912" s="27">
        <f>IF(B1912="","",INDEX('01_Rohdaten'!B1912:D1912,'02_Eingaben'!$C$13))</f>
        <v/>
      </c>
      <c r="D1912" s="27">
        <f>IF(C1912="","",C1912*'02_Eingaben'!$C$15)</f>
        <v/>
      </c>
      <c r="E1912" s="27">
        <f>IF(D1912="","",D1912*'02_Eingaben'!$C$8)</f>
        <v/>
      </c>
      <c r="F1912" s="27">
        <f>IF(E1912="","",AVERAGE(INDEX($E$2:$E$3001,MAX(1,ROW()-1-'02_Eingaben'!$C$17)):INDEX($E$2:$E$3001,MIN('02_Eingaben'!$C$21,ROW()-1+'02_Eingaben'!$C$17))))</f>
        <v/>
      </c>
      <c r="G1912" s="27">
        <f>IF(F1912="","",F1912-'02_Eingaben'!$C$10)</f>
        <v/>
      </c>
      <c r="H1912">
        <f>IF(F1912="","",IF(F1912&lt;'02_Eingaben'!$C$18*'02_Eingaben'!$C$10,1,0))</f>
        <v/>
      </c>
      <c r="I1912" s="27">
        <f>IF(OR(G1912="",G1913=""),"",(G1912+G1913)/2*(B1913-B1912))</f>
        <v/>
      </c>
      <c r="J1912" s="27">
        <f>IF(B1912="","",IF(B1911&lt;'02_Eingaben'!$C$36,0,J1911+I1911/'02_Eingaben'!$C$8))</f>
        <v/>
      </c>
    </row>
    <row r="1913">
      <c r="A1913">
        <f>IF('01_Rohdaten'!A1913="","",ROW()-1)</f>
        <v/>
      </c>
      <c r="B1913" s="27">
        <f>IF('01_Rohdaten'!A1913="","",'01_Rohdaten'!A1913)</f>
        <v/>
      </c>
      <c r="C1913" s="27">
        <f>IF(B1913="","",INDEX('01_Rohdaten'!B1913:D1913,'02_Eingaben'!$C$13))</f>
        <v/>
      </c>
      <c r="D1913" s="27">
        <f>IF(C1913="","",C1913*'02_Eingaben'!$C$15)</f>
        <v/>
      </c>
      <c r="E1913" s="27">
        <f>IF(D1913="","",D1913*'02_Eingaben'!$C$8)</f>
        <v/>
      </c>
      <c r="F1913" s="27">
        <f>IF(E1913="","",AVERAGE(INDEX($E$2:$E$3001,MAX(1,ROW()-1-'02_Eingaben'!$C$17)):INDEX($E$2:$E$3001,MIN('02_Eingaben'!$C$21,ROW()-1+'02_Eingaben'!$C$17))))</f>
        <v/>
      </c>
      <c r="G1913" s="27">
        <f>IF(F1913="","",F1913-'02_Eingaben'!$C$10)</f>
        <v/>
      </c>
      <c r="H1913">
        <f>IF(F1913="","",IF(F1913&lt;'02_Eingaben'!$C$18*'02_Eingaben'!$C$10,1,0))</f>
        <v/>
      </c>
      <c r="I1913" s="27">
        <f>IF(OR(G1913="",G1914=""),"",(G1913+G1914)/2*(B1914-B1913))</f>
        <v/>
      </c>
      <c r="J1913" s="27">
        <f>IF(B1913="","",IF(B1912&lt;'02_Eingaben'!$C$36,0,J1912+I1912/'02_Eingaben'!$C$8))</f>
        <v/>
      </c>
    </row>
    <row r="1914">
      <c r="A1914">
        <f>IF('01_Rohdaten'!A1914="","",ROW()-1)</f>
        <v/>
      </c>
      <c r="B1914" s="27">
        <f>IF('01_Rohdaten'!A1914="","",'01_Rohdaten'!A1914)</f>
        <v/>
      </c>
      <c r="C1914" s="27">
        <f>IF(B1914="","",INDEX('01_Rohdaten'!B1914:D1914,'02_Eingaben'!$C$13))</f>
        <v/>
      </c>
      <c r="D1914" s="27">
        <f>IF(C1914="","",C1914*'02_Eingaben'!$C$15)</f>
        <v/>
      </c>
      <c r="E1914" s="27">
        <f>IF(D1914="","",D1914*'02_Eingaben'!$C$8)</f>
        <v/>
      </c>
      <c r="F1914" s="27">
        <f>IF(E1914="","",AVERAGE(INDEX($E$2:$E$3001,MAX(1,ROW()-1-'02_Eingaben'!$C$17)):INDEX($E$2:$E$3001,MIN('02_Eingaben'!$C$21,ROW()-1+'02_Eingaben'!$C$17))))</f>
        <v/>
      </c>
      <c r="G1914" s="27">
        <f>IF(F1914="","",F1914-'02_Eingaben'!$C$10)</f>
        <v/>
      </c>
      <c r="H1914">
        <f>IF(F1914="","",IF(F1914&lt;'02_Eingaben'!$C$18*'02_Eingaben'!$C$10,1,0))</f>
        <v/>
      </c>
      <c r="I1914" s="27">
        <f>IF(OR(G1914="",G1915=""),"",(G1914+G1915)/2*(B1915-B1914))</f>
        <v/>
      </c>
      <c r="J1914" s="27">
        <f>IF(B1914="","",IF(B1913&lt;'02_Eingaben'!$C$36,0,J1913+I1913/'02_Eingaben'!$C$8))</f>
        <v/>
      </c>
    </row>
    <row r="1915">
      <c r="A1915">
        <f>IF('01_Rohdaten'!A1915="","",ROW()-1)</f>
        <v/>
      </c>
      <c r="B1915" s="27">
        <f>IF('01_Rohdaten'!A1915="","",'01_Rohdaten'!A1915)</f>
        <v/>
      </c>
      <c r="C1915" s="27">
        <f>IF(B1915="","",INDEX('01_Rohdaten'!B1915:D1915,'02_Eingaben'!$C$13))</f>
        <v/>
      </c>
      <c r="D1915" s="27">
        <f>IF(C1915="","",C1915*'02_Eingaben'!$C$15)</f>
        <v/>
      </c>
      <c r="E1915" s="27">
        <f>IF(D1915="","",D1915*'02_Eingaben'!$C$8)</f>
        <v/>
      </c>
      <c r="F1915" s="27">
        <f>IF(E1915="","",AVERAGE(INDEX($E$2:$E$3001,MAX(1,ROW()-1-'02_Eingaben'!$C$17)):INDEX($E$2:$E$3001,MIN('02_Eingaben'!$C$21,ROW()-1+'02_Eingaben'!$C$17))))</f>
        <v/>
      </c>
      <c r="G1915" s="27">
        <f>IF(F1915="","",F1915-'02_Eingaben'!$C$10)</f>
        <v/>
      </c>
      <c r="H1915">
        <f>IF(F1915="","",IF(F1915&lt;'02_Eingaben'!$C$18*'02_Eingaben'!$C$10,1,0))</f>
        <v/>
      </c>
      <c r="I1915" s="27">
        <f>IF(OR(G1915="",G1916=""),"",(G1915+G1916)/2*(B1916-B1915))</f>
        <v/>
      </c>
      <c r="J1915" s="27">
        <f>IF(B1915="","",IF(B1914&lt;'02_Eingaben'!$C$36,0,J1914+I1914/'02_Eingaben'!$C$8))</f>
        <v/>
      </c>
    </row>
    <row r="1916">
      <c r="A1916">
        <f>IF('01_Rohdaten'!A1916="","",ROW()-1)</f>
        <v/>
      </c>
      <c r="B1916" s="27">
        <f>IF('01_Rohdaten'!A1916="","",'01_Rohdaten'!A1916)</f>
        <v/>
      </c>
      <c r="C1916" s="27">
        <f>IF(B1916="","",INDEX('01_Rohdaten'!B1916:D1916,'02_Eingaben'!$C$13))</f>
        <v/>
      </c>
      <c r="D1916" s="27">
        <f>IF(C1916="","",C1916*'02_Eingaben'!$C$15)</f>
        <v/>
      </c>
      <c r="E1916" s="27">
        <f>IF(D1916="","",D1916*'02_Eingaben'!$C$8)</f>
        <v/>
      </c>
      <c r="F1916" s="27">
        <f>IF(E1916="","",AVERAGE(INDEX($E$2:$E$3001,MAX(1,ROW()-1-'02_Eingaben'!$C$17)):INDEX($E$2:$E$3001,MIN('02_Eingaben'!$C$21,ROW()-1+'02_Eingaben'!$C$17))))</f>
        <v/>
      </c>
      <c r="G1916" s="27">
        <f>IF(F1916="","",F1916-'02_Eingaben'!$C$10)</f>
        <v/>
      </c>
      <c r="H1916">
        <f>IF(F1916="","",IF(F1916&lt;'02_Eingaben'!$C$18*'02_Eingaben'!$C$10,1,0))</f>
        <v/>
      </c>
      <c r="I1916" s="27">
        <f>IF(OR(G1916="",G1917=""),"",(G1916+G1917)/2*(B1917-B1916))</f>
        <v/>
      </c>
      <c r="J1916" s="27">
        <f>IF(B1916="","",IF(B1915&lt;'02_Eingaben'!$C$36,0,J1915+I1915/'02_Eingaben'!$C$8))</f>
        <v/>
      </c>
    </row>
    <row r="1917">
      <c r="A1917">
        <f>IF('01_Rohdaten'!A1917="","",ROW()-1)</f>
        <v/>
      </c>
      <c r="B1917" s="27">
        <f>IF('01_Rohdaten'!A1917="","",'01_Rohdaten'!A1917)</f>
        <v/>
      </c>
      <c r="C1917" s="27">
        <f>IF(B1917="","",INDEX('01_Rohdaten'!B1917:D1917,'02_Eingaben'!$C$13))</f>
        <v/>
      </c>
      <c r="D1917" s="27">
        <f>IF(C1917="","",C1917*'02_Eingaben'!$C$15)</f>
        <v/>
      </c>
      <c r="E1917" s="27">
        <f>IF(D1917="","",D1917*'02_Eingaben'!$C$8)</f>
        <v/>
      </c>
      <c r="F1917" s="27">
        <f>IF(E1917="","",AVERAGE(INDEX($E$2:$E$3001,MAX(1,ROW()-1-'02_Eingaben'!$C$17)):INDEX($E$2:$E$3001,MIN('02_Eingaben'!$C$21,ROW()-1+'02_Eingaben'!$C$17))))</f>
        <v/>
      </c>
      <c r="G1917" s="27">
        <f>IF(F1917="","",F1917-'02_Eingaben'!$C$10)</f>
        <v/>
      </c>
      <c r="H1917">
        <f>IF(F1917="","",IF(F1917&lt;'02_Eingaben'!$C$18*'02_Eingaben'!$C$10,1,0))</f>
        <v/>
      </c>
      <c r="I1917" s="27">
        <f>IF(OR(G1917="",G1918=""),"",(G1917+G1918)/2*(B1918-B1917))</f>
        <v/>
      </c>
      <c r="J1917" s="27">
        <f>IF(B1917="","",IF(B1916&lt;'02_Eingaben'!$C$36,0,J1916+I1916/'02_Eingaben'!$C$8))</f>
        <v/>
      </c>
    </row>
    <row r="1918">
      <c r="A1918">
        <f>IF('01_Rohdaten'!A1918="","",ROW()-1)</f>
        <v/>
      </c>
      <c r="B1918" s="27">
        <f>IF('01_Rohdaten'!A1918="","",'01_Rohdaten'!A1918)</f>
        <v/>
      </c>
      <c r="C1918" s="27">
        <f>IF(B1918="","",INDEX('01_Rohdaten'!B1918:D1918,'02_Eingaben'!$C$13))</f>
        <v/>
      </c>
      <c r="D1918" s="27">
        <f>IF(C1918="","",C1918*'02_Eingaben'!$C$15)</f>
        <v/>
      </c>
      <c r="E1918" s="27">
        <f>IF(D1918="","",D1918*'02_Eingaben'!$C$8)</f>
        <v/>
      </c>
      <c r="F1918" s="27">
        <f>IF(E1918="","",AVERAGE(INDEX($E$2:$E$3001,MAX(1,ROW()-1-'02_Eingaben'!$C$17)):INDEX($E$2:$E$3001,MIN('02_Eingaben'!$C$21,ROW()-1+'02_Eingaben'!$C$17))))</f>
        <v/>
      </c>
      <c r="G1918" s="27">
        <f>IF(F1918="","",F1918-'02_Eingaben'!$C$10)</f>
        <v/>
      </c>
      <c r="H1918">
        <f>IF(F1918="","",IF(F1918&lt;'02_Eingaben'!$C$18*'02_Eingaben'!$C$10,1,0))</f>
        <v/>
      </c>
      <c r="I1918" s="27">
        <f>IF(OR(G1918="",G1919=""),"",(G1918+G1919)/2*(B1919-B1918))</f>
        <v/>
      </c>
      <c r="J1918" s="27">
        <f>IF(B1918="","",IF(B1917&lt;'02_Eingaben'!$C$36,0,J1917+I1917/'02_Eingaben'!$C$8))</f>
        <v/>
      </c>
    </row>
    <row r="1919">
      <c r="A1919">
        <f>IF('01_Rohdaten'!A1919="","",ROW()-1)</f>
        <v/>
      </c>
      <c r="B1919" s="27">
        <f>IF('01_Rohdaten'!A1919="","",'01_Rohdaten'!A1919)</f>
        <v/>
      </c>
      <c r="C1919" s="27">
        <f>IF(B1919="","",INDEX('01_Rohdaten'!B1919:D1919,'02_Eingaben'!$C$13))</f>
        <v/>
      </c>
      <c r="D1919" s="27">
        <f>IF(C1919="","",C1919*'02_Eingaben'!$C$15)</f>
        <v/>
      </c>
      <c r="E1919" s="27">
        <f>IF(D1919="","",D1919*'02_Eingaben'!$C$8)</f>
        <v/>
      </c>
      <c r="F1919" s="27">
        <f>IF(E1919="","",AVERAGE(INDEX($E$2:$E$3001,MAX(1,ROW()-1-'02_Eingaben'!$C$17)):INDEX($E$2:$E$3001,MIN('02_Eingaben'!$C$21,ROW()-1+'02_Eingaben'!$C$17))))</f>
        <v/>
      </c>
      <c r="G1919" s="27">
        <f>IF(F1919="","",F1919-'02_Eingaben'!$C$10)</f>
        <v/>
      </c>
      <c r="H1919">
        <f>IF(F1919="","",IF(F1919&lt;'02_Eingaben'!$C$18*'02_Eingaben'!$C$10,1,0))</f>
        <v/>
      </c>
      <c r="I1919" s="27">
        <f>IF(OR(G1919="",G1920=""),"",(G1919+G1920)/2*(B1920-B1919))</f>
        <v/>
      </c>
      <c r="J1919" s="27">
        <f>IF(B1919="","",IF(B1918&lt;'02_Eingaben'!$C$36,0,J1918+I1918/'02_Eingaben'!$C$8))</f>
        <v/>
      </c>
    </row>
    <row r="1920">
      <c r="A1920">
        <f>IF('01_Rohdaten'!A1920="","",ROW()-1)</f>
        <v/>
      </c>
      <c r="B1920" s="27">
        <f>IF('01_Rohdaten'!A1920="","",'01_Rohdaten'!A1920)</f>
        <v/>
      </c>
      <c r="C1920" s="27">
        <f>IF(B1920="","",INDEX('01_Rohdaten'!B1920:D1920,'02_Eingaben'!$C$13))</f>
        <v/>
      </c>
      <c r="D1920" s="27">
        <f>IF(C1920="","",C1920*'02_Eingaben'!$C$15)</f>
        <v/>
      </c>
      <c r="E1920" s="27">
        <f>IF(D1920="","",D1920*'02_Eingaben'!$C$8)</f>
        <v/>
      </c>
      <c r="F1920" s="27">
        <f>IF(E1920="","",AVERAGE(INDEX($E$2:$E$3001,MAX(1,ROW()-1-'02_Eingaben'!$C$17)):INDEX($E$2:$E$3001,MIN('02_Eingaben'!$C$21,ROW()-1+'02_Eingaben'!$C$17))))</f>
        <v/>
      </c>
      <c r="G1920" s="27">
        <f>IF(F1920="","",F1920-'02_Eingaben'!$C$10)</f>
        <v/>
      </c>
      <c r="H1920">
        <f>IF(F1920="","",IF(F1920&lt;'02_Eingaben'!$C$18*'02_Eingaben'!$C$10,1,0))</f>
        <v/>
      </c>
      <c r="I1920" s="27">
        <f>IF(OR(G1920="",G1921=""),"",(G1920+G1921)/2*(B1921-B1920))</f>
        <v/>
      </c>
      <c r="J1920" s="27">
        <f>IF(B1920="","",IF(B1919&lt;'02_Eingaben'!$C$36,0,J1919+I1919/'02_Eingaben'!$C$8))</f>
        <v/>
      </c>
    </row>
    <row r="1921">
      <c r="A1921">
        <f>IF('01_Rohdaten'!A1921="","",ROW()-1)</f>
        <v/>
      </c>
      <c r="B1921" s="27">
        <f>IF('01_Rohdaten'!A1921="","",'01_Rohdaten'!A1921)</f>
        <v/>
      </c>
      <c r="C1921" s="27">
        <f>IF(B1921="","",INDEX('01_Rohdaten'!B1921:D1921,'02_Eingaben'!$C$13))</f>
        <v/>
      </c>
      <c r="D1921" s="27">
        <f>IF(C1921="","",C1921*'02_Eingaben'!$C$15)</f>
        <v/>
      </c>
      <c r="E1921" s="27">
        <f>IF(D1921="","",D1921*'02_Eingaben'!$C$8)</f>
        <v/>
      </c>
      <c r="F1921" s="27">
        <f>IF(E1921="","",AVERAGE(INDEX($E$2:$E$3001,MAX(1,ROW()-1-'02_Eingaben'!$C$17)):INDEX($E$2:$E$3001,MIN('02_Eingaben'!$C$21,ROW()-1+'02_Eingaben'!$C$17))))</f>
        <v/>
      </c>
      <c r="G1921" s="27">
        <f>IF(F1921="","",F1921-'02_Eingaben'!$C$10)</f>
        <v/>
      </c>
      <c r="H1921">
        <f>IF(F1921="","",IF(F1921&lt;'02_Eingaben'!$C$18*'02_Eingaben'!$C$10,1,0))</f>
        <v/>
      </c>
      <c r="I1921" s="27">
        <f>IF(OR(G1921="",G1922=""),"",(G1921+G1922)/2*(B1922-B1921))</f>
        <v/>
      </c>
      <c r="J1921" s="27">
        <f>IF(B1921="","",IF(B1920&lt;'02_Eingaben'!$C$36,0,J1920+I1920/'02_Eingaben'!$C$8))</f>
        <v/>
      </c>
    </row>
    <row r="1922">
      <c r="A1922">
        <f>IF('01_Rohdaten'!A1922="","",ROW()-1)</f>
        <v/>
      </c>
      <c r="B1922" s="27">
        <f>IF('01_Rohdaten'!A1922="","",'01_Rohdaten'!A1922)</f>
        <v/>
      </c>
      <c r="C1922" s="27">
        <f>IF(B1922="","",INDEX('01_Rohdaten'!B1922:D1922,'02_Eingaben'!$C$13))</f>
        <v/>
      </c>
      <c r="D1922" s="27">
        <f>IF(C1922="","",C1922*'02_Eingaben'!$C$15)</f>
        <v/>
      </c>
      <c r="E1922" s="27">
        <f>IF(D1922="","",D1922*'02_Eingaben'!$C$8)</f>
        <v/>
      </c>
      <c r="F1922" s="27">
        <f>IF(E1922="","",AVERAGE(INDEX($E$2:$E$3001,MAX(1,ROW()-1-'02_Eingaben'!$C$17)):INDEX($E$2:$E$3001,MIN('02_Eingaben'!$C$21,ROW()-1+'02_Eingaben'!$C$17))))</f>
        <v/>
      </c>
      <c r="G1922" s="27">
        <f>IF(F1922="","",F1922-'02_Eingaben'!$C$10)</f>
        <v/>
      </c>
      <c r="H1922">
        <f>IF(F1922="","",IF(F1922&lt;'02_Eingaben'!$C$18*'02_Eingaben'!$C$10,1,0))</f>
        <v/>
      </c>
      <c r="I1922" s="27">
        <f>IF(OR(G1922="",G1923=""),"",(G1922+G1923)/2*(B1923-B1922))</f>
        <v/>
      </c>
      <c r="J1922" s="27">
        <f>IF(B1922="","",IF(B1921&lt;'02_Eingaben'!$C$36,0,J1921+I1921/'02_Eingaben'!$C$8))</f>
        <v/>
      </c>
    </row>
    <row r="1923">
      <c r="A1923">
        <f>IF('01_Rohdaten'!A1923="","",ROW()-1)</f>
        <v/>
      </c>
      <c r="B1923" s="27">
        <f>IF('01_Rohdaten'!A1923="","",'01_Rohdaten'!A1923)</f>
        <v/>
      </c>
      <c r="C1923" s="27">
        <f>IF(B1923="","",INDEX('01_Rohdaten'!B1923:D1923,'02_Eingaben'!$C$13))</f>
        <v/>
      </c>
      <c r="D1923" s="27">
        <f>IF(C1923="","",C1923*'02_Eingaben'!$C$15)</f>
        <v/>
      </c>
      <c r="E1923" s="27">
        <f>IF(D1923="","",D1923*'02_Eingaben'!$C$8)</f>
        <v/>
      </c>
      <c r="F1923" s="27">
        <f>IF(E1923="","",AVERAGE(INDEX($E$2:$E$3001,MAX(1,ROW()-1-'02_Eingaben'!$C$17)):INDEX($E$2:$E$3001,MIN('02_Eingaben'!$C$21,ROW()-1+'02_Eingaben'!$C$17))))</f>
        <v/>
      </c>
      <c r="G1923" s="27">
        <f>IF(F1923="","",F1923-'02_Eingaben'!$C$10)</f>
        <v/>
      </c>
      <c r="H1923">
        <f>IF(F1923="","",IF(F1923&lt;'02_Eingaben'!$C$18*'02_Eingaben'!$C$10,1,0))</f>
        <v/>
      </c>
      <c r="I1923" s="27">
        <f>IF(OR(G1923="",G1924=""),"",(G1923+G1924)/2*(B1924-B1923))</f>
        <v/>
      </c>
      <c r="J1923" s="27">
        <f>IF(B1923="","",IF(B1922&lt;'02_Eingaben'!$C$36,0,J1922+I1922/'02_Eingaben'!$C$8))</f>
        <v/>
      </c>
    </row>
    <row r="1924">
      <c r="A1924">
        <f>IF('01_Rohdaten'!A1924="","",ROW()-1)</f>
        <v/>
      </c>
      <c r="B1924" s="27">
        <f>IF('01_Rohdaten'!A1924="","",'01_Rohdaten'!A1924)</f>
        <v/>
      </c>
      <c r="C1924" s="27">
        <f>IF(B1924="","",INDEX('01_Rohdaten'!B1924:D1924,'02_Eingaben'!$C$13))</f>
        <v/>
      </c>
      <c r="D1924" s="27">
        <f>IF(C1924="","",C1924*'02_Eingaben'!$C$15)</f>
        <v/>
      </c>
      <c r="E1924" s="27">
        <f>IF(D1924="","",D1924*'02_Eingaben'!$C$8)</f>
        <v/>
      </c>
      <c r="F1924" s="27">
        <f>IF(E1924="","",AVERAGE(INDEX($E$2:$E$3001,MAX(1,ROW()-1-'02_Eingaben'!$C$17)):INDEX($E$2:$E$3001,MIN('02_Eingaben'!$C$21,ROW()-1+'02_Eingaben'!$C$17))))</f>
        <v/>
      </c>
      <c r="G1924" s="27">
        <f>IF(F1924="","",F1924-'02_Eingaben'!$C$10)</f>
        <v/>
      </c>
      <c r="H1924">
        <f>IF(F1924="","",IF(F1924&lt;'02_Eingaben'!$C$18*'02_Eingaben'!$C$10,1,0))</f>
        <v/>
      </c>
      <c r="I1924" s="27">
        <f>IF(OR(G1924="",G1925=""),"",(G1924+G1925)/2*(B1925-B1924))</f>
        <v/>
      </c>
      <c r="J1924" s="27">
        <f>IF(B1924="","",IF(B1923&lt;'02_Eingaben'!$C$36,0,J1923+I1923/'02_Eingaben'!$C$8))</f>
        <v/>
      </c>
    </row>
    <row r="1925">
      <c r="A1925">
        <f>IF('01_Rohdaten'!A1925="","",ROW()-1)</f>
        <v/>
      </c>
      <c r="B1925" s="27">
        <f>IF('01_Rohdaten'!A1925="","",'01_Rohdaten'!A1925)</f>
        <v/>
      </c>
      <c r="C1925" s="27">
        <f>IF(B1925="","",INDEX('01_Rohdaten'!B1925:D1925,'02_Eingaben'!$C$13))</f>
        <v/>
      </c>
      <c r="D1925" s="27">
        <f>IF(C1925="","",C1925*'02_Eingaben'!$C$15)</f>
        <v/>
      </c>
      <c r="E1925" s="27">
        <f>IF(D1925="","",D1925*'02_Eingaben'!$C$8)</f>
        <v/>
      </c>
      <c r="F1925" s="27">
        <f>IF(E1925="","",AVERAGE(INDEX($E$2:$E$3001,MAX(1,ROW()-1-'02_Eingaben'!$C$17)):INDEX($E$2:$E$3001,MIN('02_Eingaben'!$C$21,ROW()-1+'02_Eingaben'!$C$17))))</f>
        <v/>
      </c>
      <c r="G1925" s="27">
        <f>IF(F1925="","",F1925-'02_Eingaben'!$C$10)</f>
        <v/>
      </c>
      <c r="H1925">
        <f>IF(F1925="","",IF(F1925&lt;'02_Eingaben'!$C$18*'02_Eingaben'!$C$10,1,0))</f>
        <v/>
      </c>
      <c r="I1925" s="27">
        <f>IF(OR(G1925="",G1926=""),"",(G1925+G1926)/2*(B1926-B1925))</f>
        <v/>
      </c>
      <c r="J1925" s="27">
        <f>IF(B1925="","",IF(B1924&lt;'02_Eingaben'!$C$36,0,J1924+I1924/'02_Eingaben'!$C$8))</f>
        <v/>
      </c>
    </row>
    <row r="1926">
      <c r="A1926">
        <f>IF('01_Rohdaten'!A1926="","",ROW()-1)</f>
        <v/>
      </c>
      <c r="B1926" s="27">
        <f>IF('01_Rohdaten'!A1926="","",'01_Rohdaten'!A1926)</f>
        <v/>
      </c>
      <c r="C1926" s="27">
        <f>IF(B1926="","",INDEX('01_Rohdaten'!B1926:D1926,'02_Eingaben'!$C$13))</f>
        <v/>
      </c>
      <c r="D1926" s="27">
        <f>IF(C1926="","",C1926*'02_Eingaben'!$C$15)</f>
        <v/>
      </c>
      <c r="E1926" s="27">
        <f>IF(D1926="","",D1926*'02_Eingaben'!$C$8)</f>
        <v/>
      </c>
      <c r="F1926" s="27">
        <f>IF(E1926="","",AVERAGE(INDEX($E$2:$E$3001,MAX(1,ROW()-1-'02_Eingaben'!$C$17)):INDEX($E$2:$E$3001,MIN('02_Eingaben'!$C$21,ROW()-1+'02_Eingaben'!$C$17))))</f>
        <v/>
      </c>
      <c r="G1926" s="27">
        <f>IF(F1926="","",F1926-'02_Eingaben'!$C$10)</f>
        <v/>
      </c>
      <c r="H1926">
        <f>IF(F1926="","",IF(F1926&lt;'02_Eingaben'!$C$18*'02_Eingaben'!$C$10,1,0))</f>
        <v/>
      </c>
      <c r="I1926" s="27">
        <f>IF(OR(G1926="",G1927=""),"",(G1926+G1927)/2*(B1927-B1926))</f>
        <v/>
      </c>
      <c r="J1926" s="27">
        <f>IF(B1926="","",IF(B1925&lt;'02_Eingaben'!$C$36,0,J1925+I1925/'02_Eingaben'!$C$8))</f>
        <v/>
      </c>
    </row>
    <row r="1927">
      <c r="A1927">
        <f>IF('01_Rohdaten'!A1927="","",ROW()-1)</f>
        <v/>
      </c>
      <c r="B1927" s="27">
        <f>IF('01_Rohdaten'!A1927="","",'01_Rohdaten'!A1927)</f>
        <v/>
      </c>
      <c r="C1927" s="27">
        <f>IF(B1927="","",INDEX('01_Rohdaten'!B1927:D1927,'02_Eingaben'!$C$13))</f>
        <v/>
      </c>
      <c r="D1927" s="27">
        <f>IF(C1927="","",C1927*'02_Eingaben'!$C$15)</f>
        <v/>
      </c>
      <c r="E1927" s="27">
        <f>IF(D1927="","",D1927*'02_Eingaben'!$C$8)</f>
        <v/>
      </c>
      <c r="F1927" s="27">
        <f>IF(E1927="","",AVERAGE(INDEX($E$2:$E$3001,MAX(1,ROW()-1-'02_Eingaben'!$C$17)):INDEX($E$2:$E$3001,MIN('02_Eingaben'!$C$21,ROW()-1+'02_Eingaben'!$C$17))))</f>
        <v/>
      </c>
      <c r="G1927" s="27">
        <f>IF(F1927="","",F1927-'02_Eingaben'!$C$10)</f>
        <v/>
      </c>
      <c r="H1927">
        <f>IF(F1927="","",IF(F1927&lt;'02_Eingaben'!$C$18*'02_Eingaben'!$C$10,1,0))</f>
        <v/>
      </c>
      <c r="I1927" s="27">
        <f>IF(OR(G1927="",G1928=""),"",(G1927+G1928)/2*(B1928-B1927))</f>
        <v/>
      </c>
      <c r="J1927" s="27">
        <f>IF(B1927="","",IF(B1926&lt;'02_Eingaben'!$C$36,0,J1926+I1926/'02_Eingaben'!$C$8))</f>
        <v/>
      </c>
    </row>
    <row r="1928">
      <c r="A1928">
        <f>IF('01_Rohdaten'!A1928="","",ROW()-1)</f>
        <v/>
      </c>
      <c r="B1928" s="27">
        <f>IF('01_Rohdaten'!A1928="","",'01_Rohdaten'!A1928)</f>
        <v/>
      </c>
      <c r="C1928" s="27">
        <f>IF(B1928="","",INDEX('01_Rohdaten'!B1928:D1928,'02_Eingaben'!$C$13))</f>
        <v/>
      </c>
      <c r="D1928" s="27">
        <f>IF(C1928="","",C1928*'02_Eingaben'!$C$15)</f>
        <v/>
      </c>
      <c r="E1928" s="27">
        <f>IF(D1928="","",D1928*'02_Eingaben'!$C$8)</f>
        <v/>
      </c>
      <c r="F1928" s="27">
        <f>IF(E1928="","",AVERAGE(INDEX($E$2:$E$3001,MAX(1,ROW()-1-'02_Eingaben'!$C$17)):INDEX($E$2:$E$3001,MIN('02_Eingaben'!$C$21,ROW()-1+'02_Eingaben'!$C$17))))</f>
        <v/>
      </c>
      <c r="G1928" s="27">
        <f>IF(F1928="","",F1928-'02_Eingaben'!$C$10)</f>
        <v/>
      </c>
      <c r="H1928">
        <f>IF(F1928="","",IF(F1928&lt;'02_Eingaben'!$C$18*'02_Eingaben'!$C$10,1,0))</f>
        <v/>
      </c>
      <c r="I1928" s="27">
        <f>IF(OR(G1928="",G1929=""),"",(G1928+G1929)/2*(B1929-B1928))</f>
        <v/>
      </c>
      <c r="J1928" s="27">
        <f>IF(B1928="","",IF(B1927&lt;'02_Eingaben'!$C$36,0,J1927+I1927/'02_Eingaben'!$C$8))</f>
        <v/>
      </c>
    </row>
    <row r="1929">
      <c r="A1929">
        <f>IF('01_Rohdaten'!A1929="","",ROW()-1)</f>
        <v/>
      </c>
      <c r="B1929" s="27">
        <f>IF('01_Rohdaten'!A1929="","",'01_Rohdaten'!A1929)</f>
        <v/>
      </c>
      <c r="C1929" s="27">
        <f>IF(B1929="","",INDEX('01_Rohdaten'!B1929:D1929,'02_Eingaben'!$C$13))</f>
        <v/>
      </c>
      <c r="D1929" s="27">
        <f>IF(C1929="","",C1929*'02_Eingaben'!$C$15)</f>
        <v/>
      </c>
      <c r="E1929" s="27">
        <f>IF(D1929="","",D1929*'02_Eingaben'!$C$8)</f>
        <v/>
      </c>
      <c r="F1929" s="27">
        <f>IF(E1929="","",AVERAGE(INDEX($E$2:$E$3001,MAX(1,ROW()-1-'02_Eingaben'!$C$17)):INDEX($E$2:$E$3001,MIN('02_Eingaben'!$C$21,ROW()-1+'02_Eingaben'!$C$17))))</f>
        <v/>
      </c>
      <c r="G1929" s="27">
        <f>IF(F1929="","",F1929-'02_Eingaben'!$C$10)</f>
        <v/>
      </c>
      <c r="H1929">
        <f>IF(F1929="","",IF(F1929&lt;'02_Eingaben'!$C$18*'02_Eingaben'!$C$10,1,0))</f>
        <v/>
      </c>
      <c r="I1929" s="27">
        <f>IF(OR(G1929="",G1930=""),"",(G1929+G1930)/2*(B1930-B1929))</f>
        <v/>
      </c>
      <c r="J1929" s="27">
        <f>IF(B1929="","",IF(B1928&lt;'02_Eingaben'!$C$36,0,J1928+I1928/'02_Eingaben'!$C$8))</f>
        <v/>
      </c>
    </row>
    <row r="1930">
      <c r="A1930">
        <f>IF('01_Rohdaten'!A1930="","",ROW()-1)</f>
        <v/>
      </c>
      <c r="B1930" s="27">
        <f>IF('01_Rohdaten'!A1930="","",'01_Rohdaten'!A1930)</f>
        <v/>
      </c>
      <c r="C1930" s="27">
        <f>IF(B1930="","",INDEX('01_Rohdaten'!B1930:D1930,'02_Eingaben'!$C$13))</f>
        <v/>
      </c>
      <c r="D1930" s="27">
        <f>IF(C1930="","",C1930*'02_Eingaben'!$C$15)</f>
        <v/>
      </c>
      <c r="E1930" s="27">
        <f>IF(D1930="","",D1930*'02_Eingaben'!$C$8)</f>
        <v/>
      </c>
      <c r="F1930" s="27">
        <f>IF(E1930="","",AVERAGE(INDEX($E$2:$E$3001,MAX(1,ROW()-1-'02_Eingaben'!$C$17)):INDEX($E$2:$E$3001,MIN('02_Eingaben'!$C$21,ROW()-1+'02_Eingaben'!$C$17))))</f>
        <v/>
      </c>
      <c r="G1930" s="27">
        <f>IF(F1930="","",F1930-'02_Eingaben'!$C$10)</f>
        <v/>
      </c>
      <c r="H1930">
        <f>IF(F1930="","",IF(F1930&lt;'02_Eingaben'!$C$18*'02_Eingaben'!$C$10,1,0))</f>
        <v/>
      </c>
      <c r="I1930" s="27">
        <f>IF(OR(G1930="",G1931=""),"",(G1930+G1931)/2*(B1931-B1930))</f>
        <v/>
      </c>
      <c r="J1930" s="27">
        <f>IF(B1930="","",IF(B1929&lt;'02_Eingaben'!$C$36,0,J1929+I1929/'02_Eingaben'!$C$8))</f>
        <v/>
      </c>
    </row>
    <row r="1931">
      <c r="A1931">
        <f>IF('01_Rohdaten'!A1931="","",ROW()-1)</f>
        <v/>
      </c>
      <c r="B1931" s="27">
        <f>IF('01_Rohdaten'!A1931="","",'01_Rohdaten'!A1931)</f>
        <v/>
      </c>
      <c r="C1931" s="27">
        <f>IF(B1931="","",INDEX('01_Rohdaten'!B1931:D1931,'02_Eingaben'!$C$13))</f>
        <v/>
      </c>
      <c r="D1931" s="27">
        <f>IF(C1931="","",C1931*'02_Eingaben'!$C$15)</f>
        <v/>
      </c>
      <c r="E1931" s="27">
        <f>IF(D1931="","",D1931*'02_Eingaben'!$C$8)</f>
        <v/>
      </c>
      <c r="F1931" s="27">
        <f>IF(E1931="","",AVERAGE(INDEX($E$2:$E$3001,MAX(1,ROW()-1-'02_Eingaben'!$C$17)):INDEX($E$2:$E$3001,MIN('02_Eingaben'!$C$21,ROW()-1+'02_Eingaben'!$C$17))))</f>
        <v/>
      </c>
      <c r="G1931" s="27">
        <f>IF(F1931="","",F1931-'02_Eingaben'!$C$10)</f>
        <v/>
      </c>
      <c r="H1931">
        <f>IF(F1931="","",IF(F1931&lt;'02_Eingaben'!$C$18*'02_Eingaben'!$C$10,1,0))</f>
        <v/>
      </c>
      <c r="I1931" s="27">
        <f>IF(OR(G1931="",G1932=""),"",(G1931+G1932)/2*(B1932-B1931))</f>
        <v/>
      </c>
      <c r="J1931" s="27">
        <f>IF(B1931="","",IF(B1930&lt;'02_Eingaben'!$C$36,0,J1930+I1930/'02_Eingaben'!$C$8))</f>
        <v/>
      </c>
    </row>
    <row r="1932">
      <c r="A1932">
        <f>IF('01_Rohdaten'!A1932="","",ROW()-1)</f>
        <v/>
      </c>
      <c r="B1932" s="27">
        <f>IF('01_Rohdaten'!A1932="","",'01_Rohdaten'!A1932)</f>
        <v/>
      </c>
      <c r="C1932" s="27">
        <f>IF(B1932="","",INDEX('01_Rohdaten'!B1932:D1932,'02_Eingaben'!$C$13))</f>
        <v/>
      </c>
      <c r="D1932" s="27">
        <f>IF(C1932="","",C1932*'02_Eingaben'!$C$15)</f>
        <v/>
      </c>
      <c r="E1932" s="27">
        <f>IF(D1932="","",D1932*'02_Eingaben'!$C$8)</f>
        <v/>
      </c>
      <c r="F1932" s="27">
        <f>IF(E1932="","",AVERAGE(INDEX($E$2:$E$3001,MAX(1,ROW()-1-'02_Eingaben'!$C$17)):INDEX($E$2:$E$3001,MIN('02_Eingaben'!$C$21,ROW()-1+'02_Eingaben'!$C$17))))</f>
        <v/>
      </c>
      <c r="G1932" s="27">
        <f>IF(F1932="","",F1932-'02_Eingaben'!$C$10)</f>
        <v/>
      </c>
      <c r="H1932">
        <f>IF(F1932="","",IF(F1932&lt;'02_Eingaben'!$C$18*'02_Eingaben'!$C$10,1,0))</f>
        <v/>
      </c>
      <c r="I1932" s="27">
        <f>IF(OR(G1932="",G1933=""),"",(G1932+G1933)/2*(B1933-B1932))</f>
        <v/>
      </c>
      <c r="J1932" s="27">
        <f>IF(B1932="","",IF(B1931&lt;'02_Eingaben'!$C$36,0,J1931+I1931/'02_Eingaben'!$C$8))</f>
        <v/>
      </c>
    </row>
    <row r="1933">
      <c r="A1933">
        <f>IF('01_Rohdaten'!A1933="","",ROW()-1)</f>
        <v/>
      </c>
      <c r="B1933" s="27">
        <f>IF('01_Rohdaten'!A1933="","",'01_Rohdaten'!A1933)</f>
        <v/>
      </c>
      <c r="C1933" s="27">
        <f>IF(B1933="","",INDEX('01_Rohdaten'!B1933:D1933,'02_Eingaben'!$C$13))</f>
        <v/>
      </c>
      <c r="D1933" s="27">
        <f>IF(C1933="","",C1933*'02_Eingaben'!$C$15)</f>
        <v/>
      </c>
      <c r="E1933" s="27">
        <f>IF(D1933="","",D1933*'02_Eingaben'!$C$8)</f>
        <v/>
      </c>
      <c r="F1933" s="27">
        <f>IF(E1933="","",AVERAGE(INDEX($E$2:$E$3001,MAX(1,ROW()-1-'02_Eingaben'!$C$17)):INDEX($E$2:$E$3001,MIN('02_Eingaben'!$C$21,ROW()-1+'02_Eingaben'!$C$17))))</f>
        <v/>
      </c>
      <c r="G1933" s="27">
        <f>IF(F1933="","",F1933-'02_Eingaben'!$C$10)</f>
        <v/>
      </c>
      <c r="H1933">
        <f>IF(F1933="","",IF(F1933&lt;'02_Eingaben'!$C$18*'02_Eingaben'!$C$10,1,0))</f>
        <v/>
      </c>
      <c r="I1933" s="27">
        <f>IF(OR(G1933="",G1934=""),"",(G1933+G1934)/2*(B1934-B1933))</f>
        <v/>
      </c>
      <c r="J1933" s="27">
        <f>IF(B1933="","",IF(B1932&lt;'02_Eingaben'!$C$36,0,J1932+I1932/'02_Eingaben'!$C$8))</f>
        <v/>
      </c>
    </row>
    <row r="1934">
      <c r="A1934">
        <f>IF('01_Rohdaten'!A1934="","",ROW()-1)</f>
        <v/>
      </c>
      <c r="B1934" s="27">
        <f>IF('01_Rohdaten'!A1934="","",'01_Rohdaten'!A1934)</f>
        <v/>
      </c>
      <c r="C1934" s="27">
        <f>IF(B1934="","",INDEX('01_Rohdaten'!B1934:D1934,'02_Eingaben'!$C$13))</f>
        <v/>
      </c>
      <c r="D1934" s="27">
        <f>IF(C1934="","",C1934*'02_Eingaben'!$C$15)</f>
        <v/>
      </c>
      <c r="E1934" s="27">
        <f>IF(D1934="","",D1934*'02_Eingaben'!$C$8)</f>
        <v/>
      </c>
      <c r="F1934" s="27">
        <f>IF(E1934="","",AVERAGE(INDEX($E$2:$E$3001,MAX(1,ROW()-1-'02_Eingaben'!$C$17)):INDEX($E$2:$E$3001,MIN('02_Eingaben'!$C$21,ROW()-1+'02_Eingaben'!$C$17))))</f>
        <v/>
      </c>
      <c r="G1934" s="27">
        <f>IF(F1934="","",F1934-'02_Eingaben'!$C$10)</f>
        <v/>
      </c>
      <c r="H1934">
        <f>IF(F1934="","",IF(F1934&lt;'02_Eingaben'!$C$18*'02_Eingaben'!$C$10,1,0))</f>
        <v/>
      </c>
      <c r="I1934" s="27">
        <f>IF(OR(G1934="",G1935=""),"",(G1934+G1935)/2*(B1935-B1934))</f>
        <v/>
      </c>
      <c r="J1934" s="27">
        <f>IF(B1934="","",IF(B1933&lt;'02_Eingaben'!$C$36,0,J1933+I1933/'02_Eingaben'!$C$8))</f>
        <v/>
      </c>
    </row>
    <row r="1935">
      <c r="A1935">
        <f>IF('01_Rohdaten'!A1935="","",ROW()-1)</f>
        <v/>
      </c>
      <c r="B1935" s="27">
        <f>IF('01_Rohdaten'!A1935="","",'01_Rohdaten'!A1935)</f>
        <v/>
      </c>
      <c r="C1935" s="27">
        <f>IF(B1935="","",INDEX('01_Rohdaten'!B1935:D1935,'02_Eingaben'!$C$13))</f>
        <v/>
      </c>
      <c r="D1935" s="27">
        <f>IF(C1935="","",C1935*'02_Eingaben'!$C$15)</f>
        <v/>
      </c>
      <c r="E1935" s="27">
        <f>IF(D1935="","",D1935*'02_Eingaben'!$C$8)</f>
        <v/>
      </c>
      <c r="F1935" s="27">
        <f>IF(E1935="","",AVERAGE(INDEX($E$2:$E$3001,MAX(1,ROW()-1-'02_Eingaben'!$C$17)):INDEX($E$2:$E$3001,MIN('02_Eingaben'!$C$21,ROW()-1+'02_Eingaben'!$C$17))))</f>
        <v/>
      </c>
      <c r="G1935" s="27">
        <f>IF(F1935="","",F1935-'02_Eingaben'!$C$10)</f>
        <v/>
      </c>
      <c r="H1935">
        <f>IF(F1935="","",IF(F1935&lt;'02_Eingaben'!$C$18*'02_Eingaben'!$C$10,1,0))</f>
        <v/>
      </c>
      <c r="I1935" s="27">
        <f>IF(OR(G1935="",G1936=""),"",(G1935+G1936)/2*(B1936-B1935))</f>
        <v/>
      </c>
      <c r="J1935" s="27">
        <f>IF(B1935="","",IF(B1934&lt;'02_Eingaben'!$C$36,0,J1934+I1934/'02_Eingaben'!$C$8))</f>
        <v/>
      </c>
    </row>
    <row r="1936">
      <c r="A1936">
        <f>IF('01_Rohdaten'!A1936="","",ROW()-1)</f>
        <v/>
      </c>
      <c r="B1936" s="27">
        <f>IF('01_Rohdaten'!A1936="","",'01_Rohdaten'!A1936)</f>
        <v/>
      </c>
      <c r="C1936" s="27">
        <f>IF(B1936="","",INDEX('01_Rohdaten'!B1936:D1936,'02_Eingaben'!$C$13))</f>
        <v/>
      </c>
      <c r="D1936" s="27">
        <f>IF(C1936="","",C1936*'02_Eingaben'!$C$15)</f>
        <v/>
      </c>
      <c r="E1936" s="27">
        <f>IF(D1936="","",D1936*'02_Eingaben'!$C$8)</f>
        <v/>
      </c>
      <c r="F1936" s="27">
        <f>IF(E1936="","",AVERAGE(INDEX($E$2:$E$3001,MAX(1,ROW()-1-'02_Eingaben'!$C$17)):INDEX($E$2:$E$3001,MIN('02_Eingaben'!$C$21,ROW()-1+'02_Eingaben'!$C$17))))</f>
        <v/>
      </c>
      <c r="G1936" s="27">
        <f>IF(F1936="","",F1936-'02_Eingaben'!$C$10)</f>
        <v/>
      </c>
      <c r="H1936">
        <f>IF(F1936="","",IF(F1936&lt;'02_Eingaben'!$C$18*'02_Eingaben'!$C$10,1,0))</f>
        <v/>
      </c>
      <c r="I1936" s="27">
        <f>IF(OR(G1936="",G1937=""),"",(G1936+G1937)/2*(B1937-B1936))</f>
        <v/>
      </c>
      <c r="J1936" s="27">
        <f>IF(B1936="","",IF(B1935&lt;'02_Eingaben'!$C$36,0,J1935+I1935/'02_Eingaben'!$C$8))</f>
        <v/>
      </c>
    </row>
    <row r="1937">
      <c r="A1937">
        <f>IF('01_Rohdaten'!A1937="","",ROW()-1)</f>
        <v/>
      </c>
      <c r="B1937" s="27">
        <f>IF('01_Rohdaten'!A1937="","",'01_Rohdaten'!A1937)</f>
        <v/>
      </c>
      <c r="C1937" s="27">
        <f>IF(B1937="","",INDEX('01_Rohdaten'!B1937:D1937,'02_Eingaben'!$C$13))</f>
        <v/>
      </c>
      <c r="D1937" s="27">
        <f>IF(C1937="","",C1937*'02_Eingaben'!$C$15)</f>
        <v/>
      </c>
      <c r="E1937" s="27">
        <f>IF(D1937="","",D1937*'02_Eingaben'!$C$8)</f>
        <v/>
      </c>
      <c r="F1937" s="27">
        <f>IF(E1937="","",AVERAGE(INDEX($E$2:$E$3001,MAX(1,ROW()-1-'02_Eingaben'!$C$17)):INDEX($E$2:$E$3001,MIN('02_Eingaben'!$C$21,ROW()-1+'02_Eingaben'!$C$17))))</f>
        <v/>
      </c>
      <c r="G1937" s="27">
        <f>IF(F1937="","",F1937-'02_Eingaben'!$C$10)</f>
        <v/>
      </c>
      <c r="H1937">
        <f>IF(F1937="","",IF(F1937&lt;'02_Eingaben'!$C$18*'02_Eingaben'!$C$10,1,0))</f>
        <v/>
      </c>
      <c r="I1937" s="27">
        <f>IF(OR(G1937="",G1938=""),"",(G1937+G1938)/2*(B1938-B1937))</f>
        <v/>
      </c>
      <c r="J1937" s="27">
        <f>IF(B1937="","",IF(B1936&lt;'02_Eingaben'!$C$36,0,J1936+I1936/'02_Eingaben'!$C$8))</f>
        <v/>
      </c>
    </row>
    <row r="1938">
      <c r="A1938">
        <f>IF('01_Rohdaten'!A1938="","",ROW()-1)</f>
        <v/>
      </c>
      <c r="B1938" s="27">
        <f>IF('01_Rohdaten'!A1938="","",'01_Rohdaten'!A1938)</f>
        <v/>
      </c>
      <c r="C1938" s="27">
        <f>IF(B1938="","",INDEX('01_Rohdaten'!B1938:D1938,'02_Eingaben'!$C$13))</f>
        <v/>
      </c>
      <c r="D1938" s="27">
        <f>IF(C1938="","",C1938*'02_Eingaben'!$C$15)</f>
        <v/>
      </c>
      <c r="E1938" s="27">
        <f>IF(D1938="","",D1938*'02_Eingaben'!$C$8)</f>
        <v/>
      </c>
      <c r="F1938" s="27">
        <f>IF(E1938="","",AVERAGE(INDEX($E$2:$E$3001,MAX(1,ROW()-1-'02_Eingaben'!$C$17)):INDEX($E$2:$E$3001,MIN('02_Eingaben'!$C$21,ROW()-1+'02_Eingaben'!$C$17))))</f>
        <v/>
      </c>
      <c r="G1938" s="27">
        <f>IF(F1938="","",F1938-'02_Eingaben'!$C$10)</f>
        <v/>
      </c>
      <c r="H1938">
        <f>IF(F1938="","",IF(F1938&lt;'02_Eingaben'!$C$18*'02_Eingaben'!$C$10,1,0))</f>
        <v/>
      </c>
      <c r="I1938" s="27">
        <f>IF(OR(G1938="",G1939=""),"",(G1938+G1939)/2*(B1939-B1938))</f>
        <v/>
      </c>
      <c r="J1938" s="27">
        <f>IF(B1938="","",IF(B1937&lt;'02_Eingaben'!$C$36,0,J1937+I1937/'02_Eingaben'!$C$8))</f>
        <v/>
      </c>
    </row>
    <row r="1939">
      <c r="A1939">
        <f>IF('01_Rohdaten'!A1939="","",ROW()-1)</f>
        <v/>
      </c>
      <c r="B1939" s="27">
        <f>IF('01_Rohdaten'!A1939="","",'01_Rohdaten'!A1939)</f>
        <v/>
      </c>
      <c r="C1939" s="27">
        <f>IF(B1939="","",INDEX('01_Rohdaten'!B1939:D1939,'02_Eingaben'!$C$13))</f>
        <v/>
      </c>
      <c r="D1939" s="27">
        <f>IF(C1939="","",C1939*'02_Eingaben'!$C$15)</f>
        <v/>
      </c>
      <c r="E1939" s="27">
        <f>IF(D1939="","",D1939*'02_Eingaben'!$C$8)</f>
        <v/>
      </c>
      <c r="F1939" s="27">
        <f>IF(E1939="","",AVERAGE(INDEX($E$2:$E$3001,MAX(1,ROW()-1-'02_Eingaben'!$C$17)):INDEX($E$2:$E$3001,MIN('02_Eingaben'!$C$21,ROW()-1+'02_Eingaben'!$C$17))))</f>
        <v/>
      </c>
      <c r="G1939" s="27">
        <f>IF(F1939="","",F1939-'02_Eingaben'!$C$10)</f>
        <v/>
      </c>
      <c r="H1939">
        <f>IF(F1939="","",IF(F1939&lt;'02_Eingaben'!$C$18*'02_Eingaben'!$C$10,1,0))</f>
        <v/>
      </c>
      <c r="I1939" s="27">
        <f>IF(OR(G1939="",G1940=""),"",(G1939+G1940)/2*(B1940-B1939))</f>
        <v/>
      </c>
      <c r="J1939" s="27">
        <f>IF(B1939="","",IF(B1938&lt;'02_Eingaben'!$C$36,0,J1938+I1938/'02_Eingaben'!$C$8))</f>
        <v/>
      </c>
    </row>
    <row r="1940">
      <c r="A1940">
        <f>IF('01_Rohdaten'!A1940="","",ROW()-1)</f>
        <v/>
      </c>
      <c r="B1940" s="27">
        <f>IF('01_Rohdaten'!A1940="","",'01_Rohdaten'!A1940)</f>
        <v/>
      </c>
      <c r="C1940" s="27">
        <f>IF(B1940="","",INDEX('01_Rohdaten'!B1940:D1940,'02_Eingaben'!$C$13))</f>
        <v/>
      </c>
      <c r="D1940" s="27">
        <f>IF(C1940="","",C1940*'02_Eingaben'!$C$15)</f>
        <v/>
      </c>
      <c r="E1940" s="27">
        <f>IF(D1940="","",D1940*'02_Eingaben'!$C$8)</f>
        <v/>
      </c>
      <c r="F1940" s="27">
        <f>IF(E1940="","",AVERAGE(INDEX($E$2:$E$3001,MAX(1,ROW()-1-'02_Eingaben'!$C$17)):INDEX($E$2:$E$3001,MIN('02_Eingaben'!$C$21,ROW()-1+'02_Eingaben'!$C$17))))</f>
        <v/>
      </c>
      <c r="G1940" s="27">
        <f>IF(F1940="","",F1940-'02_Eingaben'!$C$10)</f>
        <v/>
      </c>
      <c r="H1940">
        <f>IF(F1940="","",IF(F1940&lt;'02_Eingaben'!$C$18*'02_Eingaben'!$C$10,1,0))</f>
        <v/>
      </c>
      <c r="I1940" s="27">
        <f>IF(OR(G1940="",G1941=""),"",(G1940+G1941)/2*(B1941-B1940))</f>
        <v/>
      </c>
      <c r="J1940" s="27">
        <f>IF(B1940="","",IF(B1939&lt;'02_Eingaben'!$C$36,0,J1939+I1939/'02_Eingaben'!$C$8))</f>
        <v/>
      </c>
    </row>
    <row r="1941">
      <c r="A1941">
        <f>IF('01_Rohdaten'!A1941="","",ROW()-1)</f>
        <v/>
      </c>
      <c r="B1941" s="27">
        <f>IF('01_Rohdaten'!A1941="","",'01_Rohdaten'!A1941)</f>
        <v/>
      </c>
      <c r="C1941" s="27">
        <f>IF(B1941="","",INDEX('01_Rohdaten'!B1941:D1941,'02_Eingaben'!$C$13))</f>
        <v/>
      </c>
      <c r="D1941" s="27">
        <f>IF(C1941="","",C1941*'02_Eingaben'!$C$15)</f>
        <v/>
      </c>
      <c r="E1941" s="27">
        <f>IF(D1941="","",D1941*'02_Eingaben'!$C$8)</f>
        <v/>
      </c>
      <c r="F1941" s="27">
        <f>IF(E1941="","",AVERAGE(INDEX($E$2:$E$3001,MAX(1,ROW()-1-'02_Eingaben'!$C$17)):INDEX($E$2:$E$3001,MIN('02_Eingaben'!$C$21,ROW()-1+'02_Eingaben'!$C$17))))</f>
        <v/>
      </c>
      <c r="G1941" s="27">
        <f>IF(F1941="","",F1941-'02_Eingaben'!$C$10)</f>
        <v/>
      </c>
      <c r="H1941">
        <f>IF(F1941="","",IF(F1941&lt;'02_Eingaben'!$C$18*'02_Eingaben'!$C$10,1,0))</f>
        <v/>
      </c>
      <c r="I1941" s="27">
        <f>IF(OR(G1941="",G1942=""),"",(G1941+G1942)/2*(B1942-B1941))</f>
        <v/>
      </c>
      <c r="J1941" s="27">
        <f>IF(B1941="","",IF(B1940&lt;'02_Eingaben'!$C$36,0,J1940+I1940/'02_Eingaben'!$C$8))</f>
        <v/>
      </c>
    </row>
    <row r="1942">
      <c r="A1942">
        <f>IF('01_Rohdaten'!A1942="","",ROW()-1)</f>
        <v/>
      </c>
      <c r="B1942" s="27">
        <f>IF('01_Rohdaten'!A1942="","",'01_Rohdaten'!A1942)</f>
        <v/>
      </c>
      <c r="C1942" s="27">
        <f>IF(B1942="","",INDEX('01_Rohdaten'!B1942:D1942,'02_Eingaben'!$C$13))</f>
        <v/>
      </c>
      <c r="D1942" s="27">
        <f>IF(C1942="","",C1942*'02_Eingaben'!$C$15)</f>
        <v/>
      </c>
      <c r="E1942" s="27">
        <f>IF(D1942="","",D1942*'02_Eingaben'!$C$8)</f>
        <v/>
      </c>
      <c r="F1942" s="27">
        <f>IF(E1942="","",AVERAGE(INDEX($E$2:$E$3001,MAX(1,ROW()-1-'02_Eingaben'!$C$17)):INDEX($E$2:$E$3001,MIN('02_Eingaben'!$C$21,ROW()-1+'02_Eingaben'!$C$17))))</f>
        <v/>
      </c>
      <c r="G1942" s="27">
        <f>IF(F1942="","",F1942-'02_Eingaben'!$C$10)</f>
        <v/>
      </c>
      <c r="H1942">
        <f>IF(F1942="","",IF(F1942&lt;'02_Eingaben'!$C$18*'02_Eingaben'!$C$10,1,0))</f>
        <v/>
      </c>
      <c r="I1942" s="27">
        <f>IF(OR(G1942="",G1943=""),"",(G1942+G1943)/2*(B1943-B1942))</f>
        <v/>
      </c>
      <c r="J1942" s="27">
        <f>IF(B1942="","",IF(B1941&lt;'02_Eingaben'!$C$36,0,J1941+I1941/'02_Eingaben'!$C$8))</f>
        <v/>
      </c>
    </row>
    <row r="1943">
      <c r="A1943">
        <f>IF('01_Rohdaten'!A1943="","",ROW()-1)</f>
        <v/>
      </c>
      <c r="B1943" s="27">
        <f>IF('01_Rohdaten'!A1943="","",'01_Rohdaten'!A1943)</f>
        <v/>
      </c>
      <c r="C1943" s="27">
        <f>IF(B1943="","",INDEX('01_Rohdaten'!B1943:D1943,'02_Eingaben'!$C$13))</f>
        <v/>
      </c>
      <c r="D1943" s="27">
        <f>IF(C1943="","",C1943*'02_Eingaben'!$C$15)</f>
        <v/>
      </c>
      <c r="E1943" s="27">
        <f>IF(D1943="","",D1943*'02_Eingaben'!$C$8)</f>
        <v/>
      </c>
      <c r="F1943" s="27">
        <f>IF(E1943="","",AVERAGE(INDEX($E$2:$E$3001,MAX(1,ROW()-1-'02_Eingaben'!$C$17)):INDEX($E$2:$E$3001,MIN('02_Eingaben'!$C$21,ROW()-1+'02_Eingaben'!$C$17))))</f>
        <v/>
      </c>
      <c r="G1943" s="27">
        <f>IF(F1943="","",F1943-'02_Eingaben'!$C$10)</f>
        <v/>
      </c>
      <c r="H1943">
        <f>IF(F1943="","",IF(F1943&lt;'02_Eingaben'!$C$18*'02_Eingaben'!$C$10,1,0))</f>
        <v/>
      </c>
      <c r="I1943" s="27">
        <f>IF(OR(G1943="",G1944=""),"",(G1943+G1944)/2*(B1944-B1943))</f>
        <v/>
      </c>
      <c r="J1943" s="27">
        <f>IF(B1943="","",IF(B1942&lt;'02_Eingaben'!$C$36,0,J1942+I1942/'02_Eingaben'!$C$8))</f>
        <v/>
      </c>
    </row>
    <row r="1944">
      <c r="A1944">
        <f>IF('01_Rohdaten'!A1944="","",ROW()-1)</f>
        <v/>
      </c>
      <c r="B1944" s="27">
        <f>IF('01_Rohdaten'!A1944="","",'01_Rohdaten'!A1944)</f>
        <v/>
      </c>
      <c r="C1944" s="27">
        <f>IF(B1944="","",INDEX('01_Rohdaten'!B1944:D1944,'02_Eingaben'!$C$13))</f>
        <v/>
      </c>
      <c r="D1944" s="27">
        <f>IF(C1944="","",C1944*'02_Eingaben'!$C$15)</f>
        <v/>
      </c>
      <c r="E1944" s="27">
        <f>IF(D1944="","",D1944*'02_Eingaben'!$C$8)</f>
        <v/>
      </c>
      <c r="F1944" s="27">
        <f>IF(E1944="","",AVERAGE(INDEX($E$2:$E$3001,MAX(1,ROW()-1-'02_Eingaben'!$C$17)):INDEX($E$2:$E$3001,MIN('02_Eingaben'!$C$21,ROW()-1+'02_Eingaben'!$C$17))))</f>
        <v/>
      </c>
      <c r="G1944" s="27">
        <f>IF(F1944="","",F1944-'02_Eingaben'!$C$10)</f>
        <v/>
      </c>
      <c r="H1944">
        <f>IF(F1944="","",IF(F1944&lt;'02_Eingaben'!$C$18*'02_Eingaben'!$C$10,1,0))</f>
        <v/>
      </c>
      <c r="I1944" s="27">
        <f>IF(OR(G1944="",G1945=""),"",(G1944+G1945)/2*(B1945-B1944))</f>
        <v/>
      </c>
      <c r="J1944" s="27">
        <f>IF(B1944="","",IF(B1943&lt;'02_Eingaben'!$C$36,0,J1943+I1943/'02_Eingaben'!$C$8))</f>
        <v/>
      </c>
    </row>
    <row r="1945">
      <c r="A1945">
        <f>IF('01_Rohdaten'!A1945="","",ROW()-1)</f>
        <v/>
      </c>
      <c r="B1945" s="27">
        <f>IF('01_Rohdaten'!A1945="","",'01_Rohdaten'!A1945)</f>
        <v/>
      </c>
      <c r="C1945" s="27">
        <f>IF(B1945="","",INDEX('01_Rohdaten'!B1945:D1945,'02_Eingaben'!$C$13))</f>
        <v/>
      </c>
      <c r="D1945" s="27">
        <f>IF(C1945="","",C1945*'02_Eingaben'!$C$15)</f>
        <v/>
      </c>
      <c r="E1945" s="27">
        <f>IF(D1945="","",D1945*'02_Eingaben'!$C$8)</f>
        <v/>
      </c>
      <c r="F1945" s="27">
        <f>IF(E1945="","",AVERAGE(INDEX($E$2:$E$3001,MAX(1,ROW()-1-'02_Eingaben'!$C$17)):INDEX($E$2:$E$3001,MIN('02_Eingaben'!$C$21,ROW()-1+'02_Eingaben'!$C$17))))</f>
        <v/>
      </c>
      <c r="G1945" s="27">
        <f>IF(F1945="","",F1945-'02_Eingaben'!$C$10)</f>
        <v/>
      </c>
      <c r="H1945">
        <f>IF(F1945="","",IF(F1945&lt;'02_Eingaben'!$C$18*'02_Eingaben'!$C$10,1,0))</f>
        <v/>
      </c>
      <c r="I1945" s="27">
        <f>IF(OR(G1945="",G1946=""),"",(G1945+G1946)/2*(B1946-B1945))</f>
        <v/>
      </c>
      <c r="J1945" s="27">
        <f>IF(B1945="","",IF(B1944&lt;'02_Eingaben'!$C$36,0,J1944+I1944/'02_Eingaben'!$C$8))</f>
        <v/>
      </c>
    </row>
    <row r="1946">
      <c r="A1946">
        <f>IF('01_Rohdaten'!A1946="","",ROW()-1)</f>
        <v/>
      </c>
      <c r="B1946" s="27">
        <f>IF('01_Rohdaten'!A1946="","",'01_Rohdaten'!A1946)</f>
        <v/>
      </c>
      <c r="C1946" s="27">
        <f>IF(B1946="","",INDEX('01_Rohdaten'!B1946:D1946,'02_Eingaben'!$C$13))</f>
        <v/>
      </c>
      <c r="D1946" s="27">
        <f>IF(C1946="","",C1946*'02_Eingaben'!$C$15)</f>
        <v/>
      </c>
      <c r="E1946" s="27">
        <f>IF(D1946="","",D1946*'02_Eingaben'!$C$8)</f>
        <v/>
      </c>
      <c r="F1946" s="27">
        <f>IF(E1946="","",AVERAGE(INDEX($E$2:$E$3001,MAX(1,ROW()-1-'02_Eingaben'!$C$17)):INDEX($E$2:$E$3001,MIN('02_Eingaben'!$C$21,ROW()-1+'02_Eingaben'!$C$17))))</f>
        <v/>
      </c>
      <c r="G1946" s="27">
        <f>IF(F1946="","",F1946-'02_Eingaben'!$C$10)</f>
        <v/>
      </c>
      <c r="H1946">
        <f>IF(F1946="","",IF(F1946&lt;'02_Eingaben'!$C$18*'02_Eingaben'!$C$10,1,0))</f>
        <v/>
      </c>
      <c r="I1946" s="27">
        <f>IF(OR(G1946="",G1947=""),"",(G1946+G1947)/2*(B1947-B1946))</f>
        <v/>
      </c>
      <c r="J1946" s="27">
        <f>IF(B1946="","",IF(B1945&lt;'02_Eingaben'!$C$36,0,J1945+I1945/'02_Eingaben'!$C$8))</f>
        <v/>
      </c>
    </row>
    <row r="1947">
      <c r="A1947">
        <f>IF('01_Rohdaten'!A1947="","",ROW()-1)</f>
        <v/>
      </c>
      <c r="B1947" s="27">
        <f>IF('01_Rohdaten'!A1947="","",'01_Rohdaten'!A1947)</f>
        <v/>
      </c>
      <c r="C1947" s="27">
        <f>IF(B1947="","",INDEX('01_Rohdaten'!B1947:D1947,'02_Eingaben'!$C$13))</f>
        <v/>
      </c>
      <c r="D1947" s="27">
        <f>IF(C1947="","",C1947*'02_Eingaben'!$C$15)</f>
        <v/>
      </c>
      <c r="E1947" s="27">
        <f>IF(D1947="","",D1947*'02_Eingaben'!$C$8)</f>
        <v/>
      </c>
      <c r="F1947" s="27">
        <f>IF(E1947="","",AVERAGE(INDEX($E$2:$E$3001,MAX(1,ROW()-1-'02_Eingaben'!$C$17)):INDEX($E$2:$E$3001,MIN('02_Eingaben'!$C$21,ROW()-1+'02_Eingaben'!$C$17))))</f>
        <v/>
      </c>
      <c r="G1947" s="27">
        <f>IF(F1947="","",F1947-'02_Eingaben'!$C$10)</f>
        <v/>
      </c>
      <c r="H1947">
        <f>IF(F1947="","",IF(F1947&lt;'02_Eingaben'!$C$18*'02_Eingaben'!$C$10,1,0))</f>
        <v/>
      </c>
      <c r="I1947" s="27">
        <f>IF(OR(G1947="",G1948=""),"",(G1947+G1948)/2*(B1948-B1947))</f>
        <v/>
      </c>
      <c r="J1947" s="27">
        <f>IF(B1947="","",IF(B1946&lt;'02_Eingaben'!$C$36,0,J1946+I1946/'02_Eingaben'!$C$8))</f>
        <v/>
      </c>
    </row>
    <row r="1948">
      <c r="A1948">
        <f>IF('01_Rohdaten'!A1948="","",ROW()-1)</f>
        <v/>
      </c>
      <c r="B1948" s="27">
        <f>IF('01_Rohdaten'!A1948="","",'01_Rohdaten'!A1948)</f>
        <v/>
      </c>
      <c r="C1948" s="27">
        <f>IF(B1948="","",INDEX('01_Rohdaten'!B1948:D1948,'02_Eingaben'!$C$13))</f>
        <v/>
      </c>
      <c r="D1948" s="27">
        <f>IF(C1948="","",C1948*'02_Eingaben'!$C$15)</f>
        <v/>
      </c>
      <c r="E1948" s="27">
        <f>IF(D1948="","",D1948*'02_Eingaben'!$C$8)</f>
        <v/>
      </c>
      <c r="F1948" s="27">
        <f>IF(E1948="","",AVERAGE(INDEX($E$2:$E$3001,MAX(1,ROW()-1-'02_Eingaben'!$C$17)):INDEX($E$2:$E$3001,MIN('02_Eingaben'!$C$21,ROW()-1+'02_Eingaben'!$C$17))))</f>
        <v/>
      </c>
      <c r="G1948" s="27">
        <f>IF(F1948="","",F1948-'02_Eingaben'!$C$10)</f>
        <v/>
      </c>
      <c r="H1948">
        <f>IF(F1948="","",IF(F1948&lt;'02_Eingaben'!$C$18*'02_Eingaben'!$C$10,1,0))</f>
        <v/>
      </c>
      <c r="I1948" s="27">
        <f>IF(OR(G1948="",G1949=""),"",(G1948+G1949)/2*(B1949-B1948))</f>
        <v/>
      </c>
      <c r="J1948" s="27">
        <f>IF(B1948="","",IF(B1947&lt;'02_Eingaben'!$C$36,0,J1947+I1947/'02_Eingaben'!$C$8))</f>
        <v/>
      </c>
    </row>
    <row r="1949">
      <c r="A1949">
        <f>IF('01_Rohdaten'!A1949="","",ROW()-1)</f>
        <v/>
      </c>
      <c r="B1949" s="27">
        <f>IF('01_Rohdaten'!A1949="","",'01_Rohdaten'!A1949)</f>
        <v/>
      </c>
      <c r="C1949" s="27">
        <f>IF(B1949="","",INDEX('01_Rohdaten'!B1949:D1949,'02_Eingaben'!$C$13))</f>
        <v/>
      </c>
      <c r="D1949" s="27">
        <f>IF(C1949="","",C1949*'02_Eingaben'!$C$15)</f>
        <v/>
      </c>
      <c r="E1949" s="27">
        <f>IF(D1949="","",D1949*'02_Eingaben'!$C$8)</f>
        <v/>
      </c>
      <c r="F1949" s="27">
        <f>IF(E1949="","",AVERAGE(INDEX($E$2:$E$3001,MAX(1,ROW()-1-'02_Eingaben'!$C$17)):INDEX($E$2:$E$3001,MIN('02_Eingaben'!$C$21,ROW()-1+'02_Eingaben'!$C$17))))</f>
        <v/>
      </c>
      <c r="G1949" s="27">
        <f>IF(F1949="","",F1949-'02_Eingaben'!$C$10)</f>
        <v/>
      </c>
      <c r="H1949">
        <f>IF(F1949="","",IF(F1949&lt;'02_Eingaben'!$C$18*'02_Eingaben'!$C$10,1,0))</f>
        <v/>
      </c>
      <c r="I1949" s="27">
        <f>IF(OR(G1949="",G1950=""),"",(G1949+G1950)/2*(B1950-B1949))</f>
        <v/>
      </c>
      <c r="J1949" s="27">
        <f>IF(B1949="","",IF(B1948&lt;'02_Eingaben'!$C$36,0,J1948+I1948/'02_Eingaben'!$C$8))</f>
        <v/>
      </c>
    </row>
    <row r="1950">
      <c r="A1950">
        <f>IF('01_Rohdaten'!A1950="","",ROW()-1)</f>
        <v/>
      </c>
      <c r="B1950" s="27">
        <f>IF('01_Rohdaten'!A1950="","",'01_Rohdaten'!A1950)</f>
        <v/>
      </c>
      <c r="C1950" s="27">
        <f>IF(B1950="","",INDEX('01_Rohdaten'!B1950:D1950,'02_Eingaben'!$C$13))</f>
        <v/>
      </c>
      <c r="D1950" s="27">
        <f>IF(C1950="","",C1950*'02_Eingaben'!$C$15)</f>
        <v/>
      </c>
      <c r="E1950" s="27">
        <f>IF(D1950="","",D1950*'02_Eingaben'!$C$8)</f>
        <v/>
      </c>
      <c r="F1950" s="27">
        <f>IF(E1950="","",AVERAGE(INDEX($E$2:$E$3001,MAX(1,ROW()-1-'02_Eingaben'!$C$17)):INDEX($E$2:$E$3001,MIN('02_Eingaben'!$C$21,ROW()-1+'02_Eingaben'!$C$17))))</f>
        <v/>
      </c>
      <c r="G1950" s="27">
        <f>IF(F1950="","",F1950-'02_Eingaben'!$C$10)</f>
        <v/>
      </c>
      <c r="H1950">
        <f>IF(F1950="","",IF(F1950&lt;'02_Eingaben'!$C$18*'02_Eingaben'!$C$10,1,0))</f>
        <v/>
      </c>
      <c r="I1950" s="27">
        <f>IF(OR(G1950="",G1951=""),"",(G1950+G1951)/2*(B1951-B1950))</f>
        <v/>
      </c>
      <c r="J1950" s="27">
        <f>IF(B1950="","",IF(B1949&lt;'02_Eingaben'!$C$36,0,J1949+I1949/'02_Eingaben'!$C$8))</f>
        <v/>
      </c>
    </row>
    <row r="1951">
      <c r="A1951">
        <f>IF('01_Rohdaten'!A1951="","",ROW()-1)</f>
        <v/>
      </c>
      <c r="B1951" s="27">
        <f>IF('01_Rohdaten'!A1951="","",'01_Rohdaten'!A1951)</f>
        <v/>
      </c>
      <c r="C1951" s="27">
        <f>IF(B1951="","",INDEX('01_Rohdaten'!B1951:D1951,'02_Eingaben'!$C$13))</f>
        <v/>
      </c>
      <c r="D1951" s="27">
        <f>IF(C1951="","",C1951*'02_Eingaben'!$C$15)</f>
        <v/>
      </c>
      <c r="E1951" s="27">
        <f>IF(D1951="","",D1951*'02_Eingaben'!$C$8)</f>
        <v/>
      </c>
      <c r="F1951" s="27">
        <f>IF(E1951="","",AVERAGE(INDEX($E$2:$E$3001,MAX(1,ROW()-1-'02_Eingaben'!$C$17)):INDEX($E$2:$E$3001,MIN('02_Eingaben'!$C$21,ROW()-1+'02_Eingaben'!$C$17))))</f>
        <v/>
      </c>
      <c r="G1951" s="27">
        <f>IF(F1951="","",F1951-'02_Eingaben'!$C$10)</f>
        <v/>
      </c>
      <c r="H1951">
        <f>IF(F1951="","",IF(F1951&lt;'02_Eingaben'!$C$18*'02_Eingaben'!$C$10,1,0))</f>
        <v/>
      </c>
      <c r="I1951" s="27">
        <f>IF(OR(G1951="",G1952=""),"",(G1951+G1952)/2*(B1952-B1951))</f>
        <v/>
      </c>
      <c r="J1951" s="27">
        <f>IF(B1951="","",IF(B1950&lt;'02_Eingaben'!$C$36,0,J1950+I1950/'02_Eingaben'!$C$8))</f>
        <v/>
      </c>
    </row>
    <row r="1952">
      <c r="A1952">
        <f>IF('01_Rohdaten'!A1952="","",ROW()-1)</f>
        <v/>
      </c>
      <c r="B1952" s="27">
        <f>IF('01_Rohdaten'!A1952="","",'01_Rohdaten'!A1952)</f>
        <v/>
      </c>
      <c r="C1952" s="27">
        <f>IF(B1952="","",INDEX('01_Rohdaten'!B1952:D1952,'02_Eingaben'!$C$13))</f>
        <v/>
      </c>
      <c r="D1952" s="27">
        <f>IF(C1952="","",C1952*'02_Eingaben'!$C$15)</f>
        <v/>
      </c>
      <c r="E1952" s="27">
        <f>IF(D1952="","",D1952*'02_Eingaben'!$C$8)</f>
        <v/>
      </c>
      <c r="F1952" s="27">
        <f>IF(E1952="","",AVERAGE(INDEX($E$2:$E$3001,MAX(1,ROW()-1-'02_Eingaben'!$C$17)):INDEX($E$2:$E$3001,MIN('02_Eingaben'!$C$21,ROW()-1+'02_Eingaben'!$C$17))))</f>
        <v/>
      </c>
      <c r="G1952" s="27">
        <f>IF(F1952="","",F1952-'02_Eingaben'!$C$10)</f>
        <v/>
      </c>
      <c r="H1952">
        <f>IF(F1952="","",IF(F1952&lt;'02_Eingaben'!$C$18*'02_Eingaben'!$C$10,1,0))</f>
        <v/>
      </c>
      <c r="I1952" s="27">
        <f>IF(OR(G1952="",G1953=""),"",(G1952+G1953)/2*(B1953-B1952))</f>
        <v/>
      </c>
      <c r="J1952" s="27">
        <f>IF(B1952="","",IF(B1951&lt;'02_Eingaben'!$C$36,0,J1951+I1951/'02_Eingaben'!$C$8))</f>
        <v/>
      </c>
    </row>
    <row r="1953">
      <c r="A1953">
        <f>IF('01_Rohdaten'!A1953="","",ROW()-1)</f>
        <v/>
      </c>
      <c r="B1953" s="27">
        <f>IF('01_Rohdaten'!A1953="","",'01_Rohdaten'!A1953)</f>
        <v/>
      </c>
      <c r="C1953" s="27">
        <f>IF(B1953="","",INDEX('01_Rohdaten'!B1953:D1953,'02_Eingaben'!$C$13))</f>
        <v/>
      </c>
      <c r="D1953" s="27">
        <f>IF(C1953="","",C1953*'02_Eingaben'!$C$15)</f>
        <v/>
      </c>
      <c r="E1953" s="27">
        <f>IF(D1953="","",D1953*'02_Eingaben'!$C$8)</f>
        <v/>
      </c>
      <c r="F1953" s="27">
        <f>IF(E1953="","",AVERAGE(INDEX($E$2:$E$3001,MAX(1,ROW()-1-'02_Eingaben'!$C$17)):INDEX($E$2:$E$3001,MIN('02_Eingaben'!$C$21,ROW()-1+'02_Eingaben'!$C$17))))</f>
        <v/>
      </c>
      <c r="G1953" s="27">
        <f>IF(F1953="","",F1953-'02_Eingaben'!$C$10)</f>
        <v/>
      </c>
      <c r="H1953">
        <f>IF(F1953="","",IF(F1953&lt;'02_Eingaben'!$C$18*'02_Eingaben'!$C$10,1,0))</f>
        <v/>
      </c>
      <c r="I1953" s="27">
        <f>IF(OR(G1953="",G1954=""),"",(G1953+G1954)/2*(B1954-B1953))</f>
        <v/>
      </c>
      <c r="J1953" s="27">
        <f>IF(B1953="","",IF(B1952&lt;'02_Eingaben'!$C$36,0,J1952+I1952/'02_Eingaben'!$C$8))</f>
        <v/>
      </c>
    </row>
    <row r="1954">
      <c r="A1954">
        <f>IF('01_Rohdaten'!A1954="","",ROW()-1)</f>
        <v/>
      </c>
      <c r="B1954" s="27">
        <f>IF('01_Rohdaten'!A1954="","",'01_Rohdaten'!A1954)</f>
        <v/>
      </c>
      <c r="C1954" s="27">
        <f>IF(B1954="","",INDEX('01_Rohdaten'!B1954:D1954,'02_Eingaben'!$C$13))</f>
        <v/>
      </c>
      <c r="D1954" s="27">
        <f>IF(C1954="","",C1954*'02_Eingaben'!$C$15)</f>
        <v/>
      </c>
      <c r="E1954" s="27">
        <f>IF(D1954="","",D1954*'02_Eingaben'!$C$8)</f>
        <v/>
      </c>
      <c r="F1954" s="27">
        <f>IF(E1954="","",AVERAGE(INDEX($E$2:$E$3001,MAX(1,ROW()-1-'02_Eingaben'!$C$17)):INDEX($E$2:$E$3001,MIN('02_Eingaben'!$C$21,ROW()-1+'02_Eingaben'!$C$17))))</f>
        <v/>
      </c>
      <c r="G1954" s="27">
        <f>IF(F1954="","",F1954-'02_Eingaben'!$C$10)</f>
        <v/>
      </c>
      <c r="H1954">
        <f>IF(F1954="","",IF(F1954&lt;'02_Eingaben'!$C$18*'02_Eingaben'!$C$10,1,0))</f>
        <v/>
      </c>
      <c r="I1954" s="27">
        <f>IF(OR(G1954="",G1955=""),"",(G1954+G1955)/2*(B1955-B1954))</f>
        <v/>
      </c>
      <c r="J1954" s="27">
        <f>IF(B1954="","",IF(B1953&lt;'02_Eingaben'!$C$36,0,J1953+I1953/'02_Eingaben'!$C$8))</f>
        <v/>
      </c>
    </row>
    <row r="1955">
      <c r="A1955">
        <f>IF('01_Rohdaten'!A1955="","",ROW()-1)</f>
        <v/>
      </c>
      <c r="B1955" s="27">
        <f>IF('01_Rohdaten'!A1955="","",'01_Rohdaten'!A1955)</f>
        <v/>
      </c>
      <c r="C1955" s="27">
        <f>IF(B1955="","",INDEX('01_Rohdaten'!B1955:D1955,'02_Eingaben'!$C$13))</f>
        <v/>
      </c>
      <c r="D1955" s="27">
        <f>IF(C1955="","",C1955*'02_Eingaben'!$C$15)</f>
        <v/>
      </c>
      <c r="E1955" s="27">
        <f>IF(D1955="","",D1955*'02_Eingaben'!$C$8)</f>
        <v/>
      </c>
      <c r="F1955" s="27">
        <f>IF(E1955="","",AVERAGE(INDEX($E$2:$E$3001,MAX(1,ROW()-1-'02_Eingaben'!$C$17)):INDEX($E$2:$E$3001,MIN('02_Eingaben'!$C$21,ROW()-1+'02_Eingaben'!$C$17))))</f>
        <v/>
      </c>
      <c r="G1955" s="27">
        <f>IF(F1955="","",F1955-'02_Eingaben'!$C$10)</f>
        <v/>
      </c>
      <c r="H1955">
        <f>IF(F1955="","",IF(F1955&lt;'02_Eingaben'!$C$18*'02_Eingaben'!$C$10,1,0))</f>
        <v/>
      </c>
      <c r="I1955" s="27">
        <f>IF(OR(G1955="",G1956=""),"",(G1955+G1956)/2*(B1956-B1955))</f>
        <v/>
      </c>
      <c r="J1955" s="27">
        <f>IF(B1955="","",IF(B1954&lt;'02_Eingaben'!$C$36,0,J1954+I1954/'02_Eingaben'!$C$8))</f>
        <v/>
      </c>
    </row>
    <row r="1956">
      <c r="A1956">
        <f>IF('01_Rohdaten'!A1956="","",ROW()-1)</f>
        <v/>
      </c>
      <c r="B1956" s="27">
        <f>IF('01_Rohdaten'!A1956="","",'01_Rohdaten'!A1956)</f>
        <v/>
      </c>
      <c r="C1956" s="27">
        <f>IF(B1956="","",INDEX('01_Rohdaten'!B1956:D1956,'02_Eingaben'!$C$13))</f>
        <v/>
      </c>
      <c r="D1956" s="27">
        <f>IF(C1956="","",C1956*'02_Eingaben'!$C$15)</f>
        <v/>
      </c>
      <c r="E1956" s="27">
        <f>IF(D1956="","",D1956*'02_Eingaben'!$C$8)</f>
        <v/>
      </c>
      <c r="F1956" s="27">
        <f>IF(E1956="","",AVERAGE(INDEX($E$2:$E$3001,MAX(1,ROW()-1-'02_Eingaben'!$C$17)):INDEX($E$2:$E$3001,MIN('02_Eingaben'!$C$21,ROW()-1+'02_Eingaben'!$C$17))))</f>
        <v/>
      </c>
      <c r="G1956" s="27">
        <f>IF(F1956="","",F1956-'02_Eingaben'!$C$10)</f>
        <v/>
      </c>
      <c r="H1956">
        <f>IF(F1956="","",IF(F1956&lt;'02_Eingaben'!$C$18*'02_Eingaben'!$C$10,1,0))</f>
        <v/>
      </c>
      <c r="I1956" s="27">
        <f>IF(OR(G1956="",G1957=""),"",(G1956+G1957)/2*(B1957-B1956))</f>
        <v/>
      </c>
      <c r="J1956" s="27">
        <f>IF(B1956="","",IF(B1955&lt;'02_Eingaben'!$C$36,0,J1955+I1955/'02_Eingaben'!$C$8))</f>
        <v/>
      </c>
    </row>
    <row r="1957">
      <c r="A1957">
        <f>IF('01_Rohdaten'!A1957="","",ROW()-1)</f>
        <v/>
      </c>
      <c r="B1957" s="27">
        <f>IF('01_Rohdaten'!A1957="","",'01_Rohdaten'!A1957)</f>
        <v/>
      </c>
      <c r="C1957" s="27">
        <f>IF(B1957="","",INDEX('01_Rohdaten'!B1957:D1957,'02_Eingaben'!$C$13))</f>
        <v/>
      </c>
      <c r="D1957" s="27">
        <f>IF(C1957="","",C1957*'02_Eingaben'!$C$15)</f>
        <v/>
      </c>
      <c r="E1957" s="27">
        <f>IF(D1957="","",D1957*'02_Eingaben'!$C$8)</f>
        <v/>
      </c>
      <c r="F1957" s="27">
        <f>IF(E1957="","",AVERAGE(INDEX($E$2:$E$3001,MAX(1,ROW()-1-'02_Eingaben'!$C$17)):INDEX($E$2:$E$3001,MIN('02_Eingaben'!$C$21,ROW()-1+'02_Eingaben'!$C$17))))</f>
        <v/>
      </c>
      <c r="G1957" s="27">
        <f>IF(F1957="","",F1957-'02_Eingaben'!$C$10)</f>
        <v/>
      </c>
      <c r="H1957">
        <f>IF(F1957="","",IF(F1957&lt;'02_Eingaben'!$C$18*'02_Eingaben'!$C$10,1,0))</f>
        <v/>
      </c>
      <c r="I1957" s="27">
        <f>IF(OR(G1957="",G1958=""),"",(G1957+G1958)/2*(B1958-B1957))</f>
        <v/>
      </c>
      <c r="J1957" s="27">
        <f>IF(B1957="","",IF(B1956&lt;'02_Eingaben'!$C$36,0,J1956+I1956/'02_Eingaben'!$C$8))</f>
        <v/>
      </c>
    </row>
    <row r="1958">
      <c r="A1958">
        <f>IF('01_Rohdaten'!A1958="","",ROW()-1)</f>
        <v/>
      </c>
      <c r="B1958" s="27">
        <f>IF('01_Rohdaten'!A1958="","",'01_Rohdaten'!A1958)</f>
        <v/>
      </c>
      <c r="C1958" s="27">
        <f>IF(B1958="","",INDEX('01_Rohdaten'!B1958:D1958,'02_Eingaben'!$C$13))</f>
        <v/>
      </c>
      <c r="D1958" s="27">
        <f>IF(C1958="","",C1958*'02_Eingaben'!$C$15)</f>
        <v/>
      </c>
      <c r="E1958" s="27">
        <f>IF(D1958="","",D1958*'02_Eingaben'!$C$8)</f>
        <v/>
      </c>
      <c r="F1958" s="27">
        <f>IF(E1958="","",AVERAGE(INDEX($E$2:$E$3001,MAX(1,ROW()-1-'02_Eingaben'!$C$17)):INDEX($E$2:$E$3001,MIN('02_Eingaben'!$C$21,ROW()-1+'02_Eingaben'!$C$17))))</f>
        <v/>
      </c>
      <c r="G1958" s="27">
        <f>IF(F1958="","",F1958-'02_Eingaben'!$C$10)</f>
        <v/>
      </c>
      <c r="H1958">
        <f>IF(F1958="","",IF(F1958&lt;'02_Eingaben'!$C$18*'02_Eingaben'!$C$10,1,0))</f>
        <v/>
      </c>
      <c r="I1958" s="27">
        <f>IF(OR(G1958="",G1959=""),"",(G1958+G1959)/2*(B1959-B1958))</f>
        <v/>
      </c>
      <c r="J1958" s="27">
        <f>IF(B1958="","",IF(B1957&lt;'02_Eingaben'!$C$36,0,J1957+I1957/'02_Eingaben'!$C$8))</f>
        <v/>
      </c>
    </row>
    <row r="1959">
      <c r="A1959">
        <f>IF('01_Rohdaten'!A1959="","",ROW()-1)</f>
        <v/>
      </c>
      <c r="B1959" s="27">
        <f>IF('01_Rohdaten'!A1959="","",'01_Rohdaten'!A1959)</f>
        <v/>
      </c>
      <c r="C1959" s="27">
        <f>IF(B1959="","",INDEX('01_Rohdaten'!B1959:D1959,'02_Eingaben'!$C$13))</f>
        <v/>
      </c>
      <c r="D1959" s="27">
        <f>IF(C1959="","",C1959*'02_Eingaben'!$C$15)</f>
        <v/>
      </c>
      <c r="E1959" s="27">
        <f>IF(D1959="","",D1959*'02_Eingaben'!$C$8)</f>
        <v/>
      </c>
      <c r="F1959" s="27">
        <f>IF(E1959="","",AVERAGE(INDEX($E$2:$E$3001,MAX(1,ROW()-1-'02_Eingaben'!$C$17)):INDEX($E$2:$E$3001,MIN('02_Eingaben'!$C$21,ROW()-1+'02_Eingaben'!$C$17))))</f>
        <v/>
      </c>
      <c r="G1959" s="27">
        <f>IF(F1959="","",F1959-'02_Eingaben'!$C$10)</f>
        <v/>
      </c>
      <c r="H1959">
        <f>IF(F1959="","",IF(F1959&lt;'02_Eingaben'!$C$18*'02_Eingaben'!$C$10,1,0))</f>
        <v/>
      </c>
      <c r="I1959" s="27">
        <f>IF(OR(G1959="",G1960=""),"",(G1959+G1960)/2*(B1960-B1959))</f>
        <v/>
      </c>
      <c r="J1959" s="27">
        <f>IF(B1959="","",IF(B1958&lt;'02_Eingaben'!$C$36,0,J1958+I1958/'02_Eingaben'!$C$8))</f>
        <v/>
      </c>
    </row>
    <row r="1960">
      <c r="A1960">
        <f>IF('01_Rohdaten'!A1960="","",ROW()-1)</f>
        <v/>
      </c>
      <c r="B1960" s="27">
        <f>IF('01_Rohdaten'!A1960="","",'01_Rohdaten'!A1960)</f>
        <v/>
      </c>
      <c r="C1960" s="27">
        <f>IF(B1960="","",INDEX('01_Rohdaten'!B1960:D1960,'02_Eingaben'!$C$13))</f>
        <v/>
      </c>
      <c r="D1960" s="27">
        <f>IF(C1960="","",C1960*'02_Eingaben'!$C$15)</f>
        <v/>
      </c>
      <c r="E1960" s="27">
        <f>IF(D1960="","",D1960*'02_Eingaben'!$C$8)</f>
        <v/>
      </c>
      <c r="F1960" s="27">
        <f>IF(E1960="","",AVERAGE(INDEX($E$2:$E$3001,MAX(1,ROW()-1-'02_Eingaben'!$C$17)):INDEX($E$2:$E$3001,MIN('02_Eingaben'!$C$21,ROW()-1+'02_Eingaben'!$C$17))))</f>
        <v/>
      </c>
      <c r="G1960" s="27">
        <f>IF(F1960="","",F1960-'02_Eingaben'!$C$10)</f>
        <v/>
      </c>
      <c r="H1960">
        <f>IF(F1960="","",IF(F1960&lt;'02_Eingaben'!$C$18*'02_Eingaben'!$C$10,1,0))</f>
        <v/>
      </c>
      <c r="I1960" s="27">
        <f>IF(OR(G1960="",G1961=""),"",(G1960+G1961)/2*(B1961-B1960))</f>
        <v/>
      </c>
      <c r="J1960" s="27">
        <f>IF(B1960="","",IF(B1959&lt;'02_Eingaben'!$C$36,0,J1959+I1959/'02_Eingaben'!$C$8))</f>
        <v/>
      </c>
    </row>
    <row r="1961">
      <c r="A1961">
        <f>IF('01_Rohdaten'!A1961="","",ROW()-1)</f>
        <v/>
      </c>
      <c r="B1961" s="27">
        <f>IF('01_Rohdaten'!A1961="","",'01_Rohdaten'!A1961)</f>
        <v/>
      </c>
      <c r="C1961" s="27">
        <f>IF(B1961="","",INDEX('01_Rohdaten'!B1961:D1961,'02_Eingaben'!$C$13))</f>
        <v/>
      </c>
      <c r="D1961" s="27">
        <f>IF(C1961="","",C1961*'02_Eingaben'!$C$15)</f>
        <v/>
      </c>
      <c r="E1961" s="27">
        <f>IF(D1961="","",D1961*'02_Eingaben'!$C$8)</f>
        <v/>
      </c>
      <c r="F1961" s="27">
        <f>IF(E1961="","",AVERAGE(INDEX($E$2:$E$3001,MAX(1,ROW()-1-'02_Eingaben'!$C$17)):INDEX($E$2:$E$3001,MIN('02_Eingaben'!$C$21,ROW()-1+'02_Eingaben'!$C$17))))</f>
        <v/>
      </c>
      <c r="G1961" s="27">
        <f>IF(F1961="","",F1961-'02_Eingaben'!$C$10)</f>
        <v/>
      </c>
      <c r="H1961">
        <f>IF(F1961="","",IF(F1961&lt;'02_Eingaben'!$C$18*'02_Eingaben'!$C$10,1,0))</f>
        <v/>
      </c>
      <c r="I1961" s="27">
        <f>IF(OR(G1961="",G1962=""),"",(G1961+G1962)/2*(B1962-B1961))</f>
        <v/>
      </c>
      <c r="J1961" s="27">
        <f>IF(B1961="","",IF(B1960&lt;'02_Eingaben'!$C$36,0,J1960+I1960/'02_Eingaben'!$C$8))</f>
        <v/>
      </c>
    </row>
    <row r="1962">
      <c r="A1962">
        <f>IF('01_Rohdaten'!A1962="","",ROW()-1)</f>
        <v/>
      </c>
      <c r="B1962" s="27">
        <f>IF('01_Rohdaten'!A1962="","",'01_Rohdaten'!A1962)</f>
        <v/>
      </c>
      <c r="C1962" s="27">
        <f>IF(B1962="","",INDEX('01_Rohdaten'!B1962:D1962,'02_Eingaben'!$C$13))</f>
        <v/>
      </c>
      <c r="D1962" s="27">
        <f>IF(C1962="","",C1962*'02_Eingaben'!$C$15)</f>
        <v/>
      </c>
      <c r="E1962" s="27">
        <f>IF(D1962="","",D1962*'02_Eingaben'!$C$8)</f>
        <v/>
      </c>
      <c r="F1962" s="27">
        <f>IF(E1962="","",AVERAGE(INDEX($E$2:$E$3001,MAX(1,ROW()-1-'02_Eingaben'!$C$17)):INDEX($E$2:$E$3001,MIN('02_Eingaben'!$C$21,ROW()-1+'02_Eingaben'!$C$17))))</f>
        <v/>
      </c>
      <c r="G1962" s="27">
        <f>IF(F1962="","",F1962-'02_Eingaben'!$C$10)</f>
        <v/>
      </c>
      <c r="H1962">
        <f>IF(F1962="","",IF(F1962&lt;'02_Eingaben'!$C$18*'02_Eingaben'!$C$10,1,0))</f>
        <v/>
      </c>
      <c r="I1962" s="27">
        <f>IF(OR(G1962="",G1963=""),"",(G1962+G1963)/2*(B1963-B1962))</f>
        <v/>
      </c>
      <c r="J1962" s="27">
        <f>IF(B1962="","",IF(B1961&lt;'02_Eingaben'!$C$36,0,J1961+I1961/'02_Eingaben'!$C$8))</f>
        <v/>
      </c>
    </row>
    <row r="1963">
      <c r="A1963">
        <f>IF('01_Rohdaten'!A1963="","",ROW()-1)</f>
        <v/>
      </c>
      <c r="B1963" s="27">
        <f>IF('01_Rohdaten'!A1963="","",'01_Rohdaten'!A1963)</f>
        <v/>
      </c>
      <c r="C1963" s="27">
        <f>IF(B1963="","",INDEX('01_Rohdaten'!B1963:D1963,'02_Eingaben'!$C$13))</f>
        <v/>
      </c>
      <c r="D1963" s="27">
        <f>IF(C1963="","",C1963*'02_Eingaben'!$C$15)</f>
        <v/>
      </c>
      <c r="E1963" s="27">
        <f>IF(D1963="","",D1963*'02_Eingaben'!$C$8)</f>
        <v/>
      </c>
      <c r="F1963" s="27">
        <f>IF(E1963="","",AVERAGE(INDEX($E$2:$E$3001,MAX(1,ROW()-1-'02_Eingaben'!$C$17)):INDEX($E$2:$E$3001,MIN('02_Eingaben'!$C$21,ROW()-1+'02_Eingaben'!$C$17))))</f>
        <v/>
      </c>
      <c r="G1963" s="27">
        <f>IF(F1963="","",F1963-'02_Eingaben'!$C$10)</f>
        <v/>
      </c>
      <c r="H1963">
        <f>IF(F1963="","",IF(F1963&lt;'02_Eingaben'!$C$18*'02_Eingaben'!$C$10,1,0))</f>
        <v/>
      </c>
      <c r="I1963" s="27">
        <f>IF(OR(G1963="",G1964=""),"",(G1963+G1964)/2*(B1964-B1963))</f>
        <v/>
      </c>
      <c r="J1963" s="27">
        <f>IF(B1963="","",IF(B1962&lt;'02_Eingaben'!$C$36,0,J1962+I1962/'02_Eingaben'!$C$8))</f>
        <v/>
      </c>
    </row>
    <row r="1964">
      <c r="A1964">
        <f>IF('01_Rohdaten'!A1964="","",ROW()-1)</f>
        <v/>
      </c>
      <c r="B1964" s="27">
        <f>IF('01_Rohdaten'!A1964="","",'01_Rohdaten'!A1964)</f>
        <v/>
      </c>
      <c r="C1964" s="27">
        <f>IF(B1964="","",INDEX('01_Rohdaten'!B1964:D1964,'02_Eingaben'!$C$13))</f>
        <v/>
      </c>
      <c r="D1964" s="27">
        <f>IF(C1964="","",C1964*'02_Eingaben'!$C$15)</f>
        <v/>
      </c>
      <c r="E1964" s="27">
        <f>IF(D1964="","",D1964*'02_Eingaben'!$C$8)</f>
        <v/>
      </c>
      <c r="F1964" s="27">
        <f>IF(E1964="","",AVERAGE(INDEX($E$2:$E$3001,MAX(1,ROW()-1-'02_Eingaben'!$C$17)):INDEX($E$2:$E$3001,MIN('02_Eingaben'!$C$21,ROW()-1+'02_Eingaben'!$C$17))))</f>
        <v/>
      </c>
      <c r="G1964" s="27">
        <f>IF(F1964="","",F1964-'02_Eingaben'!$C$10)</f>
        <v/>
      </c>
      <c r="H1964">
        <f>IF(F1964="","",IF(F1964&lt;'02_Eingaben'!$C$18*'02_Eingaben'!$C$10,1,0))</f>
        <v/>
      </c>
      <c r="I1964" s="27">
        <f>IF(OR(G1964="",G1965=""),"",(G1964+G1965)/2*(B1965-B1964))</f>
        <v/>
      </c>
      <c r="J1964" s="27">
        <f>IF(B1964="","",IF(B1963&lt;'02_Eingaben'!$C$36,0,J1963+I1963/'02_Eingaben'!$C$8))</f>
        <v/>
      </c>
    </row>
    <row r="1965">
      <c r="A1965">
        <f>IF('01_Rohdaten'!A1965="","",ROW()-1)</f>
        <v/>
      </c>
      <c r="B1965" s="27">
        <f>IF('01_Rohdaten'!A1965="","",'01_Rohdaten'!A1965)</f>
        <v/>
      </c>
      <c r="C1965" s="27">
        <f>IF(B1965="","",INDEX('01_Rohdaten'!B1965:D1965,'02_Eingaben'!$C$13))</f>
        <v/>
      </c>
      <c r="D1965" s="27">
        <f>IF(C1965="","",C1965*'02_Eingaben'!$C$15)</f>
        <v/>
      </c>
      <c r="E1965" s="27">
        <f>IF(D1965="","",D1965*'02_Eingaben'!$C$8)</f>
        <v/>
      </c>
      <c r="F1965" s="27">
        <f>IF(E1965="","",AVERAGE(INDEX($E$2:$E$3001,MAX(1,ROW()-1-'02_Eingaben'!$C$17)):INDEX($E$2:$E$3001,MIN('02_Eingaben'!$C$21,ROW()-1+'02_Eingaben'!$C$17))))</f>
        <v/>
      </c>
      <c r="G1965" s="27">
        <f>IF(F1965="","",F1965-'02_Eingaben'!$C$10)</f>
        <v/>
      </c>
      <c r="H1965">
        <f>IF(F1965="","",IF(F1965&lt;'02_Eingaben'!$C$18*'02_Eingaben'!$C$10,1,0))</f>
        <v/>
      </c>
      <c r="I1965" s="27">
        <f>IF(OR(G1965="",G1966=""),"",(G1965+G1966)/2*(B1966-B1965))</f>
        <v/>
      </c>
      <c r="J1965" s="27">
        <f>IF(B1965="","",IF(B1964&lt;'02_Eingaben'!$C$36,0,J1964+I1964/'02_Eingaben'!$C$8))</f>
        <v/>
      </c>
    </row>
    <row r="1966">
      <c r="A1966">
        <f>IF('01_Rohdaten'!A1966="","",ROW()-1)</f>
        <v/>
      </c>
      <c r="B1966" s="27">
        <f>IF('01_Rohdaten'!A1966="","",'01_Rohdaten'!A1966)</f>
        <v/>
      </c>
      <c r="C1966" s="27">
        <f>IF(B1966="","",INDEX('01_Rohdaten'!B1966:D1966,'02_Eingaben'!$C$13))</f>
        <v/>
      </c>
      <c r="D1966" s="27">
        <f>IF(C1966="","",C1966*'02_Eingaben'!$C$15)</f>
        <v/>
      </c>
      <c r="E1966" s="27">
        <f>IF(D1966="","",D1966*'02_Eingaben'!$C$8)</f>
        <v/>
      </c>
      <c r="F1966" s="27">
        <f>IF(E1966="","",AVERAGE(INDEX($E$2:$E$3001,MAX(1,ROW()-1-'02_Eingaben'!$C$17)):INDEX($E$2:$E$3001,MIN('02_Eingaben'!$C$21,ROW()-1+'02_Eingaben'!$C$17))))</f>
        <v/>
      </c>
      <c r="G1966" s="27">
        <f>IF(F1966="","",F1966-'02_Eingaben'!$C$10)</f>
        <v/>
      </c>
      <c r="H1966">
        <f>IF(F1966="","",IF(F1966&lt;'02_Eingaben'!$C$18*'02_Eingaben'!$C$10,1,0))</f>
        <v/>
      </c>
      <c r="I1966" s="27">
        <f>IF(OR(G1966="",G1967=""),"",(G1966+G1967)/2*(B1967-B1966))</f>
        <v/>
      </c>
      <c r="J1966" s="27">
        <f>IF(B1966="","",IF(B1965&lt;'02_Eingaben'!$C$36,0,J1965+I1965/'02_Eingaben'!$C$8))</f>
        <v/>
      </c>
    </row>
    <row r="1967">
      <c r="A1967">
        <f>IF('01_Rohdaten'!A1967="","",ROW()-1)</f>
        <v/>
      </c>
      <c r="B1967" s="27">
        <f>IF('01_Rohdaten'!A1967="","",'01_Rohdaten'!A1967)</f>
        <v/>
      </c>
      <c r="C1967" s="27">
        <f>IF(B1967="","",INDEX('01_Rohdaten'!B1967:D1967,'02_Eingaben'!$C$13))</f>
        <v/>
      </c>
      <c r="D1967" s="27">
        <f>IF(C1967="","",C1967*'02_Eingaben'!$C$15)</f>
        <v/>
      </c>
      <c r="E1967" s="27">
        <f>IF(D1967="","",D1967*'02_Eingaben'!$C$8)</f>
        <v/>
      </c>
      <c r="F1967" s="27">
        <f>IF(E1967="","",AVERAGE(INDEX($E$2:$E$3001,MAX(1,ROW()-1-'02_Eingaben'!$C$17)):INDEX($E$2:$E$3001,MIN('02_Eingaben'!$C$21,ROW()-1+'02_Eingaben'!$C$17))))</f>
        <v/>
      </c>
      <c r="G1967" s="27">
        <f>IF(F1967="","",F1967-'02_Eingaben'!$C$10)</f>
        <v/>
      </c>
      <c r="H1967">
        <f>IF(F1967="","",IF(F1967&lt;'02_Eingaben'!$C$18*'02_Eingaben'!$C$10,1,0))</f>
        <v/>
      </c>
      <c r="I1967" s="27">
        <f>IF(OR(G1967="",G1968=""),"",(G1967+G1968)/2*(B1968-B1967))</f>
        <v/>
      </c>
      <c r="J1967" s="27">
        <f>IF(B1967="","",IF(B1966&lt;'02_Eingaben'!$C$36,0,J1966+I1966/'02_Eingaben'!$C$8))</f>
        <v/>
      </c>
    </row>
    <row r="1968">
      <c r="A1968">
        <f>IF('01_Rohdaten'!A1968="","",ROW()-1)</f>
        <v/>
      </c>
      <c r="B1968" s="27">
        <f>IF('01_Rohdaten'!A1968="","",'01_Rohdaten'!A1968)</f>
        <v/>
      </c>
      <c r="C1968" s="27">
        <f>IF(B1968="","",INDEX('01_Rohdaten'!B1968:D1968,'02_Eingaben'!$C$13))</f>
        <v/>
      </c>
      <c r="D1968" s="27">
        <f>IF(C1968="","",C1968*'02_Eingaben'!$C$15)</f>
        <v/>
      </c>
      <c r="E1968" s="27">
        <f>IF(D1968="","",D1968*'02_Eingaben'!$C$8)</f>
        <v/>
      </c>
      <c r="F1968" s="27">
        <f>IF(E1968="","",AVERAGE(INDEX($E$2:$E$3001,MAX(1,ROW()-1-'02_Eingaben'!$C$17)):INDEX($E$2:$E$3001,MIN('02_Eingaben'!$C$21,ROW()-1+'02_Eingaben'!$C$17))))</f>
        <v/>
      </c>
      <c r="G1968" s="27">
        <f>IF(F1968="","",F1968-'02_Eingaben'!$C$10)</f>
        <v/>
      </c>
      <c r="H1968">
        <f>IF(F1968="","",IF(F1968&lt;'02_Eingaben'!$C$18*'02_Eingaben'!$C$10,1,0))</f>
        <v/>
      </c>
      <c r="I1968" s="27">
        <f>IF(OR(G1968="",G1969=""),"",(G1968+G1969)/2*(B1969-B1968))</f>
        <v/>
      </c>
      <c r="J1968" s="27">
        <f>IF(B1968="","",IF(B1967&lt;'02_Eingaben'!$C$36,0,J1967+I1967/'02_Eingaben'!$C$8))</f>
        <v/>
      </c>
    </row>
    <row r="1969">
      <c r="A1969">
        <f>IF('01_Rohdaten'!A1969="","",ROW()-1)</f>
        <v/>
      </c>
      <c r="B1969" s="27">
        <f>IF('01_Rohdaten'!A1969="","",'01_Rohdaten'!A1969)</f>
        <v/>
      </c>
      <c r="C1969" s="27">
        <f>IF(B1969="","",INDEX('01_Rohdaten'!B1969:D1969,'02_Eingaben'!$C$13))</f>
        <v/>
      </c>
      <c r="D1969" s="27">
        <f>IF(C1969="","",C1969*'02_Eingaben'!$C$15)</f>
        <v/>
      </c>
      <c r="E1969" s="27">
        <f>IF(D1969="","",D1969*'02_Eingaben'!$C$8)</f>
        <v/>
      </c>
      <c r="F1969" s="27">
        <f>IF(E1969="","",AVERAGE(INDEX($E$2:$E$3001,MAX(1,ROW()-1-'02_Eingaben'!$C$17)):INDEX($E$2:$E$3001,MIN('02_Eingaben'!$C$21,ROW()-1+'02_Eingaben'!$C$17))))</f>
        <v/>
      </c>
      <c r="G1969" s="27">
        <f>IF(F1969="","",F1969-'02_Eingaben'!$C$10)</f>
        <v/>
      </c>
      <c r="H1969">
        <f>IF(F1969="","",IF(F1969&lt;'02_Eingaben'!$C$18*'02_Eingaben'!$C$10,1,0))</f>
        <v/>
      </c>
      <c r="I1969" s="27">
        <f>IF(OR(G1969="",G1970=""),"",(G1969+G1970)/2*(B1970-B1969))</f>
        <v/>
      </c>
      <c r="J1969" s="27">
        <f>IF(B1969="","",IF(B1968&lt;'02_Eingaben'!$C$36,0,J1968+I1968/'02_Eingaben'!$C$8))</f>
        <v/>
      </c>
    </row>
    <row r="1970">
      <c r="A1970">
        <f>IF('01_Rohdaten'!A1970="","",ROW()-1)</f>
        <v/>
      </c>
      <c r="B1970" s="27">
        <f>IF('01_Rohdaten'!A1970="","",'01_Rohdaten'!A1970)</f>
        <v/>
      </c>
      <c r="C1970" s="27">
        <f>IF(B1970="","",INDEX('01_Rohdaten'!B1970:D1970,'02_Eingaben'!$C$13))</f>
        <v/>
      </c>
      <c r="D1970" s="27">
        <f>IF(C1970="","",C1970*'02_Eingaben'!$C$15)</f>
        <v/>
      </c>
      <c r="E1970" s="27">
        <f>IF(D1970="","",D1970*'02_Eingaben'!$C$8)</f>
        <v/>
      </c>
      <c r="F1970" s="27">
        <f>IF(E1970="","",AVERAGE(INDEX($E$2:$E$3001,MAX(1,ROW()-1-'02_Eingaben'!$C$17)):INDEX($E$2:$E$3001,MIN('02_Eingaben'!$C$21,ROW()-1+'02_Eingaben'!$C$17))))</f>
        <v/>
      </c>
      <c r="G1970" s="27">
        <f>IF(F1970="","",F1970-'02_Eingaben'!$C$10)</f>
        <v/>
      </c>
      <c r="H1970">
        <f>IF(F1970="","",IF(F1970&lt;'02_Eingaben'!$C$18*'02_Eingaben'!$C$10,1,0))</f>
        <v/>
      </c>
      <c r="I1970" s="27">
        <f>IF(OR(G1970="",G1971=""),"",(G1970+G1971)/2*(B1971-B1970))</f>
        <v/>
      </c>
      <c r="J1970" s="27">
        <f>IF(B1970="","",IF(B1969&lt;'02_Eingaben'!$C$36,0,J1969+I1969/'02_Eingaben'!$C$8))</f>
        <v/>
      </c>
    </row>
    <row r="1971">
      <c r="A1971">
        <f>IF('01_Rohdaten'!A1971="","",ROW()-1)</f>
        <v/>
      </c>
      <c r="B1971" s="27">
        <f>IF('01_Rohdaten'!A1971="","",'01_Rohdaten'!A1971)</f>
        <v/>
      </c>
      <c r="C1971" s="27">
        <f>IF(B1971="","",INDEX('01_Rohdaten'!B1971:D1971,'02_Eingaben'!$C$13))</f>
        <v/>
      </c>
      <c r="D1971" s="27">
        <f>IF(C1971="","",C1971*'02_Eingaben'!$C$15)</f>
        <v/>
      </c>
      <c r="E1971" s="27">
        <f>IF(D1971="","",D1971*'02_Eingaben'!$C$8)</f>
        <v/>
      </c>
      <c r="F1971" s="27">
        <f>IF(E1971="","",AVERAGE(INDEX($E$2:$E$3001,MAX(1,ROW()-1-'02_Eingaben'!$C$17)):INDEX($E$2:$E$3001,MIN('02_Eingaben'!$C$21,ROW()-1+'02_Eingaben'!$C$17))))</f>
        <v/>
      </c>
      <c r="G1971" s="27">
        <f>IF(F1971="","",F1971-'02_Eingaben'!$C$10)</f>
        <v/>
      </c>
      <c r="H1971">
        <f>IF(F1971="","",IF(F1971&lt;'02_Eingaben'!$C$18*'02_Eingaben'!$C$10,1,0))</f>
        <v/>
      </c>
      <c r="I1971" s="27">
        <f>IF(OR(G1971="",G1972=""),"",(G1971+G1972)/2*(B1972-B1971))</f>
        <v/>
      </c>
      <c r="J1971" s="27">
        <f>IF(B1971="","",IF(B1970&lt;'02_Eingaben'!$C$36,0,J1970+I1970/'02_Eingaben'!$C$8))</f>
        <v/>
      </c>
    </row>
    <row r="1972">
      <c r="A1972">
        <f>IF('01_Rohdaten'!A1972="","",ROW()-1)</f>
        <v/>
      </c>
      <c r="B1972" s="27">
        <f>IF('01_Rohdaten'!A1972="","",'01_Rohdaten'!A1972)</f>
        <v/>
      </c>
      <c r="C1972" s="27">
        <f>IF(B1972="","",INDEX('01_Rohdaten'!B1972:D1972,'02_Eingaben'!$C$13))</f>
        <v/>
      </c>
      <c r="D1972" s="27">
        <f>IF(C1972="","",C1972*'02_Eingaben'!$C$15)</f>
        <v/>
      </c>
      <c r="E1972" s="27">
        <f>IF(D1972="","",D1972*'02_Eingaben'!$C$8)</f>
        <v/>
      </c>
      <c r="F1972" s="27">
        <f>IF(E1972="","",AVERAGE(INDEX($E$2:$E$3001,MAX(1,ROW()-1-'02_Eingaben'!$C$17)):INDEX($E$2:$E$3001,MIN('02_Eingaben'!$C$21,ROW()-1+'02_Eingaben'!$C$17))))</f>
        <v/>
      </c>
      <c r="G1972" s="27">
        <f>IF(F1972="","",F1972-'02_Eingaben'!$C$10)</f>
        <v/>
      </c>
      <c r="H1972">
        <f>IF(F1972="","",IF(F1972&lt;'02_Eingaben'!$C$18*'02_Eingaben'!$C$10,1,0))</f>
        <v/>
      </c>
      <c r="I1972" s="27">
        <f>IF(OR(G1972="",G1973=""),"",(G1972+G1973)/2*(B1973-B1972))</f>
        <v/>
      </c>
      <c r="J1972" s="27">
        <f>IF(B1972="","",IF(B1971&lt;'02_Eingaben'!$C$36,0,J1971+I1971/'02_Eingaben'!$C$8))</f>
        <v/>
      </c>
    </row>
    <row r="1973">
      <c r="A1973">
        <f>IF('01_Rohdaten'!A1973="","",ROW()-1)</f>
        <v/>
      </c>
      <c r="B1973" s="27">
        <f>IF('01_Rohdaten'!A1973="","",'01_Rohdaten'!A1973)</f>
        <v/>
      </c>
      <c r="C1973" s="27">
        <f>IF(B1973="","",INDEX('01_Rohdaten'!B1973:D1973,'02_Eingaben'!$C$13))</f>
        <v/>
      </c>
      <c r="D1973" s="27">
        <f>IF(C1973="","",C1973*'02_Eingaben'!$C$15)</f>
        <v/>
      </c>
      <c r="E1973" s="27">
        <f>IF(D1973="","",D1973*'02_Eingaben'!$C$8)</f>
        <v/>
      </c>
      <c r="F1973" s="27">
        <f>IF(E1973="","",AVERAGE(INDEX($E$2:$E$3001,MAX(1,ROW()-1-'02_Eingaben'!$C$17)):INDEX($E$2:$E$3001,MIN('02_Eingaben'!$C$21,ROW()-1+'02_Eingaben'!$C$17))))</f>
        <v/>
      </c>
      <c r="G1973" s="27">
        <f>IF(F1973="","",F1973-'02_Eingaben'!$C$10)</f>
        <v/>
      </c>
      <c r="H1973">
        <f>IF(F1973="","",IF(F1973&lt;'02_Eingaben'!$C$18*'02_Eingaben'!$C$10,1,0))</f>
        <v/>
      </c>
      <c r="I1973" s="27">
        <f>IF(OR(G1973="",G1974=""),"",(G1973+G1974)/2*(B1974-B1973))</f>
        <v/>
      </c>
      <c r="J1973" s="27">
        <f>IF(B1973="","",IF(B1972&lt;'02_Eingaben'!$C$36,0,J1972+I1972/'02_Eingaben'!$C$8))</f>
        <v/>
      </c>
    </row>
    <row r="1974">
      <c r="A1974">
        <f>IF('01_Rohdaten'!A1974="","",ROW()-1)</f>
        <v/>
      </c>
      <c r="B1974" s="27">
        <f>IF('01_Rohdaten'!A1974="","",'01_Rohdaten'!A1974)</f>
        <v/>
      </c>
      <c r="C1974" s="27">
        <f>IF(B1974="","",INDEX('01_Rohdaten'!B1974:D1974,'02_Eingaben'!$C$13))</f>
        <v/>
      </c>
      <c r="D1974" s="27">
        <f>IF(C1974="","",C1974*'02_Eingaben'!$C$15)</f>
        <v/>
      </c>
      <c r="E1974" s="27">
        <f>IF(D1974="","",D1974*'02_Eingaben'!$C$8)</f>
        <v/>
      </c>
      <c r="F1974" s="27">
        <f>IF(E1974="","",AVERAGE(INDEX($E$2:$E$3001,MAX(1,ROW()-1-'02_Eingaben'!$C$17)):INDEX($E$2:$E$3001,MIN('02_Eingaben'!$C$21,ROW()-1+'02_Eingaben'!$C$17))))</f>
        <v/>
      </c>
      <c r="G1974" s="27">
        <f>IF(F1974="","",F1974-'02_Eingaben'!$C$10)</f>
        <v/>
      </c>
      <c r="H1974">
        <f>IF(F1974="","",IF(F1974&lt;'02_Eingaben'!$C$18*'02_Eingaben'!$C$10,1,0))</f>
        <v/>
      </c>
      <c r="I1974" s="27">
        <f>IF(OR(G1974="",G1975=""),"",(G1974+G1975)/2*(B1975-B1974))</f>
        <v/>
      </c>
      <c r="J1974" s="27">
        <f>IF(B1974="","",IF(B1973&lt;'02_Eingaben'!$C$36,0,J1973+I1973/'02_Eingaben'!$C$8))</f>
        <v/>
      </c>
    </row>
    <row r="1975">
      <c r="A1975">
        <f>IF('01_Rohdaten'!A1975="","",ROW()-1)</f>
        <v/>
      </c>
      <c r="B1975" s="27">
        <f>IF('01_Rohdaten'!A1975="","",'01_Rohdaten'!A1975)</f>
        <v/>
      </c>
      <c r="C1975" s="27">
        <f>IF(B1975="","",INDEX('01_Rohdaten'!B1975:D1975,'02_Eingaben'!$C$13))</f>
        <v/>
      </c>
      <c r="D1975" s="27">
        <f>IF(C1975="","",C1975*'02_Eingaben'!$C$15)</f>
        <v/>
      </c>
      <c r="E1975" s="27">
        <f>IF(D1975="","",D1975*'02_Eingaben'!$C$8)</f>
        <v/>
      </c>
      <c r="F1975" s="27">
        <f>IF(E1975="","",AVERAGE(INDEX($E$2:$E$3001,MAX(1,ROW()-1-'02_Eingaben'!$C$17)):INDEX($E$2:$E$3001,MIN('02_Eingaben'!$C$21,ROW()-1+'02_Eingaben'!$C$17))))</f>
        <v/>
      </c>
      <c r="G1975" s="27">
        <f>IF(F1975="","",F1975-'02_Eingaben'!$C$10)</f>
        <v/>
      </c>
      <c r="H1975">
        <f>IF(F1975="","",IF(F1975&lt;'02_Eingaben'!$C$18*'02_Eingaben'!$C$10,1,0))</f>
        <v/>
      </c>
      <c r="I1975" s="27">
        <f>IF(OR(G1975="",G1976=""),"",(G1975+G1976)/2*(B1976-B1975))</f>
        <v/>
      </c>
      <c r="J1975" s="27">
        <f>IF(B1975="","",IF(B1974&lt;'02_Eingaben'!$C$36,0,J1974+I1974/'02_Eingaben'!$C$8))</f>
        <v/>
      </c>
    </row>
    <row r="1976">
      <c r="A1976">
        <f>IF('01_Rohdaten'!A1976="","",ROW()-1)</f>
        <v/>
      </c>
      <c r="B1976" s="27">
        <f>IF('01_Rohdaten'!A1976="","",'01_Rohdaten'!A1976)</f>
        <v/>
      </c>
      <c r="C1976" s="27">
        <f>IF(B1976="","",INDEX('01_Rohdaten'!B1976:D1976,'02_Eingaben'!$C$13))</f>
        <v/>
      </c>
      <c r="D1976" s="27">
        <f>IF(C1976="","",C1976*'02_Eingaben'!$C$15)</f>
        <v/>
      </c>
      <c r="E1976" s="27">
        <f>IF(D1976="","",D1976*'02_Eingaben'!$C$8)</f>
        <v/>
      </c>
      <c r="F1976" s="27">
        <f>IF(E1976="","",AVERAGE(INDEX($E$2:$E$3001,MAX(1,ROW()-1-'02_Eingaben'!$C$17)):INDEX($E$2:$E$3001,MIN('02_Eingaben'!$C$21,ROW()-1+'02_Eingaben'!$C$17))))</f>
        <v/>
      </c>
      <c r="G1976" s="27">
        <f>IF(F1976="","",F1976-'02_Eingaben'!$C$10)</f>
        <v/>
      </c>
      <c r="H1976">
        <f>IF(F1976="","",IF(F1976&lt;'02_Eingaben'!$C$18*'02_Eingaben'!$C$10,1,0))</f>
        <v/>
      </c>
      <c r="I1976" s="27">
        <f>IF(OR(G1976="",G1977=""),"",(G1976+G1977)/2*(B1977-B1976))</f>
        <v/>
      </c>
      <c r="J1976" s="27">
        <f>IF(B1976="","",IF(B1975&lt;'02_Eingaben'!$C$36,0,J1975+I1975/'02_Eingaben'!$C$8))</f>
        <v/>
      </c>
    </row>
    <row r="1977">
      <c r="A1977">
        <f>IF('01_Rohdaten'!A1977="","",ROW()-1)</f>
        <v/>
      </c>
      <c r="B1977" s="27">
        <f>IF('01_Rohdaten'!A1977="","",'01_Rohdaten'!A1977)</f>
        <v/>
      </c>
      <c r="C1977" s="27">
        <f>IF(B1977="","",INDEX('01_Rohdaten'!B1977:D1977,'02_Eingaben'!$C$13))</f>
        <v/>
      </c>
      <c r="D1977" s="27">
        <f>IF(C1977="","",C1977*'02_Eingaben'!$C$15)</f>
        <v/>
      </c>
      <c r="E1977" s="27">
        <f>IF(D1977="","",D1977*'02_Eingaben'!$C$8)</f>
        <v/>
      </c>
      <c r="F1977" s="27">
        <f>IF(E1977="","",AVERAGE(INDEX($E$2:$E$3001,MAX(1,ROW()-1-'02_Eingaben'!$C$17)):INDEX($E$2:$E$3001,MIN('02_Eingaben'!$C$21,ROW()-1+'02_Eingaben'!$C$17))))</f>
        <v/>
      </c>
      <c r="G1977" s="27">
        <f>IF(F1977="","",F1977-'02_Eingaben'!$C$10)</f>
        <v/>
      </c>
      <c r="H1977">
        <f>IF(F1977="","",IF(F1977&lt;'02_Eingaben'!$C$18*'02_Eingaben'!$C$10,1,0))</f>
        <v/>
      </c>
      <c r="I1977" s="27">
        <f>IF(OR(G1977="",G1978=""),"",(G1977+G1978)/2*(B1978-B1977))</f>
        <v/>
      </c>
      <c r="J1977" s="27">
        <f>IF(B1977="","",IF(B1976&lt;'02_Eingaben'!$C$36,0,J1976+I1976/'02_Eingaben'!$C$8))</f>
        <v/>
      </c>
    </row>
    <row r="1978">
      <c r="A1978">
        <f>IF('01_Rohdaten'!A1978="","",ROW()-1)</f>
        <v/>
      </c>
      <c r="B1978" s="27">
        <f>IF('01_Rohdaten'!A1978="","",'01_Rohdaten'!A1978)</f>
        <v/>
      </c>
      <c r="C1978" s="27">
        <f>IF(B1978="","",INDEX('01_Rohdaten'!B1978:D1978,'02_Eingaben'!$C$13))</f>
        <v/>
      </c>
      <c r="D1978" s="27">
        <f>IF(C1978="","",C1978*'02_Eingaben'!$C$15)</f>
        <v/>
      </c>
      <c r="E1978" s="27">
        <f>IF(D1978="","",D1978*'02_Eingaben'!$C$8)</f>
        <v/>
      </c>
      <c r="F1978" s="27">
        <f>IF(E1978="","",AVERAGE(INDEX($E$2:$E$3001,MAX(1,ROW()-1-'02_Eingaben'!$C$17)):INDEX($E$2:$E$3001,MIN('02_Eingaben'!$C$21,ROW()-1+'02_Eingaben'!$C$17))))</f>
        <v/>
      </c>
      <c r="G1978" s="27">
        <f>IF(F1978="","",F1978-'02_Eingaben'!$C$10)</f>
        <v/>
      </c>
      <c r="H1978">
        <f>IF(F1978="","",IF(F1978&lt;'02_Eingaben'!$C$18*'02_Eingaben'!$C$10,1,0))</f>
        <v/>
      </c>
      <c r="I1978" s="27">
        <f>IF(OR(G1978="",G1979=""),"",(G1978+G1979)/2*(B1979-B1978))</f>
        <v/>
      </c>
      <c r="J1978" s="27">
        <f>IF(B1978="","",IF(B1977&lt;'02_Eingaben'!$C$36,0,J1977+I1977/'02_Eingaben'!$C$8))</f>
        <v/>
      </c>
    </row>
    <row r="1979">
      <c r="A1979">
        <f>IF('01_Rohdaten'!A1979="","",ROW()-1)</f>
        <v/>
      </c>
      <c r="B1979" s="27">
        <f>IF('01_Rohdaten'!A1979="","",'01_Rohdaten'!A1979)</f>
        <v/>
      </c>
      <c r="C1979" s="27">
        <f>IF(B1979="","",INDEX('01_Rohdaten'!B1979:D1979,'02_Eingaben'!$C$13))</f>
        <v/>
      </c>
      <c r="D1979" s="27">
        <f>IF(C1979="","",C1979*'02_Eingaben'!$C$15)</f>
        <v/>
      </c>
      <c r="E1979" s="27">
        <f>IF(D1979="","",D1979*'02_Eingaben'!$C$8)</f>
        <v/>
      </c>
      <c r="F1979" s="27">
        <f>IF(E1979="","",AVERAGE(INDEX($E$2:$E$3001,MAX(1,ROW()-1-'02_Eingaben'!$C$17)):INDEX($E$2:$E$3001,MIN('02_Eingaben'!$C$21,ROW()-1+'02_Eingaben'!$C$17))))</f>
        <v/>
      </c>
      <c r="G1979" s="27">
        <f>IF(F1979="","",F1979-'02_Eingaben'!$C$10)</f>
        <v/>
      </c>
      <c r="H1979">
        <f>IF(F1979="","",IF(F1979&lt;'02_Eingaben'!$C$18*'02_Eingaben'!$C$10,1,0))</f>
        <v/>
      </c>
      <c r="I1979" s="27">
        <f>IF(OR(G1979="",G1980=""),"",(G1979+G1980)/2*(B1980-B1979))</f>
        <v/>
      </c>
      <c r="J1979" s="27">
        <f>IF(B1979="","",IF(B1978&lt;'02_Eingaben'!$C$36,0,J1978+I1978/'02_Eingaben'!$C$8))</f>
        <v/>
      </c>
    </row>
    <row r="1980">
      <c r="A1980">
        <f>IF('01_Rohdaten'!A1980="","",ROW()-1)</f>
        <v/>
      </c>
      <c r="B1980" s="27">
        <f>IF('01_Rohdaten'!A1980="","",'01_Rohdaten'!A1980)</f>
        <v/>
      </c>
      <c r="C1980" s="27">
        <f>IF(B1980="","",INDEX('01_Rohdaten'!B1980:D1980,'02_Eingaben'!$C$13))</f>
        <v/>
      </c>
      <c r="D1980" s="27">
        <f>IF(C1980="","",C1980*'02_Eingaben'!$C$15)</f>
        <v/>
      </c>
      <c r="E1980" s="27">
        <f>IF(D1980="","",D1980*'02_Eingaben'!$C$8)</f>
        <v/>
      </c>
      <c r="F1980" s="27">
        <f>IF(E1980="","",AVERAGE(INDEX($E$2:$E$3001,MAX(1,ROW()-1-'02_Eingaben'!$C$17)):INDEX($E$2:$E$3001,MIN('02_Eingaben'!$C$21,ROW()-1+'02_Eingaben'!$C$17))))</f>
        <v/>
      </c>
      <c r="G1980" s="27">
        <f>IF(F1980="","",F1980-'02_Eingaben'!$C$10)</f>
        <v/>
      </c>
      <c r="H1980">
        <f>IF(F1980="","",IF(F1980&lt;'02_Eingaben'!$C$18*'02_Eingaben'!$C$10,1,0))</f>
        <v/>
      </c>
      <c r="I1980" s="27">
        <f>IF(OR(G1980="",G1981=""),"",(G1980+G1981)/2*(B1981-B1980))</f>
        <v/>
      </c>
      <c r="J1980" s="27">
        <f>IF(B1980="","",IF(B1979&lt;'02_Eingaben'!$C$36,0,J1979+I1979/'02_Eingaben'!$C$8))</f>
        <v/>
      </c>
    </row>
    <row r="1981">
      <c r="A1981">
        <f>IF('01_Rohdaten'!A1981="","",ROW()-1)</f>
        <v/>
      </c>
      <c r="B1981" s="27">
        <f>IF('01_Rohdaten'!A1981="","",'01_Rohdaten'!A1981)</f>
        <v/>
      </c>
      <c r="C1981" s="27">
        <f>IF(B1981="","",INDEX('01_Rohdaten'!B1981:D1981,'02_Eingaben'!$C$13))</f>
        <v/>
      </c>
      <c r="D1981" s="27">
        <f>IF(C1981="","",C1981*'02_Eingaben'!$C$15)</f>
        <v/>
      </c>
      <c r="E1981" s="27">
        <f>IF(D1981="","",D1981*'02_Eingaben'!$C$8)</f>
        <v/>
      </c>
      <c r="F1981" s="27">
        <f>IF(E1981="","",AVERAGE(INDEX($E$2:$E$3001,MAX(1,ROW()-1-'02_Eingaben'!$C$17)):INDEX($E$2:$E$3001,MIN('02_Eingaben'!$C$21,ROW()-1+'02_Eingaben'!$C$17))))</f>
        <v/>
      </c>
      <c r="G1981" s="27">
        <f>IF(F1981="","",F1981-'02_Eingaben'!$C$10)</f>
        <v/>
      </c>
      <c r="H1981">
        <f>IF(F1981="","",IF(F1981&lt;'02_Eingaben'!$C$18*'02_Eingaben'!$C$10,1,0))</f>
        <v/>
      </c>
      <c r="I1981" s="27">
        <f>IF(OR(G1981="",G1982=""),"",(G1981+G1982)/2*(B1982-B1981))</f>
        <v/>
      </c>
      <c r="J1981" s="27">
        <f>IF(B1981="","",IF(B1980&lt;'02_Eingaben'!$C$36,0,J1980+I1980/'02_Eingaben'!$C$8))</f>
        <v/>
      </c>
    </row>
    <row r="1982">
      <c r="A1982">
        <f>IF('01_Rohdaten'!A1982="","",ROW()-1)</f>
        <v/>
      </c>
      <c r="B1982" s="27">
        <f>IF('01_Rohdaten'!A1982="","",'01_Rohdaten'!A1982)</f>
        <v/>
      </c>
      <c r="C1982" s="27">
        <f>IF(B1982="","",INDEX('01_Rohdaten'!B1982:D1982,'02_Eingaben'!$C$13))</f>
        <v/>
      </c>
      <c r="D1982" s="27">
        <f>IF(C1982="","",C1982*'02_Eingaben'!$C$15)</f>
        <v/>
      </c>
      <c r="E1982" s="27">
        <f>IF(D1982="","",D1982*'02_Eingaben'!$C$8)</f>
        <v/>
      </c>
      <c r="F1982" s="27">
        <f>IF(E1982="","",AVERAGE(INDEX($E$2:$E$3001,MAX(1,ROW()-1-'02_Eingaben'!$C$17)):INDEX($E$2:$E$3001,MIN('02_Eingaben'!$C$21,ROW()-1+'02_Eingaben'!$C$17))))</f>
        <v/>
      </c>
      <c r="G1982" s="27">
        <f>IF(F1982="","",F1982-'02_Eingaben'!$C$10)</f>
        <v/>
      </c>
      <c r="H1982">
        <f>IF(F1982="","",IF(F1982&lt;'02_Eingaben'!$C$18*'02_Eingaben'!$C$10,1,0))</f>
        <v/>
      </c>
      <c r="I1982" s="27">
        <f>IF(OR(G1982="",G1983=""),"",(G1982+G1983)/2*(B1983-B1982))</f>
        <v/>
      </c>
      <c r="J1982" s="27">
        <f>IF(B1982="","",IF(B1981&lt;'02_Eingaben'!$C$36,0,J1981+I1981/'02_Eingaben'!$C$8))</f>
        <v/>
      </c>
    </row>
    <row r="1983">
      <c r="A1983">
        <f>IF('01_Rohdaten'!A1983="","",ROW()-1)</f>
        <v/>
      </c>
      <c r="B1983" s="27">
        <f>IF('01_Rohdaten'!A1983="","",'01_Rohdaten'!A1983)</f>
        <v/>
      </c>
      <c r="C1983" s="27">
        <f>IF(B1983="","",INDEX('01_Rohdaten'!B1983:D1983,'02_Eingaben'!$C$13))</f>
        <v/>
      </c>
      <c r="D1983" s="27">
        <f>IF(C1983="","",C1983*'02_Eingaben'!$C$15)</f>
        <v/>
      </c>
      <c r="E1983" s="27">
        <f>IF(D1983="","",D1983*'02_Eingaben'!$C$8)</f>
        <v/>
      </c>
      <c r="F1983" s="27">
        <f>IF(E1983="","",AVERAGE(INDEX($E$2:$E$3001,MAX(1,ROW()-1-'02_Eingaben'!$C$17)):INDEX($E$2:$E$3001,MIN('02_Eingaben'!$C$21,ROW()-1+'02_Eingaben'!$C$17))))</f>
        <v/>
      </c>
      <c r="G1983" s="27">
        <f>IF(F1983="","",F1983-'02_Eingaben'!$C$10)</f>
        <v/>
      </c>
      <c r="H1983">
        <f>IF(F1983="","",IF(F1983&lt;'02_Eingaben'!$C$18*'02_Eingaben'!$C$10,1,0))</f>
        <v/>
      </c>
      <c r="I1983" s="27">
        <f>IF(OR(G1983="",G1984=""),"",(G1983+G1984)/2*(B1984-B1983))</f>
        <v/>
      </c>
      <c r="J1983" s="27">
        <f>IF(B1983="","",IF(B1982&lt;'02_Eingaben'!$C$36,0,J1982+I1982/'02_Eingaben'!$C$8))</f>
        <v/>
      </c>
    </row>
    <row r="1984">
      <c r="A1984">
        <f>IF('01_Rohdaten'!A1984="","",ROW()-1)</f>
        <v/>
      </c>
      <c r="B1984" s="27">
        <f>IF('01_Rohdaten'!A1984="","",'01_Rohdaten'!A1984)</f>
        <v/>
      </c>
      <c r="C1984" s="27">
        <f>IF(B1984="","",INDEX('01_Rohdaten'!B1984:D1984,'02_Eingaben'!$C$13))</f>
        <v/>
      </c>
      <c r="D1984" s="27">
        <f>IF(C1984="","",C1984*'02_Eingaben'!$C$15)</f>
        <v/>
      </c>
      <c r="E1984" s="27">
        <f>IF(D1984="","",D1984*'02_Eingaben'!$C$8)</f>
        <v/>
      </c>
      <c r="F1984" s="27">
        <f>IF(E1984="","",AVERAGE(INDEX($E$2:$E$3001,MAX(1,ROW()-1-'02_Eingaben'!$C$17)):INDEX($E$2:$E$3001,MIN('02_Eingaben'!$C$21,ROW()-1+'02_Eingaben'!$C$17))))</f>
        <v/>
      </c>
      <c r="G1984" s="27">
        <f>IF(F1984="","",F1984-'02_Eingaben'!$C$10)</f>
        <v/>
      </c>
      <c r="H1984">
        <f>IF(F1984="","",IF(F1984&lt;'02_Eingaben'!$C$18*'02_Eingaben'!$C$10,1,0))</f>
        <v/>
      </c>
      <c r="I1984" s="27">
        <f>IF(OR(G1984="",G1985=""),"",(G1984+G1985)/2*(B1985-B1984))</f>
        <v/>
      </c>
      <c r="J1984" s="27">
        <f>IF(B1984="","",IF(B1983&lt;'02_Eingaben'!$C$36,0,J1983+I1983/'02_Eingaben'!$C$8))</f>
        <v/>
      </c>
    </row>
    <row r="1985">
      <c r="A1985">
        <f>IF('01_Rohdaten'!A1985="","",ROW()-1)</f>
        <v/>
      </c>
      <c r="B1985" s="27">
        <f>IF('01_Rohdaten'!A1985="","",'01_Rohdaten'!A1985)</f>
        <v/>
      </c>
      <c r="C1985" s="27">
        <f>IF(B1985="","",INDEX('01_Rohdaten'!B1985:D1985,'02_Eingaben'!$C$13))</f>
        <v/>
      </c>
      <c r="D1985" s="27">
        <f>IF(C1985="","",C1985*'02_Eingaben'!$C$15)</f>
        <v/>
      </c>
      <c r="E1985" s="27">
        <f>IF(D1985="","",D1985*'02_Eingaben'!$C$8)</f>
        <v/>
      </c>
      <c r="F1985" s="27">
        <f>IF(E1985="","",AVERAGE(INDEX($E$2:$E$3001,MAX(1,ROW()-1-'02_Eingaben'!$C$17)):INDEX($E$2:$E$3001,MIN('02_Eingaben'!$C$21,ROW()-1+'02_Eingaben'!$C$17))))</f>
        <v/>
      </c>
      <c r="G1985" s="27">
        <f>IF(F1985="","",F1985-'02_Eingaben'!$C$10)</f>
        <v/>
      </c>
      <c r="H1985">
        <f>IF(F1985="","",IF(F1985&lt;'02_Eingaben'!$C$18*'02_Eingaben'!$C$10,1,0))</f>
        <v/>
      </c>
      <c r="I1985" s="27">
        <f>IF(OR(G1985="",G1986=""),"",(G1985+G1986)/2*(B1986-B1985))</f>
        <v/>
      </c>
      <c r="J1985" s="27">
        <f>IF(B1985="","",IF(B1984&lt;'02_Eingaben'!$C$36,0,J1984+I1984/'02_Eingaben'!$C$8))</f>
        <v/>
      </c>
    </row>
    <row r="1986">
      <c r="A1986">
        <f>IF('01_Rohdaten'!A1986="","",ROW()-1)</f>
        <v/>
      </c>
      <c r="B1986" s="27">
        <f>IF('01_Rohdaten'!A1986="","",'01_Rohdaten'!A1986)</f>
        <v/>
      </c>
      <c r="C1986" s="27">
        <f>IF(B1986="","",INDEX('01_Rohdaten'!B1986:D1986,'02_Eingaben'!$C$13))</f>
        <v/>
      </c>
      <c r="D1986" s="27">
        <f>IF(C1986="","",C1986*'02_Eingaben'!$C$15)</f>
        <v/>
      </c>
      <c r="E1986" s="27">
        <f>IF(D1986="","",D1986*'02_Eingaben'!$C$8)</f>
        <v/>
      </c>
      <c r="F1986" s="27">
        <f>IF(E1986="","",AVERAGE(INDEX($E$2:$E$3001,MAX(1,ROW()-1-'02_Eingaben'!$C$17)):INDEX($E$2:$E$3001,MIN('02_Eingaben'!$C$21,ROW()-1+'02_Eingaben'!$C$17))))</f>
        <v/>
      </c>
      <c r="G1986" s="27">
        <f>IF(F1986="","",F1986-'02_Eingaben'!$C$10)</f>
        <v/>
      </c>
      <c r="H1986">
        <f>IF(F1986="","",IF(F1986&lt;'02_Eingaben'!$C$18*'02_Eingaben'!$C$10,1,0))</f>
        <v/>
      </c>
      <c r="I1986" s="27">
        <f>IF(OR(G1986="",G1987=""),"",(G1986+G1987)/2*(B1987-B1986))</f>
        <v/>
      </c>
      <c r="J1986" s="27">
        <f>IF(B1986="","",IF(B1985&lt;'02_Eingaben'!$C$36,0,J1985+I1985/'02_Eingaben'!$C$8))</f>
        <v/>
      </c>
    </row>
    <row r="1987">
      <c r="A1987">
        <f>IF('01_Rohdaten'!A1987="","",ROW()-1)</f>
        <v/>
      </c>
      <c r="B1987" s="27">
        <f>IF('01_Rohdaten'!A1987="","",'01_Rohdaten'!A1987)</f>
        <v/>
      </c>
      <c r="C1987" s="27">
        <f>IF(B1987="","",INDEX('01_Rohdaten'!B1987:D1987,'02_Eingaben'!$C$13))</f>
        <v/>
      </c>
      <c r="D1987" s="27">
        <f>IF(C1987="","",C1987*'02_Eingaben'!$C$15)</f>
        <v/>
      </c>
      <c r="E1987" s="27">
        <f>IF(D1987="","",D1987*'02_Eingaben'!$C$8)</f>
        <v/>
      </c>
      <c r="F1987" s="27">
        <f>IF(E1987="","",AVERAGE(INDEX($E$2:$E$3001,MAX(1,ROW()-1-'02_Eingaben'!$C$17)):INDEX($E$2:$E$3001,MIN('02_Eingaben'!$C$21,ROW()-1+'02_Eingaben'!$C$17))))</f>
        <v/>
      </c>
      <c r="G1987" s="27">
        <f>IF(F1987="","",F1987-'02_Eingaben'!$C$10)</f>
        <v/>
      </c>
      <c r="H1987">
        <f>IF(F1987="","",IF(F1987&lt;'02_Eingaben'!$C$18*'02_Eingaben'!$C$10,1,0))</f>
        <v/>
      </c>
      <c r="I1987" s="27">
        <f>IF(OR(G1987="",G1988=""),"",(G1987+G1988)/2*(B1988-B1987))</f>
        <v/>
      </c>
      <c r="J1987" s="27">
        <f>IF(B1987="","",IF(B1986&lt;'02_Eingaben'!$C$36,0,J1986+I1986/'02_Eingaben'!$C$8))</f>
        <v/>
      </c>
    </row>
    <row r="1988">
      <c r="A1988">
        <f>IF('01_Rohdaten'!A1988="","",ROW()-1)</f>
        <v/>
      </c>
      <c r="B1988" s="27">
        <f>IF('01_Rohdaten'!A1988="","",'01_Rohdaten'!A1988)</f>
        <v/>
      </c>
      <c r="C1988" s="27">
        <f>IF(B1988="","",INDEX('01_Rohdaten'!B1988:D1988,'02_Eingaben'!$C$13))</f>
        <v/>
      </c>
      <c r="D1988" s="27">
        <f>IF(C1988="","",C1988*'02_Eingaben'!$C$15)</f>
        <v/>
      </c>
      <c r="E1988" s="27">
        <f>IF(D1988="","",D1988*'02_Eingaben'!$C$8)</f>
        <v/>
      </c>
      <c r="F1988" s="27">
        <f>IF(E1988="","",AVERAGE(INDEX($E$2:$E$3001,MAX(1,ROW()-1-'02_Eingaben'!$C$17)):INDEX($E$2:$E$3001,MIN('02_Eingaben'!$C$21,ROW()-1+'02_Eingaben'!$C$17))))</f>
        <v/>
      </c>
      <c r="G1988" s="27">
        <f>IF(F1988="","",F1988-'02_Eingaben'!$C$10)</f>
        <v/>
      </c>
      <c r="H1988">
        <f>IF(F1988="","",IF(F1988&lt;'02_Eingaben'!$C$18*'02_Eingaben'!$C$10,1,0))</f>
        <v/>
      </c>
      <c r="I1988" s="27">
        <f>IF(OR(G1988="",G1989=""),"",(G1988+G1989)/2*(B1989-B1988))</f>
        <v/>
      </c>
      <c r="J1988" s="27">
        <f>IF(B1988="","",IF(B1987&lt;'02_Eingaben'!$C$36,0,J1987+I1987/'02_Eingaben'!$C$8))</f>
        <v/>
      </c>
    </row>
    <row r="1989">
      <c r="A1989">
        <f>IF('01_Rohdaten'!A1989="","",ROW()-1)</f>
        <v/>
      </c>
      <c r="B1989" s="27">
        <f>IF('01_Rohdaten'!A1989="","",'01_Rohdaten'!A1989)</f>
        <v/>
      </c>
      <c r="C1989" s="27">
        <f>IF(B1989="","",INDEX('01_Rohdaten'!B1989:D1989,'02_Eingaben'!$C$13))</f>
        <v/>
      </c>
      <c r="D1989" s="27">
        <f>IF(C1989="","",C1989*'02_Eingaben'!$C$15)</f>
        <v/>
      </c>
      <c r="E1989" s="27">
        <f>IF(D1989="","",D1989*'02_Eingaben'!$C$8)</f>
        <v/>
      </c>
      <c r="F1989" s="27">
        <f>IF(E1989="","",AVERAGE(INDEX($E$2:$E$3001,MAX(1,ROW()-1-'02_Eingaben'!$C$17)):INDEX($E$2:$E$3001,MIN('02_Eingaben'!$C$21,ROW()-1+'02_Eingaben'!$C$17))))</f>
        <v/>
      </c>
      <c r="G1989" s="27">
        <f>IF(F1989="","",F1989-'02_Eingaben'!$C$10)</f>
        <v/>
      </c>
      <c r="H1989">
        <f>IF(F1989="","",IF(F1989&lt;'02_Eingaben'!$C$18*'02_Eingaben'!$C$10,1,0))</f>
        <v/>
      </c>
      <c r="I1989" s="27">
        <f>IF(OR(G1989="",G1990=""),"",(G1989+G1990)/2*(B1990-B1989))</f>
        <v/>
      </c>
      <c r="J1989" s="27">
        <f>IF(B1989="","",IF(B1988&lt;'02_Eingaben'!$C$36,0,J1988+I1988/'02_Eingaben'!$C$8))</f>
        <v/>
      </c>
    </row>
    <row r="1990">
      <c r="A1990">
        <f>IF('01_Rohdaten'!A1990="","",ROW()-1)</f>
        <v/>
      </c>
      <c r="B1990" s="27">
        <f>IF('01_Rohdaten'!A1990="","",'01_Rohdaten'!A1990)</f>
        <v/>
      </c>
      <c r="C1990" s="27">
        <f>IF(B1990="","",INDEX('01_Rohdaten'!B1990:D1990,'02_Eingaben'!$C$13))</f>
        <v/>
      </c>
      <c r="D1990" s="27">
        <f>IF(C1990="","",C1990*'02_Eingaben'!$C$15)</f>
        <v/>
      </c>
      <c r="E1990" s="27">
        <f>IF(D1990="","",D1990*'02_Eingaben'!$C$8)</f>
        <v/>
      </c>
      <c r="F1990" s="27">
        <f>IF(E1990="","",AVERAGE(INDEX($E$2:$E$3001,MAX(1,ROW()-1-'02_Eingaben'!$C$17)):INDEX($E$2:$E$3001,MIN('02_Eingaben'!$C$21,ROW()-1+'02_Eingaben'!$C$17))))</f>
        <v/>
      </c>
      <c r="G1990" s="27">
        <f>IF(F1990="","",F1990-'02_Eingaben'!$C$10)</f>
        <v/>
      </c>
      <c r="H1990">
        <f>IF(F1990="","",IF(F1990&lt;'02_Eingaben'!$C$18*'02_Eingaben'!$C$10,1,0))</f>
        <v/>
      </c>
      <c r="I1990" s="27">
        <f>IF(OR(G1990="",G1991=""),"",(G1990+G1991)/2*(B1991-B1990))</f>
        <v/>
      </c>
      <c r="J1990" s="27">
        <f>IF(B1990="","",IF(B1989&lt;'02_Eingaben'!$C$36,0,J1989+I1989/'02_Eingaben'!$C$8))</f>
        <v/>
      </c>
    </row>
    <row r="1991">
      <c r="A1991">
        <f>IF('01_Rohdaten'!A1991="","",ROW()-1)</f>
        <v/>
      </c>
      <c r="B1991" s="27">
        <f>IF('01_Rohdaten'!A1991="","",'01_Rohdaten'!A1991)</f>
        <v/>
      </c>
      <c r="C1991" s="27">
        <f>IF(B1991="","",INDEX('01_Rohdaten'!B1991:D1991,'02_Eingaben'!$C$13))</f>
        <v/>
      </c>
      <c r="D1991" s="27">
        <f>IF(C1991="","",C1991*'02_Eingaben'!$C$15)</f>
        <v/>
      </c>
      <c r="E1991" s="27">
        <f>IF(D1991="","",D1991*'02_Eingaben'!$C$8)</f>
        <v/>
      </c>
      <c r="F1991" s="27">
        <f>IF(E1991="","",AVERAGE(INDEX($E$2:$E$3001,MAX(1,ROW()-1-'02_Eingaben'!$C$17)):INDEX($E$2:$E$3001,MIN('02_Eingaben'!$C$21,ROW()-1+'02_Eingaben'!$C$17))))</f>
        <v/>
      </c>
      <c r="G1991" s="27">
        <f>IF(F1991="","",F1991-'02_Eingaben'!$C$10)</f>
        <v/>
      </c>
      <c r="H1991">
        <f>IF(F1991="","",IF(F1991&lt;'02_Eingaben'!$C$18*'02_Eingaben'!$C$10,1,0))</f>
        <v/>
      </c>
      <c r="I1991" s="27">
        <f>IF(OR(G1991="",G1992=""),"",(G1991+G1992)/2*(B1992-B1991))</f>
        <v/>
      </c>
      <c r="J1991" s="27">
        <f>IF(B1991="","",IF(B1990&lt;'02_Eingaben'!$C$36,0,J1990+I1990/'02_Eingaben'!$C$8))</f>
        <v/>
      </c>
    </row>
    <row r="1992">
      <c r="A1992">
        <f>IF('01_Rohdaten'!A1992="","",ROW()-1)</f>
        <v/>
      </c>
      <c r="B1992" s="27">
        <f>IF('01_Rohdaten'!A1992="","",'01_Rohdaten'!A1992)</f>
        <v/>
      </c>
      <c r="C1992" s="27">
        <f>IF(B1992="","",INDEX('01_Rohdaten'!B1992:D1992,'02_Eingaben'!$C$13))</f>
        <v/>
      </c>
      <c r="D1992" s="27">
        <f>IF(C1992="","",C1992*'02_Eingaben'!$C$15)</f>
        <v/>
      </c>
      <c r="E1992" s="27">
        <f>IF(D1992="","",D1992*'02_Eingaben'!$C$8)</f>
        <v/>
      </c>
      <c r="F1992" s="27">
        <f>IF(E1992="","",AVERAGE(INDEX($E$2:$E$3001,MAX(1,ROW()-1-'02_Eingaben'!$C$17)):INDEX($E$2:$E$3001,MIN('02_Eingaben'!$C$21,ROW()-1+'02_Eingaben'!$C$17))))</f>
        <v/>
      </c>
      <c r="G1992" s="27">
        <f>IF(F1992="","",F1992-'02_Eingaben'!$C$10)</f>
        <v/>
      </c>
      <c r="H1992">
        <f>IF(F1992="","",IF(F1992&lt;'02_Eingaben'!$C$18*'02_Eingaben'!$C$10,1,0))</f>
        <v/>
      </c>
      <c r="I1992" s="27">
        <f>IF(OR(G1992="",G1993=""),"",(G1992+G1993)/2*(B1993-B1992))</f>
        <v/>
      </c>
      <c r="J1992" s="27">
        <f>IF(B1992="","",IF(B1991&lt;'02_Eingaben'!$C$36,0,J1991+I1991/'02_Eingaben'!$C$8))</f>
        <v/>
      </c>
    </row>
    <row r="1993">
      <c r="A1993">
        <f>IF('01_Rohdaten'!A1993="","",ROW()-1)</f>
        <v/>
      </c>
      <c r="B1993" s="27">
        <f>IF('01_Rohdaten'!A1993="","",'01_Rohdaten'!A1993)</f>
        <v/>
      </c>
      <c r="C1993" s="27">
        <f>IF(B1993="","",INDEX('01_Rohdaten'!B1993:D1993,'02_Eingaben'!$C$13))</f>
        <v/>
      </c>
      <c r="D1993" s="27">
        <f>IF(C1993="","",C1993*'02_Eingaben'!$C$15)</f>
        <v/>
      </c>
      <c r="E1993" s="27">
        <f>IF(D1993="","",D1993*'02_Eingaben'!$C$8)</f>
        <v/>
      </c>
      <c r="F1993" s="27">
        <f>IF(E1993="","",AVERAGE(INDEX($E$2:$E$3001,MAX(1,ROW()-1-'02_Eingaben'!$C$17)):INDEX($E$2:$E$3001,MIN('02_Eingaben'!$C$21,ROW()-1+'02_Eingaben'!$C$17))))</f>
        <v/>
      </c>
      <c r="G1993" s="27">
        <f>IF(F1993="","",F1993-'02_Eingaben'!$C$10)</f>
        <v/>
      </c>
      <c r="H1993">
        <f>IF(F1993="","",IF(F1993&lt;'02_Eingaben'!$C$18*'02_Eingaben'!$C$10,1,0))</f>
        <v/>
      </c>
      <c r="I1993" s="27">
        <f>IF(OR(G1993="",G1994=""),"",(G1993+G1994)/2*(B1994-B1993))</f>
        <v/>
      </c>
      <c r="J1993" s="27">
        <f>IF(B1993="","",IF(B1992&lt;'02_Eingaben'!$C$36,0,J1992+I1992/'02_Eingaben'!$C$8))</f>
        <v/>
      </c>
    </row>
    <row r="1994">
      <c r="A1994">
        <f>IF('01_Rohdaten'!A1994="","",ROW()-1)</f>
        <v/>
      </c>
      <c r="B1994" s="27">
        <f>IF('01_Rohdaten'!A1994="","",'01_Rohdaten'!A1994)</f>
        <v/>
      </c>
      <c r="C1994" s="27">
        <f>IF(B1994="","",INDEX('01_Rohdaten'!B1994:D1994,'02_Eingaben'!$C$13))</f>
        <v/>
      </c>
      <c r="D1994" s="27">
        <f>IF(C1994="","",C1994*'02_Eingaben'!$C$15)</f>
        <v/>
      </c>
      <c r="E1994" s="27">
        <f>IF(D1994="","",D1994*'02_Eingaben'!$C$8)</f>
        <v/>
      </c>
      <c r="F1994" s="27">
        <f>IF(E1994="","",AVERAGE(INDEX($E$2:$E$3001,MAX(1,ROW()-1-'02_Eingaben'!$C$17)):INDEX($E$2:$E$3001,MIN('02_Eingaben'!$C$21,ROW()-1+'02_Eingaben'!$C$17))))</f>
        <v/>
      </c>
      <c r="G1994" s="27">
        <f>IF(F1994="","",F1994-'02_Eingaben'!$C$10)</f>
        <v/>
      </c>
      <c r="H1994">
        <f>IF(F1994="","",IF(F1994&lt;'02_Eingaben'!$C$18*'02_Eingaben'!$C$10,1,0))</f>
        <v/>
      </c>
      <c r="I1994" s="27">
        <f>IF(OR(G1994="",G1995=""),"",(G1994+G1995)/2*(B1995-B1994))</f>
        <v/>
      </c>
      <c r="J1994" s="27">
        <f>IF(B1994="","",IF(B1993&lt;'02_Eingaben'!$C$36,0,J1993+I1993/'02_Eingaben'!$C$8))</f>
        <v/>
      </c>
    </row>
    <row r="1995">
      <c r="A1995">
        <f>IF('01_Rohdaten'!A1995="","",ROW()-1)</f>
        <v/>
      </c>
      <c r="B1995" s="27">
        <f>IF('01_Rohdaten'!A1995="","",'01_Rohdaten'!A1995)</f>
        <v/>
      </c>
      <c r="C1995" s="27">
        <f>IF(B1995="","",INDEX('01_Rohdaten'!B1995:D1995,'02_Eingaben'!$C$13))</f>
        <v/>
      </c>
      <c r="D1995" s="27">
        <f>IF(C1995="","",C1995*'02_Eingaben'!$C$15)</f>
        <v/>
      </c>
      <c r="E1995" s="27">
        <f>IF(D1995="","",D1995*'02_Eingaben'!$C$8)</f>
        <v/>
      </c>
      <c r="F1995" s="27">
        <f>IF(E1995="","",AVERAGE(INDEX($E$2:$E$3001,MAX(1,ROW()-1-'02_Eingaben'!$C$17)):INDEX($E$2:$E$3001,MIN('02_Eingaben'!$C$21,ROW()-1+'02_Eingaben'!$C$17))))</f>
        <v/>
      </c>
      <c r="G1995" s="27">
        <f>IF(F1995="","",F1995-'02_Eingaben'!$C$10)</f>
        <v/>
      </c>
      <c r="H1995">
        <f>IF(F1995="","",IF(F1995&lt;'02_Eingaben'!$C$18*'02_Eingaben'!$C$10,1,0))</f>
        <v/>
      </c>
      <c r="I1995" s="27">
        <f>IF(OR(G1995="",G1996=""),"",(G1995+G1996)/2*(B1996-B1995))</f>
        <v/>
      </c>
      <c r="J1995" s="27">
        <f>IF(B1995="","",IF(B1994&lt;'02_Eingaben'!$C$36,0,J1994+I1994/'02_Eingaben'!$C$8))</f>
        <v/>
      </c>
    </row>
    <row r="1996">
      <c r="A1996">
        <f>IF('01_Rohdaten'!A1996="","",ROW()-1)</f>
        <v/>
      </c>
      <c r="B1996" s="27">
        <f>IF('01_Rohdaten'!A1996="","",'01_Rohdaten'!A1996)</f>
        <v/>
      </c>
      <c r="C1996" s="27">
        <f>IF(B1996="","",INDEX('01_Rohdaten'!B1996:D1996,'02_Eingaben'!$C$13))</f>
        <v/>
      </c>
      <c r="D1996" s="27">
        <f>IF(C1996="","",C1996*'02_Eingaben'!$C$15)</f>
        <v/>
      </c>
      <c r="E1996" s="27">
        <f>IF(D1996="","",D1996*'02_Eingaben'!$C$8)</f>
        <v/>
      </c>
      <c r="F1996" s="27">
        <f>IF(E1996="","",AVERAGE(INDEX($E$2:$E$3001,MAX(1,ROW()-1-'02_Eingaben'!$C$17)):INDEX($E$2:$E$3001,MIN('02_Eingaben'!$C$21,ROW()-1+'02_Eingaben'!$C$17))))</f>
        <v/>
      </c>
      <c r="G1996" s="27">
        <f>IF(F1996="","",F1996-'02_Eingaben'!$C$10)</f>
        <v/>
      </c>
      <c r="H1996">
        <f>IF(F1996="","",IF(F1996&lt;'02_Eingaben'!$C$18*'02_Eingaben'!$C$10,1,0))</f>
        <v/>
      </c>
      <c r="I1996" s="27">
        <f>IF(OR(G1996="",G1997=""),"",(G1996+G1997)/2*(B1997-B1996))</f>
        <v/>
      </c>
      <c r="J1996" s="27">
        <f>IF(B1996="","",IF(B1995&lt;'02_Eingaben'!$C$36,0,J1995+I1995/'02_Eingaben'!$C$8))</f>
        <v/>
      </c>
    </row>
    <row r="1997">
      <c r="A1997">
        <f>IF('01_Rohdaten'!A1997="","",ROW()-1)</f>
        <v/>
      </c>
      <c r="B1997" s="27">
        <f>IF('01_Rohdaten'!A1997="","",'01_Rohdaten'!A1997)</f>
        <v/>
      </c>
      <c r="C1997" s="27">
        <f>IF(B1997="","",INDEX('01_Rohdaten'!B1997:D1997,'02_Eingaben'!$C$13))</f>
        <v/>
      </c>
      <c r="D1997" s="27">
        <f>IF(C1997="","",C1997*'02_Eingaben'!$C$15)</f>
        <v/>
      </c>
      <c r="E1997" s="27">
        <f>IF(D1997="","",D1997*'02_Eingaben'!$C$8)</f>
        <v/>
      </c>
      <c r="F1997" s="27">
        <f>IF(E1997="","",AVERAGE(INDEX($E$2:$E$3001,MAX(1,ROW()-1-'02_Eingaben'!$C$17)):INDEX($E$2:$E$3001,MIN('02_Eingaben'!$C$21,ROW()-1+'02_Eingaben'!$C$17))))</f>
        <v/>
      </c>
      <c r="G1997" s="27">
        <f>IF(F1997="","",F1997-'02_Eingaben'!$C$10)</f>
        <v/>
      </c>
      <c r="H1997">
        <f>IF(F1997="","",IF(F1997&lt;'02_Eingaben'!$C$18*'02_Eingaben'!$C$10,1,0))</f>
        <v/>
      </c>
      <c r="I1997" s="27">
        <f>IF(OR(G1997="",G1998=""),"",(G1997+G1998)/2*(B1998-B1997))</f>
        <v/>
      </c>
      <c r="J1997" s="27">
        <f>IF(B1997="","",IF(B1996&lt;'02_Eingaben'!$C$36,0,J1996+I1996/'02_Eingaben'!$C$8))</f>
        <v/>
      </c>
    </row>
    <row r="1998">
      <c r="A1998">
        <f>IF('01_Rohdaten'!A1998="","",ROW()-1)</f>
        <v/>
      </c>
      <c r="B1998" s="27">
        <f>IF('01_Rohdaten'!A1998="","",'01_Rohdaten'!A1998)</f>
        <v/>
      </c>
      <c r="C1998" s="27">
        <f>IF(B1998="","",INDEX('01_Rohdaten'!B1998:D1998,'02_Eingaben'!$C$13))</f>
        <v/>
      </c>
      <c r="D1998" s="27">
        <f>IF(C1998="","",C1998*'02_Eingaben'!$C$15)</f>
        <v/>
      </c>
      <c r="E1998" s="27">
        <f>IF(D1998="","",D1998*'02_Eingaben'!$C$8)</f>
        <v/>
      </c>
      <c r="F1998" s="27">
        <f>IF(E1998="","",AVERAGE(INDEX($E$2:$E$3001,MAX(1,ROW()-1-'02_Eingaben'!$C$17)):INDEX($E$2:$E$3001,MIN('02_Eingaben'!$C$21,ROW()-1+'02_Eingaben'!$C$17))))</f>
        <v/>
      </c>
      <c r="G1998" s="27">
        <f>IF(F1998="","",F1998-'02_Eingaben'!$C$10)</f>
        <v/>
      </c>
      <c r="H1998">
        <f>IF(F1998="","",IF(F1998&lt;'02_Eingaben'!$C$18*'02_Eingaben'!$C$10,1,0))</f>
        <v/>
      </c>
      <c r="I1998" s="27">
        <f>IF(OR(G1998="",G1999=""),"",(G1998+G1999)/2*(B1999-B1998))</f>
        <v/>
      </c>
      <c r="J1998" s="27">
        <f>IF(B1998="","",IF(B1997&lt;'02_Eingaben'!$C$36,0,J1997+I1997/'02_Eingaben'!$C$8))</f>
        <v/>
      </c>
    </row>
    <row r="1999">
      <c r="A1999">
        <f>IF('01_Rohdaten'!A1999="","",ROW()-1)</f>
        <v/>
      </c>
      <c r="B1999" s="27">
        <f>IF('01_Rohdaten'!A1999="","",'01_Rohdaten'!A1999)</f>
        <v/>
      </c>
      <c r="C1999" s="27">
        <f>IF(B1999="","",INDEX('01_Rohdaten'!B1999:D1999,'02_Eingaben'!$C$13))</f>
        <v/>
      </c>
      <c r="D1999" s="27">
        <f>IF(C1999="","",C1999*'02_Eingaben'!$C$15)</f>
        <v/>
      </c>
      <c r="E1999" s="27">
        <f>IF(D1999="","",D1999*'02_Eingaben'!$C$8)</f>
        <v/>
      </c>
      <c r="F1999" s="27">
        <f>IF(E1999="","",AVERAGE(INDEX($E$2:$E$3001,MAX(1,ROW()-1-'02_Eingaben'!$C$17)):INDEX($E$2:$E$3001,MIN('02_Eingaben'!$C$21,ROW()-1+'02_Eingaben'!$C$17))))</f>
        <v/>
      </c>
      <c r="G1999" s="27">
        <f>IF(F1999="","",F1999-'02_Eingaben'!$C$10)</f>
        <v/>
      </c>
      <c r="H1999">
        <f>IF(F1999="","",IF(F1999&lt;'02_Eingaben'!$C$18*'02_Eingaben'!$C$10,1,0))</f>
        <v/>
      </c>
      <c r="I1999" s="27">
        <f>IF(OR(G1999="",G2000=""),"",(G1999+G2000)/2*(B2000-B1999))</f>
        <v/>
      </c>
      <c r="J1999" s="27">
        <f>IF(B1999="","",IF(B1998&lt;'02_Eingaben'!$C$36,0,J1998+I1998/'02_Eingaben'!$C$8))</f>
        <v/>
      </c>
    </row>
    <row r="2000">
      <c r="A2000">
        <f>IF('01_Rohdaten'!A2000="","",ROW()-1)</f>
        <v/>
      </c>
      <c r="B2000" s="27">
        <f>IF('01_Rohdaten'!A2000="","",'01_Rohdaten'!A2000)</f>
        <v/>
      </c>
      <c r="C2000" s="27">
        <f>IF(B2000="","",INDEX('01_Rohdaten'!B2000:D2000,'02_Eingaben'!$C$13))</f>
        <v/>
      </c>
      <c r="D2000" s="27">
        <f>IF(C2000="","",C2000*'02_Eingaben'!$C$15)</f>
        <v/>
      </c>
      <c r="E2000" s="27">
        <f>IF(D2000="","",D2000*'02_Eingaben'!$C$8)</f>
        <v/>
      </c>
      <c r="F2000" s="27">
        <f>IF(E2000="","",AVERAGE(INDEX($E$2:$E$3001,MAX(1,ROW()-1-'02_Eingaben'!$C$17)):INDEX($E$2:$E$3001,MIN('02_Eingaben'!$C$21,ROW()-1+'02_Eingaben'!$C$17))))</f>
        <v/>
      </c>
      <c r="G2000" s="27">
        <f>IF(F2000="","",F2000-'02_Eingaben'!$C$10)</f>
        <v/>
      </c>
      <c r="H2000">
        <f>IF(F2000="","",IF(F2000&lt;'02_Eingaben'!$C$18*'02_Eingaben'!$C$10,1,0))</f>
        <v/>
      </c>
      <c r="I2000" s="27">
        <f>IF(OR(G2000="",G2001=""),"",(G2000+G2001)/2*(B2001-B2000))</f>
        <v/>
      </c>
      <c r="J2000" s="27">
        <f>IF(B2000="","",IF(B1999&lt;'02_Eingaben'!$C$36,0,J1999+I1999/'02_Eingaben'!$C$8))</f>
        <v/>
      </c>
    </row>
    <row r="2001">
      <c r="A2001">
        <f>IF('01_Rohdaten'!A2001="","",ROW()-1)</f>
        <v/>
      </c>
      <c r="B2001" s="27">
        <f>IF('01_Rohdaten'!A2001="","",'01_Rohdaten'!A2001)</f>
        <v/>
      </c>
      <c r="C2001" s="27">
        <f>IF(B2001="","",INDEX('01_Rohdaten'!B2001:D2001,'02_Eingaben'!$C$13))</f>
        <v/>
      </c>
      <c r="D2001" s="27">
        <f>IF(C2001="","",C2001*'02_Eingaben'!$C$15)</f>
        <v/>
      </c>
      <c r="E2001" s="27">
        <f>IF(D2001="","",D2001*'02_Eingaben'!$C$8)</f>
        <v/>
      </c>
      <c r="F2001" s="27">
        <f>IF(E2001="","",AVERAGE(INDEX($E$2:$E$3001,MAX(1,ROW()-1-'02_Eingaben'!$C$17)):INDEX($E$2:$E$3001,MIN('02_Eingaben'!$C$21,ROW()-1+'02_Eingaben'!$C$17))))</f>
        <v/>
      </c>
      <c r="G2001" s="27">
        <f>IF(F2001="","",F2001-'02_Eingaben'!$C$10)</f>
        <v/>
      </c>
      <c r="H2001">
        <f>IF(F2001="","",IF(F2001&lt;'02_Eingaben'!$C$18*'02_Eingaben'!$C$10,1,0))</f>
        <v/>
      </c>
      <c r="I2001" s="27">
        <f>IF(OR(G2001="",G2002=""),"",(G2001+G2002)/2*(B2002-B2001))</f>
        <v/>
      </c>
      <c r="J2001" s="27">
        <f>IF(B2001="","",IF(B2000&lt;'02_Eingaben'!$C$36,0,J2000+I2000/'02_Eingaben'!$C$8))</f>
        <v/>
      </c>
    </row>
    <row r="2002">
      <c r="A2002">
        <f>IF('01_Rohdaten'!A2002="","",ROW()-1)</f>
        <v/>
      </c>
      <c r="B2002" s="27">
        <f>IF('01_Rohdaten'!A2002="","",'01_Rohdaten'!A2002)</f>
        <v/>
      </c>
      <c r="C2002" s="27">
        <f>IF(B2002="","",INDEX('01_Rohdaten'!B2002:D2002,'02_Eingaben'!$C$13))</f>
        <v/>
      </c>
      <c r="D2002" s="27">
        <f>IF(C2002="","",C2002*'02_Eingaben'!$C$15)</f>
        <v/>
      </c>
      <c r="E2002" s="27">
        <f>IF(D2002="","",D2002*'02_Eingaben'!$C$8)</f>
        <v/>
      </c>
      <c r="F2002" s="27">
        <f>IF(E2002="","",AVERAGE(INDEX($E$2:$E$3001,MAX(1,ROW()-1-'02_Eingaben'!$C$17)):INDEX($E$2:$E$3001,MIN('02_Eingaben'!$C$21,ROW()-1+'02_Eingaben'!$C$17))))</f>
        <v/>
      </c>
      <c r="G2002" s="27">
        <f>IF(F2002="","",F2002-'02_Eingaben'!$C$10)</f>
        <v/>
      </c>
      <c r="H2002">
        <f>IF(F2002="","",IF(F2002&lt;'02_Eingaben'!$C$18*'02_Eingaben'!$C$10,1,0))</f>
        <v/>
      </c>
      <c r="I2002" s="27">
        <f>IF(OR(G2002="",G2003=""),"",(G2002+G2003)/2*(B2003-B2002))</f>
        <v/>
      </c>
      <c r="J2002" s="27">
        <f>IF(B2002="","",IF(B2001&lt;'02_Eingaben'!$C$36,0,J2001+I2001/'02_Eingaben'!$C$8))</f>
        <v/>
      </c>
    </row>
    <row r="2003">
      <c r="A2003">
        <f>IF('01_Rohdaten'!A2003="","",ROW()-1)</f>
        <v/>
      </c>
      <c r="B2003" s="27">
        <f>IF('01_Rohdaten'!A2003="","",'01_Rohdaten'!A2003)</f>
        <v/>
      </c>
      <c r="C2003" s="27">
        <f>IF(B2003="","",INDEX('01_Rohdaten'!B2003:D2003,'02_Eingaben'!$C$13))</f>
        <v/>
      </c>
      <c r="D2003" s="27">
        <f>IF(C2003="","",C2003*'02_Eingaben'!$C$15)</f>
        <v/>
      </c>
      <c r="E2003" s="27">
        <f>IF(D2003="","",D2003*'02_Eingaben'!$C$8)</f>
        <v/>
      </c>
      <c r="F2003" s="27">
        <f>IF(E2003="","",AVERAGE(INDEX($E$2:$E$3001,MAX(1,ROW()-1-'02_Eingaben'!$C$17)):INDEX($E$2:$E$3001,MIN('02_Eingaben'!$C$21,ROW()-1+'02_Eingaben'!$C$17))))</f>
        <v/>
      </c>
      <c r="G2003" s="27">
        <f>IF(F2003="","",F2003-'02_Eingaben'!$C$10)</f>
        <v/>
      </c>
      <c r="H2003">
        <f>IF(F2003="","",IF(F2003&lt;'02_Eingaben'!$C$18*'02_Eingaben'!$C$10,1,0))</f>
        <v/>
      </c>
      <c r="I2003" s="27">
        <f>IF(OR(G2003="",G2004=""),"",(G2003+G2004)/2*(B2004-B2003))</f>
        <v/>
      </c>
      <c r="J2003" s="27">
        <f>IF(B2003="","",IF(B2002&lt;'02_Eingaben'!$C$36,0,J2002+I2002/'02_Eingaben'!$C$8))</f>
        <v/>
      </c>
    </row>
    <row r="2004">
      <c r="A2004">
        <f>IF('01_Rohdaten'!A2004="","",ROW()-1)</f>
        <v/>
      </c>
      <c r="B2004" s="27">
        <f>IF('01_Rohdaten'!A2004="","",'01_Rohdaten'!A2004)</f>
        <v/>
      </c>
      <c r="C2004" s="27">
        <f>IF(B2004="","",INDEX('01_Rohdaten'!B2004:D2004,'02_Eingaben'!$C$13))</f>
        <v/>
      </c>
      <c r="D2004" s="27">
        <f>IF(C2004="","",C2004*'02_Eingaben'!$C$15)</f>
        <v/>
      </c>
      <c r="E2004" s="27">
        <f>IF(D2004="","",D2004*'02_Eingaben'!$C$8)</f>
        <v/>
      </c>
      <c r="F2004" s="27">
        <f>IF(E2004="","",AVERAGE(INDEX($E$2:$E$3001,MAX(1,ROW()-1-'02_Eingaben'!$C$17)):INDEX($E$2:$E$3001,MIN('02_Eingaben'!$C$21,ROW()-1+'02_Eingaben'!$C$17))))</f>
        <v/>
      </c>
      <c r="G2004" s="27">
        <f>IF(F2004="","",F2004-'02_Eingaben'!$C$10)</f>
        <v/>
      </c>
      <c r="H2004">
        <f>IF(F2004="","",IF(F2004&lt;'02_Eingaben'!$C$18*'02_Eingaben'!$C$10,1,0))</f>
        <v/>
      </c>
      <c r="I2004" s="27">
        <f>IF(OR(G2004="",G2005=""),"",(G2004+G2005)/2*(B2005-B2004))</f>
        <v/>
      </c>
      <c r="J2004" s="27">
        <f>IF(B2004="","",IF(B2003&lt;'02_Eingaben'!$C$36,0,J2003+I2003/'02_Eingaben'!$C$8))</f>
        <v/>
      </c>
    </row>
    <row r="2005">
      <c r="A2005">
        <f>IF('01_Rohdaten'!A2005="","",ROW()-1)</f>
        <v/>
      </c>
      <c r="B2005" s="27">
        <f>IF('01_Rohdaten'!A2005="","",'01_Rohdaten'!A2005)</f>
        <v/>
      </c>
      <c r="C2005" s="27">
        <f>IF(B2005="","",INDEX('01_Rohdaten'!B2005:D2005,'02_Eingaben'!$C$13))</f>
        <v/>
      </c>
      <c r="D2005" s="27">
        <f>IF(C2005="","",C2005*'02_Eingaben'!$C$15)</f>
        <v/>
      </c>
      <c r="E2005" s="27">
        <f>IF(D2005="","",D2005*'02_Eingaben'!$C$8)</f>
        <v/>
      </c>
      <c r="F2005" s="27">
        <f>IF(E2005="","",AVERAGE(INDEX($E$2:$E$3001,MAX(1,ROW()-1-'02_Eingaben'!$C$17)):INDEX($E$2:$E$3001,MIN('02_Eingaben'!$C$21,ROW()-1+'02_Eingaben'!$C$17))))</f>
        <v/>
      </c>
      <c r="G2005" s="27">
        <f>IF(F2005="","",F2005-'02_Eingaben'!$C$10)</f>
        <v/>
      </c>
      <c r="H2005">
        <f>IF(F2005="","",IF(F2005&lt;'02_Eingaben'!$C$18*'02_Eingaben'!$C$10,1,0))</f>
        <v/>
      </c>
      <c r="I2005" s="27">
        <f>IF(OR(G2005="",G2006=""),"",(G2005+G2006)/2*(B2006-B2005))</f>
        <v/>
      </c>
      <c r="J2005" s="27">
        <f>IF(B2005="","",IF(B2004&lt;'02_Eingaben'!$C$36,0,J2004+I2004/'02_Eingaben'!$C$8))</f>
        <v/>
      </c>
    </row>
    <row r="2006">
      <c r="A2006">
        <f>IF('01_Rohdaten'!A2006="","",ROW()-1)</f>
        <v/>
      </c>
      <c r="B2006" s="27">
        <f>IF('01_Rohdaten'!A2006="","",'01_Rohdaten'!A2006)</f>
        <v/>
      </c>
      <c r="C2006" s="27">
        <f>IF(B2006="","",INDEX('01_Rohdaten'!B2006:D2006,'02_Eingaben'!$C$13))</f>
        <v/>
      </c>
      <c r="D2006" s="27">
        <f>IF(C2006="","",C2006*'02_Eingaben'!$C$15)</f>
        <v/>
      </c>
      <c r="E2006" s="27">
        <f>IF(D2006="","",D2006*'02_Eingaben'!$C$8)</f>
        <v/>
      </c>
      <c r="F2006" s="27">
        <f>IF(E2006="","",AVERAGE(INDEX($E$2:$E$3001,MAX(1,ROW()-1-'02_Eingaben'!$C$17)):INDEX($E$2:$E$3001,MIN('02_Eingaben'!$C$21,ROW()-1+'02_Eingaben'!$C$17))))</f>
        <v/>
      </c>
      <c r="G2006" s="27">
        <f>IF(F2006="","",F2006-'02_Eingaben'!$C$10)</f>
        <v/>
      </c>
      <c r="H2006">
        <f>IF(F2006="","",IF(F2006&lt;'02_Eingaben'!$C$18*'02_Eingaben'!$C$10,1,0))</f>
        <v/>
      </c>
      <c r="I2006" s="27">
        <f>IF(OR(G2006="",G2007=""),"",(G2006+G2007)/2*(B2007-B2006))</f>
        <v/>
      </c>
      <c r="J2006" s="27">
        <f>IF(B2006="","",IF(B2005&lt;'02_Eingaben'!$C$36,0,J2005+I2005/'02_Eingaben'!$C$8))</f>
        <v/>
      </c>
    </row>
    <row r="2007">
      <c r="A2007">
        <f>IF('01_Rohdaten'!A2007="","",ROW()-1)</f>
        <v/>
      </c>
      <c r="B2007" s="27">
        <f>IF('01_Rohdaten'!A2007="","",'01_Rohdaten'!A2007)</f>
        <v/>
      </c>
      <c r="C2007" s="27">
        <f>IF(B2007="","",INDEX('01_Rohdaten'!B2007:D2007,'02_Eingaben'!$C$13))</f>
        <v/>
      </c>
      <c r="D2007" s="27">
        <f>IF(C2007="","",C2007*'02_Eingaben'!$C$15)</f>
        <v/>
      </c>
      <c r="E2007" s="27">
        <f>IF(D2007="","",D2007*'02_Eingaben'!$C$8)</f>
        <v/>
      </c>
      <c r="F2007" s="27">
        <f>IF(E2007="","",AVERAGE(INDEX($E$2:$E$3001,MAX(1,ROW()-1-'02_Eingaben'!$C$17)):INDEX($E$2:$E$3001,MIN('02_Eingaben'!$C$21,ROW()-1+'02_Eingaben'!$C$17))))</f>
        <v/>
      </c>
      <c r="G2007" s="27">
        <f>IF(F2007="","",F2007-'02_Eingaben'!$C$10)</f>
        <v/>
      </c>
      <c r="H2007">
        <f>IF(F2007="","",IF(F2007&lt;'02_Eingaben'!$C$18*'02_Eingaben'!$C$10,1,0))</f>
        <v/>
      </c>
      <c r="I2007" s="27">
        <f>IF(OR(G2007="",G2008=""),"",(G2007+G2008)/2*(B2008-B2007))</f>
        <v/>
      </c>
      <c r="J2007" s="27">
        <f>IF(B2007="","",IF(B2006&lt;'02_Eingaben'!$C$36,0,J2006+I2006/'02_Eingaben'!$C$8))</f>
        <v/>
      </c>
    </row>
    <row r="2008">
      <c r="A2008">
        <f>IF('01_Rohdaten'!A2008="","",ROW()-1)</f>
        <v/>
      </c>
      <c r="B2008" s="27">
        <f>IF('01_Rohdaten'!A2008="","",'01_Rohdaten'!A2008)</f>
        <v/>
      </c>
      <c r="C2008" s="27">
        <f>IF(B2008="","",INDEX('01_Rohdaten'!B2008:D2008,'02_Eingaben'!$C$13))</f>
        <v/>
      </c>
      <c r="D2008" s="27">
        <f>IF(C2008="","",C2008*'02_Eingaben'!$C$15)</f>
        <v/>
      </c>
      <c r="E2008" s="27">
        <f>IF(D2008="","",D2008*'02_Eingaben'!$C$8)</f>
        <v/>
      </c>
      <c r="F2008" s="27">
        <f>IF(E2008="","",AVERAGE(INDEX($E$2:$E$3001,MAX(1,ROW()-1-'02_Eingaben'!$C$17)):INDEX($E$2:$E$3001,MIN('02_Eingaben'!$C$21,ROW()-1+'02_Eingaben'!$C$17))))</f>
        <v/>
      </c>
      <c r="G2008" s="27">
        <f>IF(F2008="","",F2008-'02_Eingaben'!$C$10)</f>
        <v/>
      </c>
      <c r="H2008">
        <f>IF(F2008="","",IF(F2008&lt;'02_Eingaben'!$C$18*'02_Eingaben'!$C$10,1,0))</f>
        <v/>
      </c>
      <c r="I2008" s="27">
        <f>IF(OR(G2008="",G2009=""),"",(G2008+G2009)/2*(B2009-B2008))</f>
        <v/>
      </c>
      <c r="J2008" s="27">
        <f>IF(B2008="","",IF(B2007&lt;'02_Eingaben'!$C$36,0,J2007+I2007/'02_Eingaben'!$C$8))</f>
        <v/>
      </c>
    </row>
    <row r="2009">
      <c r="A2009">
        <f>IF('01_Rohdaten'!A2009="","",ROW()-1)</f>
        <v/>
      </c>
      <c r="B2009" s="27">
        <f>IF('01_Rohdaten'!A2009="","",'01_Rohdaten'!A2009)</f>
        <v/>
      </c>
      <c r="C2009" s="27">
        <f>IF(B2009="","",INDEX('01_Rohdaten'!B2009:D2009,'02_Eingaben'!$C$13))</f>
        <v/>
      </c>
      <c r="D2009" s="27">
        <f>IF(C2009="","",C2009*'02_Eingaben'!$C$15)</f>
        <v/>
      </c>
      <c r="E2009" s="27">
        <f>IF(D2009="","",D2009*'02_Eingaben'!$C$8)</f>
        <v/>
      </c>
      <c r="F2009" s="27">
        <f>IF(E2009="","",AVERAGE(INDEX($E$2:$E$3001,MAX(1,ROW()-1-'02_Eingaben'!$C$17)):INDEX($E$2:$E$3001,MIN('02_Eingaben'!$C$21,ROW()-1+'02_Eingaben'!$C$17))))</f>
        <v/>
      </c>
      <c r="G2009" s="27">
        <f>IF(F2009="","",F2009-'02_Eingaben'!$C$10)</f>
        <v/>
      </c>
      <c r="H2009">
        <f>IF(F2009="","",IF(F2009&lt;'02_Eingaben'!$C$18*'02_Eingaben'!$C$10,1,0))</f>
        <v/>
      </c>
      <c r="I2009" s="27">
        <f>IF(OR(G2009="",G2010=""),"",(G2009+G2010)/2*(B2010-B2009))</f>
        <v/>
      </c>
      <c r="J2009" s="27">
        <f>IF(B2009="","",IF(B2008&lt;'02_Eingaben'!$C$36,0,J2008+I2008/'02_Eingaben'!$C$8))</f>
        <v/>
      </c>
    </row>
    <row r="2010">
      <c r="A2010">
        <f>IF('01_Rohdaten'!A2010="","",ROW()-1)</f>
        <v/>
      </c>
      <c r="B2010" s="27">
        <f>IF('01_Rohdaten'!A2010="","",'01_Rohdaten'!A2010)</f>
        <v/>
      </c>
      <c r="C2010" s="27">
        <f>IF(B2010="","",INDEX('01_Rohdaten'!B2010:D2010,'02_Eingaben'!$C$13))</f>
        <v/>
      </c>
      <c r="D2010" s="27">
        <f>IF(C2010="","",C2010*'02_Eingaben'!$C$15)</f>
        <v/>
      </c>
      <c r="E2010" s="27">
        <f>IF(D2010="","",D2010*'02_Eingaben'!$C$8)</f>
        <v/>
      </c>
      <c r="F2010" s="27">
        <f>IF(E2010="","",AVERAGE(INDEX($E$2:$E$3001,MAX(1,ROW()-1-'02_Eingaben'!$C$17)):INDEX($E$2:$E$3001,MIN('02_Eingaben'!$C$21,ROW()-1+'02_Eingaben'!$C$17))))</f>
        <v/>
      </c>
      <c r="G2010" s="27">
        <f>IF(F2010="","",F2010-'02_Eingaben'!$C$10)</f>
        <v/>
      </c>
      <c r="H2010">
        <f>IF(F2010="","",IF(F2010&lt;'02_Eingaben'!$C$18*'02_Eingaben'!$C$10,1,0))</f>
        <v/>
      </c>
      <c r="I2010" s="27">
        <f>IF(OR(G2010="",G2011=""),"",(G2010+G2011)/2*(B2011-B2010))</f>
        <v/>
      </c>
      <c r="J2010" s="27">
        <f>IF(B2010="","",IF(B2009&lt;'02_Eingaben'!$C$36,0,J2009+I2009/'02_Eingaben'!$C$8))</f>
        <v/>
      </c>
    </row>
    <row r="2011">
      <c r="A2011">
        <f>IF('01_Rohdaten'!A2011="","",ROW()-1)</f>
        <v/>
      </c>
      <c r="B2011" s="27">
        <f>IF('01_Rohdaten'!A2011="","",'01_Rohdaten'!A2011)</f>
        <v/>
      </c>
      <c r="C2011" s="27">
        <f>IF(B2011="","",INDEX('01_Rohdaten'!B2011:D2011,'02_Eingaben'!$C$13))</f>
        <v/>
      </c>
      <c r="D2011" s="27">
        <f>IF(C2011="","",C2011*'02_Eingaben'!$C$15)</f>
        <v/>
      </c>
      <c r="E2011" s="27">
        <f>IF(D2011="","",D2011*'02_Eingaben'!$C$8)</f>
        <v/>
      </c>
      <c r="F2011" s="27">
        <f>IF(E2011="","",AVERAGE(INDEX($E$2:$E$3001,MAX(1,ROW()-1-'02_Eingaben'!$C$17)):INDEX($E$2:$E$3001,MIN('02_Eingaben'!$C$21,ROW()-1+'02_Eingaben'!$C$17))))</f>
        <v/>
      </c>
      <c r="G2011" s="27">
        <f>IF(F2011="","",F2011-'02_Eingaben'!$C$10)</f>
        <v/>
      </c>
      <c r="H2011">
        <f>IF(F2011="","",IF(F2011&lt;'02_Eingaben'!$C$18*'02_Eingaben'!$C$10,1,0))</f>
        <v/>
      </c>
      <c r="I2011" s="27">
        <f>IF(OR(G2011="",G2012=""),"",(G2011+G2012)/2*(B2012-B2011))</f>
        <v/>
      </c>
      <c r="J2011" s="27">
        <f>IF(B2011="","",IF(B2010&lt;'02_Eingaben'!$C$36,0,J2010+I2010/'02_Eingaben'!$C$8))</f>
        <v/>
      </c>
    </row>
    <row r="2012">
      <c r="A2012">
        <f>IF('01_Rohdaten'!A2012="","",ROW()-1)</f>
        <v/>
      </c>
      <c r="B2012" s="27">
        <f>IF('01_Rohdaten'!A2012="","",'01_Rohdaten'!A2012)</f>
        <v/>
      </c>
      <c r="C2012" s="27">
        <f>IF(B2012="","",INDEX('01_Rohdaten'!B2012:D2012,'02_Eingaben'!$C$13))</f>
        <v/>
      </c>
      <c r="D2012" s="27">
        <f>IF(C2012="","",C2012*'02_Eingaben'!$C$15)</f>
        <v/>
      </c>
      <c r="E2012" s="27">
        <f>IF(D2012="","",D2012*'02_Eingaben'!$C$8)</f>
        <v/>
      </c>
      <c r="F2012" s="27">
        <f>IF(E2012="","",AVERAGE(INDEX($E$2:$E$3001,MAX(1,ROW()-1-'02_Eingaben'!$C$17)):INDEX($E$2:$E$3001,MIN('02_Eingaben'!$C$21,ROW()-1+'02_Eingaben'!$C$17))))</f>
        <v/>
      </c>
      <c r="G2012" s="27">
        <f>IF(F2012="","",F2012-'02_Eingaben'!$C$10)</f>
        <v/>
      </c>
      <c r="H2012">
        <f>IF(F2012="","",IF(F2012&lt;'02_Eingaben'!$C$18*'02_Eingaben'!$C$10,1,0))</f>
        <v/>
      </c>
      <c r="I2012" s="27">
        <f>IF(OR(G2012="",G2013=""),"",(G2012+G2013)/2*(B2013-B2012))</f>
        <v/>
      </c>
      <c r="J2012" s="27">
        <f>IF(B2012="","",IF(B2011&lt;'02_Eingaben'!$C$36,0,J2011+I2011/'02_Eingaben'!$C$8))</f>
        <v/>
      </c>
    </row>
    <row r="2013">
      <c r="A2013">
        <f>IF('01_Rohdaten'!A2013="","",ROW()-1)</f>
        <v/>
      </c>
      <c r="B2013" s="27">
        <f>IF('01_Rohdaten'!A2013="","",'01_Rohdaten'!A2013)</f>
        <v/>
      </c>
      <c r="C2013" s="27">
        <f>IF(B2013="","",INDEX('01_Rohdaten'!B2013:D2013,'02_Eingaben'!$C$13))</f>
        <v/>
      </c>
      <c r="D2013" s="27">
        <f>IF(C2013="","",C2013*'02_Eingaben'!$C$15)</f>
        <v/>
      </c>
      <c r="E2013" s="27">
        <f>IF(D2013="","",D2013*'02_Eingaben'!$C$8)</f>
        <v/>
      </c>
      <c r="F2013" s="27">
        <f>IF(E2013="","",AVERAGE(INDEX($E$2:$E$3001,MAX(1,ROW()-1-'02_Eingaben'!$C$17)):INDEX($E$2:$E$3001,MIN('02_Eingaben'!$C$21,ROW()-1+'02_Eingaben'!$C$17))))</f>
        <v/>
      </c>
      <c r="G2013" s="27">
        <f>IF(F2013="","",F2013-'02_Eingaben'!$C$10)</f>
        <v/>
      </c>
      <c r="H2013">
        <f>IF(F2013="","",IF(F2013&lt;'02_Eingaben'!$C$18*'02_Eingaben'!$C$10,1,0))</f>
        <v/>
      </c>
      <c r="I2013" s="27">
        <f>IF(OR(G2013="",G2014=""),"",(G2013+G2014)/2*(B2014-B2013))</f>
        <v/>
      </c>
      <c r="J2013" s="27">
        <f>IF(B2013="","",IF(B2012&lt;'02_Eingaben'!$C$36,0,J2012+I2012/'02_Eingaben'!$C$8))</f>
        <v/>
      </c>
    </row>
    <row r="2014">
      <c r="A2014">
        <f>IF('01_Rohdaten'!A2014="","",ROW()-1)</f>
        <v/>
      </c>
      <c r="B2014" s="27">
        <f>IF('01_Rohdaten'!A2014="","",'01_Rohdaten'!A2014)</f>
        <v/>
      </c>
      <c r="C2014" s="27">
        <f>IF(B2014="","",INDEX('01_Rohdaten'!B2014:D2014,'02_Eingaben'!$C$13))</f>
        <v/>
      </c>
      <c r="D2014" s="27">
        <f>IF(C2014="","",C2014*'02_Eingaben'!$C$15)</f>
        <v/>
      </c>
      <c r="E2014" s="27">
        <f>IF(D2014="","",D2014*'02_Eingaben'!$C$8)</f>
        <v/>
      </c>
      <c r="F2014" s="27">
        <f>IF(E2014="","",AVERAGE(INDEX($E$2:$E$3001,MAX(1,ROW()-1-'02_Eingaben'!$C$17)):INDEX($E$2:$E$3001,MIN('02_Eingaben'!$C$21,ROW()-1+'02_Eingaben'!$C$17))))</f>
        <v/>
      </c>
      <c r="G2014" s="27">
        <f>IF(F2014="","",F2014-'02_Eingaben'!$C$10)</f>
        <v/>
      </c>
      <c r="H2014">
        <f>IF(F2014="","",IF(F2014&lt;'02_Eingaben'!$C$18*'02_Eingaben'!$C$10,1,0))</f>
        <v/>
      </c>
      <c r="I2014" s="27">
        <f>IF(OR(G2014="",G2015=""),"",(G2014+G2015)/2*(B2015-B2014))</f>
        <v/>
      </c>
      <c r="J2014" s="27">
        <f>IF(B2014="","",IF(B2013&lt;'02_Eingaben'!$C$36,0,J2013+I2013/'02_Eingaben'!$C$8))</f>
        <v/>
      </c>
    </row>
    <row r="2015">
      <c r="A2015">
        <f>IF('01_Rohdaten'!A2015="","",ROW()-1)</f>
        <v/>
      </c>
      <c r="B2015" s="27">
        <f>IF('01_Rohdaten'!A2015="","",'01_Rohdaten'!A2015)</f>
        <v/>
      </c>
      <c r="C2015" s="27">
        <f>IF(B2015="","",INDEX('01_Rohdaten'!B2015:D2015,'02_Eingaben'!$C$13))</f>
        <v/>
      </c>
      <c r="D2015" s="27">
        <f>IF(C2015="","",C2015*'02_Eingaben'!$C$15)</f>
        <v/>
      </c>
      <c r="E2015" s="27">
        <f>IF(D2015="","",D2015*'02_Eingaben'!$C$8)</f>
        <v/>
      </c>
      <c r="F2015" s="27">
        <f>IF(E2015="","",AVERAGE(INDEX($E$2:$E$3001,MAX(1,ROW()-1-'02_Eingaben'!$C$17)):INDEX($E$2:$E$3001,MIN('02_Eingaben'!$C$21,ROW()-1+'02_Eingaben'!$C$17))))</f>
        <v/>
      </c>
      <c r="G2015" s="27">
        <f>IF(F2015="","",F2015-'02_Eingaben'!$C$10)</f>
        <v/>
      </c>
      <c r="H2015">
        <f>IF(F2015="","",IF(F2015&lt;'02_Eingaben'!$C$18*'02_Eingaben'!$C$10,1,0))</f>
        <v/>
      </c>
      <c r="I2015" s="27">
        <f>IF(OR(G2015="",G2016=""),"",(G2015+G2016)/2*(B2016-B2015))</f>
        <v/>
      </c>
      <c r="J2015" s="27">
        <f>IF(B2015="","",IF(B2014&lt;'02_Eingaben'!$C$36,0,J2014+I2014/'02_Eingaben'!$C$8))</f>
        <v/>
      </c>
    </row>
    <row r="2016">
      <c r="A2016">
        <f>IF('01_Rohdaten'!A2016="","",ROW()-1)</f>
        <v/>
      </c>
      <c r="B2016" s="27">
        <f>IF('01_Rohdaten'!A2016="","",'01_Rohdaten'!A2016)</f>
        <v/>
      </c>
      <c r="C2016" s="27">
        <f>IF(B2016="","",INDEX('01_Rohdaten'!B2016:D2016,'02_Eingaben'!$C$13))</f>
        <v/>
      </c>
      <c r="D2016" s="27">
        <f>IF(C2016="","",C2016*'02_Eingaben'!$C$15)</f>
        <v/>
      </c>
      <c r="E2016" s="27">
        <f>IF(D2016="","",D2016*'02_Eingaben'!$C$8)</f>
        <v/>
      </c>
      <c r="F2016" s="27">
        <f>IF(E2016="","",AVERAGE(INDEX($E$2:$E$3001,MAX(1,ROW()-1-'02_Eingaben'!$C$17)):INDEX($E$2:$E$3001,MIN('02_Eingaben'!$C$21,ROW()-1+'02_Eingaben'!$C$17))))</f>
        <v/>
      </c>
      <c r="G2016" s="27">
        <f>IF(F2016="","",F2016-'02_Eingaben'!$C$10)</f>
        <v/>
      </c>
      <c r="H2016">
        <f>IF(F2016="","",IF(F2016&lt;'02_Eingaben'!$C$18*'02_Eingaben'!$C$10,1,0))</f>
        <v/>
      </c>
      <c r="I2016" s="27">
        <f>IF(OR(G2016="",G2017=""),"",(G2016+G2017)/2*(B2017-B2016))</f>
        <v/>
      </c>
      <c r="J2016" s="27">
        <f>IF(B2016="","",IF(B2015&lt;'02_Eingaben'!$C$36,0,J2015+I2015/'02_Eingaben'!$C$8))</f>
        <v/>
      </c>
    </row>
    <row r="2017">
      <c r="A2017">
        <f>IF('01_Rohdaten'!A2017="","",ROW()-1)</f>
        <v/>
      </c>
      <c r="B2017" s="27">
        <f>IF('01_Rohdaten'!A2017="","",'01_Rohdaten'!A2017)</f>
        <v/>
      </c>
      <c r="C2017" s="27">
        <f>IF(B2017="","",INDEX('01_Rohdaten'!B2017:D2017,'02_Eingaben'!$C$13))</f>
        <v/>
      </c>
      <c r="D2017" s="27">
        <f>IF(C2017="","",C2017*'02_Eingaben'!$C$15)</f>
        <v/>
      </c>
      <c r="E2017" s="27">
        <f>IF(D2017="","",D2017*'02_Eingaben'!$C$8)</f>
        <v/>
      </c>
      <c r="F2017" s="27">
        <f>IF(E2017="","",AVERAGE(INDEX($E$2:$E$3001,MAX(1,ROW()-1-'02_Eingaben'!$C$17)):INDEX($E$2:$E$3001,MIN('02_Eingaben'!$C$21,ROW()-1+'02_Eingaben'!$C$17))))</f>
        <v/>
      </c>
      <c r="G2017" s="27">
        <f>IF(F2017="","",F2017-'02_Eingaben'!$C$10)</f>
        <v/>
      </c>
      <c r="H2017">
        <f>IF(F2017="","",IF(F2017&lt;'02_Eingaben'!$C$18*'02_Eingaben'!$C$10,1,0))</f>
        <v/>
      </c>
      <c r="I2017" s="27">
        <f>IF(OR(G2017="",G2018=""),"",(G2017+G2018)/2*(B2018-B2017))</f>
        <v/>
      </c>
      <c r="J2017" s="27">
        <f>IF(B2017="","",IF(B2016&lt;'02_Eingaben'!$C$36,0,J2016+I2016/'02_Eingaben'!$C$8))</f>
        <v/>
      </c>
    </row>
    <row r="2018">
      <c r="A2018">
        <f>IF('01_Rohdaten'!A2018="","",ROW()-1)</f>
        <v/>
      </c>
      <c r="B2018" s="27">
        <f>IF('01_Rohdaten'!A2018="","",'01_Rohdaten'!A2018)</f>
        <v/>
      </c>
      <c r="C2018" s="27">
        <f>IF(B2018="","",INDEX('01_Rohdaten'!B2018:D2018,'02_Eingaben'!$C$13))</f>
        <v/>
      </c>
      <c r="D2018" s="27">
        <f>IF(C2018="","",C2018*'02_Eingaben'!$C$15)</f>
        <v/>
      </c>
      <c r="E2018" s="27">
        <f>IF(D2018="","",D2018*'02_Eingaben'!$C$8)</f>
        <v/>
      </c>
      <c r="F2018" s="27">
        <f>IF(E2018="","",AVERAGE(INDEX($E$2:$E$3001,MAX(1,ROW()-1-'02_Eingaben'!$C$17)):INDEX($E$2:$E$3001,MIN('02_Eingaben'!$C$21,ROW()-1+'02_Eingaben'!$C$17))))</f>
        <v/>
      </c>
      <c r="G2018" s="27">
        <f>IF(F2018="","",F2018-'02_Eingaben'!$C$10)</f>
        <v/>
      </c>
      <c r="H2018">
        <f>IF(F2018="","",IF(F2018&lt;'02_Eingaben'!$C$18*'02_Eingaben'!$C$10,1,0))</f>
        <v/>
      </c>
      <c r="I2018" s="27">
        <f>IF(OR(G2018="",G2019=""),"",(G2018+G2019)/2*(B2019-B2018))</f>
        <v/>
      </c>
      <c r="J2018" s="27">
        <f>IF(B2018="","",IF(B2017&lt;'02_Eingaben'!$C$36,0,J2017+I2017/'02_Eingaben'!$C$8))</f>
        <v/>
      </c>
    </row>
    <row r="2019">
      <c r="A2019">
        <f>IF('01_Rohdaten'!A2019="","",ROW()-1)</f>
        <v/>
      </c>
      <c r="B2019" s="27">
        <f>IF('01_Rohdaten'!A2019="","",'01_Rohdaten'!A2019)</f>
        <v/>
      </c>
      <c r="C2019" s="27">
        <f>IF(B2019="","",INDEX('01_Rohdaten'!B2019:D2019,'02_Eingaben'!$C$13))</f>
        <v/>
      </c>
      <c r="D2019" s="27">
        <f>IF(C2019="","",C2019*'02_Eingaben'!$C$15)</f>
        <v/>
      </c>
      <c r="E2019" s="27">
        <f>IF(D2019="","",D2019*'02_Eingaben'!$C$8)</f>
        <v/>
      </c>
      <c r="F2019" s="27">
        <f>IF(E2019="","",AVERAGE(INDEX($E$2:$E$3001,MAX(1,ROW()-1-'02_Eingaben'!$C$17)):INDEX($E$2:$E$3001,MIN('02_Eingaben'!$C$21,ROW()-1+'02_Eingaben'!$C$17))))</f>
        <v/>
      </c>
      <c r="G2019" s="27">
        <f>IF(F2019="","",F2019-'02_Eingaben'!$C$10)</f>
        <v/>
      </c>
      <c r="H2019">
        <f>IF(F2019="","",IF(F2019&lt;'02_Eingaben'!$C$18*'02_Eingaben'!$C$10,1,0))</f>
        <v/>
      </c>
      <c r="I2019" s="27">
        <f>IF(OR(G2019="",G2020=""),"",(G2019+G2020)/2*(B2020-B2019))</f>
        <v/>
      </c>
      <c r="J2019" s="27">
        <f>IF(B2019="","",IF(B2018&lt;'02_Eingaben'!$C$36,0,J2018+I2018/'02_Eingaben'!$C$8))</f>
        <v/>
      </c>
    </row>
    <row r="2020">
      <c r="A2020">
        <f>IF('01_Rohdaten'!A2020="","",ROW()-1)</f>
        <v/>
      </c>
      <c r="B2020" s="27">
        <f>IF('01_Rohdaten'!A2020="","",'01_Rohdaten'!A2020)</f>
        <v/>
      </c>
      <c r="C2020" s="27">
        <f>IF(B2020="","",INDEX('01_Rohdaten'!B2020:D2020,'02_Eingaben'!$C$13))</f>
        <v/>
      </c>
      <c r="D2020" s="27">
        <f>IF(C2020="","",C2020*'02_Eingaben'!$C$15)</f>
        <v/>
      </c>
      <c r="E2020" s="27">
        <f>IF(D2020="","",D2020*'02_Eingaben'!$C$8)</f>
        <v/>
      </c>
      <c r="F2020" s="27">
        <f>IF(E2020="","",AVERAGE(INDEX($E$2:$E$3001,MAX(1,ROW()-1-'02_Eingaben'!$C$17)):INDEX($E$2:$E$3001,MIN('02_Eingaben'!$C$21,ROW()-1+'02_Eingaben'!$C$17))))</f>
        <v/>
      </c>
      <c r="G2020" s="27">
        <f>IF(F2020="","",F2020-'02_Eingaben'!$C$10)</f>
        <v/>
      </c>
      <c r="H2020">
        <f>IF(F2020="","",IF(F2020&lt;'02_Eingaben'!$C$18*'02_Eingaben'!$C$10,1,0))</f>
        <v/>
      </c>
      <c r="I2020" s="27">
        <f>IF(OR(G2020="",G2021=""),"",(G2020+G2021)/2*(B2021-B2020))</f>
        <v/>
      </c>
      <c r="J2020" s="27">
        <f>IF(B2020="","",IF(B2019&lt;'02_Eingaben'!$C$36,0,J2019+I2019/'02_Eingaben'!$C$8))</f>
        <v/>
      </c>
    </row>
    <row r="2021">
      <c r="A2021">
        <f>IF('01_Rohdaten'!A2021="","",ROW()-1)</f>
        <v/>
      </c>
      <c r="B2021" s="27">
        <f>IF('01_Rohdaten'!A2021="","",'01_Rohdaten'!A2021)</f>
        <v/>
      </c>
      <c r="C2021" s="27">
        <f>IF(B2021="","",INDEX('01_Rohdaten'!B2021:D2021,'02_Eingaben'!$C$13))</f>
        <v/>
      </c>
      <c r="D2021" s="27">
        <f>IF(C2021="","",C2021*'02_Eingaben'!$C$15)</f>
        <v/>
      </c>
      <c r="E2021" s="27">
        <f>IF(D2021="","",D2021*'02_Eingaben'!$C$8)</f>
        <v/>
      </c>
      <c r="F2021" s="27">
        <f>IF(E2021="","",AVERAGE(INDEX($E$2:$E$3001,MAX(1,ROW()-1-'02_Eingaben'!$C$17)):INDEX($E$2:$E$3001,MIN('02_Eingaben'!$C$21,ROW()-1+'02_Eingaben'!$C$17))))</f>
        <v/>
      </c>
      <c r="G2021" s="27">
        <f>IF(F2021="","",F2021-'02_Eingaben'!$C$10)</f>
        <v/>
      </c>
      <c r="H2021">
        <f>IF(F2021="","",IF(F2021&lt;'02_Eingaben'!$C$18*'02_Eingaben'!$C$10,1,0))</f>
        <v/>
      </c>
      <c r="I2021" s="27">
        <f>IF(OR(G2021="",G2022=""),"",(G2021+G2022)/2*(B2022-B2021))</f>
        <v/>
      </c>
      <c r="J2021" s="27">
        <f>IF(B2021="","",IF(B2020&lt;'02_Eingaben'!$C$36,0,J2020+I2020/'02_Eingaben'!$C$8))</f>
        <v/>
      </c>
    </row>
    <row r="2022">
      <c r="A2022">
        <f>IF('01_Rohdaten'!A2022="","",ROW()-1)</f>
        <v/>
      </c>
      <c r="B2022" s="27">
        <f>IF('01_Rohdaten'!A2022="","",'01_Rohdaten'!A2022)</f>
        <v/>
      </c>
      <c r="C2022" s="27">
        <f>IF(B2022="","",INDEX('01_Rohdaten'!B2022:D2022,'02_Eingaben'!$C$13))</f>
        <v/>
      </c>
      <c r="D2022" s="27">
        <f>IF(C2022="","",C2022*'02_Eingaben'!$C$15)</f>
        <v/>
      </c>
      <c r="E2022" s="27">
        <f>IF(D2022="","",D2022*'02_Eingaben'!$C$8)</f>
        <v/>
      </c>
      <c r="F2022" s="27">
        <f>IF(E2022="","",AVERAGE(INDEX($E$2:$E$3001,MAX(1,ROW()-1-'02_Eingaben'!$C$17)):INDEX($E$2:$E$3001,MIN('02_Eingaben'!$C$21,ROW()-1+'02_Eingaben'!$C$17))))</f>
        <v/>
      </c>
      <c r="G2022" s="27">
        <f>IF(F2022="","",F2022-'02_Eingaben'!$C$10)</f>
        <v/>
      </c>
      <c r="H2022">
        <f>IF(F2022="","",IF(F2022&lt;'02_Eingaben'!$C$18*'02_Eingaben'!$C$10,1,0))</f>
        <v/>
      </c>
      <c r="I2022" s="27">
        <f>IF(OR(G2022="",G2023=""),"",(G2022+G2023)/2*(B2023-B2022))</f>
        <v/>
      </c>
      <c r="J2022" s="27">
        <f>IF(B2022="","",IF(B2021&lt;'02_Eingaben'!$C$36,0,J2021+I2021/'02_Eingaben'!$C$8))</f>
        <v/>
      </c>
    </row>
    <row r="2023">
      <c r="A2023">
        <f>IF('01_Rohdaten'!A2023="","",ROW()-1)</f>
        <v/>
      </c>
      <c r="B2023" s="27">
        <f>IF('01_Rohdaten'!A2023="","",'01_Rohdaten'!A2023)</f>
        <v/>
      </c>
      <c r="C2023" s="27">
        <f>IF(B2023="","",INDEX('01_Rohdaten'!B2023:D2023,'02_Eingaben'!$C$13))</f>
        <v/>
      </c>
      <c r="D2023" s="27">
        <f>IF(C2023="","",C2023*'02_Eingaben'!$C$15)</f>
        <v/>
      </c>
      <c r="E2023" s="27">
        <f>IF(D2023="","",D2023*'02_Eingaben'!$C$8)</f>
        <v/>
      </c>
      <c r="F2023" s="27">
        <f>IF(E2023="","",AVERAGE(INDEX($E$2:$E$3001,MAX(1,ROW()-1-'02_Eingaben'!$C$17)):INDEX($E$2:$E$3001,MIN('02_Eingaben'!$C$21,ROW()-1+'02_Eingaben'!$C$17))))</f>
        <v/>
      </c>
      <c r="G2023" s="27">
        <f>IF(F2023="","",F2023-'02_Eingaben'!$C$10)</f>
        <v/>
      </c>
      <c r="H2023">
        <f>IF(F2023="","",IF(F2023&lt;'02_Eingaben'!$C$18*'02_Eingaben'!$C$10,1,0))</f>
        <v/>
      </c>
      <c r="I2023" s="27">
        <f>IF(OR(G2023="",G2024=""),"",(G2023+G2024)/2*(B2024-B2023))</f>
        <v/>
      </c>
      <c r="J2023" s="27">
        <f>IF(B2023="","",IF(B2022&lt;'02_Eingaben'!$C$36,0,J2022+I2022/'02_Eingaben'!$C$8))</f>
        <v/>
      </c>
    </row>
    <row r="2024">
      <c r="A2024">
        <f>IF('01_Rohdaten'!A2024="","",ROW()-1)</f>
        <v/>
      </c>
      <c r="B2024" s="27">
        <f>IF('01_Rohdaten'!A2024="","",'01_Rohdaten'!A2024)</f>
        <v/>
      </c>
      <c r="C2024" s="27">
        <f>IF(B2024="","",INDEX('01_Rohdaten'!B2024:D2024,'02_Eingaben'!$C$13))</f>
        <v/>
      </c>
      <c r="D2024" s="27">
        <f>IF(C2024="","",C2024*'02_Eingaben'!$C$15)</f>
        <v/>
      </c>
      <c r="E2024" s="27">
        <f>IF(D2024="","",D2024*'02_Eingaben'!$C$8)</f>
        <v/>
      </c>
      <c r="F2024" s="27">
        <f>IF(E2024="","",AVERAGE(INDEX($E$2:$E$3001,MAX(1,ROW()-1-'02_Eingaben'!$C$17)):INDEX($E$2:$E$3001,MIN('02_Eingaben'!$C$21,ROW()-1+'02_Eingaben'!$C$17))))</f>
        <v/>
      </c>
      <c r="G2024" s="27">
        <f>IF(F2024="","",F2024-'02_Eingaben'!$C$10)</f>
        <v/>
      </c>
      <c r="H2024">
        <f>IF(F2024="","",IF(F2024&lt;'02_Eingaben'!$C$18*'02_Eingaben'!$C$10,1,0))</f>
        <v/>
      </c>
      <c r="I2024" s="27">
        <f>IF(OR(G2024="",G2025=""),"",(G2024+G2025)/2*(B2025-B2024))</f>
        <v/>
      </c>
      <c r="J2024" s="27">
        <f>IF(B2024="","",IF(B2023&lt;'02_Eingaben'!$C$36,0,J2023+I2023/'02_Eingaben'!$C$8))</f>
        <v/>
      </c>
    </row>
    <row r="2025">
      <c r="A2025">
        <f>IF('01_Rohdaten'!A2025="","",ROW()-1)</f>
        <v/>
      </c>
      <c r="B2025" s="27">
        <f>IF('01_Rohdaten'!A2025="","",'01_Rohdaten'!A2025)</f>
        <v/>
      </c>
      <c r="C2025" s="27">
        <f>IF(B2025="","",INDEX('01_Rohdaten'!B2025:D2025,'02_Eingaben'!$C$13))</f>
        <v/>
      </c>
      <c r="D2025" s="27">
        <f>IF(C2025="","",C2025*'02_Eingaben'!$C$15)</f>
        <v/>
      </c>
      <c r="E2025" s="27">
        <f>IF(D2025="","",D2025*'02_Eingaben'!$C$8)</f>
        <v/>
      </c>
      <c r="F2025" s="27">
        <f>IF(E2025="","",AVERAGE(INDEX($E$2:$E$3001,MAX(1,ROW()-1-'02_Eingaben'!$C$17)):INDEX($E$2:$E$3001,MIN('02_Eingaben'!$C$21,ROW()-1+'02_Eingaben'!$C$17))))</f>
        <v/>
      </c>
      <c r="G2025" s="27">
        <f>IF(F2025="","",F2025-'02_Eingaben'!$C$10)</f>
        <v/>
      </c>
      <c r="H2025">
        <f>IF(F2025="","",IF(F2025&lt;'02_Eingaben'!$C$18*'02_Eingaben'!$C$10,1,0))</f>
        <v/>
      </c>
      <c r="I2025" s="27">
        <f>IF(OR(G2025="",G2026=""),"",(G2025+G2026)/2*(B2026-B2025))</f>
        <v/>
      </c>
      <c r="J2025" s="27">
        <f>IF(B2025="","",IF(B2024&lt;'02_Eingaben'!$C$36,0,J2024+I2024/'02_Eingaben'!$C$8))</f>
        <v/>
      </c>
    </row>
    <row r="2026">
      <c r="A2026">
        <f>IF('01_Rohdaten'!A2026="","",ROW()-1)</f>
        <v/>
      </c>
      <c r="B2026" s="27">
        <f>IF('01_Rohdaten'!A2026="","",'01_Rohdaten'!A2026)</f>
        <v/>
      </c>
      <c r="C2026" s="27">
        <f>IF(B2026="","",INDEX('01_Rohdaten'!B2026:D2026,'02_Eingaben'!$C$13))</f>
        <v/>
      </c>
      <c r="D2026" s="27">
        <f>IF(C2026="","",C2026*'02_Eingaben'!$C$15)</f>
        <v/>
      </c>
      <c r="E2026" s="27">
        <f>IF(D2026="","",D2026*'02_Eingaben'!$C$8)</f>
        <v/>
      </c>
      <c r="F2026" s="27">
        <f>IF(E2026="","",AVERAGE(INDEX($E$2:$E$3001,MAX(1,ROW()-1-'02_Eingaben'!$C$17)):INDEX($E$2:$E$3001,MIN('02_Eingaben'!$C$21,ROW()-1+'02_Eingaben'!$C$17))))</f>
        <v/>
      </c>
      <c r="G2026" s="27">
        <f>IF(F2026="","",F2026-'02_Eingaben'!$C$10)</f>
        <v/>
      </c>
      <c r="H2026">
        <f>IF(F2026="","",IF(F2026&lt;'02_Eingaben'!$C$18*'02_Eingaben'!$C$10,1,0))</f>
        <v/>
      </c>
      <c r="I2026" s="27">
        <f>IF(OR(G2026="",G2027=""),"",(G2026+G2027)/2*(B2027-B2026))</f>
        <v/>
      </c>
      <c r="J2026" s="27">
        <f>IF(B2026="","",IF(B2025&lt;'02_Eingaben'!$C$36,0,J2025+I2025/'02_Eingaben'!$C$8))</f>
        <v/>
      </c>
    </row>
    <row r="2027">
      <c r="A2027">
        <f>IF('01_Rohdaten'!A2027="","",ROW()-1)</f>
        <v/>
      </c>
      <c r="B2027" s="27">
        <f>IF('01_Rohdaten'!A2027="","",'01_Rohdaten'!A2027)</f>
        <v/>
      </c>
      <c r="C2027" s="27">
        <f>IF(B2027="","",INDEX('01_Rohdaten'!B2027:D2027,'02_Eingaben'!$C$13))</f>
        <v/>
      </c>
      <c r="D2027" s="27">
        <f>IF(C2027="","",C2027*'02_Eingaben'!$C$15)</f>
        <v/>
      </c>
      <c r="E2027" s="27">
        <f>IF(D2027="","",D2027*'02_Eingaben'!$C$8)</f>
        <v/>
      </c>
      <c r="F2027" s="27">
        <f>IF(E2027="","",AVERAGE(INDEX($E$2:$E$3001,MAX(1,ROW()-1-'02_Eingaben'!$C$17)):INDEX($E$2:$E$3001,MIN('02_Eingaben'!$C$21,ROW()-1+'02_Eingaben'!$C$17))))</f>
        <v/>
      </c>
      <c r="G2027" s="27">
        <f>IF(F2027="","",F2027-'02_Eingaben'!$C$10)</f>
        <v/>
      </c>
      <c r="H2027">
        <f>IF(F2027="","",IF(F2027&lt;'02_Eingaben'!$C$18*'02_Eingaben'!$C$10,1,0))</f>
        <v/>
      </c>
      <c r="I2027" s="27">
        <f>IF(OR(G2027="",G2028=""),"",(G2027+G2028)/2*(B2028-B2027))</f>
        <v/>
      </c>
      <c r="J2027" s="27">
        <f>IF(B2027="","",IF(B2026&lt;'02_Eingaben'!$C$36,0,J2026+I2026/'02_Eingaben'!$C$8))</f>
        <v/>
      </c>
    </row>
    <row r="2028">
      <c r="A2028">
        <f>IF('01_Rohdaten'!A2028="","",ROW()-1)</f>
        <v/>
      </c>
      <c r="B2028" s="27">
        <f>IF('01_Rohdaten'!A2028="","",'01_Rohdaten'!A2028)</f>
        <v/>
      </c>
      <c r="C2028" s="27">
        <f>IF(B2028="","",INDEX('01_Rohdaten'!B2028:D2028,'02_Eingaben'!$C$13))</f>
        <v/>
      </c>
      <c r="D2028" s="27">
        <f>IF(C2028="","",C2028*'02_Eingaben'!$C$15)</f>
        <v/>
      </c>
      <c r="E2028" s="27">
        <f>IF(D2028="","",D2028*'02_Eingaben'!$C$8)</f>
        <v/>
      </c>
      <c r="F2028" s="27">
        <f>IF(E2028="","",AVERAGE(INDEX($E$2:$E$3001,MAX(1,ROW()-1-'02_Eingaben'!$C$17)):INDEX($E$2:$E$3001,MIN('02_Eingaben'!$C$21,ROW()-1+'02_Eingaben'!$C$17))))</f>
        <v/>
      </c>
      <c r="G2028" s="27">
        <f>IF(F2028="","",F2028-'02_Eingaben'!$C$10)</f>
        <v/>
      </c>
      <c r="H2028">
        <f>IF(F2028="","",IF(F2028&lt;'02_Eingaben'!$C$18*'02_Eingaben'!$C$10,1,0))</f>
        <v/>
      </c>
      <c r="I2028" s="27">
        <f>IF(OR(G2028="",G2029=""),"",(G2028+G2029)/2*(B2029-B2028))</f>
        <v/>
      </c>
      <c r="J2028" s="27">
        <f>IF(B2028="","",IF(B2027&lt;'02_Eingaben'!$C$36,0,J2027+I2027/'02_Eingaben'!$C$8))</f>
        <v/>
      </c>
    </row>
    <row r="2029">
      <c r="A2029">
        <f>IF('01_Rohdaten'!A2029="","",ROW()-1)</f>
        <v/>
      </c>
      <c r="B2029" s="27">
        <f>IF('01_Rohdaten'!A2029="","",'01_Rohdaten'!A2029)</f>
        <v/>
      </c>
      <c r="C2029" s="27">
        <f>IF(B2029="","",INDEX('01_Rohdaten'!B2029:D2029,'02_Eingaben'!$C$13))</f>
        <v/>
      </c>
      <c r="D2029" s="27">
        <f>IF(C2029="","",C2029*'02_Eingaben'!$C$15)</f>
        <v/>
      </c>
      <c r="E2029" s="27">
        <f>IF(D2029="","",D2029*'02_Eingaben'!$C$8)</f>
        <v/>
      </c>
      <c r="F2029" s="27">
        <f>IF(E2029="","",AVERAGE(INDEX($E$2:$E$3001,MAX(1,ROW()-1-'02_Eingaben'!$C$17)):INDEX($E$2:$E$3001,MIN('02_Eingaben'!$C$21,ROW()-1+'02_Eingaben'!$C$17))))</f>
        <v/>
      </c>
      <c r="G2029" s="27">
        <f>IF(F2029="","",F2029-'02_Eingaben'!$C$10)</f>
        <v/>
      </c>
      <c r="H2029">
        <f>IF(F2029="","",IF(F2029&lt;'02_Eingaben'!$C$18*'02_Eingaben'!$C$10,1,0))</f>
        <v/>
      </c>
      <c r="I2029" s="27">
        <f>IF(OR(G2029="",G2030=""),"",(G2029+G2030)/2*(B2030-B2029))</f>
        <v/>
      </c>
      <c r="J2029" s="27">
        <f>IF(B2029="","",IF(B2028&lt;'02_Eingaben'!$C$36,0,J2028+I2028/'02_Eingaben'!$C$8))</f>
        <v/>
      </c>
    </row>
    <row r="2030">
      <c r="A2030">
        <f>IF('01_Rohdaten'!A2030="","",ROW()-1)</f>
        <v/>
      </c>
      <c r="B2030" s="27">
        <f>IF('01_Rohdaten'!A2030="","",'01_Rohdaten'!A2030)</f>
        <v/>
      </c>
      <c r="C2030" s="27">
        <f>IF(B2030="","",INDEX('01_Rohdaten'!B2030:D2030,'02_Eingaben'!$C$13))</f>
        <v/>
      </c>
      <c r="D2030" s="27">
        <f>IF(C2030="","",C2030*'02_Eingaben'!$C$15)</f>
        <v/>
      </c>
      <c r="E2030" s="27">
        <f>IF(D2030="","",D2030*'02_Eingaben'!$C$8)</f>
        <v/>
      </c>
      <c r="F2030" s="27">
        <f>IF(E2030="","",AVERAGE(INDEX($E$2:$E$3001,MAX(1,ROW()-1-'02_Eingaben'!$C$17)):INDEX($E$2:$E$3001,MIN('02_Eingaben'!$C$21,ROW()-1+'02_Eingaben'!$C$17))))</f>
        <v/>
      </c>
      <c r="G2030" s="27">
        <f>IF(F2030="","",F2030-'02_Eingaben'!$C$10)</f>
        <v/>
      </c>
      <c r="H2030">
        <f>IF(F2030="","",IF(F2030&lt;'02_Eingaben'!$C$18*'02_Eingaben'!$C$10,1,0))</f>
        <v/>
      </c>
      <c r="I2030" s="27">
        <f>IF(OR(G2030="",G2031=""),"",(G2030+G2031)/2*(B2031-B2030))</f>
        <v/>
      </c>
      <c r="J2030" s="27">
        <f>IF(B2030="","",IF(B2029&lt;'02_Eingaben'!$C$36,0,J2029+I2029/'02_Eingaben'!$C$8))</f>
        <v/>
      </c>
    </row>
    <row r="2031">
      <c r="A2031">
        <f>IF('01_Rohdaten'!A2031="","",ROW()-1)</f>
        <v/>
      </c>
      <c r="B2031" s="27">
        <f>IF('01_Rohdaten'!A2031="","",'01_Rohdaten'!A2031)</f>
        <v/>
      </c>
      <c r="C2031" s="27">
        <f>IF(B2031="","",INDEX('01_Rohdaten'!B2031:D2031,'02_Eingaben'!$C$13))</f>
        <v/>
      </c>
      <c r="D2031" s="27">
        <f>IF(C2031="","",C2031*'02_Eingaben'!$C$15)</f>
        <v/>
      </c>
      <c r="E2031" s="27">
        <f>IF(D2031="","",D2031*'02_Eingaben'!$C$8)</f>
        <v/>
      </c>
      <c r="F2031" s="27">
        <f>IF(E2031="","",AVERAGE(INDEX($E$2:$E$3001,MAX(1,ROW()-1-'02_Eingaben'!$C$17)):INDEX($E$2:$E$3001,MIN('02_Eingaben'!$C$21,ROW()-1+'02_Eingaben'!$C$17))))</f>
        <v/>
      </c>
      <c r="G2031" s="27">
        <f>IF(F2031="","",F2031-'02_Eingaben'!$C$10)</f>
        <v/>
      </c>
      <c r="H2031">
        <f>IF(F2031="","",IF(F2031&lt;'02_Eingaben'!$C$18*'02_Eingaben'!$C$10,1,0))</f>
        <v/>
      </c>
      <c r="I2031" s="27">
        <f>IF(OR(G2031="",G2032=""),"",(G2031+G2032)/2*(B2032-B2031))</f>
        <v/>
      </c>
      <c r="J2031" s="27">
        <f>IF(B2031="","",IF(B2030&lt;'02_Eingaben'!$C$36,0,J2030+I2030/'02_Eingaben'!$C$8))</f>
        <v/>
      </c>
    </row>
    <row r="2032">
      <c r="A2032">
        <f>IF('01_Rohdaten'!A2032="","",ROW()-1)</f>
        <v/>
      </c>
      <c r="B2032" s="27">
        <f>IF('01_Rohdaten'!A2032="","",'01_Rohdaten'!A2032)</f>
        <v/>
      </c>
      <c r="C2032" s="27">
        <f>IF(B2032="","",INDEX('01_Rohdaten'!B2032:D2032,'02_Eingaben'!$C$13))</f>
        <v/>
      </c>
      <c r="D2032" s="27">
        <f>IF(C2032="","",C2032*'02_Eingaben'!$C$15)</f>
        <v/>
      </c>
      <c r="E2032" s="27">
        <f>IF(D2032="","",D2032*'02_Eingaben'!$C$8)</f>
        <v/>
      </c>
      <c r="F2032" s="27">
        <f>IF(E2032="","",AVERAGE(INDEX($E$2:$E$3001,MAX(1,ROW()-1-'02_Eingaben'!$C$17)):INDEX($E$2:$E$3001,MIN('02_Eingaben'!$C$21,ROW()-1+'02_Eingaben'!$C$17))))</f>
        <v/>
      </c>
      <c r="G2032" s="27">
        <f>IF(F2032="","",F2032-'02_Eingaben'!$C$10)</f>
        <v/>
      </c>
      <c r="H2032">
        <f>IF(F2032="","",IF(F2032&lt;'02_Eingaben'!$C$18*'02_Eingaben'!$C$10,1,0))</f>
        <v/>
      </c>
      <c r="I2032" s="27">
        <f>IF(OR(G2032="",G2033=""),"",(G2032+G2033)/2*(B2033-B2032))</f>
        <v/>
      </c>
      <c r="J2032" s="27">
        <f>IF(B2032="","",IF(B2031&lt;'02_Eingaben'!$C$36,0,J2031+I2031/'02_Eingaben'!$C$8))</f>
        <v/>
      </c>
    </row>
    <row r="2033">
      <c r="A2033">
        <f>IF('01_Rohdaten'!A2033="","",ROW()-1)</f>
        <v/>
      </c>
      <c r="B2033" s="27">
        <f>IF('01_Rohdaten'!A2033="","",'01_Rohdaten'!A2033)</f>
        <v/>
      </c>
      <c r="C2033" s="27">
        <f>IF(B2033="","",INDEX('01_Rohdaten'!B2033:D2033,'02_Eingaben'!$C$13))</f>
        <v/>
      </c>
      <c r="D2033" s="27">
        <f>IF(C2033="","",C2033*'02_Eingaben'!$C$15)</f>
        <v/>
      </c>
      <c r="E2033" s="27">
        <f>IF(D2033="","",D2033*'02_Eingaben'!$C$8)</f>
        <v/>
      </c>
      <c r="F2033" s="27">
        <f>IF(E2033="","",AVERAGE(INDEX($E$2:$E$3001,MAX(1,ROW()-1-'02_Eingaben'!$C$17)):INDEX($E$2:$E$3001,MIN('02_Eingaben'!$C$21,ROW()-1+'02_Eingaben'!$C$17))))</f>
        <v/>
      </c>
      <c r="G2033" s="27">
        <f>IF(F2033="","",F2033-'02_Eingaben'!$C$10)</f>
        <v/>
      </c>
      <c r="H2033">
        <f>IF(F2033="","",IF(F2033&lt;'02_Eingaben'!$C$18*'02_Eingaben'!$C$10,1,0))</f>
        <v/>
      </c>
      <c r="I2033" s="27">
        <f>IF(OR(G2033="",G2034=""),"",(G2033+G2034)/2*(B2034-B2033))</f>
        <v/>
      </c>
      <c r="J2033" s="27">
        <f>IF(B2033="","",IF(B2032&lt;'02_Eingaben'!$C$36,0,J2032+I2032/'02_Eingaben'!$C$8))</f>
        <v/>
      </c>
    </row>
    <row r="2034">
      <c r="A2034">
        <f>IF('01_Rohdaten'!A2034="","",ROW()-1)</f>
        <v/>
      </c>
      <c r="B2034" s="27">
        <f>IF('01_Rohdaten'!A2034="","",'01_Rohdaten'!A2034)</f>
        <v/>
      </c>
      <c r="C2034" s="27">
        <f>IF(B2034="","",INDEX('01_Rohdaten'!B2034:D2034,'02_Eingaben'!$C$13))</f>
        <v/>
      </c>
      <c r="D2034" s="27">
        <f>IF(C2034="","",C2034*'02_Eingaben'!$C$15)</f>
        <v/>
      </c>
      <c r="E2034" s="27">
        <f>IF(D2034="","",D2034*'02_Eingaben'!$C$8)</f>
        <v/>
      </c>
      <c r="F2034" s="27">
        <f>IF(E2034="","",AVERAGE(INDEX($E$2:$E$3001,MAX(1,ROW()-1-'02_Eingaben'!$C$17)):INDEX($E$2:$E$3001,MIN('02_Eingaben'!$C$21,ROW()-1+'02_Eingaben'!$C$17))))</f>
        <v/>
      </c>
      <c r="G2034" s="27">
        <f>IF(F2034="","",F2034-'02_Eingaben'!$C$10)</f>
        <v/>
      </c>
      <c r="H2034">
        <f>IF(F2034="","",IF(F2034&lt;'02_Eingaben'!$C$18*'02_Eingaben'!$C$10,1,0))</f>
        <v/>
      </c>
      <c r="I2034" s="27">
        <f>IF(OR(G2034="",G2035=""),"",(G2034+G2035)/2*(B2035-B2034))</f>
        <v/>
      </c>
      <c r="J2034" s="27">
        <f>IF(B2034="","",IF(B2033&lt;'02_Eingaben'!$C$36,0,J2033+I2033/'02_Eingaben'!$C$8))</f>
        <v/>
      </c>
    </row>
    <row r="2035">
      <c r="A2035">
        <f>IF('01_Rohdaten'!A2035="","",ROW()-1)</f>
        <v/>
      </c>
      <c r="B2035" s="27">
        <f>IF('01_Rohdaten'!A2035="","",'01_Rohdaten'!A2035)</f>
        <v/>
      </c>
      <c r="C2035" s="27">
        <f>IF(B2035="","",INDEX('01_Rohdaten'!B2035:D2035,'02_Eingaben'!$C$13))</f>
        <v/>
      </c>
      <c r="D2035" s="27">
        <f>IF(C2035="","",C2035*'02_Eingaben'!$C$15)</f>
        <v/>
      </c>
      <c r="E2035" s="27">
        <f>IF(D2035="","",D2035*'02_Eingaben'!$C$8)</f>
        <v/>
      </c>
      <c r="F2035" s="27">
        <f>IF(E2035="","",AVERAGE(INDEX($E$2:$E$3001,MAX(1,ROW()-1-'02_Eingaben'!$C$17)):INDEX($E$2:$E$3001,MIN('02_Eingaben'!$C$21,ROW()-1+'02_Eingaben'!$C$17))))</f>
        <v/>
      </c>
      <c r="G2035" s="27">
        <f>IF(F2035="","",F2035-'02_Eingaben'!$C$10)</f>
        <v/>
      </c>
      <c r="H2035">
        <f>IF(F2035="","",IF(F2035&lt;'02_Eingaben'!$C$18*'02_Eingaben'!$C$10,1,0))</f>
        <v/>
      </c>
      <c r="I2035" s="27">
        <f>IF(OR(G2035="",G2036=""),"",(G2035+G2036)/2*(B2036-B2035))</f>
        <v/>
      </c>
      <c r="J2035" s="27">
        <f>IF(B2035="","",IF(B2034&lt;'02_Eingaben'!$C$36,0,J2034+I2034/'02_Eingaben'!$C$8))</f>
        <v/>
      </c>
    </row>
    <row r="2036">
      <c r="A2036">
        <f>IF('01_Rohdaten'!A2036="","",ROW()-1)</f>
        <v/>
      </c>
      <c r="B2036" s="27">
        <f>IF('01_Rohdaten'!A2036="","",'01_Rohdaten'!A2036)</f>
        <v/>
      </c>
      <c r="C2036" s="27">
        <f>IF(B2036="","",INDEX('01_Rohdaten'!B2036:D2036,'02_Eingaben'!$C$13))</f>
        <v/>
      </c>
      <c r="D2036" s="27">
        <f>IF(C2036="","",C2036*'02_Eingaben'!$C$15)</f>
        <v/>
      </c>
      <c r="E2036" s="27">
        <f>IF(D2036="","",D2036*'02_Eingaben'!$C$8)</f>
        <v/>
      </c>
      <c r="F2036" s="27">
        <f>IF(E2036="","",AVERAGE(INDEX($E$2:$E$3001,MAX(1,ROW()-1-'02_Eingaben'!$C$17)):INDEX($E$2:$E$3001,MIN('02_Eingaben'!$C$21,ROW()-1+'02_Eingaben'!$C$17))))</f>
        <v/>
      </c>
      <c r="G2036" s="27">
        <f>IF(F2036="","",F2036-'02_Eingaben'!$C$10)</f>
        <v/>
      </c>
      <c r="H2036">
        <f>IF(F2036="","",IF(F2036&lt;'02_Eingaben'!$C$18*'02_Eingaben'!$C$10,1,0))</f>
        <v/>
      </c>
      <c r="I2036" s="27">
        <f>IF(OR(G2036="",G2037=""),"",(G2036+G2037)/2*(B2037-B2036))</f>
        <v/>
      </c>
      <c r="J2036" s="27">
        <f>IF(B2036="","",IF(B2035&lt;'02_Eingaben'!$C$36,0,J2035+I2035/'02_Eingaben'!$C$8))</f>
        <v/>
      </c>
    </row>
    <row r="2037">
      <c r="A2037">
        <f>IF('01_Rohdaten'!A2037="","",ROW()-1)</f>
        <v/>
      </c>
      <c r="B2037" s="27">
        <f>IF('01_Rohdaten'!A2037="","",'01_Rohdaten'!A2037)</f>
        <v/>
      </c>
      <c r="C2037" s="27">
        <f>IF(B2037="","",INDEX('01_Rohdaten'!B2037:D2037,'02_Eingaben'!$C$13))</f>
        <v/>
      </c>
      <c r="D2037" s="27">
        <f>IF(C2037="","",C2037*'02_Eingaben'!$C$15)</f>
        <v/>
      </c>
      <c r="E2037" s="27">
        <f>IF(D2037="","",D2037*'02_Eingaben'!$C$8)</f>
        <v/>
      </c>
      <c r="F2037" s="27">
        <f>IF(E2037="","",AVERAGE(INDEX($E$2:$E$3001,MAX(1,ROW()-1-'02_Eingaben'!$C$17)):INDEX($E$2:$E$3001,MIN('02_Eingaben'!$C$21,ROW()-1+'02_Eingaben'!$C$17))))</f>
        <v/>
      </c>
      <c r="G2037" s="27">
        <f>IF(F2037="","",F2037-'02_Eingaben'!$C$10)</f>
        <v/>
      </c>
      <c r="H2037">
        <f>IF(F2037="","",IF(F2037&lt;'02_Eingaben'!$C$18*'02_Eingaben'!$C$10,1,0))</f>
        <v/>
      </c>
      <c r="I2037" s="27">
        <f>IF(OR(G2037="",G2038=""),"",(G2037+G2038)/2*(B2038-B2037))</f>
        <v/>
      </c>
      <c r="J2037" s="27">
        <f>IF(B2037="","",IF(B2036&lt;'02_Eingaben'!$C$36,0,J2036+I2036/'02_Eingaben'!$C$8))</f>
        <v/>
      </c>
    </row>
    <row r="2038">
      <c r="A2038">
        <f>IF('01_Rohdaten'!A2038="","",ROW()-1)</f>
        <v/>
      </c>
      <c r="B2038" s="27">
        <f>IF('01_Rohdaten'!A2038="","",'01_Rohdaten'!A2038)</f>
        <v/>
      </c>
      <c r="C2038" s="27">
        <f>IF(B2038="","",INDEX('01_Rohdaten'!B2038:D2038,'02_Eingaben'!$C$13))</f>
        <v/>
      </c>
      <c r="D2038" s="27">
        <f>IF(C2038="","",C2038*'02_Eingaben'!$C$15)</f>
        <v/>
      </c>
      <c r="E2038" s="27">
        <f>IF(D2038="","",D2038*'02_Eingaben'!$C$8)</f>
        <v/>
      </c>
      <c r="F2038" s="27">
        <f>IF(E2038="","",AVERAGE(INDEX($E$2:$E$3001,MAX(1,ROW()-1-'02_Eingaben'!$C$17)):INDEX($E$2:$E$3001,MIN('02_Eingaben'!$C$21,ROW()-1+'02_Eingaben'!$C$17))))</f>
        <v/>
      </c>
      <c r="G2038" s="27">
        <f>IF(F2038="","",F2038-'02_Eingaben'!$C$10)</f>
        <v/>
      </c>
      <c r="H2038">
        <f>IF(F2038="","",IF(F2038&lt;'02_Eingaben'!$C$18*'02_Eingaben'!$C$10,1,0))</f>
        <v/>
      </c>
      <c r="I2038" s="27">
        <f>IF(OR(G2038="",G2039=""),"",(G2038+G2039)/2*(B2039-B2038))</f>
        <v/>
      </c>
      <c r="J2038" s="27">
        <f>IF(B2038="","",IF(B2037&lt;'02_Eingaben'!$C$36,0,J2037+I2037/'02_Eingaben'!$C$8))</f>
        <v/>
      </c>
    </row>
    <row r="2039">
      <c r="A2039">
        <f>IF('01_Rohdaten'!A2039="","",ROW()-1)</f>
        <v/>
      </c>
      <c r="B2039" s="27">
        <f>IF('01_Rohdaten'!A2039="","",'01_Rohdaten'!A2039)</f>
        <v/>
      </c>
      <c r="C2039" s="27">
        <f>IF(B2039="","",INDEX('01_Rohdaten'!B2039:D2039,'02_Eingaben'!$C$13))</f>
        <v/>
      </c>
      <c r="D2039" s="27">
        <f>IF(C2039="","",C2039*'02_Eingaben'!$C$15)</f>
        <v/>
      </c>
      <c r="E2039" s="27">
        <f>IF(D2039="","",D2039*'02_Eingaben'!$C$8)</f>
        <v/>
      </c>
      <c r="F2039" s="27">
        <f>IF(E2039="","",AVERAGE(INDEX($E$2:$E$3001,MAX(1,ROW()-1-'02_Eingaben'!$C$17)):INDEX($E$2:$E$3001,MIN('02_Eingaben'!$C$21,ROW()-1+'02_Eingaben'!$C$17))))</f>
        <v/>
      </c>
      <c r="G2039" s="27">
        <f>IF(F2039="","",F2039-'02_Eingaben'!$C$10)</f>
        <v/>
      </c>
      <c r="H2039">
        <f>IF(F2039="","",IF(F2039&lt;'02_Eingaben'!$C$18*'02_Eingaben'!$C$10,1,0))</f>
        <v/>
      </c>
      <c r="I2039" s="27">
        <f>IF(OR(G2039="",G2040=""),"",(G2039+G2040)/2*(B2040-B2039))</f>
        <v/>
      </c>
      <c r="J2039" s="27">
        <f>IF(B2039="","",IF(B2038&lt;'02_Eingaben'!$C$36,0,J2038+I2038/'02_Eingaben'!$C$8))</f>
        <v/>
      </c>
    </row>
    <row r="2040">
      <c r="A2040">
        <f>IF('01_Rohdaten'!A2040="","",ROW()-1)</f>
        <v/>
      </c>
      <c r="B2040" s="27">
        <f>IF('01_Rohdaten'!A2040="","",'01_Rohdaten'!A2040)</f>
        <v/>
      </c>
      <c r="C2040" s="27">
        <f>IF(B2040="","",INDEX('01_Rohdaten'!B2040:D2040,'02_Eingaben'!$C$13))</f>
        <v/>
      </c>
      <c r="D2040" s="27">
        <f>IF(C2040="","",C2040*'02_Eingaben'!$C$15)</f>
        <v/>
      </c>
      <c r="E2040" s="27">
        <f>IF(D2040="","",D2040*'02_Eingaben'!$C$8)</f>
        <v/>
      </c>
      <c r="F2040" s="27">
        <f>IF(E2040="","",AVERAGE(INDEX($E$2:$E$3001,MAX(1,ROW()-1-'02_Eingaben'!$C$17)):INDEX($E$2:$E$3001,MIN('02_Eingaben'!$C$21,ROW()-1+'02_Eingaben'!$C$17))))</f>
        <v/>
      </c>
      <c r="G2040" s="27">
        <f>IF(F2040="","",F2040-'02_Eingaben'!$C$10)</f>
        <v/>
      </c>
      <c r="H2040">
        <f>IF(F2040="","",IF(F2040&lt;'02_Eingaben'!$C$18*'02_Eingaben'!$C$10,1,0))</f>
        <v/>
      </c>
      <c r="I2040" s="27">
        <f>IF(OR(G2040="",G2041=""),"",(G2040+G2041)/2*(B2041-B2040))</f>
        <v/>
      </c>
      <c r="J2040" s="27">
        <f>IF(B2040="","",IF(B2039&lt;'02_Eingaben'!$C$36,0,J2039+I2039/'02_Eingaben'!$C$8))</f>
        <v/>
      </c>
    </row>
    <row r="2041">
      <c r="A2041">
        <f>IF('01_Rohdaten'!A2041="","",ROW()-1)</f>
        <v/>
      </c>
      <c r="B2041" s="27">
        <f>IF('01_Rohdaten'!A2041="","",'01_Rohdaten'!A2041)</f>
        <v/>
      </c>
      <c r="C2041" s="27">
        <f>IF(B2041="","",INDEX('01_Rohdaten'!B2041:D2041,'02_Eingaben'!$C$13))</f>
        <v/>
      </c>
      <c r="D2041" s="27">
        <f>IF(C2041="","",C2041*'02_Eingaben'!$C$15)</f>
        <v/>
      </c>
      <c r="E2041" s="27">
        <f>IF(D2041="","",D2041*'02_Eingaben'!$C$8)</f>
        <v/>
      </c>
      <c r="F2041" s="27">
        <f>IF(E2041="","",AVERAGE(INDEX($E$2:$E$3001,MAX(1,ROW()-1-'02_Eingaben'!$C$17)):INDEX($E$2:$E$3001,MIN('02_Eingaben'!$C$21,ROW()-1+'02_Eingaben'!$C$17))))</f>
        <v/>
      </c>
      <c r="G2041" s="27">
        <f>IF(F2041="","",F2041-'02_Eingaben'!$C$10)</f>
        <v/>
      </c>
      <c r="H2041">
        <f>IF(F2041="","",IF(F2041&lt;'02_Eingaben'!$C$18*'02_Eingaben'!$C$10,1,0))</f>
        <v/>
      </c>
      <c r="I2041" s="27">
        <f>IF(OR(G2041="",G2042=""),"",(G2041+G2042)/2*(B2042-B2041))</f>
        <v/>
      </c>
      <c r="J2041" s="27">
        <f>IF(B2041="","",IF(B2040&lt;'02_Eingaben'!$C$36,0,J2040+I2040/'02_Eingaben'!$C$8))</f>
        <v/>
      </c>
    </row>
    <row r="2042">
      <c r="A2042">
        <f>IF('01_Rohdaten'!A2042="","",ROW()-1)</f>
        <v/>
      </c>
      <c r="B2042" s="27">
        <f>IF('01_Rohdaten'!A2042="","",'01_Rohdaten'!A2042)</f>
        <v/>
      </c>
      <c r="C2042" s="27">
        <f>IF(B2042="","",INDEX('01_Rohdaten'!B2042:D2042,'02_Eingaben'!$C$13))</f>
        <v/>
      </c>
      <c r="D2042" s="27">
        <f>IF(C2042="","",C2042*'02_Eingaben'!$C$15)</f>
        <v/>
      </c>
      <c r="E2042" s="27">
        <f>IF(D2042="","",D2042*'02_Eingaben'!$C$8)</f>
        <v/>
      </c>
      <c r="F2042" s="27">
        <f>IF(E2042="","",AVERAGE(INDEX($E$2:$E$3001,MAX(1,ROW()-1-'02_Eingaben'!$C$17)):INDEX($E$2:$E$3001,MIN('02_Eingaben'!$C$21,ROW()-1+'02_Eingaben'!$C$17))))</f>
        <v/>
      </c>
      <c r="G2042" s="27">
        <f>IF(F2042="","",F2042-'02_Eingaben'!$C$10)</f>
        <v/>
      </c>
      <c r="H2042">
        <f>IF(F2042="","",IF(F2042&lt;'02_Eingaben'!$C$18*'02_Eingaben'!$C$10,1,0))</f>
        <v/>
      </c>
      <c r="I2042" s="27">
        <f>IF(OR(G2042="",G2043=""),"",(G2042+G2043)/2*(B2043-B2042))</f>
        <v/>
      </c>
      <c r="J2042" s="27">
        <f>IF(B2042="","",IF(B2041&lt;'02_Eingaben'!$C$36,0,J2041+I2041/'02_Eingaben'!$C$8))</f>
        <v/>
      </c>
    </row>
    <row r="2043">
      <c r="A2043">
        <f>IF('01_Rohdaten'!A2043="","",ROW()-1)</f>
        <v/>
      </c>
      <c r="B2043" s="27">
        <f>IF('01_Rohdaten'!A2043="","",'01_Rohdaten'!A2043)</f>
        <v/>
      </c>
      <c r="C2043" s="27">
        <f>IF(B2043="","",INDEX('01_Rohdaten'!B2043:D2043,'02_Eingaben'!$C$13))</f>
        <v/>
      </c>
      <c r="D2043" s="27">
        <f>IF(C2043="","",C2043*'02_Eingaben'!$C$15)</f>
        <v/>
      </c>
      <c r="E2043" s="27">
        <f>IF(D2043="","",D2043*'02_Eingaben'!$C$8)</f>
        <v/>
      </c>
      <c r="F2043" s="27">
        <f>IF(E2043="","",AVERAGE(INDEX($E$2:$E$3001,MAX(1,ROW()-1-'02_Eingaben'!$C$17)):INDEX($E$2:$E$3001,MIN('02_Eingaben'!$C$21,ROW()-1+'02_Eingaben'!$C$17))))</f>
        <v/>
      </c>
      <c r="G2043" s="27">
        <f>IF(F2043="","",F2043-'02_Eingaben'!$C$10)</f>
        <v/>
      </c>
      <c r="H2043">
        <f>IF(F2043="","",IF(F2043&lt;'02_Eingaben'!$C$18*'02_Eingaben'!$C$10,1,0))</f>
        <v/>
      </c>
      <c r="I2043" s="27">
        <f>IF(OR(G2043="",G2044=""),"",(G2043+G2044)/2*(B2044-B2043))</f>
        <v/>
      </c>
      <c r="J2043" s="27">
        <f>IF(B2043="","",IF(B2042&lt;'02_Eingaben'!$C$36,0,J2042+I2042/'02_Eingaben'!$C$8))</f>
        <v/>
      </c>
    </row>
    <row r="2044">
      <c r="A2044">
        <f>IF('01_Rohdaten'!A2044="","",ROW()-1)</f>
        <v/>
      </c>
      <c r="B2044" s="27">
        <f>IF('01_Rohdaten'!A2044="","",'01_Rohdaten'!A2044)</f>
        <v/>
      </c>
      <c r="C2044" s="27">
        <f>IF(B2044="","",INDEX('01_Rohdaten'!B2044:D2044,'02_Eingaben'!$C$13))</f>
        <v/>
      </c>
      <c r="D2044" s="27">
        <f>IF(C2044="","",C2044*'02_Eingaben'!$C$15)</f>
        <v/>
      </c>
      <c r="E2044" s="27">
        <f>IF(D2044="","",D2044*'02_Eingaben'!$C$8)</f>
        <v/>
      </c>
      <c r="F2044" s="27">
        <f>IF(E2044="","",AVERAGE(INDEX($E$2:$E$3001,MAX(1,ROW()-1-'02_Eingaben'!$C$17)):INDEX($E$2:$E$3001,MIN('02_Eingaben'!$C$21,ROW()-1+'02_Eingaben'!$C$17))))</f>
        <v/>
      </c>
      <c r="G2044" s="27">
        <f>IF(F2044="","",F2044-'02_Eingaben'!$C$10)</f>
        <v/>
      </c>
      <c r="H2044">
        <f>IF(F2044="","",IF(F2044&lt;'02_Eingaben'!$C$18*'02_Eingaben'!$C$10,1,0))</f>
        <v/>
      </c>
      <c r="I2044" s="27">
        <f>IF(OR(G2044="",G2045=""),"",(G2044+G2045)/2*(B2045-B2044))</f>
        <v/>
      </c>
      <c r="J2044" s="27">
        <f>IF(B2044="","",IF(B2043&lt;'02_Eingaben'!$C$36,0,J2043+I2043/'02_Eingaben'!$C$8))</f>
        <v/>
      </c>
    </row>
    <row r="2045">
      <c r="A2045">
        <f>IF('01_Rohdaten'!A2045="","",ROW()-1)</f>
        <v/>
      </c>
      <c r="B2045" s="27">
        <f>IF('01_Rohdaten'!A2045="","",'01_Rohdaten'!A2045)</f>
        <v/>
      </c>
      <c r="C2045" s="27">
        <f>IF(B2045="","",INDEX('01_Rohdaten'!B2045:D2045,'02_Eingaben'!$C$13))</f>
        <v/>
      </c>
      <c r="D2045" s="27">
        <f>IF(C2045="","",C2045*'02_Eingaben'!$C$15)</f>
        <v/>
      </c>
      <c r="E2045" s="27">
        <f>IF(D2045="","",D2045*'02_Eingaben'!$C$8)</f>
        <v/>
      </c>
      <c r="F2045" s="27">
        <f>IF(E2045="","",AVERAGE(INDEX($E$2:$E$3001,MAX(1,ROW()-1-'02_Eingaben'!$C$17)):INDEX($E$2:$E$3001,MIN('02_Eingaben'!$C$21,ROW()-1+'02_Eingaben'!$C$17))))</f>
        <v/>
      </c>
      <c r="G2045" s="27">
        <f>IF(F2045="","",F2045-'02_Eingaben'!$C$10)</f>
        <v/>
      </c>
      <c r="H2045">
        <f>IF(F2045="","",IF(F2045&lt;'02_Eingaben'!$C$18*'02_Eingaben'!$C$10,1,0))</f>
        <v/>
      </c>
      <c r="I2045" s="27">
        <f>IF(OR(G2045="",G2046=""),"",(G2045+G2046)/2*(B2046-B2045))</f>
        <v/>
      </c>
      <c r="J2045" s="27">
        <f>IF(B2045="","",IF(B2044&lt;'02_Eingaben'!$C$36,0,J2044+I2044/'02_Eingaben'!$C$8))</f>
        <v/>
      </c>
    </row>
    <row r="2046">
      <c r="A2046">
        <f>IF('01_Rohdaten'!A2046="","",ROW()-1)</f>
        <v/>
      </c>
      <c r="B2046" s="27">
        <f>IF('01_Rohdaten'!A2046="","",'01_Rohdaten'!A2046)</f>
        <v/>
      </c>
      <c r="C2046" s="27">
        <f>IF(B2046="","",INDEX('01_Rohdaten'!B2046:D2046,'02_Eingaben'!$C$13))</f>
        <v/>
      </c>
      <c r="D2046" s="27">
        <f>IF(C2046="","",C2046*'02_Eingaben'!$C$15)</f>
        <v/>
      </c>
      <c r="E2046" s="27">
        <f>IF(D2046="","",D2046*'02_Eingaben'!$C$8)</f>
        <v/>
      </c>
      <c r="F2046" s="27">
        <f>IF(E2046="","",AVERAGE(INDEX($E$2:$E$3001,MAX(1,ROW()-1-'02_Eingaben'!$C$17)):INDEX($E$2:$E$3001,MIN('02_Eingaben'!$C$21,ROW()-1+'02_Eingaben'!$C$17))))</f>
        <v/>
      </c>
      <c r="G2046" s="27">
        <f>IF(F2046="","",F2046-'02_Eingaben'!$C$10)</f>
        <v/>
      </c>
      <c r="H2046">
        <f>IF(F2046="","",IF(F2046&lt;'02_Eingaben'!$C$18*'02_Eingaben'!$C$10,1,0))</f>
        <v/>
      </c>
      <c r="I2046" s="27">
        <f>IF(OR(G2046="",G2047=""),"",(G2046+G2047)/2*(B2047-B2046))</f>
        <v/>
      </c>
      <c r="J2046" s="27">
        <f>IF(B2046="","",IF(B2045&lt;'02_Eingaben'!$C$36,0,J2045+I2045/'02_Eingaben'!$C$8))</f>
        <v/>
      </c>
    </row>
    <row r="2047">
      <c r="A2047">
        <f>IF('01_Rohdaten'!A2047="","",ROW()-1)</f>
        <v/>
      </c>
      <c r="B2047" s="27">
        <f>IF('01_Rohdaten'!A2047="","",'01_Rohdaten'!A2047)</f>
        <v/>
      </c>
      <c r="C2047" s="27">
        <f>IF(B2047="","",INDEX('01_Rohdaten'!B2047:D2047,'02_Eingaben'!$C$13))</f>
        <v/>
      </c>
      <c r="D2047" s="27">
        <f>IF(C2047="","",C2047*'02_Eingaben'!$C$15)</f>
        <v/>
      </c>
      <c r="E2047" s="27">
        <f>IF(D2047="","",D2047*'02_Eingaben'!$C$8)</f>
        <v/>
      </c>
      <c r="F2047" s="27">
        <f>IF(E2047="","",AVERAGE(INDEX($E$2:$E$3001,MAX(1,ROW()-1-'02_Eingaben'!$C$17)):INDEX($E$2:$E$3001,MIN('02_Eingaben'!$C$21,ROW()-1+'02_Eingaben'!$C$17))))</f>
        <v/>
      </c>
      <c r="G2047" s="27">
        <f>IF(F2047="","",F2047-'02_Eingaben'!$C$10)</f>
        <v/>
      </c>
      <c r="H2047">
        <f>IF(F2047="","",IF(F2047&lt;'02_Eingaben'!$C$18*'02_Eingaben'!$C$10,1,0))</f>
        <v/>
      </c>
      <c r="I2047" s="27">
        <f>IF(OR(G2047="",G2048=""),"",(G2047+G2048)/2*(B2048-B2047))</f>
        <v/>
      </c>
      <c r="J2047" s="27">
        <f>IF(B2047="","",IF(B2046&lt;'02_Eingaben'!$C$36,0,J2046+I2046/'02_Eingaben'!$C$8))</f>
        <v/>
      </c>
    </row>
    <row r="2048">
      <c r="A2048">
        <f>IF('01_Rohdaten'!A2048="","",ROW()-1)</f>
        <v/>
      </c>
      <c r="B2048" s="27">
        <f>IF('01_Rohdaten'!A2048="","",'01_Rohdaten'!A2048)</f>
        <v/>
      </c>
      <c r="C2048" s="27">
        <f>IF(B2048="","",INDEX('01_Rohdaten'!B2048:D2048,'02_Eingaben'!$C$13))</f>
        <v/>
      </c>
      <c r="D2048" s="27">
        <f>IF(C2048="","",C2048*'02_Eingaben'!$C$15)</f>
        <v/>
      </c>
      <c r="E2048" s="27">
        <f>IF(D2048="","",D2048*'02_Eingaben'!$C$8)</f>
        <v/>
      </c>
      <c r="F2048" s="27">
        <f>IF(E2048="","",AVERAGE(INDEX($E$2:$E$3001,MAX(1,ROW()-1-'02_Eingaben'!$C$17)):INDEX($E$2:$E$3001,MIN('02_Eingaben'!$C$21,ROW()-1+'02_Eingaben'!$C$17))))</f>
        <v/>
      </c>
      <c r="G2048" s="27">
        <f>IF(F2048="","",F2048-'02_Eingaben'!$C$10)</f>
        <v/>
      </c>
      <c r="H2048">
        <f>IF(F2048="","",IF(F2048&lt;'02_Eingaben'!$C$18*'02_Eingaben'!$C$10,1,0))</f>
        <v/>
      </c>
      <c r="I2048" s="27">
        <f>IF(OR(G2048="",G2049=""),"",(G2048+G2049)/2*(B2049-B2048))</f>
        <v/>
      </c>
      <c r="J2048" s="27">
        <f>IF(B2048="","",IF(B2047&lt;'02_Eingaben'!$C$36,0,J2047+I2047/'02_Eingaben'!$C$8))</f>
        <v/>
      </c>
    </row>
    <row r="2049">
      <c r="A2049">
        <f>IF('01_Rohdaten'!A2049="","",ROW()-1)</f>
        <v/>
      </c>
      <c r="B2049" s="27">
        <f>IF('01_Rohdaten'!A2049="","",'01_Rohdaten'!A2049)</f>
        <v/>
      </c>
      <c r="C2049" s="27">
        <f>IF(B2049="","",INDEX('01_Rohdaten'!B2049:D2049,'02_Eingaben'!$C$13))</f>
        <v/>
      </c>
      <c r="D2049" s="27">
        <f>IF(C2049="","",C2049*'02_Eingaben'!$C$15)</f>
        <v/>
      </c>
      <c r="E2049" s="27">
        <f>IF(D2049="","",D2049*'02_Eingaben'!$C$8)</f>
        <v/>
      </c>
      <c r="F2049" s="27">
        <f>IF(E2049="","",AVERAGE(INDEX($E$2:$E$3001,MAX(1,ROW()-1-'02_Eingaben'!$C$17)):INDEX($E$2:$E$3001,MIN('02_Eingaben'!$C$21,ROW()-1+'02_Eingaben'!$C$17))))</f>
        <v/>
      </c>
      <c r="G2049" s="27">
        <f>IF(F2049="","",F2049-'02_Eingaben'!$C$10)</f>
        <v/>
      </c>
      <c r="H2049">
        <f>IF(F2049="","",IF(F2049&lt;'02_Eingaben'!$C$18*'02_Eingaben'!$C$10,1,0))</f>
        <v/>
      </c>
      <c r="I2049" s="27">
        <f>IF(OR(G2049="",G2050=""),"",(G2049+G2050)/2*(B2050-B2049))</f>
        <v/>
      </c>
      <c r="J2049" s="27">
        <f>IF(B2049="","",IF(B2048&lt;'02_Eingaben'!$C$36,0,J2048+I2048/'02_Eingaben'!$C$8))</f>
        <v/>
      </c>
    </row>
    <row r="2050">
      <c r="A2050">
        <f>IF('01_Rohdaten'!A2050="","",ROW()-1)</f>
        <v/>
      </c>
      <c r="B2050" s="27">
        <f>IF('01_Rohdaten'!A2050="","",'01_Rohdaten'!A2050)</f>
        <v/>
      </c>
      <c r="C2050" s="27">
        <f>IF(B2050="","",INDEX('01_Rohdaten'!B2050:D2050,'02_Eingaben'!$C$13))</f>
        <v/>
      </c>
      <c r="D2050" s="27">
        <f>IF(C2050="","",C2050*'02_Eingaben'!$C$15)</f>
        <v/>
      </c>
      <c r="E2050" s="27">
        <f>IF(D2050="","",D2050*'02_Eingaben'!$C$8)</f>
        <v/>
      </c>
      <c r="F2050" s="27">
        <f>IF(E2050="","",AVERAGE(INDEX($E$2:$E$3001,MAX(1,ROW()-1-'02_Eingaben'!$C$17)):INDEX($E$2:$E$3001,MIN('02_Eingaben'!$C$21,ROW()-1+'02_Eingaben'!$C$17))))</f>
        <v/>
      </c>
      <c r="G2050" s="27">
        <f>IF(F2050="","",F2050-'02_Eingaben'!$C$10)</f>
        <v/>
      </c>
      <c r="H2050">
        <f>IF(F2050="","",IF(F2050&lt;'02_Eingaben'!$C$18*'02_Eingaben'!$C$10,1,0))</f>
        <v/>
      </c>
      <c r="I2050" s="27">
        <f>IF(OR(G2050="",G2051=""),"",(G2050+G2051)/2*(B2051-B2050))</f>
        <v/>
      </c>
      <c r="J2050" s="27">
        <f>IF(B2050="","",IF(B2049&lt;'02_Eingaben'!$C$36,0,J2049+I2049/'02_Eingaben'!$C$8))</f>
        <v/>
      </c>
    </row>
    <row r="2051">
      <c r="A2051">
        <f>IF('01_Rohdaten'!A2051="","",ROW()-1)</f>
        <v/>
      </c>
      <c r="B2051" s="27">
        <f>IF('01_Rohdaten'!A2051="","",'01_Rohdaten'!A2051)</f>
        <v/>
      </c>
      <c r="C2051" s="27">
        <f>IF(B2051="","",INDEX('01_Rohdaten'!B2051:D2051,'02_Eingaben'!$C$13))</f>
        <v/>
      </c>
      <c r="D2051" s="27">
        <f>IF(C2051="","",C2051*'02_Eingaben'!$C$15)</f>
        <v/>
      </c>
      <c r="E2051" s="27">
        <f>IF(D2051="","",D2051*'02_Eingaben'!$C$8)</f>
        <v/>
      </c>
      <c r="F2051" s="27">
        <f>IF(E2051="","",AVERAGE(INDEX($E$2:$E$3001,MAX(1,ROW()-1-'02_Eingaben'!$C$17)):INDEX($E$2:$E$3001,MIN('02_Eingaben'!$C$21,ROW()-1+'02_Eingaben'!$C$17))))</f>
        <v/>
      </c>
      <c r="G2051" s="27">
        <f>IF(F2051="","",F2051-'02_Eingaben'!$C$10)</f>
        <v/>
      </c>
      <c r="H2051">
        <f>IF(F2051="","",IF(F2051&lt;'02_Eingaben'!$C$18*'02_Eingaben'!$C$10,1,0))</f>
        <v/>
      </c>
      <c r="I2051" s="27">
        <f>IF(OR(G2051="",G2052=""),"",(G2051+G2052)/2*(B2052-B2051))</f>
        <v/>
      </c>
      <c r="J2051" s="27">
        <f>IF(B2051="","",IF(B2050&lt;'02_Eingaben'!$C$36,0,J2050+I2050/'02_Eingaben'!$C$8))</f>
        <v/>
      </c>
    </row>
    <row r="2052">
      <c r="A2052">
        <f>IF('01_Rohdaten'!A2052="","",ROW()-1)</f>
        <v/>
      </c>
      <c r="B2052" s="27">
        <f>IF('01_Rohdaten'!A2052="","",'01_Rohdaten'!A2052)</f>
        <v/>
      </c>
      <c r="C2052" s="27">
        <f>IF(B2052="","",INDEX('01_Rohdaten'!B2052:D2052,'02_Eingaben'!$C$13))</f>
        <v/>
      </c>
      <c r="D2052" s="27">
        <f>IF(C2052="","",C2052*'02_Eingaben'!$C$15)</f>
        <v/>
      </c>
      <c r="E2052" s="27">
        <f>IF(D2052="","",D2052*'02_Eingaben'!$C$8)</f>
        <v/>
      </c>
      <c r="F2052" s="27">
        <f>IF(E2052="","",AVERAGE(INDEX($E$2:$E$3001,MAX(1,ROW()-1-'02_Eingaben'!$C$17)):INDEX($E$2:$E$3001,MIN('02_Eingaben'!$C$21,ROW()-1+'02_Eingaben'!$C$17))))</f>
        <v/>
      </c>
      <c r="G2052" s="27">
        <f>IF(F2052="","",F2052-'02_Eingaben'!$C$10)</f>
        <v/>
      </c>
      <c r="H2052">
        <f>IF(F2052="","",IF(F2052&lt;'02_Eingaben'!$C$18*'02_Eingaben'!$C$10,1,0))</f>
        <v/>
      </c>
      <c r="I2052" s="27">
        <f>IF(OR(G2052="",G2053=""),"",(G2052+G2053)/2*(B2053-B2052))</f>
        <v/>
      </c>
      <c r="J2052" s="27">
        <f>IF(B2052="","",IF(B2051&lt;'02_Eingaben'!$C$36,0,J2051+I2051/'02_Eingaben'!$C$8))</f>
        <v/>
      </c>
    </row>
    <row r="2053">
      <c r="A2053">
        <f>IF('01_Rohdaten'!A2053="","",ROW()-1)</f>
        <v/>
      </c>
      <c r="B2053" s="27">
        <f>IF('01_Rohdaten'!A2053="","",'01_Rohdaten'!A2053)</f>
        <v/>
      </c>
      <c r="C2053" s="27">
        <f>IF(B2053="","",INDEX('01_Rohdaten'!B2053:D2053,'02_Eingaben'!$C$13))</f>
        <v/>
      </c>
      <c r="D2053" s="27">
        <f>IF(C2053="","",C2053*'02_Eingaben'!$C$15)</f>
        <v/>
      </c>
      <c r="E2053" s="27">
        <f>IF(D2053="","",D2053*'02_Eingaben'!$C$8)</f>
        <v/>
      </c>
      <c r="F2053" s="27">
        <f>IF(E2053="","",AVERAGE(INDEX($E$2:$E$3001,MAX(1,ROW()-1-'02_Eingaben'!$C$17)):INDEX($E$2:$E$3001,MIN('02_Eingaben'!$C$21,ROW()-1+'02_Eingaben'!$C$17))))</f>
        <v/>
      </c>
      <c r="G2053" s="27">
        <f>IF(F2053="","",F2053-'02_Eingaben'!$C$10)</f>
        <v/>
      </c>
      <c r="H2053">
        <f>IF(F2053="","",IF(F2053&lt;'02_Eingaben'!$C$18*'02_Eingaben'!$C$10,1,0))</f>
        <v/>
      </c>
      <c r="I2053" s="27">
        <f>IF(OR(G2053="",G2054=""),"",(G2053+G2054)/2*(B2054-B2053))</f>
        <v/>
      </c>
      <c r="J2053" s="27">
        <f>IF(B2053="","",IF(B2052&lt;'02_Eingaben'!$C$36,0,J2052+I2052/'02_Eingaben'!$C$8))</f>
        <v/>
      </c>
    </row>
    <row r="2054">
      <c r="A2054">
        <f>IF('01_Rohdaten'!A2054="","",ROW()-1)</f>
        <v/>
      </c>
      <c r="B2054" s="27">
        <f>IF('01_Rohdaten'!A2054="","",'01_Rohdaten'!A2054)</f>
        <v/>
      </c>
      <c r="C2054" s="27">
        <f>IF(B2054="","",INDEX('01_Rohdaten'!B2054:D2054,'02_Eingaben'!$C$13))</f>
        <v/>
      </c>
      <c r="D2054" s="27">
        <f>IF(C2054="","",C2054*'02_Eingaben'!$C$15)</f>
        <v/>
      </c>
      <c r="E2054" s="27">
        <f>IF(D2054="","",D2054*'02_Eingaben'!$C$8)</f>
        <v/>
      </c>
      <c r="F2054" s="27">
        <f>IF(E2054="","",AVERAGE(INDEX($E$2:$E$3001,MAX(1,ROW()-1-'02_Eingaben'!$C$17)):INDEX($E$2:$E$3001,MIN('02_Eingaben'!$C$21,ROW()-1+'02_Eingaben'!$C$17))))</f>
        <v/>
      </c>
      <c r="G2054" s="27">
        <f>IF(F2054="","",F2054-'02_Eingaben'!$C$10)</f>
        <v/>
      </c>
      <c r="H2054">
        <f>IF(F2054="","",IF(F2054&lt;'02_Eingaben'!$C$18*'02_Eingaben'!$C$10,1,0))</f>
        <v/>
      </c>
      <c r="I2054" s="27">
        <f>IF(OR(G2054="",G2055=""),"",(G2054+G2055)/2*(B2055-B2054))</f>
        <v/>
      </c>
      <c r="J2054" s="27">
        <f>IF(B2054="","",IF(B2053&lt;'02_Eingaben'!$C$36,0,J2053+I2053/'02_Eingaben'!$C$8))</f>
        <v/>
      </c>
    </row>
    <row r="2055">
      <c r="A2055">
        <f>IF('01_Rohdaten'!A2055="","",ROW()-1)</f>
        <v/>
      </c>
      <c r="B2055" s="27">
        <f>IF('01_Rohdaten'!A2055="","",'01_Rohdaten'!A2055)</f>
        <v/>
      </c>
      <c r="C2055" s="27">
        <f>IF(B2055="","",INDEX('01_Rohdaten'!B2055:D2055,'02_Eingaben'!$C$13))</f>
        <v/>
      </c>
      <c r="D2055" s="27">
        <f>IF(C2055="","",C2055*'02_Eingaben'!$C$15)</f>
        <v/>
      </c>
      <c r="E2055" s="27">
        <f>IF(D2055="","",D2055*'02_Eingaben'!$C$8)</f>
        <v/>
      </c>
      <c r="F2055" s="27">
        <f>IF(E2055="","",AVERAGE(INDEX($E$2:$E$3001,MAX(1,ROW()-1-'02_Eingaben'!$C$17)):INDEX($E$2:$E$3001,MIN('02_Eingaben'!$C$21,ROW()-1+'02_Eingaben'!$C$17))))</f>
        <v/>
      </c>
      <c r="G2055" s="27">
        <f>IF(F2055="","",F2055-'02_Eingaben'!$C$10)</f>
        <v/>
      </c>
      <c r="H2055">
        <f>IF(F2055="","",IF(F2055&lt;'02_Eingaben'!$C$18*'02_Eingaben'!$C$10,1,0))</f>
        <v/>
      </c>
      <c r="I2055" s="27">
        <f>IF(OR(G2055="",G2056=""),"",(G2055+G2056)/2*(B2056-B2055))</f>
        <v/>
      </c>
      <c r="J2055" s="27">
        <f>IF(B2055="","",IF(B2054&lt;'02_Eingaben'!$C$36,0,J2054+I2054/'02_Eingaben'!$C$8))</f>
        <v/>
      </c>
    </row>
    <row r="2056">
      <c r="A2056">
        <f>IF('01_Rohdaten'!A2056="","",ROW()-1)</f>
        <v/>
      </c>
      <c r="B2056" s="27">
        <f>IF('01_Rohdaten'!A2056="","",'01_Rohdaten'!A2056)</f>
        <v/>
      </c>
      <c r="C2056" s="27">
        <f>IF(B2056="","",INDEX('01_Rohdaten'!B2056:D2056,'02_Eingaben'!$C$13))</f>
        <v/>
      </c>
      <c r="D2056" s="27">
        <f>IF(C2056="","",C2056*'02_Eingaben'!$C$15)</f>
        <v/>
      </c>
      <c r="E2056" s="27">
        <f>IF(D2056="","",D2056*'02_Eingaben'!$C$8)</f>
        <v/>
      </c>
      <c r="F2056" s="27">
        <f>IF(E2056="","",AVERAGE(INDEX($E$2:$E$3001,MAX(1,ROW()-1-'02_Eingaben'!$C$17)):INDEX($E$2:$E$3001,MIN('02_Eingaben'!$C$21,ROW()-1+'02_Eingaben'!$C$17))))</f>
        <v/>
      </c>
      <c r="G2056" s="27">
        <f>IF(F2056="","",F2056-'02_Eingaben'!$C$10)</f>
        <v/>
      </c>
      <c r="H2056">
        <f>IF(F2056="","",IF(F2056&lt;'02_Eingaben'!$C$18*'02_Eingaben'!$C$10,1,0))</f>
        <v/>
      </c>
      <c r="I2056" s="27">
        <f>IF(OR(G2056="",G2057=""),"",(G2056+G2057)/2*(B2057-B2056))</f>
        <v/>
      </c>
      <c r="J2056" s="27">
        <f>IF(B2056="","",IF(B2055&lt;'02_Eingaben'!$C$36,0,J2055+I2055/'02_Eingaben'!$C$8))</f>
        <v/>
      </c>
    </row>
    <row r="2057">
      <c r="A2057">
        <f>IF('01_Rohdaten'!A2057="","",ROW()-1)</f>
        <v/>
      </c>
      <c r="B2057" s="27">
        <f>IF('01_Rohdaten'!A2057="","",'01_Rohdaten'!A2057)</f>
        <v/>
      </c>
      <c r="C2057" s="27">
        <f>IF(B2057="","",INDEX('01_Rohdaten'!B2057:D2057,'02_Eingaben'!$C$13))</f>
        <v/>
      </c>
      <c r="D2057" s="27">
        <f>IF(C2057="","",C2057*'02_Eingaben'!$C$15)</f>
        <v/>
      </c>
      <c r="E2057" s="27">
        <f>IF(D2057="","",D2057*'02_Eingaben'!$C$8)</f>
        <v/>
      </c>
      <c r="F2057" s="27">
        <f>IF(E2057="","",AVERAGE(INDEX($E$2:$E$3001,MAX(1,ROW()-1-'02_Eingaben'!$C$17)):INDEX($E$2:$E$3001,MIN('02_Eingaben'!$C$21,ROW()-1+'02_Eingaben'!$C$17))))</f>
        <v/>
      </c>
      <c r="G2057" s="27">
        <f>IF(F2057="","",F2057-'02_Eingaben'!$C$10)</f>
        <v/>
      </c>
      <c r="H2057">
        <f>IF(F2057="","",IF(F2057&lt;'02_Eingaben'!$C$18*'02_Eingaben'!$C$10,1,0))</f>
        <v/>
      </c>
      <c r="I2057" s="27">
        <f>IF(OR(G2057="",G2058=""),"",(G2057+G2058)/2*(B2058-B2057))</f>
        <v/>
      </c>
      <c r="J2057" s="27">
        <f>IF(B2057="","",IF(B2056&lt;'02_Eingaben'!$C$36,0,J2056+I2056/'02_Eingaben'!$C$8))</f>
        <v/>
      </c>
    </row>
    <row r="2058">
      <c r="A2058">
        <f>IF('01_Rohdaten'!A2058="","",ROW()-1)</f>
        <v/>
      </c>
      <c r="B2058" s="27">
        <f>IF('01_Rohdaten'!A2058="","",'01_Rohdaten'!A2058)</f>
        <v/>
      </c>
      <c r="C2058" s="27">
        <f>IF(B2058="","",INDEX('01_Rohdaten'!B2058:D2058,'02_Eingaben'!$C$13))</f>
        <v/>
      </c>
      <c r="D2058" s="27">
        <f>IF(C2058="","",C2058*'02_Eingaben'!$C$15)</f>
        <v/>
      </c>
      <c r="E2058" s="27">
        <f>IF(D2058="","",D2058*'02_Eingaben'!$C$8)</f>
        <v/>
      </c>
      <c r="F2058" s="27">
        <f>IF(E2058="","",AVERAGE(INDEX($E$2:$E$3001,MAX(1,ROW()-1-'02_Eingaben'!$C$17)):INDEX($E$2:$E$3001,MIN('02_Eingaben'!$C$21,ROW()-1+'02_Eingaben'!$C$17))))</f>
        <v/>
      </c>
      <c r="G2058" s="27">
        <f>IF(F2058="","",F2058-'02_Eingaben'!$C$10)</f>
        <v/>
      </c>
      <c r="H2058">
        <f>IF(F2058="","",IF(F2058&lt;'02_Eingaben'!$C$18*'02_Eingaben'!$C$10,1,0))</f>
        <v/>
      </c>
      <c r="I2058" s="27">
        <f>IF(OR(G2058="",G2059=""),"",(G2058+G2059)/2*(B2059-B2058))</f>
        <v/>
      </c>
      <c r="J2058" s="27">
        <f>IF(B2058="","",IF(B2057&lt;'02_Eingaben'!$C$36,0,J2057+I2057/'02_Eingaben'!$C$8))</f>
        <v/>
      </c>
    </row>
    <row r="2059">
      <c r="A2059">
        <f>IF('01_Rohdaten'!A2059="","",ROW()-1)</f>
        <v/>
      </c>
      <c r="B2059" s="27">
        <f>IF('01_Rohdaten'!A2059="","",'01_Rohdaten'!A2059)</f>
        <v/>
      </c>
      <c r="C2059" s="27">
        <f>IF(B2059="","",INDEX('01_Rohdaten'!B2059:D2059,'02_Eingaben'!$C$13))</f>
        <v/>
      </c>
      <c r="D2059" s="27">
        <f>IF(C2059="","",C2059*'02_Eingaben'!$C$15)</f>
        <v/>
      </c>
      <c r="E2059" s="27">
        <f>IF(D2059="","",D2059*'02_Eingaben'!$C$8)</f>
        <v/>
      </c>
      <c r="F2059" s="27">
        <f>IF(E2059="","",AVERAGE(INDEX($E$2:$E$3001,MAX(1,ROW()-1-'02_Eingaben'!$C$17)):INDEX($E$2:$E$3001,MIN('02_Eingaben'!$C$21,ROW()-1+'02_Eingaben'!$C$17))))</f>
        <v/>
      </c>
      <c r="G2059" s="27">
        <f>IF(F2059="","",F2059-'02_Eingaben'!$C$10)</f>
        <v/>
      </c>
      <c r="H2059">
        <f>IF(F2059="","",IF(F2059&lt;'02_Eingaben'!$C$18*'02_Eingaben'!$C$10,1,0))</f>
        <v/>
      </c>
      <c r="I2059" s="27">
        <f>IF(OR(G2059="",G2060=""),"",(G2059+G2060)/2*(B2060-B2059))</f>
        <v/>
      </c>
      <c r="J2059" s="27">
        <f>IF(B2059="","",IF(B2058&lt;'02_Eingaben'!$C$36,0,J2058+I2058/'02_Eingaben'!$C$8))</f>
        <v/>
      </c>
    </row>
    <row r="2060">
      <c r="A2060">
        <f>IF('01_Rohdaten'!A2060="","",ROW()-1)</f>
        <v/>
      </c>
      <c r="B2060" s="27">
        <f>IF('01_Rohdaten'!A2060="","",'01_Rohdaten'!A2060)</f>
        <v/>
      </c>
      <c r="C2060" s="27">
        <f>IF(B2060="","",INDEX('01_Rohdaten'!B2060:D2060,'02_Eingaben'!$C$13))</f>
        <v/>
      </c>
      <c r="D2060" s="27">
        <f>IF(C2060="","",C2060*'02_Eingaben'!$C$15)</f>
        <v/>
      </c>
      <c r="E2060" s="27">
        <f>IF(D2060="","",D2060*'02_Eingaben'!$C$8)</f>
        <v/>
      </c>
      <c r="F2060" s="27">
        <f>IF(E2060="","",AVERAGE(INDEX($E$2:$E$3001,MAX(1,ROW()-1-'02_Eingaben'!$C$17)):INDEX($E$2:$E$3001,MIN('02_Eingaben'!$C$21,ROW()-1+'02_Eingaben'!$C$17))))</f>
        <v/>
      </c>
      <c r="G2060" s="27">
        <f>IF(F2060="","",F2060-'02_Eingaben'!$C$10)</f>
        <v/>
      </c>
      <c r="H2060">
        <f>IF(F2060="","",IF(F2060&lt;'02_Eingaben'!$C$18*'02_Eingaben'!$C$10,1,0))</f>
        <v/>
      </c>
      <c r="I2060" s="27">
        <f>IF(OR(G2060="",G2061=""),"",(G2060+G2061)/2*(B2061-B2060))</f>
        <v/>
      </c>
      <c r="J2060" s="27">
        <f>IF(B2060="","",IF(B2059&lt;'02_Eingaben'!$C$36,0,J2059+I2059/'02_Eingaben'!$C$8))</f>
        <v/>
      </c>
    </row>
    <row r="2061">
      <c r="A2061">
        <f>IF('01_Rohdaten'!A2061="","",ROW()-1)</f>
        <v/>
      </c>
      <c r="B2061" s="27">
        <f>IF('01_Rohdaten'!A2061="","",'01_Rohdaten'!A2061)</f>
        <v/>
      </c>
      <c r="C2061" s="27">
        <f>IF(B2061="","",INDEX('01_Rohdaten'!B2061:D2061,'02_Eingaben'!$C$13))</f>
        <v/>
      </c>
      <c r="D2061" s="27">
        <f>IF(C2061="","",C2061*'02_Eingaben'!$C$15)</f>
        <v/>
      </c>
      <c r="E2061" s="27">
        <f>IF(D2061="","",D2061*'02_Eingaben'!$C$8)</f>
        <v/>
      </c>
      <c r="F2061" s="27">
        <f>IF(E2061="","",AVERAGE(INDEX($E$2:$E$3001,MAX(1,ROW()-1-'02_Eingaben'!$C$17)):INDEX($E$2:$E$3001,MIN('02_Eingaben'!$C$21,ROW()-1+'02_Eingaben'!$C$17))))</f>
        <v/>
      </c>
      <c r="G2061" s="27">
        <f>IF(F2061="","",F2061-'02_Eingaben'!$C$10)</f>
        <v/>
      </c>
      <c r="H2061">
        <f>IF(F2061="","",IF(F2061&lt;'02_Eingaben'!$C$18*'02_Eingaben'!$C$10,1,0))</f>
        <v/>
      </c>
      <c r="I2061" s="27">
        <f>IF(OR(G2061="",G2062=""),"",(G2061+G2062)/2*(B2062-B2061))</f>
        <v/>
      </c>
      <c r="J2061" s="27">
        <f>IF(B2061="","",IF(B2060&lt;'02_Eingaben'!$C$36,0,J2060+I2060/'02_Eingaben'!$C$8))</f>
        <v/>
      </c>
    </row>
    <row r="2062">
      <c r="A2062">
        <f>IF('01_Rohdaten'!A2062="","",ROW()-1)</f>
        <v/>
      </c>
      <c r="B2062" s="27">
        <f>IF('01_Rohdaten'!A2062="","",'01_Rohdaten'!A2062)</f>
        <v/>
      </c>
      <c r="C2062" s="27">
        <f>IF(B2062="","",INDEX('01_Rohdaten'!B2062:D2062,'02_Eingaben'!$C$13))</f>
        <v/>
      </c>
      <c r="D2062" s="27">
        <f>IF(C2062="","",C2062*'02_Eingaben'!$C$15)</f>
        <v/>
      </c>
      <c r="E2062" s="27">
        <f>IF(D2062="","",D2062*'02_Eingaben'!$C$8)</f>
        <v/>
      </c>
      <c r="F2062" s="27">
        <f>IF(E2062="","",AVERAGE(INDEX($E$2:$E$3001,MAX(1,ROW()-1-'02_Eingaben'!$C$17)):INDEX($E$2:$E$3001,MIN('02_Eingaben'!$C$21,ROW()-1+'02_Eingaben'!$C$17))))</f>
        <v/>
      </c>
      <c r="G2062" s="27">
        <f>IF(F2062="","",F2062-'02_Eingaben'!$C$10)</f>
        <v/>
      </c>
      <c r="H2062">
        <f>IF(F2062="","",IF(F2062&lt;'02_Eingaben'!$C$18*'02_Eingaben'!$C$10,1,0))</f>
        <v/>
      </c>
      <c r="I2062" s="27">
        <f>IF(OR(G2062="",G2063=""),"",(G2062+G2063)/2*(B2063-B2062))</f>
        <v/>
      </c>
      <c r="J2062" s="27">
        <f>IF(B2062="","",IF(B2061&lt;'02_Eingaben'!$C$36,0,J2061+I2061/'02_Eingaben'!$C$8))</f>
        <v/>
      </c>
    </row>
    <row r="2063">
      <c r="A2063">
        <f>IF('01_Rohdaten'!A2063="","",ROW()-1)</f>
        <v/>
      </c>
      <c r="B2063" s="27">
        <f>IF('01_Rohdaten'!A2063="","",'01_Rohdaten'!A2063)</f>
        <v/>
      </c>
      <c r="C2063" s="27">
        <f>IF(B2063="","",INDEX('01_Rohdaten'!B2063:D2063,'02_Eingaben'!$C$13))</f>
        <v/>
      </c>
      <c r="D2063" s="27">
        <f>IF(C2063="","",C2063*'02_Eingaben'!$C$15)</f>
        <v/>
      </c>
      <c r="E2063" s="27">
        <f>IF(D2063="","",D2063*'02_Eingaben'!$C$8)</f>
        <v/>
      </c>
      <c r="F2063" s="27">
        <f>IF(E2063="","",AVERAGE(INDEX($E$2:$E$3001,MAX(1,ROW()-1-'02_Eingaben'!$C$17)):INDEX($E$2:$E$3001,MIN('02_Eingaben'!$C$21,ROW()-1+'02_Eingaben'!$C$17))))</f>
        <v/>
      </c>
      <c r="G2063" s="27">
        <f>IF(F2063="","",F2063-'02_Eingaben'!$C$10)</f>
        <v/>
      </c>
      <c r="H2063">
        <f>IF(F2063="","",IF(F2063&lt;'02_Eingaben'!$C$18*'02_Eingaben'!$C$10,1,0))</f>
        <v/>
      </c>
      <c r="I2063" s="27">
        <f>IF(OR(G2063="",G2064=""),"",(G2063+G2064)/2*(B2064-B2063))</f>
        <v/>
      </c>
      <c r="J2063" s="27">
        <f>IF(B2063="","",IF(B2062&lt;'02_Eingaben'!$C$36,0,J2062+I2062/'02_Eingaben'!$C$8))</f>
        <v/>
      </c>
    </row>
    <row r="2064">
      <c r="A2064">
        <f>IF('01_Rohdaten'!A2064="","",ROW()-1)</f>
        <v/>
      </c>
      <c r="B2064" s="27">
        <f>IF('01_Rohdaten'!A2064="","",'01_Rohdaten'!A2064)</f>
        <v/>
      </c>
      <c r="C2064" s="27">
        <f>IF(B2064="","",INDEX('01_Rohdaten'!B2064:D2064,'02_Eingaben'!$C$13))</f>
        <v/>
      </c>
      <c r="D2064" s="27">
        <f>IF(C2064="","",C2064*'02_Eingaben'!$C$15)</f>
        <v/>
      </c>
      <c r="E2064" s="27">
        <f>IF(D2064="","",D2064*'02_Eingaben'!$C$8)</f>
        <v/>
      </c>
      <c r="F2064" s="27">
        <f>IF(E2064="","",AVERAGE(INDEX($E$2:$E$3001,MAX(1,ROW()-1-'02_Eingaben'!$C$17)):INDEX($E$2:$E$3001,MIN('02_Eingaben'!$C$21,ROW()-1+'02_Eingaben'!$C$17))))</f>
        <v/>
      </c>
      <c r="G2064" s="27">
        <f>IF(F2064="","",F2064-'02_Eingaben'!$C$10)</f>
        <v/>
      </c>
      <c r="H2064">
        <f>IF(F2064="","",IF(F2064&lt;'02_Eingaben'!$C$18*'02_Eingaben'!$C$10,1,0))</f>
        <v/>
      </c>
      <c r="I2064" s="27">
        <f>IF(OR(G2064="",G2065=""),"",(G2064+G2065)/2*(B2065-B2064))</f>
        <v/>
      </c>
      <c r="J2064" s="27">
        <f>IF(B2064="","",IF(B2063&lt;'02_Eingaben'!$C$36,0,J2063+I2063/'02_Eingaben'!$C$8))</f>
        <v/>
      </c>
    </row>
    <row r="2065">
      <c r="A2065">
        <f>IF('01_Rohdaten'!A2065="","",ROW()-1)</f>
        <v/>
      </c>
      <c r="B2065" s="27">
        <f>IF('01_Rohdaten'!A2065="","",'01_Rohdaten'!A2065)</f>
        <v/>
      </c>
      <c r="C2065" s="27">
        <f>IF(B2065="","",INDEX('01_Rohdaten'!B2065:D2065,'02_Eingaben'!$C$13))</f>
        <v/>
      </c>
      <c r="D2065" s="27">
        <f>IF(C2065="","",C2065*'02_Eingaben'!$C$15)</f>
        <v/>
      </c>
      <c r="E2065" s="27">
        <f>IF(D2065="","",D2065*'02_Eingaben'!$C$8)</f>
        <v/>
      </c>
      <c r="F2065" s="27">
        <f>IF(E2065="","",AVERAGE(INDEX($E$2:$E$3001,MAX(1,ROW()-1-'02_Eingaben'!$C$17)):INDEX($E$2:$E$3001,MIN('02_Eingaben'!$C$21,ROW()-1+'02_Eingaben'!$C$17))))</f>
        <v/>
      </c>
      <c r="G2065" s="27">
        <f>IF(F2065="","",F2065-'02_Eingaben'!$C$10)</f>
        <v/>
      </c>
      <c r="H2065">
        <f>IF(F2065="","",IF(F2065&lt;'02_Eingaben'!$C$18*'02_Eingaben'!$C$10,1,0))</f>
        <v/>
      </c>
      <c r="I2065" s="27">
        <f>IF(OR(G2065="",G2066=""),"",(G2065+G2066)/2*(B2066-B2065))</f>
        <v/>
      </c>
      <c r="J2065" s="27">
        <f>IF(B2065="","",IF(B2064&lt;'02_Eingaben'!$C$36,0,J2064+I2064/'02_Eingaben'!$C$8))</f>
        <v/>
      </c>
    </row>
    <row r="2066">
      <c r="A2066">
        <f>IF('01_Rohdaten'!A2066="","",ROW()-1)</f>
        <v/>
      </c>
      <c r="B2066" s="27">
        <f>IF('01_Rohdaten'!A2066="","",'01_Rohdaten'!A2066)</f>
        <v/>
      </c>
      <c r="C2066" s="27">
        <f>IF(B2066="","",INDEX('01_Rohdaten'!B2066:D2066,'02_Eingaben'!$C$13))</f>
        <v/>
      </c>
      <c r="D2066" s="27">
        <f>IF(C2066="","",C2066*'02_Eingaben'!$C$15)</f>
        <v/>
      </c>
      <c r="E2066" s="27">
        <f>IF(D2066="","",D2066*'02_Eingaben'!$C$8)</f>
        <v/>
      </c>
      <c r="F2066" s="27">
        <f>IF(E2066="","",AVERAGE(INDEX($E$2:$E$3001,MAX(1,ROW()-1-'02_Eingaben'!$C$17)):INDEX($E$2:$E$3001,MIN('02_Eingaben'!$C$21,ROW()-1+'02_Eingaben'!$C$17))))</f>
        <v/>
      </c>
      <c r="G2066" s="27">
        <f>IF(F2066="","",F2066-'02_Eingaben'!$C$10)</f>
        <v/>
      </c>
      <c r="H2066">
        <f>IF(F2066="","",IF(F2066&lt;'02_Eingaben'!$C$18*'02_Eingaben'!$C$10,1,0))</f>
        <v/>
      </c>
      <c r="I2066" s="27">
        <f>IF(OR(G2066="",G2067=""),"",(G2066+G2067)/2*(B2067-B2066))</f>
        <v/>
      </c>
      <c r="J2066" s="27">
        <f>IF(B2066="","",IF(B2065&lt;'02_Eingaben'!$C$36,0,J2065+I2065/'02_Eingaben'!$C$8))</f>
        <v/>
      </c>
    </row>
    <row r="2067">
      <c r="A2067">
        <f>IF('01_Rohdaten'!A2067="","",ROW()-1)</f>
        <v/>
      </c>
      <c r="B2067" s="27">
        <f>IF('01_Rohdaten'!A2067="","",'01_Rohdaten'!A2067)</f>
        <v/>
      </c>
      <c r="C2067" s="27">
        <f>IF(B2067="","",INDEX('01_Rohdaten'!B2067:D2067,'02_Eingaben'!$C$13))</f>
        <v/>
      </c>
      <c r="D2067" s="27">
        <f>IF(C2067="","",C2067*'02_Eingaben'!$C$15)</f>
        <v/>
      </c>
      <c r="E2067" s="27">
        <f>IF(D2067="","",D2067*'02_Eingaben'!$C$8)</f>
        <v/>
      </c>
      <c r="F2067" s="27">
        <f>IF(E2067="","",AVERAGE(INDEX($E$2:$E$3001,MAX(1,ROW()-1-'02_Eingaben'!$C$17)):INDEX($E$2:$E$3001,MIN('02_Eingaben'!$C$21,ROW()-1+'02_Eingaben'!$C$17))))</f>
        <v/>
      </c>
      <c r="G2067" s="27">
        <f>IF(F2067="","",F2067-'02_Eingaben'!$C$10)</f>
        <v/>
      </c>
      <c r="H2067">
        <f>IF(F2067="","",IF(F2067&lt;'02_Eingaben'!$C$18*'02_Eingaben'!$C$10,1,0))</f>
        <v/>
      </c>
      <c r="I2067" s="27">
        <f>IF(OR(G2067="",G2068=""),"",(G2067+G2068)/2*(B2068-B2067))</f>
        <v/>
      </c>
      <c r="J2067" s="27">
        <f>IF(B2067="","",IF(B2066&lt;'02_Eingaben'!$C$36,0,J2066+I2066/'02_Eingaben'!$C$8))</f>
        <v/>
      </c>
    </row>
    <row r="2068">
      <c r="A2068">
        <f>IF('01_Rohdaten'!A2068="","",ROW()-1)</f>
        <v/>
      </c>
      <c r="B2068" s="27">
        <f>IF('01_Rohdaten'!A2068="","",'01_Rohdaten'!A2068)</f>
        <v/>
      </c>
      <c r="C2068" s="27">
        <f>IF(B2068="","",INDEX('01_Rohdaten'!B2068:D2068,'02_Eingaben'!$C$13))</f>
        <v/>
      </c>
      <c r="D2068" s="27">
        <f>IF(C2068="","",C2068*'02_Eingaben'!$C$15)</f>
        <v/>
      </c>
      <c r="E2068" s="27">
        <f>IF(D2068="","",D2068*'02_Eingaben'!$C$8)</f>
        <v/>
      </c>
      <c r="F2068" s="27">
        <f>IF(E2068="","",AVERAGE(INDEX($E$2:$E$3001,MAX(1,ROW()-1-'02_Eingaben'!$C$17)):INDEX($E$2:$E$3001,MIN('02_Eingaben'!$C$21,ROW()-1+'02_Eingaben'!$C$17))))</f>
        <v/>
      </c>
      <c r="G2068" s="27">
        <f>IF(F2068="","",F2068-'02_Eingaben'!$C$10)</f>
        <v/>
      </c>
      <c r="H2068">
        <f>IF(F2068="","",IF(F2068&lt;'02_Eingaben'!$C$18*'02_Eingaben'!$C$10,1,0))</f>
        <v/>
      </c>
      <c r="I2068" s="27">
        <f>IF(OR(G2068="",G2069=""),"",(G2068+G2069)/2*(B2069-B2068))</f>
        <v/>
      </c>
      <c r="J2068" s="27">
        <f>IF(B2068="","",IF(B2067&lt;'02_Eingaben'!$C$36,0,J2067+I2067/'02_Eingaben'!$C$8))</f>
        <v/>
      </c>
    </row>
    <row r="2069">
      <c r="A2069">
        <f>IF('01_Rohdaten'!A2069="","",ROW()-1)</f>
        <v/>
      </c>
      <c r="B2069" s="27">
        <f>IF('01_Rohdaten'!A2069="","",'01_Rohdaten'!A2069)</f>
        <v/>
      </c>
      <c r="C2069" s="27">
        <f>IF(B2069="","",INDEX('01_Rohdaten'!B2069:D2069,'02_Eingaben'!$C$13))</f>
        <v/>
      </c>
      <c r="D2069" s="27">
        <f>IF(C2069="","",C2069*'02_Eingaben'!$C$15)</f>
        <v/>
      </c>
      <c r="E2069" s="27">
        <f>IF(D2069="","",D2069*'02_Eingaben'!$C$8)</f>
        <v/>
      </c>
      <c r="F2069" s="27">
        <f>IF(E2069="","",AVERAGE(INDEX($E$2:$E$3001,MAX(1,ROW()-1-'02_Eingaben'!$C$17)):INDEX($E$2:$E$3001,MIN('02_Eingaben'!$C$21,ROW()-1+'02_Eingaben'!$C$17))))</f>
        <v/>
      </c>
      <c r="G2069" s="27">
        <f>IF(F2069="","",F2069-'02_Eingaben'!$C$10)</f>
        <v/>
      </c>
      <c r="H2069">
        <f>IF(F2069="","",IF(F2069&lt;'02_Eingaben'!$C$18*'02_Eingaben'!$C$10,1,0))</f>
        <v/>
      </c>
      <c r="I2069" s="27">
        <f>IF(OR(G2069="",G2070=""),"",(G2069+G2070)/2*(B2070-B2069))</f>
        <v/>
      </c>
      <c r="J2069" s="27">
        <f>IF(B2069="","",IF(B2068&lt;'02_Eingaben'!$C$36,0,J2068+I2068/'02_Eingaben'!$C$8))</f>
        <v/>
      </c>
    </row>
    <row r="2070">
      <c r="A2070">
        <f>IF('01_Rohdaten'!A2070="","",ROW()-1)</f>
        <v/>
      </c>
      <c r="B2070" s="27">
        <f>IF('01_Rohdaten'!A2070="","",'01_Rohdaten'!A2070)</f>
        <v/>
      </c>
      <c r="C2070" s="27">
        <f>IF(B2070="","",INDEX('01_Rohdaten'!B2070:D2070,'02_Eingaben'!$C$13))</f>
        <v/>
      </c>
      <c r="D2070" s="27">
        <f>IF(C2070="","",C2070*'02_Eingaben'!$C$15)</f>
        <v/>
      </c>
      <c r="E2070" s="27">
        <f>IF(D2070="","",D2070*'02_Eingaben'!$C$8)</f>
        <v/>
      </c>
      <c r="F2070" s="27">
        <f>IF(E2070="","",AVERAGE(INDEX($E$2:$E$3001,MAX(1,ROW()-1-'02_Eingaben'!$C$17)):INDEX($E$2:$E$3001,MIN('02_Eingaben'!$C$21,ROW()-1+'02_Eingaben'!$C$17))))</f>
        <v/>
      </c>
      <c r="G2070" s="27">
        <f>IF(F2070="","",F2070-'02_Eingaben'!$C$10)</f>
        <v/>
      </c>
      <c r="H2070">
        <f>IF(F2070="","",IF(F2070&lt;'02_Eingaben'!$C$18*'02_Eingaben'!$C$10,1,0))</f>
        <v/>
      </c>
      <c r="I2070" s="27">
        <f>IF(OR(G2070="",G2071=""),"",(G2070+G2071)/2*(B2071-B2070))</f>
        <v/>
      </c>
      <c r="J2070" s="27">
        <f>IF(B2070="","",IF(B2069&lt;'02_Eingaben'!$C$36,0,J2069+I2069/'02_Eingaben'!$C$8))</f>
        <v/>
      </c>
    </row>
    <row r="2071">
      <c r="A2071">
        <f>IF('01_Rohdaten'!A2071="","",ROW()-1)</f>
        <v/>
      </c>
      <c r="B2071" s="27">
        <f>IF('01_Rohdaten'!A2071="","",'01_Rohdaten'!A2071)</f>
        <v/>
      </c>
      <c r="C2071" s="27">
        <f>IF(B2071="","",INDEX('01_Rohdaten'!B2071:D2071,'02_Eingaben'!$C$13))</f>
        <v/>
      </c>
      <c r="D2071" s="27">
        <f>IF(C2071="","",C2071*'02_Eingaben'!$C$15)</f>
        <v/>
      </c>
      <c r="E2071" s="27">
        <f>IF(D2071="","",D2071*'02_Eingaben'!$C$8)</f>
        <v/>
      </c>
      <c r="F2071" s="27">
        <f>IF(E2071="","",AVERAGE(INDEX($E$2:$E$3001,MAX(1,ROW()-1-'02_Eingaben'!$C$17)):INDEX($E$2:$E$3001,MIN('02_Eingaben'!$C$21,ROW()-1+'02_Eingaben'!$C$17))))</f>
        <v/>
      </c>
      <c r="G2071" s="27">
        <f>IF(F2071="","",F2071-'02_Eingaben'!$C$10)</f>
        <v/>
      </c>
      <c r="H2071">
        <f>IF(F2071="","",IF(F2071&lt;'02_Eingaben'!$C$18*'02_Eingaben'!$C$10,1,0))</f>
        <v/>
      </c>
      <c r="I2071" s="27">
        <f>IF(OR(G2071="",G2072=""),"",(G2071+G2072)/2*(B2072-B2071))</f>
        <v/>
      </c>
      <c r="J2071" s="27">
        <f>IF(B2071="","",IF(B2070&lt;'02_Eingaben'!$C$36,0,J2070+I2070/'02_Eingaben'!$C$8))</f>
        <v/>
      </c>
    </row>
    <row r="2072">
      <c r="A2072">
        <f>IF('01_Rohdaten'!A2072="","",ROW()-1)</f>
        <v/>
      </c>
      <c r="B2072" s="27">
        <f>IF('01_Rohdaten'!A2072="","",'01_Rohdaten'!A2072)</f>
        <v/>
      </c>
      <c r="C2072" s="27">
        <f>IF(B2072="","",INDEX('01_Rohdaten'!B2072:D2072,'02_Eingaben'!$C$13))</f>
        <v/>
      </c>
      <c r="D2072" s="27">
        <f>IF(C2072="","",C2072*'02_Eingaben'!$C$15)</f>
        <v/>
      </c>
      <c r="E2072" s="27">
        <f>IF(D2072="","",D2072*'02_Eingaben'!$C$8)</f>
        <v/>
      </c>
      <c r="F2072" s="27">
        <f>IF(E2072="","",AVERAGE(INDEX($E$2:$E$3001,MAX(1,ROW()-1-'02_Eingaben'!$C$17)):INDEX($E$2:$E$3001,MIN('02_Eingaben'!$C$21,ROW()-1+'02_Eingaben'!$C$17))))</f>
        <v/>
      </c>
      <c r="G2072" s="27">
        <f>IF(F2072="","",F2072-'02_Eingaben'!$C$10)</f>
        <v/>
      </c>
      <c r="H2072">
        <f>IF(F2072="","",IF(F2072&lt;'02_Eingaben'!$C$18*'02_Eingaben'!$C$10,1,0))</f>
        <v/>
      </c>
      <c r="I2072" s="27">
        <f>IF(OR(G2072="",G2073=""),"",(G2072+G2073)/2*(B2073-B2072))</f>
        <v/>
      </c>
      <c r="J2072" s="27">
        <f>IF(B2072="","",IF(B2071&lt;'02_Eingaben'!$C$36,0,J2071+I2071/'02_Eingaben'!$C$8))</f>
        <v/>
      </c>
    </row>
    <row r="2073">
      <c r="A2073">
        <f>IF('01_Rohdaten'!A2073="","",ROW()-1)</f>
        <v/>
      </c>
      <c r="B2073" s="27">
        <f>IF('01_Rohdaten'!A2073="","",'01_Rohdaten'!A2073)</f>
        <v/>
      </c>
      <c r="C2073" s="27">
        <f>IF(B2073="","",INDEX('01_Rohdaten'!B2073:D2073,'02_Eingaben'!$C$13))</f>
        <v/>
      </c>
      <c r="D2073" s="27">
        <f>IF(C2073="","",C2073*'02_Eingaben'!$C$15)</f>
        <v/>
      </c>
      <c r="E2073" s="27">
        <f>IF(D2073="","",D2073*'02_Eingaben'!$C$8)</f>
        <v/>
      </c>
      <c r="F2073" s="27">
        <f>IF(E2073="","",AVERAGE(INDEX($E$2:$E$3001,MAX(1,ROW()-1-'02_Eingaben'!$C$17)):INDEX($E$2:$E$3001,MIN('02_Eingaben'!$C$21,ROW()-1+'02_Eingaben'!$C$17))))</f>
        <v/>
      </c>
      <c r="G2073" s="27">
        <f>IF(F2073="","",F2073-'02_Eingaben'!$C$10)</f>
        <v/>
      </c>
      <c r="H2073">
        <f>IF(F2073="","",IF(F2073&lt;'02_Eingaben'!$C$18*'02_Eingaben'!$C$10,1,0))</f>
        <v/>
      </c>
      <c r="I2073" s="27">
        <f>IF(OR(G2073="",G2074=""),"",(G2073+G2074)/2*(B2074-B2073))</f>
        <v/>
      </c>
      <c r="J2073" s="27">
        <f>IF(B2073="","",IF(B2072&lt;'02_Eingaben'!$C$36,0,J2072+I2072/'02_Eingaben'!$C$8))</f>
        <v/>
      </c>
    </row>
    <row r="2074">
      <c r="A2074">
        <f>IF('01_Rohdaten'!A2074="","",ROW()-1)</f>
        <v/>
      </c>
      <c r="B2074" s="27">
        <f>IF('01_Rohdaten'!A2074="","",'01_Rohdaten'!A2074)</f>
        <v/>
      </c>
      <c r="C2074" s="27">
        <f>IF(B2074="","",INDEX('01_Rohdaten'!B2074:D2074,'02_Eingaben'!$C$13))</f>
        <v/>
      </c>
      <c r="D2074" s="27">
        <f>IF(C2074="","",C2074*'02_Eingaben'!$C$15)</f>
        <v/>
      </c>
      <c r="E2074" s="27">
        <f>IF(D2074="","",D2074*'02_Eingaben'!$C$8)</f>
        <v/>
      </c>
      <c r="F2074" s="27">
        <f>IF(E2074="","",AVERAGE(INDEX($E$2:$E$3001,MAX(1,ROW()-1-'02_Eingaben'!$C$17)):INDEX($E$2:$E$3001,MIN('02_Eingaben'!$C$21,ROW()-1+'02_Eingaben'!$C$17))))</f>
        <v/>
      </c>
      <c r="G2074" s="27">
        <f>IF(F2074="","",F2074-'02_Eingaben'!$C$10)</f>
        <v/>
      </c>
      <c r="H2074">
        <f>IF(F2074="","",IF(F2074&lt;'02_Eingaben'!$C$18*'02_Eingaben'!$C$10,1,0))</f>
        <v/>
      </c>
      <c r="I2074" s="27">
        <f>IF(OR(G2074="",G2075=""),"",(G2074+G2075)/2*(B2075-B2074))</f>
        <v/>
      </c>
      <c r="J2074" s="27">
        <f>IF(B2074="","",IF(B2073&lt;'02_Eingaben'!$C$36,0,J2073+I2073/'02_Eingaben'!$C$8))</f>
        <v/>
      </c>
    </row>
    <row r="2075">
      <c r="A2075">
        <f>IF('01_Rohdaten'!A2075="","",ROW()-1)</f>
        <v/>
      </c>
      <c r="B2075" s="27">
        <f>IF('01_Rohdaten'!A2075="","",'01_Rohdaten'!A2075)</f>
        <v/>
      </c>
      <c r="C2075" s="27">
        <f>IF(B2075="","",INDEX('01_Rohdaten'!B2075:D2075,'02_Eingaben'!$C$13))</f>
        <v/>
      </c>
      <c r="D2075" s="27">
        <f>IF(C2075="","",C2075*'02_Eingaben'!$C$15)</f>
        <v/>
      </c>
      <c r="E2075" s="27">
        <f>IF(D2075="","",D2075*'02_Eingaben'!$C$8)</f>
        <v/>
      </c>
      <c r="F2075" s="27">
        <f>IF(E2075="","",AVERAGE(INDEX($E$2:$E$3001,MAX(1,ROW()-1-'02_Eingaben'!$C$17)):INDEX($E$2:$E$3001,MIN('02_Eingaben'!$C$21,ROW()-1+'02_Eingaben'!$C$17))))</f>
        <v/>
      </c>
      <c r="G2075" s="27">
        <f>IF(F2075="","",F2075-'02_Eingaben'!$C$10)</f>
        <v/>
      </c>
      <c r="H2075">
        <f>IF(F2075="","",IF(F2075&lt;'02_Eingaben'!$C$18*'02_Eingaben'!$C$10,1,0))</f>
        <v/>
      </c>
      <c r="I2075" s="27">
        <f>IF(OR(G2075="",G2076=""),"",(G2075+G2076)/2*(B2076-B2075))</f>
        <v/>
      </c>
      <c r="J2075" s="27">
        <f>IF(B2075="","",IF(B2074&lt;'02_Eingaben'!$C$36,0,J2074+I2074/'02_Eingaben'!$C$8))</f>
        <v/>
      </c>
    </row>
    <row r="2076">
      <c r="A2076">
        <f>IF('01_Rohdaten'!A2076="","",ROW()-1)</f>
        <v/>
      </c>
      <c r="B2076" s="27">
        <f>IF('01_Rohdaten'!A2076="","",'01_Rohdaten'!A2076)</f>
        <v/>
      </c>
      <c r="C2076" s="27">
        <f>IF(B2076="","",INDEX('01_Rohdaten'!B2076:D2076,'02_Eingaben'!$C$13))</f>
        <v/>
      </c>
      <c r="D2076" s="27">
        <f>IF(C2076="","",C2076*'02_Eingaben'!$C$15)</f>
        <v/>
      </c>
      <c r="E2076" s="27">
        <f>IF(D2076="","",D2076*'02_Eingaben'!$C$8)</f>
        <v/>
      </c>
      <c r="F2076" s="27">
        <f>IF(E2076="","",AVERAGE(INDEX($E$2:$E$3001,MAX(1,ROW()-1-'02_Eingaben'!$C$17)):INDEX($E$2:$E$3001,MIN('02_Eingaben'!$C$21,ROW()-1+'02_Eingaben'!$C$17))))</f>
        <v/>
      </c>
      <c r="G2076" s="27">
        <f>IF(F2076="","",F2076-'02_Eingaben'!$C$10)</f>
        <v/>
      </c>
      <c r="H2076">
        <f>IF(F2076="","",IF(F2076&lt;'02_Eingaben'!$C$18*'02_Eingaben'!$C$10,1,0))</f>
        <v/>
      </c>
      <c r="I2076" s="27">
        <f>IF(OR(G2076="",G2077=""),"",(G2076+G2077)/2*(B2077-B2076))</f>
        <v/>
      </c>
      <c r="J2076" s="27">
        <f>IF(B2076="","",IF(B2075&lt;'02_Eingaben'!$C$36,0,J2075+I2075/'02_Eingaben'!$C$8))</f>
        <v/>
      </c>
    </row>
    <row r="2077">
      <c r="A2077">
        <f>IF('01_Rohdaten'!A2077="","",ROW()-1)</f>
        <v/>
      </c>
      <c r="B2077" s="27">
        <f>IF('01_Rohdaten'!A2077="","",'01_Rohdaten'!A2077)</f>
        <v/>
      </c>
      <c r="C2077" s="27">
        <f>IF(B2077="","",INDEX('01_Rohdaten'!B2077:D2077,'02_Eingaben'!$C$13))</f>
        <v/>
      </c>
      <c r="D2077" s="27">
        <f>IF(C2077="","",C2077*'02_Eingaben'!$C$15)</f>
        <v/>
      </c>
      <c r="E2077" s="27">
        <f>IF(D2077="","",D2077*'02_Eingaben'!$C$8)</f>
        <v/>
      </c>
      <c r="F2077" s="27">
        <f>IF(E2077="","",AVERAGE(INDEX($E$2:$E$3001,MAX(1,ROW()-1-'02_Eingaben'!$C$17)):INDEX($E$2:$E$3001,MIN('02_Eingaben'!$C$21,ROW()-1+'02_Eingaben'!$C$17))))</f>
        <v/>
      </c>
      <c r="G2077" s="27">
        <f>IF(F2077="","",F2077-'02_Eingaben'!$C$10)</f>
        <v/>
      </c>
      <c r="H2077">
        <f>IF(F2077="","",IF(F2077&lt;'02_Eingaben'!$C$18*'02_Eingaben'!$C$10,1,0))</f>
        <v/>
      </c>
      <c r="I2077" s="27">
        <f>IF(OR(G2077="",G2078=""),"",(G2077+G2078)/2*(B2078-B2077))</f>
        <v/>
      </c>
      <c r="J2077" s="27">
        <f>IF(B2077="","",IF(B2076&lt;'02_Eingaben'!$C$36,0,J2076+I2076/'02_Eingaben'!$C$8))</f>
        <v/>
      </c>
    </row>
    <row r="2078">
      <c r="A2078">
        <f>IF('01_Rohdaten'!A2078="","",ROW()-1)</f>
        <v/>
      </c>
      <c r="B2078" s="27">
        <f>IF('01_Rohdaten'!A2078="","",'01_Rohdaten'!A2078)</f>
        <v/>
      </c>
      <c r="C2078" s="27">
        <f>IF(B2078="","",INDEX('01_Rohdaten'!B2078:D2078,'02_Eingaben'!$C$13))</f>
        <v/>
      </c>
      <c r="D2078" s="27">
        <f>IF(C2078="","",C2078*'02_Eingaben'!$C$15)</f>
        <v/>
      </c>
      <c r="E2078" s="27">
        <f>IF(D2078="","",D2078*'02_Eingaben'!$C$8)</f>
        <v/>
      </c>
      <c r="F2078" s="27">
        <f>IF(E2078="","",AVERAGE(INDEX($E$2:$E$3001,MAX(1,ROW()-1-'02_Eingaben'!$C$17)):INDEX($E$2:$E$3001,MIN('02_Eingaben'!$C$21,ROW()-1+'02_Eingaben'!$C$17))))</f>
        <v/>
      </c>
      <c r="G2078" s="27">
        <f>IF(F2078="","",F2078-'02_Eingaben'!$C$10)</f>
        <v/>
      </c>
      <c r="H2078">
        <f>IF(F2078="","",IF(F2078&lt;'02_Eingaben'!$C$18*'02_Eingaben'!$C$10,1,0))</f>
        <v/>
      </c>
      <c r="I2078" s="27">
        <f>IF(OR(G2078="",G2079=""),"",(G2078+G2079)/2*(B2079-B2078))</f>
        <v/>
      </c>
      <c r="J2078" s="27">
        <f>IF(B2078="","",IF(B2077&lt;'02_Eingaben'!$C$36,0,J2077+I2077/'02_Eingaben'!$C$8))</f>
        <v/>
      </c>
    </row>
    <row r="2079">
      <c r="A2079">
        <f>IF('01_Rohdaten'!A2079="","",ROW()-1)</f>
        <v/>
      </c>
      <c r="B2079" s="27">
        <f>IF('01_Rohdaten'!A2079="","",'01_Rohdaten'!A2079)</f>
        <v/>
      </c>
      <c r="C2079" s="27">
        <f>IF(B2079="","",INDEX('01_Rohdaten'!B2079:D2079,'02_Eingaben'!$C$13))</f>
        <v/>
      </c>
      <c r="D2079" s="27">
        <f>IF(C2079="","",C2079*'02_Eingaben'!$C$15)</f>
        <v/>
      </c>
      <c r="E2079" s="27">
        <f>IF(D2079="","",D2079*'02_Eingaben'!$C$8)</f>
        <v/>
      </c>
      <c r="F2079" s="27">
        <f>IF(E2079="","",AVERAGE(INDEX($E$2:$E$3001,MAX(1,ROW()-1-'02_Eingaben'!$C$17)):INDEX($E$2:$E$3001,MIN('02_Eingaben'!$C$21,ROW()-1+'02_Eingaben'!$C$17))))</f>
        <v/>
      </c>
      <c r="G2079" s="27">
        <f>IF(F2079="","",F2079-'02_Eingaben'!$C$10)</f>
        <v/>
      </c>
      <c r="H2079">
        <f>IF(F2079="","",IF(F2079&lt;'02_Eingaben'!$C$18*'02_Eingaben'!$C$10,1,0))</f>
        <v/>
      </c>
      <c r="I2079" s="27">
        <f>IF(OR(G2079="",G2080=""),"",(G2079+G2080)/2*(B2080-B2079))</f>
        <v/>
      </c>
      <c r="J2079" s="27">
        <f>IF(B2079="","",IF(B2078&lt;'02_Eingaben'!$C$36,0,J2078+I2078/'02_Eingaben'!$C$8))</f>
        <v/>
      </c>
    </row>
    <row r="2080">
      <c r="A2080">
        <f>IF('01_Rohdaten'!A2080="","",ROW()-1)</f>
        <v/>
      </c>
      <c r="B2080" s="27">
        <f>IF('01_Rohdaten'!A2080="","",'01_Rohdaten'!A2080)</f>
        <v/>
      </c>
      <c r="C2080" s="27">
        <f>IF(B2080="","",INDEX('01_Rohdaten'!B2080:D2080,'02_Eingaben'!$C$13))</f>
        <v/>
      </c>
      <c r="D2080" s="27">
        <f>IF(C2080="","",C2080*'02_Eingaben'!$C$15)</f>
        <v/>
      </c>
      <c r="E2080" s="27">
        <f>IF(D2080="","",D2080*'02_Eingaben'!$C$8)</f>
        <v/>
      </c>
      <c r="F2080" s="27">
        <f>IF(E2080="","",AVERAGE(INDEX($E$2:$E$3001,MAX(1,ROW()-1-'02_Eingaben'!$C$17)):INDEX($E$2:$E$3001,MIN('02_Eingaben'!$C$21,ROW()-1+'02_Eingaben'!$C$17))))</f>
        <v/>
      </c>
      <c r="G2080" s="27">
        <f>IF(F2080="","",F2080-'02_Eingaben'!$C$10)</f>
        <v/>
      </c>
      <c r="H2080">
        <f>IF(F2080="","",IF(F2080&lt;'02_Eingaben'!$C$18*'02_Eingaben'!$C$10,1,0))</f>
        <v/>
      </c>
      <c r="I2080" s="27">
        <f>IF(OR(G2080="",G2081=""),"",(G2080+G2081)/2*(B2081-B2080))</f>
        <v/>
      </c>
      <c r="J2080" s="27">
        <f>IF(B2080="","",IF(B2079&lt;'02_Eingaben'!$C$36,0,J2079+I2079/'02_Eingaben'!$C$8))</f>
        <v/>
      </c>
    </row>
    <row r="2081">
      <c r="A2081">
        <f>IF('01_Rohdaten'!A2081="","",ROW()-1)</f>
        <v/>
      </c>
      <c r="B2081" s="27">
        <f>IF('01_Rohdaten'!A2081="","",'01_Rohdaten'!A2081)</f>
        <v/>
      </c>
      <c r="C2081" s="27">
        <f>IF(B2081="","",INDEX('01_Rohdaten'!B2081:D2081,'02_Eingaben'!$C$13))</f>
        <v/>
      </c>
      <c r="D2081" s="27">
        <f>IF(C2081="","",C2081*'02_Eingaben'!$C$15)</f>
        <v/>
      </c>
      <c r="E2081" s="27">
        <f>IF(D2081="","",D2081*'02_Eingaben'!$C$8)</f>
        <v/>
      </c>
      <c r="F2081" s="27">
        <f>IF(E2081="","",AVERAGE(INDEX($E$2:$E$3001,MAX(1,ROW()-1-'02_Eingaben'!$C$17)):INDEX($E$2:$E$3001,MIN('02_Eingaben'!$C$21,ROW()-1+'02_Eingaben'!$C$17))))</f>
        <v/>
      </c>
      <c r="G2081" s="27">
        <f>IF(F2081="","",F2081-'02_Eingaben'!$C$10)</f>
        <v/>
      </c>
      <c r="H2081">
        <f>IF(F2081="","",IF(F2081&lt;'02_Eingaben'!$C$18*'02_Eingaben'!$C$10,1,0))</f>
        <v/>
      </c>
      <c r="I2081" s="27">
        <f>IF(OR(G2081="",G2082=""),"",(G2081+G2082)/2*(B2082-B2081))</f>
        <v/>
      </c>
      <c r="J2081" s="27">
        <f>IF(B2081="","",IF(B2080&lt;'02_Eingaben'!$C$36,0,J2080+I2080/'02_Eingaben'!$C$8))</f>
        <v/>
      </c>
    </row>
    <row r="2082">
      <c r="A2082">
        <f>IF('01_Rohdaten'!A2082="","",ROW()-1)</f>
        <v/>
      </c>
      <c r="B2082" s="27">
        <f>IF('01_Rohdaten'!A2082="","",'01_Rohdaten'!A2082)</f>
        <v/>
      </c>
      <c r="C2082" s="27">
        <f>IF(B2082="","",INDEX('01_Rohdaten'!B2082:D2082,'02_Eingaben'!$C$13))</f>
        <v/>
      </c>
      <c r="D2082" s="27">
        <f>IF(C2082="","",C2082*'02_Eingaben'!$C$15)</f>
        <v/>
      </c>
      <c r="E2082" s="27">
        <f>IF(D2082="","",D2082*'02_Eingaben'!$C$8)</f>
        <v/>
      </c>
      <c r="F2082" s="27">
        <f>IF(E2082="","",AVERAGE(INDEX($E$2:$E$3001,MAX(1,ROW()-1-'02_Eingaben'!$C$17)):INDEX($E$2:$E$3001,MIN('02_Eingaben'!$C$21,ROW()-1+'02_Eingaben'!$C$17))))</f>
        <v/>
      </c>
      <c r="G2082" s="27">
        <f>IF(F2082="","",F2082-'02_Eingaben'!$C$10)</f>
        <v/>
      </c>
      <c r="H2082">
        <f>IF(F2082="","",IF(F2082&lt;'02_Eingaben'!$C$18*'02_Eingaben'!$C$10,1,0))</f>
        <v/>
      </c>
      <c r="I2082" s="27">
        <f>IF(OR(G2082="",G2083=""),"",(G2082+G2083)/2*(B2083-B2082))</f>
        <v/>
      </c>
      <c r="J2082" s="27">
        <f>IF(B2082="","",IF(B2081&lt;'02_Eingaben'!$C$36,0,J2081+I2081/'02_Eingaben'!$C$8))</f>
        <v/>
      </c>
    </row>
    <row r="2083">
      <c r="A2083">
        <f>IF('01_Rohdaten'!A2083="","",ROW()-1)</f>
        <v/>
      </c>
      <c r="B2083" s="27">
        <f>IF('01_Rohdaten'!A2083="","",'01_Rohdaten'!A2083)</f>
        <v/>
      </c>
      <c r="C2083" s="27">
        <f>IF(B2083="","",INDEX('01_Rohdaten'!B2083:D2083,'02_Eingaben'!$C$13))</f>
        <v/>
      </c>
      <c r="D2083" s="27">
        <f>IF(C2083="","",C2083*'02_Eingaben'!$C$15)</f>
        <v/>
      </c>
      <c r="E2083" s="27">
        <f>IF(D2083="","",D2083*'02_Eingaben'!$C$8)</f>
        <v/>
      </c>
      <c r="F2083" s="27">
        <f>IF(E2083="","",AVERAGE(INDEX($E$2:$E$3001,MAX(1,ROW()-1-'02_Eingaben'!$C$17)):INDEX($E$2:$E$3001,MIN('02_Eingaben'!$C$21,ROW()-1+'02_Eingaben'!$C$17))))</f>
        <v/>
      </c>
      <c r="G2083" s="27">
        <f>IF(F2083="","",F2083-'02_Eingaben'!$C$10)</f>
        <v/>
      </c>
      <c r="H2083">
        <f>IF(F2083="","",IF(F2083&lt;'02_Eingaben'!$C$18*'02_Eingaben'!$C$10,1,0))</f>
        <v/>
      </c>
      <c r="I2083" s="27">
        <f>IF(OR(G2083="",G2084=""),"",(G2083+G2084)/2*(B2084-B2083))</f>
        <v/>
      </c>
      <c r="J2083" s="27">
        <f>IF(B2083="","",IF(B2082&lt;'02_Eingaben'!$C$36,0,J2082+I2082/'02_Eingaben'!$C$8))</f>
        <v/>
      </c>
    </row>
    <row r="2084">
      <c r="A2084">
        <f>IF('01_Rohdaten'!A2084="","",ROW()-1)</f>
        <v/>
      </c>
      <c r="B2084" s="27">
        <f>IF('01_Rohdaten'!A2084="","",'01_Rohdaten'!A2084)</f>
        <v/>
      </c>
      <c r="C2084" s="27">
        <f>IF(B2084="","",INDEX('01_Rohdaten'!B2084:D2084,'02_Eingaben'!$C$13))</f>
        <v/>
      </c>
      <c r="D2084" s="27">
        <f>IF(C2084="","",C2084*'02_Eingaben'!$C$15)</f>
        <v/>
      </c>
      <c r="E2084" s="27">
        <f>IF(D2084="","",D2084*'02_Eingaben'!$C$8)</f>
        <v/>
      </c>
      <c r="F2084" s="27">
        <f>IF(E2084="","",AVERAGE(INDEX($E$2:$E$3001,MAX(1,ROW()-1-'02_Eingaben'!$C$17)):INDEX($E$2:$E$3001,MIN('02_Eingaben'!$C$21,ROW()-1+'02_Eingaben'!$C$17))))</f>
        <v/>
      </c>
      <c r="G2084" s="27">
        <f>IF(F2084="","",F2084-'02_Eingaben'!$C$10)</f>
        <v/>
      </c>
      <c r="H2084">
        <f>IF(F2084="","",IF(F2084&lt;'02_Eingaben'!$C$18*'02_Eingaben'!$C$10,1,0))</f>
        <v/>
      </c>
      <c r="I2084" s="27">
        <f>IF(OR(G2084="",G2085=""),"",(G2084+G2085)/2*(B2085-B2084))</f>
        <v/>
      </c>
      <c r="J2084" s="27">
        <f>IF(B2084="","",IF(B2083&lt;'02_Eingaben'!$C$36,0,J2083+I2083/'02_Eingaben'!$C$8))</f>
        <v/>
      </c>
    </row>
    <row r="2085">
      <c r="A2085">
        <f>IF('01_Rohdaten'!A2085="","",ROW()-1)</f>
        <v/>
      </c>
      <c r="B2085" s="27">
        <f>IF('01_Rohdaten'!A2085="","",'01_Rohdaten'!A2085)</f>
        <v/>
      </c>
      <c r="C2085" s="27">
        <f>IF(B2085="","",INDEX('01_Rohdaten'!B2085:D2085,'02_Eingaben'!$C$13))</f>
        <v/>
      </c>
      <c r="D2085" s="27">
        <f>IF(C2085="","",C2085*'02_Eingaben'!$C$15)</f>
        <v/>
      </c>
      <c r="E2085" s="27">
        <f>IF(D2085="","",D2085*'02_Eingaben'!$C$8)</f>
        <v/>
      </c>
      <c r="F2085" s="27">
        <f>IF(E2085="","",AVERAGE(INDEX($E$2:$E$3001,MAX(1,ROW()-1-'02_Eingaben'!$C$17)):INDEX($E$2:$E$3001,MIN('02_Eingaben'!$C$21,ROW()-1+'02_Eingaben'!$C$17))))</f>
        <v/>
      </c>
      <c r="G2085" s="27">
        <f>IF(F2085="","",F2085-'02_Eingaben'!$C$10)</f>
        <v/>
      </c>
      <c r="H2085">
        <f>IF(F2085="","",IF(F2085&lt;'02_Eingaben'!$C$18*'02_Eingaben'!$C$10,1,0))</f>
        <v/>
      </c>
      <c r="I2085" s="27">
        <f>IF(OR(G2085="",G2086=""),"",(G2085+G2086)/2*(B2086-B2085))</f>
        <v/>
      </c>
      <c r="J2085" s="27">
        <f>IF(B2085="","",IF(B2084&lt;'02_Eingaben'!$C$36,0,J2084+I2084/'02_Eingaben'!$C$8))</f>
        <v/>
      </c>
    </row>
    <row r="2086">
      <c r="A2086">
        <f>IF('01_Rohdaten'!A2086="","",ROW()-1)</f>
        <v/>
      </c>
      <c r="B2086" s="27">
        <f>IF('01_Rohdaten'!A2086="","",'01_Rohdaten'!A2086)</f>
        <v/>
      </c>
      <c r="C2086" s="27">
        <f>IF(B2086="","",INDEX('01_Rohdaten'!B2086:D2086,'02_Eingaben'!$C$13))</f>
        <v/>
      </c>
      <c r="D2086" s="27">
        <f>IF(C2086="","",C2086*'02_Eingaben'!$C$15)</f>
        <v/>
      </c>
      <c r="E2086" s="27">
        <f>IF(D2086="","",D2086*'02_Eingaben'!$C$8)</f>
        <v/>
      </c>
      <c r="F2086" s="27">
        <f>IF(E2086="","",AVERAGE(INDEX($E$2:$E$3001,MAX(1,ROW()-1-'02_Eingaben'!$C$17)):INDEX($E$2:$E$3001,MIN('02_Eingaben'!$C$21,ROW()-1+'02_Eingaben'!$C$17))))</f>
        <v/>
      </c>
      <c r="G2086" s="27">
        <f>IF(F2086="","",F2086-'02_Eingaben'!$C$10)</f>
        <v/>
      </c>
      <c r="H2086">
        <f>IF(F2086="","",IF(F2086&lt;'02_Eingaben'!$C$18*'02_Eingaben'!$C$10,1,0))</f>
        <v/>
      </c>
      <c r="I2086" s="27">
        <f>IF(OR(G2086="",G2087=""),"",(G2086+G2087)/2*(B2087-B2086))</f>
        <v/>
      </c>
      <c r="J2086" s="27">
        <f>IF(B2086="","",IF(B2085&lt;'02_Eingaben'!$C$36,0,J2085+I2085/'02_Eingaben'!$C$8))</f>
        <v/>
      </c>
    </row>
    <row r="2087">
      <c r="A2087">
        <f>IF('01_Rohdaten'!A2087="","",ROW()-1)</f>
        <v/>
      </c>
      <c r="B2087" s="27">
        <f>IF('01_Rohdaten'!A2087="","",'01_Rohdaten'!A2087)</f>
        <v/>
      </c>
      <c r="C2087" s="27">
        <f>IF(B2087="","",INDEX('01_Rohdaten'!B2087:D2087,'02_Eingaben'!$C$13))</f>
        <v/>
      </c>
      <c r="D2087" s="27">
        <f>IF(C2087="","",C2087*'02_Eingaben'!$C$15)</f>
        <v/>
      </c>
      <c r="E2087" s="27">
        <f>IF(D2087="","",D2087*'02_Eingaben'!$C$8)</f>
        <v/>
      </c>
      <c r="F2087" s="27">
        <f>IF(E2087="","",AVERAGE(INDEX($E$2:$E$3001,MAX(1,ROW()-1-'02_Eingaben'!$C$17)):INDEX($E$2:$E$3001,MIN('02_Eingaben'!$C$21,ROW()-1+'02_Eingaben'!$C$17))))</f>
        <v/>
      </c>
      <c r="G2087" s="27">
        <f>IF(F2087="","",F2087-'02_Eingaben'!$C$10)</f>
        <v/>
      </c>
      <c r="H2087">
        <f>IF(F2087="","",IF(F2087&lt;'02_Eingaben'!$C$18*'02_Eingaben'!$C$10,1,0))</f>
        <v/>
      </c>
      <c r="I2087" s="27">
        <f>IF(OR(G2087="",G2088=""),"",(G2087+G2088)/2*(B2088-B2087))</f>
        <v/>
      </c>
      <c r="J2087" s="27">
        <f>IF(B2087="","",IF(B2086&lt;'02_Eingaben'!$C$36,0,J2086+I2086/'02_Eingaben'!$C$8))</f>
        <v/>
      </c>
    </row>
    <row r="2088">
      <c r="A2088">
        <f>IF('01_Rohdaten'!A2088="","",ROW()-1)</f>
        <v/>
      </c>
      <c r="B2088" s="27">
        <f>IF('01_Rohdaten'!A2088="","",'01_Rohdaten'!A2088)</f>
        <v/>
      </c>
      <c r="C2088" s="27">
        <f>IF(B2088="","",INDEX('01_Rohdaten'!B2088:D2088,'02_Eingaben'!$C$13))</f>
        <v/>
      </c>
      <c r="D2088" s="27">
        <f>IF(C2088="","",C2088*'02_Eingaben'!$C$15)</f>
        <v/>
      </c>
      <c r="E2088" s="27">
        <f>IF(D2088="","",D2088*'02_Eingaben'!$C$8)</f>
        <v/>
      </c>
      <c r="F2088" s="27">
        <f>IF(E2088="","",AVERAGE(INDEX($E$2:$E$3001,MAX(1,ROW()-1-'02_Eingaben'!$C$17)):INDEX($E$2:$E$3001,MIN('02_Eingaben'!$C$21,ROW()-1+'02_Eingaben'!$C$17))))</f>
        <v/>
      </c>
      <c r="G2088" s="27">
        <f>IF(F2088="","",F2088-'02_Eingaben'!$C$10)</f>
        <v/>
      </c>
      <c r="H2088">
        <f>IF(F2088="","",IF(F2088&lt;'02_Eingaben'!$C$18*'02_Eingaben'!$C$10,1,0))</f>
        <v/>
      </c>
      <c r="I2088" s="27">
        <f>IF(OR(G2088="",G2089=""),"",(G2088+G2089)/2*(B2089-B2088))</f>
        <v/>
      </c>
      <c r="J2088" s="27">
        <f>IF(B2088="","",IF(B2087&lt;'02_Eingaben'!$C$36,0,J2087+I2087/'02_Eingaben'!$C$8))</f>
        <v/>
      </c>
    </row>
    <row r="2089">
      <c r="A2089">
        <f>IF('01_Rohdaten'!A2089="","",ROW()-1)</f>
        <v/>
      </c>
      <c r="B2089" s="27">
        <f>IF('01_Rohdaten'!A2089="","",'01_Rohdaten'!A2089)</f>
        <v/>
      </c>
      <c r="C2089" s="27">
        <f>IF(B2089="","",INDEX('01_Rohdaten'!B2089:D2089,'02_Eingaben'!$C$13))</f>
        <v/>
      </c>
      <c r="D2089" s="27">
        <f>IF(C2089="","",C2089*'02_Eingaben'!$C$15)</f>
        <v/>
      </c>
      <c r="E2089" s="27">
        <f>IF(D2089="","",D2089*'02_Eingaben'!$C$8)</f>
        <v/>
      </c>
      <c r="F2089" s="27">
        <f>IF(E2089="","",AVERAGE(INDEX($E$2:$E$3001,MAX(1,ROW()-1-'02_Eingaben'!$C$17)):INDEX($E$2:$E$3001,MIN('02_Eingaben'!$C$21,ROW()-1+'02_Eingaben'!$C$17))))</f>
        <v/>
      </c>
      <c r="G2089" s="27">
        <f>IF(F2089="","",F2089-'02_Eingaben'!$C$10)</f>
        <v/>
      </c>
      <c r="H2089">
        <f>IF(F2089="","",IF(F2089&lt;'02_Eingaben'!$C$18*'02_Eingaben'!$C$10,1,0))</f>
        <v/>
      </c>
      <c r="I2089" s="27">
        <f>IF(OR(G2089="",G2090=""),"",(G2089+G2090)/2*(B2090-B2089))</f>
        <v/>
      </c>
      <c r="J2089" s="27">
        <f>IF(B2089="","",IF(B2088&lt;'02_Eingaben'!$C$36,0,J2088+I2088/'02_Eingaben'!$C$8))</f>
        <v/>
      </c>
    </row>
    <row r="2090">
      <c r="A2090">
        <f>IF('01_Rohdaten'!A2090="","",ROW()-1)</f>
        <v/>
      </c>
      <c r="B2090" s="27">
        <f>IF('01_Rohdaten'!A2090="","",'01_Rohdaten'!A2090)</f>
        <v/>
      </c>
      <c r="C2090" s="27">
        <f>IF(B2090="","",INDEX('01_Rohdaten'!B2090:D2090,'02_Eingaben'!$C$13))</f>
        <v/>
      </c>
      <c r="D2090" s="27">
        <f>IF(C2090="","",C2090*'02_Eingaben'!$C$15)</f>
        <v/>
      </c>
      <c r="E2090" s="27">
        <f>IF(D2090="","",D2090*'02_Eingaben'!$C$8)</f>
        <v/>
      </c>
      <c r="F2090" s="27">
        <f>IF(E2090="","",AVERAGE(INDEX($E$2:$E$3001,MAX(1,ROW()-1-'02_Eingaben'!$C$17)):INDEX($E$2:$E$3001,MIN('02_Eingaben'!$C$21,ROW()-1+'02_Eingaben'!$C$17))))</f>
        <v/>
      </c>
      <c r="G2090" s="27">
        <f>IF(F2090="","",F2090-'02_Eingaben'!$C$10)</f>
        <v/>
      </c>
      <c r="H2090">
        <f>IF(F2090="","",IF(F2090&lt;'02_Eingaben'!$C$18*'02_Eingaben'!$C$10,1,0))</f>
        <v/>
      </c>
      <c r="I2090" s="27">
        <f>IF(OR(G2090="",G2091=""),"",(G2090+G2091)/2*(B2091-B2090))</f>
        <v/>
      </c>
      <c r="J2090" s="27">
        <f>IF(B2090="","",IF(B2089&lt;'02_Eingaben'!$C$36,0,J2089+I2089/'02_Eingaben'!$C$8))</f>
        <v/>
      </c>
    </row>
    <row r="2091">
      <c r="A2091">
        <f>IF('01_Rohdaten'!A2091="","",ROW()-1)</f>
        <v/>
      </c>
      <c r="B2091" s="27">
        <f>IF('01_Rohdaten'!A2091="","",'01_Rohdaten'!A2091)</f>
        <v/>
      </c>
      <c r="C2091" s="27">
        <f>IF(B2091="","",INDEX('01_Rohdaten'!B2091:D2091,'02_Eingaben'!$C$13))</f>
        <v/>
      </c>
      <c r="D2091" s="27">
        <f>IF(C2091="","",C2091*'02_Eingaben'!$C$15)</f>
        <v/>
      </c>
      <c r="E2091" s="27">
        <f>IF(D2091="","",D2091*'02_Eingaben'!$C$8)</f>
        <v/>
      </c>
      <c r="F2091" s="27">
        <f>IF(E2091="","",AVERAGE(INDEX($E$2:$E$3001,MAX(1,ROW()-1-'02_Eingaben'!$C$17)):INDEX($E$2:$E$3001,MIN('02_Eingaben'!$C$21,ROW()-1+'02_Eingaben'!$C$17))))</f>
        <v/>
      </c>
      <c r="G2091" s="27">
        <f>IF(F2091="","",F2091-'02_Eingaben'!$C$10)</f>
        <v/>
      </c>
      <c r="H2091">
        <f>IF(F2091="","",IF(F2091&lt;'02_Eingaben'!$C$18*'02_Eingaben'!$C$10,1,0))</f>
        <v/>
      </c>
      <c r="I2091" s="27">
        <f>IF(OR(G2091="",G2092=""),"",(G2091+G2092)/2*(B2092-B2091))</f>
        <v/>
      </c>
      <c r="J2091" s="27">
        <f>IF(B2091="","",IF(B2090&lt;'02_Eingaben'!$C$36,0,J2090+I2090/'02_Eingaben'!$C$8))</f>
        <v/>
      </c>
    </row>
    <row r="2092">
      <c r="A2092">
        <f>IF('01_Rohdaten'!A2092="","",ROW()-1)</f>
        <v/>
      </c>
      <c r="B2092" s="27">
        <f>IF('01_Rohdaten'!A2092="","",'01_Rohdaten'!A2092)</f>
        <v/>
      </c>
      <c r="C2092" s="27">
        <f>IF(B2092="","",INDEX('01_Rohdaten'!B2092:D2092,'02_Eingaben'!$C$13))</f>
        <v/>
      </c>
      <c r="D2092" s="27">
        <f>IF(C2092="","",C2092*'02_Eingaben'!$C$15)</f>
        <v/>
      </c>
      <c r="E2092" s="27">
        <f>IF(D2092="","",D2092*'02_Eingaben'!$C$8)</f>
        <v/>
      </c>
      <c r="F2092" s="27">
        <f>IF(E2092="","",AVERAGE(INDEX($E$2:$E$3001,MAX(1,ROW()-1-'02_Eingaben'!$C$17)):INDEX($E$2:$E$3001,MIN('02_Eingaben'!$C$21,ROW()-1+'02_Eingaben'!$C$17))))</f>
        <v/>
      </c>
      <c r="G2092" s="27">
        <f>IF(F2092="","",F2092-'02_Eingaben'!$C$10)</f>
        <v/>
      </c>
      <c r="H2092">
        <f>IF(F2092="","",IF(F2092&lt;'02_Eingaben'!$C$18*'02_Eingaben'!$C$10,1,0))</f>
        <v/>
      </c>
      <c r="I2092" s="27">
        <f>IF(OR(G2092="",G2093=""),"",(G2092+G2093)/2*(B2093-B2092))</f>
        <v/>
      </c>
      <c r="J2092" s="27">
        <f>IF(B2092="","",IF(B2091&lt;'02_Eingaben'!$C$36,0,J2091+I2091/'02_Eingaben'!$C$8))</f>
        <v/>
      </c>
    </row>
    <row r="2093">
      <c r="A2093">
        <f>IF('01_Rohdaten'!A2093="","",ROW()-1)</f>
        <v/>
      </c>
      <c r="B2093" s="27">
        <f>IF('01_Rohdaten'!A2093="","",'01_Rohdaten'!A2093)</f>
        <v/>
      </c>
      <c r="C2093" s="27">
        <f>IF(B2093="","",INDEX('01_Rohdaten'!B2093:D2093,'02_Eingaben'!$C$13))</f>
        <v/>
      </c>
      <c r="D2093" s="27">
        <f>IF(C2093="","",C2093*'02_Eingaben'!$C$15)</f>
        <v/>
      </c>
      <c r="E2093" s="27">
        <f>IF(D2093="","",D2093*'02_Eingaben'!$C$8)</f>
        <v/>
      </c>
      <c r="F2093" s="27">
        <f>IF(E2093="","",AVERAGE(INDEX($E$2:$E$3001,MAX(1,ROW()-1-'02_Eingaben'!$C$17)):INDEX($E$2:$E$3001,MIN('02_Eingaben'!$C$21,ROW()-1+'02_Eingaben'!$C$17))))</f>
        <v/>
      </c>
      <c r="G2093" s="27">
        <f>IF(F2093="","",F2093-'02_Eingaben'!$C$10)</f>
        <v/>
      </c>
      <c r="H2093">
        <f>IF(F2093="","",IF(F2093&lt;'02_Eingaben'!$C$18*'02_Eingaben'!$C$10,1,0))</f>
        <v/>
      </c>
      <c r="I2093" s="27">
        <f>IF(OR(G2093="",G2094=""),"",(G2093+G2094)/2*(B2094-B2093))</f>
        <v/>
      </c>
      <c r="J2093" s="27">
        <f>IF(B2093="","",IF(B2092&lt;'02_Eingaben'!$C$36,0,J2092+I2092/'02_Eingaben'!$C$8))</f>
        <v/>
      </c>
    </row>
    <row r="2094">
      <c r="A2094">
        <f>IF('01_Rohdaten'!A2094="","",ROW()-1)</f>
        <v/>
      </c>
      <c r="B2094" s="27">
        <f>IF('01_Rohdaten'!A2094="","",'01_Rohdaten'!A2094)</f>
        <v/>
      </c>
      <c r="C2094" s="27">
        <f>IF(B2094="","",INDEX('01_Rohdaten'!B2094:D2094,'02_Eingaben'!$C$13))</f>
        <v/>
      </c>
      <c r="D2094" s="27">
        <f>IF(C2094="","",C2094*'02_Eingaben'!$C$15)</f>
        <v/>
      </c>
      <c r="E2094" s="27">
        <f>IF(D2094="","",D2094*'02_Eingaben'!$C$8)</f>
        <v/>
      </c>
      <c r="F2094" s="27">
        <f>IF(E2094="","",AVERAGE(INDEX($E$2:$E$3001,MAX(1,ROW()-1-'02_Eingaben'!$C$17)):INDEX($E$2:$E$3001,MIN('02_Eingaben'!$C$21,ROW()-1+'02_Eingaben'!$C$17))))</f>
        <v/>
      </c>
      <c r="G2094" s="27">
        <f>IF(F2094="","",F2094-'02_Eingaben'!$C$10)</f>
        <v/>
      </c>
      <c r="H2094">
        <f>IF(F2094="","",IF(F2094&lt;'02_Eingaben'!$C$18*'02_Eingaben'!$C$10,1,0))</f>
        <v/>
      </c>
      <c r="I2094" s="27">
        <f>IF(OR(G2094="",G2095=""),"",(G2094+G2095)/2*(B2095-B2094))</f>
        <v/>
      </c>
      <c r="J2094" s="27">
        <f>IF(B2094="","",IF(B2093&lt;'02_Eingaben'!$C$36,0,J2093+I2093/'02_Eingaben'!$C$8))</f>
        <v/>
      </c>
    </row>
    <row r="2095">
      <c r="A2095">
        <f>IF('01_Rohdaten'!A2095="","",ROW()-1)</f>
        <v/>
      </c>
      <c r="B2095" s="27">
        <f>IF('01_Rohdaten'!A2095="","",'01_Rohdaten'!A2095)</f>
        <v/>
      </c>
      <c r="C2095" s="27">
        <f>IF(B2095="","",INDEX('01_Rohdaten'!B2095:D2095,'02_Eingaben'!$C$13))</f>
        <v/>
      </c>
      <c r="D2095" s="27">
        <f>IF(C2095="","",C2095*'02_Eingaben'!$C$15)</f>
        <v/>
      </c>
      <c r="E2095" s="27">
        <f>IF(D2095="","",D2095*'02_Eingaben'!$C$8)</f>
        <v/>
      </c>
      <c r="F2095" s="27">
        <f>IF(E2095="","",AVERAGE(INDEX($E$2:$E$3001,MAX(1,ROW()-1-'02_Eingaben'!$C$17)):INDEX($E$2:$E$3001,MIN('02_Eingaben'!$C$21,ROW()-1+'02_Eingaben'!$C$17))))</f>
        <v/>
      </c>
      <c r="G2095" s="27">
        <f>IF(F2095="","",F2095-'02_Eingaben'!$C$10)</f>
        <v/>
      </c>
      <c r="H2095">
        <f>IF(F2095="","",IF(F2095&lt;'02_Eingaben'!$C$18*'02_Eingaben'!$C$10,1,0))</f>
        <v/>
      </c>
      <c r="I2095" s="27">
        <f>IF(OR(G2095="",G2096=""),"",(G2095+G2096)/2*(B2096-B2095))</f>
        <v/>
      </c>
      <c r="J2095" s="27">
        <f>IF(B2095="","",IF(B2094&lt;'02_Eingaben'!$C$36,0,J2094+I2094/'02_Eingaben'!$C$8))</f>
        <v/>
      </c>
    </row>
    <row r="2096">
      <c r="A2096">
        <f>IF('01_Rohdaten'!A2096="","",ROW()-1)</f>
        <v/>
      </c>
      <c r="B2096" s="27">
        <f>IF('01_Rohdaten'!A2096="","",'01_Rohdaten'!A2096)</f>
        <v/>
      </c>
      <c r="C2096" s="27">
        <f>IF(B2096="","",INDEX('01_Rohdaten'!B2096:D2096,'02_Eingaben'!$C$13))</f>
        <v/>
      </c>
      <c r="D2096" s="27">
        <f>IF(C2096="","",C2096*'02_Eingaben'!$C$15)</f>
        <v/>
      </c>
      <c r="E2096" s="27">
        <f>IF(D2096="","",D2096*'02_Eingaben'!$C$8)</f>
        <v/>
      </c>
      <c r="F2096" s="27">
        <f>IF(E2096="","",AVERAGE(INDEX($E$2:$E$3001,MAX(1,ROW()-1-'02_Eingaben'!$C$17)):INDEX($E$2:$E$3001,MIN('02_Eingaben'!$C$21,ROW()-1+'02_Eingaben'!$C$17))))</f>
        <v/>
      </c>
      <c r="G2096" s="27">
        <f>IF(F2096="","",F2096-'02_Eingaben'!$C$10)</f>
        <v/>
      </c>
      <c r="H2096">
        <f>IF(F2096="","",IF(F2096&lt;'02_Eingaben'!$C$18*'02_Eingaben'!$C$10,1,0))</f>
        <v/>
      </c>
      <c r="I2096" s="27">
        <f>IF(OR(G2096="",G2097=""),"",(G2096+G2097)/2*(B2097-B2096))</f>
        <v/>
      </c>
      <c r="J2096" s="27">
        <f>IF(B2096="","",IF(B2095&lt;'02_Eingaben'!$C$36,0,J2095+I2095/'02_Eingaben'!$C$8))</f>
        <v/>
      </c>
    </row>
    <row r="2097">
      <c r="A2097">
        <f>IF('01_Rohdaten'!A2097="","",ROW()-1)</f>
        <v/>
      </c>
      <c r="B2097" s="27">
        <f>IF('01_Rohdaten'!A2097="","",'01_Rohdaten'!A2097)</f>
        <v/>
      </c>
      <c r="C2097" s="27">
        <f>IF(B2097="","",INDEX('01_Rohdaten'!B2097:D2097,'02_Eingaben'!$C$13))</f>
        <v/>
      </c>
      <c r="D2097" s="27">
        <f>IF(C2097="","",C2097*'02_Eingaben'!$C$15)</f>
        <v/>
      </c>
      <c r="E2097" s="27">
        <f>IF(D2097="","",D2097*'02_Eingaben'!$C$8)</f>
        <v/>
      </c>
      <c r="F2097" s="27">
        <f>IF(E2097="","",AVERAGE(INDEX($E$2:$E$3001,MAX(1,ROW()-1-'02_Eingaben'!$C$17)):INDEX($E$2:$E$3001,MIN('02_Eingaben'!$C$21,ROW()-1+'02_Eingaben'!$C$17))))</f>
        <v/>
      </c>
      <c r="G2097" s="27">
        <f>IF(F2097="","",F2097-'02_Eingaben'!$C$10)</f>
        <v/>
      </c>
      <c r="H2097">
        <f>IF(F2097="","",IF(F2097&lt;'02_Eingaben'!$C$18*'02_Eingaben'!$C$10,1,0))</f>
        <v/>
      </c>
      <c r="I2097" s="27">
        <f>IF(OR(G2097="",G2098=""),"",(G2097+G2098)/2*(B2098-B2097))</f>
        <v/>
      </c>
      <c r="J2097" s="27">
        <f>IF(B2097="","",IF(B2096&lt;'02_Eingaben'!$C$36,0,J2096+I2096/'02_Eingaben'!$C$8))</f>
        <v/>
      </c>
    </row>
    <row r="2098">
      <c r="A2098">
        <f>IF('01_Rohdaten'!A2098="","",ROW()-1)</f>
        <v/>
      </c>
      <c r="B2098" s="27">
        <f>IF('01_Rohdaten'!A2098="","",'01_Rohdaten'!A2098)</f>
        <v/>
      </c>
      <c r="C2098" s="27">
        <f>IF(B2098="","",INDEX('01_Rohdaten'!B2098:D2098,'02_Eingaben'!$C$13))</f>
        <v/>
      </c>
      <c r="D2098" s="27">
        <f>IF(C2098="","",C2098*'02_Eingaben'!$C$15)</f>
        <v/>
      </c>
      <c r="E2098" s="27">
        <f>IF(D2098="","",D2098*'02_Eingaben'!$C$8)</f>
        <v/>
      </c>
      <c r="F2098" s="27">
        <f>IF(E2098="","",AVERAGE(INDEX($E$2:$E$3001,MAX(1,ROW()-1-'02_Eingaben'!$C$17)):INDEX($E$2:$E$3001,MIN('02_Eingaben'!$C$21,ROW()-1+'02_Eingaben'!$C$17))))</f>
        <v/>
      </c>
      <c r="G2098" s="27">
        <f>IF(F2098="","",F2098-'02_Eingaben'!$C$10)</f>
        <v/>
      </c>
      <c r="H2098">
        <f>IF(F2098="","",IF(F2098&lt;'02_Eingaben'!$C$18*'02_Eingaben'!$C$10,1,0))</f>
        <v/>
      </c>
      <c r="I2098" s="27">
        <f>IF(OR(G2098="",G2099=""),"",(G2098+G2099)/2*(B2099-B2098))</f>
        <v/>
      </c>
      <c r="J2098" s="27">
        <f>IF(B2098="","",IF(B2097&lt;'02_Eingaben'!$C$36,0,J2097+I2097/'02_Eingaben'!$C$8))</f>
        <v/>
      </c>
    </row>
    <row r="2099">
      <c r="A2099">
        <f>IF('01_Rohdaten'!A2099="","",ROW()-1)</f>
        <v/>
      </c>
      <c r="B2099" s="27">
        <f>IF('01_Rohdaten'!A2099="","",'01_Rohdaten'!A2099)</f>
        <v/>
      </c>
      <c r="C2099" s="27">
        <f>IF(B2099="","",INDEX('01_Rohdaten'!B2099:D2099,'02_Eingaben'!$C$13))</f>
        <v/>
      </c>
      <c r="D2099" s="27">
        <f>IF(C2099="","",C2099*'02_Eingaben'!$C$15)</f>
        <v/>
      </c>
      <c r="E2099" s="27">
        <f>IF(D2099="","",D2099*'02_Eingaben'!$C$8)</f>
        <v/>
      </c>
      <c r="F2099" s="27">
        <f>IF(E2099="","",AVERAGE(INDEX($E$2:$E$3001,MAX(1,ROW()-1-'02_Eingaben'!$C$17)):INDEX($E$2:$E$3001,MIN('02_Eingaben'!$C$21,ROW()-1+'02_Eingaben'!$C$17))))</f>
        <v/>
      </c>
      <c r="G2099" s="27">
        <f>IF(F2099="","",F2099-'02_Eingaben'!$C$10)</f>
        <v/>
      </c>
      <c r="H2099">
        <f>IF(F2099="","",IF(F2099&lt;'02_Eingaben'!$C$18*'02_Eingaben'!$C$10,1,0))</f>
        <v/>
      </c>
      <c r="I2099" s="27">
        <f>IF(OR(G2099="",G2100=""),"",(G2099+G2100)/2*(B2100-B2099))</f>
        <v/>
      </c>
      <c r="J2099" s="27">
        <f>IF(B2099="","",IF(B2098&lt;'02_Eingaben'!$C$36,0,J2098+I2098/'02_Eingaben'!$C$8))</f>
        <v/>
      </c>
    </row>
    <row r="2100">
      <c r="A2100">
        <f>IF('01_Rohdaten'!A2100="","",ROW()-1)</f>
        <v/>
      </c>
      <c r="B2100" s="27">
        <f>IF('01_Rohdaten'!A2100="","",'01_Rohdaten'!A2100)</f>
        <v/>
      </c>
      <c r="C2100" s="27">
        <f>IF(B2100="","",INDEX('01_Rohdaten'!B2100:D2100,'02_Eingaben'!$C$13))</f>
        <v/>
      </c>
      <c r="D2100" s="27">
        <f>IF(C2100="","",C2100*'02_Eingaben'!$C$15)</f>
        <v/>
      </c>
      <c r="E2100" s="27">
        <f>IF(D2100="","",D2100*'02_Eingaben'!$C$8)</f>
        <v/>
      </c>
      <c r="F2100" s="27">
        <f>IF(E2100="","",AVERAGE(INDEX($E$2:$E$3001,MAX(1,ROW()-1-'02_Eingaben'!$C$17)):INDEX($E$2:$E$3001,MIN('02_Eingaben'!$C$21,ROW()-1+'02_Eingaben'!$C$17))))</f>
        <v/>
      </c>
      <c r="G2100" s="27">
        <f>IF(F2100="","",F2100-'02_Eingaben'!$C$10)</f>
        <v/>
      </c>
      <c r="H2100">
        <f>IF(F2100="","",IF(F2100&lt;'02_Eingaben'!$C$18*'02_Eingaben'!$C$10,1,0))</f>
        <v/>
      </c>
      <c r="I2100" s="27">
        <f>IF(OR(G2100="",G2101=""),"",(G2100+G2101)/2*(B2101-B2100))</f>
        <v/>
      </c>
      <c r="J2100" s="27">
        <f>IF(B2100="","",IF(B2099&lt;'02_Eingaben'!$C$36,0,J2099+I2099/'02_Eingaben'!$C$8))</f>
        <v/>
      </c>
    </row>
    <row r="2101">
      <c r="A2101">
        <f>IF('01_Rohdaten'!A2101="","",ROW()-1)</f>
        <v/>
      </c>
      <c r="B2101" s="27">
        <f>IF('01_Rohdaten'!A2101="","",'01_Rohdaten'!A2101)</f>
        <v/>
      </c>
      <c r="C2101" s="27">
        <f>IF(B2101="","",INDEX('01_Rohdaten'!B2101:D2101,'02_Eingaben'!$C$13))</f>
        <v/>
      </c>
      <c r="D2101" s="27">
        <f>IF(C2101="","",C2101*'02_Eingaben'!$C$15)</f>
        <v/>
      </c>
      <c r="E2101" s="27">
        <f>IF(D2101="","",D2101*'02_Eingaben'!$C$8)</f>
        <v/>
      </c>
      <c r="F2101" s="27">
        <f>IF(E2101="","",AVERAGE(INDEX($E$2:$E$3001,MAX(1,ROW()-1-'02_Eingaben'!$C$17)):INDEX($E$2:$E$3001,MIN('02_Eingaben'!$C$21,ROW()-1+'02_Eingaben'!$C$17))))</f>
        <v/>
      </c>
      <c r="G2101" s="27">
        <f>IF(F2101="","",F2101-'02_Eingaben'!$C$10)</f>
        <v/>
      </c>
      <c r="H2101">
        <f>IF(F2101="","",IF(F2101&lt;'02_Eingaben'!$C$18*'02_Eingaben'!$C$10,1,0))</f>
        <v/>
      </c>
      <c r="I2101" s="27">
        <f>IF(OR(G2101="",G2102=""),"",(G2101+G2102)/2*(B2102-B2101))</f>
        <v/>
      </c>
      <c r="J2101" s="27">
        <f>IF(B2101="","",IF(B2100&lt;'02_Eingaben'!$C$36,0,J2100+I2100/'02_Eingaben'!$C$8))</f>
        <v/>
      </c>
    </row>
    <row r="2102">
      <c r="A2102">
        <f>IF('01_Rohdaten'!A2102="","",ROW()-1)</f>
        <v/>
      </c>
      <c r="B2102" s="27">
        <f>IF('01_Rohdaten'!A2102="","",'01_Rohdaten'!A2102)</f>
        <v/>
      </c>
      <c r="C2102" s="27">
        <f>IF(B2102="","",INDEX('01_Rohdaten'!B2102:D2102,'02_Eingaben'!$C$13))</f>
        <v/>
      </c>
      <c r="D2102" s="27">
        <f>IF(C2102="","",C2102*'02_Eingaben'!$C$15)</f>
        <v/>
      </c>
      <c r="E2102" s="27">
        <f>IF(D2102="","",D2102*'02_Eingaben'!$C$8)</f>
        <v/>
      </c>
      <c r="F2102" s="27">
        <f>IF(E2102="","",AVERAGE(INDEX($E$2:$E$3001,MAX(1,ROW()-1-'02_Eingaben'!$C$17)):INDEX($E$2:$E$3001,MIN('02_Eingaben'!$C$21,ROW()-1+'02_Eingaben'!$C$17))))</f>
        <v/>
      </c>
      <c r="G2102" s="27">
        <f>IF(F2102="","",F2102-'02_Eingaben'!$C$10)</f>
        <v/>
      </c>
      <c r="H2102">
        <f>IF(F2102="","",IF(F2102&lt;'02_Eingaben'!$C$18*'02_Eingaben'!$C$10,1,0))</f>
        <v/>
      </c>
      <c r="I2102" s="27">
        <f>IF(OR(G2102="",G2103=""),"",(G2102+G2103)/2*(B2103-B2102))</f>
        <v/>
      </c>
      <c r="J2102" s="27">
        <f>IF(B2102="","",IF(B2101&lt;'02_Eingaben'!$C$36,0,J2101+I2101/'02_Eingaben'!$C$8))</f>
        <v/>
      </c>
    </row>
    <row r="2103">
      <c r="A2103">
        <f>IF('01_Rohdaten'!A2103="","",ROW()-1)</f>
        <v/>
      </c>
      <c r="B2103" s="27">
        <f>IF('01_Rohdaten'!A2103="","",'01_Rohdaten'!A2103)</f>
        <v/>
      </c>
      <c r="C2103" s="27">
        <f>IF(B2103="","",INDEX('01_Rohdaten'!B2103:D2103,'02_Eingaben'!$C$13))</f>
        <v/>
      </c>
      <c r="D2103" s="27">
        <f>IF(C2103="","",C2103*'02_Eingaben'!$C$15)</f>
        <v/>
      </c>
      <c r="E2103" s="27">
        <f>IF(D2103="","",D2103*'02_Eingaben'!$C$8)</f>
        <v/>
      </c>
      <c r="F2103" s="27">
        <f>IF(E2103="","",AVERAGE(INDEX($E$2:$E$3001,MAX(1,ROW()-1-'02_Eingaben'!$C$17)):INDEX($E$2:$E$3001,MIN('02_Eingaben'!$C$21,ROW()-1+'02_Eingaben'!$C$17))))</f>
        <v/>
      </c>
      <c r="G2103" s="27">
        <f>IF(F2103="","",F2103-'02_Eingaben'!$C$10)</f>
        <v/>
      </c>
      <c r="H2103">
        <f>IF(F2103="","",IF(F2103&lt;'02_Eingaben'!$C$18*'02_Eingaben'!$C$10,1,0))</f>
        <v/>
      </c>
      <c r="I2103" s="27">
        <f>IF(OR(G2103="",G2104=""),"",(G2103+G2104)/2*(B2104-B2103))</f>
        <v/>
      </c>
      <c r="J2103" s="27">
        <f>IF(B2103="","",IF(B2102&lt;'02_Eingaben'!$C$36,0,J2102+I2102/'02_Eingaben'!$C$8))</f>
        <v/>
      </c>
    </row>
    <row r="2104">
      <c r="A2104">
        <f>IF('01_Rohdaten'!A2104="","",ROW()-1)</f>
        <v/>
      </c>
      <c r="B2104" s="27">
        <f>IF('01_Rohdaten'!A2104="","",'01_Rohdaten'!A2104)</f>
        <v/>
      </c>
      <c r="C2104" s="27">
        <f>IF(B2104="","",INDEX('01_Rohdaten'!B2104:D2104,'02_Eingaben'!$C$13))</f>
        <v/>
      </c>
      <c r="D2104" s="27">
        <f>IF(C2104="","",C2104*'02_Eingaben'!$C$15)</f>
        <v/>
      </c>
      <c r="E2104" s="27">
        <f>IF(D2104="","",D2104*'02_Eingaben'!$C$8)</f>
        <v/>
      </c>
      <c r="F2104" s="27">
        <f>IF(E2104="","",AVERAGE(INDEX($E$2:$E$3001,MAX(1,ROW()-1-'02_Eingaben'!$C$17)):INDEX($E$2:$E$3001,MIN('02_Eingaben'!$C$21,ROW()-1+'02_Eingaben'!$C$17))))</f>
        <v/>
      </c>
      <c r="G2104" s="27">
        <f>IF(F2104="","",F2104-'02_Eingaben'!$C$10)</f>
        <v/>
      </c>
      <c r="H2104">
        <f>IF(F2104="","",IF(F2104&lt;'02_Eingaben'!$C$18*'02_Eingaben'!$C$10,1,0))</f>
        <v/>
      </c>
      <c r="I2104" s="27">
        <f>IF(OR(G2104="",G2105=""),"",(G2104+G2105)/2*(B2105-B2104))</f>
        <v/>
      </c>
      <c r="J2104" s="27">
        <f>IF(B2104="","",IF(B2103&lt;'02_Eingaben'!$C$36,0,J2103+I2103/'02_Eingaben'!$C$8))</f>
        <v/>
      </c>
    </row>
    <row r="2105">
      <c r="A2105">
        <f>IF('01_Rohdaten'!A2105="","",ROW()-1)</f>
        <v/>
      </c>
      <c r="B2105" s="27">
        <f>IF('01_Rohdaten'!A2105="","",'01_Rohdaten'!A2105)</f>
        <v/>
      </c>
      <c r="C2105" s="27">
        <f>IF(B2105="","",INDEX('01_Rohdaten'!B2105:D2105,'02_Eingaben'!$C$13))</f>
        <v/>
      </c>
      <c r="D2105" s="27">
        <f>IF(C2105="","",C2105*'02_Eingaben'!$C$15)</f>
        <v/>
      </c>
      <c r="E2105" s="27">
        <f>IF(D2105="","",D2105*'02_Eingaben'!$C$8)</f>
        <v/>
      </c>
      <c r="F2105" s="27">
        <f>IF(E2105="","",AVERAGE(INDEX($E$2:$E$3001,MAX(1,ROW()-1-'02_Eingaben'!$C$17)):INDEX($E$2:$E$3001,MIN('02_Eingaben'!$C$21,ROW()-1+'02_Eingaben'!$C$17))))</f>
        <v/>
      </c>
      <c r="G2105" s="27">
        <f>IF(F2105="","",F2105-'02_Eingaben'!$C$10)</f>
        <v/>
      </c>
      <c r="H2105">
        <f>IF(F2105="","",IF(F2105&lt;'02_Eingaben'!$C$18*'02_Eingaben'!$C$10,1,0))</f>
        <v/>
      </c>
      <c r="I2105" s="27">
        <f>IF(OR(G2105="",G2106=""),"",(G2105+G2106)/2*(B2106-B2105))</f>
        <v/>
      </c>
      <c r="J2105" s="27">
        <f>IF(B2105="","",IF(B2104&lt;'02_Eingaben'!$C$36,0,J2104+I2104/'02_Eingaben'!$C$8))</f>
        <v/>
      </c>
    </row>
    <row r="2106">
      <c r="A2106">
        <f>IF('01_Rohdaten'!A2106="","",ROW()-1)</f>
        <v/>
      </c>
      <c r="B2106" s="27">
        <f>IF('01_Rohdaten'!A2106="","",'01_Rohdaten'!A2106)</f>
        <v/>
      </c>
      <c r="C2106" s="27">
        <f>IF(B2106="","",INDEX('01_Rohdaten'!B2106:D2106,'02_Eingaben'!$C$13))</f>
        <v/>
      </c>
      <c r="D2106" s="27">
        <f>IF(C2106="","",C2106*'02_Eingaben'!$C$15)</f>
        <v/>
      </c>
      <c r="E2106" s="27">
        <f>IF(D2106="","",D2106*'02_Eingaben'!$C$8)</f>
        <v/>
      </c>
      <c r="F2106" s="27">
        <f>IF(E2106="","",AVERAGE(INDEX($E$2:$E$3001,MAX(1,ROW()-1-'02_Eingaben'!$C$17)):INDEX($E$2:$E$3001,MIN('02_Eingaben'!$C$21,ROW()-1+'02_Eingaben'!$C$17))))</f>
        <v/>
      </c>
      <c r="G2106" s="27">
        <f>IF(F2106="","",F2106-'02_Eingaben'!$C$10)</f>
        <v/>
      </c>
      <c r="H2106">
        <f>IF(F2106="","",IF(F2106&lt;'02_Eingaben'!$C$18*'02_Eingaben'!$C$10,1,0))</f>
        <v/>
      </c>
      <c r="I2106" s="27">
        <f>IF(OR(G2106="",G2107=""),"",(G2106+G2107)/2*(B2107-B2106))</f>
        <v/>
      </c>
      <c r="J2106" s="27">
        <f>IF(B2106="","",IF(B2105&lt;'02_Eingaben'!$C$36,0,J2105+I2105/'02_Eingaben'!$C$8))</f>
        <v/>
      </c>
    </row>
    <row r="2107">
      <c r="A2107">
        <f>IF('01_Rohdaten'!A2107="","",ROW()-1)</f>
        <v/>
      </c>
      <c r="B2107" s="27">
        <f>IF('01_Rohdaten'!A2107="","",'01_Rohdaten'!A2107)</f>
        <v/>
      </c>
      <c r="C2107" s="27">
        <f>IF(B2107="","",INDEX('01_Rohdaten'!B2107:D2107,'02_Eingaben'!$C$13))</f>
        <v/>
      </c>
      <c r="D2107" s="27">
        <f>IF(C2107="","",C2107*'02_Eingaben'!$C$15)</f>
        <v/>
      </c>
      <c r="E2107" s="27">
        <f>IF(D2107="","",D2107*'02_Eingaben'!$C$8)</f>
        <v/>
      </c>
      <c r="F2107" s="27">
        <f>IF(E2107="","",AVERAGE(INDEX($E$2:$E$3001,MAX(1,ROW()-1-'02_Eingaben'!$C$17)):INDEX($E$2:$E$3001,MIN('02_Eingaben'!$C$21,ROW()-1+'02_Eingaben'!$C$17))))</f>
        <v/>
      </c>
      <c r="G2107" s="27">
        <f>IF(F2107="","",F2107-'02_Eingaben'!$C$10)</f>
        <v/>
      </c>
      <c r="H2107">
        <f>IF(F2107="","",IF(F2107&lt;'02_Eingaben'!$C$18*'02_Eingaben'!$C$10,1,0))</f>
        <v/>
      </c>
      <c r="I2107" s="27">
        <f>IF(OR(G2107="",G2108=""),"",(G2107+G2108)/2*(B2108-B2107))</f>
        <v/>
      </c>
      <c r="J2107" s="27">
        <f>IF(B2107="","",IF(B2106&lt;'02_Eingaben'!$C$36,0,J2106+I2106/'02_Eingaben'!$C$8))</f>
        <v/>
      </c>
    </row>
    <row r="2108">
      <c r="A2108">
        <f>IF('01_Rohdaten'!A2108="","",ROW()-1)</f>
        <v/>
      </c>
      <c r="B2108" s="27">
        <f>IF('01_Rohdaten'!A2108="","",'01_Rohdaten'!A2108)</f>
        <v/>
      </c>
      <c r="C2108" s="27">
        <f>IF(B2108="","",INDEX('01_Rohdaten'!B2108:D2108,'02_Eingaben'!$C$13))</f>
        <v/>
      </c>
      <c r="D2108" s="27">
        <f>IF(C2108="","",C2108*'02_Eingaben'!$C$15)</f>
        <v/>
      </c>
      <c r="E2108" s="27">
        <f>IF(D2108="","",D2108*'02_Eingaben'!$C$8)</f>
        <v/>
      </c>
      <c r="F2108" s="27">
        <f>IF(E2108="","",AVERAGE(INDEX($E$2:$E$3001,MAX(1,ROW()-1-'02_Eingaben'!$C$17)):INDEX($E$2:$E$3001,MIN('02_Eingaben'!$C$21,ROW()-1+'02_Eingaben'!$C$17))))</f>
        <v/>
      </c>
      <c r="G2108" s="27">
        <f>IF(F2108="","",F2108-'02_Eingaben'!$C$10)</f>
        <v/>
      </c>
      <c r="H2108">
        <f>IF(F2108="","",IF(F2108&lt;'02_Eingaben'!$C$18*'02_Eingaben'!$C$10,1,0))</f>
        <v/>
      </c>
      <c r="I2108" s="27">
        <f>IF(OR(G2108="",G2109=""),"",(G2108+G2109)/2*(B2109-B2108))</f>
        <v/>
      </c>
      <c r="J2108" s="27">
        <f>IF(B2108="","",IF(B2107&lt;'02_Eingaben'!$C$36,0,J2107+I2107/'02_Eingaben'!$C$8))</f>
        <v/>
      </c>
    </row>
    <row r="2109">
      <c r="A2109">
        <f>IF('01_Rohdaten'!A2109="","",ROW()-1)</f>
        <v/>
      </c>
      <c r="B2109" s="27">
        <f>IF('01_Rohdaten'!A2109="","",'01_Rohdaten'!A2109)</f>
        <v/>
      </c>
      <c r="C2109" s="27">
        <f>IF(B2109="","",INDEX('01_Rohdaten'!B2109:D2109,'02_Eingaben'!$C$13))</f>
        <v/>
      </c>
      <c r="D2109" s="27">
        <f>IF(C2109="","",C2109*'02_Eingaben'!$C$15)</f>
        <v/>
      </c>
      <c r="E2109" s="27">
        <f>IF(D2109="","",D2109*'02_Eingaben'!$C$8)</f>
        <v/>
      </c>
      <c r="F2109" s="27">
        <f>IF(E2109="","",AVERAGE(INDEX($E$2:$E$3001,MAX(1,ROW()-1-'02_Eingaben'!$C$17)):INDEX($E$2:$E$3001,MIN('02_Eingaben'!$C$21,ROW()-1+'02_Eingaben'!$C$17))))</f>
        <v/>
      </c>
      <c r="G2109" s="27">
        <f>IF(F2109="","",F2109-'02_Eingaben'!$C$10)</f>
        <v/>
      </c>
      <c r="H2109">
        <f>IF(F2109="","",IF(F2109&lt;'02_Eingaben'!$C$18*'02_Eingaben'!$C$10,1,0))</f>
        <v/>
      </c>
      <c r="I2109" s="27">
        <f>IF(OR(G2109="",G2110=""),"",(G2109+G2110)/2*(B2110-B2109))</f>
        <v/>
      </c>
      <c r="J2109" s="27">
        <f>IF(B2109="","",IF(B2108&lt;'02_Eingaben'!$C$36,0,J2108+I2108/'02_Eingaben'!$C$8))</f>
        <v/>
      </c>
    </row>
    <row r="2110">
      <c r="A2110">
        <f>IF('01_Rohdaten'!A2110="","",ROW()-1)</f>
        <v/>
      </c>
      <c r="B2110" s="27">
        <f>IF('01_Rohdaten'!A2110="","",'01_Rohdaten'!A2110)</f>
        <v/>
      </c>
      <c r="C2110" s="27">
        <f>IF(B2110="","",INDEX('01_Rohdaten'!B2110:D2110,'02_Eingaben'!$C$13))</f>
        <v/>
      </c>
      <c r="D2110" s="27">
        <f>IF(C2110="","",C2110*'02_Eingaben'!$C$15)</f>
        <v/>
      </c>
      <c r="E2110" s="27">
        <f>IF(D2110="","",D2110*'02_Eingaben'!$C$8)</f>
        <v/>
      </c>
      <c r="F2110" s="27">
        <f>IF(E2110="","",AVERAGE(INDEX($E$2:$E$3001,MAX(1,ROW()-1-'02_Eingaben'!$C$17)):INDEX($E$2:$E$3001,MIN('02_Eingaben'!$C$21,ROW()-1+'02_Eingaben'!$C$17))))</f>
        <v/>
      </c>
      <c r="G2110" s="27">
        <f>IF(F2110="","",F2110-'02_Eingaben'!$C$10)</f>
        <v/>
      </c>
      <c r="H2110">
        <f>IF(F2110="","",IF(F2110&lt;'02_Eingaben'!$C$18*'02_Eingaben'!$C$10,1,0))</f>
        <v/>
      </c>
      <c r="I2110" s="27">
        <f>IF(OR(G2110="",G2111=""),"",(G2110+G2111)/2*(B2111-B2110))</f>
        <v/>
      </c>
      <c r="J2110" s="27">
        <f>IF(B2110="","",IF(B2109&lt;'02_Eingaben'!$C$36,0,J2109+I2109/'02_Eingaben'!$C$8))</f>
        <v/>
      </c>
    </row>
    <row r="2111">
      <c r="A2111">
        <f>IF('01_Rohdaten'!A2111="","",ROW()-1)</f>
        <v/>
      </c>
      <c r="B2111" s="27">
        <f>IF('01_Rohdaten'!A2111="","",'01_Rohdaten'!A2111)</f>
        <v/>
      </c>
      <c r="C2111" s="27">
        <f>IF(B2111="","",INDEX('01_Rohdaten'!B2111:D2111,'02_Eingaben'!$C$13))</f>
        <v/>
      </c>
      <c r="D2111" s="27">
        <f>IF(C2111="","",C2111*'02_Eingaben'!$C$15)</f>
        <v/>
      </c>
      <c r="E2111" s="27">
        <f>IF(D2111="","",D2111*'02_Eingaben'!$C$8)</f>
        <v/>
      </c>
      <c r="F2111" s="27">
        <f>IF(E2111="","",AVERAGE(INDEX($E$2:$E$3001,MAX(1,ROW()-1-'02_Eingaben'!$C$17)):INDEX($E$2:$E$3001,MIN('02_Eingaben'!$C$21,ROW()-1+'02_Eingaben'!$C$17))))</f>
        <v/>
      </c>
      <c r="G2111" s="27">
        <f>IF(F2111="","",F2111-'02_Eingaben'!$C$10)</f>
        <v/>
      </c>
      <c r="H2111">
        <f>IF(F2111="","",IF(F2111&lt;'02_Eingaben'!$C$18*'02_Eingaben'!$C$10,1,0))</f>
        <v/>
      </c>
      <c r="I2111" s="27">
        <f>IF(OR(G2111="",G2112=""),"",(G2111+G2112)/2*(B2112-B2111))</f>
        <v/>
      </c>
      <c r="J2111" s="27">
        <f>IF(B2111="","",IF(B2110&lt;'02_Eingaben'!$C$36,0,J2110+I2110/'02_Eingaben'!$C$8))</f>
        <v/>
      </c>
    </row>
    <row r="2112">
      <c r="A2112">
        <f>IF('01_Rohdaten'!A2112="","",ROW()-1)</f>
        <v/>
      </c>
      <c r="B2112" s="27">
        <f>IF('01_Rohdaten'!A2112="","",'01_Rohdaten'!A2112)</f>
        <v/>
      </c>
      <c r="C2112" s="27">
        <f>IF(B2112="","",INDEX('01_Rohdaten'!B2112:D2112,'02_Eingaben'!$C$13))</f>
        <v/>
      </c>
      <c r="D2112" s="27">
        <f>IF(C2112="","",C2112*'02_Eingaben'!$C$15)</f>
        <v/>
      </c>
      <c r="E2112" s="27">
        <f>IF(D2112="","",D2112*'02_Eingaben'!$C$8)</f>
        <v/>
      </c>
      <c r="F2112" s="27">
        <f>IF(E2112="","",AVERAGE(INDEX($E$2:$E$3001,MAX(1,ROW()-1-'02_Eingaben'!$C$17)):INDEX($E$2:$E$3001,MIN('02_Eingaben'!$C$21,ROW()-1+'02_Eingaben'!$C$17))))</f>
        <v/>
      </c>
      <c r="G2112" s="27">
        <f>IF(F2112="","",F2112-'02_Eingaben'!$C$10)</f>
        <v/>
      </c>
      <c r="H2112">
        <f>IF(F2112="","",IF(F2112&lt;'02_Eingaben'!$C$18*'02_Eingaben'!$C$10,1,0))</f>
        <v/>
      </c>
      <c r="I2112" s="27">
        <f>IF(OR(G2112="",G2113=""),"",(G2112+G2113)/2*(B2113-B2112))</f>
        <v/>
      </c>
      <c r="J2112" s="27">
        <f>IF(B2112="","",IF(B2111&lt;'02_Eingaben'!$C$36,0,J2111+I2111/'02_Eingaben'!$C$8))</f>
        <v/>
      </c>
    </row>
    <row r="2113">
      <c r="A2113">
        <f>IF('01_Rohdaten'!A2113="","",ROW()-1)</f>
        <v/>
      </c>
      <c r="B2113" s="27">
        <f>IF('01_Rohdaten'!A2113="","",'01_Rohdaten'!A2113)</f>
        <v/>
      </c>
      <c r="C2113" s="27">
        <f>IF(B2113="","",INDEX('01_Rohdaten'!B2113:D2113,'02_Eingaben'!$C$13))</f>
        <v/>
      </c>
      <c r="D2113" s="27">
        <f>IF(C2113="","",C2113*'02_Eingaben'!$C$15)</f>
        <v/>
      </c>
      <c r="E2113" s="27">
        <f>IF(D2113="","",D2113*'02_Eingaben'!$C$8)</f>
        <v/>
      </c>
      <c r="F2113" s="27">
        <f>IF(E2113="","",AVERAGE(INDEX($E$2:$E$3001,MAX(1,ROW()-1-'02_Eingaben'!$C$17)):INDEX($E$2:$E$3001,MIN('02_Eingaben'!$C$21,ROW()-1+'02_Eingaben'!$C$17))))</f>
        <v/>
      </c>
      <c r="G2113" s="27">
        <f>IF(F2113="","",F2113-'02_Eingaben'!$C$10)</f>
        <v/>
      </c>
      <c r="H2113">
        <f>IF(F2113="","",IF(F2113&lt;'02_Eingaben'!$C$18*'02_Eingaben'!$C$10,1,0))</f>
        <v/>
      </c>
      <c r="I2113" s="27">
        <f>IF(OR(G2113="",G2114=""),"",(G2113+G2114)/2*(B2114-B2113))</f>
        <v/>
      </c>
      <c r="J2113" s="27">
        <f>IF(B2113="","",IF(B2112&lt;'02_Eingaben'!$C$36,0,J2112+I2112/'02_Eingaben'!$C$8))</f>
        <v/>
      </c>
    </row>
    <row r="2114">
      <c r="A2114">
        <f>IF('01_Rohdaten'!A2114="","",ROW()-1)</f>
        <v/>
      </c>
      <c r="B2114" s="27">
        <f>IF('01_Rohdaten'!A2114="","",'01_Rohdaten'!A2114)</f>
        <v/>
      </c>
      <c r="C2114" s="27">
        <f>IF(B2114="","",INDEX('01_Rohdaten'!B2114:D2114,'02_Eingaben'!$C$13))</f>
        <v/>
      </c>
      <c r="D2114" s="27">
        <f>IF(C2114="","",C2114*'02_Eingaben'!$C$15)</f>
        <v/>
      </c>
      <c r="E2114" s="27">
        <f>IF(D2114="","",D2114*'02_Eingaben'!$C$8)</f>
        <v/>
      </c>
      <c r="F2114" s="27">
        <f>IF(E2114="","",AVERAGE(INDEX($E$2:$E$3001,MAX(1,ROW()-1-'02_Eingaben'!$C$17)):INDEX($E$2:$E$3001,MIN('02_Eingaben'!$C$21,ROW()-1+'02_Eingaben'!$C$17))))</f>
        <v/>
      </c>
      <c r="G2114" s="27">
        <f>IF(F2114="","",F2114-'02_Eingaben'!$C$10)</f>
        <v/>
      </c>
      <c r="H2114">
        <f>IF(F2114="","",IF(F2114&lt;'02_Eingaben'!$C$18*'02_Eingaben'!$C$10,1,0))</f>
        <v/>
      </c>
      <c r="I2114" s="27">
        <f>IF(OR(G2114="",G2115=""),"",(G2114+G2115)/2*(B2115-B2114))</f>
        <v/>
      </c>
      <c r="J2114" s="27">
        <f>IF(B2114="","",IF(B2113&lt;'02_Eingaben'!$C$36,0,J2113+I2113/'02_Eingaben'!$C$8))</f>
        <v/>
      </c>
    </row>
    <row r="2115">
      <c r="A2115">
        <f>IF('01_Rohdaten'!A2115="","",ROW()-1)</f>
        <v/>
      </c>
      <c r="B2115" s="27">
        <f>IF('01_Rohdaten'!A2115="","",'01_Rohdaten'!A2115)</f>
        <v/>
      </c>
      <c r="C2115" s="27">
        <f>IF(B2115="","",INDEX('01_Rohdaten'!B2115:D2115,'02_Eingaben'!$C$13))</f>
        <v/>
      </c>
      <c r="D2115" s="27">
        <f>IF(C2115="","",C2115*'02_Eingaben'!$C$15)</f>
        <v/>
      </c>
      <c r="E2115" s="27">
        <f>IF(D2115="","",D2115*'02_Eingaben'!$C$8)</f>
        <v/>
      </c>
      <c r="F2115" s="27">
        <f>IF(E2115="","",AVERAGE(INDEX($E$2:$E$3001,MAX(1,ROW()-1-'02_Eingaben'!$C$17)):INDEX($E$2:$E$3001,MIN('02_Eingaben'!$C$21,ROW()-1+'02_Eingaben'!$C$17))))</f>
        <v/>
      </c>
      <c r="G2115" s="27">
        <f>IF(F2115="","",F2115-'02_Eingaben'!$C$10)</f>
        <v/>
      </c>
      <c r="H2115">
        <f>IF(F2115="","",IF(F2115&lt;'02_Eingaben'!$C$18*'02_Eingaben'!$C$10,1,0))</f>
        <v/>
      </c>
      <c r="I2115" s="27">
        <f>IF(OR(G2115="",G2116=""),"",(G2115+G2116)/2*(B2116-B2115))</f>
        <v/>
      </c>
      <c r="J2115" s="27">
        <f>IF(B2115="","",IF(B2114&lt;'02_Eingaben'!$C$36,0,J2114+I2114/'02_Eingaben'!$C$8))</f>
        <v/>
      </c>
    </row>
    <row r="2116">
      <c r="A2116">
        <f>IF('01_Rohdaten'!A2116="","",ROW()-1)</f>
        <v/>
      </c>
      <c r="B2116" s="27">
        <f>IF('01_Rohdaten'!A2116="","",'01_Rohdaten'!A2116)</f>
        <v/>
      </c>
      <c r="C2116" s="27">
        <f>IF(B2116="","",INDEX('01_Rohdaten'!B2116:D2116,'02_Eingaben'!$C$13))</f>
        <v/>
      </c>
      <c r="D2116" s="27">
        <f>IF(C2116="","",C2116*'02_Eingaben'!$C$15)</f>
        <v/>
      </c>
      <c r="E2116" s="27">
        <f>IF(D2116="","",D2116*'02_Eingaben'!$C$8)</f>
        <v/>
      </c>
      <c r="F2116" s="27">
        <f>IF(E2116="","",AVERAGE(INDEX($E$2:$E$3001,MAX(1,ROW()-1-'02_Eingaben'!$C$17)):INDEX($E$2:$E$3001,MIN('02_Eingaben'!$C$21,ROW()-1+'02_Eingaben'!$C$17))))</f>
        <v/>
      </c>
      <c r="G2116" s="27">
        <f>IF(F2116="","",F2116-'02_Eingaben'!$C$10)</f>
        <v/>
      </c>
      <c r="H2116">
        <f>IF(F2116="","",IF(F2116&lt;'02_Eingaben'!$C$18*'02_Eingaben'!$C$10,1,0))</f>
        <v/>
      </c>
      <c r="I2116" s="27">
        <f>IF(OR(G2116="",G2117=""),"",(G2116+G2117)/2*(B2117-B2116))</f>
        <v/>
      </c>
      <c r="J2116" s="27">
        <f>IF(B2116="","",IF(B2115&lt;'02_Eingaben'!$C$36,0,J2115+I2115/'02_Eingaben'!$C$8))</f>
        <v/>
      </c>
    </row>
    <row r="2117">
      <c r="A2117">
        <f>IF('01_Rohdaten'!A2117="","",ROW()-1)</f>
        <v/>
      </c>
      <c r="B2117" s="27">
        <f>IF('01_Rohdaten'!A2117="","",'01_Rohdaten'!A2117)</f>
        <v/>
      </c>
      <c r="C2117" s="27">
        <f>IF(B2117="","",INDEX('01_Rohdaten'!B2117:D2117,'02_Eingaben'!$C$13))</f>
        <v/>
      </c>
      <c r="D2117" s="27">
        <f>IF(C2117="","",C2117*'02_Eingaben'!$C$15)</f>
        <v/>
      </c>
      <c r="E2117" s="27">
        <f>IF(D2117="","",D2117*'02_Eingaben'!$C$8)</f>
        <v/>
      </c>
      <c r="F2117" s="27">
        <f>IF(E2117="","",AVERAGE(INDEX($E$2:$E$3001,MAX(1,ROW()-1-'02_Eingaben'!$C$17)):INDEX($E$2:$E$3001,MIN('02_Eingaben'!$C$21,ROW()-1+'02_Eingaben'!$C$17))))</f>
        <v/>
      </c>
      <c r="G2117" s="27">
        <f>IF(F2117="","",F2117-'02_Eingaben'!$C$10)</f>
        <v/>
      </c>
      <c r="H2117">
        <f>IF(F2117="","",IF(F2117&lt;'02_Eingaben'!$C$18*'02_Eingaben'!$C$10,1,0))</f>
        <v/>
      </c>
      <c r="I2117" s="27">
        <f>IF(OR(G2117="",G2118=""),"",(G2117+G2118)/2*(B2118-B2117))</f>
        <v/>
      </c>
      <c r="J2117" s="27">
        <f>IF(B2117="","",IF(B2116&lt;'02_Eingaben'!$C$36,0,J2116+I2116/'02_Eingaben'!$C$8))</f>
        <v/>
      </c>
    </row>
    <row r="2118">
      <c r="A2118">
        <f>IF('01_Rohdaten'!A2118="","",ROW()-1)</f>
        <v/>
      </c>
      <c r="B2118" s="27">
        <f>IF('01_Rohdaten'!A2118="","",'01_Rohdaten'!A2118)</f>
        <v/>
      </c>
      <c r="C2118" s="27">
        <f>IF(B2118="","",INDEX('01_Rohdaten'!B2118:D2118,'02_Eingaben'!$C$13))</f>
        <v/>
      </c>
      <c r="D2118" s="27">
        <f>IF(C2118="","",C2118*'02_Eingaben'!$C$15)</f>
        <v/>
      </c>
      <c r="E2118" s="27">
        <f>IF(D2118="","",D2118*'02_Eingaben'!$C$8)</f>
        <v/>
      </c>
      <c r="F2118" s="27">
        <f>IF(E2118="","",AVERAGE(INDEX($E$2:$E$3001,MAX(1,ROW()-1-'02_Eingaben'!$C$17)):INDEX($E$2:$E$3001,MIN('02_Eingaben'!$C$21,ROW()-1+'02_Eingaben'!$C$17))))</f>
        <v/>
      </c>
      <c r="G2118" s="27">
        <f>IF(F2118="","",F2118-'02_Eingaben'!$C$10)</f>
        <v/>
      </c>
      <c r="H2118">
        <f>IF(F2118="","",IF(F2118&lt;'02_Eingaben'!$C$18*'02_Eingaben'!$C$10,1,0))</f>
        <v/>
      </c>
      <c r="I2118" s="27">
        <f>IF(OR(G2118="",G2119=""),"",(G2118+G2119)/2*(B2119-B2118))</f>
        <v/>
      </c>
      <c r="J2118" s="27">
        <f>IF(B2118="","",IF(B2117&lt;'02_Eingaben'!$C$36,0,J2117+I2117/'02_Eingaben'!$C$8))</f>
        <v/>
      </c>
    </row>
    <row r="2119">
      <c r="A2119">
        <f>IF('01_Rohdaten'!A2119="","",ROW()-1)</f>
        <v/>
      </c>
      <c r="B2119" s="27">
        <f>IF('01_Rohdaten'!A2119="","",'01_Rohdaten'!A2119)</f>
        <v/>
      </c>
      <c r="C2119" s="27">
        <f>IF(B2119="","",INDEX('01_Rohdaten'!B2119:D2119,'02_Eingaben'!$C$13))</f>
        <v/>
      </c>
      <c r="D2119" s="27">
        <f>IF(C2119="","",C2119*'02_Eingaben'!$C$15)</f>
        <v/>
      </c>
      <c r="E2119" s="27">
        <f>IF(D2119="","",D2119*'02_Eingaben'!$C$8)</f>
        <v/>
      </c>
      <c r="F2119" s="27">
        <f>IF(E2119="","",AVERAGE(INDEX($E$2:$E$3001,MAX(1,ROW()-1-'02_Eingaben'!$C$17)):INDEX($E$2:$E$3001,MIN('02_Eingaben'!$C$21,ROW()-1+'02_Eingaben'!$C$17))))</f>
        <v/>
      </c>
      <c r="G2119" s="27">
        <f>IF(F2119="","",F2119-'02_Eingaben'!$C$10)</f>
        <v/>
      </c>
      <c r="H2119">
        <f>IF(F2119="","",IF(F2119&lt;'02_Eingaben'!$C$18*'02_Eingaben'!$C$10,1,0))</f>
        <v/>
      </c>
      <c r="I2119" s="27">
        <f>IF(OR(G2119="",G2120=""),"",(G2119+G2120)/2*(B2120-B2119))</f>
        <v/>
      </c>
      <c r="J2119" s="27">
        <f>IF(B2119="","",IF(B2118&lt;'02_Eingaben'!$C$36,0,J2118+I2118/'02_Eingaben'!$C$8))</f>
        <v/>
      </c>
    </row>
    <row r="2120">
      <c r="A2120">
        <f>IF('01_Rohdaten'!A2120="","",ROW()-1)</f>
        <v/>
      </c>
      <c r="B2120" s="27">
        <f>IF('01_Rohdaten'!A2120="","",'01_Rohdaten'!A2120)</f>
        <v/>
      </c>
      <c r="C2120" s="27">
        <f>IF(B2120="","",INDEX('01_Rohdaten'!B2120:D2120,'02_Eingaben'!$C$13))</f>
        <v/>
      </c>
      <c r="D2120" s="27">
        <f>IF(C2120="","",C2120*'02_Eingaben'!$C$15)</f>
        <v/>
      </c>
      <c r="E2120" s="27">
        <f>IF(D2120="","",D2120*'02_Eingaben'!$C$8)</f>
        <v/>
      </c>
      <c r="F2120" s="27">
        <f>IF(E2120="","",AVERAGE(INDEX($E$2:$E$3001,MAX(1,ROW()-1-'02_Eingaben'!$C$17)):INDEX($E$2:$E$3001,MIN('02_Eingaben'!$C$21,ROW()-1+'02_Eingaben'!$C$17))))</f>
        <v/>
      </c>
      <c r="G2120" s="27">
        <f>IF(F2120="","",F2120-'02_Eingaben'!$C$10)</f>
        <v/>
      </c>
      <c r="H2120">
        <f>IF(F2120="","",IF(F2120&lt;'02_Eingaben'!$C$18*'02_Eingaben'!$C$10,1,0))</f>
        <v/>
      </c>
      <c r="I2120" s="27">
        <f>IF(OR(G2120="",G2121=""),"",(G2120+G2121)/2*(B2121-B2120))</f>
        <v/>
      </c>
      <c r="J2120" s="27">
        <f>IF(B2120="","",IF(B2119&lt;'02_Eingaben'!$C$36,0,J2119+I2119/'02_Eingaben'!$C$8))</f>
        <v/>
      </c>
    </row>
    <row r="2121">
      <c r="A2121">
        <f>IF('01_Rohdaten'!A2121="","",ROW()-1)</f>
        <v/>
      </c>
      <c r="B2121" s="27">
        <f>IF('01_Rohdaten'!A2121="","",'01_Rohdaten'!A2121)</f>
        <v/>
      </c>
      <c r="C2121" s="27">
        <f>IF(B2121="","",INDEX('01_Rohdaten'!B2121:D2121,'02_Eingaben'!$C$13))</f>
        <v/>
      </c>
      <c r="D2121" s="27">
        <f>IF(C2121="","",C2121*'02_Eingaben'!$C$15)</f>
        <v/>
      </c>
      <c r="E2121" s="27">
        <f>IF(D2121="","",D2121*'02_Eingaben'!$C$8)</f>
        <v/>
      </c>
      <c r="F2121" s="27">
        <f>IF(E2121="","",AVERAGE(INDEX($E$2:$E$3001,MAX(1,ROW()-1-'02_Eingaben'!$C$17)):INDEX($E$2:$E$3001,MIN('02_Eingaben'!$C$21,ROW()-1+'02_Eingaben'!$C$17))))</f>
        <v/>
      </c>
      <c r="G2121" s="27">
        <f>IF(F2121="","",F2121-'02_Eingaben'!$C$10)</f>
        <v/>
      </c>
      <c r="H2121">
        <f>IF(F2121="","",IF(F2121&lt;'02_Eingaben'!$C$18*'02_Eingaben'!$C$10,1,0))</f>
        <v/>
      </c>
      <c r="I2121" s="27">
        <f>IF(OR(G2121="",G2122=""),"",(G2121+G2122)/2*(B2122-B2121))</f>
        <v/>
      </c>
      <c r="J2121" s="27">
        <f>IF(B2121="","",IF(B2120&lt;'02_Eingaben'!$C$36,0,J2120+I2120/'02_Eingaben'!$C$8))</f>
        <v/>
      </c>
    </row>
    <row r="2122">
      <c r="A2122">
        <f>IF('01_Rohdaten'!A2122="","",ROW()-1)</f>
        <v/>
      </c>
      <c r="B2122" s="27">
        <f>IF('01_Rohdaten'!A2122="","",'01_Rohdaten'!A2122)</f>
        <v/>
      </c>
      <c r="C2122" s="27">
        <f>IF(B2122="","",INDEX('01_Rohdaten'!B2122:D2122,'02_Eingaben'!$C$13))</f>
        <v/>
      </c>
      <c r="D2122" s="27">
        <f>IF(C2122="","",C2122*'02_Eingaben'!$C$15)</f>
        <v/>
      </c>
      <c r="E2122" s="27">
        <f>IF(D2122="","",D2122*'02_Eingaben'!$C$8)</f>
        <v/>
      </c>
      <c r="F2122" s="27">
        <f>IF(E2122="","",AVERAGE(INDEX($E$2:$E$3001,MAX(1,ROW()-1-'02_Eingaben'!$C$17)):INDEX($E$2:$E$3001,MIN('02_Eingaben'!$C$21,ROW()-1+'02_Eingaben'!$C$17))))</f>
        <v/>
      </c>
      <c r="G2122" s="27">
        <f>IF(F2122="","",F2122-'02_Eingaben'!$C$10)</f>
        <v/>
      </c>
      <c r="H2122">
        <f>IF(F2122="","",IF(F2122&lt;'02_Eingaben'!$C$18*'02_Eingaben'!$C$10,1,0))</f>
        <v/>
      </c>
      <c r="I2122" s="27">
        <f>IF(OR(G2122="",G2123=""),"",(G2122+G2123)/2*(B2123-B2122))</f>
        <v/>
      </c>
      <c r="J2122" s="27">
        <f>IF(B2122="","",IF(B2121&lt;'02_Eingaben'!$C$36,0,J2121+I2121/'02_Eingaben'!$C$8))</f>
        <v/>
      </c>
    </row>
    <row r="2123">
      <c r="A2123">
        <f>IF('01_Rohdaten'!A2123="","",ROW()-1)</f>
        <v/>
      </c>
      <c r="B2123" s="27">
        <f>IF('01_Rohdaten'!A2123="","",'01_Rohdaten'!A2123)</f>
        <v/>
      </c>
      <c r="C2123" s="27">
        <f>IF(B2123="","",INDEX('01_Rohdaten'!B2123:D2123,'02_Eingaben'!$C$13))</f>
        <v/>
      </c>
      <c r="D2123" s="27">
        <f>IF(C2123="","",C2123*'02_Eingaben'!$C$15)</f>
        <v/>
      </c>
      <c r="E2123" s="27">
        <f>IF(D2123="","",D2123*'02_Eingaben'!$C$8)</f>
        <v/>
      </c>
      <c r="F2123" s="27">
        <f>IF(E2123="","",AVERAGE(INDEX($E$2:$E$3001,MAX(1,ROW()-1-'02_Eingaben'!$C$17)):INDEX($E$2:$E$3001,MIN('02_Eingaben'!$C$21,ROW()-1+'02_Eingaben'!$C$17))))</f>
        <v/>
      </c>
      <c r="G2123" s="27">
        <f>IF(F2123="","",F2123-'02_Eingaben'!$C$10)</f>
        <v/>
      </c>
      <c r="H2123">
        <f>IF(F2123="","",IF(F2123&lt;'02_Eingaben'!$C$18*'02_Eingaben'!$C$10,1,0))</f>
        <v/>
      </c>
      <c r="I2123" s="27">
        <f>IF(OR(G2123="",G2124=""),"",(G2123+G2124)/2*(B2124-B2123))</f>
        <v/>
      </c>
      <c r="J2123" s="27">
        <f>IF(B2123="","",IF(B2122&lt;'02_Eingaben'!$C$36,0,J2122+I2122/'02_Eingaben'!$C$8))</f>
        <v/>
      </c>
    </row>
    <row r="2124">
      <c r="A2124">
        <f>IF('01_Rohdaten'!A2124="","",ROW()-1)</f>
        <v/>
      </c>
      <c r="B2124" s="27">
        <f>IF('01_Rohdaten'!A2124="","",'01_Rohdaten'!A2124)</f>
        <v/>
      </c>
      <c r="C2124" s="27">
        <f>IF(B2124="","",INDEX('01_Rohdaten'!B2124:D2124,'02_Eingaben'!$C$13))</f>
        <v/>
      </c>
      <c r="D2124" s="27">
        <f>IF(C2124="","",C2124*'02_Eingaben'!$C$15)</f>
        <v/>
      </c>
      <c r="E2124" s="27">
        <f>IF(D2124="","",D2124*'02_Eingaben'!$C$8)</f>
        <v/>
      </c>
      <c r="F2124" s="27">
        <f>IF(E2124="","",AVERAGE(INDEX($E$2:$E$3001,MAX(1,ROW()-1-'02_Eingaben'!$C$17)):INDEX($E$2:$E$3001,MIN('02_Eingaben'!$C$21,ROW()-1+'02_Eingaben'!$C$17))))</f>
        <v/>
      </c>
      <c r="G2124" s="27">
        <f>IF(F2124="","",F2124-'02_Eingaben'!$C$10)</f>
        <v/>
      </c>
      <c r="H2124">
        <f>IF(F2124="","",IF(F2124&lt;'02_Eingaben'!$C$18*'02_Eingaben'!$C$10,1,0))</f>
        <v/>
      </c>
      <c r="I2124" s="27">
        <f>IF(OR(G2124="",G2125=""),"",(G2124+G2125)/2*(B2125-B2124))</f>
        <v/>
      </c>
      <c r="J2124" s="27">
        <f>IF(B2124="","",IF(B2123&lt;'02_Eingaben'!$C$36,0,J2123+I2123/'02_Eingaben'!$C$8))</f>
        <v/>
      </c>
    </row>
    <row r="2125">
      <c r="A2125">
        <f>IF('01_Rohdaten'!A2125="","",ROW()-1)</f>
        <v/>
      </c>
      <c r="B2125" s="27">
        <f>IF('01_Rohdaten'!A2125="","",'01_Rohdaten'!A2125)</f>
        <v/>
      </c>
      <c r="C2125" s="27">
        <f>IF(B2125="","",INDEX('01_Rohdaten'!B2125:D2125,'02_Eingaben'!$C$13))</f>
        <v/>
      </c>
      <c r="D2125" s="27">
        <f>IF(C2125="","",C2125*'02_Eingaben'!$C$15)</f>
        <v/>
      </c>
      <c r="E2125" s="27">
        <f>IF(D2125="","",D2125*'02_Eingaben'!$C$8)</f>
        <v/>
      </c>
      <c r="F2125" s="27">
        <f>IF(E2125="","",AVERAGE(INDEX($E$2:$E$3001,MAX(1,ROW()-1-'02_Eingaben'!$C$17)):INDEX($E$2:$E$3001,MIN('02_Eingaben'!$C$21,ROW()-1+'02_Eingaben'!$C$17))))</f>
        <v/>
      </c>
      <c r="G2125" s="27">
        <f>IF(F2125="","",F2125-'02_Eingaben'!$C$10)</f>
        <v/>
      </c>
      <c r="H2125">
        <f>IF(F2125="","",IF(F2125&lt;'02_Eingaben'!$C$18*'02_Eingaben'!$C$10,1,0))</f>
        <v/>
      </c>
      <c r="I2125" s="27">
        <f>IF(OR(G2125="",G2126=""),"",(G2125+G2126)/2*(B2126-B2125))</f>
        <v/>
      </c>
      <c r="J2125" s="27">
        <f>IF(B2125="","",IF(B2124&lt;'02_Eingaben'!$C$36,0,J2124+I2124/'02_Eingaben'!$C$8))</f>
        <v/>
      </c>
    </row>
    <row r="2126">
      <c r="A2126">
        <f>IF('01_Rohdaten'!A2126="","",ROW()-1)</f>
        <v/>
      </c>
      <c r="B2126" s="27">
        <f>IF('01_Rohdaten'!A2126="","",'01_Rohdaten'!A2126)</f>
        <v/>
      </c>
      <c r="C2126" s="27">
        <f>IF(B2126="","",INDEX('01_Rohdaten'!B2126:D2126,'02_Eingaben'!$C$13))</f>
        <v/>
      </c>
      <c r="D2126" s="27">
        <f>IF(C2126="","",C2126*'02_Eingaben'!$C$15)</f>
        <v/>
      </c>
      <c r="E2126" s="27">
        <f>IF(D2126="","",D2126*'02_Eingaben'!$C$8)</f>
        <v/>
      </c>
      <c r="F2126" s="27">
        <f>IF(E2126="","",AVERAGE(INDEX($E$2:$E$3001,MAX(1,ROW()-1-'02_Eingaben'!$C$17)):INDEX($E$2:$E$3001,MIN('02_Eingaben'!$C$21,ROW()-1+'02_Eingaben'!$C$17))))</f>
        <v/>
      </c>
      <c r="G2126" s="27">
        <f>IF(F2126="","",F2126-'02_Eingaben'!$C$10)</f>
        <v/>
      </c>
      <c r="H2126">
        <f>IF(F2126="","",IF(F2126&lt;'02_Eingaben'!$C$18*'02_Eingaben'!$C$10,1,0))</f>
        <v/>
      </c>
      <c r="I2126" s="27">
        <f>IF(OR(G2126="",G2127=""),"",(G2126+G2127)/2*(B2127-B2126))</f>
        <v/>
      </c>
      <c r="J2126" s="27">
        <f>IF(B2126="","",IF(B2125&lt;'02_Eingaben'!$C$36,0,J2125+I2125/'02_Eingaben'!$C$8))</f>
        <v/>
      </c>
    </row>
    <row r="2127">
      <c r="A2127">
        <f>IF('01_Rohdaten'!A2127="","",ROW()-1)</f>
        <v/>
      </c>
      <c r="B2127" s="27">
        <f>IF('01_Rohdaten'!A2127="","",'01_Rohdaten'!A2127)</f>
        <v/>
      </c>
      <c r="C2127" s="27">
        <f>IF(B2127="","",INDEX('01_Rohdaten'!B2127:D2127,'02_Eingaben'!$C$13))</f>
        <v/>
      </c>
      <c r="D2127" s="27">
        <f>IF(C2127="","",C2127*'02_Eingaben'!$C$15)</f>
        <v/>
      </c>
      <c r="E2127" s="27">
        <f>IF(D2127="","",D2127*'02_Eingaben'!$C$8)</f>
        <v/>
      </c>
      <c r="F2127" s="27">
        <f>IF(E2127="","",AVERAGE(INDEX($E$2:$E$3001,MAX(1,ROW()-1-'02_Eingaben'!$C$17)):INDEX($E$2:$E$3001,MIN('02_Eingaben'!$C$21,ROW()-1+'02_Eingaben'!$C$17))))</f>
        <v/>
      </c>
      <c r="G2127" s="27">
        <f>IF(F2127="","",F2127-'02_Eingaben'!$C$10)</f>
        <v/>
      </c>
      <c r="H2127">
        <f>IF(F2127="","",IF(F2127&lt;'02_Eingaben'!$C$18*'02_Eingaben'!$C$10,1,0))</f>
        <v/>
      </c>
      <c r="I2127" s="27">
        <f>IF(OR(G2127="",G2128=""),"",(G2127+G2128)/2*(B2128-B2127))</f>
        <v/>
      </c>
      <c r="J2127" s="27">
        <f>IF(B2127="","",IF(B2126&lt;'02_Eingaben'!$C$36,0,J2126+I2126/'02_Eingaben'!$C$8))</f>
        <v/>
      </c>
    </row>
    <row r="2128">
      <c r="A2128">
        <f>IF('01_Rohdaten'!A2128="","",ROW()-1)</f>
        <v/>
      </c>
      <c r="B2128" s="27">
        <f>IF('01_Rohdaten'!A2128="","",'01_Rohdaten'!A2128)</f>
        <v/>
      </c>
      <c r="C2128" s="27">
        <f>IF(B2128="","",INDEX('01_Rohdaten'!B2128:D2128,'02_Eingaben'!$C$13))</f>
        <v/>
      </c>
      <c r="D2128" s="27">
        <f>IF(C2128="","",C2128*'02_Eingaben'!$C$15)</f>
        <v/>
      </c>
      <c r="E2128" s="27">
        <f>IF(D2128="","",D2128*'02_Eingaben'!$C$8)</f>
        <v/>
      </c>
      <c r="F2128" s="27">
        <f>IF(E2128="","",AVERAGE(INDEX($E$2:$E$3001,MAX(1,ROW()-1-'02_Eingaben'!$C$17)):INDEX($E$2:$E$3001,MIN('02_Eingaben'!$C$21,ROW()-1+'02_Eingaben'!$C$17))))</f>
        <v/>
      </c>
      <c r="G2128" s="27">
        <f>IF(F2128="","",F2128-'02_Eingaben'!$C$10)</f>
        <v/>
      </c>
      <c r="H2128">
        <f>IF(F2128="","",IF(F2128&lt;'02_Eingaben'!$C$18*'02_Eingaben'!$C$10,1,0))</f>
        <v/>
      </c>
      <c r="I2128" s="27">
        <f>IF(OR(G2128="",G2129=""),"",(G2128+G2129)/2*(B2129-B2128))</f>
        <v/>
      </c>
      <c r="J2128" s="27">
        <f>IF(B2128="","",IF(B2127&lt;'02_Eingaben'!$C$36,0,J2127+I2127/'02_Eingaben'!$C$8))</f>
        <v/>
      </c>
    </row>
    <row r="2129">
      <c r="A2129">
        <f>IF('01_Rohdaten'!A2129="","",ROW()-1)</f>
        <v/>
      </c>
      <c r="B2129" s="27">
        <f>IF('01_Rohdaten'!A2129="","",'01_Rohdaten'!A2129)</f>
        <v/>
      </c>
      <c r="C2129" s="27">
        <f>IF(B2129="","",INDEX('01_Rohdaten'!B2129:D2129,'02_Eingaben'!$C$13))</f>
        <v/>
      </c>
      <c r="D2129" s="27">
        <f>IF(C2129="","",C2129*'02_Eingaben'!$C$15)</f>
        <v/>
      </c>
      <c r="E2129" s="27">
        <f>IF(D2129="","",D2129*'02_Eingaben'!$C$8)</f>
        <v/>
      </c>
      <c r="F2129" s="27">
        <f>IF(E2129="","",AVERAGE(INDEX($E$2:$E$3001,MAX(1,ROW()-1-'02_Eingaben'!$C$17)):INDEX($E$2:$E$3001,MIN('02_Eingaben'!$C$21,ROW()-1+'02_Eingaben'!$C$17))))</f>
        <v/>
      </c>
      <c r="G2129" s="27">
        <f>IF(F2129="","",F2129-'02_Eingaben'!$C$10)</f>
        <v/>
      </c>
      <c r="H2129">
        <f>IF(F2129="","",IF(F2129&lt;'02_Eingaben'!$C$18*'02_Eingaben'!$C$10,1,0))</f>
        <v/>
      </c>
      <c r="I2129" s="27">
        <f>IF(OR(G2129="",G2130=""),"",(G2129+G2130)/2*(B2130-B2129))</f>
        <v/>
      </c>
      <c r="J2129" s="27">
        <f>IF(B2129="","",IF(B2128&lt;'02_Eingaben'!$C$36,0,J2128+I2128/'02_Eingaben'!$C$8))</f>
        <v/>
      </c>
    </row>
    <row r="2130">
      <c r="A2130">
        <f>IF('01_Rohdaten'!A2130="","",ROW()-1)</f>
        <v/>
      </c>
      <c r="B2130" s="27">
        <f>IF('01_Rohdaten'!A2130="","",'01_Rohdaten'!A2130)</f>
        <v/>
      </c>
      <c r="C2130" s="27">
        <f>IF(B2130="","",INDEX('01_Rohdaten'!B2130:D2130,'02_Eingaben'!$C$13))</f>
        <v/>
      </c>
      <c r="D2130" s="27">
        <f>IF(C2130="","",C2130*'02_Eingaben'!$C$15)</f>
        <v/>
      </c>
      <c r="E2130" s="27">
        <f>IF(D2130="","",D2130*'02_Eingaben'!$C$8)</f>
        <v/>
      </c>
      <c r="F2130" s="27">
        <f>IF(E2130="","",AVERAGE(INDEX($E$2:$E$3001,MAX(1,ROW()-1-'02_Eingaben'!$C$17)):INDEX($E$2:$E$3001,MIN('02_Eingaben'!$C$21,ROW()-1+'02_Eingaben'!$C$17))))</f>
        <v/>
      </c>
      <c r="G2130" s="27">
        <f>IF(F2130="","",F2130-'02_Eingaben'!$C$10)</f>
        <v/>
      </c>
      <c r="H2130">
        <f>IF(F2130="","",IF(F2130&lt;'02_Eingaben'!$C$18*'02_Eingaben'!$C$10,1,0))</f>
        <v/>
      </c>
      <c r="I2130" s="27">
        <f>IF(OR(G2130="",G2131=""),"",(G2130+G2131)/2*(B2131-B2130))</f>
        <v/>
      </c>
      <c r="J2130" s="27">
        <f>IF(B2130="","",IF(B2129&lt;'02_Eingaben'!$C$36,0,J2129+I2129/'02_Eingaben'!$C$8))</f>
        <v/>
      </c>
    </row>
    <row r="2131">
      <c r="A2131">
        <f>IF('01_Rohdaten'!A2131="","",ROW()-1)</f>
        <v/>
      </c>
      <c r="B2131" s="27">
        <f>IF('01_Rohdaten'!A2131="","",'01_Rohdaten'!A2131)</f>
        <v/>
      </c>
      <c r="C2131" s="27">
        <f>IF(B2131="","",INDEX('01_Rohdaten'!B2131:D2131,'02_Eingaben'!$C$13))</f>
        <v/>
      </c>
      <c r="D2131" s="27">
        <f>IF(C2131="","",C2131*'02_Eingaben'!$C$15)</f>
        <v/>
      </c>
      <c r="E2131" s="27">
        <f>IF(D2131="","",D2131*'02_Eingaben'!$C$8)</f>
        <v/>
      </c>
      <c r="F2131" s="27">
        <f>IF(E2131="","",AVERAGE(INDEX($E$2:$E$3001,MAX(1,ROW()-1-'02_Eingaben'!$C$17)):INDEX($E$2:$E$3001,MIN('02_Eingaben'!$C$21,ROW()-1+'02_Eingaben'!$C$17))))</f>
        <v/>
      </c>
      <c r="G2131" s="27">
        <f>IF(F2131="","",F2131-'02_Eingaben'!$C$10)</f>
        <v/>
      </c>
      <c r="H2131">
        <f>IF(F2131="","",IF(F2131&lt;'02_Eingaben'!$C$18*'02_Eingaben'!$C$10,1,0))</f>
        <v/>
      </c>
      <c r="I2131" s="27">
        <f>IF(OR(G2131="",G2132=""),"",(G2131+G2132)/2*(B2132-B2131))</f>
        <v/>
      </c>
      <c r="J2131" s="27">
        <f>IF(B2131="","",IF(B2130&lt;'02_Eingaben'!$C$36,0,J2130+I2130/'02_Eingaben'!$C$8))</f>
        <v/>
      </c>
    </row>
    <row r="2132">
      <c r="A2132">
        <f>IF('01_Rohdaten'!A2132="","",ROW()-1)</f>
        <v/>
      </c>
      <c r="B2132" s="27">
        <f>IF('01_Rohdaten'!A2132="","",'01_Rohdaten'!A2132)</f>
        <v/>
      </c>
      <c r="C2132" s="27">
        <f>IF(B2132="","",INDEX('01_Rohdaten'!B2132:D2132,'02_Eingaben'!$C$13))</f>
        <v/>
      </c>
      <c r="D2132" s="27">
        <f>IF(C2132="","",C2132*'02_Eingaben'!$C$15)</f>
        <v/>
      </c>
      <c r="E2132" s="27">
        <f>IF(D2132="","",D2132*'02_Eingaben'!$C$8)</f>
        <v/>
      </c>
      <c r="F2132" s="27">
        <f>IF(E2132="","",AVERAGE(INDEX($E$2:$E$3001,MAX(1,ROW()-1-'02_Eingaben'!$C$17)):INDEX($E$2:$E$3001,MIN('02_Eingaben'!$C$21,ROW()-1+'02_Eingaben'!$C$17))))</f>
        <v/>
      </c>
      <c r="G2132" s="27">
        <f>IF(F2132="","",F2132-'02_Eingaben'!$C$10)</f>
        <v/>
      </c>
      <c r="H2132">
        <f>IF(F2132="","",IF(F2132&lt;'02_Eingaben'!$C$18*'02_Eingaben'!$C$10,1,0))</f>
        <v/>
      </c>
      <c r="I2132" s="27">
        <f>IF(OR(G2132="",G2133=""),"",(G2132+G2133)/2*(B2133-B2132))</f>
        <v/>
      </c>
      <c r="J2132" s="27">
        <f>IF(B2132="","",IF(B2131&lt;'02_Eingaben'!$C$36,0,J2131+I2131/'02_Eingaben'!$C$8))</f>
        <v/>
      </c>
    </row>
    <row r="2133">
      <c r="A2133">
        <f>IF('01_Rohdaten'!A2133="","",ROW()-1)</f>
        <v/>
      </c>
      <c r="B2133" s="27">
        <f>IF('01_Rohdaten'!A2133="","",'01_Rohdaten'!A2133)</f>
        <v/>
      </c>
      <c r="C2133" s="27">
        <f>IF(B2133="","",INDEX('01_Rohdaten'!B2133:D2133,'02_Eingaben'!$C$13))</f>
        <v/>
      </c>
      <c r="D2133" s="27">
        <f>IF(C2133="","",C2133*'02_Eingaben'!$C$15)</f>
        <v/>
      </c>
      <c r="E2133" s="27">
        <f>IF(D2133="","",D2133*'02_Eingaben'!$C$8)</f>
        <v/>
      </c>
      <c r="F2133" s="27">
        <f>IF(E2133="","",AVERAGE(INDEX($E$2:$E$3001,MAX(1,ROW()-1-'02_Eingaben'!$C$17)):INDEX($E$2:$E$3001,MIN('02_Eingaben'!$C$21,ROW()-1+'02_Eingaben'!$C$17))))</f>
        <v/>
      </c>
      <c r="G2133" s="27">
        <f>IF(F2133="","",F2133-'02_Eingaben'!$C$10)</f>
        <v/>
      </c>
      <c r="H2133">
        <f>IF(F2133="","",IF(F2133&lt;'02_Eingaben'!$C$18*'02_Eingaben'!$C$10,1,0))</f>
        <v/>
      </c>
      <c r="I2133" s="27">
        <f>IF(OR(G2133="",G2134=""),"",(G2133+G2134)/2*(B2134-B2133))</f>
        <v/>
      </c>
      <c r="J2133" s="27">
        <f>IF(B2133="","",IF(B2132&lt;'02_Eingaben'!$C$36,0,J2132+I2132/'02_Eingaben'!$C$8))</f>
        <v/>
      </c>
    </row>
    <row r="2134">
      <c r="A2134">
        <f>IF('01_Rohdaten'!A2134="","",ROW()-1)</f>
        <v/>
      </c>
      <c r="B2134" s="27">
        <f>IF('01_Rohdaten'!A2134="","",'01_Rohdaten'!A2134)</f>
        <v/>
      </c>
      <c r="C2134" s="27">
        <f>IF(B2134="","",INDEX('01_Rohdaten'!B2134:D2134,'02_Eingaben'!$C$13))</f>
        <v/>
      </c>
      <c r="D2134" s="27">
        <f>IF(C2134="","",C2134*'02_Eingaben'!$C$15)</f>
        <v/>
      </c>
      <c r="E2134" s="27">
        <f>IF(D2134="","",D2134*'02_Eingaben'!$C$8)</f>
        <v/>
      </c>
      <c r="F2134" s="27">
        <f>IF(E2134="","",AVERAGE(INDEX($E$2:$E$3001,MAX(1,ROW()-1-'02_Eingaben'!$C$17)):INDEX($E$2:$E$3001,MIN('02_Eingaben'!$C$21,ROW()-1+'02_Eingaben'!$C$17))))</f>
        <v/>
      </c>
      <c r="G2134" s="27">
        <f>IF(F2134="","",F2134-'02_Eingaben'!$C$10)</f>
        <v/>
      </c>
      <c r="H2134">
        <f>IF(F2134="","",IF(F2134&lt;'02_Eingaben'!$C$18*'02_Eingaben'!$C$10,1,0))</f>
        <v/>
      </c>
      <c r="I2134" s="27">
        <f>IF(OR(G2134="",G2135=""),"",(G2134+G2135)/2*(B2135-B2134))</f>
        <v/>
      </c>
      <c r="J2134" s="27">
        <f>IF(B2134="","",IF(B2133&lt;'02_Eingaben'!$C$36,0,J2133+I2133/'02_Eingaben'!$C$8))</f>
        <v/>
      </c>
    </row>
    <row r="2135">
      <c r="A2135">
        <f>IF('01_Rohdaten'!A2135="","",ROW()-1)</f>
        <v/>
      </c>
      <c r="B2135" s="27">
        <f>IF('01_Rohdaten'!A2135="","",'01_Rohdaten'!A2135)</f>
        <v/>
      </c>
      <c r="C2135" s="27">
        <f>IF(B2135="","",INDEX('01_Rohdaten'!B2135:D2135,'02_Eingaben'!$C$13))</f>
        <v/>
      </c>
      <c r="D2135" s="27">
        <f>IF(C2135="","",C2135*'02_Eingaben'!$C$15)</f>
        <v/>
      </c>
      <c r="E2135" s="27">
        <f>IF(D2135="","",D2135*'02_Eingaben'!$C$8)</f>
        <v/>
      </c>
      <c r="F2135" s="27">
        <f>IF(E2135="","",AVERAGE(INDEX($E$2:$E$3001,MAX(1,ROW()-1-'02_Eingaben'!$C$17)):INDEX($E$2:$E$3001,MIN('02_Eingaben'!$C$21,ROW()-1+'02_Eingaben'!$C$17))))</f>
        <v/>
      </c>
      <c r="G2135" s="27">
        <f>IF(F2135="","",F2135-'02_Eingaben'!$C$10)</f>
        <v/>
      </c>
      <c r="H2135">
        <f>IF(F2135="","",IF(F2135&lt;'02_Eingaben'!$C$18*'02_Eingaben'!$C$10,1,0))</f>
        <v/>
      </c>
      <c r="I2135" s="27">
        <f>IF(OR(G2135="",G2136=""),"",(G2135+G2136)/2*(B2136-B2135))</f>
        <v/>
      </c>
      <c r="J2135" s="27">
        <f>IF(B2135="","",IF(B2134&lt;'02_Eingaben'!$C$36,0,J2134+I2134/'02_Eingaben'!$C$8))</f>
        <v/>
      </c>
    </row>
    <row r="2136">
      <c r="A2136">
        <f>IF('01_Rohdaten'!A2136="","",ROW()-1)</f>
        <v/>
      </c>
      <c r="B2136" s="27">
        <f>IF('01_Rohdaten'!A2136="","",'01_Rohdaten'!A2136)</f>
        <v/>
      </c>
      <c r="C2136" s="27">
        <f>IF(B2136="","",INDEX('01_Rohdaten'!B2136:D2136,'02_Eingaben'!$C$13))</f>
        <v/>
      </c>
      <c r="D2136" s="27">
        <f>IF(C2136="","",C2136*'02_Eingaben'!$C$15)</f>
        <v/>
      </c>
      <c r="E2136" s="27">
        <f>IF(D2136="","",D2136*'02_Eingaben'!$C$8)</f>
        <v/>
      </c>
      <c r="F2136" s="27">
        <f>IF(E2136="","",AVERAGE(INDEX($E$2:$E$3001,MAX(1,ROW()-1-'02_Eingaben'!$C$17)):INDEX($E$2:$E$3001,MIN('02_Eingaben'!$C$21,ROW()-1+'02_Eingaben'!$C$17))))</f>
        <v/>
      </c>
      <c r="G2136" s="27">
        <f>IF(F2136="","",F2136-'02_Eingaben'!$C$10)</f>
        <v/>
      </c>
      <c r="H2136">
        <f>IF(F2136="","",IF(F2136&lt;'02_Eingaben'!$C$18*'02_Eingaben'!$C$10,1,0))</f>
        <v/>
      </c>
      <c r="I2136" s="27">
        <f>IF(OR(G2136="",G2137=""),"",(G2136+G2137)/2*(B2137-B2136))</f>
        <v/>
      </c>
      <c r="J2136" s="27">
        <f>IF(B2136="","",IF(B2135&lt;'02_Eingaben'!$C$36,0,J2135+I2135/'02_Eingaben'!$C$8))</f>
        <v/>
      </c>
    </row>
    <row r="2137">
      <c r="A2137">
        <f>IF('01_Rohdaten'!A2137="","",ROW()-1)</f>
        <v/>
      </c>
      <c r="B2137" s="27">
        <f>IF('01_Rohdaten'!A2137="","",'01_Rohdaten'!A2137)</f>
        <v/>
      </c>
      <c r="C2137" s="27">
        <f>IF(B2137="","",INDEX('01_Rohdaten'!B2137:D2137,'02_Eingaben'!$C$13))</f>
        <v/>
      </c>
      <c r="D2137" s="27">
        <f>IF(C2137="","",C2137*'02_Eingaben'!$C$15)</f>
        <v/>
      </c>
      <c r="E2137" s="27">
        <f>IF(D2137="","",D2137*'02_Eingaben'!$C$8)</f>
        <v/>
      </c>
      <c r="F2137" s="27">
        <f>IF(E2137="","",AVERAGE(INDEX($E$2:$E$3001,MAX(1,ROW()-1-'02_Eingaben'!$C$17)):INDEX($E$2:$E$3001,MIN('02_Eingaben'!$C$21,ROW()-1+'02_Eingaben'!$C$17))))</f>
        <v/>
      </c>
      <c r="G2137" s="27">
        <f>IF(F2137="","",F2137-'02_Eingaben'!$C$10)</f>
        <v/>
      </c>
      <c r="H2137">
        <f>IF(F2137="","",IF(F2137&lt;'02_Eingaben'!$C$18*'02_Eingaben'!$C$10,1,0))</f>
        <v/>
      </c>
      <c r="I2137" s="27">
        <f>IF(OR(G2137="",G2138=""),"",(G2137+G2138)/2*(B2138-B2137))</f>
        <v/>
      </c>
      <c r="J2137" s="27">
        <f>IF(B2137="","",IF(B2136&lt;'02_Eingaben'!$C$36,0,J2136+I2136/'02_Eingaben'!$C$8))</f>
        <v/>
      </c>
    </row>
    <row r="2138">
      <c r="A2138">
        <f>IF('01_Rohdaten'!A2138="","",ROW()-1)</f>
        <v/>
      </c>
      <c r="B2138" s="27">
        <f>IF('01_Rohdaten'!A2138="","",'01_Rohdaten'!A2138)</f>
        <v/>
      </c>
      <c r="C2138" s="27">
        <f>IF(B2138="","",INDEX('01_Rohdaten'!B2138:D2138,'02_Eingaben'!$C$13))</f>
        <v/>
      </c>
      <c r="D2138" s="27">
        <f>IF(C2138="","",C2138*'02_Eingaben'!$C$15)</f>
        <v/>
      </c>
      <c r="E2138" s="27">
        <f>IF(D2138="","",D2138*'02_Eingaben'!$C$8)</f>
        <v/>
      </c>
      <c r="F2138" s="27">
        <f>IF(E2138="","",AVERAGE(INDEX($E$2:$E$3001,MAX(1,ROW()-1-'02_Eingaben'!$C$17)):INDEX($E$2:$E$3001,MIN('02_Eingaben'!$C$21,ROW()-1+'02_Eingaben'!$C$17))))</f>
        <v/>
      </c>
      <c r="G2138" s="27">
        <f>IF(F2138="","",F2138-'02_Eingaben'!$C$10)</f>
        <v/>
      </c>
      <c r="H2138">
        <f>IF(F2138="","",IF(F2138&lt;'02_Eingaben'!$C$18*'02_Eingaben'!$C$10,1,0))</f>
        <v/>
      </c>
      <c r="I2138" s="27">
        <f>IF(OR(G2138="",G2139=""),"",(G2138+G2139)/2*(B2139-B2138))</f>
        <v/>
      </c>
      <c r="J2138" s="27">
        <f>IF(B2138="","",IF(B2137&lt;'02_Eingaben'!$C$36,0,J2137+I2137/'02_Eingaben'!$C$8))</f>
        <v/>
      </c>
    </row>
    <row r="2139">
      <c r="A2139">
        <f>IF('01_Rohdaten'!A2139="","",ROW()-1)</f>
        <v/>
      </c>
      <c r="B2139" s="27">
        <f>IF('01_Rohdaten'!A2139="","",'01_Rohdaten'!A2139)</f>
        <v/>
      </c>
      <c r="C2139" s="27">
        <f>IF(B2139="","",INDEX('01_Rohdaten'!B2139:D2139,'02_Eingaben'!$C$13))</f>
        <v/>
      </c>
      <c r="D2139" s="27">
        <f>IF(C2139="","",C2139*'02_Eingaben'!$C$15)</f>
        <v/>
      </c>
      <c r="E2139" s="27">
        <f>IF(D2139="","",D2139*'02_Eingaben'!$C$8)</f>
        <v/>
      </c>
      <c r="F2139" s="27">
        <f>IF(E2139="","",AVERAGE(INDEX($E$2:$E$3001,MAX(1,ROW()-1-'02_Eingaben'!$C$17)):INDEX($E$2:$E$3001,MIN('02_Eingaben'!$C$21,ROW()-1+'02_Eingaben'!$C$17))))</f>
        <v/>
      </c>
      <c r="G2139" s="27">
        <f>IF(F2139="","",F2139-'02_Eingaben'!$C$10)</f>
        <v/>
      </c>
      <c r="H2139">
        <f>IF(F2139="","",IF(F2139&lt;'02_Eingaben'!$C$18*'02_Eingaben'!$C$10,1,0))</f>
        <v/>
      </c>
      <c r="I2139" s="27">
        <f>IF(OR(G2139="",G2140=""),"",(G2139+G2140)/2*(B2140-B2139))</f>
        <v/>
      </c>
      <c r="J2139" s="27">
        <f>IF(B2139="","",IF(B2138&lt;'02_Eingaben'!$C$36,0,J2138+I2138/'02_Eingaben'!$C$8))</f>
        <v/>
      </c>
    </row>
    <row r="2140">
      <c r="A2140">
        <f>IF('01_Rohdaten'!A2140="","",ROW()-1)</f>
        <v/>
      </c>
      <c r="B2140" s="27">
        <f>IF('01_Rohdaten'!A2140="","",'01_Rohdaten'!A2140)</f>
        <v/>
      </c>
      <c r="C2140" s="27">
        <f>IF(B2140="","",INDEX('01_Rohdaten'!B2140:D2140,'02_Eingaben'!$C$13))</f>
        <v/>
      </c>
      <c r="D2140" s="27">
        <f>IF(C2140="","",C2140*'02_Eingaben'!$C$15)</f>
        <v/>
      </c>
      <c r="E2140" s="27">
        <f>IF(D2140="","",D2140*'02_Eingaben'!$C$8)</f>
        <v/>
      </c>
      <c r="F2140" s="27">
        <f>IF(E2140="","",AVERAGE(INDEX($E$2:$E$3001,MAX(1,ROW()-1-'02_Eingaben'!$C$17)):INDEX($E$2:$E$3001,MIN('02_Eingaben'!$C$21,ROW()-1+'02_Eingaben'!$C$17))))</f>
        <v/>
      </c>
      <c r="G2140" s="27">
        <f>IF(F2140="","",F2140-'02_Eingaben'!$C$10)</f>
        <v/>
      </c>
      <c r="H2140">
        <f>IF(F2140="","",IF(F2140&lt;'02_Eingaben'!$C$18*'02_Eingaben'!$C$10,1,0))</f>
        <v/>
      </c>
      <c r="I2140" s="27">
        <f>IF(OR(G2140="",G2141=""),"",(G2140+G2141)/2*(B2141-B2140))</f>
        <v/>
      </c>
      <c r="J2140" s="27">
        <f>IF(B2140="","",IF(B2139&lt;'02_Eingaben'!$C$36,0,J2139+I2139/'02_Eingaben'!$C$8))</f>
        <v/>
      </c>
    </row>
    <row r="2141">
      <c r="A2141">
        <f>IF('01_Rohdaten'!A2141="","",ROW()-1)</f>
        <v/>
      </c>
      <c r="B2141" s="27">
        <f>IF('01_Rohdaten'!A2141="","",'01_Rohdaten'!A2141)</f>
        <v/>
      </c>
      <c r="C2141" s="27">
        <f>IF(B2141="","",INDEX('01_Rohdaten'!B2141:D2141,'02_Eingaben'!$C$13))</f>
        <v/>
      </c>
      <c r="D2141" s="27">
        <f>IF(C2141="","",C2141*'02_Eingaben'!$C$15)</f>
        <v/>
      </c>
      <c r="E2141" s="27">
        <f>IF(D2141="","",D2141*'02_Eingaben'!$C$8)</f>
        <v/>
      </c>
      <c r="F2141" s="27">
        <f>IF(E2141="","",AVERAGE(INDEX($E$2:$E$3001,MAX(1,ROW()-1-'02_Eingaben'!$C$17)):INDEX($E$2:$E$3001,MIN('02_Eingaben'!$C$21,ROW()-1+'02_Eingaben'!$C$17))))</f>
        <v/>
      </c>
      <c r="G2141" s="27">
        <f>IF(F2141="","",F2141-'02_Eingaben'!$C$10)</f>
        <v/>
      </c>
      <c r="H2141">
        <f>IF(F2141="","",IF(F2141&lt;'02_Eingaben'!$C$18*'02_Eingaben'!$C$10,1,0))</f>
        <v/>
      </c>
      <c r="I2141" s="27">
        <f>IF(OR(G2141="",G2142=""),"",(G2141+G2142)/2*(B2142-B2141))</f>
        <v/>
      </c>
      <c r="J2141" s="27">
        <f>IF(B2141="","",IF(B2140&lt;'02_Eingaben'!$C$36,0,J2140+I2140/'02_Eingaben'!$C$8))</f>
        <v/>
      </c>
    </row>
    <row r="2142">
      <c r="A2142">
        <f>IF('01_Rohdaten'!A2142="","",ROW()-1)</f>
        <v/>
      </c>
      <c r="B2142" s="27">
        <f>IF('01_Rohdaten'!A2142="","",'01_Rohdaten'!A2142)</f>
        <v/>
      </c>
      <c r="C2142" s="27">
        <f>IF(B2142="","",INDEX('01_Rohdaten'!B2142:D2142,'02_Eingaben'!$C$13))</f>
        <v/>
      </c>
      <c r="D2142" s="27">
        <f>IF(C2142="","",C2142*'02_Eingaben'!$C$15)</f>
        <v/>
      </c>
      <c r="E2142" s="27">
        <f>IF(D2142="","",D2142*'02_Eingaben'!$C$8)</f>
        <v/>
      </c>
      <c r="F2142" s="27">
        <f>IF(E2142="","",AVERAGE(INDEX($E$2:$E$3001,MAX(1,ROW()-1-'02_Eingaben'!$C$17)):INDEX($E$2:$E$3001,MIN('02_Eingaben'!$C$21,ROW()-1+'02_Eingaben'!$C$17))))</f>
        <v/>
      </c>
      <c r="G2142" s="27">
        <f>IF(F2142="","",F2142-'02_Eingaben'!$C$10)</f>
        <v/>
      </c>
      <c r="H2142">
        <f>IF(F2142="","",IF(F2142&lt;'02_Eingaben'!$C$18*'02_Eingaben'!$C$10,1,0))</f>
        <v/>
      </c>
      <c r="I2142" s="27">
        <f>IF(OR(G2142="",G2143=""),"",(G2142+G2143)/2*(B2143-B2142))</f>
        <v/>
      </c>
      <c r="J2142" s="27">
        <f>IF(B2142="","",IF(B2141&lt;'02_Eingaben'!$C$36,0,J2141+I2141/'02_Eingaben'!$C$8))</f>
        <v/>
      </c>
    </row>
    <row r="2143">
      <c r="A2143">
        <f>IF('01_Rohdaten'!A2143="","",ROW()-1)</f>
        <v/>
      </c>
      <c r="B2143" s="27">
        <f>IF('01_Rohdaten'!A2143="","",'01_Rohdaten'!A2143)</f>
        <v/>
      </c>
      <c r="C2143" s="27">
        <f>IF(B2143="","",INDEX('01_Rohdaten'!B2143:D2143,'02_Eingaben'!$C$13))</f>
        <v/>
      </c>
      <c r="D2143" s="27">
        <f>IF(C2143="","",C2143*'02_Eingaben'!$C$15)</f>
        <v/>
      </c>
      <c r="E2143" s="27">
        <f>IF(D2143="","",D2143*'02_Eingaben'!$C$8)</f>
        <v/>
      </c>
      <c r="F2143" s="27">
        <f>IF(E2143="","",AVERAGE(INDEX($E$2:$E$3001,MAX(1,ROW()-1-'02_Eingaben'!$C$17)):INDEX($E$2:$E$3001,MIN('02_Eingaben'!$C$21,ROW()-1+'02_Eingaben'!$C$17))))</f>
        <v/>
      </c>
      <c r="G2143" s="27">
        <f>IF(F2143="","",F2143-'02_Eingaben'!$C$10)</f>
        <v/>
      </c>
      <c r="H2143">
        <f>IF(F2143="","",IF(F2143&lt;'02_Eingaben'!$C$18*'02_Eingaben'!$C$10,1,0))</f>
        <v/>
      </c>
      <c r="I2143" s="27">
        <f>IF(OR(G2143="",G2144=""),"",(G2143+G2144)/2*(B2144-B2143))</f>
        <v/>
      </c>
      <c r="J2143" s="27">
        <f>IF(B2143="","",IF(B2142&lt;'02_Eingaben'!$C$36,0,J2142+I2142/'02_Eingaben'!$C$8))</f>
        <v/>
      </c>
    </row>
    <row r="2144">
      <c r="A2144">
        <f>IF('01_Rohdaten'!A2144="","",ROW()-1)</f>
        <v/>
      </c>
      <c r="B2144" s="27">
        <f>IF('01_Rohdaten'!A2144="","",'01_Rohdaten'!A2144)</f>
        <v/>
      </c>
      <c r="C2144" s="27">
        <f>IF(B2144="","",INDEX('01_Rohdaten'!B2144:D2144,'02_Eingaben'!$C$13))</f>
        <v/>
      </c>
      <c r="D2144" s="27">
        <f>IF(C2144="","",C2144*'02_Eingaben'!$C$15)</f>
        <v/>
      </c>
      <c r="E2144" s="27">
        <f>IF(D2144="","",D2144*'02_Eingaben'!$C$8)</f>
        <v/>
      </c>
      <c r="F2144" s="27">
        <f>IF(E2144="","",AVERAGE(INDEX($E$2:$E$3001,MAX(1,ROW()-1-'02_Eingaben'!$C$17)):INDEX($E$2:$E$3001,MIN('02_Eingaben'!$C$21,ROW()-1+'02_Eingaben'!$C$17))))</f>
        <v/>
      </c>
      <c r="G2144" s="27">
        <f>IF(F2144="","",F2144-'02_Eingaben'!$C$10)</f>
        <v/>
      </c>
      <c r="H2144">
        <f>IF(F2144="","",IF(F2144&lt;'02_Eingaben'!$C$18*'02_Eingaben'!$C$10,1,0))</f>
        <v/>
      </c>
      <c r="I2144" s="27">
        <f>IF(OR(G2144="",G2145=""),"",(G2144+G2145)/2*(B2145-B2144))</f>
        <v/>
      </c>
      <c r="J2144" s="27">
        <f>IF(B2144="","",IF(B2143&lt;'02_Eingaben'!$C$36,0,J2143+I2143/'02_Eingaben'!$C$8))</f>
        <v/>
      </c>
    </row>
    <row r="2145">
      <c r="A2145">
        <f>IF('01_Rohdaten'!A2145="","",ROW()-1)</f>
        <v/>
      </c>
      <c r="B2145" s="27">
        <f>IF('01_Rohdaten'!A2145="","",'01_Rohdaten'!A2145)</f>
        <v/>
      </c>
      <c r="C2145" s="27">
        <f>IF(B2145="","",INDEX('01_Rohdaten'!B2145:D2145,'02_Eingaben'!$C$13))</f>
        <v/>
      </c>
      <c r="D2145" s="27">
        <f>IF(C2145="","",C2145*'02_Eingaben'!$C$15)</f>
        <v/>
      </c>
      <c r="E2145" s="27">
        <f>IF(D2145="","",D2145*'02_Eingaben'!$C$8)</f>
        <v/>
      </c>
      <c r="F2145" s="27">
        <f>IF(E2145="","",AVERAGE(INDEX($E$2:$E$3001,MAX(1,ROW()-1-'02_Eingaben'!$C$17)):INDEX($E$2:$E$3001,MIN('02_Eingaben'!$C$21,ROW()-1+'02_Eingaben'!$C$17))))</f>
        <v/>
      </c>
      <c r="G2145" s="27">
        <f>IF(F2145="","",F2145-'02_Eingaben'!$C$10)</f>
        <v/>
      </c>
      <c r="H2145">
        <f>IF(F2145="","",IF(F2145&lt;'02_Eingaben'!$C$18*'02_Eingaben'!$C$10,1,0))</f>
        <v/>
      </c>
      <c r="I2145" s="27">
        <f>IF(OR(G2145="",G2146=""),"",(G2145+G2146)/2*(B2146-B2145))</f>
        <v/>
      </c>
      <c r="J2145" s="27">
        <f>IF(B2145="","",IF(B2144&lt;'02_Eingaben'!$C$36,0,J2144+I2144/'02_Eingaben'!$C$8))</f>
        <v/>
      </c>
    </row>
    <row r="2146">
      <c r="A2146">
        <f>IF('01_Rohdaten'!A2146="","",ROW()-1)</f>
        <v/>
      </c>
      <c r="B2146" s="27">
        <f>IF('01_Rohdaten'!A2146="","",'01_Rohdaten'!A2146)</f>
        <v/>
      </c>
      <c r="C2146" s="27">
        <f>IF(B2146="","",INDEX('01_Rohdaten'!B2146:D2146,'02_Eingaben'!$C$13))</f>
        <v/>
      </c>
      <c r="D2146" s="27">
        <f>IF(C2146="","",C2146*'02_Eingaben'!$C$15)</f>
        <v/>
      </c>
      <c r="E2146" s="27">
        <f>IF(D2146="","",D2146*'02_Eingaben'!$C$8)</f>
        <v/>
      </c>
      <c r="F2146" s="27">
        <f>IF(E2146="","",AVERAGE(INDEX($E$2:$E$3001,MAX(1,ROW()-1-'02_Eingaben'!$C$17)):INDEX($E$2:$E$3001,MIN('02_Eingaben'!$C$21,ROW()-1+'02_Eingaben'!$C$17))))</f>
        <v/>
      </c>
      <c r="G2146" s="27">
        <f>IF(F2146="","",F2146-'02_Eingaben'!$C$10)</f>
        <v/>
      </c>
      <c r="H2146">
        <f>IF(F2146="","",IF(F2146&lt;'02_Eingaben'!$C$18*'02_Eingaben'!$C$10,1,0))</f>
        <v/>
      </c>
      <c r="I2146" s="27">
        <f>IF(OR(G2146="",G2147=""),"",(G2146+G2147)/2*(B2147-B2146))</f>
        <v/>
      </c>
      <c r="J2146" s="27">
        <f>IF(B2146="","",IF(B2145&lt;'02_Eingaben'!$C$36,0,J2145+I2145/'02_Eingaben'!$C$8))</f>
        <v/>
      </c>
    </row>
    <row r="2147">
      <c r="A2147">
        <f>IF('01_Rohdaten'!A2147="","",ROW()-1)</f>
        <v/>
      </c>
      <c r="B2147" s="27">
        <f>IF('01_Rohdaten'!A2147="","",'01_Rohdaten'!A2147)</f>
        <v/>
      </c>
      <c r="C2147" s="27">
        <f>IF(B2147="","",INDEX('01_Rohdaten'!B2147:D2147,'02_Eingaben'!$C$13))</f>
        <v/>
      </c>
      <c r="D2147" s="27">
        <f>IF(C2147="","",C2147*'02_Eingaben'!$C$15)</f>
        <v/>
      </c>
      <c r="E2147" s="27">
        <f>IF(D2147="","",D2147*'02_Eingaben'!$C$8)</f>
        <v/>
      </c>
      <c r="F2147" s="27">
        <f>IF(E2147="","",AVERAGE(INDEX($E$2:$E$3001,MAX(1,ROW()-1-'02_Eingaben'!$C$17)):INDEX($E$2:$E$3001,MIN('02_Eingaben'!$C$21,ROW()-1+'02_Eingaben'!$C$17))))</f>
        <v/>
      </c>
      <c r="G2147" s="27">
        <f>IF(F2147="","",F2147-'02_Eingaben'!$C$10)</f>
        <v/>
      </c>
      <c r="H2147">
        <f>IF(F2147="","",IF(F2147&lt;'02_Eingaben'!$C$18*'02_Eingaben'!$C$10,1,0))</f>
        <v/>
      </c>
      <c r="I2147" s="27">
        <f>IF(OR(G2147="",G2148=""),"",(G2147+G2148)/2*(B2148-B2147))</f>
        <v/>
      </c>
      <c r="J2147" s="27">
        <f>IF(B2147="","",IF(B2146&lt;'02_Eingaben'!$C$36,0,J2146+I2146/'02_Eingaben'!$C$8))</f>
        <v/>
      </c>
    </row>
    <row r="2148">
      <c r="A2148">
        <f>IF('01_Rohdaten'!A2148="","",ROW()-1)</f>
        <v/>
      </c>
      <c r="B2148" s="27">
        <f>IF('01_Rohdaten'!A2148="","",'01_Rohdaten'!A2148)</f>
        <v/>
      </c>
      <c r="C2148" s="27">
        <f>IF(B2148="","",INDEX('01_Rohdaten'!B2148:D2148,'02_Eingaben'!$C$13))</f>
        <v/>
      </c>
      <c r="D2148" s="27">
        <f>IF(C2148="","",C2148*'02_Eingaben'!$C$15)</f>
        <v/>
      </c>
      <c r="E2148" s="27">
        <f>IF(D2148="","",D2148*'02_Eingaben'!$C$8)</f>
        <v/>
      </c>
      <c r="F2148" s="27">
        <f>IF(E2148="","",AVERAGE(INDEX($E$2:$E$3001,MAX(1,ROW()-1-'02_Eingaben'!$C$17)):INDEX($E$2:$E$3001,MIN('02_Eingaben'!$C$21,ROW()-1+'02_Eingaben'!$C$17))))</f>
        <v/>
      </c>
      <c r="G2148" s="27">
        <f>IF(F2148="","",F2148-'02_Eingaben'!$C$10)</f>
        <v/>
      </c>
      <c r="H2148">
        <f>IF(F2148="","",IF(F2148&lt;'02_Eingaben'!$C$18*'02_Eingaben'!$C$10,1,0))</f>
        <v/>
      </c>
      <c r="I2148" s="27">
        <f>IF(OR(G2148="",G2149=""),"",(G2148+G2149)/2*(B2149-B2148))</f>
        <v/>
      </c>
      <c r="J2148" s="27">
        <f>IF(B2148="","",IF(B2147&lt;'02_Eingaben'!$C$36,0,J2147+I2147/'02_Eingaben'!$C$8))</f>
        <v/>
      </c>
    </row>
    <row r="2149">
      <c r="A2149">
        <f>IF('01_Rohdaten'!A2149="","",ROW()-1)</f>
        <v/>
      </c>
      <c r="B2149" s="27">
        <f>IF('01_Rohdaten'!A2149="","",'01_Rohdaten'!A2149)</f>
        <v/>
      </c>
      <c r="C2149" s="27">
        <f>IF(B2149="","",INDEX('01_Rohdaten'!B2149:D2149,'02_Eingaben'!$C$13))</f>
        <v/>
      </c>
      <c r="D2149" s="27">
        <f>IF(C2149="","",C2149*'02_Eingaben'!$C$15)</f>
        <v/>
      </c>
      <c r="E2149" s="27">
        <f>IF(D2149="","",D2149*'02_Eingaben'!$C$8)</f>
        <v/>
      </c>
      <c r="F2149" s="27">
        <f>IF(E2149="","",AVERAGE(INDEX($E$2:$E$3001,MAX(1,ROW()-1-'02_Eingaben'!$C$17)):INDEX($E$2:$E$3001,MIN('02_Eingaben'!$C$21,ROW()-1+'02_Eingaben'!$C$17))))</f>
        <v/>
      </c>
      <c r="G2149" s="27">
        <f>IF(F2149="","",F2149-'02_Eingaben'!$C$10)</f>
        <v/>
      </c>
      <c r="H2149">
        <f>IF(F2149="","",IF(F2149&lt;'02_Eingaben'!$C$18*'02_Eingaben'!$C$10,1,0))</f>
        <v/>
      </c>
      <c r="I2149" s="27">
        <f>IF(OR(G2149="",G2150=""),"",(G2149+G2150)/2*(B2150-B2149))</f>
        <v/>
      </c>
      <c r="J2149" s="27">
        <f>IF(B2149="","",IF(B2148&lt;'02_Eingaben'!$C$36,0,J2148+I2148/'02_Eingaben'!$C$8))</f>
        <v/>
      </c>
    </row>
    <row r="2150">
      <c r="A2150">
        <f>IF('01_Rohdaten'!A2150="","",ROW()-1)</f>
        <v/>
      </c>
      <c r="B2150" s="27">
        <f>IF('01_Rohdaten'!A2150="","",'01_Rohdaten'!A2150)</f>
        <v/>
      </c>
      <c r="C2150" s="27">
        <f>IF(B2150="","",INDEX('01_Rohdaten'!B2150:D2150,'02_Eingaben'!$C$13))</f>
        <v/>
      </c>
      <c r="D2150" s="27">
        <f>IF(C2150="","",C2150*'02_Eingaben'!$C$15)</f>
        <v/>
      </c>
      <c r="E2150" s="27">
        <f>IF(D2150="","",D2150*'02_Eingaben'!$C$8)</f>
        <v/>
      </c>
      <c r="F2150" s="27">
        <f>IF(E2150="","",AVERAGE(INDEX($E$2:$E$3001,MAX(1,ROW()-1-'02_Eingaben'!$C$17)):INDEX($E$2:$E$3001,MIN('02_Eingaben'!$C$21,ROW()-1+'02_Eingaben'!$C$17))))</f>
        <v/>
      </c>
      <c r="G2150" s="27">
        <f>IF(F2150="","",F2150-'02_Eingaben'!$C$10)</f>
        <v/>
      </c>
      <c r="H2150">
        <f>IF(F2150="","",IF(F2150&lt;'02_Eingaben'!$C$18*'02_Eingaben'!$C$10,1,0))</f>
        <v/>
      </c>
      <c r="I2150" s="27">
        <f>IF(OR(G2150="",G2151=""),"",(G2150+G2151)/2*(B2151-B2150))</f>
        <v/>
      </c>
      <c r="J2150" s="27">
        <f>IF(B2150="","",IF(B2149&lt;'02_Eingaben'!$C$36,0,J2149+I2149/'02_Eingaben'!$C$8))</f>
        <v/>
      </c>
    </row>
    <row r="2151">
      <c r="A2151">
        <f>IF('01_Rohdaten'!A2151="","",ROW()-1)</f>
        <v/>
      </c>
      <c r="B2151" s="27">
        <f>IF('01_Rohdaten'!A2151="","",'01_Rohdaten'!A2151)</f>
        <v/>
      </c>
      <c r="C2151" s="27">
        <f>IF(B2151="","",INDEX('01_Rohdaten'!B2151:D2151,'02_Eingaben'!$C$13))</f>
        <v/>
      </c>
      <c r="D2151" s="27">
        <f>IF(C2151="","",C2151*'02_Eingaben'!$C$15)</f>
        <v/>
      </c>
      <c r="E2151" s="27">
        <f>IF(D2151="","",D2151*'02_Eingaben'!$C$8)</f>
        <v/>
      </c>
      <c r="F2151" s="27">
        <f>IF(E2151="","",AVERAGE(INDEX($E$2:$E$3001,MAX(1,ROW()-1-'02_Eingaben'!$C$17)):INDEX($E$2:$E$3001,MIN('02_Eingaben'!$C$21,ROW()-1+'02_Eingaben'!$C$17))))</f>
        <v/>
      </c>
      <c r="G2151" s="27">
        <f>IF(F2151="","",F2151-'02_Eingaben'!$C$10)</f>
        <v/>
      </c>
      <c r="H2151">
        <f>IF(F2151="","",IF(F2151&lt;'02_Eingaben'!$C$18*'02_Eingaben'!$C$10,1,0))</f>
        <v/>
      </c>
      <c r="I2151" s="27">
        <f>IF(OR(G2151="",G2152=""),"",(G2151+G2152)/2*(B2152-B2151))</f>
        <v/>
      </c>
      <c r="J2151" s="27">
        <f>IF(B2151="","",IF(B2150&lt;'02_Eingaben'!$C$36,0,J2150+I2150/'02_Eingaben'!$C$8))</f>
        <v/>
      </c>
    </row>
    <row r="2152">
      <c r="A2152">
        <f>IF('01_Rohdaten'!A2152="","",ROW()-1)</f>
        <v/>
      </c>
      <c r="B2152" s="27">
        <f>IF('01_Rohdaten'!A2152="","",'01_Rohdaten'!A2152)</f>
        <v/>
      </c>
      <c r="C2152" s="27">
        <f>IF(B2152="","",INDEX('01_Rohdaten'!B2152:D2152,'02_Eingaben'!$C$13))</f>
        <v/>
      </c>
      <c r="D2152" s="27">
        <f>IF(C2152="","",C2152*'02_Eingaben'!$C$15)</f>
        <v/>
      </c>
      <c r="E2152" s="27">
        <f>IF(D2152="","",D2152*'02_Eingaben'!$C$8)</f>
        <v/>
      </c>
      <c r="F2152" s="27">
        <f>IF(E2152="","",AVERAGE(INDEX($E$2:$E$3001,MAX(1,ROW()-1-'02_Eingaben'!$C$17)):INDEX($E$2:$E$3001,MIN('02_Eingaben'!$C$21,ROW()-1+'02_Eingaben'!$C$17))))</f>
        <v/>
      </c>
      <c r="G2152" s="27">
        <f>IF(F2152="","",F2152-'02_Eingaben'!$C$10)</f>
        <v/>
      </c>
      <c r="H2152">
        <f>IF(F2152="","",IF(F2152&lt;'02_Eingaben'!$C$18*'02_Eingaben'!$C$10,1,0))</f>
        <v/>
      </c>
      <c r="I2152" s="27">
        <f>IF(OR(G2152="",G2153=""),"",(G2152+G2153)/2*(B2153-B2152))</f>
        <v/>
      </c>
      <c r="J2152" s="27">
        <f>IF(B2152="","",IF(B2151&lt;'02_Eingaben'!$C$36,0,J2151+I2151/'02_Eingaben'!$C$8))</f>
        <v/>
      </c>
    </row>
    <row r="2153">
      <c r="A2153">
        <f>IF('01_Rohdaten'!A2153="","",ROW()-1)</f>
        <v/>
      </c>
      <c r="B2153" s="27">
        <f>IF('01_Rohdaten'!A2153="","",'01_Rohdaten'!A2153)</f>
        <v/>
      </c>
      <c r="C2153" s="27">
        <f>IF(B2153="","",INDEX('01_Rohdaten'!B2153:D2153,'02_Eingaben'!$C$13))</f>
        <v/>
      </c>
      <c r="D2153" s="27">
        <f>IF(C2153="","",C2153*'02_Eingaben'!$C$15)</f>
        <v/>
      </c>
      <c r="E2153" s="27">
        <f>IF(D2153="","",D2153*'02_Eingaben'!$C$8)</f>
        <v/>
      </c>
      <c r="F2153" s="27">
        <f>IF(E2153="","",AVERAGE(INDEX($E$2:$E$3001,MAX(1,ROW()-1-'02_Eingaben'!$C$17)):INDEX($E$2:$E$3001,MIN('02_Eingaben'!$C$21,ROW()-1+'02_Eingaben'!$C$17))))</f>
        <v/>
      </c>
      <c r="G2153" s="27">
        <f>IF(F2153="","",F2153-'02_Eingaben'!$C$10)</f>
        <v/>
      </c>
      <c r="H2153">
        <f>IF(F2153="","",IF(F2153&lt;'02_Eingaben'!$C$18*'02_Eingaben'!$C$10,1,0))</f>
        <v/>
      </c>
      <c r="I2153" s="27">
        <f>IF(OR(G2153="",G2154=""),"",(G2153+G2154)/2*(B2154-B2153))</f>
        <v/>
      </c>
      <c r="J2153" s="27">
        <f>IF(B2153="","",IF(B2152&lt;'02_Eingaben'!$C$36,0,J2152+I2152/'02_Eingaben'!$C$8))</f>
        <v/>
      </c>
    </row>
    <row r="2154">
      <c r="A2154">
        <f>IF('01_Rohdaten'!A2154="","",ROW()-1)</f>
        <v/>
      </c>
      <c r="B2154" s="27">
        <f>IF('01_Rohdaten'!A2154="","",'01_Rohdaten'!A2154)</f>
        <v/>
      </c>
      <c r="C2154" s="27">
        <f>IF(B2154="","",INDEX('01_Rohdaten'!B2154:D2154,'02_Eingaben'!$C$13))</f>
        <v/>
      </c>
      <c r="D2154" s="27">
        <f>IF(C2154="","",C2154*'02_Eingaben'!$C$15)</f>
        <v/>
      </c>
      <c r="E2154" s="27">
        <f>IF(D2154="","",D2154*'02_Eingaben'!$C$8)</f>
        <v/>
      </c>
      <c r="F2154" s="27">
        <f>IF(E2154="","",AVERAGE(INDEX($E$2:$E$3001,MAX(1,ROW()-1-'02_Eingaben'!$C$17)):INDEX($E$2:$E$3001,MIN('02_Eingaben'!$C$21,ROW()-1+'02_Eingaben'!$C$17))))</f>
        <v/>
      </c>
      <c r="G2154" s="27">
        <f>IF(F2154="","",F2154-'02_Eingaben'!$C$10)</f>
        <v/>
      </c>
      <c r="H2154">
        <f>IF(F2154="","",IF(F2154&lt;'02_Eingaben'!$C$18*'02_Eingaben'!$C$10,1,0))</f>
        <v/>
      </c>
      <c r="I2154" s="27">
        <f>IF(OR(G2154="",G2155=""),"",(G2154+G2155)/2*(B2155-B2154))</f>
        <v/>
      </c>
      <c r="J2154" s="27">
        <f>IF(B2154="","",IF(B2153&lt;'02_Eingaben'!$C$36,0,J2153+I2153/'02_Eingaben'!$C$8))</f>
        <v/>
      </c>
    </row>
    <row r="2155">
      <c r="A2155">
        <f>IF('01_Rohdaten'!A2155="","",ROW()-1)</f>
        <v/>
      </c>
      <c r="B2155" s="27">
        <f>IF('01_Rohdaten'!A2155="","",'01_Rohdaten'!A2155)</f>
        <v/>
      </c>
      <c r="C2155" s="27">
        <f>IF(B2155="","",INDEX('01_Rohdaten'!B2155:D2155,'02_Eingaben'!$C$13))</f>
        <v/>
      </c>
      <c r="D2155" s="27">
        <f>IF(C2155="","",C2155*'02_Eingaben'!$C$15)</f>
        <v/>
      </c>
      <c r="E2155" s="27">
        <f>IF(D2155="","",D2155*'02_Eingaben'!$C$8)</f>
        <v/>
      </c>
      <c r="F2155" s="27">
        <f>IF(E2155="","",AVERAGE(INDEX($E$2:$E$3001,MAX(1,ROW()-1-'02_Eingaben'!$C$17)):INDEX($E$2:$E$3001,MIN('02_Eingaben'!$C$21,ROW()-1+'02_Eingaben'!$C$17))))</f>
        <v/>
      </c>
      <c r="G2155" s="27">
        <f>IF(F2155="","",F2155-'02_Eingaben'!$C$10)</f>
        <v/>
      </c>
      <c r="H2155">
        <f>IF(F2155="","",IF(F2155&lt;'02_Eingaben'!$C$18*'02_Eingaben'!$C$10,1,0))</f>
        <v/>
      </c>
      <c r="I2155" s="27">
        <f>IF(OR(G2155="",G2156=""),"",(G2155+G2156)/2*(B2156-B2155))</f>
        <v/>
      </c>
      <c r="J2155" s="27">
        <f>IF(B2155="","",IF(B2154&lt;'02_Eingaben'!$C$36,0,J2154+I2154/'02_Eingaben'!$C$8))</f>
        <v/>
      </c>
    </row>
    <row r="2156">
      <c r="A2156">
        <f>IF('01_Rohdaten'!A2156="","",ROW()-1)</f>
        <v/>
      </c>
      <c r="B2156" s="27">
        <f>IF('01_Rohdaten'!A2156="","",'01_Rohdaten'!A2156)</f>
        <v/>
      </c>
      <c r="C2156" s="27">
        <f>IF(B2156="","",INDEX('01_Rohdaten'!B2156:D2156,'02_Eingaben'!$C$13))</f>
        <v/>
      </c>
      <c r="D2156" s="27">
        <f>IF(C2156="","",C2156*'02_Eingaben'!$C$15)</f>
        <v/>
      </c>
      <c r="E2156" s="27">
        <f>IF(D2156="","",D2156*'02_Eingaben'!$C$8)</f>
        <v/>
      </c>
      <c r="F2156" s="27">
        <f>IF(E2156="","",AVERAGE(INDEX($E$2:$E$3001,MAX(1,ROW()-1-'02_Eingaben'!$C$17)):INDEX($E$2:$E$3001,MIN('02_Eingaben'!$C$21,ROW()-1+'02_Eingaben'!$C$17))))</f>
        <v/>
      </c>
      <c r="G2156" s="27">
        <f>IF(F2156="","",F2156-'02_Eingaben'!$C$10)</f>
        <v/>
      </c>
      <c r="H2156">
        <f>IF(F2156="","",IF(F2156&lt;'02_Eingaben'!$C$18*'02_Eingaben'!$C$10,1,0))</f>
        <v/>
      </c>
      <c r="I2156" s="27">
        <f>IF(OR(G2156="",G2157=""),"",(G2156+G2157)/2*(B2157-B2156))</f>
        <v/>
      </c>
      <c r="J2156" s="27">
        <f>IF(B2156="","",IF(B2155&lt;'02_Eingaben'!$C$36,0,J2155+I2155/'02_Eingaben'!$C$8))</f>
        <v/>
      </c>
    </row>
    <row r="2157">
      <c r="A2157">
        <f>IF('01_Rohdaten'!A2157="","",ROW()-1)</f>
        <v/>
      </c>
      <c r="B2157" s="27">
        <f>IF('01_Rohdaten'!A2157="","",'01_Rohdaten'!A2157)</f>
        <v/>
      </c>
      <c r="C2157" s="27">
        <f>IF(B2157="","",INDEX('01_Rohdaten'!B2157:D2157,'02_Eingaben'!$C$13))</f>
        <v/>
      </c>
      <c r="D2157" s="27">
        <f>IF(C2157="","",C2157*'02_Eingaben'!$C$15)</f>
        <v/>
      </c>
      <c r="E2157" s="27">
        <f>IF(D2157="","",D2157*'02_Eingaben'!$C$8)</f>
        <v/>
      </c>
      <c r="F2157" s="27">
        <f>IF(E2157="","",AVERAGE(INDEX($E$2:$E$3001,MAX(1,ROW()-1-'02_Eingaben'!$C$17)):INDEX($E$2:$E$3001,MIN('02_Eingaben'!$C$21,ROW()-1+'02_Eingaben'!$C$17))))</f>
        <v/>
      </c>
      <c r="G2157" s="27">
        <f>IF(F2157="","",F2157-'02_Eingaben'!$C$10)</f>
        <v/>
      </c>
      <c r="H2157">
        <f>IF(F2157="","",IF(F2157&lt;'02_Eingaben'!$C$18*'02_Eingaben'!$C$10,1,0))</f>
        <v/>
      </c>
      <c r="I2157" s="27">
        <f>IF(OR(G2157="",G2158=""),"",(G2157+G2158)/2*(B2158-B2157))</f>
        <v/>
      </c>
      <c r="J2157" s="27">
        <f>IF(B2157="","",IF(B2156&lt;'02_Eingaben'!$C$36,0,J2156+I2156/'02_Eingaben'!$C$8))</f>
        <v/>
      </c>
    </row>
    <row r="2158">
      <c r="A2158">
        <f>IF('01_Rohdaten'!A2158="","",ROW()-1)</f>
        <v/>
      </c>
      <c r="B2158" s="27">
        <f>IF('01_Rohdaten'!A2158="","",'01_Rohdaten'!A2158)</f>
        <v/>
      </c>
      <c r="C2158" s="27">
        <f>IF(B2158="","",INDEX('01_Rohdaten'!B2158:D2158,'02_Eingaben'!$C$13))</f>
        <v/>
      </c>
      <c r="D2158" s="27">
        <f>IF(C2158="","",C2158*'02_Eingaben'!$C$15)</f>
        <v/>
      </c>
      <c r="E2158" s="27">
        <f>IF(D2158="","",D2158*'02_Eingaben'!$C$8)</f>
        <v/>
      </c>
      <c r="F2158" s="27">
        <f>IF(E2158="","",AVERAGE(INDEX($E$2:$E$3001,MAX(1,ROW()-1-'02_Eingaben'!$C$17)):INDEX($E$2:$E$3001,MIN('02_Eingaben'!$C$21,ROW()-1+'02_Eingaben'!$C$17))))</f>
        <v/>
      </c>
      <c r="G2158" s="27">
        <f>IF(F2158="","",F2158-'02_Eingaben'!$C$10)</f>
        <v/>
      </c>
      <c r="H2158">
        <f>IF(F2158="","",IF(F2158&lt;'02_Eingaben'!$C$18*'02_Eingaben'!$C$10,1,0))</f>
        <v/>
      </c>
      <c r="I2158" s="27">
        <f>IF(OR(G2158="",G2159=""),"",(G2158+G2159)/2*(B2159-B2158))</f>
        <v/>
      </c>
      <c r="J2158" s="27">
        <f>IF(B2158="","",IF(B2157&lt;'02_Eingaben'!$C$36,0,J2157+I2157/'02_Eingaben'!$C$8))</f>
        <v/>
      </c>
    </row>
    <row r="2159">
      <c r="A2159">
        <f>IF('01_Rohdaten'!A2159="","",ROW()-1)</f>
        <v/>
      </c>
      <c r="B2159" s="27">
        <f>IF('01_Rohdaten'!A2159="","",'01_Rohdaten'!A2159)</f>
        <v/>
      </c>
      <c r="C2159" s="27">
        <f>IF(B2159="","",INDEX('01_Rohdaten'!B2159:D2159,'02_Eingaben'!$C$13))</f>
        <v/>
      </c>
      <c r="D2159" s="27">
        <f>IF(C2159="","",C2159*'02_Eingaben'!$C$15)</f>
        <v/>
      </c>
      <c r="E2159" s="27">
        <f>IF(D2159="","",D2159*'02_Eingaben'!$C$8)</f>
        <v/>
      </c>
      <c r="F2159" s="27">
        <f>IF(E2159="","",AVERAGE(INDEX($E$2:$E$3001,MAX(1,ROW()-1-'02_Eingaben'!$C$17)):INDEX($E$2:$E$3001,MIN('02_Eingaben'!$C$21,ROW()-1+'02_Eingaben'!$C$17))))</f>
        <v/>
      </c>
      <c r="G2159" s="27">
        <f>IF(F2159="","",F2159-'02_Eingaben'!$C$10)</f>
        <v/>
      </c>
      <c r="H2159">
        <f>IF(F2159="","",IF(F2159&lt;'02_Eingaben'!$C$18*'02_Eingaben'!$C$10,1,0))</f>
        <v/>
      </c>
      <c r="I2159" s="27">
        <f>IF(OR(G2159="",G2160=""),"",(G2159+G2160)/2*(B2160-B2159))</f>
        <v/>
      </c>
      <c r="J2159" s="27">
        <f>IF(B2159="","",IF(B2158&lt;'02_Eingaben'!$C$36,0,J2158+I2158/'02_Eingaben'!$C$8))</f>
        <v/>
      </c>
    </row>
    <row r="2160">
      <c r="A2160">
        <f>IF('01_Rohdaten'!A2160="","",ROW()-1)</f>
        <v/>
      </c>
      <c r="B2160" s="27">
        <f>IF('01_Rohdaten'!A2160="","",'01_Rohdaten'!A2160)</f>
        <v/>
      </c>
      <c r="C2160" s="27">
        <f>IF(B2160="","",INDEX('01_Rohdaten'!B2160:D2160,'02_Eingaben'!$C$13))</f>
        <v/>
      </c>
      <c r="D2160" s="27">
        <f>IF(C2160="","",C2160*'02_Eingaben'!$C$15)</f>
        <v/>
      </c>
      <c r="E2160" s="27">
        <f>IF(D2160="","",D2160*'02_Eingaben'!$C$8)</f>
        <v/>
      </c>
      <c r="F2160" s="27">
        <f>IF(E2160="","",AVERAGE(INDEX($E$2:$E$3001,MAX(1,ROW()-1-'02_Eingaben'!$C$17)):INDEX($E$2:$E$3001,MIN('02_Eingaben'!$C$21,ROW()-1+'02_Eingaben'!$C$17))))</f>
        <v/>
      </c>
      <c r="G2160" s="27">
        <f>IF(F2160="","",F2160-'02_Eingaben'!$C$10)</f>
        <v/>
      </c>
      <c r="H2160">
        <f>IF(F2160="","",IF(F2160&lt;'02_Eingaben'!$C$18*'02_Eingaben'!$C$10,1,0))</f>
        <v/>
      </c>
      <c r="I2160" s="27">
        <f>IF(OR(G2160="",G2161=""),"",(G2160+G2161)/2*(B2161-B2160))</f>
        <v/>
      </c>
      <c r="J2160" s="27">
        <f>IF(B2160="","",IF(B2159&lt;'02_Eingaben'!$C$36,0,J2159+I2159/'02_Eingaben'!$C$8))</f>
        <v/>
      </c>
    </row>
    <row r="2161">
      <c r="A2161">
        <f>IF('01_Rohdaten'!A2161="","",ROW()-1)</f>
        <v/>
      </c>
      <c r="B2161" s="27">
        <f>IF('01_Rohdaten'!A2161="","",'01_Rohdaten'!A2161)</f>
        <v/>
      </c>
      <c r="C2161" s="27">
        <f>IF(B2161="","",INDEX('01_Rohdaten'!B2161:D2161,'02_Eingaben'!$C$13))</f>
        <v/>
      </c>
      <c r="D2161" s="27">
        <f>IF(C2161="","",C2161*'02_Eingaben'!$C$15)</f>
        <v/>
      </c>
      <c r="E2161" s="27">
        <f>IF(D2161="","",D2161*'02_Eingaben'!$C$8)</f>
        <v/>
      </c>
      <c r="F2161" s="27">
        <f>IF(E2161="","",AVERAGE(INDEX($E$2:$E$3001,MAX(1,ROW()-1-'02_Eingaben'!$C$17)):INDEX($E$2:$E$3001,MIN('02_Eingaben'!$C$21,ROW()-1+'02_Eingaben'!$C$17))))</f>
        <v/>
      </c>
      <c r="G2161" s="27">
        <f>IF(F2161="","",F2161-'02_Eingaben'!$C$10)</f>
        <v/>
      </c>
      <c r="H2161">
        <f>IF(F2161="","",IF(F2161&lt;'02_Eingaben'!$C$18*'02_Eingaben'!$C$10,1,0))</f>
        <v/>
      </c>
      <c r="I2161" s="27">
        <f>IF(OR(G2161="",G2162=""),"",(G2161+G2162)/2*(B2162-B2161))</f>
        <v/>
      </c>
      <c r="J2161" s="27">
        <f>IF(B2161="","",IF(B2160&lt;'02_Eingaben'!$C$36,0,J2160+I2160/'02_Eingaben'!$C$8))</f>
        <v/>
      </c>
    </row>
    <row r="2162">
      <c r="A2162">
        <f>IF('01_Rohdaten'!A2162="","",ROW()-1)</f>
        <v/>
      </c>
      <c r="B2162" s="27">
        <f>IF('01_Rohdaten'!A2162="","",'01_Rohdaten'!A2162)</f>
        <v/>
      </c>
      <c r="C2162" s="27">
        <f>IF(B2162="","",INDEX('01_Rohdaten'!B2162:D2162,'02_Eingaben'!$C$13))</f>
        <v/>
      </c>
      <c r="D2162" s="27">
        <f>IF(C2162="","",C2162*'02_Eingaben'!$C$15)</f>
        <v/>
      </c>
      <c r="E2162" s="27">
        <f>IF(D2162="","",D2162*'02_Eingaben'!$C$8)</f>
        <v/>
      </c>
      <c r="F2162" s="27">
        <f>IF(E2162="","",AVERAGE(INDEX($E$2:$E$3001,MAX(1,ROW()-1-'02_Eingaben'!$C$17)):INDEX($E$2:$E$3001,MIN('02_Eingaben'!$C$21,ROW()-1+'02_Eingaben'!$C$17))))</f>
        <v/>
      </c>
      <c r="G2162" s="27">
        <f>IF(F2162="","",F2162-'02_Eingaben'!$C$10)</f>
        <v/>
      </c>
      <c r="H2162">
        <f>IF(F2162="","",IF(F2162&lt;'02_Eingaben'!$C$18*'02_Eingaben'!$C$10,1,0))</f>
        <v/>
      </c>
      <c r="I2162" s="27">
        <f>IF(OR(G2162="",G2163=""),"",(G2162+G2163)/2*(B2163-B2162))</f>
        <v/>
      </c>
      <c r="J2162" s="27">
        <f>IF(B2162="","",IF(B2161&lt;'02_Eingaben'!$C$36,0,J2161+I2161/'02_Eingaben'!$C$8))</f>
        <v/>
      </c>
    </row>
    <row r="2163">
      <c r="A2163">
        <f>IF('01_Rohdaten'!A2163="","",ROW()-1)</f>
        <v/>
      </c>
      <c r="B2163" s="27">
        <f>IF('01_Rohdaten'!A2163="","",'01_Rohdaten'!A2163)</f>
        <v/>
      </c>
      <c r="C2163" s="27">
        <f>IF(B2163="","",INDEX('01_Rohdaten'!B2163:D2163,'02_Eingaben'!$C$13))</f>
        <v/>
      </c>
      <c r="D2163" s="27">
        <f>IF(C2163="","",C2163*'02_Eingaben'!$C$15)</f>
        <v/>
      </c>
      <c r="E2163" s="27">
        <f>IF(D2163="","",D2163*'02_Eingaben'!$C$8)</f>
        <v/>
      </c>
      <c r="F2163" s="27">
        <f>IF(E2163="","",AVERAGE(INDEX($E$2:$E$3001,MAX(1,ROW()-1-'02_Eingaben'!$C$17)):INDEX($E$2:$E$3001,MIN('02_Eingaben'!$C$21,ROW()-1+'02_Eingaben'!$C$17))))</f>
        <v/>
      </c>
      <c r="G2163" s="27">
        <f>IF(F2163="","",F2163-'02_Eingaben'!$C$10)</f>
        <v/>
      </c>
      <c r="H2163">
        <f>IF(F2163="","",IF(F2163&lt;'02_Eingaben'!$C$18*'02_Eingaben'!$C$10,1,0))</f>
        <v/>
      </c>
      <c r="I2163" s="27">
        <f>IF(OR(G2163="",G2164=""),"",(G2163+G2164)/2*(B2164-B2163))</f>
        <v/>
      </c>
      <c r="J2163" s="27">
        <f>IF(B2163="","",IF(B2162&lt;'02_Eingaben'!$C$36,0,J2162+I2162/'02_Eingaben'!$C$8))</f>
        <v/>
      </c>
    </row>
    <row r="2164">
      <c r="A2164">
        <f>IF('01_Rohdaten'!A2164="","",ROW()-1)</f>
        <v/>
      </c>
      <c r="B2164" s="27">
        <f>IF('01_Rohdaten'!A2164="","",'01_Rohdaten'!A2164)</f>
        <v/>
      </c>
      <c r="C2164" s="27">
        <f>IF(B2164="","",INDEX('01_Rohdaten'!B2164:D2164,'02_Eingaben'!$C$13))</f>
        <v/>
      </c>
      <c r="D2164" s="27">
        <f>IF(C2164="","",C2164*'02_Eingaben'!$C$15)</f>
        <v/>
      </c>
      <c r="E2164" s="27">
        <f>IF(D2164="","",D2164*'02_Eingaben'!$C$8)</f>
        <v/>
      </c>
      <c r="F2164" s="27">
        <f>IF(E2164="","",AVERAGE(INDEX($E$2:$E$3001,MAX(1,ROW()-1-'02_Eingaben'!$C$17)):INDEX($E$2:$E$3001,MIN('02_Eingaben'!$C$21,ROW()-1+'02_Eingaben'!$C$17))))</f>
        <v/>
      </c>
      <c r="G2164" s="27">
        <f>IF(F2164="","",F2164-'02_Eingaben'!$C$10)</f>
        <v/>
      </c>
      <c r="H2164">
        <f>IF(F2164="","",IF(F2164&lt;'02_Eingaben'!$C$18*'02_Eingaben'!$C$10,1,0))</f>
        <v/>
      </c>
      <c r="I2164" s="27">
        <f>IF(OR(G2164="",G2165=""),"",(G2164+G2165)/2*(B2165-B2164))</f>
        <v/>
      </c>
      <c r="J2164" s="27">
        <f>IF(B2164="","",IF(B2163&lt;'02_Eingaben'!$C$36,0,J2163+I2163/'02_Eingaben'!$C$8))</f>
        <v/>
      </c>
    </row>
    <row r="2165">
      <c r="A2165">
        <f>IF('01_Rohdaten'!A2165="","",ROW()-1)</f>
        <v/>
      </c>
      <c r="B2165" s="27">
        <f>IF('01_Rohdaten'!A2165="","",'01_Rohdaten'!A2165)</f>
        <v/>
      </c>
      <c r="C2165" s="27">
        <f>IF(B2165="","",INDEX('01_Rohdaten'!B2165:D2165,'02_Eingaben'!$C$13))</f>
        <v/>
      </c>
      <c r="D2165" s="27">
        <f>IF(C2165="","",C2165*'02_Eingaben'!$C$15)</f>
        <v/>
      </c>
      <c r="E2165" s="27">
        <f>IF(D2165="","",D2165*'02_Eingaben'!$C$8)</f>
        <v/>
      </c>
      <c r="F2165" s="27">
        <f>IF(E2165="","",AVERAGE(INDEX($E$2:$E$3001,MAX(1,ROW()-1-'02_Eingaben'!$C$17)):INDEX($E$2:$E$3001,MIN('02_Eingaben'!$C$21,ROW()-1+'02_Eingaben'!$C$17))))</f>
        <v/>
      </c>
      <c r="G2165" s="27">
        <f>IF(F2165="","",F2165-'02_Eingaben'!$C$10)</f>
        <v/>
      </c>
      <c r="H2165">
        <f>IF(F2165="","",IF(F2165&lt;'02_Eingaben'!$C$18*'02_Eingaben'!$C$10,1,0))</f>
        <v/>
      </c>
      <c r="I2165" s="27">
        <f>IF(OR(G2165="",G2166=""),"",(G2165+G2166)/2*(B2166-B2165))</f>
        <v/>
      </c>
      <c r="J2165" s="27">
        <f>IF(B2165="","",IF(B2164&lt;'02_Eingaben'!$C$36,0,J2164+I2164/'02_Eingaben'!$C$8))</f>
        <v/>
      </c>
    </row>
    <row r="2166">
      <c r="A2166">
        <f>IF('01_Rohdaten'!A2166="","",ROW()-1)</f>
        <v/>
      </c>
      <c r="B2166" s="27">
        <f>IF('01_Rohdaten'!A2166="","",'01_Rohdaten'!A2166)</f>
        <v/>
      </c>
      <c r="C2166" s="27">
        <f>IF(B2166="","",INDEX('01_Rohdaten'!B2166:D2166,'02_Eingaben'!$C$13))</f>
        <v/>
      </c>
      <c r="D2166" s="27">
        <f>IF(C2166="","",C2166*'02_Eingaben'!$C$15)</f>
        <v/>
      </c>
      <c r="E2166" s="27">
        <f>IF(D2166="","",D2166*'02_Eingaben'!$C$8)</f>
        <v/>
      </c>
      <c r="F2166" s="27">
        <f>IF(E2166="","",AVERAGE(INDEX($E$2:$E$3001,MAX(1,ROW()-1-'02_Eingaben'!$C$17)):INDEX($E$2:$E$3001,MIN('02_Eingaben'!$C$21,ROW()-1+'02_Eingaben'!$C$17))))</f>
        <v/>
      </c>
      <c r="G2166" s="27">
        <f>IF(F2166="","",F2166-'02_Eingaben'!$C$10)</f>
        <v/>
      </c>
      <c r="H2166">
        <f>IF(F2166="","",IF(F2166&lt;'02_Eingaben'!$C$18*'02_Eingaben'!$C$10,1,0))</f>
        <v/>
      </c>
      <c r="I2166" s="27">
        <f>IF(OR(G2166="",G2167=""),"",(G2166+G2167)/2*(B2167-B2166))</f>
        <v/>
      </c>
      <c r="J2166" s="27">
        <f>IF(B2166="","",IF(B2165&lt;'02_Eingaben'!$C$36,0,J2165+I2165/'02_Eingaben'!$C$8))</f>
        <v/>
      </c>
    </row>
    <row r="2167">
      <c r="A2167">
        <f>IF('01_Rohdaten'!A2167="","",ROW()-1)</f>
        <v/>
      </c>
      <c r="B2167" s="27">
        <f>IF('01_Rohdaten'!A2167="","",'01_Rohdaten'!A2167)</f>
        <v/>
      </c>
      <c r="C2167" s="27">
        <f>IF(B2167="","",INDEX('01_Rohdaten'!B2167:D2167,'02_Eingaben'!$C$13))</f>
        <v/>
      </c>
      <c r="D2167" s="27">
        <f>IF(C2167="","",C2167*'02_Eingaben'!$C$15)</f>
        <v/>
      </c>
      <c r="E2167" s="27">
        <f>IF(D2167="","",D2167*'02_Eingaben'!$C$8)</f>
        <v/>
      </c>
      <c r="F2167" s="27">
        <f>IF(E2167="","",AVERAGE(INDEX($E$2:$E$3001,MAX(1,ROW()-1-'02_Eingaben'!$C$17)):INDEX($E$2:$E$3001,MIN('02_Eingaben'!$C$21,ROW()-1+'02_Eingaben'!$C$17))))</f>
        <v/>
      </c>
      <c r="G2167" s="27">
        <f>IF(F2167="","",F2167-'02_Eingaben'!$C$10)</f>
        <v/>
      </c>
      <c r="H2167">
        <f>IF(F2167="","",IF(F2167&lt;'02_Eingaben'!$C$18*'02_Eingaben'!$C$10,1,0))</f>
        <v/>
      </c>
      <c r="I2167" s="27">
        <f>IF(OR(G2167="",G2168=""),"",(G2167+G2168)/2*(B2168-B2167))</f>
        <v/>
      </c>
      <c r="J2167" s="27">
        <f>IF(B2167="","",IF(B2166&lt;'02_Eingaben'!$C$36,0,J2166+I2166/'02_Eingaben'!$C$8))</f>
        <v/>
      </c>
    </row>
    <row r="2168">
      <c r="A2168">
        <f>IF('01_Rohdaten'!A2168="","",ROW()-1)</f>
        <v/>
      </c>
      <c r="B2168" s="27">
        <f>IF('01_Rohdaten'!A2168="","",'01_Rohdaten'!A2168)</f>
        <v/>
      </c>
      <c r="C2168" s="27">
        <f>IF(B2168="","",INDEX('01_Rohdaten'!B2168:D2168,'02_Eingaben'!$C$13))</f>
        <v/>
      </c>
      <c r="D2168" s="27">
        <f>IF(C2168="","",C2168*'02_Eingaben'!$C$15)</f>
        <v/>
      </c>
      <c r="E2168" s="27">
        <f>IF(D2168="","",D2168*'02_Eingaben'!$C$8)</f>
        <v/>
      </c>
      <c r="F2168" s="27">
        <f>IF(E2168="","",AVERAGE(INDEX($E$2:$E$3001,MAX(1,ROW()-1-'02_Eingaben'!$C$17)):INDEX($E$2:$E$3001,MIN('02_Eingaben'!$C$21,ROW()-1+'02_Eingaben'!$C$17))))</f>
        <v/>
      </c>
      <c r="G2168" s="27">
        <f>IF(F2168="","",F2168-'02_Eingaben'!$C$10)</f>
        <v/>
      </c>
      <c r="H2168">
        <f>IF(F2168="","",IF(F2168&lt;'02_Eingaben'!$C$18*'02_Eingaben'!$C$10,1,0))</f>
        <v/>
      </c>
      <c r="I2168" s="27">
        <f>IF(OR(G2168="",G2169=""),"",(G2168+G2169)/2*(B2169-B2168))</f>
        <v/>
      </c>
      <c r="J2168" s="27">
        <f>IF(B2168="","",IF(B2167&lt;'02_Eingaben'!$C$36,0,J2167+I2167/'02_Eingaben'!$C$8))</f>
        <v/>
      </c>
    </row>
    <row r="2169">
      <c r="A2169">
        <f>IF('01_Rohdaten'!A2169="","",ROW()-1)</f>
        <v/>
      </c>
      <c r="B2169" s="27">
        <f>IF('01_Rohdaten'!A2169="","",'01_Rohdaten'!A2169)</f>
        <v/>
      </c>
      <c r="C2169" s="27">
        <f>IF(B2169="","",INDEX('01_Rohdaten'!B2169:D2169,'02_Eingaben'!$C$13))</f>
        <v/>
      </c>
      <c r="D2169" s="27">
        <f>IF(C2169="","",C2169*'02_Eingaben'!$C$15)</f>
        <v/>
      </c>
      <c r="E2169" s="27">
        <f>IF(D2169="","",D2169*'02_Eingaben'!$C$8)</f>
        <v/>
      </c>
      <c r="F2169" s="27">
        <f>IF(E2169="","",AVERAGE(INDEX($E$2:$E$3001,MAX(1,ROW()-1-'02_Eingaben'!$C$17)):INDEX($E$2:$E$3001,MIN('02_Eingaben'!$C$21,ROW()-1+'02_Eingaben'!$C$17))))</f>
        <v/>
      </c>
      <c r="G2169" s="27">
        <f>IF(F2169="","",F2169-'02_Eingaben'!$C$10)</f>
        <v/>
      </c>
      <c r="H2169">
        <f>IF(F2169="","",IF(F2169&lt;'02_Eingaben'!$C$18*'02_Eingaben'!$C$10,1,0))</f>
        <v/>
      </c>
      <c r="I2169" s="27">
        <f>IF(OR(G2169="",G2170=""),"",(G2169+G2170)/2*(B2170-B2169))</f>
        <v/>
      </c>
      <c r="J2169" s="27">
        <f>IF(B2169="","",IF(B2168&lt;'02_Eingaben'!$C$36,0,J2168+I2168/'02_Eingaben'!$C$8))</f>
        <v/>
      </c>
    </row>
    <row r="2170">
      <c r="A2170">
        <f>IF('01_Rohdaten'!A2170="","",ROW()-1)</f>
        <v/>
      </c>
      <c r="B2170" s="27">
        <f>IF('01_Rohdaten'!A2170="","",'01_Rohdaten'!A2170)</f>
        <v/>
      </c>
      <c r="C2170" s="27">
        <f>IF(B2170="","",INDEX('01_Rohdaten'!B2170:D2170,'02_Eingaben'!$C$13))</f>
        <v/>
      </c>
      <c r="D2170" s="27">
        <f>IF(C2170="","",C2170*'02_Eingaben'!$C$15)</f>
        <v/>
      </c>
      <c r="E2170" s="27">
        <f>IF(D2170="","",D2170*'02_Eingaben'!$C$8)</f>
        <v/>
      </c>
      <c r="F2170" s="27">
        <f>IF(E2170="","",AVERAGE(INDEX($E$2:$E$3001,MAX(1,ROW()-1-'02_Eingaben'!$C$17)):INDEX($E$2:$E$3001,MIN('02_Eingaben'!$C$21,ROW()-1+'02_Eingaben'!$C$17))))</f>
        <v/>
      </c>
      <c r="G2170" s="27">
        <f>IF(F2170="","",F2170-'02_Eingaben'!$C$10)</f>
        <v/>
      </c>
      <c r="H2170">
        <f>IF(F2170="","",IF(F2170&lt;'02_Eingaben'!$C$18*'02_Eingaben'!$C$10,1,0))</f>
        <v/>
      </c>
      <c r="I2170" s="27">
        <f>IF(OR(G2170="",G2171=""),"",(G2170+G2171)/2*(B2171-B2170))</f>
        <v/>
      </c>
      <c r="J2170" s="27">
        <f>IF(B2170="","",IF(B2169&lt;'02_Eingaben'!$C$36,0,J2169+I2169/'02_Eingaben'!$C$8))</f>
        <v/>
      </c>
    </row>
    <row r="2171">
      <c r="A2171">
        <f>IF('01_Rohdaten'!A2171="","",ROW()-1)</f>
        <v/>
      </c>
      <c r="B2171" s="27">
        <f>IF('01_Rohdaten'!A2171="","",'01_Rohdaten'!A2171)</f>
        <v/>
      </c>
      <c r="C2171" s="27">
        <f>IF(B2171="","",INDEX('01_Rohdaten'!B2171:D2171,'02_Eingaben'!$C$13))</f>
        <v/>
      </c>
      <c r="D2171" s="27">
        <f>IF(C2171="","",C2171*'02_Eingaben'!$C$15)</f>
        <v/>
      </c>
      <c r="E2171" s="27">
        <f>IF(D2171="","",D2171*'02_Eingaben'!$C$8)</f>
        <v/>
      </c>
      <c r="F2171" s="27">
        <f>IF(E2171="","",AVERAGE(INDEX($E$2:$E$3001,MAX(1,ROW()-1-'02_Eingaben'!$C$17)):INDEX($E$2:$E$3001,MIN('02_Eingaben'!$C$21,ROW()-1+'02_Eingaben'!$C$17))))</f>
        <v/>
      </c>
      <c r="G2171" s="27">
        <f>IF(F2171="","",F2171-'02_Eingaben'!$C$10)</f>
        <v/>
      </c>
      <c r="H2171">
        <f>IF(F2171="","",IF(F2171&lt;'02_Eingaben'!$C$18*'02_Eingaben'!$C$10,1,0))</f>
        <v/>
      </c>
      <c r="I2171" s="27">
        <f>IF(OR(G2171="",G2172=""),"",(G2171+G2172)/2*(B2172-B2171))</f>
        <v/>
      </c>
      <c r="J2171" s="27">
        <f>IF(B2171="","",IF(B2170&lt;'02_Eingaben'!$C$36,0,J2170+I2170/'02_Eingaben'!$C$8))</f>
        <v/>
      </c>
    </row>
    <row r="2172">
      <c r="A2172">
        <f>IF('01_Rohdaten'!A2172="","",ROW()-1)</f>
        <v/>
      </c>
      <c r="B2172" s="27">
        <f>IF('01_Rohdaten'!A2172="","",'01_Rohdaten'!A2172)</f>
        <v/>
      </c>
      <c r="C2172" s="27">
        <f>IF(B2172="","",INDEX('01_Rohdaten'!B2172:D2172,'02_Eingaben'!$C$13))</f>
        <v/>
      </c>
      <c r="D2172" s="27">
        <f>IF(C2172="","",C2172*'02_Eingaben'!$C$15)</f>
        <v/>
      </c>
      <c r="E2172" s="27">
        <f>IF(D2172="","",D2172*'02_Eingaben'!$C$8)</f>
        <v/>
      </c>
      <c r="F2172" s="27">
        <f>IF(E2172="","",AVERAGE(INDEX($E$2:$E$3001,MAX(1,ROW()-1-'02_Eingaben'!$C$17)):INDEX($E$2:$E$3001,MIN('02_Eingaben'!$C$21,ROW()-1+'02_Eingaben'!$C$17))))</f>
        <v/>
      </c>
      <c r="G2172" s="27">
        <f>IF(F2172="","",F2172-'02_Eingaben'!$C$10)</f>
        <v/>
      </c>
      <c r="H2172">
        <f>IF(F2172="","",IF(F2172&lt;'02_Eingaben'!$C$18*'02_Eingaben'!$C$10,1,0))</f>
        <v/>
      </c>
      <c r="I2172" s="27">
        <f>IF(OR(G2172="",G2173=""),"",(G2172+G2173)/2*(B2173-B2172))</f>
        <v/>
      </c>
      <c r="J2172" s="27">
        <f>IF(B2172="","",IF(B2171&lt;'02_Eingaben'!$C$36,0,J2171+I2171/'02_Eingaben'!$C$8))</f>
        <v/>
      </c>
    </row>
    <row r="2173">
      <c r="A2173">
        <f>IF('01_Rohdaten'!A2173="","",ROW()-1)</f>
        <v/>
      </c>
      <c r="B2173" s="27">
        <f>IF('01_Rohdaten'!A2173="","",'01_Rohdaten'!A2173)</f>
        <v/>
      </c>
      <c r="C2173" s="27">
        <f>IF(B2173="","",INDEX('01_Rohdaten'!B2173:D2173,'02_Eingaben'!$C$13))</f>
        <v/>
      </c>
      <c r="D2173" s="27">
        <f>IF(C2173="","",C2173*'02_Eingaben'!$C$15)</f>
        <v/>
      </c>
      <c r="E2173" s="27">
        <f>IF(D2173="","",D2173*'02_Eingaben'!$C$8)</f>
        <v/>
      </c>
      <c r="F2173" s="27">
        <f>IF(E2173="","",AVERAGE(INDEX($E$2:$E$3001,MAX(1,ROW()-1-'02_Eingaben'!$C$17)):INDEX($E$2:$E$3001,MIN('02_Eingaben'!$C$21,ROW()-1+'02_Eingaben'!$C$17))))</f>
        <v/>
      </c>
      <c r="G2173" s="27">
        <f>IF(F2173="","",F2173-'02_Eingaben'!$C$10)</f>
        <v/>
      </c>
      <c r="H2173">
        <f>IF(F2173="","",IF(F2173&lt;'02_Eingaben'!$C$18*'02_Eingaben'!$C$10,1,0))</f>
        <v/>
      </c>
      <c r="I2173" s="27">
        <f>IF(OR(G2173="",G2174=""),"",(G2173+G2174)/2*(B2174-B2173))</f>
        <v/>
      </c>
      <c r="J2173" s="27">
        <f>IF(B2173="","",IF(B2172&lt;'02_Eingaben'!$C$36,0,J2172+I2172/'02_Eingaben'!$C$8))</f>
        <v/>
      </c>
    </row>
    <row r="2174">
      <c r="A2174">
        <f>IF('01_Rohdaten'!A2174="","",ROW()-1)</f>
        <v/>
      </c>
      <c r="B2174" s="27">
        <f>IF('01_Rohdaten'!A2174="","",'01_Rohdaten'!A2174)</f>
        <v/>
      </c>
      <c r="C2174" s="27">
        <f>IF(B2174="","",INDEX('01_Rohdaten'!B2174:D2174,'02_Eingaben'!$C$13))</f>
        <v/>
      </c>
      <c r="D2174" s="27">
        <f>IF(C2174="","",C2174*'02_Eingaben'!$C$15)</f>
        <v/>
      </c>
      <c r="E2174" s="27">
        <f>IF(D2174="","",D2174*'02_Eingaben'!$C$8)</f>
        <v/>
      </c>
      <c r="F2174" s="27">
        <f>IF(E2174="","",AVERAGE(INDEX($E$2:$E$3001,MAX(1,ROW()-1-'02_Eingaben'!$C$17)):INDEX($E$2:$E$3001,MIN('02_Eingaben'!$C$21,ROW()-1+'02_Eingaben'!$C$17))))</f>
        <v/>
      </c>
      <c r="G2174" s="27">
        <f>IF(F2174="","",F2174-'02_Eingaben'!$C$10)</f>
        <v/>
      </c>
      <c r="H2174">
        <f>IF(F2174="","",IF(F2174&lt;'02_Eingaben'!$C$18*'02_Eingaben'!$C$10,1,0))</f>
        <v/>
      </c>
      <c r="I2174" s="27">
        <f>IF(OR(G2174="",G2175=""),"",(G2174+G2175)/2*(B2175-B2174))</f>
        <v/>
      </c>
      <c r="J2174" s="27">
        <f>IF(B2174="","",IF(B2173&lt;'02_Eingaben'!$C$36,0,J2173+I2173/'02_Eingaben'!$C$8))</f>
        <v/>
      </c>
    </row>
    <row r="2175">
      <c r="A2175">
        <f>IF('01_Rohdaten'!A2175="","",ROW()-1)</f>
        <v/>
      </c>
      <c r="B2175" s="27">
        <f>IF('01_Rohdaten'!A2175="","",'01_Rohdaten'!A2175)</f>
        <v/>
      </c>
      <c r="C2175" s="27">
        <f>IF(B2175="","",INDEX('01_Rohdaten'!B2175:D2175,'02_Eingaben'!$C$13))</f>
        <v/>
      </c>
      <c r="D2175" s="27">
        <f>IF(C2175="","",C2175*'02_Eingaben'!$C$15)</f>
        <v/>
      </c>
      <c r="E2175" s="27">
        <f>IF(D2175="","",D2175*'02_Eingaben'!$C$8)</f>
        <v/>
      </c>
      <c r="F2175" s="27">
        <f>IF(E2175="","",AVERAGE(INDEX($E$2:$E$3001,MAX(1,ROW()-1-'02_Eingaben'!$C$17)):INDEX($E$2:$E$3001,MIN('02_Eingaben'!$C$21,ROW()-1+'02_Eingaben'!$C$17))))</f>
        <v/>
      </c>
      <c r="G2175" s="27">
        <f>IF(F2175="","",F2175-'02_Eingaben'!$C$10)</f>
        <v/>
      </c>
      <c r="H2175">
        <f>IF(F2175="","",IF(F2175&lt;'02_Eingaben'!$C$18*'02_Eingaben'!$C$10,1,0))</f>
        <v/>
      </c>
      <c r="I2175" s="27">
        <f>IF(OR(G2175="",G2176=""),"",(G2175+G2176)/2*(B2176-B2175))</f>
        <v/>
      </c>
      <c r="J2175" s="27">
        <f>IF(B2175="","",IF(B2174&lt;'02_Eingaben'!$C$36,0,J2174+I2174/'02_Eingaben'!$C$8))</f>
        <v/>
      </c>
    </row>
    <row r="2176">
      <c r="A2176">
        <f>IF('01_Rohdaten'!A2176="","",ROW()-1)</f>
        <v/>
      </c>
      <c r="B2176" s="27">
        <f>IF('01_Rohdaten'!A2176="","",'01_Rohdaten'!A2176)</f>
        <v/>
      </c>
      <c r="C2176" s="27">
        <f>IF(B2176="","",INDEX('01_Rohdaten'!B2176:D2176,'02_Eingaben'!$C$13))</f>
        <v/>
      </c>
      <c r="D2176" s="27">
        <f>IF(C2176="","",C2176*'02_Eingaben'!$C$15)</f>
        <v/>
      </c>
      <c r="E2176" s="27">
        <f>IF(D2176="","",D2176*'02_Eingaben'!$C$8)</f>
        <v/>
      </c>
      <c r="F2176" s="27">
        <f>IF(E2176="","",AVERAGE(INDEX($E$2:$E$3001,MAX(1,ROW()-1-'02_Eingaben'!$C$17)):INDEX($E$2:$E$3001,MIN('02_Eingaben'!$C$21,ROW()-1+'02_Eingaben'!$C$17))))</f>
        <v/>
      </c>
      <c r="G2176" s="27">
        <f>IF(F2176="","",F2176-'02_Eingaben'!$C$10)</f>
        <v/>
      </c>
      <c r="H2176">
        <f>IF(F2176="","",IF(F2176&lt;'02_Eingaben'!$C$18*'02_Eingaben'!$C$10,1,0))</f>
        <v/>
      </c>
      <c r="I2176" s="27">
        <f>IF(OR(G2176="",G2177=""),"",(G2176+G2177)/2*(B2177-B2176))</f>
        <v/>
      </c>
      <c r="J2176" s="27">
        <f>IF(B2176="","",IF(B2175&lt;'02_Eingaben'!$C$36,0,J2175+I2175/'02_Eingaben'!$C$8))</f>
        <v/>
      </c>
    </row>
    <row r="2177">
      <c r="A2177">
        <f>IF('01_Rohdaten'!A2177="","",ROW()-1)</f>
        <v/>
      </c>
      <c r="B2177" s="27">
        <f>IF('01_Rohdaten'!A2177="","",'01_Rohdaten'!A2177)</f>
        <v/>
      </c>
      <c r="C2177" s="27">
        <f>IF(B2177="","",INDEX('01_Rohdaten'!B2177:D2177,'02_Eingaben'!$C$13))</f>
        <v/>
      </c>
      <c r="D2177" s="27">
        <f>IF(C2177="","",C2177*'02_Eingaben'!$C$15)</f>
        <v/>
      </c>
      <c r="E2177" s="27">
        <f>IF(D2177="","",D2177*'02_Eingaben'!$C$8)</f>
        <v/>
      </c>
      <c r="F2177" s="27">
        <f>IF(E2177="","",AVERAGE(INDEX($E$2:$E$3001,MAX(1,ROW()-1-'02_Eingaben'!$C$17)):INDEX($E$2:$E$3001,MIN('02_Eingaben'!$C$21,ROW()-1+'02_Eingaben'!$C$17))))</f>
        <v/>
      </c>
      <c r="G2177" s="27">
        <f>IF(F2177="","",F2177-'02_Eingaben'!$C$10)</f>
        <v/>
      </c>
      <c r="H2177">
        <f>IF(F2177="","",IF(F2177&lt;'02_Eingaben'!$C$18*'02_Eingaben'!$C$10,1,0))</f>
        <v/>
      </c>
      <c r="I2177" s="27">
        <f>IF(OR(G2177="",G2178=""),"",(G2177+G2178)/2*(B2178-B2177))</f>
        <v/>
      </c>
      <c r="J2177" s="27">
        <f>IF(B2177="","",IF(B2176&lt;'02_Eingaben'!$C$36,0,J2176+I2176/'02_Eingaben'!$C$8))</f>
        <v/>
      </c>
    </row>
    <row r="2178">
      <c r="A2178">
        <f>IF('01_Rohdaten'!A2178="","",ROW()-1)</f>
        <v/>
      </c>
      <c r="B2178" s="27">
        <f>IF('01_Rohdaten'!A2178="","",'01_Rohdaten'!A2178)</f>
        <v/>
      </c>
      <c r="C2178" s="27">
        <f>IF(B2178="","",INDEX('01_Rohdaten'!B2178:D2178,'02_Eingaben'!$C$13))</f>
        <v/>
      </c>
      <c r="D2178" s="27">
        <f>IF(C2178="","",C2178*'02_Eingaben'!$C$15)</f>
        <v/>
      </c>
      <c r="E2178" s="27">
        <f>IF(D2178="","",D2178*'02_Eingaben'!$C$8)</f>
        <v/>
      </c>
      <c r="F2178" s="27">
        <f>IF(E2178="","",AVERAGE(INDEX($E$2:$E$3001,MAX(1,ROW()-1-'02_Eingaben'!$C$17)):INDEX($E$2:$E$3001,MIN('02_Eingaben'!$C$21,ROW()-1+'02_Eingaben'!$C$17))))</f>
        <v/>
      </c>
      <c r="G2178" s="27">
        <f>IF(F2178="","",F2178-'02_Eingaben'!$C$10)</f>
        <v/>
      </c>
      <c r="H2178">
        <f>IF(F2178="","",IF(F2178&lt;'02_Eingaben'!$C$18*'02_Eingaben'!$C$10,1,0))</f>
        <v/>
      </c>
      <c r="I2178" s="27">
        <f>IF(OR(G2178="",G2179=""),"",(G2178+G2179)/2*(B2179-B2178))</f>
        <v/>
      </c>
      <c r="J2178" s="27">
        <f>IF(B2178="","",IF(B2177&lt;'02_Eingaben'!$C$36,0,J2177+I2177/'02_Eingaben'!$C$8))</f>
        <v/>
      </c>
    </row>
    <row r="2179">
      <c r="A2179">
        <f>IF('01_Rohdaten'!A2179="","",ROW()-1)</f>
        <v/>
      </c>
      <c r="B2179" s="27">
        <f>IF('01_Rohdaten'!A2179="","",'01_Rohdaten'!A2179)</f>
        <v/>
      </c>
      <c r="C2179" s="27">
        <f>IF(B2179="","",INDEX('01_Rohdaten'!B2179:D2179,'02_Eingaben'!$C$13))</f>
        <v/>
      </c>
      <c r="D2179" s="27">
        <f>IF(C2179="","",C2179*'02_Eingaben'!$C$15)</f>
        <v/>
      </c>
      <c r="E2179" s="27">
        <f>IF(D2179="","",D2179*'02_Eingaben'!$C$8)</f>
        <v/>
      </c>
      <c r="F2179" s="27">
        <f>IF(E2179="","",AVERAGE(INDEX($E$2:$E$3001,MAX(1,ROW()-1-'02_Eingaben'!$C$17)):INDEX($E$2:$E$3001,MIN('02_Eingaben'!$C$21,ROW()-1+'02_Eingaben'!$C$17))))</f>
        <v/>
      </c>
      <c r="G2179" s="27">
        <f>IF(F2179="","",F2179-'02_Eingaben'!$C$10)</f>
        <v/>
      </c>
      <c r="H2179">
        <f>IF(F2179="","",IF(F2179&lt;'02_Eingaben'!$C$18*'02_Eingaben'!$C$10,1,0))</f>
        <v/>
      </c>
      <c r="I2179" s="27">
        <f>IF(OR(G2179="",G2180=""),"",(G2179+G2180)/2*(B2180-B2179))</f>
        <v/>
      </c>
      <c r="J2179" s="27">
        <f>IF(B2179="","",IF(B2178&lt;'02_Eingaben'!$C$36,0,J2178+I2178/'02_Eingaben'!$C$8))</f>
        <v/>
      </c>
    </row>
    <row r="2180">
      <c r="A2180">
        <f>IF('01_Rohdaten'!A2180="","",ROW()-1)</f>
        <v/>
      </c>
      <c r="B2180" s="27">
        <f>IF('01_Rohdaten'!A2180="","",'01_Rohdaten'!A2180)</f>
        <v/>
      </c>
      <c r="C2180" s="27">
        <f>IF(B2180="","",INDEX('01_Rohdaten'!B2180:D2180,'02_Eingaben'!$C$13))</f>
        <v/>
      </c>
      <c r="D2180" s="27">
        <f>IF(C2180="","",C2180*'02_Eingaben'!$C$15)</f>
        <v/>
      </c>
      <c r="E2180" s="27">
        <f>IF(D2180="","",D2180*'02_Eingaben'!$C$8)</f>
        <v/>
      </c>
      <c r="F2180" s="27">
        <f>IF(E2180="","",AVERAGE(INDEX($E$2:$E$3001,MAX(1,ROW()-1-'02_Eingaben'!$C$17)):INDEX($E$2:$E$3001,MIN('02_Eingaben'!$C$21,ROW()-1+'02_Eingaben'!$C$17))))</f>
        <v/>
      </c>
      <c r="G2180" s="27">
        <f>IF(F2180="","",F2180-'02_Eingaben'!$C$10)</f>
        <v/>
      </c>
      <c r="H2180">
        <f>IF(F2180="","",IF(F2180&lt;'02_Eingaben'!$C$18*'02_Eingaben'!$C$10,1,0))</f>
        <v/>
      </c>
      <c r="I2180" s="27">
        <f>IF(OR(G2180="",G2181=""),"",(G2180+G2181)/2*(B2181-B2180))</f>
        <v/>
      </c>
      <c r="J2180" s="27">
        <f>IF(B2180="","",IF(B2179&lt;'02_Eingaben'!$C$36,0,J2179+I2179/'02_Eingaben'!$C$8))</f>
        <v/>
      </c>
    </row>
    <row r="2181">
      <c r="A2181">
        <f>IF('01_Rohdaten'!A2181="","",ROW()-1)</f>
        <v/>
      </c>
      <c r="B2181" s="27">
        <f>IF('01_Rohdaten'!A2181="","",'01_Rohdaten'!A2181)</f>
        <v/>
      </c>
      <c r="C2181" s="27">
        <f>IF(B2181="","",INDEX('01_Rohdaten'!B2181:D2181,'02_Eingaben'!$C$13))</f>
        <v/>
      </c>
      <c r="D2181" s="27">
        <f>IF(C2181="","",C2181*'02_Eingaben'!$C$15)</f>
        <v/>
      </c>
      <c r="E2181" s="27">
        <f>IF(D2181="","",D2181*'02_Eingaben'!$C$8)</f>
        <v/>
      </c>
      <c r="F2181" s="27">
        <f>IF(E2181="","",AVERAGE(INDEX($E$2:$E$3001,MAX(1,ROW()-1-'02_Eingaben'!$C$17)):INDEX($E$2:$E$3001,MIN('02_Eingaben'!$C$21,ROW()-1+'02_Eingaben'!$C$17))))</f>
        <v/>
      </c>
      <c r="G2181" s="27">
        <f>IF(F2181="","",F2181-'02_Eingaben'!$C$10)</f>
        <v/>
      </c>
      <c r="H2181">
        <f>IF(F2181="","",IF(F2181&lt;'02_Eingaben'!$C$18*'02_Eingaben'!$C$10,1,0))</f>
        <v/>
      </c>
      <c r="I2181" s="27">
        <f>IF(OR(G2181="",G2182=""),"",(G2181+G2182)/2*(B2182-B2181))</f>
        <v/>
      </c>
      <c r="J2181" s="27">
        <f>IF(B2181="","",IF(B2180&lt;'02_Eingaben'!$C$36,0,J2180+I2180/'02_Eingaben'!$C$8))</f>
        <v/>
      </c>
    </row>
    <row r="2182">
      <c r="A2182">
        <f>IF('01_Rohdaten'!A2182="","",ROW()-1)</f>
        <v/>
      </c>
      <c r="B2182" s="27">
        <f>IF('01_Rohdaten'!A2182="","",'01_Rohdaten'!A2182)</f>
        <v/>
      </c>
      <c r="C2182" s="27">
        <f>IF(B2182="","",INDEX('01_Rohdaten'!B2182:D2182,'02_Eingaben'!$C$13))</f>
        <v/>
      </c>
      <c r="D2182" s="27">
        <f>IF(C2182="","",C2182*'02_Eingaben'!$C$15)</f>
        <v/>
      </c>
      <c r="E2182" s="27">
        <f>IF(D2182="","",D2182*'02_Eingaben'!$C$8)</f>
        <v/>
      </c>
      <c r="F2182" s="27">
        <f>IF(E2182="","",AVERAGE(INDEX($E$2:$E$3001,MAX(1,ROW()-1-'02_Eingaben'!$C$17)):INDEX($E$2:$E$3001,MIN('02_Eingaben'!$C$21,ROW()-1+'02_Eingaben'!$C$17))))</f>
        <v/>
      </c>
      <c r="G2182" s="27">
        <f>IF(F2182="","",F2182-'02_Eingaben'!$C$10)</f>
        <v/>
      </c>
      <c r="H2182">
        <f>IF(F2182="","",IF(F2182&lt;'02_Eingaben'!$C$18*'02_Eingaben'!$C$10,1,0))</f>
        <v/>
      </c>
      <c r="I2182" s="27">
        <f>IF(OR(G2182="",G2183=""),"",(G2182+G2183)/2*(B2183-B2182))</f>
        <v/>
      </c>
      <c r="J2182" s="27">
        <f>IF(B2182="","",IF(B2181&lt;'02_Eingaben'!$C$36,0,J2181+I2181/'02_Eingaben'!$C$8))</f>
        <v/>
      </c>
    </row>
    <row r="2183">
      <c r="A2183">
        <f>IF('01_Rohdaten'!A2183="","",ROW()-1)</f>
        <v/>
      </c>
      <c r="B2183" s="27">
        <f>IF('01_Rohdaten'!A2183="","",'01_Rohdaten'!A2183)</f>
        <v/>
      </c>
      <c r="C2183" s="27">
        <f>IF(B2183="","",INDEX('01_Rohdaten'!B2183:D2183,'02_Eingaben'!$C$13))</f>
        <v/>
      </c>
      <c r="D2183" s="27">
        <f>IF(C2183="","",C2183*'02_Eingaben'!$C$15)</f>
        <v/>
      </c>
      <c r="E2183" s="27">
        <f>IF(D2183="","",D2183*'02_Eingaben'!$C$8)</f>
        <v/>
      </c>
      <c r="F2183" s="27">
        <f>IF(E2183="","",AVERAGE(INDEX($E$2:$E$3001,MAX(1,ROW()-1-'02_Eingaben'!$C$17)):INDEX($E$2:$E$3001,MIN('02_Eingaben'!$C$21,ROW()-1+'02_Eingaben'!$C$17))))</f>
        <v/>
      </c>
      <c r="G2183" s="27">
        <f>IF(F2183="","",F2183-'02_Eingaben'!$C$10)</f>
        <v/>
      </c>
      <c r="H2183">
        <f>IF(F2183="","",IF(F2183&lt;'02_Eingaben'!$C$18*'02_Eingaben'!$C$10,1,0))</f>
        <v/>
      </c>
      <c r="I2183" s="27">
        <f>IF(OR(G2183="",G2184=""),"",(G2183+G2184)/2*(B2184-B2183))</f>
        <v/>
      </c>
      <c r="J2183" s="27">
        <f>IF(B2183="","",IF(B2182&lt;'02_Eingaben'!$C$36,0,J2182+I2182/'02_Eingaben'!$C$8))</f>
        <v/>
      </c>
    </row>
    <row r="2184">
      <c r="A2184">
        <f>IF('01_Rohdaten'!A2184="","",ROW()-1)</f>
        <v/>
      </c>
      <c r="B2184" s="27">
        <f>IF('01_Rohdaten'!A2184="","",'01_Rohdaten'!A2184)</f>
        <v/>
      </c>
      <c r="C2184" s="27">
        <f>IF(B2184="","",INDEX('01_Rohdaten'!B2184:D2184,'02_Eingaben'!$C$13))</f>
        <v/>
      </c>
      <c r="D2184" s="27">
        <f>IF(C2184="","",C2184*'02_Eingaben'!$C$15)</f>
        <v/>
      </c>
      <c r="E2184" s="27">
        <f>IF(D2184="","",D2184*'02_Eingaben'!$C$8)</f>
        <v/>
      </c>
      <c r="F2184" s="27">
        <f>IF(E2184="","",AVERAGE(INDEX($E$2:$E$3001,MAX(1,ROW()-1-'02_Eingaben'!$C$17)):INDEX($E$2:$E$3001,MIN('02_Eingaben'!$C$21,ROW()-1+'02_Eingaben'!$C$17))))</f>
        <v/>
      </c>
      <c r="G2184" s="27">
        <f>IF(F2184="","",F2184-'02_Eingaben'!$C$10)</f>
        <v/>
      </c>
      <c r="H2184">
        <f>IF(F2184="","",IF(F2184&lt;'02_Eingaben'!$C$18*'02_Eingaben'!$C$10,1,0))</f>
        <v/>
      </c>
      <c r="I2184" s="27">
        <f>IF(OR(G2184="",G2185=""),"",(G2184+G2185)/2*(B2185-B2184))</f>
        <v/>
      </c>
      <c r="J2184" s="27">
        <f>IF(B2184="","",IF(B2183&lt;'02_Eingaben'!$C$36,0,J2183+I2183/'02_Eingaben'!$C$8))</f>
        <v/>
      </c>
    </row>
    <row r="2185">
      <c r="A2185">
        <f>IF('01_Rohdaten'!A2185="","",ROW()-1)</f>
        <v/>
      </c>
      <c r="B2185" s="27">
        <f>IF('01_Rohdaten'!A2185="","",'01_Rohdaten'!A2185)</f>
        <v/>
      </c>
      <c r="C2185" s="27">
        <f>IF(B2185="","",INDEX('01_Rohdaten'!B2185:D2185,'02_Eingaben'!$C$13))</f>
        <v/>
      </c>
      <c r="D2185" s="27">
        <f>IF(C2185="","",C2185*'02_Eingaben'!$C$15)</f>
        <v/>
      </c>
      <c r="E2185" s="27">
        <f>IF(D2185="","",D2185*'02_Eingaben'!$C$8)</f>
        <v/>
      </c>
      <c r="F2185" s="27">
        <f>IF(E2185="","",AVERAGE(INDEX($E$2:$E$3001,MAX(1,ROW()-1-'02_Eingaben'!$C$17)):INDEX($E$2:$E$3001,MIN('02_Eingaben'!$C$21,ROW()-1+'02_Eingaben'!$C$17))))</f>
        <v/>
      </c>
      <c r="G2185" s="27">
        <f>IF(F2185="","",F2185-'02_Eingaben'!$C$10)</f>
        <v/>
      </c>
      <c r="H2185">
        <f>IF(F2185="","",IF(F2185&lt;'02_Eingaben'!$C$18*'02_Eingaben'!$C$10,1,0))</f>
        <v/>
      </c>
      <c r="I2185" s="27">
        <f>IF(OR(G2185="",G2186=""),"",(G2185+G2186)/2*(B2186-B2185))</f>
        <v/>
      </c>
      <c r="J2185" s="27">
        <f>IF(B2185="","",IF(B2184&lt;'02_Eingaben'!$C$36,0,J2184+I2184/'02_Eingaben'!$C$8))</f>
        <v/>
      </c>
    </row>
    <row r="2186">
      <c r="A2186">
        <f>IF('01_Rohdaten'!A2186="","",ROW()-1)</f>
        <v/>
      </c>
      <c r="B2186" s="27">
        <f>IF('01_Rohdaten'!A2186="","",'01_Rohdaten'!A2186)</f>
        <v/>
      </c>
      <c r="C2186" s="27">
        <f>IF(B2186="","",INDEX('01_Rohdaten'!B2186:D2186,'02_Eingaben'!$C$13))</f>
        <v/>
      </c>
      <c r="D2186" s="27">
        <f>IF(C2186="","",C2186*'02_Eingaben'!$C$15)</f>
        <v/>
      </c>
      <c r="E2186" s="27">
        <f>IF(D2186="","",D2186*'02_Eingaben'!$C$8)</f>
        <v/>
      </c>
      <c r="F2186" s="27">
        <f>IF(E2186="","",AVERAGE(INDEX($E$2:$E$3001,MAX(1,ROW()-1-'02_Eingaben'!$C$17)):INDEX($E$2:$E$3001,MIN('02_Eingaben'!$C$21,ROW()-1+'02_Eingaben'!$C$17))))</f>
        <v/>
      </c>
      <c r="G2186" s="27">
        <f>IF(F2186="","",F2186-'02_Eingaben'!$C$10)</f>
        <v/>
      </c>
      <c r="H2186">
        <f>IF(F2186="","",IF(F2186&lt;'02_Eingaben'!$C$18*'02_Eingaben'!$C$10,1,0))</f>
        <v/>
      </c>
      <c r="I2186" s="27">
        <f>IF(OR(G2186="",G2187=""),"",(G2186+G2187)/2*(B2187-B2186))</f>
        <v/>
      </c>
      <c r="J2186" s="27">
        <f>IF(B2186="","",IF(B2185&lt;'02_Eingaben'!$C$36,0,J2185+I2185/'02_Eingaben'!$C$8))</f>
        <v/>
      </c>
    </row>
    <row r="2187">
      <c r="A2187">
        <f>IF('01_Rohdaten'!A2187="","",ROW()-1)</f>
        <v/>
      </c>
      <c r="B2187" s="27">
        <f>IF('01_Rohdaten'!A2187="","",'01_Rohdaten'!A2187)</f>
        <v/>
      </c>
      <c r="C2187" s="27">
        <f>IF(B2187="","",INDEX('01_Rohdaten'!B2187:D2187,'02_Eingaben'!$C$13))</f>
        <v/>
      </c>
      <c r="D2187" s="27">
        <f>IF(C2187="","",C2187*'02_Eingaben'!$C$15)</f>
        <v/>
      </c>
      <c r="E2187" s="27">
        <f>IF(D2187="","",D2187*'02_Eingaben'!$C$8)</f>
        <v/>
      </c>
      <c r="F2187" s="27">
        <f>IF(E2187="","",AVERAGE(INDEX($E$2:$E$3001,MAX(1,ROW()-1-'02_Eingaben'!$C$17)):INDEX($E$2:$E$3001,MIN('02_Eingaben'!$C$21,ROW()-1+'02_Eingaben'!$C$17))))</f>
        <v/>
      </c>
      <c r="G2187" s="27">
        <f>IF(F2187="","",F2187-'02_Eingaben'!$C$10)</f>
        <v/>
      </c>
      <c r="H2187">
        <f>IF(F2187="","",IF(F2187&lt;'02_Eingaben'!$C$18*'02_Eingaben'!$C$10,1,0))</f>
        <v/>
      </c>
      <c r="I2187" s="27">
        <f>IF(OR(G2187="",G2188=""),"",(G2187+G2188)/2*(B2188-B2187))</f>
        <v/>
      </c>
      <c r="J2187" s="27">
        <f>IF(B2187="","",IF(B2186&lt;'02_Eingaben'!$C$36,0,J2186+I2186/'02_Eingaben'!$C$8))</f>
        <v/>
      </c>
    </row>
    <row r="2188">
      <c r="A2188">
        <f>IF('01_Rohdaten'!A2188="","",ROW()-1)</f>
        <v/>
      </c>
      <c r="B2188" s="27">
        <f>IF('01_Rohdaten'!A2188="","",'01_Rohdaten'!A2188)</f>
        <v/>
      </c>
      <c r="C2188" s="27">
        <f>IF(B2188="","",INDEX('01_Rohdaten'!B2188:D2188,'02_Eingaben'!$C$13))</f>
        <v/>
      </c>
      <c r="D2188" s="27">
        <f>IF(C2188="","",C2188*'02_Eingaben'!$C$15)</f>
        <v/>
      </c>
      <c r="E2188" s="27">
        <f>IF(D2188="","",D2188*'02_Eingaben'!$C$8)</f>
        <v/>
      </c>
      <c r="F2188" s="27">
        <f>IF(E2188="","",AVERAGE(INDEX($E$2:$E$3001,MAX(1,ROW()-1-'02_Eingaben'!$C$17)):INDEX($E$2:$E$3001,MIN('02_Eingaben'!$C$21,ROW()-1+'02_Eingaben'!$C$17))))</f>
        <v/>
      </c>
      <c r="G2188" s="27">
        <f>IF(F2188="","",F2188-'02_Eingaben'!$C$10)</f>
        <v/>
      </c>
      <c r="H2188">
        <f>IF(F2188="","",IF(F2188&lt;'02_Eingaben'!$C$18*'02_Eingaben'!$C$10,1,0))</f>
        <v/>
      </c>
      <c r="I2188" s="27">
        <f>IF(OR(G2188="",G2189=""),"",(G2188+G2189)/2*(B2189-B2188))</f>
        <v/>
      </c>
      <c r="J2188" s="27">
        <f>IF(B2188="","",IF(B2187&lt;'02_Eingaben'!$C$36,0,J2187+I2187/'02_Eingaben'!$C$8))</f>
        <v/>
      </c>
    </row>
    <row r="2189">
      <c r="A2189">
        <f>IF('01_Rohdaten'!A2189="","",ROW()-1)</f>
        <v/>
      </c>
      <c r="B2189" s="27">
        <f>IF('01_Rohdaten'!A2189="","",'01_Rohdaten'!A2189)</f>
        <v/>
      </c>
      <c r="C2189" s="27">
        <f>IF(B2189="","",INDEX('01_Rohdaten'!B2189:D2189,'02_Eingaben'!$C$13))</f>
        <v/>
      </c>
      <c r="D2189" s="27">
        <f>IF(C2189="","",C2189*'02_Eingaben'!$C$15)</f>
        <v/>
      </c>
      <c r="E2189" s="27">
        <f>IF(D2189="","",D2189*'02_Eingaben'!$C$8)</f>
        <v/>
      </c>
      <c r="F2189" s="27">
        <f>IF(E2189="","",AVERAGE(INDEX($E$2:$E$3001,MAX(1,ROW()-1-'02_Eingaben'!$C$17)):INDEX($E$2:$E$3001,MIN('02_Eingaben'!$C$21,ROW()-1+'02_Eingaben'!$C$17))))</f>
        <v/>
      </c>
      <c r="G2189" s="27">
        <f>IF(F2189="","",F2189-'02_Eingaben'!$C$10)</f>
        <v/>
      </c>
      <c r="H2189">
        <f>IF(F2189="","",IF(F2189&lt;'02_Eingaben'!$C$18*'02_Eingaben'!$C$10,1,0))</f>
        <v/>
      </c>
      <c r="I2189" s="27">
        <f>IF(OR(G2189="",G2190=""),"",(G2189+G2190)/2*(B2190-B2189))</f>
        <v/>
      </c>
      <c r="J2189" s="27">
        <f>IF(B2189="","",IF(B2188&lt;'02_Eingaben'!$C$36,0,J2188+I2188/'02_Eingaben'!$C$8))</f>
        <v/>
      </c>
    </row>
    <row r="2190">
      <c r="A2190">
        <f>IF('01_Rohdaten'!A2190="","",ROW()-1)</f>
        <v/>
      </c>
      <c r="B2190" s="27">
        <f>IF('01_Rohdaten'!A2190="","",'01_Rohdaten'!A2190)</f>
        <v/>
      </c>
      <c r="C2190" s="27">
        <f>IF(B2190="","",INDEX('01_Rohdaten'!B2190:D2190,'02_Eingaben'!$C$13))</f>
        <v/>
      </c>
      <c r="D2190" s="27">
        <f>IF(C2190="","",C2190*'02_Eingaben'!$C$15)</f>
        <v/>
      </c>
      <c r="E2190" s="27">
        <f>IF(D2190="","",D2190*'02_Eingaben'!$C$8)</f>
        <v/>
      </c>
      <c r="F2190" s="27">
        <f>IF(E2190="","",AVERAGE(INDEX($E$2:$E$3001,MAX(1,ROW()-1-'02_Eingaben'!$C$17)):INDEX($E$2:$E$3001,MIN('02_Eingaben'!$C$21,ROW()-1+'02_Eingaben'!$C$17))))</f>
        <v/>
      </c>
      <c r="G2190" s="27">
        <f>IF(F2190="","",F2190-'02_Eingaben'!$C$10)</f>
        <v/>
      </c>
      <c r="H2190">
        <f>IF(F2190="","",IF(F2190&lt;'02_Eingaben'!$C$18*'02_Eingaben'!$C$10,1,0))</f>
        <v/>
      </c>
      <c r="I2190" s="27">
        <f>IF(OR(G2190="",G2191=""),"",(G2190+G2191)/2*(B2191-B2190))</f>
        <v/>
      </c>
      <c r="J2190" s="27">
        <f>IF(B2190="","",IF(B2189&lt;'02_Eingaben'!$C$36,0,J2189+I2189/'02_Eingaben'!$C$8))</f>
        <v/>
      </c>
    </row>
    <row r="2191">
      <c r="A2191">
        <f>IF('01_Rohdaten'!A2191="","",ROW()-1)</f>
        <v/>
      </c>
      <c r="B2191" s="27">
        <f>IF('01_Rohdaten'!A2191="","",'01_Rohdaten'!A2191)</f>
        <v/>
      </c>
      <c r="C2191" s="27">
        <f>IF(B2191="","",INDEX('01_Rohdaten'!B2191:D2191,'02_Eingaben'!$C$13))</f>
        <v/>
      </c>
      <c r="D2191" s="27">
        <f>IF(C2191="","",C2191*'02_Eingaben'!$C$15)</f>
        <v/>
      </c>
      <c r="E2191" s="27">
        <f>IF(D2191="","",D2191*'02_Eingaben'!$C$8)</f>
        <v/>
      </c>
      <c r="F2191" s="27">
        <f>IF(E2191="","",AVERAGE(INDEX($E$2:$E$3001,MAX(1,ROW()-1-'02_Eingaben'!$C$17)):INDEX($E$2:$E$3001,MIN('02_Eingaben'!$C$21,ROW()-1+'02_Eingaben'!$C$17))))</f>
        <v/>
      </c>
      <c r="G2191" s="27">
        <f>IF(F2191="","",F2191-'02_Eingaben'!$C$10)</f>
        <v/>
      </c>
      <c r="H2191">
        <f>IF(F2191="","",IF(F2191&lt;'02_Eingaben'!$C$18*'02_Eingaben'!$C$10,1,0))</f>
        <v/>
      </c>
      <c r="I2191" s="27">
        <f>IF(OR(G2191="",G2192=""),"",(G2191+G2192)/2*(B2192-B2191))</f>
        <v/>
      </c>
      <c r="J2191" s="27">
        <f>IF(B2191="","",IF(B2190&lt;'02_Eingaben'!$C$36,0,J2190+I2190/'02_Eingaben'!$C$8))</f>
        <v/>
      </c>
    </row>
    <row r="2192">
      <c r="A2192">
        <f>IF('01_Rohdaten'!A2192="","",ROW()-1)</f>
        <v/>
      </c>
      <c r="B2192" s="27">
        <f>IF('01_Rohdaten'!A2192="","",'01_Rohdaten'!A2192)</f>
        <v/>
      </c>
      <c r="C2192" s="27">
        <f>IF(B2192="","",INDEX('01_Rohdaten'!B2192:D2192,'02_Eingaben'!$C$13))</f>
        <v/>
      </c>
      <c r="D2192" s="27">
        <f>IF(C2192="","",C2192*'02_Eingaben'!$C$15)</f>
        <v/>
      </c>
      <c r="E2192" s="27">
        <f>IF(D2192="","",D2192*'02_Eingaben'!$C$8)</f>
        <v/>
      </c>
      <c r="F2192" s="27">
        <f>IF(E2192="","",AVERAGE(INDEX($E$2:$E$3001,MAX(1,ROW()-1-'02_Eingaben'!$C$17)):INDEX($E$2:$E$3001,MIN('02_Eingaben'!$C$21,ROW()-1+'02_Eingaben'!$C$17))))</f>
        <v/>
      </c>
      <c r="G2192" s="27">
        <f>IF(F2192="","",F2192-'02_Eingaben'!$C$10)</f>
        <v/>
      </c>
      <c r="H2192">
        <f>IF(F2192="","",IF(F2192&lt;'02_Eingaben'!$C$18*'02_Eingaben'!$C$10,1,0))</f>
        <v/>
      </c>
      <c r="I2192" s="27">
        <f>IF(OR(G2192="",G2193=""),"",(G2192+G2193)/2*(B2193-B2192))</f>
        <v/>
      </c>
      <c r="J2192" s="27">
        <f>IF(B2192="","",IF(B2191&lt;'02_Eingaben'!$C$36,0,J2191+I2191/'02_Eingaben'!$C$8))</f>
        <v/>
      </c>
    </row>
    <row r="2193">
      <c r="A2193">
        <f>IF('01_Rohdaten'!A2193="","",ROW()-1)</f>
        <v/>
      </c>
      <c r="B2193" s="27">
        <f>IF('01_Rohdaten'!A2193="","",'01_Rohdaten'!A2193)</f>
        <v/>
      </c>
      <c r="C2193" s="27">
        <f>IF(B2193="","",INDEX('01_Rohdaten'!B2193:D2193,'02_Eingaben'!$C$13))</f>
        <v/>
      </c>
      <c r="D2193" s="27">
        <f>IF(C2193="","",C2193*'02_Eingaben'!$C$15)</f>
        <v/>
      </c>
      <c r="E2193" s="27">
        <f>IF(D2193="","",D2193*'02_Eingaben'!$C$8)</f>
        <v/>
      </c>
      <c r="F2193" s="27">
        <f>IF(E2193="","",AVERAGE(INDEX($E$2:$E$3001,MAX(1,ROW()-1-'02_Eingaben'!$C$17)):INDEX($E$2:$E$3001,MIN('02_Eingaben'!$C$21,ROW()-1+'02_Eingaben'!$C$17))))</f>
        <v/>
      </c>
      <c r="G2193" s="27">
        <f>IF(F2193="","",F2193-'02_Eingaben'!$C$10)</f>
        <v/>
      </c>
      <c r="H2193">
        <f>IF(F2193="","",IF(F2193&lt;'02_Eingaben'!$C$18*'02_Eingaben'!$C$10,1,0))</f>
        <v/>
      </c>
      <c r="I2193" s="27">
        <f>IF(OR(G2193="",G2194=""),"",(G2193+G2194)/2*(B2194-B2193))</f>
        <v/>
      </c>
      <c r="J2193" s="27">
        <f>IF(B2193="","",IF(B2192&lt;'02_Eingaben'!$C$36,0,J2192+I2192/'02_Eingaben'!$C$8))</f>
        <v/>
      </c>
    </row>
    <row r="2194">
      <c r="A2194">
        <f>IF('01_Rohdaten'!A2194="","",ROW()-1)</f>
        <v/>
      </c>
      <c r="B2194" s="27">
        <f>IF('01_Rohdaten'!A2194="","",'01_Rohdaten'!A2194)</f>
        <v/>
      </c>
      <c r="C2194" s="27">
        <f>IF(B2194="","",INDEX('01_Rohdaten'!B2194:D2194,'02_Eingaben'!$C$13))</f>
        <v/>
      </c>
      <c r="D2194" s="27">
        <f>IF(C2194="","",C2194*'02_Eingaben'!$C$15)</f>
        <v/>
      </c>
      <c r="E2194" s="27">
        <f>IF(D2194="","",D2194*'02_Eingaben'!$C$8)</f>
        <v/>
      </c>
      <c r="F2194" s="27">
        <f>IF(E2194="","",AVERAGE(INDEX($E$2:$E$3001,MAX(1,ROW()-1-'02_Eingaben'!$C$17)):INDEX($E$2:$E$3001,MIN('02_Eingaben'!$C$21,ROW()-1+'02_Eingaben'!$C$17))))</f>
        <v/>
      </c>
      <c r="G2194" s="27">
        <f>IF(F2194="","",F2194-'02_Eingaben'!$C$10)</f>
        <v/>
      </c>
      <c r="H2194">
        <f>IF(F2194="","",IF(F2194&lt;'02_Eingaben'!$C$18*'02_Eingaben'!$C$10,1,0))</f>
        <v/>
      </c>
      <c r="I2194" s="27">
        <f>IF(OR(G2194="",G2195=""),"",(G2194+G2195)/2*(B2195-B2194))</f>
        <v/>
      </c>
      <c r="J2194" s="27">
        <f>IF(B2194="","",IF(B2193&lt;'02_Eingaben'!$C$36,0,J2193+I2193/'02_Eingaben'!$C$8))</f>
        <v/>
      </c>
    </row>
    <row r="2195">
      <c r="A2195">
        <f>IF('01_Rohdaten'!A2195="","",ROW()-1)</f>
        <v/>
      </c>
      <c r="B2195" s="27">
        <f>IF('01_Rohdaten'!A2195="","",'01_Rohdaten'!A2195)</f>
        <v/>
      </c>
      <c r="C2195" s="27">
        <f>IF(B2195="","",INDEX('01_Rohdaten'!B2195:D2195,'02_Eingaben'!$C$13))</f>
        <v/>
      </c>
      <c r="D2195" s="27">
        <f>IF(C2195="","",C2195*'02_Eingaben'!$C$15)</f>
        <v/>
      </c>
      <c r="E2195" s="27">
        <f>IF(D2195="","",D2195*'02_Eingaben'!$C$8)</f>
        <v/>
      </c>
      <c r="F2195" s="27">
        <f>IF(E2195="","",AVERAGE(INDEX($E$2:$E$3001,MAX(1,ROW()-1-'02_Eingaben'!$C$17)):INDEX($E$2:$E$3001,MIN('02_Eingaben'!$C$21,ROW()-1+'02_Eingaben'!$C$17))))</f>
        <v/>
      </c>
      <c r="G2195" s="27">
        <f>IF(F2195="","",F2195-'02_Eingaben'!$C$10)</f>
        <v/>
      </c>
      <c r="H2195">
        <f>IF(F2195="","",IF(F2195&lt;'02_Eingaben'!$C$18*'02_Eingaben'!$C$10,1,0))</f>
        <v/>
      </c>
      <c r="I2195" s="27">
        <f>IF(OR(G2195="",G2196=""),"",(G2195+G2196)/2*(B2196-B2195))</f>
        <v/>
      </c>
      <c r="J2195" s="27">
        <f>IF(B2195="","",IF(B2194&lt;'02_Eingaben'!$C$36,0,J2194+I2194/'02_Eingaben'!$C$8))</f>
        <v/>
      </c>
    </row>
    <row r="2196">
      <c r="A2196">
        <f>IF('01_Rohdaten'!A2196="","",ROW()-1)</f>
        <v/>
      </c>
      <c r="B2196" s="27">
        <f>IF('01_Rohdaten'!A2196="","",'01_Rohdaten'!A2196)</f>
        <v/>
      </c>
      <c r="C2196" s="27">
        <f>IF(B2196="","",INDEX('01_Rohdaten'!B2196:D2196,'02_Eingaben'!$C$13))</f>
        <v/>
      </c>
      <c r="D2196" s="27">
        <f>IF(C2196="","",C2196*'02_Eingaben'!$C$15)</f>
        <v/>
      </c>
      <c r="E2196" s="27">
        <f>IF(D2196="","",D2196*'02_Eingaben'!$C$8)</f>
        <v/>
      </c>
      <c r="F2196" s="27">
        <f>IF(E2196="","",AVERAGE(INDEX($E$2:$E$3001,MAX(1,ROW()-1-'02_Eingaben'!$C$17)):INDEX($E$2:$E$3001,MIN('02_Eingaben'!$C$21,ROW()-1+'02_Eingaben'!$C$17))))</f>
        <v/>
      </c>
      <c r="G2196" s="27">
        <f>IF(F2196="","",F2196-'02_Eingaben'!$C$10)</f>
        <v/>
      </c>
      <c r="H2196">
        <f>IF(F2196="","",IF(F2196&lt;'02_Eingaben'!$C$18*'02_Eingaben'!$C$10,1,0))</f>
        <v/>
      </c>
      <c r="I2196" s="27">
        <f>IF(OR(G2196="",G2197=""),"",(G2196+G2197)/2*(B2197-B2196))</f>
        <v/>
      </c>
      <c r="J2196" s="27">
        <f>IF(B2196="","",IF(B2195&lt;'02_Eingaben'!$C$36,0,J2195+I2195/'02_Eingaben'!$C$8))</f>
        <v/>
      </c>
    </row>
    <row r="2197">
      <c r="A2197">
        <f>IF('01_Rohdaten'!A2197="","",ROW()-1)</f>
        <v/>
      </c>
      <c r="B2197" s="27">
        <f>IF('01_Rohdaten'!A2197="","",'01_Rohdaten'!A2197)</f>
        <v/>
      </c>
      <c r="C2197" s="27">
        <f>IF(B2197="","",INDEX('01_Rohdaten'!B2197:D2197,'02_Eingaben'!$C$13))</f>
        <v/>
      </c>
      <c r="D2197" s="27">
        <f>IF(C2197="","",C2197*'02_Eingaben'!$C$15)</f>
        <v/>
      </c>
      <c r="E2197" s="27">
        <f>IF(D2197="","",D2197*'02_Eingaben'!$C$8)</f>
        <v/>
      </c>
      <c r="F2197" s="27">
        <f>IF(E2197="","",AVERAGE(INDEX($E$2:$E$3001,MAX(1,ROW()-1-'02_Eingaben'!$C$17)):INDEX($E$2:$E$3001,MIN('02_Eingaben'!$C$21,ROW()-1+'02_Eingaben'!$C$17))))</f>
        <v/>
      </c>
      <c r="G2197" s="27">
        <f>IF(F2197="","",F2197-'02_Eingaben'!$C$10)</f>
        <v/>
      </c>
      <c r="H2197">
        <f>IF(F2197="","",IF(F2197&lt;'02_Eingaben'!$C$18*'02_Eingaben'!$C$10,1,0))</f>
        <v/>
      </c>
      <c r="I2197" s="27">
        <f>IF(OR(G2197="",G2198=""),"",(G2197+G2198)/2*(B2198-B2197))</f>
        <v/>
      </c>
      <c r="J2197" s="27">
        <f>IF(B2197="","",IF(B2196&lt;'02_Eingaben'!$C$36,0,J2196+I2196/'02_Eingaben'!$C$8))</f>
        <v/>
      </c>
    </row>
    <row r="2198">
      <c r="A2198">
        <f>IF('01_Rohdaten'!A2198="","",ROW()-1)</f>
        <v/>
      </c>
      <c r="B2198" s="27">
        <f>IF('01_Rohdaten'!A2198="","",'01_Rohdaten'!A2198)</f>
        <v/>
      </c>
      <c r="C2198" s="27">
        <f>IF(B2198="","",INDEX('01_Rohdaten'!B2198:D2198,'02_Eingaben'!$C$13))</f>
        <v/>
      </c>
      <c r="D2198" s="27">
        <f>IF(C2198="","",C2198*'02_Eingaben'!$C$15)</f>
        <v/>
      </c>
      <c r="E2198" s="27">
        <f>IF(D2198="","",D2198*'02_Eingaben'!$C$8)</f>
        <v/>
      </c>
      <c r="F2198" s="27">
        <f>IF(E2198="","",AVERAGE(INDEX($E$2:$E$3001,MAX(1,ROW()-1-'02_Eingaben'!$C$17)):INDEX($E$2:$E$3001,MIN('02_Eingaben'!$C$21,ROW()-1+'02_Eingaben'!$C$17))))</f>
        <v/>
      </c>
      <c r="G2198" s="27">
        <f>IF(F2198="","",F2198-'02_Eingaben'!$C$10)</f>
        <v/>
      </c>
      <c r="H2198">
        <f>IF(F2198="","",IF(F2198&lt;'02_Eingaben'!$C$18*'02_Eingaben'!$C$10,1,0))</f>
        <v/>
      </c>
      <c r="I2198" s="27">
        <f>IF(OR(G2198="",G2199=""),"",(G2198+G2199)/2*(B2199-B2198))</f>
        <v/>
      </c>
      <c r="J2198" s="27">
        <f>IF(B2198="","",IF(B2197&lt;'02_Eingaben'!$C$36,0,J2197+I2197/'02_Eingaben'!$C$8))</f>
        <v/>
      </c>
    </row>
    <row r="2199">
      <c r="A2199">
        <f>IF('01_Rohdaten'!A2199="","",ROW()-1)</f>
        <v/>
      </c>
      <c r="B2199" s="27">
        <f>IF('01_Rohdaten'!A2199="","",'01_Rohdaten'!A2199)</f>
        <v/>
      </c>
      <c r="C2199" s="27">
        <f>IF(B2199="","",INDEX('01_Rohdaten'!B2199:D2199,'02_Eingaben'!$C$13))</f>
        <v/>
      </c>
      <c r="D2199" s="27">
        <f>IF(C2199="","",C2199*'02_Eingaben'!$C$15)</f>
        <v/>
      </c>
      <c r="E2199" s="27">
        <f>IF(D2199="","",D2199*'02_Eingaben'!$C$8)</f>
        <v/>
      </c>
      <c r="F2199" s="27">
        <f>IF(E2199="","",AVERAGE(INDEX($E$2:$E$3001,MAX(1,ROW()-1-'02_Eingaben'!$C$17)):INDEX($E$2:$E$3001,MIN('02_Eingaben'!$C$21,ROW()-1+'02_Eingaben'!$C$17))))</f>
        <v/>
      </c>
      <c r="G2199" s="27">
        <f>IF(F2199="","",F2199-'02_Eingaben'!$C$10)</f>
        <v/>
      </c>
      <c r="H2199">
        <f>IF(F2199="","",IF(F2199&lt;'02_Eingaben'!$C$18*'02_Eingaben'!$C$10,1,0))</f>
        <v/>
      </c>
      <c r="I2199" s="27">
        <f>IF(OR(G2199="",G2200=""),"",(G2199+G2200)/2*(B2200-B2199))</f>
        <v/>
      </c>
      <c r="J2199" s="27">
        <f>IF(B2199="","",IF(B2198&lt;'02_Eingaben'!$C$36,0,J2198+I2198/'02_Eingaben'!$C$8))</f>
        <v/>
      </c>
    </row>
    <row r="2200">
      <c r="A2200">
        <f>IF('01_Rohdaten'!A2200="","",ROW()-1)</f>
        <v/>
      </c>
      <c r="B2200" s="27">
        <f>IF('01_Rohdaten'!A2200="","",'01_Rohdaten'!A2200)</f>
        <v/>
      </c>
      <c r="C2200" s="27">
        <f>IF(B2200="","",INDEX('01_Rohdaten'!B2200:D2200,'02_Eingaben'!$C$13))</f>
        <v/>
      </c>
      <c r="D2200" s="27">
        <f>IF(C2200="","",C2200*'02_Eingaben'!$C$15)</f>
        <v/>
      </c>
      <c r="E2200" s="27">
        <f>IF(D2200="","",D2200*'02_Eingaben'!$C$8)</f>
        <v/>
      </c>
      <c r="F2200" s="27">
        <f>IF(E2200="","",AVERAGE(INDEX($E$2:$E$3001,MAX(1,ROW()-1-'02_Eingaben'!$C$17)):INDEX($E$2:$E$3001,MIN('02_Eingaben'!$C$21,ROW()-1+'02_Eingaben'!$C$17))))</f>
        <v/>
      </c>
      <c r="G2200" s="27">
        <f>IF(F2200="","",F2200-'02_Eingaben'!$C$10)</f>
        <v/>
      </c>
      <c r="H2200">
        <f>IF(F2200="","",IF(F2200&lt;'02_Eingaben'!$C$18*'02_Eingaben'!$C$10,1,0))</f>
        <v/>
      </c>
      <c r="I2200" s="27">
        <f>IF(OR(G2200="",G2201=""),"",(G2200+G2201)/2*(B2201-B2200))</f>
        <v/>
      </c>
      <c r="J2200" s="27">
        <f>IF(B2200="","",IF(B2199&lt;'02_Eingaben'!$C$36,0,J2199+I2199/'02_Eingaben'!$C$8))</f>
        <v/>
      </c>
    </row>
    <row r="2201">
      <c r="A2201">
        <f>IF('01_Rohdaten'!A2201="","",ROW()-1)</f>
        <v/>
      </c>
      <c r="B2201" s="27">
        <f>IF('01_Rohdaten'!A2201="","",'01_Rohdaten'!A2201)</f>
        <v/>
      </c>
      <c r="C2201" s="27">
        <f>IF(B2201="","",INDEX('01_Rohdaten'!B2201:D2201,'02_Eingaben'!$C$13))</f>
        <v/>
      </c>
      <c r="D2201" s="27">
        <f>IF(C2201="","",C2201*'02_Eingaben'!$C$15)</f>
        <v/>
      </c>
      <c r="E2201" s="27">
        <f>IF(D2201="","",D2201*'02_Eingaben'!$C$8)</f>
        <v/>
      </c>
      <c r="F2201" s="27">
        <f>IF(E2201="","",AVERAGE(INDEX($E$2:$E$3001,MAX(1,ROW()-1-'02_Eingaben'!$C$17)):INDEX($E$2:$E$3001,MIN('02_Eingaben'!$C$21,ROW()-1+'02_Eingaben'!$C$17))))</f>
        <v/>
      </c>
      <c r="G2201" s="27">
        <f>IF(F2201="","",F2201-'02_Eingaben'!$C$10)</f>
        <v/>
      </c>
      <c r="H2201">
        <f>IF(F2201="","",IF(F2201&lt;'02_Eingaben'!$C$18*'02_Eingaben'!$C$10,1,0))</f>
        <v/>
      </c>
      <c r="I2201" s="27">
        <f>IF(OR(G2201="",G2202=""),"",(G2201+G2202)/2*(B2202-B2201))</f>
        <v/>
      </c>
      <c r="J2201" s="27">
        <f>IF(B2201="","",IF(B2200&lt;'02_Eingaben'!$C$36,0,J2200+I2200/'02_Eingaben'!$C$8))</f>
        <v/>
      </c>
    </row>
    <row r="2202">
      <c r="A2202">
        <f>IF('01_Rohdaten'!A2202="","",ROW()-1)</f>
        <v/>
      </c>
      <c r="B2202" s="27">
        <f>IF('01_Rohdaten'!A2202="","",'01_Rohdaten'!A2202)</f>
        <v/>
      </c>
      <c r="C2202" s="27">
        <f>IF(B2202="","",INDEX('01_Rohdaten'!B2202:D2202,'02_Eingaben'!$C$13))</f>
        <v/>
      </c>
      <c r="D2202" s="27">
        <f>IF(C2202="","",C2202*'02_Eingaben'!$C$15)</f>
        <v/>
      </c>
      <c r="E2202" s="27">
        <f>IF(D2202="","",D2202*'02_Eingaben'!$C$8)</f>
        <v/>
      </c>
      <c r="F2202" s="27">
        <f>IF(E2202="","",AVERAGE(INDEX($E$2:$E$3001,MAX(1,ROW()-1-'02_Eingaben'!$C$17)):INDEX($E$2:$E$3001,MIN('02_Eingaben'!$C$21,ROW()-1+'02_Eingaben'!$C$17))))</f>
        <v/>
      </c>
      <c r="G2202" s="27">
        <f>IF(F2202="","",F2202-'02_Eingaben'!$C$10)</f>
        <v/>
      </c>
      <c r="H2202">
        <f>IF(F2202="","",IF(F2202&lt;'02_Eingaben'!$C$18*'02_Eingaben'!$C$10,1,0))</f>
        <v/>
      </c>
      <c r="I2202" s="27">
        <f>IF(OR(G2202="",G2203=""),"",(G2202+G2203)/2*(B2203-B2202))</f>
        <v/>
      </c>
      <c r="J2202" s="27">
        <f>IF(B2202="","",IF(B2201&lt;'02_Eingaben'!$C$36,0,J2201+I2201/'02_Eingaben'!$C$8))</f>
        <v/>
      </c>
    </row>
    <row r="2203">
      <c r="A2203">
        <f>IF('01_Rohdaten'!A2203="","",ROW()-1)</f>
        <v/>
      </c>
      <c r="B2203" s="27">
        <f>IF('01_Rohdaten'!A2203="","",'01_Rohdaten'!A2203)</f>
        <v/>
      </c>
      <c r="C2203" s="27">
        <f>IF(B2203="","",INDEX('01_Rohdaten'!B2203:D2203,'02_Eingaben'!$C$13))</f>
        <v/>
      </c>
      <c r="D2203" s="27">
        <f>IF(C2203="","",C2203*'02_Eingaben'!$C$15)</f>
        <v/>
      </c>
      <c r="E2203" s="27">
        <f>IF(D2203="","",D2203*'02_Eingaben'!$C$8)</f>
        <v/>
      </c>
      <c r="F2203" s="27">
        <f>IF(E2203="","",AVERAGE(INDEX($E$2:$E$3001,MAX(1,ROW()-1-'02_Eingaben'!$C$17)):INDEX($E$2:$E$3001,MIN('02_Eingaben'!$C$21,ROW()-1+'02_Eingaben'!$C$17))))</f>
        <v/>
      </c>
      <c r="G2203" s="27">
        <f>IF(F2203="","",F2203-'02_Eingaben'!$C$10)</f>
        <v/>
      </c>
      <c r="H2203">
        <f>IF(F2203="","",IF(F2203&lt;'02_Eingaben'!$C$18*'02_Eingaben'!$C$10,1,0))</f>
        <v/>
      </c>
      <c r="I2203" s="27">
        <f>IF(OR(G2203="",G2204=""),"",(G2203+G2204)/2*(B2204-B2203))</f>
        <v/>
      </c>
      <c r="J2203" s="27">
        <f>IF(B2203="","",IF(B2202&lt;'02_Eingaben'!$C$36,0,J2202+I2202/'02_Eingaben'!$C$8))</f>
        <v/>
      </c>
    </row>
    <row r="2204">
      <c r="A2204">
        <f>IF('01_Rohdaten'!A2204="","",ROW()-1)</f>
        <v/>
      </c>
      <c r="B2204" s="27">
        <f>IF('01_Rohdaten'!A2204="","",'01_Rohdaten'!A2204)</f>
        <v/>
      </c>
      <c r="C2204" s="27">
        <f>IF(B2204="","",INDEX('01_Rohdaten'!B2204:D2204,'02_Eingaben'!$C$13))</f>
        <v/>
      </c>
      <c r="D2204" s="27">
        <f>IF(C2204="","",C2204*'02_Eingaben'!$C$15)</f>
        <v/>
      </c>
      <c r="E2204" s="27">
        <f>IF(D2204="","",D2204*'02_Eingaben'!$C$8)</f>
        <v/>
      </c>
      <c r="F2204" s="27">
        <f>IF(E2204="","",AVERAGE(INDEX($E$2:$E$3001,MAX(1,ROW()-1-'02_Eingaben'!$C$17)):INDEX($E$2:$E$3001,MIN('02_Eingaben'!$C$21,ROW()-1+'02_Eingaben'!$C$17))))</f>
        <v/>
      </c>
      <c r="G2204" s="27">
        <f>IF(F2204="","",F2204-'02_Eingaben'!$C$10)</f>
        <v/>
      </c>
      <c r="H2204">
        <f>IF(F2204="","",IF(F2204&lt;'02_Eingaben'!$C$18*'02_Eingaben'!$C$10,1,0))</f>
        <v/>
      </c>
      <c r="I2204" s="27">
        <f>IF(OR(G2204="",G2205=""),"",(G2204+G2205)/2*(B2205-B2204))</f>
        <v/>
      </c>
      <c r="J2204" s="27">
        <f>IF(B2204="","",IF(B2203&lt;'02_Eingaben'!$C$36,0,J2203+I2203/'02_Eingaben'!$C$8))</f>
        <v/>
      </c>
    </row>
    <row r="2205">
      <c r="A2205">
        <f>IF('01_Rohdaten'!A2205="","",ROW()-1)</f>
        <v/>
      </c>
      <c r="B2205" s="27">
        <f>IF('01_Rohdaten'!A2205="","",'01_Rohdaten'!A2205)</f>
        <v/>
      </c>
      <c r="C2205" s="27">
        <f>IF(B2205="","",INDEX('01_Rohdaten'!B2205:D2205,'02_Eingaben'!$C$13))</f>
        <v/>
      </c>
      <c r="D2205" s="27">
        <f>IF(C2205="","",C2205*'02_Eingaben'!$C$15)</f>
        <v/>
      </c>
      <c r="E2205" s="27">
        <f>IF(D2205="","",D2205*'02_Eingaben'!$C$8)</f>
        <v/>
      </c>
      <c r="F2205" s="27">
        <f>IF(E2205="","",AVERAGE(INDEX($E$2:$E$3001,MAX(1,ROW()-1-'02_Eingaben'!$C$17)):INDEX($E$2:$E$3001,MIN('02_Eingaben'!$C$21,ROW()-1+'02_Eingaben'!$C$17))))</f>
        <v/>
      </c>
      <c r="G2205" s="27">
        <f>IF(F2205="","",F2205-'02_Eingaben'!$C$10)</f>
        <v/>
      </c>
      <c r="H2205">
        <f>IF(F2205="","",IF(F2205&lt;'02_Eingaben'!$C$18*'02_Eingaben'!$C$10,1,0))</f>
        <v/>
      </c>
      <c r="I2205" s="27">
        <f>IF(OR(G2205="",G2206=""),"",(G2205+G2206)/2*(B2206-B2205))</f>
        <v/>
      </c>
      <c r="J2205" s="27">
        <f>IF(B2205="","",IF(B2204&lt;'02_Eingaben'!$C$36,0,J2204+I2204/'02_Eingaben'!$C$8))</f>
        <v/>
      </c>
    </row>
    <row r="2206">
      <c r="A2206">
        <f>IF('01_Rohdaten'!A2206="","",ROW()-1)</f>
        <v/>
      </c>
      <c r="B2206" s="27">
        <f>IF('01_Rohdaten'!A2206="","",'01_Rohdaten'!A2206)</f>
        <v/>
      </c>
      <c r="C2206" s="27">
        <f>IF(B2206="","",INDEX('01_Rohdaten'!B2206:D2206,'02_Eingaben'!$C$13))</f>
        <v/>
      </c>
      <c r="D2206" s="27">
        <f>IF(C2206="","",C2206*'02_Eingaben'!$C$15)</f>
        <v/>
      </c>
      <c r="E2206" s="27">
        <f>IF(D2206="","",D2206*'02_Eingaben'!$C$8)</f>
        <v/>
      </c>
      <c r="F2206" s="27">
        <f>IF(E2206="","",AVERAGE(INDEX($E$2:$E$3001,MAX(1,ROW()-1-'02_Eingaben'!$C$17)):INDEX($E$2:$E$3001,MIN('02_Eingaben'!$C$21,ROW()-1+'02_Eingaben'!$C$17))))</f>
        <v/>
      </c>
      <c r="G2206" s="27">
        <f>IF(F2206="","",F2206-'02_Eingaben'!$C$10)</f>
        <v/>
      </c>
      <c r="H2206">
        <f>IF(F2206="","",IF(F2206&lt;'02_Eingaben'!$C$18*'02_Eingaben'!$C$10,1,0))</f>
        <v/>
      </c>
      <c r="I2206" s="27">
        <f>IF(OR(G2206="",G2207=""),"",(G2206+G2207)/2*(B2207-B2206))</f>
        <v/>
      </c>
      <c r="J2206" s="27">
        <f>IF(B2206="","",IF(B2205&lt;'02_Eingaben'!$C$36,0,J2205+I2205/'02_Eingaben'!$C$8))</f>
        <v/>
      </c>
    </row>
    <row r="2207">
      <c r="A2207">
        <f>IF('01_Rohdaten'!A2207="","",ROW()-1)</f>
        <v/>
      </c>
      <c r="B2207" s="27">
        <f>IF('01_Rohdaten'!A2207="","",'01_Rohdaten'!A2207)</f>
        <v/>
      </c>
      <c r="C2207" s="27">
        <f>IF(B2207="","",INDEX('01_Rohdaten'!B2207:D2207,'02_Eingaben'!$C$13))</f>
        <v/>
      </c>
      <c r="D2207" s="27">
        <f>IF(C2207="","",C2207*'02_Eingaben'!$C$15)</f>
        <v/>
      </c>
      <c r="E2207" s="27">
        <f>IF(D2207="","",D2207*'02_Eingaben'!$C$8)</f>
        <v/>
      </c>
      <c r="F2207" s="27">
        <f>IF(E2207="","",AVERAGE(INDEX($E$2:$E$3001,MAX(1,ROW()-1-'02_Eingaben'!$C$17)):INDEX($E$2:$E$3001,MIN('02_Eingaben'!$C$21,ROW()-1+'02_Eingaben'!$C$17))))</f>
        <v/>
      </c>
      <c r="G2207" s="27">
        <f>IF(F2207="","",F2207-'02_Eingaben'!$C$10)</f>
        <v/>
      </c>
      <c r="H2207">
        <f>IF(F2207="","",IF(F2207&lt;'02_Eingaben'!$C$18*'02_Eingaben'!$C$10,1,0))</f>
        <v/>
      </c>
      <c r="I2207" s="27">
        <f>IF(OR(G2207="",G2208=""),"",(G2207+G2208)/2*(B2208-B2207))</f>
        <v/>
      </c>
      <c r="J2207" s="27">
        <f>IF(B2207="","",IF(B2206&lt;'02_Eingaben'!$C$36,0,J2206+I2206/'02_Eingaben'!$C$8))</f>
        <v/>
      </c>
    </row>
    <row r="2208">
      <c r="A2208">
        <f>IF('01_Rohdaten'!A2208="","",ROW()-1)</f>
        <v/>
      </c>
      <c r="B2208" s="27">
        <f>IF('01_Rohdaten'!A2208="","",'01_Rohdaten'!A2208)</f>
        <v/>
      </c>
      <c r="C2208" s="27">
        <f>IF(B2208="","",INDEX('01_Rohdaten'!B2208:D2208,'02_Eingaben'!$C$13))</f>
        <v/>
      </c>
      <c r="D2208" s="27">
        <f>IF(C2208="","",C2208*'02_Eingaben'!$C$15)</f>
        <v/>
      </c>
      <c r="E2208" s="27">
        <f>IF(D2208="","",D2208*'02_Eingaben'!$C$8)</f>
        <v/>
      </c>
      <c r="F2208" s="27">
        <f>IF(E2208="","",AVERAGE(INDEX($E$2:$E$3001,MAX(1,ROW()-1-'02_Eingaben'!$C$17)):INDEX($E$2:$E$3001,MIN('02_Eingaben'!$C$21,ROW()-1+'02_Eingaben'!$C$17))))</f>
        <v/>
      </c>
      <c r="G2208" s="27">
        <f>IF(F2208="","",F2208-'02_Eingaben'!$C$10)</f>
        <v/>
      </c>
      <c r="H2208">
        <f>IF(F2208="","",IF(F2208&lt;'02_Eingaben'!$C$18*'02_Eingaben'!$C$10,1,0))</f>
        <v/>
      </c>
      <c r="I2208" s="27">
        <f>IF(OR(G2208="",G2209=""),"",(G2208+G2209)/2*(B2209-B2208))</f>
        <v/>
      </c>
      <c r="J2208" s="27">
        <f>IF(B2208="","",IF(B2207&lt;'02_Eingaben'!$C$36,0,J2207+I2207/'02_Eingaben'!$C$8))</f>
        <v/>
      </c>
    </row>
    <row r="2209">
      <c r="A2209">
        <f>IF('01_Rohdaten'!A2209="","",ROW()-1)</f>
        <v/>
      </c>
      <c r="B2209" s="27">
        <f>IF('01_Rohdaten'!A2209="","",'01_Rohdaten'!A2209)</f>
        <v/>
      </c>
      <c r="C2209" s="27">
        <f>IF(B2209="","",INDEX('01_Rohdaten'!B2209:D2209,'02_Eingaben'!$C$13))</f>
        <v/>
      </c>
      <c r="D2209" s="27">
        <f>IF(C2209="","",C2209*'02_Eingaben'!$C$15)</f>
        <v/>
      </c>
      <c r="E2209" s="27">
        <f>IF(D2209="","",D2209*'02_Eingaben'!$C$8)</f>
        <v/>
      </c>
      <c r="F2209" s="27">
        <f>IF(E2209="","",AVERAGE(INDEX($E$2:$E$3001,MAX(1,ROW()-1-'02_Eingaben'!$C$17)):INDEX($E$2:$E$3001,MIN('02_Eingaben'!$C$21,ROW()-1+'02_Eingaben'!$C$17))))</f>
        <v/>
      </c>
      <c r="G2209" s="27">
        <f>IF(F2209="","",F2209-'02_Eingaben'!$C$10)</f>
        <v/>
      </c>
      <c r="H2209">
        <f>IF(F2209="","",IF(F2209&lt;'02_Eingaben'!$C$18*'02_Eingaben'!$C$10,1,0))</f>
        <v/>
      </c>
      <c r="I2209" s="27">
        <f>IF(OR(G2209="",G2210=""),"",(G2209+G2210)/2*(B2210-B2209))</f>
        <v/>
      </c>
      <c r="J2209" s="27">
        <f>IF(B2209="","",IF(B2208&lt;'02_Eingaben'!$C$36,0,J2208+I2208/'02_Eingaben'!$C$8))</f>
        <v/>
      </c>
    </row>
    <row r="2210">
      <c r="A2210">
        <f>IF('01_Rohdaten'!A2210="","",ROW()-1)</f>
        <v/>
      </c>
      <c r="B2210" s="27">
        <f>IF('01_Rohdaten'!A2210="","",'01_Rohdaten'!A2210)</f>
        <v/>
      </c>
      <c r="C2210" s="27">
        <f>IF(B2210="","",INDEX('01_Rohdaten'!B2210:D2210,'02_Eingaben'!$C$13))</f>
        <v/>
      </c>
      <c r="D2210" s="27">
        <f>IF(C2210="","",C2210*'02_Eingaben'!$C$15)</f>
        <v/>
      </c>
      <c r="E2210" s="27">
        <f>IF(D2210="","",D2210*'02_Eingaben'!$C$8)</f>
        <v/>
      </c>
      <c r="F2210" s="27">
        <f>IF(E2210="","",AVERAGE(INDEX($E$2:$E$3001,MAX(1,ROW()-1-'02_Eingaben'!$C$17)):INDEX($E$2:$E$3001,MIN('02_Eingaben'!$C$21,ROW()-1+'02_Eingaben'!$C$17))))</f>
        <v/>
      </c>
      <c r="G2210" s="27">
        <f>IF(F2210="","",F2210-'02_Eingaben'!$C$10)</f>
        <v/>
      </c>
      <c r="H2210">
        <f>IF(F2210="","",IF(F2210&lt;'02_Eingaben'!$C$18*'02_Eingaben'!$C$10,1,0))</f>
        <v/>
      </c>
      <c r="I2210" s="27">
        <f>IF(OR(G2210="",G2211=""),"",(G2210+G2211)/2*(B2211-B2210))</f>
        <v/>
      </c>
      <c r="J2210" s="27">
        <f>IF(B2210="","",IF(B2209&lt;'02_Eingaben'!$C$36,0,J2209+I2209/'02_Eingaben'!$C$8))</f>
        <v/>
      </c>
    </row>
    <row r="2211">
      <c r="A2211">
        <f>IF('01_Rohdaten'!A2211="","",ROW()-1)</f>
        <v/>
      </c>
      <c r="B2211" s="27">
        <f>IF('01_Rohdaten'!A2211="","",'01_Rohdaten'!A2211)</f>
        <v/>
      </c>
      <c r="C2211" s="27">
        <f>IF(B2211="","",INDEX('01_Rohdaten'!B2211:D2211,'02_Eingaben'!$C$13))</f>
        <v/>
      </c>
      <c r="D2211" s="27">
        <f>IF(C2211="","",C2211*'02_Eingaben'!$C$15)</f>
        <v/>
      </c>
      <c r="E2211" s="27">
        <f>IF(D2211="","",D2211*'02_Eingaben'!$C$8)</f>
        <v/>
      </c>
      <c r="F2211" s="27">
        <f>IF(E2211="","",AVERAGE(INDEX($E$2:$E$3001,MAX(1,ROW()-1-'02_Eingaben'!$C$17)):INDEX($E$2:$E$3001,MIN('02_Eingaben'!$C$21,ROW()-1+'02_Eingaben'!$C$17))))</f>
        <v/>
      </c>
      <c r="G2211" s="27">
        <f>IF(F2211="","",F2211-'02_Eingaben'!$C$10)</f>
        <v/>
      </c>
      <c r="H2211">
        <f>IF(F2211="","",IF(F2211&lt;'02_Eingaben'!$C$18*'02_Eingaben'!$C$10,1,0))</f>
        <v/>
      </c>
      <c r="I2211" s="27">
        <f>IF(OR(G2211="",G2212=""),"",(G2211+G2212)/2*(B2212-B2211))</f>
        <v/>
      </c>
      <c r="J2211" s="27">
        <f>IF(B2211="","",IF(B2210&lt;'02_Eingaben'!$C$36,0,J2210+I2210/'02_Eingaben'!$C$8))</f>
        <v/>
      </c>
    </row>
    <row r="2212">
      <c r="A2212">
        <f>IF('01_Rohdaten'!A2212="","",ROW()-1)</f>
        <v/>
      </c>
      <c r="B2212" s="27">
        <f>IF('01_Rohdaten'!A2212="","",'01_Rohdaten'!A2212)</f>
        <v/>
      </c>
      <c r="C2212" s="27">
        <f>IF(B2212="","",INDEX('01_Rohdaten'!B2212:D2212,'02_Eingaben'!$C$13))</f>
        <v/>
      </c>
      <c r="D2212" s="27">
        <f>IF(C2212="","",C2212*'02_Eingaben'!$C$15)</f>
        <v/>
      </c>
      <c r="E2212" s="27">
        <f>IF(D2212="","",D2212*'02_Eingaben'!$C$8)</f>
        <v/>
      </c>
      <c r="F2212" s="27">
        <f>IF(E2212="","",AVERAGE(INDEX($E$2:$E$3001,MAX(1,ROW()-1-'02_Eingaben'!$C$17)):INDEX($E$2:$E$3001,MIN('02_Eingaben'!$C$21,ROW()-1+'02_Eingaben'!$C$17))))</f>
        <v/>
      </c>
      <c r="G2212" s="27">
        <f>IF(F2212="","",F2212-'02_Eingaben'!$C$10)</f>
        <v/>
      </c>
      <c r="H2212">
        <f>IF(F2212="","",IF(F2212&lt;'02_Eingaben'!$C$18*'02_Eingaben'!$C$10,1,0))</f>
        <v/>
      </c>
      <c r="I2212" s="27">
        <f>IF(OR(G2212="",G2213=""),"",(G2212+G2213)/2*(B2213-B2212))</f>
        <v/>
      </c>
      <c r="J2212" s="27">
        <f>IF(B2212="","",IF(B2211&lt;'02_Eingaben'!$C$36,0,J2211+I2211/'02_Eingaben'!$C$8))</f>
        <v/>
      </c>
    </row>
    <row r="2213">
      <c r="A2213">
        <f>IF('01_Rohdaten'!A2213="","",ROW()-1)</f>
        <v/>
      </c>
      <c r="B2213" s="27">
        <f>IF('01_Rohdaten'!A2213="","",'01_Rohdaten'!A2213)</f>
        <v/>
      </c>
      <c r="C2213" s="27">
        <f>IF(B2213="","",INDEX('01_Rohdaten'!B2213:D2213,'02_Eingaben'!$C$13))</f>
        <v/>
      </c>
      <c r="D2213" s="27">
        <f>IF(C2213="","",C2213*'02_Eingaben'!$C$15)</f>
        <v/>
      </c>
      <c r="E2213" s="27">
        <f>IF(D2213="","",D2213*'02_Eingaben'!$C$8)</f>
        <v/>
      </c>
      <c r="F2213" s="27">
        <f>IF(E2213="","",AVERAGE(INDEX($E$2:$E$3001,MAX(1,ROW()-1-'02_Eingaben'!$C$17)):INDEX($E$2:$E$3001,MIN('02_Eingaben'!$C$21,ROW()-1+'02_Eingaben'!$C$17))))</f>
        <v/>
      </c>
      <c r="G2213" s="27">
        <f>IF(F2213="","",F2213-'02_Eingaben'!$C$10)</f>
        <v/>
      </c>
      <c r="H2213">
        <f>IF(F2213="","",IF(F2213&lt;'02_Eingaben'!$C$18*'02_Eingaben'!$C$10,1,0))</f>
        <v/>
      </c>
      <c r="I2213" s="27">
        <f>IF(OR(G2213="",G2214=""),"",(G2213+G2214)/2*(B2214-B2213))</f>
        <v/>
      </c>
      <c r="J2213" s="27">
        <f>IF(B2213="","",IF(B2212&lt;'02_Eingaben'!$C$36,0,J2212+I2212/'02_Eingaben'!$C$8))</f>
        <v/>
      </c>
    </row>
    <row r="2214">
      <c r="A2214">
        <f>IF('01_Rohdaten'!A2214="","",ROW()-1)</f>
        <v/>
      </c>
      <c r="B2214" s="27">
        <f>IF('01_Rohdaten'!A2214="","",'01_Rohdaten'!A2214)</f>
        <v/>
      </c>
      <c r="C2214" s="27">
        <f>IF(B2214="","",INDEX('01_Rohdaten'!B2214:D2214,'02_Eingaben'!$C$13))</f>
        <v/>
      </c>
      <c r="D2214" s="27">
        <f>IF(C2214="","",C2214*'02_Eingaben'!$C$15)</f>
        <v/>
      </c>
      <c r="E2214" s="27">
        <f>IF(D2214="","",D2214*'02_Eingaben'!$C$8)</f>
        <v/>
      </c>
      <c r="F2214" s="27">
        <f>IF(E2214="","",AVERAGE(INDEX($E$2:$E$3001,MAX(1,ROW()-1-'02_Eingaben'!$C$17)):INDEX($E$2:$E$3001,MIN('02_Eingaben'!$C$21,ROW()-1+'02_Eingaben'!$C$17))))</f>
        <v/>
      </c>
      <c r="G2214" s="27">
        <f>IF(F2214="","",F2214-'02_Eingaben'!$C$10)</f>
        <v/>
      </c>
      <c r="H2214">
        <f>IF(F2214="","",IF(F2214&lt;'02_Eingaben'!$C$18*'02_Eingaben'!$C$10,1,0))</f>
        <v/>
      </c>
      <c r="I2214" s="27">
        <f>IF(OR(G2214="",G2215=""),"",(G2214+G2215)/2*(B2215-B2214))</f>
        <v/>
      </c>
      <c r="J2214" s="27">
        <f>IF(B2214="","",IF(B2213&lt;'02_Eingaben'!$C$36,0,J2213+I2213/'02_Eingaben'!$C$8))</f>
        <v/>
      </c>
    </row>
    <row r="2215">
      <c r="A2215">
        <f>IF('01_Rohdaten'!A2215="","",ROW()-1)</f>
        <v/>
      </c>
      <c r="B2215" s="27">
        <f>IF('01_Rohdaten'!A2215="","",'01_Rohdaten'!A2215)</f>
        <v/>
      </c>
      <c r="C2215" s="27">
        <f>IF(B2215="","",INDEX('01_Rohdaten'!B2215:D2215,'02_Eingaben'!$C$13))</f>
        <v/>
      </c>
      <c r="D2215" s="27">
        <f>IF(C2215="","",C2215*'02_Eingaben'!$C$15)</f>
        <v/>
      </c>
      <c r="E2215" s="27">
        <f>IF(D2215="","",D2215*'02_Eingaben'!$C$8)</f>
        <v/>
      </c>
      <c r="F2215" s="27">
        <f>IF(E2215="","",AVERAGE(INDEX($E$2:$E$3001,MAX(1,ROW()-1-'02_Eingaben'!$C$17)):INDEX($E$2:$E$3001,MIN('02_Eingaben'!$C$21,ROW()-1+'02_Eingaben'!$C$17))))</f>
        <v/>
      </c>
      <c r="G2215" s="27">
        <f>IF(F2215="","",F2215-'02_Eingaben'!$C$10)</f>
        <v/>
      </c>
      <c r="H2215">
        <f>IF(F2215="","",IF(F2215&lt;'02_Eingaben'!$C$18*'02_Eingaben'!$C$10,1,0))</f>
        <v/>
      </c>
      <c r="I2215" s="27">
        <f>IF(OR(G2215="",G2216=""),"",(G2215+G2216)/2*(B2216-B2215))</f>
        <v/>
      </c>
      <c r="J2215" s="27">
        <f>IF(B2215="","",IF(B2214&lt;'02_Eingaben'!$C$36,0,J2214+I2214/'02_Eingaben'!$C$8))</f>
        <v/>
      </c>
    </row>
    <row r="2216">
      <c r="A2216">
        <f>IF('01_Rohdaten'!A2216="","",ROW()-1)</f>
        <v/>
      </c>
      <c r="B2216" s="27">
        <f>IF('01_Rohdaten'!A2216="","",'01_Rohdaten'!A2216)</f>
        <v/>
      </c>
      <c r="C2216" s="27">
        <f>IF(B2216="","",INDEX('01_Rohdaten'!B2216:D2216,'02_Eingaben'!$C$13))</f>
        <v/>
      </c>
      <c r="D2216" s="27">
        <f>IF(C2216="","",C2216*'02_Eingaben'!$C$15)</f>
        <v/>
      </c>
      <c r="E2216" s="27">
        <f>IF(D2216="","",D2216*'02_Eingaben'!$C$8)</f>
        <v/>
      </c>
      <c r="F2216" s="27">
        <f>IF(E2216="","",AVERAGE(INDEX($E$2:$E$3001,MAX(1,ROW()-1-'02_Eingaben'!$C$17)):INDEX($E$2:$E$3001,MIN('02_Eingaben'!$C$21,ROW()-1+'02_Eingaben'!$C$17))))</f>
        <v/>
      </c>
      <c r="G2216" s="27">
        <f>IF(F2216="","",F2216-'02_Eingaben'!$C$10)</f>
        <v/>
      </c>
      <c r="H2216">
        <f>IF(F2216="","",IF(F2216&lt;'02_Eingaben'!$C$18*'02_Eingaben'!$C$10,1,0))</f>
        <v/>
      </c>
      <c r="I2216" s="27">
        <f>IF(OR(G2216="",G2217=""),"",(G2216+G2217)/2*(B2217-B2216))</f>
        <v/>
      </c>
      <c r="J2216" s="27">
        <f>IF(B2216="","",IF(B2215&lt;'02_Eingaben'!$C$36,0,J2215+I2215/'02_Eingaben'!$C$8))</f>
        <v/>
      </c>
    </row>
    <row r="2217">
      <c r="A2217">
        <f>IF('01_Rohdaten'!A2217="","",ROW()-1)</f>
        <v/>
      </c>
      <c r="B2217" s="27">
        <f>IF('01_Rohdaten'!A2217="","",'01_Rohdaten'!A2217)</f>
        <v/>
      </c>
      <c r="C2217" s="27">
        <f>IF(B2217="","",INDEX('01_Rohdaten'!B2217:D2217,'02_Eingaben'!$C$13))</f>
        <v/>
      </c>
      <c r="D2217" s="27">
        <f>IF(C2217="","",C2217*'02_Eingaben'!$C$15)</f>
        <v/>
      </c>
      <c r="E2217" s="27">
        <f>IF(D2217="","",D2217*'02_Eingaben'!$C$8)</f>
        <v/>
      </c>
      <c r="F2217" s="27">
        <f>IF(E2217="","",AVERAGE(INDEX($E$2:$E$3001,MAX(1,ROW()-1-'02_Eingaben'!$C$17)):INDEX($E$2:$E$3001,MIN('02_Eingaben'!$C$21,ROW()-1+'02_Eingaben'!$C$17))))</f>
        <v/>
      </c>
      <c r="G2217" s="27">
        <f>IF(F2217="","",F2217-'02_Eingaben'!$C$10)</f>
        <v/>
      </c>
      <c r="H2217">
        <f>IF(F2217="","",IF(F2217&lt;'02_Eingaben'!$C$18*'02_Eingaben'!$C$10,1,0))</f>
        <v/>
      </c>
      <c r="I2217" s="27">
        <f>IF(OR(G2217="",G2218=""),"",(G2217+G2218)/2*(B2218-B2217))</f>
        <v/>
      </c>
      <c r="J2217" s="27">
        <f>IF(B2217="","",IF(B2216&lt;'02_Eingaben'!$C$36,0,J2216+I2216/'02_Eingaben'!$C$8))</f>
        <v/>
      </c>
    </row>
    <row r="2218">
      <c r="A2218">
        <f>IF('01_Rohdaten'!A2218="","",ROW()-1)</f>
        <v/>
      </c>
      <c r="B2218" s="27">
        <f>IF('01_Rohdaten'!A2218="","",'01_Rohdaten'!A2218)</f>
        <v/>
      </c>
      <c r="C2218" s="27">
        <f>IF(B2218="","",INDEX('01_Rohdaten'!B2218:D2218,'02_Eingaben'!$C$13))</f>
        <v/>
      </c>
      <c r="D2218" s="27">
        <f>IF(C2218="","",C2218*'02_Eingaben'!$C$15)</f>
        <v/>
      </c>
      <c r="E2218" s="27">
        <f>IF(D2218="","",D2218*'02_Eingaben'!$C$8)</f>
        <v/>
      </c>
      <c r="F2218" s="27">
        <f>IF(E2218="","",AVERAGE(INDEX($E$2:$E$3001,MAX(1,ROW()-1-'02_Eingaben'!$C$17)):INDEX($E$2:$E$3001,MIN('02_Eingaben'!$C$21,ROW()-1+'02_Eingaben'!$C$17))))</f>
        <v/>
      </c>
      <c r="G2218" s="27">
        <f>IF(F2218="","",F2218-'02_Eingaben'!$C$10)</f>
        <v/>
      </c>
      <c r="H2218">
        <f>IF(F2218="","",IF(F2218&lt;'02_Eingaben'!$C$18*'02_Eingaben'!$C$10,1,0))</f>
        <v/>
      </c>
      <c r="I2218" s="27">
        <f>IF(OR(G2218="",G2219=""),"",(G2218+G2219)/2*(B2219-B2218))</f>
        <v/>
      </c>
      <c r="J2218" s="27">
        <f>IF(B2218="","",IF(B2217&lt;'02_Eingaben'!$C$36,0,J2217+I2217/'02_Eingaben'!$C$8))</f>
        <v/>
      </c>
    </row>
    <row r="2219">
      <c r="A2219">
        <f>IF('01_Rohdaten'!A2219="","",ROW()-1)</f>
        <v/>
      </c>
      <c r="B2219" s="27">
        <f>IF('01_Rohdaten'!A2219="","",'01_Rohdaten'!A2219)</f>
        <v/>
      </c>
      <c r="C2219" s="27">
        <f>IF(B2219="","",INDEX('01_Rohdaten'!B2219:D2219,'02_Eingaben'!$C$13))</f>
        <v/>
      </c>
      <c r="D2219" s="27">
        <f>IF(C2219="","",C2219*'02_Eingaben'!$C$15)</f>
        <v/>
      </c>
      <c r="E2219" s="27">
        <f>IF(D2219="","",D2219*'02_Eingaben'!$C$8)</f>
        <v/>
      </c>
      <c r="F2219" s="27">
        <f>IF(E2219="","",AVERAGE(INDEX($E$2:$E$3001,MAX(1,ROW()-1-'02_Eingaben'!$C$17)):INDEX($E$2:$E$3001,MIN('02_Eingaben'!$C$21,ROW()-1+'02_Eingaben'!$C$17))))</f>
        <v/>
      </c>
      <c r="G2219" s="27">
        <f>IF(F2219="","",F2219-'02_Eingaben'!$C$10)</f>
        <v/>
      </c>
      <c r="H2219">
        <f>IF(F2219="","",IF(F2219&lt;'02_Eingaben'!$C$18*'02_Eingaben'!$C$10,1,0))</f>
        <v/>
      </c>
      <c r="I2219" s="27">
        <f>IF(OR(G2219="",G2220=""),"",(G2219+G2220)/2*(B2220-B2219))</f>
        <v/>
      </c>
      <c r="J2219" s="27">
        <f>IF(B2219="","",IF(B2218&lt;'02_Eingaben'!$C$36,0,J2218+I2218/'02_Eingaben'!$C$8))</f>
        <v/>
      </c>
    </row>
    <row r="2220">
      <c r="A2220">
        <f>IF('01_Rohdaten'!A2220="","",ROW()-1)</f>
        <v/>
      </c>
      <c r="B2220" s="27">
        <f>IF('01_Rohdaten'!A2220="","",'01_Rohdaten'!A2220)</f>
        <v/>
      </c>
      <c r="C2220" s="27">
        <f>IF(B2220="","",INDEX('01_Rohdaten'!B2220:D2220,'02_Eingaben'!$C$13))</f>
        <v/>
      </c>
      <c r="D2220" s="27">
        <f>IF(C2220="","",C2220*'02_Eingaben'!$C$15)</f>
        <v/>
      </c>
      <c r="E2220" s="27">
        <f>IF(D2220="","",D2220*'02_Eingaben'!$C$8)</f>
        <v/>
      </c>
      <c r="F2220" s="27">
        <f>IF(E2220="","",AVERAGE(INDEX($E$2:$E$3001,MAX(1,ROW()-1-'02_Eingaben'!$C$17)):INDEX($E$2:$E$3001,MIN('02_Eingaben'!$C$21,ROW()-1+'02_Eingaben'!$C$17))))</f>
        <v/>
      </c>
      <c r="G2220" s="27">
        <f>IF(F2220="","",F2220-'02_Eingaben'!$C$10)</f>
        <v/>
      </c>
      <c r="H2220">
        <f>IF(F2220="","",IF(F2220&lt;'02_Eingaben'!$C$18*'02_Eingaben'!$C$10,1,0))</f>
        <v/>
      </c>
      <c r="I2220" s="27">
        <f>IF(OR(G2220="",G2221=""),"",(G2220+G2221)/2*(B2221-B2220))</f>
        <v/>
      </c>
      <c r="J2220" s="27">
        <f>IF(B2220="","",IF(B2219&lt;'02_Eingaben'!$C$36,0,J2219+I2219/'02_Eingaben'!$C$8))</f>
        <v/>
      </c>
    </row>
    <row r="2221">
      <c r="A2221">
        <f>IF('01_Rohdaten'!A2221="","",ROW()-1)</f>
        <v/>
      </c>
      <c r="B2221" s="27">
        <f>IF('01_Rohdaten'!A2221="","",'01_Rohdaten'!A2221)</f>
        <v/>
      </c>
      <c r="C2221" s="27">
        <f>IF(B2221="","",INDEX('01_Rohdaten'!B2221:D2221,'02_Eingaben'!$C$13))</f>
        <v/>
      </c>
      <c r="D2221" s="27">
        <f>IF(C2221="","",C2221*'02_Eingaben'!$C$15)</f>
        <v/>
      </c>
      <c r="E2221" s="27">
        <f>IF(D2221="","",D2221*'02_Eingaben'!$C$8)</f>
        <v/>
      </c>
      <c r="F2221" s="27">
        <f>IF(E2221="","",AVERAGE(INDEX($E$2:$E$3001,MAX(1,ROW()-1-'02_Eingaben'!$C$17)):INDEX($E$2:$E$3001,MIN('02_Eingaben'!$C$21,ROW()-1+'02_Eingaben'!$C$17))))</f>
        <v/>
      </c>
      <c r="G2221" s="27">
        <f>IF(F2221="","",F2221-'02_Eingaben'!$C$10)</f>
        <v/>
      </c>
      <c r="H2221">
        <f>IF(F2221="","",IF(F2221&lt;'02_Eingaben'!$C$18*'02_Eingaben'!$C$10,1,0))</f>
        <v/>
      </c>
      <c r="I2221" s="27">
        <f>IF(OR(G2221="",G2222=""),"",(G2221+G2222)/2*(B2222-B2221))</f>
        <v/>
      </c>
      <c r="J2221" s="27">
        <f>IF(B2221="","",IF(B2220&lt;'02_Eingaben'!$C$36,0,J2220+I2220/'02_Eingaben'!$C$8))</f>
        <v/>
      </c>
    </row>
    <row r="2222">
      <c r="A2222">
        <f>IF('01_Rohdaten'!A2222="","",ROW()-1)</f>
        <v/>
      </c>
      <c r="B2222" s="27">
        <f>IF('01_Rohdaten'!A2222="","",'01_Rohdaten'!A2222)</f>
        <v/>
      </c>
      <c r="C2222" s="27">
        <f>IF(B2222="","",INDEX('01_Rohdaten'!B2222:D2222,'02_Eingaben'!$C$13))</f>
        <v/>
      </c>
      <c r="D2222" s="27">
        <f>IF(C2222="","",C2222*'02_Eingaben'!$C$15)</f>
        <v/>
      </c>
      <c r="E2222" s="27">
        <f>IF(D2222="","",D2222*'02_Eingaben'!$C$8)</f>
        <v/>
      </c>
      <c r="F2222" s="27">
        <f>IF(E2222="","",AVERAGE(INDEX($E$2:$E$3001,MAX(1,ROW()-1-'02_Eingaben'!$C$17)):INDEX($E$2:$E$3001,MIN('02_Eingaben'!$C$21,ROW()-1+'02_Eingaben'!$C$17))))</f>
        <v/>
      </c>
      <c r="G2222" s="27">
        <f>IF(F2222="","",F2222-'02_Eingaben'!$C$10)</f>
        <v/>
      </c>
      <c r="H2222">
        <f>IF(F2222="","",IF(F2222&lt;'02_Eingaben'!$C$18*'02_Eingaben'!$C$10,1,0))</f>
        <v/>
      </c>
      <c r="I2222" s="27">
        <f>IF(OR(G2222="",G2223=""),"",(G2222+G2223)/2*(B2223-B2222))</f>
        <v/>
      </c>
      <c r="J2222" s="27">
        <f>IF(B2222="","",IF(B2221&lt;'02_Eingaben'!$C$36,0,J2221+I2221/'02_Eingaben'!$C$8))</f>
        <v/>
      </c>
    </row>
    <row r="2223">
      <c r="A2223">
        <f>IF('01_Rohdaten'!A2223="","",ROW()-1)</f>
        <v/>
      </c>
      <c r="B2223" s="27">
        <f>IF('01_Rohdaten'!A2223="","",'01_Rohdaten'!A2223)</f>
        <v/>
      </c>
      <c r="C2223" s="27">
        <f>IF(B2223="","",INDEX('01_Rohdaten'!B2223:D2223,'02_Eingaben'!$C$13))</f>
        <v/>
      </c>
      <c r="D2223" s="27">
        <f>IF(C2223="","",C2223*'02_Eingaben'!$C$15)</f>
        <v/>
      </c>
      <c r="E2223" s="27">
        <f>IF(D2223="","",D2223*'02_Eingaben'!$C$8)</f>
        <v/>
      </c>
      <c r="F2223" s="27">
        <f>IF(E2223="","",AVERAGE(INDEX($E$2:$E$3001,MAX(1,ROW()-1-'02_Eingaben'!$C$17)):INDEX($E$2:$E$3001,MIN('02_Eingaben'!$C$21,ROW()-1+'02_Eingaben'!$C$17))))</f>
        <v/>
      </c>
      <c r="G2223" s="27">
        <f>IF(F2223="","",F2223-'02_Eingaben'!$C$10)</f>
        <v/>
      </c>
      <c r="H2223">
        <f>IF(F2223="","",IF(F2223&lt;'02_Eingaben'!$C$18*'02_Eingaben'!$C$10,1,0))</f>
        <v/>
      </c>
      <c r="I2223" s="27">
        <f>IF(OR(G2223="",G2224=""),"",(G2223+G2224)/2*(B2224-B2223))</f>
        <v/>
      </c>
      <c r="J2223" s="27">
        <f>IF(B2223="","",IF(B2222&lt;'02_Eingaben'!$C$36,0,J2222+I2222/'02_Eingaben'!$C$8))</f>
        <v/>
      </c>
    </row>
    <row r="2224">
      <c r="A2224">
        <f>IF('01_Rohdaten'!A2224="","",ROW()-1)</f>
        <v/>
      </c>
      <c r="B2224" s="27">
        <f>IF('01_Rohdaten'!A2224="","",'01_Rohdaten'!A2224)</f>
        <v/>
      </c>
      <c r="C2224" s="27">
        <f>IF(B2224="","",INDEX('01_Rohdaten'!B2224:D2224,'02_Eingaben'!$C$13))</f>
        <v/>
      </c>
      <c r="D2224" s="27">
        <f>IF(C2224="","",C2224*'02_Eingaben'!$C$15)</f>
        <v/>
      </c>
      <c r="E2224" s="27">
        <f>IF(D2224="","",D2224*'02_Eingaben'!$C$8)</f>
        <v/>
      </c>
      <c r="F2224" s="27">
        <f>IF(E2224="","",AVERAGE(INDEX($E$2:$E$3001,MAX(1,ROW()-1-'02_Eingaben'!$C$17)):INDEX($E$2:$E$3001,MIN('02_Eingaben'!$C$21,ROW()-1+'02_Eingaben'!$C$17))))</f>
        <v/>
      </c>
      <c r="G2224" s="27">
        <f>IF(F2224="","",F2224-'02_Eingaben'!$C$10)</f>
        <v/>
      </c>
      <c r="H2224">
        <f>IF(F2224="","",IF(F2224&lt;'02_Eingaben'!$C$18*'02_Eingaben'!$C$10,1,0))</f>
        <v/>
      </c>
      <c r="I2224" s="27">
        <f>IF(OR(G2224="",G2225=""),"",(G2224+G2225)/2*(B2225-B2224))</f>
        <v/>
      </c>
      <c r="J2224" s="27">
        <f>IF(B2224="","",IF(B2223&lt;'02_Eingaben'!$C$36,0,J2223+I2223/'02_Eingaben'!$C$8))</f>
        <v/>
      </c>
    </row>
    <row r="2225">
      <c r="A2225">
        <f>IF('01_Rohdaten'!A2225="","",ROW()-1)</f>
        <v/>
      </c>
      <c r="B2225" s="27">
        <f>IF('01_Rohdaten'!A2225="","",'01_Rohdaten'!A2225)</f>
        <v/>
      </c>
      <c r="C2225" s="27">
        <f>IF(B2225="","",INDEX('01_Rohdaten'!B2225:D2225,'02_Eingaben'!$C$13))</f>
        <v/>
      </c>
      <c r="D2225" s="27">
        <f>IF(C2225="","",C2225*'02_Eingaben'!$C$15)</f>
        <v/>
      </c>
      <c r="E2225" s="27">
        <f>IF(D2225="","",D2225*'02_Eingaben'!$C$8)</f>
        <v/>
      </c>
      <c r="F2225" s="27">
        <f>IF(E2225="","",AVERAGE(INDEX($E$2:$E$3001,MAX(1,ROW()-1-'02_Eingaben'!$C$17)):INDEX($E$2:$E$3001,MIN('02_Eingaben'!$C$21,ROW()-1+'02_Eingaben'!$C$17))))</f>
        <v/>
      </c>
      <c r="G2225" s="27">
        <f>IF(F2225="","",F2225-'02_Eingaben'!$C$10)</f>
        <v/>
      </c>
      <c r="H2225">
        <f>IF(F2225="","",IF(F2225&lt;'02_Eingaben'!$C$18*'02_Eingaben'!$C$10,1,0))</f>
        <v/>
      </c>
      <c r="I2225" s="27">
        <f>IF(OR(G2225="",G2226=""),"",(G2225+G2226)/2*(B2226-B2225))</f>
        <v/>
      </c>
      <c r="J2225" s="27">
        <f>IF(B2225="","",IF(B2224&lt;'02_Eingaben'!$C$36,0,J2224+I2224/'02_Eingaben'!$C$8))</f>
        <v/>
      </c>
    </row>
    <row r="2226">
      <c r="A2226">
        <f>IF('01_Rohdaten'!A2226="","",ROW()-1)</f>
        <v/>
      </c>
      <c r="B2226" s="27">
        <f>IF('01_Rohdaten'!A2226="","",'01_Rohdaten'!A2226)</f>
        <v/>
      </c>
      <c r="C2226" s="27">
        <f>IF(B2226="","",INDEX('01_Rohdaten'!B2226:D2226,'02_Eingaben'!$C$13))</f>
        <v/>
      </c>
      <c r="D2226" s="27">
        <f>IF(C2226="","",C2226*'02_Eingaben'!$C$15)</f>
        <v/>
      </c>
      <c r="E2226" s="27">
        <f>IF(D2226="","",D2226*'02_Eingaben'!$C$8)</f>
        <v/>
      </c>
      <c r="F2226" s="27">
        <f>IF(E2226="","",AVERAGE(INDEX($E$2:$E$3001,MAX(1,ROW()-1-'02_Eingaben'!$C$17)):INDEX($E$2:$E$3001,MIN('02_Eingaben'!$C$21,ROW()-1+'02_Eingaben'!$C$17))))</f>
        <v/>
      </c>
      <c r="G2226" s="27">
        <f>IF(F2226="","",F2226-'02_Eingaben'!$C$10)</f>
        <v/>
      </c>
      <c r="H2226">
        <f>IF(F2226="","",IF(F2226&lt;'02_Eingaben'!$C$18*'02_Eingaben'!$C$10,1,0))</f>
        <v/>
      </c>
      <c r="I2226" s="27">
        <f>IF(OR(G2226="",G2227=""),"",(G2226+G2227)/2*(B2227-B2226))</f>
        <v/>
      </c>
      <c r="J2226" s="27">
        <f>IF(B2226="","",IF(B2225&lt;'02_Eingaben'!$C$36,0,J2225+I2225/'02_Eingaben'!$C$8))</f>
        <v/>
      </c>
    </row>
    <row r="2227">
      <c r="A2227">
        <f>IF('01_Rohdaten'!A2227="","",ROW()-1)</f>
        <v/>
      </c>
      <c r="B2227" s="27">
        <f>IF('01_Rohdaten'!A2227="","",'01_Rohdaten'!A2227)</f>
        <v/>
      </c>
      <c r="C2227" s="27">
        <f>IF(B2227="","",INDEX('01_Rohdaten'!B2227:D2227,'02_Eingaben'!$C$13))</f>
        <v/>
      </c>
      <c r="D2227" s="27">
        <f>IF(C2227="","",C2227*'02_Eingaben'!$C$15)</f>
        <v/>
      </c>
      <c r="E2227" s="27">
        <f>IF(D2227="","",D2227*'02_Eingaben'!$C$8)</f>
        <v/>
      </c>
      <c r="F2227" s="27">
        <f>IF(E2227="","",AVERAGE(INDEX($E$2:$E$3001,MAX(1,ROW()-1-'02_Eingaben'!$C$17)):INDEX($E$2:$E$3001,MIN('02_Eingaben'!$C$21,ROW()-1+'02_Eingaben'!$C$17))))</f>
        <v/>
      </c>
      <c r="G2227" s="27">
        <f>IF(F2227="","",F2227-'02_Eingaben'!$C$10)</f>
        <v/>
      </c>
      <c r="H2227">
        <f>IF(F2227="","",IF(F2227&lt;'02_Eingaben'!$C$18*'02_Eingaben'!$C$10,1,0))</f>
        <v/>
      </c>
      <c r="I2227" s="27">
        <f>IF(OR(G2227="",G2228=""),"",(G2227+G2228)/2*(B2228-B2227))</f>
        <v/>
      </c>
      <c r="J2227" s="27">
        <f>IF(B2227="","",IF(B2226&lt;'02_Eingaben'!$C$36,0,J2226+I2226/'02_Eingaben'!$C$8))</f>
        <v/>
      </c>
    </row>
    <row r="2228">
      <c r="A2228">
        <f>IF('01_Rohdaten'!A2228="","",ROW()-1)</f>
        <v/>
      </c>
      <c r="B2228" s="27">
        <f>IF('01_Rohdaten'!A2228="","",'01_Rohdaten'!A2228)</f>
        <v/>
      </c>
      <c r="C2228" s="27">
        <f>IF(B2228="","",INDEX('01_Rohdaten'!B2228:D2228,'02_Eingaben'!$C$13))</f>
        <v/>
      </c>
      <c r="D2228" s="27">
        <f>IF(C2228="","",C2228*'02_Eingaben'!$C$15)</f>
        <v/>
      </c>
      <c r="E2228" s="27">
        <f>IF(D2228="","",D2228*'02_Eingaben'!$C$8)</f>
        <v/>
      </c>
      <c r="F2228" s="27">
        <f>IF(E2228="","",AVERAGE(INDEX($E$2:$E$3001,MAX(1,ROW()-1-'02_Eingaben'!$C$17)):INDEX($E$2:$E$3001,MIN('02_Eingaben'!$C$21,ROW()-1+'02_Eingaben'!$C$17))))</f>
        <v/>
      </c>
      <c r="G2228" s="27">
        <f>IF(F2228="","",F2228-'02_Eingaben'!$C$10)</f>
        <v/>
      </c>
      <c r="H2228">
        <f>IF(F2228="","",IF(F2228&lt;'02_Eingaben'!$C$18*'02_Eingaben'!$C$10,1,0))</f>
        <v/>
      </c>
      <c r="I2228" s="27">
        <f>IF(OR(G2228="",G2229=""),"",(G2228+G2229)/2*(B2229-B2228))</f>
        <v/>
      </c>
      <c r="J2228" s="27">
        <f>IF(B2228="","",IF(B2227&lt;'02_Eingaben'!$C$36,0,J2227+I2227/'02_Eingaben'!$C$8))</f>
        <v/>
      </c>
    </row>
    <row r="2229">
      <c r="A2229">
        <f>IF('01_Rohdaten'!A2229="","",ROW()-1)</f>
        <v/>
      </c>
      <c r="B2229" s="27">
        <f>IF('01_Rohdaten'!A2229="","",'01_Rohdaten'!A2229)</f>
        <v/>
      </c>
      <c r="C2229" s="27">
        <f>IF(B2229="","",INDEX('01_Rohdaten'!B2229:D2229,'02_Eingaben'!$C$13))</f>
        <v/>
      </c>
      <c r="D2229" s="27">
        <f>IF(C2229="","",C2229*'02_Eingaben'!$C$15)</f>
        <v/>
      </c>
      <c r="E2229" s="27">
        <f>IF(D2229="","",D2229*'02_Eingaben'!$C$8)</f>
        <v/>
      </c>
      <c r="F2229" s="27">
        <f>IF(E2229="","",AVERAGE(INDEX($E$2:$E$3001,MAX(1,ROW()-1-'02_Eingaben'!$C$17)):INDEX($E$2:$E$3001,MIN('02_Eingaben'!$C$21,ROW()-1+'02_Eingaben'!$C$17))))</f>
        <v/>
      </c>
      <c r="G2229" s="27">
        <f>IF(F2229="","",F2229-'02_Eingaben'!$C$10)</f>
        <v/>
      </c>
      <c r="H2229">
        <f>IF(F2229="","",IF(F2229&lt;'02_Eingaben'!$C$18*'02_Eingaben'!$C$10,1,0))</f>
        <v/>
      </c>
      <c r="I2229" s="27">
        <f>IF(OR(G2229="",G2230=""),"",(G2229+G2230)/2*(B2230-B2229))</f>
        <v/>
      </c>
      <c r="J2229" s="27">
        <f>IF(B2229="","",IF(B2228&lt;'02_Eingaben'!$C$36,0,J2228+I2228/'02_Eingaben'!$C$8))</f>
        <v/>
      </c>
    </row>
    <row r="2230">
      <c r="A2230">
        <f>IF('01_Rohdaten'!A2230="","",ROW()-1)</f>
        <v/>
      </c>
      <c r="B2230" s="27">
        <f>IF('01_Rohdaten'!A2230="","",'01_Rohdaten'!A2230)</f>
        <v/>
      </c>
      <c r="C2230" s="27">
        <f>IF(B2230="","",INDEX('01_Rohdaten'!B2230:D2230,'02_Eingaben'!$C$13))</f>
        <v/>
      </c>
      <c r="D2230" s="27">
        <f>IF(C2230="","",C2230*'02_Eingaben'!$C$15)</f>
        <v/>
      </c>
      <c r="E2230" s="27">
        <f>IF(D2230="","",D2230*'02_Eingaben'!$C$8)</f>
        <v/>
      </c>
      <c r="F2230" s="27">
        <f>IF(E2230="","",AVERAGE(INDEX($E$2:$E$3001,MAX(1,ROW()-1-'02_Eingaben'!$C$17)):INDEX($E$2:$E$3001,MIN('02_Eingaben'!$C$21,ROW()-1+'02_Eingaben'!$C$17))))</f>
        <v/>
      </c>
      <c r="G2230" s="27">
        <f>IF(F2230="","",F2230-'02_Eingaben'!$C$10)</f>
        <v/>
      </c>
      <c r="H2230">
        <f>IF(F2230="","",IF(F2230&lt;'02_Eingaben'!$C$18*'02_Eingaben'!$C$10,1,0))</f>
        <v/>
      </c>
      <c r="I2230" s="27">
        <f>IF(OR(G2230="",G2231=""),"",(G2230+G2231)/2*(B2231-B2230))</f>
        <v/>
      </c>
      <c r="J2230" s="27">
        <f>IF(B2230="","",IF(B2229&lt;'02_Eingaben'!$C$36,0,J2229+I2229/'02_Eingaben'!$C$8))</f>
        <v/>
      </c>
    </row>
    <row r="2231">
      <c r="A2231">
        <f>IF('01_Rohdaten'!A2231="","",ROW()-1)</f>
        <v/>
      </c>
      <c r="B2231" s="27">
        <f>IF('01_Rohdaten'!A2231="","",'01_Rohdaten'!A2231)</f>
        <v/>
      </c>
      <c r="C2231" s="27">
        <f>IF(B2231="","",INDEX('01_Rohdaten'!B2231:D2231,'02_Eingaben'!$C$13))</f>
        <v/>
      </c>
      <c r="D2231" s="27">
        <f>IF(C2231="","",C2231*'02_Eingaben'!$C$15)</f>
        <v/>
      </c>
      <c r="E2231" s="27">
        <f>IF(D2231="","",D2231*'02_Eingaben'!$C$8)</f>
        <v/>
      </c>
      <c r="F2231" s="27">
        <f>IF(E2231="","",AVERAGE(INDEX($E$2:$E$3001,MAX(1,ROW()-1-'02_Eingaben'!$C$17)):INDEX($E$2:$E$3001,MIN('02_Eingaben'!$C$21,ROW()-1+'02_Eingaben'!$C$17))))</f>
        <v/>
      </c>
      <c r="G2231" s="27">
        <f>IF(F2231="","",F2231-'02_Eingaben'!$C$10)</f>
        <v/>
      </c>
      <c r="H2231">
        <f>IF(F2231="","",IF(F2231&lt;'02_Eingaben'!$C$18*'02_Eingaben'!$C$10,1,0))</f>
        <v/>
      </c>
      <c r="I2231" s="27">
        <f>IF(OR(G2231="",G2232=""),"",(G2231+G2232)/2*(B2232-B2231))</f>
        <v/>
      </c>
      <c r="J2231" s="27">
        <f>IF(B2231="","",IF(B2230&lt;'02_Eingaben'!$C$36,0,J2230+I2230/'02_Eingaben'!$C$8))</f>
        <v/>
      </c>
    </row>
    <row r="2232">
      <c r="A2232">
        <f>IF('01_Rohdaten'!A2232="","",ROW()-1)</f>
        <v/>
      </c>
      <c r="B2232" s="27">
        <f>IF('01_Rohdaten'!A2232="","",'01_Rohdaten'!A2232)</f>
        <v/>
      </c>
      <c r="C2232" s="27">
        <f>IF(B2232="","",INDEX('01_Rohdaten'!B2232:D2232,'02_Eingaben'!$C$13))</f>
        <v/>
      </c>
      <c r="D2232" s="27">
        <f>IF(C2232="","",C2232*'02_Eingaben'!$C$15)</f>
        <v/>
      </c>
      <c r="E2232" s="27">
        <f>IF(D2232="","",D2232*'02_Eingaben'!$C$8)</f>
        <v/>
      </c>
      <c r="F2232" s="27">
        <f>IF(E2232="","",AVERAGE(INDEX($E$2:$E$3001,MAX(1,ROW()-1-'02_Eingaben'!$C$17)):INDEX($E$2:$E$3001,MIN('02_Eingaben'!$C$21,ROW()-1+'02_Eingaben'!$C$17))))</f>
        <v/>
      </c>
      <c r="G2232" s="27">
        <f>IF(F2232="","",F2232-'02_Eingaben'!$C$10)</f>
        <v/>
      </c>
      <c r="H2232">
        <f>IF(F2232="","",IF(F2232&lt;'02_Eingaben'!$C$18*'02_Eingaben'!$C$10,1,0))</f>
        <v/>
      </c>
      <c r="I2232" s="27">
        <f>IF(OR(G2232="",G2233=""),"",(G2232+G2233)/2*(B2233-B2232))</f>
        <v/>
      </c>
      <c r="J2232" s="27">
        <f>IF(B2232="","",IF(B2231&lt;'02_Eingaben'!$C$36,0,J2231+I2231/'02_Eingaben'!$C$8))</f>
        <v/>
      </c>
    </row>
    <row r="2233">
      <c r="A2233">
        <f>IF('01_Rohdaten'!A2233="","",ROW()-1)</f>
        <v/>
      </c>
      <c r="B2233" s="27">
        <f>IF('01_Rohdaten'!A2233="","",'01_Rohdaten'!A2233)</f>
        <v/>
      </c>
      <c r="C2233" s="27">
        <f>IF(B2233="","",INDEX('01_Rohdaten'!B2233:D2233,'02_Eingaben'!$C$13))</f>
        <v/>
      </c>
      <c r="D2233" s="27">
        <f>IF(C2233="","",C2233*'02_Eingaben'!$C$15)</f>
        <v/>
      </c>
      <c r="E2233" s="27">
        <f>IF(D2233="","",D2233*'02_Eingaben'!$C$8)</f>
        <v/>
      </c>
      <c r="F2233" s="27">
        <f>IF(E2233="","",AVERAGE(INDEX($E$2:$E$3001,MAX(1,ROW()-1-'02_Eingaben'!$C$17)):INDEX($E$2:$E$3001,MIN('02_Eingaben'!$C$21,ROW()-1+'02_Eingaben'!$C$17))))</f>
        <v/>
      </c>
      <c r="G2233" s="27">
        <f>IF(F2233="","",F2233-'02_Eingaben'!$C$10)</f>
        <v/>
      </c>
      <c r="H2233">
        <f>IF(F2233="","",IF(F2233&lt;'02_Eingaben'!$C$18*'02_Eingaben'!$C$10,1,0))</f>
        <v/>
      </c>
      <c r="I2233" s="27">
        <f>IF(OR(G2233="",G2234=""),"",(G2233+G2234)/2*(B2234-B2233))</f>
        <v/>
      </c>
      <c r="J2233" s="27">
        <f>IF(B2233="","",IF(B2232&lt;'02_Eingaben'!$C$36,0,J2232+I2232/'02_Eingaben'!$C$8))</f>
        <v/>
      </c>
    </row>
    <row r="2234">
      <c r="A2234">
        <f>IF('01_Rohdaten'!A2234="","",ROW()-1)</f>
        <v/>
      </c>
      <c r="B2234" s="27">
        <f>IF('01_Rohdaten'!A2234="","",'01_Rohdaten'!A2234)</f>
        <v/>
      </c>
      <c r="C2234" s="27">
        <f>IF(B2234="","",INDEX('01_Rohdaten'!B2234:D2234,'02_Eingaben'!$C$13))</f>
        <v/>
      </c>
      <c r="D2234" s="27">
        <f>IF(C2234="","",C2234*'02_Eingaben'!$C$15)</f>
        <v/>
      </c>
      <c r="E2234" s="27">
        <f>IF(D2234="","",D2234*'02_Eingaben'!$C$8)</f>
        <v/>
      </c>
      <c r="F2234" s="27">
        <f>IF(E2234="","",AVERAGE(INDEX($E$2:$E$3001,MAX(1,ROW()-1-'02_Eingaben'!$C$17)):INDEX($E$2:$E$3001,MIN('02_Eingaben'!$C$21,ROW()-1+'02_Eingaben'!$C$17))))</f>
        <v/>
      </c>
      <c r="G2234" s="27">
        <f>IF(F2234="","",F2234-'02_Eingaben'!$C$10)</f>
        <v/>
      </c>
      <c r="H2234">
        <f>IF(F2234="","",IF(F2234&lt;'02_Eingaben'!$C$18*'02_Eingaben'!$C$10,1,0))</f>
        <v/>
      </c>
      <c r="I2234" s="27">
        <f>IF(OR(G2234="",G2235=""),"",(G2234+G2235)/2*(B2235-B2234))</f>
        <v/>
      </c>
      <c r="J2234" s="27">
        <f>IF(B2234="","",IF(B2233&lt;'02_Eingaben'!$C$36,0,J2233+I2233/'02_Eingaben'!$C$8))</f>
        <v/>
      </c>
    </row>
    <row r="2235">
      <c r="A2235">
        <f>IF('01_Rohdaten'!A2235="","",ROW()-1)</f>
        <v/>
      </c>
      <c r="B2235" s="27">
        <f>IF('01_Rohdaten'!A2235="","",'01_Rohdaten'!A2235)</f>
        <v/>
      </c>
      <c r="C2235" s="27">
        <f>IF(B2235="","",INDEX('01_Rohdaten'!B2235:D2235,'02_Eingaben'!$C$13))</f>
        <v/>
      </c>
      <c r="D2235" s="27">
        <f>IF(C2235="","",C2235*'02_Eingaben'!$C$15)</f>
        <v/>
      </c>
      <c r="E2235" s="27">
        <f>IF(D2235="","",D2235*'02_Eingaben'!$C$8)</f>
        <v/>
      </c>
      <c r="F2235" s="27">
        <f>IF(E2235="","",AVERAGE(INDEX($E$2:$E$3001,MAX(1,ROW()-1-'02_Eingaben'!$C$17)):INDEX($E$2:$E$3001,MIN('02_Eingaben'!$C$21,ROW()-1+'02_Eingaben'!$C$17))))</f>
        <v/>
      </c>
      <c r="G2235" s="27">
        <f>IF(F2235="","",F2235-'02_Eingaben'!$C$10)</f>
        <v/>
      </c>
      <c r="H2235">
        <f>IF(F2235="","",IF(F2235&lt;'02_Eingaben'!$C$18*'02_Eingaben'!$C$10,1,0))</f>
        <v/>
      </c>
      <c r="I2235" s="27">
        <f>IF(OR(G2235="",G2236=""),"",(G2235+G2236)/2*(B2236-B2235))</f>
        <v/>
      </c>
      <c r="J2235" s="27">
        <f>IF(B2235="","",IF(B2234&lt;'02_Eingaben'!$C$36,0,J2234+I2234/'02_Eingaben'!$C$8))</f>
        <v/>
      </c>
    </row>
    <row r="2236">
      <c r="A2236">
        <f>IF('01_Rohdaten'!A2236="","",ROW()-1)</f>
        <v/>
      </c>
      <c r="B2236" s="27">
        <f>IF('01_Rohdaten'!A2236="","",'01_Rohdaten'!A2236)</f>
        <v/>
      </c>
      <c r="C2236" s="27">
        <f>IF(B2236="","",INDEX('01_Rohdaten'!B2236:D2236,'02_Eingaben'!$C$13))</f>
        <v/>
      </c>
      <c r="D2236" s="27">
        <f>IF(C2236="","",C2236*'02_Eingaben'!$C$15)</f>
        <v/>
      </c>
      <c r="E2236" s="27">
        <f>IF(D2236="","",D2236*'02_Eingaben'!$C$8)</f>
        <v/>
      </c>
      <c r="F2236" s="27">
        <f>IF(E2236="","",AVERAGE(INDEX($E$2:$E$3001,MAX(1,ROW()-1-'02_Eingaben'!$C$17)):INDEX($E$2:$E$3001,MIN('02_Eingaben'!$C$21,ROW()-1+'02_Eingaben'!$C$17))))</f>
        <v/>
      </c>
      <c r="G2236" s="27">
        <f>IF(F2236="","",F2236-'02_Eingaben'!$C$10)</f>
        <v/>
      </c>
      <c r="H2236">
        <f>IF(F2236="","",IF(F2236&lt;'02_Eingaben'!$C$18*'02_Eingaben'!$C$10,1,0))</f>
        <v/>
      </c>
      <c r="I2236" s="27">
        <f>IF(OR(G2236="",G2237=""),"",(G2236+G2237)/2*(B2237-B2236))</f>
        <v/>
      </c>
      <c r="J2236" s="27">
        <f>IF(B2236="","",IF(B2235&lt;'02_Eingaben'!$C$36,0,J2235+I2235/'02_Eingaben'!$C$8))</f>
        <v/>
      </c>
    </row>
    <row r="2237">
      <c r="A2237">
        <f>IF('01_Rohdaten'!A2237="","",ROW()-1)</f>
        <v/>
      </c>
      <c r="B2237" s="27">
        <f>IF('01_Rohdaten'!A2237="","",'01_Rohdaten'!A2237)</f>
        <v/>
      </c>
      <c r="C2237" s="27">
        <f>IF(B2237="","",INDEX('01_Rohdaten'!B2237:D2237,'02_Eingaben'!$C$13))</f>
        <v/>
      </c>
      <c r="D2237" s="27">
        <f>IF(C2237="","",C2237*'02_Eingaben'!$C$15)</f>
        <v/>
      </c>
      <c r="E2237" s="27">
        <f>IF(D2237="","",D2237*'02_Eingaben'!$C$8)</f>
        <v/>
      </c>
      <c r="F2237" s="27">
        <f>IF(E2237="","",AVERAGE(INDEX($E$2:$E$3001,MAX(1,ROW()-1-'02_Eingaben'!$C$17)):INDEX($E$2:$E$3001,MIN('02_Eingaben'!$C$21,ROW()-1+'02_Eingaben'!$C$17))))</f>
        <v/>
      </c>
      <c r="G2237" s="27">
        <f>IF(F2237="","",F2237-'02_Eingaben'!$C$10)</f>
        <v/>
      </c>
      <c r="H2237">
        <f>IF(F2237="","",IF(F2237&lt;'02_Eingaben'!$C$18*'02_Eingaben'!$C$10,1,0))</f>
        <v/>
      </c>
      <c r="I2237" s="27">
        <f>IF(OR(G2237="",G2238=""),"",(G2237+G2238)/2*(B2238-B2237))</f>
        <v/>
      </c>
      <c r="J2237" s="27">
        <f>IF(B2237="","",IF(B2236&lt;'02_Eingaben'!$C$36,0,J2236+I2236/'02_Eingaben'!$C$8))</f>
        <v/>
      </c>
    </row>
    <row r="2238">
      <c r="A2238">
        <f>IF('01_Rohdaten'!A2238="","",ROW()-1)</f>
        <v/>
      </c>
      <c r="B2238" s="27">
        <f>IF('01_Rohdaten'!A2238="","",'01_Rohdaten'!A2238)</f>
        <v/>
      </c>
      <c r="C2238" s="27">
        <f>IF(B2238="","",INDEX('01_Rohdaten'!B2238:D2238,'02_Eingaben'!$C$13))</f>
        <v/>
      </c>
      <c r="D2238" s="27">
        <f>IF(C2238="","",C2238*'02_Eingaben'!$C$15)</f>
        <v/>
      </c>
      <c r="E2238" s="27">
        <f>IF(D2238="","",D2238*'02_Eingaben'!$C$8)</f>
        <v/>
      </c>
      <c r="F2238" s="27">
        <f>IF(E2238="","",AVERAGE(INDEX($E$2:$E$3001,MAX(1,ROW()-1-'02_Eingaben'!$C$17)):INDEX($E$2:$E$3001,MIN('02_Eingaben'!$C$21,ROW()-1+'02_Eingaben'!$C$17))))</f>
        <v/>
      </c>
      <c r="G2238" s="27">
        <f>IF(F2238="","",F2238-'02_Eingaben'!$C$10)</f>
        <v/>
      </c>
      <c r="H2238">
        <f>IF(F2238="","",IF(F2238&lt;'02_Eingaben'!$C$18*'02_Eingaben'!$C$10,1,0))</f>
        <v/>
      </c>
      <c r="I2238" s="27">
        <f>IF(OR(G2238="",G2239=""),"",(G2238+G2239)/2*(B2239-B2238))</f>
        <v/>
      </c>
      <c r="J2238" s="27">
        <f>IF(B2238="","",IF(B2237&lt;'02_Eingaben'!$C$36,0,J2237+I2237/'02_Eingaben'!$C$8))</f>
        <v/>
      </c>
    </row>
    <row r="2239">
      <c r="A2239">
        <f>IF('01_Rohdaten'!A2239="","",ROW()-1)</f>
        <v/>
      </c>
      <c r="B2239" s="27">
        <f>IF('01_Rohdaten'!A2239="","",'01_Rohdaten'!A2239)</f>
        <v/>
      </c>
      <c r="C2239" s="27">
        <f>IF(B2239="","",INDEX('01_Rohdaten'!B2239:D2239,'02_Eingaben'!$C$13))</f>
        <v/>
      </c>
      <c r="D2239" s="27">
        <f>IF(C2239="","",C2239*'02_Eingaben'!$C$15)</f>
        <v/>
      </c>
      <c r="E2239" s="27">
        <f>IF(D2239="","",D2239*'02_Eingaben'!$C$8)</f>
        <v/>
      </c>
      <c r="F2239" s="27">
        <f>IF(E2239="","",AVERAGE(INDEX($E$2:$E$3001,MAX(1,ROW()-1-'02_Eingaben'!$C$17)):INDEX($E$2:$E$3001,MIN('02_Eingaben'!$C$21,ROW()-1+'02_Eingaben'!$C$17))))</f>
        <v/>
      </c>
      <c r="G2239" s="27">
        <f>IF(F2239="","",F2239-'02_Eingaben'!$C$10)</f>
        <v/>
      </c>
      <c r="H2239">
        <f>IF(F2239="","",IF(F2239&lt;'02_Eingaben'!$C$18*'02_Eingaben'!$C$10,1,0))</f>
        <v/>
      </c>
      <c r="I2239" s="27">
        <f>IF(OR(G2239="",G2240=""),"",(G2239+G2240)/2*(B2240-B2239))</f>
        <v/>
      </c>
      <c r="J2239" s="27">
        <f>IF(B2239="","",IF(B2238&lt;'02_Eingaben'!$C$36,0,J2238+I2238/'02_Eingaben'!$C$8))</f>
        <v/>
      </c>
    </row>
    <row r="2240">
      <c r="A2240">
        <f>IF('01_Rohdaten'!A2240="","",ROW()-1)</f>
        <v/>
      </c>
      <c r="B2240" s="27">
        <f>IF('01_Rohdaten'!A2240="","",'01_Rohdaten'!A2240)</f>
        <v/>
      </c>
      <c r="C2240" s="27">
        <f>IF(B2240="","",INDEX('01_Rohdaten'!B2240:D2240,'02_Eingaben'!$C$13))</f>
        <v/>
      </c>
      <c r="D2240" s="27">
        <f>IF(C2240="","",C2240*'02_Eingaben'!$C$15)</f>
        <v/>
      </c>
      <c r="E2240" s="27">
        <f>IF(D2240="","",D2240*'02_Eingaben'!$C$8)</f>
        <v/>
      </c>
      <c r="F2240" s="27">
        <f>IF(E2240="","",AVERAGE(INDEX($E$2:$E$3001,MAX(1,ROW()-1-'02_Eingaben'!$C$17)):INDEX($E$2:$E$3001,MIN('02_Eingaben'!$C$21,ROW()-1+'02_Eingaben'!$C$17))))</f>
        <v/>
      </c>
      <c r="G2240" s="27">
        <f>IF(F2240="","",F2240-'02_Eingaben'!$C$10)</f>
        <v/>
      </c>
      <c r="H2240">
        <f>IF(F2240="","",IF(F2240&lt;'02_Eingaben'!$C$18*'02_Eingaben'!$C$10,1,0))</f>
        <v/>
      </c>
      <c r="I2240" s="27">
        <f>IF(OR(G2240="",G2241=""),"",(G2240+G2241)/2*(B2241-B2240))</f>
        <v/>
      </c>
      <c r="J2240" s="27">
        <f>IF(B2240="","",IF(B2239&lt;'02_Eingaben'!$C$36,0,J2239+I2239/'02_Eingaben'!$C$8))</f>
        <v/>
      </c>
    </row>
    <row r="2241">
      <c r="A2241">
        <f>IF('01_Rohdaten'!A2241="","",ROW()-1)</f>
        <v/>
      </c>
      <c r="B2241" s="27">
        <f>IF('01_Rohdaten'!A2241="","",'01_Rohdaten'!A2241)</f>
        <v/>
      </c>
      <c r="C2241" s="27">
        <f>IF(B2241="","",INDEX('01_Rohdaten'!B2241:D2241,'02_Eingaben'!$C$13))</f>
        <v/>
      </c>
      <c r="D2241" s="27">
        <f>IF(C2241="","",C2241*'02_Eingaben'!$C$15)</f>
        <v/>
      </c>
      <c r="E2241" s="27">
        <f>IF(D2241="","",D2241*'02_Eingaben'!$C$8)</f>
        <v/>
      </c>
      <c r="F2241" s="27">
        <f>IF(E2241="","",AVERAGE(INDEX($E$2:$E$3001,MAX(1,ROW()-1-'02_Eingaben'!$C$17)):INDEX($E$2:$E$3001,MIN('02_Eingaben'!$C$21,ROW()-1+'02_Eingaben'!$C$17))))</f>
        <v/>
      </c>
      <c r="G2241" s="27">
        <f>IF(F2241="","",F2241-'02_Eingaben'!$C$10)</f>
        <v/>
      </c>
      <c r="H2241">
        <f>IF(F2241="","",IF(F2241&lt;'02_Eingaben'!$C$18*'02_Eingaben'!$C$10,1,0))</f>
        <v/>
      </c>
      <c r="I2241" s="27">
        <f>IF(OR(G2241="",G2242=""),"",(G2241+G2242)/2*(B2242-B2241))</f>
        <v/>
      </c>
      <c r="J2241" s="27">
        <f>IF(B2241="","",IF(B2240&lt;'02_Eingaben'!$C$36,0,J2240+I2240/'02_Eingaben'!$C$8))</f>
        <v/>
      </c>
    </row>
    <row r="2242">
      <c r="A2242">
        <f>IF('01_Rohdaten'!A2242="","",ROW()-1)</f>
        <v/>
      </c>
      <c r="B2242" s="27">
        <f>IF('01_Rohdaten'!A2242="","",'01_Rohdaten'!A2242)</f>
        <v/>
      </c>
      <c r="C2242" s="27">
        <f>IF(B2242="","",INDEX('01_Rohdaten'!B2242:D2242,'02_Eingaben'!$C$13))</f>
        <v/>
      </c>
      <c r="D2242" s="27">
        <f>IF(C2242="","",C2242*'02_Eingaben'!$C$15)</f>
        <v/>
      </c>
      <c r="E2242" s="27">
        <f>IF(D2242="","",D2242*'02_Eingaben'!$C$8)</f>
        <v/>
      </c>
      <c r="F2242" s="27">
        <f>IF(E2242="","",AVERAGE(INDEX($E$2:$E$3001,MAX(1,ROW()-1-'02_Eingaben'!$C$17)):INDEX($E$2:$E$3001,MIN('02_Eingaben'!$C$21,ROW()-1+'02_Eingaben'!$C$17))))</f>
        <v/>
      </c>
      <c r="G2242" s="27">
        <f>IF(F2242="","",F2242-'02_Eingaben'!$C$10)</f>
        <v/>
      </c>
      <c r="H2242">
        <f>IF(F2242="","",IF(F2242&lt;'02_Eingaben'!$C$18*'02_Eingaben'!$C$10,1,0))</f>
        <v/>
      </c>
      <c r="I2242" s="27">
        <f>IF(OR(G2242="",G2243=""),"",(G2242+G2243)/2*(B2243-B2242))</f>
        <v/>
      </c>
      <c r="J2242" s="27">
        <f>IF(B2242="","",IF(B2241&lt;'02_Eingaben'!$C$36,0,J2241+I2241/'02_Eingaben'!$C$8))</f>
        <v/>
      </c>
    </row>
    <row r="2243">
      <c r="A2243">
        <f>IF('01_Rohdaten'!A2243="","",ROW()-1)</f>
        <v/>
      </c>
      <c r="B2243" s="27">
        <f>IF('01_Rohdaten'!A2243="","",'01_Rohdaten'!A2243)</f>
        <v/>
      </c>
      <c r="C2243" s="27">
        <f>IF(B2243="","",INDEX('01_Rohdaten'!B2243:D2243,'02_Eingaben'!$C$13))</f>
        <v/>
      </c>
      <c r="D2243" s="27">
        <f>IF(C2243="","",C2243*'02_Eingaben'!$C$15)</f>
        <v/>
      </c>
      <c r="E2243" s="27">
        <f>IF(D2243="","",D2243*'02_Eingaben'!$C$8)</f>
        <v/>
      </c>
      <c r="F2243" s="27">
        <f>IF(E2243="","",AVERAGE(INDEX($E$2:$E$3001,MAX(1,ROW()-1-'02_Eingaben'!$C$17)):INDEX($E$2:$E$3001,MIN('02_Eingaben'!$C$21,ROW()-1+'02_Eingaben'!$C$17))))</f>
        <v/>
      </c>
      <c r="G2243" s="27">
        <f>IF(F2243="","",F2243-'02_Eingaben'!$C$10)</f>
        <v/>
      </c>
      <c r="H2243">
        <f>IF(F2243="","",IF(F2243&lt;'02_Eingaben'!$C$18*'02_Eingaben'!$C$10,1,0))</f>
        <v/>
      </c>
      <c r="I2243" s="27">
        <f>IF(OR(G2243="",G2244=""),"",(G2243+G2244)/2*(B2244-B2243))</f>
        <v/>
      </c>
      <c r="J2243" s="27">
        <f>IF(B2243="","",IF(B2242&lt;'02_Eingaben'!$C$36,0,J2242+I2242/'02_Eingaben'!$C$8))</f>
        <v/>
      </c>
    </row>
    <row r="2244">
      <c r="A2244">
        <f>IF('01_Rohdaten'!A2244="","",ROW()-1)</f>
        <v/>
      </c>
      <c r="B2244" s="27">
        <f>IF('01_Rohdaten'!A2244="","",'01_Rohdaten'!A2244)</f>
        <v/>
      </c>
      <c r="C2244" s="27">
        <f>IF(B2244="","",INDEX('01_Rohdaten'!B2244:D2244,'02_Eingaben'!$C$13))</f>
        <v/>
      </c>
      <c r="D2244" s="27">
        <f>IF(C2244="","",C2244*'02_Eingaben'!$C$15)</f>
        <v/>
      </c>
      <c r="E2244" s="27">
        <f>IF(D2244="","",D2244*'02_Eingaben'!$C$8)</f>
        <v/>
      </c>
      <c r="F2244" s="27">
        <f>IF(E2244="","",AVERAGE(INDEX($E$2:$E$3001,MAX(1,ROW()-1-'02_Eingaben'!$C$17)):INDEX($E$2:$E$3001,MIN('02_Eingaben'!$C$21,ROW()-1+'02_Eingaben'!$C$17))))</f>
        <v/>
      </c>
      <c r="G2244" s="27">
        <f>IF(F2244="","",F2244-'02_Eingaben'!$C$10)</f>
        <v/>
      </c>
      <c r="H2244">
        <f>IF(F2244="","",IF(F2244&lt;'02_Eingaben'!$C$18*'02_Eingaben'!$C$10,1,0))</f>
        <v/>
      </c>
      <c r="I2244" s="27">
        <f>IF(OR(G2244="",G2245=""),"",(G2244+G2245)/2*(B2245-B2244))</f>
        <v/>
      </c>
      <c r="J2244" s="27">
        <f>IF(B2244="","",IF(B2243&lt;'02_Eingaben'!$C$36,0,J2243+I2243/'02_Eingaben'!$C$8))</f>
        <v/>
      </c>
    </row>
    <row r="2245">
      <c r="A2245">
        <f>IF('01_Rohdaten'!A2245="","",ROW()-1)</f>
        <v/>
      </c>
      <c r="B2245" s="27">
        <f>IF('01_Rohdaten'!A2245="","",'01_Rohdaten'!A2245)</f>
        <v/>
      </c>
      <c r="C2245" s="27">
        <f>IF(B2245="","",INDEX('01_Rohdaten'!B2245:D2245,'02_Eingaben'!$C$13))</f>
        <v/>
      </c>
      <c r="D2245" s="27">
        <f>IF(C2245="","",C2245*'02_Eingaben'!$C$15)</f>
        <v/>
      </c>
      <c r="E2245" s="27">
        <f>IF(D2245="","",D2245*'02_Eingaben'!$C$8)</f>
        <v/>
      </c>
      <c r="F2245" s="27">
        <f>IF(E2245="","",AVERAGE(INDEX($E$2:$E$3001,MAX(1,ROW()-1-'02_Eingaben'!$C$17)):INDEX($E$2:$E$3001,MIN('02_Eingaben'!$C$21,ROW()-1+'02_Eingaben'!$C$17))))</f>
        <v/>
      </c>
      <c r="G2245" s="27">
        <f>IF(F2245="","",F2245-'02_Eingaben'!$C$10)</f>
        <v/>
      </c>
      <c r="H2245">
        <f>IF(F2245="","",IF(F2245&lt;'02_Eingaben'!$C$18*'02_Eingaben'!$C$10,1,0))</f>
        <v/>
      </c>
      <c r="I2245" s="27">
        <f>IF(OR(G2245="",G2246=""),"",(G2245+G2246)/2*(B2246-B2245))</f>
        <v/>
      </c>
      <c r="J2245" s="27">
        <f>IF(B2245="","",IF(B2244&lt;'02_Eingaben'!$C$36,0,J2244+I2244/'02_Eingaben'!$C$8))</f>
        <v/>
      </c>
    </row>
    <row r="2246">
      <c r="A2246">
        <f>IF('01_Rohdaten'!A2246="","",ROW()-1)</f>
        <v/>
      </c>
      <c r="B2246" s="27">
        <f>IF('01_Rohdaten'!A2246="","",'01_Rohdaten'!A2246)</f>
        <v/>
      </c>
      <c r="C2246" s="27">
        <f>IF(B2246="","",INDEX('01_Rohdaten'!B2246:D2246,'02_Eingaben'!$C$13))</f>
        <v/>
      </c>
      <c r="D2246" s="27">
        <f>IF(C2246="","",C2246*'02_Eingaben'!$C$15)</f>
        <v/>
      </c>
      <c r="E2246" s="27">
        <f>IF(D2246="","",D2246*'02_Eingaben'!$C$8)</f>
        <v/>
      </c>
      <c r="F2246" s="27">
        <f>IF(E2246="","",AVERAGE(INDEX($E$2:$E$3001,MAX(1,ROW()-1-'02_Eingaben'!$C$17)):INDEX($E$2:$E$3001,MIN('02_Eingaben'!$C$21,ROW()-1+'02_Eingaben'!$C$17))))</f>
        <v/>
      </c>
      <c r="G2246" s="27">
        <f>IF(F2246="","",F2246-'02_Eingaben'!$C$10)</f>
        <v/>
      </c>
      <c r="H2246">
        <f>IF(F2246="","",IF(F2246&lt;'02_Eingaben'!$C$18*'02_Eingaben'!$C$10,1,0))</f>
        <v/>
      </c>
      <c r="I2246" s="27">
        <f>IF(OR(G2246="",G2247=""),"",(G2246+G2247)/2*(B2247-B2246))</f>
        <v/>
      </c>
      <c r="J2246" s="27">
        <f>IF(B2246="","",IF(B2245&lt;'02_Eingaben'!$C$36,0,J2245+I2245/'02_Eingaben'!$C$8))</f>
        <v/>
      </c>
    </row>
    <row r="2247">
      <c r="A2247">
        <f>IF('01_Rohdaten'!A2247="","",ROW()-1)</f>
        <v/>
      </c>
      <c r="B2247" s="27">
        <f>IF('01_Rohdaten'!A2247="","",'01_Rohdaten'!A2247)</f>
        <v/>
      </c>
      <c r="C2247" s="27">
        <f>IF(B2247="","",INDEX('01_Rohdaten'!B2247:D2247,'02_Eingaben'!$C$13))</f>
        <v/>
      </c>
      <c r="D2247" s="27">
        <f>IF(C2247="","",C2247*'02_Eingaben'!$C$15)</f>
        <v/>
      </c>
      <c r="E2247" s="27">
        <f>IF(D2247="","",D2247*'02_Eingaben'!$C$8)</f>
        <v/>
      </c>
      <c r="F2247" s="27">
        <f>IF(E2247="","",AVERAGE(INDEX($E$2:$E$3001,MAX(1,ROW()-1-'02_Eingaben'!$C$17)):INDEX($E$2:$E$3001,MIN('02_Eingaben'!$C$21,ROW()-1+'02_Eingaben'!$C$17))))</f>
        <v/>
      </c>
      <c r="G2247" s="27">
        <f>IF(F2247="","",F2247-'02_Eingaben'!$C$10)</f>
        <v/>
      </c>
      <c r="H2247">
        <f>IF(F2247="","",IF(F2247&lt;'02_Eingaben'!$C$18*'02_Eingaben'!$C$10,1,0))</f>
        <v/>
      </c>
      <c r="I2247" s="27">
        <f>IF(OR(G2247="",G2248=""),"",(G2247+G2248)/2*(B2248-B2247))</f>
        <v/>
      </c>
      <c r="J2247" s="27">
        <f>IF(B2247="","",IF(B2246&lt;'02_Eingaben'!$C$36,0,J2246+I2246/'02_Eingaben'!$C$8))</f>
        <v/>
      </c>
    </row>
    <row r="2248">
      <c r="A2248">
        <f>IF('01_Rohdaten'!A2248="","",ROW()-1)</f>
        <v/>
      </c>
      <c r="B2248" s="27">
        <f>IF('01_Rohdaten'!A2248="","",'01_Rohdaten'!A2248)</f>
        <v/>
      </c>
      <c r="C2248" s="27">
        <f>IF(B2248="","",INDEX('01_Rohdaten'!B2248:D2248,'02_Eingaben'!$C$13))</f>
        <v/>
      </c>
      <c r="D2248" s="27">
        <f>IF(C2248="","",C2248*'02_Eingaben'!$C$15)</f>
        <v/>
      </c>
      <c r="E2248" s="27">
        <f>IF(D2248="","",D2248*'02_Eingaben'!$C$8)</f>
        <v/>
      </c>
      <c r="F2248" s="27">
        <f>IF(E2248="","",AVERAGE(INDEX($E$2:$E$3001,MAX(1,ROW()-1-'02_Eingaben'!$C$17)):INDEX($E$2:$E$3001,MIN('02_Eingaben'!$C$21,ROW()-1+'02_Eingaben'!$C$17))))</f>
        <v/>
      </c>
      <c r="G2248" s="27">
        <f>IF(F2248="","",F2248-'02_Eingaben'!$C$10)</f>
        <v/>
      </c>
      <c r="H2248">
        <f>IF(F2248="","",IF(F2248&lt;'02_Eingaben'!$C$18*'02_Eingaben'!$C$10,1,0))</f>
        <v/>
      </c>
      <c r="I2248" s="27">
        <f>IF(OR(G2248="",G2249=""),"",(G2248+G2249)/2*(B2249-B2248))</f>
        <v/>
      </c>
      <c r="J2248" s="27">
        <f>IF(B2248="","",IF(B2247&lt;'02_Eingaben'!$C$36,0,J2247+I2247/'02_Eingaben'!$C$8))</f>
        <v/>
      </c>
    </row>
    <row r="2249">
      <c r="A2249">
        <f>IF('01_Rohdaten'!A2249="","",ROW()-1)</f>
        <v/>
      </c>
      <c r="B2249" s="27">
        <f>IF('01_Rohdaten'!A2249="","",'01_Rohdaten'!A2249)</f>
        <v/>
      </c>
      <c r="C2249" s="27">
        <f>IF(B2249="","",INDEX('01_Rohdaten'!B2249:D2249,'02_Eingaben'!$C$13))</f>
        <v/>
      </c>
      <c r="D2249" s="27">
        <f>IF(C2249="","",C2249*'02_Eingaben'!$C$15)</f>
        <v/>
      </c>
      <c r="E2249" s="27">
        <f>IF(D2249="","",D2249*'02_Eingaben'!$C$8)</f>
        <v/>
      </c>
      <c r="F2249" s="27">
        <f>IF(E2249="","",AVERAGE(INDEX($E$2:$E$3001,MAX(1,ROW()-1-'02_Eingaben'!$C$17)):INDEX($E$2:$E$3001,MIN('02_Eingaben'!$C$21,ROW()-1+'02_Eingaben'!$C$17))))</f>
        <v/>
      </c>
      <c r="G2249" s="27">
        <f>IF(F2249="","",F2249-'02_Eingaben'!$C$10)</f>
        <v/>
      </c>
      <c r="H2249">
        <f>IF(F2249="","",IF(F2249&lt;'02_Eingaben'!$C$18*'02_Eingaben'!$C$10,1,0))</f>
        <v/>
      </c>
      <c r="I2249" s="27">
        <f>IF(OR(G2249="",G2250=""),"",(G2249+G2250)/2*(B2250-B2249))</f>
        <v/>
      </c>
      <c r="J2249" s="27">
        <f>IF(B2249="","",IF(B2248&lt;'02_Eingaben'!$C$36,0,J2248+I2248/'02_Eingaben'!$C$8))</f>
        <v/>
      </c>
    </row>
    <row r="2250">
      <c r="A2250">
        <f>IF('01_Rohdaten'!A2250="","",ROW()-1)</f>
        <v/>
      </c>
      <c r="B2250" s="27">
        <f>IF('01_Rohdaten'!A2250="","",'01_Rohdaten'!A2250)</f>
        <v/>
      </c>
      <c r="C2250" s="27">
        <f>IF(B2250="","",INDEX('01_Rohdaten'!B2250:D2250,'02_Eingaben'!$C$13))</f>
        <v/>
      </c>
      <c r="D2250" s="27">
        <f>IF(C2250="","",C2250*'02_Eingaben'!$C$15)</f>
        <v/>
      </c>
      <c r="E2250" s="27">
        <f>IF(D2250="","",D2250*'02_Eingaben'!$C$8)</f>
        <v/>
      </c>
      <c r="F2250" s="27">
        <f>IF(E2250="","",AVERAGE(INDEX($E$2:$E$3001,MAX(1,ROW()-1-'02_Eingaben'!$C$17)):INDEX($E$2:$E$3001,MIN('02_Eingaben'!$C$21,ROW()-1+'02_Eingaben'!$C$17))))</f>
        <v/>
      </c>
      <c r="G2250" s="27">
        <f>IF(F2250="","",F2250-'02_Eingaben'!$C$10)</f>
        <v/>
      </c>
      <c r="H2250">
        <f>IF(F2250="","",IF(F2250&lt;'02_Eingaben'!$C$18*'02_Eingaben'!$C$10,1,0))</f>
        <v/>
      </c>
      <c r="I2250" s="27">
        <f>IF(OR(G2250="",G2251=""),"",(G2250+G2251)/2*(B2251-B2250))</f>
        <v/>
      </c>
      <c r="J2250" s="27">
        <f>IF(B2250="","",IF(B2249&lt;'02_Eingaben'!$C$36,0,J2249+I2249/'02_Eingaben'!$C$8))</f>
        <v/>
      </c>
    </row>
    <row r="2251">
      <c r="A2251">
        <f>IF('01_Rohdaten'!A2251="","",ROW()-1)</f>
        <v/>
      </c>
      <c r="B2251" s="27">
        <f>IF('01_Rohdaten'!A2251="","",'01_Rohdaten'!A2251)</f>
        <v/>
      </c>
      <c r="C2251" s="27">
        <f>IF(B2251="","",INDEX('01_Rohdaten'!B2251:D2251,'02_Eingaben'!$C$13))</f>
        <v/>
      </c>
      <c r="D2251" s="27">
        <f>IF(C2251="","",C2251*'02_Eingaben'!$C$15)</f>
        <v/>
      </c>
      <c r="E2251" s="27">
        <f>IF(D2251="","",D2251*'02_Eingaben'!$C$8)</f>
        <v/>
      </c>
      <c r="F2251" s="27">
        <f>IF(E2251="","",AVERAGE(INDEX($E$2:$E$3001,MAX(1,ROW()-1-'02_Eingaben'!$C$17)):INDEX($E$2:$E$3001,MIN('02_Eingaben'!$C$21,ROW()-1+'02_Eingaben'!$C$17))))</f>
        <v/>
      </c>
      <c r="G2251" s="27">
        <f>IF(F2251="","",F2251-'02_Eingaben'!$C$10)</f>
        <v/>
      </c>
      <c r="H2251">
        <f>IF(F2251="","",IF(F2251&lt;'02_Eingaben'!$C$18*'02_Eingaben'!$C$10,1,0))</f>
        <v/>
      </c>
      <c r="I2251" s="27">
        <f>IF(OR(G2251="",G2252=""),"",(G2251+G2252)/2*(B2252-B2251))</f>
        <v/>
      </c>
      <c r="J2251" s="27">
        <f>IF(B2251="","",IF(B2250&lt;'02_Eingaben'!$C$36,0,J2250+I2250/'02_Eingaben'!$C$8))</f>
        <v/>
      </c>
    </row>
    <row r="2252">
      <c r="A2252">
        <f>IF('01_Rohdaten'!A2252="","",ROW()-1)</f>
        <v/>
      </c>
      <c r="B2252" s="27">
        <f>IF('01_Rohdaten'!A2252="","",'01_Rohdaten'!A2252)</f>
        <v/>
      </c>
      <c r="C2252" s="27">
        <f>IF(B2252="","",INDEX('01_Rohdaten'!B2252:D2252,'02_Eingaben'!$C$13))</f>
        <v/>
      </c>
      <c r="D2252" s="27">
        <f>IF(C2252="","",C2252*'02_Eingaben'!$C$15)</f>
        <v/>
      </c>
      <c r="E2252" s="27">
        <f>IF(D2252="","",D2252*'02_Eingaben'!$C$8)</f>
        <v/>
      </c>
      <c r="F2252" s="27">
        <f>IF(E2252="","",AVERAGE(INDEX($E$2:$E$3001,MAX(1,ROW()-1-'02_Eingaben'!$C$17)):INDEX($E$2:$E$3001,MIN('02_Eingaben'!$C$21,ROW()-1+'02_Eingaben'!$C$17))))</f>
        <v/>
      </c>
      <c r="G2252" s="27">
        <f>IF(F2252="","",F2252-'02_Eingaben'!$C$10)</f>
        <v/>
      </c>
      <c r="H2252">
        <f>IF(F2252="","",IF(F2252&lt;'02_Eingaben'!$C$18*'02_Eingaben'!$C$10,1,0))</f>
        <v/>
      </c>
      <c r="I2252" s="27">
        <f>IF(OR(G2252="",G2253=""),"",(G2252+G2253)/2*(B2253-B2252))</f>
        <v/>
      </c>
      <c r="J2252" s="27">
        <f>IF(B2252="","",IF(B2251&lt;'02_Eingaben'!$C$36,0,J2251+I2251/'02_Eingaben'!$C$8))</f>
        <v/>
      </c>
    </row>
    <row r="2253">
      <c r="A2253">
        <f>IF('01_Rohdaten'!A2253="","",ROW()-1)</f>
        <v/>
      </c>
      <c r="B2253" s="27">
        <f>IF('01_Rohdaten'!A2253="","",'01_Rohdaten'!A2253)</f>
        <v/>
      </c>
      <c r="C2253" s="27">
        <f>IF(B2253="","",INDEX('01_Rohdaten'!B2253:D2253,'02_Eingaben'!$C$13))</f>
        <v/>
      </c>
      <c r="D2253" s="27">
        <f>IF(C2253="","",C2253*'02_Eingaben'!$C$15)</f>
        <v/>
      </c>
      <c r="E2253" s="27">
        <f>IF(D2253="","",D2253*'02_Eingaben'!$C$8)</f>
        <v/>
      </c>
      <c r="F2253" s="27">
        <f>IF(E2253="","",AVERAGE(INDEX($E$2:$E$3001,MAX(1,ROW()-1-'02_Eingaben'!$C$17)):INDEX($E$2:$E$3001,MIN('02_Eingaben'!$C$21,ROW()-1+'02_Eingaben'!$C$17))))</f>
        <v/>
      </c>
      <c r="G2253" s="27">
        <f>IF(F2253="","",F2253-'02_Eingaben'!$C$10)</f>
        <v/>
      </c>
      <c r="H2253">
        <f>IF(F2253="","",IF(F2253&lt;'02_Eingaben'!$C$18*'02_Eingaben'!$C$10,1,0))</f>
        <v/>
      </c>
      <c r="I2253" s="27">
        <f>IF(OR(G2253="",G2254=""),"",(G2253+G2254)/2*(B2254-B2253))</f>
        <v/>
      </c>
      <c r="J2253" s="27">
        <f>IF(B2253="","",IF(B2252&lt;'02_Eingaben'!$C$36,0,J2252+I2252/'02_Eingaben'!$C$8))</f>
        <v/>
      </c>
    </row>
    <row r="2254">
      <c r="A2254">
        <f>IF('01_Rohdaten'!A2254="","",ROW()-1)</f>
        <v/>
      </c>
      <c r="B2254" s="27">
        <f>IF('01_Rohdaten'!A2254="","",'01_Rohdaten'!A2254)</f>
        <v/>
      </c>
      <c r="C2254" s="27">
        <f>IF(B2254="","",INDEX('01_Rohdaten'!B2254:D2254,'02_Eingaben'!$C$13))</f>
        <v/>
      </c>
      <c r="D2254" s="27">
        <f>IF(C2254="","",C2254*'02_Eingaben'!$C$15)</f>
        <v/>
      </c>
      <c r="E2254" s="27">
        <f>IF(D2254="","",D2254*'02_Eingaben'!$C$8)</f>
        <v/>
      </c>
      <c r="F2254" s="27">
        <f>IF(E2254="","",AVERAGE(INDEX($E$2:$E$3001,MAX(1,ROW()-1-'02_Eingaben'!$C$17)):INDEX($E$2:$E$3001,MIN('02_Eingaben'!$C$21,ROW()-1+'02_Eingaben'!$C$17))))</f>
        <v/>
      </c>
      <c r="G2254" s="27">
        <f>IF(F2254="","",F2254-'02_Eingaben'!$C$10)</f>
        <v/>
      </c>
      <c r="H2254">
        <f>IF(F2254="","",IF(F2254&lt;'02_Eingaben'!$C$18*'02_Eingaben'!$C$10,1,0))</f>
        <v/>
      </c>
      <c r="I2254" s="27">
        <f>IF(OR(G2254="",G2255=""),"",(G2254+G2255)/2*(B2255-B2254))</f>
        <v/>
      </c>
      <c r="J2254" s="27">
        <f>IF(B2254="","",IF(B2253&lt;'02_Eingaben'!$C$36,0,J2253+I2253/'02_Eingaben'!$C$8))</f>
        <v/>
      </c>
    </row>
    <row r="2255">
      <c r="A2255">
        <f>IF('01_Rohdaten'!A2255="","",ROW()-1)</f>
        <v/>
      </c>
      <c r="B2255" s="27">
        <f>IF('01_Rohdaten'!A2255="","",'01_Rohdaten'!A2255)</f>
        <v/>
      </c>
      <c r="C2255" s="27">
        <f>IF(B2255="","",INDEX('01_Rohdaten'!B2255:D2255,'02_Eingaben'!$C$13))</f>
        <v/>
      </c>
      <c r="D2255" s="27">
        <f>IF(C2255="","",C2255*'02_Eingaben'!$C$15)</f>
        <v/>
      </c>
      <c r="E2255" s="27">
        <f>IF(D2255="","",D2255*'02_Eingaben'!$C$8)</f>
        <v/>
      </c>
      <c r="F2255" s="27">
        <f>IF(E2255="","",AVERAGE(INDEX($E$2:$E$3001,MAX(1,ROW()-1-'02_Eingaben'!$C$17)):INDEX($E$2:$E$3001,MIN('02_Eingaben'!$C$21,ROW()-1+'02_Eingaben'!$C$17))))</f>
        <v/>
      </c>
      <c r="G2255" s="27">
        <f>IF(F2255="","",F2255-'02_Eingaben'!$C$10)</f>
        <v/>
      </c>
      <c r="H2255">
        <f>IF(F2255="","",IF(F2255&lt;'02_Eingaben'!$C$18*'02_Eingaben'!$C$10,1,0))</f>
        <v/>
      </c>
      <c r="I2255" s="27">
        <f>IF(OR(G2255="",G2256=""),"",(G2255+G2256)/2*(B2256-B2255))</f>
        <v/>
      </c>
      <c r="J2255" s="27">
        <f>IF(B2255="","",IF(B2254&lt;'02_Eingaben'!$C$36,0,J2254+I2254/'02_Eingaben'!$C$8))</f>
        <v/>
      </c>
    </row>
    <row r="2256">
      <c r="A2256">
        <f>IF('01_Rohdaten'!A2256="","",ROW()-1)</f>
        <v/>
      </c>
      <c r="B2256" s="27">
        <f>IF('01_Rohdaten'!A2256="","",'01_Rohdaten'!A2256)</f>
        <v/>
      </c>
      <c r="C2256" s="27">
        <f>IF(B2256="","",INDEX('01_Rohdaten'!B2256:D2256,'02_Eingaben'!$C$13))</f>
        <v/>
      </c>
      <c r="D2256" s="27">
        <f>IF(C2256="","",C2256*'02_Eingaben'!$C$15)</f>
        <v/>
      </c>
      <c r="E2256" s="27">
        <f>IF(D2256="","",D2256*'02_Eingaben'!$C$8)</f>
        <v/>
      </c>
      <c r="F2256" s="27">
        <f>IF(E2256="","",AVERAGE(INDEX($E$2:$E$3001,MAX(1,ROW()-1-'02_Eingaben'!$C$17)):INDEX($E$2:$E$3001,MIN('02_Eingaben'!$C$21,ROW()-1+'02_Eingaben'!$C$17))))</f>
        <v/>
      </c>
      <c r="G2256" s="27">
        <f>IF(F2256="","",F2256-'02_Eingaben'!$C$10)</f>
        <v/>
      </c>
      <c r="H2256">
        <f>IF(F2256="","",IF(F2256&lt;'02_Eingaben'!$C$18*'02_Eingaben'!$C$10,1,0))</f>
        <v/>
      </c>
      <c r="I2256" s="27">
        <f>IF(OR(G2256="",G2257=""),"",(G2256+G2257)/2*(B2257-B2256))</f>
        <v/>
      </c>
      <c r="J2256" s="27">
        <f>IF(B2256="","",IF(B2255&lt;'02_Eingaben'!$C$36,0,J2255+I2255/'02_Eingaben'!$C$8))</f>
        <v/>
      </c>
    </row>
    <row r="2257">
      <c r="A2257">
        <f>IF('01_Rohdaten'!A2257="","",ROW()-1)</f>
        <v/>
      </c>
      <c r="B2257" s="27">
        <f>IF('01_Rohdaten'!A2257="","",'01_Rohdaten'!A2257)</f>
        <v/>
      </c>
      <c r="C2257" s="27">
        <f>IF(B2257="","",INDEX('01_Rohdaten'!B2257:D2257,'02_Eingaben'!$C$13))</f>
        <v/>
      </c>
      <c r="D2257" s="27">
        <f>IF(C2257="","",C2257*'02_Eingaben'!$C$15)</f>
        <v/>
      </c>
      <c r="E2257" s="27">
        <f>IF(D2257="","",D2257*'02_Eingaben'!$C$8)</f>
        <v/>
      </c>
      <c r="F2257" s="27">
        <f>IF(E2257="","",AVERAGE(INDEX($E$2:$E$3001,MAX(1,ROW()-1-'02_Eingaben'!$C$17)):INDEX($E$2:$E$3001,MIN('02_Eingaben'!$C$21,ROW()-1+'02_Eingaben'!$C$17))))</f>
        <v/>
      </c>
      <c r="G2257" s="27">
        <f>IF(F2257="","",F2257-'02_Eingaben'!$C$10)</f>
        <v/>
      </c>
      <c r="H2257">
        <f>IF(F2257="","",IF(F2257&lt;'02_Eingaben'!$C$18*'02_Eingaben'!$C$10,1,0))</f>
        <v/>
      </c>
      <c r="I2257" s="27">
        <f>IF(OR(G2257="",G2258=""),"",(G2257+G2258)/2*(B2258-B2257))</f>
        <v/>
      </c>
      <c r="J2257" s="27">
        <f>IF(B2257="","",IF(B2256&lt;'02_Eingaben'!$C$36,0,J2256+I2256/'02_Eingaben'!$C$8))</f>
        <v/>
      </c>
    </row>
    <row r="2258">
      <c r="A2258">
        <f>IF('01_Rohdaten'!A2258="","",ROW()-1)</f>
        <v/>
      </c>
      <c r="B2258" s="27">
        <f>IF('01_Rohdaten'!A2258="","",'01_Rohdaten'!A2258)</f>
        <v/>
      </c>
      <c r="C2258" s="27">
        <f>IF(B2258="","",INDEX('01_Rohdaten'!B2258:D2258,'02_Eingaben'!$C$13))</f>
        <v/>
      </c>
      <c r="D2258" s="27">
        <f>IF(C2258="","",C2258*'02_Eingaben'!$C$15)</f>
        <v/>
      </c>
      <c r="E2258" s="27">
        <f>IF(D2258="","",D2258*'02_Eingaben'!$C$8)</f>
        <v/>
      </c>
      <c r="F2258" s="27">
        <f>IF(E2258="","",AVERAGE(INDEX($E$2:$E$3001,MAX(1,ROW()-1-'02_Eingaben'!$C$17)):INDEX($E$2:$E$3001,MIN('02_Eingaben'!$C$21,ROW()-1+'02_Eingaben'!$C$17))))</f>
        <v/>
      </c>
      <c r="G2258" s="27">
        <f>IF(F2258="","",F2258-'02_Eingaben'!$C$10)</f>
        <v/>
      </c>
      <c r="H2258">
        <f>IF(F2258="","",IF(F2258&lt;'02_Eingaben'!$C$18*'02_Eingaben'!$C$10,1,0))</f>
        <v/>
      </c>
      <c r="I2258" s="27">
        <f>IF(OR(G2258="",G2259=""),"",(G2258+G2259)/2*(B2259-B2258))</f>
        <v/>
      </c>
      <c r="J2258" s="27">
        <f>IF(B2258="","",IF(B2257&lt;'02_Eingaben'!$C$36,0,J2257+I2257/'02_Eingaben'!$C$8))</f>
        <v/>
      </c>
    </row>
    <row r="2259">
      <c r="A2259">
        <f>IF('01_Rohdaten'!A2259="","",ROW()-1)</f>
        <v/>
      </c>
      <c r="B2259" s="27">
        <f>IF('01_Rohdaten'!A2259="","",'01_Rohdaten'!A2259)</f>
        <v/>
      </c>
      <c r="C2259" s="27">
        <f>IF(B2259="","",INDEX('01_Rohdaten'!B2259:D2259,'02_Eingaben'!$C$13))</f>
        <v/>
      </c>
      <c r="D2259" s="27">
        <f>IF(C2259="","",C2259*'02_Eingaben'!$C$15)</f>
        <v/>
      </c>
      <c r="E2259" s="27">
        <f>IF(D2259="","",D2259*'02_Eingaben'!$C$8)</f>
        <v/>
      </c>
      <c r="F2259" s="27">
        <f>IF(E2259="","",AVERAGE(INDEX($E$2:$E$3001,MAX(1,ROW()-1-'02_Eingaben'!$C$17)):INDEX($E$2:$E$3001,MIN('02_Eingaben'!$C$21,ROW()-1+'02_Eingaben'!$C$17))))</f>
        <v/>
      </c>
      <c r="G2259" s="27">
        <f>IF(F2259="","",F2259-'02_Eingaben'!$C$10)</f>
        <v/>
      </c>
      <c r="H2259">
        <f>IF(F2259="","",IF(F2259&lt;'02_Eingaben'!$C$18*'02_Eingaben'!$C$10,1,0))</f>
        <v/>
      </c>
      <c r="I2259" s="27">
        <f>IF(OR(G2259="",G2260=""),"",(G2259+G2260)/2*(B2260-B2259))</f>
        <v/>
      </c>
      <c r="J2259" s="27">
        <f>IF(B2259="","",IF(B2258&lt;'02_Eingaben'!$C$36,0,J2258+I2258/'02_Eingaben'!$C$8))</f>
        <v/>
      </c>
    </row>
    <row r="2260">
      <c r="A2260">
        <f>IF('01_Rohdaten'!A2260="","",ROW()-1)</f>
        <v/>
      </c>
      <c r="B2260" s="27">
        <f>IF('01_Rohdaten'!A2260="","",'01_Rohdaten'!A2260)</f>
        <v/>
      </c>
      <c r="C2260" s="27">
        <f>IF(B2260="","",INDEX('01_Rohdaten'!B2260:D2260,'02_Eingaben'!$C$13))</f>
        <v/>
      </c>
      <c r="D2260" s="27">
        <f>IF(C2260="","",C2260*'02_Eingaben'!$C$15)</f>
        <v/>
      </c>
      <c r="E2260" s="27">
        <f>IF(D2260="","",D2260*'02_Eingaben'!$C$8)</f>
        <v/>
      </c>
      <c r="F2260" s="27">
        <f>IF(E2260="","",AVERAGE(INDEX($E$2:$E$3001,MAX(1,ROW()-1-'02_Eingaben'!$C$17)):INDEX($E$2:$E$3001,MIN('02_Eingaben'!$C$21,ROW()-1+'02_Eingaben'!$C$17))))</f>
        <v/>
      </c>
      <c r="G2260" s="27">
        <f>IF(F2260="","",F2260-'02_Eingaben'!$C$10)</f>
        <v/>
      </c>
      <c r="H2260">
        <f>IF(F2260="","",IF(F2260&lt;'02_Eingaben'!$C$18*'02_Eingaben'!$C$10,1,0))</f>
        <v/>
      </c>
      <c r="I2260" s="27">
        <f>IF(OR(G2260="",G2261=""),"",(G2260+G2261)/2*(B2261-B2260))</f>
        <v/>
      </c>
      <c r="J2260" s="27">
        <f>IF(B2260="","",IF(B2259&lt;'02_Eingaben'!$C$36,0,J2259+I2259/'02_Eingaben'!$C$8))</f>
        <v/>
      </c>
    </row>
    <row r="2261">
      <c r="A2261">
        <f>IF('01_Rohdaten'!A2261="","",ROW()-1)</f>
        <v/>
      </c>
      <c r="B2261" s="27">
        <f>IF('01_Rohdaten'!A2261="","",'01_Rohdaten'!A2261)</f>
        <v/>
      </c>
      <c r="C2261" s="27">
        <f>IF(B2261="","",INDEX('01_Rohdaten'!B2261:D2261,'02_Eingaben'!$C$13))</f>
        <v/>
      </c>
      <c r="D2261" s="27">
        <f>IF(C2261="","",C2261*'02_Eingaben'!$C$15)</f>
        <v/>
      </c>
      <c r="E2261" s="27">
        <f>IF(D2261="","",D2261*'02_Eingaben'!$C$8)</f>
        <v/>
      </c>
      <c r="F2261" s="27">
        <f>IF(E2261="","",AVERAGE(INDEX($E$2:$E$3001,MAX(1,ROW()-1-'02_Eingaben'!$C$17)):INDEX($E$2:$E$3001,MIN('02_Eingaben'!$C$21,ROW()-1+'02_Eingaben'!$C$17))))</f>
        <v/>
      </c>
      <c r="G2261" s="27">
        <f>IF(F2261="","",F2261-'02_Eingaben'!$C$10)</f>
        <v/>
      </c>
      <c r="H2261">
        <f>IF(F2261="","",IF(F2261&lt;'02_Eingaben'!$C$18*'02_Eingaben'!$C$10,1,0))</f>
        <v/>
      </c>
      <c r="I2261" s="27">
        <f>IF(OR(G2261="",G2262=""),"",(G2261+G2262)/2*(B2262-B2261))</f>
        <v/>
      </c>
      <c r="J2261" s="27">
        <f>IF(B2261="","",IF(B2260&lt;'02_Eingaben'!$C$36,0,J2260+I2260/'02_Eingaben'!$C$8))</f>
        <v/>
      </c>
    </row>
    <row r="2262">
      <c r="A2262">
        <f>IF('01_Rohdaten'!A2262="","",ROW()-1)</f>
        <v/>
      </c>
      <c r="B2262" s="27">
        <f>IF('01_Rohdaten'!A2262="","",'01_Rohdaten'!A2262)</f>
        <v/>
      </c>
      <c r="C2262" s="27">
        <f>IF(B2262="","",INDEX('01_Rohdaten'!B2262:D2262,'02_Eingaben'!$C$13))</f>
        <v/>
      </c>
      <c r="D2262" s="27">
        <f>IF(C2262="","",C2262*'02_Eingaben'!$C$15)</f>
        <v/>
      </c>
      <c r="E2262" s="27">
        <f>IF(D2262="","",D2262*'02_Eingaben'!$C$8)</f>
        <v/>
      </c>
      <c r="F2262" s="27">
        <f>IF(E2262="","",AVERAGE(INDEX($E$2:$E$3001,MAX(1,ROW()-1-'02_Eingaben'!$C$17)):INDEX($E$2:$E$3001,MIN('02_Eingaben'!$C$21,ROW()-1+'02_Eingaben'!$C$17))))</f>
        <v/>
      </c>
      <c r="G2262" s="27">
        <f>IF(F2262="","",F2262-'02_Eingaben'!$C$10)</f>
        <v/>
      </c>
      <c r="H2262">
        <f>IF(F2262="","",IF(F2262&lt;'02_Eingaben'!$C$18*'02_Eingaben'!$C$10,1,0))</f>
        <v/>
      </c>
      <c r="I2262" s="27">
        <f>IF(OR(G2262="",G2263=""),"",(G2262+G2263)/2*(B2263-B2262))</f>
        <v/>
      </c>
      <c r="J2262" s="27">
        <f>IF(B2262="","",IF(B2261&lt;'02_Eingaben'!$C$36,0,J2261+I2261/'02_Eingaben'!$C$8))</f>
        <v/>
      </c>
    </row>
    <row r="2263">
      <c r="A2263">
        <f>IF('01_Rohdaten'!A2263="","",ROW()-1)</f>
        <v/>
      </c>
      <c r="B2263" s="27">
        <f>IF('01_Rohdaten'!A2263="","",'01_Rohdaten'!A2263)</f>
        <v/>
      </c>
      <c r="C2263" s="27">
        <f>IF(B2263="","",INDEX('01_Rohdaten'!B2263:D2263,'02_Eingaben'!$C$13))</f>
        <v/>
      </c>
      <c r="D2263" s="27">
        <f>IF(C2263="","",C2263*'02_Eingaben'!$C$15)</f>
        <v/>
      </c>
      <c r="E2263" s="27">
        <f>IF(D2263="","",D2263*'02_Eingaben'!$C$8)</f>
        <v/>
      </c>
      <c r="F2263" s="27">
        <f>IF(E2263="","",AVERAGE(INDEX($E$2:$E$3001,MAX(1,ROW()-1-'02_Eingaben'!$C$17)):INDEX($E$2:$E$3001,MIN('02_Eingaben'!$C$21,ROW()-1+'02_Eingaben'!$C$17))))</f>
        <v/>
      </c>
      <c r="G2263" s="27">
        <f>IF(F2263="","",F2263-'02_Eingaben'!$C$10)</f>
        <v/>
      </c>
      <c r="H2263">
        <f>IF(F2263="","",IF(F2263&lt;'02_Eingaben'!$C$18*'02_Eingaben'!$C$10,1,0))</f>
        <v/>
      </c>
      <c r="I2263" s="27">
        <f>IF(OR(G2263="",G2264=""),"",(G2263+G2264)/2*(B2264-B2263))</f>
        <v/>
      </c>
      <c r="J2263" s="27">
        <f>IF(B2263="","",IF(B2262&lt;'02_Eingaben'!$C$36,0,J2262+I2262/'02_Eingaben'!$C$8))</f>
        <v/>
      </c>
    </row>
    <row r="2264">
      <c r="A2264">
        <f>IF('01_Rohdaten'!A2264="","",ROW()-1)</f>
        <v/>
      </c>
      <c r="B2264" s="27">
        <f>IF('01_Rohdaten'!A2264="","",'01_Rohdaten'!A2264)</f>
        <v/>
      </c>
      <c r="C2264" s="27">
        <f>IF(B2264="","",INDEX('01_Rohdaten'!B2264:D2264,'02_Eingaben'!$C$13))</f>
        <v/>
      </c>
      <c r="D2264" s="27">
        <f>IF(C2264="","",C2264*'02_Eingaben'!$C$15)</f>
        <v/>
      </c>
      <c r="E2264" s="27">
        <f>IF(D2264="","",D2264*'02_Eingaben'!$C$8)</f>
        <v/>
      </c>
      <c r="F2264" s="27">
        <f>IF(E2264="","",AVERAGE(INDEX($E$2:$E$3001,MAX(1,ROW()-1-'02_Eingaben'!$C$17)):INDEX($E$2:$E$3001,MIN('02_Eingaben'!$C$21,ROW()-1+'02_Eingaben'!$C$17))))</f>
        <v/>
      </c>
      <c r="G2264" s="27">
        <f>IF(F2264="","",F2264-'02_Eingaben'!$C$10)</f>
        <v/>
      </c>
      <c r="H2264">
        <f>IF(F2264="","",IF(F2264&lt;'02_Eingaben'!$C$18*'02_Eingaben'!$C$10,1,0))</f>
        <v/>
      </c>
      <c r="I2264" s="27">
        <f>IF(OR(G2264="",G2265=""),"",(G2264+G2265)/2*(B2265-B2264))</f>
        <v/>
      </c>
      <c r="J2264" s="27">
        <f>IF(B2264="","",IF(B2263&lt;'02_Eingaben'!$C$36,0,J2263+I2263/'02_Eingaben'!$C$8))</f>
        <v/>
      </c>
    </row>
    <row r="2265">
      <c r="A2265">
        <f>IF('01_Rohdaten'!A2265="","",ROW()-1)</f>
        <v/>
      </c>
      <c r="B2265" s="27">
        <f>IF('01_Rohdaten'!A2265="","",'01_Rohdaten'!A2265)</f>
        <v/>
      </c>
      <c r="C2265" s="27">
        <f>IF(B2265="","",INDEX('01_Rohdaten'!B2265:D2265,'02_Eingaben'!$C$13))</f>
        <v/>
      </c>
      <c r="D2265" s="27">
        <f>IF(C2265="","",C2265*'02_Eingaben'!$C$15)</f>
        <v/>
      </c>
      <c r="E2265" s="27">
        <f>IF(D2265="","",D2265*'02_Eingaben'!$C$8)</f>
        <v/>
      </c>
      <c r="F2265" s="27">
        <f>IF(E2265="","",AVERAGE(INDEX($E$2:$E$3001,MAX(1,ROW()-1-'02_Eingaben'!$C$17)):INDEX($E$2:$E$3001,MIN('02_Eingaben'!$C$21,ROW()-1+'02_Eingaben'!$C$17))))</f>
        <v/>
      </c>
      <c r="G2265" s="27">
        <f>IF(F2265="","",F2265-'02_Eingaben'!$C$10)</f>
        <v/>
      </c>
      <c r="H2265">
        <f>IF(F2265="","",IF(F2265&lt;'02_Eingaben'!$C$18*'02_Eingaben'!$C$10,1,0))</f>
        <v/>
      </c>
      <c r="I2265" s="27">
        <f>IF(OR(G2265="",G2266=""),"",(G2265+G2266)/2*(B2266-B2265))</f>
        <v/>
      </c>
      <c r="J2265" s="27">
        <f>IF(B2265="","",IF(B2264&lt;'02_Eingaben'!$C$36,0,J2264+I2264/'02_Eingaben'!$C$8))</f>
        <v/>
      </c>
    </row>
    <row r="2266">
      <c r="A2266">
        <f>IF('01_Rohdaten'!A2266="","",ROW()-1)</f>
        <v/>
      </c>
      <c r="B2266" s="27">
        <f>IF('01_Rohdaten'!A2266="","",'01_Rohdaten'!A2266)</f>
        <v/>
      </c>
      <c r="C2266" s="27">
        <f>IF(B2266="","",INDEX('01_Rohdaten'!B2266:D2266,'02_Eingaben'!$C$13))</f>
        <v/>
      </c>
      <c r="D2266" s="27">
        <f>IF(C2266="","",C2266*'02_Eingaben'!$C$15)</f>
        <v/>
      </c>
      <c r="E2266" s="27">
        <f>IF(D2266="","",D2266*'02_Eingaben'!$C$8)</f>
        <v/>
      </c>
      <c r="F2266" s="27">
        <f>IF(E2266="","",AVERAGE(INDEX($E$2:$E$3001,MAX(1,ROW()-1-'02_Eingaben'!$C$17)):INDEX($E$2:$E$3001,MIN('02_Eingaben'!$C$21,ROW()-1+'02_Eingaben'!$C$17))))</f>
        <v/>
      </c>
      <c r="G2266" s="27">
        <f>IF(F2266="","",F2266-'02_Eingaben'!$C$10)</f>
        <v/>
      </c>
      <c r="H2266">
        <f>IF(F2266="","",IF(F2266&lt;'02_Eingaben'!$C$18*'02_Eingaben'!$C$10,1,0))</f>
        <v/>
      </c>
      <c r="I2266" s="27">
        <f>IF(OR(G2266="",G2267=""),"",(G2266+G2267)/2*(B2267-B2266))</f>
        <v/>
      </c>
      <c r="J2266" s="27">
        <f>IF(B2266="","",IF(B2265&lt;'02_Eingaben'!$C$36,0,J2265+I2265/'02_Eingaben'!$C$8))</f>
        <v/>
      </c>
    </row>
    <row r="2267">
      <c r="A2267">
        <f>IF('01_Rohdaten'!A2267="","",ROW()-1)</f>
        <v/>
      </c>
      <c r="B2267" s="27">
        <f>IF('01_Rohdaten'!A2267="","",'01_Rohdaten'!A2267)</f>
        <v/>
      </c>
      <c r="C2267" s="27">
        <f>IF(B2267="","",INDEX('01_Rohdaten'!B2267:D2267,'02_Eingaben'!$C$13))</f>
        <v/>
      </c>
      <c r="D2267" s="27">
        <f>IF(C2267="","",C2267*'02_Eingaben'!$C$15)</f>
        <v/>
      </c>
      <c r="E2267" s="27">
        <f>IF(D2267="","",D2267*'02_Eingaben'!$C$8)</f>
        <v/>
      </c>
      <c r="F2267" s="27">
        <f>IF(E2267="","",AVERAGE(INDEX($E$2:$E$3001,MAX(1,ROW()-1-'02_Eingaben'!$C$17)):INDEX($E$2:$E$3001,MIN('02_Eingaben'!$C$21,ROW()-1+'02_Eingaben'!$C$17))))</f>
        <v/>
      </c>
      <c r="G2267" s="27">
        <f>IF(F2267="","",F2267-'02_Eingaben'!$C$10)</f>
        <v/>
      </c>
      <c r="H2267">
        <f>IF(F2267="","",IF(F2267&lt;'02_Eingaben'!$C$18*'02_Eingaben'!$C$10,1,0))</f>
        <v/>
      </c>
      <c r="I2267" s="27">
        <f>IF(OR(G2267="",G2268=""),"",(G2267+G2268)/2*(B2268-B2267))</f>
        <v/>
      </c>
      <c r="J2267" s="27">
        <f>IF(B2267="","",IF(B2266&lt;'02_Eingaben'!$C$36,0,J2266+I2266/'02_Eingaben'!$C$8))</f>
        <v/>
      </c>
    </row>
    <row r="2268">
      <c r="A2268">
        <f>IF('01_Rohdaten'!A2268="","",ROW()-1)</f>
        <v/>
      </c>
      <c r="B2268" s="27">
        <f>IF('01_Rohdaten'!A2268="","",'01_Rohdaten'!A2268)</f>
        <v/>
      </c>
      <c r="C2268" s="27">
        <f>IF(B2268="","",INDEX('01_Rohdaten'!B2268:D2268,'02_Eingaben'!$C$13))</f>
        <v/>
      </c>
      <c r="D2268" s="27">
        <f>IF(C2268="","",C2268*'02_Eingaben'!$C$15)</f>
        <v/>
      </c>
      <c r="E2268" s="27">
        <f>IF(D2268="","",D2268*'02_Eingaben'!$C$8)</f>
        <v/>
      </c>
      <c r="F2268" s="27">
        <f>IF(E2268="","",AVERAGE(INDEX($E$2:$E$3001,MAX(1,ROW()-1-'02_Eingaben'!$C$17)):INDEX($E$2:$E$3001,MIN('02_Eingaben'!$C$21,ROW()-1+'02_Eingaben'!$C$17))))</f>
        <v/>
      </c>
      <c r="G2268" s="27">
        <f>IF(F2268="","",F2268-'02_Eingaben'!$C$10)</f>
        <v/>
      </c>
      <c r="H2268">
        <f>IF(F2268="","",IF(F2268&lt;'02_Eingaben'!$C$18*'02_Eingaben'!$C$10,1,0))</f>
        <v/>
      </c>
      <c r="I2268" s="27">
        <f>IF(OR(G2268="",G2269=""),"",(G2268+G2269)/2*(B2269-B2268))</f>
        <v/>
      </c>
      <c r="J2268" s="27">
        <f>IF(B2268="","",IF(B2267&lt;'02_Eingaben'!$C$36,0,J2267+I2267/'02_Eingaben'!$C$8))</f>
        <v/>
      </c>
    </row>
    <row r="2269">
      <c r="A2269">
        <f>IF('01_Rohdaten'!A2269="","",ROW()-1)</f>
        <v/>
      </c>
      <c r="B2269" s="27">
        <f>IF('01_Rohdaten'!A2269="","",'01_Rohdaten'!A2269)</f>
        <v/>
      </c>
      <c r="C2269" s="27">
        <f>IF(B2269="","",INDEX('01_Rohdaten'!B2269:D2269,'02_Eingaben'!$C$13))</f>
        <v/>
      </c>
      <c r="D2269" s="27">
        <f>IF(C2269="","",C2269*'02_Eingaben'!$C$15)</f>
        <v/>
      </c>
      <c r="E2269" s="27">
        <f>IF(D2269="","",D2269*'02_Eingaben'!$C$8)</f>
        <v/>
      </c>
      <c r="F2269" s="27">
        <f>IF(E2269="","",AVERAGE(INDEX($E$2:$E$3001,MAX(1,ROW()-1-'02_Eingaben'!$C$17)):INDEX($E$2:$E$3001,MIN('02_Eingaben'!$C$21,ROW()-1+'02_Eingaben'!$C$17))))</f>
        <v/>
      </c>
      <c r="G2269" s="27">
        <f>IF(F2269="","",F2269-'02_Eingaben'!$C$10)</f>
        <v/>
      </c>
      <c r="H2269">
        <f>IF(F2269="","",IF(F2269&lt;'02_Eingaben'!$C$18*'02_Eingaben'!$C$10,1,0))</f>
        <v/>
      </c>
      <c r="I2269" s="27">
        <f>IF(OR(G2269="",G2270=""),"",(G2269+G2270)/2*(B2270-B2269))</f>
        <v/>
      </c>
      <c r="J2269" s="27">
        <f>IF(B2269="","",IF(B2268&lt;'02_Eingaben'!$C$36,0,J2268+I2268/'02_Eingaben'!$C$8))</f>
        <v/>
      </c>
    </row>
    <row r="2270">
      <c r="A2270">
        <f>IF('01_Rohdaten'!A2270="","",ROW()-1)</f>
        <v/>
      </c>
      <c r="B2270" s="27">
        <f>IF('01_Rohdaten'!A2270="","",'01_Rohdaten'!A2270)</f>
        <v/>
      </c>
      <c r="C2270" s="27">
        <f>IF(B2270="","",INDEX('01_Rohdaten'!B2270:D2270,'02_Eingaben'!$C$13))</f>
        <v/>
      </c>
      <c r="D2270" s="27">
        <f>IF(C2270="","",C2270*'02_Eingaben'!$C$15)</f>
        <v/>
      </c>
      <c r="E2270" s="27">
        <f>IF(D2270="","",D2270*'02_Eingaben'!$C$8)</f>
        <v/>
      </c>
      <c r="F2270" s="27">
        <f>IF(E2270="","",AVERAGE(INDEX($E$2:$E$3001,MAX(1,ROW()-1-'02_Eingaben'!$C$17)):INDEX($E$2:$E$3001,MIN('02_Eingaben'!$C$21,ROW()-1+'02_Eingaben'!$C$17))))</f>
        <v/>
      </c>
      <c r="G2270" s="27">
        <f>IF(F2270="","",F2270-'02_Eingaben'!$C$10)</f>
        <v/>
      </c>
      <c r="H2270">
        <f>IF(F2270="","",IF(F2270&lt;'02_Eingaben'!$C$18*'02_Eingaben'!$C$10,1,0))</f>
        <v/>
      </c>
      <c r="I2270" s="27">
        <f>IF(OR(G2270="",G2271=""),"",(G2270+G2271)/2*(B2271-B2270))</f>
        <v/>
      </c>
      <c r="J2270" s="27">
        <f>IF(B2270="","",IF(B2269&lt;'02_Eingaben'!$C$36,0,J2269+I2269/'02_Eingaben'!$C$8))</f>
        <v/>
      </c>
    </row>
    <row r="2271">
      <c r="A2271">
        <f>IF('01_Rohdaten'!A2271="","",ROW()-1)</f>
        <v/>
      </c>
      <c r="B2271" s="27">
        <f>IF('01_Rohdaten'!A2271="","",'01_Rohdaten'!A2271)</f>
        <v/>
      </c>
      <c r="C2271" s="27">
        <f>IF(B2271="","",INDEX('01_Rohdaten'!B2271:D2271,'02_Eingaben'!$C$13))</f>
        <v/>
      </c>
      <c r="D2271" s="27">
        <f>IF(C2271="","",C2271*'02_Eingaben'!$C$15)</f>
        <v/>
      </c>
      <c r="E2271" s="27">
        <f>IF(D2271="","",D2271*'02_Eingaben'!$C$8)</f>
        <v/>
      </c>
      <c r="F2271" s="27">
        <f>IF(E2271="","",AVERAGE(INDEX($E$2:$E$3001,MAX(1,ROW()-1-'02_Eingaben'!$C$17)):INDEX($E$2:$E$3001,MIN('02_Eingaben'!$C$21,ROW()-1+'02_Eingaben'!$C$17))))</f>
        <v/>
      </c>
      <c r="G2271" s="27">
        <f>IF(F2271="","",F2271-'02_Eingaben'!$C$10)</f>
        <v/>
      </c>
      <c r="H2271">
        <f>IF(F2271="","",IF(F2271&lt;'02_Eingaben'!$C$18*'02_Eingaben'!$C$10,1,0))</f>
        <v/>
      </c>
      <c r="I2271" s="27">
        <f>IF(OR(G2271="",G2272=""),"",(G2271+G2272)/2*(B2272-B2271))</f>
        <v/>
      </c>
      <c r="J2271" s="27">
        <f>IF(B2271="","",IF(B2270&lt;'02_Eingaben'!$C$36,0,J2270+I2270/'02_Eingaben'!$C$8))</f>
        <v/>
      </c>
    </row>
    <row r="2272">
      <c r="A2272">
        <f>IF('01_Rohdaten'!A2272="","",ROW()-1)</f>
        <v/>
      </c>
      <c r="B2272" s="27">
        <f>IF('01_Rohdaten'!A2272="","",'01_Rohdaten'!A2272)</f>
        <v/>
      </c>
      <c r="C2272" s="27">
        <f>IF(B2272="","",INDEX('01_Rohdaten'!B2272:D2272,'02_Eingaben'!$C$13))</f>
        <v/>
      </c>
      <c r="D2272" s="27">
        <f>IF(C2272="","",C2272*'02_Eingaben'!$C$15)</f>
        <v/>
      </c>
      <c r="E2272" s="27">
        <f>IF(D2272="","",D2272*'02_Eingaben'!$C$8)</f>
        <v/>
      </c>
      <c r="F2272" s="27">
        <f>IF(E2272="","",AVERAGE(INDEX($E$2:$E$3001,MAX(1,ROW()-1-'02_Eingaben'!$C$17)):INDEX($E$2:$E$3001,MIN('02_Eingaben'!$C$21,ROW()-1+'02_Eingaben'!$C$17))))</f>
        <v/>
      </c>
      <c r="G2272" s="27">
        <f>IF(F2272="","",F2272-'02_Eingaben'!$C$10)</f>
        <v/>
      </c>
      <c r="H2272">
        <f>IF(F2272="","",IF(F2272&lt;'02_Eingaben'!$C$18*'02_Eingaben'!$C$10,1,0))</f>
        <v/>
      </c>
      <c r="I2272" s="27">
        <f>IF(OR(G2272="",G2273=""),"",(G2272+G2273)/2*(B2273-B2272))</f>
        <v/>
      </c>
      <c r="J2272" s="27">
        <f>IF(B2272="","",IF(B2271&lt;'02_Eingaben'!$C$36,0,J2271+I2271/'02_Eingaben'!$C$8))</f>
        <v/>
      </c>
    </row>
    <row r="2273">
      <c r="A2273">
        <f>IF('01_Rohdaten'!A2273="","",ROW()-1)</f>
        <v/>
      </c>
      <c r="B2273" s="27">
        <f>IF('01_Rohdaten'!A2273="","",'01_Rohdaten'!A2273)</f>
        <v/>
      </c>
      <c r="C2273" s="27">
        <f>IF(B2273="","",INDEX('01_Rohdaten'!B2273:D2273,'02_Eingaben'!$C$13))</f>
        <v/>
      </c>
      <c r="D2273" s="27">
        <f>IF(C2273="","",C2273*'02_Eingaben'!$C$15)</f>
        <v/>
      </c>
      <c r="E2273" s="27">
        <f>IF(D2273="","",D2273*'02_Eingaben'!$C$8)</f>
        <v/>
      </c>
      <c r="F2273" s="27">
        <f>IF(E2273="","",AVERAGE(INDEX($E$2:$E$3001,MAX(1,ROW()-1-'02_Eingaben'!$C$17)):INDEX($E$2:$E$3001,MIN('02_Eingaben'!$C$21,ROW()-1+'02_Eingaben'!$C$17))))</f>
        <v/>
      </c>
      <c r="G2273" s="27">
        <f>IF(F2273="","",F2273-'02_Eingaben'!$C$10)</f>
        <v/>
      </c>
      <c r="H2273">
        <f>IF(F2273="","",IF(F2273&lt;'02_Eingaben'!$C$18*'02_Eingaben'!$C$10,1,0))</f>
        <v/>
      </c>
      <c r="I2273" s="27">
        <f>IF(OR(G2273="",G2274=""),"",(G2273+G2274)/2*(B2274-B2273))</f>
        <v/>
      </c>
      <c r="J2273" s="27">
        <f>IF(B2273="","",IF(B2272&lt;'02_Eingaben'!$C$36,0,J2272+I2272/'02_Eingaben'!$C$8))</f>
        <v/>
      </c>
    </row>
    <row r="2274">
      <c r="A2274">
        <f>IF('01_Rohdaten'!A2274="","",ROW()-1)</f>
        <v/>
      </c>
      <c r="B2274" s="27">
        <f>IF('01_Rohdaten'!A2274="","",'01_Rohdaten'!A2274)</f>
        <v/>
      </c>
      <c r="C2274" s="27">
        <f>IF(B2274="","",INDEX('01_Rohdaten'!B2274:D2274,'02_Eingaben'!$C$13))</f>
        <v/>
      </c>
      <c r="D2274" s="27">
        <f>IF(C2274="","",C2274*'02_Eingaben'!$C$15)</f>
        <v/>
      </c>
      <c r="E2274" s="27">
        <f>IF(D2274="","",D2274*'02_Eingaben'!$C$8)</f>
        <v/>
      </c>
      <c r="F2274" s="27">
        <f>IF(E2274="","",AVERAGE(INDEX($E$2:$E$3001,MAX(1,ROW()-1-'02_Eingaben'!$C$17)):INDEX($E$2:$E$3001,MIN('02_Eingaben'!$C$21,ROW()-1+'02_Eingaben'!$C$17))))</f>
        <v/>
      </c>
      <c r="G2274" s="27">
        <f>IF(F2274="","",F2274-'02_Eingaben'!$C$10)</f>
        <v/>
      </c>
      <c r="H2274">
        <f>IF(F2274="","",IF(F2274&lt;'02_Eingaben'!$C$18*'02_Eingaben'!$C$10,1,0))</f>
        <v/>
      </c>
      <c r="I2274" s="27">
        <f>IF(OR(G2274="",G2275=""),"",(G2274+G2275)/2*(B2275-B2274))</f>
        <v/>
      </c>
      <c r="J2274" s="27">
        <f>IF(B2274="","",IF(B2273&lt;'02_Eingaben'!$C$36,0,J2273+I2273/'02_Eingaben'!$C$8))</f>
        <v/>
      </c>
    </row>
    <row r="2275">
      <c r="A2275">
        <f>IF('01_Rohdaten'!A2275="","",ROW()-1)</f>
        <v/>
      </c>
      <c r="B2275" s="27">
        <f>IF('01_Rohdaten'!A2275="","",'01_Rohdaten'!A2275)</f>
        <v/>
      </c>
      <c r="C2275" s="27">
        <f>IF(B2275="","",INDEX('01_Rohdaten'!B2275:D2275,'02_Eingaben'!$C$13))</f>
        <v/>
      </c>
      <c r="D2275" s="27">
        <f>IF(C2275="","",C2275*'02_Eingaben'!$C$15)</f>
        <v/>
      </c>
      <c r="E2275" s="27">
        <f>IF(D2275="","",D2275*'02_Eingaben'!$C$8)</f>
        <v/>
      </c>
      <c r="F2275" s="27">
        <f>IF(E2275="","",AVERAGE(INDEX($E$2:$E$3001,MAX(1,ROW()-1-'02_Eingaben'!$C$17)):INDEX($E$2:$E$3001,MIN('02_Eingaben'!$C$21,ROW()-1+'02_Eingaben'!$C$17))))</f>
        <v/>
      </c>
      <c r="G2275" s="27">
        <f>IF(F2275="","",F2275-'02_Eingaben'!$C$10)</f>
        <v/>
      </c>
      <c r="H2275">
        <f>IF(F2275="","",IF(F2275&lt;'02_Eingaben'!$C$18*'02_Eingaben'!$C$10,1,0))</f>
        <v/>
      </c>
      <c r="I2275" s="27">
        <f>IF(OR(G2275="",G2276=""),"",(G2275+G2276)/2*(B2276-B2275))</f>
        <v/>
      </c>
      <c r="J2275" s="27">
        <f>IF(B2275="","",IF(B2274&lt;'02_Eingaben'!$C$36,0,J2274+I2274/'02_Eingaben'!$C$8))</f>
        <v/>
      </c>
    </row>
    <row r="2276">
      <c r="A2276">
        <f>IF('01_Rohdaten'!A2276="","",ROW()-1)</f>
        <v/>
      </c>
      <c r="B2276" s="27">
        <f>IF('01_Rohdaten'!A2276="","",'01_Rohdaten'!A2276)</f>
        <v/>
      </c>
      <c r="C2276" s="27">
        <f>IF(B2276="","",INDEX('01_Rohdaten'!B2276:D2276,'02_Eingaben'!$C$13))</f>
        <v/>
      </c>
      <c r="D2276" s="27">
        <f>IF(C2276="","",C2276*'02_Eingaben'!$C$15)</f>
        <v/>
      </c>
      <c r="E2276" s="27">
        <f>IF(D2276="","",D2276*'02_Eingaben'!$C$8)</f>
        <v/>
      </c>
      <c r="F2276" s="27">
        <f>IF(E2276="","",AVERAGE(INDEX($E$2:$E$3001,MAX(1,ROW()-1-'02_Eingaben'!$C$17)):INDEX($E$2:$E$3001,MIN('02_Eingaben'!$C$21,ROW()-1+'02_Eingaben'!$C$17))))</f>
        <v/>
      </c>
      <c r="G2276" s="27">
        <f>IF(F2276="","",F2276-'02_Eingaben'!$C$10)</f>
        <v/>
      </c>
      <c r="H2276">
        <f>IF(F2276="","",IF(F2276&lt;'02_Eingaben'!$C$18*'02_Eingaben'!$C$10,1,0))</f>
        <v/>
      </c>
      <c r="I2276" s="27">
        <f>IF(OR(G2276="",G2277=""),"",(G2276+G2277)/2*(B2277-B2276))</f>
        <v/>
      </c>
      <c r="J2276" s="27">
        <f>IF(B2276="","",IF(B2275&lt;'02_Eingaben'!$C$36,0,J2275+I2275/'02_Eingaben'!$C$8))</f>
        <v/>
      </c>
    </row>
    <row r="2277">
      <c r="A2277">
        <f>IF('01_Rohdaten'!A2277="","",ROW()-1)</f>
        <v/>
      </c>
      <c r="B2277" s="27">
        <f>IF('01_Rohdaten'!A2277="","",'01_Rohdaten'!A2277)</f>
        <v/>
      </c>
      <c r="C2277" s="27">
        <f>IF(B2277="","",INDEX('01_Rohdaten'!B2277:D2277,'02_Eingaben'!$C$13))</f>
        <v/>
      </c>
      <c r="D2277" s="27">
        <f>IF(C2277="","",C2277*'02_Eingaben'!$C$15)</f>
        <v/>
      </c>
      <c r="E2277" s="27">
        <f>IF(D2277="","",D2277*'02_Eingaben'!$C$8)</f>
        <v/>
      </c>
      <c r="F2277" s="27">
        <f>IF(E2277="","",AVERAGE(INDEX($E$2:$E$3001,MAX(1,ROW()-1-'02_Eingaben'!$C$17)):INDEX($E$2:$E$3001,MIN('02_Eingaben'!$C$21,ROW()-1+'02_Eingaben'!$C$17))))</f>
        <v/>
      </c>
      <c r="G2277" s="27">
        <f>IF(F2277="","",F2277-'02_Eingaben'!$C$10)</f>
        <v/>
      </c>
      <c r="H2277">
        <f>IF(F2277="","",IF(F2277&lt;'02_Eingaben'!$C$18*'02_Eingaben'!$C$10,1,0))</f>
        <v/>
      </c>
      <c r="I2277" s="27">
        <f>IF(OR(G2277="",G2278=""),"",(G2277+G2278)/2*(B2278-B2277))</f>
        <v/>
      </c>
      <c r="J2277" s="27">
        <f>IF(B2277="","",IF(B2276&lt;'02_Eingaben'!$C$36,0,J2276+I2276/'02_Eingaben'!$C$8))</f>
        <v/>
      </c>
    </row>
    <row r="2278">
      <c r="A2278">
        <f>IF('01_Rohdaten'!A2278="","",ROW()-1)</f>
        <v/>
      </c>
      <c r="B2278" s="27">
        <f>IF('01_Rohdaten'!A2278="","",'01_Rohdaten'!A2278)</f>
        <v/>
      </c>
      <c r="C2278" s="27">
        <f>IF(B2278="","",INDEX('01_Rohdaten'!B2278:D2278,'02_Eingaben'!$C$13))</f>
        <v/>
      </c>
      <c r="D2278" s="27">
        <f>IF(C2278="","",C2278*'02_Eingaben'!$C$15)</f>
        <v/>
      </c>
      <c r="E2278" s="27">
        <f>IF(D2278="","",D2278*'02_Eingaben'!$C$8)</f>
        <v/>
      </c>
      <c r="F2278" s="27">
        <f>IF(E2278="","",AVERAGE(INDEX($E$2:$E$3001,MAX(1,ROW()-1-'02_Eingaben'!$C$17)):INDEX($E$2:$E$3001,MIN('02_Eingaben'!$C$21,ROW()-1+'02_Eingaben'!$C$17))))</f>
        <v/>
      </c>
      <c r="G2278" s="27">
        <f>IF(F2278="","",F2278-'02_Eingaben'!$C$10)</f>
        <v/>
      </c>
      <c r="H2278">
        <f>IF(F2278="","",IF(F2278&lt;'02_Eingaben'!$C$18*'02_Eingaben'!$C$10,1,0))</f>
        <v/>
      </c>
      <c r="I2278" s="27">
        <f>IF(OR(G2278="",G2279=""),"",(G2278+G2279)/2*(B2279-B2278))</f>
        <v/>
      </c>
      <c r="J2278" s="27">
        <f>IF(B2278="","",IF(B2277&lt;'02_Eingaben'!$C$36,0,J2277+I2277/'02_Eingaben'!$C$8))</f>
        <v/>
      </c>
    </row>
    <row r="2279">
      <c r="A2279">
        <f>IF('01_Rohdaten'!A2279="","",ROW()-1)</f>
        <v/>
      </c>
      <c r="B2279" s="27">
        <f>IF('01_Rohdaten'!A2279="","",'01_Rohdaten'!A2279)</f>
        <v/>
      </c>
      <c r="C2279" s="27">
        <f>IF(B2279="","",INDEX('01_Rohdaten'!B2279:D2279,'02_Eingaben'!$C$13))</f>
        <v/>
      </c>
      <c r="D2279" s="27">
        <f>IF(C2279="","",C2279*'02_Eingaben'!$C$15)</f>
        <v/>
      </c>
      <c r="E2279" s="27">
        <f>IF(D2279="","",D2279*'02_Eingaben'!$C$8)</f>
        <v/>
      </c>
      <c r="F2279" s="27">
        <f>IF(E2279="","",AVERAGE(INDEX($E$2:$E$3001,MAX(1,ROW()-1-'02_Eingaben'!$C$17)):INDEX($E$2:$E$3001,MIN('02_Eingaben'!$C$21,ROW()-1+'02_Eingaben'!$C$17))))</f>
        <v/>
      </c>
      <c r="G2279" s="27">
        <f>IF(F2279="","",F2279-'02_Eingaben'!$C$10)</f>
        <v/>
      </c>
      <c r="H2279">
        <f>IF(F2279="","",IF(F2279&lt;'02_Eingaben'!$C$18*'02_Eingaben'!$C$10,1,0))</f>
        <v/>
      </c>
      <c r="I2279" s="27">
        <f>IF(OR(G2279="",G2280=""),"",(G2279+G2280)/2*(B2280-B2279))</f>
        <v/>
      </c>
      <c r="J2279" s="27">
        <f>IF(B2279="","",IF(B2278&lt;'02_Eingaben'!$C$36,0,J2278+I2278/'02_Eingaben'!$C$8))</f>
        <v/>
      </c>
    </row>
    <row r="2280">
      <c r="A2280">
        <f>IF('01_Rohdaten'!A2280="","",ROW()-1)</f>
        <v/>
      </c>
      <c r="B2280" s="27">
        <f>IF('01_Rohdaten'!A2280="","",'01_Rohdaten'!A2280)</f>
        <v/>
      </c>
      <c r="C2280" s="27">
        <f>IF(B2280="","",INDEX('01_Rohdaten'!B2280:D2280,'02_Eingaben'!$C$13))</f>
        <v/>
      </c>
      <c r="D2280" s="27">
        <f>IF(C2280="","",C2280*'02_Eingaben'!$C$15)</f>
        <v/>
      </c>
      <c r="E2280" s="27">
        <f>IF(D2280="","",D2280*'02_Eingaben'!$C$8)</f>
        <v/>
      </c>
      <c r="F2280" s="27">
        <f>IF(E2280="","",AVERAGE(INDEX($E$2:$E$3001,MAX(1,ROW()-1-'02_Eingaben'!$C$17)):INDEX($E$2:$E$3001,MIN('02_Eingaben'!$C$21,ROW()-1+'02_Eingaben'!$C$17))))</f>
        <v/>
      </c>
      <c r="G2280" s="27">
        <f>IF(F2280="","",F2280-'02_Eingaben'!$C$10)</f>
        <v/>
      </c>
      <c r="H2280">
        <f>IF(F2280="","",IF(F2280&lt;'02_Eingaben'!$C$18*'02_Eingaben'!$C$10,1,0))</f>
        <v/>
      </c>
      <c r="I2280" s="27">
        <f>IF(OR(G2280="",G2281=""),"",(G2280+G2281)/2*(B2281-B2280))</f>
        <v/>
      </c>
      <c r="J2280" s="27">
        <f>IF(B2280="","",IF(B2279&lt;'02_Eingaben'!$C$36,0,J2279+I2279/'02_Eingaben'!$C$8))</f>
        <v/>
      </c>
    </row>
    <row r="2281">
      <c r="A2281">
        <f>IF('01_Rohdaten'!A2281="","",ROW()-1)</f>
        <v/>
      </c>
      <c r="B2281" s="27">
        <f>IF('01_Rohdaten'!A2281="","",'01_Rohdaten'!A2281)</f>
        <v/>
      </c>
      <c r="C2281" s="27">
        <f>IF(B2281="","",INDEX('01_Rohdaten'!B2281:D2281,'02_Eingaben'!$C$13))</f>
        <v/>
      </c>
      <c r="D2281" s="27">
        <f>IF(C2281="","",C2281*'02_Eingaben'!$C$15)</f>
        <v/>
      </c>
      <c r="E2281" s="27">
        <f>IF(D2281="","",D2281*'02_Eingaben'!$C$8)</f>
        <v/>
      </c>
      <c r="F2281" s="27">
        <f>IF(E2281="","",AVERAGE(INDEX($E$2:$E$3001,MAX(1,ROW()-1-'02_Eingaben'!$C$17)):INDEX($E$2:$E$3001,MIN('02_Eingaben'!$C$21,ROW()-1+'02_Eingaben'!$C$17))))</f>
        <v/>
      </c>
      <c r="G2281" s="27">
        <f>IF(F2281="","",F2281-'02_Eingaben'!$C$10)</f>
        <v/>
      </c>
      <c r="H2281">
        <f>IF(F2281="","",IF(F2281&lt;'02_Eingaben'!$C$18*'02_Eingaben'!$C$10,1,0))</f>
        <v/>
      </c>
      <c r="I2281" s="27">
        <f>IF(OR(G2281="",G2282=""),"",(G2281+G2282)/2*(B2282-B2281))</f>
        <v/>
      </c>
      <c r="J2281" s="27">
        <f>IF(B2281="","",IF(B2280&lt;'02_Eingaben'!$C$36,0,J2280+I2280/'02_Eingaben'!$C$8))</f>
        <v/>
      </c>
    </row>
    <row r="2282">
      <c r="A2282">
        <f>IF('01_Rohdaten'!A2282="","",ROW()-1)</f>
        <v/>
      </c>
      <c r="B2282" s="27">
        <f>IF('01_Rohdaten'!A2282="","",'01_Rohdaten'!A2282)</f>
        <v/>
      </c>
      <c r="C2282" s="27">
        <f>IF(B2282="","",INDEX('01_Rohdaten'!B2282:D2282,'02_Eingaben'!$C$13))</f>
        <v/>
      </c>
      <c r="D2282" s="27">
        <f>IF(C2282="","",C2282*'02_Eingaben'!$C$15)</f>
        <v/>
      </c>
      <c r="E2282" s="27">
        <f>IF(D2282="","",D2282*'02_Eingaben'!$C$8)</f>
        <v/>
      </c>
      <c r="F2282" s="27">
        <f>IF(E2282="","",AVERAGE(INDEX($E$2:$E$3001,MAX(1,ROW()-1-'02_Eingaben'!$C$17)):INDEX($E$2:$E$3001,MIN('02_Eingaben'!$C$21,ROW()-1+'02_Eingaben'!$C$17))))</f>
        <v/>
      </c>
      <c r="G2282" s="27">
        <f>IF(F2282="","",F2282-'02_Eingaben'!$C$10)</f>
        <v/>
      </c>
      <c r="H2282">
        <f>IF(F2282="","",IF(F2282&lt;'02_Eingaben'!$C$18*'02_Eingaben'!$C$10,1,0))</f>
        <v/>
      </c>
      <c r="I2282" s="27">
        <f>IF(OR(G2282="",G2283=""),"",(G2282+G2283)/2*(B2283-B2282))</f>
        <v/>
      </c>
      <c r="J2282" s="27">
        <f>IF(B2282="","",IF(B2281&lt;'02_Eingaben'!$C$36,0,J2281+I2281/'02_Eingaben'!$C$8))</f>
        <v/>
      </c>
    </row>
    <row r="2283">
      <c r="A2283">
        <f>IF('01_Rohdaten'!A2283="","",ROW()-1)</f>
        <v/>
      </c>
      <c r="B2283" s="27">
        <f>IF('01_Rohdaten'!A2283="","",'01_Rohdaten'!A2283)</f>
        <v/>
      </c>
      <c r="C2283" s="27">
        <f>IF(B2283="","",INDEX('01_Rohdaten'!B2283:D2283,'02_Eingaben'!$C$13))</f>
        <v/>
      </c>
      <c r="D2283" s="27">
        <f>IF(C2283="","",C2283*'02_Eingaben'!$C$15)</f>
        <v/>
      </c>
      <c r="E2283" s="27">
        <f>IF(D2283="","",D2283*'02_Eingaben'!$C$8)</f>
        <v/>
      </c>
      <c r="F2283" s="27">
        <f>IF(E2283="","",AVERAGE(INDEX($E$2:$E$3001,MAX(1,ROW()-1-'02_Eingaben'!$C$17)):INDEX($E$2:$E$3001,MIN('02_Eingaben'!$C$21,ROW()-1+'02_Eingaben'!$C$17))))</f>
        <v/>
      </c>
      <c r="G2283" s="27">
        <f>IF(F2283="","",F2283-'02_Eingaben'!$C$10)</f>
        <v/>
      </c>
      <c r="H2283">
        <f>IF(F2283="","",IF(F2283&lt;'02_Eingaben'!$C$18*'02_Eingaben'!$C$10,1,0))</f>
        <v/>
      </c>
      <c r="I2283" s="27">
        <f>IF(OR(G2283="",G2284=""),"",(G2283+G2284)/2*(B2284-B2283))</f>
        <v/>
      </c>
      <c r="J2283" s="27">
        <f>IF(B2283="","",IF(B2282&lt;'02_Eingaben'!$C$36,0,J2282+I2282/'02_Eingaben'!$C$8))</f>
        <v/>
      </c>
    </row>
    <row r="2284">
      <c r="A2284">
        <f>IF('01_Rohdaten'!A2284="","",ROW()-1)</f>
        <v/>
      </c>
      <c r="B2284" s="27">
        <f>IF('01_Rohdaten'!A2284="","",'01_Rohdaten'!A2284)</f>
        <v/>
      </c>
      <c r="C2284" s="27">
        <f>IF(B2284="","",INDEX('01_Rohdaten'!B2284:D2284,'02_Eingaben'!$C$13))</f>
        <v/>
      </c>
      <c r="D2284" s="27">
        <f>IF(C2284="","",C2284*'02_Eingaben'!$C$15)</f>
        <v/>
      </c>
      <c r="E2284" s="27">
        <f>IF(D2284="","",D2284*'02_Eingaben'!$C$8)</f>
        <v/>
      </c>
      <c r="F2284" s="27">
        <f>IF(E2284="","",AVERAGE(INDEX($E$2:$E$3001,MAX(1,ROW()-1-'02_Eingaben'!$C$17)):INDEX($E$2:$E$3001,MIN('02_Eingaben'!$C$21,ROW()-1+'02_Eingaben'!$C$17))))</f>
        <v/>
      </c>
      <c r="G2284" s="27">
        <f>IF(F2284="","",F2284-'02_Eingaben'!$C$10)</f>
        <v/>
      </c>
      <c r="H2284">
        <f>IF(F2284="","",IF(F2284&lt;'02_Eingaben'!$C$18*'02_Eingaben'!$C$10,1,0))</f>
        <v/>
      </c>
      <c r="I2284" s="27">
        <f>IF(OR(G2284="",G2285=""),"",(G2284+G2285)/2*(B2285-B2284))</f>
        <v/>
      </c>
      <c r="J2284" s="27">
        <f>IF(B2284="","",IF(B2283&lt;'02_Eingaben'!$C$36,0,J2283+I2283/'02_Eingaben'!$C$8))</f>
        <v/>
      </c>
    </row>
    <row r="2285">
      <c r="A2285">
        <f>IF('01_Rohdaten'!A2285="","",ROW()-1)</f>
        <v/>
      </c>
      <c r="B2285" s="27">
        <f>IF('01_Rohdaten'!A2285="","",'01_Rohdaten'!A2285)</f>
        <v/>
      </c>
      <c r="C2285" s="27">
        <f>IF(B2285="","",INDEX('01_Rohdaten'!B2285:D2285,'02_Eingaben'!$C$13))</f>
        <v/>
      </c>
      <c r="D2285" s="27">
        <f>IF(C2285="","",C2285*'02_Eingaben'!$C$15)</f>
        <v/>
      </c>
      <c r="E2285" s="27">
        <f>IF(D2285="","",D2285*'02_Eingaben'!$C$8)</f>
        <v/>
      </c>
      <c r="F2285" s="27">
        <f>IF(E2285="","",AVERAGE(INDEX($E$2:$E$3001,MAX(1,ROW()-1-'02_Eingaben'!$C$17)):INDEX($E$2:$E$3001,MIN('02_Eingaben'!$C$21,ROW()-1+'02_Eingaben'!$C$17))))</f>
        <v/>
      </c>
      <c r="G2285" s="27">
        <f>IF(F2285="","",F2285-'02_Eingaben'!$C$10)</f>
        <v/>
      </c>
      <c r="H2285">
        <f>IF(F2285="","",IF(F2285&lt;'02_Eingaben'!$C$18*'02_Eingaben'!$C$10,1,0))</f>
        <v/>
      </c>
      <c r="I2285" s="27">
        <f>IF(OR(G2285="",G2286=""),"",(G2285+G2286)/2*(B2286-B2285))</f>
        <v/>
      </c>
      <c r="J2285" s="27">
        <f>IF(B2285="","",IF(B2284&lt;'02_Eingaben'!$C$36,0,J2284+I2284/'02_Eingaben'!$C$8))</f>
        <v/>
      </c>
    </row>
    <row r="2286">
      <c r="A2286">
        <f>IF('01_Rohdaten'!A2286="","",ROW()-1)</f>
        <v/>
      </c>
      <c r="B2286" s="27">
        <f>IF('01_Rohdaten'!A2286="","",'01_Rohdaten'!A2286)</f>
        <v/>
      </c>
      <c r="C2286" s="27">
        <f>IF(B2286="","",INDEX('01_Rohdaten'!B2286:D2286,'02_Eingaben'!$C$13))</f>
        <v/>
      </c>
      <c r="D2286" s="27">
        <f>IF(C2286="","",C2286*'02_Eingaben'!$C$15)</f>
        <v/>
      </c>
      <c r="E2286" s="27">
        <f>IF(D2286="","",D2286*'02_Eingaben'!$C$8)</f>
        <v/>
      </c>
      <c r="F2286" s="27">
        <f>IF(E2286="","",AVERAGE(INDEX($E$2:$E$3001,MAX(1,ROW()-1-'02_Eingaben'!$C$17)):INDEX($E$2:$E$3001,MIN('02_Eingaben'!$C$21,ROW()-1+'02_Eingaben'!$C$17))))</f>
        <v/>
      </c>
      <c r="G2286" s="27">
        <f>IF(F2286="","",F2286-'02_Eingaben'!$C$10)</f>
        <v/>
      </c>
      <c r="H2286">
        <f>IF(F2286="","",IF(F2286&lt;'02_Eingaben'!$C$18*'02_Eingaben'!$C$10,1,0))</f>
        <v/>
      </c>
      <c r="I2286" s="27">
        <f>IF(OR(G2286="",G2287=""),"",(G2286+G2287)/2*(B2287-B2286))</f>
        <v/>
      </c>
      <c r="J2286" s="27">
        <f>IF(B2286="","",IF(B2285&lt;'02_Eingaben'!$C$36,0,J2285+I2285/'02_Eingaben'!$C$8))</f>
        <v/>
      </c>
    </row>
    <row r="2287">
      <c r="A2287">
        <f>IF('01_Rohdaten'!A2287="","",ROW()-1)</f>
        <v/>
      </c>
      <c r="B2287" s="27">
        <f>IF('01_Rohdaten'!A2287="","",'01_Rohdaten'!A2287)</f>
        <v/>
      </c>
      <c r="C2287" s="27">
        <f>IF(B2287="","",INDEX('01_Rohdaten'!B2287:D2287,'02_Eingaben'!$C$13))</f>
        <v/>
      </c>
      <c r="D2287" s="27">
        <f>IF(C2287="","",C2287*'02_Eingaben'!$C$15)</f>
        <v/>
      </c>
      <c r="E2287" s="27">
        <f>IF(D2287="","",D2287*'02_Eingaben'!$C$8)</f>
        <v/>
      </c>
      <c r="F2287" s="27">
        <f>IF(E2287="","",AVERAGE(INDEX($E$2:$E$3001,MAX(1,ROW()-1-'02_Eingaben'!$C$17)):INDEX($E$2:$E$3001,MIN('02_Eingaben'!$C$21,ROW()-1+'02_Eingaben'!$C$17))))</f>
        <v/>
      </c>
      <c r="G2287" s="27">
        <f>IF(F2287="","",F2287-'02_Eingaben'!$C$10)</f>
        <v/>
      </c>
      <c r="H2287">
        <f>IF(F2287="","",IF(F2287&lt;'02_Eingaben'!$C$18*'02_Eingaben'!$C$10,1,0))</f>
        <v/>
      </c>
      <c r="I2287" s="27">
        <f>IF(OR(G2287="",G2288=""),"",(G2287+G2288)/2*(B2288-B2287))</f>
        <v/>
      </c>
      <c r="J2287" s="27">
        <f>IF(B2287="","",IF(B2286&lt;'02_Eingaben'!$C$36,0,J2286+I2286/'02_Eingaben'!$C$8))</f>
        <v/>
      </c>
    </row>
    <row r="2288">
      <c r="A2288">
        <f>IF('01_Rohdaten'!A2288="","",ROW()-1)</f>
        <v/>
      </c>
      <c r="B2288" s="27">
        <f>IF('01_Rohdaten'!A2288="","",'01_Rohdaten'!A2288)</f>
        <v/>
      </c>
      <c r="C2288" s="27">
        <f>IF(B2288="","",INDEX('01_Rohdaten'!B2288:D2288,'02_Eingaben'!$C$13))</f>
        <v/>
      </c>
      <c r="D2288" s="27">
        <f>IF(C2288="","",C2288*'02_Eingaben'!$C$15)</f>
        <v/>
      </c>
      <c r="E2288" s="27">
        <f>IF(D2288="","",D2288*'02_Eingaben'!$C$8)</f>
        <v/>
      </c>
      <c r="F2288" s="27">
        <f>IF(E2288="","",AVERAGE(INDEX($E$2:$E$3001,MAX(1,ROW()-1-'02_Eingaben'!$C$17)):INDEX($E$2:$E$3001,MIN('02_Eingaben'!$C$21,ROW()-1+'02_Eingaben'!$C$17))))</f>
        <v/>
      </c>
      <c r="G2288" s="27">
        <f>IF(F2288="","",F2288-'02_Eingaben'!$C$10)</f>
        <v/>
      </c>
      <c r="H2288">
        <f>IF(F2288="","",IF(F2288&lt;'02_Eingaben'!$C$18*'02_Eingaben'!$C$10,1,0))</f>
        <v/>
      </c>
      <c r="I2288" s="27">
        <f>IF(OR(G2288="",G2289=""),"",(G2288+G2289)/2*(B2289-B2288))</f>
        <v/>
      </c>
      <c r="J2288" s="27">
        <f>IF(B2288="","",IF(B2287&lt;'02_Eingaben'!$C$36,0,J2287+I2287/'02_Eingaben'!$C$8))</f>
        <v/>
      </c>
    </row>
    <row r="2289">
      <c r="A2289">
        <f>IF('01_Rohdaten'!A2289="","",ROW()-1)</f>
        <v/>
      </c>
      <c r="B2289" s="27">
        <f>IF('01_Rohdaten'!A2289="","",'01_Rohdaten'!A2289)</f>
        <v/>
      </c>
      <c r="C2289" s="27">
        <f>IF(B2289="","",INDEX('01_Rohdaten'!B2289:D2289,'02_Eingaben'!$C$13))</f>
        <v/>
      </c>
      <c r="D2289" s="27">
        <f>IF(C2289="","",C2289*'02_Eingaben'!$C$15)</f>
        <v/>
      </c>
      <c r="E2289" s="27">
        <f>IF(D2289="","",D2289*'02_Eingaben'!$C$8)</f>
        <v/>
      </c>
      <c r="F2289" s="27">
        <f>IF(E2289="","",AVERAGE(INDEX($E$2:$E$3001,MAX(1,ROW()-1-'02_Eingaben'!$C$17)):INDEX($E$2:$E$3001,MIN('02_Eingaben'!$C$21,ROW()-1+'02_Eingaben'!$C$17))))</f>
        <v/>
      </c>
      <c r="G2289" s="27">
        <f>IF(F2289="","",F2289-'02_Eingaben'!$C$10)</f>
        <v/>
      </c>
      <c r="H2289">
        <f>IF(F2289="","",IF(F2289&lt;'02_Eingaben'!$C$18*'02_Eingaben'!$C$10,1,0))</f>
        <v/>
      </c>
      <c r="I2289" s="27">
        <f>IF(OR(G2289="",G2290=""),"",(G2289+G2290)/2*(B2290-B2289))</f>
        <v/>
      </c>
      <c r="J2289" s="27">
        <f>IF(B2289="","",IF(B2288&lt;'02_Eingaben'!$C$36,0,J2288+I2288/'02_Eingaben'!$C$8))</f>
        <v/>
      </c>
    </row>
    <row r="2290">
      <c r="A2290">
        <f>IF('01_Rohdaten'!A2290="","",ROW()-1)</f>
        <v/>
      </c>
      <c r="B2290" s="27">
        <f>IF('01_Rohdaten'!A2290="","",'01_Rohdaten'!A2290)</f>
        <v/>
      </c>
      <c r="C2290" s="27">
        <f>IF(B2290="","",INDEX('01_Rohdaten'!B2290:D2290,'02_Eingaben'!$C$13))</f>
        <v/>
      </c>
      <c r="D2290" s="27">
        <f>IF(C2290="","",C2290*'02_Eingaben'!$C$15)</f>
        <v/>
      </c>
      <c r="E2290" s="27">
        <f>IF(D2290="","",D2290*'02_Eingaben'!$C$8)</f>
        <v/>
      </c>
      <c r="F2290" s="27">
        <f>IF(E2290="","",AVERAGE(INDEX($E$2:$E$3001,MAX(1,ROW()-1-'02_Eingaben'!$C$17)):INDEX($E$2:$E$3001,MIN('02_Eingaben'!$C$21,ROW()-1+'02_Eingaben'!$C$17))))</f>
        <v/>
      </c>
      <c r="G2290" s="27">
        <f>IF(F2290="","",F2290-'02_Eingaben'!$C$10)</f>
        <v/>
      </c>
      <c r="H2290">
        <f>IF(F2290="","",IF(F2290&lt;'02_Eingaben'!$C$18*'02_Eingaben'!$C$10,1,0))</f>
        <v/>
      </c>
      <c r="I2290" s="27">
        <f>IF(OR(G2290="",G2291=""),"",(G2290+G2291)/2*(B2291-B2290))</f>
        <v/>
      </c>
      <c r="J2290" s="27">
        <f>IF(B2290="","",IF(B2289&lt;'02_Eingaben'!$C$36,0,J2289+I2289/'02_Eingaben'!$C$8))</f>
        <v/>
      </c>
    </row>
    <row r="2291">
      <c r="A2291">
        <f>IF('01_Rohdaten'!A2291="","",ROW()-1)</f>
        <v/>
      </c>
      <c r="B2291" s="27">
        <f>IF('01_Rohdaten'!A2291="","",'01_Rohdaten'!A2291)</f>
        <v/>
      </c>
      <c r="C2291" s="27">
        <f>IF(B2291="","",INDEX('01_Rohdaten'!B2291:D2291,'02_Eingaben'!$C$13))</f>
        <v/>
      </c>
      <c r="D2291" s="27">
        <f>IF(C2291="","",C2291*'02_Eingaben'!$C$15)</f>
        <v/>
      </c>
      <c r="E2291" s="27">
        <f>IF(D2291="","",D2291*'02_Eingaben'!$C$8)</f>
        <v/>
      </c>
      <c r="F2291" s="27">
        <f>IF(E2291="","",AVERAGE(INDEX($E$2:$E$3001,MAX(1,ROW()-1-'02_Eingaben'!$C$17)):INDEX($E$2:$E$3001,MIN('02_Eingaben'!$C$21,ROW()-1+'02_Eingaben'!$C$17))))</f>
        <v/>
      </c>
      <c r="G2291" s="27">
        <f>IF(F2291="","",F2291-'02_Eingaben'!$C$10)</f>
        <v/>
      </c>
      <c r="H2291">
        <f>IF(F2291="","",IF(F2291&lt;'02_Eingaben'!$C$18*'02_Eingaben'!$C$10,1,0))</f>
        <v/>
      </c>
      <c r="I2291" s="27">
        <f>IF(OR(G2291="",G2292=""),"",(G2291+G2292)/2*(B2292-B2291))</f>
        <v/>
      </c>
      <c r="J2291" s="27">
        <f>IF(B2291="","",IF(B2290&lt;'02_Eingaben'!$C$36,0,J2290+I2290/'02_Eingaben'!$C$8))</f>
        <v/>
      </c>
    </row>
    <row r="2292">
      <c r="A2292">
        <f>IF('01_Rohdaten'!A2292="","",ROW()-1)</f>
        <v/>
      </c>
      <c r="B2292" s="27">
        <f>IF('01_Rohdaten'!A2292="","",'01_Rohdaten'!A2292)</f>
        <v/>
      </c>
      <c r="C2292" s="27">
        <f>IF(B2292="","",INDEX('01_Rohdaten'!B2292:D2292,'02_Eingaben'!$C$13))</f>
        <v/>
      </c>
      <c r="D2292" s="27">
        <f>IF(C2292="","",C2292*'02_Eingaben'!$C$15)</f>
        <v/>
      </c>
      <c r="E2292" s="27">
        <f>IF(D2292="","",D2292*'02_Eingaben'!$C$8)</f>
        <v/>
      </c>
      <c r="F2292" s="27">
        <f>IF(E2292="","",AVERAGE(INDEX($E$2:$E$3001,MAX(1,ROW()-1-'02_Eingaben'!$C$17)):INDEX($E$2:$E$3001,MIN('02_Eingaben'!$C$21,ROW()-1+'02_Eingaben'!$C$17))))</f>
        <v/>
      </c>
      <c r="G2292" s="27">
        <f>IF(F2292="","",F2292-'02_Eingaben'!$C$10)</f>
        <v/>
      </c>
      <c r="H2292">
        <f>IF(F2292="","",IF(F2292&lt;'02_Eingaben'!$C$18*'02_Eingaben'!$C$10,1,0))</f>
        <v/>
      </c>
      <c r="I2292" s="27">
        <f>IF(OR(G2292="",G2293=""),"",(G2292+G2293)/2*(B2293-B2292))</f>
        <v/>
      </c>
      <c r="J2292" s="27">
        <f>IF(B2292="","",IF(B2291&lt;'02_Eingaben'!$C$36,0,J2291+I2291/'02_Eingaben'!$C$8))</f>
        <v/>
      </c>
    </row>
    <row r="2293">
      <c r="A2293">
        <f>IF('01_Rohdaten'!A2293="","",ROW()-1)</f>
        <v/>
      </c>
      <c r="B2293" s="27">
        <f>IF('01_Rohdaten'!A2293="","",'01_Rohdaten'!A2293)</f>
        <v/>
      </c>
      <c r="C2293" s="27">
        <f>IF(B2293="","",INDEX('01_Rohdaten'!B2293:D2293,'02_Eingaben'!$C$13))</f>
        <v/>
      </c>
      <c r="D2293" s="27">
        <f>IF(C2293="","",C2293*'02_Eingaben'!$C$15)</f>
        <v/>
      </c>
      <c r="E2293" s="27">
        <f>IF(D2293="","",D2293*'02_Eingaben'!$C$8)</f>
        <v/>
      </c>
      <c r="F2293" s="27">
        <f>IF(E2293="","",AVERAGE(INDEX($E$2:$E$3001,MAX(1,ROW()-1-'02_Eingaben'!$C$17)):INDEX($E$2:$E$3001,MIN('02_Eingaben'!$C$21,ROW()-1+'02_Eingaben'!$C$17))))</f>
        <v/>
      </c>
      <c r="G2293" s="27">
        <f>IF(F2293="","",F2293-'02_Eingaben'!$C$10)</f>
        <v/>
      </c>
      <c r="H2293">
        <f>IF(F2293="","",IF(F2293&lt;'02_Eingaben'!$C$18*'02_Eingaben'!$C$10,1,0))</f>
        <v/>
      </c>
      <c r="I2293" s="27">
        <f>IF(OR(G2293="",G2294=""),"",(G2293+G2294)/2*(B2294-B2293))</f>
        <v/>
      </c>
      <c r="J2293" s="27">
        <f>IF(B2293="","",IF(B2292&lt;'02_Eingaben'!$C$36,0,J2292+I2292/'02_Eingaben'!$C$8))</f>
        <v/>
      </c>
    </row>
    <row r="2294">
      <c r="A2294">
        <f>IF('01_Rohdaten'!A2294="","",ROW()-1)</f>
        <v/>
      </c>
      <c r="B2294" s="27">
        <f>IF('01_Rohdaten'!A2294="","",'01_Rohdaten'!A2294)</f>
        <v/>
      </c>
      <c r="C2294" s="27">
        <f>IF(B2294="","",INDEX('01_Rohdaten'!B2294:D2294,'02_Eingaben'!$C$13))</f>
        <v/>
      </c>
      <c r="D2294" s="27">
        <f>IF(C2294="","",C2294*'02_Eingaben'!$C$15)</f>
        <v/>
      </c>
      <c r="E2294" s="27">
        <f>IF(D2294="","",D2294*'02_Eingaben'!$C$8)</f>
        <v/>
      </c>
      <c r="F2294" s="27">
        <f>IF(E2294="","",AVERAGE(INDEX($E$2:$E$3001,MAX(1,ROW()-1-'02_Eingaben'!$C$17)):INDEX($E$2:$E$3001,MIN('02_Eingaben'!$C$21,ROW()-1+'02_Eingaben'!$C$17))))</f>
        <v/>
      </c>
      <c r="G2294" s="27">
        <f>IF(F2294="","",F2294-'02_Eingaben'!$C$10)</f>
        <v/>
      </c>
      <c r="H2294">
        <f>IF(F2294="","",IF(F2294&lt;'02_Eingaben'!$C$18*'02_Eingaben'!$C$10,1,0))</f>
        <v/>
      </c>
      <c r="I2294" s="27">
        <f>IF(OR(G2294="",G2295=""),"",(G2294+G2295)/2*(B2295-B2294))</f>
        <v/>
      </c>
      <c r="J2294" s="27">
        <f>IF(B2294="","",IF(B2293&lt;'02_Eingaben'!$C$36,0,J2293+I2293/'02_Eingaben'!$C$8))</f>
        <v/>
      </c>
    </row>
    <row r="2295">
      <c r="A2295">
        <f>IF('01_Rohdaten'!A2295="","",ROW()-1)</f>
        <v/>
      </c>
      <c r="B2295" s="27">
        <f>IF('01_Rohdaten'!A2295="","",'01_Rohdaten'!A2295)</f>
        <v/>
      </c>
      <c r="C2295" s="27">
        <f>IF(B2295="","",INDEX('01_Rohdaten'!B2295:D2295,'02_Eingaben'!$C$13))</f>
        <v/>
      </c>
      <c r="D2295" s="27">
        <f>IF(C2295="","",C2295*'02_Eingaben'!$C$15)</f>
        <v/>
      </c>
      <c r="E2295" s="27">
        <f>IF(D2295="","",D2295*'02_Eingaben'!$C$8)</f>
        <v/>
      </c>
      <c r="F2295" s="27">
        <f>IF(E2295="","",AVERAGE(INDEX($E$2:$E$3001,MAX(1,ROW()-1-'02_Eingaben'!$C$17)):INDEX($E$2:$E$3001,MIN('02_Eingaben'!$C$21,ROW()-1+'02_Eingaben'!$C$17))))</f>
        <v/>
      </c>
      <c r="G2295" s="27">
        <f>IF(F2295="","",F2295-'02_Eingaben'!$C$10)</f>
        <v/>
      </c>
      <c r="H2295">
        <f>IF(F2295="","",IF(F2295&lt;'02_Eingaben'!$C$18*'02_Eingaben'!$C$10,1,0))</f>
        <v/>
      </c>
      <c r="I2295" s="27">
        <f>IF(OR(G2295="",G2296=""),"",(G2295+G2296)/2*(B2296-B2295))</f>
        <v/>
      </c>
      <c r="J2295" s="27">
        <f>IF(B2295="","",IF(B2294&lt;'02_Eingaben'!$C$36,0,J2294+I2294/'02_Eingaben'!$C$8))</f>
        <v/>
      </c>
    </row>
    <row r="2296">
      <c r="A2296">
        <f>IF('01_Rohdaten'!A2296="","",ROW()-1)</f>
        <v/>
      </c>
      <c r="B2296" s="27">
        <f>IF('01_Rohdaten'!A2296="","",'01_Rohdaten'!A2296)</f>
        <v/>
      </c>
      <c r="C2296" s="27">
        <f>IF(B2296="","",INDEX('01_Rohdaten'!B2296:D2296,'02_Eingaben'!$C$13))</f>
        <v/>
      </c>
      <c r="D2296" s="27">
        <f>IF(C2296="","",C2296*'02_Eingaben'!$C$15)</f>
        <v/>
      </c>
      <c r="E2296" s="27">
        <f>IF(D2296="","",D2296*'02_Eingaben'!$C$8)</f>
        <v/>
      </c>
      <c r="F2296" s="27">
        <f>IF(E2296="","",AVERAGE(INDEX($E$2:$E$3001,MAX(1,ROW()-1-'02_Eingaben'!$C$17)):INDEX($E$2:$E$3001,MIN('02_Eingaben'!$C$21,ROW()-1+'02_Eingaben'!$C$17))))</f>
        <v/>
      </c>
      <c r="G2296" s="27">
        <f>IF(F2296="","",F2296-'02_Eingaben'!$C$10)</f>
        <v/>
      </c>
      <c r="H2296">
        <f>IF(F2296="","",IF(F2296&lt;'02_Eingaben'!$C$18*'02_Eingaben'!$C$10,1,0))</f>
        <v/>
      </c>
      <c r="I2296" s="27">
        <f>IF(OR(G2296="",G2297=""),"",(G2296+G2297)/2*(B2297-B2296))</f>
        <v/>
      </c>
      <c r="J2296" s="27">
        <f>IF(B2296="","",IF(B2295&lt;'02_Eingaben'!$C$36,0,J2295+I2295/'02_Eingaben'!$C$8))</f>
        <v/>
      </c>
    </row>
    <row r="2297">
      <c r="A2297">
        <f>IF('01_Rohdaten'!A2297="","",ROW()-1)</f>
        <v/>
      </c>
      <c r="B2297" s="27">
        <f>IF('01_Rohdaten'!A2297="","",'01_Rohdaten'!A2297)</f>
        <v/>
      </c>
      <c r="C2297" s="27">
        <f>IF(B2297="","",INDEX('01_Rohdaten'!B2297:D2297,'02_Eingaben'!$C$13))</f>
        <v/>
      </c>
      <c r="D2297" s="27">
        <f>IF(C2297="","",C2297*'02_Eingaben'!$C$15)</f>
        <v/>
      </c>
      <c r="E2297" s="27">
        <f>IF(D2297="","",D2297*'02_Eingaben'!$C$8)</f>
        <v/>
      </c>
      <c r="F2297" s="27">
        <f>IF(E2297="","",AVERAGE(INDEX($E$2:$E$3001,MAX(1,ROW()-1-'02_Eingaben'!$C$17)):INDEX($E$2:$E$3001,MIN('02_Eingaben'!$C$21,ROW()-1+'02_Eingaben'!$C$17))))</f>
        <v/>
      </c>
      <c r="G2297" s="27">
        <f>IF(F2297="","",F2297-'02_Eingaben'!$C$10)</f>
        <v/>
      </c>
      <c r="H2297">
        <f>IF(F2297="","",IF(F2297&lt;'02_Eingaben'!$C$18*'02_Eingaben'!$C$10,1,0))</f>
        <v/>
      </c>
      <c r="I2297" s="27">
        <f>IF(OR(G2297="",G2298=""),"",(G2297+G2298)/2*(B2298-B2297))</f>
        <v/>
      </c>
      <c r="J2297" s="27">
        <f>IF(B2297="","",IF(B2296&lt;'02_Eingaben'!$C$36,0,J2296+I2296/'02_Eingaben'!$C$8))</f>
        <v/>
      </c>
    </row>
    <row r="2298">
      <c r="A2298">
        <f>IF('01_Rohdaten'!A2298="","",ROW()-1)</f>
        <v/>
      </c>
      <c r="B2298" s="27">
        <f>IF('01_Rohdaten'!A2298="","",'01_Rohdaten'!A2298)</f>
        <v/>
      </c>
      <c r="C2298" s="27">
        <f>IF(B2298="","",INDEX('01_Rohdaten'!B2298:D2298,'02_Eingaben'!$C$13))</f>
        <v/>
      </c>
      <c r="D2298" s="27">
        <f>IF(C2298="","",C2298*'02_Eingaben'!$C$15)</f>
        <v/>
      </c>
      <c r="E2298" s="27">
        <f>IF(D2298="","",D2298*'02_Eingaben'!$C$8)</f>
        <v/>
      </c>
      <c r="F2298" s="27">
        <f>IF(E2298="","",AVERAGE(INDEX($E$2:$E$3001,MAX(1,ROW()-1-'02_Eingaben'!$C$17)):INDEX($E$2:$E$3001,MIN('02_Eingaben'!$C$21,ROW()-1+'02_Eingaben'!$C$17))))</f>
        <v/>
      </c>
      <c r="G2298" s="27">
        <f>IF(F2298="","",F2298-'02_Eingaben'!$C$10)</f>
        <v/>
      </c>
      <c r="H2298">
        <f>IF(F2298="","",IF(F2298&lt;'02_Eingaben'!$C$18*'02_Eingaben'!$C$10,1,0))</f>
        <v/>
      </c>
      <c r="I2298" s="27">
        <f>IF(OR(G2298="",G2299=""),"",(G2298+G2299)/2*(B2299-B2298))</f>
        <v/>
      </c>
      <c r="J2298" s="27">
        <f>IF(B2298="","",IF(B2297&lt;'02_Eingaben'!$C$36,0,J2297+I2297/'02_Eingaben'!$C$8))</f>
        <v/>
      </c>
    </row>
    <row r="2299">
      <c r="A2299">
        <f>IF('01_Rohdaten'!A2299="","",ROW()-1)</f>
        <v/>
      </c>
      <c r="B2299" s="27">
        <f>IF('01_Rohdaten'!A2299="","",'01_Rohdaten'!A2299)</f>
        <v/>
      </c>
      <c r="C2299" s="27">
        <f>IF(B2299="","",INDEX('01_Rohdaten'!B2299:D2299,'02_Eingaben'!$C$13))</f>
        <v/>
      </c>
      <c r="D2299" s="27">
        <f>IF(C2299="","",C2299*'02_Eingaben'!$C$15)</f>
        <v/>
      </c>
      <c r="E2299" s="27">
        <f>IF(D2299="","",D2299*'02_Eingaben'!$C$8)</f>
        <v/>
      </c>
      <c r="F2299" s="27">
        <f>IF(E2299="","",AVERAGE(INDEX($E$2:$E$3001,MAX(1,ROW()-1-'02_Eingaben'!$C$17)):INDEX($E$2:$E$3001,MIN('02_Eingaben'!$C$21,ROW()-1+'02_Eingaben'!$C$17))))</f>
        <v/>
      </c>
      <c r="G2299" s="27">
        <f>IF(F2299="","",F2299-'02_Eingaben'!$C$10)</f>
        <v/>
      </c>
      <c r="H2299">
        <f>IF(F2299="","",IF(F2299&lt;'02_Eingaben'!$C$18*'02_Eingaben'!$C$10,1,0))</f>
        <v/>
      </c>
      <c r="I2299" s="27">
        <f>IF(OR(G2299="",G2300=""),"",(G2299+G2300)/2*(B2300-B2299))</f>
        <v/>
      </c>
      <c r="J2299" s="27">
        <f>IF(B2299="","",IF(B2298&lt;'02_Eingaben'!$C$36,0,J2298+I2298/'02_Eingaben'!$C$8))</f>
        <v/>
      </c>
    </row>
    <row r="2300">
      <c r="A2300">
        <f>IF('01_Rohdaten'!A2300="","",ROW()-1)</f>
        <v/>
      </c>
      <c r="B2300" s="27">
        <f>IF('01_Rohdaten'!A2300="","",'01_Rohdaten'!A2300)</f>
        <v/>
      </c>
      <c r="C2300" s="27">
        <f>IF(B2300="","",INDEX('01_Rohdaten'!B2300:D2300,'02_Eingaben'!$C$13))</f>
        <v/>
      </c>
      <c r="D2300" s="27">
        <f>IF(C2300="","",C2300*'02_Eingaben'!$C$15)</f>
        <v/>
      </c>
      <c r="E2300" s="27">
        <f>IF(D2300="","",D2300*'02_Eingaben'!$C$8)</f>
        <v/>
      </c>
      <c r="F2300" s="27">
        <f>IF(E2300="","",AVERAGE(INDEX($E$2:$E$3001,MAX(1,ROW()-1-'02_Eingaben'!$C$17)):INDEX($E$2:$E$3001,MIN('02_Eingaben'!$C$21,ROW()-1+'02_Eingaben'!$C$17))))</f>
        <v/>
      </c>
      <c r="G2300" s="27">
        <f>IF(F2300="","",F2300-'02_Eingaben'!$C$10)</f>
        <v/>
      </c>
      <c r="H2300">
        <f>IF(F2300="","",IF(F2300&lt;'02_Eingaben'!$C$18*'02_Eingaben'!$C$10,1,0))</f>
        <v/>
      </c>
      <c r="I2300" s="27">
        <f>IF(OR(G2300="",G2301=""),"",(G2300+G2301)/2*(B2301-B2300))</f>
        <v/>
      </c>
      <c r="J2300" s="27">
        <f>IF(B2300="","",IF(B2299&lt;'02_Eingaben'!$C$36,0,J2299+I2299/'02_Eingaben'!$C$8))</f>
        <v/>
      </c>
    </row>
    <row r="2301">
      <c r="A2301">
        <f>IF('01_Rohdaten'!A2301="","",ROW()-1)</f>
        <v/>
      </c>
      <c r="B2301" s="27">
        <f>IF('01_Rohdaten'!A2301="","",'01_Rohdaten'!A2301)</f>
        <v/>
      </c>
      <c r="C2301" s="27">
        <f>IF(B2301="","",INDEX('01_Rohdaten'!B2301:D2301,'02_Eingaben'!$C$13))</f>
        <v/>
      </c>
      <c r="D2301" s="27">
        <f>IF(C2301="","",C2301*'02_Eingaben'!$C$15)</f>
        <v/>
      </c>
      <c r="E2301" s="27">
        <f>IF(D2301="","",D2301*'02_Eingaben'!$C$8)</f>
        <v/>
      </c>
      <c r="F2301" s="27">
        <f>IF(E2301="","",AVERAGE(INDEX($E$2:$E$3001,MAX(1,ROW()-1-'02_Eingaben'!$C$17)):INDEX($E$2:$E$3001,MIN('02_Eingaben'!$C$21,ROW()-1+'02_Eingaben'!$C$17))))</f>
        <v/>
      </c>
      <c r="G2301" s="27">
        <f>IF(F2301="","",F2301-'02_Eingaben'!$C$10)</f>
        <v/>
      </c>
      <c r="H2301">
        <f>IF(F2301="","",IF(F2301&lt;'02_Eingaben'!$C$18*'02_Eingaben'!$C$10,1,0))</f>
        <v/>
      </c>
      <c r="I2301" s="27">
        <f>IF(OR(G2301="",G2302=""),"",(G2301+G2302)/2*(B2302-B2301))</f>
        <v/>
      </c>
      <c r="J2301" s="27">
        <f>IF(B2301="","",IF(B2300&lt;'02_Eingaben'!$C$36,0,J2300+I2300/'02_Eingaben'!$C$8))</f>
        <v/>
      </c>
    </row>
    <row r="2302">
      <c r="A2302">
        <f>IF('01_Rohdaten'!A2302="","",ROW()-1)</f>
        <v/>
      </c>
      <c r="B2302" s="27">
        <f>IF('01_Rohdaten'!A2302="","",'01_Rohdaten'!A2302)</f>
        <v/>
      </c>
      <c r="C2302" s="27">
        <f>IF(B2302="","",INDEX('01_Rohdaten'!B2302:D2302,'02_Eingaben'!$C$13))</f>
        <v/>
      </c>
      <c r="D2302" s="27">
        <f>IF(C2302="","",C2302*'02_Eingaben'!$C$15)</f>
        <v/>
      </c>
      <c r="E2302" s="27">
        <f>IF(D2302="","",D2302*'02_Eingaben'!$C$8)</f>
        <v/>
      </c>
      <c r="F2302" s="27">
        <f>IF(E2302="","",AVERAGE(INDEX($E$2:$E$3001,MAX(1,ROW()-1-'02_Eingaben'!$C$17)):INDEX($E$2:$E$3001,MIN('02_Eingaben'!$C$21,ROW()-1+'02_Eingaben'!$C$17))))</f>
        <v/>
      </c>
      <c r="G2302" s="27">
        <f>IF(F2302="","",F2302-'02_Eingaben'!$C$10)</f>
        <v/>
      </c>
      <c r="H2302">
        <f>IF(F2302="","",IF(F2302&lt;'02_Eingaben'!$C$18*'02_Eingaben'!$C$10,1,0))</f>
        <v/>
      </c>
      <c r="I2302" s="27">
        <f>IF(OR(G2302="",G2303=""),"",(G2302+G2303)/2*(B2303-B2302))</f>
        <v/>
      </c>
      <c r="J2302" s="27">
        <f>IF(B2302="","",IF(B2301&lt;'02_Eingaben'!$C$36,0,J2301+I2301/'02_Eingaben'!$C$8))</f>
        <v/>
      </c>
    </row>
    <row r="2303">
      <c r="A2303">
        <f>IF('01_Rohdaten'!A2303="","",ROW()-1)</f>
        <v/>
      </c>
      <c r="B2303" s="27">
        <f>IF('01_Rohdaten'!A2303="","",'01_Rohdaten'!A2303)</f>
        <v/>
      </c>
      <c r="C2303" s="27">
        <f>IF(B2303="","",INDEX('01_Rohdaten'!B2303:D2303,'02_Eingaben'!$C$13))</f>
        <v/>
      </c>
      <c r="D2303" s="27">
        <f>IF(C2303="","",C2303*'02_Eingaben'!$C$15)</f>
        <v/>
      </c>
      <c r="E2303" s="27">
        <f>IF(D2303="","",D2303*'02_Eingaben'!$C$8)</f>
        <v/>
      </c>
      <c r="F2303" s="27">
        <f>IF(E2303="","",AVERAGE(INDEX($E$2:$E$3001,MAX(1,ROW()-1-'02_Eingaben'!$C$17)):INDEX($E$2:$E$3001,MIN('02_Eingaben'!$C$21,ROW()-1+'02_Eingaben'!$C$17))))</f>
        <v/>
      </c>
      <c r="G2303" s="27">
        <f>IF(F2303="","",F2303-'02_Eingaben'!$C$10)</f>
        <v/>
      </c>
      <c r="H2303">
        <f>IF(F2303="","",IF(F2303&lt;'02_Eingaben'!$C$18*'02_Eingaben'!$C$10,1,0))</f>
        <v/>
      </c>
      <c r="I2303" s="27">
        <f>IF(OR(G2303="",G2304=""),"",(G2303+G2304)/2*(B2304-B2303))</f>
        <v/>
      </c>
      <c r="J2303" s="27">
        <f>IF(B2303="","",IF(B2302&lt;'02_Eingaben'!$C$36,0,J2302+I2302/'02_Eingaben'!$C$8))</f>
        <v/>
      </c>
    </row>
    <row r="2304">
      <c r="A2304">
        <f>IF('01_Rohdaten'!A2304="","",ROW()-1)</f>
        <v/>
      </c>
      <c r="B2304" s="27">
        <f>IF('01_Rohdaten'!A2304="","",'01_Rohdaten'!A2304)</f>
        <v/>
      </c>
      <c r="C2304" s="27">
        <f>IF(B2304="","",INDEX('01_Rohdaten'!B2304:D2304,'02_Eingaben'!$C$13))</f>
        <v/>
      </c>
      <c r="D2304" s="27">
        <f>IF(C2304="","",C2304*'02_Eingaben'!$C$15)</f>
        <v/>
      </c>
      <c r="E2304" s="27">
        <f>IF(D2304="","",D2304*'02_Eingaben'!$C$8)</f>
        <v/>
      </c>
      <c r="F2304" s="27">
        <f>IF(E2304="","",AVERAGE(INDEX($E$2:$E$3001,MAX(1,ROW()-1-'02_Eingaben'!$C$17)):INDEX($E$2:$E$3001,MIN('02_Eingaben'!$C$21,ROW()-1+'02_Eingaben'!$C$17))))</f>
        <v/>
      </c>
      <c r="G2304" s="27">
        <f>IF(F2304="","",F2304-'02_Eingaben'!$C$10)</f>
        <v/>
      </c>
      <c r="H2304">
        <f>IF(F2304="","",IF(F2304&lt;'02_Eingaben'!$C$18*'02_Eingaben'!$C$10,1,0))</f>
        <v/>
      </c>
      <c r="I2304" s="27">
        <f>IF(OR(G2304="",G2305=""),"",(G2304+G2305)/2*(B2305-B2304))</f>
        <v/>
      </c>
      <c r="J2304" s="27">
        <f>IF(B2304="","",IF(B2303&lt;'02_Eingaben'!$C$36,0,J2303+I2303/'02_Eingaben'!$C$8))</f>
        <v/>
      </c>
    </row>
    <row r="2305">
      <c r="A2305">
        <f>IF('01_Rohdaten'!A2305="","",ROW()-1)</f>
        <v/>
      </c>
      <c r="B2305" s="27">
        <f>IF('01_Rohdaten'!A2305="","",'01_Rohdaten'!A2305)</f>
        <v/>
      </c>
      <c r="C2305" s="27">
        <f>IF(B2305="","",INDEX('01_Rohdaten'!B2305:D2305,'02_Eingaben'!$C$13))</f>
        <v/>
      </c>
      <c r="D2305" s="27">
        <f>IF(C2305="","",C2305*'02_Eingaben'!$C$15)</f>
        <v/>
      </c>
      <c r="E2305" s="27">
        <f>IF(D2305="","",D2305*'02_Eingaben'!$C$8)</f>
        <v/>
      </c>
      <c r="F2305" s="27">
        <f>IF(E2305="","",AVERAGE(INDEX($E$2:$E$3001,MAX(1,ROW()-1-'02_Eingaben'!$C$17)):INDEX($E$2:$E$3001,MIN('02_Eingaben'!$C$21,ROW()-1+'02_Eingaben'!$C$17))))</f>
        <v/>
      </c>
      <c r="G2305" s="27">
        <f>IF(F2305="","",F2305-'02_Eingaben'!$C$10)</f>
        <v/>
      </c>
      <c r="H2305">
        <f>IF(F2305="","",IF(F2305&lt;'02_Eingaben'!$C$18*'02_Eingaben'!$C$10,1,0))</f>
        <v/>
      </c>
      <c r="I2305" s="27">
        <f>IF(OR(G2305="",G2306=""),"",(G2305+G2306)/2*(B2306-B2305))</f>
        <v/>
      </c>
      <c r="J2305" s="27">
        <f>IF(B2305="","",IF(B2304&lt;'02_Eingaben'!$C$36,0,J2304+I2304/'02_Eingaben'!$C$8))</f>
        <v/>
      </c>
    </row>
    <row r="2306">
      <c r="A2306">
        <f>IF('01_Rohdaten'!A2306="","",ROW()-1)</f>
        <v/>
      </c>
      <c r="B2306" s="27">
        <f>IF('01_Rohdaten'!A2306="","",'01_Rohdaten'!A2306)</f>
        <v/>
      </c>
      <c r="C2306" s="27">
        <f>IF(B2306="","",INDEX('01_Rohdaten'!B2306:D2306,'02_Eingaben'!$C$13))</f>
        <v/>
      </c>
      <c r="D2306" s="27">
        <f>IF(C2306="","",C2306*'02_Eingaben'!$C$15)</f>
        <v/>
      </c>
      <c r="E2306" s="27">
        <f>IF(D2306="","",D2306*'02_Eingaben'!$C$8)</f>
        <v/>
      </c>
      <c r="F2306" s="27">
        <f>IF(E2306="","",AVERAGE(INDEX($E$2:$E$3001,MAX(1,ROW()-1-'02_Eingaben'!$C$17)):INDEX($E$2:$E$3001,MIN('02_Eingaben'!$C$21,ROW()-1+'02_Eingaben'!$C$17))))</f>
        <v/>
      </c>
      <c r="G2306" s="27">
        <f>IF(F2306="","",F2306-'02_Eingaben'!$C$10)</f>
        <v/>
      </c>
      <c r="H2306">
        <f>IF(F2306="","",IF(F2306&lt;'02_Eingaben'!$C$18*'02_Eingaben'!$C$10,1,0))</f>
        <v/>
      </c>
      <c r="I2306" s="27">
        <f>IF(OR(G2306="",G2307=""),"",(G2306+G2307)/2*(B2307-B2306))</f>
        <v/>
      </c>
      <c r="J2306" s="27">
        <f>IF(B2306="","",IF(B2305&lt;'02_Eingaben'!$C$36,0,J2305+I2305/'02_Eingaben'!$C$8))</f>
        <v/>
      </c>
    </row>
    <row r="2307">
      <c r="A2307">
        <f>IF('01_Rohdaten'!A2307="","",ROW()-1)</f>
        <v/>
      </c>
      <c r="B2307" s="27">
        <f>IF('01_Rohdaten'!A2307="","",'01_Rohdaten'!A2307)</f>
        <v/>
      </c>
      <c r="C2307" s="27">
        <f>IF(B2307="","",INDEX('01_Rohdaten'!B2307:D2307,'02_Eingaben'!$C$13))</f>
        <v/>
      </c>
      <c r="D2307" s="27">
        <f>IF(C2307="","",C2307*'02_Eingaben'!$C$15)</f>
        <v/>
      </c>
      <c r="E2307" s="27">
        <f>IF(D2307="","",D2307*'02_Eingaben'!$C$8)</f>
        <v/>
      </c>
      <c r="F2307" s="27">
        <f>IF(E2307="","",AVERAGE(INDEX($E$2:$E$3001,MAX(1,ROW()-1-'02_Eingaben'!$C$17)):INDEX($E$2:$E$3001,MIN('02_Eingaben'!$C$21,ROW()-1+'02_Eingaben'!$C$17))))</f>
        <v/>
      </c>
      <c r="G2307" s="27">
        <f>IF(F2307="","",F2307-'02_Eingaben'!$C$10)</f>
        <v/>
      </c>
      <c r="H2307">
        <f>IF(F2307="","",IF(F2307&lt;'02_Eingaben'!$C$18*'02_Eingaben'!$C$10,1,0))</f>
        <v/>
      </c>
      <c r="I2307" s="27">
        <f>IF(OR(G2307="",G2308=""),"",(G2307+G2308)/2*(B2308-B2307))</f>
        <v/>
      </c>
      <c r="J2307" s="27">
        <f>IF(B2307="","",IF(B2306&lt;'02_Eingaben'!$C$36,0,J2306+I2306/'02_Eingaben'!$C$8))</f>
        <v/>
      </c>
    </row>
    <row r="2308">
      <c r="A2308">
        <f>IF('01_Rohdaten'!A2308="","",ROW()-1)</f>
        <v/>
      </c>
      <c r="B2308" s="27">
        <f>IF('01_Rohdaten'!A2308="","",'01_Rohdaten'!A2308)</f>
        <v/>
      </c>
      <c r="C2308" s="27">
        <f>IF(B2308="","",INDEX('01_Rohdaten'!B2308:D2308,'02_Eingaben'!$C$13))</f>
        <v/>
      </c>
      <c r="D2308" s="27">
        <f>IF(C2308="","",C2308*'02_Eingaben'!$C$15)</f>
        <v/>
      </c>
      <c r="E2308" s="27">
        <f>IF(D2308="","",D2308*'02_Eingaben'!$C$8)</f>
        <v/>
      </c>
      <c r="F2308" s="27">
        <f>IF(E2308="","",AVERAGE(INDEX($E$2:$E$3001,MAX(1,ROW()-1-'02_Eingaben'!$C$17)):INDEX($E$2:$E$3001,MIN('02_Eingaben'!$C$21,ROW()-1+'02_Eingaben'!$C$17))))</f>
        <v/>
      </c>
      <c r="G2308" s="27">
        <f>IF(F2308="","",F2308-'02_Eingaben'!$C$10)</f>
        <v/>
      </c>
      <c r="H2308">
        <f>IF(F2308="","",IF(F2308&lt;'02_Eingaben'!$C$18*'02_Eingaben'!$C$10,1,0))</f>
        <v/>
      </c>
      <c r="I2308" s="27">
        <f>IF(OR(G2308="",G2309=""),"",(G2308+G2309)/2*(B2309-B2308))</f>
        <v/>
      </c>
      <c r="J2308" s="27">
        <f>IF(B2308="","",IF(B2307&lt;'02_Eingaben'!$C$36,0,J2307+I2307/'02_Eingaben'!$C$8))</f>
        <v/>
      </c>
    </row>
    <row r="2309">
      <c r="A2309">
        <f>IF('01_Rohdaten'!A2309="","",ROW()-1)</f>
        <v/>
      </c>
      <c r="B2309" s="27">
        <f>IF('01_Rohdaten'!A2309="","",'01_Rohdaten'!A2309)</f>
        <v/>
      </c>
      <c r="C2309" s="27">
        <f>IF(B2309="","",INDEX('01_Rohdaten'!B2309:D2309,'02_Eingaben'!$C$13))</f>
        <v/>
      </c>
      <c r="D2309" s="27">
        <f>IF(C2309="","",C2309*'02_Eingaben'!$C$15)</f>
        <v/>
      </c>
      <c r="E2309" s="27">
        <f>IF(D2309="","",D2309*'02_Eingaben'!$C$8)</f>
        <v/>
      </c>
      <c r="F2309" s="27">
        <f>IF(E2309="","",AVERAGE(INDEX($E$2:$E$3001,MAX(1,ROW()-1-'02_Eingaben'!$C$17)):INDEX($E$2:$E$3001,MIN('02_Eingaben'!$C$21,ROW()-1+'02_Eingaben'!$C$17))))</f>
        <v/>
      </c>
      <c r="G2309" s="27">
        <f>IF(F2309="","",F2309-'02_Eingaben'!$C$10)</f>
        <v/>
      </c>
      <c r="H2309">
        <f>IF(F2309="","",IF(F2309&lt;'02_Eingaben'!$C$18*'02_Eingaben'!$C$10,1,0))</f>
        <v/>
      </c>
      <c r="I2309" s="27">
        <f>IF(OR(G2309="",G2310=""),"",(G2309+G2310)/2*(B2310-B2309))</f>
        <v/>
      </c>
      <c r="J2309" s="27">
        <f>IF(B2309="","",IF(B2308&lt;'02_Eingaben'!$C$36,0,J2308+I2308/'02_Eingaben'!$C$8))</f>
        <v/>
      </c>
    </row>
    <row r="2310">
      <c r="A2310">
        <f>IF('01_Rohdaten'!A2310="","",ROW()-1)</f>
        <v/>
      </c>
      <c r="B2310" s="27">
        <f>IF('01_Rohdaten'!A2310="","",'01_Rohdaten'!A2310)</f>
        <v/>
      </c>
      <c r="C2310" s="27">
        <f>IF(B2310="","",INDEX('01_Rohdaten'!B2310:D2310,'02_Eingaben'!$C$13))</f>
        <v/>
      </c>
      <c r="D2310" s="27">
        <f>IF(C2310="","",C2310*'02_Eingaben'!$C$15)</f>
        <v/>
      </c>
      <c r="E2310" s="27">
        <f>IF(D2310="","",D2310*'02_Eingaben'!$C$8)</f>
        <v/>
      </c>
      <c r="F2310" s="27">
        <f>IF(E2310="","",AVERAGE(INDEX($E$2:$E$3001,MAX(1,ROW()-1-'02_Eingaben'!$C$17)):INDEX($E$2:$E$3001,MIN('02_Eingaben'!$C$21,ROW()-1+'02_Eingaben'!$C$17))))</f>
        <v/>
      </c>
      <c r="G2310" s="27">
        <f>IF(F2310="","",F2310-'02_Eingaben'!$C$10)</f>
        <v/>
      </c>
      <c r="H2310">
        <f>IF(F2310="","",IF(F2310&lt;'02_Eingaben'!$C$18*'02_Eingaben'!$C$10,1,0))</f>
        <v/>
      </c>
      <c r="I2310" s="27">
        <f>IF(OR(G2310="",G2311=""),"",(G2310+G2311)/2*(B2311-B2310))</f>
        <v/>
      </c>
      <c r="J2310" s="27">
        <f>IF(B2310="","",IF(B2309&lt;'02_Eingaben'!$C$36,0,J2309+I2309/'02_Eingaben'!$C$8))</f>
        <v/>
      </c>
    </row>
    <row r="2311">
      <c r="A2311">
        <f>IF('01_Rohdaten'!A2311="","",ROW()-1)</f>
        <v/>
      </c>
      <c r="B2311" s="27">
        <f>IF('01_Rohdaten'!A2311="","",'01_Rohdaten'!A2311)</f>
        <v/>
      </c>
      <c r="C2311" s="27">
        <f>IF(B2311="","",INDEX('01_Rohdaten'!B2311:D2311,'02_Eingaben'!$C$13))</f>
        <v/>
      </c>
      <c r="D2311" s="27">
        <f>IF(C2311="","",C2311*'02_Eingaben'!$C$15)</f>
        <v/>
      </c>
      <c r="E2311" s="27">
        <f>IF(D2311="","",D2311*'02_Eingaben'!$C$8)</f>
        <v/>
      </c>
      <c r="F2311" s="27">
        <f>IF(E2311="","",AVERAGE(INDEX($E$2:$E$3001,MAX(1,ROW()-1-'02_Eingaben'!$C$17)):INDEX($E$2:$E$3001,MIN('02_Eingaben'!$C$21,ROW()-1+'02_Eingaben'!$C$17))))</f>
        <v/>
      </c>
      <c r="G2311" s="27">
        <f>IF(F2311="","",F2311-'02_Eingaben'!$C$10)</f>
        <v/>
      </c>
      <c r="H2311">
        <f>IF(F2311="","",IF(F2311&lt;'02_Eingaben'!$C$18*'02_Eingaben'!$C$10,1,0))</f>
        <v/>
      </c>
      <c r="I2311" s="27">
        <f>IF(OR(G2311="",G2312=""),"",(G2311+G2312)/2*(B2312-B2311))</f>
        <v/>
      </c>
      <c r="J2311" s="27">
        <f>IF(B2311="","",IF(B2310&lt;'02_Eingaben'!$C$36,0,J2310+I2310/'02_Eingaben'!$C$8))</f>
        <v/>
      </c>
    </row>
    <row r="2312">
      <c r="A2312">
        <f>IF('01_Rohdaten'!A2312="","",ROW()-1)</f>
        <v/>
      </c>
      <c r="B2312" s="27">
        <f>IF('01_Rohdaten'!A2312="","",'01_Rohdaten'!A2312)</f>
        <v/>
      </c>
      <c r="C2312" s="27">
        <f>IF(B2312="","",INDEX('01_Rohdaten'!B2312:D2312,'02_Eingaben'!$C$13))</f>
        <v/>
      </c>
      <c r="D2312" s="27">
        <f>IF(C2312="","",C2312*'02_Eingaben'!$C$15)</f>
        <v/>
      </c>
      <c r="E2312" s="27">
        <f>IF(D2312="","",D2312*'02_Eingaben'!$C$8)</f>
        <v/>
      </c>
      <c r="F2312" s="27">
        <f>IF(E2312="","",AVERAGE(INDEX($E$2:$E$3001,MAX(1,ROW()-1-'02_Eingaben'!$C$17)):INDEX($E$2:$E$3001,MIN('02_Eingaben'!$C$21,ROW()-1+'02_Eingaben'!$C$17))))</f>
        <v/>
      </c>
      <c r="G2312" s="27">
        <f>IF(F2312="","",F2312-'02_Eingaben'!$C$10)</f>
        <v/>
      </c>
      <c r="H2312">
        <f>IF(F2312="","",IF(F2312&lt;'02_Eingaben'!$C$18*'02_Eingaben'!$C$10,1,0))</f>
        <v/>
      </c>
      <c r="I2312" s="27">
        <f>IF(OR(G2312="",G2313=""),"",(G2312+G2313)/2*(B2313-B2312))</f>
        <v/>
      </c>
      <c r="J2312" s="27">
        <f>IF(B2312="","",IF(B2311&lt;'02_Eingaben'!$C$36,0,J2311+I2311/'02_Eingaben'!$C$8))</f>
        <v/>
      </c>
    </row>
    <row r="2313">
      <c r="A2313">
        <f>IF('01_Rohdaten'!A2313="","",ROW()-1)</f>
        <v/>
      </c>
      <c r="B2313" s="27">
        <f>IF('01_Rohdaten'!A2313="","",'01_Rohdaten'!A2313)</f>
        <v/>
      </c>
      <c r="C2313" s="27">
        <f>IF(B2313="","",INDEX('01_Rohdaten'!B2313:D2313,'02_Eingaben'!$C$13))</f>
        <v/>
      </c>
      <c r="D2313" s="27">
        <f>IF(C2313="","",C2313*'02_Eingaben'!$C$15)</f>
        <v/>
      </c>
      <c r="E2313" s="27">
        <f>IF(D2313="","",D2313*'02_Eingaben'!$C$8)</f>
        <v/>
      </c>
      <c r="F2313" s="27">
        <f>IF(E2313="","",AVERAGE(INDEX($E$2:$E$3001,MAX(1,ROW()-1-'02_Eingaben'!$C$17)):INDEX($E$2:$E$3001,MIN('02_Eingaben'!$C$21,ROW()-1+'02_Eingaben'!$C$17))))</f>
        <v/>
      </c>
      <c r="G2313" s="27">
        <f>IF(F2313="","",F2313-'02_Eingaben'!$C$10)</f>
        <v/>
      </c>
      <c r="H2313">
        <f>IF(F2313="","",IF(F2313&lt;'02_Eingaben'!$C$18*'02_Eingaben'!$C$10,1,0))</f>
        <v/>
      </c>
      <c r="I2313" s="27">
        <f>IF(OR(G2313="",G2314=""),"",(G2313+G2314)/2*(B2314-B2313))</f>
        <v/>
      </c>
      <c r="J2313" s="27">
        <f>IF(B2313="","",IF(B2312&lt;'02_Eingaben'!$C$36,0,J2312+I2312/'02_Eingaben'!$C$8))</f>
        <v/>
      </c>
    </row>
    <row r="2314">
      <c r="A2314">
        <f>IF('01_Rohdaten'!A2314="","",ROW()-1)</f>
        <v/>
      </c>
      <c r="B2314" s="27">
        <f>IF('01_Rohdaten'!A2314="","",'01_Rohdaten'!A2314)</f>
        <v/>
      </c>
      <c r="C2314" s="27">
        <f>IF(B2314="","",INDEX('01_Rohdaten'!B2314:D2314,'02_Eingaben'!$C$13))</f>
        <v/>
      </c>
      <c r="D2314" s="27">
        <f>IF(C2314="","",C2314*'02_Eingaben'!$C$15)</f>
        <v/>
      </c>
      <c r="E2314" s="27">
        <f>IF(D2314="","",D2314*'02_Eingaben'!$C$8)</f>
        <v/>
      </c>
      <c r="F2314" s="27">
        <f>IF(E2314="","",AVERAGE(INDEX($E$2:$E$3001,MAX(1,ROW()-1-'02_Eingaben'!$C$17)):INDEX($E$2:$E$3001,MIN('02_Eingaben'!$C$21,ROW()-1+'02_Eingaben'!$C$17))))</f>
        <v/>
      </c>
      <c r="G2314" s="27">
        <f>IF(F2314="","",F2314-'02_Eingaben'!$C$10)</f>
        <v/>
      </c>
      <c r="H2314">
        <f>IF(F2314="","",IF(F2314&lt;'02_Eingaben'!$C$18*'02_Eingaben'!$C$10,1,0))</f>
        <v/>
      </c>
      <c r="I2314" s="27">
        <f>IF(OR(G2314="",G2315=""),"",(G2314+G2315)/2*(B2315-B2314))</f>
        <v/>
      </c>
      <c r="J2314" s="27">
        <f>IF(B2314="","",IF(B2313&lt;'02_Eingaben'!$C$36,0,J2313+I2313/'02_Eingaben'!$C$8))</f>
        <v/>
      </c>
    </row>
    <row r="2315">
      <c r="A2315">
        <f>IF('01_Rohdaten'!A2315="","",ROW()-1)</f>
        <v/>
      </c>
      <c r="B2315" s="27">
        <f>IF('01_Rohdaten'!A2315="","",'01_Rohdaten'!A2315)</f>
        <v/>
      </c>
      <c r="C2315" s="27">
        <f>IF(B2315="","",INDEX('01_Rohdaten'!B2315:D2315,'02_Eingaben'!$C$13))</f>
        <v/>
      </c>
      <c r="D2315" s="27">
        <f>IF(C2315="","",C2315*'02_Eingaben'!$C$15)</f>
        <v/>
      </c>
      <c r="E2315" s="27">
        <f>IF(D2315="","",D2315*'02_Eingaben'!$C$8)</f>
        <v/>
      </c>
      <c r="F2315" s="27">
        <f>IF(E2315="","",AVERAGE(INDEX($E$2:$E$3001,MAX(1,ROW()-1-'02_Eingaben'!$C$17)):INDEX($E$2:$E$3001,MIN('02_Eingaben'!$C$21,ROW()-1+'02_Eingaben'!$C$17))))</f>
        <v/>
      </c>
      <c r="G2315" s="27">
        <f>IF(F2315="","",F2315-'02_Eingaben'!$C$10)</f>
        <v/>
      </c>
      <c r="H2315">
        <f>IF(F2315="","",IF(F2315&lt;'02_Eingaben'!$C$18*'02_Eingaben'!$C$10,1,0))</f>
        <v/>
      </c>
      <c r="I2315" s="27">
        <f>IF(OR(G2315="",G2316=""),"",(G2315+G2316)/2*(B2316-B2315))</f>
        <v/>
      </c>
      <c r="J2315" s="27">
        <f>IF(B2315="","",IF(B2314&lt;'02_Eingaben'!$C$36,0,J2314+I2314/'02_Eingaben'!$C$8))</f>
        <v/>
      </c>
    </row>
    <row r="2316">
      <c r="A2316">
        <f>IF('01_Rohdaten'!A2316="","",ROW()-1)</f>
        <v/>
      </c>
      <c r="B2316" s="27">
        <f>IF('01_Rohdaten'!A2316="","",'01_Rohdaten'!A2316)</f>
        <v/>
      </c>
      <c r="C2316" s="27">
        <f>IF(B2316="","",INDEX('01_Rohdaten'!B2316:D2316,'02_Eingaben'!$C$13))</f>
        <v/>
      </c>
      <c r="D2316" s="27">
        <f>IF(C2316="","",C2316*'02_Eingaben'!$C$15)</f>
        <v/>
      </c>
      <c r="E2316" s="27">
        <f>IF(D2316="","",D2316*'02_Eingaben'!$C$8)</f>
        <v/>
      </c>
      <c r="F2316" s="27">
        <f>IF(E2316="","",AVERAGE(INDEX($E$2:$E$3001,MAX(1,ROW()-1-'02_Eingaben'!$C$17)):INDEX($E$2:$E$3001,MIN('02_Eingaben'!$C$21,ROW()-1+'02_Eingaben'!$C$17))))</f>
        <v/>
      </c>
      <c r="G2316" s="27">
        <f>IF(F2316="","",F2316-'02_Eingaben'!$C$10)</f>
        <v/>
      </c>
      <c r="H2316">
        <f>IF(F2316="","",IF(F2316&lt;'02_Eingaben'!$C$18*'02_Eingaben'!$C$10,1,0))</f>
        <v/>
      </c>
      <c r="I2316" s="27">
        <f>IF(OR(G2316="",G2317=""),"",(G2316+G2317)/2*(B2317-B2316))</f>
        <v/>
      </c>
      <c r="J2316" s="27">
        <f>IF(B2316="","",IF(B2315&lt;'02_Eingaben'!$C$36,0,J2315+I2315/'02_Eingaben'!$C$8))</f>
        <v/>
      </c>
    </row>
    <row r="2317">
      <c r="A2317">
        <f>IF('01_Rohdaten'!A2317="","",ROW()-1)</f>
        <v/>
      </c>
      <c r="B2317" s="27">
        <f>IF('01_Rohdaten'!A2317="","",'01_Rohdaten'!A2317)</f>
        <v/>
      </c>
      <c r="C2317" s="27">
        <f>IF(B2317="","",INDEX('01_Rohdaten'!B2317:D2317,'02_Eingaben'!$C$13))</f>
        <v/>
      </c>
      <c r="D2317" s="27">
        <f>IF(C2317="","",C2317*'02_Eingaben'!$C$15)</f>
        <v/>
      </c>
      <c r="E2317" s="27">
        <f>IF(D2317="","",D2317*'02_Eingaben'!$C$8)</f>
        <v/>
      </c>
      <c r="F2317" s="27">
        <f>IF(E2317="","",AVERAGE(INDEX($E$2:$E$3001,MAX(1,ROW()-1-'02_Eingaben'!$C$17)):INDEX($E$2:$E$3001,MIN('02_Eingaben'!$C$21,ROW()-1+'02_Eingaben'!$C$17))))</f>
        <v/>
      </c>
      <c r="G2317" s="27">
        <f>IF(F2317="","",F2317-'02_Eingaben'!$C$10)</f>
        <v/>
      </c>
      <c r="H2317">
        <f>IF(F2317="","",IF(F2317&lt;'02_Eingaben'!$C$18*'02_Eingaben'!$C$10,1,0))</f>
        <v/>
      </c>
      <c r="I2317" s="27">
        <f>IF(OR(G2317="",G2318=""),"",(G2317+G2318)/2*(B2318-B2317))</f>
        <v/>
      </c>
      <c r="J2317" s="27">
        <f>IF(B2317="","",IF(B2316&lt;'02_Eingaben'!$C$36,0,J2316+I2316/'02_Eingaben'!$C$8))</f>
        <v/>
      </c>
    </row>
    <row r="2318">
      <c r="A2318">
        <f>IF('01_Rohdaten'!A2318="","",ROW()-1)</f>
        <v/>
      </c>
      <c r="B2318" s="27">
        <f>IF('01_Rohdaten'!A2318="","",'01_Rohdaten'!A2318)</f>
        <v/>
      </c>
      <c r="C2318" s="27">
        <f>IF(B2318="","",INDEX('01_Rohdaten'!B2318:D2318,'02_Eingaben'!$C$13))</f>
        <v/>
      </c>
      <c r="D2318" s="27">
        <f>IF(C2318="","",C2318*'02_Eingaben'!$C$15)</f>
        <v/>
      </c>
      <c r="E2318" s="27">
        <f>IF(D2318="","",D2318*'02_Eingaben'!$C$8)</f>
        <v/>
      </c>
      <c r="F2318" s="27">
        <f>IF(E2318="","",AVERAGE(INDEX($E$2:$E$3001,MAX(1,ROW()-1-'02_Eingaben'!$C$17)):INDEX($E$2:$E$3001,MIN('02_Eingaben'!$C$21,ROW()-1+'02_Eingaben'!$C$17))))</f>
        <v/>
      </c>
      <c r="G2318" s="27">
        <f>IF(F2318="","",F2318-'02_Eingaben'!$C$10)</f>
        <v/>
      </c>
      <c r="H2318">
        <f>IF(F2318="","",IF(F2318&lt;'02_Eingaben'!$C$18*'02_Eingaben'!$C$10,1,0))</f>
        <v/>
      </c>
      <c r="I2318" s="27">
        <f>IF(OR(G2318="",G2319=""),"",(G2318+G2319)/2*(B2319-B2318))</f>
        <v/>
      </c>
      <c r="J2318" s="27">
        <f>IF(B2318="","",IF(B2317&lt;'02_Eingaben'!$C$36,0,J2317+I2317/'02_Eingaben'!$C$8))</f>
        <v/>
      </c>
    </row>
    <row r="2319">
      <c r="A2319">
        <f>IF('01_Rohdaten'!A2319="","",ROW()-1)</f>
        <v/>
      </c>
      <c r="B2319" s="27">
        <f>IF('01_Rohdaten'!A2319="","",'01_Rohdaten'!A2319)</f>
        <v/>
      </c>
      <c r="C2319" s="27">
        <f>IF(B2319="","",INDEX('01_Rohdaten'!B2319:D2319,'02_Eingaben'!$C$13))</f>
        <v/>
      </c>
      <c r="D2319" s="27">
        <f>IF(C2319="","",C2319*'02_Eingaben'!$C$15)</f>
        <v/>
      </c>
      <c r="E2319" s="27">
        <f>IF(D2319="","",D2319*'02_Eingaben'!$C$8)</f>
        <v/>
      </c>
      <c r="F2319" s="27">
        <f>IF(E2319="","",AVERAGE(INDEX($E$2:$E$3001,MAX(1,ROW()-1-'02_Eingaben'!$C$17)):INDEX($E$2:$E$3001,MIN('02_Eingaben'!$C$21,ROW()-1+'02_Eingaben'!$C$17))))</f>
        <v/>
      </c>
      <c r="G2319" s="27">
        <f>IF(F2319="","",F2319-'02_Eingaben'!$C$10)</f>
        <v/>
      </c>
      <c r="H2319">
        <f>IF(F2319="","",IF(F2319&lt;'02_Eingaben'!$C$18*'02_Eingaben'!$C$10,1,0))</f>
        <v/>
      </c>
      <c r="I2319" s="27">
        <f>IF(OR(G2319="",G2320=""),"",(G2319+G2320)/2*(B2320-B2319))</f>
        <v/>
      </c>
      <c r="J2319" s="27">
        <f>IF(B2319="","",IF(B2318&lt;'02_Eingaben'!$C$36,0,J2318+I2318/'02_Eingaben'!$C$8))</f>
        <v/>
      </c>
    </row>
    <row r="2320">
      <c r="A2320">
        <f>IF('01_Rohdaten'!A2320="","",ROW()-1)</f>
        <v/>
      </c>
      <c r="B2320" s="27">
        <f>IF('01_Rohdaten'!A2320="","",'01_Rohdaten'!A2320)</f>
        <v/>
      </c>
      <c r="C2320" s="27">
        <f>IF(B2320="","",INDEX('01_Rohdaten'!B2320:D2320,'02_Eingaben'!$C$13))</f>
        <v/>
      </c>
      <c r="D2320" s="27">
        <f>IF(C2320="","",C2320*'02_Eingaben'!$C$15)</f>
        <v/>
      </c>
      <c r="E2320" s="27">
        <f>IF(D2320="","",D2320*'02_Eingaben'!$C$8)</f>
        <v/>
      </c>
      <c r="F2320" s="27">
        <f>IF(E2320="","",AVERAGE(INDEX($E$2:$E$3001,MAX(1,ROW()-1-'02_Eingaben'!$C$17)):INDEX($E$2:$E$3001,MIN('02_Eingaben'!$C$21,ROW()-1+'02_Eingaben'!$C$17))))</f>
        <v/>
      </c>
      <c r="G2320" s="27">
        <f>IF(F2320="","",F2320-'02_Eingaben'!$C$10)</f>
        <v/>
      </c>
      <c r="H2320">
        <f>IF(F2320="","",IF(F2320&lt;'02_Eingaben'!$C$18*'02_Eingaben'!$C$10,1,0))</f>
        <v/>
      </c>
      <c r="I2320" s="27">
        <f>IF(OR(G2320="",G2321=""),"",(G2320+G2321)/2*(B2321-B2320))</f>
        <v/>
      </c>
      <c r="J2320" s="27">
        <f>IF(B2320="","",IF(B2319&lt;'02_Eingaben'!$C$36,0,J2319+I2319/'02_Eingaben'!$C$8))</f>
        <v/>
      </c>
    </row>
    <row r="2321">
      <c r="A2321">
        <f>IF('01_Rohdaten'!A2321="","",ROW()-1)</f>
        <v/>
      </c>
      <c r="B2321" s="27">
        <f>IF('01_Rohdaten'!A2321="","",'01_Rohdaten'!A2321)</f>
        <v/>
      </c>
      <c r="C2321" s="27">
        <f>IF(B2321="","",INDEX('01_Rohdaten'!B2321:D2321,'02_Eingaben'!$C$13))</f>
        <v/>
      </c>
      <c r="D2321" s="27">
        <f>IF(C2321="","",C2321*'02_Eingaben'!$C$15)</f>
        <v/>
      </c>
      <c r="E2321" s="27">
        <f>IF(D2321="","",D2321*'02_Eingaben'!$C$8)</f>
        <v/>
      </c>
      <c r="F2321" s="27">
        <f>IF(E2321="","",AVERAGE(INDEX($E$2:$E$3001,MAX(1,ROW()-1-'02_Eingaben'!$C$17)):INDEX($E$2:$E$3001,MIN('02_Eingaben'!$C$21,ROW()-1+'02_Eingaben'!$C$17))))</f>
        <v/>
      </c>
      <c r="G2321" s="27">
        <f>IF(F2321="","",F2321-'02_Eingaben'!$C$10)</f>
        <v/>
      </c>
      <c r="H2321">
        <f>IF(F2321="","",IF(F2321&lt;'02_Eingaben'!$C$18*'02_Eingaben'!$C$10,1,0))</f>
        <v/>
      </c>
      <c r="I2321" s="27">
        <f>IF(OR(G2321="",G2322=""),"",(G2321+G2322)/2*(B2322-B2321))</f>
        <v/>
      </c>
      <c r="J2321" s="27">
        <f>IF(B2321="","",IF(B2320&lt;'02_Eingaben'!$C$36,0,J2320+I2320/'02_Eingaben'!$C$8))</f>
        <v/>
      </c>
    </row>
    <row r="2322">
      <c r="A2322">
        <f>IF('01_Rohdaten'!A2322="","",ROW()-1)</f>
        <v/>
      </c>
      <c r="B2322" s="27">
        <f>IF('01_Rohdaten'!A2322="","",'01_Rohdaten'!A2322)</f>
        <v/>
      </c>
      <c r="C2322" s="27">
        <f>IF(B2322="","",INDEX('01_Rohdaten'!B2322:D2322,'02_Eingaben'!$C$13))</f>
        <v/>
      </c>
      <c r="D2322" s="27">
        <f>IF(C2322="","",C2322*'02_Eingaben'!$C$15)</f>
        <v/>
      </c>
      <c r="E2322" s="27">
        <f>IF(D2322="","",D2322*'02_Eingaben'!$C$8)</f>
        <v/>
      </c>
      <c r="F2322" s="27">
        <f>IF(E2322="","",AVERAGE(INDEX($E$2:$E$3001,MAX(1,ROW()-1-'02_Eingaben'!$C$17)):INDEX($E$2:$E$3001,MIN('02_Eingaben'!$C$21,ROW()-1+'02_Eingaben'!$C$17))))</f>
        <v/>
      </c>
      <c r="G2322" s="27">
        <f>IF(F2322="","",F2322-'02_Eingaben'!$C$10)</f>
        <v/>
      </c>
      <c r="H2322">
        <f>IF(F2322="","",IF(F2322&lt;'02_Eingaben'!$C$18*'02_Eingaben'!$C$10,1,0))</f>
        <v/>
      </c>
      <c r="I2322" s="27">
        <f>IF(OR(G2322="",G2323=""),"",(G2322+G2323)/2*(B2323-B2322))</f>
        <v/>
      </c>
      <c r="J2322" s="27">
        <f>IF(B2322="","",IF(B2321&lt;'02_Eingaben'!$C$36,0,J2321+I2321/'02_Eingaben'!$C$8))</f>
        <v/>
      </c>
    </row>
    <row r="2323">
      <c r="A2323">
        <f>IF('01_Rohdaten'!A2323="","",ROW()-1)</f>
        <v/>
      </c>
      <c r="B2323" s="27">
        <f>IF('01_Rohdaten'!A2323="","",'01_Rohdaten'!A2323)</f>
        <v/>
      </c>
      <c r="C2323" s="27">
        <f>IF(B2323="","",INDEX('01_Rohdaten'!B2323:D2323,'02_Eingaben'!$C$13))</f>
        <v/>
      </c>
      <c r="D2323" s="27">
        <f>IF(C2323="","",C2323*'02_Eingaben'!$C$15)</f>
        <v/>
      </c>
      <c r="E2323" s="27">
        <f>IF(D2323="","",D2323*'02_Eingaben'!$C$8)</f>
        <v/>
      </c>
      <c r="F2323" s="27">
        <f>IF(E2323="","",AVERAGE(INDEX($E$2:$E$3001,MAX(1,ROW()-1-'02_Eingaben'!$C$17)):INDEX($E$2:$E$3001,MIN('02_Eingaben'!$C$21,ROW()-1+'02_Eingaben'!$C$17))))</f>
        <v/>
      </c>
      <c r="G2323" s="27">
        <f>IF(F2323="","",F2323-'02_Eingaben'!$C$10)</f>
        <v/>
      </c>
      <c r="H2323">
        <f>IF(F2323="","",IF(F2323&lt;'02_Eingaben'!$C$18*'02_Eingaben'!$C$10,1,0))</f>
        <v/>
      </c>
      <c r="I2323" s="27">
        <f>IF(OR(G2323="",G2324=""),"",(G2323+G2324)/2*(B2324-B2323))</f>
        <v/>
      </c>
      <c r="J2323" s="27">
        <f>IF(B2323="","",IF(B2322&lt;'02_Eingaben'!$C$36,0,J2322+I2322/'02_Eingaben'!$C$8))</f>
        <v/>
      </c>
    </row>
    <row r="2324">
      <c r="A2324">
        <f>IF('01_Rohdaten'!A2324="","",ROW()-1)</f>
        <v/>
      </c>
      <c r="B2324" s="27">
        <f>IF('01_Rohdaten'!A2324="","",'01_Rohdaten'!A2324)</f>
        <v/>
      </c>
      <c r="C2324" s="27">
        <f>IF(B2324="","",INDEX('01_Rohdaten'!B2324:D2324,'02_Eingaben'!$C$13))</f>
        <v/>
      </c>
      <c r="D2324" s="27">
        <f>IF(C2324="","",C2324*'02_Eingaben'!$C$15)</f>
        <v/>
      </c>
      <c r="E2324" s="27">
        <f>IF(D2324="","",D2324*'02_Eingaben'!$C$8)</f>
        <v/>
      </c>
      <c r="F2324" s="27">
        <f>IF(E2324="","",AVERAGE(INDEX($E$2:$E$3001,MAX(1,ROW()-1-'02_Eingaben'!$C$17)):INDEX($E$2:$E$3001,MIN('02_Eingaben'!$C$21,ROW()-1+'02_Eingaben'!$C$17))))</f>
        <v/>
      </c>
      <c r="G2324" s="27">
        <f>IF(F2324="","",F2324-'02_Eingaben'!$C$10)</f>
        <v/>
      </c>
      <c r="H2324">
        <f>IF(F2324="","",IF(F2324&lt;'02_Eingaben'!$C$18*'02_Eingaben'!$C$10,1,0))</f>
        <v/>
      </c>
      <c r="I2324" s="27">
        <f>IF(OR(G2324="",G2325=""),"",(G2324+G2325)/2*(B2325-B2324))</f>
        <v/>
      </c>
      <c r="J2324" s="27">
        <f>IF(B2324="","",IF(B2323&lt;'02_Eingaben'!$C$36,0,J2323+I2323/'02_Eingaben'!$C$8))</f>
        <v/>
      </c>
    </row>
    <row r="2325">
      <c r="A2325">
        <f>IF('01_Rohdaten'!A2325="","",ROW()-1)</f>
        <v/>
      </c>
      <c r="B2325" s="27">
        <f>IF('01_Rohdaten'!A2325="","",'01_Rohdaten'!A2325)</f>
        <v/>
      </c>
      <c r="C2325" s="27">
        <f>IF(B2325="","",INDEX('01_Rohdaten'!B2325:D2325,'02_Eingaben'!$C$13))</f>
        <v/>
      </c>
      <c r="D2325" s="27">
        <f>IF(C2325="","",C2325*'02_Eingaben'!$C$15)</f>
        <v/>
      </c>
      <c r="E2325" s="27">
        <f>IF(D2325="","",D2325*'02_Eingaben'!$C$8)</f>
        <v/>
      </c>
      <c r="F2325" s="27">
        <f>IF(E2325="","",AVERAGE(INDEX($E$2:$E$3001,MAX(1,ROW()-1-'02_Eingaben'!$C$17)):INDEX($E$2:$E$3001,MIN('02_Eingaben'!$C$21,ROW()-1+'02_Eingaben'!$C$17))))</f>
        <v/>
      </c>
      <c r="G2325" s="27">
        <f>IF(F2325="","",F2325-'02_Eingaben'!$C$10)</f>
        <v/>
      </c>
      <c r="H2325">
        <f>IF(F2325="","",IF(F2325&lt;'02_Eingaben'!$C$18*'02_Eingaben'!$C$10,1,0))</f>
        <v/>
      </c>
      <c r="I2325" s="27">
        <f>IF(OR(G2325="",G2326=""),"",(G2325+G2326)/2*(B2326-B2325))</f>
        <v/>
      </c>
      <c r="J2325" s="27">
        <f>IF(B2325="","",IF(B2324&lt;'02_Eingaben'!$C$36,0,J2324+I2324/'02_Eingaben'!$C$8))</f>
        <v/>
      </c>
    </row>
    <row r="2326">
      <c r="A2326">
        <f>IF('01_Rohdaten'!A2326="","",ROW()-1)</f>
        <v/>
      </c>
      <c r="B2326" s="27">
        <f>IF('01_Rohdaten'!A2326="","",'01_Rohdaten'!A2326)</f>
        <v/>
      </c>
      <c r="C2326" s="27">
        <f>IF(B2326="","",INDEX('01_Rohdaten'!B2326:D2326,'02_Eingaben'!$C$13))</f>
        <v/>
      </c>
      <c r="D2326" s="27">
        <f>IF(C2326="","",C2326*'02_Eingaben'!$C$15)</f>
        <v/>
      </c>
      <c r="E2326" s="27">
        <f>IF(D2326="","",D2326*'02_Eingaben'!$C$8)</f>
        <v/>
      </c>
      <c r="F2326" s="27">
        <f>IF(E2326="","",AVERAGE(INDEX($E$2:$E$3001,MAX(1,ROW()-1-'02_Eingaben'!$C$17)):INDEX($E$2:$E$3001,MIN('02_Eingaben'!$C$21,ROW()-1+'02_Eingaben'!$C$17))))</f>
        <v/>
      </c>
      <c r="G2326" s="27">
        <f>IF(F2326="","",F2326-'02_Eingaben'!$C$10)</f>
        <v/>
      </c>
      <c r="H2326">
        <f>IF(F2326="","",IF(F2326&lt;'02_Eingaben'!$C$18*'02_Eingaben'!$C$10,1,0))</f>
        <v/>
      </c>
      <c r="I2326" s="27">
        <f>IF(OR(G2326="",G2327=""),"",(G2326+G2327)/2*(B2327-B2326))</f>
        <v/>
      </c>
      <c r="J2326" s="27">
        <f>IF(B2326="","",IF(B2325&lt;'02_Eingaben'!$C$36,0,J2325+I2325/'02_Eingaben'!$C$8))</f>
        <v/>
      </c>
    </row>
    <row r="2327">
      <c r="A2327">
        <f>IF('01_Rohdaten'!A2327="","",ROW()-1)</f>
        <v/>
      </c>
      <c r="B2327" s="27">
        <f>IF('01_Rohdaten'!A2327="","",'01_Rohdaten'!A2327)</f>
        <v/>
      </c>
      <c r="C2327" s="27">
        <f>IF(B2327="","",INDEX('01_Rohdaten'!B2327:D2327,'02_Eingaben'!$C$13))</f>
        <v/>
      </c>
      <c r="D2327" s="27">
        <f>IF(C2327="","",C2327*'02_Eingaben'!$C$15)</f>
        <v/>
      </c>
      <c r="E2327" s="27">
        <f>IF(D2327="","",D2327*'02_Eingaben'!$C$8)</f>
        <v/>
      </c>
      <c r="F2327" s="27">
        <f>IF(E2327="","",AVERAGE(INDEX($E$2:$E$3001,MAX(1,ROW()-1-'02_Eingaben'!$C$17)):INDEX($E$2:$E$3001,MIN('02_Eingaben'!$C$21,ROW()-1+'02_Eingaben'!$C$17))))</f>
        <v/>
      </c>
      <c r="G2327" s="27">
        <f>IF(F2327="","",F2327-'02_Eingaben'!$C$10)</f>
        <v/>
      </c>
      <c r="H2327">
        <f>IF(F2327="","",IF(F2327&lt;'02_Eingaben'!$C$18*'02_Eingaben'!$C$10,1,0))</f>
        <v/>
      </c>
      <c r="I2327" s="27">
        <f>IF(OR(G2327="",G2328=""),"",(G2327+G2328)/2*(B2328-B2327))</f>
        <v/>
      </c>
      <c r="J2327" s="27">
        <f>IF(B2327="","",IF(B2326&lt;'02_Eingaben'!$C$36,0,J2326+I2326/'02_Eingaben'!$C$8))</f>
        <v/>
      </c>
    </row>
    <row r="2328">
      <c r="A2328">
        <f>IF('01_Rohdaten'!A2328="","",ROW()-1)</f>
        <v/>
      </c>
      <c r="B2328" s="27">
        <f>IF('01_Rohdaten'!A2328="","",'01_Rohdaten'!A2328)</f>
        <v/>
      </c>
      <c r="C2328" s="27">
        <f>IF(B2328="","",INDEX('01_Rohdaten'!B2328:D2328,'02_Eingaben'!$C$13))</f>
        <v/>
      </c>
      <c r="D2328" s="27">
        <f>IF(C2328="","",C2328*'02_Eingaben'!$C$15)</f>
        <v/>
      </c>
      <c r="E2328" s="27">
        <f>IF(D2328="","",D2328*'02_Eingaben'!$C$8)</f>
        <v/>
      </c>
      <c r="F2328" s="27">
        <f>IF(E2328="","",AVERAGE(INDEX($E$2:$E$3001,MAX(1,ROW()-1-'02_Eingaben'!$C$17)):INDEX($E$2:$E$3001,MIN('02_Eingaben'!$C$21,ROW()-1+'02_Eingaben'!$C$17))))</f>
        <v/>
      </c>
      <c r="G2328" s="27">
        <f>IF(F2328="","",F2328-'02_Eingaben'!$C$10)</f>
        <v/>
      </c>
      <c r="H2328">
        <f>IF(F2328="","",IF(F2328&lt;'02_Eingaben'!$C$18*'02_Eingaben'!$C$10,1,0))</f>
        <v/>
      </c>
      <c r="I2328" s="27">
        <f>IF(OR(G2328="",G2329=""),"",(G2328+G2329)/2*(B2329-B2328))</f>
        <v/>
      </c>
      <c r="J2328" s="27">
        <f>IF(B2328="","",IF(B2327&lt;'02_Eingaben'!$C$36,0,J2327+I2327/'02_Eingaben'!$C$8))</f>
        <v/>
      </c>
    </row>
    <row r="2329">
      <c r="A2329">
        <f>IF('01_Rohdaten'!A2329="","",ROW()-1)</f>
        <v/>
      </c>
      <c r="B2329" s="27">
        <f>IF('01_Rohdaten'!A2329="","",'01_Rohdaten'!A2329)</f>
        <v/>
      </c>
      <c r="C2329" s="27">
        <f>IF(B2329="","",INDEX('01_Rohdaten'!B2329:D2329,'02_Eingaben'!$C$13))</f>
        <v/>
      </c>
      <c r="D2329" s="27">
        <f>IF(C2329="","",C2329*'02_Eingaben'!$C$15)</f>
        <v/>
      </c>
      <c r="E2329" s="27">
        <f>IF(D2329="","",D2329*'02_Eingaben'!$C$8)</f>
        <v/>
      </c>
      <c r="F2329" s="27">
        <f>IF(E2329="","",AVERAGE(INDEX($E$2:$E$3001,MAX(1,ROW()-1-'02_Eingaben'!$C$17)):INDEX($E$2:$E$3001,MIN('02_Eingaben'!$C$21,ROW()-1+'02_Eingaben'!$C$17))))</f>
        <v/>
      </c>
      <c r="G2329" s="27">
        <f>IF(F2329="","",F2329-'02_Eingaben'!$C$10)</f>
        <v/>
      </c>
      <c r="H2329">
        <f>IF(F2329="","",IF(F2329&lt;'02_Eingaben'!$C$18*'02_Eingaben'!$C$10,1,0))</f>
        <v/>
      </c>
      <c r="I2329" s="27">
        <f>IF(OR(G2329="",G2330=""),"",(G2329+G2330)/2*(B2330-B2329))</f>
        <v/>
      </c>
      <c r="J2329" s="27">
        <f>IF(B2329="","",IF(B2328&lt;'02_Eingaben'!$C$36,0,J2328+I2328/'02_Eingaben'!$C$8))</f>
        <v/>
      </c>
    </row>
    <row r="2330">
      <c r="A2330">
        <f>IF('01_Rohdaten'!A2330="","",ROW()-1)</f>
        <v/>
      </c>
      <c r="B2330" s="27">
        <f>IF('01_Rohdaten'!A2330="","",'01_Rohdaten'!A2330)</f>
        <v/>
      </c>
      <c r="C2330" s="27">
        <f>IF(B2330="","",INDEX('01_Rohdaten'!B2330:D2330,'02_Eingaben'!$C$13))</f>
        <v/>
      </c>
      <c r="D2330" s="27">
        <f>IF(C2330="","",C2330*'02_Eingaben'!$C$15)</f>
        <v/>
      </c>
      <c r="E2330" s="27">
        <f>IF(D2330="","",D2330*'02_Eingaben'!$C$8)</f>
        <v/>
      </c>
      <c r="F2330" s="27">
        <f>IF(E2330="","",AVERAGE(INDEX($E$2:$E$3001,MAX(1,ROW()-1-'02_Eingaben'!$C$17)):INDEX($E$2:$E$3001,MIN('02_Eingaben'!$C$21,ROW()-1+'02_Eingaben'!$C$17))))</f>
        <v/>
      </c>
      <c r="G2330" s="27">
        <f>IF(F2330="","",F2330-'02_Eingaben'!$C$10)</f>
        <v/>
      </c>
      <c r="H2330">
        <f>IF(F2330="","",IF(F2330&lt;'02_Eingaben'!$C$18*'02_Eingaben'!$C$10,1,0))</f>
        <v/>
      </c>
      <c r="I2330" s="27">
        <f>IF(OR(G2330="",G2331=""),"",(G2330+G2331)/2*(B2331-B2330))</f>
        <v/>
      </c>
      <c r="J2330" s="27">
        <f>IF(B2330="","",IF(B2329&lt;'02_Eingaben'!$C$36,0,J2329+I2329/'02_Eingaben'!$C$8))</f>
        <v/>
      </c>
    </row>
    <row r="2331">
      <c r="A2331">
        <f>IF('01_Rohdaten'!A2331="","",ROW()-1)</f>
        <v/>
      </c>
      <c r="B2331" s="27">
        <f>IF('01_Rohdaten'!A2331="","",'01_Rohdaten'!A2331)</f>
        <v/>
      </c>
      <c r="C2331" s="27">
        <f>IF(B2331="","",INDEX('01_Rohdaten'!B2331:D2331,'02_Eingaben'!$C$13))</f>
        <v/>
      </c>
      <c r="D2331" s="27">
        <f>IF(C2331="","",C2331*'02_Eingaben'!$C$15)</f>
        <v/>
      </c>
      <c r="E2331" s="27">
        <f>IF(D2331="","",D2331*'02_Eingaben'!$C$8)</f>
        <v/>
      </c>
      <c r="F2331" s="27">
        <f>IF(E2331="","",AVERAGE(INDEX($E$2:$E$3001,MAX(1,ROW()-1-'02_Eingaben'!$C$17)):INDEX($E$2:$E$3001,MIN('02_Eingaben'!$C$21,ROW()-1+'02_Eingaben'!$C$17))))</f>
        <v/>
      </c>
      <c r="G2331" s="27">
        <f>IF(F2331="","",F2331-'02_Eingaben'!$C$10)</f>
        <v/>
      </c>
      <c r="H2331">
        <f>IF(F2331="","",IF(F2331&lt;'02_Eingaben'!$C$18*'02_Eingaben'!$C$10,1,0))</f>
        <v/>
      </c>
      <c r="I2331" s="27">
        <f>IF(OR(G2331="",G2332=""),"",(G2331+G2332)/2*(B2332-B2331))</f>
        <v/>
      </c>
      <c r="J2331" s="27">
        <f>IF(B2331="","",IF(B2330&lt;'02_Eingaben'!$C$36,0,J2330+I2330/'02_Eingaben'!$C$8))</f>
        <v/>
      </c>
    </row>
    <row r="2332">
      <c r="A2332">
        <f>IF('01_Rohdaten'!A2332="","",ROW()-1)</f>
        <v/>
      </c>
      <c r="B2332" s="27">
        <f>IF('01_Rohdaten'!A2332="","",'01_Rohdaten'!A2332)</f>
        <v/>
      </c>
      <c r="C2332" s="27">
        <f>IF(B2332="","",INDEX('01_Rohdaten'!B2332:D2332,'02_Eingaben'!$C$13))</f>
        <v/>
      </c>
      <c r="D2332" s="27">
        <f>IF(C2332="","",C2332*'02_Eingaben'!$C$15)</f>
        <v/>
      </c>
      <c r="E2332" s="27">
        <f>IF(D2332="","",D2332*'02_Eingaben'!$C$8)</f>
        <v/>
      </c>
      <c r="F2332" s="27">
        <f>IF(E2332="","",AVERAGE(INDEX($E$2:$E$3001,MAX(1,ROW()-1-'02_Eingaben'!$C$17)):INDEX($E$2:$E$3001,MIN('02_Eingaben'!$C$21,ROW()-1+'02_Eingaben'!$C$17))))</f>
        <v/>
      </c>
      <c r="G2332" s="27">
        <f>IF(F2332="","",F2332-'02_Eingaben'!$C$10)</f>
        <v/>
      </c>
      <c r="H2332">
        <f>IF(F2332="","",IF(F2332&lt;'02_Eingaben'!$C$18*'02_Eingaben'!$C$10,1,0))</f>
        <v/>
      </c>
      <c r="I2332" s="27">
        <f>IF(OR(G2332="",G2333=""),"",(G2332+G2333)/2*(B2333-B2332))</f>
        <v/>
      </c>
      <c r="J2332" s="27">
        <f>IF(B2332="","",IF(B2331&lt;'02_Eingaben'!$C$36,0,J2331+I2331/'02_Eingaben'!$C$8))</f>
        <v/>
      </c>
    </row>
    <row r="2333">
      <c r="A2333">
        <f>IF('01_Rohdaten'!A2333="","",ROW()-1)</f>
        <v/>
      </c>
      <c r="B2333" s="27">
        <f>IF('01_Rohdaten'!A2333="","",'01_Rohdaten'!A2333)</f>
        <v/>
      </c>
      <c r="C2333" s="27">
        <f>IF(B2333="","",INDEX('01_Rohdaten'!B2333:D2333,'02_Eingaben'!$C$13))</f>
        <v/>
      </c>
      <c r="D2333" s="27">
        <f>IF(C2333="","",C2333*'02_Eingaben'!$C$15)</f>
        <v/>
      </c>
      <c r="E2333" s="27">
        <f>IF(D2333="","",D2333*'02_Eingaben'!$C$8)</f>
        <v/>
      </c>
      <c r="F2333" s="27">
        <f>IF(E2333="","",AVERAGE(INDEX($E$2:$E$3001,MAX(1,ROW()-1-'02_Eingaben'!$C$17)):INDEX($E$2:$E$3001,MIN('02_Eingaben'!$C$21,ROW()-1+'02_Eingaben'!$C$17))))</f>
        <v/>
      </c>
      <c r="G2333" s="27">
        <f>IF(F2333="","",F2333-'02_Eingaben'!$C$10)</f>
        <v/>
      </c>
      <c r="H2333">
        <f>IF(F2333="","",IF(F2333&lt;'02_Eingaben'!$C$18*'02_Eingaben'!$C$10,1,0))</f>
        <v/>
      </c>
      <c r="I2333" s="27">
        <f>IF(OR(G2333="",G2334=""),"",(G2333+G2334)/2*(B2334-B2333))</f>
        <v/>
      </c>
      <c r="J2333" s="27">
        <f>IF(B2333="","",IF(B2332&lt;'02_Eingaben'!$C$36,0,J2332+I2332/'02_Eingaben'!$C$8))</f>
        <v/>
      </c>
    </row>
    <row r="2334">
      <c r="A2334">
        <f>IF('01_Rohdaten'!A2334="","",ROW()-1)</f>
        <v/>
      </c>
      <c r="B2334" s="27">
        <f>IF('01_Rohdaten'!A2334="","",'01_Rohdaten'!A2334)</f>
        <v/>
      </c>
      <c r="C2334" s="27">
        <f>IF(B2334="","",INDEX('01_Rohdaten'!B2334:D2334,'02_Eingaben'!$C$13))</f>
        <v/>
      </c>
      <c r="D2334" s="27">
        <f>IF(C2334="","",C2334*'02_Eingaben'!$C$15)</f>
        <v/>
      </c>
      <c r="E2334" s="27">
        <f>IF(D2334="","",D2334*'02_Eingaben'!$C$8)</f>
        <v/>
      </c>
      <c r="F2334" s="27">
        <f>IF(E2334="","",AVERAGE(INDEX($E$2:$E$3001,MAX(1,ROW()-1-'02_Eingaben'!$C$17)):INDEX($E$2:$E$3001,MIN('02_Eingaben'!$C$21,ROW()-1+'02_Eingaben'!$C$17))))</f>
        <v/>
      </c>
      <c r="G2334" s="27">
        <f>IF(F2334="","",F2334-'02_Eingaben'!$C$10)</f>
        <v/>
      </c>
      <c r="H2334">
        <f>IF(F2334="","",IF(F2334&lt;'02_Eingaben'!$C$18*'02_Eingaben'!$C$10,1,0))</f>
        <v/>
      </c>
      <c r="I2334" s="27">
        <f>IF(OR(G2334="",G2335=""),"",(G2334+G2335)/2*(B2335-B2334))</f>
        <v/>
      </c>
      <c r="J2334" s="27">
        <f>IF(B2334="","",IF(B2333&lt;'02_Eingaben'!$C$36,0,J2333+I2333/'02_Eingaben'!$C$8))</f>
        <v/>
      </c>
    </row>
    <row r="2335">
      <c r="A2335">
        <f>IF('01_Rohdaten'!A2335="","",ROW()-1)</f>
        <v/>
      </c>
      <c r="B2335" s="27">
        <f>IF('01_Rohdaten'!A2335="","",'01_Rohdaten'!A2335)</f>
        <v/>
      </c>
      <c r="C2335" s="27">
        <f>IF(B2335="","",INDEX('01_Rohdaten'!B2335:D2335,'02_Eingaben'!$C$13))</f>
        <v/>
      </c>
      <c r="D2335" s="27">
        <f>IF(C2335="","",C2335*'02_Eingaben'!$C$15)</f>
        <v/>
      </c>
      <c r="E2335" s="27">
        <f>IF(D2335="","",D2335*'02_Eingaben'!$C$8)</f>
        <v/>
      </c>
      <c r="F2335" s="27">
        <f>IF(E2335="","",AVERAGE(INDEX($E$2:$E$3001,MAX(1,ROW()-1-'02_Eingaben'!$C$17)):INDEX($E$2:$E$3001,MIN('02_Eingaben'!$C$21,ROW()-1+'02_Eingaben'!$C$17))))</f>
        <v/>
      </c>
      <c r="G2335" s="27">
        <f>IF(F2335="","",F2335-'02_Eingaben'!$C$10)</f>
        <v/>
      </c>
      <c r="H2335">
        <f>IF(F2335="","",IF(F2335&lt;'02_Eingaben'!$C$18*'02_Eingaben'!$C$10,1,0))</f>
        <v/>
      </c>
      <c r="I2335" s="27">
        <f>IF(OR(G2335="",G2336=""),"",(G2335+G2336)/2*(B2336-B2335))</f>
        <v/>
      </c>
      <c r="J2335" s="27">
        <f>IF(B2335="","",IF(B2334&lt;'02_Eingaben'!$C$36,0,J2334+I2334/'02_Eingaben'!$C$8))</f>
        <v/>
      </c>
    </row>
    <row r="2336">
      <c r="A2336">
        <f>IF('01_Rohdaten'!A2336="","",ROW()-1)</f>
        <v/>
      </c>
      <c r="B2336" s="27">
        <f>IF('01_Rohdaten'!A2336="","",'01_Rohdaten'!A2336)</f>
        <v/>
      </c>
      <c r="C2336" s="27">
        <f>IF(B2336="","",INDEX('01_Rohdaten'!B2336:D2336,'02_Eingaben'!$C$13))</f>
        <v/>
      </c>
      <c r="D2336" s="27">
        <f>IF(C2336="","",C2336*'02_Eingaben'!$C$15)</f>
        <v/>
      </c>
      <c r="E2336" s="27">
        <f>IF(D2336="","",D2336*'02_Eingaben'!$C$8)</f>
        <v/>
      </c>
      <c r="F2336" s="27">
        <f>IF(E2336="","",AVERAGE(INDEX($E$2:$E$3001,MAX(1,ROW()-1-'02_Eingaben'!$C$17)):INDEX($E$2:$E$3001,MIN('02_Eingaben'!$C$21,ROW()-1+'02_Eingaben'!$C$17))))</f>
        <v/>
      </c>
      <c r="G2336" s="27">
        <f>IF(F2336="","",F2336-'02_Eingaben'!$C$10)</f>
        <v/>
      </c>
      <c r="H2336">
        <f>IF(F2336="","",IF(F2336&lt;'02_Eingaben'!$C$18*'02_Eingaben'!$C$10,1,0))</f>
        <v/>
      </c>
      <c r="I2336" s="27">
        <f>IF(OR(G2336="",G2337=""),"",(G2336+G2337)/2*(B2337-B2336))</f>
        <v/>
      </c>
      <c r="J2336" s="27">
        <f>IF(B2336="","",IF(B2335&lt;'02_Eingaben'!$C$36,0,J2335+I2335/'02_Eingaben'!$C$8))</f>
        <v/>
      </c>
    </row>
    <row r="2337">
      <c r="A2337">
        <f>IF('01_Rohdaten'!A2337="","",ROW()-1)</f>
        <v/>
      </c>
      <c r="B2337" s="27">
        <f>IF('01_Rohdaten'!A2337="","",'01_Rohdaten'!A2337)</f>
        <v/>
      </c>
      <c r="C2337" s="27">
        <f>IF(B2337="","",INDEX('01_Rohdaten'!B2337:D2337,'02_Eingaben'!$C$13))</f>
        <v/>
      </c>
      <c r="D2337" s="27">
        <f>IF(C2337="","",C2337*'02_Eingaben'!$C$15)</f>
        <v/>
      </c>
      <c r="E2337" s="27">
        <f>IF(D2337="","",D2337*'02_Eingaben'!$C$8)</f>
        <v/>
      </c>
      <c r="F2337" s="27">
        <f>IF(E2337="","",AVERAGE(INDEX($E$2:$E$3001,MAX(1,ROW()-1-'02_Eingaben'!$C$17)):INDEX($E$2:$E$3001,MIN('02_Eingaben'!$C$21,ROW()-1+'02_Eingaben'!$C$17))))</f>
        <v/>
      </c>
      <c r="G2337" s="27">
        <f>IF(F2337="","",F2337-'02_Eingaben'!$C$10)</f>
        <v/>
      </c>
      <c r="H2337">
        <f>IF(F2337="","",IF(F2337&lt;'02_Eingaben'!$C$18*'02_Eingaben'!$C$10,1,0))</f>
        <v/>
      </c>
      <c r="I2337" s="27">
        <f>IF(OR(G2337="",G2338=""),"",(G2337+G2338)/2*(B2338-B2337))</f>
        <v/>
      </c>
      <c r="J2337" s="27">
        <f>IF(B2337="","",IF(B2336&lt;'02_Eingaben'!$C$36,0,J2336+I2336/'02_Eingaben'!$C$8))</f>
        <v/>
      </c>
    </row>
    <row r="2338">
      <c r="A2338">
        <f>IF('01_Rohdaten'!A2338="","",ROW()-1)</f>
        <v/>
      </c>
      <c r="B2338" s="27">
        <f>IF('01_Rohdaten'!A2338="","",'01_Rohdaten'!A2338)</f>
        <v/>
      </c>
      <c r="C2338" s="27">
        <f>IF(B2338="","",INDEX('01_Rohdaten'!B2338:D2338,'02_Eingaben'!$C$13))</f>
        <v/>
      </c>
      <c r="D2338" s="27">
        <f>IF(C2338="","",C2338*'02_Eingaben'!$C$15)</f>
        <v/>
      </c>
      <c r="E2338" s="27">
        <f>IF(D2338="","",D2338*'02_Eingaben'!$C$8)</f>
        <v/>
      </c>
      <c r="F2338" s="27">
        <f>IF(E2338="","",AVERAGE(INDEX($E$2:$E$3001,MAX(1,ROW()-1-'02_Eingaben'!$C$17)):INDEX($E$2:$E$3001,MIN('02_Eingaben'!$C$21,ROW()-1+'02_Eingaben'!$C$17))))</f>
        <v/>
      </c>
      <c r="G2338" s="27">
        <f>IF(F2338="","",F2338-'02_Eingaben'!$C$10)</f>
        <v/>
      </c>
      <c r="H2338">
        <f>IF(F2338="","",IF(F2338&lt;'02_Eingaben'!$C$18*'02_Eingaben'!$C$10,1,0))</f>
        <v/>
      </c>
      <c r="I2338" s="27">
        <f>IF(OR(G2338="",G2339=""),"",(G2338+G2339)/2*(B2339-B2338))</f>
        <v/>
      </c>
      <c r="J2338" s="27">
        <f>IF(B2338="","",IF(B2337&lt;'02_Eingaben'!$C$36,0,J2337+I2337/'02_Eingaben'!$C$8))</f>
        <v/>
      </c>
    </row>
    <row r="2339">
      <c r="A2339">
        <f>IF('01_Rohdaten'!A2339="","",ROW()-1)</f>
        <v/>
      </c>
      <c r="B2339" s="27">
        <f>IF('01_Rohdaten'!A2339="","",'01_Rohdaten'!A2339)</f>
        <v/>
      </c>
      <c r="C2339" s="27">
        <f>IF(B2339="","",INDEX('01_Rohdaten'!B2339:D2339,'02_Eingaben'!$C$13))</f>
        <v/>
      </c>
      <c r="D2339" s="27">
        <f>IF(C2339="","",C2339*'02_Eingaben'!$C$15)</f>
        <v/>
      </c>
      <c r="E2339" s="27">
        <f>IF(D2339="","",D2339*'02_Eingaben'!$C$8)</f>
        <v/>
      </c>
      <c r="F2339" s="27">
        <f>IF(E2339="","",AVERAGE(INDEX($E$2:$E$3001,MAX(1,ROW()-1-'02_Eingaben'!$C$17)):INDEX($E$2:$E$3001,MIN('02_Eingaben'!$C$21,ROW()-1+'02_Eingaben'!$C$17))))</f>
        <v/>
      </c>
      <c r="G2339" s="27">
        <f>IF(F2339="","",F2339-'02_Eingaben'!$C$10)</f>
        <v/>
      </c>
      <c r="H2339">
        <f>IF(F2339="","",IF(F2339&lt;'02_Eingaben'!$C$18*'02_Eingaben'!$C$10,1,0))</f>
        <v/>
      </c>
      <c r="I2339" s="27">
        <f>IF(OR(G2339="",G2340=""),"",(G2339+G2340)/2*(B2340-B2339))</f>
        <v/>
      </c>
      <c r="J2339" s="27">
        <f>IF(B2339="","",IF(B2338&lt;'02_Eingaben'!$C$36,0,J2338+I2338/'02_Eingaben'!$C$8))</f>
        <v/>
      </c>
    </row>
    <row r="2340">
      <c r="A2340">
        <f>IF('01_Rohdaten'!A2340="","",ROW()-1)</f>
        <v/>
      </c>
      <c r="B2340" s="27">
        <f>IF('01_Rohdaten'!A2340="","",'01_Rohdaten'!A2340)</f>
        <v/>
      </c>
      <c r="C2340" s="27">
        <f>IF(B2340="","",INDEX('01_Rohdaten'!B2340:D2340,'02_Eingaben'!$C$13))</f>
        <v/>
      </c>
      <c r="D2340" s="27">
        <f>IF(C2340="","",C2340*'02_Eingaben'!$C$15)</f>
        <v/>
      </c>
      <c r="E2340" s="27">
        <f>IF(D2340="","",D2340*'02_Eingaben'!$C$8)</f>
        <v/>
      </c>
      <c r="F2340" s="27">
        <f>IF(E2340="","",AVERAGE(INDEX($E$2:$E$3001,MAX(1,ROW()-1-'02_Eingaben'!$C$17)):INDEX($E$2:$E$3001,MIN('02_Eingaben'!$C$21,ROW()-1+'02_Eingaben'!$C$17))))</f>
        <v/>
      </c>
      <c r="G2340" s="27">
        <f>IF(F2340="","",F2340-'02_Eingaben'!$C$10)</f>
        <v/>
      </c>
      <c r="H2340">
        <f>IF(F2340="","",IF(F2340&lt;'02_Eingaben'!$C$18*'02_Eingaben'!$C$10,1,0))</f>
        <v/>
      </c>
      <c r="I2340" s="27">
        <f>IF(OR(G2340="",G2341=""),"",(G2340+G2341)/2*(B2341-B2340))</f>
        <v/>
      </c>
      <c r="J2340" s="27">
        <f>IF(B2340="","",IF(B2339&lt;'02_Eingaben'!$C$36,0,J2339+I2339/'02_Eingaben'!$C$8))</f>
        <v/>
      </c>
    </row>
    <row r="2341">
      <c r="A2341">
        <f>IF('01_Rohdaten'!A2341="","",ROW()-1)</f>
        <v/>
      </c>
      <c r="B2341" s="27">
        <f>IF('01_Rohdaten'!A2341="","",'01_Rohdaten'!A2341)</f>
        <v/>
      </c>
      <c r="C2341" s="27">
        <f>IF(B2341="","",INDEX('01_Rohdaten'!B2341:D2341,'02_Eingaben'!$C$13))</f>
        <v/>
      </c>
      <c r="D2341" s="27">
        <f>IF(C2341="","",C2341*'02_Eingaben'!$C$15)</f>
        <v/>
      </c>
      <c r="E2341" s="27">
        <f>IF(D2341="","",D2341*'02_Eingaben'!$C$8)</f>
        <v/>
      </c>
      <c r="F2341" s="27">
        <f>IF(E2341="","",AVERAGE(INDEX($E$2:$E$3001,MAX(1,ROW()-1-'02_Eingaben'!$C$17)):INDEX($E$2:$E$3001,MIN('02_Eingaben'!$C$21,ROW()-1+'02_Eingaben'!$C$17))))</f>
        <v/>
      </c>
      <c r="G2341" s="27">
        <f>IF(F2341="","",F2341-'02_Eingaben'!$C$10)</f>
        <v/>
      </c>
      <c r="H2341">
        <f>IF(F2341="","",IF(F2341&lt;'02_Eingaben'!$C$18*'02_Eingaben'!$C$10,1,0))</f>
        <v/>
      </c>
      <c r="I2341" s="27">
        <f>IF(OR(G2341="",G2342=""),"",(G2341+G2342)/2*(B2342-B2341))</f>
        <v/>
      </c>
      <c r="J2341" s="27">
        <f>IF(B2341="","",IF(B2340&lt;'02_Eingaben'!$C$36,0,J2340+I2340/'02_Eingaben'!$C$8))</f>
        <v/>
      </c>
    </row>
    <row r="2342">
      <c r="A2342">
        <f>IF('01_Rohdaten'!A2342="","",ROW()-1)</f>
        <v/>
      </c>
      <c r="B2342" s="27">
        <f>IF('01_Rohdaten'!A2342="","",'01_Rohdaten'!A2342)</f>
        <v/>
      </c>
      <c r="C2342" s="27">
        <f>IF(B2342="","",INDEX('01_Rohdaten'!B2342:D2342,'02_Eingaben'!$C$13))</f>
        <v/>
      </c>
      <c r="D2342" s="27">
        <f>IF(C2342="","",C2342*'02_Eingaben'!$C$15)</f>
        <v/>
      </c>
      <c r="E2342" s="27">
        <f>IF(D2342="","",D2342*'02_Eingaben'!$C$8)</f>
        <v/>
      </c>
      <c r="F2342" s="27">
        <f>IF(E2342="","",AVERAGE(INDEX($E$2:$E$3001,MAX(1,ROW()-1-'02_Eingaben'!$C$17)):INDEX($E$2:$E$3001,MIN('02_Eingaben'!$C$21,ROW()-1+'02_Eingaben'!$C$17))))</f>
        <v/>
      </c>
      <c r="G2342" s="27">
        <f>IF(F2342="","",F2342-'02_Eingaben'!$C$10)</f>
        <v/>
      </c>
      <c r="H2342">
        <f>IF(F2342="","",IF(F2342&lt;'02_Eingaben'!$C$18*'02_Eingaben'!$C$10,1,0))</f>
        <v/>
      </c>
      <c r="I2342" s="27">
        <f>IF(OR(G2342="",G2343=""),"",(G2342+G2343)/2*(B2343-B2342))</f>
        <v/>
      </c>
      <c r="J2342" s="27">
        <f>IF(B2342="","",IF(B2341&lt;'02_Eingaben'!$C$36,0,J2341+I2341/'02_Eingaben'!$C$8))</f>
        <v/>
      </c>
    </row>
    <row r="2343">
      <c r="A2343">
        <f>IF('01_Rohdaten'!A2343="","",ROW()-1)</f>
        <v/>
      </c>
      <c r="B2343" s="27">
        <f>IF('01_Rohdaten'!A2343="","",'01_Rohdaten'!A2343)</f>
        <v/>
      </c>
      <c r="C2343" s="27">
        <f>IF(B2343="","",INDEX('01_Rohdaten'!B2343:D2343,'02_Eingaben'!$C$13))</f>
        <v/>
      </c>
      <c r="D2343" s="27">
        <f>IF(C2343="","",C2343*'02_Eingaben'!$C$15)</f>
        <v/>
      </c>
      <c r="E2343" s="27">
        <f>IF(D2343="","",D2343*'02_Eingaben'!$C$8)</f>
        <v/>
      </c>
      <c r="F2343" s="27">
        <f>IF(E2343="","",AVERAGE(INDEX($E$2:$E$3001,MAX(1,ROW()-1-'02_Eingaben'!$C$17)):INDEX($E$2:$E$3001,MIN('02_Eingaben'!$C$21,ROW()-1+'02_Eingaben'!$C$17))))</f>
        <v/>
      </c>
      <c r="G2343" s="27">
        <f>IF(F2343="","",F2343-'02_Eingaben'!$C$10)</f>
        <v/>
      </c>
      <c r="H2343">
        <f>IF(F2343="","",IF(F2343&lt;'02_Eingaben'!$C$18*'02_Eingaben'!$C$10,1,0))</f>
        <v/>
      </c>
      <c r="I2343" s="27">
        <f>IF(OR(G2343="",G2344=""),"",(G2343+G2344)/2*(B2344-B2343))</f>
        <v/>
      </c>
      <c r="J2343" s="27">
        <f>IF(B2343="","",IF(B2342&lt;'02_Eingaben'!$C$36,0,J2342+I2342/'02_Eingaben'!$C$8))</f>
        <v/>
      </c>
    </row>
    <row r="2344">
      <c r="A2344">
        <f>IF('01_Rohdaten'!A2344="","",ROW()-1)</f>
        <v/>
      </c>
      <c r="B2344" s="27">
        <f>IF('01_Rohdaten'!A2344="","",'01_Rohdaten'!A2344)</f>
        <v/>
      </c>
      <c r="C2344" s="27">
        <f>IF(B2344="","",INDEX('01_Rohdaten'!B2344:D2344,'02_Eingaben'!$C$13))</f>
        <v/>
      </c>
      <c r="D2344" s="27">
        <f>IF(C2344="","",C2344*'02_Eingaben'!$C$15)</f>
        <v/>
      </c>
      <c r="E2344" s="27">
        <f>IF(D2344="","",D2344*'02_Eingaben'!$C$8)</f>
        <v/>
      </c>
      <c r="F2344" s="27">
        <f>IF(E2344="","",AVERAGE(INDEX($E$2:$E$3001,MAX(1,ROW()-1-'02_Eingaben'!$C$17)):INDEX($E$2:$E$3001,MIN('02_Eingaben'!$C$21,ROW()-1+'02_Eingaben'!$C$17))))</f>
        <v/>
      </c>
      <c r="G2344" s="27">
        <f>IF(F2344="","",F2344-'02_Eingaben'!$C$10)</f>
        <v/>
      </c>
      <c r="H2344">
        <f>IF(F2344="","",IF(F2344&lt;'02_Eingaben'!$C$18*'02_Eingaben'!$C$10,1,0))</f>
        <v/>
      </c>
      <c r="I2344" s="27">
        <f>IF(OR(G2344="",G2345=""),"",(G2344+G2345)/2*(B2345-B2344))</f>
        <v/>
      </c>
      <c r="J2344" s="27">
        <f>IF(B2344="","",IF(B2343&lt;'02_Eingaben'!$C$36,0,J2343+I2343/'02_Eingaben'!$C$8))</f>
        <v/>
      </c>
    </row>
    <row r="2345">
      <c r="A2345">
        <f>IF('01_Rohdaten'!A2345="","",ROW()-1)</f>
        <v/>
      </c>
      <c r="B2345" s="27">
        <f>IF('01_Rohdaten'!A2345="","",'01_Rohdaten'!A2345)</f>
        <v/>
      </c>
      <c r="C2345" s="27">
        <f>IF(B2345="","",INDEX('01_Rohdaten'!B2345:D2345,'02_Eingaben'!$C$13))</f>
        <v/>
      </c>
      <c r="D2345" s="27">
        <f>IF(C2345="","",C2345*'02_Eingaben'!$C$15)</f>
        <v/>
      </c>
      <c r="E2345" s="27">
        <f>IF(D2345="","",D2345*'02_Eingaben'!$C$8)</f>
        <v/>
      </c>
      <c r="F2345" s="27">
        <f>IF(E2345="","",AVERAGE(INDEX($E$2:$E$3001,MAX(1,ROW()-1-'02_Eingaben'!$C$17)):INDEX($E$2:$E$3001,MIN('02_Eingaben'!$C$21,ROW()-1+'02_Eingaben'!$C$17))))</f>
        <v/>
      </c>
      <c r="G2345" s="27">
        <f>IF(F2345="","",F2345-'02_Eingaben'!$C$10)</f>
        <v/>
      </c>
      <c r="H2345">
        <f>IF(F2345="","",IF(F2345&lt;'02_Eingaben'!$C$18*'02_Eingaben'!$C$10,1,0))</f>
        <v/>
      </c>
      <c r="I2345" s="27">
        <f>IF(OR(G2345="",G2346=""),"",(G2345+G2346)/2*(B2346-B2345))</f>
        <v/>
      </c>
      <c r="J2345" s="27">
        <f>IF(B2345="","",IF(B2344&lt;'02_Eingaben'!$C$36,0,J2344+I2344/'02_Eingaben'!$C$8))</f>
        <v/>
      </c>
    </row>
    <row r="2346">
      <c r="A2346">
        <f>IF('01_Rohdaten'!A2346="","",ROW()-1)</f>
        <v/>
      </c>
      <c r="B2346" s="27">
        <f>IF('01_Rohdaten'!A2346="","",'01_Rohdaten'!A2346)</f>
        <v/>
      </c>
      <c r="C2346" s="27">
        <f>IF(B2346="","",INDEX('01_Rohdaten'!B2346:D2346,'02_Eingaben'!$C$13))</f>
        <v/>
      </c>
      <c r="D2346" s="27">
        <f>IF(C2346="","",C2346*'02_Eingaben'!$C$15)</f>
        <v/>
      </c>
      <c r="E2346" s="27">
        <f>IF(D2346="","",D2346*'02_Eingaben'!$C$8)</f>
        <v/>
      </c>
      <c r="F2346" s="27">
        <f>IF(E2346="","",AVERAGE(INDEX($E$2:$E$3001,MAX(1,ROW()-1-'02_Eingaben'!$C$17)):INDEX($E$2:$E$3001,MIN('02_Eingaben'!$C$21,ROW()-1+'02_Eingaben'!$C$17))))</f>
        <v/>
      </c>
      <c r="G2346" s="27">
        <f>IF(F2346="","",F2346-'02_Eingaben'!$C$10)</f>
        <v/>
      </c>
      <c r="H2346">
        <f>IF(F2346="","",IF(F2346&lt;'02_Eingaben'!$C$18*'02_Eingaben'!$C$10,1,0))</f>
        <v/>
      </c>
      <c r="I2346" s="27">
        <f>IF(OR(G2346="",G2347=""),"",(G2346+G2347)/2*(B2347-B2346))</f>
        <v/>
      </c>
      <c r="J2346" s="27">
        <f>IF(B2346="","",IF(B2345&lt;'02_Eingaben'!$C$36,0,J2345+I2345/'02_Eingaben'!$C$8))</f>
        <v/>
      </c>
    </row>
    <row r="2347">
      <c r="A2347">
        <f>IF('01_Rohdaten'!A2347="","",ROW()-1)</f>
        <v/>
      </c>
      <c r="B2347" s="27">
        <f>IF('01_Rohdaten'!A2347="","",'01_Rohdaten'!A2347)</f>
        <v/>
      </c>
      <c r="C2347" s="27">
        <f>IF(B2347="","",INDEX('01_Rohdaten'!B2347:D2347,'02_Eingaben'!$C$13))</f>
        <v/>
      </c>
      <c r="D2347" s="27">
        <f>IF(C2347="","",C2347*'02_Eingaben'!$C$15)</f>
        <v/>
      </c>
      <c r="E2347" s="27">
        <f>IF(D2347="","",D2347*'02_Eingaben'!$C$8)</f>
        <v/>
      </c>
      <c r="F2347" s="27">
        <f>IF(E2347="","",AVERAGE(INDEX($E$2:$E$3001,MAX(1,ROW()-1-'02_Eingaben'!$C$17)):INDEX($E$2:$E$3001,MIN('02_Eingaben'!$C$21,ROW()-1+'02_Eingaben'!$C$17))))</f>
        <v/>
      </c>
      <c r="G2347" s="27">
        <f>IF(F2347="","",F2347-'02_Eingaben'!$C$10)</f>
        <v/>
      </c>
      <c r="H2347">
        <f>IF(F2347="","",IF(F2347&lt;'02_Eingaben'!$C$18*'02_Eingaben'!$C$10,1,0))</f>
        <v/>
      </c>
      <c r="I2347" s="27">
        <f>IF(OR(G2347="",G2348=""),"",(G2347+G2348)/2*(B2348-B2347))</f>
        <v/>
      </c>
      <c r="J2347" s="27">
        <f>IF(B2347="","",IF(B2346&lt;'02_Eingaben'!$C$36,0,J2346+I2346/'02_Eingaben'!$C$8))</f>
        <v/>
      </c>
    </row>
    <row r="2348">
      <c r="A2348">
        <f>IF('01_Rohdaten'!A2348="","",ROW()-1)</f>
        <v/>
      </c>
      <c r="B2348" s="27">
        <f>IF('01_Rohdaten'!A2348="","",'01_Rohdaten'!A2348)</f>
        <v/>
      </c>
      <c r="C2348" s="27">
        <f>IF(B2348="","",INDEX('01_Rohdaten'!B2348:D2348,'02_Eingaben'!$C$13))</f>
        <v/>
      </c>
      <c r="D2348" s="27">
        <f>IF(C2348="","",C2348*'02_Eingaben'!$C$15)</f>
        <v/>
      </c>
      <c r="E2348" s="27">
        <f>IF(D2348="","",D2348*'02_Eingaben'!$C$8)</f>
        <v/>
      </c>
      <c r="F2348" s="27">
        <f>IF(E2348="","",AVERAGE(INDEX($E$2:$E$3001,MAX(1,ROW()-1-'02_Eingaben'!$C$17)):INDEX($E$2:$E$3001,MIN('02_Eingaben'!$C$21,ROW()-1+'02_Eingaben'!$C$17))))</f>
        <v/>
      </c>
      <c r="G2348" s="27">
        <f>IF(F2348="","",F2348-'02_Eingaben'!$C$10)</f>
        <v/>
      </c>
      <c r="H2348">
        <f>IF(F2348="","",IF(F2348&lt;'02_Eingaben'!$C$18*'02_Eingaben'!$C$10,1,0))</f>
        <v/>
      </c>
      <c r="I2348" s="27">
        <f>IF(OR(G2348="",G2349=""),"",(G2348+G2349)/2*(B2349-B2348))</f>
        <v/>
      </c>
      <c r="J2348" s="27">
        <f>IF(B2348="","",IF(B2347&lt;'02_Eingaben'!$C$36,0,J2347+I2347/'02_Eingaben'!$C$8))</f>
        <v/>
      </c>
    </row>
    <row r="2349">
      <c r="A2349">
        <f>IF('01_Rohdaten'!A2349="","",ROW()-1)</f>
        <v/>
      </c>
      <c r="B2349" s="27">
        <f>IF('01_Rohdaten'!A2349="","",'01_Rohdaten'!A2349)</f>
        <v/>
      </c>
      <c r="C2349" s="27">
        <f>IF(B2349="","",INDEX('01_Rohdaten'!B2349:D2349,'02_Eingaben'!$C$13))</f>
        <v/>
      </c>
      <c r="D2349" s="27">
        <f>IF(C2349="","",C2349*'02_Eingaben'!$C$15)</f>
        <v/>
      </c>
      <c r="E2349" s="27">
        <f>IF(D2349="","",D2349*'02_Eingaben'!$C$8)</f>
        <v/>
      </c>
      <c r="F2349" s="27">
        <f>IF(E2349="","",AVERAGE(INDEX($E$2:$E$3001,MAX(1,ROW()-1-'02_Eingaben'!$C$17)):INDEX($E$2:$E$3001,MIN('02_Eingaben'!$C$21,ROW()-1+'02_Eingaben'!$C$17))))</f>
        <v/>
      </c>
      <c r="G2349" s="27">
        <f>IF(F2349="","",F2349-'02_Eingaben'!$C$10)</f>
        <v/>
      </c>
      <c r="H2349">
        <f>IF(F2349="","",IF(F2349&lt;'02_Eingaben'!$C$18*'02_Eingaben'!$C$10,1,0))</f>
        <v/>
      </c>
      <c r="I2349" s="27">
        <f>IF(OR(G2349="",G2350=""),"",(G2349+G2350)/2*(B2350-B2349))</f>
        <v/>
      </c>
      <c r="J2349" s="27">
        <f>IF(B2349="","",IF(B2348&lt;'02_Eingaben'!$C$36,0,J2348+I2348/'02_Eingaben'!$C$8))</f>
        <v/>
      </c>
    </row>
    <row r="2350">
      <c r="A2350">
        <f>IF('01_Rohdaten'!A2350="","",ROW()-1)</f>
        <v/>
      </c>
      <c r="B2350" s="27">
        <f>IF('01_Rohdaten'!A2350="","",'01_Rohdaten'!A2350)</f>
        <v/>
      </c>
      <c r="C2350" s="27">
        <f>IF(B2350="","",INDEX('01_Rohdaten'!B2350:D2350,'02_Eingaben'!$C$13))</f>
        <v/>
      </c>
      <c r="D2350" s="27">
        <f>IF(C2350="","",C2350*'02_Eingaben'!$C$15)</f>
        <v/>
      </c>
      <c r="E2350" s="27">
        <f>IF(D2350="","",D2350*'02_Eingaben'!$C$8)</f>
        <v/>
      </c>
      <c r="F2350" s="27">
        <f>IF(E2350="","",AVERAGE(INDEX($E$2:$E$3001,MAX(1,ROW()-1-'02_Eingaben'!$C$17)):INDEX($E$2:$E$3001,MIN('02_Eingaben'!$C$21,ROW()-1+'02_Eingaben'!$C$17))))</f>
        <v/>
      </c>
      <c r="G2350" s="27">
        <f>IF(F2350="","",F2350-'02_Eingaben'!$C$10)</f>
        <v/>
      </c>
      <c r="H2350">
        <f>IF(F2350="","",IF(F2350&lt;'02_Eingaben'!$C$18*'02_Eingaben'!$C$10,1,0))</f>
        <v/>
      </c>
      <c r="I2350" s="27">
        <f>IF(OR(G2350="",G2351=""),"",(G2350+G2351)/2*(B2351-B2350))</f>
        <v/>
      </c>
      <c r="J2350" s="27">
        <f>IF(B2350="","",IF(B2349&lt;'02_Eingaben'!$C$36,0,J2349+I2349/'02_Eingaben'!$C$8))</f>
        <v/>
      </c>
    </row>
    <row r="2351">
      <c r="A2351">
        <f>IF('01_Rohdaten'!A2351="","",ROW()-1)</f>
        <v/>
      </c>
      <c r="B2351" s="27">
        <f>IF('01_Rohdaten'!A2351="","",'01_Rohdaten'!A2351)</f>
        <v/>
      </c>
      <c r="C2351" s="27">
        <f>IF(B2351="","",INDEX('01_Rohdaten'!B2351:D2351,'02_Eingaben'!$C$13))</f>
        <v/>
      </c>
      <c r="D2351" s="27">
        <f>IF(C2351="","",C2351*'02_Eingaben'!$C$15)</f>
        <v/>
      </c>
      <c r="E2351" s="27">
        <f>IF(D2351="","",D2351*'02_Eingaben'!$C$8)</f>
        <v/>
      </c>
      <c r="F2351" s="27">
        <f>IF(E2351="","",AVERAGE(INDEX($E$2:$E$3001,MAX(1,ROW()-1-'02_Eingaben'!$C$17)):INDEX($E$2:$E$3001,MIN('02_Eingaben'!$C$21,ROW()-1+'02_Eingaben'!$C$17))))</f>
        <v/>
      </c>
      <c r="G2351" s="27">
        <f>IF(F2351="","",F2351-'02_Eingaben'!$C$10)</f>
        <v/>
      </c>
      <c r="H2351">
        <f>IF(F2351="","",IF(F2351&lt;'02_Eingaben'!$C$18*'02_Eingaben'!$C$10,1,0))</f>
        <v/>
      </c>
      <c r="I2351" s="27">
        <f>IF(OR(G2351="",G2352=""),"",(G2351+G2352)/2*(B2352-B2351))</f>
        <v/>
      </c>
      <c r="J2351" s="27">
        <f>IF(B2351="","",IF(B2350&lt;'02_Eingaben'!$C$36,0,J2350+I2350/'02_Eingaben'!$C$8))</f>
        <v/>
      </c>
    </row>
    <row r="2352">
      <c r="A2352">
        <f>IF('01_Rohdaten'!A2352="","",ROW()-1)</f>
        <v/>
      </c>
      <c r="B2352" s="27">
        <f>IF('01_Rohdaten'!A2352="","",'01_Rohdaten'!A2352)</f>
        <v/>
      </c>
      <c r="C2352" s="27">
        <f>IF(B2352="","",INDEX('01_Rohdaten'!B2352:D2352,'02_Eingaben'!$C$13))</f>
        <v/>
      </c>
      <c r="D2352" s="27">
        <f>IF(C2352="","",C2352*'02_Eingaben'!$C$15)</f>
        <v/>
      </c>
      <c r="E2352" s="27">
        <f>IF(D2352="","",D2352*'02_Eingaben'!$C$8)</f>
        <v/>
      </c>
      <c r="F2352" s="27">
        <f>IF(E2352="","",AVERAGE(INDEX($E$2:$E$3001,MAX(1,ROW()-1-'02_Eingaben'!$C$17)):INDEX($E$2:$E$3001,MIN('02_Eingaben'!$C$21,ROW()-1+'02_Eingaben'!$C$17))))</f>
        <v/>
      </c>
      <c r="G2352" s="27">
        <f>IF(F2352="","",F2352-'02_Eingaben'!$C$10)</f>
        <v/>
      </c>
      <c r="H2352">
        <f>IF(F2352="","",IF(F2352&lt;'02_Eingaben'!$C$18*'02_Eingaben'!$C$10,1,0))</f>
        <v/>
      </c>
      <c r="I2352" s="27">
        <f>IF(OR(G2352="",G2353=""),"",(G2352+G2353)/2*(B2353-B2352))</f>
        <v/>
      </c>
      <c r="J2352" s="27">
        <f>IF(B2352="","",IF(B2351&lt;'02_Eingaben'!$C$36,0,J2351+I2351/'02_Eingaben'!$C$8))</f>
        <v/>
      </c>
    </row>
    <row r="2353">
      <c r="A2353">
        <f>IF('01_Rohdaten'!A2353="","",ROW()-1)</f>
        <v/>
      </c>
      <c r="B2353" s="27">
        <f>IF('01_Rohdaten'!A2353="","",'01_Rohdaten'!A2353)</f>
        <v/>
      </c>
      <c r="C2353" s="27">
        <f>IF(B2353="","",INDEX('01_Rohdaten'!B2353:D2353,'02_Eingaben'!$C$13))</f>
        <v/>
      </c>
      <c r="D2353" s="27">
        <f>IF(C2353="","",C2353*'02_Eingaben'!$C$15)</f>
        <v/>
      </c>
      <c r="E2353" s="27">
        <f>IF(D2353="","",D2353*'02_Eingaben'!$C$8)</f>
        <v/>
      </c>
      <c r="F2353" s="27">
        <f>IF(E2353="","",AVERAGE(INDEX($E$2:$E$3001,MAX(1,ROW()-1-'02_Eingaben'!$C$17)):INDEX($E$2:$E$3001,MIN('02_Eingaben'!$C$21,ROW()-1+'02_Eingaben'!$C$17))))</f>
        <v/>
      </c>
      <c r="G2353" s="27">
        <f>IF(F2353="","",F2353-'02_Eingaben'!$C$10)</f>
        <v/>
      </c>
      <c r="H2353">
        <f>IF(F2353="","",IF(F2353&lt;'02_Eingaben'!$C$18*'02_Eingaben'!$C$10,1,0))</f>
        <v/>
      </c>
      <c r="I2353" s="27">
        <f>IF(OR(G2353="",G2354=""),"",(G2353+G2354)/2*(B2354-B2353))</f>
        <v/>
      </c>
      <c r="J2353" s="27">
        <f>IF(B2353="","",IF(B2352&lt;'02_Eingaben'!$C$36,0,J2352+I2352/'02_Eingaben'!$C$8))</f>
        <v/>
      </c>
    </row>
    <row r="2354">
      <c r="A2354">
        <f>IF('01_Rohdaten'!A2354="","",ROW()-1)</f>
        <v/>
      </c>
      <c r="B2354" s="27">
        <f>IF('01_Rohdaten'!A2354="","",'01_Rohdaten'!A2354)</f>
        <v/>
      </c>
      <c r="C2354" s="27">
        <f>IF(B2354="","",INDEX('01_Rohdaten'!B2354:D2354,'02_Eingaben'!$C$13))</f>
        <v/>
      </c>
      <c r="D2354" s="27">
        <f>IF(C2354="","",C2354*'02_Eingaben'!$C$15)</f>
        <v/>
      </c>
      <c r="E2354" s="27">
        <f>IF(D2354="","",D2354*'02_Eingaben'!$C$8)</f>
        <v/>
      </c>
      <c r="F2354" s="27">
        <f>IF(E2354="","",AVERAGE(INDEX($E$2:$E$3001,MAX(1,ROW()-1-'02_Eingaben'!$C$17)):INDEX($E$2:$E$3001,MIN('02_Eingaben'!$C$21,ROW()-1+'02_Eingaben'!$C$17))))</f>
        <v/>
      </c>
      <c r="G2354" s="27">
        <f>IF(F2354="","",F2354-'02_Eingaben'!$C$10)</f>
        <v/>
      </c>
      <c r="H2354">
        <f>IF(F2354="","",IF(F2354&lt;'02_Eingaben'!$C$18*'02_Eingaben'!$C$10,1,0))</f>
        <v/>
      </c>
      <c r="I2354" s="27">
        <f>IF(OR(G2354="",G2355=""),"",(G2354+G2355)/2*(B2355-B2354))</f>
        <v/>
      </c>
      <c r="J2354" s="27">
        <f>IF(B2354="","",IF(B2353&lt;'02_Eingaben'!$C$36,0,J2353+I2353/'02_Eingaben'!$C$8))</f>
        <v/>
      </c>
    </row>
    <row r="2355">
      <c r="A2355">
        <f>IF('01_Rohdaten'!A2355="","",ROW()-1)</f>
        <v/>
      </c>
      <c r="B2355" s="27">
        <f>IF('01_Rohdaten'!A2355="","",'01_Rohdaten'!A2355)</f>
        <v/>
      </c>
      <c r="C2355" s="27">
        <f>IF(B2355="","",INDEX('01_Rohdaten'!B2355:D2355,'02_Eingaben'!$C$13))</f>
        <v/>
      </c>
      <c r="D2355" s="27">
        <f>IF(C2355="","",C2355*'02_Eingaben'!$C$15)</f>
        <v/>
      </c>
      <c r="E2355" s="27">
        <f>IF(D2355="","",D2355*'02_Eingaben'!$C$8)</f>
        <v/>
      </c>
      <c r="F2355" s="27">
        <f>IF(E2355="","",AVERAGE(INDEX($E$2:$E$3001,MAX(1,ROW()-1-'02_Eingaben'!$C$17)):INDEX($E$2:$E$3001,MIN('02_Eingaben'!$C$21,ROW()-1+'02_Eingaben'!$C$17))))</f>
        <v/>
      </c>
      <c r="G2355" s="27">
        <f>IF(F2355="","",F2355-'02_Eingaben'!$C$10)</f>
        <v/>
      </c>
      <c r="H2355">
        <f>IF(F2355="","",IF(F2355&lt;'02_Eingaben'!$C$18*'02_Eingaben'!$C$10,1,0))</f>
        <v/>
      </c>
      <c r="I2355" s="27">
        <f>IF(OR(G2355="",G2356=""),"",(G2355+G2356)/2*(B2356-B2355))</f>
        <v/>
      </c>
      <c r="J2355" s="27">
        <f>IF(B2355="","",IF(B2354&lt;'02_Eingaben'!$C$36,0,J2354+I2354/'02_Eingaben'!$C$8))</f>
        <v/>
      </c>
    </row>
    <row r="2356">
      <c r="A2356">
        <f>IF('01_Rohdaten'!A2356="","",ROW()-1)</f>
        <v/>
      </c>
      <c r="B2356" s="27">
        <f>IF('01_Rohdaten'!A2356="","",'01_Rohdaten'!A2356)</f>
        <v/>
      </c>
      <c r="C2356" s="27">
        <f>IF(B2356="","",INDEX('01_Rohdaten'!B2356:D2356,'02_Eingaben'!$C$13))</f>
        <v/>
      </c>
      <c r="D2356" s="27">
        <f>IF(C2356="","",C2356*'02_Eingaben'!$C$15)</f>
        <v/>
      </c>
      <c r="E2356" s="27">
        <f>IF(D2356="","",D2356*'02_Eingaben'!$C$8)</f>
        <v/>
      </c>
      <c r="F2356" s="27">
        <f>IF(E2356="","",AVERAGE(INDEX($E$2:$E$3001,MAX(1,ROW()-1-'02_Eingaben'!$C$17)):INDEX($E$2:$E$3001,MIN('02_Eingaben'!$C$21,ROW()-1+'02_Eingaben'!$C$17))))</f>
        <v/>
      </c>
      <c r="G2356" s="27">
        <f>IF(F2356="","",F2356-'02_Eingaben'!$C$10)</f>
        <v/>
      </c>
      <c r="H2356">
        <f>IF(F2356="","",IF(F2356&lt;'02_Eingaben'!$C$18*'02_Eingaben'!$C$10,1,0))</f>
        <v/>
      </c>
      <c r="I2356" s="27">
        <f>IF(OR(G2356="",G2357=""),"",(G2356+G2357)/2*(B2357-B2356))</f>
        <v/>
      </c>
      <c r="J2356" s="27">
        <f>IF(B2356="","",IF(B2355&lt;'02_Eingaben'!$C$36,0,J2355+I2355/'02_Eingaben'!$C$8))</f>
        <v/>
      </c>
    </row>
    <row r="2357">
      <c r="A2357">
        <f>IF('01_Rohdaten'!A2357="","",ROW()-1)</f>
        <v/>
      </c>
      <c r="B2357" s="27">
        <f>IF('01_Rohdaten'!A2357="","",'01_Rohdaten'!A2357)</f>
        <v/>
      </c>
      <c r="C2357" s="27">
        <f>IF(B2357="","",INDEX('01_Rohdaten'!B2357:D2357,'02_Eingaben'!$C$13))</f>
        <v/>
      </c>
      <c r="D2357" s="27">
        <f>IF(C2357="","",C2357*'02_Eingaben'!$C$15)</f>
        <v/>
      </c>
      <c r="E2357" s="27">
        <f>IF(D2357="","",D2357*'02_Eingaben'!$C$8)</f>
        <v/>
      </c>
      <c r="F2357" s="27">
        <f>IF(E2357="","",AVERAGE(INDEX($E$2:$E$3001,MAX(1,ROW()-1-'02_Eingaben'!$C$17)):INDEX($E$2:$E$3001,MIN('02_Eingaben'!$C$21,ROW()-1+'02_Eingaben'!$C$17))))</f>
        <v/>
      </c>
      <c r="G2357" s="27">
        <f>IF(F2357="","",F2357-'02_Eingaben'!$C$10)</f>
        <v/>
      </c>
      <c r="H2357">
        <f>IF(F2357="","",IF(F2357&lt;'02_Eingaben'!$C$18*'02_Eingaben'!$C$10,1,0))</f>
        <v/>
      </c>
      <c r="I2357" s="27">
        <f>IF(OR(G2357="",G2358=""),"",(G2357+G2358)/2*(B2358-B2357))</f>
        <v/>
      </c>
      <c r="J2357" s="27">
        <f>IF(B2357="","",IF(B2356&lt;'02_Eingaben'!$C$36,0,J2356+I2356/'02_Eingaben'!$C$8))</f>
        <v/>
      </c>
    </row>
    <row r="2358">
      <c r="A2358">
        <f>IF('01_Rohdaten'!A2358="","",ROW()-1)</f>
        <v/>
      </c>
      <c r="B2358" s="27">
        <f>IF('01_Rohdaten'!A2358="","",'01_Rohdaten'!A2358)</f>
        <v/>
      </c>
      <c r="C2358" s="27">
        <f>IF(B2358="","",INDEX('01_Rohdaten'!B2358:D2358,'02_Eingaben'!$C$13))</f>
        <v/>
      </c>
      <c r="D2358" s="27">
        <f>IF(C2358="","",C2358*'02_Eingaben'!$C$15)</f>
        <v/>
      </c>
      <c r="E2358" s="27">
        <f>IF(D2358="","",D2358*'02_Eingaben'!$C$8)</f>
        <v/>
      </c>
      <c r="F2358" s="27">
        <f>IF(E2358="","",AVERAGE(INDEX($E$2:$E$3001,MAX(1,ROW()-1-'02_Eingaben'!$C$17)):INDEX($E$2:$E$3001,MIN('02_Eingaben'!$C$21,ROW()-1+'02_Eingaben'!$C$17))))</f>
        <v/>
      </c>
      <c r="G2358" s="27">
        <f>IF(F2358="","",F2358-'02_Eingaben'!$C$10)</f>
        <v/>
      </c>
      <c r="H2358">
        <f>IF(F2358="","",IF(F2358&lt;'02_Eingaben'!$C$18*'02_Eingaben'!$C$10,1,0))</f>
        <v/>
      </c>
      <c r="I2358" s="27">
        <f>IF(OR(G2358="",G2359=""),"",(G2358+G2359)/2*(B2359-B2358))</f>
        <v/>
      </c>
      <c r="J2358" s="27">
        <f>IF(B2358="","",IF(B2357&lt;'02_Eingaben'!$C$36,0,J2357+I2357/'02_Eingaben'!$C$8))</f>
        <v/>
      </c>
    </row>
    <row r="2359">
      <c r="A2359">
        <f>IF('01_Rohdaten'!A2359="","",ROW()-1)</f>
        <v/>
      </c>
      <c r="B2359" s="27">
        <f>IF('01_Rohdaten'!A2359="","",'01_Rohdaten'!A2359)</f>
        <v/>
      </c>
      <c r="C2359" s="27">
        <f>IF(B2359="","",INDEX('01_Rohdaten'!B2359:D2359,'02_Eingaben'!$C$13))</f>
        <v/>
      </c>
      <c r="D2359" s="27">
        <f>IF(C2359="","",C2359*'02_Eingaben'!$C$15)</f>
        <v/>
      </c>
      <c r="E2359" s="27">
        <f>IF(D2359="","",D2359*'02_Eingaben'!$C$8)</f>
        <v/>
      </c>
      <c r="F2359" s="27">
        <f>IF(E2359="","",AVERAGE(INDEX($E$2:$E$3001,MAX(1,ROW()-1-'02_Eingaben'!$C$17)):INDEX($E$2:$E$3001,MIN('02_Eingaben'!$C$21,ROW()-1+'02_Eingaben'!$C$17))))</f>
        <v/>
      </c>
      <c r="G2359" s="27">
        <f>IF(F2359="","",F2359-'02_Eingaben'!$C$10)</f>
        <v/>
      </c>
      <c r="H2359">
        <f>IF(F2359="","",IF(F2359&lt;'02_Eingaben'!$C$18*'02_Eingaben'!$C$10,1,0))</f>
        <v/>
      </c>
      <c r="I2359" s="27">
        <f>IF(OR(G2359="",G2360=""),"",(G2359+G2360)/2*(B2360-B2359))</f>
        <v/>
      </c>
      <c r="J2359" s="27">
        <f>IF(B2359="","",IF(B2358&lt;'02_Eingaben'!$C$36,0,J2358+I2358/'02_Eingaben'!$C$8))</f>
        <v/>
      </c>
    </row>
    <row r="2360">
      <c r="A2360">
        <f>IF('01_Rohdaten'!A2360="","",ROW()-1)</f>
        <v/>
      </c>
      <c r="B2360" s="27">
        <f>IF('01_Rohdaten'!A2360="","",'01_Rohdaten'!A2360)</f>
        <v/>
      </c>
      <c r="C2360" s="27">
        <f>IF(B2360="","",INDEX('01_Rohdaten'!B2360:D2360,'02_Eingaben'!$C$13))</f>
        <v/>
      </c>
      <c r="D2360" s="27">
        <f>IF(C2360="","",C2360*'02_Eingaben'!$C$15)</f>
        <v/>
      </c>
      <c r="E2360" s="27">
        <f>IF(D2360="","",D2360*'02_Eingaben'!$C$8)</f>
        <v/>
      </c>
      <c r="F2360" s="27">
        <f>IF(E2360="","",AVERAGE(INDEX($E$2:$E$3001,MAX(1,ROW()-1-'02_Eingaben'!$C$17)):INDEX($E$2:$E$3001,MIN('02_Eingaben'!$C$21,ROW()-1+'02_Eingaben'!$C$17))))</f>
        <v/>
      </c>
      <c r="G2360" s="27">
        <f>IF(F2360="","",F2360-'02_Eingaben'!$C$10)</f>
        <v/>
      </c>
      <c r="H2360">
        <f>IF(F2360="","",IF(F2360&lt;'02_Eingaben'!$C$18*'02_Eingaben'!$C$10,1,0))</f>
        <v/>
      </c>
      <c r="I2360" s="27">
        <f>IF(OR(G2360="",G2361=""),"",(G2360+G2361)/2*(B2361-B2360))</f>
        <v/>
      </c>
      <c r="J2360" s="27">
        <f>IF(B2360="","",IF(B2359&lt;'02_Eingaben'!$C$36,0,J2359+I2359/'02_Eingaben'!$C$8))</f>
        <v/>
      </c>
    </row>
    <row r="2361">
      <c r="A2361">
        <f>IF('01_Rohdaten'!A2361="","",ROW()-1)</f>
        <v/>
      </c>
      <c r="B2361" s="27">
        <f>IF('01_Rohdaten'!A2361="","",'01_Rohdaten'!A2361)</f>
        <v/>
      </c>
      <c r="C2361" s="27">
        <f>IF(B2361="","",INDEX('01_Rohdaten'!B2361:D2361,'02_Eingaben'!$C$13))</f>
        <v/>
      </c>
      <c r="D2361" s="27">
        <f>IF(C2361="","",C2361*'02_Eingaben'!$C$15)</f>
        <v/>
      </c>
      <c r="E2361" s="27">
        <f>IF(D2361="","",D2361*'02_Eingaben'!$C$8)</f>
        <v/>
      </c>
      <c r="F2361" s="27">
        <f>IF(E2361="","",AVERAGE(INDEX($E$2:$E$3001,MAX(1,ROW()-1-'02_Eingaben'!$C$17)):INDEX($E$2:$E$3001,MIN('02_Eingaben'!$C$21,ROW()-1+'02_Eingaben'!$C$17))))</f>
        <v/>
      </c>
      <c r="G2361" s="27">
        <f>IF(F2361="","",F2361-'02_Eingaben'!$C$10)</f>
        <v/>
      </c>
      <c r="H2361">
        <f>IF(F2361="","",IF(F2361&lt;'02_Eingaben'!$C$18*'02_Eingaben'!$C$10,1,0))</f>
        <v/>
      </c>
      <c r="I2361" s="27">
        <f>IF(OR(G2361="",G2362=""),"",(G2361+G2362)/2*(B2362-B2361))</f>
        <v/>
      </c>
      <c r="J2361" s="27">
        <f>IF(B2361="","",IF(B2360&lt;'02_Eingaben'!$C$36,0,J2360+I2360/'02_Eingaben'!$C$8))</f>
        <v/>
      </c>
    </row>
    <row r="2362">
      <c r="A2362">
        <f>IF('01_Rohdaten'!A2362="","",ROW()-1)</f>
        <v/>
      </c>
      <c r="B2362" s="27">
        <f>IF('01_Rohdaten'!A2362="","",'01_Rohdaten'!A2362)</f>
        <v/>
      </c>
      <c r="C2362" s="27">
        <f>IF(B2362="","",INDEX('01_Rohdaten'!B2362:D2362,'02_Eingaben'!$C$13))</f>
        <v/>
      </c>
      <c r="D2362" s="27">
        <f>IF(C2362="","",C2362*'02_Eingaben'!$C$15)</f>
        <v/>
      </c>
      <c r="E2362" s="27">
        <f>IF(D2362="","",D2362*'02_Eingaben'!$C$8)</f>
        <v/>
      </c>
      <c r="F2362" s="27">
        <f>IF(E2362="","",AVERAGE(INDEX($E$2:$E$3001,MAX(1,ROW()-1-'02_Eingaben'!$C$17)):INDEX($E$2:$E$3001,MIN('02_Eingaben'!$C$21,ROW()-1+'02_Eingaben'!$C$17))))</f>
        <v/>
      </c>
      <c r="G2362" s="27">
        <f>IF(F2362="","",F2362-'02_Eingaben'!$C$10)</f>
        <v/>
      </c>
      <c r="H2362">
        <f>IF(F2362="","",IF(F2362&lt;'02_Eingaben'!$C$18*'02_Eingaben'!$C$10,1,0))</f>
        <v/>
      </c>
      <c r="I2362" s="27">
        <f>IF(OR(G2362="",G2363=""),"",(G2362+G2363)/2*(B2363-B2362))</f>
        <v/>
      </c>
      <c r="J2362" s="27">
        <f>IF(B2362="","",IF(B2361&lt;'02_Eingaben'!$C$36,0,J2361+I2361/'02_Eingaben'!$C$8))</f>
        <v/>
      </c>
    </row>
    <row r="2363">
      <c r="A2363">
        <f>IF('01_Rohdaten'!A2363="","",ROW()-1)</f>
        <v/>
      </c>
      <c r="B2363" s="27">
        <f>IF('01_Rohdaten'!A2363="","",'01_Rohdaten'!A2363)</f>
        <v/>
      </c>
      <c r="C2363" s="27">
        <f>IF(B2363="","",INDEX('01_Rohdaten'!B2363:D2363,'02_Eingaben'!$C$13))</f>
        <v/>
      </c>
      <c r="D2363" s="27">
        <f>IF(C2363="","",C2363*'02_Eingaben'!$C$15)</f>
        <v/>
      </c>
      <c r="E2363" s="27">
        <f>IF(D2363="","",D2363*'02_Eingaben'!$C$8)</f>
        <v/>
      </c>
      <c r="F2363" s="27">
        <f>IF(E2363="","",AVERAGE(INDEX($E$2:$E$3001,MAX(1,ROW()-1-'02_Eingaben'!$C$17)):INDEX($E$2:$E$3001,MIN('02_Eingaben'!$C$21,ROW()-1+'02_Eingaben'!$C$17))))</f>
        <v/>
      </c>
      <c r="G2363" s="27">
        <f>IF(F2363="","",F2363-'02_Eingaben'!$C$10)</f>
        <v/>
      </c>
      <c r="H2363">
        <f>IF(F2363="","",IF(F2363&lt;'02_Eingaben'!$C$18*'02_Eingaben'!$C$10,1,0))</f>
        <v/>
      </c>
      <c r="I2363" s="27">
        <f>IF(OR(G2363="",G2364=""),"",(G2363+G2364)/2*(B2364-B2363))</f>
        <v/>
      </c>
      <c r="J2363" s="27">
        <f>IF(B2363="","",IF(B2362&lt;'02_Eingaben'!$C$36,0,J2362+I2362/'02_Eingaben'!$C$8))</f>
        <v/>
      </c>
    </row>
    <row r="2364">
      <c r="A2364">
        <f>IF('01_Rohdaten'!A2364="","",ROW()-1)</f>
        <v/>
      </c>
      <c r="B2364" s="27">
        <f>IF('01_Rohdaten'!A2364="","",'01_Rohdaten'!A2364)</f>
        <v/>
      </c>
      <c r="C2364" s="27">
        <f>IF(B2364="","",INDEX('01_Rohdaten'!B2364:D2364,'02_Eingaben'!$C$13))</f>
        <v/>
      </c>
      <c r="D2364" s="27">
        <f>IF(C2364="","",C2364*'02_Eingaben'!$C$15)</f>
        <v/>
      </c>
      <c r="E2364" s="27">
        <f>IF(D2364="","",D2364*'02_Eingaben'!$C$8)</f>
        <v/>
      </c>
      <c r="F2364" s="27">
        <f>IF(E2364="","",AVERAGE(INDEX($E$2:$E$3001,MAX(1,ROW()-1-'02_Eingaben'!$C$17)):INDEX($E$2:$E$3001,MIN('02_Eingaben'!$C$21,ROW()-1+'02_Eingaben'!$C$17))))</f>
        <v/>
      </c>
      <c r="G2364" s="27">
        <f>IF(F2364="","",F2364-'02_Eingaben'!$C$10)</f>
        <v/>
      </c>
      <c r="H2364">
        <f>IF(F2364="","",IF(F2364&lt;'02_Eingaben'!$C$18*'02_Eingaben'!$C$10,1,0))</f>
        <v/>
      </c>
      <c r="I2364" s="27">
        <f>IF(OR(G2364="",G2365=""),"",(G2364+G2365)/2*(B2365-B2364))</f>
        <v/>
      </c>
      <c r="J2364" s="27">
        <f>IF(B2364="","",IF(B2363&lt;'02_Eingaben'!$C$36,0,J2363+I2363/'02_Eingaben'!$C$8))</f>
        <v/>
      </c>
    </row>
    <row r="2365">
      <c r="A2365">
        <f>IF('01_Rohdaten'!A2365="","",ROW()-1)</f>
        <v/>
      </c>
      <c r="B2365" s="27">
        <f>IF('01_Rohdaten'!A2365="","",'01_Rohdaten'!A2365)</f>
        <v/>
      </c>
      <c r="C2365" s="27">
        <f>IF(B2365="","",INDEX('01_Rohdaten'!B2365:D2365,'02_Eingaben'!$C$13))</f>
        <v/>
      </c>
      <c r="D2365" s="27">
        <f>IF(C2365="","",C2365*'02_Eingaben'!$C$15)</f>
        <v/>
      </c>
      <c r="E2365" s="27">
        <f>IF(D2365="","",D2365*'02_Eingaben'!$C$8)</f>
        <v/>
      </c>
      <c r="F2365" s="27">
        <f>IF(E2365="","",AVERAGE(INDEX($E$2:$E$3001,MAX(1,ROW()-1-'02_Eingaben'!$C$17)):INDEX($E$2:$E$3001,MIN('02_Eingaben'!$C$21,ROW()-1+'02_Eingaben'!$C$17))))</f>
        <v/>
      </c>
      <c r="G2365" s="27">
        <f>IF(F2365="","",F2365-'02_Eingaben'!$C$10)</f>
        <v/>
      </c>
      <c r="H2365">
        <f>IF(F2365="","",IF(F2365&lt;'02_Eingaben'!$C$18*'02_Eingaben'!$C$10,1,0))</f>
        <v/>
      </c>
      <c r="I2365" s="27">
        <f>IF(OR(G2365="",G2366=""),"",(G2365+G2366)/2*(B2366-B2365))</f>
        <v/>
      </c>
      <c r="J2365" s="27">
        <f>IF(B2365="","",IF(B2364&lt;'02_Eingaben'!$C$36,0,J2364+I2364/'02_Eingaben'!$C$8))</f>
        <v/>
      </c>
    </row>
    <row r="2366">
      <c r="A2366">
        <f>IF('01_Rohdaten'!A2366="","",ROW()-1)</f>
        <v/>
      </c>
      <c r="B2366" s="27">
        <f>IF('01_Rohdaten'!A2366="","",'01_Rohdaten'!A2366)</f>
        <v/>
      </c>
      <c r="C2366" s="27">
        <f>IF(B2366="","",INDEX('01_Rohdaten'!B2366:D2366,'02_Eingaben'!$C$13))</f>
        <v/>
      </c>
      <c r="D2366" s="27">
        <f>IF(C2366="","",C2366*'02_Eingaben'!$C$15)</f>
        <v/>
      </c>
      <c r="E2366" s="27">
        <f>IF(D2366="","",D2366*'02_Eingaben'!$C$8)</f>
        <v/>
      </c>
      <c r="F2366" s="27">
        <f>IF(E2366="","",AVERAGE(INDEX($E$2:$E$3001,MAX(1,ROW()-1-'02_Eingaben'!$C$17)):INDEX($E$2:$E$3001,MIN('02_Eingaben'!$C$21,ROW()-1+'02_Eingaben'!$C$17))))</f>
        <v/>
      </c>
      <c r="G2366" s="27">
        <f>IF(F2366="","",F2366-'02_Eingaben'!$C$10)</f>
        <v/>
      </c>
      <c r="H2366">
        <f>IF(F2366="","",IF(F2366&lt;'02_Eingaben'!$C$18*'02_Eingaben'!$C$10,1,0))</f>
        <v/>
      </c>
      <c r="I2366" s="27">
        <f>IF(OR(G2366="",G2367=""),"",(G2366+G2367)/2*(B2367-B2366))</f>
        <v/>
      </c>
      <c r="J2366" s="27">
        <f>IF(B2366="","",IF(B2365&lt;'02_Eingaben'!$C$36,0,J2365+I2365/'02_Eingaben'!$C$8))</f>
        <v/>
      </c>
    </row>
    <row r="2367">
      <c r="A2367">
        <f>IF('01_Rohdaten'!A2367="","",ROW()-1)</f>
        <v/>
      </c>
      <c r="B2367" s="27">
        <f>IF('01_Rohdaten'!A2367="","",'01_Rohdaten'!A2367)</f>
        <v/>
      </c>
      <c r="C2367" s="27">
        <f>IF(B2367="","",INDEX('01_Rohdaten'!B2367:D2367,'02_Eingaben'!$C$13))</f>
        <v/>
      </c>
      <c r="D2367" s="27">
        <f>IF(C2367="","",C2367*'02_Eingaben'!$C$15)</f>
        <v/>
      </c>
      <c r="E2367" s="27">
        <f>IF(D2367="","",D2367*'02_Eingaben'!$C$8)</f>
        <v/>
      </c>
      <c r="F2367" s="27">
        <f>IF(E2367="","",AVERAGE(INDEX($E$2:$E$3001,MAX(1,ROW()-1-'02_Eingaben'!$C$17)):INDEX($E$2:$E$3001,MIN('02_Eingaben'!$C$21,ROW()-1+'02_Eingaben'!$C$17))))</f>
        <v/>
      </c>
      <c r="G2367" s="27">
        <f>IF(F2367="","",F2367-'02_Eingaben'!$C$10)</f>
        <v/>
      </c>
      <c r="H2367">
        <f>IF(F2367="","",IF(F2367&lt;'02_Eingaben'!$C$18*'02_Eingaben'!$C$10,1,0))</f>
        <v/>
      </c>
      <c r="I2367" s="27">
        <f>IF(OR(G2367="",G2368=""),"",(G2367+G2368)/2*(B2368-B2367))</f>
        <v/>
      </c>
      <c r="J2367" s="27">
        <f>IF(B2367="","",IF(B2366&lt;'02_Eingaben'!$C$36,0,J2366+I2366/'02_Eingaben'!$C$8))</f>
        <v/>
      </c>
    </row>
    <row r="2368">
      <c r="A2368">
        <f>IF('01_Rohdaten'!A2368="","",ROW()-1)</f>
        <v/>
      </c>
      <c r="B2368" s="27">
        <f>IF('01_Rohdaten'!A2368="","",'01_Rohdaten'!A2368)</f>
        <v/>
      </c>
      <c r="C2368" s="27">
        <f>IF(B2368="","",INDEX('01_Rohdaten'!B2368:D2368,'02_Eingaben'!$C$13))</f>
        <v/>
      </c>
      <c r="D2368" s="27">
        <f>IF(C2368="","",C2368*'02_Eingaben'!$C$15)</f>
        <v/>
      </c>
      <c r="E2368" s="27">
        <f>IF(D2368="","",D2368*'02_Eingaben'!$C$8)</f>
        <v/>
      </c>
      <c r="F2368" s="27">
        <f>IF(E2368="","",AVERAGE(INDEX($E$2:$E$3001,MAX(1,ROW()-1-'02_Eingaben'!$C$17)):INDEX($E$2:$E$3001,MIN('02_Eingaben'!$C$21,ROW()-1+'02_Eingaben'!$C$17))))</f>
        <v/>
      </c>
      <c r="G2368" s="27">
        <f>IF(F2368="","",F2368-'02_Eingaben'!$C$10)</f>
        <v/>
      </c>
      <c r="H2368">
        <f>IF(F2368="","",IF(F2368&lt;'02_Eingaben'!$C$18*'02_Eingaben'!$C$10,1,0))</f>
        <v/>
      </c>
      <c r="I2368" s="27">
        <f>IF(OR(G2368="",G2369=""),"",(G2368+G2369)/2*(B2369-B2368))</f>
        <v/>
      </c>
      <c r="J2368" s="27">
        <f>IF(B2368="","",IF(B2367&lt;'02_Eingaben'!$C$36,0,J2367+I2367/'02_Eingaben'!$C$8))</f>
        <v/>
      </c>
    </row>
    <row r="2369">
      <c r="A2369">
        <f>IF('01_Rohdaten'!A2369="","",ROW()-1)</f>
        <v/>
      </c>
      <c r="B2369" s="27">
        <f>IF('01_Rohdaten'!A2369="","",'01_Rohdaten'!A2369)</f>
        <v/>
      </c>
      <c r="C2369" s="27">
        <f>IF(B2369="","",INDEX('01_Rohdaten'!B2369:D2369,'02_Eingaben'!$C$13))</f>
        <v/>
      </c>
      <c r="D2369" s="27">
        <f>IF(C2369="","",C2369*'02_Eingaben'!$C$15)</f>
        <v/>
      </c>
      <c r="E2369" s="27">
        <f>IF(D2369="","",D2369*'02_Eingaben'!$C$8)</f>
        <v/>
      </c>
      <c r="F2369" s="27">
        <f>IF(E2369="","",AVERAGE(INDEX($E$2:$E$3001,MAX(1,ROW()-1-'02_Eingaben'!$C$17)):INDEX($E$2:$E$3001,MIN('02_Eingaben'!$C$21,ROW()-1+'02_Eingaben'!$C$17))))</f>
        <v/>
      </c>
      <c r="G2369" s="27">
        <f>IF(F2369="","",F2369-'02_Eingaben'!$C$10)</f>
        <v/>
      </c>
      <c r="H2369">
        <f>IF(F2369="","",IF(F2369&lt;'02_Eingaben'!$C$18*'02_Eingaben'!$C$10,1,0))</f>
        <v/>
      </c>
      <c r="I2369" s="27">
        <f>IF(OR(G2369="",G2370=""),"",(G2369+G2370)/2*(B2370-B2369))</f>
        <v/>
      </c>
      <c r="J2369" s="27">
        <f>IF(B2369="","",IF(B2368&lt;'02_Eingaben'!$C$36,0,J2368+I2368/'02_Eingaben'!$C$8))</f>
        <v/>
      </c>
    </row>
    <row r="2370">
      <c r="A2370">
        <f>IF('01_Rohdaten'!A2370="","",ROW()-1)</f>
        <v/>
      </c>
      <c r="B2370" s="27">
        <f>IF('01_Rohdaten'!A2370="","",'01_Rohdaten'!A2370)</f>
        <v/>
      </c>
      <c r="C2370" s="27">
        <f>IF(B2370="","",INDEX('01_Rohdaten'!B2370:D2370,'02_Eingaben'!$C$13))</f>
        <v/>
      </c>
      <c r="D2370" s="27">
        <f>IF(C2370="","",C2370*'02_Eingaben'!$C$15)</f>
        <v/>
      </c>
      <c r="E2370" s="27">
        <f>IF(D2370="","",D2370*'02_Eingaben'!$C$8)</f>
        <v/>
      </c>
      <c r="F2370" s="27">
        <f>IF(E2370="","",AVERAGE(INDEX($E$2:$E$3001,MAX(1,ROW()-1-'02_Eingaben'!$C$17)):INDEX($E$2:$E$3001,MIN('02_Eingaben'!$C$21,ROW()-1+'02_Eingaben'!$C$17))))</f>
        <v/>
      </c>
      <c r="G2370" s="27">
        <f>IF(F2370="","",F2370-'02_Eingaben'!$C$10)</f>
        <v/>
      </c>
      <c r="H2370">
        <f>IF(F2370="","",IF(F2370&lt;'02_Eingaben'!$C$18*'02_Eingaben'!$C$10,1,0))</f>
        <v/>
      </c>
      <c r="I2370" s="27">
        <f>IF(OR(G2370="",G2371=""),"",(G2370+G2371)/2*(B2371-B2370))</f>
        <v/>
      </c>
      <c r="J2370" s="27">
        <f>IF(B2370="","",IF(B2369&lt;'02_Eingaben'!$C$36,0,J2369+I2369/'02_Eingaben'!$C$8))</f>
        <v/>
      </c>
    </row>
    <row r="2371">
      <c r="A2371">
        <f>IF('01_Rohdaten'!A2371="","",ROW()-1)</f>
        <v/>
      </c>
      <c r="B2371" s="27">
        <f>IF('01_Rohdaten'!A2371="","",'01_Rohdaten'!A2371)</f>
        <v/>
      </c>
      <c r="C2371" s="27">
        <f>IF(B2371="","",INDEX('01_Rohdaten'!B2371:D2371,'02_Eingaben'!$C$13))</f>
        <v/>
      </c>
      <c r="D2371" s="27">
        <f>IF(C2371="","",C2371*'02_Eingaben'!$C$15)</f>
        <v/>
      </c>
      <c r="E2371" s="27">
        <f>IF(D2371="","",D2371*'02_Eingaben'!$C$8)</f>
        <v/>
      </c>
      <c r="F2371" s="27">
        <f>IF(E2371="","",AVERAGE(INDEX($E$2:$E$3001,MAX(1,ROW()-1-'02_Eingaben'!$C$17)):INDEX($E$2:$E$3001,MIN('02_Eingaben'!$C$21,ROW()-1+'02_Eingaben'!$C$17))))</f>
        <v/>
      </c>
      <c r="G2371" s="27">
        <f>IF(F2371="","",F2371-'02_Eingaben'!$C$10)</f>
        <v/>
      </c>
      <c r="H2371">
        <f>IF(F2371="","",IF(F2371&lt;'02_Eingaben'!$C$18*'02_Eingaben'!$C$10,1,0))</f>
        <v/>
      </c>
      <c r="I2371" s="27">
        <f>IF(OR(G2371="",G2372=""),"",(G2371+G2372)/2*(B2372-B2371))</f>
        <v/>
      </c>
      <c r="J2371" s="27">
        <f>IF(B2371="","",IF(B2370&lt;'02_Eingaben'!$C$36,0,J2370+I2370/'02_Eingaben'!$C$8))</f>
        <v/>
      </c>
    </row>
    <row r="2372">
      <c r="A2372">
        <f>IF('01_Rohdaten'!A2372="","",ROW()-1)</f>
        <v/>
      </c>
      <c r="B2372" s="27">
        <f>IF('01_Rohdaten'!A2372="","",'01_Rohdaten'!A2372)</f>
        <v/>
      </c>
      <c r="C2372" s="27">
        <f>IF(B2372="","",INDEX('01_Rohdaten'!B2372:D2372,'02_Eingaben'!$C$13))</f>
        <v/>
      </c>
      <c r="D2372" s="27">
        <f>IF(C2372="","",C2372*'02_Eingaben'!$C$15)</f>
        <v/>
      </c>
      <c r="E2372" s="27">
        <f>IF(D2372="","",D2372*'02_Eingaben'!$C$8)</f>
        <v/>
      </c>
      <c r="F2372" s="27">
        <f>IF(E2372="","",AVERAGE(INDEX($E$2:$E$3001,MAX(1,ROW()-1-'02_Eingaben'!$C$17)):INDEX($E$2:$E$3001,MIN('02_Eingaben'!$C$21,ROW()-1+'02_Eingaben'!$C$17))))</f>
        <v/>
      </c>
      <c r="G2372" s="27">
        <f>IF(F2372="","",F2372-'02_Eingaben'!$C$10)</f>
        <v/>
      </c>
      <c r="H2372">
        <f>IF(F2372="","",IF(F2372&lt;'02_Eingaben'!$C$18*'02_Eingaben'!$C$10,1,0))</f>
        <v/>
      </c>
      <c r="I2372" s="27">
        <f>IF(OR(G2372="",G2373=""),"",(G2372+G2373)/2*(B2373-B2372))</f>
        <v/>
      </c>
      <c r="J2372" s="27">
        <f>IF(B2372="","",IF(B2371&lt;'02_Eingaben'!$C$36,0,J2371+I2371/'02_Eingaben'!$C$8))</f>
        <v/>
      </c>
    </row>
    <row r="2373">
      <c r="A2373">
        <f>IF('01_Rohdaten'!A2373="","",ROW()-1)</f>
        <v/>
      </c>
      <c r="B2373" s="27">
        <f>IF('01_Rohdaten'!A2373="","",'01_Rohdaten'!A2373)</f>
        <v/>
      </c>
      <c r="C2373" s="27">
        <f>IF(B2373="","",INDEX('01_Rohdaten'!B2373:D2373,'02_Eingaben'!$C$13))</f>
        <v/>
      </c>
      <c r="D2373" s="27">
        <f>IF(C2373="","",C2373*'02_Eingaben'!$C$15)</f>
        <v/>
      </c>
      <c r="E2373" s="27">
        <f>IF(D2373="","",D2373*'02_Eingaben'!$C$8)</f>
        <v/>
      </c>
      <c r="F2373" s="27">
        <f>IF(E2373="","",AVERAGE(INDEX($E$2:$E$3001,MAX(1,ROW()-1-'02_Eingaben'!$C$17)):INDEX($E$2:$E$3001,MIN('02_Eingaben'!$C$21,ROW()-1+'02_Eingaben'!$C$17))))</f>
        <v/>
      </c>
      <c r="G2373" s="27">
        <f>IF(F2373="","",F2373-'02_Eingaben'!$C$10)</f>
        <v/>
      </c>
      <c r="H2373">
        <f>IF(F2373="","",IF(F2373&lt;'02_Eingaben'!$C$18*'02_Eingaben'!$C$10,1,0))</f>
        <v/>
      </c>
      <c r="I2373" s="27">
        <f>IF(OR(G2373="",G2374=""),"",(G2373+G2374)/2*(B2374-B2373))</f>
        <v/>
      </c>
      <c r="J2373" s="27">
        <f>IF(B2373="","",IF(B2372&lt;'02_Eingaben'!$C$36,0,J2372+I2372/'02_Eingaben'!$C$8))</f>
        <v/>
      </c>
    </row>
    <row r="2374">
      <c r="A2374">
        <f>IF('01_Rohdaten'!A2374="","",ROW()-1)</f>
        <v/>
      </c>
      <c r="B2374" s="27">
        <f>IF('01_Rohdaten'!A2374="","",'01_Rohdaten'!A2374)</f>
        <v/>
      </c>
      <c r="C2374" s="27">
        <f>IF(B2374="","",INDEX('01_Rohdaten'!B2374:D2374,'02_Eingaben'!$C$13))</f>
        <v/>
      </c>
      <c r="D2374" s="27">
        <f>IF(C2374="","",C2374*'02_Eingaben'!$C$15)</f>
        <v/>
      </c>
      <c r="E2374" s="27">
        <f>IF(D2374="","",D2374*'02_Eingaben'!$C$8)</f>
        <v/>
      </c>
      <c r="F2374" s="27">
        <f>IF(E2374="","",AVERAGE(INDEX($E$2:$E$3001,MAX(1,ROW()-1-'02_Eingaben'!$C$17)):INDEX($E$2:$E$3001,MIN('02_Eingaben'!$C$21,ROW()-1+'02_Eingaben'!$C$17))))</f>
        <v/>
      </c>
      <c r="G2374" s="27">
        <f>IF(F2374="","",F2374-'02_Eingaben'!$C$10)</f>
        <v/>
      </c>
      <c r="H2374">
        <f>IF(F2374="","",IF(F2374&lt;'02_Eingaben'!$C$18*'02_Eingaben'!$C$10,1,0))</f>
        <v/>
      </c>
      <c r="I2374" s="27">
        <f>IF(OR(G2374="",G2375=""),"",(G2374+G2375)/2*(B2375-B2374))</f>
        <v/>
      </c>
      <c r="J2374" s="27">
        <f>IF(B2374="","",IF(B2373&lt;'02_Eingaben'!$C$36,0,J2373+I2373/'02_Eingaben'!$C$8))</f>
        <v/>
      </c>
    </row>
    <row r="2375">
      <c r="A2375">
        <f>IF('01_Rohdaten'!A2375="","",ROW()-1)</f>
        <v/>
      </c>
      <c r="B2375" s="27">
        <f>IF('01_Rohdaten'!A2375="","",'01_Rohdaten'!A2375)</f>
        <v/>
      </c>
      <c r="C2375" s="27">
        <f>IF(B2375="","",INDEX('01_Rohdaten'!B2375:D2375,'02_Eingaben'!$C$13))</f>
        <v/>
      </c>
      <c r="D2375" s="27">
        <f>IF(C2375="","",C2375*'02_Eingaben'!$C$15)</f>
        <v/>
      </c>
      <c r="E2375" s="27">
        <f>IF(D2375="","",D2375*'02_Eingaben'!$C$8)</f>
        <v/>
      </c>
      <c r="F2375" s="27">
        <f>IF(E2375="","",AVERAGE(INDEX($E$2:$E$3001,MAX(1,ROW()-1-'02_Eingaben'!$C$17)):INDEX($E$2:$E$3001,MIN('02_Eingaben'!$C$21,ROW()-1+'02_Eingaben'!$C$17))))</f>
        <v/>
      </c>
      <c r="G2375" s="27">
        <f>IF(F2375="","",F2375-'02_Eingaben'!$C$10)</f>
        <v/>
      </c>
      <c r="H2375">
        <f>IF(F2375="","",IF(F2375&lt;'02_Eingaben'!$C$18*'02_Eingaben'!$C$10,1,0))</f>
        <v/>
      </c>
      <c r="I2375" s="27">
        <f>IF(OR(G2375="",G2376=""),"",(G2375+G2376)/2*(B2376-B2375))</f>
        <v/>
      </c>
      <c r="J2375" s="27">
        <f>IF(B2375="","",IF(B2374&lt;'02_Eingaben'!$C$36,0,J2374+I2374/'02_Eingaben'!$C$8))</f>
        <v/>
      </c>
    </row>
    <row r="2376">
      <c r="A2376">
        <f>IF('01_Rohdaten'!A2376="","",ROW()-1)</f>
        <v/>
      </c>
      <c r="B2376" s="27">
        <f>IF('01_Rohdaten'!A2376="","",'01_Rohdaten'!A2376)</f>
        <v/>
      </c>
      <c r="C2376" s="27">
        <f>IF(B2376="","",INDEX('01_Rohdaten'!B2376:D2376,'02_Eingaben'!$C$13))</f>
        <v/>
      </c>
      <c r="D2376" s="27">
        <f>IF(C2376="","",C2376*'02_Eingaben'!$C$15)</f>
        <v/>
      </c>
      <c r="E2376" s="27">
        <f>IF(D2376="","",D2376*'02_Eingaben'!$C$8)</f>
        <v/>
      </c>
      <c r="F2376" s="27">
        <f>IF(E2376="","",AVERAGE(INDEX($E$2:$E$3001,MAX(1,ROW()-1-'02_Eingaben'!$C$17)):INDEX($E$2:$E$3001,MIN('02_Eingaben'!$C$21,ROW()-1+'02_Eingaben'!$C$17))))</f>
        <v/>
      </c>
      <c r="G2376" s="27">
        <f>IF(F2376="","",F2376-'02_Eingaben'!$C$10)</f>
        <v/>
      </c>
      <c r="H2376">
        <f>IF(F2376="","",IF(F2376&lt;'02_Eingaben'!$C$18*'02_Eingaben'!$C$10,1,0))</f>
        <v/>
      </c>
      <c r="I2376" s="27">
        <f>IF(OR(G2376="",G2377=""),"",(G2376+G2377)/2*(B2377-B2376))</f>
        <v/>
      </c>
      <c r="J2376" s="27">
        <f>IF(B2376="","",IF(B2375&lt;'02_Eingaben'!$C$36,0,J2375+I2375/'02_Eingaben'!$C$8))</f>
        <v/>
      </c>
    </row>
    <row r="2377">
      <c r="A2377">
        <f>IF('01_Rohdaten'!A2377="","",ROW()-1)</f>
        <v/>
      </c>
      <c r="B2377" s="27">
        <f>IF('01_Rohdaten'!A2377="","",'01_Rohdaten'!A2377)</f>
        <v/>
      </c>
      <c r="C2377" s="27">
        <f>IF(B2377="","",INDEX('01_Rohdaten'!B2377:D2377,'02_Eingaben'!$C$13))</f>
        <v/>
      </c>
      <c r="D2377" s="27">
        <f>IF(C2377="","",C2377*'02_Eingaben'!$C$15)</f>
        <v/>
      </c>
      <c r="E2377" s="27">
        <f>IF(D2377="","",D2377*'02_Eingaben'!$C$8)</f>
        <v/>
      </c>
      <c r="F2377" s="27">
        <f>IF(E2377="","",AVERAGE(INDEX($E$2:$E$3001,MAX(1,ROW()-1-'02_Eingaben'!$C$17)):INDEX($E$2:$E$3001,MIN('02_Eingaben'!$C$21,ROW()-1+'02_Eingaben'!$C$17))))</f>
        <v/>
      </c>
      <c r="G2377" s="27">
        <f>IF(F2377="","",F2377-'02_Eingaben'!$C$10)</f>
        <v/>
      </c>
      <c r="H2377">
        <f>IF(F2377="","",IF(F2377&lt;'02_Eingaben'!$C$18*'02_Eingaben'!$C$10,1,0))</f>
        <v/>
      </c>
      <c r="I2377" s="27">
        <f>IF(OR(G2377="",G2378=""),"",(G2377+G2378)/2*(B2378-B2377))</f>
        <v/>
      </c>
      <c r="J2377" s="27">
        <f>IF(B2377="","",IF(B2376&lt;'02_Eingaben'!$C$36,0,J2376+I2376/'02_Eingaben'!$C$8))</f>
        <v/>
      </c>
    </row>
    <row r="2378">
      <c r="A2378">
        <f>IF('01_Rohdaten'!A2378="","",ROW()-1)</f>
        <v/>
      </c>
      <c r="B2378" s="27">
        <f>IF('01_Rohdaten'!A2378="","",'01_Rohdaten'!A2378)</f>
        <v/>
      </c>
      <c r="C2378" s="27">
        <f>IF(B2378="","",INDEX('01_Rohdaten'!B2378:D2378,'02_Eingaben'!$C$13))</f>
        <v/>
      </c>
      <c r="D2378" s="27">
        <f>IF(C2378="","",C2378*'02_Eingaben'!$C$15)</f>
        <v/>
      </c>
      <c r="E2378" s="27">
        <f>IF(D2378="","",D2378*'02_Eingaben'!$C$8)</f>
        <v/>
      </c>
      <c r="F2378" s="27">
        <f>IF(E2378="","",AVERAGE(INDEX($E$2:$E$3001,MAX(1,ROW()-1-'02_Eingaben'!$C$17)):INDEX($E$2:$E$3001,MIN('02_Eingaben'!$C$21,ROW()-1+'02_Eingaben'!$C$17))))</f>
        <v/>
      </c>
      <c r="G2378" s="27">
        <f>IF(F2378="","",F2378-'02_Eingaben'!$C$10)</f>
        <v/>
      </c>
      <c r="H2378">
        <f>IF(F2378="","",IF(F2378&lt;'02_Eingaben'!$C$18*'02_Eingaben'!$C$10,1,0))</f>
        <v/>
      </c>
      <c r="I2378" s="27">
        <f>IF(OR(G2378="",G2379=""),"",(G2378+G2379)/2*(B2379-B2378))</f>
        <v/>
      </c>
      <c r="J2378" s="27">
        <f>IF(B2378="","",IF(B2377&lt;'02_Eingaben'!$C$36,0,J2377+I2377/'02_Eingaben'!$C$8))</f>
        <v/>
      </c>
    </row>
    <row r="2379">
      <c r="A2379">
        <f>IF('01_Rohdaten'!A2379="","",ROW()-1)</f>
        <v/>
      </c>
      <c r="B2379" s="27">
        <f>IF('01_Rohdaten'!A2379="","",'01_Rohdaten'!A2379)</f>
        <v/>
      </c>
      <c r="C2379" s="27">
        <f>IF(B2379="","",INDEX('01_Rohdaten'!B2379:D2379,'02_Eingaben'!$C$13))</f>
        <v/>
      </c>
      <c r="D2379" s="27">
        <f>IF(C2379="","",C2379*'02_Eingaben'!$C$15)</f>
        <v/>
      </c>
      <c r="E2379" s="27">
        <f>IF(D2379="","",D2379*'02_Eingaben'!$C$8)</f>
        <v/>
      </c>
      <c r="F2379" s="27">
        <f>IF(E2379="","",AVERAGE(INDEX($E$2:$E$3001,MAX(1,ROW()-1-'02_Eingaben'!$C$17)):INDEX($E$2:$E$3001,MIN('02_Eingaben'!$C$21,ROW()-1+'02_Eingaben'!$C$17))))</f>
        <v/>
      </c>
      <c r="G2379" s="27">
        <f>IF(F2379="","",F2379-'02_Eingaben'!$C$10)</f>
        <v/>
      </c>
      <c r="H2379">
        <f>IF(F2379="","",IF(F2379&lt;'02_Eingaben'!$C$18*'02_Eingaben'!$C$10,1,0))</f>
        <v/>
      </c>
      <c r="I2379" s="27">
        <f>IF(OR(G2379="",G2380=""),"",(G2379+G2380)/2*(B2380-B2379))</f>
        <v/>
      </c>
      <c r="J2379" s="27">
        <f>IF(B2379="","",IF(B2378&lt;'02_Eingaben'!$C$36,0,J2378+I2378/'02_Eingaben'!$C$8))</f>
        <v/>
      </c>
    </row>
    <row r="2380">
      <c r="A2380">
        <f>IF('01_Rohdaten'!A2380="","",ROW()-1)</f>
        <v/>
      </c>
      <c r="B2380" s="27">
        <f>IF('01_Rohdaten'!A2380="","",'01_Rohdaten'!A2380)</f>
        <v/>
      </c>
      <c r="C2380" s="27">
        <f>IF(B2380="","",INDEX('01_Rohdaten'!B2380:D2380,'02_Eingaben'!$C$13))</f>
        <v/>
      </c>
      <c r="D2380" s="27">
        <f>IF(C2380="","",C2380*'02_Eingaben'!$C$15)</f>
        <v/>
      </c>
      <c r="E2380" s="27">
        <f>IF(D2380="","",D2380*'02_Eingaben'!$C$8)</f>
        <v/>
      </c>
      <c r="F2380" s="27">
        <f>IF(E2380="","",AVERAGE(INDEX($E$2:$E$3001,MAX(1,ROW()-1-'02_Eingaben'!$C$17)):INDEX($E$2:$E$3001,MIN('02_Eingaben'!$C$21,ROW()-1+'02_Eingaben'!$C$17))))</f>
        <v/>
      </c>
      <c r="G2380" s="27">
        <f>IF(F2380="","",F2380-'02_Eingaben'!$C$10)</f>
        <v/>
      </c>
      <c r="H2380">
        <f>IF(F2380="","",IF(F2380&lt;'02_Eingaben'!$C$18*'02_Eingaben'!$C$10,1,0))</f>
        <v/>
      </c>
      <c r="I2380" s="27">
        <f>IF(OR(G2380="",G2381=""),"",(G2380+G2381)/2*(B2381-B2380))</f>
        <v/>
      </c>
      <c r="J2380" s="27">
        <f>IF(B2380="","",IF(B2379&lt;'02_Eingaben'!$C$36,0,J2379+I2379/'02_Eingaben'!$C$8))</f>
        <v/>
      </c>
    </row>
    <row r="2381">
      <c r="A2381">
        <f>IF('01_Rohdaten'!A2381="","",ROW()-1)</f>
        <v/>
      </c>
      <c r="B2381" s="27">
        <f>IF('01_Rohdaten'!A2381="","",'01_Rohdaten'!A2381)</f>
        <v/>
      </c>
      <c r="C2381" s="27">
        <f>IF(B2381="","",INDEX('01_Rohdaten'!B2381:D2381,'02_Eingaben'!$C$13))</f>
        <v/>
      </c>
      <c r="D2381" s="27">
        <f>IF(C2381="","",C2381*'02_Eingaben'!$C$15)</f>
        <v/>
      </c>
      <c r="E2381" s="27">
        <f>IF(D2381="","",D2381*'02_Eingaben'!$C$8)</f>
        <v/>
      </c>
      <c r="F2381" s="27">
        <f>IF(E2381="","",AVERAGE(INDEX($E$2:$E$3001,MAX(1,ROW()-1-'02_Eingaben'!$C$17)):INDEX($E$2:$E$3001,MIN('02_Eingaben'!$C$21,ROW()-1+'02_Eingaben'!$C$17))))</f>
        <v/>
      </c>
      <c r="G2381" s="27">
        <f>IF(F2381="","",F2381-'02_Eingaben'!$C$10)</f>
        <v/>
      </c>
      <c r="H2381">
        <f>IF(F2381="","",IF(F2381&lt;'02_Eingaben'!$C$18*'02_Eingaben'!$C$10,1,0))</f>
        <v/>
      </c>
      <c r="I2381" s="27">
        <f>IF(OR(G2381="",G2382=""),"",(G2381+G2382)/2*(B2382-B2381))</f>
        <v/>
      </c>
      <c r="J2381" s="27">
        <f>IF(B2381="","",IF(B2380&lt;'02_Eingaben'!$C$36,0,J2380+I2380/'02_Eingaben'!$C$8))</f>
        <v/>
      </c>
    </row>
    <row r="2382">
      <c r="A2382">
        <f>IF('01_Rohdaten'!A2382="","",ROW()-1)</f>
        <v/>
      </c>
      <c r="B2382" s="27">
        <f>IF('01_Rohdaten'!A2382="","",'01_Rohdaten'!A2382)</f>
        <v/>
      </c>
      <c r="C2382" s="27">
        <f>IF(B2382="","",INDEX('01_Rohdaten'!B2382:D2382,'02_Eingaben'!$C$13))</f>
        <v/>
      </c>
      <c r="D2382" s="27">
        <f>IF(C2382="","",C2382*'02_Eingaben'!$C$15)</f>
        <v/>
      </c>
      <c r="E2382" s="27">
        <f>IF(D2382="","",D2382*'02_Eingaben'!$C$8)</f>
        <v/>
      </c>
      <c r="F2382" s="27">
        <f>IF(E2382="","",AVERAGE(INDEX($E$2:$E$3001,MAX(1,ROW()-1-'02_Eingaben'!$C$17)):INDEX($E$2:$E$3001,MIN('02_Eingaben'!$C$21,ROW()-1+'02_Eingaben'!$C$17))))</f>
        <v/>
      </c>
      <c r="G2382" s="27">
        <f>IF(F2382="","",F2382-'02_Eingaben'!$C$10)</f>
        <v/>
      </c>
      <c r="H2382">
        <f>IF(F2382="","",IF(F2382&lt;'02_Eingaben'!$C$18*'02_Eingaben'!$C$10,1,0))</f>
        <v/>
      </c>
      <c r="I2382" s="27">
        <f>IF(OR(G2382="",G2383=""),"",(G2382+G2383)/2*(B2383-B2382))</f>
        <v/>
      </c>
      <c r="J2382" s="27">
        <f>IF(B2382="","",IF(B2381&lt;'02_Eingaben'!$C$36,0,J2381+I2381/'02_Eingaben'!$C$8))</f>
        <v/>
      </c>
    </row>
    <row r="2383">
      <c r="A2383">
        <f>IF('01_Rohdaten'!A2383="","",ROW()-1)</f>
        <v/>
      </c>
      <c r="B2383" s="27">
        <f>IF('01_Rohdaten'!A2383="","",'01_Rohdaten'!A2383)</f>
        <v/>
      </c>
      <c r="C2383" s="27">
        <f>IF(B2383="","",INDEX('01_Rohdaten'!B2383:D2383,'02_Eingaben'!$C$13))</f>
        <v/>
      </c>
      <c r="D2383" s="27">
        <f>IF(C2383="","",C2383*'02_Eingaben'!$C$15)</f>
        <v/>
      </c>
      <c r="E2383" s="27">
        <f>IF(D2383="","",D2383*'02_Eingaben'!$C$8)</f>
        <v/>
      </c>
      <c r="F2383" s="27">
        <f>IF(E2383="","",AVERAGE(INDEX($E$2:$E$3001,MAX(1,ROW()-1-'02_Eingaben'!$C$17)):INDEX($E$2:$E$3001,MIN('02_Eingaben'!$C$21,ROW()-1+'02_Eingaben'!$C$17))))</f>
        <v/>
      </c>
      <c r="G2383" s="27">
        <f>IF(F2383="","",F2383-'02_Eingaben'!$C$10)</f>
        <v/>
      </c>
      <c r="H2383">
        <f>IF(F2383="","",IF(F2383&lt;'02_Eingaben'!$C$18*'02_Eingaben'!$C$10,1,0))</f>
        <v/>
      </c>
      <c r="I2383" s="27">
        <f>IF(OR(G2383="",G2384=""),"",(G2383+G2384)/2*(B2384-B2383))</f>
        <v/>
      </c>
      <c r="J2383" s="27">
        <f>IF(B2383="","",IF(B2382&lt;'02_Eingaben'!$C$36,0,J2382+I2382/'02_Eingaben'!$C$8))</f>
        <v/>
      </c>
    </row>
    <row r="2384">
      <c r="A2384">
        <f>IF('01_Rohdaten'!A2384="","",ROW()-1)</f>
        <v/>
      </c>
      <c r="B2384" s="27">
        <f>IF('01_Rohdaten'!A2384="","",'01_Rohdaten'!A2384)</f>
        <v/>
      </c>
      <c r="C2384" s="27">
        <f>IF(B2384="","",INDEX('01_Rohdaten'!B2384:D2384,'02_Eingaben'!$C$13))</f>
        <v/>
      </c>
      <c r="D2384" s="27">
        <f>IF(C2384="","",C2384*'02_Eingaben'!$C$15)</f>
        <v/>
      </c>
      <c r="E2384" s="27">
        <f>IF(D2384="","",D2384*'02_Eingaben'!$C$8)</f>
        <v/>
      </c>
      <c r="F2384" s="27">
        <f>IF(E2384="","",AVERAGE(INDEX($E$2:$E$3001,MAX(1,ROW()-1-'02_Eingaben'!$C$17)):INDEX($E$2:$E$3001,MIN('02_Eingaben'!$C$21,ROW()-1+'02_Eingaben'!$C$17))))</f>
        <v/>
      </c>
      <c r="G2384" s="27">
        <f>IF(F2384="","",F2384-'02_Eingaben'!$C$10)</f>
        <v/>
      </c>
      <c r="H2384">
        <f>IF(F2384="","",IF(F2384&lt;'02_Eingaben'!$C$18*'02_Eingaben'!$C$10,1,0))</f>
        <v/>
      </c>
      <c r="I2384" s="27">
        <f>IF(OR(G2384="",G2385=""),"",(G2384+G2385)/2*(B2385-B2384))</f>
        <v/>
      </c>
      <c r="J2384" s="27">
        <f>IF(B2384="","",IF(B2383&lt;'02_Eingaben'!$C$36,0,J2383+I2383/'02_Eingaben'!$C$8))</f>
        <v/>
      </c>
    </row>
    <row r="2385">
      <c r="A2385">
        <f>IF('01_Rohdaten'!A2385="","",ROW()-1)</f>
        <v/>
      </c>
      <c r="B2385" s="27">
        <f>IF('01_Rohdaten'!A2385="","",'01_Rohdaten'!A2385)</f>
        <v/>
      </c>
      <c r="C2385" s="27">
        <f>IF(B2385="","",INDEX('01_Rohdaten'!B2385:D2385,'02_Eingaben'!$C$13))</f>
        <v/>
      </c>
      <c r="D2385" s="27">
        <f>IF(C2385="","",C2385*'02_Eingaben'!$C$15)</f>
        <v/>
      </c>
      <c r="E2385" s="27">
        <f>IF(D2385="","",D2385*'02_Eingaben'!$C$8)</f>
        <v/>
      </c>
      <c r="F2385" s="27">
        <f>IF(E2385="","",AVERAGE(INDEX($E$2:$E$3001,MAX(1,ROW()-1-'02_Eingaben'!$C$17)):INDEX($E$2:$E$3001,MIN('02_Eingaben'!$C$21,ROW()-1+'02_Eingaben'!$C$17))))</f>
        <v/>
      </c>
      <c r="G2385" s="27">
        <f>IF(F2385="","",F2385-'02_Eingaben'!$C$10)</f>
        <v/>
      </c>
      <c r="H2385">
        <f>IF(F2385="","",IF(F2385&lt;'02_Eingaben'!$C$18*'02_Eingaben'!$C$10,1,0))</f>
        <v/>
      </c>
      <c r="I2385" s="27">
        <f>IF(OR(G2385="",G2386=""),"",(G2385+G2386)/2*(B2386-B2385))</f>
        <v/>
      </c>
      <c r="J2385" s="27">
        <f>IF(B2385="","",IF(B2384&lt;'02_Eingaben'!$C$36,0,J2384+I2384/'02_Eingaben'!$C$8))</f>
        <v/>
      </c>
    </row>
    <row r="2386">
      <c r="A2386">
        <f>IF('01_Rohdaten'!A2386="","",ROW()-1)</f>
        <v/>
      </c>
      <c r="B2386" s="27">
        <f>IF('01_Rohdaten'!A2386="","",'01_Rohdaten'!A2386)</f>
        <v/>
      </c>
      <c r="C2386" s="27">
        <f>IF(B2386="","",INDEX('01_Rohdaten'!B2386:D2386,'02_Eingaben'!$C$13))</f>
        <v/>
      </c>
      <c r="D2386" s="27">
        <f>IF(C2386="","",C2386*'02_Eingaben'!$C$15)</f>
        <v/>
      </c>
      <c r="E2386" s="27">
        <f>IF(D2386="","",D2386*'02_Eingaben'!$C$8)</f>
        <v/>
      </c>
      <c r="F2386" s="27">
        <f>IF(E2386="","",AVERAGE(INDEX($E$2:$E$3001,MAX(1,ROW()-1-'02_Eingaben'!$C$17)):INDEX($E$2:$E$3001,MIN('02_Eingaben'!$C$21,ROW()-1+'02_Eingaben'!$C$17))))</f>
        <v/>
      </c>
      <c r="G2386" s="27">
        <f>IF(F2386="","",F2386-'02_Eingaben'!$C$10)</f>
        <v/>
      </c>
      <c r="H2386">
        <f>IF(F2386="","",IF(F2386&lt;'02_Eingaben'!$C$18*'02_Eingaben'!$C$10,1,0))</f>
        <v/>
      </c>
      <c r="I2386" s="27">
        <f>IF(OR(G2386="",G2387=""),"",(G2386+G2387)/2*(B2387-B2386))</f>
        <v/>
      </c>
      <c r="J2386" s="27">
        <f>IF(B2386="","",IF(B2385&lt;'02_Eingaben'!$C$36,0,J2385+I2385/'02_Eingaben'!$C$8))</f>
        <v/>
      </c>
    </row>
    <row r="2387">
      <c r="A2387">
        <f>IF('01_Rohdaten'!A2387="","",ROW()-1)</f>
        <v/>
      </c>
      <c r="B2387" s="27">
        <f>IF('01_Rohdaten'!A2387="","",'01_Rohdaten'!A2387)</f>
        <v/>
      </c>
      <c r="C2387" s="27">
        <f>IF(B2387="","",INDEX('01_Rohdaten'!B2387:D2387,'02_Eingaben'!$C$13))</f>
        <v/>
      </c>
      <c r="D2387" s="27">
        <f>IF(C2387="","",C2387*'02_Eingaben'!$C$15)</f>
        <v/>
      </c>
      <c r="E2387" s="27">
        <f>IF(D2387="","",D2387*'02_Eingaben'!$C$8)</f>
        <v/>
      </c>
      <c r="F2387" s="27">
        <f>IF(E2387="","",AVERAGE(INDEX($E$2:$E$3001,MAX(1,ROW()-1-'02_Eingaben'!$C$17)):INDEX($E$2:$E$3001,MIN('02_Eingaben'!$C$21,ROW()-1+'02_Eingaben'!$C$17))))</f>
        <v/>
      </c>
      <c r="G2387" s="27">
        <f>IF(F2387="","",F2387-'02_Eingaben'!$C$10)</f>
        <v/>
      </c>
      <c r="H2387">
        <f>IF(F2387="","",IF(F2387&lt;'02_Eingaben'!$C$18*'02_Eingaben'!$C$10,1,0))</f>
        <v/>
      </c>
      <c r="I2387" s="27">
        <f>IF(OR(G2387="",G2388=""),"",(G2387+G2388)/2*(B2388-B2387))</f>
        <v/>
      </c>
      <c r="J2387" s="27">
        <f>IF(B2387="","",IF(B2386&lt;'02_Eingaben'!$C$36,0,J2386+I2386/'02_Eingaben'!$C$8))</f>
        <v/>
      </c>
    </row>
    <row r="2388">
      <c r="A2388">
        <f>IF('01_Rohdaten'!A2388="","",ROW()-1)</f>
        <v/>
      </c>
      <c r="B2388" s="27">
        <f>IF('01_Rohdaten'!A2388="","",'01_Rohdaten'!A2388)</f>
        <v/>
      </c>
      <c r="C2388" s="27">
        <f>IF(B2388="","",INDEX('01_Rohdaten'!B2388:D2388,'02_Eingaben'!$C$13))</f>
        <v/>
      </c>
      <c r="D2388" s="27">
        <f>IF(C2388="","",C2388*'02_Eingaben'!$C$15)</f>
        <v/>
      </c>
      <c r="E2388" s="27">
        <f>IF(D2388="","",D2388*'02_Eingaben'!$C$8)</f>
        <v/>
      </c>
      <c r="F2388" s="27">
        <f>IF(E2388="","",AVERAGE(INDEX($E$2:$E$3001,MAX(1,ROW()-1-'02_Eingaben'!$C$17)):INDEX($E$2:$E$3001,MIN('02_Eingaben'!$C$21,ROW()-1+'02_Eingaben'!$C$17))))</f>
        <v/>
      </c>
      <c r="G2388" s="27">
        <f>IF(F2388="","",F2388-'02_Eingaben'!$C$10)</f>
        <v/>
      </c>
      <c r="H2388">
        <f>IF(F2388="","",IF(F2388&lt;'02_Eingaben'!$C$18*'02_Eingaben'!$C$10,1,0))</f>
        <v/>
      </c>
      <c r="I2388" s="27">
        <f>IF(OR(G2388="",G2389=""),"",(G2388+G2389)/2*(B2389-B2388))</f>
        <v/>
      </c>
      <c r="J2388" s="27">
        <f>IF(B2388="","",IF(B2387&lt;'02_Eingaben'!$C$36,0,J2387+I2387/'02_Eingaben'!$C$8))</f>
        <v/>
      </c>
    </row>
    <row r="2389">
      <c r="A2389">
        <f>IF('01_Rohdaten'!A2389="","",ROW()-1)</f>
        <v/>
      </c>
      <c r="B2389" s="27">
        <f>IF('01_Rohdaten'!A2389="","",'01_Rohdaten'!A2389)</f>
        <v/>
      </c>
      <c r="C2389" s="27">
        <f>IF(B2389="","",INDEX('01_Rohdaten'!B2389:D2389,'02_Eingaben'!$C$13))</f>
        <v/>
      </c>
      <c r="D2389" s="27">
        <f>IF(C2389="","",C2389*'02_Eingaben'!$C$15)</f>
        <v/>
      </c>
      <c r="E2389" s="27">
        <f>IF(D2389="","",D2389*'02_Eingaben'!$C$8)</f>
        <v/>
      </c>
      <c r="F2389" s="27">
        <f>IF(E2389="","",AVERAGE(INDEX($E$2:$E$3001,MAX(1,ROW()-1-'02_Eingaben'!$C$17)):INDEX($E$2:$E$3001,MIN('02_Eingaben'!$C$21,ROW()-1+'02_Eingaben'!$C$17))))</f>
        <v/>
      </c>
      <c r="G2389" s="27">
        <f>IF(F2389="","",F2389-'02_Eingaben'!$C$10)</f>
        <v/>
      </c>
      <c r="H2389">
        <f>IF(F2389="","",IF(F2389&lt;'02_Eingaben'!$C$18*'02_Eingaben'!$C$10,1,0))</f>
        <v/>
      </c>
      <c r="I2389" s="27">
        <f>IF(OR(G2389="",G2390=""),"",(G2389+G2390)/2*(B2390-B2389))</f>
        <v/>
      </c>
      <c r="J2389" s="27">
        <f>IF(B2389="","",IF(B2388&lt;'02_Eingaben'!$C$36,0,J2388+I2388/'02_Eingaben'!$C$8))</f>
        <v/>
      </c>
    </row>
    <row r="2390">
      <c r="A2390">
        <f>IF('01_Rohdaten'!A2390="","",ROW()-1)</f>
        <v/>
      </c>
      <c r="B2390" s="27">
        <f>IF('01_Rohdaten'!A2390="","",'01_Rohdaten'!A2390)</f>
        <v/>
      </c>
      <c r="C2390" s="27">
        <f>IF(B2390="","",INDEX('01_Rohdaten'!B2390:D2390,'02_Eingaben'!$C$13))</f>
        <v/>
      </c>
      <c r="D2390" s="27">
        <f>IF(C2390="","",C2390*'02_Eingaben'!$C$15)</f>
        <v/>
      </c>
      <c r="E2390" s="27">
        <f>IF(D2390="","",D2390*'02_Eingaben'!$C$8)</f>
        <v/>
      </c>
      <c r="F2390" s="27">
        <f>IF(E2390="","",AVERAGE(INDEX($E$2:$E$3001,MAX(1,ROW()-1-'02_Eingaben'!$C$17)):INDEX($E$2:$E$3001,MIN('02_Eingaben'!$C$21,ROW()-1+'02_Eingaben'!$C$17))))</f>
        <v/>
      </c>
      <c r="G2390" s="27">
        <f>IF(F2390="","",F2390-'02_Eingaben'!$C$10)</f>
        <v/>
      </c>
      <c r="H2390">
        <f>IF(F2390="","",IF(F2390&lt;'02_Eingaben'!$C$18*'02_Eingaben'!$C$10,1,0))</f>
        <v/>
      </c>
      <c r="I2390" s="27">
        <f>IF(OR(G2390="",G2391=""),"",(G2390+G2391)/2*(B2391-B2390))</f>
        <v/>
      </c>
      <c r="J2390" s="27">
        <f>IF(B2390="","",IF(B2389&lt;'02_Eingaben'!$C$36,0,J2389+I2389/'02_Eingaben'!$C$8))</f>
        <v/>
      </c>
    </row>
    <row r="2391">
      <c r="A2391">
        <f>IF('01_Rohdaten'!A2391="","",ROW()-1)</f>
        <v/>
      </c>
      <c r="B2391" s="27">
        <f>IF('01_Rohdaten'!A2391="","",'01_Rohdaten'!A2391)</f>
        <v/>
      </c>
      <c r="C2391" s="27">
        <f>IF(B2391="","",INDEX('01_Rohdaten'!B2391:D2391,'02_Eingaben'!$C$13))</f>
        <v/>
      </c>
      <c r="D2391" s="27">
        <f>IF(C2391="","",C2391*'02_Eingaben'!$C$15)</f>
        <v/>
      </c>
      <c r="E2391" s="27">
        <f>IF(D2391="","",D2391*'02_Eingaben'!$C$8)</f>
        <v/>
      </c>
      <c r="F2391" s="27">
        <f>IF(E2391="","",AVERAGE(INDEX($E$2:$E$3001,MAX(1,ROW()-1-'02_Eingaben'!$C$17)):INDEX($E$2:$E$3001,MIN('02_Eingaben'!$C$21,ROW()-1+'02_Eingaben'!$C$17))))</f>
        <v/>
      </c>
      <c r="G2391" s="27">
        <f>IF(F2391="","",F2391-'02_Eingaben'!$C$10)</f>
        <v/>
      </c>
      <c r="H2391">
        <f>IF(F2391="","",IF(F2391&lt;'02_Eingaben'!$C$18*'02_Eingaben'!$C$10,1,0))</f>
        <v/>
      </c>
      <c r="I2391" s="27">
        <f>IF(OR(G2391="",G2392=""),"",(G2391+G2392)/2*(B2392-B2391))</f>
        <v/>
      </c>
      <c r="J2391" s="27">
        <f>IF(B2391="","",IF(B2390&lt;'02_Eingaben'!$C$36,0,J2390+I2390/'02_Eingaben'!$C$8))</f>
        <v/>
      </c>
    </row>
    <row r="2392">
      <c r="A2392">
        <f>IF('01_Rohdaten'!A2392="","",ROW()-1)</f>
        <v/>
      </c>
      <c r="B2392" s="27">
        <f>IF('01_Rohdaten'!A2392="","",'01_Rohdaten'!A2392)</f>
        <v/>
      </c>
      <c r="C2392" s="27">
        <f>IF(B2392="","",INDEX('01_Rohdaten'!B2392:D2392,'02_Eingaben'!$C$13))</f>
        <v/>
      </c>
      <c r="D2392" s="27">
        <f>IF(C2392="","",C2392*'02_Eingaben'!$C$15)</f>
        <v/>
      </c>
      <c r="E2392" s="27">
        <f>IF(D2392="","",D2392*'02_Eingaben'!$C$8)</f>
        <v/>
      </c>
      <c r="F2392" s="27">
        <f>IF(E2392="","",AVERAGE(INDEX($E$2:$E$3001,MAX(1,ROW()-1-'02_Eingaben'!$C$17)):INDEX($E$2:$E$3001,MIN('02_Eingaben'!$C$21,ROW()-1+'02_Eingaben'!$C$17))))</f>
        <v/>
      </c>
      <c r="G2392" s="27">
        <f>IF(F2392="","",F2392-'02_Eingaben'!$C$10)</f>
        <v/>
      </c>
      <c r="H2392">
        <f>IF(F2392="","",IF(F2392&lt;'02_Eingaben'!$C$18*'02_Eingaben'!$C$10,1,0))</f>
        <v/>
      </c>
      <c r="I2392" s="27">
        <f>IF(OR(G2392="",G2393=""),"",(G2392+G2393)/2*(B2393-B2392))</f>
        <v/>
      </c>
      <c r="J2392" s="27">
        <f>IF(B2392="","",IF(B2391&lt;'02_Eingaben'!$C$36,0,J2391+I2391/'02_Eingaben'!$C$8))</f>
        <v/>
      </c>
    </row>
    <row r="2393">
      <c r="A2393">
        <f>IF('01_Rohdaten'!A2393="","",ROW()-1)</f>
        <v/>
      </c>
      <c r="B2393" s="27">
        <f>IF('01_Rohdaten'!A2393="","",'01_Rohdaten'!A2393)</f>
        <v/>
      </c>
      <c r="C2393" s="27">
        <f>IF(B2393="","",INDEX('01_Rohdaten'!B2393:D2393,'02_Eingaben'!$C$13))</f>
        <v/>
      </c>
      <c r="D2393" s="27">
        <f>IF(C2393="","",C2393*'02_Eingaben'!$C$15)</f>
        <v/>
      </c>
      <c r="E2393" s="27">
        <f>IF(D2393="","",D2393*'02_Eingaben'!$C$8)</f>
        <v/>
      </c>
      <c r="F2393" s="27">
        <f>IF(E2393="","",AVERAGE(INDEX($E$2:$E$3001,MAX(1,ROW()-1-'02_Eingaben'!$C$17)):INDEX($E$2:$E$3001,MIN('02_Eingaben'!$C$21,ROW()-1+'02_Eingaben'!$C$17))))</f>
        <v/>
      </c>
      <c r="G2393" s="27">
        <f>IF(F2393="","",F2393-'02_Eingaben'!$C$10)</f>
        <v/>
      </c>
      <c r="H2393">
        <f>IF(F2393="","",IF(F2393&lt;'02_Eingaben'!$C$18*'02_Eingaben'!$C$10,1,0))</f>
        <v/>
      </c>
      <c r="I2393" s="27">
        <f>IF(OR(G2393="",G2394=""),"",(G2393+G2394)/2*(B2394-B2393))</f>
        <v/>
      </c>
      <c r="J2393" s="27">
        <f>IF(B2393="","",IF(B2392&lt;'02_Eingaben'!$C$36,0,J2392+I2392/'02_Eingaben'!$C$8))</f>
        <v/>
      </c>
    </row>
    <row r="2394">
      <c r="A2394">
        <f>IF('01_Rohdaten'!A2394="","",ROW()-1)</f>
        <v/>
      </c>
      <c r="B2394" s="27">
        <f>IF('01_Rohdaten'!A2394="","",'01_Rohdaten'!A2394)</f>
        <v/>
      </c>
      <c r="C2394" s="27">
        <f>IF(B2394="","",INDEX('01_Rohdaten'!B2394:D2394,'02_Eingaben'!$C$13))</f>
        <v/>
      </c>
      <c r="D2394" s="27">
        <f>IF(C2394="","",C2394*'02_Eingaben'!$C$15)</f>
        <v/>
      </c>
      <c r="E2394" s="27">
        <f>IF(D2394="","",D2394*'02_Eingaben'!$C$8)</f>
        <v/>
      </c>
      <c r="F2394" s="27">
        <f>IF(E2394="","",AVERAGE(INDEX($E$2:$E$3001,MAX(1,ROW()-1-'02_Eingaben'!$C$17)):INDEX($E$2:$E$3001,MIN('02_Eingaben'!$C$21,ROW()-1+'02_Eingaben'!$C$17))))</f>
        <v/>
      </c>
      <c r="G2394" s="27">
        <f>IF(F2394="","",F2394-'02_Eingaben'!$C$10)</f>
        <v/>
      </c>
      <c r="H2394">
        <f>IF(F2394="","",IF(F2394&lt;'02_Eingaben'!$C$18*'02_Eingaben'!$C$10,1,0))</f>
        <v/>
      </c>
      <c r="I2394" s="27">
        <f>IF(OR(G2394="",G2395=""),"",(G2394+G2395)/2*(B2395-B2394))</f>
        <v/>
      </c>
      <c r="J2394" s="27">
        <f>IF(B2394="","",IF(B2393&lt;'02_Eingaben'!$C$36,0,J2393+I2393/'02_Eingaben'!$C$8))</f>
        <v/>
      </c>
    </row>
    <row r="2395">
      <c r="A2395">
        <f>IF('01_Rohdaten'!A2395="","",ROW()-1)</f>
        <v/>
      </c>
      <c r="B2395" s="27">
        <f>IF('01_Rohdaten'!A2395="","",'01_Rohdaten'!A2395)</f>
        <v/>
      </c>
      <c r="C2395" s="27">
        <f>IF(B2395="","",INDEX('01_Rohdaten'!B2395:D2395,'02_Eingaben'!$C$13))</f>
        <v/>
      </c>
      <c r="D2395" s="27">
        <f>IF(C2395="","",C2395*'02_Eingaben'!$C$15)</f>
        <v/>
      </c>
      <c r="E2395" s="27">
        <f>IF(D2395="","",D2395*'02_Eingaben'!$C$8)</f>
        <v/>
      </c>
      <c r="F2395" s="27">
        <f>IF(E2395="","",AVERAGE(INDEX($E$2:$E$3001,MAX(1,ROW()-1-'02_Eingaben'!$C$17)):INDEX($E$2:$E$3001,MIN('02_Eingaben'!$C$21,ROW()-1+'02_Eingaben'!$C$17))))</f>
        <v/>
      </c>
      <c r="G2395" s="27">
        <f>IF(F2395="","",F2395-'02_Eingaben'!$C$10)</f>
        <v/>
      </c>
      <c r="H2395">
        <f>IF(F2395="","",IF(F2395&lt;'02_Eingaben'!$C$18*'02_Eingaben'!$C$10,1,0))</f>
        <v/>
      </c>
      <c r="I2395" s="27">
        <f>IF(OR(G2395="",G2396=""),"",(G2395+G2396)/2*(B2396-B2395))</f>
        <v/>
      </c>
      <c r="J2395" s="27">
        <f>IF(B2395="","",IF(B2394&lt;'02_Eingaben'!$C$36,0,J2394+I2394/'02_Eingaben'!$C$8))</f>
        <v/>
      </c>
    </row>
    <row r="2396">
      <c r="A2396">
        <f>IF('01_Rohdaten'!A2396="","",ROW()-1)</f>
        <v/>
      </c>
      <c r="B2396" s="27">
        <f>IF('01_Rohdaten'!A2396="","",'01_Rohdaten'!A2396)</f>
        <v/>
      </c>
      <c r="C2396" s="27">
        <f>IF(B2396="","",INDEX('01_Rohdaten'!B2396:D2396,'02_Eingaben'!$C$13))</f>
        <v/>
      </c>
      <c r="D2396" s="27">
        <f>IF(C2396="","",C2396*'02_Eingaben'!$C$15)</f>
        <v/>
      </c>
      <c r="E2396" s="27">
        <f>IF(D2396="","",D2396*'02_Eingaben'!$C$8)</f>
        <v/>
      </c>
      <c r="F2396" s="27">
        <f>IF(E2396="","",AVERAGE(INDEX($E$2:$E$3001,MAX(1,ROW()-1-'02_Eingaben'!$C$17)):INDEX($E$2:$E$3001,MIN('02_Eingaben'!$C$21,ROW()-1+'02_Eingaben'!$C$17))))</f>
        <v/>
      </c>
      <c r="G2396" s="27">
        <f>IF(F2396="","",F2396-'02_Eingaben'!$C$10)</f>
        <v/>
      </c>
      <c r="H2396">
        <f>IF(F2396="","",IF(F2396&lt;'02_Eingaben'!$C$18*'02_Eingaben'!$C$10,1,0))</f>
        <v/>
      </c>
      <c r="I2396" s="27">
        <f>IF(OR(G2396="",G2397=""),"",(G2396+G2397)/2*(B2397-B2396))</f>
        <v/>
      </c>
      <c r="J2396" s="27">
        <f>IF(B2396="","",IF(B2395&lt;'02_Eingaben'!$C$36,0,J2395+I2395/'02_Eingaben'!$C$8))</f>
        <v/>
      </c>
    </row>
    <row r="2397">
      <c r="A2397">
        <f>IF('01_Rohdaten'!A2397="","",ROW()-1)</f>
        <v/>
      </c>
      <c r="B2397" s="27">
        <f>IF('01_Rohdaten'!A2397="","",'01_Rohdaten'!A2397)</f>
        <v/>
      </c>
      <c r="C2397" s="27">
        <f>IF(B2397="","",INDEX('01_Rohdaten'!B2397:D2397,'02_Eingaben'!$C$13))</f>
        <v/>
      </c>
      <c r="D2397" s="27">
        <f>IF(C2397="","",C2397*'02_Eingaben'!$C$15)</f>
        <v/>
      </c>
      <c r="E2397" s="27">
        <f>IF(D2397="","",D2397*'02_Eingaben'!$C$8)</f>
        <v/>
      </c>
      <c r="F2397" s="27">
        <f>IF(E2397="","",AVERAGE(INDEX($E$2:$E$3001,MAX(1,ROW()-1-'02_Eingaben'!$C$17)):INDEX($E$2:$E$3001,MIN('02_Eingaben'!$C$21,ROW()-1+'02_Eingaben'!$C$17))))</f>
        <v/>
      </c>
      <c r="G2397" s="27">
        <f>IF(F2397="","",F2397-'02_Eingaben'!$C$10)</f>
        <v/>
      </c>
      <c r="H2397">
        <f>IF(F2397="","",IF(F2397&lt;'02_Eingaben'!$C$18*'02_Eingaben'!$C$10,1,0))</f>
        <v/>
      </c>
      <c r="I2397" s="27">
        <f>IF(OR(G2397="",G2398=""),"",(G2397+G2398)/2*(B2398-B2397))</f>
        <v/>
      </c>
      <c r="J2397" s="27">
        <f>IF(B2397="","",IF(B2396&lt;'02_Eingaben'!$C$36,0,J2396+I2396/'02_Eingaben'!$C$8))</f>
        <v/>
      </c>
    </row>
    <row r="2398">
      <c r="A2398">
        <f>IF('01_Rohdaten'!A2398="","",ROW()-1)</f>
        <v/>
      </c>
      <c r="B2398" s="27">
        <f>IF('01_Rohdaten'!A2398="","",'01_Rohdaten'!A2398)</f>
        <v/>
      </c>
      <c r="C2398" s="27">
        <f>IF(B2398="","",INDEX('01_Rohdaten'!B2398:D2398,'02_Eingaben'!$C$13))</f>
        <v/>
      </c>
      <c r="D2398" s="27">
        <f>IF(C2398="","",C2398*'02_Eingaben'!$C$15)</f>
        <v/>
      </c>
      <c r="E2398" s="27">
        <f>IF(D2398="","",D2398*'02_Eingaben'!$C$8)</f>
        <v/>
      </c>
      <c r="F2398" s="27">
        <f>IF(E2398="","",AVERAGE(INDEX($E$2:$E$3001,MAX(1,ROW()-1-'02_Eingaben'!$C$17)):INDEX($E$2:$E$3001,MIN('02_Eingaben'!$C$21,ROW()-1+'02_Eingaben'!$C$17))))</f>
        <v/>
      </c>
      <c r="G2398" s="27">
        <f>IF(F2398="","",F2398-'02_Eingaben'!$C$10)</f>
        <v/>
      </c>
      <c r="H2398">
        <f>IF(F2398="","",IF(F2398&lt;'02_Eingaben'!$C$18*'02_Eingaben'!$C$10,1,0))</f>
        <v/>
      </c>
      <c r="I2398" s="27">
        <f>IF(OR(G2398="",G2399=""),"",(G2398+G2399)/2*(B2399-B2398))</f>
        <v/>
      </c>
      <c r="J2398" s="27">
        <f>IF(B2398="","",IF(B2397&lt;'02_Eingaben'!$C$36,0,J2397+I2397/'02_Eingaben'!$C$8))</f>
        <v/>
      </c>
    </row>
    <row r="2399">
      <c r="A2399">
        <f>IF('01_Rohdaten'!A2399="","",ROW()-1)</f>
        <v/>
      </c>
      <c r="B2399" s="27">
        <f>IF('01_Rohdaten'!A2399="","",'01_Rohdaten'!A2399)</f>
        <v/>
      </c>
      <c r="C2399" s="27">
        <f>IF(B2399="","",INDEX('01_Rohdaten'!B2399:D2399,'02_Eingaben'!$C$13))</f>
        <v/>
      </c>
      <c r="D2399" s="27">
        <f>IF(C2399="","",C2399*'02_Eingaben'!$C$15)</f>
        <v/>
      </c>
      <c r="E2399" s="27">
        <f>IF(D2399="","",D2399*'02_Eingaben'!$C$8)</f>
        <v/>
      </c>
      <c r="F2399" s="27">
        <f>IF(E2399="","",AVERAGE(INDEX($E$2:$E$3001,MAX(1,ROW()-1-'02_Eingaben'!$C$17)):INDEX($E$2:$E$3001,MIN('02_Eingaben'!$C$21,ROW()-1+'02_Eingaben'!$C$17))))</f>
        <v/>
      </c>
      <c r="G2399" s="27">
        <f>IF(F2399="","",F2399-'02_Eingaben'!$C$10)</f>
        <v/>
      </c>
      <c r="H2399">
        <f>IF(F2399="","",IF(F2399&lt;'02_Eingaben'!$C$18*'02_Eingaben'!$C$10,1,0))</f>
        <v/>
      </c>
      <c r="I2399" s="27">
        <f>IF(OR(G2399="",G2400=""),"",(G2399+G2400)/2*(B2400-B2399))</f>
        <v/>
      </c>
      <c r="J2399" s="27">
        <f>IF(B2399="","",IF(B2398&lt;'02_Eingaben'!$C$36,0,J2398+I2398/'02_Eingaben'!$C$8))</f>
        <v/>
      </c>
    </row>
    <row r="2400">
      <c r="A2400">
        <f>IF('01_Rohdaten'!A2400="","",ROW()-1)</f>
        <v/>
      </c>
      <c r="B2400" s="27">
        <f>IF('01_Rohdaten'!A2400="","",'01_Rohdaten'!A2400)</f>
        <v/>
      </c>
      <c r="C2400" s="27">
        <f>IF(B2400="","",INDEX('01_Rohdaten'!B2400:D2400,'02_Eingaben'!$C$13))</f>
        <v/>
      </c>
      <c r="D2400" s="27">
        <f>IF(C2400="","",C2400*'02_Eingaben'!$C$15)</f>
        <v/>
      </c>
      <c r="E2400" s="27">
        <f>IF(D2400="","",D2400*'02_Eingaben'!$C$8)</f>
        <v/>
      </c>
      <c r="F2400" s="27">
        <f>IF(E2400="","",AVERAGE(INDEX($E$2:$E$3001,MAX(1,ROW()-1-'02_Eingaben'!$C$17)):INDEX($E$2:$E$3001,MIN('02_Eingaben'!$C$21,ROW()-1+'02_Eingaben'!$C$17))))</f>
        <v/>
      </c>
      <c r="G2400" s="27">
        <f>IF(F2400="","",F2400-'02_Eingaben'!$C$10)</f>
        <v/>
      </c>
      <c r="H2400">
        <f>IF(F2400="","",IF(F2400&lt;'02_Eingaben'!$C$18*'02_Eingaben'!$C$10,1,0))</f>
        <v/>
      </c>
      <c r="I2400" s="27">
        <f>IF(OR(G2400="",G2401=""),"",(G2400+G2401)/2*(B2401-B2400))</f>
        <v/>
      </c>
      <c r="J2400" s="27">
        <f>IF(B2400="","",IF(B2399&lt;'02_Eingaben'!$C$36,0,J2399+I2399/'02_Eingaben'!$C$8))</f>
        <v/>
      </c>
    </row>
    <row r="2401">
      <c r="A2401">
        <f>IF('01_Rohdaten'!A2401="","",ROW()-1)</f>
        <v/>
      </c>
      <c r="B2401" s="27">
        <f>IF('01_Rohdaten'!A2401="","",'01_Rohdaten'!A2401)</f>
        <v/>
      </c>
      <c r="C2401" s="27">
        <f>IF(B2401="","",INDEX('01_Rohdaten'!B2401:D2401,'02_Eingaben'!$C$13))</f>
        <v/>
      </c>
      <c r="D2401" s="27">
        <f>IF(C2401="","",C2401*'02_Eingaben'!$C$15)</f>
        <v/>
      </c>
      <c r="E2401" s="27">
        <f>IF(D2401="","",D2401*'02_Eingaben'!$C$8)</f>
        <v/>
      </c>
      <c r="F2401" s="27">
        <f>IF(E2401="","",AVERAGE(INDEX($E$2:$E$3001,MAX(1,ROW()-1-'02_Eingaben'!$C$17)):INDEX($E$2:$E$3001,MIN('02_Eingaben'!$C$21,ROW()-1+'02_Eingaben'!$C$17))))</f>
        <v/>
      </c>
      <c r="G2401" s="27">
        <f>IF(F2401="","",F2401-'02_Eingaben'!$C$10)</f>
        <v/>
      </c>
      <c r="H2401">
        <f>IF(F2401="","",IF(F2401&lt;'02_Eingaben'!$C$18*'02_Eingaben'!$C$10,1,0))</f>
        <v/>
      </c>
      <c r="I2401" s="27">
        <f>IF(OR(G2401="",G2402=""),"",(G2401+G2402)/2*(B2402-B2401))</f>
        <v/>
      </c>
      <c r="J2401" s="27">
        <f>IF(B2401="","",IF(B2400&lt;'02_Eingaben'!$C$36,0,J2400+I2400/'02_Eingaben'!$C$8))</f>
        <v/>
      </c>
    </row>
    <row r="2402">
      <c r="A2402">
        <f>IF('01_Rohdaten'!A2402="","",ROW()-1)</f>
        <v/>
      </c>
      <c r="B2402" s="27">
        <f>IF('01_Rohdaten'!A2402="","",'01_Rohdaten'!A2402)</f>
        <v/>
      </c>
      <c r="C2402" s="27">
        <f>IF(B2402="","",INDEX('01_Rohdaten'!B2402:D2402,'02_Eingaben'!$C$13))</f>
        <v/>
      </c>
      <c r="D2402" s="27">
        <f>IF(C2402="","",C2402*'02_Eingaben'!$C$15)</f>
        <v/>
      </c>
      <c r="E2402" s="27">
        <f>IF(D2402="","",D2402*'02_Eingaben'!$C$8)</f>
        <v/>
      </c>
      <c r="F2402" s="27">
        <f>IF(E2402="","",AVERAGE(INDEX($E$2:$E$3001,MAX(1,ROW()-1-'02_Eingaben'!$C$17)):INDEX($E$2:$E$3001,MIN('02_Eingaben'!$C$21,ROW()-1+'02_Eingaben'!$C$17))))</f>
        <v/>
      </c>
      <c r="G2402" s="27">
        <f>IF(F2402="","",F2402-'02_Eingaben'!$C$10)</f>
        <v/>
      </c>
      <c r="H2402">
        <f>IF(F2402="","",IF(F2402&lt;'02_Eingaben'!$C$18*'02_Eingaben'!$C$10,1,0))</f>
        <v/>
      </c>
      <c r="I2402" s="27">
        <f>IF(OR(G2402="",G2403=""),"",(G2402+G2403)/2*(B2403-B2402))</f>
        <v/>
      </c>
      <c r="J2402" s="27">
        <f>IF(B2402="","",IF(B2401&lt;'02_Eingaben'!$C$36,0,J2401+I2401/'02_Eingaben'!$C$8))</f>
        <v/>
      </c>
    </row>
    <row r="2403">
      <c r="A2403">
        <f>IF('01_Rohdaten'!A2403="","",ROW()-1)</f>
        <v/>
      </c>
      <c r="B2403" s="27">
        <f>IF('01_Rohdaten'!A2403="","",'01_Rohdaten'!A2403)</f>
        <v/>
      </c>
      <c r="C2403" s="27">
        <f>IF(B2403="","",INDEX('01_Rohdaten'!B2403:D2403,'02_Eingaben'!$C$13))</f>
        <v/>
      </c>
      <c r="D2403" s="27">
        <f>IF(C2403="","",C2403*'02_Eingaben'!$C$15)</f>
        <v/>
      </c>
      <c r="E2403" s="27">
        <f>IF(D2403="","",D2403*'02_Eingaben'!$C$8)</f>
        <v/>
      </c>
      <c r="F2403" s="27">
        <f>IF(E2403="","",AVERAGE(INDEX($E$2:$E$3001,MAX(1,ROW()-1-'02_Eingaben'!$C$17)):INDEX($E$2:$E$3001,MIN('02_Eingaben'!$C$21,ROW()-1+'02_Eingaben'!$C$17))))</f>
        <v/>
      </c>
      <c r="G2403" s="27">
        <f>IF(F2403="","",F2403-'02_Eingaben'!$C$10)</f>
        <v/>
      </c>
      <c r="H2403">
        <f>IF(F2403="","",IF(F2403&lt;'02_Eingaben'!$C$18*'02_Eingaben'!$C$10,1,0))</f>
        <v/>
      </c>
      <c r="I2403" s="27">
        <f>IF(OR(G2403="",G2404=""),"",(G2403+G2404)/2*(B2404-B2403))</f>
        <v/>
      </c>
      <c r="J2403" s="27">
        <f>IF(B2403="","",IF(B2402&lt;'02_Eingaben'!$C$36,0,J2402+I2402/'02_Eingaben'!$C$8))</f>
        <v/>
      </c>
    </row>
    <row r="2404">
      <c r="A2404">
        <f>IF('01_Rohdaten'!A2404="","",ROW()-1)</f>
        <v/>
      </c>
      <c r="B2404" s="27">
        <f>IF('01_Rohdaten'!A2404="","",'01_Rohdaten'!A2404)</f>
        <v/>
      </c>
      <c r="C2404" s="27">
        <f>IF(B2404="","",INDEX('01_Rohdaten'!B2404:D2404,'02_Eingaben'!$C$13))</f>
        <v/>
      </c>
      <c r="D2404" s="27">
        <f>IF(C2404="","",C2404*'02_Eingaben'!$C$15)</f>
        <v/>
      </c>
      <c r="E2404" s="27">
        <f>IF(D2404="","",D2404*'02_Eingaben'!$C$8)</f>
        <v/>
      </c>
      <c r="F2404" s="27">
        <f>IF(E2404="","",AVERAGE(INDEX($E$2:$E$3001,MAX(1,ROW()-1-'02_Eingaben'!$C$17)):INDEX($E$2:$E$3001,MIN('02_Eingaben'!$C$21,ROW()-1+'02_Eingaben'!$C$17))))</f>
        <v/>
      </c>
      <c r="G2404" s="27">
        <f>IF(F2404="","",F2404-'02_Eingaben'!$C$10)</f>
        <v/>
      </c>
      <c r="H2404">
        <f>IF(F2404="","",IF(F2404&lt;'02_Eingaben'!$C$18*'02_Eingaben'!$C$10,1,0))</f>
        <v/>
      </c>
      <c r="I2404" s="27">
        <f>IF(OR(G2404="",G2405=""),"",(G2404+G2405)/2*(B2405-B2404))</f>
        <v/>
      </c>
      <c r="J2404" s="27">
        <f>IF(B2404="","",IF(B2403&lt;'02_Eingaben'!$C$36,0,J2403+I2403/'02_Eingaben'!$C$8))</f>
        <v/>
      </c>
    </row>
    <row r="2405">
      <c r="A2405">
        <f>IF('01_Rohdaten'!A2405="","",ROW()-1)</f>
        <v/>
      </c>
      <c r="B2405" s="27">
        <f>IF('01_Rohdaten'!A2405="","",'01_Rohdaten'!A2405)</f>
        <v/>
      </c>
      <c r="C2405" s="27">
        <f>IF(B2405="","",INDEX('01_Rohdaten'!B2405:D2405,'02_Eingaben'!$C$13))</f>
        <v/>
      </c>
      <c r="D2405" s="27">
        <f>IF(C2405="","",C2405*'02_Eingaben'!$C$15)</f>
        <v/>
      </c>
      <c r="E2405" s="27">
        <f>IF(D2405="","",D2405*'02_Eingaben'!$C$8)</f>
        <v/>
      </c>
      <c r="F2405" s="27">
        <f>IF(E2405="","",AVERAGE(INDEX($E$2:$E$3001,MAX(1,ROW()-1-'02_Eingaben'!$C$17)):INDEX($E$2:$E$3001,MIN('02_Eingaben'!$C$21,ROW()-1+'02_Eingaben'!$C$17))))</f>
        <v/>
      </c>
      <c r="G2405" s="27">
        <f>IF(F2405="","",F2405-'02_Eingaben'!$C$10)</f>
        <v/>
      </c>
      <c r="H2405">
        <f>IF(F2405="","",IF(F2405&lt;'02_Eingaben'!$C$18*'02_Eingaben'!$C$10,1,0))</f>
        <v/>
      </c>
      <c r="I2405" s="27">
        <f>IF(OR(G2405="",G2406=""),"",(G2405+G2406)/2*(B2406-B2405))</f>
        <v/>
      </c>
      <c r="J2405" s="27">
        <f>IF(B2405="","",IF(B2404&lt;'02_Eingaben'!$C$36,0,J2404+I2404/'02_Eingaben'!$C$8))</f>
        <v/>
      </c>
    </row>
    <row r="2406">
      <c r="A2406">
        <f>IF('01_Rohdaten'!A2406="","",ROW()-1)</f>
        <v/>
      </c>
      <c r="B2406" s="27">
        <f>IF('01_Rohdaten'!A2406="","",'01_Rohdaten'!A2406)</f>
        <v/>
      </c>
      <c r="C2406" s="27">
        <f>IF(B2406="","",INDEX('01_Rohdaten'!B2406:D2406,'02_Eingaben'!$C$13))</f>
        <v/>
      </c>
      <c r="D2406" s="27">
        <f>IF(C2406="","",C2406*'02_Eingaben'!$C$15)</f>
        <v/>
      </c>
      <c r="E2406" s="27">
        <f>IF(D2406="","",D2406*'02_Eingaben'!$C$8)</f>
        <v/>
      </c>
      <c r="F2406" s="27">
        <f>IF(E2406="","",AVERAGE(INDEX($E$2:$E$3001,MAX(1,ROW()-1-'02_Eingaben'!$C$17)):INDEX($E$2:$E$3001,MIN('02_Eingaben'!$C$21,ROW()-1+'02_Eingaben'!$C$17))))</f>
        <v/>
      </c>
      <c r="G2406" s="27">
        <f>IF(F2406="","",F2406-'02_Eingaben'!$C$10)</f>
        <v/>
      </c>
      <c r="H2406">
        <f>IF(F2406="","",IF(F2406&lt;'02_Eingaben'!$C$18*'02_Eingaben'!$C$10,1,0))</f>
        <v/>
      </c>
      <c r="I2406" s="27">
        <f>IF(OR(G2406="",G2407=""),"",(G2406+G2407)/2*(B2407-B2406))</f>
        <v/>
      </c>
      <c r="J2406" s="27">
        <f>IF(B2406="","",IF(B2405&lt;'02_Eingaben'!$C$36,0,J2405+I2405/'02_Eingaben'!$C$8))</f>
        <v/>
      </c>
    </row>
    <row r="2407">
      <c r="A2407">
        <f>IF('01_Rohdaten'!A2407="","",ROW()-1)</f>
        <v/>
      </c>
      <c r="B2407" s="27">
        <f>IF('01_Rohdaten'!A2407="","",'01_Rohdaten'!A2407)</f>
        <v/>
      </c>
      <c r="C2407" s="27">
        <f>IF(B2407="","",INDEX('01_Rohdaten'!B2407:D2407,'02_Eingaben'!$C$13))</f>
        <v/>
      </c>
      <c r="D2407" s="27">
        <f>IF(C2407="","",C2407*'02_Eingaben'!$C$15)</f>
        <v/>
      </c>
      <c r="E2407" s="27">
        <f>IF(D2407="","",D2407*'02_Eingaben'!$C$8)</f>
        <v/>
      </c>
      <c r="F2407" s="27">
        <f>IF(E2407="","",AVERAGE(INDEX($E$2:$E$3001,MAX(1,ROW()-1-'02_Eingaben'!$C$17)):INDEX($E$2:$E$3001,MIN('02_Eingaben'!$C$21,ROW()-1+'02_Eingaben'!$C$17))))</f>
        <v/>
      </c>
      <c r="G2407" s="27">
        <f>IF(F2407="","",F2407-'02_Eingaben'!$C$10)</f>
        <v/>
      </c>
      <c r="H2407">
        <f>IF(F2407="","",IF(F2407&lt;'02_Eingaben'!$C$18*'02_Eingaben'!$C$10,1,0))</f>
        <v/>
      </c>
      <c r="I2407" s="27">
        <f>IF(OR(G2407="",G2408=""),"",(G2407+G2408)/2*(B2408-B2407))</f>
        <v/>
      </c>
      <c r="J2407" s="27">
        <f>IF(B2407="","",IF(B2406&lt;'02_Eingaben'!$C$36,0,J2406+I2406/'02_Eingaben'!$C$8))</f>
        <v/>
      </c>
    </row>
    <row r="2408">
      <c r="A2408">
        <f>IF('01_Rohdaten'!A2408="","",ROW()-1)</f>
        <v/>
      </c>
      <c r="B2408" s="27">
        <f>IF('01_Rohdaten'!A2408="","",'01_Rohdaten'!A2408)</f>
        <v/>
      </c>
      <c r="C2408" s="27">
        <f>IF(B2408="","",INDEX('01_Rohdaten'!B2408:D2408,'02_Eingaben'!$C$13))</f>
        <v/>
      </c>
      <c r="D2408" s="27">
        <f>IF(C2408="","",C2408*'02_Eingaben'!$C$15)</f>
        <v/>
      </c>
      <c r="E2408" s="27">
        <f>IF(D2408="","",D2408*'02_Eingaben'!$C$8)</f>
        <v/>
      </c>
      <c r="F2408" s="27">
        <f>IF(E2408="","",AVERAGE(INDEX($E$2:$E$3001,MAX(1,ROW()-1-'02_Eingaben'!$C$17)):INDEX($E$2:$E$3001,MIN('02_Eingaben'!$C$21,ROW()-1+'02_Eingaben'!$C$17))))</f>
        <v/>
      </c>
      <c r="G2408" s="27">
        <f>IF(F2408="","",F2408-'02_Eingaben'!$C$10)</f>
        <v/>
      </c>
      <c r="H2408">
        <f>IF(F2408="","",IF(F2408&lt;'02_Eingaben'!$C$18*'02_Eingaben'!$C$10,1,0))</f>
        <v/>
      </c>
      <c r="I2408" s="27">
        <f>IF(OR(G2408="",G2409=""),"",(G2408+G2409)/2*(B2409-B2408))</f>
        <v/>
      </c>
      <c r="J2408" s="27">
        <f>IF(B2408="","",IF(B2407&lt;'02_Eingaben'!$C$36,0,J2407+I2407/'02_Eingaben'!$C$8))</f>
        <v/>
      </c>
    </row>
    <row r="2409">
      <c r="A2409">
        <f>IF('01_Rohdaten'!A2409="","",ROW()-1)</f>
        <v/>
      </c>
      <c r="B2409" s="27">
        <f>IF('01_Rohdaten'!A2409="","",'01_Rohdaten'!A2409)</f>
        <v/>
      </c>
      <c r="C2409" s="27">
        <f>IF(B2409="","",INDEX('01_Rohdaten'!B2409:D2409,'02_Eingaben'!$C$13))</f>
        <v/>
      </c>
      <c r="D2409" s="27">
        <f>IF(C2409="","",C2409*'02_Eingaben'!$C$15)</f>
        <v/>
      </c>
      <c r="E2409" s="27">
        <f>IF(D2409="","",D2409*'02_Eingaben'!$C$8)</f>
        <v/>
      </c>
      <c r="F2409" s="27">
        <f>IF(E2409="","",AVERAGE(INDEX($E$2:$E$3001,MAX(1,ROW()-1-'02_Eingaben'!$C$17)):INDEX($E$2:$E$3001,MIN('02_Eingaben'!$C$21,ROW()-1+'02_Eingaben'!$C$17))))</f>
        <v/>
      </c>
      <c r="G2409" s="27">
        <f>IF(F2409="","",F2409-'02_Eingaben'!$C$10)</f>
        <v/>
      </c>
      <c r="H2409">
        <f>IF(F2409="","",IF(F2409&lt;'02_Eingaben'!$C$18*'02_Eingaben'!$C$10,1,0))</f>
        <v/>
      </c>
      <c r="I2409" s="27">
        <f>IF(OR(G2409="",G2410=""),"",(G2409+G2410)/2*(B2410-B2409))</f>
        <v/>
      </c>
      <c r="J2409" s="27">
        <f>IF(B2409="","",IF(B2408&lt;'02_Eingaben'!$C$36,0,J2408+I2408/'02_Eingaben'!$C$8))</f>
        <v/>
      </c>
    </row>
    <row r="2410">
      <c r="A2410">
        <f>IF('01_Rohdaten'!A2410="","",ROW()-1)</f>
        <v/>
      </c>
      <c r="B2410" s="27">
        <f>IF('01_Rohdaten'!A2410="","",'01_Rohdaten'!A2410)</f>
        <v/>
      </c>
      <c r="C2410" s="27">
        <f>IF(B2410="","",INDEX('01_Rohdaten'!B2410:D2410,'02_Eingaben'!$C$13))</f>
        <v/>
      </c>
      <c r="D2410" s="27">
        <f>IF(C2410="","",C2410*'02_Eingaben'!$C$15)</f>
        <v/>
      </c>
      <c r="E2410" s="27">
        <f>IF(D2410="","",D2410*'02_Eingaben'!$C$8)</f>
        <v/>
      </c>
      <c r="F2410" s="27">
        <f>IF(E2410="","",AVERAGE(INDEX($E$2:$E$3001,MAX(1,ROW()-1-'02_Eingaben'!$C$17)):INDEX($E$2:$E$3001,MIN('02_Eingaben'!$C$21,ROW()-1+'02_Eingaben'!$C$17))))</f>
        <v/>
      </c>
      <c r="G2410" s="27">
        <f>IF(F2410="","",F2410-'02_Eingaben'!$C$10)</f>
        <v/>
      </c>
      <c r="H2410">
        <f>IF(F2410="","",IF(F2410&lt;'02_Eingaben'!$C$18*'02_Eingaben'!$C$10,1,0))</f>
        <v/>
      </c>
      <c r="I2410" s="27">
        <f>IF(OR(G2410="",G2411=""),"",(G2410+G2411)/2*(B2411-B2410))</f>
        <v/>
      </c>
      <c r="J2410" s="27">
        <f>IF(B2410="","",IF(B2409&lt;'02_Eingaben'!$C$36,0,J2409+I2409/'02_Eingaben'!$C$8))</f>
        <v/>
      </c>
    </row>
    <row r="2411">
      <c r="A2411">
        <f>IF('01_Rohdaten'!A2411="","",ROW()-1)</f>
        <v/>
      </c>
      <c r="B2411" s="27">
        <f>IF('01_Rohdaten'!A2411="","",'01_Rohdaten'!A2411)</f>
        <v/>
      </c>
      <c r="C2411" s="27">
        <f>IF(B2411="","",INDEX('01_Rohdaten'!B2411:D2411,'02_Eingaben'!$C$13))</f>
        <v/>
      </c>
      <c r="D2411" s="27">
        <f>IF(C2411="","",C2411*'02_Eingaben'!$C$15)</f>
        <v/>
      </c>
      <c r="E2411" s="27">
        <f>IF(D2411="","",D2411*'02_Eingaben'!$C$8)</f>
        <v/>
      </c>
      <c r="F2411" s="27">
        <f>IF(E2411="","",AVERAGE(INDEX($E$2:$E$3001,MAX(1,ROW()-1-'02_Eingaben'!$C$17)):INDEX($E$2:$E$3001,MIN('02_Eingaben'!$C$21,ROW()-1+'02_Eingaben'!$C$17))))</f>
        <v/>
      </c>
      <c r="G2411" s="27">
        <f>IF(F2411="","",F2411-'02_Eingaben'!$C$10)</f>
        <v/>
      </c>
      <c r="H2411">
        <f>IF(F2411="","",IF(F2411&lt;'02_Eingaben'!$C$18*'02_Eingaben'!$C$10,1,0))</f>
        <v/>
      </c>
      <c r="I2411" s="27">
        <f>IF(OR(G2411="",G2412=""),"",(G2411+G2412)/2*(B2412-B2411))</f>
        <v/>
      </c>
      <c r="J2411" s="27">
        <f>IF(B2411="","",IF(B2410&lt;'02_Eingaben'!$C$36,0,J2410+I2410/'02_Eingaben'!$C$8))</f>
        <v/>
      </c>
    </row>
    <row r="2412">
      <c r="A2412">
        <f>IF('01_Rohdaten'!A2412="","",ROW()-1)</f>
        <v/>
      </c>
      <c r="B2412" s="27">
        <f>IF('01_Rohdaten'!A2412="","",'01_Rohdaten'!A2412)</f>
        <v/>
      </c>
      <c r="C2412" s="27">
        <f>IF(B2412="","",INDEX('01_Rohdaten'!B2412:D2412,'02_Eingaben'!$C$13))</f>
        <v/>
      </c>
      <c r="D2412" s="27">
        <f>IF(C2412="","",C2412*'02_Eingaben'!$C$15)</f>
        <v/>
      </c>
      <c r="E2412" s="27">
        <f>IF(D2412="","",D2412*'02_Eingaben'!$C$8)</f>
        <v/>
      </c>
      <c r="F2412" s="27">
        <f>IF(E2412="","",AVERAGE(INDEX($E$2:$E$3001,MAX(1,ROW()-1-'02_Eingaben'!$C$17)):INDEX($E$2:$E$3001,MIN('02_Eingaben'!$C$21,ROW()-1+'02_Eingaben'!$C$17))))</f>
        <v/>
      </c>
      <c r="G2412" s="27">
        <f>IF(F2412="","",F2412-'02_Eingaben'!$C$10)</f>
        <v/>
      </c>
      <c r="H2412">
        <f>IF(F2412="","",IF(F2412&lt;'02_Eingaben'!$C$18*'02_Eingaben'!$C$10,1,0))</f>
        <v/>
      </c>
      <c r="I2412" s="27">
        <f>IF(OR(G2412="",G2413=""),"",(G2412+G2413)/2*(B2413-B2412))</f>
        <v/>
      </c>
      <c r="J2412" s="27">
        <f>IF(B2412="","",IF(B2411&lt;'02_Eingaben'!$C$36,0,J2411+I2411/'02_Eingaben'!$C$8))</f>
        <v/>
      </c>
    </row>
    <row r="2413">
      <c r="A2413">
        <f>IF('01_Rohdaten'!A2413="","",ROW()-1)</f>
        <v/>
      </c>
      <c r="B2413" s="27">
        <f>IF('01_Rohdaten'!A2413="","",'01_Rohdaten'!A2413)</f>
        <v/>
      </c>
      <c r="C2413" s="27">
        <f>IF(B2413="","",INDEX('01_Rohdaten'!B2413:D2413,'02_Eingaben'!$C$13))</f>
        <v/>
      </c>
      <c r="D2413" s="27">
        <f>IF(C2413="","",C2413*'02_Eingaben'!$C$15)</f>
        <v/>
      </c>
      <c r="E2413" s="27">
        <f>IF(D2413="","",D2413*'02_Eingaben'!$C$8)</f>
        <v/>
      </c>
      <c r="F2413" s="27">
        <f>IF(E2413="","",AVERAGE(INDEX($E$2:$E$3001,MAX(1,ROW()-1-'02_Eingaben'!$C$17)):INDEX($E$2:$E$3001,MIN('02_Eingaben'!$C$21,ROW()-1+'02_Eingaben'!$C$17))))</f>
        <v/>
      </c>
      <c r="G2413" s="27">
        <f>IF(F2413="","",F2413-'02_Eingaben'!$C$10)</f>
        <v/>
      </c>
      <c r="H2413">
        <f>IF(F2413="","",IF(F2413&lt;'02_Eingaben'!$C$18*'02_Eingaben'!$C$10,1,0))</f>
        <v/>
      </c>
      <c r="I2413" s="27">
        <f>IF(OR(G2413="",G2414=""),"",(G2413+G2414)/2*(B2414-B2413))</f>
        <v/>
      </c>
      <c r="J2413" s="27">
        <f>IF(B2413="","",IF(B2412&lt;'02_Eingaben'!$C$36,0,J2412+I2412/'02_Eingaben'!$C$8))</f>
        <v/>
      </c>
    </row>
    <row r="2414">
      <c r="A2414">
        <f>IF('01_Rohdaten'!A2414="","",ROW()-1)</f>
        <v/>
      </c>
      <c r="B2414" s="27">
        <f>IF('01_Rohdaten'!A2414="","",'01_Rohdaten'!A2414)</f>
        <v/>
      </c>
      <c r="C2414" s="27">
        <f>IF(B2414="","",INDEX('01_Rohdaten'!B2414:D2414,'02_Eingaben'!$C$13))</f>
        <v/>
      </c>
      <c r="D2414" s="27">
        <f>IF(C2414="","",C2414*'02_Eingaben'!$C$15)</f>
        <v/>
      </c>
      <c r="E2414" s="27">
        <f>IF(D2414="","",D2414*'02_Eingaben'!$C$8)</f>
        <v/>
      </c>
      <c r="F2414" s="27">
        <f>IF(E2414="","",AVERAGE(INDEX($E$2:$E$3001,MAX(1,ROW()-1-'02_Eingaben'!$C$17)):INDEX($E$2:$E$3001,MIN('02_Eingaben'!$C$21,ROW()-1+'02_Eingaben'!$C$17))))</f>
        <v/>
      </c>
      <c r="G2414" s="27">
        <f>IF(F2414="","",F2414-'02_Eingaben'!$C$10)</f>
        <v/>
      </c>
      <c r="H2414">
        <f>IF(F2414="","",IF(F2414&lt;'02_Eingaben'!$C$18*'02_Eingaben'!$C$10,1,0))</f>
        <v/>
      </c>
      <c r="I2414" s="27">
        <f>IF(OR(G2414="",G2415=""),"",(G2414+G2415)/2*(B2415-B2414))</f>
        <v/>
      </c>
      <c r="J2414" s="27">
        <f>IF(B2414="","",IF(B2413&lt;'02_Eingaben'!$C$36,0,J2413+I2413/'02_Eingaben'!$C$8))</f>
        <v/>
      </c>
    </row>
    <row r="2415">
      <c r="A2415">
        <f>IF('01_Rohdaten'!A2415="","",ROW()-1)</f>
        <v/>
      </c>
      <c r="B2415" s="27">
        <f>IF('01_Rohdaten'!A2415="","",'01_Rohdaten'!A2415)</f>
        <v/>
      </c>
      <c r="C2415" s="27">
        <f>IF(B2415="","",INDEX('01_Rohdaten'!B2415:D2415,'02_Eingaben'!$C$13))</f>
        <v/>
      </c>
      <c r="D2415" s="27">
        <f>IF(C2415="","",C2415*'02_Eingaben'!$C$15)</f>
        <v/>
      </c>
      <c r="E2415" s="27">
        <f>IF(D2415="","",D2415*'02_Eingaben'!$C$8)</f>
        <v/>
      </c>
      <c r="F2415" s="27">
        <f>IF(E2415="","",AVERAGE(INDEX($E$2:$E$3001,MAX(1,ROW()-1-'02_Eingaben'!$C$17)):INDEX($E$2:$E$3001,MIN('02_Eingaben'!$C$21,ROW()-1+'02_Eingaben'!$C$17))))</f>
        <v/>
      </c>
      <c r="G2415" s="27">
        <f>IF(F2415="","",F2415-'02_Eingaben'!$C$10)</f>
        <v/>
      </c>
      <c r="H2415">
        <f>IF(F2415="","",IF(F2415&lt;'02_Eingaben'!$C$18*'02_Eingaben'!$C$10,1,0))</f>
        <v/>
      </c>
      <c r="I2415" s="27">
        <f>IF(OR(G2415="",G2416=""),"",(G2415+G2416)/2*(B2416-B2415))</f>
        <v/>
      </c>
      <c r="J2415" s="27">
        <f>IF(B2415="","",IF(B2414&lt;'02_Eingaben'!$C$36,0,J2414+I2414/'02_Eingaben'!$C$8))</f>
        <v/>
      </c>
    </row>
    <row r="2416">
      <c r="A2416">
        <f>IF('01_Rohdaten'!A2416="","",ROW()-1)</f>
        <v/>
      </c>
      <c r="B2416" s="27">
        <f>IF('01_Rohdaten'!A2416="","",'01_Rohdaten'!A2416)</f>
        <v/>
      </c>
      <c r="C2416" s="27">
        <f>IF(B2416="","",INDEX('01_Rohdaten'!B2416:D2416,'02_Eingaben'!$C$13))</f>
        <v/>
      </c>
      <c r="D2416" s="27">
        <f>IF(C2416="","",C2416*'02_Eingaben'!$C$15)</f>
        <v/>
      </c>
      <c r="E2416" s="27">
        <f>IF(D2416="","",D2416*'02_Eingaben'!$C$8)</f>
        <v/>
      </c>
      <c r="F2416" s="27">
        <f>IF(E2416="","",AVERAGE(INDEX($E$2:$E$3001,MAX(1,ROW()-1-'02_Eingaben'!$C$17)):INDEX($E$2:$E$3001,MIN('02_Eingaben'!$C$21,ROW()-1+'02_Eingaben'!$C$17))))</f>
        <v/>
      </c>
      <c r="G2416" s="27">
        <f>IF(F2416="","",F2416-'02_Eingaben'!$C$10)</f>
        <v/>
      </c>
      <c r="H2416">
        <f>IF(F2416="","",IF(F2416&lt;'02_Eingaben'!$C$18*'02_Eingaben'!$C$10,1,0))</f>
        <v/>
      </c>
      <c r="I2416" s="27">
        <f>IF(OR(G2416="",G2417=""),"",(G2416+G2417)/2*(B2417-B2416))</f>
        <v/>
      </c>
      <c r="J2416" s="27">
        <f>IF(B2416="","",IF(B2415&lt;'02_Eingaben'!$C$36,0,J2415+I2415/'02_Eingaben'!$C$8))</f>
        <v/>
      </c>
    </row>
    <row r="2417">
      <c r="A2417">
        <f>IF('01_Rohdaten'!A2417="","",ROW()-1)</f>
        <v/>
      </c>
      <c r="B2417" s="27">
        <f>IF('01_Rohdaten'!A2417="","",'01_Rohdaten'!A2417)</f>
        <v/>
      </c>
      <c r="C2417" s="27">
        <f>IF(B2417="","",INDEX('01_Rohdaten'!B2417:D2417,'02_Eingaben'!$C$13))</f>
        <v/>
      </c>
      <c r="D2417" s="27">
        <f>IF(C2417="","",C2417*'02_Eingaben'!$C$15)</f>
        <v/>
      </c>
      <c r="E2417" s="27">
        <f>IF(D2417="","",D2417*'02_Eingaben'!$C$8)</f>
        <v/>
      </c>
      <c r="F2417" s="27">
        <f>IF(E2417="","",AVERAGE(INDEX($E$2:$E$3001,MAX(1,ROW()-1-'02_Eingaben'!$C$17)):INDEX($E$2:$E$3001,MIN('02_Eingaben'!$C$21,ROW()-1+'02_Eingaben'!$C$17))))</f>
        <v/>
      </c>
      <c r="G2417" s="27">
        <f>IF(F2417="","",F2417-'02_Eingaben'!$C$10)</f>
        <v/>
      </c>
      <c r="H2417">
        <f>IF(F2417="","",IF(F2417&lt;'02_Eingaben'!$C$18*'02_Eingaben'!$C$10,1,0))</f>
        <v/>
      </c>
      <c r="I2417" s="27">
        <f>IF(OR(G2417="",G2418=""),"",(G2417+G2418)/2*(B2418-B2417))</f>
        <v/>
      </c>
      <c r="J2417" s="27">
        <f>IF(B2417="","",IF(B2416&lt;'02_Eingaben'!$C$36,0,J2416+I2416/'02_Eingaben'!$C$8))</f>
        <v/>
      </c>
    </row>
    <row r="2418">
      <c r="A2418">
        <f>IF('01_Rohdaten'!A2418="","",ROW()-1)</f>
        <v/>
      </c>
      <c r="B2418" s="27">
        <f>IF('01_Rohdaten'!A2418="","",'01_Rohdaten'!A2418)</f>
        <v/>
      </c>
      <c r="C2418" s="27">
        <f>IF(B2418="","",INDEX('01_Rohdaten'!B2418:D2418,'02_Eingaben'!$C$13))</f>
        <v/>
      </c>
      <c r="D2418" s="27">
        <f>IF(C2418="","",C2418*'02_Eingaben'!$C$15)</f>
        <v/>
      </c>
      <c r="E2418" s="27">
        <f>IF(D2418="","",D2418*'02_Eingaben'!$C$8)</f>
        <v/>
      </c>
      <c r="F2418" s="27">
        <f>IF(E2418="","",AVERAGE(INDEX($E$2:$E$3001,MAX(1,ROW()-1-'02_Eingaben'!$C$17)):INDEX($E$2:$E$3001,MIN('02_Eingaben'!$C$21,ROW()-1+'02_Eingaben'!$C$17))))</f>
        <v/>
      </c>
      <c r="G2418" s="27">
        <f>IF(F2418="","",F2418-'02_Eingaben'!$C$10)</f>
        <v/>
      </c>
      <c r="H2418">
        <f>IF(F2418="","",IF(F2418&lt;'02_Eingaben'!$C$18*'02_Eingaben'!$C$10,1,0))</f>
        <v/>
      </c>
      <c r="I2418" s="27">
        <f>IF(OR(G2418="",G2419=""),"",(G2418+G2419)/2*(B2419-B2418))</f>
        <v/>
      </c>
      <c r="J2418" s="27">
        <f>IF(B2418="","",IF(B2417&lt;'02_Eingaben'!$C$36,0,J2417+I2417/'02_Eingaben'!$C$8))</f>
        <v/>
      </c>
    </row>
    <row r="2419">
      <c r="A2419">
        <f>IF('01_Rohdaten'!A2419="","",ROW()-1)</f>
        <v/>
      </c>
      <c r="B2419" s="27">
        <f>IF('01_Rohdaten'!A2419="","",'01_Rohdaten'!A2419)</f>
        <v/>
      </c>
      <c r="C2419" s="27">
        <f>IF(B2419="","",INDEX('01_Rohdaten'!B2419:D2419,'02_Eingaben'!$C$13))</f>
        <v/>
      </c>
      <c r="D2419" s="27">
        <f>IF(C2419="","",C2419*'02_Eingaben'!$C$15)</f>
        <v/>
      </c>
      <c r="E2419" s="27">
        <f>IF(D2419="","",D2419*'02_Eingaben'!$C$8)</f>
        <v/>
      </c>
      <c r="F2419" s="27">
        <f>IF(E2419="","",AVERAGE(INDEX($E$2:$E$3001,MAX(1,ROW()-1-'02_Eingaben'!$C$17)):INDEX($E$2:$E$3001,MIN('02_Eingaben'!$C$21,ROW()-1+'02_Eingaben'!$C$17))))</f>
        <v/>
      </c>
      <c r="G2419" s="27">
        <f>IF(F2419="","",F2419-'02_Eingaben'!$C$10)</f>
        <v/>
      </c>
      <c r="H2419">
        <f>IF(F2419="","",IF(F2419&lt;'02_Eingaben'!$C$18*'02_Eingaben'!$C$10,1,0))</f>
        <v/>
      </c>
      <c r="I2419" s="27">
        <f>IF(OR(G2419="",G2420=""),"",(G2419+G2420)/2*(B2420-B2419))</f>
        <v/>
      </c>
      <c r="J2419" s="27">
        <f>IF(B2419="","",IF(B2418&lt;'02_Eingaben'!$C$36,0,J2418+I2418/'02_Eingaben'!$C$8))</f>
        <v/>
      </c>
    </row>
    <row r="2420">
      <c r="A2420">
        <f>IF('01_Rohdaten'!A2420="","",ROW()-1)</f>
        <v/>
      </c>
      <c r="B2420" s="27">
        <f>IF('01_Rohdaten'!A2420="","",'01_Rohdaten'!A2420)</f>
        <v/>
      </c>
      <c r="C2420" s="27">
        <f>IF(B2420="","",INDEX('01_Rohdaten'!B2420:D2420,'02_Eingaben'!$C$13))</f>
        <v/>
      </c>
      <c r="D2420" s="27">
        <f>IF(C2420="","",C2420*'02_Eingaben'!$C$15)</f>
        <v/>
      </c>
      <c r="E2420" s="27">
        <f>IF(D2420="","",D2420*'02_Eingaben'!$C$8)</f>
        <v/>
      </c>
      <c r="F2420" s="27">
        <f>IF(E2420="","",AVERAGE(INDEX($E$2:$E$3001,MAX(1,ROW()-1-'02_Eingaben'!$C$17)):INDEX($E$2:$E$3001,MIN('02_Eingaben'!$C$21,ROW()-1+'02_Eingaben'!$C$17))))</f>
        <v/>
      </c>
      <c r="G2420" s="27">
        <f>IF(F2420="","",F2420-'02_Eingaben'!$C$10)</f>
        <v/>
      </c>
      <c r="H2420">
        <f>IF(F2420="","",IF(F2420&lt;'02_Eingaben'!$C$18*'02_Eingaben'!$C$10,1,0))</f>
        <v/>
      </c>
      <c r="I2420" s="27">
        <f>IF(OR(G2420="",G2421=""),"",(G2420+G2421)/2*(B2421-B2420))</f>
        <v/>
      </c>
      <c r="J2420" s="27">
        <f>IF(B2420="","",IF(B2419&lt;'02_Eingaben'!$C$36,0,J2419+I2419/'02_Eingaben'!$C$8))</f>
        <v/>
      </c>
    </row>
    <row r="2421">
      <c r="A2421">
        <f>IF('01_Rohdaten'!A2421="","",ROW()-1)</f>
        <v/>
      </c>
      <c r="B2421" s="27">
        <f>IF('01_Rohdaten'!A2421="","",'01_Rohdaten'!A2421)</f>
        <v/>
      </c>
      <c r="C2421" s="27">
        <f>IF(B2421="","",INDEX('01_Rohdaten'!B2421:D2421,'02_Eingaben'!$C$13))</f>
        <v/>
      </c>
      <c r="D2421" s="27">
        <f>IF(C2421="","",C2421*'02_Eingaben'!$C$15)</f>
        <v/>
      </c>
      <c r="E2421" s="27">
        <f>IF(D2421="","",D2421*'02_Eingaben'!$C$8)</f>
        <v/>
      </c>
      <c r="F2421" s="27">
        <f>IF(E2421="","",AVERAGE(INDEX($E$2:$E$3001,MAX(1,ROW()-1-'02_Eingaben'!$C$17)):INDEX($E$2:$E$3001,MIN('02_Eingaben'!$C$21,ROW()-1+'02_Eingaben'!$C$17))))</f>
        <v/>
      </c>
      <c r="G2421" s="27">
        <f>IF(F2421="","",F2421-'02_Eingaben'!$C$10)</f>
        <v/>
      </c>
      <c r="H2421">
        <f>IF(F2421="","",IF(F2421&lt;'02_Eingaben'!$C$18*'02_Eingaben'!$C$10,1,0))</f>
        <v/>
      </c>
      <c r="I2421" s="27">
        <f>IF(OR(G2421="",G2422=""),"",(G2421+G2422)/2*(B2422-B2421))</f>
        <v/>
      </c>
      <c r="J2421" s="27">
        <f>IF(B2421="","",IF(B2420&lt;'02_Eingaben'!$C$36,0,J2420+I2420/'02_Eingaben'!$C$8))</f>
        <v/>
      </c>
    </row>
    <row r="2422">
      <c r="A2422">
        <f>IF('01_Rohdaten'!A2422="","",ROW()-1)</f>
        <v/>
      </c>
      <c r="B2422" s="27">
        <f>IF('01_Rohdaten'!A2422="","",'01_Rohdaten'!A2422)</f>
        <v/>
      </c>
      <c r="C2422" s="27">
        <f>IF(B2422="","",INDEX('01_Rohdaten'!B2422:D2422,'02_Eingaben'!$C$13))</f>
        <v/>
      </c>
      <c r="D2422" s="27">
        <f>IF(C2422="","",C2422*'02_Eingaben'!$C$15)</f>
        <v/>
      </c>
      <c r="E2422" s="27">
        <f>IF(D2422="","",D2422*'02_Eingaben'!$C$8)</f>
        <v/>
      </c>
      <c r="F2422" s="27">
        <f>IF(E2422="","",AVERAGE(INDEX($E$2:$E$3001,MAX(1,ROW()-1-'02_Eingaben'!$C$17)):INDEX($E$2:$E$3001,MIN('02_Eingaben'!$C$21,ROW()-1+'02_Eingaben'!$C$17))))</f>
        <v/>
      </c>
      <c r="G2422" s="27">
        <f>IF(F2422="","",F2422-'02_Eingaben'!$C$10)</f>
        <v/>
      </c>
      <c r="H2422">
        <f>IF(F2422="","",IF(F2422&lt;'02_Eingaben'!$C$18*'02_Eingaben'!$C$10,1,0))</f>
        <v/>
      </c>
      <c r="I2422" s="27">
        <f>IF(OR(G2422="",G2423=""),"",(G2422+G2423)/2*(B2423-B2422))</f>
        <v/>
      </c>
      <c r="J2422" s="27">
        <f>IF(B2422="","",IF(B2421&lt;'02_Eingaben'!$C$36,0,J2421+I2421/'02_Eingaben'!$C$8))</f>
        <v/>
      </c>
    </row>
    <row r="2423">
      <c r="A2423">
        <f>IF('01_Rohdaten'!A2423="","",ROW()-1)</f>
        <v/>
      </c>
      <c r="B2423" s="27">
        <f>IF('01_Rohdaten'!A2423="","",'01_Rohdaten'!A2423)</f>
        <v/>
      </c>
      <c r="C2423" s="27">
        <f>IF(B2423="","",INDEX('01_Rohdaten'!B2423:D2423,'02_Eingaben'!$C$13))</f>
        <v/>
      </c>
      <c r="D2423" s="27">
        <f>IF(C2423="","",C2423*'02_Eingaben'!$C$15)</f>
        <v/>
      </c>
      <c r="E2423" s="27">
        <f>IF(D2423="","",D2423*'02_Eingaben'!$C$8)</f>
        <v/>
      </c>
      <c r="F2423" s="27">
        <f>IF(E2423="","",AVERAGE(INDEX($E$2:$E$3001,MAX(1,ROW()-1-'02_Eingaben'!$C$17)):INDEX($E$2:$E$3001,MIN('02_Eingaben'!$C$21,ROW()-1+'02_Eingaben'!$C$17))))</f>
        <v/>
      </c>
      <c r="G2423" s="27">
        <f>IF(F2423="","",F2423-'02_Eingaben'!$C$10)</f>
        <v/>
      </c>
      <c r="H2423">
        <f>IF(F2423="","",IF(F2423&lt;'02_Eingaben'!$C$18*'02_Eingaben'!$C$10,1,0))</f>
        <v/>
      </c>
      <c r="I2423" s="27">
        <f>IF(OR(G2423="",G2424=""),"",(G2423+G2424)/2*(B2424-B2423))</f>
        <v/>
      </c>
      <c r="J2423" s="27">
        <f>IF(B2423="","",IF(B2422&lt;'02_Eingaben'!$C$36,0,J2422+I2422/'02_Eingaben'!$C$8))</f>
        <v/>
      </c>
    </row>
    <row r="2424">
      <c r="A2424">
        <f>IF('01_Rohdaten'!A2424="","",ROW()-1)</f>
        <v/>
      </c>
      <c r="B2424" s="27">
        <f>IF('01_Rohdaten'!A2424="","",'01_Rohdaten'!A2424)</f>
        <v/>
      </c>
      <c r="C2424" s="27">
        <f>IF(B2424="","",INDEX('01_Rohdaten'!B2424:D2424,'02_Eingaben'!$C$13))</f>
        <v/>
      </c>
      <c r="D2424" s="27">
        <f>IF(C2424="","",C2424*'02_Eingaben'!$C$15)</f>
        <v/>
      </c>
      <c r="E2424" s="27">
        <f>IF(D2424="","",D2424*'02_Eingaben'!$C$8)</f>
        <v/>
      </c>
      <c r="F2424" s="27">
        <f>IF(E2424="","",AVERAGE(INDEX($E$2:$E$3001,MAX(1,ROW()-1-'02_Eingaben'!$C$17)):INDEX($E$2:$E$3001,MIN('02_Eingaben'!$C$21,ROW()-1+'02_Eingaben'!$C$17))))</f>
        <v/>
      </c>
      <c r="G2424" s="27">
        <f>IF(F2424="","",F2424-'02_Eingaben'!$C$10)</f>
        <v/>
      </c>
      <c r="H2424">
        <f>IF(F2424="","",IF(F2424&lt;'02_Eingaben'!$C$18*'02_Eingaben'!$C$10,1,0))</f>
        <v/>
      </c>
      <c r="I2424" s="27">
        <f>IF(OR(G2424="",G2425=""),"",(G2424+G2425)/2*(B2425-B2424))</f>
        <v/>
      </c>
      <c r="J2424" s="27">
        <f>IF(B2424="","",IF(B2423&lt;'02_Eingaben'!$C$36,0,J2423+I2423/'02_Eingaben'!$C$8))</f>
        <v/>
      </c>
    </row>
    <row r="2425">
      <c r="A2425">
        <f>IF('01_Rohdaten'!A2425="","",ROW()-1)</f>
        <v/>
      </c>
      <c r="B2425" s="27">
        <f>IF('01_Rohdaten'!A2425="","",'01_Rohdaten'!A2425)</f>
        <v/>
      </c>
      <c r="C2425" s="27">
        <f>IF(B2425="","",INDEX('01_Rohdaten'!B2425:D2425,'02_Eingaben'!$C$13))</f>
        <v/>
      </c>
      <c r="D2425" s="27">
        <f>IF(C2425="","",C2425*'02_Eingaben'!$C$15)</f>
        <v/>
      </c>
      <c r="E2425" s="27">
        <f>IF(D2425="","",D2425*'02_Eingaben'!$C$8)</f>
        <v/>
      </c>
      <c r="F2425" s="27">
        <f>IF(E2425="","",AVERAGE(INDEX($E$2:$E$3001,MAX(1,ROW()-1-'02_Eingaben'!$C$17)):INDEX($E$2:$E$3001,MIN('02_Eingaben'!$C$21,ROW()-1+'02_Eingaben'!$C$17))))</f>
        <v/>
      </c>
      <c r="G2425" s="27">
        <f>IF(F2425="","",F2425-'02_Eingaben'!$C$10)</f>
        <v/>
      </c>
      <c r="H2425">
        <f>IF(F2425="","",IF(F2425&lt;'02_Eingaben'!$C$18*'02_Eingaben'!$C$10,1,0))</f>
        <v/>
      </c>
      <c r="I2425" s="27">
        <f>IF(OR(G2425="",G2426=""),"",(G2425+G2426)/2*(B2426-B2425))</f>
        <v/>
      </c>
      <c r="J2425" s="27">
        <f>IF(B2425="","",IF(B2424&lt;'02_Eingaben'!$C$36,0,J2424+I2424/'02_Eingaben'!$C$8))</f>
        <v/>
      </c>
    </row>
    <row r="2426">
      <c r="A2426">
        <f>IF('01_Rohdaten'!A2426="","",ROW()-1)</f>
        <v/>
      </c>
      <c r="B2426" s="27">
        <f>IF('01_Rohdaten'!A2426="","",'01_Rohdaten'!A2426)</f>
        <v/>
      </c>
      <c r="C2426" s="27">
        <f>IF(B2426="","",INDEX('01_Rohdaten'!B2426:D2426,'02_Eingaben'!$C$13))</f>
        <v/>
      </c>
      <c r="D2426" s="27">
        <f>IF(C2426="","",C2426*'02_Eingaben'!$C$15)</f>
        <v/>
      </c>
      <c r="E2426" s="27">
        <f>IF(D2426="","",D2426*'02_Eingaben'!$C$8)</f>
        <v/>
      </c>
      <c r="F2426" s="27">
        <f>IF(E2426="","",AVERAGE(INDEX($E$2:$E$3001,MAX(1,ROW()-1-'02_Eingaben'!$C$17)):INDEX($E$2:$E$3001,MIN('02_Eingaben'!$C$21,ROW()-1+'02_Eingaben'!$C$17))))</f>
        <v/>
      </c>
      <c r="G2426" s="27">
        <f>IF(F2426="","",F2426-'02_Eingaben'!$C$10)</f>
        <v/>
      </c>
      <c r="H2426">
        <f>IF(F2426="","",IF(F2426&lt;'02_Eingaben'!$C$18*'02_Eingaben'!$C$10,1,0))</f>
        <v/>
      </c>
      <c r="I2426" s="27">
        <f>IF(OR(G2426="",G2427=""),"",(G2426+G2427)/2*(B2427-B2426))</f>
        <v/>
      </c>
      <c r="J2426" s="27">
        <f>IF(B2426="","",IF(B2425&lt;'02_Eingaben'!$C$36,0,J2425+I2425/'02_Eingaben'!$C$8))</f>
        <v/>
      </c>
    </row>
    <row r="2427">
      <c r="A2427">
        <f>IF('01_Rohdaten'!A2427="","",ROW()-1)</f>
        <v/>
      </c>
      <c r="B2427" s="27">
        <f>IF('01_Rohdaten'!A2427="","",'01_Rohdaten'!A2427)</f>
        <v/>
      </c>
      <c r="C2427" s="27">
        <f>IF(B2427="","",INDEX('01_Rohdaten'!B2427:D2427,'02_Eingaben'!$C$13))</f>
        <v/>
      </c>
      <c r="D2427" s="27">
        <f>IF(C2427="","",C2427*'02_Eingaben'!$C$15)</f>
        <v/>
      </c>
      <c r="E2427" s="27">
        <f>IF(D2427="","",D2427*'02_Eingaben'!$C$8)</f>
        <v/>
      </c>
      <c r="F2427" s="27">
        <f>IF(E2427="","",AVERAGE(INDEX($E$2:$E$3001,MAX(1,ROW()-1-'02_Eingaben'!$C$17)):INDEX($E$2:$E$3001,MIN('02_Eingaben'!$C$21,ROW()-1+'02_Eingaben'!$C$17))))</f>
        <v/>
      </c>
      <c r="G2427" s="27">
        <f>IF(F2427="","",F2427-'02_Eingaben'!$C$10)</f>
        <v/>
      </c>
      <c r="H2427">
        <f>IF(F2427="","",IF(F2427&lt;'02_Eingaben'!$C$18*'02_Eingaben'!$C$10,1,0))</f>
        <v/>
      </c>
      <c r="I2427" s="27">
        <f>IF(OR(G2427="",G2428=""),"",(G2427+G2428)/2*(B2428-B2427))</f>
        <v/>
      </c>
      <c r="J2427" s="27">
        <f>IF(B2427="","",IF(B2426&lt;'02_Eingaben'!$C$36,0,J2426+I2426/'02_Eingaben'!$C$8))</f>
        <v/>
      </c>
    </row>
    <row r="2428">
      <c r="A2428">
        <f>IF('01_Rohdaten'!A2428="","",ROW()-1)</f>
        <v/>
      </c>
      <c r="B2428" s="27">
        <f>IF('01_Rohdaten'!A2428="","",'01_Rohdaten'!A2428)</f>
        <v/>
      </c>
      <c r="C2428" s="27">
        <f>IF(B2428="","",INDEX('01_Rohdaten'!B2428:D2428,'02_Eingaben'!$C$13))</f>
        <v/>
      </c>
      <c r="D2428" s="27">
        <f>IF(C2428="","",C2428*'02_Eingaben'!$C$15)</f>
        <v/>
      </c>
      <c r="E2428" s="27">
        <f>IF(D2428="","",D2428*'02_Eingaben'!$C$8)</f>
        <v/>
      </c>
      <c r="F2428" s="27">
        <f>IF(E2428="","",AVERAGE(INDEX($E$2:$E$3001,MAX(1,ROW()-1-'02_Eingaben'!$C$17)):INDEX($E$2:$E$3001,MIN('02_Eingaben'!$C$21,ROW()-1+'02_Eingaben'!$C$17))))</f>
        <v/>
      </c>
      <c r="G2428" s="27">
        <f>IF(F2428="","",F2428-'02_Eingaben'!$C$10)</f>
        <v/>
      </c>
      <c r="H2428">
        <f>IF(F2428="","",IF(F2428&lt;'02_Eingaben'!$C$18*'02_Eingaben'!$C$10,1,0))</f>
        <v/>
      </c>
      <c r="I2428" s="27">
        <f>IF(OR(G2428="",G2429=""),"",(G2428+G2429)/2*(B2429-B2428))</f>
        <v/>
      </c>
      <c r="J2428" s="27">
        <f>IF(B2428="","",IF(B2427&lt;'02_Eingaben'!$C$36,0,J2427+I2427/'02_Eingaben'!$C$8))</f>
        <v/>
      </c>
    </row>
    <row r="2429">
      <c r="A2429">
        <f>IF('01_Rohdaten'!A2429="","",ROW()-1)</f>
        <v/>
      </c>
      <c r="B2429" s="27">
        <f>IF('01_Rohdaten'!A2429="","",'01_Rohdaten'!A2429)</f>
        <v/>
      </c>
      <c r="C2429" s="27">
        <f>IF(B2429="","",INDEX('01_Rohdaten'!B2429:D2429,'02_Eingaben'!$C$13))</f>
        <v/>
      </c>
      <c r="D2429" s="27">
        <f>IF(C2429="","",C2429*'02_Eingaben'!$C$15)</f>
        <v/>
      </c>
      <c r="E2429" s="27">
        <f>IF(D2429="","",D2429*'02_Eingaben'!$C$8)</f>
        <v/>
      </c>
      <c r="F2429" s="27">
        <f>IF(E2429="","",AVERAGE(INDEX($E$2:$E$3001,MAX(1,ROW()-1-'02_Eingaben'!$C$17)):INDEX($E$2:$E$3001,MIN('02_Eingaben'!$C$21,ROW()-1+'02_Eingaben'!$C$17))))</f>
        <v/>
      </c>
      <c r="G2429" s="27">
        <f>IF(F2429="","",F2429-'02_Eingaben'!$C$10)</f>
        <v/>
      </c>
      <c r="H2429">
        <f>IF(F2429="","",IF(F2429&lt;'02_Eingaben'!$C$18*'02_Eingaben'!$C$10,1,0))</f>
        <v/>
      </c>
      <c r="I2429" s="27">
        <f>IF(OR(G2429="",G2430=""),"",(G2429+G2430)/2*(B2430-B2429))</f>
        <v/>
      </c>
      <c r="J2429" s="27">
        <f>IF(B2429="","",IF(B2428&lt;'02_Eingaben'!$C$36,0,J2428+I2428/'02_Eingaben'!$C$8))</f>
        <v/>
      </c>
    </row>
    <row r="2430">
      <c r="A2430">
        <f>IF('01_Rohdaten'!A2430="","",ROW()-1)</f>
        <v/>
      </c>
      <c r="B2430" s="27">
        <f>IF('01_Rohdaten'!A2430="","",'01_Rohdaten'!A2430)</f>
        <v/>
      </c>
      <c r="C2430" s="27">
        <f>IF(B2430="","",INDEX('01_Rohdaten'!B2430:D2430,'02_Eingaben'!$C$13))</f>
        <v/>
      </c>
      <c r="D2430" s="27">
        <f>IF(C2430="","",C2430*'02_Eingaben'!$C$15)</f>
        <v/>
      </c>
      <c r="E2430" s="27">
        <f>IF(D2430="","",D2430*'02_Eingaben'!$C$8)</f>
        <v/>
      </c>
      <c r="F2430" s="27">
        <f>IF(E2430="","",AVERAGE(INDEX($E$2:$E$3001,MAX(1,ROW()-1-'02_Eingaben'!$C$17)):INDEX($E$2:$E$3001,MIN('02_Eingaben'!$C$21,ROW()-1+'02_Eingaben'!$C$17))))</f>
        <v/>
      </c>
      <c r="G2430" s="27">
        <f>IF(F2430="","",F2430-'02_Eingaben'!$C$10)</f>
        <v/>
      </c>
      <c r="H2430">
        <f>IF(F2430="","",IF(F2430&lt;'02_Eingaben'!$C$18*'02_Eingaben'!$C$10,1,0))</f>
        <v/>
      </c>
      <c r="I2430" s="27">
        <f>IF(OR(G2430="",G2431=""),"",(G2430+G2431)/2*(B2431-B2430))</f>
        <v/>
      </c>
      <c r="J2430" s="27">
        <f>IF(B2430="","",IF(B2429&lt;'02_Eingaben'!$C$36,0,J2429+I2429/'02_Eingaben'!$C$8))</f>
        <v/>
      </c>
    </row>
    <row r="2431">
      <c r="A2431">
        <f>IF('01_Rohdaten'!A2431="","",ROW()-1)</f>
        <v/>
      </c>
      <c r="B2431" s="27">
        <f>IF('01_Rohdaten'!A2431="","",'01_Rohdaten'!A2431)</f>
        <v/>
      </c>
      <c r="C2431" s="27">
        <f>IF(B2431="","",INDEX('01_Rohdaten'!B2431:D2431,'02_Eingaben'!$C$13))</f>
        <v/>
      </c>
      <c r="D2431" s="27">
        <f>IF(C2431="","",C2431*'02_Eingaben'!$C$15)</f>
        <v/>
      </c>
      <c r="E2431" s="27">
        <f>IF(D2431="","",D2431*'02_Eingaben'!$C$8)</f>
        <v/>
      </c>
      <c r="F2431" s="27">
        <f>IF(E2431="","",AVERAGE(INDEX($E$2:$E$3001,MAX(1,ROW()-1-'02_Eingaben'!$C$17)):INDEX($E$2:$E$3001,MIN('02_Eingaben'!$C$21,ROW()-1+'02_Eingaben'!$C$17))))</f>
        <v/>
      </c>
      <c r="G2431" s="27">
        <f>IF(F2431="","",F2431-'02_Eingaben'!$C$10)</f>
        <v/>
      </c>
      <c r="H2431">
        <f>IF(F2431="","",IF(F2431&lt;'02_Eingaben'!$C$18*'02_Eingaben'!$C$10,1,0))</f>
        <v/>
      </c>
      <c r="I2431" s="27">
        <f>IF(OR(G2431="",G2432=""),"",(G2431+G2432)/2*(B2432-B2431))</f>
        <v/>
      </c>
      <c r="J2431" s="27">
        <f>IF(B2431="","",IF(B2430&lt;'02_Eingaben'!$C$36,0,J2430+I2430/'02_Eingaben'!$C$8))</f>
        <v/>
      </c>
    </row>
    <row r="2432">
      <c r="A2432">
        <f>IF('01_Rohdaten'!A2432="","",ROW()-1)</f>
        <v/>
      </c>
      <c r="B2432" s="27">
        <f>IF('01_Rohdaten'!A2432="","",'01_Rohdaten'!A2432)</f>
        <v/>
      </c>
      <c r="C2432" s="27">
        <f>IF(B2432="","",INDEX('01_Rohdaten'!B2432:D2432,'02_Eingaben'!$C$13))</f>
        <v/>
      </c>
      <c r="D2432" s="27">
        <f>IF(C2432="","",C2432*'02_Eingaben'!$C$15)</f>
        <v/>
      </c>
      <c r="E2432" s="27">
        <f>IF(D2432="","",D2432*'02_Eingaben'!$C$8)</f>
        <v/>
      </c>
      <c r="F2432" s="27">
        <f>IF(E2432="","",AVERAGE(INDEX($E$2:$E$3001,MAX(1,ROW()-1-'02_Eingaben'!$C$17)):INDEX($E$2:$E$3001,MIN('02_Eingaben'!$C$21,ROW()-1+'02_Eingaben'!$C$17))))</f>
        <v/>
      </c>
      <c r="G2432" s="27">
        <f>IF(F2432="","",F2432-'02_Eingaben'!$C$10)</f>
        <v/>
      </c>
      <c r="H2432">
        <f>IF(F2432="","",IF(F2432&lt;'02_Eingaben'!$C$18*'02_Eingaben'!$C$10,1,0))</f>
        <v/>
      </c>
      <c r="I2432" s="27">
        <f>IF(OR(G2432="",G2433=""),"",(G2432+G2433)/2*(B2433-B2432))</f>
        <v/>
      </c>
      <c r="J2432" s="27">
        <f>IF(B2432="","",IF(B2431&lt;'02_Eingaben'!$C$36,0,J2431+I2431/'02_Eingaben'!$C$8))</f>
        <v/>
      </c>
    </row>
    <row r="2433">
      <c r="A2433">
        <f>IF('01_Rohdaten'!A2433="","",ROW()-1)</f>
        <v/>
      </c>
      <c r="B2433" s="27">
        <f>IF('01_Rohdaten'!A2433="","",'01_Rohdaten'!A2433)</f>
        <v/>
      </c>
      <c r="C2433" s="27">
        <f>IF(B2433="","",INDEX('01_Rohdaten'!B2433:D2433,'02_Eingaben'!$C$13))</f>
        <v/>
      </c>
      <c r="D2433" s="27">
        <f>IF(C2433="","",C2433*'02_Eingaben'!$C$15)</f>
        <v/>
      </c>
      <c r="E2433" s="27">
        <f>IF(D2433="","",D2433*'02_Eingaben'!$C$8)</f>
        <v/>
      </c>
      <c r="F2433" s="27">
        <f>IF(E2433="","",AVERAGE(INDEX($E$2:$E$3001,MAX(1,ROW()-1-'02_Eingaben'!$C$17)):INDEX($E$2:$E$3001,MIN('02_Eingaben'!$C$21,ROW()-1+'02_Eingaben'!$C$17))))</f>
        <v/>
      </c>
      <c r="G2433" s="27">
        <f>IF(F2433="","",F2433-'02_Eingaben'!$C$10)</f>
        <v/>
      </c>
      <c r="H2433">
        <f>IF(F2433="","",IF(F2433&lt;'02_Eingaben'!$C$18*'02_Eingaben'!$C$10,1,0))</f>
        <v/>
      </c>
      <c r="I2433" s="27">
        <f>IF(OR(G2433="",G2434=""),"",(G2433+G2434)/2*(B2434-B2433))</f>
        <v/>
      </c>
      <c r="J2433" s="27">
        <f>IF(B2433="","",IF(B2432&lt;'02_Eingaben'!$C$36,0,J2432+I2432/'02_Eingaben'!$C$8))</f>
        <v/>
      </c>
    </row>
    <row r="2434">
      <c r="A2434">
        <f>IF('01_Rohdaten'!A2434="","",ROW()-1)</f>
        <v/>
      </c>
      <c r="B2434" s="27">
        <f>IF('01_Rohdaten'!A2434="","",'01_Rohdaten'!A2434)</f>
        <v/>
      </c>
      <c r="C2434" s="27">
        <f>IF(B2434="","",INDEX('01_Rohdaten'!B2434:D2434,'02_Eingaben'!$C$13))</f>
        <v/>
      </c>
      <c r="D2434" s="27">
        <f>IF(C2434="","",C2434*'02_Eingaben'!$C$15)</f>
        <v/>
      </c>
      <c r="E2434" s="27">
        <f>IF(D2434="","",D2434*'02_Eingaben'!$C$8)</f>
        <v/>
      </c>
      <c r="F2434" s="27">
        <f>IF(E2434="","",AVERAGE(INDEX($E$2:$E$3001,MAX(1,ROW()-1-'02_Eingaben'!$C$17)):INDEX($E$2:$E$3001,MIN('02_Eingaben'!$C$21,ROW()-1+'02_Eingaben'!$C$17))))</f>
        <v/>
      </c>
      <c r="G2434" s="27">
        <f>IF(F2434="","",F2434-'02_Eingaben'!$C$10)</f>
        <v/>
      </c>
      <c r="H2434">
        <f>IF(F2434="","",IF(F2434&lt;'02_Eingaben'!$C$18*'02_Eingaben'!$C$10,1,0))</f>
        <v/>
      </c>
      <c r="I2434" s="27">
        <f>IF(OR(G2434="",G2435=""),"",(G2434+G2435)/2*(B2435-B2434))</f>
        <v/>
      </c>
      <c r="J2434" s="27">
        <f>IF(B2434="","",IF(B2433&lt;'02_Eingaben'!$C$36,0,J2433+I2433/'02_Eingaben'!$C$8))</f>
        <v/>
      </c>
    </row>
    <row r="2435">
      <c r="A2435">
        <f>IF('01_Rohdaten'!A2435="","",ROW()-1)</f>
        <v/>
      </c>
      <c r="B2435" s="27">
        <f>IF('01_Rohdaten'!A2435="","",'01_Rohdaten'!A2435)</f>
        <v/>
      </c>
      <c r="C2435" s="27">
        <f>IF(B2435="","",INDEX('01_Rohdaten'!B2435:D2435,'02_Eingaben'!$C$13))</f>
        <v/>
      </c>
      <c r="D2435" s="27">
        <f>IF(C2435="","",C2435*'02_Eingaben'!$C$15)</f>
        <v/>
      </c>
      <c r="E2435" s="27">
        <f>IF(D2435="","",D2435*'02_Eingaben'!$C$8)</f>
        <v/>
      </c>
      <c r="F2435" s="27">
        <f>IF(E2435="","",AVERAGE(INDEX($E$2:$E$3001,MAX(1,ROW()-1-'02_Eingaben'!$C$17)):INDEX($E$2:$E$3001,MIN('02_Eingaben'!$C$21,ROW()-1+'02_Eingaben'!$C$17))))</f>
        <v/>
      </c>
      <c r="G2435" s="27">
        <f>IF(F2435="","",F2435-'02_Eingaben'!$C$10)</f>
        <v/>
      </c>
      <c r="H2435">
        <f>IF(F2435="","",IF(F2435&lt;'02_Eingaben'!$C$18*'02_Eingaben'!$C$10,1,0))</f>
        <v/>
      </c>
      <c r="I2435" s="27">
        <f>IF(OR(G2435="",G2436=""),"",(G2435+G2436)/2*(B2436-B2435))</f>
        <v/>
      </c>
      <c r="J2435" s="27">
        <f>IF(B2435="","",IF(B2434&lt;'02_Eingaben'!$C$36,0,J2434+I2434/'02_Eingaben'!$C$8))</f>
        <v/>
      </c>
    </row>
    <row r="2436">
      <c r="A2436">
        <f>IF('01_Rohdaten'!A2436="","",ROW()-1)</f>
        <v/>
      </c>
      <c r="B2436" s="27">
        <f>IF('01_Rohdaten'!A2436="","",'01_Rohdaten'!A2436)</f>
        <v/>
      </c>
      <c r="C2436" s="27">
        <f>IF(B2436="","",INDEX('01_Rohdaten'!B2436:D2436,'02_Eingaben'!$C$13))</f>
        <v/>
      </c>
      <c r="D2436" s="27">
        <f>IF(C2436="","",C2436*'02_Eingaben'!$C$15)</f>
        <v/>
      </c>
      <c r="E2436" s="27">
        <f>IF(D2436="","",D2436*'02_Eingaben'!$C$8)</f>
        <v/>
      </c>
      <c r="F2436" s="27">
        <f>IF(E2436="","",AVERAGE(INDEX($E$2:$E$3001,MAX(1,ROW()-1-'02_Eingaben'!$C$17)):INDEX($E$2:$E$3001,MIN('02_Eingaben'!$C$21,ROW()-1+'02_Eingaben'!$C$17))))</f>
        <v/>
      </c>
      <c r="G2436" s="27">
        <f>IF(F2436="","",F2436-'02_Eingaben'!$C$10)</f>
        <v/>
      </c>
      <c r="H2436">
        <f>IF(F2436="","",IF(F2436&lt;'02_Eingaben'!$C$18*'02_Eingaben'!$C$10,1,0))</f>
        <v/>
      </c>
      <c r="I2436" s="27">
        <f>IF(OR(G2436="",G2437=""),"",(G2436+G2437)/2*(B2437-B2436))</f>
        <v/>
      </c>
      <c r="J2436" s="27">
        <f>IF(B2436="","",IF(B2435&lt;'02_Eingaben'!$C$36,0,J2435+I2435/'02_Eingaben'!$C$8))</f>
        <v/>
      </c>
    </row>
    <row r="2437">
      <c r="A2437">
        <f>IF('01_Rohdaten'!A2437="","",ROW()-1)</f>
        <v/>
      </c>
      <c r="B2437" s="27">
        <f>IF('01_Rohdaten'!A2437="","",'01_Rohdaten'!A2437)</f>
        <v/>
      </c>
      <c r="C2437" s="27">
        <f>IF(B2437="","",INDEX('01_Rohdaten'!B2437:D2437,'02_Eingaben'!$C$13))</f>
        <v/>
      </c>
      <c r="D2437" s="27">
        <f>IF(C2437="","",C2437*'02_Eingaben'!$C$15)</f>
        <v/>
      </c>
      <c r="E2437" s="27">
        <f>IF(D2437="","",D2437*'02_Eingaben'!$C$8)</f>
        <v/>
      </c>
      <c r="F2437" s="27">
        <f>IF(E2437="","",AVERAGE(INDEX($E$2:$E$3001,MAX(1,ROW()-1-'02_Eingaben'!$C$17)):INDEX($E$2:$E$3001,MIN('02_Eingaben'!$C$21,ROW()-1+'02_Eingaben'!$C$17))))</f>
        <v/>
      </c>
      <c r="G2437" s="27">
        <f>IF(F2437="","",F2437-'02_Eingaben'!$C$10)</f>
        <v/>
      </c>
      <c r="H2437">
        <f>IF(F2437="","",IF(F2437&lt;'02_Eingaben'!$C$18*'02_Eingaben'!$C$10,1,0))</f>
        <v/>
      </c>
      <c r="I2437" s="27">
        <f>IF(OR(G2437="",G2438=""),"",(G2437+G2438)/2*(B2438-B2437))</f>
        <v/>
      </c>
      <c r="J2437" s="27">
        <f>IF(B2437="","",IF(B2436&lt;'02_Eingaben'!$C$36,0,J2436+I2436/'02_Eingaben'!$C$8))</f>
        <v/>
      </c>
    </row>
    <row r="2438">
      <c r="A2438">
        <f>IF('01_Rohdaten'!A2438="","",ROW()-1)</f>
        <v/>
      </c>
      <c r="B2438" s="27">
        <f>IF('01_Rohdaten'!A2438="","",'01_Rohdaten'!A2438)</f>
        <v/>
      </c>
      <c r="C2438" s="27">
        <f>IF(B2438="","",INDEX('01_Rohdaten'!B2438:D2438,'02_Eingaben'!$C$13))</f>
        <v/>
      </c>
      <c r="D2438" s="27">
        <f>IF(C2438="","",C2438*'02_Eingaben'!$C$15)</f>
        <v/>
      </c>
      <c r="E2438" s="27">
        <f>IF(D2438="","",D2438*'02_Eingaben'!$C$8)</f>
        <v/>
      </c>
      <c r="F2438" s="27">
        <f>IF(E2438="","",AVERAGE(INDEX($E$2:$E$3001,MAX(1,ROW()-1-'02_Eingaben'!$C$17)):INDEX($E$2:$E$3001,MIN('02_Eingaben'!$C$21,ROW()-1+'02_Eingaben'!$C$17))))</f>
        <v/>
      </c>
      <c r="G2438" s="27">
        <f>IF(F2438="","",F2438-'02_Eingaben'!$C$10)</f>
        <v/>
      </c>
      <c r="H2438">
        <f>IF(F2438="","",IF(F2438&lt;'02_Eingaben'!$C$18*'02_Eingaben'!$C$10,1,0))</f>
        <v/>
      </c>
      <c r="I2438" s="27">
        <f>IF(OR(G2438="",G2439=""),"",(G2438+G2439)/2*(B2439-B2438))</f>
        <v/>
      </c>
      <c r="J2438" s="27">
        <f>IF(B2438="","",IF(B2437&lt;'02_Eingaben'!$C$36,0,J2437+I2437/'02_Eingaben'!$C$8))</f>
        <v/>
      </c>
    </row>
    <row r="2439">
      <c r="A2439">
        <f>IF('01_Rohdaten'!A2439="","",ROW()-1)</f>
        <v/>
      </c>
      <c r="B2439" s="27">
        <f>IF('01_Rohdaten'!A2439="","",'01_Rohdaten'!A2439)</f>
        <v/>
      </c>
      <c r="C2439" s="27">
        <f>IF(B2439="","",INDEX('01_Rohdaten'!B2439:D2439,'02_Eingaben'!$C$13))</f>
        <v/>
      </c>
      <c r="D2439" s="27">
        <f>IF(C2439="","",C2439*'02_Eingaben'!$C$15)</f>
        <v/>
      </c>
      <c r="E2439" s="27">
        <f>IF(D2439="","",D2439*'02_Eingaben'!$C$8)</f>
        <v/>
      </c>
      <c r="F2439" s="27">
        <f>IF(E2439="","",AVERAGE(INDEX($E$2:$E$3001,MAX(1,ROW()-1-'02_Eingaben'!$C$17)):INDEX($E$2:$E$3001,MIN('02_Eingaben'!$C$21,ROW()-1+'02_Eingaben'!$C$17))))</f>
        <v/>
      </c>
      <c r="G2439" s="27">
        <f>IF(F2439="","",F2439-'02_Eingaben'!$C$10)</f>
        <v/>
      </c>
      <c r="H2439">
        <f>IF(F2439="","",IF(F2439&lt;'02_Eingaben'!$C$18*'02_Eingaben'!$C$10,1,0))</f>
        <v/>
      </c>
      <c r="I2439" s="27">
        <f>IF(OR(G2439="",G2440=""),"",(G2439+G2440)/2*(B2440-B2439))</f>
        <v/>
      </c>
      <c r="J2439" s="27">
        <f>IF(B2439="","",IF(B2438&lt;'02_Eingaben'!$C$36,0,J2438+I2438/'02_Eingaben'!$C$8))</f>
        <v/>
      </c>
    </row>
    <row r="2440">
      <c r="A2440">
        <f>IF('01_Rohdaten'!A2440="","",ROW()-1)</f>
        <v/>
      </c>
      <c r="B2440" s="27">
        <f>IF('01_Rohdaten'!A2440="","",'01_Rohdaten'!A2440)</f>
        <v/>
      </c>
      <c r="C2440" s="27">
        <f>IF(B2440="","",INDEX('01_Rohdaten'!B2440:D2440,'02_Eingaben'!$C$13))</f>
        <v/>
      </c>
      <c r="D2440" s="27">
        <f>IF(C2440="","",C2440*'02_Eingaben'!$C$15)</f>
        <v/>
      </c>
      <c r="E2440" s="27">
        <f>IF(D2440="","",D2440*'02_Eingaben'!$C$8)</f>
        <v/>
      </c>
      <c r="F2440" s="27">
        <f>IF(E2440="","",AVERAGE(INDEX($E$2:$E$3001,MAX(1,ROW()-1-'02_Eingaben'!$C$17)):INDEX($E$2:$E$3001,MIN('02_Eingaben'!$C$21,ROW()-1+'02_Eingaben'!$C$17))))</f>
        <v/>
      </c>
      <c r="G2440" s="27">
        <f>IF(F2440="","",F2440-'02_Eingaben'!$C$10)</f>
        <v/>
      </c>
      <c r="H2440">
        <f>IF(F2440="","",IF(F2440&lt;'02_Eingaben'!$C$18*'02_Eingaben'!$C$10,1,0))</f>
        <v/>
      </c>
      <c r="I2440" s="27">
        <f>IF(OR(G2440="",G2441=""),"",(G2440+G2441)/2*(B2441-B2440))</f>
        <v/>
      </c>
      <c r="J2440" s="27">
        <f>IF(B2440="","",IF(B2439&lt;'02_Eingaben'!$C$36,0,J2439+I2439/'02_Eingaben'!$C$8))</f>
        <v/>
      </c>
    </row>
    <row r="2441">
      <c r="A2441">
        <f>IF('01_Rohdaten'!A2441="","",ROW()-1)</f>
        <v/>
      </c>
      <c r="B2441" s="27">
        <f>IF('01_Rohdaten'!A2441="","",'01_Rohdaten'!A2441)</f>
        <v/>
      </c>
      <c r="C2441" s="27">
        <f>IF(B2441="","",INDEX('01_Rohdaten'!B2441:D2441,'02_Eingaben'!$C$13))</f>
        <v/>
      </c>
      <c r="D2441" s="27">
        <f>IF(C2441="","",C2441*'02_Eingaben'!$C$15)</f>
        <v/>
      </c>
      <c r="E2441" s="27">
        <f>IF(D2441="","",D2441*'02_Eingaben'!$C$8)</f>
        <v/>
      </c>
      <c r="F2441" s="27">
        <f>IF(E2441="","",AVERAGE(INDEX($E$2:$E$3001,MAX(1,ROW()-1-'02_Eingaben'!$C$17)):INDEX($E$2:$E$3001,MIN('02_Eingaben'!$C$21,ROW()-1+'02_Eingaben'!$C$17))))</f>
        <v/>
      </c>
      <c r="G2441" s="27">
        <f>IF(F2441="","",F2441-'02_Eingaben'!$C$10)</f>
        <v/>
      </c>
      <c r="H2441">
        <f>IF(F2441="","",IF(F2441&lt;'02_Eingaben'!$C$18*'02_Eingaben'!$C$10,1,0))</f>
        <v/>
      </c>
      <c r="I2441" s="27">
        <f>IF(OR(G2441="",G2442=""),"",(G2441+G2442)/2*(B2442-B2441))</f>
        <v/>
      </c>
      <c r="J2441" s="27">
        <f>IF(B2441="","",IF(B2440&lt;'02_Eingaben'!$C$36,0,J2440+I2440/'02_Eingaben'!$C$8))</f>
        <v/>
      </c>
    </row>
    <row r="2442">
      <c r="A2442">
        <f>IF('01_Rohdaten'!A2442="","",ROW()-1)</f>
        <v/>
      </c>
      <c r="B2442" s="27">
        <f>IF('01_Rohdaten'!A2442="","",'01_Rohdaten'!A2442)</f>
        <v/>
      </c>
      <c r="C2442" s="27">
        <f>IF(B2442="","",INDEX('01_Rohdaten'!B2442:D2442,'02_Eingaben'!$C$13))</f>
        <v/>
      </c>
      <c r="D2442" s="27">
        <f>IF(C2442="","",C2442*'02_Eingaben'!$C$15)</f>
        <v/>
      </c>
      <c r="E2442" s="27">
        <f>IF(D2442="","",D2442*'02_Eingaben'!$C$8)</f>
        <v/>
      </c>
      <c r="F2442" s="27">
        <f>IF(E2442="","",AVERAGE(INDEX($E$2:$E$3001,MAX(1,ROW()-1-'02_Eingaben'!$C$17)):INDEX($E$2:$E$3001,MIN('02_Eingaben'!$C$21,ROW()-1+'02_Eingaben'!$C$17))))</f>
        <v/>
      </c>
      <c r="G2442" s="27">
        <f>IF(F2442="","",F2442-'02_Eingaben'!$C$10)</f>
        <v/>
      </c>
      <c r="H2442">
        <f>IF(F2442="","",IF(F2442&lt;'02_Eingaben'!$C$18*'02_Eingaben'!$C$10,1,0))</f>
        <v/>
      </c>
      <c r="I2442" s="27">
        <f>IF(OR(G2442="",G2443=""),"",(G2442+G2443)/2*(B2443-B2442))</f>
        <v/>
      </c>
      <c r="J2442" s="27">
        <f>IF(B2442="","",IF(B2441&lt;'02_Eingaben'!$C$36,0,J2441+I2441/'02_Eingaben'!$C$8))</f>
        <v/>
      </c>
    </row>
    <row r="2443">
      <c r="A2443">
        <f>IF('01_Rohdaten'!A2443="","",ROW()-1)</f>
        <v/>
      </c>
      <c r="B2443" s="27">
        <f>IF('01_Rohdaten'!A2443="","",'01_Rohdaten'!A2443)</f>
        <v/>
      </c>
      <c r="C2443" s="27">
        <f>IF(B2443="","",INDEX('01_Rohdaten'!B2443:D2443,'02_Eingaben'!$C$13))</f>
        <v/>
      </c>
      <c r="D2443" s="27">
        <f>IF(C2443="","",C2443*'02_Eingaben'!$C$15)</f>
        <v/>
      </c>
      <c r="E2443" s="27">
        <f>IF(D2443="","",D2443*'02_Eingaben'!$C$8)</f>
        <v/>
      </c>
      <c r="F2443" s="27">
        <f>IF(E2443="","",AVERAGE(INDEX($E$2:$E$3001,MAX(1,ROW()-1-'02_Eingaben'!$C$17)):INDEX($E$2:$E$3001,MIN('02_Eingaben'!$C$21,ROW()-1+'02_Eingaben'!$C$17))))</f>
        <v/>
      </c>
      <c r="G2443" s="27">
        <f>IF(F2443="","",F2443-'02_Eingaben'!$C$10)</f>
        <v/>
      </c>
      <c r="H2443">
        <f>IF(F2443="","",IF(F2443&lt;'02_Eingaben'!$C$18*'02_Eingaben'!$C$10,1,0))</f>
        <v/>
      </c>
      <c r="I2443" s="27">
        <f>IF(OR(G2443="",G2444=""),"",(G2443+G2444)/2*(B2444-B2443))</f>
        <v/>
      </c>
      <c r="J2443" s="27">
        <f>IF(B2443="","",IF(B2442&lt;'02_Eingaben'!$C$36,0,J2442+I2442/'02_Eingaben'!$C$8))</f>
        <v/>
      </c>
    </row>
    <row r="2444">
      <c r="A2444">
        <f>IF('01_Rohdaten'!A2444="","",ROW()-1)</f>
        <v/>
      </c>
      <c r="B2444" s="27">
        <f>IF('01_Rohdaten'!A2444="","",'01_Rohdaten'!A2444)</f>
        <v/>
      </c>
      <c r="C2444" s="27">
        <f>IF(B2444="","",INDEX('01_Rohdaten'!B2444:D2444,'02_Eingaben'!$C$13))</f>
        <v/>
      </c>
      <c r="D2444" s="27">
        <f>IF(C2444="","",C2444*'02_Eingaben'!$C$15)</f>
        <v/>
      </c>
      <c r="E2444" s="27">
        <f>IF(D2444="","",D2444*'02_Eingaben'!$C$8)</f>
        <v/>
      </c>
      <c r="F2444" s="27">
        <f>IF(E2444="","",AVERAGE(INDEX($E$2:$E$3001,MAX(1,ROW()-1-'02_Eingaben'!$C$17)):INDEX($E$2:$E$3001,MIN('02_Eingaben'!$C$21,ROW()-1+'02_Eingaben'!$C$17))))</f>
        <v/>
      </c>
      <c r="G2444" s="27">
        <f>IF(F2444="","",F2444-'02_Eingaben'!$C$10)</f>
        <v/>
      </c>
      <c r="H2444">
        <f>IF(F2444="","",IF(F2444&lt;'02_Eingaben'!$C$18*'02_Eingaben'!$C$10,1,0))</f>
        <v/>
      </c>
      <c r="I2444" s="27">
        <f>IF(OR(G2444="",G2445=""),"",(G2444+G2445)/2*(B2445-B2444))</f>
        <v/>
      </c>
      <c r="J2444" s="27">
        <f>IF(B2444="","",IF(B2443&lt;'02_Eingaben'!$C$36,0,J2443+I2443/'02_Eingaben'!$C$8))</f>
        <v/>
      </c>
    </row>
    <row r="2445">
      <c r="A2445">
        <f>IF('01_Rohdaten'!A2445="","",ROW()-1)</f>
        <v/>
      </c>
      <c r="B2445" s="27">
        <f>IF('01_Rohdaten'!A2445="","",'01_Rohdaten'!A2445)</f>
        <v/>
      </c>
      <c r="C2445" s="27">
        <f>IF(B2445="","",INDEX('01_Rohdaten'!B2445:D2445,'02_Eingaben'!$C$13))</f>
        <v/>
      </c>
      <c r="D2445" s="27">
        <f>IF(C2445="","",C2445*'02_Eingaben'!$C$15)</f>
        <v/>
      </c>
      <c r="E2445" s="27">
        <f>IF(D2445="","",D2445*'02_Eingaben'!$C$8)</f>
        <v/>
      </c>
      <c r="F2445" s="27">
        <f>IF(E2445="","",AVERAGE(INDEX($E$2:$E$3001,MAX(1,ROW()-1-'02_Eingaben'!$C$17)):INDEX($E$2:$E$3001,MIN('02_Eingaben'!$C$21,ROW()-1+'02_Eingaben'!$C$17))))</f>
        <v/>
      </c>
      <c r="G2445" s="27">
        <f>IF(F2445="","",F2445-'02_Eingaben'!$C$10)</f>
        <v/>
      </c>
      <c r="H2445">
        <f>IF(F2445="","",IF(F2445&lt;'02_Eingaben'!$C$18*'02_Eingaben'!$C$10,1,0))</f>
        <v/>
      </c>
      <c r="I2445" s="27">
        <f>IF(OR(G2445="",G2446=""),"",(G2445+G2446)/2*(B2446-B2445))</f>
        <v/>
      </c>
      <c r="J2445" s="27">
        <f>IF(B2445="","",IF(B2444&lt;'02_Eingaben'!$C$36,0,J2444+I2444/'02_Eingaben'!$C$8))</f>
        <v/>
      </c>
    </row>
    <row r="2446">
      <c r="A2446">
        <f>IF('01_Rohdaten'!A2446="","",ROW()-1)</f>
        <v/>
      </c>
      <c r="B2446" s="27">
        <f>IF('01_Rohdaten'!A2446="","",'01_Rohdaten'!A2446)</f>
        <v/>
      </c>
      <c r="C2446" s="27">
        <f>IF(B2446="","",INDEX('01_Rohdaten'!B2446:D2446,'02_Eingaben'!$C$13))</f>
        <v/>
      </c>
      <c r="D2446" s="27">
        <f>IF(C2446="","",C2446*'02_Eingaben'!$C$15)</f>
        <v/>
      </c>
      <c r="E2446" s="27">
        <f>IF(D2446="","",D2446*'02_Eingaben'!$C$8)</f>
        <v/>
      </c>
      <c r="F2446" s="27">
        <f>IF(E2446="","",AVERAGE(INDEX($E$2:$E$3001,MAX(1,ROW()-1-'02_Eingaben'!$C$17)):INDEX($E$2:$E$3001,MIN('02_Eingaben'!$C$21,ROW()-1+'02_Eingaben'!$C$17))))</f>
        <v/>
      </c>
      <c r="G2446" s="27">
        <f>IF(F2446="","",F2446-'02_Eingaben'!$C$10)</f>
        <v/>
      </c>
      <c r="H2446">
        <f>IF(F2446="","",IF(F2446&lt;'02_Eingaben'!$C$18*'02_Eingaben'!$C$10,1,0))</f>
        <v/>
      </c>
      <c r="I2446" s="27">
        <f>IF(OR(G2446="",G2447=""),"",(G2446+G2447)/2*(B2447-B2446))</f>
        <v/>
      </c>
      <c r="J2446" s="27">
        <f>IF(B2446="","",IF(B2445&lt;'02_Eingaben'!$C$36,0,J2445+I2445/'02_Eingaben'!$C$8))</f>
        <v/>
      </c>
    </row>
    <row r="2447">
      <c r="A2447">
        <f>IF('01_Rohdaten'!A2447="","",ROW()-1)</f>
        <v/>
      </c>
      <c r="B2447" s="27">
        <f>IF('01_Rohdaten'!A2447="","",'01_Rohdaten'!A2447)</f>
        <v/>
      </c>
      <c r="C2447" s="27">
        <f>IF(B2447="","",INDEX('01_Rohdaten'!B2447:D2447,'02_Eingaben'!$C$13))</f>
        <v/>
      </c>
      <c r="D2447" s="27">
        <f>IF(C2447="","",C2447*'02_Eingaben'!$C$15)</f>
        <v/>
      </c>
      <c r="E2447" s="27">
        <f>IF(D2447="","",D2447*'02_Eingaben'!$C$8)</f>
        <v/>
      </c>
      <c r="F2447" s="27">
        <f>IF(E2447="","",AVERAGE(INDEX($E$2:$E$3001,MAX(1,ROW()-1-'02_Eingaben'!$C$17)):INDEX($E$2:$E$3001,MIN('02_Eingaben'!$C$21,ROW()-1+'02_Eingaben'!$C$17))))</f>
        <v/>
      </c>
      <c r="G2447" s="27">
        <f>IF(F2447="","",F2447-'02_Eingaben'!$C$10)</f>
        <v/>
      </c>
      <c r="H2447">
        <f>IF(F2447="","",IF(F2447&lt;'02_Eingaben'!$C$18*'02_Eingaben'!$C$10,1,0))</f>
        <v/>
      </c>
      <c r="I2447" s="27">
        <f>IF(OR(G2447="",G2448=""),"",(G2447+G2448)/2*(B2448-B2447))</f>
        <v/>
      </c>
      <c r="J2447" s="27">
        <f>IF(B2447="","",IF(B2446&lt;'02_Eingaben'!$C$36,0,J2446+I2446/'02_Eingaben'!$C$8))</f>
        <v/>
      </c>
    </row>
    <row r="2448">
      <c r="A2448">
        <f>IF('01_Rohdaten'!A2448="","",ROW()-1)</f>
        <v/>
      </c>
      <c r="B2448" s="27">
        <f>IF('01_Rohdaten'!A2448="","",'01_Rohdaten'!A2448)</f>
        <v/>
      </c>
      <c r="C2448" s="27">
        <f>IF(B2448="","",INDEX('01_Rohdaten'!B2448:D2448,'02_Eingaben'!$C$13))</f>
        <v/>
      </c>
      <c r="D2448" s="27">
        <f>IF(C2448="","",C2448*'02_Eingaben'!$C$15)</f>
        <v/>
      </c>
      <c r="E2448" s="27">
        <f>IF(D2448="","",D2448*'02_Eingaben'!$C$8)</f>
        <v/>
      </c>
      <c r="F2448" s="27">
        <f>IF(E2448="","",AVERAGE(INDEX($E$2:$E$3001,MAX(1,ROW()-1-'02_Eingaben'!$C$17)):INDEX($E$2:$E$3001,MIN('02_Eingaben'!$C$21,ROW()-1+'02_Eingaben'!$C$17))))</f>
        <v/>
      </c>
      <c r="G2448" s="27">
        <f>IF(F2448="","",F2448-'02_Eingaben'!$C$10)</f>
        <v/>
      </c>
      <c r="H2448">
        <f>IF(F2448="","",IF(F2448&lt;'02_Eingaben'!$C$18*'02_Eingaben'!$C$10,1,0))</f>
        <v/>
      </c>
      <c r="I2448" s="27">
        <f>IF(OR(G2448="",G2449=""),"",(G2448+G2449)/2*(B2449-B2448))</f>
        <v/>
      </c>
      <c r="J2448" s="27">
        <f>IF(B2448="","",IF(B2447&lt;'02_Eingaben'!$C$36,0,J2447+I2447/'02_Eingaben'!$C$8))</f>
        <v/>
      </c>
    </row>
    <row r="2449">
      <c r="A2449">
        <f>IF('01_Rohdaten'!A2449="","",ROW()-1)</f>
        <v/>
      </c>
      <c r="B2449" s="27">
        <f>IF('01_Rohdaten'!A2449="","",'01_Rohdaten'!A2449)</f>
        <v/>
      </c>
      <c r="C2449" s="27">
        <f>IF(B2449="","",INDEX('01_Rohdaten'!B2449:D2449,'02_Eingaben'!$C$13))</f>
        <v/>
      </c>
      <c r="D2449" s="27">
        <f>IF(C2449="","",C2449*'02_Eingaben'!$C$15)</f>
        <v/>
      </c>
      <c r="E2449" s="27">
        <f>IF(D2449="","",D2449*'02_Eingaben'!$C$8)</f>
        <v/>
      </c>
      <c r="F2449" s="27">
        <f>IF(E2449="","",AVERAGE(INDEX($E$2:$E$3001,MAX(1,ROW()-1-'02_Eingaben'!$C$17)):INDEX($E$2:$E$3001,MIN('02_Eingaben'!$C$21,ROW()-1+'02_Eingaben'!$C$17))))</f>
        <v/>
      </c>
      <c r="G2449" s="27">
        <f>IF(F2449="","",F2449-'02_Eingaben'!$C$10)</f>
        <v/>
      </c>
      <c r="H2449">
        <f>IF(F2449="","",IF(F2449&lt;'02_Eingaben'!$C$18*'02_Eingaben'!$C$10,1,0))</f>
        <v/>
      </c>
      <c r="I2449" s="27">
        <f>IF(OR(G2449="",G2450=""),"",(G2449+G2450)/2*(B2450-B2449))</f>
        <v/>
      </c>
      <c r="J2449" s="27">
        <f>IF(B2449="","",IF(B2448&lt;'02_Eingaben'!$C$36,0,J2448+I2448/'02_Eingaben'!$C$8))</f>
        <v/>
      </c>
    </row>
    <row r="2450">
      <c r="A2450">
        <f>IF('01_Rohdaten'!A2450="","",ROW()-1)</f>
        <v/>
      </c>
      <c r="B2450" s="27">
        <f>IF('01_Rohdaten'!A2450="","",'01_Rohdaten'!A2450)</f>
        <v/>
      </c>
      <c r="C2450" s="27">
        <f>IF(B2450="","",INDEX('01_Rohdaten'!B2450:D2450,'02_Eingaben'!$C$13))</f>
        <v/>
      </c>
      <c r="D2450" s="27">
        <f>IF(C2450="","",C2450*'02_Eingaben'!$C$15)</f>
        <v/>
      </c>
      <c r="E2450" s="27">
        <f>IF(D2450="","",D2450*'02_Eingaben'!$C$8)</f>
        <v/>
      </c>
      <c r="F2450" s="27">
        <f>IF(E2450="","",AVERAGE(INDEX($E$2:$E$3001,MAX(1,ROW()-1-'02_Eingaben'!$C$17)):INDEX($E$2:$E$3001,MIN('02_Eingaben'!$C$21,ROW()-1+'02_Eingaben'!$C$17))))</f>
        <v/>
      </c>
      <c r="G2450" s="27">
        <f>IF(F2450="","",F2450-'02_Eingaben'!$C$10)</f>
        <v/>
      </c>
      <c r="H2450">
        <f>IF(F2450="","",IF(F2450&lt;'02_Eingaben'!$C$18*'02_Eingaben'!$C$10,1,0))</f>
        <v/>
      </c>
      <c r="I2450" s="27">
        <f>IF(OR(G2450="",G2451=""),"",(G2450+G2451)/2*(B2451-B2450))</f>
        <v/>
      </c>
      <c r="J2450" s="27">
        <f>IF(B2450="","",IF(B2449&lt;'02_Eingaben'!$C$36,0,J2449+I2449/'02_Eingaben'!$C$8))</f>
        <v/>
      </c>
    </row>
    <row r="2451">
      <c r="A2451">
        <f>IF('01_Rohdaten'!A2451="","",ROW()-1)</f>
        <v/>
      </c>
      <c r="B2451" s="27">
        <f>IF('01_Rohdaten'!A2451="","",'01_Rohdaten'!A2451)</f>
        <v/>
      </c>
      <c r="C2451" s="27">
        <f>IF(B2451="","",INDEX('01_Rohdaten'!B2451:D2451,'02_Eingaben'!$C$13))</f>
        <v/>
      </c>
      <c r="D2451" s="27">
        <f>IF(C2451="","",C2451*'02_Eingaben'!$C$15)</f>
        <v/>
      </c>
      <c r="E2451" s="27">
        <f>IF(D2451="","",D2451*'02_Eingaben'!$C$8)</f>
        <v/>
      </c>
      <c r="F2451" s="27">
        <f>IF(E2451="","",AVERAGE(INDEX($E$2:$E$3001,MAX(1,ROW()-1-'02_Eingaben'!$C$17)):INDEX($E$2:$E$3001,MIN('02_Eingaben'!$C$21,ROW()-1+'02_Eingaben'!$C$17))))</f>
        <v/>
      </c>
      <c r="G2451" s="27">
        <f>IF(F2451="","",F2451-'02_Eingaben'!$C$10)</f>
        <v/>
      </c>
      <c r="H2451">
        <f>IF(F2451="","",IF(F2451&lt;'02_Eingaben'!$C$18*'02_Eingaben'!$C$10,1,0))</f>
        <v/>
      </c>
      <c r="I2451" s="27">
        <f>IF(OR(G2451="",G2452=""),"",(G2451+G2452)/2*(B2452-B2451))</f>
        <v/>
      </c>
      <c r="J2451" s="27">
        <f>IF(B2451="","",IF(B2450&lt;'02_Eingaben'!$C$36,0,J2450+I2450/'02_Eingaben'!$C$8))</f>
        <v/>
      </c>
    </row>
    <row r="2452">
      <c r="A2452">
        <f>IF('01_Rohdaten'!A2452="","",ROW()-1)</f>
        <v/>
      </c>
      <c r="B2452" s="27">
        <f>IF('01_Rohdaten'!A2452="","",'01_Rohdaten'!A2452)</f>
        <v/>
      </c>
      <c r="C2452" s="27">
        <f>IF(B2452="","",INDEX('01_Rohdaten'!B2452:D2452,'02_Eingaben'!$C$13))</f>
        <v/>
      </c>
      <c r="D2452" s="27">
        <f>IF(C2452="","",C2452*'02_Eingaben'!$C$15)</f>
        <v/>
      </c>
      <c r="E2452" s="27">
        <f>IF(D2452="","",D2452*'02_Eingaben'!$C$8)</f>
        <v/>
      </c>
      <c r="F2452" s="27">
        <f>IF(E2452="","",AVERAGE(INDEX($E$2:$E$3001,MAX(1,ROW()-1-'02_Eingaben'!$C$17)):INDEX($E$2:$E$3001,MIN('02_Eingaben'!$C$21,ROW()-1+'02_Eingaben'!$C$17))))</f>
        <v/>
      </c>
      <c r="G2452" s="27">
        <f>IF(F2452="","",F2452-'02_Eingaben'!$C$10)</f>
        <v/>
      </c>
      <c r="H2452">
        <f>IF(F2452="","",IF(F2452&lt;'02_Eingaben'!$C$18*'02_Eingaben'!$C$10,1,0))</f>
        <v/>
      </c>
      <c r="I2452" s="27">
        <f>IF(OR(G2452="",G2453=""),"",(G2452+G2453)/2*(B2453-B2452))</f>
        <v/>
      </c>
      <c r="J2452" s="27">
        <f>IF(B2452="","",IF(B2451&lt;'02_Eingaben'!$C$36,0,J2451+I2451/'02_Eingaben'!$C$8))</f>
        <v/>
      </c>
    </row>
    <row r="2453">
      <c r="A2453">
        <f>IF('01_Rohdaten'!A2453="","",ROW()-1)</f>
        <v/>
      </c>
      <c r="B2453" s="27">
        <f>IF('01_Rohdaten'!A2453="","",'01_Rohdaten'!A2453)</f>
        <v/>
      </c>
      <c r="C2453" s="27">
        <f>IF(B2453="","",INDEX('01_Rohdaten'!B2453:D2453,'02_Eingaben'!$C$13))</f>
        <v/>
      </c>
      <c r="D2453" s="27">
        <f>IF(C2453="","",C2453*'02_Eingaben'!$C$15)</f>
        <v/>
      </c>
      <c r="E2453" s="27">
        <f>IF(D2453="","",D2453*'02_Eingaben'!$C$8)</f>
        <v/>
      </c>
      <c r="F2453" s="27">
        <f>IF(E2453="","",AVERAGE(INDEX($E$2:$E$3001,MAX(1,ROW()-1-'02_Eingaben'!$C$17)):INDEX($E$2:$E$3001,MIN('02_Eingaben'!$C$21,ROW()-1+'02_Eingaben'!$C$17))))</f>
        <v/>
      </c>
      <c r="G2453" s="27">
        <f>IF(F2453="","",F2453-'02_Eingaben'!$C$10)</f>
        <v/>
      </c>
      <c r="H2453">
        <f>IF(F2453="","",IF(F2453&lt;'02_Eingaben'!$C$18*'02_Eingaben'!$C$10,1,0))</f>
        <v/>
      </c>
      <c r="I2453" s="27">
        <f>IF(OR(G2453="",G2454=""),"",(G2453+G2454)/2*(B2454-B2453))</f>
        <v/>
      </c>
      <c r="J2453" s="27">
        <f>IF(B2453="","",IF(B2452&lt;'02_Eingaben'!$C$36,0,J2452+I2452/'02_Eingaben'!$C$8))</f>
        <v/>
      </c>
    </row>
    <row r="2454">
      <c r="A2454">
        <f>IF('01_Rohdaten'!A2454="","",ROW()-1)</f>
        <v/>
      </c>
      <c r="B2454" s="27">
        <f>IF('01_Rohdaten'!A2454="","",'01_Rohdaten'!A2454)</f>
        <v/>
      </c>
      <c r="C2454" s="27">
        <f>IF(B2454="","",INDEX('01_Rohdaten'!B2454:D2454,'02_Eingaben'!$C$13))</f>
        <v/>
      </c>
      <c r="D2454" s="27">
        <f>IF(C2454="","",C2454*'02_Eingaben'!$C$15)</f>
        <v/>
      </c>
      <c r="E2454" s="27">
        <f>IF(D2454="","",D2454*'02_Eingaben'!$C$8)</f>
        <v/>
      </c>
      <c r="F2454" s="27">
        <f>IF(E2454="","",AVERAGE(INDEX($E$2:$E$3001,MAX(1,ROW()-1-'02_Eingaben'!$C$17)):INDEX($E$2:$E$3001,MIN('02_Eingaben'!$C$21,ROW()-1+'02_Eingaben'!$C$17))))</f>
        <v/>
      </c>
      <c r="G2454" s="27">
        <f>IF(F2454="","",F2454-'02_Eingaben'!$C$10)</f>
        <v/>
      </c>
      <c r="H2454">
        <f>IF(F2454="","",IF(F2454&lt;'02_Eingaben'!$C$18*'02_Eingaben'!$C$10,1,0))</f>
        <v/>
      </c>
      <c r="I2454" s="27">
        <f>IF(OR(G2454="",G2455=""),"",(G2454+G2455)/2*(B2455-B2454))</f>
        <v/>
      </c>
      <c r="J2454" s="27">
        <f>IF(B2454="","",IF(B2453&lt;'02_Eingaben'!$C$36,0,J2453+I2453/'02_Eingaben'!$C$8))</f>
        <v/>
      </c>
    </row>
    <row r="2455">
      <c r="A2455">
        <f>IF('01_Rohdaten'!A2455="","",ROW()-1)</f>
        <v/>
      </c>
      <c r="B2455" s="27">
        <f>IF('01_Rohdaten'!A2455="","",'01_Rohdaten'!A2455)</f>
        <v/>
      </c>
      <c r="C2455" s="27">
        <f>IF(B2455="","",INDEX('01_Rohdaten'!B2455:D2455,'02_Eingaben'!$C$13))</f>
        <v/>
      </c>
      <c r="D2455" s="27">
        <f>IF(C2455="","",C2455*'02_Eingaben'!$C$15)</f>
        <v/>
      </c>
      <c r="E2455" s="27">
        <f>IF(D2455="","",D2455*'02_Eingaben'!$C$8)</f>
        <v/>
      </c>
      <c r="F2455" s="27">
        <f>IF(E2455="","",AVERAGE(INDEX($E$2:$E$3001,MAX(1,ROW()-1-'02_Eingaben'!$C$17)):INDEX($E$2:$E$3001,MIN('02_Eingaben'!$C$21,ROW()-1+'02_Eingaben'!$C$17))))</f>
        <v/>
      </c>
      <c r="G2455" s="27">
        <f>IF(F2455="","",F2455-'02_Eingaben'!$C$10)</f>
        <v/>
      </c>
      <c r="H2455">
        <f>IF(F2455="","",IF(F2455&lt;'02_Eingaben'!$C$18*'02_Eingaben'!$C$10,1,0))</f>
        <v/>
      </c>
      <c r="I2455" s="27">
        <f>IF(OR(G2455="",G2456=""),"",(G2455+G2456)/2*(B2456-B2455))</f>
        <v/>
      </c>
      <c r="J2455" s="27">
        <f>IF(B2455="","",IF(B2454&lt;'02_Eingaben'!$C$36,0,J2454+I2454/'02_Eingaben'!$C$8))</f>
        <v/>
      </c>
    </row>
    <row r="2456">
      <c r="A2456">
        <f>IF('01_Rohdaten'!A2456="","",ROW()-1)</f>
        <v/>
      </c>
      <c r="B2456" s="27">
        <f>IF('01_Rohdaten'!A2456="","",'01_Rohdaten'!A2456)</f>
        <v/>
      </c>
      <c r="C2456" s="27">
        <f>IF(B2456="","",INDEX('01_Rohdaten'!B2456:D2456,'02_Eingaben'!$C$13))</f>
        <v/>
      </c>
      <c r="D2456" s="27">
        <f>IF(C2456="","",C2456*'02_Eingaben'!$C$15)</f>
        <v/>
      </c>
      <c r="E2456" s="27">
        <f>IF(D2456="","",D2456*'02_Eingaben'!$C$8)</f>
        <v/>
      </c>
      <c r="F2456" s="27">
        <f>IF(E2456="","",AVERAGE(INDEX($E$2:$E$3001,MAX(1,ROW()-1-'02_Eingaben'!$C$17)):INDEX($E$2:$E$3001,MIN('02_Eingaben'!$C$21,ROW()-1+'02_Eingaben'!$C$17))))</f>
        <v/>
      </c>
      <c r="G2456" s="27">
        <f>IF(F2456="","",F2456-'02_Eingaben'!$C$10)</f>
        <v/>
      </c>
      <c r="H2456">
        <f>IF(F2456="","",IF(F2456&lt;'02_Eingaben'!$C$18*'02_Eingaben'!$C$10,1,0))</f>
        <v/>
      </c>
      <c r="I2456" s="27">
        <f>IF(OR(G2456="",G2457=""),"",(G2456+G2457)/2*(B2457-B2456))</f>
        <v/>
      </c>
      <c r="J2456" s="27">
        <f>IF(B2456="","",IF(B2455&lt;'02_Eingaben'!$C$36,0,J2455+I2455/'02_Eingaben'!$C$8))</f>
        <v/>
      </c>
    </row>
    <row r="2457">
      <c r="A2457">
        <f>IF('01_Rohdaten'!A2457="","",ROW()-1)</f>
        <v/>
      </c>
      <c r="B2457" s="27">
        <f>IF('01_Rohdaten'!A2457="","",'01_Rohdaten'!A2457)</f>
        <v/>
      </c>
      <c r="C2457" s="27">
        <f>IF(B2457="","",INDEX('01_Rohdaten'!B2457:D2457,'02_Eingaben'!$C$13))</f>
        <v/>
      </c>
      <c r="D2457" s="27">
        <f>IF(C2457="","",C2457*'02_Eingaben'!$C$15)</f>
        <v/>
      </c>
      <c r="E2457" s="27">
        <f>IF(D2457="","",D2457*'02_Eingaben'!$C$8)</f>
        <v/>
      </c>
      <c r="F2457" s="27">
        <f>IF(E2457="","",AVERAGE(INDEX($E$2:$E$3001,MAX(1,ROW()-1-'02_Eingaben'!$C$17)):INDEX($E$2:$E$3001,MIN('02_Eingaben'!$C$21,ROW()-1+'02_Eingaben'!$C$17))))</f>
        <v/>
      </c>
      <c r="G2457" s="27">
        <f>IF(F2457="","",F2457-'02_Eingaben'!$C$10)</f>
        <v/>
      </c>
      <c r="H2457">
        <f>IF(F2457="","",IF(F2457&lt;'02_Eingaben'!$C$18*'02_Eingaben'!$C$10,1,0))</f>
        <v/>
      </c>
      <c r="I2457" s="27">
        <f>IF(OR(G2457="",G2458=""),"",(G2457+G2458)/2*(B2458-B2457))</f>
        <v/>
      </c>
      <c r="J2457" s="27">
        <f>IF(B2457="","",IF(B2456&lt;'02_Eingaben'!$C$36,0,J2456+I2456/'02_Eingaben'!$C$8))</f>
        <v/>
      </c>
    </row>
    <row r="2458">
      <c r="A2458">
        <f>IF('01_Rohdaten'!A2458="","",ROW()-1)</f>
        <v/>
      </c>
      <c r="B2458" s="27">
        <f>IF('01_Rohdaten'!A2458="","",'01_Rohdaten'!A2458)</f>
        <v/>
      </c>
      <c r="C2458" s="27">
        <f>IF(B2458="","",INDEX('01_Rohdaten'!B2458:D2458,'02_Eingaben'!$C$13))</f>
        <v/>
      </c>
      <c r="D2458" s="27">
        <f>IF(C2458="","",C2458*'02_Eingaben'!$C$15)</f>
        <v/>
      </c>
      <c r="E2458" s="27">
        <f>IF(D2458="","",D2458*'02_Eingaben'!$C$8)</f>
        <v/>
      </c>
      <c r="F2458" s="27">
        <f>IF(E2458="","",AVERAGE(INDEX($E$2:$E$3001,MAX(1,ROW()-1-'02_Eingaben'!$C$17)):INDEX($E$2:$E$3001,MIN('02_Eingaben'!$C$21,ROW()-1+'02_Eingaben'!$C$17))))</f>
        <v/>
      </c>
      <c r="G2458" s="27">
        <f>IF(F2458="","",F2458-'02_Eingaben'!$C$10)</f>
        <v/>
      </c>
      <c r="H2458">
        <f>IF(F2458="","",IF(F2458&lt;'02_Eingaben'!$C$18*'02_Eingaben'!$C$10,1,0))</f>
        <v/>
      </c>
      <c r="I2458" s="27">
        <f>IF(OR(G2458="",G2459=""),"",(G2458+G2459)/2*(B2459-B2458))</f>
        <v/>
      </c>
      <c r="J2458" s="27">
        <f>IF(B2458="","",IF(B2457&lt;'02_Eingaben'!$C$36,0,J2457+I2457/'02_Eingaben'!$C$8))</f>
        <v/>
      </c>
    </row>
    <row r="2459">
      <c r="A2459">
        <f>IF('01_Rohdaten'!A2459="","",ROW()-1)</f>
        <v/>
      </c>
      <c r="B2459" s="27">
        <f>IF('01_Rohdaten'!A2459="","",'01_Rohdaten'!A2459)</f>
        <v/>
      </c>
      <c r="C2459" s="27">
        <f>IF(B2459="","",INDEX('01_Rohdaten'!B2459:D2459,'02_Eingaben'!$C$13))</f>
        <v/>
      </c>
      <c r="D2459" s="27">
        <f>IF(C2459="","",C2459*'02_Eingaben'!$C$15)</f>
        <v/>
      </c>
      <c r="E2459" s="27">
        <f>IF(D2459="","",D2459*'02_Eingaben'!$C$8)</f>
        <v/>
      </c>
      <c r="F2459" s="27">
        <f>IF(E2459="","",AVERAGE(INDEX($E$2:$E$3001,MAX(1,ROW()-1-'02_Eingaben'!$C$17)):INDEX($E$2:$E$3001,MIN('02_Eingaben'!$C$21,ROW()-1+'02_Eingaben'!$C$17))))</f>
        <v/>
      </c>
      <c r="G2459" s="27">
        <f>IF(F2459="","",F2459-'02_Eingaben'!$C$10)</f>
        <v/>
      </c>
      <c r="H2459">
        <f>IF(F2459="","",IF(F2459&lt;'02_Eingaben'!$C$18*'02_Eingaben'!$C$10,1,0))</f>
        <v/>
      </c>
      <c r="I2459" s="27">
        <f>IF(OR(G2459="",G2460=""),"",(G2459+G2460)/2*(B2460-B2459))</f>
        <v/>
      </c>
      <c r="J2459" s="27">
        <f>IF(B2459="","",IF(B2458&lt;'02_Eingaben'!$C$36,0,J2458+I2458/'02_Eingaben'!$C$8))</f>
        <v/>
      </c>
    </row>
    <row r="2460">
      <c r="A2460">
        <f>IF('01_Rohdaten'!A2460="","",ROW()-1)</f>
        <v/>
      </c>
      <c r="B2460" s="27">
        <f>IF('01_Rohdaten'!A2460="","",'01_Rohdaten'!A2460)</f>
        <v/>
      </c>
      <c r="C2460" s="27">
        <f>IF(B2460="","",INDEX('01_Rohdaten'!B2460:D2460,'02_Eingaben'!$C$13))</f>
        <v/>
      </c>
      <c r="D2460" s="27">
        <f>IF(C2460="","",C2460*'02_Eingaben'!$C$15)</f>
        <v/>
      </c>
      <c r="E2460" s="27">
        <f>IF(D2460="","",D2460*'02_Eingaben'!$C$8)</f>
        <v/>
      </c>
      <c r="F2460" s="27">
        <f>IF(E2460="","",AVERAGE(INDEX($E$2:$E$3001,MAX(1,ROW()-1-'02_Eingaben'!$C$17)):INDEX($E$2:$E$3001,MIN('02_Eingaben'!$C$21,ROW()-1+'02_Eingaben'!$C$17))))</f>
        <v/>
      </c>
      <c r="G2460" s="27">
        <f>IF(F2460="","",F2460-'02_Eingaben'!$C$10)</f>
        <v/>
      </c>
      <c r="H2460">
        <f>IF(F2460="","",IF(F2460&lt;'02_Eingaben'!$C$18*'02_Eingaben'!$C$10,1,0))</f>
        <v/>
      </c>
      <c r="I2460" s="27">
        <f>IF(OR(G2460="",G2461=""),"",(G2460+G2461)/2*(B2461-B2460))</f>
        <v/>
      </c>
      <c r="J2460" s="27">
        <f>IF(B2460="","",IF(B2459&lt;'02_Eingaben'!$C$36,0,J2459+I2459/'02_Eingaben'!$C$8))</f>
        <v/>
      </c>
    </row>
    <row r="2461">
      <c r="A2461">
        <f>IF('01_Rohdaten'!A2461="","",ROW()-1)</f>
        <v/>
      </c>
      <c r="B2461" s="27">
        <f>IF('01_Rohdaten'!A2461="","",'01_Rohdaten'!A2461)</f>
        <v/>
      </c>
      <c r="C2461" s="27">
        <f>IF(B2461="","",INDEX('01_Rohdaten'!B2461:D2461,'02_Eingaben'!$C$13))</f>
        <v/>
      </c>
      <c r="D2461" s="27">
        <f>IF(C2461="","",C2461*'02_Eingaben'!$C$15)</f>
        <v/>
      </c>
      <c r="E2461" s="27">
        <f>IF(D2461="","",D2461*'02_Eingaben'!$C$8)</f>
        <v/>
      </c>
      <c r="F2461" s="27">
        <f>IF(E2461="","",AVERAGE(INDEX($E$2:$E$3001,MAX(1,ROW()-1-'02_Eingaben'!$C$17)):INDEX($E$2:$E$3001,MIN('02_Eingaben'!$C$21,ROW()-1+'02_Eingaben'!$C$17))))</f>
        <v/>
      </c>
      <c r="G2461" s="27">
        <f>IF(F2461="","",F2461-'02_Eingaben'!$C$10)</f>
        <v/>
      </c>
      <c r="H2461">
        <f>IF(F2461="","",IF(F2461&lt;'02_Eingaben'!$C$18*'02_Eingaben'!$C$10,1,0))</f>
        <v/>
      </c>
      <c r="I2461" s="27">
        <f>IF(OR(G2461="",G2462=""),"",(G2461+G2462)/2*(B2462-B2461))</f>
        <v/>
      </c>
      <c r="J2461" s="27">
        <f>IF(B2461="","",IF(B2460&lt;'02_Eingaben'!$C$36,0,J2460+I2460/'02_Eingaben'!$C$8))</f>
        <v/>
      </c>
    </row>
    <row r="2462">
      <c r="A2462">
        <f>IF('01_Rohdaten'!A2462="","",ROW()-1)</f>
        <v/>
      </c>
      <c r="B2462" s="27">
        <f>IF('01_Rohdaten'!A2462="","",'01_Rohdaten'!A2462)</f>
        <v/>
      </c>
      <c r="C2462" s="27">
        <f>IF(B2462="","",INDEX('01_Rohdaten'!B2462:D2462,'02_Eingaben'!$C$13))</f>
        <v/>
      </c>
      <c r="D2462" s="27">
        <f>IF(C2462="","",C2462*'02_Eingaben'!$C$15)</f>
        <v/>
      </c>
      <c r="E2462" s="27">
        <f>IF(D2462="","",D2462*'02_Eingaben'!$C$8)</f>
        <v/>
      </c>
      <c r="F2462" s="27">
        <f>IF(E2462="","",AVERAGE(INDEX($E$2:$E$3001,MAX(1,ROW()-1-'02_Eingaben'!$C$17)):INDEX($E$2:$E$3001,MIN('02_Eingaben'!$C$21,ROW()-1+'02_Eingaben'!$C$17))))</f>
        <v/>
      </c>
      <c r="G2462" s="27">
        <f>IF(F2462="","",F2462-'02_Eingaben'!$C$10)</f>
        <v/>
      </c>
      <c r="H2462">
        <f>IF(F2462="","",IF(F2462&lt;'02_Eingaben'!$C$18*'02_Eingaben'!$C$10,1,0))</f>
        <v/>
      </c>
      <c r="I2462" s="27">
        <f>IF(OR(G2462="",G2463=""),"",(G2462+G2463)/2*(B2463-B2462))</f>
        <v/>
      </c>
      <c r="J2462" s="27">
        <f>IF(B2462="","",IF(B2461&lt;'02_Eingaben'!$C$36,0,J2461+I2461/'02_Eingaben'!$C$8))</f>
        <v/>
      </c>
    </row>
    <row r="2463">
      <c r="A2463">
        <f>IF('01_Rohdaten'!A2463="","",ROW()-1)</f>
        <v/>
      </c>
      <c r="B2463" s="27">
        <f>IF('01_Rohdaten'!A2463="","",'01_Rohdaten'!A2463)</f>
        <v/>
      </c>
      <c r="C2463" s="27">
        <f>IF(B2463="","",INDEX('01_Rohdaten'!B2463:D2463,'02_Eingaben'!$C$13))</f>
        <v/>
      </c>
      <c r="D2463" s="27">
        <f>IF(C2463="","",C2463*'02_Eingaben'!$C$15)</f>
        <v/>
      </c>
      <c r="E2463" s="27">
        <f>IF(D2463="","",D2463*'02_Eingaben'!$C$8)</f>
        <v/>
      </c>
      <c r="F2463" s="27">
        <f>IF(E2463="","",AVERAGE(INDEX($E$2:$E$3001,MAX(1,ROW()-1-'02_Eingaben'!$C$17)):INDEX($E$2:$E$3001,MIN('02_Eingaben'!$C$21,ROW()-1+'02_Eingaben'!$C$17))))</f>
        <v/>
      </c>
      <c r="G2463" s="27">
        <f>IF(F2463="","",F2463-'02_Eingaben'!$C$10)</f>
        <v/>
      </c>
      <c r="H2463">
        <f>IF(F2463="","",IF(F2463&lt;'02_Eingaben'!$C$18*'02_Eingaben'!$C$10,1,0))</f>
        <v/>
      </c>
      <c r="I2463" s="27">
        <f>IF(OR(G2463="",G2464=""),"",(G2463+G2464)/2*(B2464-B2463))</f>
        <v/>
      </c>
      <c r="J2463" s="27">
        <f>IF(B2463="","",IF(B2462&lt;'02_Eingaben'!$C$36,0,J2462+I2462/'02_Eingaben'!$C$8))</f>
        <v/>
      </c>
    </row>
    <row r="2464">
      <c r="A2464">
        <f>IF('01_Rohdaten'!A2464="","",ROW()-1)</f>
        <v/>
      </c>
      <c r="B2464" s="27">
        <f>IF('01_Rohdaten'!A2464="","",'01_Rohdaten'!A2464)</f>
        <v/>
      </c>
      <c r="C2464" s="27">
        <f>IF(B2464="","",INDEX('01_Rohdaten'!B2464:D2464,'02_Eingaben'!$C$13))</f>
        <v/>
      </c>
      <c r="D2464" s="27">
        <f>IF(C2464="","",C2464*'02_Eingaben'!$C$15)</f>
        <v/>
      </c>
      <c r="E2464" s="27">
        <f>IF(D2464="","",D2464*'02_Eingaben'!$C$8)</f>
        <v/>
      </c>
      <c r="F2464" s="27">
        <f>IF(E2464="","",AVERAGE(INDEX($E$2:$E$3001,MAX(1,ROW()-1-'02_Eingaben'!$C$17)):INDEX($E$2:$E$3001,MIN('02_Eingaben'!$C$21,ROW()-1+'02_Eingaben'!$C$17))))</f>
        <v/>
      </c>
      <c r="G2464" s="27">
        <f>IF(F2464="","",F2464-'02_Eingaben'!$C$10)</f>
        <v/>
      </c>
      <c r="H2464">
        <f>IF(F2464="","",IF(F2464&lt;'02_Eingaben'!$C$18*'02_Eingaben'!$C$10,1,0))</f>
        <v/>
      </c>
      <c r="I2464" s="27">
        <f>IF(OR(G2464="",G2465=""),"",(G2464+G2465)/2*(B2465-B2464))</f>
        <v/>
      </c>
      <c r="J2464" s="27">
        <f>IF(B2464="","",IF(B2463&lt;'02_Eingaben'!$C$36,0,J2463+I2463/'02_Eingaben'!$C$8))</f>
        <v/>
      </c>
    </row>
    <row r="2465">
      <c r="A2465">
        <f>IF('01_Rohdaten'!A2465="","",ROW()-1)</f>
        <v/>
      </c>
      <c r="B2465" s="27">
        <f>IF('01_Rohdaten'!A2465="","",'01_Rohdaten'!A2465)</f>
        <v/>
      </c>
      <c r="C2465" s="27">
        <f>IF(B2465="","",INDEX('01_Rohdaten'!B2465:D2465,'02_Eingaben'!$C$13))</f>
        <v/>
      </c>
      <c r="D2465" s="27">
        <f>IF(C2465="","",C2465*'02_Eingaben'!$C$15)</f>
        <v/>
      </c>
      <c r="E2465" s="27">
        <f>IF(D2465="","",D2465*'02_Eingaben'!$C$8)</f>
        <v/>
      </c>
      <c r="F2465" s="27">
        <f>IF(E2465="","",AVERAGE(INDEX($E$2:$E$3001,MAX(1,ROW()-1-'02_Eingaben'!$C$17)):INDEX($E$2:$E$3001,MIN('02_Eingaben'!$C$21,ROW()-1+'02_Eingaben'!$C$17))))</f>
        <v/>
      </c>
      <c r="G2465" s="27">
        <f>IF(F2465="","",F2465-'02_Eingaben'!$C$10)</f>
        <v/>
      </c>
      <c r="H2465">
        <f>IF(F2465="","",IF(F2465&lt;'02_Eingaben'!$C$18*'02_Eingaben'!$C$10,1,0))</f>
        <v/>
      </c>
      <c r="I2465" s="27">
        <f>IF(OR(G2465="",G2466=""),"",(G2465+G2466)/2*(B2466-B2465))</f>
        <v/>
      </c>
      <c r="J2465" s="27">
        <f>IF(B2465="","",IF(B2464&lt;'02_Eingaben'!$C$36,0,J2464+I2464/'02_Eingaben'!$C$8))</f>
        <v/>
      </c>
    </row>
    <row r="2466">
      <c r="A2466">
        <f>IF('01_Rohdaten'!A2466="","",ROW()-1)</f>
        <v/>
      </c>
      <c r="B2466" s="27">
        <f>IF('01_Rohdaten'!A2466="","",'01_Rohdaten'!A2466)</f>
        <v/>
      </c>
      <c r="C2466" s="27">
        <f>IF(B2466="","",INDEX('01_Rohdaten'!B2466:D2466,'02_Eingaben'!$C$13))</f>
        <v/>
      </c>
      <c r="D2466" s="27">
        <f>IF(C2466="","",C2466*'02_Eingaben'!$C$15)</f>
        <v/>
      </c>
      <c r="E2466" s="27">
        <f>IF(D2466="","",D2466*'02_Eingaben'!$C$8)</f>
        <v/>
      </c>
      <c r="F2466" s="27">
        <f>IF(E2466="","",AVERAGE(INDEX($E$2:$E$3001,MAX(1,ROW()-1-'02_Eingaben'!$C$17)):INDEX($E$2:$E$3001,MIN('02_Eingaben'!$C$21,ROW()-1+'02_Eingaben'!$C$17))))</f>
        <v/>
      </c>
      <c r="G2466" s="27">
        <f>IF(F2466="","",F2466-'02_Eingaben'!$C$10)</f>
        <v/>
      </c>
      <c r="H2466">
        <f>IF(F2466="","",IF(F2466&lt;'02_Eingaben'!$C$18*'02_Eingaben'!$C$10,1,0))</f>
        <v/>
      </c>
      <c r="I2466" s="27">
        <f>IF(OR(G2466="",G2467=""),"",(G2466+G2467)/2*(B2467-B2466))</f>
        <v/>
      </c>
      <c r="J2466" s="27">
        <f>IF(B2466="","",IF(B2465&lt;'02_Eingaben'!$C$36,0,J2465+I2465/'02_Eingaben'!$C$8))</f>
        <v/>
      </c>
    </row>
    <row r="2467">
      <c r="A2467">
        <f>IF('01_Rohdaten'!A2467="","",ROW()-1)</f>
        <v/>
      </c>
      <c r="B2467" s="27">
        <f>IF('01_Rohdaten'!A2467="","",'01_Rohdaten'!A2467)</f>
        <v/>
      </c>
      <c r="C2467" s="27">
        <f>IF(B2467="","",INDEX('01_Rohdaten'!B2467:D2467,'02_Eingaben'!$C$13))</f>
        <v/>
      </c>
      <c r="D2467" s="27">
        <f>IF(C2467="","",C2467*'02_Eingaben'!$C$15)</f>
        <v/>
      </c>
      <c r="E2467" s="27">
        <f>IF(D2467="","",D2467*'02_Eingaben'!$C$8)</f>
        <v/>
      </c>
      <c r="F2467" s="27">
        <f>IF(E2467="","",AVERAGE(INDEX($E$2:$E$3001,MAX(1,ROW()-1-'02_Eingaben'!$C$17)):INDEX($E$2:$E$3001,MIN('02_Eingaben'!$C$21,ROW()-1+'02_Eingaben'!$C$17))))</f>
        <v/>
      </c>
      <c r="G2467" s="27">
        <f>IF(F2467="","",F2467-'02_Eingaben'!$C$10)</f>
        <v/>
      </c>
      <c r="H2467">
        <f>IF(F2467="","",IF(F2467&lt;'02_Eingaben'!$C$18*'02_Eingaben'!$C$10,1,0))</f>
        <v/>
      </c>
      <c r="I2467" s="27">
        <f>IF(OR(G2467="",G2468=""),"",(G2467+G2468)/2*(B2468-B2467))</f>
        <v/>
      </c>
      <c r="J2467" s="27">
        <f>IF(B2467="","",IF(B2466&lt;'02_Eingaben'!$C$36,0,J2466+I2466/'02_Eingaben'!$C$8))</f>
        <v/>
      </c>
    </row>
    <row r="2468">
      <c r="A2468">
        <f>IF('01_Rohdaten'!A2468="","",ROW()-1)</f>
        <v/>
      </c>
      <c r="B2468" s="27">
        <f>IF('01_Rohdaten'!A2468="","",'01_Rohdaten'!A2468)</f>
        <v/>
      </c>
      <c r="C2468" s="27">
        <f>IF(B2468="","",INDEX('01_Rohdaten'!B2468:D2468,'02_Eingaben'!$C$13))</f>
        <v/>
      </c>
      <c r="D2468" s="27">
        <f>IF(C2468="","",C2468*'02_Eingaben'!$C$15)</f>
        <v/>
      </c>
      <c r="E2468" s="27">
        <f>IF(D2468="","",D2468*'02_Eingaben'!$C$8)</f>
        <v/>
      </c>
      <c r="F2468" s="27">
        <f>IF(E2468="","",AVERAGE(INDEX($E$2:$E$3001,MAX(1,ROW()-1-'02_Eingaben'!$C$17)):INDEX($E$2:$E$3001,MIN('02_Eingaben'!$C$21,ROW()-1+'02_Eingaben'!$C$17))))</f>
        <v/>
      </c>
      <c r="G2468" s="27">
        <f>IF(F2468="","",F2468-'02_Eingaben'!$C$10)</f>
        <v/>
      </c>
      <c r="H2468">
        <f>IF(F2468="","",IF(F2468&lt;'02_Eingaben'!$C$18*'02_Eingaben'!$C$10,1,0))</f>
        <v/>
      </c>
      <c r="I2468" s="27">
        <f>IF(OR(G2468="",G2469=""),"",(G2468+G2469)/2*(B2469-B2468))</f>
        <v/>
      </c>
      <c r="J2468" s="27">
        <f>IF(B2468="","",IF(B2467&lt;'02_Eingaben'!$C$36,0,J2467+I2467/'02_Eingaben'!$C$8))</f>
        <v/>
      </c>
    </row>
    <row r="2469">
      <c r="A2469">
        <f>IF('01_Rohdaten'!A2469="","",ROW()-1)</f>
        <v/>
      </c>
      <c r="B2469" s="27">
        <f>IF('01_Rohdaten'!A2469="","",'01_Rohdaten'!A2469)</f>
        <v/>
      </c>
      <c r="C2469" s="27">
        <f>IF(B2469="","",INDEX('01_Rohdaten'!B2469:D2469,'02_Eingaben'!$C$13))</f>
        <v/>
      </c>
      <c r="D2469" s="27">
        <f>IF(C2469="","",C2469*'02_Eingaben'!$C$15)</f>
        <v/>
      </c>
      <c r="E2469" s="27">
        <f>IF(D2469="","",D2469*'02_Eingaben'!$C$8)</f>
        <v/>
      </c>
      <c r="F2469" s="27">
        <f>IF(E2469="","",AVERAGE(INDEX($E$2:$E$3001,MAX(1,ROW()-1-'02_Eingaben'!$C$17)):INDEX($E$2:$E$3001,MIN('02_Eingaben'!$C$21,ROW()-1+'02_Eingaben'!$C$17))))</f>
        <v/>
      </c>
      <c r="G2469" s="27">
        <f>IF(F2469="","",F2469-'02_Eingaben'!$C$10)</f>
        <v/>
      </c>
      <c r="H2469">
        <f>IF(F2469="","",IF(F2469&lt;'02_Eingaben'!$C$18*'02_Eingaben'!$C$10,1,0))</f>
        <v/>
      </c>
      <c r="I2469" s="27">
        <f>IF(OR(G2469="",G2470=""),"",(G2469+G2470)/2*(B2470-B2469))</f>
        <v/>
      </c>
      <c r="J2469" s="27">
        <f>IF(B2469="","",IF(B2468&lt;'02_Eingaben'!$C$36,0,J2468+I2468/'02_Eingaben'!$C$8))</f>
        <v/>
      </c>
    </row>
    <row r="2470">
      <c r="A2470">
        <f>IF('01_Rohdaten'!A2470="","",ROW()-1)</f>
        <v/>
      </c>
      <c r="B2470" s="27">
        <f>IF('01_Rohdaten'!A2470="","",'01_Rohdaten'!A2470)</f>
        <v/>
      </c>
      <c r="C2470" s="27">
        <f>IF(B2470="","",INDEX('01_Rohdaten'!B2470:D2470,'02_Eingaben'!$C$13))</f>
        <v/>
      </c>
      <c r="D2470" s="27">
        <f>IF(C2470="","",C2470*'02_Eingaben'!$C$15)</f>
        <v/>
      </c>
      <c r="E2470" s="27">
        <f>IF(D2470="","",D2470*'02_Eingaben'!$C$8)</f>
        <v/>
      </c>
      <c r="F2470" s="27">
        <f>IF(E2470="","",AVERAGE(INDEX($E$2:$E$3001,MAX(1,ROW()-1-'02_Eingaben'!$C$17)):INDEX($E$2:$E$3001,MIN('02_Eingaben'!$C$21,ROW()-1+'02_Eingaben'!$C$17))))</f>
        <v/>
      </c>
      <c r="G2470" s="27">
        <f>IF(F2470="","",F2470-'02_Eingaben'!$C$10)</f>
        <v/>
      </c>
      <c r="H2470">
        <f>IF(F2470="","",IF(F2470&lt;'02_Eingaben'!$C$18*'02_Eingaben'!$C$10,1,0))</f>
        <v/>
      </c>
      <c r="I2470" s="27">
        <f>IF(OR(G2470="",G2471=""),"",(G2470+G2471)/2*(B2471-B2470))</f>
        <v/>
      </c>
      <c r="J2470" s="27">
        <f>IF(B2470="","",IF(B2469&lt;'02_Eingaben'!$C$36,0,J2469+I2469/'02_Eingaben'!$C$8))</f>
        <v/>
      </c>
    </row>
    <row r="2471">
      <c r="A2471">
        <f>IF('01_Rohdaten'!A2471="","",ROW()-1)</f>
        <v/>
      </c>
      <c r="B2471" s="27">
        <f>IF('01_Rohdaten'!A2471="","",'01_Rohdaten'!A2471)</f>
        <v/>
      </c>
      <c r="C2471" s="27">
        <f>IF(B2471="","",INDEX('01_Rohdaten'!B2471:D2471,'02_Eingaben'!$C$13))</f>
        <v/>
      </c>
      <c r="D2471" s="27">
        <f>IF(C2471="","",C2471*'02_Eingaben'!$C$15)</f>
        <v/>
      </c>
      <c r="E2471" s="27">
        <f>IF(D2471="","",D2471*'02_Eingaben'!$C$8)</f>
        <v/>
      </c>
      <c r="F2471" s="27">
        <f>IF(E2471="","",AVERAGE(INDEX($E$2:$E$3001,MAX(1,ROW()-1-'02_Eingaben'!$C$17)):INDEX($E$2:$E$3001,MIN('02_Eingaben'!$C$21,ROW()-1+'02_Eingaben'!$C$17))))</f>
        <v/>
      </c>
      <c r="G2471" s="27">
        <f>IF(F2471="","",F2471-'02_Eingaben'!$C$10)</f>
        <v/>
      </c>
      <c r="H2471">
        <f>IF(F2471="","",IF(F2471&lt;'02_Eingaben'!$C$18*'02_Eingaben'!$C$10,1,0))</f>
        <v/>
      </c>
      <c r="I2471" s="27">
        <f>IF(OR(G2471="",G2472=""),"",(G2471+G2472)/2*(B2472-B2471))</f>
        <v/>
      </c>
      <c r="J2471" s="27">
        <f>IF(B2471="","",IF(B2470&lt;'02_Eingaben'!$C$36,0,J2470+I2470/'02_Eingaben'!$C$8))</f>
        <v/>
      </c>
    </row>
    <row r="2472">
      <c r="A2472">
        <f>IF('01_Rohdaten'!A2472="","",ROW()-1)</f>
        <v/>
      </c>
      <c r="B2472" s="27">
        <f>IF('01_Rohdaten'!A2472="","",'01_Rohdaten'!A2472)</f>
        <v/>
      </c>
      <c r="C2472" s="27">
        <f>IF(B2472="","",INDEX('01_Rohdaten'!B2472:D2472,'02_Eingaben'!$C$13))</f>
        <v/>
      </c>
      <c r="D2472" s="27">
        <f>IF(C2472="","",C2472*'02_Eingaben'!$C$15)</f>
        <v/>
      </c>
      <c r="E2472" s="27">
        <f>IF(D2472="","",D2472*'02_Eingaben'!$C$8)</f>
        <v/>
      </c>
      <c r="F2472" s="27">
        <f>IF(E2472="","",AVERAGE(INDEX($E$2:$E$3001,MAX(1,ROW()-1-'02_Eingaben'!$C$17)):INDEX($E$2:$E$3001,MIN('02_Eingaben'!$C$21,ROW()-1+'02_Eingaben'!$C$17))))</f>
        <v/>
      </c>
      <c r="G2472" s="27">
        <f>IF(F2472="","",F2472-'02_Eingaben'!$C$10)</f>
        <v/>
      </c>
      <c r="H2472">
        <f>IF(F2472="","",IF(F2472&lt;'02_Eingaben'!$C$18*'02_Eingaben'!$C$10,1,0))</f>
        <v/>
      </c>
      <c r="I2472" s="27">
        <f>IF(OR(G2472="",G2473=""),"",(G2472+G2473)/2*(B2473-B2472))</f>
        <v/>
      </c>
      <c r="J2472" s="27">
        <f>IF(B2472="","",IF(B2471&lt;'02_Eingaben'!$C$36,0,J2471+I2471/'02_Eingaben'!$C$8))</f>
        <v/>
      </c>
    </row>
    <row r="2473">
      <c r="A2473">
        <f>IF('01_Rohdaten'!A2473="","",ROW()-1)</f>
        <v/>
      </c>
      <c r="B2473" s="27">
        <f>IF('01_Rohdaten'!A2473="","",'01_Rohdaten'!A2473)</f>
        <v/>
      </c>
      <c r="C2473" s="27">
        <f>IF(B2473="","",INDEX('01_Rohdaten'!B2473:D2473,'02_Eingaben'!$C$13))</f>
        <v/>
      </c>
      <c r="D2473" s="27">
        <f>IF(C2473="","",C2473*'02_Eingaben'!$C$15)</f>
        <v/>
      </c>
      <c r="E2473" s="27">
        <f>IF(D2473="","",D2473*'02_Eingaben'!$C$8)</f>
        <v/>
      </c>
      <c r="F2473" s="27">
        <f>IF(E2473="","",AVERAGE(INDEX($E$2:$E$3001,MAX(1,ROW()-1-'02_Eingaben'!$C$17)):INDEX($E$2:$E$3001,MIN('02_Eingaben'!$C$21,ROW()-1+'02_Eingaben'!$C$17))))</f>
        <v/>
      </c>
      <c r="G2473" s="27">
        <f>IF(F2473="","",F2473-'02_Eingaben'!$C$10)</f>
        <v/>
      </c>
      <c r="H2473">
        <f>IF(F2473="","",IF(F2473&lt;'02_Eingaben'!$C$18*'02_Eingaben'!$C$10,1,0))</f>
        <v/>
      </c>
      <c r="I2473" s="27">
        <f>IF(OR(G2473="",G2474=""),"",(G2473+G2474)/2*(B2474-B2473))</f>
        <v/>
      </c>
      <c r="J2473" s="27">
        <f>IF(B2473="","",IF(B2472&lt;'02_Eingaben'!$C$36,0,J2472+I2472/'02_Eingaben'!$C$8))</f>
        <v/>
      </c>
    </row>
    <row r="2474">
      <c r="A2474">
        <f>IF('01_Rohdaten'!A2474="","",ROW()-1)</f>
        <v/>
      </c>
      <c r="B2474" s="27">
        <f>IF('01_Rohdaten'!A2474="","",'01_Rohdaten'!A2474)</f>
        <v/>
      </c>
      <c r="C2474" s="27">
        <f>IF(B2474="","",INDEX('01_Rohdaten'!B2474:D2474,'02_Eingaben'!$C$13))</f>
        <v/>
      </c>
      <c r="D2474" s="27">
        <f>IF(C2474="","",C2474*'02_Eingaben'!$C$15)</f>
        <v/>
      </c>
      <c r="E2474" s="27">
        <f>IF(D2474="","",D2474*'02_Eingaben'!$C$8)</f>
        <v/>
      </c>
      <c r="F2474" s="27">
        <f>IF(E2474="","",AVERAGE(INDEX($E$2:$E$3001,MAX(1,ROW()-1-'02_Eingaben'!$C$17)):INDEX($E$2:$E$3001,MIN('02_Eingaben'!$C$21,ROW()-1+'02_Eingaben'!$C$17))))</f>
        <v/>
      </c>
      <c r="G2474" s="27">
        <f>IF(F2474="","",F2474-'02_Eingaben'!$C$10)</f>
        <v/>
      </c>
      <c r="H2474">
        <f>IF(F2474="","",IF(F2474&lt;'02_Eingaben'!$C$18*'02_Eingaben'!$C$10,1,0))</f>
        <v/>
      </c>
      <c r="I2474" s="27">
        <f>IF(OR(G2474="",G2475=""),"",(G2474+G2475)/2*(B2475-B2474))</f>
        <v/>
      </c>
      <c r="J2474" s="27">
        <f>IF(B2474="","",IF(B2473&lt;'02_Eingaben'!$C$36,0,J2473+I2473/'02_Eingaben'!$C$8))</f>
        <v/>
      </c>
    </row>
    <row r="2475">
      <c r="A2475">
        <f>IF('01_Rohdaten'!A2475="","",ROW()-1)</f>
        <v/>
      </c>
      <c r="B2475" s="27">
        <f>IF('01_Rohdaten'!A2475="","",'01_Rohdaten'!A2475)</f>
        <v/>
      </c>
      <c r="C2475" s="27">
        <f>IF(B2475="","",INDEX('01_Rohdaten'!B2475:D2475,'02_Eingaben'!$C$13))</f>
        <v/>
      </c>
      <c r="D2475" s="27">
        <f>IF(C2475="","",C2475*'02_Eingaben'!$C$15)</f>
        <v/>
      </c>
      <c r="E2475" s="27">
        <f>IF(D2475="","",D2475*'02_Eingaben'!$C$8)</f>
        <v/>
      </c>
      <c r="F2475" s="27">
        <f>IF(E2475="","",AVERAGE(INDEX($E$2:$E$3001,MAX(1,ROW()-1-'02_Eingaben'!$C$17)):INDEX($E$2:$E$3001,MIN('02_Eingaben'!$C$21,ROW()-1+'02_Eingaben'!$C$17))))</f>
        <v/>
      </c>
      <c r="G2475" s="27">
        <f>IF(F2475="","",F2475-'02_Eingaben'!$C$10)</f>
        <v/>
      </c>
      <c r="H2475">
        <f>IF(F2475="","",IF(F2475&lt;'02_Eingaben'!$C$18*'02_Eingaben'!$C$10,1,0))</f>
        <v/>
      </c>
      <c r="I2475" s="27">
        <f>IF(OR(G2475="",G2476=""),"",(G2475+G2476)/2*(B2476-B2475))</f>
        <v/>
      </c>
      <c r="J2475" s="27">
        <f>IF(B2475="","",IF(B2474&lt;'02_Eingaben'!$C$36,0,J2474+I2474/'02_Eingaben'!$C$8))</f>
        <v/>
      </c>
    </row>
    <row r="2476">
      <c r="A2476">
        <f>IF('01_Rohdaten'!A2476="","",ROW()-1)</f>
        <v/>
      </c>
      <c r="B2476" s="27">
        <f>IF('01_Rohdaten'!A2476="","",'01_Rohdaten'!A2476)</f>
        <v/>
      </c>
      <c r="C2476" s="27">
        <f>IF(B2476="","",INDEX('01_Rohdaten'!B2476:D2476,'02_Eingaben'!$C$13))</f>
        <v/>
      </c>
      <c r="D2476" s="27">
        <f>IF(C2476="","",C2476*'02_Eingaben'!$C$15)</f>
        <v/>
      </c>
      <c r="E2476" s="27">
        <f>IF(D2476="","",D2476*'02_Eingaben'!$C$8)</f>
        <v/>
      </c>
      <c r="F2476" s="27">
        <f>IF(E2476="","",AVERAGE(INDEX($E$2:$E$3001,MAX(1,ROW()-1-'02_Eingaben'!$C$17)):INDEX($E$2:$E$3001,MIN('02_Eingaben'!$C$21,ROW()-1+'02_Eingaben'!$C$17))))</f>
        <v/>
      </c>
      <c r="G2476" s="27">
        <f>IF(F2476="","",F2476-'02_Eingaben'!$C$10)</f>
        <v/>
      </c>
      <c r="H2476">
        <f>IF(F2476="","",IF(F2476&lt;'02_Eingaben'!$C$18*'02_Eingaben'!$C$10,1,0))</f>
        <v/>
      </c>
      <c r="I2476" s="27">
        <f>IF(OR(G2476="",G2477=""),"",(G2476+G2477)/2*(B2477-B2476))</f>
        <v/>
      </c>
      <c r="J2476" s="27">
        <f>IF(B2476="","",IF(B2475&lt;'02_Eingaben'!$C$36,0,J2475+I2475/'02_Eingaben'!$C$8))</f>
        <v/>
      </c>
    </row>
    <row r="2477">
      <c r="A2477">
        <f>IF('01_Rohdaten'!A2477="","",ROW()-1)</f>
        <v/>
      </c>
      <c r="B2477" s="27">
        <f>IF('01_Rohdaten'!A2477="","",'01_Rohdaten'!A2477)</f>
        <v/>
      </c>
      <c r="C2477" s="27">
        <f>IF(B2477="","",INDEX('01_Rohdaten'!B2477:D2477,'02_Eingaben'!$C$13))</f>
        <v/>
      </c>
      <c r="D2477" s="27">
        <f>IF(C2477="","",C2477*'02_Eingaben'!$C$15)</f>
        <v/>
      </c>
      <c r="E2477" s="27">
        <f>IF(D2477="","",D2477*'02_Eingaben'!$C$8)</f>
        <v/>
      </c>
      <c r="F2477" s="27">
        <f>IF(E2477="","",AVERAGE(INDEX($E$2:$E$3001,MAX(1,ROW()-1-'02_Eingaben'!$C$17)):INDEX($E$2:$E$3001,MIN('02_Eingaben'!$C$21,ROW()-1+'02_Eingaben'!$C$17))))</f>
        <v/>
      </c>
      <c r="G2477" s="27">
        <f>IF(F2477="","",F2477-'02_Eingaben'!$C$10)</f>
        <v/>
      </c>
      <c r="H2477">
        <f>IF(F2477="","",IF(F2477&lt;'02_Eingaben'!$C$18*'02_Eingaben'!$C$10,1,0))</f>
        <v/>
      </c>
      <c r="I2477" s="27">
        <f>IF(OR(G2477="",G2478=""),"",(G2477+G2478)/2*(B2478-B2477))</f>
        <v/>
      </c>
      <c r="J2477" s="27">
        <f>IF(B2477="","",IF(B2476&lt;'02_Eingaben'!$C$36,0,J2476+I2476/'02_Eingaben'!$C$8))</f>
        <v/>
      </c>
    </row>
    <row r="2478">
      <c r="A2478">
        <f>IF('01_Rohdaten'!A2478="","",ROW()-1)</f>
        <v/>
      </c>
      <c r="B2478" s="27">
        <f>IF('01_Rohdaten'!A2478="","",'01_Rohdaten'!A2478)</f>
        <v/>
      </c>
      <c r="C2478" s="27">
        <f>IF(B2478="","",INDEX('01_Rohdaten'!B2478:D2478,'02_Eingaben'!$C$13))</f>
        <v/>
      </c>
      <c r="D2478" s="27">
        <f>IF(C2478="","",C2478*'02_Eingaben'!$C$15)</f>
        <v/>
      </c>
      <c r="E2478" s="27">
        <f>IF(D2478="","",D2478*'02_Eingaben'!$C$8)</f>
        <v/>
      </c>
      <c r="F2478" s="27">
        <f>IF(E2478="","",AVERAGE(INDEX($E$2:$E$3001,MAX(1,ROW()-1-'02_Eingaben'!$C$17)):INDEX($E$2:$E$3001,MIN('02_Eingaben'!$C$21,ROW()-1+'02_Eingaben'!$C$17))))</f>
        <v/>
      </c>
      <c r="G2478" s="27">
        <f>IF(F2478="","",F2478-'02_Eingaben'!$C$10)</f>
        <v/>
      </c>
      <c r="H2478">
        <f>IF(F2478="","",IF(F2478&lt;'02_Eingaben'!$C$18*'02_Eingaben'!$C$10,1,0))</f>
        <v/>
      </c>
      <c r="I2478" s="27">
        <f>IF(OR(G2478="",G2479=""),"",(G2478+G2479)/2*(B2479-B2478))</f>
        <v/>
      </c>
      <c r="J2478" s="27">
        <f>IF(B2478="","",IF(B2477&lt;'02_Eingaben'!$C$36,0,J2477+I2477/'02_Eingaben'!$C$8))</f>
        <v/>
      </c>
    </row>
    <row r="2479">
      <c r="A2479">
        <f>IF('01_Rohdaten'!A2479="","",ROW()-1)</f>
        <v/>
      </c>
      <c r="B2479" s="27">
        <f>IF('01_Rohdaten'!A2479="","",'01_Rohdaten'!A2479)</f>
        <v/>
      </c>
      <c r="C2479" s="27">
        <f>IF(B2479="","",INDEX('01_Rohdaten'!B2479:D2479,'02_Eingaben'!$C$13))</f>
        <v/>
      </c>
      <c r="D2479" s="27">
        <f>IF(C2479="","",C2479*'02_Eingaben'!$C$15)</f>
        <v/>
      </c>
      <c r="E2479" s="27">
        <f>IF(D2479="","",D2479*'02_Eingaben'!$C$8)</f>
        <v/>
      </c>
      <c r="F2479" s="27">
        <f>IF(E2479="","",AVERAGE(INDEX($E$2:$E$3001,MAX(1,ROW()-1-'02_Eingaben'!$C$17)):INDEX($E$2:$E$3001,MIN('02_Eingaben'!$C$21,ROW()-1+'02_Eingaben'!$C$17))))</f>
        <v/>
      </c>
      <c r="G2479" s="27">
        <f>IF(F2479="","",F2479-'02_Eingaben'!$C$10)</f>
        <v/>
      </c>
      <c r="H2479">
        <f>IF(F2479="","",IF(F2479&lt;'02_Eingaben'!$C$18*'02_Eingaben'!$C$10,1,0))</f>
        <v/>
      </c>
      <c r="I2479" s="27">
        <f>IF(OR(G2479="",G2480=""),"",(G2479+G2480)/2*(B2480-B2479))</f>
        <v/>
      </c>
      <c r="J2479" s="27">
        <f>IF(B2479="","",IF(B2478&lt;'02_Eingaben'!$C$36,0,J2478+I2478/'02_Eingaben'!$C$8))</f>
        <v/>
      </c>
    </row>
    <row r="2480">
      <c r="A2480">
        <f>IF('01_Rohdaten'!A2480="","",ROW()-1)</f>
        <v/>
      </c>
      <c r="B2480" s="27">
        <f>IF('01_Rohdaten'!A2480="","",'01_Rohdaten'!A2480)</f>
        <v/>
      </c>
      <c r="C2480" s="27">
        <f>IF(B2480="","",INDEX('01_Rohdaten'!B2480:D2480,'02_Eingaben'!$C$13))</f>
        <v/>
      </c>
      <c r="D2480" s="27">
        <f>IF(C2480="","",C2480*'02_Eingaben'!$C$15)</f>
        <v/>
      </c>
      <c r="E2480" s="27">
        <f>IF(D2480="","",D2480*'02_Eingaben'!$C$8)</f>
        <v/>
      </c>
      <c r="F2480" s="27">
        <f>IF(E2480="","",AVERAGE(INDEX($E$2:$E$3001,MAX(1,ROW()-1-'02_Eingaben'!$C$17)):INDEX($E$2:$E$3001,MIN('02_Eingaben'!$C$21,ROW()-1+'02_Eingaben'!$C$17))))</f>
        <v/>
      </c>
      <c r="G2480" s="27">
        <f>IF(F2480="","",F2480-'02_Eingaben'!$C$10)</f>
        <v/>
      </c>
      <c r="H2480">
        <f>IF(F2480="","",IF(F2480&lt;'02_Eingaben'!$C$18*'02_Eingaben'!$C$10,1,0))</f>
        <v/>
      </c>
      <c r="I2480" s="27">
        <f>IF(OR(G2480="",G2481=""),"",(G2480+G2481)/2*(B2481-B2480))</f>
        <v/>
      </c>
      <c r="J2480" s="27">
        <f>IF(B2480="","",IF(B2479&lt;'02_Eingaben'!$C$36,0,J2479+I2479/'02_Eingaben'!$C$8))</f>
        <v/>
      </c>
    </row>
    <row r="2481">
      <c r="A2481">
        <f>IF('01_Rohdaten'!A2481="","",ROW()-1)</f>
        <v/>
      </c>
      <c r="B2481" s="27">
        <f>IF('01_Rohdaten'!A2481="","",'01_Rohdaten'!A2481)</f>
        <v/>
      </c>
      <c r="C2481" s="27">
        <f>IF(B2481="","",INDEX('01_Rohdaten'!B2481:D2481,'02_Eingaben'!$C$13))</f>
        <v/>
      </c>
      <c r="D2481" s="27">
        <f>IF(C2481="","",C2481*'02_Eingaben'!$C$15)</f>
        <v/>
      </c>
      <c r="E2481" s="27">
        <f>IF(D2481="","",D2481*'02_Eingaben'!$C$8)</f>
        <v/>
      </c>
      <c r="F2481" s="27">
        <f>IF(E2481="","",AVERAGE(INDEX($E$2:$E$3001,MAX(1,ROW()-1-'02_Eingaben'!$C$17)):INDEX($E$2:$E$3001,MIN('02_Eingaben'!$C$21,ROW()-1+'02_Eingaben'!$C$17))))</f>
        <v/>
      </c>
      <c r="G2481" s="27">
        <f>IF(F2481="","",F2481-'02_Eingaben'!$C$10)</f>
        <v/>
      </c>
      <c r="H2481">
        <f>IF(F2481="","",IF(F2481&lt;'02_Eingaben'!$C$18*'02_Eingaben'!$C$10,1,0))</f>
        <v/>
      </c>
      <c r="I2481" s="27">
        <f>IF(OR(G2481="",G2482=""),"",(G2481+G2482)/2*(B2482-B2481))</f>
        <v/>
      </c>
      <c r="J2481" s="27">
        <f>IF(B2481="","",IF(B2480&lt;'02_Eingaben'!$C$36,0,J2480+I2480/'02_Eingaben'!$C$8))</f>
        <v/>
      </c>
    </row>
    <row r="2482">
      <c r="A2482">
        <f>IF('01_Rohdaten'!A2482="","",ROW()-1)</f>
        <v/>
      </c>
      <c r="B2482" s="27">
        <f>IF('01_Rohdaten'!A2482="","",'01_Rohdaten'!A2482)</f>
        <v/>
      </c>
      <c r="C2482" s="27">
        <f>IF(B2482="","",INDEX('01_Rohdaten'!B2482:D2482,'02_Eingaben'!$C$13))</f>
        <v/>
      </c>
      <c r="D2482" s="27">
        <f>IF(C2482="","",C2482*'02_Eingaben'!$C$15)</f>
        <v/>
      </c>
      <c r="E2482" s="27">
        <f>IF(D2482="","",D2482*'02_Eingaben'!$C$8)</f>
        <v/>
      </c>
      <c r="F2482" s="27">
        <f>IF(E2482="","",AVERAGE(INDEX($E$2:$E$3001,MAX(1,ROW()-1-'02_Eingaben'!$C$17)):INDEX($E$2:$E$3001,MIN('02_Eingaben'!$C$21,ROW()-1+'02_Eingaben'!$C$17))))</f>
        <v/>
      </c>
      <c r="G2482" s="27">
        <f>IF(F2482="","",F2482-'02_Eingaben'!$C$10)</f>
        <v/>
      </c>
      <c r="H2482">
        <f>IF(F2482="","",IF(F2482&lt;'02_Eingaben'!$C$18*'02_Eingaben'!$C$10,1,0))</f>
        <v/>
      </c>
      <c r="I2482" s="27">
        <f>IF(OR(G2482="",G2483=""),"",(G2482+G2483)/2*(B2483-B2482))</f>
        <v/>
      </c>
      <c r="J2482" s="27">
        <f>IF(B2482="","",IF(B2481&lt;'02_Eingaben'!$C$36,0,J2481+I2481/'02_Eingaben'!$C$8))</f>
        <v/>
      </c>
    </row>
    <row r="2483">
      <c r="A2483">
        <f>IF('01_Rohdaten'!A2483="","",ROW()-1)</f>
        <v/>
      </c>
      <c r="B2483" s="27">
        <f>IF('01_Rohdaten'!A2483="","",'01_Rohdaten'!A2483)</f>
        <v/>
      </c>
      <c r="C2483" s="27">
        <f>IF(B2483="","",INDEX('01_Rohdaten'!B2483:D2483,'02_Eingaben'!$C$13))</f>
        <v/>
      </c>
      <c r="D2483" s="27">
        <f>IF(C2483="","",C2483*'02_Eingaben'!$C$15)</f>
        <v/>
      </c>
      <c r="E2483" s="27">
        <f>IF(D2483="","",D2483*'02_Eingaben'!$C$8)</f>
        <v/>
      </c>
      <c r="F2483" s="27">
        <f>IF(E2483="","",AVERAGE(INDEX($E$2:$E$3001,MAX(1,ROW()-1-'02_Eingaben'!$C$17)):INDEX($E$2:$E$3001,MIN('02_Eingaben'!$C$21,ROW()-1+'02_Eingaben'!$C$17))))</f>
        <v/>
      </c>
      <c r="G2483" s="27">
        <f>IF(F2483="","",F2483-'02_Eingaben'!$C$10)</f>
        <v/>
      </c>
      <c r="H2483">
        <f>IF(F2483="","",IF(F2483&lt;'02_Eingaben'!$C$18*'02_Eingaben'!$C$10,1,0))</f>
        <v/>
      </c>
      <c r="I2483" s="27">
        <f>IF(OR(G2483="",G2484=""),"",(G2483+G2484)/2*(B2484-B2483))</f>
        <v/>
      </c>
      <c r="J2483" s="27">
        <f>IF(B2483="","",IF(B2482&lt;'02_Eingaben'!$C$36,0,J2482+I2482/'02_Eingaben'!$C$8))</f>
        <v/>
      </c>
    </row>
    <row r="2484">
      <c r="A2484">
        <f>IF('01_Rohdaten'!A2484="","",ROW()-1)</f>
        <v/>
      </c>
      <c r="B2484" s="27">
        <f>IF('01_Rohdaten'!A2484="","",'01_Rohdaten'!A2484)</f>
        <v/>
      </c>
      <c r="C2484" s="27">
        <f>IF(B2484="","",INDEX('01_Rohdaten'!B2484:D2484,'02_Eingaben'!$C$13))</f>
        <v/>
      </c>
      <c r="D2484" s="27">
        <f>IF(C2484="","",C2484*'02_Eingaben'!$C$15)</f>
        <v/>
      </c>
      <c r="E2484" s="27">
        <f>IF(D2484="","",D2484*'02_Eingaben'!$C$8)</f>
        <v/>
      </c>
      <c r="F2484" s="27">
        <f>IF(E2484="","",AVERAGE(INDEX($E$2:$E$3001,MAX(1,ROW()-1-'02_Eingaben'!$C$17)):INDEX($E$2:$E$3001,MIN('02_Eingaben'!$C$21,ROW()-1+'02_Eingaben'!$C$17))))</f>
        <v/>
      </c>
      <c r="G2484" s="27">
        <f>IF(F2484="","",F2484-'02_Eingaben'!$C$10)</f>
        <v/>
      </c>
      <c r="H2484">
        <f>IF(F2484="","",IF(F2484&lt;'02_Eingaben'!$C$18*'02_Eingaben'!$C$10,1,0))</f>
        <v/>
      </c>
      <c r="I2484" s="27">
        <f>IF(OR(G2484="",G2485=""),"",(G2484+G2485)/2*(B2485-B2484))</f>
        <v/>
      </c>
      <c r="J2484" s="27">
        <f>IF(B2484="","",IF(B2483&lt;'02_Eingaben'!$C$36,0,J2483+I2483/'02_Eingaben'!$C$8))</f>
        <v/>
      </c>
    </row>
    <row r="2485">
      <c r="A2485">
        <f>IF('01_Rohdaten'!A2485="","",ROW()-1)</f>
        <v/>
      </c>
      <c r="B2485" s="27">
        <f>IF('01_Rohdaten'!A2485="","",'01_Rohdaten'!A2485)</f>
        <v/>
      </c>
      <c r="C2485" s="27">
        <f>IF(B2485="","",INDEX('01_Rohdaten'!B2485:D2485,'02_Eingaben'!$C$13))</f>
        <v/>
      </c>
      <c r="D2485" s="27">
        <f>IF(C2485="","",C2485*'02_Eingaben'!$C$15)</f>
        <v/>
      </c>
      <c r="E2485" s="27">
        <f>IF(D2485="","",D2485*'02_Eingaben'!$C$8)</f>
        <v/>
      </c>
      <c r="F2485" s="27">
        <f>IF(E2485="","",AVERAGE(INDEX($E$2:$E$3001,MAX(1,ROW()-1-'02_Eingaben'!$C$17)):INDEX($E$2:$E$3001,MIN('02_Eingaben'!$C$21,ROW()-1+'02_Eingaben'!$C$17))))</f>
        <v/>
      </c>
      <c r="G2485" s="27">
        <f>IF(F2485="","",F2485-'02_Eingaben'!$C$10)</f>
        <v/>
      </c>
      <c r="H2485">
        <f>IF(F2485="","",IF(F2485&lt;'02_Eingaben'!$C$18*'02_Eingaben'!$C$10,1,0))</f>
        <v/>
      </c>
      <c r="I2485" s="27">
        <f>IF(OR(G2485="",G2486=""),"",(G2485+G2486)/2*(B2486-B2485))</f>
        <v/>
      </c>
      <c r="J2485" s="27">
        <f>IF(B2485="","",IF(B2484&lt;'02_Eingaben'!$C$36,0,J2484+I2484/'02_Eingaben'!$C$8))</f>
        <v/>
      </c>
    </row>
    <row r="2486">
      <c r="A2486">
        <f>IF('01_Rohdaten'!A2486="","",ROW()-1)</f>
        <v/>
      </c>
      <c r="B2486" s="27">
        <f>IF('01_Rohdaten'!A2486="","",'01_Rohdaten'!A2486)</f>
        <v/>
      </c>
      <c r="C2486" s="27">
        <f>IF(B2486="","",INDEX('01_Rohdaten'!B2486:D2486,'02_Eingaben'!$C$13))</f>
        <v/>
      </c>
      <c r="D2486" s="27">
        <f>IF(C2486="","",C2486*'02_Eingaben'!$C$15)</f>
        <v/>
      </c>
      <c r="E2486" s="27">
        <f>IF(D2486="","",D2486*'02_Eingaben'!$C$8)</f>
        <v/>
      </c>
      <c r="F2486" s="27">
        <f>IF(E2486="","",AVERAGE(INDEX($E$2:$E$3001,MAX(1,ROW()-1-'02_Eingaben'!$C$17)):INDEX($E$2:$E$3001,MIN('02_Eingaben'!$C$21,ROW()-1+'02_Eingaben'!$C$17))))</f>
        <v/>
      </c>
      <c r="G2486" s="27">
        <f>IF(F2486="","",F2486-'02_Eingaben'!$C$10)</f>
        <v/>
      </c>
      <c r="H2486">
        <f>IF(F2486="","",IF(F2486&lt;'02_Eingaben'!$C$18*'02_Eingaben'!$C$10,1,0))</f>
        <v/>
      </c>
      <c r="I2486" s="27">
        <f>IF(OR(G2486="",G2487=""),"",(G2486+G2487)/2*(B2487-B2486))</f>
        <v/>
      </c>
      <c r="J2486" s="27">
        <f>IF(B2486="","",IF(B2485&lt;'02_Eingaben'!$C$36,0,J2485+I2485/'02_Eingaben'!$C$8))</f>
        <v/>
      </c>
    </row>
    <row r="2487">
      <c r="A2487">
        <f>IF('01_Rohdaten'!A2487="","",ROW()-1)</f>
        <v/>
      </c>
      <c r="B2487" s="27">
        <f>IF('01_Rohdaten'!A2487="","",'01_Rohdaten'!A2487)</f>
        <v/>
      </c>
      <c r="C2487" s="27">
        <f>IF(B2487="","",INDEX('01_Rohdaten'!B2487:D2487,'02_Eingaben'!$C$13))</f>
        <v/>
      </c>
      <c r="D2487" s="27">
        <f>IF(C2487="","",C2487*'02_Eingaben'!$C$15)</f>
        <v/>
      </c>
      <c r="E2487" s="27">
        <f>IF(D2487="","",D2487*'02_Eingaben'!$C$8)</f>
        <v/>
      </c>
      <c r="F2487" s="27">
        <f>IF(E2487="","",AVERAGE(INDEX($E$2:$E$3001,MAX(1,ROW()-1-'02_Eingaben'!$C$17)):INDEX($E$2:$E$3001,MIN('02_Eingaben'!$C$21,ROW()-1+'02_Eingaben'!$C$17))))</f>
        <v/>
      </c>
      <c r="G2487" s="27">
        <f>IF(F2487="","",F2487-'02_Eingaben'!$C$10)</f>
        <v/>
      </c>
      <c r="H2487">
        <f>IF(F2487="","",IF(F2487&lt;'02_Eingaben'!$C$18*'02_Eingaben'!$C$10,1,0))</f>
        <v/>
      </c>
      <c r="I2487" s="27">
        <f>IF(OR(G2487="",G2488=""),"",(G2487+G2488)/2*(B2488-B2487))</f>
        <v/>
      </c>
      <c r="J2487" s="27">
        <f>IF(B2487="","",IF(B2486&lt;'02_Eingaben'!$C$36,0,J2486+I2486/'02_Eingaben'!$C$8))</f>
        <v/>
      </c>
    </row>
    <row r="2488">
      <c r="A2488">
        <f>IF('01_Rohdaten'!A2488="","",ROW()-1)</f>
        <v/>
      </c>
      <c r="B2488" s="27">
        <f>IF('01_Rohdaten'!A2488="","",'01_Rohdaten'!A2488)</f>
        <v/>
      </c>
      <c r="C2488" s="27">
        <f>IF(B2488="","",INDEX('01_Rohdaten'!B2488:D2488,'02_Eingaben'!$C$13))</f>
        <v/>
      </c>
      <c r="D2488" s="27">
        <f>IF(C2488="","",C2488*'02_Eingaben'!$C$15)</f>
        <v/>
      </c>
      <c r="E2488" s="27">
        <f>IF(D2488="","",D2488*'02_Eingaben'!$C$8)</f>
        <v/>
      </c>
      <c r="F2488" s="27">
        <f>IF(E2488="","",AVERAGE(INDEX($E$2:$E$3001,MAX(1,ROW()-1-'02_Eingaben'!$C$17)):INDEX($E$2:$E$3001,MIN('02_Eingaben'!$C$21,ROW()-1+'02_Eingaben'!$C$17))))</f>
        <v/>
      </c>
      <c r="G2488" s="27">
        <f>IF(F2488="","",F2488-'02_Eingaben'!$C$10)</f>
        <v/>
      </c>
      <c r="H2488">
        <f>IF(F2488="","",IF(F2488&lt;'02_Eingaben'!$C$18*'02_Eingaben'!$C$10,1,0))</f>
        <v/>
      </c>
      <c r="I2488" s="27">
        <f>IF(OR(G2488="",G2489=""),"",(G2488+G2489)/2*(B2489-B2488))</f>
        <v/>
      </c>
      <c r="J2488" s="27">
        <f>IF(B2488="","",IF(B2487&lt;'02_Eingaben'!$C$36,0,J2487+I2487/'02_Eingaben'!$C$8))</f>
        <v/>
      </c>
    </row>
    <row r="2489">
      <c r="A2489">
        <f>IF('01_Rohdaten'!A2489="","",ROW()-1)</f>
        <v/>
      </c>
      <c r="B2489" s="27">
        <f>IF('01_Rohdaten'!A2489="","",'01_Rohdaten'!A2489)</f>
        <v/>
      </c>
      <c r="C2489" s="27">
        <f>IF(B2489="","",INDEX('01_Rohdaten'!B2489:D2489,'02_Eingaben'!$C$13))</f>
        <v/>
      </c>
      <c r="D2489" s="27">
        <f>IF(C2489="","",C2489*'02_Eingaben'!$C$15)</f>
        <v/>
      </c>
      <c r="E2489" s="27">
        <f>IF(D2489="","",D2489*'02_Eingaben'!$C$8)</f>
        <v/>
      </c>
      <c r="F2489" s="27">
        <f>IF(E2489="","",AVERAGE(INDEX($E$2:$E$3001,MAX(1,ROW()-1-'02_Eingaben'!$C$17)):INDEX($E$2:$E$3001,MIN('02_Eingaben'!$C$21,ROW()-1+'02_Eingaben'!$C$17))))</f>
        <v/>
      </c>
      <c r="G2489" s="27">
        <f>IF(F2489="","",F2489-'02_Eingaben'!$C$10)</f>
        <v/>
      </c>
      <c r="H2489">
        <f>IF(F2489="","",IF(F2489&lt;'02_Eingaben'!$C$18*'02_Eingaben'!$C$10,1,0))</f>
        <v/>
      </c>
      <c r="I2489" s="27">
        <f>IF(OR(G2489="",G2490=""),"",(G2489+G2490)/2*(B2490-B2489))</f>
        <v/>
      </c>
      <c r="J2489" s="27">
        <f>IF(B2489="","",IF(B2488&lt;'02_Eingaben'!$C$36,0,J2488+I2488/'02_Eingaben'!$C$8))</f>
        <v/>
      </c>
    </row>
    <row r="2490">
      <c r="A2490">
        <f>IF('01_Rohdaten'!A2490="","",ROW()-1)</f>
        <v/>
      </c>
      <c r="B2490" s="27">
        <f>IF('01_Rohdaten'!A2490="","",'01_Rohdaten'!A2490)</f>
        <v/>
      </c>
      <c r="C2490" s="27">
        <f>IF(B2490="","",INDEX('01_Rohdaten'!B2490:D2490,'02_Eingaben'!$C$13))</f>
        <v/>
      </c>
      <c r="D2490" s="27">
        <f>IF(C2490="","",C2490*'02_Eingaben'!$C$15)</f>
        <v/>
      </c>
      <c r="E2490" s="27">
        <f>IF(D2490="","",D2490*'02_Eingaben'!$C$8)</f>
        <v/>
      </c>
      <c r="F2490" s="27">
        <f>IF(E2490="","",AVERAGE(INDEX($E$2:$E$3001,MAX(1,ROW()-1-'02_Eingaben'!$C$17)):INDEX($E$2:$E$3001,MIN('02_Eingaben'!$C$21,ROW()-1+'02_Eingaben'!$C$17))))</f>
        <v/>
      </c>
      <c r="G2490" s="27">
        <f>IF(F2490="","",F2490-'02_Eingaben'!$C$10)</f>
        <v/>
      </c>
      <c r="H2490">
        <f>IF(F2490="","",IF(F2490&lt;'02_Eingaben'!$C$18*'02_Eingaben'!$C$10,1,0))</f>
        <v/>
      </c>
      <c r="I2490" s="27">
        <f>IF(OR(G2490="",G2491=""),"",(G2490+G2491)/2*(B2491-B2490))</f>
        <v/>
      </c>
      <c r="J2490" s="27">
        <f>IF(B2490="","",IF(B2489&lt;'02_Eingaben'!$C$36,0,J2489+I2489/'02_Eingaben'!$C$8))</f>
        <v/>
      </c>
    </row>
    <row r="2491">
      <c r="A2491">
        <f>IF('01_Rohdaten'!A2491="","",ROW()-1)</f>
        <v/>
      </c>
      <c r="B2491" s="27">
        <f>IF('01_Rohdaten'!A2491="","",'01_Rohdaten'!A2491)</f>
        <v/>
      </c>
      <c r="C2491" s="27">
        <f>IF(B2491="","",INDEX('01_Rohdaten'!B2491:D2491,'02_Eingaben'!$C$13))</f>
        <v/>
      </c>
      <c r="D2491" s="27">
        <f>IF(C2491="","",C2491*'02_Eingaben'!$C$15)</f>
        <v/>
      </c>
      <c r="E2491" s="27">
        <f>IF(D2491="","",D2491*'02_Eingaben'!$C$8)</f>
        <v/>
      </c>
      <c r="F2491" s="27">
        <f>IF(E2491="","",AVERAGE(INDEX($E$2:$E$3001,MAX(1,ROW()-1-'02_Eingaben'!$C$17)):INDEX($E$2:$E$3001,MIN('02_Eingaben'!$C$21,ROW()-1+'02_Eingaben'!$C$17))))</f>
        <v/>
      </c>
      <c r="G2491" s="27">
        <f>IF(F2491="","",F2491-'02_Eingaben'!$C$10)</f>
        <v/>
      </c>
      <c r="H2491">
        <f>IF(F2491="","",IF(F2491&lt;'02_Eingaben'!$C$18*'02_Eingaben'!$C$10,1,0))</f>
        <v/>
      </c>
      <c r="I2491" s="27">
        <f>IF(OR(G2491="",G2492=""),"",(G2491+G2492)/2*(B2492-B2491))</f>
        <v/>
      </c>
      <c r="J2491" s="27">
        <f>IF(B2491="","",IF(B2490&lt;'02_Eingaben'!$C$36,0,J2490+I2490/'02_Eingaben'!$C$8))</f>
        <v/>
      </c>
    </row>
    <row r="2492">
      <c r="A2492">
        <f>IF('01_Rohdaten'!A2492="","",ROW()-1)</f>
        <v/>
      </c>
      <c r="B2492" s="27">
        <f>IF('01_Rohdaten'!A2492="","",'01_Rohdaten'!A2492)</f>
        <v/>
      </c>
      <c r="C2492" s="27">
        <f>IF(B2492="","",INDEX('01_Rohdaten'!B2492:D2492,'02_Eingaben'!$C$13))</f>
        <v/>
      </c>
      <c r="D2492" s="27">
        <f>IF(C2492="","",C2492*'02_Eingaben'!$C$15)</f>
        <v/>
      </c>
      <c r="E2492" s="27">
        <f>IF(D2492="","",D2492*'02_Eingaben'!$C$8)</f>
        <v/>
      </c>
      <c r="F2492" s="27">
        <f>IF(E2492="","",AVERAGE(INDEX($E$2:$E$3001,MAX(1,ROW()-1-'02_Eingaben'!$C$17)):INDEX($E$2:$E$3001,MIN('02_Eingaben'!$C$21,ROW()-1+'02_Eingaben'!$C$17))))</f>
        <v/>
      </c>
      <c r="G2492" s="27">
        <f>IF(F2492="","",F2492-'02_Eingaben'!$C$10)</f>
        <v/>
      </c>
      <c r="H2492">
        <f>IF(F2492="","",IF(F2492&lt;'02_Eingaben'!$C$18*'02_Eingaben'!$C$10,1,0))</f>
        <v/>
      </c>
      <c r="I2492" s="27">
        <f>IF(OR(G2492="",G2493=""),"",(G2492+G2493)/2*(B2493-B2492))</f>
        <v/>
      </c>
      <c r="J2492" s="27">
        <f>IF(B2492="","",IF(B2491&lt;'02_Eingaben'!$C$36,0,J2491+I2491/'02_Eingaben'!$C$8))</f>
        <v/>
      </c>
    </row>
    <row r="2493">
      <c r="A2493">
        <f>IF('01_Rohdaten'!A2493="","",ROW()-1)</f>
        <v/>
      </c>
      <c r="B2493" s="27">
        <f>IF('01_Rohdaten'!A2493="","",'01_Rohdaten'!A2493)</f>
        <v/>
      </c>
      <c r="C2493" s="27">
        <f>IF(B2493="","",INDEX('01_Rohdaten'!B2493:D2493,'02_Eingaben'!$C$13))</f>
        <v/>
      </c>
      <c r="D2493" s="27">
        <f>IF(C2493="","",C2493*'02_Eingaben'!$C$15)</f>
        <v/>
      </c>
      <c r="E2493" s="27">
        <f>IF(D2493="","",D2493*'02_Eingaben'!$C$8)</f>
        <v/>
      </c>
      <c r="F2493" s="27">
        <f>IF(E2493="","",AVERAGE(INDEX($E$2:$E$3001,MAX(1,ROW()-1-'02_Eingaben'!$C$17)):INDEX($E$2:$E$3001,MIN('02_Eingaben'!$C$21,ROW()-1+'02_Eingaben'!$C$17))))</f>
        <v/>
      </c>
      <c r="G2493" s="27">
        <f>IF(F2493="","",F2493-'02_Eingaben'!$C$10)</f>
        <v/>
      </c>
      <c r="H2493">
        <f>IF(F2493="","",IF(F2493&lt;'02_Eingaben'!$C$18*'02_Eingaben'!$C$10,1,0))</f>
        <v/>
      </c>
      <c r="I2493" s="27">
        <f>IF(OR(G2493="",G2494=""),"",(G2493+G2494)/2*(B2494-B2493))</f>
        <v/>
      </c>
      <c r="J2493" s="27">
        <f>IF(B2493="","",IF(B2492&lt;'02_Eingaben'!$C$36,0,J2492+I2492/'02_Eingaben'!$C$8))</f>
        <v/>
      </c>
    </row>
    <row r="2494">
      <c r="A2494">
        <f>IF('01_Rohdaten'!A2494="","",ROW()-1)</f>
        <v/>
      </c>
      <c r="B2494" s="27">
        <f>IF('01_Rohdaten'!A2494="","",'01_Rohdaten'!A2494)</f>
        <v/>
      </c>
      <c r="C2494" s="27">
        <f>IF(B2494="","",INDEX('01_Rohdaten'!B2494:D2494,'02_Eingaben'!$C$13))</f>
        <v/>
      </c>
      <c r="D2494" s="27">
        <f>IF(C2494="","",C2494*'02_Eingaben'!$C$15)</f>
        <v/>
      </c>
      <c r="E2494" s="27">
        <f>IF(D2494="","",D2494*'02_Eingaben'!$C$8)</f>
        <v/>
      </c>
      <c r="F2494" s="27">
        <f>IF(E2494="","",AVERAGE(INDEX($E$2:$E$3001,MAX(1,ROW()-1-'02_Eingaben'!$C$17)):INDEX($E$2:$E$3001,MIN('02_Eingaben'!$C$21,ROW()-1+'02_Eingaben'!$C$17))))</f>
        <v/>
      </c>
      <c r="G2494" s="27">
        <f>IF(F2494="","",F2494-'02_Eingaben'!$C$10)</f>
        <v/>
      </c>
      <c r="H2494">
        <f>IF(F2494="","",IF(F2494&lt;'02_Eingaben'!$C$18*'02_Eingaben'!$C$10,1,0))</f>
        <v/>
      </c>
      <c r="I2494" s="27">
        <f>IF(OR(G2494="",G2495=""),"",(G2494+G2495)/2*(B2495-B2494))</f>
        <v/>
      </c>
      <c r="J2494" s="27">
        <f>IF(B2494="","",IF(B2493&lt;'02_Eingaben'!$C$36,0,J2493+I2493/'02_Eingaben'!$C$8))</f>
        <v/>
      </c>
    </row>
    <row r="2495">
      <c r="A2495">
        <f>IF('01_Rohdaten'!A2495="","",ROW()-1)</f>
        <v/>
      </c>
      <c r="B2495" s="27">
        <f>IF('01_Rohdaten'!A2495="","",'01_Rohdaten'!A2495)</f>
        <v/>
      </c>
      <c r="C2495" s="27">
        <f>IF(B2495="","",INDEX('01_Rohdaten'!B2495:D2495,'02_Eingaben'!$C$13))</f>
        <v/>
      </c>
      <c r="D2495" s="27">
        <f>IF(C2495="","",C2495*'02_Eingaben'!$C$15)</f>
        <v/>
      </c>
      <c r="E2495" s="27">
        <f>IF(D2495="","",D2495*'02_Eingaben'!$C$8)</f>
        <v/>
      </c>
      <c r="F2495" s="27">
        <f>IF(E2495="","",AVERAGE(INDEX($E$2:$E$3001,MAX(1,ROW()-1-'02_Eingaben'!$C$17)):INDEX($E$2:$E$3001,MIN('02_Eingaben'!$C$21,ROW()-1+'02_Eingaben'!$C$17))))</f>
        <v/>
      </c>
      <c r="G2495" s="27">
        <f>IF(F2495="","",F2495-'02_Eingaben'!$C$10)</f>
        <v/>
      </c>
      <c r="H2495">
        <f>IF(F2495="","",IF(F2495&lt;'02_Eingaben'!$C$18*'02_Eingaben'!$C$10,1,0))</f>
        <v/>
      </c>
      <c r="I2495" s="27">
        <f>IF(OR(G2495="",G2496=""),"",(G2495+G2496)/2*(B2496-B2495))</f>
        <v/>
      </c>
      <c r="J2495" s="27">
        <f>IF(B2495="","",IF(B2494&lt;'02_Eingaben'!$C$36,0,J2494+I2494/'02_Eingaben'!$C$8))</f>
        <v/>
      </c>
    </row>
    <row r="2496">
      <c r="A2496">
        <f>IF('01_Rohdaten'!A2496="","",ROW()-1)</f>
        <v/>
      </c>
      <c r="B2496" s="27">
        <f>IF('01_Rohdaten'!A2496="","",'01_Rohdaten'!A2496)</f>
        <v/>
      </c>
      <c r="C2496" s="27">
        <f>IF(B2496="","",INDEX('01_Rohdaten'!B2496:D2496,'02_Eingaben'!$C$13))</f>
        <v/>
      </c>
      <c r="D2496" s="27">
        <f>IF(C2496="","",C2496*'02_Eingaben'!$C$15)</f>
        <v/>
      </c>
      <c r="E2496" s="27">
        <f>IF(D2496="","",D2496*'02_Eingaben'!$C$8)</f>
        <v/>
      </c>
      <c r="F2496" s="27">
        <f>IF(E2496="","",AVERAGE(INDEX($E$2:$E$3001,MAX(1,ROW()-1-'02_Eingaben'!$C$17)):INDEX($E$2:$E$3001,MIN('02_Eingaben'!$C$21,ROW()-1+'02_Eingaben'!$C$17))))</f>
        <v/>
      </c>
      <c r="G2496" s="27">
        <f>IF(F2496="","",F2496-'02_Eingaben'!$C$10)</f>
        <v/>
      </c>
      <c r="H2496">
        <f>IF(F2496="","",IF(F2496&lt;'02_Eingaben'!$C$18*'02_Eingaben'!$C$10,1,0))</f>
        <v/>
      </c>
      <c r="I2496" s="27">
        <f>IF(OR(G2496="",G2497=""),"",(G2496+G2497)/2*(B2497-B2496))</f>
        <v/>
      </c>
      <c r="J2496" s="27">
        <f>IF(B2496="","",IF(B2495&lt;'02_Eingaben'!$C$36,0,J2495+I2495/'02_Eingaben'!$C$8))</f>
        <v/>
      </c>
    </row>
    <row r="2497">
      <c r="A2497">
        <f>IF('01_Rohdaten'!A2497="","",ROW()-1)</f>
        <v/>
      </c>
      <c r="B2497" s="27">
        <f>IF('01_Rohdaten'!A2497="","",'01_Rohdaten'!A2497)</f>
        <v/>
      </c>
      <c r="C2497" s="27">
        <f>IF(B2497="","",INDEX('01_Rohdaten'!B2497:D2497,'02_Eingaben'!$C$13))</f>
        <v/>
      </c>
      <c r="D2497" s="27">
        <f>IF(C2497="","",C2497*'02_Eingaben'!$C$15)</f>
        <v/>
      </c>
      <c r="E2497" s="27">
        <f>IF(D2497="","",D2497*'02_Eingaben'!$C$8)</f>
        <v/>
      </c>
      <c r="F2497" s="27">
        <f>IF(E2497="","",AVERAGE(INDEX($E$2:$E$3001,MAX(1,ROW()-1-'02_Eingaben'!$C$17)):INDEX($E$2:$E$3001,MIN('02_Eingaben'!$C$21,ROW()-1+'02_Eingaben'!$C$17))))</f>
        <v/>
      </c>
      <c r="G2497" s="27">
        <f>IF(F2497="","",F2497-'02_Eingaben'!$C$10)</f>
        <v/>
      </c>
      <c r="H2497">
        <f>IF(F2497="","",IF(F2497&lt;'02_Eingaben'!$C$18*'02_Eingaben'!$C$10,1,0))</f>
        <v/>
      </c>
      <c r="I2497" s="27">
        <f>IF(OR(G2497="",G2498=""),"",(G2497+G2498)/2*(B2498-B2497))</f>
        <v/>
      </c>
      <c r="J2497" s="27">
        <f>IF(B2497="","",IF(B2496&lt;'02_Eingaben'!$C$36,0,J2496+I2496/'02_Eingaben'!$C$8))</f>
        <v/>
      </c>
    </row>
    <row r="2498">
      <c r="A2498">
        <f>IF('01_Rohdaten'!A2498="","",ROW()-1)</f>
        <v/>
      </c>
      <c r="B2498" s="27">
        <f>IF('01_Rohdaten'!A2498="","",'01_Rohdaten'!A2498)</f>
        <v/>
      </c>
      <c r="C2498" s="27">
        <f>IF(B2498="","",INDEX('01_Rohdaten'!B2498:D2498,'02_Eingaben'!$C$13))</f>
        <v/>
      </c>
      <c r="D2498" s="27">
        <f>IF(C2498="","",C2498*'02_Eingaben'!$C$15)</f>
        <v/>
      </c>
      <c r="E2498" s="27">
        <f>IF(D2498="","",D2498*'02_Eingaben'!$C$8)</f>
        <v/>
      </c>
      <c r="F2498" s="27">
        <f>IF(E2498="","",AVERAGE(INDEX($E$2:$E$3001,MAX(1,ROW()-1-'02_Eingaben'!$C$17)):INDEX($E$2:$E$3001,MIN('02_Eingaben'!$C$21,ROW()-1+'02_Eingaben'!$C$17))))</f>
        <v/>
      </c>
      <c r="G2498" s="27">
        <f>IF(F2498="","",F2498-'02_Eingaben'!$C$10)</f>
        <v/>
      </c>
      <c r="H2498">
        <f>IF(F2498="","",IF(F2498&lt;'02_Eingaben'!$C$18*'02_Eingaben'!$C$10,1,0))</f>
        <v/>
      </c>
      <c r="I2498" s="27">
        <f>IF(OR(G2498="",G2499=""),"",(G2498+G2499)/2*(B2499-B2498))</f>
        <v/>
      </c>
      <c r="J2498" s="27">
        <f>IF(B2498="","",IF(B2497&lt;'02_Eingaben'!$C$36,0,J2497+I2497/'02_Eingaben'!$C$8))</f>
        <v/>
      </c>
    </row>
    <row r="2499">
      <c r="A2499">
        <f>IF('01_Rohdaten'!A2499="","",ROW()-1)</f>
        <v/>
      </c>
      <c r="B2499" s="27">
        <f>IF('01_Rohdaten'!A2499="","",'01_Rohdaten'!A2499)</f>
        <v/>
      </c>
      <c r="C2499" s="27">
        <f>IF(B2499="","",INDEX('01_Rohdaten'!B2499:D2499,'02_Eingaben'!$C$13))</f>
        <v/>
      </c>
      <c r="D2499" s="27">
        <f>IF(C2499="","",C2499*'02_Eingaben'!$C$15)</f>
        <v/>
      </c>
      <c r="E2499" s="27">
        <f>IF(D2499="","",D2499*'02_Eingaben'!$C$8)</f>
        <v/>
      </c>
      <c r="F2499" s="27">
        <f>IF(E2499="","",AVERAGE(INDEX($E$2:$E$3001,MAX(1,ROW()-1-'02_Eingaben'!$C$17)):INDEX($E$2:$E$3001,MIN('02_Eingaben'!$C$21,ROW()-1+'02_Eingaben'!$C$17))))</f>
        <v/>
      </c>
      <c r="G2499" s="27">
        <f>IF(F2499="","",F2499-'02_Eingaben'!$C$10)</f>
        <v/>
      </c>
      <c r="H2499">
        <f>IF(F2499="","",IF(F2499&lt;'02_Eingaben'!$C$18*'02_Eingaben'!$C$10,1,0))</f>
        <v/>
      </c>
      <c r="I2499" s="27">
        <f>IF(OR(G2499="",G2500=""),"",(G2499+G2500)/2*(B2500-B2499))</f>
        <v/>
      </c>
      <c r="J2499" s="27">
        <f>IF(B2499="","",IF(B2498&lt;'02_Eingaben'!$C$36,0,J2498+I2498/'02_Eingaben'!$C$8))</f>
        <v/>
      </c>
    </row>
    <row r="2500">
      <c r="A2500">
        <f>IF('01_Rohdaten'!A2500="","",ROW()-1)</f>
        <v/>
      </c>
      <c r="B2500" s="27">
        <f>IF('01_Rohdaten'!A2500="","",'01_Rohdaten'!A2500)</f>
        <v/>
      </c>
      <c r="C2500" s="27">
        <f>IF(B2500="","",INDEX('01_Rohdaten'!B2500:D2500,'02_Eingaben'!$C$13))</f>
        <v/>
      </c>
      <c r="D2500" s="27">
        <f>IF(C2500="","",C2500*'02_Eingaben'!$C$15)</f>
        <v/>
      </c>
      <c r="E2500" s="27">
        <f>IF(D2500="","",D2500*'02_Eingaben'!$C$8)</f>
        <v/>
      </c>
      <c r="F2500" s="27">
        <f>IF(E2500="","",AVERAGE(INDEX($E$2:$E$3001,MAX(1,ROW()-1-'02_Eingaben'!$C$17)):INDEX($E$2:$E$3001,MIN('02_Eingaben'!$C$21,ROW()-1+'02_Eingaben'!$C$17))))</f>
        <v/>
      </c>
      <c r="G2500" s="27">
        <f>IF(F2500="","",F2500-'02_Eingaben'!$C$10)</f>
        <v/>
      </c>
      <c r="H2500">
        <f>IF(F2500="","",IF(F2500&lt;'02_Eingaben'!$C$18*'02_Eingaben'!$C$10,1,0))</f>
        <v/>
      </c>
      <c r="I2500" s="27">
        <f>IF(OR(G2500="",G2501=""),"",(G2500+G2501)/2*(B2501-B2500))</f>
        <v/>
      </c>
      <c r="J2500" s="27">
        <f>IF(B2500="","",IF(B2499&lt;'02_Eingaben'!$C$36,0,J2499+I2499/'02_Eingaben'!$C$8))</f>
        <v/>
      </c>
    </row>
    <row r="2501">
      <c r="A2501">
        <f>IF('01_Rohdaten'!A2501="","",ROW()-1)</f>
        <v/>
      </c>
      <c r="B2501" s="27">
        <f>IF('01_Rohdaten'!A2501="","",'01_Rohdaten'!A2501)</f>
        <v/>
      </c>
      <c r="C2501" s="27">
        <f>IF(B2501="","",INDEX('01_Rohdaten'!B2501:D2501,'02_Eingaben'!$C$13))</f>
        <v/>
      </c>
      <c r="D2501" s="27">
        <f>IF(C2501="","",C2501*'02_Eingaben'!$C$15)</f>
        <v/>
      </c>
      <c r="E2501" s="27">
        <f>IF(D2501="","",D2501*'02_Eingaben'!$C$8)</f>
        <v/>
      </c>
      <c r="F2501" s="27">
        <f>IF(E2501="","",AVERAGE(INDEX($E$2:$E$3001,MAX(1,ROW()-1-'02_Eingaben'!$C$17)):INDEX($E$2:$E$3001,MIN('02_Eingaben'!$C$21,ROW()-1+'02_Eingaben'!$C$17))))</f>
        <v/>
      </c>
      <c r="G2501" s="27">
        <f>IF(F2501="","",F2501-'02_Eingaben'!$C$10)</f>
        <v/>
      </c>
      <c r="H2501">
        <f>IF(F2501="","",IF(F2501&lt;'02_Eingaben'!$C$18*'02_Eingaben'!$C$10,1,0))</f>
        <v/>
      </c>
      <c r="I2501" s="27">
        <f>IF(OR(G2501="",G2502=""),"",(G2501+G2502)/2*(B2502-B2501))</f>
        <v/>
      </c>
      <c r="J2501" s="27">
        <f>IF(B2501="","",IF(B2500&lt;'02_Eingaben'!$C$36,0,J2500+I2500/'02_Eingaben'!$C$8))</f>
        <v/>
      </c>
    </row>
    <row r="2502">
      <c r="A2502">
        <f>IF('01_Rohdaten'!A2502="","",ROW()-1)</f>
        <v/>
      </c>
      <c r="B2502" s="27">
        <f>IF('01_Rohdaten'!A2502="","",'01_Rohdaten'!A2502)</f>
        <v/>
      </c>
      <c r="C2502" s="27">
        <f>IF(B2502="","",INDEX('01_Rohdaten'!B2502:D2502,'02_Eingaben'!$C$13))</f>
        <v/>
      </c>
      <c r="D2502" s="27">
        <f>IF(C2502="","",C2502*'02_Eingaben'!$C$15)</f>
        <v/>
      </c>
      <c r="E2502" s="27">
        <f>IF(D2502="","",D2502*'02_Eingaben'!$C$8)</f>
        <v/>
      </c>
      <c r="F2502" s="27">
        <f>IF(E2502="","",AVERAGE(INDEX($E$2:$E$3001,MAX(1,ROW()-1-'02_Eingaben'!$C$17)):INDEX($E$2:$E$3001,MIN('02_Eingaben'!$C$21,ROW()-1+'02_Eingaben'!$C$17))))</f>
        <v/>
      </c>
      <c r="G2502" s="27">
        <f>IF(F2502="","",F2502-'02_Eingaben'!$C$10)</f>
        <v/>
      </c>
      <c r="H2502">
        <f>IF(F2502="","",IF(F2502&lt;'02_Eingaben'!$C$18*'02_Eingaben'!$C$10,1,0))</f>
        <v/>
      </c>
      <c r="I2502" s="27">
        <f>IF(OR(G2502="",G2503=""),"",(G2502+G2503)/2*(B2503-B2502))</f>
        <v/>
      </c>
      <c r="J2502" s="27">
        <f>IF(B2502="","",IF(B2501&lt;'02_Eingaben'!$C$36,0,J2501+I2501/'02_Eingaben'!$C$8))</f>
        <v/>
      </c>
    </row>
    <row r="2503">
      <c r="A2503">
        <f>IF('01_Rohdaten'!A2503="","",ROW()-1)</f>
        <v/>
      </c>
      <c r="B2503" s="27">
        <f>IF('01_Rohdaten'!A2503="","",'01_Rohdaten'!A2503)</f>
        <v/>
      </c>
      <c r="C2503" s="27">
        <f>IF(B2503="","",INDEX('01_Rohdaten'!B2503:D2503,'02_Eingaben'!$C$13))</f>
        <v/>
      </c>
      <c r="D2503" s="27">
        <f>IF(C2503="","",C2503*'02_Eingaben'!$C$15)</f>
        <v/>
      </c>
      <c r="E2503" s="27">
        <f>IF(D2503="","",D2503*'02_Eingaben'!$C$8)</f>
        <v/>
      </c>
      <c r="F2503" s="27">
        <f>IF(E2503="","",AVERAGE(INDEX($E$2:$E$3001,MAX(1,ROW()-1-'02_Eingaben'!$C$17)):INDEX($E$2:$E$3001,MIN('02_Eingaben'!$C$21,ROW()-1+'02_Eingaben'!$C$17))))</f>
        <v/>
      </c>
      <c r="G2503" s="27">
        <f>IF(F2503="","",F2503-'02_Eingaben'!$C$10)</f>
        <v/>
      </c>
      <c r="H2503">
        <f>IF(F2503="","",IF(F2503&lt;'02_Eingaben'!$C$18*'02_Eingaben'!$C$10,1,0))</f>
        <v/>
      </c>
      <c r="I2503" s="27">
        <f>IF(OR(G2503="",G2504=""),"",(G2503+G2504)/2*(B2504-B2503))</f>
        <v/>
      </c>
      <c r="J2503" s="27">
        <f>IF(B2503="","",IF(B2502&lt;'02_Eingaben'!$C$36,0,J2502+I2502/'02_Eingaben'!$C$8))</f>
        <v/>
      </c>
    </row>
    <row r="2504">
      <c r="A2504">
        <f>IF('01_Rohdaten'!A2504="","",ROW()-1)</f>
        <v/>
      </c>
      <c r="B2504" s="27">
        <f>IF('01_Rohdaten'!A2504="","",'01_Rohdaten'!A2504)</f>
        <v/>
      </c>
      <c r="C2504" s="27">
        <f>IF(B2504="","",INDEX('01_Rohdaten'!B2504:D2504,'02_Eingaben'!$C$13))</f>
        <v/>
      </c>
      <c r="D2504" s="27">
        <f>IF(C2504="","",C2504*'02_Eingaben'!$C$15)</f>
        <v/>
      </c>
      <c r="E2504" s="27">
        <f>IF(D2504="","",D2504*'02_Eingaben'!$C$8)</f>
        <v/>
      </c>
      <c r="F2504" s="27">
        <f>IF(E2504="","",AVERAGE(INDEX($E$2:$E$3001,MAX(1,ROW()-1-'02_Eingaben'!$C$17)):INDEX($E$2:$E$3001,MIN('02_Eingaben'!$C$21,ROW()-1+'02_Eingaben'!$C$17))))</f>
        <v/>
      </c>
      <c r="G2504" s="27">
        <f>IF(F2504="","",F2504-'02_Eingaben'!$C$10)</f>
        <v/>
      </c>
      <c r="H2504">
        <f>IF(F2504="","",IF(F2504&lt;'02_Eingaben'!$C$18*'02_Eingaben'!$C$10,1,0))</f>
        <v/>
      </c>
      <c r="I2504" s="27">
        <f>IF(OR(G2504="",G2505=""),"",(G2504+G2505)/2*(B2505-B2504))</f>
        <v/>
      </c>
      <c r="J2504" s="27">
        <f>IF(B2504="","",IF(B2503&lt;'02_Eingaben'!$C$36,0,J2503+I2503/'02_Eingaben'!$C$8))</f>
        <v/>
      </c>
    </row>
    <row r="2505">
      <c r="A2505">
        <f>IF('01_Rohdaten'!A2505="","",ROW()-1)</f>
        <v/>
      </c>
      <c r="B2505" s="27">
        <f>IF('01_Rohdaten'!A2505="","",'01_Rohdaten'!A2505)</f>
        <v/>
      </c>
      <c r="C2505" s="27">
        <f>IF(B2505="","",INDEX('01_Rohdaten'!B2505:D2505,'02_Eingaben'!$C$13))</f>
        <v/>
      </c>
      <c r="D2505" s="27">
        <f>IF(C2505="","",C2505*'02_Eingaben'!$C$15)</f>
        <v/>
      </c>
      <c r="E2505" s="27">
        <f>IF(D2505="","",D2505*'02_Eingaben'!$C$8)</f>
        <v/>
      </c>
      <c r="F2505" s="27">
        <f>IF(E2505="","",AVERAGE(INDEX($E$2:$E$3001,MAX(1,ROW()-1-'02_Eingaben'!$C$17)):INDEX($E$2:$E$3001,MIN('02_Eingaben'!$C$21,ROW()-1+'02_Eingaben'!$C$17))))</f>
        <v/>
      </c>
      <c r="G2505" s="27">
        <f>IF(F2505="","",F2505-'02_Eingaben'!$C$10)</f>
        <v/>
      </c>
      <c r="H2505">
        <f>IF(F2505="","",IF(F2505&lt;'02_Eingaben'!$C$18*'02_Eingaben'!$C$10,1,0))</f>
        <v/>
      </c>
      <c r="I2505" s="27">
        <f>IF(OR(G2505="",G2506=""),"",(G2505+G2506)/2*(B2506-B2505))</f>
        <v/>
      </c>
      <c r="J2505" s="27">
        <f>IF(B2505="","",IF(B2504&lt;'02_Eingaben'!$C$36,0,J2504+I2504/'02_Eingaben'!$C$8))</f>
        <v/>
      </c>
    </row>
    <row r="2506">
      <c r="A2506">
        <f>IF('01_Rohdaten'!A2506="","",ROW()-1)</f>
        <v/>
      </c>
      <c r="B2506" s="27">
        <f>IF('01_Rohdaten'!A2506="","",'01_Rohdaten'!A2506)</f>
        <v/>
      </c>
      <c r="C2506" s="27">
        <f>IF(B2506="","",INDEX('01_Rohdaten'!B2506:D2506,'02_Eingaben'!$C$13))</f>
        <v/>
      </c>
      <c r="D2506" s="27">
        <f>IF(C2506="","",C2506*'02_Eingaben'!$C$15)</f>
        <v/>
      </c>
      <c r="E2506" s="27">
        <f>IF(D2506="","",D2506*'02_Eingaben'!$C$8)</f>
        <v/>
      </c>
      <c r="F2506" s="27">
        <f>IF(E2506="","",AVERAGE(INDEX($E$2:$E$3001,MAX(1,ROW()-1-'02_Eingaben'!$C$17)):INDEX($E$2:$E$3001,MIN('02_Eingaben'!$C$21,ROW()-1+'02_Eingaben'!$C$17))))</f>
        <v/>
      </c>
      <c r="G2506" s="27">
        <f>IF(F2506="","",F2506-'02_Eingaben'!$C$10)</f>
        <v/>
      </c>
      <c r="H2506">
        <f>IF(F2506="","",IF(F2506&lt;'02_Eingaben'!$C$18*'02_Eingaben'!$C$10,1,0))</f>
        <v/>
      </c>
      <c r="I2506" s="27">
        <f>IF(OR(G2506="",G2507=""),"",(G2506+G2507)/2*(B2507-B2506))</f>
        <v/>
      </c>
      <c r="J2506" s="27">
        <f>IF(B2506="","",IF(B2505&lt;'02_Eingaben'!$C$36,0,J2505+I2505/'02_Eingaben'!$C$8))</f>
        <v/>
      </c>
    </row>
    <row r="2507">
      <c r="A2507">
        <f>IF('01_Rohdaten'!A2507="","",ROW()-1)</f>
        <v/>
      </c>
      <c r="B2507" s="27">
        <f>IF('01_Rohdaten'!A2507="","",'01_Rohdaten'!A2507)</f>
        <v/>
      </c>
      <c r="C2507" s="27">
        <f>IF(B2507="","",INDEX('01_Rohdaten'!B2507:D2507,'02_Eingaben'!$C$13))</f>
        <v/>
      </c>
      <c r="D2507" s="27">
        <f>IF(C2507="","",C2507*'02_Eingaben'!$C$15)</f>
        <v/>
      </c>
      <c r="E2507" s="27">
        <f>IF(D2507="","",D2507*'02_Eingaben'!$C$8)</f>
        <v/>
      </c>
      <c r="F2507" s="27">
        <f>IF(E2507="","",AVERAGE(INDEX($E$2:$E$3001,MAX(1,ROW()-1-'02_Eingaben'!$C$17)):INDEX($E$2:$E$3001,MIN('02_Eingaben'!$C$21,ROW()-1+'02_Eingaben'!$C$17))))</f>
        <v/>
      </c>
      <c r="G2507" s="27">
        <f>IF(F2507="","",F2507-'02_Eingaben'!$C$10)</f>
        <v/>
      </c>
      <c r="H2507">
        <f>IF(F2507="","",IF(F2507&lt;'02_Eingaben'!$C$18*'02_Eingaben'!$C$10,1,0))</f>
        <v/>
      </c>
      <c r="I2507" s="27">
        <f>IF(OR(G2507="",G2508=""),"",(G2507+G2508)/2*(B2508-B2507))</f>
        <v/>
      </c>
      <c r="J2507" s="27">
        <f>IF(B2507="","",IF(B2506&lt;'02_Eingaben'!$C$36,0,J2506+I2506/'02_Eingaben'!$C$8))</f>
        <v/>
      </c>
    </row>
    <row r="2508">
      <c r="A2508">
        <f>IF('01_Rohdaten'!A2508="","",ROW()-1)</f>
        <v/>
      </c>
      <c r="B2508" s="27">
        <f>IF('01_Rohdaten'!A2508="","",'01_Rohdaten'!A2508)</f>
        <v/>
      </c>
      <c r="C2508" s="27">
        <f>IF(B2508="","",INDEX('01_Rohdaten'!B2508:D2508,'02_Eingaben'!$C$13))</f>
        <v/>
      </c>
      <c r="D2508" s="27">
        <f>IF(C2508="","",C2508*'02_Eingaben'!$C$15)</f>
        <v/>
      </c>
      <c r="E2508" s="27">
        <f>IF(D2508="","",D2508*'02_Eingaben'!$C$8)</f>
        <v/>
      </c>
      <c r="F2508" s="27">
        <f>IF(E2508="","",AVERAGE(INDEX($E$2:$E$3001,MAX(1,ROW()-1-'02_Eingaben'!$C$17)):INDEX($E$2:$E$3001,MIN('02_Eingaben'!$C$21,ROW()-1+'02_Eingaben'!$C$17))))</f>
        <v/>
      </c>
      <c r="G2508" s="27">
        <f>IF(F2508="","",F2508-'02_Eingaben'!$C$10)</f>
        <v/>
      </c>
      <c r="H2508">
        <f>IF(F2508="","",IF(F2508&lt;'02_Eingaben'!$C$18*'02_Eingaben'!$C$10,1,0))</f>
        <v/>
      </c>
      <c r="I2508" s="27">
        <f>IF(OR(G2508="",G2509=""),"",(G2508+G2509)/2*(B2509-B2508))</f>
        <v/>
      </c>
      <c r="J2508" s="27">
        <f>IF(B2508="","",IF(B2507&lt;'02_Eingaben'!$C$36,0,J2507+I2507/'02_Eingaben'!$C$8))</f>
        <v/>
      </c>
    </row>
    <row r="2509">
      <c r="A2509">
        <f>IF('01_Rohdaten'!A2509="","",ROW()-1)</f>
        <v/>
      </c>
      <c r="B2509" s="27">
        <f>IF('01_Rohdaten'!A2509="","",'01_Rohdaten'!A2509)</f>
        <v/>
      </c>
      <c r="C2509" s="27">
        <f>IF(B2509="","",INDEX('01_Rohdaten'!B2509:D2509,'02_Eingaben'!$C$13))</f>
        <v/>
      </c>
      <c r="D2509" s="27">
        <f>IF(C2509="","",C2509*'02_Eingaben'!$C$15)</f>
        <v/>
      </c>
      <c r="E2509" s="27">
        <f>IF(D2509="","",D2509*'02_Eingaben'!$C$8)</f>
        <v/>
      </c>
      <c r="F2509" s="27">
        <f>IF(E2509="","",AVERAGE(INDEX($E$2:$E$3001,MAX(1,ROW()-1-'02_Eingaben'!$C$17)):INDEX($E$2:$E$3001,MIN('02_Eingaben'!$C$21,ROW()-1+'02_Eingaben'!$C$17))))</f>
        <v/>
      </c>
      <c r="G2509" s="27">
        <f>IF(F2509="","",F2509-'02_Eingaben'!$C$10)</f>
        <v/>
      </c>
      <c r="H2509">
        <f>IF(F2509="","",IF(F2509&lt;'02_Eingaben'!$C$18*'02_Eingaben'!$C$10,1,0))</f>
        <v/>
      </c>
      <c r="I2509" s="27">
        <f>IF(OR(G2509="",G2510=""),"",(G2509+G2510)/2*(B2510-B2509))</f>
        <v/>
      </c>
      <c r="J2509" s="27">
        <f>IF(B2509="","",IF(B2508&lt;'02_Eingaben'!$C$36,0,J2508+I2508/'02_Eingaben'!$C$8))</f>
        <v/>
      </c>
    </row>
    <row r="2510">
      <c r="A2510">
        <f>IF('01_Rohdaten'!A2510="","",ROW()-1)</f>
        <v/>
      </c>
      <c r="B2510" s="27">
        <f>IF('01_Rohdaten'!A2510="","",'01_Rohdaten'!A2510)</f>
        <v/>
      </c>
      <c r="C2510" s="27">
        <f>IF(B2510="","",INDEX('01_Rohdaten'!B2510:D2510,'02_Eingaben'!$C$13))</f>
        <v/>
      </c>
      <c r="D2510" s="27">
        <f>IF(C2510="","",C2510*'02_Eingaben'!$C$15)</f>
        <v/>
      </c>
      <c r="E2510" s="27">
        <f>IF(D2510="","",D2510*'02_Eingaben'!$C$8)</f>
        <v/>
      </c>
      <c r="F2510" s="27">
        <f>IF(E2510="","",AVERAGE(INDEX($E$2:$E$3001,MAX(1,ROW()-1-'02_Eingaben'!$C$17)):INDEX($E$2:$E$3001,MIN('02_Eingaben'!$C$21,ROW()-1+'02_Eingaben'!$C$17))))</f>
        <v/>
      </c>
      <c r="G2510" s="27">
        <f>IF(F2510="","",F2510-'02_Eingaben'!$C$10)</f>
        <v/>
      </c>
      <c r="H2510">
        <f>IF(F2510="","",IF(F2510&lt;'02_Eingaben'!$C$18*'02_Eingaben'!$C$10,1,0))</f>
        <v/>
      </c>
      <c r="I2510" s="27">
        <f>IF(OR(G2510="",G2511=""),"",(G2510+G2511)/2*(B2511-B2510))</f>
        <v/>
      </c>
      <c r="J2510" s="27">
        <f>IF(B2510="","",IF(B2509&lt;'02_Eingaben'!$C$36,0,J2509+I2509/'02_Eingaben'!$C$8))</f>
        <v/>
      </c>
    </row>
    <row r="2511">
      <c r="A2511">
        <f>IF('01_Rohdaten'!A2511="","",ROW()-1)</f>
        <v/>
      </c>
      <c r="B2511" s="27">
        <f>IF('01_Rohdaten'!A2511="","",'01_Rohdaten'!A2511)</f>
        <v/>
      </c>
      <c r="C2511" s="27">
        <f>IF(B2511="","",INDEX('01_Rohdaten'!B2511:D2511,'02_Eingaben'!$C$13))</f>
        <v/>
      </c>
      <c r="D2511" s="27">
        <f>IF(C2511="","",C2511*'02_Eingaben'!$C$15)</f>
        <v/>
      </c>
      <c r="E2511" s="27">
        <f>IF(D2511="","",D2511*'02_Eingaben'!$C$8)</f>
        <v/>
      </c>
      <c r="F2511" s="27">
        <f>IF(E2511="","",AVERAGE(INDEX($E$2:$E$3001,MAX(1,ROW()-1-'02_Eingaben'!$C$17)):INDEX($E$2:$E$3001,MIN('02_Eingaben'!$C$21,ROW()-1+'02_Eingaben'!$C$17))))</f>
        <v/>
      </c>
      <c r="G2511" s="27">
        <f>IF(F2511="","",F2511-'02_Eingaben'!$C$10)</f>
        <v/>
      </c>
      <c r="H2511">
        <f>IF(F2511="","",IF(F2511&lt;'02_Eingaben'!$C$18*'02_Eingaben'!$C$10,1,0))</f>
        <v/>
      </c>
      <c r="I2511" s="27">
        <f>IF(OR(G2511="",G2512=""),"",(G2511+G2512)/2*(B2512-B2511))</f>
        <v/>
      </c>
      <c r="J2511" s="27">
        <f>IF(B2511="","",IF(B2510&lt;'02_Eingaben'!$C$36,0,J2510+I2510/'02_Eingaben'!$C$8))</f>
        <v/>
      </c>
    </row>
    <row r="2512">
      <c r="A2512">
        <f>IF('01_Rohdaten'!A2512="","",ROW()-1)</f>
        <v/>
      </c>
      <c r="B2512" s="27">
        <f>IF('01_Rohdaten'!A2512="","",'01_Rohdaten'!A2512)</f>
        <v/>
      </c>
      <c r="C2512" s="27">
        <f>IF(B2512="","",INDEX('01_Rohdaten'!B2512:D2512,'02_Eingaben'!$C$13))</f>
        <v/>
      </c>
      <c r="D2512" s="27">
        <f>IF(C2512="","",C2512*'02_Eingaben'!$C$15)</f>
        <v/>
      </c>
      <c r="E2512" s="27">
        <f>IF(D2512="","",D2512*'02_Eingaben'!$C$8)</f>
        <v/>
      </c>
      <c r="F2512" s="27">
        <f>IF(E2512="","",AVERAGE(INDEX($E$2:$E$3001,MAX(1,ROW()-1-'02_Eingaben'!$C$17)):INDEX($E$2:$E$3001,MIN('02_Eingaben'!$C$21,ROW()-1+'02_Eingaben'!$C$17))))</f>
        <v/>
      </c>
      <c r="G2512" s="27">
        <f>IF(F2512="","",F2512-'02_Eingaben'!$C$10)</f>
        <v/>
      </c>
      <c r="H2512">
        <f>IF(F2512="","",IF(F2512&lt;'02_Eingaben'!$C$18*'02_Eingaben'!$C$10,1,0))</f>
        <v/>
      </c>
      <c r="I2512" s="27">
        <f>IF(OR(G2512="",G2513=""),"",(G2512+G2513)/2*(B2513-B2512))</f>
        <v/>
      </c>
      <c r="J2512" s="27">
        <f>IF(B2512="","",IF(B2511&lt;'02_Eingaben'!$C$36,0,J2511+I2511/'02_Eingaben'!$C$8))</f>
        <v/>
      </c>
    </row>
    <row r="2513">
      <c r="A2513">
        <f>IF('01_Rohdaten'!A2513="","",ROW()-1)</f>
        <v/>
      </c>
      <c r="B2513" s="27">
        <f>IF('01_Rohdaten'!A2513="","",'01_Rohdaten'!A2513)</f>
        <v/>
      </c>
      <c r="C2513" s="27">
        <f>IF(B2513="","",INDEX('01_Rohdaten'!B2513:D2513,'02_Eingaben'!$C$13))</f>
        <v/>
      </c>
      <c r="D2513" s="27">
        <f>IF(C2513="","",C2513*'02_Eingaben'!$C$15)</f>
        <v/>
      </c>
      <c r="E2513" s="27">
        <f>IF(D2513="","",D2513*'02_Eingaben'!$C$8)</f>
        <v/>
      </c>
      <c r="F2513" s="27">
        <f>IF(E2513="","",AVERAGE(INDEX($E$2:$E$3001,MAX(1,ROW()-1-'02_Eingaben'!$C$17)):INDEX($E$2:$E$3001,MIN('02_Eingaben'!$C$21,ROW()-1+'02_Eingaben'!$C$17))))</f>
        <v/>
      </c>
      <c r="G2513" s="27">
        <f>IF(F2513="","",F2513-'02_Eingaben'!$C$10)</f>
        <v/>
      </c>
      <c r="H2513">
        <f>IF(F2513="","",IF(F2513&lt;'02_Eingaben'!$C$18*'02_Eingaben'!$C$10,1,0))</f>
        <v/>
      </c>
      <c r="I2513" s="27">
        <f>IF(OR(G2513="",G2514=""),"",(G2513+G2514)/2*(B2514-B2513))</f>
        <v/>
      </c>
      <c r="J2513" s="27">
        <f>IF(B2513="","",IF(B2512&lt;'02_Eingaben'!$C$36,0,J2512+I2512/'02_Eingaben'!$C$8))</f>
        <v/>
      </c>
    </row>
    <row r="2514">
      <c r="A2514">
        <f>IF('01_Rohdaten'!A2514="","",ROW()-1)</f>
        <v/>
      </c>
      <c r="B2514" s="27">
        <f>IF('01_Rohdaten'!A2514="","",'01_Rohdaten'!A2514)</f>
        <v/>
      </c>
      <c r="C2514" s="27">
        <f>IF(B2514="","",INDEX('01_Rohdaten'!B2514:D2514,'02_Eingaben'!$C$13))</f>
        <v/>
      </c>
      <c r="D2514" s="27">
        <f>IF(C2514="","",C2514*'02_Eingaben'!$C$15)</f>
        <v/>
      </c>
      <c r="E2514" s="27">
        <f>IF(D2514="","",D2514*'02_Eingaben'!$C$8)</f>
        <v/>
      </c>
      <c r="F2514" s="27">
        <f>IF(E2514="","",AVERAGE(INDEX($E$2:$E$3001,MAX(1,ROW()-1-'02_Eingaben'!$C$17)):INDEX($E$2:$E$3001,MIN('02_Eingaben'!$C$21,ROW()-1+'02_Eingaben'!$C$17))))</f>
        <v/>
      </c>
      <c r="G2514" s="27">
        <f>IF(F2514="","",F2514-'02_Eingaben'!$C$10)</f>
        <v/>
      </c>
      <c r="H2514">
        <f>IF(F2514="","",IF(F2514&lt;'02_Eingaben'!$C$18*'02_Eingaben'!$C$10,1,0))</f>
        <v/>
      </c>
      <c r="I2514" s="27">
        <f>IF(OR(G2514="",G2515=""),"",(G2514+G2515)/2*(B2515-B2514))</f>
        <v/>
      </c>
      <c r="J2514" s="27">
        <f>IF(B2514="","",IF(B2513&lt;'02_Eingaben'!$C$36,0,J2513+I2513/'02_Eingaben'!$C$8))</f>
        <v/>
      </c>
    </row>
    <row r="2515">
      <c r="A2515">
        <f>IF('01_Rohdaten'!A2515="","",ROW()-1)</f>
        <v/>
      </c>
      <c r="B2515" s="27">
        <f>IF('01_Rohdaten'!A2515="","",'01_Rohdaten'!A2515)</f>
        <v/>
      </c>
      <c r="C2515" s="27">
        <f>IF(B2515="","",INDEX('01_Rohdaten'!B2515:D2515,'02_Eingaben'!$C$13))</f>
        <v/>
      </c>
      <c r="D2515" s="27">
        <f>IF(C2515="","",C2515*'02_Eingaben'!$C$15)</f>
        <v/>
      </c>
      <c r="E2515" s="27">
        <f>IF(D2515="","",D2515*'02_Eingaben'!$C$8)</f>
        <v/>
      </c>
      <c r="F2515" s="27">
        <f>IF(E2515="","",AVERAGE(INDEX($E$2:$E$3001,MAX(1,ROW()-1-'02_Eingaben'!$C$17)):INDEX($E$2:$E$3001,MIN('02_Eingaben'!$C$21,ROW()-1+'02_Eingaben'!$C$17))))</f>
        <v/>
      </c>
      <c r="G2515" s="27">
        <f>IF(F2515="","",F2515-'02_Eingaben'!$C$10)</f>
        <v/>
      </c>
      <c r="H2515">
        <f>IF(F2515="","",IF(F2515&lt;'02_Eingaben'!$C$18*'02_Eingaben'!$C$10,1,0))</f>
        <v/>
      </c>
      <c r="I2515" s="27">
        <f>IF(OR(G2515="",G2516=""),"",(G2515+G2516)/2*(B2516-B2515))</f>
        <v/>
      </c>
      <c r="J2515" s="27">
        <f>IF(B2515="","",IF(B2514&lt;'02_Eingaben'!$C$36,0,J2514+I2514/'02_Eingaben'!$C$8))</f>
        <v/>
      </c>
    </row>
    <row r="2516">
      <c r="A2516">
        <f>IF('01_Rohdaten'!A2516="","",ROW()-1)</f>
        <v/>
      </c>
      <c r="B2516" s="27">
        <f>IF('01_Rohdaten'!A2516="","",'01_Rohdaten'!A2516)</f>
        <v/>
      </c>
      <c r="C2516" s="27">
        <f>IF(B2516="","",INDEX('01_Rohdaten'!B2516:D2516,'02_Eingaben'!$C$13))</f>
        <v/>
      </c>
      <c r="D2516" s="27">
        <f>IF(C2516="","",C2516*'02_Eingaben'!$C$15)</f>
        <v/>
      </c>
      <c r="E2516" s="27">
        <f>IF(D2516="","",D2516*'02_Eingaben'!$C$8)</f>
        <v/>
      </c>
      <c r="F2516" s="27">
        <f>IF(E2516="","",AVERAGE(INDEX($E$2:$E$3001,MAX(1,ROW()-1-'02_Eingaben'!$C$17)):INDEX($E$2:$E$3001,MIN('02_Eingaben'!$C$21,ROW()-1+'02_Eingaben'!$C$17))))</f>
        <v/>
      </c>
      <c r="G2516" s="27">
        <f>IF(F2516="","",F2516-'02_Eingaben'!$C$10)</f>
        <v/>
      </c>
      <c r="H2516">
        <f>IF(F2516="","",IF(F2516&lt;'02_Eingaben'!$C$18*'02_Eingaben'!$C$10,1,0))</f>
        <v/>
      </c>
      <c r="I2516" s="27">
        <f>IF(OR(G2516="",G2517=""),"",(G2516+G2517)/2*(B2517-B2516))</f>
        <v/>
      </c>
      <c r="J2516" s="27">
        <f>IF(B2516="","",IF(B2515&lt;'02_Eingaben'!$C$36,0,J2515+I2515/'02_Eingaben'!$C$8))</f>
        <v/>
      </c>
    </row>
    <row r="2517">
      <c r="A2517">
        <f>IF('01_Rohdaten'!A2517="","",ROW()-1)</f>
        <v/>
      </c>
      <c r="B2517" s="27">
        <f>IF('01_Rohdaten'!A2517="","",'01_Rohdaten'!A2517)</f>
        <v/>
      </c>
      <c r="C2517" s="27">
        <f>IF(B2517="","",INDEX('01_Rohdaten'!B2517:D2517,'02_Eingaben'!$C$13))</f>
        <v/>
      </c>
      <c r="D2517" s="27">
        <f>IF(C2517="","",C2517*'02_Eingaben'!$C$15)</f>
        <v/>
      </c>
      <c r="E2517" s="27">
        <f>IF(D2517="","",D2517*'02_Eingaben'!$C$8)</f>
        <v/>
      </c>
      <c r="F2517" s="27">
        <f>IF(E2517="","",AVERAGE(INDEX($E$2:$E$3001,MAX(1,ROW()-1-'02_Eingaben'!$C$17)):INDEX($E$2:$E$3001,MIN('02_Eingaben'!$C$21,ROW()-1+'02_Eingaben'!$C$17))))</f>
        <v/>
      </c>
      <c r="G2517" s="27">
        <f>IF(F2517="","",F2517-'02_Eingaben'!$C$10)</f>
        <v/>
      </c>
      <c r="H2517">
        <f>IF(F2517="","",IF(F2517&lt;'02_Eingaben'!$C$18*'02_Eingaben'!$C$10,1,0))</f>
        <v/>
      </c>
      <c r="I2517" s="27">
        <f>IF(OR(G2517="",G2518=""),"",(G2517+G2518)/2*(B2518-B2517))</f>
        <v/>
      </c>
      <c r="J2517" s="27">
        <f>IF(B2517="","",IF(B2516&lt;'02_Eingaben'!$C$36,0,J2516+I2516/'02_Eingaben'!$C$8))</f>
        <v/>
      </c>
    </row>
    <row r="2518">
      <c r="A2518">
        <f>IF('01_Rohdaten'!A2518="","",ROW()-1)</f>
        <v/>
      </c>
      <c r="B2518" s="27">
        <f>IF('01_Rohdaten'!A2518="","",'01_Rohdaten'!A2518)</f>
        <v/>
      </c>
      <c r="C2518" s="27">
        <f>IF(B2518="","",INDEX('01_Rohdaten'!B2518:D2518,'02_Eingaben'!$C$13))</f>
        <v/>
      </c>
      <c r="D2518" s="27">
        <f>IF(C2518="","",C2518*'02_Eingaben'!$C$15)</f>
        <v/>
      </c>
      <c r="E2518" s="27">
        <f>IF(D2518="","",D2518*'02_Eingaben'!$C$8)</f>
        <v/>
      </c>
      <c r="F2518" s="27">
        <f>IF(E2518="","",AVERAGE(INDEX($E$2:$E$3001,MAX(1,ROW()-1-'02_Eingaben'!$C$17)):INDEX($E$2:$E$3001,MIN('02_Eingaben'!$C$21,ROW()-1+'02_Eingaben'!$C$17))))</f>
        <v/>
      </c>
      <c r="G2518" s="27">
        <f>IF(F2518="","",F2518-'02_Eingaben'!$C$10)</f>
        <v/>
      </c>
      <c r="H2518">
        <f>IF(F2518="","",IF(F2518&lt;'02_Eingaben'!$C$18*'02_Eingaben'!$C$10,1,0))</f>
        <v/>
      </c>
      <c r="I2518" s="27">
        <f>IF(OR(G2518="",G2519=""),"",(G2518+G2519)/2*(B2519-B2518))</f>
        <v/>
      </c>
      <c r="J2518" s="27">
        <f>IF(B2518="","",IF(B2517&lt;'02_Eingaben'!$C$36,0,J2517+I2517/'02_Eingaben'!$C$8))</f>
        <v/>
      </c>
    </row>
    <row r="2519">
      <c r="A2519">
        <f>IF('01_Rohdaten'!A2519="","",ROW()-1)</f>
        <v/>
      </c>
      <c r="B2519" s="27">
        <f>IF('01_Rohdaten'!A2519="","",'01_Rohdaten'!A2519)</f>
        <v/>
      </c>
      <c r="C2519" s="27">
        <f>IF(B2519="","",INDEX('01_Rohdaten'!B2519:D2519,'02_Eingaben'!$C$13))</f>
        <v/>
      </c>
      <c r="D2519" s="27">
        <f>IF(C2519="","",C2519*'02_Eingaben'!$C$15)</f>
        <v/>
      </c>
      <c r="E2519" s="27">
        <f>IF(D2519="","",D2519*'02_Eingaben'!$C$8)</f>
        <v/>
      </c>
      <c r="F2519" s="27">
        <f>IF(E2519="","",AVERAGE(INDEX($E$2:$E$3001,MAX(1,ROW()-1-'02_Eingaben'!$C$17)):INDEX($E$2:$E$3001,MIN('02_Eingaben'!$C$21,ROW()-1+'02_Eingaben'!$C$17))))</f>
        <v/>
      </c>
      <c r="G2519" s="27">
        <f>IF(F2519="","",F2519-'02_Eingaben'!$C$10)</f>
        <v/>
      </c>
      <c r="H2519">
        <f>IF(F2519="","",IF(F2519&lt;'02_Eingaben'!$C$18*'02_Eingaben'!$C$10,1,0))</f>
        <v/>
      </c>
      <c r="I2519" s="27">
        <f>IF(OR(G2519="",G2520=""),"",(G2519+G2520)/2*(B2520-B2519))</f>
        <v/>
      </c>
      <c r="J2519" s="27">
        <f>IF(B2519="","",IF(B2518&lt;'02_Eingaben'!$C$36,0,J2518+I2518/'02_Eingaben'!$C$8))</f>
        <v/>
      </c>
    </row>
    <row r="2520">
      <c r="A2520">
        <f>IF('01_Rohdaten'!A2520="","",ROW()-1)</f>
        <v/>
      </c>
      <c r="B2520" s="27">
        <f>IF('01_Rohdaten'!A2520="","",'01_Rohdaten'!A2520)</f>
        <v/>
      </c>
      <c r="C2520" s="27">
        <f>IF(B2520="","",INDEX('01_Rohdaten'!B2520:D2520,'02_Eingaben'!$C$13))</f>
        <v/>
      </c>
      <c r="D2520" s="27">
        <f>IF(C2520="","",C2520*'02_Eingaben'!$C$15)</f>
        <v/>
      </c>
      <c r="E2520" s="27">
        <f>IF(D2520="","",D2520*'02_Eingaben'!$C$8)</f>
        <v/>
      </c>
      <c r="F2520" s="27">
        <f>IF(E2520="","",AVERAGE(INDEX($E$2:$E$3001,MAX(1,ROW()-1-'02_Eingaben'!$C$17)):INDEX($E$2:$E$3001,MIN('02_Eingaben'!$C$21,ROW()-1+'02_Eingaben'!$C$17))))</f>
        <v/>
      </c>
      <c r="G2520" s="27">
        <f>IF(F2520="","",F2520-'02_Eingaben'!$C$10)</f>
        <v/>
      </c>
      <c r="H2520">
        <f>IF(F2520="","",IF(F2520&lt;'02_Eingaben'!$C$18*'02_Eingaben'!$C$10,1,0))</f>
        <v/>
      </c>
      <c r="I2520" s="27">
        <f>IF(OR(G2520="",G2521=""),"",(G2520+G2521)/2*(B2521-B2520))</f>
        <v/>
      </c>
      <c r="J2520" s="27">
        <f>IF(B2520="","",IF(B2519&lt;'02_Eingaben'!$C$36,0,J2519+I2519/'02_Eingaben'!$C$8))</f>
        <v/>
      </c>
    </row>
    <row r="2521">
      <c r="A2521">
        <f>IF('01_Rohdaten'!A2521="","",ROW()-1)</f>
        <v/>
      </c>
      <c r="B2521" s="27">
        <f>IF('01_Rohdaten'!A2521="","",'01_Rohdaten'!A2521)</f>
        <v/>
      </c>
      <c r="C2521" s="27">
        <f>IF(B2521="","",INDEX('01_Rohdaten'!B2521:D2521,'02_Eingaben'!$C$13))</f>
        <v/>
      </c>
      <c r="D2521" s="27">
        <f>IF(C2521="","",C2521*'02_Eingaben'!$C$15)</f>
        <v/>
      </c>
      <c r="E2521" s="27">
        <f>IF(D2521="","",D2521*'02_Eingaben'!$C$8)</f>
        <v/>
      </c>
      <c r="F2521" s="27">
        <f>IF(E2521="","",AVERAGE(INDEX($E$2:$E$3001,MAX(1,ROW()-1-'02_Eingaben'!$C$17)):INDEX($E$2:$E$3001,MIN('02_Eingaben'!$C$21,ROW()-1+'02_Eingaben'!$C$17))))</f>
        <v/>
      </c>
      <c r="G2521" s="27">
        <f>IF(F2521="","",F2521-'02_Eingaben'!$C$10)</f>
        <v/>
      </c>
      <c r="H2521">
        <f>IF(F2521="","",IF(F2521&lt;'02_Eingaben'!$C$18*'02_Eingaben'!$C$10,1,0))</f>
        <v/>
      </c>
      <c r="I2521" s="27">
        <f>IF(OR(G2521="",G2522=""),"",(G2521+G2522)/2*(B2522-B2521))</f>
        <v/>
      </c>
      <c r="J2521" s="27">
        <f>IF(B2521="","",IF(B2520&lt;'02_Eingaben'!$C$36,0,J2520+I2520/'02_Eingaben'!$C$8))</f>
        <v/>
      </c>
    </row>
    <row r="2522">
      <c r="A2522">
        <f>IF('01_Rohdaten'!A2522="","",ROW()-1)</f>
        <v/>
      </c>
      <c r="B2522" s="27">
        <f>IF('01_Rohdaten'!A2522="","",'01_Rohdaten'!A2522)</f>
        <v/>
      </c>
      <c r="C2522" s="27">
        <f>IF(B2522="","",INDEX('01_Rohdaten'!B2522:D2522,'02_Eingaben'!$C$13))</f>
        <v/>
      </c>
      <c r="D2522" s="27">
        <f>IF(C2522="","",C2522*'02_Eingaben'!$C$15)</f>
        <v/>
      </c>
      <c r="E2522" s="27">
        <f>IF(D2522="","",D2522*'02_Eingaben'!$C$8)</f>
        <v/>
      </c>
      <c r="F2522" s="27">
        <f>IF(E2522="","",AVERAGE(INDEX($E$2:$E$3001,MAX(1,ROW()-1-'02_Eingaben'!$C$17)):INDEX($E$2:$E$3001,MIN('02_Eingaben'!$C$21,ROW()-1+'02_Eingaben'!$C$17))))</f>
        <v/>
      </c>
      <c r="G2522" s="27">
        <f>IF(F2522="","",F2522-'02_Eingaben'!$C$10)</f>
        <v/>
      </c>
      <c r="H2522">
        <f>IF(F2522="","",IF(F2522&lt;'02_Eingaben'!$C$18*'02_Eingaben'!$C$10,1,0))</f>
        <v/>
      </c>
      <c r="I2522" s="27">
        <f>IF(OR(G2522="",G2523=""),"",(G2522+G2523)/2*(B2523-B2522))</f>
        <v/>
      </c>
      <c r="J2522" s="27">
        <f>IF(B2522="","",IF(B2521&lt;'02_Eingaben'!$C$36,0,J2521+I2521/'02_Eingaben'!$C$8))</f>
        <v/>
      </c>
    </row>
    <row r="2523">
      <c r="A2523">
        <f>IF('01_Rohdaten'!A2523="","",ROW()-1)</f>
        <v/>
      </c>
      <c r="B2523" s="27">
        <f>IF('01_Rohdaten'!A2523="","",'01_Rohdaten'!A2523)</f>
        <v/>
      </c>
      <c r="C2523" s="27">
        <f>IF(B2523="","",INDEX('01_Rohdaten'!B2523:D2523,'02_Eingaben'!$C$13))</f>
        <v/>
      </c>
      <c r="D2523" s="27">
        <f>IF(C2523="","",C2523*'02_Eingaben'!$C$15)</f>
        <v/>
      </c>
      <c r="E2523" s="27">
        <f>IF(D2523="","",D2523*'02_Eingaben'!$C$8)</f>
        <v/>
      </c>
      <c r="F2523" s="27">
        <f>IF(E2523="","",AVERAGE(INDEX($E$2:$E$3001,MAX(1,ROW()-1-'02_Eingaben'!$C$17)):INDEX($E$2:$E$3001,MIN('02_Eingaben'!$C$21,ROW()-1+'02_Eingaben'!$C$17))))</f>
        <v/>
      </c>
      <c r="G2523" s="27">
        <f>IF(F2523="","",F2523-'02_Eingaben'!$C$10)</f>
        <v/>
      </c>
      <c r="H2523">
        <f>IF(F2523="","",IF(F2523&lt;'02_Eingaben'!$C$18*'02_Eingaben'!$C$10,1,0))</f>
        <v/>
      </c>
      <c r="I2523" s="27">
        <f>IF(OR(G2523="",G2524=""),"",(G2523+G2524)/2*(B2524-B2523))</f>
        <v/>
      </c>
      <c r="J2523" s="27">
        <f>IF(B2523="","",IF(B2522&lt;'02_Eingaben'!$C$36,0,J2522+I2522/'02_Eingaben'!$C$8))</f>
        <v/>
      </c>
    </row>
    <row r="2524">
      <c r="A2524">
        <f>IF('01_Rohdaten'!A2524="","",ROW()-1)</f>
        <v/>
      </c>
      <c r="B2524" s="27">
        <f>IF('01_Rohdaten'!A2524="","",'01_Rohdaten'!A2524)</f>
        <v/>
      </c>
      <c r="C2524" s="27">
        <f>IF(B2524="","",INDEX('01_Rohdaten'!B2524:D2524,'02_Eingaben'!$C$13))</f>
        <v/>
      </c>
      <c r="D2524" s="27">
        <f>IF(C2524="","",C2524*'02_Eingaben'!$C$15)</f>
        <v/>
      </c>
      <c r="E2524" s="27">
        <f>IF(D2524="","",D2524*'02_Eingaben'!$C$8)</f>
        <v/>
      </c>
      <c r="F2524" s="27">
        <f>IF(E2524="","",AVERAGE(INDEX($E$2:$E$3001,MAX(1,ROW()-1-'02_Eingaben'!$C$17)):INDEX($E$2:$E$3001,MIN('02_Eingaben'!$C$21,ROW()-1+'02_Eingaben'!$C$17))))</f>
        <v/>
      </c>
      <c r="G2524" s="27">
        <f>IF(F2524="","",F2524-'02_Eingaben'!$C$10)</f>
        <v/>
      </c>
      <c r="H2524">
        <f>IF(F2524="","",IF(F2524&lt;'02_Eingaben'!$C$18*'02_Eingaben'!$C$10,1,0))</f>
        <v/>
      </c>
      <c r="I2524" s="27">
        <f>IF(OR(G2524="",G2525=""),"",(G2524+G2525)/2*(B2525-B2524))</f>
        <v/>
      </c>
      <c r="J2524" s="27">
        <f>IF(B2524="","",IF(B2523&lt;'02_Eingaben'!$C$36,0,J2523+I2523/'02_Eingaben'!$C$8))</f>
        <v/>
      </c>
    </row>
    <row r="2525">
      <c r="A2525">
        <f>IF('01_Rohdaten'!A2525="","",ROW()-1)</f>
        <v/>
      </c>
      <c r="B2525" s="27">
        <f>IF('01_Rohdaten'!A2525="","",'01_Rohdaten'!A2525)</f>
        <v/>
      </c>
      <c r="C2525" s="27">
        <f>IF(B2525="","",INDEX('01_Rohdaten'!B2525:D2525,'02_Eingaben'!$C$13))</f>
        <v/>
      </c>
      <c r="D2525" s="27">
        <f>IF(C2525="","",C2525*'02_Eingaben'!$C$15)</f>
        <v/>
      </c>
      <c r="E2525" s="27">
        <f>IF(D2525="","",D2525*'02_Eingaben'!$C$8)</f>
        <v/>
      </c>
      <c r="F2525" s="27">
        <f>IF(E2525="","",AVERAGE(INDEX($E$2:$E$3001,MAX(1,ROW()-1-'02_Eingaben'!$C$17)):INDEX($E$2:$E$3001,MIN('02_Eingaben'!$C$21,ROW()-1+'02_Eingaben'!$C$17))))</f>
        <v/>
      </c>
      <c r="G2525" s="27">
        <f>IF(F2525="","",F2525-'02_Eingaben'!$C$10)</f>
        <v/>
      </c>
      <c r="H2525">
        <f>IF(F2525="","",IF(F2525&lt;'02_Eingaben'!$C$18*'02_Eingaben'!$C$10,1,0))</f>
        <v/>
      </c>
      <c r="I2525" s="27">
        <f>IF(OR(G2525="",G2526=""),"",(G2525+G2526)/2*(B2526-B2525))</f>
        <v/>
      </c>
      <c r="J2525" s="27">
        <f>IF(B2525="","",IF(B2524&lt;'02_Eingaben'!$C$36,0,J2524+I2524/'02_Eingaben'!$C$8))</f>
        <v/>
      </c>
    </row>
    <row r="2526">
      <c r="A2526">
        <f>IF('01_Rohdaten'!A2526="","",ROW()-1)</f>
        <v/>
      </c>
      <c r="B2526" s="27">
        <f>IF('01_Rohdaten'!A2526="","",'01_Rohdaten'!A2526)</f>
        <v/>
      </c>
      <c r="C2526" s="27">
        <f>IF(B2526="","",INDEX('01_Rohdaten'!B2526:D2526,'02_Eingaben'!$C$13))</f>
        <v/>
      </c>
      <c r="D2526" s="27">
        <f>IF(C2526="","",C2526*'02_Eingaben'!$C$15)</f>
        <v/>
      </c>
      <c r="E2526" s="27">
        <f>IF(D2526="","",D2526*'02_Eingaben'!$C$8)</f>
        <v/>
      </c>
      <c r="F2526" s="27">
        <f>IF(E2526="","",AVERAGE(INDEX($E$2:$E$3001,MAX(1,ROW()-1-'02_Eingaben'!$C$17)):INDEX($E$2:$E$3001,MIN('02_Eingaben'!$C$21,ROW()-1+'02_Eingaben'!$C$17))))</f>
        <v/>
      </c>
      <c r="G2526" s="27">
        <f>IF(F2526="","",F2526-'02_Eingaben'!$C$10)</f>
        <v/>
      </c>
      <c r="H2526">
        <f>IF(F2526="","",IF(F2526&lt;'02_Eingaben'!$C$18*'02_Eingaben'!$C$10,1,0))</f>
        <v/>
      </c>
      <c r="I2526" s="27">
        <f>IF(OR(G2526="",G2527=""),"",(G2526+G2527)/2*(B2527-B2526))</f>
        <v/>
      </c>
      <c r="J2526" s="27">
        <f>IF(B2526="","",IF(B2525&lt;'02_Eingaben'!$C$36,0,J2525+I2525/'02_Eingaben'!$C$8))</f>
        <v/>
      </c>
    </row>
    <row r="2527">
      <c r="A2527">
        <f>IF('01_Rohdaten'!A2527="","",ROW()-1)</f>
        <v/>
      </c>
      <c r="B2527" s="27">
        <f>IF('01_Rohdaten'!A2527="","",'01_Rohdaten'!A2527)</f>
        <v/>
      </c>
      <c r="C2527" s="27">
        <f>IF(B2527="","",INDEX('01_Rohdaten'!B2527:D2527,'02_Eingaben'!$C$13))</f>
        <v/>
      </c>
      <c r="D2527" s="27">
        <f>IF(C2527="","",C2527*'02_Eingaben'!$C$15)</f>
        <v/>
      </c>
      <c r="E2527" s="27">
        <f>IF(D2527="","",D2527*'02_Eingaben'!$C$8)</f>
        <v/>
      </c>
      <c r="F2527" s="27">
        <f>IF(E2527="","",AVERAGE(INDEX($E$2:$E$3001,MAX(1,ROW()-1-'02_Eingaben'!$C$17)):INDEX($E$2:$E$3001,MIN('02_Eingaben'!$C$21,ROW()-1+'02_Eingaben'!$C$17))))</f>
        <v/>
      </c>
      <c r="G2527" s="27">
        <f>IF(F2527="","",F2527-'02_Eingaben'!$C$10)</f>
        <v/>
      </c>
      <c r="H2527">
        <f>IF(F2527="","",IF(F2527&lt;'02_Eingaben'!$C$18*'02_Eingaben'!$C$10,1,0))</f>
        <v/>
      </c>
      <c r="I2527" s="27">
        <f>IF(OR(G2527="",G2528=""),"",(G2527+G2528)/2*(B2528-B2527))</f>
        <v/>
      </c>
      <c r="J2527" s="27">
        <f>IF(B2527="","",IF(B2526&lt;'02_Eingaben'!$C$36,0,J2526+I2526/'02_Eingaben'!$C$8))</f>
        <v/>
      </c>
    </row>
    <row r="2528">
      <c r="A2528">
        <f>IF('01_Rohdaten'!A2528="","",ROW()-1)</f>
        <v/>
      </c>
      <c r="B2528" s="27">
        <f>IF('01_Rohdaten'!A2528="","",'01_Rohdaten'!A2528)</f>
        <v/>
      </c>
      <c r="C2528" s="27">
        <f>IF(B2528="","",INDEX('01_Rohdaten'!B2528:D2528,'02_Eingaben'!$C$13))</f>
        <v/>
      </c>
      <c r="D2528" s="27">
        <f>IF(C2528="","",C2528*'02_Eingaben'!$C$15)</f>
        <v/>
      </c>
      <c r="E2528" s="27">
        <f>IF(D2528="","",D2528*'02_Eingaben'!$C$8)</f>
        <v/>
      </c>
      <c r="F2528" s="27">
        <f>IF(E2528="","",AVERAGE(INDEX($E$2:$E$3001,MAX(1,ROW()-1-'02_Eingaben'!$C$17)):INDEX($E$2:$E$3001,MIN('02_Eingaben'!$C$21,ROW()-1+'02_Eingaben'!$C$17))))</f>
        <v/>
      </c>
      <c r="G2528" s="27">
        <f>IF(F2528="","",F2528-'02_Eingaben'!$C$10)</f>
        <v/>
      </c>
      <c r="H2528">
        <f>IF(F2528="","",IF(F2528&lt;'02_Eingaben'!$C$18*'02_Eingaben'!$C$10,1,0))</f>
        <v/>
      </c>
      <c r="I2528" s="27">
        <f>IF(OR(G2528="",G2529=""),"",(G2528+G2529)/2*(B2529-B2528))</f>
        <v/>
      </c>
      <c r="J2528" s="27">
        <f>IF(B2528="","",IF(B2527&lt;'02_Eingaben'!$C$36,0,J2527+I2527/'02_Eingaben'!$C$8))</f>
        <v/>
      </c>
    </row>
    <row r="2529">
      <c r="A2529">
        <f>IF('01_Rohdaten'!A2529="","",ROW()-1)</f>
        <v/>
      </c>
      <c r="B2529" s="27">
        <f>IF('01_Rohdaten'!A2529="","",'01_Rohdaten'!A2529)</f>
        <v/>
      </c>
      <c r="C2529" s="27">
        <f>IF(B2529="","",INDEX('01_Rohdaten'!B2529:D2529,'02_Eingaben'!$C$13))</f>
        <v/>
      </c>
      <c r="D2529" s="27">
        <f>IF(C2529="","",C2529*'02_Eingaben'!$C$15)</f>
        <v/>
      </c>
      <c r="E2529" s="27">
        <f>IF(D2529="","",D2529*'02_Eingaben'!$C$8)</f>
        <v/>
      </c>
      <c r="F2529" s="27">
        <f>IF(E2529="","",AVERAGE(INDEX($E$2:$E$3001,MAX(1,ROW()-1-'02_Eingaben'!$C$17)):INDEX($E$2:$E$3001,MIN('02_Eingaben'!$C$21,ROW()-1+'02_Eingaben'!$C$17))))</f>
        <v/>
      </c>
      <c r="G2529" s="27">
        <f>IF(F2529="","",F2529-'02_Eingaben'!$C$10)</f>
        <v/>
      </c>
      <c r="H2529">
        <f>IF(F2529="","",IF(F2529&lt;'02_Eingaben'!$C$18*'02_Eingaben'!$C$10,1,0))</f>
        <v/>
      </c>
      <c r="I2529" s="27">
        <f>IF(OR(G2529="",G2530=""),"",(G2529+G2530)/2*(B2530-B2529))</f>
        <v/>
      </c>
      <c r="J2529" s="27">
        <f>IF(B2529="","",IF(B2528&lt;'02_Eingaben'!$C$36,0,J2528+I2528/'02_Eingaben'!$C$8))</f>
        <v/>
      </c>
    </row>
    <row r="2530">
      <c r="A2530">
        <f>IF('01_Rohdaten'!A2530="","",ROW()-1)</f>
        <v/>
      </c>
      <c r="B2530" s="27">
        <f>IF('01_Rohdaten'!A2530="","",'01_Rohdaten'!A2530)</f>
        <v/>
      </c>
      <c r="C2530" s="27">
        <f>IF(B2530="","",INDEX('01_Rohdaten'!B2530:D2530,'02_Eingaben'!$C$13))</f>
        <v/>
      </c>
      <c r="D2530" s="27">
        <f>IF(C2530="","",C2530*'02_Eingaben'!$C$15)</f>
        <v/>
      </c>
      <c r="E2530" s="27">
        <f>IF(D2530="","",D2530*'02_Eingaben'!$C$8)</f>
        <v/>
      </c>
      <c r="F2530" s="27">
        <f>IF(E2530="","",AVERAGE(INDEX($E$2:$E$3001,MAX(1,ROW()-1-'02_Eingaben'!$C$17)):INDEX($E$2:$E$3001,MIN('02_Eingaben'!$C$21,ROW()-1+'02_Eingaben'!$C$17))))</f>
        <v/>
      </c>
      <c r="G2530" s="27">
        <f>IF(F2530="","",F2530-'02_Eingaben'!$C$10)</f>
        <v/>
      </c>
      <c r="H2530">
        <f>IF(F2530="","",IF(F2530&lt;'02_Eingaben'!$C$18*'02_Eingaben'!$C$10,1,0))</f>
        <v/>
      </c>
      <c r="I2530" s="27">
        <f>IF(OR(G2530="",G2531=""),"",(G2530+G2531)/2*(B2531-B2530))</f>
        <v/>
      </c>
      <c r="J2530" s="27">
        <f>IF(B2530="","",IF(B2529&lt;'02_Eingaben'!$C$36,0,J2529+I2529/'02_Eingaben'!$C$8))</f>
        <v/>
      </c>
    </row>
    <row r="2531">
      <c r="A2531">
        <f>IF('01_Rohdaten'!A2531="","",ROW()-1)</f>
        <v/>
      </c>
      <c r="B2531" s="27">
        <f>IF('01_Rohdaten'!A2531="","",'01_Rohdaten'!A2531)</f>
        <v/>
      </c>
      <c r="C2531" s="27">
        <f>IF(B2531="","",INDEX('01_Rohdaten'!B2531:D2531,'02_Eingaben'!$C$13))</f>
        <v/>
      </c>
      <c r="D2531" s="27">
        <f>IF(C2531="","",C2531*'02_Eingaben'!$C$15)</f>
        <v/>
      </c>
      <c r="E2531" s="27">
        <f>IF(D2531="","",D2531*'02_Eingaben'!$C$8)</f>
        <v/>
      </c>
      <c r="F2531" s="27">
        <f>IF(E2531="","",AVERAGE(INDEX($E$2:$E$3001,MAX(1,ROW()-1-'02_Eingaben'!$C$17)):INDEX($E$2:$E$3001,MIN('02_Eingaben'!$C$21,ROW()-1+'02_Eingaben'!$C$17))))</f>
        <v/>
      </c>
      <c r="G2531" s="27">
        <f>IF(F2531="","",F2531-'02_Eingaben'!$C$10)</f>
        <v/>
      </c>
      <c r="H2531">
        <f>IF(F2531="","",IF(F2531&lt;'02_Eingaben'!$C$18*'02_Eingaben'!$C$10,1,0))</f>
        <v/>
      </c>
      <c r="I2531" s="27">
        <f>IF(OR(G2531="",G2532=""),"",(G2531+G2532)/2*(B2532-B2531))</f>
        <v/>
      </c>
      <c r="J2531" s="27">
        <f>IF(B2531="","",IF(B2530&lt;'02_Eingaben'!$C$36,0,J2530+I2530/'02_Eingaben'!$C$8))</f>
        <v/>
      </c>
    </row>
    <row r="2532">
      <c r="A2532">
        <f>IF('01_Rohdaten'!A2532="","",ROW()-1)</f>
        <v/>
      </c>
      <c r="B2532" s="27">
        <f>IF('01_Rohdaten'!A2532="","",'01_Rohdaten'!A2532)</f>
        <v/>
      </c>
      <c r="C2532" s="27">
        <f>IF(B2532="","",INDEX('01_Rohdaten'!B2532:D2532,'02_Eingaben'!$C$13))</f>
        <v/>
      </c>
      <c r="D2532" s="27">
        <f>IF(C2532="","",C2532*'02_Eingaben'!$C$15)</f>
        <v/>
      </c>
      <c r="E2532" s="27">
        <f>IF(D2532="","",D2532*'02_Eingaben'!$C$8)</f>
        <v/>
      </c>
      <c r="F2532" s="27">
        <f>IF(E2532="","",AVERAGE(INDEX($E$2:$E$3001,MAX(1,ROW()-1-'02_Eingaben'!$C$17)):INDEX($E$2:$E$3001,MIN('02_Eingaben'!$C$21,ROW()-1+'02_Eingaben'!$C$17))))</f>
        <v/>
      </c>
      <c r="G2532" s="27">
        <f>IF(F2532="","",F2532-'02_Eingaben'!$C$10)</f>
        <v/>
      </c>
      <c r="H2532">
        <f>IF(F2532="","",IF(F2532&lt;'02_Eingaben'!$C$18*'02_Eingaben'!$C$10,1,0))</f>
        <v/>
      </c>
      <c r="I2532" s="27">
        <f>IF(OR(G2532="",G2533=""),"",(G2532+G2533)/2*(B2533-B2532))</f>
        <v/>
      </c>
      <c r="J2532" s="27">
        <f>IF(B2532="","",IF(B2531&lt;'02_Eingaben'!$C$36,0,J2531+I2531/'02_Eingaben'!$C$8))</f>
        <v/>
      </c>
    </row>
    <row r="2533">
      <c r="A2533">
        <f>IF('01_Rohdaten'!A2533="","",ROW()-1)</f>
        <v/>
      </c>
      <c r="B2533" s="27">
        <f>IF('01_Rohdaten'!A2533="","",'01_Rohdaten'!A2533)</f>
        <v/>
      </c>
      <c r="C2533" s="27">
        <f>IF(B2533="","",INDEX('01_Rohdaten'!B2533:D2533,'02_Eingaben'!$C$13))</f>
        <v/>
      </c>
      <c r="D2533" s="27">
        <f>IF(C2533="","",C2533*'02_Eingaben'!$C$15)</f>
        <v/>
      </c>
      <c r="E2533" s="27">
        <f>IF(D2533="","",D2533*'02_Eingaben'!$C$8)</f>
        <v/>
      </c>
      <c r="F2533" s="27">
        <f>IF(E2533="","",AVERAGE(INDEX($E$2:$E$3001,MAX(1,ROW()-1-'02_Eingaben'!$C$17)):INDEX($E$2:$E$3001,MIN('02_Eingaben'!$C$21,ROW()-1+'02_Eingaben'!$C$17))))</f>
        <v/>
      </c>
      <c r="G2533" s="27">
        <f>IF(F2533="","",F2533-'02_Eingaben'!$C$10)</f>
        <v/>
      </c>
      <c r="H2533">
        <f>IF(F2533="","",IF(F2533&lt;'02_Eingaben'!$C$18*'02_Eingaben'!$C$10,1,0))</f>
        <v/>
      </c>
      <c r="I2533" s="27">
        <f>IF(OR(G2533="",G2534=""),"",(G2533+G2534)/2*(B2534-B2533))</f>
        <v/>
      </c>
      <c r="J2533" s="27">
        <f>IF(B2533="","",IF(B2532&lt;'02_Eingaben'!$C$36,0,J2532+I2532/'02_Eingaben'!$C$8))</f>
        <v/>
      </c>
    </row>
    <row r="2534">
      <c r="A2534">
        <f>IF('01_Rohdaten'!A2534="","",ROW()-1)</f>
        <v/>
      </c>
      <c r="B2534" s="27">
        <f>IF('01_Rohdaten'!A2534="","",'01_Rohdaten'!A2534)</f>
        <v/>
      </c>
      <c r="C2534" s="27">
        <f>IF(B2534="","",INDEX('01_Rohdaten'!B2534:D2534,'02_Eingaben'!$C$13))</f>
        <v/>
      </c>
      <c r="D2534" s="27">
        <f>IF(C2534="","",C2534*'02_Eingaben'!$C$15)</f>
        <v/>
      </c>
      <c r="E2534" s="27">
        <f>IF(D2534="","",D2534*'02_Eingaben'!$C$8)</f>
        <v/>
      </c>
      <c r="F2534" s="27">
        <f>IF(E2534="","",AVERAGE(INDEX($E$2:$E$3001,MAX(1,ROW()-1-'02_Eingaben'!$C$17)):INDEX($E$2:$E$3001,MIN('02_Eingaben'!$C$21,ROW()-1+'02_Eingaben'!$C$17))))</f>
        <v/>
      </c>
      <c r="G2534" s="27">
        <f>IF(F2534="","",F2534-'02_Eingaben'!$C$10)</f>
        <v/>
      </c>
      <c r="H2534">
        <f>IF(F2534="","",IF(F2534&lt;'02_Eingaben'!$C$18*'02_Eingaben'!$C$10,1,0))</f>
        <v/>
      </c>
      <c r="I2534" s="27">
        <f>IF(OR(G2534="",G2535=""),"",(G2534+G2535)/2*(B2535-B2534))</f>
        <v/>
      </c>
      <c r="J2534" s="27">
        <f>IF(B2534="","",IF(B2533&lt;'02_Eingaben'!$C$36,0,J2533+I2533/'02_Eingaben'!$C$8))</f>
        <v/>
      </c>
    </row>
    <row r="2535">
      <c r="A2535">
        <f>IF('01_Rohdaten'!A2535="","",ROW()-1)</f>
        <v/>
      </c>
      <c r="B2535" s="27">
        <f>IF('01_Rohdaten'!A2535="","",'01_Rohdaten'!A2535)</f>
        <v/>
      </c>
      <c r="C2535" s="27">
        <f>IF(B2535="","",INDEX('01_Rohdaten'!B2535:D2535,'02_Eingaben'!$C$13))</f>
        <v/>
      </c>
      <c r="D2535" s="27">
        <f>IF(C2535="","",C2535*'02_Eingaben'!$C$15)</f>
        <v/>
      </c>
      <c r="E2535" s="27">
        <f>IF(D2535="","",D2535*'02_Eingaben'!$C$8)</f>
        <v/>
      </c>
      <c r="F2535" s="27">
        <f>IF(E2535="","",AVERAGE(INDEX($E$2:$E$3001,MAX(1,ROW()-1-'02_Eingaben'!$C$17)):INDEX($E$2:$E$3001,MIN('02_Eingaben'!$C$21,ROW()-1+'02_Eingaben'!$C$17))))</f>
        <v/>
      </c>
      <c r="G2535" s="27">
        <f>IF(F2535="","",F2535-'02_Eingaben'!$C$10)</f>
        <v/>
      </c>
      <c r="H2535">
        <f>IF(F2535="","",IF(F2535&lt;'02_Eingaben'!$C$18*'02_Eingaben'!$C$10,1,0))</f>
        <v/>
      </c>
      <c r="I2535" s="27">
        <f>IF(OR(G2535="",G2536=""),"",(G2535+G2536)/2*(B2536-B2535))</f>
        <v/>
      </c>
      <c r="J2535" s="27">
        <f>IF(B2535="","",IF(B2534&lt;'02_Eingaben'!$C$36,0,J2534+I2534/'02_Eingaben'!$C$8))</f>
        <v/>
      </c>
    </row>
    <row r="2536">
      <c r="A2536">
        <f>IF('01_Rohdaten'!A2536="","",ROW()-1)</f>
        <v/>
      </c>
      <c r="B2536" s="27">
        <f>IF('01_Rohdaten'!A2536="","",'01_Rohdaten'!A2536)</f>
        <v/>
      </c>
      <c r="C2536" s="27">
        <f>IF(B2536="","",INDEX('01_Rohdaten'!B2536:D2536,'02_Eingaben'!$C$13))</f>
        <v/>
      </c>
      <c r="D2536" s="27">
        <f>IF(C2536="","",C2536*'02_Eingaben'!$C$15)</f>
        <v/>
      </c>
      <c r="E2536" s="27">
        <f>IF(D2536="","",D2536*'02_Eingaben'!$C$8)</f>
        <v/>
      </c>
      <c r="F2536" s="27">
        <f>IF(E2536="","",AVERAGE(INDEX($E$2:$E$3001,MAX(1,ROW()-1-'02_Eingaben'!$C$17)):INDEX($E$2:$E$3001,MIN('02_Eingaben'!$C$21,ROW()-1+'02_Eingaben'!$C$17))))</f>
        <v/>
      </c>
      <c r="G2536" s="27">
        <f>IF(F2536="","",F2536-'02_Eingaben'!$C$10)</f>
        <v/>
      </c>
      <c r="H2536">
        <f>IF(F2536="","",IF(F2536&lt;'02_Eingaben'!$C$18*'02_Eingaben'!$C$10,1,0))</f>
        <v/>
      </c>
      <c r="I2536" s="27">
        <f>IF(OR(G2536="",G2537=""),"",(G2536+G2537)/2*(B2537-B2536))</f>
        <v/>
      </c>
      <c r="J2536" s="27">
        <f>IF(B2536="","",IF(B2535&lt;'02_Eingaben'!$C$36,0,J2535+I2535/'02_Eingaben'!$C$8))</f>
        <v/>
      </c>
    </row>
    <row r="2537">
      <c r="A2537">
        <f>IF('01_Rohdaten'!A2537="","",ROW()-1)</f>
        <v/>
      </c>
      <c r="B2537" s="27">
        <f>IF('01_Rohdaten'!A2537="","",'01_Rohdaten'!A2537)</f>
        <v/>
      </c>
      <c r="C2537" s="27">
        <f>IF(B2537="","",INDEX('01_Rohdaten'!B2537:D2537,'02_Eingaben'!$C$13))</f>
        <v/>
      </c>
      <c r="D2537" s="27">
        <f>IF(C2537="","",C2537*'02_Eingaben'!$C$15)</f>
        <v/>
      </c>
      <c r="E2537" s="27">
        <f>IF(D2537="","",D2537*'02_Eingaben'!$C$8)</f>
        <v/>
      </c>
      <c r="F2537" s="27">
        <f>IF(E2537="","",AVERAGE(INDEX($E$2:$E$3001,MAX(1,ROW()-1-'02_Eingaben'!$C$17)):INDEX($E$2:$E$3001,MIN('02_Eingaben'!$C$21,ROW()-1+'02_Eingaben'!$C$17))))</f>
        <v/>
      </c>
      <c r="G2537" s="27">
        <f>IF(F2537="","",F2537-'02_Eingaben'!$C$10)</f>
        <v/>
      </c>
      <c r="H2537">
        <f>IF(F2537="","",IF(F2537&lt;'02_Eingaben'!$C$18*'02_Eingaben'!$C$10,1,0))</f>
        <v/>
      </c>
      <c r="I2537" s="27">
        <f>IF(OR(G2537="",G2538=""),"",(G2537+G2538)/2*(B2538-B2537))</f>
        <v/>
      </c>
      <c r="J2537" s="27">
        <f>IF(B2537="","",IF(B2536&lt;'02_Eingaben'!$C$36,0,J2536+I2536/'02_Eingaben'!$C$8))</f>
        <v/>
      </c>
    </row>
    <row r="2538">
      <c r="A2538">
        <f>IF('01_Rohdaten'!A2538="","",ROW()-1)</f>
        <v/>
      </c>
      <c r="B2538" s="27">
        <f>IF('01_Rohdaten'!A2538="","",'01_Rohdaten'!A2538)</f>
        <v/>
      </c>
      <c r="C2538" s="27">
        <f>IF(B2538="","",INDEX('01_Rohdaten'!B2538:D2538,'02_Eingaben'!$C$13))</f>
        <v/>
      </c>
      <c r="D2538" s="27">
        <f>IF(C2538="","",C2538*'02_Eingaben'!$C$15)</f>
        <v/>
      </c>
      <c r="E2538" s="27">
        <f>IF(D2538="","",D2538*'02_Eingaben'!$C$8)</f>
        <v/>
      </c>
      <c r="F2538" s="27">
        <f>IF(E2538="","",AVERAGE(INDEX($E$2:$E$3001,MAX(1,ROW()-1-'02_Eingaben'!$C$17)):INDEX($E$2:$E$3001,MIN('02_Eingaben'!$C$21,ROW()-1+'02_Eingaben'!$C$17))))</f>
        <v/>
      </c>
      <c r="G2538" s="27">
        <f>IF(F2538="","",F2538-'02_Eingaben'!$C$10)</f>
        <v/>
      </c>
      <c r="H2538">
        <f>IF(F2538="","",IF(F2538&lt;'02_Eingaben'!$C$18*'02_Eingaben'!$C$10,1,0))</f>
        <v/>
      </c>
      <c r="I2538" s="27">
        <f>IF(OR(G2538="",G2539=""),"",(G2538+G2539)/2*(B2539-B2538))</f>
        <v/>
      </c>
      <c r="J2538" s="27">
        <f>IF(B2538="","",IF(B2537&lt;'02_Eingaben'!$C$36,0,J2537+I2537/'02_Eingaben'!$C$8))</f>
        <v/>
      </c>
    </row>
    <row r="2539">
      <c r="A2539">
        <f>IF('01_Rohdaten'!A2539="","",ROW()-1)</f>
        <v/>
      </c>
      <c r="B2539" s="27">
        <f>IF('01_Rohdaten'!A2539="","",'01_Rohdaten'!A2539)</f>
        <v/>
      </c>
      <c r="C2539" s="27">
        <f>IF(B2539="","",INDEX('01_Rohdaten'!B2539:D2539,'02_Eingaben'!$C$13))</f>
        <v/>
      </c>
      <c r="D2539" s="27">
        <f>IF(C2539="","",C2539*'02_Eingaben'!$C$15)</f>
        <v/>
      </c>
      <c r="E2539" s="27">
        <f>IF(D2539="","",D2539*'02_Eingaben'!$C$8)</f>
        <v/>
      </c>
      <c r="F2539" s="27">
        <f>IF(E2539="","",AVERAGE(INDEX($E$2:$E$3001,MAX(1,ROW()-1-'02_Eingaben'!$C$17)):INDEX($E$2:$E$3001,MIN('02_Eingaben'!$C$21,ROW()-1+'02_Eingaben'!$C$17))))</f>
        <v/>
      </c>
      <c r="G2539" s="27">
        <f>IF(F2539="","",F2539-'02_Eingaben'!$C$10)</f>
        <v/>
      </c>
      <c r="H2539">
        <f>IF(F2539="","",IF(F2539&lt;'02_Eingaben'!$C$18*'02_Eingaben'!$C$10,1,0))</f>
        <v/>
      </c>
      <c r="I2539" s="27">
        <f>IF(OR(G2539="",G2540=""),"",(G2539+G2540)/2*(B2540-B2539))</f>
        <v/>
      </c>
      <c r="J2539" s="27">
        <f>IF(B2539="","",IF(B2538&lt;'02_Eingaben'!$C$36,0,J2538+I2538/'02_Eingaben'!$C$8))</f>
        <v/>
      </c>
    </row>
    <row r="2540">
      <c r="A2540">
        <f>IF('01_Rohdaten'!A2540="","",ROW()-1)</f>
        <v/>
      </c>
      <c r="B2540" s="27">
        <f>IF('01_Rohdaten'!A2540="","",'01_Rohdaten'!A2540)</f>
        <v/>
      </c>
      <c r="C2540" s="27">
        <f>IF(B2540="","",INDEX('01_Rohdaten'!B2540:D2540,'02_Eingaben'!$C$13))</f>
        <v/>
      </c>
      <c r="D2540" s="27">
        <f>IF(C2540="","",C2540*'02_Eingaben'!$C$15)</f>
        <v/>
      </c>
      <c r="E2540" s="27">
        <f>IF(D2540="","",D2540*'02_Eingaben'!$C$8)</f>
        <v/>
      </c>
      <c r="F2540" s="27">
        <f>IF(E2540="","",AVERAGE(INDEX($E$2:$E$3001,MAX(1,ROW()-1-'02_Eingaben'!$C$17)):INDEX($E$2:$E$3001,MIN('02_Eingaben'!$C$21,ROW()-1+'02_Eingaben'!$C$17))))</f>
        <v/>
      </c>
      <c r="G2540" s="27">
        <f>IF(F2540="","",F2540-'02_Eingaben'!$C$10)</f>
        <v/>
      </c>
      <c r="H2540">
        <f>IF(F2540="","",IF(F2540&lt;'02_Eingaben'!$C$18*'02_Eingaben'!$C$10,1,0))</f>
        <v/>
      </c>
      <c r="I2540" s="27">
        <f>IF(OR(G2540="",G2541=""),"",(G2540+G2541)/2*(B2541-B2540))</f>
        <v/>
      </c>
      <c r="J2540" s="27">
        <f>IF(B2540="","",IF(B2539&lt;'02_Eingaben'!$C$36,0,J2539+I2539/'02_Eingaben'!$C$8))</f>
        <v/>
      </c>
    </row>
    <row r="2541">
      <c r="A2541">
        <f>IF('01_Rohdaten'!A2541="","",ROW()-1)</f>
        <v/>
      </c>
      <c r="B2541" s="27">
        <f>IF('01_Rohdaten'!A2541="","",'01_Rohdaten'!A2541)</f>
        <v/>
      </c>
      <c r="C2541" s="27">
        <f>IF(B2541="","",INDEX('01_Rohdaten'!B2541:D2541,'02_Eingaben'!$C$13))</f>
        <v/>
      </c>
      <c r="D2541" s="27">
        <f>IF(C2541="","",C2541*'02_Eingaben'!$C$15)</f>
        <v/>
      </c>
      <c r="E2541" s="27">
        <f>IF(D2541="","",D2541*'02_Eingaben'!$C$8)</f>
        <v/>
      </c>
      <c r="F2541" s="27">
        <f>IF(E2541="","",AVERAGE(INDEX($E$2:$E$3001,MAX(1,ROW()-1-'02_Eingaben'!$C$17)):INDEX($E$2:$E$3001,MIN('02_Eingaben'!$C$21,ROW()-1+'02_Eingaben'!$C$17))))</f>
        <v/>
      </c>
      <c r="G2541" s="27">
        <f>IF(F2541="","",F2541-'02_Eingaben'!$C$10)</f>
        <v/>
      </c>
      <c r="H2541">
        <f>IF(F2541="","",IF(F2541&lt;'02_Eingaben'!$C$18*'02_Eingaben'!$C$10,1,0))</f>
        <v/>
      </c>
      <c r="I2541" s="27">
        <f>IF(OR(G2541="",G2542=""),"",(G2541+G2542)/2*(B2542-B2541))</f>
        <v/>
      </c>
      <c r="J2541" s="27">
        <f>IF(B2541="","",IF(B2540&lt;'02_Eingaben'!$C$36,0,J2540+I2540/'02_Eingaben'!$C$8))</f>
        <v/>
      </c>
    </row>
    <row r="2542">
      <c r="A2542">
        <f>IF('01_Rohdaten'!A2542="","",ROW()-1)</f>
        <v/>
      </c>
      <c r="B2542" s="27">
        <f>IF('01_Rohdaten'!A2542="","",'01_Rohdaten'!A2542)</f>
        <v/>
      </c>
      <c r="C2542" s="27">
        <f>IF(B2542="","",INDEX('01_Rohdaten'!B2542:D2542,'02_Eingaben'!$C$13))</f>
        <v/>
      </c>
      <c r="D2542" s="27">
        <f>IF(C2542="","",C2542*'02_Eingaben'!$C$15)</f>
        <v/>
      </c>
      <c r="E2542" s="27">
        <f>IF(D2542="","",D2542*'02_Eingaben'!$C$8)</f>
        <v/>
      </c>
      <c r="F2542" s="27">
        <f>IF(E2542="","",AVERAGE(INDEX($E$2:$E$3001,MAX(1,ROW()-1-'02_Eingaben'!$C$17)):INDEX($E$2:$E$3001,MIN('02_Eingaben'!$C$21,ROW()-1+'02_Eingaben'!$C$17))))</f>
        <v/>
      </c>
      <c r="G2542" s="27">
        <f>IF(F2542="","",F2542-'02_Eingaben'!$C$10)</f>
        <v/>
      </c>
      <c r="H2542">
        <f>IF(F2542="","",IF(F2542&lt;'02_Eingaben'!$C$18*'02_Eingaben'!$C$10,1,0))</f>
        <v/>
      </c>
      <c r="I2542" s="27">
        <f>IF(OR(G2542="",G2543=""),"",(G2542+G2543)/2*(B2543-B2542))</f>
        <v/>
      </c>
      <c r="J2542" s="27">
        <f>IF(B2542="","",IF(B2541&lt;'02_Eingaben'!$C$36,0,J2541+I2541/'02_Eingaben'!$C$8))</f>
        <v/>
      </c>
    </row>
    <row r="2543">
      <c r="A2543">
        <f>IF('01_Rohdaten'!A2543="","",ROW()-1)</f>
        <v/>
      </c>
      <c r="B2543" s="27">
        <f>IF('01_Rohdaten'!A2543="","",'01_Rohdaten'!A2543)</f>
        <v/>
      </c>
      <c r="C2543" s="27">
        <f>IF(B2543="","",INDEX('01_Rohdaten'!B2543:D2543,'02_Eingaben'!$C$13))</f>
        <v/>
      </c>
      <c r="D2543" s="27">
        <f>IF(C2543="","",C2543*'02_Eingaben'!$C$15)</f>
        <v/>
      </c>
      <c r="E2543" s="27">
        <f>IF(D2543="","",D2543*'02_Eingaben'!$C$8)</f>
        <v/>
      </c>
      <c r="F2543" s="27">
        <f>IF(E2543="","",AVERAGE(INDEX($E$2:$E$3001,MAX(1,ROW()-1-'02_Eingaben'!$C$17)):INDEX($E$2:$E$3001,MIN('02_Eingaben'!$C$21,ROW()-1+'02_Eingaben'!$C$17))))</f>
        <v/>
      </c>
      <c r="G2543" s="27">
        <f>IF(F2543="","",F2543-'02_Eingaben'!$C$10)</f>
        <v/>
      </c>
      <c r="H2543">
        <f>IF(F2543="","",IF(F2543&lt;'02_Eingaben'!$C$18*'02_Eingaben'!$C$10,1,0))</f>
        <v/>
      </c>
      <c r="I2543" s="27">
        <f>IF(OR(G2543="",G2544=""),"",(G2543+G2544)/2*(B2544-B2543))</f>
        <v/>
      </c>
      <c r="J2543" s="27">
        <f>IF(B2543="","",IF(B2542&lt;'02_Eingaben'!$C$36,0,J2542+I2542/'02_Eingaben'!$C$8))</f>
        <v/>
      </c>
    </row>
    <row r="2544">
      <c r="A2544">
        <f>IF('01_Rohdaten'!A2544="","",ROW()-1)</f>
        <v/>
      </c>
      <c r="B2544" s="27">
        <f>IF('01_Rohdaten'!A2544="","",'01_Rohdaten'!A2544)</f>
        <v/>
      </c>
      <c r="C2544" s="27">
        <f>IF(B2544="","",INDEX('01_Rohdaten'!B2544:D2544,'02_Eingaben'!$C$13))</f>
        <v/>
      </c>
      <c r="D2544" s="27">
        <f>IF(C2544="","",C2544*'02_Eingaben'!$C$15)</f>
        <v/>
      </c>
      <c r="E2544" s="27">
        <f>IF(D2544="","",D2544*'02_Eingaben'!$C$8)</f>
        <v/>
      </c>
      <c r="F2544" s="27">
        <f>IF(E2544="","",AVERAGE(INDEX($E$2:$E$3001,MAX(1,ROW()-1-'02_Eingaben'!$C$17)):INDEX($E$2:$E$3001,MIN('02_Eingaben'!$C$21,ROW()-1+'02_Eingaben'!$C$17))))</f>
        <v/>
      </c>
      <c r="G2544" s="27">
        <f>IF(F2544="","",F2544-'02_Eingaben'!$C$10)</f>
        <v/>
      </c>
      <c r="H2544">
        <f>IF(F2544="","",IF(F2544&lt;'02_Eingaben'!$C$18*'02_Eingaben'!$C$10,1,0))</f>
        <v/>
      </c>
      <c r="I2544" s="27">
        <f>IF(OR(G2544="",G2545=""),"",(G2544+G2545)/2*(B2545-B2544))</f>
        <v/>
      </c>
      <c r="J2544" s="27">
        <f>IF(B2544="","",IF(B2543&lt;'02_Eingaben'!$C$36,0,J2543+I2543/'02_Eingaben'!$C$8))</f>
        <v/>
      </c>
    </row>
    <row r="2545">
      <c r="A2545">
        <f>IF('01_Rohdaten'!A2545="","",ROW()-1)</f>
        <v/>
      </c>
      <c r="B2545" s="27">
        <f>IF('01_Rohdaten'!A2545="","",'01_Rohdaten'!A2545)</f>
        <v/>
      </c>
      <c r="C2545" s="27">
        <f>IF(B2545="","",INDEX('01_Rohdaten'!B2545:D2545,'02_Eingaben'!$C$13))</f>
        <v/>
      </c>
      <c r="D2545" s="27">
        <f>IF(C2545="","",C2545*'02_Eingaben'!$C$15)</f>
        <v/>
      </c>
      <c r="E2545" s="27">
        <f>IF(D2545="","",D2545*'02_Eingaben'!$C$8)</f>
        <v/>
      </c>
      <c r="F2545" s="27">
        <f>IF(E2545="","",AVERAGE(INDEX($E$2:$E$3001,MAX(1,ROW()-1-'02_Eingaben'!$C$17)):INDEX($E$2:$E$3001,MIN('02_Eingaben'!$C$21,ROW()-1+'02_Eingaben'!$C$17))))</f>
        <v/>
      </c>
      <c r="G2545" s="27">
        <f>IF(F2545="","",F2545-'02_Eingaben'!$C$10)</f>
        <v/>
      </c>
      <c r="H2545">
        <f>IF(F2545="","",IF(F2545&lt;'02_Eingaben'!$C$18*'02_Eingaben'!$C$10,1,0))</f>
        <v/>
      </c>
      <c r="I2545" s="27">
        <f>IF(OR(G2545="",G2546=""),"",(G2545+G2546)/2*(B2546-B2545))</f>
        <v/>
      </c>
      <c r="J2545" s="27">
        <f>IF(B2545="","",IF(B2544&lt;'02_Eingaben'!$C$36,0,J2544+I2544/'02_Eingaben'!$C$8))</f>
        <v/>
      </c>
    </row>
    <row r="2546">
      <c r="A2546">
        <f>IF('01_Rohdaten'!A2546="","",ROW()-1)</f>
        <v/>
      </c>
      <c r="B2546" s="27">
        <f>IF('01_Rohdaten'!A2546="","",'01_Rohdaten'!A2546)</f>
        <v/>
      </c>
      <c r="C2546" s="27">
        <f>IF(B2546="","",INDEX('01_Rohdaten'!B2546:D2546,'02_Eingaben'!$C$13))</f>
        <v/>
      </c>
      <c r="D2546" s="27">
        <f>IF(C2546="","",C2546*'02_Eingaben'!$C$15)</f>
        <v/>
      </c>
      <c r="E2546" s="27">
        <f>IF(D2546="","",D2546*'02_Eingaben'!$C$8)</f>
        <v/>
      </c>
      <c r="F2546" s="27">
        <f>IF(E2546="","",AVERAGE(INDEX($E$2:$E$3001,MAX(1,ROW()-1-'02_Eingaben'!$C$17)):INDEX($E$2:$E$3001,MIN('02_Eingaben'!$C$21,ROW()-1+'02_Eingaben'!$C$17))))</f>
        <v/>
      </c>
      <c r="G2546" s="27">
        <f>IF(F2546="","",F2546-'02_Eingaben'!$C$10)</f>
        <v/>
      </c>
      <c r="H2546">
        <f>IF(F2546="","",IF(F2546&lt;'02_Eingaben'!$C$18*'02_Eingaben'!$C$10,1,0))</f>
        <v/>
      </c>
      <c r="I2546" s="27">
        <f>IF(OR(G2546="",G2547=""),"",(G2546+G2547)/2*(B2547-B2546))</f>
        <v/>
      </c>
      <c r="J2546" s="27">
        <f>IF(B2546="","",IF(B2545&lt;'02_Eingaben'!$C$36,0,J2545+I2545/'02_Eingaben'!$C$8))</f>
        <v/>
      </c>
    </row>
    <row r="2547">
      <c r="A2547">
        <f>IF('01_Rohdaten'!A2547="","",ROW()-1)</f>
        <v/>
      </c>
      <c r="B2547" s="27">
        <f>IF('01_Rohdaten'!A2547="","",'01_Rohdaten'!A2547)</f>
        <v/>
      </c>
      <c r="C2547" s="27">
        <f>IF(B2547="","",INDEX('01_Rohdaten'!B2547:D2547,'02_Eingaben'!$C$13))</f>
        <v/>
      </c>
      <c r="D2547" s="27">
        <f>IF(C2547="","",C2547*'02_Eingaben'!$C$15)</f>
        <v/>
      </c>
      <c r="E2547" s="27">
        <f>IF(D2547="","",D2547*'02_Eingaben'!$C$8)</f>
        <v/>
      </c>
      <c r="F2547" s="27">
        <f>IF(E2547="","",AVERAGE(INDEX($E$2:$E$3001,MAX(1,ROW()-1-'02_Eingaben'!$C$17)):INDEX($E$2:$E$3001,MIN('02_Eingaben'!$C$21,ROW()-1+'02_Eingaben'!$C$17))))</f>
        <v/>
      </c>
      <c r="G2547" s="27">
        <f>IF(F2547="","",F2547-'02_Eingaben'!$C$10)</f>
        <v/>
      </c>
      <c r="H2547">
        <f>IF(F2547="","",IF(F2547&lt;'02_Eingaben'!$C$18*'02_Eingaben'!$C$10,1,0))</f>
        <v/>
      </c>
      <c r="I2547" s="27">
        <f>IF(OR(G2547="",G2548=""),"",(G2547+G2548)/2*(B2548-B2547))</f>
        <v/>
      </c>
      <c r="J2547" s="27">
        <f>IF(B2547="","",IF(B2546&lt;'02_Eingaben'!$C$36,0,J2546+I2546/'02_Eingaben'!$C$8))</f>
        <v/>
      </c>
    </row>
    <row r="2548">
      <c r="A2548">
        <f>IF('01_Rohdaten'!A2548="","",ROW()-1)</f>
        <v/>
      </c>
      <c r="B2548" s="27">
        <f>IF('01_Rohdaten'!A2548="","",'01_Rohdaten'!A2548)</f>
        <v/>
      </c>
      <c r="C2548" s="27">
        <f>IF(B2548="","",INDEX('01_Rohdaten'!B2548:D2548,'02_Eingaben'!$C$13))</f>
        <v/>
      </c>
      <c r="D2548" s="27">
        <f>IF(C2548="","",C2548*'02_Eingaben'!$C$15)</f>
        <v/>
      </c>
      <c r="E2548" s="27">
        <f>IF(D2548="","",D2548*'02_Eingaben'!$C$8)</f>
        <v/>
      </c>
      <c r="F2548" s="27">
        <f>IF(E2548="","",AVERAGE(INDEX($E$2:$E$3001,MAX(1,ROW()-1-'02_Eingaben'!$C$17)):INDEX($E$2:$E$3001,MIN('02_Eingaben'!$C$21,ROW()-1+'02_Eingaben'!$C$17))))</f>
        <v/>
      </c>
      <c r="G2548" s="27">
        <f>IF(F2548="","",F2548-'02_Eingaben'!$C$10)</f>
        <v/>
      </c>
      <c r="H2548">
        <f>IF(F2548="","",IF(F2548&lt;'02_Eingaben'!$C$18*'02_Eingaben'!$C$10,1,0))</f>
        <v/>
      </c>
      <c r="I2548" s="27">
        <f>IF(OR(G2548="",G2549=""),"",(G2548+G2549)/2*(B2549-B2548))</f>
        <v/>
      </c>
      <c r="J2548" s="27">
        <f>IF(B2548="","",IF(B2547&lt;'02_Eingaben'!$C$36,0,J2547+I2547/'02_Eingaben'!$C$8))</f>
        <v/>
      </c>
    </row>
    <row r="2549">
      <c r="A2549">
        <f>IF('01_Rohdaten'!A2549="","",ROW()-1)</f>
        <v/>
      </c>
      <c r="B2549" s="27">
        <f>IF('01_Rohdaten'!A2549="","",'01_Rohdaten'!A2549)</f>
        <v/>
      </c>
      <c r="C2549" s="27">
        <f>IF(B2549="","",INDEX('01_Rohdaten'!B2549:D2549,'02_Eingaben'!$C$13))</f>
        <v/>
      </c>
      <c r="D2549" s="27">
        <f>IF(C2549="","",C2549*'02_Eingaben'!$C$15)</f>
        <v/>
      </c>
      <c r="E2549" s="27">
        <f>IF(D2549="","",D2549*'02_Eingaben'!$C$8)</f>
        <v/>
      </c>
      <c r="F2549" s="27">
        <f>IF(E2549="","",AVERAGE(INDEX($E$2:$E$3001,MAX(1,ROW()-1-'02_Eingaben'!$C$17)):INDEX($E$2:$E$3001,MIN('02_Eingaben'!$C$21,ROW()-1+'02_Eingaben'!$C$17))))</f>
        <v/>
      </c>
      <c r="G2549" s="27">
        <f>IF(F2549="","",F2549-'02_Eingaben'!$C$10)</f>
        <v/>
      </c>
      <c r="H2549">
        <f>IF(F2549="","",IF(F2549&lt;'02_Eingaben'!$C$18*'02_Eingaben'!$C$10,1,0))</f>
        <v/>
      </c>
      <c r="I2549" s="27">
        <f>IF(OR(G2549="",G2550=""),"",(G2549+G2550)/2*(B2550-B2549))</f>
        <v/>
      </c>
      <c r="J2549" s="27">
        <f>IF(B2549="","",IF(B2548&lt;'02_Eingaben'!$C$36,0,J2548+I2548/'02_Eingaben'!$C$8))</f>
        <v/>
      </c>
    </row>
    <row r="2550">
      <c r="A2550">
        <f>IF('01_Rohdaten'!A2550="","",ROW()-1)</f>
        <v/>
      </c>
      <c r="B2550" s="27">
        <f>IF('01_Rohdaten'!A2550="","",'01_Rohdaten'!A2550)</f>
        <v/>
      </c>
      <c r="C2550" s="27">
        <f>IF(B2550="","",INDEX('01_Rohdaten'!B2550:D2550,'02_Eingaben'!$C$13))</f>
        <v/>
      </c>
      <c r="D2550" s="27">
        <f>IF(C2550="","",C2550*'02_Eingaben'!$C$15)</f>
        <v/>
      </c>
      <c r="E2550" s="27">
        <f>IF(D2550="","",D2550*'02_Eingaben'!$C$8)</f>
        <v/>
      </c>
      <c r="F2550" s="27">
        <f>IF(E2550="","",AVERAGE(INDEX($E$2:$E$3001,MAX(1,ROW()-1-'02_Eingaben'!$C$17)):INDEX($E$2:$E$3001,MIN('02_Eingaben'!$C$21,ROW()-1+'02_Eingaben'!$C$17))))</f>
        <v/>
      </c>
      <c r="G2550" s="27">
        <f>IF(F2550="","",F2550-'02_Eingaben'!$C$10)</f>
        <v/>
      </c>
      <c r="H2550">
        <f>IF(F2550="","",IF(F2550&lt;'02_Eingaben'!$C$18*'02_Eingaben'!$C$10,1,0))</f>
        <v/>
      </c>
      <c r="I2550" s="27">
        <f>IF(OR(G2550="",G2551=""),"",(G2550+G2551)/2*(B2551-B2550))</f>
        <v/>
      </c>
      <c r="J2550" s="27">
        <f>IF(B2550="","",IF(B2549&lt;'02_Eingaben'!$C$36,0,J2549+I2549/'02_Eingaben'!$C$8))</f>
        <v/>
      </c>
    </row>
    <row r="2551">
      <c r="A2551">
        <f>IF('01_Rohdaten'!A2551="","",ROW()-1)</f>
        <v/>
      </c>
      <c r="B2551" s="27">
        <f>IF('01_Rohdaten'!A2551="","",'01_Rohdaten'!A2551)</f>
        <v/>
      </c>
      <c r="C2551" s="27">
        <f>IF(B2551="","",INDEX('01_Rohdaten'!B2551:D2551,'02_Eingaben'!$C$13))</f>
        <v/>
      </c>
      <c r="D2551" s="27">
        <f>IF(C2551="","",C2551*'02_Eingaben'!$C$15)</f>
        <v/>
      </c>
      <c r="E2551" s="27">
        <f>IF(D2551="","",D2551*'02_Eingaben'!$C$8)</f>
        <v/>
      </c>
      <c r="F2551" s="27">
        <f>IF(E2551="","",AVERAGE(INDEX($E$2:$E$3001,MAX(1,ROW()-1-'02_Eingaben'!$C$17)):INDEX($E$2:$E$3001,MIN('02_Eingaben'!$C$21,ROW()-1+'02_Eingaben'!$C$17))))</f>
        <v/>
      </c>
      <c r="G2551" s="27">
        <f>IF(F2551="","",F2551-'02_Eingaben'!$C$10)</f>
        <v/>
      </c>
      <c r="H2551">
        <f>IF(F2551="","",IF(F2551&lt;'02_Eingaben'!$C$18*'02_Eingaben'!$C$10,1,0))</f>
        <v/>
      </c>
      <c r="I2551" s="27">
        <f>IF(OR(G2551="",G2552=""),"",(G2551+G2552)/2*(B2552-B2551))</f>
        <v/>
      </c>
      <c r="J2551" s="27">
        <f>IF(B2551="","",IF(B2550&lt;'02_Eingaben'!$C$36,0,J2550+I2550/'02_Eingaben'!$C$8))</f>
        <v/>
      </c>
    </row>
    <row r="2552">
      <c r="A2552">
        <f>IF('01_Rohdaten'!A2552="","",ROW()-1)</f>
        <v/>
      </c>
      <c r="B2552" s="27">
        <f>IF('01_Rohdaten'!A2552="","",'01_Rohdaten'!A2552)</f>
        <v/>
      </c>
      <c r="C2552" s="27">
        <f>IF(B2552="","",INDEX('01_Rohdaten'!B2552:D2552,'02_Eingaben'!$C$13))</f>
        <v/>
      </c>
      <c r="D2552" s="27">
        <f>IF(C2552="","",C2552*'02_Eingaben'!$C$15)</f>
        <v/>
      </c>
      <c r="E2552" s="27">
        <f>IF(D2552="","",D2552*'02_Eingaben'!$C$8)</f>
        <v/>
      </c>
      <c r="F2552" s="27">
        <f>IF(E2552="","",AVERAGE(INDEX($E$2:$E$3001,MAX(1,ROW()-1-'02_Eingaben'!$C$17)):INDEX($E$2:$E$3001,MIN('02_Eingaben'!$C$21,ROW()-1+'02_Eingaben'!$C$17))))</f>
        <v/>
      </c>
      <c r="G2552" s="27">
        <f>IF(F2552="","",F2552-'02_Eingaben'!$C$10)</f>
        <v/>
      </c>
      <c r="H2552">
        <f>IF(F2552="","",IF(F2552&lt;'02_Eingaben'!$C$18*'02_Eingaben'!$C$10,1,0))</f>
        <v/>
      </c>
      <c r="I2552" s="27">
        <f>IF(OR(G2552="",G2553=""),"",(G2552+G2553)/2*(B2553-B2552))</f>
        <v/>
      </c>
      <c r="J2552" s="27">
        <f>IF(B2552="","",IF(B2551&lt;'02_Eingaben'!$C$36,0,J2551+I2551/'02_Eingaben'!$C$8))</f>
        <v/>
      </c>
    </row>
    <row r="2553">
      <c r="A2553">
        <f>IF('01_Rohdaten'!A2553="","",ROW()-1)</f>
        <v/>
      </c>
      <c r="B2553" s="27">
        <f>IF('01_Rohdaten'!A2553="","",'01_Rohdaten'!A2553)</f>
        <v/>
      </c>
      <c r="C2553" s="27">
        <f>IF(B2553="","",INDEX('01_Rohdaten'!B2553:D2553,'02_Eingaben'!$C$13))</f>
        <v/>
      </c>
      <c r="D2553" s="27">
        <f>IF(C2553="","",C2553*'02_Eingaben'!$C$15)</f>
        <v/>
      </c>
      <c r="E2553" s="27">
        <f>IF(D2553="","",D2553*'02_Eingaben'!$C$8)</f>
        <v/>
      </c>
      <c r="F2553" s="27">
        <f>IF(E2553="","",AVERAGE(INDEX($E$2:$E$3001,MAX(1,ROW()-1-'02_Eingaben'!$C$17)):INDEX($E$2:$E$3001,MIN('02_Eingaben'!$C$21,ROW()-1+'02_Eingaben'!$C$17))))</f>
        <v/>
      </c>
      <c r="G2553" s="27">
        <f>IF(F2553="","",F2553-'02_Eingaben'!$C$10)</f>
        <v/>
      </c>
      <c r="H2553">
        <f>IF(F2553="","",IF(F2553&lt;'02_Eingaben'!$C$18*'02_Eingaben'!$C$10,1,0))</f>
        <v/>
      </c>
      <c r="I2553" s="27">
        <f>IF(OR(G2553="",G2554=""),"",(G2553+G2554)/2*(B2554-B2553))</f>
        <v/>
      </c>
      <c r="J2553" s="27">
        <f>IF(B2553="","",IF(B2552&lt;'02_Eingaben'!$C$36,0,J2552+I2552/'02_Eingaben'!$C$8))</f>
        <v/>
      </c>
    </row>
    <row r="2554">
      <c r="A2554">
        <f>IF('01_Rohdaten'!A2554="","",ROW()-1)</f>
        <v/>
      </c>
      <c r="B2554" s="27">
        <f>IF('01_Rohdaten'!A2554="","",'01_Rohdaten'!A2554)</f>
        <v/>
      </c>
      <c r="C2554" s="27">
        <f>IF(B2554="","",INDEX('01_Rohdaten'!B2554:D2554,'02_Eingaben'!$C$13))</f>
        <v/>
      </c>
      <c r="D2554" s="27">
        <f>IF(C2554="","",C2554*'02_Eingaben'!$C$15)</f>
        <v/>
      </c>
      <c r="E2554" s="27">
        <f>IF(D2554="","",D2554*'02_Eingaben'!$C$8)</f>
        <v/>
      </c>
      <c r="F2554" s="27">
        <f>IF(E2554="","",AVERAGE(INDEX($E$2:$E$3001,MAX(1,ROW()-1-'02_Eingaben'!$C$17)):INDEX($E$2:$E$3001,MIN('02_Eingaben'!$C$21,ROW()-1+'02_Eingaben'!$C$17))))</f>
        <v/>
      </c>
      <c r="G2554" s="27">
        <f>IF(F2554="","",F2554-'02_Eingaben'!$C$10)</f>
        <v/>
      </c>
      <c r="H2554">
        <f>IF(F2554="","",IF(F2554&lt;'02_Eingaben'!$C$18*'02_Eingaben'!$C$10,1,0))</f>
        <v/>
      </c>
      <c r="I2554" s="27">
        <f>IF(OR(G2554="",G2555=""),"",(G2554+G2555)/2*(B2555-B2554))</f>
        <v/>
      </c>
      <c r="J2554" s="27">
        <f>IF(B2554="","",IF(B2553&lt;'02_Eingaben'!$C$36,0,J2553+I2553/'02_Eingaben'!$C$8))</f>
        <v/>
      </c>
    </row>
    <row r="2555">
      <c r="A2555">
        <f>IF('01_Rohdaten'!A2555="","",ROW()-1)</f>
        <v/>
      </c>
      <c r="B2555" s="27">
        <f>IF('01_Rohdaten'!A2555="","",'01_Rohdaten'!A2555)</f>
        <v/>
      </c>
      <c r="C2555" s="27">
        <f>IF(B2555="","",INDEX('01_Rohdaten'!B2555:D2555,'02_Eingaben'!$C$13))</f>
        <v/>
      </c>
      <c r="D2555" s="27">
        <f>IF(C2555="","",C2555*'02_Eingaben'!$C$15)</f>
        <v/>
      </c>
      <c r="E2555" s="27">
        <f>IF(D2555="","",D2555*'02_Eingaben'!$C$8)</f>
        <v/>
      </c>
      <c r="F2555" s="27">
        <f>IF(E2555="","",AVERAGE(INDEX($E$2:$E$3001,MAX(1,ROW()-1-'02_Eingaben'!$C$17)):INDEX($E$2:$E$3001,MIN('02_Eingaben'!$C$21,ROW()-1+'02_Eingaben'!$C$17))))</f>
        <v/>
      </c>
      <c r="G2555" s="27">
        <f>IF(F2555="","",F2555-'02_Eingaben'!$C$10)</f>
        <v/>
      </c>
      <c r="H2555">
        <f>IF(F2555="","",IF(F2555&lt;'02_Eingaben'!$C$18*'02_Eingaben'!$C$10,1,0))</f>
        <v/>
      </c>
      <c r="I2555" s="27">
        <f>IF(OR(G2555="",G2556=""),"",(G2555+G2556)/2*(B2556-B2555))</f>
        <v/>
      </c>
      <c r="J2555" s="27">
        <f>IF(B2555="","",IF(B2554&lt;'02_Eingaben'!$C$36,0,J2554+I2554/'02_Eingaben'!$C$8))</f>
        <v/>
      </c>
    </row>
    <row r="2556">
      <c r="A2556">
        <f>IF('01_Rohdaten'!A2556="","",ROW()-1)</f>
        <v/>
      </c>
      <c r="B2556" s="27">
        <f>IF('01_Rohdaten'!A2556="","",'01_Rohdaten'!A2556)</f>
        <v/>
      </c>
      <c r="C2556" s="27">
        <f>IF(B2556="","",INDEX('01_Rohdaten'!B2556:D2556,'02_Eingaben'!$C$13))</f>
        <v/>
      </c>
      <c r="D2556" s="27">
        <f>IF(C2556="","",C2556*'02_Eingaben'!$C$15)</f>
        <v/>
      </c>
      <c r="E2556" s="27">
        <f>IF(D2556="","",D2556*'02_Eingaben'!$C$8)</f>
        <v/>
      </c>
      <c r="F2556" s="27">
        <f>IF(E2556="","",AVERAGE(INDEX($E$2:$E$3001,MAX(1,ROW()-1-'02_Eingaben'!$C$17)):INDEX($E$2:$E$3001,MIN('02_Eingaben'!$C$21,ROW()-1+'02_Eingaben'!$C$17))))</f>
        <v/>
      </c>
      <c r="G2556" s="27">
        <f>IF(F2556="","",F2556-'02_Eingaben'!$C$10)</f>
        <v/>
      </c>
      <c r="H2556">
        <f>IF(F2556="","",IF(F2556&lt;'02_Eingaben'!$C$18*'02_Eingaben'!$C$10,1,0))</f>
        <v/>
      </c>
      <c r="I2556" s="27">
        <f>IF(OR(G2556="",G2557=""),"",(G2556+G2557)/2*(B2557-B2556))</f>
        <v/>
      </c>
      <c r="J2556" s="27">
        <f>IF(B2556="","",IF(B2555&lt;'02_Eingaben'!$C$36,0,J2555+I2555/'02_Eingaben'!$C$8))</f>
        <v/>
      </c>
    </row>
    <row r="2557">
      <c r="A2557">
        <f>IF('01_Rohdaten'!A2557="","",ROW()-1)</f>
        <v/>
      </c>
      <c r="B2557" s="27">
        <f>IF('01_Rohdaten'!A2557="","",'01_Rohdaten'!A2557)</f>
        <v/>
      </c>
      <c r="C2557" s="27">
        <f>IF(B2557="","",INDEX('01_Rohdaten'!B2557:D2557,'02_Eingaben'!$C$13))</f>
        <v/>
      </c>
      <c r="D2557" s="27">
        <f>IF(C2557="","",C2557*'02_Eingaben'!$C$15)</f>
        <v/>
      </c>
      <c r="E2557" s="27">
        <f>IF(D2557="","",D2557*'02_Eingaben'!$C$8)</f>
        <v/>
      </c>
      <c r="F2557" s="27">
        <f>IF(E2557="","",AVERAGE(INDEX($E$2:$E$3001,MAX(1,ROW()-1-'02_Eingaben'!$C$17)):INDEX($E$2:$E$3001,MIN('02_Eingaben'!$C$21,ROW()-1+'02_Eingaben'!$C$17))))</f>
        <v/>
      </c>
      <c r="G2557" s="27">
        <f>IF(F2557="","",F2557-'02_Eingaben'!$C$10)</f>
        <v/>
      </c>
      <c r="H2557">
        <f>IF(F2557="","",IF(F2557&lt;'02_Eingaben'!$C$18*'02_Eingaben'!$C$10,1,0))</f>
        <v/>
      </c>
      <c r="I2557" s="27">
        <f>IF(OR(G2557="",G2558=""),"",(G2557+G2558)/2*(B2558-B2557))</f>
        <v/>
      </c>
      <c r="J2557" s="27">
        <f>IF(B2557="","",IF(B2556&lt;'02_Eingaben'!$C$36,0,J2556+I2556/'02_Eingaben'!$C$8))</f>
        <v/>
      </c>
    </row>
    <row r="2558">
      <c r="A2558">
        <f>IF('01_Rohdaten'!A2558="","",ROW()-1)</f>
        <v/>
      </c>
      <c r="B2558" s="27">
        <f>IF('01_Rohdaten'!A2558="","",'01_Rohdaten'!A2558)</f>
        <v/>
      </c>
      <c r="C2558" s="27">
        <f>IF(B2558="","",INDEX('01_Rohdaten'!B2558:D2558,'02_Eingaben'!$C$13))</f>
        <v/>
      </c>
      <c r="D2558" s="27">
        <f>IF(C2558="","",C2558*'02_Eingaben'!$C$15)</f>
        <v/>
      </c>
      <c r="E2558" s="27">
        <f>IF(D2558="","",D2558*'02_Eingaben'!$C$8)</f>
        <v/>
      </c>
      <c r="F2558" s="27">
        <f>IF(E2558="","",AVERAGE(INDEX($E$2:$E$3001,MAX(1,ROW()-1-'02_Eingaben'!$C$17)):INDEX($E$2:$E$3001,MIN('02_Eingaben'!$C$21,ROW()-1+'02_Eingaben'!$C$17))))</f>
        <v/>
      </c>
      <c r="G2558" s="27">
        <f>IF(F2558="","",F2558-'02_Eingaben'!$C$10)</f>
        <v/>
      </c>
      <c r="H2558">
        <f>IF(F2558="","",IF(F2558&lt;'02_Eingaben'!$C$18*'02_Eingaben'!$C$10,1,0))</f>
        <v/>
      </c>
      <c r="I2558" s="27">
        <f>IF(OR(G2558="",G2559=""),"",(G2558+G2559)/2*(B2559-B2558))</f>
        <v/>
      </c>
      <c r="J2558" s="27">
        <f>IF(B2558="","",IF(B2557&lt;'02_Eingaben'!$C$36,0,J2557+I2557/'02_Eingaben'!$C$8))</f>
        <v/>
      </c>
    </row>
    <row r="2559">
      <c r="A2559">
        <f>IF('01_Rohdaten'!A2559="","",ROW()-1)</f>
        <v/>
      </c>
      <c r="B2559" s="27">
        <f>IF('01_Rohdaten'!A2559="","",'01_Rohdaten'!A2559)</f>
        <v/>
      </c>
      <c r="C2559" s="27">
        <f>IF(B2559="","",INDEX('01_Rohdaten'!B2559:D2559,'02_Eingaben'!$C$13))</f>
        <v/>
      </c>
      <c r="D2559" s="27">
        <f>IF(C2559="","",C2559*'02_Eingaben'!$C$15)</f>
        <v/>
      </c>
      <c r="E2559" s="27">
        <f>IF(D2559="","",D2559*'02_Eingaben'!$C$8)</f>
        <v/>
      </c>
      <c r="F2559" s="27">
        <f>IF(E2559="","",AVERAGE(INDEX($E$2:$E$3001,MAX(1,ROW()-1-'02_Eingaben'!$C$17)):INDEX($E$2:$E$3001,MIN('02_Eingaben'!$C$21,ROW()-1+'02_Eingaben'!$C$17))))</f>
        <v/>
      </c>
      <c r="G2559" s="27">
        <f>IF(F2559="","",F2559-'02_Eingaben'!$C$10)</f>
        <v/>
      </c>
      <c r="H2559">
        <f>IF(F2559="","",IF(F2559&lt;'02_Eingaben'!$C$18*'02_Eingaben'!$C$10,1,0))</f>
        <v/>
      </c>
      <c r="I2559" s="27">
        <f>IF(OR(G2559="",G2560=""),"",(G2559+G2560)/2*(B2560-B2559))</f>
        <v/>
      </c>
      <c r="J2559" s="27">
        <f>IF(B2559="","",IF(B2558&lt;'02_Eingaben'!$C$36,0,J2558+I2558/'02_Eingaben'!$C$8))</f>
        <v/>
      </c>
    </row>
    <row r="2560">
      <c r="A2560">
        <f>IF('01_Rohdaten'!A2560="","",ROW()-1)</f>
        <v/>
      </c>
      <c r="B2560" s="27">
        <f>IF('01_Rohdaten'!A2560="","",'01_Rohdaten'!A2560)</f>
        <v/>
      </c>
      <c r="C2560" s="27">
        <f>IF(B2560="","",INDEX('01_Rohdaten'!B2560:D2560,'02_Eingaben'!$C$13))</f>
        <v/>
      </c>
      <c r="D2560" s="27">
        <f>IF(C2560="","",C2560*'02_Eingaben'!$C$15)</f>
        <v/>
      </c>
      <c r="E2560" s="27">
        <f>IF(D2560="","",D2560*'02_Eingaben'!$C$8)</f>
        <v/>
      </c>
      <c r="F2560" s="27">
        <f>IF(E2560="","",AVERAGE(INDEX($E$2:$E$3001,MAX(1,ROW()-1-'02_Eingaben'!$C$17)):INDEX($E$2:$E$3001,MIN('02_Eingaben'!$C$21,ROW()-1+'02_Eingaben'!$C$17))))</f>
        <v/>
      </c>
      <c r="G2560" s="27">
        <f>IF(F2560="","",F2560-'02_Eingaben'!$C$10)</f>
        <v/>
      </c>
      <c r="H2560">
        <f>IF(F2560="","",IF(F2560&lt;'02_Eingaben'!$C$18*'02_Eingaben'!$C$10,1,0))</f>
        <v/>
      </c>
      <c r="I2560" s="27">
        <f>IF(OR(G2560="",G2561=""),"",(G2560+G2561)/2*(B2561-B2560))</f>
        <v/>
      </c>
      <c r="J2560" s="27">
        <f>IF(B2560="","",IF(B2559&lt;'02_Eingaben'!$C$36,0,J2559+I2559/'02_Eingaben'!$C$8))</f>
        <v/>
      </c>
    </row>
    <row r="2561">
      <c r="A2561">
        <f>IF('01_Rohdaten'!A2561="","",ROW()-1)</f>
        <v/>
      </c>
      <c r="B2561" s="27">
        <f>IF('01_Rohdaten'!A2561="","",'01_Rohdaten'!A2561)</f>
        <v/>
      </c>
      <c r="C2561" s="27">
        <f>IF(B2561="","",INDEX('01_Rohdaten'!B2561:D2561,'02_Eingaben'!$C$13))</f>
        <v/>
      </c>
      <c r="D2561" s="27">
        <f>IF(C2561="","",C2561*'02_Eingaben'!$C$15)</f>
        <v/>
      </c>
      <c r="E2561" s="27">
        <f>IF(D2561="","",D2561*'02_Eingaben'!$C$8)</f>
        <v/>
      </c>
      <c r="F2561" s="27">
        <f>IF(E2561="","",AVERAGE(INDEX($E$2:$E$3001,MAX(1,ROW()-1-'02_Eingaben'!$C$17)):INDEX($E$2:$E$3001,MIN('02_Eingaben'!$C$21,ROW()-1+'02_Eingaben'!$C$17))))</f>
        <v/>
      </c>
      <c r="G2561" s="27">
        <f>IF(F2561="","",F2561-'02_Eingaben'!$C$10)</f>
        <v/>
      </c>
      <c r="H2561">
        <f>IF(F2561="","",IF(F2561&lt;'02_Eingaben'!$C$18*'02_Eingaben'!$C$10,1,0))</f>
        <v/>
      </c>
      <c r="I2561" s="27">
        <f>IF(OR(G2561="",G2562=""),"",(G2561+G2562)/2*(B2562-B2561))</f>
        <v/>
      </c>
      <c r="J2561" s="27">
        <f>IF(B2561="","",IF(B2560&lt;'02_Eingaben'!$C$36,0,J2560+I2560/'02_Eingaben'!$C$8))</f>
        <v/>
      </c>
    </row>
    <row r="2562">
      <c r="A2562">
        <f>IF('01_Rohdaten'!A2562="","",ROW()-1)</f>
        <v/>
      </c>
      <c r="B2562" s="27">
        <f>IF('01_Rohdaten'!A2562="","",'01_Rohdaten'!A2562)</f>
        <v/>
      </c>
      <c r="C2562" s="27">
        <f>IF(B2562="","",INDEX('01_Rohdaten'!B2562:D2562,'02_Eingaben'!$C$13))</f>
        <v/>
      </c>
      <c r="D2562" s="27">
        <f>IF(C2562="","",C2562*'02_Eingaben'!$C$15)</f>
        <v/>
      </c>
      <c r="E2562" s="27">
        <f>IF(D2562="","",D2562*'02_Eingaben'!$C$8)</f>
        <v/>
      </c>
      <c r="F2562" s="27">
        <f>IF(E2562="","",AVERAGE(INDEX($E$2:$E$3001,MAX(1,ROW()-1-'02_Eingaben'!$C$17)):INDEX($E$2:$E$3001,MIN('02_Eingaben'!$C$21,ROW()-1+'02_Eingaben'!$C$17))))</f>
        <v/>
      </c>
      <c r="G2562" s="27">
        <f>IF(F2562="","",F2562-'02_Eingaben'!$C$10)</f>
        <v/>
      </c>
      <c r="H2562">
        <f>IF(F2562="","",IF(F2562&lt;'02_Eingaben'!$C$18*'02_Eingaben'!$C$10,1,0))</f>
        <v/>
      </c>
      <c r="I2562" s="27">
        <f>IF(OR(G2562="",G2563=""),"",(G2562+G2563)/2*(B2563-B2562))</f>
        <v/>
      </c>
      <c r="J2562" s="27">
        <f>IF(B2562="","",IF(B2561&lt;'02_Eingaben'!$C$36,0,J2561+I2561/'02_Eingaben'!$C$8))</f>
        <v/>
      </c>
    </row>
    <row r="2563">
      <c r="A2563">
        <f>IF('01_Rohdaten'!A2563="","",ROW()-1)</f>
        <v/>
      </c>
      <c r="B2563" s="27">
        <f>IF('01_Rohdaten'!A2563="","",'01_Rohdaten'!A2563)</f>
        <v/>
      </c>
      <c r="C2563" s="27">
        <f>IF(B2563="","",INDEX('01_Rohdaten'!B2563:D2563,'02_Eingaben'!$C$13))</f>
        <v/>
      </c>
      <c r="D2563" s="27">
        <f>IF(C2563="","",C2563*'02_Eingaben'!$C$15)</f>
        <v/>
      </c>
      <c r="E2563" s="27">
        <f>IF(D2563="","",D2563*'02_Eingaben'!$C$8)</f>
        <v/>
      </c>
      <c r="F2563" s="27">
        <f>IF(E2563="","",AVERAGE(INDEX($E$2:$E$3001,MAX(1,ROW()-1-'02_Eingaben'!$C$17)):INDEX($E$2:$E$3001,MIN('02_Eingaben'!$C$21,ROW()-1+'02_Eingaben'!$C$17))))</f>
        <v/>
      </c>
      <c r="G2563" s="27">
        <f>IF(F2563="","",F2563-'02_Eingaben'!$C$10)</f>
        <v/>
      </c>
      <c r="H2563">
        <f>IF(F2563="","",IF(F2563&lt;'02_Eingaben'!$C$18*'02_Eingaben'!$C$10,1,0))</f>
        <v/>
      </c>
      <c r="I2563" s="27">
        <f>IF(OR(G2563="",G2564=""),"",(G2563+G2564)/2*(B2564-B2563))</f>
        <v/>
      </c>
      <c r="J2563" s="27">
        <f>IF(B2563="","",IF(B2562&lt;'02_Eingaben'!$C$36,0,J2562+I2562/'02_Eingaben'!$C$8))</f>
        <v/>
      </c>
    </row>
    <row r="2564">
      <c r="A2564">
        <f>IF('01_Rohdaten'!A2564="","",ROW()-1)</f>
        <v/>
      </c>
      <c r="B2564" s="27">
        <f>IF('01_Rohdaten'!A2564="","",'01_Rohdaten'!A2564)</f>
        <v/>
      </c>
      <c r="C2564" s="27">
        <f>IF(B2564="","",INDEX('01_Rohdaten'!B2564:D2564,'02_Eingaben'!$C$13))</f>
        <v/>
      </c>
      <c r="D2564" s="27">
        <f>IF(C2564="","",C2564*'02_Eingaben'!$C$15)</f>
        <v/>
      </c>
      <c r="E2564" s="27">
        <f>IF(D2564="","",D2564*'02_Eingaben'!$C$8)</f>
        <v/>
      </c>
      <c r="F2564" s="27">
        <f>IF(E2564="","",AVERAGE(INDEX($E$2:$E$3001,MAX(1,ROW()-1-'02_Eingaben'!$C$17)):INDEX($E$2:$E$3001,MIN('02_Eingaben'!$C$21,ROW()-1+'02_Eingaben'!$C$17))))</f>
        <v/>
      </c>
      <c r="G2564" s="27">
        <f>IF(F2564="","",F2564-'02_Eingaben'!$C$10)</f>
        <v/>
      </c>
      <c r="H2564">
        <f>IF(F2564="","",IF(F2564&lt;'02_Eingaben'!$C$18*'02_Eingaben'!$C$10,1,0))</f>
        <v/>
      </c>
      <c r="I2564" s="27">
        <f>IF(OR(G2564="",G2565=""),"",(G2564+G2565)/2*(B2565-B2564))</f>
        <v/>
      </c>
      <c r="J2564" s="27">
        <f>IF(B2564="","",IF(B2563&lt;'02_Eingaben'!$C$36,0,J2563+I2563/'02_Eingaben'!$C$8))</f>
        <v/>
      </c>
    </row>
    <row r="2565">
      <c r="A2565">
        <f>IF('01_Rohdaten'!A2565="","",ROW()-1)</f>
        <v/>
      </c>
      <c r="B2565" s="27">
        <f>IF('01_Rohdaten'!A2565="","",'01_Rohdaten'!A2565)</f>
        <v/>
      </c>
      <c r="C2565" s="27">
        <f>IF(B2565="","",INDEX('01_Rohdaten'!B2565:D2565,'02_Eingaben'!$C$13))</f>
        <v/>
      </c>
      <c r="D2565" s="27">
        <f>IF(C2565="","",C2565*'02_Eingaben'!$C$15)</f>
        <v/>
      </c>
      <c r="E2565" s="27">
        <f>IF(D2565="","",D2565*'02_Eingaben'!$C$8)</f>
        <v/>
      </c>
      <c r="F2565" s="27">
        <f>IF(E2565="","",AVERAGE(INDEX($E$2:$E$3001,MAX(1,ROW()-1-'02_Eingaben'!$C$17)):INDEX($E$2:$E$3001,MIN('02_Eingaben'!$C$21,ROW()-1+'02_Eingaben'!$C$17))))</f>
        <v/>
      </c>
      <c r="G2565" s="27">
        <f>IF(F2565="","",F2565-'02_Eingaben'!$C$10)</f>
        <v/>
      </c>
      <c r="H2565">
        <f>IF(F2565="","",IF(F2565&lt;'02_Eingaben'!$C$18*'02_Eingaben'!$C$10,1,0))</f>
        <v/>
      </c>
      <c r="I2565" s="27">
        <f>IF(OR(G2565="",G2566=""),"",(G2565+G2566)/2*(B2566-B2565))</f>
        <v/>
      </c>
      <c r="J2565" s="27">
        <f>IF(B2565="","",IF(B2564&lt;'02_Eingaben'!$C$36,0,J2564+I2564/'02_Eingaben'!$C$8))</f>
        <v/>
      </c>
    </row>
    <row r="2566">
      <c r="A2566">
        <f>IF('01_Rohdaten'!A2566="","",ROW()-1)</f>
        <v/>
      </c>
      <c r="B2566" s="27">
        <f>IF('01_Rohdaten'!A2566="","",'01_Rohdaten'!A2566)</f>
        <v/>
      </c>
      <c r="C2566" s="27">
        <f>IF(B2566="","",INDEX('01_Rohdaten'!B2566:D2566,'02_Eingaben'!$C$13))</f>
        <v/>
      </c>
      <c r="D2566" s="27">
        <f>IF(C2566="","",C2566*'02_Eingaben'!$C$15)</f>
        <v/>
      </c>
      <c r="E2566" s="27">
        <f>IF(D2566="","",D2566*'02_Eingaben'!$C$8)</f>
        <v/>
      </c>
      <c r="F2566" s="27">
        <f>IF(E2566="","",AVERAGE(INDEX($E$2:$E$3001,MAX(1,ROW()-1-'02_Eingaben'!$C$17)):INDEX($E$2:$E$3001,MIN('02_Eingaben'!$C$21,ROW()-1+'02_Eingaben'!$C$17))))</f>
        <v/>
      </c>
      <c r="G2566" s="27">
        <f>IF(F2566="","",F2566-'02_Eingaben'!$C$10)</f>
        <v/>
      </c>
      <c r="H2566">
        <f>IF(F2566="","",IF(F2566&lt;'02_Eingaben'!$C$18*'02_Eingaben'!$C$10,1,0))</f>
        <v/>
      </c>
      <c r="I2566" s="27">
        <f>IF(OR(G2566="",G2567=""),"",(G2566+G2567)/2*(B2567-B2566))</f>
        <v/>
      </c>
      <c r="J2566" s="27">
        <f>IF(B2566="","",IF(B2565&lt;'02_Eingaben'!$C$36,0,J2565+I2565/'02_Eingaben'!$C$8))</f>
        <v/>
      </c>
    </row>
    <row r="2567">
      <c r="A2567">
        <f>IF('01_Rohdaten'!A2567="","",ROW()-1)</f>
        <v/>
      </c>
      <c r="B2567" s="27">
        <f>IF('01_Rohdaten'!A2567="","",'01_Rohdaten'!A2567)</f>
        <v/>
      </c>
      <c r="C2567" s="27">
        <f>IF(B2567="","",INDEX('01_Rohdaten'!B2567:D2567,'02_Eingaben'!$C$13))</f>
        <v/>
      </c>
      <c r="D2567" s="27">
        <f>IF(C2567="","",C2567*'02_Eingaben'!$C$15)</f>
        <v/>
      </c>
      <c r="E2567" s="27">
        <f>IF(D2567="","",D2567*'02_Eingaben'!$C$8)</f>
        <v/>
      </c>
      <c r="F2567" s="27">
        <f>IF(E2567="","",AVERAGE(INDEX($E$2:$E$3001,MAX(1,ROW()-1-'02_Eingaben'!$C$17)):INDEX($E$2:$E$3001,MIN('02_Eingaben'!$C$21,ROW()-1+'02_Eingaben'!$C$17))))</f>
        <v/>
      </c>
      <c r="G2567" s="27">
        <f>IF(F2567="","",F2567-'02_Eingaben'!$C$10)</f>
        <v/>
      </c>
      <c r="H2567">
        <f>IF(F2567="","",IF(F2567&lt;'02_Eingaben'!$C$18*'02_Eingaben'!$C$10,1,0))</f>
        <v/>
      </c>
      <c r="I2567" s="27">
        <f>IF(OR(G2567="",G2568=""),"",(G2567+G2568)/2*(B2568-B2567))</f>
        <v/>
      </c>
      <c r="J2567" s="27">
        <f>IF(B2567="","",IF(B2566&lt;'02_Eingaben'!$C$36,0,J2566+I2566/'02_Eingaben'!$C$8))</f>
        <v/>
      </c>
    </row>
    <row r="2568">
      <c r="A2568">
        <f>IF('01_Rohdaten'!A2568="","",ROW()-1)</f>
        <v/>
      </c>
      <c r="B2568" s="27">
        <f>IF('01_Rohdaten'!A2568="","",'01_Rohdaten'!A2568)</f>
        <v/>
      </c>
      <c r="C2568" s="27">
        <f>IF(B2568="","",INDEX('01_Rohdaten'!B2568:D2568,'02_Eingaben'!$C$13))</f>
        <v/>
      </c>
      <c r="D2568" s="27">
        <f>IF(C2568="","",C2568*'02_Eingaben'!$C$15)</f>
        <v/>
      </c>
      <c r="E2568" s="27">
        <f>IF(D2568="","",D2568*'02_Eingaben'!$C$8)</f>
        <v/>
      </c>
      <c r="F2568" s="27">
        <f>IF(E2568="","",AVERAGE(INDEX($E$2:$E$3001,MAX(1,ROW()-1-'02_Eingaben'!$C$17)):INDEX($E$2:$E$3001,MIN('02_Eingaben'!$C$21,ROW()-1+'02_Eingaben'!$C$17))))</f>
        <v/>
      </c>
      <c r="G2568" s="27">
        <f>IF(F2568="","",F2568-'02_Eingaben'!$C$10)</f>
        <v/>
      </c>
      <c r="H2568">
        <f>IF(F2568="","",IF(F2568&lt;'02_Eingaben'!$C$18*'02_Eingaben'!$C$10,1,0))</f>
        <v/>
      </c>
      <c r="I2568" s="27">
        <f>IF(OR(G2568="",G2569=""),"",(G2568+G2569)/2*(B2569-B2568))</f>
        <v/>
      </c>
      <c r="J2568" s="27">
        <f>IF(B2568="","",IF(B2567&lt;'02_Eingaben'!$C$36,0,J2567+I2567/'02_Eingaben'!$C$8))</f>
        <v/>
      </c>
    </row>
    <row r="2569">
      <c r="A2569">
        <f>IF('01_Rohdaten'!A2569="","",ROW()-1)</f>
        <v/>
      </c>
      <c r="B2569" s="27">
        <f>IF('01_Rohdaten'!A2569="","",'01_Rohdaten'!A2569)</f>
        <v/>
      </c>
      <c r="C2569" s="27">
        <f>IF(B2569="","",INDEX('01_Rohdaten'!B2569:D2569,'02_Eingaben'!$C$13))</f>
        <v/>
      </c>
      <c r="D2569" s="27">
        <f>IF(C2569="","",C2569*'02_Eingaben'!$C$15)</f>
        <v/>
      </c>
      <c r="E2569" s="27">
        <f>IF(D2569="","",D2569*'02_Eingaben'!$C$8)</f>
        <v/>
      </c>
      <c r="F2569" s="27">
        <f>IF(E2569="","",AVERAGE(INDEX($E$2:$E$3001,MAX(1,ROW()-1-'02_Eingaben'!$C$17)):INDEX($E$2:$E$3001,MIN('02_Eingaben'!$C$21,ROW()-1+'02_Eingaben'!$C$17))))</f>
        <v/>
      </c>
      <c r="G2569" s="27">
        <f>IF(F2569="","",F2569-'02_Eingaben'!$C$10)</f>
        <v/>
      </c>
      <c r="H2569">
        <f>IF(F2569="","",IF(F2569&lt;'02_Eingaben'!$C$18*'02_Eingaben'!$C$10,1,0))</f>
        <v/>
      </c>
      <c r="I2569" s="27">
        <f>IF(OR(G2569="",G2570=""),"",(G2569+G2570)/2*(B2570-B2569))</f>
        <v/>
      </c>
      <c r="J2569" s="27">
        <f>IF(B2569="","",IF(B2568&lt;'02_Eingaben'!$C$36,0,J2568+I2568/'02_Eingaben'!$C$8))</f>
        <v/>
      </c>
    </row>
    <row r="2570">
      <c r="A2570">
        <f>IF('01_Rohdaten'!A2570="","",ROW()-1)</f>
        <v/>
      </c>
      <c r="B2570" s="27">
        <f>IF('01_Rohdaten'!A2570="","",'01_Rohdaten'!A2570)</f>
        <v/>
      </c>
      <c r="C2570" s="27">
        <f>IF(B2570="","",INDEX('01_Rohdaten'!B2570:D2570,'02_Eingaben'!$C$13))</f>
        <v/>
      </c>
      <c r="D2570" s="27">
        <f>IF(C2570="","",C2570*'02_Eingaben'!$C$15)</f>
        <v/>
      </c>
      <c r="E2570" s="27">
        <f>IF(D2570="","",D2570*'02_Eingaben'!$C$8)</f>
        <v/>
      </c>
      <c r="F2570" s="27">
        <f>IF(E2570="","",AVERAGE(INDEX($E$2:$E$3001,MAX(1,ROW()-1-'02_Eingaben'!$C$17)):INDEX($E$2:$E$3001,MIN('02_Eingaben'!$C$21,ROW()-1+'02_Eingaben'!$C$17))))</f>
        <v/>
      </c>
      <c r="G2570" s="27">
        <f>IF(F2570="","",F2570-'02_Eingaben'!$C$10)</f>
        <v/>
      </c>
      <c r="H2570">
        <f>IF(F2570="","",IF(F2570&lt;'02_Eingaben'!$C$18*'02_Eingaben'!$C$10,1,0))</f>
        <v/>
      </c>
      <c r="I2570" s="27">
        <f>IF(OR(G2570="",G2571=""),"",(G2570+G2571)/2*(B2571-B2570))</f>
        <v/>
      </c>
      <c r="J2570" s="27">
        <f>IF(B2570="","",IF(B2569&lt;'02_Eingaben'!$C$36,0,J2569+I2569/'02_Eingaben'!$C$8))</f>
        <v/>
      </c>
    </row>
    <row r="2571">
      <c r="A2571">
        <f>IF('01_Rohdaten'!A2571="","",ROW()-1)</f>
        <v/>
      </c>
      <c r="B2571" s="27">
        <f>IF('01_Rohdaten'!A2571="","",'01_Rohdaten'!A2571)</f>
        <v/>
      </c>
      <c r="C2571" s="27">
        <f>IF(B2571="","",INDEX('01_Rohdaten'!B2571:D2571,'02_Eingaben'!$C$13))</f>
        <v/>
      </c>
      <c r="D2571" s="27">
        <f>IF(C2571="","",C2571*'02_Eingaben'!$C$15)</f>
        <v/>
      </c>
      <c r="E2571" s="27">
        <f>IF(D2571="","",D2571*'02_Eingaben'!$C$8)</f>
        <v/>
      </c>
      <c r="F2571" s="27">
        <f>IF(E2571="","",AVERAGE(INDEX($E$2:$E$3001,MAX(1,ROW()-1-'02_Eingaben'!$C$17)):INDEX($E$2:$E$3001,MIN('02_Eingaben'!$C$21,ROW()-1+'02_Eingaben'!$C$17))))</f>
        <v/>
      </c>
      <c r="G2571" s="27">
        <f>IF(F2571="","",F2571-'02_Eingaben'!$C$10)</f>
        <v/>
      </c>
      <c r="H2571">
        <f>IF(F2571="","",IF(F2571&lt;'02_Eingaben'!$C$18*'02_Eingaben'!$C$10,1,0))</f>
        <v/>
      </c>
      <c r="I2571" s="27">
        <f>IF(OR(G2571="",G2572=""),"",(G2571+G2572)/2*(B2572-B2571))</f>
        <v/>
      </c>
      <c r="J2571" s="27">
        <f>IF(B2571="","",IF(B2570&lt;'02_Eingaben'!$C$36,0,J2570+I2570/'02_Eingaben'!$C$8))</f>
        <v/>
      </c>
    </row>
    <row r="2572">
      <c r="A2572">
        <f>IF('01_Rohdaten'!A2572="","",ROW()-1)</f>
        <v/>
      </c>
      <c r="B2572" s="27">
        <f>IF('01_Rohdaten'!A2572="","",'01_Rohdaten'!A2572)</f>
        <v/>
      </c>
      <c r="C2572" s="27">
        <f>IF(B2572="","",INDEX('01_Rohdaten'!B2572:D2572,'02_Eingaben'!$C$13))</f>
        <v/>
      </c>
      <c r="D2572" s="27">
        <f>IF(C2572="","",C2572*'02_Eingaben'!$C$15)</f>
        <v/>
      </c>
      <c r="E2572" s="27">
        <f>IF(D2572="","",D2572*'02_Eingaben'!$C$8)</f>
        <v/>
      </c>
      <c r="F2572" s="27">
        <f>IF(E2572="","",AVERAGE(INDEX($E$2:$E$3001,MAX(1,ROW()-1-'02_Eingaben'!$C$17)):INDEX($E$2:$E$3001,MIN('02_Eingaben'!$C$21,ROW()-1+'02_Eingaben'!$C$17))))</f>
        <v/>
      </c>
      <c r="G2572" s="27">
        <f>IF(F2572="","",F2572-'02_Eingaben'!$C$10)</f>
        <v/>
      </c>
      <c r="H2572">
        <f>IF(F2572="","",IF(F2572&lt;'02_Eingaben'!$C$18*'02_Eingaben'!$C$10,1,0))</f>
        <v/>
      </c>
      <c r="I2572" s="27">
        <f>IF(OR(G2572="",G2573=""),"",(G2572+G2573)/2*(B2573-B2572))</f>
        <v/>
      </c>
      <c r="J2572" s="27">
        <f>IF(B2572="","",IF(B2571&lt;'02_Eingaben'!$C$36,0,J2571+I2571/'02_Eingaben'!$C$8))</f>
        <v/>
      </c>
    </row>
    <row r="2573">
      <c r="A2573">
        <f>IF('01_Rohdaten'!A2573="","",ROW()-1)</f>
        <v/>
      </c>
      <c r="B2573" s="27">
        <f>IF('01_Rohdaten'!A2573="","",'01_Rohdaten'!A2573)</f>
        <v/>
      </c>
      <c r="C2573" s="27">
        <f>IF(B2573="","",INDEX('01_Rohdaten'!B2573:D2573,'02_Eingaben'!$C$13))</f>
        <v/>
      </c>
      <c r="D2573" s="27">
        <f>IF(C2573="","",C2573*'02_Eingaben'!$C$15)</f>
        <v/>
      </c>
      <c r="E2573" s="27">
        <f>IF(D2573="","",D2573*'02_Eingaben'!$C$8)</f>
        <v/>
      </c>
      <c r="F2573" s="27">
        <f>IF(E2573="","",AVERAGE(INDEX($E$2:$E$3001,MAX(1,ROW()-1-'02_Eingaben'!$C$17)):INDEX($E$2:$E$3001,MIN('02_Eingaben'!$C$21,ROW()-1+'02_Eingaben'!$C$17))))</f>
        <v/>
      </c>
      <c r="G2573" s="27">
        <f>IF(F2573="","",F2573-'02_Eingaben'!$C$10)</f>
        <v/>
      </c>
      <c r="H2573">
        <f>IF(F2573="","",IF(F2573&lt;'02_Eingaben'!$C$18*'02_Eingaben'!$C$10,1,0))</f>
        <v/>
      </c>
      <c r="I2573" s="27">
        <f>IF(OR(G2573="",G2574=""),"",(G2573+G2574)/2*(B2574-B2573))</f>
        <v/>
      </c>
      <c r="J2573" s="27">
        <f>IF(B2573="","",IF(B2572&lt;'02_Eingaben'!$C$36,0,J2572+I2572/'02_Eingaben'!$C$8))</f>
        <v/>
      </c>
    </row>
    <row r="2574">
      <c r="A2574">
        <f>IF('01_Rohdaten'!A2574="","",ROW()-1)</f>
        <v/>
      </c>
      <c r="B2574" s="27">
        <f>IF('01_Rohdaten'!A2574="","",'01_Rohdaten'!A2574)</f>
        <v/>
      </c>
      <c r="C2574" s="27">
        <f>IF(B2574="","",INDEX('01_Rohdaten'!B2574:D2574,'02_Eingaben'!$C$13))</f>
        <v/>
      </c>
      <c r="D2574" s="27">
        <f>IF(C2574="","",C2574*'02_Eingaben'!$C$15)</f>
        <v/>
      </c>
      <c r="E2574" s="27">
        <f>IF(D2574="","",D2574*'02_Eingaben'!$C$8)</f>
        <v/>
      </c>
      <c r="F2574" s="27">
        <f>IF(E2574="","",AVERAGE(INDEX($E$2:$E$3001,MAX(1,ROW()-1-'02_Eingaben'!$C$17)):INDEX($E$2:$E$3001,MIN('02_Eingaben'!$C$21,ROW()-1+'02_Eingaben'!$C$17))))</f>
        <v/>
      </c>
      <c r="G2574" s="27">
        <f>IF(F2574="","",F2574-'02_Eingaben'!$C$10)</f>
        <v/>
      </c>
      <c r="H2574">
        <f>IF(F2574="","",IF(F2574&lt;'02_Eingaben'!$C$18*'02_Eingaben'!$C$10,1,0))</f>
        <v/>
      </c>
      <c r="I2574" s="27">
        <f>IF(OR(G2574="",G2575=""),"",(G2574+G2575)/2*(B2575-B2574))</f>
        <v/>
      </c>
      <c r="J2574" s="27">
        <f>IF(B2574="","",IF(B2573&lt;'02_Eingaben'!$C$36,0,J2573+I2573/'02_Eingaben'!$C$8))</f>
        <v/>
      </c>
    </row>
    <row r="2575">
      <c r="A2575">
        <f>IF('01_Rohdaten'!A2575="","",ROW()-1)</f>
        <v/>
      </c>
      <c r="B2575" s="27">
        <f>IF('01_Rohdaten'!A2575="","",'01_Rohdaten'!A2575)</f>
        <v/>
      </c>
      <c r="C2575" s="27">
        <f>IF(B2575="","",INDEX('01_Rohdaten'!B2575:D2575,'02_Eingaben'!$C$13))</f>
        <v/>
      </c>
      <c r="D2575" s="27">
        <f>IF(C2575="","",C2575*'02_Eingaben'!$C$15)</f>
        <v/>
      </c>
      <c r="E2575" s="27">
        <f>IF(D2575="","",D2575*'02_Eingaben'!$C$8)</f>
        <v/>
      </c>
      <c r="F2575" s="27">
        <f>IF(E2575="","",AVERAGE(INDEX($E$2:$E$3001,MAX(1,ROW()-1-'02_Eingaben'!$C$17)):INDEX($E$2:$E$3001,MIN('02_Eingaben'!$C$21,ROW()-1+'02_Eingaben'!$C$17))))</f>
        <v/>
      </c>
      <c r="G2575" s="27">
        <f>IF(F2575="","",F2575-'02_Eingaben'!$C$10)</f>
        <v/>
      </c>
      <c r="H2575">
        <f>IF(F2575="","",IF(F2575&lt;'02_Eingaben'!$C$18*'02_Eingaben'!$C$10,1,0))</f>
        <v/>
      </c>
      <c r="I2575" s="27">
        <f>IF(OR(G2575="",G2576=""),"",(G2575+G2576)/2*(B2576-B2575))</f>
        <v/>
      </c>
      <c r="J2575" s="27">
        <f>IF(B2575="","",IF(B2574&lt;'02_Eingaben'!$C$36,0,J2574+I2574/'02_Eingaben'!$C$8))</f>
        <v/>
      </c>
    </row>
    <row r="2576">
      <c r="A2576">
        <f>IF('01_Rohdaten'!A2576="","",ROW()-1)</f>
        <v/>
      </c>
      <c r="B2576" s="27">
        <f>IF('01_Rohdaten'!A2576="","",'01_Rohdaten'!A2576)</f>
        <v/>
      </c>
      <c r="C2576" s="27">
        <f>IF(B2576="","",INDEX('01_Rohdaten'!B2576:D2576,'02_Eingaben'!$C$13))</f>
        <v/>
      </c>
      <c r="D2576" s="27">
        <f>IF(C2576="","",C2576*'02_Eingaben'!$C$15)</f>
        <v/>
      </c>
      <c r="E2576" s="27">
        <f>IF(D2576="","",D2576*'02_Eingaben'!$C$8)</f>
        <v/>
      </c>
      <c r="F2576" s="27">
        <f>IF(E2576="","",AVERAGE(INDEX($E$2:$E$3001,MAX(1,ROW()-1-'02_Eingaben'!$C$17)):INDEX($E$2:$E$3001,MIN('02_Eingaben'!$C$21,ROW()-1+'02_Eingaben'!$C$17))))</f>
        <v/>
      </c>
      <c r="G2576" s="27">
        <f>IF(F2576="","",F2576-'02_Eingaben'!$C$10)</f>
        <v/>
      </c>
      <c r="H2576">
        <f>IF(F2576="","",IF(F2576&lt;'02_Eingaben'!$C$18*'02_Eingaben'!$C$10,1,0))</f>
        <v/>
      </c>
      <c r="I2576" s="27">
        <f>IF(OR(G2576="",G2577=""),"",(G2576+G2577)/2*(B2577-B2576))</f>
        <v/>
      </c>
      <c r="J2576" s="27">
        <f>IF(B2576="","",IF(B2575&lt;'02_Eingaben'!$C$36,0,J2575+I2575/'02_Eingaben'!$C$8))</f>
        <v/>
      </c>
    </row>
    <row r="2577">
      <c r="A2577">
        <f>IF('01_Rohdaten'!A2577="","",ROW()-1)</f>
        <v/>
      </c>
      <c r="B2577" s="27">
        <f>IF('01_Rohdaten'!A2577="","",'01_Rohdaten'!A2577)</f>
        <v/>
      </c>
      <c r="C2577" s="27">
        <f>IF(B2577="","",INDEX('01_Rohdaten'!B2577:D2577,'02_Eingaben'!$C$13))</f>
        <v/>
      </c>
      <c r="D2577" s="27">
        <f>IF(C2577="","",C2577*'02_Eingaben'!$C$15)</f>
        <v/>
      </c>
      <c r="E2577" s="27">
        <f>IF(D2577="","",D2577*'02_Eingaben'!$C$8)</f>
        <v/>
      </c>
      <c r="F2577" s="27">
        <f>IF(E2577="","",AVERAGE(INDEX($E$2:$E$3001,MAX(1,ROW()-1-'02_Eingaben'!$C$17)):INDEX($E$2:$E$3001,MIN('02_Eingaben'!$C$21,ROW()-1+'02_Eingaben'!$C$17))))</f>
        <v/>
      </c>
      <c r="G2577" s="27">
        <f>IF(F2577="","",F2577-'02_Eingaben'!$C$10)</f>
        <v/>
      </c>
      <c r="H2577">
        <f>IF(F2577="","",IF(F2577&lt;'02_Eingaben'!$C$18*'02_Eingaben'!$C$10,1,0))</f>
        <v/>
      </c>
      <c r="I2577" s="27">
        <f>IF(OR(G2577="",G2578=""),"",(G2577+G2578)/2*(B2578-B2577))</f>
        <v/>
      </c>
      <c r="J2577" s="27">
        <f>IF(B2577="","",IF(B2576&lt;'02_Eingaben'!$C$36,0,J2576+I2576/'02_Eingaben'!$C$8))</f>
        <v/>
      </c>
    </row>
    <row r="2578">
      <c r="A2578">
        <f>IF('01_Rohdaten'!A2578="","",ROW()-1)</f>
        <v/>
      </c>
      <c r="B2578" s="27">
        <f>IF('01_Rohdaten'!A2578="","",'01_Rohdaten'!A2578)</f>
        <v/>
      </c>
      <c r="C2578" s="27">
        <f>IF(B2578="","",INDEX('01_Rohdaten'!B2578:D2578,'02_Eingaben'!$C$13))</f>
        <v/>
      </c>
      <c r="D2578" s="27">
        <f>IF(C2578="","",C2578*'02_Eingaben'!$C$15)</f>
        <v/>
      </c>
      <c r="E2578" s="27">
        <f>IF(D2578="","",D2578*'02_Eingaben'!$C$8)</f>
        <v/>
      </c>
      <c r="F2578" s="27">
        <f>IF(E2578="","",AVERAGE(INDEX($E$2:$E$3001,MAX(1,ROW()-1-'02_Eingaben'!$C$17)):INDEX($E$2:$E$3001,MIN('02_Eingaben'!$C$21,ROW()-1+'02_Eingaben'!$C$17))))</f>
        <v/>
      </c>
      <c r="G2578" s="27">
        <f>IF(F2578="","",F2578-'02_Eingaben'!$C$10)</f>
        <v/>
      </c>
      <c r="H2578">
        <f>IF(F2578="","",IF(F2578&lt;'02_Eingaben'!$C$18*'02_Eingaben'!$C$10,1,0))</f>
        <v/>
      </c>
      <c r="I2578" s="27">
        <f>IF(OR(G2578="",G2579=""),"",(G2578+G2579)/2*(B2579-B2578))</f>
        <v/>
      </c>
      <c r="J2578" s="27">
        <f>IF(B2578="","",IF(B2577&lt;'02_Eingaben'!$C$36,0,J2577+I2577/'02_Eingaben'!$C$8))</f>
        <v/>
      </c>
    </row>
    <row r="2579">
      <c r="A2579">
        <f>IF('01_Rohdaten'!A2579="","",ROW()-1)</f>
        <v/>
      </c>
      <c r="B2579" s="27">
        <f>IF('01_Rohdaten'!A2579="","",'01_Rohdaten'!A2579)</f>
        <v/>
      </c>
      <c r="C2579" s="27">
        <f>IF(B2579="","",INDEX('01_Rohdaten'!B2579:D2579,'02_Eingaben'!$C$13))</f>
        <v/>
      </c>
      <c r="D2579" s="27">
        <f>IF(C2579="","",C2579*'02_Eingaben'!$C$15)</f>
        <v/>
      </c>
      <c r="E2579" s="27">
        <f>IF(D2579="","",D2579*'02_Eingaben'!$C$8)</f>
        <v/>
      </c>
      <c r="F2579" s="27">
        <f>IF(E2579="","",AVERAGE(INDEX($E$2:$E$3001,MAX(1,ROW()-1-'02_Eingaben'!$C$17)):INDEX($E$2:$E$3001,MIN('02_Eingaben'!$C$21,ROW()-1+'02_Eingaben'!$C$17))))</f>
        <v/>
      </c>
      <c r="G2579" s="27">
        <f>IF(F2579="","",F2579-'02_Eingaben'!$C$10)</f>
        <v/>
      </c>
      <c r="H2579">
        <f>IF(F2579="","",IF(F2579&lt;'02_Eingaben'!$C$18*'02_Eingaben'!$C$10,1,0))</f>
        <v/>
      </c>
      <c r="I2579" s="27">
        <f>IF(OR(G2579="",G2580=""),"",(G2579+G2580)/2*(B2580-B2579))</f>
        <v/>
      </c>
      <c r="J2579" s="27">
        <f>IF(B2579="","",IF(B2578&lt;'02_Eingaben'!$C$36,0,J2578+I2578/'02_Eingaben'!$C$8))</f>
        <v/>
      </c>
    </row>
    <row r="2580">
      <c r="A2580">
        <f>IF('01_Rohdaten'!A2580="","",ROW()-1)</f>
        <v/>
      </c>
      <c r="B2580" s="27">
        <f>IF('01_Rohdaten'!A2580="","",'01_Rohdaten'!A2580)</f>
        <v/>
      </c>
      <c r="C2580" s="27">
        <f>IF(B2580="","",INDEX('01_Rohdaten'!B2580:D2580,'02_Eingaben'!$C$13))</f>
        <v/>
      </c>
      <c r="D2580" s="27">
        <f>IF(C2580="","",C2580*'02_Eingaben'!$C$15)</f>
        <v/>
      </c>
      <c r="E2580" s="27">
        <f>IF(D2580="","",D2580*'02_Eingaben'!$C$8)</f>
        <v/>
      </c>
      <c r="F2580" s="27">
        <f>IF(E2580="","",AVERAGE(INDEX($E$2:$E$3001,MAX(1,ROW()-1-'02_Eingaben'!$C$17)):INDEX($E$2:$E$3001,MIN('02_Eingaben'!$C$21,ROW()-1+'02_Eingaben'!$C$17))))</f>
        <v/>
      </c>
      <c r="G2580" s="27">
        <f>IF(F2580="","",F2580-'02_Eingaben'!$C$10)</f>
        <v/>
      </c>
      <c r="H2580">
        <f>IF(F2580="","",IF(F2580&lt;'02_Eingaben'!$C$18*'02_Eingaben'!$C$10,1,0))</f>
        <v/>
      </c>
      <c r="I2580" s="27">
        <f>IF(OR(G2580="",G2581=""),"",(G2580+G2581)/2*(B2581-B2580))</f>
        <v/>
      </c>
      <c r="J2580" s="27">
        <f>IF(B2580="","",IF(B2579&lt;'02_Eingaben'!$C$36,0,J2579+I2579/'02_Eingaben'!$C$8))</f>
        <v/>
      </c>
    </row>
    <row r="2581">
      <c r="A2581">
        <f>IF('01_Rohdaten'!A2581="","",ROW()-1)</f>
        <v/>
      </c>
      <c r="B2581" s="27">
        <f>IF('01_Rohdaten'!A2581="","",'01_Rohdaten'!A2581)</f>
        <v/>
      </c>
      <c r="C2581" s="27">
        <f>IF(B2581="","",INDEX('01_Rohdaten'!B2581:D2581,'02_Eingaben'!$C$13))</f>
        <v/>
      </c>
      <c r="D2581" s="27">
        <f>IF(C2581="","",C2581*'02_Eingaben'!$C$15)</f>
        <v/>
      </c>
      <c r="E2581" s="27">
        <f>IF(D2581="","",D2581*'02_Eingaben'!$C$8)</f>
        <v/>
      </c>
      <c r="F2581" s="27">
        <f>IF(E2581="","",AVERAGE(INDEX($E$2:$E$3001,MAX(1,ROW()-1-'02_Eingaben'!$C$17)):INDEX($E$2:$E$3001,MIN('02_Eingaben'!$C$21,ROW()-1+'02_Eingaben'!$C$17))))</f>
        <v/>
      </c>
      <c r="G2581" s="27">
        <f>IF(F2581="","",F2581-'02_Eingaben'!$C$10)</f>
        <v/>
      </c>
      <c r="H2581">
        <f>IF(F2581="","",IF(F2581&lt;'02_Eingaben'!$C$18*'02_Eingaben'!$C$10,1,0))</f>
        <v/>
      </c>
      <c r="I2581" s="27">
        <f>IF(OR(G2581="",G2582=""),"",(G2581+G2582)/2*(B2582-B2581))</f>
        <v/>
      </c>
      <c r="J2581" s="27">
        <f>IF(B2581="","",IF(B2580&lt;'02_Eingaben'!$C$36,0,J2580+I2580/'02_Eingaben'!$C$8))</f>
        <v/>
      </c>
    </row>
    <row r="2582">
      <c r="A2582">
        <f>IF('01_Rohdaten'!A2582="","",ROW()-1)</f>
        <v/>
      </c>
      <c r="B2582" s="27">
        <f>IF('01_Rohdaten'!A2582="","",'01_Rohdaten'!A2582)</f>
        <v/>
      </c>
      <c r="C2582" s="27">
        <f>IF(B2582="","",INDEX('01_Rohdaten'!B2582:D2582,'02_Eingaben'!$C$13))</f>
        <v/>
      </c>
      <c r="D2582" s="27">
        <f>IF(C2582="","",C2582*'02_Eingaben'!$C$15)</f>
        <v/>
      </c>
      <c r="E2582" s="27">
        <f>IF(D2582="","",D2582*'02_Eingaben'!$C$8)</f>
        <v/>
      </c>
      <c r="F2582" s="27">
        <f>IF(E2582="","",AVERAGE(INDEX($E$2:$E$3001,MAX(1,ROW()-1-'02_Eingaben'!$C$17)):INDEX($E$2:$E$3001,MIN('02_Eingaben'!$C$21,ROW()-1+'02_Eingaben'!$C$17))))</f>
        <v/>
      </c>
      <c r="G2582" s="27">
        <f>IF(F2582="","",F2582-'02_Eingaben'!$C$10)</f>
        <v/>
      </c>
      <c r="H2582">
        <f>IF(F2582="","",IF(F2582&lt;'02_Eingaben'!$C$18*'02_Eingaben'!$C$10,1,0))</f>
        <v/>
      </c>
      <c r="I2582" s="27">
        <f>IF(OR(G2582="",G2583=""),"",(G2582+G2583)/2*(B2583-B2582))</f>
        <v/>
      </c>
      <c r="J2582" s="27">
        <f>IF(B2582="","",IF(B2581&lt;'02_Eingaben'!$C$36,0,J2581+I2581/'02_Eingaben'!$C$8))</f>
        <v/>
      </c>
    </row>
    <row r="2583">
      <c r="A2583">
        <f>IF('01_Rohdaten'!A2583="","",ROW()-1)</f>
        <v/>
      </c>
      <c r="B2583" s="27">
        <f>IF('01_Rohdaten'!A2583="","",'01_Rohdaten'!A2583)</f>
        <v/>
      </c>
      <c r="C2583" s="27">
        <f>IF(B2583="","",INDEX('01_Rohdaten'!B2583:D2583,'02_Eingaben'!$C$13))</f>
        <v/>
      </c>
      <c r="D2583" s="27">
        <f>IF(C2583="","",C2583*'02_Eingaben'!$C$15)</f>
        <v/>
      </c>
      <c r="E2583" s="27">
        <f>IF(D2583="","",D2583*'02_Eingaben'!$C$8)</f>
        <v/>
      </c>
      <c r="F2583" s="27">
        <f>IF(E2583="","",AVERAGE(INDEX($E$2:$E$3001,MAX(1,ROW()-1-'02_Eingaben'!$C$17)):INDEX($E$2:$E$3001,MIN('02_Eingaben'!$C$21,ROW()-1+'02_Eingaben'!$C$17))))</f>
        <v/>
      </c>
      <c r="G2583" s="27">
        <f>IF(F2583="","",F2583-'02_Eingaben'!$C$10)</f>
        <v/>
      </c>
      <c r="H2583">
        <f>IF(F2583="","",IF(F2583&lt;'02_Eingaben'!$C$18*'02_Eingaben'!$C$10,1,0))</f>
        <v/>
      </c>
      <c r="I2583" s="27">
        <f>IF(OR(G2583="",G2584=""),"",(G2583+G2584)/2*(B2584-B2583))</f>
        <v/>
      </c>
      <c r="J2583" s="27">
        <f>IF(B2583="","",IF(B2582&lt;'02_Eingaben'!$C$36,0,J2582+I2582/'02_Eingaben'!$C$8))</f>
        <v/>
      </c>
    </row>
    <row r="2584">
      <c r="A2584">
        <f>IF('01_Rohdaten'!A2584="","",ROW()-1)</f>
        <v/>
      </c>
      <c r="B2584" s="27">
        <f>IF('01_Rohdaten'!A2584="","",'01_Rohdaten'!A2584)</f>
        <v/>
      </c>
      <c r="C2584" s="27">
        <f>IF(B2584="","",INDEX('01_Rohdaten'!B2584:D2584,'02_Eingaben'!$C$13))</f>
        <v/>
      </c>
      <c r="D2584" s="27">
        <f>IF(C2584="","",C2584*'02_Eingaben'!$C$15)</f>
        <v/>
      </c>
      <c r="E2584" s="27">
        <f>IF(D2584="","",D2584*'02_Eingaben'!$C$8)</f>
        <v/>
      </c>
      <c r="F2584" s="27">
        <f>IF(E2584="","",AVERAGE(INDEX($E$2:$E$3001,MAX(1,ROW()-1-'02_Eingaben'!$C$17)):INDEX($E$2:$E$3001,MIN('02_Eingaben'!$C$21,ROW()-1+'02_Eingaben'!$C$17))))</f>
        <v/>
      </c>
      <c r="G2584" s="27">
        <f>IF(F2584="","",F2584-'02_Eingaben'!$C$10)</f>
        <v/>
      </c>
      <c r="H2584">
        <f>IF(F2584="","",IF(F2584&lt;'02_Eingaben'!$C$18*'02_Eingaben'!$C$10,1,0))</f>
        <v/>
      </c>
      <c r="I2584" s="27">
        <f>IF(OR(G2584="",G2585=""),"",(G2584+G2585)/2*(B2585-B2584))</f>
        <v/>
      </c>
      <c r="J2584" s="27">
        <f>IF(B2584="","",IF(B2583&lt;'02_Eingaben'!$C$36,0,J2583+I2583/'02_Eingaben'!$C$8))</f>
        <v/>
      </c>
    </row>
    <row r="2585">
      <c r="A2585">
        <f>IF('01_Rohdaten'!A2585="","",ROW()-1)</f>
        <v/>
      </c>
      <c r="B2585" s="27">
        <f>IF('01_Rohdaten'!A2585="","",'01_Rohdaten'!A2585)</f>
        <v/>
      </c>
      <c r="C2585" s="27">
        <f>IF(B2585="","",INDEX('01_Rohdaten'!B2585:D2585,'02_Eingaben'!$C$13))</f>
        <v/>
      </c>
      <c r="D2585" s="27">
        <f>IF(C2585="","",C2585*'02_Eingaben'!$C$15)</f>
        <v/>
      </c>
      <c r="E2585" s="27">
        <f>IF(D2585="","",D2585*'02_Eingaben'!$C$8)</f>
        <v/>
      </c>
      <c r="F2585" s="27">
        <f>IF(E2585="","",AVERAGE(INDEX($E$2:$E$3001,MAX(1,ROW()-1-'02_Eingaben'!$C$17)):INDEX($E$2:$E$3001,MIN('02_Eingaben'!$C$21,ROW()-1+'02_Eingaben'!$C$17))))</f>
        <v/>
      </c>
      <c r="G2585" s="27">
        <f>IF(F2585="","",F2585-'02_Eingaben'!$C$10)</f>
        <v/>
      </c>
      <c r="H2585">
        <f>IF(F2585="","",IF(F2585&lt;'02_Eingaben'!$C$18*'02_Eingaben'!$C$10,1,0))</f>
        <v/>
      </c>
      <c r="I2585" s="27">
        <f>IF(OR(G2585="",G2586=""),"",(G2585+G2586)/2*(B2586-B2585))</f>
        <v/>
      </c>
      <c r="J2585" s="27">
        <f>IF(B2585="","",IF(B2584&lt;'02_Eingaben'!$C$36,0,J2584+I2584/'02_Eingaben'!$C$8))</f>
        <v/>
      </c>
    </row>
    <row r="2586">
      <c r="A2586">
        <f>IF('01_Rohdaten'!A2586="","",ROW()-1)</f>
        <v/>
      </c>
      <c r="B2586" s="27">
        <f>IF('01_Rohdaten'!A2586="","",'01_Rohdaten'!A2586)</f>
        <v/>
      </c>
      <c r="C2586" s="27">
        <f>IF(B2586="","",INDEX('01_Rohdaten'!B2586:D2586,'02_Eingaben'!$C$13))</f>
        <v/>
      </c>
      <c r="D2586" s="27">
        <f>IF(C2586="","",C2586*'02_Eingaben'!$C$15)</f>
        <v/>
      </c>
      <c r="E2586" s="27">
        <f>IF(D2586="","",D2586*'02_Eingaben'!$C$8)</f>
        <v/>
      </c>
      <c r="F2586" s="27">
        <f>IF(E2586="","",AVERAGE(INDEX($E$2:$E$3001,MAX(1,ROW()-1-'02_Eingaben'!$C$17)):INDEX($E$2:$E$3001,MIN('02_Eingaben'!$C$21,ROW()-1+'02_Eingaben'!$C$17))))</f>
        <v/>
      </c>
      <c r="G2586" s="27">
        <f>IF(F2586="","",F2586-'02_Eingaben'!$C$10)</f>
        <v/>
      </c>
      <c r="H2586">
        <f>IF(F2586="","",IF(F2586&lt;'02_Eingaben'!$C$18*'02_Eingaben'!$C$10,1,0))</f>
        <v/>
      </c>
      <c r="I2586" s="27">
        <f>IF(OR(G2586="",G2587=""),"",(G2586+G2587)/2*(B2587-B2586))</f>
        <v/>
      </c>
      <c r="J2586" s="27">
        <f>IF(B2586="","",IF(B2585&lt;'02_Eingaben'!$C$36,0,J2585+I2585/'02_Eingaben'!$C$8))</f>
        <v/>
      </c>
    </row>
    <row r="2587">
      <c r="A2587">
        <f>IF('01_Rohdaten'!A2587="","",ROW()-1)</f>
        <v/>
      </c>
      <c r="B2587" s="27">
        <f>IF('01_Rohdaten'!A2587="","",'01_Rohdaten'!A2587)</f>
        <v/>
      </c>
      <c r="C2587" s="27">
        <f>IF(B2587="","",INDEX('01_Rohdaten'!B2587:D2587,'02_Eingaben'!$C$13))</f>
        <v/>
      </c>
      <c r="D2587" s="27">
        <f>IF(C2587="","",C2587*'02_Eingaben'!$C$15)</f>
        <v/>
      </c>
      <c r="E2587" s="27">
        <f>IF(D2587="","",D2587*'02_Eingaben'!$C$8)</f>
        <v/>
      </c>
      <c r="F2587" s="27">
        <f>IF(E2587="","",AVERAGE(INDEX($E$2:$E$3001,MAX(1,ROW()-1-'02_Eingaben'!$C$17)):INDEX($E$2:$E$3001,MIN('02_Eingaben'!$C$21,ROW()-1+'02_Eingaben'!$C$17))))</f>
        <v/>
      </c>
      <c r="G2587" s="27">
        <f>IF(F2587="","",F2587-'02_Eingaben'!$C$10)</f>
        <v/>
      </c>
      <c r="H2587">
        <f>IF(F2587="","",IF(F2587&lt;'02_Eingaben'!$C$18*'02_Eingaben'!$C$10,1,0))</f>
        <v/>
      </c>
      <c r="I2587" s="27">
        <f>IF(OR(G2587="",G2588=""),"",(G2587+G2588)/2*(B2588-B2587))</f>
        <v/>
      </c>
      <c r="J2587" s="27">
        <f>IF(B2587="","",IF(B2586&lt;'02_Eingaben'!$C$36,0,J2586+I2586/'02_Eingaben'!$C$8))</f>
        <v/>
      </c>
    </row>
    <row r="2588">
      <c r="A2588">
        <f>IF('01_Rohdaten'!A2588="","",ROW()-1)</f>
        <v/>
      </c>
      <c r="B2588" s="27">
        <f>IF('01_Rohdaten'!A2588="","",'01_Rohdaten'!A2588)</f>
        <v/>
      </c>
      <c r="C2588" s="27">
        <f>IF(B2588="","",INDEX('01_Rohdaten'!B2588:D2588,'02_Eingaben'!$C$13))</f>
        <v/>
      </c>
      <c r="D2588" s="27">
        <f>IF(C2588="","",C2588*'02_Eingaben'!$C$15)</f>
        <v/>
      </c>
      <c r="E2588" s="27">
        <f>IF(D2588="","",D2588*'02_Eingaben'!$C$8)</f>
        <v/>
      </c>
      <c r="F2588" s="27">
        <f>IF(E2588="","",AVERAGE(INDEX($E$2:$E$3001,MAX(1,ROW()-1-'02_Eingaben'!$C$17)):INDEX($E$2:$E$3001,MIN('02_Eingaben'!$C$21,ROW()-1+'02_Eingaben'!$C$17))))</f>
        <v/>
      </c>
      <c r="G2588" s="27">
        <f>IF(F2588="","",F2588-'02_Eingaben'!$C$10)</f>
        <v/>
      </c>
      <c r="H2588">
        <f>IF(F2588="","",IF(F2588&lt;'02_Eingaben'!$C$18*'02_Eingaben'!$C$10,1,0))</f>
        <v/>
      </c>
      <c r="I2588" s="27">
        <f>IF(OR(G2588="",G2589=""),"",(G2588+G2589)/2*(B2589-B2588))</f>
        <v/>
      </c>
      <c r="J2588" s="27">
        <f>IF(B2588="","",IF(B2587&lt;'02_Eingaben'!$C$36,0,J2587+I2587/'02_Eingaben'!$C$8))</f>
        <v/>
      </c>
    </row>
    <row r="2589">
      <c r="A2589">
        <f>IF('01_Rohdaten'!A2589="","",ROW()-1)</f>
        <v/>
      </c>
      <c r="B2589" s="27">
        <f>IF('01_Rohdaten'!A2589="","",'01_Rohdaten'!A2589)</f>
        <v/>
      </c>
      <c r="C2589" s="27">
        <f>IF(B2589="","",INDEX('01_Rohdaten'!B2589:D2589,'02_Eingaben'!$C$13))</f>
        <v/>
      </c>
      <c r="D2589" s="27">
        <f>IF(C2589="","",C2589*'02_Eingaben'!$C$15)</f>
        <v/>
      </c>
      <c r="E2589" s="27">
        <f>IF(D2589="","",D2589*'02_Eingaben'!$C$8)</f>
        <v/>
      </c>
      <c r="F2589" s="27">
        <f>IF(E2589="","",AVERAGE(INDEX($E$2:$E$3001,MAX(1,ROW()-1-'02_Eingaben'!$C$17)):INDEX($E$2:$E$3001,MIN('02_Eingaben'!$C$21,ROW()-1+'02_Eingaben'!$C$17))))</f>
        <v/>
      </c>
      <c r="G2589" s="27">
        <f>IF(F2589="","",F2589-'02_Eingaben'!$C$10)</f>
        <v/>
      </c>
      <c r="H2589">
        <f>IF(F2589="","",IF(F2589&lt;'02_Eingaben'!$C$18*'02_Eingaben'!$C$10,1,0))</f>
        <v/>
      </c>
      <c r="I2589" s="27">
        <f>IF(OR(G2589="",G2590=""),"",(G2589+G2590)/2*(B2590-B2589))</f>
        <v/>
      </c>
      <c r="J2589" s="27">
        <f>IF(B2589="","",IF(B2588&lt;'02_Eingaben'!$C$36,0,J2588+I2588/'02_Eingaben'!$C$8))</f>
        <v/>
      </c>
    </row>
    <row r="2590">
      <c r="A2590">
        <f>IF('01_Rohdaten'!A2590="","",ROW()-1)</f>
        <v/>
      </c>
      <c r="B2590" s="27">
        <f>IF('01_Rohdaten'!A2590="","",'01_Rohdaten'!A2590)</f>
        <v/>
      </c>
      <c r="C2590" s="27">
        <f>IF(B2590="","",INDEX('01_Rohdaten'!B2590:D2590,'02_Eingaben'!$C$13))</f>
        <v/>
      </c>
      <c r="D2590" s="27">
        <f>IF(C2590="","",C2590*'02_Eingaben'!$C$15)</f>
        <v/>
      </c>
      <c r="E2590" s="27">
        <f>IF(D2590="","",D2590*'02_Eingaben'!$C$8)</f>
        <v/>
      </c>
      <c r="F2590" s="27">
        <f>IF(E2590="","",AVERAGE(INDEX($E$2:$E$3001,MAX(1,ROW()-1-'02_Eingaben'!$C$17)):INDEX($E$2:$E$3001,MIN('02_Eingaben'!$C$21,ROW()-1+'02_Eingaben'!$C$17))))</f>
        <v/>
      </c>
      <c r="G2590" s="27">
        <f>IF(F2590="","",F2590-'02_Eingaben'!$C$10)</f>
        <v/>
      </c>
      <c r="H2590">
        <f>IF(F2590="","",IF(F2590&lt;'02_Eingaben'!$C$18*'02_Eingaben'!$C$10,1,0))</f>
        <v/>
      </c>
      <c r="I2590" s="27">
        <f>IF(OR(G2590="",G2591=""),"",(G2590+G2591)/2*(B2591-B2590))</f>
        <v/>
      </c>
      <c r="J2590" s="27">
        <f>IF(B2590="","",IF(B2589&lt;'02_Eingaben'!$C$36,0,J2589+I2589/'02_Eingaben'!$C$8))</f>
        <v/>
      </c>
    </row>
    <row r="2591">
      <c r="A2591">
        <f>IF('01_Rohdaten'!A2591="","",ROW()-1)</f>
        <v/>
      </c>
      <c r="B2591" s="27">
        <f>IF('01_Rohdaten'!A2591="","",'01_Rohdaten'!A2591)</f>
        <v/>
      </c>
      <c r="C2591" s="27">
        <f>IF(B2591="","",INDEX('01_Rohdaten'!B2591:D2591,'02_Eingaben'!$C$13))</f>
        <v/>
      </c>
      <c r="D2591" s="27">
        <f>IF(C2591="","",C2591*'02_Eingaben'!$C$15)</f>
        <v/>
      </c>
      <c r="E2591" s="27">
        <f>IF(D2591="","",D2591*'02_Eingaben'!$C$8)</f>
        <v/>
      </c>
      <c r="F2591" s="27">
        <f>IF(E2591="","",AVERAGE(INDEX($E$2:$E$3001,MAX(1,ROW()-1-'02_Eingaben'!$C$17)):INDEX($E$2:$E$3001,MIN('02_Eingaben'!$C$21,ROW()-1+'02_Eingaben'!$C$17))))</f>
        <v/>
      </c>
      <c r="G2591" s="27">
        <f>IF(F2591="","",F2591-'02_Eingaben'!$C$10)</f>
        <v/>
      </c>
      <c r="H2591">
        <f>IF(F2591="","",IF(F2591&lt;'02_Eingaben'!$C$18*'02_Eingaben'!$C$10,1,0))</f>
        <v/>
      </c>
      <c r="I2591" s="27">
        <f>IF(OR(G2591="",G2592=""),"",(G2591+G2592)/2*(B2592-B2591))</f>
        <v/>
      </c>
      <c r="J2591" s="27">
        <f>IF(B2591="","",IF(B2590&lt;'02_Eingaben'!$C$36,0,J2590+I2590/'02_Eingaben'!$C$8))</f>
        <v/>
      </c>
    </row>
    <row r="2592">
      <c r="A2592">
        <f>IF('01_Rohdaten'!A2592="","",ROW()-1)</f>
        <v/>
      </c>
      <c r="B2592" s="27">
        <f>IF('01_Rohdaten'!A2592="","",'01_Rohdaten'!A2592)</f>
        <v/>
      </c>
      <c r="C2592" s="27">
        <f>IF(B2592="","",INDEX('01_Rohdaten'!B2592:D2592,'02_Eingaben'!$C$13))</f>
        <v/>
      </c>
      <c r="D2592" s="27">
        <f>IF(C2592="","",C2592*'02_Eingaben'!$C$15)</f>
        <v/>
      </c>
      <c r="E2592" s="27">
        <f>IF(D2592="","",D2592*'02_Eingaben'!$C$8)</f>
        <v/>
      </c>
      <c r="F2592" s="27">
        <f>IF(E2592="","",AVERAGE(INDEX($E$2:$E$3001,MAX(1,ROW()-1-'02_Eingaben'!$C$17)):INDEX($E$2:$E$3001,MIN('02_Eingaben'!$C$21,ROW()-1+'02_Eingaben'!$C$17))))</f>
        <v/>
      </c>
      <c r="G2592" s="27">
        <f>IF(F2592="","",F2592-'02_Eingaben'!$C$10)</f>
        <v/>
      </c>
      <c r="H2592">
        <f>IF(F2592="","",IF(F2592&lt;'02_Eingaben'!$C$18*'02_Eingaben'!$C$10,1,0))</f>
        <v/>
      </c>
      <c r="I2592" s="27">
        <f>IF(OR(G2592="",G2593=""),"",(G2592+G2593)/2*(B2593-B2592))</f>
        <v/>
      </c>
      <c r="J2592" s="27">
        <f>IF(B2592="","",IF(B2591&lt;'02_Eingaben'!$C$36,0,J2591+I2591/'02_Eingaben'!$C$8))</f>
        <v/>
      </c>
    </row>
    <row r="2593">
      <c r="A2593">
        <f>IF('01_Rohdaten'!A2593="","",ROW()-1)</f>
        <v/>
      </c>
      <c r="B2593" s="27">
        <f>IF('01_Rohdaten'!A2593="","",'01_Rohdaten'!A2593)</f>
        <v/>
      </c>
      <c r="C2593" s="27">
        <f>IF(B2593="","",INDEX('01_Rohdaten'!B2593:D2593,'02_Eingaben'!$C$13))</f>
        <v/>
      </c>
      <c r="D2593" s="27">
        <f>IF(C2593="","",C2593*'02_Eingaben'!$C$15)</f>
        <v/>
      </c>
      <c r="E2593" s="27">
        <f>IF(D2593="","",D2593*'02_Eingaben'!$C$8)</f>
        <v/>
      </c>
      <c r="F2593" s="27">
        <f>IF(E2593="","",AVERAGE(INDEX($E$2:$E$3001,MAX(1,ROW()-1-'02_Eingaben'!$C$17)):INDEX($E$2:$E$3001,MIN('02_Eingaben'!$C$21,ROW()-1+'02_Eingaben'!$C$17))))</f>
        <v/>
      </c>
      <c r="G2593" s="27">
        <f>IF(F2593="","",F2593-'02_Eingaben'!$C$10)</f>
        <v/>
      </c>
      <c r="H2593">
        <f>IF(F2593="","",IF(F2593&lt;'02_Eingaben'!$C$18*'02_Eingaben'!$C$10,1,0))</f>
        <v/>
      </c>
      <c r="I2593" s="27">
        <f>IF(OR(G2593="",G2594=""),"",(G2593+G2594)/2*(B2594-B2593))</f>
        <v/>
      </c>
      <c r="J2593" s="27">
        <f>IF(B2593="","",IF(B2592&lt;'02_Eingaben'!$C$36,0,J2592+I2592/'02_Eingaben'!$C$8))</f>
        <v/>
      </c>
    </row>
    <row r="2594">
      <c r="A2594">
        <f>IF('01_Rohdaten'!A2594="","",ROW()-1)</f>
        <v/>
      </c>
      <c r="B2594" s="27">
        <f>IF('01_Rohdaten'!A2594="","",'01_Rohdaten'!A2594)</f>
        <v/>
      </c>
      <c r="C2594" s="27">
        <f>IF(B2594="","",INDEX('01_Rohdaten'!B2594:D2594,'02_Eingaben'!$C$13))</f>
        <v/>
      </c>
      <c r="D2594" s="27">
        <f>IF(C2594="","",C2594*'02_Eingaben'!$C$15)</f>
        <v/>
      </c>
      <c r="E2594" s="27">
        <f>IF(D2594="","",D2594*'02_Eingaben'!$C$8)</f>
        <v/>
      </c>
      <c r="F2594" s="27">
        <f>IF(E2594="","",AVERAGE(INDEX($E$2:$E$3001,MAX(1,ROW()-1-'02_Eingaben'!$C$17)):INDEX($E$2:$E$3001,MIN('02_Eingaben'!$C$21,ROW()-1+'02_Eingaben'!$C$17))))</f>
        <v/>
      </c>
      <c r="G2594" s="27">
        <f>IF(F2594="","",F2594-'02_Eingaben'!$C$10)</f>
        <v/>
      </c>
      <c r="H2594">
        <f>IF(F2594="","",IF(F2594&lt;'02_Eingaben'!$C$18*'02_Eingaben'!$C$10,1,0))</f>
        <v/>
      </c>
      <c r="I2594" s="27">
        <f>IF(OR(G2594="",G2595=""),"",(G2594+G2595)/2*(B2595-B2594))</f>
        <v/>
      </c>
      <c r="J2594" s="27">
        <f>IF(B2594="","",IF(B2593&lt;'02_Eingaben'!$C$36,0,J2593+I2593/'02_Eingaben'!$C$8))</f>
        <v/>
      </c>
    </row>
    <row r="2595">
      <c r="A2595">
        <f>IF('01_Rohdaten'!A2595="","",ROW()-1)</f>
        <v/>
      </c>
      <c r="B2595" s="27">
        <f>IF('01_Rohdaten'!A2595="","",'01_Rohdaten'!A2595)</f>
        <v/>
      </c>
      <c r="C2595" s="27">
        <f>IF(B2595="","",INDEX('01_Rohdaten'!B2595:D2595,'02_Eingaben'!$C$13))</f>
        <v/>
      </c>
      <c r="D2595" s="27">
        <f>IF(C2595="","",C2595*'02_Eingaben'!$C$15)</f>
        <v/>
      </c>
      <c r="E2595" s="27">
        <f>IF(D2595="","",D2595*'02_Eingaben'!$C$8)</f>
        <v/>
      </c>
      <c r="F2595" s="27">
        <f>IF(E2595="","",AVERAGE(INDEX($E$2:$E$3001,MAX(1,ROW()-1-'02_Eingaben'!$C$17)):INDEX($E$2:$E$3001,MIN('02_Eingaben'!$C$21,ROW()-1+'02_Eingaben'!$C$17))))</f>
        <v/>
      </c>
      <c r="G2595" s="27">
        <f>IF(F2595="","",F2595-'02_Eingaben'!$C$10)</f>
        <v/>
      </c>
      <c r="H2595">
        <f>IF(F2595="","",IF(F2595&lt;'02_Eingaben'!$C$18*'02_Eingaben'!$C$10,1,0))</f>
        <v/>
      </c>
      <c r="I2595" s="27">
        <f>IF(OR(G2595="",G2596=""),"",(G2595+G2596)/2*(B2596-B2595))</f>
        <v/>
      </c>
      <c r="J2595" s="27">
        <f>IF(B2595="","",IF(B2594&lt;'02_Eingaben'!$C$36,0,J2594+I2594/'02_Eingaben'!$C$8))</f>
        <v/>
      </c>
    </row>
    <row r="2596">
      <c r="A2596">
        <f>IF('01_Rohdaten'!A2596="","",ROW()-1)</f>
        <v/>
      </c>
      <c r="B2596" s="27">
        <f>IF('01_Rohdaten'!A2596="","",'01_Rohdaten'!A2596)</f>
        <v/>
      </c>
      <c r="C2596" s="27">
        <f>IF(B2596="","",INDEX('01_Rohdaten'!B2596:D2596,'02_Eingaben'!$C$13))</f>
        <v/>
      </c>
      <c r="D2596" s="27">
        <f>IF(C2596="","",C2596*'02_Eingaben'!$C$15)</f>
        <v/>
      </c>
      <c r="E2596" s="27">
        <f>IF(D2596="","",D2596*'02_Eingaben'!$C$8)</f>
        <v/>
      </c>
      <c r="F2596" s="27">
        <f>IF(E2596="","",AVERAGE(INDEX($E$2:$E$3001,MAX(1,ROW()-1-'02_Eingaben'!$C$17)):INDEX($E$2:$E$3001,MIN('02_Eingaben'!$C$21,ROW()-1+'02_Eingaben'!$C$17))))</f>
        <v/>
      </c>
      <c r="G2596" s="27">
        <f>IF(F2596="","",F2596-'02_Eingaben'!$C$10)</f>
        <v/>
      </c>
      <c r="H2596">
        <f>IF(F2596="","",IF(F2596&lt;'02_Eingaben'!$C$18*'02_Eingaben'!$C$10,1,0))</f>
        <v/>
      </c>
      <c r="I2596" s="27">
        <f>IF(OR(G2596="",G2597=""),"",(G2596+G2597)/2*(B2597-B2596))</f>
        <v/>
      </c>
      <c r="J2596" s="27">
        <f>IF(B2596="","",IF(B2595&lt;'02_Eingaben'!$C$36,0,J2595+I2595/'02_Eingaben'!$C$8))</f>
        <v/>
      </c>
    </row>
    <row r="2597">
      <c r="A2597">
        <f>IF('01_Rohdaten'!A2597="","",ROW()-1)</f>
        <v/>
      </c>
      <c r="B2597" s="27">
        <f>IF('01_Rohdaten'!A2597="","",'01_Rohdaten'!A2597)</f>
        <v/>
      </c>
      <c r="C2597" s="27">
        <f>IF(B2597="","",INDEX('01_Rohdaten'!B2597:D2597,'02_Eingaben'!$C$13))</f>
        <v/>
      </c>
      <c r="D2597" s="27">
        <f>IF(C2597="","",C2597*'02_Eingaben'!$C$15)</f>
        <v/>
      </c>
      <c r="E2597" s="27">
        <f>IF(D2597="","",D2597*'02_Eingaben'!$C$8)</f>
        <v/>
      </c>
      <c r="F2597" s="27">
        <f>IF(E2597="","",AVERAGE(INDEX($E$2:$E$3001,MAX(1,ROW()-1-'02_Eingaben'!$C$17)):INDEX($E$2:$E$3001,MIN('02_Eingaben'!$C$21,ROW()-1+'02_Eingaben'!$C$17))))</f>
        <v/>
      </c>
      <c r="G2597" s="27">
        <f>IF(F2597="","",F2597-'02_Eingaben'!$C$10)</f>
        <v/>
      </c>
      <c r="H2597">
        <f>IF(F2597="","",IF(F2597&lt;'02_Eingaben'!$C$18*'02_Eingaben'!$C$10,1,0))</f>
        <v/>
      </c>
      <c r="I2597" s="27">
        <f>IF(OR(G2597="",G2598=""),"",(G2597+G2598)/2*(B2598-B2597))</f>
        <v/>
      </c>
      <c r="J2597" s="27">
        <f>IF(B2597="","",IF(B2596&lt;'02_Eingaben'!$C$36,0,J2596+I2596/'02_Eingaben'!$C$8))</f>
        <v/>
      </c>
    </row>
    <row r="2598">
      <c r="A2598">
        <f>IF('01_Rohdaten'!A2598="","",ROW()-1)</f>
        <v/>
      </c>
      <c r="B2598" s="27">
        <f>IF('01_Rohdaten'!A2598="","",'01_Rohdaten'!A2598)</f>
        <v/>
      </c>
      <c r="C2598" s="27">
        <f>IF(B2598="","",INDEX('01_Rohdaten'!B2598:D2598,'02_Eingaben'!$C$13))</f>
        <v/>
      </c>
      <c r="D2598" s="27">
        <f>IF(C2598="","",C2598*'02_Eingaben'!$C$15)</f>
        <v/>
      </c>
      <c r="E2598" s="27">
        <f>IF(D2598="","",D2598*'02_Eingaben'!$C$8)</f>
        <v/>
      </c>
      <c r="F2598" s="27">
        <f>IF(E2598="","",AVERAGE(INDEX($E$2:$E$3001,MAX(1,ROW()-1-'02_Eingaben'!$C$17)):INDEX($E$2:$E$3001,MIN('02_Eingaben'!$C$21,ROW()-1+'02_Eingaben'!$C$17))))</f>
        <v/>
      </c>
      <c r="G2598" s="27">
        <f>IF(F2598="","",F2598-'02_Eingaben'!$C$10)</f>
        <v/>
      </c>
      <c r="H2598">
        <f>IF(F2598="","",IF(F2598&lt;'02_Eingaben'!$C$18*'02_Eingaben'!$C$10,1,0))</f>
        <v/>
      </c>
      <c r="I2598" s="27">
        <f>IF(OR(G2598="",G2599=""),"",(G2598+G2599)/2*(B2599-B2598))</f>
        <v/>
      </c>
      <c r="J2598" s="27">
        <f>IF(B2598="","",IF(B2597&lt;'02_Eingaben'!$C$36,0,J2597+I2597/'02_Eingaben'!$C$8))</f>
        <v/>
      </c>
    </row>
    <row r="2599">
      <c r="A2599">
        <f>IF('01_Rohdaten'!A2599="","",ROW()-1)</f>
        <v/>
      </c>
      <c r="B2599" s="27">
        <f>IF('01_Rohdaten'!A2599="","",'01_Rohdaten'!A2599)</f>
        <v/>
      </c>
      <c r="C2599" s="27">
        <f>IF(B2599="","",INDEX('01_Rohdaten'!B2599:D2599,'02_Eingaben'!$C$13))</f>
        <v/>
      </c>
      <c r="D2599" s="27">
        <f>IF(C2599="","",C2599*'02_Eingaben'!$C$15)</f>
        <v/>
      </c>
      <c r="E2599" s="27">
        <f>IF(D2599="","",D2599*'02_Eingaben'!$C$8)</f>
        <v/>
      </c>
      <c r="F2599" s="27">
        <f>IF(E2599="","",AVERAGE(INDEX($E$2:$E$3001,MAX(1,ROW()-1-'02_Eingaben'!$C$17)):INDEX($E$2:$E$3001,MIN('02_Eingaben'!$C$21,ROW()-1+'02_Eingaben'!$C$17))))</f>
        <v/>
      </c>
      <c r="G2599" s="27">
        <f>IF(F2599="","",F2599-'02_Eingaben'!$C$10)</f>
        <v/>
      </c>
      <c r="H2599">
        <f>IF(F2599="","",IF(F2599&lt;'02_Eingaben'!$C$18*'02_Eingaben'!$C$10,1,0))</f>
        <v/>
      </c>
      <c r="I2599" s="27">
        <f>IF(OR(G2599="",G2600=""),"",(G2599+G2600)/2*(B2600-B2599))</f>
        <v/>
      </c>
      <c r="J2599" s="27">
        <f>IF(B2599="","",IF(B2598&lt;'02_Eingaben'!$C$36,0,J2598+I2598/'02_Eingaben'!$C$8))</f>
        <v/>
      </c>
    </row>
    <row r="2600">
      <c r="A2600">
        <f>IF('01_Rohdaten'!A2600="","",ROW()-1)</f>
        <v/>
      </c>
      <c r="B2600" s="27">
        <f>IF('01_Rohdaten'!A2600="","",'01_Rohdaten'!A2600)</f>
        <v/>
      </c>
      <c r="C2600" s="27">
        <f>IF(B2600="","",INDEX('01_Rohdaten'!B2600:D2600,'02_Eingaben'!$C$13))</f>
        <v/>
      </c>
      <c r="D2600" s="27">
        <f>IF(C2600="","",C2600*'02_Eingaben'!$C$15)</f>
        <v/>
      </c>
      <c r="E2600" s="27">
        <f>IF(D2600="","",D2600*'02_Eingaben'!$C$8)</f>
        <v/>
      </c>
      <c r="F2600" s="27">
        <f>IF(E2600="","",AVERAGE(INDEX($E$2:$E$3001,MAX(1,ROW()-1-'02_Eingaben'!$C$17)):INDEX($E$2:$E$3001,MIN('02_Eingaben'!$C$21,ROW()-1+'02_Eingaben'!$C$17))))</f>
        <v/>
      </c>
      <c r="G2600" s="27">
        <f>IF(F2600="","",F2600-'02_Eingaben'!$C$10)</f>
        <v/>
      </c>
      <c r="H2600">
        <f>IF(F2600="","",IF(F2600&lt;'02_Eingaben'!$C$18*'02_Eingaben'!$C$10,1,0))</f>
        <v/>
      </c>
      <c r="I2600" s="27">
        <f>IF(OR(G2600="",G2601=""),"",(G2600+G2601)/2*(B2601-B2600))</f>
        <v/>
      </c>
      <c r="J2600" s="27">
        <f>IF(B2600="","",IF(B2599&lt;'02_Eingaben'!$C$36,0,J2599+I2599/'02_Eingaben'!$C$8))</f>
        <v/>
      </c>
    </row>
    <row r="2601">
      <c r="A2601">
        <f>IF('01_Rohdaten'!A2601="","",ROW()-1)</f>
        <v/>
      </c>
      <c r="B2601" s="27">
        <f>IF('01_Rohdaten'!A2601="","",'01_Rohdaten'!A2601)</f>
        <v/>
      </c>
      <c r="C2601" s="27">
        <f>IF(B2601="","",INDEX('01_Rohdaten'!B2601:D2601,'02_Eingaben'!$C$13))</f>
        <v/>
      </c>
      <c r="D2601" s="27">
        <f>IF(C2601="","",C2601*'02_Eingaben'!$C$15)</f>
        <v/>
      </c>
      <c r="E2601" s="27">
        <f>IF(D2601="","",D2601*'02_Eingaben'!$C$8)</f>
        <v/>
      </c>
      <c r="F2601" s="27">
        <f>IF(E2601="","",AVERAGE(INDEX($E$2:$E$3001,MAX(1,ROW()-1-'02_Eingaben'!$C$17)):INDEX($E$2:$E$3001,MIN('02_Eingaben'!$C$21,ROW()-1+'02_Eingaben'!$C$17))))</f>
        <v/>
      </c>
      <c r="G2601" s="27">
        <f>IF(F2601="","",F2601-'02_Eingaben'!$C$10)</f>
        <v/>
      </c>
      <c r="H2601">
        <f>IF(F2601="","",IF(F2601&lt;'02_Eingaben'!$C$18*'02_Eingaben'!$C$10,1,0))</f>
        <v/>
      </c>
      <c r="I2601" s="27">
        <f>IF(OR(G2601="",G2602=""),"",(G2601+G2602)/2*(B2602-B2601))</f>
        <v/>
      </c>
      <c r="J2601" s="27">
        <f>IF(B2601="","",IF(B2600&lt;'02_Eingaben'!$C$36,0,J2600+I2600/'02_Eingaben'!$C$8))</f>
        <v/>
      </c>
    </row>
    <row r="2602">
      <c r="A2602">
        <f>IF('01_Rohdaten'!A2602="","",ROW()-1)</f>
        <v/>
      </c>
      <c r="B2602" s="27">
        <f>IF('01_Rohdaten'!A2602="","",'01_Rohdaten'!A2602)</f>
        <v/>
      </c>
      <c r="C2602" s="27">
        <f>IF(B2602="","",INDEX('01_Rohdaten'!B2602:D2602,'02_Eingaben'!$C$13))</f>
        <v/>
      </c>
      <c r="D2602" s="27">
        <f>IF(C2602="","",C2602*'02_Eingaben'!$C$15)</f>
        <v/>
      </c>
      <c r="E2602" s="27">
        <f>IF(D2602="","",D2602*'02_Eingaben'!$C$8)</f>
        <v/>
      </c>
      <c r="F2602" s="27">
        <f>IF(E2602="","",AVERAGE(INDEX($E$2:$E$3001,MAX(1,ROW()-1-'02_Eingaben'!$C$17)):INDEX($E$2:$E$3001,MIN('02_Eingaben'!$C$21,ROW()-1+'02_Eingaben'!$C$17))))</f>
        <v/>
      </c>
      <c r="G2602" s="27">
        <f>IF(F2602="","",F2602-'02_Eingaben'!$C$10)</f>
        <v/>
      </c>
      <c r="H2602">
        <f>IF(F2602="","",IF(F2602&lt;'02_Eingaben'!$C$18*'02_Eingaben'!$C$10,1,0))</f>
        <v/>
      </c>
      <c r="I2602" s="27">
        <f>IF(OR(G2602="",G2603=""),"",(G2602+G2603)/2*(B2603-B2602))</f>
        <v/>
      </c>
      <c r="J2602" s="27">
        <f>IF(B2602="","",IF(B2601&lt;'02_Eingaben'!$C$36,0,J2601+I2601/'02_Eingaben'!$C$8))</f>
        <v/>
      </c>
    </row>
    <row r="2603">
      <c r="A2603">
        <f>IF('01_Rohdaten'!A2603="","",ROW()-1)</f>
        <v/>
      </c>
      <c r="B2603" s="27">
        <f>IF('01_Rohdaten'!A2603="","",'01_Rohdaten'!A2603)</f>
        <v/>
      </c>
      <c r="C2603" s="27">
        <f>IF(B2603="","",INDEX('01_Rohdaten'!B2603:D2603,'02_Eingaben'!$C$13))</f>
        <v/>
      </c>
      <c r="D2603" s="27">
        <f>IF(C2603="","",C2603*'02_Eingaben'!$C$15)</f>
        <v/>
      </c>
      <c r="E2603" s="27">
        <f>IF(D2603="","",D2603*'02_Eingaben'!$C$8)</f>
        <v/>
      </c>
      <c r="F2603" s="27">
        <f>IF(E2603="","",AVERAGE(INDEX($E$2:$E$3001,MAX(1,ROW()-1-'02_Eingaben'!$C$17)):INDEX($E$2:$E$3001,MIN('02_Eingaben'!$C$21,ROW()-1+'02_Eingaben'!$C$17))))</f>
        <v/>
      </c>
      <c r="G2603" s="27">
        <f>IF(F2603="","",F2603-'02_Eingaben'!$C$10)</f>
        <v/>
      </c>
      <c r="H2603">
        <f>IF(F2603="","",IF(F2603&lt;'02_Eingaben'!$C$18*'02_Eingaben'!$C$10,1,0))</f>
        <v/>
      </c>
      <c r="I2603" s="27">
        <f>IF(OR(G2603="",G2604=""),"",(G2603+G2604)/2*(B2604-B2603))</f>
        <v/>
      </c>
      <c r="J2603" s="27">
        <f>IF(B2603="","",IF(B2602&lt;'02_Eingaben'!$C$36,0,J2602+I2602/'02_Eingaben'!$C$8))</f>
        <v/>
      </c>
    </row>
    <row r="2604">
      <c r="A2604">
        <f>IF('01_Rohdaten'!A2604="","",ROW()-1)</f>
        <v/>
      </c>
      <c r="B2604" s="27">
        <f>IF('01_Rohdaten'!A2604="","",'01_Rohdaten'!A2604)</f>
        <v/>
      </c>
      <c r="C2604" s="27">
        <f>IF(B2604="","",INDEX('01_Rohdaten'!B2604:D2604,'02_Eingaben'!$C$13))</f>
        <v/>
      </c>
      <c r="D2604" s="27">
        <f>IF(C2604="","",C2604*'02_Eingaben'!$C$15)</f>
        <v/>
      </c>
      <c r="E2604" s="27">
        <f>IF(D2604="","",D2604*'02_Eingaben'!$C$8)</f>
        <v/>
      </c>
      <c r="F2604" s="27">
        <f>IF(E2604="","",AVERAGE(INDEX($E$2:$E$3001,MAX(1,ROW()-1-'02_Eingaben'!$C$17)):INDEX($E$2:$E$3001,MIN('02_Eingaben'!$C$21,ROW()-1+'02_Eingaben'!$C$17))))</f>
        <v/>
      </c>
      <c r="G2604" s="27">
        <f>IF(F2604="","",F2604-'02_Eingaben'!$C$10)</f>
        <v/>
      </c>
      <c r="H2604">
        <f>IF(F2604="","",IF(F2604&lt;'02_Eingaben'!$C$18*'02_Eingaben'!$C$10,1,0))</f>
        <v/>
      </c>
      <c r="I2604" s="27">
        <f>IF(OR(G2604="",G2605=""),"",(G2604+G2605)/2*(B2605-B2604))</f>
        <v/>
      </c>
      <c r="J2604" s="27">
        <f>IF(B2604="","",IF(B2603&lt;'02_Eingaben'!$C$36,0,J2603+I2603/'02_Eingaben'!$C$8))</f>
        <v/>
      </c>
    </row>
    <row r="2605">
      <c r="A2605">
        <f>IF('01_Rohdaten'!A2605="","",ROW()-1)</f>
        <v/>
      </c>
      <c r="B2605" s="27">
        <f>IF('01_Rohdaten'!A2605="","",'01_Rohdaten'!A2605)</f>
        <v/>
      </c>
      <c r="C2605" s="27">
        <f>IF(B2605="","",INDEX('01_Rohdaten'!B2605:D2605,'02_Eingaben'!$C$13))</f>
        <v/>
      </c>
      <c r="D2605" s="27">
        <f>IF(C2605="","",C2605*'02_Eingaben'!$C$15)</f>
        <v/>
      </c>
      <c r="E2605" s="27">
        <f>IF(D2605="","",D2605*'02_Eingaben'!$C$8)</f>
        <v/>
      </c>
      <c r="F2605" s="27">
        <f>IF(E2605="","",AVERAGE(INDEX($E$2:$E$3001,MAX(1,ROW()-1-'02_Eingaben'!$C$17)):INDEX($E$2:$E$3001,MIN('02_Eingaben'!$C$21,ROW()-1+'02_Eingaben'!$C$17))))</f>
        <v/>
      </c>
      <c r="G2605" s="27">
        <f>IF(F2605="","",F2605-'02_Eingaben'!$C$10)</f>
        <v/>
      </c>
      <c r="H2605">
        <f>IF(F2605="","",IF(F2605&lt;'02_Eingaben'!$C$18*'02_Eingaben'!$C$10,1,0))</f>
        <v/>
      </c>
      <c r="I2605" s="27">
        <f>IF(OR(G2605="",G2606=""),"",(G2605+G2606)/2*(B2606-B2605))</f>
        <v/>
      </c>
      <c r="J2605" s="27">
        <f>IF(B2605="","",IF(B2604&lt;'02_Eingaben'!$C$36,0,J2604+I2604/'02_Eingaben'!$C$8))</f>
        <v/>
      </c>
    </row>
    <row r="2606">
      <c r="A2606">
        <f>IF('01_Rohdaten'!A2606="","",ROW()-1)</f>
        <v/>
      </c>
      <c r="B2606" s="27">
        <f>IF('01_Rohdaten'!A2606="","",'01_Rohdaten'!A2606)</f>
        <v/>
      </c>
      <c r="C2606" s="27">
        <f>IF(B2606="","",INDEX('01_Rohdaten'!B2606:D2606,'02_Eingaben'!$C$13))</f>
        <v/>
      </c>
      <c r="D2606" s="27">
        <f>IF(C2606="","",C2606*'02_Eingaben'!$C$15)</f>
        <v/>
      </c>
      <c r="E2606" s="27">
        <f>IF(D2606="","",D2606*'02_Eingaben'!$C$8)</f>
        <v/>
      </c>
      <c r="F2606" s="27">
        <f>IF(E2606="","",AVERAGE(INDEX($E$2:$E$3001,MAX(1,ROW()-1-'02_Eingaben'!$C$17)):INDEX($E$2:$E$3001,MIN('02_Eingaben'!$C$21,ROW()-1+'02_Eingaben'!$C$17))))</f>
        <v/>
      </c>
      <c r="G2606" s="27">
        <f>IF(F2606="","",F2606-'02_Eingaben'!$C$10)</f>
        <v/>
      </c>
      <c r="H2606">
        <f>IF(F2606="","",IF(F2606&lt;'02_Eingaben'!$C$18*'02_Eingaben'!$C$10,1,0))</f>
        <v/>
      </c>
      <c r="I2606" s="27">
        <f>IF(OR(G2606="",G2607=""),"",(G2606+G2607)/2*(B2607-B2606))</f>
        <v/>
      </c>
      <c r="J2606" s="27">
        <f>IF(B2606="","",IF(B2605&lt;'02_Eingaben'!$C$36,0,J2605+I2605/'02_Eingaben'!$C$8))</f>
        <v/>
      </c>
    </row>
    <row r="2607">
      <c r="A2607">
        <f>IF('01_Rohdaten'!A2607="","",ROW()-1)</f>
        <v/>
      </c>
      <c r="B2607" s="27">
        <f>IF('01_Rohdaten'!A2607="","",'01_Rohdaten'!A2607)</f>
        <v/>
      </c>
      <c r="C2607" s="27">
        <f>IF(B2607="","",INDEX('01_Rohdaten'!B2607:D2607,'02_Eingaben'!$C$13))</f>
        <v/>
      </c>
      <c r="D2607" s="27">
        <f>IF(C2607="","",C2607*'02_Eingaben'!$C$15)</f>
        <v/>
      </c>
      <c r="E2607" s="27">
        <f>IF(D2607="","",D2607*'02_Eingaben'!$C$8)</f>
        <v/>
      </c>
      <c r="F2607" s="27">
        <f>IF(E2607="","",AVERAGE(INDEX($E$2:$E$3001,MAX(1,ROW()-1-'02_Eingaben'!$C$17)):INDEX($E$2:$E$3001,MIN('02_Eingaben'!$C$21,ROW()-1+'02_Eingaben'!$C$17))))</f>
        <v/>
      </c>
      <c r="G2607" s="27">
        <f>IF(F2607="","",F2607-'02_Eingaben'!$C$10)</f>
        <v/>
      </c>
      <c r="H2607">
        <f>IF(F2607="","",IF(F2607&lt;'02_Eingaben'!$C$18*'02_Eingaben'!$C$10,1,0))</f>
        <v/>
      </c>
      <c r="I2607" s="27">
        <f>IF(OR(G2607="",G2608=""),"",(G2607+G2608)/2*(B2608-B2607))</f>
        <v/>
      </c>
      <c r="J2607" s="27">
        <f>IF(B2607="","",IF(B2606&lt;'02_Eingaben'!$C$36,0,J2606+I2606/'02_Eingaben'!$C$8))</f>
        <v/>
      </c>
    </row>
    <row r="2608">
      <c r="A2608">
        <f>IF('01_Rohdaten'!A2608="","",ROW()-1)</f>
        <v/>
      </c>
      <c r="B2608" s="27">
        <f>IF('01_Rohdaten'!A2608="","",'01_Rohdaten'!A2608)</f>
        <v/>
      </c>
      <c r="C2608" s="27">
        <f>IF(B2608="","",INDEX('01_Rohdaten'!B2608:D2608,'02_Eingaben'!$C$13))</f>
        <v/>
      </c>
      <c r="D2608" s="27">
        <f>IF(C2608="","",C2608*'02_Eingaben'!$C$15)</f>
        <v/>
      </c>
      <c r="E2608" s="27">
        <f>IF(D2608="","",D2608*'02_Eingaben'!$C$8)</f>
        <v/>
      </c>
      <c r="F2608" s="27">
        <f>IF(E2608="","",AVERAGE(INDEX($E$2:$E$3001,MAX(1,ROW()-1-'02_Eingaben'!$C$17)):INDEX($E$2:$E$3001,MIN('02_Eingaben'!$C$21,ROW()-1+'02_Eingaben'!$C$17))))</f>
        <v/>
      </c>
      <c r="G2608" s="27">
        <f>IF(F2608="","",F2608-'02_Eingaben'!$C$10)</f>
        <v/>
      </c>
      <c r="H2608">
        <f>IF(F2608="","",IF(F2608&lt;'02_Eingaben'!$C$18*'02_Eingaben'!$C$10,1,0))</f>
        <v/>
      </c>
      <c r="I2608" s="27">
        <f>IF(OR(G2608="",G2609=""),"",(G2608+G2609)/2*(B2609-B2608))</f>
        <v/>
      </c>
      <c r="J2608" s="27">
        <f>IF(B2608="","",IF(B2607&lt;'02_Eingaben'!$C$36,0,J2607+I2607/'02_Eingaben'!$C$8))</f>
        <v/>
      </c>
    </row>
    <row r="2609">
      <c r="A2609">
        <f>IF('01_Rohdaten'!A2609="","",ROW()-1)</f>
        <v/>
      </c>
      <c r="B2609" s="27">
        <f>IF('01_Rohdaten'!A2609="","",'01_Rohdaten'!A2609)</f>
        <v/>
      </c>
      <c r="C2609" s="27">
        <f>IF(B2609="","",INDEX('01_Rohdaten'!B2609:D2609,'02_Eingaben'!$C$13))</f>
        <v/>
      </c>
      <c r="D2609" s="27">
        <f>IF(C2609="","",C2609*'02_Eingaben'!$C$15)</f>
        <v/>
      </c>
      <c r="E2609" s="27">
        <f>IF(D2609="","",D2609*'02_Eingaben'!$C$8)</f>
        <v/>
      </c>
      <c r="F2609" s="27">
        <f>IF(E2609="","",AVERAGE(INDEX($E$2:$E$3001,MAX(1,ROW()-1-'02_Eingaben'!$C$17)):INDEX($E$2:$E$3001,MIN('02_Eingaben'!$C$21,ROW()-1+'02_Eingaben'!$C$17))))</f>
        <v/>
      </c>
      <c r="G2609" s="27">
        <f>IF(F2609="","",F2609-'02_Eingaben'!$C$10)</f>
        <v/>
      </c>
      <c r="H2609">
        <f>IF(F2609="","",IF(F2609&lt;'02_Eingaben'!$C$18*'02_Eingaben'!$C$10,1,0))</f>
        <v/>
      </c>
      <c r="I2609" s="27">
        <f>IF(OR(G2609="",G2610=""),"",(G2609+G2610)/2*(B2610-B2609))</f>
        <v/>
      </c>
      <c r="J2609" s="27">
        <f>IF(B2609="","",IF(B2608&lt;'02_Eingaben'!$C$36,0,J2608+I2608/'02_Eingaben'!$C$8))</f>
        <v/>
      </c>
    </row>
    <row r="2610">
      <c r="A2610">
        <f>IF('01_Rohdaten'!A2610="","",ROW()-1)</f>
        <v/>
      </c>
      <c r="B2610" s="27">
        <f>IF('01_Rohdaten'!A2610="","",'01_Rohdaten'!A2610)</f>
        <v/>
      </c>
      <c r="C2610" s="27">
        <f>IF(B2610="","",INDEX('01_Rohdaten'!B2610:D2610,'02_Eingaben'!$C$13))</f>
        <v/>
      </c>
      <c r="D2610" s="27">
        <f>IF(C2610="","",C2610*'02_Eingaben'!$C$15)</f>
        <v/>
      </c>
      <c r="E2610" s="27">
        <f>IF(D2610="","",D2610*'02_Eingaben'!$C$8)</f>
        <v/>
      </c>
      <c r="F2610" s="27">
        <f>IF(E2610="","",AVERAGE(INDEX($E$2:$E$3001,MAX(1,ROW()-1-'02_Eingaben'!$C$17)):INDEX($E$2:$E$3001,MIN('02_Eingaben'!$C$21,ROW()-1+'02_Eingaben'!$C$17))))</f>
        <v/>
      </c>
      <c r="G2610" s="27">
        <f>IF(F2610="","",F2610-'02_Eingaben'!$C$10)</f>
        <v/>
      </c>
      <c r="H2610">
        <f>IF(F2610="","",IF(F2610&lt;'02_Eingaben'!$C$18*'02_Eingaben'!$C$10,1,0))</f>
        <v/>
      </c>
      <c r="I2610" s="27">
        <f>IF(OR(G2610="",G2611=""),"",(G2610+G2611)/2*(B2611-B2610))</f>
        <v/>
      </c>
      <c r="J2610" s="27">
        <f>IF(B2610="","",IF(B2609&lt;'02_Eingaben'!$C$36,0,J2609+I2609/'02_Eingaben'!$C$8))</f>
        <v/>
      </c>
    </row>
    <row r="2611">
      <c r="A2611">
        <f>IF('01_Rohdaten'!A2611="","",ROW()-1)</f>
        <v/>
      </c>
      <c r="B2611" s="27">
        <f>IF('01_Rohdaten'!A2611="","",'01_Rohdaten'!A2611)</f>
        <v/>
      </c>
      <c r="C2611" s="27">
        <f>IF(B2611="","",INDEX('01_Rohdaten'!B2611:D2611,'02_Eingaben'!$C$13))</f>
        <v/>
      </c>
      <c r="D2611" s="27">
        <f>IF(C2611="","",C2611*'02_Eingaben'!$C$15)</f>
        <v/>
      </c>
      <c r="E2611" s="27">
        <f>IF(D2611="","",D2611*'02_Eingaben'!$C$8)</f>
        <v/>
      </c>
      <c r="F2611" s="27">
        <f>IF(E2611="","",AVERAGE(INDEX($E$2:$E$3001,MAX(1,ROW()-1-'02_Eingaben'!$C$17)):INDEX($E$2:$E$3001,MIN('02_Eingaben'!$C$21,ROW()-1+'02_Eingaben'!$C$17))))</f>
        <v/>
      </c>
      <c r="G2611" s="27">
        <f>IF(F2611="","",F2611-'02_Eingaben'!$C$10)</f>
        <v/>
      </c>
      <c r="H2611">
        <f>IF(F2611="","",IF(F2611&lt;'02_Eingaben'!$C$18*'02_Eingaben'!$C$10,1,0))</f>
        <v/>
      </c>
      <c r="I2611" s="27">
        <f>IF(OR(G2611="",G2612=""),"",(G2611+G2612)/2*(B2612-B2611))</f>
        <v/>
      </c>
      <c r="J2611" s="27">
        <f>IF(B2611="","",IF(B2610&lt;'02_Eingaben'!$C$36,0,J2610+I2610/'02_Eingaben'!$C$8))</f>
        <v/>
      </c>
    </row>
    <row r="2612">
      <c r="A2612">
        <f>IF('01_Rohdaten'!A2612="","",ROW()-1)</f>
        <v/>
      </c>
      <c r="B2612" s="27">
        <f>IF('01_Rohdaten'!A2612="","",'01_Rohdaten'!A2612)</f>
        <v/>
      </c>
      <c r="C2612" s="27">
        <f>IF(B2612="","",INDEX('01_Rohdaten'!B2612:D2612,'02_Eingaben'!$C$13))</f>
        <v/>
      </c>
      <c r="D2612" s="27">
        <f>IF(C2612="","",C2612*'02_Eingaben'!$C$15)</f>
        <v/>
      </c>
      <c r="E2612" s="27">
        <f>IF(D2612="","",D2612*'02_Eingaben'!$C$8)</f>
        <v/>
      </c>
      <c r="F2612" s="27">
        <f>IF(E2612="","",AVERAGE(INDEX($E$2:$E$3001,MAX(1,ROW()-1-'02_Eingaben'!$C$17)):INDEX($E$2:$E$3001,MIN('02_Eingaben'!$C$21,ROW()-1+'02_Eingaben'!$C$17))))</f>
        <v/>
      </c>
      <c r="G2612" s="27">
        <f>IF(F2612="","",F2612-'02_Eingaben'!$C$10)</f>
        <v/>
      </c>
      <c r="H2612">
        <f>IF(F2612="","",IF(F2612&lt;'02_Eingaben'!$C$18*'02_Eingaben'!$C$10,1,0))</f>
        <v/>
      </c>
      <c r="I2612" s="27">
        <f>IF(OR(G2612="",G2613=""),"",(G2612+G2613)/2*(B2613-B2612))</f>
        <v/>
      </c>
      <c r="J2612" s="27">
        <f>IF(B2612="","",IF(B2611&lt;'02_Eingaben'!$C$36,0,J2611+I2611/'02_Eingaben'!$C$8))</f>
        <v/>
      </c>
    </row>
    <row r="2613">
      <c r="A2613">
        <f>IF('01_Rohdaten'!A2613="","",ROW()-1)</f>
        <v/>
      </c>
      <c r="B2613" s="27">
        <f>IF('01_Rohdaten'!A2613="","",'01_Rohdaten'!A2613)</f>
        <v/>
      </c>
      <c r="C2613" s="27">
        <f>IF(B2613="","",INDEX('01_Rohdaten'!B2613:D2613,'02_Eingaben'!$C$13))</f>
        <v/>
      </c>
      <c r="D2613" s="27">
        <f>IF(C2613="","",C2613*'02_Eingaben'!$C$15)</f>
        <v/>
      </c>
      <c r="E2613" s="27">
        <f>IF(D2613="","",D2613*'02_Eingaben'!$C$8)</f>
        <v/>
      </c>
      <c r="F2613" s="27">
        <f>IF(E2613="","",AVERAGE(INDEX($E$2:$E$3001,MAX(1,ROW()-1-'02_Eingaben'!$C$17)):INDEX($E$2:$E$3001,MIN('02_Eingaben'!$C$21,ROW()-1+'02_Eingaben'!$C$17))))</f>
        <v/>
      </c>
      <c r="G2613" s="27">
        <f>IF(F2613="","",F2613-'02_Eingaben'!$C$10)</f>
        <v/>
      </c>
      <c r="H2613">
        <f>IF(F2613="","",IF(F2613&lt;'02_Eingaben'!$C$18*'02_Eingaben'!$C$10,1,0))</f>
        <v/>
      </c>
      <c r="I2613" s="27">
        <f>IF(OR(G2613="",G2614=""),"",(G2613+G2614)/2*(B2614-B2613))</f>
        <v/>
      </c>
      <c r="J2613" s="27">
        <f>IF(B2613="","",IF(B2612&lt;'02_Eingaben'!$C$36,0,J2612+I2612/'02_Eingaben'!$C$8))</f>
        <v/>
      </c>
    </row>
    <row r="2614">
      <c r="A2614">
        <f>IF('01_Rohdaten'!A2614="","",ROW()-1)</f>
        <v/>
      </c>
      <c r="B2614" s="27">
        <f>IF('01_Rohdaten'!A2614="","",'01_Rohdaten'!A2614)</f>
        <v/>
      </c>
      <c r="C2614" s="27">
        <f>IF(B2614="","",INDEX('01_Rohdaten'!B2614:D2614,'02_Eingaben'!$C$13))</f>
        <v/>
      </c>
      <c r="D2614" s="27">
        <f>IF(C2614="","",C2614*'02_Eingaben'!$C$15)</f>
        <v/>
      </c>
      <c r="E2614" s="27">
        <f>IF(D2614="","",D2614*'02_Eingaben'!$C$8)</f>
        <v/>
      </c>
      <c r="F2614" s="27">
        <f>IF(E2614="","",AVERAGE(INDEX($E$2:$E$3001,MAX(1,ROW()-1-'02_Eingaben'!$C$17)):INDEX($E$2:$E$3001,MIN('02_Eingaben'!$C$21,ROW()-1+'02_Eingaben'!$C$17))))</f>
        <v/>
      </c>
      <c r="G2614" s="27">
        <f>IF(F2614="","",F2614-'02_Eingaben'!$C$10)</f>
        <v/>
      </c>
      <c r="H2614">
        <f>IF(F2614="","",IF(F2614&lt;'02_Eingaben'!$C$18*'02_Eingaben'!$C$10,1,0))</f>
        <v/>
      </c>
      <c r="I2614" s="27">
        <f>IF(OR(G2614="",G2615=""),"",(G2614+G2615)/2*(B2615-B2614))</f>
        <v/>
      </c>
      <c r="J2614" s="27">
        <f>IF(B2614="","",IF(B2613&lt;'02_Eingaben'!$C$36,0,J2613+I2613/'02_Eingaben'!$C$8))</f>
        <v/>
      </c>
    </row>
    <row r="2615">
      <c r="A2615">
        <f>IF('01_Rohdaten'!A2615="","",ROW()-1)</f>
        <v/>
      </c>
      <c r="B2615" s="27">
        <f>IF('01_Rohdaten'!A2615="","",'01_Rohdaten'!A2615)</f>
        <v/>
      </c>
      <c r="C2615" s="27">
        <f>IF(B2615="","",INDEX('01_Rohdaten'!B2615:D2615,'02_Eingaben'!$C$13))</f>
        <v/>
      </c>
      <c r="D2615" s="27">
        <f>IF(C2615="","",C2615*'02_Eingaben'!$C$15)</f>
        <v/>
      </c>
      <c r="E2615" s="27">
        <f>IF(D2615="","",D2615*'02_Eingaben'!$C$8)</f>
        <v/>
      </c>
      <c r="F2615" s="27">
        <f>IF(E2615="","",AVERAGE(INDEX($E$2:$E$3001,MAX(1,ROW()-1-'02_Eingaben'!$C$17)):INDEX($E$2:$E$3001,MIN('02_Eingaben'!$C$21,ROW()-1+'02_Eingaben'!$C$17))))</f>
        <v/>
      </c>
      <c r="G2615" s="27">
        <f>IF(F2615="","",F2615-'02_Eingaben'!$C$10)</f>
        <v/>
      </c>
      <c r="H2615">
        <f>IF(F2615="","",IF(F2615&lt;'02_Eingaben'!$C$18*'02_Eingaben'!$C$10,1,0))</f>
        <v/>
      </c>
      <c r="I2615" s="27">
        <f>IF(OR(G2615="",G2616=""),"",(G2615+G2616)/2*(B2616-B2615))</f>
        <v/>
      </c>
      <c r="J2615" s="27">
        <f>IF(B2615="","",IF(B2614&lt;'02_Eingaben'!$C$36,0,J2614+I2614/'02_Eingaben'!$C$8))</f>
        <v/>
      </c>
    </row>
    <row r="2616">
      <c r="A2616">
        <f>IF('01_Rohdaten'!A2616="","",ROW()-1)</f>
        <v/>
      </c>
      <c r="B2616" s="27">
        <f>IF('01_Rohdaten'!A2616="","",'01_Rohdaten'!A2616)</f>
        <v/>
      </c>
      <c r="C2616" s="27">
        <f>IF(B2616="","",INDEX('01_Rohdaten'!B2616:D2616,'02_Eingaben'!$C$13))</f>
        <v/>
      </c>
      <c r="D2616" s="27">
        <f>IF(C2616="","",C2616*'02_Eingaben'!$C$15)</f>
        <v/>
      </c>
      <c r="E2616" s="27">
        <f>IF(D2616="","",D2616*'02_Eingaben'!$C$8)</f>
        <v/>
      </c>
      <c r="F2616" s="27">
        <f>IF(E2616="","",AVERAGE(INDEX($E$2:$E$3001,MAX(1,ROW()-1-'02_Eingaben'!$C$17)):INDEX($E$2:$E$3001,MIN('02_Eingaben'!$C$21,ROW()-1+'02_Eingaben'!$C$17))))</f>
        <v/>
      </c>
      <c r="G2616" s="27">
        <f>IF(F2616="","",F2616-'02_Eingaben'!$C$10)</f>
        <v/>
      </c>
      <c r="H2616">
        <f>IF(F2616="","",IF(F2616&lt;'02_Eingaben'!$C$18*'02_Eingaben'!$C$10,1,0))</f>
        <v/>
      </c>
      <c r="I2616" s="27">
        <f>IF(OR(G2616="",G2617=""),"",(G2616+G2617)/2*(B2617-B2616))</f>
        <v/>
      </c>
      <c r="J2616" s="27">
        <f>IF(B2616="","",IF(B2615&lt;'02_Eingaben'!$C$36,0,J2615+I2615/'02_Eingaben'!$C$8))</f>
        <v/>
      </c>
    </row>
    <row r="2617">
      <c r="A2617">
        <f>IF('01_Rohdaten'!A2617="","",ROW()-1)</f>
        <v/>
      </c>
      <c r="B2617" s="27">
        <f>IF('01_Rohdaten'!A2617="","",'01_Rohdaten'!A2617)</f>
        <v/>
      </c>
      <c r="C2617" s="27">
        <f>IF(B2617="","",INDEX('01_Rohdaten'!B2617:D2617,'02_Eingaben'!$C$13))</f>
        <v/>
      </c>
      <c r="D2617" s="27">
        <f>IF(C2617="","",C2617*'02_Eingaben'!$C$15)</f>
        <v/>
      </c>
      <c r="E2617" s="27">
        <f>IF(D2617="","",D2617*'02_Eingaben'!$C$8)</f>
        <v/>
      </c>
      <c r="F2617" s="27">
        <f>IF(E2617="","",AVERAGE(INDEX($E$2:$E$3001,MAX(1,ROW()-1-'02_Eingaben'!$C$17)):INDEX($E$2:$E$3001,MIN('02_Eingaben'!$C$21,ROW()-1+'02_Eingaben'!$C$17))))</f>
        <v/>
      </c>
      <c r="G2617" s="27">
        <f>IF(F2617="","",F2617-'02_Eingaben'!$C$10)</f>
        <v/>
      </c>
      <c r="H2617">
        <f>IF(F2617="","",IF(F2617&lt;'02_Eingaben'!$C$18*'02_Eingaben'!$C$10,1,0))</f>
        <v/>
      </c>
      <c r="I2617" s="27">
        <f>IF(OR(G2617="",G2618=""),"",(G2617+G2618)/2*(B2618-B2617))</f>
        <v/>
      </c>
      <c r="J2617" s="27">
        <f>IF(B2617="","",IF(B2616&lt;'02_Eingaben'!$C$36,0,J2616+I2616/'02_Eingaben'!$C$8))</f>
        <v/>
      </c>
    </row>
    <row r="2618">
      <c r="A2618">
        <f>IF('01_Rohdaten'!A2618="","",ROW()-1)</f>
        <v/>
      </c>
      <c r="B2618" s="27">
        <f>IF('01_Rohdaten'!A2618="","",'01_Rohdaten'!A2618)</f>
        <v/>
      </c>
      <c r="C2618" s="27">
        <f>IF(B2618="","",INDEX('01_Rohdaten'!B2618:D2618,'02_Eingaben'!$C$13))</f>
        <v/>
      </c>
      <c r="D2618" s="27">
        <f>IF(C2618="","",C2618*'02_Eingaben'!$C$15)</f>
        <v/>
      </c>
      <c r="E2618" s="27">
        <f>IF(D2618="","",D2618*'02_Eingaben'!$C$8)</f>
        <v/>
      </c>
      <c r="F2618" s="27">
        <f>IF(E2618="","",AVERAGE(INDEX($E$2:$E$3001,MAX(1,ROW()-1-'02_Eingaben'!$C$17)):INDEX($E$2:$E$3001,MIN('02_Eingaben'!$C$21,ROW()-1+'02_Eingaben'!$C$17))))</f>
        <v/>
      </c>
      <c r="G2618" s="27">
        <f>IF(F2618="","",F2618-'02_Eingaben'!$C$10)</f>
        <v/>
      </c>
      <c r="H2618">
        <f>IF(F2618="","",IF(F2618&lt;'02_Eingaben'!$C$18*'02_Eingaben'!$C$10,1,0))</f>
        <v/>
      </c>
      <c r="I2618" s="27">
        <f>IF(OR(G2618="",G2619=""),"",(G2618+G2619)/2*(B2619-B2618))</f>
        <v/>
      </c>
      <c r="J2618" s="27">
        <f>IF(B2618="","",IF(B2617&lt;'02_Eingaben'!$C$36,0,J2617+I2617/'02_Eingaben'!$C$8))</f>
        <v/>
      </c>
    </row>
    <row r="2619">
      <c r="A2619">
        <f>IF('01_Rohdaten'!A2619="","",ROW()-1)</f>
        <v/>
      </c>
      <c r="B2619" s="27">
        <f>IF('01_Rohdaten'!A2619="","",'01_Rohdaten'!A2619)</f>
        <v/>
      </c>
      <c r="C2619" s="27">
        <f>IF(B2619="","",INDEX('01_Rohdaten'!B2619:D2619,'02_Eingaben'!$C$13))</f>
        <v/>
      </c>
      <c r="D2619" s="27">
        <f>IF(C2619="","",C2619*'02_Eingaben'!$C$15)</f>
        <v/>
      </c>
      <c r="E2619" s="27">
        <f>IF(D2619="","",D2619*'02_Eingaben'!$C$8)</f>
        <v/>
      </c>
      <c r="F2619" s="27">
        <f>IF(E2619="","",AVERAGE(INDEX($E$2:$E$3001,MAX(1,ROW()-1-'02_Eingaben'!$C$17)):INDEX($E$2:$E$3001,MIN('02_Eingaben'!$C$21,ROW()-1+'02_Eingaben'!$C$17))))</f>
        <v/>
      </c>
      <c r="G2619" s="27">
        <f>IF(F2619="","",F2619-'02_Eingaben'!$C$10)</f>
        <v/>
      </c>
      <c r="H2619">
        <f>IF(F2619="","",IF(F2619&lt;'02_Eingaben'!$C$18*'02_Eingaben'!$C$10,1,0))</f>
        <v/>
      </c>
      <c r="I2619" s="27">
        <f>IF(OR(G2619="",G2620=""),"",(G2619+G2620)/2*(B2620-B2619))</f>
        <v/>
      </c>
      <c r="J2619" s="27">
        <f>IF(B2619="","",IF(B2618&lt;'02_Eingaben'!$C$36,0,J2618+I2618/'02_Eingaben'!$C$8))</f>
        <v/>
      </c>
    </row>
    <row r="2620">
      <c r="A2620">
        <f>IF('01_Rohdaten'!A2620="","",ROW()-1)</f>
        <v/>
      </c>
      <c r="B2620" s="27">
        <f>IF('01_Rohdaten'!A2620="","",'01_Rohdaten'!A2620)</f>
        <v/>
      </c>
      <c r="C2620" s="27">
        <f>IF(B2620="","",INDEX('01_Rohdaten'!B2620:D2620,'02_Eingaben'!$C$13))</f>
        <v/>
      </c>
      <c r="D2620" s="27">
        <f>IF(C2620="","",C2620*'02_Eingaben'!$C$15)</f>
        <v/>
      </c>
      <c r="E2620" s="27">
        <f>IF(D2620="","",D2620*'02_Eingaben'!$C$8)</f>
        <v/>
      </c>
      <c r="F2620" s="27">
        <f>IF(E2620="","",AVERAGE(INDEX($E$2:$E$3001,MAX(1,ROW()-1-'02_Eingaben'!$C$17)):INDEX($E$2:$E$3001,MIN('02_Eingaben'!$C$21,ROW()-1+'02_Eingaben'!$C$17))))</f>
        <v/>
      </c>
      <c r="G2620" s="27">
        <f>IF(F2620="","",F2620-'02_Eingaben'!$C$10)</f>
        <v/>
      </c>
      <c r="H2620">
        <f>IF(F2620="","",IF(F2620&lt;'02_Eingaben'!$C$18*'02_Eingaben'!$C$10,1,0))</f>
        <v/>
      </c>
      <c r="I2620" s="27">
        <f>IF(OR(G2620="",G2621=""),"",(G2620+G2621)/2*(B2621-B2620))</f>
        <v/>
      </c>
      <c r="J2620" s="27">
        <f>IF(B2620="","",IF(B2619&lt;'02_Eingaben'!$C$36,0,J2619+I2619/'02_Eingaben'!$C$8))</f>
        <v/>
      </c>
    </row>
    <row r="2621">
      <c r="A2621">
        <f>IF('01_Rohdaten'!A2621="","",ROW()-1)</f>
        <v/>
      </c>
      <c r="B2621" s="27">
        <f>IF('01_Rohdaten'!A2621="","",'01_Rohdaten'!A2621)</f>
        <v/>
      </c>
      <c r="C2621" s="27">
        <f>IF(B2621="","",INDEX('01_Rohdaten'!B2621:D2621,'02_Eingaben'!$C$13))</f>
        <v/>
      </c>
      <c r="D2621" s="27">
        <f>IF(C2621="","",C2621*'02_Eingaben'!$C$15)</f>
        <v/>
      </c>
      <c r="E2621" s="27">
        <f>IF(D2621="","",D2621*'02_Eingaben'!$C$8)</f>
        <v/>
      </c>
      <c r="F2621" s="27">
        <f>IF(E2621="","",AVERAGE(INDEX($E$2:$E$3001,MAX(1,ROW()-1-'02_Eingaben'!$C$17)):INDEX($E$2:$E$3001,MIN('02_Eingaben'!$C$21,ROW()-1+'02_Eingaben'!$C$17))))</f>
        <v/>
      </c>
      <c r="G2621" s="27">
        <f>IF(F2621="","",F2621-'02_Eingaben'!$C$10)</f>
        <v/>
      </c>
      <c r="H2621">
        <f>IF(F2621="","",IF(F2621&lt;'02_Eingaben'!$C$18*'02_Eingaben'!$C$10,1,0))</f>
        <v/>
      </c>
      <c r="I2621" s="27">
        <f>IF(OR(G2621="",G2622=""),"",(G2621+G2622)/2*(B2622-B2621))</f>
        <v/>
      </c>
      <c r="J2621" s="27">
        <f>IF(B2621="","",IF(B2620&lt;'02_Eingaben'!$C$36,0,J2620+I2620/'02_Eingaben'!$C$8))</f>
        <v/>
      </c>
    </row>
    <row r="2622">
      <c r="A2622">
        <f>IF('01_Rohdaten'!A2622="","",ROW()-1)</f>
        <v/>
      </c>
      <c r="B2622" s="27">
        <f>IF('01_Rohdaten'!A2622="","",'01_Rohdaten'!A2622)</f>
        <v/>
      </c>
      <c r="C2622" s="27">
        <f>IF(B2622="","",INDEX('01_Rohdaten'!B2622:D2622,'02_Eingaben'!$C$13))</f>
        <v/>
      </c>
      <c r="D2622" s="27">
        <f>IF(C2622="","",C2622*'02_Eingaben'!$C$15)</f>
        <v/>
      </c>
      <c r="E2622" s="27">
        <f>IF(D2622="","",D2622*'02_Eingaben'!$C$8)</f>
        <v/>
      </c>
      <c r="F2622" s="27">
        <f>IF(E2622="","",AVERAGE(INDEX($E$2:$E$3001,MAX(1,ROW()-1-'02_Eingaben'!$C$17)):INDEX($E$2:$E$3001,MIN('02_Eingaben'!$C$21,ROW()-1+'02_Eingaben'!$C$17))))</f>
        <v/>
      </c>
      <c r="G2622" s="27">
        <f>IF(F2622="","",F2622-'02_Eingaben'!$C$10)</f>
        <v/>
      </c>
      <c r="H2622">
        <f>IF(F2622="","",IF(F2622&lt;'02_Eingaben'!$C$18*'02_Eingaben'!$C$10,1,0))</f>
        <v/>
      </c>
      <c r="I2622" s="27">
        <f>IF(OR(G2622="",G2623=""),"",(G2622+G2623)/2*(B2623-B2622))</f>
        <v/>
      </c>
      <c r="J2622" s="27">
        <f>IF(B2622="","",IF(B2621&lt;'02_Eingaben'!$C$36,0,J2621+I2621/'02_Eingaben'!$C$8))</f>
        <v/>
      </c>
    </row>
    <row r="2623">
      <c r="A2623">
        <f>IF('01_Rohdaten'!A2623="","",ROW()-1)</f>
        <v/>
      </c>
      <c r="B2623" s="27">
        <f>IF('01_Rohdaten'!A2623="","",'01_Rohdaten'!A2623)</f>
        <v/>
      </c>
      <c r="C2623" s="27">
        <f>IF(B2623="","",INDEX('01_Rohdaten'!B2623:D2623,'02_Eingaben'!$C$13))</f>
        <v/>
      </c>
      <c r="D2623" s="27">
        <f>IF(C2623="","",C2623*'02_Eingaben'!$C$15)</f>
        <v/>
      </c>
      <c r="E2623" s="27">
        <f>IF(D2623="","",D2623*'02_Eingaben'!$C$8)</f>
        <v/>
      </c>
      <c r="F2623" s="27">
        <f>IF(E2623="","",AVERAGE(INDEX($E$2:$E$3001,MAX(1,ROW()-1-'02_Eingaben'!$C$17)):INDEX($E$2:$E$3001,MIN('02_Eingaben'!$C$21,ROW()-1+'02_Eingaben'!$C$17))))</f>
        <v/>
      </c>
      <c r="G2623" s="27">
        <f>IF(F2623="","",F2623-'02_Eingaben'!$C$10)</f>
        <v/>
      </c>
      <c r="H2623">
        <f>IF(F2623="","",IF(F2623&lt;'02_Eingaben'!$C$18*'02_Eingaben'!$C$10,1,0))</f>
        <v/>
      </c>
      <c r="I2623" s="27">
        <f>IF(OR(G2623="",G2624=""),"",(G2623+G2624)/2*(B2624-B2623))</f>
        <v/>
      </c>
      <c r="J2623" s="27">
        <f>IF(B2623="","",IF(B2622&lt;'02_Eingaben'!$C$36,0,J2622+I2622/'02_Eingaben'!$C$8))</f>
        <v/>
      </c>
    </row>
    <row r="2624">
      <c r="A2624">
        <f>IF('01_Rohdaten'!A2624="","",ROW()-1)</f>
        <v/>
      </c>
      <c r="B2624" s="27">
        <f>IF('01_Rohdaten'!A2624="","",'01_Rohdaten'!A2624)</f>
        <v/>
      </c>
      <c r="C2624" s="27">
        <f>IF(B2624="","",INDEX('01_Rohdaten'!B2624:D2624,'02_Eingaben'!$C$13))</f>
        <v/>
      </c>
      <c r="D2624" s="27">
        <f>IF(C2624="","",C2624*'02_Eingaben'!$C$15)</f>
        <v/>
      </c>
      <c r="E2624" s="27">
        <f>IF(D2624="","",D2624*'02_Eingaben'!$C$8)</f>
        <v/>
      </c>
      <c r="F2624" s="27">
        <f>IF(E2624="","",AVERAGE(INDEX($E$2:$E$3001,MAX(1,ROW()-1-'02_Eingaben'!$C$17)):INDEX($E$2:$E$3001,MIN('02_Eingaben'!$C$21,ROW()-1+'02_Eingaben'!$C$17))))</f>
        <v/>
      </c>
      <c r="G2624" s="27">
        <f>IF(F2624="","",F2624-'02_Eingaben'!$C$10)</f>
        <v/>
      </c>
      <c r="H2624">
        <f>IF(F2624="","",IF(F2624&lt;'02_Eingaben'!$C$18*'02_Eingaben'!$C$10,1,0))</f>
        <v/>
      </c>
      <c r="I2624" s="27">
        <f>IF(OR(G2624="",G2625=""),"",(G2624+G2625)/2*(B2625-B2624))</f>
        <v/>
      </c>
      <c r="J2624" s="27">
        <f>IF(B2624="","",IF(B2623&lt;'02_Eingaben'!$C$36,0,J2623+I2623/'02_Eingaben'!$C$8))</f>
        <v/>
      </c>
    </row>
    <row r="2625">
      <c r="A2625">
        <f>IF('01_Rohdaten'!A2625="","",ROW()-1)</f>
        <v/>
      </c>
      <c r="B2625" s="27">
        <f>IF('01_Rohdaten'!A2625="","",'01_Rohdaten'!A2625)</f>
        <v/>
      </c>
      <c r="C2625" s="27">
        <f>IF(B2625="","",INDEX('01_Rohdaten'!B2625:D2625,'02_Eingaben'!$C$13))</f>
        <v/>
      </c>
      <c r="D2625" s="27">
        <f>IF(C2625="","",C2625*'02_Eingaben'!$C$15)</f>
        <v/>
      </c>
      <c r="E2625" s="27">
        <f>IF(D2625="","",D2625*'02_Eingaben'!$C$8)</f>
        <v/>
      </c>
      <c r="F2625" s="27">
        <f>IF(E2625="","",AVERAGE(INDEX($E$2:$E$3001,MAX(1,ROW()-1-'02_Eingaben'!$C$17)):INDEX($E$2:$E$3001,MIN('02_Eingaben'!$C$21,ROW()-1+'02_Eingaben'!$C$17))))</f>
        <v/>
      </c>
      <c r="G2625" s="27">
        <f>IF(F2625="","",F2625-'02_Eingaben'!$C$10)</f>
        <v/>
      </c>
      <c r="H2625">
        <f>IF(F2625="","",IF(F2625&lt;'02_Eingaben'!$C$18*'02_Eingaben'!$C$10,1,0))</f>
        <v/>
      </c>
      <c r="I2625" s="27">
        <f>IF(OR(G2625="",G2626=""),"",(G2625+G2626)/2*(B2626-B2625))</f>
        <v/>
      </c>
      <c r="J2625" s="27">
        <f>IF(B2625="","",IF(B2624&lt;'02_Eingaben'!$C$36,0,J2624+I2624/'02_Eingaben'!$C$8))</f>
        <v/>
      </c>
    </row>
    <row r="2626">
      <c r="A2626">
        <f>IF('01_Rohdaten'!A2626="","",ROW()-1)</f>
        <v/>
      </c>
      <c r="B2626" s="27">
        <f>IF('01_Rohdaten'!A2626="","",'01_Rohdaten'!A2626)</f>
        <v/>
      </c>
      <c r="C2626" s="27">
        <f>IF(B2626="","",INDEX('01_Rohdaten'!B2626:D2626,'02_Eingaben'!$C$13))</f>
        <v/>
      </c>
      <c r="D2626" s="27">
        <f>IF(C2626="","",C2626*'02_Eingaben'!$C$15)</f>
        <v/>
      </c>
      <c r="E2626" s="27">
        <f>IF(D2626="","",D2626*'02_Eingaben'!$C$8)</f>
        <v/>
      </c>
      <c r="F2626" s="27">
        <f>IF(E2626="","",AVERAGE(INDEX($E$2:$E$3001,MAX(1,ROW()-1-'02_Eingaben'!$C$17)):INDEX($E$2:$E$3001,MIN('02_Eingaben'!$C$21,ROW()-1+'02_Eingaben'!$C$17))))</f>
        <v/>
      </c>
      <c r="G2626" s="27">
        <f>IF(F2626="","",F2626-'02_Eingaben'!$C$10)</f>
        <v/>
      </c>
      <c r="H2626">
        <f>IF(F2626="","",IF(F2626&lt;'02_Eingaben'!$C$18*'02_Eingaben'!$C$10,1,0))</f>
        <v/>
      </c>
      <c r="I2626" s="27">
        <f>IF(OR(G2626="",G2627=""),"",(G2626+G2627)/2*(B2627-B2626))</f>
        <v/>
      </c>
      <c r="J2626" s="27">
        <f>IF(B2626="","",IF(B2625&lt;'02_Eingaben'!$C$36,0,J2625+I2625/'02_Eingaben'!$C$8))</f>
        <v/>
      </c>
    </row>
    <row r="2627">
      <c r="A2627">
        <f>IF('01_Rohdaten'!A2627="","",ROW()-1)</f>
        <v/>
      </c>
      <c r="B2627" s="27">
        <f>IF('01_Rohdaten'!A2627="","",'01_Rohdaten'!A2627)</f>
        <v/>
      </c>
      <c r="C2627" s="27">
        <f>IF(B2627="","",INDEX('01_Rohdaten'!B2627:D2627,'02_Eingaben'!$C$13))</f>
        <v/>
      </c>
      <c r="D2627" s="27">
        <f>IF(C2627="","",C2627*'02_Eingaben'!$C$15)</f>
        <v/>
      </c>
      <c r="E2627" s="27">
        <f>IF(D2627="","",D2627*'02_Eingaben'!$C$8)</f>
        <v/>
      </c>
      <c r="F2627" s="27">
        <f>IF(E2627="","",AVERAGE(INDEX($E$2:$E$3001,MAX(1,ROW()-1-'02_Eingaben'!$C$17)):INDEX($E$2:$E$3001,MIN('02_Eingaben'!$C$21,ROW()-1+'02_Eingaben'!$C$17))))</f>
        <v/>
      </c>
      <c r="G2627" s="27">
        <f>IF(F2627="","",F2627-'02_Eingaben'!$C$10)</f>
        <v/>
      </c>
      <c r="H2627">
        <f>IF(F2627="","",IF(F2627&lt;'02_Eingaben'!$C$18*'02_Eingaben'!$C$10,1,0))</f>
        <v/>
      </c>
      <c r="I2627" s="27">
        <f>IF(OR(G2627="",G2628=""),"",(G2627+G2628)/2*(B2628-B2627))</f>
        <v/>
      </c>
      <c r="J2627" s="27">
        <f>IF(B2627="","",IF(B2626&lt;'02_Eingaben'!$C$36,0,J2626+I2626/'02_Eingaben'!$C$8))</f>
        <v/>
      </c>
    </row>
    <row r="2628">
      <c r="A2628">
        <f>IF('01_Rohdaten'!A2628="","",ROW()-1)</f>
        <v/>
      </c>
      <c r="B2628" s="27">
        <f>IF('01_Rohdaten'!A2628="","",'01_Rohdaten'!A2628)</f>
        <v/>
      </c>
      <c r="C2628" s="27">
        <f>IF(B2628="","",INDEX('01_Rohdaten'!B2628:D2628,'02_Eingaben'!$C$13))</f>
        <v/>
      </c>
      <c r="D2628" s="27">
        <f>IF(C2628="","",C2628*'02_Eingaben'!$C$15)</f>
        <v/>
      </c>
      <c r="E2628" s="27">
        <f>IF(D2628="","",D2628*'02_Eingaben'!$C$8)</f>
        <v/>
      </c>
      <c r="F2628" s="27">
        <f>IF(E2628="","",AVERAGE(INDEX($E$2:$E$3001,MAX(1,ROW()-1-'02_Eingaben'!$C$17)):INDEX($E$2:$E$3001,MIN('02_Eingaben'!$C$21,ROW()-1+'02_Eingaben'!$C$17))))</f>
        <v/>
      </c>
      <c r="G2628" s="27">
        <f>IF(F2628="","",F2628-'02_Eingaben'!$C$10)</f>
        <v/>
      </c>
      <c r="H2628">
        <f>IF(F2628="","",IF(F2628&lt;'02_Eingaben'!$C$18*'02_Eingaben'!$C$10,1,0))</f>
        <v/>
      </c>
      <c r="I2628" s="27">
        <f>IF(OR(G2628="",G2629=""),"",(G2628+G2629)/2*(B2629-B2628))</f>
        <v/>
      </c>
      <c r="J2628" s="27">
        <f>IF(B2628="","",IF(B2627&lt;'02_Eingaben'!$C$36,0,J2627+I2627/'02_Eingaben'!$C$8))</f>
        <v/>
      </c>
    </row>
    <row r="2629">
      <c r="A2629">
        <f>IF('01_Rohdaten'!A2629="","",ROW()-1)</f>
        <v/>
      </c>
      <c r="B2629" s="27">
        <f>IF('01_Rohdaten'!A2629="","",'01_Rohdaten'!A2629)</f>
        <v/>
      </c>
      <c r="C2629" s="27">
        <f>IF(B2629="","",INDEX('01_Rohdaten'!B2629:D2629,'02_Eingaben'!$C$13))</f>
        <v/>
      </c>
      <c r="D2629" s="27">
        <f>IF(C2629="","",C2629*'02_Eingaben'!$C$15)</f>
        <v/>
      </c>
      <c r="E2629" s="27">
        <f>IF(D2629="","",D2629*'02_Eingaben'!$C$8)</f>
        <v/>
      </c>
      <c r="F2629" s="27">
        <f>IF(E2629="","",AVERAGE(INDEX($E$2:$E$3001,MAX(1,ROW()-1-'02_Eingaben'!$C$17)):INDEX($E$2:$E$3001,MIN('02_Eingaben'!$C$21,ROW()-1+'02_Eingaben'!$C$17))))</f>
        <v/>
      </c>
      <c r="G2629" s="27">
        <f>IF(F2629="","",F2629-'02_Eingaben'!$C$10)</f>
        <v/>
      </c>
      <c r="H2629">
        <f>IF(F2629="","",IF(F2629&lt;'02_Eingaben'!$C$18*'02_Eingaben'!$C$10,1,0))</f>
        <v/>
      </c>
      <c r="I2629" s="27">
        <f>IF(OR(G2629="",G2630=""),"",(G2629+G2630)/2*(B2630-B2629))</f>
        <v/>
      </c>
      <c r="J2629" s="27">
        <f>IF(B2629="","",IF(B2628&lt;'02_Eingaben'!$C$36,0,J2628+I2628/'02_Eingaben'!$C$8))</f>
        <v/>
      </c>
    </row>
    <row r="2630">
      <c r="A2630">
        <f>IF('01_Rohdaten'!A2630="","",ROW()-1)</f>
        <v/>
      </c>
      <c r="B2630" s="27">
        <f>IF('01_Rohdaten'!A2630="","",'01_Rohdaten'!A2630)</f>
        <v/>
      </c>
      <c r="C2630" s="27">
        <f>IF(B2630="","",INDEX('01_Rohdaten'!B2630:D2630,'02_Eingaben'!$C$13))</f>
        <v/>
      </c>
      <c r="D2630" s="27">
        <f>IF(C2630="","",C2630*'02_Eingaben'!$C$15)</f>
        <v/>
      </c>
      <c r="E2630" s="27">
        <f>IF(D2630="","",D2630*'02_Eingaben'!$C$8)</f>
        <v/>
      </c>
      <c r="F2630" s="27">
        <f>IF(E2630="","",AVERAGE(INDEX($E$2:$E$3001,MAX(1,ROW()-1-'02_Eingaben'!$C$17)):INDEX($E$2:$E$3001,MIN('02_Eingaben'!$C$21,ROW()-1+'02_Eingaben'!$C$17))))</f>
        <v/>
      </c>
      <c r="G2630" s="27">
        <f>IF(F2630="","",F2630-'02_Eingaben'!$C$10)</f>
        <v/>
      </c>
      <c r="H2630">
        <f>IF(F2630="","",IF(F2630&lt;'02_Eingaben'!$C$18*'02_Eingaben'!$C$10,1,0))</f>
        <v/>
      </c>
      <c r="I2630" s="27">
        <f>IF(OR(G2630="",G2631=""),"",(G2630+G2631)/2*(B2631-B2630))</f>
        <v/>
      </c>
      <c r="J2630" s="27">
        <f>IF(B2630="","",IF(B2629&lt;'02_Eingaben'!$C$36,0,J2629+I2629/'02_Eingaben'!$C$8))</f>
        <v/>
      </c>
    </row>
    <row r="2631">
      <c r="A2631">
        <f>IF('01_Rohdaten'!A2631="","",ROW()-1)</f>
        <v/>
      </c>
      <c r="B2631" s="27">
        <f>IF('01_Rohdaten'!A2631="","",'01_Rohdaten'!A2631)</f>
        <v/>
      </c>
      <c r="C2631" s="27">
        <f>IF(B2631="","",INDEX('01_Rohdaten'!B2631:D2631,'02_Eingaben'!$C$13))</f>
        <v/>
      </c>
      <c r="D2631" s="27">
        <f>IF(C2631="","",C2631*'02_Eingaben'!$C$15)</f>
        <v/>
      </c>
      <c r="E2631" s="27">
        <f>IF(D2631="","",D2631*'02_Eingaben'!$C$8)</f>
        <v/>
      </c>
      <c r="F2631" s="27">
        <f>IF(E2631="","",AVERAGE(INDEX($E$2:$E$3001,MAX(1,ROW()-1-'02_Eingaben'!$C$17)):INDEX($E$2:$E$3001,MIN('02_Eingaben'!$C$21,ROW()-1+'02_Eingaben'!$C$17))))</f>
        <v/>
      </c>
      <c r="G2631" s="27">
        <f>IF(F2631="","",F2631-'02_Eingaben'!$C$10)</f>
        <v/>
      </c>
      <c r="H2631">
        <f>IF(F2631="","",IF(F2631&lt;'02_Eingaben'!$C$18*'02_Eingaben'!$C$10,1,0))</f>
        <v/>
      </c>
      <c r="I2631" s="27">
        <f>IF(OR(G2631="",G2632=""),"",(G2631+G2632)/2*(B2632-B2631))</f>
        <v/>
      </c>
      <c r="J2631" s="27">
        <f>IF(B2631="","",IF(B2630&lt;'02_Eingaben'!$C$36,0,J2630+I2630/'02_Eingaben'!$C$8))</f>
        <v/>
      </c>
    </row>
    <row r="2632">
      <c r="A2632">
        <f>IF('01_Rohdaten'!A2632="","",ROW()-1)</f>
        <v/>
      </c>
      <c r="B2632" s="27">
        <f>IF('01_Rohdaten'!A2632="","",'01_Rohdaten'!A2632)</f>
        <v/>
      </c>
      <c r="C2632" s="27">
        <f>IF(B2632="","",INDEX('01_Rohdaten'!B2632:D2632,'02_Eingaben'!$C$13))</f>
        <v/>
      </c>
      <c r="D2632" s="27">
        <f>IF(C2632="","",C2632*'02_Eingaben'!$C$15)</f>
        <v/>
      </c>
      <c r="E2632" s="27">
        <f>IF(D2632="","",D2632*'02_Eingaben'!$C$8)</f>
        <v/>
      </c>
      <c r="F2632" s="27">
        <f>IF(E2632="","",AVERAGE(INDEX($E$2:$E$3001,MAX(1,ROW()-1-'02_Eingaben'!$C$17)):INDEX($E$2:$E$3001,MIN('02_Eingaben'!$C$21,ROW()-1+'02_Eingaben'!$C$17))))</f>
        <v/>
      </c>
      <c r="G2632" s="27">
        <f>IF(F2632="","",F2632-'02_Eingaben'!$C$10)</f>
        <v/>
      </c>
      <c r="H2632">
        <f>IF(F2632="","",IF(F2632&lt;'02_Eingaben'!$C$18*'02_Eingaben'!$C$10,1,0))</f>
        <v/>
      </c>
      <c r="I2632" s="27">
        <f>IF(OR(G2632="",G2633=""),"",(G2632+G2633)/2*(B2633-B2632))</f>
        <v/>
      </c>
      <c r="J2632" s="27">
        <f>IF(B2632="","",IF(B2631&lt;'02_Eingaben'!$C$36,0,J2631+I2631/'02_Eingaben'!$C$8))</f>
        <v/>
      </c>
    </row>
    <row r="2633">
      <c r="A2633">
        <f>IF('01_Rohdaten'!A2633="","",ROW()-1)</f>
        <v/>
      </c>
      <c r="B2633" s="27">
        <f>IF('01_Rohdaten'!A2633="","",'01_Rohdaten'!A2633)</f>
        <v/>
      </c>
      <c r="C2633" s="27">
        <f>IF(B2633="","",INDEX('01_Rohdaten'!B2633:D2633,'02_Eingaben'!$C$13))</f>
        <v/>
      </c>
      <c r="D2633" s="27">
        <f>IF(C2633="","",C2633*'02_Eingaben'!$C$15)</f>
        <v/>
      </c>
      <c r="E2633" s="27">
        <f>IF(D2633="","",D2633*'02_Eingaben'!$C$8)</f>
        <v/>
      </c>
      <c r="F2633" s="27">
        <f>IF(E2633="","",AVERAGE(INDEX($E$2:$E$3001,MAX(1,ROW()-1-'02_Eingaben'!$C$17)):INDEX($E$2:$E$3001,MIN('02_Eingaben'!$C$21,ROW()-1+'02_Eingaben'!$C$17))))</f>
        <v/>
      </c>
      <c r="G2633" s="27">
        <f>IF(F2633="","",F2633-'02_Eingaben'!$C$10)</f>
        <v/>
      </c>
      <c r="H2633">
        <f>IF(F2633="","",IF(F2633&lt;'02_Eingaben'!$C$18*'02_Eingaben'!$C$10,1,0))</f>
        <v/>
      </c>
      <c r="I2633" s="27">
        <f>IF(OR(G2633="",G2634=""),"",(G2633+G2634)/2*(B2634-B2633))</f>
        <v/>
      </c>
      <c r="J2633" s="27">
        <f>IF(B2633="","",IF(B2632&lt;'02_Eingaben'!$C$36,0,J2632+I2632/'02_Eingaben'!$C$8))</f>
        <v/>
      </c>
    </row>
    <row r="2634">
      <c r="A2634">
        <f>IF('01_Rohdaten'!A2634="","",ROW()-1)</f>
        <v/>
      </c>
      <c r="B2634" s="27">
        <f>IF('01_Rohdaten'!A2634="","",'01_Rohdaten'!A2634)</f>
        <v/>
      </c>
      <c r="C2634" s="27">
        <f>IF(B2634="","",INDEX('01_Rohdaten'!B2634:D2634,'02_Eingaben'!$C$13))</f>
        <v/>
      </c>
      <c r="D2634" s="27">
        <f>IF(C2634="","",C2634*'02_Eingaben'!$C$15)</f>
        <v/>
      </c>
      <c r="E2634" s="27">
        <f>IF(D2634="","",D2634*'02_Eingaben'!$C$8)</f>
        <v/>
      </c>
      <c r="F2634" s="27">
        <f>IF(E2634="","",AVERAGE(INDEX($E$2:$E$3001,MAX(1,ROW()-1-'02_Eingaben'!$C$17)):INDEX($E$2:$E$3001,MIN('02_Eingaben'!$C$21,ROW()-1+'02_Eingaben'!$C$17))))</f>
        <v/>
      </c>
      <c r="G2634" s="27">
        <f>IF(F2634="","",F2634-'02_Eingaben'!$C$10)</f>
        <v/>
      </c>
      <c r="H2634">
        <f>IF(F2634="","",IF(F2634&lt;'02_Eingaben'!$C$18*'02_Eingaben'!$C$10,1,0))</f>
        <v/>
      </c>
      <c r="I2634" s="27">
        <f>IF(OR(G2634="",G2635=""),"",(G2634+G2635)/2*(B2635-B2634))</f>
        <v/>
      </c>
      <c r="J2634" s="27">
        <f>IF(B2634="","",IF(B2633&lt;'02_Eingaben'!$C$36,0,J2633+I2633/'02_Eingaben'!$C$8))</f>
        <v/>
      </c>
    </row>
    <row r="2635">
      <c r="A2635">
        <f>IF('01_Rohdaten'!A2635="","",ROW()-1)</f>
        <v/>
      </c>
      <c r="B2635" s="27">
        <f>IF('01_Rohdaten'!A2635="","",'01_Rohdaten'!A2635)</f>
        <v/>
      </c>
      <c r="C2635" s="27">
        <f>IF(B2635="","",INDEX('01_Rohdaten'!B2635:D2635,'02_Eingaben'!$C$13))</f>
        <v/>
      </c>
      <c r="D2635" s="27">
        <f>IF(C2635="","",C2635*'02_Eingaben'!$C$15)</f>
        <v/>
      </c>
      <c r="E2635" s="27">
        <f>IF(D2635="","",D2635*'02_Eingaben'!$C$8)</f>
        <v/>
      </c>
      <c r="F2635" s="27">
        <f>IF(E2635="","",AVERAGE(INDEX($E$2:$E$3001,MAX(1,ROW()-1-'02_Eingaben'!$C$17)):INDEX($E$2:$E$3001,MIN('02_Eingaben'!$C$21,ROW()-1+'02_Eingaben'!$C$17))))</f>
        <v/>
      </c>
      <c r="G2635" s="27">
        <f>IF(F2635="","",F2635-'02_Eingaben'!$C$10)</f>
        <v/>
      </c>
      <c r="H2635">
        <f>IF(F2635="","",IF(F2635&lt;'02_Eingaben'!$C$18*'02_Eingaben'!$C$10,1,0))</f>
        <v/>
      </c>
      <c r="I2635" s="27">
        <f>IF(OR(G2635="",G2636=""),"",(G2635+G2636)/2*(B2636-B2635))</f>
        <v/>
      </c>
      <c r="J2635" s="27">
        <f>IF(B2635="","",IF(B2634&lt;'02_Eingaben'!$C$36,0,J2634+I2634/'02_Eingaben'!$C$8))</f>
        <v/>
      </c>
    </row>
    <row r="2636">
      <c r="A2636">
        <f>IF('01_Rohdaten'!A2636="","",ROW()-1)</f>
        <v/>
      </c>
      <c r="B2636" s="27">
        <f>IF('01_Rohdaten'!A2636="","",'01_Rohdaten'!A2636)</f>
        <v/>
      </c>
      <c r="C2636" s="27">
        <f>IF(B2636="","",INDEX('01_Rohdaten'!B2636:D2636,'02_Eingaben'!$C$13))</f>
        <v/>
      </c>
      <c r="D2636" s="27">
        <f>IF(C2636="","",C2636*'02_Eingaben'!$C$15)</f>
        <v/>
      </c>
      <c r="E2636" s="27">
        <f>IF(D2636="","",D2636*'02_Eingaben'!$C$8)</f>
        <v/>
      </c>
      <c r="F2636" s="27">
        <f>IF(E2636="","",AVERAGE(INDEX($E$2:$E$3001,MAX(1,ROW()-1-'02_Eingaben'!$C$17)):INDEX($E$2:$E$3001,MIN('02_Eingaben'!$C$21,ROW()-1+'02_Eingaben'!$C$17))))</f>
        <v/>
      </c>
      <c r="G2636" s="27">
        <f>IF(F2636="","",F2636-'02_Eingaben'!$C$10)</f>
        <v/>
      </c>
      <c r="H2636">
        <f>IF(F2636="","",IF(F2636&lt;'02_Eingaben'!$C$18*'02_Eingaben'!$C$10,1,0))</f>
        <v/>
      </c>
      <c r="I2636" s="27">
        <f>IF(OR(G2636="",G2637=""),"",(G2636+G2637)/2*(B2637-B2636))</f>
        <v/>
      </c>
      <c r="J2636" s="27">
        <f>IF(B2636="","",IF(B2635&lt;'02_Eingaben'!$C$36,0,J2635+I2635/'02_Eingaben'!$C$8))</f>
        <v/>
      </c>
    </row>
    <row r="2637">
      <c r="A2637">
        <f>IF('01_Rohdaten'!A2637="","",ROW()-1)</f>
        <v/>
      </c>
      <c r="B2637" s="27">
        <f>IF('01_Rohdaten'!A2637="","",'01_Rohdaten'!A2637)</f>
        <v/>
      </c>
      <c r="C2637" s="27">
        <f>IF(B2637="","",INDEX('01_Rohdaten'!B2637:D2637,'02_Eingaben'!$C$13))</f>
        <v/>
      </c>
      <c r="D2637" s="27">
        <f>IF(C2637="","",C2637*'02_Eingaben'!$C$15)</f>
        <v/>
      </c>
      <c r="E2637" s="27">
        <f>IF(D2637="","",D2637*'02_Eingaben'!$C$8)</f>
        <v/>
      </c>
      <c r="F2637" s="27">
        <f>IF(E2637="","",AVERAGE(INDEX($E$2:$E$3001,MAX(1,ROW()-1-'02_Eingaben'!$C$17)):INDEX($E$2:$E$3001,MIN('02_Eingaben'!$C$21,ROW()-1+'02_Eingaben'!$C$17))))</f>
        <v/>
      </c>
      <c r="G2637" s="27">
        <f>IF(F2637="","",F2637-'02_Eingaben'!$C$10)</f>
        <v/>
      </c>
      <c r="H2637">
        <f>IF(F2637="","",IF(F2637&lt;'02_Eingaben'!$C$18*'02_Eingaben'!$C$10,1,0))</f>
        <v/>
      </c>
      <c r="I2637" s="27">
        <f>IF(OR(G2637="",G2638=""),"",(G2637+G2638)/2*(B2638-B2637))</f>
        <v/>
      </c>
      <c r="J2637" s="27">
        <f>IF(B2637="","",IF(B2636&lt;'02_Eingaben'!$C$36,0,J2636+I2636/'02_Eingaben'!$C$8))</f>
        <v/>
      </c>
    </row>
    <row r="2638">
      <c r="A2638">
        <f>IF('01_Rohdaten'!A2638="","",ROW()-1)</f>
        <v/>
      </c>
      <c r="B2638" s="27">
        <f>IF('01_Rohdaten'!A2638="","",'01_Rohdaten'!A2638)</f>
        <v/>
      </c>
      <c r="C2638" s="27">
        <f>IF(B2638="","",INDEX('01_Rohdaten'!B2638:D2638,'02_Eingaben'!$C$13))</f>
        <v/>
      </c>
      <c r="D2638" s="27">
        <f>IF(C2638="","",C2638*'02_Eingaben'!$C$15)</f>
        <v/>
      </c>
      <c r="E2638" s="27">
        <f>IF(D2638="","",D2638*'02_Eingaben'!$C$8)</f>
        <v/>
      </c>
      <c r="F2638" s="27">
        <f>IF(E2638="","",AVERAGE(INDEX($E$2:$E$3001,MAX(1,ROW()-1-'02_Eingaben'!$C$17)):INDEX($E$2:$E$3001,MIN('02_Eingaben'!$C$21,ROW()-1+'02_Eingaben'!$C$17))))</f>
        <v/>
      </c>
      <c r="G2638" s="27">
        <f>IF(F2638="","",F2638-'02_Eingaben'!$C$10)</f>
        <v/>
      </c>
      <c r="H2638">
        <f>IF(F2638="","",IF(F2638&lt;'02_Eingaben'!$C$18*'02_Eingaben'!$C$10,1,0))</f>
        <v/>
      </c>
      <c r="I2638" s="27">
        <f>IF(OR(G2638="",G2639=""),"",(G2638+G2639)/2*(B2639-B2638))</f>
        <v/>
      </c>
      <c r="J2638" s="27">
        <f>IF(B2638="","",IF(B2637&lt;'02_Eingaben'!$C$36,0,J2637+I2637/'02_Eingaben'!$C$8))</f>
        <v/>
      </c>
    </row>
    <row r="2639">
      <c r="A2639">
        <f>IF('01_Rohdaten'!A2639="","",ROW()-1)</f>
        <v/>
      </c>
      <c r="B2639" s="27">
        <f>IF('01_Rohdaten'!A2639="","",'01_Rohdaten'!A2639)</f>
        <v/>
      </c>
      <c r="C2639" s="27">
        <f>IF(B2639="","",INDEX('01_Rohdaten'!B2639:D2639,'02_Eingaben'!$C$13))</f>
        <v/>
      </c>
      <c r="D2639" s="27">
        <f>IF(C2639="","",C2639*'02_Eingaben'!$C$15)</f>
        <v/>
      </c>
      <c r="E2639" s="27">
        <f>IF(D2639="","",D2639*'02_Eingaben'!$C$8)</f>
        <v/>
      </c>
      <c r="F2639" s="27">
        <f>IF(E2639="","",AVERAGE(INDEX($E$2:$E$3001,MAX(1,ROW()-1-'02_Eingaben'!$C$17)):INDEX($E$2:$E$3001,MIN('02_Eingaben'!$C$21,ROW()-1+'02_Eingaben'!$C$17))))</f>
        <v/>
      </c>
      <c r="G2639" s="27">
        <f>IF(F2639="","",F2639-'02_Eingaben'!$C$10)</f>
        <v/>
      </c>
      <c r="H2639">
        <f>IF(F2639="","",IF(F2639&lt;'02_Eingaben'!$C$18*'02_Eingaben'!$C$10,1,0))</f>
        <v/>
      </c>
      <c r="I2639" s="27">
        <f>IF(OR(G2639="",G2640=""),"",(G2639+G2640)/2*(B2640-B2639))</f>
        <v/>
      </c>
      <c r="J2639" s="27">
        <f>IF(B2639="","",IF(B2638&lt;'02_Eingaben'!$C$36,0,J2638+I2638/'02_Eingaben'!$C$8))</f>
        <v/>
      </c>
    </row>
    <row r="2640">
      <c r="A2640">
        <f>IF('01_Rohdaten'!A2640="","",ROW()-1)</f>
        <v/>
      </c>
      <c r="B2640" s="27">
        <f>IF('01_Rohdaten'!A2640="","",'01_Rohdaten'!A2640)</f>
        <v/>
      </c>
      <c r="C2640" s="27">
        <f>IF(B2640="","",INDEX('01_Rohdaten'!B2640:D2640,'02_Eingaben'!$C$13))</f>
        <v/>
      </c>
      <c r="D2640" s="27">
        <f>IF(C2640="","",C2640*'02_Eingaben'!$C$15)</f>
        <v/>
      </c>
      <c r="E2640" s="27">
        <f>IF(D2640="","",D2640*'02_Eingaben'!$C$8)</f>
        <v/>
      </c>
      <c r="F2640" s="27">
        <f>IF(E2640="","",AVERAGE(INDEX($E$2:$E$3001,MAX(1,ROW()-1-'02_Eingaben'!$C$17)):INDEX($E$2:$E$3001,MIN('02_Eingaben'!$C$21,ROW()-1+'02_Eingaben'!$C$17))))</f>
        <v/>
      </c>
      <c r="G2640" s="27">
        <f>IF(F2640="","",F2640-'02_Eingaben'!$C$10)</f>
        <v/>
      </c>
      <c r="H2640">
        <f>IF(F2640="","",IF(F2640&lt;'02_Eingaben'!$C$18*'02_Eingaben'!$C$10,1,0))</f>
        <v/>
      </c>
      <c r="I2640" s="27">
        <f>IF(OR(G2640="",G2641=""),"",(G2640+G2641)/2*(B2641-B2640))</f>
        <v/>
      </c>
      <c r="J2640" s="27">
        <f>IF(B2640="","",IF(B2639&lt;'02_Eingaben'!$C$36,0,J2639+I2639/'02_Eingaben'!$C$8))</f>
        <v/>
      </c>
    </row>
    <row r="2641">
      <c r="A2641">
        <f>IF('01_Rohdaten'!A2641="","",ROW()-1)</f>
        <v/>
      </c>
      <c r="B2641" s="27">
        <f>IF('01_Rohdaten'!A2641="","",'01_Rohdaten'!A2641)</f>
        <v/>
      </c>
      <c r="C2641" s="27">
        <f>IF(B2641="","",INDEX('01_Rohdaten'!B2641:D2641,'02_Eingaben'!$C$13))</f>
        <v/>
      </c>
      <c r="D2641" s="27">
        <f>IF(C2641="","",C2641*'02_Eingaben'!$C$15)</f>
        <v/>
      </c>
      <c r="E2641" s="27">
        <f>IF(D2641="","",D2641*'02_Eingaben'!$C$8)</f>
        <v/>
      </c>
      <c r="F2641" s="27">
        <f>IF(E2641="","",AVERAGE(INDEX($E$2:$E$3001,MAX(1,ROW()-1-'02_Eingaben'!$C$17)):INDEX($E$2:$E$3001,MIN('02_Eingaben'!$C$21,ROW()-1+'02_Eingaben'!$C$17))))</f>
        <v/>
      </c>
      <c r="G2641" s="27">
        <f>IF(F2641="","",F2641-'02_Eingaben'!$C$10)</f>
        <v/>
      </c>
      <c r="H2641">
        <f>IF(F2641="","",IF(F2641&lt;'02_Eingaben'!$C$18*'02_Eingaben'!$C$10,1,0))</f>
        <v/>
      </c>
      <c r="I2641" s="27">
        <f>IF(OR(G2641="",G2642=""),"",(G2641+G2642)/2*(B2642-B2641))</f>
        <v/>
      </c>
      <c r="J2641" s="27">
        <f>IF(B2641="","",IF(B2640&lt;'02_Eingaben'!$C$36,0,J2640+I2640/'02_Eingaben'!$C$8))</f>
        <v/>
      </c>
    </row>
    <row r="2642">
      <c r="A2642">
        <f>IF('01_Rohdaten'!A2642="","",ROW()-1)</f>
        <v/>
      </c>
      <c r="B2642" s="27">
        <f>IF('01_Rohdaten'!A2642="","",'01_Rohdaten'!A2642)</f>
        <v/>
      </c>
      <c r="C2642" s="27">
        <f>IF(B2642="","",INDEX('01_Rohdaten'!B2642:D2642,'02_Eingaben'!$C$13))</f>
        <v/>
      </c>
      <c r="D2642" s="27">
        <f>IF(C2642="","",C2642*'02_Eingaben'!$C$15)</f>
        <v/>
      </c>
      <c r="E2642" s="27">
        <f>IF(D2642="","",D2642*'02_Eingaben'!$C$8)</f>
        <v/>
      </c>
      <c r="F2642" s="27">
        <f>IF(E2642="","",AVERAGE(INDEX($E$2:$E$3001,MAX(1,ROW()-1-'02_Eingaben'!$C$17)):INDEX($E$2:$E$3001,MIN('02_Eingaben'!$C$21,ROW()-1+'02_Eingaben'!$C$17))))</f>
        <v/>
      </c>
      <c r="G2642" s="27">
        <f>IF(F2642="","",F2642-'02_Eingaben'!$C$10)</f>
        <v/>
      </c>
      <c r="H2642">
        <f>IF(F2642="","",IF(F2642&lt;'02_Eingaben'!$C$18*'02_Eingaben'!$C$10,1,0))</f>
        <v/>
      </c>
      <c r="I2642" s="27">
        <f>IF(OR(G2642="",G2643=""),"",(G2642+G2643)/2*(B2643-B2642))</f>
        <v/>
      </c>
      <c r="J2642" s="27">
        <f>IF(B2642="","",IF(B2641&lt;'02_Eingaben'!$C$36,0,J2641+I2641/'02_Eingaben'!$C$8))</f>
        <v/>
      </c>
    </row>
    <row r="2643">
      <c r="A2643">
        <f>IF('01_Rohdaten'!A2643="","",ROW()-1)</f>
        <v/>
      </c>
      <c r="B2643" s="27">
        <f>IF('01_Rohdaten'!A2643="","",'01_Rohdaten'!A2643)</f>
        <v/>
      </c>
      <c r="C2643" s="27">
        <f>IF(B2643="","",INDEX('01_Rohdaten'!B2643:D2643,'02_Eingaben'!$C$13))</f>
        <v/>
      </c>
      <c r="D2643" s="27">
        <f>IF(C2643="","",C2643*'02_Eingaben'!$C$15)</f>
        <v/>
      </c>
      <c r="E2643" s="27">
        <f>IF(D2643="","",D2643*'02_Eingaben'!$C$8)</f>
        <v/>
      </c>
      <c r="F2643" s="27">
        <f>IF(E2643="","",AVERAGE(INDEX($E$2:$E$3001,MAX(1,ROW()-1-'02_Eingaben'!$C$17)):INDEX($E$2:$E$3001,MIN('02_Eingaben'!$C$21,ROW()-1+'02_Eingaben'!$C$17))))</f>
        <v/>
      </c>
      <c r="G2643" s="27">
        <f>IF(F2643="","",F2643-'02_Eingaben'!$C$10)</f>
        <v/>
      </c>
      <c r="H2643">
        <f>IF(F2643="","",IF(F2643&lt;'02_Eingaben'!$C$18*'02_Eingaben'!$C$10,1,0))</f>
        <v/>
      </c>
      <c r="I2643" s="27">
        <f>IF(OR(G2643="",G2644=""),"",(G2643+G2644)/2*(B2644-B2643))</f>
        <v/>
      </c>
      <c r="J2643" s="27">
        <f>IF(B2643="","",IF(B2642&lt;'02_Eingaben'!$C$36,0,J2642+I2642/'02_Eingaben'!$C$8))</f>
        <v/>
      </c>
    </row>
    <row r="2644">
      <c r="A2644">
        <f>IF('01_Rohdaten'!A2644="","",ROW()-1)</f>
        <v/>
      </c>
      <c r="B2644" s="27">
        <f>IF('01_Rohdaten'!A2644="","",'01_Rohdaten'!A2644)</f>
        <v/>
      </c>
      <c r="C2644" s="27">
        <f>IF(B2644="","",INDEX('01_Rohdaten'!B2644:D2644,'02_Eingaben'!$C$13))</f>
        <v/>
      </c>
      <c r="D2644" s="27">
        <f>IF(C2644="","",C2644*'02_Eingaben'!$C$15)</f>
        <v/>
      </c>
      <c r="E2644" s="27">
        <f>IF(D2644="","",D2644*'02_Eingaben'!$C$8)</f>
        <v/>
      </c>
      <c r="F2644" s="27">
        <f>IF(E2644="","",AVERAGE(INDEX($E$2:$E$3001,MAX(1,ROW()-1-'02_Eingaben'!$C$17)):INDEX($E$2:$E$3001,MIN('02_Eingaben'!$C$21,ROW()-1+'02_Eingaben'!$C$17))))</f>
        <v/>
      </c>
      <c r="G2644" s="27">
        <f>IF(F2644="","",F2644-'02_Eingaben'!$C$10)</f>
        <v/>
      </c>
      <c r="H2644">
        <f>IF(F2644="","",IF(F2644&lt;'02_Eingaben'!$C$18*'02_Eingaben'!$C$10,1,0))</f>
        <v/>
      </c>
      <c r="I2644" s="27">
        <f>IF(OR(G2644="",G2645=""),"",(G2644+G2645)/2*(B2645-B2644))</f>
        <v/>
      </c>
      <c r="J2644" s="27">
        <f>IF(B2644="","",IF(B2643&lt;'02_Eingaben'!$C$36,0,J2643+I2643/'02_Eingaben'!$C$8))</f>
        <v/>
      </c>
    </row>
    <row r="2645">
      <c r="A2645">
        <f>IF('01_Rohdaten'!A2645="","",ROW()-1)</f>
        <v/>
      </c>
      <c r="B2645" s="27">
        <f>IF('01_Rohdaten'!A2645="","",'01_Rohdaten'!A2645)</f>
        <v/>
      </c>
      <c r="C2645" s="27">
        <f>IF(B2645="","",INDEX('01_Rohdaten'!B2645:D2645,'02_Eingaben'!$C$13))</f>
        <v/>
      </c>
      <c r="D2645" s="27">
        <f>IF(C2645="","",C2645*'02_Eingaben'!$C$15)</f>
        <v/>
      </c>
      <c r="E2645" s="27">
        <f>IF(D2645="","",D2645*'02_Eingaben'!$C$8)</f>
        <v/>
      </c>
      <c r="F2645" s="27">
        <f>IF(E2645="","",AVERAGE(INDEX($E$2:$E$3001,MAX(1,ROW()-1-'02_Eingaben'!$C$17)):INDEX($E$2:$E$3001,MIN('02_Eingaben'!$C$21,ROW()-1+'02_Eingaben'!$C$17))))</f>
        <v/>
      </c>
      <c r="G2645" s="27">
        <f>IF(F2645="","",F2645-'02_Eingaben'!$C$10)</f>
        <v/>
      </c>
      <c r="H2645">
        <f>IF(F2645="","",IF(F2645&lt;'02_Eingaben'!$C$18*'02_Eingaben'!$C$10,1,0))</f>
        <v/>
      </c>
      <c r="I2645" s="27">
        <f>IF(OR(G2645="",G2646=""),"",(G2645+G2646)/2*(B2646-B2645))</f>
        <v/>
      </c>
      <c r="J2645" s="27">
        <f>IF(B2645="","",IF(B2644&lt;'02_Eingaben'!$C$36,0,J2644+I2644/'02_Eingaben'!$C$8))</f>
        <v/>
      </c>
    </row>
    <row r="2646">
      <c r="A2646">
        <f>IF('01_Rohdaten'!A2646="","",ROW()-1)</f>
        <v/>
      </c>
      <c r="B2646" s="27">
        <f>IF('01_Rohdaten'!A2646="","",'01_Rohdaten'!A2646)</f>
        <v/>
      </c>
      <c r="C2646" s="27">
        <f>IF(B2646="","",INDEX('01_Rohdaten'!B2646:D2646,'02_Eingaben'!$C$13))</f>
        <v/>
      </c>
      <c r="D2646" s="27">
        <f>IF(C2646="","",C2646*'02_Eingaben'!$C$15)</f>
        <v/>
      </c>
      <c r="E2646" s="27">
        <f>IF(D2646="","",D2646*'02_Eingaben'!$C$8)</f>
        <v/>
      </c>
      <c r="F2646" s="27">
        <f>IF(E2646="","",AVERAGE(INDEX($E$2:$E$3001,MAX(1,ROW()-1-'02_Eingaben'!$C$17)):INDEX($E$2:$E$3001,MIN('02_Eingaben'!$C$21,ROW()-1+'02_Eingaben'!$C$17))))</f>
        <v/>
      </c>
      <c r="G2646" s="27">
        <f>IF(F2646="","",F2646-'02_Eingaben'!$C$10)</f>
        <v/>
      </c>
      <c r="H2646">
        <f>IF(F2646="","",IF(F2646&lt;'02_Eingaben'!$C$18*'02_Eingaben'!$C$10,1,0))</f>
        <v/>
      </c>
      <c r="I2646" s="27">
        <f>IF(OR(G2646="",G2647=""),"",(G2646+G2647)/2*(B2647-B2646))</f>
        <v/>
      </c>
      <c r="J2646" s="27">
        <f>IF(B2646="","",IF(B2645&lt;'02_Eingaben'!$C$36,0,J2645+I2645/'02_Eingaben'!$C$8))</f>
        <v/>
      </c>
    </row>
    <row r="2647">
      <c r="A2647">
        <f>IF('01_Rohdaten'!A2647="","",ROW()-1)</f>
        <v/>
      </c>
      <c r="B2647" s="27">
        <f>IF('01_Rohdaten'!A2647="","",'01_Rohdaten'!A2647)</f>
        <v/>
      </c>
      <c r="C2647" s="27">
        <f>IF(B2647="","",INDEX('01_Rohdaten'!B2647:D2647,'02_Eingaben'!$C$13))</f>
        <v/>
      </c>
      <c r="D2647" s="27">
        <f>IF(C2647="","",C2647*'02_Eingaben'!$C$15)</f>
        <v/>
      </c>
      <c r="E2647" s="27">
        <f>IF(D2647="","",D2647*'02_Eingaben'!$C$8)</f>
        <v/>
      </c>
      <c r="F2647" s="27">
        <f>IF(E2647="","",AVERAGE(INDEX($E$2:$E$3001,MAX(1,ROW()-1-'02_Eingaben'!$C$17)):INDEX($E$2:$E$3001,MIN('02_Eingaben'!$C$21,ROW()-1+'02_Eingaben'!$C$17))))</f>
        <v/>
      </c>
      <c r="G2647" s="27">
        <f>IF(F2647="","",F2647-'02_Eingaben'!$C$10)</f>
        <v/>
      </c>
      <c r="H2647">
        <f>IF(F2647="","",IF(F2647&lt;'02_Eingaben'!$C$18*'02_Eingaben'!$C$10,1,0))</f>
        <v/>
      </c>
      <c r="I2647" s="27">
        <f>IF(OR(G2647="",G2648=""),"",(G2647+G2648)/2*(B2648-B2647))</f>
        <v/>
      </c>
      <c r="J2647" s="27">
        <f>IF(B2647="","",IF(B2646&lt;'02_Eingaben'!$C$36,0,J2646+I2646/'02_Eingaben'!$C$8))</f>
        <v/>
      </c>
    </row>
    <row r="2648">
      <c r="A2648">
        <f>IF('01_Rohdaten'!A2648="","",ROW()-1)</f>
        <v/>
      </c>
      <c r="B2648" s="27">
        <f>IF('01_Rohdaten'!A2648="","",'01_Rohdaten'!A2648)</f>
        <v/>
      </c>
      <c r="C2648" s="27">
        <f>IF(B2648="","",INDEX('01_Rohdaten'!B2648:D2648,'02_Eingaben'!$C$13))</f>
        <v/>
      </c>
      <c r="D2648" s="27">
        <f>IF(C2648="","",C2648*'02_Eingaben'!$C$15)</f>
        <v/>
      </c>
      <c r="E2648" s="27">
        <f>IF(D2648="","",D2648*'02_Eingaben'!$C$8)</f>
        <v/>
      </c>
      <c r="F2648" s="27">
        <f>IF(E2648="","",AVERAGE(INDEX($E$2:$E$3001,MAX(1,ROW()-1-'02_Eingaben'!$C$17)):INDEX($E$2:$E$3001,MIN('02_Eingaben'!$C$21,ROW()-1+'02_Eingaben'!$C$17))))</f>
        <v/>
      </c>
      <c r="G2648" s="27">
        <f>IF(F2648="","",F2648-'02_Eingaben'!$C$10)</f>
        <v/>
      </c>
      <c r="H2648">
        <f>IF(F2648="","",IF(F2648&lt;'02_Eingaben'!$C$18*'02_Eingaben'!$C$10,1,0))</f>
        <v/>
      </c>
      <c r="I2648" s="27">
        <f>IF(OR(G2648="",G2649=""),"",(G2648+G2649)/2*(B2649-B2648))</f>
        <v/>
      </c>
      <c r="J2648" s="27">
        <f>IF(B2648="","",IF(B2647&lt;'02_Eingaben'!$C$36,0,J2647+I2647/'02_Eingaben'!$C$8))</f>
        <v/>
      </c>
    </row>
    <row r="2649">
      <c r="A2649">
        <f>IF('01_Rohdaten'!A2649="","",ROW()-1)</f>
        <v/>
      </c>
      <c r="B2649" s="27">
        <f>IF('01_Rohdaten'!A2649="","",'01_Rohdaten'!A2649)</f>
        <v/>
      </c>
      <c r="C2649" s="27">
        <f>IF(B2649="","",INDEX('01_Rohdaten'!B2649:D2649,'02_Eingaben'!$C$13))</f>
        <v/>
      </c>
      <c r="D2649" s="27">
        <f>IF(C2649="","",C2649*'02_Eingaben'!$C$15)</f>
        <v/>
      </c>
      <c r="E2649" s="27">
        <f>IF(D2649="","",D2649*'02_Eingaben'!$C$8)</f>
        <v/>
      </c>
      <c r="F2649" s="27">
        <f>IF(E2649="","",AVERAGE(INDEX($E$2:$E$3001,MAX(1,ROW()-1-'02_Eingaben'!$C$17)):INDEX($E$2:$E$3001,MIN('02_Eingaben'!$C$21,ROW()-1+'02_Eingaben'!$C$17))))</f>
        <v/>
      </c>
      <c r="G2649" s="27">
        <f>IF(F2649="","",F2649-'02_Eingaben'!$C$10)</f>
        <v/>
      </c>
      <c r="H2649">
        <f>IF(F2649="","",IF(F2649&lt;'02_Eingaben'!$C$18*'02_Eingaben'!$C$10,1,0))</f>
        <v/>
      </c>
      <c r="I2649" s="27">
        <f>IF(OR(G2649="",G2650=""),"",(G2649+G2650)/2*(B2650-B2649))</f>
        <v/>
      </c>
      <c r="J2649" s="27">
        <f>IF(B2649="","",IF(B2648&lt;'02_Eingaben'!$C$36,0,J2648+I2648/'02_Eingaben'!$C$8))</f>
        <v/>
      </c>
    </row>
    <row r="2650">
      <c r="A2650">
        <f>IF('01_Rohdaten'!A2650="","",ROW()-1)</f>
        <v/>
      </c>
      <c r="B2650" s="27">
        <f>IF('01_Rohdaten'!A2650="","",'01_Rohdaten'!A2650)</f>
        <v/>
      </c>
      <c r="C2650" s="27">
        <f>IF(B2650="","",INDEX('01_Rohdaten'!B2650:D2650,'02_Eingaben'!$C$13))</f>
        <v/>
      </c>
      <c r="D2650" s="27">
        <f>IF(C2650="","",C2650*'02_Eingaben'!$C$15)</f>
        <v/>
      </c>
      <c r="E2650" s="27">
        <f>IF(D2650="","",D2650*'02_Eingaben'!$C$8)</f>
        <v/>
      </c>
      <c r="F2650" s="27">
        <f>IF(E2650="","",AVERAGE(INDEX($E$2:$E$3001,MAX(1,ROW()-1-'02_Eingaben'!$C$17)):INDEX($E$2:$E$3001,MIN('02_Eingaben'!$C$21,ROW()-1+'02_Eingaben'!$C$17))))</f>
        <v/>
      </c>
      <c r="G2650" s="27">
        <f>IF(F2650="","",F2650-'02_Eingaben'!$C$10)</f>
        <v/>
      </c>
      <c r="H2650">
        <f>IF(F2650="","",IF(F2650&lt;'02_Eingaben'!$C$18*'02_Eingaben'!$C$10,1,0))</f>
        <v/>
      </c>
      <c r="I2650" s="27">
        <f>IF(OR(G2650="",G2651=""),"",(G2650+G2651)/2*(B2651-B2650))</f>
        <v/>
      </c>
      <c r="J2650" s="27">
        <f>IF(B2650="","",IF(B2649&lt;'02_Eingaben'!$C$36,0,J2649+I2649/'02_Eingaben'!$C$8))</f>
        <v/>
      </c>
    </row>
    <row r="2651">
      <c r="A2651">
        <f>IF('01_Rohdaten'!A2651="","",ROW()-1)</f>
        <v/>
      </c>
      <c r="B2651" s="27">
        <f>IF('01_Rohdaten'!A2651="","",'01_Rohdaten'!A2651)</f>
        <v/>
      </c>
      <c r="C2651" s="27">
        <f>IF(B2651="","",INDEX('01_Rohdaten'!B2651:D2651,'02_Eingaben'!$C$13))</f>
        <v/>
      </c>
      <c r="D2651" s="27">
        <f>IF(C2651="","",C2651*'02_Eingaben'!$C$15)</f>
        <v/>
      </c>
      <c r="E2651" s="27">
        <f>IF(D2651="","",D2651*'02_Eingaben'!$C$8)</f>
        <v/>
      </c>
      <c r="F2651" s="27">
        <f>IF(E2651="","",AVERAGE(INDEX($E$2:$E$3001,MAX(1,ROW()-1-'02_Eingaben'!$C$17)):INDEX($E$2:$E$3001,MIN('02_Eingaben'!$C$21,ROW()-1+'02_Eingaben'!$C$17))))</f>
        <v/>
      </c>
      <c r="G2651" s="27">
        <f>IF(F2651="","",F2651-'02_Eingaben'!$C$10)</f>
        <v/>
      </c>
      <c r="H2651">
        <f>IF(F2651="","",IF(F2651&lt;'02_Eingaben'!$C$18*'02_Eingaben'!$C$10,1,0))</f>
        <v/>
      </c>
      <c r="I2651" s="27">
        <f>IF(OR(G2651="",G2652=""),"",(G2651+G2652)/2*(B2652-B2651))</f>
        <v/>
      </c>
      <c r="J2651" s="27">
        <f>IF(B2651="","",IF(B2650&lt;'02_Eingaben'!$C$36,0,J2650+I2650/'02_Eingaben'!$C$8))</f>
        <v/>
      </c>
    </row>
    <row r="2652">
      <c r="A2652">
        <f>IF('01_Rohdaten'!A2652="","",ROW()-1)</f>
        <v/>
      </c>
      <c r="B2652" s="27">
        <f>IF('01_Rohdaten'!A2652="","",'01_Rohdaten'!A2652)</f>
        <v/>
      </c>
      <c r="C2652" s="27">
        <f>IF(B2652="","",INDEX('01_Rohdaten'!B2652:D2652,'02_Eingaben'!$C$13))</f>
        <v/>
      </c>
      <c r="D2652" s="27">
        <f>IF(C2652="","",C2652*'02_Eingaben'!$C$15)</f>
        <v/>
      </c>
      <c r="E2652" s="27">
        <f>IF(D2652="","",D2652*'02_Eingaben'!$C$8)</f>
        <v/>
      </c>
      <c r="F2652" s="27">
        <f>IF(E2652="","",AVERAGE(INDEX($E$2:$E$3001,MAX(1,ROW()-1-'02_Eingaben'!$C$17)):INDEX($E$2:$E$3001,MIN('02_Eingaben'!$C$21,ROW()-1+'02_Eingaben'!$C$17))))</f>
        <v/>
      </c>
      <c r="G2652" s="27">
        <f>IF(F2652="","",F2652-'02_Eingaben'!$C$10)</f>
        <v/>
      </c>
      <c r="H2652">
        <f>IF(F2652="","",IF(F2652&lt;'02_Eingaben'!$C$18*'02_Eingaben'!$C$10,1,0))</f>
        <v/>
      </c>
      <c r="I2652" s="27">
        <f>IF(OR(G2652="",G2653=""),"",(G2652+G2653)/2*(B2653-B2652))</f>
        <v/>
      </c>
      <c r="J2652" s="27">
        <f>IF(B2652="","",IF(B2651&lt;'02_Eingaben'!$C$36,0,J2651+I2651/'02_Eingaben'!$C$8))</f>
        <v/>
      </c>
    </row>
    <row r="2653">
      <c r="A2653">
        <f>IF('01_Rohdaten'!A2653="","",ROW()-1)</f>
        <v/>
      </c>
      <c r="B2653" s="27">
        <f>IF('01_Rohdaten'!A2653="","",'01_Rohdaten'!A2653)</f>
        <v/>
      </c>
      <c r="C2653" s="27">
        <f>IF(B2653="","",INDEX('01_Rohdaten'!B2653:D2653,'02_Eingaben'!$C$13))</f>
        <v/>
      </c>
      <c r="D2653" s="27">
        <f>IF(C2653="","",C2653*'02_Eingaben'!$C$15)</f>
        <v/>
      </c>
      <c r="E2653" s="27">
        <f>IF(D2653="","",D2653*'02_Eingaben'!$C$8)</f>
        <v/>
      </c>
      <c r="F2653" s="27">
        <f>IF(E2653="","",AVERAGE(INDEX($E$2:$E$3001,MAX(1,ROW()-1-'02_Eingaben'!$C$17)):INDEX($E$2:$E$3001,MIN('02_Eingaben'!$C$21,ROW()-1+'02_Eingaben'!$C$17))))</f>
        <v/>
      </c>
      <c r="G2653" s="27">
        <f>IF(F2653="","",F2653-'02_Eingaben'!$C$10)</f>
        <v/>
      </c>
      <c r="H2653">
        <f>IF(F2653="","",IF(F2653&lt;'02_Eingaben'!$C$18*'02_Eingaben'!$C$10,1,0))</f>
        <v/>
      </c>
      <c r="I2653" s="27">
        <f>IF(OR(G2653="",G2654=""),"",(G2653+G2654)/2*(B2654-B2653))</f>
        <v/>
      </c>
      <c r="J2653" s="27">
        <f>IF(B2653="","",IF(B2652&lt;'02_Eingaben'!$C$36,0,J2652+I2652/'02_Eingaben'!$C$8))</f>
        <v/>
      </c>
    </row>
    <row r="2654">
      <c r="A2654">
        <f>IF('01_Rohdaten'!A2654="","",ROW()-1)</f>
        <v/>
      </c>
      <c r="B2654" s="27">
        <f>IF('01_Rohdaten'!A2654="","",'01_Rohdaten'!A2654)</f>
        <v/>
      </c>
      <c r="C2654" s="27">
        <f>IF(B2654="","",INDEX('01_Rohdaten'!B2654:D2654,'02_Eingaben'!$C$13))</f>
        <v/>
      </c>
      <c r="D2654" s="27">
        <f>IF(C2654="","",C2654*'02_Eingaben'!$C$15)</f>
        <v/>
      </c>
      <c r="E2654" s="27">
        <f>IF(D2654="","",D2654*'02_Eingaben'!$C$8)</f>
        <v/>
      </c>
      <c r="F2654" s="27">
        <f>IF(E2654="","",AVERAGE(INDEX($E$2:$E$3001,MAX(1,ROW()-1-'02_Eingaben'!$C$17)):INDEX($E$2:$E$3001,MIN('02_Eingaben'!$C$21,ROW()-1+'02_Eingaben'!$C$17))))</f>
        <v/>
      </c>
      <c r="G2654" s="27">
        <f>IF(F2654="","",F2654-'02_Eingaben'!$C$10)</f>
        <v/>
      </c>
      <c r="H2654">
        <f>IF(F2654="","",IF(F2654&lt;'02_Eingaben'!$C$18*'02_Eingaben'!$C$10,1,0))</f>
        <v/>
      </c>
      <c r="I2654" s="27">
        <f>IF(OR(G2654="",G2655=""),"",(G2654+G2655)/2*(B2655-B2654))</f>
        <v/>
      </c>
      <c r="J2654" s="27">
        <f>IF(B2654="","",IF(B2653&lt;'02_Eingaben'!$C$36,0,J2653+I2653/'02_Eingaben'!$C$8))</f>
        <v/>
      </c>
    </row>
    <row r="2655">
      <c r="A2655">
        <f>IF('01_Rohdaten'!A2655="","",ROW()-1)</f>
        <v/>
      </c>
      <c r="B2655" s="27">
        <f>IF('01_Rohdaten'!A2655="","",'01_Rohdaten'!A2655)</f>
        <v/>
      </c>
      <c r="C2655" s="27">
        <f>IF(B2655="","",INDEX('01_Rohdaten'!B2655:D2655,'02_Eingaben'!$C$13))</f>
        <v/>
      </c>
      <c r="D2655" s="27">
        <f>IF(C2655="","",C2655*'02_Eingaben'!$C$15)</f>
        <v/>
      </c>
      <c r="E2655" s="27">
        <f>IF(D2655="","",D2655*'02_Eingaben'!$C$8)</f>
        <v/>
      </c>
      <c r="F2655" s="27">
        <f>IF(E2655="","",AVERAGE(INDEX($E$2:$E$3001,MAX(1,ROW()-1-'02_Eingaben'!$C$17)):INDEX($E$2:$E$3001,MIN('02_Eingaben'!$C$21,ROW()-1+'02_Eingaben'!$C$17))))</f>
        <v/>
      </c>
      <c r="G2655" s="27">
        <f>IF(F2655="","",F2655-'02_Eingaben'!$C$10)</f>
        <v/>
      </c>
      <c r="H2655">
        <f>IF(F2655="","",IF(F2655&lt;'02_Eingaben'!$C$18*'02_Eingaben'!$C$10,1,0))</f>
        <v/>
      </c>
      <c r="I2655" s="27">
        <f>IF(OR(G2655="",G2656=""),"",(G2655+G2656)/2*(B2656-B2655))</f>
        <v/>
      </c>
      <c r="J2655" s="27">
        <f>IF(B2655="","",IF(B2654&lt;'02_Eingaben'!$C$36,0,J2654+I2654/'02_Eingaben'!$C$8))</f>
        <v/>
      </c>
    </row>
    <row r="2656">
      <c r="A2656">
        <f>IF('01_Rohdaten'!A2656="","",ROW()-1)</f>
        <v/>
      </c>
      <c r="B2656" s="27">
        <f>IF('01_Rohdaten'!A2656="","",'01_Rohdaten'!A2656)</f>
        <v/>
      </c>
      <c r="C2656" s="27">
        <f>IF(B2656="","",INDEX('01_Rohdaten'!B2656:D2656,'02_Eingaben'!$C$13))</f>
        <v/>
      </c>
      <c r="D2656" s="27">
        <f>IF(C2656="","",C2656*'02_Eingaben'!$C$15)</f>
        <v/>
      </c>
      <c r="E2656" s="27">
        <f>IF(D2656="","",D2656*'02_Eingaben'!$C$8)</f>
        <v/>
      </c>
      <c r="F2656" s="27">
        <f>IF(E2656="","",AVERAGE(INDEX($E$2:$E$3001,MAX(1,ROW()-1-'02_Eingaben'!$C$17)):INDEX($E$2:$E$3001,MIN('02_Eingaben'!$C$21,ROW()-1+'02_Eingaben'!$C$17))))</f>
        <v/>
      </c>
      <c r="G2656" s="27">
        <f>IF(F2656="","",F2656-'02_Eingaben'!$C$10)</f>
        <v/>
      </c>
      <c r="H2656">
        <f>IF(F2656="","",IF(F2656&lt;'02_Eingaben'!$C$18*'02_Eingaben'!$C$10,1,0))</f>
        <v/>
      </c>
      <c r="I2656" s="27">
        <f>IF(OR(G2656="",G2657=""),"",(G2656+G2657)/2*(B2657-B2656))</f>
        <v/>
      </c>
      <c r="J2656" s="27">
        <f>IF(B2656="","",IF(B2655&lt;'02_Eingaben'!$C$36,0,J2655+I2655/'02_Eingaben'!$C$8))</f>
        <v/>
      </c>
    </row>
    <row r="2657">
      <c r="A2657">
        <f>IF('01_Rohdaten'!A2657="","",ROW()-1)</f>
        <v/>
      </c>
      <c r="B2657" s="27">
        <f>IF('01_Rohdaten'!A2657="","",'01_Rohdaten'!A2657)</f>
        <v/>
      </c>
      <c r="C2657" s="27">
        <f>IF(B2657="","",INDEX('01_Rohdaten'!B2657:D2657,'02_Eingaben'!$C$13))</f>
        <v/>
      </c>
      <c r="D2657" s="27">
        <f>IF(C2657="","",C2657*'02_Eingaben'!$C$15)</f>
        <v/>
      </c>
      <c r="E2657" s="27">
        <f>IF(D2657="","",D2657*'02_Eingaben'!$C$8)</f>
        <v/>
      </c>
      <c r="F2657" s="27">
        <f>IF(E2657="","",AVERAGE(INDEX($E$2:$E$3001,MAX(1,ROW()-1-'02_Eingaben'!$C$17)):INDEX($E$2:$E$3001,MIN('02_Eingaben'!$C$21,ROW()-1+'02_Eingaben'!$C$17))))</f>
        <v/>
      </c>
      <c r="G2657" s="27">
        <f>IF(F2657="","",F2657-'02_Eingaben'!$C$10)</f>
        <v/>
      </c>
      <c r="H2657">
        <f>IF(F2657="","",IF(F2657&lt;'02_Eingaben'!$C$18*'02_Eingaben'!$C$10,1,0))</f>
        <v/>
      </c>
      <c r="I2657" s="27">
        <f>IF(OR(G2657="",G2658=""),"",(G2657+G2658)/2*(B2658-B2657))</f>
        <v/>
      </c>
      <c r="J2657" s="27">
        <f>IF(B2657="","",IF(B2656&lt;'02_Eingaben'!$C$36,0,J2656+I2656/'02_Eingaben'!$C$8))</f>
        <v/>
      </c>
    </row>
    <row r="2658">
      <c r="A2658">
        <f>IF('01_Rohdaten'!A2658="","",ROW()-1)</f>
        <v/>
      </c>
      <c r="B2658" s="27">
        <f>IF('01_Rohdaten'!A2658="","",'01_Rohdaten'!A2658)</f>
        <v/>
      </c>
      <c r="C2658" s="27">
        <f>IF(B2658="","",INDEX('01_Rohdaten'!B2658:D2658,'02_Eingaben'!$C$13))</f>
        <v/>
      </c>
      <c r="D2658" s="27">
        <f>IF(C2658="","",C2658*'02_Eingaben'!$C$15)</f>
        <v/>
      </c>
      <c r="E2658" s="27">
        <f>IF(D2658="","",D2658*'02_Eingaben'!$C$8)</f>
        <v/>
      </c>
      <c r="F2658" s="27">
        <f>IF(E2658="","",AVERAGE(INDEX($E$2:$E$3001,MAX(1,ROW()-1-'02_Eingaben'!$C$17)):INDEX($E$2:$E$3001,MIN('02_Eingaben'!$C$21,ROW()-1+'02_Eingaben'!$C$17))))</f>
        <v/>
      </c>
      <c r="G2658" s="27">
        <f>IF(F2658="","",F2658-'02_Eingaben'!$C$10)</f>
        <v/>
      </c>
      <c r="H2658">
        <f>IF(F2658="","",IF(F2658&lt;'02_Eingaben'!$C$18*'02_Eingaben'!$C$10,1,0))</f>
        <v/>
      </c>
      <c r="I2658" s="27">
        <f>IF(OR(G2658="",G2659=""),"",(G2658+G2659)/2*(B2659-B2658))</f>
        <v/>
      </c>
      <c r="J2658" s="27">
        <f>IF(B2658="","",IF(B2657&lt;'02_Eingaben'!$C$36,0,J2657+I2657/'02_Eingaben'!$C$8))</f>
        <v/>
      </c>
    </row>
    <row r="2659">
      <c r="A2659">
        <f>IF('01_Rohdaten'!A2659="","",ROW()-1)</f>
        <v/>
      </c>
      <c r="B2659" s="27">
        <f>IF('01_Rohdaten'!A2659="","",'01_Rohdaten'!A2659)</f>
        <v/>
      </c>
      <c r="C2659" s="27">
        <f>IF(B2659="","",INDEX('01_Rohdaten'!B2659:D2659,'02_Eingaben'!$C$13))</f>
        <v/>
      </c>
      <c r="D2659" s="27">
        <f>IF(C2659="","",C2659*'02_Eingaben'!$C$15)</f>
        <v/>
      </c>
      <c r="E2659" s="27">
        <f>IF(D2659="","",D2659*'02_Eingaben'!$C$8)</f>
        <v/>
      </c>
      <c r="F2659" s="27">
        <f>IF(E2659="","",AVERAGE(INDEX($E$2:$E$3001,MAX(1,ROW()-1-'02_Eingaben'!$C$17)):INDEX($E$2:$E$3001,MIN('02_Eingaben'!$C$21,ROW()-1+'02_Eingaben'!$C$17))))</f>
        <v/>
      </c>
      <c r="G2659" s="27">
        <f>IF(F2659="","",F2659-'02_Eingaben'!$C$10)</f>
        <v/>
      </c>
      <c r="H2659">
        <f>IF(F2659="","",IF(F2659&lt;'02_Eingaben'!$C$18*'02_Eingaben'!$C$10,1,0))</f>
        <v/>
      </c>
      <c r="I2659" s="27">
        <f>IF(OR(G2659="",G2660=""),"",(G2659+G2660)/2*(B2660-B2659))</f>
        <v/>
      </c>
      <c r="J2659" s="27">
        <f>IF(B2659="","",IF(B2658&lt;'02_Eingaben'!$C$36,0,J2658+I2658/'02_Eingaben'!$C$8))</f>
        <v/>
      </c>
    </row>
    <row r="2660">
      <c r="A2660">
        <f>IF('01_Rohdaten'!A2660="","",ROW()-1)</f>
        <v/>
      </c>
      <c r="B2660" s="27">
        <f>IF('01_Rohdaten'!A2660="","",'01_Rohdaten'!A2660)</f>
        <v/>
      </c>
      <c r="C2660" s="27">
        <f>IF(B2660="","",INDEX('01_Rohdaten'!B2660:D2660,'02_Eingaben'!$C$13))</f>
        <v/>
      </c>
      <c r="D2660" s="27">
        <f>IF(C2660="","",C2660*'02_Eingaben'!$C$15)</f>
        <v/>
      </c>
      <c r="E2660" s="27">
        <f>IF(D2660="","",D2660*'02_Eingaben'!$C$8)</f>
        <v/>
      </c>
      <c r="F2660" s="27">
        <f>IF(E2660="","",AVERAGE(INDEX($E$2:$E$3001,MAX(1,ROW()-1-'02_Eingaben'!$C$17)):INDEX($E$2:$E$3001,MIN('02_Eingaben'!$C$21,ROW()-1+'02_Eingaben'!$C$17))))</f>
        <v/>
      </c>
      <c r="G2660" s="27">
        <f>IF(F2660="","",F2660-'02_Eingaben'!$C$10)</f>
        <v/>
      </c>
      <c r="H2660">
        <f>IF(F2660="","",IF(F2660&lt;'02_Eingaben'!$C$18*'02_Eingaben'!$C$10,1,0))</f>
        <v/>
      </c>
      <c r="I2660" s="27">
        <f>IF(OR(G2660="",G2661=""),"",(G2660+G2661)/2*(B2661-B2660))</f>
        <v/>
      </c>
      <c r="J2660" s="27">
        <f>IF(B2660="","",IF(B2659&lt;'02_Eingaben'!$C$36,0,J2659+I2659/'02_Eingaben'!$C$8))</f>
        <v/>
      </c>
    </row>
    <row r="2661">
      <c r="A2661">
        <f>IF('01_Rohdaten'!A2661="","",ROW()-1)</f>
        <v/>
      </c>
      <c r="B2661" s="27">
        <f>IF('01_Rohdaten'!A2661="","",'01_Rohdaten'!A2661)</f>
        <v/>
      </c>
      <c r="C2661" s="27">
        <f>IF(B2661="","",INDEX('01_Rohdaten'!B2661:D2661,'02_Eingaben'!$C$13))</f>
        <v/>
      </c>
      <c r="D2661" s="27">
        <f>IF(C2661="","",C2661*'02_Eingaben'!$C$15)</f>
        <v/>
      </c>
      <c r="E2661" s="27">
        <f>IF(D2661="","",D2661*'02_Eingaben'!$C$8)</f>
        <v/>
      </c>
      <c r="F2661" s="27">
        <f>IF(E2661="","",AVERAGE(INDEX($E$2:$E$3001,MAX(1,ROW()-1-'02_Eingaben'!$C$17)):INDEX($E$2:$E$3001,MIN('02_Eingaben'!$C$21,ROW()-1+'02_Eingaben'!$C$17))))</f>
        <v/>
      </c>
      <c r="G2661" s="27">
        <f>IF(F2661="","",F2661-'02_Eingaben'!$C$10)</f>
        <v/>
      </c>
      <c r="H2661">
        <f>IF(F2661="","",IF(F2661&lt;'02_Eingaben'!$C$18*'02_Eingaben'!$C$10,1,0))</f>
        <v/>
      </c>
      <c r="I2661" s="27">
        <f>IF(OR(G2661="",G2662=""),"",(G2661+G2662)/2*(B2662-B2661))</f>
        <v/>
      </c>
      <c r="J2661" s="27">
        <f>IF(B2661="","",IF(B2660&lt;'02_Eingaben'!$C$36,0,J2660+I2660/'02_Eingaben'!$C$8))</f>
        <v/>
      </c>
    </row>
    <row r="2662">
      <c r="A2662">
        <f>IF('01_Rohdaten'!A2662="","",ROW()-1)</f>
        <v/>
      </c>
      <c r="B2662" s="27">
        <f>IF('01_Rohdaten'!A2662="","",'01_Rohdaten'!A2662)</f>
        <v/>
      </c>
      <c r="C2662" s="27">
        <f>IF(B2662="","",INDEX('01_Rohdaten'!B2662:D2662,'02_Eingaben'!$C$13))</f>
        <v/>
      </c>
      <c r="D2662" s="27">
        <f>IF(C2662="","",C2662*'02_Eingaben'!$C$15)</f>
        <v/>
      </c>
      <c r="E2662" s="27">
        <f>IF(D2662="","",D2662*'02_Eingaben'!$C$8)</f>
        <v/>
      </c>
      <c r="F2662" s="27">
        <f>IF(E2662="","",AVERAGE(INDEX($E$2:$E$3001,MAX(1,ROW()-1-'02_Eingaben'!$C$17)):INDEX($E$2:$E$3001,MIN('02_Eingaben'!$C$21,ROW()-1+'02_Eingaben'!$C$17))))</f>
        <v/>
      </c>
      <c r="G2662" s="27">
        <f>IF(F2662="","",F2662-'02_Eingaben'!$C$10)</f>
        <v/>
      </c>
      <c r="H2662">
        <f>IF(F2662="","",IF(F2662&lt;'02_Eingaben'!$C$18*'02_Eingaben'!$C$10,1,0))</f>
        <v/>
      </c>
      <c r="I2662" s="27">
        <f>IF(OR(G2662="",G2663=""),"",(G2662+G2663)/2*(B2663-B2662))</f>
        <v/>
      </c>
      <c r="J2662" s="27">
        <f>IF(B2662="","",IF(B2661&lt;'02_Eingaben'!$C$36,0,J2661+I2661/'02_Eingaben'!$C$8))</f>
        <v/>
      </c>
    </row>
    <row r="2663">
      <c r="A2663">
        <f>IF('01_Rohdaten'!A2663="","",ROW()-1)</f>
        <v/>
      </c>
      <c r="B2663" s="27">
        <f>IF('01_Rohdaten'!A2663="","",'01_Rohdaten'!A2663)</f>
        <v/>
      </c>
      <c r="C2663" s="27">
        <f>IF(B2663="","",INDEX('01_Rohdaten'!B2663:D2663,'02_Eingaben'!$C$13))</f>
        <v/>
      </c>
      <c r="D2663" s="27">
        <f>IF(C2663="","",C2663*'02_Eingaben'!$C$15)</f>
        <v/>
      </c>
      <c r="E2663" s="27">
        <f>IF(D2663="","",D2663*'02_Eingaben'!$C$8)</f>
        <v/>
      </c>
      <c r="F2663" s="27">
        <f>IF(E2663="","",AVERAGE(INDEX($E$2:$E$3001,MAX(1,ROW()-1-'02_Eingaben'!$C$17)):INDEX($E$2:$E$3001,MIN('02_Eingaben'!$C$21,ROW()-1+'02_Eingaben'!$C$17))))</f>
        <v/>
      </c>
      <c r="G2663" s="27">
        <f>IF(F2663="","",F2663-'02_Eingaben'!$C$10)</f>
        <v/>
      </c>
      <c r="H2663">
        <f>IF(F2663="","",IF(F2663&lt;'02_Eingaben'!$C$18*'02_Eingaben'!$C$10,1,0))</f>
        <v/>
      </c>
      <c r="I2663" s="27">
        <f>IF(OR(G2663="",G2664=""),"",(G2663+G2664)/2*(B2664-B2663))</f>
        <v/>
      </c>
      <c r="J2663" s="27">
        <f>IF(B2663="","",IF(B2662&lt;'02_Eingaben'!$C$36,0,J2662+I2662/'02_Eingaben'!$C$8))</f>
        <v/>
      </c>
    </row>
    <row r="2664">
      <c r="A2664">
        <f>IF('01_Rohdaten'!A2664="","",ROW()-1)</f>
        <v/>
      </c>
      <c r="B2664" s="27">
        <f>IF('01_Rohdaten'!A2664="","",'01_Rohdaten'!A2664)</f>
        <v/>
      </c>
      <c r="C2664" s="27">
        <f>IF(B2664="","",INDEX('01_Rohdaten'!B2664:D2664,'02_Eingaben'!$C$13))</f>
        <v/>
      </c>
      <c r="D2664" s="27">
        <f>IF(C2664="","",C2664*'02_Eingaben'!$C$15)</f>
        <v/>
      </c>
      <c r="E2664" s="27">
        <f>IF(D2664="","",D2664*'02_Eingaben'!$C$8)</f>
        <v/>
      </c>
      <c r="F2664" s="27">
        <f>IF(E2664="","",AVERAGE(INDEX($E$2:$E$3001,MAX(1,ROW()-1-'02_Eingaben'!$C$17)):INDEX($E$2:$E$3001,MIN('02_Eingaben'!$C$21,ROW()-1+'02_Eingaben'!$C$17))))</f>
        <v/>
      </c>
      <c r="G2664" s="27">
        <f>IF(F2664="","",F2664-'02_Eingaben'!$C$10)</f>
        <v/>
      </c>
      <c r="H2664">
        <f>IF(F2664="","",IF(F2664&lt;'02_Eingaben'!$C$18*'02_Eingaben'!$C$10,1,0))</f>
        <v/>
      </c>
      <c r="I2664" s="27">
        <f>IF(OR(G2664="",G2665=""),"",(G2664+G2665)/2*(B2665-B2664))</f>
        <v/>
      </c>
      <c r="J2664" s="27">
        <f>IF(B2664="","",IF(B2663&lt;'02_Eingaben'!$C$36,0,J2663+I2663/'02_Eingaben'!$C$8))</f>
        <v/>
      </c>
    </row>
    <row r="2665">
      <c r="A2665">
        <f>IF('01_Rohdaten'!A2665="","",ROW()-1)</f>
        <v/>
      </c>
      <c r="B2665" s="27">
        <f>IF('01_Rohdaten'!A2665="","",'01_Rohdaten'!A2665)</f>
        <v/>
      </c>
      <c r="C2665" s="27">
        <f>IF(B2665="","",INDEX('01_Rohdaten'!B2665:D2665,'02_Eingaben'!$C$13))</f>
        <v/>
      </c>
      <c r="D2665" s="27">
        <f>IF(C2665="","",C2665*'02_Eingaben'!$C$15)</f>
        <v/>
      </c>
      <c r="E2665" s="27">
        <f>IF(D2665="","",D2665*'02_Eingaben'!$C$8)</f>
        <v/>
      </c>
      <c r="F2665" s="27">
        <f>IF(E2665="","",AVERAGE(INDEX($E$2:$E$3001,MAX(1,ROW()-1-'02_Eingaben'!$C$17)):INDEX($E$2:$E$3001,MIN('02_Eingaben'!$C$21,ROW()-1+'02_Eingaben'!$C$17))))</f>
        <v/>
      </c>
      <c r="G2665" s="27">
        <f>IF(F2665="","",F2665-'02_Eingaben'!$C$10)</f>
        <v/>
      </c>
      <c r="H2665">
        <f>IF(F2665="","",IF(F2665&lt;'02_Eingaben'!$C$18*'02_Eingaben'!$C$10,1,0))</f>
        <v/>
      </c>
      <c r="I2665" s="27">
        <f>IF(OR(G2665="",G2666=""),"",(G2665+G2666)/2*(B2666-B2665))</f>
        <v/>
      </c>
      <c r="J2665" s="27">
        <f>IF(B2665="","",IF(B2664&lt;'02_Eingaben'!$C$36,0,J2664+I2664/'02_Eingaben'!$C$8))</f>
        <v/>
      </c>
    </row>
    <row r="2666">
      <c r="A2666">
        <f>IF('01_Rohdaten'!A2666="","",ROW()-1)</f>
        <v/>
      </c>
      <c r="B2666" s="27">
        <f>IF('01_Rohdaten'!A2666="","",'01_Rohdaten'!A2666)</f>
        <v/>
      </c>
      <c r="C2666" s="27">
        <f>IF(B2666="","",INDEX('01_Rohdaten'!B2666:D2666,'02_Eingaben'!$C$13))</f>
        <v/>
      </c>
      <c r="D2666" s="27">
        <f>IF(C2666="","",C2666*'02_Eingaben'!$C$15)</f>
        <v/>
      </c>
      <c r="E2666" s="27">
        <f>IF(D2666="","",D2666*'02_Eingaben'!$C$8)</f>
        <v/>
      </c>
      <c r="F2666" s="27">
        <f>IF(E2666="","",AVERAGE(INDEX($E$2:$E$3001,MAX(1,ROW()-1-'02_Eingaben'!$C$17)):INDEX($E$2:$E$3001,MIN('02_Eingaben'!$C$21,ROW()-1+'02_Eingaben'!$C$17))))</f>
        <v/>
      </c>
      <c r="G2666" s="27">
        <f>IF(F2666="","",F2666-'02_Eingaben'!$C$10)</f>
        <v/>
      </c>
      <c r="H2666">
        <f>IF(F2666="","",IF(F2666&lt;'02_Eingaben'!$C$18*'02_Eingaben'!$C$10,1,0))</f>
        <v/>
      </c>
      <c r="I2666" s="27">
        <f>IF(OR(G2666="",G2667=""),"",(G2666+G2667)/2*(B2667-B2666))</f>
        <v/>
      </c>
      <c r="J2666" s="27">
        <f>IF(B2666="","",IF(B2665&lt;'02_Eingaben'!$C$36,0,J2665+I2665/'02_Eingaben'!$C$8))</f>
        <v/>
      </c>
    </row>
    <row r="2667">
      <c r="A2667">
        <f>IF('01_Rohdaten'!A2667="","",ROW()-1)</f>
        <v/>
      </c>
      <c r="B2667" s="27">
        <f>IF('01_Rohdaten'!A2667="","",'01_Rohdaten'!A2667)</f>
        <v/>
      </c>
      <c r="C2667" s="27">
        <f>IF(B2667="","",INDEX('01_Rohdaten'!B2667:D2667,'02_Eingaben'!$C$13))</f>
        <v/>
      </c>
      <c r="D2667" s="27">
        <f>IF(C2667="","",C2667*'02_Eingaben'!$C$15)</f>
        <v/>
      </c>
      <c r="E2667" s="27">
        <f>IF(D2667="","",D2667*'02_Eingaben'!$C$8)</f>
        <v/>
      </c>
      <c r="F2667" s="27">
        <f>IF(E2667="","",AVERAGE(INDEX($E$2:$E$3001,MAX(1,ROW()-1-'02_Eingaben'!$C$17)):INDEX($E$2:$E$3001,MIN('02_Eingaben'!$C$21,ROW()-1+'02_Eingaben'!$C$17))))</f>
        <v/>
      </c>
      <c r="G2667" s="27">
        <f>IF(F2667="","",F2667-'02_Eingaben'!$C$10)</f>
        <v/>
      </c>
      <c r="H2667">
        <f>IF(F2667="","",IF(F2667&lt;'02_Eingaben'!$C$18*'02_Eingaben'!$C$10,1,0))</f>
        <v/>
      </c>
      <c r="I2667" s="27">
        <f>IF(OR(G2667="",G2668=""),"",(G2667+G2668)/2*(B2668-B2667))</f>
        <v/>
      </c>
      <c r="J2667" s="27">
        <f>IF(B2667="","",IF(B2666&lt;'02_Eingaben'!$C$36,0,J2666+I2666/'02_Eingaben'!$C$8))</f>
        <v/>
      </c>
    </row>
    <row r="2668">
      <c r="A2668">
        <f>IF('01_Rohdaten'!A2668="","",ROW()-1)</f>
        <v/>
      </c>
      <c r="B2668" s="27">
        <f>IF('01_Rohdaten'!A2668="","",'01_Rohdaten'!A2668)</f>
        <v/>
      </c>
      <c r="C2668" s="27">
        <f>IF(B2668="","",INDEX('01_Rohdaten'!B2668:D2668,'02_Eingaben'!$C$13))</f>
        <v/>
      </c>
      <c r="D2668" s="27">
        <f>IF(C2668="","",C2668*'02_Eingaben'!$C$15)</f>
        <v/>
      </c>
      <c r="E2668" s="27">
        <f>IF(D2668="","",D2668*'02_Eingaben'!$C$8)</f>
        <v/>
      </c>
      <c r="F2668" s="27">
        <f>IF(E2668="","",AVERAGE(INDEX($E$2:$E$3001,MAX(1,ROW()-1-'02_Eingaben'!$C$17)):INDEX($E$2:$E$3001,MIN('02_Eingaben'!$C$21,ROW()-1+'02_Eingaben'!$C$17))))</f>
        <v/>
      </c>
      <c r="G2668" s="27">
        <f>IF(F2668="","",F2668-'02_Eingaben'!$C$10)</f>
        <v/>
      </c>
      <c r="H2668">
        <f>IF(F2668="","",IF(F2668&lt;'02_Eingaben'!$C$18*'02_Eingaben'!$C$10,1,0))</f>
        <v/>
      </c>
      <c r="I2668" s="27">
        <f>IF(OR(G2668="",G2669=""),"",(G2668+G2669)/2*(B2669-B2668))</f>
        <v/>
      </c>
      <c r="J2668" s="27">
        <f>IF(B2668="","",IF(B2667&lt;'02_Eingaben'!$C$36,0,J2667+I2667/'02_Eingaben'!$C$8))</f>
        <v/>
      </c>
    </row>
    <row r="2669">
      <c r="A2669">
        <f>IF('01_Rohdaten'!A2669="","",ROW()-1)</f>
        <v/>
      </c>
      <c r="B2669" s="27">
        <f>IF('01_Rohdaten'!A2669="","",'01_Rohdaten'!A2669)</f>
        <v/>
      </c>
      <c r="C2669" s="27">
        <f>IF(B2669="","",INDEX('01_Rohdaten'!B2669:D2669,'02_Eingaben'!$C$13))</f>
        <v/>
      </c>
      <c r="D2669" s="27">
        <f>IF(C2669="","",C2669*'02_Eingaben'!$C$15)</f>
        <v/>
      </c>
      <c r="E2669" s="27">
        <f>IF(D2669="","",D2669*'02_Eingaben'!$C$8)</f>
        <v/>
      </c>
      <c r="F2669" s="27">
        <f>IF(E2669="","",AVERAGE(INDEX($E$2:$E$3001,MAX(1,ROW()-1-'02_Eingaben'!$C$17)):INDEX($E$2:$E$3001,MIN('02_Eingaben'!$C$21,ROW()-1+'02_Eingaben'!$C$17))))</f>
        <v/>
      </c>
      <c r="G2669" s="27">
        <f>IF(F2669="","",F2669-'02_Eingaben'!$C$10)</f>
        <v/>
      </c>
      <c r="H2669">
        <f>IF(F2669="","",IF(F2669&lt;'02_Eingaben'!$C$18*'02_Eingaben'!$C$10,1,0))</f>
        <v/>
      </c>
      <c r="I2669" s="27">
        <f>IF(OR(G2669="",G2670=""),"",(G2669+G2670)/2*(B2670-B2669))</f>
        <v/>
      </c>
      <c r="J2669" s="27">
        <f>IF(B2669="","",IF(B2668&lt;'02_Eingaben'!$C$36,0,J2668+I2668/'02_Eingaben'!$C$8))</f>
        <v/>
      </c>
    </row>
    <row r="2670">
      <c r="A2670">
        <f>IF('01_Rohdaten'!A2670="","",ROW()-1)</f>
        <v/>
      </c>
      <c r="B2670" s="27">
        <f>IF('01_Rohdaten'!A2670="","",'01_Rohdaten'!A2670)</f>
        <v/>
      </c>
      <c r="C2670" s="27">
        <f>IF(B2670="","",INDEX('01_Rohdaten'!B2670:D2670,'02_Eingaben'!$C$13))</f>
        <v/>
      </c>
      <c r="D2670" s="27">
        <f>IF(C2670="","",C2670*'02_Eingaben'!$C$15)</f>
        <v/>
      </c>
      <c r="E2670" s="27">
        <f>IF(D2670="","",D2670*'02_Eingaben'!$C$8)</f>
        <v/>
      </c>
      <c r="F2670" s="27">
        <f>IF(E2670="","",AVERAGE(INDEX($E$2:$E$3001,MAX(1,ROW()-1-'02_Eingaben'!$C$17)):INDEX($E$2:$E$3001,MIN('02_Eingaben'!$C$21,ROW()-1+'02_Eingaben'!$C$17))))</f>
        <v/>
      </c>
      <c r="G2670" s="27">
        <f>IF(F2670="","",F2670-'02_Eingaben'!$C$10)</f>
        <v/>
      </c>
      <c r="H2670">
        <f>IF(F2670="","",IF(F2670&lt;'02_Eingaben'!$C$18*'02_Eingaben'!$C$10,1,0))</f>
        <v/>
      </c>
      <c r="I2670" s="27">
        <f>IF(OR(G2670="",G2671=""),"",(G2670+G2671)/2*(B2671-B2670))</f>
        <v/>
      </c>
      <c r="J2670" s="27">
        <f>IF(B2670="","",IF(B2669&lt;'02_Eingaben'!$C$36,0,J2669+I2669/'02_Eingaben'!$C$8))</f>
        <v/>
      </c>
    </row>
    <row r="2671">
      <c r="A2671">
        <f>IF('01_Rohdaten'!A2671="","",ROW()-1)</f>
        <v/>
      </c>
      <c r="B2671" s="27">
        <f>IF('01_Rohdaten'!A2671="","",'01_Rohdaten'!A2671)</f>
        <v/>
      </c>
      <c r="C2671" s="27">
        <f>IF(B2671="","",INDEX('01_Rohdaten'!B2671:D2671,'02_Eingaben'!$C$13))</f>
        <v/>
      </c>
      <c r="D2671" s="27">
        <f>IF(C2671="","",C2671*'02_Eingaben'!$C$15)</f>
        <v/>
      </c>
      <c r="E2671" s="27">
        <f>IF(D2671="","",D2671*'02_Eingaben'!$C$8)</f>
        <v/>
      </c>
      <c r="F2671" s="27">
        <f>IF(E2671="","",AVERAGE(INDEX($E$2:$E$3001,MAX(1,ROW()-1-'02_Eingaben'!$C$17)):INDEX($E$2:$E$3001,MIN('02_Eingaben'!$C$21,ROW()-1+'02_Eingaben'!$C$17))))</f>
        <v/>
      </c>
      <c r="G2671" s="27">
        <f>IF(F2671="","",F2671-'02_Eingaben'!$C$10)</f>
        <v/>
      </c>
      <c r="H2671">
        <f>IF(F2671="","",IF(F2671&lt;'02_Eingaben'!$C$18*'02_Eingaben'!$C$10,1,0))</f>
        <v/>
      </c>
      <c r="I2671" s="27">
        <f>IF(OR(G2671="",G2672=""),"",(G2671+G2672)/2*(B2672-B2671))</f>
        <v/>
      </c>
      <c r="J2671" s="27">
        <f>IF(B2671="","",IF(B2670&lt;'02_Eingaben'!$C$36,0,J2670+I2670/'02_Eingaben'!$C$8))</f>
        <v/>
      </c>
    </row>
    <row r="2672">
      <c r="A2672">
        <f>IF('01_Rohdaten'!A2672="","",ROW()-1)</f>
        <v/>
      </c>
      <c r="B2672" s="27">
        <f>IF('01_Rohdaten'!A2672="","",'01_Rohdaten'!A2672)</f>
        <v/>
      </c>
      <c r="C2672" s="27">
        <f>IF(B2672="","",INDEX('01_Rohdaten'!B2672:D2672,'02_Eingaben'!$C$13))</f>
        <v/>
      </c>
      <c r="D2672" s="27">
        <f>IF(C2672="","",C2672*'02_Eingaben'!$C$15)</f>
        <v/>
      </c>
      <c r="E2672" s="27">
        <f>IF(D2672="","",D2672*'02_Eingaben'!$C$8)</f>
        <v/>
      </c>
      <c r="F2672" s="27">
        <f>IF(E2672="","",AVERAGE(INDEX($E$2:$E$3001,MAX(1,ROW()-1-'02_Eingaben'!$C$17)):INDEX($E$2:$E$3001,MIN('02_Eingaben'!$C$21,ROW()-1+'02_Eingaben'!$C$17))))</f>
        <v/>
      </c>
      <c r="G2672" s="27">
        <f>IF(F2672="","",F2672-'02_Eingaben'!$C$10)</f>
        <v/>
      </c>
      <c r="H2672">
        <f>IF(F2672="","",IF(F2672&lt;'02_Eingaben'!$C$18*'02_Eingaben'!$C$10,1,0))</f>
        <v/>
      </c>
      <c r="I2672" s="27">
        <f>IF(OR(G2672="",G2673=""),"",(G2672+G2673)/2*(B2673-B2672))</f>
        <v/>
      </c>
      <c r="J2672" s="27">
        <f>IF(B2672="","",IF(B2671&lt;'02_Eingaben'!$C$36,0,J2671+I2671/'02_Eingaben'!$C$8))</f>
        <v/>
      </c>
    </row>
    <row r="2673">
      <c r="A2673">
        <f>IF('01_Rohdaten'!A2673="","",ROW()-1)</f>
        <v/>
      </c>
      <c r="B2673" s="27">
        <f>IF('01_Rohdaten'!A2673="","",'01_Rohdaten'!A2673)</f>
        <v/>
      </c>
      <c r="C2673" s="27">
        <f>IF(B2673="","",INDEX('01_Rohdaten'!B2673:D2673,'02_Eingaben'!$C$13))</f>
        <v/>
      </c>
      <c r="D2673" s="27">
        <f>IF(C2673="","",C2673*'02_Eingaben'!$C$15)</f>
        <v/>
      </c>
      <c r="E2673" s="27">
        <f>IF(D2673="","",D2673*'02_Eingaben'!$C$8)</f>
        <v/>
      </c>
      <c r="F2673" s="27">
        <f>IF(E2673="","",AVERAGE(INDEX($E$2:$E$3001,MAX(1,ROW()-1-'02_Eingaben'!$C$17)):INDEX($E$2:$E$3001,MIN('02_Eingaben'!$C$21,ROW()-1+'02_Eingaben'!$C$17))))</f>
        <v/>
      </c>
      <c r="G2673" s="27">
        <f>IF(F2673="","",F2673-'02_Eingaben'!$C$10)</f>
        <v/>
      </c>
      <c r="H2673">
        <f>IF(F2673="","",IF(F2673&lt;'02_Eingaben'!$C$18*'02_Eingaben'!$C$10,1,0))</f>
        <v/>
      </c>
      <c r="I2673" s="27">
        <f>IF(OR(G2673="",G2674=""),"",(G2673+G2674)/2*(B2674-B2673))</f>
        <v/>
      </c>
      <c r="J2673" s="27">
        <f>IF(B2673="","",IF(B2672&lt;'02_Eingaben'!$C$36,0,J2672+I2672/'02_Eingaben'!$C$8))</f>
        <v/>
      </c>
    </row>
    <row r="2674">
      <c r="A2674">
        <f>IF('01_Rohdaten'!A2674="","",ROW()-1)</f>
        <v/>
      </c>
      <c r="B2674" s="27">
        <f>IF('01_Rohdaten'!A2674="","",'01_Rohdaten'!A2674)</f>
        <v/>
      </c>
      <c r="C2674" s="27">
        <f>IF(B2674="","",INDEX('01_Rohdaten'!B2674:D2674,'02_Eingaben'!$C$13))</f>
        <v/>
      </c>
      <c r="D2674" s="27">
        <f>IF(C2674="","",C2674*'02_Eingaben'!$C$15)</f>
        <v/>
      </c>
      <c r="E2674" s="27">
        <f>IF(D2674="","",D2674*'02_Eingaben'!$C$8)</f>
        <v/>
      </c>
      <c r="F2674" s="27">
        <f>IF(E2674="","",AVERAGE(INDEX($E$2:$E$3001,MAX(1,ROW()-1-'02_Eingaben'!$C$17)):INDEX($E$2:$E$3001,MIN('02_Eingaben'!$C$21,ROW()-1+'02_Eingaben'!$C$17))))</f>
        <v/>
      </c>
      <c r="G2674" s="27">
        <f>IF(F2674="","",F2674-'02_Eingaben'!$C$10)</f>
        <v/>
      </c>
      <c r="H2674">
        <f>IF(F2674="","",IF(F2674&lt;'02_Eingaben'!$C$18*'02_Eingaben'!$C$10,1,0))</f>
        <v/>
      </c>
      <c r="I2674" s="27">
        <f>IF(OR(G2674="",G2675=""),"",(G2674+G2675)/2*(B2675-B2674))</f>
        <v/>
      </c>
      <c r="J2674" s="27">
        <f>IF(B2674="","",IF(B2673&lt;'02_Eingaben'!$C$36,0,J2673+I2673/'02_Eingaben'!$C$8))</f>
        <v/>
      </c>
    </row>
    <row r="2675">
      <c r="A2675">
        <f>IF('01_Rohdaten'!A2675="","",ROW()-1)</f>
        <v/>
      </c>
      <c r="B2675" s="27">
        <f>IF('01_Rohdaten'!A2675="","",'01_Rohdaten'!A2675)</f>
        <v/>
      </c>
      <c r="C2675" s="27">
        <f>IF(B2675="","",INDEX('01_Rohdaten'!B2675:D2675,'02_Eingaben'!$C$13))</f>
        <v/>
      </c>
      <c r="D2675" s="27">
        <f>IF(C2675="","",C2675*'02_Eingaben'!$C$15)</f>
        <v/>
      </c>
      <c r="E2675" s="27">
        <f>IF(D2675="","",D2675*'02_Eingaben'!$C$8)</f>
        <v/>
      </c>
      <c r="F2675" s="27">
        <f>IF(E2675="","",AVERAGE(INDEX($E$2:$E$3001,MAX(1,ROW()-1-'02_Eingaben'!$C$17)):INDEX($E$2:$E$3001,MIN('02_Eingaben'!$C$21,ROW()-1+'02_Eingaben'!$C$17))))</f>
        <v/>
      </c>
      <c r="G2675" s="27">
        <f>IF(F2675="","",F2675-'02_Eingaben'!$C$10)</f>
        <v/>
      </c>
      <c r="H2675">
        <f>IF(F2675="","",IF(F2675&lt;'02_Eingaben'!$C$18*'02_Eingaben'!$C$10,1,0))</f>
        <v/>
      </c>
      <c r="I2675" s="27">
        <f>IF(OR(G2675="",G2676=""),"",(G2675+G2676)/2*(B2676-B2675))</f>
        <v/>
      </c>
      <c r="J2675" s="27">
        <f>IF(B2675="","",IF(B2674&lt;'02_Eingaben'!$C$36,0,J2674+I2674/'02_Eingaben'!$C$8))</f>
        <v/>
      </c>
    </row>
    <row r="2676">
      <c r="A2676">
        <f>IF('01_Rohdaten'!A2676="","",ROW()-1)</f>
        <v/>
      </c>
      <c r="B2676" s="27">
        <f>IF('01_Rohdaten'!A2676="","",'01_Rohdaten'!A2676)</f>
        <v/>
      </c>
      <c r="C2676" s="27">
        <f>IF(B2676="","",INDEX('01_Rohdaten'!B2676:D2676,'02_Eingaben'!$C$13))</f>
        <v/>
      </c>
      <c r="D2676" s="27">
        <f>IF(C2676="","",C2676*'02_Eingaben'!$C$15)</f>
        <v/>
      </c>
      <c r="E2676" s="27">
        <f>IF(D2676="","",D2676*'02_Eingaben'!$C$8)</f>
        <v/>
      </c>
      <c r="F2676" s="27">
        <f>IF(E2676="","",AVERAGE(INDEX($E$2:$E$3001,MAX(1,ROW()-1-'02_Eingaben'!$C$17)):INDEX($E$2:$E$3001,MIN('02_Eingaben'!$C$21,ROW()-1+'02_Eingaben'!$C$17))))</f>
        <v/>
      </c>
      <c r="G2676" s="27">
        <f>IF(F2676="","",F2676-'02_Eingaben'!$C$10)</f>
        <v/>
      </c>
      <c r="H2676">
        <f>IF(F2676="","",IF(F2676&lt;'02_Eingaben'!$C$18*'02_Eingaben'!$C$10,1,0))</f>
        <v/>
      </c>
      <c r="I2676" s="27">
        <f>IF(OR(G2676="",G2677=""),"",(G2676+G2677)/2*(B2677-B2676))</f>
        <v/>
      </c>
      <c r="J2676" s="27">
        <f>IF(B2676="","",IF(B2675&lt;'02_Eingaben'!$C$36,0,J2675+I2675/'02_Eingaben'!$C$8))</f>
        <v/>
      </c>
    </row>
    <row r="2677">
      <c r="A2677">
        <f>IF('01_Rohdaten'!A2677="","",ROW()-1)</f>
        <v/>
      </c>
      <c r="B2677" s="27">
        <f>IF('01_Rohdaten'!A2677="","",'01_Rohdaten'!A2677)</f>
        <v/>
      </c>
      <c r="C2677" s="27">
        <f>IF(B2677="","",INDEX('01_Rohdaten'!B2677:D2677,'02_Eingaben'!$C$13))</f>
        <v/>
      </c>
      <c r="D2677" s="27">
        <f>IF(C2677="","",C2677*'02_Eingaben'!$C$15)</f>
        <v/>
      </c>
      <c r="E2677" s="27">
        <f>IF(D2677="","",D2677*'02_Eingaben'!$C$8)</f>
        <v/>
      </c>
      <c r="F2677" s="27">
        <f>IF(E2677="","",AVERAGE(INDEX($E$2:$E$3001,MAX(1,ROW()-1-'02_Eingaben'!$C$17)):INDEX($E$2:$E$3001,MIN('02_Eingaben'!$C$21,ROW()-1+'02_Eingaben'!$C$17))))</f>
        <v/>
      </c>
      <c r="G2677" s="27">
        <f>IF(F2677="","",F2677-'02_Eingaben'!$C$10)</f>
        <v/>
      </c>
      <c r="H2677">
        <f>IF(F2677="","",IF(F2677&lt;'02_Eingaben'!$C$18*'02_Eingaben'!$C$10,1,0))</f>
        <v/>
      </c>
      <c r="I2677" s="27">
        <f>IF(OR(G2677="",G2678=""),"",(G2677+G2678)/2*(B2678-B2677))</f>
        <v/>
      </c>
      <c r="J2677" s="27">
        <f>IF(B2677="","",IF(B2676&lt;'02_Eingaben'!$C$36,0,J2676+I2676/'02_Eingaben'!$C$8))</f>
        <v/>
      </c>
    </row>
    <row r="2678">
      <c r="A2678">
        <f>IF('01_Rohdaten'!A2678="","",ROW()-1)</f>
        <v/>
      </c>
      <c r="B2678" s="27">
        <f>IF('01_Rohdaten'!A2678="","",'01_Rohdaten'!A2678)</f>
        <v/>
      </c>
      <c r="C2678" s="27">
        <f>IF(B2678="","",INDEX('01_Rohdaten'!B2678:D2678,'02_Eingaben'!$C$13))</f>
        <v/>
      </c>
      <c r="D2678" s="27">
        <f>IF(C2678="","",C2678*'02_Eingaben'!$C$15)</f>
        <v/>
      </c>
      <c r="E2678" s="27">
        <f>IF(D2678="","",D2678*'02_Eingaben'!$C$8)</f>
        <v/>
      </c>
      <c r="F2678" s="27">
        <f>IF(E2678="","",AVERAGE(INDEX($E$2:$E$3001,MAX(1,ROW()-1-'02_Eingaben'!$C$17)):INDEX($E$2:$E$3001,MIN('02_Eingaben'!$C$21,ROW()-1+'02_Eingaben'!$C$17))))</f>
        <v/>
      </c>
      <c r="G2678" s="27">
        <f>IF(F2678="","",F2678-'02_Eingaben'!$C$10)</f>
        <v/>
      </c>
      <c r="H2678">
        <f>IF(F2678="","",IF(F2678&lt;'02_Eingaben'!$C$18*'02_Eingaben'!$C$10,1,0))</f>
        <v/>
      </c>
      <c r="I2678" s="27">
        <f>IF(OR(G2678="",G2679=""),"",(G2678+G2679)/2*(B2679-B2678))</f>
        <v/>
      </c>
      <c r="J2678" s="27">
        <f>IF(B2678="","",IF(B2677&lt;'02_Eingaben'!$C$36,0,J2677+I2677/'02_Eingaben'!$C$8))</f>
        <v/>
      </c>
    </row>
    <row r="2679">
      <c r="A2679">
        <f>IF('01_Rohdaten'!A2679="","",ROW()-1)</f>
        <v/>
      </c>
      <c r="B2679" s="27">
        <f>IF('01_Rohdaten'!A2679="","",'01_Rohdaten'!A2679)</f>
        <v/>
      </c>
      <c r="C2679" s="27">
        <f>IF(B2679="","",INDEX('01_Rohdaten'!B2679:D2679,'02_Eingaben'!$C$13))</f>
        <v/>
      </c>
      <c r="D2679" s="27">
        <f>IF(C2679="","",C2679*'02_Eingaben'!$C$15)</f>
        <v/>
      </c>
      <c r="E2679" s="27">
        <f>IF(D2679="","",D2679*'02_Eingaben'!$C$8)</f>
        <v/>
      </c>
      <c r="F2679" s="27">
        <f>IF(E2679="","",AVERAGE(INDEX($E$2:$E$3001,MAX(1,ROW()-1-'02_Eingaben'!$C$17)):INDEX($E$2:$E$3001,MIN('02_Eingaben'!$C$21,ROW()-1+'02_Eingaben'!$C$17))))</f>
        <v/>
      </c>
      <c r="G2679" s="27">
        <f>IF(F2679="","",F2679-'02_Eingaben'!$C$10)</f>
        <v/>
      </c>
      <c r="H2679">
        <f>IF(F2679="","",IF(F2679&lt;'02_Eingaben'!$C$18*'02_Eingaben'!$C$10,1,0))</f>
        <v/>
      </c>
      <c r="I2679" s="27">
        <f>IF(OR(G2679="",G2680=""),"",(G2679+G2680)/2*(B2680-B2679))</f>
        <v/>
      </c>
      <c r="J2679" s="27">
        <f>IF(B2679="","",IF(B2678&lt;'02_Eingaben'!$C$36,0,J2678+I2678/'02_Eingaben'!$C$8))</f>
        <v/>
      </c>
    </row>
    <row r="2680">
      <c r="A2680">
        <f>IF('01_Rohdaten'!A2680="","",ROW()-1)</f>
        <v/>
      </c>
      <c r="B2680" s="27">
        <f>IF('01_Rohdaten'!A2680="","",'01_Rohdaten'!A2680)</f>
        <v/>
      </c>
      <c r="C2680" s="27">
        <f>IF(B2680="","",INDEX('01_Rohdaten'!B2680:D2680,'02_Eingaben'!$C$13))</f>
        <v/>
      </c>
      <c r="D2680" s="27">
        <f>IF(C2680="","",C2680*'02_Eingaben'!$C$15)</f>
        <v/>
      </c>
      <c r="E2680" s="27">
        <f>IF(D2680="","",D2680*'02_Eingaben'!$C$8)</f>
        <v/>
      </c>
      <c r="F2680" s="27">
        <f>IF(E2680="","",AVERAGE(INDEX($E$2:$E$3001,MAX(1,ROW()-1-'02_Eingaben'!$C$17)):INDEX($E$2:$E$3001,MIN('02_Eingaben'!$C$21,ROW()-1+'02_Eingaben'!$C$17))))</f>
        <v/>
      </c>
      <c r="G2680" s="27">
        <f>IF(F2680="","",F2680-'02_Eingaben'!$C$10)</f>
        <v/>
      </c>
      <c r="H2680">
        <f>IF(F2680="","",IF(F2680&lt;'02_Eingaben'!$C$18*'02_Eingaben'!$C$10,1,0))</f>
        <v/>
      </c>
      <c r="I2680" s="27">
        <f>IF(OR(G2680="",G2681=""),"",(G2680+G2681)/2*(B2681-B2680))</f>
        <v/>
      </c>
      <c r="J2680" s="27">
        <f>IF(B2680="","",IF(B2679&lt;'02_Eingaben'!$C$36,0,J2679+I2679/'02_Eingaben'!$C$8))</f>
        <v/>
      </c>
    </row>
    <row r="2681">
      <c r="A2681">
        <f>IF('01_Rohdaten'!A2681="","",ROW()-1)</f>
        <v/>
      </c>
      <c r="B2681" s="27">
        <f>IF('01_Rohdaten'!A2681="","",'01_Rohdaten'!A2681)</f>
        <v/>
      </c>
      <c r="C2681" s="27">
        <f>IF(B2681="","",INDEX('01_Rohdaten'!B2681:D2681,'02_Eingaben'!$C$13))</f>
        <v/>
      </c>
      <c r="D2681" s="27">
        <f>IF(C2681="","",C2681*'02_Eingaben'!$C$15)</f>
        <v/>
      </c>
      <c r="E2681" s="27">
        <f>IF(D2681="","",D2681*'02_Eingaben'!$C$8)</f>
        <v/>
      </c>
      <c r="F2681" s="27">
        <f>IF(E2681="","",AVERAGE(INDEX($E$2:$E$3001,MAX(1,ROW()-1-'02_Eingaben'!$C$17)):INDEX($E$2:$E$3001,MIN('02_Eingaben'!$C$21,ROW()-1+'02_Eingaben'!$C$17))))</f>
        <v/>
      </c>
      <c r="G2681" s="27">
        <f>IF(F2681="","",F2681-'02_Eingaben'!$C$10)</f>
        <v/>
      </c>
      <c r="H2681">
        <f>IF(F2681="","",IF(F2681&lt;'02_Eingaben'!$C$18*'02_Eingaben'!$C$10,1,0))</f>
        <v/>
      </c>
      <c r="I2681" s="27">
        <f>IF(OR(G2681="",G2682=""),"",(G2681+G2682)/2*(B2682-B2681))</f>
        <v/>
      </c>
      <c r="J2681" s="27">
        <f>IF(B2681="","",IF(B2680&lt;'02_Eingaben'!$C$36,0,J2680+I2680/'02_Eingaben'!$C$8))</f>
        <v/>
      </c>
    </row>
    <row r="2682">
      <c r="A2682">
        <f>IF('01_Rohdaten'!A2682="","",ROW()-1)</f>
        <v/>
      </c>
      <c r="B2682" s="27">
        <f>IF('01_Rohdaten'!A2682="","",'01_Rohdaten'!A2682)</f>
        <v/>
      </c>
      <c r="C2682" s="27">
        <f>IF(B2682="","",INDEX('01_Rohdaten'!B2682:D2682,'02_Eingaben'!$C$13))</f>
        <v/>
      </c>
      <c r="D2682" s="27">
        <f>IF(C2682="","",C2682*'02_Eingaben'!$C$15)</f>
        <v/>
      </c>
      <c r="E2682" s="27">
        <f>IF(D2682="","",D2682*'02_Eingaben'!$C$8)</f>
        <v/>
      </c>
      <c r="F2682" s="27">
        <f>IF(E2682="","",AVERAGE(INDEX($E$2:$E$3001,MAX(1,ROW()-1-'02_Eingaben'!$C$17)):INDEX($E$2:$E$3001,MIN('02_Eingaben'!$C$21,ROW()-1+'02_Eingaben'!$C$17))))</f>
        <v/>
      </c>
      <c r="G2682" s="27">
        <f>IF(F2682="","",F2682-'02_Eingaben'!$C$10)</f>
        <v/>
      </c>
      <c r="H2682">
        <f>IF(F2682="","",IF(F2682&lt;'02_Eingaben'!$C$18*'02_Eingaben'!$C$10,1,0))</f>
        <v/>
      </c>
      <c r="I2682" s="27">
        <f>IF(OR(G2682="",G2683=""),"",(G2682+G2683)/2*(B2683-B2682))</f>
        <v/>
      </c>
      <c r="J2682" s="27">
        <f>IF(B2682="","",IF(B2681&lt;'02_Eingaben'!$C$36,0,J2681+I2681/'02_Eingaben'!$C$8))</f>
        <v/>
      </c>
    </row>
    <row r="2683">
      <c r="A2683">
        <f>IF('01_Rohdaten'!A2683="","",ROW()-1)</f>
        <v/>
      </c>
      <c r="B2683" s="27">
        <f>IF('01_Rohdaten'!A2683="","",'01_Rohdaten'!A2683)</f>
        <v/>
      </c>
      <c r="C2683" s="27">
        <f>IF(B2683="","",INDEX('01_Rohdaten'!B2683:D2683,'02_Eingaben'!$C$13))</f>
        <v/>
      </c>
      <c r="D2683" s="27">
        <f>IF(C2683="","",C2683*'02_Eingaben'!$C$15)</f>
        <v/>
      </c>
      <c r="E2683" s="27">
        <f>IF(D2683="","",D2683*'02_Eingaben'!$C$8)</f>
        <v/>
      </c>
      <c r="F2683" s="27">
        <f>IF(E2683="","",AVERAGE(INDEX($E$2:$E$3001,MAX(1,ROW()-1-'02_Eingaben'!$C$17)):INDEX($E$2:$E$3001,MIN('02_Eingaben'!$C$21,ROW()-1+'02_Eingaben'!$C$17))))</f>
        <v/>
      </c>
      <c r="G2683" s="27">
        <f>IF(F2683="","",F2683-'02_Eingaben'!$C$10)</f>
        <v/>
      </c>
      <c r="H2683">
        <f>IF(F2683="","",IF(F2683&lt;'02_Eingaben'!$C$18*'02_Eingaben'!$C$10,1,0))</f>
        <v/>
      </c>
      <c r="I2683" s="27">
        <f>IF(OR(G2683="",G2684=""),"",(G2683+G2684)/2*(B2684-B2683))</f>
        <v/>
      </c>
      <c r="J2683" s="27">
        <f>IF(B2683="","",IF(B2682&lt;'02_Eingaben'!$C$36,0,J2682+I2682/'02_Eingaben'!$C$8))</f>
        <v/>
      </c>
    </row>
    <row r="2684">
      <c r="A2684">
        <f>IF('01_Rohdaten'!A2684="","",ROW()-1)</f>
        <v/>
      </c>
      <c r="B2684" s="27">
        <f>IF('01_Rohdaten'!A2684="","",'01_Rohdaten'!A2684)</f>
        <v/>
      </c>
      <c r="C2684" s="27">
        <f>IF(B2684="","",INDEX('01_Rohdaten'!B2684:D2684,'02_Eingaben'!$C$13))</f>
        <v/>
      </c>
      <c r="D2684" s="27">
        <f>IF(C2684="","",C2684*'02_Eingaben'!$C$15)</f>
        <v/>
      </c>
      <c r="E2684" s="27">
        <f>IF(D2684="","",D2684*'02_Eingaben'!$C$8)</f>
        <v/>
      </c>
      <c r="F2684" s="27">
        <f>IF(E2684="","",AVERAGE(INDEX($E$2:$E$3001,MAX(1,ROW()-1-'02_Eingaben'!$C$17)):INDEX($E$2:$E$3001,MIN('02_Eingaben'!$C$21,ROW()-1+'02_Eingaben'!$C$17))))</f>
        <v/>
      </c>
      <c r="G2684" s="27">
        <f>IF(F2684="","",F2684-'02_Eingaben'!$C$10)</f>
        <v/>
      </c>
      <c r="H2684">
        <f>IF(F2684="","",IF(F2684&lt;'02_Eingaben'!$C$18*'02_Eingaben'!$C$10,1,0))</f>
        <v/>
      </c>
      <c r="I2684" s="27">
        <f>IF(OR(G2684="",G2685=""),"",(G2684+G2685)/2*(B2685-B2684))</f>
        <v/>
      </c>
      <c r="J2684" s="27">
        <f>IF(B2684="","",IF(B2683&lt;'02_Eingaben'!$C$36,0,J2683+I2683/'02_Eingaben'!$C$8))</f>
        <v/>
      </c>
    </row>
    <row r="2685">
      <c r="A2685">
        <f>IF('01_Rohdaten'!A2685="","",ROW()-1)</f>
        <v/>
      </c>
      <c r="B2685" s="27">
        <f>IF('01_Rohdaten'!A2685="","",'01_Rohdaten'!A2685)</f>
        <v/>
      </c>
      <c r="C2685" s="27">
        <f>IF(B2685="","",INDEX('01_Rohdaten'!B2685:D2685,'02_Eingaben'!$C$13))</f>
        <v/>
      </c>
      <c r="D2685" s="27">
        <f>IF(C2685="","",C2685*'02_Eingaben'!$C$15)</f>
        <v/>
      </c>
      <c r="E2685" s="27">
        <f>IF(D2685="","",D2685*'02_Eingaben'!$C$8)</f>
        <v/>
      </c>
      <c r="F2685" s="27">
        <f>IF(E2685="","",AVERAGE(INDEX($E$2:$E$3001,MAX(1,ROW()-1-'02_Eingaben'!$C$17)):INDEX($E$2:$E$3001,MIN('02_Eingaben'!$C$21,ROW()-1+'02_Eingaben'!$C$17))))</f>
        <v/>
      </c>
      <c r="G2685" s="27">
        <f>IF(F2685="","",F2685-'02_Eingaben'!$C$10)</f>
        <v/>
      </c>
      <c r="H2685">
        <f>IF(F2685="","",IF(F2685&lt;'02_Eingaben'!$C$18*'02_Eingaben'!$C$10,1,0))</f>
        <v/>
      </c>
      <c r="I2685" s="27">
        <f>IF(OR(G2685="",G2686=""),"",(G2685+G2686)/2*(B2686-B2685))</f>
        <v/>
      </c>
      <c r="J2685" s="27">
        <f>IF(B2685="","",IF(B2684&lt;'02_Eingaben'!$C$36,0,J2684+I2684/'02_Eingaben'!$C$8))</f>
        <v/>
      </c>
    </row>
    <row r="2686">
      <c r="A2686">
        <f>IF('01_Rohdaten'!A2686="","",ROW()-1)</f>
        <v/>
      </c>
      <c r="B2686" s="27">
        <f>IF('01_Rohdaten'!A2686="","",'01_Rohdaten'!A2686)</f>
        <v/>
      </c>
      <c r="C2686" s="27">
        <f>IF(B2686="","",INDEX('01_Rohdaten'!B2686:D2686,'02_Eingaben'!$C$13))</f>
        <v/>
      </c>
      <c r="D2686" s="27">
        <f>IF(C2686="","",C2686*'02_Eingaben'!$C$15)</f>
        <v/>
      </c>
      <c r="E2686" s="27">
        <f>IF(D2686="","",D2686*'02_Eingaben'!$C$8)</f>
        <v/>
      </c>
      <c r="F2686" s="27">
        <f>IF(E2686="","",AVERAGE(INDEX($E$2:$E$3001,MAX(1,ROW()-1-'02_Eingaben'!$C$17)):INDEX($E$2:$E$3001,MIN('02_Eingaben'!$C$21,ROW()-1+'02_Eingaben'!$C$17))))</f>
        <v/>
      </c>
      <c r="G2686" s="27">
        <f>IF(F2686="","",F2686-'02_Eingaben'!$C$10)</f>
        <v/>
      </c>
      <c r="H2686">
        <f>IF(F2686="","",IF(F2686&lt;'02_Eingaben'!$C$18*'02_Eingaben'!$C$10,1,0))</f>
        <v/>
      </c>
      <c r="I2686" s="27">
        <f>IF(OR(G2686="",G2687=""),"",(G2686+G2687)/2*(B2687-B2686))</f>
        <v/>
      </c>
      <c r="J2686" s="27">
        <f>IF(B2686="","",IF(B2685&lt;'02_Eingaben'!$C$36,0,J2685+I2685/'02_Eingaben'!$C$8))</f>
        <v/>
      </c>
    </row>
    <row r="2687">
      <c r="A2687">
        <f>IF('01_Rohdaten'!A2687="","",ROW()-1)</f>
        <v/>
      </c>
      <c r="B2687" s="27">
        <f>IF('01_Rohdaten'!A2687="","",'01_Rohdaten'!A2687)</f>
        <v/>
      </c>
      <c r="C2687" s="27">
        <f>IF(B2687="","",INDEX('01_Rohdaten'!B2687:D2687,'02_Eingaben'!$C$13))</f>
        <v/>
      </c>
      <c r="D2687" s="27">
        <f>IF(C2687="","",C2687*'02_Eingaben'!$C$15)</f>
        <v/>
      </c>
      <c r="E2687" s="27">
        <f>IF(D2687="","",D2687*'02_Eingaben'!$C$8)</f>
        <v/>
      </c>
      <c r="F2687" s="27">
        <f>IF(E2687="","",AVERAGE(INDEX($E$2:$E$3001,MAX(1,ROW()-1-'02_Eingaben'!$C$17)):INDEX($E$2:$E$3001,MIN('02_Eingaben'!$C$21,ROW()-1+'02_Eingaben'!$C$17))))</f>
        <v/>
      </c>
      <c r="G2687" s="27">
        <f>IF(F2687="","",F2687-'02_Eingaben'!$C$10)</f>
        <v/>
      </c>
      <c r="H2687">
        <f>IF(F2687="","",IF(F2687&lt;'02_Eingaben'!$C$18*'02_Eingaben'!$C$10,1,0))</f>
        <v/>
      </c>
      <c r="I2687" s="27">
        <f>IF(OR(G2687="",G2688=""),"",(G2687+G2688)/2*(B2688-B2687))</f>
        <v/>
      </c>
      <c r="J2687" s="27">
        <f>IF(B2687="","",IF(B2686&lt;'02_Eingaben'!$C$36,0,J2686+I2686/'02_Eingaben'!$C$8))</f>
        <v/>
      </c>
    </row>
    <row r="2688">
      <c r="A2688">
        <f>IF('01_Rohdaten'!A2688="","",ROW()-1)</f>
        <v/>
      </c>
      <c r="B2688" s="27">
        <f>IF('01_Rohdaten'!A2688="","",'01_Rohdaten'!A2688)</f>
        <v/>
      </c>
      <c r="C2688" s="27">
        <f>IF(B2688="","",INDEX('01_Rohdaten'!B2688:D2688,'02_Eingaben'!$C$13))</f>
        <v/>
      </c>
      <c r="D2688" s="27">
        <f>IF(C2688="","",C2688*'02_Eingaben'!$C$15)</f>
        <v/>
      </c>
      <c r="E2688" s="27">
        <f>IF(D2688="","",D2688*'02_Eingaben'!$C$8)</f>
        <v/>
      </c>
      <c r="F2688" s="27">
        <f>IF(E2688="","",AVERAGE(INDEX($E$2:$E$3001,MAX(1,ROW()-1-'02_Eingaben'!$C$17)):INDEX($E$2:$E$3001,MIN('02_Eingaben'!$C$21,ROW()-1+'02_Eingaben'!$C$17))))</f>
        <v/>
      </c>
      <c r="G2688" s="27">
        <f>IF(F2688="","",F2688-'02_Eingaben'!$C$10)</f>
        <v/>
      </c>
      <c r="H2688">
        <f>IF(F2688="","",IF(F2688&lt;'02_Eingaben'!$C$18*'02_Eingaben'!$C$10,1,0))</f>
        <v/>
      </c>
      <c r="I2688" s="27">
        <f>IF(OR(G2688="",G2689=""),"",(G2688+G2689)/2*(B2689-B2688))</f>
        <v/>
      </c>
      <c r="J2688" s="27">
        <f>IF(B2688="","",IF(B2687&lt;'02_Eingaben'!$C$36,0,J2687+I2687/'02_Eingaben'!$C$8))</f>
        <v/>
      </c>
    </row>
    <row r="2689">
      <c r="A2689">
        <f>IF('01_Rohdaten'!A2689="","",ROW()-1)</f>
        <v/>
      </c>
      <c r="B2689" s="27">
        <f>IF('01_Rohdaten'!A2689="","",'01_Rohdaten'!A2689)</f>
        <v/>
      </c>
      <c r="C2689" s="27">
        <f>IF(B2689="","",INDEX('01_Rohdaten'!B2689:D2689,'02_Eingaben'!$C$13))</f>
        <v/>
      </c>
      <c r="D2689" s="27">
        <f>IF(C2689="","",C2689*'02_Eingaben'!$C$15)</f>
        <v/>
      </c>
      <c r="E2689" s="27">
        <f>IF(D2689="","",D2689*'02_Eingaben'!$C$8)</f>
        <v/>
      </c>
      <c r="F2689" s="27">
        <f>IF(E2689="","",AVERAGE(INDEX($E$2:$E$3001,MAX(1,ROW()-1-'02_Eingaben'!$C$17)):INDEX($E$2:$E$3001,MIN('02_Eingaben'!$C$21,ROW()-1+'02_Eingaben'!$C$17))))</f>
        <v/>
      </c>
      <c r="G2689" s="27">
        <f>IF(F2689="","",F2689-'02_Eingaben'!$C$10)</f>
        <v/>
      </c>
      <c r="H2689">
        <f>IF(F2689="","",IF(F2689&lt;'02_Eingaben'!$C$18*'02_Eingaben'!$C$10,1,0))</f>
        <v/>
      </c>
      <c r="I2689" s="27">
        <f>IF(OR(G2689="",G2690=""),"",(G2689+G2690)/2*(B2690-B2689))</f>
        <v/>
      </c>
      <c r="J2689" s="27">
        <f>IF(B2689="","",IF(B2688&lt;'02_Eingaben'!$C$36,0,J2688+I2688/'02_Eingaben'!$C$8))</f>
        <v/>
      </c>
    </row>
    <row r="2690">
      <c r="A2690">
        <f>IF('01_Rohdaten'!A2690="","",ROW()-1)</f>
        <v/>
      </c>
      <c r="B2690" s="27">
        <f>IF('01_Rohdaten'!A2690="","",'01_Rohdaten'!A2690)</f>
        <v/>
      </c>
      <c r="C2690" s="27">
        <f>IF(B2690="","",INDEX('01_Rohdaten'!B2690:D2690,'02_Eingaben'!$C$13))</f>
        <v/>
      </c>
      <c r="D2690" s="27">
        <f>IF(C2690="","",C2690*'02_Eingaben'!$C$15)</f>
        <v/>
      </c>
      <c r="E2690" s="27">
        <f>IF(D2690="","",D2690*'02_Eingaben'!$C$8)</f>
        <v/>
      </c>
      <c r="F2690" s="27">
        <f>IF(E2690="","",AVERAGE(INDEX($E$2:$E$3001,MAX(1,ROW()-1-'02_Eingaben'!$C$17)):INDEX($E$2:$E$3001,MIN('02_Eingaben'!$C$21,ROW()-1+'02_Eingaben'!$C$17))))</f>
        <v/>
      </c>
      <c r="G2690" s="27">
        <f>IF(F2690="","",F2690-'02_Eingaben'!$C$10)</f>
        <v/>
      </c>
      <c r="H2690">
        <f>IF(F2690="","",IF(F2690&lt;'02_Eingaben'!$C$18*'02_Eingaben'!$C$10,1,0))</f>
        <v/>
      </c>
      <c r="I2690" s="27">
        <f>IF(OR(G2690="",G2691=""),"",(G2690+G2691)/2*(B2691-B2690))</f>
        <v/>
      </c>
      <c r="J2690" s="27">
        <f>IF(B2690="","",IF(B2689&lt;'02_Eingaben'!$C$36,0,J2689+I2689/'02_Eingaben'!$C$8))</f>
        <v/>
      </c>
    </row>
    <row r="2691">
      <c r="A2691">
        <f>IF('01_Rohdaten'!A2691="","",ROW()-1)</f>
        <v/>
      </c>
      <c r="B2691" s="27">
        <f>IF('01_Rohdaten'!A2691="","",'01_Rohdaten'!A2691)</f>
        <v/>
      </c>
      <c r="C2691" s="27">
        <f>IF(B2691="","",INDEX('01_Rohdaten'!B2691:D2691,'02_Eingaben'!$C$13))</f>
        <v/>
      </c>
      <c r="D2691" s="27">
        <f>IF(C2691="","",C2691*'02_Eingaben'!$C$15)</f>
        <v/>
      </c>
      <c r="E2691" s="27">
        <f>IF(D2691="","",D2691*'02_Eingaben'!$C$8)</f>
        <v/>
      </c>
      <c r="F2691" s="27">
        <f>IF(E2691="","",AVERAGE(INDEX($E$2:$E$3001,MAX(1,ROW()-1-'02_Eingaben'!$C$17)):INDEX($E$2:$E$3001,MIN('02_Eingaben'!$C$21,ROW()-1+'02_Eingaben'!$C$17))))</f>
        <v/>
      </c>
      <c r="G2691" s="27">
        <f>IF(F2691="","",F2691-'02_Eingaben'!$C$10)</f>
        <v/>
      </c>
      <c r="H2691">
        <f>IF(F2691="","",IF(F2691&lt;'02_Eingaben'!$C$18*'02_Eingaben'!$C$10,1,0))</f>
        <v/>
      </c>
      <c r="I2691" s="27">
        <f>IF(OR(G2691="",G2692=""),"",(G2691+G2692)/2*(B2692-B2691))</f>
        <v/>
      </c>
      <c r="J2691" s="27">
        <f>IF(B2691="","",IF(B2690&lt;'02_Eingaben'!$C$36,0,J2690+I2690/'02_Eingaben'!$C$8))</f>
        <v/>
      </c>
    </row>
    <row r="2692">
      <c r="A2692">
        <f>IF('01_Rohdaten'!A2692="","",ROW()-1)</f>
        <v/>
      </c>
      <c r="B2692" s="27">
        <f>IF('01_Rohdaten'!A2692="","",'01_Rohdaten'!A2692)</f>
        <v/>
      </c>
      <c r="C2692" s="27">
        <f>IF(B2692="","",INDEX('01_Rohdaten'!B2692:D2692,'02_Eingaben'!$C$13))</f>
        <v/>
      </c>
      <c r="D2692" s="27">
        <f>IF(C2692="","",C2692*'02_Eingaben'!$C$15)</f>
        <v/>
      </c>
      <c r="E2692" s="27">
        <f>IF(D2692="","",D2692*'02_Eingaben'!$C$8)</f>
        <v/>
      </c>
      <c r="F2692" s="27">
        <f>IF(E2692="","",AVERAGE(INDEX($E$2:$E$3001,MAX(1,ROW()-1-'02_Eingaben'!$C$17)):INDEX($E$2:$E$3001,MIN('02_Eingaben'!$C$21,ROW()-1+'02_Eingaben'!$C$17))))</f>
        <v/>
      </c>
      <c r="G2692" s="27">
        <f>IF(F2692="","",F2692-'02_Eingaben'!$C$10)</f>
        <v/>
      </c>
      <c r="H2692">
        <f>IF(F2692="","",IF(F2692&lt;'02_Eingaben'!$C$18*'02_Eingaben'!$C$10,1,0))</f>
        <v/>
      </c>
      <c r="I2692" s="27">
        <f>IF(OR(G2692="",G2693=""),"",(G2692+G2693)/2*(B2693-B2692))</f>
        <v/>
      </c>
      <c r="J2692" s="27">
        <f>IF(B2692="","",IF(B2691&lt;'02_Eingaben'!$C$36,0,J2691+I2691/'02_Eingaben'!$C$8))</f>
        <v/>
      </c>
    </row>
    <row r="2693">
      <c r="A2693">
        <f>IF('01_Rohdaten'!A2693="","",ROW()-1)</f>
        <v/>
      </c>
      <c r="B2693" s="27">
        <f>IF('01_Rohdaten'!A2693="","",'01_Rohdaten'!A2693)</f>
        <v/>
      </c>
      <c r="C2693" s="27">
        <f>IF(B2693="","",INDEX('01_Rohdaten'!B2693:D2693,'02_Eingaben'!$C$13))</f>
        <v/>
      </c>
      <c r="D2693" s="27">
        <f>IF(C2693="","",C2693*'02_Eingaben'!$C$15)</f>
        <v/>
      </c>
      <c r="E2693" s="27">
        <f>IF(D2693="","",D2693*'02_Eingaben'!$C$8)</f>
        <v/>
      </c>
      <c r="F2693" s="27">
        <f>IF(E2693="","",AVERAGE(INDEX($E$2:$E$3001,MAX(1,ROW()-1-'02_Eingaben'!$C$17)):INDEX($E$2:$E$3001,MIN('02_Eingaben'!$C$21,ROW()-1+'02_Eingaben'!$C$17))))</f>
        <v/>
      </c>
      <c r="G2693" s="27">
        <f>IF(F2693="","",F2693-'02_Eingaben'!$C$10)</f>
        <v/>
      </c>
      <c r="H2693">
        <f>IF(F2693="","",IF(F2693&lt;'02_Eingaben'!$C$18*'02_Eingaben'!$C$10,1,0))</f>
        <v/>
      </c>
      <c r="I2693" s="27">
        <f>IF(OR(G2693="",G2694=""),"",(G2693+G2694)/2*(B2694-B2693))</f>
        <v/>
      </c>
      <c r="J2693" s="27">
        <f>IF(B2693="","",IF(B2692&lt;'02_Eingaben'!$C$36,0,J2692+I2692/'02_Eingaben'!$C$8))</f>
        <v/>
      </c>
    </row>
    <row r="2694">
      <c r="A2694">
        <f>IF('01_Rohdaten'!A2694="","",ROW()-1)</f>
        <v/>
      </c>
      <c r="B2694" s="27">
        <f>IF('01_Rohdaten'!A2694="","",'01_Rohdaten'!A2694)</f>
        <v/>
      </c>
      <c r="C2694" s="27">
        <f>IF(B2694="","",INDEX('01_Rohdaten'!B2694:D2694,'02_Eingaben'!$C$13))</f>
        <v/>
      </c>
      <c r="D2694" s="27">
        <f>IF(C2694="","",C2694*'02_Eingaben'!$C$15)</f>
        <v/>
      </c>
      <c r="E2694" s="27">
        <f>IF(D2694="","",D2694*'02_Eingaben'!$C$8)</f>
        <v/>
      </c>
      <c r="F2694" s="27">
        <f>IF(E2694="","",AVERAGE(INDEX($E$2:$E$3001,MAX(1,ROW()-1-'02_Eingaben'!$C$17)):INDEX($E$2:$E$3001,MIN('02_Eingaben'!$C$21,ROW()-1+'02_Eingaben'!$C$17))))</f>
        <v/>
      </c>
      <c r="G2694" s="27">
        <f>IF(F2694="","",F2694-'02_Eingaben'!$C$10)</f>
        <v/>
      </c>
      <c r="H2694">
        <f>IF(F2694="","",IF(F2694&lt;'02_Eingaben'!$C$18*'02_Eingaben'!$C$10,1,0))</f>
        <v/>
      </c>
      <c r="I2694" s="27">
        <f>IF(OR(G2694="",G2695=""),"",(G2694+G2695)/2*(B2695-B2694))</f>
        <v/>
      </c>
      <c r="J2694" s="27">
        <f>IF(B2694="","",IF(B2693&lt;'02_Eingaben'!$C$36,0,J2693+I2693/'02_Eingaben'!$C$8))</f>
        <v/>
      </c>
    </row>
    <row r="2695">
      <c r="A2695">
        <f>IF('01_Rohdaten'!A2695="","",ROW()-1)</f>
        <v/>
      </c>
      <c r="B2695" s="27">
        <f>IF('01_Rohdaten'!A2695="","",'01_Rohdaten'!A2695)</f>
        <v/>
      </c>
      <c r="C2695" s="27">
        <f>IF(B2695="","",INDEX('01_Rohdaten'!B2695:D2695,'02_Eingaben'!$C$13))</f>
        <v/>
      </c>
      <c r="D2695" s="27">
        <f>IF(C2695="","",C2695*'02_Eingaben'!$C$15)</f>
        <v/>
      </c>
      <c r="E2695" s="27">
        <f>IF(D2695="","",D2695*'02_Eingaben'!$C$8)</f>
        <v/>
      </c>
      <c r="F2695" s="27">
        <f>IF(E2695="","",AVERAGE(INDEX($E$2:$E$3001,MAX(1,ROW()-1-'02_Eingaben'!$C$17)):INDEX($E$2:$E$3001,MIN('02_Eingaben'!$C$21,ROW()-1+'02_Eingaben'!$C$17))))</f>
        <v/>
      </c>
      <c r="G2695" s="27">
        <f>IF(F2695="","",F2695-'02_Eingaben'!$C$10)</f>
        <v/>
      </c>
      <c r="H2695">
        <f>IF(F2695="","",IF(F2695&lt;'02_Eingaben'!$C$18*'02_Eingaben'!$C$10,1,0))</f>
        <v/>
      </c>
      <c r="I2695" s="27">
        <f>IF(OR(G2695="",G2696=""),"",(G2695+G2696)/2*(B2696-B2695))</f>
        <v/>
      </c>
      <c r="J2695" s="27">
        <f>IF(B2695="","",IF(B2694&lt;'02_Eingaben'!$C$36,0,J2694+I2694/'02_Eingaben'!$C$8))</f>
        <v/>
      </c>
    </row>
    <row r="2696">
      <c r="A2696">
        <f>IF('01_Rohdaten'!A2696="","",ROW()-1)</f>
        <v/>
      </c>
      <c r="B2696" s="27">
        <f>IF('01_Rohdaten'!A2696="","",'01_Rohdaten'!A2696)</f>
        <v/>
      </c>
      <c r="C2696" s="27">
        <f>IF(B2696="","",INDEX('01_Rohdaten'!B2696:D2696,'02_Eingaben'!$C$13))</f>
        <v/>
      </c>
      <c r="D2696" s="27">
        <f>IF(C2696="","",C2696*'02_Eingaben'!$C$15)</f>
        <v/>
      </c>
      <c r="E2696" s="27">
        <f>IF(D2696="","",D2696*'02_Eingaben'!$C$8)</f>
        <v/>
      </c>
      <c r="F2696" s="27">
        <f>IF(E2696="","",AVERAGE(INDEX($E$2:$E$3001,MAX(1,ROW()-1-'02_Eingaben'!$C$17)):INDEX($E$2:$E$3001,MIN('02_Eingaben'!$C$21,ROW()-1+'02_Eingaben'!$C$17))))</f>
        <v/>
      </c>
      <c r="G2696" s="27">
        <f>IF(F2696="","",F2696-'02_Eingaben'!$C$10)</f>
        <v/>
      </c>
      <c r="H2696">
        <f>IF(F2696="","",IF(F2696&lt;'02_Eingaben'!$C$18*'02_Eingaben'!$C$10,1,0))</f>
        <v/>
      </c>
      <c r="I2696" s="27">
        <f>IF(OR(G2696="",G2697=""),"",(G2696+G2697)/2*(B2697-B2696))</f>
        <v/>
      </c>
      <c r="J2696" s="27">
        <f>IF(B2696="","",IF(B2695&lt;'02_Eingaben'!$C$36,0,J2695+I2695/'02_Eingaben'!$C$8))</f>
        <v/>
      </c>
    </row>
    <row r="2697">
      <c r="A2697">
        <f>IF('01_Rohdaten'!A2697="","",ROW()-1)</f>
        <v/>
      </c>
      <c r="B2697" s="27">
        <f>IF('01_Rohdaten'!A2697="","",'01_Rohdaten'!A2697)</f>
        <v/>
      </c>
      <c r="C2697" s="27">
        <f>IF(B2697="","",INDEX('01_Rohdaten'!B2697:D2697,'02_Eingaben'!$C$13))</f>
        <v/>
      </c>
      <c r="D2697" s="27">
        <f>IF(C2697="","",C2697*'02_Eingaben'!$C$15)</f>
        <v/>
      </c>
      <c r="E2697" s="27">
        <f>IF(D2697="","",D2697*'02_Eingaben'!$C$8)</f>
        <v/>
      </c>
      <c r="F2697" s="27">
        <f>IF(E2697="","",AVERAGE(INDEX($E$2:$E$3001,MAX(1,ROW()-1-'02_Eingaben'!$C$17)):INDEX($E$2:$E$3001,MIN('02_Eingaben'!$C$21,ROW()-1+'02_Eingaben'!$C$17))))</f>
        <v/>
      </c>
      <c r="G2697" s="27">
        <f>IF(F2697="","",F2697-'02_Eingaben'!$C$10)</f>
        <v/>
      </c>
      <c r="H2697">
        <f>IF(F2697="","",IF(F2697&lt;'02_Eingaben'!$C$18*'02_Eingaben'!$C$10,1,0))</f>
        <v/>
      </c>
      <c r="I2697" s="27">
        <f>IF(OR(G2697="",G2698=""),"",(G2697+G2698)/2*(B2698-B2697))</f>
        <v/>
      </c>
      <c r="J2697" s="27">
        <f>IF(B2697="","",IF(B2696&lt;'02_Eingaben'!$C$36,0,J2696+I2696/'02_Eingaben'!$C$8))</f>
        <v/>
      </c>
    </row>
    <row r="2698">
      <c r="A2698">
        <f>IF('01_Rohdaten'!A2698="","",ROW()-1)</f>
        <v/>
      </c>
      <c r="B2698" s="27">
        <f>IF('01_Rohdaten'!A2698="","",'01_Rohdaten'!A2698)</f>
        <v/>
      </c>
      <c r="C2698" s="27">
        <f>IF(B2698="","",INDEX('01_Rohdaten'!B2698:D2698,'02_Eingaben'!$C$13))</f>
        <v/>
      </c>
      <c r="D2698" s="27">
        <f>IF(C2698="","",C2698*'02_Eingaben'!$C$15)</f>
        <v/>
      </c>
      <c r="E2698" s="27">
        <f>IF(D2698="","",D2698*'02_Eingaben'!$C$8)</f>
        <v/>
      </c>
      <c r="F2698" s="27">
        <f>IF(E2698="","",AVERAGE(INDEX($E$2:$E$3001,MAX(1,ROW()-1-'02_Eingaben'!$C$17)):INDEX($E$2:$E$3001,MIN('02_Eingaben'!$C$21,ROW()-1+'02_Eingaben'!$C$17))))</f>
        <v/>
      </c>
      <c r="G2698" s="27">
        <f>IF(F2698="","",F2698-'02_Eingaben'!$C$10)</f>
        <v/>
      </c>
      <c r="H2698">
        <f>IF(F2698="","",IF(F2698&lt;'02_Eingaben'!$C$18*'02_Eingaben'!$C$10,1,0))</f>
        <v/>
      </c>
      <c r="I2698" s="27">
        <f>IF(OR(G2698="",G2699=""),"",(G2698+G2699)/2*(B2699-B2698))</f>
        <v/>
      </c>
      <c r="J2698" s="27">
        <f>IF(B2698="","",IF(B2697&lt;'02_Eingaben'!$C$36,0,J2697+I2697/'02_Eingaben'!$C$8))</f>
        <v/>
      </c>
    </row>
    <row r="2699">
      <c r="A2699">
        <f>IF('01_Rohdaten'!A2699="","",ROW()-1)</f>
        <v/>
      </c>
      <c r="B2699" s="27">
        <f>IF('01_Rohdaten'!A2699="","",'01_Rohdaten'!A2699)</f>
        <v/>
      </c>
      <c r="C2699" s="27">
        <f>IF(B2699="","",INDEX('01_Rohdaten'!B2699:D2699,'02_Eingaben'!$C$13))</f>
        <v/>
      </c>
      <c r="D2699" s="27">
        <f>IF(C2699="","",C2699*'02_Eingaben'!$C$15)</f>
        <v/>
      </c>
      <c r="E2699" s="27">
        <f>IF(D2699="","",D2699*'02_Eingaben'!$C$8)</f>
        <v/>
      </c>
      <c r="F2699" s="27">
        <f>IF(E2699="","",AVERAGE(INDEX($E$2:$E$3001,MAX(1,ROW()-1-'02_Eingaben'!$C$17)):INDEX($E$2:$E$3001,MIN('02_Eingaben'!$C$21,ROW()-1+'02_Eingaben'!$C$17))))</f>
        <v/>
      </c>
      <c r="G2699" s="27">
        <f>IF(F2699="","",F2699-'02_Eingaben'!$C$10)</f>
        <v/>
      </c>
      <c r="H2699">
        <f>IF(F2699="","",IF(F2699&lt;'02_Eingaben'!$C$18*'02_Eingaben'!$C$10,1,0))</f>
        <v/>
      </c>
      <c r="I2699" s="27">
        <f>IF(OR(G2699="",G2700=""),"",(G2699+G2700)/2*(B2700-B2699))</f>
        <v/>
      </c>
      <c r="J2699" s="27">
        <f>IF(B2699="","",IF(B2698&lt;'02_Eingaben'!$C$36,0,J2698+I2698/'02_Eingaben'!$C$8))</f>
        <v/>
      </c>
    </row>
    <row r="2700">
      <c r="A2700">
        <f>IF('01_Rohdaten'!A2700="","",ROW()-1)</f>
        <v/>
      </c>
      <c r="B2700" s="27">
        <f>IF('01_Rohdaten'!A2700="","",'01_Rohdaten'!A2700)</f>
        <v/>
      </c>
      <c r="C2700" s="27">
        <f>IF(B2700="","",INDEX('01_Rohdaten'!B2700:D2700,'02_Eingaben'!$C$13))</f>
        <v/>
      </c>
      <c r="D2700" s="27">
        <f>IF(C2700="","",C2700*'02_Eingaben'!$C$15)</f>
        <v/>
      </c>
      <c r="E2700" s="27">
        <f>IF(D2700="","",D2700*'02_Eingaben'!$C$8)</f>
        <v/>
      </c>
      <c r="F2700" s="27">
        <f>IF(E2700="","",AVERAGE(INDEX($E$2:$E$3001,MAX(1,ROW()-1-'02_Eingaben'!$C$17)):INDEX($E$2:$E$3001,MIN('02_Eingaben'!$C$21,ROW()-1+'02_Eingaben'!$C$17))))</f>
        <v/>
      </c>
      <c r="G2700" s="27">
        <f>IF(F2700="","",F2700-'02_Eingaben'!$C$10)</f>
        <v/>
      </c>
      <c r="H2700">
        <f>IF(F2700="","",IF(F2700&lt;'02_Eingaben'!$C$18*'02_Eingaben'!$C$10,1,0))</f>
        <v/>
      </c>
      <c r="I2700" s="27">
        <f>IF(OR(G2700="",G2701=""),"",(G2700+G2701)/2*(B2701-B2700))</f>
        <v/>
      </c>
      <c r="J2700" s="27">
        <f>IF(B2700="","",IF(B2699&lt;'02_Eingaben'!$C$36,0,J2699+I2699/'02_Eingaben'!$C$8))</f>
        <v/>
      </c>
    </row>
    <row r="2701">
      <c r="A2701">
        <f>IF('01_Rohdaten'!A2701="","",ROW()-1)</f>
        <v/>
      </c>
      <c r="B2701" s="27">
        <f>IF('01_Rohdaten'!A2701="","",'01_Rohdaten'!A2701)</f>
        <v/>
      </c>
      <c r="C2701" s="27">
        <f>IF(B2701="","",INDEX('01_Rohdaten'!B2701:D2701,'02_Eingaben'!$C$13))</f>
        <v/>
      </c>
      <c r="D2701" s="27">
        <f>IF(C2701="","",C2701*'02_Eingaben'!$C$15)</f>
        <v/>
      </c>
      <c r="E2701" s="27">
        <f>IF(D2701="","",D2701*'02_Eingaben'!$C$8)</f>
        <v/>
      </c>
      <c r="F2701" s="27">
        <f>IF(E2701="","",AVERAGE(INDEX($E$2:$E$3001,MAX(1,ROW()-1-'02_Eingaben'!$C$17)):INDEX($E$2:$E$3001,MIN('02_Eingaben'!$C$21,ROW()-1+'02_Eingaben'!$C$17))))</f>
        <v/>
      </c>
      <c r="G2701" s="27">
        <f>IF(F2701="","",F2701-'02_Eingaben'!$C$10)</f>
        <v/>
      </c>
      <c r="H2701">
        <f>IF(F2701="","",IF(F2701&lt;'02_Eingaben'!$C$18*'02_Eingaben'!$C$10,1,0))</f>
        <v/>
      </c>
      <c r="I2701" s="27">
        <f>IF(OR(G2701="",G2702=""),"",(G2701+G2702)/2*(B2702-B2701))</f>
        <v/>
      </c>
      <c r="J2701" s="27">
        <f>IF(B2701="","",IF(B2700&lt;'02_Eingaben'!$C$36,0,J2700+I2700/'02_Eingaben'!$C$8))</f>
        <v/>
      </c>
    </row>
    <row r="2702">
      <c r="A2702">
        <f>IF('01_Rohdaten'!A2702="","",ROW()-1)</f>
        <v/>
      </c>
      <c r="B2702" s="27">
        <f>IF('01_Rohdaten'!A2702="","",'01_Rohdaten'!A2702)</f>
        <v/>
      </c>
      <c r="C2702" s="27">
        <f>IF(B2702="","",INDEX('01_Rohdaten'!B2702:D2702,'02_Eingaben'!$C$13))</f>
        <v/>
      </c>
      <c r="D2702" s="27">
        <f>IF(C2702="","",C2702*'02_Eingaben'!$C$15)</f>
        <v/>
      </c>
      <c r="E2702" s="27">
        <f>IF(D2702="","",D2702*'02_Eingaben'!$C$8)</f>
        <v/>
      </c>
      <c r="F2702" s="27">
        <f>IF(E2702="","",AVERAGE(INDEX($E$2:$E$3001,MAX(1,ROW()-1-'02_Eingaben'!$C$17)):INDEX($E$2:$E$3001,MIN('02_Eingaben'!$C$21,ROW()-1+'02_Eingaben'!$C$17))))</f>
        <v/>
      </c>
      <c r="G2702" s="27">
        <f>IF(F2702="","",F2702-'02_Eingaben'!$C$10)</f>
        <v/>
      </c>
      <c r="H2702">
        <f>IF(F2702="","",IF(F2702&lt;'02_Eingaben'!$C$18*'02_Eingaben'!$C$10,1,0))</f>
        <v/>
      </c>
      <c r="I2702" s="27">
        <f>IF(OR(G2702="",G2703=""),"",(G2702+G2703)/2*(B2703-B2702))</f>
        <v/>
      </c>
      <c r="J2702" s="27">
        <f>IF(B2702="","",IF(B2701&lt;'02_Eingaben'!$C$36,0,J2701+I2701/'02_Eingaben'!$C$8))</f>
        <v/>
      </c>
    </row>
    <row r="2703">
      <c r="A2703">
        <f>IF('01_Rohdaten'!A2703="","",ROW()-1)</f>
        <v/>
      </c>
      <c r="B2703" s="27">
        <f>IF('01_Rohdaten'!A2703="","",'01_Rohdaten'!A2703)</f>
        <v/>
      </c>
      <c r="C2703" s="27">
        <f>IF(B2703="","",INDEX('01_Rohdaten'!B2703:D2703,'02_Eingaben'!$C$13))</f>
        <v/>
      </c>
      <c r="D2703" s="27">
        <f>IF(C2703="","",C2703*'02_Eingaben'!$C$15)</f>
        <v/>
      </c>
      <c r="E2703" s="27">
        <f>IF(D2703="","",D2703*'02_Eingaben'!$C$8)</f>
        <v/>
      </c>
      <c r="F2703" s="27">
        <f>IF(E2703="","",AVERAGE(INDEX($E$2:$E$3001,MAX(1,ROW()-1-'02_Eingaben'!$C$17)):INDEX($E$2:$E$3001,MIN('02_Eingaben'!$C$21,ROW()-1+'02_Eingaben'!$C$17))))</f>
        <v/>
      </c>
      <c r="G2703" s="27">
        <f>IF(F2703="","",F2703-'02_Eingaben'!$C$10)</f>
        <v/>
      </c>
      <c r="H2703">
        <f>IF(F2703="","",IF(F2703&lt;'02_Eingaben'!$C$18*'02_Eingaben'!$C$10,1,0))</f>
        <v/>
      </c>
      <c r="I2703" s="27">
        <f>IF(OR(G2703="",G2704=""),"",(G2703+G2704)/2*(B2704-B2703))</f>
        <v/>
      </c>
      <c r="J2703" s="27">
        <f>IF(B2703="","",IF(B2702&lt;'02_Eingaben'!$C$36,0,J2702+I2702/'02_Eingaben'!$C$8))</f>
        <v/>
      </c>
    </row>
    <row r="2704">
      <c r="A2704">
        <f>IF('01_Rohdaten'!A2704="","",ROW()-1)</f>
        <v/>
      </c>
      <c r="B2704" s="27">
        <f>IF('01_Rohdaten'!A2704="","",'01_Rohdaten'!A2704)</f>
        <v/>
      </c>
      <c r="C2704" s="27">
        <f>IF(B2704="","",INDEX('01_Rohdaten'!B2704:D2704,'02_Eingaben'!$C$13))</f>
        <v/>
      </c>
      <c r="D2704" s="27">
        <f>IF(C2704="","",C2704*'02_Eingaben'!$C$15)</f>
        <v/>
      </c>
      <c r="E2704" s="27">
        <f>IF(D2704="","",D2704*'02_Eingaben'!$C$8)</f>
        <v/>
      </c>
      <c r="F2704" s="27">
        <f>IF(E2704="","",AVERAGE(INDEX($E$2:$E$3001,MAX(1,ROW()-1-'02_Eingaben'!$C$17)):INDEX($E$2:$E$3001,MIN('02_Eingaben'!$C$21,ROW()-1+'02_Eingaben'!$C$17))))</f>
        <v/>
      </c>
      <c r="G2704" s="27">
        <f>IF(F2704="","",F2704-'02_Eingaben'!$C$10)</f>
        <v/>
      </c>
      <c r="H2704">
        <f>IF(F2704="","",IF(F2704&lt;'02_Eingaben'!$C$18*'02_Eingaben'!$C$10,1,0))</f>
        <v/>
      </c>
      <c r="I2704" s="27">
        <f>IF(OR(G2704="",G2705=""),"",(G2704+G2705)/2*(B2705-B2704))</f>
        <v/>
      </c>
      <c r="J2704" s="27">
        <f>IF(B2704="","",IF(B2703&lt;'02_Eingaben'!$C$36,0,J2703+I2703/'02_Eingaben'!$C$8))</f>
        <v/>
      </c>
    </row>
    <row r="2705">
      <c r="A2705">
        <f>IF('01_Rohdaten'!A2705="","",ROW()-1)</f>
        <v/>
      </c>
      <c r="B2705" s="27">
        <f>IF('01_Rohdaten'!A2705="","",'01_Rohdaten'!A2705)</f>
        <v/>
      </c>
      <c r="C2705" s="27">
        <f>IF(B2705="","",INDEX('01_Rohdaten'!B2705:D2705,'02_Eingaben'!$C$13))</f>
        <v/>
      </c>
      <c r="D2705" s="27">
        <f>IF(C2705="","",C2705*'02_Eingaben'!$C$15)</f>
        <v/>
      </c>
      <c r="E2705" s="27">
        <f>IF(D2705="","",D2705*'02_Eingaben'!$C$8)</f>
        <v/>
      </c>
      <c r="F2705" s="27">
        <f>IF(E2705="","",AVERAGE(INDEX($E$2:$E$3001,MAX(1,ROW()-1-'02_Eingaben'!$C$17)):INDEX($E$2:$E$3001,MIN('02_Eingaben'!$C$21,ROW()-1+'02_Eingaben'!$C$17))))</f>
        <v/>
      </c>
      <c r="G2705" s="27">
        <f>IF(F2705="","",F2705-'02_Eingaben'!$C$10)</f>
        <v/>
      </c>
      <c r="H2705">
        <f>IF(F2705="","",IF(F2705&lt;'02_Eingaben'!$C$18*'02_Eingaben'!$C$10,1,0))</f>
        <v/>
      </c>
      <c r="I2705" s="27">
        <f>IF(OR(G2705="",G2706=""),"",(G2705+G2706)/2*(B2706-B2705))</f>
        <v/>
      </c>
      <c r="J2705" s="27">
        <f>IF(B2705="","",IF(B2704&lt;'02_Eingaben'!$C$36,0,J2704+I2704/'02_Eingaben'!$C$8))</f>
        <v/>
      </c>
    </row>
    <row r="2706">
      <c r="A2706">
        <f>IF('01_Rohdaten'!A2706="","",ROW()-1)</f>
        <v/>
      </c>
      <c r="B2706" s="27">
        <f>IF('01_Rohdaten'!A2706="","",'01_Rohdaten'!A2706)</f>
        <v/>
      </c>
      <c r="C2706" s="27">
        <f>IF(B2706="","",INDEX('01_Rohdaten'!B2706:D2706,'02_Eingaben'!$C$13))</f>
        <v/>
      </c>
      <c r="D2706" s="27">
        <f>IF(C2706="","",C2706*'02_Eingaben'!$C$15)</f>
        <v/>
      </c>
      <c r="E2706" s="27">
        <f>IF(D2706="","",D2706*'02_Eingaben'!$C$8)</f>
        <v/>
      </c>
      <c r="F2706" s="27">
        <f>IF(E2706="","",AVERAGE(INDEX($E$2:$E$3001,MAX(1,ROW()-1-'02_Eingaben'!$C$17)):INDEX($E$2:$E$3001,MIN('02_Eingaben'!$C$21,ROW()-1+'02_Eingaben'!$C$17))))</f>
        <v/>
      </c>
      <c r="G2706" s="27">
        <f>IF(F2706="","",F2706-'02_Eingaben'!$C$10)</f>
        <v/>
      </c>
      <c r="H2706">
        <f>IF(F2706="","",IF(F2706&lt;'02_Eingaben'!$C$18*'02_Eingaben'!$C$10,1,0))</f>
        <v/>
      </c>
      <c r="I2706" s="27">
        <f>IF(OR(G2706="",G2707=""),"",(G2706+G2707)/2*(B2707-B2706))</f>
        <v/>
      </c>
      <c r="J2706" s="27">
        <f>IF(B2706="","",IF(B2705&lt;'02_Eingaben'!$C$36,0,J2705+I2705/'02_Eingaben'!$C$8))</f>
        <v/>
      </c>
    </row>
    <row r="2707">
      <c r="A2707">
        <f>IF('01_Rohdaten'!A2707="","",ROW()-1)</f>
        <v/>
      </c>
      <c r="B2707" s="27">
        <f>IF('01_Rohdaten'!A2707="","",'01_Rohdaten'!A2707)</f>
        <v/>
      </c>
      <c r="C2707" s="27">
        <f>IF(B2707="","",INDEX('01_Rohdaten'!B2707:D2707,'02_Eingaben'!$C$13))</f>
        <v/>
      </c>
      <c r="D2707" s="27">
        <f>IF(C2707="","",C2707*'02_Eingaben'!$C$15)</f>
        <v/>
      </c>
      <c r="E2707" s="27">
        <f>IF(D2707="","",D2707*'02_Eingaben'!$C$8)</f>
        <v/>
      </c>
      <c r="F2707" s="27">
        <f>IF(E2707="","",AVERAGE(INDEX($E$2:$E$3001,MAX(1,ROW()-1-'02_Eingaben'!$C$17)):INDEX($E$2:$E$3001,MIN('02_Eingaben'!$C$21,ROW()-1+'02_Eingaben'!$C$17))))</f>
        <v/>
      </c>
      <c r="G2707" s="27">
        <f>IF(F2707="","",F2707-'02_Eingaben'!$C$10)</f>
        <v/>
      </c>
      <c r="H2707">
        <f>IF(F2707="","",IF(F2707&lt;'02_Eingaben'!$C$18*'02_Eingaben'!$C$10,1,0))</f>
        <v/>
      </c>
      <c r="I2707" s="27">
        <f>IF(OR(G2707="",G2708=""),"",(G2707+G2708)/2*(B2708-B2707))</f>
        <v/>
      </c>
      <c r="J2707" s="27">
        <f>IF(B2707="","",IF(B2706&lt;'02_Eingaben'!$C$36,0,J2706+I2706/'02_Eingaben'!$C$8))</f>
        <v/>
      </c>
    </row>
    <row r="2708">
      <c r="A2708">
        <f>IF('01_Rohdaten'!A2708="","",ROW()-1)</f>
        <v/>
      </c>
      <c r="B2708" s="27">
        <f>IF('01_Rohdaten'!A2708="","",'01_Rohdaten'!A2708)</f>
        <v/>
      </c>
      <c r="C2708" s="27">
        <f>IF(B2708="","",INDEX('01_Rohdaten'!B2708:D2708,'02_Eingaben'!$C$13))</f>
        <v/>
      </c>
      <c r="D2708" s="27">
        <f>IF(C2708="","",C2708*'02_Eingaben'!$C$15)</f>
        <v/>
      </c>
      <c r="E2708" s="27">
        <f>IF(D2708="","",D2708*'02_Eingaben'!$C$8)</f>
        <v/>
      </c>
      <c r="F2708" s="27">
        <f>IF(E2708="","",AVERAGE(INDEX($E$2:$E$3001,MAX(1,ROW()-1-'02_Eingaben'!$C$17)):INDEX($E$2:$E$3001,MIN('02_Eingaben'!$C$21,ROW()-1+'02_Eingaben'!$C$17))))</f>
        <v/>
      </c>
      <c r="G2708" s="27">
        <f>IF(F2708="","",F2708-'02_Eingaben'!$C$10)</f>
        <v/>
      </c>
      <c r="H2708">
        <f>IF(F2708="","",IF(F2708&lt;'02_Eingaben'!$C$18*'02_Eingaben'!$C$10,1,0))</f>
        <v/>
      </c>
      <c r="I2708" s="27">
        <f>IF(OR(G2708="",G2709=""),"",(G2708+G2709)/2*(B2709-B2708))</f>
        <v/>
      </c>
      <c r="J2708" s="27">
        <f>IF(B2708="","",IF(B2707&lt;'02_Eingaben'!$C$36,0,J2707+I2707/'02_Eingaben'!$C$8))</f>
        <v/>
      </c>
    </row>
    <row r="2709">
      <c r="A2709">
        <f>IF('01_Rohdaten'!A2709="","",ROW()-1)</f>
        <v/>
      </c>
      <c r="B2709" s="27">
        <f>IF('01_Rohdaten'!A2709="","",'01_Rohdaten'!A2709)</f>
        <v/>
      </c>
      <c r="C2709" s="27">
        <f>IF(B2709="","",INDEX('01_Rohdaten'!B2709:D2709,'02_Eingaben'!$C$13))</f>
        <v/>
      </c>
      <c r="D2709" s="27">
        <f>IF(C2709="","",C2709*'02_Eingaben'!$C$15)</f>
        <v/>
      </c>
      <c r="E2709" s="27">
        <f>IF(D2709="","",D2709*'02_Eingaben'!$C$8)</f>
        <v/>
      </c>
      <c r="F2709" s="27">
        <f>IF(E2709="","",AVERAGE(INDEX($E$2:$E$3001,MAX(1,ROW()-1-'02_Eingaben'!$C$17)):INDEX($E$2:$E$3001,MIN('02_Eingaben'!$C$21,ROW()-1+'02_Eingaben'!$C$17))))</f>
        <v/>
      </c>
      <c r="G2709" s="27">
        <f>IF(F2709="","",F2709-'02_Eingaben'!$C$10)</f>
        <v/>
      </c>
      <c r="H2709">
        <f>IF(F2709="","",IF(F2709&lt;'02_Eingaben'!$C$18*'02_Eingaben'!$C$10,1,0))</f>
        <v/>
      </c>
      <c r="I2709" s="27">
        <f>IF(OR(G2709="",G2710=""),"",(G2709+G2710)/2*(B2710-B2709))</f>
        <v/>
      </c>
      <c r="J2709" s="27">
        <f>IF(B2709="","",IF(B2708&lt;'02_Eingaben'!$C$36,0,J2708+I2708/'02_Eingaben'!$C$8))</f>
        <v/>
      </c>
    </row>
    <row r="2710">
      <c r="A2710">
        <f>IF('01_Rohdaten'!A2710="","",ROW()-1)</f>
        <v/>
      </c>
      <c r="B2710" s="27">
        <f>IF('01_Rohdaten'!A2710="","",'01_Rohdaten'!A2710)</f>
        <v/>
      </c>
      <c r="C2710" s="27">
        <f>IF(B2710="","",INDEX('01_Rohdaten'!B2710:D2710,'02_Eingaben'!$C$13))</f>
        <v/>
      </c>
      <c r="D2710" s="27">
        <f>IF(C2710="","",C2710*'02_Eingaben'!$C$15)</f>
        <v/>
      </c>
      <c r="E2710" s="27">
        <f>IF(D2710="","",D2710*'02_Eingaben'!$C$8)</f>
        <v/>
      </c>
      <c r="F2710" s="27">
        <f>IF(E2710="","",AVERAGE(INDEX($E$2:$E$3001,MAX(1,ROW()-1-'02_Eingaben'!$C$17)):INDEX($E$2:$E$3001,MIN('02_Eingaben'!$C$21,ROW()-1+'02_Eingaben'!$C$17))))</f>
        <v/>
      </c>
      <c r="G2710" s="27">
        <f>IF(F2710="","",F2710-'02_Eingaben'!$C$10)</f>
        <v/>
      </c>
      <c r="H2710">
        <f>IF(F2710="","",IF(F2710&lt;'02_Eingaben'!$C$18*'02_Eingaben'!$C$10,1,0))</f>
        <v/>
      </c>
      <c r="I2710" s="27">
        <f>IF(OR(G2710="",G2711=""),"",(G2710+G2711)/2*(B2711-B2710))</f>
        <v/>
      </c>
      <c r="J2710" s="27">
        <f>IF(B2710="","",IF(B2709&lt;'02_Eingaben'!$C$36,0,J2709+I2709/'02_Eingaben'!$C$8))</f>
        <v/>
      </c>
    </row>
    <row r="2711">
      <c r="A2711">
        <f>IF('01_Rohdaten'!A2711="","",ROW()-1)</f>
        <v/>
      </c>
      <c r="B2711" s="27">
        <f>IF('01_Rohdaten'!A2711="","",'01_Rohdaten'!A2711)</f>
        <v/>
      </c>
      <c r="C2711" s="27">
        <f>IF(B2711="","",INDEX('01_Rohdaten'!B2711:D2711,'02_Eingaben'!$C$13))</f>
        <v/>
      </c>
      <c r="D2711" s="27">
        <f>IF(C2711="","",C2711*'02_Eingaben'!$C$15)</f>
        <v/>
      </c>
      <c r="E2711" s="27">
        <f>IF(D2711="","",D2711*'02_Eingaben'!$C$8)</f>
        <v/>
      </c>
      <c r="F2711" s="27">
        <f>IF(E2711="","",AVERAGE(INDEX($E$2:$E$3001,MAX(1,ROW()-1-'02_Eingaben'!$C$17)):INDEX($E$2:$E$3001,MIN('02_Eingaben'!$C$21,ROW()-1+'02_Eingaben'!$C$17))))</f>
        <v/>
      </c>
      <c r="G2711" s="27">
        <f>IF(F2711="","",F2711-'02_Eingaben'!$C$10)</f>
        <v/>
      </c>
      <c r="H2711">
        <f>IF(F2711="","",IF(F2711&lt;'02_Eingaben'!$C$18*'02_Eingaben'!$C$10,1,0))</f>
        <v/>
      </c>
      <c r="I2711" s="27">
        <f>IF(OR(G2711="",G2712=""),"",(G2711+G2712)/2*(B2712-B2711))</f>
        <v/>
      </c>
      <c r="J2711" s="27">
        <f>IF(B2711="","",IF(B2710&lt;'02_Eingaben'!$C$36,0,J2710+I2710/'02_Eingaben'!$C$8))</f>
        <v/>
      </c>
    </row>
    <row r="2712">
      <c r="A2712">
        <f>IF('01_Rohdaten'!A2712="","",ROW()-1)</f>
        <v/>
      </c>
      <c r="B2712" s="27">
        <f>IF('01_Rohdaten'!A2712="","",'01_Rohdaten'!A2712)</f>
        <v/>
      </c>
      <c r="C2712" s="27">
        <f>IF(B2712="","",INDEX('01_Rohdaten'!B2712:D2712,'02_Eingaben'!$C$13))</f>
        <v/>
      </c>
      <c r="D2712" s="27">
        <f>IF(C2712="","",C2712*'02_Eingaben'!$C$15)</f>
        <v/>
      </c>
      <c r="E2712" s="27">
        <f>IF(D2712="","",D2712*'02_Eingaben'!$C$8)</f>
        <v/>
      </c>
      <c r="F2712" s="27">
        <f>IF(E2712="","",AVERAGE(INDEX($E$2:$E$3001,MAX(1,ROW()-1-'02_Eingaben'!$C$17)):INDEX($E$2:$E$3001,MIN('02_Eingaben'!$C$21,ROW()-1+'02_Eingaben'!$C$17))))</f>
        <v/>
      </c>
      <c r="G2712" s="27">
        <f>IF(F2712="","",F2712-'02_Eingaben'!$C$10)</f>
        <v/>
      </c>
      <c r="H2712">
        <f>IF(F2712="","",IF(F2712&lt;'02_Eingaben'!$C$18*'02_Eingaben'!$C$10,1,0))</f>
        <v/>
      </c>
      <c r="I2712" s="27">
        <f>IF(OR(G2712="",G2713=""),"",(G2712+G2713)/2*(B2713-B2712))</f>
        <v/>
      </c>
      <c r="J2712" s="27">
        <f>IF(B2712="","",IF(B2711&lt;'02_Eingaben'!$C$36,0,J2711+I2711/'02_Eingaben'!$C$8))</f>
        <v/>
      </c>
    </row>
    <row r="2713">
      <c r="A2713">
        <f>IF('01_Rohdaten'!A2713="","",ROW()-1)</f>
        <v/>
      </c>
      <c r="B2713" s="27">
        <f>IF('01_Rohdaten'!A2713="","",'01_Rohdaten'!A2713)</f>
        <v/>
      </c>
      <c r="C2713" s="27">
        <f>IF(B2713="","",INDEX('01_Rohdaten'!B2713:D2713,'02_Eingaben'!$C$13))</f>
        <v/>
      </c>
      <c r="D2713" s="27">
        <f>IF(C2713="","",C2713*'02_Eingaben'!$C$15)</f>
        <v/>
      </c>
      <c r="E2713" s="27">
        <f>IF(D2713="","",D2713*'02_Eingaben'!$C$8)</f>
        <v/>
      </c>
      <c r="F2713" s="27">
        <f>IF(E2713="","",AVERAGE(INDEX($E$2:$E$3001,MAX(1,ROW()-1-'02_Eingaben'!$C$17)):INDEX($E$2:$E$3001,MIN('02_Eingaben'!$C$21,ROW()-1+'02_Eingaben'!$C$17))))</f>
        <v/>
      </c>
      <c r="G2713" s="27">
        <f>IF(F2713="","",F2713-'02_Eingaben'!$C$10)</f>
        <v/>
      </c>
      <c r="H2713">
        <f>IF(F2713="","",IF(F2713&lt;'02_Eingaben'!$C$18*'02_Eingaben'!$C$10,1,0))</f>
        <v/>
      </c>
      <c r="I2713" s="27">
        <f>IF(OR(G2713="",G2714=""),"",(G2713+G2714)/2*(B2714-B2713))</f>
        <v/>
      </c>
      <c r="J2713" s="27">
        <f>IF(B2713="","",IF(B2712&lt;'02_Eingaben'!$C$36,0,J2712+I2712/'02_Eingaben'!$C$8))</f>
        <v/>
      </c>
    </row>
    <row r="2714">
      <c r="A2714">
        <f>IF('01_Rohdaten'!A2714="","",ROW()-1)</f>
        <v/>
      </c>
      <c r="B2714" s="27">
        <f>IF('01_Rohdaten'!A2714="","",'01_Rohdaten'!A2714)</f>
        <v/>
      </c>
      <c r="C2714" s="27">
        <f>IF(B2714="","",INDEX('01_Rohdaten'!B2714:D2714,'02_Eingaben'!$C$13))</f>
        <v/>
      </c>
      <c r="D2714" s="27">
        <f>IF(C2714="","",C2714*'02_Eingaben'!$C$15)</f>
        <v/>
      </c>
      <c r="E2714" s="27">
        <f>IF(D2714="","",D2714*'02_Eingaben'!$C$8)</f>
        <v/>
      </c>
      <c r="F2714" s="27">
        <f>IF(E2714="","",AVERAGE(INDEX($E$2:$E$3001,MAX(1,ROW()-1-'02_Eingaben'!$C$17)):INDEX($E$2:$E$3001,MIN('02_Eingaben'!$C$21,ROW()-1+'02_Eingaben'!$C$17))))</f>
        <v/>
      </c>
      <c r="G2714" s="27">
        <f>IF(F2714="","",F2714-'02_Eingaben'!$C$10)</f>
        <v/>
      </c>
      <c r="H2714">
        <f>IF(F2714="","",IF(F2714&lt;'02_Eingaben'!$C$18*'02_Eingaben'!$C$10,1,0))</f>
        <v/>
      </c>
      <c r="I2714" s="27">
        <f>IF(OR(G2714="",G2715=""),"",(G2714+G2715)/2*(B2715-B2714))</f>
        <v/>
      </c>
      <c r="J2714" s="27">
        <f>IF(B2714="","",IF(B2713&lt;'02_Eingaben'!$C$36,0,J2713+I2713/'02_Eingaben'!$C$8))</f>
        <v/>
      </c>
    </row>
    <row r="2715">
      <c r="A2715">
        <f>IF('01_Rohdaten'!A2715="","",ROW()-1)</f>
        <v/>
      </c>
      <c r="B2715" s="27">
        <f>IF('01_Rohdaten'!A2715="","",'01_Rohdaten'!A2715)</f>
        <v/>
      </c>
      <c r="C2715" s="27">
        <f>IF(B2715="","",INDEX('01_Rohdaten'!B2715:D2715,'02_Eingaben'!$C$13))</f>
        <v/>
      </c>
      <c r="D2715" s="27">
        <f>IF(C2715="","",C2715*'02_Eingaben'!$C$15)</f>
        <v/>
      </c>
      <c r="E2715" s="27">
        <f>IF(D2715="","",D2715*'02_Eingaben'!$C$8)</f>
        <v/>
      </c>
      <c r="F2715" s="27">
        <f>IF(E2715="","",AVERAGE(INDEX($E$2:$E$3001,MAX(1,ROW()-1-'02_Eingaben'!$C$17)):INDEX($E$2:$E$3001,MIN('02_Eingaben'!$C$21,ROW()-1+'02_Eingaben'!$C$17))))</f>
        <v/>
      </c>
      <c r="G2715" s="27">
        <f>IF(F2715="","",F2715-'02_Eingaben'!$C$10)</f>
        <v/>
      </c>
      <c r="H2715">
        <f>IF(F2715="","",IF(F2715&lt;'02_Eingaben'!$C$18*'02_Eingaben'!$C$10,1,0))</f>
        <v/>
      </c>
      <c r="I2715" s="27">
        <f>IF(OR(G2715="",G2716=""),"",(G2715+G2716)/2*(B2716-B2715))</f>
        <v/>
      </c>
      <c r="J2715" s="27">
        <f>IF(B2715="","",IF(B2714&lt;'02_Eingaben'!$C$36,0,J2714+I2714/'02_Eingaben'!$C$8))</f>
        <v/>
      </c>
    </row>
    <row r="2716">
      <c r="A2716">
        <f>IF('01_Rohdaten'!A2716="","",ROW()-1)</f>
        <v/>
      </c>
      <c r="B2716" s="27">
        <f>IF('01_Rohdaten'!A2716="","",'01_Rohdaten'!A2716)</f>
        <v/>
      </c>
      <c r="C2716" s="27">
        <f>IF(B2716="","",INDEX('01_Rohdaten'!B2716:D2716,'02_Eingaben'!$C$13))</f>
        <v/>
      </c>
      <c r="D2716" s="27">
        <f>IF(C2716="","",C2716*'02_Eingaben'!$C$15)</f>
        <v/>
      </c>
      <c r="E2716" s="27">
        <f>IF(D2716="","",D2716*'02_Eingaben'!$C$8)</f>
        <v/>
      </c>
      <c r="F2716" s="27">
        <f>IF(E2716="","",AVERAGE(INDEX($E$2:$E$3001,MAX(1,ROW()-1-'02_Eingaben'!$C$17)):INDEX($E$2:$E$3001,MIN('02_Eingaben'!$C$21,ROW()-1+'02_Eingaben'!$C$17))))</f>
        <v/>
      </c>
      <c r="G2716" s="27">
        <f>IF(F2716="","",F2716-'02_Eingaben'!$C$10)</f>
        <v/>
      </c>
      <c r="H2716">
        <f>IF(F2716="","",IF(F2716&lt;'02_Eingaben'!$C$18*'02_Eingaben'!$C$10,1,0))</f>
        <v/>
      </c>
      <c r="I2716" s="27">
        <f>IF(OR(G2716="",G2717=""),"",(G2716+G2717)/2*(B2717-B2716))</f>
        <v/>
      </c>
      <c r="J2716" s="27">
        <f>IF(B2716="","",IF(B2715&lt;'02_Eingaben'!$C$36,0,J2715+I2715/'02_Eingaben'!$C$8))</f>
        <v/>
      </c>
    </row>
    <row r="2717">
      <c r="A2717">
        <f>IF('01_Rohdaten'!A2717="","",ROW()-1)</f>
        <v/>
      </c>
      <c r="B2717" s="27">
        <f>IF('01_Rohdaten'!A2717="","",'01_Rohdaten'!A2717)</f>
        <v/>
      </c>
      <c r="C2717" s="27">
        <f>IF(B2717="","",INDEX('01_Rohdaten'!B2717:D2717,'02_Eingaben'!$C$13))</f>
        <v/>
      </c>
      <c r="D2717" s="27">
        <f>IF(C2717="","",C2717*'02_Eingaben'!$C$15)</f>
        <v/>
      </c>
      <c r="E2717" s="27">
        <f>IF(D2717="","",D2717*'02_Eingaben'!$C$8)</f>
        <v/>
      </c>
      <c r="F2717" s="27">
        <f>IF(E2717="","",AVERAGE(INDEX($E$2:$E$3001,MAX(1,ROW()-1-'02_Eingaben'!$C$17)):INDEX($E$2:$E$3001,MIN('02_Eingaben'!$C$21,ROW()-1+'02_Eingaben'!$C$17))))</f>
        <v/>
      </c>
      <c r="G2717" s="27">
        <f>IF(F2717="","",F2717-'02_Eingaben'!$C$10)</f>
        <v/>
      </c>
      <c r="H2717">
        <f>IF(F2717="","",IF(F2717&lt;'02_Eingaben'!$C$18*'02_Eingaben'!$C$10,1,0))</f>
        <v/>
      </c>
      <c r="I2717" s="27">
        <f>IF(OR(G2717="",G2718=""),"",(G2717+G2718)/2*(B2718-B2717))</f>
        <v/>
      </c>
      <c r="J2717" s="27">
        <f>IF(B2717="","",IF(B2716&lt;'02_Eingaben'!$C$36,0,J2716+I2716/'02_Eingaben'!$C$8))</f>
        <v/>
      </c>
    </row>
    <row r="2718">
      <c r="A2718">
        <f>IF('01_Rohdaten'!A2718="","",ROW()-1)</f>
        <v/>
      </c>
      <c r="B2718" s="27">
        <f>IF('01_Rohdaten'!A2718="","",'01_Rohdaten'!A2718)</f>
        <v/>
      </c>
      <c r="C2718" s="27">
        <f>IF(B2718="","",INDEX('01_Rohdaten'!B2718:D2718,'02_Eingaben'!$C$13))</f>
        <v/>
      </c>
      <c r="D2718" s="27">
        <f>IF(C2718="","",C2718*'02_Eingaben'!$C$15)</f>
        <v/>
      </c>
      <c r="E2718" s="27">
        <f>IF(D2718="","",D2718*'02_Eingaben'!$C$8)</f>
        <v/>
      </c>
      <c r="F2718" s="27">
        <f>IF(E2718="","",AVERAGE(INDEX($E$2:$E$3001,MAX(1,ROW()-1-'02_Eingaben'!$C$17)):INDEX($E$2:$E$3001,MIN('02_Eingaben'!$C$21,ROW()-1+'02_Eingaben'!$C$17))))</f>
        <v/>
      </c>
      <c r="G2718" s="27">
        <f>IF(F2718="","",F2718-'02_Eingaben'!$C$10)</f>
        <v/>
      </c>
      <c r="H2718">
        <f>IF(F2718="","",IF(F2718&lt;'02_Eingaben'!$C$18*'02_Eingaben'!$C$10,1,0))</f>
        <v/>
      </c>
      <c r="I2718" s="27">
        <f>IF(OR(G2718="",G2719=""),"",(G2718+G2719)/2*(B2719-B2718))</f>
        <v/>
      </c>
      <c r="J2718" s="27">
        <f>IF(B2718="","",IF(B2717&lt;'02_Eingaben'!$C$36,0,J2717+I2717/'02_Eingaben'!$C$8))</f>
        <v/>
      </c>
    </row>
    <row r="2719">
      <c r="A2719">
        <f>IF('01_Rohdaten'!A2719="","",ROW()-1)</f>
        <v/>
      </c>
      <c r="B2719" s="27">
        <f>IF('01_Rohdaten'!A2719="","",'01_Rohdaten'!A2719)</f>
        <v/>
      </c>
      <c r="C2719" s="27">
        <f>IF(B2719="","",INDEX('01_Rohdaten'!B2719:D2719,'02_Eingaben'!$C$13))</f>
        <v/>
      </c>
      <c r="D2719" s="27">
        <f>IF(C2719="","",C2719*'02_Eingaben'!$C$15)</f>
        <v/>
      </c>
      <c r="E2719" s="27">
        <f>IF(D2719="","",D2719*'02_Eingaben'!$C$8)</f>
        <v/>
      </c>
      <c r="F2719" s="27">
        <f>IF(E2719="","",AVERAGE(INDEX($E$2:$E$3001,MAX(1,ROW()-1-'02_Eingaben'!$C$17)):INDEX($E$2:$E$3001,MIN('02_Eingaben'!$C$21,ROW()-1+'02_Eingaben'!$C$17))))</f>
        <v/>
      </c>
      <c r="G2719" s="27">
        <f>IF(F2719="","",F2719-'02_Eingaben'!$C$10)</f>
        <v/>
      </c>
      <c r="H2719">
        <f>IF(F2719="","",IF(F2719&lt;'02_Eingaben'!$C$18*'02_Eingaben'!$C$10,1,0))</f>
        <v/>
      </c>
      <c r="I2719" s="27">
        <f>IF(OR(G2719="",G2720=""),"",(G2719+G2720)/2*(B2720-B2719))</f>
        <v/>
      </c>
      <c r="J2719" s="27">
        <f>IF(B2719="","",IF(B2718&lt;'02_Eingaben'!$C$36,0,J2718+I2718/'02_Eingaben'!$C$8))</f>
        <v/>
      </c>
    </row>
    <row r="2720">
      <c r="A2720">
        <f>IF('01_Rohdaten'!A2720="","",ROW()-1)</f>
        <v/>
      </c>
      <c r="B2720" s="27">
        <f>IF('01_Rohdaten'!A2720="","",'01_Rohdaten'!A2720)</f>
        <v/>
      </c>
      <c r="C2720" s="27">
        <f>IF(B2720="","",INDEX('01_Rohdaten'!B2720:D2720,'02_Eingaben'!$C$13))</f>
        <v/>
      </c>
      <c r="D2720" s="27">
        <f>IF(C2720="","",C2720*'02_Eingaben'!$C$15)</f>
        <v/>
      </c>
      <c r="E2720" s="27">
        <f>IF(D2720="","",D2720*'02_Eingaben'!$C$8)</f>
        <v/>
      </c>
      <c r="F2720" s="27">
        <f>IF(E2720="","",AVERAGE(INDEX($E$2:$E$3001,MAX(1,ROW()-1-'02_Eingaben'!$C$17)):INDEX($E$2:$E$3001,MIN('02_Eingaben'!$C$21,ROW()-1+'02_Eingaben'!$C$17))))</f>
        <v/>
      </c>
      <c r="G2720" s="27">
        <f>IF(F2720="","",F2720-'02_Eingaben'!$C$10)</f>
        <v/>
      </c>
      <c r="H2720">
        <f>IF(F2720="","",IF(F2720&lt;'02_Eingaben'!$C$18*'02_Eingaben'!$C$10,1,0))</f>
        <v/>
      </c>
      <c r="I2720" s="27">
        <f>IF(OR(G2720="",G2721=""),"",(G2720+G2721)/2*(B2721-B2720))</f>
        <v/>
      </c>
      <c r="J2720" s="27">
        <f>IF(B2720="","",IF(B2719&lt;'02_Eingaben'!$C$36,0,J2719+I2719/'02_Eingaben'!$C$8))</f>
        <v/>
      </c>
    </row>
    <row r="2721">
      <c r="A2721">
        <f>IF('01_Rohdaten'!A2721="","",ROW()-1)</f>
        <v/>
      </c>
      <c r="B2721" s="27">
        <f>IF('01_Rohdaten'!A2721="","",'01_Rohdaten'!A2721)</f>
        <v/>
      </c>
      <c r="C2721" s="27">
        <f>IF(B2721="","",INDEX('01_Rohdaten'!B2721:D2721,'02_Eingaben'!$C$13))</f>
        <v/>
      </c>
      <c r="D2721" s="27">
        <f>IF(C2721="","",C2721*'02_Eingaben'!$C$15)</f>
        <v/>
      </c>
      <c r="E2721" s="27">
        <f>IF(D2721="","",D2721*'02_Eingaben'!$C$8)</f>
        <v/>
      </c>
      <c r="F2721" s="27">
        <f>IF(E2721="","",AVERAGE(INDEX($E$2:$E$3001,MAX(1,ROW()-1-'02_Eingaben'!$C$17)):INDEX($E$2:$E$3001,MIN('02_Eingaben'!$C$21,ROW()-1+'02_Eingaben'!$C$17))))</f>
        <v/>
      </c>
      <c r="G2721" s="27">
        <f>IF(F2721="","",F2721-'02_Eingaben'!$C$10)</f>
        <v/>
      </c>
      <c r="H2721">
        <f>IF(F2721="","",IF(F2721&lt;'02_Eingaben'!$C$18*'02_Eingaben'!$C$10,1,0))</f>
        <v/>
      </c>
      <c r="I2721" s="27">
        <f>IF(OR(G2721="",G2722=""),"",(G2721+G2722)/2*(B2722-B2721))</f>
        <v/>
      </c>
      <c r="J2721" s="27">
        <f>IF(B2721="","",IF(B2720&lt;'02_Eingaben'!$C$36,0,J2720+I2720/'02_Eingaben'!$C$8))</f>
        <v/>
      </c>
    </row>
    <row r="2722">
      <c r="A2722">
        <f>IF('01_Rohdaten'!A2722="","",ROW()-1)</f>
        <v/>
      </c>
      <c r="B2722" s="27">
        <f>IF('01_Rohdaten'!A2722="","",'01_Rohdaten'!A2722)</f>
        <v/>
      </c>
      <c r="C2722" s="27">
        <f>IF(B2722="","",INDEX('01_Rohdaten'!B2722:D2722,'02_Eingaben'!$C$13))</f>
        <v/>
      </c>
      <c r="D2722" s="27">
        <f>IF(C2722="","",C2722*'02_Eingaben'!$C$15)</f>
        <v/>
      </c>
      <c r="E2722" s="27">
        <f>IF(D2722="","",D2722*'02_Eingaben'!$C$8)</f>
        <v/>
      </c>
      <c r="F2722" s="27">
        <f>IF(E2722="","",AVERAGE(INDEX($E$2:$E$3001,MAX(1,ROW()-1-'02_Eingaben'!$C$17)):INDEX($E$2:$E$3001,MIN('02_Eingaben'!$C$21,ROW()-1+'02_Eingaben'!$C$17))))</f>
        <v/>
      </c>
      <c r="G2722" s="27">
        <f>IF(F2722="","",F2722-'02_Eingaben'!$C$10)</f>
        <v/>
      </c>
      <c r="H2722">
        <f>IF(F2722="","",IF(F2722&lt;'02_Eingaben'!$C$18*'02_Eingaben'!$C$10,1,0))</f>
        <v/>
      </c>
      <c r="I2722" s="27">
        <f>IF(OR(G2722="",G2723=""),"",(G2722+G2723)/2*(B2723-B2722))</f>
        <v/>
      </c>
      <c r="J2722" s="27">
        <f>IF(B2722="","",IF(B2721&lt;'02_Eingaben'!$C$36,0,J2721+I2721/'02_Eingaben'!$C$8))</f>
        <v/>
      </c>
    </row>
    <row r="2723">
      <c r="A2723">
        <f>IF('01_Rohdaten'!A2723="","",ROW()-1)</f>
        <v/>
      </c>
      <c r="B2723" s="27">
        <f>IF('01_Rohdaten'!A2723="","",'01_Rohdaten'!A2723)</f>
        <v/>
      </c>
      <c r="C2723" s="27">
        <f>IF(B2723="","",INDEX('01_Rohdaten'!B2723:D2723,'02_Eingaben'!$C$13))</f>
        <v/>
      </c>
      <c r="D2723" s="27">
        <f>IF(C2723="","",C2723*'02_Eingaben'!$C$15)</f>
        <v/>
      </c>
      <c r="E2723" s="27">
        <f>IF(D2723="","",D2723*'02_Eingaben'!$C$8)</f>
        <v/>
      </c>
      <c r="F2723" s="27">
        <f>IF(E2723="","",AVERAGE(INDEX($E$2:$E$3001,MAX(1,ROW()-1-'02_Eingaben'!$C$17)):INDEX($E$2:$E$3001,MIN('02_Eingaben'!$C$21,ROW()-1+'02_Eingaben'!$C$17))))</f>
        <v/>
      </c>
      <c r="G2723" s="27">
        <f>IF(F2723="","",F2723-'02_Eingaben'!$C$10)</f>
        <v/>
      </c>
      <c r="H2723">
        <f>IF(F2723="","",IF(F2723&lt;'02_Eingaben'!$C$18*'02_Eingaben'!$C$10,1,0))</f>
        <v/>
      </c>
      <c r="I2723" s="27">
        <f>IF(OR(G2723="",G2724=""),"",(G2723+G2724)/2*(B2724-B2723))</f>
        <v/>
      </c>
      <c r="J2723" s="27">
        <f>IF(B2723="","",IF(B2722&lt;'02_Eingaben'!$C$36,0,J2722+I2722/'02_Eingaben'!$C$8))</f>
        <v/>
      </c>
    </row>
    <row r="2724">
      <c r="A2724">
        <f>IF('01_Rohdaten'!A2724="","",ROW()-1)</f>
        <v/>
      </c>
      <c r="B2724" s="27">
        <f>IF('01_Rohdaten'!A2724="","",'01_Rohdaten'!A2724)</f>
        <v/>
      </c>
      <c r="C2724" s="27">
        <f>IF(B2724="","",INDEX('01_Rohdaten'!B2724:D2724,'02_Eingaben'!$C$13))</f>
        <v/>
      </c>
      <c r="D2724" s="27">
        <f>IF(C2724="","",C2724*'02_Eingaben'!$C$15)</f>
        <v/>
      </c>
      <c r="E2724" s="27">
        <f>IF(D2724="","",D2724*'02_Eingaben'!$C$8)</f>
        <v/>
      </c>
      <c r="F2724" s="27">
        <f>IF(E2724="","",AVERAGE(INDEX($E$2:$E$3001,MAX(1,ROW()-1-'02_Eingaben'!$C$17)):INDEX($E$2:$E$3001,MIN('02_Eingaben'!$C$21,ROW()-1+'02_Eingaben'!$C$17))))</f>
        <v/>
      </c>
      <c r="G2724" s="27">
        <f>IF(F2724="","",F2724-'02_Eingaben'!$C$10)</f>
        <v/>
      </c>
      <c r="H2724">
        <f>IF(F2724="","",IF(F2724&lt;'02_Eingaben'!$C$18*'02_Eingaben'!$C$10,1,0))</f>
        <v/>
      </c>
      <c r="I2724" s="27">
        <f>IF(OR(G2724="",G2725=""),"",(G2724+G2725)/2*(B2725-B2724))</f>
        <v/>
      </c>
      <c r="J2724" s="27">
        <f>IF(B2724="","",IF(B2723&lt;'02_Eingaben'!$C$36,0,J2723+I2723/'02_Eingaben'!$C$8))</f>
        <v/>
      </c>
    </row>
    <row r="2725">
      <c r="A2725">
        <f>IF('01_Rohdaten'!A2725="","",ROW()-1)</f>
        <v/>
      </c>
      <c r="B2725" s="27">
        <f>IF('01_Rohdaten'!A2725="","",'01_Rohdaten'!A2725)</f>
        <v/>
      </c>
      <c r="C2725" s="27">
        <f>IF(B2725="","",INDEX('01_Rohdaten'!B2725:D2725,'02_Eingaben'!$C$13))</f>
        <v/>
      </c>
      <c r="D2725" s="27">
        <f>IF(C2725="","",C2725*'02_Eingaben'!$C$15)</f>
        <v/>
      </c>
      <c r="E2725" s="27">
        <f>IF(D2725="","",D2725*'02_Eingaben'!$C$8)</f>
        <v/>
      </c>
      <c r="F2725" s="27">
        <f>IF(E2725="","",AVERAGE(INDEX($E$2:$E$3001,MAX(1,ROW()-1-'02_Eingaben'!$C$17)):INDEX($E$2:$E$3001,MIN('02_Eingaben'!$C$21,ROW()-1+'02_Eingaben'!$C$17))))</f>
        <v/>
      </c>
      <c r="G2725" s="27">
        <f>IF(F2725="","",F2725-'02_Eingaben'!$C$10)</f>
        <v/>
      </c>
      <c r="H2725">
        <f>IF(F2725="","",IF(F2725&lt;'02_Eingaben'!$C$18*'02_Eingaben'!$C$10,1,0))</f>
        <v/>
      </c>
      <c r="I2725" s="27">
        <f>IF(OR(G2725="",G2726=""),"",(G2725+G2726)/2*(B2726-B2725))</f>
        <v/>
      </c>
      <c r="J2725" s="27">
        <f>IF(B2725="","",IF(B2724&lt;'02_Eingaben'!$C$36,0,J2724+I2724/'02_Eingaben'!$C$8))</f>
        <v/>
      </c>
    </row>
    <row r="2726">
      <c r="A2726">
        <f>IF('01_Rohdaten'!A2726="","",ROW()-1)</f>
        <v/>
      </c>
      <c r="B2726" s="27">
        <f>IF('01_Rohdaten'!A2726="","",'01_Rohdaten'!A2726)</f>
        <v/>
      </c>
      <c r="C2726" s="27">
        <f>IF(B2726="","",INDEX('01_Rohdaten'!B2726:D2726,'02_Eingaben'!$C$13))</f>
        <v/>
      </c>
      <c r="D2726" s="27">
        <f>IF(C2726="","",C2726*'02_Eingaben'!$C$15)</f>
        <v/>
      </c>
      <c r="E2726" s="27">
        <f>IF(D2726="","",D2726*'02_Eingaben'!$C$8)</f>
        <v/>
      </c>
      <c r="F2726" s="27">
        <f>IF(E2726="","",AVERAGE(INDEX($E$2:$E$3001,MAX(1,ROW()-1-'02_Eingaben'!$C$17)):INDEX($E$2:$E$3001,MIN('02_Eingaben'!$C$21,ROW()-1+'02_Eingaben'!$C$17))))</f>
        <v/>
      </c>
      <c r="G2726" s="27">
        <f>IF(F2726="","",F2726-'02_Eingaben'!$C$10)</f>
        <v/>
      </c>
      <c r="H2726">
        <f>IF(F2726="","",IF(F2726&lt;'02_Eingaben'!$C$18*'02_Eingaben'!$C$10,1,0))</f>
        <v/>
      </c>
      <c r="I2726" s="27">
        <f>IF(OR(G2726="",G2727=""),"",(G2726+G2727)/2*(B2727-B2726))</f>
        <v/>
      </c>
      <c r="J2726" s="27">
        <f>IF(B2726="","",IF(B2725&lt;'02_Eingaben'!$C$36,0,J2725+I2725/'02_Eingaben'!$C$8))</f>
        <v/>
      </c>
    </row>
    <row r="2727">
      <c r="A2727">
        <f>IF('01_Rohdaten'!A2727="","",ROW()-1)</f>
        <v/>
      </c>
      <c r="B2727" s="27">
        <f>IF('01_Rohdaten'!A2727="","",'01_Rohdaten'!A2727)</f>
        <v/>
      </c>
      <c r="C2727" s="27">
        <f>IF(B2727="","",INDEX('01_Rohdaten'!B2727:D2727,'02_Eingaben'!$C$13))</f>
        <v/>
      </c>
      <c r="D2727" s="27">
        <f>IF(C2727="","",C2727*'02_Eingaben'!$C$15)</f>
        <v/>
      </c>
      <c r="E2727" s="27">
        <f>IF(D2727="","",D2727*'02_Eingaben'!$C$8)</f>
        <v/>
      </c>
      <c r="F2727" s="27">
        <f>IF(E2727="","",AVERAGE(INDEX($E$2:$E$3001,MAX(1,ROW()-1-'02_Eingaben'!$C$17)):INDEX($E$2:$E$3001,MIN('02_Eingaben'!$C$21,ROW()-1+'02_Eingaben'!$C$17))))</f>
        <v/>
      </c>
      <c r="G2727" s="27">
        <f>IF(F2727="","",F2727-'02_Eingaben'!$C$10)</f>
        <v/>
      </c>
      <c r="H2727">
        <f>IF(F2727="","",IF(F2727&lt;'02_Eingaben'!$C$18*'02_Eingaben'!$C$10,1,0))</f>
        <v/>
      </c>
      <c r="I2727" s="27">
        <f>IF(OR(G2727="",G2728=""),"",(G2727+G2728)/2*(B2728-B2727))</f>
        <v/>
      </c>
      <c r="J2727" s="27">
        <f>IF(B2727="","",IF(B2726&lt;'02_Eingaben'!$C$36,0,J2726+I2726/'02_Eingaben'!$C$8))</f>
        <v/>
      </c>
    </row>
    <row r="2728">
      <c r="A2728">
        <f>IF('01_Rohdaten'!A2728="","",ROW()-1)</f>
        <v/>
      </c>
      <c r="B2728" s="27">
        <f>IF('01_Rohdaten'!A2728="","",'01_Rohdaten'!A2728)</f>
        <v/>
      </c>
      <c r="C2728" s="27">
        <f>IF(B2728="","",INDEX('01_Rohdaten'!B2728:D2728,'02_Eingaben'!$C$13))</f>
        <v/>
      </c>
      <c r="D2728" s="27">
        <f>IF(C2728="","",C2728*'02_Eingaben'!$C$15)</f>
        <v/>
      </c>
      <c r="E2728" s="27">
        <f>IF(D2728="","",D2728*'02_Eingaben'!$C$8)</f>
        <v/>
      </c>
      <c r="F2728" s="27">
        <f>IF(E2728="","",AVERAGE(INDEX($E$2:$E$3001,MAX(1,ROW()-1-'02_Eingaben'!$C$17)):INDEX($E$2:$E$3001,MIN('02_Eingaben'!$C$21,ROW()-1+'02_Eingaben'!$C$17))))</f>
        <v/>
      </c>
      <c r="G2728" s="27">
        <f>IF(F2728="","",F2728-'02_Eingaben'!$C$10)</f>
        <v/>
      </c>
      <c r="H2728">
        <f>IF(F2728="","",IF(F2728&lt;'02_Eingaben'!$C$18*'02_Eingaben'!$C$10,1,0))</f>
        <v/>
      </c>
      <c r="I2728" s="27">
        <f>IF(OR(G2728="",G2729=""),"",(G2728+G2729)/2*(B2729-B2728))</f>
        <v/>
      </c>
      <c r="J2728" s="27">
        <f>IF(B2728="","",IF(B2727&lt;'02_Eingaben'!$C$36,0,J2727+I2727/'02_Eingaben'!$C$8))</f>
        <v/>
      </c>
    </row>
    <row r="2729">
      <c r="A2729">
        <f>IF('01_Rohdaten'!A2729="","",ROW()-1)</f>
        <v/>
      </c>
      <c r="B2729" s="27">
        <f>IF('01_Rohdaten'!A2729="","",'01_Rohdaten'!A2729)</f>
        <v/>
      </c>
      <c r="C2729" s="27">
        <f>IF(B2729="","",INDEX('01_Rohdaten'!B2729:D2729,'02_Eingaben'!$C$13))</f>
        <v/>
      </c>
      <c r="D2729" s="27">
        <f>IF(C2729="","",C2729*'02_Eingaben'!$C$15)</f>
        <v/>
      </c>
      <c r="E2729" s="27">
        <f>IF(D2729="","",D2729*'02_Eingaben'!$C$8)</f>
        <v/>
      </c>
      <c r="F2729" s="27">
        <f>IF(E2729="","",AVERAGE(INDEX($E$2:$E$3001,MAX(1,ROW()-1-'02_Eingaben'!$C$17)):INDEX($E$2:$E$3001,MIN('02_Eingaben'!$C$21,ROW()-1+'02_Eingaben'!$C$17))))</f>
        <v/>
      </c>
      <c r="G2729" s="27">
        <f>IF(F2729="","",F2729-'02_Eingaben'!$C$10)</f>
        <v/>
      </c>
      <c r="H2729">
        <f>IF(F2729="","",IF(F2729&lt;'02_Eingaben'!$C$18*'02_Eingaben'!$C$10,1,0))</f>
        <v/>
      </c>
      <c r="I2729" s="27">
        <f>IF(OR(G2729="",G2730=""),"",(G2729+G2730)/2*(B2730-B2729))</f>
        <v/>
      </c>
      <c r="J2729" s="27">
        <f>IF(B2729="","",IF(B2728&lt;'02_Eingaben'!$C$36,0,J2728+I2728/'02_Eingaben'!$C$8))</f>
        <v/>
      </c>
    </row>
    <row r="2730">
      <c r="A2730">
        <f>IF('01_Rohdaten'!A2730="","",ROW()-1)</f>
        <v/>
      </c>
      <c r="B2730" s="27">
        <f>IF('01_Rohdaten'!A2730="","",'01_Rohdaten'!A2730)</f>
        <v/>
      </c>
      <c r="C2730" s="27">
        <f>IF(B2730="","",INDEX('01_Rohdaten'!B2730:D2730,'02_Eingaben'!$C$13))</f>
        <v/>
      </c>
      <c r="D2730" s="27">
        <f>IF(C2730="","",C2730*'02_Eingaben'!$C$15)</f>
        <v/>
      </c>
      <c r="E2730" s="27">
        <f>IF(D2730="","",D2730*'02_Eingaben'!$C$8)</f>
        <v/>
      </c>
      <c r="F2730" s="27">
        <f>IF(E2730="","",AVERAGE(INDEX($E$2:$E$3001,MAX(1,ROW()-1-'02_Eingaben'!$C$17)):INDEX($E$2:$E$3001,MIN('02_Eingaben'!$C$21,ROW()-1+'02_Eingaben'!$C$17))))</f>
        <v/>
      </c>
      <c r="G2730" s="27">
        <f>IF(F2730="","",F2730-'02_Eingaben'!$C$10)</f>
        <v/>
      </c>
      <c r="H2730">
        <f>IF(F2730="","",IF(F2730&lt;'02_Eingaben'!$C$18*'02_Eingaben'!$C$10,1,0))</f>
        <v/>
      </c>
      <c r="I2730" s="27">
        <f>IF(OR(G2730="",G2731=""),"",(G2730+G2731)/2*(B2731-B2730))</f>
        <v/>
      </c>
      <c r="J2730" s="27">
        <f>IF(B2730="","",IF(B2729&lt;'02_Eingaben'!$C$36,0,J2729+I2729/'02_Eingaben'!$C$8))</f>
        <v/>
      </c>
    </row>
    <row r="2731">
      <c r="A2731">
        <f>IF('01_Rohdaten'!A2731="","",ROW()-1)</f>
        <v/>
      </c>
      <c r="B2731" s="27">
        <f>IF('01_Rohdaten'!A2731="","",'01_Rohdaten'!A2731)</f>
        <v/>
      </c>
      <c r="C2731" s="27">
        <f>IF(B2731="","",INDEX('01_Rohdaten'!B2731:D2731,'02_Eingaben'!$C$13))</f>
        <v/>
      </c>
      <c r="D2731" s="27">
        <f>IF(C2731="","",C2731*'02_Eingaben'!$C$15)</f>
        <v/>
      </c>
      <c r="E2731" s="27">
        <f>IF(D2731="","",D2731*'02_Eingaben'!$C$8)</f>
        <v/>
      </c>
      <c r="F2731" s="27">
        <f>IF(E2731="","",AVERAGE(INDEX($E$2:$E$3001,MAX(1,ROW()-1-'02_Eingaben'!$C$17)):INDEX($E$2:$E$3001,MIN('02_Eingaben'!$C$21,ROW()-1+'02_Eingaben'!$C$17))))</f>
        <v/>
      </c>
      <c r="G2731" s="27">
        <f>IF(F2731="","",F2731-'02_Eingaben'!$C$10)</f>
        <v/>
      </c>
      <c r="H2731">
        <f>IF(F2731="","",IF(F2731&lt;'02_Eingaben'!$C$18*'02_Eingaben'!$C$10,1,0))</f>
        <v/>
      </c>
      <c r="I2731" s="27">
        <f>IF(OR(G2731="",G2732=""),"",(G2731+G2732)/2*(B2732-B2731))</f>
        <v/>
      </c>
      <c r="J2731" s="27">
        <f>IF(B2731="","",IF(B2730&lt;'02_Eingaben'!$C$36,0,J2730+I2730/'02_Eingaben'!$C$8))</f>
        <v/>
      </c>
    </row>
    <row r="2732">
      <c r="A2732">
        <f>IF('01_Rohdaten'!A2732="","",ROW()-1)</f>
        <v/>
      </c>
      <c r="B2732" s="27">
        <f>IF('01_Rohdaten'!A2732="","",'01_Rohdaten'!A2732)</f>
        <v/>
      </c>
      <c r="C2732" s="27">
        <f>IF(B2732="","",INDEX('01_Rohdaten'!B2732:D2732,'02_Eingaben'!$C$13))</f>
        <v/>
      </c>
      <c r="D2732" s="27">
        <f>IF(C2732="","",C2732*'02_Eingaben'!$C$15)</f>
        <v/>
      </c>
      <c r="E2732" s="27">
        <f>IF(D2732="","",D2732*'02_Eingaben'!$C$8)</f>
        <v/>
      </c>
      <c r="F2732" s="27">
        <f>IF(E2732="","",AVERAGE(INDEX($E$2:$E$3001,MAX(1,ROW()-1-'02_Eingaben'!$C$17)):INDEX($E$2:$E$3001,MIN('02_Eingaben'!$C$21,ROW()-1+'02_Eingaben'!$C$17))))</f>
        <v/>
      </c>
      <c r="G2732" s="27">
        <f>IF(F2732="","",F2732-'02_Eingaben'!$C$10)</f>
        <v/>
      </c>
      <c r="H2732">
        <f>IF(F2732="","",IF(F2732&lt;'02_Eingaben'!$C$18*'02_Eingaben'!$C$10,1,0))</f>
        <v/>
      </c>
      <c r="I2732" s="27">
        <f>IF(OR(G2732="",G2733=""),"",(G2732+G2733)/2*(B2733-B2732))</f>
        <v/>
      </c>
      <c r="J2732" s="27">
        <f>IF(B2732="","",IF(B2731&lt;'02_Eingaben'!$C$36,0,J2731+I2731/'02_Eingaben'!$C$8))</f>
        <v/>
      </c>
    </row>
    <row r="2733">
      <c r="A2733">
        <f>IF('01_Rohdaten'!A2733="","",ROW()-1)</f>
        <v/>
      </c>
      <c r="B2733" s="27">
        <f>IF('01_Rohdaten'!A2733="","",'01_Rohdaten'!A2733)</f>
        <v/>
      </c>
      <c r="C2733" s="27">
        <f>IF(B2733="","",INDEX('01_Rohdaten'!B2733:D2733,'02_Eingaben'!$C$13))</f>
        <v/>
      </c>
      <c r="D2733" s="27">
        <f>IF(C2733="","",C2733*'02_Eingaben'!$C$15)</f>
        <v/>
      </c>
      <c r="E2733" s="27">
        <f>IF(D2733="","",D2733*'02_Eingaben'!$C$8)</f>
        <v/>
      </c>
      <c r="F2733" s="27">
        <f>IF(E2733="","",AVERAGE(INDEX($E$2:$E$3001,MAX(1,ROW()-1-'02_Eingaben'!$C$17)):INDEX($E$2:$E$3001,MIN('02_Eingaben'!$C$21,ROW()-1+'02_Eingaben'!$C$17))))</f>
        <v/>
      </c>
      <c r="G2733" s="27">
        <f>IF(F2733="","",F2733-'02_Eingaben'!$C$10)</f>
        <v/>
      </c>
      <c r="H2733">
        <f>IF(F2733="","",IF(F2733&lt;'02_Eingaben'!$C$18*'02_Eingaben'!$C$10,1,0))</f>
        <v/>
      </c>
      <c r="I2733" s="27">
        <f>IF(OR(G2733="",G2734=""),"",(G2733+G2734)/2*(B2734-B2733))</f>
        <v/>
      </c>
      <c r="J2733" s="27">
        <f>IF(B2733="","",IF(B2732&lt;'02_Eingaben'!$C$36,0,J2732+I2732/'02_Eingaben'!$C$8))</f>
        <v/>
      </c>
    </row>
    <row r="2734">
      <c r="A2734">
        <f>IF('01_Rohdaten'!A2734="","",ROW()-1)</f>
        <v/>
      </c>
      <c r="B2734" s="27">
        <f>IF('01_Rohdaten'!A2734="","",'01_Rohdaten'!A2734)</f>
        <v/>
      </c>
      <c r="C2734" s="27">
        <f>IF(B2734="","",INDEX('01_Rohdaten'!B2734:D2734,'02_Eingaben'!$C$13))</f>
        <v/>
      </c>
      <c r="D2734" s="27">
        <f>IF(C2734="","",C2734*'02_Eingaben'!$C$15)</f>
        <v/>
      </c>
      <c r="E2734" s="27">
        <f>IF(D2734="","",D2734*'02_Eingaben'!$C$8)</f>
        <v/>
      </c>
      <c r="F2734" s="27">
        <f>IF(E2734="","",AVERAGE(INDEX($E$2:$E$3001,MAX(1,ROW()-1-'02_Eingaben'!$C$17)):INDEX($E$2:$E$3001,MIN('02_Eingaben'!$C$21,ROW()-1+'02_Eingaben'!$C$17))))</f>
        <v/>
      </c>
      <c r="G2734" s="27">
        <f>IF(F2734="","",F2734-'02_Eingaben'!$C$10)</f>
        <v/>
      </c>
      <c r="H2734">
        <f>IF(F2734="","",IF(F2734&lt;'02_Eingaben'!$C$18*'02_Eingaben'!$C$10,1,0))</f>
        <v/>
      </c>
      <c r="I2734" s="27">
        <f>IF(OR(G2734="",G2735=""),"",(G2734+G2735)/2*(B2735-B2734))</f>
        <v/>
      </c>
      <c r="J2734" s="27">
        <f>IF(B2734="","",IF(B2733&lt;'02_Eingaben'!$C$36,0,J2733+I2733/'02_Eingaben'!$C$8))</f>
        <v/>
      </c>
    </row>
    <row r="2735">
      <c r="A2735">
        <f>IF('01_Rohdaten'!A2735="","",ROW()-1)</f>
        <v/>
      </c>
      <c r="B2735" s="27">
        <f>IF('01_Rohdaten'!A2735="","",'01_Rohdaten'!A2735)</f>
        <v/>
      </c>
      <c r="C2735" s="27">
        <f>IF(B2735="","",INDEX('01_Rohdaten'!B2735:D2735,'02_Eingaben'!$C$13))</f>
        <v/>
      </c>
      <c r="D2735" s="27">
        <f>IF(C2735="","",C2735*'02_Eingaben'!$C$15)</f>
        <v/>
      </c>
      <c r="E2735" s="27">
        <f>IF(D2735="","",D2735*'02_Eingaben'!$C$8)</f>
        <v/>
      </c>
      <c r="F2735" s="27">
        <f>IF(E2735="","",AVERAGE(INDEX($E$2:$E$3001,MAX(1,ROW()-1-'02_Eingaben'!$C$17)):INDEX($E$2:$E$3001,MIN('02_Eingaben'!$C$21,ROW()-1+'02_Eingaben'!$C$17))))</f>
        <v/>
      </c>
      <c r="G2735" s="27">
        <f>IF(F2735="","",F2735-'02_Eingaben'!$C$10)</f>
        <v/>
      </c>
      <c r="H2735">
        <f>IF(F2735="","",IF(F2735&lt;'02_Eingaben'!$C$18*'02_Eingaben'!$C$10,1,0))</f>
        <v/>
      </c>
      <c r="I2735" s="27">
        <f>IF(OR(G2735="",G2736=""),"",(G2735+G2736)/2*(B2736-B2735))</f>
        <v/>
      </c>
      <c r="J2735" s="27">
        <f>IF(B2735="","",IF(B2734&lt;'02_Eingaben'!$C$36,0,J2734+I2734/'02_Eingaben'!$C$8))</f>
        <v/>
      </c>
    </row>
    <row r="2736">
      <c r="A2736">
        <f>IF('01_Rohdaten'!A2736="","",ROW()-1)</f>
        <v/>
      </c>
      <c r="B2736" s="27">
        <f>IF('01_Rohdaten'!A2736="","",'01_Rohdaten'!A2736)</f>
        <v/>
      </c>
      <c r="C2736" s="27">
        <f>IF(B2736="","",INDEX('01_Rohdaten'!B2736:D2736,'02_Eingaben'!$C$13))</f>
        <v/>
      </c>
      <c r="D2736" s="27">
        <f>IF(C2736="","",C2736*'02_Eingaben'!$C$15)</f>
        <v/>
      </c>
      <c r="E2736" s="27">
        <f>IF(D2736="","",D2736*'02_Eingaben'!$C$8)</f>
        <v/>
      </c>
      <c r="F2736" s="27">
        <f>IF(E2736="","",AVERAGE(INDEX($E$2:$E$3001,MAX(1,ROW()-1-'02_Eingaben'!$C$17)):INDEX($E$2:$E$3001,MIN('02_Eingaben'!$C$21,ROW()-1+'02_Eingaben'!$C$17))))</f>
        <v/>
      </c>
      <c r="G2736" s="27">
        <f>IF(F2736="","",F2736-'02_Eingaben'!$C$10)</f>
        <v/>
      </c>
      <c r="H2736">
        <f>IF(F2736="","",IF(F2736&lt;'02_Eingaben'!$C$18*'02_Eingaben'!$C$10,1,0))</f>
        <v/>
      </c>
      <c r="I2736" s="27">
        <f>IF(OR(G2736="",G2737=""),"",(G2736+G2737)/2*(B2737-B2736))</f>
        <v/>
      </c>
      <c r="J2736" s="27">
        <f>IF(B2736="","",IF(B2735&lt;'02_Eingaben'!$C$36,0,J2735+I2735/'02_Eingaben'!$C$8))</f>
        <v/>
      </c>
    </row>
    <row r="2737">
      <c r="A2737">
        <f>IF('01_Rohdaten'!A2737="","",ROW()-1)</f>
        <v/>
      </c>
      <c r="B2737" s="27">
        <f>IF('01_Rohdaten'!A2737="","",'01_Rohdaten'!A2737)</f>
        <v/>
      </c>
      <c r="C2737" s="27">
        <f>IF(B2737="","",INDEX('01_Rohdaten'!B2737:D2737,'02_Eingaben'!$C$13))</f>
        <v/>
      </c>
      <c r="D2737" s="27">
        <f>IF(C2737="","",C2737*'02_Eingaben'!$C$15)</f>
        <v/>
      </c>
      <c r="E2737" s="27">
        <f>IF(D2737="","",D2737*'02_Eingaben'!$C$8)</f>
        <v/>
      </c>
      <c r="F2737" s="27">
        <f>IF(E2737="","",AVERAGE(INDEX($E$2:$E$3001,MAX(1,ROW()-1-'02_Eingaben'!$C$17)):INDEX($E$2:$E$3001,MIN('02_Eingaben'!$C$21,ROW()-1+'02_Eingaben'!$C$17))))</f>
        <v/>
      </c>
      <c r="G2737" s="27">
        <f>IF(F2737="","",F2737-'02_Eingaben'!$C$10)</f>
        <v/>
      </c>
      <c r="H2737">
        <f>IF(F2737="","",IF(F2737&lt;'02_Eingaben'!$C$18*'02_Eingaben'!$C$10,1,0))</f>
        <v/>
      </c>
      <c r="I2737" s="27">
        <f>IF(OR(G2737="",G2738=""),"",(G2737+G2738)/2*(B2738-B2737))</f>
        <v/>
      </c>
      <c r="J2737" s="27">
        <f>IF(B2737="","",IF(B2736&lt;'02_Eingaben'!$C$36,0,J2736+I2736/'02_Eingaben'!$C$8))</f>
        <v/>
      </c>
    </row>
    <row r="2738">
      <c r="A2738">
        <f>IF('01_Rohdaten'!A2738="","",ROW()-1)</f>
        <v/>
      </c>
      <c r="B2738" s="27">
        <f>IF('01_Rohdaten'!A2738="","",'01_Rohdaten'!A2738)</f>
        <v/>
      </c>
      <c r="C2738" s="27">
        <f>IF(B2738="","",INDEX('01_Rohdaten'!B2738:D2738,'02_Eingaben'!$C$13))</f>
        <v/>
      </c>
      <c r="D2738" s="27">
        <f>IF(C2738="","",C2738*'02_Eingaben'!$C$15)</f>
        <v/>
      </c>
      <c r="E2738" s="27">
        <f>IF(D2738="","",D2738*'02_Eingaben'!$C$8)</f>
        <v/>
      </c>
      <c r="F2738" s="27">
        <f>IF(E2738="","",AVERAGE(INDEX($E$2:$E$3001,MAX(1,ROW()-1-'02_Eingaben'!$C$17)):INDEX($E$2:$E$3001,MIN('02_Eingaben'!$C$21,ROW()-1+'02_Eingaben'!$C$17))))</f>
        <v/>
      </c>
      <c r="G2738" s="27">
        <f>IF(F2738="","",F2738-'02_Eingaben'!$C$10)</f>
        <v/>
      </c>
      <c r="H2738">
        <f>IF(F2738="","",IF(F2738&lt;'02_Eingaben'!$C$18*'02_Eingaben'!$C$10,1,0))</f>
        <v/>
      </c>
      <c r="I2738" s="27">
        <f>IF(OR(G2738="",G2739=""),"",(G2738+G2739)/2*(B2739-B2738))</f>
        <v/>
      </c>
      <c r="J2738" s="27">
        <f>IF(B2738="","",IF(B2737&lt;'02_Eingaben'!$C$36,0,J2737+I2737/'02_Eingaben'!$C$8))</f>
        <v/>
      </c>
    </row>
    <row r="2739">
      <c r="A2739">
        <f>IF('01_Rohdaten'!A2739="","",ROW()-1)</f>
        <v/>
      </c>
      <c r="B2739" s="27">
        <f>IF('01_Rohdaten'!A2739="","",'01_Rohdaten'!A2739)</f>
        <v/>
      </c>
      <c r="C2739" s="27">
        <f>IF(B2739="","",INDEX('01_Rohdaten'!B2739:D2739,'02_Eingaben'!$C$13))</f>
        <v/>
      </c>
      <c r="D2739" s="27">
        <f>IF(C2739="","",C2739*'02_Eingaben'!$C$15)</f>
        <v/>
      </c>
      <c r="E2739" s="27">
        <f>IF(D2739="","",D2739*'02_Eingaben'!$C$8)</f>
        <v/>
      </c>
      <c r="F2739" s="27">
        <f>IF(E2739="","",AVERAGE(INDEX($E$2:$E$3001,MAX(1,ROW()-1-'02_Eingaben'!$C$17)):INDEX($E$2:$E$3001,MIN('02_Eingaben'!$C$21,ROW()-1+'02_Eingaben'!$C$17))))</f>
        <v/>
      </c>
      <c r="G2739" s="27">
        <f>IF(F2739="","",F2739-'02_Eingaben'!$C$10)</f>
        <v/>
      </c>
      <c r="H2739">
        <f>IF(F2739="","",IF(F2739&lt;'02_Eingaben'!$C$18*'02_Eingaben'!$C$10,1,0))</f>
        <v/>
      </c>
      <c r="I2739" s="27">
        <f>IF(OR(G2739="",G2740=""),"",(G2739+G2740)/2*(B2740-B2739))</f>
        <v/>
      </c>
      <c r="J2739" s="27">
        <f>IF(B2739="","",IF(B2738&lt;'02_Eingaben'!$C$36,0,J2738+I2738/'02_Eingaben'!$C$8))</f>
        <v/>
      </c>
    </row>
    <row r="2740">
      <c r="A2740">
        <f>IF('01_Rohdaten'!A2740="","",ROW()-1)</f>
        <v/>
      </c>
      <c r="B2740" s="27">
        <f>IF('01_Rohdaten'!A2740="","",'01_Rohdaten'!A2740)</f>
        <v/>
      </c>
      <c r="C2740" s="27">
        <f>IF(B2740="","",INDEX('01_Rohdaten'!B2740:D2740,'02_Eingaben'!$C$13))</f>
        <v/>
      </c>
      <c r="D2740" s="27">
        <f>IF(C2740="","",C2740*'02_Eingaben'!$C$15)</f>
        <v/>
      </c>
      <c r="E2740" s="27">
        <f>IF(D2740="","",D2740*'02_Eingaben'!$C$8)</f>
        <v/>
      </c>
      <c r="F2740" s="27">
        <f>IF(E2740="","",AVERAGE(INDEX($E$2:$E$3001,MAX(1,ROW()-1-'02_Eingaben'!$C$17)):INDEX($E$2:$E$3001,MIN('02_Eingaben'!$C$21,ROW()-1+'02_Eingaben'!$C$17))))</f>
        <v/>
      </c>
      <c r="G2740" s="27">
        <f>IF(F2740="","",F2740-'02_Eingaben'!$C$10)</f>
        <v/>
      </c>
      <c r="H2740">
        <f>IF(F2740="","",IF(F2740&lt;'02_Eingaben'!$C$18*'02_Eingaben'!$C$10,1,0))</f>
        <v/>
      </c>
      <c r="I2740" s="27">
        <f>IF(OR(G2740="",G2741=""),"",(G2740+G2741)/2*(B2741-B2740))</f>
        <v/>
      </c>
      <c r="J2740" s="27">
        <f>IF(B2740="","",IF(B2739&lt;'02_Eingaben'!$C$36,0,J2739+I2739/'02_Eingaben'!$C$8))</f>
        <v/>
      </c>
    </row>
    <row r="2741">
      <c r="A2741">
        <f>IF('01_Rohdaten'!A2741="","",ROW()-1)</f>
        <v/>
      </c>
      <c r="B2741" s="27">
        <f>IF('01_Rohdaten'!A2741="","",'01_Rohdaten'!A2741)</f>
        <v/>
      </c>
      <c r="C2741" s="27">
        <f>IF(B2741="","",INDEX('01_Rohdaten'!B2741:D2741,'02_Eingaben'!$C$13))</f>
        <v/>
      </c>
      <c r="D2741" s="27">
        <f>IF(C2741="","",C2741*'02_Eingaben'!$C$15)</f>
        <v/>
      </c>
      <c r="E2741" s="27">
        <f>IF(D2741="","",D2741*'02_Eingaben'!$C$8)</f>
        <v/>
      </c>
      <c r="F2741" s="27">
        <f>IF(E2741="","",AVERAGE(INDEX($E$2:$E$3001,MAX(1,ROW()-1-'02_Eingaben'!$C$17)):INDEX($E$2:$E$3001,MIN('02_Eingaben'!$C$21,ROW()-1+'02_Eingaben'!$C$17))))</f>
        <v/>
      </c>
      <c r="G2741" s="27">
        <f>IF(F2741="","",F2741-'02_Eingaben'!$C$10)</f>
        <v/>
      </c>
      <c r="H2741">
        <f>IF(F2741="","",IF(F2741&lt;'02_Eingaben'!$C$18*'02_Eingaben'!$C$10,1,0))</f>
        <v/>
      </c>
      <c r="I2741" s="27">
        <f>IF(OR(G2741="",G2742=""),"",(G2741+G2742)/2*(B2742-B2741))</f>
        <v/>
      </c>
      <c r="J2741" s="27">
        <f>IF(B2741="","",IF(B2740&lt;'02_Eingaben'!$C$36,0,J2740+I2740/'02_Eingaben'!$C$8))</f>
        <v/>
      </c>
    </row>
    <row r="2742">
      <c r="A2742">
        <f>IF('01_Rohdaten'!A2742="","",ROW()-1)</f>
        <v/>
      </c>
      <c r="B2742" s="27">
        <f>IF('01_Rohdaten'!A2742="","",'01_Rohdaten'!A2742)</f>
        <v/>
      </c>
      <c r="C2742" s="27">
        <f>IF(B2742="","",INDEX('01_Rohdaten'!B2742:D2742,'02_Eingaben'!$C$13))</f>
        <v/>
      </c>
      <c r="D2742" s="27">
        <f>IF(C2742="","",C2742*'02_Eingaben'!$C$15)</f>
        <v/>
      </c>
      <c r="E2742" s="27">
        <f>IF(D2742="","",D2742*'02_Eingaben'!$C$8)</f>
        <v/>
      </c>
      <c r="F2742" s="27">
        <f>IF(E2742="","",AVERAGE(INDEX($E$2:$E$3001,MAX(1,ROW()-1-'02_Eingaben'!$C$17)):INDEX($E$2:$E$3001,MIN('02_Eingaben'!$C$21,ROW()-1+'02_Eingaben'!$C$17))))</f>
        <v/>
      </c>
      <c r="G2742" s="27">
        <f>IF(F2742="","",F2742-'02_Eingaben'!$C$10)</f>
        <v/>
      </c>
      <c r="H2742">
        <f>IF(F2742="","",IF(F2742&lt;'02_Eingaben'!$C$18*'02_Eingaben'!$C$10,1,0))</f>
        <v/>
      </c>
      <c r="I2742" s="27">
        <f>IF(OR(G2742="",G2743=""),"",(G2742+G2743)/2*(B2743-B2742))</f>
        <v/>
      </c>
      <c r="J2742" s="27">
        <f>IF(B2742="","",IF(B2741&lt;'02_Eingaben'!$C$36,0,J2741+I2741/'02_Eingaben'!$C$8))</f>
        <v/>
      </c>
    </row>
    <row r="2743">
      <c r="A2743">
        <f>IF('01_Rohdaten'!A2743="","",ROW()-1)</f>
        <v/>
      </c>
      <c r="B2743" s="27">
        <f>IF('01_Rohdaten'!A2743="","",'01_Rohdaten'!A2743)</f>
        <v/>
      </c>
      <c r="C2743" s="27">
        <f>IF(B2743="","",INDEX('01_Rohdaten'!B2743:D2743,'02_Eingaben'!$C$13))</f>
        <v/>
      </c>
      <c r="D2743" s="27">
        <f>IF(C2743="","",C2743*'02_Eingaben'!$C$15)</f>
        <v/>
      </c>
      <c r="E2743" s="27">
        <f>IF(D2743="","",D2743*'02_Eingaben'!$C$8)</f>
        <v/>
      </c>
      <c r="F2743" s="27">
        <f>IF(E2743="","",AVERAGE(INDEX($E$2:$E$3001,MAX(1,ROW()-1-'02_Eingaben'!$C$17)):INDEX($E$2:$E$3001,MIN('02_Eingaben'!$C$21,ROW()-1+'02_Eingaben'!$C$17))))</f>
        <v/>
      </c>
      <c r="G2743" s="27">
        <f>IF(F2743="","",F2743-'02_Eingaben'!$C$10)</f>
        <v/>
      </c>
      <c r="H2743">
        <f>IF(F2743="","",IF(F2743&lt;'02_Eingaben'!$C$18*'02_Eingaben'!$C$10,1,0))</f>
        <v/>
      </c>
      <c r="I2743" s="27">
        <f>IF(OR(G2743="",G2744=""),"",(G2743+G2744)/2*(B2744-B2743))</f>
        <v/>
      </c>
      <c r="J2743" s="27">
        <f>IF(B2743="","",IF(B2742&lt;'02_Eingaben'!$C$36,0,J2742+I2742/'02_Eingaben'!$C$8))</f>
        <v/>
      </c>
    </row>
    <row r="2744">
      <c r="A2744">
        <f>IF('01_Rohdaten'!A2744="","",ROW()-1)</f>
        <v/>
      </c>
      <c r="B2744" s="27">
        <f>IF('01_Rohdaten'!A2744="","",'01_Rohdaten'!A2744)</f>
        <v/>
      </c>
      <c r="C2744" s="27">
        <f>IF(B2744="","",INDEX('01_Rohdaten'!B2744:D2744,'02_Eingaben'!$C$13))</f>
        <v/>
      </c>
      <c r="D2744" s="27">
        <f>IF(C2744="","",C2744*'02_Eingaben'!$C$15)</f>
        <v/>
      </c>
      <c r="E2744" s="27">
        <f>IF(D2744="","",D2744*'02_Eingaben'!$C$8)</f>
        <v/>
      </c>
      <c r="F2744" s="27">
        <f>IF(E2744="","",AVERAGE(INDEX($E$2:$E$3001,MAX(1,ROW()-1-'02_Eingaben'!$C$17)):INDEX($E$2:$E$3001,MIN('02_Eingaben'!$C$21,ROW()-1+'02_Eingaben'!$C$17))))</f>
        <v/>
      </c>
      <c r="G2744" s="27">
        <f>IF(F2744="","",F2744-'02_Eingaben'!$C$10)</f>
        <v/>
      </c>
      <c r="H2744">
        <f>IF(F2744="","",IF(F2744&lt;'02_Eingaben'!$C$18*'02_Eingaben'!$C$10,1,0))</f>
        <v/>
      </c>
      <c r="I2744" s="27">
        <f>IF(OR(G2744="",G2745=""),"",(G2744+G2745)/2*(B2745-B2744))</f>
        <v/>
      </c>
      <c r="J2744" s="27">
        <f>IF(B2744="","",IF(B2743&lt;'02_Eingaben'!$C$36,0,J2743+I2743/'02_Eingaben'!$C$8))</f>
        <v/>
      </c>
    </row>
    <row r="2745">
      <c r="A2745">
        <f>IF('01_Rohdaten'!A2745="","",ROW()-1)</f>
        <v/>
      </c>
      <c r="B2745" s="27">
        <f>IF('01_Rohdaten'!A2745="","",'01_Rohdaten'!A2745)</f>
        <v/>
      </c>
      <c r="C2745" s="27">
        <f>IF(B2745="","",INDEX('01_Rohdaten'!B2745:D2745,'02_Eingaben'!$C$13))</f>
        <v/>
      </c>
      <c r="D2745" s="27">
        <f>IF(C2745="","",C2745*'02_Eingaben'!$C$15)</f>
        <v/>
      </c>
      <c r="E2745" s="27">
        <f>IF(D2745="","",D2745*'02_Eingaben'!$C$8)</f>
        <v/>
      </c>
      <c r="F2745" s="27">
        <f>IF(E2745="","",AVERAGE(INDEX($E$2:$E$3001,MAX(1,ROW()-1-'02_Eingaben'!$C$17)):INDEX($E$2:$E$3001,MIN('02_Eingaben'!$C$21,ROW()-1+'02_Eingaben'!$C$17))))</f>
        <v/>
      </c>
      <c r="G2745" s="27">
        <f>IF(F2745="","",F2745-'02_Eingaben'!$C$10)</f>
        <v/>
      </c>
      <c r="H2745">
        <f>IF(F2745="","",IF(F2745&lt;'02_Eingaben'!$C$18*'02_Eingaben'!$C$10,1,0))</f>
        <v/>
      </c>
      <c r="I2745" s="27">
        <f>IF(OR(G2745="",G2746=""),"",(G2745+G2746)/2*(B2746-B2745))</f>
        <v/>
      </c>
      <c r="J2745" s="27">
        <f>IF(B2745="","",IF(B2744&lt;'02_Eingaben'!$C$36,0,J2744+I2744/'02_Eingaben'!$C$8))</f>
        <v/>
      </c>
    </row>
    <row r="2746">
      <c r="A2746">
        <f>IF('01_Rohdaten'!A2746="","",ROW()-1)</f>
        <v/>
      </c>
      <c r="B2746" s="27">
        <f>IF('01_Rohdaten'!A2746="","",'01_Rohdaten'!A2746)</f>
        <v/>
      </c>
      <c r="C2746" s="27">
        <f>IF(B2746="","",INDEX('01_Rohdaten'!B2746:D2746,'02_Eingaben'!$C$13))</f>
        <v/>
      </c>
      <c r="D2746" s="27">
        <f>IF(C2746="","",C2746*'02_Eingaben'!$C$15)</f>
        <v/>
      </c>
      <c r="E2746" s="27">
        <f>IF(D2746="","",D2746*'02_Eingaben'!$C$8)</f>
        <v/>
      </c>
      <c r="F2746" s="27">
        <f>IF(E2746="","",AVERAGE(INDEX($E$2:$E$3001,MAX(1,ROW()-1-'02_Eingaben'!$C$17)):INDEX($E$2:$E$3001,MIN('02_Eingaben'!$C$21,ROW()-1+'02_Eingaben'!$C$17))))</f>
        <v/>
      </c>
      <c r="G2746" s="27">
        <f>IF(F2746="","",F2746-'02_Eingaben'!$C$10)</f>
        <v/>
      </c>
      <c r="H2746">
        <f>IF(F2746="","",IF(F2746&lt;'02_Eingaben'!$C$18*'02_Eingaben'!$C$10,1,0))</f>
        <v/>
      </c>
      <c r="I2746" s="27">
        <f>IF(OR(G2746="",G2747=""),"",(G2746+G2747)/2*(B2747-B2746))</f>
        <v/>
      </c>
      <c r="J2746" s="27">
        <f>IF(B2746="","",IF(B2745&lt;'02_Eingaben'!$C$36,0,J2745+I2745/'02_Eingaben'!$C$8))</f>
        <v/>
      </c>
    </row>
    <row r="2747">
      <c r="A2747">
        <f>IF('01_Rohdaten'!A2747="","",ROW()-1)</f>
        <v/>
      </c>
      <c r="B2747" s="27">
        <f>IF('01_Rohdaten'!A2747="","",'01_Rohdaten'!A2747)</f>
        <v/>
      </c>
      <c r="C2747" s="27">
        <f>IF(B2747="","",INDEX('01_Rohdaten'!B2747:D2747,'02_Eingaben'!$C$13))</f>
        <v/>
      </c>
      <c r="D2747" s="27">
        <f>IF(C2747="","",C2747*'02_Eingaben'!$C$15)</f>
        <v/>
      </c>
      <c r="E2747" s="27">
        <f>IF(D2747="","",D2747*'02_Eingaben'!$C$8)</f>
        <v/>
      </c>
      <c r="F2747" s="27">
        <f>IF(E2747="","",AVERAGE(INDEX($E$2:$E$3001,MAX(1,ROW()-1-'02_Eingaben'!$C$17)):INDEX($E$2:$E$3001,MIN('02_Eingaben'!$C$21,ROW()-1+'02_Eingaben'!$C$17))))</f>
        <v/>
      </c>
      <c r="G2747" s="27">
        <f>IF(F2747="","",F2747-'02_Eingaben'!$C$10)</f>
        <v/>
      </c>
      <c r="H2747">
        <f>IF(F2747="","",IF(F2747&lt;'02_Eingaben'!$C$18*'02_Eingaben'!$C$10,1,0))</f>
        <v/>
      </c>
      <c r="I2747" s="27">
        <f>IF(OR(G2747="",G2748=""),"",(G2747+G2748)/2*(B2748-B2747))</f>
        <v/>
      </c>
      <c r="J2747" s="27">
        <f>IF(B2747="","",IF(B2746&lt;'02_Eingaben'!$C$36,0,J2746+I2746/'02_Eingaben'!$C$8))</f>
        <v/>
      </c>
    </row>
    <row r="2748">
      <c r="A2748">
        <f>IF('01_Rohdaten'!A2748="","",ROW()-1)</f>
        <v/>
      </c>
      <c r="B2748" s="27">
        <f>IF('01_Rohdaten'!A2748="","",'01_Rohdaten'!A2748)</f>
        <v/>
      </c>
      <c r="C2748" s="27">
        <f>IF(B2748="","",INDEX('01_Rohdaten'!B2748:D2748,'02_Eingaben'!$C$13))</f>
        <v/>
      </c>
      <c r="D2748" s="27">
        <f>IF(C2748="","",C2748*'02_Eingaben'!$C$15)</f>
        <v/>
      </c>
      <c r="E2748" s="27">
        <f>IF(D2748="","",D2748*'02_Eingaben'!$C$8)</f>
        <v/>
      </c>
      <c r="F2748" s="27">
        <f>IF(E2748="","",AVERAGE(INDEX($E$2:$E$3001,MAX(1,ROW()-1-'02_Eingaben'!$C$17)):INDEX($E$2:$E$3001,MIN('02_Eingaben'!$C$21,ROW()-1+'02_Eingaben'!$C$17))))</f>
        <v/>
      </c>
      <c r="G2748" s="27">
        <f>IF(F2748="","",F2748-'02_Eingaben'!$C$10)</f>
        <v/>
      </c>
      <c r="H2748">
        <f>IF(F2748="","",IF(F2748&lt;'02_Eingaben'!$C$18*'02_Eingaben'!$C$10,1,0))</f>
        <v/>
      </c>
      <c r="I2748" s="27">
        <f>IF(OR(G2748="",G2749=""),"",(G2748+G2749)/2*(B2749-B2748))</f>
        <v/>
      </c>
      <c r="J2748" s="27">
        <f>IF(B2748="","",IF(B2747&lt;'02_Eingaben'!$C$36,0,J2747+I2747/'02_Eingaben'!$C$8))</f>
        <v/>
      </c>
    </row>
    <row r="2749">
      <c r="A2749">
        <f>IF('01_Rohdaten'!A2749="","",ROW()-1)</f>
        <v/>
      </c>
      <c r="B2749" s="27">
        <f>IF('01_Rohdaten'!A2749="","",'01_Rohdaten'!A2749)</f>
        <v/>
      </c>
      <c r="C2749" s="27">
        <f>IF(B2749="","",INDEX('01_Rohdaten'!B2749:D2749,'02_Eingaben'!$C$13))</f>
        <v/>
      </c>
      <c r="D2749" s="27">
        <f>IF(C2749="","",C2749*'02_Eingaben'!$C$15)</f>
        <v/>
      </c>
      <c r="E2749" s="27">
        <f>IF(D2749="","",D2749*'02_Eingaben'!$C$8)</f>
        <v/>
      </c>
      <c r="F2749" s="27">
        <f>IF(E2749="","",AVERAGE(INDEX($E$2:$E$3001,MAX(1,ROW()-1-'02_Eingaben'!$C$17)):INDEX($E$2:$E$3001,MIN('02_Eingaben'!$C$21,ROW()-1+'02_Eingaben'!$C$17))))</f>
        <v/>
      </c>
      <c r="G2749" s="27">
        <f>IF(F2749="","",F2749-'02_Eingaben'!$C$10)</f>
        <v/>
      </c>
      <c r="H2749">
        <f>IF(F2749="","",IF(F2749&lt;'02_Eingaben'!$C$18*'02_Eingaben'!$C$10,1,0))</f>
        <v/>
      </c>
      <c r="I2749" s="27">
        <f>IF(OR(G2749="",G2750=""),"",(G2749+G2750)/2*(B2750-B2749))</f>
        <v/>
      </c>
      <c r="J2749" s="27">
        <f>IF(B2749="","",IF(B2748&lt;'02_Eingaben'!$C$36,0,J2748+I2748/'02_Eingaben'!$C$8))</f>
        <v/>
      </c>
    </row>
    <row r="2750">
      <c r="A2750">
        <f>IF('01_Rohdaten'!A2750="","",ROW()-1)</f>
        <v/>
      </c>
      <c r="B2750" s="27">
        <f>IF('01_Rohdaten'!A2750="","",'01_Rohdaten'!A2750)</f>
        <v/>
      </c>
      <c r="C2750" s="27">
        <f>IF(B2750="","",INDEX('01_Rohdaten'!B2750:D2750,'02_Eingaben'!$C$13))</f>
        <v/>
      </c>
      <c r="D2750" s="27">
        <f>IF(C2750="","",C2750*'02_Eingaben'!$C$15)</f>
        <v/>
      </c>
      <c r="E2750" s="27">
        <f>IF(D2750="","",D2750*'02_Eingaben'!$C$8)</f>
        <v/>
      </c>
      <c r="F2750" s="27">
        <f>IF(E2750="","",AVERAGE(INDEX($E$2:$E$3001,MAX(1,ROW()-1-'02_Eingaben'!$C$17)):INDEX($E$2:$E$3001,MIN('02_Eingaben'!$C$21,ROW()-1+'02_Eingaben'!$C$17))))</f>
        <v/>
      </c>
      <c r="G2750" s="27">
        <f>IF(F2750="","",F2750-'02_Eingaben'!$C$10)</f>
        <v/>
      </c>
      <c r="H2750">
        <f>IF(F2750="","",IF(F2750&lt;'02_Eingaben'!$C$18*'02_Eingaben'!$C$10,1,0))</f>
        <v/>
      </c>
      <c r="I2750" s="27">
        <f>IF(OR(G2750="",G2751=""),"",(G2750+G2751)/2*(B2751-B2750))</f>
        <v/>
      </c>
      <c r="J2750" s="27">
        <f>IF(B2750="","",IF(B2749&lt;'02_Eingaben'!$C$36,0,J2749+I2749/'02_Eingaben'!$C$8))</f>
        <v/>
      </c>
    </row>
    <row r="2751">
      <c r="A2751">
        <f>IF('01_Rohdaten'!A2751="","",ROW()-1)</f>
        <v/>
      </c>
      <c r="B2751" s="27">
        <f>IF('01_Rohdaten'!A2751="","",'01_Rohdaten'!A2751)</f>
        <v/>
      </c>
      <c r="C2751" s="27">
        <f>IF(B2751="","",INDEX('01_Rohdaten'!B2751:D2751,'02_Eingaben'!$C$13))</f>
        <v/>
      </c>
      <c r="D2751" s="27">
        <f>IF(C2751="","",C2751*'02_Eingaben'!$C$15)</f>
        <v/>
      </c>
      <c r="E2751" s="27">
        <f>IF(D2751="","",D2751*'02_Eingaben'!$C$8)</f>
        <v/>
      </c>
      <c r="F2751" s="27">
        <f>IF(E2751="","",AVERAGE(INDEX($E$2:$E$3001,MAX(1,ROW()-1-'02_Eingaben'!$C$17)):INDEX($E$2:$E$3001,MIN('02_Eingaben'!$C$21,ROW()-1+'02_Eingaben'!$C$17))))</f>
        <v/>
      </c>
      <c r="G2751" s="27">
        <f>IF(F2751="","",F2751-'02_Eingaben'!$C$10)</f>
        <v/>
      </c>
      <c r="H2751">
        <f>IF(F2751="","",IF(F2751&lt;'02_Eingaben'!$C$18*'02_Eingaben'!$C$10,1,0))</f>
        <v/>
      </c>
      <c r="I2751" s="27">
        <f>IF(OR(G2751="",G2752=""),"",(G2751+G2752)/2*(B2752-B2751))</f>
        <v/>
      </c>
      <c r="J2751" s="27">
        <f>IF(B2751="","",IF(B2750&lt;'02_Eingaben'!$C$36,0,J2750+I2750/'02_Eingaben'!$C$8))</f>
        <v/>
      </c>
    </row>
    <row r="2752">
      <c r="A2752">
        <f>IF('01_Rohdaten'!A2752="","",ROW()-1)</f>
        <v/>
      </c>
      <c r="B2752" s="27">
        <f>IF('01_Rohdaten'!A2752="","",'01_Rohdaten'!A2752)</f>
        <v/>
      </c>
      <c r="C2752" s="27">
        <f>IF(B2752="","",INDEX('01_Rohdaten'!B2752:D2752,'02_Eingaben'!$C$13))</f>
        <v/>
      </c>
      <c r="D2752" s="27">
        <f>IF(C2752="","",C2752*'02_Eingaben'!$C$15)</f>
        <v/>
      </c>
      <c r="E2752" s="27">
        <f>IF(D2752="","",D2752*'02_Eingaben'!$C$8)</f>
        <v/>
      </c>
      <c r="F2752" s="27">
        <f>IF(E2752="","",AVERAGE(INDEX($E$2:$E$3001,MAX(1,ROW()-1-'02_Eingaben'!$C$17)):INDEX($E$2:$E$3001,MIN('02_Eingaben'!$C$21,ROW()-1+'02_Eingaben'!$C$17))))</f>
        <v/>
      </c>
      <c r="G2752" s="27">
        <f>IF(F2752="","",F2752-'02_Eingaben'!$C$10)</f>
        <v/>
      </c>
      <c r="H2752">
        <f>IF(F2752="","",IF(F2752&lt;'02_Eingaben'!$C$18*'02_Eingaben'!$C$10,1,0))</f>
        <v/>
      </c>
      <c r="I2752" s="27">
        <f>IF(OR(G2752="",G2753=""),"",(G2752+G2753)/2*(B2753-B2752))</f>
        <v/>
      </c>
      <c r="J2752" s="27">
        <f>IF(B2752="","",IF(B2751&lt;'02_Eingaben'!$C$36,0,J2751+I2751/'02_Eingaben'!$C$8))</f>
        <v/>
      </c>
    </row>
    <row r="2753">
      <c r="A2753">
        <f>IF('01_Rohdaten'!A2753="","",ROW()-1)</f>
        <v/>
      </c>
      <c r="B2753" s="27">
        <f>IF('01_Rohdaten'!A2753="","",'01_Rohdaten'!A2753)</f>
        <v/>
      </c>
      <c r="C2753" s="27">
        <f>IF(B2753="","",INDEX('01_Rohdaten'!B2753:D2753,'02_Eingaben'!$C$13))</f>
        <v/>
      </c>
      <c r="D2753" s="27">
        <f>IF(C2753="","",C2753*'02_Eingaben'!$C$15)</f>
        <v/>
      </c>
      <c r="E2753" s="27">
        <f>IF(D2753="","",D2753*'02_Eingaben'!$C$8)</f>
        <v/>
      </c>
      <c r="F2753" s="27">
        <f>IF(E2753="","",AVERAGE(INDEX($E$2:$E$3001,MAX(1,ROW()-1-'02_Eingaben'!$C$17)):INDEX($E$2:$E$3001,MIN('02_Eingaben'!$C$21,ROW()-1+'02_Eingaben'!$C$17))))</f>
        <v/>
      </c>
      <c r="G2753" s="27">
        <f>IF(F2753="","",F2753-'02_Eingaben'!$C$10)</f>
        <v/>
      </c>
      <c r="H2753">
        <f>IF(F2753="","",IF(F2753&lt;'02_Eingaben'!$C$18*'02_Eingaben'!$C$10,1,0))</f>
        <v/>
      </c>
      <c r="I2753" s="27">
        <f>IF(OR(G2753="",G2754=""),"",(G2753+G2754)/2*(B2754-B2753))</f>
        <v/>
      </c>
      <c r="J2753" s="27">
        <f>IF(B2753="","",IF(B2752&lt;'02_Eingaben'!$C$36,0,J2752+I2752/'02_Eingaben'!$C$8))</f>
        <v/>
      </c>
    </row>
    <row r="2754">
      <c r="A2754">
        <f>IF('01_Rohdaten'!A2754="","",ROW()-1)</f>
        <v/>
      </c>
      <c r="B2754" s="27">
        <f>IF('01_Rohdaten'!A2754="","",'01_Rohdaten'!A2754)</f>
        <v/>
      </c>
      <c r="C2754" s="27">
        <f>IF(B2754="","",INDEX('01_Rohdaten'!B2754:D2754,'02_Eingaben'!$C$13))</f>
        <v/>
      </c>
      <c r="D2754" s="27">
        <f>IF(C2754="","",C2754*'02_Eingaben'!$C$15)</f>
        <v/>
      </c>
      <c r="E2754" s="27">
        <f>IF(D2754="","",D2754*'02_Eingaben'!$C$8)</f>
        <v/>
      </c>
      <c r="F2754" s="27">
        <f>IF(E2754="","",AVERAGE(INDEX($E$2:$E$3001,MAX(1,ROW()-1-'02_Eingaben'!$C$17)):INDEX($E$2:$E$3001,MIN('02_Eingaben'!$C$21,ROW()-1+'02_Eingaben'!$C$17))))</f>
        <v/>
      </c>
      <c r="G2754" s="27">
        <f>IF(F2754="","",F2754-'02_Eingaben'!$C$10)</f>
        <v/>
      </c>
      <c r="H2754">
        <f>IF(F2754="","",IF(F2754&lt;'02_Eingaben'!$C$18*'02_Eingaben'!$C$10,1,0))</f>
        <v/>
      </c>
      <c r="I2754" s="27">
        <f>IF(OR(G2754="",G2755=""),"",(G2754+G2755)/2*(B2755-B2754))</f>
        <v/>
      </c>
      <c r="J2754" s="27">
        <f>IF(B2754="","",IF(B2753&lt;'02_Eingaben'!$C$36,0,J2753+I2753/'02_Eingaben'!$C$8))</f>
        <v/>
      </c>
    </row>
    <row r="2755">
      <c r="A2755">
        <f>IF('01_Rohdaten'!A2755="","",ROW()-1)</f>
        <v/>
      </c>
      <c r="B2755" s="27">
        <f>IF('01_Rohdaten'!A2755="","",'01_Rohdaten'!A2755)</f>
        <v/>
      </c>
      <c r="C2755" s="27">
        <f>IF(B2755="","",INDEX('01_Rohdaten'!B2755:D2755,'02_Eingaben'!$C$13))</f>
        <v/>
      </c>
      <c r="D2755" s="27">
        <f>IF(C2755="","",C2755*'02_Eingaben'!$C$15)</f>
        <v/>
      </c>
      <c r="E2755" s="27">
        <f>IF(D2755="","",D2755*'02_Eingaben'!$C$8)</f>
        <v/>
      </c>
      <c r="F2755" s="27">
        <f>IF(E2755="","",AVERAGE(INDEX($E$2:$E$3001,MAX(1,ROW()-1-'02_Eingaben'!$C$17)):INDEX($E$2:$E$3001,MIN('02_Eingaben'!$C$21,ROW()-1+'02_Eingaben'!$C$17))))</f>
        <v/>
      </c>
      <c r="G2755" s="27">
        <f>IF(F2755="","",F2755-'02_Eingaben'!$C$10)</f>
        <v/>
      </c>
      <c r="H2755">
        <f>IF(F2755="","",IF(F2755&lt;'02_Eingaben'!$C$18*'02_Eingaben'!$C$10,1,0))</f>
        <v/>
      </c>
      <c r="I2755" s="27">
        <f>IF(OR(G2755="",G2756=""),"",(G2755+G2756)/2*(B2756-B2755))</f>
        <v/>
      </c>
      <c r="J2755" s="27">
        <f>IF(B2755="","",IF(B2754&lt;'02_Eingaben'!$C$36,0,J2754+I2754/'02_Eingaben'!$C$8))</f>
        <v/>
      </c>
    </row>
    <row r="2756">
      <c r="A2756">
        <f>IF('01_Rohdaten'!A2756="","",ROW()-1)</f>
        <v/>
      </c>
      <c r="B2756" s="27">
        <f>IF('01_Rohdaten'!A2756="","",'01_Rohdaten'!A2756)</f>
        <v/>
      </c>
      <c r="C2756" s="27">
        <f>IF(B2756="","",INDEX('01_Rohdaten'!B2756:D2756,'02_Eingaben'!$C$13))</f>
        <v/>
      </c>
      <c r="D2756" s="27">
        <f>IF(C2756="","",C2756*'02_Eingaben'!$C$15)</f>
        <v/>
      </c>
      <c r="E2756" s="27">
        <f>IF(D2756="","",D2756*'02_Eingaben'!$C$8)</f>
        <v/>
      </c>
      <c r="F2756" s="27">
        <f>IF(E2756="","",AVERAGE(INDEX($E$2:$E$3001,MAX(1,ROW()-1-'02_Eingaben'!$C$17)):INDEX($E$2:$E$3001,MIN('02_Eingaben'!$C$21,ROW()-1+'02_Eingaben'!$C$17))))</f>
        <v/>
      </c>
      <c r="G2756" s="27">
        <f>IF(F2756="","",F2756-'02_Eingaben'!$C$10)</f>
        <v/>
      </c>
      <c r="H2756">
        <f>IF(F2756="","",IF(F2756&lt;'02_Eingaben'!$C$18*'02_Eingaben'!$C$10,1,0))</f>
        <v/>
      </c>
      <c r="I2756" s="27">
        <f>IF(OR(G2756="",G2757=""),"",(G2756+G2757)/2*(B2757-B2756))</f>
        <v/>
      </c>
      <c r="J2756" s="27">
        <f>IF(B2756="","",IF(B2755&lt;'02_Eingaben'!$C$36,0,J2755+I2755/'02_Eingaben'!$C$8))</f>
        <v/>
      </c>
    </row>
    <row r="2757">
      <c r="A2757">
        <f>IF('01_Rohdaten'!A2757="","",ROW()-1)</f>
        <v/>
      </c>
      <c r="B2757" s="27">
        <f>IF('01_Rohdaten'!A2757="","",'01_Rohdaten'!A2757)</f>
        <v/>
      </c>
      <c r="C2757" s="27">
        <f>IF(B2757="","",INDEX('01_Rohdaten'!B2757:D2757,'02_Eingaben'!$C$13))</f>
        <v/>
      </c>
      <c r="D2757" s="27">
        <f>IF(C2757="","",C2757*'02_Eingaben'!$C$15)</f>
        <v/>
      </c>
      <c r="E2757" s="27">
        <f>IF(D2757="","",D2757*'02_Eingaben'!$C$8)</f>
        <v/>
      </c>
      <c r="F2757" s="27">
        <f>IF(E2757="","",AVERAGE(INDEX($E$2:$E$3001,MAX(1,ROW()-1-'02_Eingaben'!$C$17)):INDEX($E$2:$E$3001,MIN('02_Eingaben'!$C$21,ROW()-1+'02_Eingaben'!$C$17))))</f>
        <v/>
      </c>
      <c r="G2757" s="27">
        <f>IF(F2757="","",F2757-'02_Eingaben'!$C$10)</f>
        <v/>
      </c>
      <c r="H2757">
        <f>IF(F2757="","",IF(F2757&lt;'02_Eingaben'!$C$18*'02_Eingaben'!$C$10,1,0))</f>
        <v/>
      </c>
      <c r="I2757" s="27">
        <f>IF(OR(G2757="",G2758=""),"",(G2757+G2758)/2*(B2758-B2757))</f>
        <v/>
      </c>
      <c r="J2757" s="27">
        <f>IF(B2757="","",IF(B2756&lt;'02_Eingaben'!$C$36,0,J2756+I2756/'02_Eingaben'!$C$8))</f>
        <v/>
      </c>
    </row>
    <row r="2758">
      <c r="A2758">
        <f>IF('01_Rohdaten'!A2758="","",ROW()-1)</f>
        <v/>
      </c>
      <c r="B2758" s="27">
        <f>IF('01_Rohdaten'!A2758="","",'01_Rohdaten'!A2758)</f>
        <v/>
      </c>
      <c r="C2758" s="27">
        <f>IF(B2758="","",INDEX('01_Rohdaten'!B2758:D2758,'02_Eingaben'!$C$13))</f>
        <v/>
      </c>
      <c r="D2758" s="27">
        <f>IF(C2758="","",C2758*'02_Eingaben'!$C$15)</f>
        <v/>
      </c>
      <c r="E2758" s="27">
        <f>IF(D2758="","",D2758*'02_Eingaben'!$C$8)</f>
        <v/>
      </c>
      <c r="F2758" s="27">
        <f>IF(E2758="","",AVERAGE(INDEX($E$2:$E$3001,MAX(1,ROW()-1-'02_Eingaben'!$C$17)):INDEX($E$2:$E$3001,MIN('02_Eingaben'!$C$21,ROW()-1+'02_Eingaben'!$C$17))))</f>
        <v/>
      </c>
      <c r="G2758" s="27">
        <f>IF(F2758="","",F2758-'02_Eingaben'!$C$10)</f>
        <v/>
      </c>
      <c r="H2758">
        <f>IF(F2758="","",IF(F2758&lt;'02_Eingaben'!$C$18*'02_Eingaben'!$C$10,1,0))</f>
        <v/>
      </c>
      <c r="I2758" s="27">
        <f>IF(OR(G2758="",G2759=""),"",(G2758+G2759)/2*(B2759-B2758))</f>
        <v/>
      </c>
      <c r="J2758" s="27">
        <f>IF(B2758="","",IF(B2757&lt;'02_Eingaben'!$C$36,0,J2757+I2757/'02_Eingaben'!$C$8))</f>
        <v/>
      </c>
    </row>
    <row r="2759">
      <c r="A2759">
        <f>IF('01_Rohdaten'!A2759="","",ROW()-1)</f>
        <v/>
      </c>
      <c r="B2759" s="27">
        <f>IF('01_Rohdaten'!A2759="","",'01_Rohdaten'!A2759)</f>
        <v/>
      </c>
      <c r="C2759" s="27">
        <f>IF(B2759="","",INDEX('01_Rohdaten'!B2759:D2759,'02_Eingaben'!$C$13))</f>
        <v/>
      </c>
      <c r="D2759" s="27">
        <f>IF(C2759="","",C2759*'02_Eingaben'!$C$15)</f>
        <v/>
      </c>
      <c r="E2759" s="27">
        <f>IF(D2759="","",D2759*'02_Eingaben'!$C$8)</f>
        <v/>
      </c>
      <c r="F2759" s="27">
        <f>IF(E2759="","",AVERAGE(INDEX($E$2:$E$3001,MAX(1,ROW()-1-'02_Eingaben'!$C$17)):INDEX($E$2:$E$3001,MIN('02_Eingaben'!$C$21,ROW()-1+'02_Eingaben'!$C$17))))</f>
        <v/>
      </c>
      <c r="G2759" s="27">
        <f>IF(F2759="","",F2759-'02_Eingaben'!$C$10)</f>
        <v/>
      </c>
      <c r="H2759">
        <f>IF(F2759="","",IF(F2759&lt;'02_Eingaben'!$C$18*'02_Eingaben'!$C$10,1,0))</f>
        <v/>
      </c>
      <c r="I2759" s="27">
        <f>IF(OR(G2759="",G2760=""),"",(G2759+G2760)/2*(B2760-B2759))</f>
        <v/>
      </c>
      <c r="J2759" s="27">
        <f>IF(B2759="","",IF(B2758&lt;'02_Eingaben'!$C$36,0,J2758+I2758/'02_Eingaben'!$C$8))</f>
        <v/>
      </c>
    </row>
    <row r="2760">
      <c r="A2760">
        <f>IF('01_Rohdaten'!A2760="","",ROW()-1)</f>
        <v/>
      </c>
      <c r="B2760" s="27">
        <f>IF('01_Rohdaten'!A2760="","",'01_Rohdaten'!A2760)</f>
        <v/>
      </c>
      <c r="C2760" s="27">
        <f>IF(B2760="","",INDEX('01_Rohdaten'!B2760:D2760,'02_Eingaben'!$C$13))</f>
        <v/>
      </c>
      <c r="D2760" s="27">
        <f>IF(C2760="","",C2760*'02_Eingaben'!$C$15)</f>
        <v/>
      </c>
      <c r="E2760" s="27">
        <f>IF(D2760="","",D2760*'02_Eingaben'!$C$8)</f>
        <v/>
      </c>
      <c r="F2760" s="27">
        <f>IF(E2760="","",AVERAGE(INDEX($E$2:$E$3001,MAX(1,ROW()-1-'02_Eingaben'!$C$17)):INDEX($E$2:$E$3001,MIN('02_Eingaben'!$C$21,ROW()-1+'02_Eingaben'!$C$17))))</f>
        <v/>
      </c>
      <c r="G2760" s="27">
        <f>IF(F2760="","",F2760-'02_Eingaben'!$C$10)</f>
        <v/>
      </c>
      <c r="H2760">
        <f>IF(F2760="","",IF(F2760&lt;'02_Eingaben'!$C$18*'02_Eingaben'!$C$10,1,0))</f>
        <v/>
      </c>
      <c r="I2760" s="27">
        <f>IF(OR(G2760="",G2761=""),"",(G2760+G2761)/2*(B2761-B2760))</f>
        <v/>
      </c>
      <c r="J2760" s="27">
        <f>IF(B2760="","",IF(B2759&lt;'02_Eingaben'!$C$36,0,J2759+I2759/'02_Eingaben'!$C$8))</f>
        <v/>
      </c>
    </row>
    <row r="2761">
      <c r="A2761">
        <f>IF('01_Rohdaten'!A2761="","",ROW()-1)</f>
        <v/>
      </c>
      <c r="B2761" s="27">
        <f>IF('01_Rohdaten'!A2761="","",'01_Rohdaten'!A2761)</f>
        <v/>
      </c>
      <c r="C2761" s="27">
        <f>IF(B2761="","",INDEX('01_Rohdaten'!B2761:D2761,'02_Eingaben'!$C$13))</f>
        <v/>
      </c>
      <c r="D2761" s="27">
        <f>IF(C2761="","",C2761*'02_Eingaben'!$C$15)</f>
        <v/>
      </c>
      <c r="E2761" s="27">
        <f>IF(D2761="","",D2761*'02_Eingaben'!$C$8)</f>
        <v/>
      </c>
      <c r="F2761" s="27">
        <f>IF(E2761="","",AVERAGE(INDEX($E$2:$E$3001,MAX(1,ROW()-1-'02_Eingaben'!$C$17)):INDEX($E$2:$E$3001,MIN('02_Eingaben'!$C$21,ROW()-1+'02_Eingaben'!$C$17))))</f>
        <v/>
      </c>
      <c r="G2761" s="27">
        <f>IF(F2761="","",F2761-'02_Eingaben'!$C$10)</f>
        <v/>
      </c>
      <c r="H2761">
        <f>IF(F2761="","",IF(F2761&lt;'02_Eingaben'!$C$18*'02_Eingaben'!$C$10,1,0))</f>
        <v/>
      </c>
      <c r="I2761" s="27">
        <f>IF(OR(G2761="",G2762=""),"",(G2761+G2762)/2*(B2762-B2761))</f>
        <v/>
      </c>
      <c r="J2761" s="27">
        <f>IF(B2761="","",IF(B2760&lt;'02_Eingaben'!$C$36,0,J2760+I2760/'02_Eingaben'!$C$8))</f>
        <v/>
      </c>
    </row>
    <row r="2762">
      <c r="A2762">
        <f>IF('01_Rohdaten'!A2762="","",ROW()-1)</f>
        <v/>
      </c>
      <c r="B2762" s="27">
        <f>IF('01_Rohdaten'!A2762="","",'01_Rohdaten'!A2762)</f>
        <v/>
      </c>
      <c r="C2762" s="27">
        <f>IF(B2762="","",INDEX('01_Rohdaten'!B2762:D2762,'02_Eingaben'!$C$13))</f>
        <v/>
      </c>
      <c r="D2762" s="27">
        <f>IF(C2762="","",C2762*'02_Eingaben'!$C$15)</f>
        <v/>
      </c>
      <c r="E2762" s="27">
        <f>IF(D2762="","",D2762*'02_Eingaben'!$C$8)</f>
        <v/>
      </c>
      <c r="F2762" s="27">
        <f>IF(E2762="","",AVERAGE(INDEX($E$2:$E$3001,MAX(1,ROW()-1-'02_Eingaben'!$C$17)):INDEX($E$2:$E$3001,MIN('02_Eingaben'!$C$21,ROW()-1+'02_Eingaben'!$C$17))))</f>
        <v/>
      </c>
      <c r="G2762" s="27">
        <f>IF(F2762="","",F2762-'02_Eingaben'!$C$10)</f>
        <v/>
      </c>
      <c r="H2762">
        <f>IF(F2762="","",IF(F2762&lt;'02_Eingaben'!$C$18*'02_Eingaben'!$C$10,1,0))</f>
        <v/>
      </c>
      <c r="I2762" s="27">
        <f>IF(OR(G2762="",G2763=""),"",(G2762+G2763)/2*(B2763-B2762))</f>
        <v/>
      </c>
      <c r="J2762" s="27">
        <f>IF(B2762="","",IF(B2761&lt;'02_Eingaben'!$C$36,0,J2761+I2761/'02_Eingaben'!$C$8))</f>
        <v/>
      </c>
    </row>
    <row r="2763">
      <c r="A2763">
        <f>IF('01_Rohdaten'!A2763="","",ROW()-1)</f>
        <v/>
      </c>
      <c r="B2763" s="27">
        <f>IF('01_Rohdaten'!A2763="","",'01_Rohdaten'!A2763)</f>
        <v/>
      </c>
      <c r="C2763" s="27">
        <f>IF(B2763="","",INDEX('01_Rohdaten'!B2763:D2763,'02_Eingaben'!$C$13))</f>
        <v/>
      </c>
      <c r="D2763" s="27">
        <f>IF(C2763="","",C2763*'02_Eingaben'!$C$15)</f>
        <v/>
      </c>
      <c r="E2763" s="27">
        <f>IF(D2763="","",D2763*'02_Eingaben'!$C$8)</f>
        <v/>
      </c>
      <c r="F2763" s="27">
        <f>IF(E2763="","",AVERAGE(INDEX($E$2:$E$3001,MAX(1,ROW()-1-'02_Eingaben'!$C$17)):INDEX($E$2:$E$3001,MIN('02_Eingaben'!$C$21,ROW()-1+'02_Eingaben'!$C$17))))</f>
        <v/>
      </c>
      <c r="G2763" s="27">
        <f>IF(F2763="","",F2763-'02_Eingaben'!$C$10)</f>
        <v/>
      </c>
      <c r="H2763">
        <f>IF(F2763="","",IF(F2763&lt;'02_Eingaben'!$C$18*'02_Eingaben'!$C$10,1,0))</f>
        <v/>
      </c>
      <c r="I2763" s="27">
        <f>IF(OR(G2763="",G2764=""),"",(G2763+G2764)/2*(B2764-B2763))</f>
        <v/>
      </c>
      <c r="J2763" s="27">
        <f>IF(B2763="","",IF(B2762&lt;'02_Eingaben'!$C$36,0,J2762+I2762/'02_Eingaben'!$C$8))</f>
        <v/>
      </c>
    </row>
    <row r="2764">
      <c r="A2764">
        <f>IF('01_Rohdaten'!A2764="","",ROW()-1)</f>
        <v/>
      </c>
      <c r="B2764" s="27">
        <f>IF('01_Rohdaten'!A2764="","",'01_Rohdaten'!A2764)</f>
        <v/>
      </c>
      <c r="C2764" s="27">
        <f>IF(B2764="","",INDEX('01_Rohdaten'!B2764:D2764,'02_Eingaben'!$C$13))</f>
        <v/>
      </c>
      <c r="D2764" s="27">
        <f>IF(C2764="","",C2764*'02_Eingaben'!$C$15)</f>
        <v/>
      </c>
      <c r="E2764" s="27">
        <f>IF(D2764="","",D2764*'02_Eingaben'!$C$8)</f>
        <v/>
      </c>
      <c r="F2764" s="27">
        <f>IF(E2764="","",AVERAGE(INDEX($E$2:$E$3001,MAX(1,ROW()-1-'02_Eingaben'!$C$17)):INDEX($E$2:$E$3001,MIN('02_Eingaben'!$C$21,ROW()-1+'02_Eingaben'!$C$17))))</f>
        <v/>
      </c>
      <c r="G2764" s="27">
        <f>IF(F2764="","",F2764-'02_Eingaben'!$C$10)</f>
        <v/>
      </c>
      <c r="H2764">
        <f>IF(F2764="","",IF(F2764&lt;'02_Eingaben'!$C$18*'02_Eingaben'!$C$10,1,0))</f>
        <v/>
      </c>
      <c r="I2764" s="27">
        <f>IF(OR(G2764="",G2765=""),"",(G2764+G2765)/2*(B2765-B2764))</f>
        <v/>
      </c>
      <c r="J2764" s="27">
        <f>IF(B2764="","",IF(B2763&lt;'02_Eingaben'!$C$36,0,J2763+I2763/'02_Eingaben'!$C$8))</f>
        <v/>
      </c>
    </row>
    <row r="2765">
      <c r="A2765">
        <f>IF('01_Rohdaten'!A2765="","",ROW()-1)</f>
        <v/>
      </c>
      <c r="B2765" s="27">
        <f>IF('01_Rohdaten'!A2765="","",'01_Rohdaten'!A2765)</f>
        <v/>
      </c>
      <c r="C2765" s="27">
        <f>IF(B2765="","",INDEX('01_Rohdaten'!B2765:D2765,'02_Eingaben'!$C$13))</f>
        <v/>
      </c>
      <c r="D2765" s="27">
        <f>IF(C2765="","",C2765*'02_Eingaben'!$C$15)</f>
        <v/>
      </c>
      <c r="E2765" s="27">
        <f>IF(D2765="","",D2765*'02_Eingaben'!$C$8)</f>
        <v/>
      </c>
      <c r="F2765" s="27">
        <f>IF(E2765="","",AVERAGE(INDEX($E$2:$E$3001,MAX(1,ROW()-1-'02_Eingaben'!$C$17)):INDEX($E$2:$E$3001,MIN('02_Eingaben'!$C$21,ROW()-1+'02_Eingaben'!$C$17))))</f>
        <v/>
      </c>
      <c r="G2765" s="27">
        <f>IF(F2765="","",F2765-'02_Eingaben'!$C$10)</f>
        <v/>
      </c>
      <c r="H2765">
        <f>IF(F2765="","",IF(F2765&lt;'02_Eingaben'!$C$18*'02_Eingaben'!$C$10,1,0))</f>
        <v/>
      </c>
      <c r="I2765" s="27">
        <f>IF(OR(G2765="",G2766=""),"",(G2765+G2766)/2*(B2766-B2765))</f>
        <v/>
      </c>
      <c r="J2765" s="27">
        <f>IF(B2765="","",IF(B2764&lt;'02_Eingaben'!$C$36,0,J2764+I2764/'02_Eingaben'!$C$8))</f>
        <v/>
      </c>
    </row>
    <row r="2766">
      <c r="A2766">
        <f>IF('01_Rohdaten'!A2766="","",ROW()-1)</f>
        <v/>
      </c>
      <c r="B2766" s="27">
        <f>IF('01_Rohdaten'!A2766="","",'01_Rohdaten'!A2766)</f>
        <v/>
      </c>
      <c r="C2766" s="27">
        <f>IF(B2766="","",INDEX('01_Rohdaten'!B2766:D2766,'02_Eingaben'!$C$13))</f>
        <v/>
      </c>
      <c r="D2766" s="27">
        <f>IF(C2766="","",C2766*'02_Eingaben'!$C$15)</f>
        <v/>
      </c>
      <c r="E2766" s="27">
        <f>IF(D2766="","",D2766*'02_Eingaben'!$C$8)</f>
        <v/>
      </c>
      <c r="F2766" s="27">
        <f>IF(E2766="","",AVERAGE(INDEX($E$2:$E$3001,MAX(1,ROW()-1-'02_Eingaben'!$C$17)):INDEX($E$2:$E$3001,MIN('02_Eingaben'!$C$21,ROW()-1+'02_Eingaben'!$C$17))))</f>
        <v/>
      </c>
      <c r="G2766" s="27">
        <f>IF(F2766="","",F2766-'02_Eingaben'!$C$10)</f>
        <v/>
      </c>
      <c r="H2766">
        <f>IF(F2766="","",IF(F2766&lt;'02_Eingaben'!$C$18*'02_Eingaben'!$C$10,1,0))</f>
        <v/>
      </c>
      <c r="I2766" s="27">
        <f>IF(OR(G2766="",G2767=""),"",(G2766+G2767)/2*(B2767-B2766))</f>
        <v/>
      </c>
      <c r="J2766" s="27">
        <f>IF(B2766="","",IF(B2765&lt;'02_Eingaben'!$C$36,0,J2765+I2765/'02_Eingaben'!$C$8))</f>
        <v/>
      </c>
    </row>
    <row r="2767">
      <c r="A2767">
        <f>IF('01_Rohdaten'!A2767="","",ROW()-1)</f>
        <v/>
      </c>
      <c r="B2767" s="27">
        <f>IF('01_Rohdaten'!A2767="","",'01_Rohdaten'!A2767)</f>
        <v/>
      </c>
      <c r="C2767" s="27">
        <f>IF(B2767="","",INDEX('01_Rohdaten'!B2767:D2767,'02_Eingaben'!$C$13))</f>
        <v/>
      </c>
      <c r="D2767" s="27">
        <f>IF(C2767="","",C2767*'02_Eingaben'!$C$15)</f>
        <v/>
      </c>
      <c r="E2767" s="27">
        <f>IF(D2767="","",D2767*'02_Eingaben'!$C$8)</f>
        <v/>
      </c>
      <c r="F2767" s="27">
        <f>IF(E2767="","",AVERAGE(INDEX($E$2:$E$3001,MAX(1,ROW()-1-'02_Eingaben'!$C$17)):INDEX($E$2:$E$3001,MIN('02_Eingaben'!$C$21,ROW()-1+'02_Eingaben'!$C$17))))</f>
        <v/>
      </c>
      <c r="G2767" s="27">
        <f>IF(F2767="","",F2767-'02_Eingaben'!$C$10)</f>
        <v/>
      </c>
      <c r="H2767">
        <f>IF(F2767="","",IF(F2767&lt;'02_Eingaben'!$C$18*'02_Eingaben'!$C$10,1,0))</f>
        <v/>
      </c>
      <c r="I2767" s="27">
        <f>IF(OR(G2767="",G2768=""),"",(G2767+G2768)/2*(B2768-B2767))</f>
        <v/>
      </c>
      <c r="J2767" s="27">
        <f>IF(B2767="","",IF(B2766&lt;'02_Eingaben'!$C$36,0,J2766+I2766/'02_Eingaben'!$C$8))</f>
        <v/>
      </c>
    </row>
    <row r="2768">
      <c r="A2768">
        <f>IF('01_Rohdaten'!A2768="","",ROW()-1)</f>
        <v/>
      </c>
      <c r="B2768" s="27">
        <f>IF('01_Rohdaten'!A2768="","",'01_Rohdaten'!A2768)</f>
        <v/>
      </c>
      <c r="C2768" s="27">
        <f>IF(B2768="","",INDEX('01_Rohdaten'!B2768:D2768,'02_Eingaben'!$C$13))</f>
        <v/>
      </c>
      <c r="D2768" s="27">
        <f>IF(C2768="","",C2768*'02_Eingaben'!$C$15)</f>
        <v/>
      </c>
      <c r="E2768" s="27">
        <f>IF(D2768="","",D2768*'02_Eingaben'!$C$8)</f>
        <v/>
      </c>
      <c r="F2768" s="27">
        <f>IF(E2768="","",AVERAGE(INDEX($E$2:$E$3001,MAX(1,ROW()-1-'02_Eingaben'!$C$17)):INDEX($E$2:$E$3001,MIN('02_Eingaben'!$C$21,ROW()-1+'02_Eingaben'!$C$17))))</f>
        <v/>
      </c>
      <c r="G2768" s="27">
        <f>IF(F2768="","",F2768-'02_Eingaben'!$C$10)</f>
        <v/>
      </c>
      <c r="H2768">
        <f>IF(F2768="","",IF(F2768&lt;'02_Eingaben'!$C$18*'02_Eingaben'!$C$10,1,0))</f>
        <v/>
      </c>
      <c r="I2768" s="27">
        <f>IF(OR(G2768="",G2769=""),"",(G2768+G2769)/2*(B2769-B2768))</f>
        <v/>
      </c>
      <c r="J2768" s="27">
        <f>IF(B2768="","",IF(B2767&lt;'02_Eingaben'!$C$36,0,J2767+I2767/'02_Eingaben'!$C$8))</f>
        <v/>
      </c>
    </row>
    <row r="2769">
      <c r="A2769">
        <f>IF('01_Rohdaten'!A2769="","",ROW()-1)</f>
        <v/>
      </c>
      <c r="B2769" s="27">
        <f>IF('01_Rohdaten'!A2769="","",'01_Rohdaten'!A2769)</f>
        <v/>
      </c>
      <c r="C2769" s="27">
        <f>IF(B2769="","",INDEX('01_Rohdaten'!B2769:D2769,'02_Eingaben'!$C$13))</f>
        <v/>
      </c>
      <c r="D2769" s="27">
        <f>IF(C2769="","",C2769*'02_Eingaben'!$C$15)</f>
        <v/>
      </c>
      <c r="E2769" s="27">
        <f>IF(D2769="","",D2769*'02_Eingaben'!$C$8)</f>
        <v/>
      </c>
      <c r="F2769" s="27">
        <f>IF(E2769="","",AVERAGE(INDEX($E$2:$E$3001,MAX(1,ROW()-1-'02_Eingaben'!$C$17)):INDEX($E$2:$E$3001,MIN('02_Eingaben'!$C$21,ROW()-1+'02_Eingaben'!$C$17))))</f>
        <v/>
      </c>
      <c r="G2769" s="27">
        <f>IF(F2769="","",F2769-'02_Eingaben'!$C$10)</f>
        <v/>
      </c>
      <c r="H2769">
        <f>IF(F2769="","",IF(F2769&lt;'02_Eingaben'!$C$18*'02_Eingaben'!$C$10,1,0))</f>
        <v/>
      </c>
      <c r="I2769" s="27">
        <f>IF(OR(G2769="",G2770=""),"",(G2769+G2770)/2*(B2770-B2769))</f>
        <v/>
      </c>
      <c r="J2769" s="27">
        <f>IF(B2769="","",IF(B2768&lt;'02_Eingaben'!$C$36,0,J2768+I2768/'02_Eingaben'!$C$8))</f>
        <v/>
      </c>
    </row>
    <row r="2770">
      <c r="A2770">
        <f>IF('01_Rohdaten'!A2770="","",ROW()-1)</f>
        <v/>
      </c>
      <c r="B2770" s="27">
        <f>IF('01_Rohdaten'!A2770="","",'01_Rohdaten'!A2770)</f>
        <v/>
      </c>
      <c r="C2770" s="27">
        <f>IF(B2770="","",INDEX('01_Rohdaten'!B2770:D2770,'02_Eingaben'!$C$13))</f>
        <v/>
      </c>
      <c r="D2770" s="27">
        <f>IF(C2770="","",C2770*'02_Eingaben'!$C$15)</f>
        <v/>
      </c>
      <c r="E2770" s="27">
        <f>IF(D2770="","",D2770*'02_Eingaben'!$C$8)</f>
        <v/>
      </c>
      <c r="F2770" s="27">
        <f>IF(E2770="","",AVERAGE(INDEX($E$2:$E$3001,MAX(1,ROW()-1-'02_Eingaben'!$C$17)):INDEX($E$2:$E$3001,MIN('02_Eingaben'!$C$21,ROW()-1+'02_Eingaben'!$C$17))))</f>
        <v/>
      </c>
      <c r="G2770" s="27">
        <f>IF(F2770="","",F2770-'02_Eingaben'!$C$10)</f>
        <v/>
      </c>
      <c r="H2770">
        <f>IF(F2770="","",IF(F2770&lt;'02_Eingaben'!$C$18*'02_Eingaben'!$C$10,1,0))</f>
        <v/>
      </c>
      <c r="I2770" s="27">
        <f>IF(OR(G2770="",G2771=""),"",(G2770+G2771)/2*(B2771-B2770))</f>
        <v/>
      </c>
      <c r="J2770" s="27">
        <f>IF(B2770="","",IF(B2769&lt;'02_Eingaben'!$C$36,0,J2769+I2769/'02_Eingaben'!$C$8))</f>
        <v/>
      </c>
    </row>
    <row r="2771">
      <c r="A2771">
        <f>IF('01_Rohdaten'!A2771="","",ROW()-1)</f>
        <v/>
      </c>
      <c r="B2771" s="27">
        <f>IF('01_Rohdaten'!A2771="","",'01_Rohdaten'!A2771)</f>
        <v/>
      </c>
      <c r="C2771" s="27">
        <f>IF(B2771="","",INDEX('01_Rohdaten'!B2771:D2771,'02_Eingaben'!$C$13))</f>
        <v/>
      </c>
      <c r="D2771" s="27">
        <f>IF(C2771="","",C2771*'02_Eingaben'!$C$15)</f>
        <v/>
      </c>
      <c r="E2771" s="27">
        <f>IF(D2771="","",D2771*'02_Eingaben'!$C$8)</f>
        <v/>
      </c>
      <c r="F2771" s="27">
        <f>IF(E2771="","",AVERAGE(INDEX($E$2:$E$3001,MAX(1,ROW()-1-'02_Eingaben'!$C$17)):INDEX($E$2:$E$3001,MIN('02_Eingaben'!$C$21,ROW()-1+'02_Eingaben'!$C$17))))</f>
        <v/>
      </c>
      <c r="G2771" s="27">
        <f>IF(F2771="","",F2771-'02_Eingaben'!$C$10)</f>
        <v/>
      </c>
      <c r="H2771">
        <f>IF(F2771="","",IF(F2771&lt;'02_Eingaben'!$C$18*'02_Eingaben'!$C$10,1,0))</f>
        <v/>
      </c>
      <c r="I2771" s="27">
        <f>IF(OR(G2771="",G2772=""),"",(G2771+G2772)/2*(B2772-B2771))</f>
        <v/>
      </c>
      <c r="J2771" s="27">
        <f>IF(B2771="","",IF(B2770&lt;'02_Eingaben'!$C$36,0,J2770+I2770/'02_Eingaben'!$C$8))</f>
        <v/>
      </c>
    </row>
    <row r="2772">
      <c r="A2772">
        <f>IF('01_Rohdaten'!A2772="","",ROW()-1)</f>
        <v/>
      </c>
      <c r="B2772" s="27">
        <f>IF('01_Rohdaten'!A2772="","",'01_Rohdaten'!A2772)</f>
        <v/>
      </c>
      <c r="C2772" s="27">
        <f>IF(B2772="","",INDEX('01_Rohdaten'!B2772:D2772,'02_Eingaben'!$C$13))</f>
        <v/>
      </c>
      <c r="D2772" s="27">
        <f>IF(C2772="","",C2772*'02_Eingaben'!$C$15)</f>
        <v/>
      </c>
      <c r="E2772" s="27">
        <f>IF(D2772="","",D2772*'02_Eingaben'!$C$8)</f>
        <v/>
      </c>
      <c r="F2772" s="27">
        <f>IF(E2772="","",AVERAGE(INDEX($E$2:$E$3001,MAX(1,ROW()-1-'02_Eingaben'!$C$17)):INDEX($E$2:$E$3001,MIN('02_Eingaben'!$C$21,ROW()-1+'02_Eingaben'!$C$17))))</f>
        <v/>
      </c>
      <c r="G2772" s="27">
        <f>IF(F2772="","",F2772-'02_Eingaben'!$C$10)</f>
        <v/>
      </c>
      <c r="H2772">
        <f>IF(F2772="","",IF(F2772&lt;'02_Eingaben'!$C$18*'02_Eingaben'!$C$10,1,0))</f>
        <v/>
      </c>
      <c r="I2772" s="27">
        <f>IF(OR(G2772="",G2773=""),"",(G2772+G2773)/2*(B2773-B2772))</f>
        <v/>
      </c>
      <c r="J2772" s="27">
        <f>IF(B2772="","",IF(B2771&lt;'02_Eingaben'!$C$36,0,J2771+I2771/'02_Eingaben'!$C$8))</f>
        <v/>
      </c>
    </row>
    <row r="2773">
      <c r="A2773">
        <f>IF('01_Rohdaten'!A2773="","",ROW()-1)</f>
        <v/>
      </c>
      <c r="B2773" s="27">
        <f>IF('01_Rohdaten'!A2773="","",'01_Rohdaten'!A2773)</f>
        <v/>
      </c>
      <c r="C2773" s="27">
        <f>IF(B2773="","",INDEX('01_Rohdaten'!B2773:D2773,'02_Eingaben'!$C$13))</f>
        <v/>
      </c>
      <c r="D2773" s="27">
        <f>IF(C2773="","",C2773*'02_Eingaben'!$C$15)</f>
        <v/>
      </c>
      <c r="E2773" s="27">
        <f>IF(D2773="","",D2773*'02_Eingaben'!$C$8)</f>
        <v/>
      </c>
      <c r="F2773" s="27">
        <f>IF(E2773="","",AVERAGE(INDEX($E$2:$E$3001,MAX(1,ROW()-1-'02_Eingaben'!$C$17)):INDEX($E$2:$E$3001,MIN('02_Eingaben'!$C$21,ROW()-1+'02_Eingaben'!$C$17))))</f>
        <v/>
      </c>
      <c r="G2773" s="27">
        <f>IF(F2773="","",F2773-'02_Eingaben'!$C$10)</f>
        <v/>
      </c>
      <c r="H2773">
        <f>IF(F2773="","",IF(F2773&lt;'02_Eingaben'!$C$18*'02_Eingaben'!$C$10,1,0))</f>
        <v/>
      </c>
      <c r="I2773" s="27">
        <f>IF(OR(G2773="",G2774=""),"",(G2773+G2774)/2*(B2774-B2773))</f>
        <v/>
      </c>
      <c r="J2773" s="27">
        <f>IF(B2773="","",IF(B2772&lt;'02_Eingaben'!$C$36,0,J2772+I2772/'02_Eingaben'!$C$8))</f>
        <v/>
      </c>
    </row>
    <row r="2774">
      <c r="A2774">
        <f>IF('01_Rohdaten'!A2774="","",ROW()-1)</f>
        <v/>
      </c>
      <c r="B2774" s="27">
        <f>IF('01_Rohdaten'!A2774="","",'01_Rohdaten'!A2774)</f>
        <v/>
      </c>
      <c r="C2774" s="27">
        <f>IF(B2774="","",INDEX('01_Rohdaten'!B2774:D2774,'02_Eingaben'!$C$13))</f>
        <v/>
      </c>
      <c r="D2774" s="27">
        <f>IF(C2774="","",C2774*'02_Eingaben'!$C$15)</f>
        <v/>
      </c>
      <c r="E2774" s="27">
        <f>IF(D2774="","",D2774*'02_Eingaben'!$C$8)</f>
        <v/>
      </c>
      <c r="F2774" s="27">
        <f>IF(E2774="","",AVERAGE(INDEX($E$2:$E$3001,MAX(1,ROW()-1-'02_Eingaben'!$C$17)):INDEX($E$2:$E$3001,MIN('02_Eingaben'!$C$21,ROW()-1+'02_Eingaben'!$C$17))))</f>
        <v/>
      </c>
      <c r="G2774" s="27">
        <f>IF(F2774="","",F2774-'02_Eingaben'!$C$10)</f>
        <v/>
      </c>
      <c r="H2774">
        <f>IF(F2774="","",IF(F2774&lt;'02_Eingaben'!$C$18*'02_Eingaben'!$C$10,1,0))</f>
        <v/>
      </c>
      <c r="I2774" s="27">
        <f>IF(OR(G2774="",G2775=""),"",(G2774+G2775)/2*(B2775-B2774))</f>
        <v/>
      </c>
      <c r="J2774" s="27">
        <f>IF(B2774="","",IF(B2773&lt;'02_Eingaben'!$C$36,0,J2773+I2773/'02_Eingaben'!$C$8))</f>
        <v/>
      </c>
    </row>
    <row r="2775">
      <c r="A2775">
        <f>IF('01_Rohdaten'!A2775="","",ROW()-1)</f>
        <v/>
      </c>
      <c r="B2775" s="27">
        <f>IF('01_Rohdaten'!A2775="","",'01_Rohdaten'!A2775)</f>
        <v/>
      </c>
      <c r="C2775" s="27">
        <f>IF(B2775="","",INDEX('01_Rohdaten'!B2775:D2775,'02_Eingaben'!$C$13))</f>
        <v/>
      </c>
      <c r="D2775" s="27">
        <f>IF(C2775="","",C2775*'02_Eingaben'!$C$15)</f>
        <v/>
      </c>
      <c r="E2775" s="27">
        <f>IF(D2775="","",D2775*'02_Eingaben'!$C$8)</f>
        <v/>
      </c>
      <c r="F2775" s="27">
        <f>IF(E2775="","",AVERAGE(INDEX($E$2:$E$3001,MAX(1,ROW()-1-'02_Eingaben'!$C$17)):INDEX($E$2:$E$3001,MIN('02_Eingaben'!$C$21,ROW()-1+'02_Eingaben'!$C$17))))</f>
        <v/>
      </c>
      <c r="G2775" s="27">
        <f>IF(F2775="","",F2775-'02_Eingaben'!$C$10)</f>
        <v/>
      </c>
      <c r="H2775">
        <f>IF(F2775="","",IF(F2775&lt;'02_Eingaben'!$C$18*'02_Eingaben'!$C$10,1,0))</f>
        <v/>
      </c>
      <c r="I2775" s="27">
        <f>IF(OR(G2775="",G2776=""),"",(G2775+G2776)/2*(B2776-B2775))</f>
        <v/>
      </c>
      <c r="J2775" s="27">
        <f>IF(B2775="","",IF(B2774&lt;'02_Eingaben'!$C$36,0,J2774+I2774/'02_Eingaben'!$C$8))</f>
        <v/>
      </c>
    </row>
    <row r="2776">
      <c r="A2776">
        <f>IF('01_Rohdaten'!A2776="","",ROW()-1)</f>
        <v/>
      </c>
      <c r="B2776" s="27">
        <f>IF('01_Rohdaten'!A2776="","",'01_Rohdaten'!A2776)</f>
        <v/>
      </c>
      <c r="C2776" s="27">
        <f>IF(B2776="","",INDEX('01_Rohdaten'!B2776:D2776,'02_Eingaben'!$C$13))</f>
        <v/>
      </c>
      <c r="D2776" s="27">
        <f>IF(C2776="","",C2776*'02_Eingaben'!$C$15)</f>
        <v/>
      </c>
      <c r="E2776" s="27">
        <f>IF(D2776="","",D2776*'02_Eingaben'!$C$8)</f>
        <v/>
      </c>
      <c r="F2776" s="27">
        <f>IF(E2776="","",AVERAGE(INDEX($E$2:$E$3001,MAX(1,ROW()-1-'02_Eingaben'!$C$17)):INDEX($E$2:$E$3001,MIN('02_Eingaben'!$C$21,ROW()-1+'02_Eingaben'!$C$17))))</f>
        <v/>
      </c>
      <c r="G2776" s="27">
        <f>IF(F2776="","",F2776-'02_Eingaben'!$C$10)</f>
        <v/>
      </c>
      <c r="H2776">
        <f>IF(F2776="","",IF(F2776&lt;'02_Eingaben'!$C$18*'02_Eingaben'!$C$10,1,0))</f>
        <v/>
      </c>
      <c r="I2776" s="27">
        <f>IF(OR(G2776="",G2777=""),"",(G2776+G2777)/2*(B2777-B2776))</f>
        <v/>
      </c>
      <c r="J2776" s="27">
        <f>IF(B2776="","",IF(B2775&lt;'02_Eingaben'!$C$36,0,J2775+I2775/'02_Eingaben'!$C$8))</f>
        <v/>
      </c>
    </row>
    <row r="2777">
      <c r="A2777">
        <f>IF('01_Rohdaten'!A2777="","",ROW()-1)</f>
        <v/>
      </c>
      <c r="B2777" s="27">
        <f>IF('01_Rohdaten'!A2777="","",'01_Rohdaten'!A2777)</f>
        <v/>
      </c>
      <c r="C2777" s="27">
        <f>IF(B2777="","",INDEX('01_Rohdaten'!B2777:D2777,'02_Eingaben'!$C$13))</f>
        <v/>
      </c>
      <c r="D2777" s="27">
        <f>IF(C2777="","",C2777*'02_Eingaben'!$C$15)</f>
        <v/>
      </c>
      <c r="E2777" s="27">
        <f>IF(D2777="","",D2777*'02_Eingaben'!$C$8)</f>
        <v/>
      </c>
      <c r="F2777" s="27">
        <f>IF(E2777="","",AVERAGE(INDEX($E$2:$E$3001,MAX(1,ROW()-1-'02_Eingaben'!$C$17)):INDEX($E$2:$E$3001,MIN('02_Eingaben'!$C$21,ROW()-1+'02_Eingaben'!$C$17))))</f>
        <v/>
      </c>
      <c r="G2777" s="27">
        <f>IF(F2777="","",F2777-'02_Eingaben'!$C$10)</f>
        <v/>
      </c>
      <c r="H2777">
        <f>IF(F2777="","",IF(F2777&lt;'02_Eingaben'!$C$18*'02_Eingaben'!$C$10,1,0))</f>
        <v/>
      </c>
      <c r="I2777" s="27">
        <f>IF(OR(G2777="",G2778=""),"",(G2777+G2778)/2*(B2778-B2777))</f>
        <v/>
      </c>
      <c r="J2777" s="27">
        <f>IF(B2777="","",IF(B2776&lt;'02_Eingaben'!$C$36,0,J2776+I2776/'02_Eingaben'!$C$8))</f>
        <v/>
      </c>
    </row>
    <row r="2778">
      <c r="A2778">
        <f>IF('01_Rohdaten'!A2778="","",ROW()-1)</f>
        <v/>
      </c>
      <c r="B2778" s="27">
        <f>IF('01_Rohdaten'!A2778="","",'01_Rohdaten'!A2778)</f>
        <v/>
      </c>
      <c r="C2778" s="27">
        <f>IF(B2778="","",INDEX('01_Rohdaten'!B2778:D2778,'02_Eingaben'!$C$13))</f>
        <v/>
      </c>
      <c r="D2778" s="27">
        <f>IF(C2778="","",C2778*'02_Eingaben'!$C$15)</f>
        <v/>
      </c>
      <c r="E2778" s="27">
        <f>IF(D2778="","",D2778*'02_Eingaben'!$C$8)</f>
        <v/>
      </c>
      <c r="F2778" s="27">
        <f>IF(E2778="","",AVERAGE(INDEX($E$2:$E$3001,MAX(1,ROW()-1-'02_Eingaben'!$C$17)):INDEX($E$2:$E$3001,MIN('02_Eingaben'!$C$21,ROW()-1+'02_Eingaben'!$C$17))))</f>
        <v/>
      </c>
      <c r="G2778" s="27">
        <f>IF(F2778="","",F2778-'02_Eingaben'!$C$10)</f>
        <v/>
      </c>
      <c r="H2778">
        <f>IF(F2778="","",IF(F2778&lt;'02_Eingaben'!$C$18*'02_Eingaben'!$C$10,1,0))</f>
        <v/>
      </c>
      <c r="I2778" s="27">
        <f>IF(OR(G2778="",G2779=""),"",(G2778+G2779)/2*(B2779-B2778))</f>
        <v/>
      </c>
      <c r="J2778" s="27">
        <f>IF(B2778="","",IF(B2777&lt;'02_Eingaben'!$C$36,0,J2777+I2777/'02_Eingaben'!$C$8))</f>
        <v/>
      </c>
    </row>
    <row r="2779">
      <c r="A2779">
        <f>IF('01_Rohdaten'!A2779="","",ROW()-1)</f>
        <v/>
      </c>
      <c r="B2779" s="27">
        <f>IF('01_Rohdaten'!A2779="","",'01_Rohdaten'!A2779)</f>
        <v/>
      </c>
      <c r="C2779" s="27">
        <f>IF(B2779="","",INDEX('01_Rohdaten'!B2779:D2779,'02_Eingaben'!$C$13))</f>
        <v/>
      </c>
      <c r="D2779" s="27">
        <f>IF(C2779="","",C2779*'02_Eingaben'!$C$15)</f>
        <v/>
      </c>
      <c r="E2779" s="27">
        <f>IF(D2779="","",D2779*'02_Eingaben'!$C$8)</f>
        <v/>
      </c>
      <c r="F2779" s="27">
        <f>IF(E2779="","",AVERAGE(INDEX($E$2:$E$3001,MAX(1,ROW()-1-'02_Eingaben'!$C$17)):INDEX($E$2:$E$3001,MIN('02_Eingaben'!$C$21,ROW()-1+'02_Eingaben'!$C$17))))</f>
        <v/>
      </c>
      <c r="G2779" s="27">
        <f>IF(F2779="","",F2779-'02_Eingaben'!$C$10)</f>
        <v/>
      </c>
      <c r="H2779">
        <f>IF(F2779="","",IF(F2779&lt;'02_Eingaben'!$C$18*'02_Eingaben'!$C$10,1,0))</f>
        <v/>
      </c>
      <c r="I2779" s="27">
        <f>IF(OR(G2779="",G2780=""),"",(G2779+G2780)/2*(B2780-B2779))</f>
        <v/>
      </c>
      <c r="J2779" s="27">
        <f>IF(B2779="","",IF(B2778&lt;'02_Eingaben'!$C$36,0,J2778+I2778/'02_Eingaben'!$C$8))</f>
        <v/>
      </c>
    </row>
    <row r="2780">
      <c r="A2780">
        <f>IF('01_Rohdaten'!A2780="","",ROW()-1)</f>
        <v/>
      </c>
      <c r="B2780" s="27">
        <f>IF('01_Rohdaten'!A2780="","",'01_Rohdaten'!A2780)</f>
        <v/>
      </c>
      <c r="C2780" s="27">
        <f>IF(B2780="","",INDEX('01_Rohdaten'!B2780:D2780,'02_Eingaben'!$C$13))</f>
        <v/>
      </c>
      <c r="D2780" s="27">
        <f>IF(C2780="","",C2780*'02_Eingaben'!$C$15)</f>
        <v/>
      </c>
      <c r="E2780" s="27">
        <f>IF(D2780="","",D2780*'02_Eingaben'!$C$8)</f>
        <v/>
      </c>
      <c r="F2780" s="27">
        <f>IF(E2780="","",AVERAGE(INDEX($E$2:$E$3001,MAX(1,ROW()-1-'02_Eingaben'!$C$17)):INDEX($E$2:$E$3001,MIN('02_Eingaben'!$C$21,ROW()-1+'02_Eingaben'!$C$17))))</f>
        <v/>
      </c>
      <c r="G2780" s="27">
        <f>IF(F2780="","",F2780-'02_Eingaben'!$C$10)</f>
        <v/>
      </c>
      <c r="H2780">
        <f>IF(F2780="","",IF(F2780&lt;'02_Eingaben'!$C$18*'02_Eingaben'!$C$10,1,0))</f>
        <v/>
      </c>
      <c r="I2780" s="27">
        <f>IF(OR(G2780="",G2781=""),"",(G2780+G2781)/2*(B2781-B2780))</f>
        <v/>
      </c>
      <c r="J2780" s="27">
        <f>IF(B2780="","",IF(B2779&lt;'02_Eingaben'!$C$36,0,J2779+I2779/'02_Eingaben'!$C$8))</f>
        <v/>
      </c>
    </row>
    <row r="2781">
      <c r="A2781">
        <f>IF('01_Rohdaten'!A2781="","",ROW()-1)</f>
        <v/>
      </c>
      <c r="B2781" s="27">
        <f>IF('01_Rohdaten'!A2781="","",'01_Rohdaten'!A2781)</f>
        <v/>
      </c>
      <c r="C2781" s="27">
        <f>IF(B2781="","",INDEX('01_Rohdaten'!B2781:D2781,'02_Eingaben'!$C$13))</f>
        <v/>
      </c>
      <c r="D2781" s="27">
        <f>IF(C2781="","",C2781*'02_Eingaben'!$C$15)</f>
        <v/>
      </c>
      <c r="E2781" s="27">
        <f>IF(D2781="","",D2781*'02_Eingaben'!$C$8)</f>
        <v/>
      </c>
      <c r="F2781" s="27">
        <f>IF(E2781="","",AVERAGE(INDEX($E$2:$E$3001,MAX(1,ROW()-1-'02_Eingaben'!$C$17)):INDEX($E$2:$E$3001,MIN('02_Eingaben'!$C$21,ROW()-1+'02_Eingaben'!$C$17))))</f>
        <v/>
      </c>
      <c r="G2781" s="27">
        <f>IF(F2781="","",F2781-'02_Eingaben'!$C$10)</f>
        <v/>
      </c>
      <c r="H2781">
        <f>IF(F2781="","",IF(F2781&lt;'02_Eingaben'!$C$18*'02_Eingaben'!$C$10,1,0))</f>
        <v/>
      </c>
      <c r="I2781" s="27">
        <f>IF(OR(G2781="",G2782=""),"",(G2781+G2782)/2*(B2782-B2781))</f>
        <v/>
      </c>
      <c r="J2781" s="27">
        <f>IF(B2781="","",IF(B2780&lt;'02_Eingaben'!$C$36,0,J2780+I2780/'02_Eingaben'!$C$8))</f>
        <v/>
      </c>
    </row>
    <row r="2782">
      <c r="A2782">
        <f>IF('01_Rohdaten'!A2782="","",ROW()-1)</f>
        <v/>
      </c>
      <c r="B2782" s="27">
        <f>IF('01_Rohdaten'!A2782="","",'01_Rohdaten'!A2782)</f>
        <v/>
      </c>
      <c r="C2782" s="27">
        <f>IF(B2782="","",INDEX('01_Rohdaten'!B2782:D2782,'02_Eingaben'!$C$13))</f>
        <v/>
      </c>
      <c r="D2782" s="27">
        <f>IF(C2782="","",C2782*'02_Eingaben'!$C$15)</f>
        <v/>
      </c>
      <c r="E2782" s="27">
        <f>IF(D2782="","",D2782*'02_Eingaben'!$C$8)</f>
        <v/>
      </c>
      <c r="F2782" s="27">
        <f>IF(E2782="","",AVERAGE(INDEX($E$2:$E$3001,MAX(1,ROW()-1-'02_Eingaben'!$C$17)):INDEX($E$2:$E$3001,MIN('02_Eingaben'!$C$21,ROW()-1+'02_Eingaben'!$C$17))))</f>
        <v/>
      </c>
      <c r="G2782" s="27">
        <f>IF(F2782="","",F2782-'02_Eingaben'!$C$10)</f>
        <v/>
      </c>
      <c r="H2782">
        <f>IF(F2782="","",IF(F2782&lt;'02_Eingaben'!$C$18*'02_Eingaben'!$C$10,1,0))</f>
        <v/>
      </c>
      <c r="I2782" s="27">
        <f>IF(OR(G2782="",G2783=""),"",(G2782+G2783)/2*(B2783-B2782))</f>
        <v/>
      </c>
      <c r="J2782" s="27">
        <f>IF(B2782="","",IF(B2781&lt;'02_Eingaben'!$C$36,0,J2781+I2781/'02_Eingaben'!$C$8))</f>
        <v/>
      </c>
    </row>
    <row r="2783">
      <c r="A2783">
        <f>IF('01_Rohdaten'!A2783="","",ROW()-1)</f>
        <v/>
      </c>
      <c r="B2783" s="27">
        <f>IF('01_Rohdaten'!A2783="","",'01_Rohdaten'!A2783)</f>
        <v/>
      </c>
      <c r="C2783" s="27">
        <f>IF(B2783="","",INDEX('01_Rohdaten'!B2783:D2783,'02_Eingaben'!$C$13))</f>
        <v/>
      </c>
      <c r="D2783" s="27">
        <f>IF(C2783="","",C2783*'02_Eingaben'!$C$15)</f>
        <v/>
      </c>
      <c r="E2783" s="27">
        <f>IF(D2783="","",D2783*'02_Eingaben'!$C$8)</f>
        <v/>
      </c>
      <c r="F2783" s="27">
        <f>IF(E2783="","",AVERAGE(INDEX($E$2:$E$3001,MAX(1,ROW()-1-'02_Eingaben'!$C$17)):INDEX($E$2:$E$3001,MIN('02_Eingaben'!$C$21,ROW()-1+'02_Eingaben'!$C$17))))</f>
        <v/>
      </c>
      <c r="G2783" s="27">
        <f>IF(F2783="","",F2783-'02_Eingaben'!$C$10)</f>
        <v/>
      </c>
      <c r="H2783">
        <f>IF(F2783="","",IF(F2783&lt;'02_Eingaben'!$C$18*'02_Eingaben'!$C$10,1,0))</f>
        <v/>
      </c>
      <c r="I2783" s="27">
        <f>IF(OR(G2783="",G2784=""),"",(G2783+G2784)/2*(B2784-B2783))</f>
        <v/>
      </c>
      <c r="J2783" s="27">
        <f>IF(B2783="","",IF(B2782&lt;'02_Eingaben'!$C$36,0,J2782+I2782/'02_Eingaben'!$C$8))</f>
        <v/>
      </c>
    </row>
    <row r="2784">
      <c r="A2784">
        <f>IF('01_Rohdaten'!A2784="","",ROW()-1)</f>
        <v/>
      </c>
      <c r="B2784" s="27">
        <f>IF('01_Rohdaten'!A2784="","",'01_Rohdaten'!A2784)</f>
        <v/>
      </c>
      <c r="C2784" s="27">
        <f>IF(B2784="","",INDEX('01_Rohdaten'!B2784:D2784,'02_Eingaben'!$C$13))</f>
        <v/>
      </c>
      <c r="D2784" s="27">
        <f>IF(C2784="","",C2784*'02_Eingaben'!$C$15)</f>
        <v/>
      </c>
      <c r="E2784" s="27">
        <f>IF(D2784="","",D2784*'02_Eingaben'!$C$8)</f>
        <v/>
      </c>
      <c r="F2784" s="27">
        <f>IF(E2784="","",AVERAGE(INDEX($E$2:$E$3001,MAX(1,ROW()-1-'02_Eingaben'!$C$17)):INDEX($E$2:$E$3001,MIN('02_Eingaben'!$C$21,ROW()-1+'02_Eingaben'!$C$17))))</f>
        <v/>
      </c>
      <c r="G2784" s="27">
        <f>IF(F2784="","",F2784-'02_Eingaben'!$C$10)</f>
        <v/>
      </c>
      <c r="H2784">
        <f>IF(F2784="","",IF(F2784&lt;'02_Eingaben'!$C$18*'02_Eingaben'!$C$10,1,0))</f>
        <v/>
      </c>
      <c r="I2784" s="27">
        <f>IF(OR(G2784="",G2785=""),"",(G2784+G2785)/2*(B2785-B2784))</f>
        <v/>
      </c>
      <c r="J2784" s="27">
        <f>IF(B2784="","",IF(B2783&lt;'02_Eingaben'!$C$36,0,J2783+I2783/'02_Eingaben'!$C$8))</f>
        <v/>
      </c>
    </row>
    <row r="2785">
      <c r="A2785">
        <f>IF('01_Rohdaten'!A2785="","",ROW()-1)</f>
        <v/>
      </c>
      <c r="B2785" s="27">
        <f>IF('01_Rohdaten'!A2785="","",'01_Rohdaten'!A2785)</f>
        <v/>
      </c>
      <c r="C2785" s="27">
        <f>IF(B2785="","",INDEX('01_Rohdaten'!B2785:D2785,'02_Eingaben'!$C$13))</f>
        <v/>
      </c>
      <c r="D2785" s="27">
        <f>IF(C2785="","",C2785*'02_Eingaben'!$C$15)</f>
        <v/>
      </c>
      <c r="E2785" s="27">
        <f>IF(D2785="","",D2785*'02_Eingaben'!$C$8)</f>
        <v/>
      </c>
      <c r="F2785" s="27">
        <f>IF(E2785="","",AVERAGE(INDEX($E$2:$E$3001,MAX(1,ROW()-1-'02_Eingaben'!$C$17)):INDEX($E$2:$E$3001,MIN('02_Eingaben'!$C$21,ROW()-1+'02_Eingaben'!$C$17))))</f>
        <v/>
      </c>
      <c r="G2785" s="27">
        <f>IF(F2785="","",F2785-'02_Eingaben'!$C$10)</f>
        <v/>
      </c>
      <c r="H2785">
        <f>IF(F2785="","",IF(F2785&lt;'02_Eingaben'!$C$18*'02_Eingaben'!$C$10,1,0))</f>
        <v/>
      </c>
      <c r="I2785" s="27">
        <f>IF(OR(G2785="",G2786=""),"",(G2785+G2786)/2*(B2786-B2785))</f>
        <v/>
      </c>
      <c r="J2785" s="27">
        <f>IF(B2785="","",IF(B2784&lt;'02_Eingaben'!$C$36,0,J2784+I2784/'02_Eingaben'!$C$8))</f>
        <v/>
      </c>
    </row>
    <row r="2786">
      <c r="A2786">
        <f>IF('01_Rohdaten'!A2786="","",ROW()-1)</f>
        <v/>
      </c>
      <c r="B2786" s="27">
        <f>IF('01_Rohdaten'!A2786="","",'01_Rohdaten'!A2786)</f>
        <v/>
      </c>
      <c r="C2786" s="27">
        <f>IF(B2786="","",INDEX('01_Rohdaten'!B2786:D2786,'02_Eingaben'!$C$13))</f>
        <v/>
      </c>
      <c r="D2786" s="27">
        <f>IF(C2786="","",C2786*'02_Eingaben'!$C$15)</f>
        <v/>
      </c>
      <c r="E2786" s="27">
        <f>IF(D2786="","",D2786*'02_Eingaben'!$C$8)</f>
        <v/>
      </c>
      <c r="F2786" s="27">
        <f>IF(E2786="","",AVERAGE(INDEX($E$2:$E$3001,MAX(1,ROW()-1-'02_Eingaben'!$C$17)):INDEX($E$2:$E$3001,MIN('02_Eingaben'!$C$21,ROW()-1+'02_Eingaben'!$C$17))))</f>
        <v/>
      </c>
      <c r="G2786" s="27">
        <f>IF(F2786="","",F2786-'02_Eingaben'!$C$10)</f>
        <v/>
      </c>
      <c r="H2786">
        <f>IF(F2786="","",IF(F2786&lt;'02_Eingaben'!$C$18*'02_Eingaben'!$C$10,1,0))</f>
        <v/>
      </c>
      <c r="I2786" s="27">
        <f>IF(OR(G2786="",G2787=""),"",(G2786+G2787)/2*(B2787-B2786))</f>
        <v/>
      </c>
      <c r="J2786" s="27">
        <f>IF(B2786="","",IF(B2785&lt;'02_Eingaben'!$C$36,0,J2785+I2785/'02_Eingaben'!$C$8))</f>
        <v/>
      </c>
    </row>
    <row r="2787">
      <c r="A2787">
        <f>IF('01_Rohdaten'!A2787="","",ROW()-1)</f>
        <v/>
      </c>
      <c r="B2787" s="27">
        <f>IF('01_Rohdaten'!A2787="","",'01_Rohdaten'!A2787)</f>
        <v/>
      </c>
      <c r="C2787" s="27">
        <f>IF(B2787="","",INDEX('01_Rohdaten'!B2787:D2787,'02_Eingaben'!$C$13))</f>
        <v/>
      </c>
      <c r="D2787" s="27">
        <f>IF(C2787="","",C2787*'02_Eingaben'!$C$15)</f>
        <v/>
      </c>
      <c r="E2787" s="27">
        <f>IF(D2787="","",D2787*'02_Eingaben'!$C$8)</f>
        <v/>
      </c>
      <c r="F2787" s="27">
        <f>IF(E2787="","",AVERAGE(INDEX($E$2:$E$3001,MAX(1,ROW()-1-'02_Eingaben'!$C$17)):INDEX($E$2:$E$3001,MIN('02_Eingaben'!$C$21,ROW()-1+'02_Eingaben'!$C$17))))</f>
        <v/>
      </c>
      <c r="G2787" s="27">
        <f>IF(F2787="","",F2787-'02_Eingaben'!$C$10)</f>
        <v/>
      </c>
      <c r="H2787">
        <f>IF(F2787="","",IF(F2787&lt;'02_Eingaben'!$C$18*'02_Eingaben'!$C$10,1,0))</f>
        <v/>
      </c>
      <c r="I2787" s="27">
        <f>IF(OR(G2787="",G2788=""),"",(G2787+G2788)/2*(B2788-B2787))</f>
        <v/>
      </c>
      <c r="J2787" s="27">
        <f>IF(B2787="","",IF(B2786&lt;'02_Eingaben'!$C$36,0,J2786+I2786/'02_Eingaben'!$C$8))</f>
        <v/>
      </c>
    </row>
    <row r="2788">
      <c r="A2788">
        <f>IF('01_Rohdaten'!A2788="","",ROW()-1)</f>
        <v/>
      </c>
      <c r="B2788" s="27">
        <f>IF('01_Rohdaten'!A2788="","",'01_Rohdaten'!A2788)</f>
        <v/>
      </c>
      <c r="C2788" s="27">
        <f>IF(B2788="","",INDEX('01_Rohdaten'!B2788:D2788,'02_Eingaben'!$C$13))</f>
        <v/>
      </c>
      <c r="D2788" s="27">
        <f>IF(C2788="","",C2788*'02_Eingaben'!$C$15)</f>
        <v/>
      </c>
      <c r="E2788" s="27">
        <f>IF(D2788="","",D2788*'02_Eingaben'!$C$8)</f>
        <v/>
      </c>
      <c r="F2788" s="27">
        <f>IF(E2788="","",AVERAGE(INDEX($E$2:$E$3001,MAX(1,ROW()-1-'02_Eingaben'!$C$17)):INDEX($E$2:$E$3001,MIN('02_Eingaben'!$C$21,ROW()-1+'02_Eingaben'!$C$17))))</f>
        <v/>
      </c>
      <c r="G2788" s="27">
        <f>IF(F2788="","",F2788-'02_Eingaben'!$C$10)</f>
        <v/>
      </c>
      <c r="H2788">
        <f>IF(F2788="","",IF(F2788&lt;'02_Eingaben'!$C$18*'02_Eingaben'!$C$10,1,0))</f>
        <v/>
      </c>
      <c r="I2788" s="27">
        <f>IF(OR(G2788="",G2789=""),"",(G2788+G2789)/2*(B2789-B2788))</f>
        <v/>
      </c>
      <c r="J2788" s="27">
        <f>IF(B2788="","",IF(B2787&lt;'02_Eingaben'!$C$36,0,J2787+I2787/'02_Eingaben'!$C$8))</f>
        <v/>
      </c>
    </row>
    <row r="2789">
      <c r="A2789">
        <f>IF('01_Rohdaten'!A2789="","",ROW()-1)</f>
        <v/>
      </c>
      <c r="B2789" s="27">
        <f>IF('01_Rohdaten'!A2789="","",'01_Rohdaten'!A2789)</f>
        <v/>
      </c>
      <c r="C2789" s="27">
        <f>IF(B2789="","",INDEX('01_Rohdaten'!B2789:D2789,'02_Eingaben'!$C$13))</f>
        <v/>
      </c>
      <c r="D2789" s="27">
        <f>IF(C2789="","",C2789*'02_Eingaben'!$C$15)</f>
        <v/>
      </c>
      <c r="E2789" s="27">
        <f>IF(D2789="","",D2789*'02_Eingaben'!$C$8)</f>
        <v/>
      </c>
      <c r="F2789" s="27">
        <f>IF(E2789="","",AVERAGE(INDEX($E$2:$E$3001,MAX(1,ROW()-1-'02_Eingaben'!$C$17)):INDEX($E$2:$E$3001,MIN('02_Eingaben'!$C$21,ROW()-1+'02_Eingaben'!$C$17))))</f>
        <v/>
      </c>
      <c r="G2789" s="27">
        <f>IF(F2789="","",F2789-'02_Eingaben'!$C$10)</f>
        <v/>
      </c>
      <c r="H2789">
        <f>IF(F2789="","",IF(F2789&lt;'02_Eingaben'!$C$18*'02_Eingaben'!$C$10,1,0))</f>
        <v/>
      </c>
      <c r="I2789" s="27">
        <f>IF(OR(G2789="",G2790=""),"",(G2789+G2790)/2*(B2790-B2789))</f>
        <v/>
      </c>
      <c r="J2789" s="27">
        <f>IF(B2789="","",IF(B2788&lt;'02_Eingaben'!$C$36,0,J2788+I2788/'02_Eingaben'!$C$8))</f>
        <v/>
      </c>
    </row>
    <row r="2790">
      <c r="A2790">
        <f>IF('01_Rohdaten'!A2790="","",ROW()-1)</f>
        <v/>
      </c>
      <c r="B2790" s="27">
        <f>IF('01_Rohdaten'!A2790="","",'01_Rohdaten'!A2790)</f>
        <v/>
      </c>
      <c r="C2790" s="27">
        <f>IF(B2790="","",INDEX('01_Rohdaten'!B2790:D2790,'02_Eingaben'!$C$13))</f>
        <v/>
      </c>
      <c r="D2790" s="27">
        <f>IF(C2790="","",C2790*'02_Eingaben'!$C$15)</f>
        <v/>
      </c>
      <c r="E2790" s="27">
        <f>IF(D2790="","",D2790*'02_Eingaben'!$C$8)</f>
        <v/>
      </c>
      <c r="F2790" s="27">
        <f>IF(E2790="","",AVERAGE(INDEX($E$2:$E$3001,MAX(1,ROW()-1-'02_Eingaben'!$C$17)):INDEX($E$2:$E$3001,MIN('02_Eingaben'!$C$21,ROW()-1+'02_Eingaben'!$C$17))))</f>
        <v/>
      </c>
      <c r="G2790" s="27">
        <f>IF(F2790="","",F2790-'02_Eingaben'!$C$10)</f>
        <v/>
      </c>
      <c r="H2790">
        <f>IF(F2790="","",IF(F2790&lt;'02_Eingaben'!$C$18*'02_Eingaben'!$C$10,1,0))</f>
        <v/>
      </c>
      <c r="I2790" s="27">
        <f>IF(OR(G2790="",G2791=""),"",(G2790+G2791)/2*(B2791-B2790))</f>
        <v/>
      </c>
      <c r="J2790" s="27">
        <f>IF(B2790="","",IF(B2789&lt;'02_Eingaben'!$C$36,0,J2789+I2789/'02_Eingaben'!$C$8))</f>
        <v/>
      </c>
    </row>
    <row r="2791">
      <c r="A2791">
        <f>IF('01_Rohdaten'!A2791="","",ROW()-1)</f>
        <v/>
      </c>
      <c r="B2791" s="27">
        <f>IF('01_Rohdaten'!A2791="","",'01_Rohdaten'!A2791)</f>
        <v/>
      </c>
      <c r="C2791" s="27">
        <f>IF(B2791="","",INDEX('01_Rohdaten'!B2791:D2791,'02_Eingaben'!$C$13))</f>
        <v/>
      </c>
      <c r="D2791" s="27">
        <f>IF(C2791="","",C2791*'02_Eingaben'!$C$15)</f>
        <v/>
      </c>
      <c r="E2791" s="27">
        <f>IF(D2791="","",D2791*'02_Eingaben'!$C$8)</f>
        <v/>
      </c>
      <c r="F2791" s="27">
        <f>IF(E2791="","",AVERAGE(INDEX($E$2:$E$3001,MAX(1,ROW()-1-'02_Eingaben'!$C$17)):INDEX($E$2:$E$3001,MIN('02_Eingaben'!$C$21,ROW()-1+'02_Eingaben'!$C$17))))</f>
        <v/>
      </c>
      <c r="G2791" s="27">
        <f>IF(F2791="","",F2791-'02_Eingaben'!$C$10)</f>
        <v/>
      </c>
      <c r="H2791">
        <f>IF(F2791="","",IF(F2791&lt;'02_Eingaben'!$C$18*'02_Eingaben'!$C$10,1,0))</f>
        <v/>
      </c>
      <c r="I2791" s="27">
        <f>IF(OR(G2791="",G2792=""),"",(G2791+G2792)/2*(B2792-B2791))</f>
        <v/>
      </c>
      <c r="J2791" s="27">
        <f>IF(B2791="","",IF(B2790&lt;'02_Eingaben'!$C$36,0,J2790+I2790/'02_Eingaben'!$C$8))</f>
        <v/>
      </c>
    </row>
    <row r="2792">
      <c r="A2792">
        <f>IF('01_Rohdaten'!A2792="","",ROW()-1)</f>
        <v/>
      </c>
      <c r="B2792" s="27">
        <f>IF('01_Rohdaten'!A2792="","",'01_Rohdaten'!A2792)</f>
        <v/>
      </c>
      <c r="C2792" s="27">
        <f>IF(B2792="","",INDEX('01_Rohdaten'!B2792:D2792,'02_Eingaben'!$C$13))</f>
        <v/>
      </c>
      <c r="D2792" s="27">
        <f>IF(C2792="","",C2792*'02_Eingaben'!$C$15)</f>
        <v/>
      </c>
      <c r="E2792" s="27">
        <f>IF(D2792="","",D2792*'02_Eingaben'!$C$8)</f>
        <v/>
      </c>
      <c r="F2792" s="27">
        <f>IF(E2792="","",AVERAGE(INDEX($E$2:$E$3001,MAX(1,ROW()-1-'02_Eingaben'!$C$17)):INDEX($E$2:$E$3001,MIN('02_Eingaben'!$C$21,ROW()-1+'02_Eingaben'!$C$17))))</f>
        <v/>
      </c>
      <c r="G2792" s="27">
        <f>IF(F2792="","",F2792-'02_Eingaben'!$C$10)</f>
        <v/>
      </c>
      <c r="H2792">
        <f>IF(F2792="","",IF(F2792&lt;'02_Eingaben'!$C$18*'02_Eingaben'!$C$10,1,0))</f>
        <v/>
      </c>
      <c r="I2792" s="27">
        <f>IF(OR(G2792="",G2793=""),"",(G2792+G2793)/2*(B2793-B2792))</f>
        <v/>
      </c>
      <c r="J2792" s="27">
        <f>IF(B2792="","",IF(B2791&lt;'02_Eingaben'!$C$36,0,J2791+I2791/'02_Eingaben'!$C$8))</f>
        <v/>
      </c>
    </row>
    <row r="2793">
      <c r="A2793">
        <f>IF('01_Rohdaten'!A2793="","",ROW()-1)</f>
        <v/>
      </c>
      <c r="B2793" s="27">
        <f>IF('01_Rohdaten'!A2793="","",'01_Rohdaten'!A2793)</f>
        <v/>
      </c>
      <c r="C2793" s="27">
        <f>IF(B2793="","",INDEX('01_Rohdaten'!B2793:D2793,'02_Eingaben'!$C$13))</f>
        <v/>
      </c>
      <c r="D2793" s="27">
        <f>IF(C2793="","",C2793*'02_Eingaben'!$C$15)</f>
        <v/>
      </c>
      <c r="E2793" s="27">
        <f>IF(D2793="","",D2793*'02_Eingaben'!$C$8)</f>
        <v/>
      </c>
      <c r="F2793" s="27">
        <f>IF(E2793="","",AVERAGE(INDEX($E$2:$E$3001,MAX(1,ROW()-1-'02_Eingaben'!$C$17)):INDEX($E$2:$E$3001,MIN('02_Eingaben'!$C$21,ROW()-1+'02_Eingaben'!$C$17))))</f>
        <v/>
      </c>
      <c r="G2793" s="27">
        <f>IF(F2793="","",F2793-'02_Eingaben'!$C$10)</f>
        <v/>
      </c>
      <c r="H2793">
        <f>IF(F2793="","",IF(F2793&lt;'02_Eingaben'!$C$18*'02_Eingaben'!$C$10,1,0))</f>
        <v/>
      </c>
      <c r="I2793" s="27">
        <f>IF(OR(G2793="",G2794=""),"",(G2793+G2794)/2*(B2794-B2793))</f>
        <v/>
      </c>
      <c r="J2793" s="27">
        <f>IF(B2793="","",IF(B2792&lt;'02_Eingaben'!$C$36,0,J2792+I2792/'02_Eingaben'!$C$8))</f>
        <v/>
      </c>
    </row>
    <row r="2794">
      <c r="A2794">
        <f>IF('01_Rohdaten'!A2794="","",ROW()-1)</f>
        <v/>
      </c>
      <c r="B2794" s="27">
        <f>IF('01_Rohdaten'!A2794="","",'01_Rohdaten'!A2794)</f>
        <v/>
      </c>
      <c r="C2794" s="27">
        <f>IF(B2794="","",INDEX('01_Rohdaten'!B2794:D2794,'02_Eingaben'!$C$13))</f>
        <v/>
      </c>
      <c r="D2794" s="27">
        <f>IF(C2794="","",C2794*'02_Eingaben'!$C$15)</f>
        <v/>
      </c>
      <c r="E2794" s="27">
        <f>IF(D2794="","",D2794*'02_Eingaben'!$C$8)</f>
        <v/>
      </c>
      <c r="F2794" s="27">
        <f>IF(E2794="","",AVERAGE(INDEX($E$2:$E$3001,MAX(1,ROW()-1-'02_Eingaben'!$C$17)):INDEX($E$2:$E$3001,MIN('02_Eingaben'!$C$21,ROW()-1+'02_Eingaben'!$C$17))))</f>
        <v/>
      </c>
      <c r="G2794" s="27">
        <f>IF(F2794="","",F2794-'02_Eingaben'!$C$10)</f>
        <v/>
      </c>
      <c r="H2794">
        <f>IF(F2794="","",IF(F2794&lt;'02_Eingaben'!$C$18*'02_Eingaben'!$C$10,1,0))</f>
        <v/>
      </c>
      <c r="I2794" s="27">
        <f>IF(OR(G2794="",G2795=""),"",(G2794+G2795)/2*(B2795-B2794))</f>
        <v/>
      </c>
      <c r="J2794" s="27">
        <f>IF(B2794="","",IF(B2793&lt;'02_Eingaben'!$C$36,0,J2793+I2793/'02_Eingaben'!$C$8))</f>
        <v/>
      </c>
    </row>
    <row r="2795">
      <c r="A2795">
        <f>IF('01_Rohdaten'!A2795="","",ROW()-1)</f>
        <v/>
      </c>
      <c r="B2795" s="27">
        <f>IF('01_Rohdaten'!A2795="","",'01_Rohdaten'!A2795)</f>
        <v/>
      </c>
      <c r="C2795" s="27">
        <f>IF(B2795="","",INDEX('01_Rohdaten'!B2795:D2795,'02_Eingaben'!$C$13))</f>
        <v/>
      </c>
      <c r="D2795" s="27">
        <f>IF(C2795="","",C2795*'02_Eingaben'!$C$15)</f>
        <v/>
      </c>
      <c r="E2795" s="27">
        <f>IF(D2795="","",D2795*'02_Eingaben'!$C$8)</f>
        <v/>
      </c>
      <c r="F2795" s="27">
        <f>IF(E2795="","",AVERAGE(INDEX($E$2:$E$3001,MAX(1,ROW()-1-'02_Eingaben'!$C$17)):INDEX($E$2:$E$3001,MIN('02_Eingaben'!$C$21,ROW()-1+'02_Eingaben'!$C$17))))</f>
        <v/>
      </c>
      <c r="G2795" s="27">
        <f>IF(F2795="","",F2795-'02_Eingaben'!$C$10)</f>
        <v/>
      </c>
      <c r="H2795">
        <f>IF(F2795="","",IF(F2795&lt;'02_Eingaben'!$C$18*'02_Eingaben'!$C$10,1,0))</f>
        <v/>
      </c>
      <c r="I2795" s="27">
        <f>IF(OR(G2795="",G2796=""),"",(G2795+G2796)/2*(B2796-B2795))</f>
        <v/>
      </c>
      <c r="J2795" s="27">
        <f>IF(B2795="","",IF(B2794&lt;'02_Eingaben'!$C$36,0,J2794+I2794/'02_Eingaben'!$C$8))</f>
        <v/>
      </c>
    </row>
    <row r="2796">
      <c r="A2796">
        <f>IF('01_Rohdaten'!A2796="","",ROW()-1)</f>
        <v/>
      </c>
      <c r="B2796" s="27">
        <f>IF('01_Rohdaten'!A2796="","",'01_Rohdaten'!A2796)</f>
        <v/>
      </c>
      <c r="C2796" s="27">
        <f>IF(B2796="","",INDEX('01_Rohdaten'!B2796:D2796,'02_Eingaben'!$C$13))</f>
        <v/>
      </c>
      <c r="D2796" s="27">
        <f>IF(C2796="","",C2796*'02_Eingaben'!$C$15)</f>
        <v/>
      </c>
      <c r="E2796" s="27">
        <f>IF(D2796="","",D2796*'02_Eingaben'!$C$8)</f>
        <v/>
      </c>
      <c r="F2796" s="27">
        <f>IF(E2796="","",AVERAGE(INDEX($E$2:$E$3001,MAX(1,ROW()-1-'02_Eingaben'!$C$17)):INDEX($E$2:$E$3001,MIN('02_Eingaben'!$C$21,ROW()-1+'02_Eingaben'!$C$17))))</f>
        <v/>
      </c>
      <c r="G2796" s="27">
        <f>IF(F2796="","",F2796-'02_Eingaben'!$C$10)</f>
        <v/>
      </c>
      <c r="H2796">
        <f>IF(F2796="","",IF(F2796&lt;'02_Eingaben'!$C$18*'02_Eingaben'!$C$10,1,0))</f>
        <v/>
      </c>
      <c r="I2796" s="27">
        <f>IF(OR(G2796="",G2797=""),"",(G2796+G2797)/2*(B2797-B2796))</f>
        <v/>
      </c>
      <c r="J2796" s="27">
        <f>IF(B2796="","",IF(B2795&lt;'02_Eingaben'!$C$36,0,J2795+I2795/'02_Eingaben'!$C$8))</f>
        <v/>
      </c>
    </row>
    <row r="2797">
      <c r="A2797">
        <f>IF('01_Rohdaten'!A2797="","",ROW()-1)</f>
        <v/>
      </c>
      <c r="B2797" s="27">
        <f>IF('01_Rohdaten'!A2797="","",'01_Rohdaten'!A2797)</f>
        <v/>
      </c>
      <c r="C2797" s="27">
        <f>IF(B2797="","",INDEX('01_Rohdaten'!B2797:D2797,'02_Eingaben'!$C$13))</f>
        <v/>
      </c>
      <c r="D2797" s="27">
        <f>IF(C2797="","",C2797*'02_Eingaben'!$C$15)</f>
        <v/>
      </c>
      <c r="E2797" s="27">
        <f>IF(D2797="","",D2797*'02_Eingaben'!$C$8)</f>
        <v/>
      </c>
      <c r="F2797" s="27">
        <f>IF(E2797="","",AVERAGE(INDEX($E$2:$E$3001,MAX(1,ROW()-1-'02_Eingaben'!$C$17)):INDEX($E$2:$E$3001,MIN('02_Eingaben'!$C$21,ROW()-1+'02_Eingaben'!$C$17))))</f>
        <v/>
      </c>
      <c r="G2797" s="27">
        <f>IF(F2797="","",F2797-'02_Eingaben'!$C$10)</f>
        <v/>
      </c>
      <c r="H2797">
        <f>IF(F2797="","",IF(F2797&lt;'02_Eingaben'!$C$18*'02_Eingaben'!$C$10,1,0))</f>
        <v/>
      </c>
      <c r="I2797" s="27">
        <f>IF(OR(G2797="",G2798=""),"",(G2797+G2798)/2*(B2798-B2797))</f>
        <v/>
      </c>
      <c r="J2797" s="27">
        <f>IF(B2797="","",IF(B2796&lt;'02_Eingaben'!$C$36,0,J2796+I2796/'02_Eingaben'!$C$8))</f>
        <v/>
      </c>
    </row>
    <row r="2798">
      <c r="A2798">
        <f>IF('01_Rohdaten'!A2798="","",ROW()-1)</f>
        <v/>
      </c>
      <c r="B2798" s="27">
        <f>IF('01_Rohdaten'!A2798="","",'01_Rohdaten'!A2798)</f>
        <v/>
      </c>
      <c r="C2798" s="27">
        <f>IF(B2798="","",INDEX('01_Rohdaten'!B2798:D2798,'02_Eingaben'!$C$13))</f>
        <v/>
      </c>
      <c r="D2798" s="27">
        <f>IF(C2798="","",C2798*'02_Eingaben'!$C$15)</f>
        <v/>
      </c>
      <c r="E2798" s="27">
        <f>IF(D2798="","",D2798*'02_Eingaben'!$C$8)</f>
        <v/>
      </c>
      <c r="F2798" s="27">
        <f>IF(E2798="","",AVERAGE(INDEX($E$2:$E$3001,MAX(1,ROW()-1-'02_Eingaben'!$C$17)):INDEX($E$2:$E$3001,MIN('02_Eingaben'!$C$21,ROW()-1+'02_Eingaben'!$C$17))))</f>
        <v/>
      </c>
      <c r="G2798" s="27">
        <f>IF(F2798="","",F2798-'02_Eingaben'!$C$10)</f>
        <v/>
      </c>
      <c r="H2798">
        <f>IF(F2798="","",IF(F2798&lt;'02_Eingaben'!$C$18*'02_Eingaben'!$C$10,1,0))</f>
        <v/>
      </c>
      <c r="I2798" s="27">
        <f>IF(OR(G2798="",G2799=""),"",(G2798+G2799)/2*(B2799-B2798))</f>
        <v/>
      </c>
      <c r="J2798" s="27">
        <f>IF(B2798="","",IF(B2797&lt;'02_Eingaben'!$C$36,0,J2797+I2797/'02_Eingaben'!$C$8))</f>
        <v/>
      </c>
    </row>
    <row r="2799">
      <c r="A2799">
        <f>IF('01_Rohdaten'!A2799="","",ROW()-1)</f>
        <v/>
      </c>
      <c r="B2799" s="27">
        <f>IF('01_Rohdaten'!A2799="","",'01_Rohdaten'!A2799)</f>
        <v/>
      </c>
      <c r="C2799" s="27">
        <f>IF(B2799="","",INDEX('01_Rohdaten'!B2799:D2799,'02_Eingaben'!$C$13))</f>
        <v/>
      </c>
      <c r="D2799" s="27">
        <f>IF(C2799="","",C2799*'02_Eingaben'!$C$15)</f>
        <v/>
      </c>
      <c r="E2799" s="27">
        <f>IF(D2799="","",D2799*'02_Eingaben'!$C$8)</f>
        <v/>
      </c>
      <c r="F2799" s="27">
        <f>IF(E2799="","",AVERAGE(INDEX($E$2:$E$3001,MAX(1,ROW()-1-'02_Eingaben'!$C$17)):INDEX($E$2:$E$3001,MIN('02_Eingaben'!$C$21,ROW()-1+'02_Eingaben'!$C$17))))</f>
        <v/>
      </c>
      <c r="G2799" s="27">
        <f>IF(F2799="","",F2799-'02_Eingaben'!$C$10)</f>
        <v/>
      </c>
      <c r="H2799">
        <f>IF(F2799="","",IF(F2799&lt;'02_Eingaben'!$C$18*'02_Eingaben'!$C$10,1,0))</f>
        <v/>
      </c>
      <c r="I2799" s="27">
        <f>IF(OR(G2799="",G2800=""),"",(G2799+G2800)/2*(B2800-B2799))</f>
        <v/>
      </c>
      <c r="J2799" s="27">
        <f>IF(B2799="","",IF(B2798&lt;'02_Eingaben'!$C$36,0,J2798+I2798/'02_Eingaben'!$C$8))</f>
        <v/>
      </c>
    </row>
    <row r="2800">
      <c r="A2800">
        <f>IF('01_Rohdaten'!A2800="","",ROW()-1)</f>
        <v/>
      </c>
      <c r="B2800" s="27">
        <f>IF('01_Rohdaten'!A2800="","",'01_Rohdaten'!A2800)</f>
        <v/>
      </c>
      <c r="C2800" s="27">
        <f>IF(B2800="","",INDEX('01_Rohdaten'!B2800:D2800,'02_Eingaben'!$C$13))</f>
        <v/>
      </c>
      <c r="D2800" s="27">
        <f>IF(C2800="","",C2800*'02_Eingaben'!$C$15)</f>
        <v/>
      </c>
      <c r="E2800" s="27">
        <f>IF(D2800="","",D2800*'02_Eingaben'!$C$8)</f>
        <v/>
      </c>
      <c r="F2800" s="27">
        <f>IF(E2800="","",AVERAGE(INDEX($E$2:$E$3001,MAX(1,ROW()-1-'02_Eingaben'!$C$17)):INDEX($E$2:$E$3001,MIN('02_Eingaben'!$C$21,ROW()-1+'02_Eingaben'!$C$17))))</f>
        <v/>
      </c>
      <c r="G2800" s="27">
        <f>IF(F2800="","",F2800-'02_Eingaben'!$C$10)</f>
        <v/>
      </c>
      <c r="H2800">
        <f>IF(F2800="","",IF(F2800&lt;'02_Eingaben'!$C$18*'02_Eingaben'!$C$10,1,0))</f>
        <v/>
      </c>
      <c r="I2800" s="27">
        <f>IF(OR(G2800="",G2801=""),"",(G2800+G2801)/2*(B2801-B2800))</f>
        <v/>
      </c>
      <c r="J2800" s="27">
        <f>IF(B2800="","",IF(B2799&lt;'02_Eingaben'!$C$36,0,J2799+I2799/'02_Eingaben'!$C$8))</f>
        <v/>
      </c>
    </row>
    <row r="2801">
      <c r="A2801">
        <f>IF('01_Rohdaten'!A2801="","",ROW()-1)</f>
        <v/>
      </c>
      <c r="B2801" s="27">
        <f>IF('01_Rohdaten'!A2801="","",'01_Rohdaten'!A2801)</f>
        <v/>
      </c>
      <c r="C2801" s="27">
        <f>IF(B2801="","",INDEX('01_Rohdaten'!B2801:D2801,'02_Eingaben'!$C$13))</f>
        <v/>
      </c>
      <c r="D2801" s="27">
        <f>IF(C2801="","",C2801*'02_Eingaben'!$C$15)</f>
        <v/>
      </c>
      <c r="E2801" s="27">
        <f>IF(D2801="","",D2801*'02_Eingaben'!$C$8)</f>
        <v/>
      </c>
      <c r="F2801" s="27">
        <f>IF(E2801="","",AVERAGE(INDEX($E$2:$E$3001,MAX(1,ROW()-1-'02_Eingaben'!$C$17)):INDEX($E$2:$E$3001,MIN('02_Eingaben'!$C$21,ROW()-1+'02_Eingaben'!$C$17))))</f>
        <v/>
      </c>
      <c r="G2801" s="27">
        <f>IF(F2801="","",F2801-'02_Eingaben'!$C$10)</f>
        <v/>
      </c>
      <c r="H2801">
        <f>IF(F2801="","",IF(F2801&lt;'02_Eingaben'!$C$18*'02_Eingaben'!$C$10,1,0))</f>
        <v/>
      </c>
      <c r="I2801" s="27">
        <f>IF(OR(G2801="",G2802=""),"",(G2801+G2802)/2*(B2802-B2801))</f>
        <v/>
      </c>
      <c r="J2801" s="27">
        <f>IF(B2801="","",IF(B2800&lt;'02_Eingaben'!$C$36,0,J2800+I2800/'02_Eingaben'!$C$8))</f>
        <v/>
      </c>
    </row>
    <row r="2802">
      <c r="A2802">
        <f>IF('01_Rohdaten'!A2802="","",ROW()-1)</f>
        <v/>
      </c>
      <c r="B2802" s="27">
        <f>IF('01_Rohdaten'!A2802="","",'01_Rohdaten'!A2802)</f>
        <v/>
      </c>
      <c r="C2802" s="27">
        <f>IF(B2802="","",INDEX('01_Rohdaten'!B2802:D2802,'02_Eingaben'!$C$13))</f>
        <v/>
      </c>
      <c r="D2802" s="27">
        <f>IF(C2802="","",C2802*'02_Eingaben'!$C$15)</f>
        <v/>
      </c>
      <c r="E2802" s="27">
        <f>IF(D2802="","",D2802*'02_Eingaben'!$C$8)</f>
        <v/>
      </c>
      <c r="F2802" s="27">
        <f>IF(E2802="","",AVERAGE(INDEX($E$2:$E$3001,MAX(1,ROW()-1-'02_Eingaben'!$C$17)):INDEX($E$2:$E$3001,MIN('02_Eingaben'!$C$21,ROW()-1+'02_Eingaben'!$C$17))))</f>
        <v/>
      </c>
      <c r="G2802" s="27">
        <f>IF(F2802="","",F2802-'02_Eingaben'!$C$10)</f>
        <v/>
      </c>
      <c r="H2802">
        <f>IF(F2802="","",IF(F2802&lt;'02_Eingaben'!$C$18*'02_Eingaben'!$C$10,1,0))</f>
        <v/>
      </c>
      <c r="I2802" s="27">
        <f>IF(OR(G2802="",G2803=""),"",(G2802+G2803)/2*(B2803-B2802))</f>
        <v/>
      </c>
      <c r="J2802" s="27">
        <f>IF(B2802="","",IF(B2801&lt;'02_Eingaben'!$C$36,0,J2801+I2801/'02_Eingaben'!$C$8))</f>
        <v/>
      </c>
    </row>
    <row r="2803">
      <c r="A2803">
        <f>IF('01_Rohdaten'!A2803="","",ROW()-1)</f>
        <v/>
      </c>
      <c r="B2803" s="27">
        <f>IF('01_Rohdaten'!A2803="","",'01_Rohdaten'!A2803)</f>
        <v/>
      </c>
      <c r="C2803" s="27">
        <f>IF(B2803="","",INDEX('01_Rohdaten'!B2803:D2803,'02_Eingaben'!$C$13))</f>
        <v/>
      </c>
      <c r="D2803" s="27">
        <f>IF(C2803="","",C2803*'02_Eingaben'!$C$15)</f>
        <v/>
      </c>
      <c r="E2803" s="27">
        <f>IF(D2803="","",D2803*'02_Eingaben'!$C$8)</f>
        <v/>
      </c>
      <c r="F2803" s="27">
        <f>IF(E2803="","",AVERAGE(INDEX($E$2:$E$3001,MAX(1,ROW()-1-'02_Eingaben'!$C$17)):INDEX($E$2:$E$3001,MIN('02_Eingaben'!$C$21,ROW()-1+'02_Eingaben'!$C$17))))</f>
        <v/>
      </c>
      <c r="G2803" s="27">
        <f>IF(F2803="","",F2803-'02_Eingaben'!$C$10)</f>
        <v/>
      </c>
      <c r="H2803">
        <f>IF(F2803="","",IF(F2803&lt;'02_Eingaben'!$C$18*'02_Eingaben'!$C$10,1,0))</f>
        <v/>
      </c>
      <c r="I2803" s="27">
        <f>IF(OR(G2803="",G2804=""),"",(G2803+G2804)/2*(B2804-B2803))</f>
        <v/>
      </c>
      <c r="J2803" s="27">
        <f>IF(B2803="","",IF(B2802&lt;'02_Eingaben'!$C$36,0,J2802+I2802/'02_Eingaben'!$C$8))</f>
        <v/>
      </c>
    </row>
    <row r="2804">
      <c r="A2804">
        <f>IF('01_Rohdaten'!A2804="","",ROW()-1)</f>
        <v/>
      </c>
      <c r="B2804" s="27">
        <f>IF('01_Rohdaten'!A2804="","",'01_Rohdaten'!A2804)</f>
        <v/>
      </c>
      <c r="C2804" s="27">
        <f>IF(B2804="","",INDEX('01_Rohdaten'!B2804:D2804,'02_Eingaben'!$C$13))</f>
        <v/>
      </c>
      <c r="D2804" s="27">
        <f>IF(C2804="","",C2804*'02_Eingaben'!$C$15)</f>
        <v/>
      </c>
      <c r="E2804" s="27">
        <f>IF(D2804="","",D2804*'02_Eingaben'!$C$8)</f>
        <v/>
      </c>
      <c r="F2804" s="27">
        <f>IF(E2804="","",AVERAGE(INDEX($E$2:$E$3001,MAX(1,ROW()-1-'02_Eingaben'!$C$17)):INDEX($E$2:$E$3001,MIN('02_Eingaben'!$C$21,ROW()-1+'02_Eingaben'!$C$17))))</f>
        <v/>
      </c>
      <c r="G2804" s="27">
        <f>IF(F2804="","",F2804-'02_Eingaben'!$C$10)</f>
        <v/>
      </c>
      <c r="H2804">
        <f>IF(F2804="","",IF(F2804&lt;'02_Eingaben'!$C$18*'02_Eingaben'!$C$10,1,0))</f>
        <v/>
      </c>
      <c r="I2804" s="27">
        <f>IF(OR(G2804="",G2805=""),"",(G2804+G2805)/2*(B2805-B2804))</f>
        <v/>
      </c>
      <c r="J2804" s="27">
        <f>IF(B2804="","",IF(B2803&lt;'02_Eingaben'!$C$36,0,J2803+I2803/'02_Eingaben'!$C$8))</f>
        <v/>
      </c>
    </row>
    <row r="2805">
      <c r="A2805">
        <f>IF('01_Rohdaten'!A2805="","",ROW()-1)</f>
        <v/>
      </c>
      <c r="B2805" s="27">
        <f>IF('01_Rohdaten'!A2805="","",'01_Rohdaten'!A2805)</f>
        <v/>
      </c>
      <c r="C2805" s="27">
        <f>IF(B2805="","",INDEX('01_Rohdaten'!B2805:D2805,'02_Eingaben'!$C$13))</f>
        <v/>
      </c>
      <c r="D2805" s="27">
        <f>IF(C2805="","",C2805*'02_Eingaben'!$C$15)</f>
        <v/>
      </c>
      <c r="E2805" s="27">
        <f>IF(D2805="","",D2805*'02_Eingaben'!$C$8)</f>
        <v/>
      </c>
      <c r="F2805" s="27">
        <f>IF(E2805="","",AVERAGE(INDEX($E$2:$E$3001,MAX(1,ROW()-1-'02_Eingaben'!$C$17)):INDEX($E$2:$E$3001,MIN('02_Eingaben'!$C$21,ROW()-1+'02_Eingaben'!$C$17))))</f>
        <v/>
      </c>
      <c r="G2805" s="27">
        <f>IF(F2805="","",F2805-'02_Eingaben'!$C$10)</f>
        <v/>
      </c>
      <c r="H2805">
        <f>IF(F2805="","",IF(F2805&lt;'02_Eingaben'!$C$18*'02_Eingaben'!$C$10,1,0))</f>
        <v/>
      </c>
      <c r="I2805" s="27">
        <f>IF(OR(G2805="",G2806=""),"",(G2805+G2806)/2*(B2806-B2805))</f>
        <v/>
      </c>
      <c r="J2805" s="27">
        <f>IF(B2805="","",IF(B2804&lt;'02_Eingaben'!$C$36,0,J2804+I2804/'02_Eingaben'!$C$8))</f>
        <v/>
      </c>
    </row>
    <row r="2806">
      <c r="A2806">
        <f>IF('01_Rohdaten'!A2806="","",ROW()-1)</f>
        <v/>
      </c>
      <c r="B2806" s="27">
        <f>IF('01_Rohdaten'!A2806="","",'01_Rohdaten'!A2806)</f>
        <v/>
      </c>
      <c r="C2806" s="27">
        <f>IF(B2806="","",INDEX('01_Rohdaten'!B2806:D2806,'02_Eingaben'!$C$13))</f>
        <v/>
      </c>
      <c r="D2806" s="27">
        <f>IF(C2806="","",C2806*'02_Eingaben'!$C$15)</f>
        <v/>
      </c>
      <c r="E2806" s="27">
        <f>IF(D2806="","",D2806*'02_Eingaben'!$C$8)</f>
        <v/>
      </c>
      <c r="F2806" s="27">
        <f>IF(E2806="","",AVERAGE(INDEX($E$2:$E$3001,MAX(1,ROW()-1-'02_Eingaben'!$C$17)):INDEX($E$2:$E$3001,MIN('02_Eingaben'!$C$21,ROW()-1+'02_Eingaben'!$C$17))))</f>
        <v/>
      </c>
      <c r="G2806" s="27">
        <f>IF(F2806="","",F2806-'02_Eingaben'!$C$10)</f>
        <v/>
      </c>
      <c r="H2806">
        <f>IF(F2806="","",IF(F2806&lt;'02_Eingaben'!$C$18*'02_Eingaben'!$C$10,1,0))</f>
        <v/>
      </c>
      <c r="I2806" s="27">
        <f>IF(OR(G2806="",G2807=""),"",(G2806+G2807)/2*(B2807-B2806))</f>
        <v/>
      </c>
      <c r="J2806" s="27">
        <f>IF(B2806="","",IF(B2805&lt;'02_Eingaben'!$C$36,0,J2805+I2805/'02_Eingaben'!$C$8))</f>
        <v/>
      </c>
    </row>
    <row r="2807">
      <c r="A2807">
        <f>IF('01_Rohdaten'!A2807="","",ROW()-1)</f>
        <v/>
      </c>
      <c r="B2807" s="27">
        <f>IF('01_Rohdaten'!A2807="","",'01_Rohdaten'!A2807)</f>
        <v/>
      </c>
      <c r="C2807" s="27">
        <f>IF(B2807="","",INDEX('01_Rohdaten'!B2807:D2807,'02_Eingaben'!$C$13))</f>
        <v/>
      </c>
      <c r="D2807" s="27">
        <f>IF(C2807="","",C2807*'02_Eingaben'!$C$15)</f>
        <v/>
      </c>
      <c r="E2807" s="27">
        <f>IF(D2807="","",D2807*'02_Eingaben'!$C$8)</f>
        <v/>
      </c>
      <c r="F2807" s="27">
        <f>IF(E2807="","",AVERAGE(INDEX($E$2:$E$3001,MAX(1,ROW()-1-'02_Eingaben'!$C$17)):INDEX($E$2:$E$3001,MIN('02_Eingaben'!$C$21,ROW()-1+'02_Eingaben'!$C$17))))</f>
        <v/>
      </c>
      <c r="G2807" s="27">
        <f>IF(F2807="","",F2807-'02_Eingaben'!$C$10)</f>
        <v/>
      </c>
      <c r="H2807">
        <f>IF(F2807="","",IF(F2807&lt;'02_Eingaben'!$C$18*'02_Eingaben'!$C$10,1,0))</f>
        <v/>
      </c>
      <c r="I2807" s="27">
        <f>IF(OR(G2807="",G2808=""),"",(G2807+G2808)/2*(B2808-B2807))</f>
        <v/>
      </c>
      <c r="J2807" s="27">
        <f>IF(B2807="","",IF(B2806&lt;'02_Eingaben'!$C$36,0,J2806+I2806/'02_Eingaben'!$C$8))</f>
        <v/>
      </c>
    </row>
    <row r="2808">
      <c r="A2808">
        <f>IF('01_Rohdaten'!A2808="","",ROW()-1)</f>
        <v/>
      </c>
      <c r="B2808" s="27">
        <f>IF('01_Rohdaten'!A2808="","",'01_Rohdaten'!A2808)</f>
        <v/>
      </c>
      <c r="C2808" s="27">
        <f>IF(B2808="","",INDEX('01_Rohdaten'!B2808:D2808,'02_Eingaben'!$C$13))</f>
        <v/>
      </c>
      <c r="D2808" s="27">
        <f>IF(C2808="","",C2808*'02_Eingaben'!$C$15)</f>
        <v/>
      </c>
      <c r="E2808" s="27">
        <f>IF(D2808="","",D2808*'02_Eingaben'!$C$8)</f>
        <v/>
      </c>
      <c r="F2808" s="27">
        <f>IF(E2808="","",AVERAGE(INDEX($E$2:$E$3001,MAX(1,ROW()-1-'02_Eingaben'!$C$17)):INDEX($E$2:$E$3001,MIN('02_Eingaben'!$C$21,ROW()-1+'02_Eingaben'!$C$17))))</f>
        <v/>
      </c>
      <c r="G2808" s="27">
        <f>IF(F2808="","",F2808-'02_Eingaben'!$C$10)</f>
        <v/>
      </c>
      <c r="H2808">
        <f>IF(F2808="","",IF(F2808&lt;'02_Eingaben'!$C$18*'02_Eingaben'!$C$10,1,0))</f>
        <v/>
      </c>
      <c r="I2808" s="27">
        <f>IF(OR(G2808="",G2809=""),"",(G2808+G2809)/2*(B2809-B2808))</f>
        <v/>
      </c>
      <c r="J2808" s="27">
        <f>IF(B2808="","",IF(B2807&lt;'02_Eingaben'!$C$36,0,J2807+I2807/'02_Eingaben'!$C$8))</f>
        <v/>
      </c>
    </row>
    <row r="2809">
      <c r="A2809">
        <f>IF('01_Rohdaten'!A2809="","",ROW()-1)</f>
        <v/>
      </c>
      <c r="B2809" s="27">
        <f>IF('01_Rohdaten'!A2809="","",'01_Rohdaten'!A2809)</f>
        <v/>
      </c>
      <c r="C2809" s="27">
        <f>IF(B2809="","",INDEX('01_Rohdaten'!B2809:D2809,'02_Eingaben'!$C$13))</f>
        <v/>
      </c>
      <c r="D2809" s="27">
        <f>IF(C2809="","",C2809*'02_Eingaben'!$C$15)</f>
        <v/>
      </c>
      <c r="E2809" s="27">
        <f>IF(D2809="","",D2809*'02_Eingaben'!$C$8)</f>
        <v/>
      </c>
      <c r="F2809" s="27">
        <f>IF(E2809="","",AVERAGE(INDEX($E$2:$E$3001,MAX(1,ROW()-1-'02_Eingaben'!$C$17)):INDEX($E$2:$E$3001,MIN('02_Eingaben'!$C$21,ROW()-1+'02_Eingaben'!$C$17))))</f>
        <v/>
      </c>
      <c r="G2809" s="27">
        <f>IF(F2809="","",F2809-'02_Eingaben'!$C$10)</f>
        <v/>
      </c>
      <c r="H2809">
        <f>IF(F2809="","",IF(F2809&lt;'02_Eingaben'!$C$18*'02_Eingaben'!$C$10,1,0))</f>
        <v/>
      </c>
      <c r="I2809" s="27">
        <f>IF(OR(G2809="",G2810=""),"",(G2809+G2810)/2*(B2810-B2809))</f>
        <v/>
      </c>
      <c r="J2809" s="27">
        <f>IF(B2809="","",IF(B2808&lt;'02_Eingaben'!$C$36,0,J2808+I2808/'02_Eingaben'!$C$8))</f>
        <v/>
      </c>
    </row>
    <row r="2810">
      <c r="A2810">
        <f>IF('01_Rohdaten'!A2810="","",ROW()-1)</f>
        <v/>
      </c>
      <c r="B2810" s="27">
        <f>IF('01_Rohdaten'!A2810="","",'01_Rohdaten'!A2810)</f>
        <v/>
      </c>
      <c r="C2810" s="27">
        <f>IF(B2810="","",INDEX('01_Rohdaten'!B2810:D2810,'02_Eingaben'!$C$13))</f>
        <v/>
      </c>
      <c r="D2810" s="27">
        <f>IF(C2810="","",C2810*'02_Eingaben'!$C$15)</f>
        <v/>
      </c>
      <c r="E2810" s="27">
        <f>IF(D2810="","",D2810*'02_Eingaben'!$C$8)</f>
        <v/>
      </c>
      <c r="F2810" s="27">
        <f>IF(E2810="","",AVERAGE(INDEX($E$2:$E$3001,MAX(1,ROW()-1-'02_Eingaben'!$C$17)):INDEX($E$2:$E$3001,MIN('02_Eingaben'!$C$21,ROW()-1+'02_Eingaben'!$C$17))))</f>
        <v/>
      </c>
      <c r="G2810" s="27">
        <f>IF(F2810="","",F2810-'02_Eingaben'!$C$10)</f>
        <v/>
      </c>
      <c r="H2810">
        <f>IF(F2810="","",IF(F2810&lt;'02_Eingaben'!$C$18*'02_Eingaben'!$C$10,1,0))</f>
        <v/>
      </c>
      <c r="I2810" s="27">
        <f>IF(OR(G2810="",G2811=""),"",(G2810+G2811)/2*(B2811-B2810))</f>
        <v/>
      </c>
      <c r="J2810" s="27">
        <f>IF(B2810="","",IF(B2809&lt;'02_Eingaben'!$C$36,0,J2809+I2809/'02_Eingaben'!$C$8))</f>
        <v/>
      </c>
    </row>
    <row r="2811">
      <c r="A2811">
        <f>IF('01_Rohdaten'!A2811="","",ROW()-1)</f>
        <v/>
      </c>
      <c r="B2811" s="27">
        <f>IF('01_Rohdaten'!A2811="","",'01_Rohdaten'!A2811)</f>
        <v/>
      </c>
      <c r="C2811" s="27">
        <f>IF(B2811="","",INDEX('01_Rohdaten'!B2811:D2811,'02_Eingaben'!$C$13))</f>
        <v/>
      </c>
      <c r="D2811" s="27">
        <f>IF(C2811="","",C2811*'02_Eingaben'!$C$15)</f>
        <v/>
      </c>
      <c r="E2811" s="27">
        <f>IF(D2811="","",D2811*'02_Eingaben'!$C$8)</f>
        <v/>
      </c>
      <c r="F2811" s="27">
        <f>IF(E2811="","",AVERAGE(INDEX($E$2:$E$3001,MAX(1,ROW()-1-'02_Eingaben'!$C$17)):INDEX($E$2:$E$3001,MIN('02_Eingaben'!$C$21,ROW()-1+'02_Eingaben'!$C$17))))</f>
        <v/>
      </c>
      <c r="G2811" s="27">
        <f>IF(F2811="","",F2811-'02_Eingaben'!$C$10)</f>
        <v/>
      </c>
      <c r="H2811">
        <f>IF(F2811="","",IF(F2811&lt;'02_Eingaben'!$C$18*'02_Eingaben'!$C$10,1,0))</f>
        <v/>
      </c>
      <c r="I2811" s="27">
        <f>IF(OR(G2811="",G2812=""),"",(G2811+G2812)/2*(B2812-B2811))</f>
        <v/>
      </c>
      <c r="J2811" s="27">
        <f>IF(B2811="","",IF(B2810&lt;'02_Eingaben'!$C$36,0,J2810+I2810/'02_Eingaben'!$C$8))</f>
        <v/>
      </c>
    </row>
    <row r="2812">
      <c r="A2812">
        <f>IF('01_Rohdaten'!A2812="","",ROW()-1)</f>
        <v/>
      </c>
      <c r="B2812" s="27">
        <f>IF('01_Rohdaten'!A2812="","",'01_Rohdaten'!A2812)</f>
        <v/>
      </c>
      <c r="C2812" s="27">
        <f>IF(B2812="","",INDEX('01_Rohdaten'!B2812:D2812,'02_Eingaben'!$C$13))</f>
        <v/>
      </c>
      <c r="D2812" s="27">
        <f>IF(C2812="","",C2812*'02_Eingaben'!$C$15)</f>
        <v/>
      </c>
      <c r="E2812" s="27">
        <f>IF(D2812="","",D2812*'02_Eingaben'!$C$8)</f>
        <v/>
      </c>
      <c r="F2812" s="27">
        <f>IF(E2812="","",AVERAGE(INDEX($E$2:$E$3001,MAX(1,ROW()-1-'02_Eingaben'!$C$17)):INDEX($E$2:$E$3001,MIN('02_Eingaben'!$C$21,ROW()-1+'02_Eingaben'!$C$17))))</f>
        <v/>
      </c>
      <c r="G2812" s="27">
        <f>IF(F2812="","",F2812-'02_Eingaben'!$C$10)</f>
        <v/>
      </c>
      <c r="H2812">
        <f>IF(F2812="","",IF(F2812&lt;'02_Eingaben'!$C$18*'02_Eingaben'!$C$10,1,0))</f>
        <v/>
      </c>
      <c r="I2812" s="27">
        <f>IF(OR(G2812="",G2813=""),"",(G2812+G2813)/2*(B2813-B2812))</f>
        <v/>
      </c>
      <c r="J2812" s="27">
        <f>IF(B2812="","",IF(B2811&lt;'02_Eingaben'!$C$36,0,J2811+I2811/'02_Eingaben'!$C$8))</f>
        <v/>
      </c>
    </row>
    <row r="2813">
      <c r="A2813">
        <f>IF('01_Rohdaten'!A2813="","",ROW()-1)</f>
        <v/>
      </c>
      <c r="B2813" s="27">
        <f>IF('01_Rohdaten'!A2813="","",'01_Rohdaten'!A2813)</f>
        <v/>
      </c>
      <c r="C2813" s="27">
        <f>IF(B2813="","",INDEX('01_Rohdaten'!B2813:D2813,'02_Eingaben'!$C$13))</f>
        <v/>
      </c>
      <c r="D2813" s="27">
        <f>IF(C2813="","",C2813*'02_Eingaben'!$C$15)</f>
        <v/>
      </c>
      <c r="E2813" s="27">
        <f>IF(D2813="","",D2813*'02_Eingaben'!$C$8)</f>
        <v/>
      </c>
      <c r="F2813" s="27">
        <f>IF(E2813="","",AVERAGE(INDEX($E$2:$E$3001,MAX(1,ROW()-1-'02_Eingaben'!$C$17)):INDEX($E$2:$E$3001,MIN('02_Eingaben'!$C$21,ROW()-1+'02_Eingaben'!$C$17))))</f>
        <v/>
      </c>
      <c r="G2813" s="27">
        <f>IF(F2813="","",F2813-'02_Eingaben'!$C$10)</f>
        <v/>
      </c>
      <c r="H2813">
        <f>IF(F2813="","",IF(F2813&lt;'02_Eingaben'!$C$18*'02_Eingaben'!$C$10,1,0))</f>
        <v/>
      </c>
      <c r="I2813" s="27">
        <f>IF(OR(G2813="",G2814=""),"",(G2813+G2814)/2*(B2814-B2813))</f>
        <v/>
      </c>
      <c r="J2813" s="27">
        <f>IF(B2813="","",IF(B2812&lt;'02_Eingaben'!$C$36,0,J2812+I2812/'02_Eingaben'!$C$8))</f>
        <v/>
      </c>
    </row>
    <row r="2814">
      <c r="A2814">
        <f>IF('01_Rohdaten'!A2814="","",ROW()-1)</f>
        <v/>
      </c>
      <c r="B2814" s="27">
        <f>IF('01_Rohdaten'!A2814="","",'01_Rohdaten'!A2814)</f>
        <v/>
      </c>
      <c r="C2814" s="27">
        <f>IF(B2814="","",INDEX('01_Rohdaten'!B2814:D2814,'02_Eingaben'!$C$13))</f>
        <v/>
      </c>
      <c r="D2814" s="27">
        <f>IF(C2814="","",C2814*'02_Eingaben'!$C$15)</f>
        <v/>
      </c>
      <c r="E2814" s="27">
        <f>IF(D2814="","",D2814*'02_Eingaben'!$C$8)</f>
        <v/>
      </c>
      <c r="F2814" s="27">
        <f>IF(E2814="","",AVERAGE(INDEX($E$2:$E$3001,MAX(1,ROW()-1-'02_Eingaben'!$C$17)):INDEX($E$2:$E$3001,MIN('02_Eingaben'!$C$21,ROW()-1+'02_Eingaben'!$C$17))))</f>
        <v/>
      </c>
      <c r="G2814" s="27">
        <f>IF(F2814="","",F2814-'02_Eingaben'!$C$10)</f>
        <v/>
      </c>
      <c r="H2814">
        <f>IF(F2814="","",IF(F2814&lt;'02_Eingaben'!$C$18*'02_Eingaben'!$C$10,1,0))</f>
        <v/>
      </c>
      <c r="I2814" s="27">
        <f>IF(OR(G2814="",G2815=""),"",(G2814+G2815)/2*(B2815-B2814))</f>
        <v/>
      </c>
      <c r="J2814" s="27">
        <f>IF(B2814="","",IF(B2813&lt;'02_Eingaben'!$C$36,0,J2813+I2813/'02_Eingaben'!$C$8))</f>
        <v/>
      </c>
    </row>
    <row r="2815">
      <c r="A2815">
        <f>IF('01_Rohdaten'!A2815="","",ROW()-1)</f>
        <v/>
      </c>
      <c r="B2815" s="27">
        <f>IF('01_Rohdaten'!A2815="","",'01_Rohdaten'!A2815)</f>
        <v/>
      </c>
      <c r="C2815" s="27">
        <f>IF(B2815="","",INDEX('01_Rohdaten'!B2815:D2815,'02_Eingaben'!$C$13))</f>
        <v/>
      </c>
      <c r="D2815" s="27">
        <f>IF(C2815="","",C2815*'02_Eingaben'!$C$15)</f>
        <v/>
      </c>
      <c r="E2815" s="27">
        <f>IF(D2815="","",D2815*'02_Eingaben'!$C$8)</f>
        <v/>
      </c>
      <c r="F2815" s="27">
        <f>IF(E2815="","",AVERAGE(INDEX($E$2:$E$3001,MAX(1,ROW()-1-'02_Eingaben'!$C$17)):INDEX($E$2:$E$3001,MIN('02_Eingaben'!$C$21,ROW()-1+'02_Eingaben'!$C$17))))</f>
        <v/>
      </c>
      <c r="G2815" s="27">
        <f>IF(F2815="","",F2815-'02_Eingaben'!$C$10)</f>
        <v/>
      </c>
      <c r="H2815">
        <f>IF(F2815="","",IF(F2815&lt;'02_Eingaben'!$C$18*'02_Eingaben'!$C$10,1,0))</f>
        <v/>
      </c>
      <c r="I2815" s="27">
        <f>IF(OR(G2815="",G2816=""),"",(G2815+G2816)/2*(B2816-B2815))</f>
        <v/>
      </c>
      <c r="J2815" s="27">
        <f>IF(B2815="","",IF(B2814&lt;'02_Eingaben'!$C$36,0,J2814+I2814/'02_Eingaben'!$C$8))</f>
        <v/>
      </c>
    </row>
    <row r="2816">
      <c r="A2816">
        <f>IF('01_Rohdaten'!A2816="","",ROW()-1)</f>
        <v/>
      </c>
      <c r="B2816" s="27">
        <f>IF('01_Rohdaten'!A2816="","",'01_Rohdaten'!A2816)</f>
        <v/>
      </c>
      <c r="C2816" s="27">
        <f>IF(B2816="","",INDEX('01_Rohdaten'!B2816:D2816,'02_Eingaben'!$C$13))</f>
        <v/>
      </c>
      <c r="D2816" s="27">
        <f>IF(C2816="","",C2816*'02_Eingaben'!$C$15)</f>
        <v/>
      </c>
      <c r="E2816" s="27">
        <f>IF(D2816="","",D2816*'02_Eingaben'!$C$8)</f>
        <v/>
      </c>
      <c r="F2816" s="27">
        <f>IF(E2816="","",AVERAGE(INDEX($E$2:$E$3001,MAX(1,ROW()-1-'02_Eingaben'!$C$17)):INDEX($E$2:$E$3001,MIN('02_Eingaben'!$C$21,ROW()-1+'02_Eingaben'!$C$17))))</f>
        <v/>
      </c>
      <c r="G2816" s="27">
        <f>IF(F2816="","",F2816-'02_Eingaben'!$C$10)</f>
        <v/>
      </c>
      <c r="H2816">
        <f>IF(F2816="","",IF(F2816&lt;'02_Eingaben'!$C$18*'02_Eingaben'!$C$10,1,0))</f>
        <v/>
      </c>
      <c r="I2816" s="27">
        <f>IF(OR(G2816="",G2817=""),"",(G2816+G2817)/2*(B2817-B2816))</f>
        <v/>
      </c>
      <c r="J2816" s="27">
        <f>IF(B2816="","",IF(B2815&lt;'02_Eingaben'!$C$36,0,J2815+I2815/'02_Eingaben'!$C$8))</f>
        <v/>
      </c>
    </row>
    <row r="2817">
      <c r="A2817">
        <f>IF('01_Rohdaten'!A2817="","",ROW()-1)</f>
        <v/>
      </c>
      <c r="B2817" s="27">
        <f>IF('01_Rohdaten'!A2817="","",'01_Rohdaten'!A2817)</f>
        <v/>
      </c>
      <c r="C2817" s="27">
        <f>IF(B2817="","",INDEX('01_Rohdaten'!B2817:D2817,'02_Eingaben'!$C$13))</f>
        <v/>
      </c>
      <c r="D2817" s="27">
        <f>IF(C2817="","",C2817*'02_Eingaben'!$C$15)</f>
        <v/>
      </c>
      <c r="E2817" s="27">
        <f>IF(D2817="","",D2817*'02_Eingaben'!$C$8)</f>
        <v/>
      </c>
      <c r="F2817" s="27">
        <f>IF(E2817="","",AVERAGE(INDEX($E$2:$E$3001,MAX(1,ROW()-1-'02_Eingaben'!$C$17)):INDEX($E$2:$E$3001,MIN('02_Eingaben'!$C$21,ROW()-1+'02_Eingaben'!$C$17))))</f>
        <v/>
      </c>
      <c r="G2817" s="27">
        <f>IF(F2817="","",F2817-'02_Eingaben'!$C$10)</f>
        <v/>
      </c>
      <c r="H2817">
        <f>IF(F2817="","",IF(F2817&lt;'02_Eingaben'!$C$18*'02_Eingaben'!$C$10,1,0))</f>
        <v/>
      </c>
      <c r="I2817" s="27">
        <f>IF(OR(G2817="",G2818=""),"",(G2817+G2818)/2*(B2818-B2817))</f>
        <v/>
      </c>
      <c r="J2817" s="27">
        <f>IF(B2817="","",IF(B2816&lt;'02_Eingaben'!$C$36,0,J2816+I2816/'02_Eingaben'!$C$8))</f>
        <v/>
      </c>
    </row>
    <row r="2818">
      <c r="A2818">
        <f>IF('01_Rohdaten'!A2818="","",ROW()-1)</f>
        <v/>
      </c>
      <c r="B2818" s="27">
        <f>IF('01_Rohdaten'!A2818="","",'01_Rohdaten'!A2818)</f>
        <v/>
      </c>
      <c r="C2818" s="27">
        <f>IF(B2818="","",INDEX('01_Rohdaten'!B2818:D2818,'02_Eingaben'!$C$13))</f>
        <v/>
      </c>
      <c r="D2818" s="27">
        <f>IF(C2818="","",C2818*'02_Eingaben'!$C$15)</f>
        <v/>
      </c>
      <c r="E2818" s="27">
        <f>IF(D2818="","",D2818*'02_Eingaben'!$C$8)</f>
        <v/>
      </c>
      <c r="F2818" s="27">
        <f>IF(E2818="","",AVERAGE(INDEX($E$2:$E$3001,MAX(1,ROW()-1-'02_Eingaben'!$C$17)):INDEX($E$2:$E$3001,MIN('02_Eingaben'!$C$21,ROW()-1+'02_Eingaben'!$C$17))))</f>
        <v/>
      </c>
      <c r="G2818" s="27">
        <f>IF(F2818="","",F2818-'02_Eingaben'!$C$10)</f>
        <v/>
      </c>
      <c r="H2818">
        <f>IF(F2818="","",IF(F2818&lt;'02_Eingaben'!$C$18*'02_Eingaben'!$C$10,1,0))</f>
        <v/>
      </c>
      <c r="I2818" s="27">
        <f>IF(OR(G2818="",G2819=""),"",(G2818+G2819)/2*(B2819-B2818))</f>
        <v/>
      </c>
      <c r="J2818" s="27">
        <f>IF(B2818="","",IF(B2817&lt;'02_Eingaben'!$C$36,0,J2817+I2817/'02_Eingaben'!$C$8))</f>
        <v/>
      </c>
    </row>
    <row r="2819">
      <c r="A2819">
        <f>IF('01_Rohdaten'!A2819="","",ROW()-1)</f>
        <v/>
      </c>
      <c r="B2819" s="27">
        <f>IF('01_Rohdaten'!A2819="","",'01_Rohdaten'!A2819)</f>
        <v/>
      </c>
      <c r="C2819" s="27">
        <f>IF(B2819="","",INDEX('01_Rohdaten'!B2819:D2819,'02_Eingaben'!$C$13))</f>
        <v/>
      </c>
      <c r="D2819" s="27">
        <f>IF(C2819="","",C2819*'02_Eingaben'!$C$15)</f>
        <v/>
      </c>
      <c r="E2819" s="27">
        <f>IF(D2819="","",D2819*'02_Eingaben'!$C$8)</f>
        <v/>
      </c>
      <c r="F2819" s="27">
        <f>IF(E2819="","",AVERAGE(INDEX($E$2:$E$3001,MAX(1,ROW()-1-'02_Eingaben'!$C$17)):INDEX($E$2:$E$3001,MIN('02_Eingaben'!$C$21,ROW()-1+'02_Eingaben'!$C$17))))</f>
        <v/>
      </c>
      <c r="G2819" s="27">
        <f>IF(F2819="","",F2819-'02_Eingaben'!$C$10)</f>
        <v/>
      </c>
      <c r="H2819">
        <f>IF(F2819="","",IF(F2819&lt;'02_Eingaben'!$C$18*'02_Eingaben'!$C$10,1,0))</f>
        <v/>
      </c>
      <c r="I2819" s="27">
        <f>IF(OR(G2819="",G2820=""),"",(G2819+G2820)/2*(B2820-B2819))</f>
        <v/>
      </c>
      <c r="J2819" s="27">
        <f>IF(B2819="","",IF(B2818&lt;'02_Eingaben'!$C$36,0,J2818+I2818/'02_Eingaben'!$C$8))</f>
        <v/>
      </c>
    </row>
    <row r="2820">
      <c r="A2820">
        <f>IF('01_Rohdaten'!A2820="","",ROW()-1)</f>
        <v/>
      </c>
      <c r="B2820" s="27">
        <f>IF('01_Rohdaten'!A2820="","",'01_Rohdaten'!A2820)</f>
        <v/>
      </c>
      <c r="C2820" s="27">
        <f>IF(B2820="","",INDEX('01_Rohdaten'!B2820:D2820,'02_Eingaben'!$C$13))</f>
        <v/>
      </c>
      <c r="D2820" s="27">
        <f>IF(C2820="","",C2820*'02_Eingaben'!$C$15)</f>
        <v/>
      </c>
      <c r="E2820" s="27">
        <f>IF(D2820="","",D2820*'02_Eingaben'!$C$8)</f>
        <v/>
      </c>
      <c r="F2820" s="27">
        <f>IF(E2820="","",AVERAGE(INDEX($E$2:$E$3001,MAX(1,ROW()-1-'02_Eingaben'!$C$17)):INDEX($E$2:$E$3001,MIN('02_Eingaben'!$C$21,ROW()-1+'02_Eingaben'!$C$17))))</f>
        <v/>
      </c>
      <c r="G2820" s="27">
        <f>IF(F2820="","",F2820-'02_Eingaben'!$C$10)</f>
        <v/>
      </c>
      <c r="H2820">
        <f>IF(F2820="","",IF(F2820&lt;'02_Eingaben'!$C$18*'02_Eingaben'!$C$10,1,0))</f>
        <v/>
      </c>
      <c r="I2820" s="27">
        <f>IF(OR(G2820="",G2821=""),"",(G2820+G2821)/2*(B2821-B2820))</f>
        <v/>
      </c>
      <c r="J2820" s="27">
        <f>IF(B2820="","",IF(B2819&lt;'02_Eingaben'!$C$36,0,J2819+I2819/'02_Eingaben'!$C$8))</f>
        <v/>
      </c>
    </row>
    <row r="2821">
      <c r="A2821">
        <f>IF('01_Rohdaten'!A2821="","",ROW()-1)</f>
        <v/>
      </c>
      <c r="B2821" s="27">
        <f>IF('01_Rohdaten'!A2821="","",'01_Rohdaten'!A2821)</f>
        <v/>
      </c>
      <c r="C2821" s="27">
        <f>IF(B2821="","",INDEX('01_Rohdaten'!B2821:D2821,'02_Eingaben'!$C$13))</f>
        <v/>
      </c>
      <c r="D2821" s="27">
        <f>IF(C2821="","",C2821*'02_Eingaben'!$C$15)</f>
        <v/>
      </c>
      <c r="E2821" s="27">
        <f>IF(D2821="","",D2821*'02_Eingaben'!$C$8)</f>
        <v/>
      </c>
      <c r="F2821" s="27">
        <f>IF(E2821="","",AVERAGE(INDEX($E$2:$E$3001,MAX(1,ROW()-1-'02_Eingaben'!$C$17)):INDEX($E$2:$E$3001,MIN('02_Eingaben'!$C$21,ROW()-1+'02_Eingaben'!$C$17))))</f>
        <v/>
      </c>
      <c r="G2821" s="27">
        <f>IF(F2821="","",F2821-'02_Eingaben'!$C$10)</f>
        <v/>
      </c>
      <c r="H2821">
        <f>IF(F2821="","",IF(F2821&lt;'02_Eingaben'!$C$18*'02_Eingaben'!$C$10,1,0))</f>
        <v/>
      </c>
      <c r="I2821" s="27">
        <f>IF(OR(G2821="",G2822=""),"",(G2821+G2822)/2*(B2822-B2821))</f>
        <v/>
      </c>
      <c r="J2821" s="27">
        <f>IF(B2821="","",IF(B2820&lt;'02_Eingaben'!$C$36,0,J2820+I2820/'02_Eingaben'!$C$8))</f>
        <v/>
      </c>
    </row>
    <row r="2822">
      <c r="A2822">
        <f>IF('01_Rohdaten'!A2822="","",ROW()-1)</f>
        <v/>
      </c>
      <c r="B2822" s="27">
        <f>IF('01_Rohdaten'!A2822="","",'01_Rohdaten'!A2822)</f>
        <v/>
      </c>
      <c r="C2822" s="27">
        <f>IF(B2822="","",INDEX('01_Rohdaten'!B2822:D2822,'02_Eingaben'!$C$13))</f>
        <v/>
      </c>
      <c r="D2822" s="27">
        <f>IF(C2822="","",C2822*'02_Eingaben'!$C$15)</f>
        <v/>
      </c>
      <c r="E2822" s="27">
        <f>IF(D2822="","",D2822*'02_Eingaben'!$C$8)</f>
        <v/>
      </c>
      <c r="F2822" s="27">
        <f>IF(E2822="","",AVERAGE(INDEX($E$2:$E$3001,MAX(1,ROW()-1-'02_Eingaben'!$C$17)):INDEX($E$2:$E$3001,MIN('02_Eingaben'!$C$21,ROW()-1+'02_Eingaben'!$C$17))))</f>
        <v/>
      </c>
      <c r="G2822" s="27">
        <f>IF(F2822="","",F2822-'02_Eingaben'!$C$10)</f>
        <v/>
      </c>
      <c r="H2822">
        <f>IF(F2822="","",IF(F2822&lt;'02_Eingaben'!$C$18*'02_Eingaben'!$C$10,1,0))</f>
        <v/>
      </c>
      <c r="I2822" s="27">
        <f>IF(OR(G2822="",G2823=""),"",(G2822+G2823)/2*(B2823-B2822))</f>
        <v/>
      </c>
      <c r="J2822" s="27">
        <f>IF(B2822="","",IF(B2821&lt;'02_Eingaben'!$C$36,0,J2821+I2821/'02_Eingaben'!$C$8))</f>
        <v/>
      </c>
    </row>
    <row r="2823">
      <c r="A2823">
        <f>IF('01_Rohdaten'!A2823="","",ROW()-1)</f>
        <v/>
      </c>
      <c r="B2823" s="27">
        <f>IF('01_Rohdaten'!A2823="","",'01_Rohdaten'!A2823)</f>
        <v/>
      </c>
      <c r="C2823" s="27">
        <f>IF(B2823="","",INDEX('01_Rohdaten'!B2823:D2823,'02_Eingaben'!$C$13))</f>
        <v/>
      </c>
      <c r="D2823" s="27">
        <f>IF(C2823="","",C2823*'02_Eingaben'!$C$15)</f>
        <v/>
      </c>
      <c r="E2823" s="27">
        <f>IF(D2823="","",D2823*'02_Eingaben'!$C$8)</f>
        <v/>
      </c>
      <c r="F2823" s="27">
        <f>IF(E2823="","",AVERAGE(INDEX($E$2:$E$3001,MAX(1,ROW()-1-'02_Eingaben'!$C$17)):INDEX($E$2:$E$3001,MIN('02_Eingaben'!$C$21,ROW()-1+'02_Eingaben'!$C$17))))</f>
        <v/>
      </c>
      <c r="G2823" s="27">
        <f>IF(F2823="","",F2823-'02_Eingaben'!$C$10)</f>
        <v/>
      </c>
      <c r="H2823">
        <f>IF(F2823="","",IF(F2823&lt;'02_Eingaben'!$C$18*'02_Eingaben'!$C$10,1,0))</f>
        <v/>
      </c>
      <c r="I2823" s="27">
        <f>IF(OR(G2823="",G2824=""),"",(G2823+G2824)/2*(B2824-B2823))</f>
        <v/>
      </c>
      <c r="J2823" s="27">
        <f>IF(B2823="","",IF(B2822&lt;'02_Eingaben'!$C$36,0,J2822+I2822/'02_Eingaben'!$C$8))</f>
        <v/>
      </c>
    </row>
    <row r="2824">
      <c r="A2824">
        <f>IF('01_Rohdaten'!A2824="","",ROW()-1)</f>
        <v/>
      </c>
      <c r="B2824" s="27">
        <f>IF('01_Rohdaten'!A2824="","",'01_Rohdaten'!A2824)</f>
        <v/>
      </c>
      <c r="C2824" s="27">
        <f>IF(B2824="","",INDEX('01_Rohdaten'!B2824:D2824,'02_Eingaben'!$C$13))</f>
        <v/>
      </c>
      <c r="D2824" s="27">
        <f>IF(C2824="","",C2824*'02_Eingaben'!$C$15)</f>
        <v/>
      </c>
      <c r="E2824" s="27">
        <f>IF(D2824="","",D2824*'02_Eingaben'!$C$8)</f>
        <v/>
      </c>
      <c r="F2824" s="27">
        <f>IF(E2824="","",AVERAGE(INDEX($E$2:$E$3001,MAX(1,ROW()-1-'02_Eingaben'!$C$17)):INDEX($E$2:$E$3001,MIN('02_Eingaben'!$C$21,ROW()-1+'02_Eingaben'!$C$17))))</f>
        <v/>
      </c>
      <c r="G2824" s="27">
        <f>IF(F2824="","",F2824-'02_Eingaben'!$C$10)</f>
        <v/>
      </c>
      <c r="H2824">
        <f>IF(F2824="","",IF(F2824&lt;'02_Eingaben'!$C$18*'02_Eingaben'!$C$10,1,0))</f>
        <v/>
      </c>
      <c r="I2824" s="27">
        <f>IF(OR(G2824="",G2825=""),"",(G2824+G2825)/2*(B2825-B2824))</f>
        <v/>
      </c>
      <c r="J2824" s="27">
        <f>IF(B2824="","",IF(B2823&lt;'02_Eingaben'!$C$36,0,J2823+I2823/'02_Eingaben'!$C$8))</f>
        <v/>
      </c>
    </row>
    <row r="2825">
      <c r="A2825">
        <f>IF('01_Rohdaten'!A2825="","",ROW()-1)</f>
        <v/>
      </c>
      <c r="B2825" s="27">
        <f>IF('01_Rohdaten'!A2825="","",'01_Rohdaten'!A2825)</f>
        <v/>
      </c>
      <c r="C2825" s="27">
        <f>IF(B2825="","",INDEX('01_Rohdaten'!B2825:D2825,'02_Eingaben'!$C$13))</f>
        <v/>
      </c>
      <c r="D2825" s="27">
        <f>IF(C2825="","",C2825*'02_Eingaben'!$C$15)</f>
        <v/>
      </c>
      <c r="E2825" s="27">
        <f>IF(D2825="","",D2825*'02_Eingaben'!$C$8)</f>
        <v/>
      </c>
      <c r="F2825" s="27">
        <f>IF(E2825="","",AVERAGE(INDEX($E$2:$E$3001,MAX(1,ROW()-1-'02_Eingaben'!$C$17)):INDEX($E$2:$E$3001,MIN('02_Eingaben'!$C$21,ROW()-1+'02_Eingaben'!$C$17))))</f>
        <v/>
      </c>
      <c r="G2825" s="27">
        <f>IF(F2825="","",F2825-'02_Eingaben'!$C$10)</f>
        <v/>
      </c>
      <c r="H2825">
        <f>IF(F2825="","",IF(F2825&lt;'02_Eingaben'!$C$18*'02_Eingaben'!$C$10,1,0))</f>
        <v/>
      </c>
      <c r="I2825" s="27">
        <f>IF(OR(G2825="",G2826=""),"",(G2825+G2826)/2*(B2826-B2825))</f>
        <v/>
      </c>
      <c r="J2825" s="27">
        <f>IF(B2825="","",IF(B2824&lt;'02_Eingaben'!$C$36,0,J2824+I2824/'02_Eingaben'!$C$8))</f>
        <v/>
      </c>
    </row>
    <row r="2826">
      <c r="A2826">
        <f>IF('01_Rohdaten'!A2826="","",ROW()-1)</f>
        <v/>
      </c>
      <c r="B2826" s="27">
        <f>IF('01_Rohdaten'!A2826="","",'01_Rohdaten'!A2826)</f>
        <v/>
      </c>
      <c r="C2826" s="27">
        <f>IF(B2826="","",INDEX('01_Rohdaten'!B2826:D2826,'02_Eingaben'!$C$13))</f>
        <v/>
      </c>
      <c r="D2826" s="27">
        <f>IF(C2826="","",C2826*'02_Eingaben'!$C$15)</f>
        <v/>
      </c>
      <c r="E2826" s="27">
        <f>IF(D2826="","",D2826*'02_Eingaben'!$C$8)</f>
        <v/>
      </c>
      <c r="F2826" s="27">
        <f>IF(E2826="","",AVERAGE(INDEX($E$2:$E$3001,MAX(1,ROW()-1-'02_Eingaben'!$C$17)):INDEX($E$2:$E$3001,MIN('02_Eingaben'!$C$21,ROW()-1+'02_Eingaben'!$C$17))))</f>
        <v/>
      </c>
      <c r="G2826" s="27">
        <f>IF(F2826="","",F2826-'02_Eingaben'!$C$10)</f>
        <v/>
      </c>
      <c r="H2826">
        <f>IF(F2826="","",IF(F2826&lt;'02_Eingaben'!$C$18*'02_Eingaben'!$C$10,1,0))</f>
        <v/>
      </c>
      <c r="I2826" s="27">
        <f>IF(OR(G2826="",G2827=""),"",(G2826+G2827)/2*(B2827-B2826))</f>
        <v/>
      </c>
      <c r="J2826" s="27">
        <f>IF(B2826="","",IF(B2825&lt;'02_Eingaben'!$C$36,0,J2825+I2825/'02_Eingaben'!$C$8))</f>
        <v/>
      </c>
    </row>
    <row r="2827">
      <c r="A2827">
        <f>IF('01_Rohdaten'!A2827="","",ROW()-1)</f>
        <v/>
      </c>
      <c r="B2827" s="27">
        <f>IF('01_Rohdaten'!A2827="","",'01_Rohdaten'!A2827)</f>
        <v/>
      </c>
      <c r="C2827" s="27">
        <f>IF(B2827="","",INDEX('01_Rohdaten'!B2827:D2827,'02_Eingaben'!$C$13))</f>
        <v/>
      </c>
      <c r="D2827" s="27">
        <f>IF(C2827="","",C2827*'02_Eingaben'!$C$15)</f>
        <v/>
      </c>
      <c r="E2827" s="27">
        <f>IF(D2827="","",D2827*'02_Eingaben'!$C$8)</f>
        <v/>
      </c>
      <c r="F2827" s="27">
        <f>IF(E2827="","",AVERAGE(INDEX($E$2:$E$3001,MAX(1,ROW()-1-'02_Eingaben'!$C$17)):INDEX($E$2:$E$3001,MIN('02_Eingaben'!$C$21,ROW()-1+'02_Eingaben'!$C$17))))</f>
        <v/>
      </c>
      <c r="G2827" s="27">
        <f>IF(F2827="","",F2827-'02_Eingaben'!$C$10)</f>
        <v/>
      </c>
      <c r="H2827">
        <f>IF(F2827="","",IF(F2827&lt;'02_Eingaben'!$C$18*'02_Eingaben'!$C$10,1,0))</f>
        <v/>
      </c>
      <c r="I2827" s="27">
        <f>IF(OR(G2827="",G2828=""),"",(G2827+G2828)/2*(B2828-B2827))</f>
        <v/>
      </c>
      <c r="J2827" s="27">
        <f>IF(B2827="","",IF(B2826&lt;'02_Eingaben'!$C$36,0,J2826+I2826/'02_Eingaben'!$C$8))</f>
        <v/>
      </c>
    </row>
    <row r="2828">
      <c r="A2828">
        <f>IF('01_Rohdaten'!A2828="","",ROW()-1)</f>
        <v/>
      </c>
      <c r="B2828" s="27">
        <f>IF('01_Rohdaten'!A2828="","",'01_Rohdaten'!A2828)</f>
        <v/>
      </c>
      <c r="C2828" s="27">
        <f>IF(B2828="","",INDEX('01_Rohdaten'!B2828:D2828,'02_Eingaben'!$C$13))</f>
        <v/>
      </c>
      <c r="D2828" s="27">
        <f>IF(C2828="","",C2828*'02_Eingaben'!$C$15)</f>
        <v/>
      </c>
      <c r="E2828" s="27">
        <f>IF(D2828="","",D2828*'02_Eingaben'!$C$8)</f>
        <v/>
      </c>
      <c r="F2828" s="27">
        <f>IF(E2828="","",AVERAGE(INDEX($E$2:$E$3001,MAX(1,ROW()-1-'02_Eingaben'!$C$17)):INDEX($E$2:$E$3001,MIN('02_Eingaben'!$C$21,ROW()-1+'02_Eingaben'!$C$17))))</f>
        <v/>
      </c>
      <c r="G2828" s="27">
        <f>IF(F2828="","",F2828-'02_Eingaben'!$C$10)</f>
        <v/>
      </c>
      <c r="H2828">
        <f>IF(F2828="","",IF(F2828&lt;'02_Eingaben'!$C$18*'02_Eingaben'!$C$10,1,0))</f>
        <v/>
      </c>
      <c r="I2828" s="27">
        <f>IF(OR(G2828="",G2829=""),"",(G2828+G2829)/2*(B2829-B2828))</f>
        <v/>
      </c>
      <c r="J2828" s="27">
        <f>IF(B2828="","",IF(B2827&lt;'02_Eingaben'!$C$36,0,J2827+I2827/'02_Eingaben'!$C$8))</f>
        <v/>
      </c>
    </row>
    <row r="2829">
      <c r="A2829">
        <f>IF('01_Rohdaten'!A2829="","",ROW()-1)</f>
        <v/>
      </c>
      <c r="B2829" s="27">
        <f>IF('01_Rohdaten'!A2829="","",'01_Rohdaten'!A2829)</f>
        <v/>
      </c>
      <c r="C2829" s="27">
        <f>IF(B2829="","",INDEX('01_Rohdaten'!B2829:D2829,'02_Eingaben'!$C$13))</f>
        <v/>
      </c>
      <c r="D2829" s="27">
        <f>IF(C2829="","",C2829*'02_Eingaben'!$C$15)</f>
        <v/>
      </c>
      <c r="E2829" s="27">
        <f>IF(D2829="","",D2829*'02_Eingaben'!$C$8)</f>
        <v/>
      </c>
      <c r="F2829" s="27">
        <f>IF(E2829="","",AVERAGE(INDEX($E$2:$E$3001,MAX(1,ROW()-1-'02_Eingaben'!$C$17)):INDEX($E$2:$E$3001,MIN('02_Eingaben'!$C$21,ROW()-1+'02_Eingaben'!$C$17))))</f>
        <v/>
      </c>
      <c r="G2829" s="27">
        <f>IF(F2829="","",F2829-'02_Eingaben'!$C$10)</f>
        <v/>
      </c>
      <c r="H2829">
        <f>IF(F2829="","",IF(F2829&lt;'02_Eingaben'!$C$18*'02_Eingaben'!$C$10,1,0))</f>
        <v/>
      </c>
      <c r="I2829" s="27">
        <f>IF(OR(G2829="",G2830=""),"",(G2829+G2830)/2*(B2830-B2829))</f>
        <v/>
      </c>
      <c r="J2829" s="27">
        <f>IF(B2829="","",IF(B2828&lt;'02_Eingaben'!$C$36,0,J2828+I2828/'02_Eingaben'!$C$8))</f>
        <v/>
      </c>
    </row>
    <row r="2830">
      <c r="A2830">
        <f>IF('01_Rohdaten'!A2830="","",ROW()-1)</f>
        <v/>
      </c>
      <c r="B2830" s="27">
        <f>IF('01_Rohdaten'!A2830="","",'01_Rohdaten'!A2830)</f>
        <v/>
      </c>
      <c r="C2830" s="27">
        <f>IF(B2830="","",INDEX('01_Rohdaten'!B2830:D2830,'02_Eingaben'!$C$13))</f>
        <v/>
      </c>
      <c r="D2830" s="27">
        <f>IF(C2830="","",C2830*'02_Eingaben'!$C$15)</f>
        <v/>
      </c>
      <c r="E2830" s="27">
        <f>IF(D2830="","",D2830*'02_Eingaben'!$C$8)</f>
        <v/>
      </c>
      <c r="F2830" s="27">
        <f>IF(E2830="","",AVERAGE(INDEX($E$2:$E$3001,MAX(1,ROW()-1-'02_Eingaben'!$C$17)):INDEX($E$2:$E$3001,MIN('02_Eingaben'!$C$21,ROW()-1+'02_Eingaben'!$C$17))))</f>
        <v/>
      </c>
      <c r="G2830" s="27">
        <f>IF(F2830="","",F2830-'02_Eingaben'!$C$10)</f>
        <v/>
      </c>
      <c r="H2830">
        <f>IF(F2830="","",IF(F2830&lt;'02_Eingaben'!$C$18*'02_Eingaben'!$C$10,1,0))</f>
        <v/>
      </c>
      <c r="I2830" s="27">
        <f>IF(OR(G2830="",G2831=""),"",(G2830+G2831)/2*(B2831-B2830))</f>
        <v/>
      </c>
      <c r="J2830" s="27">
        <f>IF(B2830="","",IF(B2829&lt;'02_Eingaben'!$C$36,0,J2829+I2829/'02_Eingaben'!$C$8))</f>
        <v/>
      </c>
    </row>
    <row r="2831">
      <c r="A2831">
        <f>IF('01_Rohdaten'!A2831="","",ROW()-1)</f>
        <v/>
      </c>
      <c r="B2831" s="27">
        <f>IF('01_Rohdaten'!A2831="","",'01_Rohdaten'!A2831)</f>
        <v/>
      </c>
      <c r="C2831" s="27">
        <f>IF(B2831="","",INDEX('01_Rohdaten'!B2831:D2831,'02_Eingaben'!$C$13))</f>
        <v/>
      </c>
      <c r="D2831" s="27">
        <f>IF(C2831="","",C2831*'02_Eingaben'!$C$15)</f>
        <v/>
      </c>
      <c r="E2831" s="27">
        <f>IF(D2831="","",D2831*'02_Eingaben'!$C$8)</f>
        <v/>
      </c>
      <c r="F2831" s="27">
        <f>IF(E2831="","",AVERAGE(INDEX($E$2:$E$3001,MAX(1,ROW()-1-'02_Eingaben'!$C$17)):INDEX($E$2:$E$3001,MIN('02_Eingaben'!$C$21,ROW()-1+'02_Eingaben'!$C$17))))</f>
        <v/>
      </c>
      <c r="G2831" s="27">
        <f>IF(F2831="","",F2831-'02_Eingaben'!$C$10)</f>
        <v/>
      </c>
      <c r="H2831">
        <f>IF(F2831="","",IF(F2831&lt;'02_Eingaben'!$C$18*'02_Eingaben'!$C$10,1,0))</f>
        <v/>
      </c>
      <c r="I2831" s="27">
        <f>IF(OR(G2831="",G2832=""),"",(G2831+G2832)/2*(B2832-B2831))</f>
        <v/>
      </c>
      <c r="J2831" s="27">
        <f>IF(B2831="","",IF(B2830&lt;'02_Eingaben'!$C$36,0,J2830+I2830/'02_Eingaben'!$C$8))</f>
        <v/>
      </c>
    </row>
    <row r="2832">
      <c r="A2832">
        <f>IF('01_Rohdaten'!A2832="","",ROW()-1)</f>
        <v/>
      </c>
      <c r="B2832" s="27">
        <f>IF('01_Rohdaten'!A2832="","",'01_Rohdaten'!A2832)</f>
        <v/>
      </c>
      <c r="C2832" s="27">
        <f>IF(B2832="","",INDEX('01_Rohdaten'!B2832:D2832,'02_Eingaben'!$C$13))</f>
        <v/>
      </c>
      <c r="D2832" s="27">
        <f>IF(C2832="","",C2832*'02_Eingaben'!$C$15)</f>
        <v/>
      </c>
      <c r="E2832" s="27">
        <f>IF(D2832="","",D2832*'02_Eingaben'!$C$8)</f>
        <v/>
      </c>
      <c r="F2832" s="27">
        <f>IF(E2832="","",AVERAGE(INDEX($E$2:$E$3001,MAX(1,ROW()-1-'02_Eingaben'!$C$17)):INDEX($E$2:$E$3001,MIN('02_Eingaben'!$C$21,ROW()-1+'02_Eingaben'!$C$17))))</f>
        <v/>
      </c>
      <c r="G2832" s="27">
        <f>IF(F2832="","",F2832-'02_Eingaben'!$C$10)</f>
        <v/>
      </c>
      <c r="H2832">
        <f>IF(F2832="","",IF(F2832&lt;'02_Eingaben'!$C$18*'02_Eingaben'!$C$10,1,0))</f>
        <v/>
      </c>
      <c r="I2832" s="27">
        <f>IF(OR(G2832="",G2833=""),"",(G2832+G2833)/2*(B2833-B2832))</f>
        <v/>
      </c>
      <c r="J2832" s="27">
        <f>IF(B2832="","",IF(B2831&lt;'02_Eingaben'!$C$36,0,J2831+I2831/'02_Eingaben'!$C$8))</f>
        <v/>
      </c>
    </row>
    <row r="2833">
      <c r="A2833">
        <f>IF('01_Rohdaten'!A2833="","",ROW()-1)</f>
        <v/>
      </c>
      <c r="B2833" s="27">
        <f>IF('01_Rohdaten'!A2833="","",'01_Rohdaten'!A2833)</f>
        <v/>
      </c>
      <c r="C2833" s="27">
        <f>IF(B2833="","",INDEX('01_Rohdaten'!B2833:D2833,'02_Eingaben'!$C$13))</f>
        <v/>
      </c>
      <c r="D2833" s="27">
        <f>IF(C2833="","",C2833*'02_Eingaben'!$C$15)</f>
        <v/>
      </c>
      <c r="E2833" s="27">
        <f>IF(D2833="","",D2833*'02_Eingaben'!$C$8)</f>
        <v/>
      </c>
      <c r="F2833" s="27">
        <f>IF(E2833="","",AVERAGE(INDEX($E$2:$E$3001,MAX(1,ROW()-1-'02_Eingaben'!$C$17)):INDEX($E$2:$E$3001,MIN('02_Eingaben'!$C$21,ROW()-1+'02_Eingaben'!$C$17))))</f>
        <v/>
      </c>
      <c r="G2833" s="27">
        <f>IF(F2833="","",F2833-'02_Eingaben'!$C$10)</f>
        <v/>
      </c>
      <c r="H2833">
        <f>IF(F2833="","",IF(F2833&lt;'02_Eingaben'!$C$18*'02_Eingaben'!$C$10,1,0))</f>
        <v/>
      </c>
      <c r="I2833" s="27">
        <f>IF(OR(G2833="",G2834=""),"",(G2833+G2834)/2*(B2834-B2833))</f>
        <v/>
      </c>
      <c r="J2833" s="27">
        <f>IF(B2833="","",IF(B2832&lt;'02_Eingaben'!$C$36,0,J2832+I2832/'02_Eingaben'!$C$8))</f>
        <v/>
      </c>
    </row>
    <row r="2834">
      <c r="A2834">
        <f>IF('01_Rohdaten'!A2834="","",ROW()-1)</f>
        <v/>
      </c>
      <c r="B2834" s="27">
        <f>IF('01_Rohdaten'!A2834="","",'01_Rohdaten'!A2834)</f>
        <v/>
      </c>
      <c r="C2834" s="27">
        <f>IF(B2834="","",INDEX('01_Rohdaten'!B2834:D2834,'02_Eingaben'!$C$13))</f>
        <v/>
      </c>
      <c r="D2834" s="27">
        <f>IF(C2834="","",C2834*'02_Eingaben'!$C$15)</f>
        <v/>
      </c>
      <c r="E2834" s="27">
        <f>IF(D2834="","",D2834*'02_Eingaben'!$C$8)</f>
        <v/>
      </c>
      <c r="F2834" s="27">
        <f>IF(E2834="","",AVERAGE(INDEX($E$2:$E$3001,MAX(1,ROW()-1-'02_Eingaben'!$C$17)):INDEX($E$2:$E$3001,MIN('02_Eingaben'!$C$21,ROW()-1+'02_Eingaben'!$C$17))))</f>
        <v/>
      </c>
      <c r="G2834" s="27">
        <f>IF(F2834="","",F2834-'02_Eingaben'!$C$10)</f>
        <v/>
      </c>
      <c r="H2834">
        <f>IF(F2834="","",IF(F2834&lt;'02_Eingaben'!$C$18*'02_Eingaben'!$C$10,1,0))</f>
        <v/>
      </c>
      <c r="I2834" s="27">
        <f>IF(OR(G2834="",G2835=""),"",(G2834+G2835)/2*(B2835-B2834))</f>
        <v/>
      </c>
      <c r="J2834" s="27">
        <f>IF(B2834="","",IF(B2833&lt;'02_Eingaben'!$C$36,0,J2833+I2833/'02_Eingaben'!$C$8))</f>
        <v/>
      </c>
    </row>
    <row r="2835">
      <c r="A2835">
        <f>IF('01_Rohdaten'!A2835="","",ROW()-1)</f>
        <v/>
      </c>
      <c r="B2835" s="27">
        <f>IF('01_Rohdaten'!A2835="","",'01_Rohdaten'!A2835)</f>
        <v/>
      </c>
      <c r="C2835" s="27">
        <f>IF(B2835="","",INDEX('01_Rohdaten'!B2835:D2835,'02_Eingaben'!$C$13))</f>
        <v/>
      </c>
      <c r="D2835" s="27">
        <f>IF(C2835="","",C2835*'02_Eingaben'!$C$15)</f>
        <v/>
      </c>
      <c r="E2835" s="27">
        <f>IF(D2835="","",D2835*'02_Eingaben'!$C$8)</f>
        <v/>
      </c>
      <c r="F2835" s="27">
        <f>IF(E2835="","",AVERAGE(INDEX($E$2:$E$3001,MAX(1,ROW()-1-'02_Eingaben'!$C$17)):INDEX($E$2:$E$3001,MIN('02_Eingaben'!$C$21,ROW()-1+'02_Eingaben'!$C$17))))</f>
        <v/>
      </c>
      <c r="G2835" s="27">
        <f>IF(F2835="","",F2835-'02_Eingaben'!$C$10)</f>
        <v/>
      </c>
      <c r="H2835">
        <f>IF(F2835="","",IF(F2835&lt;'02_Eingaben'!$C$18*'02_Eingaben'!$C$10,1,0))</f>
        <v/>
      </c>
      <c r="I2835" s="27">
        <f>IF(OR(G2835="",G2836=""),"",(G2835+G2836)/2*(B2836-B2835))</f>
        <v/>
      </c>
      <c r="J2835" s="27">
        <f>IF(B2835="","",IF(B2834&lt;'02_Eingaben'!$C$36,0,J2834+I2834/'02_Eingaben'!$C$8))</f>
        <v/>
      </c>
    </row>
    <row r="2836">
      <c r="A2836">
        <f>IF('01_Rohdaten'!A2836="","",ROW()-1)</f>
        <v/>
      </c>
      <c r="B2836" s="27">
        <f>IF('01_Rohdaten'!A2836="","",'01_Rohdaten'!A2836)</f>
        <v/>
      </c>
      <c r="C2836" s="27">
        <f>IF(B2836="","",INDEX('01_Rohdaten'!B2836:D2836,'02_Eingaben'!$C$13))</f>
        <v/>
      </c>
      <c r="D2836" s="27">
        <f>IF(C2836="","",C2836*'02_Eingaben'!$C$15)</f>
        <v/>
      </c>
      <c r="E2836" s="27">
        <f>IF(D2836="","",D2836*'02_Eingaben'!$C$8)</f>
        <v/>
      </c>
      <c r="F2836" s="27">
        <f>IF(E2836="","",AVERAGE(INDEX($E$2:$E$3001,MAX(1,ROW()-1-'02_Eingaben'!$C$17)):INDEX($E$2:$E$3001,MIN('02_Eingaben'!$C$21,ROW()-1+'02_Eingaben'!$C$17))))</f>
        <v/>
      </c>
      <c r="G2836" s="27">
        <f>IF(F2836="","",F2836-'02_Eingaben'!$C$10)</f>
        <v/>
      </c>
      <c r="H2836">
        <f>IF(F2836="","",IF(F2836&lt;'02_Eingaben'!$C$18*'02_Eingaben'!$C$10,1,0))</f>
        <v/>
      </c>
      <c r="I2836" s="27">
        <f>IF(OR(G2836="",G2837=""),"",(G2836+G2837)/2*(B2837-B2836))</f>
        <v/>
      </c>
      <c r="J2836" s="27">
        <f>IF(B2836="","",IF(B2835&lt;'02_Eingaben'!$C$36,0,J2835+I2835/'02_Eingaben'!$C$8))</f>
        <v/>
      </c>
    </row>
    <row r="2837">
      <c r="A2837">
        <f>IF('01_Rohdaten'!A2837="","",ROW()-1)</f>
        <v/>
      </c>
      <c r="B2837" s="27">
        <f>IF('01_Rohdaten'!A2837="","",'01_Rohdaten'!A2837)</f>
        <v/>
      </c>
      <c r="C2837" s="27">
        <f>IF(B2837="","",INDEX('01_Rohdaten'!B2837:D2837,'02_Eingaben'!$C$13))</f>
        <v/>
      </c>
      <c r="D2837" s="27">
        <f>IF(C2837="","",C2837*'02_Eingaben'!$C$15)</f>
        <v/>
      </c>
      <c r="E2837" s="27">
        <f>IF(D2837="","",D2837*'02_Eingaben'!$C$8)</f>
        <v/>
      </c>
      <c r="F2837" s="27">
        <f>IF(E2837="","",AVERAGE(INDEX($E$2:$E$3001,MAX(1,ROW()-1-'02_Eingaben'!$C$17)):INDEX($E$2:$E$3001,MIN('02_Eingaben'!$C$21,ROW()-1+'02_Eingaben'!$C$17))))</f>
        <v/>
      </c>
      <c r="G2837" s="27">
        <f>IF(F2837="","",F2837-'02_Eingaben'!$C$10)</f>
        <v/>
      </c>
      <c r="H2837">
        <f>IF(F2837="","",IF(F2837&lt;'02_Eingaben'!$C$18*'02_Eingaben'!$C$10,1,0))</f>
        <v/>
      </c>
      <c r="I2837" s="27">
        <f>IF(OR(G2837="",G2838=""),"",(G2837+G2838)/2*(B2838-B2837))</f>
        <v/>
      </c>
      <c r="J2837" s="27">
        <f>IF(B2837="","",IF(B2836&lt;'02_Eingaben'!$C$36,0,J2836+I2836/'02_Eingaben'!$C$8))</f>
        <v/>
      </c>
    </row>
    <row r="2838">
      <c r="A2838">
        <f>IF('01_Rohdaten'!A2838="","",ROW()-1)</f>
        <v/>
      </c>
      <c r="B2838" s="27">
        <f>IF('01_Rohdaten'!A2838="","",'01_Rohdaten'!A2838)</f>
        <v/>
      </c>
      <c r="C2838" s="27">
        <f>IF(B2838="","",INDEX('01_Rohdaten'!B2838:D2838,'02_Eingaben'!$C$13))</f>
        <v/>
      </c>
      <c r="D2838" s="27">
        <f>IF(C2838="","",C2838*'02_Eingaben'!$C$15)</f>
        <v/>
      </c>
      <c r="E2838" s="27">
        <f>IF(D2838="","",D2838*'02_Eingaben'!$C$8)</f>
        <v/>
      </c>
      <c r="F2838" s="27">
        <f>IF(E2838="","",AVERAGE(INDEX($E$2:$E$3001,MAX(1,ROW()-1-'02_Eingaben'!$C$17)):INDEX($E$2:$E$3001,MIN('02_Eingaben'!$C$21,ROW()-1+'02_Eingaben'!$C$17))))</f>
        <v/>
      </c>
      <c r="G2838" s="27">
        <f>IF(F2838="","",F2838-'02_Eingaben'!$C$10)</f>
        <v/>
      </c>
      <c r="H2838">
        <f>IF(F2838="","",IF(F2838&lt;'02_Eingaben'!$C$18*'02_Eingaben'!$C$10,1,0))</f>
        <v/>
      </c>
      <c r="I2838" s="27">
        <f>IF(OR(G2838="",G2839=""),"",(G2838+G2839)/2*(B2839-B2838))</f>
        <v/>
      </c>
      <c r="J2838" s="27">
        <f>IF(B2838="","",IF(B2837&lt;'02_Eingaben'!$C$36,0,J2837+I2837/'02_Eingaben'!$C$8))</f>
        <v/>
      </c>
    </row>
    <row r="2839">
      <c r="A2839">
        <f>IF('01_Rohdaten'!A2839="","",ROW()-1)</f>
        <v/>
      </c>
      <c r="B2839" s="27">
        <f>IF('01_Rohdaten'!A2839="","",'01_Rohdaten'!A2839)</f>
        <v/>
      </c>
      <c r="C2839" s="27">
        <f>IF(B2839="","",INDEX('01_Rohdaten'!B2839:D2839,'02_Eingaben'!$C$13))</f>
        <v/>
      </c>
      <c r="D2839" s="27">
        <f>IF(C2839="","",C2839*'02_Eingaben'!$C$15)</f>
        <v/>
      </c>
      <c r="E2839" s="27">
        <f>IF(D2839="","",D2839*'02_Eingaben'!$C$8)</f>
        <v/>
      </c>
      <c r="F2839" s="27">
        <f>IF(E2839="","",AVERAGE(INDEX($E$2:$E$3001,MAX(1,ROW()-1-'02_Eingaben'!$C$17)):INDEX($E$2:$E$3001,MIN('02_Eingaben'!$C$21,ROW()-1+'02_Eingaben'!$C$17))))</f>
        <v/>
      </c>
      <c r="G2839" s="27">
        <f>IF(F2839="","",F2839-'02_Eingaben'!$C$10)</f>
        <v/>
      </c>
      <c r="H2839">
        <f>IF(F2839="","",IF(F2839&lt;'02_Eingaben'!$C$18*'02_Eingaben'!$C$10,1,0))</f>
        <v/>
      </c>
      <c r="I2839" s="27">
        <f>IF(OR(G2839="",G2840=""),"",(G2839+G2840)/2*(B2840-B2839))</f>
        <v/>
      </c>
      <c r="J2839" s="27">
        <f>IF(B2839="","",IF(B2838&lt;'02_Eingaben'!$C$36,0,J2838+I2838/'02_Eingaben'!$C$8))</f>
        <v/>
      </c>
    </row>
    <row r="2840">
      <c r="A2840">
        <f>IF('01_Rohdaten'!A2840="","",ROW()-1)</f>
        <v/>
      </c>
      <c r="B2840" s="27">
        <f>IF('01_Rohdaten'!A2840="","",'01_Rohdaten'!A2840)</f>
        <v/>
      </c>
      <c r="C2840" s="27">
        <f>IF(B2840="","",INDEX('01_Rohdaten'!B2840:D2840,'02_Eingaben'!$C$13))</f>
        <v/>
      </c>
      <c r="D2840" s="27">
        <f>IF(C2840="","",C2840*'02_Eingaben'!$C$15)</f>
        <v/>
      </c>
      <c r="E2840" s="27">
        <f>IF(D2840="","",D2840*'02_Eingaben'!$C$8)</f>
        <v/>
      </c>
      <c r="F2840" s="27">
        <f>IF(E2840="","",AVERAGE(INDEX($E$2:$E$3001,MAX(1,ROW()-1-'02_Eingaben'!$C$17)):INDEX($E$2:$E$3001,MIN('02_Eingaben'!$C$21,ROW()-1+'02_Eingaben'!$C$17))))</f>
        <v/>
      </c>
      <c r="G2840" s="27">
        <f>IF(F2840="","",F2840-'02_Eingaben'!$C$10)</f>
        <v/>
      </c>
      <c r="H2840">
        <f>IF(F2840="","",IF(F2840&lt;'02_Eingaben'!$C$18*'02_Eingaben'!$C$10,1,0))</f>
        <v/>
      </c>
      <c r="I2840" s="27">
        <f>IF(OR(G2840="",G2841=""),"",(G2840+G2841)/2*(B2841-B2840))</f>
        <v/>
      </c>
      <c r="J2840" s="27">
        <f>IF(B2840="","",IF(B2839&lt;'02_Eingaben'!$C$36,0,J2839+I2839/'02_Eingaben'!$C$8))</f>
        <v/>
      </c>
    </row>
    <row r="2841">
      <c r="A2841">
        <f>IF('01_Rohdaten'!A2841="","",ROW()-1)</f>
        <v/>
      </c>
      <c r="B2841" s="27">
        <f>IF('01_Rohdaten'!A2841="","",'01_Rohdaten'!A2841)</f>
        <v/>
      </c>
      <c r="C2841" s="27">
        <f>IF(B2841="","",INDEX('01_Rohdaten'!B2841:D2841,'02_Eingaben'!$C$13))</f>
        <v/>
      </c>
      <c r="D2841" s="27">
        <f>IF(C2841="","",C2841*'02_Eingaben'!$C$15)</f>
        <v/>
      </c>
      <c r="E2841" s="27">
        <f>IF(D2841="","",D2841*'02_Eingaben'!$C$8)</f>
        <v/>
      </c>
      <c r="F2841" s="27">
        <f>IF(E2841="","",AVERAGE(INDEX($E$2:$E$3001,MAX(1,ROW()-1-'02_Eingaben'!$C$17)):INDEX($E$2:$E$3001,MIN('02_Eingaben'!$C$21,ROW()-1+'02_Eingaben'!$C$17))))</f>
        <v/>
      </c>
      <c r="G2841" s="27">
        <f>IF(F2841="","",F2841-'02_Eingaben'!$C$10)</f>
        <v/>
      </c>
      <c r="H2841">
        <f>IF(F2841="","",IF(F2841&lt;'02_Eingaben'!$C$18*'02_Eingaben'!$C$10,1,0))</f>
        <v/>
      </c>
      <c r="I2841" s="27">
        <f>IF(OR(G2841="",G2842=""),"",(G2841+G2842)/2*(B2842-B2841))</f>
        <v/>
      </c>
      <c r="J2841" s="27">
        <f>IF(B2841="","",IF(B2840&lt;'02_Eingaben'!$C$36,0,J2840+I2840/'02_Eingaben'!$C$8))</f>
        <v/>
      </c>
    </row>
    <row r="2842">
      <c r="A2842">
        <f>IF('01_Rohdaten'!A2842="","",ROW()-1)</f>
        <v/>
      </c>
      <c r="B2842" s="27">
        <f>IF('01_Rohdaten'!A2842="","",'01_Rohdaten'!A2842)</f>
        <v/>
      </c>
      <c r="C2842" s="27">
        <f>IF(B2842="","",INDEX('01_Rohdaten'!B2842:D2842,'02_Eingaben'!$C$13))</f>
        <v/>
      </c>
      <c r="D2842" s="27">
        <f>IF(C2842="","",C2842*'02_Eingaben'!$C$15)</f>
        <v/>
      </c>
      <c r="E2842" s="27">
        <f>IF(D2842="","",D2842*'02_Eingaben'!$C$8)</f>
        <v/>
      </c>
      <c r="F2842" s="27">
        <f>IF(E2842="","",AVERAGE(INDEX($E$2:$E$3001,MAX(1,ROW()-1-'02_Eingaben'!$C$17)):INDEX($E$2:$E$3001,MIN('02_Eingaben'!$C$21,ROW()-1+'02_Eingaben'!$C$17))))</f>
        <v/>
      </c>
      <c r="G2842" s="27">
        <f>IF(F2842="","",F2842-'02_Eingaben'!$C$10)</f>
        <v/>
      </c>
      <c r="H2842">
        <f>IF(F2842="","",IF(F2842&lt;'02_Eingaben'!$C$18*'02_Eingaben'!$C$10,1,0))</f>
        <v/>
      </c>
      <c r="I2842" s="27">
        <f>IF(OR(G2842="",G2843=""),"",(G2842+G2843)/2*(B2843-B2842))</f>
        <v/>
      </c>
      <c r="J2842" s="27">
        <f>IF(B2842="","",IF(B2841&lt;'02_Eingaben'!$C$36,0,J2841+I2841/'02_Eingaben'!$C$8))</f>
        <v/>
      </c>
    </row>
    <row r="2843">
      <c r="A2843">
        <f>IF('01_Rohdaten'!A2843="","",ROW()-1)</f>
        <v/>
      </c>
      <c r="B2843" s="27">
        <f>IF('01_Rohdaten'!A2843="","",'01_Rohdaten'!A2843)</f>
        <v/>
      </c>
      <c r="C2843" s="27">
        <f>IF(B2843="","",INDEX('01_Rohdaten'!B2843:D2843,'02_Eingaben'!$C$13))</f>
        <v/>
      </c>
      <c r="D2843" s="27">
        <f>IF(C2843="","",C2843*'02_Eingaben'!$C$15)</f>
        <v/>
      </c>
      <c r="E2843" s="27">
        <f>IF(D2843="","",D2843*'02_Eingaben'!$C$8)</f>
        <v/>
      </c>
      <c r="F2843" s="27">
        <f>IF(E2843="","",AVERAGE(INDEX($E$2:$E$3001,MAX(1,ROW()-1-'02_Eingaben'!$C$17)):INDEX($E$2:$E$3001,MIN('02_Eingaben'!$C$21,ROW()-1+'02_Eingaben'!$C$17))))</f>
        <v/>
      </c>
      <c r="G2843" s="27">
        <f>IF(F2843="","",F2843-'02_Eingaben'!$C$10)</f>
        <v/>
      </c>
      <c r="H2843">
        <f>IF(F2843="","",IF(F2843&lt;'02_Eingaben'!$C$18*'02_Eingaben'!$C$10,1,0))</f>
        <v/>
      </c>
      <c r="I2843" s="27">
        <f>IF(OR(G2843="",G2844=""),"",(G2843+G2844)/2*(B2844-B2843))</f>
        <v/>
      </c>
      <c r="J2843" s="27">
        <f>IF(B2843="","",IF(B2842&lt;'02_Eingaben'!$C$36,0,J2842+I2842/'02_Eingaben'!$C$8))</f>
        <v/>
      </c>
    </row>
    <row r="2844">
      <c r="A2844">
        <f>IF('01_Rohdaten'!A2844="","",ROW()-1)</f>
        <v/>
      </c>
      <c r="B2844" s="27">
        <f>IF('01_Rohdaten'!A2844="","",'01_Rohdaten'!A2844)</f>
        <v/>
      </c>
      <c r="C2844" s="27">
        <f>IF(B2844="","",INDEX('01_Rohdaten'!B2844:D2844,'02_Eingaben'!$C$13))</f>
        <v/>
      </c>
      <c r="D2844" s="27">
        <f>IF(C2844="","",C2844*'02_Eingaben'!$C$15)</f>
        <v/>
      </c>
      <c r="E2844" s="27">
        <f>IF(D2844="","",D2844*'02_Eingaben'!$C$8)</f>
        <v/>
      </c>
      <c r="F2844" s="27">
        <f>IF(E2844="","",AVERAGE(INDEX($E$2:$E$3001,MAX(1,ROW()-1-'02_Eingaben'!$C$17)):INDEX($E$2:$E$3001,MIN('02_Eingaben'!$C$21,ROW()-1+'02_Eingaben'!$C$17))))</f>
        <v/>
      </c>
      <c r="G2844" s="27">
        <f>IF(F2844="","",F2844-'02_Eingaben'!$C$10)</f>
        <v/>
      </c>
      <c r="H2844">
        <f>IF(F2844="","",IF(F2844&lt;'02_Eingaben'!$C$18*'02_Eingaben'!$C$10,1,0))</f>
        <v/>
      </c>
      <c r="I2844" s="27">
        <f>IF(OR(G2844="",G2845=""),"",(G2844+G2845)/2*(B2845-B2844))</f>
        <v/>
      </c>
      <c r="J2844" s="27">
        <f>IF(B2844="","",IF(B2843&lt;'02_Eingaben'!$C$36,0,J2843+I2843/'02_Eingaben'!$C$8))</f>
        <v/>
      </c>
    </row>
    <row r="2845">
      <c r="A2845">
        <f>IF('01_Rohdaten'!A2845="","",ROW()-1)</f>
        <v/>
      </c>
      <c r="B2845" s="27">
        <f>IF('01_Rohdaten'!A2845="","",'01_Rohdaten'!A2845)</f>
        <v/>
      </c>
      <c r="C2845" s="27">
        <f>IF(B2845="","",INDEX('01_Rohdaten'!B2845:D2845,'02_Eingaben'!$C$13))</f>
        <v/>
      </c>
      <c r="D2845" s="27">
        <f>IF(C2845="","",C2845*'02_Eingaben'!$C$15)</f>
        <v/>
      </c>
      <c r="E2845" s="27">
        <f>IF(D2845="","",D2845*'02_Eingaben'!$C$8)</f>
        <v/>
      </c>
      <c r="F2845" s="27">
        <f>IF(E2845="","",AVERAGE(INDEX($E$2:$E$3001,MAX(1,ROW()-1-'02_Eingaben'!$C$17)):INDEX($E$2:$E$3001,MIN('02_Eingaben'!$C$21,ROW()-1+'02_Eingaben'!$C$17))))</f>
        <v/>
      </c>
      <c r="G2845" s="27">
        <f>IF(F2845="","",F2845-'02_Eingaben'!$C$10)</f>
        <v/>
      </c>
      <c r="H2845">
        <f>IF(F2845="","",IF(F2845&lt;'02_Eingaben'!$C$18*'02_Eingaben'!$C$10,1,0))</f>
        <v/>
      </c>
      <c r="I2845" s="27">
        <f>IF(OR(G2845="",G2846=""),"",(G2845+G2846)/2*(B2846-B2845))</f>
        <v/>
      </c>
      <c r="J2845" s="27">
        <f>IF(B2845="","",IF(B2844&lt;'02_Eingaben'!$C$36,0,J2844+I2844/'02_Eingaben'!$C$8))</f>
        <v/>
      </c>
    </row>
    <row r="2846">
      <c r="A2846">
        <f>IF('01_Rohdaten'!A2846="","",ROW()-1)</f>
        <v/>
      </c>
      <c r="B2846" s="27">
        <f>IF('01_Rohdaten'!A2846="","",'01_Rohdaten'!A2846)</f>
        <v/>
      </c>
      <c r="C2846" s="27">
        <f>IF(B2846="","",INDEX('01_Rohdaten'!B2846:D2846,'02_Eingaben'!$C$13))</f>
        <v/>
      </c>
      <c r="D2846" s="27">
        <f>IF(C2846="","",C2846*'02_Eingaben'!$C$15)</f>
        <v/>
      </c>
      <c r="E2846" s="27">
        <f>IF(D2846="","",D2846*'02_Eingaben'!$C$8)</f>
        <v/>
      </c>
      <c r="F2846" s="27">
        <f>IF(E2846="","",AVERAGE(INDEX($E$2:$E$3001,MAX(1,ROW()-1-'02_Eingaben'!$C$17)):INDEX($E$2:$E$3001,MIN('02_Eingaben'!$C$21,ROW()-1+'02_Eingaben'!$C$17))))</f>
        <v/>
      </c>
      <c r="G2846" s="27">
        <f>IF(F2846="","",F2846-'02_Eingaben'!$C$10)</f>
        <v/>
      </c>
      <c r="H2846">
        <f>IF(F2846="","",IF(F2846&lt;'02_Eingaben'!$C$18*'02_Eingaben'!$C$10,1,0))</f>
        <v/>
      </c>
      <c r="I2846" s="27">
        <f>IF(OR(G2846="",G2847=""),"",(G2846+G2847)/2*(B2847-B2846))</f>
        <v/>
      </c>
      <c r="J2846" s="27">
        <f>IF(B2846="","",IF(B2845&lt;'02_Eingaben'!$C$36,0,J2845+I2845/'02_Eingaben'!$C$8))</f>
        <v/>
      </c>
    </row>
    <row r="2847">
      <c r="A2847">
        <f>IF('01_Rohdaten'!A2847="","",ROW()-1)</f>
        <v/>
      </c>
      <c r="B2847" s="27">
        <f>IF('01_Rohdaten'!A2847="","",'01_Rohdaten'!A2847)</f>
        <v/>
      </c>
      <c r="C2847" s="27">
        <f>IF(B2847="","",INDEX('01_Rohdaten'!B2847:D2847,'02_Eingaben'!$C$13))</f>
        <v/>
      </c>
      <c r="D2847" s="27">
        <f>IF(C2847="","",C2847*'02_Eingaben'!$C$15)</f>
        <v/>
      </c>
      <c r="E2847" s="27">
        <f>IF(D2847="","",D2847*'02_Eingaben'!$C$8)</f>
        <v/>
      </c>
      <c r="F2847" s="27">
        <f>IF(E2847="","",AVERAGE(INDEX($E$2:$E$3001,MAX(1,ROW()-1-'02_Eingaben'!$C$17)):INDEX($E$2:$E$3001,MIN('02_Eingaben'!$C$21,ROW()-1+'02_Eingaben'!$C$17))))</f>
        <v/>
      </c>
      <c r="G2847" s="27">
        <f>IF(F2847="","",F2847-'02_Eingaben'!$C$10)</f>
        <v/>
      </c>
      <c r="H2847">
        <f>IF(F2847="","",IF(F2847&lt;'02_Eingaben'!$C$18*'02_Eingaben'!$C$10,1,0))</f>
        <v/>
      </c>
      <c r="I2847" s="27">
        <f>IF(OR(G2847="",G2848=""),"",(G2847+G2848)/2*(B2848-B2847))</f>
        <v/>
      </c>
      <c r="J2847" s="27">
        <f>IF(B2847="","",IF(B2846&lt;'02_Eingaben'!$C$36,0,J2846+I2846/'02_Eingaben'!$C$8))</f>
        <v/>
      </c>
    </row>
    <row r="2848">
      <c r="A2848">
        <f>IF('01_Rohdaten'!A2848="","",ROW()-1)</f>
        <v/>
      </c>
      <c r="B2848" s="27">
        <f>IF('01_Rohdaten'!A2848="","",'01_Rohdaten'!A2848)</f>
        <v/>
      </c>
      <c r="C2848" s="27">
        <f>IF(B2848="","",INDEX('01_Rohdaten'!B2848:D2848,'02_Eingaben'!$C$13))</f>
        <v/>
      </c>
      <c r="D2848" s="27">
        <f>IF(C2848="","",C2848*'02_Eingaben'!$C$15)</f>
        <v/>
      </c>
      <c r="E2848" s="27">
        <f>IF(D2848="","",D2848*'02_Eingaben'!$C$8)</f>
        <v/>
      </c>
      <c r="F2848" s="27">
        <f>IF(E2848="","",AVERAGE(INDEX($E$2:$E$3001,MAX(1,ROW()-1-'02_Eingaben'!$C$17)):INDEX($E$2:$E$3001,MIN('02_Eingaben'!$C$21,ROW()-1+'02_Eingaben'!$C$17))))</f>
        <v/>
      </c>
      <c r="G2848" s="27">
        <f>IF(F2848="","",F2848-'02_Eingaben'!$C$10)</f>
        <v/>
      </c>
      <c r="H2848">
        <f>IF(F2848="","",IF(F2848&lt;'02_Eingaben'!$C$18*'02_Eingaben'!$C$10,1,0))</f>
        <v/>
      </c>
      <c r="I2848" s="27">
        <f>IF(OR(G2848="",G2849=""),"",(G2848+G2849)/2*(B2849-B2848))</f>
        <v/>
      </c>
      <c r="J2848" s="27">
        <f>IF(B2848="","",IF(B2847&lt;'02_Eingaben'!$C$36,0,J2847+I2847/'02_Eingaben'!$C$8))</f>
        <v/>
      </c>
    </row>
    <row r="2849">
      <c r="A2849">
        <f>IF('01_Rohdaten'!A2849="","",ROW()-1)</f>
        <v/>
      </c>
      <c r="B2849" s="27">
        <f>IF('01_Rohdaten'!A2849="","",'01_Rohdaten'!A2849)</f>
        <v/>
      </c>
      <c r="C2849" s="27">
        <f>IF(B2849="","",INDEX('01_Rohdaten'!B2849:D2849,'02_Eingaben'!$C$13))</f>
        <v/>
      </c>
      <c r="D2849" s="27">
        <f>IF(C2849="","",C2849*'02_Eingaben'!$C$15)</f>
        <v/>
      </c>
      <c r="E2849" s="27">
        <f>IF(D2849="","",D2849*'02_Eingaben'!$C$8)</f>
        <v/>
      </c>
      <c r="F2849" s="27">
        <f>IF(E2849="","",AVERAGE(INDEX($E$2:$E$3001,MAX(1,ROW()-1-'02_Eingaben'!$C$17)):INDEX($E$2:$E$3001,MIN('02_Eingaben'!$C$21,ROW()-1+'02_Eingaben'!$C$17))))</f>
        <v/>
      </c>
      <c r="G2849" s="27">
        <f>IF(F2849="","",F2849-'02_Eingaben'!$C$10)</f>
        <v/>
      </c>
      <c r="H2849">
        <f>IF(F2849="","",IF(F2849&lt;'02_Eingaben'!$C$18*'02_Eingaben'!$C$10,1,0))</f>
        <v/>
      </c>
      <c r="I2849" s="27">
        <f>IF(OR(G2849="",G2850=""),"",(G2849+G2850)/2*(B2850-B2849))</f>
        <v/>
      </c>
      <c r="J2849" s="27">
        <f>IF(B2849="","",IF(B2848&lt;'02_Eingaben'!$C$36,0,J2848+I2848/'02_Eingaben'!$C$8))</f>
        <v/>
      </c>
    </row>
    <row r="2850">
      <c r="A2850">
        <f>IF('01_Rohdaten'!A2850="","",ROW()-1)</f>
        <v/>
      </c>
      <c r="B2850" s="27">
        <f>IF('01_Rohdaten'!A2850="","",'01_Rohdaten'!A2850)</f>
        <v/>
      </c>
      <c r="C2850" s="27">
        <f>IF(B2850="","",INDEX('01_Rohdaten'!B2850:D2850,'02_Eingaben'!$C$13))</f>
        <v/>
      </c>
      <c r="D2850" s="27">
        <f>IF(C2850="","",C2850*'02_Eingaben'!$C$15)</f>
        <v/>
      </c>
      <c r="E2850" s="27">
        <f>IF(D2850="","",D2850*'02_Eingaben'!$C$8)</f>
        <v/>
      </c>
      <c r="F2850" s="27">
        <f>IF(E2850="","",AVERAGE(INDEX($E$2:$E$3001,MAX(1,ROW()-1-'02_Eingaben'!$C$17)):INDEX($E$2:$E$3001,MIN('02_Eingaben'!$C$21,ROW()-1+'02_Eingaben'!$C$17))))</f>
        <v/>
      </c>
      <c r="G2850" s="27">
        <f>IF(F2850="","",F2850-'02_Eingaben'!$C$10)</f>
        <v/>
      </c>
      <c r="H2850">
        <f>IF(F2850="","",IF(F2850&lt;'02_Eingaben'!$C$18*'02_Eingaben'!$C$10,1,0))</f>
        <v/>
      </c>
      <c r="I2850" s="27">
        <f>IF(OR(G2850="",G2851=""),"",(G2850+G2851)/2*(B2851-B2850))</f>
        <v/>
      </c>
      <c r="J2850" s="27">
        <f>IF(B2850="","",IF(B2849&lt;'02_Eingaben'!$C$36,0,J2849+I2849/'02_Eingaben'!$C$8))</f>
        <v/>
      </c>
    </row>
    <row r="2851">
      <c r="A2851">
        <f>IF('01_Rohdaten'!A2851="","",ROW()-1)</f>
        <v/>
      </c>
      <c r="B2851" s="27">
        <f>IF('01_Rohdaten'!A2851="","",'01_Rohdaten'!A2851)</f>
        <v/>
      </c>
      <c r="C2851" s="27">
        <f>IF(B2851="","",INDEX('01_Rohdaten'!B2851:D2851,'02_Eingaben'!$C$13))</f>
        <v/>
      </c>
      <c r="D2851" s="27">
        <f>IF(C2851="","",C2851*'02_Eingaben'!$C$15)</f>
        <v/>
      </c>
      <c r="E2851" s="27">
        <f>IF(D2851="","",D2851*'02_Eingaben'!$C$8)</f>
        <v/>
      </c>
      <c r="F2851" s="27">
        <f>IF(E2851="","",AVERAGE(INDEX($E$2:$E$3001,MAX(1,ROW()-1-'02_Eingaben'!$C$17)):INDEX($E$2:$E$3001,MIN('02_Eingaben'!$C$21,ROW()-1+'02_Eingaben'!$C$17))))</f>
        <v/>
      </c>
      <c r="G2851" s="27">
        <f>IF(F2851="","",F2851-'02_Eingaben'!$C$10)</f>
        <v/>
      </c>
      <c r="H2851">
        <f>IF(F2851="","",IF(F2851&lt;'02_Eingaben'!$C$18*'02_Eingaben'!$C$10,1,0))</f>
        <v/>
      </c>
      <c r="I2851" s="27">
        <f>IF(OR(G2851="",G2852=""),"",(G2851+G2852)/2*(B2852-B2851))</f>
        <v/>
      </c>
      <c r="J2851" s="27">
        <f>IF(B2851="","",IF(B2850&lt;'02_Eingaben'!$C$36,0,J2850+I2850/'02_Eingaben'!$C$8))</f>
        <v/>
      </c>
    </row>
    <row r="2852">
      <c r="A2852">
        <f>IF('01_Rohdaten'!A2852="","",ROW()-1)</f>
        <v/>
      </c>
      <c r="B2852" s="27">
        <f>IF('01_Rohdaten'!A2852="","",'01_Rohdaten'!A2852)</f>
        <v/>
      </c>
      <c r="C2852" s="27">
        <f>IF(B2852="","",INDEX('01_Rohdaten'!B2852:D2852,'02_Eingaben'!$C$13))</f>
        <v/>
      </c>
      <c r="D2852" s="27">
        <f>IF(C2852="","",C2852*'02_Eingaben'!$C$15)</f>
        <v/>
      </c>
      <c r="E2852" s="27">
        <f>IF(D2852="","",D2852*'02_Eingaben'!$C$8)</f>
        <v/>
      </c>
      <c r="F2852" s="27">
        <f>IF(E2852="","",AVERAGE(INDEX($E$2:$E$3001,MAX(1,ROW()-1-'02_Eingaben'!$C$17)):INDEX($E$2:$E$3001,MIN('02_Eingaben'!$C$21,ROW()-1+'02_Eingaben'!$C$17))))</f>
        <v/>
      </c>
      <c r="G2852" s="27">
        <f>IF(F2852="","",F2852-'02_Eingaben'!$C$10)</f>
        <v/>
      </c>
      <c r="H2852">
        <f>IF(F2852="","",IF(F2852&lt;'02_Eingaben'!$C$18*'02_Eingaben'!$C$10,1,0))</f>
        <v/>
      </c>
      <c r="I2852" s="27">
        <f>IF(OR(G2852="",G2853=""),"",(G2852+G2853)/2*(B2853-B2852))</f>
        <v/>
      </c>
      <c r="J2852" s="27">
        <f>IF(B2852="","",IF(B2851&lt;'02_Eingaben'!$C$36,0,J2851+I2851/'02_Eingaben'!$C$8))</f>
        <v/>
      </c>
    </row>
    <row r="2853">
      <c r="A2853">
        <f>IF('01_Rohdaten'!A2853="","",ROW()-1)</f>
        <v/>
      </c>
      <c r="B2853" s="27">
        <f>IF('01_Rohdaten'!A2853="","",'01_Rohdaten'!A2853)</f>
        <v/>
      </c>
      <c r="C2853" s="27">
        <f>IF(B2853="","",INDEX('01_Rohdaten'!B2853:D2853,'02_Eingaben'!$C$13))</f>
        <v/>
      </c>
      <c r="D2853" s="27">
        <f>IF(C2853="","",C2853*'02_Eingaben'!$C$15)</f>
        <v/>
      </c>
      <c r="E2853" s="27">
        <f>IF(D2853="","",D2853*'02_Eingaben'!$C$8)</f>
        <v/>
      </c>
      <c r="F2853" s="27">
        <f>IF(E2853="","",AVERAGE(INDEX($E$2:$E$3001,MAX(1,ROW()-1-'02_Eingaben'!$C$17)):INDEX($E$2:$E$3001,MIN('02_Eingaben'!$C$21,ROW()-1+'02_Eingaben'!$C$17))))</f>
        <v/>
      </c>
      <c r="G2853" s="27">
        <f>IF(F2853="","",F2853-'02_Eingaben'!$C$10)</f>
        <v/>
      </c>
      <c r="H2853">
        <f>IF(F2853="","",IF(F2853&lt;'02_Eingaben'!$C$18*'02_Eingaben'!$C$10,1,0))</f>
        <v/>
      </c>
      <c r="I2853" s="27">
        <f>IF(OR(G2853="",G2854=""),"",(G2853+G2854)/2*(B2854-B2853))</f>
        <v/>
      </c>
      <c r="J2853" s="27">
        <f>IF(B2853="","",IF(B2852&lt;'02_Eingaben'!$C$36,0,J2852+I2852/'02_Eingaben'!$C$8))</f>
        <v/>
      </c>
    </row>
    <row r="2854">
      <c r="A2854">
        <f>IF('01_Rohdaten'!A2854="","",ROW()-1)</f>
        <v/>
      </c>
      <c r="B2854" s="27">
        <f>IF('01_Rohdaten'!A2854="","",'01_Rohdaten'!A2854)</f>
        <v/>
      </c>
      <c r="C2854" s="27">
        <f>IF(B2854="","",INDEX('01_Rohdaten'!B2854:D2854,'02_Eingaben'!$C$13))</f>
        <v/>
      </c>
      <c r="D2854" s="27">
        <f>IF(C2854="","",C2854*'02_Eingaben'!$C$15)</f>
        <v/>
      </c>
      <c r="E2854" s="27">
        <f>IF(D2854="","",D2854*'02_Eingaben'!$C$8)</f>
        <v/>
      </c>
      <c r="F2854" s="27">
        <f>IF(E2854="","",AVERAGE(INDEX($E$2:$E$3001,MAX(1,ROW()-1-'02_Eingaben'!$C$17)):INDEX($E$2:$E$3001,MIN('02_Eingaben'!$C$21,ROW()-1+'02_Eingaben'!$C$17))))</f>
        <v/>
      </c>
      <c r="G2854" s="27">
        <f>IF(F2854="","",F2854-'02_Eingaben'!$C$10)</f>
        <v/>
      </c>
      <c r="H2854">
        <f>IF(F2854="","",IF(F2854&lt;'02_Eingaben'!$C$18*'02_Eingaben'!$C$10,1,0))</f>
        <v/>
      </c>
      <c r="I2854" s="27">
        <f>IF(OR(G2854="",G2855=""),"",(G2854+G2855)/2*(B2855-B2854))</f>
        <v/>
      </c>
      <c r="J2854" s="27">
        <f>IF(B2854="","",IF(B2853&lt;'02_Eingaben'!$C$36,0,J2853+I2853/'02_Eingaben'!$C$8))</f>
        <v/>
      </c>
    </row>
    <row r="2855">
      <c r="A2855">
        <f>IF('01_Rohdaten'!A2855="","",ROW()-1)</f>
        <v/>
      </c>
      <c r="B2855" s="27">
        <f>IF('01_Rohdaten'!A2855="","",'01_Rohdaten'!A2855)</f>
        <v/>
      </c>
      <c r="C2855" s="27">
        <f>IF(B2855="","",INDEX('01_Rohdaten'!B2855:D2855,'02_Eingaben'!$C$13))</f>
        <v/>
      </c>
      <c r="D2855" s="27">
        <f>IF(C2855="","",C2855*'02_Eingaben'!$C$15)</f>
        <v/>
      </c>
      <c r="E2855" s="27">
        <f>IF(D2855="","",D2855*'02_Eingaben'!$C$8)</f>
        <v/>
      </c>
      <c r="F2855" s="27">
        <f>IF(E2855="","",AVERAGE(INDEX($E$2:$E$3001,MAX(1,ROW()-1-'02_Eingaben'!$C$17)):INDEX($E$2:$E$3001,MIN('02_Eingaben'!$C$21,ROW()-1+'02_Eingaben'!$C$17))))</f>
        <v/>
      </c>
      <c r="G2855" s="27">
        <f>IF(F2855="","",F2855-'02_Eingaben'!$C$10)</f>
        <v/>
      </c>
      <c r="H2855">
        <f>IF(F2855="","",IF(F2855&lt;'02_Eingaben'!$C$18*'02_Eingaben'!$C$10,1,0))</f>
        <v/>
      </c>
      <c r="I2855" s="27">
        <f>IF(OR(G2855="",G2856=""),"",(G2855+G2856)/2*(B2856-B2855))</f>
        <v/>
      </c>
      <c r="J2855" s="27">
        <f>IF(B2855="","",IF(B2854&lt;'02_Eingaben'!$C$36,0,J2854+I2854/'02_Eingaben'!$C$8))</f>
        <v/>
      </c>
    </row>
    <row r="2856">
      <c r="A2856">
        <f>IF('01_Rohdaten'!A2856="","",ROW()-1)</f>
        <v/>
      </c>
      <c r="B2856" s="27">
        <f>IF('01_Rohdaten'!A2856="","",'01_Rohdaten'!A2856)</f>
        <v/>
      </c>
      <c r="C2856" s="27">
        <f>IF(B2856="","",INDEX('01_Rohdaten'!B2856:D2856,'02_Eingaben'!$C$13))</f>
        <v/>
      </c>
      <c r="D2856" s="27">
        <f>IF(C2856="","",C2856*'02_Eingaben'!$C$15)</f>
        <v/>
      </c>
      <c r="E2856" s="27">
        <f>IF(D2856="","",D2856*'02_Eingaben'!$C$8)</f>
        <v/>
      </c>
      <c r="F2856" s="27">
        <f>IF(E2856="","",AVERAGE(INDEX($E$2:$E$3001,MAX(1,ROW()-1-'02_Eingaben'!$C$17)):INDEX($E$2:$E$3001,MIN('02_Eingaben'!$C$21,ROW()-1+'02_Eingaben'!$C$17))))</f>
        <v/>
      </c>
      <c r="G2856" s="27">
        <f>IF(F2856="","",F2856-'02_Eingaben'!$C$10)</f>
        <v/>
      </c>
      <c r="H2856">
        <f>IF(F2856="","",IF(F2856&lt;'02_Eingaben'!$C$18*'02_Eingaben'!$C$10,1,0))</f>
        <v/>
      </c>
      <c r="I2856" s="27">
        <f>IF(OR(G2856="",G2857=""),"",(G2856+G2857)/2*(B2857-B2856))</f>
        <v/>
      </c>
      <c r="J2856" s="27">
        <f>IF(B2856="","",IF(B2855&lt;'02_Eingaben'!$C$36,0,J2855+I2855/'02_Eingaben'!$C$8))</f>
        <v/>
      </c>
    </row>
    <row r="2857">
      <c r="A2857">
        <f>IF('01_Rohdaten'!A2857="","",ROW()-1)</f>
        <v/>
      </c>
      <c r="B2857" s="27">
        <f>IF('01_Rohdaten'!A2857="","",'01_Rohdaten'!A2857)</f>
        <v/>
      </c>
      <c r="C2857" s="27">
        <f>IF(B2857="","",INDEX('01_Rohdaten'!B2857:D2857,'02_Eingaben'!$C$13))</f>
        <v/>
      </c>
      <c r="D2857" s="27">
        <f>IF(C2857="","",C2857*'02_Eingaben'!$C$15)</f>
        <v/>
      </c>
      <c r="E2857" s="27">
        <f>IF(D2857="","",D2857*'02_Eingaben'!$C$8)</f>
        <v/>
      </c>
      <c r="F2857" s="27">
        <f>IF(E2857="","",AVERAGE(INDEX($E$2:$E$3001,MAX(1,ROW()-1-'02_Eingaben'!$C$17)):INDEX($E$2:$E$3001,MIN('02_Eingaben'!$C$21,ROW()-1+'02_Eingaben'!$C$17))))</f>
        <v/>
      </c>
      <c r="G2857" s="27">
        <f>IF(F2857="","",F2857-'02_Eingaben'!$C$10)</f>
        <v/>
      </c>
      <c r="H2857">
        <f>IF(F2857="","",IF(F2857&lt;'02_Eingaben'!$C$18*'02_Eingaben'!$C$10,1,0))</f>
        <v/>
      </c>
      <c r="I2857" s="27">
        <f>IF(OR(G2857="",G2858=""),"",(G2857+G2858)/2*(B2858-B2857))</f>
        <v/>
      </c>
      <c r="J2857" s="27">
        <f>IF(B2857="","",IF(B2856&lt;'02_Eingaben'!$C$36,0,J2856+I2856/'02_Eingaben'!$C$8))</f>
        <v/>
      </c>
    </row>
    <row r="2858">
      <c r="A2858">
        <f>IF('01_Rohdaten'!A2858="","",ROW()-1)</f>
        <v/>
      </c>
      <c r="B2858" s="27">
        <f>IF('01_Rohdaten'!A2858="","",'01_Rohdaten'!A2858)</f>
        <v/>
      </c>
      <c r="C2858" s="27">
        <f>IF(B2858="","",INDEX('01_Rohdaten'!B2858:D2858,'02_Eingaben'!$C$13))</f>
        <v/>
      </c>
      <c r="D2858" s="27">
        <f>IF(C2858="","",C2858*'02_Eingaben'!$C$15)</f>
        <v/>
      </c>
      <c r="E2858" s="27">
        <f>IF(D2858="","",D2858*'02_Eingaben'!$C$8)</f>
        <v/>
      </c>
      <c r="F2858" s="27">
        <f>IF(E2858="","",AVERAGE(INDEX($E$2:$E$3001,MAX(1,ROW()-1-'02_Eingaben'!$C$17)):INDEX($E$2:$E$3001,MIN('02_Eingaben'!$C$21,ROW()-1+'02_Eingaben'!$C$17))))</f>
        <v/>
      </c>
      <c r="G2858" s="27">
        <f>IF(F2858="","",F2858-'02_Eingaben'!$C$10)</f>
        <v/>
      </c>
      <c r="H2858">
        <f>IF(F2858="","",IF(F2858&lt;'02_Eingaben'!$C$18*'02_Eingaben'!$C$10,1,0))</f>
        <v/>
      </c>
      <c r="I2858" s="27">
        <f>IF(OR(G2858="",G2859=""),"",(G2858+G2859)/2*(B2859-B2858))</f>
        <v/>
      </c>
      <c r="J2858" s="27">
        <f>IF(B2858="","",IF(B2857&lt;'02_Eingaben'!$C$36,0,J2857+I2857/'02_Eingaben'!$C$8))</f>
        <v/>
      </c>
    </row>
    <row r="2859">
      <c r="A2859">
        <f>IF('01_Rohdaten'!A2859="","",ROW()-1)</f>
        <v/>
      </c>
      <c r="B2859" s="27">
        <f>IF('01_Rohdaten'!A2859="","",'01_Rohdaten'!A2859)</f>
        <v/>
      </c>
      <c r="C2859" s="27">
        <f>IF(B2859="","",INDEX('01_Rohdaten'!B2859:D2859,'02_Eingaben'!$C$13))</f>
        <v/>
      </c>
      <c r="D2859" s="27">
        <f>IF(C2859="","",C2859*'02_Eingaben'!$C$15)</f>
        <v/>
      </c>
      <c r="E2859" s="27">
        <f>IF(D2859="","",D2859*'02_Eingaben'!$C$8)</f>
        <v/>
      </c>
      <c r="F2859" s="27">
        <f>IF(E2859="","",AVERAGE(INDEX($E$2:$E$3001,MAX(1,ROW()-1-'02_Eingaben'!$C$17)):INDEX($E$2:$E$3001,MIN('02_Eingaben'!$C$21,ROW()-1+'02_Eingaben'!$C$17))))</f>
        <v/>
      </c>
      <c r="G2859" s="27">
        <f>IF(F2859="","",F2859-'02_Eingaben'!$C$10)</f>
        <v/>
      </c>
      <c r="H2859">
        <f>IF(F2859="","",IF(F2859&lt;'02_Eingaben'!$C$18*'02_Eingaben'!$C$10,1,0))</f>
        <v/>
      </c>
      <c r="I2859" s="27">
        <f>IF(OR(G2859="",G2860=""),"",(G2859+G2860)/2*(B2860-B2859))</f>
        <v/>
      </c>
      <c r="J2859" s="27">
        <f>IF(B2859="","",IF(B2858&lt;'02_Eingaben'!$C$36,0,J2858+I2858/'02_Eingaben'!$C$8))</f>
        <v/>
      </c>
    </row>
    <row r="2860">
      <c r="A2860">
        <f>IF('01_Rohdaten'!A2860="","",ROW()-1)</f>
        <v/>
      </c>
      <c r="B2860" s="27">
        <f>IF('01_Rohdaten'!A2860="","",'01_Rohdaten'!A2860)</f>
        <v/>
      </c>
      <c r="C2860" s="27">
        <f>IF(B2860="","",INDEX('01_Rohdaten'!B2860:D2860,'02_Eingaben'!$C$13))</f>
        <v/>
      </c>
      <c r="D2860" s="27">
        <f>IF(C2860="","",C2860*'02_Eingaben'!$C$15)</f>
        <v/>
      </c>
      <c r="E2860" s="27">
        <f>IF(D2860="","",D2860*'02_Eingaben'!$C$8)</f>
        <v/>
      </c>
      <c r="F2860" s="27">
        <f>IF(E2860="","",AVERAGE(INDEX($E$2:$E$3001,MAX(1,ROW()-1-'02_Eingaben'!$C$17)):INDEX($E$2:$E$3001,MIN('02_Eingaben'!$C$21,ROW()-1+'02_Eingaben'!$C$17))))</f>
        <v/>
      </c>
      <c r="G2860" s="27">
        <f>IF(F2860="","",F2860-'02_Eingaben'!$C$10)</f>
        <v/>
      </c>
      <c r="H2860">
        <f>IF(F2860="","",IF(F2860&lt;'02_Eingaben'!$C$18*'02_Eingaben'!$C$10,1,0))</f>
        <v/>
      </c>
      <c r="I2860" s="27">
        <f>IF(OR(G2860="",G2861=""),"",(G2860+G2861)/2*(B2861-B2860))</f>
        <v/>
      </c>
      <c r="J2860" s="27">
        <f>IF(B2860="","",IF(B2859&lt;'02_Eingaben'!$C$36,0,J2859+I2859/'02_Eingaben'!$C$8))</f>
        <v/>
      </c>
    </row>
    <row r="2861">
      <c r="A2861">
        <f>IF('01_Rohdaten'!A2861="","",ROW()-1)</f>
        <v/>
      </c>
      <c r="B2861" s="27">
        <f>IF('01_Rohdaten'!A2861="","",'01_Rohdaten'!A2861)</f>
        <v/>
      </c>
      <c r="C2861" s="27">
        <f>IF(B2861="","",INDEX('01_Rohdaten'!B2861:D2861,'02_Eingaben'!$C$13))</f>
        <v/>
      </c>
      <c r="D2861" s="27">
        <f>IF(C2861="","",C2861*'02_Eingaben'!$C$15)</f>
        <v/>
      </c>
      <c r="E2861" s="27">
        <f>IF(D2861="","",D2861*'02_Eingaben'!$C$8)</f>
        <v/>
      </c>
      <c r="F2861" s="27">
        <f>IF(E2861="","",AVERAGE(INDEX($E$2:$E$3001,MAX(1,ROW()-1-'02_Eingaben'!$C$17)):INDEX($E$2:$E$3001,MIN('02_Eingaben'!$C$21,ROW()-1+'02_Eingaben'!$C$17))))</f>
        <v/>
      </c>
      <c r="G2861" s="27">
        <f>IF(F2861="","",F2861-'02_Eingaben'!$C$10)</f>
        <v/>
      </c>
      <c r="H2861">
        <f>IF(F2861="","",IF(F2861&lt;'02_Eingaben'!$C$18*'02_Eingaben'!$C$10,1,0))</f>
        <v/>
      </c>
      <c r="I2861" s="27">
        <f>IF(OR(G2861="",G2862=""),"",(G2861+G2862)/2*(B2862-B2861))</f>
        <v/>
      </c>
      <c r="J2861" s="27">
        <f>IF(B2861="","",IF(B2860&lt;'02_Eingaben'!$C$36,0,J2860+I2860/'02_Eingaben'!$C$8))</f>
        <v/>
      </c>
    </row>
    <row r="2862">
      <c r="A2862">
        <f>IF('01_Rohdaten'!A2862="","",ROW()-1)</f>
        <v/>
      </c>
      <c r="B2862" s="27">
        <f>IF('01_Rohdaten'!A2862="","",'01_Rohdaten'!A2862)</f>
        <v/>
      </c>
      <c r="C2862" s="27">
        <f>IF(B2862="","",INDEX('01_Rohdaten'!B2862:D2862,'02_Eingaben'!$C$13))</f>
        <v/>
      </c>
      <c r="D2862" s="27">
        <f>IF(C2862="","",C2862*'02_Eingaben'!$C$15)</f>
        <v/>
      </c>
      <c r="E2862" s="27">
        <f>IF(D2862="","",D2862*'02_Eingaben'!$C$8)</f>
        <v/>
      </c>
      <c r="F2862" s="27">
        <f>IF(E2862="","",AVERAGE(INDEX($E$2:$E$3001,MAX(1,ROW()-1-'02_Eingaben'!$C$17)):INDEX($E$2:$E$3001,MIN('02_Eingaben'!$C$21,ROW()-1+'02_Eingaben'!$C$17))))</f>
        <v/>
      </c>
      <c r="G2862" s="27">
        <f>IF(F2862="","",F2862-'02_Eingaben'!$C$10)</f>
        <v/>
      </c>
      <c r="H2862">
        <f>IF(F2862="","",IF(F2862&lt;'02_Eingaben'!$C$18*'02_Eingaben'!$C$10,1,0))</f>
        <v/>
      </c>
      <c r="I2862" s="27">
        <f>IF(OR(G2862="",G2863=""),"",(G2862+G2863)/2*(B2863-B2862))</f>
        <v/>
      </c>
      <c r="J2862" s="27">
        <f>IF(B2862="","",IF(B2861&lt;'02_Eingaben'!$C$36,0,J2861+I2861/'02_Eingaben'!$C$8))</f>
        <v/>
      </c>
    </row>
    <row r="2863">
      <c r="A2863">
        <f>IF('01_Rohdaten'!A2863="","",ROW()-1)</f>
        <v/>
      </c>
      <c r="B2863" s="27">
        <f>IF('01_Rohdaten'!A2863="","",'01_Rohdaten'!A2863)</f>
        <v/>
      </c>
      <c r="C2863" s="27">
        <f>IF(B2863="","",INDEX('01_Rohdaten'!B2863:D2863,'02_Eingaben'!$C$13))</f>
        <v/>
      </c>
      <c r="D2863" s="27">
        <f>IF(C2863="","",C2863*'02_Eingaben'!$C$15)</f>
        <v/>
      </c>
      <c r="E2863" s="27">
        <f>IF(D2863="","",D2863*'02_Eingaben'!$C$8)</f>
        <v/>
      </c>
      <c r="F2863" s="27">
        <f>IF(E2863="","",AVERAGE(INDEX($E$2:$E$3001,MAX(1,ROW()-1-'02_Eingaben'!$C$17)):INDEX($E$2:$E$3001,MIN('02_Eingaben'!$C$21,ROW()-1+'02_Eingaben'!$C$17))))</f>
        <v/>
      </c>
      <c r="G2863" s="27">
        <f>IF(F2863="","",F2863-'02_Eingaben'!$C$10)</f>
        <v/>
      </c>
      <c r="H2863">
        <f>IF(F2863="","",IF(F2863&lt;'02_Eingaben'!$C$18*'02_Eingaben'!$C$10,1,0))</f>
        <v/>
      </c>
      <c r="I2863" s="27">
        <f>IF(OR(G2863="",G2864=""),"",(G2863+G2864)/2*(B2864-B2863))</f>
        <v/>
      </c>
      <c r="J2863" s="27">
        <f>IF(B2863="","",IF(B2862&lt;'02_Eingaben'!$C$36,0,J2862+I2862/'02_Eingaben'!$C$8))</f>
        <v/>
      </c>
    </row>
    <row r="2864">
      <c r="A2864">
        <f>IF('01_Rohdaten'!A2864="","",ROW()-1)</f>
        <v/>
      </c>
      <c r="B2864" s="27">
        <f>IF('01_Rohdaten'!A2864="","",'01_Rohdaten'!A2864)</f>
        <v/>
      </c>
      <c r="C2864" s="27">
        <f>IF(B2864="","",INDEX('01_Rohdaten'!B2864:D2864,'02_Eingaben'!$C$13))</f>
        <v/>
      </c>
      <c r="D2864" s="27">
        <f>IF(C2864="","",C2864*'02_Eingaben'!$C$15)</f>
        <v/>
      </c>
      <c r="E2864" s="27">
        <f>IF(D2864="","",D2864*'02_Eingaben'!$C$8)</f>
        <v/>
      </c>
      <c r="F2864" s="27">
        <f>IF(E2864="","",AVERAGE(INDEX($E$2:$E$3001,MAX(1,ROW()-1-'02_Eingaben'!$C$17)):INDEX($E$2:$E$3001,MIN('02_Eingaben'!$C$21,ROW()-1+'02_Eingaben'!$C$17))))</f>
        <v/>
      </c>
      <c r="G2864" s="27">
        <f>IF(F2864="","",F2864-'02_Eingaben'!$C$10)</f>
        <v/>
      </c>
      <c r="H2864">
        <f>IF(F2864="","",IF(F2864&lt;'02_Eingaben'!$C$18*'02_Eingaben'!$C$10,1,0))</f>
        <v/>
      </c>
      <c r="I2864" s="27">
        <f>IF(OR(G2864="",G2865=""),"",(G2864+G2865)/2*(B2865-B2864))</f>
        <v/>
      </c>
      <c r="J2864" s="27">
        <f>IF(B2864="","",IF(B2863&lt;'02_Eingaben'!$C$36,0,J2863+I2863/'02_Eingaben'!$C$8))</f>
        <v/>
      </c>
    </row>
    <row r="2865">
      <c r="A2865">
        <f>IF('01_Rohdaten'!A2865="","",ROW()-1)</f>
        <v/>
      </c>
      <c r="B2865" s="27">
        <f>IF('01_Rohdaten'!A2865="","",'01_Rohdaten'!A2865)</f>
        <v/>
      </c>
      <c r="C2865" s="27">
        <f>IF(B2865="","",INDEX('01_Rohdaten'!B2865:D2865,'02_Eingaben'!$C$13))</f>
        <v/>
      </c>
      <c r="D2865" s="27">
        <f>IF(C2865="","",C2865*'02_Eingaben'!$C$15)</f>
        <v/>
      </c>
      <c r="E2865" s="27">
        <f>IF(D2865="","",D2865*'02_Eingaben'!$C$8)</f>
        <v/>
      </c>
      <c r="F2865" s="27">
        <f>IF(E2865="","",AVERAGE(INDEX($E$2:$E$3001,MAX(1,ROW()-1-'02_Eingaben'!$C$17)):INDEX($E$2:$E$3001,MIN('02_Eingaben'!$C$21,ROW()-1+'02_Eingaben'!$C$17))))</f>
        <v/>
      </c>
      <c r="G2865" s="27">
        <f>IF(F2865="","",F2865-'02_Eingaben'!$C$10)</f>
        <v/>
      </c>
      <c r="H2865">
        <f>IF(F2865="","",IF(F2865&lt;'02_Eingaben'!$C$18*'02_Eingaben'!$C$10,1,0))</f>
        <v/>
      </c>
      <c r="I2865" s="27">
        <f>IF(OR(G2865="",G2866=""),"",(G2865+G2866)/2*(B2866-B2865))</f>
        <v/>
      </c>
      <c r="J2865" s="27">
        <f>IF(B2865="","",IF(B2864&lt;'02_Eingaben'!$C$36,0,J2864+I2864/'02_Eingaben'!$C$8))</f>
        <v/>
      </c>
    </row>
    <row r="2866">
      <c r="A2866">
        <f>IF('01_Rohdaten'!A2866="","",ROW()-1)</f>
        <v/>
      </c>
      <c r="B2866" s="27">
        <f>IF('01_Rohdaten'!A2866="","",'01_Rohdaten'!A2866)</f>
        <v/>
      </c>
      <c r="C2866" s="27">
        <f>IF(B2866="","",INDEX('01_Rohdaten'!B2866:D2866,'02_Eingaben'!$C$13))</f>
        <v/>
      </c>
      <c r="D2866" s="27">
        <f>IF(C2866="","",C2866*'02_Eingaben'!$C$15)</f>
        <v/>
      </c>
      <c r="E2866" s="27">
        <f>IF(D2866="","",D2866*'02_Eingaben'!$C$8)</f>
        <v/>
      </c>
      <c r="F2866" s="27">
        <f>IF(E2866="","",AVERAGE(INDEX($E$2:$E$3001,MAX(1,ROW()-1-'02_Eingaben'!$C$17)):INDEX($E$2:$E$3001,MIN('02_Eingaben'!$C$21,ROW()-1+'02_Eingaben'!$C$17))))</f>
        <v/>
      </c>
      <c r="G2866" s="27">
        <f>IF(F2866="","",F2866-'02_Eingaben'!$C$10)</f>
        <v/>
      </c>
      <c r="H2866">
        <f>IF(F2866="","",IF(F2866&lt;'02_Eingaben'!$C$18*'02_Eingaben'!$C$10,1,0))</f>
        <v/>
      </c>
      <c r="I2866" s="27">
        <f>IF(OR(G2866="",G2867=""),"",(G2866+G2867)/2*(B2867-B2866))</f>
        <v/>
      </c>
      <c r="J2866" s="27">
        <f>IF(B2866="","",IF(B2865&lt;'02_Eingaben'!$C$36,0,J2865+I2865/'02_Eingaben'!$C$8))</f>
        <v/>
      </c>
    </row>
    <row r="2867">
      <c r="A2867">
        <f>IF('01_Rohdaten'!A2867="","",ROW()-1)</f>
        <v/>
      </c>
      <c r="B2867" s="27">
        <f>IF('01_Rohdaten'!A2867="","",'01_Rohdaten'!A2867)</f>
        <v/>
      </c>
      <c r="C2867" s="27">
        <f>IF(B2867="","",INDEX('01_Rohdaten'!B2867:D2867,'02_Eingaben'!$C$13))</f>
        <v/>
      </c>
      <c r="D2867" s="27">
        <f>IF(C2867="","",C2867*'02_Eingaben'!$C$15)</f>
        <v/>
      </c>
      <c r="E2867" s="27">
        <f>IF(D2867="","",D2867*'02_Eingaben'!$C$8)</f>
        <v/>
      </c>
      <c r="F2867" s="27">
        <f>IF(E2867="","",AVERAGE(INDEX($E$2:$E$3001,MAX(1,ROW()-1-'02_Eingaben'!$C$17)):INDEX($E$2:$E$3001,MIN('02_Eingaben'!$C$21,ROW()-1+'02_Eingaben'!$C$17))))</f>
        <v/>
      </c>
      <c r="G2867" s="27">
        <f>IF(F2867="","",F2867-'02_Eingaben'!$C$10)</f>
        <v/>
      </c>
      <c r="H2867">
        <f>IF(F2867="","",IF(F2867&lt;'02_Eingaben'!$C$18*'02_Eingaben'!$C$10,1,0))</f>
        <v/>
      </c>
      <c r="I2867" s="27">
        <f>IF(OR(G2867="",G2868=""),"",(G2867+G2868)/2*(B2868-B2867))</f>
        <v/>
      </c>
      <c r="J2867" s="27">
        <f>IF(B2867="","",IF(B2866&lt;'02_Eingaben'!$C$36,0,J2866+I2866/'02_Eingaben'!$C$8))</f>
        <v/>
      </c>
    </row>
    <row r="2868">
      <c r="A2868">
        <f>IF('01_Rohdaten'!A2868="","",ROW()-1)</f>
        <v/>
      </c>
      <c r="B2868" s="27">
        <f>IF('01_Rohdaten'!A2868="","",'01_Rohdaten'!A2868)</f>
        <v/>
      </c>
      <c r="C2868" s="27">
        <f>IF(B2868="","",INDEX('01_Rohdaten'!B2868:D2868,'02_Eingaben'!$C$13))</f>
        <v/>
      </c>
      <c r="D2868" s="27">
        <f>IF(C2868="","",C2868*'02_Eingaben'!$C$15)</f>
        <v/>
      </c>
      <c r="E2868" s="27">
        <f>IF(D2868="","",D2868*'02_Eingaben'!$C$8)</f>
        <v/>
      </c>
      <c r="F2868" s="27">
        <f>IF(E2868="","",AVERAGE(INDEX($E$2:$E$3001,MAX(1,ROW()-1-'02_Eingaben'!$C$17)):INDEX($E$2:$E$3001,MIN('02_Eingaben'!$C$21,ROW()-1+'02_Eingaben'!$C$17))))</f>
        <v/>
      </c>
      <c r="G2868" s="27">
        <f>IF(F2868="","",F2868-'02_Eingaben'!$C$10)</f>
        <v/>
      </c>
      <c r="H2868">
        <f>IF(F2868="","",IF(F2868&lt;'02_Eingaben'!$C$18*'02_Eingaben'!$C$10,1,0))</f>
        <v/>
      </c>
      <c r="I2868" s="27">
        <f>IF(OR(G2868="",G2869=""),"",(G2868+G2869)/2*(B2869-B2868))</f>
        <v/>
      </c>
      <c r="J2868" s="27">
        <f>IF(B2868="","",IF(B2867&lt;'02_Eingaben'!$C$36,0,J2867+I2867/'02_Eingaben'!$C$8))</f>
        <v/>
      </c>
    </row>
    <row r="2869">
      <c r="A2869">
        <f>IF('01_Rohdaten'!A2869="","",ROW()-1)</f>
        <v/>
      </c>
      <c r="B2869" s="27">
        <f>IF('01_Rohdaten'!A2869="","",'01_Rohdaten'!A2869)</f>
        <v/>
      </c>
      <c r="C2869" s="27">
        <f>IF(B2869="","",INDEX('01_Rohdaten'!B2869:D2869,'02_Eingaben'!$C$13))</f>
        <v/>
      </c>
      <c r="D2869" s="27">
        <f>IF(C2869="","",C2869*'02_Eingaben'!$C$15)</f>
        <v/>
      </c>
      <c r="E2869" s="27">
        <f>IF(D2869="","",D2869*'02_Eingaben'!$C$8)</f>
        <v/>
      </c>
      <c r="F2869" s="27">
        <f>IF(E2869="","",AVERAGE(INDEX($E$2:$E$3001,MAX(1,ROW()-1-'02_Eingaben'!$C$17)):INDEX($E$2:$E$3001,MIN('02_Eingaben'!$C$21,ROW()-1+'02_Eingaben'!$C$17))))</f>
        <v/>
      </c>
      <c r="G2869" s="27">
        <f>IF(F2869="","",F2869-'02_Eingaben'!$C$10)</f>
        <v/>
      </c>
      <c r="H2869">
        <f>IF(F2869="","",IF(F2869&lt;'02_Eingaben'!$C$18*'02_Eingaben'!$C$10,1,0))</f>
        <v/>
      </c>
      <c r="I2869" s="27">
        <f>IF(OR(G2869="",G2870=""),"",(G2869+G2870)/2*(B2870-B2869))</f>
        <v/>
      </c>
      <c r="J2869" s="27">
        <f>IF(B2869="","",IF(B2868&lt;'02_Eingaben'!$C$36,0,J2868+I2868/'02_Eingaben'!$C$8))</f>
        <v/>
      </c>
    </row>
    <row r="2870">
      <c r="A2870">
        <f>IF('01_Rohdaten'!A2870="","",ROW()-1)</f>
        <v/>
      </c>
      <c r="B2870" s="27">
        <f>IF('01_Rohdaten'!A2870="","",'01_Rohdaten'!A2870)</f>
        <v/>
      </c>
      <c r="C2870" s="27">
        <f>IF(B2870="","",INDEX('01_Rohdaten'!B2870:D2870,'02_Eingaben'!$C$13))</f>
        <v/>
      </c>
      <c r="D2870" s="27">
        <f>IF(C2870="","",C2870*'02_Eingaben'!$C$15)</f>
        <v/>
      </c>
      <c r="E2870" s="27">
        <f>IF(D2870="","",D2870*'02_Eingaben'!$C$8)</f>
        <v/>
      </c>
      <c r="F2870" s="27">
        <f>IF(E2870="","",AVERAGE(INDEX($E$2:$E$3001,MAX(1,ROW()-1-'02_Eingaben'!$C$17)):INDEX($E$2:$E$3001,MIN('02_Eingaben'!$C$21,ROW()-1+'02_Eingaben'!$C$17))))</f>
        <v/>
      </c>
      <c r="G2870" s="27">
        <f>IF(F2870="","",F2870-'02_Eingaben'!$C$10)</f>
        <v/>
      </c>
      <c r="H2870">
        <f>IF(F2870="","",IF(F2870&lt;'02_Eingaben'!$C$18*'02_Eingaben'!$C$10,1,0))</f>
        <v/>
      </c>
      <c r="I2870" s="27">
        <f>IF(OR(G2870="",G2871=""),"",(G2870+G2871)/2*(B2871-B2870))</f>
        <v/>
      </c>
      <c r="J2870" s="27">
        <f>IF(B2870="","",IF(B2869&lt;'02_Eingaben'!$C$36,0,J2869+I2869/'02_Eingaben'!$C$8))</f>
        <v/>
      </c>
    </row>
    <row r="2871">
      <c r="A2871">
        <f>IF('01_Rohdaten'!A2871="","",ROW()-1)</f>
        <v/>
      </c>
      <c r="B2871" s="27">
        <f>IF('01_Rohdaten'!A2871="","",'01_Rohdaten'!A2871)</f>
        <v/>
      </c>
      <c r="C2871" s="27">
        <f>IF(B2871="","",INDEX('01_Rohdaten'!B2871:D2871,'02_Eingaben'!$C$13))</f>
        <v/>
      </c>
      <c r="D2871" s="27">
        <f>IF(C2871="","",C2871*'02_Eingaben'!$C$15)</f>
        <v/>
      </c>
      <c r="E2871" s="27">
        <f>IF(D2871="","",D2871*'02_Eingaben'!$C$8)</f>
        <v/>
      </c>
      <c r="F2871" s="27">
        <f>IF(E2871="","",AVERAGE(INDEX($E$2:$E$3001,MAX(1,ROW()-1-'02_Eingaben'!$C$17)):INDEX($E$2:$E$3001,MIN('02_Eingaben'!$C$21,ROW()-1+'02_Eingaben'!$C$17))))</f>
        <v/>
      </c>
      <c r="G2871" s="27">
        <f>IF(F2871="","",F2871-'02_Eingaben'!$C$10)</f>
        <v/>
      </c>
      <c r="H2871">
        <f>IF(F2871="","",IF(F2871&lt;'02_Eingaben'!$C$18*'02_Eingaben'!$C$10,1,0))</f>
        <v/>
      </c>
      <c r="I2871" s="27">
        <f>IF(OR(G2871="",G2872=""),"",(G2871+G2872)/2*(B2872-B2871))</f>
        <v/>
      </c>
      <c r="J2871" s="27">
        <f>IF(B2871="","",IF(B2870&lt;'02_Eingaben'!$C$36,0,J2870+I2870/'02_Eingaben'!$C$8))</f>
        <v/>
      </c>
    </row>
    <row r="2872">
      <c r="A2872">
        <f>IF('01_Rohdaten'!A2872="","",ROW()-1)</f>
        <v/>
      </c>
      <c r="B2872" s="27">
        <f>IF('01_Rohdaten'!A2872="","",'01_Rohdaten'!A2872)</f>
        <v/>
      </c>
      <c r="C2872" s="27">
        <f>IF(B2872="","",INDEX('01_Rohdaten'!B2872:D2872,'02_Eingaben'!$C$13))</f>
        <v/>
      </c>
      <c r="D2872" s="27">
        <f>IF(C2872="","",C2872*'02_Eingaben'!$C$15)</f>
        <v/>
      </c>
      <c r="E2872" s="27">
        <f>IF(D2872="","",D2872*'02_Eingaben'!$C$8)</f>
        <v/>
      </c>
      <c r="F2872" s="27">
        <f>IF(E2872="","",AVERAGE(INDEX($E$2:$E$3001,MAX(1,ROW()-1-'02_Eingaben'!$C$17)):INDEX($E$2:$E$3001,MIN('02_Eingaben'!$C$21,ROW()-1+'02_Eingaben'!$C$17))))</f>
        <v/>
      </c>
      <c r="G2872" s="27">
        <f>IF(F2872="","",F2872-'02_Eingaben'!$C$10)</f>
        <v/>
      </c>
      <c r="H2872">
        <f>IF(F2872="","",IF(F2872&lt;'02_Eingaben'!$C$18*'02_Eingaben'!$C$10,1,0))</f>
        <v/>
      </c>
      <c r="I2872" s="27">
        <f>IF(OR(G2872="",G2873=""),"",(G2872+G2873)/2*(B2873-B2872))</f>
        <v/>
      </c>
      <c r="J2872" s="27">
        <f>IF(B2872="","",IF(B2871&lt;'02_Eingaben'!$C$36,0,J2871+I2871/'02_Eingaben'!$C$8))</f>
        <v/>
      </c>
    </row>
    <row r="2873">
      <c r="A2873">
        <f>IF('01_Rohdaten'!A2873="","",ROW()-1)</f>
        <v/>
      </c>
      <c r="B2873" s="27">
        <f>IF('01_Rohdaten'!A2873="","",'01_Rohdaten'!A2873)</f>
        <v/>
      </c>
      <c r="C2873" s="27">
        <f>IF(B2873="","",INDEX('01_Rohdaten'!B2873:D2873,'02_Eingaben'!$C$13))</f>
        <v/>
      </c>
      <c r="D2873" s="27">
        <f>IF(C2873="","",C2873*'02_Eingaben'!$C$15)</f>
        <v/>
      </c>
      <c r="E2873" s="27">
        <f>IF(D2873="","",D2873*'02_Eingaben'!$C$8)</f>
        <v/>
      </c>
      <c r="F2873" s="27">
        <f>IF(E2873="","",AVERAGE(INDEX($E$2:$E$3001,MAX(1,ROW()-1-'02_Eingaben'!$C$17)):INDEX($E$2:$E$3001,MIN('02_Eingaben'!$C$21,ROW()-1+'02_Eingaben'!$C$17))))</f>
        <v/>
      </c>
      <c r="G2873" s="27">
        <f>IF(F2873="","",F2873-'02_Eingaben'!$C$10)</f>
        <v/>
      </c>
      <c r="H2873">
        <f>IF(F2873="","",IF(F2873&lt;'02_Eingaben'!$C$18*'02_Eingaben'!$C$10,1,0))</f>
        <v/>
      </c>
      <c r="I2873" s="27">
        <f>IF(OR(G2873="",G2874=""),"",(G2873+G2874)/2*(B2874-B2873))</f>
        <v/>
      </c>
      <c r="J2873" s="27">
        <f>IF(B2873="","",IF(B2872&lt;'02_Eingaben'!$C$36,0,J2872+I2872/'02_Eingaben'!$C$8))</f>
        <v/>
      </c>
    </row>
    <row r="2874">
      <c r="A2874">
        <f>IF('01_Rohdaten'!A2874="","",ROW()-1)</f>
        <v/>
      </c>
      <c r="B2874" s="27">
        <f>IF('01_Rohdaten'!A2874="","",'01_Rohdaten'!A2874)</f>
        <v/>
      </c>
      <c r="C2874" s="27">
        <f>IF(B2874="","",INDEX('01_Rohdaten'!B2874:D2874,'02_Eingaben'!$C$13))</f>
        <v/>
      </c>
      <c r="D2874" s="27">
        <f>IF(C2874="","",C2874*'02_Eingaben'!$C$15)</f>
        <v/>
      </c>
      <c r="E2874" s="27">
        <f>IF(D2874="","",D2874*'02_Eingaben'!$C$8)</f>
        <v/>
      </c>
      <c r="F2874" s="27">
        <f>IF(E2874="","",AVERAGE(INDEX($E$2:$E$3001,MAX(1,ROW()-1-'02_Eingaben'!$C$17)):INDEX($E$2:$E$3001,MIN('02_Eingaben'!$C$21,ROW()-1+'02_Eingaben'!$C$17))))</f>
        <v/>
      </c>
      <c r="G2874" s="27">
        <f>IF(F2874="","",F2874-'02_Eingaben'!$C$10)</f>
        <v/>
      </c>
      <c r="H2874">
        <f>IF(F2874="","",IF(F2874&lt;'02_Eingaben'!$C$18*'02_Eingaben'!$C$10,1,0))</f>
        <v/>
      </c>
      <c r="I2874" s="27">
        <f>IF(OR(G2874="",G2875=""),"",(G2874+G2875)/2*(B2875-B2874))</f>
        <v/>
      </c>
      <c r="J2874" s="27">
        <f>IF(B2874="","",IF(B2873&lt;'02_Eingaben'!$C$36,0,J2873+I2873/'02_Eingaben'!$C$8))</f>
        <v/>
      </c>
    </row>
    <row r="2875">
      <c r="A2875">
        <f>IF('01_Rohdaten'!A2875="","",ROW()-1)</f>
        <v/>
      </c>
      <c r="B2875" s="27">
        <f>IF('01_Rohdaten'!A2875="","",'01_Rohdaten'!A2875)</f>
        <v/>
      </c>
      <c r="C2875" s="27">
        <f>IF(B2875="","",INDEX('01_Rohdaten'!B2875:D2875,'02_Eingaben'!$C$13))</f>
        <v/>
      </c>
      <c r="D2875" s="27">
        <f>IF(C2875="","",C2875*'02_Eingaben'!$C$15)</f>
        <v/>
      </c>
      <c r="E2875" s="27">
        <f>IF(D2875="","",D2875*'02_Eingaben'!$C$8)</f>
        <v/>
      </c>
      <c r="F2875" s="27">
        <f>IF(E2875="","",AVERAGE(INDEX($E$2:$E$3001,MAX(1,ROW()-1-'02_Eingaben'!$C$17)):INDEX($E$2:$E$3001,MIN('02_Eingaben'!$C$21,ROW()-1+'02_Eingaben'!$C$17))))</f>
        <v/>
      </c>
      <c r="G2875" s="27">
        <f>IF(F2875="","",F2875-'02_Eingaben'!$C$10)</f>
        <v/>
      </c>
      <c r="H2875">
        <f>IF(F2875="","",IF(F2875&lt;'02_Eingaben'!$C$18*'02_Eingaben'!$C$10,1,0))</f>
        <v/>
      </c>
      <c r="I2875" s="27">
        <f>IF(OR(G2875="",G2876=""),"",(G2875+G2876)/2*(B2876-B2875))</f>
        <v/>
      </c>
      <c r="J2875" s="27">
        <f>IF(B2875="","",IF(B2874&lt;'02_Eingaben'!$C$36,0,J2874+I2874/'02_Eingaben'!$C$8))</f>
        <v/>
      </c>
    </row>
    <row r="2876">
      <c r="A2876">
        <f>IF('01_Rohdaten'!A2876="","",ROW()-1)</f>
        <v/>
      </c>
      <c r="B2876" s="27">
        <f>IF('01_Rohdaten'!A2876="","",'01_Rohdaten'!A2876)</f>
        <v/>
      </c>
      <c r="C2876" s="27">
        <f>IF(B2876="","",INDEX('01_Rohdaten'!B2876:D2876,'02_Eingaben'!$C$13))</f>
        <v/>
      </c>
      <c r="D2876" s="27">
        <f>IF(C2876="","",C2876*'02_Eingaben'!$C$15)</f>
        <v/>
      </c>
      <c r="E2876" s="27">
        <f>IF(D2876="","",D2876*'02_Eingaben'!$C$8)</f>
        <v/>
      </c>
      <c r="F2876" s="27">
        <f>IF(E2876="","",AVERAGE(INDEX($E$2:$E$3001,MAX(1,ROW()-1-'02_Eingaben'!$C$17)):INDEX($E$2:$E$3001,MIN('02_Eingaben'!$C$21,ROW()-1+'02_Eingaben'!$C$17))))</f>
        <v/>
      </c>
      <c r="G2876" s="27">
        <f>IF(F2876="","",F2876-'02_Eingaben'!$C$10)</f>
        <v/>
      </c>
      <c r="H2876">
        <f>IF(F2876="","",IF(F2876&lt;'02_Eingaben'!$C$18*'02_Eingaben'!$C$10,1,0))</f>
        <v/>
      </c>
      <c r="I2876" s="27">
        <f>IF(OR(G2876="",G2877=""),"",(G2876+G2877)/2*(B2877-B2876))</f>
        <v/>
      </c>
      <c r="J2876" s="27">
        <f>IF(B2876="","",IF(B2875&lt;'02_Eingaben'!$C$36,0,J2875+I2875/'02_Eingaben'!$C$8))</f>
        <v/>
      </c>
    </row>
    <row r="2877">
      <c r="A2877">
        <f>IF('01_Rohdaten'!A2877="","",ROW()-1)</f>
        <v/>
      </c>
      <c r="B2877" s="27">
        <f>IF('01_Rohdaten'!A2877="","",'01_Rohdaten'!A2877)</f>
        <v/>
      </c>
      <c r="C2877" s="27">
        <f>IF(B2877="","",INDEX('01_Rohdaten'!B2877:D2877,'02_Eingaben'!$C$13))</f>
        <v/>
      </c>
      <c r="D2877" s="27">
        <f>IF(C2877="","",C2877*'02_Eingaben'!$C$15)</f>
        <v/>
      </c>
      <c r="E2877" s="27">
        <f>IF(D2877="","",D2877*'02_Eingaben'!$C$8)</f>
        <v/>
      </c>
      <c r="F2877" s="27">
        <f>IF(E2877="","",AVERAGE(INDEX($E$2:$E$3001,MAX(1,ROW()-1-'02_Eingaben'!$C$17)):INDEX($E$2:$E$3001,MIN('02_Eingaben'!$C$21,ROW()-1+'02_Eingaben'!$C$17))))</f>
        <v/>
      </c>
      <c r="G2877" s="27">
        <f>IF(F2877="","",F2877-'02_Eingaben'!$C$10)</f>
        <v/>
      </c>
      <c r="H2877">
        <f>IF(F2877="","",IF(F2877&lt;'02_Eingaben'!$C$18*'02_Eingaben'!$C$10,1,0))</f>
        <v/>
      </c>
      <c r="I2877" s="27">
        <f>IF(OR(G2877="",G2878=""),"",(G2877+G2878)/2*(B2878-B2877))</f>
        <v/>
      </c>
      <c r="J2877" s="27">
        <f>IF(B2877="","",IF(B2876&lt;'02_Eingaben'!$C$36,0,J2876+I2876/'02_Eingaben'!$C$8))</f>
        <v/>
      </c>
    </row>
    <row r="2878">
      <c r="A2878">
        <f>IF('01_Rohdaten'!A2878="","",ROW()-1)</f>
        <v/>
      </c>
      <c r="B2878" s="27">
        <f>IF('01_Rohdaten'!A2878="","",'01_Rohdaten'!A2878)</f>
        <v/>
      </c>
      <c r="C2878" s="27">
        <f>IF(B2878="","",INDEX('01_Rohdaten'!B2878:D2878,'02_Eingaben'!$C$13))</f>
        <v/>
      </c>
      <c r="D2878" s="27">
        <f>IF(C2878="","",C2878*'02_Eingaben'!$C$15)</f>
        <v/>
      </c>
      <c r="E2878" s="27">
        <f>IF(D2878="","",D2878*'02_Eingaben'!$C$8)</f>
        <v/>
      </c>
      <c r="F2878" s="27">
        <f>IF(E2878="","",AVERAGE(INDEX($E$2:$E$3001,MAX(1,ROW()-1-'02_Eingaben'!$C$17)):INDEX($E$2:$E$3001,MIN('02_Eingaben'!$C$21,ROW()-1+'02_Eingaben'!$C$17))))</f>
        <v/>
      </c>
      <c r="G2878" s="27">
        <f>IF(F2878="","",F2878-'02_Eingaben'!$C$10)</f>
        <v/>
      </c>
      <c r="H2878">
        <f>IF(F2878="","",IF(F2878&lt;'02_Eingaben'!$C$18*'02_Eingaben'!$C$10,1,0))</f>
        <v/>
      </c>
      <c r="I2878" s="27">
        <f>IF(OR(G2878="",G2879=""),"",(G2878+G2879)/2*(B2879-B2878))</f>
        <v/>
      </c>
      <c r="J2878" s="27">
        <f>IF(B2878="","",IF(B2877&lt;'02_Eingaben'!$C$36,0,J2877+I2877/'02_Eingaben'!$C$8))</f>
        <v/>
      </c>
    </row>
    <row r="2879">
      <c r="A2879">
        <f>IF('01_Rohdaten'!A2879="","",ROW()-1)</f>
        <v/>
      </c>
      <c r="B2879" s="27">
        <f>IF('01_Rohdaten'!A2879="","",'01_Rohdaten'!A2879)</f>
        <v/>
      </c>
      <c r="C2879" s="27">
        <f>IF(B2879="","",INDEX('01_Rohdaten'!B2879:D2879,'02_Eingaben'!$C$13))</f>
        <v/>
      </c>
      <c r="D2879" s="27">
        <f>IF(C2879="","",C2879*'02_Eingaben'!$C$15)</f>
        <v/>
      </c>
      <c r="E2879" s="27">
        <f>IF(D2879="","",D2879*'02_Eingaben'!$C$8)</f>
        <v/>
      </c>
      <c r="F2879" s="27">
        <f>IF(E2879="","",AVERAGE(INDEX($E$2:$E$3001,MAX(1,ROW()-1-'02_Eingaben'!$C$17)):INDEX($E$2:$E$3001,MIN('02_Eingaben'!$C$21,ROW()-1+'02_Eingaben'!$C$17))))</f>
        <v/>
      </c>
      <c r="G2879" s="27">
        <f>IF(F2879="","",F2879-'02_Eingaben'!$C$10)</f>
        <v/>
      </c>
      <c r="H2879">
        <f>IF(F2879="","",IF(F2879&lt;'02_Eingaben'!$C$18*'02_Eingaben'!$C$10,1,0))</f>
        <v/>
      </c>
      <c r="I2879" s="27">
        <f>IF(OR(G2879="",G2880=""),"",(G2879+G2880)/2*(B2880-B2879))</f>
        <v/>
      </c>
      <c r="J2879" s="27">
        <f>IF(B2879="","",IF(B2878&lt;'02_Eingaben'!$C$36,0,J2878+I2878/'02_Eingaben'!$C$8))</f>
        <v/>
      </c>
    </row>
    <row r="2880">
      <c r="A2880">
        <f>IF('01_Rohdaten'!A2880="","",ROW()-1)</f>
        <v/>
      </c>
      <c r="B2880" s="27">
        <f>IF('01_Rohdaten'!A2880="","",'01_Rohdaten'!A2880)</f>
        <v/>
      </c>
      <c r="C2880" s="27">
        <f>IF(B2880="","",INDEX('01_Rohdaten'!B2880:D2880,'02_Eingaben'!$C$13))</f>
        <v/>
      </c>
      <c r="D2880" s="27">
        <f>IF(C2880="","",C2880*'02_Eingaben'!$C$15)</f>
        <v/>
      </c>
      <c r="E2880" s="27">
        <f>IF(D2880="","",D2880*'02_Eingaben'!$C$8)</f>
        <v/>
      </c>
      <c r="F2880" s="27">
        <f>IF(E2880="","",AVERAGE(INDEX($E$2:$E$3001,MAX(1,ROW()-1-'02_Eingaben'!$C$17)):INDEX($E$2:$E$3001,MIN('02_Eingaben'!$C$21,ROW()-1+'02_Eingaben'!$C$17))))</f>
        <v/>
      </c>
      <c r="G2880" s="27">
        <f>IF(F2880="","",F2880-'02_Eingaben'!$C$10)</f>
        <v/>
      </c>
      <c r="H2880">
        <f>IF(F2880="","",IF(F2880&lt;'02_Eingaben'!$C$18*'02_Eingaben'!$C$10,1,0))</f>
        <v/>
      </c>
      <c r="I2880" s="27">
        <f>IF(OR(G2880="",G2881=""),"",(G2880+G2881)/2*(B2881-B2880))</f>
        <v/>
      </c>
      <c r="J2880" s="27">
        <f>IF(B2880="","",IF(B2879&lt;'02_Eingaben'!$C$36,0,J2879+I2879/'02_Eingaben'!$C$8))</f>
        <v/>
      </c>
    </row>
    <row r="2881">
      <c r="A2881">
        <f>IF('01_Rohdaten'!A2881="","",ROW()-1)</f>
        <v/>
      </c>
      <c r="B2881" s="27">
        <f>IF('01_Rohdaten'!A2881="","",'01_Rohdaten'!A2881)</f>
        <v/>
      </c>
      <c r="C2881" s="27">
        <f>IF(B2881="","",INDEX('01_Rohdaten'!B2881:D2881,'02_Eingaben'!$C$13))</f>
        <v/>
      </c>
      <c r="D2881" s="27">
        <f>IF(C2881="","",C2881*'02_Eingaben'!$C$15)</f>
        <v/>
      </c>
      <c r="E2881" s="27">
        <f>IF(D2881="","",D2881*'02_Eingaben'!$C$8)</f>
        <v/>
      </c>
      <c r="F2881" s="27">
        <f>IF(E2881="","",AVERAGE(INDEX($E$2:$E$3001,MAX(1,ROW()-1-'02_Eingaben'!$C$17)):INDEX($E$2:$E$3001,MIN('02_Eingaben'!$C$21,ROW()-1+'02_Eingaben'!$C$17))))</f>
        <v/>
      </c>
      <c r="G2881" s="27">
        <f>IF(F2881="","",F2881-'02_Eingaben'!$C$10)</f>
        <v/>
      </c>
      <c r="H2881">
        <f>IF(F2881="","",IF(F2881&lt;'02_Eingaben'!$C$18*'02_Eingaben'!$C$10,1,0))</f>
        <v/>
      </c>
      <c r="I2881" s="27">
        <f>IF(OR(G2881="",G2882=""),"",(G2881+G2882)/2*(B2882-B2881))</f>
        <v/>
      </c>
      <c r="J2881" s="27">
        <f>IF(B2881="","",IF(B2880&lt;'02_Eingaben'!$C$36,0,J2880+I2880/'02_Eingaben'!$C$8))</f>
        <v/>
      </c>
    </row>
    <row r="2882">
      <c r="A2882">
        <f>IF('01_Rohdaten'!A2882="","",ROW()-1)</f>
        <v/>
      </c>
      <c r="B2882" s="27">
        <f>IF('01_Rohdaten'!A2882="","",'01_Rohdaten'!A2882)</f>
        <v/>
      </c>
      <c r="C2882" s="27">
        <f>IF(B2882="","",INDEX('01_Rohdaten'!B2882:D2882,'02_Eingaben'!$C$13))</f>
        <v/>
      </c>
      <c r="D2882" s="27">
        <f>IF(C2882="","",C2882*'02_Eingaben'!$C$15)</f>
        <v/>
      </c>
      <c r="E2882" s="27">
        <f>IF(D2882="","",D2882*'02_Eingaben'!$C$8)</f>
        <v/>
      </c>
      <c r="F2882" s="27">
        <f>IF(E2882="","",AVERAGE(INDEX($E$2:$E$3001,MAX(1,ROW()-1-'02_Eingaben'!$C$17)):INDEX($E$2:$E$3001,MIN('02_Eingaben'!$C$21,ROW()-1+'02_Eingaben'!$C$17))))</f>
        <v/>
      </c>
      <c r="G2882" s="27">
        <f>IF(F2882="","",F2882-'02_Eingaben'!$C$10)</f>
        <v/>
      </c>
      <c r="H2882">
        <f>IF(F2882="","",IF(F2882&lt;'02_Eingaben'!$C$18*'02_Eingaben'!$C$10,1,0))</f>
        <v/>
      </c>
      <c r="I2882" s="27">
        <f>IF(OR(G2882="",G2883=""),"",(G2882+G2883)/2*(B2883-B2882))</f>
        <v/>
      </c>
      <c r="J2882" s="27">
        <f>IF(B2882="","",IF(B2881&lt;'02_Eingaben'!$C$36,0,J2881+I2881/'02_Eingaben'!$C$8))</f>
        <v/>
      </c>
    </row>
    <row r="2883">
      <c r="A2883">
        <f>IF('01_Rohdaten'!A2883="","",ROW()-1)</f>
        <v/>
      </c>
      <c r="B2883" s="27">
        <f>IF('01_Rohdaten'!A2883="","",'01_Rohdaten'!A2883)</f>
        <v/>
      </c>
      <c r="C2883" s="27">
        <f>IF(B2883="","",INDEX('01_Rohdaten'!B2883:D2883,'02_Eingaben'!$C$13))</f>
        <v/>
      </c>
      <c r="D2883" s="27">
        <f>IF(C2883="","",C2883*'02_Eingaben'!$C$15)</f>
        <v/>
      </c>
      <c r="E2883" s="27">
        <f>IF(D2883="","",D2883*'02_Eingaben'!$C$8)</f>
        <v/>
      </c>
      <c r="F2883" s="27">
        <f>IF(E2883="","",AVERAGE(INDEX($E$2:$E$3001,MAX(1,ROW()-1-'02_Eingaben'!$C$17)):INDEX($E$2:$E$3001,MIN('02_Eingaben'!$C$21,ROW()-1+'02_Eingaben'!$C$17))))</f>
        <v/>
      </c>
      <c r="G2883" s="27">
        <f>IF(F2883="","",F2883-'02_Eingaben'!$C$10)</f>
        <v/>
      </c>
      <c r="H2883">
        <f>IF(F2883="","",IF(F2883&lt;'02_Eingaben'!$C$18*'02_Eingaben'!$C$10,1,0))</f>
        <v/>
      </c>
      <c r="I2883" s="27">
        <f>IF(OR(G2883="",G2884=""),"",(G2883+G2884)/2*(B2884-B2883))</f>
        <v/>
      </c>
      <c r="J2883" s="27">
        <f>IF(B2883="","",IF(B2882&lt;'02_Eingaben'!$C$36,0,J2882+I2882/'02_Eingaben'!$C$8))</f>
        <v/>
      </c>
    </row>
    <row r="2884">
      <c r="A2884">
        <f>IF('01_Rohdaten'!A2884="","",ROW()-1)</f>
        <v/>
      </c>
      <c r="B2884" s="27">
        <f>IF('01_Rohdaten'!A2884="","",'01_Rohdaten'!A2884)</f>
        <v/>
      </c>
      <c r="C2884" s="27">
        <f>IF(B2884="","",INDEX('01_Rohdaten'!B2884:D2884,'02_Eingaben'!$C$13))</f>
        <v/>
      </c>
      <c r="D2884" s="27">
        <f>IF(C2884="","",C2884*'02_Eingaben'!$C$15)</f>
        <v/>
      </c>
      <c r="E2884" s="27">
        <f>IF(D2884="","",D2884*'02_Eingaben'!$C$8)</f>
        <v/>
      </c>
      <c r="F2884" s="27">
        <f>IF(E2884="","",AVERAGE(INDEX($E$2:$E$3001,MAX(1,ROW()-1-'02_Eingaben'!$C$17)):INDEX($E$2:$E$3001,MIN('02_Eingaben'!$C$21,ROW()-1+'02_Eingaben'!$C$17))))</f>
        <v/>
      </c>
      <c r="G2884" s="27">
        <f>IF(F2884="","",F2884-'02_Eingaben'!$C$10)</f>
        <v/>
      </c>
      <c r="H2884">
        <f>IF(F2884="","",IF(F2884&lt;'02_Eingaben'!$C$18*'02_Eingaben'!$C$10,1,0))</f>
        <v/>
      </c>
      <c r="I2884" s="27">
        <f>IF(OR(G2884="",G2885=""),"",(G2884+G2885)/2*(B2885-B2884))</f>
        <v/>
      </c>
      <c r="J2884" s="27">
        <f>IF(B2884="","",IF(B2883&lt;'02_Eingaben'!$C$36,0,J2883+I2883/'02_Eingaben'!$C$8))</f>
        <v/>
      </c>
    </row>
    <row r="2885">
      <c r="A2885">
        <f>IF('01_Rohdaten'!A2885="","",ROW()-1)</f>
        <v/>
      </c>
      <c r="B2885" s="27">
        <f>IF('01_Rohdaten'!A2885="","",'01_Rohdaten'!A2885)</f>
        <v/>
      </c>
      <c r="C2885" s="27">
        <f>IF(B2885="","",INDEX('01_Rohdaten'!B2885:D2885,'02_Eingaben'!$C$13))</f>
        <v/>
      </c>
      <c r="D2885" s="27">
        <f>IF(C2885="","",C2885*'02_Eingaben'!$C$15)</f>
        <v/>
      </c>
      <c r="E2885" s="27">
        <f>IF(D2885="","",D2885*'02_Eingaben'!$C$8)</f>
        <v/>
      </c>
      <c r="F2885" s="27">
        <f>IF(E2885="","",AVERAGE(INDEX($E$2:$E$3001,MAX(1,ROW()-1-'02_Eingaben'!$C$17)):INDEX($E$2:$E$3001,MIN('02_Eingaben'!$C$21,ROW()-1+'02_Eingaben'!$C$17))))</f>
        <v/>
      </c>
      <c r="G2885" s="27">
        <f>IF(F2885="","",F2885-'02_Eingaben'!$C$10)</f>
        <v/>
      </c>
      <c r="H2885">
        <f>IF(F2885="","",IF(F2885&lt;'02_Eingaben'!$C$18*'02_Eingaben'!$C$10,1,0))</f>
        <v/>
      </c>
      <c r="I2885" s="27">
        <f>IF(OR(G2885="",G2886=""),"",(G2885+G2886)/2*(B2886-B2885))</f>
        <v/>
      </c>
      <c r="J2885" s="27">
        <f>IF(B2885="","",IF(B2884&lt;'02_Eingaben'!$C$36,0,J2884+I2884/'02_Eingaben'!$C$8))</f>
        <v/>
      </c>
    </row>
    <row r="2886">
      <c r="A2886">
        <f>IF('01_Rohdaten'!A2886="","",ROW()-1)</f>
        <v/>
      </c>
      <c r="B2886" s="27">
        <f>IF('01_Rohdaten'!A2886="","",'01_Rohdaten'!A2886)</f>
        <v/>
      </c>
      <c r="C2886" s="27">
        <f>IF(B2886="","",INDEX('01_Rohdaten'!B2886:D2886,'02_Eingaben'!$C$13))</f>
        <v/>
      </c>
      <c r="D2886" s="27">
        <f>IF(C2886="","",C2886*'02_Eingaben'!$C$15)</f>
        <v/>
      </c>
      <c r="E2886" s="27">
        <f>IF(D2886="","",D2886*'02_Eingaben'!$C$8)</f>
        <v/>
      </c>
      <c r="F2886" s="27">
        <f>IF(E2886="","",AVERAGE(INDEX($E$2:$E$3001,MAX(1,ROW()-1-'02_Eingaben'!$C$17)):INDEX($E$2:$E$3001,MIN('02_Eingaben'!$C$21,ROW()-1+'02_Eingaben'!$C$17))))</f>
        <v/>
      </c>
      <c r="G2886" s="27">
        <f>IF(F2886="","",F2886-'02_Eingaben'!$C$10)</f>
        <v/>
      </c>
      <c r="H2886">
        <f>IF(F2886="","",IF(F2886&lt;'02_Eingaben'!$C$18*'02_Eingaben'!$C$10,1,0))</f>
        <v/>
      </c>
      <c r="I2886" s="27">
        <f>IF(OR(G2886="",G2887=""),"",(G2886+G2887)/2*(B2887-B2886))</f>
        <v/>
      </c>
      <c r="J2886" s="27">
        <f>IF(B2886="","",IF(B2885&lt;'02_Eingaben'!$C$36,0,J2885+I2885/'02_Eingaben'!$C$8))</f>
        <v/>
      </c>
    </row>
    <row r="2887">
      <c r="A2887">
        <f>IF('01_Rohdaten'!A2887="","",ROW()-1)</f>
        <v/>
      </c>
      <c r="B2887" s="27">
        <f>IF('01_Rohdaten'!A2887="","",'01_Rohdaten'!A2887)</f>
        <v/>
      </c>
      <c r="C2887" s="27">
        <f>IF(B2887="","",INDEX('01_Rohdaten'!B2887:D2887,'02_Eingaben'!$C$13))</f>
        <v/>
      </c>
      <c r="D2887" s="27">
        <f>IF(C2887="","",C2887*'02_Eingaben'!$C$15)</f>
        <v/>
      </c>
      <c r="E2887" s="27">
        <f>IF(D2887="","",D2887*'02_Eingaben'!$C$8)</f>
        <v/>
      </c>
      <c r="F2887" s="27">
        <f>IF(E2887="","",AVERAGE(INDEX($E$2:$E$3001,MAX(1,ROW()-1-'02_Eingaben'!$C$17)):INDEX($E$2:$E$3001,MIN('02_Eingaben'!$C$21,ROW()-1+'02_Eingaben'!$C$17))))</f>
        <v/>
      </c>
      <c r="G2887" s="27">
        <f>IF(F2887="","",F2887-'02_Eingaben'!$C$10)</f>
        <v/>
      </c>
      <c r="H2887">
        <f>IF(F2887="","",IF(F2887&lt;'02_Eingaben'!$C$18*'02_Eingaben'!$C$10,1,0))</f>
        <v/>
      </c>
      <c r="I2887" s="27">
        <f>IF(OR(G2887="",G2888=""),"",(G2887+G2888)/2*(B2888-B2887))</f>
        <v/>
      </c>
      <c r="J2887" s="27">
        <f>IF(B2887="","",IF(B2886&lt;'02_Eingaben'!$C$36,0,J2886+I2886/'02_Eingaben'!$C$8))</f>
        <v/>
      </c>
    </row>
    <row r="2888">
      <c r="A2888">
        <f>IF('01_Rohdaten'!A2888="","",ROW()-1)</f>
        <v/>
      </c>
      <c r="B2888" s="27">
        <f>IF('01_Rohdaten'!A2888="","",'01_Rohdaten'!A2888)</f>
        <v/>
      </c>
      <c r="C2888" s="27">
        <f>IF(B2888="","",INDEX('01_Rohdaten'!B2888:D2888,'02_Eingaben'!$C$13))</f>
        <v/>
      </c>
      <c r="D2888" s="27">
        <f>IF(C2888="","",C2888*'02_Eingaben'!$C$15)</f>
        <v/>
      </c>
      <c r="E2888" s="27">
        <f>IF(D2888="","",D2888*'02_Eingaben'!$C$8)</f>
        <v/>
      </c>
      <c r="F2888" s="27">
        <f>IF(E2888="","",AVERAGE(INDEX($E$2:$E$3001,MAX(1,ROW()-1-'02_Eingaben'!$C$17)):INDEX($E$2:$E$3001,MIN('02_Eingaben'!$C$21,ROW()-1+'02_Eingaben'!$C$17))))</f>
        <v/>
      </c>
      <c r="G2888" s="27">
        <f>IF(F2888="","",F2888-'02_Eingaben'!$C$10)</f>
        <v/>
      </c>
      <c r="H2888">
        <f>IF(F2888="","",IF(F2888&lt;'02_Eingaben'!$C$18*'02_Eingaben'!$C$10,1,0))</f>
        <v/>
      </c>
      <c r="I2888" s="27">
        <f>IF(OR(G2888="",G2889=""),"",(G2888+G2889)/2*(B2889-B2888))</f>
        <v/>
      </c>
      <c r="J2888" s="27">
        <f>IF(B2888="","",IF(B2887&lt;'02_Eingaben'!$C$36,0,J2887+I2887/'02_Eingaben'!$C$8))</f>
        <v/>
      </c>
    </row>
    <row r="2889">
      <c r="A2889">
        <f>IF('01_Rohdaten'!A2889="","",ROW()-1)</f>
        <v/>
      </c>
      <c r="B2889" s="27">
        <f>IF('01_Rohdaten'!A2889="","",'01_Rohdaten'!A2889)</f>
        <v/>
      </c>
      <c r="C2889" s="27">
        <f>IF(B2889="","",INDEX('01_Rohdaten'!B2889:D2889,'02_Eingaben'!$C$13))</f>
        <v/>
      </c>
      <c r="D2889" s="27">
        <f>IF(C2889="","",C2889*'02_Eingaben'!$C$15)</f>
        <v/>
      </c>
      <c r="E2889" s="27">
        <f>IF(D2889="","",D2889*'02_Eingaben'!$C$8)</f>
        <v/>
      </c>
      <c r="F2889" s="27">
        <f>IF(E2889="","",AVERAGE(INDEX($E$2:$E$3001,MAX(1,ROW()-1-'02_Eingaben'!$C$17)):INDEX($E$2:$E$3001,MIN('02_Eingaben'!$C$21,ROW()-1+'02_Eingaben'!$C$17))))</f>
        <v/>
      </c>
      <c r="G2889" s="27">
        <f>IF(F2889="","",F2889-'02_Eingaben'!$C$10)</f>
        <v/>
      </c>
      <c r="H2889">
        <f>IF(F2889="","",IF(F2889&lt;'02_Eingaben'!$C$18*'02_Eingaben'!$C$10,1,0))</f>
        <v/>
      </c>
      <c r="I2889" s="27">
        <f>IF(OR(G2889="",G2890=""),"",(G2889+G2890)/2*(B2890-B2889))</f>
        <v/>
      </c>
      <c r="J2889" s="27">
        <f>IF(B2889="","",IF(B2888&lt;'02_Eingaben'!$C$36,0,J2888+I2888/'02_Eingaben'!$C$8))</f>
        <v/>
      </c>
    </row>
    <row r="2890">
      <c r="A2890">
        <f>IF('01_Rohdaten'!A2890="","",ROW()-1)</f>
        <v/>
      </c>
      <c r="B2890" s="27">
        <f>IF('01_Rohdaten'!A2890="","",'01_Rohdaten'!A2890)</f>
        <v/>
      </c>
      <c r="C2890" s="27">
        <f>IF(B2890="","",INDEX('01_Rohdaten'!B2890:D2890,'02_Eingaben'!$C$13))</f>
        <v/>
      </c>
      <c r="D2890" s="27">
        <f>IF(C2890="","",C2890*'02_Eingaben'!$C$15)</f>
        <v/>
      </c>
      <c r="E2890" s="27">
        <f>IF(D2890="","",D2890*'02_Eingaben'!$C$8)</f>
        <v/>
      </c>
      <c r="F2890" s="27">
        <f>IF(E2890="","",AVERAGE(INDEX($E$2:$E$3001,MAX(1,ROW()-1-'02_Eingaben'!$C$17)):INDEX($E$2:$E$3001,MIN('02_Eingaben'!$C$21,ROW()-1+'02_Eingaben'!$C$17))))</f>
        <v/>
      </c>
      <c r="G2890" s="27">
        <f>IF(F2890="","",F2890-'02_Eingaben'!$C$10)</f>
        <v/>
      </c>
      <c r="H2890">
        <f>IF(F2890="","",IF(F2890&lt;'02_Eingaben'!$C$18*'02_Eingaben'!$C$10,1,0))</f>
        <v/>
      </c>
      <c r="I2890" s="27">
        <f>IF(OR(G2890="",G2891=""),"",(G2890+G2891)/2*(B2891-B2890))</f>
        <v/>
      </c>
      <c r="J2890" s="27">
        <f>IF(B2890="","",IF(B2889&lt;'02_Eingaben'!$C$36,0,J2889+I2889/'02_Eingaben'!$C$8))</f>
        <v/>
      </c>
    </row>
    <row r="2891">
      <c r="A2891">
        <f>IF('01_Rohdaten'!A2891="","",ROW()-1)</f>
        <v/>
      </c>
      <c r="B2891" s="27">
        <f>IF('01_Rohdaten'!A2891="","",'01_Rohdaten'!A2891)</f>
        <v/>
      </c>
      <c r="C2891" s="27">
        <f>IF(B2891="","",INDEX('01_Rohdaten'!B2891:D2891,'02_Eingaben'!$C$13))</f>
        <v/>
      </c>
      <c r="D2891" s="27">
        <f>IF(C2891="","",C2891*'02_Eingaben'!$C$15)</f>
        <v/>
      </c>
      <c r="E2891" s="27">
        <f>IF(D2891="","",D2891*'02_Eingaben'!$C$8)</f>
        <v/>
      </c>
      <c r="F2891" s="27">
        <f>IF(E2891="","",AVERAGE(INDEX($E$2:$E$3001,MAX(1,ROW()-1-'02_Eingaben'!$C$17)):INDEX($E$2:$E$3001,MIN('02_Eingaben'!$C$21,ROW()-1+'02_Eingaben'!$C$17))))</f>
        <v/>
      </c>
      <c r="G2891" s="27">
        <f>IF(F2891="","",F2891-'02_Eingaben'!$C$10)</f>
        <v/>
      </c>
      <c r="H2891">
        <f>IF(F2891="","",IF(F2891&lt;'02_Eingaben'!$C$18*'02_Eingaben'!$C$10,1,0))</f>
        <v/>
      </c>
      <c r="I2891" s="27">
        <f>IF(OR(G2891="",G2892=""),"",(G2891+G2892)/2*(B2892-B2891))</f>
        <v/>
      </c>
      <c r="J2891" s="27">
        <f>IF(B2891="","",IF(B2890&lt;'02_Eingaben'!$C$36,0,J2890+I2890/'02_Eingaben'!$C$8))</f>
        <v/>
      </c>
    </row>
    <row r="2892">
      <c r="A2892">
        <f>IF('01_Rohdaten'!A2892="","",ROW()-1)</f>
        <v/>
      </c>
      <c r="B2892" s="27">
        <f>IF('01_Rohdaten'!A2892="","",'01_Rohdaten'!A2892)</f>
        <v/>
      </c>
      <c r="C2892" s="27">
        <f>IF(B2892="","",INDEX('01_Rohdaten'!B2892:D2892,'02_Eingaben'!$C$13))</f>
        <v/>
      </c>
      <c r="D2892" s="27">
        <f>IF(C2892="","",C2892*'02_Eingaben'!$C$15)</f>
        <v/>
      </c>
      <c r="E2892" s="27">
        <f>IF(D2892="","",D2892*'02_Eingaben'!$C$8)</f>
        <v/>
      </c>
      <c r="F2892" s="27">
        <f>IF(E2892="","",AVERAGE(INDEX($E$2:$E$3001,MAX(1,ROW()-1-'02_Eingaben'!$C$17)):INDEX($E$2:$E$3001,MIN('02_Eingaben'!$C$21,ROW()-1+'02_Eingaben'!$C$17))))</f>
        <v/>
      </c>
      <c r="G2892" s="27">
        <f>IF(F2892="","",F2892-'02_Eingaben'!$C$10)</f>
        <v/>
      </c>
      <c r="H2892">
        <f>IF(F2892="","",IF(F2892&lt;'02_Eingaben'!$C$18*'02_Eingaben'!$C$10,1,0))</f>
        <v/>
      </c>
      <c r="I2892" s="27">
        <f>IF(OR(G2892="",G2893=""),"",(G2892+G2893)/2*(B2893-B2892))</f>
        <v/>
      </c>
      <c r="J2892" s="27">
        <f>IF(B2892="","",IF(B2891&lt;'02_Eingaben'!$C$36,0,J2891+I2891/'02_Eingaben'!$C$8))</f>
        <v/>
      </c>
    </row>
    <row r="2893">
      <c r="A2893">
        <f>IF('01_Rohdaten'!A2893="","",ROW()-1)</f>
        <v/>
      </c>
      <c r="B2893" s="27">
        <f>IF('01_Rohdaten'!A2893="","",'01_Rohdaten'!A2893)</f>
        <v/>
      </c>
      <c r="C2893" s="27">
        <f>IF(B2893="","",INDEX('01_Rohdaten'!B2893:D2893,'02_Eingaben'!$C$13))</f>
        <v/>
      </c>
      <c r="D2893" s="27">
        <f>IF(C2893="","",C2893*'02_Eingaben'!$C$15)</f>
        <v/>
      </c>
      <c r="E2893" s="27">
        <f>IF(D2893="","",D2893*'02_Eingaben'!$C$8)</f>
        <v/>
      </c>
      <c r="F2893" s="27">
        <f>IF(E2893="","",AVERAGE(INDEX($E$2:$E$3001,MAX(1,ROW()-1-'02_Eingaben'!$C$17)):INDEX($E$2:$E$3001,MIN('02_Eingaben'!$C$21,ROW()-1+'02_Eingaben'!$C$17))))</f>
        <v/>
      </c>
      <c r="G2893" s="27">
        <f>IF(F2893="","",F2893-'02_Eingaben'!$C$10)</f>
        <v/>
      </c>
      <c r="H2893">
        <f>IF(F2893="","",IF(F2893&lt;'02_Eingaben'!$C$18*'02_Eingaben'!$C$10,1,0))</f>
        <v/>
      </c>
      <c r="I2893" s="27">
        <f>IF(OR(G2893="",G2894=""),"",(G2893+G2894)/2*(B2894-B2893))</f>
        <v/>
      </c>
      <c r="J2893" s="27">
        <f>IF(B2893="","",IF(B2892&lt;'02_Eingaben'!$C$36,0,J2892+I2892/'02_Eingaben'!$C$8))</f>
        <v/>
      </c>
    </row>
    <row r="2894">
      <c r="A2894">
        <f>IF('01_Rohdaten'!A2894="","",ROW()-1)</f>
        <v/>
      </c>
      <c r="B2894" s="27">
        <f>IF('01_Rohdaten'!A2894="","",'01_Rohdaten'!A2894)</f>
        <v/>
      </c>
      <c r="C2894" s="27">
        <f>IF(B2894="","",INDEX('01_Rohdaten'!B2894:D2894,'02_Eingaben'!$C$13))</f>
        <v/>
      </c>
      <c r="D2894" s="27">
        <f>IF(C2894="","",C2894*'02_Eingaben'!$C$15)</f>
        <v/>
      </c>
      <c r="E2894" s="27">
        <f>IF(D2894="","",D2894*'02_Eingaben'!$C$8)</f>
        <v/>
      </c>
      <c r="F2894" s="27">
        <f>IF(E2894="","",AVERAGE(INDEX($E$2:$E$3001,MAX(1,ROW()-1-'02_Eingaben'!$C$17)):INDEX($E$2:$E$3001,MIN('02_Eingaben'!$C$21,ROW()-1+'02_Eingaben'!$C$17))))</f>
        <v/>
      </c>
      <c r="G2894" s="27">
        <f>IF(F2894="","",F2894-'02_Eingaben'!$C$10)</f>
        <v/>
      </c>
      <c r="H2894">
        <f>IF(F2894="","",IF(F2894&lt;'02_Eingaben'!$C$18*'02_Eingaben'!$C$10,1,0))</f>
        <v/>
      </c>
      <c r="I2894" s="27">
        <f>IF(OR(G2894="",G2895=""),"",(G2894+G2895)/2*(B2895-B2894))</f>
        <v/>
      </c>
      <c r="J2894" s="27">
        <f>IF(B2894="","",IF(B2893&lt;'02_Eingaben'!$C$36,0,J2893+I2893/'02_Eingaben'!$C$8))</f>
        <v/>
      </c>
    </row>
    <row r="2895">
      <c r="A2895">
        <f>IF('01_Rohdaten'!A2895="","",ROW()-1)</f>
        <v/>
      </c>
      <c r="B2895" s="27">
        <f>IF('01_Rohdaten'!A2895="","",'01_Rohdaten'!A2895)</f>
        <v/>
      </c>
      <c r="C2895" s="27">
        <f>IF(B2895="","",INDEX('01_Rohdaten'!B2895:D2895,'02_Eingaben'!$C$13))</f>
        <v/>
      </c>
      <c r="D2895" s="27">
        <f>IF(C2895="","",C2895*'02_Eingaben'!$C$15)</f>
        <v/>
      </c>
      <c r="E2895" s="27">
        <f>IF(D2895="","",D2895*'02_Eingaben'!$C$8)</f>
        <v/>
      </c>
      <c r="F2895" s="27">
        <f>IF(E2895="","",AVERAGE(INDEX($E$2:$E$3001,MAX(1,ROW()-1-'02_Eingaben'!$C$17)):INDEX($E$2:$E$3001,MIN('02_Eingaben'!$C$21,ROW()-1+'02_Eingaben'!$C$17))))</f>
        <v/>
      </c>
      <c r="G2895" s="27">
        <f>IF(F2895="","",F2895-'02_Eingaben'!$C$10)</f>
        <v/>
      </c>
      <c r="H2895">
        <f>IF(F2895="","",IF(F2895&lt;'02_Eingaben'!$C$18*'02_Eingaben'!$C$10,1,0))</f>
        <v/>
      </c>
      <c r="I2895" s="27">
        <f>IF(OR(G2895="",G2896=""),"",(G2895+G2896)/2*(B2896-B2895))</f>
        <v/>
      </c>
      <c r="J2895" s="27">
        <f>IF(B2895="","",IF(B2894&lt;'02_Eingaben'!$C$36,0,J2894+I2894/'02_Eingaben'!$C$8))</f>
        <v/>
      </c>
    </row>
    <row r="2896">
      <c r="A2896">
        <f>IF('01_Rohdaten'!A2896="","",ROW()-1)</f>
        <v/>
      </c>
      <c r="B2896" s="27">
        <f>IF('01_Rohdaten'!A2896="","",'01_Rohdaten'!A2896)</f>
        <v/>
      </c>
      <c r="C2896" s="27">
        <f>IF(B2896="","",INDEX('01_Rohdaten'!B2896:D2896,'02_Eingaben'!$C$13))</f>
        <v/>
      </c>
      <c r="D2896" s="27">
        <f>IF(C2896="","",C2896*'02_Eingaben'!$C$15)</f>
        <v/>
      </c>
      <c r="E2896" s="27">
        <f>IF(D2896="","",D2896*'02_Eingaben'!$C$8)</f>
        <v/>
      </c>
      <c r="F2896" s="27">
        <f>IF(E2896="","",AVERAGE(INDEX($E$2:$E$3001,MAX(1,ROW()-1-'02_Eingaben'!$C$17)):INDEX($E$2:$E$3001,MIN('02_Eingaben'!$C$21,ROW()-1+'02_Eingaben'!$C$17))))</f>
        <v/>
      </c>
      <c r="G2896" s="27">
        <f>IF(F2896="","",F2896-'02_Eingaben'!$C$10)</f>
        <v/>
      </c>
      <c r="H2896">
        <f>IF(F2896="","",IF(F2896&lt;'02_Eingaben'!$C$18*'02_Eingaben'!$C$10,1,0))</f>
        <v/>
      </c>
      <c r="I2896" s="27">
        <f>IF(OR(G2896="",G2897=""),"",(G2896+G2897)/2*(B2897-B2896))</f>
        <v/>
      </c>
      <c r="J2896" s="27">
        <f>IF(B2896="","",IF(B2895&lt;'02_Eingaben'!$C$36,0,J2895+I2895/'02_Eingaben'!$C$8))</f>
        <v/>
      </c>
    </row>
    <row r="2897">
      <c r="A2897">
        <f>IF('01_Rohdaten'!A2897="","",ROW()-1)</f>
        <v/>
      </c>
      <c r="B2897" s="27">
        <f>IF('01_Rohdaten'!A2897="","",'01_Rohdaten'!A2897)</f>
        <v/>
      </c>
      <c r="C2897" s="27">
        <f>IF(B2897="","",INDEX('01_Rohdaten'!B2897:D2897,'02_Eingaben'!$C$13))</f>
        <v/>
      </c>
      <c r="D2897" s="27">
        <f>IF(C2897="","",C2897*'02_Eingaben'!$C$15)</f>
        <v/>
      </c>
      <c r="E2897" s="27">
        <f>IF(D2897="","",D2897*'02_Eingaben'!$C$8)</f>
        <v/>
      </c>
      <c r="F2897" s="27">
        <f>IF(E2897="","",AVERAGE(INDEX($E$2:$E$3001,MAX(1,ROW()-1-'02_Eingaben'!$C$17)):INDEX($E$2:$E$3001,MIN('02_Eingaben'!$C$21,ROW()-1+'02_Eingaben'!$C$17))))</f>
        <v/>
      </c>
      <c r="G2897" s="27">
        <f>IF(F2897="","",F2897-'02_Eingaben'!$C$10)</f>
        <v/>
      </c>
      <c r="H2897">
        <f>IF(F2897="","",IF(F2897&lt;'02_Eingaben'!$C$18*'02_Eingaben'!$C$10,1,0))</f>
        <v/>
      </c>
      <c r="I2897" s="27">
        <f>IF(OR(G2897="",G2898=""),"",(G2897+G2898)/2*(B2898-B2897))</f>
        <v/>
      </c>
      <c r="J2897" s="27">
        <f>IF(B2897="","",IF(B2896&lt;'02_Eingaben'!$C$36,0,J2896+I2896/'02_Eingaben'!$C$8))</f>
        <v/>
      </c>
    </row>
    <row r="2898">
      <c r="A2898">
        <f>IF('01_Rohdaten'!A2898="","",ROW()-1)</f>
        <v/>
      </c>
      <c r="B2898" s="27">
        <f>IF('01_Rohdaten'!A2898="","",'01_Rohdaten'!A2898)</f>
        <v/>
      </c>
      <c r="C2898" s="27">
        <f>IF(B2898="","",INDEX('01_Rohdaten'!B2898:D2898,'02_Eingaben'!$C$13))</f>
        <v/>
      </c>
      <c r="D2898" s="27">
        <f>IF(C2898="","",C2898*'02_Eingaben'!$C$15)</f>
        <v/>
      </c>
      <c r="E2898" s="27">
        <f>IF(D2898="","",D2898*'02_Eingaben'!$C$8)</f>
        <v/>
      </c>
      <c r="F2898" s="27">
        <f>IF(E2898="","",AVERAGE(INDEX($E$2:$E$3001,MAX(1,ROW()-1-'02_Eingaben'!$C$17)):INDEX($E$2:$E$3001,MIN('02_Eingaben'!$C$21,ROW()-1+'02_Eingaben'!$C$17))))</f>
        <v/>
      </c>
      <c r="G2898" s="27">
        <f>IF(F2898="","",F2898-'02_Eingaben'!$C$10)</f>
        <v/>
      </c>
      <c r="H2898">
        <f>IF(F2898="","",IF(F2898&lt;'02_Eingaben'!$C$18*'02_Eingaben'!$C$10,1,0))</f>
        <v/>
      </c>
      <c r="I2898" s="27">
        <f>IF(OR(G2898="",G2899=""),"",(G2898+G2899)/2*(B2899-B2898))</f>
        <v/>
      </c>
      <c r="J2898" s="27">
        <f>IF(B2898="","",IF(B2897&lt;'02_Eingaben'!$C$36,0,J2897+I2897/'02_Eingaben'!$C$8))</f>
        <v/>
      </c>
    </row>
    <row r="2899">
      <c r="A2899">
        <f>IF('01_Rohdaten'!A2899="","",ROW()-1)</f>
        <v/>
      </c>
      <c r="B2899" s="27">
        <f>IF('01_Rohdaten'!A2899="","",'01_Rohdaten'!A2899)</f>
        <v/>
      </c>
      <c r="C2899" s="27">
        <f>IF(B2899="","",INDEX('01_Rohdaten'!B2899:D2899,'02_Eingaben'!$C$13))</f>
        <v/>
      </c>
      <c r="D2899" s="27">
        <f>IF(C2899="","",C2899*'02_Eingaben'!$C$15)</f>
        <v/>
      </c>
      <c r="E2899" s="27">
        <f>IF(D2899="","",D2899*'02_Eingaben'!$C$8)</f>
        <v/>
      </c>
      <c r="F2899" s="27">
        <f>IF(E2899="","",AVERAGE(INDEX($E$2:$E$3001,MAX(1,ROW()-1-'02_Eingaben'!$C$17)):INDEX($E$2:$E$3001,MIN('02_Eingaben'!$C$21,ROW()-1+'02_Eingaben'!$C$17))))</f>
        <v/>
      </c>
      <c r="G2899" s="27">
        <f>IF(F2899="","",F2899-'02_Eingaben'!$C$10)</f>
        <v/>
      </c>
      <c r="H2899">
        <f>IF(F2899="","",IF(F2899&lt;'02_Eingaben'!$C$18*'02_Eingaben'!$C$10,1,0))</f>
        <v/>
      </c>
      <c r="I2899" s="27">
        <f>IF(OR(G2899="",G2900=""),"",(G2899+G2900)/2*(B2900-B2899))</f>
        <v/>
      </c>
      <c r="J2899" s="27">
        <f>IF(B2899="","",IF(B2898&lt;'02_Eingaben'!$C$36,0,J2898+I2898/'02_Eingaben'!$C$8))</f>
        <v/>
      </c>
    </row>
    <row r="2900">
      <c r="A2900">
        <f>IF('01_Rohdaten'!A2900="","",ROW()-1)</f>
        <v/>
      </c>
      <c r="B2900" s="27">
        <f>IF('01_Rohdaten'!A2900="","",'01_Rohdaten'!A2900)</f>
        <v/>
      </c>
      <c r="C2900" s="27">
        <f>IF(B2900="","",INDEX('01_Rohdaten'!B2900:D2900,'02_Eingaben'!$C$13))</f>
        <v/>
      </c>
      <c r="D2900" s="27">
        <f>IF(C2900="","",C2900*'02_Eingaben'!$C$15)</f>
        <v/>
      </c>
      <c r="E2900" s="27">
        <f>IF(D2900="","",D2900*'02_Eingaben'!$C$8)</f>
        <v/>
      </c>
      <c r="F2900" s="27">
        <f>IF(E2900="","",AVERAGE(INDEX($E$2:$E$3001,MAX(1,ROW()-1-'02_Eingaben'!$C$17)):INDEX($E$2:$E$3001,MIN('02_Eingaben'!$C$21,ROW()-1+'02_Eingaben'!$C$17))))</f>
        <v/>
      </c>
      <c r="G2900" s="27">
        <f>IF(F2900="","",F2900-'02_Eingaben'!$C$10)</f>
        <v/>
      </c>
      <c r="H2900">
        <f>IF(F2900="","",IF(F2900&lt;'02_Eingaben'!$C$18*'02_Eingaben'!$C$10,1,0))</f>
        <v/>
      </c>
      <c r="I2900" s="27">
        <f>IF(OR(G2900="",G2901=""),"",(G2900+G2901)/2*(B2901-B2900))</f>
        <v/>
      </c>
      <c r="J2900" s="27">
        <f>IF(B2900="","",IF(B2899&lt;'02_Eingaben'!$C$36,0,J2899+I2899/'02_Eingaben'!$C$8))</f>
        <v/>
      </c>
    </row>
    <row r="2901">
      <c r="A2901">
        <f>IF('01_Rohdaten'!A2901="","",ROW()-1)</f>
        <v/>
      </c>
      <c r="B2901" s="27">
        <f>IF('01_Rohdaten'!A2901="","",'01_Rohdaten'!A2901)</f>
        <v/>
      </c>
      <c r="C2901" s="27">
        <f>IF(B2901="","",INDEX('01_Rohdaten'!B2901:D2901,'02_Eingaben'!$C$13))</f>
        <v/>
      </c>
      <c r="D2901" s="27">
        <f>IF(C2901="","",C2901*'02_Eingaben'!$C$15)</f>
        <v/>
      </c>
      <c r="E2901" s="27">
        <f>IF(D2901="","",D2901*'02_Eingaben'!$C$8)</f>
        <v/>
      </c>
      <c r="F2901" s="27">
        <f>IF(E2901="","",AVERAGE(INDEX($E$2:$E$3001,MAX(1,ROW()-1-'02_Eingaben'!$C$17)):INDEX($E$2:$E$3001,MIN('02_Eingaben'!$C$21,ROW()-1+'02_Eingaben'!$C$17))))</f>
        <v/>
      </c>
      <c r="G2901" s="27">
        <f>IF(F2901="","",F2901-'02_Eingaben'!$C$10)</f>
        <v/>
      </c>
      <c r="H2901">
        <f>IF(F2901="","",IF(F2901&lt;'02_Eingaben'!$C$18*'02_Eingaben'!$C$10,1,0))</f>
        <v/>
      </c>
      <c r="I2901" s="27">
        <f>IF(OR(G2901="",G2902=""),"",(G2901+G2902)/2*(B2902-B2901))</f>
        <v/>
      </c>
      <c r="J2901" s="27">
        <f>IF(B2901="","",IF(B2900&lt;'02_Eingaben'!$C$36,0,J2900+I2900/'02_Eingaben'!$C$8))</f>
        <v/>
      </c>
    </row>
    <row r="2902">
      <c r="A2902">
        <f>IF('01_Rohdaten'!A2902="","",ROW()-1)</f>
        <v/>
      </c>
      <c r="B2902" s="27">
        <f>IF('01_Rohdaten'!A2902="","",'01_Rohdaten'!A2902)</f>
        <v/>
      </c>
      <c r="C2902" s="27">
        <f>IF(B2902="","",INDEX('01_Rohdaten'!B2902:D2902,'02_Eingaben'!$C$13))</f>
        <v/>
      </c>
      <c r="D2902" s="27">
        <f>IF(C2902="","",C2902*'02_Eingaben'!$C$15)</f>
        <v/>
      </c>
      <c r="E2902" s="27">
        <f>IF(D2902="","",D2902*'02_Eingaben'!$C$8)</f>
        <v/>
      </c>
      <c r="F2902" s="27">
        <f>IF(E2902="","",AVERAGE(INDEX($E$2:$E$3001,MAX(1,ROW()-1-'02_Eingaben'!$C$17)):INDEX($E$2:$E$3001,MIN('02_Eingaben'!$C$21,ROW()-1+'02_Eingaben'!$C$17))))</f>
        <v/>
      </c>
      <c r="G2902" s="27">
        <f>IF(F2902="","",F2902-'02_Eingaben'!$C$10)</f>
        <v/>
      </c>
      <c r="H2902">
        <f>IF(F2902="","",IF(F2902&lt;'02_Eingaben'!$C$18*'02_Eingaben'!$C$10,1,0))</f>
        <v/>
      </c>
      <c r="I2902" s="27">
        <f>IF(OR(G2902="",G2903=""),"",(G2902+G2903)/2*(B2903-B2902))</f>
        <v/>
      </c>
      <c r="J2902" s="27">
        <f>IF(B2902="","",IF(B2901&lt;'02_Eingaben'!$C$36,0,J2901+I2901/'02_Eingaben'!$C$8))</f>
        <v/>
      </c>
    </row>
    <row r="2903">
      <c r="A2903">
        <f>IF('01_Rohdaten'!A2903="","",ROW()-1)</f>
        <v/>
      </c>
      <c r="B2903" s="27">
        <f>IF('01_Rohdaten'!A2903="","",'01_Rohdaten'!A2903)</f>
        <v/>
      </c>
      <c r="C2903" s="27">
        <f>IF(B2903="","",INDEX('01_Rohdaten'!B2903:D2903,'02_Eingaben'!$C$13))</f>
        <v/>
      </c>
      <c r="D2903" s="27">
        <f>IF(C2903="","",C2903*'02_Eingaben'!$C$15)</f>
        <v/>
      </c>
      <c r="E2903" s="27">
        <f>IF(D2903="","",D2903*'02_Eingaben'!$C$8)</f>
        <v/>
      </c>
      <c r="F2903" s="27">
        <f>IF(E2903="","",AVERAGE(INDEX($E$2:$E$3001,MAX(1,ROW()-1-'02_Eingaben'!$C$17)):INDEX($E$2:$E$3001,MIN('02_Eingaben'!$C$21,ROW()-1+'02_Eingaben'!$C$17))))</f>
        <v/>
      </c>
      <c r="G2903" s="27">
        <f>IF(F2903="","",F2903-'02_Eingaben'!$C$10)</f>
        <v/>
      </c>
      <c r="H2903">
        <f>IF(F2903="","",IF(F2903&lt;'02_Eingaben'!$C$18*'02_Eingaben'!$C$10,1,0))</f>
        <v/>
      </c>
      <c r="I2903" s="27">
        <f>IF(OR(G2903="",G2904=""),"",(G2903+G2904)/2*(B2904-B2903))</f>
        <v/>
      </c>
      <c r="J2903" s="27">
        <f>IF(B2903="","",IF(B2902&lt;'02_Eingaben'!$C$36,0,J2902+I2902/'02_Eingaben'!$C$8))</f>
        <v/>
      </c>
    </row>
    <row r="2904">
      <c r="A2904">
        <f>IF('01_Rohdaten'!A2904="","",ROW()-1)</f>
        <v/>
      </c>
      <c r="B2904" s="27">
        <f>IF('01_Rohdaten'!A2904="","",'01_Rohdaten'!A2904)</f>
        <v/>
      </c>
      <c r="C2904" s="27">
        <f>IF(B2904="","",INDEX('01_Rohdaten'!B2904:D2904,'02_Eingaben'!$C$13))</f>
        <v/>
      </c>
      <c r="D2904" s="27">
        <f>IF(C2904="","",C2904*'02_Eingaben'!$C$15)</f>
        <v/>
      </c>
      <c r="E2904" s="27">
        <f>IF(D2904="","",D2904*'02_Eingaben'!$C$8)</f>
        <v/>
      </c>
      <c r="F2904" s="27">
        <f>IF(E2904="","",AVERAGE(INDEX($E$2:$E$3001,MAX(1,ROW()-1-'02_Eingaben'!$C$17)):INDEX($E$2:$E$3001,MIN('02_Eingaben'!$C$21,ROW()-1+'02_Eingaben'!$C$17))))</f>
        <v/>
      </c>
      <c r="G2904" s="27">
        <f>IF(F2904="","",F2904-'02_Eingaben'!$C$10)</f>
        <v/>
      </c>
      <c r="H2904">
        <f>IF(F2904="","",IF(F2904&lt;'02_Eingaben'!$C$18*'02_Eingaben'!$C$10,1,0))</f>
        <v/>
      </c>
      <c r="I2904" s="27">
        <f>IF(OR(G2904="",G2905=""),"",(G2904+G2905)/2*(B2905-B2904))</f>
        <v/>
      </c>
      <c r="J2904" s="27">
        <f>IF(B2904="","",IF(B2903&lt;'02_Eingaben'!$C$36,0,J2903+I2903/'02_Eingaben'!$C$8))</f>
        <v/>
      </c>
    </row>
    <row r="2905">
      <c r="A2905">
        <f>IF('01_Rohdaten'!A2905="","",ROW()-1)</f>
        <v/>
      </c>
      <c r="B2905" s="27">
        <f>IF('01_Rohdaten'!A2905="","",'01_Rohdaten'!A2905)</f>
        <v/>
      </c>
      <c r="C2905" s="27">
        <f>IF(B2905="","",INDEX('01_Rohdaten'!B2905:D2905,'02_Eingaben'!$C$13))</f>
        <v/>
      </c>
      <c r="D2905" s="27">
        <f>IF(C2905="","",C2905*'02_Eingaben'!$C$15)</f>
        <v/>
      </c>
      <c r="E2905" s="27">
        <f>IF(D2905="","",D2905*'02_Eingaben'!$C$8)</f>
        <v/>
      </c>
      <c r="F2905" s="27">
        <f>IF(E2905="","",AVERAGE(INDEX($E$2:$E$3001,MAX(1,ROW()-1-'02_Eingaben'!$C$17)):INDEX($E$2:$E$3001,MIN('02_Eingaben'!$C$21,ROW()-1+'02_Eingaben'!$C$17))))</f>
        <v/>
      </c>
      <c r="G2905" s="27">
        <f>IF(F2905="","",F2905-'02_Eingaben'!$C$10)</f>
        <v/>
      </c>
      <c r="H2905">
        <f>IF(F2905="","",IF(F2905&lt;'02_Eingaben'!$C$18*'02_Eingaben'!$C$10,1,0))</f>
        <v/>
      </c>
      <c r="I2905" s="27">
        <f>IF(OR(G2905="",G2906=""),"",(G2905+G2906)/2*(B2906-B2905))</f>
        <v/>
      </c>
      <c r="J2905" s="27">
        <f>IF(B2905="","",IF(B2904&lt;'02_Eingaben'!$C$36,0,J2904+I2904/'02_Eingaben'!$C$8))</f>
        <v/>
      </c>
    </row>
    <row r="2906">
      <c r="A2906">
        <f>IF('01_Rohdaten'!A2906="","",ROW()-1)</f>
        <v/>
      </c>
      <c r="B2906" s="27">
        <f>IF('01_Rohdaten'!A2906="","",'01_Rohdaten'!A2906)</f>
        <v/>
      </c>
      <c r="C2906" s="27">
        <f>IF(B2906="","",INDEX('01_Rohdaten'!B2906:D2906,'02_Eingaben'!$C$13))</f>
        <v/>
      </c>
      <c r="D2906" s="27">
        <f>IF(C2906="","",C2906*'02_Eingaben'!$C$15)</f>
        <v/>
      </c>
      <c r="E2906" s="27">
        <f>IF(D2906="","",D2906*'02_Eingaben'!$C$8)</f>
        <v/>
      </c>
      <c r="F2906" s="27">
        <f>IF(E2906="","",AVERAGE(INDEX($E$2:$E$3001,MAX(1,ROW()-1-'02_Eingaben'!$C$17)):INDEX($E$2:$E$3001,MIN('02_Eingaben'!$C$21,ROW()-1+'02_Eingaben'!$C$17))))</f>
        <v/>
      </c>
      <c r="G2906" s="27">
        <f>IF(F2906="","",F2906-'02_Eingaben'!$C$10)</f>
        <v/>
      </c>
      <c r="H2906">
        <f>IF(F2906="","",IF(F2906&lt;'02_Eingaben'!$C$18*'02_Eingaben'!$C$10,1,0))</f>
        <v/>
      </c>
      <c r="I2906" s="27">
        <f>IF(OR(G2906="",G2907=""),"",(G2906+G2907)/2*(B2907-B2906))</f>
        <v/>
      </c>
      <c r="J2906" s="27">
        <f>IF(B2906="","",IF(B2905&lt;'02_Eingaben'!$C$36,0,J2905+I2905/'02_Eingaben'!$C$8))</f>
        <v/>
      </c>
    </row>
    <row r="2907">
      <c r="A2907">
        <f>IF('01_Rohdaten'!A2907="","",ROW()-1)</f>
        <v/>
      </c>
      <c r="B2907" s="27">
        <f>IF('01_Rohdaten'!A2907="","",'01_Rohdaten'!A2907)</f>
        <v/>
      </c>
      <c r="C2907" s="27">
        <f>IF(B2907="","",INDEX('01_Rohdaten'!B2907:D2907,'02_Eingaben'!$C$13))</f>
        <v/>
      </c>
      <c r="D2907" s="27">
        <f>IF(C2907="","",C2907*'02_Eingaben'!$C$15)</f>
        <v/>
      </c>
      <c r="E2907" s="27">
        <f>IF(D2907="","",D2907*'02_Eingaben'!$C$8)</f>
        <v/>
      </c>
      <c r="F2907" s="27">
        <f>IF(E2907="","",AVERAGE(INDEX($E$2:$E$3001,MAX(1,ROW()-1-'02_Eingaben'!$C$17)):INDEX($E$2:$E$3001,MIN('02_Eingaben'!$C$21,ROW()-1+'02_Eingaben'!$C$17))))</f>
        <v/>
      </c>
      <c r="G2907" s="27">
        <f>IF(F2907="","",F2907-'02_Eingaben'!$C$10)</f>
        <v/>
      </c>
      <c r="H2907">
        <f>IF(F2907="","",IF(F2907&lt;'02_Eingaben'!$C$18*'02_Eingaben'!$C$10,1,0))</f>
        <v/>
      </c>
      <c r="I2907" s="27">
        <f>IF(OR(G2907="",G2908=""),"",(G2907+G2908)/2*(B2908-B2907))</f>
        <v/>
      </c>
      <c r="J2907" s="27">
        <f>IF(B2907="","",IF(B2906&lt;'02_Eingaben'!$C$36,0,J2906+I2906/'02_Eingaben'!$C$8))</f>
        <v/>
      </c>
    </row>
    <row r="2908">
      <c r="A2908">
        <f>IF('01_Rohdaten'!A2908="","",ROW()-1)</f>
        <v/>
      </c>
      <c r="B2908" s="27">
        <f>IF('01_Rohdaten'!A2908="","",'01_Rohdaten'!A2908)</f>
        <v/>
      </c>
      <c r="C2908" s="27">
        <f>IF(B2908="","",INDEX('01_Rohdaten'!B2908:D2908,'02_Eingaben'!$C$13))</f>
        <v/>
      </c>
      <c r="D2908" s="27">
        <f>IF(C2908="","",C2908*'02_Eingaben'!$C$15)</f>
        <v/>
      </c>
      <c r="E2908" s="27">
        <f>IF(D2908="","",D2908*'02_Eingaben'!$C$8)</f>
        <v/>
      </c>
      <c r="F2908" s="27">
        <f>IF(E2908="","",AVERAGE(INDEX($E$2:$E$3001,MAX(1,ROW()-1-'02_Eingaben'!$C$17)):INDEX($E$2:$E$3001,MIN('02_Eingaben'!$C$21,ROW()-1+'02_Eingaben'!$C$17))))</f>
        <v/>
      </c>
      <c r="G2908" s="27">
        <f>IF(F2908="","",F2908-'02_Eingaben'!$C$10)</f>
        <v/>
      </c>
      <c r="H2908">
        <f>IF(F2908="","",IF(F2908&lt;'02_Eingaben'!$C$18*'02_Eingaben'!$C$10,1,0))</f>
        <v/>
      </c>
      <c r="I2908" s="27">
        <f>IF(OR(G2908="",G2909=""),"",(G2908+G2909)/2*(B2909-B2908))</f>
        <v/>
      </c>
      <c r="J2908" s="27">
        <f>IF(B2908="","",IF(B2907&lt;'02_Eingaben'!$C$36,0,J2907+I2907/'02_Eingaben'!$C$8))</f>
        <v/>
      </c>
    </row>
    <row r="2909">
      <c r="A2909">
        <f>IF('01_Rohdaten'!A2909="","",ROW()-1)</f>
        <v/>
      </c>
      <c r="B2909" s="27">
        <f>IF('01_Rohdaten'!A2909="","",'01_Rohdaten'!A2909)</f>
        <v/>
      </c>
      <c r="C2909" s="27">
        <f>IF(B2909="","",INDEX('01_Rohdaten'!B2909:D2909,'02_Eingaben'!$C$13))</f>
        <v/>
      </c>
      <c r="D2909" s="27">
        <f>IF(C2909="","",C2909*'02_Eingaben'!$C$15)</f>
        <v/>
      </c>
      <c r="E2909" s="27">
        <f>IF(D2909="","",D2909*'02_Eingaben'!$C$8)</f>
        <v/>
      </c>
      <c r="F2909" s="27">
        <f>IF(E2909="","",AVERAGE(INDEX($E$2:$E$3001,MAX(1,ROW()-1-'02_Eingaben'!$C$17)):INDEX($E$2:$E$3001,MIN('02_Eingaben'!$C$21,ROW()-1+'02_Eingaben'!$C$17))))</f>
        <v/>
      </c>
      <c r="G2909" s="27">
        <f>IF(F2909="","",F2909-'02_Eingaben'!$C$10)</f>
        <v/>
      </c>
      <c r="H2909">
        <f>IF(F2909="","",IF(F2909&lt;'02_Eingaben'!$C$18*'02_Eingaben'!$C$10,1,0))</f>
        <v/>
      </c>
      <c r="I2909" s="27">
        <f>IF(OR(G2909="",G2910=""),"",(G2909+G2910)/2*(B2910-B2909))</f>
        <v/>
      </c>
      <c r="J2909" s="27">
        <f>IF(B2909="","",IF(B2908&lt;'02_Eingaben'!$C$36,0,J2908+I2908/'02_Eingaben'!$C$8))</f>
        <v/>
      </c>
    </row>
    <row r="2910">
      <c r="A2910">
        <f>IF('01_Rohdaten'!A2910="","",ROW()-1)</f>
        <v/>
      </c>
      <c r="B2910" s="27">
        <f>IF('01_Rohdaten'!A2910="","",'01_Rohdaten'!A2910)</f>
        <v/>
      </c>
      <c r="C2910" s="27">
        <f>IF(B2910="","",INDEX('01_Rohdaten'!B2910:D2910,'02_Eingaben'!$C$13))</f>
        <v/>
      </c>
      <c r="D2910" s="27">
        <f>IF(C2910="","",C2910*'02_Eingaben'!$C$15)</f>
        <v/>
      </c>
      <c r="E2910" s="27">
        <f>IF(D2910="","",D2910*'02_Eingaben'!$C$8)</f>
        <v/>
      </c>
      <c r="F2910" s="27">
        <f>IF(E2910="","",AVERAGE(INDEX($E$2:$E$3001,MAX(1,ROW()-1-'02_Eingaben'!$C$17)):INDEX($E$2:$E$3001,MIN('02_Eingaben'!$C$21,ROW()-1+'02_Eingaben'!$C$17))))</f>
        <v/>
      </c>
      <c r="G2910" s="27">
        <f>IF(F2910="","",F2910-'02_Eingaben'!$C$10)</f>
        <v/>
      </c>
      <c r="H2910">
        <f>IF(F2910="","",IF(F2910&lt;'02_Eingaben'!$C$18*'02_Eingaben'!$C$10,1,0))</f>
        <v/>
      </c>
      <c r="I2910" s="27">
        <f>IF(OR(G2910="",G2911=""),"",(G2910+G2911)/2*(B2911-B2910))</f>
        <v/>
      </c>
      <c r="J2910" s="27">
        <f>IF(B2910="","",IF(B2909&lt;'02_Eingaben'!$C$36,0,J2909+I2909/'02_Eingaben'!$C$8))</f>
        <v/>
      </c>
    </row>
    <row r="2911">
      <c r="A2911">
        <f>IF('01_Rohdaten'!A2911="","",ROW()-1)</f>
        <v/>
      </c>
      <c r="B2911" s="27">
        <f>IF('01_Rohdaten'!A2911="","",'01_Rohdaten'!A2911)</f>
        <v/>
      </c>
      <c r="C2911" s="27">
        <f>IF(B2911="","",INDEX('01_Rohdaten'!B2911:D2911,'02_Eingaben'!$C$13))</f>
        <v/>
      </c>
      <c r="D2911" s="27">
        <f>IF(C2911="","",C2911*'02_Eingaben'!$C$15)</f>
        <v/>
      </c>
      <c r="E2911" s="27">
        <f>IF(D2911="","",D2911*'02_Eingaben'!$C$8)</f>
        <v/>
      </c>
      <c r="F2911" s="27">
        <f>IF(E2911="","",AVERAGE(INDEX($E$2:$E$3001,MAX(1,ROW()-1-'02_Eingaben'!$C$17)):INDEX($E$2:$E$3001,MIN('02_Eingaben'!$C$21,ROW()-1+'02_Eingaben'!$C$17))))</f>
        <v/>
      </c>
      <c r="G2911" s="27">
        <f>IF(F2911="","",F2911-'02_Eingaben'!$C$10)</f>
        <v/>
      </c>
      <c r="H2911">
        <f>IF(F2911="","",IF(F2911&lt;'02_Eingaben'!$C$18*'02_Eingaben'!$C$10,1,0))</f>
        <v/>
      </c>
      <c r="I2911" s="27">
        <f>IF(OR(G2911="",G2912=""),"",(G2911+G2912)/2*(B2912-B2911))</f>
        <v/>
      </c>
      <c r="J2911" s="27">
        <f>IF(B2911="","",IF(B2910&lt;'02_Eingaben'!$C$36,0,J2910+I2910/'02_Eingaben'!$C$8))</f>
        <v/>
      </c>
    </row>
    <row r="2912">
      <c r="A2912">
        <f>IF('01_Rohdaten'!A2912="","",ROW()-1)</f>
        <v/>
      </c>
      <c r="B2912" s="27">
        <f>IF('01_Rohdaten'!A2912="","",'01_Rohdaten'!A2912)</f>
        <v/>
      </c>
      <c r="C2912" s="27">
        <f>IF(B2912="","",INDEX('01_Rohdaten'!B2912:D2912,'02_Eingaben'!$C$13))</f>
        <v/>
      </c>
      <c r="D2912" s="27">
        <f>IF(C2912="","",C2912*'02_Eingaben'!$C$15)</f>
        <v/>
      </c>
      <c r="E2912" s="27">
        <f>IF(D2912="","",D2912*'02_Eingaben'!$C$8)</f>
        <v/>
      </c>
      <c r="F2912" s="27">
        <f>IF(E2912="","",AVERAGE(INDEX($E$2:$E$3001,MAX(1,ROW()-1-'02_Eingaben'!$C$17)):INDEX($E$2:$E$3001,MIN('02_Eingaben'!$C$21,ROW()-1+'02_Eingaben'!$C$17))))</f>
        <v/>
      </c>
      <c r="G2912" s="27">
        <f>IF(F2912="","",F2912-'02_Eingaben'!$C$10)</f>
        <v/>
      </c>
      <c r="H2912">
        <f>IF(F2912="","",IF(F2912&lt;'02_Eingaben'!$C$18*'02_Eingaben'!$C$10,1,0))</f>
        <v/>
      </c>
      <c r="I2912" s="27">
        <f>IF(OR(G2912="",G2913=""),"",(G2912+G2913)/2*(B2913-B2912))</f>
        <v/>
      </c>
      <c r="J2912" s="27">
        <f>IF(B2912="","",IF(B2911&lt;'02_Eingaben'!$C$36,0,J2911+I2911/'02_Eingaben'!$C$8))</f>
        <v/>
      </c>
    </row>
    <row r="2913">
      <c r="A2913">
        <f>IF('01_Rohdaten'!A2913="","",ROW()-1)</f>
        <v/>
      </c>
      <c r="B2913" s="27">
        <f>IF('01_Rohdaten'!A2913="","",'01_Rohdaten'!A2913)</f>
        <v/>
      </c>
      <c r="C2913" s="27">
        <f>IF(B2913="","",INDEX('01_Rohdaten'!B2913:D2913,'02_Eingaben'!$C$13))</f>
        <v/>
      </c>
      <c r="D2913" s="27">
        <f>IF(C2913="","",C2913*'02_Eingaben'!$C$15)</f>
        <v/>
      </c>
      <c r="E2913" s="27">
        <f>IF(D2913="","",D2913*'02_Eingaben'!$C$8)</f>
        <v/>
      </c>
      <c r="F2913" s="27">
        <f>IF(E2913="","",AVERAGE(INDEX($E$2:$E$3001,MAX(1,ROW()-1-'02_Eingaben'!$C$17)):INDEX($E$2:$E$3001,MIN('02_Eingaben'!$C$21,ROW()-1+'02_Eingaben'!$C$17))))</f>
        <v/>
      </c>
      <c r="G2913" s="27">
        <f>IF(F2913="","",F2913-'02_Eingaben'!$C$10)</f>
        <v/>
      </c>
      <c r="H2913">
        <f>IF(F2913="","",IF(F2913&lt;'02_Eingaben'!$C$18*'02_Eingaben'!$C$10,1,0))</f>
        <v/>
      </c>
      <c r="I2913" s="27">
        <f>IF(OR(G2913="",G2914=""),"",(G2913+G2914)/2*(B2914-B2913))</f>
        <v/>
      </c>
      <c r="J2913" s="27">
        <f>IF(B2913="","",IF(B2912&lt;'02_Eingaben'!$C$36,0,J2912+I2912/'02_Eingaben'!$C$8))</f>
        <v/>
      </c>
    </row>
    <row r="2914">
      <c r="A2914">
        <f>IF('01_Rohdaten'!A2914="","",ROW()-1)</f>
        <v/>
      </c>
      <c r="B2914" s="27">
        <f>IF('01_Rohdaten'!A2914="","",'01_Rohdaten'!A2914)</f>
        <v/>
      </c>
      <c r="C2914" s="27">
        <f>IF(B2914="","",INDEX('01_Rohdaten'!B2914:D2914,'02_Eingaben'!$C$13))</f>
        <v/>
      </c>
      <c r="D2914" s="27">
        <f>IF(C2914="","",C2914*'02_Eingaben'!$C$15)</f>
        <v/>
      </c>
      <c r="E2914" s="27">
        <f>IF(D2914="","",D2914*'02_Eingaben'!$C$8)</f>
        <v/>
      </c>
      <c r="F2914" s="27">
        <f>IF(E2914="","",AVERAGE(INDEX($E$2:$E$3001,MAX(1,ROW()-1-'02_Eingaben'!$C$17)):INDEX($E$2:$E$3001,MIN('02_Eingaben'!$C$21,ROW()-1+'02_Eingaben'!$C$17))))</f>
        <v/>
      </c>
      <c r="G2914" s="27">
        <f>IF(F2914="","",F2914-'02_Eingaben'!$C$10)</f>
        <v/>
      </c>
      <c r="H2914">
        <f>IF(F2914="","",IF(F2914&lt;'02_Eingaben'!$C$18*'02_Eingaben'!$C$10,1,0))</f>
        <v/>
      </c>
      <c r="I2914" s="27">
        <f>IF(OR(G2914="",G2915=""),"",(G2914+G2915)/2*(B2915-B2914))</f>
        <v/>
      </c>
      <c r="J2914" s="27">
        <f>IF(B2914="","",IF(B2913&lt;'02_Eingaben'!$C$36,0,J2913+I2913/'02_Eingaben'!$C$8))</f>
        <v/>
      </c>
    </row>
    <row r="2915">
      <c r="A2915">
        <f>IF('01_Rohdaten'!A2915="","",ROW()-1)</f>
        <v/>
      </c>
      <c r="B2915" s="27">
        <f>IF('01_Rohdaten'!A2915="","",'01_Rohdaten'!A2915)</f>
        <v/>
      </c>
      <c r="C2915" s="27">
        <f>IF(B2915="","",INDEX('01_Rohdaten'!B2915:D2915,'02_Eingaben'!$C$13))</f>
        <v/>
      </c>
      <c r="D2915" s="27">
        <f>IF(C2915="","",C2915*'02_Eingaben'!$C$15)</f>
        <v/>
      </c>
      <c r="E2915" s="27">
        <f>IF(D2915="","",D2915*'02_Eingaben'!$C$8)</f>
        <v/>
      </c>
      <c r="F2915" s="27">
        <f>IF(E2915="","",AVERAGE(INDEX($E$2:$E$3001,MAX(1,ROW()-1-'02_Eingaben'!$C$17)):INDEX($E$2:$E$3001,MIN('02_Eingaben'!$C$21,ROW()-1+'02_Eingaben'!$C$17))))</f>
        <v/>
      </c>
      <c r="G2915" s="27">
        <f>IF(F2915="","",F2915-'02_Eingaben'!$C$10)</f>
        <v/>
      </c>
      <c r="H2915">
        <f>IF(F2915="","",IF(F2915&lt;'02_Eingaben'!$C$18*'02_Eingaben'!$C$10,1,0))</f>
        <v/>
      </c>
      <c r="I2915" s="27">
        <f>IF(OR(G2915="",G2916=""),"",(G2915+G2916)/2*(B2916-B2915))</f>
        <v/>
      </c>
      <c r="J2915" s="27">
        <f>IF(B2915="","",IF(B2914&lt;'02_Eingaben'!$C$36,0,J2914+I2914/'02_Eingaben'!$C$8))</f>
        <v/>
      </c>
    </row>
    <row r="2916">
      <c r="A2916">
        <f>IF('01_Rohdaten'!A2916="","",ROW()-1)</f>
        <v/>
      </c>
      <c r="B2916" s="27">
        <f>IF('01_Rohdaten'!A2916="","",'01_Rohdaten'!A2916)</f>
        <v/>
      </c>
      <c r="C2916" s="27">
        <f>IF(B2916="","",INDEX('01_Rohdaten'!B2916:D2916,'02_Eingaben'!$C$13))</f>
        <v/>
      </c>
      <c r="D2916" s="27">
        <f>IF(C2916="","",C2916*'02_Eingaben'!$C$15)</f>
        <v/>
      </c>
      <c r="E2916" s="27">
        <f>IF(D2916="","",D2916*'02_Eingaben'!$C$8)</f>
        <v/>
      </c>
      <c r="F2916" s="27">
        <f>IF(E2916="","",AVERAGE(INDEX($E$2:$E$3001,MAX(1,ROW()-1-'02_Eingaben'!$C$17)):INDEX($E$2:$E$3001,MIN('02_Eingaben'!$C$21,ROW()-1+'02_Eingaben'!$C$17))))</f>
        <v/>
      </c>
      <c r="G2916" s="27">
        <f>IF(F2916="","",F2916-'02_Eingaben'!$C$10)</f>
        <v/>
      </c>
      <c r="H2916">
        <f>IF(F2916="","",IF(F2916&lt;'02_Eingaben'!$C$18*'02_Eingaben'!$C$10,1,0))</f>
        <v/>
      </c>
      <c r="I2916" s="27">
        <f>IF(OR(G2916="",G2917=""),"",(G2916+G2917)/2*(B2917-B2916))</f>
        <v/>
      </c>
      <c r="J2916" s="27">
        <f>IF(B2916="","",IF(B2915&lt;'02_Eingaben'!$C$36,0,J2915+I2915/'02_Eingaben'!$C$8))</f>
        <v/>
      </c>
    </row>
    <row r="2917">
      <c r="A2917">
        <f>IF('01_Rohdaten'!A2917="","",ROW()-1)</f>
        <v/>
      </c>
      <c r="B2917" s="27">
        <f>IF('01_Rohdaten'!A2917="","",'01_Rohdaten'!A2917)</f>
        <v/>
      </c>
      <c r="C2917" s="27">
        <f>IF(B2917="","",INDEX('01_Rohdaten'!B2917:D2917,'02_Eingaben'!$C$13))</f>
        <v/>
      </c>
      <c r="D2917" s="27">
        <f>IF(C2917="","",C2917*'02_Eingaben'!$C$15)</f>
        <v/>
      </c>
      <c r="E2917" s="27">
        <f>IF(D2917="","",D2917*'02_Eingaben'!$C$8)</f>
        <v/>
      </c>
      <c r="F2917" s="27">
        <f>IF(E2917="","",AVERAGE(INDEX($E$2:$E$3001,MAX(1,ROW()-1-'02_Eingaben'!$C$17)):INDEX($E$2:$E$3001,MIN('02_Eingaben'!$C$21,ROW()-1+'02_Eingaben'!$C$17))))</f>
        <v/>
      </c>
      <c r="G2917" s="27">
        <f>IF(F2917="","",F2917-'02_Eingaben'!$C$10)</f>
        <v/>
      </c>
      <c r="H2917">
        <f>IF(F2917="","",IF(F2917&lt;'02_Eingaben'!$C$18*'02_Eingaben'!$C$10,1,0))</f>
        <v/>
      </c>
      <c r="I2917" s="27">
        <f>IF(OR(G2917="",G2918=""),"",(G2917+G2918)/2*(B2918-B2917))</f>
        <v/>
      </c>
      <c r="J2917" s="27">
        <f>IF(B2917="","",IF(B2916&lt;'02_Eingaben'!$C$36,0,J2916+I2916/'02_Eingaben'!$C$8))</f>
        <v/>
      </c>
    </row>
    <row r="2918">
      <c r="A2918">
        <f>IF('01_Rohdaten'!A2918="","",ROW()-1)</f>
        <v/>
      </c>
      <c r="B2918" s="27">
        <f>IF('01_Rohdaten'!A2918="","",'01_Rohdaten'!A2918)</f>
        <v/>
      </c>
      <c r="C2918" s="27">
        <f>IF(B2918="","",INDEX('01_Rohdaten'!B2918:D2918,'02_Eingaben'!$C$13))</f>
        <v/>
      </c>
      <c r="D2918" s="27">
        <f>IF(C2918="","",C2918*'02_Eingaben'!$C$15)</f>
        <v/>
      </c>
      <c r="E2918" s="27">
        <f>IF(D2918="","",D2918*'02_Eingaben'!$C$8)</f>
        <v/>
      </c>
      <c r="F2918" s="27">
        <f>IF(E2918="","",AVERAGE(INDEX($E$2:$E$3001,MAX(1,ROW()-1-'02_Eingaben'!$C$17)):INDEX($E$2:$E$3001,MIN('02_Eingaben'!$C$21,ROW()-1+'02_Eingaben'!$C$17))))</f>
        <v/>
      </c>
      <c r="G2918" s="27">
        <f>IF(F2918="","",F2918-'02_Eingaben'!$C$10)</f>
        <v/>
      </c>
      <c r="H2918">
        <f>IF(F2918="","",IF(F2918&lt;'02_Eingaben'!$C$18*'02_Eingaben'!$C$10,1,0))</f>
        <v/>
      </c>
      <c r="I2918" s="27">
        <f>IF(OR(G2918="",G2919=""),"",(G2918+G2919)/2*(B2919-B2918))</f>
        <v/>
      </c>
      <c r="J2918" s="27">
        <f>IF(B2918="","",IF(B2917&lt;'02_Eingaben'!$C$36,0,J2917+I2917/'02_Eingaben'!$C$8))</f>
        <v/>
      </c>
    </row>
    <row r="2919">
      <c r="A2919">
        <f>IF('01_Rohdaten'!A2919="","",ROW()-1)</f>
        <v/>
      </c>
      <c r="B2919" s="27">
        <f>IF('01_Rohdaten'!A2919="","",'01_Rohdaten'!A2919)</f>
        <v/>
      </c>
      <c r="C2919" s="27">
        <f>IF(B2919="","",INDEX('01_Rohdaten'!B2919:D2919,'02_Eingaben'!$C$13))</f>
        <v/>
      </c>
      <c r="D2919" s="27">
        <f>IF(C2919="","",C2919*'02_Eingaben'!$C$15)</f>
        <v/>
      </c>
      <c r="E2919" s="27">
        <f>IF(D2919="","",D2919*'02_Eingaben'!$C$8)</f>
        <v/>
      </c>
      <c r="F2919" s="27">
        <f>IF(E2919="","",AVERAGE(INDEX($E$2:$E$3001,MAX(1,ROW()-1-'02_Eingaben'!$C$17)):INDEX($E$2:$E$3001,MIN('02_Eingaben'!$C$21,ROW()-1+'02_Eingaben'!$C$17))))</f>
        <v/>
      </c>
      <c r="G2919" s="27">
        <f>IF(F2919="","",F2919-'02_Eingaben'!$C$10)</f>
        <v/>
      </c>
      <c r="H2919">
        <f>IF(F2919="","",IF(F2919&lt;'02_Eingaben'!$C$18*'02_Eingaben'!$C$10,1,0))</f>
        <v/>
      </c>
      <c r="I2919" s="27">
        <f>IF(OR(G2919="",G2920=""),"",(G2919+G2920)/2*(B2920-B2919))</f>
        <v/>
      </c>
      <c r="J2919" s="27">
        <f>IF(B2919="","",IF(B2918&lt;'02_Eingaben'!$C$36,0,J2918+I2918/'02_Eingaben'!$C$8))</f>
        <v/>
      </c>
    </row>
    <row r="2920">
      <c r="A2920">
        <f>IF('01_Rohdaten'!A2920="","",ROW()-1)</f>
        <v/>
      </c>
      <c r="B2920" s="27">
        <f>IF('01_Rohdaten'!A2920="","",'01_Rohdaten'!A2920)</f>
        <v/>
      </c>
      <c r="C2920" s="27">
        <f>IF(B2920="","",INDEX('01_Rohdaten'!B2920:D2920,'02_Eingaben'!$C$13))</f>
        <v/>
      </c>
      <c r="D2920" s="27">
        <f>IF(C2920="","",C2920*'02_Eingaben'!$C$15)</f>
        <v/>
      </c>
      <c r="E2920" s="27">
        <f>IF(D2920="","",D2920*'02_Eingaben'!$C$8)</f>
        <v/>
      </c>
      <c r="F2920" s="27">
        <f>IF(E2920="","",AVERAGE(INDEX($E$2:$E$3001,MAX(1,ROW()-1-'02_Eingaben'!$C$17)):INDEX($E$2:$E$3001,MIN('02_Eingaben'!$C$21,ROW()-1+'02_Eingaben'!$C$17))))</f>
        <v/>
      </c>
      <c r="G2920" s="27">
        <f>IF(F2920="","",F2920-'02_Eingaben'!$C$10)</f>
        <v/>
      </c>
      <c r="H2920">
        <f>IF(F2920="","",IF(F2920&lt;'02_Eingaben'!$C$18*'02_Eingaben'!$C$10,1,0))</f>
        <v/>
      </c>
      <c r="I2920" s="27">
        <f>IF(OR(G2920="",G2921=""),"",(G2920+G2921)/2*(B2921-B2920))</f>
        <v/>
      </c>
      <c r="J2920" s="27">
        <f>IF(B2920="","",IF(B2919&lt;'02_Eingaben'!$C$36,0,J2919+I2919/'02_Eingaben'!$C$8))</f>
        <v/>
      </c>
    </row>
    <row r="2921">
      <c r="A2921">
        <f>IF('01_Rohdaten'!A2921="","",ROW()-1)</f>
        <v/>
      </c>
      <c r="B2921" s="27">
        <f>IF('01_Rohdaten'!A2921="","",'01_Rohdaten'!A2921)</f>
        <v/>
      </c>
      <c r="C2921" s="27">
        <f>IF(B2921="","",INDEX('01_Rohdaten'!B2921:D2921,'02_Eingaben'!$C$13))</f>
        <v/>
      </c>
      <c r="D2921" s="27">
        <f>IF(C2921="","",C2921*'02_Eingaben'!$C$15)</f>
        <v/>
      </c>
      <c r="E2921" s="27">
        <f>IF(D2921="","",D2921*'02_Eingaben'!$C$8)</f>
        <v/>
      </c>
      <c r="F2921" s="27">
        <f>IF(E2921="","",AVERAGE(INDEX($E$2:$E$3001,MAX(1,ROW()-1-'02_Eingaben'!$C$17)):INDEX($E$2:$E$3001,MIN('02_Eingaben'!$C$21,ROW()-1+'02_Eingaben'!$C$17))))</f>
        <v/>
      </c>
      <c r="G2921" s="27">
        <f>IF(F2921="","",F2921-'02_Eingaben'!$C$10)</f>
        <v/>
      </c>
      <c r="H2921">
        <f>IF(F2921="","",IF(F2921&lt;'02_Eingaben'!$C$18*'02_Eingaben'!$C$10,1,0))</f>
        <v/>
      </c>
      <c r="I2921" s="27">
        <f>IF(OR(G2921="",G2922=""),"",(G2921+G2922)/2*(B2922-B2921))</f>
        <v/>
      </c>
      <c r="J2921" s="27">
        <f>IF(B2921="","",IF(B2920&lt;'02_Eingaben'!$C$36,0,J2920+I2920/'02_Eingaben'!$C$8))</f>
        <v/>
      </c>
    </row>
    <row r="2922">
      <c r="A2922">
        <f>IF('01_Rohdaten'!A2922="","",ROW()-1)</f>
        <v/>
      </c>
      <c r="B2922" s="27">
        <f>IF('01_Rohdaten'!A2922="","",'01_Rohdaten'!A2922)</f>
        <v/>
      </c>
      <c r="C2922" s="27">
        <f>IF(B2922="","",INDEX('01_Rohdaten'!B2922:D2922,'02_Eingaben'!$C$13))</f>
        <v/>
      </c>
      <c r="D2922" s="27">
        <f>IF(C2922="","",C2922*'02_Eingaben'!$C$15)</f>
        <v/>
      </c>
      <c r="E2922" s="27">
        <f>IF(D2922="","",D2922*'02_Eingaben'!$C$8)</f>
        <v/>
      </c>
      <c r="F2922" s="27">
        <f>IF(E2922="","",AVERAGE(INDEX($E$2:$E$3001,MAX(1,ROW()-1-'02_Eingaben'!$C$17)):INDEX($E$2:$E$3001,MIN('02_Eingaben'!$C$21,ROW()-1+'02_Eingaben'!$C$17))))</f>
        <v/>
      </c>
      <c r="G2922" s="27">
        <f>IF(F2922="","",F2922-'02_Eingaben'!$C$10)</f>
        <v/>
      </c>
      <c r="H2922">
        <f>IF(F2922="","",IF(F2922&lt;'02_Eingaben'!$C$18*'02_Eingaben'!$C$10,1,0))</f>
        <v/>
      </c>
      <c r="I2922" s="27">
        <f>IF(OR(G2922="",G2923=""),"",(G2922+G2923)/2*(B2923-B2922))</f>
        <v/>
      </c>
      <c r="J2922" s="27">
        <f>IF(B2922="","",IF(B2921&lt;'02_Eingaben'!$C$36,0,J2921+I2921/'02_Eingaben'!$C$8))</f>
        <v/>
      </c>
    </row>
    <row r="2923">
      <c r="A2923">
        <f>IF('01_Rohdaten'!A2923="","",ROW()-1)</f>
        <v/>
      </c>
      <c r="B2923" s="27">
        <f>IF('01_Rohdaten'!A2923="","",'01_Rohdaten'!A2923)</f>
        <v/>
      </c>
      <c r="C2923" s="27">
        <f>IF(B2923="","",INDEX('01_Rohdaten'!B2923:D2923,'02_Eingaben'!$C$13))</f>
        <v/>
      </c>
      <c r="D2923" s="27">
        <f>IF(C2923="","",C2923*'02_Eingaben'!$C$15)</f>
        <v/>
      </c>
      <c r="E2923" s="27">
        <f>IF(D2923="","",D2923*'02_Eingaben'!$C$8)</f>
        <v/>
      </c>
      <c r="F2923" s="27">
        <f>IF(E2923="","",AVERAGE(INDEX($E$2:$E$3001,MAX(1,ROW()-1-'02_Eingaben'!$C$17)):INDEX($E$2:$E$3001,MIN('02_Eingaben'!$C$21,ROW()-1+'02_Eingaben'!$C$17))))</f>
        <v/>
      </c>
      <c r="G2923" s="27">
        <f>IF(F2923="","",F2923-'02_Eingaben'!$C$10)</f>
        <v/>
      </c>
      <c r="H2923">
        <f>IF(F2923="","",IF(F2923&lt;'02_Eingaben'!$C$18*'02_Eingaben'!$C$10,1,0))</f>
        <v/>
      </c>
      <c r="I2923" s="27">
        <f>IF(OR(G2923="",G2924=""),"",(G2923+G2924)/2*(B2924-B2923))</f>
        <v/>
      </c>
      <c r="J2923" s="27">
        <f>IF(B2923="","",IF(B2922&lt;'02_Eingaben'!$C$36,0,J2922+I2922/'02_Eingaben'!$C$8))</f>
        <v/>
      </c>
    </row>
    <row r="2924">
      <c r="A2924">
        <f>IF('01_Rohdaten'!A2924="","",ROW()-1)</f>
        <v/>
      </c>
      <c r="B2924" s="27">
        <f>IF('01_Rohdaten'!A2924="","",'01_Rohdaten'!A2924)</f>
        <v/>
      </c>
      <c r="C2924" s="27">
        <f>IF(B2924="","",INDEX('01_Rohdaten'!B2924:D2924,'02_Eingaben'!$C$13))</f>
        <v/>
      </c>
      <c r="D2924" s="27">
        <f>IF(C2924="","",C2924*'02_Eingaben'!$C$15)</f>
        <v/>
      </c>
      <c r="E2924" s="27">
        <f>IF(D2924="","",D2924*'02_Eingaben'!$C$8)</f>
        <v/>
      </c>
      <c r="F2924" s="27">
        <f>IF(E2924="","",AVERAGE(INDEX($E$2:$E$3001,MAX(1,ROW()-1-'02_Eingaben'!$C$17)):INDEX($E$2:$E$3001,MIN('02_Eingaben'!$C$21,ROW()-1+'02_Eingaben'!$C$17))))</f>
        <v/>
      </c>
      <c r="G2924" s="27">
        <f>IF(F2924="","",F2924-'02_Eingaben'!$C$10)</f>
        <v/>
      </c>
      <c r="H2924">
        <f>IF(F2924="","",IF(F2924&lt;'02_Eingaben'!$C$18*'02_Eingaben'!$C$10,1,0))</f>
        <v/>
      </c>
      <c r="I2924" s="27">
        <f>IF(OR(G2924="",G2925=""),"",(G2924+G2925)/2*(B2925-B2924))</f>
        <v/>
      </c>
      <c r="J2924" s="27">
        <f>IF(B2924="","",IF(B2923&lt;'02_Eingaben'!$C$36,0,J2923+I2923/'02_Eingaben'!$C$8))</f>
        <v/>
      </c>
    </row>
    <row r="2925">
      <c r="A2925">
        <f>IF('01_Rohdaten'!A2925="","",ROW()-1)</f>
        <v/>
      </c>
      <c r="B2925" s="27">
        <f>IF('01_Rohdaten'!A2925="","",'01_Rohdaten'!A2925)</f>
        <v/>
      </c>
      <c r="C2925" s="27">
        <f>IF(B2925="","",INDEX('01_Rohdaten'!B2925:D2925,'02_Eingaben'!$C$13))</f>
        <v/>
      </c>
      <c r="D2925" s="27">
        <f>IF(C2925="","",C2925*'02_Eingaben'!$C$15)</f>
        <v/>
      </c>
      <c r="E2925" s="27">
        <f>IF(D2925="","",D2925*'02_Eingaben'!$C$8)</f>
        <v/>
      </c>
      <c r="F2925" s="27">
        <f>IF(E2925="","",AVERAGE(INDEX($E$2:$E$3001,MAX(1,ROW()-1-'02_Eingaben'!$C$17)):INDEX($E$2:$E$3001,MIN('02_Eingaben'!$C$21,ROW()-1+'02_Eingaben'!$C$17))))</f>
        <v/>
      </c>
      <c r="G2925" s="27">
        <f>IF(F2925="","",F2925-'02_Eingaben'!$C$10)</f>
        <v/>
      </c>
      <c r="H2925">
        <f>IF(F2925="","",IF(F2925&lt;'02_Eingaben'!$C$18*'02_Eingaben'!$C$10,1,0))</f>
        <v/>
      </c>
      <c r="I2925" s="27">
        <f>IF(OR(G2925="",G2926=""),"",(G2925+G2926)/2*(B2926-B2925))</f>
        <v/>
      </c>
      <c r="J2925" s="27">
        <f>IF(B2925="","",IF(B2924&lt;'02_Eingaben'!$C$36,0,J2924+I2924/'02_Eingaben'!$C$8))</f>
        <v/>
      </c>
    </row>
    <row r="2926">
      <c r="A2926">
        <f>IF('01_Rohdaten'!A2926="","",ROW()-1)</f>
        <v/>
      </c>
      <c r="B2926" s="27">
        <f>IF('01_Rohdaten'!A2926="","",'01_Rohdaten'!A2926)</f>
        <v/>
      </c>
      <c r="C2926" s="27">
        <f>IF(B2926="","",INDEX('01_Rohdaten'!B2926:D2926,'02_Eingaben'!$C$13))</f>
        <v/>
      </c>
      <c r="D2926" s="27">
        <f>IF(C2926="","",C2926*'02_Eingaben'!$C$15)</f>
        <v/>
      </c>
      <c r="E2926" s="27">
        <f>IF(D2926="","",D2926*'02_Eingaben'!$C$8)</f>
        <v/>
      </c>
      <c r="F2926" s="27">
        <f>IF(E2926="","",AVERAGE(INDEX($E$2:$E$3001,MAX(1,ROW()-1-'02_Eingaben'!$C$17)):INDEX($E$2:$E$3001,MIN('02_Eingaben'!$C$21,ROW()-1+'02_Eingaben'!$C$17))))</f>
        <v/>
      </c>
      <c r="G2926" s="27">
        <f>IF(F2926="","",F2926-'02_Eingaben'!$C$10)</f>
        <v/>
      </c>
      <c r="H2926">
        <f>IF(F2926="","",IF(F2926&lt;'02_Eingaben'!$C$18*'02_Eingaben'!$C$10,1,0))</f>
        <v/>
      </c>
      <c r="I2926" s="27">
        <f>IF(OR(G2926="",G2927=""),"",(G2926+G2927)/2*(B2927-B2926))</f>
        <v/>
      </c>
      <c r="J2926" s="27">
        <f>IF(B2926="","",IF(B2925&lt;'02_Eingaben'!$C$36,0,J2925+I2925/'02_Eingaben'!$C$8))</f>
        <v/>
      </c>
    </row>
    <row r="2927">
      <c r="A2927">
        <f>IF('01_Rohdaten'!A2927="","",ROW()-1)</f>
        <v/>
      </c>
      <c r="B2927" s="27">
        <f>IF('01_Rohdaten'!A2927="","",'01_Rohdaten'!A2927)</f>
        <v/>
      </c>
      <c r="C2927" s="27">
        <f>IF(B2927="","",INDEX('01_Rohdaten'!B2927:D2927,'02_Eingaben'!$C$13))</f>
        <v/>
      </c>
      <c r="D2927" s="27">
        <f>IF(C2927="","",C2927*'02_Eingaben'!$C$15)</f>
        <v/>
      </c>
      <c r="E2927" s="27">
        <f>IF(D2927="","",D2927*'02_Eingaben'!$C$8)</f>
        <v/>
      </c>
      <c r="F2927" s="27">
        <f>IF(E2927="","",AVERAGE(INDEX($E$2:$E$3001,MAX(1,ROW()-1-'02_Eingaben'!$C$17)):INDEX($E$2:$E$3001,MIN('02_Eingaben'!$C$21,ROW()-1+'02_Eingaben'!$C$17))))</f>
        <v/>
      </c>
      <c r="G2927" s="27">
        <f>IF(F2927="","",F2927-'02_Eingaben'!$C$10)</f>
        <v/>
      </c>
      <c r="H2927">
        <f>IF(F2927="","",IF(F2927&lt;'02_Eingaben'!$C$18*'02_Eingaben'!$C$10,1,0))</f>
        <v/>
      </c>
      <c r="I2927" s="27">
        <f>IF(OR(G2927="",G2928=""),"",(G2927+G2928)/2*(B2928-B2927))</f>
        <v/>
      </c>
      <c r="J2927" s="27">
        <f>IF(B2927="","",IF(B2926&lt;'02_Eingaben'!$C$36,0,J2926+I2926/'02_Eingaben'!$C$8))</f>
        <v/>
      </c>
    </row>
    <row r="2928">
      <c r="A2928">
        <f>IF('01_Rohdaten'!A2928="","",ROW()-1)</f>
        <v/>
      </c>
      <c r="B2928" s="27">
        <f>IF('01_Rohdaten'!A2928="","",'01_Rohdaten'!A2928)</f>
        <v/>
      </c>
      <c r="C2928" s="27">
        <f>IF(B2928="","",INDEX('01_Rohdaten'!B2928:D2928,'02_Eingaben'!$C$13))</f>
        <v/>
      </c>
      <c r="D2928" s="27">
        <f>IF(C2928="","",C2928*'02_Eingaben'!$C$15)</f>
        <v/>
      </c>
      <c r="E2928" s="27">
        <f>IF(D2928="","",D2928*'02_Eingaben'!$C$8)</f>
        <v/>
      </c>
      <c r="F2928" s="27">
        <f>IF(E2928="","",AVERAGE(INDEX($E$2:$E$3001,MAX(1,ROW()-1-'02_Eingaben'!$C$17)):INDEX($E$2:$E$3001,MIN('02_Eingaben'!$C$21,ROW()-1+'02_Eingaben'!$C$17))))</f>
        <v/>
      </c>
      <c r="G2928" s="27">
        <f>IF(F2928="","",F2928-'02_Eingaben'!$C$10)</f>
        <v/>
      </c>
      <c r="H2928">
        <f>IF(F2928="","",IF(F2928&lt;'02_Eingaben'!$C$18*'02_Eingaben'!$C$10,1,0))</f>
        <v/>
      </c>
      <c r="I2928" s="27">
        <f>IF(OR(G2928="",G2929=""),"",(G2928+G2929)/2*(B2929-B2928))</f>
        <v/>
      </c>
      <c r="J2928" s="27">
        <f>IF(B2928="","",IF(B2927&lt;'02_Eingaben'!$C$36,0,J2927+I2927/'02_Eingaben'!$C$8))</f>
        <v/>
      </c>
    </row>
    <row r="2929">
      <c r="A2929">
        <f>IF('01_Rohdaten'!A2929="","",ROW()-1)</f>
        <v/>
      </c>
      <c r="B2929" s="27">
        <f>IF('01_Rohdaten'!A2929="","",'01_Rohdaten'!A2929)</f>
        <v/>
      </c>
      <c r="C2929" s="27">
        <f>IF(B2929="","",INDEX('01_Rohdaten'!B2929:D2929,'02_Eingaben'!$C$13))</f>
        <v/>
      </c>
      <c r="D2929" s="27">
        <f>IF(C2929="","",C2929*'02_Eingaben'!$C$15)</f>
        <v/>
      </c>
      <c r="E2929" s="27">
        <f>IF(D2929="","",D2929*'02_Eingaben'!$C$8)</f>
        <v/>
      </c>
      <c r="F2929" s="27">
        <f>IF(E2929="","",AVERAGE(INDEX($E$2:$E$3001,MAX(1,ROW()-1-'02_Eingaben'!$C$17)):INDEX($E$2:$E$3001,MIN('02_Eingaben'!$C$21,ROW()-1+'02_Eingaben'!$C$17))))</f>
        <v/>
      </c>
      <c r="G2929" s="27">
        <f>IF(F2929="","",F2929-'02_Eingaben'!$C$10)</f>
        <v/>
      </c>
      <c r="H2929">
        <f>IF(F2929="","",IF(F2929&lt;'02_Eingaben'!$C$18*'02_Eingaben'!$C$10,1,0))</f>
        <v/>
      </c>
      <c r="I2929" s="27">
        <f>IF(OR(G2929="",G2930=""),"",(G2929+G2930)/2*(B2930-B2929))</f>
        <v/>
      </c>
      <c r="J2929" s="27">
        <f>IF(B2929="","",IF(B2928&lt;'02_Eingaben'!$C$36,0,J2928+I2928/'02_Eingaben'!$C$8))</f>
        <v/>
      </c>
    </row>
    <row r="2930">
      <c r="A2930">
        <f>IF('01_Rohdaten'!A2930="","",ROW()-1)</f>
        <v/>
      </c>
      <c r="B2930" s="27">
        <f>IF('01_Rohdaten'!A2930="","",'01_Rohdaten'!A2930)</f>
        <v/>
      </c>
      <c r="C2930" s="27">
        <f>IF(B2930="","",INDEX('01_Rohdaten'!B2930:D2930,'02_Eingaben'!$C$13))</f>
        <v/>
      </c>
      <c r="D2930" s="27">
        <f>IF(C2930="","",C2930*'02_Eingaben'!$C$15)</f>
        <v/>
      </c>
      <c r="E2930" s="27">
        <f>IF(D2930="","",D2930*'02_Eingaben'!$C$8)</f>
        <v/>
      </c>
      <c r="F2930" s="27">
        <f>IF(E2930="","",AVERAGE(INDEX($E$2:$E$3001,MAX(1,ROW()-1-'02_Eingaben'!$C$17)):INDEX($E$2:$E$3001,MIN('02_Eingaben'!$C$21,ROW()-1+'02_Eingaben'!$C$17))))</f>
        <v/>
      </c>
      <c r="G2930" s="27">
        <f>IF(F2930="","",F2930-'02_Eingaben'!$C$10)</f>
        <v/>
      </c>
      <c r="H2930">
        <f>IF(F2930="","",IF(F2930&lt;'02_Eingaben'!$C$18*'02_Eingaben'!$C$10,1,0))</f>
        <v/>
      </c>
      <c r="I2930" s="27">
        <f>IF(OR(G2930="",G2931=""),"",(G2930+G2931)/2*(B2931-B2930))</f>
        <v/>
      </c>
      <c r="J2930" s="27">
        <f>IF(B2930="","",IF(B2929&lt;'02_Eingaben'!$C$36,0,J2929+I2929/'02_Eingaben'!$C$8))</f>
        <v/>
      </c>
    </row>
    <row r="2931">
      <c r="A2931">
        <f>IF('01_Rohdaten'!A2931="","",ROW()-1)</f>
        <v/>
      </c>
      <c r="B2931" s="27">
        <f>IF('01_Rohdaten'!A2931="","",'01_Rohdaten'!A2931)</f>
        <v/>
      </c>
      <c r="C2931" s="27">
        <f>IF(B2931="","",INDEX('01_Rohdaten'!B2931:D2931,'02_Eingaben'!$C$13))</f>
        <v/>
      </c>
      <c r="D2931" s="27">
        <f>IF(C2931="","",C2931*'02_Eingaben'!$C$15)</f>
        <v/>
      </c>
      <c r="E2931" s="27">
        <f>IF(D2931="","",D2931*'02_Eingaben'!$C$8)</f>
        <v/>
      </c>
      <c r="F2931" s="27">
        <f>IF(E2931="","",AVERAGE(INDEX($E$2:$E$3001,MAX(1,ROW()-1-'02_Eingaben'!$C$17)):INDEX($E$2:$E$3001,MIN('02_Eingaben'!$C$21,ROW()-1+'02_Eingaben'!$C$17))))</f>
        <v/>
      </c>
      <c r="G2931" s="27">
        <f>IF(F2931="","",F2931-'02_Eingaben'!$C$10)</f>
        <v/>
      </c>
      <c r="H2931">
        <f>IF(F2931="","",IF(F2931&lt;'02_Eingaben'!$C$18*'02_Eingaben'!$C$10,1,0))</f>
        <v/>
      </c>
      <c r="I2931" s="27">
        <f>IF(OR(G2931="",G2932=""),"",(G2931+G2932)/2*(B2932-B2931))</f>
        <v/>
      </c>
      <c r="J2931" s="27">
        <f>IF(B2931="","",IF(B2930&lt;'02_Eingaben'!$C$36,0,J2930+I2930/'02_Eingaben'!$C$8))</f>
        <v/>
      </c>
    </row>
    <row r="2932">
      <c r="A2932">
        <f>IF('01_Rohdaten'!A2932="","",ROW()-1)</f>
        <v/>
      </c>
      <c r="B2932" s="27">
        <f>IF('01_Rohdaten'!A2932="","",'01_Rohdaten'!A2932)</f>
        <v/>
      </c>
      <c r="C2932" s="27">
        <f>IF(B2932="","",INDEX('01_Rohdaten'!B2932:D2932,'02_Eingaben'!$C$13))</f>
        <v/>
      </c>
      <c r="D2932" s="27">
        <f>IF(C2932="","",C2932*'02_Eingaben'!$C$15)</f>
        <v/>
      </c>
      <c r="E2932" s="27">
        <f>IF(D2932="","",D2932*'02_Eingaben'!$C$8)</f>
        <v/>
      </c>
      <c r="F2932" s="27">
        <f>IF(E2932="","",AVERAGE(INDEX($E$2:$E$3001,MAX(1,ROW()-1-'02_Eingaben'!$C$17)):INDEX($E$2:$E$3001,MIN('02_Eingaben'!$C$21,ROW()-1+'02_Eingaben'!$C$17))))</f>
        <v/>
      </c>
      <c r="G2932" s="27">
        <f>IF(F2932="","",F2932-'02_Eingaben'!$C$10)</f>
        <v/>
      </c>
      <c r="H2932">
        <f>IF(F2932="","",IF(F2932&lt;'02_Eingaben'!$C$18*'02_Eingaben'!$C$10,1,0))</f>
        <v/>
      </c>
      <c r="I2932" s="27">
        <f>IF(OR(G2932="",G2933=""),"",(G2932+G2933)/2*(B2933-B2932))</f>
        <v/>
      </c>
      <c r="J2932" s="27">
        <f>IF(B2932="","",IF(B2931&lt;'02_Eingaben'!$C$36,0,J2931+I2931/'02_Eingaben'!$C$8))</f>
        <v/>
      </c>
    </row>
    <row r="2933">
      <c r="A2933">
        <f>IF('01_Rohdaten'!A2933="","",ROW()-1)</f>
        <v/>
      </c>
      <c r="B2933" s="27">
        <f>IF('01_Rohdaten'!A2933="","",'01_Rohdaten'!A2933)</f>
        <v/>
      </c>
      <c r="C2933" s="27">
        <f>IF(B2933="","",INDEX('01_Rohdaten'!B2933:D2933,'02_Eingaben'!$C$13))</f>
        <v/>
      </c>
      <c r="D2933" s="27">
        <f>IF(C2933="","",C2933*'02_Eingaben'!$C$15)</f>
        <v/>
      </c>
      <c r="E2933" s="27">
        <f>IF(D2933="","",D2933*'02_Eingaben'!$C$8)</f>
        <v/>
      </c>
      <c r="F2933" s="27">
        <f>IF(E2933="","",AVERAGE(INDEX($E$2:$E$3001,MAX(1,ROW()-1-'02_Eingaben'!$C$17)):INDEX($E$2:$E$3001,MIN('02_Eingaben'!$C$21,ROW()-1+'02_Eingaben'!$C$17))))</f>
        <v/>
      </c>
      <c r="G2933" s="27">
        <f>IF(F2933="","",F2933-'02_Eingaben'!$C$10)</f>
        <v/>
      </c>
      <c r="H2933">
        <f>IF(F2933="","",IF(F2933&lt;'02_Eingaben'!$C$18*'02_Eingaben'!$C$10,1,0))</f>
        <v/>
      </c>
      <c r="I2933" s="27">
        <f>IF(OR(G2933="",G2934=""),"",(G2933+G2934)/2*(B2934-B2933))</f>
        <v/>
      </c>
      <c r="J2933" s="27">
        <f>IF(B2933="","",IF(B2932&lt;'02_Eingaben'!$C$36,0,J2932+I2932/'02_Eingaben'!$C$8))</f>
        <v/>
      </c>
    </row>
    <row r="2934">
      <c r="A2934">
        <f>IF('01_Rohdaten'!A2934="","",ROW()-1)</f>
        <v/>
      </c>
      <c r="B2934" s="27">
        <f>IF('01_Rohdaten'!A2934="","",'01_Rohdaten'!A2934)</f>
        <v/>
      </c>
      <c r="C2934" s="27">
        <f>IF(B2934="","",INDEX('01_Rohdaten'!B2934:D2934,'02_Eingaben'!$C$13))</f>
        <v/>
      </c>
      <c r="D2934" s="27">
        <f>IF(C2934="","",C2934*'02_Eingaben'!$C$15)</f>
        <v/>
      </c>
      <c r="E2934" s="27">
        <f>IF(D2934="","",D2934*'02_Eingaben'!$C$8)</f>
        <v/>
      </c>
      <c r="F2934" s="27">
        <f>IF(E2934="","",AVERAGE(INDEX($E$2:$E$3001,MAX(1,ROW()-1-'02_Eingaben'!$C$17)):INDEX($E$2:$E$3001,MIN('02_Eingaben'!$C$21,ROW()-1+'02_Eingaben'!$C$17))))</f>
        <v/>
      </c>
      <c r="G2934" s="27">
        <f>IF(F2934="","",F2934-'02_Eingaben'!$C$10)</f>
        <v/>
      </c>
      <c r="H2934">
        <f>IF(F2934="","",IF(F2934&lt;'02_Eingaben'!$C$18*'02_Eingaben'!$C$10,1,0))</f>
        <v/>
      </c>
      <c r="I2934" s="27">
        <f>IF(OR(G2934="",G2935=""),"",(G2934+G2935)/2*(B2935-B2934))</f>
        <v/>
      </c>
      <c r="J2934" s="27">
        <f>IF(B2934="","",IF(B2933&lt;'02_Eingaben'!$C$36,0,J2933+I2933/'02_Eingaben'!$C$8))</f>
        <v/>
      </c>
    </row>
    <row r="2935">
      <c r="A2935">
        <f>IF('01_Rohdaten'!A2935="","",ROW()-1)</f>
        <v/>
      </c>
      <c r="B2935" s="27">
        <f>IF('01_Rohdaten'!A2935="","",'01_Rohdaten'!A2935)</f>
        <v/>
      </c>
      <c r="C2935" s="27">
        <f>IF(B2935="","",INDEX('01_Rohdaten'!B2935:D2935,'02_Eingaben'!$C$13))</f>
        <v/>
      </c>
      <c r="D2935" s="27">
        <f>IF(C2935="","",C2935*'02_Eingaben'!$C$15)</f>
        <v/>
      </c>
      <c r="E2935" s="27">
        <f>IF(D2935="","",D2935*'02_Eingaben'!$C$8)</f>
        <v/>
      </c>
      <c r="F2935" s="27">
        <f>IF(E2935="","",AVERAGE(INDEX($E$2:$E$3001,MAX(1,ROW()-1-'02_Eingaben'!$C$17)):INDEX($E$2:$E$3001,MIN('02_Eingaben'!$C$21,ROW()-1+'02_Eingaben'!$C$17))))</f>
        <v/>
      </c>
      <c r="G2935" s="27">
        <f>IF(F2935="","",F2935-'02_Eingaben'!$C$10)</f>
        <v/>
      </c>
      <c r="H2935">
        <f>IF(F2935="","",IF(F2935&lt;'02_Eingaben'!$C$18*'02_Eingaben'!$C$10,1,0))</f>
        <v/>
      </c>
      <c r="I2935" s="27">
        <f>IF(OR(G2935="",G2936=""),"",(G2935+G2936)/2*(B2936-B2935))</f>
        <v/>
      </c>
      <c r="J2935" s="27">
        <f>IF(B2935="","",IF(B2934&lt;'02_Eingaben'!$C$36,0,J2934+I2934/'02_Eingaben'!$C$8))</f>
        <v/>
      </c>
    </row>
    <row r="2936">
      <c r="A2936">
        <f>IF('01_Rohdaten'!A2936="","",ROW()-1)</f>
        <v/>
      </c>
      <c r="B2936" s="27">
        <f>IF('01_Rohdaten'!A2936="","",'01_Rohdaten'!A2936)</f>
        <v/>
      </c>
      <c r="C2936" s="27">
        <f>IF(B2936="","",INDEX('01_Rohdaten'!B2936:D2936,'02_Eingaben'!$C$13))</f>
        <v/>
      </c>
      <c r="D2936" s="27">
        <f>IF(C2936="","",C2936*'02_Eingaben'!$C$15)</f>
        <v/>
      </c>
      <c r="E2936" s="27">
        <f>IF(D2936="","",D2936*'02_Eingaben'!$C$8)</f>
        <v/>
      </c>
      <c r="F2936" s="27">
        <f>IF(E2936="","",AVERAGE(INDEX($E$2:$E$3001,MAX(1,ROW()-1-'02_Eingaben'!$C$17)):INDEX($E$2:$E$3001,MIN('02_Eingaben'!$C$21,ROW()-1+'02_Eingaben'!$C$17))))</f>
        <v/>
      </c>
      <c r="G2936" s="27">
        <f>IF(F2936="","",F2936-'02_Eingaben'!$C$10)</f>
        <v/>
      </c>
      <c r="H2936">
        <f>IF(F2936="","",IF(F2936&lt;'02_Eingaben'!$C$18*'02_Eingaben'!$C$10,1,0))</f>
        <v/>
      </c>
      <c r="I2936" s="27">
        <f>IF(OR(G2936="",G2937=""),"",(G2936+G2937)/2*(B2937-B2936))</f>
        <v/>
      </c>
      <c r="J2936" s="27">
        <f>IF(B2936="","",IF(B2935&lt;'02_Eingaben'!$C$36,0,J2935+I2935/'02_Eingaben'!$C$8))</f>
        <v/>
      </c>
    </row>
    <row r="2937">
      <c r="A2937">
        <f>IF('01_Rohdaten'!A2937="","",ROW()-1)</f>
        <v/>
      </c>
      <c r="B2937" s="27">
        <f>IF('01_Rohdaten'!A2937="","",'01_Rohdaten'!A2937)</f>
        <v/>
      </c>
      <c r="C2937" s="27">
        <f>IF(B2937="","",INDEX('01_Rohdaten'!B2937:D2937,'02_Eingaben'!$C$13))</f>
        <v/>
      </c>
      <c r="D2937" s="27">
        <f>IF(C2937="","",C2937*'02_Eingaben'!$C$15)</f>
        <v/>
      </c>
      <c r="E2937" s="27">
        <f>IF(D2937="","",D2937*'02_Eingaben'!$C$8)</f>
        <v/>
      </c>
      <c r="F2937" s="27">
        <f>IF(E2937="","",AVERAGE(INDEX($E$2:$E$3001,MAX(1,ROW()-1-'02_Eingaben'!$C$17)):INDEX($E$2:$E$3001,MIN('02_Eingaben'!$C$21,ROW()-1+'02_Eingaben'!$C$17))))</f>
        <v/>
      </c>
      <c r="G2937" s="27">
        <f>IF(F2937="","",F2937-'02_Eingaben'!$C$10)</f>
        <v/>
      </c>
      <c r="H2937">
        <f>IF(F2937="","",IF(F2937&lt;'02_Eingaben'!$C$18*'02_Eingaben'!$C$10,1,0))</f>
        <v/>
      </c>
      <c r="I2937" s="27">
        <f>IF(OR(G2937="",G2938=""),"",(G2937+G2938)/2*(B2938-B2937))</f>
        <v/>
      </c>
      <c r="J2937" s="27">
        <f>IF(B2937="","",IF(B2936&lt;'02_Eingaben'!$C$36,0,J2936+I2936/'02_Eingaben'!$C$8))</f>
        <v/>
      </c>
    </row>
    <row r="2938">
      <c r="A2938">
        <f>IF('01_Rohdaten'!A2938="","",ROW()-1)</f>
        <v/>
      </c>
      <c r="B2938" s="27">
        <f>IF('01_Rohdaten'!A2938="","",'01_Rohdaten'!A2938)</f>
        <v/>
      </c>
      <c r="C2938" s="27">
        <f>IF(B2938="","",INDEX('01_Rohdaten'!B2938:D2938,'02_Eingaben'!$C$13))</f>
        <v/>
      </c>
      <c r="D2938" s="27">
        <f>IF(C2938="","",C2938*'02_Eingaben'!$C$15)</f>
        <v/>
      </c>
      <c r="E2938" s="27">
        <f>IF(D2938="","",D2938*'02_Eingaben'!$C$8)</f>
        <v/>
      </c>
      <c r="F2938" s="27">
        <f>IF(E2938="","",AVERAGE(INDEX($E$2:$E$3001,MAX(1,ROW()-1-'02_Eingaben'!$C$17)):INDEX($E$2:$E$3001,MIN('02_Eingaben'!$C$21,ROW()-1+'02_Eingaben'!$C$17))))</f>
        <v/>
      </c>
      <c r="G2938" s="27">
        <f>IF(F2938="","",F2938-'02_Eingaben'!$C$10)</f>
        <v/>
      </c>
      <c r="H2938">
        <f>IF(F2938="","",IF(F2938&lt;'02_Eingaben'!$C$18*'02_Eingaben'!$C$10,1,0))</f>
        <v/>
      </c>
      <c r="I2938" s="27">
        <f>IF(OR(G2938="",G2939=""),"",(G2938+G2939)/2*(B2939-B2938))</f>
        <v/>
      </c>
      <c r="J2938" s="27">
        <f>IF(B2938="","",IF(B2937&lt;'02_Eingaben'!$C$36,0,J2937+I2937/'02_Eingaben'!$C$8))</f>
        <v/>
      </c>
    </row>
    <row r="2939">
      <c r="A2939">
        <f>IF('01_Rohdaten'!A2939="","",ROW()-1)</f>
        <v/>
      </c>
      <c r="B2939" s="27">
        <f>IF('01_Rohdaten'!A2939="","",'01_Rohdaten'!A2939)</f>
        <v/>
      </c>
      <c r="C2939" s="27">
        <f>IF(B2939="","",INDEX('01_Rohdaten'!B2939:D2939,'02_Eingaben'!$C$13))</f>
        <v/>
      </c>
      <c r="D2939" s="27">
        <f>IF(C2939="","",C2939*'02_Eingaben'!$C$15)</f>
        <v/>
      </c>
      <c r="E2939" s="27">
        <f>IF(D2939="","",D2939*'02_Eingaben'!$C$8)</f>
        <v/>
      </c>
      <c r="F2939" s="27">
        <f>IF(E2939="","",AVERAGE(INDEX($E$2:$E$3001,MAX(1,ROW()-1-'02_Eingaben'!$C$17)):INDEX($E$2:$E$3001,MIN('02_Eingaben'!$C$21,ROW()-1+'02_Eingaben'!$C$17))))</f>
        <v/>
      </c>
      <c r="G2939" s="27">
        <f>IF(F2939="","",F2939-'02_Eingaben'!$C$10)</f>
        <v/>
      </c>
      <c r="H2939">
        <f>IF(F2939="","",IF(F2939&lt;'02_Eingaben'!$C$18*'02_Eingaben'!$C$10,1,0))</f>
        <v/>
      </c>
      <c r="I2939" s="27">
        <f>IF(OR(G2939="",G2940=""),"",(G2939+G2940)/2*(B2940-B2939))</f>
        <v/>
      </c>
      <c r="J2939" s="27">
        <f>IF(B2939="","",IF(B2938&lt;'02_Eingaben'!$C$36,0,J2938+I2938/'02_Eingaben'!$C$8))</f>
        <v/>
      </c>
    </row>
    <row r="2940">
      <c r="A2940">
        <f>IF('01_Rohdaten'!A2940="","",ROW()-1)</f>
        <v/>
      </c>
      <c r="B2940" s="27">
        <f>IF('01_Rohdaten'!A2940="","",'01_Rohdaten'!A2940)</f>
        <v/>
      </c>
      <c r="C2940" s="27">
        <f>IF(B2940="","",INDEX('01_Rohdaten'!B2940:D2940,'02_Eingaben'!$C$13))</f>
        <v/>
      </c>
      <c r="D2940" s="27">
        <f>IF(C2940="","",C2940*'02_Eingaben'!$C$15)</f>
        <v/>
      </c>
      <c r="E2940" s="27">
        <f>IF(D2940="","",D2940*'02_Eingaben'!$C$8)</f>
        <v/>
      </c>
      <c r="F2940" s="27">
        <f>IF(E2940="","",AVERAGE(INDEX($E$2:$E$3001,MAX(1,ROW()-1-'02_Eingaben'!$C$17)):INDEX($E$2:$E$3001,MIN('02_Eingaben'!$C$21,ROW()-1+'02_Eingaben'!$C$17))))</f>
        <v/>
      </c>
      <c r="G2940" s="27">
        <f>IF(F2940="","",F2940-'02_Eingaben'!$C$10)</f>
        <v/>
      </c>
      <c r="H2940">
        <f>IF(F2940="","",IF(F2940&lt;'02_Eingaben'!$C$18*'02_Eingaben'!$C$10,1,0))</f>
        <v/>
      </c>
      <c r="I2940" s="27">
        <f>IF(OR(G2940="",G2941=""),"",(G2940+G2941)/2*(B2941-B2940))</f>
        <v/>
      </c>
      <c r="J2940" s="27">
        <f>IF(B2940="","",IF(B2939&lt;'02_Eingaben'!$C$36,0,J2939+I2939/'02_Eingaben'!$C$8))</f>
        <v/>
      </c>
    </row>
    <row r="2941">
      <c r="A2941">
        <f>IF('01_Rohdaten'!A2941="","",ROW()-1)</f>
        <v/>
      </c>
      <c r="B2941" s="27">
        <f>IF('01_Rohdaten'!A2941="","",'01_Rohdaten'!A2941)</f>
        <v/>
      </c>
      <c r="C2941" s="27">
        <f>IF(B2941="","",INDEX('01_Rohdaten'!B2941:D2941,'02_Eingaben'!$C$13))</f>
        <v/>
      </c>
      <c r="D2941" s="27">
        <f>IF(C2941="","",C2941*'02_Eingaben'!$C$15)</f>
        <v/>
      </c>
      <c r="E2941" s="27">
        <f>IF(D2941="","",D2941*'02_Eingaben'!$C$8)</f>
        <v/>
      </c>
      <c r="F2941" s="27">
        <f>IF(E2941="","",AVERAGE(INDEX($E$2:$E$3001,MAX(1,ROW()-1-'02_Eingaben'!$C$17)):INDEX($E$2:$E$3001,MIN('02_Eingaben'!$C$21,ROW()-1+'02_Eingaben'!$C$17))))</f>
        <v/>
      </c>
      <c r="G2941" s="27">
        <f>IF(F2941="","",F2941-'02_Eingaben'!$C$10)</f>
        <v/>
      </c>
      <c r="H2941">
        <f>IF(F2941="","",IF(F2941&lt;'02_Eingaben'!$C$18*'02_Eingaben'!$C$10,1,0))</f>
        <v/>
      </c>
      <c r="I2941" s="27">
        <f>IF(OR(G2941="",G2942=""),"",(G2941+G2942)/2*(B2942-B2941))</f>
        <v/>
      </c>
      <c r="J2941" s="27">
        <f>IF(B2941="","",IF(B2940&lt;'02_Eingaben'!$C$36,0,J2940+I2940/'02_Eingaben'!$C$8))</f>
        <v/>
      </c>
    </row>
    <row r="2942">
      <c r="A2942">
        <f>IF('01_Rohdaten'!A2942="","",ROW()-1)</f>
        <v/>
      </c>
      <c r="B2942" s="27">
        <f>IF('01_Rohdaten'!A2942="","",'01_Rohdaten'!A2942)</f>
        <v/>
      </c>
      <c r="C2942" s="27">
        <f>IF(B2942="","",INDEX('01_Rohdaten'!B2942:D2942,'02_Eingaben'!$C$13))</f>
        <v/>
      </c>
      <c r="D2942" s="27">
        <f>IF(C2942="","",C2942*'02_Eingaben'!$C$15)</f>
        <v/>
      </c>
      <c r="E2942" s="27">
        <f>IF(D2942="","",D2942*'02_Eingaben'!$C$8)</f>
        <v/>
      </c>
      <c r="F2942" s="27">
        <f>IF(E2942="","",AVERAGE(INDEX($E$2:$E$3001,MAX(1,ROW()-1-'02_Eingaben'!$C$17)):INDEX($E$2:$E$3001,MIN('02_Eingaben'!$C$21,ROW()-1+'02_Eingaben'!$C$17))))</f>
        <v/>
      </c>
      <c r="G2942" s="27">
        <f>IF(F2942="","",F2942-'02_Eingaben'!$C$10)</f>
        <v/>
      </c>
      <c r="H2942">
        <f>IF(F2942="","",IF(F2942&lt;'02_Eingaben'!$C$18*'02_Eingaben'!$C$10,1,0))</f>
        <v/>
      </c>
      <c r="I2942" s="27">
        <f>IF(OR(G2942="",G2943=""),"",(G2942+G2943)/2*(B2943-B2942))</f>
        <v/>
      </c>
      <c r="J2942" s="27">
        <f>IF(B2942="","",IF(B2941&lt;'02_Eingaben'!$C$36,0,J2941+I2941/'02_Eingaben'!$C$8))</f>
        <v/>
      </c>
    </row>
    <row r="2943">
      <c r="A2943">
        <f>IF('01_Rohdaten'!A2943="","",ROW()-1)</f>
        <v/>
      </c>
      <c r="B2943" s="27">
        <f>IF('01_Rohdaten'!A2943="","",'01_Rohdaten'!A2943)</f>
        <v/>
      </c>
      <c r="C2943" s="27">
        <f>IF(B2943="","",INDEX('01_Rohdaten'!B2943:D2943,'02_Eingaben'!$C$13))</f>
        <v/>
      </c>
      <c r="D2943" s="27">
        <f>IF(C2943="","",C2943*'02_Eingaben'!$C$15)</f>
        <v/>
      </c>
      <c r="E2943" s="27">
        <f>IF(D2943="","",D2943*'02_Eingaben'!$C$8)</f>
        <v/>
      </c>
      <c r="F2943" s="27">
        <f>IF(E2943="","",AVERAGE(INDEX($E$2:$E$3001,MAX(1,ROW()-1-'02_Eingaben'!$C$17)):INDEX($E$2:$E$3001,MIN('02_Eingaben'!$C$21,ROW()-1+'02_Eingaben'!$C$17))))</f>
        <v/>
      </c>
      <c r="G2943" s="27">
        <f>IF(F2943="","",F2943-'02_Eingaben'!$C$10)</f>
        <v/>
      </c>
      <c r="H2943">
        <f>IF(F2943="","",IF(F2943&lt;'02_Eingaben'!$C$18*'02_Eingaben'!$C$10,1,0))</f>
        <v/>
      </c>
      <c r="I2943" s="27">
        <f>IF(OR(G2943="",G2944=""),"",(G2943+G2944)/2*(B2944-B2943))</f>
        <v/>
      </c>
      <c r="J2943" s="27">
        <f>IF(B2943="","",IF(B2942&lt;'02_Eingaben'!$C$36,0,J2942+I2942/'02_Eingaben'!$C$8))</f>
        <v/>
      </c>
    </row>
    <row r="2944">
      <c r="A2944">
        <f>IF('01_Rohdaten'!A2944="","",ROW()-1)</f>
        <v/>
      </c>
      <c r="B2944" s="27">
        <f>IF('01_Rohdaten'!A2944="","",'01_Rohdaten'!A2944)</f>
        <v/>
      </c>
      <c r="C2944" s="27">
        <f>IF(B2944="","",INDEX('01_Rohdaten'!B2944:D2944,'02_Eingaben'!$C$13))</f>
        <v/>
      </c>
      <c r="D2944" s="27">
        <f>IF(C2944="","",C2944*'02_Eingaben'!$C$15)</f>
        <v/>
      </c>
      <c r="E2944" s="27">
        <f>IF(D2944="","",D2944*'02_Eingaben'!$C$8)</f>
        <v/>
      </c>
      <c r="F2944" s="27">
        <f>IF(E2944="","",AVERAGE(INDEX($E$2:$E$3001,MAX(1,ROW()-1-'02_Eingaben'!$C$17)):INDEX($E$2:$E$3001,MIN('02_Eingaben'!$C$21,ROW()-1+'02_Eingaben'!$C$17))))</f>
        <v/>
      </c>
      <c r="G2944" s="27">
        <f>IF(F2944="","",F2944-'02_Eingaben'!$C$10)</f>
        <v/>
      </c>
      <c r="H2944">
        <f>IF(F2944="","",IF(F2944&lt;'02_Eingaben'!$C$18*'02_Eingaben'!$C$10,1,0))</f>
        <v/>
      </c>
      <c r="I2944" s="27">
        <f>IF(OR(G2944="",G2945=""),"",(G2944+G2945)/2*(B2945-B2944))</f>
        <v/>
      </c>
      <c r="J2944" s="27">
        <f>IF(B2944="","",IF(B2943&lt;'02_Eingaben'!$C$36,0,J2943+I2943/'02_Eingaben'!$C$8))</f>
        <v/>
      </c>
    </row>
    <row r="2945">
      <c r="A2945">
        <f>IF('01_Rohdaten'!A2945="","",ROW()-1)</f>
        <v/>
      </c>
      <c r="B2945" s="27">
        <f>IF('01_Rohdaten'!A2945="","",'01_Rohdaten'!A2945)</f>
        <v/>
      </c>
      <c r="C2945" s="27">
        <f>IF(B2945="","",INDEX('01_Rohdaten'!B2945:D2945,'02_Eingaben'!$C$13))</f>
        <v/>
      </c>
      <c r="D2945" s="27">
        <f>IF(C2945="","",C2945*'02_Eingaben'!$C$15)</f>
        <v/>
      </c>
      <c r="E2945" s="27">
        <f>IF(D2945="","",D2945*'02_Eingaben'!$C$8)</f>
        <v/>
      </c>
      <c r="F2945" s="27">
        <f>IF(E2945="","",AVERAGE(INDEX($E$2:$E$3001,MAX(1,ROW()-1-'02_Eingaben'!$C$17)):INDEX($E$2:$E$3001,MIN('02_Eingaben'!$C$21,ROW()-1+'02_Eingaben'!$C$17))))</f>
        <v/>
      </c>
      <c r="G2945" s="27">
        <f>IF(F2945="","",F2945-'02_Eingaben'!$C$10)</f>
        <v/>
      </c>
      <c r="H2945">
        <f>IF(F2945="","",IF(F2945&lt;'02_Eingaben'!$C$18*'02_Eingaben'!$C$10,1,0))</f>
        <v/>
      </c>
      <c r="I2945" s="27">
        <f>IF(OR(G2945="",G2946=""),"",(G2945+G2946)/2*(B2946-B2945))</f>
        <v/>
      </c>
      <c r="J2945" s="27">
        <f>IF(B2945="","",IF(B2944&lt;'02_Eingaben'!$C$36,0,J2944+I2944/'02_Eingaben'!$C$8))</f>
        <v/>
      </c>
    </row>
    <row r="2946">
      <c r="A2946">
        <f>IF('01_Rohdaten'!A2946="","",ROW()-1)</f>
        <v/>
      </c>
      <c r="B2946" s="27">
        <f>IF('01_Rohdaten'!A2946="","",'01_Rohdaten'!A2946)</f>
        <v/>
      </c>
      <c r="C2946" s="27">
        <f>IF(B2946="","",INDEX('01_Rohdaten'!B2946:D2946,'02_Eingaben'!$C$13))</f>
        <v/>
      </c>
      <c r="D2946" s="27">
        <f>IF(C2946="","",C2946*'02_Eingaben'!$C$15)</f>
        <v/>
      </c>
      <c r="E2946" s="27">
        <f>IF(D2946="","",D2946*'02_Eingaben'!$C$8)</f>
        <v/>
      </c>
      <c r="F2946" s="27">
        <f>IF(E2946="","",AVERAGE(INDEX($E$2:$E$3001,MAX(1,ROW()-1-'02_Eingaben'!$C$17)):INDEX($E$2:$E$3001,MIN('02_Eingaben'!$C$21,ROW()-1+'02_Eingaben'!$C$17))))</f>
        <v/>
      </c>
      <c r="G2946" s="27">
        <f>IF(F2946="","",F2946-'02_Eingaben'!$C$10)</f>
        <v/>
      </c>
      <c r="H2946">
        <f>IF(F2946="","",IF(F2946&lt;'02_Eingaben'!$C$18*'02_Eingaben'!$C$10,1,0))</f>
        <v/>
      </c>
      <c r="I2946" s="27">
        <f>IF(OR(G2946="",G2947=""),"",(G2946+G2947)/2*(B2947-B2946))</f>
        <v/>
      </c>
      <c r="J2946" s="27">
        <f>IF(B2946="","",IF(B2945&lt;'02_Eingaben'!$C$36,0,J2945+I2945/'02_Eingaben'!$C$8))</f>
        <v/>
      </c>
    </row>
    <row r="2947">
      <c r="A2947">
        <f>IF('01_Rohdaten'!A2947="","",ROW()-1)</f>
        <v/>
      </c>
      <c r="B2947" s="27">
        <f>IF('01_Rohdaten'!A2947="","",'01_Rohdaten'!A2947)</f>
        <v/>
      </c>
      <c r="C2947" s="27">
        <f>IF(B2947="","",INDEX('01_Rohdaten'!B2947:D2947,'02_Eingaben'!$C$13))</f>
        <v/>
      </c>
      <c r="D2947" s="27">
        <f>IF(C2947="","",C2947*'02_Eingaben'!$C$15)</f>
        <v/>
      </c>
      <c r="E2947" s="27">
        <f>IF(D2947="","",D2947*'02_Eingaben'!$C$8)</f>
        <v/>
      </c>
      <c r="F2947" s="27">
        <f>IF(E2947="","",AVERAGE(INDEX($E$2:$E$3001,MAX(1,ROW()-1-'02_Eingaben'!$C$17)):INDEX($E$2:$E$3001,MIN('02_Eingaben'!$C$21,ROW()-1+'02_Eingaben'!$C$17))))</f>
        <v/>
      </c>
      <c r="G2947" s="27">
        <f>IF(F2947="","",F2947-'02_Eingaben'!$C$10)</f>
        <v/>
      </c>
      <c r="H2947">
        <f>IF(F2947="","",IF(F2947&lt;'02_Eingaben'!$C$18*'02_Eingaben'!$C$10,1,0))</f>
        <v/>
      </c>
      <c r="I2947" s="27">
        <f>IF(OR(G2947="",G2948=""),"",(G2947+G2948)/2*(B2948-B2947))</f>
        <v/>
      </c>
      <c r="J2947" s="27">
        <f>IF(B2947="","",IF(B2946&lt;'02_Eingaben'!$C$36,0,J2946+I2946/'02_Eingaben'!$C$8))</f>
        <v/>
      </c>
    </row>
    <row r="2948">
      <c r="A2948">
        <f>IF('01_Rohdaten'!A2948="","",ROW()-1)</f>
        <v/>
      </c>
      <c r="B2948" s="27">
        <f>IF('01_Rohdaten'!A2948="","",'01_Rohdaten'!A2948)</f>
        <v/>
      </c>
      <c r="C2948" s="27">
        <f>IF(B2948="","",INDEX('01_Rohdaten'!B2948:D2948,'02_Eingaben'!$C$13))</f>
        <v/>
      </c>
      <c r="D2948" s="27">
        <f>IF(C2948="","",C2948*'02_Eingaben'!$C$15)</f>
        <v/>
      </c>
      <c r="E2948" s="27">
        <f>IF(D2948="","",D2948*'02_Eingaben'!$C$8)</f>
        <v/>
      </c>
      <c r="F2948" s="27">
        <f>IF(E2948="","",AVERAGE(INDEX($E$2:$E$3001,MAX(1,ROW()-1-'02_Eingaben'!$C$17)):INDEX($E$2:$E$3001,MIN('02_Eingaben'!$C$21,ROW()-1+'02_Eingaben'!$C$17))))</f>
        <v/>
      </c>
      <c r="G2948" s="27">
        <f>IF(F2948="","",F2948-'02_Eingaben'!$C$10)</f>
        <v/>
      </c>
      <c r="H2948">
        <f>IF(F2948="","",IF(F2948&lt;'02_Eingaben'!$C$18*'02_Eingaben'!$C$10,1,0))</f>
        <v/>
      </c>
      <c r="I2948" s="27">
        <f>IF(OR(G2948="",G2949=""),"",(G2948+G2949)/2*(B2949-B2948))</f>
        <v/>
      </c>
      <c r="J2948" s="27">
        <f>IF(B2948="","",IF(B2947&lt;'02_Eingaben'!$C$36,0,J2947+I2947/'02_Eingaben'!$C$8))</f>
        <v/>
      </c>
    </row>
    <row r="2949">
      <c r="A2949">
        <f>IF('01_Rohdaten'!A2949="","",ROW()-1)</f>
        <v/>
      </c>
      <c r="B2949" s="27">
        <f>IF('01_Rohdaten'!A2949="","",'01_Rohdaten'!A2949)</f>
        <v/>
      </c>
      <c r="C2949" s="27">
        <f>IF(B2949="","",INDEX('01_Rohdaten'!B2949:D2949,'02_Eingaben'!$C$13))</f>
        <v/>
      </c>
      <c r="D2949" s="27">
        <f>IF(C2949="","",C2949*'02_Eingaben'!$C$15)</f>
        <v/>
      </c>
      <c r="E2949" s="27">
        <f>IF(D2949="","",D2949*'02_Eingaben'!$C$8)</f>
        <v/>
      </c>
      <c r="F2949" s="27">
        <f>IF(E2949="","",AVERAGE(INDEX($E$2:$E$3001,MAX(1,ROW()-1-'02_Eingaben'!$C$17)):INDEX($E$2:$E$3001,MIN('02_Eingaben'!$C$21,ROW()-1+'02_Eingaben'!$C$17))))</f>
        <v/>
      </c>
      <c r="G2949" s="27">
        <f>IF(F2949="","",F2949-'02_Eingaben'!$C$10)</f>
        <v/>
      </c>
      <c r="H2949">
        <f>IF(F2949="","",IF(F2949&lt;'02_Eingaben'!$C$18*'02_Eingaben'!$C$10,1,0))</f>
        <v/>
      </c>
      <c r="I2949" s="27">
        <f>IF(OR(G2949="",G2950=""),"",(G2949+G2950)/2*(B2950-B2949))</f>
        <v/>
      </c>
      <c r="J2949" s="27">
        <f>IF(B2949="","",IF(B2948&lt;'02_Eingaben'!$C$36,0,J2948+I2948/'02_Eingaben'!$C$8))</f>
        <v/>
      </c>
    </row>
    <row r="2950">
      <c r="A2950">
        <f>IF('01_Rohdaten'!A2950="","",ROW()-1)</f>
        <v/>
      </c>
      <c r="B2950" s="27">
        <f>IF('01_Rohdaten'!A2950="","",'01_Rohdaten'!A2950)</f>
        <v/>
      </c>
      <c r="C2950" s="27">
        <f>IF(B2950="","",INDEX('01_Rohdaten'!B2950:D2950,'02_Eingaben'!$C$13))</f>
        <v/>
      </c>
      <c r="D2950" s="27">
        <f>IF(C2950="","",C2950*'02_Eingaben'!$C$15)</f>
        <v/>
      </c>
      <c r="E2950" s="27">
        <f>IF(D2950="","",D2950*'02_Eingaben'!$C$8)</f>
        <v/>
      </c>
      <c r="F2950" s="27">
        <f>IF(E2950="","",AVERAGE(INDEX($E$2:$E$3001,MAX(1,ROW()-1-'02_Eingaben'!$C$17)):INDEX($E$2:$E$3001,MIN('02_Eingaben'!$C$21,ROW()-1+'02_Eingaben'!$C$17))))</f>
        <v/>
      </c>
      <c r="G2950" s="27">
        <f>IF(F2950="","",F2950-'02_Eingaben'!$C$10)</f>
        <v/>
      </c>
      <c r="H2950">
        <f>IF(F2950="","",IF(F2950&lt;'02_Eingaben'!$C$18*'02_Eingaben'!$C$10,1,0))</f>
        <v/>
      </c>
      <c r="I2950" s="27">
        <f>IF(OR(G2950="",G2951=""),"",(G2950+G2951)/2*(B2951-B2950))</f>
        <v/>
      </c>
      <c r="J2950" s="27">
        <f>IF(B2950="","",IF(B2949&lt;'02_Eingaben'!$C$36,0,J2949+I2949/'02_Eingaben'!$C$8))</f>
        <v/>
      </c>
    </row>
    <row r="2951">
      <c r="A2951">
        <f>IF('01_Rohdaten'!A2951="","",ROW()-1)</f>
        <v/>
      </c>
      <c r="B2951" s="27">
        <f>IF('01_Rohdaten'!A2951="","",'01_Rohdaten'!A2951)</f>
        <v/>
      </c>
      <c r="C2951" s="27">
        <f>IF(B2951="","",INDEX('01_Rohdaten'!B2951:D2951,'02_Eingaben'!$C$13))</f>
        <v/>
      </c>
      <c r="D2951" s="27">
        <f>IF(C2951="","",C2951*'02_Eingaben'!$C$15)</f>
        <v/>
      </c>
      <c r="E2951" s="27">
        <f>IF(D2951="","",D2951*'02_Eingaben'!$C$8)</f>
        <v/>
      </c>
      <c r="F2951" s="27">
        <f>IF(E2951="","",AVERAGE(INDEX($E$2:$E$3001,MAX(1,ROW()-1-'02_Eingaben'!$C$17)):INDEX($E$2:$E$3001,MIN('02_Eingaben'!$C$21,ROW()-1+'02_Eingaben'!$C$17))))</f>
        <v/>
      </c>
      <c r="G2951" s="27">
        <f>IF(F2951="","",F2951-'02_Eingaben'!$C$10)</f>
        <v/>
      </c>
      <c r="H2951">
        <f>IF(F2951="","",IF(F2951&lt;'02_Eingaben'!$C$18*'02_Eingaben'!$C$10,1,0))</f>
        <v/>
      </c>
      <c r="I2951" s="27">
        <f>IF(OR(G2951="",G2952=""),"",(G2951+G2952)/2*(B2952-B2951))</f>
        <v/>
      </c>
      <c r="J2951" s="27">
        <f>IF(B2951="","",IF(B2950&lt;'02_Eingaben'!$C$36,0,J2950+I2950/'02_Eingaben'!$C$8))</f>
        <v/>
      </c>
    </row>
    <row r="2952">
      <c r="A2952">
        <f>IF('01_Rohdaten'!A2952="","",ROW()-1)</f>
        <v/>
      </c>
      <c r="B2952" s="27">
        <f>IF('01_Rohdaten'!A2952="","",'01_Rohdaten'!A2952)</f>
        <v/>
      </c>
      <c r="C2952" s="27">
        <f>IF(B2952="","",INDEX('01_Rohdaten'!B2952:D2952,'02_Eingaben'!$C$13))</f>
        <v/>
      </c>
      <c r="D2952" s="27">
        <f>IF(C2952="","",C2952*'02_Eingaben'!$C$15)</f>
        <v/>
      </c>
      <c r="E2952" s="27">
        <f>IF(D2952="","",D2952*'02_Eingaben'!$C$8)</f>
        <v/>
      </c>
      <c r="F2952" s="27">
        <f>IF(E2952="","",AVERAGE(INDEX($E$2:$E$3001,MAX(1,ROW()-1-'02_Eingaben'!$C$17)):INDEX($E$2:$E$3001,MIN('02_Eingaben'!$C$21,ROW()-1+'02_Eingaben'!$C$17))))</f>
        <v/>
      </c>
      <c r="G2952" s="27">
        <f>IF(F2952="","",F2952-'02_Eingaben'!$C$10)</f>
        <v/>
      </c>
      <c r="H2952">
        <f>IF(F2952="","",IF(F2952&lt;'02_Eingaben'!$C$18*'02_Eingaben'!$C$10,1,0))</f>
        <v/>
      </c>
      <c r="I2952" s="27">
        <f>IF(OR(G2952="",G2953=""),"",(G2952+G2953)/2*(B2953-B2952))</f>
        <v/>
      </c>
      <c r="J2952" s="27">
        <f>IF(B2952="","",IF(B2951&lt;'02_Eingaben'!$C$36,0,J2951+I2951/'02_Eingaben'!$C$8))</f>
        <v/>
      </c>
    </row>
    <row r="2953">
      <c r="A2953">
        <f>IF('01_Rohdaten'!A2953="","",ROW()-1)</f>
        <v/>
      </c>
      <c r="B2953" s="27">
        <f>IF('01_Rohdaten'!A2953="","",'01_Rohdaten'!A2953)</f>
        <v/>
      </c>
      <c r="C2953" s="27">
        <f>IF(B2953="","",INDEX('01_Rohdaten'!B2953:D2953,'02_Eingaben'!$C$13))</f>
        <v/>
      </c>
      <c r="D2953" s="27">
        <f>IF(C2953="","",C2953*'02_Eingaben'!$C$15)</f>
        <v/>
      </c>
      <c r="E2953" s="27">
        <f>IF(D2953="","",D2953*'02_Eingaben'!$C$8)</f>
        <v/>
      </c>
      <c r="F2953" s="27">
        <f>IF(E2953="","",AVERAGE(INDEX($E$2:$E$3001,MAX(1,ROW()-1-'02_Eingaben'!$C$17)):INDEX($E$2:$E$3001,MIN('02_Eingaben'!$C$21,ROW()-1+'02_Eingaben'!$C$17))))</f>
        <v/>
      </c>
      <c r="G2953" s="27">
        <f>IF(F2953="","",F2953-'02_Eingaben'!$C$10)</f>
        <v/>
      </c>
      <c r="H2953">
        <f>IF(F2953="","",IF(F2953&lt;'02_Eingaben'!$C$18*'02_Eingaben'!$C$10,1,0))</f>
        <v/>
      </c>
      <c r="I2953" s="27">
        <f>IF(OR(G2953="",G2954=""),"",(G2953+G2954)/2*(B2954-B2953))</f>
        <v/>
      </c>
      <c r="J2953" s="27">
        <f>IF(B2953="","",IF(B2952&lt;'02_Eingaben'!$C$36,0,J2952+I2952/'02_Eingaben'!$C$8))</f>
        <v/>
      </c>
    </row>
    <row r="2954">
      <c r="A2954">
        <f>IF('01_Rohdaten'!A2954="","",ROW()-1)</f>
        <v/>
      </c>
      <c r="B2954" s="27">
        <f>IF('01_Rohdaten'!A2954="","",'01_Rohdaten'!A2954)</f>
        <v/>
      </c>
      <c r="C2954" s="27">
        <f>IF(B2954="","",INDEX('01_Rohdaten'!B2954:D2954,'02_Eingaben'!$C$13))</f>
        <v/>
      </c>
      <c r="D2954" s="27">
        <f>IF(C2954="","",C2954*'02_Eingaben'!$C$15)</f>
        <v/>
      </c>
      <c r="E2954" s="27">
        <f>IF(D2954="","",D2954*'02_Eingaben'!$C$8)</f>
        <v/>
      </c>
      <c r="F2954" s="27">
        <f>IF(E2954="","",AVERAGE(INDEX($E$2:$E$3001,MAX(1,ROW()-1-'02_Eingaben'!$C$17)):INDEX($E$2:$E$3001,MIN('02_Eingaben'!$C$21,ROW()-1+'02_Eingaben'!$C$17))))</f>
        <v/>
      </c>
      <c r="G2954" s="27">
        <f>IF(F2954="","",F2954-'02_Eingaben'!$C$10)</f>
        <v/>
      </c>
      <c r="H2954">
        <f>IF(F2954="","",IF(F2954&lt;'02_Eingaben'!$C$18*'02_Eingaben'!$C$10,1,0))</f>
        <v/>
      </c>
      <c r="I2954" s="27">
        <f>IF(OR(G2954="",G2955=""),"",(G2954+G2955)/2*(B2955-B2954))</f>
        <v/>
      </c>
      <c r="J2954" s="27">
        <f>IF(B2954="","",IF(B2953&lt;'02_Eingaben'!$C$36,0,J2953+I2953/'02_Eingaben'!$C$8))</f>
        <v/>
      </c>
    </row>
    <row r="2955">
      <c r="A2955">
        <f>IF('01_Rohdaten'!A2955="","",ROW()-1)</f>
        <v/>
      </c>
      <c r="B2955" s="27">
        <f>IF('01_Rohdaten'!A2955="","",'01_Rohdaten'!A2955)</f>
        <v/>
      </c>
      <c r="C2955" s="27">
        <f>IF(B2955="","",INDEX('01_Rohdaten'!B2955:D2955,'02_Eingaben'!$C$13))</f>
        <v/>
      </c>
      <c r="D2955" s="27">
        <f>IF(C2955="","",C2955*'02_Eingaben'!$C$15)</f>
        <v/>
      </c>
      <c r="E2955" s="27">
        <f>IF(D2955="","",D2955*'02_Eingaben'!$C$8)</f>
        <v/>
      </c>
      <c r="F2955" s="27">
        <f>IF(E2955="","",AVERAGE(INDEX($E$2:$E$3001,MAX(1,ROW()-1-'02_Eingaben'!$C$17)):INDEX($E$2:$E$3001,MIN('02_Eingaben'!$C$21,ROW()-1+'02_Eingaben'!$C$17))))</f>
        <v/>
      </c>
      <c r="G2955" s="27">
        <f>IF(F2955="","",F2955-'02_Eingaben'!$C$10)</f>
        <v/>
      </c>
      <c r="H2955">
        <f>IF(F2955="","",IF(F2955&lt;'02_Eingaben'!$C$18*'02_Eingaben'!$C$10,1,0))</f>
        <v/>
      </c>
      <c r="I2955" s="27">
        <f>IF(OR(G2955="",G2956=""),"",(G2955+G2956)/2*(B2956-B2955))</f>
        <v/>
      </c>
      <c r="J2955" s="27">
        <f>IF(B2955="","",IF(B2954&lt;'02_Eingaben'!$C$36,0,J2954+I2954/'02_Eingaben'!$C$8))</f>
        <v/>
      </c>
    </row>
    <row r="2956">
      <c r="A2956">
        <f>IF('01_Rohdaten'!A2956="","",ROW()-1)</f>
        <v/>
      </c>
      <c r="B2956" s="27">
        <f>IF('01_Rohdaten'!A2956="","",'01_Rohdaten'!A2956)</f>
        <v/>
      </c>
      <c r="C2956" s="27">
        <f>IF(B2956="","",INDEX('01_Rohdaten'!B2956:D2956,'02_Eingaben'!$C$13))</f>
        <v/>
      </c>
      <c r="D2956" s="27">
        <f>IF(C2956="","",C2956*'02_Eingaben'!$C$15)</f>
        <v/>
      </c>
      <c r="E2956" s="27">
        <f>IF(D2956="","",D2956*'02_Eingaben'!$C$8)</f>
        <v/>
      </c>
      <c r="F2956" s="27">
        <f>IF(E2956="","",AVERAGE(INDEX($E$2:$E$3001,MAX(1,ROW()-1-'02_Eingaben'!$C$17)):INDEX($E$2:$E$3001,MIN('02_Eingaben'!$C$21,ROW()-1+'02_Eingaben'!$C$17))))</f>
        <v/>
      </c>
      <c r="G2956" s="27">
        <f>IF(F2956="","",F2956-'02_Eingaben'!$C$10)</f>
        <v/>
      </c>
      <c r="H2956">
        <f>IF(F2956="","",IF(F2956&lt;'02_Eingaben'!$C$18*'02_Eingaben'!$C$10,1,0))</f>
        <v/>
      </c>
      <c r="I2956" s="27">
        <f>IF(OR(G2956="",G2957=""),"",(G2956+G2957)/2*(B2957-B2956))</f>
        <v/>
      </c>
      <c r="J2956" s="27">
        <f>IF(B2956="","",IF(B2955&lt;'02_Eingaben'!$C$36,0,J2955+I2955/'02_Eingaben'!$C$8))</f>
        <v/>
      </c>
    </row>
    <row r="2957">
      <c r="A2957">
        <f>IF('01_Rohdaten'!A2957="","",ROW()-1)</f>
        <v/>
      </c>
      <c r="B2957" s="27">
        <f>IF('01_Rohdaten'!A2957="","",'01_Rohdaten'!A2957)</f>
        <v/>
      </c>
      <c r="C2957" s="27">
        <f>IF(B2957="","",INDEX('01_Rohdaten'!B2957:D2957,'02_Eingaben'!$C$13))</f>
        <v/>
      </c>
      <c r="D2957" s="27">
        <f>IF(C2957="","",C2957*'02_Eingaben'!$C$15)</f>
        <v/>
      </c>
      <c r="E2957" s="27">
        <f>IF(D2957="","",D2957*'02_Eingaben'!$C$8)</f>
        <v/>
      </c>
      <c r="F2957" s="27">
        <f>IF(E2957="","",AVERAGE(INDEX($E$2:$E$3001,MAX(1,ROW()-1-'02_Eingaben'!$C$17)):INDEX($E$2:$E$3001,MIN('02_Eingaben'!$C$21,ROW()-1+'02_Eingaben'!$C$17))))</f>
        <v/>
      </c>
      <c r="G2957" s="27">
        <f>IF(F2957="","",F2957-'02_Eingaben'!$C$10)</f>
        <v/>
      </c>
      <c r="H2957">
        <f>IF(F2957="","",IF(F2957&lt;'02_Eingaben'!$C$18*'02_Eingaben'!$C$10,1,0))</f>
        <v/>
      </c>
      <c r="I2957" s="27">
        <f>IF(OR(G2957="",G2958=""),"",(G2957+G2958)/2*(B2958-B2957))</f>
        <v/>
      </c>
      <c r="J2957" s="27">
        <f>IF(B2957="","",IF(B2956&lt;'02_Eingaben'!$C$36,0,J2956+I2956/'02_Eingaben'!$C$8))</f>
        <v/>
      </c>
    </row>
    <row r="2958">
      <c r="A2958">
        <f>IF('01_Rohdaten'!A2958="","",ROW()-1)</f>
        <v/>
      </c>
      <c r="B2958" s="27">
        <f>IF('01_Rohdaten'!A2958="","",'01_Rohdaten'!A2958)</f>
        <v/>
      </c>
      <c r="C2958" s="27">
        <f>IF(B2958="","",INDEX('01_Rohdaten'!B2958:D2958,'02_Eingaben'!$C$13))</f>
        <v/>
      </c>
      <c r="D2958" s="27">
        <f>IF(C2958="","",C2958*'02_Eingaben'!$C$15)</f>
        <v/>
      </c>
      <c r="E2958" s="27">
        <f>IF(D2958="","",D2958*'02_Eingaben'!$C$8)</f>
        <v/>
      </c>
      <c r="F2958" s="27">
        <f>IF(E2958="","",AVERAGE(INDEX($E$2:$E$3001,MAX(1,ROW()-1-'02_Eingaben'!$C$17)):INDEX($E$2:$E$3001,MIN('02_Eingaben'!$C$21,ROW()-1+'02_Eingaben'!$C$17))))</f>
        <v/>
      </c>
      <c r="G2958" s="27">
        <f>IF(F2958="","",F2958-'02_Eingaben'!$C$10)</f>
        <v/>
      </c>
      <c r="H2958">
        <f>IF(F2958="","",IF(F2958&lt;'02_Eingaben'!$C$18*'02_Eingaben'!$C$10,1,0))</f>
        <v/>
      </c>
      <c r="I2958" s="27">
        <f>IF(OR(G2958="",G2959=""),"",(G2958+G2959)/2*(B2959-B2958))</f>
        <v/>
      </c>
      <c r="J2958" s="27">
        <f>IF(B2958="","",IF(B2957&lt;'02_Eingaben'!$C$36,0,J2957+I2957/'02_Eingaben'!$C$8))</f>
        <v/>
      </c>
    </row>
    <row r="2959">
      <c r="A2959">
        <f>IF('01_Rohdaten'!A2959="","",ROW()-1)</f>
        <v/>
      </c>
      <c r="B2959" s="27">
        <f>IF('01_Rohdaten'!A2959="","",'01_Rohdaten'!A2959)</f>
        <v/>
      </c>
      <c r="C2959" s="27">
        <f>IF(B2959="","",INDEX('01_Rohdaten'!B2959:D2959,'02_Eingaben'!$C$13))</f>
        <v/>
      </c>
      <c r="D2959" s="27">
        <f>IF(C2959="","",C2959*'02_Eingaben'!$C$15)</f>
        <v/>
      </c>
      <c r="E2959" s="27">
        <f>IF(D2959="","",D2959*'02_Eingaben'!$C$8)</f>
        <v/>
      </c>
      <c r="F2959" s="27">
        <f>IF(E2959="","",AVERAGE(INDEX($E$2:$E$3001,MAX(1,ROW()-1-'02_Eingaben'!$C$17)):INDEX($E$2:$E$3001,MIN('02_Eingaben'!$C$21,ROW()-1+'02_Eingaben'!$C$17))))</f>
        <v/>
      </c>
      <c r="G2959" s="27">
        <f>IF(F2959="","",F2959-'02_Eingaben'!$C$10)</f>
        <v/>
      </c>
      <c r="H2959">
        <f>IF(F2959="","",IF(F2959&lt;'02_Eingaben'!$C$18*'02_Eingaben'!$C$10,1,0))</f>
        <v/>
      </c>
      <c r="I2959" s="27">
        <f>IF(OR(G2959="",G2960=""),"",(G2959+G2960)/2*(B2960-B2959))</f>
        <v/>
      </c>
      <c r="J2959" s="27">
        <f>IF(B2959="","",IF(B2958&lt;'02_Eingaben'!$C$36,0,J2958+I2958/'02_Eingaben'!$C$8))</f>
        <v/>
      </c>
    </row>
    <row r="2960">
      <c r="A2960">
        <f>IF('01_Rohdaten'!A2960="","",ROW()-1)</f>
        <v/>
      </c>
      <c r="B2960" s="27">
        <f>IF('01_Rohdaten'!A2960="","",'01_Rohdaten'!A2960)</f>
        <v/>
      </c>
      <c r="C2960" s="27">
        <f>IF(B2960="","",INDEX('01_Rohdaten'!B2960:D2960,'02_Eingaben'!$C$13))</f>
        <v/>
      </c>
      <c r="D2960" s="27">
        <f>IF(C2960="","",C2960*'02_Eingaben'!$C$15)</f>
        <v/>
      </c>
      <c r="E2960" s="27">
        <f>IF(D2960="","",D2960*'02_Eingaben'!$C$8)</f>
        <v/>
      </c>
      <c r="F2960" s="27">
        <f>IF(E2960="","",AVERAGE(INDEX($E$2:$E$3001,MAX(1,ROW()-1-'02_Eingaben'!$C$17)):INDEX($E$2:$E$3001,MIN('02_Eingaben'!$C$21,ROW()-1+'02_Eingaben'!$C$17))))</f>
        <v/>
      </c>
      <c r="G2960" s="27">
        <f>IF(F2960="","",F2960-'02_Eingaben'!$C$10)</f>
        <v/>
      </c>
      <c r="H2960">
        <f>IF(F2960="","",IF(F2960&lt;'02_Eingaben'!$C$18*'02_Eingaben'!$C$10,1,0))</f>
        <v/>
      </c>
      <c r="I2960" s="27">
        <f>IF(OR(G2960="",G2961=""),"",(G2960+G2961)/2*(B2961-B2960))</f>
        <v/>
      </c>
      <c r="J2960" s="27">
        <f>IF(B2960="","",IF(B2959&lt;'02_Eingaben'!$C$36,0,J2959+I2959/'02_Eingaben'!$C$8))</f>
        <v/>
      </c>
    </row>
    <row r="2961">
      <c r="A2961">
        <f>IF('01_Rohdaten'!A2961="","",ROW()-1)</f>
        <v/>
      </c>
      <c r="B2961" s="27">
        <f>IF('01_Rohdaten'!A2961="","",'01_Rohdaten'!A2961)</f>
        <v/>
      </c>
      <c r="C2961" s="27">
        <f>IF(B2961="","",INDEX('01_Rohdaten'!B2961:D2961,'02_Eingaben'!$C$13))</f>
        <v/>
      </c>
      <c r="D2961" s="27">
        <f>IF(C2961="","",C2961*'02_Eingaben'!$C$15)</f>
        <v/>
      </c>
      <c r="E2961" s="27">
        <f>IF(D2961="","",D2961*'02_Eingaben'!$C$8)</f>
        <v/>
      </c>
      <c r="F2961" s="27">
        <f>IF(E2961="","",AVERAGE(INDEX($E$2:$E$3001,MAX(1,ROW()-1-'02_Eingaben'!$C$17)):INDEX($E$2:$E$3001,MIN('02_Eingaben'!$C$21,ROW()-1+'02_Eingaben'!$C$17))))</f>
        <v/>
      </c>
      <c r="G2961" s="27">
        <f>IF(F2961="","",F2961-'02_Eingaben'!$C$10)</f>
        <v/>
      </c>
      <c r="H2961">
        <f>IF(F2961="","",IF(F2961&lt;'02_Eingaben'!$C$18*'02_Eingaben'!$C$10,1,0))</f>
        <v/>
      </c>
      <c r="I2961" s="27">
        <f>IF(OR(G2961="",G2962=""),"",(G2961+G2962)/2*(B2962-B2961))</f>
        <v/>
      </c>
      <c r="J2961" s="27">
        <f>IF(B2961="","",IF(B2960&lt;'02_Eingaben'!$C$36,0,J2960+I2960/'02_Eingaben'!$C$8))</f>
        <v/>
      </c>
    </row>
    <row r="2962">
      <c r="A2962">
        <f>IF('01_Rohdaten'!A2962="","",ROW()-1)</f>
        <v/>
      </c>
      <c r="B2962" s="27">
        <f>IF('01_Rohdaten'!A2962="","",'01_Rohdaten'!A2962)</f>
        <v/>
      </c>
      <c r="C2962" s="27">
        <f>IF(B2962="","",INDEX('01_Rohdaten'!B2962:D2962,'02_Eingaben'!$C$13))</f>
        <v/>
      </c>
      <c r="D2962" s="27">
        <f>IF(C2962="","",C2962*'02_Eingaben'!$C$15)</f>
        <v/>
      </c>
      <c r="E2962" s="27">
        <f>IF(D2962="","",D2962*'02_Eingaben'!$C$8)</f>
        <v/>
      </c>
      <c r="F2962" s="27">
        <f>IF(E2962="","",AVERAGE(INDEX($E$2:$E$3001,MAX(1,ROW()-1-'02_Eingaben'!$C$17)):INDEX($E$2:$E$3001,MIN('02_Eingaben'!$C$21,ROW()-1+'02_Eingaben'!$C$17))))</f>
        <v/>
      </c>
      <c r="G2962" s="27">
        <f>IF(F2962="","",F2962-'02_Eingaben'!$C$10)</f>
        <v/>
      </c>
      <c r="H2962">
        <f>IF(F2962="","",IF(F2962&lt;'02_Eingaben'!$C$18*'02_Eingaben'!$C$10,1,0))</f>
        <v/>
      </c>
      <c r="I2962" s="27">
        <f>IF(OR(G2962="",G2963=""),"",(G2962+G2963)/2*(B2963-B2962))</f>
        <v/>
      </c>
      <c r="J2962" s="27">
        <f>IF(B2962="","",IF(B2961&lt;'02_Eingaben'!$C$36,0,J2961+I2961/'02_Eingaben'!$C$8))</f>
        <v/>
      </c>
    </row>
    <row r="2963">
      <c r="A2963">
        <f>IF('01_Rohdaten'!A2963="","",ROW()-1)</f>
        <v/>
      </c>
      <c r="B2963" s="27">
        <f>IF('01_Rohdaten'!A2963="","",'01_Rohdaten'!A2963)</f>
        <v/>
      </c>
      <c r="C2963" s="27">
        <f>IF(B2963="","",INDEX('01_Rohdaten'!B2963:D2963,'02_Eingaben'!$C$13))</f>
        <v/>
      </c>
      <c r="D2963" s="27">
        <f>IF(C2963="","",C2963*'02_Eingaben'!$C$15)</f>
        <v/>
      </c>
      <c r="E2963" s="27">
        <f>IF(D2963="","",D2963*'02_Eingaben'!$C$8)</f>
        <v/>
      </c>
      <c r="F2963" s="27">
        <f>IF(E2963="","",AVERAGE(INDEX($E$2:$E$3001,MAX(1,ROW()-1-'02_Eingaben'!$C$17)):INDEX($E$2:$E$3001,MIN('02_Eingaben'!$C$21,ROW()-1+'02_Eingaben'!$C$17))))</f>
        <v/>
      </c>
      <c r="G2963" s="27">
        <f>IF(F2963="","",F2963-'02_Eingaben'!$C$10)</f>
        <v/>
      </c>
      <c r="H2963">
        <f>IF(F2963="","",IF(F2963&lt;'02_Eingaben'!$C$18*'02_Eingaben'!$C$10,1,0))</f>
        <v/>
      </c>
      <c r="I2963" s="27">
        <f>IF(OR(G2963="",G2964=""),"",(G2963+G2964)/2*(B2964-B2963))</f>
        <v/>
      </c>
      <c r="J2963" s="27">
        <f>IF(B2963="","",IF(B2962&lt;'02_Eingaben'!$C$36,0,J2962+I2962/'02_Eingaben'!$C$8))</f>
        <v/>
      </c>
    </row>
    <row r="2964">
      <c r="A2964">
        <f>IF('01_Rohdaten'!A2964="","",ROW()-1)</f>
        <v/>
      </c>
      <c r="B2964" s="27">
        <f>IF('01_Rohdaten'!A2964="","",'01_Rohdaten'!A2964)</f>
        <v/>
      </c>
      <c r="C2964" s="27">
        <f>IF(B2964="","",INDEX('01_Rohdaten'!B2964:D2964,'02_Eingaben'!$C$13))</f>
        <v/>
      </c>
      <c r="D2964" s="27">
        <f>IF(C2964="","",C2964*'02_Eingaben'!$C$15)</f>
        <v/>
      </c>
      <c r="E2964" s="27">
        <f>IF(D2964="","",D2964*'02_Eingaben'!$C$8)</f>
        <v/>
      </c>
      <c r="F2964" s="27">
        <f>IF(E2964="","",AVERAGE(INDEX($E$2:$E$3001,MAX(1,ROW()-1-'02_Eingaben'!$C$17)):INDEX($E$2:$E$3001,MIN('02_Eingaben'!$C$21,ROW()-1+'02_Eingaben'!$C$17))))</f>
        <v/>
      </c>
      <c r="G2964" s="27">
        <f>IF(F2964="","",F2964-'02_Eingaben'!$C$10)</f>
        <v/>
      </c>
      <c r="H2964">
        <f>IF(F2964="","",IF(F2964&lt;'02_Eingaben'!$C$18*'02_Eingaben'!$C$10,1,0))</f>
        <v/>
      </c>
      <c r="I2964" s="27">
        <f>IF(OR(G2964="",G2965=""),"",(G2964+G2965)/2*(B2965-B2964))</f>
        <v/>
      </c>
      <c r="J2964" s="27">
        <f>IF(B2964="","",IF(B2963&lt;'02_Eingaben'!$C$36,0,J2963+I2963/'02_Eingaben'!$C$8))</f>
        <v/>
      </c>
    </row>
    <row r="2965">
      <c r="A2965">
        <f>IF('01_Rohdaten'!A2965="","",ROW()-1)</f>
        <v/>
      </c>
      <c r="B2965" s="27">
        <f>IF('01_Rohdaten'!A2965="","",'01_Rohdaten'!A2965)</f>
        <v/>
      </c>
      <c r="C2965" s="27">
        <f>IF(B2965="","",INDEX('01_Rohdaten'!B2965:D2965,'02_Eingaben'!$C$13))</f>
        <v/>
      </c>
      <c r="D2965" s="27">
        <f>IF(C2965="","",C2965*'02_Eingaben'!$C$15)</f>
        <v/>
      </c>
      <c r="E2965" s="27">
        <f>IF(D2965="","",D2965*'02_Eingaben'!$C$8)</f>
        <v/>
      </c>
      <c r="F2965" s="27">
        <f>IF(E2965="","",AVERAGE(INDEX($E$2:$E$3001,MAX(1,ROW()-1-'02_Eingaben'!$C$17)):INDEX($E$2:$E$3001,MIN('02_Eingaben'!$C$21,ROW()-1+'02_Eingaben'!$C$17))))</f>
        <v/>
      </c>
      <c r="G2965" s="27">
        <f>IF(F2965="","",F2965-'02_Eingaben'!$C$10)</f>
        <v/>
      </c>
      <c r="H2965">
        <f>IF(F2965="","",IF(F2965&lt;'02_Eingaben'!$C$18*'02_Eingaben'!$C$10,1,0))</f>
        <v/>
      </c>
      <c r="I2965" s="27">
        <f>IF(OR(G2965="",G2966=""),"",(G2965+G2966)/2*(B2966-B2965))</f>
        <v/>
      </c>
      <c r="J2965" s="27">
        <f>IF(B2965="","",IF(B2964&lt;'02_Eingaben'!$C$36,0,J2964+I2964/'02_Eingaben'!$C$8))</f>
        <v/>
      </c>
    </row>
    <row r="2966">
      <c r="A2966">
        <f>IF('01_Rohdaten'!A2966="","",ROW()-1)</f>
        <v/>
      </c>
      <c r="B2966" s="27">
        <f>IF('01_Rohdaten'!A2966="","",'01_Rohdaten'!A2966)</f>
        <v/>
      </c>
      <c r="C2966" s="27">
        <f>IF(B2966="","",INDEX('01_Rohdaten'!B2966:D2966,'02_Eingaben'!$C$13))</f>
        <v/>
      </c>
      <c r="D2966" s="27">
        <f>IF(C2966="","",C2966*'02_Eingaben'!$C$15)</f>
        <v/>
      </c>
      <c r="E2966" s="27">
        <f>IF(D2966="","",D2966*'02_Eingaben'!$C$8)</f>
        <v/>
      </c>
      <c r="F2966" s="27">
        <f>IF(E2966="","",AVERAGE(INDEX($E$2:$E$3001,MAX(1,ROW()-1-'02_Eingaben'!$C$17)):INDEX($E$2:$E$3001,MIN('02_Eingaben'!$C$21,ROW()-1+'02_Eingaben'!$C$17))))</f>
        <v/>
      </c>
      <c r="G2966" s="27">
        <f>IF(F2966="","",F2966-'02_Eingaben'!$C$10)</f>
        <v/>
      </c>
      <c r="H2966">
        <f>IF(F2966="","",IF(F2966&lt;'02_Eingaben'!$C$18*'02_Eingaben'!$C$10,1,0))</f>
        <v/>
      </c>
      <c r="I2966" s="27">
        <f>IF(OR(G2966="",G2967=""),"",(G2966+G2967)/2*(B2967-B2966))</f>
        <v/>
      </c>
      <c r="J2966" s="27">
        <f>IF(B2966="","",IF(B2965&lt;'02_Eingaben'!$C$36,0,J2965+I2965/'02_Eingaben'!$C$8))</f>
        <v/>
      </c>
    </row>
    <row r="2967">
      <c r="A2967">
        <f>IF('01_Rohdaten'!A2967="","",ROW()-1)</f>
        <v/>
      </c>
      <c r="B2967" s="27">
        <f>IF('01_Rohdaten'!A2967="","",'01_Rohdaten'!A2967)</f>
        <v/>
      </c>
      <c r="C2967" s="27">
        <f>IF(B2967="","",INDEX('01_Rohdaten'!B2967:D2967,'02_Eingaben'!$C$13))</f>
        <v/>
      </c>
      <c r="D2967" s="27">
        <f>IF(C2967="","",C2967*'02_Eingaben'!$C$15)</f>
        <v/>
      </c>
      <c r="E2967" s="27">
        <f>IF(D2967="","",D2967*'02_Eingaben'!$C$8)</f>
        <v/>
      </c>
      <c r="F2967" s="27">
        <f>IF(E2967="","",AVERAGE(INDEX($E$2:$E$3001,MAX(1,ROW()-1-'02_Eingaben'!$C$17)):INDEX($E$2:$E$3001,MIN('02_Eingaben'!$C$21,ROW()-1+'02_Eingaben'!$C$17))))</f>
        <v/>
      </c>
      <c r="G2967" s="27">
        <f>IF(F2967="","",F2967-'02_Eingaben'!$C$10)</f>
        <v/>
      </c>
      <c r="H2967">
        <f>IF(F2967="","",IF(F2967&lt;'02_Eingaben'!$C$18*'02_Eingaben'!$C$10,1,0))</f>
        <v/>
      </c>
      <c r="I2967" s="27">
        <f>IF(OR(G2967="",G2968=""),"",(G2967+G2968)/2*(B2968-B2967))</f>
        <v/>
      </c>
      <c r="J2967" s="27">
        <f>IF(B2967="","",IF(B2966&lt;'02_Eingaben'!$C$36,0,J2966+I2966/'02_Eingaben'!$C$8))</f>
        <v/>
      </c>
    </row>
    <row r="2968">
      <c r="A2968">
        <f>IF('01_Rohdaten'!A2968="","",ROW()-1)</f>
        <v/>
      </c>
      <c r="B2968" s="27">
        <f>IF('01_Rohdaten'!A2968="","",'01_Rohdaten'!A2968)</f>
        <v/>
      </c>
      <c r="C2968" s="27">
        <f>IF(B2968="","",INDEX('01_Rohdaten'!B2968:D2968,'02_Eingaben'!$C$13))</f>
        <v/>
      </c>
      <c r="D2968" s="27">
        <f>IF(C2968="","",C2968*'02_Eingaben'!$C$15)</f>
        <v/>
      </c>
      <c r="E2968" s="27">
        <f>IF(D2968="","",D2968*'02_Eingaben'!$C$8)</f>
        <v/>
      </c>
      <c r="F2968" s="27">
        <f>IF(E2968="","",AVERAGE(INDEX($E$2:$E$3001,MAX(1,ROW()-1-'02_Eingaben'!$C$17)):INDEX($E$2:$E$3001,MIN('02_Eingaben'!$C$21,ROW()-1+'02_Eingaben'!$C$17))))</f>
        <v/>
      </c>
      <c r="G2968" s="27">
        <f>IF(F2968="","",F2968-'02_Eingaben'!$C$10)</f>
        <v/>
      </c>
      <c r="H2968">
        <f>IF(F2968="","",IF(F2968&lt;'02_Eingaben'!$C$18*'02_Eingaben'!$C$10,1,0))</f>
        <v/>
      </c>
      <c r="I2968" s="27">
        <f>IF(OR(G2968="",G2969=""),"",(G2968+G2969)/2*(B2969-B2968))</f>
        <v/>
      </c>
      <c r="J2968" s="27">
        <f>IF(B2968="","",IF(B2967&lt;'02_Eingaben'!$C$36,0,J2967+I2967/'02_Eingaben'!$C$8))</f>
        <v/>
      </c>
    </row>
    <row r="2969">
      <c r="A2969">
        <f>IF('01_Rohdaten'!A2969="","",ROW()-1)</f>
        <v/>
      </c>
      <c r="B2969" s="27">
        <f>IF('01_Rohdaten'!A2969="","",'01_Rohdaten'!A2969)</f>
        <v/>
      </c>
      <c r="C2969" s="27">
        <f>IF(B2969="","",INDEX('01_Rohdaten'!B2969:D2969,'02_Eingaben'!$C$13))</f>
        <v/>
      </c>
      <c r="D2969" s="27">
        <f>IF(C2969="","",C2969*'02_Eingaben'!$C$15)</f>
        <v/>
      </c>
      <c r="E2969" s="27">
        <f>IF(D2969="","",D2969*'02_Eingaben'!$C$8)</f>
        <v/>
      </c>
      <c r="F2969" s="27">
        <f>IF(E2969="","",AVERAGE(INDEX($E$2:$E$3001,MAX(1,ROW()-1-'02_Eingaben'!$C$17)):INDEX($E$2:$E$3001,MIN('02_Eingaben'!$C$21,ROW()-1+'02_Eingaben'!$C$17))))</f>
        <v/>
      </c>
      <c r="G2969" s="27">
        <f>IF(F2969="","",F2969-'02_Eingaben'!$C$10)</f>
        <v/>
      </c>
      <c r="H2969">
        <f>IF(F2969="","",IF(F2969&lt;'02_Eingaben'!$C$18*'02_Eingaben'!$C$10,1,0))</f>
        <v/>
      </c>
      <c r="I2969" s="27">
        <f>IF(OR(G2969="",G2970=""),"",(G2969+G2970)/2*(B2970-B2969))</f>
        <v/>
      </c>
      <c r="J2969" s="27">
        <f>IF(B2969="","",IF(B2968&lt;'02_Eingaben'!$C$36,0,J2968+I2968/'02_Eingaben'!$C$8))</f>
        <v/>
      </c>
    </row>
    <row r="2970">
      <c r="A2970">
        <f>IF('01_Rohdaten'!A2970="","",ROW()-1)</f>
        <v/>
      </c>
      <c r="B2970" s="27">
        <f>IF('01_Rohdaten'!A2970="","",'01_Rohdaten'!A2970)</f>
        <v/>
      </c>
      <c r="C2970" s="27">
        <f>IF(B2970="","",INDEX('01_Rohdaten'!B2970:D2970,'02_Eingaben'!$C$13))</f>
        <v/>
      </c>
      <c r="D2970" s="27">
        <f>IF(C2970="","",C2970*'02_Eingaben'!$C$15)</f>
        <v/>
      </c>
      <c r="E2970" s="27">
        <f>IF(D2970="","",D2970*'02_Eingaben'!$C$8)</f>
        <v/>
      </c>
      <c r="F2970" s="27">
        <f>IF(E2970="","",AVERAGE(INDEX($E$2:$E$3001,MAX(1,ROW()-1-'02_Eingaben'!$C$17)):INDEX($E$2:$E$3001,MIN('02_Eingaben'!$C$21,ROW()-1+'02_Eingaben'!$C$17))))</f>
        <v/>
      </c>
      <c r="G2970" s="27">
        <f>IF(F2970="","",F2970-'02_Eingaben'!$C$10)</f>
        <v/>
      </c>
      <c r="H2970">
        <f>IF(F2970="","",IF(F2970&lt;'02_Eingaben'!$C$18*'02_Eingaben'!$C$10,1,0))</f>
        <v/>
      </c>
      <c r="I2970" s="27">
        <f>IF(OR(G2970="",G2971=""),"",(G2970+G2971)/2*(B2971-B2970))</f>
        <v/>
      </c>
      <c r="J2970" s="27">
        <f>IF(B2970="","",IF(B2969&lt;'02_Eingaben'!$C$36,0,J2969+I2969/'02_Eingaben'!$C$8))</f>
        <v/>
      </c>
    </row>
    <row r="2971">
      <c r="A2971">
        <f>IF('01_Rohdaten'!A2971="","",ROW()-1)</f>
        <v/>
      </c>
      <c r="B2971" s="27">
        <f>IF('01_Rohdaten'!A2971="","",'01_Rohdaten'!A2971)</f>
        <v/>
      </c>
      <c r="C2971" s="27">
        <f>IF(B2971="","",INDEX('01_Rohdaten'!B2971:D2971,'02_Eingaben'!$C$13))</f>
        <v/>
      </c>
      <c r="D2971" s="27">
        <f>IF(C2971="","",C2971*'02_Eingaben'!$C$15)</f>
        <v/>
      </c>
      <c r="E2971" s="27">
        <f>IF(D2971="","",D2971*'02_Eingaben'!$C$8)</f>
        <v/>
      </c>
      <c r="F2971" s="27">
        <f>IF(E2971="","",AVERAGE(INDEX($E$2:$E$3001,MAX(1,ROW()-1-'02_Eingaben'!$C$17)):INDEX($E$2:$E$3001,MIN('02_Eingaben'!$C$21,ROW()-1+'02_Eingaben'!$C$17))))</f>
        <v/>
      </c>
      <c r="G2971" s="27">
        <f>IF(F2971="","",F2971-'02_Eingaben'!$C$10)</f>
        <v/>
      </c>
      <c r="H2971">
        <f>IF(F2971="","",IF(F2971&lt;'02_Eingaben'!$C$18*'02_Eingaben'!$C$10,1,0))</f>
        <v/>
      </c>
      <c r="I2971" s="27">
        <f>IF(OR(G2971="",G2972=""),"",(G2971+G2972)/2*(B2972-B2971))</f>
        <v/>
      </c>
      <c r="J2971" s="27">
        <f>IF(B2971="","",IF(B2970&lt;'02_Eingaben'!$C$36,0,J2970+I2970/'02_Eingaben'!$C$8))</f>
        <v/>
      </c>
    </row>
    <row r="2972">
      <c r="A2972">
        <f>IF('01_Rohdaten'!A2972="","",ROW()-1)</f>
        <v/>
      </c>
      <c r="B2972" s="27">
        <f>IF('01_Rohdaten'!A2972="","",'01_Rohdaten'!A2972)</f>
        <v/>
      </c>
      <c r="C2972" s="27">
        <f>IF(B2972="","",INDEX('01_Rohdaten'!B2972:D2972,'02_Eingaben'!$C$13))</f>
        <v/>
      </c>
      <c r="D2972" s="27">
        <f>IF(C2972="","",C2972*'02_Eingaben'!$C$15)</f>
        <v/>
      </c>
      <c r="E2972" s="27">
        <f>IF(D2972="","",D2972*'02_Eingaben'!$C$8)</f>
        <v/>
      </c>
      <c r="F2972" s="27">
        <f>IF(E2972="","",AVERAGE(INDEX($E$2:$E$3001,MAX(1,ROW()-1-'02_Eingaben'!$C$17)):INDEX($E$2:$E$3001,MIN('02_Eingaben'!$C$21,ROW()-1+'02_Eingaben'!$C$17))))</f>
        <v/>
      </c>
      <c r="G2972" s="27">
        <f>IF(F2972="","",F2972-'02_Eingaben'!$C$10)</f>
        <v/>
      </c>
      <c r="H2972">
        <f>IF(F2972="","",IF(F2972&lt;'02_Eingaben'!$C$18*'02_Eingaben'!$C$10,1,0))</f>
        <v/>
      </c>
      <c r="I2972" s="27">
        <f>IF(OR(G2972="",G2973=""),"",(G2972+G2973)/2*(B2973-B2972))</f>
        <v/>
      </c>
      <c r="J2972" s="27">
        <f>IF(B2972="","",IF(B2971&lt;'02_Eingaben'!$C$36,0,J2971+I2971/'02_Eingaben'!$C$8))</f>
        <v/>
      </c>
    </row>
    <row r="2973">
      <c r="A2973">
        <f>IF('01_Rohdaten'!A2973="","",ROW()-1)</f>
        <v/>
      </c>
      <c r="B2973" s="27">
        <f>IF('01_Rohdaten'!A2973="","",'01_Rohdaten'!A2973)</f>
        <v/>
      </c>
      <c r="C2973" s="27">
        <f>IF(B2973="","",INDEX('01_Rohdaten'!B2973:D2973,'02_Eingaben'!$C$13))</f>
        <v/>
      </c>
      <c r="D2973" s="27">
        <f>IF(C2973="","",C2973*'02_Eingaben'!$C$15)</f>
        <v/>
      </c>
      <c r="E2973" s="27">
        <f>IF(D2973="","",D2973*'02_Eingaben'!$C$8)</f>
        <v/>
      </c>
      <c r="F2973" s="27">
        <f>IF(E2973="","",AVERAGE(INDEX($E$2:$E$3001,MAX(1,ROW()-1-'02_Eingaben'!$C$17)):INDEX($E$2:$E$3001,MIN('02_Eingaben'!$C$21,ROW()-1+'02_Eingaben'!$C$17))))</f>
        <v/>
      </c>
      <c r="G2973" s="27">
        <f>IF(F2973="","",F2973-'02_Eingaben'!$C$10)</f>
        <v/>
      </c>
      <c r="H2973">
        <f>IF(F2973="","",IF(F2973&lt;'02_Eingaben'!$C$18*'02_Eingaben'!$C$10,1,0))</f>
        <v/>
      </c>
      <c r="I2973" s="27">
        <f>IF(OR(G2973="",G2974=""),"",(G2973+G2974)/2*(B2974-B2973))</f>
        <v/>
      </c>
      <c r="J2973" s="27">
        <f>IF(B2973="","",IF(B2972&lt;'02_Eingaben'!$C$36,0,J2972+I2972/'02_Eingaben'!$C$8))</f>
        <v/>
      </c>
    </row>
    <row r="2974">
      <c r="A2974">
        <f>IF('01_Rohdaten'!A2974="","",ROW()-1)</f>
        <v/>
      </c>
      <c r="B2974" s="27">
        <f>IF('01_Rohdaten'!A2974="","",'01_Rohdaten'!A2974)</f>
        <v/>
      </c>
      <c r="C2974" s="27">
        <f>IF(B2974="","",INDEX('01_Rohdaten'!B2974:D2974,'02_Eingaben'!$C$13))</f>
        <v/>
      </c>
      <c r="D2974" s="27">
        <f>IF(C2974="","",C2974*'02_Eingaben'!$C$15)</f>
        <v/>
      </c>
      <c r="E2974" s="27">
        <f>IF(D2974="","",D2974*'02_Eingaben'!$C$8)</f>
        <v/>
      </c>
      <c r="F2974" s="27">
        <f>IF(E2974="","",AVERAGE(INDEX($E$2:$E$3001,MAX(1,ROW()-1-'02_Eingaben'!$C$17)):INDEX($E$2:$E$3001,MIN('02_Eingaben'!$C$21,ROW()-1+'02_Eingaben'!$C$17))))</f>
        <v/>
      </c>
      <c r="G2974" s="27">
        <f>IF(F2974="","",F2974-'02_Eingaben'!$C$10)</f>
        <v/>
      </c>
      <c r="H2974">
        <f>IF(F2974="","",IF(F2974&lt;'02_Eingaben'!$C$18*'02_Eingaben'!$C$10,1,0))</f>
        <v/>
      </c>
      <c r="I2974" s="27">
        <f>IF(OR(G2974="",G2975=""),"",(G2974+G2975)/2*(B2975-B2974))</f>
        <v/>
      </c>
      <c r="J2974" s="27">
        <f>IF(B2974="","",IF(B2973&lt;'02_Eingaben'!$C$36,0,J2973+I2973/'02_Eingaben'!$C$8))</f>
        <v/>
      </c>
    </row>
    <row r="2975">
      <c r="A2975">
        <f>IF('01_Rohdaten'!A2975="","",ROW()-1)</f>
        <v/>
      </c>
      <c r="B2975" s="27">
        <f>IF('01_Rohdaten'!A2975="","",'01_Rohdaten'!A2975)</f>
        <v/>
      </c>
      <c r="C2975" s="27">
        <f>IF(B2975="","",INDEX('01_Rohdaten'!B2975:D2975,'02_Eingaben'!$C$13))</f>
        <v/>
      </c>
      <c r="D2975" s="27">
        <f>IF(C2975="","",C2975*'02_Eingaben'!$C$15)</f>
        <v/>
      </c>
      <c r="E2975" s="27">
        <f>IF(D2975="","",D2975*'02_Eingaben'!$C$8)</f>
        <v/>
      </c>
      <c r="F2975" s="27">
        <f>IF(E2975="","",AVERAGE(INDEX($E$2:$E$3001,MAX(1,ROW()-1-'02_Eingaben'!$C$17)):INDEX($E$2:$E$3001,MIN('02_Eingaben'!$C$21,ROW()-1+'02_Eingaben'!$C$17))))</f>
        <v/>
      </c>
      <c r="G2975" s="27">
        <f>IF(F2975="","",F2975-'02_Eingaben'!$C$10)</f>
        <v/>
      </c>
      <c r="H2975">
        <f>IF(F2975="","",IF(F2975&lt;'02_Eingaben'!$C$18*'02_Eingaben'!$C$10,1,0))</f>
        <v/>
      </c>
      <c r="I2975" s="27">
        <f>IF(OR(G2975="",G2976=""),"",(G2975+G2976)/2*(B2976-B2975))</f>
        <v/>
      </c>
      <c r="J2975" s="27">
        <f>IF(B2975="","",IF(B2974&lt;'02_Eingaben'!$C$36,0,J2974+I2974/'02_Eingaben'!$C$8))</f>
        <v/>
      </c>
    </row>
    <row r="2976">
      <c r="A2976">
        <f>IF('01_Rohdaten'!A2976="","",ROW()-1)</f>
        <v/>
      </c>
      <c r="B2976" s="27">
        <f>IF('01_Rohdaten'!A2976="","",'01_Rohdaten'!A2976)</f>
        <v/>
      </c>
      <c r="C2976" s="27">
        <f>IF(B2976="","",INDEX('01_Rohdaten'!B2976:D2976,'02_Eingaben'!$C$13))</f>
        <v/>
      </c>
      <c r="D2976" s="27">
        <f>IF(C2976="","",C2976*'02_Eingaben'!$C$15)</f>
        <v/>
      </c>
      <c r="E2976" s="27">
        <f>IF(D2976="","",D2976*'02_Eingaben'!$C$8)</f>
        <v/>
      </c>
      <c r="F2976" s="27">
        <f>IF(E2976="","",AVERAGE(INDEX($E$2:$E$3001,MAX(1,ROW()-1-'02_Eingaben'!$C$17)):INDEX($E$2:$E$3001,MIN('02_Eingaben'!$C$21,ROW()-1+'02_Eingaben'!$C$17))))</f>
        <v/>
      </c>
      <c r="G2976" s="27">
        <f>IF(F2976="","",F2976-'02_Eingaben'!$C$10)</f>
        <v/>
      </c>
      <c r="H2976">
        <f>IF(F2976="","",IF(F2976&lt;'02_Eingaben'!$C$18*'02_Eingaben'!$C$10,1,0))</f>
        <v/>
      </c>
      <c r="I2976" s="27">
        <f>IF(OR(G2976="",G2977=""),"",(G2976+G2977)/2*(B2977-B2976))</f>
        <v/>
      </c>
      <c r="J2976" s="27">
        <f>IF(B2976="","",IF(B2975&lt;'02_Eingaben'!$C$36,0,J2975+I2975/'02_Eingaben'!$C$8))</f>
        <v/>
      </c>
    </row>
    <row r="2977">
      <c r="A2977">
        <f>IF('01_Rohdaten'!A2977="","",ROW()-1)</f>
        <v/>
      </c>
      <c r="B2977" s="27">
        <f>IF('01_Rohdaten'!A2977="","",'01_Rohdaten'!A2977)</f>
        <v/>
      </c>
      <c r="C2977" s="27">
        <f>IF(B2977="","",INDEX('01_Rohdaten'!B2977:D2977,'02_Eingaben'!$C$13))</f>
        <v/>
      </c>
      <c r="D2977" s="27">
        <f>IF(C2977="","",C2977*'02_Eingaben'!$C$15)</f>
        <v/>
      </c>
      <c r="E2977" s="27">
        <f>IF(D2977="","",D2977*'02_Eingaben'!$C$8)</f>
        <v/>
      </c>
      <c r="F2977" s="27">
        <f>IF(E2977="","",AVERAGE(INDEX($E$2:$E$3001,MAX(1,ROW()-1-'02_Eingaben'!$C$17)):INDEX($E$2:$E$3001,MIN('02_Eingaben'!$C$21,ROW()-1+'02_Eingaben'!$C$17))))</f>
        <v/>
      </c>
      <c r="G2977" s="27">
        <f>IF(F2977="","",F2977-'02_Eingaben'!$C$10)</f>
        <v/>
      </c>
      <c r="H2977">
        <f>IF(F2977="","",IF(F2977&lt;'02_Eingaben'!$C$18*'02_Eingaben'!$C$10,1,0))</f>
        <v/>
      </c>
      <c r="I2977" s="27">
        <f>IF(OR(G2977="",G2978=""),"",(G2977+G2978)/2*(B2978-B2977))</f>
        <v/>
      </c>
      <c r="J2977" s="27">
        <f>IF(B2977="","",IF(B2976&lt;'02_Eingaben'!$C$36,0,J2976+I2976/'02_Eingaben'!$C$8))</f>
        <v/>
      </c>
    </row>
    <row r="2978">
      <c r="A2978">
        <f>IF('01_Rohdaten'!A2978="","",ROW()-1)</f>
        <v/>
      </c>
      <c r="B2978" s="27">
        <f>IF('01_Rohdaten'!A2978="","",'01_Rohdaten'!A2978)</f>
        <v/>
      </c>
      <c r="C2978" s="27">
        <f>IF(B2978="","",INDEX('01_Rohdaten'!B2978:D2978,'02_Eingaben'!$C$13))</f>
        <v/>
      </c>
      <c r="D2978" s="27">
        <f>IF(C2978="","",C2978*'02_Eingaben'!$C$15)</f>
        <v/>
      </c>
      <c r="E2978" s="27">
        <f>IF(D2978="","",D2978*'02_Eingaben'!$C$8)</f>
        <v/>
      </c>
      <c r="F2978" s="27">
        <f>IF(E2978="","",AVERAGE(INDEX($E$2:$E$3001,MAX(1,ROW()-1-'02_Eingaben'!$C$17)):INDEX($E$2:$E$3001,MIN('02_Eingaben'!$C$21,ROW()-1+'02_Eingaben'!$C$17))))</f>
        <v/>
      </c>
      <c r="G2978" s="27">
        <f>IF(F2978="","",F2978-'02_Eingaben'!$C$10)</f>
        <v/>
      </c>
      <c r="H2978">
        <f>IF(F2978="","",IF(F2978&lt;'02_Eingaben'!$C$18*'02_Eingaben'!$C$10,1,0))</f>
        <v/>
      </c>
      <c r="I2978" s="27">
        <f>IF(OR(G2978="",G2979=""),"",(G2978+G2979)/2*(B2979-B2978))</f>
        <v/>
      </c>
      <c r="J2978" s="27">
        <f>IF(B2978="","",IF(B2977&lt;'02_Eingaben'!$C$36,0,J2977+I2977/'02_Eingaben'!$C$8))</f>
        <v/>
      </c>
    </row>
    <row r="2979">
      <c r="A2979">
        <f>IF('01_Rohdaten'!A2979="","",ROW()-1)</f>
        <v/>
      </c>
      <c r="B2979" s="27">
        <f>IF('01_Rohdaten'!A2979="","",'01_Rohdaten'!A2979)</f>
        <v/>
      </c>
      <c r="C2979" s="27">
        <f>IF(B2979="","",INDEX('01_Rohdaten'!B2979:D2979,'02_Eingaben'!$C$13))</f>
        <v/>
      </c>
      <c r="D2979" s="27">
        <f>IF(C2979="","",C2979*'02_Eingaben'!$C$15)</f>
        <v/>
      </c>
      <c r="E2979" s="27">
        <f>IF(D2979="","",D2979*'02_Eingaben'!$C$8)</f>
        <v/>
      </c>
      <c r="F2979" s="27">
        <f>IF(E2979="","",AVERAGE(INDEX($E$2:$E$3001,MAX(1,ROW()-1-'02_Eingaben'!$C$17)):INDEX($E$2:$E$3001,MIN('02_Eingaben'!$C$21,ROW()-1+'02_Eingaben'!$C$17))))</f>
        <v/>
      </c>
      <c r="G2979" s="27">
        <f>IF(F2979="","",F2979-'02_Eingaben'!$C$10)</f>
        <v/>
      </c>
      <c r="H2979">
        <f>IF(F2979="","",IF(F2979&lt;'02_Eingaben'!$C$18*'02_Eingaben'!$C$10,1,0))</f>
        <v/>
      </c>
      <c r="I2979" s="27">
        <f>IF(OR(G2979="",G2980=""),"",(G2979+G2980)/2*(B2980-B2979))</f>
        <v/>
      </c>
      <c r="J2979" s="27">
        <f>IF(B2979="","",IF(B2978&lt;'02_Eingaben'!$C$36,0,J2978+I2978/'02_Eingaben'!$C$8))</f>
        <v/>
      </c>
    </row>
    <row r="2980">
      <c r="A2980">
        <f>IF('01_Rohdaten'!A2980="","",ROW()-1)</f>
        <v/>
      </c>
      <c r="B2980" s="27">
        <f>IF('01_Rohdaten'!A2980="","",'01_Rohdaten'!A2980)</f>
        <v/>
      </c>
      <c r="C2980" s="27">
        <f>IF(B2980="","",INDEX('01_Rohdaten'!B2980:D2980,'02_Eingaben'!$C$13))</f>
        <v/>
      </c>
      <c r="D2980" s="27">
        <f>IF(C2980="","",C2980*'02_Eingaben'!$C$15)</f>
        <v/>
      </c>
      <c r="E2980" s="27">
        <f>IF(D2980="","",D2980*'02_Eingaben'!$C$8)</f>
        <v/>
      </c>
      <c r="F2980" s="27">
        <f>IF(E2980="","",AVERAGE(INDEX($E$2:$E$3001,MAX(1,ROW()-1-'02_Eingaben'!$C$17)):INDEX($E$2:$E$3001,MIN('02_Eingaben'!$C$21,ROW()-1+'02_Eingaben'!$C$17))))</f>
        <v/>
      </c>
      <c r="G2980" s="27">
        <f>IF(F2980="","",F2980-'02_Eingaben'!$C$10)</f>
        <v/>
      </c>
      <c r="H2980">
        <f>IF(F2980="","",IF(F2980&lt;'02_Eingaben'!$C$18*'02_Eingaben'!$C$10,1,0))</f>
        <v/>
      </c>
      <c r="I2980" s="27">
        <f>IF(OR(G2980="",G2981=""),"",(G2980+G2981)/2*(B2981-B2980))</f>
        <v/>
      </c>
      <c r="J2980" s="27">
        <f>IF(B2980="","",IF(B2979&lt;'02_Eingaben'!$C$36,0,J2979+I2979/'02_Eingaben'!$C$8))</f>
        <v/>
      </c>
    </row>
    <row r="2981">
      <c r="A2981">
        <f>IF('01_Rohdaten'!A2981="","",ROW()-1)</f>
        <v/>
      </c>
      <c r="B2981" s="27">
        <f>IF('01_Rohdaten'!A2981="","",'01_Rohdaten'!A2981)</f>
        <v/>
      </c>
      <c r="C2981" s="27">
        <f>IF(B2981="","",INDEX('01_Rohdaten'!B2981:D2981,'02_Eingaben'!$C$13))</f>
        <v/>
      </c>
      <c r="D2981" s="27">
        <f>IF(C2981="","",C2981*'02_Eingaben'!$C$15)</f>
        <v/>
      </c>
      <c r="E2981" s="27">
        <f>IF(D2981="","",D2981*'02_Eingaben'!$C$8)</f>
        <v/>
      </c>
      <c r="F2981" s="27">
        <f>IF(E2981="","",AVERAGE(INDEX($E$2:$E$3001,MAX(1,ROW()-1-'02_Eingaben'!$C$17)):INDEX($E$2:$E$3001,MIN('02_Eingaben'!$C$21,ROW()-1+'02_Eingaben'!$C$17))))</f>
        <v/>
      </c>
      <c r="G2981" s="27">
        <f>IF(F2981="","",F2981-'02_Eingaben'!$C$10)</f>
        <v/>
      </c>
      <c r="H2981">
        <f>IF(F2981="","",IF(F2981&lt;'02_Eingaben'!$C$18*'02_Eingaben'!$C$10,1,0))</f>
        <v/>
      </c>
      <c r="I2981" s="27">
        <f>IF(OR(G2981="",G2982=""),"",(G2981+G2982)/2*(B2982-B2981))</f>
        <v/>
      </c>
      <c r="J2981" s="27">
        <f>IF(B2981="","",IF(B2980&lt;'02_Eingaben'!$C$36,0,J2980+I2980/'02_Eingaben'!$C$8))</f>
        <v/>
      </c>
    </row>
    <row r="2982">
      <c r="A2982">
        <f>IF('01_Rohdaten'!A2982="","",ROW()-1)</f>
        <v/>
      </c>
      <c r="B2982" s="27">
        <f>IF('01_Rohdaten'!A2982="","",'01_Rohdaten'!A2982)</f>
        <v/>
      </c>
      <c r="C2982" s="27">
        <f>IF(B2982="","",INDEX('01_Rohdaten'!B2982:D2982,'02_Eingaben'!$C$13))</f>
        <v/>
      </c>
      <c r="D2982" s="27">
        <f>IF(C2982="","",C2982*'02_Eingaben'!$C$15)</f>
        <v/>
      </c>
      <c r="E2982" s="27">
        <f>IF(D2982="","",D2982*'02_Eingaben'!$C$8)</f>
        <v/>
      </c>
      <c r="F2982" s="27">
        <f>IF(E2982="","",AVERAGE(INDEX($E$2:$E$3001,MAX(1,ROW()-1-'02_Eingaben'!$C$17)):INDEX($E$2:$E$3001,MIN('02_Eingaben'!$C$21,ROW()-1+'02_Eingaben'!$C$17))))</f>
        <v/>
      </c>
      <c r="G2982" s="27">
        <f>IF(F2982="","",F2982-'02_Eingaben'!$C$10)</f>
        <v/>
      </c>
      <c r="H2982">
        <f>IF(F2982="","",IF(F2982&lt;'02_Eingaben'!$C$18*'02_Eingaben'!$C$10,1,0))</f>
        <v/>
      </c>
      <c r="I2982" s="27">
        <f>IF(OR(G2982="",G2983=""),"",(G2982+G2983)/2*(B2983-B2982))</f>
        <v/>
      </c>
      <c r="J2982" s="27">
        <f>IF(B2982="","",IF(B2981&lt;'02_Eingaben'!$C$36,0,J2981+I2981/'02_Eingaben'!$C$8))</f>
        <v/>
      </c>
    </row>
    <row r="2983">
      <c r="A2983">
        <f>IF('01_Rohdaten'!A2983="","",ROW()-1)</f>
        <v/>
      </c>
      <c r="B2983" s="27">
        <f>IF('01_Rohdaten'!A2983="","",'01_Rohdaten'!A2983)</f>
        <v/>
      </c>
      <c r="C2983" s="27">
        <f>IF(B2983="","",INDEX('01_Rohdaten'!B2983:D2983,'02_Eingaben'!$C$13))</f>
        <v/>
      </c>
      <c r="D2983" s="27">
        <f>IF(C2983="","",C2983*'02_Eingaben'!$C$15)</f>
        <v/>
      </c>
      <c r="E2983" s="27">
        <f>IF(D2983="","",D2983*'02_Eingaben'!$C$8)</f>
        <v/>
      </c>
      <c r="F2983" s="27">
        <f>IF(E2983="","",AVERAGE(INDEX($E$2:$E$3001,MAX(1,ROW()-1-'02_Eingaben'!$C$17)):INDEX($E$2:$E$3001,MIN('02_Eingaben'!$C$21,ROW()-1+'02_Eingaben'!$C$17))))</f>
        <v/>
      </c>
      <c r="G2983" s="27">
        <f>IF(F2983="","",F2983-'02_Eingaben'!$C$10)</f>
        <v/>
      </c>
      <c r="H2983">
        <f>IF(F2983="","",IF(F2983&lt;'02_Eingaben'!$C$18*'02_Eingaben'!$C$10,1,0))</f>
        <v/>
      </c>
      <c r="I2983" s="27">
        <f>IF(OR(G2983="",G2984=""),"",(G2983+G2984)/2*(B2984-B2983))</f>
        <v/>
      </c>
      <c r="J2983" s="27">
        <f>IF(B2983="","",IF(B2982&lt;'02_Eingaben'!$C$36,0,J2982+I2982/'02_Eingaben'!$C$8))</f>
        <v/>
      </c>
    </row>
    <row r="2984">
      <c r="A2984">
        <f>IF('01_Rohdaten'!A2984="","",ROW()-1)</f>
        <v/>
      </c>
      <c r="B2984" s="27">
        <f>IF('01_Rohdaten'!A2984="","",'01_Rohdaten'!A2984)</f>
        <v/>
      </c>
      <c r="C2984" s="27">
        <f>IF(B2984="","",INDEX('01_Rohdaten'!B2984:D2984,'02_Eingaben'!$C$13))</f>
        <v/>
      </c>
      <c r="D2984" s="27">
        <f>IF(C2984="","",C2984*'02_Eingaben'!$C$15)</f>
        <v/>
      </c>
      <c r="E2984" s="27">
        <f>IF(D2984="","",D2984*'02_Eingaben'!$C$8)</f>
        <v/>
      </c>
      <c r="F2984" s="27">
        <f>IF(E2984="","",AVERAGE(INDEX($E$2:$E$3001,MAX(1,ROW()-1-'02_Eingaben'!$C$17)):INDEX($E$2:$E$3001,MIN('02_Eingaben'!$C$21,ROW()-1+'02_Eingaben'!$C$17))))</f>
        <v/>
      </c>
      <c r="G2984" s="27">
        <f>IF(F2984="","",F2984-'02_Eingaben'!$C$10)</f>
        <v/>
      </c>
      <c r="H2984">
        <f>IF(F2984="","",IF(F2984&lt;'02_Eingaben'!$C$18*'02_Eingaben'!$C$10,1,0))</f>
        <v/>
      </c>
      <c r="I2984" s="27">
        <f>IF(OR(G2984="",G2985=""),"",(G2984+G2985)/2*(B2985-B2984))</f>
        <v/>
      </c>
      <c r="J2984" s="27">
        <f>IF(B2984="","",IF(B2983&lt;'02_Eingaben'!$C$36,0,J2983+I2983/'02_Eingaben'!$C$8))</f>
        <v/>
      </c>
    </row>
    <row r="2985">
      <c r="A2985">
        <f>IF('01_Rohdaten'!A2985="","",ROW()-1)</f>
        <v/>
      </c>
      <c r="B2985" s="27">
        <f>IF('01_Rohdaten'!A2985="","",'01_Rohdaten'!A2985)</f>
        <v/>
      </c>
      <c r="C2985" s="27">
        <f>IF(B2985="","",INDEX('01_Rohdaten'!B2985:D2985,'02_Eingaben'!$C$13))</f>
        <v/>
      </c>
      <c r="D2985" s="27">
        <f>IF(C2985="","",C2985*'02_Eingaben'!$C$15)</f>
        <v/>
      </c>
      <c r="E2985" s="27">
        <f>IF(D2985="","",D2985*'02_Eingaben'!$C$8)</f>
        <v/>
      </c>
      <c r="F2985" s="27">
        <f>IF(E2985="","",AVERAGE(INDEX($E$2:$E$3001,MAX(1,ROW()-1-'02_Eingaben'!$C$17)):INDEX($E$2:$E$3001,MIN('02_Eingaben'!$C$21,ROW()-1+'02_Eingaben'!$C$17))))</f>
        <v/>
      </c>
      <c r="G2985" s="27">
        <f>IF(F2985="","",F2985-'02_Eingaben'!$C$10)</f>
        <v/>
      </c>
      <c r="H2985">
        <f>IF(F2985="","",IF(F2985&lt;'02_Eingaben'!$C$18*'02_Eingaben'!$C$10,1,0))</f>
        <v/>
      </c>
      <c r="I2985" s="27">
        <f>IF(OR(G2985="",G2986=""),"",(G2985+G2986)/2*(B2986-B2985))</f>
        <v/>
      </c>
      <c r="J2985" s="27">
        <f>IF(B2985="","",IF(B2984&lt;'02_Eingaben'!$C$36,0,J2984+I2984/'02_Eingaben'!$C$8))</f>
        <v/>
      </c>
    </row>
    <row r="2986">
      <c r="A2986">
        <f>IF('01_Rohdaten'!A2986="","",ROW()-1)</f>
        <v/>
      </c>
      <c r="B2986" s="27">
        <f>IF('01_Rohdaten'!A2986="","",'01_Rohdaten'!A2986)</f>
        <v/>
      </c>
      <c r="C2986" s="27">
        <f>IF(B2986="","",INDEX('01_Rohdaten'!B2986:D2986,'02_Eingaben'!$C$13))</f>
        <v/>
      </c>
      <c r="D2986" s="27">
        <f>IF(C2986="","",C2986*'02_Eingaben'!$C$15)</f>
        <v/>
      </c>
      <c r="E2986" s="27">
        <f>IF(D2986="","",D2986*'02_Eingaben'!$C$8)</f>
        <v/>
      </c>
      <c r="F2986" s="27">
        <f>IF(E2986="","",AVERAGE(INDEX($E$2:$E$3001,MAX(1,ROW()-1-'02_Eingaben'!$C$17)):INDEX($E$2:$E$3001,MIN('02_Eingaben'!$C$21,ROW()-1+'02_Eingaben'!$C$17))))</f>
        <v/>
      </c>
      <c r="G2986" s="27">
        <f>IF(F2986="","",F2986-'02_Eingaben'!$C$10)</f>
        <v/>
      </c>
      <c r="H2986">
        <f>IF(F2986="","",IF(F2986&lt;'02_Eingaben'!$C$18*'02_Eingaben'!$C$10,1,0))</f>
        <v/>
      </c>
      <c r="I2986" s="27">
        <f>IF(OR(G2986="",G2987=""),"",(G2986+G2987)/2*(B2987-B2986))</f>
        <v/>
      </c>
      <c r="J2986" s="27">
        <f>IF(B2986="","",IF(B2985&lt;'02_Eingaben'!$C$36,0,J2985+I2985/'02_Eingaben'!$C$8))</f>
        <v/>
      </c>
    </row>
    <row r="2987">
      <c r="A2987">
        <f>IF('01_Rohdaten'!A2987="","",ROW()-1)</f>
        <v/>
      </c>
      <c r="B2987" s="27">
        <f>IF('01_Rohdaten'!A2987="","",'01_Rohdaten'!A2987)</f>
        <v/>
      </c>
      <c r="C2987" s="27">
        <f>IF(B2987="","",INDEX('01_Rohdaten'!B2987:D2987,'02_Eingaben'!$C$13))</f>
        <v/>
      </c>
      <c r="D2987" s="27">
        <f>IF(C2987="","",C2987*'02_Eingaben'!$C$15)</f>
        <v/>
      </c>
      <c r="E2987" s="27">
        <f>IF(D2987="","",D2987*'02_Eingaben'!$C$8)</f>
        <v/>
      </c>
      <c r="F2987" s="27">
        <f>IF(E2987="","",AVERAGE(INDEX($E$2:$E$3001,MAX(1,ROW()-1-'02_Eingaben'!$C$17)):INDEX($E$2:$E$3001,MIN('02_Eingaben'!$C$21,ROW()-1+'02_Eingaben'!$C$17))))</f>
        <v/>
      </c>
      <c r="G2987" s="27">
        <f>IF(F2987="","",F2987-'02_Eingaben'!$C$10)</f>
        <v/>
      </c>
      <c r="H2987">
        <f>IF(F2987="","",IF(F2987&lt;'02_Eingaben'!$C$18*'02_Eingaben'!$C$10,1,0))</f>
        <v/>
      </c>
      <c r="I2987" s="27">
        <f>IF(OR(G2987="",G2988=""),"",(G2987+G2988)/2*(B2988-B2987))</f>
        <v/>
      </c>
      <c r="J2987" s="27">
        <f>IF(B2987="","",IF(B2986&lt;'02_Eingaben'!$C$36,0,J2986+I2986/'02_Eingaben'!$C$8))</f>
        <v/>
      </c>
    </row>
    <row r="2988">
      <c r="A2988">
        <f>IF('01_Rohdaten'!A2988="","",ROW()-1)</f>
        <v/>
      </c>
      <c r="B2988" s="27">
        <f>IF('01_Rohdaten'!A2988="","",'01_Rohdaten'!A2988)</f>
        <v/>
      </c>
      <c r="C2988" s="27">
        <f>IF(B2988="","",INDEX('01_Rohdaten'!B2988:D2988,'02_Eingaben'!$C$13))</f>
        <v/>
      </c>
      <c r="D2988" s="27">
        <f>IF(C2988="","",C2988*'02_Eingaben'!$C$15)</f>
        <v/>
      </c>
      <c r="E2988" s="27">
        <f>IF(D2988="","",D2988*'02_Eingaben'!$C$8)</f>
        <v/>
      </c>
      <c r="F2988" s="27">
        <f>IF(E2988="","",AVERAGE(INDEX($E$2:$E$3001,MAX(1,ROW()-1-'02_Eingaben'!$C$17)):INDEX($E$2:$E$3001,MIN('02_Eingaben'!$C$21,ROW()-1+'02_Eingaben'!$C$17))))</f>
        <v/>
      </c>
      <c r="G2988" s="27">
        <f>IF(F2988="","",F2988-'02_Eingaben'!$C$10)</f>
        <v/>
      </c>
      <c r="H2988">
        <f>IF(F2988="","",IF(F2988&lt;'02_Eingaben'!$C$18*'02_Eingaben'!$C$10,1,0))</f>
        <v/>
      </c>
      <c r="I2988" s="27">
        <f>IF(OR(G2988="",G2989=""),"",(G2988+G2989)/2*(B2989-B2988))</f>
        <v/>
      </c>
      <c r="J2988" s="27">
        <f>IF(B2988="","",IF(B2987&lt;'02_Eingaben'!$C$36,0,J2987+I2987/'02_Eingaben'!$C$8))</f>
        <v/>
      </c>
    </row>
    <row r="2989">
      <c r="A2989">
        <f>IF('01_Rohdaten'!A2989="","",ROW()-1)</f>
        <v/>
      </c>
      <c r="B2989" s="27">
        <f>IF('01_Rohdaten'!A2989="","",'01_Rohdaten'!A2989)</f>
        <v/>
      </c>
      <c r="C2989" s="27">
        <f>IF(B2989="","",INDEX('01_Rohdaten'!B2989:D2989,'02_Eingaben'!$C$13))</f>
        <v/>
      </c>
      <c r="D2989" s="27">
        <f>IF(C2989="","",C2989*'02_Eingaben'!$C$15)</f>
        <v/>
      </c>
      <c r="E2989" s="27">
        <f>IF(D2989="","",D2989*'02_Eingaben'!$C$8)</f>
        <v/>
      </c>
      <c r="F2989" s="27">
        <f>IF(E2989="","",AVERAGE(INDEX($E$2:$E$3001,MAX(1,ROW()-1-'02_Eingaben'!$C$17)):INDEX($E$2:$E$3001,MIN('02_Eingaben'!$C$21,ROW()-1+'02_Eingaben'!$C$17))))</f>
        <v/>
      </c>
      <c r="G2989" s="27">
        <f>IF(F2989="","",F2989-'02_Eingaben'!$C$10)</f>
        <v/>
      </c>
      <c r="H2989">
        <f>IF(F2989="","",IF(F2989&lt;'02_Eingaben'!$C$18*'02_Eingaben'!$C$10,1,0))</f>
        <v/>
      </c>
      <c r="I2989" s="27">
        <f>IF(OR(G2989="",G2990=""),"",(G2989+G2990)/2*(B2990-B2989))</f>
        <v/>
      </c>
      <c r="J2989" s="27">
        <f>IF(B2989="","",IF(B2988&lt;'02_Eingaben'!$C$36,0,J2988+I2988/'02_Eingaben'!$C$8))</f>
        <v/>
      </c>
    </row>
    <row r="2990">
      <c r="A2990">
        <f>IF('01_Rohdaten'!A2990="","",ROW()-1)</f>
        <v/>
      </c>
      <c r="B2990" s="27">
        <f>IF('01_Rohdaten'!A2990="","",'01_Rohdaten'!A2990)</f>
        <v/>
      </c>
      <c r="C2990" s="27">
        <f>IF(B2990="","",INDEX('01_Rohdaten'!B2990:D2990,'02_Eingaben'!$C$13))</f>
        <v/>
      </c>
      <c r="D2990" s="27">
        <f>IF(C2990="","",C2990*'02_Eingaben'!$C$15)</f>
        <v/>
      </c>
      <c r="E2990" s="27">
        <f>IF(D2990="","",D2990*'02_Eingaben'!$C$8)</f>
        <v/>
      </c>
      <c r="F2990" s="27">
        <f>IF(E2990="","",AVERAGE(INDEX($E$2:$E$3001,MAX(1,ROW()-1-'02_Eingaben'!$C$17)):INDEX($E$2:$E$3001,MIN('02_Eingaben'!$C$21,ROW()-1+'02_Eingaben'!$C$17))))</f>
        <v/>
      </c>
      <c r="G2990" s="27">
        <f>IF(F2990="","",F2990-'02_Eingaben'!$C$10)</f>
        <v/>
      </c>
      <c r="H2990">
        <f>IF(F2990="","",IF(F2990&lt;'02_Eingaben'!$C$18*'02_Eingaben'!$C$10,1,0))</f>
        <v/>
      </c>
      <c r="I2990" s="27">
        <f>IF(OR(G2990="",G2991=""),"",(G2990+G2991)/2*(B2991-B2990))</f>
        <v/>
      </c>
      <c r="J2990" s="27">
        <f>IF(B2990="","",IF(B2989&lt;'02_Eingaben'!$C$36,0,J2989+I2989/'02_Eingaben'!$C$8))</f>
        <v/>
      </c>
    </row>
    <row r="2991">
      <c r="A2991">
        <f>IF('01_Rohdaten'!A2991="","",ROW()-1)</f>
        <v/>
      </c>
      <c r="B2991" s="27">
        <f>IF('01_Rohdaten'!A2991="","",'01_Rohdaten'!A2991)</f>
        <v/>
      </c>
      <c r="C2991" s="27">
        <f>IF(B2991="","",INDEX('01_Rohdaten'!B2991:D2991,'02_Eingaben'!$C$13))</f>
        <v/>
      </c>
      <c r="D2991" s="27">
        <f>IF(C2991="","",C2991*'02_Eingaben'!$C$15)</f>
        <v/>
      </c>
      <c r="E2991" s="27">
        <f>IF(D2991="","",D2991*'02_Eingaben'!$C$8)</f>
        <v/>
      </c>
      <c r="F2991" s="27">
        <f>IF(E2991="","",AVERAGE(INDEX($E$2:$E$3001,MAX(1,ROW()-1-'02_Eingaben'!$C$17)):INDEX($E$2:$E$3001,MIN('02_Eingaben'!$C$21,ROW()-1+'02_Eingaben'!$C$17))))</f>
        <v/>
      </c>
      <c r="G2991" s="27">
        <f>IF(F2991="","",F2991-'02_Eingaben'!$C$10)</f>
        <v/>
      </c>
      <c r="H2991">
        <f>IF(F2991="","",IF(F2991&lt;'02_Eingaben'!$C$18*'02_Eingaben'!$C$10,1,0))</f>
        <v/>
      </c>
      <c r="I2991" s="27">
        <f>IF(OR(G2991="",G2992=""),"",(G2991+G2992)/2*(B2992-B2991))</f>
        <v/>
      </c>
      <c r="J2991" s="27">
        <f>IF(B2991="","",IF(B2990&lt;'02_Eingaben'!$C$36,0,J2990+I2990/'02_Eingaben'!$C$8))</f>
        <v/>
      </c>
    </row>
    <row r="2992">
      <c r="A2992">
        <f>IF('01_Rohdaten'!A2992="","",ROW()-1)</f>
        <v/>
      </c>
      <c r="B2992" s="27">
        <f>IF('01_Rohdaten'!A2992="","",'01_Rohdaten'!A2992)</f>
        <v/>
      </c>
      <c r="C2992" s="27">
        <f>IF(B2992="","",INDEX('01_Rohdaten'!B2992:D2992,'02_Eingaben'!$C$13))</f>
        <v/>
      </c>
      <c r="D2992" s="27">
        <f>IF(C2992="","",C2992*'02_Eingaben'!$C$15)</f>
        <v/>
      </c>
      <c r="E2992" s="27">
        <f>IF(D2992="","",D2992*'02_Eingaben'!$C$8)</f>
        <v/>
      </c>
      <c r="F2992" s="27">
        <f>IF(E2992="","",AVERAGE(INDEX($E$2:$E$3001,MAX(1,ROW()-1-'02_Eingaben'!$C$17)):INDEX($E$2:$E$3001,MIN('02_Eingaben'!$C$21,ROW()-1+'02_Eingaben'!$C$17))))</f>
        <v/>
      </c>
      <c r="G2992" s="27">
        <f>IF(F2992="","",F2992-'02_Eingaben'!$C$10)</f>
        <v/>
      </c>
      <c r="H2992">
        <f>IF(F2992="","",IF(F2992&lt;'02_Eingaben'!$C$18*'02_Eingaben'!$C$10,1,0))</f>
        <v/>
      </c>
      <c r="I2992" s="27">
        <f>IF(OR(G2992="",G2993=""),"",(G2992+G2993)/2*(B2993-B2992))</f>
        <v/>
      </c>
      <c r="J2992" s="27">
        <f>IF(B2992="","",IF(B2991&lt;'02_Eingaben'!$C$36,0,J2991+I2991/'02_Eingaben'!$C$8))</f>
        <v/>
      </c>
    </row>
    <row r="2993">
      <c r="A2993">
        <f>IF('01_Rohdaten'!A2993="","",ROW()-1)</f>
        <v/>
      </c>
      <c r="B2993" s="27">
        <f>IF('01_Rohdaten'!A2993="","",'01_Rohdaten'!A2993)</f>
        <v/>
      </c>
      <c r="C2993" s="27">
        <f>IF(B2993="","",INDEX('01_Rohdaten'!B2993:D2993,'02_Eingaben'!$C$13))</f>
        <v/>
      </c>
      <c r="D2993" s="27">
        <f>IF(C2993="","",C2993*'02_Eingaben'!$C$15)</f>
        <v/>
      </c>
      <c r="E2993" s="27">
        <f>IF(D2993="","",D2993*'02_Eingaben'!$C$8)</f>
        <v/>
      </c>
      <c r="F2993" s="27">
        <f>IF(E2993="","",AVERAGE(INDEX($E$2:$E$3001,MAX(1,ROW()-1-'02_Eingaben'!$C$17)):INDEX($E$2:$E$3001,MIN('02_Eingaben'!$C$21,ROW()-1+'02_Eingaben'!$C$17))))</f>
        <v/>
      </c>
      <c r="G2993" s="27">
        <f>IF(F2993="","",F2993-'02_Eingaben'!$C$10)</f>
        <v/>
      </c>
      <c r="H2993">
        <f>IF(F2993="","",IF(F2993&lt;'02_Eingaben'!$C$18*'02_Eingaben'!$C$10,1,0))</f>
        <v/>
      </c>
      <c r="I2993" s="27">
        <f>IF(OR(G2993="",G2994=""),"",(G2993+G2994)/2*(B2994-B2993))</f>
        <v/>
      </c>
      <c r="J2993" s="27">
        <f>IF(B2993="","",IF(B2992&lt;'02_Eingaben'!$C$36,0,J2992+I2992/'02_Eingaben'!$C$8))</f>
        <v/>
      </c>
    </row>
    <row r="2994">
      <c r="A2994">
        <f>IF('01_Rohdaten'!A2994="","",ROW()-1)</f>
        <v/>
      </c>
      <c r="B2994" s="27">
        <f>IF('01_Rohdaten'!A2994="","",'01_Rohdaten'!A2994)</f>
        <v/>
      </c>
      <c r="C2994" s="27">
        <f>IF(B2994="","",INDEX('01_Rohdaten'!B2994:D2994,'02_Eingaben'!$C$13))</f>
        <v/>
      </c>
      <c r="D2994" s="27">
        <f>IF(C2994="","",C2994*'02_Eingaben'!$C$15)</f>
        <v/>
      </c>
      <c r="E2994" s="27">
        <f>IF(D2994="","",D2994*'02_Eingaben'!$C$8)</f>
        <v/>
      </c>
      <c r="F2994" s="27">
        <f>IF(E2994="","",AVERAGE(INDEX($E$2:$E$3001,MAX(1,ROW()-1-'02_Eingaben'!$C$17)):INDEX($E$2:$E$3001,MIN('02_Eingaben'!$C$21,ROW()-1+'02_Eingaben'!$C$17))))</f>
        <v/>
      </c>
      <c r="G2994" s="27">
        <f>IF(F2994="","",F2994-'02_Eingaben'!$C$10)</f>
        <v/>
      </c>
      <c r="H2994">
        <f>IF(F2994="","",IF(F2994&lt;'02_Eingaben'!$C$18*'02_Eingaben'!$C$10,1,0))</f>
        <v/>
      </c>
      <c r="I2994" s="27">
        <f>IF(OR(G2994="",G2995=""),"",(G2994+G2995)/2*(B2995-B2994))</f>
        <v/>
      </c>
      <c r="J2994" s="27">
        <f>IF(B2994="","",IF(B2993&lt;'02_Eingaben'!$C$36,0,J2993+I2993/'02_Eingaben'!$C$8))</f>
        <v/>
      </c>
    </row>
    <row r="2995">
      <c r="A2995">
        <f>IF('01_Rohdaten'!A2995="","",ROW()-1)</f>
        <v/>
      </c>
      <c r="B2995" s="27">
        <f>IF('01_Rohdaten'!A2995="","",'01_Rohdaten'!A2995)</f>
        <v/>
      </c>
      <c r="C2995" s="27">
        <f>IF(B2995="","",INDEX('01_Rohdaten'!B2995:D2995,'02_Eingaben'!$C$13))</f>
        <v/>
      </c>
      <c r="D2995" s="27">
        <f>IF(C2995="","",C2995*'02_Eingaben'!$C$15)</f>
        <v/>
      </c>
      <c r="E2995" s="27">
        <f>IF(D2995="","",D2995*'02_Eingaben'!$C$8)</f>
        <v/>
      </c>
      <c r="F2995" s="27">
        <f>IF(E2995="","",AVERAGE(INDEX($E$2:$E$3001,MAX(1,ROW()-1-'02_Eingaben'!$C$17)):INDEX($E$2:$E$3001,MIN('02_Eingaben'!$C$21,ROW()-1+'02_Eingaben'!$C$17))))</f>
        <v/>
      </c>
      <c r="G2995" s="27">
        <f>IF(F2995="","",F2995-'02_Eingaben'!$C$10)</f>
        <v/>
      </c>
      <c r="H2995">
        <f>IF(F2995="","",IF(F2995&lt;'02_Eingaben'!$C$18*'02_Eingaben'!$C$10,1,0))</f>
        <v/>
      </c>
      <c r="I2995" s="27">
        <f>IF(OR(G2995="",G2996=""),"",(G2995+G2996)/2*(B2996-B2995))</f>
        <v/>
      </c>
      <c r="J2995" s="27">
        <f>IF(B2995="","",IF(B2994&lt;'02_Eingaben'!$C$36,0,J2994+I2994/'02_Eingaben'!$C$8))</f>
        <v/>
      </c>
    </row>
    <row r="2996">
      <c r="A2996">
        <f>IF('01_Rohdaten'!A2996="","",ROW()-1)</f>
        <v/>
      </c>
      <c r="B2996" s="27">
        <f>IF('01_Rohdaten'!A2996="","",'01_Rohdaten'!A2996)</f>
        <v/>
      </c>
      <c r="C2996" s="27">
        <f>IF(B2996="","",INDEX('01_Rohdaten'!B2996:D2996,'02_Eingaben'!$C$13))</f>
        <v/>
      </c>
      <c r="D2996" s="27">
        <f>IF(C2996="","",C2996*'02_Eingaben'!$C$15)</f>
        <v/>
      </c>
      <c r="E2996" s="27">
        <f>IF(D2996="","",D2996*'02_Eingaben'!$C$8)</f>
        <v/>
      </c>
      <c r="F2996" s="27">
        <f>IF(E2996="","",AVERAGE(INDEX($E$2:$E$3001,MAX(1,ROW()-1-'02_Eingaben'!$C$17)):INDEX($E$2:$E$3001,MIN('02_Eingaben'!$C$21,ROW()-1+'02_Eingaben'!$C$17))))</f>
        <v/>
      </c>
      <c r="G2996" s="27">
        <f>IF(F2996="","",F2996-'02_Eingaben'!$C$10)</f>
        <v/>
      </c>
      <c r="H2996">
        <f>IF(F2996="","",IF(F2996&lt;'02_Eingaben'!$C$18*'02_Eingaben'!$C$10,1,0))</f>
        <v/>
      </c>
      <c r="I2996" s="27">
        <f>IF(OR(G2996="",G2997=""),"",(G2996+G2997)/2*(B2997-B2996))</f>
        <v/>
      </c>
      <c r="J2996" s="27">
        <f>IF(B2996="","",IF(B2995&lt;'02_Eingaben'!$C$36,0,J2995+I2995/'02_Eingaben'!$C$8))</f>
        <v/>
      </c>
    </row>
    <row r="2997">
      <c r="A2997">
        <f>IF('01_Rohdaten'!A2997="","",ROW()-1)</f>
        <v/>
      </c>
      <c r="B2997" s="27">
        <f>IF('01_Rohdaten'!A2997="","",'01_Rohdaten'!A2997)</f>
        <v/>
      </c>
      <c r="C2997" s="27">
        <f>IF(B2997="","",INDEX('01_Rohdaten'!B2997:D2997,'02_Eingaben'!$C$13))</f>
        <v/>
      </c>
      <c r="D2997" s="27">
        <f>IF(C2997="","",C2997*'02_Eingaben'!$C$15)</f>
        <v/>
      </c>
      <c r="E2997" s="27">
        <f>IF(D2997="","",D2997*'02_Eingaben'!$C$8)</f>
        <v/>
      </c>
      <c r="F2997" s="27">
        <f>IF(E2997="","",AVERAGE(INDEX($E$2:$E$3001,MAX(1,ROW()-1-'02_Eingaben'!$C$17)):INDEX($E$2:$E$3001,MIN('02_Eingaben'!$C$21,ROW()-1+'02_Eingaben'!$C$17))))</f>
        <v/>
      </c>
      <c r="G2997" s="27">
        <f>IF(F2997="","",F2997-'02_Eingaben'!$C$10)</f>
        <v/>
      </c>
      <c r="H2997">
        <f>IF(F2997="","",IF(F2997&lt;'02_Eingaben'!$C$18*'02_Eingaben'!$C$10,1,0))</f>
        <v/>
      </c>
      <c r="I2997" s="27">
        <f>IF(OR(G2997="",G2998=""),"",(G2997+G2998)/2*(B2998-B2997))</f>
        <v/>
      </c>
      <c r="J2997" s="27">
        <f>IF(B2997="","",IF(B2996&lt;'02_Eingaben'!$C$36,0,J2996+I2996/'02_Eingaben'!$C$8))</f>
        <v/>
      </c>
    </row>
    <row r="2998">
      <c r="A2998">
        <f>IF('01_Rohdaten'!A2998="","",ROW()-1)</f>
        <v/>
      </c>
      <c r="B2998" s="27">
        <f>IF('01_Rohdaten'!A2998="","",'01_Rohdaten'!A2998)</f>
        <v/>
      </c>
      <c r="C2998" s="27">
        <f>IF(B2998="","",INDEX('01_Rohdaten'!B2998:D2998,'02_Eingaben'!$C$13))</f>
        <v/>
      </c>
      <c r="D2998" s="27">
        <f>IF(C2998="","",C2998*'02_Eingaben'!$C$15)</f>
        <v/>
      </c>
      <c r="E2998" s="27">
        <f>IF(D2998="","",D2998*'02_Eingaben'!$C$8)</f>
        <v/>
      </c>
      <c r="F2998" s="27">
        <f>IF(E2998="","",AVERAGE(INDEX($E$2:$E$3001,MAX(1,ROW()-1-'02_Eingaben'!$C$17)):INDEX($E$2:$E$3001,MIN('02_Eingaben'!$C$21,ROW()-1+'02_Eingaben'!$C$17))))</f>
        <v/>
      </c>
      <c r="G2998" s="27">
        <f>IF(F2998="","",F2998-'02_Eingaben'!$C$10)</f>
        <v/>
      </c>
      <c r="H2998">
        <f>IF(F2998="","",IF(F2998&lt;'02_Eingaben'!$C$18*'02_Eingaben'!$C$10,1,0))</f>
        <v/>
      </c>
      <c r="I2998" s="27">
        <f>IF(OR(G2998="",G2999=""),"",(G2998+G2999)/2*(B2999-B2998))</f>
        <v/>
      </c>
      <c r="J2998" s="27">
        <f>IF(B2998="","",IF(B2997&lt;'02_Eingaben'!$C$36,0,J2997+I2997/'02_Eingaben'!$C$8))</f>
        <v/>
      </c>
    </row>
    <row r="2999">
      <c r="A2999">
        <f>IF('01_Rohdaten'!A2999="","",ROW()-1)</f>
        <v/>
      </c>
      <c r="B2999" s="27">
        <f>IF('01_Rohdaten'!A2999="","",'01_Rohdaten'!A2999)</f>
        <v/>
      </c>
      <c r="C2999" s="27">
        <f>IF(B2999="","",INDEX('01_Rohdaten'!B2999:D2999,'02_Eingaben'!$C$13))</f>
        <v/>
      </c>
      <c r="D2999" s="27">
        <f>IF(C2999="","",C2999*'02_Eingaben'!$C$15)</f>
        <v/>
      </c>
      <c r="E2999" s="27">
        <f>IF(D2999="","",D2999*'02_Eingaben'!$C$8)</f>
        <v/>
      </c>
      <c r="F2999" s="27">
        <f>IF(E2999="","",AVERAGE(INDEX($E$2:$E$3001,MAX(1,ROW()-1-'02_Eingaben'!$C$17)):INDEX($E$2:$E$3001,MIN('02_Eingaben'!$C$21,ROW()-1+'02_Eingaben'!$C$17))))</f>
        <v/>
      </c>
      <c r="G2999" s="27">
        <f>IF(F2999="","",F2999-'02_Eingaben'!$C$10)</f>
        <v/>
      </c>
      <c r="H2999">
        <f>IF(F2999="","",IF(F2999&lt;'02_Eingaben'!$C$18*'02_Eingaben'!$C$10,1,0))</f>
        <v/>
      </c>
      <c r="I2999" s="27">
        <f>IF(OR(G2999="",G3000=""),"",(G2999+G3000)/2*(B3000-B2999))</f>
        <v/>
      </c>
      <c r="J2999" s="27">
        <f>IF(B2999="","",IF(B2998&lt;'02_Eingaben'!$C$36,0,J2998+I2998/'02_Eingaben'!$C$8))</f>
        <v/>
      </c>
    </row>
    <row r="3000">
      <c r="A3000">
        <f>IF('01_Rohdaten'!A3000="","",ROW()-1)</f>
        <v/>
      </c>
      <c r="B3000" s="27">
        <f>IF('01_Rohdaten'!A3000="","",'01_Rohdaten'!A3000)</f>
        <v/>
      </c>
      <c r="C3000" s="27">
        <f>IF(B3000="","",INDEX('01_Rohdaten'!B3000:D3000,'02_Eingaben'!$C$13))</f>
        <v/>
      </c>
      <c r="D3000" s="27">
        <f>IF(C3000="","",C3000*'02_Eingaben'!$C$15)</f>
        <v/>
      </c>
      <c r="E3000" s="27">
        <f>IF(D3000="","",D3000*'02_Eingaben'!$C$8)</f>
        <v/>
      </c>
      <c r="F3000" s="27">
        <f>IF(E3000="","",AVERAGE(INDEX($E$2:$E$3001,MAX(1,ROW()-1-'02_Eingaben'!$C$17)):INDEX($E$2:$E$3001,MIN('02_Eingaben'!$C$21,ROW()-1+'02_Eingaben'!$C$17))))</f>
        <v/>
      </c>
      <c r="G3000" s="27">
        <f>IF(F3000="","",F3000-'02_Eingaben'!$C$10)</f>
        <v/>
      </c>
      <c r="H3000">
        <f>IF(F3000="","",IF(F3000&lt;'02_Eingaben'!$C$18*'02_Eingaben'!$C$10,1,0))</f>
        <v/>
      </c>
      <c r="I3000" s="27">
        <f>IF(OR(G3000="",G3001=""),"",(G3000+G3001)/2*(B3001-B3000))</f>
        <v/>
      </c>
      <c r="J3000" s="27">
        <f>IF(B3000="","",IF(B2999&lt;'02_Eingaben'!$C$36,0,J2999+I2999/'02_Eingaben'!$C$8))</f>
        <v/>
      </c>
    </row>
    <row r="3001">
      <c r="A3001">
        <f>IF('01_Rohdaten'!A3001="","",ROW()-1)</f>
        <v/>
      </c>
      <c r="B3001" s="27">
        <f>IF('01_Rohdaten'!A3001="","",'01_Rohdaten'!A3001)</f>
        <v/>
      </c>
      <c r="C3001" s="27">
        <f>IF(B3001="","",INDEX('01_Rohdaten'!B3001:D3001,'02_Eingaben'!$C$13))</f>
        <v/>
      </c>
      <c r="D3001" s="27">
        <f>IF(C3001="","",C3001*'02_Eingaben'!$C$15)</f>
        <v/>
      </c>
      <c r="E3001" s="27">
        <f>IF(D3001="","",D3001*'02_Eingaben'!$C$8)</f>
        <v/>
      </c>
      <c r="F3001" s="27">
        <f>IF(E3001="","",AVERAGE(INDEX($E$2:$E$3001,MAX(1,ROW()-1-'02_Eingaben'!$C$17)):INDEX($E$2:$E$3001,MIN('02_Eingaben'!$C$21,ROW()-1+'02_Eingaben'!$C$17))))</f>
        <v/>
      </c>
      <c r="G3001" s="27">
        <f>IF(F3001="","",F3001-'02_Eingaben'!$C$10)</f>
        <v/>
      </c>
      <c r="H3001">
        <f>IF(F3001="","",IF(F3001&lt;'02_Eingaben'!$C$18*'02_Eingaben'!$C$10,1,0))</f>
        <v/>
      </c>
      <c r="I3001" s="27">
        <f>""</f>
        <v/>
      </c>
      <c r="J3001" s="27">
        <f>IF(B3001="","",IF(B3000&lt;'02_Eingaben'!$C$36,0,J3000+I3000/'02_Eingaben'!$C$8))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E63"/>
  <sheetViews>
    <sheetView workbookViewId="0">
      <selection activeCell="A1" sqref="A1"/>
    </sheetView>
  </sheetViews>
  <sheetFormatPr baseColWidth="8" defaultRowHeight="15"/>
  <cols>
    <col width="3" customWidth="1" min="1" max="1"/>
    <col width="44" customWidth="1" min="2" max="2"/>
    <col width="16" customWidth="1" min="3" max="3"/>
    <col width="10" customWidth="1" min="4" max="4"/>
    <col width="72" customWidth="1" min="5" max="5"/>
  </cols>
  <sheetData>
    <row r="1">
      <c r="B1" s="8" t="inlineStr">
        <is>
          <t>Ergebnis: Sprunghoehe auf zwei Wegen</t>
        </is>
      </c>
    </row>
    <row r="3">
      <c r="B3" s="9" t="inlineStr">
        <is>
          <t>Methode A – Sprunghoehe aus der Flugzeit</t>
        </is>
      </c>
    </row>
    <row r="4">
      <c r="B4" t="inlineStr">
        <is>
          <t>Absprung (TakeOff)</t>
        </is>
      </c>
      <c r="C4" s="26">
        <f>'02_Eingaben'!C34</f>
        <v/>
      </c>
      <c r="D4" t="inlineStr">
        <is>
          <t>[s]</t>
        </is>
      </c>
      <c r="E4" s="11" t="inlineStr"/>
    </row>
    <row r="5">
      <c r="B5" t="inlineStr">
        <is>
          <t>Landung (TouchDown)</t>
        </is>
      </c>
      <c r="C5" s="26">
        <f>'02_Eingaben'!C35</f>
        <v/>
      </c>
      <c r="D5" t="inlineStr">
        <is>
          <t>[s]</t>
        </is>
      </c>
      <c r="E5" s="11" t="inlineStr"/>
    </row>
    <row r="6">
      <c r="B6" t="inlineStr">
        <is>
          <t>Flugzeit t_Flug</t>
        </is>
      </c>
      <c r="C6" s="26">
        <f>IF(OR(C4="",C5=""),"",C5-C4)</f>
        <v/>
      </c>
      <c r="D6" t="inlineStr">
        <is>
          <t>[s]</t>
        </is>
      </c>
      <c r="E6" s="11" t="inlineStr"/>
    </row>
    <row r="7">
      <c r="B7" t="inlineStr">
        <is>
          <t>Sprunghoehe h_A</t>
        </is>
      </c>
      <c r="C7" s="28">
        <f>IF(C6="","",'02_Eingaben'!C9*C6^2/8)</f>
        <v/>
      </c>
      <c r="D7" t="inlineStr">
        <is>
          <t>[m]</t>
        </is>
      </c>
      <c r="E7" s="11" t="inlineStr">
        <is>
          <t>h = g · t_Flug² / 8. Setzt voraus, dass die Koerperhaltung bei Absprung und Landung gleich ist.</t>
        </is>
      </c>
    </row>
    <row r="8">
      <c r="B8" t="inlineStr">
        <is>
          <t>Sprunghoehe h_A</t>
        </is>
      </c>
      <c r="C8" s="29">
        <f>IF(C7="","",C7*100)</f>
        <v/>
      </c>
      <c r="D8" t="inlineStr">
        <is>
          <t>[cm]</t>
        </is>
      </c>
      <c r="E8" s="11" t="inlineStr"/>
    </row>
    <row r="10">
      <c r="B10" s="9" t="inlineStr">
        <is>
          <t>Methode B – Sprunghoehe aus dem Nettoimpuls</t>
        </is>
      </c>
    </row>
    <row r="11">
      <c r="B11" t="inlineStr">
        <is>
          <t>Beginn der Aufsummierung</t>
        </is>
      </c>
      <c r="C11" s="26">
        <f>'02_Eingaben'!C36</f>
        <v/>
      </c>
      <c r="D11" t="inlineStr">
        <is>
          <t>[s]</t>
        </is>
      </c>
      <c r="E11" s="11" t="inlineStr"/>
    </row>
    <row r="12">
      <c r="B12" t="inlineStr">
        <is>
          <t>Nettoimpuls J (Trapezregel)</t>
        </is>
      </c>
      <c r="C12" s="26">
        <f>IF(OR(C11="",C4=""),"",SUMIFS('03_Auswertung'!I2:I3001,'03_Auswertung'!B2:B3001,"&gt;="&amp;C11,'03_Auswertung'!B2:B3001,"&lt;"&amp;C4))</f>
        <v/>
      </c>
      <c r="D12" t="inlineStr">
        <is>
          <t>[Ns]</t>
        </is>
      </c>
      <c r="E12" s="11" t="inlineStr">
        <is>
          <t>Flaeche unter der Nettokraftkurve vom Bewegungsbeginn bis zum Absprung.</t>
        </is>
      </c>
    </row>
    <row r="13">
      <c r="B13" t="inlineStr">
        <is>
          <t>Absprunggeschwindigkeit v</t>
        </is>
      </c>
      <c r="C13" s="26">
        <f>IF(C12="","",C12/'02_Eingaben'!C8)</f>
        <v/>
      </c>
      <c r="D13" t="inlineStr">
        <is>
          <t>[m/s]</t>
        </is>
      </c>
      <c r="E13" s="11" t="inlineStr">
        <is>
          <t>v = J / m</t>
        </is>
      </c>
    </row>
    <row r="14">
      <c r="B14" t="inlineStr">
        <is>
          <t>Sprunghoehe h_B</t>
        </is>
      </c>
      <c r="C14" s="28">
        <f>IF(C13="","",C13^2/(2*'02_Eingaben'!C9))</f>
        <v/>
      </c>
      <c r="D14" t="inlineStr">
        <is>
          <t>[m]</t>
        </is>
      </c>
      <c r="E14" s="11" t="inlineStr">
        <is>
          <t>h = v² / (2g)</t>
        </is>
      </c>
    </row>
    <row r="15">
      <c r="B15" t="inlineStr">
        <is>
          <t>Sprunghoehe h_B</t>
        </is>
      </c>
      <c r="C15" s="29">
        <f>IF(C14="","",C14*100)</f>
        <v/>
      </c>
      <c r="D15" t="inlineStr">
        <is>
          <t>[cm]</t>
        </is>
      </c>
      <c r="E15" s="11" t="inlineStr"/>
    </row>
    <row r="17">
      <c r="B17" s="9" t="inlineStr">
        <is>
          <t>Vergleich beider Methoden</t>
        </is>
      </c>
    </row>
    <row r="18">
      <c r="B18" t="inlineStr">
        <is>
          <t>Differenz h_B − h_A</t>
        </is>
      </c>
      <c r="C18" s="29">
        <f>IF(OR(C8="",C15=""),"",C15-C8)</f>
        <v/>
      </c>
      <c r="D18" t="inlineStr">
        <is>
          <t>[cm]</t>
        </is>
      </c>
      <c r="E18" s="11" t="inlineStr"/>
    </row>
    <row r="19">
      <c r="B19" t="inlineStr">
        <is>
          <t>relative Abweichung</t>
        </is>
      </c>
      <c r="C19" s="21">
        <f>IF(OR(C8="",C15="",C8=0),"",(C15-C8)/C8)</f>
        <v/>
      </c>
      <c r="E19" s="11" t="inlineStr">
        <is>
          <t>Abweichungen von 20 bis 40 Prozent sind bei Smartphone-Sensorik nicht ungewoehnlich. Die Aufgabe verlangt eine Begruendung, keine Uebereinstimmung.</t>
        </is>
      </c>
    </row>
    <row r="21">
      <c r="B21" s="9" t="inlineStr">
        <is>
          <t>Kontrolle der Anfangsbedingung und Gueltigkeit des Versuchs</t>
        </is>
      </c>
    </row>
    <row r="22">
      <c r="B22" s="2" t="inlineStr">
        <is>
          <t>Die Impulsmethode ist ein Anfangswertproblem: Die Aufsummierung MUSS zu einem Zeitpunkt beginnen, an dem die Person nachweislich ruht (v = 0). Ob das zutrifft, entscheiden nicht Sie, sondern die Daten. Die folgenden vier Kontrollen pruefen das – und sind zugleich die Kriterien dafuer, ob der Versuch ueberhaupt gueltig ist.</t>
        </is>
      </c>
    </row>
    <row r="23"/>
    <row r="25">
      <c r="B25" s="9" t="inlineStr">
        <is>
          <t>K1  Ruhe vor dem Start</t>
        </is>
      </c>
      <c r="C25" s="28">
        <f>IFERROR(AVERAGEIFS('03_Auswertung'!J2:J3001,'03_Auswertung'!B2:B3001,"&gt;="&amp;C11-1,'03_Auswertung'!B2:B3001,"&lt;"&amp;C11),"")</f>
        <v/>
      </c>
      <c r="D25" t="inlineStr">
        <is>
          <t>[m/s]</t>
        </is>
      </c>
      <c r="E25" s="11" t="inlineStr">
        <is>
          <t>Mittlere Geschwindigkeit in der Sekunde VOR dem gewaehlten Beginn. Muss nahe 0 liegen. Ist der Betrag groesser als etwa 0,05 m/s, ruhte die Person nicht – Beginn verschieben oder Versuch verwerfen.</t>
        </is>
      </c>
    </row>
    <row r="26">
      <c r="B26" s="9" t="inlineStr">
        <is>
          <t>K2  Rueckkehr zur Ruhe nach der Landung</t>
        </is>
      </c>
      <c r="C26" s="28">
        <f>IFERROR(AVERAGEIFS('03_Auswertung'!J2:J3001,'03_Auswertung'!B2:B3001,"&gt;="&amp;C5+0.5,'03_Auswertung'!B2:B3001,"&lt;="&amp;C5+1.5),"")</f>
        <v/>
      </c>
      <c r="D26" t="inlineStr">
        <is>
          <t>[m/s]</t>
        </is>
      </c>
      <c r="E26" s="11" t="inlineStr">
        <is>
          <t>Eine Sekunde nach der Landung muss die Geschwindigkeit wieder nahe 0 sein. Tut sie das, ist die Integration ueber den gesamten Datensatz konsistent und die Basislinie stimmt. Driftet der Wert weg, ist die Gewichtskraft falsch angesetzt.</t>
        </is>
      </c>
    </row>
    <row r="27">
      <c r="B27" s="9" t="inlineStr">
        <is>
          <t>K3  Symmetrie Absprung / Landung</t>
        </is>
      </c>
      <c r="C27" s="28">
        <f>IFERROR(LOOKUP(C5,'03_Auswertung'!B2:B3001,'03_Auswertung'!J2:J3001)+LOOKUP(C4,'03_Auswertung'!B2:B3001,'03_Auswertung'!J2:J3001),"")</f>
        <v/>
      </c>
      <c r="D27" t="inlineStr">
        <is>
          <t>[m/s]</t>
        </is>
      </c>
      <c r="E27" s="11" t="inlineStr">
        <is>
          <t>v(Landung) + v(Absprung). Physikalisch muss diese Summe 0 sein, denn der Koerper landet mit dem Betrag der Absprunggeschwindigkeit. Was hier uebrig bleibt, ist der Messfehler des Sensors – nicht der Integration. Er zeigt, wie weit sich der Sensorpunkt anders bewegt als der Koerperschwerpunkt.</t>
        </is>
      </c>
    </row>
    <row r="28">
      <c r="B28" s="9" t="inlineStr">
        <is>
          <t>K4  Tiefste Gegenbewegung</t>
        </is>
      </c>
      <c r="C28" s="28">
        <f>IFERROR(MINIFS('03_Auswertung'!J2:J3001,'03_Auswertung'!B2:B3001,"&gt;="&amp;C11,'03_Auswertung'!B2:B3001,"&lt;"&amp;C4),"")</f>
        <v/>
      </c>
      <c r="D28" t="inlineStr">
        <is>
          <t>[m/s]</t>
        </is>
      </c>
      <c r="E28" s="11" t="inlineStr">
        <is>
          <t>Kleinste (negative) Geschwindigkeit zwischen Beginn und Absprung. Beim COUNTERMOVEMENT JUMP muss dieser Wert deutlich negativ sein – das ist die Gegenbewegung. Beim SQUAT JUMP muss er nahe 0 liegen; ist er deutlich negativ, hat die Person unerlaubt ausgeholt und der Versuch ist ungueltig.</t>
        </is>
      </c>
    </row>
    <row r="30">
      <c r="B30" t="inlineStr">
        <is>
          <t>Sprungform (fuer die Auswertung von K4)</t>
        </is>
      </c>
      <c r="C30" s="10" t="inlineStr">
        <is>
          <t>CMJ</t>
        </is>
      </c>
      <c r="E30" s="7" t="inlineStr">
        <is>
          <t>CMJ = mit Gegenbewegung, SJ = aus dem statischen Halbhockstand ohne Gegenbewegung.</t>
        </is>
      </c>
    </row>
    <row r="31">
      <c r="B31" s="9" t="inlineStr">
        <is>
          <t>Urteil zu K4</t>
        </is>
      </c>
      <c r="C31" s="22">
        <f>IF(C28="","",IF(C30="CMJ",IF(C28&lt;-0.3,"gueltig: Gegenbewegung vorhanden","pruefen: kaum Gegenbewegung erkennbar"),IF(C28&gt;-0.15,"gueltig: keine Gegenbewegung","UNGUELTIG: Gegenbewegung im Squat Jump")))</f>
        <v/>
      </c>
      <c r="E31" s="11" t="inlineStr">
        <is>
          <t>Die Schwellen -0,30 m/s und -0,15 m/s sind pragmatische Startwerte fuer den Seminargebrauch und ausdruecklich zur Diskussion gestellt.</t>
        </is>
      </c>
    </row>
    <row r="33">
      <c r="B33" s="9" t="inlineStr">
        <is>
          <t>Pflichtdokumentation (Teil der Loesung)</t>
        </is>
      </c>
    </row>
    <row r="34">
      <c r="B34" t="inlineStr">
        <is>
          <t>Glaettungsfenster (Anzahl Werte)</t>
        </is>
      </c>
      <c r="C34" s="23">
        <f>'02_Eingaben'!C16</f>
        <v/>
      </c>
      <c r="E34" s="11" t="inlineStr">
        <is>
          <t>aus Blatt 02_Eingaben.</t>
        </is>
      </c>
    </row>
    <row r="35">
      <c r="B35" t="inlineStr">
        <is>
          <t>Begruendung des Fensters</t>
        </is>
      </c>
      <c r="C35" s="24" t="inlineStr">
        <is>
          <t>9 Werte bei rund 208 Hz entsprechen etwa 43 ms. Das glaettet das Sensorrauschen, laesst den Kraftanstieg beim Abdruck aber klar erkennbar. Bei 25 Werten verschieben sich Absprung- und Landezeitpunkt bereits sichtbar; die Flugzeit sinkt dann von 0,460 s auf 0,449 s.</t>
        </is>
      </c>
      <c r="E35" s="11" t="inlineStr">
        <is>
          <t>Warum dieses Fenster? Was passiert bei einem deutlich groesseren oder kleineren Fenster?</t>
        </is>
      </c>
    </row>
    <row r="36">
      <c r="B36" t="inlineStr">
        <is>
          <t>Gewaehltes Sprungintervall</t>
        </is>
      </c>
      <c r="C36" s="24" t="inlineStr">
        <is>
          <t>Aufsummiert ab t = 5.310 s bis zum Absprung bei t = 6.283 s. Der Startzeitpunkt wurde nicht geschaetzt, sondern ueber Kontrolle K1 belegt: In der Sekunde davor liegt die mittlere Geschwindigkeit bei rund 0,00 m/s, die Person ruht dort also nachweislich. Zum zweiten zulaessigen Startpunkt siehe die Begruendung der Abweichung.</t>
        </is>
      </c>
      <c r="E36" s="11" t="inlineStr">
        <is>
          <t>Von wann bis wann wurde aufsummiert und woran wurde der Beginn erkannt?</t>
        </is>
      </c>
    </row>
    <row r="37">
      <c r="B37" t="inlineStr">
        <is>
          <t>Sensorlage am Koerper</t>
        </is>
      </c>
      <c r="C37" s="24" t="inlineStr">
        <is>
          <t>Smartphone rumpfnah am Guertel fixiert, Display zum Koerper.</t>
        </is>
      </c>
      <c r="E37" s="11" t="inlineStr">
        <is>
          <t>Wo genau sass das Smartphone? Rumpfnah oder guertelnah ist deutlich guenstiger als in der Hosentasche.</t>
        </is>
      </c>
    </row>
    <row r="38">
      <c r="B38" t="inlineStr">
        <is>
          <t>Verwendetes phyphox-Experiment</t>
        </is>
      </c>
      <c r="C38" s="24" t="inlineStr">
        <is>
          <t>phyphox 'Beschleunigung mit g', Achse a_y, Rohdaten in Vielfachen von g.</t>
        </is>
      </c>
      <c r="E38" s="11" t="inlineStr">
        <is>
          <t>Muss eine Aufnahme MIT g sein.</t>
        </is>
      </c>
    </row>
    <row r="39">
      <c r="B39" t="inlineStr">
        <is>
          <t>Modellannahmen</t>
        </is>
      </c>
      <c r="C39" s="24" t="inlineStr">
        <is>
          <t>Punktmasse; der Sensorpunkt bewegt sich naeherungsweise wie der Koerperschwerpunkt; kein Luftwiderstand; die aus der Beschleunigung abgeleitete Kraft ersetzt keine Kraftmessplatte. Hinweis: Die Sprunghoehe nach Methode B haengt nicht von der eingetragenen Masse ab, weil sich die Masse in v = J/m gegen die Masse im Impuls herauskuerzt. Die Masse wird nur fuer die Anzeige des Impulses in Newtonsekunden gebraucht.</t>
        </is>
      </c>
      <c r="E39" s="11" t="inlineStr">
        <is>
          <t>Zum Beispiel: Punktmasse, starrer Koerper, Sensor bewegt sich wie der Koerperschwerpunkt, kein Luftwiderstand.</t>
        </is>
      </c>
    </row>
    <row r="40">
      <c r="B40" t="inlineStr">
        <is>
          <t>Begruendung der Abweichung</t>
        </is>
      </c>
      <c r="C40" s="24" t="inlineStr">
        <is>
          <t>Die Abweichung hat zwei klar trennbare Anteile.
1. Anfangswertanteil. Die Integration ist ein Anfangswertproblem: Sie braucht einen Zeitpunkt mit v = 0. Beim Countermovement Jump gibt es davon zwei zulaessige. Erstens den ruhigen Stand vor der Gegenbewegung (hier t = 5.31 s), zweitens den tiefsten Punkt der Gegenbewegung (hier t = 6.08 s), an dem die Geschwindigkeit ihr Vorzeichen wechselt und damit ebenfalls null ist. Beide Startpunkte sind physikalisch korrekt, liefern hier aber unterschiedliche Werte: 39.2 cm ab ruhigem Stand gegenueber 34.9 cm ab tiefstem Punkt. Die Differenz von rund 4 cm ist der ueber die lange Gegenbewegungsphase aufsummierte Messfehler. Der kuerzere Integrationsweg ist deshalb der belastbarere. Beim Squat Jump entfaellt diese Wahl: Dort gibt es nur einen Startpunkt, den statischen Halbhockstand - weshalb dort beide Methoden naeher beieinander liegen sollten. Das ist im Seminar eine gute Vorhersage zum Nachpruefen.
2. Sensoranteil. Was danach uebrig bleibt, zeigt Kontrolle K3: v(Absprung) = +2.77 m/s, v(Landung) = -2.08 m/s. Physikalisch muessten beide Betraege gleich sein. Die verbleibende Differenz von +0.70 m/s ist der Messfehler des Sensors und nicht der Integration: Ein am Rumpf getragenes Smartphone misst die Beschleunigung genau dieses Koerperpunkts, der sich waehrend Streckung und Flugphase anders bewegt als der Koerperschwerpunkt. Im Flug zeigt der Sensor im Mittel -10.41 statt -9,81 m/s2, also 6 Prozent daneben.
3. Was NICHT die Ursache ist. Kontrolle K2 belegt, dass die Geschwindigkeit eine Sekunde nach der Landung wieder bei +0.05 m/s liegt. Die Integration driftet also nicht und die Bezugslinie stimmt. Ein Basislinien- oder Rechenfehler scheidet damit aus.
Konsequenz fuer den Unterricht: Die Flugzeitmethode ist hier der belastbarere Wert. Die Impulsmethode ist fachlich reicher, weil sie Kraft, Flaeche, Geschwindigkeit und Anfangsbedingung verknuepft - sie verlangt aber, dass der Startzeitpunkt begruendet und nicht geraten wird.</t>
        </is>
      </c>
      <c r="E40" s="11" t="inlineStr">
        <is>
          <t>Signalrauschen, Glaettung, Wahl des Intervalls, Sensorlage, Abweichung Sensor zu Koerperschwerpunkt.</t>
        </is>
      </c>
    </row>
    <row r="42">
      <c r="B42" s="9" t="inlineStr">
        <is>
          <t>Fehlersuche in vier Schritten, wenn h_A und h_B weit auseinanderliegen</t>
        </is>
      </c>
    </row>
    <row r="43">
      <c r="B43" s="2" t="inlineStr">
        <is>
          <t>Arbeiten Sie die Kontrollen K1 bis K4 der Reihe nach ab. Sie trennen sauber, WELCHE Ursache vorliegt.
1.  K2 zuerst. Kehrt die Geschwindigkeit nach der Landung nicht auf nahe 0 zurueck, ist die Bezugslinie falsch: Achse, Einheit oder Koerpermasse pruefen (Blatt 02_Eingaben, Zeile 13, 14, 8) und die Ruhekraft in Zeile 25 mit der Gewichtskraft in Zeile 10 vergleichen. Solange K2 nicht stimmt, ist jede weitere Deutung sinnlos.
2.  Dann K1. Ist der Betrag groesser als etwa 0,05 m/s, ruhte die Person zum gewaehlten Startzeitpunkt nicht. Verschieben Sie den Bewegungsbeginn in einen Abschnitt, in dem K1 nahe 0 liegt. Das ist der eigentliche Kern der Aufgabe: Die Integration braucht einen Zeitpunkt mit v = 0, und dieser Zeitpunkt ist nicht frei waehlbar, sondern muss aus den Daten belegt werden.
3.  Zweiter zulaessiger Startpunkt. Beim Countermovement Jump ist die Geschwindigkeit auch am tiefsten Punkt der Gegenbewegung kurz null – dort, wo die Kurve in Spalte J von negativ nach positiv wechselt. Von dort aus zu integrieren ist physikalisch genauso richtig und benoetigt ein viel kuerzeres Fenster. Vergleichen Sie beide Startpunkte: Stimmen die Ergebnisse ueberein, ist die Integration in Ordnung.
4.  Erst jetzt K3. Was nach den Schritten 1 bis 3 an Abweichung uebrig bleibt, ist kein Rechenfehler, sondern der Messfehler des Sensors: Ein am Rumpf getragenes Smartphone misst nicht die Bodenreaktionskraft, sondern die Beschleunigung dieses einen Koerperpunkts, der sich waehrend Streckung und Flugphase anders bewegt als der Koerperschwerpunkt. K3 beziffert genau diesen Anteil.</t>
        </is>
      </c>
    </row>
    <row r="44"/>
    <row r="45"/>
    <row r="46"/>
    <row r="47"/>
    <row r="48"/>
    <row r="49"/>
    <row r="50"/>
    <row r="51"/>
    <row r="52"/>
    <row r="53"/>
    <row r="54"/>
    <row r="55"/>
    <row r="56"/>
    <row r="57"/>
    <row r="58"/>
    <row r="59"/>
    <row r="60"/>
    <row r="61"/>
    <row r="62"/>
    <row r="63"/>
  </sheetData>
  <mergeCells count="2">
    <mergeCell ref="B43:E63"/>
    <mergeCell ref="B22:E23"/>
  </mergeCells>
  <dataValidations count="1">
    <dataValidation sqref="C30" showDropDown="0" showInputMessage="0" showErrorMessage="0" allowBlank="0" type="list">
      <formula1>"CMJ,SJ"</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B50"/>
  <sheetViews>
    <sheetView workbookViewId="0">
      <selection activeCell="A1" sqref="A1"/>
    </sheetView>
  </sheetViews>
  <sheetFormatPr baseColWidth="8" defaultRowHeight="15"/>
  <cols>
    <col width="3" customWidth="1" min="1" max="1"/>
    <col width="112" customWidth="1" min="2" max="2"/>
  </cols>
  <sheetData>
    <row r="1">
      <c r="B1" s="8" t="inlineStr">
        <is>
          <t>Grafische Auswertung</t>
        </is>
      </c>
    </row>
    <row r="2">
      <c r="B2" s="2" t="inlineStr">
        <is>
          <t>Die beiden Diagramme rechnen automatisch mit, sobald auf Blatt 01_Rohdaten Daten stehen. Sie sind Teil der Loesung und gehoeren in die Abgabe. Beide beziehen sich auf dieselbe Zeitachse, lassen sich also unmittelbar uebereinander lesen.</t>
        </is>
      </c>
    </row>
    <row r="3"/>
    <row r="5">
      <c r="B5" s="9" t="inlineStr">
        <is>
          <t>Diagramm 1 – Kraft-Zeit-Verlauf</t>
        </is>
      </c>
    </row>
    <row r="6">
      <c r="B6" s="2" t="inlineStr">
        <is>
          <t>Zu erkennen sind: die waagerechte Ruhephase auf Hoehe der Gewichtskraft, das Absinken waehrend der Entlastung, der steile Anstieg beim Abdruck, der Einbruch gegen null waehrend der Flugphase und der Landungsstoss. Tragen Sie in Ihrer Abgabe ein, wo Sie Absprung und Landung ablesen.</t>
        </is>
      </c>
    </row>
    <row r="7"/>
    <row r="24">
      <c r="B24" s="9" t="inlineStr">
        <is>
          <t>Diagramm 2 – Geschwindigkeitsverlauf</t>
        </is>
      </c>
    </row>
    <row r="25">
      <c r="B25" s="2" t="inlineStr">
        <is>
          <t>Dies ist die aufsummierte Geschwindigkeit ab dem gewaehlten Bewegungsbeginn. Hier lassen sich die Kontrollen K1 bis K4 unmittelbar ablesen: Die Kurve muss vor dem Start bei null liegen, beim Countermovement Jump ins Negative gehen (Gegenbewegung), am Absprung ihr Maximum erreichen und nach der Landung wieder auf null zurueckkehren. Beim Squat Jump darf es keinen negativen Abschnitt geben.</t>
        </is>
      </c>
    </row>
    <row r="26"/>
    <row r="27"/>
    <row r="47">
      <c r="B47" s="9" t="inlineStr">
        <is>
          <t>Hinweis zur Achsenskalierung</t>
        </is>
      </c>
    </row>
    <row r="48">
      <c r="B48" s="2" t="inlineStr">
        <is>
          <t>Bei langen Aufnahmen ist der Sprung im Gesamtbild klein. Zum genauen Ablesen den Zeitbereich im Diagramm eingrenzen: Rechtsklick auf die Rubrikenachse, dann Achse formatieren und den Bereich auf wenige Sekunden um den Sprung herum begrenzen. Alternativ auf Blatt 01_Rohdaten nur den interessierenden Ausschnitt einfuegen.</t>
        </is>
      </c>
    </row>
    <row r="49"/>
    <row r="50"/>
  </sheetData>
  <mergeCells count="4">
    <mergeCell ref="B48:B50"/>
    <mergeCell ref="B6:B7"/>
    <mergeCell ref="B25:B27"/>
    <mergeCell ref="B2:B3"/>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2026-08-29T10:38:29Z</dcterms:created>
  <dcterms:modified xmlns:dcterms="http://purl.org/dc/terms/" xmlns:xsi="http://www.w3.org/2001/XMLSchema-instance" xsi:type="dcterms:W3CDTF">2026-08-29T10:38:31Z</dcterms:modified>
</cp:coreProperties>
</file>