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ommy\.codex\visualizations\2026\09\22\01a0c99e-df77-71f1-a94d-223b40e20ae5\outputs\01a0c99e-df77-71f1-a94d-223b40e20ae5\"/>
    </mc:Choice>
  </mc:AlternateContent>
  <xr:revisionPtr revIDLastSave="0" documentId="13_ncr:1_{F3D825F2-8630-4A65-8888-AC6BCA4B887E}" xr6:coauthVersionLast="47" xr6:coauthVersionMax="47" xr10:uidLastSave="{00000000-0000-0000-0000-000000000000}"/>
  <bookViews>
    <workbookView xWindow="3510" yWindow="3510" windowWidth="21600" windowHeight="11295" xr2:uid="{00000000-000D-0000-FFFF-FFFF00000000}"/>
  </bookViews>
  <sheets>
    <sheet name="00_Anleitung" sheetId="1" r:id="rId1"/>
    <sheet name="01_Rohdaten" sheetId="2" r:id="rId2"/>
    <sheet name="02_Eingaben" sheetId="3" r:id="rId3"/>
    <sheet name="03_Auswertung" sheetId="4" r:id="rId4"/>
    <sheet name="04_Ergebnis" sheetId="5" r:id="rId5"/>
    <sheet name="05_Diagramm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5" l="1"/>
  <c r="I3001" i="4"/>
  <c r="B3001" i="4"/>
  <c r="A3001" i="4"/>
  <c r="B3000" i="4"/>
  <c r="A3000" i="4"/>
  <c r="B2999" i="4"/>
  <c r="A2999" i="4"/>
  <c r="B2998" i="4"/>
  <c r="A2998" i="4"/>
  <c r="B2997" i="4"/>
  <c r="A2997" i="4"/>
  <c r="B2996" i="4"/>
  <c r="A2996" i="4"/>
  <c r="B2995" i="4"/>
  <c r="A2995" i="4"/>
  <c r="B2994" i="4"/>
  <c r="A2994" i="4"/>
  <c r="B2993" i="4"/>
  <c r="A2993" i="4"/>
  <c r="B2992" i="4"/>
  <c r="A2992" i="4"/>
  <c r="B2991" i="4"/>
  <c r="A2991" i="4"/>
  <c r="B2990" i="4"/>
  <c r="A2990" i="4"/>
  <c r="B2989" i="4"/>
  <c r="A2989" i="4"/>
  <c r="B2988" i="4"/>
  <c r="A2988" i="4"/>
  <c r="B2987" i="4"/>
  <c r="A2987" i="4"/>
  <c r="B2986" i="4"/>
  <c r="A2986" i="4"/>
  <c r="B2985" i="4"/>
  <c r="A2985" i="4"/>
  <c r="B2984" i="4"/>
  <c r="A2984" i="4"/>
  <c r="B2983" i="4"/>
  <c r="A2983" i="4"/>
  <c r="B2982" i="4"/>
  <c r="A2982" i="4"/>
  <c r="B2981" i="4"/>
  <c r="A2981" i="4"/>
  <c r="B2980" i="4"/>
  <c r="A2980" i="4"/>
  <c r="B2979" i="4"/>
  <c r="A2979" i="4"/>
  <c r="B2978" i="4"/>
  <c r="A2978" i="4"/>
  <c r="B2977" i="4"/>
  <c r="A2977" i="4"/>
  <c r="B2976" i="4"/>
  <c r="A2976" i="4"/>
  <c r="B2975" i="4"/>
  <c r="A2975" i="4"/>
  <c r="B2974" i="4"/>
  <c r="A2974" i="4"/>
  <c r="B2973" i="4"/>
  <c r="A2973" i="4"/>
  <c r="B2972" i="4"/>
  <c r="A2972" i="4"/>
  <c r="B2971" i="4"/>
  <c r="A2971" i="4"/>
  <c r="B2970" i="4"/>
  <c r="A2970" i="4"/>
  <c r="B2969" i="4"/>
  <c r="A2969" i="4"/>
  <c r="B2968" i="4"/>
  <c r="A2968" i="4"/>
  <c r="B2967" i="4"/>
  <c r="A2967" i="4"/>
  <c r="B2966" i="4"/>
  <c r="A2966" i="4"/>
  <c r="B2965" i="4"/>
  <c r="A2965" i="4"/>
  <c r="B2964" i="4"/>
  <c r="A2964" i="4"/>
  <c r="B2963" i="4"/>
  <c r="A2963" i="4"/>
  <c r="B2962" i="4"/>
  <c r="A2962" i="4"/>
  <c r="B2961" i="4"/>
  <c r="A2961" i="4"/>
  <c r="B2960" i="4"/>
  <c r="A2960" i="4"/>
  <c r="B2959" i="4"/>
  <c r="A2959" i="4"/>
  <c r="B2958" i="4"/>
  <c r="A2958" i="4"/>
  <c r="B2957" i="4"/>
  <c r="A2957" i="4"/>
  <c r="B2956" i="4"/>
  <c r="A2956" i="4"/>
  <c r="B2955" i="4"/>
  <c r="A2955" i="4"/>
  <c r="B2954" i="4"/>
  <c r="A2954" i="4"/>
  <c r="B2953" i="4"/>
  <c r="A2953" i="4"/>
  <c r="B2952" i="4"/>
  <c r="A2952" i="4"/>
  <c r="B2951" i="4"/>
  <c r="A2951" i="4"/>
  <c r="B2950" i="4"/>
  <c r="A2950" i="4"/>
  <c r="B2949" i="4"/>
  <c r="A2949" i="4"/>
  <c r="B2948" i="4"/>
  <c r="A2948" i="4"/>
  <c r="B2947" i="4"/>
  <c r="A2947" i="4"/>
  <c r="B2946" i="4"/>
  <c r="A2946" i="4"/>
  <c r="B2945" i="4"/>
  <c r="A2945" i="4"/>
  <c r="B2944" i="4"/>
  <c r="A2944" i="4"/>
  <c r="B2943" i="4"/>
  <c r="A2943" i="4"/>
  <c r="B2942" i="4"/>
  <c r="A2942" i="4"/>
  <c r="B2941" i="4"/>
  <c r="A2941" i="4"/>
  <c r="B2940" i="4"/>
  <c r="A2940" i="4"/>
  <c r="B2939" i="4"/>
  <c r="A2939" i="4"/>
  <c r="B2938" i="4"/>
  <c r="A2938" i="4"/>
  <c r="B2937" i="4"/>
  <c r="A2937" i="4"/>
  <c r="B2936" i="4"/>
  <c r="A2936" i="4"/>
  <c r="B2935" i="4"/>
  <c r="A2935" i="4"/>
  <c r="B2934" i="4"/>
  <c r="A2934" i="4"/>
  <c r="B2933" i="4"/>
  <c r="A2933" i="4"/>
  <c r="B2932" i="4"/>
  <c r="A2932" i="4"/>
  <c r="B2931" i="4"/>
  <c r="A2931" i="4"/>
  <c r="B2930" i="4"/>
  <c r="A2930" i="4"/>
  <c r="B2929" i="4"/>
  <c r="A2929" i="4"/>
  <c r="B2928" i="4"/>
  <c r="A2928" i="4"/>
  <c r="B2927" i="4"/>
  <c r="A2927" i="4"/>
  <c r="B2926" i="4"/>
  <c r="A2926" i="4"/>
  <c r="B2925" i="4"/>
  <c r="A2925" i="4"/>
  <c r="B2924" i="4"/>
  <c r="A2924" i="4"/>
  <c r="B2923" i="4"/>
  <c r="A2923" i="4"/>
  <c r="B2922" i="4"/>
  <c r="A2922" i="4"/>
  <c r="B2921" i="4"/>
  <c r="A2921" i="4"/>
  <c r="B2920" i="4"/>
  <c r="A2920" i="4"/>
  <c r="B2919" i="4"/>
  <c r="A2919" i="4"/>
  <c r="B2918" i="4"/>
  <c r="A2918" i="4"/>
  <c r="B2917" i="4"/>
  <c r="A2917" i="4"/>
  <c r="B2916" i="4"/>
  <c r="A2916" i="4"/>
  <c r="B2915" i="4"/>
  <c r="A2915" i="4"/>
  <c r="B2914" i="4"/>
  <c r="A2914" i="4"/>
  <c r="B2913" i="4"/>
  <c r="A2913" i="4"/>
  <c r="B2912" i="4"/>
  <c r="A2912" i="4"/>
  <c r="B2911" i="4"/>
  <c r="A2911" i="4"/>
  <c r="B2910" i="4"/>
  <c r="A2910" i="4"/>
  <c r="B2909" i="4"/>
  <c r="A2909" i="4"/>
  <c r="B2908" i="4"/>
  <c r="A2908" i="4"/>
  <c r="B2907" i="4"/>
  <c r="A2907" i="4"/>
  <c r="B2906" i="4"/>
  <c r="A2906" i="4"/>
  <c r="B2905" i="4"/>
  <c r="A2905" i="4"/>
  <c r="B2904" i="4"/>
  <c r="A2904" i="4"/>
  <c r="B2903" i="4"/>
  <c r="A2903" i="4"/>
  <c r="B2902" i="4"/>
  <c r="A2902" i="4"/>
  <c r="B2901" i="4"/>
  <c r="A2901" i="4"/>
  <c r="B2900" i="4"/>
  <c r="A2900" i="4"/>
  <c r="B2899" i="4"/>
  <c r="A2899" i="4"/>
  <c r="B2898" i="4"/>
  <c r="A2898" i="4"/>
  <c r="B2897" i="4"/>
  <c r="A2897" i="4"/>
  <c r="B2896" i="4"/>
  <c r="A2896" i="4"/>
  <c r="B2895" i="4"/>
  <c r="A2895" i="4"/>
  <c r="B2894" i="4"/>
  <c r="A2894" i="4"/>
  <c r="B2893" i="4"/>
  <c r="A2893" i="4"/>
  <c r="B2892" i="4"/>
  <c r="A2892" i="4"/>
  <c r="B2891" i="4"/>
  <c r="A2891" i="4"/>
  <c r="B2890" i="4"/>
  <c r="A2890" i="4"/>
  <c r="B2889" i="4"/>
  <c r="A2889" i="4"/>
  <c r="B2888" i="4"/>
  <c r="A2888" i="4"/>
  <c r="B2887" i="4"/>
  <c r="A2887" i="4"/>
  <c r="B2886" i="4"/>
  <c r="A2886" i="4"/>
  <c r="B2885" i="4"/>
  <c r="A2885" i="4"/>
  <c r="B2884" i="4"/>
  <c r="A2884" i="4"/>
  <c r="B2883" i="4"/>
  <c r="A2883" i="4"/>
  <c r="B2882" i="4"/>
  <c r="A2882" i="4"/>
  <c r="B2881" i="4"/>
  <c r="A2881" i="4"/>
  <c r="B2880" i="4"/>
  <c r="A2880" i="4"/>
  <c r="B2879" i="4"/>
  <c r="A2879" i="4"/>
  <c r="B2878" i="4"/>
  <c r="A2878" i="4"/>
  <c r="B2877" i="4"/>
  <c r="A2877" i="4"/>
  <c r="B2876" i="4"/>
  <c r="A2876" i="4"/>
  <c r="B2875" i="4"/>
  <c r="A2875" i="4"/>
  <c r="B2874" i="4"/>
  <c r="A2874" i="4"/>
  <c r="B2873" i="4"/>
  <c r="A2873" i="4"/>
  <c r="B2872" i="4"/>
  <c r="A2872" i="4"/>
  <c r="B2871" i="4"/>
  <c r="A2871" i="4"/>
  <c r="B2870" i="4"/>
  <c r="A2870" i="4"/>
  <c r="B2869" i="4"/>
  <c r="A2869" i="4"/>
  <c r="B2868" i="4"/>
  <c r="A2868" i="4"/>
  <c r="B2867" i="4"/>
  <c r="A2867" i="4"/>
  <c r="B2866" i="4"/>
  <c r="A2866" i="4"/>
  <c r="B2865" i="4"/>
  <c r="A2865" i="4"/>
  <c r="B2864" i="4"/>
  <c r="A2864" i="4"/>
  <c r="B2863" i="4"/>
  <c r="A2863" i="4"/>
  <c r="B2862" i="4"/>
  <c r="A2862" i="4"/>
  <c r="B2861" i="4"/>
  <c r="A2861" i="4"/>
  <c r="B2860" i="4"/>
  <c r="A2860" i="4"/>
  <c r="B2859" i="4"/>
  <c r="A2859" i="4"/>
  <c r="B2858" i="4"/>
  <c r="A2858" i="4"/>
  <c r="B2857" i="4"/>
  <c r="A2857" i="4"/>
  <c r="B2856" i="4"/>
  <c r="A2856" i="4"/>
  <c r="B2855" i="4"/>
  <c r="A2855" i="4"/>
  <c r="B2854" i="4"/>
  <c r="A2854" i="4"/>
  <c r="B2853" i="4"/>
  <c r="A2853" i="4"/>
  <c r="B2852" i="4"/>
  <c r="A2852" i="4"/>
  <c r="B2851" i="4"/>
  <c r="A2851" i="4"/>
  <c r="B2850" i="4"/>
  <c r="A2850" i="4"/>
  <c r="B2849" i="4"/>
  <c r="A2849" i="4"/>
  <c r="B2848" i="4"/>
  <c r="A2848" i="4"/>
  <c r="B2847" i="4"/>
  <c r="A2847" i="4"/>
  <c r="B2846" i="4"/>
  <c r="A2846" i="4"/>
  <c r="B2845" i="4"/>
  <c r="A2845" i="4"/>
  <c r="B2844" i="4"/>
  <c r="A2844" i="4"/>
  <c r="B2843" i="4"/>
  <c r="A2843" i="4"/>
  <c r="B2842" i="4"/>
  <c r="A2842" i="4"/>
  <c r="B2841" i="4"/>
  <c r="A2841" i="4"/>
  <c r="B2840" i="4"/>
  <c r="A2840" i="4"/>
  <c r="B2839" i="4"/>
  <c r="A2839" i="4"/>
  <c r="B2838" i="4"/>
  <c r="A2838" i="4"/>
  <c r="B2837" i="4"/>
  <c r="A2837" i="4"/>
  <c r="B2836" i="4"/>
  <c r="A2836" i="4"/>
  <c r="B2835" i="4"/>
  <c r="A2835" i="4"/>
  <c r="B2834" i="4"/>
  <c r="A2834" i="4"/>
  <c r="B2833" i="4"/>
  <c r="A2833" i="4"/>
  <c r="B2832" i="4"/>
  <c r="A2832" i="4"/>
  <c r="B2831" i="4"/>
  <c r="A2831" i="4"/>
  <c r="B2830" i="4"/>
  <c r="A2830" i="4"/>
  <c r="B2829" i="4"/>
  <c r="A2829" i="4"/>
  <c r="B2828" i="4"/>
  <c r="A2828" i="4"/>
  <c r="B2827" i="4"/>
  <c r="A2827" i="4"/>
  <c r="B2826" i="4"/>
  <c r="A2826" i="4"/>
  <c r="B2825" i="4"/>
  <c r="A2825" i="4"/>
  <c r="B2824" i="4"/>
  <c r="A2824" i="4"/>
  <c r="B2823" i="4"/>
  <c r="A2823" i="4"/>
  <c r="B2822" i="4"/>
  <c r="A2822" i="4"/>
  <c r="B2821" i="4"/>
  <c r="A2821" i="4"/>
  <c r="B2820" i="4"/>
  <c r="A2820" i="4"/>
  <c r="B2819" i="4"/>
  <c r="A2819" i="4"/>
  <c r="B2818" i="4"/>
  <c r="A2818" i="4"/>
  <c r="B2817" i="4"/>
  <c r="A2817" i="4"/>
  <c r="B2816" i="4"/>
  <c r="A2816" i="4"/>
  <c r="B2815" i="4"/>
  <c r="A2815" i="4"/>
  <c r="B2814" i="4"/>
  <c r="A2814" i="4"/>
  <c r="B2813" i="4"/>
  <c r="A2813" i="4"/>
  <c r="B2812" i="4"/>
  <c r="A2812" i="4"/>
  <c r="B2811" i="4"/>
  <c r="A2811" i="4"/>
  <c r="B2810" i="4"/>
  <c r="A2810" i="4"/>
  <c r="B2809" i="4"/>
  <c r="A2809" i="4"/>
  <c r="B2808" i="4"/>
  <c r="A2808" i="4"/>
  <c r="B2807" i="4"/>
  <c r="A2807" i="4"/>
  <c r="B2806" i="4"/>
  <c r="A2806" i="4"/>
  <c r="B2805" i="4"/>
  <c r="A2805" i="4"/>
  <c r="B2804" i="4"/>
  <c r="A2804" i="4"/>
  <c r="B2803" i="4"/>
  <c r="A2803" i="4"/>
  <c r="B2802" i="4"/>
  <c r="A2802" i="4"/>
  <c r="B2801" i="4"/>
  <c r="A2801" i="4"/>
  <c r="B2800" i="4"/>
  <c r="A2800" i="4"/>
  <c r="B2799" i="4"/>
  <c r="A2799" i="4"/>
  <c r="B2798" i="4"/>
  <c r="A2798" i="4"/>
  <c r="B2797" i="4"/>
  <c r="A2797" i="4"/>
  <c r="B2796" i="4"/>
  <c r="A2796" i="4"/>
  <c r="B2795" i="4"/>
  <c r="A2795" i="4"/>
  <c r="B2794" i="4"/>
  <c r="A2794" i="4"/>
  <c r="B2793" i="4"/>
  <c r="A2793" i="4"/>
  <c r="B2792" i="4"/>
  <c r="A2792" i="4"/>
  <c r="B2791" i="4"/>
  <c r="A2791" i="4"/>
  <c r="B2790" i="4"/>
  <c r="A2790" i="4"/>
  <c r="B2789" i="4"/>
  <c r="A2789" i="4"/>
  <c r="B2788" i="4"/>
  <c r="A2788" i="4"/>
  <c r="B2787" i="4"/>
  <c r="A2787" i="4"/>
  <c r="B2786" i="4"/>
  <c r="A2786" i="4"/>
  <c r="B2785" i="4"/>
  <c r="A2785" i="4"/>
  <c r="B2784" i="4"/>
  <c r="A2784" i="4"/>
  <c r="B2783" i="4"/>
  <c r="A2783" i="4"/>
  <c r="B2782" i="4"/>
  <c r="A2782" i="4"/>
  <c r="B2781" i="4"/>
  <c r="A2781" i="4"/>
  <c r="B2780" i="4"/>
  <c r="A2780" i="4"/>
  <c r="B2779" i="4"/>
  <c r="A2779" i="4"/>
  <c r="B2778" i="4"/>
  <c r="A2778" i="4"/>
  <c r="B2777" i="4"/>
  <c r="A2777" i="4"/>
  <c r="B2776" i="4"/>
  <c r="A2776" i="4"/>
  <c r="B2775" i="4"/>
  <c r="A2775" i="4"/>
  <c r="B2774" i="4"/>
  <c r="A2774" i="4"/>
  <c r="B2773" i="4"/>
  <c r="A2773" i="4"/>
  <c r="B2772" i="4"/>
  <c r="A2772" i="4"/>
  <c r="B2771" i="4"/>
  <c r="A2771" i="4"/>
  <c r="B2770" i="4"/>
  <c r="A2770" i="4"/>
  <c r="B2769" i="4"/>
  <c r="A2769" i="4"/>
  <c r="B2768" i="4"/>
  <c r="A2768" i="4"/>
  <c r="B2767" i="4"/>
  <c r="A2767" i="4"/>
  <c r="B2766" i="4"/>
  <c r="A2766" i="4"/>
  <c r="B2765" i="4"/>
  <c r="A2765" i="4"/>
  <c r="B2764" i="4"/>
  <c r="A2764" i="4"/>
  <c r="B2763" i="4"/>
  <c r="A2763" i="4"/>
  <c r="B2762" i="4"/>
  <c r="A2762" i="4"/>
  <c r="B2761" i="4"/>
  <c r="A2761" i="4"/>
  <c r="B2760" i="4"/>
  <c r="A2760" i="4"/>
  <c r="B2759" i="4"/>
  <c r="A2759" i="4"/>
  <c r="B2758" i="4"/>
  <c r="A2758" i="4"/>
  <c r="B2757" i="4"/>
  <c r="A2757" i="4"/>
  <c r="B2756" i="4"/>
  <c r="A2756" i="4"/>
  <c r="B2755" i="4"/>
  <c r="A2755" i="4"/>
  <c r="B2754" i="4"/>
  <c r="A2754" i="4"/>
  <c r="B2753" i="4"/>
  <c r="A2753" i="4"/>
  <c r="B2752" i="4"/>
  <c r="A2752" i="4"/>
  <c r="B2751" i="4"/>
  <c r="A2751" i="4"/>
  <c r="B2750" i="4"/>
  <c r="A2750" i="4"/>
  <c r="B2749" i="4"/>
  <c r="A2749" i="4"/>
  <c r="B2748" i="4"/>
  <c r="A2748" i="4"/>
  <c r="B2747" i="4"/>
  <c r="A2747" i="4"/>
  <c r="B2746" i="4"/>
  <c r="A2746" i="4"/>
  <c r="B2745" i="4"/>
  <c r="A2745" i="4"/>
  <c r="B2744" i="4"/>
  <c r="A2744" i="4"/>
  <c r="B2743" i="4"/>
  <c r="A2743" i="4"/>
  <c r="B2742" i="4"/>
  <c r="A2742" i="4"/>
  <c r="B2741" i="4"/>
  <c r="A2741" i="4"/>
  <c r="B2740" i="4"/>
  <c r="A2740" i="4"/>
  <c r="B2739" i="4"/>
  <c r="A2739" i="4"/>
  <c r="B2738" i="4"/>
  <c r="A2738" i="4"/>
  <c r="B2737" i="4"/>
  <c r="A2737" i="4"/>
  <c r="B2736" i="4"/>
  <c r="A2736" i="4"/>
  <c r="B2735" i="4"/>
  <c r="A2735" i="4"/>
  <c r="B2734" i="4"/>
  <c r="A2734" i="4"/>
  <c r="B2733" i="4"/>
  <c r="A2733" i="4"/>
  <c r="B2732" i="4"/>
  <c r="A2732" i="4"/>
  <c r="B2731" i="4"/>
  <c r="A2731" i="4"/>
  <c r="B2730" i="4"/>
  <c r="A2730" i="4"/>
  <c r="B2729" i="4"/>
  <c r="A2729" i="4"/>
  <c r="B2728" i="4"/>
  <c r="A2728" i="4"/>
  <c r="B2727" i="4"/>
  <c r="A2727" i="4"/>
  <c r="B2726" i="4"/>
  <c r="A2726" i="4"/>
  <c r="B2725" i="4"/>
  <c r="A2725" i="4"/>
  <c r="B2724" i="4"/>
  <c r="A2724" i="4"/>
  <c r="B2723" i="4"/>
  <c r="A2723" i="4"/>
  <c r="B2722" i="4"/>
  <c r="A2722" i="4"/>
  <c r="B2721" i="4"/>
  <c r="A2721" i="4"/>
  <c r="B2720" i="4"/>
  <c r="A2720" i="4"/>
  <c r="B2719" i="4"/>
  <c r="A2719" i="4"/>
  <c r="B2718" i="4"/>
  <c r="A2718" i="4"/>
  <c r="B2717" i="4"/>
  <c r="A2717" i="4"/>
  <c r="B2716" i="4"/>
  <c r="A2716" i="4"/>
  <c r="B2715" i="4"/>
  <c r="A2715" i="4"/>
  <c r="B2714" i="4"/>
  <c r="A2714" i="4"/>
  <c r="B2713" i="4"/>
  <c r="A2713" i="4"/>
  <c r="B2712" i="4"/>
  <c r="A2712" i="4"/>
  <c r="B2711" i="4"/>
  <c r="A2711" i="4"/>
  <c r="B2710" i="4"/>
  <c r="A2710" i="4"/>
  <c r="B2709" i="4"/>
  <c r="A2709" i="4"/>
  <c r="B2708" i="4"/>
  <c r="A2708" i="4"/>
  <c r="B2707" i="4"/>
  <c r="A2707" i="4"/>
  <c r="B2706" i="4"/>
  <c r="A2706" i="4"/>
  <c r="B2705" i="4"/>
  <c r="A2705" i="4"/>
  <c r="B2704" i="4"/>
  <c r="A2704" i="4"/>
  <c r="B2703" i="4"/>
  <c r="A2703" i="4"/>
  <c r="B2702" i="4"/>
  <c r="A2702" i="4"/>
  <c r="B2701" i="4"/>
  <c r="A2701" i="4"/>
  <c r="B2700" i="4"/>
  <c r="A2700" i="4"/>
  <c r="B2699" i="4"/>
  <c r="A2699" i="4"/>
  <c r="B2698" i="4"/>
  <c r="A2698" i="4"/>
  <c r="B2697" i="4"/>
  <c r="A2697" i="4"/>
  <c r="B2696" i="4"/>
  <c r="A2696" i="4"/>
  <c r="B2695" i="4"/>
  <c r="A2695" i="4"/>
  <c r="B2694" i="4"/>
  <c r="A2694" i="4"/>
  <c r="B2693" i="4"/>
  <c r="A2693" i="4"/>
  <c r="B2692" i="4"/>
  <c r="A2692" i="4"/>
  <c r="B2691" i="4"/>
  <c r="A2691" i="4"/>
  <c r="B2690" i="4"/>
  <c r="A2690" i="4"/>
  <c r="B2689" i="4"/>
  <c r="A2689" i="4"/>
  <c r="B2688" i="4"/>
  <c r="A2688" i="4"/>
  <c r="B2687" i="4"/>
  <c r="A2687" i="4"/>
  <c r="B2686" i="4"/>
  <c r="A2686" i="4"/>
  <c r="B2685" i="4"/>
  <c r="A2685" i="4"/>
  <c r="B2684" i="4"/>
  <c r="A2684" i="4"/>
  <c r="B2683" i="4"/>
  <c r="A2683" i="4"/>
  <c r="B2682" i="4"/>
  <c r="A2682" i="4"/>
  <c r="B2681" i="4"/>
  <c r="A2681" i="4"/>
  <c r="B2680" i="4"/>
  <c r="A2680" i="4"/>
  <c r="B2679" i="4"/>
  <c r="A2679" i="4"/>
  <c r="B2678" i="4"/>
  <c r="A2678" i="4"/>
  <c r="B2677" i="4"/>
  <c r="A2677" i="4"/>
  <c r="B2676" i="4"/>
  <c r="A2676" i="4"/>
  <c r="B2675" i="4"/>
  <c r="A2675" i="4"/>
  <c r="B2674" i="4"/>
  <c r="A2674" i="4"/>
  <c r="B2673" i="4"/>
  <c r="A2673" i="4"/>
  <c r="B2672" i="4"/>
  <c r="A2672" i="4"/>
  <c r="B2671" i="4"/>
  <c r="A2671" i="4"/>
  <c r="B2670" i="4"/>
  <c r="A2670" i="4"/>
  <c r="B2669" i="4"/>
  <c r="A2669" i="4"/>
  <c r="B2668" i="4"/>
  <c r="A2668" i="4"/>
  <c r="B2667" i="4"/>
  <c r="A2667" i="4"/>
  <c r="B2666" i="4"/>
  <c r="A2666" i="4"/>
  <c r="B2665" i="4"/>
  <c r="A2665" i="4"/>
  <c r="B2664" i="4"/>
  <c r="A2664" i="4"/>
  <c r="B2663" i="4"/>
  <c r="A2663" i="4"/>
  <c r="B2662" i="4"/>
  <c r="A2662" i="4"/>
  <c r="B2661" i="4"/>
  <c r="A2661" i="4"/>
  <c r="B2660" i="4"/>
  <c r="A2660" i="4"/>
  <c r="B2659" i="4"/>
  <c r="A2659" i="4"/>
  <c r="B2658" i="4"/>
  <c r="A2658" i="4"/>
  <c r="B2657" i="4"/>
  <c r="A2657" i="4"/>
  <c r="B2656" i="4"/>
  <c r="A2656" i="4"/>
  <c r="B2655" i="4"/>
  <c r="A2655" i="4"/>
  <c r="B2654" i="4"/>
  <c r="A2654" i="4"/>
  <c r="B2653" i="4"/>
  <c r="A2653" i="4"/>
  <c r="B2652" i="4"/>
  <c r="A2652" i="4"/>
  <c r="B2651" i="4"/>
  <c r="A2651" i="4"/>
  <c r="B2650" i="4"/>
  <c r="A2650" i="4"/>
  <c r="B2649" i="4"/>
  <c r="A2649" i="4"/>
  <c r="B2648" i="4"/>
  <c r="A2648" i="4"/>
  <c r="B2647" i="4"/>
  <c r="A2647" i="4"/>
  <c r="B2646" i="4"/>
  <c r="A2646" i="4"/>
  <c r="B2645" i="4"/>
  <c r="A2645" i="4"/>
  <c r="B2644" i="4"/>
  <c r="A2644" i="4"/>
  <c r="B2643" i="4"/>
  <c r="A2643" i="4"/>
  <c r="B2642" i="4"/>
  <c r="A2642" i="4"/>
  <c r="B2641" i="4"/>
  <c r="A2641" i="4"/>
  <c r="B2640" i="4"/>
  <c r="A2640" i="4"/>
  <c r="B2639" i="4"/>
  <c r="A2639" i="4"/>
  <c r="B2638" i="4"/>
  <c r="A2638" i="4"/>
  <c r="B2637" i="4"/>
  <c r="A2637" i="4"/>
  <c r="B2636" i="4"/>
  <c r="A2636" i="4"/>
  <c r="B2635" i="4"/>
  <c r="A2635" i="4"/>
  <c r="B2634" i="4"/>
  <c r="A2634" i="4"/>
  <c r="B2633" i="4"/>
  <c r="A2633" i="4"/>
  <c r="B2632" i="4"/>
  <c r="A2632" i="4"/>
  <c r="B2631" i="4"/>
  <c r="A2631" i="4"/>
  <c r="B2630" i="4"/>
  <c r="A2630" i="4"/>
  <c r="B2629" i="4"/>
  <c r="A2629" i="4"/>
  <c r="B2628" i="4"/>
  <c r="A2628" i="4"/>
  <c r="B2627" i="4"/>
  <c r="A2627" i="4"/>
  <c r="B2626" i="4"/>
  <c r="A2626" i="4"/>
  <c r="B2625" i="4"/>
  <c r="A2625" i="4"/>
  <c r="B2624" i="4"/>
  <c r="A2624" i="4"/>
  <c r="B2623" i="4"/>
  <c r="A2623" i="4"/>
  <c r="B2622" i="4"/>
  <c r="A2622" i="4"/>
  <c r="B2621" i="4"/>
  <c r="A2621" i="4"/>
  <c r="B2620" i="4"/>
  <c r="A2620" i="4"/>
  <c r="B2619" i="4"/>
  <c r="A2619" i="4"/>
  <c r="B2618" i="4"/>
  <c r="A2618" i="4"/>
  <c r="B2617" i="4"/>
  <c r="A2617" i="4"/>
  <c r="B2616" i="4"/>
  <c r="A2616" i="4"/>
  <c r="B2615" i="4"/>
  <c r="A2615" i="4"/>
  <c r="B2614" i="4"/>
  <c r="A2614" i="4"/>
  <c r="B2613" i="4"/>
  <c r="A2613" i="4"/>
  <c r="B2612" i="4"/>
  <c r="A2612" i="4"/>
  <c r="B2611" i="4"/>
  <c r="A2611" i="4"/>
  <c r="B2610" i="4"/>
  <c r="A2610" i="4"/>
  <c r="B2609" i="4"/>
  <c r="A2609" i="4"/>
  <c r="B2608" i="4"/>
  <c r="A2608" i="4"/>
  <c r="B2607" i="4"/>
  <c r="A2607" i="4"/>
  <c r="B2606" i="4"/>
  <c r="A2606" i="4"/>
  <c r="B2605" i="4"/>
  <c r="A2605" i="4"/>
  <c r="B2604" i="4"/>
  <c r="A2604" i="4"/>
  <c r="B2603" i="4"/>
  <c r="A2603" i="4"/>
  <c r="B2602" i="4"/>
  <c r="A2602" i="4"/>
  <c r="B2601" i="4"/>
  <c r="A2601" i="4"/>
  <c r="B2600" i="4"/>
  <c r="A2600" i="4"/>
  <c r="B2599" i="4"/>
  <c r="A2599" i="4"/>
  <c r="B2598" i="4"/>
  <c r="A2598" i="4"/>
  <c r="B2597" i="4"/>
  <c r="A2597" i="4"/>
  <c r="B2596" i="4"/>
  <c r="A2596" i="4"/>
  <c r="B2595" i="4"/>
  <c r="A2595" i="4"/>
  <c r="B2594" i="4"/>
  <c r="A2594" i="4"/>
  <c r="B2593" i="4"/>
  <c r="A2593" i="4"/>
  <c r="B2592" i="4"/>
  <c r="A2592" i="4"/>
  <c r="B2591" i="4"/>
  <c r="A2591" i="4"/>
  <c r="B2590" i="4"/>
  <c r="A2590" i="4"/>
  <c r="B2589" i="4"/>
  <c r="A2589" i="4"/>
  <c r="B2588" i="4"/>
  <c r="A2588" i="4"/>
  <c r="B2587" i="4"/>
  <c r="A2587" i="4"/>
  <c r="B2586" i="4"/>
  <c r="A2586" i="4"/>
  <c r="B2585" i="4"/>
  <c r="A2585" i="4"/>
  <c r="B2584" i="4"/>
  <c r="A2584" i="4"/>
  <c r="B2583" i="4"/>
  <c r="A2583" i="4"/>
  <c r="B2582" i="4"/>
  <c r="A2582" i="4"/>
  <c r="B2581" i="4"/>
  <c r="A2581" i="4"/>
  <c r="B2580" i="4"/>
  <c r="A2580" i="4"/>
  <c r="B2579" i="4"/>
  <c r="A2579" i="4"/>
  <c r="B2578" i="4"/>
  <c r="A2578" i="4"/>
  <c r="B2577" i="4"/>
  <c r="A2577" i="4"/>
  <c r="B2576" i="4"/>
  <c r="A2576" i="4"/>
  <c r="B2575" i="4"/>
  <c r="A2575" i="4"/>
  <c r="B2574" i="4"/>
  <c r="A2574" i="4"/>
  <c r="B2573" i="4"/>
  <c r="A2573" i="4"/>
  <c r="B2572" i="4"/>
  <c r="A2572" i="4"/>
  <c r="B2571" i="4"/>
  <c r="A2571" i="4"/>
  <c r="B2570" i="4"/>
  <c r="A2570" i="4"/>
  <c r="B2569" i="4"/>
  <c r="A2569" i="4"/>
  <c r="B2568" i="4"/>
  <c r="A2568" i="4"/>
  <c r="B2567" i="4"/>
  <c r="A2567" i="4"/>
  <c r="B2566" i="4"/>
  <c r="A2566" i="4"/>
  <c r="B2565" i="4"/>
  <c r="A2565" i="4"/>
  <c r="B2564" i="4"/>
  <c r="A2564" i="4"/>
  <c r="B2563" i="4"/>
  <c r="A2563" i="4"/>
  <c r="B2562" i="4"/>
  <c r="A2562" i="4"/>
  <c r="B2561" i="4"/>
  <c r="A2561" i="4"/>
  <c r="B2560" i="4"/>
  <c r="A2560" i="4"/>
  <c r="B2559" i="4"/>
  <c r="A2559" i="4"/>
  <c r="B2558" i="4"/>
  <c r="A2558" i="4"/>
  <c r="B2557" i="4"/>
  <c r="A2557" i="4"/>
  <c r="B2556" i="4"/>
  <c r="A2556" i="4"/>
  <c r="B2555" i="4"/>
  <c r="A2555" i="4"/>
  <c r="B2554" i="4"/>
  <c r="A2554" i="4"/>
  <c r="B2553" i="4"/>
  <c r="A2553" i="4"/>
  <c r="B2552" i="4"/>
  <c r="A2552" i="4"/>
  <c r="B2551" i="4"/>
  <c r="A2551" i="4"/>
  <c r="B2550" i="4"/>
  <c r="A2550" i="4"/>
  <c r="B2549" i="4"/>
  <c r="A2549" i="4"/>
  <c r="B2548" i="4"/>
  <c r="A2548" i="4"/>
  <c r="B2547" i="4"/>
  <c r="A2547" i="4"/>
  <c r="B2546" i="4"/>
  <c r="A2546" i="4"/>
  <c r="B2545" i="4"/>
  <c r="A2545" i="4"/>
  <c r="B2544" i="4"/>
  <c r="A2544" i="4"/>
  <c r="B2543" i="4"/>
  <c r="A2543" i="4"/>
  <c r="B2542" i="4"/>
  <c r="A2542" i="4"/>
  <c r="B2541" i="4"/>
  <c r="A2541" i="4"/>
  <c r="B2540" i="4"/>
  <c r="A2540" i="4"/>
  <c r="B2539" i="4"/>
  <c r="A2539" i="4"/>
  <c r="B2538" i="4"/>
  <c r="A2538" i="4"/>
  <c r="B2537" i="4"/>
  <c r="A2537" i="4"/>
  <c r="B2536" i="4"/>
  <c r="A2536" i="4"/>
  <c r="B2535" i="4"/>
  <c r="A2535" i="4"/>
  <c r="B2534" i="4"/>
  <c r="A2534" i="4"/>
  <c r="B2533" i="4"/>
  <c r="A2533" i="4"/>
  <c r="B2532" i="4"/>
  <c r="A2532" i="4"/>
  <c r="B2531" i="4"/>
  <c r="A2531" i="4"/>
  <c r="B2530" i="4"/>
  <c r="A2530" i="4"/>
  <c r="B2529" i="4"/>
  <c r="A2529" i="4"/>
  <c r="B2528" i="4"/>
  <c r="A2528" i="4"/>
  <c r="B2527" i="4"/>
  <c r="A2527" i="4"/>
  <c r="B2526" i="4"/>
  <c r="A2526" i="4"/>
  <c r="B2525" i="4"/>
  <c r="A2525" i="4"/>
  <c r="B2524" i="4"/>
  <c r="A2524" i="4"/>
  <c r="B2523" i="4"/>
  <c r="A2523" i="4"/>
  <c r="B2522" i="4"/>
  <c r="A2522" i="4"/>
  <c r="B2521" i="4"/>
  <c r="A2521" i="4"/>
  <c r="B2520" i="4"/>
  <c r="A2520" i="4"/>
  <c r="B2519" i="4"/>
  <c r="A2519" i="4"/>
  <c r="B2518" i="4"/>
  <c r="A2518" i="4"/>
  <c r="B2517" i="4"/>
  <c r="A2517" i="4"/>
  <c r="B2516" i="4"/>
  <c r="A2516" i="4"/>
  <c r="B2515" i="4"/>
  <c r="A2515" i="4"/>
  <c r="B2514" i="4"/>
  <c r="A2514" i="4"/>
  <c r="B2513" i="4"/>
  <c r="A2513" i="4"/>
  <c r="B2512" i="4"/>
  <c r="A2512" i="4"/>
  <c r="B2511" i="4"/>
  <c r="A2511" i="4"/>
  <c r="B2510" i="4"/>
  <c r="A2510" i="4"/>
  <c r="B2509" i="4"/>
  <c r="A2509" i="4"/>
  <c r="B2508" i="4"/>
  <c r="A2508" i="4"/>
  <c r="B2507" i="4"/>
  <c r="A2507" i="4"/>
  <c r="B2506" i="4"/>
  <c r="A2506" i="4"/>
  <c r="B2505" i="4"/>
  <c r="A2505" i="4"/>
  <c r="B2504" i="4"/>
  <c r="A2504" i="4"/>
  <c r="B2503" i="4"/>
  <c r="A2503" i="4"/>
  <c r="B2502" i="4"/>
  <c r="A2502" i="4"/>
  <c r="B2501" i="4"/>
  <c r="A2501" i="4"/>
  <c r="B2500" i="4"/>
  <c r="A2500" i="4"/>
  <c r="B2499" i="4"/>
  <c r="A2499" i="4"/>
  <c r="B2498" i="4"/>
  <c r="A2498" i="4"/>
  <c r="B2497" i="4"/>
  <c r="A2497" i="4"/>
  <c r="B2496" i="4"/>
  <c r="A2496" i="4"/>
  <c r="B2495" i="4"/>
  <c r="A2495" i="4"/>
  <c r="B2494" i="4"/>
  <c r="A2494" i="4"/>
  <c r="B2493" i="4"/>
  <c r="A2493" i="4"/>
  <c r="B2492" i="4"/>
  <c r="A2492" i="4"/>
  <c r="B2491" i="4"/>
  <c r="A2491" i="4"/>
  <c r="B2490" i="4"/>
  <c r="A2490" i="4"/>
  <c r="B2489" i="4"/>
  <c r="A2489" i="4"/>
  <c r="B2488" i="4"/>
  <c r="A2488" i="4"/>
  <c r="B2487" i="4"/>
  <c r="A2487" i="4"/>
  <c r="B2486" i="4"/>
  <c r="A2486" i="4"/>
  <c r="B2485" i="4"/>
  <c r="A2485" i="4"/>
  <c r="B2484" i="4"/>
  <c r="A2484" i="4"/>
  <c r="B2483" i="4"/>
  <c r="A2483" i="4"/>
  <c r="B2482" i="4"/>
  <c r="A2482" i="4"/>
  <c r="B2481" i="4"/>
  <c r="A2481" i="4"/>
  <c r="B2480" i="4"/>
  <c r="A2480" i="4"/>
  <c r="B2479" i="4"/>
  <c r="A2479" i="4"/>
  <c r="B2478" i="4"/>
  <c r="A2478" i="4"/>
  <c r="B2477" i="4"/>
  <c r="A2477" i="4"/>
  <c r="B2476" i="4"/>
  <c r="A2476" i="4"/>
  <c r="B2475" i="4"/>
  <c r="A2475" i="4"/>
  <c r="B2474" i="4"/>
  <c r="A2474" i="4"/>
  <c r="B2473" i="4"/>
  <c r="A2473" i="4"/>
  <c r="B2472" i="4"/>
  <c r="A2472" i="4"/>
  <c r="B2471" i="4"/>
  <c r="A2471" i="4"/>
  <c r="B2470" i="4"/>
  <c r="A2470" i="4"/>
  <c r="B2469" i="4"/>
  <c r="A2469" i="4"/>
  <c r="B2468" i="4"/>
  <c r="A2468" i="4"/>
  <c r="B2467" i="4"/>
  <c r="A2467" i="4"/>
  <c r="B2466" i="4"/>
  <c r="A2466" i="4"/>
  <c r="B2465" i="4"/>
  <c r="A2465" i="4"/>
  <c r="B2464" i="4"/>
  <c r="A2464" i="4"/>
  <c r="B2463" i="4"/>
  <c r="A2463" i="4"/>
  <c r="B2462" i="4"/>
  <c r="A2462" i="4"/>
  <c r="B2461" i="4"/>
  <c r="A2461" i="4"/>
  <c r="B2460" i="4"/>
  <c r="A2460" i="4"/>
  <c r="B2459" i="4"/>
  <c r="A2459" i="4"/>
  <c r="B2458" i="4"/>
  <c r="A2458" i="4"/>
  <c r="B2457" i="4"/>
  <c r="A2457" i="4"/>
  <c r="B2456" i="4"/>
  <c r="A2456" i="4"/>
  <c r="B2455" i="4"/>
  <c r="A2455" i="4"/>
  <c r="B2454" i="4"/>
  <c r="A2454" i="4"/>
  <c r="B2453" i="4"/>
  <c r="A2453" i="4"/>
  <c r="B2452" i="4"/>
  <c r="A2452" i="4"/>
  <c r="B2451" i="4"/>
  <c r="A2451" i="4"/>
  <c r="B2450" i="4"/>
  <c r="A2450" i="4"/>
  <c r="B2449" i="4"/>
  <c r="A2449" i="4"/>
  <c r="B2448" i="4"/>
  <c r="A2448" i="4"/>
  <c r="B2447" i="4"/>
  <c r="A2447" i="4"/>
  <c r="B2446" i="4"/>
  <c r="A2446" i="4"/>
  <c r="B2445" i="4"/>
  <c r="A2445" i="4"/>
  <c r="B2444" i="4"/>
  <c r="A2444" i="4"/>
  <c r="B2443" i="4"/>
  <c r="A2443" i="4"/>
  <c r="B2442" i="4"/>
  <c r="A2442" i="4"/>
  <c r="B2441" i="4"/>
  <c r="A2441" i="4"/>
  <c r="B2440" i="4"/>
  <c r="A2440" i="4"/>
  <c r="B2439" i="4"/>
  <c r="A2439" i="4"/>
  <c r="B2438" i="4"/>
  <c r="A2438" i="4"/>
  <c r="B2437" i="4"/>
  <c r="A2437" i="4"/>
  <c r="B2436" i="4"/>
  <c r="A2436" i="4"/>
  <c r="B2435" i="4"/>
  <c r="A2435" i="4"/>
  <c r="B2434" i="4"/>
  <c r="A2434" i="4"/>
  <c r="B2433" i="4"/>
  <c r="A2433" i="4"/>
  <c r="B2432" i="4"/>
  <c r="A2432" i="4"/>
  <c r="B2431" i="4"/>
  <c r="A2431" i="4"/>
  <c r="B2430" i="4"/>
  <c r="A2430" i="4"/>
  <c r="B2429" i="4"/>
  <c r="A2429" i="4"/>
  <c r="B2428" i="4"/>
  <c r="A2428" i="4"/>
  <c r="B2427" i="4"/>
  <c r="A2427" i="4"/>
  <c r="B2426" i="4"/>
  <c r="A2426" i="4"/>
  <c r="B2425" i="4"/>
  <c r="A2425" i="4"/>
  <c r="B2424" i="4"/>
  <c r="A2424" i="4"/>
  <c r="B2423" i="4"/>
  <c r="A2423" i="4"/>
  <c r="B2422" i="4"/>
  <c r="A2422" i="4"/>
  <c r="B2421" i="4"/>
  <c r="A2421" i="4"/>
  <c r="B2420" i="4"/>
  <c r="A2420" i="4"/>
  <c r="B2419" i="4"/>
  <c r="A2419" i="4"/>
  <c r="B2418" i="4"/>
  <c r="A2418" i="4"/>
  <c r="B2417" i="4"/>
  <c r="A2417" i="4"/>
  <c r="B2416" i="4"/>
  <c r="A2416" i="4"/>
  <c r="B2415" i="4"/>
  <c r="A2415" i="4"/>
  <c r="B2414" i="4"/>
  <c r="A2414" i="4"/>
  <c r="B2413" i="4"/>
  <c r="A2413" i="4"/>
  <c r="B2412" i="4"/>
  <c r="A2412" i="4"/>
  <c r="B2411" i="4"/>
  <c r="A2411" i="4"/>
  <c r="B2410" i="4"/>
  <c r="A2410" i="4"/>
  <c r="B2409" i="4"/>
  <c r="A2409" i="4"/>
  <c r="B2408" i="4"/>
  <c r="A2408" i="4"/>
  <c r="B2407" i="4"/>
  <c r="A2407" i="4"/>
  <c r="B2406" i="4"/>
  <c r="A2406" i="4"/>
  <c r="B2405" i="4"/>
  <c r="A2405" i="4"/>
  <c r="B2404" i="4"/>
  <c r="A2404" i="4"/>
  <c r="B2403" i="4"/>
  <c r="A2403" i="4"/>
  <c r="B2402" i="4"/>
  <c r="A2402" i="4"/>
  <c r="B2401" i="4"/>
  <c r="A2401" i="4"/>
  <c r="B2400" i="4"/>
  <c r="A2400" i="4"/>
  <c r="B2399" i="4"/>
  <c r="A2399" i="4"/>
  <c r="B2398" i="4"/>
  <c r="A2398" i="4"/>
  <c r="B2397" i="4"/>
  <c r="A2397" i="4"/>
  <c r="B2396" i="4"/>
  <c r="A2396" i="4"/>
  <c r="B2395" i="4"/>
  <c r="A2395" i="4"/>
  <c r="B2394" i="4"/>
  <c r="A2394" i="4"/>
  <c r="B2393" i="4"/>
  <c r="A2393" i="4"/>
  <c r="B2392" i="4"/>
  <c r="A2392" i="4"/>
  <c r="B2391" i="4"/>
  <c r="A2391" i="4"/>
  <c r="B2390" i="4"/>
  <c r="A2390" i="4"/>
  <c r="B2389" i="4"/>
  <c r="A2389" i="4"/>
  <c r="B2388" i="4"/>
  <c r="A2388" i="4"/>
  <c r="B2387" i="4"/>
  <c r="A2387" i="4"/>
  <c r="B2386" i="4"/>
  <c r="A2386" i="4"/>
  <c r="B2385" i="4"/>
  <c r="A2385" i="4"/>
  <c r="B2384" i="4"/>
  <c r="A2384" i="4"/>
  <c r="B2383" i="4"/>
  <c r="A2383" i="4"/>
  <c r="B2382" i="4"/>
  <c r="A2382" i="4"/>
  <c r="B2381" i="4"/>
  <c r="A2381" i="4"/>
  <c r="B2380" i="4"/>
  <c r="A2380" i="4"/>
  <c r="B2379" i="4"/>
  <c r="A2379" i="4"/>
  <c r="B2378" i="4"/>
  <c r="A2378" i="4"/>
  <c r="B2377" i="4"/>
  <c r="A2377" i="4"/>
  <c r="B2376" i="4"/>
  <c r="A2376" i="4"/>
  <c r="B2375" i="4"/>
  <c r="A2375" i="4"/>
  <c r="B2374" i="4"/>
  <c r="A2374" i="4"/>
  <c r="B2373" i="4"/>
  <c r="A2373" i="4"/>
  <c r="B2372" i="4"/>
  <c r="A2372" i="4"/>
  <c r="B2371" i="4"/>
  <c r="A2371" i="4"/>
  <c r="B2370" i="4"/>
  <c r="A2370" i="4"/>
  <c r="B2369" i="4"/>
  <c r="A2369" i="4"/>
  <c r="B2368" i="4"/>
  <c r="A2368" i="4"/>
  <c r="B2367" i="4"/>
  <c r="A2367" i="4"/>
  <c r="B2366" i="4"/>
  <c r="A2366" i="4"/>
  <c r="B2365" i="4"/>
  <c r="A2365" i="4"/>
  <c r="B2364" i="4"/>
  <c r="A2364" i="4"/>
  <c r="B2363" i="4"/>
  <c r="A2363" i="4"/>
  <c r="B2362" i="4"/>
  <c r="A2362" i="4"/>
  <c r="B2361" i="4"/>
  <c r="A2361" i="4"/>
  <c r="B2360" i="4"/>
  <c r="A2360" i="4"/>
  <c r="B2359" i="4"/>
  <c r="A2359" i="4"/>
  <c r="B2358" i="4"/>
  <c r="A2358" i="4"/>
  <c r="B2357" i="4"/>
  <c r="A2357" i="4"/>
  <c r="B2356" i="4"/>
  <c r="A2356" i="4"/>
  <c r="B2355" i="4"/>
  <c r="A2355" i="4"/>
  <c r="B2354" i="4"/>
  <c r="A2354" i="4"/>
  <c r="B2353" i="4"/>
  <c r="A2353" i="4"/>
  <c r="B2352" i="4"/>
  <c r="A2352" i="4"/>
  <c r="B2351" i="4"/>
  <c r="A2351" i="4"/>
  <c r="B2350" i="4"/>
  <c r="A2350" i="4"/>
  <c r="B2349" i="4"/>
  <c r="A2349" i="4"/>
  <c r="B2348" i="4"/>
  <c r="A2348" i="4"/>
  <c r="B2347" i="4"/>
  <c r="A2347" i="4"/>
  <c r="B2346" i="4"/>
  <c r="A2346" i="4"/>
  <c r="B2345" i="4"/>
  <c r="A2345" i="4"/>
  <c r="B2344" i="4"/>
  <c r="A2344" i="4"/>
  <c r="B2343" i="4"/>
  <c r="A2343" i="4"/>
  <c r="B2342" i="4"/>
  <c r="A2342" i="4"/>
  <c r="B2341" i="4"/>
  <c r="A2341" i="4"/>
  <c r="B2340" i="4"/>
  <c r="A2340" i="4"/>
  <c r="B2339" i="4"/>
  <c r="A2339" i="4"/>
  <c r="B2338" i="4"/>
  <c r="A2338" i="4"/>
  <c r="B2337" i="4"/>
  <c r="A2337" i="4"/>
  <c r="B2336" i="4"/>
  <c r="A2336" i="4"/>
  <c r="B2335" i="4"/>
  <c r="A2335" i="4"/>
  <c r="B2334" i="4"/>
  <c r="A2334" i="4"/>
  <c r="B2333" i="4"/>
  <c r="A2333" i="4"/>
  <c r="B2332" i="4"/>
  <c r="A2332" i="4"/>
  <c r="B2331" i="4"/>
  <c r="A2331" i="4"/>
  <c r="B2330" i="4"/>
  <c r="A2330" i="4"/>
  <c r="B2329" i="4"/>
  <c r="A2329" i="4"/>
  <c r="B2328" i="4"/>
  <c r="A2328" i="4"/>
  <c r="B2327" i="4"/>
  <c r="A2327" i="4"/>
  <c r="B2326" i="4"/>
  <c r="A2326" i="4"/>
  <c r="B2325" i="4"/>
  <c r="A2325" i="4"/>
  <c r="B2324" i="4"/>
  <c r="A2324" i="4"/>
  <c r="B2323" i="4"/>
  <c r="A2323" i="4"/>
  <c r="B2322" i="4"/>
  <c r="A2322" i="4"/>
  <c r="B2321" i="4"/>
  <c r="A2321" i="4"/>
  <c r="B2320" i="4"/>
  <c r="A2320" i="4"/>
  <c r="B2319" i="4"/>
  <c r="A2319" i="4"/>
  <c r="B2318" i="4"/>
  <c r="A2318" i="4"/>
  <c r="B2317" i="4"/>
  <c r="A2317" i="4"/>
  <c r="B2316" i="4"/>
  <c r="A2316" i="4"/>
  <c r="B2315" i="4"/>
  <c r="A2315" i="4"/>
  <c r="B2314" i="4"/>
  <c r="A2314" i="4"/>
  <c r="B2313" i="4"/>
  <c r="A2313" i="4"/>
  <c r="B2312" i="4"/>
  <c r="A2312" i="4"/>
  <c r="B2311" i="4"/>
  <c r="A2311" i="4"/>
  <c r="B2310" i="4"/>
  <c r="A2310" i="4"/>
  <c r="B2309" i="4"/>
  <c r="A2309" i="4"/>
  <c r="B2308" i="4"/>
  <c r="A2308" i="4"/>
  <c r="B2307" i="4"/>
  <c r="A2307" i="4"/>
  <c r="B2306" i="4"/>
  <c r="A2306" i="4"/>
  <c r="B2305" i="4"/>
  <c r="A2305" i="4"/>
  <c r="B2304" i="4"/>
  <c r="A2304" i="4"/>
  <c r="B2303" i="4"/>
  <c r="A2303" i="4"/>
  <c r="B2302" i="4"/>
  <c r="A2302" i="4"/>
  <c r="B2301" i="4"/>
  <c r="A2301" i="4"/>
  <c r="B2300" i="4"/>
  <c r="A2300" i="4"/>
  <c r="B2299" i="4"/>
  <c r="A2299" i="4"/>
  <c r="B2298" i="4"/>
  <c r="A2298" i="4"/>
  <c r="B2297" i="4"/>
  <c r="A2297" i="4"/>
  <c r="B2296" i="4"/>
  <c r="A2296" i="4"/>
  <c r="B2295" i="4"/>
  <c r="A2295" i="4"/>
  <c r="B2294" i="4"/>
  <c r="A2294" i="4"/>
  <c r="B2293" i="4"/>
  <c r="A2293" i="4"/>
  <c r="B2292" i="4"/>
  <c r="A2292" i="4"/>
  <c r="B2291" i="4"/>
  <c r="A2291" i="4"/>
  <c r="B2290" i="4"/>
  <c r="A2290" i="4"/>
  <c r="B2289" i="4"/>
  <c r="A2289" i="4"/>
  <c r="B2288" i="4"/>
  <c r="A2288" i="4"/>
  <c r="B2287" i="4"/>
  <c r="A2287" i="4"/>
  <c r="B2286" i="4"/>
  <c r="A2286" i="4"/>
  <c r="B2285" i="4"/>
  <c r="A2285" i="4"/>
  <c r="B2284" i="4"/>
  <c r="A2284" i="4"/>
  <c r="B2283" i="4"/>
  <c r="A2283" i="4"/>
  <c r="B2282" i="4"/>
  <c r="A2282" i="4"/>
  <c r="B2281" i="4"/>
  <c r="A2281" i="4"/>
  <c r="B2280" i="4"/>
  <c r="A2280" i="4"/>
  <c r="B2279" i="4"/>
  <c r="A2279" i="4"/>
  <c r="B2278" i="4"/>
  <c r="A2278" i="4"/>
  <c r="B2277" i="4"/>
  <c r="A2277" i="4"/>
  <c r="B2276" i="4"/>
  <c r="A2276" i="4"/>
  <c r="B2275" i="4"/>
  <c r="A2275" i="4"/>
  <c r="B2274" i="4"/>
  <c r="A2274" i="4"/>
  <c r="B2273" i="4"/>
  <c r="A2273" i="4"/>
  <c r="B2272" i="4"/>
  <c r="A2272" i="4"/>
  <c r="B2271" i="4"/>
  <c r="A2271" i="4"/>
  <c r="B2270" i="4"/>
  <c r="A2270" i="4"/>
  <c r="B2269" i="4"/>
  <c r="A2269" i="4"/>
  <c r="B2268" i="4"/>
  <c r="A2268" i="4"/>
  <c r="B2267" i="4"/>
  <c r="A2267" i="4"/>
  <c r="B2266" i="4"/>
  <c r="A2266" i="4"/>
  <c r="B2265" i="4"/>
  <c r="A2265" i="4"/>
  <c r="B2264" i="4"/>
  <c r="A2264" i="4"/>
  <c r="B2263" i="4"/>
  <c r="A2263" i="4"/>
  <c r="B2262" i="4"/>
  <c r="A2262" i="4"/>
  <c r="B2261" i="4"/>
  <c r="A2261" i="4"/>
  <c r="B2260" i="4"/>
  <c r="A2260" i="4"/>
  <c r="B2259" i="4"/>
  <c r="A2259" i="4"/>
  <c r="B2258" i="4"/>
  <c r="A2258" i="4"/>
  <c r="B2257" i="4"/>
  <c r="A2257" i="4"/>
  <c r="B2256" i="4"/>
  <c r="A2256" i="4"/>
  <c r="B2255" i="4"/>
  <c r="A2255" i="4"/>
  <c r="B2254" i="4"/>
  <c r="A2254" i="4"/>
  <c r="B2253" i="4"/>
  <c r="A2253" i="4"/>
  <c r="B2252" i="4"/>
  <c r="A2252" i="4"/>
  <c r="B2251" i="4"/>
  <c r="A2251" i="4"/>
  <c r="B2250" i="4"/>
  <c r="A2250" i="4"/>
  <c r="B2249" i="4"/>
  <c r="A2249" i="4"/>
  <c r="B2248" i="4"/>
  <c r="A2248" i="4"/>
  <c r="B2247" i="4"/>
  <c r="A2247" i="4"/>
  <c r="B2246" i="4"/>
  <c r="A2246" i="4"/>
  <c r="B2245" i="4"/>
  <c r="A2245" i="4"/>
  <c r="B2244" i="4"/>
  <c r="A2244" i="4"/>
  <c r="B2243" i="4"/>
  <c r="A2243" i="4"/>
  <c r="B2242" i="4"/>
  <c r="A2242" i="4"/>
  <c r="B2241" i="4"/>
  <c r="A2241" i="4"/>
  <c r="B2240" i="4"/>
  <c r="A2240" i="4"/>
  <c r="B2239" i="4"/>
  <c r="A2239" i="4"/>
  <c r="B2238" i="4"/>
  <c r="A2238" i="4"/>
  <c r="B2237" i="4"/>
  <c r="A2237" i="4"/>
  <c r="B2236" i="4"/>
  <c r="A2236" i="4"/>
  <c r="B2235" i="4"/>
  <c r="A2235" i="4"/>
  <c r="B2234" i="4"/>
  <c r="A2234" i="4"/>
  <c r="B2233" i="4"/>
  <c r="A2233" i="4"/>
  <c r="B2232" i="4"/>
  <c r="A2232" i="4"/>
  <c r="B2231" i="4"/>
  <c r="A2231" i="4"/>
  <c r="B2230" i="4"/>
  <c r="A2230" i="4"/>
  <c r="B2229" i="4"/>
  <c r="A2229" i="4"/>
  <c r="B2228" i="4"/>
  <c r="A2228" i="4"/>
  <c r="B2227" i="4"/>
  <c r="A2227" i="4"/>
  <c r="B2226" i="4"/>
  <c r="A2226" i="4"/>
  <c r="B2225" i="4"/>
  <c r="A2225" i="4"/>
  <c r="B2224" i="4"/>
  <c r="A2224" i="4"/>
  <c r="B2223" i="4"/>
  <c r="A2223" i="4"/>
  <c r="B2222" i="4"/>
  <c r="A2222" i="4"/>
  <c r="B2221" i="4"/>
  <c r="A2221" i="4"/>
  <c r="B2220" i="4"/>
  <c r="A2220" i="4"/>
  <c r="B2219" i="4"/>
  <c r="A2219" i="4"/>
  <c r="B2218" i="4"/>
  <c r="A2218" i="4"/>
  <c r="B2217" i="4"/>
  <c r="A2217" i="4"/>
  <c r="B2216" i="4"/>
  <c r="A2216" i="4"/>
  <c r="B2215" i="4"/>
  <c r="A2215" i="4"/>
  <c r="B2214" i="4"/>
  <c r="A2214" i="4"/>
  <c r="B2213" i="4"/>
  <c r="A2213" i="4"/>
  <c r="B2212" i="4"/>
  <c r="A2212" i="4"/>
  <c r="B2211" i="4"/>
  <c r="A2211" i="4"/>
  <c r="B2210" i="4"/>
  <c r="A2210" i="4"/>
  <c r="B2209" i="4"/>
  <c r="A2209" i="4"/>
  <c r="B2208" i="4"/>
  <c r="A2208" i="4"/>
  <c r="B2207" i="4"/>
  <c r="A2207" i="4"/>
  <c r="B2206" i="4"/>
  <c r="A2206" i="4"/>
  <c r="B2205" i="4"/>
  <c r="A2205" i="4"/>
  <c r="B2204" i="4"/>
  <c r="A2204" i="4"/>
  <c r="B2203" i="4"/>
  <c r="A2203" i="4"/>
  <c r="B2202" i="4"/>
  <c r="A2202" i="4"/>
  <c r="B2201" i="4"/>
  <c r="A2201" i="4"/>
  <c r="B2200" i="4"/>
  <c r="A2200" i="4"/>
  <c r="B2199" i="4"/>
  <c r="A2199" i="4"/>
  <c r="B2198" i="4"/>
  <c r="A2198" i="4"/>
  <c r="B2197" i="4"/>
  <c r="A2197" i="4"/>
  <c r="B2196" i="4"/>
  <c r="A2196" i="4"/>
  <c r="B2195" i="4"/>
  <c r="A2195" i="4"/>
  <c r="B2194" i="4"/>
  <c r="A2194" i="4"/>
  <c r="B2193" i="4"/>
  <c r="A2193" i="4"/>
  <c r="B2192" i="4"/>
  <c r="A2192" i="4"/>
  <c r="B2191" i="4"/>
  <c r="A2191" i="4"/>
  <c r="B2190" i="4"/>
  <c r="A2190" i="4"/>
  <c r="B2189" i="4"/>
  <c r="A2189" i="4"/>
  <c r="B2188" i="4"/>
  <c r="A2188" i="4"/>
  <c r="B2187" i="4"/>
  <c r="A2187" i="4"/>
  <c r="B2186" i="4"/>
  <c r="A2186" i="4"/>
  <c r="B2185" i="4"/>
  <c r="A2185" i="4"/>
  <c r="B2184" i="4"/>
  <c r="A2184" i="4"/>
  <c r="B2183" i="4"/>
  <c r="A2183" i="4"/>
  <c r="B2182" i="4"/>
  <c r="A2182" i="4"/>
  <c r="B2181" i="4"/>
  <c r="A2181" i="4"/>
  <c r="B2180" i="4"/>
  <c r="A2180" i="4"/>
  <c r="B2179" i="4"/>
  <c r="A2179" i="4"/>
  <c r="B2178" i="4"/>
  <c r="A2178" i="4"/>
  <c r="B2177" i="4"/>
  <c r="A2177" i="4"/>
  <c r="B2176" i="4"/>
  <c r="A2176" i="4"/>
  <c r="B2175" i="4"/>
  <c r="A2175" i="4"/>
  <c r="B2174" i="4"/>
  <c r="A2174" i="4"/>
  <c r="B2173" i="4"/>
  <c r="A2173" i="4"/>
  <c r="B2172" i="4"/>
  <c r="A2172" i="4"/>
  <c r="B2171" i="4"/>
  <c r="A2171" i="4"/>
  <c r="B2170" i="4"/>
  <c r="A2170" i="4"/>
  <c r="B2169" i="4"/>
  <c r="A2169" i="4"/>
  <c r="B2168" i="4"/>
  <c r="A2168" i="4"/>
  <c r="B2167" i="4"/>
  <c r="A2167" i="4"/>
  <c r="B2166" i="4"/>
  <c r="A2166" i="4"/>
  <c r="B2165" i="4"/>
  <c r="A2165" i="4"/>
  <c r="B2164" i="4"/>
  <c r="A2164" i="4"/>
  <c r="B2163" i="4"/>
  <c r="A2163" i="4"/>
  <c r="B2162" i="4"/>
  <c r="A2162" i="4"/>
  <c r="B2161" i="4"/>
  <c r="A2161" i="4"/>
  <c r="B2160" i="4"/>
  <c r="A2160" i="4"/>
  <c r="B2159" i="4"/>
  <c r="A2159" i="4"/>
  <c r="B2158" i="4"/>
  <c r="A2158" i="4"/>
  <c r="B2157" i="4"/>
  <c r="A2157" i="4"/>
  <c r="B2156" i="4"/>
  <c r="A2156" i="4"/>
  <c r="B2155" i="4"/>
  <c r="A2155" i="4"/>
  <c r="B2154" i="4"/>
  <c r="A2154" i="4"/>
  <c r="B2153" i="4"/>
  <c r="A2153" i="4"/>
  <c r="B2152" i="4"/>
  <c r="A2152" i="4"/>
  <c r="B2151" i="4"/>
  <c r="A2151" i="4"/>
  <c r="B2150" i="4"/>
  <c r="A2150" i="4"/>
  <c r="B2149" i="4"/>
  <c r="A2149" i="4"/>
  <c r="B2148" i="4"/>
  <c r="A2148" i="4"/>
  <c r="B2147" i="4"/>
  <c r="A2147" i="4"/>
  <c r="B2146" i="4"/>
  <c r="A2146" i="4"/>
  <c r="B2145" i="4"/>
  <c r="A2145" i="4"/>
  <c r="B2144" i="4"/>
  <c r="A2144" i="4"/>
  <c r="B2143" i="4"/>
  <c r="A2143" i="4"/>
  <c r="B2142" i="4"/>
  <c r="A2142" i="4"/>
  <c r="B2141" i="4"/>
  <c r="A2141" i="4"/>
  <c r="B2140" i="4"/>
  <c r="A2140" i="4"/>
  <c r="B2139" i="4"/>
  <c r="A2139" i="4"/>
  <c r="B2138" i="4"/>
  <c r="A2138" i="4"/>
  <c r="B2137" i="4"/>
  <c r="A2137" i="4"/>
  <c r="B2136" i="4"/>
  <c r="A2136" i="4"/>
  <c r="B2135" i="4"/>
  <c r="A2135" i="4"/>
  <c r="B2134" i="4"/>
  <c r="A2134" i="4"/>
  <c r="B2133" i="4"/>
  <c r="A2133" i="4"/>
  <c r="B2132" i="4"/>
  <c r="A2132" i="4"/>
  <c r="B2131" i="4"/>
  <c r="A2131" i="4"/>
  <c r="B2130" i="4"/>
  <c r="A2130" i="4"/>
  <c r="B2129" i="4"/>
  <c r="A2129" i="4"/>
  <c r="B2128" i="4"/>
  <c r="A2128" i="4"/>
  <c r="B2127" i="4"/>
  <c r="A2127" i="4"/>
  <c r="B2126" i="4"/>
  <c r="A2126" i="4"/>
  <c r="B2125" i="4"/>
  <c r="A2125" i="4"/>
  <c r="B2124" i="4"/>
  <c r="A2124" i="4"/>
  <c r="B2123" i="4"/>
  <c r="A2123" i="4"/>
  <c r="B2122" i="4"/>
  <c r="A2122" i="4"/>
  <c r="B2121" i="4"/>
  <c r="A2121" i="4"/>
  <c r="B2120" i="4"/>
  <c r="A2120" i="4"/>
  <c r="B2119" i="4"/>
  <c r="A2119" i="4"/>
  <c r="B2118" i="4"/>
  <c r="A2118" i="4"/>
  <c r="B2117" i="4"/>
  <c r="A2117" i="4"/>
  <c r="B2116" i="4"/>
  <c r="A2116" i="4"/>
  <c r="B2115" i="4"/>
  <c r="A2115" i="4"/>
  <c r="B2114" i="4"/>
  <c r="A2114" i="4"/>
  <c r="B2113" i="4"/>
  <c r="A2113" i="4"/>
  <c r="B2112" i="4"/>
  <c r="A2112" i="4"/>
  <c r="B2111" i="4"/>
  <c r="A2111" i="4"/>
  <c r="B2110" i="4"/>
  <c r="A2110" i="4"/>
  <c r="B2109" i="4"/>
  <c r="A2109" i="4"/>
  <c r="B2108" i="4"/>
  <c r="A2108" i="4"/>
  <c r="B2107" i="4"/>
  <c r="A2107" i="4"/>
  <c r="B2106" i="4"/>
  <c r="A2106" i="4"/>
  <c r="B2105" i="4"/>
  <c r="A2105" i="4"/>
  <c r="B2104" i="4"/>
  <c r="A2104" i="4"/>
  <c r="B2103" i="4"/>
  <c r="A2103" i="4"/>
  <c r="B2102" i="4"/>
  <c r="A2102" i="4"/>
  <c r="B2101" i="4"/>
  <c r="A2101" i="4"/>
  <c r="B2100" i="4"/>
  <c r="A2100" i="4"/>
  <c r="B2099" i="4"/>
  <c r="A2099" i="4"/>
  <c r="B2098" i="4"/>
  <c r="A2098" i="4"/>
  <c r="B2097" i="4"/>
  <c r="A2097" i="4"/>
  <c r="B2096" i="4"/>
  <c r="A2096" i="4"/>
  <c r="B2095" i="4"/>
  <c r="A2095" i="4"/>
  <c r="B2094" i="4"/>
  <c r="A2094" i="4"/>
  <c r="B2093" i="4"/>
  <c r="A2093" i="4"/>
  <c r="B2092" i="4"/>
  <c r="A2092" i="4"/>
  <c r="B2091" i="4"/>
  <c r="A2091" i="4"/>
  <c r="B2090" i="4"/>
  <c r="A2090" i="4"/>
  <c r="B2089" i="4"/>
  <c r="A2089" i="4"/>
  <c r="B2088" i="4"/>
  <c r="A2088" i="4"/>
  <c r="B2087" i="4"/>
  <c r="A2087" i="4"/>
  <c r="B2086" i="4"/>
  <c r="A2086" i="4"/>
  <c r="B2085" i="4"/>
  <c r="A2085" i="4"/>
  <c r="B2084" i="4"/>
  <c r="A2084" i="4"/>
  <c r="B2083" i="4"/>
  <c r="A2083" i="4"/>
  <c r="B2082" i="4"/>
  <c r="A2082" i="4"/>
  <c r="B2081" i="4"/>
  <c r="A2081" i="4"/>
  <c r="B2080" i="4"/>
  <c r="A2080" i="4"/>
  <c r="B2079" i="4"/>
  <c r="A2079" i="4"/>
  <c r="B2078" i="4"/>
  <c r="A2078" i="4"/>
  <c r="B2077" i="4"/>
  <c r="A2077" i="4"/>
  <c r="B2076" i="4"/>
  <c r="A2076" i="4"/>
  <c r="B2075" i="4"/>
  <c r="A2075" i="4"/>
  <c r="B2074" i="4"/>
  <c r="A2074" i="4"/>
  <c r="B2073" i="4"/>
  <c r="A2073" i="4"/>
  <c r="B2072" i="4"/>
  <c r="A2072" i="4"/>
  <c r="B2071" i="4"/>
  <c r="A2071" i="4"/>
  <c r="B2070" i="4"/>
  <c r="A2070" i="4"/>
  <c r="B2069" i="4"/>
  <c r="A2069" i="4"/>
  <c r="B2068" i="4"/>
  <c r="A2068" i="4"/>
  <c r="B2067" i="4"/>
  <c r="A2067" i="4"/>
  <c r="B2066" i="4"/>
  <c r="A2066" i="4"/>
  <c r="B2065" i="4"/>
  <c r="A2065" i="4"/>
  <c r="B2064" i="4"/>
  <c r="A2064" i="4"/>
  <c r="B2063" i="4"/>
  <c r="A2063" i="4"/>
  <c r="B2062" i="4"/>
  <c r="A2062" i="4"/>
  <c r="B2061" i="4"/>
  <c r="A2061" i="4"/>
  <c r="B2060" i="4"/>
  <c r="A2060" i="4"/>
  <c r="B2059" i="4"/>
  <c r="A2059" i="4"/>
  <c r="B2058" i="4"/>
  <c r="A2058" i="4"/>
  <c r="B2057" i="4"/>
  <c r="A2057" i="4"/>
  <c r="B2056" i="4"/>
  <c r="A2056" i="4"/>
  <c r="B2055" i="4"/>
  <c r="A2055" i="4"/>
  <c r="B2054" i="4"/>
  <c r="A2054" i="4"/>
  <c r="B2053" i="4"/>
  <c r="A2053" i="4"/>
  <c r="B2052" i="4"/>
  <c r="A2052" i="4"/>
  <c r="B2051" i="4"/>
  <c r="A2051" i="4"/>
  <c r="B2050" i="4"/>
  <c r="A2050" i="4"/>
  <c r="B2049" i="4"/>
  <c r="A2049" i="4"/>
  <c r="B2048" i="4"/>
  <c r="A2048" i="4"/>
  <c r="B2047" i="4"/>
  <c r="A2047" i="4"/>
  <c r="B2046" i="4"/>
  <c r="A2046" i="4"/>
  <c r="B2045" i="4"/>
  <c r="A2045" i="4"/>
  <c r="B2044" i="4"/>
  <c r="A2044" i="4"/>
  <c r="B2043" i="4"/>
  <c r="A2043" i="4"/>
  <c r="B2042" i="4"/>
  <c r="A2042" i="4"/>
  <c r="B2041" i="4"/>
  <c r="A2041" i="4"/>
  <c r="B2040" i="4"/>
  <c r="A2040" i="4"/>
  <c r="B2039" i="4"/>
  <c r="A2039" i="4"/>
  <c r="B2038" i="4"/>
  <c r="A2038" i="4"/>
  <c r="B2037" i="4"/>
  <c r="A2037" i="4"/>
  <c r="B2036" i="4"/>
  <c r="A2036" i="4"/>
  <c r="B2035" i="4"/>
  <c r="A2035" i="4"/>
  <c r="B2034" i="4"/>
  <c r="A2034" i="4"/>
  <c r="B2033" i="4"/>
  <c r="A2033" i="4"/>
  <c r="B2032" i="4"/>
  <c r="A2032" i="4"/>
  <c r="B2031" i="4"/>
  <c r="A2031" i="4"/>
  <c r="B2030" i="4"/>
  <c r="A2030" i="4"/>
  <c r="B2029" i="4"/>
  <c r="A2029" i="4"/>
  <c r="B2028" i="4"/>
  <c r="A2028" i="4"/>
  <c r="B2027" i="4"/>
  <c r="A2027" i="4"/>
  <c r="B2026" i="4"/>
  <c r="A2026" i="4"/>
  <c r="B2025" i="4"/>
  <c r="A2025" i="4"/>
  <c r="B2024" i="4"/>
  <c r="A2024" i="4"/>
  <c r="B2023" i="4"/>
  <c r="A2023" i="4"/>
  <c r="B2022" i="4"/>
  <c r="A2022" i="4"/>
  <c r="B2021" i="4"/>
  <c r="A2021" i="4"/>
  <c r="B2020" i="4"/>
  <c r="A2020" i="4"/>
  <c r="B2019" i="4"/>
  <c r="A2019" i="4"/>
  <c r="B2018" i="4"/>
  <c r="A2018" i="4"/>
  <c r="B2017" i="4"/>
  <c r="A2017" i="4"/>
  <c r="B2016" i="4"/>
  <c r="A2016" i="4"/>
  <c r="B2015" i="4"/>
  <c r="A2015" i="4"/>
  <c r="B2014" i="4"/>
  <c r="A2014" i="4"/>
  <c r="B2013" i="4"/>
  <c r="A2013" i="4"/>
  <c r="B2012" i="4"/>
  <c r="A2012" i="4"/>
  <c r="B2011" i="4"/>
  <c r="A2011" i="4"/>
  <c r="B2010" i="4"/>
  <c r="A2010" i="4"/>
  <c r="B2009" i="4"/>
  <c r="A2009" i="4"/>
  <c r="B2008" i="4"/>
  <c r="A2008" i="4"/>
  <c r="B2007" i="4"/>
  <c r="A2007" i="4"/>
  <c r="B2006" i="4"/>
  <c r="A2006" i="4"/>
  <c r="B2005" i="4"/>
  <c r="A2005" i="4"/>
  <c r="B2004" i="4"/>
  <c r="A2004" i="4"/>
  <c r="B2003" i="4"/>
  <c r="A2003" i="4"/>
  <c r="B2002" i="4"/>
  <c r="A2002" i="4"/>
  <c r="B2001" i="4"/>
  <c r="A2001" i="4"/>
  <c r="B2000" i="4"/>
  <c r="A2000" i="4"/>
  <c r="B1999" i="4"/>
  <c r="A1999" i="4"/>
  <c r="B1998" i="4"/>
  <c r="A1998" i="4"/>
  <c r="B1997" i="4"/>
  <c r="A1997" i="4"/>
  <c r="B1996" i="4"/>
  <c r="A1996" i="4"/>
  <c r="B1995" i="4"/>
  <c r="A1995" i="4"/>
  <c r="B1994" i="4"/>
  <c r="A1994" i="4"/>
  <c r="B1993" i="4"/>
  <c r="A1993" i="4"/>
  <c r="B1992" i="4"/>
  <c r="A1992" i="4"/>
  <c r="B1991" i="4"/>
  <c r="A1991" i="4"/>
  <c r="B1990" i="4"/>
  <c r="A1990" i="4"/>
  <c r="B1989" i="4"/>
  <c r="A1989" i="4"/>
  <c r="B1988" i="4"/>
  <c r="A1988" i="4"/>
  <c r="B1987" i="4"/>
  <c r="A1987" i="4"/>
  <c r="B1986" i="4"/>
  <c r="A1986" i="4"/>
  <c r="B1985" i="4"/>
  <c r="A1985" i="4"/>
  <c r="B1984" i="4"/>
  <c r="A1984" i="4"/>
  <c r="B1983" i="4"/>
  <c r="A1983" i="4"/>
  <c r="B1982" i="4"/>
  <c r="A1982" i="4"/>
  <c r="B1981" i="4"/>
  <c r="A1981" i="4"/>
  <c r="B1980" i="4"/>
  <c r="A1980" i="4"/>
  <c r="B1979" i="4"/>
  <c r="A1979" i="4"/>
  <c r="B1978" i="4"/>
  <c r="A1978" i="4"/>
  <c r="B1977" i="4"/>
  <c r="A1977" i="4"/>
  <c r="B1976" i="4"/>
  <c r="A1976" i="4"/>
  <c r="B1975" i="4"/>
  <c r="A1975" i="4"/>
  <c r="B1974" i="4"/>
  <c r="A1974" i="4"/>
  <c r="B1973" i="4"/>
  <c r="A1973" i="4"/>
  <c r="B1972" i="4"/>
  <c r="A1972" i="4"/>
  <c r="B1971" i="4"/>
  <c r="A1971" i="4"/>
  <c r="B1970" i="4"/>
  <c r="A1970" i="4"/>
  <c r="B1969" i="4"/>
  <c r="A1969" i="4"/>
  <c r="B1968" i="4"/>
  <c r="A1968" i="4"/>
  <c r="B1967" i="4"/>
  <c r="A1967" i="4"/>
  <c r="B1966" i="4"/>
  <c r="A1966" i="4"/>
  <c r="B1965" i="4"/>
  <c r="A1965" i="4"/>
  <c r="B1964" i="4"/>
  <c r="A1964" i="4"/>
  <c r="B1963" i="4"/>
  <c r="A1963" i="4"/>
  <c r="B1962" i="4"/>
  <c r="A1962" i="4"/>
  <c r="B1961" i="4"/>
  <c r="A1961" i="4"/>
  <c r="B1960" i="4"/>
  <c r="A1960" i="4"/>
  <c r="B1959" i="4"/>
  <c r="A1959" i="4"/>
  <c r="B1958" i="4"/>
  <c r="A1958" i="4"/>
  <c r="B1957" i="4"/>
  <c r="A1957" i="4"/>
  <c r="B1956" i="4"/>
  <c r="A1956" i="4"/>
  <c r="B1955" i="4"/>
  <c r="A1955" i="4"/>
  <c r="B1954" i="4"/>
  <c r="A1954" i="4"/>
  <c r="B1953" i="4"/>
  <c r="A1953" i="4"/>
  <c r="B1952" i="4"/>
  <c r="A1952" i="4"/>
  <c r="B1951" i="4"/>
  <c r="A1951" i="4"/>
  <c r="B1950" i="4"/>
  <c r="A1950" i="4"/>
  <c r="B1949" i="4"/>
  <c r="A1949" i="4"/>
  <c r="B1948" i="4"/>
  <c r="A1948" i="4"/>
  <c r="B1947" i="4"/>
  <c r="A1947" i="4"/>
  <c r="B1946" i="4"/>
  <c r="A1946" i="4"/>
  <c r="B1945" i="4"/>
  <c r="A1945" i="4"/>
  <c r="B1944" i="4"/>
  <c r="A1944" i="4"/>
  <c r="B1943" i="4"/>
  <c r="A1943" i="4"/>
  <c r="B1942" i="4"/>
  <c r="A1942" i="4"/>
  <c r="B1941" i="4"/>
  <c r="A1941" i="4"/>
  <c r="B1940" i="4"/>
  <c r="A1940" i="4"/>
  <c r="B1939" i="4"/>
  <c r="A1939" i="4"/>
  <c r="B1938" i="4"/>
  <c r="A1938" i="4"/>
  <c r="B1937" i="4"/>
  <c r="A1937" i="4"/>
  <c r="B1936" i="4"/>
  <c r="A1936" i="4"/>
  <c r="B1935" i="4"/>
  <c r="A1935" i="4"/>
  <c r="B1934" i="4"/>
  <c r="A1934" i="4"/>
  <c r="B1933" i="4"/>
  <c r="A1933" i="4"/>
  <c r="B1932" i="4"/>
  <c r="A1932" i="4"/>
  <c r="B1931" i="4"/>
  <c r="A1931" i="4"/>
  <c r="B1930" i="4"/>
  <c r="A1930" i="4"/>
  <c r="B1929" i="4"/>
  <c r="A1929" i="4"/>
  <c r="B1928" i="4"/>
  <c r="A1928" i="4"/>
  <c r="B1927" i="4"/>
  <c r="A1927" i="4"/>
  <c r="B1926" i="4"/>
  <c r="A1926" i="4"/>
  <c r="B1925" i="4"/>
  <c r="A1925" i="4"/>
  <c r="B1924" i="4"/>
  <c r="A1924" i="4"/>
  <c r="B1923" i="4"/>
  <c r="A1923" i="4"/>
  <c r="B1922" i="4"/>
  <c r="A1922" i="4"/>
  <c r="B1921" i="4"/>
  <c r="A1921" i="4"/>
  <c r="B1920" i="4"/>
  <c r="A1920" i="4"/>
  <c r="B1919" i="4"/>
  <c r="A1919" i="4"/>
  <c r="B1918" i="4"/>
  <c r="A1918" i="4"/>
  <c r="B1917" i="4"/>
  <c r="A1917" i="4"/>
  <c r="B1916" i="4"/>
  <c r="A1916" i="4"/>
  <c r="B1915" i="4"/>
  <c r="A1915" i="4"/>
  <c r="B1914" i="4"/>
  <c r="A1914" i="4"/>
  <c r="B1913" i="4"/>
  <c r="A1913" i="4"/>
  <c r="B1912" i="4"/>
  <c r="A1912" i="4"/>
  <c r="B1911" i="4"/>
  <c r="A1911" i="4"/>
  <c r="B1910" i="4"/>
  <c r="A1910" i="4"/>
  <c r="B1909" i="4"/>
  <c r="A1909" i="4"/>
  <c r="B1908" i="4"/>
  <c r="A1908" i="4"/>
  <c r="B1907" i="4"/>
  <c r="A1907" i="4"/>
  <c r="B1906" i="4"/>
  <c r="A1906" i="4"/>
  <c r="B1905" i="4"/>
  <c r="A1905" i="4"/>
  <c r="B1904" i="4"/>
  <c r="A1904" i="4"/>
  <c r="B1903" i="4"/>
  <c r="A1903" i="4"/>
  <c r="B1902" i="4"/>
  <c r="A1902" i="4"/>
  <c r="B1901" i="4"/>
  <c r="A1901" i="4"/>
  <c r="B1900" i="4"/>
  <c r="A1900" i="4"/>
  <c r="B1899" i="4"/>
  <c r="A1899" i="4"/>
  <c r="B1898" i="4"/>
  <c r="A1898" i="4"/>
  <c r="B1897" i="4"/>
  <c r="A1897" i="4"/>
  <c r="B1896" i="4"/>
  <c r="A1896" i="4"/>
  <c r="B1895" i="4"/>
  <c r="A1895" i="4"/>
  <c r="B1894" i="4"/>
  <c r="A1894" i="4"/>
  <c r="B1893" i="4"/>
  <c r="A1893" i="4"/>
  <c r="B1892" i="4"/>
  <c r="A1892" i="4"/>
  <c r="B1891" i="4"/>
  <c r="A1891" i="4"/>
  <c r="B1890" i="4"/>
  <c r="A1890" i="4"/>
  <c r="B1889" i="4"/>
  <c r="A1889" i="4"/>
  <c r="B1888" i="4"/>
  <c r="A1888" i="4"/>
  <c r="B1887" i="4"/>
  <c r="A1887" i="4"/>
  <c r="B1886" i="4"/>
  <c r="A1886" i="4"/>
  <c r="B1885" i="4"/>
  <c r="A1885" i="4"/>
  <c r="B1884" i="4"/>
  <c r="A1884" i="4"/>
  <c r="B1883" i="4"/>
  <c r="A1883" i="4"/>
  <c r="B1882" i="4"/>
  <c r="A1882" i="4"/>
  <c r="B1881" i="4"/>
  <c r="A1881" i="4"/>
  <c r="B1880" i="4"/>
  <c r="A1880" i="4"/>
  <c r="B1879" i="4"/>
  <c r="A1879" i="4"/>
  <c r="B1878" i="4"/>
  <c r="A1878" i="4"/>
  <c r="B1877" i="4"/>
  <c r="A1877" i="4"/>
  <c r="B1876" i="4"/>
  <c r="A1876" i="4"/>
  <c r="B1875" i="4"/>
  <c r="A1875" i="4"/>
  <c r="B1874" i="4"/>
  <c r="A1874" i="4"/>
  <c r="B1873" i="4"/>
  <c r="A1873" i="4"/>
  <c r="B1872" i="4"/>
  <c r="A1872" i="4"/>
  <c r="B1871" i="4"/>
  <c r="A1871" i="4"/>
  <c r="B1870" i="4"/>
  <c r="A1870" i="4"/>
  <c r="B1869" i="4"/>
  <c r="A1869" i="4"/>
  <c r="B1868" i="4"/>
  <c r="A1868" i="4"/>
  <c r="B1867" i="4"/>
  <c r="A1867" i="4"/>
  <c r="B1866" i="4"/>
  <c r="A1866" i="4"/>
  <c r="B1865" i="4"/>
  <c r="A1865" i="4"/>
  <c r="B1864" i="4"/>
  <c r="A1864" i="4"/>
  <c r="B1863" i="4"/>
  <c r="A1863" i="4"/>
  <c r="B1862" i="4"/>
  <c r="A1862" i="4"/>
  <c r="B1861" i="4"/>
  <c r="A1861" i="4"/>
  <c r="B1860" i="4"/>
  <c r="A1860" i="4"/>
  <c r="B1859" i="4"/>
  <c r="A1859" i="4"/>
  <c r="B1858" i="4"/>
  <c r="A1858" i="4"/>
  <c r="B1857" i="4"/>
  <c r="A1857" i="4"/>
  <c r="B1856" i="4"/>
  <c r="A1856" i="4"/>
  <c r="B1855" i="4"/>
  <c r="A1855" i="4"/>
  <c r="B1854" i="4"/>
  <c r="A1854" i="4"/>
  <c r="B1853" i="4"/>
  <c r="A1853" i="4"/>
  <c r="B1852" i="4"/>
  <c r="A1852" i="4"/>
  <c r="B1851" i="4"/>
  <c r="A1851" i="4"/>
  <c r="B1850" i="4"/>
  <c r="A1850" i="4"/>
  <c r="B1849" i="4"/>
  <c r="A1849" i="4"/>
  <c r="B1848" i="4"/>
  <c r="A1848" i="4"/>
  <c r="B1847" i="4"/>
  <c r="A1847" i="4"/>
  <c r="B1846" i="4"/>
  <c r="A1846" i="4"/>
  <c r="B1845" i="4"/>
  <c r="A1845" i="4"/>
  <c r="B1844" i="4"/>
  <c r="A1844" i="4"/>
  <c r="B1843" i="4"/>
  <c r="A1843" i="4"/>
  <c r="B1842" i="4"/>
  <c r="A1842" i="4"/>
  <c r="B1841" i="4"/>
  <c r="A1841" i="4"/>
  <c r="B1840" i="4"/>
  <c r="A1840" i="4"/>
  <c r="B1839" i="4"/>
  <c r="A1839" i="4"/>
  <c r="B1838" i="4"/>
  <c r="A1838" i="4"/>
  <c r="B1837" i="4"/>
  <c r="A1837" i="4"/>
  <c r="B1836" i="4"/>
  <c r="A1836" i="4"/>
  <c r="B1835" i="4"/>
  <c r="A1835" i="4"/>
  <c r="B1834" i="4"/>
  <c r="A1834" i="4"/>
  <c r="B1833" i="4"/>
  <c r="A1833" i="4"/>
  <c r="B1832" i="4"/>
  <c r="A1832" i="4"/>
  <c r="B1831" i="4"/>
  <c r="A1831" i="4"/>
  <c r="B1830" i="4"/>
  <c r="A1830" i="4"/>
  <c r="B1829" i="4"/>
  <c r="A1829" i="4"/>
  <c r="B1828" i="4"/>
  <c r="A1828" i="4"/>
  <c r="B1827" i="4"/>
  <c r="A1827" i="4"/>
  <c r="B1826" i="4"/>
  <c r="A1826" i="4"/>
  <c r="B1825" i="4"/>
  <c r="A1825" i="4"/>
  <c r="B1824" i="4"/>
  <c r="A1824" i="4"/>
  <c r="B1823" i="4"/>
  <c r="A1823" i="4"/>
  <c r="B1822" i="4"/>
  <c r="A1822" i="4"/>
  <c r="B1821" i="4"/>
  <c r="A1821" i="4"/>
  <c r="B1820" i="4"/>
  <c r="A1820" i="4"/>
  <c r="B1819" i="4"/>
  <c r="A1819" i="4"/>
  <c r="B1818" i="4"/>
  <c r="A1818" i="4"/>
  <c r="B1817" i="4"/>
  <c r="A1817" i="4"/>
  <c r="B1816" i="4"/>
  <c r="A1816" i="4"/>
  <c r="B1815" i="4"/>
  <c r="A1815" i="4"/>
  <c r="B1814" i="4"/>
  <c r="A1814" i="4"/>
  <c r="B1813" i="4"/>
  <c r="A1813" i="4"/>
  <c r="B1812" i="4"/>
  <c r="A1812" i="4"/>
  <c r="B1811" i="4"/>
  <c r="A1811" i="4"/>
  <c r="B1810" i="4"/>
  <c r="A1810" i="4"/>
  <c r="B1809" i="4"/>
  <c r="A1809" i="4"/>
  <c r="B1808" i="4"/>
  <c r="A1808" i="4"/>
  <c r="B1807" i="4"/>
  <c r="A1807" i="4"/>
  <c r="B1806" i="4"/>
  <c r="A1806" i="4"/>
  <c r="B1805" i="4"/>
  <c r="A1805" i="4"/>
  <c r="B1804" i="4"/>
  <c r="A1804" i="4"/>
  <c r="B1803" i="4"/>
  <c r="A1803" i="4"/>
  <c r="B1802" i="4"/>
  <c r="A1802" i="4"/>
  <c r="B1801" i="4"/>
  <c r="A1801" i="4"/>
  <c r="B1800" i="4"/>
  <c r="A1800" i="4"/>
  <c r="B1799" i="4"/>
  <c r="A1799" i="4"/>
  <c r="B1798" i="4"/>
  <c r="A1798" i="4"/>
  <c r="B1797" i="4"/>
  <c r="A1797" i="4"/>
  <c r="B1796" i="4"/>
  <c r="A1796" i="4"/>
  <c r="B1795" i="4"/>
  <c r="A1795" i="4"/>
  <c r="B1794" i="4"/>
  <c r="A1794" i="4"/>
  <c r="B1793" i="4"/>
  <c r="A1793" i="4"/>
  <c r="B1792" i="4"/>
  <c r="A1792" i="4"/>
  <c r="B1791" i="4"/>
  <c r="A1791" i="4"/>
  <c r="B1790" i="4"/>
  <c r="A1790" i="4"/>
  <c r="B1789" i="4"/>
  <c r="A1789" i="4"/>
  <c r="B1788" i="4"/>
  <c r="A1788" i="4"/>
  <c r="B1787" i="4"/>
  <c r="A1787" i="4"/>
  <c r="B1786" i="4"/>
  <c r="A1786" i="4"/>
  <c r="B1785" i="4"/>
  <c r="A1785" i="4"/>
  <c r="B1784" i="4"/>
  <c r="A1784" i="4"/>
  <c r="B1783" i="4"/>
  <c r="A1783" i="4"/>
  <c r="B1782" i="4"/>
  <c r="A1782" i="4"/>
  <c r="B1781" i="4"/>
  <c r="A1781" i="4"/>
  <c r="B1780" i="4"/>
  <c r="A1780" i="4"/>
  <c r="B1779" i="4"/>
  <c r="A1779" i="4"/>
  <c r="B1778" i="4"/>
  <c r="A1778" i="4"/>
  <c r="B1777" i="4"/>
  <c r="A1777" i="4"/>
  <c r="B1776" i="4"/>
  <c r="A1776" i="4"/>
  <c r="B1775" i="4"/>
  <c r="A1775" i="4"/>
  <c r="B1774" i="4"/>
  <c r="A1774" i="4"/>
  <c r="B1773" i="4"/>
  <c r="A1773" i="4"/>
  <c r="B1772" i="4"/>
  <c r="A1772" i="4"/>
  <c r="B1771" i="4"/>
  <c r="A1771" i="4"/>
  <c r="B1770" i="4"/>
  <c r="A1770" i="4"/>
  <c r="B1769" i="4"/>
  <c r="A1769" i="4"/>
  <c r="B1768" i="4"/>
  <c r="A1768" i="4"/>
  <c r="B1767" i="4"/>
  <c r="A1767" i="4"/>
  <c r="B1766" i="4"/>
  <c r="A1766" i="4"/>
  <c r="B1765" i="4"/>
  <c r="A1765" i="4"/>
  <c r="B1764" i="4"/>
  <c r="A1764" i="4"/>
  <c r="B1763" i="4"/>
  <c r="A1763" i="4"/>
  <c r="B1762" i="4"/>
  <c r="A1762" i="4"/>
  <c r="B1761" i="4"/>
  <c r="A1761" i="4"/>
  <c r="B1760" i="4"/>
  <c r="A1760" i="4"/>
  <c r="B1759" i="4"/>
  <c r="A1759" i="4"/>
  <c r="B1758" i="4"/>
  <c r="A1758" i="4"/>
  <c r="B1757" i="4"/>
  <c r="A1757" i="4"/>
  <c r="B1756" i="4"/>
  <c r="A1756" i="4"/>
  <c r="B1755" i="4"/>
  <c r="A1755" i="4"/>
  <c r="B1754" i="4"/>
  <c r="A1754" i="4"/>
  <c r="B1753" i="4"/>
  <c r="A1753" i="4"/>
  <c r="B1752" i="4"/>
  <c r="A1752" i="4"/>
  <c r="B1751" i="4"/>
  <c r="A1751" i="4"/>
  <c r="B1750" i="4"/>
  <c r="A1750" i="4"/>
  <c r="B1749" i="4"/>
  <c r="A1749" i="4"/>
  <c r="B1748" i="4"/>
  <c r="A1748" i="4"/>
  <c r="B1747" i="4"/>
  <c r="A1747" i="4"/>
  <c r="B1746" i="4"/>
  <c r="A1746" i="4"/>
  <c r="B1745" i="4"/>
  <c r="A1745" i="4"/>
  <c r="B1744" i="4"/>
  <c r="A1744" i="4"/>
  <c r="B1743" i="4"/>
  <c r="A1743" i="4"/>
  <c r="B1742" i="4"/>
  <c r="A1742" i="4"/>
  <c r="B1741" i="4"/>
  <c r="A1741" i="4"/>
  <c r="B1740" i="4"/>
  <c r="A1740" i="4"/>
  <c r="B1739" i="4"/>
  <c r="A1739" i="4"/>
  <c r="B1738" i="4"/>
  <c r="A1738" i="4"/>
  <c r="B1737" i="4"/>
  <c r="A1737" i="4"/>
  <c r="B1736" i="4"/>
  <c r="A1736" i="4"/>
  <c r="B1735" i="4"/>
  <c r="A1735" i="4"/>
  <c r="B1734" i="4"/>
  <c r="A1734" i="4"/>
  <c r="B1733" i="4"/>
  <c r="A1733" i="4"/>
  <c r="B1732" i="4"/>
  <c r="A1732" i="4"/>
  <c r="B1731" i="4"/>
  <c r="A1731" i="4"/>
  <c r="B1730" i="4"/>
  <c r="A1730" i="4"/>
  <c r="B1729" i="4"/>
  <c r="A1729" i="4"/>
  <c r="B1728" i="4"/>
  <c r="A1728" i="4"/>
  <c r="B1727" i="4"/>
  <c r="A1727" i="4"/>
  <c r="B1726" i="4"/>
  <c r="A1726" i="4"/>
  <c r="B1725" i="4"/>
  <c r="A1725" i="4"/>
  <c r="B1724" i="4"/>
  <c r="A1724" i="4"/>
  <c r="B1723" i="4"/>
  <c r="A1723" i="4"/>
  <c r="B1722" i="4"/>
  <c r="A1722" i="4"/>
  <c r="B1721" i="4"/>
  <c r="A1721" i="4"/>
  <c r="B1720" i="4"/>
  <c r="A1720" i="4"/>
  <c r="B1719" i="4"/>
  <c r="A1719" i="4"/>
  <c r="B1718" i="4"/>
  <c r="A1718" i="4"/>
  <c r="B1717" i="4"/>
  <c r="A1717" i="4"/>
  <c r="B1716" i="4"/>
  <c r="A1716" i="4"/>
  <c r="B1715" i="4"/>
  <c r="A1715" i="4"/>
  <c r="B1714" i="4"/>
  <c r="A1714" i="4"/>
  <c r="B1713" i="4"/>
  <c r="A1713" i="4"/>
  <c r="B1712" i="4"/>
  <c r="A1712" i="4"/>
  <c r="B1711" i="4"/>
  <c r="A1711" i="4"/>
  <c r="B1710" i="4"/>
  <c r="A1710" i="4"/>
  <c r="B1709" i="4"/>
  <c r="A1709" i="4"/>
  <c r="B1708" i="4"/>
  <c r="A1708" i="4"/>
  <c r="B1707" i="4"/>
  <c r="A1707" i="4"/>
  <c r="B1706" i="4"/>
  <c r="A1706" i="4"/>
  <c r="B1705" i="4"/>
  <c r="A1705" i="4"/>
  <c r="B1704" i="4"/>
  <c r="A1704" i="4"/>
  <c r="B1703" i="4"/>
  <c r="A1703" i="4"/>
  <c r="B1702" i="4"/>
  <c r="A1702" i="4"/>
  <c r="B1701" i="4"/>
  <c r="A1701" i="4"/>
  <c r="B1700" i="4"/>
  <c r="A1700" i="4"/>
  <c r="B1699" i="4"/>
  <c r="A1699" i="4"/>
  <c r="B1698" i="4"/>
  <c r="A1698" i="4"/>
  <c r="B1697" i="4"/>
  <c r="A1697" i="4"/>
  <c r="B1696" i="4"/>
  <c r="A1696" i="4"/>
  <c r="B1695" i="4"/>
  <c r="A1695" i="4"/>
  <c r="B1694" i="4"/>
  <c r="A1694" i="4"/>
  <c r="B1693" i="4"/>
  <c r="A1693" i="4"/>
  <c r="B1692" i="4"/>
  <c r="A1692" i="4"/>
  <c r="B1691" i="4"/>
  <c r="A1691" i="4"/>
  <c r="B1690" i="4"/>
  <c r="A1690" i="4"/>
  <c r="B1689" i="4"/>
  <c r="A1689" i="4"/>
  <c r="B1688" i="4"/>
  <c r="A1688" i="4"/>
  <c r="B1687" i="4"/>
  <c r="A1687" i="4"/>
  <c r="B1686" i="4"/>
  <c r="A1686" i="4"/>
  <c r="B1685" i="4"/>
  <c r="A1685" i="4"/>
  <c r="B1684" i="4"/>
  <c r="A1684" i="4"/>
  <c r="B1683" i="4"/>
  <c r="A1683" i="4"/>
  <c r="B1682" i="4"/>
  <c r="A1682" i="4"/>
  <c r="B1681" i="4"/>
  <c r="A1681" i="4"/>
  <c r="B1680" i="4"/>
  <c r="A1680" i="4"/>
  <c r="B1679" i="4"/>
  <c r="A1679" i="4"/>
  <c r="B1678" i="4"/>
  <c r="A1678" i="4"/>
  <c r="B1677" i="4"/>
  <c r="A1677" i="4"/>
  <c r="B1676" i="4"/>
  <c r="A1676" i="4"/>
  <c r="B1675" i="4"/>
  <c r="A1675" i="4"/>
  <c r="B1674" i="4"/>
  <c r="A1674" i="4"/>
  <c r="B1673" i="4"/>
  <c r="A1673" i="4"/>
  <c r="B1672" i="4"/>
  <c r="A1672" i="4"/>
  <c r="B1671" i="4"/>
  <c r="A1671" i="4"/>
  <c r="B1670" i="4"/>
  <c r="A1670" i="4"/>
  <c r="B1669" i="4"/>
  <c r="A1669" i="4"/>
  <c r="B1668" i="4"/>
  <c r="A1668" i="4"/>
  <c r="B1667" i="4"/>
  <c r="A1667" i="4"/>
  <c r="B1666" i="4"/>
  <c r="A1666" i="4"/>
  <c r="B1665" i="4"/>
  <c r="A1665" i="4"/>
  <c r="B1664" i="4"/>
  <c r="A1664" i="4"/>
  <c r="B1663" i="4"/>
  <c r="A1663" i="4"/>
  <c r="B1662" i="4"/>
  <c r="A1662" i="4"/>
  <c r="B1661" i="4"/>
  <c r="A1661" i="4"/>
  <c r="B1660" i="4"/>
  <c r="A1660" i="4"/>
  <c r="B1659" i="4"/>
  <c r="A1659" i="4"/>
  <c r="B1658" i="4"/>
  <c r="A1658" i="4"/>
  <c r="B1657" i="4"/>
  <c r="A1657" i="4"/>
  <c r="B1656" i="4"/>
  <c r="A1656" i="4"/>
  <c r="B1655" i="4"/>
  <c r="A1655" i="4"/>
  <c r="B1654" i="4"/>
  <c r="A1654" i="4"/>
  <c r="B1653" i="4"/>
  <c r="A1653" i="4"/>
  <c r="B1652" i="4"/>
  <c r="A1652" i="4"/>
  <c r="B1651" i="4"/>
  <c r="A1651" i="4"/>
  <c r="B1650" i="4"/>
  <c r="A1650" i="4"/>
  <c r="B1649" i="4"/>
  <c r="A1649" i="4"/>
  <c r="B1648" i="4"/>
  <c r="A1648" i="4"/>
  <c r="B1647" i="4"/>
  <c r="A1647" i="4"/>
  <c r="B1646" i="4"/>
  <c r="A1646" i="4"/>
  <c r="B1645" i="4"/>
  <c r="A1645" i="4"/>
  <c r="B1644" i="4"/>
  <c r="A1644" i="4"/>
  <c r="B1643" i="4"/>
  <c r="A1643" i="4"/>
  <c r="B1642" i="4"/>
  <c r="A1642" i="4"/>
  <c r="B1641" i="4"/>
  <c r="A1641" i="4"/>
  <c r="B1640" i="4"/>
  <c r="A1640" i="4"/>
  <c r="B1639" i="4"/>
  <c r="A1639" i="4"/>
  <c r="B1638" i="4"/>
  <c r="A1638" i="4"/>
  <c r="B1637" i="4"/>
  <c r="A1637" i="4"/>
  <c r="B1636" i="4"/>
  <c r="A1636" i="4"/>
  <c r="B1635" i="4"/>
  <c r="A1635" i="4"/>
  <c r="B1634" i="4"/>
  <c r="A1634" i="4"/>
  <c r="B1633" i="4"/>
  <c r="A1633" i="4"/>
  <c r="B1632" i="4"/>
  <c r="A1632" i="4"/>
  <c r="B1631" i="4"/>
  <c r="A1631" i="4"/>
  <c r="B1630" i="4"/>
  <c r="A1630" i="4"/>
  <c r="B1629" i="4"/>
  <c r="A1629" i="4"/>
  <c r="B1628" i="4"/>
  <c r="A1628" i="4"/>
  <c r="B1627" i="4"/>
  <c r="A1627" i="4"/>
  <c r="B1626" i="4"/>
  <c r="A1626" i="4"/>
  <c r="B1625" i="4"/>
  <c r="A1625" i="4"/>
  <c r="B1624" i="4"/>
  <c r="A1624" i="4"/>
  <c r="B1623" i="4"/>
  <c r="A1623" i="4"/>
  <c r="B1622" i="4"/>
  <c r="A1622" i="4"/>
  <c r="B1621" i="4"/>
  <c r="A1621" i="4"/>
  <c r="B1620" i="4"/>
  <c r="A1620" i="4"/>
  <c r="B1619" i="4"/>
  <c r="A1619" i="4"/>
  <c r="B1618" i="4"/>
  <c r="A1618" i="4"/>
  <c r="B1617" i="4"/>
  <c r="A1617" i="4"/>
  <c r="B1616" i="4"/>
  <c r="A1616" i="4"/>
  <c r="B1615" i="4"/>
  <c r="A1615" i="4"/>
  <c r="B1614" i="4"/>
  <c r="A1614" i="4"/>
  <c r="B1613" i="4"/>
  <c r="A1613" i="4"/>
  <c r="B1612" i="4"/>
  <c r="A1612" i="4"/>
  <c r="B1611" i="4"/>
  <c r="A1611" i="4"/>
  <c r="B1610" i="4"/>
  <c r="A1610" i="4"/>
  <c r="B1609" i="4"/>
  <c r="A1609" i="4"/>
  <c r="B1608" i="4"/>
  <c r="A1608" i="4"/>
  <c r="B1607" i="4"/>
  <c r="A1607" i="4"/>
  <c r="B1606" i="4"/>
  <c r="A1606" i="4"/>
  <c r="B1605" i="4"/>
  <c r="A1605" i="4"/>
  <c r="B1604" i="4"/>
  <c r="A1604" i="4"/>
  <c r="B1603" i="4"/>
  <c r="A1603" i="4"/>
  <c r="B1602" i="4"/>
  <c r="A1602" i="4"/>
  <c r="B1601" i="4"/>
  <c r="A1601" i="4"/>
  <c r="B1600" i="4"/>
  <c r="A1600" i="4"/>
  <c r="B1599" i="4"/>
  <c r="A1599" i="4"/>
  <c r="B1598" i="4"/>
  <c r="A1598" i="4"/>
  <c r="B1597" i="4"/>
  <c r="A1597" i="4"/>
  <c r="B1596" i="4"/>
  <c r="A1596" i="4"/>
  <c r="B1595" i="4"/>
  <c r="A1595" i="4"/>
  <c r="B1594" i="4"/>
  <c r="A1594" i="4"/>
  <c r="B1593" i="4"/>
  <c r="A1593" i="4"/>
  <c r="B1592" i="4"/>
  <c r="A1592" i="4"/>
  <c r="B1591" i="4"/>
  <c r="A1591" i="4"/>
  <c r="B1590" i="4"/>
  <c r="A1590" i="4"/>
  <c r="B1589" i="4"/>
  <c r="A1589" i="4"/>
  <c r="B1588" i="4"/>
  <c r="A1588" i="4"/>
  <c r="B1587" i="4"/>
  <c r="A1587" i="4"/>
  <c r="B1586" i="4"/>
  <c r="A1586" i="4"/>
  <c r="B1585" i="4"/>
  <c r="A1585" i="4"/>
  <c r="B1584" i="4"/>
  <c r="A1584" i="4"/>
  <c r="B1583" i="4"/>
  <c r="A1583" i="4"/>
  <c r="B1582" i="4"/>
  <c r="A1582" i="4"/>
  <c r="B1581" i="4"/>
  <c r="A1581" i="4"/>
  <c r="B1580" i="4"/>
  <c r="A1580" i="4"/>
  <c r="B1579" i="4"/>
  <c r="A1579" i="4"/>
  <c r="B1578" i="4"/>
  <c r="A1578" i="4"/>
  <c r="B1577" i="4"/>
  <c r="A1577" i="4"/>
  <c r="B1576" i="4"/>
  <c r="A1576" i="4"/>
  <c r="B1575" i="4"/>
  <c r="A1575" i="4"/>
  <c r="B1574" i="4"/>
  <c r="A1574" i="4"/>
  <c r="B1573" i="4"/>
  <c r="A1573" i="4"/>
  <c r="B1572" i="4"/>
  <c r="A1572" i="4"/>
  <c r="B1571" i="4"/>
  <c r="A1571" i="4"/>
  <c r="B1570" i="4"/>
  <c r="A1570" i="4"/>
  <c r="B1569" i="4"/>
  <c r="A1569" i="4"/>
  <c r="B1568" i="4"/>
  <c r="A1568" i="4"/>
  <c r="B1567" i="4"/>
  <c r="A1567" i="4"/>
  <c r="B1566" i="4"/>
  <c r="A1566" i="4"/>
  <c r="B1565" i="4"/>
  <c r="A1565" i="4"/>
  <c r="B1564" i="4"/>
  <c r="A1564" i="4"/>
  <c r="B1563" i="4"/>
  <c r="A1563" i="4"/>
  <c r="B1562" i="4"/>
  <c r="A1562" i="4"/>
  <c r="B1561" i="4"/>
  <c r="A1561" i="4"/>
  <c r="B1560" i="4"/>
  <c r="A1560" i="4"/>
  <c r="B1559" i="4"/>
  <c r="A1559" i="4"/>
  <c r="B1558" i="4"/>
  <c r="A1558" i="4"/>
  <c r="B1557" i="4"/>
  <c r="A1557" i="4"/>
  <c r="B1556" i="4"/>
  <c r="A1556" i="4"/>
  <c r="B1555" i="4"/>
  <c r="A1555" i="4"/>
  <c r="B1554" i="4"/>
  <c r="A1554" i="4"/>
  <c r="B1553" i="4"/>
  <c r="A1553" i="4"/>
  <c r="B1552" i="4"/>
  <c r="A1552" i="4"/>
  <c r="B1551" i="4"/>
  <c r="A1551" i="4"/>
  <c r="B1550" i="4"/>
  <c r="A1550" i="4"/>
  <c r="B1549" i="4"/>
  <c r="A1549" i="4"/>
  <c r="B1548" i="4"/>
  <c r="A1548" i="4"/>
  <c r="B1547" i="4"/>
  <c r="A1547" i="4"/>
  <c r="B1546" i="4"/>
  <c r="A1546" i="4"/>
  <c r="B1545" i="4"/>
  <c r="A1545" i="4"/>
  <c r="B1544" i="4"/>
  <c r="A1544" i="4"/>
  <c r="B1543" i="4"/>
  <c r="A1543" i="4"/>
  <c r="B1542" i="4"/>
  <c r="A1542" i="4"/>
  <c r="B1541" i="4"/>
  <c r="A1541" i="4"/>
  <c r="B1540" i="4"/>
  <c r="A1540" i="4"/>
  <c r="B1539" i="4"/>
  <c r="A1539" i="4"/>
  <c r="B1538" i="4"/>
  <c r="A1538" i="4"/>
  <c r="B1537" i="4"/>
  <c r="A1537" i="4"/>
  <c r="B1536" i="4"/>
  <c r="A1536" i="4"/>
  <c r="B1535" i="4"/>
  <c r="A1535" i="4"/>
  <c r="B1534" i="4"/>
  <c r="A1534" i="4"/>
  <c r="B1533" i="4"/>
  <c r="A1533" i="4"/>
  <c r="B1532" i="4"/>
  <c r="A1532" i="4"/>
  <c r="B1531" i="4"/>
  <c r="A1531" i="4"/>
  <c r="B1530" i="4"/>
  <c r="A1530" i="4"/>
  <c r="B1529" i="4"/>
  <c r="A1529" i="4"/>
  <c r="B1528" i="4"/>
  <c r="A1528" i="4"/>
  <c r="B1527" i="4"/>
  <c r="A1527" i="4"/>
  <c r="B1526" i="4"/>
  <c r="A1526" i="4"/>
  <c r="B1525" i="4"/>
  <c r="A1525" i="4"/>
  <c r="B1524" i="4"/>
  <c r="A1524" i="4"/>
  <c r="B1523" i="4"/>
  <c r="A1523" i="4"/>
  <c r="B1522" i="4"/>
  <c r="A1522" i="4"/>
  <c r="B1521" i="4"/>
  <c r="A1521" i="4"/>
  <c r="B1520" i="4"/>
  <c r="A1520" i="4"/>
  <c r="B1519" i="4"/>
  <c r="A1519" i="4"/>
  <c r="B1518" i="4"/>
  <c r="A1518" i="4"/>
  <c r="B1517" i="4"/>
  <c r="A1517" i="4"/>
  <c r="B1516" i="4"/>
  <c r="A1516" i="4"/>
  <c r="B1515" i="4"/>
  <c r="A1515" i="4"/>
  <c r="B1514" i="4"/>
  <c r="A1514" i="4"/>
  <c r="B1513" i="4"/>
  <c r="A1513" i="4"/>
  <c r="B1512" i="4"/>
  <c r="A1512" i="4"/>
  <c r="B1511" i="4"/>
  <c r="A1511" i="4"/>
  <c r="B1510" i="4"/>
  <c r="A1510" i="4"/>
  <c r="B1509" i="4"/>
  <c r="A1509" i="4"/>
  <c r="B1508" i="4"/>
  <c r="A1508" i="4"/>
  <c r="B1507" i="4"/>
  <c r="A1507" i="4"/>
  <c r="B1506" i="4"/>
  <c r="A1506" i="4"/>
  <c r="B1505" i="4"/>
  <c r="A1505" i="4"/>
  <c r="B1504" i="4"/>
  <c r="A1504" i="4"/>
  <c r="B1503" i="4"/>
  <c r="A1503" i="4"/>
  <c r="B1502" i="4"/>
  <c r="A1502" i="4"/>
  <c r="B1501" i="4"/>
  <c r="A1501" i="4"/>
  <c r="B1500" i="4"/>
  <c r="A1500" i="4"/>
  <c r="B1499" i="4"/>
  <c r="A1499" i="4"/>
  <c r="B1498" i="4"/>
  <c r="A1498" i="4"/>
  <c r="B1497" i="4"/>
  <c r="A1497" i="4"/>
  <c r="B1496" i="4"/>
  <c r="A1496" i="4"/>
  <c r="B1495" i="4"/>
  <c r="A1495" i="4"/>
  <c r="B1494" i="4"/>
  <c r="A1494" i="4"/>
  <c r="B1493" i="4"/>
  <c r="A1493" i="4"/>
  <c r="B1492" i="4"/>
  <c r="A1492" i="4"/>
  <c r="B1491" i="4"/>
  <c r="A1491" i="4"/>
  <c r="B1490" i="4"/>
  <c r="A1490" i="4"/>
  <c r="B1489" i="4"/>
  <c r="A1489" i="4"/>
  <c r="B1488" i="4"/>
  <c r="A1488" i="4"/>
  <c r="B1487" i="4"/>
  <c r="A1487" i="4"/>
  <c r="B1486" i="4"/>
  <c r="A1486" i="4"/>
  <c r="B1485" i="4"/>
  <c r="A1485" i="4"/>
  <c r="B1484" i="4"/>
  <c r="A1484" i="4"/>
  <c r="B1483" i="4"/>
  <c r="A1483" i="4"/>
  <c r="B1482" i="4"/>
  <c r="A1482" i="4"/>
  <c r="B1481" i="4"/>
  <c r="A1481" i="4"/>
  <c r="B1480" i="4"/>
  <c r="A1480" i="4"/>
  <c r="B1479" i="4"/>
  <c r="A1479" i="4"/>
  <c r="B1478" i="4"/>
  <c r="A1478" i="4"/>
  <c r="B1477" i="4"/>
  <c r="A1477" i="4"/>
  <c r="B1476" i="4"/>
  <c r="A1476" i="4"/>
  <c r="B1475" i="4"/>
  <c r="A1475" i="4"/>
  <c r="B1474" i="4"/>
  <c r="A1474" i="4"/>
  <c r="B1473" i="4"/>
  <c r="A1473" i="4"/>
  <c r="B1472" i="4"/>
  <c r="A1472" i="4"/>
  <c r="B1471" i="4"/>
  <c r="A1471" i="4"/>
  <c r="B1470" i="4"/>
  <c r="A1470" i="4"/>
  <c r="B1469" i="4"/>
  <c r="A1469" i="4"/>
  <c r="B1468" i="4"/>
  <c r="A1468" i="4"/>
  <c r="B1467" i="4"/>
  <c r="A1467" i="4"/>
  <c r="B1466" i="4"/>
  <c r="A1466" i="4"/>
  <c r="B1465" i="4"/>
  <c r="A1465" i="4"/>
  <c r="B1464" i="4"/>
  <c r="A1464" i="4"/>
  <c r="B1463" i="4"/>
  <c r="A1463" i="4"/>
  <c r="B1462" i="4"/>
  <c r="A1462" i="4"/>
  <c r="B1461" i="4"/>
  <c r="A1461" i="4"/>
  <c r="B1460" i="4"/>
  <c r="A1460" i="4"/>
  <c r="B1459" i="4"/>
  <c r="A1459" i="4"/>
  <c r="B1458" i="4"/>
  <c r="A1458" i="4"/>
  <c r="B1457" i="4"/>
  <c r="A1457" i="4"/>
  <c r="B1456" i="4"/>
  <c r="A1456" i="4"/>
  <c r="B1455" i="4"/>
  <c r="A1455" i="4"/>
  <c r="B1454" i="4"/>
  <c r="A1454" i="4"/>
  <c r="B1453" i="4"/>
  <c r="A1453" i="4"/>
  <c r="B1452" i="4"/>
  <c r="A1452" i="4"/>
  <c r="B1451" i="4"/>
  <c r="A1451" i="4"/>
  <c r="B1450" i="4"/>
  <c r="A1450" i="4"/>
  <c r="B1449" i="4"/>
  <c r="A1449" i="4"/>
  <c r="B1448" i="4"/>
  <c r="A1448" i="4"/>
  <c r="B1447" i="4"/>
  <c r="A1447" i="4"/>
  <c r="B1446" i="4"/>
  <c r="A1446" i="4"/>
  <c r="B1445" i="4"/>
  <c r="A1445" i="4"/>
  <c r="B1444" i="4"/>
  <c r="A1444" i="4"/>
  <c r="B1443" i="4"/>
  <c r="A1443" i="4"/>
  <c r="B1442" i="4"/>
  <c r="A1442" i="4"/>
  <c r="B1441" i="4"/>
  <c r="A1441" i="4"/>
  <c r="B1440" i="4"/>
  <c r="A1440" i="4"/>
  <c r="B1439" i="4"/>
  <c r="A1439" i="4"/>
  <c r="B1438" i="4"/>
  <c r="A1438" i="4"/>
  <c r="B1437" i="4"/>
  <c r="A1437" i="4"/>
  <c r="B1436" i="4"/>
  <c r="A1436" i="4"/>
  <c r="B1435" i="4"/>
  <c r="A1435" i="4"/>
  <c r="B1434" i="4"/>
  <c r="A1434" i="4"/>
  <c r="B1433" i="4"/>
  <c r="A1433" i="4"/>
  <c r="B1432" i="4"/>
  <c r="A1432" i="4"/>
  <c r="B1431" i="4"/>
  <c r="A1431" i="4"/>
  <c r="B1430" i="4"/>
  <c r="A1430" i="4"/>
  <c r="B1429" i="4"/>
  <c r="A1429" i="4"/>
  <c r="B1428" i="4"/>
  <c r="A1428" i="4"/>
  <c r="B1427" i="4"/>
  <c r="A1427" i="4"/>
  <c r="B1426" i="4"/>
  <c r="A1426" i="4"/>
  <c r="B1425" i="4"/>
  <c r="A1425" i="4"/>
  <c r="B1424" i="4"/>
  <c r="A1424" i="4"/>
  <c r="B1423" i="4"/>
  <c r="A1423" i="4"/>
  <c r="B1422" i="4"/>
  <c r="A1422" i="4"/>
  <c r="B1421" i="4"/>
  <c r="A1421" i="4"/>
  <c r="B1420" i="4"/>
  <c r="A1420" i="4"/>
  <c r="B1419" i="4"/>
  <c r="A1419" i="4"/>
  <c r="B1418" i="4"/>
  <c r="A1418" i="4"/>
  <c r="B1417" i="4"/>
  <c r="A1417" i="4"/>
  <c r="B1416" i="4"/>
  <c r="A1416" i="4"/>
  <c r="B1415" i="4"/>
  <c r="A1415" i="4"/>
  <c r="B1414" i="4"/>
  <c r="A1414" i="4"/>
  <c r="B1413" i="4"/>
  <c r="A1413" i="4"/>
  <c r="B1412" i="4"/>
  <c r="A1412" i="4"/>
  <c r="B1411" i="4"/>
  <c r="A1411" i="4"/>
  <c r="B1410" i="4"/>
  <c r="A1410" i="4"/>
  <c r="B1409" i="4"/>
  <c r="A1409" i="4"/>
  <c r="B1408" i="4"/>
  <c r="A1408" i="4"/>
  <c r="B1407" i="4"/>
  <c r="A1407" i="4"/>
  <c r="B1406" i="4"/>
  <c r="A1406" i="4"/>
  <c r="B1405" i="4"/>
  <c r="A1405" i="4"/>
  <c r="B1404" i="4"/>
  <c r="A1404" i="4"/>
  <c r="B1403" i="4"/>
  <c r="A1403" i="4"/>
  <c r="B1402" i="4"/>
  <c r="A1402" i="4"/>
  <c r="B1401" i="4"/>
  <c r="A1401" i="4"/>
  <c r="B1400" i="4"/>
  <c r="A1400" i="4"/>
  <c r="B1399" i="4"/>
  <c r="A1399" i="4"/>
  <c r="B1398" i="4"/>
  <c r="A1398" i="4"/>
  <c r="B1397" i="4"/>
  <c r="A1397" i="4"/>
  <c r="B1396" i="4"/>
  <c r="A1396" i="4"/>
  <c r="B1395" i="4"/>
  <c r="A1395" i="4"/>
  <c r="B1394" i="4"/>
  <c r="A1394" i="4"/>
  <c r="B1393" i="4"/>
  <c r="A1393" i="4"/>
  <c r="B1392" i="4"/>
  <c r="A1392" i="4"/>
  <c r="B1391" i="4"/>
  <c r="A1391" i="4"/>
  <c r="B1390" i="4"/>
  <c r="A1390" i="4"/>
  <c r="B1389" i="4"/>
  <c r="A1389" i="4"/>
  <c r="B1388" i="4"/>
  <c r="A1388" i="4"/>
  <c r="B1387" i="4"/>
  <c r="A1387" i="4"/>
  <c r="B1386" i="4"/>
  <c r="A1386" i="4"/>
  <c r="B1385" i="4"/>
  <c r="A1385" i="4"/>
  <c r="B1384" i="4"/>
  <c r="A1384" i="4"/>
  <c r="B1383" i="4"/>
  <c r="A1383" i="4"/>
  <c r="B1382" i="4"/>
  <c r="A1382" i="4"/>
  <c r="B1381" i="4"/>
  <c r="A1381" i="4"/>
  <c r="B1380" i="4"/>
  <c r="A1380" i="4"/>
  <c r="B1379" i="4"/>
  <c r="A1379" i="4"/>
  <c r="B1378" i="4"/>
  <c r="A1378" i="4"/>
  <c r="B1377" i="4"/>
  <c r="A1377" i="4"/>
  <c r="B1376" i="4"/>
  <c r="A1376" i="4"/>
  <c r="B1375" i="4"/>
  <c r="A1375" i="4"/>
  <c r="B1374" i="4"/>
  <c r="A1374" i="4"/>
  <c r="B1373" i="4"/>
  <c r="A1373" i="4"/>
  <c r="B1372" i="4"/>
  <c r="A1372" i="4"/>
  <c r="B1371" i="4"/>
  <c r="A1371" i="4"/>
  <c r="B1370" i="4"/>
  <c r="A1370" i="4"/>
  <c r="B1369" i="4"/>
  <c r="A1369" i="4"/>
  <c r="B1368" i="4"/>
  <c r="A1368" i="4"/>
  <c r="B1367" i="4"/>
  <c r="A1367" i="4"/>
  <c r="B1366" i="4"/>
  <c r="A1366" i="4"/>
  <c r="B1365" i="4"/>
  <c r="A1365" i="4"/>
  <c r="B1364" i="4"/>
  <c r="A1364" i="4"/>
  <c r="B1363" i="4"/>
  <c r="A1363" i="4"/>
  <c r="B1362" i="4"/>
  <c r="A1362" i="4"/>
  <c r="B1361" i="4"/>
  <c r="A1361" i="4"/>
  <c r="B1360" i="4"/>
  <c r="A1360" i="4"/>
  <c r="B1359" i="4"/>
  <c r="A1359" i="4"/>
  <c r="B1358" i="4"/>
  <c r="A1358" i="4"/>
  <c r="B1357" i="4"/>
  <c r="A1357" i="4"/>
  <c r="B1356" i="4"/>
  <c r="A1356" i="4"/>
  <c r="B1355" i="4"/>
  <c r="A1355" i="4"/>
  <c r="B1354" i="4"/>
  <c r="A1354" i="4"/>
  <c r="B1353" i="4"/>
  <c r="A1353" i="4"/>
  <c r="B1352" i="4"/>
  <c r="A1352" i="4"/>
  <c r="B1351" i="4"/>
  <c r="A1351" i="4"/>
  <c r="B1350" i="4"/>
  <c r="A1350" i="4"/>
  <c r="B1349" i="4"/>
  <c r="A1349" i="4"/>
  <c r="B1348" i="4"/>
  <c r="A1348" i="4"/>
  <c r="B1347" i="4"/>
  <c r="A1347" i="4"/>
  <c r="B1346" i="4"/>
  <c r="A1346" i="4"/>
  <c r="B1345" i="4"/>
  <c r="A1345" i="4"/>
  <c r="B1344" i="4"/>
  <c r="A1344" i="4"/>
  <c r="B1343" i="4"/>
  <c r="A1343" i="4"/>
  <c r="B1342" i="4"/>
  <c r="A1342" i="4"/>
  <c r="B1341" i="4"/>
  <c r="A1341" i="4"/>
  <c r="B1340" i="4"/>
  <c r="A1340" i="4"/>
  <c r="B1339" i="4"/>
  <c r="A1339" i="4"/>
  <c r="B1338" i="4"/>
  <c r="A1338" i="4"/>
  <c r="B1337" i="4"/>
  <c r="A1337" i="4"/>
  <c r="B1336" i="4"/>
  <c r="A1336" i="4"/>
  <c r="B1335" i="4"/>
  <c r="A1335" i="4"/>
  <c r="B1334" i="4"/>
  <c r="A1334" i="4"/>
  <c r="B1333" i="4"/>
  <c r="A1333" i="4"/>
  <c r="B1332" i="4"/>
  <c r="A1332" i="4"/>
  <c r="B1331" i="4"/>
  <c r="A1331" i="4"/>
  <c r="B1330" i="4"/>
  <c r="A1330" i="4"/>
  <c r="B1329" i="4"/>
  <c r="A1329" i="4"/>
  <c r="B1328" i="4"/>
  <c r="A1328" i="4"/>
  <c r="B1327" i="4"/>
  <c r="A1327" i="4"/>
  <c r="B1326" i="4"/>
  <c r="A1326" i="4"/>
  <c r="B1325" i="4"/>
  <c r="A1325" i="4"/>
  <c r="B1324" i="4"/>
  <c r="A1324" i="4"/>
  <c r="B1323" i="4"/>
  <c r="A1323" i="4"/>
  <c r="B1322" i="4"/>
  <c r="A1322" i="4"/>
  <c r="B1321" i="4"/>
  <c r="A1321" i="4"/>
  <c r="B1320" i="4"/>
  <c r="A1320" i="4"/>
  <c r="B1319" i="4"/>
  <c r="A1319" i="4"/>
  <c r="B1318" i="4"/>
  <c r="A1318" i="4"/>
  <c r="B1317" i="4"/>
  <c r="A1317" i="4"/>
  <c r="B1316" i="4"/>
  <c r="A1316" i="4"/>
  <c r="B1315" i="4"/>
  <c r="A1315" i="4"/>
  <c r="B1314" i="4"/>
  <c r="A1314" i="4"/>
  <c r="B1313" i="4"/>
  <c r="A1313" i="4"/>
  <c r="B1312" i="4"/>
  <c r="A1312" i="4"/>
  <c r="B1311" i="4"/>
  <c r="A1311" i="4"/>
  <c r="B1310" i="4"/>
  <c r="A1310" i="4"/>
  <c r="B1309" i="4"/>
  <c r="A1309" i="4"/>
  <c r="B1308" i="4"/>
  <c r="A1308" i="4"/>
  <c r="B1307" i="4"/>
  <c r="A1307" i="4"/>
  <c r="B1306" i="4"/>
  <c r="A1306" i="4"/>
  <c r="B1305" i="4"/>
  <c r="A1305" i="4"/>
  <c r="B1304" i="4"/>
  <c r="A1304" i="4"/>
  <c r="B1303" i="4"/>
  <c r="A1303" i="4"/>
  <c r="B1302" i="4"/>
  <c r="A1302" i="4"/>
  <c r="B1301" i="4"/>
  <c r="A1301" i="4"/>
  <c r="B1300" i="4"/>
  <c r="A1300" i="4"/>
  <c r="B1299" i="4"/>
  <c r="A1299" i="4"/>
  <c r="B1298" i="4"/>
  <c r="A1298" i="4"/>
  <c r="B1297" i="4"/>
  <c r="A1297" i="4"/>
  <c r="B1296" i="4"/>
  <c r="A1296" i="4"/>
  <c r="B1295" i="4"/>
  <c r="A1295" i="4"/>
  <c r="B1294" i="4"/>
  <c r="A1294" i="4"/>
  <c r="B1293" i="4"/>
  <c r="A1293" i="4"/>
  <c r="B1292" i="4"/>
  <c r="A1292" i="4"/>
  <c r="B1291" i="4"/>
  <c r="A1291" i="4"/>
  <c r="B1290" i="4"/>
  <c r="A1290" i="4"/>
  <c r="B1289" i="4"/>
  <c r="A1289" i="4"/>
  <c r="B1288" i="4"/>
  <c r="A1288" i="4"/>
  <c r="B1287" i="4"/>
  <c r="A1287" i="4"/>
  <c r="B1286" i="4"/>
  <c r="A1286" i="4"/>
  <c r="B1285" i="4"/>
  <c r="A1285" i="4"/>
  <c r="B1284" i="4"/>
  <c r="A1284" i="4"/>
  <c r="B1283" i="4"/>
  <c r="A1283" i="4"/>
  <c r="B1282" i="4"/>
  <c r="A1282" i="4"/>
  <c r="B1281" i="4"/>
  <c r="A1281" i="4"/>
  <c r="B1280" i="4"/>
  <c r="A1280" i="4"/>
  <c r="B1279" i="4"/>
  <c r="A1279" i="4"/>
  <c r="B1278" i="4"/>
  <c r="A1278" i="4"/>
  <c r="B1277" i="4"/>
  <c r="A1277" i="4"/>
  <c r="B1276" i="4"/>
  <c r="A1276" i="4"/>
  <c r="B1275" i="4"/>
  <c r="A1275" i="4"/>
  <c r="B1274" i="4"/>
  <c r="A1274" i="4"/>
  <c r="B1273" i="4"/>
  <c r="A1273" i="4"/>
  <c r="B1272" i="4"/>
  <c r="A1272" i="4"/>
  <c r="B1271" i="4"/>
  <c r="A1271" i="4"/>
  <c r="B1270" i="4"/>
  <c r="A1270" i="4"/>
  <c r="B1269" i="4"/>
  <c r="A1269" i="4"/>
  <c r="B1268" i="4"/>
  <c r="A1268" i="4"/>
  <c r="B1267" i="4"/>
  <c r="A1267" i="4"/>
  <c r="B1266" i="4"/>
  <c r="A1266" i="4"/>
  <c r="B1265" i="4"/>
  <c r="A1265" i="4"/>
  <c r="B1264" i="4"/>
  <c r="A1264" i="4"/>
  <c r="B1263" i="4"/>
  <c r="A1263" i="4"/>
  <c r="B1262" i="4"/>
  <c r="A1262" i="4"/>
  <c r="B1261" i="4"/>
  <c r="A1261" i="4"/>
  <c r="B1260" i="4"/>
  <c r="A1260" i="4"/>
  <c r="B1259" i="4"/>
  <c r="A1259" i="4"/>
  <c r="B1258" i="4"/>
  <c r="A1258" i="4"/>
  <c r="B1257" i="4"/>
  <c r="A1257" i="4"/>
  <c r="B1256" i="4"/>
  <c r="A1256" i="4"/>
  <c r="B1255" i="4"/>
  <c r="A1255" i="4"/>
  <c r="B1254" i="4"/>
  <c r="A1254" i="4"/>
  <c r="B1253" i="4"/>
  <c r="A1253" i="4"/>
  <c r="B1252" i="4"/>
  <c r="A1252" i="4"/>
  <c r="B1251" i="4"/>
  <c r="A1251" i="4"/>
  <c r="B1250" i="4"/>
  <c r="A1250" i="4"/>
  <c r="B1249" i="4"/>
  <c r="A1249" i="4"/>
  <c r="B1248" i="4"/>
  <c r="A1248" i="4"/>
  <c r="B1247" i="4"/>
  <c r="A1247" i="4"/>
  <c r="B1246" i="4"/>
  <c r="A1246" i="4"/>
  <c r="B1245" i="4"/>
  <c r="A1245" i="4"/>
  <c r="B1244" i="4"/>
  <c r="A1244" i="4"/>
  <c r="B1243" i="4"/>
  <c r="A1243" i="4"/>
  <c r="B1242" i="4"/>
  <c r="A1242" i="4"/>
  <c r="B1241" i="4"/>
  <c r="A1241" i="4"/>
  <c r="B1240" i="4"/>
  <c r="A1240" i="4"/>
  <c r="B1239" i="4"/>
  <c r="A1239" i="4"/>
  <c r="B1238" i="4"/>
  <c r="A1238" i="4"/>
  <c r="B1237" i="4"/>
  <c r="A1237" i="4"/>
  <c r="B1236" i="4"/>
  <c r="A1236" i="4"/>
  <c r="B1235" i="4"/>
  <c r="A1235" i="4"/>
  <c r="B1234" i="4"/>
  <c r="A1234" i="4"/>
  <c r="B1233" i="4"/>
  <c r="A1233" i="4"/>
  <c r="B1232" i="4"/>
  <c r="A1232" i="4"/>
  <c r="B1231" i="4"/>
  <c r="A1231" i="4"/>
  <c r="B1230" i="4"/>
  <c r="A1230" i="4"/>
  <c r="B1229" i="4"/>
  <c r="A1229" i="4"/>
  <c r="B1228" i="4"/>
  <c r="A1228" i="4"/>
  <c r="B1227" i="4"/>
  <c r="A1227" i="4"/>
  <c r="B1226" i="4"/>
  <c r="A1226" i="4"/>
  <c r="B1225" i="4"/>
  <c r="A1225" i="4"/>
  <c r="B1224" i="4"/>
  <c r="A1224" i="4"/>
  <c r="B1223" i="4"/>
  <c r="A1223" i="4"/>
  <c r="B1222" i="4"/>
  <c r="A1222" i="4"/>
  <c r="B1221" i="4"/>
  <c r="A1221" i="4"/>
  <c r="B1220" i="4"/>
  <c r="A1220" i="4"/>
  <c r="B1219" i="4"/>
  <c r="A1219" i="4"/>
  <c r="B1218" i="4"/>
  <c r="A1218" i="4"/>
  <c r="B1217" i="4"/>
  <c r="A1217" i="4"/>
  <c r="B1216" i="4"/>
  <c r="A1216" i="4"/>
  <c r="B1215" i="4"/>
  <c r="A1215" i="4"/>
  <c r="B1214" i="4"/>
  <c r="A1214" i="4"/>
  <c r="B1213" i="4"/>
  <c r="A1213" i="4"/>
  <c r="B1212" i="4"/>
  <c r="A1212" i="4"/>
  <c r="B1211" i="4"/>
  <c r="A1211" i="4"/>
  <c r="B1210" i="4"/>
  <c r="A1210" i="4"/>
  <c r="B1209" i="4"/>
  <c r="A1209" i="4"/>
  <c r="B1208" i="4"/>
  <c r="A1208" i="4"/>
  <c r="B1207" i="4"/>
  <c r="A1207" i="4"/>
  <c r="B1206" i="4"/>
  <c r="A1206" i="4"/>
  <c r="B1205" i="4"/>
  <c r="A1205" i="4"/>
  <c r="B1204" i="4"/>
  <c r="A1204" i="4"/>
  <c r="B1203" i="4"/>
  <c r="A1203" i="4"/>
  <c r="B1202" i="4"/>
  <c r="A1202" i="4"/>
  <c r="B1201" i="4"/>
  <c r="A1201" i="4"/>
  <c r="B1200" i="4"/>
  <c r="A1200" i="4"/>
  <c r="B1199" i="4"/>
  <c r="A1199" i="4"/>
  <c r="B1198" i="4"/>
  <c r="A1198" i="4"/>
  <c r="B1197" i="4"/>
  <c r="A1197" i="4"/>
  <c r="B1196" i="4"/>
  <c r="A1196" i="4"/>
  <c r="B1195" i="4"/>
  <c r="A1195" i="4"/>
  <c r="B1194" i="4"/>
  <c r="A1194" i="4"/>
  <c r="B1193" i="4"/>
  <c r="A1193" i="4"/>
  <c r="B1192" i="4"/>
  <c r="A1192" i="4"/>
  <c r="B1191" i="4"/>
  <c r="A1191" i="4"/>
  <c r="B1190" i="4"/>
  <c r="A1190" i="4"/>
  <c r="B1189" i="4"/>
  <c r="A1189" i="4"/>
  <c r="B1188" i="4"/>
  <c r="A1188" i="4"/>
  <c r="B1187" i="4"/>
  <c r="A1187" i="4"/>
  <c r="B1186" i="4"/>
  <c r="A1186" i="4"/>
  <c r="B1185" i="4"/>
  <c r="A1185" i="4"/>
  <c r="B1184" i="4"/>
  <c r="A1184" i="4"/>
  <c r="B1183" i="4"/>
  <c r="A1183" i="4"/>
  <c r="B1182" i="4"/>
  <c r="A1182" i="4"/>
  <c r="B1181" i="4"/>
  <c r="A1181" i="4"/>
  <c r="B1180" i="4"/>
  <c r="A1180" i="4"/>
  <c r="B1179" i="4"/>
  <c r="A1179" i="4"/>
  <c r="B1178" i="4"/>
  <c r="A1178" i="4"/>
  <c r="B1177" i="4"/>
  <c r="A1177" i="4"/>
  <c r="B1176" i="4"/>
  <c r="A1176" i="4"/>
  <c r="B1175" i="4"/>
  <c r="A1175" i="4"/>
  <c r="B1174" i="4"/>
  <c r="A1174" i="4"/>
  <c r="B1173" i="4"/>
  <c r="A1173" i="4"/>
  <c r="B1172" i="4"/>
  <c r="A1172" i="4"/>
  <c r="B1171" i="4"/>
  <c r="A1171" i="4"/>
  <c r="B1170" i="4"/>
  <c r="A1170" i="4"/>
  <c r="B1169" i="4"/>
  <c r="A1169" i="4"/>
  <c r="B1168" i="4"/>
  <c r="A1168" i="4"/>
  <c r="B1167" i="4"/>
  <c r="A1167" i="4"/>
  <c r="B1166" i="4"/>
  <c r="A1166" i="4"/>
  <c r="B1165" i="4"/>
  <c r="A1165" i="4"/>
  <c r="B1164" i="4"/>
  <c r="A1164" i="4"/>
  <c r="B1163" i="4"/>
  <c r="A1163" i="4"/>
  <c r="B1162" i="4"/>
  <c r="A1162" i="4"/>
  <c r="B1161" i="4"/>
  <c r="A1161" i="4"/>
  <c r="B1160" i="4"/>
  <c r="A1160" i="4"/>
  <c r="B1159" i="4"/>
  <c r="A1159" i="4"/>
  <c r="B1158" i="4"/>
  <c r="A1158" i="4"/>
  <c r="B1157" i="4"/>
  <c r="A1157" i="4"/>
  <c r="B1156" i="4"/>
  <c r="A1156" i="4"/>
  <c r="B1155" i="4"/>
  <c r="A1155" i="4"/>
  <c r="B1154" i="4"/>
  <c r="A1154" i="4"/>
  <c r="B1153" i="4"/>
  <c r="A1153" i="4"/>
  <c r="B1152" i="4"/>
  <c r="A1152" i="4"/>
  <c r="B1151" i="4"/>
  <c r="A1151" i="4"/>
  <c r="B1150" i="4"/>
  <c r="A1150" i="4"/>
  <c r="B1149" i="4"/>
  <c r="A1149" i="4"/>
  <c r="B1148" i="4"/>
  <c r="A1148" i="4"/>
  <c r="B1147" i="4"/>
  <c r="A1147" i="4"/>
  <c r="B1146" i="4"/>
  <c r="A1146" i="4"/>
  <c r="B1145" i="4"/>
  <c r="A1145" i="4"/>
  <c r="B1144" i="4"/>
  <c r="A1144" i="4"/>
  <c r="B1143" i="4"/>
  <c r="A1143" i="4"/>
  <c r="B1142" i="4"/>
  <c r="A1142" i="4"/>
  <c r="B1141" i="4"/>
  <c r="A1141" i="4"/>
  <c r="B1140" i="4"/>
  <c r="A1140" i="4"/>
  <c r="B1139" i="4"/>
  <c r="A1139" i="4"/>
  <c r="B1138" i="4"/>
  <c r="A1138" i="4"/>
  <c r="B1137" i="4"/>
  <c r="A1137" i="4"/>
  <c r="B1136" i="4"/>
  <c r="A1136" i="4"/>
  <c r="B1135" i="4"/>
  <c r="A1135" i="4"/>
  <c r="B1134" i="4"/>
  <c r="A1134" i="4"/>
  <c r="B1133" i="4"/>
  <c r="A1133" i="4"/>
  <c r="B1132" i="4"/>
  <c r="A1132" i="4"/>
  <c r="B1131" i="4"/>
  <c r="A1131" i="4"/>
  <c r="B1130" i="4"/>
  <c r="A1130" i="4"/>
  <c r="B1129" i="4"/>
  <c r="A1129" i="4"/>
  <c r="B1128" i="4"/>
  <c r="A1128" i="4"/>
  <c r="B1127" i="4"/>
  <c r="A1127" i="4"/>
  <c r="B1126" i="4"/>
  <c r="A1126" i="4"/>
  <c r="B1125" i="4"/>
  <c r="A1125" i="4"/>
  <c r="B1124" i="4"/>
  <c r="A1124" i="4"/>
  <c r="B1123" i="4"/>
  <c r="A1123" i="4"/>
  <c r="B1122" i="4"/>
  <c r="A1122" i="4"/>
  <c r="B1121" i="4"/>
  <c r="A1121" i="4"/>
  <c r="B1120" i="4"/>
  <c r="A1120" i="4"/>
  <c r="B1119" i="4"/>
  <c r="A1119" i="4"/>
  <c r="B1118" i="4"/>
  <c r="A1118" i="4"/>
  <c r="B1117" i="4"/>
  <c r="A1117" i="4"/>
  <c r="B1116" i="4"/>
  <c r="A1116" i="4"/>
  <c r="B1115" i="4"/>
  <c r="A1115" i="4"/>
  <c r="B1114" i="4"/>
  <c r="A1114" i="4"/>
  <c r="B1113" i="4"/>
  <c r="A1113" i="4"/>
  <c r="B1112" i="4"/>
  <c r="A1112" i="4"/>
  <c r="B1111" i="4"/>
  <c r="A1111" i="4"/>
  <c r="B1110" i="4"/>
  <c r="A1110" i="4"/>
  <c r="B1109" i="4"/>
  <c r="A1109" i="4"/>
  <c r="B1108" i="4"/>
  <c r="A1108" i="4"/>
  <c r="B1107" i="4"/>
  <c r="A1107" i="4"/>
  <c r="B1106" i="4"/>
  <c r="A1106" i="4"/>
  <c r="B1105" i="4"/>
  <c r="A1105" i="4"/>
  <c r="B1104" i="4"/>
  <c r="A1104" i="4"/>
  <c r="B1103" i="4"/>
  <c r="A1103" i="4"/>
  <c r="B1102" i="4"/>
  <c r="A1102" i="4"/>
  <c r="B1101" i="4"/>
  <c r="A1101" i="4"/>
  <c r="B1100" i="4"/>
  <c r="A1100" i="4"/>
  <c r="B1099" i="4"/>
  <c r="A1099" i="4"/>
  <c r="B1098" i="4"/>
  <c r="A1098" i="4"/>
  <c r="B1097" i="4"/>
  <c r="A1097" i="4"/>
  <c r="B1096" i="4"/>
  <c r="A1096" i="4"/>
  <c r="B1095" i="4"/>
  <c r="A1095" i="4"/>
  <c r="B1094" i="4"/>
  <c r="A1094" i="4"/>
  <c r="B1093" i="4"/>
  <c r="A1093" i="4"/>
  <c r="B1092" i="4"/>
  <c r="A1092" i="4"/>
  <c r="B1091" i="4"/>
  <c r="A1091" i="4"/>
  <c r="B1090" i="4"/>
  <c r="A1090" i="4"/>
  <c r="B1089" i="4"/>
  <c r="A1089" i="4"/>
  <c r="B1088" i="4"/>
  <c r="A1088" i="4"/>
  <c r="B1087" i="4"/>
  <c r="A1087" i="4"/>
  <c r="B1086" i="4"/>
  <c r="A1086" i="4"/>
  <c r="B1085" i="4"/>
  <c r="A1085" i="4"/>
  <c r="B1084" i="4"/>
  <c r="A1084" i="4"/>
  <c r="B1083" i="4"/>
  <c r="A1083" i="4"/>
  <c r="B1082" i="4"/>
  <c r="A1082" i="4"/>
  <c r="B1081" i="4"/>
  <c r="A1081" i="4"/>
  <c r="B1080" i="4"/>
  <c r="A1080" i="4"/>
  <c r="B1079" i="4"/>
  <c r="A1079" i="4"/>
  <c r="B1078" i="4"/>
  <c r="A1078" i="4"/>
  <c r="B1077" i="4"/>
  <c r="A1077" i="4"/>
  <c r="B1076" i="4"/>
  <c r="A1076" i="4"/>
  <c r="B1075" i="4"/>
  <c r="A1075" i="4"/>
  <c r="B1074" i="4"/>
  <c r="A1074" i="4"/>
  <c r="B1073" i="4"/>
  <c r="A1073" i="4"/>
  <c r="B1072" i="4"/>
  <c r="A1072" i="4"/>
  <c r="B1071" i="4"/>
  <c r="A1071" i="4"/>
  <c r="B1070" i="4"/>
  <c r="A1070" i="4"/>
  <c r="B1069" i="4"/>
  <c r="A1069" i="4"/>
  <c r="B1068" i="4"/>
  <c r="A1068" i="4"/>
  <c r="B1067" i="4"/>
  <c r="A1067" i="4"/>
  <c r="B1066" i="4"/>
  <c r="A1066" i="4"/>
  <c r="B1065" i="4"/>
  <c r="A1065" i="4"/>
  <c r="B1064" i="4"/>
  <c r="A1064" i="4"/>
  <c r="B1063" i="4"/>
  <c r="A1063" i="4"/>
  <c r="B1062" i="4"/>
  <c r="A1062" i="4"/>
  <c r="B1061" i="4"/>
  <c r="A1061" i="4"/>
  <c r="B1060" i="4"/>
  <c r="A1060" i="4"/>
  <c r="B1059" i="4"/>
  <c r="A1059" i="4"/>
  <c r="B1058" i="4"/>
  <c r="A1058" i="4"/>
  <c r="B1057" i="4"/>
  <c r="A1057" i="4"/>
  <c r="B1056" i="4"/>
  <c r="A1056" i="4"/>
  <c r="B1055" i="4"/>
  <c r="A1055" i="4"/>
  <c r="B1054" i="4"/>
  <c r="A1054" i="4"/>
  <c r="B1053" i="4"/>
  <c r="A1053" i="4"/>
  <c r="B1052" i="4"/>
  <c r="A1052" i="4"/>
  <c r="B1051" i="4"/>
  <c r="A1051" i="4"/>
  <c r="B1050" i="4"/>
  <c r="A1050" i="4"/>
  <c r="B1049" i="4"/>
  <c r="A1049" i="4"/>
  <c r="B1048" i="4"/>
  <c r="A1048" i="4"/>
  <c r="B1047" i="4"/>
  <c r="A1047" i="4"/>
  <c r="B1046" i="4"/>
  <c r="A1046" i="4"/>
  <c r="B1045" i="4"/>
  <c r="A1045" i="4"/>
  <c r="B1044" i="4"/>
  <c r="A1044" i="4"/>
  <c r="B1043" i="4"/>
  <c r="A1043" i="4"/>
  <c r="B1042" i="4"/>
  <c r="A1042" i="4"/>
  <c r="B1041" i="4"/>
  <c r="A1041" i="4"/>
  <c r="B1040" i="4"/>
  <c r="A1040" i="4"/>
  <c r="B1039" i="4"/>
  <c r="A1039" i="4"/>
  <c r="B1038" i="4"/>
  <c r="A1038" i="4"/>
  <c r="B1037" i="4"/>
  <c r="A1037" i="4"/>
  <c r="B1036" i="4"/>
  <c r="A1036" i="4"/>
  <c r="B1035" i="4"/>
  <c r="A1035" i="4"/>
  <c r="B1034" i="4"/>
  <c r="A1034" i="4"/>
  <c r="B1033" i="4"/>
  <c r="A1033" i="4"/>
  <c r="B1032" i="4"/>
  <c r="A1032" i="4"/>
  <c r="B1031" i="4"/>
  <c r="A1031" i="4"/>
  <c r="B1030" i="4"/>
  <c r="A1030" i="4"/>
  <c r="B1029" i="4"/>
  <c r="A1029" i="4"/>
  <c r="B1028" i="4"/>
  <c r="A1028" i="4"/>
  <c r="B1027" i="4"/>
  <c r="A1027" i="4"/>
  <c r="B1026" i="4"/>
  <c r="A1026" i="4"/>
  <c r="B1025" i="4"/>
  <c r="A1025" i="4"/>
  <c r="B1024" i="4"/>
  <c r="A1024" i="4"/>
  <c r="B1023" i="4"/>
  <c r="A1023" i="4"/>
  <c r="B1022" i="4"/>
  <c r="A1022" i="4"/>
  <c r="B1021" i="4"/>
  <c r="A1021" i="4"/>
  <c r="B1020" i="4"/>
  <c r="A1020" i="4"/>
  <c r="B1019" i="4"/>
  <c r="A1019" i="4"/>
  <c r="B1018" i="4"/>
  <c r="A1018" i="4"/>
  <c r="B1017" i="4"/>
  <c r="A1017" i="4"/>
  <c r="B1016" i="4"/>
  <c r="A1016" i="4"/>
  <c r="B1015" i="4"/>
  <c r="A1015" i="4"/>
  <c r="B1014" i="4"/>
  <c r="A1014" i="4"/>
  <c r="B1013" i="4"/>
  <c r="A1013" i="4"/>
  <c r="B1012" i="4"/>
  <c r="A1012" i="4"/>
  <c r="B1011" i="4"/>
  <c r="A1011" i="4"/>
  <c r="B1010" i="4"/>
  <c r="A1010" i="4"/>
  <c r="B1009" i="4"/>
  <c r="A1009" i="4"/>
  <c r="B1008" i="4"/>
  <c r="A1008" i="4"/>
  <c r="B1007" i="4"/>
  <c r="A1007" i="4"/>
  <c r="B1006" i="4"/>
  <c r="A1006" i="4"/>
  <c r="B1005" i="4"/>
  <c r="A1005" i="4"/>
  <c r="B1004" i="4"/>
  <c r="A1004" i="4"/>
  <c r="B1003" i="4"/>
  <c r="A1003" i="4"/>
  <c r="B1002" i="4"/>
  <c r="A1002" i="4"/>
  <c r="B1001" i="4"/>
  <c r="A1001" i="4"/>
  <c r="B1000" i="4"/>
  <c r="A1000" i="4"/>
  <c r="B999" i="4"/>
  <c r="A999" i="4"/>
  <c r="B998" i="4"/>
  <c r="A998" i="4"/>
  <c r="B997" i="4"/>
  <c r="A997" i="4"/>
  <c r="B996" i="4"/>
  <c r="A996" i="4"/>
  <c r="B995" i="4"/>
  <c r="A995" i="4"/>
  <c r="B994" i="4"/>
  <c r="A994" i="4"/>
  <c r="B993" i="4"/>
  <c r="A993" i="4"/>
  <c r="B992" i="4"/>
  <c r="A992" i="4"/>
  <c r="B991" i="4"/>
  <c r="A991" i="4"/>
  <c r="B990" i="4"/>
  <c r="A990" i="4"/>
  <c r="B989" i="4"/>
  <c r="A989" i="4"/>
  <c r="B988" i="4"/>
  <c r="A988" i="4"/>
  <c r="B987" i="4"/>
  <c r="A987" i="4"/>
  <c r="B986" i="4"/>
  <c r="A986" i="4"/>
  <c r="B985" i="4"/>
  <c r="A985" i="4"/>
  <c r="B984" i="4"/>
  <c r="A984" i="4"/>
  <c r="B983" i="4"/>
  <c r="A983" i="4"/>
  <c r="B982" i="4"/>
  <c r="A982" i="4"/>
  <c r="B981" i="4"/>
  <c r="A981" i="4"/>
  <c r="B980" i="4"/>
  <c r="A980" i="4"/>
  <c r="B979" i="4"/>
  <c r="A979" i="4"/>
  <c r="B978" i="4"/>
  <c r="A978" i="4"/>
  <c r="B977" i="4"/>
  <c r="A977" i="4"/>
  <c r="B976" i="4"/>
  <c r="A976" i="4"/>
  <c r="B975" i="4"/>
  <c r="A975" i="4"/>
  <c r="B974" i="4"/>
  <c r="A974" i="4"/>
  <c r="B973" i="4"/>
  <c r="A973" i="4"/>
  <c r="B972" i="4"/>
  <c r="A972" i="4"/>
  <c r="B971" i="4"/>
  <c r="A971" i="4"/>
  <c r="B970" i="4"/>
  <c r="A970" i="4"/>
  <c r="B969" i="4"/>
  <c r="A969" i="4"/>
  <c r="B968" i="4"/>
  <c r="A968" i="4"/>
  <c r="B967" i="4"/>
  <c r="A967" i="4"/>
  <c r="B966" i="4"/>
  <c r="A966" i="4"/>
  <c r="B965" i="4"/>
  <c r="A965" i="4"/>
  <c r="B964" i="4"/>
  <c r="A964" i="4"/>
  <c r="B963" i="4"/>
  <c r="A963" i="4"/>
  <c r="B962" i="4"/>
  <c r="A962" i="4"/>
  <c r="B961" i="4"/>
  <c r="A961" i="4"/>
  <c r="B960" i="4"/>
  <c r="A960" i="4"/>
  <c r="B959" i="4"/>
  <c r="A959" i="4"/>
  <c r="B958" i="4"/>
  <c r="A958" i="4"/>
  <c r="B957" i="4"/>
  <c r="A957" i="4"/>
  <c r="B956" i="4"/>
  <c r="A956" i="4"/>
  <c r="B955" i="4"/>
  <c r="A955" i="4"/>
  <c r="B954" i="4"/>
  <c r="A954" i="4"/>
  <c r="B953" i="4"/>
  <c r="A953" i="4"/>
  <c r="B952" i="4"/>
  <c r="A952" i="4"/>
  <c r="B951" i="4"/>
  <c r="A951" i="4"/>
  <c r="B950" i="4"/>
  <c r="A950" i="4"/>
  <c r="B949" i="4"/>
  <c r="A949" i="4"/>
  <c r="B948" i="4"/>
  <c r="A948" i="4"/>
  <c r="B947" i="4"/>
  <c r="A947" i="4"/>
  <c r="B946" i="4"/>
  <c r="A946" i="4"/>
  <c r="B945" i="4"/>
  <c r="A945" i="4"/>
  <c r="B944" i="4"/>
  <c r="A944" i="4"/>
  <c r="B943" i="4"/>
  <c r="A943" i="4"/>
  <c r="B942" i="4"/>
  <c r="A942" i="4"/>
  <c r="B941" i="4"/>
  <c r="A941" i="4"/>
  <c r="B940" i="4"/>
  <c r="A940" i="4"/>
  <c r="B939" i="4"/>
  <c r="A939" i="4"/>
  <c r="B938" i="4"/>
  <c r="A938" i="4"/>
  <c r="B937" i="4"/>
  <c r="A937" i="4"/>
  <c r="B936" i="4"/>
  <c r="A936" i="4"/>
  <c r="B935" i="4"/>
  <c r="A935" i="4"/>
  <c r="B934" i="4"/>
  <c r="A934" i="4"/>
  <c r="B933" i="4"/>
  <c r="A933" i="4"/>
  <c r="B932" i="4"/>
  <c r="A932" i="4"/>
  <c r="B931" i="4"/>
  <c r="A931" i="4"/>
  <c r="B930" i="4"/>
  <c r="A930" i="4"/>
  <c r="B929" i="4"/>
  <c r="A929" i="4"/>
  <c r="B928" i="4"/>
  <c r="A928" i="4"/>
  <c r="B927" i="4"/>
  <c r="A927" i="4"/>
  <c r="B926" i="4"/>
  <c r="A926" i="4"/>
  <c r="B925" i="4"/>
  <c r="A925" i="4"/>
  <c r="B924" i="4"/>
  <c r="A924" i="4"/>
  <c r="B923" i="4"/>
  <c r="A923" i="4"/>
  <c r="B922" i="4"/>
  <c r="A922" i="4"/>
  <c r="B921" i="4"/>
  <c r="A921" i="4"/>
  <c r="B920" i="4"/>
  <c r="A920" i="4"/>
  <c r="B919" i="4"/>
  <c r="A919" i="4"/>
  <c r="B918" i="4"/>
  <c r="A918" i="4"/>
  <c r="B917" i="4"/>
  <c r="A917" i="4"/>
  <c r="B916" i="4"/>
  <c r="A916" i="4"/>
  <c r="B915" i="4"/>
  <c r="A915" i="4"/>
  <c r="B914" i="4"/>
  <c r="A914" i="4"/>
  <c r="B913" i="4"/>
  <c r="A913" i="4"/>
  <c r="B912" i="4"/>
  <c r="A912" i="4"/>
  <c r="B911" i="4"/>
  <c r="A911" i="4"/>
  <c r="B910" i="4"/>
  <c r="A910" i="4"/>
  <c r="B909" i="4"/>
  <c r="A909" i="4"/>
  <c r="B908" i="4"/>
  <c r="A908" i="4"/>
  <c r="B907" i="4"/>
  <c r="A907" i="4"/>
  <c r="B906" i="4"/>
  <c r="A906" i="4"/>
  <c r="B905" i="4"/>
  <c r="A905" i="4"/>
  <c r="B904" i="4"/>
  <c r="A904" i="4"/>
  <c r="B903" i="4"/>
  <c r="A903" i="4"/>
  <c r="B902" i="4"/>
  <c r="A902" i="4"/>
  <c r="B901" i="4"/>
  <c r="A901" i="4"/>
  <c r="B900" i="4"/>
  <c r="A900" i="4"/>
  <c r="B899" i="4"/>
  <c r="A899" i="4"/>
  <c r="B898" i="4"/>
  <c r="A898" i="4"/>
  <c r="B897" i="4"/>
  <c r="A897" i="4"/>
  <c r="B896" i="4"/>
  <c r="A896" i="4"/>
  <c r="B895" i="4"/>
  <c r="A895" i="4"/>
  <c r="B894" i="4"/>
  <c r="A894" i="4"/>
  <c r="B893" i="4"/>
  <c r="A893" i="4"/>
  <c r="B892" i="4"/>
  <c r="A892" i="4"/>
  <c r="B891" i="4"/>
  <c r="A891" i="4"/>
  <c r="B890" i="4"/>
  <c r="A890" i="4"/>
  <c r="B889" i="4"/>
  <c r="A889" i="4"/>
  <c r="B888" i="4"/>
  <c r="A888" i="4"/>
  <c r="B887" i="4"/>
  <c r="A887" i="4"/>
  <c r="B886" i="4"/>
  <c r="A886" i="4"/>
  <c r="B885" i="4"/>
  <c r="A885" i="4"/>
  <c r="B884" i="4"/>
  <c r="A884" i="4"/>
  <c r="B883" i="4"/>
  <c r="A883" i="4"/>
  <c r="B882" i="4"/>
  <c r="A882" i="4"/>
  <c r="B881" i="4"/>
  <c r="A881" i="4"/>
  <c r="B880" i="4"/>
  <c r="A880" i="4"/>
  <c r="B879" i="4"/>
  <c r="A879" i="4"/>
  <c r="B878" i="4"/>
  <c r="A878" i="4"/>
  <c r="B877" i="4"/>
  <c r="A877" i="4"/>
  <c r="B876" i="4"/>
  <c r="A876" i="4"/>
  <c r="B875" i="4"/>
  <c r="A875" i="4"/>
  <c r="B874" i="4"/>
  <c r="A874" i="4"/>
  <c r="B873" i="4"/>
  <c r="A873" i="4"/>
  <c r="B872" i="4"/>
  <c r="A872" i="4"/>
  <c r="B871" i="4"/>
  <c r="A871" i="4"/>
  <c r="B870" i="4"/>
  <c r="A870" i="4"/>
  <c r="B869" i="4"/>
  <c r="A869" i="4"/>
  <c r="B868" i="4"/>
  <c r="A868" i="4"/>
  <c r="B867" i="4"/>
  <c r="A867" i="4"/>
  <c r="B866" i="4"/>
  <c r="A866" i="4"/>
  <c r="B865" i="4"/>
  <c r="A865" i="4"/>
  <c r="B864" i="4"/>
  <c r="A864" i="4"/>
  <c r="B863" i="4"/>
  <c r="A863" i="4"/>
  <c r="B862" i="4"/>
  <c r="A862" i="4"/>
  <c r="B861" i="4"/>
  <c r="A861" i="4"/>
  <c r="B860" i="4"/>
  <c r="A860" i="4"/>
  <c r="B859" i="4"/>
  <c r="A859" i="4"/>
  <c r="B858" i="4"/>
  <c r="A858" i="4"/>
  <c r="B857" i="4"/>
  <c r="A857" i="4"/>
  <c r="B856" i="4"/>
  <c r="A856" i="4"/>
  <c r="B855" i="4"/>
  <c r="A855" i="4"/>
  <c r="B854" i="4"/>
  <c r="A854" i="4"/>
  <c r="B853" i="4"/>
  <c r="A853" i="4"/>
  <c r="B852" i="4"/>
  <c r="A852" i="4"/>
  <c r="B851" i="4"/>
  <c r="A851" i="4"/>
  <c r="B850" i="4"/>
  <c r="A850" i="4"/>
  <c r="B849" i="4"/>
  <c r="A849" i="4"/>
  <c r="B848" i="4"/>
  <c r="A848" i="4"/>
  <c r="B847" i="4"/>
  <c r="A847" i="4"/>
  <c r="B846" i="4"/>
  <c r="A846" i="4"/>
  <c r="B845" i="4"/>
  <c r="A845" i="4"/>
  <c r="B844" i="4"/>
  <c r="A844" i="4"/>
  <c r="B843" i="4"/>
  <c r="A843" i="4"/>
  <c r="B842" i="4"/>
  <c r="A842" i="4"/>
  <c r="B841" i="4"/>
  <c r="A841" i="4"/>
  <c r="B840" i="4"/>
  <c r="A840" i="4"/>
  <c r="B839" i="4"/>
  <c r="A839" i="4"/>
  <c r="B838" i="4"/>
  <c r="A838" i="4"/>
  <c r="B837" i="4"/>
  <c r="A837" i="4"/>
  <c r="B836" i="4"/>
  <c r="A836" i="4"/>
  <c r="B835" i="4"/>
  <c r="A835" i="4"/>
  <c r="B834" i="4"/>
  <c r="A834" i="4"/>
  <c r="B833" i="4"/>
  <c r="A833" i="4"/>
  <c r="B832" i="4"/>
  <c r="A832" i="4"/>
  <c r="B831" i="4"/>
  <c r="A831" i="4"/>
  <c r="B830" i="4"/>
  <c r="A830" i="4"/>
  <c r="B829" i="4"/>
  <c r="A829" i="4"/>
  <c r="B828" i="4"/>
  <c r="A828" i="4"/>
  <c r="B827" i="4"/>
  <c r="A827" i="4"/>
  <c r="B826" i="4"/>
  <c r="A826" i="4"/>
  <c r="B825" i="4"/>
  <c r="A825" i="4"/>
  <c r="B824" i="4"/>
  <c r="A824" i="4"/>
  <c r="B823" i="4"/>
  <c r="A823" i="4"/>
  <c r="B822" i="4"/>
  <c r="A822" i="4"/>
  <c r="B821" i="4"/>
  <c r="A821" i="4"/>
  <c r="B820" i="4"/>
  <c r="A820" i="4"/>
  <c r="B819" i="4"/>
  <c r="A819" i="4"/>
  <c r="B818" i="4"/>
  <c r="A818" i="4"/>
  <c r="B817" i="4"/>
  <c r="A817" i="4"/>
  <c r="B816" i="4"/>
  <c r="A816" i="4"/>
  <c r="B815" i="4"/>
  <c r="A815" i="4"/>
  <c r="B814" i="4"/>
  <c r="A814" i="4"/>
  <c r="B813" i="4"/>
  <c r="A813" i="4"/>
  <c r="B812" i="4"/>
  <c r="A812" i="4"/>
  <c r="B811" i="4"/>
  <c r="A811" i="4"/>
  <c r="B810" i="4"/>
  <c r="A810" i="4"/>
  <c r="B809" i="4"/>
  <c r="A809" i="4"/>
  <c r="B808" i="4"/>
  <c r="A808" i="4"/>
  <c r="B807" i="4"/>
  <c r="A807" i="4"/>
  <c r="B806" i="4"/>
  <c r="A806" i="4"/>
  <c r="B805" i="4"/>
  <c r="A805" i="4"/>
  <c r="B804" i="4"/>
  <c r="A804" i="4"/>
  <c r="B803" i="4"/>
  <c r="A803" i="4"/>
  <c r="B802" i="4"/>
  <c r="A802" i="4"/>
  <c r="B801" i="4"/>
  <c r="A801" i="4"/>
  <c r="B800" i="4"/>
  <c r="A800" i="4"/>
  <c r="B799" i="4"/>
  <c r="A799" i="4"/>
  <c r="B798" i="4"/>
  <c r="A798" i="4"/>
  <c r="B797" i="4"/>
  <c r="A797" i="4"/>
  <c r="B796" i="4"/>
  <c r="A796" i="4"/>
  <c r="B795" i="4"/>
  <c r="A795" i="4"/>
  <c r="B794" i="4"/>
  <c r="A794" i="4"/>
  <c r="B793" i="4"/>
  <c r="A793" i="4"/>
  <c r="B792" i="4"/>
  <c r="A792" i="4"/>
  <c r="B791" i="4"/>
  <c r="A791" i="4"/>
  <c r="B790" i="4"/>
  <c r="A790" i="4"/>
  <c r="B789" i="4"/>
  <c r="A789" i="4"/>
  <c r="B788" i="4"/>
  <c r="A788" i="4"/>
  <c r="B787" i="4"/>
  <c r="A787" i="4"/>
  <c r="B786" i="4"/>
  <c r="A786" i="4"/>
  <c r="B785" i="4"/>
  <c r="A785" i="4"/>
  <c r="B784" i="4"/>
  <c r="A784" i="4"/>
  <c r="B783" i="4"/>
  <c r="A783" i="4"/>
  <c r="B782" i="4"/>
  <c r="A782" i="4"/>
  <c r="B781" i="4"/>
  <c r="A781" i="4"/>
  <c r="B780" i="4"/>
  <c r="A780" i="4"/>
  <c r="B779" i="4"/>
  <c r="A779" i="4"/>
  <c r="B778" i="4"/>
  <c r="A778" i="4"/>
  <c r="B777" i="4"/>
  <c r="A777" i="4"/>
  <c r="B776" i="4"/>
  <c r="A776" i="4"/>
  <c r="B775" i="4"/>
  <c r="A775" i="4"/>
  <c r="B774" i="4"/>
  <c r="A774" i="4"/>
  <c r="B773" i="4"/>
  <c r="A773" i="4"/>
  <c r="B772" i="4"/>
  <c r="A772" i="4"/>
  <c r="B771" i="4"/>
  <c r="A771" i="4"/>
  <c r="B770" i="4"/>
  <c r="A770" i="4"/>
  <c r="B769" i="4"/>
  <c r="A769" i="4"/>
  <c r="B768" i="4"/>
  <c r="A768" i="4"/>
  <c r="B767" i="4"/>
  <c r="A767" i="4"/>
  <c r="B766" i="4"/>
  <c r="A766" i="4"/>
  <c r="B765" i="4"/>
  <c r="A765" i="4"/>
  <c r="B764" i="4"/>
  <c r="A764" i="4"/>
  <c r="B763" i="4"/>
  <c r="A763" i="4"/>
  <c r="B762" i="4"/>
  <c r="A762" i="4"/>
  <c r="B761" i="4"/>
  <c r="A761" i="4"/>
  <c r="B760" i="4"/>
  <c r="A760" i="4"/>
  <c r="B759" i="4"/>
  <c r="A759" i="4"/>
  <c r="B758" i="4"/>
  <c r="A758" i="4"/>
  <c r="B757" i="4"/>
  <c r="A757" i="4"/>
  <c r="B756" i="4"/>
  <c r="A756" i="4"/>
  <c r="B755" i="4"/>
  <c r="A755" i="4"/>
  <c r="B754" i="4"/>
  <c r="A754" i="4"/>
  <c r="B753" i="4"/>
  <c r="A753" i="4"/>
  <c r="B752" i="4"/>
  <c r="A752" i="4"/>
  <c r="B751" i="4"/>
  <c r="A751" i="4"/>
  <c r="B750" i="4"/>
  <c r="A750" i="4"/>
  <c r="B749" i="4"/>
  <c r="A749" i="4"/>
  <c r="B748" i="4"/>
  <c r="A748" i="4"/>
  <c r="B747" i="4"/>
  <c r="A747" i="4"/>
  <c r="B746" i="4"/>
  <c r="A746" i="4"/>
  <c r="B745" i="4"/>
  <c r="A745" i="4"/>
  <c r="B744" i="4"/>
  <c r="A744" i="4"/>
  <c r="B743" i="4"/>
  <c r="A743" i="4"/>
  <c r="B742" i="4"/>
  <c r="A742" i="4"/>
  <c r="B741" i="4"/>
  <c r="A741" i="4"/>
  <c r="B740" i="4"/>
  <c r="A740" i="4"/>
  <c r="B739" i="4"/>
  <c r="A739" i="4"/>
  <c r="B738" i="4"/>
  <c r="A738" i="4"/>
  <c r="B737" i="4"/>
  <c r="A737" i="4"/>
  <c r="B736" i="4"/>
  <c r="A736" i="4"/>
  <c r="B735" i="4"/>
  <c r="A735" i="4"/>
  <c r="B734" i="4"/>
  <c r="A734" i="4"/>
  <c r="B733" i="4"/>
  <c r="A733" i="4"/>
  <c r="B732" i="4"/>
  <c r="A732" i="4"/>
  <c r="B731" i="4"/>
  <c r="A731" i="4"/>
  <c r="B730" i="4"/>
  <c r="A730" i="4"/>
  <c r="B729" i="4"/>
  <c r="A729" i="4"/>
  <c r="B728" i="4"/>
  <c r="A728" i="4"/>
  <c r="B727" i="4"/>
  <c r="A727" i="4"/>
  <c r="B726" i="4"/>
  <c r="A726" i="4"/>
  <c r="B725" i="4"/>
  <c r="A725" i="4"/>
  <c r="B724" i="4"/>
  <c r="A724" i="4"/>
  <c r="B723" i="4"/>
  <c r="A723" i="4"/>
  <c r="B722" i="4"/>
  <c r="A722" i="4"/>
  <c r="B721" i="4"/>
  <c r="A721" i="4"/>
  <c r="B720" i="4"/>
  <c r="A720" i="4"/>
  <c r="B719" i="4"/>
  <c r="A719" i="4"/>
  <c r="B718" i="4"/>
  <c r="A718" i="4"/>
  <c r="B717" i="4"/>
  <c r="A717" i="4"/>
  <c r="B716" i="4"/>
  <c r="A716" i="4"/>
  <c r="B715" i="4"/>
  <c r="A715" i="4"/>
  <c r="B714" i="4"/>
  <c r="A714" i="4"/>
  <c r="B713" i="4"/>
  <c r="A713" i="4"/>
  <c r="B712" i="4"/>
  <c r="A712" i="4"/>
  <c r="B711" i="4"/>
  <c r="A711" i="4"/>
  <c r="B710" i="4"/>
  <c r="A710" i="4"/>
  <c r="B709" i="4"/>
  <c r="A709" i="4"/>
  <c r="B708" i="4"/>
  <c r="A708" i="4"/>
  <c r="B707" i="4"/>
  <c r="A707" i="4"/>
  <c r="B706" i="4"/>
  <c r="A706" i="4"/>
  <c r="B705" i="4"/>
  <c r="A705" i="4"/>
  <c r="B704" i="4"/>
  <c r="A704" i="4"/>
  <c r="B703" i="4"/>
  <c r="A703" i="4"/>
  <c r="B702" i="4"/>
  <c r="A702" i="4"/>
  <c r="B701" i="4"/>
  <c r="A701" i="4"/>
  <c r="B700" i="4"/>
  <c r="A700" i="4"/>
  <c r="B699" i="4"/>
  <c r="A699" i="4"/>
  <c r="B698" i="4"/>
  <c r="A698" i="4"/>
  <c r="B697" i="4"/>
  <c r="A697" i="4"/>
  <c r="B696" i="4"/>
  <c r="A696" i="4"/>
  <c r="B695" i="4"/>
  <c r="A695" i="4"/>
  <c r="B694" i="4"/>
  <c r="A694" i="4"/>
  <c r="B693" i="4"/>
  <c r="A693" i="4"/>
  <c r="B692" i="4"/>
  <c r="A692" i="4"/>
  <c r="B691" i="4"/>
  <c r="A691" i="4"/>
  <c r="B690" i="4"/>
  <c r="A690" i="4"/>
  <c r="B689" i="4"/>
  <c r="A689" i="4"/>
  <c r="B688" i="4"/>
  <c r="A688" i="4"/>
  <c r="B687" i="4"/>
  <c r="A687" i="4"/>
  <c r="B686" i="4"/>
  <c r="A686" i="4"/>
  <c r="B685" i="4"/>
  <c r="A685" i="4"/>
  <c r="B684" i="4"/>
  <c r="A684" i="4"/>
  <c r="B683" i="4"/>
  <c r="A683" i="4"/>
  <c r="B682" i="4"/>
  <c r="A682" i="4"/>
  <c r="B681" i="4"/>
  <c r="A681" i="4"/>
  <c r="B680" i="4"/>
  <c r="A680" i="4"/>
  <c r="B679" i="4"/>
  <c r="A679" i="4"/>
  <c r="B678" i="4"/>
  <c r="A678" i="4"/>
  <c r="B677" i="4"/>
  <c r="A677" i="4"/>
  <c r="B676" i="4"/>
  <c r="A676" i="4"/>
  <c r="B675" i="4"/>
  <c r="A675" i="4"/>
  <c r="B674" i="4"/>
  <c r="A674" i="4"/>
  <c r="B673" i="4"/>
  <c r="A673" i="4"/>
  <c r="B672" i="4"/>
  <c r="A672" i="4"/>
  <c r="B671" i="4"/>
  <c r="A671" i="4"/>
  <c r="B670" i="4"/>
  <c r="A670" i="4"/>
  <c r="B669" i="4"/>
  <c r="A669" i="4"/>
  <c r="B668" i="4"/>
  <c r="A668" i="4"/>
  <c r="B667" i="4"/>
  <c r="A667" i="4"/>
  <c r="B666" i="4"/>
  <c r="A666" i="4"/>
  <c r="B665" i="4"/>
  <c r="A665" i="4"/>
  <c r="B664" i="4"/>
  <c r="A664" i="4"/>
  <c r="B663" i="4"/>
  <c r="A663" i="4"/>
  <c r="B662" i="4"/>
  <c r="A662" i="4"/>
  <c r="B661" i="4"/>
  <c r="A661" i="4"/>
  <c r="B660" i="4"/>
  <c r="A660" i="4"/>
  <c r="B659" i="4"/>
  <c r="A659" i="4"/>
  <c r="B658" i="4"/>
  <c r="A658" i="4"/>
  <c r="B657" i="4"/>
  <c r="A657" i="4"/>
  <c r="B656" i="4"/>
  <c r="A656" i="4"/>
  <c r="B655" i="4"/>
  <c r="A655" i="4"/>
  <c r="B654" i="4"/>
  <c r="A654" i="4"/>
  <c r="B653" i="4"/>
  <c r="A653" i="4"/>
  <c r="B652" i="4"/>
  <c r="A652" i="4"/>
  <c r="B651" i="4"/>
  <c r="A651" i="4"/>
  <c r="B650" i="4"/>
  <c r="A650" i="4"/>
  <c r="B649" i="4"/>
  <c r="A649" i="4"/>
  <c r="B648" i="4"/>
  <c r="A648" i="4"/>
  <c r="B647" i="4"/>
  <c r="A647" i="4"/>
  <c r="B646" i="4"/>
  <c r="A646" i="4"/>
  <c r="B645" i="4"/>
  <c r="A645" i="4"/>
  <c r="B644" i="4"/>
  <c r="A644" i="4"/>
  <c r="B643" i="4"/>
  <c r="A643" i="4"/>
  <c r="B642" i="4"/>
  <c r="A642" i="4"/>
  <c r="B641" i="4"/>
  <c r="A641" i="4"/>
  <c r="B640" i="4"/>
  <c r="A640" i="4"/>
  <c r="B639" i="4"/>
  <c r="A639" i="4"/>
  <c r="B638" i="4"/>
  <c r="A638" i="4"/>
  <c r="B637" i="4"/>
  <c r="A637" i="4"/>
  <c r="B636" i="4"/>
  <c r="A636" i="4"/>
  <c r="B635" i="4"/>
  <c r="A635" i="4"/>
  <c r="B634" i="4"/>
  <c r="A634" i="4"/>
  <c r="B633" i="4"/>
  <c r="A633" i="4"/>
  <c r="B632" i="4"/>
  <c r="A632" i="4"/>
  <c r="B631" i="4"/>
  <c r="A631" i="4"/>
  <c r="B630" i="4"/>
  <c r="A630" i="4"/>
  <c r="B629" i="4"/>
  <c r="A629" i="4"/>
  <c r="B628" i="4"/>
  <c r="A628" i="4"/>
  <c r="B627" i="4"/>
  <c r="A627" i="4"/>
  <c r="B626" i="4"/>
  <c r="A626" i="4"/>
  <c r="B625" i="4"/>
  <c r="A625" i="4"/>
  <c r="B624" i="4"/>
  <c r="A624" i="4"/>
  <c r="B623" i="4"/>
  <c r="A623" i="4"/>
  <c r="B622" i="4"/>
  <c r="A622" i="4"/>
  <c r="B621" i="4"/>
  <c r="A621" i="4"/>
  <c r="B620" i="4"/>
  <c r="A620" i="4"/>
  <c r="B619" i="4"/>
  <c r="A619" i="4"/>
  <c r="B618" i="4"/>
  <c r="A618" i="4"/>
  <c r="B617" i="4"/>
  <c r="A617" i="4"/>
  <c r="B616" i="4"/>
  <c r="A616" i="4"/>
  <c r="B615" i="4"/>
  <c r="A615" i="4"/>
  <c r="B614" i="4"/>
  <c r="A614" i="4"/>
  <c r="B613" i="4"/>
  <c r="A613" i="4"/>
  <c r="B612" i="4"/>
  <c r="A612" i="4"/>
  <c r="B611" i="4"/>
  <c r="A611" i="4"/>
  <c r="B610" i="4"/>
  <c r="A610" i="4"/>
  <c r="B609" i="4"/>
  <c r="A609" i="4"/>
  <c r="B608" i="4"/>
  <c r="A608" i="4"/>
  <c r="B607" i="4"/>
  <c r="A607" i="4"/>
  <c r="B606" i="4"/>
  <c r="A606" i="4"/>
  <c r="B605" i="4"/>
  <c r="A605" i="4"/>
  <c r="B604" i="4"/>
  <c r="A604" i="4"/>
  <c r="B603" i="4"/>
  <c r="A603" i="4"/>
  <c r="B602" i="4"/>
  <c r="A602" i="4"/>
  <c r="B601" i="4"/>
  <c r="A601" i="4"/>
  <c r="B600" i="4"/>
  <c r="A600" i="4"/>
  <c r="B599" i="4"/>
  <c r="A599" i="4"/>
  <c r="B598" i="4"/>
  <c r="A598" i="4"/>
  <c r="B597" i="4"/>
  <c r="A597" i="4"/>
  <c r="B596" i="4"/>
  <c r="A596" i="4"/>
  <c r="B595" i="4"/>
  <c r="A595" i="4"/>
  <c r="B594" i="4"/>
  <c r="A594" i="4"/>
  <c r="B593" i="4"/>
  <c r="A593" i="4"/>
  <c r="B592" i="4"/>
  <c r="A592" i="4"/>
  <c r="B591" i="4"/>
  <c r="A591" i="4"/>
  <c r="B590" i="4"/>
  <c r="A590" i="4"/>
  <c r="B589" i="4"/>
  <c r="A589" i="4"/>
  <c r="B588" i="4"/>
  <c r="A588" i="4"/>
  <c r="B587" i="4"/>
  <c r="A587" i="4"/>
  <c r="B586" i="4"/>
  <c r="A586" i="4"/>
  <c r="B585" i="4"/>
  <c r="A585" i="4"/>
  <c r="B584" i="4"/>
  <c r="A584" i="4"/>
  <c r="B583" i="4"/>
  <c r="A583" i="4"/>
  <c r="B582" i="4"/>
  <c r="A582" i="4"/>
  <c r="B581" i="4"/>
  <c r="A581" i="4"/>
  <c r="B580" i="4"/>
  <c r="A580" i="4"/>
  <c r="B579" i="4"/>
  <c r="A579" i="4"/>
  <c r="B578" i="4"/>
  <c r="A578" i="4"/>
  <c r="B577" i="4"/>
  <c r="A577" i="4"/>
  <c r="B576" i="4"/>
  <c r="A576" i="4"/>
  <c r="B575" i="4"/>
  <c r="A575" i="4"/>
  <c r="B574" i="4"/>
  <c r="A574" i="4"/>
  <c r="B573" i="4"/>
  <c r="A573" i="4"/>
  <c r="B572" i="4"/>
  <c r="A572" i="4"/>
  <c r="B571" i="4"/>
  <c r="A571" i="4"/>
  <c r="B570" i="4"/>
  <c r="A570" i="4"/>
  <c r="B569" i="4"/>
  <c r="A569" i="4"/>
  <c r="B568" i="4"/>
  <c r="A568" i="4"/>
  <c r="B567" i="4"/>
  <c r="A567" i="4"/>
  <c r="B566" i="4"/>
  <c r="A566" i="4"/>
  <c r="B565" i="4"/>
  <c r="A565" i="4"/>
  <c r="B564" i="4"/>
  <c r="A564" i="4"/>
  <c r="B563" i="4"/>
  <c r="A563" i="4"/>
  <c r="B562" i="4"/>
  <c r="A562" i="4"/>
  <c r="B561" i="4"/>
  <c r="A561" i="4"/>
  <c r="B560" i="4"/>
  <c r="A560" i="4"/>
  <c r="B559" i="4"/>
  <c r="A559" i="4"/>
  <c r="B558" i="4"/>
  <c r="A558" i="4"/>
  <c r="B557" i="4"/>
  <c r="A557" i="4"/>
  <c r="B556" i="4"/>
  <c r="A556" i="4"/>
  <c r="B555" i="4"/>
  <c r="A555" i="4"/>
  <c r="B554" i="4"/>
  <c r="A554" i="4"/>
  <c r="B553" i="4"/>
  <c r="A553" i="4"/>
  <c r="B552" i="4"/>
  <c r="A552" i="4"/>
  <c r="B551" i="4"/>
  <c r="A551" i="4"/>
  <c r="B550" i="4"/>
  <c r="A550" i="4"/>
  <c r="B549" i="4"/>
  <c r="A549" i="4"/>
  <c r="B548" i="4"/>
  <c r="A548" i="4"/>
  <c r="B547" i="4"/>
  <c r="A547" i="4"/>
  <c r="B546" i="4"/>
  <c r="A546" i="4"/>
  <c r="B545" i="4"/>
  <c r="A545" i="4"/>
  <c r="B544" i="4"/>
  <c r="A544" i="4"/>
  <c r="B543" i="4"/>
  <c r="A543" i="4"/>
  <c r="B542" i="4"/>
  <c r="A542" i="4"/>
  <c r="B541" i="4"/>
  <c r="A541" i="4"/>
  <c r="B540" i="4"/>
  <c r="A540" i="4"/>
  <c r="B539" i="4"/>
  <c r="A539" i="4"/>
  <c r="B538" i="4"/>
  <c r="A538" i="4"/>
  <c r="B537" i="4"/>
  <c r="A537" i="4"/>
  <c r="B536" i="4"/>
  <c r="A536" i="4"/>
  <c r="B535" i="4"/>
  <c r="A535" i="4"/>
  <c r="B534" i="4"/>
  <c r="A534" i="4"/>
  <c r="B533" i="4"/>
  <c r="A533" i="4"/>
  <c r="B532" i="4"/>
  <c r="A532" i="4"/>
  <c r="B531" i="4"/>
  <c r="A531" i="4"/>
  <c r="B530" i="4"/>
  <c r="A530" i="4"/>
  <c r="B529" i="4"/>
  <c r="A529" i="4"/>
  <c r="B528" i="4"/>
  <c r="A528" i="4"/>
  <c r="B527" i="4"/>
  <c r="A527" i="4"/>
  <c r="B526" i="4"/>
  <c r="A526" i="4"/>
  <c r="B525" i="4"/>
  <c r="A525" i="4"/>
  <c r="B524" i="4"/>
  <c r="A524" i="4"/>
  <c r="B523" i="4"/>
  <c r="A523" i="4"/>
  <c r="B522" i="4"/>
  <c r="A522" i="4"/>
  <c r="B521" i="4"/>
  <c r="A521" i="4"/>
  <c r="B520" i="4"/>
  <c r="A520" i="4"/>
  <c r="B519" i="4"/>
  <c r="A519" i="4"/>
  <c r="B518" i="4"/>
  <c r="A518" i="4"/>
  <c r="B517" i="4"/>
  <c r="A517" i="4"/>
  <c r="B516" i="4"/>
  <c r="A516" i="4"/>
  <c r="B515" i="4"/>
  <c r="A515" i="4"/>
  <c r="B514" i="4"/>
  <c r="A514" i="4"/>
  <c r="B513" i="4"/>
  <c r="A513" i="4"/>
  <c r="B512" i="4"/>
  <c r="A512" i="4"/>
  <c r="B511" i="4"/>
  <c r="A511" i="4"/>
  <c r="B510" i="4"/>
  <c r="A510" i="4"/>
  <c r="B509" i="4"/>
  <c r="A509" i="4"/>
  <c r="B508" i="4"/>
  <c r="A508" i="4"/>
  <c r="B507" i="4"/>
  <c r="A507" i="4"/>
  <c r="B506" i="4"/>
  <c r="A506" i="4"/>
  <c r="B505" i="4"/>
  <c r="A505" i="4"/>
  <c r="B504" i="4"/>
  <c r="A504" i="4"/>
  <c r="B503" i="4"/>
  <c r="A503" i="4"/>
  <c r="B502" i="4"/>
  <c r="A502" i="4"/>
  <c r="B501" i="4"/>
  <c r="A501" i="4"/>
  <c r="B500" i="4"/>
  <c r="A500" i="4"/>
  <c r="B499" i="4"/>
  <c r="A499" i="4"/>
  <c r="B498" i="4"/>
  <c r="A498" i="4"/>
  <c r="B497" i="4"/>
  <c r="A497" i="4"/>
  <c r="B496" i="4"/>
  <c r="A496" i="4"/>
  <c r="B495" i="4"/>
  <c r="A495" i="4"/>
  <c r="B494" i="4"/>
  <c r="A494" i="4"/>
  <c r="B493" i="4"/>
  <c r="A493" i="4"/>
  <c r="B492" i="4"/>
  <c r="A492" i="4"/>
  <c r="B491" i="4"/>
  <c r="A491" i="4"/>
  <c r="B490" i="4"/>
  <c r="A490" i="4"/>
  <c r="B489" i="4"/>
  <c r="A489" i="4"/>
  <c r="B488" i="4"/>
  <c r="A488" i="4"/>
  <c r="B487" i="4"/>
  <c r="A487" i="4"/>
  <c r="B486" i="4"/>
  <c r="A486" i="4"/>
  <c r="B485" i="4"/>
  <c r="A485" i="4"/>
  <c r="B484" i="4"/>
  <c r="A484" i="4"/>
  <c r="B483" i="4"/>
  <c r="A483" i="4"/>
  <c r="B482" i="4"/>
  <c r="A482" i="4"/>
  <c r="B481" i="4"/>
  <c r="A481" i="4"/>
  <c r="B480" i="4"/>
  <c r="A480" i="4"/>
  <c r="B479" i="4"/>
  <c r="A479" i="4"/>
  <c r="B478" i="4"/>
  <c r="A478" i="4"/>
  <c r="B477" i="4"/>
  <c r="A477" i="4"/>
  <c r="B476" i="4"/>
  <c r="A476" i="4"/>
  <c r="B475" i="4"/>
  <c r="A475" i="4"/>
  <c r="B474" i="4"/>
  <c r="A474" i="4"/>
  <c r="B473" i="4"/>
  <c r="A473" i="4"/>
  <c r="B472" i="4"/>
  <c r="A472" i="4"/>
  <c r="B471" i="4"/>
  <c r="A471" i="4"/>
  <c r="B470" i="4"/>
  <c r="A470" i="4"/>
  <c r="B469" i="4"/>
  <c r="A469" i="4"/>
  <c r="B468" i="4"/>
  <c r="A468" i="4"/>
  <c r="B467" i="4"/>
  <c r="A467" i="4"/>
  <c r="B466" i="4"/>
  <c r="A466" i="4"/>
  <c r="B465" i="4"/>
  <c r="A465" i="4"/>
  <c r="B464" i="4"/>
  <c r="A464" i="4"/>
  <c r="B463" i="4"/>
  <c r="A463" i="4"/>
  <c r="B462" i="4"/>
  <c r="A462" i="4"/>
  <c r="B461" i="4"/>
  <c r="A461" i="4"/>
  <c r="B460" i="4"/>
  <c r="A460" i="4"/>
  <c r="B459" i="4"/>
  <c r="A459" i="4"/>
  <c r="B458" i="4"/>
  <c r="A458" i="4"/>
  <c r="B457" i="4"/>
  <c r="A457" i="4"/>
  <c r="B456" i="4"/>
  <c r="A456" i="4"/>
  <c r="B455" i="4"/>
  <c r="A455" i="4"/>
  <c r="B454" i="4"/>
  <c r="A454" i="4"/>
  <c r="B453" i="4"/>
  <c r="A453" i="4"/>
  <c r="B452" i="4"/>
  <c r="A452" i="4"/>
  <c r="B451" i="4"/>
  <c r="A451" i="4"/>
  <c r="B450" i="4"/>
  <c r="A450" i="4"/>
  <c r="B449" i="4"/>
  <c r="A449" i="4"/>
  <c r="B448" i="4"/>
  <c r="A448" i="4"/>
  <c r="B447" i="4"/>
  <c r="A447" i="4"/>
  <c r="B446" i="4"/>
  <c r="A446" i="4"/>
  <c r="B445" i="4"/>
  <c r="A445" i="4"/>
  <c r="B444" i="4"/>
  <c r="A444" i="4"/>
  <c r="B443" i="4"/>
  <c r="A443" i="4"/>
  <c r="B442" i="4"/>
  <c r="A442" i="4"/>
  <c r="B441" i="4"/>
  <c r="A441" i="4"/>
  <c r="B440" i="4"/>
  <c r="A440" i="4"/>
  <c r="B439" i="4"/>
  <c r="A439" i="4"/>
  <c r="B438" i="4"/>
  <c r="A438" i="4"/>
  <c r="B437" i="4"/>
  <c r="A437" i="4"/>
  <c r="B436" i="4"/>
  <c r="A436" i="4"/>
  <c r="B435" i="4"/>
  <c r="A435" i="4"/>
  <c r="B434" i="4"/>
  <c r="A434" i="4"/>
  <c r="B433" i="4"/>
  <c r="A433" i="4"/>
  <c r="B432" i="4"/>
  <c r="A432" i="4"/>
  <c r="B431" i="4"/>
  <c r="A431" i="4"/>
  <c r="B430" i="4"/>
  <c r="A430" i="4"/>
  <c r="B429" i="4"/>
  <c r="A429" i="4"/>
  <c r="B428" i="4"/>
  <c r="A428" i="4"/>
  <c r="B427" i="4"/>
  <c r="A427" i="4"/>
  <c r="B426" i="4"/>
  <c r="A426" i="4"/>
  <c r="B425" i="4"/>
  <c r="A425" i="4"/>
  <c r="B424" i="4"/>
  <c r="A424" i="4"/>
  <c r="B423" i="4"/>
  <c r="A423" i="4"/>
  <c r="B422" i="4"/>
  <c r="A422" i="4"/>
  <c r="B421" i="4"/>
  <c r="A421" i="4"/>
  <c r="B420" i="4"/>
  <c r="A420" i="4"/>
  <c r="B419" i="4"/>
  <c r="A419" i="4"/>
  <c r="B418" i="4"/>
  <c r="A418" i="4"/>
  <c r="B417" i="4"/>
  <c r="A417" i="4"/>
  <c r="B416" i="4"/>
  <c r="A416" i="4"/>
  <c r="B415" i="4"/>
  <c r="A415" i="4"/>
  <c r="B414" i="4"/>
  <c r="A414" i="4"/>
  <c r="B413" i="4"/>
  <c r="A413" i="4"/>
  <c r="B412" i="4"/>
  <c r="A412" i="4"/>
  <c r="B411" i="4"/>
  <c r="A411" i="4"/>
  <c r="B410" i="4"/>
  <c r="A410" i="4"/>
  <c r="B409" i="4"/>
  <c r="A409" i="4"/>
  <c r="B408" i="4"/>
  <c r="A408" i="4"/>
  <c r="B407" i="4"/>
  <c r="A407" i="4"/>
  <c r="B406" i="4"/>
  <c r="A406" i="4"/>
  <c r="B405" i="4"/>
  <c r="A405" i="4"/>
  <c r="B404" i="4"/>
  <c r="A404" i="4"/>
  <c r="B403" i="4"/>
  <c r="A403" i="4"/>
  <c r="B402" i="4"/>
  <c r="A402" i="4"/>
  <c r="B401" i="4"/>
  <c r="A401" i="4"/>
  <c r="B400" i="4"/>
  <c r="A400" i="4"/>
  <c r="B399" i="4"/>
  <c r="A399" i="4"/>
  <c r="B398" i="4"/>
  <c r="A398" i="4"/>
  <c r="B397" i="4"/>
  <c r="A397" i="4"/>
  <c r="B396" i="4"/>
  <c r="A396" i="4"/>
  <c r="B395" i="4"/>
  <c r="A395" i="4"/>
  <c r="B394" i="4"/>
  <c r="A394" i="4"/>
  <c r="B393" i="4"/>
  <c r="A393" i="4"/>
  <c r="B392" i="4"/>
  <c r="A392" i="4"/>
  <c r="B391" i="4"/>
  <c r="A391" i="4"/>
  <c r="B390" i="4"/>
  <c r="A390" i="4"/>
  <c r="B389" i="4"/>
  <c r="A389" i="4"/>
  <c r="B388" i="4"/>
  <c r="A388" i="4"/>
  <c r="B387" i="4"/>
  <c r="A387" i="4"/>
  <c r="B386" i="4"/>
  <c r="A386" i="4"/>
  <c r="B385" i="4"/>
  <c r="A385" i="4"/>
  <c r="B384" i="4"/>
  <c r="A384" i="4"/>
  <c r="B383" i="4"/>
  <c r="A383" i="4"/>
  <c r="B382" i="4"/>
  <c r="A382" i="4"/>
  <c r="B381" i="4"/>
  <c r="A381" i="4"/>
  <c r="B380" i="4"/>
  <c r="A380" i="4"/>
  <c r="B379" i="4"/>
  <c r="A379" i="4"/>
  <c r="B378" i="4"/>
  <c r="A378" i="4"/>
  <c r="B377" i="4"/>
  <c r="A377" i="4"/>
  <c r="B376" i="4"/>
  <c r="A376" i="4"/>
  <c r="B375" i="4"/>
  <c r="A375" i="4"/>
  <c r="B374" i="4"/>
  <c r="A374" i="4"/>
  <c r="B373" i="4"/>
  <c r="A373" i="4"/>
  <c r="B372" i="4"/>
  <c r="A372" i="4"/>
  <c r="B371" i="4"/>
  <c r="A371" i="4"/>
  <c r="B370" i="4"/>
  <c r="A370" i="4"/>
  <c r="B369" i="4"/>
  <c r="A369" i="4"/>
  <c r="B368" i="4"/>
  <c r="A368" i="4"/>
  <c r="B367" i="4"/>
  <c r="A367" i="4"/>
  <c r="B366" i="4"/>
  <c r="A366" i="4"/>
  <c r="B365" i="4"/>
  <c r="A365" i="4"/>
  <c r="B364" i="4"/>
  <c r="A364" i="4"/>
  <c r="B363" i="4"/>
  <c r="A363" i="4"/>
  <c r="B362" i="4"/>
  <c r="A362" i="4"/>
  <c r="B361" i="4"/>
  <c r="A361" i="4"/>
  <c r="B360" i="4"/>
  <c r="A360" i="4"/>
  <c r="B359" i="4"/>
  <c r="A359" i="4"/>
  <c r="B358" i="4"/>
  <c r="A358" i="4"/>
  <c r="B357" i="4"/>
  <c r="A357" i="4"/>
  <c r="B356" i="4"/>
  <c r="A356" i="4"/>
  <c r="B355" i="4"/>
  <c r="A355" i="4"/>
  <c r="B354" i="4"/>
  <c r="A354" i="4"/>
  <c r="B353" i="4"/>
  <c r="A353" i="4"/>
  <c r="B352" i="4"/>
  <c r="A352" i="4"/>
  <c r="B351" i="4"/>
  <c r="A351" i="4"/>
  <c r="B350" i="4"/>
  <c r="A350" i="4"/>
  <c r="B349" i="4"/>
  <c r="A349" i="4"/>
  <c r="B348" i="4"/>
  <c r="A348" i="4"/>
  <c r="B347" i="4"/>
  <c r="A347" i="4"/>
  <c r="B346" i="4"/>
  <c r="A346" i="4"/>
  <c r="B345" i="4"/>
  <c r="A345" i="4"/>
  <c r="B344" i="4"/>
  <c r="A344" i="4"/>
  <c r="B343" i="4"/>
  <c r="A343" i="4"/>
  <c r="B342" i="4"/>
  <c r="A342" i="4"/>
  <c r="B341" i="4"/>
  <c r="A341" i="4"/>
  <c r="B340" i="4"/>
  <c r="A340" i="4"/>
  <c r="B339" i="4"/>
  <c r="A339" i="4"/>
  <c r="B338" i="4"/>
  <c r="A338" i="4"/>
  <c r="B337" i="4"/>
  <c r="A337" i="4"/>
  <c r="B336" i="4"/>
  <c r="A336" i="4"/>
  <c r="B335" i="4"/>
  <c r="A335" i="4"/>
  <c r="B334" i="4"/>
  <c r="A334" i="4"/>
  <c r="B333" i="4"/>
  <c r="A333" i="4"/>
  <c r="B332" i="4"/>
  <c r="A332" i="4"/>
  <c r="B331" i="4"/>
  <c r="A331" i="4"/>
  <c r="B330" i="4"/>
  <c r="A330" i="4"/>
  <c r="B329" i="4"/>
  <c r="A329" i="4"/>
  <c r="B328" i="4"/>
  <c r="A328" i="4"/>
  <c r="B327" i="4"/>
  <c r="A327" i="4"/>
  <c r="B326" i="4"/>
  <c r="A326" i="4"/>
  <c r="B325" i="4"/>
  <c r="A325" i="4"/>
  <c r="B324" i="4"/>
  <c r="A324" i="4"/>
  <c r="B323" i="4"/>
  <c r="A323" i="4"/>
  <c r="B322" i="4"/>
  <c r="A322" i="4"/>
  <c r="B321" i="4"/>
  <c r="A321" i="4"/>
  <c r="B320" i="4"/>
  <c r="A320" i="4"/>
  <c r="B319" i="4"/>
  <c r="A319" i="4"/>
  <c r="B318" i="4"/>
  <c r="A318" i="4"/>
  <c r="B317" i="4"/>
  <c r="A317" i="4"/>
  <c r="B316" i="4"/>
  <c r="A316" i="4"/>
  <c r="B315" i="4"/>
  <c r="A315" i="4"/>
  <c r="B314" i="4"/>
  <c r="A314" i="4"/>
  <c r="B313" i="4"/>
  <c r="A313" i="4"/>
  <c r="B312" i="4"/>
  <c r="A312" i="4"/>
  <c r="B311" i="4"/>
  <c r="A311" i="4"/>
  <c r="B310" i="4"/>
  <c r="A310" i="4"/>
  <c r="B309" i="4"/>
  <c r="A309" i="4"/>
  <c r="B308" i="4"/>
  <c r="A308" i="4"/>
  <c r="B307" i="4"/>
  <c r="A307" i="4"/>
  <c r="B306" i="4"/>
  <c r="A306" i="4"/>
  <c r="B305" i="4"/>
  <c r="A305" i="4"/>
  <c r="B304" i="4"/>
  <c r="A304" i="4"/>
  <c r="B303" i="4"/>
  <c r="A303" i="4"/>
  <c r="B302" i="4"/>
  <c r="A302" i="4"/>
  <c r="B301" i="4"/>
  <c r="A301" i="4"/>
  <c r="B300" i="4"/>
  <c r="A300" i="4"/>
  <c r="B299" i="4"/>
  <c r="A299" i="4"/>
  <c r="B298" i="4"/>
  <c r="A298" i="4"/>
  <c r="B297" i="4"/>
  <c r="A297" i="4"/>
  <c r="B296" i="4"/>
  <c r="A296" i="4"/>
  <c r="B295" i="4"/>
  <c r="A295" i="4"/>
  <c r="B294" i="4"/>
  <c r="A294" i="4"/>
  <c r="B293" i="4"/>
  <c r="A293" i="4"/>
  <c r="B292" i="4"/>
  <c r="A292" i="4"/>
  <c r="B291" i="4"/>
  <c r="A291" i="4"/>
  <c r="B290" i="4"/>
  <c r="A290" i="4"/>
  <c r="B289" i="4"/>
  <c r="A289" i="4"/>
  <c r="B288" i="4"/>
  <c r="A288" i="4"/>
  <c r="B287" i="4"/>
  <c r="A287" i="4"/>
  <c r="B286" i="4"/>
  <c r="A286" i="4"/>
  <c r="B285" i="4"/>
  <c r="A285" i="4"/>
  <c r="B284" i="4"/>
  <c r="A284" i="4"/>
  <c r="B283" i="4"/>
  <c r="A283" i="4"/>
  <c r="B282" i="4"/>
  <c r="A282" i="4"/>
  <c r="B281" i="4"/>
  <c r="A281" i="4"/>
  <c r="B280" i="4"/>
  <c r="A280" i="4"/>
  <c r="B279" i="4"/>
  <c r="A279" i="4"/>
  <c r="B278" i="4"/>
  <c r="A278" i="4"/>
  <c r="B277" i="4"/>
  <c r="A277" i="4"/>
  <c r="B276" i="4"/>
  <c r="A276" i="4"/>
  <c r="B275" i="4"/>
  <c r="A275" i="4"/>
  <c r="B274" i="4"/>
  <c r="A274" i="4"/>
  <c r="B273" i="4"/>
  <c r="A273" i="4"/>
  <c r="B272" i="4"/>
  <c r="A272" i="4"/>
  <c r="B271" i="4"/>
  <c r="A271" i="4"/>
  <c r="B270" i="4"/>
  <c r="A270" i="4"/>
  <c r="B269" i="4"/>
  <c r="A269" i="4"/>
  <c r="B268" i="4"/>
  <c r="A268" i="4"/>
  <c r="B267" i="4"/>
  <c r="A267" i="4"/>
  <c r="B266" i="4"/>
  <c r="A266" i="4"/>
  <c r="B265" i="4"/>
  <c r="A265" i="4"/>
  <c r="B264" i="4"/>
  <c r="A264" i="4"/>
  <c r="B263" i="4"/>
  <c r="A263" i="4"/>
  <c r="B262" i="4"/>
  <c r="A262" i="4"/>
  <c r="B261" i="4"/>
  <c r="A261" i="4"/>
  <c r="B260" i="4"/>
  <c r="A260" i="4"/>
  <c r="B259" i="4"/>
  <c r="A259" i="4"/>
  <c r="B258" i="4"/>
  <c r="A258" i="4"/>
  <c r="B257" i="4"/>
  <c r="A257" i="4"/>
  <c r="B256" i="4"/>
  <c r="A256" i="4"/>
  <c r="B255" i="4"/>
  <c r="A255" i="4"/>
  <c r="B254" i="4"/>
  <c r="A254" i="4"/>
  <c r="B253" i="4"/>
  <c r="A253" i="4"/>
  <c r="B252" i="4"/>
  <c r="A252" i="4"/>
  <c r="B251" i="4"/>
  <c r="A251" i="4"/>
  <c r="B250" i="4"/>
  <c r="A250" i="4"/>
  <c r="B249" i="4"/>
  <c r="A249" i="4"/>
  <c r="B248" i="4"/>
  <c r="A248" i="4"/>
  <c r="B247" i="4"/>
  <c r="A247" i="4"/>
  <c r="B246" i="4"/>
  <c r="A246" i="4"/>
  <c r="B245" i="4"/>
  <c r="A245" i="4"/>
  <c r="B244" i="4"/>
  <c r="A244" i="4"/>
  <c r="B243" i="4"/>
  <c r="A243" i="4"/>
  <c r="B242" i="4"/>
  <c r="A242" i="4"/>
  <c r="B241" i="4"/>
  <c r="A241" i="4"/>
  <c r="B240" i="4"/>
  <c r="A240" i="4"/>
  <c r="B239" i="4"/>
  <c r="A239" i="4"/>
  <c r="B238" i="4"/>
  <c r="A238" i="4"/>
  <c r="B237" i="4"/>
  <c r="A237" i="4"/>
  <c r="B236" i="4"/>
  <c r="A236" i="4"/>
  <c r="B235" i="4"/>
  <c r="A235" i="4"/>
  <c r="B234" i="4"/>
  <c r="A234" i="4"/>
  <c r="B233" i="4"/>
  <c r="A233" i="4"/>
  <c r="B232" i="4"/>
  <c r="A232" i="4"/>
  <c r="B231" i="4"/>
  <c r="A231" i="4"/>
  <c r="B230" i="4"/>
  <c r="A230" i="4"/>
  <c r="B229" i="4"/>
  <c r="A229" i="4"/>
  <c r="B228" i="4"/>
  <c r="A228" i="4"/>
  <c r="B227" i="4"/>
  <c r="A227" i="4"/>
  <c r="B226" i="4"/>
  <c r="A226" i="4"/>
  <c r="B225" i="4"/>
  <c r="A225" i="4"/>
  <c r="B224" i="4"/>
  <c r="A224" i="4"/>
  <c r="B223" i="4"/>
  <c r="A223" i="4"/>
  <c r="B222" i="4"/>
  <c r="A222" i="4"/>
  <c r="B221" i="4"/>
  <c r="A221" i="4"/>
  <c r="B220" i="4"/>
  <c r="A220" i="4"/>
  <c r="B219" i="4"/>
  <c r="A219" i="4"/>
  <c r="B218" i="4"/>
  <c r="A218" i="4"/>
  <c r="B217" i="4"/>
  <c r="A217" i="4"/>
  <c r="B216" i="4"/>
  <c r="A216" i="4"/>
  <c r="B215" i="4"/>
  <c r="A215" i="4"/>
  <c r="B214" i="4"/>
  <c r="A214" i="4"/>
  <c r="B213" i="4"/>
  <c r="A213" i="4"/>
  <c r="B212" i="4"/>
  <c r="A212" i="4"/>
  <c r="B211" i="4"/>
  <c r="A211" i="4"/>
  <c r="B210" i="4"/>
  <c r="A210" i="4"/>
  <c r="B209" i="4"/>
  <c r="A209" i="4"/>
  <c r="B208" i="4"/>
  <c r="A208" i="4"/>
  <c r="B207" i="4"/>
  <c r="A207" i="4"/>
  <c r="B206" i="4"/>
  <c r="A206" i="4"/>
  <c r="B205" i="4"/>
  <c r="A205" i="4"/>
  <c r="B204" i="4"/>
  <c r="A204" i="4"/>
  <c r="B203" i="4"/>
  <c r="A203" i="4"/>
  <c r="B202" i="4"/>
  <c r="A202" i="4"/>
  <c r="B201" i="4"/>
  <c r="A201" i="4"/>
  <c r="B200" i="4"/>
  <c r="A200" i="4"/>
  <c r="B199" i="4"/>
  <c r="A199" i="4"/>
  <c r="B198" i="4"/>
  <c r="A198" i="4"/>
  <c r="B197" i="4"/>
  <c r="A197" i="4"/>
  <c r="B196" i="4"/>
  <c r="A196" i="4"/>
  <c r="B195" i="4"/>
  <c r="A195" i="4"/>
  <c r="B194" i="4"/>
  <c r="A194" i="4"/>
  <c r="B193" i="4"/>
  <c r="A193" i="4"/>
  <c r="B192" i="4"/>
  <c r="A192" i="4"/>
  <c r="B191" i="4"/>
  <c r="A191" i="4"/>
  <c r="B190" i="4"/>
  <c r="A190" i="4"/>
  <c r="B189" i="4"/>
  <c r="A189" i="4"/>
  <c r="B188" i="4"/>
  <c r="A188" i="4"/>
  <c r="B187" i="4"/>
  <c r="A187" i="4"/>
  <c r="B186" i="4"/>
  <c r="A186" i="4"/>
  <c r="B185" i="4"/>
  <c r="A185" i="4"/>
  <c r="B184" i="4"/>
  <c r="A184" i="4"/>
  <c r="B183" i="4"/>
  <c r="A183" i="4"/>
  <c r="B182" i="4"/>
  <c r="A182" i="4"/>
  <c r="B181" i="4"/>
  <c r="A181" i="4"/>
  <c r="B180" i="4"/>
  <c r="A180" i="4"/>
  <c r="B179" i="4"/>
  <c r="A179" i="4"/>
  <c r="B178" i="4"/>
  <c r="A178" i="4"/>
  <c r="B177" i="4"/>
  <c r="A177" i="4"/>
  <c r="B176" i="4"/>
  <c r="A176" i="4"/>
  <c r="B175" i="4"/>
  <c r="A175" i="4"/>
  <c r="B174" i="4"/>
  <c r="A174" i="4"/>
  <c r="B173" i="4"/>
  <c r="A173" i="4"/>
  <c r="B172" i="4"/>
  <c r="A172" i="4"/>
  <c r="B171" i="4"/>
  <c r="A171" i="4"/>
  <c r="B170" i="4"/>
  <c r="A170" i="4"/>
  <c r="B169" i="4"/>
  <c r="A169" i="4"/>
  <c r="B168" i="4"/>
  <c r="A168" i="4"/>
  <c r="B167" i="4"/>
  <c r="A167" i="4"/>
  <c r="B166" i="4"/>
  <c r="A166" i="4"/>
  <c r="B165" i="4"/>
  <c r="A165" i="4"/>
  <c r="B164" i="4"/>
  <c r="A164" i="4"/>
  <c r="B163" i="4"/>
  <c r="A163" i="4"/>
  <c r="B162" i="4"/>
  <c r="A162" i="4"/>
  <c r="B161" i="4"/>
  <c r="A161" i="4"/>
  <c r="B160" i="4"/>
  <c r="A160" i="4"/>
  <c r="B159" i="4"/>
  <c r="A159" i="4"/>
  <c r="B158" i="4"/>
  <c r="A158" i="4"/>
  <c r="B157" i="4"/>
  <c r="A157" i="4"/>
  <c r="B156" i="4"/>
  <c r="A156" i="4"/>
  <c r="B155" i="4"/>
  <c r="A155" i="4"/>
  <c r="B154" i="4"/>
  <c r="A154" i="4"/>
  <c r="B153" i="4"/>
  <c r="A153" i="4"/>
  <c r="B152" i="4"/>
  <c r="A152" i="4"/>
  <c r="B151" i="4"/>
  <c r="A151" i="4"/>
  <c r="B150" i="4"/>
  <c r="A150" i="4"/>
  <c r="B149" i="4"/>
  <c r="A149" i="4"/>
  <c r="B148" i="4"/>
  <c r="A148" i="4"/>
  <c r="B147" i="4"/>
  <c r="A147" i="4"/>
  <c r="B146" i="4"/>
  <c r="A146" i="4"/>
  <c r="B145" i="4"/>
  <c r="A145" i="4"/>
  <c r="B144" i="4"/>
  <c r="A144" i="4"/>
  <c r="B143" i="4"/>
  <c r="A143" i="4"/>
  <c r="B142" i="4"/>
  <c r="A142" i="4"/>
  <c r="B141" i="4"/>
  <c r="A141" i="4"/>
  <c r="B140" i="4"/>
  <c r="A140" i="4"/>
  <c r="B139" i="4"/>
  <c r="A139" i="4"/>
  <c r="B138" i="4"/>
  <c r="A138" i="4"/>
  <c r="B137" i="4"/>
  <c r="A137" i="4"/>
  <c r="B136" i="4"/>
  <c r="A136" i="4"/>
  <c r="B135" i="4"/>
  <c r="A135" i="4"/>
  <c r="B134" i="4"/>
  <c r="A134" i="4"/>
  <c r="B133" i="4"/>
  <c r="A133" i="4"/>
  <c r="B132" i="4"/>
  <c r="A132" i="4"/>
  <c r="B131" i="4"/>
  <c r="A131" i="4"/>
  <c r="B130" i="4"/>
  <c r="A130" i="4"/>
  <c r="B129" i="4"/>
  <c r="A129" i="4"/>
  <c r="B128" i="4"/>
  <c r="A128" i="4"/>
  <c r="B127" i="4"/>
  <c r="A127" i="4"/>
  <c r="B126" i="4"/>
  <c r="A126" i="4"/>
  <c r="B125" i="4"/>
  <c r="A125" i="4"/>
  <c r="B124" i="4"/>
  <c r="A124" i="4"/>
  <c r="B123" i="4"/>
  <c r="A123" i="4"/>
  <c r="B122" i="4"/>
  <c r="A122" i="4"/>
  <c r="B121" i="4"/>
  <c r="A121" i="4"/>
  <c r="B120" i="4"/>
  <c r="A120" i="4"/>
  <c r="B119" i="4"/>
  <c r="A119" i="4"/>
  <c r="B118" i="4"/>
  <c r="A118" i="4"/>
  <c r="B117" i="4"/>
  <c r="A117" i="4"/>
  <c r="B116" i="4"/>
  <c r="A116" i="4"/>
  <c r="B115" i="4"/>
  <c r="A115" i="4"/>
  <c r="B114" i="4"/>
  <c r="A114" i="4"/>
  <c r="B113" i="4"/>
  <c r="A113" i="4"/>
  <c r="B112" i="4"/>
  <c r="A112" i="4"/>
  <c r="B111" i="4"/>
  <c r="A111" i="4"/>
  <c r="B110" i="4"/>
  <c r="A110" i="4"/>
  <c r="B109" i="4"/>
  <c r="A109" i="4"/>
  <c r="B108" i="4"/>
  <c r="A108" i="4"/>
  <c r="B107" i="4"/>
  <c r="A107" i="4"/>
  <c r="B106" i="4"/>
  <c r="A106" i="4"/>
  <c r="B105" i="4"/>
  <c r="A105" i="4"/>
  <c r="B104" i="4"/>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B3" i="4"/>
  <c r="A3" i="4"/>
  <c r="B2" i="4"/>
  <c r="A2" i="4"/>
  <c r="C36" i="3"/>
  <c r="C11" i="5" s="1"/>
  <c r="C21" i="3"/>
  <c r="C17" i="3"/>
  <c r="C15" i="3"/>
  <c r="C10" i="3"/>
  <c r="J1502" i="4" l="1"/>
  <c r="C1502" i="4"/>
  <c r="D1502" i="4" s="1"/>
  <c r="E1502" i="4" s="1"/>
  <c r="F1502" i="4" s="1"/>
  <c r="C751" i="4"/>
  <c r="D751" i="4" s="1"/>
  <c r="E751" i="4" s="1"/>
  <c r="F751" i="4" s="1"/>
  <c r="J751" i="4"/>
  <c r="J3001" i="4"/>
  <c r="C3001" i="4"/>
  <c r="D3001" i="4" s="1"/>
  <c r="E3001" i="4" s="1"/>
  <c r="F3001" i="4" s="1"/>
  <c r="J3000" i="4"/>
  <c r="C3000" i="4"/>
  <c r="D3000" i="4" s="1"/>
  <c r="E3000" i="4" s="1"/>
  <c r="F3000" i="4" s="1"/>
  <c r="J2999" i="4"/>
  <c r="C2999" i="4"/>
  <c r="D2999" i="4" s="1"/>
  <c r="E2999" i="4" s="1"/>
  <c r="F2999" i="4" s="1"/>
  <c r="J2998" i="4"/>
  <c r="C2998" i="4"/>
  <c r="D2998" i="4" s="1"/>
  <c r="E2998" i="4" s="1"/>
  <c r="F2998" i="4" s="1"/>
  <c r="J2997" i="4"/>
  <c r="C2997" i="4"/>
  <c r="D2997" i="4" s="1"/>
  <c r="E2997" i="4" s="1"/>
  <c r="F2997" i="4" s="1"/>
  <c r="J2996" i="4"/>
  <c r="C2996" i="4"/>
  <c r="D2996" i="4" s="1"/>
  <c r="E2996" i="4" s="1"/>
  <c r="F2996" i="4" s="1"/>
  <c r="C2995" i="4"/>
  <c r="D2995" i="4" s="1"/>
  <c r="E2995" i="4" s="1"/>
  <c r="F2995" i="4" s="1"/>
  <c r="J2995" i="4"/>
  <c r="C2994" i="4"/>
  <c r="D2994" i="4" s="1"/>
  <c r="E2994" i="4" s="1"/>
  <c r="F2994" i="4" s="1"/>
  <c r="J2994" i="4"/>
  <c r="C2993" i="4"/>
  <c r="D2993" i="4" s="1"/>
  <c r="E2993" i="4" s="1"/>
  <c r="F2993" i="4" s="1"/>
  <c r="J2993" i="4"/>
  <c r="J2992" i="4"/>
  <c r="C2992" i="4"/>
  <c r="D2992" i="4" s="1"/>
  <c r="E2992" i="4" s="1"/>
  <c r="F2992" i="4" s="1"/>
  <c r="J2991" i="4"/>
  <c r="C2991" i="4"/>
  <c r="D2991" i="4" s="1"/>
  <c r="E2991" i="4" s="1"/>
  <c r="F2991" i="4" s="1"/>
  <c r="J2990" i="4"/>
  <c r="C2990" i="4"/>
  <c r="D2990" i="4" s="1"/>
  <c r="E2990" i="4" s="1"/>
  <c r="F2990" i="4" s="1"/>
  <c r="J2989" i="4"/>
  <c r="C2989" i="4"/>
  <c r="D2989" i="4" s="1"/>
  <c r="E2989" i="4" s="1"/>
  <c r="F2989" i="4" s="1"/>
  <c r="C2988" i="4"/>
  <c r="D2988" i="4" s="1"/>
  <c r="E2988" i="4" s="1"/>
  <c r="F2988" i="4" s="1"/>
  <c r="J2988" i="4"/>
  <c r="J2987" i="4"/>
  <c r="C2987" i="4"/>
  <c r="D2987" i="4" s="1"/>
  <c r="E2987" i="4" s="1"/>
  <c r="F2987" i="4" s="1"/>
  <c r="J2986" i="4"/>
  <c r="C2986" i="4"/>
  <c r="D2986" i="4" s="1"/>
  <c r="E2986" i="4" s="1"/>
  <c r="F2986" i="4" s="1"/>
  <c r="J2985" i="4"/>
  <c r="C2985" i="4"/>
  <c r="D2985" i="4" s="1"/>
  <c r="E2985" i="4" s="1"/>
  <c r="F2985" i="4" s="1"/>
  <c r="C2984" i="4"/>
  <c r="D2984" i="4" s="1"/>
  <c r="E2984" i="4" s="1"/>
  <c r="F2984" i="4" s="1"/>
  <c r="J2984" i="4"/>
  <c r="J2983" i="4"/>
  <c r="C2983" i="4"/>
  <c r="D2983" i="4" s="1"/>
  <c r="E2983" i="4" s="1"/>
  <c r="F2983" i="4" s="1"/>
  <c r="J2982" i="4"/>
  <c r="C2982" i="4"/>
  <c r="D2982" i="4" s="1"/>
  <c r="E2982" i="4" s="1"/>
  <c r="F2982" i="4" s="1"/>
  <c r="J2981" i="4"/>
  <c r="C2981" i="4"/>
  <c r="D2981" i="4" s="1"/>
  <c r="E2981" i="4" s="1"/>
  <c r="F2981" i="4" s="1"/>
  <c r="J2980" i="4"/>
  <c r="C2980" i="4"/>
  <c r="D2980" i="4" s="1"/>
  <c r="E2980" i="4" s="1"/>
  <c r="F2980" i="4" s="1"/>
  <c r="J2979" i="4"/>
  <c r="C2979" i="4"/>
  <c r="D2979" i="4" s="1"/>
  <c r="E2979" i="4" s="1"/>
  <c r="F2979" i="4" s="1"/>
  <c r="J2978" i="4"/>
  <c r="C2978" i="4"/>
  <c r="D2978" i="4" s="1"/>
  <c r="E2978" i="4" s="1"/>
  <c r="F2978" i="4" s="1"/>
  <c r="J2977" i="4"/>
  <c r="C2977" i="4"/>
  <c r="D2977" i="4" s="1"/>
  <c r="E2977" i="4" s="1"/>
  <c r="F2977" i="4" s="1"/>
  <c r="J2976" i="4"/>
  <c r="C2976" i="4"/>
  <c r="D2976" i="4" s="1"/>
  <c r="E2976" i="4" s="1"/>
  <c r="F2976" i="4" s="1"/>
  <c r="J2975" i="4"/>
  <c r="C2975" i="4"/>
  <c r="D2975" i="4" s="1"/>
  <c r="E2975" i="4" s="1"/>
  <c r="F2975" i="4" s="1"/>
  <c r="J2974" i="4"/>
  <c r="C2974" i="4"/>
  <c r="D2974" i="4" s="1"/>
  <c r="E2974" i="4" s="1"/>
  <c r="F2974" i="4" s="1"/>
  <c r="C2973" i="4"/>
  <c r="D2973" i="4" s="1"/>
  <c r="E2973" i="4" s="1"/>
  <c r="F2973" i="4" s="1"/>
  <c r="J2973" i="4"/>
  <c r="C2972" i="4"/>
  <c r="D2972" i="4" s="1"/>
  <c r="E2972" i="4" s="1"/>
  <c r="F2972" i="4" s="1"/>
  <c r="J2972" i="4"/>
  <c r="J2971" i="4"/>
  <c r="C2971" i="4"/>
  <c r="D2971" i="4" s="1"/>
  <c r="E2971" i="4" s="1"/>
  <c r="F2971" i="4" s="1"/>
  <c r="J2970" i="4"/>
  <c r="C2970" i="4"/>
  <c r="D2970" i="4" s="1"/>
  <c r="E2970" i="4" s="1"/>
  <c r="F2970" i="4" s="1"/>
  <c r="J2969" i="4"/>
  <c r="C2969" i="4"/>
  <c r="D2969" i="4" s="1"/>
  <c r="E2969" i="4" s="1"/>
  <c r="F2969" i="4" s="1"/>
  <c r="J2968" i="4"/>
  <c r="C2968" i="4"/>
  <c r="D2968" i="4" s="1"/>
  <c r="E2968" i="4" s="1"/>
  <c r="F2968" i="4" s="1"/>
  <c r="J2967" i="4"/>
  <c r="C2967" i="4"/>
  <c r="D2967" i="4" s="1"/>
  <c r="E2967" i="4" s="1"/>
  <c r="F2967" i="4" s="1"/>
  <c r="J2966" i="4"/>
  <c r="C2966" i="4"/>
  <c r="D2966" i="4" s="1"/>
  <c r="E2966" i="4" s="1"/>
  <c r="F2966" i="4" s="1"/>
  <c r="C2965" i="4"/>
  <c r="D2965" i="4" s="1"/>
  <c r="E2965" i="4" s="1"/>
  <c r="F2965" i="4" s="1"/>
  <c r="J2965" i="4"/>
  <c r="J2964" i="4"/>
  <c r="C2964" i="4"/>
  <c r="D2964" i="4" s="1"/>
  <c r="E2964" i="4" s="1"/>
  <c r="F2964" i="4" s="1"/>
  <c r="J2963" i="4"/>
  <c r="C2963" i="4"/>
  <c r="D2963" i="4" s="1"/>
  <c r="E2963" i="4" s="1"/>
  <c r="F2963" i="4" s="1"/>
  <c r="J2962" i="4"/>
  <c r="C2962" i="4"/>
  <c r="D2962" i="4" s="1"/>
  <c r="E2962" i="4" s="1"/>
  <c r="F2962" i="4" s="1"/>
  <c r="J2961" i="4"/>
  <c r="C2961" i="4"/>
  <c r="D2961" i="4" s="1"/>
  <c r="E2961" i="4" s="1"/>
  <c r="F2961" i="4" s="1"/>
  <c r="J2960" i="4"/>
  <c r="C2960" i="4"/>
  <c r="D2960" i="4" s="1"/>
  <c r="E2960" i="4" s="1"/>
  <c r="F2960" i="4" s="1"/>
  <c r="J2959" i="4"/>
  <c r="C2959" i="4"/>
  <c r="D2959" i="4" s="1"/>
  <c r="E2959" i="4" s="1"/>
  <c r="F2959" i="4" s="1"/>
  <c r="C2958" i="4"/>
  <c r="D2958" i="4" s="1"/>
  <c r="E2958" i="4" s="1"/>
  <c r="F2958" i="4" s="1"/>
  <c r="J2958" i="4"/>
  <c r="C2957" i="4"/>
  <c r="D2957" i="4" s="1"/>
  <c r="E2957" i="4" s="1"/>
  <c r="F2957" i="4" s="1"/>
  <c r="J2957" i="4"/>
  <c r="J2956" i="4"/>
  <c r="C2956" i="4"/>
  <c r="D2956" i="4" s="1"/>
  <c r="E2956" i="4" s="1"/>
  <c r="F2956" i="4" s="1"/>
  <c r="J2955" i="4"/>
  <c r="C2955" i="4"/>
  <c r="D2955" i="4" s="1"/>
  <c r="E2955" i="4" s="1"/>
  <c r="F2955" i="4" s="1"/>
  <c r="J2954" i="4"/>
  <c r="C2954" i="4"/>
  <c r="D2954" i="4" s="1"/>
  <c r="E2954" i="4" s="1"/>
  <c r="F2954" i="4" s="1"/>
  <c r="J2953" i="4"/>
  <c r="C2953" i="4"/>
  <c r="D2953" i="4" s="1"/>
  <c r="E2953" i="4" s="1"/>
  <c r="F2953" i="4" s="1"/>
  <c r="J2952" i="4"/>
  <c r="C2952" i="4"/>
  <c r="D2952" i="4" s="1"/>
  <c r="E2952" i="4" s="1"/>
  <c r="F2952" i="4" s="1"/>
  <c r="J2951" i="4"/>
  <c r="C2951" i="4"/>
  <c r="D2951" i="4" s="1"/>
  <c r="E2951" i="4" s="1"/>
  <c r="F2951" i="4" s="1"/>
  <c r="J2950" i="4"/>
  <c r="C2950" i="4"/>
  <c r="D2950" i="4" s="1"/>
  <c r="E2950" i="4" s="1"/>
  <c r="F2950" i="4" s="1"/>
  <c r="J2949" i="4"/>
  <c r="C2949" i="4"/>
  <c r="D2949" i="4" s="1"/>
  <c r="E2949" i="4" s="1"/>
  <c r="F2949" i="4" s="1"/>
  <c r="J2948" i="4"/>
  <c r="C2948" i="4"/>
  <c r="D2948" i="4" s="1"/>
  <c r="E2948" i="4" s="1"/>
  <c r="F2948" i="4" s="1"/>
  <c r="J2947" i="4"/>
  <c r="C2947" i="4"/>
  <c r="D2947" i="4" s="1"/>
  <c r="E2947" i="4" s="1"/>
  <c r="F2947" i="4" s="1"/>
  <c r="J2946" i="4"/>
  <c r="C2946" i="4"/>
  <c r="D2946" i="4" s="1"/>
  <c r="E2946" i="4" s="1"/>
  <c r="F2946" i="4" s="1"/>
  <c r="J2945" i="4"/>
  <c r="C2945" i="4"/>
  <c r="D2945" i="4" s="1"/>
  <c r="E2945" i="4" s="1"/>
  <c r="F2945" i="4" s="1"/>
  <c r="J2944" i="4"/>
  <c r="C2944" i="4"/>
  <c r="D2944" i="4" s="1"/>
  <c r="E2944" i="4" s="1"/>
  <c r="F2944" i="4" s="1"/>
  <c r="C2943" i="4"/>
  <c r="D2943" i="4" s="1"/>
  <c r="E2943" i="4" s="1"/>
  <c r="F2943" i="4" s="1"/>
  <c r="J2943" i="4"/>
  <c r="C2942" i="4"/>
  <c r="D2942" i="4" s="1"/>
  <c r="E2942" i="4" s="1"/>
  <c r="F2942" i="4" s="1"/>
  <c r="J2942" i="4"/>
  <c r="J2941" i="4"/>
  <c r="C2941" i="4"/>
  <c r="D2941" i="4" s="1"/>
  <c r="E2941" i="4" s="1"/>
  <c r="F2941" i="4" s="1"/>
  <c r="J2940" i="4"/>
  <c r="C2940" i="4"/>
  <c r="D2940" i="4" s="1"/>
  <c r="E2940" i="4" s="1"/>
  <c r="F2940" i="4" s="1"/>
  <c r="J2939" i="4"/>
  <c r="C2939" i="4"/>
  <c r="D2939" i="4" s="1"/>
  <c r="E2939" i="4" s="1"/>
  <c r="F2939" i="4" s="1"/>
  <c r="J2938" i="4"/>
  <c r="C2938" i="4"/>
  <c r="D2938" i="4" s="1"/>
  <c r="E2938" i="4" s="1"/>
  <c r="F2938" i="4" s="1"/>
  <c r="J2937" i="4"/>
  <c r="C2937" i="4"/>
  <c r="D2937" i="4" s="1"/>
  <c r="E2937" i="4" s="1"/>
  <c r="F2937" i="4" s="1"/>
  <c r="J2936" i="4"/>
  <c r="C2936" i="4"/>
  <c r="D2936" i="4" s="1"/>
  <c r="E2936" i="4" s="1"/>
  <c r="F2936" i="4" s="1"/>
  <c r="C2935" i="4"/>
  <c r="D2935" i="4" s="1"/>
  <c r="E2935" i="4" s="1"/>
  <c r="F2935" i="4" s="1"/>
  <c r="J2935" i="4"/>
  <c r="J2934" i="4"/>
  <c r="C2934" i="4"/>
  <c r="D2934" i="4" s="1"/>
  <c r="E2934" i="4" s="1"/>
  <c r="F2934" i="4" s="1"/>
  <c r="J2933" i="4"/>
  <c r="C2933" i="4"/>
  <c r="D2933" i="4" s="1"/>
  <c r="E2933" i="4" s="1"/>
  <c r="F2933" i="4" s="1"/>
  <c r="J2932" i="4"/>
  <c r="C2932" i="4"/>
  <c r="D2932" i="4" s="1"/>
  <c r="E2932" i="4" s="1"/>
  <c r="F2932" i="4" s="1"/>
  <c r="J2931" i="4"/>
  <c r="C2931" i="4"/>
  <c r="D2931" i="4" s="1"/>
  <c r="E2931" i="4" s="1"/>
  <c r="F2931" i="4" s="1"/>
  <c r="J2930" i="4"/>
  <c r="C2930" i="4"/>
  <c r="D2930" i="4" s="1"/>
  <c r="E2930" i="4" s="1"/>
  <c r="F2930" i="4" s="1"/>
  <c r="J2929" i="4"/>
  <c r="C2929" i="4"/>
  <c r="D2929" i="4" s="1"/>
  <c r="E2929" i="4" s="1"/>
  <c r="F2929" i="4" s="1"/>
  <c r="C2928" i="4"/>
  <c r="D2928" i="4" s="1"/>
  <c r="E2928" i="4" s="1"/>
  <c r="F2928" i="4" s="1"/>
  <c r="J2928" i="4"/>
  <c r="C2927" i="4"/>
  <c r="D2927" i="4" s="1"/>
  <c r="E2927" i="4" s="1"/>
  <c r="F2927" i="4" s="1"/>
  <c r="J2927" i="4"/>
  <c r="J2926" i="4"/>
  <c r="C2926" i="4"/>
  <c r="D2926" i="4" s="1"/>
  <c r="E2926" i="4" s="1"/>
  <c r="F2926" i="4" s="1"/>
  <c r="J2925" i="4"/>
  <c r="C2925" i="4"/>
  <c r="D2925" i="4" s="1"/>
  <c r="E2925" i="4" s="1"/>
  <c r="F2925" i="4" s="1"/>
  <c r="J2924" i="4"/>
  <c r="C2924" i="4"/>
  <c r="D2924" i="4" s="1"/>
  <c r="E2924" i="4" s="1"/>
  <c r="F2924" i="4" s="1"/>
  <c r="J2923" i="4"/>
  <c r="C2923" i="4"/>
  <c r="D2923" i="4" s="1"/>
  <c r="E2923" i="4" s="1"/>
  <c r="F2923" i="4" s="1"/>
  <c r="J2922" i="4"/>
  <c r="C2922" i="4"/>
  <c r="D2922" i="4" s="1"/>
  <c r="E2922" i="4" s="1"/>
  <c r="F2922" i="4" s="1"/>
  <c r="J2921" i="4"/>
  <c r="C2921" i="4"/>
  <c r="D2921" i="4" s="1"/>
  <c r="E2921" i="4" s="1"/>
  <c r="F2921" i="4" s="1"/>
  <c r="J2920" i="4"/>
  <c r="C2920" i="4"/>
  <c r="D2920" i="4" s="1"/>
  <c r="E2920" i="4" s="1"/>
  <c r="F2920" i="4" s="1"/>
  <c r="J2919" i="4"/>
  <c r="C2919" i="4"/>
  <c r="D2919" i="4" s="1"/>
  <c r="E2919" i="4" s="1"/>
  <c r="F2919" i="4" s="1"/>
  <c r="J2918" i="4"/>
  <c r="C2918" i="4"/>
  <c r="D2918" i="4" s="1"/>
  <c r="E2918" i="4" s="1"/>
  <c r="F2918" i="4" s="1"/>
  <c r="J2917" i="4"/>
  <c r="C2917" i="4"/>
  <c r="D2917" i="4" s="1"/>
  <c r="E2917" i="4" s="1"/>
  <c r="F2917" i="4" s="1"/>
  <c r="J2916" i="4"/>
  <c r="C2916" i="4"/>
  <c r="D2916" i="4" s="1"/>
  <c r="E2916" i="4" s="1"/>
  <c r="F2916" i="4" s="1"/>
  <c r="J2915" i="4"/>
  <c r="C2915" i="4"/>
  <c r="D2915" i="4" s="1"/>
  <c r="E2915" i="4" s="1"/>
  <c r="F2915" i="4" s="1"/>
  <c r="J2914" i="4"/>
  <c r="C2914" i="4"/>
  <c r="D2914" i="4" s="1"/>
  <c r="E2914" i="4" s="1"/>
  <c r="F2914" i="4" s="1"/>
  <c r="C2913" i="4"/>
  <c r="D2913" i="4" s="1"/>
  <c r="E2913" i="4" s="1"/>
  <c r="F2913" i="4" s="1"/>
  <c r="J2913" i="4"/>
  <c r="C2912" i="4"/>
  <c r="D2912" i="4" s="1"/>
  <c r="E2912" i="4" s="1"/>
  <c r="F2912" i="4" s="1"/>
  <c r="J2912" i="4"/>
  <c r="J2911" i="4"/>
  <c r="C2911" i="4"/>
  <c r="D2911" i="4" s="1"/>
  <c r="E2911" i="4" s="1"/>
  <c r="F2911" i="4" s="1"/>
  <c r="J2910" i="4"/>
  <c r="C2910" i="4"/>
  <c r="D2910" i="4" s="1"/>
  <c r="E2910" i="4" s="1"/>
  <c r="F2910" i="4" s="1"/>
  <c r="J2909" i="4"/>
  <c r="C2909" i="4"/>
  <c r="D2909" i="4" s="1"/>
  <c r="E2909" i="4" s="1"/>
  <c r="F2909" i="4" s="1"/>
  <c r="J2908" i="4"/>
  <c r="C2908" i="4"/>
  <c r="D2908" i="4" s="1"/>
  <c r="E2908" i="4" s="1"/>
  <c r="F2908" i="4" s="1"/>
  <c r="J2907" i="4"/>
  <c r="C2907" i="4"/>
  <c r="D2907" i="4" s="1"/>
  <c r="E2907" i="4" s="1"/>
  <c r="F2907" i="4" s="1"/>
  <c r="J2906" i="4"/>
  <c r="C2906" i="4"/>
  <c r="D2906" i="4" s="1"/>
  <c r="E2906" i="4" s="1"/>
  <c r="F2906" i="4" s="1"/>
  <c r="C2905" i="4"/>
  <c r="D2905" i="4" s="1"/>
  <c r="E2905" i="4" s="1"/>
  <c r="F2905" i="4" s="1"/>
  <c r="J2905" i="4"/>
  <c r="J2904" i="4"/>
  <c r="C2904" i="4"/>
  <c r="D2904" i="4" s="1"/>
  <c r="E2904" i="4" s="1"/>
  <c r="F2904" i="4" s="1"/>
  <c r="J2903" i="4"/>
  <c r="C2903" i="4"/>
  <c r="D2903" i="4" s="1"/>
  <c r="E2903" i="4" s="1"/>
  <c r="F2903" i="4" s="1"/>
  <c r="J2902" i="4"/>
  <c r="C2902" i="4"/>
  <c r="D2902" i="4" s="1"/>
  <c r="E2902" i="4" s="1"/>
  <c r="F2902" i="4" s="1"/>
  <c r="J2901" i="4"/>
  <c r="C2901" i="4"/>
  <c r="D2901" i="4" s="1"/>
  <c r="E2901" i="4" s="1"/>
  <c r="F2901" i="4" s="1"/>
  <c r="J2900" i="4"/>
  <c r="C2900" i="4"/>
  <c r="D2900" i="4" s="1"/>
  <c r="E2900" i="4" s="1"/>
  <c r="F2900" i="4" s="1"/>
  <c r="J2899" i="4"/>
  <c r="C2899" i="4"/>
  <c r="D2899" i="4" s="1"/>
  <c r="E2899" i="4" s="1"/>
  <c r="F2899" i="4" s="1"/>
  <c r="C2898" i="4"/>
  <c r="D2898" i="4" s="1"/>
  <c r="E2898" i="4" s="1"/>
  <c r="F2898" i="4" s="1"/>
  <c r="J2898" i="4"/>
  <c r="C2897" i="4"/>
  <c r="D2897" i="4" s="1"/>
  <c r="E2897" i="4" s="1"/>
  <c r="F2897" i="4" s="1"/>
  <c r="J2897" i="4"/>
  <c r="J2896" i="4"/>
  <c r="C2896" i="4"/>
  <c r="D2896" i="4" s="1"/>
  <c r="E2896" i="4" s="1"/>
  <c r="F2896" i="4" s="1"/>
  <c r="J2895" i="4"/>
  <c r="C2895" i="4"/>
  <c r="D2895" i="4" s="1"/>
  <c r="E2895" i="4" s="1"/>
  <c r="F2895" i="4" s="1"/>
  <c r="J2894" i="4"/>
  <c r="C2894" i="4"/>
  <c r="D2894" i="4" s="1"/>
  <c r="E2894" i="4" s="1"/>
  <c r="F2894" i="4" s="1"/>
  <c r="J2893" i="4"/>
  <c r="C2893" i="4"/>
  <c r="D2893" i="4" s="1"/>
  <c r="E2893" i="4" s="1"/>
  <c r="F2893" i="4" s="1"/>
  <c r="J2892" i="4"/>
  <c r="C2892" i="4"/>
  <c r="D2892" i="4" s="1"/>
  <c r="E2892" i="4" s="1"/>
  <c r="F2892" i="4" s="1"/>
  <c r="J2891" i="4"/>
  <c r="C2891" i="4"/>
  <c r="D2891" i="4" s="1"/>
  <c r="E2891" i="4" s="1"/>
  <c r="F2891" i="4" s="1"/>
  <c r="J2890" i="4"/>
  <c r="C2890" i="4"/>
  <c r="D2890" i="4" s="1"/>
  <c r="E2890" i="4" s="1"/>
  <c r="F2890" i="4" s="1"/>
  <c r="J2889" i="4"/>
  <c r="C2889" i="4"/>
  <c r="D2889" i="4" s="1"/>
  <c r="E2889" i="4" s="1"/>
  <c r="F2889" i="4" s="1"/>
  <c r="J2888" i="4"/>
  <c r="C2888" i="4"/>
  <c r="D2888" i="4" s="1"/>
  <c r="E2888" i="4" s="1"/>
  <c r="F2888" i="4" s="1"/>
  <c r="J2887" i="4"/>
  <c r="C2887" i="4"/>
  <c r="D2887" i="4" s="1"/>
  <c r="E2887" i="4" s="1"/>
  <c r="F2887" i="4" s="1"/>
  <c r="J2886" i="4"/>
  <c r="C2886" i="4"/>
  <c r="D2886" i="4" s="1"/>
  <c r="E2886" i="4" s="1"/>
  <c r="F2886" i="4" s="1"/>
  <c r="J2885" i="4"/>
  <c r="C2885" i="4"/>
  <c r="D2885" i="4" s="1"/>
  <c r="E2885" i="4" s="1"/>
  <c r="F2885" i="4" s="1"/>
  <c r="C2884" i="4"/>
  <c r="D2884" i="4" s="1"/>
  <c r="E2884" i="4" s="1"/>
  <c r="F2884" i="4" s="1"/>
  <c r="J2884" i="4"/>
  <c r="J2883" i="4"/>
  <c r="C2883" i="4"/>
  <c r="D2883" i="4" s="1"/>
  <c r="E2883" i="4" s="1"/>
  <c r="F2883" i="4" s="1"/>
  <c r="C2882" i="4"/>
  <c r="D2882" i="4" s="1"/>
  <c r="E2882" i="4" s="1"/>
  <c r="F2882" i="4" s="1"/>
  <c r="J2882" i="4"/>
  <c r="J2881" i="4"/>
  <c r="C2881" i="4"/>
  <c r="D2881" i="4" s="1"/>
  <c r="E2881" i="4" s="1"/>
  <c r="F2881" i="4" s="1"/>
  <c r="J2880" i="4"/>
  <c r="C2880" i="4"/>
  <c r="D2880" i="4" s="1"/>
  <c r="E2880" i="4" s="1"/>
  <c r="F2880" i="4" s="1"/>
  <c r="J2879" i="4"/>
  <c r="C2879" i="4"/>
  <c r="D2879" i="4" s="1"/>
  <c r="E2879" i="4" s="1"/>
  <c r="F2879" i="4" s="1"/>
  <c r="J2878" i="4"/>
  <c r="C2878" i="4"/>
  <c r="D2878" i="4" s="1"/>
  <c r="E2878" i="4" s="1"/>
  <c r="F2878" i="4" s="1"/>
  <c r="J2877" i="4"/>
  <c r="C2877" i="4"/>
  <c r="D2877" i="4" s="1"/>
  <c r="E2877" i="4" s="1"/>
  <c r="F2877" i="4" s="1"/>
  <c r="J2876" i="4"/>
  <c r="C2876" i="4"/>
  <c r="D2876" i="4" s="1"/>
  <c r="E2876" i="4" s="1"/>
  <c r="F2876" i="4" s="1"/>
  <c r="C2875" i="4"/>
  <c r="D2875" i="4" s="1"/>
  <c r="E2875" i="4" s="1"/>
  <c r="F2875" i="4" s="1"/>
  <c r="J2875" i="4"/>
  <c r="J2874" i="4"/>
  <c r="C2874" i="4"/>
  <c r="D2874" i="4" s="1"/>
  <c r="E2874" i="4" s="1"/>
  <c r="F2874" i="4" s="1"/>
  <c r="J2873" i="4"/>
  <c r="C2873" i="4"/>
  <c r="D2873" i="4" s="1"/>
  <c r="E2873" i="4" s="1"/>
  <c r="F2873" i="4" s="1"/>
  <c r="J2872" i="4"/>
  <c r="C2872" i="4"/>
  <c r="D2872" i="4" s="1"/>
  <c r="E2872" i="4" s="1"/>
  <c r="F2872" i="4" s="1"/>
  <c r="J2871" i="4"/>
  <c r="C2871" i="4"/>
  <c r="D2871" i="4" s="1"/>
  <c r="E2871" i="4" s="1"/>
  <c r="F2871" i="4" s="1"/>
  <c r="J2870" i="4"/>
  <c r="C2870" i="4"/>
  <c r="D2870" i="4" s="1"/>
  <c r="E2870" i="4" s="1"/>
  <c r="F2870" i="4" s="1"/>
  <c r="J2869" i="4"/>
  <c r="C2869" i="4"/>
  <c r="D2869" i="4" s="1"/>
  <c r="E2869" i="4" s="1"/>
  <c r="F2869" i="4" s="1"/>
  <c r="C2868" i="4"/>
  <c r="D2868" i="4" s="1"/>
  <c r="E2868" i="4" s="1"/>
  <c r="F2868" i="4" s="1"/>
  <c r="J2868" i="4"/>
  <c r="C2867" i="4"/>
  <c r="D2867" i="4" s="1"/>
  <c r="E2867" i="4" s="1"/>
  <c r="F2867" i="4" s="1"/>
  <c r="J2867" i="4"/>
  <c r="J2866" i="4"/>
  <c r="C2866" i="4"/>
  <c r="D2866" i="4" s="1"/>
  <c r="E2866" i="4" s="1"/>
  <c r="F2866" i="4" s="1"/>
  <c r="J2865" i="4"/>
  <c r="C2865" i="4"/>
  <c r="D2865" i="4" s="1"/>
  <c r="E2865" i="4" s="1"/>
  <c r="F2865" i="4" s="1"/>
  <c r="J2864" i="4"/>
  <c r="C2864" i="4"/>
  <c r="D2864" i="4" s="1"/>
  <c r="E2864" i="4" s="1"/>
  <c r="F2864" i="4" s="1"/>
  <c r="J2863" i="4"/>
  <c r="C2863" i="4"/>
  <c r="D2863" i="4" s="1"/>
  <c r="E2863" i="4" s="1"/>
  <c r="F2863" i="4" s="1"/>
  <c r="J2862" i="4"/>
  <c r="C2862" i="4"/>
  <c r="D2862" i="4" s="1"/>
  <c r="E2862" i="4" s="1"/>
  <c r="F2862" i="4" s="1"/>
  <c r="J2861" i="4"/>
  <c r="C2861" i="4"/>
  <c r="D2861" i="4" s="1"/>
  <c r="E2861" i="4" s="1"/>
  <c r="F2861" i="4" s="1"/>
  <c r="J2860" i="4"/>
  <c r="C2860" i="4"/>
  <c r="D2860" i="4" s="1"/>
  <c r="E2860" i="4" s="1"/>
  <c r="F2860" i="4" s="1"/>
  <c r="J2859" i="4"/>
  <c r="C2859" i="4"/>
  <c r="D2859" i="4" s="1"/>
  <c r="E2859" i="4" s="1"/>
  <c r="F2859" i="4" s="1"/>
  <c r="J2858" i="4"/>
  <c r="C2858" i="4"/>
  <c r="D2858" i="4" s="1"/>
  <c r="E2858" i="4" s="1"/>
  <c r="F2858" i="4" s="1"/>
  <c r="J2857" i="4"/>
  <c r="C2857" i="4"/>
  <c r="D2857" i="4" s="1"/>
  <c r="E2857" i="4" s="1"/>
  <c r="F2857" i="4" s="1"/>
  <c r="J2856" i="4"/>
  <c r="C2856" i="4"/>
  <c r="D2856" i="4" s="1"/>
  <c r="E2856" i="4" s="1"/>
  <c r="F2856" i="4" s="1"/>
  <c r="J2855" i="4"/>
  <c r="C2855" i="4"/>
  <c r="D2855" i="4" s="1"/>
  <c r="E2855" i="4" s="1"/>
  <c r="F2855" i="4" s="1"/>
  <c r="J2854" i="4"/>
  <c r="C2854" i="4"/>
  <c r="D2854" i="4" s="1"/>
  <c r="E2854" i="4" s="1"/>
  <c r="F2854" i="4" s="1"/>
  <c r="C2853" i="4"/>
  <c r="D2853" i="4" s="1"/>
  <c r="E2853" i="4" s="1"/>
  <c r="F2853" i="4" s="1"/>
  <c r="J2853" i="4"/>
  <c r="C2852" i="4"/>
  <c r="D2852" i="4" s="1"/>
  <c r="E2852" i="4" s="1"/>
  <c r="F2852" i="4" s="1"/>
  <c r="J2852" i="4"/>
  <c r="J2851" i="4"/>
  <c r="C2851" i="4"/>
  <c r="D2851" i="4" s="1"/>
  <c r="E2851" i="4" s="1"/>
  <c r="F2851" i="4" s="1"/>
  <c r="J2850" i="4"/>
  <c r="C2850" i="4"/>
  <c r="D2850" i="4" s="1"/>
  <c r="E2850" i="4" s="1"/>
  <c r="F2850" i="4" s="1"/>
  <c r="J2849" i="4"/>
  <c r="C2849" i="4"/>
  <c r="D2849" i="4" s="1"/>
  <c r="E2849" i="4" s="1"/>
  <c r="F2849" i="4" s="1"/>
  <c r="J2848" i="4"/>
  <c r="C2848" i="4"/>
  <c r="D2848" i="4" s="1"/>
  <c r="E2848" i="4" s="1"/>
  <c r="F2848" i="4" s="1"/>
  <c r="J2847" i="4"/>
  <c r="C2847" i="4"/>
  <c r="D2847" i="4" s="1"/>
  <c r="E2847" i="4" s="1"/>
  <c r="F2847" i="4" s="1"/>
  <c r="J2846" i="4"/>
  <c r="C2846" i="4"/>
  <c r="D2846" i="4" s="1"/>
  <c r="E2846" i="4" s="1"/>
  <c r="F2846" i="4" s="1"/>
  <c r="C2845" i="4"/>
  <c r="D2845" i="4" s="1"/>
  <c r="E2845" i="4" s="1"/>
  <c r="F2845" i="4" s="1"/>
  <c r="J2845" i="4"/>
  <c r="J2844" i="4"/>
  <c r="C2844" i="4"/>
  <c r="D2844" i="4" s="1"/>
  <c r="E2844" i="4" s="1"/>
  <c r="F2844" i="4" s="1"/>
  <c r="J2843" i="4"/>
  <c r="C2843" i="4"/>
  <c r="D2843" i="4" s="1"/>
  <c r="E2843" i="4" s="1"/>
  <c r="F2843" i="4" s="1"/>
  <c r="J2842" i="4"/>
  <c r="C2842" i="4"/>
  <c r="D2842" i="4" s="1"/>
  <c r="E2842" i="4" s="1"/>
  <c r="F2842" i="4" s="1"/>
  <c r="J2841" i="4"/>
  <c r="C2841" i="4"/>
  <c r="D2841" i="4" s="1"/>
  <c r="E2841" i="4" s="1"/>
  <c r="F2841" i="4" s="1"/>
  <c r="J2840" i="4"/>
  <c r="C2840" i="4"/>
  <c r="D2840" i="4" s="1"/>
  <c r="E2840" i="4" s="1"/>
  <c r="F2840" i="4" s="1"/>
  <c r="J2839" i="4"/>
  <c r="C2839" i="4"/>
  <c r="D2839" i="4" s="1"/>
  <c r="E2839" i="4" s="1"/>
  <c r="F2839" i="4" s="1"/>
  <c r="C2838" i="4"/>
  <c r="D2838" i="4" s="1"/>
  <c r="E2838" i="4" s="1"/>
  <c r="F2838" i="4" s="1"/>
  <c r="J2838" i="4"/>
  <c r="C2837" i="4"/>
  <c r="D2837" i="4" s="1"/>
  <c r="E2837" i="4" s="1"/>
  <c r="F2837" i="4" s="1"/>
  <c r="J2837" i="4"/>
  <c r="J2836" i="4"/>
  <c r="C2836" i="4"/>
  <c r="D2836" i="4" s="1"/>
  <c r="E2836" i="4" s="1"/>
  <c r="F2836" i="4" s="1"/>
  <c r="J2835" i="4"/>
  <c r="C2835" i="4"/>
  <c r="D2835" i="4" s="1"/>
  <c r="E2835" i="4" s="1"/>
  <c r="F2835" i="4" s="1"/>
  <c r="J2834" i="4"/>
  <c r="C2834" i="4"/>
  <c r="D2834" i="4" s="1"/>
  <c r="E2834" i="4" s="1"/>
  <c r="F2834" i="4" s="1"/>
  <c r="J2833" i="4"/>
  <c r="C2833" i="4"/>
  <c r="D2833" i="4" s="1"/>
  <c r="E2833" i="4" s="1"/>
  <c r="F2833" i="4" s="1"/>
  <c r="J2832" i="4"/>
  <c r="C2832" i="4"/>
  <c r="D2832" i="4" s="1"/>
  <c r="E2832" i="4" s="1"/>
  <c r="F2832" i="4" s="1"/>
  <c r="J2831" i="4"/>
  <c r="C2831" i="4"/>
  <c r="D2831" i="4" s="1"/>
  <c r="E2831" i="4" s="1"/>
  <c r="F2831" i="4" s="1"/>
  <c r="J2830" i="4"/>
  <c r="C2830" i="4"/>
  <c r="D2830" i="4" s="1"/>
  <c r="E2830" i="4" s="1"/>
  <c r="F2830" i="4" s="1"/>
  <c r="J2829" i="4"/>
  <c r="C2829" i="4"/>
  <c r="D2829" i="4" s="1"/>
  <c r="E2829" i="4" s="1"/>
  <c r="F2829" i="4" s="1"/>
  <c r="J2828" i="4"/>
  <c r="C2828" i="4"/>
  <c r="D2828" i="4" s="1"/>
  <c r="E2828" i="4" s="1"/>
  <c r="F2828" i="4" s="1"/>
  <c r="J2827" i="4"/>
  <c r="C2827" i="4"/>
  <c r="D2827" i="4" s="1"/>
  <c r="E2827" i="4" s="1"/>
  <c r="F2827" i="4" s="1"/>
  <c r="J2826" i="4"/>
  <c r="C2826" i="4"/>
  <c r="D2826" i="4" s="1"/>
  <c r="E2826" i="4" s="1"/>
  <c r="F2826" i="4" s="1"/>
  <c r="J2825" i="4"/>
  <c r="C2825" i="4"/>
  <c r="D2825" i="4" s="1"/>
  <c r="E2825" i="4" s="1"/>
  <c r="F2825" i="4" s="1"/>
  <c r="J2824" i="4"/>
  <c r="C2824" i="4"/>
  <c r="D2824" i="4" s="1"/>
  <c r="E2824" i="4" s="1"/>
  <c r="F2824" i="4" s="1"/>
  <c r="C2823" i="4"/>
  <c r="D2823" i="4" s="1"/>
  <c r="E2823" i="4" s="1"/>
  <c r="F2823" i="4" s="1"/>
  <c r="J2823" i="4"/>
  <c r="C2822" i="4"/>
  <c r="D2822" i="4" s="1"/>
  <c r="E2822" i="4" s="1"/>
  <c r="F2822" i="4" s="1"/>
  <c r="J2822" i="4"/>
  <c r="J2821" i="4"/>
  <c r="C2821" i="4"/>
  <c r="D2821" i="4" s="1"/>
  <c r="E2821" i="4" s="1"/>
  <c r="F2821" i="4" s="1"/>
  <c r="J2820" i="4"/>
  <c r="C2820" i="4"/>
  <c r="D2820" i="4" s="1"/>
  <c r="E2820" i="4" s="1"/>
  <c r="F2820" i="4" s="1"/>
  <c r="J2819" i="4"/>
  <c r="C2819" i="4"/>
  <c r="D2819" i="4" s="1"/>
  <c r="E2819" i="4" s="1"/>
  <c r="F2819" i="4" s="1"/>
  <c r="J2818" i="4"/>
  <c r="C2818" i="4"/>
  <c r="D2818" i="4" s="1"/>
  <c r="E2818" i="4" s="1"/>
  <c r="F2818" i="4" s="1"/>
  <c r="J2817" i="4"/>
  <c r="C2817" i="4"/>
  <c r="D2817" i="4" s="1"/>
  <c r="E2817" i="4" s="1"/>
  <c r="F2817" i="4" s="1"/>
  <c r="J2816" i="4"/>
  <c r="C2816" i="4"/>
  <c r="D2816" i="4" s="1"/>
  <c r="E2816" i="4" s="1"/>
  <c r="F2816" i="4" s="1"/>
  <c r="C2815" i="4"/>
  <c r="D2815" i="4" s="1"/>
  <c r="E2815" i="4" s="1"/>
  <c r="F2815" i="4" s="1"/>
  <c r="J2815" i="4"/>
  <c r="J2814" i="4"/>
  <c r="C2814" i="4"/>
  <c r="D2814" i="4" s="1"/>
  <c r="E2814" i="4" s="1"/>
  <c r="F2814" i="4" s="1"/>
  <c r="J2813" i="4"/>
  <c r="C2813" i="4"/>
  <c r="D2813" i="4" s="1"/>
  <c r="E2813" i="4" s="1"/>
  <c r="F2813" i="4" s="1"/>
  <c r="J2812" i="4"/>
  <c r="C2812" i="4"/>
  <c r="D2812" i="4" s="1"/>
  <c r="E2812" i="4" s="1"/>
  <c r="F2812" i="4" s="1"/>
  <c r="J2811" i="4"/>
  <c r="C2811" i="4"/>
  <c r="D2811" i="4" s="1"/>
  <c r="E2811" i="4" s="1"/>
  <c r="F2811" i="4" s="1"/>
  <c r="J2810" i="4"/>
  <c r="C2810" i="4"/>
  <c r="D2810" i="4" s="1"/>
  <c r="E2810" i="4" s="1"/>
  <c r="F2810" i="4" s="1"/>
  <c r="J2809" i="4"/>
  <c r="C2809" i="4"/>
  <c r="D2809" i="4" s="1"/>
  <c r="E2809" i="4" s="1"/>
  <c r="F2809" i="4" s="1"/>
  <c r="C2808" i="4"/>
  <c r="D2808" i="4" s="1"/>
  <c r="E2808" i="4" s="1"/>
  <c r="F2808" i="4" s="1"/>
  <c r="J2808" i="4"/>
  <c r="C2807" i="4"/>
  <c r="D2807" i="4" s="1"/>
  <c r="E2807" i="4" s="1"/>
  <c r="F2807" i="4" s="1"/>
  <c r="J2807" i="4"/>
  <c r="J2806" i="4"/>
  <c r="C2806" i="4"/>
  <c r="D2806" i="4" s="1"/>
  <c r="E2806" i="4" s="1"/>
  <c r="F2806" i="4" s="1"/>
  <c r="J2805" i="4"/>
  <c r="C2805" i="4"/>
  <c r="D2805" i="4" s="1"/>
  <c r="E2805" i="4" s="1"/>
  <c r="F2805" i="4" s="1"/>
  <c r="J2804" i="4"/>
  <c r="C2804" i="4"/>
  <c r="D2804" i="4" s="1"/>
  <c r="E2804" i="4" s="1"/>
  <c r="F2804" i="4" s="1"/>
  <c r="J2803" i="4"/>
  <c r="C2803" i="4"/>
  <c r="D2803" i="4" s="1"/>
  <c r="E2803" i="4" s="1"/>
  <c r="F2803" i="4" s="1"/>
  <c r="J2802" i="4"/>
  <c r="C2802" i="4"/>
  <c r="D2802" i="4" s="1"/>
  <c r="E2802" i="4" s="1"/>
  <c r="F2802" i="4" s="1"/>
  <c r="J2801" i="4"/>
  <c r="C2801" i="4"/>
  <c r="D2801" i="4" s="1"/>
  <c r="E2801" i="4" s="1"/>
  <c r="F2801" i="4" s="1"/>
  <c r="J2800" i="4"/>
  <c r="C2800" i="4"/>
  <c r="D2800" i="4" s="1"/>
  <c r="E2800" i="4" s="1"/>
  <c r="F2800" i="4" s="1"/>
  <c r="J2799" i="4"/>
  <c r="C2799" i="4"/>
  <c r="D2799" i="4" s="1"/>
  <c r="E2799" i="4" s="1"/>
  <c r="F2799" i="4" s="1"/>
  <c r="J2798" i="4"/>
  <c r="C2798" i="4"/>
  <c r="D2798" i="4" s="1"/>
  <c r="E2798" i="4" s="1"/>
  <c r="F2798" i="4" s="1"/>
  <c r="J2797" i="4"/>
  <c r="C2797" i="4"/>
  <c r="D2797" i="4" s="1"/>
  <c r="E2797" i="4" s="1"/>
  <c r="F2797" i="4" s="1"/>
  <c r="J2796" i="4"/>
  <c r="C2796" i="4"/>
  <c r="D2796" i="4" s="1"/>
  <c r="E2796" i="4" s="1"/>
  <c r="F2796" i="4" s="1"/>
  <c r="J2795" i="4"/>
  <c r="C2795" i="4"/>
  <c r="D2795" i="4" s="1"/>
  <c r="E2795" i="4" s="1"/>
  <c r="F2795" i="4" s="1"/>
  <c r="J2794" i="4"/>
  <c r="C2794" i="4"/>
  <c r="D2794" i="4" s="1"/>
  <c r="E2794" i="4" s="1"/>
  <c r="F2794" i="4" s="1"/>
  <c r="C2793" i="4"/>
  <c r="D2793" i="4" s="1"/>
  <c r="E2793" i="4" s="1"/>
  <c r="F2793" i="4" s="1"/>
  <c r="J2793" i="4"/>
  <c r="C2792" i="4"/>
  <c r="D2792" i="4" s="1"/>
  <c r="E2792" i="4" s="1"/>
  <c r="F2792" i="4" s="1"/>
  <c r="J2792" i="4"/>
  <c r="J2791" i="4"/>
  <c r="C2791" i="4"/>
  <c r="D2791" i="4" s="1"/>
  <c r="E2791" i="4" s="1"/>
  <c r="F2791" i="4" s="1"/>
  <c r="J2790" i="4"/>
  <c r="C2790" i="4"/>
  <c r="D2790" i="4" s="1"/>
  <c r="E2790" i="4" s="1"/>
  <c r="F2790" i="4" s="1"/>
  <c r="J2789" i="4"/>
  <c r="C2789" i="4"/>
  <c r="D2789" i="4" s="1"/>
  <c r="E2789" i="4" s="1"/>
  <c r="F2789" i="4" s="1"/>
  <c r="J2788" i="4"/>
  <c r="C2788" i="4"/>
  <c r="D2788" i="4" s="1"/>
  <c r="E2788" i="4" s="1"/>
  <c r="F2788" i="4" s="1"/>
  <c r="J2787" i="4"/>
  <c r="C2787" i="4"/>
  <c r="D2787" i="4" s="1"/>
  <c r="E2787" i="4" s="1"/>
  <c r="F2787" i="4" s="1"/>
  <c r="J2786" i="4"/>
  <c r="C2786" i="4"/>
  <c r="D2786" i="4" s="1"/>
  <c r="E2786" i="4" s="1"/>
  <c r="F2786" i="4" s="1"/>
  <c r="C2785" i="4"/>
  <c r="D2785" i="4" s="1"/>
  <c r="E2785" i="4" s="1"/>
  <c r="F2785" i="4" s="1"/>
  <c r="J2785" i="4"/>
  <c r="J2784" i="4"/>
  <c r="C2784" i="4"/>
  <c r="D2784" i="4" s="1"/>
  <c r="E2784" i="4" s="1"/>
  <c r="F2784" i="4" s="1"/>
  <c r="J2783" i="4"/>
  <c r="C2783" i="4"/>
  <c r="D2783" i="4" s="1"/>
  <c r="E2783" i="4" s="1"/>
  <c r="F2783" i="4" s="1"/>
  <c r="J2782" i="4"/>
  <c r="C2782" i="4"/>
  <c r="D2782" i="4" s="1"/>
  <c r="E2782" i="4" s="1"/>
  <c r="F2782" i="4" s="1"/>
  <c r="J2781" i="4"/>
  <c r="C2781" i="4"/>
  <c r="D2781" i="4" s="1"/>
  <c r="E2781" i="4" s="1"/>
  <c r="F2781" i="4" s="1"/>
  <c r="J2780" i="4"/>
  <c r="C2780" i="4"/>
  <c r="D2780" i="4" s="1"/>
  <c r="E2780" i="4" s="1"/>
  <c r="F2780" i="4" s="1"/>
  <c r="J2779" i="4"/>
  <c r="C2779" i="4"/>
  <c r="D2779" i="4" s="1"/>
  <c r="E2779" i="4" s="1"/>
  <c r="F2779" i="4" s="1"/>
  <c r="C2778" i="4"/>
  <c r="D2778" i="4" s="1"/>
  <c r="E2778" i="4" s="1"/>
  <c r="F2778" i="4" s="1"/>
  <c r="J2778" i="4"/>
  <c r="C2777" i="4"/>
  <c r="D2777" i="4" s="1"/>
  <c r="E2777" i="4" s="1"/>
  <c r="F2777" i="4" s="1"/>
  <c r="J2777" i="4"/>
  <c r="J2776" i="4"/>
  <c r="C2776" i="4"/>
  <c r="D2776" i="4" s="1"/>
  <c r="E2776" i="4" s="1"/>
  <c r="F2776" i="4" s="1"/>
  <c r="J2775" i="4"/>
  <c r="C2775" i="4"/>
  <c r="D2775" i="4" s="1"/>
  <c r="E2775" i="4" s="1"/>
  <c r="F2775" i="4" s="1"/>
  <c r="J2774" i="4"/>
  <c r="C2774" i="4"/>
  <c r="D2774" i="4" s="1"/>
  <c r="E2774" i="4" s="1"/>
  <c r="F2774" i="4" s="1"/>
  <c r="J2773" i="4"/>
  <c r="C2773" i="4"/>
  <c r="D2773" i="4" s="1"/>
  <c r="E2773" i="4" s="1"/>
  <c r="F2773" i="4" s="1"/>
  <c r="J2772" i="4"/>
  <c r="C2772" i="4"/>
  <c r="D2772" i="4" s="1"/>
  <c r="E2772" i="4" s="1"/>
  <c r="F2772" i="4" s="1"/>
  <c r="J2771" i="4"/>
  <c r="C2771" i="4"/>
  <c r="D2771" i="4" s="1"/>
  <c r="E2771" i="4" s="1"/>
  <c r="F2771" i="4" s="1"/>
  <c r="J2770" i="4"/>
  <c r="C2770" i="4"/>
  <c r="D2770" i="4" s="1"/>
  <c r="E2770" i="4" s="1"/>
  <c r="F2770" i="4" s="1"/>
  <c r="J2769" i="4"/>
  <c r="C2769" i="4"/>
  <c r="D2769" i="4" s="1"/>
  <c r="E2769" i="4" s="1"/>
  <c r="F2769" i="4" s="1"/>
  <c r="J2768" i="4"/>
  <c r="C2768" i="4"/>
  <c r="D2768" i="4" s="1"/>
  <c r="E2768" i="4" s="1"/>
  <c r="F2768" i="4" s="1"/>
  <c r="J2767" i="4"/>
  <c r="C2767" i="4"/>
  <c r="D2767" i="4" s="1"/>
  <c r="E2767" i="4" s="1"/>
  <c r="F2767" i="4" s="1"/>
  <c r="J2766" i="4"/>
  <c r="C2766" i="4"/>
  <c r="D2766" i="4" s="1"/>
  <c r="E2766" i="4" s="1"/>
  <c r="F2766" i="4" s="1"/>
  <c r="C2765" i="4"/>
  <c r="D2765" i="4" s="1"/>
  <c r="E2765" i="4" s="1"/>
  <c r="F2765" i="4" s="1"/>
  <c r="J2765" i="4"/>
  <c r="J2764" i="4"/>
  <c r="C2764" i="4"/>
  <c r="D2764" i="4" s="1"/>
  <c r="E2764" i="4" s="1"/>
  <c r="F2764" i="4" s="1"/>
  <c r="J2763" i="4"/>
  <c r="C2763" i="4"/>
  <c r="D2763" i="4" s="1"/>
  <c r="E2763" i="4" s="1"/>
  <c r="F2763" i="4" s="1"/>
  <c r="J2762" i="4"/>
  <c r="C2762" i="4"/>
  <c r="D2762" i="4" s="1"/>
  <c r="E2762" i="4" s="1"/>
  <c r="F2762" i="4" s="1"/>
  <c r="C2761" i="4"/>
  <c r="D2761" i="4" s="1"/>
  <c r="E2761" i="4" s="1"/>
  <c r="F2761" i="4" s="1"/>
  <c r="J2761" i="4"/>
  <c r="J2760" i="4"/>
  <c r="C2760" i="4"/>
  <c r="D2760" i="4" s="1"/>
  <c r="E2760" i="4" s="1"/>
  <c r="F2760" i="4" s="1"/>
  <c r="J2759" i="4"/>
  <c r="C2759" i="4"/>
  <c r="D2759" i="4" s="1"/>
  <c r="E2759" i="4" s="1"/>
  <c r="F2759" i="4" s="1"/>
  <c r="J2758" i="4"/>
  <c r="C2758" i="4"/>
  <c r="D2758" i="4" s="1"/>
  <c r="E2758" i="4" s="1"/>
  <c r="F2758" i="4" s="1"/>
  <c r="C2757" i="4"/>
  <c r="D2757" i="4" s="1"/>
  <c r="E2757" i="4" s="1"/>
  <c r="F2757" i="4" s="1"/>
  <c r="J2757" i="4"/>
  <c r="J2756" i="4"/>
  <c r="C2756" i="4"/>
  <c r="D2756" i="4" s="1"/>
  <c r="E2756" i="4" s="1"/>
  <c r="F2756" i="4" s="1"/>
  <c r="J2755" i="4"/>
  <c r="C2755" i="4"/>
  <c r="D2755" i="4" s="1"/>
  <c r="E2755" i="4" s="1"/>
  <c r="F2755" i="4" s="1"/>
  <c r="J2754" i="4"/>
  <c r="C2754" i="4"/>
  <c r="D2754" i="4" s="1"/>
  <c r="E2754" i="4" s="1"/>
  <c r="F2754" i="4" s="1"/>
  <c r="C2753" i="4"/>
  <c r="D2753" i="4" s="1"/>
  <c r="E2753" i="4" s="1"/>
  <c r="F2753" i="4" s="1"/>
  <c r="J2753" i="4"/>
  <c r="C2752" i="4"/>
  <c r="D2752" i="4" s="1"/>
  <c r="E2752" i="4" s="1"/>
  <c r="F2752" i="4" s="1"/>
  <c r="J2752" i="4"/>
  <c r="J2751" i="4"/>
  <c r="C2751" i="4"/>
  <c r="D2751" i="4" s="1"/>
  <c r="E2751" i="4" s="1"/>
  <c r="F2751" i="4" s="1"/>
  <c r="J2750" i="4"/>
  <c r="C2750" i="4"/>
  <c r="D2750" i="4" s="1"/>
  <c r="E2750" i="4" s="1"/>
  <c r="F2750" i="4" s="1"/>
  <c r="J2749" i="4"/>
  <c r="C2749" i="4"/>
  <c r="D2749" i="4" s="1"/>
  <c r="E2749" i="4" s="1"/>
  <c r="F2749" i="4" s="1"/>
  <c r="J2748" i="4"/>
  <c r="C2748" i="4"/>
  <c r="D2748" i="4" s="1"/>
  <c r="E2748" i="4" s="1"/>
  <c r="F2748" i="4" s="1"/>
  <c r="J2747" i="4"/>
  <c r="C2747" i="4"/>
  <c r="D2747" i="4" s="1"/>
  <c r="E2747" i="4" s="1"/>
  <c r="F2747" i="4" s="1"/>
  <c r="J2746" i="4"/>
  <c r="C2746" i="4"/>
  <c r="D2746" i="4" s="1"/>
  <c r="E2746" i="4" s="1"/>
  <c r="F2746" i="4" s="1"/>
  <c r="J2745" i="4"/>
  <c r="C2745" i="4"/>
  <c r="D2745" i="4" s="1"/>
  <c r="E2745" i="4" s="1"/>
  <c r="F2745" i="4" s="1"/>
  <c r="C2744" i="4"/>
  <c r="D2744" i="4" s="1"/>
  <c r="E2744" i="4" s="1"/>
  <c r="F2744" i="4" s="1"/>
  <c r="J2744" i="4"/>
  <c r="C2743" i="4"/>
  <c r="D2743" i="4" s="1"/>
  <c r="E2743" i="4" s="1"/>
  <c r="F2743" i="4" s="1"/>
  <c r="J2743" i="4"/>
  <c r="J2742" i="4"/>
  <c r="C2742" i="4"/>
  <c r="D2742" i="4" s="1"/>
  <c r="E2742" i="4" s="1"/>
  <c r="F2742" i="4" s="1"/>
  <c r="J2741" i="4"/>
  <c r="C2741" i="4"/>
  <c r="D2741" i="4" s="1"/>
  <c r="E2741" i="4" s="1"/>
  <c r="F2741" i="4" s="1"/>
  <c r="J2740" i="4"/>
  <c r="C2740" i="4"/>
  <c r="D2740" i="4" s="1"/>
  <c r="E2740" i="4" s="1"/>
  <c r="F2740" i="4" s="1"/>
  <c r="J2739" i="4"/>
  <c r="C2739" i="4"/>
  <c r="D2739" i="4" s="1"/>
  <c r="E2739" i="4" s="1"/>
  <c r="F2739" i="4" s="1"/>
  <c r="J2738" i="4"/>
  <c r="C2738" i="4"/>
  <c r="D2738" i="4" s="1"/>
  <c r="E2738" i="4" s="1"/>
  <c r="F2738" i="4" s="1"/>
  <c r="J2737" i="4"/>
  <c r="C2737" i="4"/>
  <c r="D2737" i="4" s="1"/>
  <c r="E2737" i="4" s="1"/>
  <c r="F2737" i="4" s="1"/>
  <c r="J2736" i="4"/>
  <c r="C2736" i="4"/>
  <c r="D2736" i="4" s="1"/>
  <c r="E2736" i="4" s="1"/>
  <c r="F2736" i="4" s="1"/>
  <c r="J2735" i="4"/>
  <c r="C2735" i="4"/>
  <c r="D2735" i="4" s="1"/>
  <c r="E2735" i="4" s="1"/>
  <c r="F2735" i="4" s="1"/>
  <c r="J2734" i="4"/>
  <c r="C2734" i="4"/>
  <c r="D2734" i="4" s="1"/>
  <c r="E2734" i="4" s="1"/>
  <c r="F2734" i="4" s="1"/>
  <c r="J2733" i="4"/>
  <c r="C2733" i="4"/>
  <c r="D2733" i="4" s="1"/>
  <c r="E2733" i="4" s="1"/>
  <c r="F2733" i="4" s="1"/>
  <c r="C2732" i="4"/>
  <c r="D2732" i="4" s="1"/>
  <c r="E2732" i="4" s="1"/>
  <c r="F2732" i="4" s="1"/>
  <c r="J2732" i="4"/>
  <c r="J2731" i="4"/>
  <c r="C2731" i="4"/>
  <c r="D2731" i="4" s="1"/>
  <c r="E2731" i="4" s="1"/>
  <c r="F2731" i="4" s="1"/>
  <c r="J2730" i="4"/>
  <c r="C2730" i="4"/>
  <c r="D2730" i="4" s="1"/>
  <c r="E2730" i="4" s="1"/>
  <c r="F2730" i="4" s="1"/>
  <c r="J2729" i="4"/>
  <c r="C2729" i="4"/>
  <c r="D2729" i="4" s="1"/>
  <c r="E2729" i="4" s="1"/>
  <c r="F2729" i="4" s="1"/>
  <c r="J2728" i="4"/>
  <c r="C2728" i="4"/>
  <c r="D2728" i="4" s="1"/>
  <c r="E2728" i="4" s="1"/>
  <c r="F2728" i="4" s="1"/>
  <c r="J2727" i="4"/>
  <c r="C2727" i="4"/>
  <c r="D2727" i="4" s="1"/>
  <c r="E2727" i="4" s="1"/>
  <c r="F2727" i="4" s="1"/>
  <c r="C2726" i="4"/>
  <c r="D2726" i="4" s="1"/>
  <c r="E2726" i="4" s="1"/>
  <c r="F2726" i="4" s="1"/>
  <c r="J2726" i="4"/>
  <c r="C2725" i="4"/>
  <c r="D2725" i="4" s="1"/>
  <c r="E2725" i="4" s="1"/>
  <c r="F2725" i="4" s="1"/>
  <c r="J2725" i="4"/>
  <c r="J2724" i="4"/>
  <c r="C2724" i="4"/>
  <c r="D2724" i="4" s="1"/>
  <c r="E2724" i="4" s="1"/>
  <c r="F2724" i="4" s="1"/>
  <c r="J2723" i="4"/>
  <c r="C2723" i="4"/>
  <c r="D2723" i="4" s="1"/>
  <c r="E2723" i="4" s="1"/>
  <c r="F2723" i="4" s="1"/>
  <c r="J2722" i="4"/>
  <c r="C2722" i="4"/>
  <c r="D2722" i="4" s="1"/>
  <c r="E2722" i="4" s="1"/>
  <c r="F2722" i="4" s="1"/>
  <c r="J2721" i="4"/>
  <c r="C2721" i="4"/>
  <c r="D2721" i="4" s="1"/>
  <c r="E2721" i="4" s="1"/>
  <c r="F2721" i="4" s="1"/>
  <c r="J2720" i="4"/>
  <c r="C2720" i="4"/>
  <c r="D2720" i="4" s="1"/>
  <c r="E2720" i="4" s="1"/>
  <c r="F2720" i="4" s="1"/>
  <c r="J2719" i="4"/>
  <c r="C2719" i="4"/>
  <c r="D2719" i="4" s="1"/>
  <c r="E2719" i="4" s="1"/>
  <c r="F2719" i="4" s="1"/>
  <c r="J2718" i="4"/>
  <c r="C2718" i="4"/>
  <c r="D2718" i="4" s="1"/>
  <c r="E2718" i="4" s="1"/>
  <c r="F2718" i="4" s="1"/>
  <c r="C2717" i="4"/>
  <c r="D2717" i="4" s="1"/>
  <c r="E2717" i="4" s="1"/>
  <c r="F2717" i="4" s="1"/>
  <c r="J2717" i="4"/>
  <c r="C2716" i="4"/>
  <c r="D2716" i="4" s="1"/>
  <c r="E2716" i="4" s="1"/>
  <c r="F2716" i="4" s="1"/>
  <c r="J2716" i="4"/>
  <c r="J2715" i="4"/>
  <c r="C2715" i="4"/>
  <c r="D2715" i="4" s="1"/>
  <c r="E2715" i="4" s="1"/>
  <c r="F2715" i="4" s="1"/>
  <c r="J2714" i="4"/>
  <c r="C2714" i="4"/>
  <c r="D2714" i="4" s="1"/>
  <c r="E2714" i="4" s="1"/>
  <c r="F2714" i="4" s="1"/>
  <c r="J2713" i="4"/>
  <c r="C2713" i="4"/>
  <c r="D2713" i="4" s="1"/>
  <c r="E2713" i="4" s="1"/>
  <c r="F2713" i="4" s="1"/>
  <c r="J2712" i="4"/>
  <c r="C2712" i="4"/>
  <c r="D2712" i="4" s="1"/>
  <c r="E2712" i="4" s="1"/>
  <c r="F2712" i="4" s="1"/>
  <c r="J2711" i="4"/>
  <c r="C2711" i="4"/>
  <c r="D2711" i="4" s="1"/>
  <c r="E2711" i="4" s="1"/>
  <c r="F2711" i="4" s="1"/>
  <c r="J2710" i="4"/>
  <c r="C2710" i="4"/>
  <c r="D2710" i="4" s="1"/>
  <c r="E2710" i="4" s="1"/>
  <c r="F2710" i="4" s="1"/>
  <c r="J2709" i="4"/>
  <c r="C2709" i="4"/>
  <c r="D2709" i="4" s="1"/>
  <c r="E2709" i="4" s="1"/>
  <c r="F2709" i="4" s="1"/>
  <c r="C2708" i="4"/>
  <c r="D2708" i="4" s="1"/>
  <c r="E2708" i="4" s="1"/>
  <c r="F2708" i="4" s="1"/>
  <c r="J2708" i="4"/>
  <c r="C2707" i="4"/>
  <c r="D2707" i="4" s="1"/>
  <c r="E2707" i="4" s="1"/>
  <c r="F2707" i="4" s="1"/>
  <c r="J2707" i="4"/>
  <c r="J2706" i="4"/>
  <c r="C2706" i="4"/>
  <c r="D2706" i="4" s="1"/>
  <c r="E2706" i="4" s="1"/>
  <c r="F2706" i="4" s="1"/>
  <c r="J2705" i="4"/>
  <c r="C2705" i="4"/>
  <c r="D2705" i="4" s="1"/>
  <c r="E2705" i="4" s="1"/>
  <c r="F2705" i="4" s="1"/>
  <c r="J2704" i="4"/>
  <c r="C2704" i="4"/>
  <c r="D2704" i="4" s="1"/>
  <c r="E2704" i="4" s="1"/>
  <c r="F2704" i="4" s="1"/>
  <c r="C2703" i="4"/>
  <c r="D2703" i="4" s="1"/>
  <c r="E2703" i="4" s="1"/>
  <c r="F2703" i="4" s="1"/>
  <c r="J2703" i="4"/>
  <c r="J2702" i="4"/>
  <c r="C2702" i="4"/>
  <c r="D2702" i="4" s="1"/>
  <c r="E2702" i="4" s="1"/>
  <c r="F2702" i="4" s="1"/>
  <c r="J2701" i="4"/>
  <c r="C2701" i="4"/>
  <c r="D2701" i="4" s="1"/>
  <c r="E2701" i="4" s="1"/>
  <c r="F2701" i="4" s="1"/>
  <c r="J2700" i="4"/>
  <c r="C2700" i="4"/>
  <c r="D2700" i="4" s="1"/>
  <c r="E2700" i="4" s="1"/>
  <c r="F2700" i="4" s="1"/>
  <c r="J2699" i="4"/>
  <c r="C2699" i="4"/>
  <c r="D2699" i="4" s="1"/>
  <c r="E2699" i="4" s="1"/>
  <c r="F2699" i="4" s="1"/>
  <c r="J2698" i="4"/>
  <c r="C2698" i="4"/>
  <c r="D2698" i="4" s="1"/>
  <c r="E2698" i="4" s="1"/>
  <c r="F2698" i="4" s="1"/>
  <c r="J2697" i="4"/>
  <c r="C2697" i="4"/>
  <c r="D2697" i="4" s="1"/>
  <c r="E2697" i="4" s="1"/>
  <c r="F2697" i="4" s="1"/>
  <c r="J2696" i="4"/>
  <c r="C2696" i="4"/>
  <c r="D2696" i="4" s="1"/>
  <c r="E2696" i="4" s="1"/>
  <c r="F2696" i="4" s="1"/>
  <c r="J2695" i="4"/>
  <c r="C2695" i="4"/>
  <c r="D2695" i="4" s="1"/>
  <c r="E2695" i="4" s="1"/>
  <c r="F2695" i="4" s="1"/>
  <c r="J2694" i="4"/>
  <c r="C2694" i="4"/>
  <c r="D2694" i="4" s="1"/>
  <c r="E2694" i="4" s="1"/>
  <c r="F2694" i="4" s="1"/>
  <c r="J2693" i="4"/>
  <c r="C2693" i="4"/>
  <c r="D2693" i="4" s="1"/>
  <c r="E2693" i="4" s="1"/>
  <c r="F2693" i="4" s="1"/>
  <c r="J2692" i="4"/>
  <c r="C2692" i="4"/>
  <c r="D2692" i="4" s="1"/>
  <c r="E2692" i="4" s="1"/>
  <c r="F2692" i="4" s="1"/>
  <c r="J2691" i="4"/>
  <c r="C2691" i="4"/>
  <c r="D2691" i="4" s="1"/>
  <c r="E2691" i="4" s="1"/>
  <c r="F2691" i="4" s="1"/>
  <c r="J2690" i="4"/>
  <c r="C2690" i="4"/>
  <c r="D2690" i="4" s="1"/>
  <c r="E2690" i="4" s="1"/>
  <c r="F2690" i="4" s="1"/>
  <c r="J2689" i="4"/>
  <c r="C2689" i="4"/>
  <c r="D2689" i="4" s="1"/>
  <c r="E2689" i="4" s="1"/>
  <c r="F2689" i="4" s="1"/>
  <c r="J2688" i="4"/>
  <c r="C2688" i="4"/>
  <c r="D2688" i="4" s="1"/>
  <c r="E2688" i="4" s="1"/>
  <c r="F2688" i="4" s="1"/>
  <c r="J2687" i="4"/>
  <c r="C2687" i="4"/>
  <c r="D2687" i="4" s="1"/>
  <c r="E2687" i="4" s="1"/>
  <c r="F2687" i="4" s="1"/>
  <c r="J2686" i="4"/>
  <c r="C2686" i="4"/>
  <c r="D2686" i="4" s="1"/>
  <c r="E2686" i="4" s="1"/>
  <c r="F2686" i="4" s="1"/>
  <c r="J2685" i="4"/>
  <c r="C2685" i="4"/>
  <c r="D2685" i="4" s="1"/>
  <c r="E2685" i="4" s="1"/>
  <c r="F2685" i="4" s="1"/>
  <c r="J2684" i="4"/>
  <c r="C2684" i="4"/>
  <c r="D2684" i="4" s="1"/>
  <c r="E2684" i="4" s="1"/>
  <c r="F2684" i="4" s="1"/>
  <c r="C2683" i="4"/>
  <c r="D2683" i="4" s="1"/>
  <c r="E2683" i="4" s="1"/>
  <c r="F2683" i="4" s="1"/>
  <c r="J2683" i="4"/>
  <c r="J2682" i="4"/>
  <c r="C2682" i="4"/>
  <c r="D2682" i="4" s="1"/>
  <c r="E2682" i="4" s="1"/>
  <c r="F2682" i="4" s="1"/>
  <c r="J2681" i="4"/>
  <c r="C2681" i="4"/>
  <c r="D2681" i="4" s="1"/>
  <c r="E2681" i="4" s="1"/>
  <c r="F2681" i="4" s="1"/>
  <c r="J2680" i="4"/>
  <c r="C2680" i="4"/>
  <c r="D2680" i="4" s="1"/>
  <c r="E2680" i="4" s="1"/>
  <c r="F2680" i="4" s="1"/>
  <c r="J2679" i="4"/>
  <c r="C2679" i="4"/>
  <c r="D2679" i="4" s="1"/>
  <c r="E2679" i="4" s="1"/>
  <c r="F2679" i="4" s="1"/>
  <c r="C2678" i="4"/>
  <c r="D2678" i="4" s="1"/>
  <c r="E2678" i="4" s="1"/>
  <c r="F2678" i="4" s="1"/>
  <c r="J2678" i="4"/>
  <c r="C2677" i="4"/>
  <c r="D2677" i="4" s="1"/>
  <c r="E2677" i="4" s="1"/>
  <c r="F2677" i="4" s="1"/>
  <c r="J2677" i="4"/>
  <c r="J2676" i="4"/>
  <c r="C2676" i="4"/>
  <c r="D2676" i="4" s="1"/>
  <c r="E2676" i="4" s="1"/>
  <c r="F2676" i="4" s="1"/>
  <c r="J2675" i="4"/>
  <c r="C2675" i="4"/>
  <c r="D2675" i="4" s="1"/>
  <c r="E2675" i="4" s="1"/>
  <c r="F2675" i="4" s="1"/>
  <c r="J2674" i="4"/>
  <c r="C2674" i="4"/>
  <c r="D2674" i="4" s="1"/>
  <c r="E2674" i="4" s="1"/>
  <c r="F2674" i="4" s="1"/>
  <c r="J2673" i="4"/>
  <c r="C2673" i="4"/>
  <c r="D2673" i="4" s="1"/>
  <c r="E2673" i="4" s="1"/>
  <c r="F2673" i="4" s="1"/>
  <c r="J2672" i="4"/>
  <c r="C2672" i="4"/>
  <c r="D2672" i="4" s="1"/>
  <c r="E2672" i="4" s="1"/>
  <c r="F2672" i="4" s="1"/>
  <c r="J2671" i="4"/>
  <c r="C2671" i="4"/>
  <c r="D2671" i="4" s="1"/>
  <c r="E2671" i="4" s="1"/>
  <c r="F2671" i="4" s="1"/>
  <c r="J2670" i="4"/>
  <c r="C2670" i="4"/>
  <c r="D2670" i="4" s="1"/>
  <c r="E2670" i="4" s="1"/>
  <c r="F2670" i="4" s="1"/>
  <c r="J2669" i="4"/>
  <c r="C2669" i="4"/>
  <c r="D2669" i="4" s="1"/>
  <c r="E2669" i="4" s="1"/>
  <c r="F2669" i="4" s="1"/>
  <c r="J2668" i="4"/>
  <c r="C2668" i="4"/>
  <c r="D2668" i="4" s="1"/>
  <c r="E2668" i="4" s="1"/>
  <c r="F2668" i="4" s="1"/>
  <c r="C2667" i="4"/>
  <c r="D2667" i="4" s="1"/>
  <c r="E2667" i="4" s="1"/>
  <c r="F2667" i="4" s="1"/>
  <c r="J2667" i="4"/>
  <c r="C2666" i="4"/>
  <c r="D2666" i="4" s="1"/>
  <c r="E2666" i="4" s="1"/>
  <c r="F2666" i="4" s="1"/>
  <c r="J2666" i="4"/>
  <c r="J2665" i="4"/>
  <c r="C2665" i="4"/>
  <c r="D2665" i="4" s="1"/>
  <c r="E2665" i="4" s="1"/>
  <c r="F2665" i="4" s="1"/>
  <c r="J2664" i="4"/>
  <c r="C2664" i="4"/>
  <c r="D2664" i="4" s="1"/>
  <c r="E2664" i="4" s="1"/>
  <c r="F2664" i="4" s="1"/>
  <c r="J2663" i="4"/>
  <c r="C2663" i="4"/>
  <c r="D2663" i="4" s="1"/>
  <c r="E2663" i="4" s="1"/>
  <c r="F2663" i="4" s="1"/>
  <c r="J2662" i="4"/>
  <c r="C2662" i="4"/>
  <c r="D2662" i="4" s="1"/>
  <c r="E2662" i="4" s="1"/>
  <c r="F2662" i="4" s="1"/>
  <c r="C2661" i="4"/>
  <c r="D2661" i="4" s="1"/>
  <c r="E2661" i="4" s="1"/>
  <c r="F2661" i="4" s="1"/>
  <c r="J2661" i="4"/>
  <c r="J2660" i="4"/>
  <c r="C2660" i="4"/>
  <c r="D2660" i="4" s="1"/>
  <c r="E2660" i="4" s="1"/>
  <c r="F2660" i="4" s="1"/>
  <c r="J2659" i="4"/>
  <c r="C2659" i="4"/>
  <c r="D2659" i="4" s="1"/>
  <c r="E2659" i="4" s="1"/>
  <c r="F2659" i="4" s="1"/>
  <c r="J2658" i="4"/>
  <c r="C2658" i="4"/>
  <c r="D2658" i="4" s="1"/>
  <c r="E2658" i="4" s="1"/>
  <c r="F2658" i="4" s="1"/>
  <c r="J2657" i="4"/>
  <c r="C2657" i="4"/>
  <c r="D2657" i="4" s="1"/>
  <c r="E2657" i="4" s="1"/>
  <c r="F2657" i="4" s="1"/>
  <c r="C2656" i="4"/>
  <c r="D2656" i="4" s="1"/>
  <c r="E2656" i="4" s="1"/>
  <c r="F2656" i="4" s="1"/>
  <c r="J2656" i="4"/>
  <c r="C2655" i="4"/>
  <c r="D2655" i="4" s="1"/>
  <c r="E2655" i="4" s="1"/>
  <c r="F2655" i="4" s="1"/>
  <c r="J2655" i="4"/>
  <c r="J2654" i="4"/>
  <c r="C2654" i="4"/>
  <c r="D2654" i="4" s="1"/>
  <c r="E2654" i="4" s="1"/>
  <c r="F2654" i="4" s="1"/>
  <c r="J2653" i="4"/>
  <c r="C2653" i="4"/>
  <c r="D2653" i="4" s="1"/>
  <c r="E2653" i="4" s="1"/>
  <c r="F2653" i="4" s="1"/>
  <c r="J2652" i="4"/>
  <c r="C2652" i="4"/>
  <c r="D2652" i="4" s="1"/>
  <c r="E2652" i="4" s="1"/>
  <c r="F2652" i="4" s="1"/>
  <c r="J2651" i="4"/>
  <c r="C2651" i="4"/>
  <c r="D2651" i="4" s="1"/>
  <c r="E2651" i="4" s="1"/>
  <c r="F2651" i="4" s="1"/>
  <c r="J2650" i="4"/>
  <c r="C2650" i="4"/>
  <c r="D2650" i="4" s="1"/>
  <c r="E2650" i="4" s="1"/>
  <c r="F2650" i="4" s="1"/>
  <c r="J2649" i="4"/>
  <c r="C2649" i="4"/>
  <c r="D2649" i="4" s="1"/>
  <c r="E2649" i="4" s="1"/>
  <c r="F2649" i="4" s="1"/>
  <c r="J2648" i="4"/>
  <c r="C2648" i="4"/>
  <c r="D2648" i="4" s="1"/>
  <c r="E2648" i="4" s="1"/>
  <c r="F2648" i="4" s="1"/>
  <c r="J2647" i="4"/>
  <c r="C2647" i="4"/>
  <c r="D2647" i="4" s="1"/>
  <c r="E2647" i="4" s="1"/>
  <c r="F2647" i="4" s="1"/>
  <c r="J2646" i="4"/>
  <c r="C2646" i="4"/>
  <c r="D2646" i="4" s="1"/>
  <c r="E2646" i="4" s="1"/>
  <c r="F2646" i="4" s="1"/>
  <c r="C2645" i="4"/>
  <c r="D2645" i="4" s="1"/>
  <c r="E2645" i="4" s="1"/>
  <c r="F2645" i="4" s="1"/>
  <c r="J2645" i="4"/>
  <c r="C2644" i="4"/>
  <c r="D2644" i="4" s="1"/>
  <c r="E2644" i="4" s="1"/>
  <c r="F2644" i="4" s="1"/>
  <c r="J2644" i="4"/>
  <c r="J2643" i="4"/>
  <c r="C2643" i="4"/>
  <c r="D2643" i="4" s="1"/>
  <c r="E2643" i="4" s="1"/>
  <c r="F2643" i="4" s="1"/>
  <c r="J2642" i="4"/>
  <c r="C2642" i="4"/>
  <c r="D2642" i="4" s="1"/>
  <c r="E2642" i="4" s="1"/>
  <c r="F2642" i="4" s="1"/>
  <c r="J2641" i="4"/>
  <c r="C2641" i="4"/>
  <c r="D2641" i="4" s="1"/>
  <c r="E2641" i="4" s="1"/>
  <c r="F2641" i="4" s="1"/>
  <c r="J2640" i="4"/>
  <c r="C2640" i="4"/>
  <c r="D2640" i="4" s="1"/>
  <c r="E2640" i="4" s="1"/>
  <c r="F2640" i="4" s="1"/>
  <c r="J2639" i="4"/>
  <c r="C2639" i="4"/>
  <c r="D2639" i="4" s="1"/>
  <c r="E2639" i="4" s="1"/>
  <c r="F2639" i="4" s="1"/>
  <c r="J2638" i="4"/>
  <c r="C2638" i="4"/>
  <c r="D2638" i="4" s="1"/>
  <c r="E2638" i="4" s="1"/>
  <c r="F2638" i="4" s="1"/>
  <c r="C2637" i="4"/>
  <c r="D2637" i="4" s="1"/>
  <c r="E2637" i="4" s="1"/>
  <c r="F2637" i="4" s="1"/>
  <c r="J2637" i="4"/>
  <c r="J2636" i="4"/>
  <c r="C2636" i="4"/>
  <c r="D2636" i="4" s="1"/>
  <c r="E2636" i="4" s="1"/>
  <c r="F2636" i="4" s="1"/>
  <c r="J2635" i="4"/>
  <c r="C2635" i="4"/>
  <c r="D2635" i="4" s="1"/>
  <c r="E2635" i="4" s="1"/>
  <c r="F2635" i="4" s="1"/>
  <c r="J2634" i="4"/>
  <c r="C2634" i="4"/>
  <c r="D2634" i="4" s="1"/>
  <c r="E2634" i="4" s="1"/>
  <c r="F2634" i="4" s="1"/>
  <c r="J2633" i="4"/>
  <c r="C2633" i="4"/>
  <c r="D2633" i="4" s="1"/>
  <c r="E2633" i="4" s="1"/>
  <c r="F2633" i="4" s="1"/>
  <c r="J2632" i="4"/>
  <c r="C2632" i="4"/>
  <c r="D2632" i="4" s="1"/>
  <c r="E2632" i="4" s="1"/>
  <c r="F2632" i="4" s="1"/>
  <c r="J2631" i="4"/>
  <c r="C2631" i="4"/>
  <c r="D2631" i="4" s="1"/>
  <c r="E2631" i="4" s="1"/>
  <c r="F2631" i="4" s="1"/>
  <c r="C2630" i="4"/>
  <c r="D2630" i="4" s="1"/>
  <c r="E2630" i="4" s="1"/>
  <c r="F2630" i="4" s="1"/>
  <c r="J2630" i="4"/>
  <c r="J2629" i="4"/>
  <c r="C2629" i="4"/>
  <c r="D2629" i="4" s="1"/>
  <c r="E2629" i="4" s="1"/>
  <c r="F2629" i="4" s="1"/>
  <c r="J2628" i="4"/>
  <c r="C2628" i="4"/>
  <c r="D2628" i="4" s="1"/>
  <c r="E2628" i="4" s="1"/>
  <c r="F2628" i="4" s="1"/>
  <c r="C2627" i="4"/>
  <c r="D2627" i="4" s="1"/>
  <c r="E2627" i="4" s="1"/>
  <c r="F2627" i="4" s="1"/>
  <c r="J2627" i="4"/>
  <c r="J2626" i="4"/>
  <c r="C2626" i="4"/>
  <c r="D2626" i="4" s="1"/>
  <c r="E2626" i="4" s="1"/>
  <c r="F2626" i="4" s="1"/>
  <c r="J2625" i="4"/>
  <c r="C2625" i="4"/>
  <c r="D2625" i="4" s="1"/>
  <c r="E2625" i="4" s="1"/>
  <c r="F2625" i="4" s="1"/>
  <c r="J2624" i="4"/>
  <c r="C2624" i="4"/>
  <c r="D2624" i="4" s="1"/>
  <c r="E2624" i="4" s="1"/>
  <c r="F2624" i="4" s="1"/>
  <c r="J2623" i="4"/>
  <c r="C2623" i="4"/>
  <c r="D2623" i="4" s="1"/>
  <c r="E2623" i="4" s="1"/>
  <c r="F2623" i="4" s="1"/>
  <c r="J2622" i="4"/>
  <c r="C2622" i="4"/>
  <c r="D2622" i="4" s="1"/>
  <c r="E2622" i="4" s="1"/>
  <c r="F2622" i="4" s="1"/>
  <c r="J2621" i="4"/>
  <c r="C2621" i="4"/>
  <c r="D2621" i="4" s="1"/>
  <c r="E2621" i="4" s="1"/>
  <c r="F2621" i="4" s="1"/>
  <c r="J2620" i="4"/>
  <c r="C2620" i="4"/>
  <c r="D2620" i="4" s="1"/>
  <c r="E2620" i="4" s="1"/>
  <c r="F2620" i="4" s="1"/>
  <c r="J2619" i="4"/>
  <c r="C2619" i="4"/>
  <c r="D2619" i="4" s="1"/>
  <c r="E2619" i="4" s="1"/>
  <c r="F2619" i="4" s="1"/>
  <c r="J2618" i="4"/>
  <c r="C2618" i="4"/>
  <c r="D2618" i="4" s="1"/>
  <c r="E2618" i="4" s="1"/>
  <c r="F2618" i="4" s="1"/>
  <c r="J2617" i="4"/>
  <c r="C2617" i="4"/>
  <c r="D2617" i="4" s="1"/>
  <c r="E2617" i="4" s="1"/>
  <c r="F2617" i="4" s="1"/>
  <c r="C2616" i="4"/>
  <c r="D2616" i="4" s="1"/>
  <c r="E2616" i="4" s="1"/>
  <c r="F2616" i="4" s="1"/>
  <c r="J2616" i="4"/>
  <c r="C2615" i="4"/>
  <c r="D2615" i="4" s="1"/>
  <c r="E2615" i="4" s="1"/>
  <c r="F2615" i="4" s="1"/>
  <c r="J2615" i="4"/>
  <c r="J2614" i="4"/>
  <c r="C2614" i="4"/>
  <c r="D2614" i="4" s="1"/>
  <c r="E2614" i="4" s="1"/>
  <c r="F2614" i="4" s="1"/>
  <c r="J2613" i="4"/>
  <c r="C2613" i="4"/>
  <c r="D2613" i="4" s="1"/>
  <c r="E2613" i="4" s="1"/>
  <c r="F2613" i="4" s="1"/>
  <c r="J2612" i="4"/>
  <c r="C2612" i="4"/>
  <c r="D2612" i="4" s="1"/>
  <c r="E2612" i="4" s="1"/>
  <c r="F2612" i="4" s="1"/>
  <c r="J2611" i="4"/>
  <c r="C2611" i="4"/>
  <c r="D2611" i="4" s="1"/>
  <c r="E2611" i="4" s="1"/>
  <c r="F2611" i="4" s="1"/>
  <c r="J2610" i="4"/>
  <c r="C2610" i="4"/>
  <c r="D2610" i="4" s="1"/>
  <c r="E2610" i="4" s="1"/>
  <c r="F2610" i="4" s="1"/>
  <c r="J2609" i="4"/>
  <c r="C2609" i="4"/>
  <c r="D2609" i="4" s="1"/>
  <c r="E2609" i="4" s="1"/>
  <c r="F2609" i="4" s="1"/>
  <c r="C2608" i="4"/>
  <c r="D2608" i="4" s="1"/>
  <c r="E2608" i="4" s="1"/>
  <c r="F2608" i="4" s="1"/>
  <c r="J2608" i="4"/>
  <c r="J2607" i="4"/>
  <c r="C2607" i="4"/>
  <c r="D2607" i="4" s="1"/>
  <c r="E2607" i="4" s="1"/>
  <c r="F2607" i="4" s="1"/>
  <c r="J2606" i="4"/>
  <c r="C2606" i="4"/>
  <c r="D2606" i="4" s="1"/>
  <c r="E2606" i="4" s="1"/>
  <c r="F2606" i="4" s="1"/>
  <c r="J2605" i="4"/>
  <c r="C2605" i="4"/>
  <c r="D2605" i="4" s="1"/>
  <c r="E2605" i="4" s="1"/>
  <c r="F2605" i="4" s="1"/>
  <c r="J2604" i="4"/>
  <c r="C2604" i="4"/>
  <c r="D2604" i="4" s="1"/>
  <c r="E2604" i="4" s="1"/>
  <c r="F2604" i="4" s="1"/>
  <c r="J2603" i="4"/>
  <c r="C2603" i="4"/>
  <c r="D2603" i="4" s="1"/>
  <c r="E2603" i="4" s="1"/>
  <c r="F2603" i="4" s="1"/>
  <c r="C2602" i="4"/>
  <c r="D2602" i="4" s="1"/>
  <c r="E2602" i="4" s="1"/>
  <c r="F2602" i="4" s="1"/>
  <c r="J2602" i="4"/>
  <c r="C2601" i="4"/>
  <c r="D2601" i="4" s="1"/>
  <c r="E2601" i="4" s="1"/>
  <c r="F2601" i="4" s="1"/>
  <c r="J2601" i="4"/>
  <c r="J2600" i="4"/>
  <c r="C2600" i="4"/>
  <c r="D2600" i="4" s="1"/>
  <c r="E2600" i="4" s="1"/>
  <c r="F2600" i="4" s="1"/>
  <c r="J2599" i="4"/>
  <c r="C2599" i="4"/>
  <c r="D2599" i="4" s="1"/>
  <c r="E2599" i="4" s="1"/>
  <c r="F2599" i="4" s="1"/>
  <c r="J2598" i="4"/>
  <c r="C2598" i="4"/>
  <c r="D2598" i="4" s="1"/>
  <c r="E2598" i="4" s="1"/>
  <c r="F2598" i="4" s="1"/>
  <c r="J2597" i="4"/>
  <c r="C2597" i="4"/>
  <c r="D2597" i="4" s="1"/>
  <c r="E2597" i="4" s="1"/>
  <c r="F2597" i="4" s="1"/>
  <c r="J2596" i="4"/>
  <c r="C2596" i="4"/>
  <c r="D2596" i="4" s="1"/>
  <c r="E2596" i="4" s="1"/>
  <c r="F2596" i="4" s="1"/>
  <c r="J2595" i="4"/>
  <c r="C2595" i="4"/>
  <c r="D2595" i="4" s="1"/>
  <c r="E2595" i="4" s="1"/>
  <c r="F2595" i="4" s="1"/>
  <c r="J2594" i="4"/>
  <c r="C2594" i="4"/>
  <c r="D2594" i="4" s="1"/>
  <c r="E2594" i="4" s="1"/>
  <c r="F2594" i="4" s="1"/>
  <c r="J2593" i="4"/>
  <c r="C2593" i="4"/>
  <c r="D2593" i="4" s="1"/>
  <c r="E2593" i="4" s="1"/>
  <c r="F2593" i="4" s="1"/>
  <c r="J2592" i="4"/>
  <c r="C2592" i="4"/>
  <c r="D2592" i="4" s="1"/>
  <c r="E2592" i="4" s="1"/>
  <c r="F2592" i="4" s="1"/>
  <c r="J2591" i="4"/>
  <c r="C2591" i="4"/>
  <c r="D2591" i="4" s="1"/>
  <c r="E2591" i="4" s="1"/>
  <c r="F2591" i="4" s="1"/>
  <c r="J2590" i="4"/>
  <c r="C2590" i="4"/>
  <c r="D2590" i="4" s="1"/>
  <c r="E2590" i="4" s="1"/>
  <c r="F2590" i="4" s="1"/>
  <c r="J2589" i="4"/>
  <c r="C2589" i="4"/>
  <c r="D2589" i="4" s="1"/>
  <c r="E2589" i="4" s="1"/>
  <c r="F2589" i="4" s="1"/>
  <c r="J2588" i="4"/>
  <c r="C2588" i="4"/>
  <c r="D2588" i="4" s="1"/>
  <c r="E2588" i="4" s="1"/>
  <c r="F2588" i="4" s="1"/>
  <c r="C2587" i="4"/>
  <c r="D2587" i="4" s="1"/>
  <c r="E2587" i="4" s="1"/>
  <c r="F2587" i="4" s="1"/>
  <c r="J2587" i="4"/>
  <c r="C2586" i="4"/>
  <c r="D2586" i="4" s="1"/>
  <c r="E2586" i="4" s="1"/>
  <c r="F2586" i="4" s="1"/>
  <c r="J2586" i="4"/>
  <c r="J2585" i="4"/>
  <c r="C2585" i="4"/>
  <c r="D2585" i="4" s="1"/>
  <c r="E2585" i="4" s="1"/>
  <c r="F2585" i="4" s="1"/>
  <c r="J2584" i="4"/>
  <c r="C2584" i="4"/>
  <c r="D2584" i="4" s="1"/>
  <c r="E2584" i="4" s="1"/>
  <c r="F2584" i="4" s="1"/>
  <c r="J2583" i="4"/>
  <c r="C2583" i="4"/>
  <c r="D2583" i="4" s="1"/>
  <c r="E2583" i="4" s="1"/>
  <c r="F2583" i="4" s="1"/>
  <c r="J2582" i="4"/>
  <c r="C2582" i="4"/>
  <c r="D2582" i="4" s="1"/>
  <c r="E2582" i="4" s="1"/>
  <c r="F2582" i="4" s="1"/>
  <c r="J2581" i="4"/>
  <c r="C2581" i="4"/>
  <c r="D2581" i="4" s="1"/>
  <c r="E2581" i="4" s="1"/>
  <c r="F2581" i="4" s="1"/>
  <c r="J2580" i="4"/>
  <c r="C2580" i="4"/>
  <c r="D2580" i="4" s="1"/>
  <c r="E2580" i="4" s="1"/>
  <c r="F2580" i="4" s="1"/>
  <c r="C2579" i="4"/>
  <c r="D2579" i="4" s="1"/>
  <c r="E2579" i="4" s="1"/>
  <c r="F2579" i="4" s="1"/>
  <c r="J2579" i="4"/>
  <c r="C2578" i="4"/>
  <c r="D2578" i="4" s="1"/>
  <c r="E2578" i="4" s="1"/>
  <c r="F2578" i="4" s="1"/>
  <c r="J2578" i="4"/>
  <c r="C2577" i="4"/>
  <c r="D2577" i="4" s="1"/>
  <c r="E2577" i="4" s="1"/>
  <c r="F2577" i="4" s="1"/>
  <c r="J2577" i="4"/>
  <c r="J2576" i="4"/>
  <c r="C2576" i="4"/>
  <c r="D2576" i="4" s="1"/>
  <c r="E2576" i="4" s="1"/>
  <c r="F2576" i="4" s="1"/>
  <c r="J2575" i="4"/>
  <c r="C2575" i="4"/>
  <c r="D2575" i="4" s="1"/>
  <c r="E2575" i="4" s="1"/>
  <c r="F2575" i="4" s="1"/>
  <c r="J2574" i="4"/>
  <c r="C2574" i="4"/>
  <c r="D2574" i="4" s="1"/>
  <c r="E2574" i="4" s="1"/>
  <c r="F2574" i="4" s="1"/>
  <c r="J2573" i="4"/>
  <c r="C2573" i="4"/>
  <c r="D2573" i="4" s="1"/>
  <c r="E2573" i="4" s="1"/>
  <c r="F2573" i="4" s="1"/>
  <c r="C2572" i="4"/>
  <c r="D2572" i="4" s="1"/>
  <c r="E2572" i="4" s="1"/>
  <c r="F2572" i="4" s="1"/>
  <c r="J2572" i="4"/>
  <c r="J2571" i="4"/>
  <c r="C2571" i="4"/>
  <c r="D2571" i="4" s="1"/>
  <c r="E2571" i="4" s="1"/>
  <c r="F2571" i="4" s="1"/>
  <c r="J2570" i="4"/>
  <c r="C2570" i="4"/>
  <c r="D2570" i="4" s="1"/>
  <c r="E2570" i="4" s="1"/>
  <c r="F2570" i="4" s="1"/>
  <c r="J2569" i="4"/>
  <c r="C2569" i="4"/>
  <c r="D2569" i="4" s="1"/>
  <c r="E2569" i="4" s="1"/>
  <c r="F2569" i="4" s="1"/>
  <c r="J2568" i="4"/>
  <c r="C2568" i="4"/>
  <c r="D2568" i="4" s="1"/>
  <c r="E2568" i="4" s="1"/>
  <c r="F2568" i="4" s="1"/>
  <c r="J2567" i="4"/>
  <c r="C2567" i="4"/>
  <c r="D2567" i="4" s="1"/>
  <c r="E2567" i="4" s="1"/>
  <c r="F2567" i="4" s="1"/>
  <c r="J2566" i="4"/>
  <c r="C2566" i="4"/>
  <c r="D2566" i="4" s="1"/>
  <c r="E2566" i="4" s="1"/>
  <c r="F2566" i="4" s="1"/>
  <c r="J2565" i="4"/>
  <c r="C2565" i="4"/>
  <c r="D2565" i="4" s="1"/>
  <c r="E2565" i="4" s="1"/>
  <c r="F2565" i="4" s="1"/>
  <c r="J2564" i="4"/>
  <c r="C2564" i="4"/>
  <c r="D2564" i="4" s="1"/>
  <c r="E2564" i="4" s="1"/>
  <c r="F2564" i="4" s="1"/>
  <c r="J2563" i="4"/>
  <c r="C2563" i="4"/>
  <c r="D2563" i="4" s="1"/>
  <c r="E2563" i="4" s="1"/>
  <c r="F2563" i="4" s="1"/>
  <c r="J2562" i="4"/>
  <c r="C2562" i="4"/>
  <c r="D2562" i="4" s="1"/>
  <c r="E2562" i="4" s="1"/>
  <c r="F2562" i="4" s="1"/>
  <c r="J2561" i="4"/>
  <c r="C2561" i="4"/>
  <c r="D2561" i="4" s="1"/>
  <c r="E2561" i="4" s="1"/>
  <c r="F2561" i="4" s="1"/>
  <c r="J2560" i="4"/>
  <c r="C2560" i="4"/>
  <c r="D2560" i="4" s="1"/>
  <c r="E2560" i="4" s="1"/>
  <c r="F2560" i="4" s="1"/>
  <c r="J2559" i="4"/>
  <c r="C2559" i="4"/>
  <c r="D2559" i="4" s="1"/>
  <c r="E2559" i="4" s="1"/>
  <c r="F2559" i="4" s="1"/>
  <c r="C2558" i="4"/>
  <c r="D2558" i="4" s="1"/>
  <c r="E2558" i="4" s="1"/>
  <c r="F2558" i="4" s="1"/>
  <c r="J2558" i="4"/>
  <c r="C2557" i="4"/>
  <c r="D2557" i="4" s="1"/>
  <c r="E2557" i="4" s="1"/>
  <c r="F2557" i="4" s="1"/>
  <c r="J2557" i="4"/>
  <c r="J2556" i="4"/>
  <c r="C2556" i="4"/>
  <c r="D2556" i="4" s="1"/>
  <c r="E2556" i="4" s="1"/>
  <c r="F2556" i="4" s="1"/>
  <c r="J2555" i="4"/>
  <c r="C2555" i="4"/>
  <c r="D2555" i="4" s="1"/>
  <c r="E2555" i="4" s="1"/>
  <c r="F2555" i="4" s="1"/>
  <c r="J2554" i="4"/>
  <c r="C2554" i="4"/>
  <c r="D2554" i="4" s="1"/>
  <c r="E2554" i="4" s="1"/>
  <c r="F2554" i="4" s="1"/>
  <c r="J2553" i="4"/>
  <c r="C2553" i="4"/>
  <c r="D2553" i="4" s="1"/>
  <c r="E2553" i="4" s="1"/>
  <c r="F2553" i="4" s="1"/>
  <c r="J2552" i="4"/>
  <c r="C2552" i="4"/>
  <c r="D2552" i="4" s="1"/>
  <c r="E2552" i="4" s="1"/>
  <c r="F2552" i="4" s="1"/>
  <c r="J2551" i="4"/>
  <c r="C2551" i="4"/>
  <c r="D2551" i="4" s="1"/>
  <c r="E2551" i="4" s="1"/>
  <c r="F2551" i="4" s="1"/>
  <c r="C2550" i="4"/>
  <c r="D2550" i="4" s="1"/>
  <c r="E2550" i="4" s="1"/>
  <c r="F2550" i="4" s="1"/>
  <c r="J2550" i="4"/>
  <c r="J2549" i="4"/>
  <c r="C2549" i="4"/>
  <c r="D2549" i="4" s="1"/>
  <c r="E2549" i="4" s="1"/>
  <c r="F2549" i="4" s="1"/>
  <c r="J2548" i="4"/>
  <c r="C2548" i="4"/>
  <c r="D2548" i="4" s="1"/>
  <c r="E2548" i="4" s="1"/>
  <c r="F2548" i="4" s="1"/>
  <c r="J2547" i="4"/>
  <c r="C2547" i="4"/>
  <c r="D2547" i="4" s="1"/>
  <c r="E2547" i="4" s="1"/>
  <c r="F2547" i="4" s="1"/>
  <c r="J2546" i="4"/>
  <c r="C2546" i="4"/>
  <c r="D2546" i="4" s="1"/>
  <c r="E2546" i="4" s="1"/>
  <c r="F2546" i="4" s="1"/>
  <c r="J2545" i="4"/>
  <c r="C2545" i="4"/>
  <c r="D2545" i="4" s="1"/>
  <c r="E2545" i="4" s="1"/>
  <c r="F2545" i="4" s="1"/>
  <c r="J2544" i="4"/>
  <c r="C2544" i="4"/>
  <c r="D2544" i="4" s="1"/>
  <c r="E2544" i="4" s="1"/>
  <c r="F2544" i="4" s="1"/>
  <c r="C2543" i="4"/>
  <c r="D2543" i="4" s="1"/>
  <c r="E2543" i="4" s="1"/>
  <c r="F2543" i="4" s="1"/>
  <c r="J2543" i="4"/>
  <c r="C2542" i="4"/>
  <c r="D2542" i="4" s="1"/>
  <c r="E2542" i="4" s="1"/>
  <c r="F2542" i="4" s="1"/>
  <c r="J2542" i="4"/>
  <c r="J2541" i="4"/>
  <c r="C2541" i="4"/>
  <c r="D2541" i="4" s="1"/>
  <c r="E2541" i="4" s="1"/>
  <c r="F2541" i="4" s="1"/>
  <c r="J2540" i="4"/>
  <c r="C2540" i="4"/>
  <c r="D2540" i="4" s="1"/>
  <c r="E2540" i="4" s="1"/>
  <c r="F2540" i="4" s="1"/>
  <c r="J2539" i="4"/>
  <c r="C2539" i="4"/>
  <c r="D2539" i="4" s="1"/>
  <c r="E2539" i="4" s="1"/>
  <c r="F2539" i="4" s="1"/>
  <c r="J2538" i="4"/>
  <c r="C2538" i="4"/>
  <c r="D2538" i="4" s="1"/>
  <c r="E2538" i="4" s="1"/>
  <c r="F2538" i="4" s="1"/>
  <c r="J2537" i="4"/>
  <c r="C2537" i="4"/>
  <c r="D2537" i="4" s="1"/>
  <c r="E2537" i="4" s="1"/>
  <c r="F2537" i="4" s="1"/>
  <c r="J2536" i="4"/>
  <c r="C2536" i="4"/>
  <c r="D2536" i="4" s="1"/>
  <c r="E2536" i="4" s="1"/>
  <c r="F2536" i="4" s="1"/>
  <c r="J2535" i="4"/>
  <c r="C2535" i="4"/>
  <c r="D2535" i="4" s="1"/>
  <c r="E2535" i="4" s="1"/>
  <c r="F2535" i="4" s="1"/>
  <c r="J2534" i="4"/>
  <c r="C2534" i="4"/>
  <c r="D2534" i="4" s="1"/>
  <c r="E2534" i="4" s="1"/>
  <c r="F2534" i="4" s="1"/>
  <c r="J2533" i="4"/>
  <c r="C2533" i="4"/>
  <c r="D2533" i="4" s="1"/>
  <c r="E2533" i="4" s="1"/>
  <c r="F2533" i="4" s="1"/>
  <c r="J2532" i="4"/>
  <c r="C2532" i="4"/>
  <c r="D2532" i="4" s="1"/>
  <c r="E2532" i="4" s="1"/>
  <c r="F2532" i="4" s="1"/>
  <c r="J2531" i="4"/>
  <c r="C2531" i="4"/>
  <c r="D2531" i="4" s="1"/>
  <c r="E2531" i="4" s="1"/>
  <c r="F2531" i="4" s="1"/>
  <c r="J2530" i="4"/>
  <c r="C2530" i="4"/>
  <c r="D2530" i="4" s="1"/>
  <c r="E2530" i="4" s="1"/>
  <c r="F2530" i="4" s="1"/>
  <c r="J2529" i="4"/>
  <c r="C2529" i="4"/>
  <c r="D2529" i="4" s="1"/>
  <c r="E2529" i="4" s="1"/>
  <c r="F2529" i="4" s="1"/>
  <c r="C2528" i="4"/>
  <c r="D2528" i="4" s="1"/>
  <c r="E2528" i="4" s="1"/>
  <c r="F2528" i="4" s="1"/>
  <c r="J2528" i="4"/>
  <c r="C2527" i="4"/>
  <c r="D2527" i="4" s="1"/>
  <c r="E2527" i="4" s="1"/>
  <c r="F2527" i="4" s="1"/>
  <c r="J2527" i="4"/>
  <c r="J2526" i="4"/>
  <c r="C2526" i="4"/>
  <c r="D2526" i="4" s="1"/>
  <c r="E2526" i="4" s="1"/>
  <c r="F2526" i="4" s="1"/>
  <c r="J2525" i="4"/>
  <c r="C2525" i="4"/>
  <c r="D2525" i="4" s="1"/>
  <c r="E2525" i="4" s="1"/>
  <c r="F2525" i="4" s="1"/>
  <c r="J2524" i="4"/>
  <c r="C2524" i="4"/>
  <c r="D2524" i="4" s="1"/>
  <c r="E2524" i="4" s="1"/>
  <c r="F2524" i="4" s="1"/>
  <c r="J2523" i="4"/>
  <c r="C2523" i="4"/>
  <c r="D2523" i="4" s="1"/>
  <c r="E2523" i="4" s="1"/>
  <c r="F2523" i="4" s="1"/>
  <c r="J2522" i="4"/>
  <c r="C2522" i="4"/>
  <c r="D2522" i="4" s="1"/>
  <c r="E2522" i="4" s="1"/>
  <c r="F2522" i="4" s="1"/>
  <c r="J2521" i="4"/>
  <c r="C2521" i="4"/>
  <c r="D2521" i="4" s="1"/>
  <c r="E2521" i="4" s="1"/>
  <c r="F2521" i="4" s="1"/>
  <c r="J2520" i="4"/>
  <c r="C2520" i="4"/>
  <c r="D2520" i="4" s="1"/>
  <c r="E2520" i="4" s="1"/>
  <c r="F2520" i="4" s="1"/>
  <c r="J2519" i="4"/>
  <c r="C2519" i="4"/>
  <c r="D2519" i="4" s="1"/>
  <c r="E2519" i="4" s="1"/>
  <c r="F2519" i="4" s="1"/>
  <c r="C2518" i="4"/>
  <c r="D2518" i="4" s="1"/>
  <c r="E2518" i="4" s="1"/>
  <c r="F2518" i="4" s="1"/>
  <c r="J2518" i="4"/>
  <c r="C2517" i="4"/>
  <c r="D2517" i="4" s="1"/>
  <c r="E2517" i="4" s="1"/>
  <c r="F2517" i="4" s="1"/>
  <c r="J2517" i="4"/>
  <c r="C2516" i="4"/>
  <c r="D2516" i="4" s="1"/>
  <c r="E2516" i="4" s="1"/>
  <c r="F2516" i="4" s="1"/>
  <c r="J2516" i="4"/>
  <c r="J2515" i="4"/>
  <c r="C2515" i="4"/>
  <c r="D2515" i="4" s="1"/>
  <c r="E2515" i="4" s="1"/>
  <c r="F2515" i="4" s="1"/>
  <c r="J2514" i="4"/>
  <c r="C2514" i="4"/>
  <c r="D2514" i="4" s="1"/>
  <c r="E2514" i="4" s="1"/>
  <c r="F2514" i="4" s="1"/>
  <c r="J2513" i="4"/>
  <c r="C2513" i="4"/>
  <c r="D2513" i="4" s="1"/>
  <c r="E2513" i="4" s="1"/>
  <c r="F2513" i="4" s="1"/>
  <c r="J2512" i="4"/>
  <c r="C2512" i="4"/>
  <c r="D2512" i="4" s="1"/>
  <c r="E2512" i="4" s="1"/>
  <c r="F2512" i="4" s="1"/>
  <c r="J2511" i="4"/>
  <c r="C2511" i="4"/>
  <c r="D2511" i="4" s="1"/>
  <c r="E2511" i="4" s="1"/>
  <c r="F2511" i="4" s="1"/>
  <c r="J2510" i="4"/>
  <c r="C2510" i="4"/>
  <c r="D2510" i="4" s="1"/>
  <c r="E2510" i="4" s="1"/>
  <c r="F2510" i="4" s="1"/>
  <c r="C2509" i="4"/>
  <c r="D2509" i="4" s="1"/>
  <c r="E2509" i="4" s="1"/>
  <c r="F2509" i="4" s="1"/>
  <c r="J2509" i="4"/>
  <c r="J2508" i="4"/>
  <c r="C2508" i="4"/>
  <c r="D2508" i="4" s="1"/>
  <c r="E2508" i="4" s="1"/>
  <c r="F2508" i="4" s="1"/>
  <c r="J2507" i="4"/>
  <c r="C2507" i="4"/>
  <c r="D2507" i="4" s="1"/>
  <c r="E2507" i="4" s="1"/>
  <c r="F2507" i="4" s="1"/>
  <c r="J2506" i="4"/>
  <c r="C2506" i="4"/>
  <c r="D2506" i="4" s="1"/>
  <c r="E2506" i="4" s="1"/>
  <c r="F2506" i="4" s="1"/>
  <c r="J2505" i="4"/>
  <c r="C2505" i="4"/>
  <c r="D2505" i="4" s="1"/>
  <c r="E2505" i="4" s="1"/>
  <c r="F2505" i="4" s="1"/>
  <c r="J2504" i="4"/>
  <c r="C2504" i="4"/>
  <c r="D2504" i="4" s="1"/>
  <c r="E2504" i="4" s="1"/>
  <c r="F2504" i="4" s="1"/>
  <c r="J2503" i="4"/>
  <c r="C2503" i="4"/>
  <c r="D2503" i="4" s="1"/>
  <c r="E2503" i="4" s="1"/>
  <c r="F2503" i="4" s="1"/>
  <c r="J2502" i="4"/>
  <c r="C2502" i="4"/>
  <c r="D2502" i="4" s="1"/>
  <c r="E2502" i="4" s="1"/>
  <c r="F2502" i="4" s="1"/>
  <c r="J2501" i="4"/>
  <c r="C2501" i="4"/>
  <c r="D2501" i="4" s="1"/>
  <c r="E2501" i="4" s="1"/>
  <c r="F2501" i="4" s="1"/>
  <c r="J2500" i="4"/>
  <c r="C2500" i="4"/>
  <c r="D2500" i="4" s="1"/>
  <c r="E2500" i="4" s="1"/>
  <c r="F2500" i="4" s="1"/>
  <c r="J2499" i="4"/>
  <c r="C2499" i="4"/>
  <c r="D2499" i="4" s="1"/>
  <c r="E2499" i="4" s="1"/>
  <c r="F2499" i="4" s="1"/>
  <c r="J2498" i="4"/>
  <c r="C2498" i="4"/>
  <c r="D2498" i="4" s="1"/>
  <c r="E2498" i="4" s="1"/>
  <c r="F2498" i="4" s="1"/>
  <c r="J2497" i="4"/>
  <c r="C2497" i="4"/>
  <c r="D2497" i="4" s="1"/>
  <c r="E2497" i="4" s="1"/>
  <c r="F2497" i="4" s="1"/>
  <c r="J2496" i="4"/>
  <c r="C2496" i="4"/>
  <c r="D2496" i="4" s="1"/>
  <c r="E2496" i="4" s="1"/>
  <c r="F2496" i="4" s="1"/>
  <c r="J2495" i="4"/>
  <c r="C2495" i="4"/>
  <c r="D2495" i="4" s="1"/>
  <c r="E2495" i="4" s="1"/>
  <c r="F2495" i="4" s="1"/>
  <c r="J2494" i="4"/>
  <c r="C2494" i="4"/>
  <c r="D2494" i="4" s="1"/>
  <c r="E2494" i="4" s="1"/>
  <c r="F2494" i="4" s="1"/>
  <c r="J2493" i="4"/>
  <c r="C2493" i="4"/>
  <c r="D2493" i="4" s="1"/>
  <c r="E2493" i="4" s="1"/>
  <c r="F2493" i="4" s="1"/>
  <c r="J2492" i="4"/>
  <c r="C2492" i="4"/>
  <c r="D2492" i="4" s="1"/>
  <c r="E2492" i="4" s="1"/>
  <c r="F2492" i="4" s="1"/>
  <c r="C2491" i="4"/>
  <c r="D2491" i="4" s="1"/>
  <c r="E2491" i="4" s="1"/>
  <c r="F2491" i="4" s="1"/>
  <c r="J2491" i="4"/>
  <c r="C2490" i="4"/>
  <c r="D2490" i="4" s="1"/>
  <c r="E2490" i="4" s="1"/>
  <c r="F2490" i="4" s="1"/>
  <c r="J2490" i="4"/>
  <c r="J2489" i="4"/>
  <c r="C2489" i="4"/>
  <c r="D2489" i="4" s="1"/>
  <c r="E2489" i="4" s="1"/>
  <c r="F2489" i="4" s="1"/>
  <c r="J2488" i="4"/>
  <c r="C2488" i="4"/>
  <c r="D2488" i="4" s="1"/>
  <c r="E2488" i="4" s="1"/>
  <c r="F2488" i="4" s="1"/>
  <c r="J2487" i="4"/>
  <c r="C2487" i="4"/>
  <c r="D2487" i="4" s="1"/>
  <c r="E2487" i="4" s="1"/>
  <c r="F2487" i="4" s="1"/>
  <c r="J2486" i="4"/>
  <c r="C2486" i="4"/>
  <c r="D2486" i="4" s="1"/>
  <c r="E2486" i="4" s="1"/>
  <c r="F2486" i="4" s="1"/>
  <c r="J2485" i="4"/>
  <c r="C2485" i="4"/>
  <c r="D2485" i="4" s="1"/>
  <c r="E2485" i="4" s="1"/>
  <c r="F2485" i="4" s="1"/>
  <c r="J2484" i="4"/>
  <c r="C2484" i="4"/>
  <c r="D2484" i="4" s="1"/>
  <c r="E2484" i="4" s="1"/>
  <c r="F2484" i="4" s="1"/>
  <c r="J2483" i="4"/>
  <c r="C2483" i="4"/>
  <c r="D2483" i="4" s="1"/>
  <c r="E2483" i="4" s="1"/>
  <c r="F2483" i="4" s="1"/>
  <c r="C2482" i="4"/>
  <c r="D2482" i="4" s="1"/>
  <c r="E2482" i="4" s="1"/>
  <c r="F2482" i="4" s="1"/>
  <c r="J2482" i="4"/>
  <c r="C2481" i="4"/>
  <c r="D2481" i="4" s="1"/>
  <c r="E2481" i="4" s="1"/>
  <c r="F2481" i="4" s="1"/>
  <c r="J2481" i="4"/>
  <c r="J2480" i="4"/>
  <c r="C2480" i="4"/>
  <c r="D2480" i="4" s="1"/>
  <c r="E2480" i="4" s="1"/>
  <c r="F2480" i="4" s="1"/>
  <c r="J2479" i="4"/>
  <c r="C2479" i="4"/>
  <c r="D2479" i="4" s="1"/>
  <c r="E2479" i="4" s="1"/>
  <c r="F2479" i="4" s="1"/>
  <c r="J2478" i="4"/>
  <c r="C2478" i="4"/>
  <c r="D2478" i="4" s="1"/>
  <c r="E2478" i="4" s="1"/>
  <c r="F2478" i="4" s="1"/>
  <c r="J2477" i="4"/>
  <c r="C2477" i="4"/>
  <c r="D2477" i="4" s="1"/>
  <c r="E2477" i="4" s="1"/>
  <c r="F2477" i="4" s="1"/>
  <c r="J2476" i="4"/>
  <c r="C2476" i="4"/>
  <c r="D2476" i="4" s="1"/>
  <c r="E2476" i="4" s="1"/>
  <c r="F2476" i="4" s="1"/>
  <c r="J2475" i="4"/>
  <c r="C2475" i="4"/>
  <c r="D2475" i="4" s="1"/>
  <c r="E2475" i="4" s="1"/>
  <c r="F2475" i="4" s="1"/>
  <c r="J2474" i="4"/>
  <c r="C2474" i="4"/>
  <c r="D2474" i="4" s="1"/>
  <c r="E2474" i="4" s="1"/>
  <c r="F2474" i="4" s="1"/>
  <c r="C2473" i="4"/>
  <c r="D2473" i="4" s="1"/>
  <c r="E2473" i="4" s="1"/>
  <c r="F2473" i="4" s="1"/>
  <c r="J2473" i="4"/>
  <c r="C2472" i="4"/>
  <c r="D2472" i="4" s="1"/>
  <c r="E2472" i="4" s="1"/>
  <c r="F2472" i="4" s="1"/>
  <c r="J2472" i="4"/>
  <c r="J2471" i="4"/>
  <c r="C2471" i="4"/>
  <c r="D2471" i="4" s="1"/>
  <c r="E2471" i="4" s="1"/>
  <c r="F2471" i="4" s="1"/>
  <c r="J2470" i="4"/>
  <c r="C2470" i="4"/>
  <c r="D2470" i="4" s="1"/>
  <c r="E2470" i="4" s="1"/>
  <c r="F2470" i="4" s="1"/>
  <c r="J2469" i="4"/>
  <c r="C2469" i="4"/>
  <c r="D2469" i="4" s="1"/>
  <c r="E2469" i="4" s="1"/>
  <c r="F2469" i="4" s="1"/>
  <c r="C2468" i="4"/>
  <c r="D2468" i="4" s="1"/>
  <c r="E2468" i="4" s="1"/>
  <c r="F2468" i="4" s="1"/>
  <c r="J2468" i="4"/>
  <c r="J2467" i="4"/>
  <c r="C2467" i="4"/>
  <c r="D2467" i="4" s="1"/>
  <c r="E2467" i="4" s="1"/>
  <c r="F2467" i="4" s="1"/>
  <c r="J2466" i="4"/>
  <c r="C2466" i="4"/>
  <c r="D2466" i="4" s="1"/>
  <c r="E2466" i="4" s="1"/>
  <c r="F2466" i="4" s="1"/>
  <c r="J2465" i="4"/>
  <c r="C2465" i="4"/>
  <c r="D2465" i="4" s="1"/>
  <c r="E2465" i="4" s="1"/>
  <c r="F2465" i="4" s="1"/>
  <c r="C2464" i="4"/>
  <c r="D2464" i="4" s="1"/>
  <c r="E2464" i="4" s="1"/>
  <c r="F2464" i="4" s="1"/>
  <c r="J2464" i="4"/>
  <c r="C2463" i="4"/>
  <c r="D2463" i="4" s="1"/>
  <c r="E2463" i="4" s="1"/>
  <c r="F2463" i="4" s="1"/>
  <c r="J2463" i="4"/>
  <c r="J2462" i="4"/>
  <c r="C2462" i="4"/>
  <c r="D2462" i="4" s="1"/>
  <c r="E2462" i="4" s="1"/>
  <c r="F2462" i="4" s="1"/>
  <c r="J2461" i="4"/>
  <c r="C2461" i="4"/>
  <c r="D2461" i="4" s="1"/>
  <c r="E2461" i="4" s="1"/>
  <c r="F2461" i="4" s="1"/>
  <c r="J2460" i="4"/>
  <c r="C2460" i="4"/>
  <c r="D2460" i="4" s="1"/>
  <c r="E2460" i="4" s="1"/>
  <c r="F2460" i="4" s="1"/>
  <c r="J2459" i="4"/>
  <c r="C2459" i="4"/>
  <c r="D2459" i="4" s="1"/>
  <c r="E2459" i="4" s="1"/>
  <c r="F2459" i="4" s="1"/>
  <c r="J2458" i="4"/>
  <c r="C2458" i="4"/>
  <c r="D2458" i="4" s="1"/>
  <c r="E2458" i="4" s="1"/>
  <c r="F2458" i="4" s="1"/>
  <c r="J2457" i="4"/>
  <c r="C2457" i="4"/>
  <c r="D2457" i="4" s="1"/>
  <c r="E2457" i="4" s="1"/>
  <c r="F2457" i="4" s="1"/>
  <c r="J2456" i="4"/>
  <c r="C2456" i="4"/>
  <c r="D2456" i="4" s="1"/>
  <c r="E2456" i="4" s="1"/>
  <c r="F2456" i="4" s="1"/>
  <c r="J2455" i="4"/>
  <c r="C2455" i="4"/>
  <c r="D2455" i="4" s="1"/>
  <c r="E2455" i="4" s="1"/>
  <c r="F2455" i="4" s="1"/>
  <c r="C2454" i="4"/>
  <c r="D2454" i="4" s="1"/>
  <c r="E2454" i="4" s="1"/>
  <c r="F2454" i="4" s="1"/>
  <c r="J2454" i="4"/>
  <c r="C2453" i="4"/>
  <c r="D2453" i="4" s="1"/>
  <c r="E2453" i="4" s="1"/>
  <c r="F2453" i="4" s="1"/>
  <c r="J2453" i="4"/>
  <c r="J2452" i="4"/>
  <c r="C2452" i="4"/>
  <c r="D2452" i="4" s="1"/>
  <c r="E2452" i="4" s="1"/>
  <c r="F2452" i="4" s="1"/>
  <c r="J2451" i="4"/>
  <c r="C2451" i="4"/>
  <c r="D2451" i="4" s="1"/>
  <c r="E2451" i="4" s="1"/>
  <c r="F2451" i="4" s="1"/>
  <c r="J2450" i="4"/>
  <c r="C2450" i="4"/>
  <c r="D2450" i="4" s="1"/>
  <c r="E2450" i="4" s="1"/>
  <c r="F2450" i="4" s="1"/>
  <c r="J2449" i="4"/>
  <c r="C2449" i="4"/>
  <c r="D2449" i="4" s="1"/>
  <c r="E2449" i="4" s="1"/>
  <c r="F2449" i="4" s="1"/>
  <c r="J2448" i="4"/>
  <c r="C2448" i="4"/>
  <c r="D2448" i="4" s="1"/>
  <c r="E2448" i="4" s="1"/>
  <c r="F2448" i="4" s="1"/>
  <c r="J2447" i="4"/>
  <c r="C2447" i="4"/>
  <c r="D2447" i="4" s="1"/>
  <c r="E2447" i="4" s="1"/>
  <c r="F2447" i="4" s="1"/>
  <c r="J2446" i="4"/>
  <c r="C2446" i="4"/>
  <c r="D2446" i="4" s="1"/>
  <c r="E2446" i="4" s="1"/>
  <c r="F2446" i="4" s="1"/>
  <c r="J2445" i="4"/>
  <c r="C2445" i="4"/>
  <c r="D2445" i="4" s="1"/>
  <c r="E2445" i="4" s="1"/>
  <c r="F2445" i="4" s="1"/>
  <c r="C2444" i="4"/>
  <c r="D2444" i="4" s="1"/>
  <c r="E2444" i="4" s="1"/>
  <c r="F2444" i="4" s="1"/>
  <c r="J2444" i="4"/>
  <c r="C2443" i="4"/>
  <c r="D2443" i="4" s="1"/>
  <c r="E2443" i="4" s="1"/>
  <c r="F2443" i="4" s="1"/>
  <c r="J2443" i="4"/>
  <c r="C2442" i="4"/>
  <c r="D2442" i="4" s="1"/>
  <c r="E2442" i="4" s="1"/>
  <c r="F2442" i="4" s="1"/>
  <c r="J2442" i="4"/>
  <c r="J2441" i="4"/>
  <c r="C2441" i="4"/>
  <c r="D2441" i="4" s="1"/>
  <c r="E2441" i="4" s="1"/>
  <c r="F2441" i="4" s="1"/>
  <c r="J2440" i="4"/>
  <c r="C2440" i="4"/>
  <c r="D2440" i="4" s="1"/>
  <c r="E2440" i="4" s="1"/>
  <c r="F2440" i="4" s="1"/>
  <c r="J2439" i="4"/>
  <c r="C2439" i="4"/>
  <c r="D2439" i="4" s="1"/>
  <c r="E2439" i="4" s="1"/>
  <c r="F2439" i="4" s="1"/>
  <c r="J2438" i="4"/>
  <c r="C2438" i="4"/>
  <c r="D2438" i="4" s="1"/>
  <c r="E2438" i="4" s="1"/>
  <c r="F2438" i="4" s="1"/>
  <c r="J2437" i="4"/>
  <c r="C2437" i="4"/>
  <c r="D2437" i="4" s="1"/>
  <c r="E2437" i="4" s="1"/>
  <c r="F2437" i="4" s="1"/>
  <c r="J2436" i="4"/>
  <c r="C2436" i="4"/>
  <c r="D2436" i="4" s="1"/>
  <c r="E2436" i="4" s="1"/>
  <c r="F2436" i="4" s="1"/>
  <c r="C2435" i="4"/>
  <c r="D2435" i="4" s="1"/>
  <c r="E2435" i="4" s="1"/>
  <c r="F2435" i="4" s="1"/>
  <c r="J2435" i="4"/>
  <c r="J2434" i="4"/>
  <c r="C2434" i="4"/>
  <c r="D2434" i="4" s="1"/>
  <c r="E2434" i="4" s="1"/>
  <c r="F2434" i="4" s="1"/>
  <c r="J2433" i="4"/>
  <c r="C2433" i="4"/>
  <c r="D2433" i="4" s="1"/>
  <c r="E2433" i="4" s="1"/>
  <c r="F2433" i="4" s="1"/>
  <c r="J2432" i="4"/>
  <c r="C2432" i="4"/>
  <c r="D2432" i="4" s="1"/>
  <c r="E2432" i="4" s="1"/>
  <c r="F2432" i="4" s="1"/>
  <c r="J2431" i="4"/>
  <c r="C2431" i="4"/>
  <c r="D2431" i="4" s="1"/>
  <c r="E2431" i="4" s="1"/>
  <c r="F2431" i="4" s="1"/>
  <c r="J2430" i="4"/>
  <c r="C2430" i="4"/>
  <c r="D2430" i="4" s="1"/>
  <c r="E2430" i="4" s="1"/>
  <c r="F2430" i="4" s="1"/>
  <c r="J2429" i="4"/>
  <c r="C2429" i="4"/>
  <c r="D2429" i="4" s="1"/>
  <c r="E2429" i="4" s="1"/>
  <c r="F2429" i="4" s="1"/>
  <c r="J2428" i="4"/>
  <c r="C2428" i="4"/>
  <c r="D2428" i="4" s="1"/>
  <c r="E2428" i="4" s="1"/>
  <c r="F2428" i="4" s="1"/>
  <c r="J2427" i="4"/>
  <c r="C2427" i="4"/>
  <c r="D2427" i="4" s="1"/>
  <c r="E2427" i="4" s="1"/>
  <c r="F2427" i="4" s="1"/>
  <c r="J2426" i="4"/>
  <c r="C2426" i="4"/>
  <c r="D2426" i="4" s="1"/>
  <c r="E2426" i="4" s="1"/>
  <c r="F2426" i="4" s="1"/>
  <c r="J2425" i="4"/>
  <c r="C2425" i="4"/>
  <c r="D2425" i="4" s="1"/>
  <c r="E2425" i="4" s="1"/>
  <c r="F2425" i="4" s="1"/>
  <c r="J2424" i="4"/>
  <c r="C2424" i="4"/>
  <c r="D2424" i="4" s="1"/>
  <c r="E2424" i="4" s="1"/>
  <c r="F2424" i="4" s="1"/>
  <c r="J2423" i="4"/>
  <c r="C2423" i="4"/>
  <c r="D2423" i="4" s="1"/>
  <c r="E2423" i="4" s="1"/>
  <c r="F2423" i="4" s="1"/>
  <c r="J2422" i="4"/>
  <c r="C2422" i="4"/>
  <c r="D2422" i="4" s="1"/>
  <c r="E2422" i="4" s="1"/>
  <c r="F2422" i="4" s="1"/>
  <c r="J2421" i="4"/>
  <c r="C2421" i="4"/>
  <c r="D2421" i="4" s="1"/>
  <c r="E2421" i="4" s="1"/>
  <c r="F2421" i="4" s="1"/>
  <c r="J2420" i="4"/>
  <c r="C2420" i="4"/>
  <c r="D2420" i="4" s="1"/>
  <c r="E2420" i="4" s="1"/>
  <c r="F2420" i="4" s="1"/>
  <c r="J2419" i="4"/>
  <c r="C2419" i="4"/>
  <c r="D2419" i="4" s="1"/>
  <c r="E2419" i="4" s="1"/>
  <c r="F2419" i="4" s="1"/>
  <c r="J2418" i="4"/>
  <c r="C2418" i="4"/>
  <c r="D2418" i="4" s="1"/>
  <c r="E2418" i="4" s="1"/>
  <c r="F2418" i="4" s="1"/>
  <c r="C2417" i="4"/>
  <c r="D2417" i="4" s="1"/>
  <c r="E2417" i="4" s="1"/>
  <c r="F2417" i="4" s="1"/>
  <c r="J2417" i="4"/>
  <c r="C2416" i="4"/>
  <c r="D2416" i="4" s="1"/>
  <c r="E2416" i="4" s="1"/>
  <c r="F2416" i="4" s="1"/>
  <c r="J2416" i="4"/>
  <c r="J2415" i="4"/>
  <c r="C2415" i="4"/>
  <c r="D2415" i="4" s="1"/>
  <c r="E2415" i="4" s="1"/>
  <c r="F2415" i="4" s="1"/>
  <c r="J2414" i="4"/>
  <c r="C2414" i="4"/>
  <c r="D2414" i="4" s="1"/>
  <c r="E2414" i="4" s="1"/>
  <c r="F2414" i="4" s="1"/>
  <c r="J2413" i="4"/>
  <c r="C2413" i="4"/>
  <c r="D2413" i="4" s="1"/>
  <c r="E2413" i="4" s="1"/>
  <c r="F2413" i="4" s="1"/>
  <c r="J2412" i="4"/>
  <c r="C2412" i="4"/>
  <c r="D2412" i="4" s="1"/>
  <c r="E2412" i="4" s="1"/>
  <c r="F2412" i="4" s="1"/>
  <c r="J2411" i="4"/>
  <c r="C2411" i="4"/>
  <c r="D2411" i="4" s="1"/>
  <c r="E2411" i="4" s="1"/>
  <c r="F2411" i="4" s="1"/>
  <c r="J2410" i="4"/>
  <c r="C2410" i="4"/>
  <c r="D2410" i="4" s="1"/>
  <c r="E2410" i="4" s="1"/>
  <c r="F2410" i="4" s="1"/>
  <c r="C2409" i="4"/>
  <c r="D2409" i="4" s="1"/>
  <c r="E2409" i="4" s="1"/>
  <c r="F2409" i="4" s="1"/>
  <c r="J2409" i="4"/>
  <c r="J2408" i="4"/>
  <c r="C2408" i="4"/>
  <c r="D2408" i="4" s="1"/>
  <c r="E2408" i="4" s="1"/>
  <c r="F2408" i="4" s="1"/>
  <c r="J2407" i="4"/>
  <c r="C2407" i="4"/>
  <c r="D2407" i="4" s="1"/>
  <c r="E2407" i="4" s="1"/>
  <c r="F2407" i="4" s="1"/>
  <c r="J2406" i="4"/>
  <c r="C2406" i="4"/>
  <c r="D2406" i="4" s="1"/>
  <c r="E2406" i="4" s="1"/>
  <c r="F2406" i="4" s="1"/>
  <c r="J2405" i="4"/>
  <c r="C2405" i="4"/>
  <c r="D2405" i="4" s="1"/>
  <c r="E2405" i="4" s="1"/>
  <c r="F2405" i="4" s="1"/>
  <c r="J2404" i="4"/>
  <c r="C2404" i="4"/>
  <c r="D2404" i="4" s="1"/>
  <c r="E2404" i="4" s="1"/>
  <c r="F2404" i="4" s="1"/>
  <c r="J2403" i="4"/>
  <c r="C2403" i="4"/>
  <c r="D2403" i="4" s="1"/>
  <c r="E2403" i="4" s="1"/>
  <c r="F2403" i="4" s="1"/>
  <c r="J2402" i="4"/>
  <c r="C2402" i="4"/>
  <c r="D2402" i="4" s="1"/>
  <c r="E2402" i="4" s="1"/>
  <c r="F2402" i="4" s="1"/>
  <c r="J2401" i="4"/>
  <c r="C2401" i="4"/>
  <c r="D2401" i="4" s="1"/>
  <c r="E2401" i="4" s="1"/>
  <c r="F2401" i="4" s="1"/>
  <c r="J2400" i="4"/>
  <c r="C2400" i="4"/>
  <c r="D2400" i="4" s="1"/>
  <c r="E2400" i="4" s="1"/>
  <c r="F2400" i="4" s="1"/>
  <c r="J2399" i="4"/>
  <c r="C2399" i="4"/>
  <c r="D2399" i="4" s="1"/>
  <c r="E2399" i="4" s="1"/>
  <c r="F2399" i="4" s="1"/>
  <c r="J2398" i="4"/>
  <c r="C2398" i="4"/>
  <c r="D2398" i="4" s="1"/>
  <c r="E2398" i="4" s="1"/>
  <c r="F2398" i="4" s="1"/>
  <c r="J2397" i="4"/>
  <c r="C2397" i="4"/>
  <c r="D2397" i="4" s="1"/>
  <c r="E2397" i="4" s="1"/>
  <c r="F2397" i="4" s="1"/>
  <c r="J2396" i="4"/>
  <c r="C2396" i="4"/>
  <c r="D2396" i="4" s="1"/>
  <c r="E2396" i="4" s="1"/>
  <c r="F2396" i="4" s="1"/>
  <c r="J2395" i="4"/>
  <c r="C2395" i="4"/>
  <c r="D2395" i="4" s="1"/>
  <c r="E2395" i="4" s="1"/>
  <c r="F2395" i="4" s="1"/>
  <c r="J2394" i="4"/>
  <c r="C2394" i="4"/>
  <c r="D2394" i="4" s="1"/>
  <c r="E2394" i="4" s="1"/>
  <c r="F2394" i="4" s="1"/>
  <c r="J2393" i="4"/>
  <c r="C2393" i="4"/>
  <c r="D2393" i="4" s="1"/>
  <c r="E2393" i="4" s="1"/>
  <c r="F2393" i="4" s="1"/>
  <c r="J2392" i="4"/>
  <c r="C2392" i="4"/>
  <c r="D2392" i="4" s="1"/>
  <c r="E2392" i="4" s="1"/>
  <c r="F2392" i="4" s="1"/>
  <c r="J2391" i="4"/>
  <c r="C2391" i="4"/>
  <c r="D2391" i="4" s="1"/>
  <c r="E2391" i="4" s="1"/>
  <c r="F2391" i="4" s="1"/>
  <c r="J2390" i="4"/>
  <c r="C2390" i="4"/>
  <c r="D2390" i="4" s="1"/>
  <c r="E2390" i="4" s="1"/>
  <c r="F2390" i="4" s="1"/>
  <c r="J2389" i="4"/>
  <c r="C2389" i="4"/>
  <c r="D2389" i="4" s="1"/>
  <c r="E2389" i="4" s="1"/>
  <c r="F2389" i="4" s="1"/>
  <c r="J2388" i="4"/>
  <c r="C2388" i="4"/>
  <c r="D2388" i="4" s="1"/>
  <c r="E2388" i="4" s="1"/>
  <c r="F2388" i="4" s="1"/>
  <c r="J2387" i="4"/>
  <c r="C2387" i="4"/>
  <c r="D2387" i="4" s="1"/>
  <c r="E2387" i="4" s="1"/>
  <c r="F2387" i="4" s="1"/>
  <c r="J2386" i="4"/>
  <c r="C2386" i="4"/>
  <c r="D2386" i="4" s="1"/>
  <c r="E2386" i="4" s="1"/>
  <c r="F2386" i="4" s="1"/>
  <c r="J2385" i="4"/>
  <c r="C2385" i="4"/>
  <c r="D2385" i="4" s="1"/>
  <c r="E2385" i="4" s="1"/>
  <c r="F2385" i="4" s="1"/>
  <c r="J2384" i="4"/>
  <c r="C2384" i="4"/>
  <c r="D2384" i="4" s="1"/>
  <c r="E2384" i="4" s="1"/>
  <c r="F2384" i="4" s="1"/>
  <c r="J2383" i="4"/>
  <c r="C2383" i="4"/>
  <c r="D2383" i="4" s="1"/>
  <c r="E2383" i="4" s="1"/>
  <c r="F2383" i="4" s="1"/>
  <c r="J2382" i="4"/>
  <c r="C2382" i="4"/>
  <c r="D2382" i="4" s="1"/>
  <c r="E2382" i="4" s="1"/>
  <c r="F2382" i="4" s="1"/>
  <c r="J2381" i="4"/>
  <c r="C2381" i="4"/>
  <c r="D2381" i="4" s="1"/>
  <c r="E2381" i="4" s="1"/>
  <c r="F2381" i="4" s="1"/>
  <c r="J2380" i="4"/>
  <c r="C2380" i="4"/>
  <c r="D2380" i="4" s="1"/>
  <c r="E2380" i="4" s="1"/>
  <c r="F2380" i="4" s="1"/>
  <c r="J2379" i="4"/>
  <c r="C2379" i="4"/>
  <c r="D2379" i="4" s="1"/>
  <c r="E2379" i="4" s="1"/>
  <c r="F2379" i="4" s="1"/>
  <c r="J2378" i="4"/>
  <c r="C2378" i="4"/>
  <c r="D2378" i="4" s="1"/>
  <c r="E2378" i="4" s="1"/>
  <c r="F2378" i="4" s="1"/>
  <c r="J2377" i="4"/>
  <c r="C2377" i="4"/>
  <c r="D2377" i="4" s="1"/>
  <c r="E2377" i="4" s="1"/>
  <c r="F2377" i="4" s="1"/>
  <c r="J2376" i="4"/>
  <c r="C2376" i="4"/>
  <c r="D2376" i="4" s="1"/>
  <c r="E2376" i="4" s="1"/>
  <c r="F2376" i="4" s="1"/>
  <c r="J2375" i="4"/>
  <c r="C2375" i="4"/>
  <c r="D2375" i="4" s="1"/>
  <c r="E2375" i="4" s="1"/>
  <c r="F2375" i="4" s="1"/>
  <c r="C2374" i="4"/>
  <c r="D2374" i="4" s="1"/>
  <c r="E2374" i="4" s="1"/>
  <c r="F2374" i="4" s="1"/>
  <c r="J2374" i="4"/>
  <c r="J2373" i="4"/>
  <c r="C2373" i="4"/>
  <c r="D2373" i="4" s="1"/>
  <c r="E2373" i="4" s="1"/>
  <c r="F2373" i="4" s="1"/>
  <c r="J2372" i="4"/>
  <c r="C2372" i="4"/>
  <c r="D2372" i="4" s="1"/>
  <c r="E2372" i="4" s="1"/>
  <c r="F2372" i="4" s="1"/>
  <c r="J2371" i="4"/>
  <c r="C2371" i="4"/>
  <c r="D2371" i="4" s="1"/>
  <c r="E2371" i="4" s="1"/>
  <c r="F2371" i="4" s="1"/>
  <c r="J2370" i="4"/>
  <c r="C2370" i="4"/>
  <c r="D2370" i="4" s="1"/>
  <c r="E2370" i="4" s="1"/>
  <c r="F2370" i="4" s="1"/>
  <c r="C2369" i="4"/>
  <c r="D2369" i="4" s="1"/>
  <c r="E2369" i="4" s="1"/>
  <c r="F2369" i="4" s="1"/>
  <c r="J2369" i="4"/>
  <c r="C2368" i="4"/>
  <c r="D2368" i="4" s="1"/>
  <c r="E2368" i="4" s="1"/>
  <c r="F2368" i="4" s="1"/>
  <c r="J2368" i="4"/>
  <c r="J2367" i="4"/>
  <c r="C2367" i="4"/>
  <c r="D2367" i="4" s="1"/>
  <c r="E2367" i="4" s="1"/>
  <c r="F2367" i="4" s="1"/>
  <c r="J2366" i="4"/>
  <c r="C2366" i="4"/>
  <c r="D2366" i="4" s="1"/>
  <c r="E2366" i="4" s="1"/>
  <c r="F2366" i="4" s="1"/>
  <c r="J2365" i="4"/>
  <c r="C2365" i="4"/>
  <c r="D2365" i="4" s="1"/>
  <c r="E2365" i="4" s="1"/>
  <c r="F2365" i="4" s="1"/>
  <c r="J2364" i="4"/>
  <c r="C2364" i="4"/>
  <c r="D2364" i="4" s="1"/>
  <c r="E2364" i="4" s="1"/>
  <c r="F2364" i="4" s="1"/>
  <c r="J2363" i="4"/>
  <c r="C2363" i="4"/>
  <c r="D2363" i="4" s="1"/>
  <c r="E2363" i="4" s="1"/>
  <c r="F2363" i="4" s="1"/>
  <c r="J2362" i="4"/>
  <c r="C2362" i="4"/>
  <c r="D2362" i="4" s="1"/>
  <c r="E2362" i="4" s="1"/>
  <c r="F2362" i="4" s="1"/>
  <c r="J2361" i="4"/>
  <c r="C2361" i="4"/>
  <c r="D2361" i="4" s="1"/>
  <c r="E2361" i="4" s="1"/>
  <c r="F2361" i="4" s="1"/>
  <c r="J2360" i="4"/>
  <c r="C2360" i="4"/>
  <c r="D2360" i="4" s="1"/>
  <c r="E2360" i="4" s="1"/>
  <c r="F2360" i="4" s="1"/>
  <c r="J2359" i="4"/>
  <c r="C2359" i="4"/>
  <c r="D2359" i="4" s="1"/>
  <c r="E2359" i="4" s="1"/>
  <c r="F2359" i="4" s="1"/>
  <c r="C2358" i="4"/>
  <c r="D2358" i="4" s="1"/>
  <c r="E2358" i="4" s="1"/>
  <c r="F2358" i="4" s="1"/>
  <c r="J2358" i="4"/>
  <c r="C2357" i="4"/>
  <c r="D2357" i="4" s="1"/>
  <c r="E2357" i="4" s="1"/>
  <c r="F2357" i="4" s="1"/>
  <c r="J2357" i="4"/>
  <c r="J2356" i="4"/>
  <c r="C2356" i="4"/>
  <c r="D2356" i="4" s="1"/>
  <c r="E2356" i="4" s="1"/>
  <c r="F2356" i="4" s="1"/>
  <c r="J2355" i="4"/>
  <c r="C2355" i="4"/>
  <c r="D2355" i="4" s="1"/>
  <c r="E2355" i="4" s="1"/>
  <c r="F2355" i="4" s="1"/>
  <c r="J2354" i="4"/>
  <c r="C2354" i="4"/>
  <c r="D2354" i="4" s="1"/>
  <c r="E2354" i="4" s="1"/>
  <c r="F2354" i="4" s="1"/>
  <c r="J2353" i="4"/>
  <c r="C2353" i="4"/>
  <c r="D2353" i="4" s="1"/>
  <c r="E2353" i="4" s="1"/>
  <c r="F2353" i="4" s="1"/>
  <c r="C2352" i="4"/>
  <c r="D2352" i="4" s="1"/>
  <c r="E2352" i="4" s="1"/>
  <c r="F2352" i="4" s="1"/>
  <c r="J2352" i="4"/>
  <c r="J2351" i="4"/>
  <c r="C2351" i="4"/>
  <c r="D2351" i="4" s="1"/>
  <c r="E2351" i="4" s="1"/>
  <c r="F2351" i="4" s="1"/>
  <c r="J2350" i="4"/>
  <c r="C2350" i="4"/>
  <c r="D2350" i="4" s="1"/>
  <c r="E2350" i="4" s="1"/>
  <c r="F2350" i="4" s="1"/>
  <c r="J2349" i="4"/>
  <c r="C2349" i="4"/>
  <c r="D2349" i="4" s="1"/>
  <c r="E2349" i="4" s="1"/>
  <c r="F2349" i="4" s="1"/>
  <c r="J2348" i="4"/>
  <c r="C2348" i="4"/>
  <c r="D2348" i="4" s="1"/>
  <c r="E2348" i="4" s="1"/>
  <c r="F2348" i="4" s="1"/>
  <c r="C2347" i="4"/>
  <c r="D2347" i="4" s="1"/>
  <c r="E2347" i="4" s="1"/>
  <c r="F2347" i="4" s="1"/>
  <c r="J2347" i="4"/>
  <c r="C2346" i="4"/>
  <c r="D2346" i="4" s="1"/>
  <c r="E2346" i="4" s="1"/>
  <c r="F2346" i="4" s="1"/>
  <c r="J2346" i="4"/>
  <c r="J2345" i="4"/>
  <c r="C2345" i="4"/>
  <c r="D2345" i="4" s="1"/>
  <c r="E2345" i="4" s="1"/>
  <c r="F2345" i="4" s="1"/>
  <c r="J2344" i="4"/>
  <c r="C2344" i="4"/>
  <c r="D2344" i="4" s="1"/>
  <c r="E2344" i="4" s="1"/>
  <c r="F2344" i="4" s="1"/>
  <c r="J2343" i="4"/>
  <c r="C2343" i="4"/>
  <c r="D2343" i="4" s="1"/>
  <c r="E2343" i="4" s="1"/>
  <c r="F2343" i="4" s="1"/>
  <c r="J2342" i="4"/>
  <c r="C2342" i="4"/>
  <c r="D2342" i="4" s="1"/>
  <c r="E2342" i="4" s="1"/>
  <c r="F2342" i="4" s="1"/>
  <c r="J2341" i="4"/>
  <c r="C2341" i="4"/>
  <c r="D2341" i="4" s="1"/>
  <c r="E2341" i="4" s="1"/>
  <c r="F2341" i="4" s="1"/>
  <c r="J2340" i="4"/>
  <c r="C2340" i="4"/>
  <c r="D2340" i="4" s="1"/>
  <c r="E2340" i="4" s="1"/>
  <c r="F2340" i="4" s="1"/>
  <c r="J2339" i="4"/>
  <c r="C2339" i="4"/>
  <c r="D2339" i="4" s="1"/>
  <c r="E2339" i="4" s="1"/>
  <c r="F2339" i="4" s="1"/>
  <c r="J2338" i="4"/>
  <c r="C2338" i="4"/>
  <c r="D2338" i="4" s="1"/>
  <c r="E2338" i="4" s="1"/>
  <c r="F2338" i="4" s="1"/>
  <c r="J2337" i="4"/>
  <c r="C2337" i="4"/>
  <c r="D2337" i="4" s="1"/>
  <c r="E2337" i="4" s="1"/>
  <c r="F2337" i="4" s="1"/>
  <c r="C2336" i="4"/>
  <c r="D2336" i="4" s="1"/>
  <c r="E2336" i="4" s="1"/>
  <c r="F2336" i="4" s="1"/>
  <c r="J2336" i="4"/>
  <c r="C2335" i="4"/>
  <c r="D2335" i="4" s="1"/>
  <c r="E2335" i="4" s="1"/>
  <c r="F2335" i="4" s="1"/>
  <c r="J2335" i="4"/>
  <c r="J2334" i="4"/>
  <c r="C2334" i="4"/>
  <c r="D2334" i="4" s="1"/>
  <c r="E2334" i="4" s="1"/>
  <c r="F2334" i="4" s="1"/>
  <c r="J2333" i="4"/>
  <c r="C2333" i="4"/>
  <c r="D2333" i="4" s="1"/>
  <c r="E2333" i="4" s="1"/>
  <c r="F2333" i="4" s="1"/>
  <c r="J2332" i="4"/>
  <c r="C2332" i="4"/>
  <c r="D2332" i="4" s="1"/>
  <c r="E2332" i="4" s="1"/>
  <c r="F2332" i="4" s="1"/>
  <c r="J2331" i="4"/>
  <c r="C2331" i="4"/>
  <c r="D2331" i="4" s="1"/>
  <c r="E2331" i="4" s="1"/>
  <c r="F2331" i="4" s="1"/>
  <c r="C2330" i="4"/>
  <c r="D2330" i="4" s="1"/>
  <c r="E2330" i="4" s="1"/>
  <c r="F2330" i="4" s="1"/>
  <c r="J2330" i="4"/>
  <c r="J2329" i="4"/>
  <c r="C2329" i="4"/>
  <c r="D2329" i="4" s="1"/>
  <c r="E2329" i="4" s="1"/>
  <c r="F2329" i="4" s="1"/>
  <c r="J2328" i="4"/>
  <c r="C2328" i="4"/>
  <c r="D2328" i="4" s="1"/>
  <c r="E2328" i="4" s="1"/>
  <c r="F2328" i="4" s="1"/>
  <c r="J2327" i="4"/>
  <c r="C2327" i="4"/>
  <c r="D2327" i="4" s="1"/>
  <c r="E2327" i="4" s="1"/>
  <c r="F2327" i="4" s="1"/>
  <c r="J2326" i="4"/>
  <c r="C2326" i="4"/>
  <c r="D2326" i="4" s="1"/>
  <c r="E2326" i="4" s="1"/>
  <c r="F2326" i="4" s="1"/>
  <c r="C2325" i="4"/>
  <c r="D2325" i="4" s="1"/>
  <c r="E2325" i="4" s="1"/>
  <c r="F2325" i="4" s="1"/>
  <c r="J2325" i="4"/>
  <c r="C2324" i="4"/>
  <c r="D2324" i="4" s="1"/>
  <c r="E2324" i="4" s="1"/>
  <c r="F2324" i="4" s="1"/>
  <c r="J2324" i="4"/>
  <c r="J2323" i="4"/>
  <c r="C2323" i="4"/>
  <c r="D2323" i="4" s="1"/>
  <c r="E2323" i="4" s="1"/>
  <c r="F2323" i="4" s="1"/>
  <c r="J2322" i="4"/>
  <c r="C2322" i="4"/>
  <c r="D2322" i="4" s="1"/>
  <c r="E2322" i="4" s="1"/>
  <c r="F2322" i="4" s="1"/>
  <c r="J2321" i="4"/>
  <c r="C2321" i="4"/>
  <c r="D2321" i="4" s="1"/>
  <c r="E2321" i="4" s="1"/>
  <c r="F2321" i="4" s="1"/>
  <c r="J2320" i="4"/>
  <c r="C2320" i="4"/>
  <c r="D2320" i="4" s="1"/>
  <c r="E2320" i="4" s="1"/>
  <c r="F2320" i="4" s="1"/>
  <c r="J2319" i="4"/>
  <c r="C2319" i="4"/>
  <c r="D2319" i="4" s="1"/>
  <c r="E2319" i="4" s="1"/>
  <c r="F2319" i="4" s="1"/>
  <c r="J2318" i="4"/>
  <c r="C2318" i="4"/>
  <c r="D2318" i="4" s="1"/>
  <c r="E2318" i="4" s="1"/>
  <c r="F2318" i="4" s="1"/>
  <c r="J2317" i="4"/>
  <c r="C2317" i="4"/>
  <c r="D2317" i="4" s="1"/>
  <c r="E2317" i="4" s="1"/>
  <c r="F2317" i="4" s="1"/>
  <c r="J2316" i="4"/>
  <c r="C2316" i="4"/>
  <c r="D2316" i="4" s="1"/>
  <c r="E2316" i="4" s="1"/>
  <c r="F2316" i="4" s="1"/>
  <c r="J2315" i="4"/>
  <c r="C2315" i="4"/>
  <c r="D2315" i="4" s="1"/>
  <c r="E2315" i="4" s="1"/>
  <c r="F2315" i="4" s="1"/>
  <c r="C2314" i="4"/>
  <c r="D2314" i="4" s="1"/>
  <c r="E2314" i="4" s="1"/>
  <c r="F2314" i="4" s="1"/>
  <c r="J2314" i="4"/>
  <c r="C2313" i="4"/>
  <c r="D2313" i="4" s="1"/>
  <c r="E2313" i="4" s="1"/>
  <c r="F2313" i="4" s="1"/>
  <c r="J2313" i="4"/>
  <c r="J2312" i="4"/>
  <c r="C2312" i="4"/>
  <c r="D2312" i="4" s="1"/>
  <c r="E2312" i="4" s="1"/>
  <c r="F2312" i="4" s="1"/>
  <c r="J2311" i="4"/>
  <c r="C2311" i="4"/>
  <c r="D2311" i="4" s="1"/>
  <c r="E2311" i="4" s="1"/>
  <c r="F2311" i="4" s="1"/>
  <c r="J2310" i="4"/>
  <c r="C2310" i="4"/>
  <c r="D2310" i="4" s="1"/>
  <c r="E2310" i="4" s="1"/>
  <c r="F2310" i="4" s="1"/>
  <c r="J2309" i="4"/>
  <c r="C2309" i="4"/>
  <c r="D2309" i="4" s="1"/>
  <c r="E2309" i="4" s="1"/>
  <c r="F2309" i="4" s="1"/>
  <c r="C2308" i="4"/>
  <c r="D2308" i="4" s="1"/>
  <c r="E2308" i="4" s="1"/>
  <c r="F2308" i="4" s="1"/>
  <c r="J2308" i="4"/>
  <c r="J2307" i="4"/>
  <c r="C2307" i="4"/>
  <c r="D2307" i="4" s="1"/>
  <c r="E2307" i="4" s="1"/>
  <c r="F2307" i="4" s="1"/>
  <c r="J2306" i="4"/>
  <c r="C2306" i="4"/>
  <c r="D2306" i="4" s="1"/>
  <c r="E2306" i="4" s="1"/>
  <c r="F2306" i="4" s="1"/>
  <c r="J2305" i="4"/>
  <c r="C2305" i="4"/>
  <c r="D2305" i="4" s="1"/>
  <c r="E2305" i="4" s="1"/>
  <c r="F2305" i="4" s="1"/>
  <c r="J2304" i="4"/>
  <c r="C2304" i="4"/>
  <c r="D2304" i="4" s="1"/>
  <c r="E2304" i="4" s="1"/>
  <c r="F2304" i="4" s="1"/>
  <c r="C2303" i="4"/>
  <c r="D2303" i="4" s="1"/>
  <c r="E2303" i="4" s="1"/>
  <c r="F2303" i="4" s="1"/>
  <c r="J2303" i="4"/>
  <c r="C2302" i="4"/>
  <c r="D2302" i="4" s="1"/>
  <c r="E2302" i="4" s="1"/>
  <c r="F2302" i="4" s="1"/>
  <c r="J2302" i="4"/>
  <c r="J2301" i="4"/>
  <c r="C2301" i="4"/>
  <c r="D2301" i="4" s="1"/>
  <c r="E2301" i="4" s="1"/>
  <c r="F2301" i="4" s="1"/>
  <c r="J2300" i="4"/>
  <c r="C2300" i="4"/>
  <c r="D2300" i="4" s="1"/>
  <c r="E2300" i="4" s="1"/>
  <c r="F2300" i="4" s="1"/>
  <c r="J2299" i="4"/>
  <c r="C2299" i="4"/>
  <c r="D2299" i="4" s="1"/>
  <c r="E2299" i="4" s="1"/>
  <c r="F2299" i="4" s="1"/>
  <c r="J2298" i="4"/>
  <c r="C2298" i="4"/>
  <c r="D2298" i="4" s="1"/>
  <c r="E2298" i="4" s="1"/>
  <c r="F2298" i="4" s="1"/>
  <c r="J2297" i="4"/>
  <c r="C2297" i="4"/>
  <c r="D2297" i="4" s="1"/>
  <c r="E2297" i="4" s="1"/>
  <c r="F2297" i="4" s="1"/>
  <c r="J2296" i="4"/>
  <c r="C2296" i="4"/>
  <c r="D2296" i="4" s="1"/>
  <c r="E2296" i="4" s="1"/>
  <c r="F2296" i="4" s="1"/>
  <c r="J2295" i="4"/>
  <c r="C2295" i="4"/>
  <c r="D2295" i="4" s="1"/>
  <c r="E2295" i="4" s="1"/>
  <c r="F2295" i="4" s="1"/>
  <c r="J2294" i="4"/>
  <c r="C2294" i="4"/>
  <c r="D2294" i="4" s="1"/>
  <c r="E2294" i="4" s="1"/>
  <c r="F2294" i="4" s="1"/>
  <c r="J2293" i="4"/>
  <c r="C2293" i="4"/>
  <c r="D2293" i="4" s="1"/>
  <c r="E2293" i="4" s="1"/>
  <c r="F2293" i="4" s="1"/>
  <c r="J2292" i="4"/>
  <c r="C2292" i="4"/>
  <c r="D2292" i="4" s="1"/>
  <c r="E2292" i="4" s="1"/>
  <c r="F2292" i="4" s="1"/>
  <c r="C2291" i="4"/>
  <c r="D2291" i="4" s="1"/>
  <c r="E2291" i="4" s="1"/>
  <c r="F2291" i="4" s="1"/>
  <c r="J2291" i="4"/>
  <c r="C2290" i="4"/>
  <c r="D2290" i="4" s="1"/>
  <c r="E2290" i="4" s="1"/>
  <c r="F2290" i="4" s="1"/>
  <c r="J2290" i="4"/>
  <c r="J2289" i="4"/>
  <c r="C2289" i="4"/>
  <c r="D2289" i="4" s="1"/>
  <c r="E2289" i="4" s="1"/>
  <c r="F2289" i="4" s="1"/>
  <c r="J2288" i="4"/>
  <c r="C2288" i="4"/>
  <c r="D2288" i="4" s="1"/>
  <c r="E2288" i="4" s="1"/>
  <c r="F2288" i="4" s="1"/>
  <c r="J2287" i="4"/>
  <c r="C2287" i="4"/>
  <c r="D2287" i="4" s="1"/>
  <c r="E2287" i="4" s="1"/>
  <c r="F2287" i="4" s="1"/>
  <c r="J2286" i="4"/>
  <c r="C2286" i="4"/>
  <c r="D2286" i="4" s="1"/>
  <c r="E2286" i="4" s="1"/>
  <c r="F2286" i="4" s="1"/>
  <c r="C2285" i="4"/>
  <c r="D2285" i="4" s="1"/>
  <c r="E2285" i="4" s="1"/>
  <c r="F2285" i="4" s="1"/>
  <c r="J2285" i="4"/>
  <c r="J2284" i="4"/>
  <c r="C2284" i="4"/>
  <c r="D2284" i="4" s="1"/>
  <c r="E2284" i="4" s="1"/>
  <c r="F2284" i="4" s="1"/>
  <c r="J2283" i="4"/>
  <c r="C2283" i="4"/>
  <c r="D2283" i="4" s="1"/>
  <c r="E2283" i="4" s="1"/>
  <c r="F2283" i="4" s="1"/>
  <c r="J2282" i="4"/>
  <c r="C2282" i="4"/>
  <c r="D2282" i="4" s="1"/>
  <c r="E2282" i="4" s="1"/>
  <c r="F2282" i="4" s="1"/>
  <c r="C2281" i="4"/>
  <c r="D2281" i="4" s="1"/>
  <c r="E2281" i="4" s="1"/>
  <c r="F2281" i="4" s="1"/>
  <c r="J2281" i="4"/>
  <c r="C2280" i="4"/>
  <c r="D2280" i="4" s="1"/>
  <c r="E2280" i="4" s="1"/>
  <c r="F2280" i="4" s="1"/>
  <c r="J2280" i="4"/>
  <c r="J2279" i="4"/>
  <c r="C2279" i="4"/>
  <c r="D2279" i="4" s="1"/>
  <c r="E2279" i="4" s="1"/>
  <c r="F2279" i="4" s="1"/>
  <c r="J2278" i="4"/>
  <c r="C2278" i="4"/>
  <c r="D2278" i="4" s="1"/>
  <c r="E2278" i="4" s="1"/>
  <c r="F2278" i="4" s="1"/>
  <c r="J2277" i="4"/>
  <c r="C2277" i="4"/>
  <c r="D2277" i="4" s="1"/>
  <c r="E2277" i="4" s="1"/>
  <c r="F2277" i="4" s="1"/>
  <c r="J2276" i="4"/>
  <c r="C2276" i="4"/>
  <c r="D2276" i="4" s="1"/>
  <c r="E2276" i="4" s="1"/>
  <c r="F2276" i="4" s="1"/>
  <c r="J2275" i="4"/>
  <c r="C2275" i="4"/>
  <c r="D2275" i="4" s="1"/>
  <c r="E2275" i="4" s="1"/>
  <c r="F2275" i="4" s="1"/>
  <c r="J2274" i="4"/>
  <c r="C2274" i="4"/>
  <c r="D2274" i="4" s="1"/>
  <c r="E2274" i="4" s="1"/>
  <c r="F2274" i="4" s="1"/>
  <c r="J2273" i="4"/>
  <c r="C2273" i="4"/>
  <c r="D2273" i="4" s="1"/>
  <c r="E2273" i="4" s="1"/>
  <c r="F2273" i="4" s="1"/>
  <c r="J2272" i="4"/>
  <c r="C2272" i="4"/>
  <c r="D2272" i="4" s="1"/>
  <c r="E2272" i="4" s="1"/>
  <c r="F2272" i="4" s="1"/>
  <c r="J2271" i="4"/>
  <c r="C2271" i="4"/>
  <c r="D2271" i="4" s="1"/>
  <c r="E2271" i="4" s="1"/>
  <c r="F2271" i="4" s="1"/>
  <c r="C2270" i="4"/>
  <c r="D2270" i="4" s="1"/>
  <c r="E2270" i="4" s="1"/>
  <c r="F2270" i="4" s="1"/>
  <c r="J2270" i="4"/>
  <c r="C2269" i="4"/>
  <c r="D2269" i="4" s="1"/>
  <c r="E2269" i="4" s="1"/>
  <c r="F2269" i="4" s="1"/>
  <c r="J2269" i="4"/>
  <c r="J2268" i="4"/>
  <c r="C2268" i="4"/>
  <c r="D2268" i="4" s="1"/>
  <c r="E2268" i="4" s="1"/>
  <c r="F2268" i="4" s="1"/>
  <c r="J2267" i="4"/>
  <c r="C2267" i="4"/>
  <c r="D2267" i="4" s="1"/>
  <c r="E2267" i="4" s="1"/>
  <c r="F2267" i="4" s="1"/>
  <c r="J2266" i="4"/>
  <c r="C2266" i="4"/>
  <c r="D2266" i="4" s="1"/>
  <c r="E2266" i="4" s="1"/>
  <c r="F2266" i="4" s="1"/>
  <c r="C2265" i="4"/>
  <c r="D2265" i="4" s="1"/>
  <c r="E2265" i="4" s="1"/>
  <c r="F2265" i="4" s="1"/>
  <c r="J2265" i="4"/>
  <c r="J2264" i="4"/>
  <c r="C2264" i="4"/>
  <c r="D2264" i="4" s="1"/>
  <c r="E2264" i="4" s="1"/>
  <c r="F2264" i="4" s="1"/>
  <c r="J2263" i="4"/>
  <c r="C2263" i="4"/>
  <c r="D2263" i="4" s="1"/>
  <c r="E2263" i="4" s="1"/>
  <c r="F2263" i="4" s="1"/>
  <c r="J2262" i="4"/>
  <c r="C2262" i="4"/>
  <c r="D2262" i="4" s="1"/>
  <c r="E2262" i="4" s="1"/>
  <c r="F2262" i="4" s="1"/>
  <c r="J2261" i="4"/>
  <c r="C2261" i="4"/>
  <c r="D2261" i="4" s="1"/>
  <c r="E2261" i="4" s="1"/>
  <c r="F2261" i="4" s="1"/>
  <c r="J2260" i="4"/>
  <c r="C2260" i="4"/>
  <c r="D2260" i="4" s="1"/>
  <c r="E2260" i="4" s="1"/>
  <c r="F2260" i="4" s="1"/>
  <c r="C2259" i="4"/>
  <c r="D2259" i="4" s="1"/>
  <c r="E2259" i="4" s="1"/>
  <c r="F2259" i="4" s="1"/>
  <c r="J2259" i="4"/>
  <c r="J2258" i="4"/>
  <c r="C2258" i="4"/>
  <c r="D2258" i="4" s="1"/>
  <c r="E2258" i="4" s="1"/>
  <c r="F2258" i="4" s="1"/>
  <c r="J2257" i="4"/>
  <c r="C2257" i="4"/>
  <c r="D2257" i="4" s="1"/>
  <c r="E2257" i="4" s="1"/>
  <c r="F2257" i="4" s="1"/>
  <c r="J2256" i="4"/>
  <c r="C2256" i="4"/>
  <c r="D2256" i="4" s="1"/>
  <c r="E2256" i="4" s="1"/>
  <c r="F2256" i="4" s="1"/>
  <c r="J2255" i="4"/>
  <c r="C2255" i="4"/>
  <c r="D2255" i="4" s="1"/>
  <c r="E2255" i="4" s="1"/>
  <c r="F2255" i="4" s="1"/>
  <c r="J2254" i="4"/>
  <c r="C2254" i="4"/>
  <c r="D2254" i="4" s="1"/>
  <c r="E2254" i="4" s="1"/>
  <c r="F2254" i="4" s="1"/>
  <c r="J2253" i="4"/>
  <c r="C2253" i="4"/>
  <c r="D2253" i="4" s="1"/>
  <c r="E2253" i="4" s="1"/>
  <c r="F2253" i="4" s="1"/>
  <c r="C2252" i="4"/>
  <c r="D2252" i="4" s="1"/>
  <c r="E2252" i="4" s="1"/>
  <c r="F2252" i="4" s="1"/>
  <c r="J2252" i="4"/>
  <c r="C2251" i="4"/>
  <c r="D2251" i="4" s="1"/>
  <c r="E2251" i="4" s="1"/>
  <c r="F2251" i="4" s="1"/>
  <c r="J2251" i="4"/>
  <c r="C2250" i="4"/>
  <c r="D2250" i="4" s="1"/>
  <c r="E2250" i="4" s="1"/>
  <c r="F2250" i="4" s="1"/>
  <c r="J2250" i="4"/>
  <c r="C2249" i="4"/>
  <c r="D2249" i="4" s="1"/>
  <c r="E2249" i="4" s="1"/>
  <c r="F2249" i="4" s="1"/>
  <c r="J2249" i="4"/>
  <c r="J2248" i="4"/>
  <c r="C2248" i="4"/>
  <c r="D2248" i="4" s="1"/>
  <c r="E2248" i="4" s="1"/>
  <c r="F2248" i="4" s="1"/>
  <c r="J2247" i="4"/>
  <c r="C2247" i="4"/>
  <c r="D2247" i="4" s="1"/>
  <c r="E2247" i="4" s="1"/>
  <c r="F2247" i="4" s="1"/>
  <c r="C2246" i="4"/>
  <c r="D2246" i="4" s="1"/>
  <c r="E2246" i="4" s="1"/>
  <c r="F2246" i="4" s="1"/>
  <c r="J2246" i="4"/>
  <c r="C2245" i="4"/>
  <c r="D2245" i="4" s="1"/>
  <c r="E2245" i="4" s="1"/>
  <c r="F2245" i="4" s="1"/>
  <c r="J2245" i="4"/>
  <c r="C2244" i="4"/>
  <c r="D2244" i="4" s="1"/>
  <c r="E2244" i="4" s="1"/>
  <c r="F2244" i="4" s="1"/>
  <c r="J2244" i="4"/>
  <c r="J2243" i="4"/>
  <c r="C2243" i="4"/>
  <c r="D2243" i="4" s="1"/>
  <c r="E2243" i="4" s="1"/>
  <c r="F2243" i="4" s="1"/>
  <c r="C2242" i="4"/>
  <c r="D2242" i="4" s="1"/>
  <c r="E2242" i="4" s="1"/>
  <c r="F2242" i="4" s="1"/>
  <c r="J2242" i="4"/>
  <c r="C2241" i="4"/>
  <c r="D2241" i="4" s="1"/>
  <c r="E2241" i="4" s="1"/>
  <c r="F2241" i="4" s="1"/>
  <c r="J2241" i="4"/>
  <c r="J2240" i="4"/>
  <c r="C2240" i="4"/>
  <c r="D2240" i="4" s="1"/>
  <c r="E2240" i="4" s="1"/>
  <c r="F2240" i="4" s="1"/>
  <c r="C2239" i="4"/>
  <c r="D2239" i="4" s="1"/>
  <c r="E2239" i="4" s="1"/>
  <c r="F2239" i="4" s="1"/>
  <c r="J2239" i="4"/>
  <c r="J2238" i="4"/>
  <c r="C2238" i="4"/>
  <c r="D2238" i="4" s="1"/>
  <c r="E2238" i="4" s="1"/>
  <c r="F2238" i="4" s="1"/>
  <c r="J2237" i="4"/>
  <c r="C2237" i="4"/>
  <c r="D2237" i="4" s="1"/>
  <c r="E2237" i="4" s="1"/>
  <c r="F2237" i="4" s="1"/>
  <c r="J2236" i="4"/>
  <c r="C2236" i="4"/>
  <c r="D2236" i="4" s="1"/>
  <c r="E2236" i="4" s="1"/>
  <c r="F2236" i="4" s="1"/>
  <c r="J2235" i="4"/>
  <c r="C2235" i="4"/>
  <c r="D2235" i="4" s="1"/>
  <c r="E2235" i="4" s="1"/>
  <c r="F2235" i="4" s="1"/>
  <c r="J2234" i="4"/>
  <c r="C2234" i="4"/>
  <c r="D2234" i="4" s="1"/>
  <c r="E2234" i="4" s="1"/>
  <c r="F2234" i="4" s="1"/>
  <c r="J2233" i="4"/>
  <c r="C2233" i="4"/>
  <c r="D2233" i="4" s="1"/>
  <c r="E2233" i="4" s="1"/>
  <c r="F2233" i="4" s="1"/>
  <c r="J2232" i="4"/>
  <c r="C2232" i="4"/>
  <c r="D2232" i="4" s="1"/>
  <c r="E2232" i="4" s="1"/>
  <c r="F2232" i="4" s="1"/>
  <c r="J2231" i="4"/>
  <c r="C2231" i="4"/>
  <c r="D2231" i="4" s="1"/>
  <c r="E2231" i="4" s="1"/>
  <c r="F2231" i="4" s="1"/>
  <c r="J2230" i="4"/>
  <c r="C2230" i="4"/>
  <c r="D2230" i="4" s="1"/>
  <c r="E2230" i="4" s="1"/>
  <c r="F2230" i="4" s="1"/>
  <c r="J2229" i="4"/>
  <c r="C2229" i="4"/>
  <c r="D2229" i="4" s="1"/>
  <c r="E2229" i="4" s="1"/>
  <c r="F2229" i="4" s="1"/>
  <c r="J2228" i="4"/>
  <c r="C2228" i="4"/>
  <c r="D2228" i="4" s="1"/>
  <c r="E2228" i="4" s="1"/>
  <c r="F2228" i="4" s="1"/>
  <c r="J2227" i="4"/>
  <c r="C2227" i="4"/>
  <c r="D2227" i="4" s="1"/>
  <c r="E2227" i="4" s="1"/>
  <c r="F2227" i="4" s="1"/>
  <c r="J2226" i="4"/>
  <c r="C2226" i="4"/>
  <c r="D2226" i="4" s="1"/>
  <c r="E2226" i="4" s="1"/>
  <c r="F2226" i="4" s="1"/>
  <c r="J2225" i="4"/>
  <c r="C2225" i="4"/>
  <c r="D2225" i="4" s="1"/>
  <c r="E2225" i="4" s="1"/>
  <c r="F2225" i="4" s="1"/>
  <c r="J2224" i="4"/>
  <c r="C2224" i="4"/>
  <c r="D2224" i="4" s="1"/>
  <c r="E2224" i="4" s="1"/>
  <c r="F2224" i="4" s="1"/>
  <c r="J2223" i="4"/>
  <c r="C2223" i="4"/>
  <c r="D2223" i="4" s="1"/>
  <c r="E2223" i="4" s="1"/>
  <c r="F2223" i="4" s="1"/>
  <c r="J2222" i="4"/>
  <c r="C2222" i="4"/>
  <c r="D2222" i="4" s="1"/>
  <c r="E2222" i="4" s="1"/>
  <c r="F2222" i="4" s="1"/>
  <c r="J2221" i="4"/>
  <c r="C2221" i="4"/>
  <c r="D2221" i="4" s="1"/>
  <c r="E2221" i="4" s="1"/>
  <c r="F2221" i="4" s="1"/>
  <c r="J2220" i="4"/>
  <c r="C2220" i="4"/>
  <c r="D2220" i="4" s="1"/>
  <c r="E2220" i="4" s="1"/>
  <c r="F2220" i="4" s="1"/>
  <c r="J2219" i="4"/>
  <c r="C2219" i="4"/>
  <c r="D2219" i="4" s="1"/>
  <c r="E2219" i="4" s="1"/>
  <c r="F2219" i="4" s="1"/>
  <c r="J2218" i="4"/>
  <c r="C2218" i="4"/>
  <c r="D2218" i="4" s="1"/>
  <c r="E2218" i="4" s="1"/>
  <c r="F2218" i="4" s="1"/>
  <c r="J2217" i="4"/>
  <c r="C2217" i="4"/>
  <c r="D2217" i="4" s="1"/>
  <c r="E2217" i="4" s="1"/>
  <c r="F2217" i="4" s="1"/>
  <c r="J2216" i="4"/>
  <c r="C2216" i="4"/>
  <c r="D2216" i="4" s="1"/>
  <c r="E2216" i="4" s="1"/>
  <c r="F2216" i="4" s="1"/>
  <c r="J2215" i="4"/>
  <c r="C2215" i="4"/>
  <c r="D2215" i="4" s="1"/>
  <c r="E2215" i="4" s="1"/>
  <c r="F2215" i="4" s="1"/>
  <c r="J2214" i="4"/>
  <c r="C2214" i="4"/>
  <c r="D2214" i="4" s="1"/>
  <c r="E2214" i="4" s="1"/>
  <c r="F2214" i="4" s="1"/>
  <c r="C2213" i="4"/>
  <c r="D2213" i="4" s="1"/>
  <c r="E2213" i="4" s="1"/>
  <c r="F2213" i="4" s="1"/>
  <c r="J2213" i="4"/>
  <c r="C2212" i="4"/>
  <c r="D2212" i="4" s="1"/>
  <c r="E2212" i="4" s="1"/>
  <c r="F2212" i="4" s="1"/>
  <c r="J2212" i="4"/>
  <c r="C2211" i="4"/>
  <c r="D2211" i="4" s="1"/>
  <c r="E2211" i="4" s="1"/>
  <c r="F2211" i="4" s="1"/>
  <c r="J2211" i="4"/>
  <c r="C2210" i="4"/>
  <c r="D2210" i="4" s="1"/>
  <c r="E2210" i="4" s="1"/>
  <c r="F2210" i="4" s="1"/>
  <c r="J2210" i="4"/>
  <c r="C2209" i="4"/>
  <c r="D2209" i="4" s="1"/>
  <c r="E2209" i="4" s="1"/>
  <c r="F2209" i="4" s="1"/>
  <c r="J2209" i="4"/>
  <c r="C2208" i="4"/>
  <c r="D2208" i="4" s="1"/>
  <c r="E2208" i="4" s="1"/>
  <c r="F2208" i="4" s="1"/>
  <c r="J2208" i="4"/>
  <c r="C2207" i="4"/>
  <c r="D2207" i="4" s="1"/>
  <c r="E2207" i="4" s="1"/>
  <c r="F2207" i="4" s="1"/>
  <c r="J2207" i="4"/>
  <c r="C2206" i="4"/>
  <c r="D2206" i="4" s="1"/>
  <c r="E2206" i="4" s="1"/>
  <c r="F2206" i="4" s="1"/>
  <c r="J2206" i="4"/>
  <c r="J2205" i="4"/>
  <c r="C2205" i="4"/>
  <c r="D2205" i="4" s="1"/>
  <c r="E2205" i="4" s="1"/>
  <c r="F2205" i="4" s="1"/>
  <c r="J2204" i="4"/>
  <c r="C2204" i="4"/>
  <c r="D2204" i="4" s="1"/>
  <c r="E2204" i="4" s="1"/>
  <c r="F2204" i="4" s="1"/>
  <c r="J2203" i="4"/>
  <c r="C2203" i="4"/>
  <c r="D2203" i="4" s="1"/>
  <c r="E2203" i="4" s="1"/>
  <c r="F2203" i="4" s="1"/>
  <c r="J2202" i="4"/>
  <c r="C2202" i="4"/>
  <c r="D2202" i="4" s="1"/>
  <c r="E2202" i="4" s="1"/>
  <c r="F2202" i="4" s="1"/>
  <c r="C2201" i="4"/>
  <c r="D2201" i="4" s="1"/>
  <c r="E2201" i="4" s="1"/>
  <c r="F2201" i="4" s="1"/>
  <c r="J2201" i="4"/>
  <c r="C2200" i="4"/>
  <c r="D2200" i="4" s="1"/>
  <c r="E2200" i="4" s="1"/>
  <c r="F2200" i="4" s="1"/>
  <c r="J2200" i="4"/>
  <c r="J2199" i="4"/>
  <c r="C2199" i="4"/>
  <c r="D2199" i="4" s="1"/>
  <c r="E2199" i="4" s="1"/>
  <c r="F2199" i="4" s="1"/>
  <c r="C2198" i="4"/>
  <c r="D2198" i="4" s="1"/>
  <c r="E2198" i="4" s="1"/>
  <c r="F2198" i="4" s="1"/>
  <c r="J2198" i="4"/>
  <c r="J2197" i="4"/>
  <c r="C2197" i="4"/>
  <c r="D2197" i="4" s="1"/>
  <c r="E2197" i="4" s="1"/>
  <c r="F2197" i="4" s="1"/>
  <c r="C2196" i="4"/>
  <c r="D2196" i="4" s="1"/>
  <c r="E2196" i="4" s="1"/>
  <c r="F2196" i="4" s="1"/>
  <c r="J2196" i="4"/>
  <c r="J2195" i="4"/>
  <c r="C2195" i="4"/>
  <c r="D2195" i="4" s="1"/>
  <c r="E2195" i="4" s="1"/>
  <c r="F2195" i="4" s="1"/>
  <c r="C2194" i="4"/>
  <c r="D2194" i="4" s="1"/>
  <c r="E2194" i="4" s="1"/>
  <c r="F2194" i="4" s="1"/>
  <c r="J2194" i="4"/>
  <c r="C2193" i="4"/>
  <c r="D2193" i="4" s="1"/>
  <c r="E2193" i="4" s="1"/>
  <c r="F2193" i="4" s="1"/>
  <c r="J2193" i="4"/>
  <c r="J2192" i="4"/>
  <c r="C2192" i="4"/>
  <c r="D2192" i="4" s="1"/>
  <c r="E2192" i="4" s="1"/>
  <c r="F2192" i="4" s="1"/>
  <c r="J2191" i="4"/>
  <c r="C2191" i="4"/>
  <c r="D2191" i="4" s="1"/>
  <c r="E2191" i="4" s="1"/>
  <c r="F2191" i="4" s="1"/>
  <c r="J2190" i="4"/>
  <c r="C2190" i="4"/>
  <c r="D2190" i="4" s="1"/>
  <c r="E2190" i="4" s="1"/>
  <c r="F2190" i="4" s="1"/>
  <c r="J2189" i="4"/>
  <c r="C2189" i="4"/>
  <c r="D2189" i="4" s="1"/>
  <c r="E2189" i="4" s="1"/>
  <c r="F2189" i="4" s="1"/>
  <c r="J2188" i="4"/>
  <c r="C2188" i="4"/>
  <c r="D2188" i="4" s="1"/>
  <c r="E2188" i="4" s="1"/>
  <c r="F2188" i="4" s="1"/>
  <c r="J2187" i="4"/>
  <c r="C2187" i="4"/>
  <c r="D2187" i="4" s="1"/>
  <c r="E2187" i="4" s="1"/>
  <c r="F2187" i="4" s="1"/>
  <c r="J2186" i="4"/>
  <c r="C2186" i="4"/>
  <c r="D2186" i="4" s="1"/>
  <c r="E2186" i="4" s="1"/>
  <c r="F2186" i="4" s="1"/>
  <c r="C2185" i="4"/>
  <c r="D2185" i="4" s="1"/>
  <c r="E2185" i="4" s="1"/>
  <c r="F2185" i="4" s="1"/>
  <c r="J2185" i="4"/>
  <c r="C2184" i="4"/>
  <c r="D2184" i="4" s="1"/>
  <c r="E2184" i="4" s="1"/>
  <c r="F2184" i="4" s="1"/>
  <c r="J2184" i="4"/>
  <c r="C2183" i="4"/>
  <c r="D2183" i="4" s="1"/>
  <c r="E2183" i="4" s="1"/>
  <c r="F2183" i="4" s="1"/>
  <c r="J2183" i="4"/>
  <c r="J2182" i="4"/>
  <c r="C2182" i="4"/>
  <c r="D2182" i="4" s="1"/>
  <c r="E2182" i="4" s="1"/>
  <c r="F2182" i="4" s="1"/>
  <c r="C2181" i="4"/>
  <c r="D2181" i="4" s="1"/>
  <c r="E2181" i="4" s="1"/>
  <c r="F2181" i="4" s="1"/>
  <c r="J2181" i="4"/>
  <c r="C2180" i="4"/>
  <c r="D2180" i="4" s="1"/>
  <c r="E2180" i="4" s="1"/>
  <c r="F2180" i="4" s="1"/>
  <c r="J2180" i="4"/>
  <c r="C2179" i="4"/>
  <c r="D2179" i="4" s="1"/>
  <c r="E2179" i="4" s="1"/>
  <c r="F2179" i="4" s="1"/>
  <c r="J2179" i="4"/>
  <c r="C2178" i="4"/>
  <c r="D2178" i="4" s="1"/>
  <c r="E2178" i="4" s="1"/>
  <c r="F2178" i="4" s="1"/>
  <c r="J2178" i="4"/>
  <c r="C2177" i="4"/>
  <c r="D2177" i="4" s="1"/>
  <c r="E2177" i="4" s="1"/>
  <c r="F2177" i="4" s="1"/>
  <c r="J2177" i="4"/>
  <c r="C2176" i="4"/>
  <c r="D2176" i="4" s="1"/>
  <c r="E2176" i="4" s="1"/>
  <c r="F2176" i="4" s="1"/>
  <c r="J2176" i="4"/>
  <c r="J2175" i="4"/>
  <c r="C2175" i="4"/>
  <c r="D2175" i="4" s="1"/>
  <c r="E2175" i="4" s="1"/>
  <c r="F2175" i="4" s="1"/>
  <c r="C2174" i="4"/>
  <c r="D2174" i="4" s="1"/>
  <c r="E2174" i="4" s="1"/>
  <c r="F2174" i="4" s="1"/>
  <c r="J2174" i="4"/>
  <c r="J2173" i="4"/>
  <c r="C2173" i="4"/>
  <c r="D2173" i="4" s="1"/>
  <c r="E2173" i="4" s="1"/>
  <c r="F2173" i="4" s="1"/>
  <c r="J2172" i="4"/>
  <c r="C2172" i="4"/>
  <c r="D2172" i="4" s="1"/>
  <c r="E2172" i="4" s="1"/>
  <c r="F2172" i="4" s="1"/>
  <c r="J2171" i="4"/>
  <c r="C2171" i="4"/>
  <c r="D2171" i="4" s="1"/>
  <c r="E2171" i="4" s="1"/>
  <c r="F2171" i="4" s="1"/>
  <c r="J2170" i="4"/>
  <c r="C2170" i="4"/>
  <c r="D2170" i="4" s="1"/>
  <c r="E2170" i="4" s="1"/>
  <c r="F2170" i="4" s="1"/>
  <c r="J2169" i="4"/>
  <c r="C2169" i="4"/>
  <c r="D2169" i="4" s="1"/>
  <c r="E2169" i="4" s="1"/>
  <c r="F2169" i="4" s="1"/>
  <c r="J2168" i="4"/>
  <c r="C2168" i="4"/>
  <c r="D2168" i="4" s="1"/>
  <c r="E2168" i="4" s="1"/>
  <c r="F2168" i="4" s="1"/>
  <c r="J2167" i="4"/>
  <c r="C2167" i="4"/>
  <c r="D2167" i="4" s="1"/>
  <c r="E2167" i="4" s="1"/>
  <c r="F2167" i="4" s="1"/>
  <c r="C2166" i="4"/>
  <c r="D2166" i="4" s="1"/>
  <c r="E2166" i="4" s="1"/>
  <c r="F2166" i="4" s="1"/>
  <c r="J2166" i="4"/>
  <c r="J2165" i="4"/>
  <c r="C2165" i="4"/>
  <c r="D2165" i="4" s="1"/>
  <c r="E2165" i="4" s="1"/>
  <c r="F2165" i="4" s="1"/>
  <c r="J2164" i="4"/>
  <c r="C2164" i="4"/>
  <c r="D2164" i="4" s="1"/>
  <c r="E2164" i="4" s="1"/>
  <c r="F2164" i="4" s="1"/>
  <c r="C2163" i="4"/>
  <c r="D2163" i="4" s="1"/>
  <c r="E2163" i="4" s="1"/>
  <c r="F2163" i="4" s="1"/>
  <c r="J2163" i="4"/>
  <c r="C2162" i="4"/>
  <c r="D2162" i="4" s="1"/>
  <c r="E2162" i="4" s="1"/>
  <c r="F2162" i="4" s="1"/>
  <c r="J2162" i="4"/>
  <c r="C2161" i="4"/>
  <c r="D2161" i="4" s="1"/>
  <c r="E2161" i="4" s="1"/>
  <c r="F2161" i="4" s="1"/>
  <c r="J2161" i="4"/>
  <c r="J2160" i="4"/>
  <c r="C2160" i="4"/>
  <c r="D2160" i="4" s="1"/>
  <c r="E2160" i="4" s="1"/>
  <c r="F2160" i="4" s="1"/>
  <c r="J2159" i="4"/>
  <c r="C2159" i="4"/>
  <c r="D2159" i="4" s="1"/>
  <c r="E2159" i="4" s="1"/>
  <c r="F2159" i="4" s="1"/>
  <c r="J2158" i="4"/>
  <c r="C2158" i="4"/>
  <c r="D2158" i="4" s="1"/>
  <c r="E2158" i="4" s="1"/>
  <c r="F2158" i="4" s="1"/>
  <c r="J2157" i="4"/>
  <c r="C2157" i="4"/>
  <c r="D2157" i="4" s="1"/>
  <c r="E2157" i="4" s="1"/>
  <c r="F2157" i="4" s="1"/>
  <c r="C2156" i="4"/>
  <c r="D2156" i="4" s="1"/>
  <c r="E2156" i="4" s="1"/>
  <c r="F2156" i="4" s="1"/>
  <c r="J2156" i="4"/>
  <c r="C2155" i="4"/>
  <c r="D2155" i="4" s="1"/>
  <c r="E2155" i="4" s="1"/>
  <c r="F2155" i="4" s="1"/>
  <c r="J2155" i="4"/>
  <c r="C2154" i="4"/>
  <c r="D2154" i="4" s="1"/>
  <c r="E2154" i="4" s="1"/>
  <c r="F2154" i="4" s="1"/>
  <c r="J2154" i="4"/>
  <c r="J2153" i="4"/>
  <c r="C2153" i="4"/>
  <c r="D2153" i="4" s="1"/>
  <c r="E2153" i="4" s="1"/>
  <c r="F2153" i="4" s="1"/>
  <c r="J2152" i="4"/>
  <c r="C2152" i="4"/>
  <c r="D2152" i="4" s="1"/>
  <c r="E2152" i="4" s="1"/>
  <c r="F2152" i="4" s="1"/>
  <c r="J2151" i="4"/>
  <c r="C2151" i="4"/>
  <c r="D2151" i="4" s="1"/>
  <c r="E2151" i="4" s="1"/>
  <c r="F2151" i="4" s="1"/>
  <c r="J2150" i="4"/>
  <c r="C2150" i="4"/>
  <c r="D2150" i="4" s="1"/>
  <c r="E2150" i="4" s="1"/>
  <c r="F2150" i="4" s="1"/>
  <c r="J2149" i="4"/>
  <c r="C2149" i="4"/>
  <c r="D2149" i="4" s="1"/>
  <c r="E2149" i="4" s="1"/>
  <c r="F2149" i="4" s="1"/>
  <c r="C2148" i="4"/>
  <c r="D2148" i="4" s="1"/>
  <c r="E2148" i="4" s="1"/>
  <c r="F2148" i="4" s="1"/>
  <c r="J2148" i="4"/>
  <c r="C2147" i="4"/>
  <c r="D2147" i="4" s="1"/>
  <c r="E2147" i="4" s="1"/>
  <c r="F2147" i="4" s="1"/>
  <c r="J2147" i="4"/>
  <c r="C2146" i="4"/>
  <c r="D2146" i="4" s="1"/>
  <c r="E2146" i="4" s="1"/>
  <c r="F2146" i="4" s="1"/>
  <c r="J2146" i="4"/>
  <c r="C2145" i="4"/>
  <c r="D2145" i="4" s="1"/>
  <c r="E2145" i="4" s="1"/>
  <c r="F2145" i="4" s="1"/>
  <c r="J2145" i="4"/>
  <c r="J2144" i="4"/>
  <c r="C2144" i="4"/>
  <c r="D2144" i="4" s="1"/>
  <c r="E2144" i="4" s="1"/>
  <c r="F2144" i="4" s="1"/>
  <c r="C2143" i="4"/>
  <c r="D2143" i="4" s="1"/>
  <c r="E2143" i="4" s="1"/>
  <c r="F2143" i="4" s="1"/>
  <c r="J2143" i="4"/>
  <c r="J2142" i="4"/>
  <c r="C2142" i="4"/>
  <c r="D2142" i="4" s="1"/>
  <c r="E2142" i="4" s="1"/>
  <c r="F2142" i="4" s="1"/>
  <c r="J2141" i="4"/>
  <c r="C2141" i="4"/>
  <c r="D2141" i="4" s="1"/>
  <c r="E2141" i="4" s="1"/>
  <c r="F2141" i="4" s="1"/>
  <c r="J2140" i="4"/>
  <c r="C2140" i="4"/>
  <c r="D2140" i="4" s="1"/>
  <c r="E2140" i="4" s="1"/>
  <c r="F2140" i="4" s="1"/>
  <c r="C2139" i="4"/>
  <c r="D2139" i="4" s="1"/>
  <c r="E2139" i="4" s="1"/>
  <c r="F2139" i="4" s="1"/>
  <c r="J2139" i="4"/>
  <c r="C2138" i="4"/>
  <c r="D2138" i="4" s="1"/>
  <c r="E2138" i="4" s="1"/>
  <c r="F2138" i="4" s="1"/>
  <c r="J2138" i="4"/>
  <c r="C2137" i="4"/>
  <c r="D2137" i="4" s="1"/>
  <c r="E2137" i="4" s="1"/>
  <c r="F2137" i="4" s="1"/>
  <c r="J2137" i="4"/>
  <c r="C2136" i="4"/>
  <c r="D2136" i="4" s="1"/>
  <c r="E2136" i="4" s="1"/>
  <c r="F2136" i="4" s="1"/>
  <c r="J2136" i="4"/>
  <c r="C2135" i="4"/>
  <c r="D2135" i="4" s="1"/>
  <c r="E2135" i="4" s="1"/>
  <c r="F2135" i="4" s="1"/>
  <c r="J2135" i="4"/>
  <c r="J2134" i="4"/>
  <c r="C2134" i="4"/>
  <c r="D2134" i="4" s="1"/>
  <c r="E2134" i="4" s="1"/>
  <c r="F2134" i="4" s="1"/>
  <c r="J2133" i="4"/>
  <c r="C2133" i="4"/>
  <c r="D2133" i="4" s="1"/>
  <c r="E2133" i="4" s="1"/>
  <c r="F2133" i="4" s="1"/>
  <c r="C2132" i="4"/>
  <c r="D2132" i="4" s="1"/>
  <c r="E2132" i="4" s="1"/>
  <c r="F2132" i="4" s="1"/>
  <c r="J2132" i="4"/>
  <c r="J2131" i="4"/>
  <c r="C2131" i="4"/>
  <c r="D2131" i="4" s="1"/>
  <c r="E2131" i="4" s="1"/>
  <c r="F2131" i="4" s="1"/>
  <c r="C2130" i="4"/>
  <c r="D2130" i="4" s="1"/>
  <c r="E2130" i="4" s="1"/>
  <c r="F2130" i="4" s="1"/>
  <c r="J2130" i="4"/>
  <c r="C2129" i="4"/>
  <c r="D2129" i="4" s="1"/>
  <c r="E2129" i="4" s="1"/>
  <c r="F2129" i="4" s="1"/>
  <c r="J2129" i="4"/>
  <c r="J2128" i="4"/>
  <c r="C2128" i="4"/>
  <c r="D2128" i="4" s="1"/>
  <c r="E2128" i="4" s="1"/>
  <c r="F2128" i="4" s="1"/>
  <c r="C2127" i="4"/>
  <c r="D2127" i="4" s="1"/>
  <c r="E2127" i="4" s="1"/>
  <c r="F2127" i="4" s="1"/>
  <c r="J2127" i="4"/>
  <c r="C2126" i="4"/>
  <c r="D2126" i="4" s="1"/>
  <c r="E2126" i="4" s="1"/>
  <c r="F2126" i="4" s="1"/>
  <c r="J2126" i="4"/>
  <c r="C2125" i="4"/>
  <c r="D2125" i="4" s="1"/>
  <c r="E2125" i="4" s="1"/>
  <c r="F2125" i="4" s="1"/>
  <c r="J2125" i="4"/>
  <c r="C2124" i="4"/>
  <c r="D2124" i="4" s="1"/>
  <c r="E2124" i="4" s="1"/>
  <c r="F2124" i="4" s="1"/>
  <c r="J2124" i="4"/>
  <c r="J2123" i="4"/>
  <c r="C2123" i="4"/>
  <c r="D2123" i="4" s="1"/>
  <c r="E2123" i="4" s="1"/>
  <c r="F2123" i="4" s="1"/>
  <c r="J2122" i="4"/>
  <c r="C2122" i="4"/>
  <c r="D2122" i="4" s="1"/>
  <c r="E2122" i="4" s="1"/>
  <c r="F2122" i="4" s="1"/>
  <c r="C2121" i="4"/>
  <c r="D2121" i="4" s="1"/>
  <c r="E2121" i="4" s="1"/>
  <c r="F2121" i="4" s="1"/>
  <c r="J2121" i="4"/>
  <c r="C2120" i="4"/>
  <c r="D2120" i="4" s="1"/>
  <c r="E2120" i="4" s="1"/>
  <c r="F2120" i="4" s="1"/>
  <c r="J2120" i="4"/>
  <c r="C2119" i="4"/>
  <c r="D2119" i="4" s="1"/>
  <c r="E2119" i="4" s="1"/>
  <c r="F2119" i="4" s="1"/>
  <c r="J2119" i="4"/>
  <c r="J2118" i="4"/>
  <c r="C2118" i="4"/>
  <c r="D2118" i="4" s="1"/>
  <c r="E2118" i="4" s="1"/>
  <c r="F2118" i="4" s="1"/>
  <c r="J2117" i="4"/>
  <c r="C2117" i="4"/>
  <c r="D2117" i="4" s="1"/>
  <c r="E2117" i="4" s="1"/>
  <c r="F2117" i="4" s="1"/>
  <c r="J2116" i="4"/>
  <c r="C2116" i="4"/>
  <c r="D2116" i="4" s="1"/>
  <c r="E2116" i="4" s="1"/>
  <c r="F2116" i="4" s="1"/>
  <c r="C2115" i="4"/>
  <c r="D2115" i="4" s="1"/>
  <c r="E2115" i="4" s="1"/>
  <c r="F2115" i="4" s="1"/>
  <c r="J2115" i="4"/>
  <c r="J2114" i="4"/>
  <c r="C2114" i="4"/>
  <c r="D2114" i="4" s="1"/>
  <c r="E2114" i="4" s="1"/>
  <c r="F2114" i="4" s="1"/>
  <c r="J2113" i="4"/>
  <c r="C2113" i="4"/>
  <c r="D2113" i="4" s="1"/>
  <c r="E2113" i="4" s="1"/>
  <c r="F2113" i="4" s="1"/>
  <c r="J2112" i="4"/>
  <c r="C2112" i="4"/>
  <c r="D2112" i="4" s="1"/>
  <c r="E2112" i="4" s="1"/>
  <c r="F2112" i="4" s="1"/>
  <c r="J2111" i="4"/>
  <c r="C2111" i="4"/>
  <c r="D2111" i="4" s="1"/>
  <c r="E2111" i="4" s="1"/>
  <c r="F2111" i="4" s="1"/>
  <c r="J2110" i="4"/>
  <c r="C2110" i="4"/>
  <c r="D2110" i="4" s="1"/>
  <c r="E2110" i="4" s="1"/>
  <c r="F2110" i="4" s="1"/>
  <c r="J2109" i="4"/>
  <c r="C2109" i="4"/>
  <c r="D2109" i="4" s="1"/>
  <c r="E2109" i="4" s="1"/>
  <c r="F2109" i="4" s="1"/>
  <c r="C2108" i="4"/>
  <c r="D2108" i="4" s="1"/>
  <c r="E2108" i="4" s="1"/>
  <c r="F2108" i="4" s="1"/>
  <c r="J2108" i="4"/>
  <c r="J2107" i="4"/>
  <c r="C2107" i="4"/>
  <c r="D2107" i="4" s="1"/>
  <c r="E2107" i="4" s="1"/>
  <c r="F2107" i="4" s="1"/>
  <c r="J2106" i="4"/>
  <c r="C2106" i="4"/>
  <c r="D2106" i="4" s="1"/>
  <c r="E2106" i="4" s="1"/>
  <c r="F2106" i="4" s="1"/>
  <c r="C2105" i="4"/>
  <c r="D2105" i="4" s="1"/>
  <c r="E2105" i="4" s="1"/>
  <c r="F2105" i="4" s="1"/>
  <c r="J2105" i="4"/>
  <c r="C2104" i="4"/>
  <c r="D2104" i="4" s="1"/>
  <c r="E2104" i="4" s="1"/>
  <c r="F2104" i="4" s="1"/>
  <c r="J2104" i="4"/>
  <c r="J2103" i="4"/>
  <c r="C2103" i="4"/>
  <c r="D2103" i="4" s="1"/>
  <c r="E2103" i="4" s="1"/>
  <c r="F2103" i="4" s="1"/>
  <c r="J2102" i="4"/>
  <c r="C2102" i="4"/>
  <c r="D2102" i="4" s="1"/>
  <c r="E2102" i="4" s="1"/>
  <c r="F2102" i="4" s="1"/>
  <c r="J2101" i="4"/>
  <c r="C2101" i="4"/>
  <c r="D2101" i="4" s="1"/>
  <c r="E2101" i="4" s="1"/>
  <c r="F2101" i="4" s="1"/>
  <c r="J2100" i="4"/>
  <c r="C2100" i="4"/>
  <c r="D2100" i="4" s="1"/>
  <c r="E2100" i="4" s="1"/>
  <c r="F2100" i="4" s="1"/>
  <c r="C2099" i="4"/>
  <c r="D2099" i="4" s="1"/>
  <c r="E2099" i="4" s="1"/>
  <c r="F2099" i="4" s="1"/>
  <c r="J2099" i="4"/>
  <c r="J2098" i="4"/>
  <c r="C2098" i="4"/>
  <c r="D2098" i="4" s="1"/>
  <c r="E2098" i="4" s="1"/>
  <c r="F2098" i="4" s="1"/>
  <c r="J2097" i="4"/>
  <c r="C2097" i="4"/>
  <c r="D2097" i="4" s="1"/>
  <c r="E2097" i="4" s="1"/>
  <c r="F2097" i="4" s="1"/>
  <c r="J2096" i="4"/>
  <c r="C2096" i="4"/>
  <c r="D2096" i="4" s="1"/>
  <c r="E2096" i="4" s="1"/>
  <c r="F2096" i="4" s="1"/>
  <c r="J2095" i="4"/>
  <c r="C2095" i="4"/>
  <c r="D2095" i="4" s="1"/>
  <c r="E2095" i="4" s="1"/>
  <c r="F2095" i="4" s="1"/>
  <c r="J2094" i="4"/>
  <c r="C2094" i="4"/>
  <c r="D2094" i="4" s="1"/>
  <c r="E2094" i="4" s="1"/>
  <c r="F2094" i="4" s="1"/>
  <c r="J2093" i="4"/>
  <c r="C2093" i="4"/>
  <c r="D2093" i="4" s="1"/>
  <c r="E2093" i="4" s="1"/>
  <c r="F2093" i="4" s="1"/>
  <c r="J2092" i="4"/>
  <c r="C2092" i="4"/>
  <c r="D2092" i="4" s="1"/>
  <c r="E2092" i="4" s="1"/>
  <c r="F2092" i="4" s="1"/>
  <c r="J2091" i="4"/>
  <c r="C2091" i="4"/>
  <c r="D2091" i="4" s="1"/>
  <c r="E2091" i="4" s="1"/>
  <c r="F2091" i="4" s="1"/>
  <c r="J2090" i="4"/>
  <c r="C2090" i="4"/>
  <c r="D2090" i="4" s="1"/>
  <c r="E2090" i="4" s="1"/>
  <c r="F2090" i="4" s="1"/>
  <c r="J2089" i="4"/>
  <c r="C2089" i="4"/>
  <c r="D2089" i="4" s="1"/>
  <c r="E2089" i="4" s="1"/>
  <c r="F2089" i="4" s="1"/>
  <c r="J2088" i="4"/>
  <c r="C2088" i="4"/>
  <c r="D2088" i="4" s="1"/>
  <c r="E2088" i="4" s="1"/>
  <c r="F2088" i="4" s="1"/>
  <c r="J2087" i="4"/>
  <c r="C2087" i="4"/>
  <c r="D2087" i="4" s="1"/>
  <c r="E2087" i="4" s="1"/>
  <c r="F2087" i="4" s="1"/>
  <c r="J2086" i="4"/>
  <c r="C2086" i="4"/>
  <c r="D2086" i="4" s="1"/>
  <c r="E2086" i="4" s="1"/>
  <c r="F2086" i="4" s="1"/>
  <c r="J2085" i="4"/>
  <c r="C2085" i="4"/>
  <c r="D2085" i="4" s="1"/>
  <c r="E2085" i="4" s="1"/>
  <c r="F2085" i="4" s="1"/>
  <c r="J2084" i="4"/>
  <c r="C2084" i="4"/>
  <c r="D2084" i="4" s="1"/>
  <c r="E2084" i="4" s="1"/>
  <c r="F2084" i="4" s="1"/>
  <c r="J2083" i="4"/>
  <c r="C2083" i="4"/>
  <c r="D2083" i="4" s="1"/>
  <c r="E2083" i="4" s="1"/>
  <c r="F2083" i="4" s="1"/>
  <c r="J2082" i="4"/>
  <c r="C2082" i="4"/>
  <c r="D2082" i="4" s="1"/>
  <c r="E2082" i="4" s="1"/>
  <c r="F2082" i="4" s="1"/>
  <c r="J2081" i="4"/>
  <c r="C2081" i="4"/>
  <c r="D2081" i="4" s="1"/>
  <c r="E2081" i="4" s="1"/>
  <c r="F2081" i="4" s="1"/>
  <c r="J2080" i="4"/>
  <c r="C2080" i="4"/>
  <c r="D2080" i="4" s="1"/>
  <c r="E2080" i="4" s="1"/>
  <c r="F2080" i="4" s="1"/>
  <c r="J2079" i="4"/>
  <c r="C2079" i="4"/>
  <c r="D2079" i="4" s="1"/>
  <c r="E2079" i="4" s="1"/>
  <c r="F2079" i="4" s="1"/>
  <c r="C2078" i="4"/>
  <c r="D2078" i="4" s="1"/>
  <c r="E2078" i="4" s="1"/>
  <c r="F2078" i="4" s="1"/>
  <c r="J2078" i="4"/>
  <c r="C2077" i="4"/>
  <c r="D2077" i="4" s="1"/>
  <c r="E2077" i="4" s="1"/>
  <c r="F2077" i="4" s="1"/>
  <c r="J2077" i="4"/>
  <c r="C2076" i="4"/>
  <c r="D2076" i="4" s="1"/>
  <c r="E2076" i="4" s="1"/>
  <c r="F2076" i="4" s="1"/>
  <c r="J2076" i="4"/>
  <c r="C2075" i="4"/>
  <c r="D2075" i="4" s="1"/>
  <c r="E2075" i="4" s="1"/>
  <c r="F2075" i="4" s="1"/>
  <c r="J2075" i="4"/>
  <c r="C2074" i="4"/>
  <c r="D2074" i="4" s="1"/>
  <c r="E2074" i="4" s="1"/>
  <c r="F2074" i="4" s="1"/>
  <c r="J2074" i="4"/>
  <c r="C2073" i="4"/>
  <c r="D2073" i="4" s="1"/>
  <c r="E2073" i="4" s="1"/>
  <c r="F2073" i="4" s="1"/>
  <c r="J2073" i="4"/>
  <c r="C2072" i="4"/>
  <c r="D2072" i="4" s="1"/>
  <c r="E2072" i="4" s="1"/>
  <c r="F2072" i="4" s="1"/>
  <c r="J2072" i="4"/>
  <c r="C2071" i="4"/>
  <c r="D2071" i="4" s="1"/>
  <c r="E2071" i="4" s="1"/>
  <c r="F2071" i="4" s="1"/>
  <c r="J2071" i="4"/>
  <c r="C2070" i="4"/>
  <c r="D2070" i="4" s="1"/>
  <c r="E2070" i="4" s="1"/>
  <c r="F2070" i="4" s="1"/>
  <c r="J2070" i="4"/>
  <c r="C2069" i="4"/>
  <c r="D2069" i="4" s="1"/>
  <c r="E2069" i="4" s="1"/>
  <c r="F2069" i="4" s="1"/>
  <c r="J2069" i="4"/>
  <c r="C2068" i="4"/>
  <c r="D2068" i="4" s="1"/>
  <c r="E2068" i="4" s="1"/>
  <c r="F2068" i="4" s="1"/>
  <c r="J2068" i="4"/>
  <c r="C2067" i="4"/>
  <c r="D2067" i="4" s="1"/>
  <c r="E2067" i="4" s="1"/>
  <c r="F2067" i="4" s="1"/>
  <c r="J2067" i="4"/>
  <c r="C2066" i="4"/>
  <c r="D2066" i="4" s="1"/>
  <c r="E2066" i="4" s="1"/>
  <c r="F2066" i="4" s="1"/>
  <c r="J2066" i="4"/>
  <c r="J2065" i="4"/>
  <c r="C2065" i="4"/>
  <c r="D2065" i="4" s="1"/>
  <c r="E2065" i="4" s="1"/>
  <c r="F2065" i="4" s="1"/>
  <c r="J2064" i="4"/>
  <c r="C2064" i="4"/>
  <c r="D2064" i="4" s="1"/>
  <c r="E2064" i="4" s="1"/>
  <c r="F2064" i="4" s="1"/>
  <c r="J2063" i="4"/>
  <c r="C2063" i="4"/>
  <c r="D2063" i="4" s="1"/>
  <c r="E2063" i="4" s="1"/>
  <c r="F2063" i="4" s="1"/>
  <c r="C2062" i="4"/>
  <c r="D2062" i="4" s="1"/>
  <c r="E2062" i="4" s="1"/>
  <c r="F2062" i="4" s="1"/>
  <c r="J2062" i="4"/>
  <c r="J2061" i="4"/>
  <c r="C2061" i="4"/>
  <c r="D2061" i="4" s="1"/>
  <c r="E2061" i="4" s="1"/>
  <c r="F2061" i="4" s="1"/>
  <c r="J2060" i="4"/>
  <c r="C2060" i="4"/>
  <c r="D2060" i="4" s="1"/>
  <c r="E2060" i="4" s="1"/>
  <c r="F2060" i="4" s="1"/>
  <c r="J2059" i="4"/>
  <c r="C2059" i="4"/>
  <c r="D2059" i="4" s="1"/>
  <c r="E2059" i="4" s="1"/>
  <c r="F2059" i="4" s="1"/>
  <c r="C2058" i="4"/>
  <c r="D2058" i="4" s="1"/>
  <c r="E2058" i="4" s="1"/>
  <c r="F2058" i="4" s="1"/>
  <c r="J2058" i="4"/>
  <c r="J2057" i="4"/>
  <c r="C2057" i="4"/>
  <c r="D2057" i="4" s="1"/>
  <c r="E2057" i="4" s="1"/>
  <c r="F2057" i="4" s="1"/>
  <c r="J2056" i="4"/>
  <c r="C2056" i="4"/>
  <c r="D2056" i="4" s="1"/>
  <c r="E2056" i="4" s="1"/>
  <c r="F2056" i="4" s="1"/>
  <c r="C2055" i="4"/>
  <c r="D2055" i="4" s="1"/>
  <c r="E2055" i="4" s="1"/>
  <c r="F2055" i="4" s="1"/>
  <c r="J2055" i="4"/>
  <c r="J2054" i="4"/>
  <c r="C2054" i="4"/>
  <c r="D2054" i="4" s="1"/>
  <c r="E2054" i="4" s="1"/>
  <c r="F2054" i="4" s="1"/>
  <c r="C2053" i="4"/>
  <c r="D2053" i="4" s="1"/>
  <c r="E2053" i="4" s="1"/>
  <c r="F2053" i="4" s="1"/>
  <c r="J2053" i="4"/>
  <c r="J2052" i="4"/>
  <c r="C2052" i="4"/>
  <c r="D2052" i="4" s="1"/>
  <c r="E2052" i="4" s="1"/>
  <c r="F2052" i="4" s="1"/>
  <c r="J2051" i="4"/>
  <c r="C2051" i="4"/>
  <c r="D2051" i="4" s="1"/>
  <c r="E2051" i="4" s="1"/>
  <c r="F2051" i="4" s="1"/>
  <c r="J2050" i="4"/>
  <c r="C2050" i="4"/>
  <c r="D2050" i="4" s="1"/>
  <c r="E2050" i="4" s="1"/>
  <c r="F2050" i="4" s="1"/>
  <c r="C2049" i="4"/>
  <c r="D2049" i="4" s="1"/>
  <c r="E2049" i="4" s="1"/>
  <c r="F2049" i="4" s="1"/>
  <c r="J2049" i="4"/>
  <c r="C2048" i="4"/>
  <c r="D2048" i="4" s="1"/>
  <c r="E2048" i="4" s="1"/>
  <c r="F2048" i="4" s="1"/>
  <c r="J2048" i="4"/>
  <c r="C2047" i="4"/>
  <c r="D2047" i="4" s="1"/>
  <c r="E2047" i="4" s="1"/>
  <c r="F2047" i="4" s="1"/>
  <c r="J2047" i="4"/>
  <c r="C2046" i="4"/>
  <c r="D2046" i="4" s="1"/>
  <c r="E2046" i="4" s="1"/>
  <c r="F2046" i="4" s="1"/>
  <c r="J2046" i="4"/>
  <c r="C2045" i="4"/>
  <c r="D2045" i="4" s="1"/>
  <c r="E2045" i="4" s="1"/>
  <c r="F2045" i="4" s="1"/>
  <c r="J2045" i="4"/>
  <c r="C2044" i="4"/>
  <c r="D2044" i="4" s="1"/>
  <c r="E2044" i="4" s="1"/>
  <c r="F2044" i="4" s="1"/>
  <c r="J2044" i="4"/>
  <c r="C2043" i="4"/>
  <c r="D2043" i="4" s="1"/>
  <c r="E2043" i="4" s="1"/>
  <c r="F2043" i="4" s="1"/>
  <c r="J2043" i="4"/>
  <c r="J2042" i="4"/>
  <c r="C2042" i="4"/>
  <c r="D2042" i="4" s="1"/>
  <c r="E2042" i="4" s="1"/>
  <c r="F2042" i="4" s="1"/>
  <c r="C2041" i="4"/>
  <c r="D2041" i="4" s="1"/>
  <c r="E2041" i="4" s="1"/>
  <c r="F2041" i="4" s="1"/>
  <c r="J2041" i="4"/>
  <c r="C2040" i="4"/>
  <c r="D2040" i="4" s="1"/>
  <c r="E2040" i="4" s="1"/>
  <c r="F2040" i="4" s="1"/>
  <c r="J2040" i="4"/>
  <c r="J2039" i="4"/>
  <c r="C2039" i="4"/>
  <c r="D2039" i="4" s="1"/>
  <c r="E2039" i="4" s="1"/>
  <c r="F2039" i="4" s="1"/>
  <c r="J2038" i="4"/>
  <c r="C2038" i="4"/>
  <c r="D2038" i="4" s="1"/>
  <c r="E2038" i="4" s="1"/>
  <c r="F2038" i="4" s="1"/>
  <c r="C2037" i="4"/>
  <c r="D2037" i="4" s="1"/>
  <c r="E2037" i="4" s="1"/>
  <c r="F2037" i="4" s="1"/>
  <c r="J2037" i="4"/>
  <c r="C2036" i="4"/>
  <c r="D2036" i="4" s="1"/>
  <c r="E2036" i="4" s="1"/>
  <c r="F2036" i="4" s="1"/>
  <c r="J2036" i="4"/>
  <c r="C2035" i="4"/>
  <c r="D2035" i="4" s="1"/>
  <c r="E2035" i="4" s="1"/>
  <c r="F2035" i="4" s="1"/>
  <c r="J2035" i="4"/>
  <c r="C2034" i="4"/>
  <c r="D2034" i="4" s="1"/>
  <c r="E2034" i="4" s="1"/>
  <c r="F2034" i="4" s="1"/>
  <c r="J2034" i="4"/>
  <c r="C2033" i="4"/>
  <c r="D2033" i="4" s="1"/>
  <c r="E2033" i="4" s="1"/>
  <c r="F2033" i="4" s="1"/>
  <c r="J2033" i="4"/>
  <c r="J2032" i="4"/>
  <c r="C2032" i="4"/>
  <c r="D2032" i="4" s="1"/>
  <c r="E2032" i="4" s="1"/>
  <c r="F2032" i="4" s="1"/>
  <c r="J2031" i="4"/>
  <c r="C2031" i="4"/>
  <c r="D2031" i="4" s="1"/>
  <c r="E2031" i="4" s="1"/>
  <c r="F2031" i="4" s="1"/>
  <c r="J2030" i="4"/>
  <c r="C2030" i="4"/>
  <c r="D2030" i="4" s="1"/>
  <c r="E2030" i="4" s="1"/>
  <c r="F2030" i="4" s="1"/>
  <c r="C2029" i="4"/>
  <c r="D2029" i="4" s="1"/>
  <c r="E2029" i="4" s="1"/>
  <c r="F2029" i="4" s="1"/>
  <c r="J2029" i="4"/>
  <c r="C2028" i="4"/>
  <c r="D2028" i="4" s="1"/>
  <c r="E2028" i="4" s="1"/>
  <c r="F2028" i="4" s="1"/>
  <c r="J2028" i="4"/>
  <c r="C2027" i="4"/>
  <c r="D2027" i="4" s="1"/>
  <c r="E2027" i="4" s="1"/>
  <c r="F2027" i="4" s="1"/>
  <c r="J2027" i="4"/>
  <c r="C2026" i="4"/>
  <c r="D2026" i="4" s="1"/>
  <c r="E2026" i="4" s="1"/>
  <c r="F2026" i="4" s="1"/>
  <c r="J2026" i="4"/>
  <c r="J2025" i="4"/>
  <c r="C2025" i="4"/>
  <c r="D2025" i="4" s="1"/>
  <c r="E2025" i="4" s="1"/>
  <c r="F2025" i="4" s="1"/>
  <c r="J2024" i="4"/>
  <c r="C2024" i="4"/>
  <c r="D2024" i="4" s="1"/>
  <c r="E2024" i="4" s="1"/>
  <c r="F2024" i="4" s="1"/>
  <c r="C2023" i="4"/>
  <c r="D2023" i="4" s="1"/>
  <c r="E2023" i="4" s="1"/>
  <c r="F2023" i="4" s="1"/>
  <c r="J2023" i="4"/>
  <c r="J2022" i="4"/>
  <c r="C2022" i="4"/>
  <c r="D2022" i="4" s="1"/>
  <c r="E2022" i="4" s="1"/>
  <c r="F2022" i="4" s="1"/>
  <c r="C2021" i="4"/>
  <c r="D2021" i="4" s="1"/>
  <c r="E2021" i="4" s="1"/>
  <c r="F2021" i="4" s="1"/>
  <c r="J2021" i="4"/>
  <c r="J2020" i="4"/>
  <c r="C2020" i="4"/>
  <c r="D2020" i="4" s="1"/>
  <c r="E2020" i="4" s="1"/>
  <c r="F2020" i="4" s="1"/>
  <c r="J2019" i="4"/>
  <c r="C2019" i="4"/>
  <c r="D2019" i="4" s="1"/>
  <c r="E2019" i="4" s="1"/>
  <c r="F2019" i="4" s="1"/>
  <c r="J2018" i="4"/>
  <c r="C2018" i="4"/>
  <c r="D2018" i="4" s="1"/>
  <c r="E2018" i="4" s="1"/>
  <c r="F2018" i="4" s="1"/>
  <c r="J2017" i="4"/>
  <c r="C2017" i="4"/>
  <c r="D2017" i="4" s="1"/>
  <c r="E2017" i="4" s="1"/>
  <c r="F2017" i="4" s="1"/>
  <c r="C2016" i="4"/>
  <c r="D2016" i="4" s="1"/>
  <c r="E2016" i="4" s="1"/>
  <c r="F2016" i="4" s="1"/>
  <c r="J2016" i="4"/>
  <c r="J2015" i="4"/>
  <c r="C2015" i="4"/>
  <c r="D2015" i="4" s="1"/>
  <c r="E2015" i="4" s="1"/>
  <c r="F2015" i="4" s="1"/>
  <c r="J2014" i="4"/>
  <c r="C2014" i="4"/>
  <c r="D2014" i="4" s="1"/>
  <c r="E2014" i="4" s="1"/>
  <c r="F2014" i="4" s="1"/>
  <c r="J2013" i="4"/>
  <c r="C2013" i="4"/>
  <c r="D2013" i="4" s="1"/>
  <c r="E2013" i="4" s="1"/>
  <c r="F2013" i="4" s="1"/>
  <c r="C2012" i="4"/>
  <c r="D2012" i="4" s="1"/>
  <c r="E2012" i="4" s="1"/>
  <c r="F2012" i="4" s="1"/>
  <c r="J2012" i="4"/>
  <c r="C2011" i="4"/>
  <c r="D2011" i="4" s="1"/>
  <c r="E2011" i="4" s="1"/>
  <c r="F2011" i="4" s="1"/>
  <c r="J2011" i="4"/>
  <c r="C2010" i="4"/>
  <c r="D2010" i="4" s="1"/>
  <c r="E2010" i="4" s="1"/>
  <c r="F2010" i="4" s="1"/>
  <c r="J2010" i="4"/>
  <c r="C2009" i="4"/>
  <c r="D2009" i="4" s="1"/>
  <c r="E2009" i="4" s="1"/>
  <c r="F2009" i="4" s="1"/>
  <c r="J2009" i="4"/>
  <c r="C2008" i="4"/>
  <c r="D2008" i="4" s="1"/>
  <c r="E2008" i="4" s="1"/>
  <c r="F2008" i="4" s="1"/>
  <c r="J2008" i="4"/>
  <c r="C2007" i="4"/>
  <c r="D2007" i="4" s="1"/>
  <c r="E2007" i="4" s="1"/>
  <c r="F2007" i="4" s="1"/>
  <c r="J2007" i="4"/>
  <c r="C2006" i="4"/>
  <c r="D2006" i="4" s="1"/>
  <c r="E2006" i="4" s="1"/>
  <c r="F2006" i="4" s="1"/>
  <c r="J2006" i="4"/>
  <c r="C2005" i="4"/>
  <c r="D2005" i="4" s="1"/>
  <c r="E2005" i="4" s="1"/>
  <c r="F2005" i="4" s="1"/>
  <c r="J2005" i="4"/>
  <c r="J2004" i="4"/>
  <c r="C2004" i="4"/>
  <c r="D2004" i="4" s="1"/>
  <c r="E2004" i="4" s="1"/>
  <c r="F2004" i="4" s="1"/>
  <c r="J2003" i="4"/>
  <c r="C2003" i="4"/>
  <c r="D2003" i="4" s="1"/>
  <c r="E2003" i="4" s="1"/>
  <c r="F2003" i="4" s="1"/>
  <c r="J2002" i="4"/>
  <c r="C2002" i="4"/>
  <c r="D2002" i="4" s="1"/>
  <c r="E2002" i="4" s="1"/>
  <c r="F2002" i="4" s="1"/>
  <c r="J2001" i="4"/>
  <c r="C2001" i="4"/>
  <c r="D2001" i="4" s="1"/>
  <c r="E2001" i="4" s="1"/>
  <c r="F2001" i="4" s="1"/>
  <c r="C2000" i="4"/>
  <c r="D2000" i="4" s="1"/>
  <c r="E2000" i="4" s="1"/>
  <c r="F2000" i="4" s="1"/>
  <c r="J2000" i="4"/>
  <c r="C1999" i="4"/>
  <c r="D1999" i="4" s="1"/>
  <c r="E1999" i="4" s="1"/>
  <c r="F1999" i="4" s="1"/>
  <c r="J1999" i="4"/>
  <c r="C1998" i="4"/>
  <c r="D1998" i="4" s="1"/>
  <c r="E1998" i="4" s="1"/>
  <c r="F1998" i="4" s="1"/>
  <c r="J1998" i="4"/>
  <c r="J1997" i="4"/>
  <c r="C1997" i="4"/>
  <c r="D1997" i="4" s="1"/>
  <c r="E1997" i="4" s="1"/>
  <c r="F1997" i="4" s="1"/>
  <c r="J1996" i="4"/>
  <c r="C1996" i="4"/>
  <c r="D1996" i="4" s="1"/>
  <c r="E1996" i="4" s="1"/>
  <c r="F1996" i="4" s="1"/>
  <c r="J1995" i="4"/>
  <c r="C1995" i="4"/>
  <c r="D1995" i="4" s="1"/>
  <c r="E1995" i="4" s="1"/>
  <c r="F1995" i="4" s="1"/>
  <c r="J1994" i="4"/>
  <c r="C1994" i="4"/>
  <c r="D1994" i="4" s="1"/>
  <c r="E1994" i="4" s="1"/>
  <c r="F1994" i="4" s="1"/>
  <c r="J1993" i="4"/>
  <c r="C1993" i="4"/>
  <c r="D1993" i="4" s="1"/>
  <c r="E1993" i="4" s="1"/>
  <c r="F1993" i="4" s="1"/>
  <c r="C1992" i="4"/>
  <c r="D1992" i="4" s="1"/>
  <c r="E1992" i="4" s="1"/>
  <c r="F1992" i="4" s="1"/>
  <c r="J1992" i="4"/>
  <c r="J1991" i="4"/>
  <c r="C1991" i="4"/>
  <c r="D1991" i="4" s="1"/>
  <c r="E1991" i="4" s="1"/>
  <c r="F1991" i="4" s="1"/>
  <c r="J1990" i="4"/>
  <c r="C1990" i="4"/>
  <c r="D1990" i="4" s="1"/>
  <c r="E1990" i="4" s="1"/>
  <c r="F1990" i="4" s="1"/>
  <c r="J1989" i="4"/>
  <c r="C1989" i="4"/>
  <c r="D1989" i="4" s="1"/>
  <c r="E1989" i="4" s="1"/>
  <c r="F1989" i="4" s="1"/>
  <c r="J1988" i="4"/>
  <c r="C1988" i="4"/>
  <c r="D1988" i="4" s="1"/>
  <c r="E1988" i="4" s="1"/>
  <c r="F1988" i="4" s="1"/>
  <c r="J1987" i="4"/>
  <c r="C1987" i="4"/>
  <c r="D1987" i="4" s="1"/>
  <c r="E1987" i="4" s="1"/>
  <c r="F1987" i="4" s="1"/>
  <c r="J1986" i="4"/>
  <c r="C1986" i="4"/>
  <c r="D1986" i="4" s="1"/>
  <c r="E1986" i="4" s="1"/>
  <c r="F1986" i="4" s="1"/>
  <c r="J1985" i="4"/>
  <c r="C1985" i="4"/>
  <c r="D1985" i="4" s="1"/>
  <c r="E1985" i="4" s="1"/>
  <c r="F1985" i="4" s="1"/>
  <c r="J1984" i="4"/>
  <c r="C1984" i="4"/>
  <c r="D1984" i="4" s="1"/>
  <c r="E1984" i="4" s="1"/>
  <c r="F1984" i="4" s="1"/>
  <c r="J1983" i="4"/>
  <c r="C1983" i="4"/>
  <c r="D1983" i="4" s="1"/>
  <c r="E1983" i="4" s="1"/>
  <c r="F1983" i="4" s="1"/>
  <c r="J1982" i="4"/>
  <c r="C1982" i="4"/>
  <c r="D1982" i="4" s="1"/>
  <c r="E1982" i="4" s="1"/>
  <c r="F1982" i="4" s="1"/>
  <c r="J1981" i="4"/>
  <c r="C1981" i="4"/>
  <c r="D1981" i="4" s="1"/>
  <c r="E1981" i="4" s="1"/>
  <c r="F1981" i="4" s="1"/>
  <c r="J1980" i="4"/>
  <c r="C1980" i="4"/>
  <c r="D1980" i="4" s="1"/>
  <c r="E1980" i="4" s="1"/>
  <c r="F1980" i="4" s="1"/>
  <c r="J1979" i="4"/>
  <c r="C1979" i="4"/>
  <c r="D1979" i="4" s="1"/>
  <c r="E1979" i="4" s="1"/>
  <c r="F1979" i="4" s="1"/>
  <c r="J1978" i="4"/>
  <c r="C1978" i="4"/>
  <c r="D1978" i="4" s="1"/>
  <c r="E1978" i="4" s="1"/>
  <c r="F1978" i="4" s="1"/>
  <c r="J1977" i="4"/>
  <c r="C1977" i="4"/>
  <c r="D1977" i="4" s="1"/>
  <c r="E1977" i="4" s="1"/>
  <c r="F1977" i="4" s="1"/>
  <c r="C1976" i="4"/>
  <c r="D1976" i="4" s="1"/>
  <c r="E1976" i="4" s="1"/>
  <c r="F1976" i="4" s="1"/>
  <c r="J1976" i="4"/>
  <c r="C1975" i="4"/>
  <c r="D1975" i="4" s="1"/>
  <c r="E1975" i="4" s="1"/>
  <c r="F1975" i="4" s="1"/>
  <c r="J1975" i="4"/>
  <c r="C1974" i="4"/>
  <c r="D1974" i="4" s="1"/>
  <c r="E1974" i="4" s="1"/>
  <c r="F1974" i="4" s="1"/>
  <c r="J1974" i="4"/>
  <c r="J1973" i="4"/>
  <c r="C1973" i="4"/>
  <c r="D1973" i="4" s="1"/>
  <c r="E1973" i="4" s="1"/>
  <c r="F1973" i="4" s="1"/>
  <c r="C1972" i="4"/>
  <c r="D1972" i="4" s="1"/>
  <c r="E1972" i="4" s="1"/>
  <c r="F1972" i="4" s="1"/>
  <c r="J1972" i="4"/>
  <c r="C1971" i="4"/>
  <c r="D1971" i="4" s="1"/>
  <c r="E1971" i="4" s="1"/>
  <c r="F1971" i="4" s="1"/>
  <c r="J1971" i="4"/>
  <c r="J1970" i="4"/>
  <c r="C1970" i="4"/>
  <c r="D1970" i="4" s="1"/>
  <c r="E1970" i="4" s="1"/>
  <c r="F1970" i="4" s="1"/>
  <c r="J1969" i="4"/>
  <c r="C1969" i="4"/>
  <c r="D1969" i="4" s="1"/>
  <c r="E1969" i="4" s="1"/>
  <c r="F1969" i="4" s="1"/>
  <c r="C1968" i="4"/>
  <c r="D1968" i="4" s="1"/>
  <c r="E1968" i="4" s="1"/>
  <c r="F1968" i="4" s="1"/>
  <c r="J1968" i="4"/>
  <c r="C1967" i="4"/>
  <c r="D1967" i="4" s="1"/>
  <c r="E1967" i="4" s="1"/>
  <c r="F1967" i="4" s="1"/>
  <c r="J1967" i="4"/>
  <c r="J1966" i="4"/>
  <c r="C1966" i="4"/>
  <c r="D1966" i="4" s="1"/>
  <c r="E1966" i="4" s="1"/>
  <c r="F1966" i="4" s="1"/>
  <c r="C1965" i="4"/>
  <c r="D1965" i="4" s="1"/>
  <c r="E1965" i="4" s="1"/>
  <c r="F1965" i="4" s="1"/>
  <c r="J1965" i="4"/>
  <c r="C1964" i="4"/>
  <c r="D1964" i="4" s="1"/>
  <c r="E1964" i="4" s="1"/>
  <c r="F1964" i="4" s="1"/>
  <c r="J1964" i="4"/>
  <c r="J1963" i="4"/>
  <c r="C1963" i="4"/>
  <c r="D1963" i="4" s="1"/>
  <c r="E1963" i="4" s="1"/>
  <c r="F1963" i="4" s="1"/>
  <c r="C1962" i="4"/>
  <c r="D1962" i="4" s="1"/>
  <c r="E1962" i="4" s="1"/>
  <c r="F1962" i="4" s="1"/>
  <c r="J1962" i="4"/>
  <c r="C1961" i="4"/>
  <c r="D1961" i="4" s="1"/>
  <c r="E1961" i="4" s="1"/>
  <c r="F1961" i="4" s="1"/>
  <c r="J1961" i="4"/>
  <c r="C1960" i="4"/>
  <c r="D1960" i="4" s="1"/>
  <c r="E1960" i="4" s="1"/>
  <c r="F1960" i="4" s="1"/>
  <c r="J1960" i="4"/>
  <c r="J1959" i="4"/>
  <c r="C1959" i="4"/>
  <c r="D1959" i="4" s="1"/>
  <c r="E1959" i="4" s="1"/>
  <c r="F1959" i="4" s="1"/>
  <c r="J1958" i="4"/>
  <c r="C1958" i="4"/>
  <c r="D1958" i="4" s="1"/>
  <c r="E1958" i="4" s="1"/>
  <c r="F1958" i="4" s="1"/>
  <c r="J1957" i="4"/>
  <c r="C1957" i="4"/>
  <c r="D1957" i="4" s="1"/>
  <c r="E1957" i="4" s="1"/>
  <c r="F1957" i="4" s="1"/>
  <c r="J1956" i="4"/>
  <c r="C1956" i="4"/>
  <c r="D1956" i="4" s="1"/>
  <c r="E1956" i="4" s="1"/>
  <c r="F1956" i="4" s="1"/>
  <c r="J1955" i="4"/>
  <c r="C1955" i="4"/>
  <c r="D1955" i="4" s="1"/>
  <c r="E1955" i="4" s="1"/>
  <c r="F1955" i="4" s="1"/>
  <c r="C1954" i="4"/>
  <c r="D1954" i="4" s="1"/>
  <c r="E1954" i="4" s="1"/>
  <c r="F1954" i="4" s="1"/>
  <c r="J1954" i="4"/>
  <c r="J1953" i="4"/>
  <c r="C1953" i="4"/>
  <c r="D1953" i="4" s="1"/>
  <c r="E1953" i="4" s="1"/>
  <c r="F1953" i="4" s="1"/>
  <c r="C1952" i="4"/>
  <c r="D1952" i="4" s="1"/>
  <c r="E1952" i="4" s="1"/>
  <c r="F1952" i="4" s="1"/>
  <c r="J1952" i="4"/>
  <c r="C1951" i="4"/>
  <c r="D1951" i="4" s="1"/>
  <c r="E1951" i="4" s="1"/>
  <c r="F1951" i="4" s="1"/>
  <c r="J1951" i="4"/>
  <c r="C1950" i="4"/>
  <c r="D1950" i="4" s="1"/>
  <c r="E1950" i="4" s="1"/>
  <c r="F1950" i="4" s="1"/>
  <c r="J1950" i="4"/>
  <c r="C1949" i="4"/>
  <c r="D1949" i="4" s="1"/>
  <c r="E1949" i="4" s="1"/>
  <c r="F1949" i="4" s="1"/>
  <c r="J1949" i="4"/>
  <c r="J1948" i="4"/>
  <c r="C1948" i="4"/>
  <c r="D1948" i="4" s="1"/>
  <c r="E1948" i="4" s="1"/>
  <c r="F1948" i="4" s="1"/>
  <c r="C1947" i="4"/>
  <c r="D1947" i="4" s="1"/>
  <c r="E1947" i="4" s="1"/>
  <c r="F1947" i="4" s="1"/>
  <c r="J1947" i="4"/>
  <c r="J1946" i="4"/>
  <c r="C1946" i="4"/>
  <c r="D1946" i="4" s="1"/>
  <c r="E1946" i="4" s="1"/>
  <c r="F1946" i="4" s="1"/>
  <c r="J1945" i="4"/>
  <c r="C1945" i="4"/>
  <c r="D1945" i="4" s="1"/>
  <c r="E1945" i="4" s="1"/>
  <c r="F1945" i="4" s="1"/>
  <c r="C1944" i="4"/>
  <c r="D1944" i="4" s="1"/>
  <c r="E1944" i="4" s="1"/>
  <c r="F1944" i="4" s="1"/>
  <c r="J1944" i="4"/>
  <c r="C1943" i="4"/>
  <c r="D1943" i="4" s="1"/>
  <c r="E1943" i="4" s="1"/>
  <c r="F1943" i="4" s="1"/>
  <c r="J1943" i="4"/>
  <c r="J1942" i="4"/>
  <c r="C1942" i="4"/>
  <c r="D1942" i="4" s="1"/>
  <c r="E1942" i="4" s="1"/>
  <c r="F1942" i="4" s="1"/>
  <c r="C1941" i="4"/>
  <c r="D1941" i="4" s="1"/>
  <c r="E1941" i="4" s="1"/>
  <c r="F1941" i="4" s="1"/>
  <c r="J1941" i="4"/>
  <c r="J1940" i="4"/>
  <c r="C1940" i="4"/>
  <c r="D1940" i="4" s="1"/>
  <c r="E1940" i="4" s="1"/>
  <c r="F1940" i="4" s="1"/>
  <c r="J1939" i="4"/>
  <c r="C1939" i="4"/>
  <c r="D1939" i="4" s="1"/>
  <c r="E1939" i="4" s="1"/>
  <c r="F1939" i="4" s="1"/>
  <c r="J1938" i="4"/>
  <c r="C1938" i="4"/>
  <c r="D1938" i="4" s="1"/>
  <c r="E1938" i="4" s="1"/>
  <c r="F1938" i="4" s="1"/>
  <c r="J1937" i="4"/>
  <c r="C1937" i="4"/>
  <c r="D1937" i="4" s="1"/>
  <c r="E1937" i="4" s="1"/>
  <c r="F1937" i="4" s="1"/>
  <c r="C1936" i="4"/>
  <c r="D1936" i="4" s="1"/>
  <c r="E1936" i="4" s="1"/>
  <c r="F1936" i="4" s="1"/>
  <c r="J1936" i="4"/>
  <c r="J1935" i="4"/>
  <c r="C1935" i="4"/>
  <c r="D1935" i="4" s="1"/>
  <c r="E1935" i="4" s="1"/>
  <c r="F1935" i="4" s="1"/>
  <c r="J1934" i="4"/>
  <c r="C1934" i="4"/>
  <c r="D1934" i="4" s="1"/>
  <c r="E1934" i="4" s="1"/>
  <c r="F1934" i="4" s="1"/>
  <c r="C1933" i="4"/>
  <c r="D1933" i="4" s="1"/>
  <c r="E1933" i="4" s="1"/>
  <c r="F1933" i="4" s="1"/>
  <c r="J1933" i="4"/>
  <c r="C1932" i="4"/>
  <c r="D1932" i="4" s="1"/>
  <c r="E1932" i="4" s="1"/>
  <c r="F1932" i="4" s="1"/>
  <c r="J1932" i="4"/>
  <c r="J1931" i="4"/>
  <c r="C1931" i="4"/>
  <c r="D1931" i="4" s="1"/>
  <c r="E1931" i="4" s="1"/>
  <c r="F1931" i="4" s="1"/>
  <c r="J1930" i="4"/>
  <c r="C1930" i="4"/>
  <c r="D1930" i="4" s="1"/>
  <c r="E1930" i="4" s="1"/>
  <c r="F1930" i="4" s="1"/>
  <c r="J1929" i="4"/>
  <c r="C1929" i="4"/>
  <c r="D1929" i="4" s="1"/>
  <c r="E1929" i="4" s="1"/>
  <c r="F1929" i="4" s="1"/>
  <c r="J1928" i="4"/>
  <c r="C1928" i="4"/>
  <c r="D1928" i="4" s="1"/>
  <c r="E1928" i="4" s="1"/>
  <c r="F1928" i="4" s="1"/>
  <c r="C1927" i="4"/>
  <c r="D1927" i="4" s="1"/>
  <c r="E1927" i="4" s="1"/>
  <c r="F1927" i="4" s="1"/>
  <c r="J1927" i="4"/>
  <c r="C1926" i="4"/>
  <c r="D1926" i="4" s="1"/>
  <c r="E1926" i="4" s="1"/>
  <c r="F1926" i="4" s="1"/>
  <c r="J1926" i="4"/>
  <c r="J1925" i="4"/>
  <c r="C1925" i="4"/>
  <c r="D1925" i="4" s="1"/>
  <c r="E1925" i="4" s="1"/>
  <c r="F1925" i="4" s="1"/>
  <c r="C1924" i="4"/>
  <c r="D1924" i="4" s="1"/>
  <c r="E1924" i="4" s="1"/>
  <c r="F1924" i="4" s="1"/>
  <c r="J1924" i="4"/>
  <c r="C1923" i="4"/>
  <c r="D1923" i="4" s="1"/>
  <c r="E1923" i="4" s="1"/>
  <c r="F1923" i="4" s="1"/>
  <c r="J1923" i="4"/>
  <c r="J1922" i="4"/>
  <c r="C1922" i="4"/>
  <c r="D1922" i="4" s="1"/>
  <c r="E1922" i="4" s="1"/>
  <c r="F1922" i="4" s="1"/>
  <c r="J1921" i="4"/>
  <c r="C1921" i="4"/>
  <c r="D1921" i="4" s="1"/>
  <c r="E1921" i="4" s="1"/>
  <c r="F1921" i="4" s="1"/>
  <c r="J1920" i="4"/>
  <c r="C1920" i="4"/>
  <c r="D1920" i="4" s="1"/>
  <c r="E1920" i="4" s="1"/>
  <c r="F1920" i="4" s="1"/>
  <c r="J1919" i="4"/>
  <c r="C1919" i="4"/>
  <c r="D1919" i="4" s="1"/>
  <c r="E1919" i="4" s="1"/>
  <c r="F1919" i="4" s="1"/>
  <c r="J1918" i="4"/>
  <c r="C1918" i="4"/>
  <c r="D1918" i="4" s="1"/>
  <c r="E1918" i="4" s="1"/>
  <c r="F1918" i="4" s="1"/>
  <c r="J1917" i="4"/>
  <c r="C1917" i="4"/>
  <c r="D1917" i="4" s="1"/>
  <c r="E1917" i="4" s="1"/>
  <c r="F1917" i="4" s="1"/>
  <c r="J1916" i="4"/>
  <c r="C1916" i="4"/>
  <c r="D1916" i="4" s="1"/>
  <c r="E1916" i="4" s="1"/>
  <c r="F1916" i="4" s="1"/>
  <c r="C1915" i="4"/>
  <c r="D1915" i="4" s="1"/>
  <c r="E1915" i="4" s="1"/>
  <c r="F1915" i="4" s="1"/>
  <c r="J1915" i="4"/>
  <c r="C1914" i="4"/>
  <c r="D1914" i="4" s="1"/>
  <c r="E1914" i="4" s="1"/>
  <c r="F1914" i="4" s="1"/>
  <c r="J1914" i="4"/>
  <c r="C1913" i="4"/>
  <c r="D1913" i="4" s="1"/>
  <c r="E1913" i="4" s="1"/>
  <c r="F1913" i="4" s="1"/>
  <c r="J1913" i="4"/>
  <c r="C1912" i="4"/>
  <c r="D1912" i="4" s="1"/>
  <c r="E1912" i="4" s="1"/>
  <c r="F1912" i="4" s="1"/>
  <c r="J1912" i="4"/>
  <c r="C1911" i="4"/>
  <c r="D1911" i="4" s="1"/>
  <c r="E1911" i="4" s="1"/>
  <c r="F1911" i="4" s="1"/>
  <c r="J1911" i="4"/>
  <c r="C1910" i="4"/>
  <c r="D1910" i="4" s="1"/>
  <c r="E1910" i="4" s="1"/>
  <c r="F1910" i="4" s="1"/>
  <c r="J1910" i="4"/>
  <c r="C1909" i="4"/>
  <c r="D1909" i="4" s="1"/>
  <c r="E1909" i="4" s="1"/>
  <c r="F1909" i="4" s="1"/>
  <c r="J1909" i="4"/>
  <c r="J1908" i="4"/>
  <c r="C1908" i="4"/>
  <c r="D1908" i="4" s="1"/>
  <c r="E1908" i="4" s="1"/>
  <c r="F1908" i="4" s="1"/>
  <c r="J1907" i="4"/>
  <c r="C1907" i="4"/>
  <c r="D1907" i="4" s="1"/>
  <c r="E1907" i="4" s="1"/>
  <c r="F1907" i="4" s="1"/>
  <c r="C1906" i="4"/>
  <c r="D1906" i="4" s="1"/>
  <c r="E1906" i="4" s="1"/>
  <c r="F1906" i="4" s="1"/>
  <c r="J1906" i="4"/>
  <c r="C1905" i="4"/>
  <c r="D1905" i="4" s="1"/>
  <c r="E1905" i="4" s="1"/>
  <c r="F1905" i="4" s="1"/>
  <c r="J1905" i="4"/>
  <c r="C1904" i="4"/>
  <c r="D1904" i="4" s="1"/>
  <c r="E1904" i="4" s="1"/>
  <c r="F1904" i="4" s="1"/>
  <c r="J1904" i="4"/>
  <c r="C1903" i="4"/>
  <c r="D1903" i="4" s="1"/>
  <c r="E1903" i="4" s="1"/>
  <c r="F1903" i="4" s="1"/>
  <c r="J1903" i="4"/>
  <c r="J1902" i="4"/>
  <c r="C1902" i="4"/>
  <c r="D1902" i="4" s="1"/>
  <c r="E1902" i="4" s="1"/>
  <c r="F1902" i="4" s="1"/>
  <c r="C1901" i="4"/>
  <c r="D1901" i="4" s="1"/>
  <c r="E1901" i="4" s="1"/>
  <c r="F1901" i="4" s="1"/>
  <c r="J1901" i="4"/>
  <c r="C1900" i="4"/>
  <c r="D1900" i="4" s="1"/>
  <c r="E1900" i="4" s="1"/>
  <c r="F1900" i="4" s="1"/>
  <c r="J1900" i="4"/>
  <c r="C1899" i="4"/>
  <c r="D1899" i="4" s="1"/>
  <c r="E1899" i="4" s="1"/>
  <c r="F1899" i="4" s="1"/>
  <c r="J1899" i="4"/>
  <c r="C1898" i="4"/>
  <c r="D1898" i="4" s="1"/>
  <c r="E1898" i="4" s="1"/>
  <c r="F1898" i="4" s="1"/>
  <c r="J1898" i="4"/>
  <c r="C1897" i="4"/>
  <c r="D1897" i="4" s="1"/>
  <c r="E1897" i="4" s="1"/>
  <c r="F1897" i="4" s="1"/>
  <c r="J1897" i="4"/>
  <c r="J1896" i="4"/>
  <c r="C1896" i="4"/>
  <c r="D1896" i="4" s="1"/>
  <c r="E1896" i="4" s="1"/>
  <c r="F1896" i="4" s="1"/>
  <c r="C1895" i="4"/>
  <c r="D1895" i="4" s="1"/>
  <c r="E1895" i="4" s="1"/>
  <c r="F1895" i="4" s="1"/>
  <c r="J1895" i="4"/>
  <c r="J1894" i="4"/>
  <c r="C1894" i="4"/>
  <c r="D1894" i="4" s="1"/>
  <c r="E1894" i="4" s="1"/>
  <c r="F1894" i="4" s="1"/>
  <c r="J1893" i="4"/>
  <c r="C1893" i="4"/>
  <c r="D1893" i="4" s="1"/>
  <c r="E1893" i="4" s="1"/>
  <c r="F1893" i="4" s="1"/>
  <c r="J1892" i="4"/>
  <c r="C1892" i="4"/>
  <c r="D1892" i="4" s="1"/>
  <c r="E1892" i="4" s="1"/>
  <c r="F1892" i="4" s="1"/>
  <c r="J1891" i="4"/>
  <c r="C1891" i="4"/>
  <c r="D1891" i="4" s="1"/>
  <c r="E1891" i="4" s="1"/>
  <c r="F1891" i="4" s="1"/>
  <c r="J1890" i="4"/>
  <c r="C1890" i="4"/>
  <c r="D1890" i="4" s="1"/>
  <c r="E1890" i="4" s="1"/>
  <c r="F1890" i="4" s="1"/>
  <c r="C1889" i="4"/>
  <c r="D1889" i="4" s="1"/>
  <c r="E1889" i="4" s="1"/>
  <c r="F1889" i="4" s="1"/>
  <c r="J1889" i="4"/>
  <c r="J1888" i="4"/>
  <c r="C1888" i="4"/>
  <c r="D1888" i="4" s="1"/>
  <c r="E1888" i="4" s="1"/>
  <c r="F1888" i="4" s="1"/>
  <c r="J1887" i="4"/>
  <c r="C1887" i="4"/>
  <c r="D1887" i="4" s="1"/>
  <c r="E1887" i="4" s="1"/>
  <c r="F1887" i="4" s="1"/>
  <c r="J1886" i="4"/>
  <c r="C1886" i="4"/>
  <c r="D1886" i="4" s="1"/>
  <c r="E1886" i="4" s="1"/>
  <c r="F1886" i="4" s="1"/>
  <c r="C1885" i="4"/>
  <c r="D1885" i="4" s="1"/>
  <c r="E1885" i="4" s="1"/>
  <c r="F1885" i="4" s="1"/>
  <c r="J1885" i="4"/>
  <c r="C1884" i="4"/>
  <c r="D1884" i="4" s="1"/>
  <c r="E1884" i="4" s="1"/>
  <c r="F1884" i="4" s="1"/>
  <c r="J1884" i="4"/>
  <c r="C1883" i="4"/>
  <c r="D1883" i="4" s="1"/>
  <c r="E1883" i="4" s="1"/>
  <c r="F1883" i="4" s="1"/>
  <c r="J1883" i="4"/>
  <c r="C1882" i="4"/>
  <c r="D1882" i="4" s="1"/>
  <c r="E1882" i="4" s="1"/>
  <c r="F1882" i="4" s="1"/>
  <c r="J1882" i="4"/>
  <c r="C1881" i="4"/>
  <c r="D1881" i="4" s="1"/>
  <c r="E1881" i="4" s="1"/>
  <c r="F1881" i="4" s="1"/>
  <c r="J1881" i="4"/>
  <c r="J1880" i="4"/>
  <c r="C1880" i="4"/>
  <c r="D1880" i="4" s="1"/>
  <c r="E1880" i="4" s="1"/>
  <c r="F1880" i="4" s="1"/>
  <c r="J1879" i="4"/>
  <c r="C1879" i="4"/>
  <c r="D1879" i="4" s="1"/>
  <c r="E1879" i="4" s="1"/>
  <c r="F1879" i="4" s="1"/>
  <c r="J1878" i="4"/>
  <c r="C1878" i="4"/>
  <c r="D1878" i="4" s="1"/>
  <c r="E1878" i="4" s="1"/>
  <c r="F1878" i="4" s="1"/>
  <c r="J1877" i="4"/>
  <c r="C1877" i="4"/>
  <c r="D1877" i="4" s="1"/>
  <c r="E1877" i="4" s="1"/>
  <c r="F1877" i="4" s="1"/>
  <c r="J1876" i="4"/>
  <c r="C1876" i="4"/>
  <c r="D1876" i="4" s="1"/>
  <c r="E1876" i="4" s="1"/>
  <c r="F1876" i="4" s="1"/>
  <c r="J1875" i="4"/>
  <c r="C1875" i="4"/>
  <c r="D1875" i="4" s="1"/>
  <c r="E1875" i="4" s="1"/>
  <c r="F1875" i="4" s="1"/>
  <c r="C1874" i="4"/>
  <c r="D1874" i="4" s="1"/>
  <c r="E1874" i="4" s="1"/>
  <c r="F1874" i="4" s="1"/>
  <c r="J1874" i="4"/>
  <c r="J1873" i="4"/>
  <c r="C1873" i="4"/>
  <c r="D1873" i="4" s="1"/>
  <c r="E1873" i="4" s="1"/>
  <c r="F1873" i="4" s="1"/>
  <c r="J1872" i="4"/>
  <c r="C1872" i="4"/>
  <c r="D1872" i="4" s="1"/>
  <c r="E1872" i="4" s="1"/>
  <c r="F1872" i="4" s="1"/>
  <c r="J1871" i="4"/>
  <c r="C1871" i="4"/>
  <c r="D1871" i="4" s="1"/>
  <c r="E1871" i="4" s="1"/>
  <c r="F1871" i="4" s="1"/>
  <c r="J1870" i="4"/>
  <c r="C1870" i="4"/>
  <c r="D1870" i="4" s="1"/>
  <c r="E1870" i="4" s="1"/>
  <c r="F1870" i="4" s="1"/>
  <c r="J1869" i="4"/>
  <c r="C1869" i="4"/>
  <c r="D1869" i="4" s="1"/>
  <c r="E1869" i="4" s="1"/>
  <c r="F1869" i="4" s="1"/>
  <c r="J1868" i="4"/>
  <c r="C1868" i="4"/>
  <c r="D1868" i="4" s="1"/>
  <c r="E1868" i="4" s="1"/>
  <c r="F1868" i="4" s="1"/>
  <c r="J1867" i="4"/>
  <c r="C1867" i="4"/>
  <c r="D1867" i="4" s="1"/>
  <c r="E1867" i="4" s="1"/>
  <c r="F1867" i="4" s="1"/>
  <c r="J1866" i="4"/>
  <c r="C1866" i="4"/>
  <c r="D1866" i="4" s="1"/>
  <c r="E1866" i="4" s="1"/>
  <c r="F1866" i="4" s="1"/>
  <c r="J1865" i="4"/>
  <c r="C1865" i="4"/>
  <c r="D1865" i="4" s="1"/>
  <c r="E1865" i="4" s="1"/>
  <c r="F1865" i="4" s="1"/>
  <c r="J1864" i="4"/>
  <c r="C1864" i="4"/>
  <c r="D1864" i="4" s="1"/>
  <c r="E1864" i="4" s="1"/>
  <c r="F1864" i="4" s="1"/>
  <c r="J1863" i="4"/>
  <c r="C1863" i="4"/>
  <c r="D1863" i="4" s="1"/>
  <c r="E1863" i="4" s="1"/>
  <c r="F1863" i="4" s="1"/>
  <c r="J1862" i="4"/>
  <c r="C1862" i="4"/>
  <c r="D1862" i="4" s="1"/>
  <c r="E1862" i="4" s="1"/>
  <c r="F1862" i="4" s="1"/>
  <c r="J1861" i="4"/>
  <c r="C1861" i="4"/>
  <c r="D1861" i="4" s="1"/>
  <c r="E1861" i="4" s="1"/>
  <c r="F1861" i="4" s="1"/>
  <c r="J1860" i="4"/>
  <c r="C1860" i="4"/>
  <c r="D1860" i="4" s="1"/>
  <c r="E1860" i="4" s="1"/>
  <c r="F1860" i="4" s="1"/>
  <c r="J1859" i="4"/>
  <c r="C1859" i="4"/>
  <c r="D1859" i="4" s="1"/>
  <c r="E1859" i="4" s="1"/>
  <c r="F1859" i="4" s="1"/>
  <c r="J1858" i="4"/>
  <c r="C1858" i="4"/>
  <c r="D1858" i="4" s="1"/>
  <c r="E1858" i="4" s="1"/>
  <c r="F1858" i="4" s="1"/>
  <c r="J1857" i="4"/>
  <c r="C1857" i="4"/>
  <c r="D1857" i="4" s="1"/>
  <c r="E1857" i="4" s="1"/>
  <c r="F1857" i="4" s="1"/>
  <c r="J1856" i="4"/>
  <c r="C1856" i="4"/>
  <c r="D1856" i="4" s="1"/>
  <c r="E1856" i="4" s="1"/>
  <c r="F1856" i="4" s="1"/>
  <c r="J1855" i="4"/>
  <c r="C1855" i="4"/>
  <c r="D1855" i="4" s="1"/>
  <c r="E1855" i="4" s="1"/>
  <c r="F1855" i="4" s="1"/>
  <c r="J1854" i="4"/>
  <c r="C1854" i="4"/>
  <c r="D1854" i="4" s="1"/>
  <c r="E1854" i="4" s="1"/>
  <c r="F1854" i="4" s="1"/>
  <c r="J1853" i="4"/>
  <c r="C1853" i="4"/>
  <c r="D1853" i="4" s="1"/>
  <c r="E1853" i="4" s="1"/>
  <c r="F1853" i="4" s="1"/>
  <c r="C1852" i="4"/>
  <c r="D1852" i="4" s="1"/>
  <c r="E1852" i="4" s="1"/>
  <c r="F1852" i="4" s="1"/>
  <c r="J1852" i="4"/>
  <c r="C1851" i="4"/>
  <c r="D1851" i="4" s="1"/>
  <c r="E1851" i="4" s="1"/>
  <c r="F1851" i="4" s="1"/>
  <c r="J1851" i="4"/>
  <c r="C1850" i="4"/>
  <c r="D1850" i="4" s="1"/>
  <c r="E1850" i="4" s="1"/>
  <c r="F1850" i="4" s="1"/>
  <c r="J1850" i="4"/>
  <c r="C1849" i="4"/>
  <c r="D1849" i="4" s="1"/>
  <c r="E1849" i="4" s="1"/>
  <c r="F1849" i="4" s="1"/>
  <c r="J1849" i="4"/>
  <c r="C1848" i="4"/>
  <c r="D1848" i="4" s="1"/>
  <c r="E1848" i="4" s="1"/>
  <c r="F1848" i="4" s="1"/>
  <c r="J1848" i="4"/>
  <c r="C1847" i="4"/>
  <c r="D1847" i="4" s="1"/>
  <c r="E1847" i="4" s="1"/>
  <c r="F1847" i="4" s="1"/>
  <c r="J1847" i="4"/>
  <c r="C1846" i="4"/>
  <c r="D1846" i="4" s="1"/>
  <c r="E1846" i="4" s="1"/>
  <c r="F1846" i="4" s="1"/>
  <c r="J1846" i="4"/>
  <c r="C1845" i="4"/>
  <c r="D1845" i="4" s="1"/>
  <c r="E1845" i="4" s="1"/>
  <c r="F1845" i="4" s="1"/>
  <c r="J1845" i="4"/>
  <c r="J1844" i="4"/>
  <c r="C1844" i="4"/>
  <c r="D1844" i="4" s="1"/>
  <c r="E1844" i="4" s="1"/>
  <c r="F1844" i="4" s="1"/>
  <c r="J1843" i="4"/>
  <c r="C1843" i="4"/>
  <c r="D1843" i="4" s="1"/>
  <c r="E1843" i="4" s="1"/>
  <c r="F1843" i="4" s="1"/>
  <c r="J1842" i="4"/>
  <c r="C1842" i="4"/>
  <c r="D1842" i="4" s="1"/>
  <c r="E1842" i="4" s="1"/>
  <c r="F1842" i="4" s="1"/>
  <c r="C1841" i="4"/>
  <c r="D1841" i="4" s="1"/>
  <c r="E1841" i="4" s="1"/>
  <c r="F1841" i="4" s="1"/>
  <c r="J1841" i="4"/>
  <c r="J1840" i="4"/>
  <c r="C1840" i="4"/>
  <c r="D1840" i="4" s="1"/>
  <c r="E1840" i="4" s="1"/>
  <c r="F1840" i="4" s="1"/>
  <c r="J1839" i="4"/>
  <c r="C1839" i="4"/>
  <c r="D1839" i="4" s="1"/>
  <c r="E1839" i="4" s="1"/>
  <c r="F1839" i="4" s="1"/>
  <c r="C1838" i="4"/>
  <c r="D1838" i="4" s="1"/>
  <c r="E1838" i="4" s="1"/>
  <c r="F1838" i="4" s="1"/>
  <c r="J1838" i="4"/>
  <c r="J1837" i="4"/>
  <c r="C1837" i="4"/>
  <c r="D1837" i="4" s="1"/>
  <c r="E1837" i="4" s="1"/>
  <c r="F1837" i="4" s="1"/>
  <c r="J1836" i="4"/>
  <c r="C1836" i="4"/>
  <c r="D1836" i="4" s="1"/>
  <c r="E1836" i="4" s="1"/>
  <c r="F1836" i="4" s="1"/>
  <c r="J1835" i="4"/>
  <c r="C1835" i="4"/>
  <c r="D1835" i="4" s="1"/>
  <c r="E1835" i="4" s="1"/>
  <c r="F1835" i="4" s="1"/>
  <c r="C1834" i="4"/>
  <c r="D1834" i="4" s="1"/>
  <c r="E1834" i="4" s="1"/>
  <c r="F1834" i="4" s="1"/>
  <c r="J1834" i="4"/>
  <c r="J1833" i="4"/>
  <c r="C1833" i="4"/>
  <c r="D1833" i="4" s="1"/>
  <c r="E1833" i="4" s="1"/>
  <c r="F1833" i="4" s="1"/>
  <c r="J1832" i="4"/>
  <c r="C1832" i="4"/>
  <c r="D1832" i="4" s="1"/>
  <c r="E1832" i="4" s="1"/>
  <c r="F1832" i="4" s="1"/>
  <c r="J1831" i="4"/>
  <c r="C1831" i="4"/>
  <c r="D1831" i="4" s="1"/>
  <c r="E1831" i="4" s="1"/>
  <c r="F1831" i="4" s="1"/>
  <c r="J1830" i="4"/>
  <c r="C1830" i="4"/>
  <c r="D1830" i="4" s="1"/>
  <c r="E1830" i="4" s="1"/>
  <c r="F1830" i="4" s="1"/>
  <c r="J1829" i="4"/>
  <c r="C1829" i="4"/>
  <c r="D1829" i="4" s="1"/>
  <c r="E1829" i="4" s="1"/>
  <c r="F1829" i="4" s="1"/>
  <c r="C1828" i="4"/>
  <c r="D1828" i="4" s="1"/>
  <c r="E1828" i="4" s="1"/>
  <c r="F1828" i="4" s="1"/>
  <c r="J1828" i="4"/>
  <c r="C1827" i="4"/>
  <c r="D1827" i="4" s="1"/>
  <c r="E1827" i="4" s="1"/>
  <c r="F1827" i="4" s="1"/>
  <c r="J1827" i="4"/>
  <c r="J1826" i="4"/>
  <c r="C1826" i="4"/>
  <c r="D1826" i="4" s="1"/>
  <c r="E1826" i="4" s="1"/>
  <c r="F1826" i="4" s="1"/>
  <c r="C1825" i="4"/>
  <c r="D1825" i="4" s="1"/>
  <c r="E1825" i="4" s="1"/>
  <c r="F1825" i="4" s="1"/>
  <c r="J1825" i="4"/>
  <c r="J1824" i="4"/>
  <c r="C1824" i="4"/>
  <c r="D1824" i="4" s="1"/>
  <c r="E1824" i="4" s="1"/>
  <c r="F1824" i="4" s="1"/>
  <c r="C1823" i="4"/>
  <c r="D1823" i="4" s="1"/>
  <c r="E1823" i="4" s="1"/>
  <c r="F1823" i="4" s="1"/>
  <c r="J1823" i="4"/>
  <c r="J1822" i="4"/>
  <c r="C1822" i="4"/>
  <c r="D1822" i="4" s="1"/>
  <c r="E1822" i="4" s="1"/>
  <c r="F1822" i="4" s="1"/>
  <c r="J1821" i="4"/>
  <c r="C1821" i="4"/>
  <c r="D1821" i="4" s="1"/>
  <c r="E1821" i="4" s="1"/>
  <c r="F1821" i="4" s="1"/>
  <c r="J1820" i="4"/>
  <c r="C1820" i="4"/>
  <c r="D1820" i="4" s="1"/>
  <c r="E1820" i="4" s="1"/>
  <c r="F1820" i="4" s="1"/>
  <c r="J1819" i="4"/>
  <c r="C1819" i="4"/>
  <c r="D1819" i="4" s="1"/>
  <c r="E1819" i="4" s="1"/>
  <c r="F1819" i="4" s="1"/>
  <c r="C1818" i="4"/>
  <c r="D1818" i="4" s="1"/>
  <c r="E1818" i="4" s="1"/>
  <c r="F1818" i="4" s="1"/>
  <c r="J1818" i="4"/>
  <c r="J1817" i="4"/>
  <c r="C1817" i="4"/>
  <c r="D1817" i="4" s="1"/>
  <c r="E1817" i="4" s="1"/>
  <c r="F1817" i="4" s="1"/>
  <c r="C1816" i="4"/>
  <c r="D1816" i="4" s="1"/>
  <c r="E1816" i="4" s="1"/>
  <c r="F1816" i="4" s="1"/>
  <c r="J1816" i="4"/>
  <c r="J1815" i="4"/>
  <c r="C1815" i="4"/>
  <c r="D1815" i="4" s="1"/>
  <c r="E1815" i="4" s="1"/>
  <c r="F1815" i="4" s="1"/>
  <c r="J1814" i="4"/>
  <c r="C1814" i="4"/>
  <c r="D1814" i="4" s="1"/>
  <c r="E1814" i="4" s="1"/>
  <c r="F1814" i="4" s="1"/>
  <c r="J1813" i="4"/>
  <c r="C1813" i="4"/>
  <c r="D1813" i="4" s="1"/>
  <c r="E1813" i="4" s="1"/>
  <c r="F1813" i="4" s="1"/>
  <c r="J1812" i="4"/>
  <c r="C1812" i="4"/>
  <c r="D1812" i="4" s="1"/>
  <c r="E1812" i="4" s="1"/>
  <c r="F1812" i="4" s="1"/>
  <c r="J1811" i="4"/>
  <c r="C1811" i="4"/>
  <c r="D1811" i="4" s="1"/>
  <c r="E1811" i="4" s="1"/>
  <c r="F1811" i="4" s="1"/>
  <c r="J1810" i="4"/>
  <c r="C1810" i="4"/>
  <c r="D1810" i="4" s="1"/>
  <c r="E1810" i="4" s="1"/>
  <c r="F1810" i="4" s="1"/>
  <c r="C1809" i="4"/>
  <c r="D1809" i="4" s="1"/>
  <c r="E1809" i="4" s="1"/>
  <c r="F1809" i="4" s="1"/>
  <c r="J1809" i="4"/>
  <c r="J1808" i="4"/>
  <c r="C1808" i="4"/>
  <c r="D1808" i="4" s="1"/>
  <c r="E1808" i="4" s="1"/>
  <c r="F1808" i="4" s="1"/>
  <c r="C1807" i="4"/>
  <c r="D1807" i="4" s="1"/>
  <c r="E1807" i="4" s="1"/>
  <c r="F1807" i="4" s="1"/>
  <c r="J1807" i="4"/>
  <c r="C1806" i="4"/>
  <c r="D1806" i="4" s="1"/>
  <c r="E1806" i="4" s="1"/>
  <c r="F1806" i="4" s="1"/>
  <c r="J1806" i="4"/>
  <c r="C1805" i="4"/>
  <c r="D1805" i="4" s="1"/>
  <c r="E1805" i="4" s="1"/>
  <c r="F1805" i="4" s="1"/>
  <c r="J1805" i="4"/>
  <c r="C1804" i="4"/>
  <c r="D1804" i="4" s="1"/>
  <c r="E1804" i="4" s="1"/>
  <c r="F1804" i="4" s="1"/>
  <c r="J1804" i="4"/>
  <c r="C1803" i="4"/>
  <c r="D1803" i="4" s="1"/>
  <c r="E1803" i="4" s="1"/>
  <c r="F1803" i="4" s="1"/>
  <c r="J1803" i="4"/>
  <c r="C1802" i="4"/>
  <c r="D1802" i="4" s="1"/>
  <c r="E1802" i="4" s="1"/>
  <c r="F1802" i="4" s="1"/>
  <c r="J1802" i="4"/>
  <c r="C1801" i="4"/>
  <c r="D1801" i="4" s="1"/>
  <c r="E1801" i="4" s="1"/>
  <c r="F1801" i="4" s="1"/>
  <c r="J1801" i="4"/>
  <c r="C1800" i="4"/>
  <c r="D1800" i="4" s="1"/>
  <c r="E1800" i="4" s="1"/>
  <c r="F1800" i="4" s="1"/>
  <c r="J1800" i="4"/>
  <c r="C1799" i="4"/>
  <c r="D1799" i="4" s="1"/>
  <c r="E1799" i="4" s="1"/>
  <c r="F1799" i="4" s="1"/>
  <c r="J1799" i="4"/>
  <c r="J1798" i="4"/>
  <c r="C1798" i="4"/>
  <c r="D1798" i="4" s="1"/>
  <c r="E1798" i="4" s="1"/>
  <c r="F1798" i="4" s="1"/>
  <c r="J1797" i="4"/>
  <c r="C1797" i="4"/>
  <c r="D1797" i="4" s="1"/>
  <c r="E1797" i="4" s="1"/>
  <c r="F1797" i="4" s="1"/>
  <c r="J1796" i="4"/>
  <c r="C1796" i="4"/>
  <c r="D1796" i="4" s="1"/>
  <c r="E1796" i="4" s="1"/>
  <c r="F1796" i="4" s="1"/>
  <c r="J1795" i="4"/>
  <c r="C1795" i="4"/>
  <c r="D1795" i="4" s="1"/>
  <c r="E1795" i="4" s="1"/>
  <c r="F1795" i="4" s="1"/>
  <c r="C1794" i="4"/>
  <c r="D1794" i="4" s="1"/>
  <c r="E1794" i="4" s="1"/>
  <c r="F1794" i="4" s="1"/>
  <c r="J1794" i="4"/>
  <c r="C1793" i="4"/>
  <c r="D1793" i="4" s="1"/>
  <c r="E1793" i="4" s="1"/>
  <c r="F1793" i="4" s="1"/>
  <c r="J1793" i="4"/>
  <c r="C1792" i="4"/>
  <c r="D1792" i="4" s="1"/>
  <c r="E1792" i="4" s="1"/>
  <c r="F1792" i="4" s="1"/>
  <c r="J1792" i="4"/>
  <c r="C1791" i="4"/>
  <c r="D1791" i="4" s="1"/>
  <c r="E1791" i="4" s="1"/>
  <c r="F1791" i="4" s="1"/>
  <c r="J1791" i="4"/>
  <c r="C1790" i="4"/>
  <c r="D1790" i="4" s="1"/>
  <c r="E1790" i="4" s="1"/>
  <c r="F1790" i="4" s="1"/>
  <c r="J1790" i="4"/>
  <c r="C1789" i="4"/>
  <c r="D1789" i="4" s="1"/>
  <c r="E1789" i="4" s="1"/>
  <c r="F1789" i="4" s="1"/>
  <c r="J1789" i="4"/>
  <c r="J1788" i="4"/>
  <c r="C1788" i="4"/>
  <c r="D1788" i="4" s="1"/>
  <c r="E1788" i="4" s="1"/>
  <c r="F1788" i="4" s="1"/>
  <c r="J1787" i="4"/>
  <c r="C1787" i="4"/>
  <c r="D1787" i="4" s="1"/>
  <c r="E1787" i="4" s="1"/>
  <c r="F1787" i="4" s="1"/>
  <c r="C1786" i="4"/>
  <c r="D1786" i="4" s="1"/>
  <c r="E1786" i="4" s="1"/>
  <c r="F1786" i="4" s="1"/>
  <c r="J1786" i="4"/>
  <c r="J1785" i="4"/>
  <c r="C1785" i="4"/>
  <c r="D1785" i="4" s="1"/>
  <c r="E1785" i="4" s="1"/>
  <c r="F1785" i="4" s="1"/>
  <c r="C1784" i="4"/>
  <c r="D1784" i="4" s="1"/>
  <c r="E1784" i="4" s="1"/>
  <c r="F1784" i="4" s="1"/>
  <c r="J1784" i="4"/>
  <c r="C1783" i="4"/>
  <c r="D1783" i="4" s="1"/>
  <c r="E1783" i="4" s="1"/>
  <c r="F1783" i="4" s="1"/>
  <c r="J1783" i="4"/>
  <c r="C1782" i="4"/>
  <c r="D1782" i="4" s="1"/>
  <c r="E1782" i="4" s="1"/>
  <c r="F1782" i="4" s="1"/>
  <c r="J1782" i="4"/>
  <c r="J1781" i="4"/>
  <c r="C1781" i="4"/>
  <c r="D1781" i="4" s="1"/>
  <c r="E1781" i="4" s="1"/>
  <c r="F1781" i="4" s="1"/>
  <c r="J1780" i="4"/>
  <c r="C1780" i="4"/>
  <c r="D1780" i="4" s="1"/>
  <c r="E1780" i="4" s="1"/>
  <c r="F1780" i="4" s="1"/>
  <c r="C1779" i="4"/>
  <c r="D1779" i="4" s="1"/>
  <c r="E1779" i="4" s="1"/>
  <c r="F1779" i="4" s="1"/>
  <c r="J1779" i="4"/>
  <c r="C1778" i="4"/>
  <c r="D1778" i="4" s="1"/>
  <c r="E1778" i="4" s="1"/>
  <c r="F1778" i="4" s="1"/>
  <c r="J1778" i="4"/>
  <c r="J1777" i="4"/>
  <c r="C1777" i="4"/>
  <c r="D1777" i="4" s="1"/>
  <c r="E1777" i="4" s="1"/>
  <c r="F1777" i="4" s="1"/>
  <c r="J1776" i="4"/>
  <c r="C1776" i="4"/>
  <c r="D1776" i="4" s="1"/>
  <c r="E1776" i="4" s="1"/>
  <c r="F1776" i="4" s="1"/>
  <c r="C1775" i="4"/>
  <c r="D1775" i="4" s="1"/>
  <c r="E1775" i="4" s="1"/>
  <c r="F1775" i="4" s="1"/>
  <c r="J1775" i="4"/>
  <c r="J1774" i="4"/>
  <c r="C1774" i="4"/>
  <c r="D1774" i="4" s="1"/>
  <c r="E1774" i="4" s="1"/>
  <c r="F1774" i="4" s="1"/>
  <c r="C1773" i="4"/>
  <c r="D1773" i="4" s="1"/>
  <c r="E1773" i="4" s="1"/>
  <c r="F1773" i="4" s="1"/>
  <c r="J1773" i="4"/>
  <c r="C1772" i="4"/>
  <c r="D1772" i="4" s="1"/>
  <c r="E1772" i="4" s="1"/>
  <c r="F1772" i="4" s="1"/>
  <c r="J1772" i="4"/>
  <c r="C1771" i="4"/>
  <c r="D1771" i="4" s="1"/>
  <c r="E1771" i="4" s="1"/>
  <c r="F1771" i="4" s="1"/>
  <c r="J1771" i="4"/>
  <c r="J1770" i="4"/>
  <c r="C1770" i="4"/>
  <c r="D1770" i="4" s="1"/>
  <c r="E1770" i="4" s="1"/>
  <c r="F1770" i="4" s="1"/>
  <c r="J1769" i="4"/>
  <c r="C1769" i="4"/>
  <c r="D1769" i="4" s="1"/>
  <c r="E1769" i="4" s="1"/>
  <c r="F1769" i="4" s="1"/>
  <c r="C1768" i="4"/>
  <c r="D1768" i="4" s="1"/>
  <c r="E1768" i="4" s="1"/>
  <c r="F1768" i="4" s="1"/>
  <c r="J1768" i="4"/>
  <c r="C1767" i="4"/>
  <c r="D1767" i="4" s="1"/>
  <c r="E1767" i="4" s="1"/>
  <c r="F1767" i="4" s="1"/>
  <c r="J1767" i="4"/>
  <c r="C1766" i="4"/>
  <c r="D1766" i="4" s="1"/>
  <c r="E1766" i="4" s="1"/>
  <c r="F1766" i="4" s="1"/>
  <c r="J1766" i="4"/>
  <c r="C1765" i="4"/>
  <c r="D1765" i="4" s="1"/>
  <c r="E1765" i="4" s="1"/>
  <c r="F1765" i="4" s="1"/>
  <c r="J1765" i="4"/>
  <c r="C1764" i="4"/>
  <c r="D1764" i="4" s="1"/>
  <c r="E1764" i="4" s="1"/>
  <c r="F1764" i="4" s="1"/>
  <c r="J1764" i="4"/>
  <c r="C1763" i="4"/>
  <c r="D1763" i="4" s="1"/>
  <c r="E1763" i="4" s="1"/>
  <c r="F1763" i="4" s="1"/>
  <c r="J1763" i="4"/>
  <c r="J1762" i="4"/>
  <c r="C1762" i="4"/>
  <c r="D1762" i="4" s="1"/>
  <c r="E1762" i="4" s="1"/>
  <c r="F1762" i="4" s="1"/>
  <c r="C1761" i="4"/>
  <c r="D1761" i="4" s="1"/>
  <c r="E1761" i="4" s="1"/>
  <c r="F1761" i="4" s="1"/>
  <c r="J1761" i="4"/>
  <c r="J1760" i="4"/>
  <c r="C1760" i="4"/>
  <c r="D1760" i="4" s="1"/>
  <c r="E1760" i="4" s="1"/>
  <c r="F1760" i="4" s="1"/>
  <c r="J1759" i="4"/>
  <c r="C1759" i="4"/>
  <c r="D1759" i="4" s="1"/>
  <c r="E1759" i="4" s="1"/>
  <c r="F1759" i="4" s="1"/>
  <c r="C1758" i="4"/>
  <c r="D1758" i="4" s="1"/>
  <c r="E1758" i="4" s="1"/>
  <c r="F1758" i="4" s="1"/>
  <c r="J1758" i="4"/>
  <c r="J1757" i="4"/>
  <c r="C1757" i="4"/>
  <c r="D1757" i="4" s="1"/>
  <c r="E1757" i="4" s="1"/>
  <c r="F1757" i="4" s="1"/>
  <c r="J1756" i="4"/>
  <c r="C1756" i="4"/>
  <c r="D1756" i="4" s="1"/>
  <c r="E1756" i="4" s="1"/>
  <c r="F1756" i="4" s="1"/>
  <c r="J1755" i="4"/>
  <c r="C1755" i="4"/>
  <c r="D1755" i="4" s="1"/>
  <c r="E1755" i="4" s="1"/>
  <c r="F1755" i="4" s="1"/>
  <c r="J1754" i="4"/>
  <c r="C1754" i="4"/>
  <c r="D1754" i="4" s="1"/>
  <c r="E1754" i="4" s="1"/>
  <c r="F1754" i="4" s="1"/>
  <c r="J1753" i="4"/>
  <c r="C1753" i="4"/>
  <c r="D1753" i="4" s="1"/>
  <c r="E1753" i="4" s="1"/>
  <c r="F1753" i="4" s="1"/>
  <c r="J1752" i="4"/>
  <c r="C1752" i="4"/>
  <c r="D1752" i="4" s="1"/>
  <c r="E1752" i="4" s="1"/>
  <c r="F1752" i="4" s="1"/>
  <c r="J1751" i="4"/>
  <c r="C1751" i="4"/>
  <c r="D1751" i="4" s="1"/>
  <c r="E1751" i="4" s="1"/>
  <c r="F1751" i="4" s="1"/>
  <c r="J1750" i="4"/>
  <c r="C1750" i="4"/>
  <c r="D1750" i="4" s="1"/>
  <c r="E1750" i="4" s="1"/>
  <c r="F1750" i="4" s="1"/>
  <c r="J1749" i="4"/>
  <c r="C1749" i="4"/>
  <c r="D1749" i="4" s="1"/>
  <c r="E1749" i="4" s="1"/>
  <c r="F1749" i="4" s="1"/>
  <c r="J1748" i="4"/>
  <c r="C1748" i="4"/>
  <c r="D1748" i="4" s="1"/>
  <c r="E1748" i="4" s="1"/>
  <c r="F1748" i="4" s="1"/>
  <c r="J1747" i="4"/>
  <c r="C1747" i="4"/>
  <c r="D1747" i="4" s="1"/>
  <c r="E1747" i="4" s="1"/>
  <c r="F1747" i="4" s="1"/>
  <c r="J1746" i="4"/>
  <c r="C1746" i="4"/>
  <c r="D1746" i="4" s="1"/>
  <c r="E1746" i="4" s="1"/>
  <c r="F1746" i="4" s="1"/>
  <c r="J1745" i="4"/>
  <c r="C1745" i="4"/>
  <c r="D1745" i="4" s="1"/>
  <c r="E1745" i="4" s="1"/>
  <c r="F1745" i="4" s="1"/>
  <c r="J1744" i="4"/>
  <c r="C1744" i="4"/>
  <c r="D1744" i="4" s="1"/>
  <c r="E1744" i="4" s="1"/>
  <c r="F1744" i="4" s="1"/>
  <c r="J1743" i="4"/>
  <c r="C1743" i="4"/>
  <c r="D1743" i="4" s="1"/>
  <c r="E1743" i="4" s="1"/>
  <c r="F1743" i="4" s="1"/>
  <c r="J1742" i="4"/>
  <c r="C1742" i="4"/>
  <c r="D1742" i="4" s="1"/>
  <c r="E1742" i="4" s="1"/>
  <c r="F1742" i="4" s="1"/>
  <c r="J1741" i="4"/>
  <c r="C1741" i="4"/>
  <c r="D1741" i="4" s="1"/>
  <c r="E1741" i="4" s="1"/>
  <c r="F1741" i="4" s="1"/>
  <c r="C1740" i="4"/>
  <c r="D1740" i="4" s="1"/>
  <c r="E1740" i="4" s="1"/>
  <c r="F1740" i="4" s="1"/>
  <c r="J1740" i="4"/>
  <c r="C1739" i="4"/>
  <c r="D1739" i="4" s="1"/>
  <c r="E1739" i="4" s="1"/>
  <c r="F1739" i="4" s="1"/>
  <c r="J1739" i="4"/>
  <c r="C1738" i="4"/>
  <c r="D1738" i="4" s="1"/>
  <c r="E1738" i="4" s="1"/>
  <c r="F1738" i="4" s="1"/>
  <c r="J1738" i="4"/>
  <c r="C1737" i="4"/>
  <c r="D1737" i="4" s="1"/>
  <c r="E1737" i="4" s="1"/>
  <c r="F1737" i="4" s="1"/>
  <c r="J1737" i="4"/>
  <c r="J1736" i="4"/>
  <c r="C1736" i="4"/>
  <c r="D1736" i="4" s="1"/>
  <c r="E1736" i="4" s="1"/>
  <c r="F1736" i="4" s="1"/>
  <c r="C1735" i="4"/>
  <c r="D1735" i="4" s="1"/>
  <c r="E1735" i="4" s="1"/>
  <c r="F1735" i="4" s="1"/>
  <c r="J1735" i="4"/>
  <c r="C1734" i="4"/>
  <c r="D1734" i="4" s="1"/>
  <c r="E1734" i="4" s="1"/>
  <c r="F1734" i="4" s="1"/>
  <c r="J1734" i="4"/>
  <c r="C1733" i="4"/>
  <c r="D1733" i="4" s="1"/>
  <c r="E1733" i="4" s="1"/>
  <c r="F1733" i="4" s="1"/>
  <c r="J1733" i="4"/>
  <c r="J1732" i="4"/>
  <c r="C1732" i="4"/>
  <c r="D1732" i="4" s="1"/>
  <c r="E1732" i="4" s="1"/>
  <c r="F1732" i="4" s="1"/>
  <c r="C1731" i="4"/>
  <c r="D1731" i="4" s="1"/>
  <c r="E1731" i="4" s="1"/>
  <c r="F1731" i="4" s="1"/>
  <c r="J1731" i="4"/>
  <c r="J1730" i="4"/>
  <c r="C1730" i="4"/>
  <c r="D1730" i="4" s="1"/>
  <c r="E1730" i="4" s="1"/>
  <c r="F1730" i="4" s="1"/>
  <c r="C1729" i="4"/>
  <c r="D1729" i="4" s="1"/>
  <c r="E1729" i="4" s="1"/>
  <c r="F1729" i="4" s="1"/>
  <c r="J1729" i="4"/>
  <c r="C1728" i="4"/>
  <c r="D1728" i="4" s="1"/>
  <c r="E1728" i="4" s="1"/>
  <c r="F1728" i="4" s="1"/>
  <c r="J1728" i="4"/>
  <c r="J1727" i="4"/>
  <c r="C1727" i="4"/>
  <c r="D1727" i="4" s="1"/>
  <c r="E1727" i="4" s="1"/>
  <c r="F1727" i="4" s="1"/>
  <c r="J1726" i="4"/>
  <c r="C1726" i="4"/>
  <c r="D1726" i="4" s="1"/>
  <c r="E1726" i="4" s="1"/>
  <c r="F1726" i="4" s="1"/>
  <c r="J1725" i="4"/>
  <c r="C1725" i="4"/>
  <c r="D1725" i="4" s="1"/>
  <c r="E1725" i="4" s="1"/>
  <c r="F1725" i="4" s="1"/>
  <c r="C1724" i="4"/>
  <c r="D1724" i="4" s="1"/>
  <c r="E1724" i="4" s="1"/>
  <c r="F1724" i="4" s="1"/>
  <c r="J1724" i="4"/>
  <c r="J1723" i="4"/>
  <c r="C1723" i="4"/>
  <c r="D1723" i="4" s="1"/>
  <c r="E1723" i="4" s="1"/>
  <c r="F1723" i="4" s="1"/>
  <c r="J1722" i="4"/>
  <c r="C1722" i="4"/>
  <c r="D1722" i="4" s="1"/>
  <c r="E1722" i="4" s="1"/>
  <c r="F1722" i="4" s="1"/>
  <c r="J1721" i="4"/>
  <c r="C1721" i="4"/>
  <c r="D1721" i="4" s="1"/>
  <c r="E1721" i="4" s="1"/>
  <c r="F1721" i="4" s="1"/>
  <c r="C1720" i="4"/>
  <c r="D1720" i="4" s="1"/>
  <c r="E1720" i="4" s="1"/>
  <c r="F1720" i="4" s="1"/>
  <c r="J1720" i="4"/>
  <c r="J1719" i="4"/>
  <c r="C1719" i="4"/>
  <c r="D1719" i="4" s="1"/>
  <c r="E1719" i="4" s="1"/>
  <c r="F1719" i="4" s="1"/>
  <c r="J1718" i="4"/>
  <c r="C1718" i="4"/>
  <c r="D1718" i="4" s="1"/>
  <c r="E1718" i="4" s="1"/>
  <c r="F1718" i="4" s="1"/>
  <c r="J1717" i="4"/>
  <c r="C1717" i="4"/>
  <c r="D1717" i="4" s="1"/>
  <c r="E1717" i="4" s="1"/>
  <c r="F1717" i="4" s="1"/>
  <c r="C1716" i="4"/>
  <c r="D1716" i="4" s="1"/>
  <c r="E1716" i="4" s="1"/>
  <c r="F1716" i="4" s="1"/>
  <c r="J1716" i="4"/>
  <c r="C1715" i="4"/>
  <c r="D1715" i="4" s="1"/>
  <c r="E1715" i="4" s="1"/>
  <c r="F1715" i="4" s="1"/>
  <c r="J1715" i="4"/>
  <c r="C1714" i="4"/>
  <c r="D1714" i="4" s="1"/>
  <c r="E1714" i="4" s="1"/>
  <c r="F1714" i="4" s="1"/>
  <c r="J1714" i="4"/>
  <c r="C1713" i="4"/>
  <c r="D1713" i="4" s="1"/>
  <c r="E1713" i="4" s="1"/>
  <c r="F1713" i="4" s="1"/>
  <c r="J1713" i="4"/>
  <c r="C1712" i="4"/>
  <c r="D1712" i="4" s="1"/>
  <c r="E1712" i="4" s="1"/>
  <c r="F1712" i="4" s="1"/>
  <c r="J1712" i="4"/>
  <c r="C1711" i="4"/>
  <c r="D1711" i="4" s="1"/>
  <c r="E1711" i="4" s="1"/>
  <c r="F1711" i="4" s="1"/>
  <c r="J1711" i="4"/>
  <c r="C1710" i="4"/>
  <c r="D1710" i="4" s="1"/>
  <c r="E1710" i="4" s="1"/>
  <c r="F1710" i="4" s="1"/>
  <c r="J1710" i="4"/>
  <c r="C1709" i="4"/>
  <c r="D1709" i="4" s="1"/>
  <c r="E1709" i="4" s="1"/>
  <c r="F1709" i="4" s="1"/>
  <c r="J1709" i="4"/>
  <c r="J1708" i="4"/>
  <c r="C1708" i="4"/>
  <c r="D1708" i="4" s="1"/>
  <c r="E1708" i="4" s="1"/>
  <c r="F1708" i="4" s="1"/>
  <c r="J1707" i="4"/>
  <c r="C1707" i="4"/>
  <c r="D1707" i="4" s="1"/>
  <c r="E1707" i="4" s="1"/>
  <c r="F1707" i="4" s="1"/>
  <c r="J1706" i="4"/>
  <c r="C1706" i="4"/>
  <c r="D1706" i="4" s="1"/>
  <c r="E1706" i="4" s="1"/>
  <c r="F1706" i="4" s="1"/>
  <c r="C1705" i="4"/>
  <c r="D1705" i="4" s="1"/>
  <c r="E1705" i="4" s="1"/>
  <c r="F1705" i="4" s="1"/>
  <c r="J1705" i="4"/>
  <c r="C1704" i="4"/>
  <c r="D1704" i="4" s="1"/>
  <c r="E1704" i="4" s="1"/>
  <c r="F1704" i="4" s="1"/>
  <c r="J1704" i="4"/>
  <c r="C1703" i="4"/>
  <c r="D1703" i="4" s="1"/>
  <c r="E1703" i="4" s="1"/>
  <c r="F1703" i="4" s="1"/>
  <c r="J1703" i="4"/>
  <c r="J1702" i="4"/>
  <c r="C1702" i="4"/>
  <c r="D1702" i="4" s="1"/>
  <c r="E1702" i="4" s="1"/>
  <c r="F1702" i="4" s="1"/>
  <c r="C1701" i="4"/>
  <c r="D1701" i="4" s="1"/>
  <c r="E1701" i="4" s="1"/>
  <c r="F1701" i="4" s="1"/>
  <c r="J1701" i="4"/>
  <c r="C1700" i="4"/>
  <c r="D1700" i="4" s="1"/>
  <c r="E1700" i="4" s="1"/>
  <c r="F1700" i="4" s="1"/>
  <c r="J1700" i="4"/>
  <c r="C1699" i="4"/>
  <c r="D1699" i="4" s="1"/>
  <c r="E1699" i="4" s="1"/>
  <c r="F1699" i="4" s="1"/>
  <c r="J1699" i="4"/>
  <c r="J1698" i="4"/>
  <c r="C1698" i="4"/>
  <c r="D1698" i="4" s="1"/>
  <c r="E1698" i="4" s="1"/>
  <c r="F1698" i="4" s="1"/>
  <c r="J1697" i="4"/>
  <c r="C1697" i="4"/>
  <c r="D1697" i="4" s="1"/>
  <c r="E1697" i="4" s="1"/>
  <c r="F1697" i="4" s="1"/>
  <c r="J1696" i="4"/>
  <c r="C1696" i="4"/>
  <c r="D1696" i="4" s="1"/>
  <c r="E1696" i="4" s="1"/>
  <c r="F1696" i="4" s="1"/>
  <c r="C1695" i="4"/>
  <c r="D1695" i="4" s="1"/>
  <c r="E1695" i="4" s="1"/>
  <c r="F1695" i="4" s="1"/>
  <c r="J1695" i="4"/>
  <c r="J1694" i="4"/>
  <c r="C1694" i="4"/>
  <c r="D1694" i="4" s="1"/>
  <c r="E1694" i="4" s="1"/>
  <c r="F1694" i="4" s="1"/>
  <c r="J1693" i="4"/>
  <c r="C1693" i="4"/>
  <c r="D1693" i="4" s="1"/>
  <c r="E1693" i="4" s="1"/>
  <c r="F1693" i="4" s="1"/>
  <c r="J1692" i="4"/>
  <c r="C1692" i="4"/>
  <c r="D1692" i="4" s="1"/>
  <c r="E1692" i="4" s="1"/>
  <c r="F1692" i="4" s="1"/>
  <c r="J1691" i="4"/>
  <c r="C1691" i="4"/>
  <c r="D1691" i="4" s="1"/>
  <c r="E1691" i="4" s="1"/>
  <c r="F1691" i="4" s="1"/>
  <c r="J1690" i="4"/>
  <c r="C1690" i="4"/>
  <c r="D1690" i="4" s="1"/>
  <c r="E1690" i="4" s="1"/>
  <c r="F1690" i="4" s="1"/>
  <c r="J1689" i="4"/>
  <c r="C1689" i="4"/>
  <c r="D1689" i="4" s="1"/>
  <c r="E1689" i="4" s="1"/>
  <c r="F1689" i="4" s="1"/>
  <c r="J1688" i="4"/>
  <c r="C1688" i="4"/>
  <c r="D1688" i="4" s="1"/>
  <c r="E1688" i="4" s="1"/>
  <c r="F1688" i="4" s="1"/>
  <c r="J1687" i="4"/>
  <c r="C1687" i="4"/>
  <c r="D1687" i="4" s="1"/>
  <c r="E1687" i="4" s="1"/>
  <c r="F1687" i="4" s="1"/>
  <c r="J1686" i="4"/>
  <c r="C1686" i="4"/>
  <c r="D1686" i="4" s="1"/>
  <c r="E1686" i="4" s="1"/>
  <c r="F1686" i="4" s="1"/>
  <c r="J1685" i="4"/>
  <c r="C1685" i="4"/>
  <c r="D1685" i="4" s="1"/>
  <c r="E1685" i="4" s="1"/>
  <c r="F1685" i="4" s="1"/>
  <c r="J1684" i="4"/>
  <c r="C1684" i="4"/>
  <c r="D1684" i="4" s="1"/>
  <c r="E1684" i="4" s="1"/>
  <c r="F1684" i="4" s="1"/>
  <c r="J1683" i="4"/>
  <c r="C1683" i="4"/>
  <c r="D1683" i="4" s="1"/>
  <c r="E1683" i="4" s="1"/>
  <c r="F1683" i="4" s="1"/>
  <c r="C1682" i="4"/>
  <c r="D1682" i="4" s="1"/>
  <c r="E1682" i="4" s="1"/>
  <c r="F1682" i="4" s="1"/>
  <c r="J1682" i="4"/>
  <c r="C1681" i="4"/>
  <c r="D1681" i="4" s="1"/>
  <c r="E1681" i="4" s="1"/>
  <c r="F1681" i="4" s="1"/>
  <c r="J1681" i="4"/>
  <c r="C1680" i="4"/>
  <c r="D1680" i="4" s="1"/>
  <c r="E1680" i="4" s="1"/>
  <c r="F1680" i="4" s="1"/>
  <c r="J1680" i="4"/>
  <c r="C1679" i="4"/>
  <c r="D1679" i="4" s="1"/>
  <c r="E1679" i="4" s="1"/>
  <c r="F1679" i="4" s="1"/>
  <c r="J1679" i="4"/>
  <c r="J1678" i="4"/>
  <c r="C1678" i="4"/>
  <c r="D1678" i="4" s="1"/>
  <c r="E1678" i="4" s="1"/>
  <c r="F1678" i="4" s="1"/>
  <c r="C1677" i="4"/>
  <c r="D1677" i="4" s="1"/>
  <c r="E1677" i="4" s="1"/>
  <c r="F1677" i="4" s="1"/>
  <c r="J1677" i="4"/>
  <c r="C1676" i="4"/>
  <c r="D1676" i="4" s="1"/>
  <c r="E1676" i="4" s="1"/>
  <c r="F1676" i="4" s="1"/>
  <c r="J1676" i="4"/>
  <c r="C1675" i="4"/>
  <c r="D1675" i="4" s="1"/>
  <c r="E1675" i="4" s="1"/>
  <c r="F1675" i="4" s="1"/>
  <c r="J1675" i="4"/>
  <c r="J1674" i="4"/>
  <c r="C1674" i="4"/>
  <c r="D1674" i="4" s="1"/>
  <c r="E1674" i="4" s="1"/>
  <c r="F1674" i="4" s="1"/>
  <c r="C1673" i="4"/>
  <c r="D1673" i="4" s="1"/>
  <c r="E1673" i="4" s="1"/>
  <c r="F1673" i="4" s="1"/>
  <c r="J1673" i="4"/>
  <c r="J1672" i="4"/>
  <c r="C1672" i="4"/>
  <c r="D1672" i="4" s="1"/>
  <c r="E1672" i="4" s="1"/>
  <c r="F1672" i="4" s="1"/>
  <c r="J1671" i="4"/>
  <c r="C1671" i="4"/>
  <c r="D1671" i="4" s="1"/>
  <c r="E1671" i="4" s="1"/>
  <c r="F1671" i="4" s="1"/>
  <c r="J1670" i="4"/>
  <c r="C1670" i="4"/>
  <c r="D1670" i="4" s="1"/>
  <c r="E1670" i="4" s="1"/>
  <c r="F1670" i="4" s="1"/>
  <c r="C1669" i="4"/>
  <c r="D1669" i="4" s="1"/>
  <c r="E1669" i="4" s="1"/>
  <c r="F1669" i="4" s="1"/>
  <c r="J1669" i="4"/>
  <c r="J1668" i="4"/>
  <c r="C1668" i="4"/>
  <c r="D1668" i="4" s="1"/>
  <c r="E1668" i="4" s="1"/>
  <c r="F1668" i="4" s="1"/>
  <c r="C1667" i="4"/>
  <c r="D1667" i="4" s="1"/>
  <c r="E1667" i="4" s="1"/>
  <c r="F1667" i="4" s="1"/>
  <c r="J1667" i="4"/>
  <c r="C1666" i="4"/>
  <c r="D1666" i="4" s="1"/>
  <c r="E1666" i="4" s="1"/>
  <c r="F1666" i="4" s="1"/>
  <c r="J1666" i="4"/>
  <c r="J1665" i="4"/>
  <c r="C1665" i="4"/>
  <c r="D1665" i="4" s="1"/>
  <c r="E1665" i="4" s="1"/>
  <c r="F1665" i="4" s="1"/>
  <c r="J1664" i="4"/>
  <c r="C1664" i="4"/>
  <c r="D1664" i="4" s="1"/>
  <c r="E1664" i="4" s="1"/>
  <c r="F1664" i="4" s="1"/>
  <c r="J1663" i="4"/>
  <c r="C1663" i="4"/>
  <c r="D1663" i="4" s="1"/>
  <c r="E1663" i="4" s="1"/>
  <c r="F1663" i="4" s="1"/>
  <c r="J1662" i="4"/>
  <c r="C1662" i="4"/>
  <c r="D1662" i="4" s="1"/>
  <c r="E1662" i="4" s="1"/>
  <c r="F1662" i="4" s="1"/>
  <c r="C1661" i="4"/>
  <c r="D1661" i="4" s="1"/>
  <c r="E1661" i="4" s="1"/>
  <c r="F1661" i="4" s="1"/>
  <c r="J1661" i="4"/>
  <c r="C1660" i="4"/>
  <c r="D1660" i="4" s="1"/>
  <c r="E1660" i="4" s="1"/>
  <c r="F1660" i="4" s="1"/>
  <c r="J1660" i="4"/>
  <c r="C1659" i="4"/>
  <c r="D1659" i="4" s="1"/>
  <c r="E1659" i="4" s="1"/>
  <c r="F1659" i="4" s="1"/>
  <c r="J1659" i="4"/>
  <c r="C1658" i="4"/>
  <c r="D1658" i="4" s="1"/>
  <c r="E1658" i="4" s="1"/>
  <c r="F1658" i="4" s="1"/>
  <c r="J1658" i="4"/>
  <c r="C1657" i="4"/>
  <c r="D1657" i="4" s="1"/>
  <c r="E1657" i="4" s="1"/>
  <c r="F1657" i="4" s="1"/>
  <c r="J1657" i="4"/>
  <c r="C1656" i="4"/>
  <c r="D1656" i="4" s="1"/>
  <c r="E1656" i="4" s="1"/>
  <c r="F1656" i="4" s="1"/>
  <c r="J1656" i="4"/>
  <c r="J1655" i="4"/>
  <c r="C1655" i="4"/>
  <c r="D1655" i="4" s="1"/>
  <c r="E1655" i="4" s="1"/>
  <c r="F1655" i="4" s="1"/>
  <c r="C1654" i="4"/>
  <c r="D1654" i="4" s="1"/>
  <c r="E1654" i="4" s="1"/>
  <c r="F1654" i="4" s="1"/>
  <c r="J1654" i="4"/>
  <c r="C1653" i="4"/>
  <c r="D1653" i="4" s="1"/>
  <c r="E1653" i="4" s="1"/>
  <c r="F1653" i="4" s="1"/>
  <c r="J1653" i="4"/>
  <c r="J1652" i="4"/>
  <c r="C1652" i="4"/>
  <c r="D1652" i="4" s="1"/>
  <c r="E1652" i="4" s="1"/>
  <c r="F1652" i="4" s="1"/>
  <c r="C1651" i="4"/>
  <c r="D1651" i="4" s="1"/>
  <c r="E1651" i="4" s="1"/>
  <c r="F1651" i="4" s="1"/>
  <c r="J1651" i="4"/>
  <c r="C1650" i="4"/>
  <c r="D1650" i="4" s="1"/>
  <c r="E1650" i="4" s="1"/>
  <c r="F1650" i="4" s="1"/>
  <c r="J1650" i="4"/>
  <c r="C1649" i="4"/>
  <c r="D1649" i="4" s="1"/>
  <c r="E1649" i="4" s="1"/>
  <c r="F1649" i="4" s="1"/>
  <c r="J1649" i="4"/>
  <c r="J1648" i="4"/>
  <c r="C1648" i="4"/>
  <c r="D1648" i="4" s="1"/>
  <c r="E1648" i="4" s="1"/>
  <c r="F1648" i="4" s="1"/>
  <c r="J1647" i="4"/>
  <c r="C1647" i="4"/>
  <c r="D1647" i="4" s="1"/>
  <c r="E1647" i="4" s="1"/>
  <c r="F1647" i="4" s="1"/>
  <c r="C1646" i="4"/>
  <c r="D1646" i="4" s="1"/>
  <c r="E1646" i="4" s="1"/>
  <c r="F1646" i="4" s="1"/>
  <c r="J1646" i="4"/>
  <c r="J1645" i="4"/>
  <c r="C1645" i="4"/>
  <c r="D1645" i="4" s="1"/>
  <c r="E1645" i="4" s="1"/>
  <c r="F1645" i="4" s="1"/>
  <c r="J1644" i="4"/>
  <c r="C1644" i="4"/>
  <c r="D1644" i="4" s="1"/>
  <c r="E1644" i="4" s="1"/>
  <c r="F1644" i="4" s="1"/>
  <c r="J1643" i="4"/>
  <c r="C1643" i="4"/>
  <c r="D1643" i="4" s="1"/>
  <c r="E1643" i="4" s="1"/>
  <c r="F1643" i="4" s="1"/>
  <c r="J1642" i="4"/>
  <c r="C1642" i="4"/>
  <c r="D1642" i="4" s="1"/>
  <c r="E1642" i="4" s="1"/>
  <c r="F1642" i="4" s="1"/>
  <c r="J1641" i="4"/>
  <c r="C1641" i="4"/>
  <c r="D1641" i="4" s="1"/>
  <c r="E1641" i="4" s="1"/>
  <c r="F1641" i="4" s="1"/>
  <c r="J1640" i="4"/>
  <c r="C1640" i="4"/>
  <c r="D1640" i="4" s="1"/>
  <c r="E1640" i="4" s="1"/>
  <c r="F1640" i="4" s="1"/>
  <c r="J1639" i="4"/>
  <c r="C1639" i="4"/>
  <c r="D1639" i="4" s="1"/>
  <c r="E1639" i="4" s="1"/>
  <c r="F1639" i="4" s="1"/>
  <c r="J1638" i="4"/>
  <c r="C1638" i="4"/>
  <c r="D1638" i="4" s="1"/>
  <c r="E1638" i="4" s="1"/>
  <c r="F1638" i="4" s="1"/>
  <c r="J1637" i="4"/>
  <c r="C1637" i="4"/>
  <c r="D1637" i="4" s="1"/>
  <c r="E1637" i="4" s="1"/>
  <c r="F1637" i="4" s="1"/>
  <c r="J1636" i="4"/>
  <c r="C1636" i="4"/>
  <c r="D1636" i="4" s="1"/>
  <c r="E1636" i="4" s="1"/>
  <c r="F1636" i="4" s="1"/>
  <c r="J1635" i="4"/>
  <c r="C1635" i="4"/>
  <c r="D1635" i="4" s="1"/>
  <c r="E1635" i="4" s="1"/>
  <c r="F1635" i="4" s="1"/>
  <c r="J1634" i="4"/>
  <c r="C1634" i="4"/>
  <c r="D1634" i="4" s="1"/>
  <c r="E1634" i="4" s="1"/>
  <c r="F1634" i="4" s="1"/>
  <c r="C1633" i="4"/>
  <c r="D1633" i="4" s="1"/>
  <c r="E1633" i="4" s="1"/>
  <c r="F1633" i="4" s="1"/>
  <c r="J1633" i="4"/>
  <c r="J1632" i="4"/>
  <c r="C1632" i="4"/>
  <c r="D1632" i="4" s="1"/>
  <c r="E1632" i="4" s="1"/>
  <c r="F1632" i="4" s="1"/>
  <c r="J1631" i="4"/>
  <c r="C1631" i="4"/>
  <c r="D1631" i="4" s="1"/>
  <c r="E1631" i="4" s="1"/>
  <c r="F1631" i="4" s="1"/>
  <c r="C1630" i="4"/>
  <c r="D1630" i="4" s="1"/>
  <c r="E1630" i="4" s="1"/>
  <c r="F1630" i="4" s="1"/>
  <c r="J1630" i="4"/>
  <c r="J1629" i="4"/>
  <c r="C1629" i="4"/>
  <c r="D1629" i="4" s="1"/>
  <c r="E1629" i="4" s="1"/>
  <c r="F1629" i="4" s="1"/>
  <c r="J1628" i="4"/>
  <c r="C1628" i="4"/>
  <c r="D1628" i="4" s="1"/>
  <c r="E1628" i="4" s="1"/>
  <c r="F1628" i="4" s="1"/>
  <c r="J1627" i="4"/>
  <c r="C1627" i="4"/>
  <c r="D1627" i="4" s="1"/>
  <c r="E1627" i="4" s="1"/>
  <c r="F1627" i="4" s="1"/>
  <c r="J1626" i="4"/>
  <c r="C1626" i="4"/>
  <c r="D1626" i="4" s="1"/>
  <c r="E1626" i="4" s="1"/>
  <c r="F1626" i="4" s="1"/>
  <c r="J1625" i="4"/>
  <c r="C1625" i="4"/>
  <c r="D1625" i="4" s="1"/>
  <c r="E1625" i="4" s="1"/>
  <c r="F1625" i="4" s="1"/>
  <c r="J1624" i="4"/>
  <c r="C1624" i="4"/>
  <c r="D1624" i="4" s="1"/>
  <c r="E1624" i="4" s="1"/>
  <c r="F1624" i="4" s="1"/>
  <c r="J1623" i="4"/>
  <c r="C1623" i="4"/>
  <c r="D1623" i="4" s="1"/>
  <c r="E1623" i="4" s="1"/>
  <c r="F1623" i="4" s="1"/>
  <c r="J1622" i="4"/>
  <c r="C1622" i="4"/>
  <c r="D1622" i="4" s="1"/>
  <c r="E1622" i="4" s="1"/>
  <c r="F1622" i="4" s="1"/>
  <c r="J1621" i="4"/>
  <c r="C1621" i="4"/>
  <c r="D1621" i="4" s="1"/>
  <c r="E1621" i="4" s="1"/>
  <c r="F1621" i="4" s="1"/>
  <c r="C1620" i="4"/>
  <c r="D1620" i="4" s="1"/>
  <c r="E1620" i="4" s="1"/>
  <c r="F1620" i="4" s="1"/>
  <c r="J1620" i="4"/>
  <c r="J1619" i="4"/>
  <c r="C1619" i="4"/>
  <c r="D1619" i="4" s="1"/>
  <c r="E1619" i="4" s="1"/>
  <c r="F1619" i="4" s="1"/>
  <c r="J1618" i="4"/>
  <c r="C1618" i="4"/>
  <c r="D1618" i="4" s="1"/>
  <c r="E1618" i="4" s="1"/>
  <c r="F1618" i="4" s="1"/>
  <c r="J1617" i="4"/>
  <c r="C1617" i="4"/>
  <c r="D1617" i="4" s="1"/>
  <c r="E1617" i="4" s="1"/>
  <c r="F1617" i="4" s="1"/>
  <c r="J1616" i="4"/>
  <c r="C1616" i="4"/>
  <c r="D1616" i="4" s="1"/>
  <c r="E1616" i="4" s="1"/>
  <c r="F1616" i="4" s="1"/>
  <c r="J1615" i="4"/>
  <c r="C1615" i="4"/>
  <c r="D1615" i="4" s="1"/>
  <c r="E1615" i="4" s="1"/>
  <c r="F1615" i="4" s="1"/>
  <c r="J1614" i="4"/>
  <c r="C1614" i="4"/>
  <c r="D1614" i="4" s="1"/>
  <c r="E1614" i="4" s="1"/>
  <c r="F1614" i="4" s="1"/>
  <c r="J1613" i="4"/>
  <c r="C1613" i="4"/>
  <c r="D1613" i="4" s="1"/>
  <c r="E1613" i="4" s="1"/>
  <c r="F1613" i="4" s="1"/>
  <c r="J1612" i="4"/>
  <c r="C1612" i="4"/>
  <c r="D1612" i="4" s="1"/>
  <c r="E1612" i="4" s="1"/>
  <c r="F1612" i="4" s="1"/>
  <c r="J1611" i="4"/>
  <c r="C1611" i="4"/>
  <c r="D1611" i="4" s="1"/>
  <c r="E1611" i="4" s="1"/>
  <c r="F1611" i="4" s="1"/>
  <c r="J1610" i="4"/>
  <c r="C1610" i="4"/>
  <c r="D1610" i="4" s="1"/>
  <c r="E1610" i="4" s="1"/>
  <c r="F1610" i="4" s="1"/>
  <c r="J1609" i="4"/>
  <c r="C1609" i="4"/>
  <c r="D1609" i="4" s="1"/>
  <c r="E1609" i="4" s="1"/>
  <c r="F1609" i="4" s="1"/>
  <c r="J1608" i="4"/>
  <c r="C1608" i="4"/>
  <c r="D1608" i="4" s="1"/>
  <c r="E1608" i="4" s="1"/>
  <c r="F1608" i="4" s="1"/>
  <c r="J1607" i="4"/>
  <c r="C1607" i="4"/>
  <c r="D1607" i="4" s="1"/>
  <c r="E1607" i="4" s="1"/>
  <c r="F1607" i="4" s="1"/>
  <c r="J1606" i="4"/>
  <c r="C1606" i="4"/>
  <c r="D1606" i="4" s="1"/>
  <c r="E1606" i="4" s="1"/>
  <c r="F1606" i="4" s="1"/>
  <c r="J1605" i="4"/>
  <c r="C1605" i="4"/>
  <c r="D1605" i="4" s="1"/>
  <c r="E1605" i="4" s="1"/>
  <c r="F1605" i="4" s="1"/>
  <c r="J1604" i="4"/>
  <c r="C1604" i="4"/>
  <c r="D1604" i="4" s="1"/>
  <c r="E1604" i="4" s="1"/>
  <c r="F1604" i="4" s="1"/>
  <c r="J1603" i="4"/>
  <c r="C1603" i="4"/>
  <c r="D1603" i="4" s="1"/>
  <c r="E1603" i="4" s="1"/>
  <c r="F1603" i="4" s="1"/>
  <c r="J1602" i="4"/>
  <c r="C1602" i="4"/>
  <c r="D1602" i="4" s="1"/>
  <c r="E1602" i="4" s="1"/>
  <c r="F1602" i="4" s="1"/>
  <c r="C1601" i="4"/>
  <c r="D1601" i="4" s="1"/>
  <c r="E1601" i="4" s="1"/>
  <c r="F1601" i="4" s="1"/>
  <c r="J1601" i="4"/>
  <c r="C1600" i="4"/>
  <c r="D1600" i="4" s="1"/>
  <c r="E1600" i="4" s="1"/>
  <c r="F1600" i="4" s="1"/>
  <c r="J1600" i="4"/>
  <c r="C1599" i="4"/>
  <c r="D1599" i="4" s="1"/>
  <c r="E1599" i="4" s="1"/>
  <c r="F1599" i="4" s="1"/>
  <c r="J1599" i="4"/>
  <c r="C1598" i="4"/>
  <c r="D1598" i="4" s="1"/>
  <c r="E1598" i="4" s="1"/>
  <c r="F1598" i="4" s="1"/>
  <c r="J1598" i="4"/>
  <c r="C1597" i="4"/>
  <c r="D1597" i="4" s="1"/>
  <c r="E1597" i="4" s="1"/>
  <c r="F1597" i="4" s="1"/>
  <c r="J1597" i="4"/>
  <c r="J1596" i="4"/>
  <c r="C1596" i="4"/>
  <c r="D1596" i="4" s="1"/>
  <c r="E1596" i="4" s="1"/>
  <c r="F1596" i="4" s="1"/>
  <c r="C1595" i="4"/>
  <c r="D1595" i="4" s="1"/>
  <c r="E1595" i="4" s="1"/>
  <c r="F1595" i="4" s="1"/>
  <c r="J1595" i="4"/>
  <c r="J1594" i="4"/>
  <c r="C1594" i="4"/>
  <c r="D1594" i="4" s="1"/>
  <c r="E1594" i="4" s="1"/>
  <c r="F1594" i="4" s="1"/>
  <c r="J1593" i="4"/>
  <c r="C1593" i="4"/>
  <c r="D1593" i="4" s="1"/>
  <c r="E1593" i="4" s="1"/>
  <c r="F1593" i="4" s="1"/>
  <c r="J1592" i="4"/>
  <c r="C1592" i="4"/>
  <c r="D1592" i="4" s="1"/>
  <c r="E1592" i="4" s="1"/>
  <c r="F1592" i="4" s="1"/>
  <c r="J1591" i="4"/>
  <c r="C1591" i="4"/>
  <c r="D1591" i="4" s="1"/>
  <c r="E1591" i="4" s="1"/>
  <c r="F1591" i="4" s="1"/>
  <c r="C1590" i="4"/>
  <c r="D1590" i="4" s="1"/>
  <c r="E1590" i="4" s="1"/>
  <c r="F1590" i="4" s="1"/>
  <c r="J1590" i="4"/>
  <c r="C1589" i="4"/>
  <c r="D1589" i="4" s="1"/>
  <c r="E1589" i="4" s="1"/>
  <c r="F1589" i="4" s="1"/>
  <c r="J1589" i="4"/>
  <c r="C1588" i="4"/>
  <c r="D1588" i="4" s="1"/>
  <c r="E1588" i="4" s="1"/>
  <c r="F1588" i="4" s="1"/>
  <c r="J1588" i="4"/>
  <c r="J1587" i="4"/>
  <c r="C1587" i="4"/>
  <c r="D1587" i="4" s="1"/>
  <c r="E1587" i="4" s="1"/>
  <c r="F1587" i="4" s="1"/>
  <c r="C1586" i="4"/>
  <c r="D1586" i="4" s="1"/>
  <c r="E1586" i="4" s="1"/>
  <c r="F1586" i="4" s="1"/>
  <c r="J1586" i="4"/>
  <c r="J1585" i="4"/>
  <c r="C1585" i="4"/>
  <c r="D1585" i="4" s="1"/>
  <c r="E1585" i="4" s="1"/>
  <c r="F1585" i="4" s="1"/>
  <c r="J1584" i="4"/>
  <c r="C1584" i="4"/>
  <c r="D1584" i="4" s="1"/>
  <c r="E1584" i="4" s="1"/>
  <c r="F1584" i="4" s="1"/>
  <c r="J1583" i="4"/>
  <c r="C1583" i="4"/>
  <c r="D1583" i="4" s="1"/>
  <c r="E1583" i="4" s="1"/>
  <c r="F1583" i="4" s="1"/>
  <c r="J1582" i="4"/>
  <c r="C1582" i="4"/>
  <c r="D1582" i="4" s="1"/>
  <c r="E1582" i="4" s="1"/>
  <c r="F1582" i="4" s="1"/>
  <c r="C1581" i="4"/>
  <c r="D1581" i="4" s="1"/>
  <c r="E1581" i="4" s="1"/>
  <c r="F1581" i="4" s="1"/>
  <c r="J1581" i="4"/>
  <c r="J1580" i="4"/>
  <c r="C1580" i="4"/>
  <c r="D1580" i="4" s="1"/>
  <c r="E1580" i="4" s="1"/>
  <c r="F1580" i="4" s="1"/>
  <c r="J1579" i="4"/>
  <c r="C1579" i="4"/>
  <c r="D1579" i="4" s="1"/>
  <c r="E1579" i="4" s="1"/>
  <c r="F1579" i="4" s="1"/>
  <c r="J1578" i="4"/>
  <c r="C1578" i="4"/>
  <c r="D1578" i="4" s="1"/>
  <c r="E1578" i="4" s="1"/>
  <c r="F1578" i="4" s="1"/>
  <c r="J1577" i="4"/>
  <c r="C1577" i="4"/>
  <c r="D1577" i="4" s="1"/>
  <c r="E1577" i="4" s="1"/>
  <c r="F1577" i="4" s="1"/>
  <c r="J1576" i="4"/>
  <c r="C1576" i="4"/>
  <c r="D1576" i="4" s="1"/>
  <c r="E1576" i="4" s="1"/>
  <c r="F1576" i="4" s="1"/>
  <c r="J1575" i="4"/>
  <c r="C1575" i="4"/>
  <c r="D1575" i="4" s="1"/>
  <c r="E1575" i="4" s="1"/>
  <c r="F1575" i="4" s="1"/>
  <c r="C1574" i="4"/>
  <c r="D1574" i="4" s="1"/>
  <c r="E1574" i="4" s="1"/>
  <c r="F1574" i="4" s="1"/>
  <c r="J1574" i="4"/>
  <c r="C1573" i="4"/>
  <c r="D1573" i="4" s="1"/>
  <c r="E1573" i="4" s="1"/>
  <c r="F1573" i="4" s="1"/>
  <c r="J1573" i="4"/>
  <c r="C1572" i="4"/>
  <c r="D1572" i="4" s="1"/>
  <c r="E1572" i="4" s="1"/>
  <c r="F1572" i="4" s="1"/>
  <c r="J1572" i="4"/>
  <c r="C1571" i="4"/>
  <c r="D1571" i="4" s="1"/>
  <c r="E1571" i="4" s="1"/>
  <c r="F1571" i="4" s="1"/>
  <c r="J1571" i="4"/>
  <c r="C1570" i="4"/>
  <c r="D1570" i="4" s="1"/>
  <c r="E1570" i="4" s="1"/>
  <c r="F1570" i="4" s="1"/>
  <c r="J1570" i="4"/>
  <c r="C1569" i="4"/>
  <c r="D1569" i="4" s="1"/>
  <c r="E1569" i="4" s="1"/>
  <c r="F1569" i="4" s="1"/>
  <c r="J1569" i="4"/>
  <c r="C1568" i="4"/>
  <c r="D1568" i="4" s="1"/>
  <c r="E1568" i="4" s="1"/>
  <c r="F1568" i="4" s="1"/>
  <c r="J1568" i="4"/>
  <c r="C1567" i="4"/>
  <c r="D1567" i="4" s="1"/>
  <c r="E1567" i="4" s="1"/>
  <c r="F1567" i="4" s="1"/>
  <c r="J1567" i="4"/>
  <c r="C1566" i="4"/>
  <c r="D1566" i="4" s="1"/>
  <c r="E1566" i="4" s="1"/>
  <c r="F1566" i="4" s="1"/>
  <c r="J1566" i="4"/>
  <c r="C1565" i="4"/>
  <c r="D1565" i="4" s="1"/>
  <c r="E1565" i="4" s="1"/>
  <c r="F1565" i="4" s="1"/>
  <c r="J1565" i="4"/>
  <c r="C1564" i="4"/>
  <c r="D1564" i="4" s="1"/>
  <c r="E1564" i="4" s="1"/>
  <c r="F1564" i="4" s="1"/>
  <c r="J1564" i="4"/>
  <c r="C1563" i="4"/>
  <c r="D1563" i="4" s="1"/>
  <c r="E1563" i="4" s="1"/>
  <c r="F1563" i="4" s="1"/>
  <c r="J1563" i="4"/>
  <c r="C1562" i="4"/>
  <c r="D1562" i="4" s="1"/>
  <c r="E1562" i="4" s="1"/>
  <c r="F1562" i="4" s="1"/>
  <c r="J1562" i="4"/>
  <c r="C1561" i="4"/>
  <c r="D1561" i="4" s="1"/>
  <c r="E1561" i="4" s="1"/>
  <c r="F1561" i="4" s="1"/>
  <c r="J1561" i="4"/>
  <c r="C1560" i="4"/>
  <c r="D1560" i="4" s="1"/>
  <c r="E1560" i="4" s="1"/>
  <c r="F1560" i="4" s="1"/>
  <c r="J1560" i="4"/>
  <c r="C1559" i="4"/>
  <c r="D1559" i="4" s="1"/>
  <c r="E1559" i="4" s="1"/>
  <c r="F1559" i="4" s="1"/>
  <c r="J1559" i="4"/>
  <c r="J1558" i="4"/>
  <c r="C1558" i="4"/>
  <c r="D1558" i="4" s="1"/>
  <c r="E1558" i="4" s="1"/>
  <c r="F1558" i="4" s="1"/>
  <c r="J1557" i="4"/>
  <c r="C1557" i="4"/>
  <c r="D1557" i="4" s="1"/>
  <c r="E1557" i="4" s="1"/>
  <c r="F1557" i="4" s="1"/>
  <c r="J1556" i="4"/>
  <c r="C1556" i="4"/>
  <c r="D1556" i="4" s="1"/>
  <c r="E1556" i="4" s="1"/>
  <c r="F1556" i="4" s="1"/>
  <c r="J1555" i="4"/>
  <c r="C1555" i="4"/>
  <c r="D1555" i="4" s="1"/>
  <c r="E1555" i="4" s="1"/>
  <c r="F1555" i="4" s="1"/>
  <c r="C1554" i="4"/>
  <c r="D1554" i="4" s="1"/>
  <c r="E1554" i="4" s="1"/>
  <c r="F1554" i="4" s="1"/>
  <c r="J1554" i="4"/>
  <c r="C1553" i="4"/>
  <c r="D1553" i="4" s="1"/>
  <c r="E1553" i="4" s="1"/>
  <c r="F1553" i="4" s="1"/>
  <c r="J1553" i="4"/>
  <c r="C1552" i="4"/>
  <c r="D1552" i="4" s="1"/>
  <c r="E1552" i="4" s="1"/>
  <c r="F1552" i="4" s="1"/>
  <c r="J1552" i="4"/>
  <c r="C1551" i="4"/>
  <c r="D1551" i="4" s="1"/>
  <c r="E1551" i="4" s="1"/>
  <c r="F1551" i="4" s="1"/>
  <c r="J1551" i="4"/>
  <c r="C1550" i="4"/>
  <c r="D1550" i="4" s="1"/>
  <c r="E1550" i="4" s="1"/>
  <c r="F1550" i="4" s="1"/>
  <c r="J1550" i="4"/>
  <c r="J1549" i="4"/>
  <c r="C1549" i="4"/>
  <c r="D1549" i="4" s="1"/>
  <c r="E1549" i="4" s="1"/>
  <c r="F1549" i="4" s="1"/>
  <c r="C1548" i="4"/>
  <c r="D1548" i="4" s="1"/>
  <c r="E1548" i="4" s="1"/>
  <c r="F1548" i="4" s="1"/>
  <c r="J1548" i="4"/>
  <c r="C1547" i="4"/>
  <c r="D1547" i="4" s="1"/>
  <c r="E1547" i="4" s="1"/>
  <c r="F1547" i="4" s="1"/>
  <c r="J1547" i="4"/>
  <c r="J1546" i="4"/>
  <c r="C1546" i="4"/>
  <c r="D1546" i="4" s="1"/>
  <c r="E1546" i="4" s="1"/>
  <c r="F1546" i="4" s="1"/>
  <c r="J1545" i="4"/>
  <c r="C1545" i="4"/>
  <c r="D1545" i="4" s="1"/>
  <c r="E1545" i="4" s="1"/>
  <c r="F1545" i="4" s="1"/>
  <c r="J1544" i="4"/>
  <c r="C1544" i="4"/>
  <c r="D1544" i="4" s="1"/>
  <c r="E1544" i="4" s="1"/>
  <c r="F1544" i="4" s="1"/>
  <c r="J1543" i="4"/>
  <c r="C1543" i="4"/>
  <c r="D1543" i="4" s="1"/>
  <c r="E1543" i="4" s="1"/>
  <c r="F1543" i="4" s="1"/>
  <c r="J1542" i="4"/>
  <c r="C1542" i="4"/>
  <c r="D1542" i="4" s="1"/>
  <c r="E1542" i="4" s="1"/>
  <c r="F1542" i="4" s="1"/>
  <c r="J1541" i="4"/>
  <c r="C1541" i="4"/>
  <c r="D1541" i="4" s="1"/>
  <c r="E1541" i="4" s="1"/>
  <c r="F1541" i="4" s="1"/>
  <c r="C1540" i="4"/>
  <c r="D1540" i="4" s="1"/>
  <c r="E1540" i="4" s="1"/>
  <c r="F1540" i="4" s="1"/>
  <c r="J1540" i="4"/>
  <c r="C1539" i="4"/>
  <c r="D1539" i="4" s="1"/>
  <c r="E1539" i="4" s="1"/>
  <c r="F1539" i="4" s="1"/>
  <c r="J1539" i="4"/>
  <c r="C1538" i="4"/>
  <c r="D1538" i="4" s="1"/>
  <c r="E1538" i="4" s="1"/>
  <c r="F1538" i="4" s="1"/>
  <c r="J1538" i="4"/>
  <c r="J1537" i="4"/>
  <c r="C1537" i="4"/>
  <c r="D1537" i="4" s="1"/>
  <c r="E1537" i="4" s="1"/>
  <c r="F1537" i="4" s="1"/>
  <c r="C1536" i="4"/>
  <c r="D1536" i="4" s="1"/>
  <c r="E1536" i="4" s="1"/>
  <c r="F1536" i="4" s="1"/>
  <c r="J1536" i="4"/>
  <c r="C1535" i="4"/>
  <c r="D1535" i="4" s="1"/>
  <c r="E1535" i="4" s="1"/>
  <c r="F1535" i="4" s="1"/>
  <c r="J1535" i="4"/>
  <c r="C1534" i="4"/>
  <c r="D1534" i="4" s="1"/>
  <c r="E1534" i="4" s="1"/>
  <c r="F1534" i="4" s="1"/>
  <c r="J1534" i="4"/>
  <c r="C1533" i="4"/>
  <c r="D1533" i="4" s="1"/>
  <c r="E1533" i="4" s="1"/>
  <c r="F1533" i="4" s="1"/>
  <c r="J1533" i="4"/>
  <c r="C1532" i="4"/>
  <c r="D1532" i="4" s="1"/>
  <c r="E1532" i="4" s="1"/>
  <c r="F1532" i="4" s="1"/>
  <c r="J1532" i="4"/>
  <c r="C1531" i="4"/>
  <c r="D1531" i="4" s="1"/>
  <c r="E1531" i="4" s="1"/>
  <c r="F1531" i="4" s="1"/>
  <c r="J1531" i="4"/>
  <c r="C1530" i="4"/>
  <c r="D1530" i="4" s="1"/>
  <c r="E1530" i="4" s="1"/>
  <c r="F1530" i="4" s="1"/>
  <c r="J1530" i="4"/>
  <c r="J1529" i="4"/>
  <c r="C1529" i="4"/>
  <c r="D1529" i="4" s="1"/>
  <c r="E1529" i="4" s="1"/>
  <c r="F1529" i="4" s="1"/>
  <c r="J1528" i="4"/>
  <c r="C1528" i="4"/>
  <c r="D1528" i="4" s="1"/>
  <c r="E1528" i="4" s="1"/>
  <c r="F1528" i="4" s="1"/>
  <c r="C1527" i="4"/>
  <c r="D1527" i="4" s="1"/>
  <c r="E1527" i="4" s="1"/>
  <c r="F1527" i="4" s="1"/>
  <c r="J1527" i="4"/>
  <c r="J1526" i="4"/>
  <c r="C1526" i="4"/>
  <c r="D1526" i="4" s="1"/>
  <c r="E1526" i="4" s="1"/>
  <c r="F1526" i="4" s="1"/>
  <c r="C1525" i="4"/>
  <c r="D1525" i="4" s="1"/>
  <c r="E1525" i="4" s="1"/>
  <c r="F1525" i="4" s="1"/>
  <c r="J1525" i="4"/>
  <c r="C1524" i="4"/>
  <c r="D1524" i="4" s="1"/>
  <c r="E1524" i="4" s="1"/>
  <c r="F1524" i="4" s="1"/>
  <c r="J1524" i="4"/>
  <c r="C1523" i="4"/>
  <c r="D1523" i="4" s="1"/>
  <c r="E1523" i="4" s="1"/>
  <c r="F1523" i="4" s="1"/>
  <c r="J1523" i="4"/>
  <c r="C1522" i="4"/>
  <c r="D1522" i="4" s="1"/>
  <c r="E1522" i="4" s="1"/>
  <c r="F1522" i="4" s="1"/>
  <c r="J1522" i="4"/>
  <c r="C1521" i="4"/>
  <c r="D1521" i="4" s="1"/>
  <c r="E1521" i="4" s="1"/>
  <c r="F1521" i="4" s="1"/>
  <c r="J1521" i="4"/>
  <c r="J1520" i="4"/>
  <c r="C1520" i="4"/>
  <c r="D1520" i="4" s="1"/>
  <c r="E1520" i="4" s="1"/>
  <c r="F1520" i="4" s="1"/>
  <c r="J1519" i="4"/>
  <c r="C1519" i="4"/>
  <c r="D1519" i="4" s="1"/>
  <c r="E1519" i="4" s="1"/>
  <c r="F1519" i="4" s="1"/>
  <c r="J1518" i="4"/>
  <c r="C1518" i="4"/>
  <c r="D1518" i="4" s="1"/>
  <c r="E1518" i="4" s="1"/>
  <c r="F1518" i="4" s="1"/>
  <c r="J1517" i="4"/>
  <c r="C1517" i="4"/>
  <c r="D1517" i="4" s="1"/>
  <c r="E1517" i="4" s="1"/>
  <c r="F1517" i="4" s="1"/>
  <c r="C1516" i="4"/>
  <c r="D1516" i="4" s="1"/>
  <c r="E1516" i="4" s="1"/>
  <c r="F1516" i="4" s="1"/>
  <c r="J1516" i="4"/>
  <c r="C1515" i="4"/>
  <c r="D1515" i="4" s="1"/>
  <c r="E1515" i="4" s="1"/>
  <c r="F1515" i="4" s="1"/>
  <c r="J1515" i="4"/>
  <c r="J1514" i="4"/>
  <c r="C1514" i="4"/>
  <c r="D1514" i="4" s="1"/>
  <c r="E1514" i="4" s="1"/>
  <c r="F1514" i="4" s="1"/>
  <c r="C1513" i="4"/>
  <c r="D1513" i="4" s="1"/>
  <c r="E1513" i="4" s="1"/>
  <c r="F1513" i="4" s="1"/>
  <c r="J1513" i="4"/>
  <c r="C1512" i="4"/>
  <c r="D1512" i="4" s="1"/>
  <c r="E1512" i="4" s="1"/>
  <c r="F1512" i="4" s="1"/>
  <c r="J1512" i="4"/>
  <c r="C1511" i="4"/>
  <c r="D1511" i="4" s="1"/>
  <c r="E1511" i="4" s="1"/>
  <c r="F1511" i="4" s="1"/>
  <c r="J1511" i="4"/>
  <c r="J1510" i="4"/>
  <c r="C1510" i="4"/>
  <c r="D1510" i="4" s="1"/>
  <c r="E1510" i="4" s="1"/>
  <c r="F1510" i="4" s="1"/>
  <c r="J1509" i="4"/>
  <c r="C1509" i="4"/>
  <c r="D1509" i="4" s="1"/>
  <c r="E1509" i="4" s="1"/>
  <c r="F1509" i="4" s="1"/>
  <c r="J1508" i="4"/>
  <c r="C1508" i="4"/>
  <c r="D1508" i="4" s="1"/>
  <c r="E1508" i="4" s="1"/>
  <c r="F1508" i="4" s="1"/>
  <c r="J1507" i="4"/>
  <c r="C1507" i="4"/>
  <c r="D1507" i="4" s="1"/>
  <c r="E1507" i="4" s="1"/>
  <c r="F1507" i="4" s="1"/>
  <c r="C1506" i="4"/>
  <c r="D1506" i="4" s="1"/>
  <c r="E1506" i="4" s="1"/>
  <c r="F1506" i="4" s="1"/>
  <c r="J1506" i="4"/>
  <c r="J1505" i="4"/>
  <c r="C1505" i="4"/>
  <c r="D1505" i="4" s="1"/>
  <c r="E1505" i="4" s="1"/>
  <c r="F1505" i="4" s="1"/>
  <c r="J1504" i="4"/>
  <c r="C1504" i="4"/>
  <c r="D1504" i="4" s="1"/>
  <c r="E1504" i="4" s="1"/>
  <c r="F1504" i="4" s="1"/>
  <c r="J1503" i="4"/>
  <c r="C1503" i="4"/>
  <c r="D1503" i="4" s="1"/>
  <c r="E1503" i="4" s="1"/>
  <c r="F1503" i="4" s="1"/>
  <c r="C1501" i="4"/>
  <c r="D1501" i="4" s="1"/>
  <c r="E1501" i="4" s="1"/>
  <c r="F1501" i="4" s="1"/>
  <c r="J1501" i="4"/>
  <c r="J1500" i="4"/>
  <c r="C1500" i="4"/>
  <c r="D1500" i="4" s="1"/>
  <c r="E1500" i="4" s="1"/>
  <c r="F1500" i="4" s="1"/>
  <c r="C1499" i="4"/>
  <c r="D1499" i="4" s="1"/>
  <c r="E1499" i="4" s="1"/>
  <c r="F1499" i="4" s="1"/>
  <c r="J1499" i="4"/>
  <c r="J1498" i="4"/>
  <c r="C1498" i="4"/>
  <c r="D1498" i="4" s="1"/>
  <c r="E1498" i="4" s="1"/>
  <c r="F1498" i="4" s="1"/>
  <c r="C1497" i="4"/>
  <c r="D1497" i="4" s="1"/>
  <c r="E1497" i="4" s="1"/>
  <c r="F1497" i="4" s="1"/>
  <c r="J1497" i="4"/>
  <c r="C1496" i="4"/>
  <c r="D1496" i="4" s="1"/>
  <c r="E1496" i="4" s="1"/>
  <c r="F1496" i="4" s="1"/>
  <c r="J1496" i="4"/>
  <c r="C1495" i="4"/>
  <c r="D1495" i="4" s="1"/>
  <c r="E1495" i="4" s="1"/>
  <c r="F1495" i="4" s="1"/>
  <c r="J1495" i="4"/>
  <c r="J1494" i="4"/>
  <c r="C1494" i="4"/>
  <c r="D1494" i="4" s="1"/>
  <c r="E1494" i="4" s="1"/>
  <c r="F1494" i="4" s="1"/>
  <c r="J1493" i="4"/>
  <c r="C1493" i="4"/>
  <c r="D1493" i="4" s="1"/>
  <c r="E1493" i="4" s="1"/>
  <c r="F1493" i="4" s="1"/>
  <c r="J1492" i="4"/>
  <c r="C1492" i="4"/>
  <c r="D1492" i="4" s="1"/>
  <c r="E1492" i="4" s="1"/>
  <c r="F1492" i="4" s="1"/>
  <c r="J1491" i="4"/>
  <c r="C1491" i="4"/>
  <c r="D1491" i="4" s="1"/>
  <c r="E1491" i="4" s="1"/>
  <c r="F1491" i="4" s="1"/>
  <c r="J1490" i="4"/>
  <c r="C1490" i="4"/>
  <c r="D1490" i="4" s="1"/>
  <c r="E1490" i="4" s="1"/>
  <c r="F1490" i="4" s="1"/>
  <c r="J1489" i="4"/>
  <c r="C1489" i="4"/>
  <c r="D1489" i="4" s="1"/>
  <c r="E1489" i="4" s="1"/>
  <c r="F1489" i="4" s="1"/>
  <c r="J1488" i="4"/>
  <c r="C1488" i="4"/>
  <c r="D1488" i="4" s="1"/>
  <c r="E1488" i="4" s="1"/>
  <c r="F1488" i="4" s="1"/>
  <c r="J1487" i="4"/>
  <c r="C1487" i="4"/>
  <c r="D1487" i="4" s="1"/>
  <c r="E1487" i="4" s="1"/>
  <c r="F1487" i="4" s="1"/>
  <c r="J1486" i="4"/>
  <c r="C1486" i="4"/>
  <c r="D1486" i="4" s="1"/>
  <c r="E1486" i="4" s="1"/>
  <c r="F1486" i="4" s="1"/>
  <c r="J1485" i="4"/>
  <c r="C1485" i="4"/>
  <c r="D1485" i="4" s="1"/>
  <c r="E1485" i="4" s="1"/>
  <c r="F1485" i="4" s="1"/>
  <c r="J1484" i="4"/>
  <c r="C1484" i="4"/>
  <c r="D1484" i="4" s="1"/>
  <c r="E1484" i="4" s="1"/>
  <c r="F1484" i="4" s="1"/>
  <c r="J1483" i="4"/>
  <c r="C1483" i="4"/>
  <c r="D1483" i="4" s="1"/>
  <c r="E1483" i="4" s="1"/>
  <c r="F1483" i="4" s="1"/>
  <c r="J1482" i="4"/>
  <c r="C1482" i="4"/>
  <c r="D1482" i="4" s="1"/>
  <c r="E1482" i="4" s="1"/>
  <c r="F1482" i="4" s="1"/>
  <c r="J1481" i="4"/>
  <c r="C1481" i="4"/>
  <c r="D1481" i="4" s="1"/>
  <c r="E1481" i="4" s="1"/>
  <c r="F1481" i="4" s="1"/>
  <c r="C1480" i="4"/>
  <c r="D1480" i="4" s="1"/>
  <c r="E1480" i="4" s="1"/>
  <c r="F1480" i="4" s="1"/>
  <c r="J1480" i="4"/>
  <c r="J1479" i="4"/>
  <c r="C1479" i="4"/>
  <c r="D1479" i="4" s="1"/>
  <c r="E1479" i="4" s="1"/>
  <c r="F1479" i="4" s="1"/>
  <c r="J1478" i="4"/>
  <c r="C1478" i="4"/>
  <c r="D1478" i="4" s="1"/>
  <c r="E1478" i="4" s="1"/>
  <c r="F1478" i="4" s="1"/>
  <c r="J1477" i="4"/>
  <c r="C1477" i="4"/>
  <c r="D1477" i="4" s="1"/>
  <c r="E1477" i="4" s="1"/>
  <c r="F1477" i="4" s="1"/>
  <c r="C1476" i="4"/>
  <c r="D1476" i="4" s="1"/>
  <c r="E1476" i="4" s="1"/>
  <c r="F1476" i="4" s="1"/>
  <c r="J1476" i="4"/>
  <c r="C1475" i="4"/>
  <c r="D1475" i="4" s="1"/>
  <c r="E1475" i="4" s="1"/>
  <c r="F1475" i="4" s="1"/>
  <c r="J1475" i="4"/>
  <c r="C1474" i="4"/>
  <c r="D1474" i="4" s="1"/>
  <c r="E1474" i="4" s="1"/>
  <c r="F1474" i="4" s="1"/>
  <c r="J1474" i="4"/>
  <c r="J1473" i="4"/>
  <c r="C1473" i="4"/>
  <c r="D1473" i="4" s="1"/>
  <c r="E1473" i="4" s="1"/>
  <c r="F1473" i="4" s="1"/>
  <c r="J1472" i="4"/>
  <c r="C1472" i="4"/>
  <c r="D1472" i="4" s="1"/>
  <c r="E1472" i="4" s="1"/>
  <c r="F1472" i="4" s="1"/>
  <c r="C1471" i="4"/>
  <c r="D1471" i="4" s="1"/>
  <c r="E1471" i="4" s="1"/>
  <c r="F1471" i="4" s="1"/>
  <c r="J1471" i="4"/>
  <c r="J1470" i="4"/>
  <c r="C1470" i="4"/>
  <c r="D1470" i="4" s="1"/>
  <c r="E1470" i="4" s="1"/>
  <c r="F1470" i="4" s="1"/>
  <c r="J1469" i="4"/>
  <c r="C1469" i="4"/>
  <c r="D1469" i="4" s="1"/>
  <c r="E1469" i="4" s="1"/>
  <c r="F1469" i="4" s="1"/>
  <c r="J1468" i="4"/>
  <c r="C1468" i="4"/>
  <c r="D1468" i="4" s="1"/>
  <c r="E1468" i="4" s="1"/>
  <c r="F1468" i="4" s="1"/>
  <c r="J1467" i="4"/>
  <c r="C1467" i="4"/>
  <c r="D1467" i="4" s="1"/>
  <c r="E1467" i="4" s="1"/>
  <c r="F1467" i="4" s="1"/>
  <c r="J1466" i="4"/>
  <c r="C1466" i="4"/>
  <c r="D1466" i="4" s="1"/>
  <c r="E1466" i="4" s="1"/>
  <c r="F1466" i="4" s="1"/>
  <c r="J1465" i="4"/>
  <c r="C1465" i="4"/>
  <c r="D1465" i="4" s="1"/>
  <c r="E1465" i="4" s="1"/>
  <c r="F1465" i="4" s="1"/>
  <c r="J1464" i="4"/>
  <c r="C1464" i="4"/>
  <c r="D1464" i="4" s="1"/>
  <c r="E1464" i="4" s="1"/>
  <c r="F1464" i="4" s="1"/>
  <c r="J1463" i="4"/>
  <c r="C1463" i="4"/>
  <c r="D1463" i="4" s="1"/>
  <c r="E1463" i="4" s="1"/>
  <c r="F1463" i="4" s="1"/>
  <c r="J1462" i="4"/>
  <c r="C1462" i="4"/>
  <c r="D1462" i="4" s="1"/>
  <c r="E1462" i="4" s="1"/>
  <c r="F1462" i="4" s="1"/>
  <c r="C1461" i="4"/>
  <c r="D1461" i="4" s="1"/>
  <c r="E1461" i="4" s="1"/>
  <c r="F1461" i="4" s="1"/>
  <c r="J1461" i="4"/>
  <c r="J1460" i="4"/>
  <c r="C1460" i="4"/>
  <c r="D1460" i="4" s="1"/>
  <c r="E1460" i="4" s="1"/>
  <c r="F1460" i="4" s="1"/>
  <c r="J1459" i="4"/>
  <c r="C1459" i="4"/>
  <c r="D1459" i="4" s="1"/>
  <c r="E1459" i="4" s="1"/>
  <c r="F1459" i="4" s="1"/>
  <c r="J1458" i="4"/>
  <c r="C1458" i="4"/>
  <c r="D1458" i="4" s="1"/>
  <c r="E1458" i="4" s="1"/>
  <c r="F1458" i="4" s="1"/>
  <c r="J1457" i="4"/>
  <c r="C1457" i="4"/>
  <c r="D1457" i="4" s="1"/>
  <c r="E1457" i="4" s="1"/>
  <c r="F1457" i="4" s="1"/>
  <c r="J1456" i="4"/>
  <c r="C1456" i="4"/>
  <c r="D1456" i="4" s="1"/>
  <c r="E1456" i="4" s="1"/>
  <c r="F1456" i="4" s="1"/>
  <c r="J1455" i="4"/>
  <c r="C1455" i="4"/>
  <c r="D1455" i="4" s="1"/>
  <c r="E1455" i="4" s="1"/>
  <c r="F1455" i="4" s="1"/>
  <c r="J1454" i="4"/>
  <c r="C1454" i="4"/>
  <c r="D1454" i="4" s="1"/>
  <c r="E1454" i="4" s="1"/>
  <c r="F1454" i="4" s="1"/>
  <c r="J1453" i="4"/>
  <c r="C1453" i="4"/>
  <c r="D1453" i="4" s="1"/>
  <c r="E1453" i="4" s="1"/>
  <c r="F1453" i="4" s="1"/>
  <c r="J1452" i="4"/>
  <c r="C1452" i="4"/>
  <c r="D1452" i="4" s="1"/>
  <c r="E1452" i="4" s="1"/>
  <c r="F1452" i="4" s="1"/>
  <c r="J1451" i="4"/>
  <c r="C1451" i="4"/>
  <c r="D1451" i="4" s="1"/>
  <c r="E1451" i="4" s="1"/>
  <c r="F1451" i="4" s="1"/>
  <c r="J1450" i="4"/>
  <c r="C1450" i="4"/>
  <c r="D1450" i="4" s="1"/>
  <c r="E1450" i="4" s="1"/>
  <c r="F1450" i="4" s="1"/>
  <c r="J1449" i="4"/>
  <c r="C1449" i="4"/>
  <c r="D1449" i="4" s="1"/>
  <c r="E1449" i="4" s="1"/>
  <c r="F1449" i="4" s="1"/>
  <c r="J1448" i="4"/>
  <c r="C1448" i="4"/>
  <c r="D1448" i="4" s="1"/>
  <c r="E1448" i="4" s="1"/>
  <c r="F1448" i="4" s="1"/>
  <c r="C1447" i="4"/>
  <c r="D1447" i="4" s="1"/>
  <c r="E1447" i="4" s="1"/>
  <c r="F1447" i="4" s="1"/>
  <c r="J1447" i="4"/>
  <c r="J1446" i="4"/>
  <c r="C1446" i="4"/>
  <c r="D1446" i="4" s="1"/>
  <c r="E1446" i="4" s="1"/>
  <c r="F1446" i="4" s="1"/>
  <c r="J1445" i="4"/>
  <c r="C1445" i="4"/>
  <c r="D1445" i="4" s="1"/>
  <c r="E1445" i="4" s="1"/>
  <c r="F1445" i="4" s="1"/>
  <c r="J1444" i="4"/>
  <c r="C1444" i="4"/>
  <c r="D1444" i="4" s="1"/>
  <c r="E1444" i="4" s="1"/>
  <c r="F1444" i="4" s="1"/>
  <c r="J1443" i="4"/>
  <c r="C1443" i="4"/>
  <c r="D1443" i="4" s="1"/>
  <c r="E1443" i="4" s="1"/>
  <c r="F1443" i="4" s="1"/>
  <c r="C1442" i="4"/>
  <c r="D1442" i="4" s="1"/>
  <c r="E1442" i="4" s="1"/>
  <c r="F1442" i="4" s="1"/>
  <c r="J1442" i="4"/>
  <c r="J1441" i="4"/>
  <c r="C1441" i="4"/>
  <c r="D1441" i="4" s="1"/>
  <c r="E1441" i="4" s="1"/>
  <c r="F1441" i="4" s="1"/>
  <c r="J1440" i="4"/>
  <c r="C1440" i="4"/>
  <c r="D1440" i="4" s="1"/>
  <c r="E1440" i="4" s="1"/>
  <c r="F1440" i="4" s="1"/>
  <c r="C1439" i="4"/>
  <c r="D1439" i="4" s="1"/>
  <c r="E1439" i="4" s="1"/>
  <c r="F1439" i="4" s="1"/>
  <c r="J1439" i="4"/>
  <c r="C1438" i="4"/>
  <c r="D1438" i="4" s="1"/>
  <c r="E1438" i="4" s="1"/>
  <c r="F1438" i="4" s="1"/>
  <c r="J1438" i="4"/>
  <c r="C1437" i="4"/>
  <c r="D1437" i="4" s="1"/>
  <c r="E1437" i="4" s="1"/>
  <c r="F1437" i="4" s="1"/>
  <c r="J1437" i="4"/>
  <c r="J1436" i="4"/>
  <c r="C1436" i="4"/>
  <c r="D1436" i="4" s="1"/>
  <c r="E1436" i="4" s="1"/>
  <c r="F1436" i="4" s="1"/>
  <c r="J1435" i="4"/>
  <c r="C1435" i="4"/>
  <c r="D1435" i="4" s="1"/>
  <c r="E1435" i="4" s="1"/>
  <c r="F1435" i="4" s="1"/>
  <c r="J1434" i="4"/>
  <c r="C1434" i="4"/>
  <c r="D1434" i="4" s="1"/>
  <c r="E1434" i="4" s="1"/>
  <c r="F1434" i="4" s="1"/>
  <c r="J1433" i="4"/>
  <c r="C1433" i="4"/>
  <c r="D1433" i="4" s="1"/>
  <c r="E1433" i="4" s="1"/>
  <c r="F1433" i="4" s="1"/>
  <c r="J1432" i="4"/>
  <c r="C1432" i="4"/>
  <c r="D1432" i="4" s="1"/>
  <c r="E1432" i="4" s="1"/>
  <c r="F1432" i="4" s="1"/>
  <c r="J1431" i="4"/>
  <c r="C1431" i="4"/>
  <c r="D1431" i="4" s="1"/>
  <c r="E1431" i="4" s="1"/>
  <c r="F1431" i="4" s="1"/>
  <c r="J1430" i="4"/>
  <c r="C1430" i="4"/>
  <c r="D1430" i="4" s="1"/>
  <c r="E1430" i="4" s="1"/>
  <c r="F1430" i="4" s="1"/>
  <c r="J1429" i="4"/>
  <c r="C1429" i="4"/>
  <c r="D1429" i="4" s="1"/>
  <c r="E1429" i="4" s="1"/>
  <c r="F1429" i="4" s="1"/>
  <c r="J1428" i="4"/>
  <c r="C1428" i="4"/>
  <c r="D1428" i="4" s="1"/>
  <c r="E1428" i="4" s="1"/>
  <c r="F1428" i="4" s="1"/>
  <c r="J1427" i="4"/>
  <c r="C1427" i="4"/>
  <c r="D1427" i="4" s="1"/>
  <c r="E1427" i="4" s="1"/>
  <c r="F1427" i="4" s="1"/>
  <c r="J1426" i="4"/>
  <c r="C1426" i="4"/>
  <c r="D1426" i="4" s="1"/>
  <c r="E1426" i="4" s="1"/>
  <c r="F1426" i="4" s="1"/>
  <c r="J1425" i="4"/>
  <c r="C1425" i="4"/>
  <c r="D1425" i="4" s="1"/>
  <c r="E1425" i="4" s="1"/>
  <c r="F1425" i="4" s="1"/>
  <c r="J1424" i="4"/>
  <c r="C1424" i="4"/>
  <c r="D1424" i="4" s="1"/>
  <c r="E1424" i="4" s="1"/>
  <c r="F1424" i="4" s="1"/>
  <c r="J1423" i="4"/>
  <c r="C1423" i="4"/>
  <c r="D1423" i="4" s="1"/>
  <c r="E1423" i="4" s="1"/>
  <c r="F1423" i="4" s="1"/>
  <c r="J1422" i="4"/>
  <c r="C1422" i="4"/>
  <c r="D1422" i="4" s="1"/>
  <c r="E1422" i="4" s="1"/>
  <c r="F1422" i="4" s="1"/>
  <c r="J1421" i="4"/>
  <c r="C1421" i="4"/>
  <c r="D1421" i="4" s="1"/>
  <c r="E1421" i="4" s="1"/>
  <c r="F1421" i="4" s="1"/>
  <c r="J1420" i="4"/>
  <c r="C1420" i="4"/>
  <c r="D1420" i="4" s="1"/>
  <c r="E1420" i="4" s="1"/>
  <c r="F1420" i="4" s="1"/>
  <c r="J1419" i="4"/>
  <c r="C1419" i="4"/>
  <c r="D1419" i="4" s="1"/>
  <c r="E1419" i="4" s="1"/>
  <c r="F1419" i="4" s="1"/>
  <c r="J1418" i="4"/>
  <c r="C1418" i="4"/>
  <c r="D1418" i="4" s="1"/>
  <c r="E1418" i="4" s="1"/>
  <c r="F1418" i="4" s="1"/>
  <c r="J1417" i="4"/>
  <c r="C1417" i="4"/>
  <c r="D1417" i="4" s="1"/>
  <c r="E1417" i="4" s="1"/>
  <c r="F1417" i="4" s="1"/>
  <c r="J1416" i="4"/>
  <c r="C1416" i="4"/>
  <c r="D1416" i="4" s="1"/>
  <c r="E1416" i="4" s="1"/>
  <c r="F1416" i="4" s="1"/>
  <c r="J1415" i="4"/>
  <c r="C1415" i="4"/>
  <c r="D1415" i="4" s="1"/>
  <c r="E1415" i="4" s="1"/>
  <c r="F1415" i="4" s="1"/>
  <c r="J1414" i="4"/>
  <c r="C1414" i="4"/>
  <c r="D1414" i="4" s="1"/>
  <c r="E1414" i="4" s="1"/>
  <c r="F1414" i="4" s="1"/>
  <c r="J1413" i="4"/>
  <c r="C1413" i="4"/>
  <c r="D1413" i="4" s="1"/>
  <c r="E1413" i="4" s="1"/>
  <c r="F1413" i="4" s="1"/>
  <c r="J1412" i="4"/>
  <c r="C1412" i="4"/>
  <c r="D1412" i="4" s="1"/>
  <c r="E1412" i="4" s="1"/>
  <c r="F1412" i="4" s="1"/>
  <c r="C1411" i="4"/>
  <c r="D1411" i="4" s="1"/>
  <c r="E1411" i="4" s="1"/>
  <c r="F1411" i="4" s="1"/>
  <c r="J1411" i="4"/>
  <c r="J1410" i="4"/>
  <c r="C1410" i="4"/>
  <c r="D1410" i="4" s="1"/>
  <c r="E1410" i="4" s="1"/>
  <c r="F1410" i="4" s="1"/>
  <c r="J1409" i="4"/>
  <c r="C1409" i="4"/>
  <c r="D1409" i="4" s="1"/>
  <c r="E1409" i="4" s="1"/>
  <c r="F1409" i="4" s="1"/>
  <c r="C1408" i="4"/>
  <c r="D1408" i="4" s="1"/>
  <c r="E1408" i="4" s="1"/>
  <c r="F1408" i="4" s="1"/>
  <c r="J1408" i="4"/>
  <c r="J1407" i="4"/>
  <c r="C1407" i="4"/>
  <c r="D1407" i="4" s="1"/>
  <c r="E1407" i="4" s="1"/>
  <c r="F1407" i="4" s="1"/>
  <c r="C1406" i="4"/>
  <c r="D1406" i="4" s="1"/>
  <c r="E1406" i="4" s="1"/>
  <c r="F1406" i="4" s="1"/>
  <c r="J1406" i="4"/>
  <c r="J1405" i="4"/>
  <c r="C1405" i="4"/>
  <c r="D1405" i="4" s="1"/>
  <c r="E1405" i="4" s="1"/>
  <c r="F1405" i="4" s="1"/>
  <c r="J1404" i="4"/>
  <c r="C1404" i="4"/>
  <c r="D1404" i="4" s="1"/>
  <c r="E1404" i="4" s="1"/>
  <c r="F1404" i="4" s="1"/>
  <c r="J1403" i="4"/>
  <c r="C1403" i="4"/>
  <c r="D1403" i="4" s="1"/>
  <c r="E1403" i="4" s="1"/>
  <c r="F1403" i="4" s="1"/>
  <c r="C1402" i="4"/>
  <c r="D1402" i="4" s="1"/>
  <c r="E1402" i="4" s="1"/>
  <c r="F1402" i="4" s="1"/>
  <c r="J1402" i="4"/>
  <c r="C1401" i="4"/>
  <c r="D1401" i="4" s="1"/>
  <c r="E1401" i="4" s="1"/>
  <c r="F1401" i="4" s="1"/>
  <c r="J1401" i="4"/>
  <c r="J1400" i="4"/>
  <c r="C1400" i="4"/>
  <c r="D1400" i="4" s="1"/>
  <c r="E1400" i="4" s="1"/>
  <c r="F1400" i="4" s="1"/>
  <c r="J1399" i="4"/>
  <c r="C1399" i="4"/>
  <c r="D1399" i="4" s="1"/>
  <c r="E1399" i="4" s="1"/>
  <c r="F1399" i="4" s="1"/>
  <c r="J1398" i="4"/>
  <c r="C1398" i="4"/>
  <c r="D1398" i="4" s="1"/>
  <c r="E1398" i="4" s="1"/>
  <c r="F1398" i="4" s="1"/>
  <c r="J1397" i="4"/>
  <c r="C1397" i="4"/>
  <c r="D1397" i="4" s="1"/>
  <c r="E1397" i="4" s="1"/>
  <c r="F1397" i="4" s="1"/>
  <c r="J1396" i="4"/>
  <c r="C1396" i="4"/>
  <c r="D1396" i="4" s="1"/>
  <c r="E1396" i="4" s="1"/>
  <c r="F1396" i="4" s="1"/>
  <c r="J1395" i="4"/>
  <c r="C1395" i="4"/>
  <c r="D1395" i="4" s="1"/>
  <c r="E1395" i="4" s="1"/>
  <c r="F1395" i="4" s="1"/>
  <c r="J1394" i="4"/>
  <c r="C1394" i="4"/>
  <c r="D1394" i="4" s="1"/>
  <c r="E1394" i="4" s="1"/>
  <c r="F1394" i="4" s="1"/>
  <c r="J1393" i="4"/>
  <c r="C1393" i="4"/>
  <c r="D1393" i="4" s="1"/>
  <c r="E1393" i="4" s="1"/>
  <c r="F1393" i="4" s="1"/>
  <c r="J1392" i="4"/>
  <c r="C1392" i="4"/>
  <c r="D1392" i="4" s="1"/>
  <c r="E1392" i="4" s="1"/>
  <c r="F1392" i="4" s="1"/>
  <c r="C1391" i="4"/>
  <c r="D1391" i="4" s="1"/>
  <c r="E1391" i="4" s="1"/>
  <c r="F1391" i="4" s="1"/>
  <c r="J1391" i="4"/>
  <c r="J1390" i="4"/>
  <c r="C1390" i="4"/>
  <c r="D1390" i="4" s="1"/>
  <c r="E1390" i="4" s="1"/>
  <c r="F1390" i="4" s="1"/>
  <c r="J1389" i="4"/>
  <c r="C1389" i="4"/>
  <c r="D1389" i="4" s="1"/>
  <c r="E1389" i="4" s="1"/>
  <c r="F1389" i="4" s="1"/>
  <c r="J1388" i="4"/>
  <c r="C1388" i="4"/>
  <c r="D1388" i="4" s="1"/>
  <c r="E1388" i="4" s="1"/>
  <c r="F1388" i="4" s="1"/>
  <c r="J1387" i="4"/>
  <c r="C1387" i="4"/>
  <c r="D1387" i="4" s="1"/>
  <c r="E1387" i="4" s="1"/>
  <c r="F1387" i="4" s="1"/>
  <c r="J1386" i="4"/>
  <c r="C1386" i="4"/>
  <c r="D1386" i="4" s="1"/>
  <c r="E1386" i="4" s="1"/>
  <c r="F1386" i="4" s="1"/>
  <c r="J1385" i="4"/>
  <c r="C1385" i="4"/>
  <c r="D1385" i="4" s="1"/>
  <c r="E1385" i="4" s="1"/>
  <c r="F1385" i="4" s="1"/>
  <c r="J1384" i="4"/>
  <c r="C1384" i="4"/>
  <c r="D1384" i="4" s="1"/>
  <c r="E1384" i="4" s="1"/>
  <c r="F1384" i="4" s="1"/>
  <c r="J1383" i="4"/>
  <c r="C1383" i="4"/>
  <c r="D1383" i="4" s="1"/>
  <c r="E1383" i="4" s="1"/>
  <c r="F1383" i="4" s="1"/>
  <c r="J1382" i="4"/>
  <c r="C1382" i="4"/>
  <c r="D1382" i="4" s="1"/>
  <c r="E1382" i="4" s="1"/>
  <c r="F1382" i="4" s="1"/>
  <c r="J1381" i="4"/>
  <c r="C1381" i="4"/>
  <c r="D1381" i="4" s="1"/>
  <c r="E1381" i="4" s="1"/>
  <c r="F1381" i="4" s="1"/>
  <c r="J1380" i="4"/>
  <c r="C1380" i="4"/>
  <c r="D1380" i="4" s="1"/>
  <c r="E1380" i="4" s="1"/>
  <c r="F1380" i="4" s="1"/>
  <c r="J1379" i="4"/>
  <c r="C1379" i="4"/>
  <c r="D1379" i="4" s="1"/>
  <c r="E1379" i="4" s="1"/>
  <c r="F1379" i="4" s="1"/>
  <c r="J1378" i="4"/>
  <c r="C1378" i="4"/>
  <c r="D1378" i="4" s="1"/>
  <c r="E1378" i="4" s="1"/>
  <c r="F1378" i="4" s="1"/>
  <c r="J1377" i="4"/>
  <c r="C1377" i="4"/>
  <c r="D1377" i="4" s="1"/>
  <c r="E1377" i="4" s="1"/>
  <c r="F1377" i="4" s="1"/>
  <c r="J1376" i="4"/>
  <c r="C1376" i="4"/>
  <c r="D1376" i="4" s="1"/>
  <c r="E1376" i="4" s="1"/>
  <c r="F1376" i="4" s="1"/>
  <c r="J1375" i="4"/>
  <c r="C1375" i="4"/>
  <c r="D1375" i="4" s="1"/>
  <c r="E1375" i="4" s="1"/>
  <c r="F1375" i="4" s="1"/>
  <c r="J1374" i="4"/>
  <c r="C1374" i="4"/>
  <c r="D1374" i="4" s="1"/>
  <c r="E1374" i="4" s="1"/>
  <c r="F1374" i="4" s="1"/>
  <c r="J1373" i="4"/>
  <c r="C1373" i="4"/>
  <c r="D1373" i="4" s="1"/>
  <c r="E1373" i="4" s="1"/>
  <c r="F1373" i="4" s="1"/>
  <c r="J1372" i="4"/>
  <c r="C1372" i="4"/>
  <c r="D1372" i="4" s="1"/>
  <c r="E1372" i="4" s="1"/>
  <c r="F1372" i="4" s="1"/>
  <c r="J1371" i="4"/>
  <c r="C1371" i="4"/>
  <c r="D1371" i="4" s="1"/>
  <c r="E1371" i="4" s="1"/>
  <c r="F1371" i="4" s="1"/>
  <c r="J1370" i="4"/>
  <c r="C1370" i="4"/>
  <c r="D1370" i="4" s="1"/>
  <c r="E1370" i="4" s="1"/>
  <c r="F1370" i="4" s="1"/>
  <c r="J1369" i="4"/>
  <c r="C1369" i="4"/>
  <c r="D1369" i="4" s="1"/>
  <c r="E1369" i="4" s="1"/>
  <c r="F1369" i="4" s="1"/>
  <c r="J1368" i="4"/>
  <c r="C1368" i="4"/>
  <c r="D1368" i="4" s="1"/>
  <c r="E1368" i="4" s="1"/>
  <c r="F1368" i="4" s="1"/>
  <c r="J1367" i="4"/>
  <c r="C1367" i="4"/>
  <c r="D1367" i="4" s="1"/>
  <c r="E1367" i="4" s="1"/>
  <c r="F1367" i="4" s="1"/>
  <c r="J1366" i="4"/>
  <c r="C1366" i="4"/>
  <c r="D1366" i="4" s="1"/>
  <c r="E1366" i="4" s="1"/>
  <c r="F1366" i="4" s="1"/>
  <c r="J1365" i="4"/>
  <c r="C1365" i="4"/>
  <c r="D1365" i="4" s="1"/>
  <c r="E1365" i="4" s="1"/>
  <c r="F1365" i="4" s="1"/>
  <c r="J1364" i="4"/>
  <c r="C1364" i="4"/>
  <c r="D1364" i="4" s="1"/>
  <c r="E1364" i="4" s="1"/>
  <c r="F1364" i="4" s="1"/>
  <c r="C1363" i="4"/>
  <c r="D1363" i="4" s="1"/>
  <c r="E1363" i="4" s="1"/>
  <c r="F1363" i="4" s="1"/>
  <c r="J1363" i="4"/>
  <c r="J1362" i="4"/>
  <c r="C1362" i="4"/>
  <c r="D1362" i="4" s="1"/>
  <c r="E1362" i="4" s="1"/>
  <c r="F1362" i="4" s="1"/>
  <c r="J1361" i="4"/>
  <c r="C1361" i="4"/>
  <c r="D1361" i="4" s="1"/>
  <c r="E1361" i="4" s="1"/>
  <c r="F1361" i="4" s="1"/>
  <c r="J1360" i="4"/>
  <c r="C1360" i="4"/>
  <c r="D1360" i="4" s="1"/>
  <c r="E1360" i="4" s="1"/>
  <c r="F1360" i="4" s="1"/>
  <c r="J1359" i="4"/>
  <c r="C1359" i="4"/>
  <c r="D1359" i="4" s="1"/>
  <c r="E1359" i="4" s="1"/>
  <c r="F1359" i="4" s="1"/>
  <c r="J1358" i="4"/>
  <c r="C1358" i="4"/>
  <c r="D1358" i="4" s="1"/>
  <c r="E1358" i="4" s="1"/>
  <c r="F1358" i="4" s="1"/>
  <c r="J1357" i="4"/>
  <c r="C1357" i="4"/>
  <c r="D1357" i="4" s="1"/>
  <c r="E1357" i="4" s="1"/>
  <c r="F1357" i="4" s="1"/>
  <c r="C1356" i="4"/>
  <c r="D1356" i="4" s="1"/>
  <c r="E1356" i="4" s="1"/>
  <c r="F1356" i="4" s="1"/>
  <c r="J1356" i="4"/>
  <c r="J1355" i="4"/>
  <c r="C1355" i="4"/>
  <c r="D1355" i="4" s="1"/>
  <c r="E1355" i="4" s="1"/>
  <c r="F1355" i="4" s="1"/>
  <c r="J1354" i="4"/>
  <c r="C1354" i="4"/>
  <c r="D1354" i="4" s="1"/>
  <c r="E1354" i="4" s="1"/>
  <c r="F1354" i="4" s="1"/>
  <c r="J1353" i="4"/>
  <c r="C1353" i="4"/>
  <c r="D1353" i="4" s="1"/>
  <c r="E1353" i="4" s="1"/>
  <c r="F1353" i="4" s="1"/>
  <c r="J1352" i="4"/>
  <c r="C1352" i="4"/>
  <c r="D1352" i="4" s="1"/>
  <c r="E1352" i="4" s="1"/>
  <c r="F1352" i="4" s="1"/>
  <c r="J1351" i="4"/>
  <c r="C1351" i="4"/>
  <c r="D1351" i="4" s="1"/>
  <c r="E1351" i="4" s="1"/>
  <c r="F1351" i="4" s="1"/>
  <c r="J1350" i="4"/>
  <c r="C1350" i="4"/>
  <c r="D1350" i="4" s="1"/>
  <c r="E1350" i="4" s="1"/>
  <c r="F1350" i="4" s="1"/>
  <c r="J1349" i="4"/>
  <c r="C1349" i="4"/>
  <c r="D1349" i="4" s="1"/>
  <c r="E1349" i="4" s="1"/>
  <c r="F1349" i="4" s="1"/>
  <c r="J1348" i="4"/>
  <c r="C1348" i="4"/>
  <c r="D1348" i="4" s="1"/>
  <c r="E1348" i="4" s="1"/>
  <c r="F1348" i="4" s="1"/>
  <c r="J1347" i="4"/>
  <c r="C1347" i="4"/>
  <c r="D1347" i="4" s="1"/>
  <c r="E1347" i="4" s="1"/>
  <c r="F1347" i="4" s="1"/>
  <c r="J1346" i="4"/>
  <c r="C1346" i="4"/>
  <c r="D1346" i="4" s="1"/>
  <c r="E1346" i="4" s="1"/>
  <c r="F1346" i="4" s="1"/>
  <c r="J1345" i="4"/>
  <c r="C1345" i="4"/>
  <c r="D1345" i="4" s="1"/>
  <c r="E1345" i="4" s="1"/>
  <c r="F1345" i="4" s="1"/>
  <c r="J1344" i="4"/>
  <c r="C1344" i="4"/>
  <c r="D1344" i="4" s="1"/>
  <c r="E1344" i="4" s="1"/>
  <c r="F1344" i="4" s="1"/>
  <c r="C1343" i="4"/>
  <c r="D1343" i="4" s="1"/>
  <c r="E1343" i="4" s="1"/>
  <c r="F1343" i="4" s="1"/>
  <c r="J1343" i="4"/>
  <c r="J1342" i="4"/>
  <c r="C1342" i="4"/>
  <c r="D1342" i="4" s="1"/>
  <c r="E1342" i="4" s="1"/>
  <c r="F1342" i="4" s="1"/>
  <c r="J1341" i="4"/>
  <c r="C1341" i="4"/>
  <c r="D1341" i="4" s="1"/>
  <c r="E1341" i="4" s="1"/>
  <c r="F1341" i="4" s="1"/>
  <c r="C1340" i="4"/>
  <c r="D1340" i="4" s="1"/>
  <c r="E1340" i="4" s="1"/>
  <c r="F1340" i="4" s="1"/>
  <c r="J1340" i="4"/>
  <c r="J1339" i="4"/>
  <c r="C1339" i="4"/>
  <c r="D1339" i="4" s="1"/>
  <c r="E1339" i="4" s="1"/>
  <c r="F1339" i="4" s="1"/>
  <c r="J1338" i="4"/>
  <c r="C1338" i="4"/>
  <c r="D1338" i="4" s="1"/>
  <c r="E1338" i="4" s="1"/>
  <c r="F1338" i="4" s="1"/>
  <c r="J1337" i="4"/>
  <c r="C1337" i="4"/>
  <c r="D1337" i="4" s="1"/>
  <c r="E1337" i="4" s="1"/>
  <c r="F1337" i="4" s="1"/>
  <c r="C1336" i="4"/>
  <c r="D1336" i="4" s="1"/>
  <c r="E1336" i="4" s="1"/>
  <c r="F1336" i="4" s="1"/>
  <c r="J1336" i="4"/>
  <c r="J1335" i="4"/>
  <c r="C1335" i="4"/>
  <c r="D1335" i="4" s="1"/>
  <c r="E1335" i="4" s="1"/>
  <c r="F1335" i="4" s="1"/>
  <c r="J1334" i="4"/>
  <c r="C1334" i="4"/>
  <c r="D1334" i="4" s="1"/>
  <c r="E1334" i="4" s="1"/>
  <c r="F1334" i="4" s="1"/>
  <c r="J1333" i="4"/>
  <c r="C1333" i="4"/>
  <c r="D1333" i="4" s="1"/>
  <c r="E1333" i="4" s="1"/>
  <c r="F1333" i="4" s="1"/>
  <c r="J1332" i="4"/>
  <c r="C1332" i="4"/>
  <c r="D1332" i="4" s="1"/>
  <c r="E1332" i="4" s="1"/>
  <c r="F1332" i="4" s="1"/>
  <c r="C1331" i="4"/>
  <c r="D1331" i="4" s="1"/>
  <c r="E1331" i="4" s="1"/>
  <c r="F1331" i="4" s="1"/>
  <c r="J1331" i="4"/>
  <c r="J1330" i="4"/>
  <c r="C1330" i="4"/>
  <c r="D1330" i="4" s="1"/>
  <c r="E1330" i="4" s="1"/>
  <c r="F1330" i="4" s="1"/>
  <c r="J1329" i="4"/>
  <c r="C1329" i="4"/>
  <c r="D1329" i="4" s="1"/>
  <c r="E1329" i="4" s="1"/>
  <c r="F1329" i="4" s="1"/>
  <c r="J1328" i="4"/>
  <c r="C1328" i="4"/>
  <c r="D1328" i="4" s="1"/>
  <c r="E1328" i="4" s="1"/>
  <c r="F1328" i="4" s="1"/>
  <c r="C1327" i="4"/>
  <c r="D1327" i="4" s="1"/>
  <c r="E1327" i="4" s="1"/>
  <c r="F1327" i="4" s="1"/>
  <c r="J1327" i="4"/>
  <c r="J1326" i="4"/>
  <c r="C1326" i="4"/>
  <c r="D1326" i="4" s="1"/>
  <c r="E1326" i="4" s="1"/>
  <c r="F1326" i="4" s="1"/>
  <c r="J1325" i="4"/>
  <c r="C1325" i="4"/>
  <c r="D1325" i="4" s="1"/>
  <c r="E1325" i="4" s="1"/>
  <c r="F1325" i="4" s="1"/>
  <c r="J1324" i="4"/>
  <c r="C1324" i="4"/>
  <c r="D1324" i="4" s="1"/>
  <c r="E1324" i="4" s="1"/>
  <c r="F1324" i="4" s="1"/>
  <c r="J1323" i="4"/>
  <c r="C1323" i="4"/>
  <c r="D1323" i="4" s="1"/>
  <c r="E1323" i="4" s="1"/>
  <c r="F1323" i="4" s="1"/>
  <c r="J1322" i="4"/>
  <c r="C1322" i="4"/>
  <c r="D1322" i="4" s="1"/>
  <c r="E1322" i="4" s="1"/>
  <c r="F1322" i="4" s="1"/>
  <c r="J1321" i="4"/>
  <c r="C1321" i="4"/>
  <c r="D1321" i="4" s="1"/>
  <c r="E1321" i="4" s="1"/>
  <c r="F1321" i="4" s="1"/>
  <c r="J1320" i="4"/>
  <c r="C1320" i="4"/>
  <c r="D1320" i="4" s="1"/>
  <c r="E1320" i="4" s="1"/>
  <c r="F1320" i="4" s="1"/>
  <c r="J1319" i="4"/>
  <c r="C1319" i="4"/>
  <c r="D1319" i="4" s="1"/>
  <c r="E1319" i="4" s="1"/>
  <c r="F1319" i="4" s="1"/>
  <c r="J1318" i="4"/>
  <c r="C1318" i="4"/>
  <c r="D1318" i="4" s="1"/>
  <c r="E1318" i="4" s="1"/>
  <c r="F1318" i="4" s="1"/>
  <c r="J1317" i="4"/>
  <c r="C1317" i="4"/>
  <c r="D1317" i="4" s="1"/>
  <c r="E1317" i="4" s="1"/>
  <c r="F1317" i="4" s="1"/>
  <c r="J1316" i="4"/>
  <c r="C1316" i="4"/>
  <c r="D1316" i="4" s="1"/>
  <c r="E1316" i="4" s="1"/>
  <c r="F1316" i="4" s="1"/>
  <c r="J1315" i="4"/>
  <c r="C1315" i="4"/>
  <c r="D1315" i="4" s="1"/>
  <c r="E1315" i="4" s="1"/>
  <c r="F1315" i="4" s="1"/>
  <c r="J1314" i="4"/>
  <c r="C1314" i="4"/>
  <c r="D1314" i="4" s="1"/>
  <c r="E1314" i="4" s="1"/>
  <c r="F1314" i="4" s="1"/>
  <c r="J1313" i="4"/>
  <c r="C1313" i="4"/>
  <c r="D1313" i="4" s="1"/>
  <c r="E1313" i="4" s="1"/>
  <c r="F1313" i="4" s="1"/>
  <c r="J1312" i="4"/>
  <c r="C1312" i="4"/>
  <c r="D1312" i="4" s="1"/>
  <c r="E1312" i="4" s="1"/>
  <c r="F1312" i="4" s="1"/>
  <c r="J1311" i="4"/>
  <c r="C1311" i="4"/>
  <c r="D1311" i="4" s="1"/>
  <c r="E1311" i="4" s="1"/>
  <c r="F1311" i="4" s="1"/>
  <c r="J1310" i="4"/>
  <c r="C1310" i="4"/>
  <c r="D1310" i="4" s="1"/>
  <c r="E1310" i="4" s="1"/>
  <c r="F1310" i="4" s="1"/>
  <c r="J1309" i="4"/>
  <c r="C1309" i="4"/>
  <c r="D1309" i="4" s="1"/>
  <c r="E1309" i="4" s="1"/>
  <c r="F1309" i="4" s="1"/>
  <c r="J1308" i="4"/>
  <c r="C1308" i="4"/>
  <c r="D1308" i="4" s="1"/>
  <c r="E1308" i="4" s="1"/>
  <c r="F1308" i="4" s="1"/>
  <c r="J1307" i="4"/>
  <c r="C1307" i="4"/>
  <c r="D1307" i="4" s="1"/>
  <c r="E1307" i="4" s="1"/>
  <c r="F1307" i="4" s="1"/>
  <c r="J1306" i="4"/>
  <c r="C1306" i="4"/>
  <c r="D1306" i="4" s="1"/>
  <c r="E1306" i="4" s="1"/>
  <c r="F1306" i="4" s="1"/>
  <c r="J1305" i="4"/>
  <c r="C1305" i="4"/>
  <c r="D1305" i="4" s="1"/>
  <c r="E1305" i="4" s="1"/>
  <c r="F1305" i="4" s="1"/>
  <c r="J1304" i="4"/>
  <c r="C1304" i="4"/>
  <c r="D1304" i="4" s="1"/>
  <c r="E1304" i="4" s="1"/>
  <c r="F1304" i="4" s="1"/>
  <c r="J1303" i="4"/>
  <c r="C1303" i="4"/>
  <c r="D1303" i="4" s="1"/>
  <c r="E1303" i="4" s="1"/>
  <c r="F1303" i="4" s="1"/>
  <c r="J1302" i="4"/>
  <c r="C1302" i="4"/>
  <c r="D1302" i="4" s="1"/>
  <c r="E1302" i="4" s="1"/>
  <c r="F1302" i="4" s="1"/>
  <c r="J1301" i="4"/>
  <c r="C1301" i="4"/>
  <c r="D1301" i="4" s="1"/>
  <c r="E1301" i="4" s="1"/>
  <c r="F1301" i="4" s="1"/>
  <c r="J1300" i="4"/>
  <c r="C1300" i="4"/>
  <c r="D1300" i="4" s="1"/>
  <c r="E1300" i="4" s="1"/>
  <c r="F1300" i="4" s="1"/>
  <c r="J1299" i="4"/>
  <c r="C1299" i="4"/>
  <c r="D1299" i="4" s="1"/>
  <c r="E1299" i="4" s="1"/>
  <c r="F1299" i="4" s="1"/>
  <c r="J1298" i="4"/>
  <c r="C1298" i="4"/>
  <c r="D1298" i="4" s="1"/>
  <c r="E1298" i="4" s="1"/>
  <c r="F1298" i="4" s="1"/>
  <c r="J1297" i="4"/>
  <c r="C1297" i="4"/>
  <c r="D1297" i="4" s="1"/>
  <c r="E1297" i="4" s="1"/>
  <c r="F1297" i="4" s="1"/>
  <c r="J1296" i="4"/>
  <c r="C1296" i="4"/>
  <c r="D1296" i="4" s="1"/>
  <c r="E1296" i="4" s="1"/>
  <c r="F1296" i="4" s="1"/>
  <c r="J1295" i="4"/>
  <c r="C1295" i="4"/>
  <c r="D1295" i="4" s="1"/>
  <c r="E1295" i="4" s="1"/>
  <c r="F1295" i="4" s="1"/>
  <c r="J1294" i="4"/>
  <c r="C1294" i="4"/>
  <c r="D1294" i="4" s="1"/>
  <c r="E1294" i="4" s="1"/>
  <c r="F1294" i="4" s="1"/>
  <c r="J1293" i="4"/>
  <c r="C1293" i="4"/>
  <c r="D1293" i="4" s="1"/>
  <c r="E1293" i="4" s="1"/>
  <c r="F1293" i="4" s="1"/>
  <c r="J1292" i="4"/>
  <c r="C1292" i="4"/>
  <c r="D1292" i="4" s="1"/>
  <c r="E1292" i="4" s="1"/>
  <c r="F1292" i="4" s="1"/>
  <c r="J1291" i="4"/>
  <c r="C1291" i="4"/>
  <c r="D1291" i="4" s="1"/>
  <c r="E1291" i="4" s="1"/>
  <c r="F1291" i="4" s="1"/>
  <c r="J1290" i="4"/>
  <c r="C1290" i="4"/>
  <c r="D1290" i="4" s="1"/>
  <c r="E1290" i="4" s="1"/>
  <c r="F1290" i="4" s="1"/>
  <c r="J1289" i="4"/>
  <c r="C1289" i="4"/>
  <c r="D1289" i="4" s="1"/>
  <c r="E1289" i="4" s="1"/>
  <c r="F1289" i="4" s="1"/>
  <c r="J1288" i="4"/>
  <c r="C1288" i="4"/>
  <c r="D1288" i="4" s="1"/>
  <c r="E1288" i="4" s="1"/>
  <c r="F1288" i="4" s="1"/>
  <c r="J1287" i="4"/>
  <c r="C1287" i="4"/>
  <c r="D1287" i="4" s="1"/>
  <c r="E1287" i="4" s="1"/>
  <c r="F1287" i="4" s="1"/>
  <c r="J1286" i="4"/>
  <c r="C1286" i="4"/>
  <c r="D1286" i="4" s="1"/>
  <c r="E1286" i="4" s="1"/>
  <c r="F1286" i="4" s="1"/>
  <c r="J1285" i="4"/>
  <c r="C1285" i="4"/>
  <c r="D1285" i="4" s="1"/>
  <c r="E1285" i="4" s="1"/>
  <c r="F1285" i="4" s="1"/>
  <c r="J1284" i="4"/>
  <c r="C1284" i="4"/>
  <c r="D1284" i="4" s="1"/>
  <c r="E1284" i="4" s="1"/>
  <c r="F1284" i="4" s="1"/>
  <c r="J1283" i="4"/>
  <c r="C1283" i="4"/>
  <c r="D1283" i="4" s="1"/>
  <c r="E1283" i="4" s="1"/>
  <c r="F1283" i="4" s="1"/>
  <c r="J1282" i="4"/>
  <c r="C1282" i="4"/>
  <c r="D1282" i="4" s="1"/>
  <c r="E1282" i="4" s="1"/>
  <c r="F1282" i="4" s="1"/>
  <c r="J1281" i="4"/>
  <c r="C1281" i="4"/>
  <c r="D1281" i="4" s="1"/>
  <c r="E1281" i="4" s="1"/>
  <c r="F1281" i="4" s="1"/>
  <c r="J1280" i="4"/>
  <c r="C1280" i="4"/>
  <c r="D1280" i="4" s="1"/>
  <c r="E1280" i="4" s="1"/>
  <c r="F1280" i="4" s="1"/>
  <c r="J1279" i="4"/>
  <c r="C1279" i="4"/>
  <c r="D1279" i="4" s="1"/>
  <c r="E1279" i="4" s="1"/>
  <c r="F1279" i="4" s="1"/>
  <c r="J1278" i="4"/>
  <c r="C1278" i="4"/>
  <c r="D1278" i="4" s="1"/>
  <c r="E1278" i="4" s="1"/>
  <c r="F1278" i="4" s="1"/>
  <c r="J1277" i="4"/>
  <c r="C1277" i="4"/>
  <c r="D1277" i="4" s="1"/>
  <c r="E1277" i="4" s="1"/>
  <c r="F1277" i="4" s="1"/>
  <c r="J1276" i="4"/>
  <c r="C1276" i="4"/>
  <c r="D1276" i="4" s="1"/>
  <c r="E1276" i="4" s="1"/>
  <c r="F1276" i="4" s="1"/>
  <c r="J1275" i="4"/>
  <c r="C1275" i="4"/>
  <c r="D1275" i="4" s="1"/>
  <c r="E1275" i="4" s="1"/>
  <c r="F1275" i="4" s="1"/>
  <c r="J1274" i="4"/>
  <c r="C1274" i="4"/>
  <c r="D1274" i="4" s="1"/>
  <c r="E1274" i="4" s="1"/>
  <c r="F1274" i="4" s="1"/>
  <c r="J1273" i="4"/>
  <c r="C1273" i="4"/>
  <c r="D1273" i="4" s="1"/>
  <c r="E1273" i="4" s="1"/>
  <c r="F1273" i="4" s="1"/>
  <c r="J1272" i="4"/>
  <c r="C1272" i="4"/>
  <c r="D1272" i="4" s="1"/>
  <c r="E1272" i="4" s="1"/>
  <c r="F1272" i="4" s="1"/>
  <c r="J1271" i="4"/>
  <c r="C1271" i="4"/>
  <c r="D1271" i="4" s="1"/>
  <c r="E1271" i="4" s="1"/>
  <c r="F1271" i="4" s="1"/>
  <c r="J1270" i="4"/>
  <c r="C1270" i="4"/>
  <c r="D1270" i="4" s="1"/>
  <c r="E1270" i="4" s="1"/>
  <c r="F1270" i="4" s="1"/>
  <c r="J1269" i="4"/>
  <c r="C1269" i="4"/>
  <c r="D1269" i="4" s="1"/>
  <c r="E1269" i="4" s="1"/>
  <c r="F1269" i="4" s="1"/>
  <c r="J1268" i="4"/>
  <c r="C1268" i="4"/>
  <c r="D1268" i="4" s="1"/>
  <c r="E1268" i="4" s="1"/>
  <c r="F1268" i="4" s="1"/>
  <c r="J1267" i="4"/>
  <c r="C1267" i="4"/>
  <c r="D1267" i="4" s="1"/>
  <c r="E1267" i="4" s="1"/>
  <c r="F1267" i="4" s="1"/>
  <c r="J1266" i="4"/>
  <c r="C1266" i="4"/>
  <c r="D1266" i="4" s="1"/>
  <c r="E1266" i="4" s="1"/>
  <c r="F1266" i="4" s="1"/>
  <c r="J1265" i="4"/>
  <c r="C1265" i="4"/>
  <c r="D1265" i="4" s="1"/>
  <c r="E1265" i="4" s="1"/>
  <c r="F1265" i="4" s="1"/>
  <c r="J1264" i="4"/>
  <c r="C1264" i="4"/>
  <c r="D1264" i="4" s="1"/>
  <c r="E1264" i="4" s="1"/>
  <c r="F1264" i="4" s="1"/>
  <c r="J1263" i="4"/>
  <c r="C1263" i="4"/>
  <c r="D1263" i="4" s="1"/>
  <c r="E1263" i="4" s="1"/>
  <c r="F1263" i="4" s="1"/>
  <c r="J1262" i="4"/>
  <c r="C1262" i="4"/>
  <c r="D1262" i="4" s="1"/>
  <c r="E1262" i="4" s="1"/>
  <c r="F1262" i="4" s="1"/>
  <c r="J1261" i="4"/>
  <c r="C1261" i="4"/>
  <c r="D1261" i="4" s="1"/>
  <c r="E1261" i="4" s="1"/>
  <c r="F1261" i="4" s="1"/>
  <c r="J1260" i="4"/>
  <c r="C1260" i="4"/>
  <c r="D1260" i="4" s="1"/>
  <c r="E1260" i="4" s="1"/>
  <c r="F1260" i="4" s="1"/>
  <c r="J1259" i="4"/>
  <c r="C1259" i="4"/>
  <c r="D1259" i="4" s="1"/>
  <c r="E1259" i="4" s="1"/>
  <c r="F1259" i="4" s="1"/>
  <c r="J1258" i="4"/>
  <c r="C1258" i="4"/>
  <c r="D1258" i="4" s="1"/>
  <c r="E1258" i="4" s="1"/>
  <c r="F1258" i="4" s="1"/>
  <c r="J1257" i="4"/>
  <c r="C1257" i="4"/>
  <c r="D1257" i="4" s="1"/>
  <c r="E1257" i="4" s="1"/>
  <c r="F1257" i="4" s="1"/>
  <c r="J1256" i="4"/>
  <c r="C1256" i="4"/>
  <c r="D1256" i="4" s="1"/>
  <c r="E1256" i="4" s="1"/>
  <c r="F1256" i="4" s="1"/>
  <c r="J1255" i="4"/>
  <c r="C1255" i="4"/>
  <c r="D1255" i="4" s="1"/>
  <c r="E1255" i="4" s="1"/>
  <c r="F1255" i="4" s="1"/>
  <c r="J1254" i="4"/>
  <c r="C1254" i="4"/>
  <c r="D1254" i="4" s="1"/>
  <c r="E1254" i="4" s="1"/>
  <c r="F1254" i="4" s="1"/>
  <c r="J1253" i="4"/>
  <c r="C1253" i="4"/>
  <c r="D1253" i="4" s="1"/>
  <c r="E1253" i="4" s="1"/>
  <c r="F1253" i="4" s="1"/>
  <c r="J1252" i="4"/>
  <c r="C1252" i="4"/>
  <c r="D1252" i="4" s="1"/>
  <c r="E1252" i="4" s="1"/>
  <c r="F1252" i="4" s="1"/>
  <c r="J1251" i="4"/>
  <c r="C1251" i="4"/>
  <c r="D1251" i="4" s="1"/>
  <c r="E1251" i="4" s="1"/>
  <c r="F1251" i="4" s="1"/>
  <c r="J1250" i="4"/>
  <c r="C1250" i="4"/>
  <c r="D1250" i="4" s="1"/>
  <c r="E1250" i="4" s="1"/>
  <c r="F1250" i="4" s="1"/>
  <c r="J1249" i="4"/>
  <c r="C1249" i="4"/>
  <c r="D1249" i="4" s="1"/>
  <c r="E1249" i="4" s="1"/>
  <c r="F1249" i="4" s="1"/>
  <c r="J1248" i="4"/>
  <c r="C1248" i="4"/>
  <c r="D1248" i="4" s="1"/>
  <c r="E1248" i="4" s="1"/>
  <c r="F1248" i="4" s="1"/>
  <c r="J1247" i="4"/>
  <c r="C1247" i="4"/>
  <c r="D1247" i="4" s="1"/>
  <c r="E1247" i="4" s="1"/>
  <c r="F1247" i="4" s="1"/>
  <c r="J1246" i="4"/>
  <c r="C1246" i="4"/>
  <c r="D1246" i="4" s="1"/>
  <c r="E1246" i="4" s="1"/>
  <c r="F1246" i="4" s="1"/>
  <c r="J1245" i="4"/>
  <c r="C1245" i="4"/>
  <c r="D1245" i="4" s="1"/>
  <c r="E1245" i="4" s="1"/>
  <c r="F1245" i="4" s="1"/>
  <c r="J1244" i="4"/>
  <c r="C1244" i="4"/>
  <c r="D1244" i="4" s="1"/>
  <c r="E1244" i="4" s="1"/>
  <c r="F1244" i="4" s="1"/>
  <c r="J1243" i="4"/>
  <c r="C1243" i="4"/>
  <c r="D1243" i="4" s="1"/>
  <c r="E1243" i="4" s="1"/>
  <c r="F1243" i="4" s="1"/>
  <c r="J1242" i="4"/>
  <c r="C1242" i="4"/>
  <c r="D1242" i="4" s="1"/>
  <c r="E1242" i="4" s="1"/>
  <c r="F1242" i="4" s="1"/>
  <c r="J1241" i="4"/>
  <c r="C1241" i="4"/>
  <c r="D1241" i="4" s="1"/>
  <c r="E1241" i="4" s="1"/>
  <c r="F1241" i="4" s="1"/>
  <c r="J1240" i="4"/>
  <c r="C1240" i="4"/>
  <c r="D1240" i="4" s="1"/>
  <c r="E1240" i="4" s="1"/>
  <c r="F1240" i="4" s="1"/>
  <c r="J1239" i="4"/>
  <c r="C1239" i="4"/>
  <c r="D1239" i="4" s="1"/>
  <c r="E1239" i="4" s="1"/>
  <c r="F1239" i="4" s="1"/>
  <c r="J1238" i="4"/>
  <c r="C1238" i="4"/>
  <c r="D1238" i="4" s="1"/>
  <c r="E1238" i="4" s="1"/>
  <c r="F1238" i="4" s="1"/>
  <c r="J1237" i="4"/>
  <c r="C1237" i="4"/>
  <c r="D1237" i="4" s="1"/>
  <c r="E1237" i="4" s="1"/>
  <c r="F1237" i="4" s="1"/>
  <c r="J1236" i="4"/>
  <c r="C1236" i="4"/>
  <c r="D1236" i="4" s="1"/>
  <c r="E1236" i="4" s="1"/>
  <c r="F1236" i="4" s="1"/>
  <c r="J1235" i="4"/>
  <c r="C1235" i="4"/>
  <c r="D1235" i="4" s="1"/>
  <c r="E1235" i="4" s="1"/>
  <c r="F1235" i="4" s="1"/>
  <c r="J1234" i="4"/>
  <c r="C1234" i="4"/>
  <c r="D1234" i="4" s="1"/>
  <c r="E1234" i="4" s="1"/>
  <c r="F1234" i="4" s="1"/>
  <c r="J1233" i="4"/>
  <c r="C1233" i="4"/>
  <c r="D1233" i="4" s="1"/>
  <c r="E1233" i="4" s="1"/>
  <c r="F1233" i="4" s="1"/>
  <c r="J1232" i="4"/>
  <c r="C1232" i="4"/>
  <c r="D1232" i="4" s="1"/>
  <c r="E1232" i="4" s="1"/>
  <c r="F1232" i="4" s="1"/>
  <c r="J1231" i="4"/>
  <c r="C1231" i="4"/>
  <c r="D1231" i="4" s="1"/>
  <c r="E1231" i="4" s="1"/>
  <c r="F1231" i="4" s="1"/>
  <c r="J1230" i="4"/>
  <c r="C1230" i="4"/>
  <c r="D1230" i="4" s="1"/>
  <c r="E1230" i="4" s="1"/>
  <c r="F1230" i="4" s="1"/>
  <c r="J1229" i="4"/>
  <c r="C1229" i="4"/>
  <c r="D1229" i="4" s="1"/>
  <c r="E1229" i="4" s="1"/>
  <c r="F1229" i="4" s="1"/>
  <c r="J1228" i="4"/>
  <c r="C1228" i="4"/>
  <c r="D1228" i="4" s="1"/>
  <c r="E1228" i="4" s="1"/>
  <c r="F1228" i="4" s="1"/>
  <c r="J1227" i="4"/>
  <c r="C1227" i="4"/>
  <c r="D1227" i="4" s="1"/>
  <c r="E1227" i="4" s="1"/>
  <c r="F1227" i="4" s="1"/>
  <c r="J1226" i="4"/>
  <c r="C1226" i="4"/>
  <c r="D1226" i="4" s="1"/>
  <c r="E1226" i="4" s="1"/>
  <c r="F1226" i="4" s="1"/>
  <c r="J1225" i="4"/>
  <c r="C1225" i="4"/>
  <c r="D1225" i="4" s="1"/>
  <c r="E1225" i="4" s="1"/>
  <c r="F1225" i="4" s="1"/>
  <c r="J1224" i="4"/>
  <c r="C1224" i="4"/>
  <c r="D1224" i="4" s="1"/>
  <c r="E1224" i="4" s="1"/>
  <c r="F1224" i="4" s="1"/>
  <c r="J1223" i="4"/>
  <c r="C1223" i="4"/>
  <c r="D1223" i="4" s="1"/>
  <c r="E1223" i="4" s="1"/>
  <c r="F1223" i="4" s="1"/>
  <c r="J1222" i="4"/>
  <c r="C1222" i="4"/>
  <c r="D1222" i="4" s="1"/>
  <c r="E1222" i="4" s="1"/>
  <c r="F1222" i="4" s="1"/>
  <c r="J1221" i="4"/>
  <c r="C1221" i="4"/>
  <c r="D1221" i="4" s="1"/>
  <c r="E1221" i="4" s="1"/>
  <c r="F1221" i="4" s="1"/>
  <c r="J1220" i="4"/>
  <c r="C1220" i="4"/>
  <c r="D1220" i="4" s="1"/>
  <c r="E1220" i="4" s="1"/>
  <c r="F1220" i="4" s="1"/>
  <c r="J1219" i="4"/>
  <c r="C1219" i="4"/>
  <c r="D1219" i="4" s="1"/>
  <c r="E1219" i="4" s="1"/>
  <c r="F1219" i="4" s="1"/>
  <c r="J1218" i="4"/>
  <c r="C1218" i="4"/>
  <c r="D1218" i="4" s="1"/>
  <c r="E1218" i="4" s="1"/>
  <c r="F1218" i="4" s="1"/>
  <c r="J1217" i="4"/>
  <c r="C1217" i="4"/>
  <c r="D1217" i="4" s="1"/>
  <c r="E1217" i="4" s="1"/>
  <c r="F1217" i="4" s="1"/>
  <c r="J1216" i="4"/>
  <c r="C1216" i="4"/>
  <c r="D1216" i="4" s="1"/>
  <c r="E1216" i="4" s="1"/>
  <c r="F1216" i="4" s="1"/>
  <c r="J1215" i="4"/>
  <c r="C1215" i="4"/>
  <c r="D1215" i="4" s="1"/>
  <c r="E1215" i="4" s="1"/>
  <c r="F1215" i="4" s="1"/>
  <c r="J1214" i="4"/>
  <c r="C1214" i="4"/>
  <c r="D1214" i="4" s="1"/>
  <c r="E1214" i="4" s="1"/>
  <c r="F1214" i="4" s="1"/>
  <c r="J1213" i="4"/>
  <c r="C1213" i="4"/>
  <c r="D1213" i="4" s="1"/>
  <c r="E1213" i="4" s="1"/>
  <c r="F1213" i="4" s="1"/>
  <c r="J1212" i="4"/>
  <c r="C1212" i="4"/>
  <c r="D1212" i="4" s="1"/>
  <c r="E1212" i="4" s="1"/>
  <c r="F1212" i="4" s="1"/>
  <c r="J1211" i="4"/>
  <c r="C1211" i="4"/>
  <c r="D1211" i="4" s="1"/>
  <c r="E1211" i="4" s="1"/>
  <c r="F1211" i="4" s="1"/>
  <c r="J1210" i="4"/>
  <c r="C1210" i="4"/>
  <c r="D1210" i="4" s="1"/>
  <c r="E1210" i="4" s="1"/>
  <c r="F1210" i="4" s="1"/>
  <c r="J1209" i="4"/>
  <c r="C1209" i="4"/>
  <c r="D1209" i="4" s="1"/>
  <c r="E1209" i="4" s="1"/>
  <c r="F1209" i="4" s="1"/>
  <c r="J1208" i="4"/>
  <c r="C1208" i="4"/>
  <c r="D1208" i="4" s="1"/>
  <c r="E1208" i="4" s="1"/>
  <c r="F1208" i="4" s="1"/>
  <c r="J1207" i="4"/>
  <c r="C1207" i="4"/>
  <c r="D1207" i="4" s="1"/>
  <c r="E1207" i="4" s="1"/>
  <c r="F1207" i="4" s="1"/>
  <c r="J1206" i="4"/>
  <c r="C1206" i="4"/>
  <c r="D1206" i="4" s="1"/>
  <c r="E1206" i="4" s="1"/>
  <c r="F1206" i="4" s="1"/>
  <c r="J1205" i="4"/>
  <c r="C1205" i="4"/>
  <c r="D1205" i="4" s="1"/>
  <c r="E1205" i="4" s="1"/>
  <c r="F1205" i="4" s="1"/>
  <c r="J1204" i="4"/>
  <c r="C1204" i="4"/>
  <c r="D1204" i="4" s="1"/>
  <c r="E1204" i="4" s="1"/>
  <c r="F1204" i="4" s="1"/>
  <c r="J1203" i="4"/>
  <c r="C1203" i="4"/>
  <c r="D1203" i="4" s="1"/>
  <c r="E1203" i="4" s="1"/>
  <c r="F1203" i="4" s="1"/>
  <c r="C1202" i="4"/>
  <c r="D1202" i="4" s="1"/>
  <c r="E1202" i="4" s="1"/>
  <c r="F1202" i="4" s="1"/>
  <c r="J1202" i="4"/>
  <c r="C1201" i="4"/>
  <c r="D1201" i="4" s="1"/>
  <c r="E1201" i="4" s="1"/>
  <c r="F1201" i="4" s="1"/>
  <c r="J1201" i="4"/>
  <c r="C1200" i="4"/>
  <c r="D1200" i="4" s="1"/>
  <c r="E1200" i="4" s="1"/>
  <c r="F1200" i="4" s="1"/>
  <c r="J1200" i="4"/>
  <c r="J1199" i="4"/>
  <c r="C1199" i="4"/>
  <c r="D1199" i="4" s="1"/>
  <c r="E1199" i="4" s="1"/>
  <c r="F1199" i="4" s="1"/>
  <c r="C1198" i="4"/>
  <c r="D1198" i="4" s="1"/>
  <c r="E1198" i="4" s="1"/>
  <c r="F1198" i="4" s="1"/>
  <c r="J1198" i="4"/>
  <c r="J1197" i="4"/>
  <c r="C1197" i="4"/>
  <c r="D1197" i="4" s="1"/>
  <c r="E1197" i="4" s="1"/>
  <c r="F1197" i="4" s="1"/>
  <c r="J1196" i="4"/>
  <c r="C1196" i="4"/>
  <c r="D1196" i="4" s="1"/>
  <c r="E1196" i="4" s="1"/>
  <c r="F1196" i="4" s="1"/>
  <c r="J1195" i="4"/>
  <c r="C1195" i="4"/>
  <c r="D1195" i="4" s="1"/>
  <c r="E1195" i="4" s="1"/>
  <c r="F1195" i="4" s="1"/>
  <c r="J1194" i="4"/>
  <c r="C1194" i="4"/>
  <c r="D1194" i="4" s="1"/>
  <c r="E1194" i="4" s="1"/>
  <c r="F1194" i="4" s="1"/>
  <c r="J1193" i="4"/>
  <c r="C1193" i="4"/>
  <c r="D1193" i="4" s="1"/>
  <c r="E1193" i="4" s="1"/>
  <c r="F1193" i="4" s="1"/>
  <c r="J1192" i="4"/>
  <c r="C1192" i="4"/>
  <c r="D1192" i="4" s="1"/>
  <c r="E1192" i="4" s="1"/>
  <c r="F1192" i="4" s="1"/>
  <c r="C1191" i="4"/>
  <c r="D1191" i="4" s="1"/>
  <c r="E1191" i="4" s="1"/>
  <c r="F1191" i="4" s="1"/>
  <c r="J1191" i="4"/>
  <c r="J1190" i="4"/>
  <c r="C1190" i="4"/>
  <c r="D1190" i="4" s="1"/>
  <c r="E1190" i="4" s="1"/>
  <c r="F1190" i="4" s="1"/>
  <c r="C1189" i="4"/>
  <c r="D1189" i="4" s="1"/>
  <c r="E1189" i="4" s="1"/>
  <c r="F1189" i="4" s="1"/>
  <c r="J1189" i="4"/>
  <c r="J1188" i="4"/>
  <c r="C1188" i="4"/>
  <c r="D1188" i="4" s="1"/>
  <c r="E1188" i="4" s="1"/>
  <c r="F1188" i="4" s="1"/>
  <c r="C1187" i="4"/>
  <c r="D1187" i="4" s="1"/>
  <c r="E1187" i="4" s="1"/>
  <c r="F1187" i="4" s="1"/>
  <c r="J1187" i="4"/>
  <c r="C1186" i="4"/>
  <c r="D1186" i="4" s="1"/>
  <c r="E1186" i="4" s="1"/>
  <c r="F1186" i="4" s="1"/>
  <c r="J1186" i="4"/>
  <c r="C1185" i="4"/>
  <c r="D1185" i="4" s="1"/>
  <c r="E1185" i="4" s="1"/>
  <c r="F1185" i="4" s="1"/>
  <c r="J1185" i="4"/>
  <c r="C1184" i="4"/>
  <c r="D1184" i="4" s="1"/>
  <c r="E1184" i="4" s="1"/>
  <c r="F1184" i="4" s="1"/>
  <c r="J1184" i="4"/>
  <c r="C1183" i="4"/>
  <c r="D1183" i="4" s="1"/>
  <c r="E1183" i="4" s="1"/>
  <c r="F1183" i="4" s="1"/>
  <c r="J1183" i="4"/>
  <c r="C1182" i="4"/>
  <c r="D1182" i="4" s="1"/>
  <c r="E1182" i="4" s="1"/>
  <c r="F1182" i="4" s="1"/>
  <c r="J1182" i="4"/>
  <c r="C1181" i="4"/>
  <c r="D1181" i="4" s="1"/>
  <c r="E1181" i="4" s="1"/>
  <c r="F1181" i="4" s="1"/>
  <c r="J1181" i="4"/>
  <c r="C1180" i="4"/>
  <c r="D1180" i="4" s="1"/>
  <c r="E1180" i="4" s="1"/>
  <c r="F1180" i="4" s="1"/>
  <c r="J1180" i="4"/>
  <c r="J1179" i="4"/>
  <c r="C1179" i="4"/>
  <c r="D1179" i="4" s="1"/>
  <c r="E1179" i="4" s="1"/>
  <c r="F1179" i="4" s="1"/>
  <c r="C1178" i="4"/>
  <c r="D1178" i="4" s="1"/>
  <c r="E1178" i="4" s="1"/>
  <c r="F1178" i="4" s="1"/>
  <c r="J1178" i="4"/>
  <c r="J1177" i="4"/>
  <c r="C1177" i="4"/>
  <c r="D1177" i="4" s="1"/>
  <c r="E1177" i="4" s="1"/>
  <c r="F1177" i="4" s="1"/>
  <c r="C1176" i="4"/>
  <c r="D1176" i="4" s="1"/>
  <c r="E1176" i="4" s="1"/>
  <c r="F1176" i="4" s="1"/>
  <c r="J1176" i="4"/>
  <c r="C1175" i="4"/>
  <c r="D1175" i="4" s="1"/>
  <c r="E1175" i="4" s="1"/>
  <c r="F1175" i="4" s="1"/>
  <c r="J1175" i="4"/>
  <c r="J1174" i="4"/>
  <c r="C1174" i="4"/>
  <c r="D1174" i="4" s="1"/>
  <c r="E1174" i="4" s="1"/>
  <c r="F1174" i="4" s="1"/>
  <c r="J1173" i="4"/>
  <c r="C1173" i="4"/>
  <c r="D1173" i="4" s="1"/>
  <c r="E1173" i="4" s="1"/>
  <c r="F1173" i="4" s="1"/>
  <c r="C1172" i="4"/>
  <c r="D1172" i="4" s="1"/>
  <c r="E1172" i="4" s="1"/>
  <c r="F1172" i="4" s="1"/>
  <c r="J1172" i="4"/>
  <c r="C1171" i="4"/>
  <c r="D1171" i="4" s="1"/>
  <c r="E1171" i="4" s="1"/>
  <c r="F1171" i="4" s="1"/>
  <c r="J1171" i="4"/>
  <c r="J1170" i="4"/>
  <c r="C1170" i="4"/>
  <c r="D1170" i="4" s="1"/>
  <c r="E1170" i="4" s="1"/>
  <c r="F1170" i="4" s="1"/>
  <c r="C1169" i="4"/>
  <c r="D1169" i="4" s="1"/>
  <c r="E1169" i="4" s="1"/>
  <c r="F1169" i="4" s="1"/>
  <c r="J1169" i="4"/>
  <c r="C1168" i="4"/>
  <c r="D1168" i="4" s="1"/>
  <c r="E1168" i="4" s="1"/>
  <c r="F1168" i="4" s="1"/>
  <c r="J1168" i="4"/>
  <c r="C1167" i="4"/>
  <c r="D1167" i="4" s="1"/>
  <c r="E1167" i="4" s="1"/>
  <c r="F1167" i="4" s="1"/>
  <c r="J1167" i="4"/>
  <c r="C1166" i="4"/>
  <c r="D1166" i="4" s="1"/>
  <c r="E1166" i="4" s="1"/>
  <c r="F1166" i="4" s="1"/>
  <c r="J1166" i="4"/>
  <c r="C1165" i="4"/>
  <c r="D1165" i="4" s="1"/>
  <c r="E1165" i="4" s="1"/>
  <c r="F1165" i="4" s="1"/>
  <c r="J1165" i="4"/>
  <c r="J1164" i="4"/>
  <c r="C1164" i="4"/>
  <c r="D1164" i="4" s="1"/>
  <c r="E1164" i="4" s="1"/>
  <c r="F1164" i="4" s="1"/>
  <c r="J1163" i="4"/>
  <c r="C1163" i="4"/>
  <c r="D1163" i="4" s="1"/>
  <c r="E1163" i="4" s="1"/>
  <c r="F1163" i="4" s="1"/>
  <c r="J1162" i="4"/>
  <c r="C1162" i="4"/>
  <c r="D1162" i="4" s="1"/>
  <c r="E1162" i="4" s="1"/>
  <c r="F1162" i="4" s="1"/>
  <c r="J1161" i="4"/>
  <c r="C1161" i="4"/>
  <c r="D1161" i="4" s="1"/>
  <c r="E1161" i="4" s="1"/>
  <c r="F1161" i="4" s="1"/>
  <c r="J1160" i="4"/>
  <c r="C1160" i="4"/>
  <c r="D1160" i="4" s="1"/>
  <c r="E1160" i="4" s="1"/>
  <c r="F1160" i="4" s="1"/>
  <c r="J1159" i="4"/>
  <c r="C1159" i="4"/>
  <c r="D1159" i="4" s="1"/>
  <c r="E1159" i="4" s="1"/>
  <c r="F1159" i="4" s="1"/>
  <c r="J1158" i="4"/>
  <c r="C1158" i="4"/>
  <c r="D1158" i="4" s="1"/>
  <c r="E1158" i="4" s="1"/>
  <c r="F1158" i="4" s="1"/>
  <c r="J1157" i="4"/>
  <c r="C1157" i="4"/>
  <c r="D1157" i="4" s="1"/>
  <c r="E1157" i="4" s="1"/>
  <c r="F1157" i="4" s="1"/>
  <c r="J1156" i="4"/>
  <c r="C1156" i="4"/>
  <c r="D1156" i="4" s="1"/>
  <c r="E1156" i="4" s="1"/>
  <c r="F1156" i="4" s="1"/>
  <c r="J1155" i="4"/>
  <c r="C1155" i="4"/>
  <c r="D1155" i="4" s="1"/>
  <c r="E1155" i="4" s="1"/>
  <c r="F1155" i="4" s="1"/>
  <c r="J1154" i="4"/>
  <c r="C1154" i="4"/>
  <c r="D1154" i="4" s="1"/>
  <c r="E1154" i="4" s="1"/>
  <c r="F1154" i="4" s="1"/>
  <c r="J1153" i="4"/>
  <c r="C1153" i="4"/>
  <c r="D1153" i="4" s="1"/>
  <c r="E1153" i="4" s="1"/>
  <c r="F1153" i="4" s="1"/>
  <c r="J1152" i="4"/>
  <c r="C1152" i="4"/>
  <c r="D1152" i="4" s="1"/>
  <c r="E1152" i="4" s="1"/>
  <c r="F1152" i="4" s="1"/>
  <c r="J1151" i="4"/>
  <c r="C1151" i="4"/>
  <c r="D1151" i="4" s="1"/>
  <c r="E1151" i="4" s="1"/>
  <c r="F1151" i="4" s="1"/>
  <c r="J1150" i="4"/>
  <c r="C1150" i="4"/>
  <c r="D1150" i="4" s="1"/>
  <c r="E1150" i="4" s="1"/>
  <c r="F1150" i="4" s="1"/>
  <c r="J1149" i="4"/>
  <c r="C1149" i="4"/>
  <c r="D1149" i="4" s="1"/>
  <c r="E1149" i="4" s="1"/>
  <c r="F1149" i="4" s="1"/>
  <c r="C1148" i="4"/>
  <c r="D1148" i="4" s="1"/>
  <c r="E1148" i="4" s="1"/>
  <c r="F1148" i="4" s="1"/>
  <c r="J1148" i="4"/>
  <c r="C1147" i="4"/>
  <c r="D1147" i="4" s="1"/>
  <c r="E1147" i="4" s="1"/>
  <c r="F1147" i="4" s="1"/>
  <c r="J1147" i="4"/>
  <c r="C1146" i="4"/>
  <c r="D1146" i="4" s="1"/>
  <c r="E1146" i="4" s="1"/>
  <c r="F1146" i="4" s="1"/>
  <c r="J1146" i="4"/>
  <c r="C1145" i="4"/>
  <c r="D1145" i="4" s="1"/>
  <c r="E1145" i="4" s="1"/>
  <c r="F1145" i="4" s="1"/>
  <c r="J1145" i="4"/>
  <c r="C1144" i="4"/>
  <c r="D1144" i="4" s="1"/>
  <c r="E1144" i="4" s="1"/>
  <c r="F1144" i="4" s="1"/>
  <c r="J1144" i="4"/>
  <c r="C1143" i="4"/>
  <c r="D1143" i="4" s="1"/>
  <c r="E1143" i="4" s="1"/>
  <c r="F1143" i="4" s="1"/>
  <c r="J1143" i="4"/>
  <c r="J1142" i="4"/>
  <c r="C1142" i="4"/>
  <c r="D1142" i="4" s="1"/>
  <c r="E1142" i="4" s="1"/>
  <c r="F1142" i="4" s="1"/>
  <c r="J1141" i="4"/>
  <c r="C1141" i="4"/>
  <c r="D1141" i="4" s="1"/>
  <c r="E1141" i="4" s="1"/>
  <c r="F1141" i="4" s="1"/>
  <c r="C1140" i="4"/>
  <c r="D1140" i="4" s="1"/>
  <c r="E1140" i="4" s="1"/>
  <c r="F1140" i="4" s="1"/>
  <c r="J1140" i="4"/>
  <c r="J1139" i="4"/>
  <c r="C1139" i="4"/>
  <c r="D1139" i="4" s="1"/>
  <c r="E1139" i="4" s="1"/>
  <c r="F1139" i="4" s="1"/>
  <c r="J1138" i="4"/>
  <c r="C1138" i="4"/>
  <c r="D1138" i="4" s="1"/>
  <c r="E1138" i="4" s="1"/>
  <c r="F1138" i="4" s="1"/>
  <c r="J1137" i="4"/>
  <c r="C1137" i="4"/>
  <c r="D1137" i="4" s="1"/>
  <c r="E1137" i="4" s="1"/>
  <c r="F1137" i="4" s="1"/>
  <c r="J1136" i="4"/>
  <c r="C1136" i="4"/>
  <c r="D1136" i="4" s="1"/>
  <c r="E1136" i="4" s="1"/>
  <c r="F1136" i="4" s="1"/>
  <c r="C1135" i="4"/>
  <c r="D1135" i="4" s="1"/>
  <c r="E1135" i="4" s="1"/>
  <c r="F1135" i="4" s="1"/>
  <c r="J1135" i="4"/>
  <c r="C1134" i="4"/>
  <c r="D1134" i="4" s="1"/>
  <c r="E1134" i="4" s="1"/>
  <c r="F1134" i="4" s="1"/>
  <c r="J1134" i="4"/>
  <c r="C1133" i="4"/>
  <c r="D1133" i="4" s="1"/>
  <c r="E1133" i="4" s="1"/>
  <c r="F1133" i="4" s="1"/>
  <c r="J1133" i="4"/>
  <c r="C1132" i="4"/>
  <c r="D1132" i="4" s="1"/>
  <c r="E1132" i="4" s="1"/>
  <c r="F1132" i="4" s="1"/>
  <c r="J1132" i="4"/>
  <c r="C1131" i="4"/>
  <c r="D1131" i="4" s="1"/>
  <c r="E1131" i="4" s="1"/>
  <c r="F1131" i="4" s="1"/>
  <c r="J1131" i="4"/>
  <c r="C1130" i="4"/>
  <c r="D1130" i="4" s="1"/>
  <c r="E1130" i="4" s="1"/>
  <c r="F1130" i="4" s="1"/>
  <c r="J1130" i="4"/>
  <c r="C1129" i="4"/>
  <c r="D1129" i="4" s="1"/>
  <c r="E1129" i="4" s="1"/>
  <c r="F1129" i="4" s="1"/>
  <c r="J1129" i="4"/>
  <c r="J1128" i="4"/>
  <c r="C1128" i="4"/>
  <c r="D1128" i="4" s="1"/>
  <c r="E1128" i="4" s="1"/>
  <c r="F1128" i="4" s="1"/>
  <c r="C1127" i="4"/>
  <c r="D1127" i="4" s="1"/>
  <c r="E1127" i="4" s="1"/>
  <c r="F1127" i="4" s="1"/>
  <c r="J1127" i="4"/>
  <c r="C1126" i="4"/>
  <c r="D1126" i="4" s="1"/>
  <c r="E1126" i="4" s="1"/>
  <c r="F1126" i="4" s="1"/>
  <c r="J1126" i="4"/>
  <c r="C1125" i="4"/>
  <c r="D1125" i="4" s="1"/>
  <c r="E1125" i="4" s="1"/>
  <c r="F1125" i="4" s="1"/>
  <c r="J1125" i="4"/>
  <c r="J1124" i="4"/>
  <c r="C1124" i="4"/>
  <c r="D1124" i="4" s="1"/>
  <c r="E1124" i="4" s="1"/>
  <c r="F1124" i="4" s="1"/>
  <c r="J1123" i="4"/>
  <c r="C1123" i="4"/>
  <c r="D1123" i="4" s="1"/>
  <c r="E1123" i="4" s="1"/>
  <c r="F1123" i="4" s="1"/>
  <c r="J1122" i="4"/>
  <c r="C1122" i="4"/>
  <c r="D1122" i="4" s="1"/>
  <c r="E1122" i="4" s="1"/>
  <c r="F1122" i="4" s="1"/>
  <c r="J1121" i="4"/>
  <c r="C1121" i="4"/>
  <c r="D1121" i="4" s="1"/>
  <c r="E1121" i="4" s="1"/>
  <c r="F1121" i="4" s="1"/>
  <c r="C1120" i="4"/>
  <c r="D1120" i="4" s="1"/>
  <c r="E1120" i="4" s="1"/>
  <c r="F1120" i="4" s="1"/>
  <c r="J1120" i="4"/>
  <c r="C1119" i="4"/>
  <c r="D1119" i="4" s="1"/>
  <c r="E1119" i="4" s="1"/>
  <c r="F1119" i="4" s="1"/>
  <c r="J1119" i="4"/>
  <c r="C1118" i="4"/>
  <c r="D1118" i="4" s="1"/>
  <c r="E1118" i="4" s="1"/>
  <c r="F1118" i="4" s="1"/>
  <c r="J1118" i="4"/>
  <c r="C1117" i="4"/>
  <c r="D1117" i="4" s="1"/>
  <c r="E1117" i="4" s="1"/>
  <c r="F1117" i="4" s="1"/>
  <c r="J1117" i="4"/>
  <c r="J1116" i="4"/>
  <c r="C1116" i="4"/>
  <c r="D1116" i="4" s="1"/>
  <c r="E1116" i="4" s="1"/>
  <c r="F1116" i="4" s="1"/>
  <c r="C1115" i="4"/>
  <c r="D1115" i="4" s="1"/>
  <c r="E1115" i="4" s="1"/>
  <c r="F1115" i="4" s="1"/>
  <c r="J1115" i="4"/>
  <c r="C1114" i="4"/>
  <c r="D1114" i="4" s="1"/>
  <c r="E1114" i="4" s="1"/>
  <c r="F1114" i="4" s="1"/>
  <c r="J1114" i="4"/>
  <c r="J1113" i="4"/>
  <c r="C1113" i="4"/>
  <c r="D1113" i="4" s="1"/>
  <c r="E1113" i="4" s="1"/>
  <c r="F1113" i="4" s="1"/>
  <c r="J1112" i="4"/>
  <c r="C1112" i="4"/>
  <c r="D1112" i="4" s="1"/>
  <c r="E1112" i="4" s="1"/>
  <c r="F1112" i="4" s="1"/>
  <c r="C1111" i="4"/>
  <c r="D1111" i="4" s="1"/>
  <c r="E1111" i="4" s="1"/>
  <c r="F1111" i="4" s="1"/>
  <c r="J1111" i="4"/>
  <c r="C1110" i="4"/>
  <c r="D1110" i="4" s="1"/>
  <c r="E1110" i="4" s="1"/>
  <c r="F1110" i="4" s="1"/>
  <c r="J1110" i="4"/>
  <c r="J1109" i="4"/>
  <c r="C1109" i="4"/>
  <c r="D1109" i="4" s="1"/>
  <c r="E1109" i="4" s="1"/>
  <c r="F1109" i="4" s="1"/>
  <c r="C1108" i="4"/>
  <c r="D1108" i="4" s="1"/>
  <c r="E1108" i="4" s="1"/>
  <c r="F1108" i="4" s="1"/>
  <c r="J1108" i="4"/>
  <c r="C1107" i="4"/>
  <c r="D1107" i="4" s="1"/>
  <c r="E1107" i="4" s="1"/>
  <c r="F1107" i="4" s="1"/>
  <c r="J1107" i="4"/>
  <c r="C1106" i="4"/>
  <c r="D1106" i="4" s="1"/>
  <c r="E1106" i="4" s="1"/>
  <c r="F1106" i="4" s="1"/>
  <c r="J1106" i="4"/>
  <c r="J1105" i="4"/>
  <c r="C1105" i="4"/>
  <c r="D1105" i="4" s="1"/>
  <c r="E1105" i="4" s="1"/>
  <c r="F1105" i="4" s="1"/>
  <c r="J1104" i="4"/>
  <c r="C1104" i="4"/>
  <c r="D1104" i="4" s="1"/>
  <c r="E1104" i="4" s="1"/>
  <c r="F1104" i="4" s="1"/>
  <c r="J1103" i="4"/>
  <c r="C1103" i="4"/>
  <c r="D1103" i="4" s="1"/>
  <c r="E1103" i="4" s="1"/>
  <c r="F1103" i="4" s="1"/>
  <c r="J1102" i="4"/>
  <c r="C1102" i="4"/>
  <c r="D1102" i="4" s="1"/>
  <c r="E1102" i="4" s="1"/>
  <c r="F1102" i="4" s="1"/>
  <c r="J1101" i="4"/>
  <c r="C1101" i="4"/>
  <c r="D1101" i="4" s="1"/>
  <c r="E1101" i="4" s="1"/>
  <c r="F1101" i="4" s="1"/>
  <c r="J1100" i="4"/>
  <c r="C1100" i="4"/>
  <c r="D1100" i="4" s="1"/>
  <c r="E1100" i="4" s="1"/>
  <c r="F1100" i="4" s="1"/>
  <c r="J1099" i="4"/>
  <c r="C1099" i="4"/>
  <c r="D1099" i="4" s="1"/>
  <c r="E1099" i="4" s="1"/>
  <c r="F1099" i="4" s="1"/>
  <c r="J1098" i="4"/>
  <c r="C1098" i="4"/>
  <c r="D1098" i="4" s="1"/>
  <c r="E1098" i="4" s="1"/>
  <c r="F1098" i="4" s="1"/>
  <c r="J1097" i="4"/>
  <c r="C1097" i="4"/>
  <c r="D1097" i="4" s="1"/>
  <c r="E1097" i="4" s="1"/>
  <c r="F1097" i="4" s="1"/>
  <c r="J1096" i="4"/>
  <c r="C1096" i="4"/>
  <c r="D1096" i="4" s="1"/>
  <c r="E1096" i="4" s="1"/>
  <c r="F1096" i="4" s="1"/>
  <c r="J1095" i="4"/>
  <c r="C1095" i="4"/>
  <c r="D1095" i="4" s="1"/>
  <c r="E1095" i="4" s="1"/>
  <c r="F1095" i="4" s="1"/>
  <c r="C1094" i="4"/>
  <c r="D1094" i="4" s="1"/>
  <c r="E1094" i="4" s="1"/>
  <c r="F1094" i="4" s="1"/>
  <c r="J1094" i="4"/>
  <c r="J1093" i="4"/>
  <c r="C1093" i="4"/>
  <c r="D1093" i="4" s="1"/>
  <c r="E1093" i="4" s="1"/>
  <c r="F1093" i="4" s="1"/>
  <c r="J1092" i="4"/>
  <c r="C1092" i="4"/>
  <c r="D1092" i="4" s="1"/>
  <c r="E1092" i="4" s="1"/>
  <c r="F1092" i="4" s="1"/>
  <c r="J1091" i="4"/>
  <c r="C1091" i="4"/>
  <c r="D1091" i="4" s="1"/>
  <c r="E1091" i="4" s="1"/>
  <c r="F1091" i="4" s="1"/>
  <c r="C1090" i="4"/>
  <c r="D1090" i="4" s="1"/>
  <c r="E1090" i="4" s="1"/>
  <c r="F1090" i="4" s="1"/>
  <c r="J1090" i="4"/>
  <c r="C1089" i="4"/>
  <c r="D1089" i="4" s="1"/>
  <c r="E1089" i="4" s="1"/>
  <c r="F1089" i="4" s="1"/>
  <c r="J1089" i="4"/>
  <c r="C1088" i="4"/>
  <c r="D1088" i="4" s="1"/>
  <c r="E1088" i="4" s="1"/>
  <c r="F1088" i="4" s="1"/>
  <c r="J1088" i="4"/>
  <c r="J1087" i="4"/>
  <c r="C1087" i="4"/>
  <c r="D1087" i="4" s="1"/>
  <c r="E1087" i="4" s="1"/>
  <c r="F1087" i="4" s="1"/>
  <c r="J1086" i="4"/>
  <c r="C1086" i="4"/>
  <c r="D1086" i="4" s="1"/>
  <c r="E1086" i="4" s="1"/>
  <c r="F1086" i="4" s="1"/>
  <c r="J1085" i="4"/>
  <c r="C1085" i="4"/>
  <c r="D1085" i="4" s="1"/>
  <c r="E1085" i="4" s="1"/>
  <c r="F1085" i="4" s="1"/>
  <c r="J1084" i="4"/>
  <c r="C1084" i="4"/>
  <c r="D1084" i="4" s="1"/>
  <c r="E1084" i="4" s="1"/>
  <c r="F1084" i="4" s="1"/>
  <c r="C1083" i="4"/>
  <c r="D1083" i="4" s="1"/>
  <c r="E1083" i="4" s="1"/>
  <c r="F1083" i="4" s="1"/>
  <c r="J1083" i="4"/>
  <c r="C1082" i="4"/>
  <c r="D1082" i="4" s="1"/>
  <c r="E1082" i="4" s="1"/>
  <c r="F1082" i="4" s="1"/>
  <c r="J1082" i="4"/>
  <c r="J1081" i="4"/>
  <c r="C1081" i="4"/>
  <c r="D1081" i="4" s="1"/>
  <c r="E1081" i="4" s="1"/>
  <c r="F1081" i="4" s="1"/>
  <c r="C1080" i="4"/>
  <c r="D1080" i="4" s="1"/>
  <c r="E1080" i="4" s="1"/>
  <c r="F1080" i="4" s="1"/>
  <c r="J1080" i="4"/>
  <c r="C1079" i="4"/>
  <c r="D1079" i="4" s="1"/>
  <c r="E1079" i="4" s="1"/>
  <c r="F1079" i="4" s="1"/>
  <c r="J1079" i="4"/>
  <c r="C1078" i="4"/>
  <c r="D1078" i="4" s="1"/>
  <c r="E1078" i="4" s="1"/>
  <c r="F1078" i="4" s="1"/>
  <c r="J1078" i="4"/>
  <c r="C1077" i="4"/>
  <c r="D1077" i="4" s="1"/>
  <c r="E1077" i="4" s="1"/>
  <c r="F1077" i="4" s="1"/>
  <c r="J1077" i="4"/>
  <c r="J1076" i="4"/>
  <c r="C1076" i="4"/>
  <c r="D1076" i="4" s="1"/>
  <c r="E1076" i="4" s="1"/>
  <c r="F1076" i="4" s="1"/>
  <c r="J1075" i="4"/>
  <c r="C1075" i="4"/>
  <c r="D1075" i="4" s="1"/>
  <c r="E1075" i="4" s="1"/>
  <c r="F1075" i="4" s="1"/>
  <c r="J1074" i="4"/>
  <c r="C1074" i="4"/>
  <c r="D1074" i="4" s="1"/>
  <c r="E1074" i="4" s="1"/>
  <c r="F1074" i="4" s="1"/>
  <c r="C1073" i="4"/>
  <c r="D1073" i="4" s="1"/>
  <c r="E1073" i="4" s="1"/>
  <c r="F1073" i="4" s="1"/>
  <c r="J1073" i="4"/>
  <c r="C1072" i="4"/>
  <c r="D1072" i="4" s="1"/>
  <c r="E1072" i="4" s="1"/>
  <c r="F1072" i="4" s="1"/>
  <c r="J1072" i="4"/>
  <c r="C1071" i="4"/>
  <c r="D1071" i="4" s="1"/>
  <c r="E1071" i="4" s="1"/>
  <c r="F1071" i="4" s="1"/>
  <c r="J1071" i="4"/>
  <c r="C1070" i="4"/>
  <c r="D1070" i="4" s="1"/>
  <c r="E1070" i="4" s="1"/>
  <c r="F1070" i="4" s="1"/>
  <c r="J1070" i="4"/>
  <c r="C1069" i="4"/>
  <c r="D1069" i="4" s="1"/>
  <c r="E1069" i="4" s="1"/>
  <c r="F1069" i="4" s="1"/>
  <c r="J1069" i="4"/>
  <c r="J1068" i="4"/>
  <c r="C1068" i="4"/>
  <c r="D1068" i="4" s="1"/>
  <c r="E1068" i="4" s="1"/>
  <c r="F1068" i="4" s="1"/>
  <c r="J1067" i="4"/>
  <c r="C1067" i="4"/>
  <c r="D1067" i="4" s="1"/>
  <c r="E1067" i="4" s="1"/>
  <c r="F1067" i="4" s="1"/>
  <c r="J1066" i="4"/>
  <c r="C1066" i="4"/>
  <c r="D1066" i="4" s="1"/>
  <c r="E1066" i="4" s="1"/>
  <c r="F1066" i="4" s="1"/>
  <c r="J1065" i="4"/>
  <c r="C1065" i="4"/>
  <c r="D1065" i="4" s="1"/>
  <c r="E1065" i="4" s="1"/>
  <c r="F1065" i="4" s="1"/>
  <c r="J1064" i="4"/>
  <c r="C1064" i="4"/>
  <c r="D1064" i="4" s="1"/>
  <c r="E1064" i="4" s="1"/>
  <c r="F1064" i="4" s="1"/>
  <c r="C1063" i="4"/>
  <c r="D1063" i="4" s="1"/>
  <c r="E1063" i="4" s="1"/>
  <c r="F1063" i="4" s="1"/>
  <c r="J1063" i="4"/>
  <c r="C1062" i="4"/>
  <c r="D1062" i="4" s="1"/>
  <c r="E1062" i="4" s="1"/>
  <c r="F1062" i="4" s="1"/>
  <c r="J1062" i="4"/>
  <c r="J1061" i="4"/>
  <c r="C1061" i="4"/>
  <c r="D1061" i="4" s="1"/>
  <c r="E1061" i="4" s="1"/>
  <c r="F1061" i="4" s="1"/>
  <c r="C1060" i="4"/>
  <c r="D1060" i="4" s="1"/>
  <c r="E1060" i="4" s="1"/>
  <c r="F1060" i="4" s="1"/>
  <c r="J1060" i="4"/>
  <c r="C1059" i="4"/>
  <c r="D1059" i="4" s="1"/>
  <c r="E1059" i="4" s="1"/>
  <c r="F1059" i="4" s="1"/>
  <c r="J1059" i="4"/>
  <c r="C1058" i="4"/>
  <c r="D1058" i="4" s="1"/>
  <c r="E1058" i="4" s="1"/>
  <c r="F1058" i="4" s="1"/>
  <c r="J1058" i="4"/>
  <c r="J1057" i="4"/>
  <c r="C1057" i="4"/>
  <c r="D1057" i="4" s="1"/>
  <c r="E1057" i="4" s="1"/>
  <c r="F1057" i="4" s="1"/>
  <c r="C1056" i="4"/>
  <c r="D1056" i="4" s="1"/>
  <c r="E1056" i="4" s="1"/>
  <c r="F1056" i="4" s="1"/>
  <c r="J1056" i="4"/>
  <c r="J1055" i="4"/>
  <c r="C1055" i="4"/>
  <c r="D1055" i="4" s="1"/>
  <c r="E1055" i="4" s="1"/>
  <c r="F1055" i="4" s="1"/>
  <c r="J1054" i="4"/>
  <c r="C1054" i="4"/>
  <c r="D1054" i="4" s="1"/>
  <c r="E1054" i="4" s="1"/>
  <c r="F1054" i="4" s="1"/>
  <c r="J1053" i="4"/>
  <c r="C1053" i="4"/>
  <c r="D1053" i="4" s="1"/>
  <c r="E1053" i="4" s="1"/>
  <c r="F1053" i="4" s="1"/>
  <c r="J1052" i="4"/>
  <c r="C1052" i="4"/>
  <c r="D1052" i="4" s="1"/>
  <c r="E1052" i="4" s="1"/>
  <c r="F1052" i="4" s="1"/>
  <c r="J1051" i="4"/>
  <c r="C1051" i="4"/>
  <c r="D1051" i="4" s="1"/>
  <c r="E1051" i="4" s="1"/>
  <c r="F1051" i="4" s="1"/>
  <c r="C1050" i="4"/>
  <c r="D1050" i="4" s="1"/>
  <c r="E1050" i="4" s="1"/>
  <c r="F1050" i="4" s="1"/>
  <c r="J1050" i="4"/>
  <c r="J1049" i="4"/>
  <c r="C1049" i="4"/>
  <c r="D1049" i="4" s="1"/>
  <c r="E1049" i="4" s="1"/>
  <c r="F1049" i="4" s="1"/>
  <c r="J1048" i="4"/>
  <c r="C1048" i="4"/>
  <c r="D1048" i="4" s="1"/>
  <c r="E1048" i="4" s="1"/>
  <c r="F1048" i="4" s="1"/>
  <c r="J1047" i="4"/>
  <c r="C1047" i="4"/>
  <c r="D1047" i="4" s="1"/>
  <c r="E1047" i="4" s="1"/>
  <c r="F1047" i="4" s="1"/>
  <c r="J1046" i="4"/>
  <c r="C1046" i="4"/>
  <c r="D1046" i="4" s="1"/>
  <c r="E1046" i="4" s="1"/>
  <c r="F1046" i="4" s="1"/>
  <c r="C1045" i="4"/>
  <c r="D1045" i="4" s="1"/>
  <c r="E1045" i="4" s="1"/>
  <c r="F1045" i="4" s="1"/>
  <c r="J1045" i="4"/>
  <c r="J1044" i="4"/>
  <c r="C1044" i="4"/>
  <c r="D1044" i="4" s="1"/>
  <c r="E1044" i="4" s="1"/>
  <c r="F1044" i="4" s="1"/>
  <c r="J1043" i="4"/>
  <c r="C1043" i="4"/>
  <c r="D1043" i="4" s="1"/>
  <c r="E1043" i="4" s="1"/>
  <c r="F1043" i="4" s="1"/>
  <c r="C1042" i="4"/>
  <c r="D1042" i="4" s="1"/>
  <c r="E1042" i="4" s="1"/>
  <c r="F1042" i="4" s="1"/>
  <c r="J1042" i="4"/>
  <c r="C1041" i="4"/>
  <c r="D1041" i="4" s="1"/>
  <c r="E1041" i="4" s="1"/>
  <c r="F1041" i="4" s="1"/>
  <c r="J1041" i="4"/>
  <c r="C1040" i="4"/>
  <c r="D1040" i="4" s="1"/>
  <c r="E1040" i="4" s="1"/>
  <c r="F1040" i="4" s="1"/>
  <c r="J1040" i="4"/>
  <c r="C1039" i="4"/>
  <c r="D1039" i="4" s="1"/>
  <c r="E1039" i="4" s="1"/>
  <c r="F1039" i="4" s="1"/>
  <c r="J1039" i="4"/>
  <c r="J1038" i="4"/>
  <c r="C1038" i="4"/>
  <c r="D1038" i="4" s="1"/>
  <c r="E1038" i="4" s="1"/>
  <c r="F1038" i="4" s="1"/>
  <c r="J1037" i="4"/>
  <c r="C1037" i="4"/>
  <c r="D1037" i="4" s="1"/>
  <c r="E1037" i="4" s="1"/>
  <c r="F1037" i="4" s="1"/>
  <c r="J1036" i="4"/>
  <c r="C1036" i="4"/>
  <c r="D1036" i="4" s="1"/>
  <c r="E1036" i="4" s="1"/>
  <c r="F1036" i="4" s="1"/>
  <c r="J1035" i="4"/>
  <c r="C1035" i="4"/>
  <c r="D1035" i="4" s="1"/>
  <c r="E1035" i="4" s="1"/>
  <c r="F1035" i="4" s="1"/>
  <c r="C1034" i="4"/>
  <c r="D1034" i="4" s="1"/>
  <c r="E1034" i="4" s="1"/>
  <c r="F1034" i="4" s="1"/>
  <c r="J1034" i="4"/>
  <c r="C1033" i="4"/>
  <c r="D1033" i="4" s="1"/>
  <c r="E1033" i="4" s="1"/>
  <c r="F1033" i="4" s="1"/>
  <c r="J1033" i="4"/>
  <c r="J1032" i="4"/>
  <c r="C1032" i="4"/>
  <c r="D1032" i="4" s="1"/>
  <c r="E1032" i="4" s="1"/>
  <c r="F1032" i="4" s="1"/>
  <c r="J1031" i="4"/>
  <c r="C1031" i="4"/>
  <c r="D1031" i="4" s="1"/>
  <c r="E1031" i="4" s="1"/>
  <c r="F1031" i="4" s="1"/>
  <c r="C1030" i="4"/>
  <c r="D1030" i="4" s="1"/>
  <c r="E1030" i="4" s="1"/>
  <c r="F1030" i="4" s="1"/>
  <c r="J1030" i="4"/>
  <c r="J1029" i="4"/>
  <c r="C1029" i="4"/>
  <c r="D1029" i="4" s="1"/>
  <c r="E1029" i="4" s="1"/>
  <c r="F1029" i="4" s="1"/>
  <c r="J1028" i="4"/>
  <c r="C1028" i="4"/>
  <c r="D1028" i="4" s="1"/>
  <c r="E1028" i="4" s="1"/>
  <c r="F1028" i="4" s="1"/>
  <c r="C1027" i="4"/>
  <c r="D1027" i="4" s="1"/>
  <c r="E1027" i="4" s="1"/>
  <c r="F1027" i="4" s="1"/>
  <c r="J1027" i="4"/>
  <c r="J1026" i="4"/>
  <c r="C1026" i="4"/>
  <c r="D1026" i="4" s="1"/>
  <c r="E1026" i="4" s="1"/>
  <c r="F1026" i="4" s="1"/>
  <c r="J1025" i="4"/>
  <c r="C1025" i="4"/>
  <c r="D1025" i="4" s="1"/>
  <c r="E1025" i="4" s="1"/>
  <c r="F1025" i="4" s="1"/>
  <c r="C1024" i="4"/>
  <c r="D1024" i="4" s="1"/>
  <c r="E1024" i="4" s="1"/>
  <c r="F1024" i="4" s="1"/>
  <c r="J1024" i="4"/>
  <c r="J1023" i="4"/>
  <c r="C1023" i="4"/>
  <c r="D1023" i="4" s="1"/>
  <c r="E1023" i="4" s="1"/>
  <c r="F1023" i="4" s="1"/>
  <c r="C1022" i="4"/>
  <c r="D1022" i="4" s="1"/>
  <c r="E1022" i="4" s="1"/>
  <c r="F1022" i="4" s="1"/>
  <c r="J1022" i="4"/>
  <c r="C1021" i="4"/>
  <c r="D1021" i="4" s="1"/>
  <c r="E1021" i="4" s="1"/>
  <c r="F1021" i="4" s="1"/>
  <c r="J1021" i="4"/>
  <c r="C1020" i="4"/>
  <c r="D1020" i="4" s="1"/>
  <c r="E1020" i="4" s="1"/>
  <c r="F1020" i="4" s="1"/>
  <c r="J1020" i="4"/>
  <c r="C1019" i="4"/>
  <c r="D1019" i="4" s="1"/>
  <c r="E1019" i="4" s="1"/>
  <c r="F1019" i="4" s="1"/>
  <c r="J1019" i="4"/>
  <c r="J1018" i="4"/>
  <c r="C1018" i="4"/>
  <c r="D1018" i="4" s="1"/>
  <c r="E1018" i="4" s="1"/>
  <c r="F1018" i="4" s="1"/>
  <c r="J1017" i="4"/>
  <c r="C1017" i="4"/>
  <c r="D1017" i="4" s="1"/>
  <c r="E1017" i="4" s="1"/>
  <c r="F1017" i="4" s="1"/>
  <c r="J1016" i="4"/>
  <c r="C1016" i="4"/>
  <c r="D1016" i="4" s="1"/>
  <c r="E1016" i="4" s="1"/>
  <c r="F1016" i="4" s="1"/>
  <c r="J1015" i="4"/>
  <c r="C1015" i="4"/>
  <c r="D1015" i="4" s="1"/>
  <c r="E1015" i="4" s="1"/>
  <c r="F1015" i="4" s="1"/>
  <c r="J1014" i="4"/>
  <c r="C1014" i="4"/>
  <c r="D1014" i="4" s="1"/>
  <c r="E1014" i="4" s="1"/>
  <c r="F1014" i="4" s="1"/>
  <c r="C1013" i="4"/>
  <c r="D1013" i="4" s="1"/>
  <c r="E1013" i="4" s="1"/>
  <c r="F1013" i="4" s="1"/>
  <c r="J1013" i="4"/>
  <c r="C1012" i="4"/>
  <c r="D1012" i="4" s="1"/>
  <c r="E1012" i="4" s="1"/>
  <c r="F1012" i="4" s="1"/>
  <c r="J1012" i="4"/>
  <c r="C1011" i="4"/>
  <c r="D1011" i="4" s="1"/>
  <c r="E1011" i="4" s="1"/>
  <c r="F1011" i="4" s="1"/>
  <c r="J1011" i="4"/>
  <c r="C1010" i="4"/>
  <c r="D1010" i="4" s="1"/>
  <c r="E1010" i="4" s="1"/>
  <c r="F1010" i="4" s="1"/>
  <c r="J1010" i="4"/>
  <c r="C1009" i="4"/>
  <c r="D1009" i="4" s="1"/>
  <c r="E1009" i="4" s="1"/>
  <c r="F1009" i="4" s="1"/>
  <c r="J1009" i="4"/>
  <c r="C1008" i="4"/>
  <c r="D1008" i="4" s="1"/>
  <c r="E1008" i="4" s="1"/>
  <c r="F1008" i="4" s="1"/>
  <c r="J1008" i="4"/>
  <c r="J1007" i="4"/>
  <c r="C1007" i="4"/>
  <c r="D1007" i="4" s="1"/>
  <c r="E1007" i="4" s="1"/>
  <c r="F1007" i="4" s="1"/>
  <c r="J1006" i="4"/>
  <c r="C1006" i="4"/>
  <c r="D1006" i="4" s="1"/>
  <c r="E1006" i="4" s="1"/>
  <c r="F1006" i="4" s="1"/>
  <c r="J1005" i="4"/>
  <c r="C1005" i="4"/>
  <c r="D1005" i="4" s="1"/>
  <c r="E1005" i="4" s="1"/>
  <c r="F1005" i="4" s="1"/>
  <c r="J1004" i="4"/>
  <c r="C1004" i="4"/>
  <c r="D1004" i="4" s="1"/>
  <c r="E1004" i="4" s="1"/>
  <c r="F1004" i="4" s="1"/>
  <c r="J1003" i="4"/>
  <c r="C1003" i="4"/>
  <c r="D1003" i="4" s="1"/>
  <c r="E1003" i="4" s="1"/>
  <c r="F1003" i="4" s="1"/>
  <c r="J1002" i="4"/>
  <c r="C1002" i="4"/>
  <c r="D1002" i="4" s="1"/>
  <c r="E1002" i="4" s="1"/>
  <c r="F1002" i="4" s="1"/>
  <c r="J1001" i="4"/>
  <c r="C1001" i="4"/>
  <c r="D1001" i="4" s="1"/>
  <c r="E1001" i="4" s="1"/>
  <c r="F1001" i="4" s="1"/>
  <c r="C1000" i="4"/>
  <c r="D1000" i="4" s="1"/>
  <c r="E1000" i="4" s="1"/>
  <c r="F1000" i="4" s="1"/>
  <c r="J1000" i="4"/>
  <c r="C999" i="4"/>
  <c r="D999" i="4" s="1"/>
  <c r="E999" i="4" s="1"/>
  <c r="F999" i="4" s="1"/>
  <c r="J999" i="4"/>
  <c r="C998" i="4"/>
  <c r="D998" i="4" s="1"/>
  <c r="E998" i="4" s="1"/>
  <c r="F998" i="4" s="1"/>
  <c r="J998" i="4"/>
  <c r="C997" i="4"/>
  <c r="D997" i="4" s="1"/>
  <c r="E997" i="4" s="1"/>
  <c r="F997" i="4" s="1"/>
  <c r="J997" i="4"/>
  <c r="J996" i="4"/>
  <c r="C996" i="4"/>
  <c r="D996" i="4" s="1"/>
  <c r="E996" i="4" s="1"/>
  <c r="F996" i="4" s="1"/>
  <c r="C995" i="4"/>
  <c r="D995" i="4" s="1"/>
  <c r="E995" i="4" s="1"/>
  <c r="F995" i="4" s="1"/>
  <c r="J995" i="4"/>
  <c r="C994" i="4"/>
  <c r="D994" i="4" s="1"/>
  <c r="E994" i="4" s="1"/>
  <c r="F994" i="4" s="1"/>
  <c r="J994" i="4"/>
  <c r="C993" i="4"/>
  <c r="D993" i="4" s="1"/>
  <c r="E993" i="4" s="1"/>
  <c r="F993" i="4" s="1"/>
  <c r="J993" i="4"/>
  <c r="C992" i="4"/>
  <c r="D992" i="4" s="1"/>
  <c r="E992" i="4" s="1"/>
  <c r="F992" i="4" s="1"/>
  <c r="J992" i="4"/>
  <c r="C991" i="4"/>
  <c r="D991" i="4" s="1"/>
  <c r="E991" i="4" s="1"/>
  <c r="F991" i="4" s="1"/>
  <c r="J991" i="4"/>
  <c r="J990" i="4"/>
  <c r="C990" i="4"/>
  <c r="D990" i="4" s="1"/>
  <c r="E990" i="4" s="1"/>
  <c r="F990" i="4" s="1"/>
  <c r="J989" i="4"/>
  <c r="C989" i="4"/>
  <c r="D989" i="4" s="1"/>
  <c r="E989" i="4" s="1"/>
  <c r="F989" i="4" s="1"/>
  <c r="J988" i="4"/>
  <c r="C988" i="4"/>
  <c r="D988" i="4" s="1"/>
  <c r="E988" i="4" s="1"/>
  <c r="F988" i="4" s="1"/>
  <c r="J987" i="4"/>
  <c r="C987" i="4"/>
  <c r="D987" i="4" s="1"/>
  <c r="E987" i="4" s="1"/>
  <c r="F987" i="4" s="1"/>
  <c r="J986" i="4"/>
  <c r="C986" i="4"/>
  <c r="D986" i="4" s="1"/>
  <c r="E986" i="4" s="1"/>
  <c r="F986" i="4" s="1"/>
  <c r="C985" i="4"/>
  <c r="D985" i="4" s="1"/>
  <c r="E985" i="4" s="1"/>
  <c r="F985" i="4" s="1"/>
  <c r="J985" i="4"/>
  <c r="C984" i="4"/>
  <c r="D984" i="4" s="1"/>
  <c r="E984" i="4" s="1"/>
  <c r="F984" i="4" s="1"/>
  <c r="J984" i="4"/>
  <c r="C983" i="4"/>
  <c r="D983" i="4" s="1"/>
  <c r="E983" i="4" s="1"/>
  <c r="F983" i="4" s="1"/>
  <c r="J983" i="4"/>
  <c r="J982" i="4"/>
  <c r="C982" i="4"/>
  <c r="D982" i="4" s="1"/>
  <c r="E982" i="4" s="1"/>
  <c r="F982" i="4" s="1"/>
  <c r="J981" i="4"/>
  <c r="C981" i="4"/>
  <c r="D981" i="4" s="1"/>
  <c r="E981" i="4" s="1"/>
  <c r="F981" i="4" s="1"/>
  <c r="C980" i="4"/>
  <c r="D980" i="4" s="1"/>
  <c r="E980" i="4" s="1"/>
  <c r="F980" i="4" s="1"/>
  <c r="J980" i="4"/>
  <c r="C979" i="4"/>
  <c r="D979" i="4" s="1"/>
  <c r="E979" i="4" s="1"/>
  <c r="F979" i="4" s="1"/>
  <c r="J979" i="4"/>
  <c r="C978" i="4"/>
  <c r="D978" i="4" s="1"/>
  <c r="E978" i="4" s="1"/>
  <c r="F978" i="4" s="1"/>
  <c r="J978" i="4"/>
  <c r="C977" i="4"/>
  <c r="D977" i="4" s="1"/>
  <c r="E977" i="4" s="1"/>
  <c r="F977" i="4" s="1"/>
  <c r="J977" i="4"/>
  <c r="C976" i="4"/>
  <c r="D976" i="4" s="1"/>
  <c r="E976" i="4" s="1"/>
  <c r="F976" i="4" s="1"/>
  <c r="J976" i="4"/>
  <c r="J975" i="4"/>
  <c r="C975" i="4"/>
  <c r="D975" i="4" s="1"/>
  <c r="E975" i="4" s="1"/>
  <c r="F975" i="4" s="1"/>
  <c r="J974" i="4"/>
  <c r="C974" i="4"/>
  <c r="D974" i="4" s="1"/>
  <c r="E974" i="4" s="1"/>
  <c r="F974" i="4" s="1"/>
  <c r="J973" i="4"/>
  <c r="C973" i="4"/>
  <c r="D973" i="4" s="1"/>
  <c r="E973" i="4" s="1"/>
  <c r="F973" i="4" s="1"/>
  <c r="J972" i="4"/>
  <c r="C972" i="4"/>
  <c r="D972" i="4" s="1"/>
  <c r="E972" i="4" s="1"/>
  <c r="F972" i="4" s="1"/>
  <c r="J971" i="4"/>
  <c r="C971" i="4"/>
  <c r="D971" i="4" s="1"/>
  <c r="E971" i="4" s="1"/>
  <c r="F971" i="4" s="1"/>
  <c r="J970" i="4"/>
  <c r="C970" i="4"/>
  <c r="D970" i="4" s="1"/>
  <c r="E970" i="4" s="1"/>
  <c r="F970" i="4" s="1"/>
  <c r="J969" i="4"/>
  <c r="C969" i="4"/>
  <c r="D969" i="4" s="1"/>
  <c r="E969" i="4" s="1"/>
  <c r="F969" i="4" s="1"/>
  <c r="J968" i="4"/>
  <c r="C968" i="4"/>
  <c r="D968" i="4" s="1"/>
  <c r="E968" i="4" s="1"/>
  <c r="F968" i="4" s="1"/>
  <c r="J967" i="4"/>
  <c r="C967" i="4"/>
  <c r="D967" i="4" s="1"/>
  <c r="E967" i="4" s="1"/>
  <c r="F967" i="4" s="1"/>
  <c r="C966" i="4"/>
  <c r="D966" i="4" s="1"/>
  <c r="E966" i="4" s="1"/>
  <c r="F966" i="4" s="1"/>
  <c r="J966" i="4"/>
  <c r="C965" i="4"/>
  <c r="D965" i="4" s="1"/>
  <c r="E965" i="4" s="1"/>
  <c r="F965" i="4" s="1"/>
  <c r="J965" i="4"/>
  <c r="J964" i="4"/>
  <c r="C964" i="4"/>
  <c r="D964" i="4" s="1"/>
  <c r="E964" i="4" s="1"/>
  <c r="F964" i="4" s="1"/>
  <c r="J963" i="4"/>
  <c r="C963" i="4"/>
  <c r="D963" i="4" s="1"/>
  <c r="E963" i="4" s="1"/>
  <c r="F963" i="4" s="1"/>
  <c r="C962" i="4"/>
  <c r="D962" i="4" s="1"/>
  <c r="E962" i="4" s="1"/>
  <c r="F962" i="4" s="1"/>
  <c r="J962" i="4"/>
  <c r="J961" i="4"/>
  <c r="C961" i="4"/>
  <c r="D961" i="4" s="1"/>
  <c r="E961" i="4" s="1"/>
  <c r="F961" i="4" s="1"/>
  <c r="J960" i="4"/>
  <c r="C960" i="4"/>
  <c r="D960" i="4" s="1"/>
  <c r="E960" i="4" s="1"/>
  <c r="F960" i="4" s="1"/>
  <c r="C959" i="4"/>
  <c r="D959" i="4" s="1"/>
  <c r="E959" i="4" s="1"/>
  <c r="F959" i="4" s="1"/>
  <c r="J959" i="4"/>
  <c r="J958" i="4"/>
  <c r="C958" i="4"/>
  <c r="D958" i="4" s="1"/>
  <c r="E958" i="4" s="1"/>
  <c r="F958" i="4" s="1"/>
  <c r="J957" i="4"/>
  <c r="C957" i="4"/>
  <c r="D957" i="4" s="1"/>
  <c r="E957" i="4" s="1"/>
  <c r="F957" i="4" s="1"/>
  <c r="J956" i="4"/>
  <c r="C956" i="4"/>
  <c r="D956" i="4" s="1"/>
  <c r="E956" i="4" s="1"/>
  <c r="F956" i="4" s="1"/>
  <c r="J955" i="4"/>
  <c r="C955" i="4"/>
  <c r="D955" i="4" s="1"/>
  <c r="E955" i="4" s="1"/>
  <c r="F955" i="4" s="1"/>
  <c r="J954" i="4"/>
  <c r="C954" i="4"/>
  <c r="D954" i="4" s="1"/>
  <c r="E954" i="4" s="1"/>
  <c r="F954" i="4" s="1"/>
  <c r="C953" i="4"/>
  <c r="D953" i="4" s="1"/>
  <c r="E953" i="4" s="1"/>
  <c r="F953" i="4" s="1"/>
  <c r="J953" i="4"/>
  <c r="C952" i="4"/>
  <c r="D952" i="4" s="1"/>
  <c r="E952" i="4" s="1"/>
  <c r="F952" i="4" s="1"/>
  <c r="J952" i="4"/>
  <c r="J951" i="4"/>
  <c r="C951" i="4"/>
  <c r="D951" i="4" s="1"/>
  <c r="E951" i="4" s="1"/>
  <c r="F951" i="4" s="1"/>
  <c r="J950" i="4"/>
  <c r="C950" i="4"/>
  <c r="D950" i="4" s="1"/>
  <c r="E950" i="4" s="1"/>
  <c r="F950" i="4" s="1"/>
  <c r="J949" i="4"/>
  <c r="C949" i="4"/>
  <c r="D949" i="4" s="1"/>
  <c r="E949" i="4" s="1"/>
  <c r="F949" i="4" s="1"/>
  <c r="J948" i="4"/>
  <c r="C948" i="4"/>
  <c r="D948" i="4" s="1"/>
  <c r="E948" i="4" s="1"/>
  <c r="F948" i="4" s="1"/>
  <c r="J947" i="4"/>
  <c r="C947" i="4"/>
  <c r="D947" i="4" s="1"/>
  <c r="E947" i="4" s="1"/>
  <c r="F947" i="4" s="1"/>
  <c r="J946" i="4"/>
  <c r="C946" i="4"/>
  <c r="D946" i="4" s="1"/>
  <c r="E946" i="4" s="1"/>
  <c r="F946" i="4" s="1"/>
  <c r="J945" i="4"/>
  <c r="C945" i="4"/>
  <c r="D945" i="4" s="1"/>
  <c r="E945" i="4" s="1"/>
  <c r="F945" i="4" s="1"/>
  <c r="J944" i="4"/>
  <c r="C944" i="4"/>
  <c r="D944" i="4" s="1"/>
  <c r="E944" i="4" s="1"/>
  <c r="F944" i="4" s="1"/>
  <c r="J943" i="4"/>
  <c r="C943" i="4"/>
  <c r="D943" i="4" s="1"/>
  <c r="E943" i="4" s="1"/>
  <c r="F943" i="4" s="1"/>
  <c r="J942" i="4"/>
  <c r="C942" i="4"/>
  <c r="D942" i="4" s="1"/>
  <c r="E942" i="4" s="1"/>
  <c r="F942" i="4" s="1"/>
  <c r="J941" i="4"/>
  <c r="C941" i="4"/>
  <c r="D941" i="4" s="1"/>
  <c r="E941" i="4" s="1"/>
  <c r="F941" i="4" s="1"/>
  <c r="C940" i="4"/>
  <c r="D940" i="4" s="1"/>
  <c r="E940" i="4" s="1"/>
  <c r="F940" i="4" s="1"/>
  <c r="J940" i="4"/>
  <c r="C939" i="4"/>
  <c r="D939" i="4" s="1"/>
  <c r="E939" i="4" s="1"/>
  <c r="F939" i="4" s="1"/>
  <c r="J939" i="4"/>
  <c r="J938" i="4"/>
  <c r="C938" i="4"/>
  <c r="D938" i="4" s="1"/>
  <c r="E938" i="4" s="1"/>
  <c r="F938" i="4" s="1"/>
  <c r="J937" i="4"/>
  <c r="C937" i="4"/>
  <c r="D937" i="4" s="1"/>
  <c r="E937" i="4" s="1"/>
  <c r="F937" i="4" s="1"/>
  <c r="J936" i="4"/>
  <c r="C936" i="4"/>
  <c r="D936" i="4" s="1"/>
  <c r="E936" i="4" s="1"/>
  <c r="F936" i="4" s="1"/>
  <c r="J935" i="4"/>
  <c r="C935" i="4"/>
  <c r="D935" i="4" s="1"/>
  <c r="E935" i="4" s="1"/>
  <c r="F935" i="4" s="1"/>
  <c r="C934" i="4"/>
  <c r="D934" i="4" s="1"/>
  <c r="E934" i="4" s="1"/>
  <c r="F934" i="4" s="1"/>
  <c r="J934" i="4"/>
  <c r="J933" i="4"/>
  <c r="C933" i="4"/>
  <c r="D933" i="4" s="1"/>
  <c r="E933" i="4" s="1"/>
  <c r="F933" i="4" s="1"/>
  <c r="J932" i="4"/>
  <c r="C932" i="4"/>
  <c r="D932" i="4" s="1"/>
  <c r="E932" i="4" s="1"/>
  <c r="F932" i="4" s="1"/>
  <c r="C931" i="4"/>
  <c r="D931" i="4" s="1"/>
  <c r="E931" i="4" s="1"/>
  <c r="F931" i="4" s="1"/>
  <c r="J931" i="4"/>
  <c r="C930" i="4"/>
  <c r="D930" i="4" s="1"/>
  <c r="E930" i="4" s="1"/>
  <c r="F930" i="4" s="1"/>
  <c r="J930" i="4"/>
  <c r="C929" i="4"/>
  <c r="D929" i="4" s="1"/>
  <c r="E929" i="4" s="1"/>
  <c r="F929" i="4" s="1"/>
  <c r="J929" i="4"/>
  <c r="J928" i="4"/>
  <c r="C928" i="4"/>
  <c r="D928" i="4" s="1"/>
  <c r="E928" i="4" s="1"/>
  <c r="F928" i="4" s="1"/>
  <c r="J927" i="4"/>
  <c r="C927" i="4"/>
  <c r="D927" i="4" s="1"/>
  <c r="E927" i="4" s="1"/>
  <c r="F927" i="4" s="1"/>
  <c r="J926" i="4"/>
  <c r="C926" i="4"/>
  <c r="D926" i="4" s="1"/>
  <c r="E926" i="4" s="1"/>
  <c r="F926" i="4" s="1"/>
  <c r="J925" i="4"/>
  <c r="C925" i="4"/>
  <c r="D925" i="4" s="1"/>
  <c r="E925" i="4" s="1"/>
  <c r="F925" i="4" s="1"/>
  <c r="J924" i="4"/>
  <c r="C924" i="4"/>
  <c r="D924" i="4" s="1"/>
  <c r="E924" i="4" s="1"/>
  <c r="F924" i="4" s="1"/>
  <c r="C923" i="4"/>
  <c r="D923" i="4" s="1"/>
  <c r="E923" i="4" s="1"/>
  <c r="F923" i="4" s="1"/>
  <c r="J923" i="4"/>
  <c r="J922" i="4"/>
  <c r="C922" i="4"/>
  <c r="D922" i="4" s="1"/>
  <c r="E922" i="4" s="1"/>
  <c r="F922" i="4" s="1"/>
  <c r="J921" i="4"/>
  <c r="C921" i="4"/>
  <c r="D921" i="4" s="1"/>
  <c r="E921" i="4" s="1"/>
  <c r="F921" i="4" s="1"/>
  <c r="C920" i="4"/>
  <c r="D920" i="4" s="1"/>
  <c r="E920" i="4" s="1"/>
  <c r="F920" i="4" s="1"/>
  <c r="J920" i="4"/>
  <c r="C919" i="4"/>
  <c r="D919" i="4" s="1"/>
  <c r="E919" i="4" s="1"/>
  <c r="F919" i="4" s="1"/>
  <c r="J919" i="4"/>
  <c r="J918" i="4"/>
  <c r="C918" i="4"/>
  <c r="D918" i="4" s="1"/>
  <c r="E918" i="4" s="1"/>
  <c r="F918" i="4" s="1"/>
  <c r="J917" i="4"/>
  <c r="C917" i="4"/>
  <c r="D917" i="4" s="1"/>
  <c r="E917" i="4" s="1"/>
  <c r="F917" i="4" s="1"/>
  <c r="J916" i="4"/>
  <c r="C916" i="4"/>
  <c r="D916" i="4" s="1"/>
  <c r="E916" i="4" s="1"/>
  <c r="F916" i="4" s="1"/>
  <c r="J915" i="4"/>
  <c r="C915" i="4"/>
  <c r="D915" i="4" s="1"/>
  <c r="E915" i="4" s="1"/>
  <c r="F915" i="4" s="1"/>
  <c r="J914" i="4"/>
  <c r="C914" i="4"/>
  <c r="D914" i="4" s="1"/>
  <c r="E914" i="4" s="1"/>
  <c r="F914" i="4" s="1"/>
  <c r="J913" i="4"/>
  <c r="C913" i="4"/>
  <c r="D913" i="4" s="1"/>
  <c r="E913" i="4" s="1"/>
  <c r="F913" i="4" s="1"/>
  <c r="J912" i="4"/>
  <c r="C912" i="4"/>
  <c r="D912" i="4" s="1"/>
  <c r="E912" i="4" s="1"/>
  <c r="F912" i="4" s="1"/>
  <c r="J911" i="4"/>
  <c r="C911" i="4"/>
  <c r="D911" i="4" s="1"/>
  <c r="E911" i="4" s="1"/>
  <c r="F911" i="4" s="1"/>
  <c r="J910" i="4"/>
  <c r="C910" i="4"/>
  <c r="D910" i="4" s="1"/>
  <c r="E910" i="4" s="1"/>
  <c r="F910" i="4" s="1"/>
  <c r="C909" i="4"/>
  <c r="D909" i="4" s="1"/>
  <c r="E909" i="4" s="1"/>
  <c r="F909" i="4" s="1"/>
  <c r="J909" i="4"/>
  <c r="J908" i="4"/>
  <c r="C908" i="4"/>
  <c r="D908" i="4" s="1"/>
  <c r="E908" i="4" s="1"/>
  <c r="F908" i="4" s="1"/>
  <c r="J907" i="4"/>
  <c r="C907" i="4"/>
  <c r="D907" i="4" s="1"/>
  <c r="E907" i="4" s="1"/>
  <c r="F907" i="4" s="1"/>
  <c r="C906" i="4"/>
  <c r="D906" i="4" s="1"/>
  <c r="E906" i="4" s="1"/>
  <c r="F906" i="4" s="1"/>
  <c r="J906" i="4"/>
  <c r="J905" i="4"/>
  <c r="C905" i="4"/>
  <c r="D905" i="4" s="1"/>
  <c r="E905" i="4" s="1"/>
  <c r="F905" i="4" s="1"/>
  <c r="J904" i="4"/>
  <c r="C904" i="4"/>
  <c r="D904" i="4" s="1"/>
  <c r="E904" i="4" s="1"/>
  <c r="F904" i="4" s="1"/>
  <c r="J903" i="4"/>
  <c r="C903" i="4"/>
  <c r="D903" i="4" s="1"/>
  <c r="E903" i="4" s="1"/>
  <c r="F903" i="4" s="1"/>
  <c r="J902" i="4"/>
  <c r="C902" i="4"/>
  <c r="D902" i="4" s="1"/>
  <c r="E902" i="4" s="1"/>
  <c r="F902" i="4" s="1"/>
  <c r="J901" i="4"/>
  <c r="C901" i="4"/>
  <c r="D901" i="4" s="1"/>
  <c r="E901" i="4" s="1"/>
  <c r="F901" i="4" s="1"/>
  <c r="J900" i="4"/>
  <c r="C900" i="4"/>
  <c r="D900" i="4" s="1"/>
  <c r="E900" i="4" s="1"/>
  <c r="F900" i="4" s="1"/>
  <c r="J899" i="4"/>
  <c r="C899" i="4"/>
  <c r="D899" i="4" s="1"/>
  <c r="E899" i="4" s="1"/>
  <c r="F899" i="4" s="1"/>
  <c r="C898" i="4"/>
  <c r="D898" i="4" s="1"/>
  <c r="E898" i="4" s="1"/>
  <c r="F898" i="4" s="1"/>
  <c r="J898" i="4"/>
  <c r="J897" i="4"/>
  <c r="C897" i="4"/>
  <c r="D897" i="4" s="1"/>
  <c r="E897" i="4" s="1"/>
  <c r="F897" i="4" s="1"/>
  <c r="J896" i="4"/>
  <c r="C896" i="4"/>
  <c r="D896" i="4" s="1"/>
  <c r="E896" i="4" s="1"/>
  <c r="F896" i="4" s="1"/>
  <c r="C895" i="4"/>
  <c r="D895" i="4" s="1"/>
  <c r="E895" i="4" s="1"/>
  <c r="F895" i="4" s="1"/>
  <c r="J895" i="4"/>
  <c r="J894" i="4"/>
  <c r="C894" i="4"/>
  <c r="D894" i="4" s="1"/>
  <c r="E894" i="4" s="1"/>
  <c r="F894" i="4" s="1"/>
  <c r="J893" i="4"/>
  <c r="C893" i="4"/>
  <c r="D893" i="4" s="1"/>
  <c r="E893" i="4" s="1"/>
  <c r="F893" i="4" s="1"/>
  <c r="C892" i="4"/>
  <c r="D892" i="4" s="1"/>
  <c r="E892" i="4" s="1"/>
  <c r="F892" i="4" s="1"/>
  <c r="J892" i="4"/>
  <c r="J891" i="4"/>
  <c r="C891" i="4"/>
  <c r="D891" i="4" s="1"/>
  <c r="E891" i="4" s="1"/>
  <c r="F891" i="4" s="1"/>
  <c r="J890" i="4"/>
  <c r="C890" i="4"/>
  <c r="D890" i="4" s="1"/>
  <c r="E890" i="4" s="1"/>
  <c r="F890" i="4" s="1"/>
  <c r="J889" i="4"/>
  <c r="C889" i="4"/>
  <c r="D889" i="4" s="1"/>
  <c r="E889" i="4" s="1"/>
  <c r="F889" i="4" s="1"/>
  <c r="J888" i="4"/>
  <c r="C888" i="4"/>
  <c r="D888" i="4" s="1"/>
  <c r="E888" i="4" s="1"/>
  <c r="F888" i="4" s="1"/>
  <c r="J887" i="4"/>
  <c r="C887" i="4"/>
  <c r="D887" i="4" s="1"/>
  <c r="E887" i="4" s="1"/>
  <c r="F887" i="4" s="1"/>
  <c r="C886" i="4"/>
  <c r="D886" i="4" s="1"/>
  <c r="E886" i="4" s="1"/>
  <c r="F886" i="4" s="1"/>
  <c r="J886" i="4"/>
  <c r="C885" i="4"/>
  <c r="D885" i="4" s="1"/>
  <c r="E885" i="4" s="1"/>
  <c r="F885" i="4" s="1"/>
  <c r="J885" i="4"/>
  <c r="J884" i="4"/>
  <c r="C884" i="4"/>
  <c r="D884" i="4" s="1"/>
  <c r="E884" i="4" s="1"/>
  <c r="F884" i="4" s="1"/>
  <c r="J883" i="4"/>
  <c r="C883" i="4"/>
  <c r="D883" i="4" s="1"/>
  <c r="E883" i="4" s="1"/>
  <c r="F883" i="4" s="1"/>
  <c r="J882" i="4"/>
  <c r="C882" i="4"/>
  <c r="D882" i="4" s="1"/>
  <c r="E882" i="4" s="1"/>
  <c r="F882" i="4" s="1"/>
  <c r="J881" i="4"/>
  <c r="C881" i="4"/>
  <c r="D881" i="4" s="1"/>
  <c r="E881" i="4" s="1"/>
  <c r="F881" i="4" s="1"/>
  <c r="J880" i="4"/>
  <c r="C880" i="4"/>
  <c r="D880" i="4" s="1"/>
  <c r="E880" i="4" s="1"/>
  <c r="F880" i="4" s="1"/>
  <c r="J879" i="4"/>
  <c r="C879" i="4"/>
  <c r="D879" i="4" s="1"/>
  <c r="E879" i="4" s="1"/>
  <c r="F879" i="4" s="1"/>
  <c r="J878" i="4"/>
  <c r="C878" i="4"/>
  <c r="D878" i="4" s="1"/>
  <c r="E878" i="4" s="1"/>
  <c r="F878" i="4" s="1"/>
  <c r="J877" i="4"/>
  <c r="C877" i="4"/>
  <c r="D877" i="4" s="1"/>
  <c r="E877" i="4" s="1"/>
  <c r="F877" i="4" s="1"/>
  <c r="J876" i="4"/>
  <c r="C876" i="4"/>
  <c r="D876" i="4" s="1"/>
  <c r="E876" i="4" s="1"/>
  <c r="F876" i="4" s="1"/>
  <c r="J875" i="4"/>
  <c r="C875" i="4"/>
  <c r="D875" i="4" s="1"/>
  <c r="E875" i="4" s="1"/>
  <c r="F875" i="4" s="1"/>
  <c r="J874" i="4"/>
  <c r="C874" i="4"/>
  <c r="D874" i="4" s="1"/>
  <c r="E874" i="4" s="1"/>
  <c r="F874" i="4" s="1"/>
  <c r="C873" i="4"/>
  <c r="D873" i="4" s="1"/>
  <c r="E873" i="4" s="1"/>
  <c r="F873" i="4" s="1"/>
  <c r="J873" i="4"/>
  <c r="C872" i="4"/>
  <c r="D872" i="4" s="1"/>
  <c r="E872" i="4" s="1"/>
  <c r="F872" i="4" s="1"/>
  <c r="J872" i="4"/>
  <c r="J871" i="4"/>
  <c r="C871" i="4"/>
  <c r="D871" i="4" s="1"/>
  <c r="E871" i="4" s="1"/>
  <c r="F871" i="4" s="1"/>
  <c r="J870" i="4"/>
  <c r="C870" i="4"/>
  <c r="D870" i="4" s="1"/>
  <c r="E870" i="4" s="1"/>
  <c r="F870" i="4" s="1"/>
  <c r="J869" i="4"/>
  <c r="C869" i="4"/>
  <c r="D869" i="4" s="1"/>
  <c r="E869" i="4" s="1"/>
  <c r="F869" i="4" s="1"/>
  <c r="C868" i="4"/>
  <c r="D868" i="4" s="1"/>
  <c r="E868" i="4" s="1"/>
  <c r="F868" i="4" s="1"/>
  <c r="J868" i="4"/>
  <c r="J867" i="4"/>
  <c r="C867" i="4"/>
  <c r="D867" i="4" s="1"/>
  <c r="E867" i="4" s="1"/>
  <c r="F867" i="4" s="1"/>
  <c r="J866" i="4"/>
  <c r="C866" i="4"/>
  <c r="D866" i="4" s="1"/>
  <c r="E866" i="4" s="1"/>
  <c r="F866" i="4" s="1"/>
  <c r="J865" i="4"/>
  <c r="C865" i="4"/>
  <c r="D865" i="4" s="1"/>
  <c r="E865" i="4" s="1"/>
  <c r="F865" i="4" s="1"/>
  <c r="C864" i="4"/>
  <c r="D864" i="4" s="1"/>
  <c r="E864" i="4" s="1"/>
  <c r="F864" i="4" s="1"/>
  <c r="J864" i="4"/>
  <c r="C863" i="4"/>
  <c r="D863" i="4" s="1"/>
  <c r="E863" i="4" s="1"/>
  <c r="F863" i="4" s="1"/>
  <c r="J863" i="4"/>
  <c r="C862" i="4"/>
  <c r="D862" i="4" s="1"/>
  <c r="E862" i="4" s="1"/>
  <c r="F862" i="4" s="1"/>
  <c r="J862" i="4"/>
  <c r="J861" i="4"/>
  <c r="C861" i="4"/>
  <c r="D861" i="4" s="1"/>
  <c r="E861" i="4" s="1"/>
  <c r="F861" i="4" s="1"/>
  <c r="J860" i="4"/>
  <c r="C860" i="4"/>
  <c r="D860" i="4" s="1"/>
  <c r="E860" i="4" s="1"/>
  <c r="F860" i="4" s="1"/>
  <c r="J859" i="4"/>
  <c r="C859" i="4"/>
  <c r="D859" i="4" s="1"/>
  <c r="E859" i="4" s="1"/>
  <c r="F859" i="4" s="1"/>
  <c r="J858" i="4"/>
  <c r="C858" i="4"/>
  <c r="D858" i="4" s="1"/>
  <c r="E858" i="4" s="1"/>
  <c r="F858" i="4" s="1"/>
  <c r="J857" i="4"/>
  <c r="C857" i="4"/>
  <c r="D857" i="4" s="1"/>
  <c r="E857" i="4" s="1"/>
  <c r="F857" i="4" s="1"/>
  <c r="C856" i="4"/>
  <c r="D856" i="4" s="1"/>
  <c r="E856" i="4" s="1"/>
  <c r="F856" i="4" s="1"/>
  <c r="J856" i="4"/>
  <c r="J855" i="4"/>
  <c r="C855" i="4"/>
  <c r="D855" i="4" s="1"/>
  <c r="E855" i="4" s="1"/>
  <c r="F855" i="4" s="1"/>
  <c r="J854" i="4"/>
  <c r="C854" i="4"/>
  <c r="D854" i="4" s="1"/>
  <c r="E854" i="4" s="1"/>
  <c r="F854" i="4" s="1"/>
  <c r="J853" i="4"/>
  <c r="C853" i="4"/>
  <c r="D853" i="4" s="1"/>
  <c r="E853" i="4" s="1"/>
  <c r="F853" i="4" s="1"/>
  <c r="C852" i="4"/>
  <c r="D852" i="4" s="1"/>
  <c r="E852" i="4" s="1"/>
  <c r="F852" i="4" s="1"/>
  <c r="J852" i="4"/>
  <c r="J851" i="4"/>
  <c r="C851" i="4"/>
  <c r="D851" i="4" s="1"/>
  <c r="E851" i="4" s="1"/>
  <c r="F851" i="4" s="1"/>
  <c r="J850" i="4"/>
  <c r="C850" i="4"/>
  <c r="D850" i="4" s="1"/>
  <c r="E850" i="4" s="1"/>
  <c r="F850" i="4" s="1"/>
  <c r="J849" i="4"/>
  <c r="C849" i="4"/>
  <c r="D849" i="4" s="1"/>
  <c r="E849" i="4" s="1"/>
  <c r="F849" i="4" s="1"/>
  <c r="J848" i="4"/>
  <c r="C848" i="4"/>
  <c r="D848" i="4" s="1"/>
  <c r="E848" i="4" s="1"/>
  <c r="F848" i="4" s="1"/>
  <c r="J847" i="4"/>
  <c r="C847" i="4"/>
  <c r="D847" i="4" s="1"/>
  <c r="E847" i="4" s="1"/>
  <c r="F847" i="4" s="1"/>
  <c r="J846" i="4"/>
  <c r="C846" i="4"/>
  <c r="D846" i="4" s="1"/>
  <c r="E846" i="4" s="1"/>
  <c r="F846" i="4" s="1"/>
  <c r="J845" i="4"/>
  <c r="C845" i="4"/>
  <c r="D845" i="4" s="1"/>
  <c r="E845" i="4" s="1"/>
  <c r="F845" i="4" s="1"/>
  <c r="J844" i="4"/>
  <c r="C844" i="4"/>
  <c r="D844" i="4" s="1"/>
  <c r="E844" i="4" s="1"/>
  <c r="F844" i="4" s="1"/>
  <c r="J843" i="4"/>
  <c r="C843" i="4"/>
  <c r="D843" i="4" s="1"/>
  <c r="E843" i="4" s="1"/>
  <c r="F843" i="4" s="1"/>
  <c r="J842" i="4"/>
  <c r="C842" i="4"/>
  <c r="D842" i="4" s="1"/>
  <c r="E842" i="4" s="1"/>
  <c r="F842" i="4" s="1"/>
  <c r="J841" i="4"/>
  <c r="C841" i="4"/>
  <c r="D841" i="4" s="1"/>
  <c r="E841" i="4" s="1"/>
  <c r="F841" i="4" s="1"/>
  <c r="C840" i="4"/>
  <c r="D840" i="4" s="1"/>
  <c r="E840" i="4" s="1"/>
  <c r="F840" i="4" s="1"/>
  <c r="J840" i="4"/>
  <c r="C839" i="4"/>
  <c r="D839" i="4" s="1"/>
  <c r="E839" i="4" s="1"/>
  <c r="F839" i="4" s="1"/>
  <c r="J839" i="4"/>
  <c r="J838" i="4"/>
  <c r="C838" i="4"/>
  <c r="D838" i="4" s="1"/>
  <c r="E838" i="4" s="1"/>
  <c r="F838" i="4" s="1"/>
  <c r="J837" i="4"/>
  <c r="C837" i="4"/>
  <c r="D837" i="4" s="1"/>
  <c r="E837" i="4" s="1"/>
  <c r="F837" i="4" s="1"/>
  <c r="J836" i="4"/>
  <c r="C836" i="4"/>
  <c r="D836" i="4" s="1"/>
  <c r="E836" i="4" s="1"/>
  <c r="F836" i="4" s="1"/>
  <c r="C835" i="4"/>
  <c r="D835" i="4" s="1"/>
  <c r="E835" i="4" s="1"/>
  <c r="F835" i="4" s="1"/>
  <c r="J835" i="4"/>
  <c r="J834" i="4"/>
  <c r="C834" i="4"/>
  <c r="D834" i="4" s="1"/>
  <c r="E834" i="4" s="1"/>
  <c r="F834" i="4" s="1"/>
  <c r="J833" i="4"/>
  <c r="C833" i="4"/>
  <c r="D833" i="4" s="1"/>
  <c r="E833" i="4" s="1"/>
  <c r="F833" i="4" s="1"/>
  <c r="J832" i="4"/>
  <c r="C832" i="4"/>
  <c r="D832" i="4" s="1"/>
  <c r="E832" i="4" s="1"/>
  <c r="F832" i="4" s="1"/>
  <c r="C831" i="4"/>
  <c r="D831" i="4" s="1"/>
  <c r="E831" i="4" s="1"/>
  <c r="F831" i="4" s="1"/>
  <c r="J831" i="4"/>
  <c r="J830" i="4"/>
  <c r="C830" i="4"/>
  <c r="D830" i="4" s="1"/>
  <c r="E830" i="4" s="1"/>
  <c r="F830" i="4" s="1"/>
  <c r="J829" i="4"/>
  <c r="C829" i="4"/>
  <c r="D829" i="4" s="1"/>
  <c r="E829" i="4" s="1"/>
  <c r="F829" i="4" s="1"/>
  <c r="J828" i="4"/>
  <c r="C828" i="4"/>
  <c r="D828" i="4" s="1"/>
  <c r="E828" i="4" s="1"/>
  <c r="F828" i="4" s="1"/>
  <c r="J827" i="4"/>
  <c r="C827" i="4"/>
  <c r="D827" i="4" s="1"/>
  <c r="E827" i="4" s="1"/>
  <c r="F827" i="4" s="1"/>
  <c r="J826" i="4"/>
  <c r="C826" i="4"/>
  <c r="D826" i="4" s="1"/>
  <c r="E826" i="4" s="1"/>
  <c r="F826" i="4" s="1"/>
  <c r="J825" i="4"/>
  <c r="C825" i="4"/>
  <c r="D825" i="4" s="1"/>
  <c r="E825" i="4" s="1"/>
  <c r="F825" i="4" s="1"/>
  <c r="J824" i="4"/>
  <c r="C824" i="4"/>
  <c r="D824" i="4" s="1"/>
  <c r="E824" i="4" s="1"/>
  <c r="F824" i="4" s="1"/>
  <c r="C823" i="4"/>
  <c r="D823" i="4" s="1"/>
  <c r="E823" i="4" s="1"/>
  <c r="F823" i="4" s="1"/>
  <c r="J823" i="4"/>
  <c r="C822" i="4"/>
  <c r="D822" i="4" s="1"/>
  <c r="E822" i="4" s="1"/>
  <c r="F822" i="4" s="1"/>
  <c r="J822" i="4"/>
  <c r="J821" i="4"/>
  <c r="C821" i="4"/>
  <c r="D821" i="4" s="1"/>
  <c r="E821" i="4" s="1"/>
  <c r="F821" i="4" s="1"/>
  <c r="J820" i="4"/>
  <c r="C820" i="4"/>
  <c r="D820" i="4" s="1"/>
  <c r="E820" i="4" s="1"/>
  <c r="F820" i="4" s="1"/>
  <c r="J819" i="4"/>
  <c r="C819" i="4"/>
  <c r="D819" i="4" s="1"/>
  <c r="E819" i="4" s="1"/>
  <c r="F819" i="4" s="1"/>
  <c r="J818" i="4"/>
  <c r="C818" i="4"/>
  <c r="D818" i="4" s="1"/>
  <c r="E818" i="4" s="1"/>
  <c r="F818" i="4" s="1"/>
  <c r="J817" i="4"/>
  <c r="C817" i="4"/>
  <c r="D817" i="4" s="1"/>
  <c r="E817" i="4" s="1"/>
  <c r="F817" i="4" s="1"/>
  <c r="J816" i="4"/>
  <c r="C816" i="4"/>
  <c r="D816" i="4" s="1"/>
  <c r="E816" i="4" s="1"/>
  <c r="F816" i="4" s="1"/>
  <c r="J815" i="4"/>
  <c r="C815" i="4"/>
  <c r="D815" i="4" s="1"/>
  <c r="E815" i="4" s="1"/>
  <c r="F815" i="4" s="1"/>
  <c r="J814" i="4"/>
  <c r="C814" i="4"/>
  <c r="D814" i="4" s="1"/>
  <c r="E814" i="4" s="1"/>
  <c r="F814" i="4" s="1"/>
  <c r="J813" i="4"/>
  <c r="C813" i="4"/>
  <c r="D813" i="4" s="1"/>
  <c r="E813" i="4" s="1"/>
  <c r="F813" i="4" s="1"/>
  <c r="J812" i="4"/>
  <c r="C812" i="4"/>
  <c r="D812" i="4" s="1"/>
  <c r="E812" i="4" s="1"/>
  <c r="F812" i="4" s="1"/>
  <c r="J811" i="4"/>
  <c r="C811" i="4"/>
  <c r="D811" i="4" s="1"/>
  <c r="E811" i="4" s="1"/>
  <c r="F811" i="4" s="1"/>
  <c r="J810" i="4"/>
  <c r="C810" i="4"/>
  <c r="D810" i="4" s="1"/>
  <c r="E810" i="4" s="1"/>
  <c r="F810" i="4" s="1"/>
  <c r="J809" i="4"/>
  <c r="C809" i="4"/>
  <c r="D809" i="4" s="1"/>
  <c r="E809" i="4" s="1"/>
  <c r="F809" i="4" s="1"/>
  <c r="J808" i="4"/>
  <c r="C808" i="4"/>
  <c r="D808" i="4" s="1"/>
  <c r="E808" i="4" s="1"/>
  <c r="F808" i="4" s="1"/>
  <c r="J807" i="4"/>
  <c r="C807" i="4"/>
  <c r="D807" i="4" s="1"/>
  <c r="E807" i="4" s="1"/>
  <c r="F807" i="4" s="1"/>
  <c r="C806" i="4"/>
  <c r="D806" i="4" s="1"/>
  <c r="E806" i="4" s="1"/>
  <c r="F806" i="4" s="1"/>
  <c r="J806" i="4"/>
  <c r="C805" i="4"/>
  <c r="D805" i="4" s="1"/>
  <c r="E805" i="4" s="1"/>
  <c r="F805" i="4" s="1"/>
  <c r="J805" i="4"/>
  <c r="J804" i="4"/>
  <c r="C804" i="4"/>
  <c r="D804" i="4" s="1"/>
  <c r="E804" i="4" s="1"/>
  <c r="F804" i="4" s="1"/>
  <c r="J803" i="4"/>
  <c r="C803" i="4"/>
  <c r="D803" i="4" s="1"/>
  <c r="E803" i="4" s="1"/>
  <c r="F803" i="4" s="1"/>
  <c r="J802" i="4"/>
  <c r="C802" i="4"/>
  <c r="D802" i="4" s="1"/>
  <c r="E802" i="4" s="1"/>
  <c r="F802" i="4" s="1"/>
  <c r="J801" i="4"/>
  <c r="C801" i="4"/>
  <c r="D801" i="4" s="1"/>
  <c r="E801" i="4" s="1"/>
  <c r="F801" i="4" s="1"/>
  <c r="J800" i="4"/>
  <c r="C800" i="4"/>
  <c r="D800" i="4" s="1"/>
  <c r="E800" i="4" s="1"/>
  <c r="F800" i="4" s="1"/>
  <c r="J799" i="4"/>
  <c r="C799" i="4"/>
  <c r="D799" i="4" s="1"/>
  <c r="E799" i="4" s="1"/>
  <c r="F799" i="4" s="1"/>
  <c r="C798" i="4"/>
  <c r="D798" i="4" s="1"/>
  <c r="E798" i="4" s="1"/>
  <c r="F798" i="4" s="1"/>
  <c r="J798" i="4"/>
  <c r="J797" i="4"/>
  <c r="C797" i="4"/>
  <c r="D797" i="4" s="1"/>
  <c r="E797" i="4" s="1"/>
  <c r="F797" i="4" s="1"/>
  <c r="J796" i="4"/>
  <c r="C796" i="4"/>
  <c r="D796" i="4" s="1"/>
  <c r="E796" i="4" s="1"/>
  <c r="F796" i="4" s="1"/>
  <c r="J795" i="4"/>
  <c r="C795" i="4"/>
  <c r="D795" i="4" s="1"/>
  <c r="E795" i="4" s="1"/>
  <c r="F795" i="4" s="1"/>
  <c r="J794" i="4"/>
  <c r="C794" i="4"/>
  <c r="D794" i="4" s="1"/>
  <c r="E794" i="4" s="1"/>
  <c r="F794" i="4" s="1"/>
  <c r="J793" i="4"/>
  <c r="C793" i="4"/>
  <c r="D793" i="4" s="1"/>
  <c r="E793" i="4" s="1"/>
  <c r="F793" i="4" s="1"/>
  <c r="J792" i="4"/>
  <c r="C792" i="4"/>
  <c r="D792" i="4" s="1"/>
  <c r="E792" i="4" s="1"/>
  <c r="F792" i="4" s="1"/>
  <c r="J791" i="4"/>
  <c r="C791" i="4"/>
  <c r="D791" i="4" s="1"/>
  <c r="E791" i="4" s="1"/>
  <c r="F791" i="4" s="1"/>
  <c r="C790" i="4"/>
  <c r="D790" i="4" s="1"/>
  <c r="E790" i="4" s="1"/>
  <c r="F790" i="4" s="1"/>
  <c r="J790" i="4"/>
  <c r="C789" i="4"/>
  <c r="D789" i="4" s="1"/>
  <c r="E789" i="4" s="1"/>
  <c r="F789" i="4" s="1"/>
  <c r="J789" i="4"/>
  <c r="J788" i="4"/>
  <c r="C788" i="4"/>
  <c r="D788" i="4" s="1"/>
  <c r="E788" i="4" s="1"/>
  <c r="F788" i="4" s="1"/>
  <c r="J787" i="4"/>
  <c r="C787" i="4"/>
  <c r="D787" i="4" s="1"/>
  <c r="E787" i="4" s="1"/>
  <c r="F787" i="4" s="1"/>
  <c r="J786" i="4"/>
  <c r="C786" i="4"/>
  <c r="D786" i="4" s="1"/>
  <c r="E786" i="4" s="1"/>
  <c r="F786" i="4" s="1"/>
  <c r="J785" i="4"/>
  <c r="C785" i="4"/>
  <c r="D785" i="4" s="1"/>
  <c r="E785" i="4" s="1"/>
  <c r="F785" i="4" s="1"/>
  <c r="J784" i="4"/>
  <c r="C784" i="4"/>
  <c r="D784" i="4" s="1"/>
  <c r="E784" i="4" s="1"/>
  <c r="F784" i="4" s="1"/>
  <c r="J783" i="4"/>
  <c r="C783" i="4"/>
  <c r="D783" i="4" s="1"/>
  <c r="E783" i="4" s="1"/>
  <c r="F783" i="4" s="1"/>
  <c r="J782" i="4"/>
  <c r="C782" i="4"/>
  <c r="D782" i="4" s="1"/>
  <c r="E782" i="4" s="1"/>
  <c r="F782" i="4" s="1"/>
  <c r="J781" i="4"/>
  <c r="C781" i="4"/>
  <c r="D781" i="4" s="1"/>
  <c r="E781" i="4" s="1"/>
  <c r="F781" i="4" s="1"/>
  <c r="J780" i="4"/>
  <c r="C780" i="4"/>
  <c r="D780" i="4" s="1"/>
  <c r="E780" i="4" s="1"/>
  <c r="F780" i="4" s="1"/>
  <c r="J779" i="4"/>
  <c r="C779" i="4"/>
  <c r="D779" i="4" s="1"/>
  <c r="E779" i="4" s="1"/>
  <c r="F779" i="4" s="1"/>
  <c r="J778" i="4"/>
  <c r="C778" i="4"/>
  <c r="D778" i="4" s="1"/>
  <c r="E778" i="4" s="1"/>
  <c r="F778" i="4" s="1"/>
  <c r="J777" i="4"/>
  <c r="C777" i="4"/>
  <c r="D777" i="4" s="1"/>
  <c r="E777" i="4" s="1"/>
  <c r="F777" i="4" s="1"/>
  <c r="J776" i="4"/>
  <c r="C776" i="4"/>
  <c r="D776" i="4" s="1"/>
  <c r="E776" i="4" s="1"/>
  <c r="F776" i="4" s="1"/>
  <c r="C775" i="4"/>
  <c r="D775" i="4" s="1"/>
  <c r="E775" i="4" s="1"/>
  <c r="F775" i="4" s="1"/>
  <c r="J775" i="4"/>
  <c r="C774" i="4"/>
  <c r="D774" i="4" s="1"/>
  <c r="E774" i="4" s="1"/>
  <c r="F774" i="4" s="1"/>
  <c r="J774" i="4"/>
  <c r="C773" i="4"/>
  <c r="D773" i="4" s="1"/>
  <c r="E773" i="4" s="1"/>
  <c r="F773" i="4" s="1"/>
  <c r="J773" i="4"/>
  <c r="C772" i="4"/>
  <c r="D772" i="4" s="1"/>
  <c r="E772" i="4" s="1"/>
  <c r="F772" i="4" s="1"/>
  <c r="J772" i="4"/>
  <c r="J771" i="4"/>
  <c r="C771" i="4"/>
  <c r="D771" i="4" s="1"/>
  <c r="E771" i="4" s="1"/>
  <c r="F771" i="4" s="1"/>
  <c r="J770" i="4"/>
  <c r="C770" i="4"/>
  <c r="D770" i="4" s="1"/>
  <c r="E770" i="4" s="1"/>
  <c r="F770" i="4" s="1"/>
  <c r="J769" i="4"/>
  <c r="C769" i="4"/>
  <c r="D769" i="4" s="1"/>
  <c r="E769" i="4" s="1"/>
  <c r="F769" i="4" s="1"/>
  <c r="J768" i="4"/>
  <c r="C768" i="4"/>
  <c r="D768" i="4" s="1"/>
  <c r="E768" i="4" s="1"/>
  <c r="F768" i="4" s="1"/>
  <c r="J767" i="4"/>
  <c r="C767" i="4"/>
  <c r="D767" i="4" s="1"/>
  <c r="E767" i="4" s="1"/>
  <c r="F767" i="4" s="1"/>
  <c r="J766" i="4"/>
  <c r="C766" i="4"/>
  <c r="D766" i="4" s="1"/>
  <c r="E766" i="4" s="1"/>
  <c r="F766" i="4" s="1"/>
  <c r="J765" i="4"/>
  <c r="C765" i="4"/>
  <c r="D765" i="4" s="1"/>
  <c r="E765" i="4" s="1"/>
  <c r="F765" i="4" s="1"/>
  <c r="J764" i="4"/>
  <c r="C764" i="4"/>
  <c r="D764" i="4" s="1"/>
  <c r="E764" i="4" s="1"/>
  <c r="F764" i="4" s="1"/>
  <c r="J763" i="4"/>
  <c r="C763" i="4"/>
  <c r="D763" i="4" s="1"/>
  <c r="E763" i="4" s="1"/>
  <c r="F763" i="4" s="1"/>
  <c r="J762" i="4"/>
  <c r="C762" i="4"/>
  <c r="D762" i="4" s="1"/>
  <c r="E762" i="4" s="1"/>
  <c r="F762" i="4" s="1"/>
  <c r="J761" i="4"/>
  <c r="C761" i="4"/>
  <c r="D761" i="4" s="1"/>
  <c r="E761" i="4" s="1"/>
  <c r="F761" i="4" s="1"/>
  <c r="J760" i="4"/>
  <c r="C760" i="4"/>
  <c r="D760" i="4" s="1"/>
  <c r="E760" i="4" s="1"/>
  <c r="F760" i="4" s="1"/>
  <c r="C759" i="4"/>
  <c r="D759" i="4" s="1"/>
  <c r="E759" i="4" s="1"/>
  <c r="F759" i="4" s="1"/>
  <c r="J759" i="4"/>
  <c r="C758" i="4"/>
  <c r="D758" i="4" s="1"/>
  <c r="E758" i="4" s="1"/>
  <c r="F758" i="4" s="1"/>
  <c r="J758" i="4"/>
  <c r="J757" i="4"/>
  <c r="C757" i="4"/>
  <c r="D757" i="4" s="1"/>
  <c r="E757" i="4" s="1"/>
  <c r="F757" i="4" s="1"/>
  <c r="J756" i="4"/>
  <c r="C756" i="4"/>
  <c r="D756" i="4" s="1"/>
  <c r="E756" i="4" s="1"/>
  <c r="F756" i="4" s="1"/>
  <c r="J755" i="4"/>
  <c r="C755" i="4"/>
  <c r="D755" i="4" s="1"/>
  <c r="E755" i="4" s="1"/>
  <c r="F755" i="4" s="1"/>
  <c r="J754" i="4"/>
  <c r="C754" i="4"/>
  <c r="D754" i="4" s="1"/>
  <c r="E754" i="4" s="1"/>
  <c r="F754" i="4" s="1"/>
  <c r="J753" i="4"/>
  <c r="C753" i="4"/>
  <c r="D753" i="4" s="1"/>
  <c r="E753" i="4" s="1"/>
  <c r="F753" i="4" s="1"/>
  <c r="J752" i="4"/>
  <c r="C752" i="4"/>
  <c r="D752" i="4" s="1"/>
  <c r="E752" i="4" s="1"/>
  <c r="F752" i="4" s="1"/>
  <c r="G751" i="4"/>
  <c r="H751" i="4"/>
  <c r="J750" i="4"/>
  <c r="C750" i="4"/>
  <c r="D750" i="4" s="1"/>
  <c r="E750" i="4" s="1"/>
  <c r="F750" i="4" s="1"/>
  <c r="J749" i="4"/>
  <c r="C749" i="4"/>
  <c r="D749" i="4" s="1"/>
  <c r="E749" i="4" s="1"/>
  <c r="F749" i="4" s="1"/>
  <c r="J748" i="4"/>
  <c r="C748" i="4"/>
  <c r="D748" i="4" s="1"/>
  <c r="E748" i="4" s="1"/>
  <c r="F748" i="4" s="1"/>
  <c r="J747" i="4"/>
  <c r="C747" i="4"/>
  <c r="D747" i="4" s="1"/>
  <c r="E747" i="4" s="1"/>
  <c r="F747" i="4" s="1"/>
  <c r="J746" i="4"/>
  <c r="C746" i="4"/>
  <c r="D746" i="4" s="1"/>
  <c r="E746" i="4" s="1"/>
  <c r="F746" i="4" s="1"/>
  <c r="J745" i="4"/>
  <c r="C745" i="4"/>
  <c r="D745" i="4" s="1"/>
  <c r="E745" i="4" s="1"/>
  <c r="F745" i="4" s="1"/>
  <c r="C744" i="4"/>
  <c r="D744" i="4" s="1"/>
  <c r="E744" i="4" s="1"/>
  <c r="F744" i="4" s="1"/>
  <c r="J744" i="4"/>
  <c r="J743" i="4"/>
  <c r="C743" i="4"/>
  <c r="D743" i="4" s="1"/>
  <c r="E743" i="4" s="1"/>
  <c r="F743" i="4" s="1"/>
  <c r="J742" i="4"/>
  <c r="C742" i="4"/>
  <c r="D742" i="4" s="1"/>
  <c r="E742" i="4" s="1"/>
  <c r="F742" i="4" s="1"/>
  <c r="J741" i="4"/>
  <c r="C741" i="4"/>
  <c r="D741" i="4" s="1"/>
  <c r="E741" i="4" s="1"/>
  <c r="F741" i="4" s="1"/>
  <c r="C740" i="4"/>
  <c r="D740" i="4" s="1"/>
  <c r="E740" i="4" s="1"/>
  <c r="F740" i="4" s="1"/>
  <c r="J740" i="4"/>
  <c r="J739" i="4"/>
  <c r="C739" i="4"/>
  <c r="D739" i="4" s="1"/>
  <c r="E739" i="4" s="1"/>
  <c r="F739" i="4" s="1"/>
  <c r="J738" i="4"/>
  <c r="C738" i="4"/>
  <c r="D738" i="4" s="1"/>
  <c r="E738" i="4" s="1"/>
  <c r="F738" i="4" s="1"/>
  <c r="J737" i="4"/>
  <c r="C737" i="4"/>
  <c r="D737" i="4" s="1"/>
  <c r="E737" i="4" s="1"/>
  <c r="F737" i="4" s="1"/>
  <c r="J736" i="4"/>
  <c r="C736" i="4"/>
  <c r="D736" i="4" s="1"/>
  <c r="E736" i="4" s="1"/>
  <c r="F736" i="4" s="1"/>
  <c r="J735" i="4"/>
  <c r="C735" i="4"/>
  <c r="D735" i="4" s="1"/>
  <c r="E735" i="4" s="1"/>
  <c r="F735" i="4" s="1"/>
  <c r="J734" i="4"/>
  <c r="C734" i="4"/>
  <c r="D734" i="4" s="1"/>
  <c r="E734" i="4" s="1"/>
  <c r="F734" i="4" s="1"/>
  <c r="J733" i="4"/>
  <c r="C733" i="4"/>
  <c r="D733" i="4" s="1"/>
  <c r="E733" i="4" s="1"/>
  <c r="F733" i="4" s="1"/>
  <c r="J732" i="4"/>
  <c r="C732" i="4"/>
  <c r="D732" i="4" s="1"/>
  <c r="E732" i="4" s="1"/>
  <c r="F732" i="4" s="1"/>
  <c r="J731" i="4"/>
  <c r="C731" i="4"/>
  <c r="D731" i="4" s="1"/>
  <c r="E731" i="4" s="1"/>
  <c r="F731" i="4" s="1"/>
  <c r="J730" i="4"/>
  <c r="C730" i="4"/>
  <c r="D730" i="4" s="1"/>
  <c r="E730" i="4" s="1"/>
  <c r="F730" i="4" s="1"/>
  <c r="J729" i="4"/>
  <c r="C729" i="4"/>
  <c r="D729" i="4" s="1"/>
  <c r="E729" i="4" s="1"/>
  <c r="F729" i="4" s="1"/>
  <c r="J728" i="4"/>
  <c r="C728" i="4"/>
  <c r="D728" i="4" s="1"/>
  <c r="E728" i="4" s="1"/>
  <c r="F728" i="4" s="1"/>
  <c r="J727" i="4"/>
  <c r="C727" i="4"/>
  <c r="D727" i="4" s="1"/>
  <c r="E727" i="4" s="1"/>
  <c r="F727" i="4" s="1"/>
  <c r="J726" i="4"/>
  <c r="C726" i="4"/>
  <c r="D726" i="4" s="1"/>
  <c r="E726" i="4" s="1"/>
  <c r="F726" i="4" s="1"/>
  <c r="J725" i="4"/>
  <c r="C725" i="4"/>
  <c r="D725" i="4" s="1"/>
  <c r="E725" i="4" s="1"/>
  <c r="F725" i="4" s="1"/>
  <c r="J724" i="4"/>
  <c r="C724" i="4"/>
  <c r="D724" i="4" s="1"/>
  <c r="E724" i="4" s="1"/>
  <c r="F724" i="4" s="1"/>
  <c r="J723" i="4"/>
  <c r="C723" i="4"/>
  <c r="D723" i="4" s="1"/>
  <c r="E723" i="4" s="1"/>
  <c r="F723" i="4" s="1"/>
  <c r="J722" i="4"/>
  <c r="C722" i="4"/>
  <c r="D722" i="4" s="1"/>
  <c r="E722" i="4" s="1"/>
  <c r="F722" i="4" s="1"/>
  <c r="J721" i="4"/>
  <c r="C721" i="4"/>
  <c r="D721" i="4" s="1"/>
  <c r="E721" i="4" s="1"/>
  <c r="F721" i="4" s="1"/>
  <c r="C720" i="4"/>
  <c r="D720" i="4" s="1"/>
  <c r="E720" i="4" s="1"/>
  <c r="F720" i="4" s="1"/>
  <c r="J720" i="4"/>
  <c r="C719" i="4"/>
  <c r="D719" i="4" s="1"/>
  <c r="E719" i="4" s="1"/>
  <c r="F719" i="4" s="1"/>
  <c r="J719" i="4"/>
  <c r="J718" i="4"/>
  <c r="C718" i="4"/>
  <c r="D718" i="4" s="1"/>
  <c r="E718" i="4" s="1"/>
  <c r="F718" i="4" s="1"/>
  <c r="J717" i="4"/>
  <c r="C717" i="4"/>
  <c r="D717" i="4" s="1"/>
  <c r="E717" i="4" s="1"/>
  <c r="F717" i="4" s="1"/>
  <c r="J716" i="4"/>
  <c r="C716" i="4"/>
  <c r="D716" i="4" s="1"/>
  <c r="E716" i="4" s="1"/>
  <c r="F716" i="4" s="1"/>
  <c r="J715" i="4"/>
  <c r="C715" i="4"/>
  <c r="D715" i="4" s="1"/>
  <c r="E715" i="4" s="1"/>
  <c r="F715" i="4" s="1"/>
  <c r="J714" i="4"/>
  <c r="C714" i="4"/>
  <c r="D714" i="4" s="1"/>
  <c r="E714" i="4" s="1"/>
  <c r="F714" i="4" s="1"/>
  <c r="J713" i="4"/>
  <c r="C713" i="4"/>
  <c r="D713" i="4" s="1"/>
  <c r="E713" i="4" s="1"/>
  <c r="F713" i="4" s="1"/>
  <c r="C712" i="4"/>
  <c r="D712" i="4" s="1"/>
  <c r="E712" i="4" s="1"/>
  <c r="F712" i="4" s="1"/>
  <c r="J712" i="4"/>
  <c r="C711" i="4"/>
  <c r="D711" i="4" s="1"/>
  <c r="E711" i="4" s="1"/>
  <c r="F711" i="4" s="1"/>
  <c r="J711" i="4"/>
  <c r="C710" i="4"/>
  <c r="D710" i="4" s="1"/>
  <c r="E710" i="4" s="1"/>
  <c r="F710" i="4" s="1"/>
  <c r="J710" i="4"/>
  <c r="J709" i="4"/>
  <c r="C709" i="4"/>
  <c r="D709" i="4" s="1"/>
  <c r="E709" i="4" s="1"/>
  <c r="F709" i="4" s="1"/>
  <c r="J708" i="4"/>
  <c r="C708" i="4"/>
  <c r="D708" i="4" s="1"/>
  <c r="E708" i="4" s="1"/>
  <c r="F708" i="4" s="1"/>
  <c r="J707" i="4"/>
  <c r="C707" i="4"/>
  <c r="D707" i="4" s="1"/>
  <c r="E707" i="4" s="1"/>
  <c r="F707" i="4" s="1"/>
  <c r="J706" i="4"/>
  <c r="C706" i="4"/>
  <c r="D706" i="4" s="1"/>
  <c r="E706" i="4" s="1"/>
  <c r="F706" i="4" s="1"/>
  <c r="J705" i="4"/>
  <c r="C705" i="4"/>
  <c r="D705" i="4" s="1"/>
  <c r="E705" i="4" s="1"/>
  <c r="F705" i="4" s="1"/>
  <c r="J704" i="4"/>
  <c r="C704" i="4"/>
  <c r="D704" i="4" s="1"/>
  <c r="E704" i="4" s="1"/>
  <c r="F704" i="4" s="1"/>
  <c r="J703" i="4"/>
  <c r="C703" i="4"/>
  <c r="D703" i="4" s="1"/>
  <c r="E703" i="4" s="1"/>
  <c r="F703" i="4" s="1"/>
  <c r="J702" i="4"/>
  <c r="C702" i="4"/>
  <c r="D702" i="4" s="1"/>
  <c r="E702" i="4" s="1"/>
  <c r="F702" i="4" s="1"/>
  <c r="J701" i="4"/>
  <c r="C701" i="4"/>
  <c r="D701" i="4" s="1"/>
  <c r="E701" i="4" s="1"/>
  <c r="F701" i="4" s="1"/>
  <c r="J700" i="4"/>
  <c r="C700" i="4"/>
  <c r="D700" i="4" s="1"/>
  <c r="E700" i="4" s="1"/>
  <c r="F700" i="4" s="1"/>
  <c r="J699" i="4"/>
  <c r="C699" i="4"/>
  <c r="D699" i="4" s="1"/>
  <c r="E699" i="4" s="1"/>
  <c r="F699" i="4" s="1"/>
  <c r="J698" i="4"/>
  <c r="C698" i="4"/>
  <c r="D698" i="4" s="1"/>
  <c r="E698" i="4" s="1"/>
  <c r="F698" i="4" s="1"/>
  <c r="J697" i="4"/>
  <c r="C697" i="4"/>
  <c r="D697" i="4" s="1"/>
  <c r="E697" i="4" s="1"/>
  <c r="F697" i="4" s="1"/>
  <c r="J696" i="4"/>
  <c r="C696" i="4"/>
  <c r="D696" i="4" s="1"/>
  <c r="E696" i="4" s="1"/>
  <c r="F696" i="4" s="1"/>
  <c r="J695" i="4"/>
  <c r="C695" i="4"/>
  <c r="D695" i="4" s="1"/>
  <c r="E695" i="4" s="1"/>
  <c r="F695" i="4" s="1"/>
  <c r="J694" i="4"/>
  <c r="C694" i="4"/>
  <c r="D694" i="4" s="1"/>
  <c r="E694" i="4" s="1"/>
  <c r="F694" i="4" s="1"/>
  <c r="J693" i="4"/>
  <c r="C693" i="4"/>
  <c r="D693" i="4" s="1"/>
  <c r="E693" i="4" s="1"/>
  <c r="F693" i="4" s="1"/>
  <c r="J692" i="4"/>
  <c r="C692" i="4"/>
  <c r="D692" i="4" s="1"/>
  <c r="E692" i="4" s="1"/>
  <c r="F692" i="4" s="1"/>
  <c r="J691" i="4"/>
  <c r="C691" i="4"/>
  <c r="D691" i="4" s="1"/>
  <c r="E691" i="4" s="1"/>
  <c r="F691" i="4" s="1"/>
  <c r="J690" i="4"/>
  <c r="C690" i="4"/>
  <c r="D690" i="4" s="1"/>
  <c r="E690" i="4" s="1"/>
  <c r="F690" i="4" s="1"/>
  <c r="J689" i="4"/>
  <c r="C689" i="4"/>
  <c r="D689" i="4" s="1"/>
  <c r="E689" i="4" s="1"/>
  <c r="F689" i="4" s="1"/>
  <c r="J688" i="4"/>
  <c r="C688" i="4"/>
  <c r="D688" i="4" s="1"/>
  <c r="E688" i="4" s="1"/>
  <c r="F688" i="4" s="1"/>
  <c r="J687" i="4"/>
  <c r="C687" i="4"/>
  <c r="D687" i="4" s="1"/>
  <c r="E687" i="4" s="1"/>
  <c r="F687" i="4" s="1"/>
  <c r="J686" i="4"/>
  <c r="C686" i="4"/>
  <c r="D686" i="4" s="1"/>
  <c r="E686" i="4" s="1"/>
  <c r="F686" i="4" s="1"/>
  <c r="C685" i="4"/>
  <c r="D685" i="4" s="1"/>
  <c r="E685" i="4" s="1"/>
  <c r="F685" i="4" s="1"/>
  <c r="J685" i="4"/>
  <c r="C684" i="4"/>
  <c r="D684" i="4" s="1"/>
  <c r="E684" i="4" s="1"/>
  <c r="F684" i="4" s="1"/>
  <c r="J684" i="4"/>
  <c r="J683" i="4"/>
  <c r="C683" i="4"/>
  <c r="D683" i="4" s="1"/>
  <c r="E683" i="4" s="1"/>
  <c r="F683" i="4" s="1"/>
  <c r="J682" i="4"/>
  <c r="C682" i="4"/>
  <c r="D682" i="4" s="1"/>
  <c r="E682" i="4" s="1"/>
  <c r="F682" i="4" s="1"/>
  <c r="J681" i="4"/>
  <c r="C681" i="4"/>
  <c r="D681" i="4" s="1"/>
  <c r="E681" i="4" s="1"/>
  <c r="F681" i="4" s="1"/>
  <c r="J680" i="4"/>
  <c r="C680" i="4"/>
  <c r="D680" i="4" s="1"/>
  <c r="E680" i="4" s="1"/>
  <c r="F680" i="4" s="1"/>
  <c r="J679" i="4"/>
  <c r="C679" i="4"/>
  <c r="D679" i="4" s="1"/>
  <c r="E679" i="4" s="1"/>
  <c r="F679" i="4" s="1"/>
  <c r="J678" i="4"/>
  <c r="C678" i="4"/>
  <c r="D678" i="4" s="1"/>
  <c r="E678" i="4" s="1"/>
  <c r="F678" i="4" s="1"/>
  <c r="J677" i="4"/>
  <c r="C677" i="4"/>
  <c r="D677" i="4" s="1"/>
  <c r="E677" i="4" s="1"/>
  <c r="F677" i="4" s="1"/>
  <c r="C676" i="4"/>
  <c r="D676" i="4" s="1"/>
  <c r="E676" i="4" s="1"/>
  <c r="F676" i="4" s="1"/>
  <c r="J676" i="4"/>
  <c r="J675" i="4"/>
  <c r="C675" i="4"/>
  <c r="D675" i="4" s="1"/>
  <c r="E675" i="4" s="1"/>
  <c r="F675" i="4" s="1"/>
  <c r="J674" i="4"/>
  <c r="C674" i="4"/>
  <c r="D674" i="4" s="1"/>
  <c r="E674" i="4" s="1"/>
  <c r="F674" i="4" s="1"/>
  <c r="J673" i="4"/>
  <c r="C673" i="4"/>
  <c r="D673" i="4" s="1"/>
  <c r="E673" i="4" s="1"/>
  <c r="F673" i="4" s="1"/>
  <c r="J672" i="4"/>
  <c r="C672" i="4"/>
  <c r="D672" i="4" s="1"/>
  <c r="E672" i="4" s="1"/>
  <c r="F672" i="4" s="1"/>
  <c r="C671" i="4"/>
  <c r="D671" i="4" s="1"/>
  <c r="E671" i="4" s="1"/>
  <c r="F671" i="4" s="1"/>
  <c r="J671" i="4"/>
  <c r="J670" i="4"/>
  <c r="C670" i="4"/>
  <c r="D670" i="4" s="1"/>
  <c r="E670" i="4" s="1"/>
  <c r="F670" i="4" s="1"/>
  <c r="J669" i="4"/>
  <c r="C669" i="4"/>
  <c r="D669" i="4" s="1"/>
  <c r="E669" i="4" s="1"/>
  <c r="F669" i="4" s="1"/>
  <c r="J668" i="4"/>
  <c r="C668" i="4"/>
  <c r="D668" i="4" s="1"/>
  <c r="E668" i="4" s="1"/>
  <c r="F668" i="4" s="1"/>
  <c r="J667" i="4"/>
  <c r="C667" i="4"/>
  <c r="D667" i="4" s="1"/>
  <c r="E667" i="4" s="1"/>
  <c r="F667" i="4" s="1"/>
  <c r="J666" i="4"/>
  <c r="C666" i="4"/>
  <c r="D666" i="4" s="1"/>
  <c r="E666" i="4" s="1"/>
  <c r="F666" i="4" s="1"/>
  <c r="J665" i="4"/>
  <c r="C665" i="4"/>
  <c r="D665" i="4" s="1"/>
  <c r="E665" i="4" s="1"/>
  <c r="F665" i="4" s="1"/>
  <c r="J664" i="4"/>
  <c r="C664" i="4"/>
  <c r="D664" i="4" s="1"/>
  <c r="E664" i="4" s="1"/>
  <c r="F664" i="4" s="1"/>
  <c r="J663" i="4"/>
  <c r="C663" i="4"/>
  <c r="D663" i="4" s="1"/>
  <c r="E663" i="4" s="1"/>
  <c r="F663" i="4" s="1"/>
  <c r="J662" i="4"/>
  <c r="C662" i="4"/>
  <c r="D662" i="4" s="1"/>
  <c r="E662" i="4" s="1"/>
  <c r="F662" i="4" s="1"/>
  <c r="J661" i="4"/>
  <c r="C661" i="4"/>
  <c r="D661" i="4" s="1"/>
  <c r="E661" i="4" s="1"/>
  <c r="F661" i="4" s="1"/>
  <c r="J660" i="4"/>
  <c r="C660" i="4"/>
  <c r="D660" i="4" s="1"/>
  <c r="E660" i="4" s="1"/>
  <c r="F660" i="4" s="1"/>
  <c r="J659" i="4"/>
  <c r="C659" i="4"/>
  <c r="D659" i="4" s="1"/>
  <c r="E659" i="4" s="1"/>
  <c r="F659" i="4" s="1"/>
  <c r="C658" i="4"/>
  <c r="D658" i="4" s="1"/>
  <c r="E658" i="4" s="1"/>
  <c r="F658" i="4" s="1"/>
  <c r="J658" i="4"/>
  <c r="J657" i="4"/>
  <c r="C657" i="4"/>
  <c r="D657" i="4" s="1"/>
  <c r="E657" i="4" s="1"/>
  <c r="F657" i="4" s="1"/>
  <c r="J656" i="4"/>
  <c r="C656" i="4"/>
  <c r="D656" i="4" s="1"/>
  <c r="E656" i="4" s="1"/>
  <c r="F656" i="4" s="1"/>
  <c r="J655" i="4"/>
  <c r="C655" i="4"/>
  <c r="D655" i="4" s="1"/>
  <c r="E655" i="4" s="1"/>
  <c r="F655" i="4" s="1"/>
  <c r="J654" i="4"/>
  <c r="C654" i="4"/>
  <c r="D654" i="4" s="1"/>
  <c r="E654" i="4" s="1"/>
  <c r="F654" i="4" s="1"/>
  <c r="J653" i="4"/>
  <c r="C653" i="4"/>
  <c r="D653" i="4" s="1"/>
  <c r="E653" i="4" s="1"/>
  <c r="F653" i="4" s="1"/>
  <c r="J652" i="4"/>
  <c r="C652" i="4"/>
  <c r="D652" i="4" s="1"/>
  <c r="E652" i="4" s="1"/>
  <c r="F652" i="4" s="1"/>
  <c r="J651" i="4"/>
  <c r="C651" i="4"/>
  <c r="D651" i="4" s="1"/>
  <c r="E651" i="4" s="1"/>
  <c r="F651" i="4" s="1"/>
  <c r="J650" i="4"/>
  <c r="C650" i="4"/>
  <c r="D650" i="4" s="1"/>
  <c r="E650" i="4" s="1"/>
  <c r="F650" i="4" s="1"/>
  <c r="J649" i="4"/>
  <c r="C649" i="4"/>
  <c r="D649" i="4" s="1"/>
  <c r="E649" i="4" s="1"/>
  <c r="F649" i="4" s="1"/>
  <c r="J648" i="4"/>
  <c r="C648" i="4"/>
  <c r="D648" i="4" s="1"/>
  <c r="E648" i="4" s="1"/>
  <c r="F648" i="4" s="1"/>
  <c r="J647" i="4"/>
  <c r="C647" i="4"/>
  <c r="D647" i="4" s="1"/>
  <c r="E647" i="4" s="1"/>
  <c r="F647" i="4" s="1"/>
  <c r="J646" i="4"/>
  <c r="C646" i="4"/>
  <c r="D646" i="4" s="1"/>
  <c r="E646" i="4" s="1"/>
  <c r="F646" i="4" s="1"/>
  <c r="J645" i="4"/>
  <c r="C645" i="4"/>
  <c r="D645" i="4" s="1"/>
  <c r="E645" i="4" s="1"/>
  <c r="F645" i="4" s="1"/>
  <c r="J644" i="4"/>
  <c r="C644" i="4"/>
  <c r="D644" i="4" s="1"/>
  <c r="E644" i="4" s="1"/>
  <c r="F644" i="4" s="1"/>
  <c r="J643" i="4"/>
  <c r="C643" i="4"/>
  <c r="D643" i="4" s="1"/>
  <c r="E643" i="4" s="1"/>
  <c r="F643" i="4" s="1"/>
  <c r="J642" i="4"/>
  <c r="C642" i="4"/>
  <c r="D642" i="4" s="1"/>
  <c r="E642" i="4" s="1"/>
  <c r="F642" i="4" s="1"/>
  <c r="J641" i="4"/>
  <c r="C641" i="4"/>
  <c r="D641" i="4" s="1"/>
  <c r="E641" i="4" s="1"/>
  <c r="F641" i="4" s="1"/>
  <c r="J640" i="4"/>
  <c r="C640" i="4"/>
  <c r="D640" i="4" s="1"/>
  <c r="E640" i="4" s="1"/>
  <c r="F640" i="4" s="1"/>
  <c r="J639" i="4"/>
  <c r="C639" i="4"/>
  <c r="D639" i="4" s="1"/>
  <c r="E639" i="4" s="1"/>
  <c r="F639" i="4" s="1"/>
  <c r="J638" i="4"/>
  <c r="C638" i="4"/>
  <c r="D638" i="4" s="1"/>
  <c r="E638" i="4" s="1"/>
  <c r="F638" i="4" s="1"/>
  <c r="J637" i="4"/>
  <c r="C637" i="4"/>
  <c r="D637" i="4" s="1"/>
  <c r="E637" i="4" s="1"/>
  <c r="F637" i="4" s="1"/>
  <c r="J636" i="4"/>
  <c r="C636" i="4"/>
  <c r="D636" i="4" s="1"/>
  <c r="E636" i="4" s="1"/>
  <c r="F636" i="4" s="1"/>
  <c r="J635" i="4"/>
  <c r="C635" i="4"/>
  <c r="D635" i="4" s="1"/>
  <c r="E635" i="4" s="1"/>
  <c r="F635" i="4" s="1"/>
  <c r="J634" i="4"/>
  <c r="C634" i="4"/>
  <c r="D634" i="4" s="1"/>
  <c r="E634" i="4" s="1"/>
  <c r="F634" i="4" s="1"/>
  <c r="J633" i="4"/>
  <c r="C633" i="4"/>
  <c r="D633" i="4" s="1"/>
  <c r="E633" i="4" s="1"/>
  <c r="F633" i="4" s="1"/>
  <c r="J632" i="4"/>
  <c r="C632" i="4"/>
  <c r="D632" i="4" s="1"/>
  <c r="E632" i="4" s="1"/>
  <c r="F632" i="4" s="1"/>
  <c r="J631" i="4"/>
  <c r="C631" i="4"/>
  <c r="D631" i="4" s="1"/>
  <c r="E631" i="4" s="1"/>
  <c r="F631" i="4" s="1"/>
  <c r="J630" i="4"/>
  <c r="C630" i="4"/>
  <c r="D630" i="4" s="1"/>
  <c r="E630" i="4" s="1"/>
  <c r="F630" i="4" s="1"/>
  <c r="J629" i="4"/>
  <c r="C629" i="4"/>
  <c r="D629" i="4" s="1"/>
  <c r="E629" i="4" s="1"/>
  <c r="F629" i="4" s="1"/>
  <c r="J628" i="4"/>
  <c r="C628" i="4"/>
  <c r="D628" i="4" s="1"/>
  <c r="E628" i="4" s="1"/>
  <c r="F628" i="4" s="1"/>
  <c r="J627" i="4"/>
  <c r="C627" i="4"/>
  <c r="D627" i="4" s="1"/>
  <c r="E627" i="4" s="1"/>
  <c r="F627" i="4" s="1"/>
  <c r="J626" i="4"/>
  <c r="C626" i="4"/>
  <c r="D626" i="4" s="1"/>
  <c r="E626" i="4" s="1"/>
  <c r="F626" i="4" s="1"/>
  <c r="J625" i="4"/>
  <c r="C625" i="4"/>
  <c r="D625" i="4" s="1"/>
  <c r="E625" i="4" s="1"/>
  <c r="F625" i="4" s="1"/>
  <c r="J624" i="4"/>
  <c r="C624" i="4"/>
  <c r="D624" i="4" s="1"/>
  <c r="E624" i="4" s="1"/>
  <c r="F624" i="4" s="1"/>
  <c r="J623" i="4"/>
  <c r="C623" i="4"/>
  <c r="D623" i="4" s="1"/>
  <c r="E623" i="4" s="1"/>
  <c r="F623" i="4" s="1"/>
  <c r="J622" i="4"/>
  <c r="C622" i="4"/>
  <c r="D622" i="4" s="1"/>
  <c r="E622" i="4" s="1"/>
  <c r="F622" i="4" s="1"/>
  <c r="J621" i="4"/>
  <c r="C621" i="4"/>
  <c r="D621" i="4" s="1"/>
  <c r="E621" i="4" s="1"/>
  <c r="F621" i="4" s="1"/>
  <c r="J620" i="4"/>
  <c r="C620" i="4"/>
  <c r="D620" i="4" s="1"/>
  <c r="E620" i="4" s="1"/>
  <c r="F620" i="4" s="1"/>
  <c r="J619" i="4"/>
  <c r="C619" i="4"/>
  <c r="D619" i="4" s="1"/>
  <c r="E619" i="4" s="1"/>
  <c r="F619" i="4" s="1"/>
  <c r="J618" i="4"/>
  <c r="C618" i="4"/>
  <c r="D618" i="4" s="1"/>
  <c r="E618" i="4" s="1"/>
  <c r="F618" i="4" s="1"/>
  <c r="C617" i="4"/>
  <c r="D617" i="4" s="1"/>
  <c r="E617" i="4" s="1"/>
  <c r="F617" i="4" s="1"/>
  <c r="J617" i="4"/>
  <c r="J616" i="4"/>
  <c r="C616" i="4"/>
  <c r="D616" i="4" s="1"/>
  <c r="E616" i="4" s="1"/>
  <c r="F616" i="4" s="1"/>
  <c r="J615" i="4"/>
  <c r="C615" i="4"/>
  <c r="D615" i="4" s="1"/>
  <c r="E615" i="4" s="1"/>
  <c r="F615" i="4" s="1"/>
  <c r="J614" i="4"/>
  <c r="C614" i="4"/>
  <c r="D614" i="4" s="1"/>
  <c r="E614" i="4" s="1"/>
  <c r="F614" i="4" s="1"/>
  <c r="J613" i="4"/>
  <c r="C613" i="4"/>
  <c r="D613" i="4" s="1"/>
  <c r="E613" i="4" s="1"/>
  <c r="F613" i="4" s="1"/>
  <c r="J612" i="4"/>
  <c r="C612" i="4"/>
  <c r="D612" i="4" s="1"/>
  <c r="E612" i="4" s="1"/>
  <c r="F612" i="4" s="1"/>
  <c r="J611" i="4"/>
  <c r="C611" i="4"/>
  <c r="D611" i="4" s="1"/>
  <c r="E611" i="4" s="1"/>
  <c r="F611" i="4" s="1"/>
  <c r="C610" i="4"/>
  <c r="D610" i="4" s="1"/>
  <c r="E610" i="4" s="1"/>
  <c r="F610" i="4" s="1"/>
  <c r="J610" i="4"/>
  <c r="J609" i="4"/>
  <c r="C609" i="4"/>
  <c r="D609" i="4" s="1"/>
  <c r="E609" i="4" s="1"/>
  <c r="F609" i="4" s="1"/>
  <c r="C608" i="4"/>
  <c r="D608" i="4" s="1"/>
  <c r="E608" i="4" s="1"/>
  <c r="F608" i="4" s="1"/>
  <c r="J608" i="4"/>
  <c r="J607" i="4"/>
  <c r="C607" i="4"/>
  <c r="D607" i="4" s="1"/>
  <c r="E607" i="4" s="1"/>
  <c r="F607" i="4" s="1"/>
  <c r="J606" i="4"/>
  <c r="C606" i="4"/>
  <c r="D606" i="4" s="1"/>
  <c r="E606" i="4" s="1"/>
  <c r="F606" i="4" s="1"/>
  <c r="J605" i="4"/>
  <c r="C605" i="4"/>
  <c r="D605" i="4" s="1"/>
  <c r="E605" i="4" s="1"/>
  <c r="F605" i="4" s="1"/>
  <c r="J604" i="4"/>
  <c r="C604" i="4"/>
  <c r="D604" i="4" s="1"/>
  <c r="E604" i="4" s="1"/>
  <c r="F604" i="4" s="1"/>
  <c r="J603" i="4"/>
  <c r="C603" i="4"/>
  <c r="D603" i="4" s="1"/>
  <c r="E603" i="4" s="1"/>
  <c r="F603" i="4" s="1"/>
  <c r="J602" i="4"/>
  <c r="C602" i="4"/>
  <c r="D602" i="4" s="1"/>
  <c r="E602" i="4" s="1"/>
  <c r="F602" i="4" s="1"/>
  <c r="J601" i="4"/>
  <c r="C601" i="4"/>
  <c r="D601" i="4" s="1"/>
  <c r="E601" i="4" s="1"/>
  <c r="F601" i="4" s="1"/>
  <c r="C600" i="4"/>
  <c r="D600" i="4" s="1"/>
  <c r="E600" i="4" s="1"/>
  <c r="F600" i="4" s="1"/>
  <c r="J600" i="4"/>
  <c r="J599" i="4"/>
  <c r="C599" i="4"/>
  <c r="D599" i="4" s="1"/>
  <c r="E599" i="4" s="1"/>
  <c r="F599" i="4" s="1"/>
  <c r="J598" i="4"/>
  <c r="C598" i="4"/>
  <c r="D598" i="4" s="1"/>
  <c r="E598" i="4" s="1"/>
  <c r="F598" i="4" s="1"/>
  <c r="J597" i="4"/>
  <c r="C597" i="4"/>
  <c r="D597" i="4" s="1"/>
  <c r="E597" i="4" s="1"/>
  <c r="F597" i="4" s="1"/>
  <c r="J596" i="4"/>
  <c r="C596" i="4"/>
  <c r="D596" i="4" s="1"/>
  <c r="E596" i="4" s="1"/>
  <c r="F596" i="4" s="1"/>
  <c r="J595" i="4"/>
  <c r="C595" i="4"/>
  <c r="D595" i="4" s="1"/>
  <c r="E595" i="4" s="1"/>
  <c r="F595" i="4" s="1"/>
  <c r="J594" i="4"/>
  <c r="C594" i="4"/>
  <c r="D594" i="4" s="1"/>
  <c r="E594" i="4" s="1"/>
  <c r="F594" i="4" s="1"/>
  <c r="J593" i="4"/>
  <c r="C593" i="4"/>
  <c r="D593" i="4" s="1"/>
  <c r="E593" i="4" s="1"/>
  <c r="F593" i="4" s="1"/>
  <c r="J592" i="4"/>
  <c r="C592" i="4"/>
  <c r="D592" i="4" s="1"/>
  <c r="E592" i="4" s="1"/>
  <c r="F592" i="4" s="1"/>
  <c r="J591" i="4"/>
  <c r="C591" i="4"/>
  <c r="D591" i="4" s="1"/>
  <c r="E591" i="4" s="1"/>
  <c r="F591" i="4" s="1"/>
  <c r="J590" i="4"/>
  <c r="C590" i="4"/>
  <c r="D590" i="4" s="1"/>
  <c r="E590" i="4" s="1"/>
  <c r="F590" i="4" s="1"/>
  <c r="J589" i="4"/>
  <c r="C589" i="4"/>
  <c r="D589" i="4" s="1"/>
  <c r="E589" i="4" s="1"/>
  <c r="F589" i="4" s="1"/>
  <c r="J588" i="4"/>
  <c r="C588" i="4"/>
  <c r="D588" i="4" s="1"/>
  <c r="E588" i="4" s="1"/>
  <c r="F588" i="4" s="1"/>
  <c r="J587" i="4"/>
  <c r="C587" i="4"/>
  <c r="D587" i="4" s="1"/>
  <c r="E587" i="4" s="1"/>
  <c r="F587" i="4" s="1"/>
  <c r="J586" i="4"/>
  <c r="C586" i="4"/>
  <c r="D586" i="4" s="1"/>
  <c r="E586" i="4" s="1"/>
  <c r="F586" i="4" s="1"/>
  <c r="C585" i="4"/>
  <c r="D585" i="4" s="1"/>
  <c r="E585" i="4" s="1"/>
  <c r="F585" i="4" s="1"/>
  <c r="J585" i="4"/>
  <c r="C584" i="4"/>
  <c r="D584" i="4" s="1"/>
  <c r="E584" i="4" s="1"/>
  <c r="F584" i="4" s="1"/>
  <c r="J584" i="4"/>
  <c r="J583" i="4"/>
  <c r="C583" i="4"/>
  <c r="D583" i="4" s="1"/>
  <c r="E583" i="4" s="1"/>
  <c r="F583" i="4" s="1"/>
  <c r="J582" i="4"/>
  <c r="C582" i="4"/>
  <c r="D582" i="4" s="1"/>
  <c r="E582" i="4" s="1"/>
  <c r="F582" i="4" s="1"/>
  <c r="J581" i="4"/>
  <c r="C581" i="4"/>
  <c r="D581" i="4" s="1"/>
  <c r="E581" i="4" s="1"/>
  <c r="F581" i="4" s="1"/>
  <c r="J580" i="4"/>
  <c r="C580" i="4"/>
  <c r="D580" i="4" s="1"/>
  <c r="E580" i="4" s="1"/>
  <c r="F580" i="4" s="1"/>
  <c r="J579" i="4"/>
  <c r="C579" i="4"/>
  <c r="D579" i="4" s="1"/>
  <c r="E579" i="4" s="1"/>
  <c r="F579" i="4" s="1"/>
  <c r="J578" i="4"/>
  <c r="C578" i="4"/>
  <c r="D578" i="4" s="1"/>
  <c r="E578" i="4" s="1"/>
  <c r="F578" i="4" s="1"/>
  <c r="C577" i="4"/>
  <c r="D577" i="4" s="1"/>
  <c r="E577" i="4" s="1"/>
  <c r="F577" i="4" s="1"/>
  <c r="J577" i="4"/>
  <c r="C576" i="4"/>
  <c r="D576" i="4" s="1"/>
  <c r="E576" i="4" s="1"/>
  <c r="F576" i="4" s="1"/>
  <c r="J576" i="4"/>
  <c r="C575" i="4"/>
  <c r="D575" i="4" s="1"/>
  <c r="E575" i="4" s="1"/>
  <c r="F575" i="4" s="1"/>
  <c r="J575" i="4"/>
  <c r="J574" i="4"/>
  <c r="C574" i="4"/>
  <c r="D574" i="4" s="1"/>
  <c r="E574" i="4" s="1"/>
  <c r="F574" i="4" s="1"/>
  <c r="J573" i="4"/>
  <c r="C573" i="4"/>
  <c r="D573" i="4" s="1"/>
  <c r="E573" i="4" s="1"/>
  <c r="F573" i="4" s="1"/>
  <c r="J572" i="4"/>
  <c r="C572" i="4"/>
  <c r="D572" i="4" s="1"/>
  <c r="E572" i="4" s="1"/>
  <c r="F572" i="4" s="1"/>
  <c r="C571" i="4"/>
  <c r="D571" i="4" s="1"/>
  <c r="E571" i="4" s="1"/>
  <c r="F571" i="4" s="1"/>
  <c r="J571" i="4"/>
  <c r="J570" i="4"/>
  <c r="C570" i="4"/>
  <c r="D570" i="4" s="1"/>
  <c r="E570" i="4" s="1"/>
  <c r="F570" i="4" s="1"/>
  <c r="J569" i="4"/>
  <c r="C569" i="4"/>
  <c r="D569" i="4" s="1"/>
  <c r="E569" i="4" s="1"/>
  <c r="F569" i="4" s="1"/>
  <c r="J568" i="4"/>
  <c r="C568" i="4"/>
  <c r="D568" i="4" s="1"/>
  <c r="E568" i="4" s="1"/>
  <c r="F568" i="4" s="1"/>
  <c r="J567" i="4"/>
  <c r="C567" i="4"/>
  <c r="D567" i="4" s="1"/>
  <c r="E567" i="4" s="1"/>
  <c r="F567" i="4" s="1"/>
  <c r="J566" i="4"/>
  <c r="C566" i="4"/>
  <c r="D566" i="4" s="1"/>
  <c r="E566" i="4" s="1"/>
  <c r="F566" i="4" s="1"/>
  <c r="J565" i="4"/>
  <c r="C565" i="4"/>
  <c r="D565" i="4" s="1"/>
  <c r="E565" i="4" s="1"/>
  <c r="F565" i="4" s="1"/>
  <c r="J564" i="4"/>
  <c r="C564" i="4"/>
  <c r="D564" i="4" s="1"/>
  <c r="E564" i="4" s="1"/>
  <c r="F564" i="4" s="1"/>
  <c r="J563" i="4"/>
  <c r="C563" i="4"/>
  <c r="D563" i="4" s="1"/>
  <c r="E563" i="4" s="1"/>
  <c r="F563" i="4" s="1"/>
  <c r="J562" i="4"/>
  <c r="C562" i="4"/>
  <c r="D562" i="4" s="1"/>
  <c r="E562" i="4" s="1"/>
  <c r="F562" i="4" s="1"/>
  <c r="J561" i="4"/>
  <c r="C561" i="4"/>
  <c r="D561" i="4" s="1"/>
  <c r="E561" i="4" s="1"/>
  <c r="F561" i="4" s="1"/>
  <c r="J560" i="4"/>
  <c r="C560" i="4"/>
  <c r="D560" i="4" s="1"/>
  <c r="E560" i="4" s="1"/>
  <c r="F560" i="4" s="1"/>
  <c r="J559" i="4"/>
  <c r="C559" i="4"/>
  <c r="D559" i="4" s="1"/>
  <c r="E559" i="4" s="1"/>
  <c r="F559" i="4" s="1"/>
  <c r="J558" i="4"/>
  <c r="C558" i="4"/>
  <c r="D558" i="4" s="1"/>
  <c r="E558" i="4" s="1"/>
  <c r="F558" i="4" s="1"/>
  <c r="J557" i="4"/>
  <c r="C557" i="4"/>
  <c r="D557" i="4" s="1"/>
  <c r="E557" i="4" s="1"/>
  <c r="F557" i="4" s="1"/>
  <c r="J556" i="4"/>
  <c r="C556" i="4"/>
  <c r="D556" i="4" s="1"/>
  <c r="E556" i="4" s="1"/>
  <c r="F556" i="4" s="1"/>
  <c r="J555" i="4"/>
  <c r="C555" i="4"/>
  <c r="D555" i="4" s="1"/>
  <c r="E555" i="4" s="1"/>
  <c r="F555" i="4" s="1"/>
  <c r="J554" i="4"/>
  <c r="C554" i="4"/>
  <c r="D554" i="4" s="1"/>
  <c r="E554" i="4" s="1"/>
  <c r="F554" i="4" s="1"/>
  <c r="J553" i="4"/>
  <c r="C553" i="4"/>
  <c r="D553" i="4" s="1"/>
  <c r="E553" i="4" s="1"/>
  <c r="F553" i="4" s="1"/>
  <c r="J552" i="4"/>
  <c r="C552" i="4"/>
  <c r="D552" i="4" s="1"/>
  <c r="E552" i="4" s="1"/>
  <c r="F552" i="4" s="1"/>
  <c r="J551" i="4"/>
  <c r="C551" i="4"/>
  <c r="D551" i="4" s="1"/>
  <c r="E551" i="4" s="1"/>
  <c r="F551" i="4" s="1"/>
  <c r="J550" i="4"/>
  <c r="C550" i="4"/>
  <c r="D550" i="4" s="1"/>
  <c r="E550" i="4" s="1"/>
  <c r="F550" i="4" s="1"/>
  <c r="C549" i="4"/>
  <c r="D549" i="4" s="1"/>
  <c r="E549" i="4" s="1"/>
  <c r="F549" i="4" s="1"/>
  <c r="J549" i="4"/>
  <c r="C548" i="4"/>
  <c r="D548" i="4" s="1"/>
  <c r="E548" i="4" s="1"/>
  <c r="F548" i="4" s="1"/>
  <c r="J548" i="4"/>
  <c r="J547" i="4"/>
  <c r="C547" i="4"/>
  <c r="D547" i="4" s="1"/>
  <c r="E547" i="4" s="1"/>
  <c r="F547" i="4" s="1"/>
  <c r="J546" i="4"/>
  <c r="C546" i="4"/>
  <c r="D546" i="4" s="1"/>
  <c r="E546" i="4" s="1"/>
  <c r="F546" i="4" s="1"/>
  <c r="J545" i="4"/>
  <c r="C545" i="4"/>
  <c r="D545" i="4" s="1"/>
  <c r="E545" i="4" s="1"/>
  <c r="F545" i="4" s="1"/>
  <c r="J544" i="4"/>
  <c r="C544" i="4"/>
  <c r="D544" i="4" s="1"/>
  <c r="E544" i="4" s="1"/>
  <c r="F544" i="4" s="1"/>
  <c r="J543" i="4"/>
  <c r="C543" i="4"/>
  <c r="D543" i="4" s="1"/>
  <c r="E543" i="4" s="1"/>
  <c r="F543" i="4" s="1"/>
  <c r="J542" i="4"/>
  <c r="C542" i="4"/>
  <c r="D542" i="4" s="1"/>
  <c r="E542" i="4" s="1"/>
  <c r="F542" i="4" s="1"/>
  <c r="J541" i="4"/>
  <c r="C541" i="4"/>
  <c r="D541" i="4" s="1"/>
  <c r="E541" i="4" s="1"/>
  <c r="F541" i="4" s="1"/>
  <c r="C540" i="4"/>
  <c r="D540" i="4" s="1"/>
  <c r="E540" i="4" s="1"/>
  <c r="F540" i="4" s="1"/>
  <c r="J540" i="4"/>
  <c r="C539" i="4"/>
  <c r="D539" i="4" s="1"/>
  <c r="E539" i="4" s="1"/>
  <c r="F539" i="4" s="1"/>
  <c r="J539" i="4"/>
  <c r="C538" i="4"/>
  <c r="D538" i="4" s="1"/>
  <c r="E538" i="4" s="1"/>
  <c r="F538" i="4" s="1"/>
  <c r="J538" i="4"/>
  <c r="J537" i="4"/>
  <c r="C537" i="4"/>
  <c r="D537" i="4" s="1"/>
  <c r="E537" i="4" s="1"/>
  <c r="F537" i="4" s="1"/>
  <c r="J536" i="4"/>
  <c r="C536" i="4"/>
  <c r="D536" i="4" s="1"/>
  <c r="E536" i="4" s="1"/>
  <c r="F536" i="4" s="1"/>
  <c r="C535" i="4"/>
  <c r="D535" i="4" s="1"/>
  <c r="E535" i="4" s="1"/>
  <c r="F535" i="4" s="1"/>
  <c r="J535" i="4"/>
  <c r="J534" i="4"/>
  <c r="C534" i="4"/>
  <c r="D534" i="4" s="1"/>
  <c r="E534" i="4" s="1"/>
  <c r="F534" i="4" s="1"/>
  <c r="J533" i="4"/>
  <c r="C533" i="4"/>
  <c r="D533" i="4" s="1"/>
  <c r="E533" i="4" s="1"/>
  <c r="F533" i="4" s="1"/>
  <c r="J532" i="4"/>
  <c r="C532" i="4"/>
  <c r="D532" i="4" s="1"/>
  <c r="E532" i="4" s="1"/>
  <c r="F532" i="4" s="1"/>
  <c r="C531" i="4"/>
  <c r="D531" i="4" s="1"/>
  <c r="E531" i="4" s="1"/>
  <c r="F531" i="4" s="1"/>
  <c r="J531" i="4"/>
  <c r="J530" i="4"/>
  <c r="C530" i="4"/>
  <c r="D530" i="4" s="1"/>
  <c r="E530" i="4" s="1"/>
  <c r="F530" i="4" s="1"/>
  <c r="J529" i="4"/>
  <c r="C529" i="4"/>
  <c r="D529" i="4" s="1"/>
  <c r="E529" i="4" s="1"/>
  <c r="F529" i="4" s="1"/>
  <c r="J528" i="4"/>
  <c r="C528" i="4"/>
  <c r="D528" i="4" s="1"/>
  <c r="E528" i="4" s="1"/>
  <c r="F528" i="4" s="1"/>
  <c r="J527" i="4"/>
  <c r="C527" i="4"/>
  <c r="D527" i="4" s="1"/>
  <c r="E527" i="4" s="1"/>
  <c r="F527" i="4" s="1"/>
  <c r="J526" i="4"/>
  <c r="C526" i="4"/>
  <c r="D526" i="4" s="1"/>
  <c r="E526" i="4" s="1"/>
  <c r="F526" i="4" s="1"/>
  <c r="J525" i="4"/>
  <c r="C525" i="4"/>
  <c r="D525" i="4" s="1"/>
  <c r="E525" i="4" s="1"/>
  <c r="F525" i="4" s="1"/>
  <c r="J524" i="4"/>
  <c r="C524" i="4"/>
  <c r="D524" i="4" s="1"/>
  <c r="E524" i="4" s="1"/>
  <c r="F524" i="4" s="1"/>
  <c r="J523" i="4"/>
  <c r="C523" i="4"/>
  <c r="D523" i="4" s="1"/>
  <c r="E523" i="4" s="1"/>
  <c r="F523" i="4" s="1"/>
  <c r="J522" i="4"/>
  <c r="C522" i="4"/>
  <c r="D522" i="4" s="1"/>
  <c r="E522" i="4" s="1"/>
  <c r="F522" i="4" s="1"/>
  <c r="J521" i="4"/>
  <c r="C521" i="4"/>
  <c r="D521" i="4" s="1"/>
  <c r="E521" i="4" s="1"/>
  <c r="F521" i="4" s="1"/>
  <c r="J520" i="4"/>
  <c r="C520" i="4"/>
  <c r="D520" i="4" s="1"/>
  <c r="E520" i="4" s="1"/>
  <c r="F520" i="4" s="1"/>
  <c r="J519" i="4"/>
  <c r="C519" i="4"/>
  <c r="D519" i="4" s="1"/>
  <c r="E519" i="4" s="1"/>
  <c r="F519" i="4" s="1"/>
  <c r="J518" i="4"/>
  <c r="C518" i="4"/>
  <c r="D518" i="4" s="1"/>
  <c r="E518" i="4" s="1"/>
  <c r="F518" i="4" s="1"/>
  <c r="J517" i="4"/>
  <c r="C517" i="4"/>
  <c r="D517" i="4" s="1"/>
  <c r="E517" i="4" s="1"/>
  <c r="F517" i="4" s="1"/>
  <c r="J516" i="4"/>
  <c r="C516" i="4"/>
  <c r="D516" i="4" s="1"/>
  <c r="E516" i="4" s="1"/>
  <c r="F516" i="4" s="1"/>
  <c r="J515" i="4"/>
  <c r="C515" i="4"/>
  <c r="D515" i="4" s="1"/>
  <c r="E515" i="4" s="1"/>
  <c r="F515" i="4" s="1"/>
  <c r="J514" i="4"/>
  <c r="C514" i="4"/>
  <c r="D514" i="4" s="1"/>
  <c r="E514" i="4" s="1"/>
  <c r="F514" i="4" s="1"/>
  <c r="J513" i="4"/>
  <c r="C513" i="4"/>
  <c r="D513" i="4" s="1"/>
  <c r="E513" i="4" s="1"/>
  <c r="F513" i="4" s="1"/>
  <c r="J512" i="4"/>
  <c r="C512" i="4"/>
  <c r="D512" i="4" s="1"/>
  <c r="E512" i="4" s="1"/>
  <c r="F512" i="4" s="1"/>
  <c r="J511" i="4"/>
  <c r="C511" i="4"/>
  <c r="D511" i="4" s="1"/>
  <c r="E511" i="4" s="1"/>
  <c r="F511" i="4" s="1"/>
  <c r="J510" i="4"/>
  <c r="C510" i="4"/>
  <c r="D510" i="4" s="1"/>
  <c r="E510" i="4" s="1"/>
  <c r="F510" i="4" s="1"/>
  <c r="J509" i="4"/>
  <c r="C509" i="4"/>
  <c r="D509" i="4" s="1"/>
  <c r="E509" i="4" s="1"/>
  <c r="F509" i="4" s="1"/>
  <c r="J508" i="4"/>
  <c r="C508" i="4"/>
  <c r="D508" i="4" s="1"/>
  <c r="E508" i="4" s="1"/>
  <c r="F508" i="4" s="1"/>
  <c r="J507" i="4"/>
  <c r="C507" i="4"/>
  <c r="D507" i="4" s="1"/>
  <c r="E507" i="4" s="1"/>
  <c r="F507" i="4" s="1"/>
  <c r="J506" i="4"/>
  <c r="C506" i="4"/>
  <c r="D506" i="4" s="1"/>
  <c r="E506" i="4" s="1"/>
  <c r="F506" i="4" s="1"/>
  <c r="J505" i="4"/>
  <c r="C505" i="4"/>
  <c r="D505" i="4" s="1"/>
  <c r="E505" i="4" s="1"/>
  <c r="F505" i="4" s="1"/>
  <c r="J504" i="4"/>
  <c r="C504" i="4"/>
  <c r="D504" i="4" s="1"/>
  <c r="E504" i="4" s="1"/>
  <c r="F504" i="4" s="1"/>
  <c r="J503" i="4"/>
  <c r="C503" i="4"/>
  <c r="D503" i="4" s="1"/>
  <c r="E503" i="4" s="1"/>
  <c r="F503" i="4" s="1"/>
  <c r="J502" i="4"/>
  <c r="C502" i="4"/>
  <c r="D502" i="4" s="1"/>
  <c r="E502" i="4" s="1"/>
  <c r="F502" i="4" s="1"/>
  <c r="J501" i="4"/>
  <c r="C501" i="4"/>
  <c r="D501" i="4" s="1"/>
  <c r="E501" i="4" s="1"/>
  <c r="F501" i="4" s="1"/>
  <c r="J500" i="4"/>
  <c r="C500" i="4"/>
  <c r="D500" i="4" s="1"/>
  <c r="E500" i="4" s="1"/>
  <c r="F500" i="4" s="1"/>
  <c r="J499" i="4"/>
  <c r="C499" i="4"/>
  <c r="D499" i="4" s="1"/>
  <c r="E499" i="4" s="1"/>
  <c r="F499" i="4" s="1"/>
  <c r="J498" i="4"/>
  <c r="C498" i="4"/>
  <c r="D498" i="4" s="1"/>
  <c r="E498" i="4" s="1"/>
  <c r="F498" i="4" s="1"/>
  <c r="J497" i="4"/>
  <c r="C497" i="4"/>
  <c r="D497" i="4" s="1"/>
  <c r="E497" i="4" s="1"/>
  <c r="F497" i="4" s="1"/>
  <c r="J496" i="4"/>
  <c r="C496" i="4"/>
  <c r="D496" i="4" s="1"/>
  <c r="E496" i="4" s="1"/>
  <c r="F496" i="4" s="1"/>
  <c r="J495" i="4"/>
  <c r="C495" i="4"/>
  <c r="D495" i="4" s="1"/>
  <c r="E495" i="4" s="1"/>
  <c r="F495" i="4" s="1"/>
  <c r="J494" i="4"/>
  <c r="C494" i="4"/>
  <c r="D494" i="4" s="1"/>
  <c r="E494" i="4" s="1"/>
  <c r="F494" i="4" s="1"/>
  <c r="J493" i="4"/>
  <c r="C493" i="4"/>
  <c r="D493" i="4" s="1"/>
  <c r="E493" i="4" s="1"/>
  <c r="F493" i="4" s="1"/>
  <c r="J492" i="4"/>
  <c r="C492" i="4"/>
  <c r="D492" i="4" s="1"/>
  <c r="E492" i="4" s="1"/>
  <c r="F492" i="4" s="1"/>
  <c r="J491" i="4"/>
  <c r="C491" i="4"/>
  <c r="D491" i="4" s="1"/>
  <c r="E491" i="4" s="1"/>
  <c r="F491" i="4" s="1"/>
  <c r="J490" i="4"/>
  <c r="C490" i="4"/>
  <c r="D490" i="4" s="1"/>
  <c r="E490" i="4" s="1"/>
  <c r="F490" i="4" s="1"/>
  <c r="J489" i="4"/>
  <c r="C489" i="4"/>
  <c r="D489" i="4" s="1"/>
  <c r="E489" i="4" s="1"/>
  <c r="F489" i="4" s="1"/>
  <c r="J488" i="4"/>
  <c r="C488" i="4"/>
  <c r="D488" i="4" s="1"/>
  <c r="E488" i="4" s="1"/>
  <c r="F488" i="4" s="1"/>
  <c r="J487" i="4"/>
  <c r="C487" i="4"/>
  <c r="D487" i="4" s="1"/>
  <c r="E487" i="4" s="1"/>
  <c r="F487" i="4" s="1"/>
  <c r="J486" i="4"/>
  <c r="C486" i="4"/>
  <c r="D486" i="4" s="1"/>
  <c r="E486" i="4" s="1"/>
  <c r="F486" i="4" s="1"/>
  <c r="J485" i="4"/>
  <c r="C485" i="4"/>
  <c r="D485" i="4" s="1"/>
  <c r="E485" i="4" s="1"/>
  <c r="F485" i="4" s="1"/>
  <c r="J484" i="4"/>
  <c r="C484" i="4"/>
  <c r="D484" i="4" s="1"/>
  <c r="E484" i="4" s="1"/>
  <c r="F484" i="4" s="1"/>
  <c r="C483" i="4"/>
  <c r="D483" i="4" s="1"/>
  <c r="E483" i="4" s="1"/>
  <c r="F483" i="4" s="1"/>
  <c r="J483" i="4"/>
  <c r="J482" i="4"/>
  <c r="C482" i="4"/>
  <c r="D482" i="4" s="1"/>
  <c r="E482" i="4" s="1"/>
  <c r="F482" i="4" s="1"/>
  <c r="J481" i="4"/>
  <c r="C481" i="4"/>
  <c r="D481" i="4" s="1"/>
  <c r="E481" i="4" s="1"/>
  <c r="F481" i="4" s="1"/>
  <c r="J480" i="4"/>
  <c r="C480" i="4"/>
  <c r="D480" i="4" s="1"/>
  <c r="E480" i="4" s="1"/>
  <c r="F480" i="4" s="1"/>
  <c r="J479" i="4"/>
  <c r="C479" i="4"/>
  <c r="D479" i="4" s="1"/>
  <c r="E479" i="4" s="1"/>
  <c r="F479" i="4" s="1"/>
  <c r="J478" i="4"/>
  <c r="C478" i="4"/>
  <c r="D478" i="4" s="1"/>
  <c r="E478" i="4" s="1"/>
  <c r="F478" i="4" s="1"/>
  <c r="J477" i="4"/>
  <c r="C477" i="4"/>
  <c r="D477" i="4" s="1"/>
  <c r="E477" i="4" s="1"/>
  <c r="F477" i="4" s="1"/>
  <c r="C476" i="4"/>
  <c r="D476" i="4" s="1"/>
  <c r="E476" i="4" s="1"/>
  <c r="F476" i="4" s="1"/>
  <c r="J476" i="4"/>
  <c r="J475" i="4"/>
  <c r="C475" i="4"/>
  <c r="D475" i="4" s="1"/>
  <c r="E475" i="4" s="1"/>
  <c r="F475" i="4" s="1"/>
  <c r="C474" i="4"/>
  <c r="D474" i="4" s="1"/>
  <c r="E474" i="4" s="1"/>
  <c r="F474" i="4" s="1"/>
  <c r="J474" i="4"/>
  <c r="J473" i="4"/>
  <c r="C473" i="4"/>
  <c r="D473" i="4" s="1"/>
  <c r="E473" i="4" s="1"/>
  <c r="F473" i="4" s="1"/>
  <c r="J472" i="4"/>
  <c r="C472" i="4"/>
  <c r="D472" i="4" s="1"/>
  <c r="E472" i="4" s="1"/>
  <c r="F472" i="4" s="1"/>
  <c r="C471" i="4"/>
  <c r="D471" i="4" s="1"/>
  <c r="E471" i="4" s="1"/>
  <c r="F471" i="4" s="1"/>
  <c r="J471" i="4"/>
  <c r="J470" i="4"/>
  <c r="C470" i="4"/>
  <c r="D470" i="4" s="1"/>
  <c r="E470" i="4" s="1"/>
  <c r="F470" i="4" s="1"/>
  <c r="J469" i="4"/>
  <c r="C469" i="4"/>
  <c r="D469" i="4" s="1"/>
  <c r="E469" i="4" s="1"/>
  <c r="F469" i="4" s="1"/>
  <c r="J468" i="4"/>
  <c r="C468" i="4"/>
  <c r="D468" i="4" s="1"/>
  <c r="E468" i="4" s="1"/>
  <c r="F468" i="4" s="1"/>
  <c r="J467" i="4"/>
  <c r="C467" i="4"/>
  <c r="D467" i="4" s="1"/>
  <c r="E467" i="4" s="1"/>
  <c r="F467" i="4" s="1"/>
  <c r="J466" i="4"/>
  <c r="C466" i="4"/>
  <c r="D466" i="4" s="1"/>
  <c r="E466" i="4" s="1"/>
  <c r="F466" i="4" s="1"/>
  <c r="J465" i="4"/>
  <c r="C465" i="4"/>
  <c r="D465" i="4" s="1"/>
  <c r="E465" i="4" s="1"/>
  <c r="F465" i="4" s="1"/>
  <c r="J464" i="4"/>
  <c r="C464" i="4"/>
  <c r="D464" i="4" s="1"/>
  <c r="E464" i="4" s="1"/>
  <c r="F464" i="4" s="1"/>
  <c r="J463" i="4"/>
  <c r="C463" i="4"/>
  <c r="D463" i="4" s="1"/>
  <c r="E463" i="4" s="1"/>
  <c r="F463" i="4" s="1"/>
  <c r="J462" i="4"/>
  <c r="C462" i="4"/>
  <c r="D462" i="4" s="1"/>
  <c r="E462" i="4" s="1"/>
  <c r="F462" i="4" s="1"/>
  <c r="J461" i="4"/>
  <c r="C461" i="4"/>
  <c r="D461" i="4" s="1"/>
  <c r="E461" i="4" s="1"/>
  <c r="F461" i="4" s="1"/>
  <c r="J460" i="4"/>
  <c r="C460" i="4"/>
  <c r="D460" i="4" s="1"/>
  <c r="E460" i="4" s="1"/>
  <c r="F460" i="4" s="1"/>
  <c r="J459" i="4"/>
  <c r="C459" i="4"/>
  <c r="D459" i="4" s="1"/>
  <c r="E459" i="4" s="1"/>
  <c r="F459" i="4" s="1"/>
  <c r="J458" i="4"/>
  <c r="C458" i="4"/>
  <c r="D458" i="4" s="1"/>
  <c r="E458" i="4" s="1"/>
  <c r="F458" i="4" s="1"/>
  <c r="J457" i="4"/>
  <c r="C457" i="4"/>
  <c r="D457" i="4" s="1"/>
  <c r="E457" i="4" s="1"/>
  <c r="F457" i="4" s="1"/>
  <c r="J456" i="4"/>
  <c r="C456" i="4"/>
  <c r="D456" i="4" s="1"/>
  <c r="E456" i="4" s="1"/>
  <c r="F456" i="4" s="1"/>
  <c r="J455" i="4"/>
  <c r="C455" i="4"/>
  <c r="D455" i="4" s="1"/>
  <c r="E455" i="4" s="1"/>
  <c r="F455" i="4" s="1"/>
  <c r="J454" i="4"/>
  <c r="C454" i="4"/>
  <c r="D454" i="4" s="1"/>
  <c r="E454" i="4" s="1"/>
  <c r="F454" i="4" s="1"/>
  <c r="J453" i="4"/>
  <c r="C453" i="4"/>
  <c r="D453" i="4" s="1"/>
  <c r="E453" i="4" s="1"/>
  <c r="F453" i="4" s="1"/>
  <c r="C452" i="4"/>
  <c r="D452" i="4" s="1"/>
  <c r="E452" i="4" s="1"/>
  <c r="F452" i="4" s="1"/>
  <c r="J452" i="4"/>
  <c r="C451" i="4"/>
  <c r="D451" i="4" s="1"/>
  <c r="E451" i="4" s="1"/>
  <c r="F451" i="4" s="1"/>
  <c r="J451" i="4"/>
  <c r="J450" i="4"/>
  <c r="C450" i="4"/>
  <c r="D450" i="4" s="1"/>
  <c r="E450" i="4" s="1"/>
  <c r="F450" i="4" s="1"/>
  <c r="J449" i="4"/>
  <c r="C449" i="4"/>
  <c r="D449" i="4" s="1"/>
  <c r="E449" i="4" s="1"/>
  <c r="F449" i="4" s="1"/>
  <c r="J448" i="4"/>
  <c r="C448" i="4"/>
  <c r="D448" i="4" s="1"/>
  <c r="E448" i="4" s="1"/>
  <c r="F448" i="4" s="1"/>
  <c r="J447" i="4"/>
  <c r="C447" i="4"/>
  <c r="D447" i="4" s="1"/>
  <c r="E447" i="4" s="1"/>
  <c r="F447" i="4" s="1"/>
  <c r="J446" i="4"/>
  <c r="C446" i="4"/>
  <c r="D446" i="4" s="1"/>
  <c r="E446" i="4" s="1"/>
  <c r="F446" i="4" s="1"/>
  <c r="J445" i="4"/>
  <c r="C445" i="4"/>
  <c r="D445" i="4" s="1"/>
  <c r="E445" i="4" s="1"/>
  <c r="F445" i="4" s="1"/>
  <c r="C444" i="4"/>
  <c r="D444" i="4" s="1"/>
  <c r="E444" i="4" s="1"/>
  <c r="F444" i="4" s="1"/>
  <c r="J444" i="4"/>
  <c r="C443" i="4"/>
  <c r="D443" i="4" s="1"/>
  <c r="E443" i="4" s="1"/>
  <c r="F443" i="4" s="1"/>
  <c r="J443" i="4"/>
  <c r="C442" i="4"/>
  <c r="D442" i="4" s="1"/>
  <c r="E442" i="4" s="1"/>
  <c r="F442" i="4" s="1"/>
  <c r="J442" i="4"/>
  <c r="J441" i="4"/>
  <c r="C441" i="4"/>
  <c r="D441" i="4" s="1"/>
  <c r="E441" i="4" s="1"/>
  <c r="F441" i="4" s="1"/>
  <c r="J440" i="4"/>
  <c r="C440" i="4"/>
  <c r="D440" i="4" s="1"/>
  <c r="E440" i="4" s="1"/>
  <c r="F440" i="4" s="1"/>
  <c r="J439" i="4"/>
  <c r="C439" i="4"/>
  <c r="D439" i="4" s="1"/>
  <c r="E439" i="4" s="1"/>
  <c r="F439" i="4" s="1"/>
  <c r="J438" i="4"/>
  <c r="C438" i="4"/>
  <c r="D438" i="4" s="1"/>
  <c r="E438" i="4" s="1"/>
  <c r="F438" i="4" s="1"/>
  <c r="J437" i="4"/>
  <c r="C437" i="4"/>
  <c r="D437" i="4" s="1"/>
  <c r="E437" i="4" s="1"/>
  <c r="F437" i="4" s="1"/>
  <c r="J436" i="4"/>
  <c r="C436" i="4"/>
  <c r="D436" i="4" s="1"/>
  <c r="E436" i="4" s="1"/>
  <c r="F436" i="4" s="1"/>
  <c r="J435" i="4"/>
  <c r="C435" i="4"/>
  <c r="D435" i="4" s="1"/>
  <c r="E435" i="4" s="1"/>
  <c r="F435" i="4" s="1"/>
  <c r="J434" i="4"/>
  <c r="C434" i="4"/>
  <c r="D434" i="4" s="1"/>
  <c r="E434" i="4" s="1"/>
  <c r="F434" i="4" s="1"/>
  <c r="J433" i="4"/>
  <c r="C433" i="4"/>
  <c r="D433" i="4" s="1"/>
  <c r="E433" i="4" s="1"/>
  <c r="F433" i="4" s="1"/>
  <c r="J432" i="4"/>
  <c r="C432" i="4"/>
  <c r="D432" i="4" s="1"/>
  <c r="E432" i="4" s="1"/>
  <c r="F432" i="4" s="1"/>
  <c r="J431" i="4"/>
  <c r="C431" i="4"/>
  <c r="D431" i="4" s="1"/>
  <c r="E431" i="4" s="1"/>
  <c r="F431" i="4" s="1"/>
  <c r="J430" i="4"/>
  <c r="C430" i="4"/>
  <c r="D430" i="4" s="1"/>
  <c r="E430" i="4" s="1"/>
  <c r="F430" i="4" s="1"/>
  <c r="J429" i="4"/>
  <c r="C429" i="4"/>
  <c r="D429" i="4" s="1"/>
  <c r="E429" i="4" s="1"/>
  <c r="F429" i="4" s="1"/>
  <c r="J428" i="4"/>
  <c r="C428" i="4"/>
  <c r="D428" i="4" s="1"/>
  <c r="E428" i="4" s="1"/>
  <c r="F428" i="4" s="1"/>
  <c r="J427" i="4"/>
  <c r="C427" i="4"/>
  <c r="D427" i="4" s="1"/>
  <c r="E427" i="4" s="1"/>
  <c r="F427" i="4" s="1"/>
  <c r="J426" i="4"/>
  <c r="C426" i="4"/>
  <c r="D426" i="4" s="1"/>
  <c r="E426" i="4" s="1"/>
  <c r="F426" i="4" s="1"/>
  <c r="J425" i="4"/>
  <c r="C425" i="4"/>
  <c r="D425" i="4" s="1"/>
  <c r="E425" i="4" s="1"/>
  <c r="F425" i="4" s="1"/>
  <c r="J424" i="4"/>
  <c r="C424" i="4"/>
  <c r="D424" i="4" s="1"/>
  <c r="E424" i="4" s="1"/>
  <c r="F424" i="4" s="1"/>
  <c r="J423" i="4"/>
  <c r="C423" i="4"/>
  <c r="D423" i="4" s="1"/>
  <c r="E423" i="4" s="1"/>
  <c r="F423" i="4" s="1"/>
  <c r="J422" i="4"/>
  <c r="C422" i="4"/>
  <c r="D422" i="4" s="1"/>
  <c r="E422" i="4" s="1"/>
  <c r="F422" i="4" s="1"/>
  <c r="J421" i="4"/>
  <c r="C421" i="4"/>
  <c r="D421" i="4" s="1"/>
  <c r="E421" i="4" s="1"/>
  <c r="F421" i="4" s="1"/>
  <c r="J420" i="4"/>
  <c r="C420" i="4"/>
  <c r="D420" i="4" s="1"/>
  <c r="E420" i="4" s="1"/>
  <c r="F420" i="4" s="1"/>
  <c r="J419" i="4"/>
  <c r="C419" i="4"/>
  <c r="D419" i="4" s="1"/>
  <c r="E419" i="4" s="1"/>
  <c r="F419" i="4" s="1"/>
  <c r="J418" i="4"/>
  <c r="C418" i="4"/>
  <c r="D418" i="4" s="1"/>
  <c r="E418" i="4" s="1"/>
  <c r="F418" i="4" s="1"/>
  <c r="C417" i="4"/>
  <c r="D417" i="4" s="1"/>
  <c r="E417" i="4" s="1"/>
  <c r="F417" i="4" s="1"/>
  <c r="J417" i="4"/>
  <c r="C416" i="4"/>
  <c r="D416" i="4" s="1"/>
  <c r="E416" i="4" s="1"/>
  <c r="F416" i="4" s="1"/>
  <c r="J416" i="4"/>
  <c r="J415" i="4"/>
  <c r="C415" i="4"/>
  <c r="D415" i="4" s="1"/>
  <c r="E415" i="4" s="1"/>
  <c r="F415" i="4" s="1"/>
  <c r="J414" i="4"/>
  <c r="C414" i="4"/>
  <c r="D414" i="4" s="1"/>
  <c r="E414" i="4" s="1"/>
  <c r="F414" i="4" s="1"/>
  <c r="J413" i="4"/>
  <c r="C413" i="4"/>
  <c r="D413" i="4" s="1"/>
  <c r="E413" i="4" s="1"/>
  <c r="F413" i="4" s="1"/>
  <c r="J412" i="4"/>
  <c r="C412" i="4"/>
  <c r="D412" i="4" s="1"/>
  <c r="E412" i="4" s="1"/>
  <c r="F412" i="4" s="1"/>
  <c r="J411" i="4"/>
  <c r="C411" i="4"/>
  <c r="D411" i="4" s="1"/>
  <c r="E411" i="4" s="1"/>
  <c r="F411" i="4" s="1"/>
  <c r="J410" i="4"/>
  <c r="C410" i="4"/>
  <c r="D410" i="4" s="1"/>
  <c r="E410" i="4" s="1"/>
  <c r="F410" i="4" s="1"/>
  <c r="J409" i="4"/>
  <c r="C409" i="4"/>
  <c r="D409" i="4" s="1"/>
  <c r="E409" i="4" s="1"/>
  <c r="F409" i="4" s="1"/>
  <c r="C408" i="4"/>
  <c r="D408" i="4" s="1"/>
  <c r="E408" i="4" s="1"/>
  <c r="F408" i="4" s="1"/>
  <c r="J408" i="4"/>
  <c r="C407" i="4"/>
  <c r="D407" i="4" s="1"/>
  <c r="E407" i="4" s="1"/>
  <c r="F407" i="4" s="1"/>
  <c r="J407" i="4"/>
  <c r="C406" i="4"/>
  <c r="D406" i="4" s="1"/>
  <c r="E406" i="4" s="1"/>
  <c r="F406" i="4" s="1"/>
  <c r="J406" i="4"/>
  <c r="J405" i="4"/>
  <c r="C405" i="4"/>
  <c r="D405" i="4" s="1"/>
  <c r="E405" i="4" s="1"/>
  <c r="F405" i="4" s="1"/>
  <c r="J404" i="4"/>
  <c r="C404" i="4"/>
  <c r="D404" i="4" s="1"/>
  <c r="E404" i="4" s="1"/>
  <c r="F404" i="4" s="1"/>
  <c r="C403" i="4"/>
  <c r="D403" i="4" s="1"/>
  <c r="E403" i="4" s="1"/>
  <c r="F403" i="4" s="1"/>
  <c r="J403" i="4"/>
  <c r="J402" i="4"/>
  <c r="C402" i="4"/>
  <c r="D402" i="4" s="1"/>
  <c r="E402" i="4" s="1"/>
  <c r="F402" i="4" s="1"/>
  <c r="J401" i="4"/>
  <c r="C401" i="4"/>
  <c r="D401" i="4" s="1"/>
  <c r="E401" i="4" s="1"/>
  <c r="F401" i="4" s="1"/>
  <c r="J400" i="4"/>
  <c r="C400" i="4"/>
  <c r="D400" i="4" s="1"/>
  <c r="E400" i="4" s="1"/>
  <c r="F400" i="4" s="1"/>
  <c r="J399" i="4"/>
  <c r="C399" i="4"/>
  <c r="D399" i="4" s="1"/>
  <c r="E399" i="4" s="1"/>
  <c r="F399" i="4" s="1"/>
  <c r="J398" i="4"/>
  <c r="C398" i="4"/>
  <c r="D398" i="4" s="1"/>
  <c r="E398" i="4" s="1"/>
  <c r="F398" i="4" s="1"/>
  <c r="J397" i="4"/>
  <c r="C397" i="4"/>
  <c r="D397" i="4" s="1"/>
  <c r="E397" i="4" s="1"/>
  <c r="F397" i="4" s="1"/>
  <c r="J396" i="4"/>
  <c r="C396" i="4"/>
  <c r="D396" i="4" s="1"/>
  <c r="E396" i="4" s="1"/>
  <c r="F396" i="4" s="1"/>
  <c r="J395" i="4"/>
  <c r="C395" i="4"/>
  <c r="D395" i="4" s="1"/>
  <c r="E395" i="4" s="1"/>
  <c r="F395" i="4" s="1"/>
  <c r="J394" i="4"/>
  <c r="C394" i="4"/>
  <c r="D394" i="4" s="1"/>
  <c r="E394" i="4" s="1"/>
  <c r="F394" i="4" s="1"/>
  <c r="J393" i="4"/>
  <c r="C393" i="4"/>
  <c r="D393" i="4" s="1"/>
  <c r="E393" i="4" s="1"/>
  <c r="F393" i="4" s="1"/>
  <c r="J392" i="4"/>
  <c r="C392" i="4"/>
  <c r="D392" i="4" s="1"/>
  <c r="E392" i="4" s="1"/>
  <c r="F392" i="4" s="1"/>
  <c r="J391" i="4"/>
  <c r="C391" i="4"/>
  <c r="D391" i="4" s="1"/>
  <c r="E391" i="4" s="1"/>
  <c r="F391" i="4" s="1"/>
  <c r="C390" i="4"/>
  <c r="D390" i="4" s="1"/>
  <c r="E390" i="4" s="1"/>
  <c r="F390" i="4" s="1"/>
  <c r="J390" i="4"/>
  <c r="J389" i="4"/>
  <c r="C389" i="4"/>
  <c r="D389" i="4" s="1"/>
  <c r="E389" i="4" s="1"/>
  <c r="F389" i="4" s="1"/>
  <c r="J388" i="4"/>
  <c r="C388" i="4"/>
  <c r="D388" i="4" s="1"/>
  <c r="E388" i="4" s="1"/>
  <c r="F388" i="4" s="1"/>
  <c r="J387" i="4"/>
  <c r="C387" i="4"/>
  <c r="D387" i="4" s="1"/>
  <c r="E387" i="4" s="1"/>
  <c r="F387" i="4" s="1"/>
  <c r="J386" i="4"/>
  <c r="C386" i="4"/>
  <c r="D386" i="4" s="1"/>
  <c r="E386" i="4" s="1"/>
  <c r="F386" i="4" s="1"/>
  <c r="J385" i="4"/>
  <c r="C385" i="4"/>
  <c r="D385" i="4" s="1"/>
  <c r="E385" i="4" s="1"/>
  <c r="F385" i="4" s="1"/>
  <c r="J384" i="4"/>
  <c r="C384" i="4"/>
  <c r="D384" i="4" s="1"/>
  <c r="E384" i="4" s="1"/>
  <c r="F384" i="4" s="1"/>
  <c r="J383" i="4"/>
  <c r="C383" i="4"/>
  <c r="D383" i="4" s="1"/>
  <c r="E383" i="4" s="1"/>
  <c r="F383" i="4" s="1"/>
  <c r="J382" i="4"/>
  <c r="C382" i="4"/>
  <c r="D382" i="4" s="1"/>
  <c r="E382" i="4" s="1"/>
  <c r="F382" i="4" s="1"/>
  <c r="J381" i="4"/>
  <c r="C381" i="4"/>
  <c r="D381" i="4" s="1"/>
  <c r="E381" i="4" s="1"/>
  <c r="F381" i="4" s="1"/>
  <c r="J380" i="4"/>
  <c r="C380" i="4"/>
  <c r="D380" i="4" s="1"/>
  <c r="E380" i="4" s="1"/>
  <c r="F380" i="4" s="1"/>
  <c r="J379" i="4"/>
  <c r="C379" i="4"/>
  <c r="D379" i="4" s="1"/>
  <c r="E379" i="4" s="1"/>
  <c r="F379" i="4" s="1"/>
  <c r="J378" i="4"/>
  <c r="C378" i="4"/>
  <c r="D378" i="4" s="1"/>
  <c r="E378" i="4" s="1"/>
  <c r="F378" i="4" s="1"/>
  <c r="C377" i="4"/>
  <c r="D377" i="4" s="1"/>
  <c r="E377" i="4" s="1"/>
  <c r="F377" i="4" s="1"/>
  <c r="J377" i="4"/>
  <c r="J376" i="4"/>
  <c r="C376" i="4"/>
  <c r="D376" i="4" s="1"/>
  <c r="E376" i="4" s="1"/>
  <c r="F376" i="4" s="1"/>
  <c r="J375" i="4"/>
  <c r="C375" i="4"/>
  <c r="D375" i="4" s="1"/>
  <c r="E375" i="4" s="1"/>
  <c r="F375" i="4" s="1"/>
  <c r="J374" i="4"/>
  <c r="C374" i="4"/>
  <c r="D374" i="4" s="1"/>
  <c r="E374" i="4" s="1"/>
  <c r="F374" i="4" s="1"/>
  <c r="J373" i="4"/>
  <c r="C373" i="4"/>
  <c r="D373" i="4" s="1"/>
  <c r="E373" i="4" s="1"/>
  <c r="F373" i="4" s="1"/>
  <c r="J372" i="4"/>
  <c r="C372" i="4"/>
  <c r="D372" i="4" s="1"/>
  <c r="E372" i="4" s="1"/>
  <c r="F372" i="4" s="1"/>
  <c r="J371" i="4"/>
  <c r="C371" i="4"/>
  <c r="D371" i="4" s="1"/>
  <c r="E371" i="4" s="1"/>
  <c r="F371" i="4" s="1"/>
  <c r="J370" i="4"/>
  <c r="C370" i="4"/>
  <c r="D370" i="4" s="1"/>
  <c r="E370" i="4" s="1"/>
  <c r="F370" i="4" s="1"/>
  <c r="J369" i="4"/>
  <c r="C369" i="4"/>
  <c r="D369" i="4" s="1"/>
  <c r="E369" i="4" s="1"/>
  <c r="F369" i="4" s="1"/>
  <c r="J368" i="4"/>
  <c r="C368" i="4"/>
  <c r="D368" i="4" s="1"/>
  <c r="E368" i="4" s="1"/>
  <c r="F368" i="4" s="1"/>
  <c r="J367" i="4"/>
  <c r="C367" i="4"/>
  <c r="D367" i="4" s="1"/>
  <c r="E367" i="4" s="1"/>
  <c r="F367" i="4" s="1"/>
  <c r="J366" i="4"/>
  <c r="C366" i="4"/>
  <c r="D366" i="4" s="1"/>
  <c r="E366" i="4" s="1"/>
  <c r="F366" i="4" s="1"/>
  <c r="J365" i="4"/>
  <c r="C365" i="4"/>
  <c r="D365" i="4" s="1"/>
  <c r="E365" i="4" s="1"/>
  <c r="F365" i="4" s="1"/>
  <c r="J364" i="4"/>
  <c r="C364" i="4"/>
  <c r="D364" i="4" s="1"/>
  <c r="E364" i="4" s="1"/>
  <c r="F364" i="4" s="1"/>
  <c r="J363" i="4"/>
  <c r="C363" i="4"/>
  <c r="D363" i="4" s="1"/>
  <c r="E363" i="4" s="1"/>
  <c r="F363" i="4" s="1"/>
  <c r="J362" i="4"/>
  <c r="C362" i="4"/>
  <c r="D362" i="4" s="1"/>
  <c r="E362" i="4" s="1"/>
  <c r="F362" i="4" s="1"/>
  <c r="J361" i="4"/>
  <c r="C361" i="4"/>
  <c r="D361" i="4" s="1"/>
  <c r="E361" i="4" s="1"/>
  <c r="F361" i="4" s="1"/>
  <c r="J360" i="4"/>
  <c r="C360" i="4"/>
  <c r="D360" i="4" s="1"/>
  <c r="E360" i="4" s="1"/>
  <c r="F360" i="4" s="1"/>
  <c r="J359" i="4"/>
  <c r="C359" i="4"/>
  <c r="D359" i="4" s="1"/>
  <c r="E359" i="4" s="1"/>
  <c r="F359" i="4" s="1"/>
  <c r="J358" i="4"/>
  <c r="C358" i="4"/>
  <c r="D358" i="4" s="1"/>
  <c r="E358" i="4" s="1"/>
  <c r="F358" i="4" s="1"/>
  <c r="J357" i="4"/>
  <c r="C357" i="4"/>
  <c r="D357" i="4" s="1"/>
  <c r="E357" i="4" s="1"/>
  <c r="F357" i="4" s="1"/>
  <c r="J356" i="4"/>
  <c r="C356" i="4"/>
  <c r="D356" i="4" s="1"/>
  <c r="E356" i="4" s="1"/>
  <c r="F356" i="4" s="1"/>
  <c r="J355" i="4"/>
  <c r="C355" i="4"/>
  <c r="D355" i="4" s="1"/>
  <c r="E355" i="4" s="1"/>
  <c r="F355" i="4" s="1"/>
  <c r="J354" i="4"/>
  <c r="C354" i="4"/>
  <c r="D354" i="4" s="1"/>
  <c r="E354" i="4" s="1"/>
  <c r="F354" i="4" s="1"/>
  <c r="J353" i="4"/>
  <c r="C353" i="4"/>
  <c r="D353" i="4" s="1"/>
  <c r="E353" i="4" s="1"/>
  <c r="F353" i="4" s="1"/>
  <c r="J352" i="4"/>
  <c r="C352" i="4"/>
  <c r="D352" i="4" s="1"/>
  <c r="E352" i="4" s="1"/>
  <c r="F352" i="4" s="1"/>
  <c r="J351" i="4"/>
  <c r="C351" i="4"/>
  <c r="D351" i="4" s="1"/>
  <c r="E351" i="4" s="1"/>
  <c r="F351" i="4" s="1"/>
  <c r="J350" i="4"/>
  <c r="C350" i="4"/>
  <c r="D350" i="4" s="1"/>
  <c r="E350" i="4" s="1"/>
  <c r="F350" i="4" s="1"/>
  <c r="C349" i="4"/>
  <c r="D349" i="4" s="1"/>
  <c r="E349" i="4" s="1"/>
  <c r="F349" i="4" s="1"/>
  <c r="J349" i="4"/>
  <c r="J348" i="4"/>
  <c r="C348" i="4"/>
  <c r="D348" i="4" s="1"/>
  <c r="E348" i="4" s="1"/>
  <c r="F348" i="4" s="1"/>
  <c r="J347" i="4"/>
  <c r="C347" i="4"/>
  <c r="D347" i="4" s="1"/>
  <c r="E347" i="4" s="1"/>
  <c r="F347" i="4" s="1"/>
  <c r="J346" i="4"/>
  <c r="C346" i="4"/>
  <c r="D346" i="4" s="1"/>
  <c r="E346" i="4" s="1"/>
  <c r="F346" i="4" s="1"/>
  <c r="J345" i="4"/>
  <c r="C345" i="4"/>
  <c r="D345" i="4" s="1"/>
  <c r="E345" i="4" s="1"/>
  <c r="F345" i="4" s="1"/>
  <c r="J344" i="4"/>
  <c r="C344" i="4"/>
  <c r="D344" i="4" s="1"/>
  <c r="E344" i="4" s="1"/>
  <c r="F344" i="4" s="1"/>
  <c r="J343" i="4"/>
  <c r="C343" i="4"/>
  <c r="D343" i="4" s="1"/>
  <c r="E343" i="4" s="1"/>
  <c r="F343" i="4" s="1"/>
  <c r="C342" i="4"/>
  <c r="D342" i="4" s="1"/>
  <c r="E342" i="4" s="1"/>
  <c r="F342" i="4" s="1"/>
  <c r="J342" i="4"/>
  <c r="J341" i="4"/>
  <c r="C341" i="4"/>
  <c r="D341" i="4" s="1"/>
  <c r="E341" i="4" s="1"/>
  <c r="F341" i="4" s="1"/>
  <c r="C340" i="4"/>
  <c r="D340" i="4" s="1"/>
  <c r="E340" i="4" s="1"/>
  <c r="F340" i="4" s="1"/>
  <c r="J340" i="4"/>
  <c r="J339" i="4"/>
  <c r="C339" i="4"/>
  <c r="D339" i="4" s="1"/>
  <c r="E339" i="4" s="1"/>
  <c r="F339" i="4" s="1"/>
  <c r="J338" i="4"/>
  <c r="C338" i="4"/>
  <c r="D338" i="4" s="1"/>
  <c r="E338" i="4" s="1"/>
  <c r="F338" i="4" s="1"/>
  <c r="J337" i="4"/>
  <c r="C337" i="4"/>
  <c r="D337" i="4" s="1"/>
  <c r="E337" i="4" s="1"/>
  <c r="F337" i="4" s="1"/>
  <c r="J336" i="4"/>
  <c r="C336" i="4"/>
  <c r="D336" i="4" s="1"/>
  <c r="E336" i="4" s="1"/>
  <c r="F336" i="4" s="1"/>
  <c r="J335" i="4"/>
  <c r="C335" i="4"/>
  <c r="D335" i="4" s="1"/>
  <c r="E335" i="4" s="1"/>
  <c r="F335" i="4" s="1"/>
  <c r="J334" i="4"/>
  <c r="C334" i="4"/>
  <c r="D334" i="4" s="1"/>
  <c r="E334" i="4" s="1"/>
  <c r="F334" i="4" s="1"/>
  <c r="J333" i="4"/>
  <c r="C333" i="4"/>
  <c r="D333" i="4" s="1"/>
  <c r="E333" i="4" s="1"/>
  <c r="F333" i="4" s="1"/>
  <c r="C332" i="4"/>
  <c r="D332" i="4" s="1"/>
  <c r="E332" i="4" s="1"/>
  <c r="F332" i="4" s="1"/>
  <c r="J332" i="4"/>
  <c r="J331" i="4"/>
  <c r="C331" i="4"/>
  <c r="D331" i="4" s="1"/>
  <c r="E331" i="4" s="1"/>
  <c r="F331" i="4" s="1"/>
  <c r="J330" i="4"/>
  <c r="C330" i="4"/>
  <c r="D330" i="4" s="1"/>
  <c r="E330" i="4" s="1"/>
  <c r="F330" i="4" s="1"/>
  <c r="J329" i="4"/>
  <c r="C329" i="4"/>
  <c r="D329" i="4" s="1"/>
  <c r="E329" i="4" s="1"/>
  <c r="F329" i="4" s="1"/>
  <c r="J328" i="4"/>
  <c r="C328" i="4"/>
  <c r="D328" i="4" s="1"/>
  <c r="E328" i="4" s="1"/>
  <c r="F328" i="4" s="1"/>
  <c r="J327" i="4"/>
  <c r="C327" i="4"/>
  <c r="D327" i="4" s="1"/>
  <c r="E327" i="4" s="1"/>
  <c r="F327" i="4" s="1"/>
  <c r="J326" i="4"/>
  <c r="C326" i="4"/>
  <c r="D326" i="4" s="1"/>
  <c r="E326" i="4" s="1"/>
  <c r="F326" i="4" s="1"/>
  <c r="J325" i="4"/>
  <c r="C325" i="4"/>
  <c r="D325" i="4" s="1"/>
  <c r="E325" i="4" s="1"/>
  <c r="F325" i="4" s="1"/>
  <c r="J324" i="4"/>
  <c r="C324" i="4"/>
  <c r="D324" i="4" s="1"/>
  <c r="E324" i="4" s="1"/>
  <c r="F324" i="4" s="1"/>
  <c r="J323" i="4"/>
  <c r="C323" i="4"/>
  <c r="D323" i="4" s="1"/>
  <c r="E323" i="4" s="1"/>
  <c r="F323" i="4" s="1"/>
  <c r="J322" i="4"/>
  <c r="C322" i="4"/>
  <c r="D322" i="4" s="1"/>
  <c r="E322" i="4" s="1"/>
  <c r="F322" i="4" s="1"/>
  <c r="J321" i="4"/>
  <c r="C321" i="4"/>
  <c r="D321" i="4" s="1"/>
  <c r="E321" i="4" s="1"/>
  <c r="F321" i="4" s="1"/>
  <c r="J320" i="4"/>
  <c r="C320" i="4"/>
  <c r="D320" i="4" s="1"/>
  <c r="E320" i="4" s="1"/>
  <c r="F320" i="4" s="1"/>
  <c r="J319" i="4"/>
  <c r="C319" i="4"/>
  <c r="D319" i="4" s="1"/>
  <c r="E319" i="4" s="1"/>
  <c r="F319" i="4" s="1"/>
  <c r="J318" i="4"/>
  <c r="C318" i="4"/>
  <c r="D318" i="4" s="1"/>
  <c r="E318" i="4" s="1"/>
  <c r="F318" i="4" s="1"/>
  <c r="C317" i="4"/>
  <c r="D317" i="4" s="1"/>
  <c r="E317" i="4" s="1"/>
  <c r="F317" i="4" s="1"/>
  <c r="J317" i="4"/>
  <c r="C316" i="4"/>
  <c r="D316" i="4" s="1"/>
  <c r="E316" i="4" s="1"/>
  <c r="F316" i="4" s="1"/>
  <c r="J316" i="4"/>
  <c r="J315" i="4"/>
  <c r="C315" i="4"/>
  <c r="D315" i="4" s="1"/>
  <c r="E315" i="4" s="1"/>
  <c r="F315" i="4" s="1"/>
  <c r="J314" i="4"/>
  <c r="C314" i="4"/>
  <c r="D314" i="4" s="1"/>
  <c r="E314" i="4" s="1"/>
  <c r="F314" i="4" s="1"/>
  <c r="J313" i="4"/>
  <c r="C313" i="4"/>
  <c r="D313" i="4" s="1"/>
  <c r="E313" i="4" s="1"/>
  <c r="F313" i="4" s="1"/>
  <c r="J312" i="4"/>
  <c r="C312" i="4"/>
  <c r="D312" i="4" s="1"/>
  <c r="E312" i="4" s="1"/>
  <c r="F312" i="4" s="1"/>
  <c r="J311" i="4"/>
  <c r="C311" i="4"/>
  <c r="D311" i="4" s="1"/>
  <c r="E311" i="4" s="1"/>
  <c r="F311" i="4" s="1"/>
  <c r="J310" i="4"/>
  <c r="C310" i="4"/>
  <c r="D310" i="4" s="1"/>
  <c r="E310" i="4" s="1"/>
  <c r="F310" i="4" s="1"/>
  <c r="C309" i="4"/>
  <c r="D309" i="4" s="1"/>
  <c r="E309" i="4" s="1"/>
  <c r="F309" i="4" s="1"/>
  <c r="J309" i="4"/>
  <c r="C308" i="4"/>
  <c r="D308" i="4" s="1"/>
  <c r="E308" i="4" s="1"/>
  <c r="F308" i="4" s="1"/>
  <c r="J308" i="4"/>
  <c r="C307" i="4"/>
  <c r="D307" i="4" s="1"/>
  <c r="E307" i="4" s="1"/>
  <c r="F307" i="4" s="1"/>
  <c r="J307" i="4"/>
  <c r="J306" i="4"/>
  <c r="C306" i="4"/>
  <c r="D306" i="4" s="1"/>
  <c r="E306" i="4" s="1"/>
  <c r="F306" i="4" s="1"/>
  <c r="J305" i="4"/>
  <c r="C305" i="4"/>
  <c r="D305" i="4" s="1"/>
  <c r="E305" i="4" s="1"/>
  <c r="F305" i="4" s="1"/>
  <c r="J304" i="4"/>
  <c r="C304" i="4"/>
  <c r="D304" i="4" s="1"/>
  <c r="E304" i="4" s="1"/>
  <c r="F304" i="4" s="1"/>
  <c r="J303" i="4"/>
  <c r="C303" i="4"/>
  <c r="D303" i="4" s="1"/>
  <c r="E303" i="4" s="1"/>
  <c r="F303" i="4" s="1"/>
  <c r="J302" i="4"/>
  <c r="C302" i="4"/>
  <c r="D302" i="4" s="1"/>
  <c r="E302" i="4" s="1"/>
  <c r="F302" i="4" s="1"/>
  <c r="J301" i="4"/>
  <c r="C301" i="4"/>
  <c r="D301" i="4" s="1"/>
  <c r="E301" i="4" s="1"/>
  <c r="F301" i="4" s="1"/>
  <c r="J300" i="4"/>
  <c r="C300" i="4"/>
  <c r="D300" i="4" s="1"/>
  <c r="E300" i="4" s="1"/>
  <c r="F300" i="4" s="1"/>
  <c r="J299" i="4"/>
  <c r="C299" i="4"/>
  <c r="D299" i="4" s="1"/>
  <c r="E299" i="4" s="1"/>
  <c r="F299" i="4" s="1"/>
  <c r="J298" i="4"/>
  <c r="C298" i="4"/>
  <c r="D298" i="4" s="1"/>
  <c r="E298" i="4" s="1"/>
  <c r="F298" i="4" s="1"/>
  <c r="J297" i="4"/>
  <c r="C297" i="4"/>
  <c r="D297" i="4" s="1"/>
  <c r="E297" i="4" s="1"/>
  <c r="F297" i="4" s="1"/>
  <c r="J296" i="4"/>
  <c r="C296" i="4"/>
  <c r="D296" i="4" s="1"/>
  <c r="E296" i="4" s="1"/>
  <c r="F296" i="4" s="1"/>
  <c r="J295" i="4"/>
  <c r="C295" i="4"/>
  <c r="D295" i="4" s="1"/>
  <c r="E295" i="4" s="1"/>
  <c r="F295" i="4" s="1"/>
  <c r="J294" i="4"/>
  <c r="C294" i="4"/>
  <c r="D294" i="4" s="1"/>
  <c r="E294" i="4" s="1"/>
  <c r="F294" i="4" s="1"/>
  <c r="J293" i="4"/>
  <c r="C293" i="4"/>
  <c r="D293" i="4" s="1"/>
  <c r="E293" i="4" s="1"/>
  <c r="F293" i="4" s="1"/>
  <c r="J292" i="4"/>
  <c r="C292" i="4"/>
  <c r="D292" i="4" s="1"/>
  <c r="E292" i="4" s="1"/>
  <c r="F292" i="4" s="1"/>
  <c r="J291" i="4"/>
  <c r="C291" i="4"/>
  <c r="D291" i="4" s="1"/>
  <c r="E291" i="4" s="1"/>
  <c r="F291" i="4" s="1"/>
  <c r="J290" i="4"/>
  <c r="C290" i="4"/>
  <c r="D290" i="4" s="1"/>
  <c r="E290" i="4" s="1"/>
  <c r="F290" i="4" s="1"/>
  <c r="J289" i="4"/>
  <c r="C289" i="4"/>
  <c r="D289" i="4" s="1"/>
  <c r="E289" i="4" s="1"/>
  <c r="F289" i="4" s="1"/>
  <c r="J288" i="4"/>
  <c r="C288" i="4"/>
  <c r="D288" i="4" s="1"/>
  <c r="E288" i="4" s="1"/>
  <c r="F288" i="4" s="1"/>
  <c r="J287" i="4"/>
  <c r="C287" i="4"/>
  <c r="D287" i="4" s="1"/>
  <c r="E287" i="4" s="1"/>
  <c r="F287" i="4" s="1"/>
  <c r="J286" i="4"/>
  <c r="C286" i="4"/>
  <c r="D286" i="4" s="1"/>
  <c r="E286" i="4" s="1"/>
  <c r="F286" i="4" s="1"/>
  <c r="J285" i="4"/>
  <c r="C285" i="4"/>
  <c r="D285" i="4" s="1"/>
  <c r="E285" i="4" s="1"/>
  <c r="F285" i="4" s="1"/>
  <c r="J284" i="4"/>
  <c r="C284" i="4"/>
  <c r="D284" i="4" s="1"/>
  <c r="E284" i="4" s="1"/>
  <c r="F284" i="4" s="1"/>
  <c r="J283" i="4"/>
  <c r="C283" i="4"/>
  <c r="D283" i="4" s="1"/>
  <c r="E283" i="4" s="1"/>
  <c r="F283" i="4" s="1"/>
  <c r="C282" i="4"/>
  <c r="D282" i="4" s="1"/>
  <c r="E282" i="4" s="1"/>
  <c r="F282" i="4" s="1"/>
  <c r="J282" i="4"/>
  <c r="C281" i="4"/>
  <c r="D281" i="4" s="1"/>
  <c r="E281" i="4" s="1"/>
  <c r="F281" i="4" s="1"/>
  <c r="J281" i="4"/>
  <c r="J280" i="4"/>
  <c r="C280" i="4"/>
  <c r="D280" i="4" s="1"/>
  <c r="E280" i="4" s="1"/>
  <c r="F280" i="4" s="1"/>
  <c r="J279" i="4"/>
  <c r="C279" i="4"/>
  <c r="D279" i="4" s="1"/>
  <c r="E279" i="4" s="1"/>
  <c r="F279" i="4" s="1"/>
  <c r="J278" i="4"/>
  <c r="C278" i="4"/>
  <c r="D278" i="4" s="1"/>
  <c r="E278" i="4" s="1"/>
  <c r="F278" i="4" s="1"/>
  <c r="J277" i="4"/>
  <c r="C277" i="4"/>
  <c r="D277" i="4" s="1"/>
  <c r="E277" i="4" s="1"/>
  <c r="F277" i="4" s="1"/>
  <c r="J276" i="4"/>
  <c r="C276" i="4"/>
  <c r="D276" i="4" s="1"/>
  <c r="E276" i="4" s="1"/>
  <c r="F276" i="4" s="1"/>
  <c r="J275" i="4"/>
  <c r="C275" i="4"/>
  <c r="D275" i="4" s="1"/>
  <c r="E275" i="4" s="1"/>
  <c r="F275" i="4" s="1"/>
  <c r="J274" i="4"/>
  <c r="C274" i="4"/>
  <c r="D274" i="4" s="1"/>
  <c r="E274" i="4" s="1"/>
  <c r="F274" i="4" s="1"/>
  <c r="C273" i="4"/>
  <c r="D273" i="4" s="1"/>
  <c r="E273" i="4" s="1"/>
  <c r="F273" i="4" s="1"/>
  <c r="J273" i="4"/>
  <c r="J272" i="4"/>
  <c r="C272" i="4"/>
  <c r="D272" i="4" s="1"/>
  <c r="E272" i="4" s="1"/>
  <c r="F272" i="4" s="1"/>
  <c r="J271" i="4"/>
  <c r="C271" i="4"/>
  <c r="D271" i="4" s="1"/>
  <c r="E271" i="4" s="1"/>
  <c r="F271" i="4" s="1"/>
  <c r="J270" i="4"/>
  <c r="C270" i="4"/>
  <c r="D270" i="4" s="1"/>
  <c r="E270" i="4" s="1"/>
  <c r="F270" i="4" s="1"/>
  <c r="J269" i="4"/>
  <c r="C269" i="4"/>
  <c r="D269" i="4" s="1"/>
  <c r="E269" i="4" s="1"/>
  <c r="F269" i="4" s="1"/>
  <c r="C268" i="4"/>
  <c r="D268" i="4" s="1"/>
  <c r="E268" i="4" s="1"/>
  <c r="F268" i="4" s="1"/>
  <c r="J268" i="4"/>
  <c r="J267" i="4"/>
  <c r="C267" i="4"/>
  <c r="D267" i="4" s="1"/>
  <c r="E267" i="4" s="1"/>
  <c r="F267" i="4" s="1"/>
  <c r="J266" i="4"/>
  <c r="C266" i="4"/>
  <c r="D266" i="4" s="1"/>
  <c r="E266" i="4" s="1"/>
  <c r="F266" i="4" s="1"/>
  <c r="J265" i="4"/>
  <c r="C265" i="4"/>
  <c r="D265" i="4" s="1"/>
  <c r="E265" i="4" s="1"/>
  <c r="F265" i="4" s="1"/>
  <c r="J264" i="4"/>
  <c r="C264" i="4"/>
  <c r="D264" i="4" s="1"/>
  <c r="E264" i="4" s="1"/>
  <c r="F264" i="4" s="1"/>
  <c r="J263" i="4"/>
  <c r="C263" i="4"/>
  <c r="D263" i="4" s="1"/>
  <c r="E263" i="4" s="1"/>
  <c r="F263" i="4" s="1"/>
  <c r="J262" i="4"/>
  <c r="C262" i="4"/>
  <c r="D262" i="4" s="1"/>
  <c r="E262" i="4" s="1"/>
  <c r="F262" i="4" s="1"/>
  <c r="J261" i="4"/>
  <c r="C261" i="4"/>
  <c r="D261" i="4" s="1"/>
  <c r="E261" i="4" s="1"/>
  <c r="F261" i="4" s="1"/>
  <c r="J260" i="4"/>
  <c r="C260" i="4"/>
  <c r="D260" i="4" s="1"/>
  <c r="E260" i="4" s="1"/>
  <c r="F260" i="4" s="1"/>
  <c r="J259" i="4"/>
  <c r="C259" i="4"/>
  <c r="D259" i="4" s="1"/>
  <c r="E259" i="4" s="1"/>
  <c r="F259" i="4" s="1"/>
  <c r="J258" i="4"/>
  <c r="C258" i="4"/>
  <c r="D258" i="4" s="1"/>
  <c r="E258" i="4" s="1"/>
  <c r="F258" i="4" s="1"/>
  <c r="J257" i="4"/>
  <c r="C257" i="4"/>
  <c r="D257" i="4" s="1"/>
  <c r="E257" i="4" s="1"/>
  <c r="F257" i="4" s="1"/>
  <c r="J256" i="4"/>
  <c r="C256" i="4"/>
  <c r="D256" i="4" s="1"/>
  <c r="E256" i="4" s="1"/>
  <c r="F256" i="4" s="1"/>
  <c r="C255" i="4"/>
  <c r="D255" i="4" s="1"/>
  <c r="E255" i="4" s="1"/>
  <c r="F255" i="4" s="1"/>
  <c r="J255" i="4"/>
  <c r="J254" i="4"/>
  <c r="C254" i="4"/>
  <c r="D254" i="4" s="1"/>
  <c r="E254" i="4" s="1"/>
  <c r="F254" i="4" s="1"/>
  <c r="J253" i="4"/>
  <c r="C253" i="4"/>
  <c r="D253" i="4" s="1"/>
  <c r="E253" i="4" s="1"/>
  <c r="F253" i="4" s="1"/>
  <c r="J252" i="4"/>
  <c r="C252" i="4"/>
  <c r="D252" i="4" s="1"/>
  <c r="E252" i="4" s="1"/>
  <c r="F252" i="4" s="1"/>
  <c r="J251" i="4"/>
  <c r="C251" i="4"/>
  <c r="D251" i="4" s="1"/>
  <c r="E251" i="4" s="1"/>
  <c r="F251" i="4" s="1"/>
  <c r="J250" i="4"/>
  <c r="C250" i="4"/>
  <c r="D250" i="4" s="1"/>
  <c r="E250" i="4" s="1"/>
  <c r="F250" i="4" s="1"/>
  <c r="J249" i="4"/>
  <c r="C249" i="4"/>
  <c r="D249" i="4" s="1"/>
  <c r="E249" i="4" s="1"/>
  <c r="F249" i="4" s="1"/>
  <c r="J248" i="4"/>
  <c r="C248" i="4"/>
  <c r="D248" i="4" s="1"/>
  <c r="E248" i="4" s="1"/>
  <c r="F248" i="4" s="1"/>
  <c r="J247" i="4"/>
  <c r="C247" i="4"/>
  <c r="D247" i="4" s="1"/>
  <c r="E247" i="4" s="1"/>
  <c r="F247" i="4" s="1"/>
  <c r="J246" i="4"/>
  <c r="C246" i="4"/>
  <c r="D246" i="4" s="1"/>
  <c r="E246" i="4" s="1"/>
  <c r="F246" i="4" s="1"/>
  <c r="J245" i="4"/>
  <c r="C245" i="4"/>
  <c r="D245" i="4" s="1"/>
  <c r="E245" i="4" s="1"/>
  <c r="F245" i="4" s="1"/>
  <c r="J244" i="4"/>
  <c r="C244" i="4"/>
  <c r="D244" i="4" s="1"/>
  <c r="E244" i="4" s="1"/>
  <c r="F244" i="4" s="1"/>
  <c r="J243" i="4"/>
  <c r="C243" i="4"/>
  <c r="D243" i="4" s="1"/>
  <c r="E243" i="4" s="1"/>
  <c r="F243" i="4" s="1"/>
  <c r="J242" i="4"/>
  <c r="C242" i="4"/>
  <c r="D242" i="4" s="1"/>
  <c r="E242" i="4" s="1"/>
  <c r="F242" i="4" s="1"/>
  <c r="J241" i="4"/>
  <c r="C241" i="4"/>
  <c r="D241" i="4" s="1"/>
  <c r="E241" i="4" s="1"/>
  <c r="F241" i="4" s="1"/>
  <c r="J240" i="4"/>
  <c r="C240" i="4"/>
  <c r="D240" i="4" s="1"/>
  <c r="E240" i="4" s="1"/>
  <c r="F240" i="4" s="1"/>
  <c r="J239" i="4"/>
  <c r="C239" i="4"/>
  <c r="D239" i="4" s="1"/>
  <c r="E239" i="4" s="1"/>
  <c r="F239" i="4" s="1"/>
  <c r="C238" i="4"/>
  <c r="D238" i="4" s="1"/>
  <c r="E238" i="4" s="1"/>
  <c r="F238" i="4" s="1"/>
  <c r="J238" i="4"/>
  <c r="J237" i="4"/>
  <c r="C237" i="4"/>
  <c r="D237" i="4" s="1"/>
  <c r="E237" i="4" s="1"/>
  <c r="F237" i="4" s="1"/>
  <c r="J236" i="4"/>
  <c r="C236" i="4"/>
  <c r="D236" i="4" s="1"/>
  <c r="E236" i="4" s="1"/>
  <c r="F236" i="4" s="1"/>
  <c r="J235" i="4"/>
  <c r="C235" i="4"/>
  <c r="D235" i="4" s="1"/>
  <c r="E235" i="4" s="1"/>
  <c r="F235" i="4" s="1"/>
  <c r="J234" i="4"/>
  <c r="C234" i="4"/>
  <c r="D234" i="4" s="1"/>
  <c r="E234" i="4" s="1"/>
  <c r="F234" i="4" s="1"/>
  <c r="J233" i="4"/>
  <c r="C233" i="4"/>
  <c r="D233" i="4" s="1"/>
  <c r="E233" i="4" s="1"/>
  <c r="F233" i="4" s="1"/>
  <c r="J232" i="4"/>
  <c r="C232" i="4"/>
  <c r="D232" i="4" s="1"/>
  <c r="E232" i="4" s="1"/>
  <c r="F232" i="4" s="1"/>
  <c r="J231" i="4"/>
  <c r="C231" i="4"/>
  <c r="D231" i="4" s="1"/>
  <c r="E231" i="4" s="1"/>
  <c r="F231" i="4" s="1"/>
  <c r="J230" i="4"/>
  <c r="C230" i="4"/>
  <c r="D230" i="4" s="1"/>
  <c r="E230" i="4" s="1"/>
  <c r="F230" i="4" s="1"/>
  <c r="J229" i="4"/>
  <c r="C229" i="4"/>
  <c r="D229" i="4" s="1"/>
  <c r="E229" i="4" s="1"/>
  <c r="F229" i="4" s="1"/>
  <c r="J228" i="4"/>
  <c r="C228" i="4"/>
  <c r="D228" i="4" s="1"/>
  <c r="E228" i="4" s="1"/>
  <c r="F228" i="4" s="1"/>
  <c r="J227" i="4"/>
  <c r="C227" i="4"/>
  <c r="D227" i="4" s="1"/>
  <c r="E227" i="4" s="1"/>
  <c r="F227" i="4" s="1"/>
  <c r="J226" i="4"/>
  <c r="C226" i="4"/>
  <c r="D226" i="4" s="1"/>
  <c r="E226" i="4" s="1"/>
  <c r="F226" i="4" s="1"/>
  <c r="J225" i="4"/>
  <c r="C225" i="4"/>
  <c r="D225" i="4" s="1"/>
  <c r="E225" i="4" s="1"/>
  <c r="F225" i="4" s="1"/>
  <c r="J224" i="4"/>
  <c r="C224" i="4"/>
  <c r="D224" i="4" s="1"/>
  <c r="E224" i="4" s="1"/>
  <c r="F224" i="4" s="1"/>
  <c r="J223" i="4"/>
  <c r="C223" i="4"/>
  <c r="D223" i="4" s="1"/>
  <c r="E223" i="4" s="1"/>
  <c r="F223" i="4" s="1"/>
  <c r="J222" i="4"/>
  <c r="C222" i="4"/>
  <c r="D222" i="4" s="1"/>
  <c r="E222" i="4" s="1"/>
  <c r="F222" i="4" s="1"/>
  <c r="J221" i="4"/>
  <c r="C221" i="4"/>
  <c r="D221" i="4" s="1"/>
  <c r="E221" i="4" s="1"/>
  <c r="F221" i="4" s="1"/>
  <c r="J220" i="4"/>
  <c r="C220" i="4"/>
  <c r="D220" i="4" s="1"/>
  <c r="E220" i="4" s="1"/>
  <c r="F220" i="4" s="1"/>
  <c r="J219" i="4"/>
  <c r="C219" i="4"/>
  <c r="D219" i="4" s="1"/>
  <c r="E219" i="4" s="1"/>
  <c r="F219" i="4" s="1"/>
  <c r="J218" i="4"/>
  <c r="C218" i="4"/>
  <c r="D218" i="4" s="1"/>
  <c r="E218" i="4" s="1"/>
  <c r="F218" i="4" s="1"/>
  <c r="J217" i="4"/>
  <c r="C217" i="4"/>
  <c r="D217" i="4" s="1"/>
  <c r="E217" i="4" s="1"/>
  <c r="F217" i="4" s="1"/>
  <c r="J216" i="4"/>
  <c r="C216" i="4"/>
  <c r="D216" i="4" s="1"/>
  <c r="E216" i="4" s="1"/>
  <c r="F216" i="4" s="1"/>
  <c r="C215" i="4"/>
  <c r="D215" i="4" s="1"/>
  <c r="E215" i="4" s="1"/>
  <c r="F215" i="4" s="1"/>
  <c r="J215" i="4"/>
  <c r="J214" i="4"/>
  <c r="C214" i="4"/>
  <c r="D214" i="4" s="1"/>
  <c r="E214" i="4" s="1"/>
  <c r="F214" i="4" s="1"/>
  <c r="J213" i="4"/>
  <c r="C213" i="4"/>
  <c r="D213" i="4" s="1"/>
  <c r="E213" i="4" s="1"/>
  <c r="F213" i="4" s="1"/>
  <c r="J212" i="4"/>
  <c r="C212" i="4"/>
  <c r="D212" i="4" s="1"/>
  <c r="E212" i="4" s="1"/>
  <c r="F212" i="4" s="1"/>
  <c r="J211" i="4"/>
  <c r="C211" i="4"/>
  <c r="D211" i="4" s="1"/>
  <c r="E211" i="4" s="1"/>
  <c r="F211" i="4" s="1"/>
  <c r="J210" i="4"/>
  <c r="C210" i="4"/>
  <c r="D210" i="4" s="1"/>
  <c r="E210" i="4" s="1"/>
  <c r="F210" i="4" s="1"/>
  <c r="J209" i="4"/>
  <c r="C209" i="4"/>
  <c r="D209" i="4" s="1"/>
  <c r="E209" i="4" s="1"/>
  <c r="F209" i="4" s="1"/>
  <c r="C208" i="4"/>
  <c r="D208" i="4" s="1"/>
  <c r="E208" i="4" s="1"/>
  <c r="F208" i="4" s="1"/>
  <c r="J208" i="4"/>
  <c r="J207" i="4"/>
  <c r="C207" i="4"/>
  <c r="D207" i="4" s="1"/>
  <c r="E207" i="4" s="1"/>
  <c r="F207" i="4" s="1"/>
  <c r="C206" i="4"/>
  <c r="D206" i="4" s="1"/>
  <c r="E206" i="4" s="1"/>
  <c r="F206" i="4" s="1"/>
  <c r="J206" i="4"/>
  <c r="J205" i="4"/>
  <c r="C205" i="4"/>
  <c r="D205" i="4" s="1"/>
  <c r="E205" i="4" s="1"/>
  <c r="F205" i="4" s="1"/>
  <c r="J204" i="4"/>
  <c r="C204" i="4"/>
  <c r="D204" i="4" s="1"/>
  <c r="E204" i="4" s="1"/>
  <c r="F204" i="4" s="1"/>
  <c r="J203" i="4"/>
  <c r="C203" i="4"/>
  <c r="D203" i="4" s="1"/>
  <c r="E203" i="4" s="1"/>
  <c r="F203" i="4" s="1"/>
  <c r="J202" i="4"/>
  <c r="C202" i="4"/>
  <c r="D202" i="4" s="1"/>
  <c r="E202" i="4" s="1"/>
  <c r="F202" i="4" s="1"/>
  <c r="J201" i="4"/>
  <c r="C201" i="4"/>
  <c r="D201" i="4" s="1"/>
  <c r="E201" i="4" s="1"/>
  <c r="F201" i="4" s="1"/>
  <c r="J200" i="4"/>
  <c r="C200" i="4"/>
  <c r="D200" i="4" s="1"/>
  <c r="E200" i="4" s="1"/>
  <c r="F200" i="4" s="1"/>
  <c r="J199" i="4"/>
  <c r="C199" i="4"/>
  <c r="D199" i="4" s="1"/>
  <c r="E199" i="4" s="1"/>
  <c r="F199" i="4" s="1"/>
  <c r="C198" i="4"/>
  <c r="D198" i="4" s="1"/>
  <c r="E198" i="4" s="1"/>
  <c r="F198" i="4" s="1"/>
  <c r="J198" i="4"/>
  <c r="J197" i="4"/>
  <c r="C197" i="4"/>
  <c r="D197" i="4" s="1"/>
  <c r="E197" i="4" s="1"/>
  <c r="F197" i="4" s="1"/>
  <c r="J196" i="4"/>
  <c r="C196" i="4"/>
  <c r="D196" i="4" s="1"/>
  <c r="E196" i="4" s="1"/>
  <c r="F196" i="4" s="1"/>
  <c r="J195" i="4"/>
  <c r="C195" i="4"/>
  <c r="D195" i="4" s="1"/>
  <c r="E195" i="4" s="1"/>
  <c r="F195" i="4" s="1"/>
  <c r="J194" i="4"/>
  <c r="C194" i="4"/>
  <c r="D194" i="4" s="1"/>
  <c r="E194" i="4" s="1"/>
  <c r="F194" i="4" s="1"/>
  <c r="J193" i="4"/>
  <c r="C193" i="4"/>
  <c r="D193" i="4" s="1"/>
  <c r="E193" i="4" s="1"/>
  <c r="F193" i="4" s="1"/>
  <c r="J192" i="4"/>
  <c r="C192" i="4"/>
  <c r="D192" i="4" s="1"/>
  <c r="E192" i="4" s="1"/>
  <c r="F192" i="4" s="1"/>
  <c r="J191" i="4"/>
  <c r="C191" i="4"/>
  <c r="D191" i="4" s="1"/>
  <c r="E191" i="4" s="1"/>
  <c r="F191" i="4" s="1"/>
  <c r="J190" i="4"/>
  <c r="C190" i="4"/>
  <c r="D190" i="4" s="1"/>
  <c r="E190" i="4" s="1"/>
  <c r="F190" i="4" s="1"/>
  <c r="J189" i="4"/>
  <c r="C189" i="4"/>
  <c r="D189" i="4" s="1"/>
  <c r="E189" i="4" s="1"/>
  <c r="F189" i="4" s="1"/>
  <c r="J188" i="4"/>
  <c r="C188" i="4"/>
  <c r="D188" i="4" s="1"/>
  <c r="E188" i="4" s="1"/>
  <c r="F188" i="4" s="1"/>
  <c r="J187" i="4"/>
  <c r="C187" i="4"/>
  <c r="D187" i="4" s="1"/>
  <c r="E187" i="4" s="1"/>
  <c r="F187" i="4" s="1"/>
  <c r="J186" i="4"/>
  <c r="C186" i="4"/>
  <c r="D186" i="4" s="1"/>
  <c r="E186" i="4" s="1"/>
  <c r="F186" i="4" s="1"/>
  <c r="J185" i="4"/>
  <c r="C185" i="4"/>
  <c r="D185" i="4" s="1"/>
  <c r="E185" i="4" s="1"/>
  <c r="F185" i="4" s="1"/>
  <c r="J184" i="4"/>
  <c r="C184" i="4"/>
  <c r="D184" i="4" s="1"/>
  <c r="E184" i="4" s="1"/>
  <c r="F184" i="4" s="1"/>
  <c r="C183" i="4"/>
  <c r="D183" i="4" s="1"/>
  <c r="E183" i="4" s="1"/>
  <c r="F183" i="4" s="1"/>
  <c r="J183" i="4"/>
  <c r="C182" i="4"/>
  <c r="D182" i="4" s="1"/>
  <c r="E182" i="4" s="1"/>
  <c r="F182" i="4" s="1"/>
  <c r="J182" i="4"/>
  <c r="J181" i="4"/>
  <c r="C181" i="4"/>
  <c r="D181" i="4" s="1"/>
  <c r="E181" i="4" s="1"/>
  <c r="F181" i="4" s="1"/>
  <c r="J180" i="4"/>
  <c r="C180" i="4"/>
  <c r="D180" i="4" s="1"/>
  <c r="E180" i="4" s="1"/>
  <c r="F180" i="4" s="1"/>
  <c r="J179" i="4"/>
  <c r="C179" i="4"/>
  <c r="D179" i="4" s="1"/>
  <c r="E179" i="4" s="1"/>
  <c r="F179" i="4" s="1"/>
  <c r="J178" i="4"/>
  <c r="C178" i="4"/>
  <c r="D178" i="4" s="1"/>
  <c r="E178" i="4" s="1"/>
  <c r="F178" i="4" s="1"/>
  <c r="J177" i="4"/>
  <c r="C177" i="4"/>
  <c r="D177" i="4" s="1"/>
  <c r="E177" i="4" s="1"/>
  <c r="F177" i="4" s="1"/>
  <c r="J176" i="4"/>
  <c r="C176" i="4"/>
  <c r="D176" i="4" s="1"/>
  <c r="E176" i="4" s="1"/>
  <c r="F176" i="4" s="1"/>
  <c r="C175" i="4"/>
  <c r="D175" i="4" s="1"/>
  <c r="E175" i="4" s="1"/>
  <c r="F175" i="4" s="1"/>
  <c r="J175" i="4"/>
  <c r="C174" i="4"/>
  <c r="D174" i="4" s="1"/>
  <c r="E174" i="4" s="1"/>
  <c r="F174" i="4" s="1"/>
  <c r="J174" i="4"/>
  <c r="C173" i="4"/>
  <c r="D173" i="4" s="1"/>
  <c r="E173" i="4" s="1"/>
  <c r="F173" i="4" s="1"/>
  <c r="J173" i="4"/>
  <c r="J172" i="4"/>
  <c r="C172" i="4"/>
  <c r="D172" i="4" s="1"/>
  <c r="E172" i="4" s="1"/>
  <c r="F172" i="4" s="1"/>
  <c r="J171" i="4"/>
  <c r="C171" i="4"/>
  <c r="D171" i="4" s="1"/>
  <c r="E171" i="4" s="1"/>
  <c r="F171" i="4" s="1"/>
  <c r="J170" i="4"/>
  <c r="C170" i="4"/>
  <c r="D170" i="4" s="1"/>
  <c r="E170" i="4" s="1"/>
  <c r="F170" i="4" s="1"/>
  <c r="J169" i="4"/>
  <c r="C169" i="4"/>
  <c r="D169" i="4" s="1"/>
  <c r="E169" i="4" s="1"/>
  <c r="F169" i="4" s="1"/>
  <c r="J168" i="4"/>
  <c r="C168" i="4"/>
  <c r="D168" i="4" s="1"/>
  <c r="E168" i="4" s="1"/>
  <c r="F168" i="4" s="1"/>
  <c r="J167" i="4"/>
  <c r="C167" i="4"/>
  <c r="D167" i="4" s="1"/>
  <c r="E167" i="4" s="1"/>
  <c r="F167" i="4" s="1"/>
  <c r="J166" i="4"/>
  <c r="C166" i="4"/>
  <c r="D166" i="4" s="1"/>
  <c r="E166" i="4" s="1"/>
  <c r="F166" i="4" s="1"/>
  <c r="J165" i="4"/>
  <c r="C165" i="4"/>
  <c r="D165" i="4" s="1"/>
  <c r="E165" i="4" s="1"/>
  <c r="F165" i="4" s="1"/>
  <c r="J164" i="4"/>
  <c r="C164" i="4"/>
  <c r="D164" i="4" s="1"/>
  <c r="E164" i="4" s="1"/>
  <c r="F164" i="4" s="1"/>
  <c r="J163" i="4"/>
  <c r="C163" i="4"/>
  <c r="D163" i="4" s="1"/>
  <c r="E163" i="4" s="1"/>
  <c r="F163" i="4" s="1"/>
  <c r="J162" i="4"/>
  <c r="C162" i="4"/>
  <c r="D162" i="4" s="1"/>
  <c r="E162" i="4" s="1"/>
  <c r="F162" i="4" s="1"/>
  <c r="J161" i="4"/>
  <c r="C161" i="4"/>
  <c r="D161" i="4" s="1"/>
  <c r="E161" i="4" s="1"/>
  <c r="F161" i="4" s="1"/>
  <c r="J160" i="4"/>
  <c r="C160" i="4"/>
  <c r="D160" i="4" s="1"/>
  <c r="E160" i="4" s="1"/>
  <c r="F160" i="4" s="1"/>
  <c r="J159" i="4"/>
  <c r="C159" i="4"/>
  <c r="D159" i="4" s="1"/>
  <c r="E159" i="4" s="1"/>
  <c r="F159" i="4" s="1"/>
  <c r="J158" i="4"/>
  <c r="C158" i="4"/>
  <c r="D158" i="4" s="1"/>
  <c r="E158" i="4" s="1"/>
  <c r="F158" i="4" s="1"/>
  <c r="J157" i="4"/>
  <c r="C157" i="4"/>
  <c r="D157" i="4" s="1"/>
  <c r="E157" i="4" s="1"/>
  <c r="F157" i="4" s="1"/>
  <c r="J156" i="4"/>
  <c r="C156" i="4"/>
  <c r="D156" i="4" s="1"/>
  <c r="E156" i="4" s="1"/>
  <c r="F156" i="4" s="1"/>
  <c r="J155" i="4"/>
  <c r="C155" i="4"/>
  <c r="D155" i="4" s="1"/>
  <c r="E155" i="4" s="1"/>
  <c r="F155" i="4" s="1"/>
  <c r="J154" i="4"/>
  <c r="C154" i="4"/>
  <c r="D154" i="4" s="1"/>
  <c r="E154" i="4" s="1"/>
  <c r="F154" i="4" s="1"/>
  <c r="J153" i="4"/>
  <c r="C153" i="4"/>
  <c r="D153" i="4" s="1"/>
  <c r="E153" i="4" s="1"/>
  <c r="F153" i="4" s="1"/>
  <c r="J152" i="4"/>
  <c r="C152" i="4"/>
  <c r="D152" i="4" s="1"/>
  <c r="E152" i="4" s="1"/>
  <c r="F152" i="4" s="1"/>
  <c r="J151" i="4"/>
  <c r="C151" i="4"/>
  <c r="D151" i="4" s="1"/>
  <c r="E151" i="4" s="1"/>
  <c r="F151" i="4" s="1"/>
  <c r="J150" i="4"/>
  <c r="C150" i="4"/>
  <c r="D150" i="4" s="1"/>
  <c r="E150" i="4" s="1"/>
  <c r="F150" i="4" s="1"/>
  <c r="J149" i="4"/>
  <c r="C149" i="4"/>
  <c r="D149" i="4" s="1"/>
  <c r="E149" i="4" s="1"/>
  <c r="F149" i="4" s="1"/>
  <c r="C148" i="4"/>
  <c r="D148" i="4" s="1"/>
  <c r="E148" i="4" s="1"/>
  <c r="F148" i="4" s="1"/>
  <c r="J148" i="4"/>
  <c r="C147" i="4"/>
  <c r="D147" i="4" s="1"/>
  <c r="E147" i="4" s="1"/>
  <c r="F147" i="4" s="1"/>
  <c r="J147" i="4"/>
  <c r="J146" i="4"/>
  <c r="C146" i="4"/>
  <c r="D146" i="4" s="1"/>
  <c r="E146" i="4" s="1"/>
  <c r="F146" i="4" s="1"/>
  <c r="J145" i="4"/>
  <c r="C145" i="4"/>
  <c r="D145" i="4" s="1"/>
  <c r="E145" i="4" s="1"/>
  <c r="F145" i="4" s="1"/>
  <c r="J144" i="4"/>
  <c r="C144" i="4"/>
  <c r="D144" i="4" s="1"/>
  <c r="E144" i="4" s="1"/>
  <c r="F144" i="4" s="1"/>
  <c r="J143" i="4"/>
  <c r="C143" i="4"/>
  <c r="D143" i="4" s="1"/>
  <c r="E143" i="4" s="1"/>
  <c r="F143" i="4" s="1"/>
  <c r="J142" i="4"/>
  <c r="C142" i="4"/>
  <c r="D142" i="4" s="1"/>
  <c r="E142" i="4" s="1"/>
  <c r="F142" i="4" s="1"/>
  <c r="J141" i="4"/>
  <c r="C141" i="4"/>
  <c r="D141" i="4" s="1"/>
  <c r="E141" i="4" s="1"/>
  <c r="F141" i="4" s="1"/>
  <c r="J140" i="4"/>
  <c r="C140" i="4"/>
  <c r="D140" i="4" s="1"/>
  <c r="E140" i="4" s="1"/>
  <c r="F140" i="4" s="1"/>
  <c r="C139" i="4"/>
  <c r="D139" i="4" s="1"/>
  <c r="E139" i="4" s="1"/>
  <c r="F139" i="4" s="1"/>
  <c r="J139" i="4"/>
  <c r="C138" i="4"/>
  <c r="D138" i="4" s="1"/>
  <c r="E138" i="4" s="1"/>
  <c r="F138" i="4" s="1"/>
  <c r="J138" i="4"/>
  <c r="C137" i="4"/>
  <c r="D137" i="4" s="1"/>
  <c r="E137" i="4" s="1"/>
  <c r="F137" i="4" s="1"/>
  <c r="J137" i="4"/>
  <c r="J136" i="4"/>
  <c r="C136" i="4"/>
  <c r="D136" i="4" s="1"/>
  <c r="E136" i="4" s="1"/>
  <c r="F136" i="4" s="1"/>
  <c r="J135" i="4"/>
  <c r="C135" i="4"/>
  <c r="D135" i="4" s="1"/>
  <c r="E135" i="4" s="1"/>
  <c r="F135" i="4" s="1"/>
  <c r="C134" i="4"/>
  <c r="D134" i="4" s="1"/>
  <c r="E134" i="4" s="1"/>
  <c r="F134" i="4" s="1"/>
  <c r="J134" i="4"/>
  <c r="J133" i="4"/>
  <c r="C133" i="4"/>
  <c r="D133" i="4" s="1"/>
  <c r="E133" i="4" s="1"/>
  <c r="F133" i="4" s="1"/>
  <c r="J132" i="4"/>
  <c r="C132" i="4"/>
  <c r="D132" i="4" s="1"/>
  <c r="E132" i="4" s="1"/>
  <c r="F132" i="4" s="1"/>
  <c r="J131" i="4"/>
  <c r="C131" i="4"/>
  <c r="D131" i="4" s="1"/>
  <c r="E131" i="4" s="1"/>
  <c r="F131" i="4" s="1"/>
  <c r="J130" i="4"/>
  <c r="C130" i="4"/>
  <c r="D130" i="4" s="1"/>
  <c r="E130" i="4" s="1"/>
  <c r="F130" i="4" s="1"/>
  <c r="J129" i="4"/>
  <c r="C129" i="4"/>
  <c r="D129" i="4" s="1"/>
  <c r="E129" i="4" s="1"/>
  <c r="F129" i="4" s="1"/>
  <c r="J128" i="4"/>
  <c r="C128" i="4"/>
  <c r="D128" i="4" s="1"/>
  <c r="E128" i="4" s="1"/>
  <c r="F128" i="4" s="1"/>
  <c r="J127" i="4"/>
  <c r="C127" i="4"/>
  <c r="D127" i="4" s="1"/>
  <c r="E127" i="4" s="1"/>
  <c r="F127" i="4" s="1"/>
  <c r="J126" i="4"/>
  <c r="C126" i="4"/>
  <c r="D126" i="4" s="1"/>
  <c r="E126" i="4" s="1"/>
  <c r="F126" i="4" s="1"/>
  <c r="J125" i="4"/>
  <c r="C125" i="4"/>
  <c r="D125" i="4" s="1"/>
  <c r="E125" i="4" s="1"/>
  <c r="F125" i="4" s="1"/>
  <c r="J124" i="4"/>
  <c r="C124" i="4"/>
  <c r="D124" i="4" s="1"/>
  <c r="E124" i="4" s="1"/>
  <c r="F124" i="4" s="1"/>
  <c r="J123" i="4"/>
  <c r="C123" i="4"/>
  <c r="D123" i="4" s="1"/>
  <c r="E123" i="4" s="1"/>
  <c r="F123" i="4" s="1"/>
  <c r="J122" i="4"/>
  <c r="C122" i="4"/>
  <c r="D122" i="4" s="1"/>
  <c r="E122" i="4" s="1"/>
  <c r="F122" i="4" s="1"/>
  <c r="J121" i="4"/>
  <c r="C121" i="4"/>
  <c r="D121" i="4" s="1"/>
  <c r="E121" i="4" s="1"/>
  <c r="F121" i="4" s="1"/>
  <c r="J120" i="4"/>
  <c r="C120" i="4"/>
  <c r="D120" i="4" s="1"/>
  <c r="E120" i="4" s="1"/>
  <c r="F120" i="4" s="1"/>
  <c r="J119" i="4"/>
  <c r="C119" i="4"/>
  <c r="D119" i="4" s="1"/>
  <c r="E119" i="4" s="1"/>
  <c r="F119" i="4" s="1"/>
  <c r="J118" i="4"/>
  <c r="C118" i="4"/>
  <c r="D118" i="4" s="1"/>
  <c r="E118" i="4" s="1"/>
  <c r="F118" i="4" s="1"/>
  <c r="J117" i="4"/>
  <c r="C117" i="4"/>
  <c r="D117" i="4" s="1"/>
  <c r="E117" i="4" s="1"/>
  <c r="F117" i="4" s="1"/>
  <c r="J116" i="4"/>
  <c r="C116" i="4"/>
  <c r="D116" i="4" s="1"/>
  <c r="E116" i="4" s="1"/>
  <c r="F116" i="4" s="1"/>
  <c r="C115" i="4"/>
  <c r="D115" i="4" s="1"/>
  <c r="E115" i="4" s="1"/>
  <c r="F115" i="4" s="1"/>
  <c r="J115" i="4"/>
  <c r="C114" i="4"/>
  <c r="D114" i="4" s="1"/>
  <c r="E114" i="4" s="1"/>
  <c r="F114" i="4" s="1"/>
  <c r="J114" i="4"/>
  <c r="J113" i="4"/>
  <c r="C113" i="4"/>
  <c r="D113" i="4" s="1"/>
  <c r="E113" i="4" s="1"/>
  <c r="F113" i="4" s="1"/>
  <c r="J112" i="4"/>
  <c r="C112" i="4"/>
  <c r="D112" i="4" s="1"/>
  <c r="E112" i="4" s="1"/>
  <c r="F112" i="4" s="1"/>
  <c r="J111" i="4"/>
  <c r="C111" i="4"/>
  <c r="D111" i="4" s="1"/>
  <c r="E111" i="4" s="1"/>
  <c r="F111" i="4" s="1"/>
  <c r="J110" i="4"/>
  <c r="C110" i="4"/>
  <c r="D110" i="4" s="1"/>
  <c r="E110" i="4" s="1"/>
  <c r="F110" i="4" s="1"/>
  <c r="J109" i="4"/>
  <c r="C109" i="4"/>
  <c r="D109" i="4" s="1"/>
  <c r="E109" i="4" s="1"/>
  <c r="F109" i="4" s="1"/>
  <c r="J108" i="4"/>
  <c r="C108" i="4"/>
  <c r="D108" i="4" s="1"/>
  <c r="E108" i="4" s="1"/>
  <c r="F108" i="4" s="1"/>
  <c r="C107" i="4"/>
  <c r="D107" i="4" s="1"/>
  <c r="E107" i="4" s="1"/>
  <c r="F107" i="4" s="1"/>
  <c r="J107" i="4"/>
  <c r="C106" i="4"/>
  <c r="D106" i="4" s="1"/>
  <c r="E106" i="4" s="1"/>
  <c r="F106" i="4" s="1"/>
  <c r="J106" i="4"/>
  <c r="C105" i="4"/>
  <c r="D105" i="4" s="1"/>
  <c r="E105" i="4" s="1"/>
  <c r="F105" i="4" s="1"/>
  <c r="J105" i="4"/>
  <c r="J104" i="4"/>
  <c r="C104" i="4"/>
  <c r="D104" i="4" s="1"/>
  <c r="E104" i="4" s="1"/>
  <c r="F104" i="4" s="1"/>
  <c r="J103" i="4"/>
  <c r="C103" i="4"/>
  <c r="D103" i="4" s="1"/>
  <c r="E103" i="4" s="1"/>
  <c r="F103" i="4" s="1"/>
  <c r="J102" i="4"/>
  <c r="C102" i="4"/>
  <c r="D102" i="4" s="1"/>
  <c r="E102" i="4" s="1"/>
  <c r="F102" i="4" s="1"/>
  <c r="J101" i="4"/>
  <c r="C101" i="4"/>
  <c r="D101" i="4" s="1"/>
  <c r="E101" i="4" s="1"/>
  <c r="F101" i="4" s="1"/>
  <c r="J100" i="4"/>
  <c r="C100" i="4"/>
  <c r="D100" i="4" s="1"/>
  <c r="E100" i="4" s="1"/>
  <c r="F100" i="4" s="1"/>
  <c r="J99" i="4"/>
  <c r="C99" i="4"/>
  <c r="D99" i="4" s="1"/>
  <c r="E99" i="4" s="1"/>
  <c r="F99" i="4" s="1"/>
  <c r="J98" i="4"/>
  <c r="C98" i="4"/>
  <c r="D98" i="4" s="1"/>
  <c r="E98" i="4" s="1"/>
  <c r="F98" i="4" s="1"/>
  <c r="J97" i="4"/>
  <c r="C97" i="4"/>
  <c r="D97" i="4" s="1"/>
  <c r="E97" i="4" s="1"/>
  <c r="F97" i="4" s="1"/>
  <c r="J96" i="4"/>
  <c r="C96" i="4"/>
  <c r="D96" i="4" s="1"/>
  <c r="E96" i="4" s="1"/>
  <c r="F96" i="4" s="1"/>
  <c r="J95" i="4"/>
  <c r="C95" i="4"/>
  <c r="D95" i="4" s="1"/>
  <c r="E95" i="4" s="1"/>
  <c r="F95" i="4" s="1"/>
  <c r="J94" i="4"/>
  <c r="C94" i="4"/>
  <c r="D94" i="4" s="1"/>
  <c r="E94" i="4" s="1"/>
  <c r="F94" i="4" s="1"/>
  <c r="J93" i="4"/>
  <c r="C93" i="4"/>
  <c r="D93" i="4" s="1"/>
  <c r="E93" i="4" s="1"/>
  <c r="F93" i="4" s="1"/>
  <c r="J92" i="4"/>
  <c r="C92" i="4"/>
  <c r="D92" i="4" s="1"/>
  <c r="E92" i="4" s="1"/>
  <c r="F92" i="4" s="1"/>
  <c r="J91" i="4"/>
  <c r="C91" i="4"/>
  <c r="D91" i="4" s="1"/>
  <c r="E91" i="4" s="1"/>
  <c r="F91" i="4" s="1"/>
  <c r="J90" i="4"/>
  <c r="C90" i="4"/>
  <c r="D90" i="4" s="1"/>
  <c r="E90" i="4" s="1"/>
  <c r="F90" i="4" s="1"/>
  <c r="J89" i="4"/>
  <c r="C89" i="4"/>
  <c r="D89" i="4" s="1"/>
  <c r="E89" i="4" s="1"/>
  <c r="F89" i="4" s="1"/>
  <c r="J88" i="4"/>
  <c r="C88" i="4"/>
  <c r="D88" i="4" s="1"/>
  <c r="E88" i="4" s="1"/>
  <c r="F88" i="4" s="1"/>
  <c r="J87" i="4"/>
  <c r="C87" i="4"/>
  <c r="D87" i="4" s="1"/>
  <c r="E87" i="4" s="1"/>
  <c r="F87" i="4" s="1"/>
  <c r="J86" i="4"/>
  <c r="C86" i="4"/>
  <c r="D86" i="4" s="1"/>
  <c r="E86" i="4" s="1"/>
  <c r="F86" i="4" s="1"/>
  <c r="J85" i="4"/>
  <c r="C85" i="4"/>
  <c r="D85" i="4" s="1"/>
  <c r="E85" i="4" s="1"/>
  <c r="F85" i="4" s="1"/>
  <c r="J84" i="4"/>
  <c r="C84" i="4"/>
  <c r="D84" i="4" s="1"/>
  <c r="E84" i="4" s="1"/>
  <c r="F84" i="4" s="1"/>
  <c r="J83" i="4"/>
  <c r="C83" i="4"/>
  <c r="D83" i="4" s="1"/>
  <c r="E83" i="4" s="1"/>
  <c r="F83" i="4" s="1"/>
  <c r="J82" i="4"/>
  <c r="C82" i="4"/>
  <c r="D82" i="4" s="1"/>
  <c r="E82" i="4" s="1"/>
  <c r="F82" i="4" s="1"/>
  <c r="J81" i="4"/>
  <c r="C81" i="4"/>
  <c r="D81" i="4" s="1"/>
  <c r="E81" i="4" s="1"/>
  <c r="F81" i="4" s="1"/>
  <c r="J80" i="4"/>
  <c r="C80" i="4"/>
  <c r="D80" i="4" s="1"/>
  <c r="E80" i="4" s="1"/>
  <c r="F80" i="4" s="1"/>
  <c r="C79" i="4"/>
  <c r="D79" i="4" s="1"/>
  <c r="E79" i="4" s="1"/>
  <c r="F79" i="4" s="1"/>
  <c r="J79" i="4"/>
  <c r="J78" i="4"/>
  <c r="C78" i="4"/>
  <c r="D78" i="4" s="1"/>
  <c r="E78" i="4" s="1"/>
  <c r="F78" i="4" s="1"/>
  <c r="J77" i="4"/>
  <c r="C77" i="4"/>
  <c r="D77" i="4" s="1"/>
  <c r="E77" i="4" s="1"/>
  <c r="F77" i="4" s="1"/>
  <c r="J76" i="4"/>
  <c r="C76" i="4"/>
  <c r="D76" i="4" s="1"/>
  <c r="E76" i="4" s="1"/>
  <c r="F76" i="4" s="1"/>
  <c r="J75" i="4"/>
  <c r="C75" i="4"/>
  <c r="D75" i="4" s="1"/>
  <c r="E75" i="4" s="1"/>
  <c r="F75" i="4" s="1"/>
  <c r="J74" i="4"/>
  <c r="C74" i="4"/>
  <c r="D74" i="4" s="1"/>
  <c r="E74" i="4" s="1"/>
  <c r="F74" i="4" s="1"/>
  <c r="J73" i="4"/>
  <c r="C73" i="4"/>
  <c r="D73" i="4" s="1"/>
  <c r="E73" i="4" s="1"/>
  <c r="F73" i="4" s="1"/>
  <c r="C72" i="4"/>
  <c r="D72" i="4" s="1"/>
  <c r="E72" i="4" s="1"/>
  <c r="F72" i="4" s="1"/>
  <c r="J72" i="4"/>
  <c r="J71" i="4"/>
  <c r="C71" i="4"/>
  <c r="D71" i="4" s="1"/>
  <c r="E71" i="4" s="1"/>
  <c r="F71" i="4" s="1"/>
  <c r="C70" i="4"/>
  <c r="D70" i="4" s="1"/>
  <c r="E70" i="4" s="1"/>
  <c r="F70" i="4" s="1"/>
  <c r="J70" i="4"/>
  <c r="J69" i="4"/>
  <c r="C69" i="4"/>
  <c r="D69" i="4" s="1"/>
  <c r="E69" i="4" s="1"/>
  <c r="F69" i="4" s="1"/>
  <c r="J68" i="4"/>
  <c r="C68" i="4"/>
  <c r="D68" i="4" s="1"/>
  <c r="E68" i="4" s="1"/>
  <c r="F68" i="4" s="1"/>
  <c r="J67" i="4"/>
  <c r="C67" i="4"/>
  <c r="D67" i="4" s="1"/>
  <c r="E67" i="4" s="1"/>
  <c r="F67" i="4" s="1"/>
  <c r="J66" i="4"/>
  <c r="C66" i="4"/>
  <c r="D66" i="4" s="1"/>
  <c r="E66" i="4" s="1"/>
  <c r="F66" i="4" s="1"/>
  <c r="J65" i="4"/>
  <c r="C65" i="4"/>
  <c r="D65" i="4" s="1"/>
  <c r="E65" i="4" s="1"/>
  <c r="F65" i="4" s="1"/>
  <c r="J64" i="4"/>
  <c r="C64" i="4"/>
  <c r="D64" i="4" s="1"/>
  <c r="E64" i="4" s="1"/>
  <c r="F64" i="4" s="1"/>
  <c r="J63" i="4"/>
  <c r="C63" i="4"/>
  <c r="D63" i="4" s="1"/>
  <c r="E63" i="4" s="1"/>
  <c r="F63" i="4" s="1"/>
  <c r="C62" i="4"/>
  <c r="D62" i="4" s="1"/>
  <c r="E62" i="4" s="1"/>
  <c r="F62" i="4" s="1"/>
  <c r="J62" i="4"/>
  <c r="J61" i="4"/>
  <c r="C61" i="4"/>
  <c r="D61" i="4" s="1"/>
  <c r="E61" i="4" s="1"/>
  <c r="F61" i="4" s="1"/>
  <c r="J60" i="4"/>
  <c r="C60" i="4"/>
  <c r="D60" i="4" s="1"/>
  <c r="E60" i="4" s="1"/>
  <c r="F60" i="4" s="1"/>
  <c r="J59" i="4"/>
  <c r="C59" i="4"/>
  <c r="D59" i="4" s="1"/>
  <c r="E59" i="4" s="1"/>
  <c r="F59" i="4" s="1"/>
  <c r="J58" i="4"/>
  <c r="C58" i="4"/>
  <c r="D58" i="4" s="1"/>
  <c r="E58" i="4" s="1"/>
  <c r="F58" i="4" s="1"/>
  <c r="J57" i="4"/>
  <c r="C57" i="4"/>
  <c r="D57" i="4" s="1"/>
  <c r="E57" i="4" s="1"/>
  <c r="F57" i="4" s="1"/>
  <c r="J56" i="4"/>
  <c r="C56" i="4"/>
  <c r="D56" i="4" s="1"/>
  <c r="E56" i="4" s="1"/>
  <c r="F56" i="4" s="1"/>
  <c r="J55" i="4"/>
  <c r="C55" i="4"/>
  <c r="D55" i="4" s="1"/>
  <c r="E55" i="4" s="1"/>
  <c r="F55" i="4" s="1"/>
  <c r="J54" i="4"/>
  <c r="C54" i="4"/>
  <c r="D54" i="4" s="1"/>
  <c r="E54" i="4" s="1"/>
  <c r="F54" i="4" s="1"/>
  <c r="J53" i="4"/>
  <c r="C53" i="4"/>
  <c r="D53" i="4" s="1"/>
  <c r="E53" i="4" s="1"/>
  <c r="F53" i="4" s="1"/>
  <c r="J52" i="4"/>
  <c r="C52" i="4"/>
  <c r="D52" i="4" s="1"/>
  <c r="E52" i="4" s="1"/>
  <c r="F52" i="4" s="1"/>
  <c r="J51" i="4"/>
  <c r="C51" i="4"/>
  <c r="D51" i="4" s="1"/>
  <c r="E51" i="4" s="1"/>
  <c r="F51" i="4" s="1"/>
  <c r="J50" i="4"/>
  <c r="C50" i="4"/>
  <c r="D50" i="4" s="1"/>
  <c r="E50" i="4" s="1"/>
  <c r="F50" i="4" s="1"/>
  <c r="J49" i="4"/>
  <c r="C49" i="4"/>
  <c r="D49" i="4" s="1"/>
  <c r="E49" i="4" s="1"/>
  <c r="F49" i="4" s="1"/>
  <c r="J48" i="4"/>
  <c r="C48" i="4"/>
  <c r="D48" i="4" s="1"/>
  <c r="E48" i="4" s="1"/>
  <c r="F48" i="4" s="1"/>
  <c r="C47" i="4"/>
  <c r="D47" i="4" s="1"/>
  <c r="E47" i="4" s="1"/>
  <c r="F47" i="4" s="1"/>
  <c r="J47" i="4"/>
  <c r="C46" i="4"/>
  <c r="D46" i="4" s="1"/>
  <c r="E46" i="4" s="1"/>
  <c r="F46" i="4" s="1"/>
  <c r="J46" i="4"/>
  <c r="J45" i="4"/>
  <c r="C45" i="4"/>
  <c r="D45" i="4" s="1"/>
  <c r="E45" i="4" s="1"/>
  <c r="F45" i="4" s="1"/>
  <c r="J44" i="4"/>
  <c r="C44" i="4"/>
  <c r="D44" i="4" s="1"/>
  <c r="E44" i="4" s="1"/>
  <c r="F44" i="4" s="1"/>
  <c r="J43" i="4"/>
  <c r="C43" i="4"/>
  <c r="D43" i="4" s="1"/>
  <c r="E43" i="4" s="1"/>
  <c r="F43" i="4" s="1"/>
  <c r="J42" i="4"/>
  <c r="C42" i="4"/>
  <c r="D42" i="4" s="1"/>
  <c r="E42" i="4" s="1"/>
  <c r="F42" i="4" s="1"/>
  <c r="J41" i="4"/>
  <c r="C41" i="4"/>
  <c r="D41" i="4" s="1"/>
  <c r="E41" i="4" s="1"/>
  <c r="F41" i="4" s="1"/>
  <c r="J40" i="4"/>
  <c r="C40" i="4"/>
  <c r="D40" i="4" s="1"/>
  <c r="E40" i="4" s="1"/>
  <c r="F40" i="4" s="1"/>
  <c r="C39" i="4"/>
  <c r="D39" i="4" s="1"/>
  <c r="E39" i="4" s="1"/>
  <c r="F39" i="4" s="1"/>
  <c r="J39" i="4"/>
  <c r="C38" i="4"/>
  <c r="D38" i="4" s="1"/>
  <c r="E38" i="4" s="1"/>
  <c r="F38" i="4" s="1"/>
  <c r="J38" i="4"/>
  <c r="C37" i="4"/>
  <c r="D37" i="4" s="1"/>
  <c r="E37" i="4" s="1"/>
  <c r="F37" i="4" s="1"/>
  <c r="J37" i="4"/>
  <c r="J36" i="4"/>
  <c r="C36" i="4"/>
  <c r="D36" i="4" s="1"/>
  <c r="E36" i="4" s="1"/>
  <c r="F36" i="4" s="1"/>
  <c r="J35" i="4"/>
  <c r="C35" i="4"/>
  <c r="D35" i="4" s="1"/>
  <c r="E35" i="4" s="1"/>
  <c r="F35" i="4" s="1"/>
  <c r="J34" i="4"/>
  <c r="C34" i="4"/>
  <c r="D34" i="4" s="1"/>
  <c r="E34" i="4" s="1"/>
  <c r="F34" i="4" s="1"/>
  <c r="C33" i="4"/>
  <c r="D33" i="4" s="1"/>
  <c r="E33" i="4" s="1"/>
  <c r="F33" i="4" s="1"/>
  <c r="J33" i="4"/>
  <c r="J32" i="4"/>
  <c r="C32" i="4"/>
  <c r="D32" i="4" s="1"/>
  <c r="E32" i="4" s="1"/>
  <c r="F32" i="4" s="1"/>
  <c r="J31" i="4"/>
  <c r="C31" i="4"/>
  <c r="D31" i="4" s="1"/>
  <c r="E31" i="4" s="1"/>
  <c r="F31" i="4" s="1"/>
  <c r="J30" i="4"/>
  <c r="C30" i="4"/>
  <c r="D30" i="4" s="1"/>
  <c r="E30" i="4" s="1"/>
  <c r="F30" i="4" s="1"/>
  <c r="J29" i="4"/>
  <c r="C29" i="4"/>
  <c r="D29" i="4" s="1"/>
  <c r="E29" i="4" s="1"/>
  <c r="F29" i="4" s="1"/>
  <c r="J28" i="4"/>
  <c r="C28" i="4"/>
  <c r="D28" i="4" s="1"/>
  <c r="E28" i="4" s="1"/>
  <c r="F28" i="4" s="1"/>
  <c r="J27" i="4"/>
  <c r="C27" i="4"/>
  <c r="D27" i="4" s="1"/>
  <c r="E27" i="4" s="1"/>
  <c r="F27" i="4" s="1"/>
  <c r="J26" i="4"/>
  <c r="C26" i="4"/>
  <c r="D26" i="4" s="1"/>
  <c r="E26" i="4" s="1"/>
  <c r="F26" i="4" s="1"/>
  <c r="J25" i="4"/>
  <c r="C25" i="4"/>
  <c r="D25" i="4" s="1"/>
  <c r="E25" i="4" s="1"/>
  <c r="F25" i="4" s="1"/>
  <c r="J24" i="4"/>
  <c r="C24" i="4"/>
  <c r="D24" i="4" s="1"/>
  <c r="E24" i="4" s="1"/>
  <c r="F24" i="4" s="1"/>
  <c r="J23" i="4"/>
  <c r="C23" i="4"/>
  <c r="D23" i="4" s="1"/>
  <c r="E23" i="4" s="1"/>
  <c r="F23" i="4" s="1"/>
  <c r="J22" i="4"/>
  <c r="C22" i="4"/>
  <c r="D22" i="4" s="1"/>
  <c r="E22" i="4" s="1"/>
  <c r="F22" i="4" s="1"/>
  <c r="J21" i="4"/>
  <c r="C21" i="4"/>
  <c r="D21" i="4" s="1"/>
  <c r="E21" i="4" s="1"/>
  <c r="F21" i="4" s="1"/>
  <c r="J20" i="4"/>
  <c r="C20" i="4"/>
  <c r="D20" i="4" s="1"/>
  <c r="E20" i="4" s="1"/>
  <c r="F20" i="4" s="1"/>
  <c r="J19" i="4"/>
  <c r="C19" i="4"/>
  <c r="D19" i="4" s="1"/>
  <c r="E19" i="4" s="1"/>
  <c r="F19" i="4" s="1"/>
  <c r="J18" i="4"/>
  <c r="C18" i="4"/>
  <c r="D18" i="4" s="1"/>
  <c r="E18" i="4" s="1"/>
  <c r="F18" i="4" s="1"/>
  <c r="J17" i="4"/>
  <c r="C17" i="4"/>
  <c r="D17" i="4" s="1"/>
  <c r="E17" i="4" s="1"/>
  <c r="F17" i="4" s="1"/>
  <c r="J16" i="4"/>
  <c r="C16" i="4"/>
  <c r="D16" i="4" s="1"/>
  <c r="E16" i="4" s="1"/>
  <c r="F16" i="4" s="1"/>
  <c r="J15" i="4"/>
  <c r="C15" i="4"/>
  <c r="D15" i="4" s="1"/>
  <c r="E15" i="4" s="1"/>
  <c r="F15" i="4" s="1"/>
  <c r="J14" i="4"/>
  <c r="C14" i="4"/>
  <c r="D14" i="4" s="1"/>
  <c r="E14" i="4" s="1"/>
  <c r="F14" i="4" s="1"/>
  <c r="J13" i="4"/>
  <c r="C13" i="4"/>
  <c r="D13" i="4" s="1"/>
  <c r="E13" i="4" s="1"/>
  <c r="F13" i="4" s="1"/>
  <c r="C12" i="4"/>
  <c r="D12" i="4" s="1"/>
  <c r="E12" i="4" s="1"/>
  <c r="F12" i="4" s="1"/>
  <c r="J12" i="4"/>
  <c r="J11" i="4"/>
  <c r="C11" i="4"/>
  <c r="D11" i="4" s="1"/>
  <c r="E11" i="4" s="1"/>
  <c r="F11" i="4" s="1"/>
  <c r="J10" i="4"/>
  <c r="C10" i="4"/>
  <c r="D10" i="4" s="1"/>
  <c r="E10" i="4" s="1"/>
  <c r="F10" i="4" s="1"/>
  <c r="J9" i="4"/>
  <c r="C9" i="4"/>
  <c r="D9" i="4" s="1"/>
  <c r="E9" i="4" s="1"/>
  <c r="F9" i="4" s="1"/>
  <c r="J8" i="4"/>
  <c r="C8" i="4"/>
  <c r="D8" i="4" s="1"/>
  <c r="E8" i="4" s="1"/>
  <c r="F8" i="4" s="1"/>
  <c r="J7" i="4"/>
  <c r="C7" i="4"/>
  <c r="D7" i="4" s="1"/>
  <c r="E7" i="4" s="1"/>
  <c r="F7" i="4" s="1"/>
  <c r="J6" i="4"/>
  <c r="C6" i="4"/>
  <c r="D6" i="4" s="1"/>
  <c r="E6" i="4" s="1"/>
  <c r="F6" i="4" s="1"/>
  <c r="J5" i="4"/>
  <c r="C5" i="4"/>
  <c r="D5" i="4" s="1"/>
  <c r="E5" i="4" s="1"/>
  <c r="F5" i="4" s="1"/>
  <c r="J4" i="4"/>
  <c r="C4" i="4"/>
  <c r="D4" i="4" s="1"/>
  <c r="E4" i="4" s="1"/>
  <c r="F4" i="4" s="1"/>
  <c r="J3" i="4"/>
  <c r="C3" i="4"/>
  <c r="D3" i="4" s="1"/>
  <c r="E3" i="4" s="1"/>
  <c r="F3" i="4" s="1"/>
  <c r="C2" i="4"/>
  <c r="D2" i="4" s="1"/>
  <c r="E2" i="4" s="1"/>
  <c r="F2" i="4" s="1"/>
  <c r="J2" i="4"/>
  <c r="C25" i="5"/>
  <c r="C25" i="3"/>
  <c r="C26" i="3" s="1"/>
  <c r="C22" i="3"/>
  <c r="C23" i="3"/>
  <c r="C24" i="3" s="1"/>
  <c r="G1502" i="4" l="1"/>
  <c r="H1502" i="4"/>
  <c r="G3001" i="4"/>
  <c r="H3001" i="4"/>
  <c r="G3000" i="4"/>
  <c r="I3000" i="4" s="1"/>
  <c r="H3000" i="4"/>
  <c r="G2999" i="4"/>
  <c r="I2999" i="4" s="1"/>
  <c r="H2999" i="4"/>
  <c r="G2998" i="4"/>
  <c r="I2998" i="4" s="1"/>
  <c r="H2998" i="4"/>
  <c r="G2997" i="4"/>
  <c r="I2997" i="4" s="1"/>
  <c r="H2997" i="4"/>
  <c r="G2996" i="4"/>
  <c r="I2996" i="4" s="1"/>
  <c r="H2996" i="4"/>
  <c r="G2995" i="4"/>
  <c r="I2995" i="4" s="1"/>
  <c r="H2995" i="4"/>
  <c r="G2994" i="4"/>
  <c r="I2994" i="4" s="1"/>
  <c r="H2994" i="4"/>
  <c r="G2993" i="4"/>
  <c r="I2993" i="4" s="1"/>
  <c r="H2993" i="4"/>
  <c r="G2992" i="4"/>
  <c r="I2992" i="4" s="1"/>
  <c r="H2992" i="4"/>
  <c r="G2991" i="4"/>
  <c r="I2991" i="4" s="1"/>
  <c r="H2991" i="4"/>
  <c r="G2990" i="4"/>
  <c r="I2990" i="4" s="1"/>
  <c r="H2990" i="4"/>
  <c r="G2989" i="4"/>
  <c r="I2989" i="4" s="1"/>
  <c r="H2989" i="4"/>
  <c r="G2988" i="4"/>
  <c r="I2988" i="4" s="1"/>
  <c r="H2988" i="4"/>
  <c r="G2987" i="4"/>
  <c r="I2987" i="4" s="1"/>
  <c r="H2987" i="4"/>
  <c r="G2986" i="4"/>
  <c r="I2986" i="4" s="1"/>
  <c r="H2986" i="4"/>
  <c r="G2985" i="4"/>
  <c r="I2985" i="4" s="1"/>
  <c r="H2985" i="4"/>
  <c r="G2984" i="4"/>
  <c r="I2984" i="4" s="1"/>
  <c r="H2984" i="4"/>
  <c r="G2983" i="4"/>
  <c r="I2983" i="4" s="1"/>
  <c r="H2983" i="4"/>
  <c r="G2982" i="4"/>
  <c r="I2982" i="4" s="1"/>
  <c r="H2982" i="4"/>
  <c r="G2981" i="4"/>
  <c r="I2981" i="4" s="1"/>
  <c r="H2981" i="4"/>
  <c r="G2980" i="4"/>
  <c r="I2980" i="4" s="1"/>
  <c r="H2980" i="4"/>
  <c r="G2979" i="4"/>
  <c r="I2979" i="4" s="1"/>
  <c r="H2979" i="4"/>
  <c r="G2978" i="4"/>
  <c r="I2978" i="4" s="1"/>
  <c r="H2978" i="4"/>
  <c r="G2977" i="4"/>
  <c r="I2977" i="4" s="1"/>
  <c r="H2977" i="4"/>
  <c r="G2976" i="4"/>
  <c r="I2976" i="4" s="1"/>
  <c r="H2976" i="4"/>
  <c r="G2975" i="4"/>
  <c r="I2975" i="4" s="1"/>
  <c r="H2975" i="4"/>
  <c r="G2974" i="4"/>
  <c r="I2974" i="4" s="1"/>
  <c r="H2974" i="4"/>
  <c r="G2973" i="4"/>
  <c r="I2973" i="4" s="1"/>
  <c r="H2973" i="4"/>
  <c r="G2972" i="4"/>
  <c r="I2972" i="4" s="1"/>
  <c r="H2972" i="4"/>
  <c r="G2971" i="4"/>
  <c r="I2971" i="4" s="1"/>
  <c r="H2971" i="4"/>
  <c r="G2970" i="4"/>
  <c r="I2970" i="4" s="1"/>
  <c r="H2970" i="4"/>
  <c r="G2969" i="4"/>
  <c r="I2969" i="4" s="1"/>
  <c r="H2969" i="4"/>
  <c r="G2968" i="4"/>
  <c r="I2968" i="4" s="1"/>
  <c r="H2968" i="4"/>
  <c r="G2967" i="4"/>
  <c r="I2967" i="4" s="1"/>
  <c r="H2967" i="4"/>
  <c r="G2966" i="4"/>
  <c r="I2966" i="4" s="1"/>
  <c r="H2966" i="4"/>
  <c r="G2965" i="4"/>
  <c r="I2965" i="4" s="1"/>
  <c r="H2965" i="4"/>
  <c r="G2964" i="4"/>
  <c r="I2964" i="4" s="1"/>
  <c r="H2964" i="4"/>
  <c r="G2963" i="4"/>
  <c r="I2963" i="4" s="1"/>
  <c r="H2963" i="4"/>
  <c r="G2962" i="4"/>
  <c r="I2962" i="4" s="1"/>
  <c r="H2962" i="4"/>
  <c r="G2961" i="4"/>
  <c r="I2961" i="4" s="1"/>
  <c r="H2961" i="4"/>
  <c r="G2960" i="4"/>
  <c r="I2960" i="4" s="1"/>
  <c r="H2960" i="4"/>
  <c r="G2959" i="4"/>
  <c r="I2959" i="4" s="1"/>
  <c r="H2959" i="4"/>
  <c r="G2958" i="4"/>
  <c r="I2958" i="4" s="1"/>
  <c r="H2958" i="4"/>
  <c r="G2957" i="4"/>
  <c r="I2957" i="4" s="1"/>
  <c r="H2957" i="4"/>
  <c r="G2956" i="4"/>
  <c r="I2956" i="4" s="1"/>
  <c r="H2956" i="4"/>
  <c r="G2955" i="4"/>
  <c r="I2955" i="4" s="1"/>
  <c r="H2955" i="4"/>
  <c r="G2954" i="4"/>
  <c r="I2954" i="4" s="1"/>
  <c r="H2954" i="4"/>
  <c r="G2953" i="4"/>
  <c r="I2953" i="4" s="1"/>
  <c r="H2953" i="4"/>
  <c r="G2952" i="4"/>
  <c r="I2952" i="4" s="1"/>
  <c r="H2952" i="4"/>
  <c r="G2951" i="4"/>
  <c r="I2951" i="4" s="1"/>
  <c r="H2951" i="4"/>
  <c r="G2950" i="4"/>
  <c r="I2950" i="4" s="1"/>
  <c r="H2950" i="4"/>
  <c r="G2949" i="4"/>
  <c r="I2949" i="4" s="1"/>
  <c r="H2949" i="4"/>
  <c r="G2948" i="4"/>
  <c r="I2948" i="4" s="1"/>
  <c r="H2948" i="4"/>
  <c r="G2947" i="4"/>
  <c r="I2947" i="4" s="1"/>
  <c r="H2947" i="4"/>
  <c r="G2946" i="4"/>
  <c r="I2946" i="4" s="1"/>
  <c r="H2946" i="4"/>
  <c r="G2945" i="4"/>
  <c r="I2945" i="4" s="1"/>
  <c r="H2945" i="4"/>
  <c r="G2944" i="4"/>
  <c r="I2944" i="4" s="1"/>
  <c r="H2944" i="4"/>
  <c r="G2943" i="4"/>
  <c r="I2943" i="4" s="1"/>
  <c r="H2943" i="4"/>
  <c r="G2942" i="4"/>
  <c r="I2942" i="4" s="1"/>
  <c r="H2942" i="4"/>
  <c r="G2941" i="4"/>
  <c r="I2941" i="4" s="1"/>
  <c r="H2941" i="4"/>
  <c r="G2940" i="4"/>
  <c r="I2940" i="4" s="1"/>
  <c r="H2940" i="4"/>
  <c r="G2939" i="4"/>
  <c r="I2939" i="4" s="1"/>
  <c r="H2939" i="4"/>
  <c r="G2938" i="4"/>
  <c r="I2938" i="4" s="1"/>
  <c r="H2938" i="4"/>
  <c r="G2937" i="4"/>
  <c r="I2937" i="4" s="1"/>
  <c r="H2937" i="4"/>
  <c r="G2936" i="4"/>
  <c r="I2936" i="4" s="1"/>
  <c r="H2936" i="4"/>
  <c r="G2935" i="4"/>
  <c r="I2935" i="4" s="1"/>
  <c r="H2935" i="4"/>
  <c r="G2934" i="4"/>
  <c r="I2934" i="4" s="1"/>
  <c r="H2934" i="4"/>
  <c r="G2933" i="4"/>
  <c r="I2933" i="4" s="1"/>
  <c r="H2933" i="4"/>
  <c r="G2932" i="4"/>
  <c r="I2932" i="4" s="1"/>
  <c r="H2932" i="4"/>
  <c r="G2931" i="4"/>
  <c r="I2931" i="4" s="1"/>
  <c r="H2931" i="4"/>
  <c r="G2930" i="4"/>
  <c r="I2930" i="4" s="1"/>
  <c r="H2930" i="4"/>
  <c r="G2929" i="4"/>
  <c r="I2929" i="4" s="1"/>
  <c r="H2929" i="4"/>
  <c r="G2928" i="4"/>
  <c r="I2928" i="4" s="1"/>
  <c r="H2928" i="4"/>
  <c r="G2927" i="4"/>
  <c r="I2927" i="4" s="1"/>
  <c r="H2927" i="4"/>
  <c r="G2926" i="4"/>
  <c r="I2926" i="4" s="1"/>
  <c r="H2926" i="4"/>
  <c r="G2925" i="4"/>
  <c r="I2925" i="4" s="1"/>
  <c r="H2925" i="4"/>
  <c r="G2924" i="4"/>
  <c r="I2924" i="4" s="1"/>
  <c r="H2924" i="4"/>
  <c r="G2923" i="4"/>
  <c r="I2923" i="4" s="1"/>
  <c r="H2923" i="4"/>
  <c r="G2922" i="4"/>
  <c r="I2922" i="4" s="1"/>
  <c r="H2922" i="4"/>
  <c r="G2921" i="4"/>
  <c r="I2921" i="4" s="1"/>
  <c r="H2921" i="4"/>
  <c r="G2920" i="4"/>
  <c r="I2920" i="4" s="1"/>
  <c r="H2920" i="4"/>
  <c r="G2919" i="4"/>
  <c r="I2919" i="4" s="1"/>
  <c r="H2919" i="4"/>
  <c r="G2918" i="4"/>
  <c r="I2918" i="4" s="1"/>
  <c r="H2918" i="4"/>
  <c r="G2917" i="4"/>
  <c r="I2917" i="4" s="1"/>
  <c r="H2917" i="4"/>
  <c r="G2916" i="4"/>
  <c r="I2916" i="4" s="1"/>
  <c r="H2916" i="4"/>
  <c r="G2915" i="4"/>
  <c r="I2915" i="4" s="1"/>
  <c r="H2915" i="4"/>
  <c r="G2914" i="4"/>
  <c r="I2914" i="4" s="1"/>
  <c r="H2914" i="4"/>
  <c r="G2913" i="4"/>
  <c r="I2913" i="4" s="1"/>
  <c r="H2913" i="4"/>
  <c r="G2912" i="4"/>
  <c r="I2912" i="4" s="1"/>
  <c r="H2912" i="4"/>
  <c r="G2911" i="4"/>
  <c r="I2911" i="4" s="1"/>
  <c r="H2911" i="4"/>
  <c r="G2910" i="4"/>
  <c r="I2910" i="4" s="1"/>
  <c r="H2910" i="4"/>
  <c r="G2909" i="4"/>
  <c r="I2909" i="4" s="1"/>
  <c r="H2909" i="4"/>
  <c r="G2908" i="4"/>
  <c r="I2908" i="4" s="1"/>
  <c r="H2908" i="4"/>
  <c r="G2907" i="4"/>
  <c r="I2907" i="4" s="1"/>
  <c r="H2907" i="4"/>
  <c r="G2906" i="4"/>
  <c r="I2906" i="4" s="1"/>
  <c r="H2906" i="4"/>
  <c r="G2905" i="4"/>
  <c r="I2905" i="4" s="1"/>
  <c r="H2905" i="4"/>
  <c r="G2904" i="4"/>
  <c r="I2904" i="4" s="1"/>
  <c r="H2904" i="4"/>
  <c r="G2903" i="4"/>
  <c r="I2903" i="4" s="1"/>
  <c r="H2903" i="4"/>
  <c r="G2902" i="4"/>
  <c r="I2902" i="4" s="1"/>
  <c r="H2902" i="4"/>
  <c r="G2901" i="4"/>
  <c r="I2901" i="4" s="1"/>
  <c r="H2901" i="4"/>
  <c r="G2900" i="4"/>
  <c r="I2900" i="4" s="1"/>
  <c r="H2900" i="4"/>
  <c r="G2899" i="4"/>
  <c r="I2899" i="4" s="1"/>
  <c r="H2899" i="4"/>
  <c r="G2898" i="4"/>
  <c r="I2898" i="4" s="1"/>
  <c r="H2898" i="4"/>
  <c r="G2897" i="4"/>
  <c r="I2897" i="4" s="1"/>
  <c r="H2897" i="4"/>
  <c r="G2896" i="4"/>
  <c r="I2896" i="4" s="1"/>
  <c r="H2896" i="4"/>
  <c r="G2895" i="4"/>
  <c r="I2895" i="4" s="1"/>
  <c r="H2895" i="4"/>
  <c r="G2894" i="4"/>
  <c r="I2894" i="4" s="1"/>
  <c r="H2894" i="4"/>
  <c r="G2893" i="4"/>
  <c r="I2893" i="4" s="1"/>
  <c r="H2893" i="4"/>
  <c r="G2892" i="4"/>
  <c r="I2892" i="4" s="1"/>
  <c r="H2892" i="4"/>
  <c r="G2891" i="4"/>
  <c r="I2891" i="4" s="1"/>
  <c r="H2891" i="4"/>
  <c r="G2890" i="4"/>
  <c r="I2890" i="4" s="1"/>
  <c r="H2890" i="4"/>
  <c r="G2889" i="4"/>
  <c r="I2889" i="4" s="1"/>
  <c r="H2889" i="4"/>
  <c r="G2888" i="4"/>
  <c r="I2888" i="4" s="1"/>
  <c r="H2888" i="4"/>
  <c r="G2887" i="4"/>
  <c r="I2887" i="4" s="1"/>
  <c r="H2887" i="4"/>
  <c r="G2886" i="4"/>
  <c r="I2886" i="4" s="1"/>
  <c r="H2886" i="4"/>
  <c r="G2885" i="4"/>
  <c r="I2885" i="4" s="1"/>
  <c r="H2885" i="4"/>
  <c r="G2884" i="4"/>
  <c r="I2884" i="4" s="1"/>
  <c r="H2884" i="4"/>
  <c r="G2883" i="4"/>
  <c r="I2883" i="4" s="1"/>
  <c r="H2883" i="4"/>
  <c r="G2882" i="4"/>
  <c r="I2882" i="4" s="1"/>
  <c r="H2882" i="4"/>
  <c r="G2881" i="4"/>
  <c r="I2881" i="4" s="1"/>
  <c r="H2881" i="4"/>
  <c r="G2880" i="4"/>
  <c r="I2880" i="4" s="1"/>
  <c r="H2880" i="4"/>
  <c r="G2879" i="4"/>
  <c r="I2879" i="4" s="1"/>
  <c r="H2879" i="4"/>
  <c r="G2878" i="4"/>
  <c r="I2878" i="4" s="1"/>
  <c r="H2878" i="4"/>
  <c r="G2877" i="4"/>
  <c r="I2877" i="4" s="1"/>
  <c r="H2877" i="4"/>
  <c r="G2876" i="4"/>
  <c r="I2876" i="4" s="1"/>
  <c r="H2876" i="4"/>
  <c r="G2875" i="4"/>
  <c r="I2875" i="4" s="1"/>
  <c r="H2875" i="4"/>
  <c r="G2874" i="4"/>
  <c r="I2874" i="4" s="1"/>
  <c r="H2874" i="4"/>
  <c r="G2873" i="4"/>
  <c r="I2873" i="4" s="1"/>
  <c r="H2873" i="4"/>
  <c r="G2872" i="4"/>
  <c r="I2872" i="4" s="1"/>
  <c r="H2872" i="4"/>
  <c r="G2871" i="4"/>
  <c r="I2871" i="4" s="1"/>
  <c r="H2871" i="4"/>
  <c r="G2870" i="4"/>
  <c r="I2870" i="4" s="1"/>
  <c r="H2870" i="4"/>
  <c r="G2869" i="4"/>
  <c r="I2869" i="4" s="1"/>
  <c r="H2869" i="4"/>
  <c r="G2868" i="4"/>
  <c r="I2868" i="4" s="1"/>
  <c r="H2868" i="4"/>
  <c r="G2867" i="4"/>
  <c r="I2867" i="4" s="1"/>
  <c r="H2867" i="4"/>
  <c r="G2866" i="4"/>
  <c r="I2866" i="4" s="1"/>
  <c r="H2866" i="4"/>
  <c r="G2865" i="4"/>
  <c r="I2865" i="4" s="1"/>
  <c r="H2865" i="4"/>
  <c r="G2864" i="4"/>
  <c r="I2864" i="4" s="1"/>
  <c r="H2864" i="4"/>
  <c r="G2863" i="4"/>
  <c r="I2863" i="4" s="1"/>
  <c r="H2863" i="4"/>
  <c r="G2862" i="4"/>
  <c r="I2862" i="4" s="1"/>
  <c r="H2862" i="4"/>
  <c r="G2861" i="4"/>
  <c r="I2861" i="4" s="1"/>
  <c r="H2861" i="4"/>
  <c r="G2860" i="4"/>
  <c r="I2860" i="4" s="1"/>
  <c r="H2860" i="4"/>
  <c r="G2859" i="4"/>
  <c r="I2859" i="4" s="1"/>
  <c r="H2859" i="4"/>
  <c r="G2858" i="4"/>
  <c r="I2858" i="4" s="1"/>
  <c r="H2858" i="4"/>
  <c r="G2857" i="4"/>
  <c r="I2857" i="4" s="1"/>
  <c r="H2857" i="4"/>
  <c r="G2856" i="4"/>
  <c r="I2856" i="4" s="1"/>
  <c r="H2856" i="4"/>
  <c r="G2855" i="4"/>
  <c r="I2855" i="4" s="1"/>
  <c r="H2855" i="4"/>
  <c r="G2854" i="4"/>
  <c r="I2854" i="4" s="1"/>
  <c r="H2854" i="4"/>
  <c r="G2853" i="4"/>
  <c r="I2853" i="4" s="1"/>
  <c r="H2853" i="4"/>
  <c r="G2852" i="4"/>
  <c r="I2852" i="4" s="1"/>
  <c r="H2852" i="4"/>
  <c r="G2851" i="4"/>
  <c r="I2851" i="4" s="1"/>
  <c r="H2851" i="4"/>
  <c r="G2850" i="4"/>
  <c r="I2850" i="4" s="1"/>
  <c r="H2850" i="4"/>
  <c r="G2849" i="4"/>
  <c r="I2849" i="4" s="1"/>
  <c r="H2849" i="4"/>
  <c r="G2848" i="4"/>
  <c r="I2848" i="4" s="1"/>
  <c r="H2848" i="4"/>
  <c r="G2847" i="4"/>
  <c r="I2847" i="4" s="1"/>
  <c r="H2847" i="4"/>
  <c r="G2846" i="4"/>
  <c r="I2846" i="4" s="1"/>
  <c r="H2846" i="4"/>
  <c r="G2845" i="4"/>
  <c r="I2845" i="4" s="1"/>
  <c r="H2845" i="4"/>
  <c r="G2844" i="4"/>
  <c r="I2844" i="4" s="1"/>
  <c r="H2844" i="4"/>
  <c r="G2843" i="4"/>
  <c r="I2843" i="4" s="1"/>
  <c r="H2843" i="4"/>
  <c r="G2842" i="4"/>
  <c r="I2842" i="4" s="1"/>
  <c r="H2842" i="4"/>
  <c r="G2841" i="4"/>
  <c r="I2841" i="4" s="1"/>
  <c r="H2841" i="4"/>
  <c r="G2840" i="4"/>
  <c r="I2840" i="4" s="1"/>
  <c r="H2840" i="4"/>
  <c r="G2839" i="4"/>
  <c r="I2839" i="4" s="1"/>
  <c r="H2839" i="4"/>
  <c r="G2838" i="4"/>
  <c r="I2838" i="4" s="1"/>
  <c r="H2838" i="4"/>
  <c r="G2837" i="4"/>
  <c r="I2837" i="4" s="1"/>
  <c r="H2837" i="4"/>
  <c r="G2836" i="4"/>
  <c r="I2836" i="4" s="1"/>
  <c r="H2836" i="4"/>
  <c r="G2835" i="4"/>
  <c r="I2835" i="4" s="1"/>
  <c r="H2835" i="4"/>
  <c r="G2834" i="4"/>
  <c r="I2834" i="4" s="1"/>
  <c r="H2834" i="4"/>
  <c r="G2833" i="4"/>
  <c r="I2833" i="4" s="1"/>
  <c r="H2833" i="4"/>
  <c r="G2832" i="4"/>
  <c r="I2832" i="4" s="1"/>
  <c r="H2832" i="4"/>
  <c r="G2831" i="4"/>
  <c r="I2831" i="4" s="1"/>
  <c r="H2831" i="4"/>
  <c r="G2830" i="4"/>
  <c r="I2830" i="4" s="1"/>
  <c r="H2830" i="4"/>
  <c r="G2829" i="4"/>
  <c r="I2829" i="4" s="1"/>
  <c r="H2829" i="4"/>
  <c r="G2828" i="4"/>
  <c r="I2828" i="4" s="1"/>
  <c r="H2828" i="4"/>
  <c r="G2827" i="4"/>
  <c r="I2827" i="4" s="1"/>
  <c r="H2827" i="4"/>
  <c r="G2826" i="4"/>
  <c r="I2826" i="4" s="1"/>
  <c r="H2826" i="4"/>
  <c r="G2825" i="4"/>
  <c r="I2825" i="4" s="1"/>
  <c r="H2825" i="4"/>
  <c r="G2824" i="4"/>
  <c r="I2824" i="4" s="1"/>
  <c r="H2824" i="4"/>
  <c r="G2823" i="4"/>
  <c r="I2823" i="4" s="1"/>
  <c r="H2823" i="4"/>
  <c r="G2822" i="4"/>
  <c r="I2822" i="4" s="1"/>
  <c r="H2822" i="4"/>
  <c r="G2821" i="4"/>
  <c r="I2821" i="4" s="1"/>
  <c r="H2821" i="4"/>
  <c r="G2820" i="4"/>
  <c r="I2820" i="4" s="1"/>
  <c r="H2820" i="4"/>
  <c r="G2819" i="4"/>
  <c r="I2819" i="4" s="1"/>
  <c r="H2819" i="4"/>
  <c r="G2818" i="4"/>
  <c r="I2818" i="4" s="1"/>
  <c r="H2818" i="4"/>
  <c r="G2817" i="4"/>
  <c r="I2817" i="4" s="1"/>
  <c r="H2817" i="4"/>
  <c r="G2816" i="4"/>
  <c r="I2816" i="4" s="1"/>
  <c r="H2816" i="4"/>
  <c r="G2815" i="4"/>
  <c r="I2815" i="4" s="1"/>
  <c r="H2815" i="4"/>
  <c r="G2814" i="4"/>
  <c r="I2814" i="4" s="1"/>
  <c r="H2814" i="4"/>
  <c r="G2813" i="4"/>
  <c r="I2813" i="4" s="1"/>
  <c r="H2813" i="4"/>
  <c r="G2812" i="4"/>
  <c r="I2812" i="4" s="1"/>
  <c r="H2812" i="4"/>
  <c r="G2811" i="4"/>
  <c r="I2811" i="4" s="1"/>
  <c r="H2811" i="4"/>
  <c r="G2810" i="4"/>
  <c r="I2810" i="4" s="1"/>
  <c r="H2810" i="4"/>
  <c r="G2809" i="4"/>
  <c r="I2809" i="4" s="1"/>
  <c r="H2809" i="4"/>
  <c r="G2808" i="4"/>
  <c r="I2808" i="4" s="1"/>
  <c r="H2808" i="4"/>
  <c r="G2807" i="4"/>
  <c r="I2807" i="4" s="1"/>
  <c r="H2807" i="4"/>
  <c r="G2806" i="4"/>
  <c r="I2806" i="4" s="1"/>
  <c r="H2806" i="4"/>
  <c r="G2805" i="4"/>
  <c r="I2805" i="4" s="1"/>
  <c r="H2805" i="4"/>
  <c r="G2804" i="4"/>
  <c r="I2804" i="4" s="1"/>
  <c r="H2804" i="4"/>
  <c r="G2803" i="4"/>
  <c r="I2803" i="4" s="1"/>
  <c r="H2803" i="4"/>
  <c r="G2802" i="4"/>
  <c r="I2802" i="4" s="1"/>
  <c r="H2802" i="4"/>
  <c r="G2801" i="4"/>
  <c r="I2801" i="4" s="1"/>
  <c r="H2801" i="4"/>
  <c r="G2800" i="4"/>
  <c r="I2800" i="4" s="1"/>
  <c r="H2800" i="4"/>
  <c r="G2799" i="4"/>
  <c r="I2799" i="4" s="1"/>
  <c r="H2799" i="4"/>
  <c r="G2798" i="4"/>
  <c r="I2798" i="4" s="1"/>
  <c r="H2798" i="4"/>
  <c r="G2797" i="4"/>
  <c r="I2797" i="4" s="1"/>
  <c r="H2797" i="4"/>
  <c r="G2796" i="4"/>
  <c r="I2796" i="4" s="1"/>
  <c r="H2796" i="4"/>
  <c r="G2795" i="4"/>
  <c r="I2795" i="4" s="1"/>
  <c r="H2795" i="4"/>
  <c r="G2794" i="4"/>
  <c r="I2794" i="4" s="1"/>
  <c r="H2794" i="4"/>
  <c r="G2793" i="4"/>
  <c r="I2793" i="4" s="1"/>
  <c r="H2793" i="4"/>
  <c r="G2792" i="4"/>
  <c r="I2792" i="4" s="1"/>
  <c r="H2792" i="4"/>
  <c r="G2791" i="4"/>
  <c r="I2791" i="4" s="1"/>
  <c r="H2791" i="4"/>
  <c r="G2790" i="4"/>
  <c r="I2790" i="4" s="1"/>
  <c r="H2790" i="4"/>
  <c r="G2789" i="4"/>
  <c r="I2789" i="4" s="1"/>
  <c r="H2789" i="4"/>
  <c r="G2788" i="4"/>
  <c r="I2788" i="4" s="1"/>
  <c r="H2788" i="4"/>
  <c r="G2787" i="4"/>
  <c r="I2787" i="4" s="1"/>
  <c r="H2787" i="4"/>
  <c r="G2786" i="4"/>
  <c r="I2786" i="4" s="1"/>
  <c r="H2786" i="4"/>
  <c r="G2785" i="4"/>
  <c r="I2785" i="4" s="1"/>
  <c r="H2785" i="4"/>
  <c r="G2784" i="4"/>
  <c r="I2784" i="4" s="1"/>
  <c r="H2784" i="4"/>
  <c r="G2783" i="4"/>
  <c r="I2783" i="4" s="1"/>
  <c r="H2783" i="4"/>
  <c r="G2782" i="4"/>
  <c r="I2782" i="4" s="1"/>
  <c r="H2782" i="4"/>
  <c r="G2781" i="4"/>
  <c r="I2781" i="4" s="1"/>
  <c r="H2781" i="4"/>
  <c r="G2780" i="4"/>
  <c r="I2780" i="4" s="1"/>
  <c r="H2780" i="4"/>
  <c r="G2779" i="4"/>
  <c r="I2779" i="4" s="1"/>
  <c r="H2779" i="4"/>
  <c r="G2778" i="4"/>
  <c r="I2778" i="4" s="1"/>
  <c r="H2778" i="4"/>
  <c r="G2777" i="4"/>
  <c r="I2777" i="4" s="1"/>
  <c r="H2777" i="4"/>
  <c r="G2776" i="4"/>
  <c r="I2776" i="4" s="1"/>
  <c r="H2776" i="4"/>
  <c r="G2775" i="4"/>
  <c r="I2775" i="4" s="1"/>
  <c r="H2775" i="4"/>
  <c r="G2774" i="4"/>
  <c r="I2774" i="4" s="1"/>
  <c r="H2774" i="4"/>
  <c r="G2773" i="4"/>
  <c r="I2773" i="4" s="1"/>
  <c r="H2773" i="4"/>
  <c r="G2772" i="4"/>
  <c r="I2772" i="4" s="1"/>
  <c r="H2772" i="4"/>
  <c r="G2771" i="4"/>
  <c r="I2771" i="4" s="1"/>
  <c r="H2771" i="4"/>
  <c r="G2770" i="4"/>
  <c r="I2770" i="4" s="1"/>
  <c r="H2770" i="4"/>
  <c r="G2769" i="4"/>
  <c r="I2769" i="4" s="1"/>
  <c r="H2769" i="4"/>
  <c r="G2768" i="4"/>
  <c r="I2768" i="4" s="1"/>
  <c r="H2768" i="4"/>
  <c r="G2767" i="4"/>
  <c r="I2767" i="4" s="1"/>
  <c r="H2767" i="4"/>
  <c r="G2766" i="4"/>
  <c r="I2766" i="4" s="1"/>
  <c r="H2766" i="4"/>
  <c r="G2765" i="4"/>
  <c r="I2765" i="4" s="1"/>
  <c r="H2765" i="4"/>
  <c r="G2764" i="4"/>
  <c r="I2764" i="4" s="1"/>
  <c r="H2764" i="4"/>
  <c r="G2763" i="4"/>
  <c r="I2763" i="4" s="1"/>
  <c r="H2763" i="4"/>
  <c r="G2762" i="4"/>
  <c r="I2762" i="4" s="1"/>
  <c r="H2762" i="4"/>
  <c r="G2761" i="4"/>
  <c r="I2761" i="4" s="1"/>
  <c r="H2761" i="4"/>
  <c r="G2760" i="4"/>
  <c r="I2760" i="4" s="1"/>
  <c r="H2760" i="4"/>
  <c r="G2759" i="4"/>
  <c r="I2759" i="4" s="1"/>
  <c r="H2759" i="4"/>
  <c r="G2758" i="4"/>
  <c r="I2758" i="4" s="1"/>
  <c r="H2758" i="4"/>
  <c r="G2757" i="4"/>
  <c r="I2757" i="4" s="1"/>
  <c r="H2757" i="4"/>
  <c r="G2756" i="4"/>
  <c r="I2756" i="4" s="1"/>
  <c r="H2756" i="4"/>
  <c r="G2755" i="4"/>
  <c r="I2755" i="4" s="1"/>
  <c r="H2755" i="4"/>
  <c r="G2754" i="4"/>
  <c r="I2754" i="4" s="1"/>
  <c r="H2754" i="4"/>
  <c r="G2753" i="4"/>
  <c r="I2753" i="4" s="1"/>
  <c r="H2753" i="4"/>
  <c r="G2752" i="4"/>
  <c r="I2752" i="4" s="1"/>
  <c r="H2752" i="4"/>
  <c r="G2751" i="4"/>
  <c r="I2751" i="4" s="1"/>
  <c r="H2751" i="4"/>
  <c r="G2750" i="4"/>
  <c r="I2750" i="4" s="1"/>
  <c r="H2750" i="4"/>
  <c r="G2749" i="4"/>
  <c r="I2749" i="4" s="1"/>
  <c r="H2749" i="4"/>
  <c r="G2748" i="4"/>
  <c r="I2748" i="4" s="1"/>
  <c r="H2748" i="4"/>
  <c r="G2747" i="4"/>
  <c r="I2747" i="4" s="1"/>
  <c r="H2747" i="4"/>
  <c r="G2746" i="4"/>
  <c r="I2746" i="4" s="1"/>
  <c r="H2746" i="4"/>
  <c r="G2745" i="4"/>
  <c r="I2745" i="4" s="1"/>
  <c r="H2745" i="4"/>
  <c r="G2744" i="4"/>
  <c r="I2744" i="4" s="1"/>
  <c r="H2744" i="4"/>
  <c r="G2743" i="4"/>
  <c r="I2743" i="4" s="1"/>
  <c r="H2743" i="4"/>
  <c r="G2742" i="4"/>
  <c r="I2742" i="4" s="1"/>
  <c r="H2742" i="4"/>
  <c r="G2741" i="4"/>
  <c r="I2741" i="4" s="1"/>
  <c r="H2741" i="4"/>
  <c r="G2740" i="4"/>
  <c r="I2740" i="4" s="1"/>
  <c r="H2740" i="4"/>
  <c r="G2739" i="4"/>
  <c r="I2739" i="4" s="1"/>
  <c r="H2739" i="4"/>
  <c r="G2738" i="4"/>
  <c r="I2738" i="4" s="1"/>
  <c r="H2738" i="4"/>
  <c r="G2737" i="4"/>
  <c r="I2737" i="4" s="1"/>
  <c r="H2737" i="4"/>
  <c r="G2736" i="4"/>
  <c r="I2736" i="4" s="1"/>
  <c r="H2736" i="4"/>
  <c r="G2735" i="4"/>
  <c r="I2735" i="4" s="1"/>
  <c r="H2735" i="4"/>
  <c r="G2734" i="4"/>
  <c r="I2734" i="4" s="1"/>
  <c r="H2734" i="4"/>
  <c r="G2733" i="4"/>
  <c r="I2733" i="4" s="1"/>
  <c r="H2733" i="4"/>
  <c r="G2732" i="4"/>
  <c r="I2732" i="4" s="1"/>
  <c r="H2732" i="4"/>
  <c r="G2731" i="4"/>
  <c r="I2731" i="4" s="1"/>
  <c r="H2731" i="4"/>
  <c r="G2730" i="4"/>
  <c r="I2730" i="4" s="1"/>
  <c r="H2730" i="4"/>
  <c r="G2729" i="4"/>
  <c r="I2729" i="4" s="1"/>
  <c r="H2729" i="4"/>
  <c r="G2728" i="4"/>
  <c r="I2728" i="4" s="1"/>
  <c r="H2728" i="4"/>
  <c r="G2727" i="4"/>
  <c r="I2727" i="4" s="1"/>
  <c r="H2727" i="4"/>
  <c r="G2726" i="4"/>
  <c r="I2726" i="4" s="1"/>
  <c r="H2726" i="4"/>
  <c r="G2725" i="4"/>
  <c r="I2725" i="4" s="1"/>
  <c r="H2725" i="4"/>
  <c r="G2724" i="4"/>
  <c r="I2724" i="4" s="1"/>
  <c r="H2724" i="4"/>
  <c r="G2723" i="4"/>
  <c r="I2723" i="4" s="1"/>
  <c r="H2723" i="4"/>
  <c r="G2722" i="4"/>
  <c r="I2722" i="4" s="1"/>
  <c r="H2722" i="4"/>
  <c r="G2721" i="4"/>
  <c r="I2721" i="4" s="1"/>
  <c r="H2721" i="4"/>
  <c r="G2720" i="4"/>
  <c r="I2720" i="4" s="1"/>
  <c r="H2720" i="4"/>
  <c r="G2719" i="4"/>
  <c r="I2719" i="4" s="1"/>
  <c r="H2719" i="4"/>
  <c r="G2718" i="4"/>
  <c r="I2718" i="4" s="1"/>
  <c r="H2718" i="4"/>
  <c r="G2717" i="4"/>
  <c r="I2717" i="4" s="1"/>
  <c r="H2717" i="4"/>
  <c r="G2716" i="4"/>
  <c r="I2716" i="4" s="1"/>
  <c r="H2716" i="4"/>
  <c r="G2715" i="4"/>
  <c r="I2715" i="4" s="1"/>
  <c r="H2715" i="4"/>
  <c r="G2714" i="4"/>
  <c r="I2714" i="4" s="1"/>
  <c r="H2714" i="4"/>
  <c r="G2713" i="4"/>
  <c r="I2713" i="4" s="1"/>
  <c r="H2713" i="4"/>
  <c r="G2712" i="4"/>
  <c r="I2712" i="4" s="1"/>
  <c r="H2712" i="4"/>
  <c r="G2711" i="4"/>
  <c r="I2711" i="4" s="1"/>
  <c r="H2711" i="4"/>
  <c r="G2710" i="4"/>
  <c r="I2710" i="4" s="1"/>
  <c r="H2710" i="4"/>
  <c r="G2709" i="4"/>
  <c r="I2709" i="4" s="1"/>
  <c r="H2709" i="4"/>
  <c r="G2708" i="4"/>
  <c r="I2708" i="4" s="1"/>
  <c r="H2708" i="4"/>
  <c r="G2707" i="4"/>
  <c r="I2707" i="4" s="1"/>
  <c r="H2707" i="4"/>
  <c r="G2706" i="4"/>
  <c r="I2706" i="4" s="1"/>
  <c r="H2706" i="4"/>
  <c r="G2705" i="4"/>
  <c r="I2705" i="4" s="1"/>
  <c r="H2705" i="4"/>
  <c r="G2704" i="4"/>
  <c r="I2704" i="4" s="1"/>
  <c r="H2704" i="4"/>
  <c r="G2703" i="4"/>
  <c r="I2703" i="4" s="1"/>
  <c r="H2703" i="4"/>
  <c r="G2702" i="4"/>
  <c r="I2702" i="4" s="1"/>
  <c r="H2702" i="4"/>
  <c r="G2701" i="4"/>
  <c r="I2701" i="4" s="1"/>
  <c r="H2701" i="4"/>
  <c r="G2700" i="4"/>
  <c r="I2700" i="4" s="1"/>
  <c r="H2700" i="4"/>
  <c r="G2699" i="4"/>
  <c r="I2699" i="4" s="1"/>
  <c r="H2699" i="4"/>
  <c r="G2698" i="4"/>
  <c r="I2698" i="4" s="1"/>
  <c r="H2698" i="4"/>
  <c r="G2697" i="4"/>
  <c r="I2697" i="4" s="1"/>
  <c r="H2697" i="4"/>
  <c r="G2696" i="4"/>
  <c r="I2696" i="4" s="1"/>
  <c r="H2696" i="4"/>
  <c r="G2695" i="4"/>
  <c r="I2695" i="4" s="1"/>
  <c r="H2695" i="4"/>
  <c r="G2694" i="4"/>
  <c r="I2694" i="4" s="1"/>
  <c r="H2694" i="4"/>
  <c r="G2693" i="4"/>
  <c r="I2693" i="4" s="1"/>
  <c r="H2693" i="4"/>
  <c r="G2692" i="4"/>
  <c r="I2692" i="4" s="1"/>
  <c r="H2692" i="4"/>
  <c r="G2691" i="4"/>
  <c r="I2691" i="4" s="1"/>
  <c r="H2691" i="4"/>
  <c r="G2690" i="4"/>
  <c r="I2690" i="4" s="1"/>
  <c r="H2690" i="4"/>
  <c r="G2689" i="4"/>
  <c r="I2689" i="4" s="1"/>
  <c r="H2689" i="4"/>
  <c r="G2688" i="4"/>
  <c r="I2688" i="4" s="1"/>
  <c r="H2688" i="4"/>
  <c r="G2687" i="4"/>
  <c r="I2687" i="4" s="1"/>
  <c r="H2687" i="4"/>
  <c r="G2686" i="4"/>
  <c r="I2686" i="4" s="1"/>
  <c r="H2686" i="4"/>
  <c r="G2685" i="4"/>
  <c r="I2685" i="4" s="1"/>
  <c r="H2685" i="4"/>
  <c r="G2684" i="4"/>
  <c r="I2684" i="4" s="1"/>
  <c r="H2684" i="4"/>
  <c r="G2683" i="4"/>
  <c r="I2683" i="4" s="1"/>
  <c r="H2683" i="4"/>
  <c r="G2682" i="4"/>
  <c r="I2682" i="4" s="1"/>
  <c r="H2682" i="4"/>
  <c r="G2681" i="4"/>
  <c r="I2681" i="4" s="1"/>
  <c r="H2681" i="4"/>
  <c r="G2680" i="4"/>
  <c r="I2680" i="4" s="1"/>
  <c r="H2680" i="4"/>
  <c r="G2679" i="4"/>
  <c r="I2679" i="4" s="1"/>
  <c r="H2679" i="4"/>
  <c r="G2678" i="4"/>
  <c r="I2678" i="4" s="1"/>
  <c r="H2678" i="4"/>
  <c r="G2677" i="4"/>
  <c r="I2677" i="4" s="1"/>
  <c r="H2677" i="4"/>
  <c r="G2676" i="4"/>
  <c r="I2676" i="4" s="1"/>
  <c r="H2676" i="4"/>
  <c r="G2675" i="4"/>
  <c r="I2675" i="4" s="1"/>
  <c r="H2675" i="4"/>
  <c r="G2674" i="4"/>
  <c r="I2674" i="4" s="1"/>
  <c r="H2674" i="4"/>
  <c r="G2673" i="4"/>
  <c r="I2673" i="4" s="1"/>
  <c r="H2673" i="4"/>
  <c r="G2672" i="4"/>
  <c r="I2672" i="4" s="1"/>
  <c r="H2672" i="4"/>
  <c r="G2671" i="4"/>
  <c r="I2671" i="4" s="1"/>
  <c r="H2671" i="4"/>
  <c r="G2670" i="4"/>
  <c r="I2670" i="4" s="1"/>
  <c r="H2670" i="4"/>
  <c r="G2669" i="4"/>
  <c r="I2669" i="4" s="1"/>
  <c r="H2669" i="4"/>
  <c r="G2668" i="4"/>
  <c r="I2668" i="4" s="1"/>
  <c r="H2668" i="4"/>
  <c r="G2667" i="4"/>
  <c r="I2667" i="4" s="1"/>
  <c r="H2667" i="4"/>
  <c r="G2666" i="4"/>
  <c r="I2666" i="4" s="1"/>
  <c r="H2666" i="4"/>
  <c r="G2665" i="4"/>
  <c r="I2665" i="4" s="1"/>
  <c r="H2665" i="4"/>
  <c r="G2664" i="4"/>
  <c r="I2664" i="4" s="1"/>
  <c r="H2664" i="4"/>
  <c r="G2663" i="4"/>
  <c r="I2663" i="4" s="1"/>
  <c r="H2663" i="4"/>
  <c r="G2662" i="4"/>
  <c r="I2662" i="4" s="1"/>
  <c r="H2662" i="4"/>
  <c r="G2661" i="4"/>
  <c r="I2661" i="4" s="1"/>
  <c r="H2661" i="4"/>
  <c r="G2660" i="4"/>
  <c r="I2660" i="4" s="1"/>
  <c r="H2660" i="4"/>
  <c r="G2659" i="4"/>
  <c r="I2659" i="4" s="1"/>
  <c r="H2659" i="4"/>
  <c r="G2658" i="4"/>
  <c r="I2658" i="4" s="1"/>
  <c r="H2658" i="4"/>
  <c r="G2657" i="4"/>
  <c r="I2657" i="4" s="1"/>
  <c r="H2657" i="4"/>
  <c r="G2656" i="4"/>
  <c r="I2656" i="4" s="1"/>
  <c r="H2656" i="4"/>
  <c r="G2655" i="4"/>
  <c r="I2655" i="4" s="1"/>
  <c r="H2655" i="4"/>
  <c r="G2654" i="4"/>
  <c r="I2654" i="4" s="1"/>
  <c r="H2654" i="4"/>
  <c r="G2653" i="4"/>
  <c r="I2653" i="4" s="1"/>
  <c r="H2653" i="4"/>
  <c r="G2652" i="4"/>
  <c r="I2652" i="4" s="1"/>
  <c r="H2652" i="4"/>
  <c r="G2651" i="4"/>
  <c r="I2651" i="4" s="1"/>
  <c r="H2651" i="4"/>
  <c r="G2650" i="4"/>
  <c r="I2650" i="4" s="1"/>
  <c r="H2650" i="4"/>
  <c r="G2649" i="4"/>
  <c r="I2649" i="4" s="1"/>
  <c r="H2649" i="4"/>
  <c r="G2648" i="4"/>
  <c r="I2648" i="4" s="1"/>
  <c r="H2648" i="4"/>
  <c r="G2647" i="4"/>
  <c r="I2647" i="4" s="1"/>
  <c r="H2647" i="4"/>
  <c r="G2646" i="4"/>
  <c r="I2646" i="4" s="1"/>
  <c r="H2646" i="4"/>
  <c r="G2645" i="4"/>
  <c r="I2645" i="4" s="1"/>
  <c r="H2645" i="4"/>
  <c r="G2644" i="4"/>
  <c r="I2644" i="4" s="1"/>
  <c r="H2644" i="4"/>
  <c r="G2643" i="4"/>
  <c r="I2643" i="4" s="1"/>
  <c r="H2643" i="4"/>
  <c r="G2642" i="4"/>
  <c r="I2642" i="4" s="1"/>
  <c r="H2642" i="4"/>
  <c r="G2641" i="4"/>
  <c r="I2641" i="4" s="1"/>
  <c r="H2641" i="4"/>
  <c r="G2640" i="4"/>
  <c r="I2640" i="4" s="1"/>
  <c r="H2640" i="4"/>
  <c r="G2639" i="4"/>
  <c r="I2639" i="4" s="1"/>
  <c r="H2639" i="4"/>
  <c r="G2638" i="4"/>
  <c r="I2638" i="4" s="1"/>
  <c r="H2638" i="4"/>
  <c r="G2637" i="4"/>
  <c r="I2637" i="4" s="1"/>
  <c r="H2637" i="4"/>
  <c r="G2636" i="4"/>
  <c r="I2636" i="4" s="1"/>
  <c r="H2636" i="4"/>
  <c r="G2635" i="4"/>
  <c r="I2635" i="4" s="1"/>
  <c r="H2635" i="4"/>
  <c r="G2634" i="4"/>
  <c r="I2634" i="4" s="1"/>
  <c r="H2634" i="4"/>
  <c r="G2633" i="4"/>
  <c r="I2633" i="4" s="1"/>
  <c r="H2633" i="4"/>
  <c r="G2632" i="4"/>
  <c r="I2632" i="4" s="1"/>
  <c r="H2632" i="4"/>
  <c r="G2631" i="4"/>
  <c r="I2631" i="4" s="1"/>
  <c r="H2631" i="4"/>
  <c r="G2630" i="4"/>
  <c r="I2630" i="4" s="1"/>
  <c r="H2630" i="4"/>
  <c r="G2629" i="4"/>
  <c r="I2629" i="4" s="1"/>
  <c r="H2629" i="4"/>
  <c r="G2628" i="4"/>
  <c r="I2628" i="4" s="1"/>
  <c r="H2628" i="4"/>
  <c r="G2627" i="4"/>
  <c r="I2627" i="4" s="1"/>
  <c r="H2627" i="4"/>
  <c r="G2626" i="4"/>
  <c r="I2626" i="4" s="1"/>
  <c r="H2626" i="4"/>
  <c r="G2625" i="4"/>
  <c r="I2625" i="4" s="1"/>
  <c r="H2625" i="4"/>
  <c r="G2624" i="4"/>
  <c r="H2624" i="4"/>
  <c r="G2623" i="4"/>
  <c r="I2623" i="4" s="1"/>
  <c r="H2623" i="4"/>
  <c r="G2622" i="4"/>
  <c r="I2622" i="4" s="1"/>
  <c r="H2622" i="4"/>
  <c r="G2621" i="4"/>
  <c r="I2621" i="4" s="1"/>
  <c r="H2621" i="4"/>
  <c r="G2620" i="4"/>
  <c r="I2620" i="4" s="1"/>
  <c r="H2620" i="4"/>
  <c r="G2619" i="4"/>
  <c r="I2619" i="4" s="1"/>
  <c r="H2619" i="4"/>
  <c r="G2618" i="4"/>
  <c r="I2618" i="4" s="1"/>
  <c r="H2618" i="4"/>
  <c r="G2617" i="4"/>
  <c r="I2617" i="4" s="1"/>
  <c r="H2617" i="4"/>
  <c r="G2616" i="4"/>
  <c r="I2616" i="4" s="1"/>
  <c r="H2616" i="4"/>
  <c r="G2615" i="4"/>
  <c r="I2615" i="4" s="1"/>
  <c r="H2615" i="4"/>
  <c r="G2614" i="4"/>
  <c r="I2614" i="4" s="1"/>
  <c r="H2614" i="4"/>
  <c r="G2613" i="4"/>
  <c r="I2613" i="4" s="1"/>
  <c r="H2613" i="4"/>
  <c r="G2612" i="4"/>
  <c r="I2612" i="4" s="1"/>
  <c r="H2612" i="4"/>
  <c r="G2611" i="4"/>
  <c r="I2611" i="4" s="1"/>
  <c r="H2611" i="4"/>
  <c r="G2610" i="4"/>
  <c r="I2610" i="4" s="1"/>
  <c r="H2610" i="4"/>
  <c r="G2609" i="4"/>
  <c r="I2609" i="4" s="1"/>
  <c r="H2609" i="4"/>
  <c r="G2608" i="4"/>
  <c r="I2608" i="4" s="1"/>
  <c r="H2608" i="4"/>
  <c r="G2607" i="4"/>
  <c r="I2607" i="4" s="1"/>
  <c r="H2607" i="4"/>
  <c r="G2606" i="4"/>
  <c r="I2606" i="4" s="1"/>
  <c r="H2606" i="4"/>
  <c r="G2605" i="4"/>
  <c r="I2605" i="4" s="1"/>
  <c r="H2605" i="4"/>
  <c r="G2604" i="4"/>
  <c r="I2604" i="4" s="1"/>
  <c r="H2604" i="4"/>
  <c r="G2603" i="4"/>
  <c r="I2603" i="4" s="1"/>
  <c r="H2603" i="4"/>
  <c r="G2602" i="4"/>
  <c r="I2602" i="4" s="1"/>
  <c r="H2602" i="4"/>
  <c r="G2601" i="4"/>
  <c r="I2601" i="4" s="1"/>
  <c r="H2601" i="4"/>
  <c r="G2600" i="4"/>
  <c r="I2600" i="4" s="1"/>
  <c r="H2600" i="4"/>
  <c r="G2599" i="4"/>
  <c r="I2599" i="4" s="1"/>
  <c r="H2599" i="4"/>
  <c r="G2598" i="4"/>
  <c r="I2598" i="4" s="1"/>
  <c r="H2598" i="4"/>
  <c r="G2597" i="4"/>
  <c r="I2597" i="4" s="1"/>
  <c r="H2597" i="4"/>
  <c r="G2596" i="4"/>
  <c r="I2596" i="4" s="1"/>
  <c r="H2596" i="4"/>
  <c r="G2595" i="4"/>
  <c r="I2595" i="4" s="1"/>
  <c r="H2595" i="4"/>
  <c r="G2594" i="4"/>
  <c r="I2594" i="4" s="1"/>
  <c r="H2594" i="4"/>
  <c r="G2593" i="4"/>
  <c r="I2593" i="4" s="1"/>
  <c r="H2593" i="4"/>
  <c r="G2592" i="4"/>
  <c r="I2592" i="4" s="1"/>
  <c r="H2592" i="4"/>
  <c r="G2591" i="4"/>
  <c r="I2591" i="4" s="1"/>
  <c r="H2591" i="4"/>
  <c r="G2590" i="4"/>
  <c r="I2590" i="4" s="1"/>
  <c r="H2590" i="4"/>
  <c r="G2589" i="4"/>
  <c r="I2589" i="4" s="1"/>
  <c r="H2589" i="4"/>
  <c r="G2588" i="4"/>
  <c r="I2588" i="4" s="1"/>
  <c r="H2588" i="4"/>
  <c r="G2587" i="4"/>
  <c r="I2587" i="4" s="1"/>
  <c r="H2587" i="4"/>
  <c r="G2586" i="4"/>
  <c r="I2586" i="4" s="1"/>
  <c r="H2586" i="4"/>
  <c r="G2585" i="4"/>
  <c r="I2585" i="4" s="1"/>
  <c r="H2585" i="4"/>
  <c r="G2584" i="4"/>
  <c r="I2584" i="4" s="1"/>
  <c r="H2584" i="4"/>
  <c r="G2583" i="4"/>
  <c r="I2583" i="4" s="1"/>
  <c r="H2583" i="4"/>
  <c r="G2582" i="4"/>
  <c r="I2582" i="4" s="1"/>
  <c r="H2582" i="4"/>
  <c r="G2581" i="4"/>
  <c r="I2581" i="4" s="1"/>
  <c r="H2581" i="4"/>
  <c r="G2580" i="4"/>
  <c r="I2580" i="4" s="1"/>
  <c r="H2580" i="4"/>
  <c r="G2579" i="4"/>
  <c r="I2579" i="4" s="1"/>
  <c r="H2579" i="4"/>
  <c r="G2578" i="4"/>
  <c r="I2578" i="4" s="1"/>
  <c r="H2578" i="4"/>
  <c r="G2577" i="4"/>
  <c r="I2577" i="4" s="1"/>
  <c r="H2577" i="4"/>
  <c r="G2576" i="4"/>
  <c r="I2576" i="4" s="1"/>
  <c r="H2576" i="4"/>
  <c r="G2575" i="4"/>
  <c r="I2575" i="4" s="1"/>
  <c r="H2575" i="4"/>
  <c r="G2574" i="4"/>
  <c r="I2574" i="4" s="1"/>
  <c r="H2574" i="4"/>
  <c r="G2573" i="4"/>
  <c r="I2573" i="4" s="1"/>
  <c r="H2573" i="4"/>
  <c r="G2572" i="4"/>
  <c r="I2572" i="4" s="1"/>
  <c r="H2572" i="4"/>
  <c r="G2571" i="4"/>
  <c r="I2571" i="4" s="1"/>
  <c r="H2571" i="4"/>
  <c r="G2570" i="4"/>
  <c r="I2570" i="4" s="1"/>
  <c r="H2570" i="4"/>
  <c r="G2569" i="4"/>
  <c r="I2569" i="4" s="1"/>
  <c r="H2569" i="4"/>
  <c r="G2568" i="4"/>
  <c r="I2568" i="4" s="1"/>
  <c r="H2568" i="4"/>
  <c r="G2567" i="4"/>
  <c r="I2567" i="4" s="1"/>
  <c r="H2567" i="4"/>
  <c r="G2566" i="4"/>
  <c r="I2566" i="4" s="1"/>
  <c r="H2566" i="4"/>
  <c r="G2565" i="4"/>
  <c r="I2565" i="4" s="1"/>
  <c r="H2565" i="4"/>
  <c r="G2564" i="4"/>
  <c r="I2564" i="4" s="1"/>
  <c r="H2564" i="4"/>
  <c r="G2563" i="4"/>
  <c r="I2563" i="4" s="1"/>
  <c r="H2563" i="4"/>
  <c r="G2562" i="4"/>
  <c r="I2562" i="4" s="1"/>
  <c r="H2562" i="4"/>
  <c r="G2561" i="4"/>
  <c r="I2561" i="4" s="1"/>
  <c r="H2561" i="4"/>
  <c r="G2560" i="4"/>
  <c r="I2560" i="4" s="1"/>
  <c r="H2560" i="4"/>
  <c r="G2559" i="4"/>
  <c r="I2559" i="4" s="1"/>
  <c r="H2559" i="4"/>
  <c r="G2558" i="4"/>
  <c r="I2558" i="4" s="1"/>
  <c r="H2558" i="4"/>
  <c r="G2557" i="4"/>
  <c r="I2557" i="4" s="1"/>
  <c r="H2557" i="4"/>
  <c r="G2556" i="4"/>
  <c r="I2556" i="4" s="1"/>
  <c r="H2556" i="4"/>
  <c r="G2555" i="4"/>
  <c r="I2555" i="4" s="1"/>
  <c r="H2555" i="4"/>
  <c r="G2554" i="4"/>
  <c r="I2554" i="4" s="1"/>
  <c r="H2554" i="4"/>
  <c r="G2553" i="4"/>
  <c r="I2553" i="4" s="1"/>
  <c r="H2553" i="4"/>
  <c r="G2552" i="4"/>
  <c r="I2552" i="4" s="1"/>
  <c r="H2552" i="4"/>
  <c r="G2551" i="4"/>
  <c r="I2551" i="4" s="1"/>
  <c r="H2551" i="4"/>
  <c r="G2550" i="4"/>
  <c r="I2550" i="4" s="1"/>
  <c r="H2550" i="4"/>
  <c r="G2549" i="4"/>
  <c r="I2549" i="4" s="1"/>
  <c r="H2549" i="4"/>
  <c r="G2548" i="4"/>
  <c r="I2548" i="4" s="1"/>
  <c r="H2548" i="4"/>
  <c r="G2547" i="4"/>
  <c r="I2547" i="4" s="1"/>
  <c r="H2547" i="4"/>
  <c r="G2546" i="4"/>
  <c r="I2546" i="4" s="1"/>
  <c r="H2546" i="4"/>
  <c r="G2545" i="4"/>
  <c r="I2545" i="4" s="1"/>
  <c r="H2545" i="4"/>
  <c r="G2544" i="4"/>
  <c r="I2544" i="4" s="1"/>
  <c r="H2544" i="4"/>
  <c r="G2543" i="4"/>
  <c r="I2543" i="4" s="1"/>
  <c r="H2543" i="4"/>
  <c r="G2542" i="4"/>
  <c r="I2542" i="4" s="1"/>
  <c r="H2542" i="4"/>
  <c r="G2541" i="4"/>
  <c r="I2541" i="4" s="1"/>
  <c r="H2541" i="4"/>
  <c r="G2540" i="4"/>
  <c r="I2540" i="4" s="1"/>
  <c r="H2540" i="4"/>
  <c r="G2539" i="4"/>
  <c r="I2539" i="4" s="1"/>
  <c r="H2539" i="4"/>
  <c r="G2538" i="4"/>
  <c r="I2538" i="4" s="1"/>
  <c r="H2538" i="4"/>
  <c r="G2537" i="4"/>
  <c r="I2537" i="4" s="1"/>
  <c r="H2537" i="4"/>
  <c r="G2536" i="4"/>
  <c r="I2536" i="4" s="1"/>
  <c r="H2536" i="4"/>
  <c r="G2535" i="4"/>
  <c r="I2535" i="4" s="1"/>
  <c r="H2535" i="4"/>
  <c r="G2534" i="4"/>
  <c r="I2534" i="4" s="1"/>
  <c r="H2534" i="4"/>
  <c r="G2533" i="4"/>
  <c r="I2533" i="4" s="1"/>
  <c r="H2533" i="4"/>
  <c r="G2532" i="4"/>
  <c r="I2532" i="4" s="1"/>
  <c r="H2532" i="4"/>
  <c r="G2531" i="4"/>
  <c r="I2531" i="4" s="1"/>
  <c r="H2531" i="4"/>
  <c r="G2530" i="4"/>
  <c r="I2530" i="4" s="1"/>
  <c r="H2530" i="4"/>
  <c r="G2529" i="4"/>
  <c r="I2529" i="4" s="1"/>
  <c r="H2529" i="4"/>
  <c r="G2528" i="4"/>
  <c r="I2528" i="4" s="1"/>
  <c r="H2528" i="4"/>
  <c r="G2527" i="4"/>
  <c r="I2527" i="4" s="1"/>
  <c r="H2527" i="4"/>
  <c r="G2526" i="4"/>
  <c r="I2526" i="4" s="1"/>
  <c r="H2526" i="4"/>
  <c r="G2525" i="4"/>
  <c r="I2525" i="4" s="1"/>
  <c r="H2525" i="4"/>
  <c r="G2524" i="4"/>
  <c r="I2524" i="4" s="1"/>
  <c r="H2524" i="4"/>
  <c r="G2523" i="4"/>
  <c r="I2523" i="4" s="1"/>
  <c r="H2523" i="4"/>
  <c r="G2522" i="4"/>
  <c r="I2522" i="4" s="1"/>
  <c r="H2522" i="4"/>
  <c r="G2521" i="4"/>
  <c r="I2521" i="4" s="1"/>
  <c r="H2521" i="4"/>
  <c r="G2520" i="4"/>
  <c r="I2520" i="4" s="1"/>
  <c r="H2520" i="4"/>
  <c r="G2519" i="4"/>
  <c r="I2519" i="4" s="1"/>
  <c r="H2519" i="4"/>
  <c r="G2518" i="4"/>
  <c r="I2518" i="4" s="1"/>
  <c r="H2518" i="4"/>
  <c r="G2517" i="4"/>
  <c r="I2517" i="4" s="1"/>
  <c r="H2517" i="4"/>
  <c r="G2516" i="4"/>
  <c r="I2516" i="4" s="1"/>
  <c r="H2516" i="4"/>
  <c r="G2515" i="4"/>
  <c r="I2515" i="4" s="1"/>
  <c r="H2515" i="4"/>
  <c r="G2514" i="4"/>
  <c r="I2514" i="4" s="1"/>
  <c r="H2514" i="4"/>
  <c r="G2513" i="4"/>
  <c r="I2513" i="4" s="1"/>
  <c r="H2513" i="4"/>
  <c r="G2512" i="4"/>
  <c r="I2512" i="4" s="1"/>
  <c r="H2512" i="4"/>
  <c r="G2511" i="4"/>
  <c r="I2511" i="4" s="1"/>
  <c r="H2511" i="4"/>
  <c r="G2510" i="4"/>
  <c r="I2510" i="4" s="1"/>
  <c r="H2510" i="4"/>
  <c r="G2509" i="4"/>
  <c r="I2509" i="4" s="1"/>
  <c r="H2509" i="4"/>
  <c r="G2508" i="4"/>
  <c r="I2508" i="4" s="1"/>
  <c r="H2508" i="4"/>
  <c r="G2507" i="4"/>
  <c r="I2507" i="4" s="1"/>
  <c r="H2507" i="4"/>
  <c r="G2506" i="4"/>
  <c r="I2506" i="4" s="1"/>
  <c r="H2506" i="4"/>
  <c r="G2505" i="4"/>
  <c r="I2505" i="4" s="1"/>
  <c r="H2505" i="4"/>
  <c r="G2504" i="4"/>
  <c r="I2504" i="4" s="1"/>
  <c r="H2504" i="4"/>
  <c r="G2503" i="4"/>
  <c r="I2503" i="4" s="1"/>
  <c r="H2503" i="4"/>
  <c r="G2502" i="4"/>
  <c r="I2502" i="4" s="1"/>
  <c r="H2502" i="4"/>
  <c r="G2501" i="4"/>
  <c r="I2501" i="4" s="1"/>
  <c r="H2501" i="4"/>
  <c r="G2500" i="4"/>
  <c r="I2500" i="4" s="1"/>
  <c r="H2500" i="4"/>
  <c r="G2499" i="4"/>
  <c r="I2499" i="4" s="1"/>
  <c r="H2499" i="4"/>
  <c r="G2498" i="4"/>
  <c r="I2498" i="4" s="1"/>
  <c r="H2498" i="4"/>
  <c r="G2497" i="4"/>
  <c r="I2497" i="4" s="1"/>
  <c r="H2497" i="4"/>
  <c r="G2496" i="4"/>
  <c r="I2496" i="4" s="1"/>
  <c r="H2496" i="4"/>
  <c r="G2495" i="4"/>
  <c r="I2495" i="4" s="1"/>
  <c r="H2495" i="4"/>
  <c r="G2494" i="4"/>
  <c r="I2494" i="4" s="1"/>
  <c r="H2494" i="4"/>
  <c r="G2493" i="4"/>
  <c r="I2493" i="4" s="1"/>
  <c r="H2493" i="4"/>
  <c r="G2492" i="4"/>
  <c r="I2492" i="4" s="1"/>
  <c r="H2492" i="4"/>
  <c r="G2491" i="4"/>
  <c r="I2491" i="4" s="1"/>
  <c r="H2491" i="4"/>
  <c r="G2490" i="4"/>
  <c r="I2490" i="4" s="1"/>
  <c r="H2490" i="4"/>
  <c r="G2489" i="4"/>
  <c r="I2489" i="4" s="1"/>
  <c r="H2489" i="4"/>
  <c r="G2488" i="4"/>
  <c r="I2488" i="4" s="1"/>
  <c r="H2488" i="4"/>
  <c r="G2487" i="4"/>
  <c r="I2487" i="4" s="1"/>
  <c r="H2487" i="4"/>
  <c r="G2486" i="4"/>
  <c r="I2486" i="4" s="1"/>
  <c r="H2486" i="4"/>
  <c r="G2485" i="4"/>
  <c r="I2485" i="4" s="1"/>
  <c r="H2485" i="4"/>
  <c r="G2484" i="4"/>
  <c r="I2484" i="4" s="1"/>
  <c r="H2484" i="4"/>
  <c r="G2483" i="4"/>
  <c r="I2483" i="4" s="1"/>
  <c r="H2483" i="4"/>
  <c r="G2482" i="4"/>
  <c r="I2482" i="4" s="1"/>
  <c r="H2482" i="4"/>
  <c r="G2481" i="4"/>
  <c r="I2481" i="4" s="1"/>
  <c r="H2481" i="4"/>
  <c r="G2480" i="4"/>
  <c r="I2480" i="4" s="1"/>
  <c r="H2480" i="4"/>
  <c r="G2479" i="4"/>
  <c r="I2479" i="4" s="1"/>
  <c r="H2479" i="4"/>
  <c r="G2478" i="4"/>
  <c r="I2478" i="4" s="1"/>
  <c r="H2478" i="4"/>
  <c r="G2477" i="4"/>
  <c r="I2477" i="4" s="1"/>
  <c r="H2477" i="4"/>
  <c r="G2476" i="4"/>
  <c r="I2476" i="4" s="1"/>
  <c r="H2476" i="4"/>
  <c r="G2475" i="4"/>
  <c r="I2475" i="4" s="1"/>
  <c r="H2475" i="4"/>
  <c r="G2474" i="4"/>
  <c r="I2474" i="4" s="1"/>
  <c r="H2474" i="4"/>
  <c r="G2473" i="4"/>
  <c r="I2473" i="4" s="1"/>
  <c r="H2473" i="4"/>
  <c r="G2472" i="4"/>
  <c r="I2472" i="4" s="1"/>
  <c r="H2472" i="4"/>
  <c r="G2471" i="4"/>
  <c r="I2471" i="4" s="1"/>
  <c r="H2471" i="4"/>
  <c r="G2470" i="4"/>
  <c r="I2470" i="4" s="1"/>
  <c r="H2470" i="4"/>
  <c r="G2469" i="4"/>
  <c r="H2469" i="4"/>
  <c r="G2468" i="4"/>
  <c r="I2468" i="4" s="1"/>
  <c r="H2468" i="4"/>
  <c r="G2467" i="4"/>
  <c r="I2467" i="4" s="1"/>
  <c r="H2467" i="4"/>
  <c r="G2466" i="4"/>
  <c r="I2466" i="4" s="1"/>
  <c r="H2466" i="4"/>
  <c r="G2465" i="4"/>
  <c r="I2465" i="4" s="1"/>
  <c r="H2465" i="4"/>
  <c r="G2464" i="4"/>
  <c r="I2464" i="4" s="1"/>
  <c r="H2464" i="4"/>
  <c r="G2463" i="4"/>
  <c r="H2463" i="4"/>
  <c r="G2462" i="4"/>
  <c r="I2462" i="4" s="1"/>
  <c r="H2462" i="4"/>
  <c r="G2461" i="4"/>
  <c r="I2461" i="4" s="1"/>
  <c r="H2461" i="4"/>
  <c r="G2460" i="4"/>
  <c r="I2460" i="4" s="1"/>
  <c r="H2460" i="4"/>
  <c r="G2459" i="4"/>
  <c r="I2459" i="4" s="1"/>
  <c r="H2459" i="4"/>
  <c r="G2458" i="4"/>
  <c r="I2458" i="4" s="1"/>
  <c r="H2458" i="4"/>
  <c r="G2457" i="4"/>
  <c r="I2457" i="4" s="1"/>
  <c r="H2457" i="4"/>
  <c r="G2456" i="4"/>
  <c r="I2456" i="4" s="1"/>
  <c r="H2456" i="4"/>
  <c r="G2455" i="4"/>
  <c r="I2455" i="4" s="1"/>
  <c r="H2455" i="4"/>
  <c r="G2454" i="4"/>
  <c r="I2454" i="4" s="1"/>
  <c r="H2454" i="4"/>
  <c r="G2453" i="4"/>
  <c r="I2453" i="4" s="1"/>
  <c r="H2453" i="4"/>
  <c r="G2452" i="4"/>
  <c r="I2452" i="4" s="1"/>
  <c r="H2452" i="4"/>
  <c r="G2451" i="4"/>
  <c r="I2451" i="4" s="1"/>
  <c r="H2451" i="4"/>
  <c r="G2450" i="4"/>
  <c r="I2450" i="4" s="1"/>
  <c r="H2450" i="4"/>
  <c r="G2449" i="4"/>
  <c r="I2449" i="4" s="1"/>
  <c r="H2449" i="4"/>
  <c r="G2448" i="4"/>
  <c r="I2448" i="4" s="1"/>
  <c r="H2448" i="4"/>
  <c r="G2447" i="4"/>
  <c r="I2447" i="4" s="1"/>
  <c r="H2447" i="4"/>
  <c r="G2446" i="4"/>
  <c r="I2446" i="4" s="1"/>
  <c r="H2446" i="4"/>
  <c r="G2445" i="4"/>
  <c r="I2445" i="4" s="1"/>
  <c r="H2445" i="4"/>
  <c r="G2444" i="4"/>
  <c r="I2444" i="4" s="1"/>
  <c r="H2444" i="4"/>
  <c r="G2443" i="4"/>
  <c r="I2443" i="4" s="1"/>
  <c r="H2443" i="4"/>
  <c r="G2442" i="4"/>
  <c r="I2442" i="4" s="1"/>
  <c r="H2442" i="4"/>
  <c r="G2441" i="4"/>
  <c r="I2441" i="4" s="1"/>
  <c r="H2441" i="4"/>
  <c r="G2440" i="4"/>
  <c r="I2440" i="4" s="1"/>
  <c r="H2440" i="4"/>
  <c r="G2439" i="4"/>
  <c r="I2439" i="4" s="1"/>
  <c r="H2439" i="4"/>
  <c r="G2438" i="4"/>
  <c r="I2438" i="4" s="1"/>
  <c r="H2438" i="4"/>
  <c r="G2437" i="4"/>
  <c r="I2437" i="4" s="1"/>
  <c r="H2437" i="4"/>
  <c r="G2436" i="4"/>
  <c r="I2436" i="4" s="1"/>
  <c r="H2436" i="4"/>
  <c r="G2435" i="4"/>
  <c r="I2435" i="4" s="1"/>
  <c r="H2435" i="4"/>
  <c r="G2434" i="4"/>
  <c r="I2434" i="4" s="1"/>
  <c r="H2434" i="4"/>
  <c r="G2433" i="4"/>
  <c r="I2433" i="4" s="1"/>
  <c r="H2433" i="4"/>
  <c r="G2432" i="4"/>
  <c r="I2432" i="4" s="1"/>
  <c r="H2432" i="4"/>
  <c r="G2431" i="4"/>
  <c r="I2431" i="4" s="1"/>
  <c r="H2431" i="4"/>
  <c r="G2430" i="4"/>
  <c r="I2430" i="4" s="1"/>
  <c r="H2430" i="4"/>
  <c r="G2429" i="4"/>
  <c r="I2429" i="4" s="1"/>
  <c r="H2429" i="4"/>
  <c r="G2428" i="4"/>
  <c r="I2428" i="4" s="1"/>
  <c r="H2428" i="4"/>
  <c r="G2427" i="4"/>
  <c r="I2427" i="4" s="1"/>
  <c r="H2427" i="4"/>
  <c r="G2426" i="4"/>
  <c r="I2426" i="4" s="1"/>
  <c r="H2426" i="4"/>
  <c r="G2425" i="4"/>
  <c r="I2425" i="4" s="1"/>
  <c r="H2425" i="4"/>
  <c r="G2424" i="4"/>
  <c r="I2424" i="4" s="1"/>
  <c r="H2424" i="4"/>
  <c r="G2423" i="4"/>
  <c r="I2423" i="4" s="1"/>
  <c r="H2423" i="4"/>
  <c r="G2422" i="4"/>
  <c r="I2422" i="4" s="1"/>
  <c r="H2422" i="4"/>
  <c r="G2421" i="4"/>
  <c r="I2421" i="4" s="1"/>
  <c r="H2421" i="4"/>
  <c r="G2420" i="4"/>
  <c r="I2420" i="4" s="1"/>
  <c r="H2420" i="4"/>
  <c r="G2419" i="4"/>
  <c r="I2419" i="4" s="1"/>
  <c r="H2419" i="4"/>
  <c r="G2418" i="4"/>
  <c r="I2418" i="4" s="1"/>
  <c r="H2418" i="4"/>
  <c r="G2417" i="4"/>
  <c r="I2417" i="4" s="1"/>
  <c r="H2417" i="4"/>
  <c r="G2416" i="4"/>
  <c r="I2416" i="4" s="1"/>
  <c r="H2416" i="4"/>
  <c r="G2415" i="4"/>
  <c r="I2415" i="4" s="1"/>
  <c r="H2415" i="4"/>
  <c r="G2414" i="4"/>
  <c r="I2414" i="4" s="1"/>
  <c r="H2414" i="4"/>
  <c r="G2413" i="4"/>
  <c r="I2413" i="4" s="1"/>
  <c r="H2413" i="4"/>
  <c r="G2412" i="4"/>
  <c r="I2412" i="4" s="1"/>
  <c r="H2412" i="4"/>
  <c r="G2411" i="4"/>
  <c r="I2411" i="4" s="1"/>
  <c r="H2411" i="4"/>
  <c r="G2410" i="4"/>
  <c r="I2410" i="4" s="1"/>
  <c r="H2410" i="4"/>
  <c r="G2409" i="4"/>
  <c r="I2409" i="4" s="1"/>
  <c r="H2409" i="4"/>
  <c r="G2408" i="4"/>
  <c r="I2408" i="4" s="1"/>
  <c r="H2408" i="4"/>
  <c r="G2407" i="4"/>
  <c r="I2407" i="4" s="1"/>
  <c r="H2407" i="4"/>
  <c r="G2406" i="4"/>
  <c r="I2406" i="4" s="1"/>
  <c r="H2406" i="4"/>
  <c r="G2405" i="4"/>
  <c r="I2405" i="4" s="1"/>
  <c r="H2405" i="4"/>
  <c r="G2404" i="4"/>
  <c r="I2404" i="4" s="1"/>
  <c r="H2404" i="4"/>
  <c r="G2403" i="4"/>
  <c r="I2403" i="4" s="1"/>
  <c r="H2403" i="4"/>
  <c r="G2402" i="4"/>
  <c r="I2402" i="4" s="1"/>
  <c r="H2402" i="4"/>
  <c r="G2401" i="4"/>
  <c r="I2401" i="4" s="1"/>
  <c r="H2401" i="4"/>
  <c r="G2400" i="4"/>
  <c r="I2400" i="4" s="1"/>
  <c r="H2400" i="4"/>
  <c r="G2399" i="4"/>
  <c r="I2399" i="4" s="1"/>
  <c r="H2399" i="4"/>
  <c r="G2398" i="4"/>
  <c r="I2398" i="4" s="1"/>
  <c r="H2398" i="4"/>
  <c r="G2397" i="4"/>
  <c r="I2397" i="4" s="1"/>
  <c r="H2397" i="4"/>
  <c r="G2396" i="4"/>
  <c r="I2396" i="4" s="1"/>
  <c r="H2396" i="4"/>
  <c r="G2395" i="4"/>
  <c r="I2395" i="4" s="1"/>
  <c r="H2395" i="4"/>
  <c r="G2394" i="4"/>
  <c r="I2394" i="4" s="1"/>
  <c r="H2394" i="4"/>
  <c r="G2393" i="4"/>
  <c r="I2393" i="4" s="1"/>
  <c r="H2393" i="4"/>
  <c r="G2392" i="4"/>
  <c r="I2392" i="4" s="1"/>
  <c r="H2392" i="4"/>
  <c r="G2391" i="4"/>
  <c r="I2391" i="4" s="1"/>
  <c r="H2391" i="4"/>
  <c r="G2390" i="4"/>
  <c r="I2390" i="4" s="1"/>
  <c r="H2390" i="4"/>
  <c r="G2389" i="4"/>
  <c r="I2389" i="4" s="1"/>
  <c r="H2389" i="4"/>
  <c r="G2388" i="4"/>
  <c r="I2388" i="4" s="1"/>
  <c r="H2388" i="4"/>
  <c r="G2387" i="4"/>
  <c r="I2387" i="4" s="1"/>
  <c r="H2387" i="4"/>
  <c r="G2386" i="4"/>
  <c r="I2386" i="4" s="1"/>
  <c r="H2386" i="4"/>
  <c r="G2385" i="4"/>
  <c r="I2385" i="4" s="1"/>
  <c r="H2385" i="4"/>
  <c r="G2384" i="4"/>
  <c r="I2384" i="4" s="1"/>
  <c r="H2384" i="4"/>
  <c r="G2383" i="4"/>
  <c r="I2383" i="4" s="1"/>
  <c r="H2383" i="4"/>
  <c r="G2382" i="4"/>
  <c r="I2382" i="4" s="1"/>
  <c r="H2382" i="4"/>
  <c r="G2381" i="4"/>
  <c r="I2381" i="4" s="1"/>
  <c r="H2381" i="4"/>
  <c r="G2380" i="4"/>
  <c r="I2380" i="4" s="1"/>
  <c r="H2380" i="4"/>
  <c r="G2379" i="4"/>
  <c r="I2379" i="4" s="1"/>
  <c r="H2379" i="4"/>
  <c r="G2378" i="4"/>
  <c r="I2378" i="4" s="1"/>
  <c r="H2378" i="4"/>
  <c r="G2377" i="4"/>
  <c r="I2377" i="4" s="1"/>
  <c r="H2377" i="4"/>
  <c r="G2376" i="4"/>
  <c r="I2376" i="4" s="1"/>
  <c r="H2376" i="4"/>
  <c r="G2375" i="4"/>
  <c r="I2375" i="4" s="1"/>
  <c r="H2375" i="4"/>
  <c r="G2374" i="4"/>
  <c r="I2374" i="4" s="1"/>
  <c r="H2374" i="4"/>
  <c r="G2373" i="4"/>
  <c r="I2373" i="4" s="1"/>
  <c r="H2373" i="4"/>
  <c r="G2372" i="4"/>
  <c r="I2372" i="4" s="1"/>
  <c r="H2372" i="4"/>
  <c r="G2371" i="4"/>
  <c r="I2371" i="4" s="1"/>
  <c r="H2371" i="4"/>
  <c r="G2370" i="4"/>
  <c r="I2370" i="4" s="1"/>
  <c r="H2370" i="4"/>
  <c r="G2369" i="4"/>
  <c r="I2369" i="4" s="1"/>
  <c r="H2369" i="4"/>
  <c r="G2368" i="4"/>
  <c r="I2368" i="4" s="1"/>
  <c r="H2368" i="4"/>
  <c r="G2367" i="4"/>
  <c r="I2367" i="4" s="1"/>
  <c r="H2367" i="4"/>
  <c r="G2366" i="4"/>
  <c r="I2366" i="4" s="1"/>
  <c r="H2366" i="4"/>
  <c r="G2365" i="4"/>
  <c r="I2365" i="4" s="1"/>
  <c r="H2365" i="4"/>
  <c r="G2364" i="4"/>
  <c r="I2364" i="4" s="1"/>
  <c r="H2364" i="4"/>
  <c r="G2363" i="4"/>
  <c r="I2363" i="4" s="1"/>
  <c r="H2363" i="4"/>
  <c r="G2362" i="4"/>
  <c r="I2362" i="4" s="1"/>
  <c r="H2362" i="4"/>
  <c r="G2361" i="4"/>
  <c r="I2361" i="4" s="1"/>
  <c r="H2361" i="4"/>
  <c r="G2360" i="4"/>
  <c r="I2360" i="4" s="1"/>
  <c r="H2360" i="4"/>
  <c r="G2359" i="4"/>
  <c r="I2359" i="4" s="1"/>
  <c r="H2359" i="4"/>
  <c r="G2358" i="4"/>
  <c r="I2358" i="4" s="1"/>
  <c r="H2358" i="4"/>
  <c r="G2357" i="4"/>
  <c r="I2357" i="4" s="1"/>
  <c r="H2357" i="4"/>
  <c r="G2356" i="4"/>
  <c r="I2356" i="4" s="1"/>
  <c r="H2356" i="4"/>
  <c r="G2355" i="4"/>
  <c r="I2355" i="4" s="1"/>
  <c r="H2355" i="4"/>
  <c r="G2354" i="4"/>
  <c r="I2354" i="4" s="1"/>
  <c r="H2354" i="4"/>
  <c r="G2353" i="4"/>
  <c r="I2353" i="4" s="1"/>
  <c r="H2353" i="4"/>
  <c r="G2352" i="4"/>
  <c r="I2352" i="4" s="1"/>
  <c r="H2352" i="4"/>
  <c r="G2351" i="4"/>
  <c r="I2351" i="4" s="1"/>
  <c r="H2351" i="4"/>
  <c r="G2350" i="4"/>
  <c r="I2350" i="4" s="1"/>
  <c r="H2350" i="4"/>
  <c r="G2349" i="4"/>
  <c r="I2349" i="4" s="1"/>
  <c r="H2349" i="4"/>
  <c r="G2348" i="4"/>
  <c r="I2348" i="4" s="1"/>
  <c r="H2348" i="4"/>
  <c r="G2347" i="4"/>
  <c r="I2347" i="4" s="1"/>
  <c r="H2347" i="4"/>
  <c r="G2346" i="4"/>
  <c r="I2346" i="4" s="1"/>
  <c r="H2346" i="4"/>
  <c r="G2345" i="4"/>
  <c r="I2345" i="4" s="1"/>
  <c r="H2345" i="4"/>
  <c r="G2344" i="4"/>
  <c r="I2344" i="4" s="1"/>
  <c r="H2344" i="4"/>
  <c r="G2343" i="4"/>
  <c r="I2343" i="4" s="1"/>
  <c r="H2343" i="4"/>
  <c r="G2342" i="4"/>
  <c r="I2342" i="4" s="1"/>
  <c r="H2342" i="4"/>
  <c r="G2341" i="4"/>
  <c r="I2341" i="4" s="1"/>
  <c r="H2341" i="4"/>
  <c r="G2340" i="4"/>
  <c r="I2340" i="4" s="1"/>
  <c r="H2340" i="4"/>
  <c r="G2339" i="4"/>
  <c r="I2339" i="4" s="1"/>
  <c r="H2339" i="4"/>
  <c r="G2338" i="4"/>
  <c r="I2338" i="4" s="1"/>
  <c r="H2338" i="4"/>
  <c r="G2337" i="4"/>
  <c r="I2337" i="4" s="1"/>
  <c r="H2337" i="4"/>
  <c r="G2336" i="4"/>
  <c r="I2336" i="4" s="1"/>
  <c r="H2336" i="4"/>
  <c r="G2335" i="4"/>
  <c r="I2335" i="4" s="1"/>
  <c r="H2335" i="4"/>
  <c r="G2334" i="4"/>
  <c r="I2334" i="4" s="1"/>
  <c r="H2334" i="4"/>
  <c r="G2333" i="4"/>
  <c r="I2333" i="4" s="1"/>
  <c r="H2333" i="4"/>
  <c r="G2332" i="4"/>
  <c r="I2332" i="4" s="1"/>
  <c r="H2332" i="4"/>
  <c r="G2331" i="4"/>
  <c r="I2331" i="4" s="1"/>
  <c r="H2331" i="4"/>
  <c r="G2330" i="4"/>
  <c r="I2330" i="4" s="1"/>
  <c r="H2330" i="4"/>
  <c r="G2329" i="4"/>
  <c r="I2329" i="4" s="1"/>
  <c r="H2329" i="4"/>
  <c r="G2328" i="4"/>
  <c r="I2328" i="4" s="1"/>
  <c r="H2328" i="4"/>
  <c r="G2327" i="4"/>
  <c r="I2327" i="4" s="1"/>
  <c r="H2327" i="4"/>
  <c r="G2326" i="4"/>
  <c r="I2326" i="4" s="1"/>
  <c r="H2326" i="4"/>
  <c r="G2325" i="4"/>
  <c r="I2325" i="4" s="1"/>
  <c r="H2325" i="4"/>
  <c r="G2324" i="4"/>
  <c r="I2324" i="4" s="1"/>
  <c r="H2324" i="4"/>
  <c r="G2323" i="4"/>
  <c r="I2323" i="4" s="1"/>
  <c r="H2323" i="4"/>
  <c r="G2322" i="4"/>
  <c r="I2322" i="4" s="1"/>
  <c r="H2322" i="4"/>
  <c r="G2321" i="4"/>
  <c r="I2321" i="4" s="1"/>
  <c r="H2321" i="4"/>
  <c r="G2320" i="4"/>
  <c r="I2320" i="4" s="1"/>
  <c r="H2320" i="4"/>
  <c r="G2319" i="4"/>
  <c r="I2319" i="4" s="1"/>
  <c r="H2319" i="4"/>
  <c r="G2318" i="4"/>
  <c r="I2318" i="4" s="1"/>
  <c r="H2318" i="4"/>
  <c r="G2317" i="4"/>
  <c r="I2317" i="4" s="1"/>
  <c r="H2317" i="4"/>
  <c r="G2316" i="4"/>
  <c r="I2316" i="4" s="1"/>
  <c r="H2316" i="4"/>
  <c r="G2315" i="4"/>
  <c r="I2315" i="4" s="1"/>
  <c r="H2315" i="4"/>
  <c r="G2314" i="4"/>
  <c r="I2314" i="4" s="1"/>
  <c r="H2314" i="4"/>
  <c r="G2313" i="4"/>
  <c r="I2313" i="4" s="1"/>
  <c r="H2313" i="4"/>
  <c r="G2312" i="4"/>
  <c r="I2312" i="4" s="1"/>
  <c r="H2312" i="4"/>
  <c r="G2311" i="4"/>
  <c r="I2311" i="4" s="1"/>
  <c r="H2311" i="4"/>
  <c r="G2310" i="4"/>
  <c r="I2310" i="4" s="1"/>
  <c r="H2310" i="4"/>
  <c r="G2309" i="4"/>
  <c r="I2309" i="4" s="1"/>
  <c r="H2309" i="4"/>
  <c r="G2308" i="4"/>
  <c r="I2308" i="4" s="1"/>
  <c r="H2308" i="4"/>
  <c r="G2307" i="4"/>
  <c r="I2307" i="4" s="1"/>
  <c r="H2307" i="4"/>
  <c r="G2306" i="4"/>
  <c r="I2306" i="4" s="1"/>
  <c r="H2306" i="4"/>
  <c r="G2305" i="4"/>
  <c r="I2305" i="4" s="1"/>
  <c r="H2305" i="4"/>
  <c r="G2304" i="4"/>
  <c r="I2304" i="4" s="1"/>
  <c r="H2304" i="4"/>
  <c r="G2303" i="4"/>
  <c r="I2303" i="4" s="1"/>
  <c r="H2303" i="4"/>
  <c r="G2302" i="4"/>
  <c r="I2302" i="4" s="1"/>
  <c r="H2302" i="4"/>
  <c r="G2301" i="4"/>
  <c r="I2301" i="4" s="1"/>
  <c r="H2301" i="4"/>
  <c r="G2300" i="4"/>
  <c r="I2300" i="4" s="1"/>
  <c r="H2300" i="4"/>
  <c r="G2299" i="4"/>
  <c r="I2299" i="4" s="1"/>
  <c r="H2299" i="4"/>
  <c r="G2298" i="4"/>
  <c r="I2298" i="4" s="1"/>
  <c r="H2298" i="4"/>
  <c r="G2297" i="4"/>
  <c r="I2297" i="4" s="1"/>
  <c r="H2297" i="4"/>
  <c r="G2296" i="4"/>
  <c r="I2296" i="4" s="1"/>
  <c r="H2296" i="4"/>
  <c r="G2295" i="4"/>
  <c r="I2295" i="4" s="1"/>
  <c r="H2295" i="4"/>
  <c r="G2294" i="4"/>
  <c r="I2294" i="4" s="1"/>
  <c r="H2294" i="4"/>
  <c r="G2293" i="4"/>
  <c r="I2293" i="4" s="1"/>
  <c r="H2293" i="4"/>
  <c r="G2292" i="4"/>
  <c r="I2292" i="4" s="1"/>
  <c r="H2292" i="4"/>
  <c r="G2291" i="4"/>
  <c r="I2291" i="4" s="1"/>
  <c r="H2291" i="4"/>
  <c r="G2290" i="4"/>
  <c r="I2290" i="4" s="1"/>
  <c r="H2290" i="4"/>
  <c r="G2289" i="4"/>
  <c r="I2289" i="4" s="1"/>
  <c r="H2289" i="4"/>
  <c r="G2288" i="4"/>
  <c r="I2288" i="4" s="1"/>
  <c r="H2288" i="4"/>
  <c r="G2287" i="4"/>
  <c r="I2287" i="4" s="1"/>
  <c r="H2287" i="4"/>
  <c r="G2286" i="4"/>
  <c r="I2286" i="4" s="1"/>
  <c r="H2286" i="4"/>
  <c r="G2285" i="4"/>
  <c r="I2285" i="4" s="1"/>
  <c r="H2285" i="4"/>
  <c r="G2284" i="4"/>
  <c r="I2284" i="4" s="1"/>
  <c r="H2284" i="4"/>
  <c r="G2283" i="4"/>
  <c r="I2283" i="4" s="1"/>
  <c r="H2283" i="4"/>
  <c r="G2282" i="4"/>
  <c r="I2282" i="4" s="1"/>
  <c r="H2282" i="4"/>
  <c r="G2281" i="4"/>
  <c r="I2281" i="4" s="1"/>
  <c r="H2281" i="4"/>
  <c r="G2280" i="4"/>
  <c r="I2280" i="4" s="1"/>
  <c r="H2280" i="4"/>
  <c r="G2279" i="4"/>
  <c r="I2279" i="4" s="1"/>
  <c r="H2279" i="4"/>
  <c r="G2278" i="4"/>
  <c r="I2278" i="4" s="1"/>
  <c r="H2278" i="4"/>
  <c r="G2277" i="4"/>
  <c r="I2277" i="4" s="1"/>
  <c r="H2277" i="4"/>
  <c r="G2276" i="4"/>
  <c r="I2276" i="4" s="1"/>
  <c r="H2276" i="4"/>
  <c r="G2275" i="4"/>
  <c r="I2275" i="4" s="1"/>
  <c r="H2275" i="4"/>
  <c r="G2274" i="4"/>
  <c r="I2274" i="4" s="1"/>
  <c r="H2274" i="4"/>
  <c r="G2273" i="4"/>
  <c r="I2273" i="4" s="1"/>
  <c r="H2273" i="4"/>
  <c r="G2272" i="4"/>
  <c r="I2272" i="4" s="1"/>
  <c r="H2272" i="4"/>
  <c r="G2271" i="4"/>
  <c r="I2271" i="4" s="1"/>
  <c r="H2271" i="4"/>
  <c r="G2270" i="4"/>
  <c r="I2270" i="4" s="1"/>
  <c r="H2270" i="4"/>
  <c r="G2269" i="4"/>
  <c r="I2269" i="4" s="1"/>
  <c r="H2269" i="4"/>
  <c r="G2268" i="4"/>
  <c r="I2268" i="4" s="1"/>
  <c r="H2268" i="4"/>
  <c r="G2267" i="4"/>
  <c r="I2267" i="4" s="1"/>
  <c r="H2267" i="4"/>
  <c r="G2266" i="4"/>
  <c r="I2266" i="4" s="1"/>
  <c r="H2266" i="4"/>
  <c r="G2265" i="4"/>
  <c r="I2265" i="4" s="1"/>
  <c r="H2265" i="4"/>
  <c r="G2264" i="4"/>
  <c r="I2264" i="4" s="1"/>
  <c r="H2264" i="4"/>
  <c r="G2263" i="4"/>
  <c r="I2263" i="4" s="1"/>
  <c r="H2263" i="4"/>
  <c r="G2262" i="4"/>
  <c r="I2262" i="4" s="1"/>
  <c r="H2262" i="4"/>
  <c r="G2261" i="4"/>
  <c r="I2261" i="4" s="1"/>
  <c r="H2261" i="4"/>
  <c r="G2260" i="4"/>
  <c r="I2260" i="4" s="1"/>
  <c r="H2260" i="4"/>
  <c r="G2259" i="4"/>
  <c r="I2259" i="4" s="1"/>
  <c r="H2259" i="4"/>
  <c r="G2258" i="4"/>
  <c r="I2258" i="4" s="1"/>
  <c r="H2258" i="4"/>
  <c r="G2257" i="4"/>
  <c r="I2257" i="4" s="1"/>
  <c r="H2257" i="4"/>
  <c r="G2256" i="4"/>
  <c r="I2256" i="4" s="1"/>
  <c r="H2256" i="4"/>
  <c r="G2255" i="4"/>
  <c r="I2255" i="4" s="1"/>
  <c r="H2255" i="4"/>
  <c r="G2254" i="4"/>
  <c r="I2254" i="4" s="1"/>
  <c r="H2254" i="4"/>
  <c r="G2253" i="4"/>
  <c r="I2253" i="4" s="1"/>
  <c r="H2253" i="4"/>
  <c r="G2252" i="4"/>
  <c r="I2252" i="4" s="1"/>
  <c r="H2252" i="4"/>
  <c r="G2251" i="4"/>
  <c r="H2251" i="4"/>
  <c r="G2250" i="4"/>
  <c r="I2250" i="4" s="1"/>
  <c r="H2250" i="4"/>
  <c r="G2249" i="4"/>
  <c r="I2249" i="4" s="1"/>
  <c r="H2249" i="4"/>
  <c r="G2248" i="4"/>
  <c r="I2248" i="4" s="1"/>
  <c r="H2248" i="4"/>
  <c r="G2247" i="4"/>
  <c r="I2247" i="4" s="1"/>
  <c r="H2247" i="4"/>
  <c r="G2246" i="4"/>
  <c r="I2246" i="4" s="1"/>
  <c r="H2246" i="4"/>
  <c r="G2245" i="4"/>
  <c r="I2245" i="4" s="1"/>
  <c r="H2245" i="4"/>
  <c r="G2244" i="4"/>
  <c r="I2244" i="4" s="1"/>
  <c r="H2244" i="4"/>
  <c r="G2243" i="4"/>
  <c r="I2243" i="4" s="1"/>
  <c r="H2243" i="4"/>
  <c r="G2242" i="4"/>
  <c r="I2242" i="4" s="1"/>
  <c r="H2242" i="4"/>
  <c r="G2241" i="4"/>
  <c r="I2241" i="4" s="1"/>
  <c r="H2241" i="4"/>
  <c r="G2240" i="4"/>
  <c r="I2240" i="4" s="1"/>
  <c r="H2240" i="4"/>
  <c r="G2239" i="4"/>
  <c r="I2239" i="4" s="1"/>
  <c r="H2239" i="4"/>
  <c r="G2238" i="4"/>
  <c r="I2238" i="4" s="1"/>
  <c r="H2238" i="4"/>
  <c r="G2237" i="4"/>
  <c r="I2237" i="4" s="1"/>
  <c r="H2237" i="4"/>
  <c r="G2236" i="4"/>
  <c r="I2236" i="4" s="1"/>
  <c r="H2236" i="4"/>
  <c r="G2235" i="4"/>
  <c r="I2235" i="4" s="1"/>
  <c r="H2235" i="4"/>
  <c r="G2234" i="4"/>
  <c r="I2234" i="4" s="1"/>
  <c r="H2234" i="4"/>
  <c r="G2233" i="4"/>
  <c r="I2233" i="4" s="1"/>
  <c r="H2233" i="4"/>
  <c r="G2232" i="4"/>
  <c r="I2232" i="4" s="1"/>
  <c r="H2232" i="4"/>
  <c r="G2231" i="4"/>
  <c r="I2231" i="4" s="1"/>
  <c r="H2231" i="4"/>
  <c r="G2230" i="4"/>
  <c r="I2230" i="4" s="1"/>
  <c r="H2230" i="4"/>
  <c r="G2229" i="4"/>
  <c r="I2229" i="4" s="1"/>
  <c r="H2229" i="4"/>
  <c r="G2228" i="4"/>
  <c r="I2228" i="4" s="1"/>
  <c r="H2228" i="4"/>
  <c r="G2227" i="4"/>
  <c r="I2227" i="4" s="1"/>
  <c r="H2227" i="4"/>
  <c r="G2226" i="4"/>
  <c r="I2226" i="4" s="1"/>
  <c r="H2226" i="4"/>
  <c r="G2225" i="4"/>
  <c r="I2225" i="4" s="1"/>
  <c r="H2225" i="4"/>
  <c r="G2224" i="4"/>
  <c r="I2224" i="4" s="1"/>
  <c r="H2224" i="4"/>
  <c r="G2223" i="4"/>
  <c r="I2223" i="4" s="1"/>
  <c r="H2223" i="4"/>
  <c r="G2222" i="4"/>
  <c r="I2222" i="4" s="1"/>
  <c r="H2222" i="4"/>
  <c r="G2221" i="4"/>
  <c r="I2221" i="4" s="1"/>
  <c r="H2221" i="4"/>
  <c r="G2220" i="4"/>
  <c r="I2220" i="4" s="1"/>
  <c r="H2220" i="4"/>
  <c r="G2219" i="4"/>
  <c r="I2219" i="4" s="1"/>
  <c r="H2219" i="4"/>
  <c r="G2218" i="4"/>
  <c r="I2218" i="4" s="1"/>
  <c r="H2218" i="4"/>
  <c r="G2217" i="4"/>
  <c r="I2217" i="4" s="1"/>
  <c r="H2217" i="4"/>
  <c r="G2216" i="4"/>
  <c r="I2216" i="4" s="1"/>
  <c r="H2216" i="4"/>
  <c r="G2215" i="4"/>
  <c r="I2215" i="4" s="1"/>
  <c r="H2215" i="4"/>
  <c r="G2214" i="4"/>
  <c r="I2214" i="4" s="1"/>
  <c r="H2214" i="4"/>
  <c r="G2213" i="4"/>
  <c r="I2213" i="4" s="1"/>
  <c r="H2213" i="4"/>
  <c r="G2212" i="4"/>
  <c r="I2212" i="4" s="1"/>
  <c r="H2212" i="4"/>
  <c r="G2211" i="4"/>
  <c r="I2211" i="4" s="1"/>
  <c r="H2211" i="4"/>
  <c r="G2210" i="4"/>
  <c r="I2210" i="4" s="1"/>
  <c r="H2210" i="4"/>
  <c r="G2209" i="4"/>
  <c r="I2209" i="4" s="1"/>
  <c r="H2209" i="4"/>
  <c r="G2208" i="4"/>
  <c r="I2208" i="4" s="1"/>
  <c r="H2208" i="4"/>
  <c r="G2207" i="4"/>
  <c r="I2207" i="4" s="1"/>
  <c r="H2207" i="4"/>
  <c r="G2206" i="4"/>
  <c r="I2206" i="4" s="1"/>
  <c r="H2206" i="4"/>
  <c r="G2205" i="4"/>
  <c r="I2205" i="4" s="1"/>
  <c r="H2205" i="4"/>
  <c r="G2204" i="4"/>
  <c r="I2204" i="4" s="1"/>
  <c r="H2204" i="4"/>
  <c r="G2203" i="4"/>
  <c r="I2203" i="4" s="1"/>
  <c r="H2203" i="4"/>
  <c r="G2202" i="4"/>
  <c r="I2202" i="4" s="1"/>
  <c r="H2202" i="4"/>
  <c r="G2201" i="4"/>
  <c r="I2201" i="4" s="1"/>
  <c r="H2201" i="4"/>
  <c r="G2200" i="4"/>
  <c r="I2200" i="4" s="1"/>
  <c r="H2200" i="4"/>
  <c r="G2199" i="4"/>
  <c r="I2199" i="4" s="1"/>
  <c r="H2199" i="4"/>
  <c r="G2198" i="4"/>
  <c r="I2198" i="4" s="1"/>
  <c r="H2198" i="4"/>
  <c r="G2197" i="4"/>
  <c r="I2197" i="4" s="1"/>
  <c r="H2197" i="4"/>
  <c r="G2196" i="4"/>
  <c r="I2196" i="4" s="1"/>
  <c r="H2196" i="4"/>
  <c r="G2195" i="4"/>
  <c r="I2195" i="4" s="1"/>
  <c r="H2195" i="4"/>
  <c r="G2194" i="4"/>
  <c r="I2194" i="4" s="1"/>
  <c r="H2194" i="4"/>
  <c r="G2193" i="4"/>
  <c r="I2193" i="4" s="1"/>
  <c r="H2193" i="4"/>
  <c r="G2192" i="4"/>
  <c r="I2192" i="4" s="1"/>
  <c r="H2192" i="4"/>
  <c r="G2191" i="4"/>
  <c r="I2191" i="4" s="1"/>
  <c r="H2191" i="4"/>
  <c r="G2190" i="4"/>
  <c r="I2190" i="4" s="1"/>
  <c r="H2190" i="4"/>
  <c r="G2189" i="4"/>
  <c r="I2189" i="4" s="1"/>
  <c r="H2189" i="4"/>
  <c r="G2188" i="4"/>
  <c r="I2188" i="4" s="1"/>
  <c r="H2188" i="4"/>
  <c r="G2187" i="4"/>
  <c r="I2187" i="4" s="1"/>
  <c r="H2187" i="4"/>
  <c r="G2186" i="4"/>
  <c r="I2186" i="4" s="1"/>
  <c r="H2186" i="4"/>
  <c r="G2185" i="4"/>
  <c r="I2185" i="4" s="1"/>
  <c r="H2185" i="4"/>
  <c r="G2184" i="4"/>
  <c r="I2184" i="4" s="1"/>
  <c r="H2184" i="4"/>
  <c r="G2183" i="4"/>
  <c r="I2183" i="4" s="1"/>
  <c r="H2183" i="4"/>
  <c r="G2182" i="4"/>
  <c r="I2182" i="4" s="1"/>
  <c r="H2182" i="4"/>
  <c r="G2181" i="4"/>
  <c r="I2181" i="4" s="1"/>
  <c r="H2181" i="4"/>
  <c r="G2180" i="4"/>
  <c r="I2180" i="4" s="1"/>
  <c r="H2180" i="4"/>
  <c r="G2179" i="4"/>
  <c r="I2179" i="4" s="1"/>
  <c r="H2179" i="4"/>
  <c r="G2178" i="4"/>
  <c r="I2178" i="4" s="1"/>
  <c r="H2178" i="4"/>
  <c r="G2177" i="4"/>
  <c r="I2177" i="4" s="1"/>
  <c r="H2177" i="4"/>
  <c r="G2176" i="4"/>
  <c r="I2176" i="4" s="1"/>
  <c r="H2176" i="4"/>
  <c r="G2175" i="4"/>
  <c r="I2175" i="4" s="1"/>
  <c r="H2175" i="4"/>
  <c r="G2174" i="4"/>
  <c r="I2174" i="4" s="1"/>
  <c r="H2174" i="4"/>
  <c r="G2173" i="4"/>
  <c r="I2173" i="4" s="1"/>
  <c r="H2173" i="4"/>
  <c r="G2172" i="4"/>
  <c r="I2172" i="4" s="1"/>
  <c r="H2172" i="4"/>
  <c r="G2171" i="4"/>
  <c r="I2171" i="4" s="1"/>
  <c r="H2171" i="4"/>
  <c r="G2170" i="4"/>
  <c r="I2170" i="4" s="1"/>
  <c r="H2170" i="4"/>
  <c r="G2169" i="4"/>
  <c r="I2169" i="4" s="1"/>
  <c r="H2169" i="4"/>
  <c r="G2168" i="4"/>
  <c r="I2168" i="4" s="1"/>
  <c r="H2168" i="4"/>
  <c r="G2167" i="4"/>
  <c r="I2167" i="4" s="1"/>
  <c r="H2167" i="4"/>
  <c r="G2166" i="4"/>
  <c r="I2166" i="4" s="1"/>
  <c r="H2166" i="4"/>
  <c r="G2165" i="4"/>
  <c r="I2165" i="4" s="1"/>
  <c r="H2165" i="4"/>
  <c r="G2164" i="4"/>
  <c r="I2164" i="4" s="1"/>
  <c r="H2164" i="4"/>
  <c r="G2163" i="4"/>
  <c r="I2163" i="4" s="1"/>
  <c r="H2163" i="4"/>
  <c r="G2162" i="4"/>
  <c r="I2162" i="4" s="1"/>
  <c r="H2162" i="4"/>
  <c r="G2161" i="4"/>
  <c r="I2161" i="4" s="1"/>
  <c r="H2161" i="4"/>
  <c r="G2160" i="4"/>
  <c r="I2160" i="4" s="1"/>
  <c r="H2160" i="4"/>
  <c r="G2159" i="4"/>
  <c r="I2159" i="4" s="1"/>
  <c r="H2159" i="4"/>
  <c r="G2158" i="4"/>
  <c r="I2158" i="4" s="1"/>
  <c r="H2158" i="4"/>
  <c r="G2157" i="4"/>
  <c r="I2157" i="4" s="1"/>
  <c r="H2157" i="4"/>
  <c r="G2156" i="4"/>
  <c r="I2156" i="4" s="1"/>
  <c r="H2156" i="4"/>
  <c r="G2155" i="4"/>
  <c r="I2155" i="4" s="1"/>
  <c r="H2155" i="4"/>
  <c r="G2154" i="4"/>
  <c r="I2154" i="4" s="1"/>
  <c r="H2154" i="4"/>
  <c r="G2153" i="4"/>
  <c r="I2153" i="4" s="1"/>
  <c r="H2153" i="4"/>
  <c r="G2152" i="4"/>
  <c r="I2152" i="4" s="1"/>
  <c r="H2152" i="4"/>
  <c r="G2151" i="4"/>
  <c r="I2151" i="4" s="1"/>
  <c r="H2151" i="4"/>
  <c r="G2150" i="4"/>
  <c r="I2150" i="4" s="1"/>
  <c r="H2150" i="4"/>
  <c r="G2149" i="4"/>
  <c r="I2149" i="4" s="1"/>
  <c r="H2149" i="4"/>
  <c r="G2148" i="4"/>
  <c r="I2148" i="4" s="1"/>
  <c r="H2148" i="4"/>
  <c r="G2147" i="4"/>
  <c r="I2147" i="4" s="1"/>
  <c r="H2147" i="4"/>
  <c r="G2146" i="4"/>
  <c r="I2146" i="4" s="1"/>
  <c r="H2146" i="4"/>
  <c r="G2145" i="4"/>
  <c r="I2145" i="4" s="1"/>
  <c r="H2145" i="4"/>
  <c r="G2144" i="4"/>
  <c r="I2144" i="4" s="1"/>
  <c r="H2144" i="4"/>
  <c r="G2143" i="4"/>
  <c r="I2143" i="4" s="1"/>
  <c r="H2143" i="4"/>
  <c r="G2142" i="4"/>
  <c r="I2142" i="4" s="1"/>
  <c r="H2142" i="4"/>
  <c r="G2141" i="4"/>
  <c r="I2141" i="4" s="1"/>
  <c r="H2141" i="4"/>
  <c r="G2140" i="4"/>
  <c r="I2140" i="4" s="1"/>
  <c r="H2140" i="4"/>
  <c r="G2139" i="4"/>
  <c r="I2139" i="4" s="1"/>
  <c r="H2139" i="4"/>
  <c r="G2138" i="4"/>
  <c r="I2138" i="4" s="1"/>
  <c r="H2138" i="4"/>
  <c r="G2137" i="4"/>
  <c r="I2137" i="4" s="1"/>
  <c r="H2137" i="4"/>
  <c r="G2136" i="4"/>
  <c r="I2136" i="4" s="1"/>
  <c r="H2136" i="4"/>
  <c r="G2135" i="4"/>
  <c r="I2135" i="4" s="1"/>
  <c r="H2135" i="4"/>
  <c r="G2134" i="4"/>
  <c r="I2134" i="4" s="1"/>
  <c r="H2134" i="4"/>
  <c r="G2133" i="4"/>
  <c r="I2133" i="4" s="1"/>
  <c r="H2133" i="4"/>
  <c r="G2132" i="4"/>
  <c r="I2132" i="4" s="1"/>
  <c r="H2132" i="4"/>
  <c r="G2131" i="4"/>
  <c r="I2131" i="4" s="1"/>
  <c r="H2131" i="4"/>
  <c r="G2130" i="4"/>
  <c r="I2130" i="4" s="1"/>
  <c r="H2130" i="4"/>
  <c r="G2129" i="4"/>
  <c r="I2129" i="4" s="1"/>
  <c r="H2129" i="4"/>
  <c r="G2128" i="4"/>
  <c r="I2128" i="4" s="1"/>
  <c r="H2128" i="4"/>
  <c r="G2127" i="4"/>
  <c r="I2127" i="4" s="1"/>
  <c r="H2127" i="4"/>
  <c r="G2126" i="4"/>
  <c r="I2126" i="4" s="1"/>
  <c r="H2126" i="4"/>
  <c r="G2125" i="4"/>
  <c r="I2125" i="4" s="1"/>
  <c r="H2125" i="4"/>
  <c r="G2124" i="4"/>
  <c r="I2124" i="4" s="1"/>
  <c r="H2124" i="4"/>
  <c r="G2123" i="4"/>
  <c r="I2123" i="4" s="1"/>
  <c r="H2123" i="4"/>
  <c r="G2122" i="4"/>
  <c r="I2122" i="4" s="1"/>
  <c r="H2122" i="4"/>
  <c r="G2121" i="4"/>
  <c r="I2121" i="4" s="1"/>
  <c r="H2121" i="4"/>
  <c r="G2120" i="4"/>
  <c r="I2120" i="4" s="1"/>
  <c r="H2120" i="4"/>
  <c r="G2119" i="4"/>
  <c r="I2119" i="4" s="1"/>
  <c r="H2119" i="4"/>
  <c r="G2118" i="4"/>
  <c r="I2118" i="4" s="1"/>
  <c r="H2118" i="4"/>
  <c r="G2117" i="4"/>
  <c r="I2117" i="4" s="1"/>
  <c r="H2117" i="4"/>
  <c r="G2116" i="4"/>
  <c r="I2116" i="4" s="1"/>
  <c r="H2116" i="4"/>
  <c r="G2115" i="4"/>
  <c r="I2115" i="4" s="1"/>
  <c r="H2115" i="4"/>
  <c r="G2114" i="4"/>
  <c r="I2114" i="4" s="1"/>
  <c r="H2114" i="4"/>
  <c r="G2113" i="4"/>
  <c r="I2113" i="4" s="1"/>
  <c r="H2113" i="4"/>
  <c r="G2112" i="4"/>
  <c r="I2112" i="4" s="1"/>
  <c r="H2112" i="4"/>
  <c r="G2111" i="4"/>
  <c r="I2111" i="4" s="1"/>
  <c r="H2111" i="4"/>
  <c r="G2110" i="4"/>
  <c r="I2110" i="4" s="1"/>
  <c r="H2110" i="4"/>
  <c r="G2109" i="4"/>
  <c r="I2109" i="4" s="1"/>
  <c r="H2109" i="4"/>
  <c r="G2108" i="4"/>
  <c r="I2108" i="4" s="1"/>
  <c r="H2108" i="4"/>
  <c r="G2107" i="4"/>
  <c r="I2107" i="4" s="1"/>
  <c r="H2107" i="4"/>
  <c r="G2106" i="4"/>
  <c r="I2106" i="4" s="1"/>
  <c r="H2106" i="4"/>
  <c r="G2105" i="4"/>
  <c r="I2105" i="4" s="1"/>
  <c r="H2105" i="4"/>
  <c r="G2104" i="4"/>
  <c r="I2104" i="4" s="1"/>
  <c r="H2104" i="4"/>
  <c r="G2103" i="4"/>
  <c r="I2103" i="4" s="1"/>
  <c r="H2103" i="4"/>
  <c r="G2102" i="4"/>
  <c r="I2102" i="4" s="1"/>
  <c r="H2102" i="4"/>
  <c r="G2101" i="4"/>
  <c r="I2101" i="4" s="1"/>
  <c r="H2101" i="4"/>
  <c r="G2100" i="4"/>
  <c r="I2100" i="4" s="1"/>
  <c r="H2100" i="4"/>
  <c r="G2099" i="4"/>
  <c r="I2099" i="4" s="1"/>
  <c r="H2099" i="4"/>
  <c r="G2098" i="4"/>
  <c r="I2098" i="4" s="1"/>
  <c r="H2098" i="4"/>
  <c r="G2097" i="4"/>
  <c r="I2097" i="4" s="1"/>
  <c r="H2097" i="4"/>
  <c r="G2096" i="4"/>
  <c r="I2096" i="4" s="1"/>
  <c r="H2096" i="4"/>
  <c r="G2095" i="4"/>
  <c r="I2095" i="4" s="1"/>
  <c r="H2095" i="4"/>
  <c r="G2094" i="4"/>
  <c r="I2094" i="4" s="1"/>
  <c r="H2094" i="4"/>
  <c r="G2093" i="4"/>
  <c r="I2093" i="4" s="1"/>
  <c r="H2093" i="4"/>
  <c r="G2092" i="4"/>
  <c r="I2092" i="4" s="1"/>
  <c r="H2092" i="4"/>
  <c r="G2091" i="4"/>
  <c r="I2091" i="4" s="1"/>
  <c r="H2091" i="4"/>
  <c r="G2090" i="4"/>
  <c r="I2090" i="4" s="1"/>
  <c r="H2090" i="4"/>
  <c r="G2089" i="4"/>
  <c r="I2089" i="4" s="1"/>
  <c r="H2089" i="4"/>
  <c r="G2088" i="4"/>
  <c r="I2088" i="4" s="1"/>
  <c r="H2088" i="4"/>
  <c r="G2087" i="4"/>
  <c r="I2087" i="4" s="1"/>
  <c r="H2087" i="4"/>
  <c r="G2086" i="4"/>
  <c r="I2086" i="4" s="1"/>
  <c r="H2086" i="4"/>
  <c r="G2085" i="4"/>
  <c r="I2085" i="4" s="1"/>
  <c r="H2085" i="4"/>
  <c r="G2084" i="4"/>
  <c r="I2084" i="4" s="1"/>
  <c r="H2084" i="4"/>
  <c r="G2083" i="4"/>
  <c r="I2083" i="4" s="1"/>
  <c r="H2083" i="4"/>
  <c r="G2082" i="4"/>
  <c r="I2082" i="4" s="1"/>
  <c r="H2082" i="4"/>
  <c r="G2081" i="4"/>
  <c r="I2081" i="4" s="1"/>
  <c r="H2081" i="4"/>
  <c r="G2080" i="4"/>
  <c r="I2080" i="4" s="1"/>
  <c r="H2080" i="4"/>
  <c r="G2079" i="4"/>
  <c r="I2079" i="4" s="1"/>
  <c r="H2079" i="4"/>
  <c r="G2078" i="4"/>
  <c r="I2078" i="4" s="1"/>
  <c r="H2078" i="4"/>
  <c r="G2077" i="4"/>
  <c r="I2077" i="4" s="1"/>
  <c r="H2077" i="4"/>
  <c r="G2076" i="4"/>
  <c r="I2076" i="4" s="1"/>
  <c r="H2076" i="4"/>
  <c r="G2075" i="4"/>
  <c r="I2075" i="4" s="1"/>
  <c r="H2075" i="4"/>
  <c r="G2074" i="4"/>
  <c r="I2074" i="4" s="1"/>
  <c r="H2074" i="4"/>
  <c r="G2073" i="4"/>
  <c r="I2073" i="4" s="1"/>
  <c r="H2073" i="4"/>
  <c r="G2072" i="4"/>
  <c r="I2072" i="4" s="1"/>
  <c r="H2072" i="4"/>
  <c r="G2071" i="4"/>
  <c r="I2071" i="4" s="1"/>
  <c r="H2071" i="4"/>
  <c r="G2070" i="4"/>
  <c r="I2070" i="4" s="1"/>
  <c r="H2070" i="4"/>
  <c r="G2069" i="4"/>
  <c r="I2069" i="4" s="1"/>
  <c r="H2069" i="4"/>
  <c r="G2068" i="4"/>
  <c r="I2068" i="4" s="1"/>
  <c r="H2068" i="4"/>
  <c r="G2067" i="4"/>
  <c r="I2067" i="4" s="1"/>
  <c r="H2067" i="4"/>
  <c r="G2066" i="4"/>
  <c r="I2066" i="4" s="1"/>
  <c r="H2066" i="4"/>
  <c r="G2065" i="4"/>
  <c r="I2065" i="4" s="1"/>
  <c r="H2065" i="4"/>
  <c r="G2064" i="4"/>
  <c r="I2064" i="4" s="1"/>
  <c r="H2064" i="4"/>
  <c r="G2063" i="4"/>
  <c r="I2063" i="4" s="1"/>
  <c r="H2063" i="4"/>
  <c r="G2062" i="4"/>
  <c r="I2062" i="4" s="1"/>
  <c r="H2062" i="4"/>
  <c r="G2061" i="4"/>
  <c r="I2061" i="4" s="1"/>
  <c r="H2061" i="4"/>
  <c r="G2060" i="4"/>
  <c r="I2060" i="4" s="1"/>
  <c r="H2060" i="4"/>
  <c r="G2059" i="4"/>
  <c r="I2059" i="4" s="1"/>
  <c r="H2059" i="4"/>
  <c r="G2058" i="4"/>
  <c r="I2058" i="4" s="1"/>
  <c r="H2058" i="4"/>
  <c r="G2057" i="4"/>
  <c r="I2057" i="4" s="1"/>
  <c r="H2057" i="4"/>
  <c r="G2056" i="4"/>
  <c r="I2056" i="4" s="1"/>
  <c r="H2056" i="4"/>
  <c r="G2055" i="4"/>
  <c r="I2055" i="4" s="1"/>
  <c r="H2055" i="4"/>
  <c r="G2054" i="4"/>
  <c r="I2054" i="4" s="1"/>
  <c r="H2054" i="4"/>
  <c r="G2053" i="4"/>
  <c r="I2053" i="4" s="1"/>
  <c r="H2053" i="4"/>
  <c r="G2052" i="4"/>
  <c r="I2052" i="4" s="1"/>
  <c r="H2052" i="4"/>
  <c r="G2051" i="4"/>
  <c r="I2051" i="4" s="1"/>
  <c r="H2051" i="4"/>
  <c r="G2050" i="4"/>
  <c r="I2050" i="4" s="1"/>
  <c r="H2050" i="4"/>
  <c r="G2049" i="4"/>
  <c r="I2049" i="4" s="1"/>
  <c r="H2049" i="4"/>
  <c r="G2048" i="4"/>
  <c r="I2048" i="4" s="1"/>
  <c r="H2048" i="4"/>
  <c r="G2047" i="4"/>
  <c r="I2047" i="4" s="1"/>
  <c r="H2047" i="4"/>
  <c r="G2046" i="4"/>
  <c r="I2046" i="4" s="1"/>
  <c r="H2046" i="4"/>
  <c r="G2045" i="4"/>
  <c r="I2045" i="4" s="1"/>
  <c r="H2045" i="4"/>
  <c r="G2044" i="4"/>
  <c r="I2044" i="4" s="1"/>
  <c r="H2044" i="4"/>
  <c r="G2043" i="4"/>
  <c r="I2043" i="4" s="1"/>
  <c r="H2043" i="4"/>
  <c r="G2042" i="4"/>
  <c r="I2042" i="4" s="1"/>
  <c r="H2042" i="4"/>
  <c r="G2041" i="4"/>
  <c r="I2041" i="4" s="1"/>
  <c r="H2041" i="4"/>
  <c r="G2040" i="4"/>
  <c r="I2040" i="4" s="1"/>
  <c r="H2040" i="4"/>
  <c r="G2039" i="4"/>
  <c r="I2039" i="4" s="1"/>
  <c r="H2039" i="4"/>
  <c r="G2038" i="4"/>
  <c r="I2038" i="4" s="1"/>
  <c r="H2038" i="4"/>
  <c r="G2037" i="4"/>
  <c r="I2037" i="4" s="1"/>
  <c r="H2037" i="4"/>
  <c r="G2036" i="4"/>
  <c r="I2036" i="4" s="1"/>
  <c r="H2036" i="4"/>
  <c r="G2035" i="4"/>
  <c r="I2035" i="4" s="1"/>
  <c r="H2035" i="4"/>
  <c r="G2034" i="4"/>
  <c r="I2034" i="4" s="1"/>
  <c r="H2034" i="4"/>
  <c r="G2033" i="4"/>
  <c r="I2033" i="4" s="1"/>
  <c r="H2033" i="4"/>
  <c r="G2032" i="4"/>
  <c r="I2032" i="4" s="1"/>
  <c r="H2032" i="4"/>
  <c r="G2031" i="4"/>
  <c r="I2031" i="4" s="1"/>
  <c r="H2031" i="4"/>
  <c r="G2030" i="4"/>
  <c r="I2030" i="4" s="1"/>
  <c r="H2030" i="4"/>
  <c r="G2029" i="4"/>
  <c r="I2029" i="4" s="1"/>
  <c r="H2029" i="4"/>
  <c r="G2028" i="4"/>
  <c r="I2028" i="4" s="1"/>
  <c r="H2028" i="4"/>
  <c r="G2027" i="4"/>
  <c r="I2027" i="4" s="1"/>
  <c r="H2027" i="4"/>
  <c r="G2026" i="4"/>
  <c r="I2026" i="4" s="1"/>
  <c r="H2026" i="4"/>
  <c r="G2025" i="4"/>
  <c r="I2025" i="4" s="1"/>
  <c r="H2025" i="4"/>
  <c r="G2024" i="4"/>
  <c r="I2024" i="4" s="1"/>
  <c r="H2024" i="4"/>
  <c r="G2023" i="4"/>
  <c r="I2023" i="4" s="1"/>
  <c r="H2023" i="4"/>
  <c r="G2022" i="4"/>
  <c r="I2022" i="4" s="1"/>
  <c r="H2022" i="4"/>
  <c r="G2021" i="4"/>
  <c r="I2021" i="4" s="1"/>
  <c r="H2021" i="4"/>
  <c r="G2020" i="4"/>
  <c r="I2020" i="4" s="1"/>
  <c r="H2020" i="4"/>
  <c r="G2019" i="4"/>
  <c r="I2019" i="4" s="1"/>
  <c r="H2019" i="4"/>
  <c r="G2018" i="4"/>
  <c r="I2018" i="4" s="1"/>
  <c r="H2018" i="4"/>
  <c r="G2017" i="4"/>
  <c r="I2017" i="4" s="1"/>
  <c r="H2017" i="4"/>
  <c r="G2016" i="4"/>
  <c r="I2016" i="4" s="1"/>
  <c r="H2016" i="4"/>
  <c r="G2015" i="4"/>
  <c r="I2015" i="4" s="1"/>
  <c r="H2015" i="4"/>
  <c r="G2014" i="4"/>
  <c r="I2014" i="4" s="1"/>
  <c r="H2014" i="4"/>
  <c r="G2013" i="4"/>
  <c r="I2013" i="4" s="1"/>
  <c r="H2013" i="4"/>
  <c r="G2012" i="4"/>
  <c r="I2012" i="4" s="1"/>
  <c r="H2012" i="4"/>
  <c r="G2011" i="4"/>
  <c r="I2011" i="4" s="1"/>
  <c r="H2011" i="4"/>
  <c r="G2010" i="4"/>
  <c r="I2010" i="4" s="1"/>
  <c r="H2010" i="4"/>
  <c r="G2009" i="4"/>
  <c r="I2009" i="4" s="1"/>
  <c r="H2009" i="4"/>
  <c r="G2008" i="4"/>
  <c r="I2008" i="4" s="1"/>
  <c r="H2008" i="4"/>
  <c r="G2007" i="4"/>
  <c r="I2007" i="4" s="1"/>
  <c r="H2007" i="4"/>
  <c r="G2006" i="4"/>
  <c r="I2006" i="4" s="1"/>
  <c r="H2006" i="4"/>
  <c r="G2005" i="4"/>
  <c r="I2005" i="4" s="1"/>
  <c r="H2005" i="4"/>
  <c r="G2004" i="4"/>
  <c r="I2004" i="4" s="1"/>
  <c r="H2004" i="4"/>
  <c r="G2003" i="4"/>
  <c r="I2003" i="4" s="1"/>
  <c r="H2003" i="4"/>
  <c r="G2002" i="4"/>
  <c r="I2002" i="4" s="1"/>
  <c r="H2002" i="4"/>
  <c r="G2001" i="4"/>
  <c r="I2001" i="4" s="1"/>
  <c r="H2001" i="4"/>
  <c r="G2000" i="4"/>
  <c r="I2000" i="4" s="1"/>
  <c r="H2000" i="4"/>
  <c r="G1999" i="4"/>
  <c r="I1999" i="4" s="1"/>
  <c r="H1999" i="4"/>
  <c r="G1998" i="4"/>
  <c r="I1998" i="4" s="1"/>
  <c r="H1998" i="4"/>
  <c r="G1997" i="4"/>
  <c r="I1997" i="4" s="1"/>
  <c r="H1997" i="4"/>
  <c r="G1996" i="4"/>
  <c r="I1996" i="4" s="1"/>
  <c r="H1996" i="4"/>
  <c r="G1995" i="4"/>
  <c r="I1995" i="4" s="1"/>
  <c r="H1995" i="4"/>
  <c r="G1994" i="4"/>
  <c r="I1994" i="4" s="1"/>
  <c r="H1994" i="4"/>
  <c r="G1993" i="4"/>
  <c r="I1993" i="4" s="1"/>
  <c r="H1993" i="4"/>
  <c r="G1992" i="4"/>
  <c r="I1992" i="4" s="1"/>
  <c r="H1992" i="4"/>
  <c r="G1991" i="4"/>
  <c r="I1991" i="4" s="1"/>
  <c r="H1991" i="4"/>
  <c r="G1990" i="4"/>
  <c r="I1990" i="4" s="1"/>
  <c r="H1990" i="4"/>
  <c r="G1989" i="4"/>
  <c r="I1989" i="4" s="1"/>
  <c r="H1989" i="4"/>
  <c r="G1988" i="4"/>
  <c r="I1988" i="4" s="1"/>
  <c r="H1988" i="4"/>
  <c r="G1987" i="4"/>
  <c r="I1987" i="4" s="1"/>
  <c r="H1987" i="4"/>
  <c r="G1986" i="4"/>
  <c r="I1986" i="4" s="1"/>
  <c r="H1986" i="4"/>
  <c r="G1985" i="4"/>
  <c r="I1985" i="4" s="1"/>
  <c r="H1985" i="4"/>
  <c r="G1984" i="4"/>
  <c r="I1984" i="4" s="1"/>
  <c r="H1984" i="4"/>
  <c r="G1983" i="4"/>
  <c r="I1983" i="4" s="1"/>
  <c r="H1983" i="4"/>
  <c r="G1982" i="4"/>
  <c r="I1982" i="4" s="1"/>
  <c r="H1982" i="4"/>
  <c r="G1981" i="4"/>
  <c r="I1981" i="4" s="1"/>
  <c r="H1981" i="4"/>
  <c r="G1980" i="4"/>
  <c r="I1980" i="4" s="1"/>
  <c r="H1980" i="4"/>
  <c r="G1979" i="4"/>
  <c r="I1979" i="4" s="1"/>
  <c r="H1979" i="4"/>
  <c r="G1978" i="4"/>
  <c r="I1978" i="4" s="1"/>
  <c r="H1978" i="4"/>
  <c r="G1977" i="4"/>
  <c r="I1977" i="4" s="1"/>
  <c r="H1977" i="4"/>
  <c r="G1976" i="4"/>
  <c r="I1976" i="4" s="1"/>
  <c r="H1976" i="4"/>
  <c r="G1975" i="4"/>
  <c r="I1975" i="4" s="1"/>
  <c r="H1975" i="4"/>
  <c r="G1974" i="4"/>
  <c r="I1974" i="4" s="1"/>
  <c r="H1974" i="4"/>
  <c r="G1973" i="4"/>
  <c r="I1973" i="4" s="1"/>
  <c r="H1973" i="4"/>
  <c r="G1972" i="4"/>
  <c r="I1972" i="4" s="1"/>
  <c r="H1972" i="4"/>
  <c r="G1971" i="4"/>
  <c r="I1971" i="4" s="1"/>
  <c r="H1971" i="4"/>
  <c r="G1970" i="4"/>
  <c r="I1970" i="4" s="1"/>
  <c r="H1970" i="4"/>
  <c r="G1969" i="4"/>
  <c r="I1969" i="4" s="1"/>
  <c r="H1969" i="4"/>
  <c r="G1968" i="4"/>
  <c r="I1968" i="4" s="1"/>
  <c r="H1968" i="4"/>
  <c r="G1967" i="4"/>
  <c r="I1967" i="4" s="1"/>
  <c r="H1967" i="4"/>
  <c r="G1966" i="4"/>
  <c r="I1966" i="4" s="1"/>
  <c r="H1966" i="4"/>
  <c r="G1965" i="4"/>
  <c r="I1965" i="4" s="1"/>
  <c r="H1965" i="4"/>
  <c r="G1964" i="4"/>
  <c r="I1964" i="4" s="1"/>
  <c r="H1964" i="4"/>
  <c r="G1963" i="4"/>
  <c r="I1963" i="4" s="1"/>
  <c r="H1963" i="4"/>
  <c r="G1962" i="4"/>
  <c r="I1962" i="4" s="1"/>
  <c r="H1962" i="4"/>
  <c r="G1961" i="4"/>
  <c r="I1961" i="4" s="1"/>
  <c r="H1961" i="4"/>
  <c r="G1960" i="4"/>
  <c r="I1960" i="4" s="1"/>
  <c r="H1960" i="4"/>
  <c r="G1959" i="4"/>
  <c r="I1959" i="4" s="1"/>
  <c r="H1959" i="4"/>
  <c r="G1958" i="4"/>
  <c r="I1958" i="4" s="1"/>
  <c r="H1958" i="4"/>
  <c r="G1957" i="4"/>
  <c r="I1957" i="4" s="1"/>
  <c r="H1957" i="4"/>
  <c r="G1956" i="4"/>
  <c r="I1956" i="4" s="1"/>
  <c r="H1956" i="4"/>
  <c r="G1955" i="4"/>
  <c r="I1955" i="4" s="1"/>
  <c r="H1955" i="4"/>
  <c r="G1954" i="4"/>
  <c r="I1954" i="4" s="1"/>
  <c r="H1954" i="4"/>
  <c r="G1953" i="4"/>
  <c r="I1953" i="4" s="1"/>
  <c r="H1953" i="4"/>
  <c r="G1952" i="4"/>
  <c r="I1952" i="4" s="1"/>
  <c r="H1952" i="4"/>
  <c r="G1951" i="4"/>
  <c r="I1951" i="4" s="1"/>
  <c r="H1951" i="4"/>
  <c r="G1950" i="4"/>
  <c r="I1950" i="4" s="1"/>
  <c r="H1950" i="4"/>
  <c r="G1949" i="4"/>
  <c r="I1949" i="4" s="1"/>
  <c r="H1949" i="4"/>
  <c r="G1948" i="4"/>
  <c r="I1948" i="4" s="1"/>
  <c r="H1948" i="4"/>
  <c r="G1947" i="4"/>
  <c r="I1947" i="4" s="1"/>
  <c r="H1947" i="4"/>
  <c r="G1946" i="4"/>
  <c r="I1946" i="4" s="1"/>
  <c r="H1946" i="4"/>
  <c r="G1945" i="4"/>
  <c r="I1945" i="4" s="1"/>
  <c r="H1945" i="4"/>
  <c r="G1944" i="4"/>
  <c r="I1944" i="4" s="1"/>
  <c r="H1944" i="4"/>
  <c r="G1943" i="4"/>
  <c r="I1943" i="4" s="1"/>
  <c r="H1943" i="4"/>
  <c r="G1942" i="4"/>
  <c r="I1942" i="4" s="1"/>
  <c r="H1942" i="4"/>
  <c r="G1941" i="4"/>
  <c r="I1941" i="4" s="1"/>
  <c r="H1941" i="4"/>
  <c r="G1940" i="4"/>
  <c r="I1940" i="4" s="1"/>
  <c r="H1940" i="4"/>
  <c r="G1939" i="4"/>
  <c r="I1939" i="4" s="1"/>
  <c r="H1939" i="4"/>
  <c r="G1938" i="4"/>
  <c r="I1938" i="4" s="1"/>
  <c r="H1938" i="4"/>
  <c r="G1937" i="4"/>
  <c r="I1937" i="4" s="1"/>
  <c r="H1937" i="4"/>
  <c r="G1936" i="4"/>
  <c r="I1936" i="4" s="1"/>
  <c r="H1936" i="4"/>
  <c r="G1935" i="4"/>
  <c r="I1935" i="4" s="1"/>
  <c r="H1935" i="4"/>
  <c r="G1934" i="4"/>
  <c r="I1934" i="4" s="1"/>
  <c r="H1934" i="4"/>
  <c r="G1933" i="4"/>
  <c r="I1933" i="4" s="1"/>
  <c r="H1933" i="4"/>
  <c r="G1932" i="4"/>
  <c r="I1932" i="4" s="1"/>
  <c r="H1932" i="4"/>
  <c r="G1931" i="4"/>
  <c r="I1931" i="4" s="1"/>
  <c r="H1931" i="4"/>
  <c r="G1930" i="4"/>
  <c r="I1930" i="4" s="1"/>
  <c r="H1930" i="4"/>
  <c r="G1929" i="4"/>
  <c r="I1929" i="4" s="1"/>
  <c r="H1929" i="4"/>
  <c r="G1928" i="4"/>
  <c r="I1928" i="4" s="1"/>
  <c r="H1928" i="4"/>
  <c r="G1927" i="4"/>
  <c r="I1927" i="4" s="1"/>
  <c r="H1927" i="4"/>
  <c r="G1926" i="4"/>
  <c r="I1926" i="4" s="1"/>
  <c r="H1926" i="4"/>
  <c r="G1925" i="4"/>
  <c r="I1925" i="4" s="1"/>
  <c r="H1925" i="4"/>
  <c r="G1924" i="4"/>
  <c r="I1924" i="4" s="1"/>
  <c r="H1924" i="4"/>
  <c r="G1923" i="4"/>
  <c r="I1923" i="4" s="1"/>
  <c r="H1923" i="4"/>
  <c r="G1922" i="4"/>
  <c r="I1922" i="4" s="1"/>
  <c r="H1922" i="4"/>
  <c r="G1921" i="4"/>
  <c r="I1921" i="4" s="1"/>
  <c r="H1921" i="4"/>
  <c r="G1920" i="4"/>
  <c r="I1920" i="4" s="1"/>
  <c r="H1920" i="4"/>
  <c r="G1919" i="4"/>
  <c r="I1919" i="4" s="1"/>
  <c r="H1919" i="4"/>
  <c r="G1918" i="4"/>
  <c r="I1918" i="4" s="1"/>
  <c r="H1918" i="4"/>
  <c r="G1917" i="4"/>
  <c r="I1917" i="4" s="1"/>
  <c r="H1917" i="4"/>
  <c r="G1916" i="4"/>
  <c r="I1916" i="4" s="1"/>
  <c r="H1916" i="4"/>
  <c r="G1915" i="4"/>
  <c r="I1915" i="4" s="1"/>
  <c r="H1915" i="4"/>
  <c r="G1914" i="4"/>
  <c r="I1914" i="4" s="1"/>
  <c r="H1914" i="4"/>
  <c r="G1913" i="4"/>
  <c r="I1913" i="4" s="1"/>
  <c r="H1913" i="4"/>
  <c r="G1912" i="4"/>
  <c r="I1912" i="4" s="1"/>
  <c r="H1912" i="4"/>
  <c r="G1911" i="4"/>
  <c r="I1911" i="4" s="1"/>
  <c r="H1911" i="4"/>
  <c r="G1910" i="4"/>
  <c r="I1910" i="4" s="1"/>
  <c r="H1910" i="4"/>
  <c r="G1909" i="4"/>
  <c r="I1909" i="4" s="1"/>
  <c r="H1909" i="4"/>
  <c r="G1908" i="4"/>
  <c r="I1908" i="4" s="1"/>
  <c r="H1908" i="4"/>
  <c r="G1907" i="4"/>
  <c r="I1907" i="4" s="1"/>
  <c r="H1907" i="4"/>
  <c r="G1906" i="4"/>
  <c r="I1906" i="4" s="1"/>
  <c r="H1906" i="4"/>
  <c r="G1905" i="4"/>
  <c r="I1905" i="4" s="1"/>
  <c r="H1905" i="4"/>
  <c r="G1904" i="4"/>
  <c r="I1904" i="4" s="1"/>
  <c r="H1904" i="4"/>
  <c r="G1903" i="4"/>
  <c r="I1903" i="4" s="1"/>
  <c r="H1903" i="4"/>
  <c r="G1902" i="4"/>
  <c r="I1902" i="4" s="1"/>
  <c r="H1902" i="4"/>
  <c r="G1901" i="4"/>
  <c r="I1901" i="4" s="1"/>
  <c r="H1901" i="4"/>
  <c r="G1900" i="4"/>
  <c r="I1900" i="4" s="1"/>
  <c r="H1900" i="4"/>
  <c r="G1899" i="4"/>
  <c r="I1899" i="4" s="1"/>
  <c r="H1899" i="4"/>
  <c r="G1898" i="4"/>
  <c r="I1898" i="4" s="1"/>
  <c r="H1898" i="4"/>
  <c r="G1897" i="4"/>
  <c r="I1897" i="4" s="1"/>
  <c r="H1897" i="4"/>
  <c r="G1896" i="4"/>
  <c r="I1896" i="4" s="1"/>
  <c r="H1896" i="4"/>
  <c r="G1895" i="4"/>
  <c r="I1895" i="4" s="1"/>
  <c r="H1895" i="4"/>
  <c r="G1894" i="4"/>
  <c r="I1894" i="4" s="1"/>
  <c r="H1894" i="4"/>
  <c r="G1893" i="4"/>
  <c r="I1893" i="4" s="1"/>
  <c r="H1893" i="4"/>
  <c r="G1892" i="4"/>
  <c r="I1892" i="4" s="1"/>
  <c r="H1892" i="4"/>
  <c r="G1891" i="4"/>
  <c r="I1891" i="4" s="1"/>
  <c r="H1891" i="4"/>
  <c r="G1890" i="4"/>
  <c r="I1890" i="4" s="1"/>
  <c r="H1890" i="4"/>
  <c r="G1889" i="4"/>
  <c r="I1889" i="4" s="1"/>
  <c r="H1889" i="4"/>
  <c r="G1888" i="4"/>
  <c r="I1888" i="4" s="1"/>
  <c r="H1888" i="4"/>
  <c r="G1887" i="4"/>
  <c r="I1887" i="4" s="1"/>
  <c r="H1887" i="4"/>
  <c r="G1886" i="4"/>
  <c r="I1886" i="4" s="1"/>
  <c r="H1886" i="4"/>
  <c r="G1885" i="4"/>
  <c r="I1885" i="4" s="1"/>
  <c r="H1885" i="4"/>
  <c r="G1884" i="4"/>
  <c r="I1884" i="4" s="1"/>
  <c r="H1884" i="4"/>
  <c r="G1883" i="4"/>
  <c r="I1883" i="4" s="1"/>
  <c r="H1883" i="4"/>
  <c r="G1882" i="4"/>
  <c r="I1882" i="4" s="1"/>
  <c r="H1882" i="4"/>
  <c r="G1881" i="4"/>
  <c r="I1881" i="4" s="1"/>
  <c r="H1881" i="4"/>
  <c r="G1880" i="4"/>
  <c r="I1880" i="4" s="1"/>
  <c r="H1880" i="4"/>
  <c r="G1879" i="4"/>
  <c r="I1879" i="4" s="1"/>
  <c r="H1879" i="4"/>
  <c r="G1878" i="4"/>
  <c r="I1878" i="4" s="1"/>
  <c r="H1878" i="4"/>
  <c r="G1877" i="4"/>
  <c r="I1877" i="4" s="1"/>
  <c r="H1877" i="4"/>
  <c r="G1876" i="4"/>
  <c r="I1876" i="4" s="1"/>
  <c r="H1876" i="4"/>
  <c r="G1875" i="4"/>
  <c r="I1875" i="4" s="1"/>
  <c r="H1875" i="4"/>
  <c r="G1874" i="4"/>
  <c r="I1874" i="4" s="1"/>
  <c r="H1874" i="4"/>
  <c r="G1873" i="4"/>
  <c r="I1873" i="4" s="1"/>
  <c r="H1873" i="4"/>
  <c r="G1872" i="4"/>
  <c r="I1872" i="4" s="1"/>
  <c r="H1872" i="4"/>
  <c r="G1871" i="4"/>
  <c r="I1871" i="4" s="1"/>
  <c r="H1871" i="4"/>
  <c r="G1870" i="4"/>
  <c r="I1870" i="4" s="1"/>
  <c r="H1870" i="4"/>
  <c r="G1869" i="4"/>
  <c r="I1869" i="4" s="1"/>
  <c r="H1869" i="4"/>
  <c r="G1868" i="4"/>
  <c r="I1868" i="4" s="1"/>
  <c r="H1868" i="4"/>
  <c r="G1867" i="4"/>
  <c r="I1867" i="4" s="1"/>
  <c r="H1867" i="4"/>
  <c r="G1866" i="4"/>
  <c r="I1866" i="4" s="1"/>
  <c r="H1866" i="4"/>
  <c r="G1865" i="4"/>
  <c r="I1865" i="4" s="1"/>
  <c r="H1865" i="4"/>
  <c r="G1864" i="4"/>
  <c r="I1864" i="4" s="1"/>
  <c r="H1864" i="4"/>
  <c r="G1863" i="4"/>
  <c r="I1863" i="4" s="1"/>
  <c r="H1863" i="4"/>
  <c r="G1862" i="4"/>
  <c r="I1862" i="4" s="1"/>
  <c r="H1862" i="4"/>
  <c r="G1861" i="4"/>
  <c r="I1861" i="4" s="1"/>
  <c r="H1861" i="4"/>
  <c r="G1860" i="4"/>
  <c r="I1860" i="4" s="1"/>
  <c r="H1860" i="4"/>
  <c r="G1859" i="4"/>
  <c r="I1859" i="4" s="1"/>
  <c r="H1859" i="4"/>
  <c r="G1858" i="4"/>
  <c r="I1858" i="4" s="1"/>
  <c r="H1858" i="4"/>
  <c r="G1857" i="4"/>
  <c r="I1857" i="4" s="1"/>
  <c r="H1857" i="4"/>
  <c r="G1856" i="4"/>
  <c r="I1856" i="4" s="1"/>
  <c r="H1856" i="4"/>
  <c r="G1855" i="4"/>
  <c r="I1855" i="4" s="1"/>
  <c r="H1855" i="4"/>
  <c r="G1854" i="4"/>
  <c r="I1854" i="4" s="1"/>
  <c r="H1854" i="4"/>
  <c r="G1853" i="4"/>
  <c r="I1853" i="4" s="1"/>
  <c r="H1853" i="4"/>
  <c r="G1852" i="4"/>
  <c r="I1852" i="4" s="1"/>
  <c r="H1852" i="4"/>
  <c r="G1851" i="4"/>
  <c r="I1851" i="4" s="1"/>
  <c r="H1851" i="4"/>
  <c r="G1850" i="4"/>
  <c r="I1850" i="4" s="1"/>
  <c r="H1850" i="4"/>
  <c r="G1849" i="4"/>
  <c r="I1849" i="4" s="1"/>
  <c r="H1849" i="4"/>
  <c r="G1848" i="4"/>
  <c r="I1848" i="4" s="1"/>
  <c r="H1848" i="4"/>
  <c r="G1847" i="4"/>
  <c r="I1847" i="4" s="1"/>
  <c r="H1847" i="4"/>
  <c r="G1846" i="4"/>
  <c r="I1846" i="4" s="1"/>
  <c r="H1846" i="4"/>
  <c r="G1845" i="4"/>
  <c r="I1845" i="4" s="1"/>
  <c r="H1845" i="4"/>
  <c r="G1844" i="4"/>
  <c r="I1844" i="4" s="1"/>
  <c r="H1844" i="4"/>
  <c r="G1843" i="4"/>
  <c r="I1843" i="4" s="1"/>
  <c r="H1843" i="4"/>
  <c r="G1842" i="4"/>
  <c r="I1842" i="4" s="1"/>
  <c r="H1842" i="4"/>
  <c r="G1841" i="4"/>
  <c r="I1841" i="4" s="1"/>
  <c r="H1841" i="4"/>
  <c r="G1840" i="4"/>
  <c r="I1840" i="4" s="1"/>
  <c r="H1840" i="4"/>
  <c r="G1839" i="4"/>
  <c r="I1839" i="4" s="1"/>
  <c r="H1839" i="4"/>
  <c r="G1838" i="4"/>
  <c r="I1838" i="4" s="1"/>
  <c r="H1838" i="4"/>
  <c r="G1837" i="4"/>
  <c r="I1837" i="4" s="1"/>
  <c r="H1837" i="4"/>
  <c r="G1836" i="4"/>
  <c r="I1836" i="4" s="1"/>
  <c r="H1836" i="4"/>
  <c r="G1835" i="4"/>
  <c r="I1835" i="4" s="1"/>
  <c r="H1835" i="4"/>
  <c r="G1834" i="4"/>
  <c r="I1834" i="4" s="1"/>
  <c r="H1834" i="4"/>
  <c r="G1833" i="4"/>
  <c r="I1833" i="4" s="1"/>
  <c r="H1833" i="4"/>
  <c r="G1832" i="4"/>
  <c r="I1832" i="4" s="1"/>
  <c r="H1832" i="4"/>
  <c r="G1831" i="4"/>
  <c r="I1831" i="4" s="1"/>
  <c r="H1831" i="4"/>
  <c r="G1830" i="4"/>
  <c r="I1830" i="4" s="1"/>
  <c r="H1830" i="4"/>
  <c r="G1829" i="4"/>
  <c r="I1829" i="4" s="1"/>
  <c r="H1829" i="4"/>
  <c r="G1828" i="4"/>
  <c r="I1828" i="4" s="1"/>
  <c r="H1828" i="4"/>
  <c r="G1827" i="4"/>
  <c r="I1827" i="4" s="1"/>
  <c r="H1827" i="4"/>
  <c r="G1826" i="4"/>
  <c r="I1826" i="4" s="1"/>
  <c r="H1826" i="4"/>
  <c r="G1825" i="4"/>
  <c r="I1825" i="4" s="1"/>
  <c r="H1825" i="4"/>
  <c r="G1824" i="4"/>
  <c r="I1824" i="4" s="1"/>
  <c r="H1824" i="4"/>
  <c r="G1823" i="4"/>
  <c r="I1823" i="4" s="1"/>
  <c r="H1823" i="4"/>
  <c r="G1822" i="4"/>
  <c r="I1822" i="4" s="1"/>
  <c r="H1822" i="4"/>
  <c r="G1821" i="4"/>
  <c r="I1821" i="4" s="1"/>
  <c r="H1821" i="4"/>
  <c r="G1820" i="4"/>
  <c r="I1820" i="4" s="1"/>
  <c r="H1820" i="4"/>
  <c r="G1819" i="4"/>
  <c r="I1819" i="4" s="1"/>
  <c r="H1819" i="4"/>
  <c r="G1818" i="4"/>
  <c r="I1818" i="4" s="1"/>
  <c r="H1818" i="4"/>
  <c r="G1817" i="4"/>
  <c r="I1817" i="4" s="1"/>
  <c r="H1817" i="4"/>
  <c r="G1816" i="4"/>
  <c r="I1816" i="4" s="1"/>
  <c r="H1816" i="4"/>
  <c r="G1815" i="4"/>
  <c r="I1815" i="4" s="1"/>
  <c r="H1815" i="4"/>
  <c r="G1814" i="4"/>
  <c r="I1814" i="4" s="1"/>
  <c r="H1814" i="4"/>
  <c r="G1813" i="4"/>
  <c r="I1813" i="4" s="1"/>
  <c r="H1813" i="4"/>
  <c r="G1812" i="4"/>
  <c r="I1812" i="4" s="1"/>
  <c r="H1812" i="4"/>
  <c r="G1811" i="4"/>
  <c r="I1811" i="4" s="1"/>
  <c r="H1811" i="4"/>
  <c r="G1810" i="4"/>
  <c r="I1810" i="4" s="1"/>
  <c r="H1810" i="4"/>
  <c r="G1809" i="4"/>
  <c r="I1809" i="4" s="1"/>
  <c r="H1809" i="4"/>
  <c r="G1808" i="4"/>
  <c r="I1808" i="4" s="1"/>
  <c r="H1808" i="4"/>
  <c r="G1807" i="4"/>
  <c r="I1807" i="4" s="1"/>
  <c r="H1807" i="4"/>
  <c r="G1806" i="4"/>
  <c r="I1806" i="4" s="1"/>
  <c r="H1806" i="4"/>
  <c r="G1805" i="4"/>
  <c r="I1805" i="4" s="1"/>
  <c r="H1805" i="4"/>
  <c r="G1804" i="4"/>
  <c r="I1804" i="4" s="1"/>
  <c r="H1804" i="4"/>
  <c r="G1803" i="4"/>
  <c r="I1803" i="4" s="1"/>
  <c r="H1803" i="4"/>
  <c r="G1802" i="4"/>
  <c r="I1802" i="4" s="1"/>
  <c r="H1802" i="4"/>
  <c r="G1801" i="4"/>
  <c r="I1801" i="4" s="1"/>
  <c r="H1801" i="4"/>
  <c r="G1800" i="4"/>
  <c r="I1800" i="4" s="1"/>
  <c r="H1800" i="4"/>
  <c r="G1799" i="4"/>
  <c r="I1799" i="4" s="1"/>
  <c r="H1799" i="4"/>
  <c r="G1798" i="4"/>
  <c r="I1798" i="4" s="1"/>
  <c r="H1798" i="4"/>
  <c r="G1797" i="4"/>
  <c r="I1797" i="4" s="1"/>
  <c r="H1797" i="4"/>
  <c r="G1796" i="4"/>
  <c r="I1796" i="4" s="1"/>
  <c r="H1796" i="4"/>
  <c r="G1795" i="4"/>
  <c r="I1795" i="4" s="1"/>
  <c r="H1795" i="4"/>
  <c r="G1794" i="4"/>
  <c r="I1794" i="4" s="1"/>
  <c r="H1794" i="4"/>
  <c r="G1793" i="4"/>
  <c r="I1793" i="4" s="1"/>
  <c r="H1793" i="4"/>
  <c r="G1792" i="4"/>
  <c r="I1792" i="4" s="1"/>
  <c r="H1792" i="4"/>
  <c r="G1791" i="4"/>
  <c r="I1791" i="4" s="1"/>
  <c r="H1791" i="4"/>
  <c r="G1790" i="4"/>
  <c r="I1790" i="4" s="1"/>
  <c r="H1790" i="4"/>
  <c r="G1789" i="4"/>
  <c r="I1789" i="4" s="1"/>
  <c r="H1789" i="4"/>
  <c r="G1788" i="4"/>
  <c r="I1788" i="4" s="1"/>
  <c r="H1788" i="4"/>
  <c r="G1787" i="4"/>
  <c r="I1787" i="4" s="1"/>
  <c r="H1787" i="4"/>
  <c r="G1786" i="4"/>
  <c r="I1786" i="4" s="1"/>
  <c r="H1786" i="4"/>
  <c r="G1785" i="4"/>
  <c r="I1785" i="4" s="1"/>
  <c r="H1785" i="4"/>
  <c r="G1784" i="4"/>
  <c r="I1784" i="4" s="1"/>
  <c r="H1784" i="4"/>
  <c r="G1783" i="4"/>
  <c r="I1783" i="4" s="1"/>
  <c r="H1783" i="4"/>
  <c r="G1782" i="4"/>
  <c r="I1782" i="4" s="1"/>
  <c r="H1782" i="4"/>
  <c r="G1781" i="4"/>
  <c r="I1781" i="4" s="1"/>
  <c r="H1781" i="4"/>
  <c r="G1780" i="4"/>
  <c r="I1780" i="4" s="1"/>
  <c r="H1780" i="4"/>
  <c r="G1779" i="4"/>
  <c r="I1779" i="4" s="1"/>
  <c r="H1779" i="4"/>
  <c r="G1778" i="4"/>
  <c r="I1778" i="4" s="1"/>
  <c r="H1778" i="4"/>
  <c r="G1777" i="4"/>
  <c r="I1777" i="4" s="1"/>
  <c r="H1777" i="4"/>
  <c r="G1776" i="4"/>
  <c r="I1776" i="4" s="1"/>
  <c r="H1776" i="4"/>
  <c r="G1775" i="4"/>
  <c r="I1775" i="4" s="1"/>
  <c r="H1775" i="4"/>
  <c r="G1774" i="4"/>
  <c r="I1774" i="4" s="1"/>
  <c r="H1774" i="4"/>
  <c r="G1773" i="4"/>
  <c r="I1773" i="4" s="1"/>
  <c r="H1773" i="4"/>
  <c r="G1772" i="4"/>
  <c r="I1772" i="4" s="1"/>
  <c r="H1772" i="4"/>
  <c r="G1771" i="4"/>
  <c r="I1771" i="4" s="1"/>
  <c r="H1771" i="4"/>
  <c r="G1770" i="4"/>
  <c r="I1770" i="4" s="1"/>
  <c r="H1770" i="4"/>
  <c r="G1769" i="4"/>
  <c r="I1769" i="4" s="1"/>
  <c r="H1769" i="4"/>
  <c r="G1768" i="4"/>
  <c r="I1768" i="4" s="1"/>
  <c r="H1768" i="4"/>
  <c r="G1767" i="4"/>
  <c r="I1767" i="4" s="1"/>
  <c r="H1767" i="4"/>
  <c r="G1766" i="4"/>
  <c r="I1766" i="4" s="1"/>
  <c r="H1766" i="4"/>
  <c r="G1765" i="4"/>
  <c r="I1765" i="4" s="1"/>
  <c r="H1765" i="4"/>
  <c r="G1764" i="4"/>
  <c r="I1764" i="4" s="1"/>
  <c r="H1764" i="4"/>
  <c r="G1763" i="4"/>
  <c r="I1763" i="4" s="1"/>
  <c r="H1763" i="4"/>
  <c r="G1762" i="4"/>
  <c r="I1762" i="4" s="1"/>
  <c r="H1762" i="4"/>
  <c r="G1761" i="4"/>
  <c r="I1761" i="4" s="1"/>
  <c r="H1761" i="4"/>
  <c r="G1760" i="4"/>
  <c r="I1760" i="4" s="1"/>
  <c r="H1760" i="4"/>
  <c r="G1759" i="4"/>
  <c r="I1759" i="4" s="1"/>
  <c r="H1759" i="4"/>
  <c r="G1758" i="4"/>
  <c r="I1758" i="4" s="1"/>
  <c r="H1758" i="4"/>
  <c r="G1757" i="4"/>
  <c r="I1757" i="4" s="1"/>
  <c r="H1757" i="4"/>
  <c r="G1756" i="4"/>
  <c r="I1756" i="4" s="1"/>
  <c r="H1756" i="4"/>
  <c r="G1755" i="4"/>
  <c r="I1755" i="4" s="1"/>
  <c r="H1755" i="4"/>
  <c r="G1754" i="4"/>
  <c r="I1754" i="4" s="1"/>
  <c r="H1754" i="4"/>
  <c r="G1753" i="4"/>
  <c r="I1753" i="4" s="1"/>
  <c r="H1753" i="4"/>
  <c r="G1752" i="4"/>
  <c r="I1752" i="4" s="1"/>
  <c r="H1752" i="4"/>
  <c r="G1751" i="4"/>
  <c r="I1751" i="4" s="1"/>
  <c r="H1751" i="4"/>
  <c r="G1750" i="4"/>
  <c r="I1750" i="4" s="1"/>
  <c r="H1750" i="4"/>
  <c r="G1749" i="4"/>
  <c r="I1749" i="4" s="1"/>
  <c r="H1749" i="4"/>
  <c r="G1748" i="4"/>
  <c r="I1748" i="4" s="1"/>
  <c r="H1748" i="4"/>
  <c r="G1747" i="4"/>
  <c r="I1747" i="4" s="1"/>
  <c r="H1747" i="4"/>
  <c r="G1746" i="4"/>
  <c r="I1746" i="4" s="1"/>
  <c r="H1746" i="4"/>
  <c r="G1745" i="4"/>
  <c r="I1745" i="4" s="1"/>
  <c r="H1745" i="4"/>
  <c r="G1744" i="4"/>
  <c r="I1744" i="4" s="1"/>
  <c r="H1744" i="4"/>
  <c r="G1743" i="4"/>
  <c r="I1743" i="4" s="1"/>
  <c r="H1743" i="4"/>
  <c r="G1742" i="4"/>
  <c r="I1742" i="4" s="1"/>
  <c r="H1742" i="4"/>
  <c r="G1741" i="4"/>
  <c r="I1741" i="4" s="1"/>
  <c r="H1741" i="4"/>
  <c r="G1740" i="4"/>
  <c r="I1740" i="4" s="1"/>
  <c r="H1740" i="4"/>
  <c r="G1739" i="4"/>
  <c r="I1739" i="4" s="1"/>
  <c r="H1739" i="4"/>
  <c r="G1738" i="4"/>
  <c r="I1738" i="4" s="1"/>
  <c r="H1738" i="4"/>
  <c r="G1737" i="4"/>
  <c r="I1737" i="4" s="1"/>
  <c r="H1737" i="4"/>
  <c r="G1736" i="4"/>
  <c r="I1736" i="4" s="1"/>
  <c r="H1736" i="4"/>
  <c r="G1735" i="4"/>
  <c r="I1735" i="4" s="1"/>
  <c r="H1735" i="4"/>
  <c r="G1734" i="4"/>
  <c r="I1734" i="4" s="1"/>
  <c r="H1734" i="4"/>
  <c r="G1733" i="4"/>
  <c r="I1733" i="4" s="1"/>
  <c r="H1733" i="4"/>
  <c r="G1732" i="4"/>
  <c r="H1732" i="4"/>
  <c r="G1731" i="4"/>
  <c r="I1731" i="4" s="1"/>
  <c r="H1731" i="4"/>
  <c r="G1730" i="4"/>
  <c r="I1730" i="4" s="1"/>
  <c r="H1730" i="4"/>
  <c r="G1729" i="4"/>
  <c r="I1729" i="4" s="1"/>
  <c r="H1729" i="4"/>
  <c r="G1728" i="4"/>
  <c r="I1728" i="4" s="1"/>
  <c r="H1728" i="4"/>
  <c r="G1727" i="4"/>
  <c r="I1727" i="4" s="1"/>
  <c r="H1727" i="4"/>
  <c r="G1726" i="4"/>
  <c r="I1726" i="4" s="1"/>
  <c r="H1726" i="4"/>
  <c r="G1725" i="4"/>
  <c r="I1725" i="4" s="1"/>
  <c r="H1725" i="4"/>
  <c r="G1724" i="4"/>
  <c r="I1724" i="4" s="1"/>
  <c r="H1724" i="4"/>
  <c r="G1723" i="4"/>
  <c r="I1723" i="4" s="1"/>
  <c r="H1723" i="4"/>
  <c r="G1722" i="4"/>
  <c r="I1722" i="4" s="1"/>
  <c r="H1722" i="4"/>
  <c r="G1721" i="4"/>
  <c r="I1721" i="4" s="1"/>
  <c r="H1721" i="4"/>
  <c r="G1720" i="4"/>
  <c r="I1720" i="4" s="1"/>
  <c r="H1720" i="4"/>
  <c r="G1719" i="4"/>
  <c r="I1719" i="4" s="1"/>
  <c r="H1719" i="4"/>
  <c r="G1718" i="4"/>
  <c r="I1718" i="4" s="1"/>
  <c r="H1718" i="4"/>
  <c r="G1717" i="4"/>
  <c r="I1717" i="4" s="1"/>
  <c r="H1717" i="4"/>
  <c r="G1716" i="4"/>
  <c r="I1716" i="4" s="1"/>
  <c r="H1716" i="4"/>
  <c r="G1715" i="4"/>
  <c r="I1715" i="4" s="1"/>
  <c r="H1715" i="4"/>
  <c r="G1714" i="4"/>
  <c r="I1714" i="4" s="1"/>
  <c r="H1714" i="4"/>
  <c r="G1713" i="4"/>
  <c r="I1713" i="4" s="1"/>
  <c r="H1713" i="4"/>
  <c r="G1712" i="4"/>
  <c r="I1712" i="4" s="1"/>
  <c r="H1712" i="4"/>
  <c r="G1711" i="4"/>
  <c r="I1711" i="4" s="1"/>
  <c r="H1711" i="4"/>
  <c r="G1710" i="4"/>
  <c r="I1710" i="4" s="1"/>
  <c r="H1710" i="4"/>
  <c r="G1709" i="4"/>
  <c r="I1709" i="4" s="1"/>
  <c r="H1709" i="4"/>
  <c r="G1708" i="4"/>
  <c r="I1708" i="4" s="1"/>
  <c r="H1708" i="4"/>
  <c r="G1707" i="4"/>
  <c r="I1707" i="4" s="1"/>
  <c r="H1707" i="4"/>
  <c r="G1706" i="4"/>
  <c r="I1706" i="4" s="1"/>
  <c r="H1706" i="4"/>
  <c r="G1705" i="4"/>
  <c r="I1705" i="4" s="1"/>
  <c r="H1705" i="4"/>
  <c r="G1704" i="4"/>
  <c r="I1704" i="4" s="1"/>
  <c r="H1704" i="4"/>
  <c r="G1703" i="4"/>
  <c r="I1703" i="4" s="1"/>
  <c r="H1703" i="4"/>
  <c r="G1702" i="4"/>
  <c r="I1702" i="4" s="1"/>
  <c r="H1702" i="4"/>
  <c r="G1701" i="4"/>
  <c r="I1701" i="4" s="1"/>
  <c r="H1701" i="4"/>
  <c r="G1700" i="4"/>
  <c r="I1700" i="4" s="1"/>
  <c r="H1700" i="4"/>
  <c r="G1699" i="4"/>
  <c r="I1699" i="4" s="1"/>
  <c r="H1699" i="4"/>
  <c r="G1698" i="4"/>
  <c r="I1698" i="4" s="1"/>
  <c r="H1698" i="4"/>
  <c r="G1697" i="4"/>
  <c r="I1697" i="4" s="1"/>
  <c r="H1697" i="4"/>
  <c r="G1696" i="4"/>
  <c r="I1696" i="4" s="1"/>
  <c r="H1696" i="4"/>
  <c r="G1695" i="4"/>
  <c r="I1695" i="4" s="1"/>
  <c r="H1695" i="4"/>
  <c r="G1694" i="4"/>
  <c r="I1694" i="4" s="1"/>
  <c r="H1694" i="4"/>
  <c r="G1693" i="4"/>
  <c r="I1693" i="4" s="1"/>
  <c r="H1693" i="4"/>
  <c r="G1692" i="4"/>
  <c r="I1692" i="4" s="1"/>
  <c r="H1692" i="4"/>
  <c r="G1691" i="4"/>
  <c r="I1691" i="4" s="1"/>
  <c r="H1691" i="4"/>
  <c r="G1690" i="4"/>
  <c r="I1690" i="4" s="1"/>
  <c r="H1690" i="4"/>
  <c r="G1689" i="4"/>
  <c r="I1689" i="4" s="1"/>
  <c r="H1689" i="4"/>
  <c r="G1688" i="4"/>
  <c r="I1688" i="4" s="1"/>
  <c r="H1688" i="4"/>
  <c r="G1687" i="4"/>
  <c r="I1687" i="4" s="1"/>
  <c r="H1687" i="4"/>
  <c r="G1686" i="4"/>
  <c r="I1686" i="4" s="1"/>
  <c r="H1686" i="4"/>
  <c r="G1685" i="4"/>
  <c r="I1685" i="4" s="1"/>
  <c r="H1685" i="4"/>
  <c r="G1684" i="4"/>
  <c r="I1684" i="4" s="1"/>
  <c r="H1684" i="4"/>
  <c r="G1683" i="4"/>
  <c r="I1683" i="4" s="1"/>
  <c r="H1683" i="4"/>
  <c r="G1682" i="4"/>
  <c r="I1682" i="4" s="1"/>
  <c r="H1682" i="4"/>
  <c r="G1681" i="4"/>
  <c r="I1681" i="4" s="1"/>
  <c r="H1681" i="4"/>
  <c r="G1680" i="4"/>
  <c r="I1680" i="4" s="1"/>
  <c r="H1680" i="4"/>
  <c r="G1679" i="4"/>
  <c r="I1679" i="4" s="1"/>
  <c r="H1679" i="4"/>
  <c r="G1678" i="4"/>
  <c r="I1678" i="4" s="1"/>
  <c r="H1678" i="4"/>
  <c r="G1677" i="4"/>
  <c r="I1677" i="4" s="1"/>
  <c r="H1677" i="4"/>
  <c r="G1676" i="4"/>
  <c r="I1676" i="4" s="1"/>
  <c r="H1676" i="4"/>
  <c r="G1675" i="4"/>
  <c r="I1675" i="4" s="1"/>
  <c r="H1675" i="4"/>
  <c r="G1674" i="4"/>
  <c r="I1674" i="4" s="1"/>
  <c r="H1674" i="4"/>
  <c r="G1673" i="4"/>
  <c r="I1673" i="4" s="1"/>
  <c r="H1673" i="4"/>
  <c r="G1672" i="4"/>
  <c r="I1672" i="4" s="1"/>
  <c r="H1672" i="4"/>
  <c r="G1671" i="4"/>
  <c r="I1671" i="4" s="1"/>
  <c r="H1671" i="4"/>
  <c r="G1670" i="4"/>
  <c r="I1670" i="4" s="1"/>
  <c r="H1670" i="4"/>
  <c r="G1669" i="4"/>
  <c r="I1669" i="4" s="1"/>
  <c r="H1669" i="4"/>
  <c r="G1668" i="4"/>
  <c r="I1668" i="4" s="1"/>
  <c r="H1668" i="4"/>
  <c r="G1667" i="4"/>
  <c r="I1667" i="4" s="1"/>
  <c r="H1667" i="4"/>
  <c r="G1666" i="4"/>
  <c r="I1666" i="4" s="1"/>
  <c r="H1666" i="4"/>
  <c r="G1665" i="4"/>
  <c r="I1665" i="4" s="1"/>
  <c r="H1665" i="4"/>
  <c r="G1664" i="4"/>
  <c r="I1664" i="4" s="1"/>
  <c r="H1664" i="4"/>
  <c r="G1663" i="4"/>
  <c r="I1663" i="4" s="1"/>
  <c r="H1663" i="4"/>
  <c r="G1662" i="4"/>
  <c r="I1662" i="4" s="1"/>
  <c r="H1662" i="4"/>
  <c r="G1661" i="4"/>
  <c r="I1661" i="4" s="1"/>
  <c r="H1661" i="4"/>
  <c r="G1660" i="4"/>
  <c r="I1660" i="4" s="1"/>
  <c r="H1660" i="4"/>
  <c r="G1659" i="4"/>
  <c r="I1659" i="4" s="1"/>
  <c r="H1659" i="4"/>
  <c r="G1658" i="4"/>
  <c r="I1658" i="4" s="1"/>
  <c r="H1658" i="4"/>
  <c r="G1657" i="4"/>
  <c r="I1657" i="4" s="1"/>
  <c r="H1657" i="4"/>
  <c r="G1656" i="4"/>
  <c r="I1656" i="4" s="1"/>
  <c r="H1656" i="4"/>
  <c r="G1655" i="4"/>
  <c r="I1655" i="4" s="1"/>
  <c r="H1655" i="4"/>
  <c r="G1654" i="4"/>
  <c r="I1654" i="4" s="1"/>
  <c r="H1654" i="4"/>
  <c r="G1653" i="4"/>
  <c r="I1653" i="4" s="1"/>
  <c r="H1653" i="4"/>
  <c r="G1652" i="4"/>
  <c r="I1652" i="4" s="1"/>
  <c r="H1652" i="4"/>
  <c r="G1651" i="4"/>
  <c r="I1651" i="4" s="1"/>
  <c r="H1651" i="4"/>
  <c r="G1650" i="4"/>
  <c r="I1650" i="4" s="1"/>
  <c r="H1650" i="4"/>
  <c r="G1649" i="4"/>
  <c r="I1649" i="4" s="1"/>
  <c r="H1649" i="4"/>
  <c r="G1648" i="4"/>
  <c r="I1648" i="4" s="1"/>
  <c r="H1648" i="4"/>
  <c r="G1647" i="4"/>
  <c r="I1647" i="4" s="1"/>
  <c r="H1647" i="4"/>
  <c r="G1646" i="4"/>
  <c r="I1646" i="4" s="1"/>
  <c r="H1646" i="4"/>
  <c r="G1645" i="4"/>
  <c r="I1645" i="4" s="1"/>
  <c r="H1645" i="4"/>
  <c r="G1644" i="4"/>
  <c r="I1644" i="4" s="1"/>
  <c r="H1644" i="4"/>
  <c r="G1643" i="4"/>
  <c r="I1643" i="4" s="1"/>
  <c r="H1643" i="4"/>
  <c r="G1642" i="4"/>
  <c r="I1642" i="4" s="1"/>
  <c r="H1642" i="4"/>
  <c r="G1641" i="4"/>
  <c r="I1641" i="4" s="1"/>
  <c r="H1641" i="4"/>
  <c r="G1640" i="4"/>
  <c r="I1640" i="4" s="1"/>
  <c r="H1640" i="4"/>
  <c r="G1639" i="4"/>
  <c r="I1639" i="4" s="1"/>
  <c r="H1639" i="4"/>
  <c r="G1638" i="4"/>
  <c r="I1638" i="4" s="1"/>
  <c r="H1638" i="4"/>
  <c r="G1637" i="4"/>
  <c r="I1637" i="4" s="1"/>
  <c r="H1637" i="4"/>
  <c r="G1636" i="4"/>
  <c r="I1636" i="4" s="1"/>
  <c r="H1636" i="4"/>
  <c r="G1635" i="4"/>
  <c r="I1635" i="4" s="1"/>
  <c r="H1635" i="4"/>
  <c r="G1634" i="4"/>
  <c r="I1634" i="4" s="1"/>
  <c r="H1634" i="4"/>
  <c r="G1633" i="4"/>
  <c r="I1633" i="4" s="1"/>
  <c r="H1633" i="4"/>
  <c r="G1632" i="4"/>
  <c r="I1632" i="4" s="1"/>
  <c r="H1632" i="4"/>
  <c r="G1631" i="4"/>
  <c r="I1631" i="4" s="1"/>
  <c r="H1631" i="4"/>
  <c r="G1630" i="4"/>
  <c r="I1630" i="4" s="1"/>
  <c r="H1630" i="4"/>
  <c r="G1629" i="4"/>
  <c r="I1629" i="4" s="1"/>
  <c r="H1629" i="4"/>
  <c r="G1628" i="4"/>
  <c r="I1628" i="4" s="1"/>
  <c r="H1628" i="4"/>
  <c r="G1627" i="4"/>
  <c r="I1627" i="4" s="1"/>
  <c r="H1627" i="4"/>
  <c r="G1626" i="4"/>
  <c r="I1626" i="4" s="1"/>
  <c r="H1626" i="4"/>
  <c r="G1625" i="4"/>
  <c r="I1625" i="4" s="1"/>
  <c r="H1625" i="4"/>
  <c r="G1624" i="4"/>
  <c r="I1624" i="4" s="1"/>
  <c r="H1624" i="4"/>
  <c r="G1623" i="4"/>
  <c r="I1623" i="4" s="1"/>
  <c r="H1623" i="4"/>
  <c r="G1622" i="4"/>
  <c r="I1622" i="4" s="1"/>
  <c r="H1622" i="4"/>
  <c r="G1621" i="4"/>
  <c r="I1621" i="4" s="1"/>
  <c r="H1621" i="4"/>
  <c r="G1620" i="4"/>
  <c r="I1620" i="4" s="1"/>
  <c r="H1620" i="4"/>
  <c r="G1619" i="4"/>
  <c r="I1619" i="4" s="1"/>
  <c r="H1619" i="4"/>
  <c r="G1618" i="4"/>
  <c r="I1618" i="4" s="1"/>
  <c r="H1618" i="4"/>
  <c r="G1617" i="4"/>
  <c r="I1617" i="4" s="1"/>
  <c r="H1617" i="4"/>
  <c r="G1616" i="4"/>
  <c r="I1616" i="4" s="1"/>
  <c r="H1616" i="4"/>
  <c r="G1615" i="4"/>
  <c r="I1615" i="4" s="1"/>
  <c r="H1615" i="4"/>
  <c r="G1614" i="4"/>
  <c r="I1614" i="4" s="1"/>
  <c r="H1614" i="4"/>
  <c r="G1613" i="4"/>
  <c r="I1613" i="4" s="1"/>
  <c r="H1613" i="4"/>
  <c r="G1612" i="4"/>
  <c r="I1612" i="4" s="1"/>
  <c r="H1612" i="4"/>
  <c r="G1611" i="4"/>
  <c r="I1611" i="4" s="1"/>
  <c r="H1611" i="4"/>
  <c r="G1610" i="4"/>
  <c r="I1610" i="4" s="1"/>
  <c r="H1610" i="4"/>
  <c r="G1609" i="4"/>
  <c r="I1609" i="4" s="1"/>
  <c r="H1609" i="4"/>
  <c r="G1608" i="4"/>
  <c r="I1608" i="4" s="1"/>
  <c r="H1608" i="4"/>
  <c r="G1607" i="4"/>
  <c r="I1607" i="4" s="1"/>
  <c r="H1607" i="4"/>
  <c r="G1606" i="4"/>
  <c r="I1606" i="4" s="1"/>
  <c r="H1606" i="4"/>
  <c r="G1605" i="4"/>
  <c r="I1605" i="4" s="1"/>
  <c r="H1605" i="4"/>
  <c r="G1604" i="4"/>
  <c r="I1604" i="4" s="1"/>
  <c r="H1604" i="4"/>
  <c r="G1603" i="4"/>
  <c r="I1603" i="4" s="1"/>
  <c r="H1603" i="4"/>
  <c r="G1602" i="4"/>
  <c r="I1602" i="4" s="1"/>
  <c r="H1602" i="4"/>
  <c r="G1601" i="4"/>
  <c r="I1601" i="4" s="1"/>
  <c r="H1601" i="4"/>
  <c r="G1600" i="4"/>
  <c r="I1600" i="4" s="1"/>
  <c r="H1600" i="4"/>
  <c r="G1599" i="4"/>
  <c r="I1599" i="4" s="1"/>
  <c r="H1599" i="4"/>
  <c r="G1598" i="4"/>
  <c r="I1598" i="4" s="1"/>
  <c r="H1598" i="4"/>
  <c r="G1597" i="4"/>
  <c r="I1597" i="4" s="1"/>
  <c r="H1597" i="4"/>
  <c r="G1596" i="4"/>
  <c r="I1596" i="4" s="1"/>
  <c r="H1596" i="4"/>
  <c r="G1595" i="4"/>
  <c r="I1595" i="4" s="1"/>
  <c r="H1595" i="4"/>
  <c r="G1594" i="4"/>
  <c r="I1594" i="4" s="1"/>
  <c r="H1594" i="4"/>
  <c r="G1593" i="4"/>
  <c r="I1593" i="4" s="1"/>
  <c r="H1593" i="4"/>
  <c r="G1592" i="4"/>
  <c r="I1592" i="4" s="1"/>
  <c r="H1592" i="4"/>
  <c r="G1591" i="4"/>
  <c r="I1591" i="4" s="1"/>
  <c r="H1591" i="4"/>
  <c r="G1590" i="4"/>
  <c r="I1590" i="4" s="1"/>
  <c r="H1590" i="4"/>
  <c r="G1589" i="4"/>
  <c r="I1589" i="4" s="1"/>
  <c r="H1589" i="4"/>
  <c r="G1588" i="4"/>
  <c r="I1588" i="4" s="1"/>
  <c r="H1588" i="4"/>
  <c r="G1587" i="4"/>
  <c r="I1587" i="4" s="1"/>
  <c r="H1587" i="4"/>
  <c r="G1586" i="4"/>
  <c r="I1586" i="4" s="1"/>
  <c r="H1586" i="4"/>
  <c r="G1585" i="4"/>
  <c r="I1585" i="4" s="1"/>
  <c r="H1585" i="4"/>
  <c r="G1584" i="4"/>
  <c r="I1584" i="4" s="1"/>
  <c r="H1584" i="4"/>
  <c r="G1583" i="4"/>
  <c r="I1583" i="4" s="1"/>
  <c r="H1583" i="4"/>
  <c r="G1582" i="4"/>
  <c r="I1582" i="4" s="1"/>
  <c r="H1582" i="4"/>
  <c r="G1581" i="4"/>
  <c r="I1581" i="4" s="1"/>
  <c r="H1581" i="4"/>
  <c r="G1580" i="4"/>
  <c r="I1580" i="4" s="1"/>
  <c r="H1580" i="4"/>
  <c r="G1579" i="4"/>
  <c r="I1579" i="4" s="1"/>
  <c r="H1579" i="4"/>
  <c r="G1578" i="4"/>
  <c r="I1578" i="4" s="1"/>
  <c r="H1578" i="4"/>
  <c r="G1577" i="4"/>
  <c r="I1577" i="4" s="1"/>
  <c r="H1577" i="4"/>
  <c r="G1576" i="4"/>
  <c r="I1576" i="4" s="1"/>
  <c r="H1576" i="4"/>
  <c r="G1575" i="4"/>
  <c r="I1575" i="4" s="1"/>
  <c r="H1575" i="4"/>
  <c r="G1574" i="4"/>
  <c r="I1574" i="4" s="1"/>
  <c r="H1574" i="4"/>
  <c r="G1573" i="4"/>
  <c r="I1573" i="4" s="1"/>
  <c r="H1573" i="4"/>
  <c r="G1572" i="4"/>
  <c r="I1572" i="4" s="1"/>
  <c r="H1572" i="4"/>
  <c r="G1571" i="4"/>
  <c r="I1571" i="4" s="1"/>
  <c r="H1571" i="4"/>
  <c r="G1570" i="4"/>
  <c r="I1570" i="4" s="1"/>
  <c r="H1570" i="4"/>
  <c r="G1569" i="4"/>
  <c r="I1569" i="4" s="1"/>
  <c r="H1569" i="4"/>
  <c r="G1568" i="4"/>
  <c r="I1568" i="4" s="1"/>
  <c r="H1568" i="4"/>
  <c r="G1567" i="4"/>
  <c r="I1567" i="4" s="1"/>
  <c r="H1567" i="4"/>
  <c r="G1566" i="4"/>
  <c r="I1566" i="4" s="1"/>
  <c r="H1566" i="4"/>
  <c r="G1565" i="4"/>
  <c r="I1565" i="4" s="1"/>
  <c r="H1565" i="4"/>
  <c r="G1564" i="4"/>
  <c r="I1564" i="4" s="1"/>
  <c r="H1564" i="4"/>
  <c r="G1563" i="4"/>
  <c r="I1563" i="4" s="1"/>
  <c r="H1563" i="4"/>
  <c r="G1562" i="4"/>
  <c r="I1562" i="4" s="1"/>
  <c r="H1562" i="4"/>
  <c r="G1561" i="4"/>
  <c r="I1561" i="4" s="1"/>
  <c r="H1561" i="4"/>
  <c r="G1560" i="4"/>
  <c r="I1560" i="4" s="1"/>
  <c r="H1560" i="4"/>
  <c r="G1559" i="4"/>
  <c r="I1559" i="4" s="1"/>
  <c r="H1559" i="4"/>
  <c r="G1558" i="4"/>
  <c r="I1558" i="4" s="1"/>
  <c r="H1558" i="4"/>
  <c r="G1557" i="4"/>
  <c r="I1557" i="4" s="1"/>
  <c r="H1557" i="4"/>
  <c r="G1556" i="4"/>
  <c r="I1556" i="4" s="1"/>
  <c r="H1556" i="4"/>
  <c r="G1555" i="4"/>
  <c r="I1555" i="4" s="1"/>
  <c r="H1555" i="4"/>
  <c r="G1554" i="4"/>
  <c r="I1554" i="4" s="1"/>
  <c r="H1554" i="4"/>
  <c r="G1553" i="4"/>
  <c r="I1553" i="4" s="1"/>
  <c r="H1553" i="4"/>
  <c r="G1552" i="4"/>
  <c r="I1552" i="4" s="1"/>
  <c r="H1552" i="4"/>
  <c r="G1551" i="4"/>
  <c r="I1551" i="4" s="1"/>
  <c r="H1551" i="4"/>
  <c r="G1550" i="4"/>
  <c r="I1550" i="4" s="1"/>
  <c r="H1550" i="4"/>
  <c r="G1549" i="4"/>
  <c r="I1549" i="4" s="1"/>
  <c r="H1549" i="4"/>
  <c r="G1548" i="4"/>
  <c r="I1548" i="4" s="1"/>
  <c r="H1548" i="4"/>
  <c r="G1547" i="4"/>
  <c r="I1547" i="4" s="1"/>
  <c r="H1547" i="4"/>
  <c r="G1546" i="4"/>
  <c r="I1546" i="4" s="1"/>
  <c r="H1546" i="4"/>
  <c r="G1545" i="4"/>
  <c r="I1545" i="4" s="1"/>
  <c r="H1545" i="4"/>
  <c r="G1544" i="4"/>
  <c r="I1544" i="4" s="1"/>
  <c r="H1544" i="4"/>
  <c r="G1543" i="4"/>
  <c r="I1543" i="4" s="1"/>
  <c r="H1543" i="4"/>
  <c r="G1542" i="4"/>
  <c r="I1542" i="4" s="1"/>
  <c r="H1542" i="4"/>
  <c r="G1541" i="4"/>
  <c r="I1541" i="4" s="1"/>
  <c r="H1541" i="4"/>
  <c r="G1540" i="4"/>
  <c r="I1540" i="4" s="1"/>
  <c r="H1540" i="4"/>
  <c r="G1539" i="4"/>
  <c r="I1539" i="4" s="1"/>
  <c r="H1539" i="4"/>
  <c r="G1538" i="4"/>
  <c r="I1538" i="4" s="1"/>
  <c r="H1538" i="4"/>
  <c r="G1537" i="4"/>
  <c r="I1537" i="4" s="1"/>
  <c r="H1537" i="4"/>
  <c r="G1536" i="4"/>
  <c r="I1536" i="4" s="1"/>
  <c r="H1536" i="4"/>
  <c r="G1535" i="4"/>
  <c r="I1535" i="4" s="1"/>
  <c r="H1535" i="4"/>
  <c r="G1534" i="4"/>
  <c r="I1534" i="4" s="1"/>
  <c r="H1534" i="4"/>
  <c r="G1533" i="4"/>
  <c r="I1533" i="4" s="1"/>
  <c r="H1533" i="4"/>
  <c r="G1532" i="4"/>
  <c r="I1532" i="4" s="1"/>
  <c r="H1532" i="4"/>
  <c r="G1531" i="4"/>
  <c r="I1531" i="4" s="1"/>
  <c r="H1531" i="4"/>
  <c r="G1530" i="4"/>
  <c r="I1530" i="4" s="1"/>
  <c r="H1530" i="4"/>
  <c r="G1529" i="4"/>
  <c r="I1529" i="4" s="1"/>
  <c r="H1529" i="4"/>
  <c r="G1528" i="4"/>
  <c r="I1528" i="4" s="1"/>
  <c r="H1528" i="4"/>
  <c r="G1527" i="4"/>
  <c r="I1527" i="4" s="1"/>
  <c r="H1527" i="4"/>
  <c r="G1526" i="4"/>
  <c r="I1526" i="4" s="1"/>
  <c r="H1526" i="4"/>
  <c r="G1525" i="4"/>
  <c r="I1525" i="4" s="1"/>
  <c r="H1525" i="4"/>
  <c r="G1524" i="4"/>
  <c r="I1524" i="4" s="1"/>
  <c r="H1524" i="4"/>
  <c r="G1523" i="4"/>
  <c r="I1523" i="4" s="1"/>
  <c r="H1523" i="4"/>
  <c r="G1522" i="4"/>
  <c r="I1522" i="4" s="1"/>
  <c r="H1522" i="4"/>
  <c r="G1521" i="4"/>
  <c r="I1521" i="4" s="1"/>
  <c r="H1521" i="4"/>
  <c r="G1520" i="4"/>
  <c r="I1520" i="4" s="1"/>
  <c r="H1520" i="4"/>
  <c r="G1519" i="4"/>
  <c r="I1519" i="4" s="1"/>
  <c r="H1519" i="4"/>
  <c r="G1518" i="4"/>
  <c r="I1518" i="4" s="1"/>
  <c r="H1518" i="4"/>
  <c r="G1517" i="4"/>
  <c r="I1517" i="4" s="1"/>
  <c r="H1517" i="4"/>
  <c r="G1516" i="4"/>
  <c r="I1516" i="4" s="1"/>
  <c r="H1516" i="4"/>
  <c r="G1515" i="4"/>
  <c r="I1515" i="4" s="1"/>
  <c r="H1515" i="4"/>
  <c r="G1514" i="4"/>
  <c r="I1514" i="4" s="1"/>
  <c r="H1514" i="4"/>
  <c r="G1513" i="4"/>
  <c r="I1513" i="4" s="1"/>
  <c r="H1513" i="4"/>
  <c r="G1512" i="4"/>
  <c r="I1512" i="4" s="1"/>
  <c r="H1512" i="4"/>
  <c r="G1511" i="4"/>
  <c r="I1511" i="4" s="1"/>
  <c r="H1511" i="4"/>
  <c r="G1510" i="4"/>
  <c r="I1510" i="4" s="1"/>
  <c r="H1510" i="4"/>
  <c r="G1509" i="4"/>
  <c r="I1509" i="4" s="1"/>
  <c r="H1509" i="4"/>
  <c r="G1508" i="4"/>
  <c r="I1508" i="4" s="1"/>
  <c r="H1508" i="4"/>
  <c r="G1507" i="4"/>
  <c r="I1507" i="4" s="1"/>
  <c r="H1507" i="4"/>
  <c r="G1506" i="4"/>
  <c r="I1506" i="4" s="1"/>
  <c r="H1506" i="4"/>
  <c r="G1505" i="4"/>
  <c r="I1505" i="4" s="1"/>
  <c r="H1505" i="4"/>
  <c r="G1504" i="4"/>
  <c r="I1504" i="4" s="1"/>
  <c r="H1504" i="4"/>
  <c r="G1503" i="4"/>
  <c r="H1503" i="4"/>
  <c r="G1501" i="4"/>
  <c r="I1501" i="4" s="1"/>
  <c r="H1501" i="4"/>
  <c r="G1500" i="4"/>
  <c r="H1500" i="4"/>
  <c r="G1499" i="4"/>
  <c r="I1499" i="4" s="1"/>
  <c r="H1499" i="4"/>
  <c r="G1498" i="4"/>
  <c r="I1498" i="4" s="1"/>
  <c r="H1498" i="4"/>
  <c r="G1497" i="4"/>
  <c r="I1497" i="4" s="1"/>
  <c r="H1497" i="4"/>
  <c r="G1496" i="4"/>
  <c r="I1496" i="4" s="1"/>
  <c r="H1496" i="4"/>
  <c r="G1495" i="4"/>
  <c r="I1495" i="4" s="1"/>
  <c r="H1495" i="4"/>
  <c r="G1494" i="4"/>
  <c r="I1494" i="4" s="1"/>
  <c r="H1494" i="4"/>
  <c r="G1493" i="4"/>
  <c r="I1493" i="4" s="1"/>
  <c r="H1493" i="4"/>
  <c r="G1492" i="4"/>
  <c r="I1492" i="4" s="1"/>
  <c r="H1492" i="4"/>
  <c r="G1491" i="4"/>
  <c r="I1491" i="4" s="1"/>
  <c r="H1491" i="4"/>
  <c r="G1490" i="4"/>
  <c r="I1490" i="4" s="1"/>
  <c r="H1490" i="4"/>
  <c r="G1489" i="4"/>
  <c r="I1489" i="4" s="1"/>
  <c r="H1489" i="4"/>
  <c r="G1488" i="4"/>
  <c r="I1488" i="4" s="1"/>
  <c r="H1488" i="4"/>
  <c r="G1487" i="4"/>
  <c r="I1487" i="4" s="1"/>
  <c r="H1487" i="4"/>
  <c r="G1486" i="4"/>
  <c r="I1486" i="4" s="1"/>
  <c r="H1486" i="4"/>
  <c r="G1485" i="4"/>
  <c r="I1485" i="4" s="1"/>
  <c r="H1485" i="4"/>
  <c r="G1484" i="4"/>
  <c r="I1484" i="4" s="1"/>
  <c r="H1484" i="4"/>
  <c r="G1483" i="4"/>
  <c r="I1483" i="4" s="1"/>
  <c r="H1483" i="4"/>
  <c r="G1482" i="4"/>
  <c r="I1482" i="4" s="1"/>
  <c r="H1482" i="4"/>
  <c r="G1481" i="4"/>
  <c r="I1481" i="4" s="1"/>
  <c r="H1481" i="4"/>
  <c r="G1480" i="4"/>
  <c r="I1480" i="4" s="1"/>
  <c r="H1480" i="4"/>
  <c r="G1479" i="4"/>
  <c r="I1479" i="4" s="1"/>
  <c r="H1479" i="4"/>
  <c r="G1478" i="4"/>
  <c r="I1478" i="4" s="1"/>
  <c r="H1478" i="4"/>
  <c r="G1477" i="4"/>
  <c r="I1477" i="4" s="1"/>
  <c r="H1477" i="4"/>
  <c r="G1476" i="4"/>
  <c r="I1476" i="4" s="1"/>
  <c r="H1476" i="4"/>
  <c r="G1475" i="4"/>
  <c r="I1475" i="4" s="1"/>
  <c r="H1475" i="4"/>
  <c r="G1474" i="4"/>
  <c r="I1474" i="4" s="1"/>
  <c r="H1474" i="4"/>
  <c r="G1473" i="4"/>
  <c r="I1473" i="4" s="1"/>
  <c r="H1473" i="4"/>
  <c r="G1472" i="4"/>
  <c r="I1472" i="4" s="1"/>
  <c r="H1472" i="4"/>
  <c r="G1471" i="4"/>
  <c r="I1471" i="4" s="1"/>
  <c r="H1471" i="4"/>
  <c r="G1470" i="4"/>
  <c r="I1470" i="4" s="1"/>
  <c r="H1470" i="4"/>
  <c r="G1469" i="4"/>
  <c r="I1469" i="4" s="1"/>
  <c r="H1469" i="4"/>
  <c r="G1468" i="4"/>
  <c r="I1468" i="4" s="1"/>
  <c r="H1468" i="4"/>
  <c r="G1467" i="4"/>
  <c r="I1467" i="4" s="1"/>
  <c r="H1467" i="4"/>
  <c r="G1466" i="4"/>
  <c r="I1466" i="4" s="1"/>
  <c r="H1466" i="4"/>
  <c r="G1465" i="4"/>
  <c r="I1465" i="4" s="1"/>
  <c r="H1465" i="4"/>
  <c r="G1464" i="4"/>
  <c r="I1464" i="4" s="1"/>
  <c r="H1464" i="4"/>
  <c r="G1463" i="4"/>
  <c r="I1463" i="4" s="1"/>
  <c r="H1463" i="4"/>
  <c r="G1462" i="4"/>
  <c r="I1462" i="4" s="1"/>
  <c r="H1462" i="4"/>
  <c r="G1461" i="4"/>
  <c r="I1461" i="4" s="1"/>
  <c r="H1461" i="4"/>
  <c r="G1460" i="4"/>
  <c r="I1460" i="4" s="1"/>
  <c r="H1460" i="4"/>
  <c r="G1459" i="4"/>
  <c r="I1459" i="4" s="1"/>
  <c r="H1459" i="4"/>
  <c r="G1458" i="4"/>
  <c r="I1458" i="4" s="1"/>
  <c r="H1458" i="4"/>
  <c r="G1457" i="4"/>
  <c r="I1457" i="4" s="1"/>
  <c r="H1457" i="4"/>
  <c r="G1456" i="4"/>
  <c r="I1456" i="4" s="1"/>
  <c r="H1456" i="4"/>
  <c r="G1455" i="4"/>
  <c r="I1455" i="4" s="1"/>
  <c r="H1455" i="4"/>
  <c r="G1454" i="4"/>
  <c r="I1454" i="4" s="1"/>
  <c r="H1454" i="4"/>
  <c r="G1453" i="4"/>
  <c r="I1453" i="4" s="1"/>
  <c r="H1453" i="4"/>
  <c r="G1452" i="4"/>
  <c r="I1452" i="4" s="1"/>
  <c r="H1452" i="4"/>
  <c r="G1451" i="4"/>
  <c r="I1451" i="4" s="1"/>
  <c r="H1451" i="4"/>
  <c r="G1450" i="4"/>
  <c r="I1450" i="4" s="1"/>
  <c r="H1450" i="4"/>
  <c r="G1449" i="4"/>
  <c r="I1449" i="4" s="1"/>
  <c r="H1449" i="4"/>
  <c r="G1448" i="4"/>
  <c r="I1448" i="4" s="1"/>
  <c r="H1448" i="4"/>
  <c r="G1447" i="4"/>
  <c r="I1447" i="4" s="1"/>
  <c r="H1447" i="4"/>
  <c r="G1446" i="4"/>
  <c r="I1446" i="4" s="1"/>
  <c r="H1446" i="4"/>
  <c r="G1445" i="4"/>
  <c r="I1445" i="4" s="1"/>
  <c r="H1445" i="4"/>
  <c r="G1444" i="4"/>
  <c r="I1444" i="4" s="1"/>
  <c r="H1444" i="4"/>
  <c r="G1443" i="4"/>
  <c r="I1443" i="4" s="1"/>
  <c r="H1443" i="4"/>
  <c r="G1442" i="4"/>
  <c r="I1442" i="4" s="1"/>
  <c r="H1442" i="4"/>
  <c r="G1441" i="4"/>
  <c r="I1441" i="4" s="1"/>
  <c r="H1441" i="4"/>
  <c r="G1440" i="4"/>
  <c r="I1440" i="4" s="1"/>
  <c r="H1440" i="4"/>
  <c r="G1439" i="4"/>
  <c r="I1439" i="4" s="1"/>
  <c r="H1439" i="4"/>
  <c r="G1438" i="4"/>
  <c r="I1438" i="4" s="1"/>
  <c r="H1438" i="4"/>
  <c r="G1437" i="4"/>
  <c r="I1437" i="4" s="1"/>
  <c r="H1437" i="4"/>
  <c r="G1436" i="4"/>
  <c r="I1436" i="4" s="1"/>
  <c r="H1436" i="4"/>
  <c r="G1435" i="4"/>
  <c r="I1435" i="4" s="1"/>
  <c r="H1435" i="4"/>
  <c r="G1434" i="4"/>
  <c r="I1434" i="4" s="1"/>
  <c r="H1434" i="4"/>
  <c r="G1433" i="4"/>
  <c r="I1433" i="4" s="1"/>
  <c r="H1433" i="4"/>
  <c r="G1432" i="4"/>
  <c r="I1432" i="4" s="1"/>
  <c r="H1432" i="4"/>
  <c r="G1431" i="4"/>
  <c r="I1431" i="4" s="1"/>
  <c r="H1431" i="4"/>
  <c r="G1430" i="4"/>
  <c r="I1430" i="4" s="1"/>
  <c r="H1430" i="4"/>
  <c r="G1429" i="4"/>
  <c r="I1429" i="4" s="1"/>
  <c r="H1429" i="4"/>
  <c r="G1428" i="4"/>
  <c r="I1428" i="4" s="1"/>
  <c r="H1428" i="4"/>
  <c r="G1427" i="4"/>
  <c r="I1427" i="4" s="1"/>
  <c r="H1427" i="4"/>
  <c r="G1426" i="4"/>
  <c r="I1426" i="4" s="1"/>
  <c r="H1426" i="4"/>
  <c r="G1425" i="4"/>
  <c r="I1425" i="4" s="1"/>
  <c r="H1425" i="4"/>
  <c r="G1424" i="4"/>
  <c r="I1424" i="4" s="1"/>
  <c r="H1424" i="4"/>
  <c r="G1423" i="4"/>
  <c r="I1423" i="4" s="1"/>
  <c r="H1423" i="4"/>
  <c r="G1422" i="4"/>
  <c r="I1422" i="4" s="1"/>
  <c r="H1422" i="4"/>
  <c r="G1421" i="4"/>
  <c r="I1421" i="4" s="1"/>
  <c r="H1421" i="4"/>
  <c r="G1420" i="4"/>
  <c r="I1420" i="4" s="1"/>
  <c r="H1420" i="4"/>
  <c r="G1419" i="4"/>
  <c r="I1419" i="4" s="1"/>
  <c r="H1419" i="4"/>
  <c r="G1418" i="4"/>
  <c r="I1418" i="4" s="1"/>
  <c r="H1418" i="4"/>
  <c r="G1417" i="4"/>
  <c r="I1417" i="4" s="1"/>
  <c r="H1417" i="4"/>
  <c r="G1416" i="4"/>
  <c r="I1416" i="4" s="1"/>
  <c r="H1416" i="4"/>
  <c r="G1415" i="4"/>
  <c r="I1415" i="4" s="1"/>
  <c r="H1415" i="4"/>
  <c r="G1414" i="4"/>
  <c r="I1414" i="4" s="1"/>
  <c r="H1414" i="4"/>
  <c r="G1413" i="4"/>
  <c r="I1413" i="4" s="1"/>
  <c r="H1413" i="4"/>
  <c r="G1412" i="4"/>
  <c r="I1412" i="4" s="1"/>
  <c r="H1412" i="4"/>
  <c r="G1411" i="4"/>
  <c r="I1411" i="4" s="1"/>
  <c r="H1411" i="4"/>
  <c r="G1410" i="4"/>
  <c r="I1410" i="4" s="1"/>
  <c r="H1410" i="4"/>
  <c r="G1409" i="4"/>
  <c r="I1409" i="4" s="1"/>
  <c r="H1409" i="4"/>
  <c r="G1408" i="4"/>
  <c r="I1408" i="4" s="1"/>
  <c r="H1408" i="4"/>
  <c r="G1407" i="4"/>
  <c r="I1407" i="4" s="1"/>
  <c r="H1407" i="4"/>
  <c r="G1406" i="4"/>
  <c r="I1406" i="4" s="1"/>
  <c r="H1406" i="4"/>
  <c r="G1405" i="4"/>
  <c r="I1405" i="4" s="1"/>
  <c r="H1405" i="4"/>
  <c r="G1404" i="4"/>
  <c r="I1404" i="4" s="1"/>
  <c r="H1404" i="4"/>
  <c r="G1403" i="4"/>
  <c r="I1403" i="4" s="1"/>
  <c r="H1403" i="4"/>
  <c r="G1402" i="4"/>
  <c r="I1402" i="4" s="1"/>
  <c r="H1402" i="4"/>
  <c r="G1401" i="4"/>
  <c r="I1401" i="4" s="1"/>
  <c r="H1401" i="4"/>
  <c r="G1400" i="4"/>
  <c r="I1400" i="4" s="1"/>
  <c r="H1400" i="4"/>
  <c r="G1399" i="4"/>
  <c r="I1399" i="4" s="1"/>
  <c r="H1399" i="4"/>
  <c r="G1398" i="4"/>
  <c r="I1398" i="4" s="1"/>
  <c r="H1398" i="4"/>
  <c r="G1397" i="4"/>
  <c r="I1397" i="4" s="1"/>
  <c r="H1397" i="4"/>
  <c r="G1396" i="4"/>
  <c r="I1396" i="4" s="1"/>
  <c r="H1396" i="4"/>
  <c r="G1395" i="4"/>
  <c r="I1395" i="4" s="1"/>
  <c r="H1395" i="4"/>
  <c r="G1394" i="4"/>
  <c r="I1394" i="4" s="1"/>
  <c r="H1394" i="4"/>
  <c r="G1393" i="4"/>
  <c r="I1393" i="4" s="1"/>
  <c r="H1393" i="4"/>
  <c r="G1392" i="4"/>
  <c r="I1392" i="4" s="1"/>
  <c r="H1392" i="4"/>
  <c r="G1391" i="4"/>
  <c r="I1391" i="4" s="1"/>
  <c r="H1391" i="4"/>
  <c r="G1390" i="4"/>
  <c r="I1390" i="4" s="1"/>
  <c r="H1390" i="4"/>
  <c r="G1389" i="4"/>
  <c r="I1389" i="4" s="1"/>
  <c r="H1389" i="4"/>
  <c r="G1388" i="4"/>
  <c r="I1388" i="4" s="1"/>
  <c r="H1388" i="4"/>
  <c r="G1387" i="4"/>
  <c r="I1387" i="4" s="1"/>
  <c r="H1387" i="4"/>
  <c r="G1386" i="4"/>
  <c r="I1386" i="4" s="1"/>
  <c r="H1386" i="4"/>
  <c r="G1385" i="4"/>
  <c r="I1385" i="4" s="1"/>
  <c r="H1385" i="4"/>
  <c r="G1384" i="4"/>
  <c r="I1384" i="4" s="1"/>
  <c r="H1384" i="4"/>
  <c r="G1383" i="4"/>
  <c r="I1383" i="4" s="1"/>
  <c r="H1383" i="4"/>
  <c r="G1382" i="4"/>
  <c r="I1382" i="4" s="1"/>
  <c r="H1382" i="4"/>
  <c r="G1381" i="4"/>
  <c r="I1381" i="4" s="1"/>
  <c r="H1381" i="4"/>
  <c r="G1380" i="4"/>
  <c r="I1380" i="4" s="1"/>
  <c r="H1380" i="4"/>
  <c r="G1379" i="4"/>
  <c r="I1379" i="4" s="1"/>
  <c r="H1379" i="4"/>
  <c r="G1378" i="4"/>
  <c r="I1378" i="4" s="1"/>
  <c r="H1378" i="4"/>
  <c r="G1377" i="4"/>
  <c r="I1377" i="4" s="1"/>
  <c r="H1377" i="4"/>
  <c r="G1376" i="4"/>
  <c r="I1376" i="4" s="1"/>
  <c r="H1376" i="4"/>
  <c r="G1375" i="4"/>
  <c r="I1375" i="4" s="1"/>
  <c r="H1375" i="4"/>
  <c r="G1374" i="4"/>
  <c r="I1374" i="4" s="1"/>
  <c r="H1374" i="4"/>
  <c r="G1373" i="4"/>
  <c r="I1373" i="4" s="1"/>
  <c r="H1373" i="4"/>
  <c r="G1372" i="4"/>
  <c r="I1372" i="4" s="1"/>
  <c r="H1372" i="4"/>
  <c r="G1371" i="4"/>
  <c r="I1371" i="4" s="1"/>
  <c r="H1371" i="4"/>
  <c r="G1370" i="4"/>
  <c r="I1370" i="4" s="1"/>
  <c r="H1370" i="4"/>
  <c r="G1369" i="4"/>
  <c r="I1369" i="4" s="1"/>
  <c r="H1369" i="4"/>
  <c r="G1368" i="4"/>
  <c r="I1368" i="4" s="1"/>
  <c r="H1368" i="4"/>
  <c r="G1367" i="4"/>
  <c r="I1367" i="4" s="1"/>
  <c r="H1367" i="4"/>
  <c r="G1366" i="4"/>
  <c r="I1366" i="4" s="1"/>
  <c r="H1366" i="4"/>
  <c r="G1365" i="4"/>
  <c r="I1365" i="4" s="1"/>
  <c r="H1365" i="4"/>
  <c r="G1364" i="4"/>
  <c r="I1364" i="4" s="1"/>
  <c r="H1364" i="4"/>
  <c r="G1363" i="4"/>
  <c r="I1363" i="4" s="1"/>
  <c r="H1363" i="4"/>
  <c r="G1362" i="4"/>
  <c r="I1362" i="4" s="1"/>
  <c r="H1362" i="4"/>
  <c r="G1361" i="4"/>
  <c r="I1361" i="4" s="1"/>
  <c r="H1361" i="4"/>
  <c r="G1360" i="4"/>
  <c r="I1360" i="4" s="1"/>
  <c r="H1360" i="4"/>
  <c r="G1359" i="4"/>
  <c r="I1359" i="4" s="1"/>
  <c r="H1359" i="4"/>
  <c r="G1358" i="4"/>
  <c r="I1358" i="4" s="1"/>
  <c r="H1358" i="4"/>
  <c r="G1357" i="4"/>
  <c r="I1357" i="4" s="1"/>
  <c r="H1357" i="4"/>
  <c r="G1356" i="4"/>
  <c r="I1356" i="4" s="1"/>
  <c r="H1356" i="4"/>
  <c r="G1355" i="4"/>
  <c r="I1355" i="4" s="1"/>
  <c r="H1355" i="4"/>
  <c r="G1354" i="4"/>
  <c r="I1354" i="4" s="1"/>
  <c r="H1354" i="4"/>
  <c r="G1353" i="4"/>
  <c r="I1353" i="4" s="1"/>
  <c r="H1353" i="4"/>
  <c r="G1352" i="4"/>
  <c r="I1352" i="4" s="1"/>
  <c r="H1352" i="4"/>
  <c r="G1351" i="4"/>
  <c r="I1351" i="4" s="1"/>
  <c r="H1351" i="4"/>
  <c r="G1350" i="4"/>
  <c r="I1350" i="4" s="1"/>
  <c r="H1350" i="4"/>
  <c r="G1349" i="4"/>
  <c r="I1349" i="4" s="1"/>
  <c r="H1349" i="4"/>
  <c r="G1348" i="4"/>
  <c r="I1348" i="4" s="1"/>
  <c r="H1348" i="4"/>
  <c r="G1347" i="4"/>
  <c r="I1347" i="4" s="1"/>
  <c r="H1347" i="4"/>
  <c r="G1346" i="4"/>
  <c r="I1346" i="4" s="1"/>
  <c r="H1346" i="4"/>
  <c r="G1345" i="4"/>
  <c r="I1345" i="4" s="1"/>
  <c r="H1345" i="4"/>
  <c r="G1344" i="4"/>
  <c r="I1344" i="4" s="1"/>
  <c r="H1344" i="4"/>
  <c r="G1343" i="4"/>
  <c r="I1343" i="4" s="1"/>
  <c r="H1343" i="4"/>
  <c r="G1342" i="4"/>
  <c r="I1342" i="4" s="1"/>
  <c r="H1342" i="4"/>
  <c r="G1341" i="4"/>
  <c r="I1341" i="4" s="1"/>
  <c r="H1341" i="4"/>
  <c r="G1340" i="4"/>
  <c r="I1340" i="4" s="1"/>
  <c r="H1340" i="4"/>
  <c r="G1339" i="4"/>
  <c r="I1339" i="4" s="1"/>
  <c r="H1339" i="4"/>
  <c r="G1338" i="4"/>
  <c r="I1338" i="4" s="1"/>
  <c r="H1338" i="4"/>
  <c r="G1337" i="4"/>
  <c r="I1337" i="4" s="1"/>
  <c r="H1337" i="4"/>
  <c r="G1336" i="4"/>
  <c r="I1336" i="4" s="1"/>
  <c r="H1336" i="4"/>
  <c r="G1335" i="4"/>
  <c r="I1335" i="4" s="1"/>
  <c r="H1335" i="4"/>
  <c r="G1334" i="4"/>
  <c r="I1334" i="4" s="1"/>
  <c r="H1334" i="4"/>
  <c r="G1333" i="4"/>
  <c r="I1333" i="4" s="1"/>
  <c r="H1333" i="4"/>
  <c r="G1332" i="4"/>
  <c r="I1332" i="4" s="1"/>
  <c r="H1332" i="4"/>
  <c r="G1331" i="4"/>
  <c r="I1331" i="4" s="1"/>
  <c r="H1331" i="4"/>
  <c r="G1330" i="4"/>
  <c r="I1330" i="4" s="1"/>
  <c r="H1330" i="4"/>
  <c r="G1329" i="4"/>
  <c r="I1329" i="4" s="1"/>
  <c r="H1329" i="4"/>
  <c r="G1328" i="4"/>
  <c r="I1328" i="4" s="1"/>
  <c r="H1328" i="4"/>
  <c r="G1327" i="4"/>
  <c r="I1327" i="4" s="1"/>
  <c r="H1327" i="4"/>
  <c r="G1326" i="4"/>
  <c r="I1326" i="4" s="1"/>
  <c r="H1326" i="4"/>
  <c r="G1325" i="4"/>
  <c r="I1325" i="4" s="1"/>
  <c r="H1325" i="4"/>
  <c r="G1324" i="4"/>
  <c r="I1324" i="4" s="1"/>
  <c r="H1324" i="4"/>
  <c r="G1323" i="4"/>
  <c r="I1323" i="4" s="1"/>
  <c r="H1323" i="4"/>
  <c r="G1322" i="4"/>
  <c r="I1322" i="4" s="1"/>
  <c r="H1322" i="4"/>
  <c r="G1321" i="4"/>
  <c r="I1321" i="4" s="1"/>
  <c r="H1321" i="4"/>
  <c r="G1320" i="4"/>
  <c r="I1320" i="4" s="1"/>
  <c r="H1320" i="4"/>
  <c r="G1319" i="4"/>
  <c r="I1319" i="4" s="1"/>
  <c r="H1319" i="4"/>
  <c r="G1318" i="4"/>
  <c r="I1318" i="4" s="1"/>
  <c r="H1318" i="4"/>
  <c r="G1317" i="4"/>
  <c r="I1317" i="4" s="1"/>
  <c r="H1317" i="4"/>
  <c r="G1316" i="4"/>
  <c r="I1316" i="4" s="1"/>
  <c r="H1316" i="4"/>
  <c r="G1315" i="4"/>
  <c r="I1315" i="4" s="1"/>
  <c r="H1315" i="4"/>
  <c r="G1314" i="4"/>
  <c r="I1314" i="4" s="1"/>
  <c r="H1314" i="4"/>
  <c r="G1313" i="4"/>
  <c r="I1313" i="4" s="1"/>
  <c r="H1313" i="4"/>
  <c r="G1312" i="4"/>
  <c r="I1312" i="4" s="1"/>
  <c r="H1312" i="4"/>
  <c r="G1311" i="4"/>
  <c r="I1311" i="4" s="1"/>
  <c r="H1311" i="4"/>
  <c r="G1310" i="4"/>
  <c r="I1310" i="4" s="1"/>
  <c r="H1310" i="4"/>
  <c r="G1309" i="4"/>
  <c r="I1309" i="4" s="1"/>
  <c r="H1309" i="4"/>
  <c r="G1308" i="4"/>
  <c r="I1308" i="4" s="1"/>
  <c r="H1308" i="4"/>
  <c r="G1307" i="4"/>
  <c r="I1307" i="4" s="1"/>
  <c r="H1307" i="4"/>
  <c r="G1306" i="4"/>
  <c r="I1306" i="4" s="1"/>
  <c r="H1306" i="4"/>
  <c r="G1305" i="4"/>
  <c r="I1305" i="4" s="1"/>
  <c r="H1305" i="4"/>
  <c r="G1304" i="4"/>
  <c r="I1304" i="4" s="1"/>
  <c r="H1304" i="4"/>
  <c r="G1303" i="4"/>
  <c r="I1303" i="4" s="1"/>
  <c r="H1303" i="4"/>
  <c r="G1302" i="4"/>
  <c r="I1302" i="4" s="1"/>
  <c r="H1302" i="4"/>
  <c r="G1301" i="4"/>
  <c r="I1301" i="4" s="1"/>
  <c r="H1301" i="4"/>
  <c r="G1300" i="4"/>
  <c r="I1300" i="4" s="1"/>
  <c r="H1300" i="4"/>
  <c r="G1299" i="4"/>
  <c r="I1299" i="4" s="1"/>
  <c r="H1299" i="4"/>
  <c r="G1298" i="4"/>
  <c r="I1298" i="4" s="1"/>
  <c r="H1298" i="4"/>
  <c r="G1297" i="4"/>
  <c r="I1297" i="4" s="1"/>
  <c r="H1297" i="4"/>
  <c r="G1296" i="4"/>
  <c r="I1296" i="4" s="1"/>
  <c r="H1296" i="4"/>
  <c r="G1295" i="4"/>
  <c r="I1295" i="4" s="1"/>
  <c r="H1295" i="4"/>
  <c r="G1294" i="4"/>
  <c r="I1294" i="4" s="1"/>
  <c r="H1294" i="4"/>
  <c r="G1293" i="4"/>
  <c r="I1293" i="4" s="1"/>
  <c r="H1293" i="4"/>
  <c r="G1292" i="4"/>
  <c r="I1292" i="4" s="1"/>
  <c r="H1292" i="4"/>
  <c r="G1291" i="4"/>
  <c r="I1291" i="4" s="1"/>
  <c r="H1291" i="4"/>
  <c r="G1290" i="4"/>
  <c r="I1290" i="4" s="1"/>
  <c r="H1290" i="4"/>
  <c r="G1289" i="4"/>
  <c r="I1289" i="4" s="1"/>
  <c r="H1289" i="4"/>
  <c r="G1288" i="4"/>
  <c r="I1288" i="4" s="1"/>
  <c r="H1288" i="4"/>
  <c r="G1287" i="4"/>
  <c r="I1287" i="4" s="1"/>
  <c r="H1287" i="4"/>
  <c r="G1286" i="4"/>
  <c r="I1286" i="4" s="1"/>
  <c r="H1286" i="4"/>
  <c r="G1285" i="4"/>
  <c r="I1285" i="4" s="1"/>
  <c r="H1285" i="4"/>
  <c r="G1284" i="4"/>
  <c r="I1284" i="4" s="1"/>
  <c r="H1284" i="4"/>
  <c r="G1283" i="4"/>
  <c r="I1283" i="4" s="1"/>
  <c r="H1283" i="4"/>
  <c r="G1282" i="4"/>
  <c r="I1282" i="4" s="1"/>
  <c r="H1282" i="4"/>
  <c r="G1281" i="4"/>
  <c r="I1281" i="4" s="1"/>
  <c r="H1281" i="4"/>
  <c r="G1280" i="4"/>
  <c r="I1280" i="4" s="1"/>
  <c r="H1280" i="4"/>
  <c r="G1279" i="4"/>
  <c r="I1279" i="4" s="1"/>
  <c r="H1279" i="4"/>
  <c r="G1278" i="4"/>
  <c r="I1278" i="4" s="1"/>
  <c r="H1278" i="4"/>
  <c r="G1277" i="4"/>
  <c r="I1277" i="4" s="1"/>
  <c r="H1277" i="4"/>
  <c r="G1276" i="4"/>
  <c r="I1276" i="4" s="1"/>
  <c r="H1276" i="4"/>
  <c r="G1275" i="4"/>
  <c r="I1275" i="4" s="1"/>
  <c r="H1275" i="4"/>
  <c r="G1274" i="4"/>
  <c r="I1274" i="4" s="1"/>
  <c r="H1274" i="4"/>
  <c r="G1273" i="4"/>
  <c r="I1273" i="4" s="1"/>
  <c r="H1273" i="4"/>
  <c r="G1272" i="4"/>
  <c r="I1272" i="4" s="1"/>
  <c r="H1272" i="4"/>
  <c r="G1271" i="4"/>
  <c r="I1271" i="4" s="1"/>
  <c r="H1271" i="4"/>
  <c r="G1270" i="4"/>
  <c r="I1270" i="4" s="1"/>
  <c r="H1270" i="4"/>
  <c r="G1269" i="4"/>
  <c r="I1269" i="4" s="1"/>
  <c r="H1269" i="4"/>
  <c r="G1268" i="4"/>
  <c r="I1268" i="4" s="1"/>
  <c r="H1268" i="4"/>
  <c r="G1267" i="4"/>
  <c r="I1267" i="4" s="1"/>
  <c r="H1267" i="4"/>
  <c r="G1266" i="4"/>
  <c r="I1266" i="4" s="1"/>
  <c r="H1266" i="4"/>
  <c r="G1265" i="4"/>
  <c r="I1265" i="4" s="1"/>
  <c r="H1265" i="4"/>
  <c r="G1264" i="4"/>
  <c r="I1264" i="4" s="1"/>
  <c r="H1264" i="4"/>
  <c r="G1263" i="4"/>
  <c r="I1263" i="4" s="1"/>
  <c r="H1263" i="4"/>
  <c r="G1262" i="4"/>
  <c r="I1262" i="4" s="1"/>
  <c r="H1262" i="4"/>
  <c r="G1261" i="4"/>
  <c r="I1261" i="4" s="1"/>
  <c r="H1261" i="4"/>
  <c r="G1260" i="4"/>
  <c r="I1260" i="4" s="1"/>
  <c r="H1260" i="4"/>
  <c r="G1259" i="4"/>
  <c r="I1259" i="4" s="1"/>
  <c r="H1259" i="4"/>
  <c r="G1258" i="4"/>
  <c r="I1258" i="4" s="1"/>
  <c r="H1258" i="4"/>
  <c r="G1257" i="4"/>
  <c r="I1257" i="4" s="1"/>
  <c r="H1257" i="4"/>
  <c r="G1256" i="4"/>
  <c r="I1256" i="4" s="1"/>
  <c r="H1256" i="4"/>
  <c r="G1255" i="4"/>
  <c r="I1255" i="4" s="1"/>
  <c r="H1255" i="4"/>
  <c r="G1254" i="4"/>
  <c r="I1254" i="4" s="1"/>
  <c r="H1254" i="4"/>
  <c r="G1253" i="4"/>
  <c r="I1253" i="4" s="1"/>
  <c r="H1253" i="4"/>
  <c r="G1252" i="4"/>
  <c r="I1252" i="4" s="1"/>
  <c r="H1252" i="4"/>
  <c r="G1251" i="4"/>
  <c r="I1251" i="4" s="1"/>
  <c r="H1251" i="4"/>
  <c r="G1250" i="4"/>
  <c r="I1250" i="4" s="1"/>
  <c r="H1250" i="4"/>
  <c r="G1249" i="4"/>
  <c r="I1249" i="4" s="1"/>
  <c r="H1249" i="4"/>
  <c r="G1248" i="4"/>
  <c r="I1248" i="4" s="1"/>
  <c r="H1248" i="4"/>
  <c r="G1247" i="4"/>
  <c r="I1247" i="4" s="1"/>
  <c r="H1247" i="4"/>
  <c r="G1246" i="4"/>
  <c r="I1246" i="4" s="1"/>
  <c r="H1246" i="4"/>
  <c r="G1245" i="4"/>
  <c r="I1245" i="4" s="1"/>
  <c r="H1245" i="4"/>
  <c r="G1244" i="4"/>
  <c r="I1244" i="4" s="1"/>
  <c r="H1244" i="4"/>
  <c r="G1243" i="4"/>
  <c r="I1243" i="4" s="1"/>
  <c r="H1243" i="4"/>
  <c r="G1242" i="4"/>
  <c r="I1242" i="4" s="1"/>
  <c r="H1242" i="4"/>
  <c r="G1241" i="4"/>
  <c r="I1241" i="4" s="1"/>
  <c r="H1241" i="4"/>
  <c r="G1240" i="4"/>
  <c r="I1240" i="4" s="1"/>
  <c r="H1240" i="4"/>
  <c r="G1239" i="4"/>
  <c r="I1239" i="4" s="1"/>
  <c r="H1239" i="4"/>
  <c r="G1238" i="4"/>
  <c r="I1238" i="4" s="1"/>
  <c r="H1238" i="4"/>
  <c r="G1237" i="4"/>
  <c r="I1237" i="4" s="1"/>
  <c r="H1237" i="4"/>
  <c r="G1236" i="4"/>
  <c r="I1236" i="4" s="1"/>
  <c r="H1236" i="4"/>
  <c r="G1235" i="4"/>
  <c r="I1235" i="4" s="1"/>
  <c r="H1235" i="4"/>
  <c r="G1234" i="4"/>
  <c r="I1234" i="4" s="1"/>
  <c r="H1234" i="4"/>
  <c r="G1233" i="4"/>
  <c r="I1233" i="4" s="1"/>
  <c r="H1233" i="4"/>
  <c r="G1232" i="4"/>
  <c r="I1232" i="4" s="1"/>
  <c r="H1232" i="4"/>
  <c r="G1231" i="4"/>
  <c r="I1231" i="4" s="1"/>
  <c r="H1231" i="4"/>
  <c r="G1230" i="4"/>
  <c r="I1230" i="4" s="1"/>
  <c r="H1230" i="4"/>
  <c r="G1229" i="4"/>
  <c r="I1229" i="4" s="1"/>
  <c r="H1229" i="4"/>
  <c r="G1228" i="4"/>
  <c r="I1228" i="4" s="1"/>
  <c r="H1228" i="4"/>
  <c r="G1227" i="4"/>
  <c r="I1227" i="4" s="1"/>
  <c r="H1227" i="4"/>
  <c r="G1226" i="4"/>
  <c r="I1226" i="4" s="1"/>
  <c r="H1226" i="4"/>
  <c r="G1225" i="4"/>
  <c r="I1225" i="4" s="1"/>
  <c r="H1225" i="4"/>
  <c r="G1224" i="4"/>
  <c r="I1224" i="4" s="1"/>
  <c r="H1224" i="4"/>
  <c r="G1223" i="4"/>
  <c r="I1223" i="4" s="1"/>
  <c r="H1223" i="4"/>
  <c r="G1222" i="4"/>
  <c r="I1222" i="4" s="1"/>
  <c r="H1222" i="4"/>
  <c r="G1221" i="4"/>
  <c r="I1221" i="4" s="1"/>
  <c r="H1221" i="4"/>
  <c r="G1220" i="4"/>
  <c r="I1220" i="4" s="1"/>
  <c r="H1220" i="4"/>
  <c r="G1219" i="4"/>
  <c r="I1219" i="4" s="1"/>
  <c r="H1219" i="4"/>
  <c r="G1218" i="4"/>
  <c r="I1218" i="4" s="1"/>
  <c r="H1218" i="4"/>
  <c r="G1217" i="4"/>
  <c r="I1217" i="4" s="1"/>
  <c r="H1217" i="4"/>
  <c r="G1216" i="4"/>
  <c r="I1216" i="4" s="1"/>
  <c r="H1216" i="4"/>
  <c r="G1215" i="4"/>
  <c r="I1215" i="4" s="1"/>
  <c r="H1215" i="4"/>
  <c r="G1214" i="4"/>
  <c r="I1214" i="4" s="1"/>
  <c r="H1214" i="4"/>
  <c r="G1213" i="4"/>
  <c r="I1213" i="4" s="1"/>
  <c r="H1213" i="4"/>
  <c r="G1212" i="4"/>
  <c r="I1212" i="4" s="1"/>
  <c r="H1212" i="4"/>
  <c r="G1211" i="4"/>
  <c r="I1211" i="4" s="1"/>
  <c r="H1211" i="4"/>
  <c r="G1210" i="4"/>
  <c r="I1210" i="4" s="1"/>
  <c r="H1210" i="4"/>
  <c r="G1209" i="4"/>
  <c r="I1209" i="4" s="1"/>
  <c r="H1209" i="4"/>
  <c r="G1208" i="4"/>
  <c r="I1208" i="4" s="1"/>
  <c r="H1208" i="4"/>
  <c r="G1207" i="4"/>
  <c r="I1207" i="4" s="1"/>
  <c r="H1207" i="4"/>
  <c r="G1206" i="4"/>
  <c r="I1206" i="4" s="1"/>
  <c r="H1206" i="4"/>
  <c r="G1205" i="4"/>
  <c r="I1205" i="4" s="1"/>
  <c r="H1205" i="4"/>
  <c r="G1204" i="4"/>
  <c r="I1204" i="4" s="1"/>
  <c r="H1204" i="4"/>
  <c r="G1203" i="4"/>
  <c r="I1203" i="4" s="1"/>
  <c r="H1203" i="4"/>
  <c r="G1202" i="4"/>
  <c r="I1202" i="4" s="1"/>
  <c r="H1202" i="4"/>
  <c r="G1201" i="4"/>
  <c r="I1201" i="4" s="1"/>
  <c r="H1201" i="4"/>
  <c r="G1200" i="4"/>
  <c r="I1200" i="4" s="1"/>
  <c r="H1200" i="4"/>
  <c r="G1199" i="4"/>
  <c r="I1199" i="4" s="1"/>
  <c r="H1199" i="4"/>
  <c r="G1198" i="4"/>
  <c r="I1198" i="4" s="1"/>
  <c r="H1198" i="4"/>
  <c r="G1197" i="4"/>
  <c r="I1197" i="4" s="1"/>
  <c r="H1197" i="4"/>
  <c r="G1196" i="4"/>
  <c r="I1196" i="4" s="1"/>
  <c r="H1196" i="4"/>
  <c r="G1195" i="4"/>
  <c r="I1195" i="4" s="1"/>
  <c r="H1195" i="4"/>
  <c r="G1194" i="4"/>
  <c r="I1194" i="4" s="1"/>
  <c r="H1194" i="4"/>
  <c r="G1193" i="4"/>
  <c r="I1193" i="4" s="1"/>
  <c r="H1193" i="4"/>
  <c r="G1192" i="4"/>
  <c r="I1192" i="4" s="1"/>
  <c r="H1192" i="4"/>
  <c r="G1191" i="4"/>
  <c r="I1191" i="4" s="1"/>
  <c r="H1191" i="4"/>
  <c r="G1190" i="4"/>
  <c r="I1190" i="4" s="1"/>
  <c r="H1190" i="4"/>
  <c r="G1189" i="4"/>
  <c r="I1189" i="4" s="1"/>
  <c r="H1189" i="4"/>
  <c r="G1188" i="4"/>
  <c r="I1188" i="4" s="1"/>
  <c r="H1188" i="4"/>
  <c r="G1187" i="4"/>
  <c r="I1187" i="4" s="1"/>
  <c r="H1187" i="4"/>
  <c r="G1186" i="4"/>
  <c r="I1186" i="4" s="1"/>
  <c r="H1186" i="4"/>
  <c r="G1185" i="4"/>
  <c r="I1185" i="4" s="1"/>
  <c r="H1185" i="4"/>
  <c r="G1184" i="4"/>
  <c r="I1184" i="4" s="1"/>
  <c r="H1184" i="4"/>
  <c r="G1183" i="4"/>
  <c r="I1183" i="4" s="1"/>
  <c r="H1183" i="4"/>
  <c r="G1182" i="4"/>
  <c r="I1182" i="4" s="1"/>
  <c r="H1182" i="4"/>
  <c r="G1181" i="4"/>
  <c r="I1181" i="4" s="1"/>
  <c r="H1181" i="4"/>
  <c r="G1180" i="4"/>
  <c r="I1180" i="4" s="1"/>
  <c r="H1180" i="4"/>
  <c r="G1179" i="4"/>
  <c r="I1179" i="4" s="1"/>
  <c r="H1179" i="4"/>
  <c r="G1178" i="4"/>
  <c r="I1178" i="4" s="1"/>
  <c r="H1178" i="4"/>
  <c r="G1177" i="4"/>
  <c r="I1177" i="4" s="1"/>
  <c r="H1177" i="4"/>
  <c r="G1176" i="4"/>
  <c r="I1176" i="4" s="1"/>
  <c r="H1176" i="4"/>
  <c r="G1175" i="4"/>
  <c r="I1175" i="4" s="1"/>
  <c r="H1175" i="4"/>
  <c r="G1174" i="4"/>
  <c r="I1174" i="4" s="1"/>
  <c r="H1174" i="4"/>
  <c r="G1173" i="4"/>
  <c r="I1173" i="4" s="1"/>
  <c r="H1173" i="4"/>
  <c r="G1172" i="4"/>
  <c r="I1172" i="4" s="1"/>
  <c r="H1172" i="4"/>
  <c r="G1171" i="4"/>
  <c r="I1171" i="4" s="1"/>
  <c r="H1171" i="4"/>
  <c r="G1170" i="4"/>
  <c r="I1170" i="4" s="1"/>
  <c r="H1170" i="4"/>
  <c r="G1169" i="4"/>
  <c r="I1169" i="4" s="1"/>
  <c r="H1169" i="4"/>
  <c r="G1168" i="4"/>
  <c r="I1168" i="4" s="1"/>
  <c r="H1168" i="4"/>
  <c r="G1167" i="4"/>
  <c r="I1167" i="4" s="1"/>
  <c r="H1167" i="4"/>
  <c r="G1166" i="4"/>
  <c r="I1166" i="4" s="1"/>
  <c r="H1166" i="4"/>
  <c r="G1165" i="4"/>
  <c r="I1165" i="4" s="1"/>
  <c r="H1165" i="4"/>
  <c r="G1164" i="4"/>
  <c r="I1164" i="4" s="1"/>
  <c r="H1164" i="4"/>
  <c r="G1163" i="4"/>
  <c r="I1163" i="4" s="1"/>
  <c r="H1163" i="4"/>
  <c r="G1162" i="4"/>
  <c r="I1162" i="4" s="1"/>
  <c r="H1162" i="4"/>
  <c r="G1161" i="4"/>
  <c r="I1161" i="4" s="1"/>
  <c r="H1161" i="4"/>
  <c r="G1160" i="4"/>
  <c r="I1160" i="4" s="1"/>
  <c r="H1160" i="4"/>
  <c r="G1159" i="4"/>
  <c r="I1159" i="4" s="1"/>
  <c r="H1159" i="4"/>
  <c r="G1158" i="4"/>
  <c r="I1158" i="4" s="1"/>
  <c r="H1158" i="4"/>
  <c r="G1157" i="4"/>
  <c r="I1157" i="4" s="1"/>
  <c r="H1157" i="4"/>
  <c r="G1156" i="4"/>
  <c r="I1156" i="4" s="1"/>
  <c r="H1156" i="4"/>
  <c r="G1155" i="4"/>
  <c r="I1155" i="4" s="1"/>
  <c r="H1155" i="4"/>
  <c r="G1154" i="4"/>
  <c r="I1154" i="4" s="1"/>
  <c r="H1154" i="4"/>
  <c r="G1153" i="4"/>
  <c r="I1153" i="4" s="1"/>
  <c r="H1153" i="4"/>
  <c r="G1152" i="4"/>
  <c r="I1152" i="4" s="1"/>
  <c r="H1152" i="4"/>
  <c r="G1151" i="4"/>
  <c r="I1151" i="4" s="1"/>
  <c r="H1151" i="4"/>
  <c r="G1150" i="4"/>
  <c r="I1150" i="4" s="1"/>
  <c r="H1150" i="4"/>
  <c r="G1149" i="4"/>
  <c r="I1149" i="4" s="1"/>
  <c r="H1149" i="4"/>
  <c r="G1148" i="4"/>
  <c r="I1148" i="4" s="1"/>
  <c r="H1148" i="4"/>
  <c r="G1147" i="4"/>
  <c r="I1147" i="4" s="1"/>
  <c r="H1147" i="4"/>
  <c r="G1146" i="4"/>
  <c r="I1146" i="4" s="1"/>
  <c r="H1146" i="4"/>
  <c r="G1145" i="4"/>
  <c r="I1145" i="4" s="1"/>
  <c r="H1145" i="4"/>
  <c r="G1144" i="4"/>
  <c r="I1144" i="4" s="1"/>
  <c r="H1144" i="4"/>
  <c r="G1143" i="4"/>
  <c r="I1143" i="4" s="1"/>
  <c r="H1143" i="4"/>
  <c r="G1142" i="4"/>
  <c r="I1142" i="4" s="1"/>
  <c r="H1142" i="4"/>
  <c r="G1141" i="4"/>
  <c r="I1141" i="4" s="1"/>
  <c r="H1141" i="4"/>
  <c r="G1140" i="4"/>
  <c r="I1140" i="4" s="1"/>
  <c r="H1140" i="4"/>
  <c r="G1139" i="4"/>
  <c r="I1139" i="4" s="1"/>
  <c r="H1139" i="4"/>
  <c r="G1138" i="4"/>
  <c r="I1138" i="4" s="1"/>
  <c r="H1138" i="4"/>
  <c r="G1137" i="4"/>
  <c r="I1137" i="4" s="1"/>
  <c r="H1137" i="4"/>
  <c r="G1136" i="4"/>
  <c r="I1136" i="4" s="1"/>
  <c r="H1136" i="4"/>
  <c r="G1135" i="4"/>
  <c r="I1135" i="4" s="1"/>
  <c r="H1135" i="4"/>
  <c r="G1134" i="4"/>
  <c r="I1134" i="4" s="1"/>
  <c r="H1134" i="4"/>
  <c r="G1133" i="4"/>
  <c r="I1133" i="4" s="1"/>
  <c r="H1133" i="4"/>
  <c r="G1132" i="4"/>
  <c r="I1132" i="4" s="1"/>
  <c r="H1132" i="4"/>
  <c r="G1131" i="4"/>
  <c r="I1131" i="4" s="1"/>
  <c r="H1131" i="4"/>
  <c r="G1130" i="4"/>
  <c r="I1130" i="4" s="1"/>
  <c r="H1130" i="4"/>
  <c r="G1129" i="4"/>
  <c r="I1129" i="4" s="1"/>
  <c r="H1129" i="4"/>
  <c r="G1128" i="4"/>
  <c r="I1128" i="4" s="1"/>
  <c r="H1128" i="4"/>
  <c r="G1127" i="4"/>
  <c r="I1127" i="4" s="1"/>
  <c r="H1127" i="4"/>
  <c r="G1126" i="4"/>
  <c r="I1126" i="4" s="1"/>
  <c r="H1126" i="4"/>
  <c r="G1125" i="4"/>
  <c r="I1125" i="4" s="1"/>
  <c r="H1125" i="4"/>
  <c r="G1124" i="4"/>
  <c r="I1124" i="4" s="1"/>
  <c r="H1124" i="4"/>
  <c r="G1123" i="4"/>
  <c r="I1123" i="4" s="1"/>
  <c r="H1123" i="4"/>
  <c r="G1122" i="4"/>
  <c r="I1122" i="4" s="1"/>
  <c r="H1122" i="4"/>
  <c r="G1121" i="4"/>
  <c r="I1121" i="4" s="1"/>
  <c r="H1121" i="4"/>
  <c r="G1120" i="4"/>
  <c r="I1120" i="4" s="1"/>
  <c r="H1120" i="4"/>
  <c r="G1119" i="4"/>
  <c r="I1119" i="4" s="1"/>
  <c r="H1119" i="4"/>
  <c r="G1118" i="4"/>
  <c r="I1118" i="4" s="1"/>
  <c r="H1118" i="4"/>
  <c r="G1117" i="4"/>
  <c r="I1117" i="4" s="1"/>
  <c r="H1117" i="4"/>
  <c r="G1116" i="4"/>
  <c r="I1116" i="4" s="1"/>
  <c r="H1116" i="4"/>
  <c r="G1115" i="4"/>
  <c r="I1115" i="4" s="1"/>
  <c r="H1115" i="4"/>
  <c r="G1114" i="4"/>
  <c r="I1114" i="4" s="1"/>
  <c r="H1114" i="4"/>
  <c r="G1113" i="4"/>
  <c r="I1113" i="4" s="1"/>
  <c r="H1113" i="4"/>
  <c r="G1112" i="4"/>
  <c r="I1112" i="4" s="1"/>
  <c r="H1112" i="4"/>
  <c r="G1111" i="4"/>
  <c r="I1111" i="4" s="1"/>
  <c r="H1111" i="4"/>
  <c r="G1110" i="4"/>
  <c r="I1110" i="4" s="1"/>
  <c r="H1110" i="4"/>
  <c r="G1109" i="4"/>
  <c r="I1109" i="4" s="1"/>
  <c r="H1109" i="4"/>
  <c r="G1108" i="4"/>
  <c r="I1108" i="4" s="1"/>
  <c r="H1108" i="4"/>
  <c r="G1107" i="4"/>
  <c r="I1107" i="4" s="1"/>
  <c r="H1107" i="4"/>
  <c r="G1106" i="4"/>
  <c r="I1106" i="4" s="1"/>
  <c r="H1106" i="4"/>
  <c r="G1105" i="4"/>
  <c r="I1105" i="4" s="1"/>
  <c r="H1105" i="4"/>
  <c r="G1104" i="4"/>
  <c r="I1104" i="4" s="1"/>
  <c r="H1104" i="4"/>
  <c r="G1103" i="4"/>
  <c r="I1103" i="4" s="1"/>
  <c r="H1103" i="4"/>
  <c r="G1102" i="4"/>
  <c r="I1102" i="4" s="1"/>
  <c r="H1102" i="4"/>
  <c r="G1101" i="4"/>
  <c r="I1101" i="4" s="1"/>
  <c r="H1101" i="4"/>
  <c r="G1100" i="4"/>
  <c r="I1100" i="4" s="1"/>
  <c r="H1100" i="4"/>
  <c r="G1099" i="4"/>
  <c r="I1099" i="4" s="1"/>
  <c r="H1099" i="4"/>
  <c r="G1098" i="4"/>
  <c r="I1098" i="4" s="1"/>
  <c r="H1098" i="4"/>
  <c r="G1097" i="4"/>
  <c r="I1097" i="4" s="1"/>
  <c r="H1097" i="4"/>
  <c r="G1096" i="4"/>
  <c r="I1096" i="4" s="1"/>
  <c r="H1096" i="4"/>
  <c r="G1095" i="4"/>
  <c r="I1095" i="4" s="1"/>
  <c r="H1095" i="4"/>
  <c r="G1094" i="4"/>
  <c r="I1094" i="4" s="1"/>
  <c r="H1094" i="4"/>
  <c r="G1093" i="4"/>
  <c r="I1093" i="4" s="1"/>
  <c r="H1093" i="4"/>
  <c r="G1092" i="4"/>
  <c r="I1092" i="4" s="1"/>
  <c r="H1092" i="4"/>
  <c r="G1091" i="4"/>
  <c r="I1091" i="4" s="1"/>
  <c r="H1091" i="4"/>
  <c r="G1090" i="4"/>
  <c r="I1090" i="4" s="1"/>
  <c r="H1090" i="4"/>
  <c r="G1089" i="4"/>
  <c r="I1089" i="4" s="1"/>
  <c r="H1089" i="4"/>
  <c r="G1088" i="4"/>
  <c r="I1088" i="4" s="1"/>
  <c r="H1088" i="4"/>
  <c r="G1087" i="4"/>
  <c r="I1087" i="4" s="1"/>
  <c r="H1087" i="4"/>
  <c r="G1086" i="4"/>
  <c r="I1086" i="4" s="1"/>
  <c r="H1086" i="4"/>
  <c r="G1085" i="4"/>
  <c r="I1085" i="4" s="1"/>
  <c r="H1085" i="4"/>
  <c r="G1084" i="4"/>
  <c r="I1084" i="4" s="1"/>
  <c r="H1084" i="4"/>
  <c r="G1083" i="4"/>
  <c r="I1083" i="4" s="1"/>
  <c r="H1083" i="4"/>
  <c r="G1082" i="4"/>
  <c r="I1082" i="4" s="1"/>
  <c r="H1082" i="4"/>
  <c r="G1081" i="4"/>
  <c r="I1081" i="4" s="1"/>
  <c r="H1081" i="4"/>
  <c r="G1080" i="4"/>
  <c r="I1080" i="4" s="1"/>
  <c r="H1080" i="4"/>
  <c r="G1079" i="4"/>
  <c r="I1079" i="4" s="1"/>
  <c r="H1079" i="4"/>
  <c r="G1078" i="4"/>
  <c r="I1078" i="4" s="1"/>
  <c r="H1078" i="4"/>
  <c r="G1077" i="4"/>
  <c r="I1077" i="4" s="1"/>
  <c r="H1077" i="4"/>
  <c r="G1076" i="4"/>
  <c r="I1076" i="4" s="1"/>
  <c r="H1076" i="4"/>
  <c r="G1075" i="4"/>
  <c r="I1075" i="4" s="1"/>
  <c r="H1075" i="4"/>
  <c r="H1074" i="4"/>
  <c r="G1074" i="4"/>
  <c r="I1074" i="4" s="1"/>
  <c r="G1073" i="4"/>
  <c r="I1073" i="4" s="1"/>
  <c r="H1073" i="4"/>
  <c r="H1072" i="4"/>
  <c r="G1072" i="4"/>
  <c r="I1072" i="4" s="1"/>
  <c r="G1071" i="4"/>
  <c r="I1071" i="4" s="1"/>
  <c r="H1071" i="4"/>
  <c r="H1070" i="4"/>
  <c r="G1070" i="4"/>
  <c r="I1070" i="4" s="1"/>
  <c r="H1069" i="4"/>
  <c r="G1069" i="4"/>
  <c r="I1069" i="4" s="1"/>
  <c r="H1068" i="4"/>
  <c r="G1068" i="4"/>
  <c r="I1068" i="4" s="1"/>
  <c r="H1067" i="4"/>
  <c r="G1067" i="4"/>
  <c r="I1067" i="4" s="1"/>
  <c r="H1066" i="4"/>
  <c r="G1066" i="4"/>
  <c r="I1066" i="4" s="1"/>
  <c r="H1065" i="4"/>
  <c r="G1065" i="4"/>
  <c r="I1065" i="4" s="1"/>
  <c r="G1064" i="4"/>
  <c r="I1064" i="4" s="1"/>
  <c r="H1064" i="4"/>
  <c r="H1063" i="4"/>
  <c r="G1063" i="4"/>
  <c r="I1063" i="4" s="1"/>
  <c r="H1062" i="4"/>
  <c r="G1062" i="4"/>
  <c r="I1062" i="4" s="1"/>
  <c r="H1061" i="4"/>
  <c r="G1061" i="4"/>
  <c r="I1061" i="4" s="1"/>
  <c r="H1060" i="4"/>
  <c r="G1060" i="4"/>
  <c r="I1060" i="4" s="1"/>
  <c r="H1059" i="4"/>
  <c r="G1059" i="4"/>
  <c r="I1059" i="4" s="1"/>
  <c r="H1058" i="4"/>
  <c r="G1058" i="4"/>
  <c r="I1058" i="4" s="1"/>
  <c r="H1057" i="4"/>
  <c r="G1057" i="4"/>
  <c r="I1057" i="4" s="1"/>
  <c r="H1056" i="4"/>
  <c r="G1056" i="4"/>
  <c r="I1056" i="4" s="1"/>
  <c r="H1055" i="4"/>
  <c r="G1055" i="4"/>
  <c r="I1055" i="4" s="1"/>
  <c r="G1054" i="4"/>
  <c r="I1054" i="4" s="1"/>
  <c r="H1054" i="4"/>
  <c r="H1053" i="4"/>
  <c r="G1053" i="4"/>
  <c r="I1053" i="4" s="1"/>
  <c r="H1052" i="4"/>
  <c r="G1052" i="4"/>
  <c r="I1052" i="4" s="1"/>
  <c r="H1051" i="4"/>
  <c r="G1051" i="4"/>
  <c r="I1051" i="4" s="1"/>
  <c r="H1050" i="4"/>
  <c r="G1050" i="4"/>
  <c r="I1050" i="4" s="1"/>
  <c r="G1049" i="4"/>
  <c r="I1049" i="4" s="1"/>
  <c r="H1049" i="4"/>
  <c r="H1048" i="4"/>
  <c r="G1048" i="4"/>
  <c r="I1048" i="4" s="1"/>
  <c r="H1047" i="4"/>
  <c r="G1047" i="4"/>
  <c r="I1047" i="4" s="1"/>
  <c r="H1046" i="4"/>
  <c r="G1046" i="4"/>
  <c r="I1046" i="4" s="1"/>
  <c r="G1045" i="4"/>
  <c r="I1045" i="4" s="1"/>
  <c r="H1045" i="4"/>
  <c r="H1044" i="4"/>
  <c r="G1044" i="4"/>
  <c r="I1044" i="4" s="1"/>
  <c r="G1043" i="4"/>
  <c r="I1043" i="4" s="1"/>
  <c r="H1043" i="4"/>
  <c r="G1042" i="4"/>
  <c r="I1042" i="4" s="1"/>
  <c r="H1042" i="4"/>
  <c r="H1041" i="4"/>
  <c r="G1041" i="4"/>
  <c r="I1041" i="4" s="1"/>
  <c r="H1040" i="4"/>
  <c r="G1040" i="4"/>
  <c r="I1040" i="4" s="1"/>
  <c r="G1039" i="4"/>
  <c r="I1039" i="4" s="1"/>
  <c r="H1039" i="4"/>
  <c r="G1038" i="4"/>
  <c r="I1038" i="4" s="1"/>
  <c r="H1038" i="4"/>
  <c r="G1037" i="4"/>
  <c r="I1037" i="4" s="1"/>
  <c r="H1037" i="4"/>
  <c r="G1036" i="4"/>
  <c r="I1036" i="4" s="1"/>
  <c r="H1036" i="4"/>
  <c r="G1035" i="4"/>
  <c r="I1035" i="4" s="1"/>
  <c r="H1035" i="4"/>
  <c r="H1034" i="4"/>
  <c r="G1034" i="4"/>
  <c r="I1034" i="4" s="1"/>
  <c r="H1033" i="4"/>
  <c r="G1033" i="4"/>
  <c r="I1033" i="4" s="1"/>
  <c r="G1032" i="4"/>
  <c r="I1032" i="4" s="1"/>
  <c r="H1032" i="4"/>
  <c r="G1031" i="4"/>
  <c r="I1031" i="4" s="1"/>
  <c r="H1031" i="4"/>
  <c r="G1030" i="4"/>
  <c r="I1030" i="4" s="1"/>
  <c r="H1030" i="4"/>
  <c r="G1029" i="4"/>
  <c r="I1029" i="4" s="1"/>
  <c r="H1029" i="4"/>
  <c r="G1028" i="4"/>
  <c r="I1028" i="4" s="1"/>
  <c r="H1028" i="4"/>
  <c r="G1027" i="4"/>
  <c r="I1027" i="4" s="1"/>
  <c r="H1027" i="4"/>
  <c r="G1026" i="4"/>
  <c r="I1026" i="4" s="1"/>
  <c r="H1026" i="4"/>
  <c r="G1025" i="4"/>
  <c r="I1025" i="4" s="1"/>
  <c r="H1025" i="4"/>
  <c r="G1024" i="4"/>
  <c r="I1024" i="4" s="1"/>
  <c r="H1024" i="4"/>
  <c r="G1023" i="4"/>
  <c r="I1023" i="4" s="1"/>
  <c r="H1023" i="4"/>
  <c r="G1022" i="4"/>
  <c r="I1022" i="4" s="1"/>
  <c r="H1022" i="4"/>
  <c r="G1021" i="4"/>
  <c r="I1021" i="4" s="1"/>
  <c r="H1021" i="4"/>
  <c r="G1020" i="4"/>
  <c r="I1020" i="4" s="1"/>
  <c r="H1020" i="4"/>
  <c r="G1019" i="4"/>
  <c r="I1019" i="4" s="1"/>
  <c r="H1019" i="4"/>
  <c r="G1018" i="4"/>
  <c r="I1018" i="4" s="1"/>
  <c r="H1018" i="4"/>
  <c r="G1017" i="4"/>
  <c r="I1017" i="4" s="1"/>
  <c r="H1017" i="4"/>
  <c r="G1016" i="4"/>
  <c r="I1016" i="4" s="1"/>
  <c r="H1016" i="4"/>
  <c r="G1015" i="4"/>
  <c r="I1015" i="4" s="1"/>
  <c r="H1015" i="4"/>
  <c r="G1014" i="4"/>
  <c r="I1014" i="4" s="1"/>
  <c r="H1014" i="4"/>
  <c r="G1013" i="4"/>
  <c r="I1013" i="4" s="1"/>
  <c r="H1013" i="4"/>
  <c r="G1012" i="4"/>
  <c r="I1012" i="4" s="1"/>
  <c r="H1012" i="4"/>
  <c r="G1011" i="4"/>
  <c r="I1011" i="4" s="1"/>
  <c r="H1011" i="4"/>
  <c r="G1010" i="4"/>
  <c r="I1010" i="4" s="1"/>
  <c r="H1010" i="4"/>
  <c r="G1009" i="4"/>
  <c r="I1009" i="4" s="1"/>
  <c r="H1009" i="4"/>
  <c r="G1008" i="4"/>
  <c r="I1008" i="4" s="1"/>
  <c r="H1008" i="4"/>
  <c r="G1007" i="4"/>
  <c r="I1007" i="4" s="1"/>
  <c r="H1007" i="4"/>
  <c r="G1006" i="4"/>
  <c r="I1006" i="4" s="1"/>
  <c r="H1006" i="4"/>
  <c r="G1005" i="4"/>
  <c r="I1005" i="4" s="1"/>
  <c r="H1005" i="4"/>
  <c r="G1004" i="4"/>
  <c r="I1004" i="4" s="1"/>
  <c r="H1004" i="4"/>
  <c r="G1003" i="4"/>
  <c r="I1003" i="4" s="1"/>
  <c r="H1003" i="4"/>
  <c r="G1002" i="4"/>
  <c r="I1002" i="4" s="1"/>
  <c r="H1002" i="4"/>
  <c r="G1001" i="4"/>
  <c r="I1001" i="4" s="1"/>
  <c r="H1001" i="4"/>
  <c r="G1000" i="4"/>
  <c r="I1000" i="4" s="1"/>
  <c r="H1000" i="4"/>
  <c r="G999" i="4"/>
  <c r="I999" i="4" s="1"/>
  <c r="H999" i="4"/>
  <c r="G998" i="4"/>
  <c r="I998" i="4" s="1"/>
  <c r="H998" i="4"/>
  <c r="G997" i="4"/>
  <c r="I997" i="4" s="1"/>
  <c r="H997" i="4"/>
  <c r="G996" i="4"/>
  <c r="I996" i="4" s="1"/>
  <c r="H996" i="4"/>
  <c r="G995" i="4"/>
  <c r="I995" i="4" s="1"/>
  <c r="H995" i="4"/>
  <c r="G994" i="4"/>
  <c r="I994" i="4" s="1"/>
  <c r="H994" i="4"/>
  <c r="G993" i="4"/>
  <c r="I993" i="4" s="1"/>
  <c r="H993" i="4"/>
  <c r="G992" i="4"/>
  <c r="I992" i="4" s="1"/>
  <c r="H992" i="4"/>
  <c r="G991" i="4"/>
  <c r="I991" i="4" s="1"/>
  <c r="H991" i="4"/>
  <c r="G990" i="4"/>
  <c r="I990" i="4" s="1"/>
  <c r="H990" i="4"/>
  <c r="G989" i="4"/>
  <c r="I989" i="4" s="1"/>
  <c r="H989" i="4"/>
  <c r="G988" i="4"/>
  <c r="I988" i="4" s="1"/>
  <c r="H988" i="4"/>
  <c r="G987" i="4"/>
  <c r="I987" i="4" s="1"/>
  <c r="H987" i="4"/>
  <c r="G986" i="4"/>
  <c r="I986" i="4" s="1"/>
  <c r="H986" i="4"/>
  <c r="G985" i="4"/>
  <c r="I985" i="4" s="1"/>
  <c r="H985" i="4"/>
  <c r="G984" i="4"/>
  <c r="I984" i="4" s="1"/>
  <c r="H984" i="4"/>
  <c r="G983" i="4"/>
  <c r="I983" i="4" s="1"/>
  <c r="H983" i="4"/>
  <c r="G982" i="4"/>
  <c r="I982" i="4" s="1"/>
  <c r="H982" i="4"/>
  <c r="G981" i="4"/>
  <c r="I981" i="4" s="1"/>
  <c r="H981" i="4"/>
  <c r="G980" i="4"/>
  <c r="I980" i="4" s="1"/>
  <c r="H980" i="4"/>
  <c r="G979" i="4"/>
  <c r="I979" i="4" s="1"/>
  <c r="H979" i="4"/>
  <c r="G978" i="4"/>
  <c r="I978" i="4" s="1"/>
  <c r="H978" i="4"/>
  <c r="G977" i="4"/>
  <c r="I977" i="4" s="1"/>
  <c r="H977" i="4"/>
  <c r="G976" i="4"/>
  <c r="I976" i="4" s="1"/>
  <c r="H976" i="4"/>
  <c r="G975" i="4"/>
  <c r="I975" i="4" s="1"/>
  <c r="H975" i="4"/>
  <c r="G974" i="4"/>
  <c r="I974" i="4" s="1"/>
  <c r="H974" i="4"/>
  <c r="G973" i="4"/>
  <c r="I973" i="4" s="1"/>
  <c r="H973" i="4"/>
  <c r="G972" i="4"/>
  <c r="I972" i="4" s="1"/>
  <c r="H972" i="4"/>
  <c r="G971" i="4"/>
  <c r="I971" i="4" s="1"/>
  <c r="H971" i="4"/>
  <c r="G970" i="4"/>
  <c r="I970" i="4" s="1"/>
  <c r="H970" i="4"/>
  <c r="G969" i="4"/>
  <c r="I969" i="4" s="1"/>
  <c r="H969" i="4"/>
  <c r="G968" i="4"/>
  <c r="I968" i="4" s="1"/>
  <c r="H968" i="4"/>
  <c r="G967" i="4"/>
  <c r="I967" i="4" s="1"/>
  <c r="H967" i="4"/>
  <c r="G966" i="4"/>
  <c r="I966" i="4" s="1"/>
  <c r="H966" i="4"/>
  <c r="G965" i="4"/>
  <c r="I965" i="4" s="1"/>
  <c r="H965" i="4"/>
  <c r="G964" i="4"/>
  <c r="I964" i="4" s="1"/>
  <c r="H964" i="4"/>
  <c r="G963" i="4"/>
  <c r="I963" i="4" s="1"/>
  <c r="H963" i="4"/>
  <c r="G962" i="4"/>
  <c r="I962" i="4" s="1"/>
  <c r="H962" i="4"/>
  <c r="G961" i="4"/>
  <c r="I961" i="4" s="1"/>
  <c r="H961" i="4"/>
  <c r="G960" i="4"/>
  <c r="I960" i="4" s="1"/>
  <c r="H960" i="4"/>
  <c r="G959" i="4"/>
  <c r="I959" i="4" s="1"/>
  <c r="H959" i="4"/>
  <c r="G958" i="4"/>
  <c r="I958" i="4" s="1"/>
  <c r="H958" i="4"/>
  <c r="G957" i="4"/>
  <c r="I957" i="4" s="1"/>
  <c r="H957" i="4"/>
  <c r="G956" i="4"/>
  <c r="I956" i="4" s="1"/>
  <c r="H956" i="4"/>
  <c r="G955" i="4"/>
  <c r="I955" i="4" s="1"/>
  <c r="H955" i="4"/>
  <c r="G954" i="4"/>
  <c r="I954" i="4" s="1"/>
  <c r="H954" i="4"/>
  <c r="G953" i="4"/>
  <c r="I953" i="4" s="1"/>
  <c r="H953" i="4"/>
  <c r="G952" i="4"/>
  <c r="I952" i="4" s="1"/>
  <c r="H952" i="4"/>
  <c r="G951" i="4"/>
  <c r="H951" i="4"/>
  <c r="G950" i="4"/>
  <c r="I950" i="4" s="1"/>
  <c r="H950" i="4"/>
  <c r="G949" i="4"/>
  <c r="I949" i="4" s="1"/>
  <c r="H949" i="4"/>
  <c r="G948" i="4"/>
  <c r="I948" i="4" s="1"/>
  <c r="H948" i="4"/>
  <c r="G947" i="4"/>
  <c r="I947" i="4" s="1"/>
  <c r="H947" i="4"/>
  <c r="G946" i="4"/>
  <c r="I946" i="4" s="1"/>
  <c r="H946" i="4"/>
  <c r="G945" i="4"/>
  <c r="I945" i="4" s="1"/>
  <c r="H945" i="4"/>
  <c r="G944" i="4"/>
  <c r="I944" i="4" s="1"/>
  <c r="H944" i="4"/>
  <c r="G943" i="4"/>
  <c r="I943" i="4" s="1"/>
  <c r="H943" i="4"/>
  <c r="G942" i="4"/>
  <c r="I942" i="4" s="1"/>
  <c r="H942" i="4"/>
  <c r="G941" i="4"/>
  <c r="I941" i="4" s="1"/>
  <c r="H941" i="4"/>
  <c r="G940" i="4"/>
  <c r="I940" i="4" s="1"/>
  <c r="H940" i="4"/>
  <c r="G939" i="4"/>
  <c r="I939" i="4" s="1"/>
  <c r="H939" i="4"/>
  <c r="G938" i="4"/>
  <c r="I938" i="4" s="1"/>
  <c r="H938" i="4"/>
  <c r="G937" i="4"/>
  <c r="I937" i="4" s="1"/>
  <c r="H937" i="4"/>
  <c r="G936" i="4"/>
  <c r="I936" i="4" s="1"/>
  <c r="H936" i="4"/>
  <c r="G935" i="4"/>
  <c r="I935" i="4" s="1"/>
  <c r="H935" i="4"/>
  <c r="G934" i="4"/>
  <c r="I934" i="4" s="1"/>
  <c r="H934" i="4"/>
  <c r="G933" i="4"/>
  <c r="I933" i="4" s="1"/>
  <c r="H933" i="4"/>
  <c r="G932" i="4"/>
  <c r="I932" i="4" s="1"/>
  <c r="H932" i="4"/>
  <c r="G931" i="4"/>
  <c r="I931" i="4" s="1"/>
  <c r="H931" i="4"/>
  <c r="G930" i="4"/>
  <c r="I930" i="4" s="1"/>
  <c r="H930" i="4"/>
  <c r="G929" i="4"/>
  <c r="I929" i="4" s="1"/>
  <c r="H929" i="4"/>
  <c r="G928" i="4"/>
  <c r="I928" i="4" s="1"/>
  <c r="H928" i="4"/>
  <c r="G927" i="4"/>
  <c r="I927" i="4" s="1"/>
  <c r="H927" i="4"/>
  <c r="G926" i="4"/>
  <c r="I926" i="4" s="1"/>
  <c r="H926" i="4"/>
  <c r="G925" i="4"/>
  <c r="I925" i="4" s="1"/>
  <c r="H925" i="4"/>
  <c r="G924" i="4"/>
  <c r="I924" i="4" s="1"/>
  <c r="H924" i="4"/>
  <c r="G923" i="4"/>
  <c r="I923" i="4" s="1"/>
  <c r="H923" i="4"/>
  <c r="G922" i="4"/>
  <c r="I922" i="4" s="1"/>
  <c r="H922" i="4"/>
  <c r="G921" i="4"/>
  <c r="I921" i="4" s="1"/>
  <c r="H921" i="4"/>
  <c r="G920" i="4"/>
  <c r="I920" i="4" s="1"/>
  <c r="H920" i="4"/>
  <c r="G919" i="4"/>
  <c r="I919" i="4" s="1"/>
  <c r="H919" i="4"/>
  <c r="G918" i="4"/>
  <c r="I918" i="4" s="1"/>
  <c r="H918" i="4"/>
  <c r="G917" i="4"/>
  <c r="I917" i="4" s="1"/>
  <c r="H917" i="4"/>
  <c r="G916" i="4"/>
  <c r="I916" i="4" s="1"/>
  <c r="H916" i="4"/>
  <c r="G915" i="4"/>
  <c r="I915" i="4" s="1"/>
  <c r="H915" i="4"/>
  <c r="G914" i="4"/>
  <c r="I914" i="4" s="1"/>
  <c r="H914" i="4"/>
  <c r="G913" i="4"/>
  <c r="I913" i="4" s="1"/>
  <c r="H913" i="4"/>
  <c r="G912" i="4"/>
  <c r="I912" i="4" s="1"/>
  <c r="H912" i="4"/>
  <c r="G911" i="4"/>
  <c r="I911" i="4" s="1"/>
  <c r="H911" i="4"/>
  <c r="G910" i="4"/>
  <c r="I910" i="4" s="1"/>
  <c r="H910" i="4"/>
  <c r="G909" i="4"/>
  <c r="I909" i="4" s="1"/>
  <c r="H909" i="4"/>
  <c r="G908" i="4"/>
  <c r="I908" i="4" s="1"/>
  <c r="H908" i="4"/>
  <c r="G907" i="4"/>
  <c r="I907" i="4" s="1"/>
  <c r="H907" i="4"/>
  <c r="G906" i="4"/>
  <c r="I906" i="4" s="1"/>
  <c r="H906" i="4"/>
  <c r="G905" i="4"/>
  <c r="I905" i="4" s="1"/>
  <c r="H905" i="4"/>
  <c r="G904" i="4"/>
  <c r="I904" i="4" s="1"/>
  <c r="H904" i="4"/>
  <c r="G903" i="4"/>
  <c r="I903" i="4" s="1"/>
  <c r="H903" i="4"/>
  <c r="G902" i="4"/>
  <c r="I902" i="4" s="1"/>
  <c r="H902" i="4"/>
  <c r="G901" i="4"/>
  <c r="I901" i="4" s="1"/>
  <c r="H901" i="4"/>
  <c r="G900" i="4"/>
  <c r="I900" i="4" s="1"/>
  <c r="H900" i="4"/>
  <c r="G899" i="4"/>
  <c r="I899" i="4" s="1"/>
  <c r="H899" i="4"/>
  <c r="G898" i="4"/>
  <c r="I898" i="4" s="1"/>
  <c r="H898" i="4"/>
  <c r="G897" i="4"/>
  <c r="I897" i="4" s="1"/>
  <c r="H897" i="4"/>
  <c r="G896" i="4"/>
  <c r="I896" i="4" s="1"/>
  <c r="H896" i="4"/>
  <c r="G895" i="4"/>
  <c r="I895" i="4" s="1"/>
  <c r="H895" i="4"/>
  <c r="G894" i="4"/>
  <c r="I894" i="4" s="1"/>
  <c r="H894" i="4"/>
  <c r="G893" i="4"/>
  <c r="I893" i="4" s="1"/>
  <c r="H893" i="4"/>
  <c r="G892" i="4"/>
  <c r="I892" i="4" s="1"/>
  <c r="H892" i="4"/>
  <c r="G891" i="4"/>
  <c r="I891" i="4" s="1"/>
  <c r="H891" i="4"/>
  <c r="G890" i="4"/>
  <c r="I890" i="4" s="1"/>
  <c r="H890" i="4"/>
  <c r="G889" i="4"/>
  <c r="I889" i="4" s="1"/>
  <c r="H889" i="4"/>
  <c r="G888" i="4"/>
  <c r="I888" i="4" s="1"/>
  <c r="H888" i="4"/>
  <c r="G887" i="4"/>
  <c r="I887" i="4" s="1"/>
  <c r="H887" i="4"/>
  <c r="G886" i="4"/>
  <c r="I886" i="4" s="1"/>
  <c r="H886" i="4"/>
  <c r="G885" i="4"/>
  <c r="I885" i="4" s="1"/>
  <c r="H885" i="4"/>
  <c r="G884" i="4"/>
  <c r="I884" i="4" s="1"/>
  <c r="H884" i="4"/>
  <c r="G883" i="4"/>
  <c r="I883" i="4" s="1"/>
  <c r="H883" i="4"/>
  <c r="G882" i="4"/>
  <c r="I882" i="4" s="1"/>
  <c r="H882" i="4"/>
  <c r="G881" i="4"/>
  <c r="I881" i="4" s="1"/>
  <c r="H881" i="4"/>
  <c r="G880" i="4"/>
  <c r="I880" i="4" s="1"/>
  <c r="H880" i="4"/>
  <c r="G879" i="4"/>
  <c r="I879" i="4" s="1"/>
  <c r="H879" i="4"/>
  <c r="G878" i="4"/>
  <c r="I878" i="4" s="1"/>
  <c r="H878" i="4"/>
  <c r="G877" i="4"/>
  <c r="I877" i="4" s="1"/>
  <c r="H877" i="4"/>
  <c r="G876" i="4"/>
  <c r="I876" i="4" s="1"/>
  <c r="H876" i="4"/>
  <c r="G875" i="4"/>
  <c r="I875" i="4" s="1"/>
  <c r="H875" i="4"/>
  <c r="G874" i="4"/>
  <c r="I874" i="4" s="1"/>
  <c r="H874" i="4"/>
  <c r="G873" i="4"/>
  <c r="I873" i="4" s="1"/>
  <c r="H873" i="4"/>
  <c r="G872" i="4"/>
  <c r="I872" i="4" s="1"/>
  <c r="H872" i="4"/>
  <c r="G871" i="4"/>
  <c r="I871" i="4" s="1"/>
  <c r="H871" i="4"/>
  <c r="G870" i="4"/>
  <c r="I870" i="4" s="1"/>
  <c r="H870" i="4"/>
  <c r="G869" i="4"/>
  <c r="I869" i="4" s="1"/>
  <c r="H869" i="4"/>
  <c r="G868" i="4"/>
  <c r="I868" i="4" s="1"/>
  <c r="H868" i="4"/>
  <c r="G867" i="4"/>
  <c r="I867" i="4" s="1"/>
  <c r="H867" i="4"/>
  <c r="G866" i="4"/>
  <c r="I866" i="4" s="1"/>
  <c r="H866" i="4"/>
  <c r="G865" i="4"/>
  <c r="I865" i="4" s="1"/>
  <c r="H865" i="4"/>
  <c r="G864" i="4"/>
  <c r="I864" i="4" s="1"/>
  <c r="H864" i="4"/>
  <c r="G863" i="4"/>
  <c r="I863" i="4" s="1"/>
  <c r="H863" i="4"/>
  <c r="G862" i="4"/>
  <c r="I862" i="4" s="1"/>
  <c r="H862" i="4"/>
  <c r="G861" i="4"/>
  <c r="I861" i="4" s="1"/>
  <c r="H861" i="4"/>
  <c r="G860" i="4"/>
  <c r="I860" i="4" s="1"/>
  <c r="H860" i="4"/>
  <c r="G859" i="4"/>
  <c r="I859" i="4" s="1"/>
  <c r="H859" i="4"/>
  <c r="G858" i="4"/>
  <c r="I858" i="4" s="1"/>
  <c r="H858" i="4"/>
  <c r="G857" i="4"/>
  <c r="I857" i="4" s="1"/>
  <c r="H857" i="4"/>
  <c r="G856" i="4"/>
  <c r="I856" i="4" s="1"/>
  <c r="H856" i="4"/>
  <c r="G855" i="4"/>
  <c r="I855" i="4" s="1"/>
  <c r="H855" i="4"/>
  <c r="G854" i="4"/>
  <c r="I854" i="4" s="1"/>
  <c r="H854" i="4"/>
  <c r="G853" i="4"/>
  <c r="I853" i="4" s="1"/>
  <c r="H853" i="4"/>
  <c r="G852" i="4"/>
  <c r="I852" i="4" s="1"/>
  <c r="H852" i="4"/>
  <c r="G851" i="4"/>
  <c r="I851" i="4" s="1"/>
  <c r="H851" i="4"/>
  <c r="G850" i="4"/>
  <c r="I850" i="4" s="1"/>
  <c r="H850" i="4"/>
  <c r="G849" i="4"/>
  <c r="I849" i="4" s="1"/>
  <c r="H849" i="4"/>
  <c r="G848" i="4"/>
  <c r="I848" i="4" s="1"/>
  <c r="H848" i="4"/>
  <c r="G847" i="4"/>
  <c r="I847" i="4" s="1"/>
  <c r="H847" i="4"/>
  <c r="G846" i="4"/>
  <c r="I846" i="4" s="1"/>
  <c r="H846" i="4"/>
  <c r="G845" i="4"/>
  <c r="I845" i="4" s="1"/>
  <c r="H845" i="4"/>
  <c r="G844" i="4"/>
  <c r="I844" i="4" s="1"/>
  <c r="H844" i="4"/>
  <c r="G843" i="4"/>
  <c r="I843" i="4" s="1"/>
  <c r="H843" i="4"/>
  <c r="G842" i="4"/>
  <c r="I842" i="4" s="1"/>
  <c r="H842" i="4"/>
  <c r="G841" i="4"/>
  <c r="I841" i="4" s="1"/>
  <c r="H841" i="4"/>
  <c r="G840" i="4"/>
  <c r="I840" i="4" s="1"/>
  <c r="H840" i="4"/>
  <c r="G839" i="4"/>
  <c r="I839" i="4" s="1"/>
  <c r="H839" i="4"/>
  <c r="G838" i="4"/>
  <c r="I838" i="4" s="1"/>
  <c r="H838" i="4"/>
  <c r="G837" i="4"/>
  <c r="I837" i="4" s="1"/>
  <c r="H837" i="4"/>
  <c r="G836" i="4"/>
  <c r="I836" i="4" s="1"/>
  <c r="H836" i="4"/>
  <c r="G835" i="4"/>
  <c r="I835" i="4" s="1"/>
  <c r="H835" i="4"/>
  <c r="G834" i="4"/>
  <c r="I834" i="4" s="1"/>
  <c r="H834" i="4"/>
  <c r="G833" i="4"/>
  <c r="I833" i="4" s="1"/>
  <c r="H833" i="4"/>
  <c r="G832" i="4"/>
  <c r="I832" i="4" s="1"/>
  <c r="H832" i="4"/>
  <c r="G831" i="4"/>
  <c r="I831" i="4" s="1"/>
  <c r="H831" i="4"/>
  <c r="G830" i="4"/>
  <c r="I830" i="4" s="1"/>
  <c r="H830" i="4"/>
  <c r="G829" i="4"/>
  <c r="I829" i="4" s="1"/>
  <c r="H829" i="4"/>
  <c r="G828" i="4"/>
  <c r="I828" i="4" s="1"/>
  <c r="H828" i="4"/>
  <c r="G827" i="4"/>
  <c r="I827" i="4" s="1"/>
  <c r="H827" i="4"/>
  <c r="G826" i="4"/>
  <c r="I826" i="4" s="1"/>
  <c r="H826" i="4"/>
  <c r="G825" i="4"/>
  <c r="I825" i="4" s="1"/>
  <c r="H825" i="4"/>
  <c r="G824" i="4"/>
  <c r="I824" i="4" s="1"/>
  <c r="H824" i="4"/>
  <c r="G823" i="4"/>
  <c r="I823" i="4" s="1"/>
  <c r="H823" i="4"/>
  <c r="G822" i="4"/>
  <c r="I822" i="4" s="1"/>
  <c r="H822" i="4"/>
  <c r="G821" i="4"/>
  <c r="I821" i="4" s="1"/>
  <c r="H821" i="4"/>
  <c r="G820" i="4"/>
  <c r="I820" i="4" s="1"/>
  <c r="H820" i="4"/>
  <c r="G819" i="4"/>
  <c r="I819" i="4" s="1"/>
  <c r="H819" i="4"/>
  <c r="G818" i="4"/>
  <c r="I818" i="4" s="1"/>
  <c r="H818" i="4"/>
  <c r="G817" i="4"/>
  <c r="I817" i="4" s="1"/>
  <c r="H817" i="4"/>
  <c r="G816" i="4"/>
  <c r="I816" i="4" s="1"/>
  <c r="H816" i="4"/>
  <c r="G815" i="4"/>
  <c r="I815" i="4" s="1"/>
  <c r="H815" i="4"/>
  <c r="G814" i="4"/>
  <c r="I814" i="4" s="1"/>
  <c r="H814" i="4"/>
  <c r="G813" i="4"/>
  <c r="I813" i="4" s="1"/>
  <c r="H813" i="4"/>
  <c r="G812" i="4"/>
  <c r="I812" i="4" s="1"/>
  <c r="H812" i="4"/>
  <c r="G811" i="4"/>
  <c r="I811" i="4" s="1"/>
  <c r="H811" i="4"/>
  <c r="G810" i="4"/>
  <c r="I810" i="4" s="1"/>
  <c r="H810" i="4"/>
  <c r="G809" i="4"/>
  <c r="I809" i="4" s="1"/>
  <c r="H809" i="4"/>
  <c r="G808" i="4"/>
  <c r="I808" i="4" s="1"/>
  <c r="H808" i="4"/>
  <c r="G807" i="4"/>
  <c r="I807" i="4" s="1"/>
  <c r="H807" i="4"/>
  <c r="G806" i="4"/>
  <c r="I806" i="4" s="1"/>
  <c r="H806" i="4"/>
  <c r="G805" i="4"/>
  <c r="I805" i="4" s="1"/>
  <c r="H805" i="4"/>
  <c r="G804" i="4"/>
  <c r="I804" i="4" s="1"/>
  <c r="H804" i="4"/>
  <c r="G803" i="4"/>
  <c r="I803" i="4" s="1"/>
  <c r="H803" i="4"/>
  <c r="G802" i="4"/>
  <c r="I802" i="4" s="1"/>
  <c r="H802" i="4"/>
  <c r="G801" i="4"/>
  <c r="I801" i="4" s="1"/>
  <c r="H801" i="4"/>
  <c r="G800" i="4"/>
  <c r="I800" i="4" s="1"/>
  <c r="H800" i="4"/>
  <c r="G799" i="4"/>
  <c r="I799" i="4" s="1"/>
  <c r="H799" i="4"/>
  <c r="G798" i="4"/>
  <c r="I798" i="4" s="1"/>
  <c r="H798" i="4"/>
  <c r="G797" i="4"/>
  <c r="I797" i="4" s="1"/>
  <c r="H797" i="4"/>
  <c r="G796" i="4"/>
  <c r="I796" i="4" s="1"/>
  <c r="H796" i="4"/>
  <c r="G795" i="4"/>
  <c r="I795" i="4" s="1"/>
  <c r="H795" i="4"/>
  <c r="G794" i="4"/>
  <c r="I794" i="4" s="1"/>
  <c r="H794" i="4"/>
  <c r="G793" i="4"/>
  <c r="I793" i="4" s="1"/>
  <c r="H793" i="4"/>
  <c r="G792" i="4"/>
  <c r="I792" i="4" s="1"/>
  <c r="H792" i="4"/>
  <c r="G791" i="4"/>
  <c r="I791" i="4" s="1"/>
  <c r="H791" i="4"/>
  <c r="G790" i="4"/>
  <c r="I790" i="4" s="1"/>
  <c r="H790" i="4"/>
  <c r="G789" i="4"/>
  <c r="I789" i="4" s="1"/>
  <c r="H789" i="4"/>
  <c r="G788" i="4"/>
  <c r="I788" i="4" s="1"/>
  <c r="H788" i="4"/>
  <c r="G787" i="4"/>
  <c r="I787" i="4" s="1"/>
  <c r="H787" i="4"/>
  <c r="G786" i="4"/>
  <c r="I786" i="4" s="1"/>
  <c r="H786" i="4"/>
  <c r="G785" i="4"/>
  <c r="I785" i="4" s="1"/>
  <c r="H785" i="4"/>
  <c r="G784" i="4"/>
  <c r="I784" i="4" s="1"/>
  <c r="H784" i="4"/>
  <c r="G783" i="4"/>
  <c r="I783" i="4" s="1"/>
  <c r="H783" i="4"/>
  <c r="G782" i="4"/>
  <c r="I782" i="4" s="1"/>
  <c r="H782" i="4"/>
  <c r="G781" i="4"/>
  <c r="I781" i="4" s="1"/>
  <c r="H781" i="4"/>
  <c r="G780" i="4"/>
  <c r="I780" i="4" s="1"/>
  <c r="H780" i="4"/>
  <c r="G779" i="4"/>
  <c r="I779" i="4" s="1"/>
  <c r="H779" i="4"/>
  <c r="G778" i="4"/>
  <c r="I778" i="4" s="1"/>
  <c r="H778" i="4"/>
  <c r="G777" i="4"/>
  <c r="I777" i="4" s="1"/>
  <c r="H777" i="4"/>
  <c r="G776" i="4"/>
  <c r="I776" i="4" s="1"/>
  <c r="H776" i="4"/>
  <c r="G775" i="4"/>
  <c r="I775" i="4" s="1"/>
  <c r="H775" i="4"/>
  <c r="G774" i="4"/>
  <c r="I774" i="4" s="1"/>
  <c r="H774" i="4"/>
  <c r="G773" i="4"/>
  <c r="I773" i="4" s="1"/>
  <c r="H773" i="4"/>
  <c r="G772" i="4"/>
  <c r="I772" i="4" s="1"/>
  <c r="H772" i="4"/>
  <c r="G771" i="4"/>
  <c r="I771" i="4" s="1"/>
  <c r="H771" i="4"/>
  <c r="G770" i="4"/>
  <c r="I770" i="4" s="1"/>
  <c r="H770" i="4"/>
  <c r="G769" i="4"/>
  <c r="I769" i="4" s="1"/>
  <c r="H769" i="4"/>
  <c r="G768" i="4"/>
  <c r="I768" i="4" s="1"/>
  <c r="H768" i="4"/>
  <c r="G767" i="4"/>
  <c r="I767" i="4" s="1"/>
  <c r="H767" i="4"/>
  <c r="G766" i="4"/>
  <c r="I766" i="4" s="1"/>
  <c r="H766" i="4"/>
  <c r="G765" i="4"/>
  <c r="I765" i="4" s="1"/>
  <c r="H765" i="4"/>
  <c r="G764" i="4"/>
  <c r="I764" i="4" s="1"/>
  <c r="H764" i="4"/>
  <c r="G763" i="4"/>
  <c r="I763" i="4" s="1"/>
  <c r="H763" i="4"/>
  <c r="G762" i="4"/>
  <c r="I762" i="4" s="1"/>
  <c r="H762" i="4"/>
  <c r="G761" i="4"/>
  <c r="I761" i="4" s="1"/>
  <c r="H761" i="4"/>
  <c r="G760" i="4"/>
  <c r="I760" i="4" s="1"/>
  <c r="H760" i="4"/>
  <c r="G759" i="4"/>
  <c r="I759" i="4" s="1"/>
  <c r="H759" i="4"/>
  <c r="G758" i="4"/>
  <c r="I758" i="4" s="1"/>
  <c r="H758" i="4"/>
  <c r="G757" i="4"/>
  <c r="I757" i="4" s="1"/>
  <c r="H757" i="4"/>
  <c r="G756" i="4"/>
  <c r="I756" i="4" s="1"/>
  <c r="H756" i="4"/>
  <c r="G755" i="4"/>
  <c r="I755" i="4" s="1"/>
  <c r="H755" i="4"/>
  <c r="G754" i="4"/>
  <c r="I754" i="4" s="1"/>
  <c r="H754" i="4"/>
  <c r="G753" i="4"/>
  <c r="I753" i="4" s="1"/>
  <c r="H753" i="4"/>
  <c r="G752" i="4"/>
  <c r="H752" i="4"/>
  <c r="G750" i="4"/>
  <c r="I750" i="4" s="1"/>
  <c r="H750" i="4"/>
  <c r="G749" i="4"/>
  <c r="I749" i="4" s="1"/>
  <c r="H749" i="4"/>
  <c r="G748" i="4"/>
  <c r="I748" i="4" s="1"/>
  <c r="H748" i="4"/>
  <c r="G747" i="4"/>
  <c r="I747" i="4" s="1"/>
  <c r="H747" i="4"/>
  <c r="G746" i="4"/>
  <c r="I746" i="4" s="1"/>
  <c r="H746" i="4"/>
  <c r="G745" i="4"/>
  <c r="I745" i="4" s="1"/>
  <c r="H745" i="4"/>
  <c r="G744" i="4"/>
  <c r="I744" i="4" s="1"/>
  <c r="H744" i="4"/>
  <c r="G743" i="4"/>
  <c r="I743" i="4" s="1"/>
  <c r="H743" i="4"/>
  <c r="G742" i="4"/>
  <c r="I742" i="4" s="1"/>
  <c r="H742" i="4"/>
  <c r="G741" i="4"/>
  <c r="I741" i="4" s="1"/>
  <c r="H741" i="4"/>
  <c r="G740" i="4"/>
  <c r="I740" i="4" s="1"/>
  <c r="H740" i="4"/>
  <c r="G739" i="4"/>
  <c r="I739" i="4" s="1"/>
  <c r="H739" i="4"/>
  <c r="G738" i="4"/>
  <c r="I738" i="4" s="1"/>
  <c r="H738" i="4"/>
  <c r="G737" i="4"/>
  <c r="I737" i="4" s="1"/>
  <c r="H737" i="4"/>
  <c r="G736" i="4"/>
  <c r="I736" i="4" s="1"/>
  <c r="H736" i="4"/>
  <c r="G735" i="4"/>
  <c r="I735" i="4" s="1"/>
  <c r="H735" i="4"/>
  <c r="G734" i="4"/>
  <c r="I734" i="4" s="1"/>
  <c r="H734" i="4"/>
  <c r="G733" i="4"/>
  <c r="I733" i="4" s="1"/>
  <c r="H733" i="4"/>
  <c r="G732" i="4"/>
  <c r="I732" i="4" s="1"/>
  <c r="H732" i="4"/>
  <c r="G731" i="4"/>
  <c r="I731" i="4" s="1"/>
  <c r="H731" i="4"/>
  <c r="G730" i="4"/>
  <c r="I730" i="4" s="1"/>
  <c r="H730" i="4"/>
  <c r="G729" i="4"/>
  <c r="I729" i="4" s="1"/>
  <c r="H729" i="4"/>
  <c r="G728" i="4"/>
  <c r="I728" i="4" s="1"/>
  <c r="H728" i="4"/>
  <c r="G727" i="4"/>
  <c r="I727" i="4" s="1"/>
  <c r="H727" i="4"/>
  <c r="G726" i="4"/>
  <c r="I726" i="4" s="1"/>
  <c r="H726" i="4"/>
  <c r="G725" i="4"/>
  <c r="I725" i="4" s="1"/>
  <c r="H725" i="4"/>
  <c r="G724" i="4"/>
  <c r="I724" i="4" s="1"/>
  <c r="H724" i="4"/>
  <c r="G723" i="4"/>
  <c r="I723" i="4" s="1"/>
  <c r="H723" i="4"/>
  <c r="G722" i="4"/>
  <c r="I722" i="4" s="1"/>
  <c r="H722" i="4"/>
  <c r="G721" i="4"/>
  <c r="I721" i="4" s="1"/>
  <c r="H721" i="4"/>
  <c r="G720" i="4"/>
  <c r="I720" i="4" s="1"/>
  <c r="H720" i="4"/>
  <c r="G719" i="4"/>
  <c r="I719" i="4" s="1"/>
  <c r="H719" i="4"/>
  <c r="G718" i="4"/>
  <c r="I718" i="4" s="1"/>
  <c r="H718" i="4"/>
  <c r="G717" i="4"/>
  <c r="I717" i="4" s="1"/>
  <c r="H717" i="4"/>
  <c r="G716" i="4"/>
  <c r="I716" i="4" s="1"/>
  <c r="H716" i="4"/>
  <c r="G715" i="4"/>
  <c r="I715" i="4" s="1"/>
  <c r="H715" i="4"/>
  <c r="G714" i="4"/>
  <c r="I714" i="4" s="1"/>
  <c r="H714" i="4"/>
  <c r="G713" i="4"/>
  <c r="I713" i="4" s="1"/>
  <c r="H713" i="4"/>
  <c r="G712" i="4"/>
  <c r="I712" i="4" s="1"/>
  <c r="H712" i="4"/>
  <c r="G711" i="4"/>
  <c r="I711" i="4" s="1"/>
  <c r="H711" i="4"/>
  <c r="G710" i="4"/>
  <c r="I710" i="4" s="1"/>
  <c r="H710" i="4"/>
  <c r="G709" i="4"/>
  <c r="I709" i="4" s="1"/>
  <c r="H709" i="4"/>
  <c r="G708" i="4"/>
  <c r="I708" i="4" s="1"/>
  <c r="H708" i="4"/>
  <c r="G707" i="4"/>
  <c r="I707" i="4" s="1"/>
  <c r="H707" i="4"/>
  <c r="G706" i="4"/>
  <c r="I706" i="4" s="1"/>
  <c r="H706" i="4"/>
  <c r="G705" i="4"/>
  <c r="I705" i="4" s="1"/>
  <c r="H705" i="4"/>
  <c r="G704" i="4"/>
  <c r="I704" i="4" s="1"/>
  <c r="H704" i="4"/>
  <c r="G703" i="4"/>
  <c r="I703" i="4" s="1"/>
  <c r="H703" i="4"/>
  <c r="G702" i="4"/>
  <c r="I702" i="4" s="1"/>
  <c r="H702" i="4"/>
  <c r="G701" i="4"/>
  <c r="I701" i="4" s="1"/>
  <c r="H701" i="4"/>
  <c r="G700" i="4"/>
  <c r="I700" i="4" s="1"/>
  <c r="H700" i="4"/>
  <c r="G699" i="4"/>
  <c r="I699" i="4" s="1"/>
  <c r="H699" i="4"/>
  <c r="G698" i="4"/>
  <c r="I698" i="4" s="1"/>
  <c r="H698" i="4"/>
  <c r="G697" i="4"/>
  <c r="I697" i="4" s="1"/>
  <c r="H697" i="4"/>
  <c r="G696" i="4"/>
  <c r="I696" i="4" s="1"/>
  <c r="H696" i="4"/>
  <c r="G695" i="4"/>
  <c r="I695" i="4" s="1"/>
  <c r="H695" i="4"/>
  <c r="G694" i="4"/>
  <c r="I694" i="4" s="1"/>
  <c r="H694" i="4"/>
  <c r="G693" i="4"/>
  <c r="I693" i="4" s="1"/>
  <c r="H693" i="4"/>
  <c r="G692" i="4"/>
  <c r="I692" i="4" s="1"/>
  <c r="H692" i="4"/>
  <c r="G691" i="4"/>
  <c r="I691" i="4" s="1"/>
  <c r="H691" i="4"/>
  <c r="G690" i="4"/>
  <c r="I690" i="4" s="1"/>
  <c r="H690" i="4"/>
  <c r="G689" i="4"/>
  <c r="I689" i="4" s="1"/>
  <c r="H689" i="4"/>
  <c r="G688" i="4"/>
  <c r="I688" i="4" s="1"/>
  <c r="H688" i="4"/>
  <c r="G687" i="4"/>
  <c r="I687" i="4" s="1"/>
  <c r="H687" i="4"/>
  <c r="G686" i="4"/>
  <c r="I686" i="4" s="1"/>
  <c r="H686" i="4"/>
  <c r="G685" i="4"/>
  <c r="I685" i="4" s="1"/>
  <c r="H685" i="4"/>
  <c r="G684" i="4"/>
  <c r="I684" i="4" s="1"/>
  <c r="H684" i="4"/>
  <c r="G683" i="4"/>
  <c r="I683" i="4" s="1"/>
  <c r="H683" i="4"/>
  <c r="G682" i="4"/>
  <c r="I682" i="4" s="1"/>
  <c r="H682" i="4"/>
  <c r="G681" i="4"/>
  <c r="I681" i="4" s="1"/>
  <c r="H681" i="4"/>
  <c r="G680" i="4"/>
  <c r="I680" i="4" s="1"/>
  <c r="H680" i="4"/>
  <c r="G679" i="4"/>
  <c r="I679" i="4" s="1"/>
  <c r="H679" i="4"/>
  <c r="G678" i="4"/>
  <c r="I678" i="4" s="1"/>
  <c r="H678" i="4"/>
  <c r="G677" i="4"/>
  <c r="I677" i="4" s="1"/>
  <c r="H677" i="4"/>
  <c r="G676" i="4"/>
  <c r="I676" i="4" s="1"/>
  <c r="H676" i="4"/>
  <c r="G675" i="4"/>
  <c r="I675" i="4" s="1"/>
  <c r="H675" i="4"/>
  <c r="G674" i="4"/>
  <c r="I674" i="4" s="1"/>
  <c r="H674" i="4"/>
  <c r="G673" i="4"/>
  <c r="I673" i="4" s="1"/>
  <c r="H673" i="4"/>
  <c r="G672" i="4"/>
  <c r="I672" i="4" s="1"/>
  <c r="H672" i="4"/>
  <c r="G671" i="4"/>
  <c r="I671" i="4" s="1"/>
  <c r="H671" i="4"/>
  <c r="G670" i="4"/>
  <c r="I670" i="4" s="1"/>
  <c r="H670" i="4"/>
  <c r="G669" i="4"/>
  <c r="I669" i="4" s="1"/>
  <c r="H669" i="4"/>
  <c r="G668" i="4"/>
  <c r="I668" i="4" s="1"/>
  <c r="H668" i="4"/>
  <c r="G667" i="4"/>
  <c r="I667" i="4" s="1"/>
  <c r="H667" i="4"/>
  <c r="G666" i="4"/>
  <c r="I666" i="4" s="1"/>
  <c r="H666" i="4"/>
  <c r="G665" i="4"/>
  <c r="I665" i="4" s="1"/>
  <c r="H665" i="4"/>
  <c r="G664" i="4"/>
  <c r="I664" i="4" s="1"/>
  <c r="H664" i="4"/>
  <c r="G663" i="4"/>
  <c r="I663" i="4" s="1"/>
  <c r="H663" i="4"/>
  <c r="G662" i="4"/>
  <c r="I662" i="4" s="1"/>
  <c r="H662" i="4"/>
  <c r="G661" i="4"/>
  <c r="I661" i="4" s="1"/>
  <c r="H661" i="4"/>
  <c r="G660" i="4"/>
  <c r="I660" i="4" s="1"/>
  <c r="H660" i="4"/>
  <c r="G659" i="4"/>
  <c r="I659" i="4" s="1"/>
  <c r="H659" i="4"/>
  <c r="G658" i="4"/>
  <c r="I658" i="4" s="1"/>
  <c r="H658" i="4"/>
  <c r="G657" i="4"/>
  <c r="I657" i="4" s="1"/>
  <c r="H657" i="4"/>
  <c r="G656" i="4"/>
  <c r="I656" i="4" s="1"/>
  <c r="H656" i="4"/>
  <c r="G655" i="4"/>
  <c r="I655" i="4" s="1"/>
  <c r="H655" i="4"/>
  <c r="G654" i="4"/>
  <c r="I654" i="4" s="1"/>
  <c r="H654" i="4"/>
  <c r="G653" i="4"/>
  <c r="I653" i="4" s="1"/>
  <c r="H653" i="4"/>
  <c r="G652" i="4"/>
  <c r="I652" i="4" s="1"/>
  <c r="H652" i="4"/>
  <c r="G651" i="4"/>
  <c r="I651" i="4" s="1"/>
  <c r="H651" i="4"/>
  <c r="G650" i="4"/>
  <c r="I650" i="4" s="1"/>
  <c r="H650" i="4"/>
  <c r="G649" i="4"/>
  <c r="I649" i="4" s="1"/>
  <c r="H649" i="4"/>
  <c r="G648" i="4"/>
  <c r="I648" i="4" s="1"/>
  <c r="H648" i="4"/>
  <c r="G647" i="4"/>
  <c r="I647" i="4" s="1"/>
  <c r="H647" i="4"/>
  <c r="G646" i="4"/>
  <c r="I646" i="4" s="1"/>
  <c r="H646" i="4"/>
  <c r="G645" i="4"/>
  <c r="I645" i="4" s="1"/>
  <c r="H645" i="4"/>
  <c r="G644" i="4"/>
  <c r="I644" i="4" s="1"/>
  <c r="H644" i="4"/>
  <c r="G643" i="4"/>
  <c r="I643" i="4" s="1"/>
  <c r="H643" i="4"/>
  <c r="G642" i="4"/>
  <c r="I642" i="4" s="1"/>
  <c r="H642" i="4"/>
  <c r="G641" i="4"/>
  <c r="I641" i="4" s="1"/>
  <c r="H641" i="4"/>
  <c r="G640" i="4"/>
  <c r="I640" i="4" s="1"/>
  <c r="H640" i="4"/>
  <c r="G639" i="4"/>
  <c r="I639" i="4" s="1"/>
  <c r="H639" i="4"/>
  <c r="G638" i="4"/>
  <c r="I638" i="4" s="1"/>
  <c r="H638" i="4"/>
  <c r="G637" i="4"/>
  <c r="I637" i="4" s="1"/>
  <c r="H637" i="4"/>
  <c r="G636" i="4"/>
  <c r="I636" i="4" s="1"/>
  <c r="H636" i="4"/>
  <c r="G635" i="4"/>
  <c r="I635" i="4" s="1"/>
  <c r="H635" i="4"/>
  <c r="G634" i="4"/>
  <c r="I634" i="4" s="1"/>
  <c r="H634" i="4"/>
  <c r="G633" i="4"/>
  <c r="I633" i="4" s="1"/>
  <c r="H633" i="4"/>
  <c r="G632" i="4"/>
  <c r="I632" i="4" s="1"/>
  <c r="H632" i="4"/>
  <c r="G631" i="4"/>
  <c r="I631" i="4" s="1"/>
  <c r="H631" i="4"/>
  <c r="G630" i="4"/>
  <c r="I630" i="4" s="1"/>
  <c r="H630" i="4"/>
  <c r="G629" i="4"/>
  <c r="I629" i="4" s="1"/>
  <c r="H629" i="4"/>
  <c r="G628" i="4"/>
  <c r="I628" i="4" s="1"/>
  <c r="H628" i="4"/>
  <c r="G627" i="4"/>
  <c r="I627" i="4" s="1"/>
  <c r="H627" i="4"/>
  <c r="G626" i="4"/>
  <c r="I626" i="4" s="1"/>
  <c r="H626" i="4"/>
  <c r="G625" i="4"/>
  <c r="I625" i="4" s="1"/>
  <c r="H625" i="4"/>
  <c r="G624" i="4"/>
  <c r="I624" i="4" s="1"/>
  <c r="H624" i="4"/>
  <c r="G623" i="4"/>
  <c r="I623" i="4" s="1"/>
  <c r="H623" i="4"/>
  <c r="G622" i="4"/>
  <c r="I622" i="4" s="1"/>
  <c r="H622" i="4"/>
  <c r="G621" i="4"/>
  <c r="I621" i="4" s="1"/>
  <c r="H621" i="4"/>
  <c r="G620" i="4"/>
  <c r="I620" i="4" s="1"/>
  <c r="H620" i="4"/>
  <c r="G619" i="4"/>
  <c r="I619" i="4" s="1"/>
  <c r="H619" i="4"/>
  <c r="G618" i="4"/>
  <c r="I618" i="4" s="1"/>
  <c r="H618" i="4"/>
  <c r="G617" i="4"/>
  <c r="I617" i="4" s="1"/>
  <c r="H617" i="4"/>
  <c r="G616" i="4"/>
  <c r="I616" i="4" s="1"/>
  <c r="H616" i="4"/>
  <c r="G615" i="4"/>
  <c r="I615" i="4" s="1"/>
  <c r="H615" i="4"/>
  <c r="G614" i="4"/>
  <c r="I614" i="4" s="1"/>
  <c r="H614" i="4"/>
  <c r="G613" i="4"/>
  <c r="I613" i="4" s="1"/>
  <c r="H613" i="4"/>
  <c r="G612" i="4"/>
  <c r="I612" i="4" s="1"/>
  <c r="H612" i="4"/>
  <c r="G611" i="4"/>
  <c r="I611" i="4" s="1"/>
  <c r="H611" i="4"/>
  <c r="G610" i="4"/>
  <c r="I610" i="4" s="1"/>
  <c r="H610" i="4"/>
  <c r="G609" i="4"/>
  <c r="I609" i="4" s="1"/>
  <c r="H609" i="4"/>
  <c r="G608" i="4"/>
  <c r="I608" i="4" s="1"/>
  <c r="H608" i="4"/>
  <c r="G607" i="4"/>
  <c r="I607" i="4" s="1"/>
  <c r="H607" i="4"/>
  <c r="G606" i="4"/>
  <c r="I606" i="4" s="1"/>
  <c r="H606" i="4"/>
  <c r="G605" i="4"/>
  <c r="I605" i="4" s="1"/>
  <c r="H605" i="4"/>
  <c r="G604" i="4"/>
  <c r="I604" i="4" s="1"/>
  <c r="H604" i="4"/>
  <c r="G603" i="4"/>
  <c r="I603" i="4" s="1"/>
  <c r="H603" i="4"/>
  <c r="G602" i="4"/>
  <c r="I602" i="4" s="1"/>
  <c r="H602" i="4"/>
  <c r="G601" i="4"/>
  <c r="I601" i="4" s="1"/>
  <c r="H601" i="4"/>
  <c r="G600" i="4"/>
  <c r="I600" i="4" s="1"/>
  <c r="H600" i="4"/>
  <c r="G599" i="4"/>
  <c r="I599" i="4" s="1"/>
  <c r="H599" i="4"/>
  <c r="G598" i="4"/>
  <c r="I598" i="4" s="1"/>
  <c r="H598" i="4"/>
  <c r="G597" i="4"/>
  <c r="I597" i="4" s="1"/>
  <c r="H597" i="4"/>
  <c r="G596" i="4"/>
  <c r="I596" i="4" s="1"/>
  <c r="H596" i="4"/>
  <c r="G595" i="4"/>
  <c r="I595" i="4" s="1"/>
  <c r="H595" i="4"/>
  <c r="G594" i="4"/>
  <c r="I594" i="4" s="1"/>
  <c r="H594" i="4"/>
  <c r="G593" i="4"/>
  <c r="I593" i="4" s="1"/>
  <c r="H593" i="4"/>
  <c r="G592" i="4"/>
  <c r="I592" i="4" s="1"/>
  <c r="H592" i="4"/>
  <c r="G591" i="4"/>
  <c r="I591" i="4" s="1"/>
  <c r="H591" i="4"/>
  <c r="G590" i="4"/>
  <c r="I590" i="4" s="1"/>
  <c r="H590" i="4"/>
  <c r="G589" i="4"/>
  <c r="I589" i="4" s="1"/>
  <c r="H589" i="4"/>
  <c r="G588" i="4"/>
  <c r="I588" i="4" s="1"/>
  <c r="H588" i="4"/>
  <c r="G587" i="4"/>
  <c r="I587" i="4" s="1"/>
  <c r="H587" i="4"/>
  <c r="G586" i="4"/>
  <c r="I586" i="4" s="1"/>
  <c r="H586" i="4"/>
  <c r="G585" i="4"/>
  <c r="I585" i="4" s="1"/>
  <c r="H585" i="4"/>
  <c r="G584" i="4"/>
  <c r="I584" i="4" s="1"/>
  <c r="H584" i="4"/>
  <c r="G583" i="4"/>
  <c r="I583" i="4" s="1"/>
  <c r="H583" i="4"/>
  <c r="G582" i="4"/>
  <c r="I582" i="4" s="1"/>
  <c r="H582" i="4"/>
  <c r="G581" i="4"/>
  <c r="I581" i="4" s="1"/>
  <c r="H581" i="4"/>
  <c r="G580" i="4"/>
  <c r="I580" i="4" s="1"/>
  <c r="H580" i="4"/>
  <c r="G579" i="4"/>
  <c r="I579" i="4" s="1"/>
  <c r="H579" i="4"/>
  <c r="G578" i="4"/>
  <c r="I578" i="4" s="1"/>
  <c r="H578" i="4"/>
  <c r="G577" i="4"/>
  <c r="I577" i="4" s="1"/>
  <c r="H577" i="4"/>
  <c r="G576" i="4"/>
  <c r="I576" i="4" s="1"/>
  <c r="H576" i="4"/>
  <c r="G575" i="4"/>
  <c r="I575" i="4" s="1"/>
  <c r="H575" i="4"/>
  <c r="G574" i="4"/>
  <c r="I574" i="4" s="1"/>
  <c r="H574" i="4"/>
  <c r="G573" i="4"/>
  <c r="I573" i="4" s="1"/>
  <c r="H573" i="4"/>
  <c r="G572" i="4"/>
  <c r="I572" i="4" s="1"/>
  <c r="H572" i="4"/>
  <c r="G571" i="4"/>
  <c r="I571" i="4" s="1"/>
  <c r="H571" i="4"/>
  <c r="G570" i="4"/>
  <c r="I570" i="4" s="1"/>
  <c r="H570" i="4"/>
  <c r="G569" i="4"/>
  <c r="I569" i="4" s="1"/>
  <c r="H569" i="4"/>
  <c r="G568" i="4"/>
  <c r="I568" i="4" s="1"/>
  <c r="H568" i="4"/>
  <c r="G567" i="4"/>
  <c r="I567" i="4" s="1"/>
  <c r="H567" i="4"/>
  <c r="G566" i="4"/>
  <c r="I566" i="4" s="1"/>
  <c r="H566" i="4"/>
  <c r="G565" i="4"/>
  <c r="I565" i="4" s="1"/>
  <c r="H565" i="4"/>
  <c r="G564" i="4"/>
  <c r="I564" i="4" s="1"/>
  <c r="H564" i="4"/>
  <c r="G563" i="4"/>
  <c r="I563" i="4" s="1"/>
  <c r="H563" i="4"/>
  <c r="G562" i="4"/>
  <c r="I562" i="4" s="1"/>
  <c r="H562" i="4"/>
  <c r="G561" i="4"/>
  <c r="I561" i="4" s="1"/>
  <c r="H561" i="4"/>
  <c r="G560" i="4"/>
  <c r="I560" i="4" s="1"/>
  <c r="H560" i="4"/>
  <c r="G559" i="4"/>
  <c r="I559" i="4" s="1"/>
  <c r="H559" i="4"/>
  <c r="G558" i="4"/>
  <c r="I558" i="4" s="1"/>
  <c r="H558" i="4"/>
  <c r="G557" i="4"/>
  <c r="I557" i="4" s="1"/>
  <c r="H557" i="4"/>
  <c r="G556" i="4"/>
  <c r="I556" i="4" s="1"/>
  <c r="H556" i="4"/>
  <c r="G555" i="4"/>
  <c r="I555" i="4" s="1"/>
  <c r="H555" i="4"/>
  <c r="G554" i="4"/>
  <c r="I554" i="4" s="1"/>
  <c r="H554" i="4"/>
  <c r="G553" i="4"/>
  <c r="I553" i="4" s="1"/>
  <c r="H553" i="4"/>
  <c r="G552" i="4"/>
  <c r="I552" i="4" s="1"/>
  <c r="H552" i="4"/>
  <c r="G551" i="4"/>
  <c r="I551" i="4" s="1"/>
  <c r="H551" i="4"/>
  <c r="G550" i="4"/>
  <c r="I550" i="4" s="1"/>
  <c r="H550" i="4"/>
  <c r="G549" i="4"/>
  <c r="I549" i="4" s="1"/>
  <c r="H549" i="4"/>
  <c r="G548" i="4"/>
  <c r="I548" i="4" s="1"/>
  <c r="H548" i="4"/>
  <c r="G547" i="4"/>
  <c r="I547" i="4" s="1"/>
  <c r="H547" i="4"/>
  <c r="G546" i="4"/>
  <c r="I546" i="4" s="1"/>
  <c r="H546" i="4"/>
  <c r="G545" i="4"/>
  <c r="I545" i="4" s="1"/>
  <c r="H545" i="4"/>
  <c r="G544" i="4"/>
  <c r="I544" i="4" s="1"/>
  <c r="H544" i="4"/>
  <c r="G543" i="4"/>
  <c r="I543" i="4" s="1"/>
  <c r="H543" i="4"/>
  <c r="G542" i="4"/>
  <c r="I542" i="4" s="1"/>
  <c r="H542" i="4"/>
  <c r="G541" i="4"/>
  <c r="I541" i="4" s="1"/>
  <c r="H541" i="4"/>
  <c r="G540" i="4"/>
  <c r="I540" i="4" s="1"/>
  <c r="H540" i="4"/>
  <c r="G539" i="4"/>
  <c r="I539" i="4" s="1"/>
  <c r="H539" i="4"/>
  <c r="G538" i="4"/>
  <c r="I538" i="4" s="1"/>
  <c r="H538" i="4"/>
  <c r="G537" i="4"/>
  <c r="I537" i="4" s="1"/>
  <c r="H537" i="4"/>
  <c r="G536" i="4"/>
  <c r="I536" i="4" s="1"/>
  <c r="H536" i="4"/>
  <c r="G535" i="4"/>
  <c r="I535" i="4" s="1"/>
  <c r="H535" i="4"/>
  <c r="G534" i="4"/>
  <c r="I534" i="4" s="1"/>
  <c r="H534" i="4"/>
  <c r="G533" i="4"/>
  <c r="I533" i="4" s="1"/>
  <c r="H533" i="4"/>
  <c r="G532" i="4"/>
  <c r="I532" i="4" s="1"/>
  <c r="H532" i="4"/>
  <c r="G531" i="4"/>
  <c r="I531" i="4" s="1"/>
  <c r="H531" i="4"/>
  <c r="G530" i="4"/>
  <c r="I530" i="4" s="1"/>
  <c r="H530" i="4"/>
  <c r="G529" i="4"/>
  <c r="I529" i="4" s="1"/>
  <c r="H529" i="4"/>
  <c r="G528" i="4"/>
  <c r="I528" i="4" s="1"/>
  <c r="H528" i="4"/>
  <c r="G527" i="4"/>
  <c r="I527" i="4" s="1"/>
  <c r="H527" i="4"/>
  <c r="G526" i="4"/>
  <c r="I526" i="4" s="1"/>
  <c r="H526" i="4"/>
  <c r="G525" i="4"/>
  <c r="I525" i="4" s="1"/>
  <c r="H525" i="4"/>
  <c r="G524" i="4"/>
  <c r="I524" i="4" s="1"/>
  <c r="H524" i="4"/>
  <c r="G523" i="4"/>
  <c r="I523" i="4" s="1"/>
  <c r="H523" i="4"/>
  <c r="G522" i="4"/>
  <c r="I522" i="4" s="1"/>
  <c r="H522" i="4"/>
  <c r="G521" i="4"/>
  <c r="I521" i="4" s="1"/>
  <c r="H521" i="4"/>
  <c r="G520" i="4"/>
  <c r="I520" i="4" s="1"/>
  <c r="H520" i="4"/>
  <c r="G519" i="4"/>
  <c r="I519" i="4" s="1"/>
  <c r="H519" i="4"/>
  <c r="G518" i="4"/>
  <c r="I518" i="4" s="1"/>
  <c r="H518" i="4"/>
  <c r="G517" i="4"/>
  <c r="I517" i="4" s="1"/>
  <c r="H517" i="4"/>
  <c r="G516" i="4"/>
  <c r="I516" i="4" s="1"/>
  <c r="H516" i="4"/>
  <c r="G515" i="4"/>
  <c r="I515" i="4" s="1"/>
  <c r="H515" i="4"/>
  <c r="G514" i="4"/>
  <c r="I514" i="4" s="1"/>
  <c r="H514" i="4"/>
  <c r="G513" i="4"/>
  <c r="I513" i="4" s="1"/>
  <c r="H513" i="4"/>
  <c r="G512" i="4"/>
  <c r="I512" i="4" s="1"/>
  <c r="H512" i="4"/>
  <c r="G511" i="4"/>
  <c r="I511" i="4" s="1"/>
  <c r="H511" i="4"/>
  <c r="G510" i="4"/>
  <c r="I510" i="4" s="1"/>
  <c r="H510" i="4"/>
  <c r="G509" i="4"/>
  <c r="I509" i="4" s="1"/>
  <c r="H509" i="4"/>
  <c r="G508" i="4"/>
  <c r="I508" i="4" s="1"/>
  <c r="H508" i="4"/>
  <c r="G507" i="4"/>
  <c r="I507" i="4" s="1"/>
  <c r="H507" i="4"/>
  <c r="G506" i="4"/>
  <c r="I506" i="4" s="1"/>
  <c r="H506" i="4"/>
  <c r="G505" i="4"/>
  <c r="I505" i="4" s="1"/>
  <c r="H505" i="4"/>
  <c r="G504" i="4"/>
  <c r="I504" i="4" s="1"/>
  <c r="H504" i="4"/>
  <c r="G503" i="4"/>
  <c r="I503" i="4" s="1"/>
  <c r="H503" i="4"/>
  <c r="G502" i="4"/>
  <c r="I502" i="4" s="1"/>
  <c r="H502" i="4"/>
  <c r="G501" i="4"/>
  <c r="I501" i="4" s="1"/>
  <c r="H501" i="4"/>
  <c r="G500" i="4"/>
  <c r="I500" i="4" s="1"/>
  <c r="H500" i="4"/>
  <c r="G499" i="4"/>
  <c r="I499" i="4" s="1"/>
  <c r="H499" i="4"/>
  <c r="G498" i="4"/>
  <c r="I498" i="4" s="1"/>
  <c r="H498" i="4"/>
  <c r="G497" i="4"/>
  <c r="I497" i="4" s="1"/>
  <c r="H497" i="4"/>
  <c r="G496" i="4"/>
  <c r="I496" i="4" s="1"/>
  <c r="H496" i="4"/>
  <c r="G495" i="4"/>
  <c r="I495" i="4" s="1"/>
  <c r="H495" i="4"/>
  <c r="G494" i="4"/>
  <c r="I494" i="4" s="1"/>
  <c r="H494" i="4"/>
  <c r="G493" i="4"/>
  <c r="I493" i="4" s="1"/>
  <c r="H493" i="4"/>
  <c r="G492" i="4"/>
  <c r="I492" i="4" s="1"/>
  <c r="H492" i="4"/>
  <c r="G491" i="4"/>
  <c r="I491" i="4" s="1"/>
  <c r="H491" i="4"/>
  <c r="G490" i="4"/>
  <c r="I490" i="4" s="1"/>
  <c r="H490" i="4"/>
  <c r="G489" i="4"/>
  <c r="I489" i="4" s="1"/>
  <c r="H489" i="4"/>
  <c r="G488" i="4"/>
  <c r="I488" i="4" s="1"/>
  <c r="H488" i="4"/>
  <c r="G487" i="4"/>
  <c r="I487" i="4" s="1"/>
  <c r="H487" i="4"/>
  <c r="G486" i="4"/>
  <c r="I486" i="4" s="1"/>
  <c r="H486" i="4"/>
  <c r="G485" i="4"/>
  <c r="I485" i="4" s="1"/>
  <c r="H485" i="4"/>
  <c r="G484" i="4"/>
  <c r="I484" i="4" s="1"/>
  <c r="H484" i="4"/>
  <c r="G483" i="4"/>
  <c r="I483" i="4" s="1"/>
  <c r="H483" i="4"/>
  <c r="G482" i="4"/>
  <c r="I482" i="4" s="1"/>
  <c r="H482" i="4"/>
  <c r="G481" i="4"/>
  <c r="I481" i="4" s="1"/>
  <c r="H481" i="4"/>
  <c r="G480" i="4"/>
  <c r="I480" i="4" s="1"/>
  <c r="H480" i="4"/>
  <c r="G479" i="4"/>
  <c r="I479" i="4" s="1"/>
  <c r="H479" i="4"/>
  <c r="G478" i="4"/>
  <c r="I478" i="4" s="1"/>
  <c r="H478" i="4"/>
  <c r="G477" i="4"/>
  <c r="I477" i="4" s="1"/>
  <c r="H477" i="4"/>
  <c r="G476" i="4"/>
  <c r="I476" i="4" s="1"/>
  <c r="H476" i="4"/>
  <c r="G475" i="4"/>
  <c r="I475" i="4" s="1"/>
  <c r="H475" i="4"/>
  <c r="G474" i="4"/>
  <c r="I474" i="4" s="1"/>
  <c r="H474" i="4"/>
  <c r="G473" i="4"/>
  <c r="I473" i="4" s="1"/>
  <c r="H473" i="4"/>
  <c r="G472" i="4"/>
  <c r="I472" i="4" s="1"/>
  <c r="H472" i="4"/>
  <c r="G471" i="4"/>
  <c r="I471" i="4" s="1"/>
  <c r="H471" i="4"/>
  <c r="G470" i="4"/>
  <c r="I470" i="4" s="1"/>
  <c r="H470" i="4"/>
  <c r="G469" i="4"/>
  <c r="I469" i="4" s="1"/>
  <c r="H469" i="4"/>
  <c r="G468" i="4"/>
  <c r="I468" i="4" s="1"/>
  <c r="H468" i="4"/>
  <c r="G467" i="4"/>
  <c r="I467" i="4" s="1"/>
  <c r="H467" i="4"/>
  <c r="G466" i="4"/>
  <c r="I466" i="4" s="1"/>
  <c r="H466" i="4"/>
  <c r="G465" i="4"/>
  <c r="I465" i="4" s="1"/>
  <c r="H465" i="4"/>
  <c r="G464" i="4"/>
  <c r="I464" i="4" s="1"/>
  <c r="H464" i="4"/>
  <c r="G463" i="4"/>
  <c r="I463" i="4" s="1"/>
  <c r="H463" i="4"/>
  <c r="G462" i="4"/>
  <c r="I462" i="4" s="1"/>
  <c r="H462" i="4"/>
  <c r="G461" i="4"/>
  <c r="I461" i="4" s="1"/>
  <c r="H461" i="4"/>
  <c r="G460" i="4"/>
  <c r="I460" i="4" s="1"/>
  <c r="H460" i="4"/>
  <c r="G459" i="4"/>
  <c r="I459" i="4" s="1"/>
  <c r="H459" i="4"/>
  <c r="G458" i="4"/>
  <c r="I458" i="4" s="1"/>
  <c r="H458" i="4"/>
  <c r="G457" i="4"/>
  <c r="I457" i="4" s="1"/>
  <c r="H457" i="4"/>
  <c r="G456" i="4"/>
  <c r="I456" i="4" s="1"/>
  <c r="H456" i="4"/>
  <c r="G455" i="4"/>
  <c r="I455" i="4" s="1"/>
  <c r="H455" i="4"/>
  <c r="G454" i="4"/>
  <c r="I454" i="4" s="1"/>
  <c r="H454" i="4"/>
  <c r="G453" i="4"/>
  <c r="I453" i="4" s="1"/>
  <c r="H453" i="4"/>
  <c r="G452" i="4"/>
  <c r="I452" i="4" s="1"/>
  <c r="H452" i="4"/>
  <c r="G451" i="4"/>
  <c r="I451" i="4" s="1"/>
  <c r="H451" i="4"/>
  <c r="G450" i="4"/>
  <c r="I450" i="4" s="1"/>
  <c r="H450" i="4"/>
  <c r="G449" i="4"/>
  <c r="I449" i="4" s="1"/>
  <c r="H449" i="4"/>
  <c r="G448" i="4"/>
  <c r="I448" i="4" s="1"/>
  <c r="H448" i="4"/>
  <c r="G447" i="4"/>
  <c r="I447" i="4" s="1"/>
  <c r="H447" i="4"/>
  <c r="G446" i="4"/>
  <c r="I446" i="4" s="1"/>
  <c r="H446" i="4"/>
  <c r="G445" i="4"/>
  <c r="I445" i="4" s="1"/>
  <c r="H445" i="4"/>
  <c r="G444" i="4"/>
  <c r="I444" i="4" s="1"/>
  <c r="H444" i="4"/>
  <c r="G443" i="4"/>
  <c r="I443" i="4" s="1"/>
  <c r="H443" i="4"/>
  <c r="G442" i="4"/>
  <c r="I442" i="4" s="1"/>
  <c r="H442" i="4"/>
  <c r="G441" i="4"/>
  <c r="I441" i="4" s="1"/>
  <c r="H441" i="4"/>
  <c r="G440" i="4"/>
  <c r="I440" i="4" s="1"/>
  <c r="H440" i="4"/>
  <c r="G439" i="4"/>
  <c r="I439" i="4" s="1"/>
  <c r="H439" i="4"/>
  <c r="G438" i="4"/>
  <c r="I438" i="4" s="1"/>
  <c r="H438" i="4"/>
  <c r="G437" i="4"/>
  <c r="I437" i="4" s="1"/>
  <c r="H437" i="4"/>
  <c r="G436" i="4"/>
  <c r="I436" i="4" s="1"/>
  <c r="H436" i="4"/>
  <c r="G435" i="4"/>
  <c r="I435" i="4" s="1"/>
  <c r="H435" i="4"/>
  <c r="G434" i="4"/>
  <c r="I434" i="4" s="1"/>
  <c r="H434" i="4"/>
  <c r="G433" i="4"/>
  <c r="I433" i="4" s="1"/>
  <c r="H433" i="4"/>
  <c r="G432" i="4"/>
  <c r="I432" i="4" s="1"/>
  <c r="H432" i="4"/>
  <c r="G431" i="4"/>
  <c r="I431" i="4" s="1"/>
  <c r="H431" i="4"/>
  <c r="G430" i="4"/>
  <c r="I430" i="4" s="1"/>
  <c r="H430" i="4"/>
  <c r="G429" i="4"/>
  <c r="I429" i="4" s="1"/>
  <c r="H429" i="4"/>
  <c r="G428" i="4"/>
  <c r="I428" i="4" s="1"/>
  <c r="H428" i="4"/>
  <c r="G427" i="4"/>
  <c r="I427" i="4" s="1"/>
  <c r="H427" i="4"/>
  <c r="G426" i="4"/>
  <c r="I426" i="4" s="1"/>
  <c r="H426" i="4"/>
  <c r="G425" i="4"/>
  <c r="I425" i="4" s="1"/>
  <c r="H425" i="4"/>
  <c r="G424" i="4"/>
  <c r="I424" i="4" s="1"/>
  <c r="H424" i="4"/>
  <c r="G423" i="4"/>
  <c r="I423" i="4" s="1"/>
  <c r="H423" i="4"/>
  <c r="G422" i="4"/>
  <c r="I422" i="4" s="1"/>
  <c r="H422" i="4"/>
  <c r="G421" i="4"/>
  <c r="I421" i="4" s="1"/>
  <c r="H421" i="4"/>
  <c r="G420" i="4"/>
  <c r="I420" i="4" s="1"/>
  <c r="H420" i="4"/>
  <c r="G419" i="4"/>
  <c r="I419" i="4" s="1"/>
  <c r="H419" i="4"/>
  <c r="G418" i="4"/>
  <c r="I418" i="4" s="1"/>
  <c r="H418" i="4"/>
  <c r="G417" i="4"/>
  <c r="I417" i="4" s="1"/>
  <c r="H417" i="4"/>
  <c r="G416" i="4"/>
  <c r="I416" i="4" s="1"/>
  <c r="H416" i="4"/>
  <c r="G415" i="4"/>
  <c r="I415" i="4" s="1"/>
  <c r="H415" i="4"/>
  <c r="G414" i="4"/>
  <c r="I414" i="4" s="1"/>
  <c r="H414" i="4"/>
  <c r="G413" i="4"/>
  <c r="I413" i="4" s="1"/>
  <c r="H413" i="4"/>
  <c r="G412" i="4"/>
  <c r="I412" i="4" s="1"/>
  <c r="H412" i="4"/>
  <c r="G411" i="4"/>
  <c r="I411" i="4" s="1"/>
  <c r="H411" i="4"/>
  <c r="G410" i="4"/>
  <c r="I410" i="4" s="1"/>
  <c r="H410" i="4"/>
  <c r="G409" i="4"/>
  <c r="I409" i="4" s="1"/>
  <c r="H409" i="4"/>
  <c r="G408" i="4"/>
  <c r="I408" i="4" s="1"/>
  <c r="H408" i="4"/>
  <c r="G407" i="4"/>
  <c r="I407" i="4" s="1"/>
  <c r="H407" i="4"/>
  <c r="G406" i="4"/>
  <c r="I406" i="4" s="1"/>
  <c r="H406" i="4"/>
  <c r="G405" i="4"/>
  <c r="I405" i="4" s="1"/>
  <c r="H405" i="4"/>
  <c r="G404" i="4"/>
  <c r="I404" i="4" s="1"/>
  <c r="H404" i="4"/>
  <c r="G403" i="4"/>
  <c r="I403" i="4" s="1"/>
  <c r="H403" i="4"/>
  <c r="G402" i="4"/>
  <c r="I402" i="4" s="1"/>
  <c r="H402" i="4"/>
  <c r="G401" i="4"/>
  <c r="I401" i="4" s="1"/>
  <c r="H401" i="4"/>
  <c r="G400" i="4"/>
  <c r="I400" i="4" s="1"/>
  <c r="H400" i="4"/>
  <c r="G399" i="4"/>
  <c r="I399" i="4" s="1"/>
  <c r="H399" i="4"/>
  <c r="G398" i="4"/>
  <c r="I398" i="4" s="1"/>
  <c r="H398" i="4"/>
  <c r="G397" i="4"/>
  <c r="I397" i="4" s="1"/>
  <c r="H397" i="4"/>
  <c r="G396" i="4"/>
  <c r="I396" i="4" s="1"/>
  <c r="H396" i="4"/>
  <c r="G395" i="4"/>
  <c r="I395" i="4" s="1"/>
  <c r="H395" i="4"/>
  <c r="G394" i="4"/>
  <c r="I394" i="4" s="1"/>
  <c r="H394" i="4"/>
  <c r="G393" i="4"/>
  <c r="I393" i="4" s="1"/>
  <c r="H393" i="4"/>
  <c r="G392" i="4"/>
  <c r="I392" i="4" s="1"/>
  <c r="H392" i="4"/>
  <c r="G391" i="4"/>
  <c r="I391" i="4" s="1"/>
  <c r="H391" i="4"/>
  <c r="G390" i="4"/>
  <c r="I390" i="4" s="1"/>
  <c r="H390" i="4"/>
  <c r="G389" i="4"/>
  <c r="I389" i="4" s="1"/>
  <c r="H389" i="4"/>
  <c r="G388" i="4"/>
  <c r="I388" i="4" s="1"/>
  <c r="H388" i="4"/>
  <c r="G387" i="4"/>
  <c r="I387" i="4" s="1"/>
  <c r="H387" i="4"/>
  <c r="G386" i="4"/>
  <c r="I386" i="4" s="1"/>
  <c r="H386" i="4"/>
  <c r="G385" i="4"/>
  <c r="I385" i="4" s="1"/>
  <c r="H385" i="4"/>
  <c r="G384" i="4"/>
  <c r="I384" i="4" s="1"/>
  <c r="H384" i="4"/>
  <c r="G383" i="4"/>
  <c r="I383" i="4" s="1"/>
  <c r="H383" i="4"/>
  <c r="G382" i="4"/>
  <c r="I382" i="4" s="1"/>
  <c r="H382" i="4"/>
  <c r="G381" i="4"/>
  <c r="I381" i="4" s="1"/>
  <c r="H381" i="4"/>
  <c r="G380" i="4"/>
  <c r="I380" i="4" s="1"/>
  <c r="H380" i="4"/>
  <c r="G379" i="4"/>
  <c r="I379" i="4" s="1"/>
  <c r="H379" i="4"/>
  <c r="G378" i="4"/>
  <c r="I378" i="4" s="1"/>
  <c r="H378" i="4"/>
  <c r="G377" i="4"/>
  <c r="I377" i="4" s="1"/>
  <c r="H377" i="4"/>
  <c r="G376" i="4"/>
  <c r="I376" i="4" s="1"/>
  <c r="H376" i="4"/>
  <c r="G375" i="4"/>
  <c r="I375" i="4" s="1"/>
  <c r="H375" i="4"/>
  <c r="G374" i="4"/>
  <c r="I374" i="4" s="1"/>
  <c r="H374" i="4"/>
  <c r="G373" i="4"/>
  <c r="I373" i="4" s="1"/>
  <c r="H373" i="4"/>
  <c r="G372" i="4"/>
  <c r="I372" i="4" s="1"/>
  <c r="H372" i="4"/>
  <c r="G371" i="4"/>
  <c r="I371" i="4" s="1"/>
  <c r="H371" i="4"/>
  <c r="G370" i="4"/>
  <c r="I370" i="4" s="1"/>
  <c r="H370" i="4"/>
  <c r="G369" i="4"/>
  <c r="I369" i="4" s="1"/>
  <c r="H369" i="4"/>
  <c r="G368" i="4"/>
  <c r="I368" i="4" s="1"/>
  <c r="H368" i="4"/>
  <c r="G367" i="4"/>
  <c r="I367" i="4" s="1"/>
  <c r="H367" i="4"/>
  <c r="G366" i="4"/>
  <c r="I366" i="4" s="1"/>
  <c r="H366" i="4"/>
  <c r="G365" i="4"/>
  <c r="I365" i="4" s="1"/>
  <c r="H365" i="4"/>
  <c r="G364" i="4"/>
  <c r="I364" i="4" s="1"/>
  <c r="H364" i="4"/>
  <c r="G363" i="4"/>
  <c r="I363" i="4" s="1"/>
  <c r="H363" i="4"/>
  <c r="G362" i="4"/>
  <c r="I362" i="4" s="1"/>
  <c r="H362" i="4"/>
  <c r="G361" i="4"/>
  <c r="I361" i="4" s="1"/>
  <c r="H361" i="4"/>
  <c r="G360" i="4"/>
  <c r="I360" i="4" s="1"/>
  <c r="H360" i="4"/>
  <c r="G359" i="4"/>
  <c r="I359" i="4" s="1"/>
  <c r="H359" i="4"/>
  <c r="G358" i="4"/>
  <c r="I358" i="4" s="1"/>
  <c r="H358" i="4"/>
  <c r="G357" i="4"/>
  <c r="I357" i="4" s="1"/>
  <c r="H357" i="4"/>
  <c r="G356" i="4"/>
  <c r="I356" i="4" s="1"/>
  <c r="H356" i="4"/>
  <c r="G355" i="4"/>
  <c r="I355" i="4" s="1"/>
  <c r="H355" i="4"/>
  <c r="G354" i="4"/>
  <c r="I354" i="4" s="1"/>
  <c r="H354" i="4"/>
  <c r="G353" i="4"/>
  <c r="I353" i="4" s="1"/>
  <c r="H353" i="4"/>
  <c r="G352" i="4"/>
  <c r="I352" i="4" s="1"/>
  <c r="H352" i="4"/>
  <c r="G351" i="4"/>
  <c r="I351" i="4" s="1"/>
  <c r="H351" i="4"/>
  <c r="G350" i="4"/>
  <c r="I350" i="4" s="1"/>
  <c r="H350" i="4"/>
  <c r="G349" i="4"/>
  <c r="I349" i="4" s="1"/>
  <c r="H349" i="4"/>
  <c r="G348" i="4"/>
  <c r="I348" i="4" s="1"/>
  <c r="H348" i="4"/>
  <c r="G347" i="4"/>
  <c r="I347" i="4" s="1"/>
  <c r="H347" i="4"/>
  <c r="G346" i="4"/>
  <c r="I346" i="4" s="1"/>
  <c r="H346" i="4"/>
  <c r="G345" i="4"/>
  <c r="I345" i="4" s="1"/>
  <c r="H345" i="4"/>
  <c r="G344" i="4"/>
  <c r="I344" i="4" s="1"/>
  <c r="H344" i="4"/>
  <c r="G343" i="4"/>
  <c r="I343" i="4" s="1"/>
  <c r="H343" i="4"/>
  <c r="G342" i="4"/>
  <c r="I342" i="4" s="1"/>
  <c r="H342" i="4"/>
  <c r="G341" i="4"/>
  <c r="I341" i="4" s="1"/>
  <c r="H341" i="4"/>
  <c r="G340" i="4"/>
  <c r="I340" i="4" s="1"/>
  <c r="H340" i="4"/>
  <c r="G339" i="4"/>
  <c r="I339" i="4" s="1"/>
  <c r="H339" i="4"/>
  <c r="G338" i="4"/>
  <c r="I338" i="4" s="1"/>
  <c r="H338" i="4"/>
  <c r="G337" i="4"/>
  <c r="I337" i="4" s="1"/>
  <c r="H337" i="4"/>
  <c r="G336" i="4"/>
  <c r="I336" i="4" s="1"/>
  <c r="H336" i="4"/>
  <c r="G335" i="4"/>
  <c r="I335" i="4" s="1"/>
  <c r="H335" i="4"/>
  <c r="G334" i="4"/>
  <c r="I334" i="4" s="1"/>
  <c r="H334" i="4"/>
  <c r="G333" i="4"/>
  <c r="I333" i="4" s="1"/>
  <c r="H333" i="4"/>
  <c r="G332" i="4"/>
  <c r="I332" i="4" s="1"/>
  <c r="H332" i="4"/>
  <c r="G331" i="4"/>
  <c r="I331" i="4" s="1"/>
  <c r="H331" i="4"/>
  <c r="G330" i="4"/>
  <c r="I330" i="4" s="1"/>
  <c r="H330" i="4"/>
  <c r="G329" i="4"/>
  <c r="I329" i="4" s="1"/>
  <c r="H329" i="4"/>
  <c r="G328" i="4"/>
  <c r="I328" i="4" s="1"/>
  <c r="H328" i="4"/>
  <c r="G327" i="4"/>
  <c r="I327" i="4" s="1"/>
  <c r="H327" i="4"/>
  <c r="G326" i="4"/>
  <c r="I326" i="4" s="1"/>
  <c r="H326" i="4"/>
  <c r="G325" i="4"/>
  <c r="I325" i="4" s="1"/>
  <c r="H325" i="4"/>
  <c r="G324" i="4"/>
  <c r="I324" i="4" s="1"/>
  <c r="H324" i="4"/>
  <c r="G323" i="4"/>
  <c r="I323" i="4" s="1"/>
  <c r="H323" i="4"/>
  <c r="G322" i="4"/>
  <c r="I322" i="4" s="1"/>
  <c r="H322" i="4"/>
  <c r="G321" i="4"/>
  <c r="I321" i="4" s="1"/>
  <c r="H321" i="4"/>
  <c r="G320" i="4"/>
  <c r="I320" i="4" s="1"/>
  <c r="H320" i="4"/>
  <c r="G319" i="4"/>
  <c r="I319" i="4" s="1"/>
  <c r="H319" i="4"/>
  <c r="G318" i="4"/>
  <c r="I318" i="4" s="1"/>
  <c r="H318" i="4"/>
  <c r="G317" i="4"/>
  <c r="I317" i="4" s="1"/>
  <c r="H317" i="4"/>
  <c r="G316" i="4"/>
  <c r="I316" i="4" s="1"/>
  <c r="H316" i="4"/>
  <c r="G315" i="4"/>
  <c r="I315" i="4" s="1"/>
  <c r="H315" i="4"/>
  <c r="G314" i="4"/>
  <c r="I314" i="4" s="1"/>
  <c r="H314" i="4"/>
  <c r="G313" i="4"/>
  <c r="I313" i="4" s="1"/>
  <c r="H313" i="4"/>
  <c r="G312" i="4"/>
  <c r="I312" i="4" s="1"/>
  <c r="H312" i="4"/>
  <c r="G311" i="4"/>
  <c r="I311" i="4" s="1"/>
  <c r="H311" i="4"/>
  <c r="G310" i="4"/>
  <c r="I310" i="4" s="1"/>
  <c r="H310" i="4"/>
  <c r="G309" i="4"/>
  <c r="I309" i="4" s="1"/>
  <c r="H309" i="4"/>
  <c r="G308" i="4"/>
  <c r="I308" i="4" s="1"/>
  <c r="H308" i="4"/>
  <c r="G307" i="4"/>
  <c r="I307" i="4" s="1"/>
  <c r="H307" i="4"/>
  <c r="G306" i="4"/>
  <c r="I306" i="4" s="1"/>
  <c r="H306" i="4"/>
  <c r="G305" i="4"/>
  <c r="I305" i="4" s="1"/>
  <c r="H305" i="4"/>
  <c r="G304" i="4"/>
  <c r="I304" i="4" s="1"/>
  <c r="H304" i="4"/>
  <c r="G303" i="4"/>
  <c r="I303" i="4" s="1"/>
  <c r="H303" i="4"/>
  <c r="G302" i="4"/>
  <c r="I302" i="4" s="1"/>
  <c r="H302" i="4"/>
  <c r="G301" i="4"/>
  <c r="I301" i="4" s="1"/>
  <c r="H301" i="4"/>
  <c r="G300" i="4"/>
  <c r="I300" i="4" s="1"/>
  <c r="H300" i="4"/>
  <c r="G299" i="4"/>
  <c r="I299" i="4" s="1"/>
  <c r="H299" i="4"/>
  <c r="G298" i="4"/>
  <c r="I298" i="4" s="1"/>
  <c r="H298" i="4"/>
  <c r="G297" i="4"/>
  <c r="I297" i="4" s="1"/>
  <c r="H297" i="4"/>
  <c r="G296" i="4"/>
  <c r="I296" i="4" s="1"/>
  <c r="H296" i="4"/>
  <c r="G295" i="4"/>
  <c r="I295" i="4" s="1"/>
  <c r="H295" i="4"/>
  <c r="G294" i="4"/>
  <c r="I294" i="4" s="1"/>
  <c r="H294" i="4"/>
  <c r="G293" i="4"/>
  <c r="I293" i="4" s="1"/>
  <c r="H293" i="4"/>
  <c r="G292" i="4"/>
  <c r="I292" i="4" s="1"/>
  <c r="H292" i="4"/>
  <c r="G291" i="4"/>
  <c r="I291" i="4" s="1"/>
  <c r="H291" i="4"/>
  <c r="G290" i="4"/>
  <c r="I290" i="4" s="1"/>
  <c r="H290" i="4"/>
  <c r="G289" i="4"/>
  <c r="I289" i="4" s="1"/>
  <c r="H289" i="4"/>
  <c r="G288" i="4"/>
  <c r="I288" i="4" s="1"/>
  <c r="H288" i="4"/>
  <c r="G287" i="4"/>
  <c r="I287" i="4" s="1"/>
  <c r="H287" i="4"/>
  <c r="G286" i="4"/>
  <c r="I286" i="4" s="1"/>
  <c r="H286" i="4"/>
  <c r="G285" i="4"/>
  <c r="I285" i="4" s="1"/>
  <c r="H285" i="4"/>
  <c r="G284" i="4"/>
  <c r="I284" i="4" s="1"/>
  <c r="H284" i="4"/>
  <c r="G283" i="4"/>
  <c r="I283" i="4" s="1"/>
  <c r="H283" i="4"/>
  <c r="G282" i="4"/>
  <c r="I282" i="4" s="1"/>
  <c r="H282" i="4"/>
  <c r="G281" i="4"/>
  <c r="I281" i="4" s="1"/>
  <c r="H281" i="4"/>
  <c r="G280" i="4"/>
  <c r="I280" i="4" s="1"/>
  <c r="H280" i="4"/>
  <c r="G279" i="4"/>
  <c r="I279" i="4" s="1"/>
  <c r="H279" i="4"/>
  <c r="G278" i="4"/>
  <c r="I278" i="4" s="1"/>
  <c r="H278" i="4"/>
  <c r="G277" i="4"/>
  <c r="I277" i="4" s="1"/>
  <c r="H277" i="4"/>
  <c r="G276" i="4"/>
  <c r="I276" i="4" s="1"/>
  <c r="H276" i="4"/>
  <c r="G275" i="4"/>
  <c r="I275" i="4" s="1"/>
  <c r="H275" i="4"/>
  <c r="G274" i="4"/>
  <c r="I274" i="4" s="1"/>
  <c r="H274" i="4"/>
  <c r="G273" i="4"/>
  <c r="I273" i="4" s="1"/>
  <c r="H273" i="4"/>
  <c r="G272" i="4"/>
  <c r="I272" i="4" s="1"/>
  <c r="H272" i="4"/>
  <c r="G271" i="4"/>
  <c r="I271" i="4" s="1"/>
  <c r="H271" i="4"/>
  <c r="G270" i="4"/>
  <c r="I270" i="4" s="1"/>
  <c r="H270" i="4"/>
  <c r="G269" i="4"/>
  <c r="I269" i="4" s="1"/>
  <c r="H269" i="4"/>
  <c r="G268" i="4"/>
  <c r="I268" i="4" s="1"/>
  <c r="H268" i="4"/>
  <c r="G267" i="4"/>
  <c r="I267" i="4" s="1"/>
  <c r="H267" i="4"/>
  <c r="G266" i="4"/>
  <c r="I266" i="4" s="1"/>
  <c r="H266" i="4"/>
  <c r="G265" i="4"/>
  <c r="I265" i="4" s="1"/>
  <c r="H265" i="4"/>
  <c r="G264" i="4"/>
  <c r="I264" i="4" s="1"/>
  <c r="H264" i="4"/>
  <c r="G263" i="4"/>
  <c r="I263" i="4" s="1"/>
  <c r="H263" i="4"/>
  <c r="G262" i="4"/>
  <c r="I262" i="4" s="1"/>
  <c r="H262" i="4"/>
  <c r="G261" i="4"/>
  <c r="I261" i="4" s="1"/>
  <c r="H261" i="4"/>
  <c r="G260" i="4"/>
  <c r="I260" i="4" s="1"/>
  <c r="H260" i="4"/>
  <c r="G259" i="4"/>
  <c r="I259" i="4" s="1"/>
  <c r="H259" i="4"/>
  <c r="G258" i="4"/>
  <c r="I258" i="4" s="1"/>
  <c r="H258" i="4"/>
  <c r="G257" i="4"/>
  <c r="I257" i="4" s="1"/>
  <c r="H257" i="4"/>
  <c r="G256" i="4"/>
  <c r="I256" i="4" s="1"/>
  <c r="H256" i="4"/>
  <c r="G255" i="4"/>
  <c r="I255" i="4" s="1"/>
  <c r="H255" i="4"/>
  <c r="G254" i="4"/>
  <c r="I254" i="4" s="1"/>
  <c r="H254" i="4"/>
  <c r="G253" i="4"/>
  <c r="I253" i="4" s="1"/>
  <c r="H253" i="4"/>
  <c r="G252" i="4"/>
  <c r="I252" i="4" s="1"/>
  <c r="H252" i="4"/>
  <c r="G251" i="4"/>
  <c r="I251" i="4" s="1"/>
  <c r="H251" i="4"/>
  <c r="G250" i="4"/>
  <c r="I250" i="4" s="1"/>
  <c r="H250" i="4"/>
  <c r="G249" i="4"/>
  <c r="I249" i="4" s="1"/>
  <c r="H249" i="4"/>
  <c r="G248" i="4"/>
  <c r="I248" i="4" s="1"/>
  <c r="H248" i="4"/>
  <c r="G247" i="4"/>
  <c r="I247" i="4" s="1"/>
  <c r="H247" i="4"/>
  <c r="G246" i="4"/>
  <c r="I246" i="4" s="1"/>
  <c r="H246" i="4"/>
  <c r="G245" i="4"/>
  <c r="I245" i="4" s="1"/>
  <c r="H245" i="4"/>
  <c r="G244" i="4"/>
  <c r="I244" i="4" s="1"/>
  <c r="H244" i="4"/>
  <c r="G243" i="4"/>
  <c r="I243" i="4" s="1"/>
  <c r="H243" i="4"/>
  <c r="G242" i="4"/>
  <c r="I242" i="4" s="1"/>
  <c r="H242" i="4"/>
  <c r="G241" i="4"/>
  <c r="I241" i="4" s="1"/>
  <c r="H241" i="4"/>
  <c r="G240" i="4"/>
  <c r="I240" i="4" s="1"/>
  <c r="H240" i="4"/>
  <c r="G239" i="4"/>
  <c r="I239" i="4" s="1"/>
  <c r="H239" i="4"/>
  <c r="G238" i="4"/>
  <c r="I238" i="4" s="1"/>
  <c r="H238" i="4"/>
  <c r="G237" i="4"/>
  <c r="I237" i="4" s="1"/>
  <c r="H237" i="4"/>
  <c r="G236" i="4"/>
  <c r="I236" i="4" s="1"/>
  <c r="H236" i="4"/>
  <c r="G235" i="4"/>
  <c r="I235" i="4" s="1"/>
  <c r="H235" i="4"/>
  <c r="G234" i="4"/>
  <c r="I234" i="4" s="1"/>
  <c r="H234" i="4"/>
  <c r="G233" i="4"/>
  <c r="I233" i="4" s="1"/>
  <c r="H233" i="4"/>
  <c r="G232" i="4"/>
  <c r="I232" i="4" s="1"/>
  <c r="H232" i="4"/>
  <c r="G231" i="4"/>
  <c r="I231" i="4" s="1"/>
  <c r="H231" i="4"/>
  <c r="G230" i="4"/>
  <c r="I230" i="4" s="1"/>
  <c r="H230" i="4"/>
  <c r="G229" i="4"/>
  <c r="I229" i="4" s="1"/>
  <c r="H229" i="4"/>
  <c r="G228" i="4"/>
  <c r="I228" i="4" s="1"/>
  <c r="H228" i="4"/>
  <c r="G227" i="4"/>
  <c r="I227" i="4" s="1"/>
  <c r="H227" i="4"/>
  <c r="G226" i="4"/>
  <c r="I226" i="4" s="1"/>
  <c r="H226" i="4"/>
  <c r="G225" i="4"/>
  <c r="I225" i="4" s="1"/>
  <c r="H225" i="4"/>
  <c r="G224" i="4"/>
  <c r="I224" i="4" s="1"/>
  <c r="H224" i="4"/>
  <c r="G223" i="4"/>
  <c r="I223" i="4" s="1"/>
  <c r="H223" i="4"/>
  <c r="G222" i="4"/>
  <c r="I222" i="4" s="1"/>
  <c r="H222" i="4"/>
  <c r="G221" i="4"/>
  <c r="I221" i="4" s="1"/>
  <c r="H221" i="4"/>
  <c r="G220" i="4"/>
  <c r="I220" i="4" s="1"/>
  <c r="H220" i="4"/>
  <c r="G219" i="4"/>
  <c r="I219" i="4" s="1"/>
  <c r="H219" i="4"/>
  <c r="G218" i="4"/>
  <c r="I218" i="4" s="1"/>
  <c r="H218" i="4"/>
  <c r="G217" i="4"/>
  <c r="I217" i="4" s="1"/>
  <c r="H217" i="4"/>
  <c r="G216" i="4"/>
  <c r="I216" i="4" s="1"/>
  <c r="H216" i="4"/>
  <c r="G215" i="4"/>
  <c r="I215" i="4" s="1"/>
  <c r="H215" i="4"/>
  <c r="G214" i="4"/>
  <c r="I214" i="4" s="1"/>
  <c r="H214" i="4"/>
  <c r="G213" i="4"/>
  <c r="I213" i="4" s="1"/>
  <c r="H213" i="4"/>
  <c r="G212" i="4"/>
  <c r="I212" i="4" s="1"/>
  <c r="H212" i="4"/>
  <c r="G211" i="4"/>
  <c r="I211" i="4" s="1"/>
  <c r="H211" i="4"/>
  <c r="G210" i="4"/>
  <c r="I210" i="4" s="1"/>
  <c r="H210" i="4"/>
  <c r="G209" i="4"/>
  <c r="I209" i="4" s="1"/>
  <c r="H209" i="4"/>
  <c r="G208" i="4"/>
  <c r="I208" i="4" s="1"/>
  <c r="H208" i="4"/>
  <c r="G207" i="4"/>
  <c r="I207" i="4" s="1"/>
  <c r="H207" i="4"/>
  <c r="G206" i="4"/>
  <c r="I206" i="4" s="1"/>
  <c r="H206" i="4"/>
  <c r="G205" i="4"/>
  <c r="I205" i="4" s="1"/>
  <c r="H205" i="4"/>
  <c r="G204" i="4"/>
  <c r="I204" i="4" s="1"/>
  <c r="H204" i="4"/>
  <c r="G203" i="4"/>
  <c r="I203" i="4" s="1"/>
  <c r="H203" i="4"/>
  <c r="G202" i="4"/>
  <c r="I202" i="4" s="1"/>
  <c r="H202" i="4"/>
  <c r="G201" i="4"/>
  <c r="I201" i="4" s="1"/>
  <c r="H201" i="4"/>
  <c r="G200" i="4"/>
  <c r="I200" i="4" s="1"/>
  <c r="H200" i="4"/>
  <c r="G199" i="4"/>
  <c r="I199" i="4" s="1"/>
  <c r="H199" i="4"/>
  <c r="G198" i="4"/>
  <c r="I198" i="4" s="1"/>
  <c r="H198" i="4"/>
  <c r="G197" i="4"/>
  <c r="I197" i="4" s="1"/>
  <c r="H197" i="4"/>
  <c r="G196" i="4"/>
  <c r="I196" i="4" s="1"/>
  <c r="H196" i="4"/>
  <c r="G195" i="4"/>
  <c r="I195" i="4" s="1"/>
  <c r="H195" i="4"/>
  <c r="G194" i="4"/>
  <c r="I194" i="4" s="1"/>
  <c r="H194" i="4"/>
  <c r="G193" i="4"/>
  <c r="I193" i="4" s="1"/>
  <c r="H193" i="4"/>
  <c r="G192" i="4"/>
  <c r="I192" i="4" s="1"/>
  <c r="H192" i="4"/>
  <c r="G191" i="4"/>
  <c r="I191" i="4" s="1"/>
  <c r="H191" i="4"/>
  <c r="G190" i="4"/>
  <c r="I190" i="4" s="1"/>
  <c r="H190" i="4"/>
  <c r="G189" i="4"/>
  <c r="I189" i="4" s="1"/>
  <c r="H189" i="4"/>
  <c r="G188" i="4"/>
  <c r="I188" i="4" s="1"/>
  <c r="H188" i="4"/>
  <c r="G187" i="4"/>
  <c r="I187" i="4" s="1"/>
  <c r="H187" i="4"/>
  <c r="G186" i="4"/>
  <c r="I186" i="4" s="1"/>
  <c r="H186" i="4"/>
  <c r="G185" i="4"/>
  <c r="I185" i="4" s="1"/>
  <c r="H185" i="4"/>
  <c r="G184" i="4"/>
  <c r="I184" i="4" s="1"/>
  <c r="H184" i="4"/>
  <c r="G183" i="4"/>
  <c r="I183" i="4" s="1"/>
  <c r="H183" i="4"/>
  <c r="G182" i="4"/>
  <c r="I182" i="4" s="1"/>
  <c r="H182" i="4"/>
  <c r="G181" i="4"/>
  <c r="I181" i="4" s="1"/>
  <c r="H181" i="4"/>
  <c r="G180" i="4"/>
  <c r="I180" i="4" s="1"/>
  <c r="H180" i="4"/>
  <c r="G179" i="4"/>
  <c r="I179" i="4" s="1"/>
  <c r="H179" i="4"/>
  <c r="G178" i="4"/>
  <c r="I178" i="4" s="1"/>
  <c r="H178" i="4"/>
  <c r="G177" i="4"/>
  <c r="I177" i="4" s="1"/>
  <c r="H177" i="4"/>
  <c r="G176" i="4"/>
  <c r="I176" i="4" s="1"/>
  <c r="H176" i="4"/>
  <c r="G175" i="4"/>
  <c r="I175" i="4" s="1"/>
  <c r="H175" i="4"/>
  <c r="G174" i="4"/>
  <c r="I174" i="4" s="1"/>
  <c r="H174" i="4"/>
  <c r="G173" i="4"/>
  <c r="I173" i="4" s="1"/>
  <c r="H173" i="4"/>
  <c r="G172" i="4"/>
  <c r="I172" i="4" s="1"/>
  <c r="H172" i="4"/>
  <c r="G171" i="4"/>
  <c r="I171" i="4" s="1"/>
  <c r="H171" i="4"/>
  <c r="G170" i="4"/>
  <c r="I170" i="4" s="1"/>
  <c r="H170" i="4"/>
  <c r="G169" i="4"/>
  <c r="I169" i="4" s="1"/>
  <c r="H169" i="4"/>
  <c r="G168" i="4"/>
  <c r="I168" i="4" s="1"/>
  <c r="H168" i="4"/>
  <c r="G167" i="4"/>
  <c r="I167" i="4" s="1"/>
  <c r="H167" i="4"/>
  <c r="G166" i="4"/>
  <c r="I166" i="4" s="1"/>
  <c r="H166" i="4"/>
  <c r="G165" i="4"/>
  <c r="I165" i="4" s="1"/>
  <c r="H165" i="4"/>
  <c r="G164" i="4"/>
  <c r="I164" i="4" s="1"/>
  <c r="H164" i="4"/>
  <c r="G163" i="4"/>
  <c r="I163" i="4" s="1"/>
  <c r="H163" i="4"/>
  <c r="G162" i="4"/>
  <c r="I162" i="4" s="1"/>
  <c r="H162" i="4"/>
  <c r="G161" i="4"/>
  <c r="I161" i="4" s="1"/>
  <c r="H161" i="4"/>
  <c r="G160" i="4"/>
  <c r="I160" i="4" s="1"/>
  <c r="H160" i="4"/>
  <c r="G159" i="4"/>
  <c r="I159" i="4" s="1"/>
  <c r="H159" i="4"/>
  <c r="G158" i="4"/>
  <c r="I158" i="4" s="1"/>
  <c r="H158" i="4"/>
  <c r="G157" i="4"/>
  <c r="I157" i="4" s="1"/>
  <c r="H157" i="4"/>
  <c r="G156" i="4"/>
  <c r="I156" i="4" s="1"/>
  <c r="H156" i="4"/>
  <c r="G155" i="4"/>
  <c r="I155" i="4" s="1"/>
  <c r="H155" i="4"/>
  <c r="G154" i="4"/>
  <c r="I154" i="4" s="1"/>
  <c r="H154" i="4"/>
  <c r="G153" i="4"/>
  <c r="I153" i="4" s="1"/>
  <c r="H153" i="4"/>
  <c r="G152" i="4"/>
  <c r="I152" i="4" s="1"/>
  <c r="H152" i="4"/>
  <c r="G151" i="4"/>
  <c r="I151" i="4" s="1"/>
  <c r="H151" i="4"/>
  <c r="G150" i="4"/>
  <c r="I150" i="4" s="1"/>
  <c r="H150" i="4"/>
  <c r="G149" i="4"/>
  <c r="I149" i="4" s="1"/>
  <c r="H149" i="4"/>
  <c r="G148" i="4"/>
  <c r="I148" i="4" s="1"/>
  <c r="H148" i="4"/>
  <c r="G147" i="4"/>
  <c r="I147" i="4" s="1"/>
  <c r="H147" i="4"/>
  <c r="G146" i="4"/>
  <c r="I146" i="4" s="1"/>
  <c r="H146" i="4"/>
  <c r="G145" i="4"/>
  <c r="I145" i="4" s="1"/>
  <c r="H145" i="4"/>
  <c r="G144" i="4"/>
  <c r="I144" i="4" s="1"/>
  <c r="H144" i="4"/>
  <c r="G143" i="4"/>
  <c r="I143" i="4" s="1"/>
  <c r="H143" i="4"/>
  <c r="G142" i="4"/>
  <c r="I142" i="4" s="1"/>
  <c r="H142" i="4"/>
  <c r="G141" i="4"/>
  <c r="I141" i="4" s="1"/>
  <c r="H141" i="4"/>
  <c r="G140" i="4"/>
  <c r="I140" i="4" s="1"/>
  <c r="H140" i="4"/>
  <c r="G139" i="4"/>
  <c r="I139" i="4" s="1"/>
  <c r="H139" i="4"/>
  <c r="G138" i="4"/>
  <c r="I138" i="4" s="1"/>
  <c r="H138" i="4"/>
  <c r="G137" i="4"/>
  <c r="I137" i="4" s="1"/>
  <c r="H137" i="4"/>
  <c r="G136" i="4"/>
  <c r="I136" i="4" s="1"/>
  <c r="H136" i="4"/>
  <c r="G135" i="4"/>
  <c r="I135" i="4" s="1"/>
  <c r="H135" i="4"/>
  <c r="G134" i="4"/>
  <c r="I134" i="4" s="1"/>
  <c r="H134" i="4"/>
  <c r="G133" i="4"/>
  <c r="I133" i="4" s="1"/>
  <c r="H133" i="4"/>
  <c r="G132" i="4"/>
  <c r="I132" i="4" s="1"/>
  <c r="H132" i="4"/>
  <c r="G131" i="4"/>
  <c r="I131" i="4" s="1"/>
  <c r="H131" i="4"/>
  <c r="G130" i="4"/>
  <c r="I130" i="4" s="1"/>
  <c r="H130" i="4"/>
  <c r="G129" i="4"/>
  <c r="I129" i="4" s="1"/>
  <c r="H129" i="4"/>
  <c r="G128" i="4"/>
  <c r="I128" i="4" s="1"/>
  <c r="H128" i="4"/>
  <c r="G127" i="4"/>
  <c r="I127" i="4" s="1"/>
  <c r="H127" i="4"/>
  <c r="G126" i="4"/>
  <c r="I126" i="4" s="1"/>
  <c r="H126" i="4"/>
  <c r="G125" i="4"/>
  <c r="I125" i="4" s="1"/>
  <c r="H125" i="4"/>
  <c r="G124" i="4"/>
  <c r="I124" i="4" s="1"/>
  <c r="H124" i="4"/>
  <c r="G123" i="4"/>
  <c r="I123" i="4" s="1"/>
  <c r="H123" i="4"/>
  <c r="G122" i="4"/>
  <c r="I122" i="4" s="1"/>
  <c r="H122" i="4"/>
  <c r="G121" i="4"/>
  <c r="I121" i="4" s="1"/>
  <c r="H121" i="4"/>
  <c r="G120" i="4"/>
  <c r="I120" i="4" s="1"/>
  <c r="H120" i="4"/>
  <c r="G119" i="4"/>
  <c r="I119" i="4" s="1"/>
  <c r="H119" i="4"/>
  <c r="G118" i="4"/>
  <c r="I118" i="4" s="1"/>
  <c r="H118" i="4"/>
  <c r="G117" i="4"/>
  <c r="I117" i="4" s="1"/>
  <c r="H117" i="4"/>
  <c r="G116" i="4"/>
  <c r="I116" i="4" s="1"/>
  <c r="H116" i="4"/>
  <c r="G115" i="4"/>
  <c r="I115" i="4" s="1"/>
  <c r="H115" i="4"/>
  <c r="G114" i="4"/>
  <c r="I114" i="4" s="1"/>
  <c r="H114" i="4"/>
  <c r="G113" i="4"/>
  <c r="I113" i="4" s="1"/>
  <c r="H113" i="4"/>
  <c r="G112" i="4"/>
  <c r="I112" i="4" s="1"/>
  <c r="H112" i="4"/>
  <c r="G111" i="4"/>
  <c r="I111" i="4" s="1"/>
  <c r="H111" i="4"/>
  <c r="G110" i="4"/>
  <c r="I110" i="4" s="1"/>
  <c r="H110" i="4"/>
  <c r="G109" i="4"/>
  <c r="I109" i="4" s="1"/>
  <c r="H109" i="4"/>
  <c r="G108" i="4"/>
  <c r="I108" i="4" s="1"/>
  <c r="H108" i="4"/>
  <c r="G107" i="4"/>
  <c r="I107" i="4" s="1"/>
  <c r="H107" i="4"/>
  <c r="G106" i="4"/>
  <c r="I106" i="4" s="1"/>
  <c r="H106" i="4"/>
  <c r="G105" i="4"/>
  <c r="I105" i="4" s="1"/>
  <c r="H105" i="4"/>
  <c r="G104" i="4"/>
  <c r="I104" i="4" s="1"/>
  <c r="H104" i="4"/>
  <c r="G103" i="4"/>
  <c r="I103" i="4" s="1"/>
  <c r="H103" i="4"/>
  <c r="G102" i="4"/>
  <c r="I102" i="4" s="1"/>
  <c r="H102" i="4"/>
  <c r="G101" i="4"/>
  <c r="I101" i="4" s="1"/>
  <c r="H101" i="4"/>
  <c r="G100" i="4"/>
  <c r="I100" i="4" s="1"/>
  <c r="H100" i="4"/>
  <c r="G99" i="4"/>
  <c r="I99" i="4" s="1"/>
  <c r="H99" i="4"/>
  <c r="G98" i="4"/>
  <c r="I98" i="4" s="1"/>
  <c r="H98" i="4"/>
  <c r="G97" i="4"/>
  <c r="I97" i="4" s="1"/>
  <c r="H97" i="4"/>
  <c r="G96" i="4"/>
  <c r="I96" i="4" s="1"/>
  <c r="H96" i="4"/>
  <c r="G95" i="4"/>
  <c r="I95" i="4" s="1"/>
  <c r="H95" i="4"/>
  <c r="G94" i="4"/>
  <c r="I94" i="4" s="1"/>
  <c r="H94" i="4"/>
  <c r="G93" i="4"/>
  <c r="I93" i="4" s="1"/>
  <c r="H93" i="4"/>
  <c r="G92" i="4"/>
  <c r="I92" i="4" s="1"/>
  <c r="H92" i="4"/>
  <c r="G91" i="4"/>
  <c r="I91" i="4" s="1"/>
  <c r="H91" i="4"/>
  <c r="G90" i="4"/>
  <c r="I90" i="4" s="1"/>
  <c r="H90" i="4"/>
  <c r="G89" i="4"/>
  <c r="I89" i="4" s="1"/>
  <c r="H89" i="4"/>
  <c r="G88" i="4"/>
  <c r="I88" i="4" s="1"/>
  <c r="H88" i="4"/>
  <c r="G87" i="4"/>
  <c r="I87" i="4" s="1"/>
  <c r="H87" i="4"/>
  <c r="G86" i="4"/>
  <c r="I86" i="4" s="1"/>
  <c r="H86" i="4"/>
  <c r="G85" i="4"/>
  <c r="I85" i="4" s="1"/>
  <c r="H85" i="4"/>
  <c r="G84" i="4"/>
  <c r="I84" i="4" s="1"/>
  <c r="H84" i="4"/>
  <c r="G83" i="4"/>
  <c r="I83" i="4" s="1"/>
  <c r="H83" i="4"/>
  <c r="G82" i="4"/>
  <c r="I82" i="4" s="1"/>
  <c r="H82" i="4"/>
  <c r="G81" i="4"/>
  <c r="I81" i="4" s="1"/>
  <c r="H81" i="4"/>
  <c r="G80" i="4"/>
  <c r="I80" i="4" s="1"/>
  <c r="H80" i="4"/>
  <c r="G79" i="4"/>
  <c r="I79" i="4" s="1"/>
  <c r="H79" i="4"/>
  <c r="G78" i="4"/>
  <c r="I78" i="4" s="1"/>
  <c r="H78" i="4"/>
  <c r="G77" i="4"/>
  <c r="I77" i="4" s="1"/>
  <c r="H77" i="4"/>
  <c r="G76" i="4"/>
  <c r="I76" i="4" s="1"/>
  <c r="H76" i="4"/>
  <c r="G75" i="4"/>
  <c r="I75" i="4" s="1"/>
  <c r="H75" i="4"/>
  <c r="G74" i="4"/>
  <c r="I74" i="4" s="1"/>
  <c r="H74" i="4"/>
  <c r="G73" i="4"/>
  <c r="I73" i="4" s="1"/>
  <c r="H73" i="4"/>
  <c r="G72" i="4"/>
  <c r="I72" i="4" s="1"/>
  <c r="H72" i="4"/>
  <c r="G71" i="4"/>
  <c r="I71" i="4" s="1"/>
  <c r="H71" i="4"/>
  <c r="G70" i="4"/>
  <c r="I70" i="4" s="1"/>
  <c r="H70" i="4"/>
  <c r="G69" i="4"/>
  <c r="I69" i="4" s="1"/>
  <c r="H69" i="4"/>
  <c r="G68" i="4"/>
  <c r="I68" i="4" s="1"/>
  <c r="H68" i="4"/>
  <c r="G67" i="4"/>
  <c r="I67" i="4" s="1"/>
  <c r="H67" i="4"/>
  <c r="G66" i="4"/>
  <c r="I66" i="4" s="1"/>
  <c r="H66" i="4"/>
  <c r="G65" i="4"/>
  <c r="I65" i="4" s="1"/>
  <c r="H65" i="4"/>
  <c r="G64" i="4"/>
  <c r="I64" i="4" s="1"/>
  <c r="H64" i="4"/>
  <c r="G63" i="4"/>
  <c r="I63" i="4" s="1"/>
  <c r="H63" i="4"/>
  <c r="G62" i="4"/>
  <c r="I62" i="4" s="1"/>
  <c r="H62" i="4"/>
  <c r="G61" i="4"/>
  <c r="I61" i="4" s="1"/>
  <c r="H61" i="4"/>
  <c r="G60" i="4"/>
  <c r="I60" i="4" s="1"/>
  <c r="H60" i="4"/>
  <c r="G59" i="4"/>
  <c r="I59" i="4" s="1"/>
  <c r="H59" i="4"/>
  <c r="G58" i="4"/>
  <c r="I58" i="4" s="1"/>
  <c r="H58" i="4"/>
  <c r="G57" i="4"/>
  <c r="I57" i="4" s="1"/>
  <c r="H57" i="4"/>
  <c r="G56" i="4"/>
  <c r="I56" i="4" s="1"/>
  <c r="H56" i="4"/>
  <c r="G55" i="4"/>
  <c r="I55" i="4" s="1"/>
  <c r="H55" i="4"/>
  <c r="G54" i="4"/>
  <c r="I54" i="4" s="1"/>
  <c r="H54" i="4"/>
  <c r="G53" i="4"/>
  <c r="I53" i="4" s="1"/>
  <c r="H53" i="4"/>
  <c r="G52" i="4"/>
  <c r="I52" i="4" s="1"/>
  <c r="H52" i="4"/>
  <c r="G51" i="4"/>
  <c r="I51" i="4" s="1"/>
  <c r="H51" i="4"/>
  <c r="G50" i="4"/>
  <c r="I50" i="4" s="1"/>
  <c r="H50" i="4"/>
  <c r="G49" i="4"/>
  <c r="I49" i="4" s="1"/>
  <c r="H49" i="4"/>
  <c r="G48" i="4"/>
  <c r="I48" i="4" s="1"/>
  <c r="H48" i="4"/>
  <c r="G47" i="4"/>
  <c r="I47" i="4" s="1"/>
  <c r="H47" i="4"/>
  <c r="G46" i="4"/>
  <c r="I46" i="4" s="1"/>
  <c r="H46" i="4"/>
  <c r="G45" i="4"/>
  <c r="I45" i="4" s="1"/>
  <c r="H45" i="4"/>
  <c r="G44" i="4"/>
  <c r="I44" i="4" s="1"/>
  <c r="H44" i="4"/>
  <c r="G43" i="4"/>
  <c r="I43" i="4" s="1"/>
  <c r="H43" i="4"/>
  <c r="G42" i="4"/>
  <c r="I42" i="4" s="1"/>
  <c r="H42" i="4"/>
  <c r="G41" i="4"/>
  <c r="I41" i="4" s="1"/>
  <c r="H41" i="4"/>
  <c r="G40" i="4"/>
  <c r="I40" i="4" s="1"/>
  <c r="H40" i="4"/>
  <c r="G39" i="4"/>
  <c r="I39" i="4" s="1"/>
  <c r="H39" i="4"/>
  <c r="G38" i="4"/>
  <c r="I38" i="4" s="1"/>
  <c r="H38" i="4"/>
  <c r="G37" i="4"/>
  <c r="I37" i="4" s="1"/>
  <c r="H37" i="4"/>
  <c r="G36" i="4"/>
  <c r="I36" i="4" s="1"/>
  <c r="H36" i="4"/>
  <c r="G35" i="4"/>
  <c r="I35" i="4" s="1"/>
  <c r="H35" i="4"/>
  <c r="G34" i="4"/>
  <c r="I34" i="4" s="1"/>
  <c r="H34" i="4"/>
  <c r="G33" i="4"/>
  <c r="I33" i="4" s="1"/>
  <c r="H33" i="4"/>
  <c r="G32" i="4"/>
  <c r="I32" i="4" s="1"/>
  <c r="H32" i="4"/>
  <c r="G31" i="4"/>
  <c r="I31" i="4" s="1"/>
  <c r="H31" i="4"/>
  <c r="G30" i="4"/>
  <c r="I30" i="4" s="1"/>
  <c r="H30" i="4"/>
  <c r="G29" i="4"/>
  <c r="I29" i="4" s="1"/>
  <c r="H29" i="4"/>
  <c r="G28" i="4"/>
  <c r="I28" i="4" s="1"/>
  <c r="H28" i="4"/>
  <c r="G27" i="4"/>
  <c r="I27" i="4" s="1"/>
  <c r="H27" i="4"/>
  <c r="G26" i="4"/>
  <c r="I26" i="4" s="1"/>
  <c r="H26" i="4"/>
  <c r="G25" i="4"/>
  <c r="I25" i="4" s="1"/>
  <c r="H25" i="4"/>
  <c r="G24" i="4"/>
  <c r="I24" i="4" s="1"/>
  <c r="H24" i="4"/>
  <c r="G23" i="4"/>
  <c r="I23" i="4" s="1"/>
  <c r="H23" i="4"/>
  <c r="G22" i="4"/>
  <c r="I22" i="4" s="1"/>
  <c r="H22" i="4"/>
  <c r="G21" i="4"/>
  <c r="I21" i="4" s="1"/>
  <c r="H21" i="4"/>
  <c r="G20" i="4"/>
  <c r="I20" i="4" s="1"/>
  <c r="H20" i="4"/>
  <c r="G19" i="4"/>
  <c r="I19" i="4" s="1"/>
  <c r="H19" i="4"/>
  <c r="G18" i="4"/>
  <c r="I18" i="4" s="1"/>
  <c r="H18" i="4"/>
  <c r="G17" i="4"/>
  <c r="I17" i="4" s="1"/>
  <c r="H17" i="4"/>
  <c r="G16" i="4"/>
  <c r="I16" i="4" s="1"/>
  <c r="H16" i="4"/>
  <c r="G15" i="4"/>
  <c r="I15" i="4" s="1"/>
  <c r="H15" i="4"/>
  <c r="G14" i="4"/>
  <c r="I14" i="4" s="1"/>
  <c r="H14" i="4"/>
  <c r="G13" i="4"/>
  <c r="I13" i="4" s="1"/>
  <c r="H13" i="4"/>
  <c r="G12" i="4"/>
  <c r="I12" i="4" s="1"/>
  <c r="H12" i="4"/>
  <c r="G11" i="4"/>
  <c r="I11" i="4" s="1"/>
  <c r="H11" i="4"/>
  <c r="G10" i="4"/>
  <c r="I10" i="4" s="1"/>
  <c r="H10" i="4"/>
  <c r="G9" i="4"/>
  <c r="I9" i="4" s="1"/>
  <c r="H9" i="4"/>
  <c r="G8" i="4"/>
  <c r="I8" i="4" s="1"/>
  <c r="H8" i="4"/>
  <c r="G7" i="4"/>
  <c r="I7" i="4" s="1"/>
  <c r="H7" i="4"/>
  <c r="G6" i="4"/>
  <c r="I6" i="4" s="1"/>
  <c r="H6" i="4"/>
  <c r="G5" i="4"/>
  <c r="I5" i="4" s="1"/>
  <c r="H5" i="4"/>
  <c r="G4" i="4"/>
  <c r="I4" i="4" s="1"/>
  <c r="H4" i="4"/>
  <c r="G3" i="4"/>
  <c r="I3" i="4" s="1"/>
  <c r="H3" i="4"/>
  <c r="G2" i="4"/>
  <c r="I2" i="4" s="1"/>
  <c r="H2" i="4"/>
  <c r="I1500" i="4" l="1"/>
  <c r="I1502" i="4"/>
  <c r="I1503" i="4"/>
  <c r="I751" i="4"/>
  <c r="I752" i="4"/>
  <c r="C30" i="3"/>
  <c r="C34" i="3" s="1"/>
  <c r="C4" i="5" s="1"/>
  <c r="C31" i="3"/>
  <c r="C35" i="3" s="1"/>
  <c r="C5" i="5" s="1"/>
  <c r="I1732" i="4"/>
  <c r="I2251" i="4"/>
  <c r="I2624" i="4"/>
  <c r="I2469" i="4"/>
  <c r="I2463" i="4"/>
  <c r="I951" i="4"/>
  <c r="C28" i="5" l="1"/>
  <c r="C31" i="5" s="1"/>
  <c r="C12" i="5"/>
  <c r="C13" i="5" s="1"/>
  <c r="C14" i="5" s="1"/>
  <c r="C15" i="5" s="1"/>
  <c r="C6" i="5"/>
  <c r="C7" i="5" s="1"/>
  <c r="C8" i="5" s="1"/>
  <c r="C26" i="5"/>
  <c r="C27" i="5"/>
  <c r="C18" i="5" l="1"/>
  <c r="C19" i="5"/>
</calcChain>
</file>

<file path=xl/sharedStrings.xml><?xml version="1.0" encoding="utf-8"?>
<sst xmlns="http://schemas.openxmlformats.org/spreadsheetml/2006/main" count="191" uniqueCount="165">
  <si>
    <t>Vorlage: Countermovement Jump mit Smartphone-Sensorik auswerten</t>
  </si>
  <si>
    <t>Seminar „Physik der Sportarten“ – Aufgabe 5 (Tag 2). Fassung SS 2026.</t>
  </si>
  <si>
    <t>Was diese Vorlage macht</t>
  </si>
  <si>
    <t>Sie bestimmt die Sprunghoehe auf zwei unabhaengigen Wegen und stellt beide gegenueber:</t>
  </si>
  <si>
    <t>•  Methode A – aus der Flugzeit:  h = g · t_Flug² / 8</t>
  </si>
  <si>
    <t>•  Methode B – aus dem Nettoimpuls:  J = ∫(F − GF) dt,  v = J / m,  h = v² / (2g)</t>
  </si>
  <si>
    <t>Dass beide Wege unterschiedliche Werte liefern, ist erwartbar und der eigentliche Lerngegenstand.</t>
  </si>
  <si>
    <t>Wichtig: Welche phyphox-Aufnahme wird gebraucht?</t>
  </si>
  <si>
    <t>Diese Vorlage benoetigt die Beschleunigung MIT Erdbeschleunigung, also das phyphox-Experiment</t>
  </si>
  <si>
    <t>•  „Beschleunigung mit g“  bzw.  „Acceleration with g“</t>
  </si>
  <si>
    <t>Grund: Die Gewichtskraft dient als Bezugslinie. Im ruhigen Stand muss das Signal etwa 9,81 m/s² bzw. etwa 1 g anzeigen. Bei einer Aufnahme OHNE g liegt der Ruhewert bei 0 und die Nettokraft-Rechnung ergibt keinen sinnvollen Wert.</t>
  </si>
  <si>
    <t>Schritt fuer Schritt</t>
  </si>
  <si>
    <t>1.  Blatt 01_Rohdaten: phyphox-Export einfuegen – Zeit in Spalte A, die drei Achsen in B, C, D (ab Zeile 2).</t>
  </si>
  <si>
    <t>2.  Blatt 02_Eingaben: alle gelb hinterlegten Felder ausfuellen. Nur diese Felder werden veraendert.</t>
  </si>
  <si>
    <t>3.  Blatt 03_Auswertung: rechnet automatisch. Hier wird nichts eingetragen.</t>
  </si>
  <si>
    <t>4.  Blatt 04_Ergebnis: beide Sprunghoehen, Vergleich und Dokumentationsfelder.</t>
  </si>
  <si>
    <t>Farblogik</t>
  </si>
  <si>
    <t>•  gelb  = Ihre Eingabe</t>
  </si>
  <si>
    <t>•  gruen = automatisch berechnet, bitte nicht ueberschreiben</t>
  </si>
  <si>
    <t>•  blau  = Ergebnis</t>
  </si>
  <si>
    <t>Was dokumentiert werden muss</t>
  </si>
  <si>
    <t>Glaettungsfenster, gewaehltes Sprungintervall, Sensorlage und Modellannahmen gehoeren zur Loesung dazu. Die Felder dafuer stehen auf Blatt 04_Ergebnis.</t>
  </si>
  <si>
    <t>Hinweis zur Glaettung</t>
  </si>
  <si>
    <t>Die Vorlage verwendet einen ZENTRIERTEN gleitenden Mittelwert. Ein nachlaufender Mittelwert (nur zurueckliegende Werte) verschiebt das Signal zeitlich nach hinten und verfaelscht damit genau die Zeitpunkte, um die es hier geht: Absprung und Landung.</t>
  </si>
  <si>
    <t>Hinweis zur numerischen Integration</t>
  </si>
  <si>
    <t>Der Nettoimpuls wird ueber die Trapezregel gebildet, so wie im Reader beschrieben. Die Rechteckregel (Summe aus F · dt) liefert bei steilen Kraftanstiegen systematisch etwas zu grosse Werte.</t>
  </si>
  <si>
    <t>Technische Voraussetzung</t>
  </si>
  <si>
    <t>Zeit t [s]</t>
  </si>
  <si>
    <t>a_x</t>
  </si>
  <si>
    <t>a_y</t>
  </si>
  <si>
    <t>a_z</t>
  </si>
  <si>
    <t>phyphox-Export hier ab Zeile 2 einfuegen (Experiment: Beschleunigung MIT g).</t>
  </si>
  <si>
    <t>Spalte A = Zeit in Sekunden. Spalten B/C/D = die drei Beschleunigungsachsen.</t>
  </si>
  <si>
    <t>Welche Achse die vertikale ist, wird auf Blatt 02_Eingaben festgelegt.</t>
  </si>
  <si>
    <t>Eingaben und abgeleitete Groessen</t>
  </si>
  <si>
    <t>Angaben zur Messung</t>
  </si>
  <si>
    <t>Gruppe / Name</t>
  </si>
  <si>
    <t>frei</t>
  </si>
  <si>
    <t>Datum der Aufnahme</t>
  </si>
  <si>
    <t>Person und Konstanten</t>
  </si>
  <si>
    <t>Koerpermasse m</t>
  </si>
  <si>
    <t>[kg]</t>
  </si>
  <si>
    <t>Masse der springenden Person, inklusive Kleidung und Smartphone.</t>
  </si>
  <si>
    <t>Erdbeschleunigung g</t>
  </si>
  <si>
    <t>[m/s²]</t>
  </si>
  <si>
    <t>Konstante.</t>
  </si>
  <si>
    <t>Gewichtskraft GF = m · g</t>
  </si>
  <si>
    <t>[N]</t>
  </si>
  <si>
    <t>Bezugslinie fuer die Nettokraft.</t>
  </si>
  <si>
    <t>Aufbereitung der Rohdaten</t>
  </si>
  <si>
    <t>Vertikalachse (1 = a_x, 2 = a_y, 3 = a_z)</t>
  </si>
  <si>
    <t>Die Achse, die im ruhigen Stand etwa 9,81 m/s² bzw. 1 g anzeigt. Zur Kontrolle Zeile 20 pruefen.</t>
  </si>
  <si>
    <t>Einheit der Rohdaten</t>
  </si>
  <si>
    <t>m/s2</t>
  </si>
  <si>
    <t>„m/s2“ wenn phyphox in m/s² exportiert, „g“ wenn in Vielfachen von g.</t>
  </si>
  <si>
    <t>Umrechnungsfaktor</t>
  </si>
  <si>
    <t>automatisch aus Zeile 14.</t>
  </si>
  <si>
    <t>Glaettungsfenster (ungerade Anzahl Werte)</t>
  </si>
  <si>
    <t>Zentrierter gleitender Mittelwert. 1 = keine Glaettung. Der gewaehlte Wert ist zu dokumentieren.</t>
  </si>
  <si>
    <t>halbes Fenster</t>
  </si>
  <si>
    <t>automatisch.</t>
  </si>
  <si>
    <t>Schwelle Flugphase (Anteil von GF)</t>
  </si>
  <si>
    <t>Unterschreitet die geglaettete Kraft diesen Anteil der Gewichtskraft, gilt die Phase als Flugphase. 0,10 ist ein bewaehrter Startwert und ausdruecklich Gegenstand von Ergaenzungsaufgabe I1.</t>
  </si>
  <si>
    <t>Automatisch aus den Rohdaten</t>
  </si>
  <si>
    <t>Anzahl Datenpunkte n</t>
  </si>
  <si>
    <t>Dauer der Aufnahme</t>
  </si>
  <si>
    <t>[s]</t>
  </si>
  <si>
    <t>mittleres Zeitintervall dt</t>
  </si>
  <si>
    <t>Abtastrate</t>
  </si>
  <si>
    <t>[Hz]</t>
  </si>
  <si>
    <t>gemessene Ruhekraft (erste 0,5 s)</t>
  </si>
  <si>
    <t>Plausibilitaetspruefung: Dieser Wert sollte nahe bei GF (Zeile 10) liegen. Weicht er stark ab, stimmen Achse, Einheit oder Masse nicht – oder die Aufnahme wurde OHNE g gemacht.</t>
  </si>
  <si>
    <t>Abweichung Ruhekraft zu GF</t>
  </si>
  <si>
    <t>Betraege ueber etwa 50 N sind ein Warnsignal.</t>
  </si>
  <si>
    <t>Sprungintervall</t>
  </si>
  <si>
    <t>Nr.</t>
  </si>
  <si>
    <t>a roh (gew. Achse)</t>
  </si>
  <si>
    <t>a [m/s²]</t>
  </si>
  <si>
    <t>F_z [N]</t>
  </si>
  <si>
    <t>F_z geglaettet [N]</t>
  </si>
  <si>
    <t>Nettokraft F−GF [N]</t>
  </si>
  <si>
    <t>Flugphase (1/0)</t>
  </si>
  <si>
    <t>Teilimpuls Trapez [Ns]</t>
  </si>
  <si>
    <t>v kumuliert [m/s]</t>
  </si>
  <si>
    <t>Dieses Blatt rechnet automatisch. Bitte nichts eintragen.</t>
  </si>
  <si>
    <t>Ergebnis: Sprunghoehe auf zwei Wegen</t>
  </si>
  <si>
    <t>Methode A – Sprunghoehe aus der Flugzeit</t>
  </si>
  <si>
    <t>Absprung (TakeOff)</t>
  </si>
  <si>
    <t>Landung (TouchDown)</t>
  </si>
  <si>
    <t>Flugzeit t_Flug</t>
  </si>
  <si>
    <t>Sprunghoehe h_A</t>
  </si>
  <si>
    <t>[m]</t>
  </si>
  <si>
    <t>h = g · t_Flug² / 8. Setzt voraus, dass die Koerperhaltung bei Absprung und Landung gleich ist.</t>
  </si>
  <si>
    <t>[cm]</t>
  </si>
  <si>
    <t>Methode B – Sprunghoehe aus dem Nettoimpuls</t>
  </si>
  <si>
    <t>Beginn der Aufsummierung</t>
  </si>
  <si>
    <t>Nettoimpuls J (Trapezregel)</t>
  </si>
  <si>
    <t>[Ns]</t>
  </si>
  <si>
    <t>Flaeche unter der Nettokraftkurve vom Bewegungsbeginn bis zum Absprung.</t>
  </si>
  <si>
    <t>Absprunggeschwindigkeit v</t>
  </si>
  <si>
    <t>[m/s]</t>
  </si>
  <si>
    <t>v = J / m</t>
  </si>
  <si>
    <t>Sprunghoehe h_B</t>
  </si>
  <si>
    <t>h = v² / (2g)</t>
  </si>
  <si>
    <t>Vergleich beider Methoden</t>
  </si>
  <si>
    <t>Differenz h_B − h_A</t>
  </si>
  <si>
    <t>relative Abweichung</t>
  </si>
  <si>
    <t>Abweichungen von 20 bis 40 Prozent sind bei Smartphone-Sensorik nicht ungewoehnlich. Die Aufgabe verlangt eine Begruendung, keine Uebereinstimmung.</t>
  </si>
  <si>
    <t>Kontrolle der Anfangsbedingung und Gueltigkeit des Versuchs</t>
  </si>
  <si>
    <t>Die Impulsmethode ist ein Anfangswertproblem: Die Aufsummierung MUSS zu einem Zeitpunkt beginnen, an dem die Person nachweislich ruht (v = 0). Ob das zutrifft, entscheiden nicht Sie, sondern die Daten. Die folgenden vier Kontrollen pruefen das – und sind zugleich die Kriterien dafuer, ob der Versuch ueberhaupt gueltig ist.</t>
  </si>
  <si>
    <t>K1  Ruhe vor dem Start</t>
  </si>
  <si>
    <t>Mittlere Geschwindigkeit in der Sekunde VOR dem gewaehlten Beginn. Muss nahe 0 liegen. Ist der Betrag groesser als etwa 0,05 m/s, ruhte die Person nicht – Beginn verschieben oder Versuch verwerfen.</t>
  </si>
  <si>
    <t>K2  Rueckkehr zur Ruhe nach der Landung</t>
  </si>
  <si>
    <t>Eine Sekunde nach der Landung muss die Geschwindigkeit wieder nahe 0 sein. Tut sie das, ist die Integration ueber den gesamten Datensatz konsistent und die Basislinie stimmt. Driftet der Wert weg, ist die Gewichtskraft falsch angesetzt.</t>
  </si>
  <si>
    <t>K3  Symmetrie Absprung / Landung</t>
  </si>
  <si>
    <t>v(Landung) + v(Absprung). Physikalisch muss diese Summe 0 sein, denn der Koerper landet mit dem Betrag der Absprunggeschwindigkeit. Was hier uebrig bleibt, ist der Messfehler des Sensors – nicht der Integration. Er zeigt, wie weit sich der Sensorpunkt anders bewegt als der Koerperschwerpunkt.</t>
  </si>
  <si>
    <t>K4  Tiefste Gegenbewegung</t>
  </si>
  <si>
    <t>Kleinste (negative) Geschwindigkeit zwischen Beginn und Absprung. Beim COUNTERMOVEMENT JUMP muss dieser Wert deutlich negativ sein – das ist die Gegenbewegung. Beim SQUAT JUMP muss er nahe 0 liegen; ist er deutlich negativ, hat die Person unerlaubt ausgeholt und der Versuch ist ungueltig.</t>
  </si>
  <si>
    <t>Sprungform (fuer die Auswertung von K4)</t>
  </si>
  <si>
    <t>CMJ</t>
  </si>
  <si>
    <t>CMJ = mit Gegenbewegung, SJ = aus dem statischen Halbhockstand ohne Gegenbewegung.</t>
  </si>
  <si>
    <t>Urteil zu K4</t>
  </si>
  <si>
    <t>Die Schwellen -0,30 m/s und -0,15 m/s sind pragmatische Startwerte fuer den Seminargebrauch und ausdruecklich zur Diskussion gestellt.</t>
  </si>
  <si>
    <t>Pflichtdokumentation (Teil der Loesung)</t>
  </si>
  <si>
    <t>Glaettungsfenster (Anzahl Werte)</t>
  </si>
  <si>
    <t>aus Blatt 02_Eingaben.</t>
  </si>
  <si>
    <t>Begruendung des Fensters</t>
  </si>
  <si>
    <t>Warum dieses Fenster? Was passiert bei einem deutlich groesseren oder kleineren Fenster?</t>
  </si>
  <si>
    <t>Gewaehltes Sprungintervall</t>
  </si>
  <si>
    <t>Von wann bis wann wurde aufsummiert und woran wurde der Beginn erkannt?</t>
  </si>
  <si>
    <t>Sensorlage am Koerper</t>
  </si>
  <si>
    <t>Wo genau sass das Smartphone? Rumpfnah oder guertelnah ist deutlich guenstiger als in der Hosentasche.</t>
  </si>
  <si>
    <t>Verwendetes phyphox-Experiment</t>
  </si>
  <si>
    <t>Muss eine Aufnahme MIT g sein.</t>
  </si>
  <si>
    <t>Modellannahmen</t>
  </si>
  <si>
    <t>Zum Beispiel: Punktmasse, starrer Koerper, Sensor bewegt sich wie der Koerperschwerpunkt, kein Luftwiderstand.</t>
  </si>
  <si>
    <t>Begruendung der Abweichung</t>
  </si>
  <si>
    <t>Signalrauschen, Glaettung, Wahl des Intervalls, Sensorlage, Abweichung Sensor zu Koerperschwerpunkt.</t>
  </si>
  <si>
    <t>Fehlersuche in vier Schritten, wenn h_A und h_B weit auseinanderliegen</t>
  </si>
  <si>
    <t>Arbeiten Sie die Kontrollen K1 bis K4 der Reihe nach ab. Sie trennen sauber, WELCHE Ursache vorliegt.
1.  K2 zuerst. Kehrt die Geschwindigkeit nach der Landung nicht auf nahe 0 zurueck, ist die Bezugslinie falsch: Achse, Einheit oder Koerpermasse pruefen (Blatt 02_Eingaben, Zeile 13, 14, 8) und die Ruhekraft in Zeile 25 mit der Gewichtskraft in Zeile 10 vergleichen. Solange K2 nicht stimmt, ist jede weitere Deutung sinnlos.
2.  Dann K1. Ist der Betrag groesser als etwa 0,05 m/s, ruhte die Person zum gewaehlten Startzeitpunkt nicht. Verschieben Sie den Bewegungsbeginn in einen Abschnitt, in dem K1 nahe 0 liegt. Das ist der eigentliche Kern der Aufgabe: Die Integration braucht einen Zeitpunkt mit v = 0, und dieser Zeitpunkt ist nicht frei waehlbar, sondern muss aus den Daten belegt werden.
3.  Zweiter zulaessiger Startpunkt. Beim Countermovement Jump ist die Geschwindigkeit auch am tiefsten Punkt der Gegenbewegung kurz null – dort, wo die Kurve in Spalte J von negativ nach positiv wechselt. Von dort aus zu integrieren ist physikalisch genauso richtig und benoetigt ein viel kuerzeres Fenster. Vergleichen Sie beide Startpunkte: Stimmen die Ergebnisse ueberein, ist die Integration in Ordnung.
4.  Erst jetzt K3. Was nach den Schritten 1 bis 3 an Abweichung uebrig bleibt, ist kein Rechenfehler, sondern der Messfehler des Sensors: Ein am Rumpf getragenes Smartphone misst nicht die Bodenreaktionskraft, sondern die Beschleunigung dieses einen Koerperpunkts, der sich waehrend Streckung und Flugphase anders bewegt als der Koerperschwerpunkt. K3 beziffert genau diesen Anteil.</t>
  </si>
  <si>
    <t>Grafische Auswertung</t>
  </si>
  <si>
    <t>Diagramm 1 – Kraft-Zeit-Verlauf</t>
  </si>
  <si>
    <t>Zu erkennen sind: die waagerechte Ruhephase auf Hoehe der Gewichtskraft, das Absinken waehrend der Entlastung, der steile Anstieg beim Abdruck, der Einbruch gegen null waehrend der Flugphase und der Landungsstoss. Tragen Sie in Ihrer Abgabe ein, wo Sie Absprung und Landung ablesen.</t>
  </si>
  <si>
    <t>Diagramm 2 – Geschwindigkeitsverlauf</t>
  </si>
  <si>
    <t>Dies ist die aufsummierte Geschwindigkeit ab dem gewaehlten Bewegungsbeginn. Hier lassen sich die Kontrollen K1 bis K4 unmittelbar ablesen: Die Kurve muss vor dem Start bei null liegen, beim Countermovement Jump ins Negative gehen (Gegenbewegung), am Absprung ihr Maximum erreichen und nach der Landung wieder auf null zurueckkehren. Beim Squat Jump darf es keinen negativen Abschnitt geben.</t>
  </si>
  <si>
    <t>Hinweis zur Achsenskalierung</t>
  </si>
  <si>
    <t>Die automatische Erkennung liefert Datenpunktnummern fuer Absprung und Landung. Falls sie nicht passt, werden auf Blatt 02_Eingaben in den gelben Ersatzfeldern die Datenpunktnummern aus Blatt 03_Auswertung oder aus den Diagrammen eingetragen. Die zugehoerigen Messzeiten werden automatisch berechnet.</t>
  </si>
  <si>
    <t>Beginn der Bewegung (Datenpunkt-Nr.)</t>
  </si>
  <si>
    <t>[Nr.]</t>
  </si>
  <si>
    <t>Datenpunkt-Nr. aus dem Diagramm bzw. aus Spalte A auf Blatt 03_Auswertung. Leer lassen = ab Aufnahmebeginn.</t>
  </si>
  <si>
    <t>Absprung (TakeOff) automatisch - Datenpunkt-Nr.</t>
  </si>
  <si>
    <t>Erster Datenpunkt, an dem die geglaettete Kraft unter die Flugphasenschwelle faellt.</t>
  </si>
  <si>
    <t>Landung (TouchDown) automatisch - Datenpunkt-Nr.</t>
  </si>
  <si>
    <t>Letzter Datenpunkt unter der Flugphasenschwelle. Kurze Signalspitzen innerhalb der Flugphase werden so ueberbrueckt.</t>
  </si>
  <si>
    <t>Absprung manuell (optional) - Datenpunkt-Nr.</t>
  </si>
  <si>
    <t>Optional. Nur ausfuellen, wenn die automatische Erkennung nicht passt. Die manuelle Datenpunkt-Nr. hat Vorrang.</t>
  </si>
  <si>
    <t>Landung manuell (optional) - Datenpunkt-Nr.</t>
  </si>
  <si>
    <t>Optional. Wie oben.</t>
  </si>
  <si>
    <t>verwendeter Absprung (Zeit)</t>
  </si>
  <si>
    <t>Aus der verwendeten Datenpunkt-Nr. in Messzeit umgerechnet.</t>
  </si>
  <si>
    <t>verwendete Landung (Zeit)</t>
  </si>
  <si>
    <t>verwendeter Bewegungsbeginn (Zeit)</t>
  </si>
  <si>
    <t>Aus der eingegebenen Datenpunkt-Nr. in Messzeit umgerechnet.</t>
  </si>
  <si>
    <t>Die beiden Diagramme rechnen automatisch mit, sobald auf Blatt 01_Rohdaten Daten stehen. Die x-Achse zeigt die Datenpunkt-Nr. aus Spalte A von Blatt 03_Auswertung. Dadurch lassen sich Bewegungsbeginn, Absprung und Landung mit dem Cursor bestimmen und direkt auf Blatt 02_Eingaben eintragen.</t>
  </si>
  <si>
    <t>Bei langen Aufnahmen ist der Sprung im Gesamtbild klein. Grenzen Sie den Bereich im Diagramm auf die Datenpunktnummern um den Sprung ein. Die Cursoranzeige liefert die Datenpunkt-Nr.; diese wird auf Blatt 02_Eingaben in C29, C32 oder C33 eingetragen.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</si>
</sst>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6" x14ac:knownFonts="1">
    <font>
      <sz val="11"/>
      <color theme="1"/>
      <name val="Calibri"/>
    </font>
    <font>
      <b/>
      <sz val="14"/>
      <color rgb="FF1F3864"/>
      <name val="Calibri"/>
    </font>
    <font>
      <i/>
      <sz val="9"/>
      <color rgb="FF595959"/>
      <name val="Calibri"/>
    </font>
    <font>
      <b/>
      <sz val="11"/>
      <name val="Calibri"/>
    </font>
    <font>
      <b/>
      <sz val="11"/>
      <color rgb="FFFFFFFF"/>
      <name val="Calibri"/>
    </font>
    <font>
      <sz val="11"/>
      <name val="Calibri"/>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
      <patternFill patternType="solid">
        <fgColor rgb="FFDEEA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0" xfId="0" applyFont="1" applyFill="1" applyAlignment="1">
      <alignment horizontal="center"/>
    </xf>
    <xf numFmtId="0" fontId="2" fillId="0" borderId="0" xfId="0" applyFont="1"/>
    <xf numFmtId="0" fontId="1" fillId="0" borderId="0" xfId="0" applyFont="1"/>
    <xf numFmtId="0" fontId="3" fillId="0" borderId="0" xfId="0" applyFont="1"/>
    <xf numFmtId="0" fontId="0" fillId="3" borderId="1" xfId="0" applyFill="1" applyBorder="1" applyAlignment="1">
      <alignment horizontal="center"/>
    </xf>
    <xf numFmtId="0" fontId="2" fillId="0" borderId="0" xfId="0" applyFont="1" applyAlignment="1">
      <alignment vertical="center" wrapText="1"/>
    </xf>
    <xf numFmtId="0" fontId="5" fillId="0" borderId="0" xfId="0" applyFont="1"/>
    <xf numFmtId="0" fontId="0" fillId="4" borderId="1" xfId="0" applyFill="1" applyBorder="1" applyAlignment="1">
      <alignment horizontal="center"/>
    </xf>
    <xf numFmtId="165" fontId="0" fillId="4" borderId="1" xfId="0" applyNumberFormat="1" applyFill="1" applyBorder="1" applyAlignment="1">
      <alignment horizontal="center"/>
    </xf>
    <xf numFmtId="164" fontId="0" fillId="4" borderId="1" xfId="0" applyNumberFormat="1" applyFill="1" applyBorder="1" applyAlignment="1">
      <alignment horizontal="center"/>
    </xf>
    <xf numFmtId="1" fontId="0" fillId="4" borderId="1" xfId="0" applyNumberFormat="1" applyFill="1" applyBorder="1" applyAlignment="1">
      <alignment horizontal="center"/>
    </xf>
    <xf numFmtId="0" fontId="4" fillId="2" borderId="0" xfId="0" applyFont="1" applyFill="1" applyAlignment="1">
      <alignment horizontal="center" wrapText="1"/>
    </xf>
    <xf numFmtId="164" fontId="0" fillId="0" borderId="0" xfId="0" applyNumberFormat="1"/>
    <xf numFmtId="164" fontId="0" fillId="5" borderId="1" xfId="0" applyNumberFormat="1" applyFill="1" applyBorder="1" applyAlignment="1">
      <alignment horizontal="center"/>
    </xf>
    <xf numFmtId="165" fontId="0" fillId="5" borderId="1" xfId="0" applyNumberFormat="1" applyFill="1" applyBorder="1" applyAlignment="1">
      <alignment horizontal="center"/>
    </xf>
    <xf numFmtId="166" fontId="0" fillId="5" borderId="1" xfId="0" applyNumberFormat="1" applyFill="1" applyBorder="1" applyAlignment="1">
      <alignment horizontal="center"/>
    </xf>
    <xf numFmtId="0" fontId="0" fillId="5" borderId="1" xfId="0" applyFill="1" applyBorder="1"/>
    <xf numFmtId="0" fontId="0" fillId="4" borderId="1" xfId="0" applyFill="1" applyBorder="1"/>
    <xf numFmtId="0" fontId="0" fillId="3" borderId="1" xfId="0" applyFill="1" applyBorder="1"/>
    <xf numFmtId="1" fontId="0" fillId="3" borderId="1" xfId="0" applyNumberFormat="1" applyFill="1" applyBorder="1" applyAlignment="1">
      <alignment horizontal="center"/>
    </xf>
    <xf numFmtId="0" fontId="2" fillId="0" borderId="0" xfId="0" applyFont="1" applyAlignment="1">
      <alignment vertical="top" wrapText="1"/>
    </xf>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r>
              <a:rPr lang="de-DE"/>
              <a:t>Kraft-Zeit-Verlauf (geglaettet) und Nettokraft</a:t>
            </a:r>
          </a:p>
        </c:rich>
      </c:tx>
      <c:overlay val="1"/>
    </c:title>
    <c:autoTitleDeleted val="0"/>
    <c:plotArea>
      <c:layout/>
      <c:lineChart>
        <c:grouping val="standard"/>
        <c:varyColors val="1"/>
        <c:ser>
          <c:idx val="0"/>
          <c:order val="0"/>
          <c:tx>
            <c:strRef>
              <c:f>'03_Auswertung'!$F$1</c:f>
              <c:strCache>
                <c:ptCount val="1"/>
                <c:pt idx="0">
                  <c:v>F_z geglaettet [N]</c:v>
                </c:pt>
              </c:strCache>
            </c:strRef>
          </c:tx>
          <c:spPr>
            <a:ln>
              <a:prstDash val="solid"/>
            </a:ln>
          </c:spPr>
          <c:marker>
            <c:symbol val="none"/>
          </c:marker>
          <c:cat>
            <c:multiLvlStrRef>
              <c:f>'03_Auswertung'!$A$2:$A$3001</c:f>
            </c:multiLvlStrRef>
          </c:cat>
          <c:val>
            <c:numRef>
              <c:f>'03_Auswertung'!$F$2:$F$3001</c:f>
              <c:numCache>
                <c:formatCode>0.000</c:formatCode>
                <c:ptCount val="3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numCache>
            </c:numRef>
          </c:val>
          <c:smooth val="0"/>
          <c:extLst>
            <c:ext xmlns:c16="http://schemas.microsoft.com/office/drawing/2014/chart" uri="{C3380CC4-5D6E-409C-BE32-E72D297353CC}">
              <c16:uniqueId val="{00000000-8B74-4E7B-94CA-68248C8B67E9}"/>
            </c:ext>
          </c:extLst>
        </c:ser>
        <c:ser>
          <c:idx val="1"/>
          <c:order val="1"/>
          <c:tx>
            <c:strRef>
              <c:f>'03_Auswertung'!$G$1</c:f>
              <c:strCache>
                <c:ptCount val="1"/>
                <c:pt idx="0">
                  <c:v>Nettokraft F−GF [N]</c:v>
                </c:pt>
              </c:strCache>
            </c:strRef>
          </c:tx>
          <c:spPr>
            <a:ln>
              <a:prstDash val="solid"/>
            </a:ln>
          </c:spPr>
          <c:marker>
            <c:symbol val="none"/>
          </c:marker>
          <c:cat>
            <c:multiLvlStrRef>
              <c:f>'03_Auswertung'!$A$2:$A$3001</c:f>
            </c:multiLvlStrRef>
          </c:cat>
          <c:val>
            <c:numRef>
              <c:f>'03_Auswertung'!$G$2:$G$3001</c:f>
              <c:numCache>
                <c:formatCode>0.000</c:formatCode>
                <c:ptCount val="3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numCache>
            </c:numRef>
          </c:val>
          <c:smooth val="0"/>
          <c:extLst>
            <c:ext xmlns:c16="http://schemas.microsoft.com/office/drawing/2014/chart" uri="{C3380CC4-5D6E-409C-BE32-E72D297353CC}">
              <c16:uniqueId val="{00000001-8B74-4E7B-94CA-68248C8B67E9}"/>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r>
                  <a:rPr lang="de-DE"/>
                  <a:t>Datenpunkt-Nr.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title>
          <c:tx>
            <c:rich>
              <a:bodyPr/>
              <a:lstStyle/>
              <a:p>
                <a:r>
                  <a:rPr lang="de-DE"/>
                  <a:t>Kraft [N]</a:t>
                </a:r>
              </a:p>
            </c:rich>
          </c:tx>
          <c:overlay val="1"/>
        </c:title>
        <c:numFmt formatCode="0.000" sourceLinked="1"/>
        <c:majorTickMark val="none"/>
        <c:minorTickMark val="none"/>
        <c:tickLblPos val="nextTo"/>
        <c:crossAx val="10"/>
        <c:crosses val="autoZero"/>
        <c:crossBetween val="between"/>
      </c:valAx>
    </c:plotArea>
    <c:legend>
      <c:legendPos val="r"/>
      <c:overlay val="1"/>
    </c:legend>
    <c:plotVisOnly val="1"/>
    <c:dispBlanksAs val="zero"/>
    <c:showDLblsOverMax val="1"/>
  </c:chart>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r>
              <a:rPr lang="de-DE"/>
              <a:t>Geschwindigkeit ab dem gewaehlten Bewegungsbeginn</a:t>
            </a:r>
          </a:p>
        </c:rich>
      </c:tx>
      <c:overlay val="1"/>
    </c:title>
    <c:autoTitleDeleted val="0"/>
    <c:plotArea>
      <c:layout/>
      <c:lineChart>
        <c:grouping val="standard"/>
        <c:varyColors val="1"/>
        <c:ser>
          <c:idx val="0"/>
          <c:order val="0"/>
          <c:tx>
            <c:strRef>
              <c:f>'03_Auswertung'!$J$1</c:f>
              <c:strCache>
                <c:ptCount val="1"/>
                <c:pt idx="0">
                  <c:v>v kumuliert [m/s]</c:v>
                </c:pt>
              </c:strCache>
            </c:strRef>
          </c:tx>
          <c:spPr>
            <a:ln>
              <a:prstDash val="solid"/>
            </a:ln>
          </c:spPr>
          <c:marker>
            <c:symbol val="none"/>
          </c:marker>
          <c:cat>
            <c:multiLvlStrRef>
              <c:f>'03_Auswertung'!$A$2:$A$3001</c:f>
            </c:multiLvlStrRef>
          </c:cat>
          <c:val>
            <c:numRef>
              <c:f>'03_Auswertung'!$J$2:$J$3001</c:f>
              <c:numCache>
                <c:formatCode>0.000</c:formatCode>
                <c:ptCount val="3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numCache>
            </c:numRef>
          </c:val>
          <c:smooth val="0"/>
          <c:extLst>
            <c:ext xmlns:c16="http://schemas.microsoft.com/office/drawing/2014/chart" uri="{C3380CC4-5D6E-409C-BE32-E72D297353CC}">
              <c16:uniqueId val="{00000000-CDAF-401F-9872-628597687115}"/>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r>
                  <a:rPr lang="de-DE"/>
                  <a:t>Datenpunkt-Nr.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title>
          <c:tx>
            <c:rich>
              <a:bodyPr/>
              <a:lstStyle/>
              <a:p>
                <a:r>
                  <a:rPr lang="de-DE"/>
                  <a:t>Geschwindigkeit [m/s]</a:t>
                </a:r>
              </a:p>
            </c:rich>
          </c:tx>
          <c:overlay val="1"/>
        </c:title>
        <c:numFmt formatCode="0.000" sourceLinked="1"/>
        <c:majorTickMark val="none"/>
        <c:minorTickMark val="none"/>
        <c:tickLblPos val="nextTo"/>
        <c:crossAx val="10"/>
        <c:crosses val="autoZero"/>
        <c:crossBetween val="between"/>
      </c:valAx>
    </c:plotArea>
    <c:legend>
      <c:legendPos val="r"/>
      <c:overlay val="0"/>
    </c:legend>
    <c:plotVisOnly val="1"/>
    <c:dispBlanksAs val="zero"/>
    <c:showDLblsOverMax val="1"/>
  </c:chart>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8</xdr:row>
      <xdr:rowOff>0</xdr:rowOff>
    </xdr:from>
    <xdr:ext cx="7920000" cy="3060000"/>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28</xdr:row>
      <xdr:rowOff>0</xdr:rowOff>
    </xdr:from>
    <xdr:ext cx="7920000" cy="3060000"/>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6"/>
  <sheetViews>
    <sheetView tabSelected="1" workbookViewId="0"/>
  </sheetViews>
  <sheetFormatPr baseColWidth="10" defaultColWidth="9.140625" defaultRowHeight="15" x14ac:dyDescent="0.25"/>
  <cols>
    <col min="1" max="1" width="4" customWidth="1"/>
    <col min="2" max="2" width="118" customWidth="1"/>
  </cols>
  <sheetData>
    <row r="1" spans="2:2" ht="18.75" x14ac:dyDescent="0.25">
      <c r="B1" s="1" t="s">
        <v>0</v>
      </c>
    </row>
    <row r="2" spans="2:2" x14ac:dyDescent="0.25">
      <c r="B2" s="2" t="s">
        <v>1</v>
      </c>
    </row>
    <row r="3" spans="2:2" x14ac:dyDescent="0.25">
      <c r="B3" s="3"/>
    </row>
    <row r="4" spans="2:2" x14ac:dyDescent="0.25">
      <c r="B4" s="4" t="s">
        <v>2</v>
      </c>
    </row>
    <row r="5" spans="2:2" x14ac:dyDescent="0.25">
      <c r="B5" s="3" t="s">
        <v>3</v>
      </c>
    </row>
    <row r="6" spans="2:2" x14ac:dyDescent="0.25">
      <c r="B6" s="3" t="s">
        <v>4</v>
      </c>
    </row>
    <row r="7" spans="2:2" x14ac:dyDescent="0.25">
      <c r="B7" s="3" t="s">
        <v>5</v>
      </c>
    </row>
    <row r="8" spans="2:2" x14ac:dyDescent="0.25">
      <c r="B8" s="3" t="s">
        <v>6</v>
      </c>
    </row>
    <row r="9" spans="2:2" x14ac:dyDescent="0.25">
      <c r="B9" s="3"/>
    </row>
    <row r="10" spans="2:2" x14ac:dyDescent="0.25">
      <c r="B10" s="4" t="s">
        <v>7</v>
      </c>
    </row>
    <row r="11" spans="2:2" x14ac:dyDescent="0.25">
      <c r="B11" s="3" t="s">
        <v>8</v>
      </c>
    </row>
    <row r="12" spans="2:2" x14ac:dyDescent="0.25">
      <c r="B12" s="3" t="s">
        <v>9</v>
      </c>
    </row>
    <row r="13" spans="2:2" ht="30" x14ac:dyDescent="0.25">
      <c r="B13" s="3" t="s">
        <v>10</v>
      </c>
    </row>
    <row r="14" spans="2:2" x14ac:dyDescent="0.25">
      <c r="B14" s="3"/>
    </row>
    <row r="15" spans="2:2" x14ac:dyDescent="0.25">
      <c r="B15" s="4" t="s">
        <v>11</v>
      </c>
    </row>
    <row r="16" spans="2:2" x14ac:dyDescent="0.25">
      <c r="B16" s="3" t="s">
        <v>12</v>
      </c>
    </row>
    <row r="17" spans="2:2" x14ac:dyDescent="0.25">
      <c r="B17" s="3" t="s">
        <v>13</v>
      </c>
    </row>
    <row r="18" spans="2:2" x14ac:dyDescent="0.25">
      <c r="B18" s="3" t="s">
        <v>14</v>
      </c>
    </row>
    <row r="19" spans="2:2" x14ac:dyDescent="0.25">
      <c r="B19" s="3" t="s">
        <v>15</v>
      </c>
    </row>
    <row r="20" spans="2:2" x14ac:dyDescent="0.25">
      <c r="B20" s="3"/>
    </row>
    <row r="21" spans="2:2" x14ac:dyDescent="0.25">
      <c r="B21" s="4" t="s">
        <v>16</v>
      </c>
    </row>
    <row r="22" spans="2:2" x14ac:dyDescent="0.25">
      <c r="B22" s="3" t="s">
        <v>17</v>
      </c>
    </row>
    <row r="23" spans="2:2" x14ac:dyDescent="0.25">
      <c r="B23" s="3" t="s">
        <v>18</v>
      </c>
    </row>
    <row r="24" spans="2:2" x14ac:dyDescent="0.25">
      <c r="B24" s="3" t="s">
        <v>19</v>
      </c>
    </row>
    <row r="25" spans="2:2" x14ac:dyDescent="0.25">
      <c r="B25" s="3"/>
    </row>
    <row r="26" spans="2:2" x14ac:dyDescent="0.25">
      <c r="B26" s="4" t="s">
        <v>20</v>
      </c>
    </row>
    <row r="27" spans="2:2" ht="30" x14ac:dyDescent="0.25">
      <c r="B27" s="3" t="s">
        <v>21</v>
      </c>
    </row>
    <row r="28" spans="2:2" x14ac:dyDescent="0.25">
      <c r="B28" s="3"/>
    </row>
    <row r="29" spans="2:2" x14ac:dyDescent="0.25">
      <c r="B29" s="4" t="s">
        <v>22</v>
      </c>
    </row>
    <row r="30" spans="2:2" ht="45" x14ac:dyDescent="0.25">
      <c r="B30" s="3" t="s">
        <v>23</v>
      </c>
    </row>
    <row r="31" spans="2:2" x14ac:dyDescent="0.25">
      <c r="B31" s="3"/>
    </row>
    <row r="32" spans="2:2" x14ac:dyDescent="0.25">
      <c r="B32" s="4" t="s">
        <v>24</v>
      </c>
    </row>
    <row r="33" spans="2:2" ht="30" x14ac:dyDescent="0.25">
      <c r="B33" s="3" t="s">
        <v>25</v>
      </c>
    </row>
    <row r="34" spans="2:2" x14ac:dyDescent="0.25">
      <c r="B34" s="3"/>
    </row>
    <row r="35" spans="2:2" x14ac:dyDescent="0.25">
      <c r="B35" s="4" t="s">
        <v>26</v>
      </c>
    </row>
    <row r="36" spans="2:2" ht="45" x14ac:dyDescent="0.25">
      <c r="B36" s="3" t="s">
        <v>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workbookViewId="0">
      <pane ySplit="1" topLeftCell="A2" activePane="bottomLeft" state="frozen"/>
      <selection pane="bottomLeft"/>
    </sheetView>
  </sheetViews>
  <sheetFormatPr baseColWidth="10" defaultColWidth="9.140625" defaultRowHeight="15" x14ac:dyDescent="0.25"/>
  <cols>
    <col min="1" max="4" width="16" customWidth="1"/>
  </cols>
  <sheetData>
    <row r="1" spans="1:6" x14ac:dyDescent="0.25">
      <c r="A1" s="5" t="s">
        <v>27</v>
      </c>
      <c r="B1" s="5" t="s">
        <v>28</v>
      </c>
      <c r="C1" s="5" t="s">
        <v>29</v>
      </c>
      <c r="D1" s="5" t="s">
        <v>30</v>
      </c>
      <c r="F1" s="6" t="s">
        <v>31</v>
      </c>
    </row>
    <row r="2" spans="1:6" x14ac:dyDescent="0.25">
      <c r="F2" s="6" t="s">
        <v>32</v>
      </c>
    </row>
    <row r="3" spans="1:6" x14ac:dyDescent="0.25">
      <c r="F3" s="6"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36"/>
  <sheetViews>
    <sheetView workbookViewId="0"/>
  </sheetViews>
  <sheetFormatPr baseColWidth="10" defaultColWidth="9.140625" defaultRowHeight="15" x14ac:dyDescent="0.25"/>
  <cols>
    <col min="1" max="1" width="3" customWidth="1"/>
    <col min="2" max="2" width="46" customWidth="1"/>
    <col min="3" max="3" width="16" customWidth="1"/>
    <col min="4" max="4" width="12" customWidth="1"/>
    <col min="5" max="5" width="70" customWidth="1"/>
  </cols>
  <sheetData>
    <row r="1" spans="2:5" ht="18.75" x14ac:dyDescent="0.3">
      <c r="B1" s="7" t="s">
        <v>34</v>
      </c>
    </row>
    <row r="3" spans="2:5" x14ac:dyDescent="0.25">
      <c r="B3" s="8" t="s">
        <v>35</v>
      </c>
    </row>
    <row r="4" spans="2:5" x14ac:dyDescent="0.25">
      <c r="B4" s="8" t="s">
        <v>36</v>
      </c>
      <c r="C4" s="9"/>
      <c r="E4" s="10" t="s">
        <v>37</v>
      </c>
    </row>
    <row r="5" spans="2:5" x14ac:dyDescent="0.25">
      <c r="B5" s="8" t="s">
        <v>38</v>
      </c>
      <c r="C5" s="9"/>
      <c r="E5" s="10" t="s">
        <v>37</v>
      </c>
    </row>
    <row r="7" spans="2:5" x14ac:dyDescent="0.25">
      <c r="B7" s="8" t="s">
        <v>39</v>
      </c>
    </row>
    <row r="8" spans="2:5" x14ac:dyDescent="0.25">
      <c r="B8" s="8" t="s">
        <v>40</v>
      </c>
      <c r="C8" s="9">
        <v>75</v>
      </c>
      <c r="D8" t="s">
        <v>41</v>
      </c>
      <c r="E8" s="10" t="s">
        <v>42</v>
      </c>
    </row>
    <row r="9" spans="2:5" x14ac:dyDescent="0.25">
      <c r="B9" s="11" t="s">
        <v>43</v>
      </c>
      <c r="C9" s="12">
        <v>9.81</v>
      </c>
      <c r="D9" t="s">
        <v>44</v>
      </c>
      <c r="E9" s="10" t="s">
        <v>45</v>
      </c>
    </row>
    <row r="10" spans="2:5" x14ac:dyDescent="0.25">
      <c r="B10" s="11" t="s">
        <v>46</v>
      </c>
      <c r="C10" s="13">
        <f>C8*C9</f>
        <v>735.75</v>
      </c>
      <c r="D10" t="s">
        <v>47</v>
      </c>
      <c r="E10" s="10" t="s">
        <v>48</v>
      </c>
    </row>
    <row r="12" spans="2:5" x14ac:dyDescent="0.25">
      <c r="B12" s="8" t="s">
        <v>49</v>
      </c>
    </row>
    <row r="13" spans="2:5" ht="24" x14ac:dyDescent="0.25">
      <c r="B13" s="8" t="s">
        <v>50</v>
      </c>
      <c r="C13" s="9">
        <v>3</v>
      </c>
      <c r="E13" s="10" t="s">
        <v>51</v>
      </c>
    </row>
    <row r="14" spans="2:5" x14ac:dyDescent="0.25">
      <c r="B14" s="8" t="s">
        <v>52</v>
      </c>
      <c r="C14" s="9" t="s">
        <v>53</v>
      </c>
      <c r="E14" s="10" t="s">
        <v>54</v>
      </c>
    </row>
    <row r="15" spans="2:5" x14ac:dyDescent="0.25">
      <c r="B15" s="11" t="s">
        <v>55</v>
      </c>
      <c r="C15" s="14">
        <f>IF(C14="g",C9,1)</f>
        <v>1</v>
      </c>
      <c r="E15" s="10" t="s">
        <v>56</v>
      </c>
    </row>
    <row r="16" spans="2:5" ht="24" x14ac:dyDescent="0.25">
      <c r="B16" s="8" t="s">
        <v>57</v>
      </c>
      <c r="C16" s="9">
        <v>9</v>
      </c>
      <c r="E16" s="10" t="s">
        <v>58</v>
      </c>
    </row>
    <row r="17" spans="2:5" x14ac:dyDescent="0.25">
      <c r="B17" s="11" t="s">
        <v>59</v>
      </c>
      <c r="C17" s="14">
        <f>ROUNDDOWN((C16-1)/2,0)</f>
        <v>4</v>
      </c>
      <c r="E17" s="10" t="s">
        <v>60</v>
      </c>
    </row>
    <row r="18" spans="2:5" ht="36" x14ac:dyDescent="0.25">
      <c r="B18" s="8" t="s">
        <v>61</v>
      </c>
      <c r="C18" s="9">
        <v>0.1</v>
      </c>
      <c r="E18" s="10" t="s">
        <v>62</v>
      </c>
    </row>
    <row r="20" spans="2:5" x14ac:dyDescent="0.25">
      <c r="B20" s="8" t="s">
        <v>63</v>
      </c>
    </row>
    <row r="21" spans="2:5" x14ac:dyDescent="0.25">
      <c r="B21" s="11" t="s">
        <v>64</v>
      </c>
      <c r="C21" s="15">
        <f>COUNT('01_Rohdaten'!A2:A3001)</f>
        <v>0</v>
      </c>
      <c r="E21" s="10"/>
    </row>
    <row r="22" spans="2:5" x14ac:dyDescent="0.25">
      <c r="B22" s="11" t="s">
        <v>65</v>
      </c>
      <c r="C22" s="14" t="str">
        <f>IF(C21&lt;2,"",INDEX('01_Rohdaten'!A2:A3001,C21)-'01_Rohdaten'!A2)</f>
        <v/>
      </c>
      <c r="D22" t="s">
        <v>66</v>
      </c>
      <c r="E22" s="10"/>
    </row>
    <row r="23" spans="2:5" x14ac:dyDescent="0.25">
      <c r="B23" s="11" t="s">
        <v>67</v>
      </c>
      <c r="C23" s="14" t="str">
        <f>IF(C21&lt;2,"",C22/(C21-1))</f>
        <v/>
      </c>
      <c r="D23" t="s">
        <v>66</v>
      </c>
      <c r="E23" s="10"/>
    </row>
    <row r="24" spans="2:5" x14ac:dyDescent="0.25">
      <c r="B24" s="11" t="s">
        <v>68</v>
      </c>
      <c r="C24" s="13" t="str">
        <f>IF(C23="","",1/C23)</f>
        <v/>
      </c>
      <c r="D24" t="s">
        <v>69</v>
      </c>
      <c r="E24" s="10"/>
    </row>
    <row r="25" spans="2:5" ht="24" x14ac:dyDescent="0.25">
      <c r="B25" s="11" t="s">
        <v>70</v>
      </c>
      <c r="C25" s="13" t="str">
        <f>IF(C21&lt;10,"",AVERAGE('03_Auswertung'!E2:E50))</f>
        <v/>
      </c>
      <c r="D25" t="s">
        <v>47</v>
      </c>
      <c r="E25" s="10" t="s">
        <v>71</v>
      </c>
    </row>
    <row r="26" spans="2:5" x14ac:dyDescent="0.25">
      <c r="B26" s="11" t="s">
        <v>72</v>
      </c>
      <c r="C26" s="13" t="str">
        <f>IF(C25="","",C25-C10)</f>
        <v/>
      </c>
      <c r="D26" t="s">
        <v>47</v>
      </c>
      <c r="E26" s="10" t="s">
        <v>73</v>
      </c>
    </row>
    <row r="28" spans="2:5" x14ac:dyDescent="0.25">
      <c r="B28" s="8" t="s">
        <v>74</v>
      </c>
    </row>
    <row r="29" spans="2:5" ht="24" x14ac:dyDescent="0.25">
      <c r="B29" s="8" t="s">
        <v>147</v>
      </c>
      <c r="C29" s="24"/>
      <c r="D29" t="s">
        <v>148</v>
      </c>
      <c r="E29" s="10" t="s">
        <v>149</v>
      </c>
    </row>
    <row r="30" spans="2:5" x14ac:dyDescent="0.25">
      <c r="B30" s="11" t="s">
        <v>150</v>
      </c>
      <c r="C30" s="15" t="str">
        <f>IFERROR(MATCH(1,'03_Auswertung'!H2:H3001,0),"")</f>
        <v/>
      </c>
      <c r="D30" t="s">
        <v>148</v>
      </c>
      <c r="E30" s="10" t="s">
        <v>151</v>
      </c>
    </row>
    <row r="31" spans="2:5" ht="24" x14ac:dyDescent="0.25">
      <c r="B31" s="11" t="s">
        <v>152</v>
      </c>
      <c r="C31" s="15" t="str">
        <f>IFERROR(LOOKUP(2,1/('03_Auswertung'!H2:H3001=1),'03_Auswertung'!A2:A3001),"")</f>
        <v/>
      </c>
      <c r="D31" t="s">
        <v>148</v>
      </c>
      <c r="E31" s="10" t="s">
        <v>153</v>
      </c>
    </row>
    <row r="32" spans="2:5" ht="24" x14ac:dyDescent="0.25">
      <c r="B32" s="8" t="s">
        <v>154</v>
      </c>
      <c r="C32" s="24"/>
      <c r="D32" t="s">
        <v>148</v>
      </c>
      <c r="E32" s="10" t="s">
        <v>155</v>
      </c>
    </row>
    <row r="33" spans="2:5" x14ac:dyDescent="0.25">
      <c r="B33" s="8" t="s">
        <v>156</v>
      </c>
      <c r="C33" s="24"/>
      <c r="D33" t="s">
        <v>148</v>
      </c>
      <c r="E33" s="10" t="s">
        <v>157</v>
      </c>
    </row>
    <row r="34" spans="2:5" x14ac:dyDescent="0.25">
      <c r="B34" s="11" t="s">
        <v>158</v>
      </c>
      <c r="C34" s="14" t="str">
        <f>IF(IF(C32&lt;&gt;"",C32,C30)="","",INDEX('03_Auswertung'!B2:B3001,IF(C32&lt;&gt;"",C32,C30)))</f>
        <v/>
      </c>
      <c r="D34" t="s">
        <v>66</v>
      </c>
      <c r="E34" s="10" t="s">
        <v>159</v>
      </c>
    </row>
    <row r="35" spans="2:5" x14ac:dyDescent="0.25">
      <c r="B35" s="11" t="s">
        <v>160</v>
      </c>
      <c r="C35" s="14" t="str">
        <f>IF(IF(C33&lt;&gt;"",C33,C31)="","",INDEX('03_Auswertung'!B2:B3001,IF(C33&lt;&gt;"",C33,C31)))</f>
        <v/>
      </c>
      <c r="D35" t="s">
        <v>66</v>
      </c>
      <c r="E35" s="10" t="s">
        <v>159</v>
      </c>
    </row>
    <row r="36" spans="2:5" x14ac:dyDescent="0.25">
      <c r="B36" s="11" t="s">
        <v>161</v>
      </c>
      <c r="C36" s="14" t="str">
        <f>IF(C29&lt;&gt;"",INDEX('03_Auswertung'!B2:B3001,C29),IF('01_Rohdaten'!A2="","",'01_Rohdaten'!A2))</f>
        <v/>
      </c>
      <c r="D36" t="s">
        <v>66</v>
      </c>
      <c r="E36" s="10" t="s">
        <v>162</v>
      </c>
    </row>
  </sheetData>
  <dataValidations count="3">
    <dataValidation type="list" sqref="C14" xr:uid="{00000000-0002-0000-0200-000000000000}">
      <formula1>"m/s2,g"</formula1>
    </dataValidation>
    <dataValidation type="list" sqref="C13" xr:uid="{00000000-0002-0000-0200-000001000000}">
      <formula1>"1,2,3"</formula1>
    </dataValidation>
    <dataValidation type="whole" sqref="C29 C32:C33" xr:uid="{00000000-0002-0000-0200-000002000000}">
      <formula1>1</formula1>
      <formula2>3000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001"/>
  <sheetViews>
    <sheetView workbookViewId="0">
      <pane ySplit="1" topLeftCell="A2" activePane="bottomLeft" state="frozen"/>
      <selection pane="bottomLeft"/>
    </sheetView>
  </sheetViews>
  <sheetFormatPr baseColWidth="10" defaultColWidth="9.140625" defaultRowHeight="15" x14ac:dyDescent="0.25"/>
  <cols>
    <col min="1" max="1" width="7" customWidth="1"/>
    <col min="2" max="2" width="12" customWidth="1"/>
    <col min="3" max="3" width="17" customWidth="1"/>
    <col min="4" max="5" width="12" customWidth="1"/>
    <col min="6" max="6" width="17" customWidth="1"/>
    <col min="7" max="7" width="19" customWidth="1"/>
    <col min="8" max="8" width="15" customWidth="1"/>
    <col min="9" max="9" width="20" customWidth="1"/>
    <col min="10" max="10" width="17" customWidth="1"/>
  </cols>
  <sheetData>
    <row r="1" spans="1:11" ht="30" x14ac:dyDescent="0.25">
      <c r="A1" s="16" t="s">
        <v>75</v>
      </c>
      <c r="B1" s="16" t="s">
        <v>27</v>
      </c>
      <c r="C1" s="16" t="s">
        <v>76</v>
      </c>
      <c r="D1" s="16" t="s">
        <v>77</v>
      </c>
      <c r="E1" s="16" t="s">
        <v>78</v>
      </c>
      <c r="F1" s="16" t="s">
        <v>79</v>
      </c>
      <c r="G1" s="16" t="s">
        <v>80</v>
      </c>
      <c r="H1" s="16" t="s">
        <v>81</v>
      </c>
      <c r="I1" s="16" t="s">
        <v>82</v>
      </c>
      <c r="J1" s="16" t="s">
        <v>83</v>
      </c>
      <c r="K1" s="6" t="s">
        <v>84</v>
      </c>
    </row>
    <row r="2" spans="1:11" x14ac:dyDescent="0.25">
      <c r="A2" t="str">
        <f>IF('01_Rohdaten'!A2="","",ROW()-1)</f>
        <v/>
      </c>
      <c r="B2" s="17" t="str">
        <f>IF('01_Rohdaten'!A2="","",'01_Rohdaten'!A2)</f>
        <v/>
      </c>
      <c r="C2" s="17" t="str">
        <f>IF(B2="","",INDEX('01_Rohdaten'!B2:D2,'02_Eingaben'!$C$13))</f>
        <v/>
      </c>
      <c r="D2" s="17" t="str">
        <f>IF(C2="","",C2*'02_Eingaben'!$C$15)</f>
        <v/>
      </c>
      <c r="E2" s="17" t="str">
        <f>IF(D2="","",D2*'02_Eingaben'!$C$8)</f>
        <v/>
      </c>
      <c r="F2" s="17" t="str">
        <f>IF(E2="","",AVERAGE(INDEX($E$2:$E$3001,MAX(1,ROW()-1-'02_Eingaben'!$C$17)):INDEX($E$2:$E$3001,MIN('02_Eingaben'!$C$21,ROW()-1+'02_Eingaben'!$C$17))))</f>
        <v/>
      </c>
      <c r="G2" s="17" t="str">
        <f>IF(F2="","",F2-'02_Eingaben'!$C$10)</f>
        <v/>
      </c>
      <c r="H2" t="str">
        <f>IF(F2="","",IF(F2&lt;'02_Eingaben'!$C$18*'02_Eingaben'!$C$10,1,0))</f>
        <v/>
      </c>
      <c r="I2" s="17" t="str">
        <f t="shared" ref="I2:I65" si="0">IF(OR(G2="",G3=""),"",(G2+G3)/2*(B3-B2))</f>
        <v/>
      </c>
      <c r="J2" s="17" t="str">
        <f>IF(B2="","",0)</f>
        <v/>
      </c>
    </row>
    <row r="3" spans="1:11" x14ac:dyDescent="0.25">
      <c r="A3" t="str">
        <f>IF('01_Rohdaten'!A3="","",ROW()-1)</f>
        <v/>
      </c>
      <c r="B3" s="17" t="str">
        <f>IF('01_Rohdaten'!A3="","",'01_Rohdaten'!A3)</f>
        <v/>
      </c>
      <c r="C3" s="17" t="str">
        <f>IF(B3="","",INDEX('01_Rohdaten'!B3:D3,'02_Eingaben'!$C$13))</f>
        <v/>
      </c>
      <c r="D3" s="17" t="str">
        <f>IF(C3="","",C3*'02_Eingaben'!$C$15)</f>
        <v/>
      </c>
      <c r="E3" s="17" t="str">
        <f>IF(D3="","",D3*'02_Eingaben'!$C$8)</f>
        <v/>
      </c>
      <c r="F3" s="17" t="str">
        <f>IF(E3="","",AVERAGE(INDEX($E$2:$E$3001,MAX(1,ROW()-1-'02_Eingaben'!$C$17)):INDEX($E$2:$E$3001,MIN('02_Eingaben'!$C$21,ROW()-1+'02_Eingaben'!$C$17))))</f>
        <v/>
      </c>
      <c r="G3" s="17" t="str">
        <f>IF(F3="","",F3-'02_Eingaben'!$C$10)</f>
        <v/>
      </c>
      <c r="H3" t="str">
        <f>IF(F3="","",IF(F3&lt;'02_Eingaben'!$C$18*'02_Eingaben'!$C$10,1,0))</f>
        <v/>
      </c>
      <c r="I3" s="17" t="str">
        <f t="shared" si="0"/>
        <v/>
      </c>
      <c r="J3" s="17" t="str">
        <f>IF(B3="","",IF(B2&lt;'02_Eingaben'!$C$36,0,J2+I2/'02_Eingaben'!$C$8))</f>
        <v/>
      </c>
    </row>
    <row r="4" spans="1:11" x14ac:dyDescent="0.25">
      <c r="A4" t="str">
        <f>IF('01_Rohdaten'!A4="","",ROW()-1)</f>
        <v/>
      </c>
      <c r="B4" s="17" t="str">
        <f>IF('01_Rohdaten'!A4="","",'01_Rohdaten'!A4)</f>
        <v/>
      </c>
      <c r="C4" s="17" t="str">
        <f>IF(B4="","",INDEX('01_Rohdaten'!B4:D4,'02_Eingaben'!$C$13))</f>
        <v/>
      </c>
      <c r="D4" s="17" t="str">
        <f>IF(C4="","",C4*'02_Eingaben'!$C$15)</f>
        <v/>
      </c>
      <c r="E4" s="17" t="str">
        <f>IF(D4="","",D4*'02_Eingaben'!$C$8)</f>
        <v/>
      </c>
      <c r="F4" s="17" t="str">
        <f>IF(E4="","",AVERAGE(INDEX($E$2:$E$3001,MAX(1,ROW()-1-'02_Eingaben'!$C$17)):INDEX($E$2:$E$3001,MIN('02_Eingaben'!$C$21,ROW()-1+'02_Eingaben'!$C$17))))</f>
        <v/>
      </c>
      <c r="G4" s="17" t="str">
        <f>IF(F4="","",F4-'02_Eingaben'!$C$10)</f>
        <v/>
      </c>
      <c r="H4" t="str">
        <f>IF(F4="","",IF(F4&lt;'02_Eingaben'!$C$18*'02_Eingaben'!$C$10,1,0))</f>
        <v/>
      </c>
      <c r="I4" s="17" t="str">
        <f t="shared" si="0"/>
        <v/>
      </c>
      <c r="J4" s="17" t="str">
        <f>IF(B4="","",IF(B3&lt;'02_Eingaben'!$C$36,0,J3+I3/'02_Eingaben'!$C$8))</f>
        <v/>
      </c>
    </row>
    <row r="5" spans="1:11" x14ac:dyDescent="0.25">
      <c r="A5" t="str">
        <f>IF('01_Rohdaten'!A5="","",ROW()-1)</f>
        <v/>
      </c>
      <c r="B5" s="17" t="str">
        <f>IF('01_Rohdaten'!A5="","",'01_Rohdaten'!A5)</f>
        <v/>
      </c>
      <c r="C5" s="17" t="str">
        <f>IF(B5="","",INDEX('01_Rohdaten'!B5:D5,'02_Eingaben'!$C$13))</f>
        <v/>
      </c>
      <c r="D5" s="17" t="str">
        <f>IF(C5="","",C5*'02_Eingaben'!$C$15)</f>
        <v/>
      </c>
      <c r="E5" s="17" t="str">
        <f>IF(D5="","",D5*'02_Eingaben'!$C$8)</f>
        <v/>
      </c>
      <c r="F5" s="17" t="str">
        <f>IF(E5="","",AVERAGE(INDEX($E$2:$E$3001,MAX(1,ROW()-1-'02_Eingaben'!$C$17)):INDEX($E$2:$E$3001,MIN('02_Eingaben'!$C$21,ROW()-1+'02_Eingaben'!$C$17))))</f>
        <v/>
      </c>
      <c r="G5" s="17" t="str">
        <f>IF(F5="","",F5-'02_Eingaben'!$C$10)</f>
        <v/>
      </c>
      <c r="H5" t="str">
        <f>IF(F5="","",IF(F5&lt;'02_Eingaben'!$C$18*'02_Eingaben'!$C$10,1,0))</f>
        <v/>
      </c>
      <c r="I5" s="17" t="str">
        <f t="shared" si="0"/>
        <v/>
      </c>
      <c r="J5" s="17" t="str">
        <f>IF(B5="","",IF(B4&lt;'02_Eingaben'!$C$36,0,J4+I4/'02_Eingaben'!$C$8))</f>
        <v/>
      </c>
    </row>
    <row r="6" spans="1:11" x14ac:dyDescent="0.25">
      <c r="A6" t="str">
        <f>IF('01_Rohdaten'!A6="","",ROW()-1)</f>
        <v/>
      </c>
      <c r="B6" s="17" t="str">
        <f>IF('01_Rohdaten'!A6="","",'01_Rohdaten'!A6)</f>
        <v/>
      </c>
      <c r="C6" s="17" t="str">
        <f>IF(B6="","",INDEX('01_Rohdaten'!B6:D6,'02_Eingaben'!$C$13))</f>
        <v/>
      </c>
      <c r="D6" s="17" t="str">
        <f>IF(C6="","",C6*'02_Eingaben'!$C$15)</f>
        <v/>
      </c>
      <c r="E6" s="17" t="str">
        <f>IF(D6="","",D6*'02_Eingaben'!$C$8)</f>
        <v/>
      </c>
      <c r="F6" s="17" t="str">
        <f>IF(E6="","",AVERAGE(INDEX($E$2:$E$3001,MAX(1,ROW()-1-'02_Eingaben'!$C$17)):INDEX($E$2:$E$3001,MIN('02_Eingaben'!$C$21,ROW()-1+'02_Eingaben'!$C$17))))</f>
        <v/>
      </c>
      <c r="G6" s="17" t="str">
        <f>IF(F6="","",F6-'02_Eingaben'!$C$10)</f>
        <v/>
      </c>
      <c r="H6" t="str">
        <f>IF(F6="","",IF(F6&lt;'02_Eingaben'!$C$18*'02_Eingaben'!$C$10,1,0))</f>
        <v/>
      </c>
      <c r="I6" s="17" t="str">
        <f t="shared" si="0"/>
        <v/>
      </c>
      <c r="J6" s="17" t="str">
        <f>IF(B6="","",IF(B5&lt;'02_Eingaben'!$C$36,0,J5+I5/'02_Eingaben'!$C$8))</f>
        <v/>
      </c>
    </row>
    <row r="7" spans="1:11" x14ac:dyDescent="0.25">
      <c r="A7" t="str">
        <f>IF('01_Rohdaten'!A7="","",ROW()-1)</f>
        <v/>
      </c>
      <c r="B7" s="17" t="str">
        <f>IF('01_Rohdaten'!A7="","",'01_Rohdaten'!A7)</f>
        <v/>
      </c>
      <c r="C7" s="17" t="str">
        <f>IF(B7="","",INDEX('01_Rohdaten'!B7:D7,'02_Eingaben'!$C$13))</f>
        <v/>
      </c>
      <c r="D7" s="17" t="str">
        <f>IF(C7="","",C7*'02_Eingaben'!$C$15)</f>
        <v/>
      </c>
      <c r="E7" s="17" t="str">
        <f>IF(D7="","",D7*'02_Eingaben'!$C$8)</f>
        <v/>
      </c>
      <c r="F7" s="17" t="str">
        <f>IF(E7="","",AVERAGE(INDEX($E$2:$E$3001,MAX(1,ROW()-1-'02_Eingaben'!$C$17)):INDEX($E$2:$E$3001,MIN('02_Eingaben'!$C$21,ROW()-1+'02_Eingaben'!$C$17))))</f>
        <v/>
      </c>
      <c r="G7" s="17" t="str">
        <f>IF(F7="","",F7-'02_Eingaben'!$C$10)</f>
        <v/>
      </c>
      <c r="H7" t="str">
        <f>IF(F7="","",IF(F7&lt;'02_Eingaben'!$C$18*'02_Eingaben'!$C$10,1,0))</f>
        <v/>
      </c>
      <c r="I7" s="17" t="str">
        <f t="shared" si="0"/>
        <v/>
      </c>
      <c r="J7" s="17" t="str">
        <f>IF(B7="","",IF(B6&lt;'02_Eingaben'!$C$36,0,J6+I6/'02_Eingaben'!$C$8))</f>
        <v/>
      </c>
    </row>
    <row r="8" spans="1:11" x14ac:dyDescent="0.25">
      <c r="A8" t="str">
        <f>IF('01_Rohdaten'!A8="","",ROW()-1)</f>
        <v/>
      </c>
      <c r="B8" s="17" t="str">
        <f>IF('01_Rohdaten'!A8="","",'01_Rohdaten'!A8)</f>
        <v/>
      </c>
      <c r="C8" s="17" t="str">
        <f>IF(B8="","",INDEX('01_Rohdaten'!B8:D8,'02_Eingaben'!$C$13))</f>
        <v/>
      </c>
      <c r="D8" s="17" t="str">
        <f>IF(C8="","",C8*'02_Eingaben'!$C$15)</f>
        <v/>
      </c>
      <c r="E8" s="17" t="str">
        <f>IF(D8="","",D8*'02_Eingaben'!$C$8)</f>
        <v/>
      </c>
      <c r="F8" s="17" t="str">
        <f>IF(E8="","",AVERAGE(INDEX($E$2:$E$3001,MAX(1,ROW()-1-'02_Eingaben'!$C$17)):INDEX($E$2:$E$3001,MIN('02_Eingaben'!$C$21,ROW()-1+'02_Eingaben'!$C$17))))</f>
        <v/>
      </c>
      <c r="G8" s="17" t="str">
        <f>IF(F8="","",F8-'02_Eingaben'!$C$10)</f>
        <v/>
      </c>
      <c r="H8" t="str">
        <f>IF(F8="","",IF(F8&lt;'02_Eingaben'!$C$18*'02_Eingaben'!$C$10,1,0))</f>
        <v/>
      </c>
      <c r="I8" s="17" t="str">
        <f t="shared" si="0"/>
        <v/>
      </c>
      <c r="J8" s="17" t="str">
        <f>IF(B8="","",IF(B7&lt;'02_Eingaben'!$C$36,0,J7+I7/'02_Eingaben'!$C$8))</f>
        <v/>
      </c>
    </row>
    <row r="9" spans="1:11" x14ac:dyDescent="0.25">
      <c r="A9" t="str">
        <f>IF('01_Rohdaten'!A9="","",ROW()-1)</f>
        <v/>
      </c>
      <c r="B9" s="17" t="str">
        <f>IF('01_Rohdaten'!A9="","",'01_Rohdaten'!A9)</f>
        <v/>
      </c>
      <c r="C9" s="17" t="str">
        <f>IF(B9="","",INDEX('01_Rohdaten'!B9:D9,'02_Eingaben'!$C$13))</f>
        <v/>
      </c>
      <c r="D9" s="17" t="str">
        <f>IF(C9="","",C9*'02_Eingaben'!$C$15)</f>
        <v/>
      </c>
      <c r="E9" s="17" t="str">
        <f>IF(D9="","",D9*'02_Eingaben'!$C$8)</f>
        <v/>
      </c>
      <c r="F9" s="17" t="str">
        <f>IF(E9="","",AVERAGE(INDEX($E$2:$E$3001,MAX(1,ROW()-1-'02_Eingaben'!$C$17)):INDEX($E$2:$E$3001,MIN('02_Eingaben'!$C$21,ROW()-1+'02_Eingaben'!$C$17))))</f>
        <v/>
      </c>
      <c r="G9" s="17" t="str">
        <f>IF(F9="","",F9-'02_Eingaben'!$C$10)</f>
        <v/>
      </c>
      <c r="H9" t="str">
        <f>IF(F9="","",IF(F9&lt;'02_Eingaben'!$C$18*'02_Eingaben'!$C$10,1,0))</f>
        <v/>
      </c>
      <c r="I9" s="17" t="str">
        <f t="shared" si="0"/>
        <v/>
      </c>
      <c r="J9" s="17" t="str">
        <f>IF(B9="","",IF(B8&lt;'02_Eingaben'!$C$36,0,J8+I8/'02_Eingaben'!$C$8))</f>
        <v/>
      </c>
    </row>
    <row r="10" spans="1:11" x14ac:dyDescent="0.25">
      <c r="A10" t="str">
        <f>IF('01_Rohdaten'!A10="","",ROW()-1)</f>
        <v/>
      </c>
      <c r="B10" s="17" t="str">
        <f>IF('01_Rohdaten'!A10="","",'01_Rohdaten'!A10)</f>
        <v/>
      </c>
      <c r="C10" s="17" t="str">
        <f>IF(B10="","",INDEX('01_Rohdaten'!B10:D10,'02_Eingaben'!$C$13))</f>
        <v/>
      </c>
      <c r="D10" s="17" t="str">
        <f>IF(C10="","",C10*'02_Eingaben'!$C$15)</f>
        <v/>
      </c>
      <c r="E10" s="17" t="str">
        <f>IF(D10="","",D10*'02_Eingaben'!$C$8)</f>
        <v/>
      </c>
      <c r="F10" s="17" t="str">
        <f>IF(E10="","",AVERAGE(INDEX($E$2:$E$3001,MAX(1,ROW()-1-'02_Eingaben'!$C$17)):INDEX($E$2:$E$3001,MIN('02_Eingaben'!$C$21,ROW()-1+'02_Eingaben'!$C$17))))</f>
        <v/>
      </c>
      <c r="G10" s="17" t="str">
        <f>IF(F10="","",F10-'02_Eingaben'!$C$10)</f>
        <v/>
      </c>
      <c r="H10" t="str">
        <f>IF(F10="","",IF(F10&lt;'02_Eingaben'!$C$18*'02_Eingaben'!$C$10,1,0))</f>
        <v/>
      </c>
      <c r="I10" s="17" t="str">
        <f t="shared" si="0"/>
        <v/>
      </c>
      <c r="J10" s="17" t="str">
        <f>IF(B10="","",IF(B9&lt;'02_Eingaben'!$C$36,0,J9+I9/'02_Eingaben'!$C$8))</f>
        <v/>
      </c>
    </row>
    <row r="11" spans="1:11" x14ac:dyDescent="0.25">
      <c r="A11" t="str">
        <f>IF('01_Rohdaten'!A11="","",ROW()-1)</f>
        <v/>
      </c>
      <c r="B11" s="17" t="str">
        <f>IF('01_Rohdaten'!A11="","",'01_Rohdaten'!A11)</f>
        <v/>
      </c>
      <c r="C11" s="17" t="str">
        <f>IF(B11="","",INDEX('01_Rohdaten'!B11:D11,'02_Eingaben'!$C$13))</f>
        <v/>
      </c>
      <c r="D11" s="17" t="str">
        <f>IF(C11="","",C11*'02_Eingaben'!$C$15)</f>
        <v/>
      </c>
      <c r="E11" s="17" t="str">
        <f>IF(D11="","",D11*'02_Eingaben'!$C$8)</f>
        <v/>
      </c>
      <c r="F11" s="17" t="str">
        <f>IF(E11="","",AVERAGE(INDEX($E$2:$E$3001,MAX(1,ROW()-1-'02_Eingaben'!$C$17)):INDEX($E$2:$E$3001,MIN('02_Eingaben'!$C$21,ROW()-1+'02_Eingaben'!$C$17))))</f>
        <v/>
      </c>
      <c r="G11" s="17" t="str">
        <f>IF(F11="","",F11-'02_Eingaben'!$C$10)</f>
        <v/>
      </c>
      <c r="H11" t="str">
        <f>IF(F11="","",IF(F11&lt;'02_Eingaben'!$C$18*'02_Eingaben'!$C$10,1,0))</f>
        <v/>
      </c>
      <c r="I11" s="17" t="str">
        <f t="shared" si="0"/>
        <v/>
      </c>
      <c r="J11" s="17" t="str">
        <f>IF(B11="","",IF(B10&lt;'02_Eingaben'!$C$36,0,J10+I10/'02_Eingaben'!$C$8))</f>
        <v/>
      </c>
    </row>
    <row r="12" spans="1:11" x14ac:dyDescent="0.25">
      <c r="A12" t="str">
        <f>IF('01_Rohdaten'!A12="","",ROW()-1)</f>
        <v/>
      </c>
      <c r="B12" s="17" t="str">
        <f>IF('01_Rohdaten'!A12="","",'01_Rohdaten'!A12)</f>
        <v/>
      </c>
      <c r="C12" s="17" t="str">
        <f>IF(B12="","",INDEX('01_Rohdaten'!B12:D12,'02_Eingaben'!$C$13))</f>
        <v/>
      </c>
      <c r="D12" s="17" t="str">
        <f>IF(C12="","",C12*'02_Eingaben'!$C$15)</f>
        <v/>
      </c>
      <c r="E12" s="17" t="str">
        <f>IF(D12="","",D12*'02_Eingaben'!$C$8)</f>
        <v/>
      </c>
      <c r="F12" s="17" t="str">
        <f>IF(E12="","",AVERAGE(INDEX($E$2:$E$3001,MAX(1,ROW()-1-'02_Eingaben'!$C$17)):INDEX($E$2:$E$3001,MIN('02_Eingaben'!$C$21,ROW()-1+'02_Eingaben'!$C$17))))</f>
        <v/>
      </c>
      <c r="G12" s="17" t="str">
        <f>IF(F12="","",F12-'02_Eingaben'!$C$10)</f>
        <v/>
      </c>
      <c r="H12" t="str">
        <f>IF(F12="","",IF(F12&lt;'02_Eingaben'!$C$18*'02_Eingaben'!$C$10,1,0))</f>
        <v/>
      </c>
      <c r="I12" s="17" t="str">
        <f t="shared" si="0"/>
        <v/>
      </c>
      <c r="J12" s="17" t="str">
        <f>IF(B12="","",IF(B11&lt;'02_Eingaben'!$C$36,0,J11+I11/'02_Eingaben'!$C$8))</f>
        <v/>
      </c>
    </row>
    <row r="13" spans="1:11" x14ac:dyDescent="0.25">
      <c r="A13" t="str">
        <f>IF('01_Rohdaten'!A13="","",ROW()-1)</f>
        <v/>
      </c>
      <c r="B13" s="17" t="str">
        <f>IF('01_Rohdaten'!A13="","",'01_Rohdaten'!A13)</f>
        <v/>
      </c>
      <c r="C13" s="17" t="str">
        <f>IF(B13="","",INDEX('01_Rohdaten'!B13:D13,'02_Eingaben'!$C$13))</f>
        <v/>
      </c>
      <c r="D13" s="17" t="str">
        <f>IF(C13="","",C13*'02_Eingaben'!$C$15)</f>
        <v/>
      </c>
      <c r="E13" s="17" t="str">
        <f>IF(D13="","",D13*'02_Eingaben'!$C$8)</f>
        <v/>
      </c>
      <c r="F13" s="17" t="str">
        <f>IF(E13="","",AVERAGE(INDEX($E$2:$E$3001,MAX(1,ROW()-1-'02_Eingaben'!$C$17)):INDEX($E$2:$E$3001,MIN('02_Eingaben'!$C$21,ROW()-1+'02_Eingaben'!$C$17))))</f>
        <v/>
      </c>
      <c r="G13" s="17" t="str">
        <f>IF(F13="","",F13-'02_Eingaben'!$C$10)</f>
        <v/>
      </c>
      <c r="H13" t="str">
        <f>IF(F13="","",IF(F13&lt;'02_Eingaben'!$C$18*'02_Eingaben'!$C$10,1,0))</f>
        <v/>
      </c>
      <c r="I13" s="17" t="str">
        <f t="shared" si="0"/>
        <v/>
      </c>
      <c r="J13" s="17" t="str">
        <f>IF(B13="","",IF(B12&lt;'02_Eingaben'!$C$36,0,J12+I12/'02_Eingaben'!$C$8))</f>
        <v/>
      </c>
    </row>
    <row r="14" spans="1:11" x14ac:dyDescent="0.25">
      <c r="A14" t="str">
        <f>IF('01_Rohdaten'!A14="","",ROW()-1)</f>
        <v/>
      </c>
      <c r="B14" s="17" t="str">
        <f>IF('01_Rohdaten'!A14="","",'01_Rohdaten'!A14)</f>
        <v/>
      </c>
      <c r="C14" s="17" t="str">
        <f>IF(B14="","",INDEX('01_Rohdaten'!B14:D14,'02_Eingaben'!$C$13))</f>
        <v/>
      </c>
      <c r="D14" s="17" t="str">
        <f>IF(C14="","",C14*'02_Eingaben'!$C$15)</f>
        <v/>
      </c>
      <c r="E14" s="17" t="str">
        <f>IF(D14="","",D14*'02_Eingaben'!$C$8)</f>
        <v/>
      </c>
      <c r="F14" s="17" t="str">
        <f>IF(E14="","",AVERAGE(INDEX($E$2:$E$3001,MAX(1,ROW()-1-'02_Eingaben'!$C$17)):INDEX($E$2:$E$3001,MIN('02_Eingaben'!$C$21,ROW()-1+'02_Eingaben'!$C$17))))</f>
        <v/>
      </c>
      <c r="G14" s="17" t="str">
        <f>IF(F14="","",F14-'02_Eingaben'!$C$10)</f>
        <v/>
      </c>
      <c r="H14" t="str">
        <f>IF(F14="","",IF(F14&lt;'02_Eingaben'!$C$18*'02_Eingaben'!$C$10,1,0))</f>
        <v/>
      </c>
      <c r="I14" s="17" t="str">
        <f t="shared" si="0"/>
        <v/>
      </c>
      <c r="J14" s="17" t="str">
        <f>IF(B14="","",IF(B13&lt;'02_Eingaben'!$C$36,0,J13+I13/'02_Eingaben'!$C$8))</f>
        <v/>
      </c>
    </row>
    <row r="15" spans="1:11" x14ac:dyDescent="0.25">
      <c r="A15" t="str">
        <f>IF('01_Rohdaten'!A15="","",ROW()-1)</f>
        <v/>
      </c>
      <c r="B15" s="17" t="str">
        <f>IF('01_Rohdaten'!A15="","",'01_Rohdaten'!A15)</f>
        <v/>
      </c>
      <c r="C15" s="17" t="str">
        <f>IF(B15="","",INDEX('01_Rohdaten'!B15:D15,'02_Eingaben'!$C$13))</f>
        <v/>
      </c>
      <c r="D15" s="17" t="str">
        <f>IF(C15="","",C15*'02_Eingaben'!$C$15)</f>
        <v/>
      </c>
      <c r="E15" s="17" t="str">
        <f>IF(D15="","",D15*'02_Eingaben'!$C$8)</f>
        <v/>
      </c>
      <c r="F15" s="17" t="str">
        <f>IF(E15="","",AVERAGE(INDEX($E$2:$E$3001,MAX(1,ROW()-1-'02_Eingaben'!$C$17)):INDEX($E$2:$E$3001,MIN('02_Eingaben'!$C$21,ROW()-1+'02_Eingaben'!$C$17))))</f>
        <v/>
      </c>
      <c r="G15" s="17" t="str">
        <f>IF(F15="","",F15-'02_Eingaben'!$C$10)</f>
        <v/>
      </c>
      <c r="H15" t="str">
        <f>IF(F15="","",IF(F15&lt;'02_Eingaben'!$C$18*'02_Eingaben'!$C$10,1,0))</f>
        <v/>
      </c>
      <c r="I15" s="17" t="str">
        <f t="shared" si="0"/>
        <v/>
      </c>
      <c r="J15" s="17" t="str">
        <f>IF(B15="","",IF(B14&lt;'02_Eingaben'!$C$36,0,J14+I14/'02_Eingaben'!$C$8))</f>
        <v/>
      </c>
    </row>
    <row r="16" spans="1:11" x14ac:dyDescent="0.25">
      <c r="A16" t="str">
        <f>IF('01_Rohdaten'!A16="","",ROW()-1)</f>
        <v/>
      </c>
      <c r="B16" s="17" t="str">
        <f>IF('01_Rohdaten'!A16="","",'01_Rohdaten'!A16)</f>
        <v/>
      </c>
      <c r="C16" s="17" t="str">
        <f>IF(B16="","",INDEX('01_Rohdaten'!B16:D16,'02_Eingaben'!$C$13))</f>
        <v/>
      </c>
      <c r="D16" s="17" t="str">
        <f>IF(C16="","",C16*'02_Eingaben'!$C$15)</f>
        <v/>
      </c>
      <c r="E16" s="17" t="str">
        <f>IF(D16="","",D16*'02_Eingaben'!$C$8)</f>
        <v/>
      </c>
      <c r="F16" s="17" t="str">
        <f>IF(E16="","",AVERAGE(INDEX($E$2:$E$3001,MAX(1,ROW()-1-'02_Eingaben'!$C$17)):INDEX($E$2:$E$3001,MIN('02_Eingaben'!$C$21,ROW()-1+'02_Eingaben'!$C$17))))</f>
        <v/>
      </c>
      <c r="G16" s="17" t="str">
        <f>IF(F16="","",F16-'02_Eingaben'!$C$10)</f>
        <v/>
      </c>
      <c r="H16" t="str">
        <f>IF(F16="","",IF(F16&lt;'02_Eingaben'!$C$18*'02_Eingaben'!$C$10,1,0))</f>
        <v/>
      </c>
      <c r="I16" s="17" t="str">
        <f t="shared" si="0"/>
        <v/>
      </c>
      <c r="J16" s="17" t="str">
        <f>IF(B16="","",IF(B15&lt;'02_Eingaben'!$C$36,0,J15+I15/'02_Eingaben'!$C$8))</f>
        <v/>
      </c>
    </row>
    <row r="17" spans="1:10" x14ac:dyDescent="0.25">
      <c r="A17" t="str">
        <f>IF('01_Rohdaten'!A17="","",ROW()-1)</f>
        <v/>
      </c>
      <c r="B17" s="17" t="str">
        <f>IF('01_Rohdaten'!A17="","",'01_Rohdaten'!A17)</f>
        <v/>
      </c>
      <c r="C17" s="17" t="str">
        <f>IF(B17="","",INDEX('01_Rohdaten'!B17:D17,'02_Eingaben'!$C$13))</f>
        <v/>
      </c>
      <c r="D17" s="17" t="str">
        <f>IF(C17="","",C17*'02_Eingaben'!$C$15)</f>
        <v/>
      </c>
      <c r="E17" s="17" t="str">
        <f>IF(D17="","",D17*'02_Eingaben'!$C$8)</f>
        <v/>
      </c>
      <c r="F17" s="17" t="str">
        <f>IF(E17="","",AVERAGE(INDEX($E$2:$E$3001,MAX(1,ROW()-1-'02_Eingaben'!$C$17)):INDEX($E$2:$E$3001,MIN('02_Eingaben'!$C$21,ROW()-1+'02_Eingaben'!$C$17))))</f>
        <v/>
      </c>
      <c r="G17" s="17" t="str">
        <f>IF(F17="","",F17-'02_Eingaben'!$C$10)</f>
        <v/>
      </c>
      <c r="H17" t="str">
        <f>IF(F17="","",IF(F17&lt;'02_Eingaben'!$C$18*'02_Eingaben'!$C$10,1,0))</f>
        <v/>
      </c>
      <c r="I17" s="17" t="str">
        <f t="shared" si="0"/>
        <v/>
      </c>
      <c r="J17" s="17" t="str">
        <f>IF(B17="","",IF(B16&lt;'02_Eingaben'!$C$36,0,J16+I16/'02_Eingaben'!$C$8))</f>
        <v/>
      </c>
    </row>
    <row r="18" spans="1:10" x14ac:dyDescent="0.25">
      <c r="A18" t="str">
        <f>IF('01_Rohdaten'!A18="","",ROW()-1)</f>
        <v/>
      </c>
      <c r="B18" s="17" t="str">
        <f>IF('01_Rohdaten'!A18="","",'01_Rohdaten'!A18)</f>
        <v/>
      </c>
      <c r="C18" s="17" t="str">
        <f>IF(B18="","",INDEX('01_Rohdaten'!B18:D18,'02_Eingaben'!$C$13))</f>
        <v/>
      </c>
      <c r="D18" s="17" t="str">
        <f>IF(C18="","",C18*'02_Eingaben'!$C$15)</f>
        <v/>
      </c>
      <c r="E18" s="17" t="str">
        <f>IF(D18="","",D18*'02_Eingaben'!$C$8)</f>
        <v/>
      </c>
      <c r="F18" s="17" t="str">
        <f>IF(E18="","",AVERAGE(INDEX($E$2:$E$3001,MAX(1,ROW()-1-'02_Eingaben'!$C$17)):INDEX($E$2:$E$3001,MIN('02_Eingaben'!$C$21,ROW()-1+'02_Eingaben'!$C$17))))</f>
        <v/>
      </c>
      <c r="G18" s="17" t="str">
        <f>IF(F18="","",F18-'02_Eingaben'!$C$10)</f>
        <v/>
      </c>
      <c r="H18" t="str">
        <f>IF(F18="","",IF(F18&lt;'02_Eingaben'!$C$18*'02_Eingaben'!$C$10,1,0))</f>
        <v/>
      </c>
      <c r="I18" s="17" t="str">
        <f t="shared" si="0"/>
        <v/>
      </c>
      <c r="J18" s="17" t="str">
        <f>IF(B18="","",IF(B17&lt;'02_Eingaben'!$C$36,0,J17+I17/'02_Eingaben'!$C$8))</f>
        <v/>
      </c>
    </row>
    <row r="19" spans="1:10" x14ac:dyDescent="0.25">
      <c r="A19" t="str">
        <f>IF('01_Rohdaten'!A19="","",ROW()-1)</f>
        <v/>
      </c>
      <c r="B19" s="17" t="str">
        <f>IF('01_Rohdaten'!A19="","",'01_Rohdaten'!A19)</f>
        <v/>
      </c>
      <c r="C19" s="17" t="str">
        <f>IF(B19="","",INDEX('01_Rohdaten'!B19:D19,'02_Eingaben'!$C$13))</f>
        <v/>
      </c>
      <c r="D19" s="17" t="str">
        <f>IF(C19="","",C19*'02_Eingaben'!$C$15)</f>
        <v/>
      </c>
      <c r="E19" s="17" t="str">
        <f>IF(D19="","",D19*'02_Eingaben'!$C$8)</f>
        <v/>
      </c>
      <c r="F19" s="17" t="str">
        <f>IF(E19="","",AVERAGE(INDEX($E$2:$E$3001,MAX(1,ROW()-1-'02_Eingaben'!$C$17)):INDEX($E$2:$E$3001,MIN('02_Eingaben'!$C$21,ROW()-1+'02_Eingaben'!$C$17))))</f>
        <v/>
      </c>
      <c r="G19" s="17" t="str">
        <f>IF(F19="","",F19-'02_Eingaben'!$C$10)</f>
        <v/>
      </c>
      <c r="H19" t="str">
        <f>IF(F19="","",IF(F19&lt;'02_Eingaben'!$C$18*'02_Eingaben'!$C$10,1,0))</f>
        <v/>
      </c>
      <c r="I19" s="17" t="str">
        <f t="shared" si="0"/>
        <v/>
      </c>
      <c r="J19" s="17" t="str">
        <f>IF(B19="","",IF(B18&lt;'02_Eingaben'!$C$36,0,J18+I18/'02_Eingaben'!$C$8))</f>
        <v/>
      </c>
    </row>
    <row r="20" spans="1:10" x14ac:dyDescent="0.25">
      <c r="A20" t="str">
        <f>IF('01_Rohdaten'!A20="","",ROW()-1)</f>
        <v/>
      </c>
      <c r="B20" s="17" t="str">
        <f>IF('01_Rohdaten'!A20="","",'01_Rohdaten'!A20)</f>
        <v/>
      </c>
      <c r="C20" s="17" t="str">
        <f>IF(B20="","",INDEX('01_Rohdaten'!B20:D20,'02_Eingaben'!$C$13))</f>
        <v/>
      </c>
      <c r="D20" s="17" t="str">
        <f>IF(C20="","",C20*'02_Eingaben'!$C$15)</f>
        <v/>
      </c>
      <c r="E20" s="17" t="str">
        <f>IF(D20="","",D20*'02_Eingaben'!$C$8)</f>
        <v/>
      </c>
      <c r="F20" s="17" t="str">
        <f>IF(E20="","",AVERAGE(INDEX($E$2:$E$3001,MAX(1,ROW()-1-'02_Eingaben'!$C$17)):INDEX($E$2:$E$3001,MIN('02_Eingaben'!$C$21,ROW()-1+'02_Eingaben'!$C$17))))</f>
        <v/>
      </c>
      <c r="G20" s="17" t="str">
        <f>IF(F20="","",F20-'02_Eingaben'!$C$10)</f>
        <v/>
      </c>
      <c r="H20" t="str">
        <f>IF(F20="","",IF(F20&lt;'02_Eingaben'!$C$18*'02_Eingaben'!$C$10,1,0))</f>
        <v/>
      </c>
      <c r="I20" s="17" t="str">
        <f t="shared" si="0"/>
        <v/>
      </c>
      <c r="J20" s="17" t="str">
        <f>IF(B20="","",IF(B19&lt;'02_Eingaben'!$C$36,0,J19+I19/'02_Eingaben'!$C$8))</f>
        <v/>
      </c>
    </row>
    <row r="21" spans="1:10" x14ac:dyDescent="0.25">
      <c r="A21" t="str">
        <f>IF('01_Rohdaten'!A21="","",ROW()-1)</f>
        <v/>
      </c>
      <c r="B21" s="17" t="str">
        <f>IF('01_Rohdaten'!A21="","",'01_Rohdaten'!A21)</f>
        <v/>
      </c>
      <c r="C21" s="17" t="str">
        <f>IF(B21="","",INDEX('01_Rohdaten'!B21:D21,'02_Eingaben'!$C$13))</f>
        <v/>
      </c>
      <c r="D21" s="17" t="str">
        <f>IF(C21="","",C21*'02_Eingaben'!$C$15)</f>
        <v/>
      </c>
      <c r="E21" s="17" t="str">
        <f>IF(D21="","",D21*'02_Eingaben'!$C$8)</f>
        <v/>
      </c>
      <c r="F21" s="17" t="str">
        <f>IF(E21="","",AVERAGE(INDEX($E$2:$E$3001,MAX(1,ROW()-1-'02_Eingaben'!$C$17)):INDEX($E$2:$E$3001,MIN('02_Eingaben'!$C$21,ROW()-1+'02_Eingaben'!$C$17))))</f>
        <v/>
      </c>
      <c r="G21" s="17" t="str">
        <f>IF(F21="","",F21-'02_Eingaben'!$C$10)</f>
        <v/>
      </c>
      <c r="H21" t="str">
        <f>IF(F21="","",IF(F21&lt;'02_Eingaben'!$C$18*'02_Eingaben'!$C$10,1,0))</f>
        <v/>
      </c>
      <c r="I21" s="17" t="str">
        <f t="shared" si="0"/>
        <v/>
      </c>
      <c r="J21" s="17" t="str">
        <f>IF(B21="","",IF(B20&lt;'02_Eingaben'!$C$36,0,J20+I20/'02_Eingaben'!$C$8))</f>
        <v/>
      </c>
    </row>
    <row r="22" spans="1:10" x14ac:dyDescent="0.25">
      <c r="A22" t="str">
        <f>IF('01_Rohdaten'!A22="","",ROW()-1)</f>
        <v/>
      </c>
      <c r="B22" s="17" t="str">
        <f>IF('01_Rohdaten'!A22="","",'01_Rohdaten'!A22)</f>
        <v/>
      </c>
      <c r="C22" s="17" t="str">
        <f>IF(B22="","",INDEX('01_Rohdaten'!B22:D22,'02_Eingaben'!$C$13))</f>
        <v/>
      </c>
      <c r="D22" s="17" t="str">
        <f>IF(C22="","",C22*'02_Eingaben'!$C$15)</f>
        <v/>
      </c>
      <c r="E22" s="17" t="str">
        <f>IF(D22="","",D22*'02_Eingaben'!$C$8)</f>
        <v/>
      </c>
      <c r="F22" s="17" t="str">
        <f>IF(E22="","",AVERAGE(INDEX($E$2:$E$3001,MAX(1,ROW()-1-'02_Eingaben'!$C$17)):INDEX($E$2:$E$3001,MIN('02_Eingaben'!$C$21,ROW()-1+'02_Eingaben'!$C$17))))</f>
        <v/>
      </c>
      <c r="G22" s="17" t="str">
        <f>IF(F22="","",F22-'02_Eingaben'!$C$10)</f>
        <v/>
      </c>
      <c r="H22" t="str">
        <f>IF(F22="","",IF(F22&lt;'02_Eingaben'!$C$18*'02_Eingaben'!$C$10,1,0))</f>
        <v/>
      </c>
      <c r="I22" s="17" t="str">
        <f t="shared" si="0"/>
        <v/>
      </c>
      <c r="J22" s="17" t="str">
        <f>IF(B22="","",IF(B21&lt;'02_Eingaben'!$C$36,0,J21+I21/'02_Eingaben'!$C$8))</f>
        <v/>
      </c>
    </row>
    <row r="23" spans="1:10" x14ac:dyDescent="0.25">
      <c r="A23" t="str">
        <f>IF('01_Rohdaten'!A23="","",ROW()-1)</f>
        <v/>
      </c>
      <c r="B23" s="17" t="str">
        <f>IF('01_Rohdaten'!A23="","",'01_Rohdaten'!A23)</f>
        <v/>
      </c>
      <c r="C23" s="17" t="str">
        <f>IF(B23="","",INDEX('01_Rohdaten'!B23:D23,'02_Eingaben'!$C$13))</f>
        <v/>
      </c>
      <c r="D23" s="17" t="str">
        <f>IF(C23="","",C23*'02_Eingaben'!$C$15)</f>
        <v/>
      </c>
      <c r="E23" s="17" t="str">
        <f>IF(D23="","",D23*'02_Eingaben'!$C$8)</f>
        <v/>
      </c>
      <c r="F23" s="17" t="str">
        <f>IF(E23="","",AVERAGE(INDEX($E$2:$E$3001,MAX(1,ROW()-1-'02_Eingaben'!$C$17)):INDEX($E$2:$E$3001,MIN('02_Eingaben'!$C$21,ROW()-1+'02_Eingaben'!$C$17))))</f>
        <v/>
      </c>
      <c r="G23" s="17" t="str">
        <f>IF(F23="","",F23-'02_Eingaben'!$C$10)</f>
        <v/>
      </c>
      <c r="H23" t="str">
        <f>IF(F23="","",IF(F23&lt;'02_Eingaben'!$C$18*'02_Eingaben'!$C$10,1,0))</f>
        <v/>
      </c>
      <c r="I23" s="17" t="str">
        <f t="shared" si="0"/>
        <v/>
      </c>
      <c r="J23" s="17" t="str">
        <f>IF(B23="","",IF(B22&lt;'02_Eingaben'!$C$36,0,J22+I22/'02_Eingaben'!$C$8))</f>
        <v/>
      </c>
    </row>
    <row r="24" spans="1:10" x14ac:dyDescent="0.25">
      <c r="A24" t="str">
        <f>IF('01_Rohdaten'!A24="","",ROW()-1)</f>
        <v/>
      </c>
      <c r="B24" s="17" t="str">
        <f>IF('01_Rohdaten'!A24="","",'01_Rohdaten'!A24)</f>
        <v/>
      </c>
      <c r="C24" s="17" t="str">
        <f>IF(B24="","",INDEX('01_Rohdaten'!B24:D24,'02_Eingaben'!$C$13))</f>
        <v/>
      </c>
      <c r="D24" s="17" t="str">
        <f>IF(C24="","",C24*'02_Eingaben'!$C$15)</f>
        <v/>
      </c>
      <c r="E24" s="17" t="str">
        <f>IF(D24="","",D24*'02_Eingaben'!$C$8)</f>
        <v/>
      </c>
      <c r="F24" s="17" t="str">
        <f>IF(E24="","",AVERAGE(INDEX($E$2:$E$3001,MAX(1,ROW()-1-'02_Eingaben'!$C$17)):INDEX($E$2:$E$3001,MIN('02_Eingaben'!$C$21,ROW()-1+'02_Eingaben'!$C$17))))</f>
        <v/>
      </c>
      <c r="G24" s="17" t="str">
        <f>IF(F24="","",F24-'02_Eingaben'!$C$10)</f>
        <v/>
      </c>
      <c r="H24" t="str">
        <f>IF(F24="","",IF(F24&lt;'02_Eingaben'!$C$18*'02_Eingaben'!$C$10,1,0))</f>
        <v/>
      </c>
      <c r="I24" s="17" t="str">
        <f t="shared" si="0"/>
        <v/>
      </c>
      <c r="J24" s="17" t="str">
        <f>IF(B24="","",IF(B23&lt;'02_Eingaben'!$C$36,0,J23+I23/'02_Eingaben'!$C$8))</f>
        <v/>
      </c>
    </row>
    <row r="25" spans="1:10" x14ac:dyDescent="0.25">
      <c r="A25" t="str">
        <f>IF('01_Rohdaten'!A25="","",ROW()-1)</f>
        <v/>
      </c>
      <c r="B25" s="17" t="str">
        <f>IF('01_Rohdaten'!A25="","",'01_Rohdaten'!A25)</f>
        <v/>
      </c>
      <c r="C25" s="17" t="str">
        <f>IF(B25="","",INDEX('01_Rohdaten'!B25:D25,'02_Eingaben'!$C$13))</f>
        <v/>
      </c>
      <c r="D25" s="17" t="str">
        <f>IF(C25="","",C25*'02_Eingaben'!$C$15)</f>
        <v/>
      </c>
      <c r="E25" s="17" t="str">
        <f>IF(D25="","",D25*'02_Eingaben'!$C$8)</f>
        <v/>
      </c>
      <c r="F25" s="17" t="str">
        <f>IF(E25="","",AVERAGE(INDEX($E$2:$E$3001,MAX(1,ROW()-1-'02_Eingaben'!$C$17)):INDEX($E$2:$E$3001,MIN('02_Eingaben'!$C$21,ROW()-1+'02_Eingaben'!$C$17))))</f>
        <v/>
      </c>
      <c r="G25" s="17" t="str">
        <f>IF(F25="","",F25-'02_Eingaben'!$C$10)</f>
        <v/>
      </c>
      <c r="H25" t="str">
        <f>IF(F25="","",IF(F25&lt;'02_Eingaben'!$C$18*'02_Eingaben'!$C$10,1,0))</f>
        <v/>
      </c>
      <c r="I25" s="17" t="str">
        <f t="shared" si="0"/>
        <v/>
      </c>
      <c r="J25" s="17" t="str">
        <f>IF(B25="","",IF(B24&lt;'02_Eingaben'!$C$36,0,J24+I24/'02_Eingaben'!$C$8))</f>
        <v/>
      </c>
    </row>
    <row r="26" spans="1:10" x14ac:dyDescent="0.25">
      <c r="A26" t="str">
        <f>IF('01_Rohdaten'!A26="","",ROW()-1)</f>
        <v/>
      </c>
      <c r="B26" s="17" t="str">
        <f>IF('01_Rohdaten'!A26="","",'01_Rohdaten'!A26)</f>
        <v/>
      </c>
      <c r="C26" s="17" t="str">
        <f>IF(B26="","",INDEX('01_Rohdaten'!B26:D26,'02_Eingaben'!$C$13))</f>
        <v/>
      </c>
      <c r="D26" s="17" t="str">
        <f>IF(C26="","",C26*'02_Eingaben'!$C$15)</f>
        <v/>
      </c>
      <c r="E26" s="17" t="str">
        <f>IF(D26="","",D26*'02_Eingaben'!$C$8)</f>
        <v/>
      </c>
      <c r="F26" s="17" t="str">
        <f>IF(E26="","",AVERAGE(INDEX($E$2:$E$3001,MAX(1,ROW()-1-'02_Eingaben'!$C$17)):INDEX($E$2:$E$3001,MIN('02_Eingaben'!$C$21,ROW()-1+'02_Eingaben'!$C$17))))</f>
        <v/>
      </c>
      <c r="G26" s="17" t="str">
        <f>IF(F26="","",F26-'02_Eingaben'!$C$10)</f>
        <v/>
      </c>
      <c r="H26" t="str">
        <f>IF(F26="","",IF(F26&lt;'02_Eingaben'!$C$18*'02_Eingaben'!$C$10,1,0))</f>
        <v/>
      </c>
      <c r="I26" s="17" t="str">
        <f t="shared" si="0"/>
        <v/>
      </c>
      <c r="J26" s="17" t="str">
        <f>IF(B26="","",IF(B25&lt;'02_Eingaben'!$C$36,0,J25+I25/'02_Eingaben'!$C$8))</f>
        <v/>
      </c>
    </row>
    <row r="27" spans="1:10" x14ac:dyDescent="0.25">
      <c r="A27" t="str">
        <f>IF('01_Rohdaten'!A27="","",ROW()-1)</f>
        <v/>
      </c>
      <c r="B27" s="17" t="str">
        <f>IF('01_Rohdaten'!A27="","",'01_Rohdaten'!A27)</f>
        <v/>
      </c>
      <c r="C27" s="17" t="str">
        <f>IF(B27="","",INDEX('01_Rohdaten'!B27:D27,'02_Eingaben'!$C$13))</f>
        <v/>
      </c>
      <c r="D27" s="17" t="str">
        <f>IF(C27="","",C27*'02_Eingaben'!$C$15)</f>
        <v/>
      </c>
      <c r="E27" s="17" t="str">
        <f>IF(D27="","",D27*'02_Eingaben'!$C$8)</f>
        <v/>
      </c>
      <c r="F27" s="17" t="str">
        <f>IF(E27="","",AVERAGE(INDEX($E$2:$E$3001,MAX(1,ROW()-1-'02_Eingaben'!$C$17)):INDEX($E$2:$E$3001,MIN('02_Eingaben'!$C$21,ROW()-1+'02_Eingaben'!$C$17))))</f>
        <v/>
      </c>
      <c r="G27" s="17" t="str">
        <f>IF(F27="","",F27-'02_Eingaben'!$C$10)</f>
        <v/>
      </c>
      <c r="H27" t="str">
        <f>IF(F27="","",IF(F27&lt;'02_Eingaben'!$C$18*'02_Eingaben'!$C$10,1,0))</f>
        <v/>
      </c>
      <c r="I27" s="17" t="str">
        <f t="shared" si="0"/>
        <v/>
      </c>
      <c r="J27" s="17" t="str">
        <f>IF(B27="","",IF(B26&lt;'02_Eingaben'!$C$36,0,J26+I26/'02_Eingaben'!$C$8))</f>
        <v/>
      </c>
    </row>
    <row r="28" spans="1:10" x14ac:dyDescent="0.25">
      <c r="A28" t="str">
        <f>IF('01_Rohdaten'!A28="","",ROW()-1)</f>
        <v/>
      </c>
      <c r="B28" s="17" t="str">
        <f>IF('01_Rohdaten'!A28="","",'01_Rohdaten'!A28)</f>
        <v/>
      </c>
      <c r="C28" s="17" t="str">
        <f>IF(B28="","",INDEX('01_Rohdaten'!B28:D28,'02_Eingaben'!$C$13))</f>
        <v/>
      </c>
      <c r="D28" s="17" t="str">
        <f>IF(C28="","",C28*'02_Eingaben'!$C$15)</f>
        <v/>
      </c>
      <c r="E28" s="17" t="str">
        <f>IF(D28="","",D28*'02_Eingaben'!$C$8)</f>
        <v/>
      </c>
      <c r="F28" s="17" t="str">
        <f>IF(E28="","",AVERAGE(INDEX($E$2:$E$3001,MAX(1,ROW()-1-'02_Eingaben'!$C$17)):INDEX($E$2:$E$3001,MIN('02_Eingaben'!$C$21,ROW()-1+'02_Eingaben'!$C$17))))</f>
        <v/>
      </c>
      <c r="G28" s="17" t="str">
        <f>IF(F28="","",F28-'02_Eingaben'!$C$10)</f>
        <v/>
      </c>
      <c r="H28" t="str">
        <f>IF(F28="","",IF(F28&lt;'02_Eingaben'!$C$18*'02_Eingaben'!$C$10,1,0))</f>
        <v/>
      </c>
      <c r="I28" s="17" t="str">
        <f t="shared" si="0"/>
        <v/>
      </c>
      <c r="J28" s="17" t="str">
        <f>IF(B28="","",IF(B27&lt;'02_Eingaben'!$C$36,0,J27+I27/'02_Eingaben'!$C$8))</f>
        <v/>
      </c>
    </row>
    <row r="29" spans="1:10" x14ac:dyDescent="0.25">
      <c r="A29" t="str">
        <f>IF('01_Rohdaten'!A29="","",ROW()-1)</f>
        <v/>
      </c>
      <c r="B29" s="17" t="str">
        <f>IF('01_Rohdaten'!A29="","",'01_Rohdaten'!A29)</f>
        <v/>
      </c>
      <c r="C29" s="17" t="str">
        <f>IF(B29="","",INDEX('01_Rohdaten'!B29:D29,'02_Eingaben'!$C$13))</f>
        <v/>
      </c>
      <c r="D29" s="17" t="str">
        <f>IF(C29="","",C29*'02_Eingaben'!$C$15)</f>
        <v/>
      </c>
      <c r="E29" s="17" t="str">
        <f>IF(D29="","",D29*'02_Eingaben'!$C$8)</f>
        <v/>
      </c>
      <c r="F29" s="17" t="str">
        <f>IF(E29="","",AVERAGE(INDEX($E$2:$E$3001,MAX(1,ROW()-1-'02_Eingaben'!$C$17)):INDEX($E$2:$E$3001,MIN('02_Eingaben'!$C$21,ROW()-1+'02_Eingaben'!$C$17))))</f>
        <v/>
      </c>
      <c r="G29" s="17" t="str">
        <f>IF(F29="","",F29-'02_Eingaben'!$C$10)</f>
        <v/>
      </c>
      <c r="H29" t="str">
        <f>IF(F29="","",IF(F29&lt;'02_Eingaben'!$C$18*'02_Eingaben'!$C$10,1,0))</f>
        <v/>
      </c>
      <c r="I29" s="17" t="str">
        <f t="shared" si="0"/>
        <v/>
      </c>
      <c r="J29" s="17" t="str">
        <f>IF(B29="","",IF(B28&lt;'02_Eingaben'!$C$36,0,J28+I28/'02_Eingaben'!$C$8))</f>
        <v/>
      </c>
    </row>
    <row r="30" spans="1:10" x14ac:dyDescent="0.25">
      <c r="A30" t="str">
        <f>IF('01_Rohdaten'!A30="","",ROW()-1)</f>
        <v/>
      </c>
      <c r="B30" s="17" t="str">
        <f>IF('01_Rohdaten'!A30="","",'01_Rohdaten'!A30)</f>
        <v/>
      </c>
      <c r="C30" s="17" t="str">
        <f>IF(B30="","",INDEX('01_Rohdaten'!B30:D30,'02_Eingaben'!$C$13))</f>
        <v/>
      </c>
      <c r="D30" s="17" t="str">
        <f>IF(C30="","",C30*'02_Eingaben'!$C$15)</f>
        <v/>
      </c>
      <c r="E30" s="17" t="str">
        <f>IF(D30="","",D30*'02_Eingaben'!$C$8)</f>
        <v/>
      </c>
      <c r="F30" s="17" t="str">
        <f>IF(E30="","",AVERAGE(INDEX($E$2:$E$3001,MAX(1,ROW()-1-'02_Eingaben'!$C$17)):INDEX($E$2:$E$3001,MIN('02_Eingaben'!$C$21,ROW()-1+'02_Eingaben'!$C$17))))</f>
        <v/>
      </c>
      <c r="G30" s="17" t="str">
        <f>IF(F30="","",F30-'02_Eingaben'!$C$10)</f>
        <v/>
      </c>
      <c r="H30" t="str">
        <f>IF(F30="","",IF(F30&lt;'02_Eingaben'!$C$18*'02_Eingaben'!$C$10,1,0))</f>
        <v/>
      </c>
      <c r="I30" s="17" t="str">
        <f t="shared" si="0"/>
        <v/>
      </c>
      <c r="J30" s="17" t="str">
        <f>IF(B30="","",IF(B29&lt;'02_Eingaben'!$C$36,0,J29+I29/'02_Eingaben'!$C$8))</f>
        <v/>
      </c>
    </row>
    <row r="31" spans="1:10" x14ac:dyDescent="0.25">
      <c r="A31" t="str">
        <f>IF('01_Rohdaten'!A31="","",ROW()-1)</f>
        <v/>
      </c>
      <c r="B31" s="17" t="str">
        <f>IF('01_Rohdaten'!A31="","",'01_Rohdaten'!A31)</f>
        <v/>
      </c>
      <c r="C31" s="17" t="str">
        <f>IF(B31="","",INDEX('01_Rohdaten'!B31:D31,'02_Eingaben'!$C$13))</f>
        <v/>
      </c>
      <c r="D31" s="17" t="str">
        <f>IF(C31="","",C31*'02_Eingaben'!$C$15)</f>
        <v/>
      </c>
      <c r="E31" s="17" t="str">
        <f>IF(D31="","",D31*'02_Eingaben'!$C$8)</f>
        <v/>
      </c>
      <c r="F31" s="17" t="str">
        <f>IF(E31="","",AVERAGE(INDEX($E$2:$E$3001,MAX(1,ROW()-1-'02_Eingaben'!$C$17)):INDEX($E$2:$E$3001,MIN('02_Eingaben'!$C$21,ROW()-1+'02_Eingaben'!$C$17))))</f>
        <v/>
      </c>
      <c r="G31" s="17" t="str">
        <f>IF(F31="","",F31-'02_Eingaben'!$C$10)</f>
        <v/>
      </c>
      <c r="H31" t="str">
        <f>IF(F31="","",IF(F31&lt;'02_Eingaben'!$C$18*'02_Eingaben'!$C$10,1,0))</f>
        <v/>
      </c>
      <c r="I31" s="17" t="str">
        <f t="shared" si="0"/>
        <v/>
      </c>
      <c r="J31" s="17" t="str">
        <f>IF(B31="","",IF(B30&lt;'02_Eingaben'!$C$36,0,J30+I30/'02_Eingaben'!$C$8))</f>
        <v/>
      </c>
    </row>
    <row r="32" spans="1:10" x14ac:dyDescent="0.25">
      <c r="A32" t="str">
        <f>IF('01_Rohdaten'!A32="","",ROW()-1)</f>
        <v/>
      </c>
      <c r="B32" s="17" t="str">
        <f>IF('01_Rohdaten'!A32="","",'01_Rohdaten'!A32)</f>
        <v/>
      </c>
      <c r="C32" s="17" t="str">
        <f>IF(B32="","",INDEX('01_Rohdaten'!B32:D32,'02_Eingaben'!$C$13))</f>
        <v/>
      </c>
      <c r="D32" s="17" t="str">
        <f>IF(C32="","",C32*'02_Eingaben'!$C$15)</f>
        <v/>
      </c>
      <c r="E32" s="17" t="str">
        <f>IF(D32="","",D32*'02_Eingaben'!$C$8)</f>
        <v/>
      </c>
      <c r="F32" s="17" t="str">
        <f>IF(E32="","",AVERAGE(INDEX($E$2:$E$3001,MAX(1,ROW()-1-'02_Eingaben'!$C$17)):INDEX($E$2:$E$3001,MIN('02_Eingaben'!$C$21,ROW()-1+'02_Eingaben'!$C$17))))</f>
        <v/>
      </c>
      <c r="G32" s="17" t="str">
        <f>IF(F32="","",F32-'02_Eingaben'!$C$10)</f>
        <v/>
      </c>
      <c r="H32" t="str">
        <f>IF(F32="","",IF(F32&lt;'02_Eingaben'!$C$18*'02_Eingaben'!$C$10,1,0))</f>
        <v/>
      </c>
      <c r="I32" s="17" t="str">
        <f t="shared" si="0"/>
        <v/>
      </c>
      <c r="J32" s="17" t="str">
        <f>IF(B32="","",IF(B31&lt;'02_Eingaben'!$C$36,0,J31+I31/'02_Eingaben'!$C$8))</f>
        <v/>
      </c>
    </row>
    <row r="33" spans="1:10" x14ac:dyDescent="0.25">
      <c r="A33" t="str">
        <f>IF('01_Rohdaten'!A33="","",ROW()-1)</f>
        <v/>
      </c>
      <c r="B33" s="17" t="str">
        <f>IF('01_Rohdaten'!A33="","",'01_Rohdaten'!A33)</f>
        <v/>
      </c>
      <c r="C33" s="17" t="str">
        <f>IF(B33="","",INDEX('01_Rohdaten'!B33:D33,'02_Eingaben'!$C$13))</f>
        <v/>
      </c>
      <c r="D33" s="17" t="str">
        <f>IF(C33="","",C33*'02_Eingaben'!$C$15)</f>
        <v/>
      </c>
      <c r="E33" s="17" t="str">
        <f>IF(D33="","",D33*'02_Eingaben'!$C$8)</f>
        <v/>
      </c>
      <c r="F33" s="17" t="str">
        <f>IF(E33="","",AVERAGE(INDEX($E$2:$E$3001,MAX(1,ROW()-1-'02_Eingaben'!$C$17)):INDEX($E$2:$E$3001,MIN('02_Eingaben'!$C$21,ROW()-1+'02_Eingaben'!$C$17))))</f>
        <v/>
      </c>
      <c r="G33" s="17" t="str">
        <f>IF(F33="","",F33-'02_Eingaben'!$C$10)</f>
        <v/>
      </c>
      <c r="H33" t="str">
        <f>IF(F33="","",IF(F33&lt;'02_Eingaben'!$C$18*'02_Eingaben'!$C$10,1,0))</f>
        <v/>
      </c>
      <c r="I33" s="17" t="str">
        <f t="shared" si="0"/>
        <v/>
      </c>
      <c r="J33" s="17" t="str">
        <f>IF(B33="","",IF(B32&lt;'02_Eingaben'!$C$36,0,J32+I32/'02_Eingaben'!$C$8))</f>
        <v/>
      </c>
    </row>
    <row r="34" spans="1:10" x14ac:dyDescent="0.25">
      <c r="A34" t="str">
        <f>IF('01_Rohdaten'!A34="","",ROW()-1)</f>
        <v/>
      </c>
      <c r="B34" s="17" t="str">
        <f>IF('01_Rohdaten'!A34="","",'01_Rohdaten'!A34)</f>
        <v/>
      </c>
      <c r="C34" s="17" t="str">
        <f>IF(B34="","",INDEX('01_Rohdaten'!B34:D34,'02_Eingaben'!$C$13))</f>
        <v/>
      </c>
      <c r="D34" s="17" t="str">
        <f>IF(C34="","",C34*'02_Eingaben'!$C$15)</f>
        <v/>
      </c>
      <c r="E34" s="17" t="str">
        <f>IF(D34="","",D34*'02_Eingaben'!$C$8)</f>
        <v/>
      </c>
      <c r="F34" s="17" t="str">
        <f>IF(E34="","",AVERAGE(INDEX($E$2:$E$3001,MAX(1,ROW()-1-'02_Eingaben'!$C$17)):INDEX($E$2:$E$3001,MIN('02_Eingaben'!$C$21,ROW()-1+'02_Eingaben'!$C$17))))</f>
        <v/>
      </c>
      <c r="G34" s="17" t="str">
        <f>IF(F34="","",F34-'02_Eingaben'!$C$10)</f>
        <v/>
      </c>
      <c r="H34" t="str">
        <f>IF(F34="","",IF(F34&lt;'02_Eingaben'!$C$18*'02_Eingaben'!$C$10,1,0))</f>
        <v/>
      </c>
      <c r="I34" s="17" t="str">
        <f t="shared" si="0"/>
        <v/>
      </c>
      <c r="J34" s="17" t="str">
        <f>IF(B34="","",IF(B33&lt;'02_Eingaben'!$C$36,0,J33+I33/'02_Eingaben'!$C$8))</f>
        <v/>
      </c>
    </row>
    <row r="35" spans="1:10" x14ac:dyDescent="0.25">
      <c r="A35" t="str">
        <f>IF('01_Rohdaten'!A35="","",ROW()-1)</f>
        <v/>
      </c>
      <c r="B35" s="17" t="str">
        <f>IF('01_Rohdaten'!A35="","",'01_Rohdaten'!A35)</f>
        <v/>
      </c>
      <c r="C35" s="17" t="str">
        <f>IF(B35="","",INDEX('01_Rohdaten'!B35:D35,'02_Eingaben'!$C$13))</f>
        <v/>
      </c>
      <c r="D35" s="17" t="str">
        <f>IF(C35="","",C35*'02_Eingaben'!$C$15)</f>
        <v/>
      </c>
      <c r="E35" s="17" t="str">
        <f>IF(D35="","",D35*'02_Eingaben'!$C$8)</f>
        <v/>
      </c>
      <c r="F35" s="17" t="str">
        <f>IF(E35="","",AVERAGE(INDEX($E$2:$E$3001,MAX(1,ROW()-1-'02_Eingaben'!$C$17)):INDEX($E$2:$E$3001,MIN('02_Eingaben'!$C$21,ROW()-1+'02_Eingaben'!$C$17))))</f>
        <v/>
      </c>
      <c r="G35" s="17" t="str">
        <f>IF(F35="","",F35-'02_Eingaben'!$C$10)</f>
        <v/>
      </c>
      <c r="H35" t="str">
        <f>IF(F35="","",IF(F35&lt;'02_Eingaben'!$C$18*'02_Eingaben'!$C$10,1,0))</f>
        <v/>
      </c>
      <c r="I35" s="17" t="str">
        <f t="shared" si="0"/>
        <v/>
      </c>
      <c r="J35" s="17" t="str">
        <f>IF(B35="","",IF(B34&lt;'02_Eingaben'!$C$36,0,J34+I34/'02_Eingaben'!$C$8))</f>
        <v/>
      </c>
    </row>
    <row r="36" spans="1:10" x14ac:dyDescent="0.25">
      <c r="A36" t="str">
        <f>IF('01_Rohdaten'!A36="","",ROW()-1)</f>
        <v/>
      </c>
      <c r="B36" s="17" t="str">
        <f>IF('01_Rohdaten'!A36="","",'01_Rohdaten'!A36)</f>
        <v/>
      </c>
      <c r="C36" s="17" t="str">
        <f>IF(B36="","",INDEX('01_Rohdaten'!B36:D36,'02_Eingaben'!$C$13))</f>
        <v/>
      </c>
      <c r="D36" s="17" t="str">
        <f>IF(C36="","",C36*'02_Eingaben'!$C$15)</f>
        <v/>
      </c>
      <c r="E36" s="17" t="str">
        <f>IF(D36="","",D36*'02_Eingaben'!$C$8)</f>
        <v/>
      </c>
      <c r="F36" s="17" t="str">
        <f>IF(E36="","",AVERAGE(INDEX($E$2:$E$3001,MAX(1,ROW()-1-'02_Eingaben'!$C$17)):INDEX($E$2:$E$3001,MIN('02_Eingaben'!$C$21,ROW()-1+'02_Eingaben'!$C$17))))</f>
        <v/>
      </c>
      <c r="G36" s="17" t="str">
        <f>IF(F36="","",F36-'02_Eingaben'!$C$10)</f>
        <v/>
      </c>
      <c r="H36" t="str">
        <f>IF(F36="","",IF(F36&lt;'02_Eingaben'!$C$18*'02_Eingaben'!$C$10,1,0))</f>
        <v/>
      </c>
      <c r="I36" s="17" t="str">
        <f t="shared" si="0"/>
        <v/>
      </c>
      <c r="J36" s="17" t="str">
        <f>IF(B36="","",IF(B35&lt;'02_Eingaben'!$C$36,0,J35+I35/'02_Eingaben'!$C$8))</f>
        <v/>
      </c>
    </row>
    <row r="37" spans="1:10" x14ac:dyDescent="0.25">
      <c r="A37" t="str">
        <f>IF('01_Rohdaten'!A37="","",ROW()-1)</f>
        <v/>
      </c>
      <c r="B37" s="17" t="str">
        <f>IF('01_Rohdaten'!A37="","",'01_Rohdaten'!A37)</f>
        <v/>
      </c>
      <c r="C37" s="17" t="str">
        <f>IF(B37="","",INDEX('01_Rohdaten'!B37:D37,'02_Eingaben'!$C$13))</f>
        <v/>
      </c>
      <c r="D37" s="17" t="str">
        <f>IF(C37="","",C37*'02_Eingaben'!$C$15)</f>
        <v/>
      </c>
      <c r="E37" s="17" t="str">
        <f>IF(D37="","",D37*'02_Eingaben'!$C$8)</f>
        <v/>
      </c>
      <c r="F37" s="17" t="str">
        <f>IF(E37="","",AVERAGE(INDEX($E$2:$E$3001,MAX(1,ROW()-1-'02_Eingaben'!$C$17)):INDEX($E$2:$E$3001,MIN('02_Eingaben'!$C$21,ROW()-1+'02_Eingaben'!$C$17))))</f>
        <v/>
      </c>
      <c r="G37" s="17" t="str">
        <f>IF(F37="","",F37-'02_Eingaben'!$C$10)</f>
        <v/>
      </c>
      <c r="H37" t="str">
        <f>IF(F37="","",IF(F37&lt;'02_Eingaben'!$C$18*'02_Eingaben'!$C$10,1,0))</f>
        <v/>
      </c>
      <c r="I37" s="17" t="str">
        <f t="shared" si="0"/>
        <v/>
      </c>
      <c r="J37" s="17" t="str">
        <f>IF(B37="","",IF(B36&lt;'02_Eingaben'!$C$36,0,J36+I36/'02_Eingaben'!$C$8))</f>
        <v/>
      </c>
    </row>
    <row r="38" spans="1:10" x14ac:dyDescent="0.25">
      <c r="A38" t="str">
        <f>IF('01_Rohdaten'!A38="","",ROW()-1)</f>
        <v/>
      </c>
      <c r="B38" s="17" t="str">
        <f>IF('01_Rohdaten'!A38="","",'01_Rohdaten'!A38)</f>
        <v/>
      </c>
      <c r="C38" s="17" t="str">
        <f>IF(B38="","",INDEX('01_Rohdaten'!B38:D38,'02_Eingaben'!$C$13))</f>
        <v/>
      </c>
      <c r="D38" s="17" t="str">
        <f>IF(C38="","",C38*'02_Eingaben'!$C$15)</f>
        <v/>
      </c>
      <c r="E38" s="17" t="str">
        <f>IF(D38="","",D38*'02_Eingaben'!$C$8)</f>
        <v/>
      </c>
      <c r="F38" s="17" t="str">
        <f>IF(E38="","",AVERAGE(INDEX($E$2:$E$3001,MAX(1,ROW()-1-'02_Eingaben'!$C$17)):INDEX($E$2:$E$3001,MIN('02_Eingaben'!$C$21,ROW()-1+'02_Eingaben'!$C$17))))</f>
        <v/>
      </c>
      <c r="G38" s="17" t="str">
        <f>IF(F38="","",F38-'02_Eingaben'!$C$10)</f>
        <v/>
      </c>
      <c r="H38" t="str">
        <f>IF(F38="","",IF(F38&lt;'02_Eingaben'!$C$18*'02_Eingaben'!$C$10,1,0))</f>
        <v/>
      </c>
      <c r="I38" s="17" t="str">
        <f t="shared" si="0"/>
        <v/>
      </c>
      <c r="J38" s="17" t="str">
        <f>IF(B38="","",IF(B37&lt;'02_Eingaben'!$C$36,0,J37+I37/'02_Eingaben'!$C$8))</f>
        <v/>
      </c>
    </row>
    <row r="39" spans="1:10" x14ac:dyDescent="0.25">
      <c r="A39" t="str">
        <f>IF('01_Rohdaten'!A39="","",ROW()-1)</f>
        <v/>
      </c>
      <c r="B39" s="17" t="str">
        <f>IF('01_Rohdaten'!A39="","",'01_Rohdaten'!A39)</f>
        <v/>
      </c>
      <c r="C39" s="17" t="str">
        <f>IF(B39="","",INDEX('01_Rohdaten'!B39:D39,'02_Eingaben'!$C$13))</f>
        <v/>
      </c>
      <c r="D39" s="17" t="str">
        <f>IF(C39="","",C39*'02_Eingaben'!$C$15)</f>
        <v/>
      </c>
      <c r="E39" s="17" t="str">
        <f>IF(D39="","",D39*'02_Eingaben'!$C$8)</f>
        <v/>
      </c>
      <c r="F39" s="17" t="str">
        <f>IF(E39="","",AVERAGE(INDEX($E$2:$E$3001,MAX(1,ROW()-1-'02_Eingaben'!$C$17)):INDEX($E$2:$E$3001,MIN('02_Eingaben'!$C$21,ROW()-1+'02_Eingaben'!$C$17))))</f>
        <v/>
      </c>
      <c r="G39" s="17" t="str">
        <f>IF(F39="","",F39-'02_Eingaben'!$C$10)</f>
        <v/>
      </c>
      <c r="H39" t="str">
        <f>IF(F39="","",IF(F39&lt;'02_Eingaben'!$C$18*'02_Eingaben'!$C$10,1,0))</f>
        <v/>
      </c>
      <c r="I39" s="17" t="str">
        <f t="shared" si="0"/>
        <v/>
      </c>
      <c r="J39" s="17" t="str">
        <f>IF(B39="","",IF(B38&lt;'02_Eingaben'!$C$36,0,J38+I38/'02_Eingaben'!$C$8))</f>
        <v/>
      </c>
    </row>
    <row r="40" spans="1:10" x14ac:dyDescent="0.25">
      <c r="A40" t="str">
        <f>IF('01_Rohdaten'!A40="","",ROW()-1)</f>
        <v/>
      </c>
      <c r="B40" s="17" t="str">
        <f>IF('01_Rohdaten'!A40="","",'01_Rohdaten'!A40)</f>
        <v/>
      </c>
      <c r="C40" s="17" t="str">
        <f>IF(B40="","",INDEX('01_Rohdaten'!B40:D40,'02_Eingaben'!$C$13))</f>
        <v/>
      </c>
      <c r="D40" s="17" t="str">
        <f>IF(C40="","",C40*'02_Eingaben'!$C$15)</f>
        <v/>
      </c>
      <c r="E40" s="17" t="str">
        <f>IF(D40="","",D40*'02_Eingaben'!$C$8)</f>
        <v/>
      </c>
      <c r="F40" s="17" t="str">
        <f>IF(E40="","",AVERAGE(INDEX($E$2:$E$3001,MAX(1,ROW()-1-'02_Eingaben'!$C$17)):INDEX($E$2:$E$3001,MIN('02_Eingaben'!$C$21,ROW()-1+'02_Eingaben'!$C$17))))</f>
        <v/>
      </c>
      <c r="G40" s="17" t="str">
        <f>IF(F40="","",F40-'02_Eingaben'!$C$10)</f>
        <v/>
      </c>
      <c r="H40" t="str">
        <f>IF(F40="","",IF(F40&lt;'02_Eingaben'!$C$18*'02_Eingaben'!$C$10,1,0))</f>
        <v/>
      </c>
      <c r="I40" s="17" t="str">
        <f t="shared" si="0"/>
        <v/>
      </c>
      <c r="J40" s="17" t="str">
        <f>IF(B40="","",IF(B39&lt;'02_Eingaben'!$C$36,0,J39+I39/'02_Eingaben'!$C$8))</f>
        <v/>
      </c>
    </row>
    <row r="41" spans="1:10" x14ac:dyDescent="0.25">
      <c r="A41" t="str">
        <f>IF('01_Rohdaten'!A41="","",ROW()-1)</f>
        <v/>
      </c>
      <c r="B41" s="17" t="str">
        <f>IF('01_Rohdaten'!A41="","",'01_Rohdaten'!A41)</f>
        <v/>
      </c>
      <c r="C41" s="17" t="str">
        <f>IF(B41="","",INDEX('01_Rohdaten'!B41:D41,'02_Eingaben'!$C$13))</f>
        <v/>
      </c>
      <c r="D41" s="17" t="str">
        <f>IF(C41="","",C41*'02_Eingaben'!$C$15)</f>
        <v/>
      </c>
      <c r="E41" s="17" t="str">
        <f>IF(D41="","",D41*'02_Eingaben'!$C$8)</f>
        <v/>
      </c>
      <c r="F41" s="17" t="str">
        <f>IF(E41="","",AVERAGE(INDEX($E$2:$E$3001,MAX(1,ROW()-1-'02_Eingaben'!$C$17)):INDEX($E$2:$E$3001,MIN('02_Eingaben'!$C$21,ROW()-1+'02_Eingaben'!$C$17))))</f>
        <v/>
      </c>
      <c r="G41" s="17" t="str">
        <f>IF(F41="","",F41-'02_Eingaben'!$C$10)</f>
        <v/>
      </c>
      <c r="H41" t="str">
        <f>IF(F41="","",IF(F41&lt;'02_Eingaben'!$C$18*'02_Eingaben'!$C$10,1,0))</f>
        <v/>
      </c>
      <c r="I41" s="17" t="str">
        <f t="shared" si="0"/>
        <v/>
      </c>
      <c r="J41" s="17" t="str">
        <f>IF(B41="","",IF(B40&lt;'02_Eingaben'!$C$36,0,J40+I40/'02_Eingaben'!$C$8))</f>
        <v/>
      </c>
    </row>
    <row r="42" spans="1:10" x14ac:dyDescent="0.25">
      <c r="A42" t="str">
        <f>IF('01_Rohdaten'!A42="","",ROW()-1)</f>
        <v/>
      </c>
      <c r="B42" s="17" t="str">
        <f>IF('01_Rohdaten'!A42="","",'01_Rohdaten'!A42)</f>
        <v/>
      </c>
      <c r="C42" s="17" t="str">
        <f>IF(B42="","",INDEX('01_Rohdaten'!B42:D42,'02_Eingaben'!$C$13))</f>
        <v/>
      </c>
      <c r="D42" s="17" t="str">
        <f>IF(C42="","",C42*'02_Eingaben'!$C$15)</f>
        <v/>
      </c>
      <c r="E42" s="17" t="str">
        <f>IF(D42="","",D42*'02_Eingaben'!$C$8)</f>
        <v/>
      </c>
      <c r="F42" s="17" t="str">
        <f>IF(E42="","",AVERAGE(INDEX($E$2:$E$3001,MAX(1,ROW()-1-'02_Eingaben'!$C$17)):INDEX($E$2:$E$3001,MIN('02_Eingaben'!$C$21,ROW()-1+'02_Eingaben'!$C$17))))</f>
        <v/>
      </c>
      <c r="G42" s="17" t="str">
        <f>IF(F42="","",F42-'02_Eingaben'!$C$10)</f>
        <v/>
      </c>
      <c r="H42" t="str">
        <f>IF(F42="","",IF(F42&lt;'02_Eingaben'!$C$18*'02_Eingaben'!$C$10,1,0))</f>
        <v/>
      </c>
      <c r="I42" s="17" t="str">
        <f t="shared" si="0"/>
        <v/>
      </c>
      <c r="J42" s="17" t="str">
        <f>IF(B42="","",IF(B41&lt;'02_Eingaben'!$C$36,0,J41+I41/'02_Eingaben'!$C$8))</f>
        <v/>
      </c>
    </row>
    <row r="43" spans="1:10" x14ac:dyDescent="0.25">
      <c r="A43" t="str">
        <f>IF('01_Rohdaten'!A43="","",ROW()-1)</f>
        <v/>
      </c>
      <c r="B43" s="17" t="str">
        <f>IF('01_Rohdaten'!A43="","",'01_Rohdaten'!A43)</f>
        <v/>
      </c>
      <c r="C43" s="17" t="str">
        <f>IF(B43="","",INDEX('01_Rohdaten'!B43:D43,'02_Eingaben'!$C$13))</f>
        <v/>
      </c>
      <c r="D43" s="17" t="str">
        <f>IF(C43="","",C43*'02_Eingaben'!$C$15)</f>
        <v/>
      </c>
      <c r="E43" s="17" t="str">
        <f>IF(D43="","",D43*'02_Eingaben'!$C$8)</f>
        <v/>
      </c>
      <c r="F43" s="17" t="str">
        <f>IF(E43="","",AVERAGE(INDEX($E$2:$E$3001,MAX(1,ROW()-1-'02_Eingaben'!$C$17)):INDEX($E$2:$E$3001,MIN('02_Eingaben'!$C$21,ROW()-1+'02_Eingaben'!$C$17))))</f>
        <v/>
      </c>
      <c r="G43" s="17" t="str">
        <f>IF(F43="","",F43-'02_Eingaben'!$C$10)</f>
        <v/>
      </c>
      <c r="H43" t="str">
        <f>IF(F43="","",IF(F43&lt;'02_Eingaben'!$C$18*'02_Eingaben'!$C$10,1,0))</f>
        <v/>
      </c>
      <c r="I43" s="17" t="str">
        <f t="shared" si="0"/>
        <v/>
      </c>
      <c r="J43" s="17" t="str">
        <f>IF(B43="","",IF(B42&lt;'02_Eingaben'!$C$36,0,J42+I42/'02_Eingaben'!$C$8))</f>
        <v/>
      </c>
    </row>
    <row r="44" spans="1:10" x14ac:dyDescent="0.25">
      <c r="A44" t="str">
        <f>IF('01_Rohdaten'!A44="","",ROW()-1)</f>
        <v/>
      </c>
      <c r="B44" s="17" t="str">
        <f>IF('01_Rohdaten'!A44="","",'01_Rohdaten'!A44)</f>
        <v/>
      </c>
      <c r="C44" s="17" t="str">
        <f>IF(B44="","",INDEX('01_Rohdaten'!B44:D44,'02_Eingaben'!$C$13))</f>
        <v/>
      </c>
      <c r="D44" s="17" t="str">
        <f>IF(C44="","",C44*'02_Eingaben'!$C$15)</f>
        <v/>
      </c>
      <c r="E44" s="17" t="str">
        <f>IF(D44="","",D44*'02_Eingaben'!$C$8)</f>
        <v/>
      </c>
      <c r="F44" s="17" t="str">
        <f>IF(E44="","",AVERAGE(INDEX($E$2:$E$3001,MAX(1,ROW()-1-'02_Eingaben'!$C$17)):INDEX($E$2:$E$3001,MIN('02_Eingaben'!$C$21,ROW()-1+'02_Eingaben'!$C$17))))</f>
        <v/>
      </c>
      <c r="G44" s="17" t="str">
        <f>IF(F44="","",F44-'02_Eingaben'!$C$10)</f>
        <v/>
      </c>
      <c r="H44" t="str">
        <f>IF(F44="","",IF(F44&lt;'02_Eingaben'!$C$18*'02_Eingaben'!$C$10,1,0))</f>
        <v/>
      </c>
      <c r="I44" s="17" t="str">
        <f t="shared" si="0"/>
        <v/>
      </c>
      <c r="J44" s="17" t="str">
        <f>IF(B44="","",IF(B43&lt;'02_Eingaben'!$C$36,0,J43+I43/'02_Eingaben'!$C$8))</f>
        <v/>
      </c>
    </row>
    <row r="45" spans="1:10" x14ac:dyDescent="0.25">
      <c r="A45" t="str">
        <f>IF('01_Rohdaten'!A45="","",ROW()-1)</f>
        <v/>
      </c>
      <c r="B45" s="17" t="str">
        <f>IF('01_Rohdaten'!A45="","",'01_Rohdaten'!A45)</f>
        <v/>
      </c>
      <c r="C45" s="17" t="str">
        <f>IF(B45="","",INDEX('01_Rohdaten'!B45:D45,'02_Eingaben'!$C$13))</f>
        <v/>
      </c>
      <c r="D45" s="17" t="str">
        <f>IF(C45="","",C45*'02_Eingaben'!$C$15)</f>
        <v/>
      </c>
      <c r="E45" s="17" t="str">
        <f>IF(D45="","",D45*'02_Eingaben'!$C$8)</f>
        <v/>
      </c>
      <c r="F45" s="17" t="str">
        <f>IF(E45="","",AVERAGE(INDEX($E$2:$E$3001,MAX(1,ROW()-1-'02_Eingaben'!$C$17)):INDEX($E$2:$E$3001,MIN('02_Eingaben'!$C$21,ROW()-1+'02_Eingaben'!$C$17))))</f>
        <v/>
      </c>
      <c r="G45" s="17" t="str">
        <f>IF(F45="","",F45-'02_Eingaben'!$C$10)</f>
        <v/>
      </c>
      <c r="H45" t="str">
        <f>IF(F45="","",IF(F45&lt;'02_Eingaben'!$C$18*'02_Eingaben'!$C$10,1,0))</f>
        <v/>
      </c>
      <c r="I45" s="17" t="str">
        <f t="shared" si="0"/>
        <v/>
      </c>
      <c r="J45" s="17" t="str">
        <f>IF(B45="","",IF(B44&lt;'02_Eingaben'!$C$36,0,J44+I44/'02_Eingaben'!$C$8))</f>
        <v/>
      </c>
    </row>
    <row r="46" spans="1:10" x14ac:dyDescent="0.25">
      <c r="A46" t="str">
        <f>IF('01_Rohdaten'!A46="","",ROW()-1)</f>
        <v/>
      </c>
      <c r="B46" s="17" t="str">
        <f>IF('01_Rohdaten'!A46="","",'01_Rohdaten'!A46)</f>
        <v/>
      </c>
      <c r="C46" s="17" t="str">
        <f>IF(B46="","",INDEX('01_Rohdaten'!B46:D46,'02_Eingaben'!$C$13))</f>
        <v/>
      </c>
      <c r="D46" s="17" t="str">
        <f>IF(C46="","",C46*'02_Eingaben'!$C$15)</f>
        <v/>
      </c>
      <c r="E46" s="17" t="str">
        <f>IF(D46="","",D46*'02_Eingaben'!$C$8)</f>
        <v/>
      </c>
      <c r="F46" s="17" t="str">
        <f>IF(E46="","",AVERAGE(INDEX($E$2:$E$3001,MAX(1,ROW()-1-'02_Eingaben'!$C$17)):INDEX($E$2:$E$3001,MIN('02_Eingaben'!$C$21,ROW()-1+'02_Eingaben'!$C$17))))</f>
        <v/>
      </c>
      <c r="G46" s="17" t="str">
        <f>IF(F46="","",F46-'02_Eingaben'!$C$10)</f>
        <v/>
      </c>
      <c r="H46" t="str">
        <f>IF(F46="","",IF(F46&lt;'02_Eingaben'!$C$18*'02_Eingaben'!$C$10,1,0))</f>
        <v/>
      </c>
      <c r="I46" s="17" t="str">
        <f t="shared" si="0"/>
        <v/>
      </c>
      <c r="J46" s="17" t="str">
        <f>IF(B46="","",IF(B45&lt;'02_Eingaben'!$C$36,0,J45+I45/'02_Eingaben'!$C$8))</f>
        <v/>
      </c>
    </row>
    <row r="47" spans="1:10" x14ac:dyDescent="0.25">
      <c r="A47" t="str">
        <f>IF('01_Rohdaten'!A47="","",ROW()-1)</f>
        <v/>
      </c>
      <c r="B47" s="17" t="str">
        <f>IF('01_Rohdaten'!A47="","",'01_Rohdaten'!A47)</f>
        <v/>
      </c>
      <c r="C47" s="17" t="str">
        <f>IF(B47="","",INDEX('01_Rohdaten'!B47:D47,'02_Eingaben'!$C$13))</f>
        <v/>
      </c>
      <c r="D47" s="17" t="str">
        <f>IF(C47="","",C47*'02_Eingaben'!$C$15)</f>
        <v/>
      </c>
      <c r="E47" s="17" t="str">
        <f>IF(D47="","",D47*'02_Eingaben'!$C$8)</f>
        <v/>
      </c>
      <c r="F47" s="17" t="str">
        <f>IF(E47="","",AVERAGE(INDEX($E$2:$E$3001,MAX(1,ROW()-1-'02_Eingaben'!$C$17)):INDEX($E$2:$E$3001,MIN('02_Eingaben'!$C$21,ROW()-1+'02_Eingaben'!$C$17))))</f>
        <v/>
      </c>
      <c r="G47" s="17" t="str">
        <f>IF(F47="","",F47-'02_Eingaben'!$C$10)</f>
        <v/>
      </c>
      <c r="H47" t="str">
        <f>IF(F47="","",IF(F47&lt;'02_Eingaben'!$C$18*'02_Eingaben'!$C$10,1,0))</f>
        <v/>
      </c>
      <c r="I47" s="17" t="str">
        <f t="shared" si="0"/>
        <v/>
      </c>
      <c r="J47" s="17" t="str">
        <f>IF(B47="","",IF(B46&lt;'02_Eingaben'!$C$36,0,J46+I46/'02_Eingaben'!$C$8))</f>
        <v/>
      </c>
    </row>
    <row r="48" spans="1:10" x14ac:dyDescent="0.25">
      <c r="A48" t="str">
        <f>IF('01_Rohdaten'!A48="","",ROW()-1)</f>
        <v/>
      </c>
      <c r="B48" s="17" t="str">
        <f>IF('01_Rohdaten'!A48="","",'01_Rohdaten'!A48)</f>
        <v/>
      </c>
      <c r="C48" s="17" t="str">
        <f>IF(B48="","",INDEX('01_Rohdaten'!B48:D48,'02_Eingaben'!$C$13))</f>
        <v/>
      </c>
      <c r="D48" s="17" t="str">
        <f>IF(C48="","",C48*'02_Eingaben'!$C$15)</f>
        <v/>
      </c>
      <c r="E48" s="17" t="str">
        <f>IF(D48="","",D48*'02_Eingaben'!$C$8)</f>
        <v/>
      </c>
      <c r="F48" s="17" t="str">
        <f>IF(E48="","",AVERAGE(INDEX($E$2:$E$3001,MAX(1,ROW()-1-'02_Eingaben'!$C$17)):INDEX($E$2:$E$3001,MIN('02_Eingaben'!$C$21,ROW()-1+'02_Eingaben'!$C$17))))</f>
        <v/>
      </c>
      <c r="G48" s="17" t="str">
        <f>IF(F48="","",F48-'02_Eingaben'!$C$10)</f>
        <v/>
      </c>
      <c r="H48" t="str">
        <f>IF(F48="","",IF(F48&lt;'02_Eingaben'!$C$18*'02_Eingaben'!$C$10,1,0))</f>
        <v/>
      </c>
      <c r="I48" s="17" t="str">
        <f t="shared" si="0"/>
        <v/>
      </c>
      <c r="J48" s="17" t="str">
        <f>IF(B48="","",IF(B47&lt;'02_Eingaben'!$C$36,0,J47+I47/'02_Eingaben'!$C$8))</f>
        <v/>
      </c>
    </row>
    <row r="49" spans="1:10" x14ac:dyDescent="0.25">
      <c r="A49" t="str">
        <f>IF('01_Rohdaten'!A49="","",ROW()-1)</f>
        <v/>
      </c>
      <c r="B49" s="17" t="str">
        <f>IF('01_Rohdaten'!A49="","",'01_Rohdaten'!A49)</f>
        <v/>
      </c>
      <c r="C49" s="17" t="str">
        <f>IF(B49="","",INDEX('01_Rohdaten'!B49:D49,'02_Eingaben'!$C$13))</f>
        <v/>
      </c>
      <c r="D49" s="17" t="str">
        <f>IF(C49="","",C49*'02_Eingaben'!$C$15)</f>
        <v/>
      </c>
      <c r="E49" s="17" t="str">
        <f>IF(D49="","",D49*'02_Eingaben'!$C$8)</f>
        <v/>
      </c>
      <c r="F49" s="17" t="str">
        <f>IF(E49="","",AVERAGE(INDEX($E$2:$E$3001,MAX(1,ROW()-1-'02_Eingaben'!$C$17)):INDEX($E$2:$E$3001,MIN('02_Eingaben'!$C$21,ROW()-1+'02_Eingaben'!$C$17))))</f>
        <v/>
      </c>
      <c r="G49" s="17" t="str">
        <f>IF(F49="","",F49-'02_Eingaben'!$C$10)</f>
        <v/>
      </c>
      <c r="H49" t="str">
        <f>IF(F49="","",IF(F49&lt;'02_Eingaben'!$C$18*'02_Eingaben'!$C$10,1,0))</f>
        <v/>
      </c>
      <c r="I49" s="17" t="str">
        <f t="shared" si="0"/>
        <v/>
      </c>
      <c r="J49" s="17" t="str">
        <f>IF(B49="","",IF(B48&lt;'02_Eingaben'!$C$36,0,J48+I48/'02_Eingaben'!$C$8))</f>
        <v/>
      </c>
    </row>
    <row r="50" spans="1:10" x14ac:dyDescent="0.25">
      <c r="A50" t="str">
        <f>IF('01_Rohdaten'!A50="","",ROW()-1)</f>
        <v/>
      </c>
      <c r="B50" s="17" t="str">
        <f>IF('01_Rohdaten'!A50="","",'01_Rohdaten'!A50)</f>
        <v/>
      </c>
      <c r="C50" s="17" t="str">
        <f>IF(B50="","",INDEX('01_Rohdaten'!B50:D50,'02_Eingaben'!$C$13))</f>
        <v/>
      </c>
      <c r="D50" s="17" t="str">
        <f>IF(C50="","",C50*'02_Eingaben'!$C$15)</f>
        <v/>
      </c>
      <c r="E50" s="17" t="str">
        <f>IF(D50="","",D50*'02_Eingaben'!$C$8)</f>
        <v/>
      </c>
      <c r="F50" s="17" t="str">
        <f>IF(E50="","",AVERAGE(INDEX($E$2:$E$3001,MAX(1,ROW()-1-'02_Eingaben'!$C$17)):INDEX($E$2:$E$3001,MIN('02_Eingaben'!$C$21,ROW()-1+'02_Eingaben'!$C$17))))</f>
        <v/>
      </c>
      <c r="G50" s="17" t="str">
        <f>IF(F50="","",F50-'02_Eingaben'!$C$10)</f>
        <v/>
      </c>
      <c r="H50" t="str">
        <f>IF(F50="","",IF(F50&lt;'02_Eingaben'!$C$18*'02_Eingaben'!$C$10,1,0))</f>
        <v/>
      </c>
      <c r="I50" s="17" t="str">
        <f t="shared" si="0"/>
        <v/>
      </c>
      <c r="J50" s="17" t="str">
        <f>IF(B50="","",IF(B49&lt;'02_Eingaben'!$C$36,0,J49+I49/'02_Eingaben'!$C$8))</f>
        <v/>
      </c>
    </row>
    <row r="51" spans="1:10" x14ac:dyDescent="0.25">
      <c r="A51" t="str">
        <f>IF('01_Rohdaten'!A51="","",ROW()-1)</f>
        <v/>
      </c>
      <c r="B51" s="17" t="str">
        <f>IF('01_Rohdaten'!A51="","",'01_Rohdaten'!A51)</f>
        <v/>
      </c>
      <c r="C51" s="17" t="str">
        <f>IF(B51="","",INDEX('01_Rohdaten'!B51:D51,'02_Eingaben'!$C$13))</f>
        <v/>
      </c>
      <c r="D51" s="17" t="str">
        <f>IF(C51="","",C51*'02_Eingaben'!$C$15)</f>
        <v/>
      </c>
      <c r="E51" s="17" t="str">
        <f>IF(D51="","",D51*'02_Eingaben'!$C$8)</f>
        <v/>
      </c>
      <c r="F51" s="17" t="str">
        <f>IF(E51="","",AVERAGE(INDEX($E$2:$E$3001,MAX(1,ROW()-1-'02_Eingaben'!$C$17)):INDEX($E$2:$E$3001,MIN('02_Eingaben'!$C$21,ROW()-1+'02_Eingaben'!$C$17))))</f>
        <v/>
      </c>
      <c r="G51" s="17" t="str">
        <f>IF(F51="","",F51-'02_Eingaben'!$C$10)</f>
        <v/>
      </c>
      <c r="H51" t="str">
        <f>IF(F51="","",IF(F51&lt;'02_Eingaben'!$C$18*'02_Eingaben'!$C$10,1,0))</f>
        <v/>
      </c>
      <c r="I51" s="17" t="str">
        <f t="shared" si="0"/>
        <v/>
      </c>
      <c r="J51" s="17" t="str">
        <f>IF(B51="","",IF(B50&lt;'02_Eingaben'!$C$36,0,J50+I50/'02_Eingaben'!$C$8))</f>
        <v/>
      </c>
    </row>
    <row r="52" spans="1:10" x14ac:dyDescent="0.25">
      <c r="A52" t="str">
        <f>IF('01_Rohdaten'!A52="","",ROW()-1)</f>
        <v/>
      </c>
      <c r="B52" s="17" t="str">
        <f>IF('01_Rohdaten'!A52="","",'01_Rohdaten'!A52)</f>
        <v/>
      </c>
      <c r="C52" s="17" t="str">
        <f>IF(B52="","",INDEX('01_Rohdaten'!B52:D52,'02_Eingaben'!$C$13))</f>
        <v/>
      </c>
      <c r="D52" s="17" t="str">
        <f>IF(C52="","",C52*'02_Eingaben'!$C$15)</f>
        <v/>
      </c>
      <c r="E52" s="17" t="str">
        <f>IF(D52="","",D52*'02_Eingaben'!$C$8)</f>
        <v/>
      </c>
      <c r="F52" s="17" t="str">
        <f>IF(E52="","",AVERAGE(INDEX($E$2:$E$3001,MAX(1,ROW()-1-'02_Eingaben'!$C$17)):INDEX($E$2:$E$3001,MIN('02_Eingaben'!$C$21,ROW()-1+'02_Eingaben'!$C$17))))</f>
        <v/>
      </c>
      <c r="G52" s="17" t="str">
        <f>IF(F52="","",F52-'02_Eingaben'!$C$10)</f>
        <v/>
      </c>
      <c r="H52" t="str">
        <f>IF(F52="","",IF(F52&lt;'02_Eingaben'!$C$18*'02_Eingaben'!$C$10,1,0))</f>
        <v/>
      </c>
      <c r="I52" s="17" t="str">
        <f t="shared" si="0"/>
        <v/>
      </c>
      <c r="J52" s="17" t="str">
        <f>IF(B52="","",IF(B51&lt;'02_Eingaben'!$C$36,0,J51+I51/'02_Eingaben'!$C$8))</f>
        <v/>
      </c>
    </row>
    <row r="53" spans="1:10" x14ac:dyDescent="0.25">
      <c r="A53" t="str">
        <f>IF('01_Rohdaten'!A53="","",ROW()-1)</f>
        <v/>
      </c>
      <c r="B53" s="17" t="str">
        <f>IF('01_Rohdaten'!A53="","",'01_Rohdaten'!A53)</f>
        <v/>
      </c>
      <c r="C53" s="17" t="str">
        <f>IF(B53="","",INDEX('01_Rohdaten'!B53:D53,'02_Eingaben'!$C$13))</f>
        <v/>
      </c>
      <c r="D53" s="17" t="str">
        <f>IF(C53="","",C53*'02_Eingaben'!$C$15)</f>
        <v/>
      </c>
      <c r="E53" s="17" t="str">
        <f>IF(D53="","",D53*'02_Eingaben'!$C$8)</f>
        <v/>
      </c>
      <c r="F53" s="17" t="str">
        <f>IF(E53="","",AVERAGE(INDEX($E$2:$E$3001,MAX(1,ROW()-1-'02_Eingaben'!$C$17)):INDEX($E$2:$E$3001,MIN('02_Eingaben'!$C$21,ROW()-1+'02_Eingaben'!$C$17))))</f>
        <v/>
      </c>
      <c r="G53" s="17" t="str">
        <f>IF(F53="","",F53-'02_Eingaben'!$C$10)</f>
        <v/>
      </c>
      <c r="H53" t="str">
        <f>IF(F53="","",IF(F53&lt;'02_Eingaben'!$C$18*'02_Eingaben'!$C$10,1,0))</f>
        <v/>
      </c>
      <c r="I53" s="17" t="str">
        <f t="shared" si="0"/>
        <v/>
      </c>
      <c r="J53" s="17" t="str">
        <f>IF(B53="","",IF(B52&lt;'02_Eingaben'!$C$36,0,J52+I52/'02_Eingaben'!$C$8))</f>
        <v/>
      </c>
    </row>
    <row r="54" spans="1:10" x14ac:dyDescent="0.25">
      <c r="A54" t="str">
        <f>IF('01_Rohdaten'!A54="","",ROW()-1)</f>
        <v/>
      </c>
      <c r="B54" s="17" t="str">
        <f>IF('01_Rohdaten'!A54="","",'01_Rohdaten'!A54)</f>
        <v/>
      </c>
      <c r="C54" s="17" t="str">
        <f>IF(B54="","",INDEX('01_Rohdaten'!B54:D54,'02_Eingaben'!$C$13))</f>
        <v/>
      </c>
      <c r="D54" s="17" t="str">
        <f>IF(C54="","",C54*'02_Eingaben'!$C$15)</f>
        <v/>
      </c>
      <c r="E54" s="17" t="str">
        <f>IF(D54="","",D54*'02_Eingaben'!$C$8)</f>
        <v/>
      </c>
      <c r="F54" s="17" t="str">
        <f>IF(E54="","",AVERAGE(INDEX($E$2:$E$3001,MAX(1,ROW()-1-'02_Eingaben'!$C$17)):INDEX($E$2:$E$3001,MIN('02_Eingaben'!$C$21,ROW()-1+'02_Eingaben'!$C$17))))</f>
        <v/>
      </c>
      <c r="G54" s="17" t="str">
        <f>IF(F54="","",F54-'02_Eingaben'!$C$10)</f>
        <v/>
      </c>
      <c r="H54" t="str">
        <f>IF(F54="","",IF(F54&lt;'02_Eingaben'!$C$18*'02_Eingaben'!$C$10,1,0))</f>
        <v/>
      </c>
      <c r="I54" s="17" t="str">
        <f t="shared" si="0"/>
        <v/>
      </c>
      <c r="J54" s="17" t="str">
        <f>IF(B54="","",IF(B53&lt;'02_Eingaben'!$C$36,0,J53+I53/'02_Eingaben'!$C$8))</f>
        <v/>
      </c>
    </row>
    <row r="55" spans="1:10" x14ac:dyDescent="0.25">
      <c r="A55" t="str">
        <f>IF('01_Rohdaten'!A55="","",ROW()-1)</f>
        <v/>
      </c>
      <c r="B55" s="17" t="str">
        <f>IF('01_Rohdaten'!A55="","",'01_Rohdaten'!A55)</f>
        <v/>
      </c>
      <c r="C55" s="17" t="str">
        <f>IF(B55="","",INDEX('01_Rohdaten'!B55:D55,'02_Eingaben'!$C$13))</f>
        <v/>
      </c>
      <c r="D55" s="17" t="str">
        <f>IF(C55="","",C55*'02_Eingaben'!$C$15)</f>
        <v/>
      </c>
      <c r="E55" s="17" t="str">
        <f>IF(D55="","",D55*'02_Eingaben'!$C$8)</f>
        <v/>
      </c>
      <c r="F55" s="17" t="str">
        <f>IF(E55="","",AVERAGE(INDEX($E$2:$E$3001,MAX(1,ROW()-1-'02_Eingaben'!$C$17)):INDEX($E$2:$E$3001,MIN('02_Eingaben'!$C$21,ROW()-1+'02_Eingaben'!$C$17))))</f>
        <v/>
      </c>
      <c r="G55" s="17" t="str">
        <f>IF(F55="","",F55-'02_Eingaben'!$C$10)</f>
        <v/>
      </c>
      <c r="H55" t="str">
        <f>IF(F55="","",IF(F55&lt;'02_Eingaben'!$C$18*'02_Eingaben'!$C$10,1,0))</f>
        <v/>
      </c>
      <c r="I55" s="17" t="str">
        <f t="shared" si="0"/>
        <v/>
      </c>
      <c r="J55" s="17" t="str">
        <f>IF(B55="","",IF(B54&lt;'02_Eingaben'!$C$36,0,J54+I54/'02_Eingaben'!$C$8))</f>
        <v/>
      </c>
    </row>
    <row r="56" spans="1:10" x14ac:dyDescent="0.25">
      <c r="A56" t="str">
        <f>IF('01_Rohdaten'!A56="","",ROW()-1)</f>
        <v/>
      </c>
      <c r="B56" s="17" t="str">
        <f>IF('01_Rohdaten'!A56="","",'01_Rohdaten'!A56)</f>
        <v/>
      </c>
      <c r="C56" s="17" t="str">
        <f>IF(B56="","",INDEX('01_Rohdaten'!B56:D56,'02_Eingaben'!$C$13))</f>
        <v/>
      </c>
      <c r="D56" s="17" t="str">
        <f>IF(C56="","",C56*'02_Eingaben'!$C$15)</f>
        <v/>
      </c>
      <c r="E56" s="17" t="str">
        <f>IF(D56="","",D56*'02_Eingaben'!$C$8)</f>
        <v/>
      </c>
      <c r="F56" s="17" t="str">
        <f>IF(E56="","",AVERAGE(INDEX($E$2:$E$3001,MAX(1,ROW()-1-'02_Eingaben'!$C$17)):INDEX($E$2:$E$3001,MIN('02_Eingaben'!$C$21,ROW()-1+'02_Eingaben'!$C$17))))</f>
        <v/>
      </c>
      <c r="G56" s="17" t="str">
        <f>IF(F56="","",F56-'02_Eingaben'!$C$10)</f>
        <v/>
      </c>
      <c r="H56" t="str">
        <f>IF(F56="","",IF(F56&lt;'02_Eingaben'!$C$18*'02_Eingaben'!$C$10,1,0))</f>
        <v/>
      </c>
      <c r="I56" s="17" t="str">
        <f t="shared" si="0"/>
        <v/>
      </c>
      <c r="J56" s="17" t="str">
        <f>IF(B56="","",IF(B55&lt;'02_Eingaben'!$C$36,0,J55+I55/'02_Eingaben'!$C$8))</f>
        <v/>
      </c>
    </row>
    <row r="57" spans="1:10" x14ac:dyDescent="0.25">
      <c r="A57" t="str">
        <f>IF('01_Rohdaten'!A57="","",ROW()-1)</f>
        <v/>
      </c>
      <c r="B57" s="17" t="str">
        <f>IF('01_Rohdaten'!A57="","",'01_Rohdaten'!A57)</f>
        <v/>
      </c>
      <c r="C57" s="17" t="str">
        <f>IF(B57="","",INDEX('01_Rohdaten'!B57:D57,'02_Eingaben'!$C$13))</f>
        <v/>
      </c>
      <c r="D57" s="17" t="str">
        <f>IF(C57="","",C57*'02_Eingaben'!$C$15)</f>
        <v/>
      </c>
      <c r="E57" s="17" t="str">
        <f>IF(D57="","",D57*'02_Eingaben'!$C$8)</f>
        <v/>
      </c>
      <c r="F57" s="17" t="str">
        <f>IF(E57="","",AVERAGE(INDEX($E$2:$E$3001,MAX(1,ROW()-1-'02_Eingaben'!$C$17)):INDEX($E$2:$E$3001,MIN('02_Eingaben'!$C$21,ROW()-1+'02_Eingaben'!$C$17))))</f>
        <v/>
      </c>
      <c r="G57" s="17" t="str">
        <f>IF(F57="","",F57-'02_Eingaben'!$C$10)</f>
        <v/>
      </c>
      <c r="H57" t="str">
        <f>IF(F57="","",IF(F57&lt;'02_Eingaben'!$C$18*'02_Eingaben'!$C$10,1,0))</f>
        <v/>
      </c>
      <c r="I57" s="17" t="str">
        <f t="shared" si="0"/>
        <v/>
      </c>
      <c r="J57" s="17" t="str">
        <f>IF(B57="","",IF(B56&lt;'02_Eingaben'!$C$36,0,J56+I56/'02_Eingaben'!$C$8))</f>
        <v/>
      </c>
    </row>
    <row r="58" spans="1:10" x14ac:dyDescent="0.25">
      <c r="A58" t="str">
        <f>IF('01_Rohdaten'!A58="","",ROW()-1)</f>
        <v/>
      </c>
      <c r="B58" s="17" t="str">
        <f>IF('01_Rohdaten'!A58="","",'01_Rohdaten'!A58)</f>
        <v/>
      </c>
      <c r="C58" s="17" t="str">
        <f>IF(B58="","",INDEX('01_Rohdaten'!B58:D58,'02_Eingaben'!$C$13))</f>
        <v/>
      </c>
      <c r="D58" s="17" t="str">
        <f>IF(C58="","",C58*'02_Eingaben'!$C$15)</f>
        <v/>
      </c>
      <c r="E58" s="17" t="str">
        <f>IF(D58="","",D58*'02_Eingaben'!$C$8)</f>
        <v/>
      </c>
      <c r="F58" s="17" t="str">
        <f>IF(E58="","",AVERAGE(INDEX($E$2:$E$3001,MAX(1,ROW()-1-'02_Eingaben'!$C$17)):INDEX($E$2:$E$3001,MIN('02_Eingaben'!$C$21,ROW()-1+'02_Eingaben'!$C$17))))</f>
        <v/>
      </c>
      <c r="G58" s="17" t="str">
        <f>IF(F58="","",F58-'02_Eingaben'!$C$10)</f>
        <v/>
      </c>
      <c r="H58" t="str">
        <f>IF(F58="","",IF(F58&lt;'02_Eingaben'!$C$18*'02_Eingaben'!$C$10,1,0))</f>
        <v/>
      </c>
      <c r="I58" s="17" t="str">
        <f t="shared" si="0"/>
        <v/>
      </c>
      <c r="J58" s="17" t="str">
        <f>IF(B58="","",IF(B57&lt;'02_Eingaben'!$C$36,0,J57+I57/'02_Eingaben'!$C$8))</f>
        <v/>
      </c>
    </row>
    <row r="59" spans="1:10" x14ac:dyDescent="0.25">
      <c r="A59" t="str">
        <f>IF('01_Rohdaten'!A59="","",ROW()-1)</f>
        <v/>
      </c>
      <c r="B59" s="17" t="str">
        <f>IF('01_Rohdaten'!A59="","",'01_Rohdaten'!A59)</f>
        <v/>
      </c>
      <c r="C59" s="17" t="str">
        <f>IF(B59="","",INDEX('01_Rohdaten'!B59:D59,'02_Eingaben'!$C$13))</f>
        <v/>
      </c>
      <c r="D59" s="17" t="str">
        <f>IF(C59="","",C59*'02_Eingaben'!$C$15)</f>
        <v/>
      </c>
      <c r="E59" s="17" t="str">
        <f>IF(D59="","",D59*'02_Eingaben'!$C$8)</f>
        <v/>
      </c>
      <c r="F59" s="17" t="str">
        <f>IF(E59="","",AVERAGE(INDEX($E$2:$E$3001,MAX(1,ROW()-1-'02_Eingaben'!$C$17)):INDEX($E$2:$E$3001,MIN('02_Eingaben'!$C$21,ROW()-1+'02_Eingaben'!$C$17))))</f>
        <v/>
      </c>
      <c r="G59" s="17" t="str">
        <f>IF(F59="","",F59-'02_Eingaben'!$C$10)</f>
        <v/>
      </c>
      <c r="H59" t="str">
        <f>IF(F59="","",IF(F59&lt;'02_Eingaben'!$C$18*'02_Eingaben'!$C$10,1,0))</f>
        <v/>
      </c>
      <c r="I59" s="17" t="str">
        <f t="shared" si="0"/>
        <v/>
      </c>
      <c r="J59" s="17" t="str">
        <f>IF(B59="","",IF(B58&lt;'02_Eingaben'!$C$36,0,J58+I58/'02_Eingaben'!$C$8))</f>
        <v/>
      </c>
    </row>
    <row r="60" spans="1:10" x14ac:dyDescent="0.25">
      <c r="A60" t="str">
        <f>IF('01_Rohdaten'!A60="","",ROW()-1)</f>
        <v/>
      </c>
      <c r="B60" s="17" t="str">
        <f>IF('01_Rohdaten'!A60="","",'01_Rohdaten'!A60)</f>
        <v/>
      </c>
      <c r="C60" s="17" t="str">
        <f>IF(B60="","",INDEX('01_Rohdaten'!B60:D60,'02_Eingaben'!$C$13))</f>
        <v/>
      </c>
      <c r="D60" s="17" t="str">
        <f>IF(C60="","",C60*'02_Eingaben'!$C$15)</f>
        <v/>
      </c>
      <c r="E60" s="17" t="str">
        <f>IF(D60="","",D60*'02_Eingaben'!$C$8)</f>
        <v/>
      </c>
      <c r="F60" s="17" t="str">
        <f>IF(E60="","",AVERAGE(INDEX($E$2:$E$3001,MAX(1,ROW()-1-'02_Eingaben'!$C$17)):INDEX($E$2:$E$3001,MIN('02_Eingaben'!$C$21,ROW()-1+'02_Eingaben'!$C$17))))</f>
        <v/>
      </c>
      <c r="G60" s="17" t="str">
        <f>IF(F60="","",F60-'02_Eingaben'!$C$10)</f>
        <v/>
      </c>
      <c r="H60" t="str">
        <f>IF(F60="","",IF(F60&lt;'02_Eingaben'!$C$18*'02_Eingaben'!$C$10,1,0))</f>
        <v/>
      </c>
      <c r="I60" s="17" t="str">
        <f t="shared" si="0"/>
        <v/>
      </c>
      <c r="J60" s="17" t="str">
        <f>IF(B60="","",IF(B59&lt;'02_Eingaben'!$C$36,0,J59+I59/'02_Eingaben'!$C$8))</f>
        <v/>
      </c>
    </row>
    <row r="61" spans="1:10" x14ac:dyDescent="0.25">
      <c r="A61" t="str">
        <f>IF('01_Rohdaten'!A61="","",ROW()-1)</f>
        <v/>
      </c>
      <c r="B61" s="17" t="str">
        <f>IF('01_Rohdaten'!A61="","",'01_Rohdaten'!A61)</f>
        <v/>
      </c>
      <c r="C61" s="17" t="str">
        <f>IF(B61="","",INDEX('01_Rohdaten'!B61:D61,'02_Eingaben'!$C$13))</f>
        <v/>
      </c>
      <c r="D61" s="17" t="str">
        <f>IF(C61="","",C61*'02_Eingaben'!$C$15)</f>
        <v/>
      </c>
      <c r="E61" s="17" t="str">
        <f>IF(D61="","",D61*'02_Eingaben'!$C$8)</f>
        <v/>
      </c>
      <c r="F61" s="17" t="str">
        <f>IF(E61="","",AVERAGE(INDEX($E$2:$E$3001,MAX(1,ROW()-1-'02_Eingaben'!$C$17)):INDEX($E$2:$E$3001,MIN('02_Eingaben'!$C$21,ROW()-1+'02_Eingaben'!$C$17))))</f>
        <v/>
      </c>
      <c r="G61" s="17" t="str">
        <f>IF(F61="","",F61-'02_Eingaben'!$C$10)</f>
        <v/>
      </c>
      <c r="H61" t="str">
        <f>IF(F61="","",IF(F61&lt;'02_Eingaben'!$C$18*'02_Eingaben'!$C$10,1,0))</f>
        <v/>
      </c>
      <c r="I61" s="17" t="str">
        <f t="shared" si="0"/>
        <v/>
      </c>
      <c r="J61" s="17" t="str">
        <f>IF(B61="","",IF(B60&lt;'02_Eingaben'!$C$36,0,J60+I60/'02_Eingaben'!$C$8))</f>
        <v/>
      </c>
    </row>
    <row r="62" spans="1:10" x14ac:dyDescent="0.25">
      <c r="A62" t="str">
        <f>IF('01_Rohdaten'!A62="","",ROW()-1)</f>
        <v/>
      </c>
      <c r="B62" s="17" t="str">
        <f>IF('01_Rohdaten'!A62="","",'01_Rohdaten'!A62)</f>
        <v/>
      </c>
      <c r="C62" s="17" t="str">
        <f>IF(B62="","",INDEX('01_Rohdaten'!B62:D62,'02_Eingaben'!$C$13))</f>
        <v/>
      </c>
      <c r="D62" s="17" t="str">
        <f>IF(C62="","",C62*'02_Eingaben'!$C$15)</f>
        <v/>
      </c>
      <c r="E62" s="17" t="str">
        <f>IF(D62="","",D62*'02_Eingaben'!$C$8)</f>
        <v/>
      </c>
      <c r="F62" s="17" t="str">
        <f>IF(E62="","",AVERAGE(INDEX($E$2:$E$3001,MAX(1,ROW()-1-'02_Eingaben'!$C$17)):INDEX($E$2:$E$3001,MIN('02_Eingaben'!$C$21,ROW()-1+'02_Eingaben'!$C$17))))</f>
        <v/>
      </c>
      <c r="G62" s="17" t="str">
        <f>IF(F62="","",F62-'02_Eingaben'!$C$10)</f>
        <v/>
      </c>
      <c r="H62" t="str">
        <f>IF(F62="","",IF(F62&lt;'02_Eingaben'!$C$18*'02_Eingaben'!$C$10,1,0))</f>
        <v/>
      </c>
      <c r="I62" s="17" t="str">
        <f t="shared" si="0"/>
        <v/>
      </c>
      <c r="J62" s="17" t="str">
        <f>IF(B62="","",IF(B61&lt;'02_Eingaben'!$C$36,0,J61+I61/'02_Eingaben'!$C$8))</f>
        <v/>
      </c>
    </row>
    <row r="63" spans="1:10" x14ac:dyDescent="0.25">
      <c r="A63" t="str">
        <f>IF('01_Rohdaten'!A63="","",ROW()-1)</f>
        <v/>
      </c>
      <c r="B63" s="17" t="str">
        <f>IF('01_Rohdaten'!A63="","",'01_Rohdaten'!A63)</f>
        <v/>
      </c>
      <c r="C63" s="17" t="str">
        <f>IF(B63="","",INDEX('01_Rohdaten'!B63:D63,'02_Eingaben'!$C$13))</f>
        <v/>
      </c>
      <c r="D63" s="17" t="str">
        <f>IF(C63="","",C63*'02_Eingaben'!$C$15)</f>
        <v/>
      </c>
      <c r="E63" s="17" t="str">
        <f>IF(D63="","",D63*'02_Eingaben'!$C$8)</f>
        <v/>
      </c>
      <c r="F63" s="17" t="str">
        <f>IF(E63="","",AVERAGE(INDEX($E$2:$E$3001,MAX(1,ROW()-1-'02_Eingaben'!$C$17)):INDEX($E$2:$E$3001,MIN('02_Eingaben'!$C$21,ROW()-1+'02_Eingaben'!$C$17))))</f>
        <v/>
      </c>
      <c r="G63" s="17" t="str">
        <f>IF(F63="","",F63-'02_Eingaben'!$C$10)</f>
        <v/>
      </c>
      <c r="H63" t="str">
        <f>IF(F63="","",IF(F63&lt;'02_Eingaben'!$C$18*'02_Eingaben'!$C$10,1,0))</f>
        <v/>
      </c>
      <c r="I63" s="17" t="str">
        <f t="shared" si="0"/>
        <v/>
      </c>
      <c r="J63" s="17" t="str">
        <f>IF(B63="","",IF(B62&lt;'02_Eingaben'!$C$36,0,J62+I62/'02_Eingaben'!$C$8))</f>
        <v/>
      </c>
    </row>
    <row r="64" spans="1:10" x14ac:dyDescent="0.25">
      <c r="A64" t="str">
        <f>IF('01_Rohdaten'!A64="","",ROW()-1)</f>
        <v/>
      </c>
      <c r="B64" s="17" t="str">
        <f>IF('01_Rohdaten'!A64="","",'01_Rohdaten'!A64)</f>
        <v/>
      </c>
      <c r="C64" s="17" t="str">
        <f>IF(B64="","",INDEX('01_Rohdaten'!B64:D64,'02_Eingaben'!$C$13))</f>
        <v/>
      </c>
      <c r="D64" s="17" t="str">
        <f>IF(C64="","",C64*'02_Eingaben'!$C$15)</f>
        <v/>
      </c>
      <c r="E64" s="17" t="str">
        <f>IF(D64="","",D64*'02_Eingaben'!$C$8)</f>
        <v/>
      </c>
      <c r="F64" s="17" t="str">
        <f>IF(E64="","",AVERAGE(INDEX($E$2:$E$3001,MAX(1,ROW()-1-'02_Eingaben'!$C$17)):INDEX($E$2:$E$3001,MIN('02_Eingaben'!$C$21,ROW()-1+'02_Eingaben'!$C$17))))</f>
        <v/>
      </c>
      <c r="G64" s="17" t="str">
        <f>IF(F64="","",F64-'02_Eingaben'!$C$10)</f>
        <v/>
      </c>
      <c r="H64" t="str">
        <f>IF(F64="","",IF(F64&lt;'02_Eingaben'!$C$18*'02_Eingaben'!$C$10,1,0))</f>
        <v/>
      </c>
      <c r="I64" s="17" t="str">
        <f t="shared" si="0"/>
        <v/>
      </c>
      <c r="J64" s="17" t="str">
        <f>IF(B64="","",IF(B63&lt;'02_Eingaben'!$C$36,0,J63+I63/'02_Eingaben'!$C$8))</f>
        <v/>
      </c>
    </row>
    <row r="65" spans="1:10" x14ac:dyDescent="0.25">
      <c r="A65" t="str">
        <f>IF('01_Rohdaten'!A65="","",ROW()-1)</f>
        <v/>
      </c>
      <c r="B65" s="17" t="str">
        <f>IF('01_Rohdaten'!A65="","",'01_Rohdaten'!A65)</f>
        <v/>
      </c>
      <c r="C65" s="17" t="str">
        <f>IF(B65="","",INDEX('01_Rohdaten'!B65:D65,'02_Eingaben'!$C$13))</f>
        <v/>
      </c>
      <c r="D65" s="17" t="str">
        <f>IF(C65="","",C65*'02_Eingaben'!$C$15)</f>
        <v/>
      </c>
      <c r="E65" s="17" t="str">
        <f>IF(D65="","",D65*'02_Eingaben'!$C$8)</f>
        <v/>
      </c>
      <c r="F65" s="17" t="str">
        <f>IF(E65="","",AVERAGE(INDEX($E$2:$E$3001,MAX(1,ROW()-1-'02_Eingaben'!$C$17)):INDEX($E$2:$E$3001,MIN('02_Eingaben'!$C$21,ROW()-1+'02_Eingaben'!$C$17))))</f>
        <v/>
      </c>
      <c r="G65" s="17" t="str">
        <f>IF(F65="","",F65-'02_Eingaben'!$C$10)</f>
        <v/>
      </c>
      <c r="H65" t="str">
        <f>IF(F65="","",IF(F65&lt;'02_Eingaben'!$C$18*'02_Eingaben'!$C$10,1,0))</f>
        <v/>
      </c>
      <c r="I65" s="17" t="str">
        <f t="shared" si="0"/>
        <v/>
      </c>
      <c r="J65" s="17" t="str">
        <f>IF(B65="","",IF(B64&lt;'02_Eingaben'!$C$36,0,J64+I64/'02_Eingaben'!$C$8))</f>
        <v/>
      </c>
    </row>
    <row r="66" spans="1:10" x14ac:dyDescent="0.25">
      <c r="A66" t="str">
        <f>IF('01_Rohdaten'!A66="","",ROW()-1)</f>
        <v/>
      </c>
      <c r="B66" s="17" t="str">
        <f>IF('01_Rohdaten'!A66="","",'01_Rohdaten'!A66)</f>
        <v/>
      </c>
      <c r="C66" s="17" t="str">
        <f>IF(B66="","",INDEX('01_Rohdaten'!B66:D66,'02_Eingaben'!$C$13))</f>
        <v/>
      </c>
      <c r="D66" s="17" t="str">
        <f>IF(C66="","",C66*'02_Eingaben'!$C$15)</f>
        <v/>
      </c>
      <c r="E66" s="17" t="str">
        <f>IF(D66="","",D66*'02_Eingaben'!$C$8)</f>
        <v/>
      </c>
      <c r="F66" s="17" t="str">
        <f>IF(E66="","",AVERAGE(INDEX($E$2:$E$3001,MAX(1,ROW()-1-'02_Eingaben'!$C$17)):INDEX($E$2:$E$3001,MIN('02_Eingaben'!$C$21,ROW()-1+'02_Eingaben'!$C$17))))</f>
        <v/>
      </c>
      <c r="G66" s="17" t="str">
        <f>IF(F66="","",F66-'02_Eingaben'!$C$10)</f>
        <v/>
      </c>
      <c r="H66" t="str">
        <f>IF(F66="","",IF(F66&lt;'02_Eingaben'!$C$18*'02_Eingaben'!$C$10,1,0))</f>
        <v/>
      </c>
      <c r="I66" s="17" t="str">
        <f t="shared" ref="I66:I129" si="1">IF(OR(G66="",G67=""),"",(G66+G67)/2*(B67-B66))</f>
        <v/>
      </c>
      <c r="J66" s="17" t="str">
        <f>IF(B66="","",IF(B65&lt;'02_Eingaben'!$C$36,0,J65+I65/'02_Eingaben'!$C$8))</f>
        <v/>
      </c>
    </row>
    <row r="67" spans="1:10" x14ac:dyDescent="0.25">
      <c r="A67" t="str">
        <f>IF('01_Rohdaten'!A67="","",ROW()-1)</f>
        <v/>
      </c>
      <c r="B67" s="17" t="str">
        <f>IF('01_Rohdaten'!A67="","",'01_Rohdaten'!A67)</f>
        <v/>
      </c>
      <c r="C67" s="17" t="str">
        <f>IF(B67="","",INDEX('01_Rohdaten'!B67:D67,'02_Eingaben'!$C$13))</f>
        <v/>
      </c>
      <c r="D67" s="17" t="str">
        <f>IF(C67="","",C67*'02_Eingaben'!$C$15)</f>
        <v/>
      </c>
      <c r="E67" s="17" t="str">
        <f>IF(D67="","",D67*'02_Eingaben'!$C$8)</f>
        <v/>
      </c>
      <c r="F67" s="17" t="str">
        <f>IF(E67="","",AVERAGE(INDEX($E$2:$E$3001,MAX(1,ROW()-1-'02_Eingaben'!$C$17)):INDEX($E$2:$E$3001,MIN('02_Eingaben'!$C$21,ROW()-1+'02_Eingaben'!$C$17))))</f>
        <v/>
      </c>
      <c r="G67" s="17" t="str">
        <f>IF(F67="","",F67-'02_Eingaben'!$C$10)</f>
        <v/>
      </c>
      <c r="H67" t="str">
        <f>IF(F67="","",IF(F67&lt;'02_Eingaben'!$C$18*'02_Eingaben'!$C$10,1,0))</f>
        <v/>
      </c>
      <c r="I67" s="17" t="str">
        <f t="shared" si="1"/>
        <v/>
      </c>
      <c r="J67" s="17" t="str">
        <f>IF(B67="","",IF(B66&lt;'02_Eingaben'!$C$36,0,J66+I66/'02_Eingaben'!$C$8))</f>
        <v/>
      </c>
    </row>
    <row r="68" spans="1:10" x14ac:dyDescent="0.25">
      <c r="A68" t="str">
        <f>IF('01_Rohdaten'!A68="","",ROW()-1)</f>
        <v/>
      </c>
      <c r="B68" s="17" t="str">
        <f>IF('01_Rohdaten'!A68="","",'01_Rohdaten'!A68)</f>
        <v/>
      </c>
      <c r="C68" s="17" t="str">
        <f>IF(B68="","",INDEX('01_Rohdaten'!B68:D68,'02_Eingaben'!$C$13))</f>
        <v/>
      </c>
      <c r="D68" s="17" t="str">
        <f>IF(C68="","",C68*'02_Eingaben'!$C$15)</f>
        <v/>
      </c>
      <c r="E68" s="17" t="str">
        <f>IF(D68="","",D68*'02_Eingaben'!$C$8)</f>
        <v/>
      </c>
      <c r="F68" s="17" t="str">
        <f>IF(E68="","",AVERAGE(INDEX($E$2:$E$3001,MAX(1,ROW()-1-'02_Eingaben'!$C$17)):INDEX($E$2:$E$3001,MIN('02_Eingaben'!$C$21,ROW()-1+'02_Eingaben'!$C$17))))</f>
        <v/>
      </c>
      <c r="G68" s="17" t="str">
        <f>IF(F68="","",F68-'02_Eingaben'!$C$10)</f>
        <v/>
      </c>
      <c r="H68" t="str">
        <f>IF(F68="","",IF(F68&lt;'02_Eingaben'!$C$18*'02_Eingaben'!$C$10,1,0))</f>
        <v/>
      </c>
      <c r="I68" s="17" t="str">
        <f t="shared" si="1"/>
        <v/>
      </c>
      <c r="J68" s="17" t="str">
        <f>IF(B68="","",IF(B67&lt;'02_Eingaben'!$C$36,0,J67+I67/'02_Eingaben'!$C$8))</f>
        <v/>
      </c>
    </row>
    <row r="69" spans="1:10" x14ac:dyDescent="0.25">
      <c r="A69" t="str">
        <f>IF('01_Rohdaten'!A69="","",ROW()-1)</f>
        <v/>
      </c>
      <c r="B69" s="17" t="str">
        <f>IF('01_Rohdaten'!A69="","",'01_Rohdaten'!A69)</f>
        <v/>
      </c>
      <c r="C69" s="17" t="str">
        <f>IF(B69="","",INDEX('01_Rohdaten'!B69:D69,'02_Eingaben'!$C$13))</f>
        <v/>
      </c>
      <c r="D69" s="17" t="str">
        <f>IF(C69="","",C69*'02_Eingaben'!$C$15)</f>
        <v/>
      </c>
      <c r="E69" s="17" t="str">
        <f>IF(D69="","",D69*'02_Eingaben'!$C$8)</f>
        <v/>
      </c>
      <c r="F69" s="17" t="str">
        <f>IF(E69="","",AVERAGE(INDEX($E$2:$E$3001,MAX(1,ROW()-1-'02_Eingaben'!$C$17)):INDEX($E$2:$E$3001,MIN('02_Eingaben'!$C$21,ROW()-1+'02_Eingaben'!$C$17))))</f>
        <v/>
      </c>
      <c r="G69" s="17" t="str">
        <f>IF(F69="","",F69-'02_Eingaben'!$C$10)</f>
        <v/>
      </c>
      <c r="H69" t="str">
        <f>IF(F69="","",IF(F69&lt;'02_Eingaben'!$C$18*'02_Eingaben'!$C$10,1,0))</f>
        <v/>
      </c>
      <c r="I69" s="17" t="str">
        <f t="shared" si="1"/>
        <v/>
      </c>
      <c r="J69" s="17" t="str">
        <f>IF(B69="","",IF(B68&lt;'02_Eingaben'!$C$36,0,J68+I68/'02_Eingaben'!$C$8))</f>
        <v/>
      </c>
    </row>
    <row r="70" spans="1:10" x14ac:dyDescent="0.25">
      <c r="A70" t="str">
        <f>IF('01_Rohdaten'!A70="","",ROW()-1)</f>
        <v/>
      </c>
      <c r="B70" s="17" t="str">
        <f>IF('01_Rohdaten'!A70="","",'01_Rohdaten'!A70)</f>
        <v/>
      </c>
      <c r="C70" s="17" t="str">
        <f>IF(B70="","",INDEX('01_Rohdaten'!B70:D70,'02_Eingaben'!$C$13))</f>
        <v/>
      </c>
      <c r="D70" s="17" t="str">
        <f>IF(C70="","",C70*'02_Eingaben'!$C$15)</f>
        <v/>
      </c>
      <c r="E70" s="17" t="str">
        <f>IF(D70="","",D70*'02_Eingaben'!$C$8)</f>
        <v/>
      </c>
      <c r="F70" s="17" t="str">
        <f>IF(E70="","",AVERAGE(INDEX($E$2:$E$3001,MAX(1,ROW()-1-'02_Eingaben'!$C$17)):INDEX($E$2:$E$3001,MIN('02_Eingaben'!$C$21,ROW()-1+'02_Eingaben'!$C$17))))</f>
        <v/>
      </c>
      <c r="G70" s="17" t="str">
        <f>IF(F70="","",F70-'02_Eingaben'!$C$10)</f>
        <v/>
      </c>
      <c r="H70" t="str">
        <f>IF(F70="","",IF(F70&lt;'02_Eingaben'!$C$18*'02_Eingaben'!$C$10,1,0))</f>
        <v/>
      </c>
      <c r="I70" s="17" t="str">
        <f t="shared" si="1"/>
        <v/>
      </c>
      <c r="J70" s="17" t="str">
        <f>IF(B70="","",IF(B69&lt;'02_Eingaben'!$C$36,0,J69+I69/'02_Eingaben'!$C$8))</f>
        <v/>
      </c>
    </row>
    <row r="71" spans="1:10" x14ac:dyDescent="0.25">
      <c r="A71" t="str">
        <f>IF('01_Rohdaten'!A71="","",ROW()-1)</f>
        <v/>
      </c>
      <c r="B71" s="17" t="str">
        <f>IF('01_Rohdaten'!A71="","",'01_Rohdaten'!A71)</f>
        <v/>
      </c>
      <c r="C71" s="17" t="str">
        <f>IF(B71="","",INDEX('01_Rohdaten'!B71:D71,'02_Eingaben'!$C$13))</f>
        <v/>
      </c>
      <c r="D71" s="17" t="str">
        <f>IF(C71="","",C71*'02_Eingaben'!$C$15)</f>
        <v/>
      </c>
      <c r="E71" s="17" t="str">
        <f>IF(D71="","",D71*'02_Eingaben'!$C$8)</f>
        <v/>
      </c>
      <c r="F71" s="17" t="str">
        <f>IF(E71="","",AVERAGE(INDEX($E$2:$E$3001,MAX(1,ROW()-1-'02_Eingaben'!$C$17)):INDEX($E$2:$E$3001,MIN('02_Eingaben'!$C$21,ROW()-1+'02_Eingaben'!$C$17))))</f>
        <v/>
      </c>
      <c r="G71" s="17" t="str">
        <f>IF(F71="","",F71-'02_Eingaben'!$C$10)</f>
        <v/>
      </c>
      <c r="H71" t="str">
        <f>IF(F71="","",IF(F71&lt;'02_Eingaben'!$C$18*'02_Eingaben'!$C$10,1,0))</f>
        <v/>
      </c>
      <c r="I71" s="17" t="str">
        <f t="shared" si="1"/>
        <v/>
      </c>
      <c r="J71" s="17" t="str">
        <f>IF(B71="","",IF(B70&lt;'02_Eingaben'!$C$36,0,J70+I70/'02_Eingaben'!$C$8))</f>
        <v/>
      </c>
    </row>
    <row r="72" spans="1:10" x14ac:dyDescent="0.25">
      <c r="A72" t="str">
        <f>IF('01_Rohdaten'!A72="","",ROW()-1)</f>
        <v/>
      </c>
      <c r="B72" s="17" t="str">
        <f>IF('01_Rohdaten'!A72="","",'01_Rohdaten'!A72)</f>
        <v/>
      </c>
      <c r="C72" s="17" t="str">
        <f>IF(B72="","",INDEX('01_Rohdaten'!B72:D72,'02_Eingaben'!$C$13))</f>
        <v/>
      </c>
      <c r="D72" s="17" t="str">
        <f>IF(C72="","",C72*'02_Eingaben'!$C$15)</f>
        <v/>
      </c>
      <c r="E72" s="17" t="str">
        <f>IF(D72="","",D72*'02_Eingaben'!$C$8)</f>
        <v/>
      </c>
      <c r="F72" s="17" t="str">
        <f>IF(E72="","",AVERAGE(INDEX($E$2:$E$3001,MAX(1,ROW()-1-'02_Eingaben'!$C$17)):INDEX($E$2:$E$3001,MIN('02_Eingaben'!$C$21,ROW()-1+'02_Eingaben'!$C$17))))</f>
        <v/>
      </c>
      <c r="G72" s="17" t="str">
        <f>IF(F72="","",F72-'02_Eingaben'!$C$10)</f>
        <v/>
      </c>
      <c r="H72" t="str">
        <f>IF(F72="","",IF(F72&lt;'02_Eingaben'!$C$18*'02_Eingaben'!$C$10,1,0))</f>
        <v/>
      </c>
      <c r="I72" s="17" t="str">
        <f t="shared" si="1"/>
        <v/>
      </c>
      <c r="J72" s="17" t="str">
        <f>IF(B72="","",IF(B71&lt;'02_Eingaben'!$C$36,0,J71+I71/'02_Eingaben'!$C$8))</f>
        <v/>
      </c>
    </row>
    <row r="73" spans="1:10" x14ac:dyDescent="0.25">
      <c r="A73" t="str">
        <f>IF('01_Rohdaten'!A73="","",ROW()-1)</f>
        <v/>
      </c>
      <c r="B73" s="17" t="str">
        <f>IF('01_Rohdaten'!A73="","",'01_Rohdaten'!A73)</f>
        <v/>
      </c>
      <c r="C73" s="17" t="str">
        <f>IF(B73="","",INDEX('01_Rohdaten'!B73:D73,'02_Eingaben'!$C$13))</f>
        <v/>
      </c>
      <c r="D73" s="17" t="str">
        <f>IF(C73="","",C73*'02_Eingaben'!$C$15)</f>
        <v/>
      </c>
      <c r="E73" s="17" t="str">
        <f>IF(D73="","",D73*'02_Eingaben'!$C$8)</f>
        <v/>
      </c>
      <c r="F73" s="17" t="str">
        <f>IF(E73="","",AVERAGE(INDEX($E$2:$E$3001,MAX(1,ROW()-1-'02_Eingaben'!$C$17)):INDEX($E$2:$E$3001,MIN('02_Eingaben'!$C$21,ROW()-1+'02_Eingaben'!$C$17))))</f>
        <v/>
      </c>
      <c r="G73" s="17" t="str">
        <f>IF(F73="","",F73-'02_Eingaben'!$C$10)</f>
        <v/>
      </c>
      <c r="H73" t="str">
        <f>IF(F73="","",IF(F73&lt;'02_Eingaben'!$C$18*'02_Eingaben'!$C$10,1,0))</f>
        <v/>
      </c>
      <c r="I73" s="17" t="str">
        <f t="shared" si="1"/>
        <v/>
      </c>
      <c r="J73" s="17" t="str">
        <f>IF(B73="","",IF(B72&lt;'02_Eingaben'!$C$36,0,J72+I72/'02_Eingaben'!$C$8))</f>
        <v/>
      </c>
    </row>
    <row r="74" spans="1:10" x14ac:dyDescent="0.25">
      <c r="A74" t="str">
        <f>IF('01_Rohdaten'!A74="","",ROW()-1)</f>
        <v/>
      </c>
      <c r="B74" s="17" t="str">
        <f>IF('01_Rohdaten'!A74="","",'01_Rohdaten'!A74)</f>
        <v/>
      </c>
      <c r="C74" s="17" t="str">
        <f>IF(B74="","",INDEX('01_Rohdaten'!B74:D74,'02_Eingaben'!$C$13))</f>
        <v/>
      </c>
      <c r="D74" s="17" t="str">
        <f>IF(C74="","",C74*'02_Eingaben'!$C$15)</f>
        <v/>
      </c>
      <c r="E74" s="17" t="str">
        <f>IF(D74="","",D74*'02_Eingaben'!$C$8)</f>
        <v/>
      </c>
      <c r="F74" s="17" t="str">
        <f>IF(E74="","",AVERAGE(INDEX($E$2:$E$3001,MAX(1,ROW()-1-'02_Eingaben'!$C$17)):INDEX($E$2:$E$3001,MIN('02_Eingaben'!$C$21,ROW()-1+'02_Eingaben'!$C$17))))</f>
        <v/>
      </c>
      <c r="G74" s="17" t="str">
        <f>IF(F74="","",F74-'02_Eingaben'!$C$10)</f>
        <v/>
      </c>
      <c r="H74" t="str">
        <f>IF(F74="","",IF(F74&lt;'02_Eingaben'!$C$18*'02_Eingaben'!$C$10,1,0))</f>
        <v/>
      </c>
      <c r="I74" s="17" t="str">
        <f t="shared" si="1"/>
        <v/>
      </c>
      <c r="J74" s="17" t="str">
        <f>IF(B74="","",IF(B73&lt;'02_Eingaben'!$C$36,0,J73+I73/'02_Eingaben'!$C$8))</f>
        <v/>
      </c>
    </row>
    <row r="75" spans="1:10" x14ac:dyDescent="0.25">
      <c r="A75" t="str">
        <f>IF('01_Rohdaten'!A75="","",ROW()-1)</f>
        <v/>
      </c>
      <c r="B75" s="17" t="str">
        <f>IF('01_Rohdaten'!A75="","",'01_Rohdaten'!A75)</f>
        <v/>
      </c>
      <c r="C75" s="17" t="str">
        <f>IF(B75="","",INDEX('01_Rohdaten'!B75:D75,'02_Eingaben'!$C$13))</f>
        <v/>
      </c>
      <c r="D75" s="17" t="str">
        <f>IF(C75="","",C75*'02_Eingaben'!$C$15)</f>
        <v/>
      </c>
      <c r="E75" s="17" t="str">
        <f>IF(D75="","",D75*'02_Eingaben'!$C$8)</f>
        <v/>
      </c>
      <c r="F75" s="17" t="str">
        <f>IF(E75="","",AVERAGE(INDEX($E$2:$E$3001,MAX(1,ROW()-1-'02_Eingaben'!$C$17)):INDEX($E$2:$E$3001,MIN('02_Eingaben'!$C$21,ROW()-1+'02_Eingaben'!$C$17))))</f>
        <v/>
      </c>
      <c r="G75" s="17" t="str">
        <f>IF(F75="","",F75-'02_Eingaben'!$C$10)</f>
        <v/>
      </c>
      <c r="H75" t="str">
        <f>IF(F75="","",IF(F75&lt;'02_Eingaben'!$C$18*'02_Eingaben'!$C$10,1,0))</f>
        <v/>
      </c>
      <c r="I75" s="17" t="str">
        <f t="shared" si="1"/>
        <v/>
      </c>
      <c r="J75" s="17" t="str">
        <f>IF(B75="","",IF(B74&lt;'02_Eingaben'!$C$36,0,J74+I74/'02_Eingaben'!$C$8))</f>
        <v/>
      </c>
    </row>
    <row r="76" spans="1:10" x14ac:dyDescent="0.25">
      <c r="A76" t="str">
        <f>IF('01_Rohdaten'!A76="","",ROW()-1)</f>
        <v/>
      </c>
      <c r="B76" s="17" t="str">
        <f>IF('01_Rohdaten'!A76="","",'01_Rohdaten'!A76)</f>
        <v/>
      </c>
      <c r="C76" s="17" t="str">
        <f>IF(B76="","",INDEX('01_Rohdaten'!B76:D76,'02_Eingaben'!$C$13))</f>
        <v/>
      </c>
      <c r="D76" s="17" t="str">
        <f>IF(C76="","",C76*'02_Eingaben'!$C$15)</f>
        <v/>
      </c>
      <c r="E76" s="17" t="str">
        <f>IF(D76="","",D76*'02_Eingaben'!$C$8)</f>
        <v/>
      </c>
      <c r="F76" s="17" t="str">
        <f>IF(E76="","",AVERAGE(INDEX($E$2:$E$3001,MAX(1,ROW()-1-'02_Eingaben'!$C$17)):INDEX($E$2:$E$3001,MIN('02_Eingaben'!$C$21,ROW()-1+'02_Eingaben'!$C$17))))</f>
        <v/>
      </c>
      <c r="G76" s="17" t="str">
        <f>IF(F76="","",F76-'02_Eingaben'!$C$10)</f>
        <v/>
      </c>
      <c r="H76" t="str">
        <f>IF(F76="","",IF(F76&lt;'02_Eingaben'!$C$18*'02_Eingaben'!$C$10,1,0))</f>
        <v/>
      </c>
      <c r="I76" s="17" t="str">
        <f t="shared" si="1"/>
        <v/>
      </c>
      <c r="J76" s="17" t="str">
        <f>IF(B76="","",IF(B75&lt;'02_Eingaben'!$C$36,0,J75+I75/'02_Eingaben'!$C$8))</f>
        <v/>
      </c>
    </row>
    <row r="77" spans="1:10" x14ac:dyDescent="0.25">
      <c r="A77" t="str">
        <f>IF('01_Rohdaten'!A77="","",ROW()-1)</f>
        <v/>
      </c>
      <c r="B77" s="17" t="str">
        <f>IF('01_Rohdaten'!A77="","",'01_Rohdaten'!A77)</f>
        <v/>
      </c>
      <c r="C77" s="17" t="str">
        <f>IF(B77="","",INDEX('01_Rohdaten'!B77:D77,'02_Eingaben'!$C$13))</f>
        <v/>
      </c>
      <c r="D77" s="17" t="str">
        <f>IF(C77="","",C77*'02_Eingaben'!$C$15)</f>
        <v/>
      </c>
      <c r="E77" s="17" t="str">
        <f>IF(D77="","",D77*'02_Eingaben'!$C$8)</f>
        <v/>
      </c>
      <c r="F77" s="17" t="str">
        <f>IF(E77="","",AVERAGE(INDEX($E$2:$E$3001,MAX(1,ROW()-1-'02_Eingaben'!$C$17)):INDEX($E$2:$E$3001,MIN('02_Eingaben'!$C$21,ROW()-1+'02_Eingaben'!$C$17))))</f>
        <v/>
      </c>
      <c r="G77" s="17" t="str">
        <f>IF(F77="","",F77-'02_Eingaben'!$C$10)</f>
        <v/>
      </c>
      <c r="H77" t="str">
        <f>IF(F77="","",IF(F77&lt;'02_Eingaben'!$C$18*'02_Eingaben'!$C$10,1,0))</f>
        <v/>
      </c>
      <c r="I77" s="17" t="str">
        <f t="shared" si="1"/>
        <v/>
      </c>
      <c r="J77" s="17" t="str">
        <f>IF(B77="","",IF(B76&lt;'02_Eingaben'!$C$36,0,J76+I76/'02_Eingaben'!$C$8))</f>
        <v/>
      </c>
    </row>
    <row r="78" spans="1:10" x14ac:dyDescent="0.25">
      <c r="A78" t="str">
        <f>IF('01_Rohdaten'!A78="","",ROW()-1)</f>
        <v/>
      </c>
      <c r="B78" s="17" t="str">
        <f>IF('01_Rohdaten'!A78="","",'01_Rohdaten'!A78)</f>
        <v/>
      </c>
      <c r="C78" s="17" t="str">
        <f>IF(B78="","",INDEX('01_Rohdaten'!B78:D78,'02_Eingaben'!$C$13))</f>
        <v/>
      </c>
      <c r="D78" s="17" t="str">
        <f>IF(C78="","",C78*'02_Eingaben'!$C$15)</f>
        <v/>
      </c>
      <c r="E78" s="17" t="str">
        <f>IF(D78="","",D78*'02_Eingaben'!$C$8)</f>
        <v/>
      </c>
      <c r="F78" s="17" t="str">
        <f>IF(E78="","",AVERAGE(INDEX($E$2:$E$3001,MAX(1,ROW()-1-'02_Eingaben'!$C$17)):INDEX($E$2:$E$3001,MIN('02_Eingaben'!$C$21,ROW()-1+'02_Eingaben'!$C$17))))</f>
        <v/>
      </c>
      <c r="G78" s="17" t="str">
        <f>IF(F78="","",F78-'02_Eingaben'!$C$10)</f>
        <v/>
      </c>
      <c r="H78" t="str">
        <f>IF(F78="","",IF(F78&lt;'02_Eingaben'!$C$18*'02_Eingaben'!$C$10,1,0))</f>
        <v/>
      </c>
      <c r="I78" s="17" t="str">
        <f t="shared" si="1"/>
        <v/>
      </c>
      <c r="J78" s="17" t="str">
        <f>IF(B78="","",IF(B77&lt;'02_Eingaben'!$C$36,0,J77+I77/'02_Eingaben'!$C$8))</f>
        <v/>
      </c>
    </row>
    <row r="79" spans="1:10" x14ac:dyDescent="0.25">
      <c r="A79" t="str">
        <f>IF('01_Rohdaten'!A79="","",ROW()-1)</f>
        <v/>
      </c>
      <c r="B79" s="17" t="str">
        <f>IF('01_Rohdaten'!A79="","",'01_Rohdaten'!A79)</f>
        <v/>
      </c>
      <c r="C79" s="17" t="str">
        <f>IF(B79="","",INDEX('01_Rohdaten'!B79:D79,'02_Eingaben'!$C$13))</f>
        <v/>
      </c>
      <c r="D79" s="17" t="str">
        <f>IF(C79="","",C79*'02_Eingaben'!$C$15)</f>
        <v/>
      </c>
      <c r="E79" s="17" t="str">
        <f>IF(D79="","",D79*'02_Eingaben'!$C$8)</f>
        <v/>
      </c>
      <c r="F79" s="17" t="str">
        <f>IF(E79="","",AVERAGE(INDEX($E$2:$E$3001,MAX(1,ROW()-1-'02_Eingaben'!$C$17)):INDEX($E$2:$E$3001,MIN('02_Eingaben'!$C$21,ROW()-1+'02_Eingaben'!$C$17))))</f>
        <v/>
      </c>
      <c r="G79" s="17" t="str">
        <f>IF(F79="","",F79-'02_Eingaben'!$C$10)</f>
        <v/>
      </c>
      <c r="H79" t="str">
        <f>IF(F79="","",IF(F79&lt;'02_Eingaben'!$C$18*'02_Eingaben'!$C$10,1,0))</f>
        <v/>
      </c>
      <c r="I79" s="17" t="str">
        <f t="shared" si="1"/>
        <v/>
      </c>
      <c r="J79" s="17" t="str">
        <f>IF(B79="","",IF(B78&lt;'02_Eingaben'!$C$36,0,J78+I78/'02_Eingaben'!$C$8))</f>
        <v/>
      </c>
    </row>
    <row r="80" spans="1:10" x14ac:dyDescent="0.25">
      <c r="A80" t="str">
        <f>IF('01_Rohdaten'!A80="","",ROW()-1)</f>
        <v/>
      </c>
      <c r="B80" s="17" t="str">
        <f>IF('01_Rohdaten'!A80="","",'01_Rohdaten'!A80)</f>
        <v/>
      </c>
      <c r="C80" s="17" t="str">
        <f>IF(B80="","",INDEX('01_Rohdaten'!B80:D80,'02_Eingaben'!$C$13))</f>
        <v/>
      </c>
      <c r="D80" s="17" t="str">
        <f>IF(C80="","",C80*'02_Eingaben'!$C$15)</f>
        <v/>
      </c>
      <c r="E80" s="17" t="str">
        <f>IF(D80="","",D80*'02_Eingaben'!$C$8)</f>
        <v/>
      </c>
      <c r="F80" s="17" t="str">
        <f>IF(E80="","",AVERAGE(INDEX($E$2:$E$3001,MAX(1,ROW()-1-'02_Eingaben'!$C$17)):INDEX($E$2:$E$3001,MIN('02_Eingaben'!$C$21,ROW()-1+'02_Eingaben'!$C$17))))</f>
        <v/>
      </c>
      <c r="G80" s="17" t="str">
        <f>IF(F80="","",F80-'02_Eingaben'!$C$10)</f>
        <v/>
      </c>
      <c r="H80" t="str">
        <f>IF(F80="","",IF(F80&lt;'02_Eingaben'!$C$18*'02_Eingaben'!$C$10,1,0))</f>
        <v/>
      </c>
      <c r="I80" s="17" t="str">
        <f t="shared" si="1"/>
        <v/>
      </c>
      <c r="J80" s="17" t="str">
        <f>IF(B80="","",IF(B79&lt;'02_Eingaben'!$C$36,0,J79+I79/'02_Eingaben'!$C$8))</f>
        <v/>
      </c>
    </row>
    <row r="81" spans="1:10" x14ac:dyDescent="0.25">
      <c r="A81" t="str">
        <f>IF('01_Rohdaten'!A81="","",ROW()-1)</f>
        <v/>
      </c>
      <c r="B81" s="17" t="str">
        <f>IF('01_Rohdaten'!A81="","",'01_Rohdaten'!A81)</f>
        <v/>
      </c>
      <c r="C81" s="17" t="str">
        <f>IF(B81="","",INDEX('01_Rohdaten'!B81:D81,'02_Eingaben'!$C$13))</f>
        <v/>
      </c>
      <c r="D81" s="17" t="str">
        <f>IF(C81="","",C81*'02_Eingaben'!$C$15)</f>
        <v/>
      </c>
      <c r="E81" s="17" t="str">
        <f>IF(D81="","",D81*'02_Eingaben'!$C$8)</f>
        <v/>
      </c>
      <c r="F81" s="17" t="str">
        <f>IF(E81="","",AVERAGE(INDEX($E$2:$E$3001,MAX(1,ROW()-1-'02_Eingaben'!$C$17)):INDEX($E$2:$E$3001,MIN('02_Eingaben'!$C$21,ROW()-1+'02_Eingaben'!$C$17))))</f>
        <v/>
      </c>
      <c r="G81" s="17" t="str">
        <f>IF(F81="","",F81-'02_Eingaben'!$C$10)</f>
        <v/>
      </c>
      <c r="H81" t="str">
        <f>IF(F81="","",IF(F81&lt;'02_Eingaben'!$C$18*'02_Eingaben'!$C$10,1,0))</f>
        <v/>
      </c>
      <c r="I81" s="17" t="str">
        <f t="shared" si="1"/>
        <v/>
      </c>
      <c r="J81" s="17" t="str">
        <f>IF(B81="","",IF(B80&lt;'02_Eingaben'!$C$36,0,J80+I80/'02_Eingaben'!$C$8))</f>
        <v/>
      </c>
    </row>
    <row r="82" spans="1:10" x14ac:dyDescent="0.25">
      <c r="A82" t="str">
        <f>IF('01_Rohdaten'!A82="","",ROW()-1)</f>
        <v/>
      </c>
      <c r="B82" s="17" t="str">
        <f>IF('01_Rohdaten'!A82="","",'01_Rohdaten'!A82)</f>
        <v/>
      </c>
      <c r="C82" s="17" t="str">
        <f>IF(B82="","",INDEX('01_Rohdaten'!B82:D82,'02_Eingaben'!$C$13))</f>
        <v/>
      </c>
      <c r="D82" s="17" t="str">
        <f>IF(C82="","",C82*'02_Eingaben'!$C$15)</f>
        <v/>
      </c>
      <c r="E82" s="17" t="str">
        <f>IF(D82="","",D82*'02_Eingaben'!$C$8)</f>
        <v/>
      </c>
      <c r="F82" s="17" t="str">
        <f>IF(E82="","",AVERAGE(INDEX($E$2:$E$3001,MAX(1,ROW()-1-'02_Eingaben'!$C$17)):INDEX($E$2:$E$3001,MIN('02_Eingaben'!$C$21,ROW()-1+'02_Eingaben'!$C$17))))</f>
        <v/>
      </c>
      <c r="G82" s="17" t="str">
        <f>IF(F82="","",F82-'02_Eingaben'!$C$10)</f>
        <v/>
      </c>
      <c r="H82" t="str">
        <f>IF(F82="","",IF(F82&lt;'02_Eingaben'!$C$18*'02_Eingaben'!$C$10,1,0))</f>
        <v/>
      </c>
      <c r="I82" s="17" t="str">
        <f t="shared" si="1"/>
        <v/>
      </c>
      <c r="J82" s="17" t="str">
        <f>IF(B82="","",IF(B81&lt;'02_Eingaben'!$C$36,0,J81+I81/'02_Eingaben'!$C$8))</f>
        <v/>
      </c>
    </row>
    <row r="83" spans="1:10" x14ac:dyDescent="0.25">
      <c r="A83" t="str">
        <f>IF('01_Rohdaten'!A83="","",ROW()-1)</f>
        <v/>
      </c>
      <c r="B83" s="17" t="str">
        <f>IF('01_Rohdaten'!A83="","",'01_Rohdaten'!A83)</f>
        <v/>
      </c>
      <c r="C83" s="17" t="str">
        <f>IF(B83="","",INDEX('01_Rohdaten'!B83:D83,'02_Eingaben'!$C$13))</f>
        <v/>
      </c>
      <c r="D83" s="17" t="str">
        <f>IF(C83="","",C83*'02_Eingaben'!$C$15)</f>
        <v/>
      </c>
      <c r="E83" s="17" t="str">
        <f>IF(D83="","",D83*'02_Eingaben'!$C$8)</f>
        <v/>
      </c>
      <c r="F83" s="17" t="str">
        <f>IF(E83="","",AVERAGE(INDEX($E$2:$E$3001,MAX(1,ROW()-1-'02_Eingaben'!$C$17)):INDEX($E$2:$E$3001,MIN('02_Eingaben'!$C$21,ROW()-1+'02_Eingaben'!$C$17))))</f>
        <v/>
      </c>
      <c r="G83" s="17" t="str">
        <f>IF(F83="","",F83-'02_Eingaben'!$C$10)</f>
        <v/>
      </c>
      <c r="H83" t="str">
        <f>IF(F83="","",IF(F83&lt;'02_Eingaben'!$C$18*'02_Eingaben'!$C$10,1,0))</f>
        <v/>
      </c>
      <c r="I83" s="17" t="str">
        <f t="shared" si="1"/>
        <v/>
      </c>
      <c r="J83" s="17" t="str">
        <f>IF(B83="","",IF(B82&lt;'02_Eingaben'!$C$36,0,J82+I82/'02_Eingaben'!$C$8))</f>
        <v/>
      </c>
    </row>
    <row r="84" spans="1:10" x14ac:dyDescent="0.25">
      <c r="A84" t="str">
        <f>IF('01_Rohdaten'!A84="","",ROW()-1)</f>
        <v/>
      </c>
      <c r="B84" s="17" t="str">
        <f>IF('01_Rohdaten'!A84="","",'01_Rohdaten'!A84)</f>
        <v/>
      </c>
      <c r="C84" s="17" t="str">
        <f>IF(B84="","",INDEX('01_Rohdaten'!B84:D84,'02_Eingaben'!$C$13))</f>
        <v/>
      </c>
      <c r="D84" s="17" t="str">
        <f>IF(C84="","",C84*'02_Eingaben'!$C$15)</f>
        <v/>
      </c>
      <c r="E84" s="17" t="str">
        <f>IF(D84="","",D84*'02_Eingaben'!$C$8)</f>
        <v/>
      </c>
      <c r="F84" s="17" t="str">
        <f>IF(E84="","",AVERAGE(INDEX($E$2:$E$3001,MAX(1,ROW()-1-'02_Eingaben'!$C$17)):INDEX($E$2:$E$3001,MIN('02_Eingaben'!$C$21,ROW()-1+'02_Eingaben'!$C$17))))</f>
        <v/>
      </c>
      <c r="G84" s="17" t="str">
        <f>IF(F84="","",F84-'02_Eingaben'!$C$10)</f>
        <v/>
      </c>
      <c r="H84" t="str">
        <f>IF(F84="","",IF(F84&lt;'02_Eingaben'!$C$18*'02_Eingaben'!$C$10,1,0))</f>
        <v/>
      </c>
      <c r="I84" s="17" t="str">
        <f t="shared" si="1"/>
        <v/>
      </c>
      <c r="J84" s="17" t="str">
        <f>IF(B84="","",IF(B83&lt;'02_Eingaben'!$C$36,0,J83+I83/'02_Eingaben'!$C$8))</f>
        <v/>
      </c>
    </row>
    <row r="85" spans="1:10" x14ac:dyDescent="0.25">
      <c r="A85" t="str">
        <f>IF('01_Rohdaten'!A85="","",ROW()-1)</f>
        <v/>
      </c>
      <c r="B85" s="17" t="str">
        <f>IF('01_Rohdaten'!A85="","",'01_Rohdaten'!A85)</f>
        <v/>
      </c>
      <c r="C85" s="17" t="str">
        <f>IF(B85="","",INDEX('01_Rohdaten'!B85:D85,'02_Eingaben'!$C$13))</f>
        <v/>
      </c>
      <c r="D85" s="17" t="str">
        <f>IF(C85="","",C85*'02_Eingaben'!$C$15)</f>
        <v/>
      </c>
      <c r="E85" s="17" t="str">
        <f>IF(D85="","",D85*'02_Eingaben'!$C$8)</f>
        <v/>
      </c>
      <c r="F85" s="17" t="str">
        <f>IF(E85="","",AVERAGE(INDEX($E$2:$E$3001,MAX(1,ROW()-1-'02_Eingaben'!$C$17)):INDEX($E$2:$E$3001,MIN('02_Eingaben'!$C$21,ROW()-1+'02_Eingaben'!$C$17))))</f>
        <v/>
      </c>
      <c r="G85" s="17" t="str">
        <f>IF(F85="","",F85-'02_Eingaben'!$C$10)</f>
        <v/>
      </c>
      <c r="H85" t="str">
        <f>IF(F85="","",IF(F85&lt;'02_Eingaben'!$C$18*'02_Eingaben'!$C$10,1,0))</f>
        <v/>
      </c>
      <c r="I85" s="17" t="str">
        <f t="shared" si="1"/>
        <v/>
      </c>
      <c r="J85" s="17" t="str">
        <f>IF(B85="","",IF(B84&lt;'02_Eingaben'!$C$36,0,J84+I84/'02_Eingaben'!$C$8))</f>
        <v/>
      </c>
    </row>
    <row r="86" spans="1:10" x14ac:dyDescent="0.25">
      <c r="A86" t="str">
        <f>IF('01_Rohdaten'!A86="","",ROW()-1)</f>
        <v/>
      </c>
      <c r="B86" s="17" t="str">
        <f>IF('01_Rohdaten'!A86="","",'01_Rohdaten'!A86)</f>
        <v/>
      </c>
      <c r="C86" s="17" t="str">
        <f>IF(B86="","",INDEX('01_Rohdaten'!B86:D86,'02_Eingaben'!$C$13))</f>
        <v/>
      </c>
      <c r="D86" s="17" t="str">
        <f>IF(C86="","",C86*'02_Eingaben'!$C$15)</f>
        <v/>
      </c>
      <c r="E86" s="17" t="str">
        <f>IF(D86="","",D86*'02_Eingaben'!$C$8)</f>
        <v/>
      </c>
      <c r="F86" s="17" t="str">
        <f>IF(E86="","",AVERAGE(INDEX($E$2:$E$3001,MAX(1,ROW()-1-'02_Eingaben'!$C$17)):INDEX($E$2:$E$3001,MIN('02_Eingaben'!$C$21,ROW()-1+'02_Eingaben'!$C$17))))</f>
        <v/>
      </c>
      <c r="G86" s="17" t="str">
        <f>IF(F86="","",F86-'02_Eingaben'!$C$10)</f>
        <v/>
      </c>
      <c r="H86" t="str">
        <f>IF(F86="","",IF(F86&lt;'02_Eingaben'!$C$18*'02_Eingaben'!$C$10,1,0))</f>
        <v/>
      </c>
      <c r="I86" s="17" t="str">
        <f t="shared" si="1"/>
        <v/>
      </c>
      <c r="J86" s="17" t="str">
        <f>IF(B86="","",IF(B85&lt;'02_Eingaben'!$C$36,0,J85+I85/'02_Eingaben'!$C$8))</f>
        <v/>
      </c>
    </row>
    <row r="87" spans="1:10" x14ac:dyDescent="0.25">
      <c r="A87" t="str">
        <f>IF('01_Rohdaten'!A87="","",ROW()-1)</f>
        <v/>
      </c>
      <c r="B87" s="17" t="str">
        <f>IF('01_Rohdaten'!A87="","",'01_Rohdaten'!A87)</f>
        <v/>
      </c>
      <c r="C87" s="17" t="str">
        <f>IF(B87="","",INDEX('01_Rohdaten'!B87:D87,'02_Eingaben'!$C$13))</f>
        <v/>
      </c>
      <c r="D87" s="17" t="str">
        <f>IF(C87="","",C87*'02_Eingaben'!$C$15)</f>
        <v/>
      </c>
      <c r="E87" s="17" t="str">
        <f>IF(D87="","",D87*'02_Eingaben'!$C$8)</f>
        <v/>
      </c>
      <c r="F87" s="17" t="str">
        <f>IF(E87="","",AVERAGE(INDEX($E$2:$E$3001,MAX(1,ROW()-1-'02_Eingaben'!$C$17)):INDEX($E$2:$E$3001,MIN('02_Eingaben'!$C$21,ROW()-1+'02_Eingaben'!$C$17))))</f>
        <v/>
      </c>
      <c r="G87" s="17" t="str">
        <f>IF(F87="","",F87-'02_Eingaben'!$C$10)</f>
        <v/>
      </c>
      <c r="H87" t="str">
        <f>IF(F87="","",IF(F87&lt;'02_Eingaben'!$C$18*'02_Eingaben'!$C$10,1,0))</f>
        <v/>
      </c>
      <c r="I87" s="17" t="str">
        <f t="shared" si="1"/>
        <v/>
      </c>
      <c r="J87" s="17" t="str">
        <f>IF(B87="","",IF(B86&lt;'02_Eingaben'!$C$36,0,J86+I86/'02_Eingaben'!$C$8))</f>
        <v/>
      </c>
    </row>
    <row r="88" spans="1:10" x14ac:dyDescent="0.25">
      <c r="A88" t="str">
        <f>IF('01_Rohdaten'!A88="","",ROW()-1)</f>
        <v/>
      </c>
      <c r="B88" s="17" t="str">
        <f>IF('01_Rohdaten'!A88="","",'01_Rohdaten'!A88)</f>
        <v/>
      </c>
      <c r="C88" s="17" t="str">
        <f>IF(B88="","",INDEX('01_Rohdaten'!B88:D88,'02_Eingaben'!$C$13))</f>
        <v/>
      </c>
      <c r="D88" s="17" t="str">
        <f>IF(C88="","",C88*'02_Eingaben'!$C$15)</f>
        <v/>
      </c>
      <c r="E88" s="17" t="str">
        <f>IF(D88="","",D88*'02_Eingaben'!$C$8)</f>
        <v/>
      </c>
      <c r="F88" s="17" t="str">
        <f>IF(E88="","",AVERAGE(INDEX($E$2:$E$3001,MAX(1,ROW()-1-'02_Eingaben'!$C$17)):INDEX($E$2:$E$3001,MIN('02_Eingaben'!$C$21,ROW()-1+'02_Eingaben'!$C$17))))</f>
        <v/>
      </c>
      <c r="G88" s="17" t="str">
        <f>IF(F88="","",F88-'02_Eingaben'!$C$10)</f>
        <v/>
      </c>
      <c r="H88" t="str">
        <f>IF(F88="","",IF(F88&lt;'02_Eingaben'!$C$18*'02_Eingaben'!$C$10,1,0))</f>
        <v/>
      </c>
      <c r="I88" s="17" t="str">
        <f t="shared" si="1"/>
        <v/>
      </c>
      <c r="J88" s="17" t="str">
        <f>IF(B88="","",IF(B87&lt;'02_Eingaben'!$C$36,0,J87+I87/'02_Eingaben'!$C$8))</f>
        <v/>
      </c>
    </row>
    <row r="89" spans="1:10" x14ac:dyDescent="0.25">
      <c r="A89" t="str">
        <f>IF('01_Rohdaten'!A89="","",ROW()-1)</f>
        <v/>
      </c>
      <c r="B89" s="17" t="str">
        <f>IF('01_Rohdaten'!A89="","",'01_Rohdaten'!A89)</f>
        <v/>
      </c>
      <c r="C89" s="17" t="str">
        <f>IF(B89="","",INDEX('01_Rohdaten'!B89:D89,'02_Eingaben'!$C$13))</f>
        <v/>
      </c>
      <c r="D89" s="17" t="str">
        <f>IF(C89="","",C89*'02_Eingaben'!$C$15)</f>
        <v/>
      </c>
      <c r="E89" s="17" t="str">
        <f>IF(D89="","",D89*'02_Eingaben'!$C$8)</f>
        <v/>
      </c>
      <c r="F89" s="17" t="str">
        <f>IF(E89="","",AVERAGE(INDEX($E$2:$E$3001,MAX(1,ROW()-1-'02_Eingaben'!$C$17)):INDEX($E$2:$E$3001,MIN('02_Eingaben'!$C$21,ROW()-1+'02_Eingaben'!$C$17))))</f>
        <v/>
      </c>
      <c r="G89" s="17" t="str">
        <f>IF(F89="","",F89-'02_Eingaben'!$C$10)</f>
        <v/>
      </c>
      <c r="H89" t="str">
        <f>IF(F89="","",IF(F89&lt;'02_Eingaben'!$C$18*'02_Eingaben'!$C$10,1,0))</f>
        <v/>
      </c>
      <c r="I89" s="17" t="str">
        <f t="shared" si="1"/>
        <v/>
      </c>
      <c r="J89" s="17" t="str">
        <f>IF(B89="","",IF(B88&lt;'02_Eingaben'!$C$36,0,J88+I88/'02_Eingaben'!$C$8))</f>
        <v/>
      </c>
    </row>
    <row r="90" spans="1:10" x14ac:dyDescent="0.25">
      <c r="A90" t="str">
        <f>IF('01_Rohdaten'!A90="","",ROW()-1)</f>
        <v/>
      </c>
      <c r="B90" s="17" t="str">
        <f>IF('01_Rohdaten'!A90="","",'01_Rohdaten'!A90)</f>
        <v/>
      </c>
      <c r="C90" s="17" t="str">
        <f>IF(B90="","",INDEX('01_Rohdaten'!B90:D90,'02_Eingaben'!$C$13))</f>
        <v/>
      </c>
      <c r="D90" s="17" t="str">
        <f>IF(C90="","",C90*'02_Eingaben'!$C$15)</f>
        <v/>
      </c>
      <c r="E90" s="17" t="str">
        <f>IF(D90="","",D90*'02_Eingaben'!$C$8)</f>
        <v/>
      </c>
      <c r="F90" s="17" t="str">
        <f>IF(E90="","",AVERAGE(INDEX($E$2:$E$3001,MAX(1,ROW()-1-'02_Eingaben'!$C$17)):INDEX($E$2:$E$3001,MIN('02_Eingaben'!$C$21,ROW()-1+'02_Eingaben'!$C$17))))</f>
        <v/>
      </c>
      <c r="G90" s="17" t="str">
        <f>IF(F90="","",F90-'02_Eingaben'!$C$10)</f>
        <v/>
      </c>
      <c r="H90" t="str">
        <f>IF(F90="","",IF(F90&lt;'02_Eingaben'!$C$18*'02_Eingaben'!$C$10,1,0))</f>
        <v/>
      </c>
      <c r="I90" s="17" t="str">
        <f t="shared" si="1"/>
        <v/>
      </c>
      <c r="J90" s="17" t="str">
        <f>IF(B90="","",IF(B89&lt;'02_Eingaben'!$C$36,0,J89+I89/'02_Eingaben'!$C$8))</f>
        <v/>
      </c>
    </row>
    <row r="91" spans="1:10" x14ac:dyDescent="0.25">
      <c r="A91" t="str">
        <f>IF('01_Rohdaten'!A91="","",ROW()-1)</f>
        <v/>
      </c>
      <c r="B91" s="17" t="str">
        <f>IF('01_Rohdaten'!A91="","",'01_Rohdaten'!A91)</f>
        <v/>
      </c>
      <c r="C91" s="17" t="str">
        <f>IF(B91="","",INDEX('01_Rohdaten'!B91:D91,'02_Eingaben'!$C$13))</f>
        <v/>
      </c>
      <c r="D91" s="17" t="str">
        <f>IF(C91="","",C91*'02_Eingaben'!$C$15)</f>
        <v/>
      </c>
      <c r="E91" s="17" t="str">
        <f>IF(D91="","",D91*'02_Eingaben'!$C$8)</f>
        <v/>
      </c>
      <c r="F91" s="17" t="str">
        <f>IF(E91="","",AVERAGE(INDEX($E$2:$E$3001,MAX(1,ROW()-1-'02_Eingaben'!$C$17)):INDEX($E$2:$E$3001,MIN('02_Eingaben'!$C$21,ROW()-1+'02_Eingaben'!$C$17))))</f>
        <v/>
      </c>
      <c r="G91" s="17" t="str">
        <f>IF(F91="","",F91-'02_Eingaben'!$C$10)</f>
        <v/>
      </c>
      <c r="H91" t="str">
        <f>IF(F91="","",IF(F91&lt;'02_Eingaben'!$C$18*'02_Eingaben'!$C$10,1,0))</f>
        <v/>
      </c>
      <c r="I91" s="17" t="str">
        <f t="shared" si="1"/>
        <v/>
      </c>
      <c r="J91" s="17" t="str">
        <f>IF(B91="","",IF(B90&lt;'02_Eingaben'!$C$36,0,J90+I90/'02_Eingaben'!$C$8))</f>
        <v/>
      </c>
    </row>
    <row r="92" spans="1:10" x14ac:dyDescent="0.25">
      <c r="A92" t="str">
        <f>IF('01_Rohdaten'!A92="","",ROW()-1)</f>
        <v/>
      </c>
      <c r="B92" s="17" t="str">
        <f>IF('01_Rohdaten'!A92="","",'01_Rohdaten'!A92)</f>
        <v/>
      </c>
      <c r="C92" s="17" t="str">
        <f>IF(B92="","",INDEX('01_Rohdaten'!B92:D92,'02_Eingaben'!$C$13))</f>
        <v/>
      </c>
      <c r="D92" s="17" t="str">
        <f>IF(C92="","",C92*'02_Eingaben'!$C$15)</f>
        <v/>
      </c>
      <c r="E92" s="17" t="str">
        <f>IF(D92="","",D92*'02_Eingaben'!$C$8)</f>
        <v/>
      </c>
      <c r="F92" s="17" t="str">
        <f>IF(E92="","",AVERAGE(INDEX($E$2:$E$3001,MAX(1,ROW()-1-'02_Eingaben'!$C$17)):INDEX($E$2:$E$3001,MIN('02_Eingaben'!$C$21,ROW()-1+'02_Eingaben'!$C$17))))</f>
        <v/>
      </c>
      <c r="G92" s="17" t="str">
        <f>IF(F92="","",F92-'02_Eingaben'!$C$10)</f>
        <v/>
      </c>
      <c r="H92" t="str">
        <f>IF(F92="","",IF(F92&lt;'02_Eingaben'!$C$18*'02_Eingaben'!$C$10,1,0))</f>
        <v/>
      </c>
      <c r="I92" s="17" t="str">
        <f t="shared" si="1"/>
        <v/>
      </c>
      <c r="J92" s="17" t="str">
        <f>IF(B92="","",IF(B91&lt;'02_Eingaben'!$C$36,0,J91+I91/'02_Eingaben'!$C$8))</f>
        <v/>
      </c>
    </row>
    <row r="93" spans="1:10" x14ac:dyDescent="0.25">
      <c r="A93" t="str">
        <f>IF('01_Rohdaten'!A93="","",ROW()-1)</f>
        <v/>
      </c>
      <c r="B93" s="17" t="str">
        <f>IF('01_Rohdaten'!A93="","",'01_Rohdaten'!A93)</f>
        <v/>
      </c>
      <c r="C93" s="17" t="str">
        <f>IF(B93="","",INDEX('01_Rohdaten'!B93:D93,'02_Eingaben'!$C$13))</f>
        <v/>
      </c>
      <c r="D93" s="17" t="str">
        <f>IF(C93="","",C93*'02_Eingaben'!$C$15)</f>
        <v/>
      </c>
      <c r="E93" s="17" t="str">
        <f>IF(D93="","",D93*'02_Eingaben'!$C$8)</f>
        <v/>
      </c>
      <c r="F93" s="17" t="str">
        <f>IF(E93="","",AVERAGE(INDEX($E$2:$E$3001,MAX(1,ROW()-1-'02_Eingaben'!$C$17)):INDEX($E$2:$E$3001,MIN('02_Eingaben'!$C$21,ROW()-1+'02_Eingaben'!$C$17))))</f>
        <v/>
      </c>
      <c r="G93" s="17" t="str">
        <f>IF(F93="","",F93-'02_Eingaben'!$C$10)</f>
        <v/>
      </c>
      <c r="H93" t="str">
        <f>IF(F93="","",IF(F93&lt;'02_Eingaben'!$C$18*'02_Eingaben'!$C$10,1,0))</f>
        <v/>
      </c>
      <c r="I93" s="17" t="str">
        <f t="shared" si="1"/>
        <v/>
      </c>
      <c r="J93" s="17" t="str">
        <f>IF(B93="","",IF(B92&lt;'02_Eingaben'!$C$36,0,J92+I92/'02_Eingaben'!$C$8))</f>
        <v/>
      </c>
    </row>
    <row r="94" spans="1:10" x14ac:dyDescent="0.25">
      <c r="A94" t="str">
        <f>IF('01_Rohdaten'!A94="","",ROW()-1)</f>
        <v/>
      </c>
      <c r="B94" s="17" t="str">
        <f>IF('01_Rohdaten'!A94="","",'01_Rohdaten'!A94)</f>
        <v/>
      </c>
      <c r="C94" s="17" t="str">
        <f>IF(B94="","",INDEX('01_Rohdaten'!B94:D94,'02_Eingaben'!$C$13))</f>
        <v/>
      </c>
      <c r="D94" s="17" t="str">
        <f>IF(C94="","",C94*'02_Eingaben'!$C$15)</f>
        <v/>
      </c>
      <c r="E94" s="17" t="str">
        <f>IF(D94="","",D94*'02_Eingaben'!$C$8)</f>
        <v/>
      </c>
      <c r="F94" s="17" t="str">
        <f>IF(E94="","",AVERAGE(INDEX($E$2:$E$3001,MAX(1,ROW()-1-'02_Eingaben'!$C$17)):INDEX($E$2:$E$3001,MIN('02_Eingaben'!$C$21,ROW()-1+'02_Eingaben'!$C$17))))</f>
        <v/>
      </c>
      <c r="G94" s="17" t="str">
        <f>IF(F94="","",F94-'02_Eingaben'!$C$10)</f>
        <v/>
      </c>
      <c r="H94" t="str">
        <f>IF(F94="","",IF(F94&lt;'02_Eingaben'!$C$18*'02_Eingaben'!$C$10,1,0))</f>
        <v/>
      </c>
      <c r="I94" s="17" t="str">
        <f t="shared" si="1"/>
        <v/>
      </c>
      <c r="J94" s="17" t="str">
        <f>IF(B94="","",IF(B93&lt;'02_Eingaben'!$C$36,0,J93+I93/'02_Eingaben'!$C$8))</f>
        <v/>
      </c>
    </row>
    <row r="95" spans="1:10" x14ac:dyDescent="0.25">
      <c r="A95" t="str">
        <f>IF('01_Rohdaten'!A95="","",ROW()-1)</f>
        <v/>
      </c>
      <c r="B95" s="17" t="str">
        <f>IF('01_Rohdaten'!A95="","",'01_Rohdaten'!A95)</f>
        <v/>
      </c>
      <c r="C95" s="17" t="str">
        <f>IF(B95="","",INDEX('01_Rohdaten'!B95:D95,'02_Eingaben'!$C$13))</f>
        <v/>
      </c>
      <c r="D95" s="17" t="str">
        <f>IF(C95="","",C95*'02_Eingaben'!$C$15)</f>
        <v/>
      </c>
      <c r="E95" s="17" t="str">
        <f>IF(D95="","",D95*'02_Eingaben'!$C$8)</f>
        <v/>
      </c>
      <c r="F95" s="17" t="str">
        <f>IF(E95="","",AVERAGE(INDEX($E$2:$E$3001,MAX(1,ROW()-1-'02_Eingaben'!$C$17)):INDEX($E$2:$E$3001,MIN('02_Eingaben'!$C$21,ROW()-1+'02_Eingaben'!$C$17))))</f>
        <v/>
      </c>
      <c r="G95" s="17" t="str">
        <f>IF(F95="","",F95-'02_Eingaben'!$C$10)</f>
        <v/>
      </c>
      <c r="H95" t="str">
        <f>IF(F95="","",IF(F95&lt;'02_Eingaben'!$C$18*'02_Eingaben'!$C$10,1,0))</f>
        <v/>
      </c>
      <c r="I95" s="17" t="str">
        <f t="shared" si="1"/>
        <v/>
      </c>
      <c r="J95" s="17" t="str">
        <f>IF(B95="","",IF(B94&lt;'02_Eingaben'!$C$36,0,J94+I94/'02_Eingaben'!$C$8))</f>
        <v/>
      </c>
    </row>
    <row r="96" spans="1:10" x14ac:dyDescent="0.25">
      <c r="A96" t="str">
        <f>IF('01_Rohdaten'!A96="","",ROW()-1)</f>
        <v/>
      </c>
      <c r="B96" s="17" t="str">
        <f>IF('01_Rohdaten'!A96="","",'01_Rohdaten'!A96)</f>
        <v/>
      </c>
      <c r="C96" s="17" t="str">
        <f>IF(B96="","",INDEX('01_Rohdaten'!B96:D96,'02_Eingaben'!$C$13))</f>
        <v/>
      </c>
      <c r="D96" s="17" t="str">
        <f>IF(C96="","",C96*'02_Eingaben'!$C$15)</f>
        <v/>
      </c>
      <c r="E96" s="17" t="str">
        <f>IF(D96="","",D96*'02_Eingaben'!$C$8)</f>
        <v/>
      </c>
      <c r="F96" s="17" t="str">
        <f>IF(E96="","",AVERAGE(INDEX($E$2:$E$3001,MAX(1,ROW()-1-'02_Eingaben'!$C$17)):INDEX($E$2:$E$3001,MIN('02_Eingaben'!$C$21,ROW()-1+'02_Eingaben'!$C$17))))</f>
        <v/>
      </c>
      <c r="G96" s="17" t="str">
        <f>IF(F96="","",F96-'02_Eingaben'!$C$10)</f>
        <v/>
      </c>
      <c r="H96" t="str">
        <f>IF(F96="","",IF(F96&lt;'02_Eingaben'!$C$18*'02_Eingaben'!$C$10,1,0))</f>
        <v/>
      </c>
      <c r="I96" s="17" t="str">
        <f t="shared" si="1"/>
        <v/>
      </c>
      <c r="J96" s="17" t="str">
        <f>IF(B96="","",IF(B95&lt;'02_Eingaben'!$C$36,0,J95+I95/'02_Eingaben'!$C$8))</f>
        <v/>
      </c>
    </row>
    <row r="97" spans="1:10" x14ac:dyDescent="0.25">
      <c r="A97" t="str">
        <f>IF('01_Rohdaten'!A97="","",ROW()-1)</f>
        <v/>
      </c>
      <c r="B97" s="17" t="str">
        <f>IF('01_Rohdaten'!A97="","",'01_Rohdaten'!A97)</f>
        <v/>
      </c>
      <c r="C97" s="17" t="str">
        <f>IF(B97="","",INDEX('01_Rohdaten'!B97:D97,'02_Eingaben'!$C$13))</f>
        <v/>
      </c>
      <c r="D97" s="17" t="str">
        <f>IF(C97="","",C97*'02_Eingaben'!$C$15)</f>
        <v/>
      </c>
      <c r="E97" s="17" t="str">
        <f>IF(D97="","",D97*'02_Eingaben'!$C$8)</f>
        <v/>
      </c>
      <c r="F97" s="17" t="str">
        <f>IF(E97="","",AVERAGE(INDEX($E$2:$E$3001,MAX(1,ROW()-1-'02_Eingaben'!$C$17)):INDEX($E$2:$E$3001,MIN('02_Eingaben'!$C$21,ROW()-1+'02_Eingaben'!$C$17))))</f>
        <v/>
      </c>
      <c r="G97" s="17" t="str">
        <f>IF(F97="","",F97-'02_Eingaben'!$C$10)</f>
        <v/>
      </c>
      <c r="H97" t="str">
        <f>IF(F97="","",IF(F97&lt;'02_Eingaben'!$C$18*'02_Eingaben'!$C$10,1,0))</f>
        <v/>
      </c>
      <c r="I97" s="17" t="str">
        <f t="shared" si="1"/>
        <v/>
      </c>
      <c r="J97" s="17" t="str">
        <f>IF(B97="","",IF(B96&lt;'02_Eingaben'!$C$36,0,J96+I96/'02_Eingaben'!$C$8))</f>
        <v/>
      </c>
    </row>
    <row r="98" spans="1:10" x14ac:dyDescent="0.25">
      <c r="A98" t="str">
        <f>IF('01_Rohdaten'!A98="","",ROW()-1)</f>
        <v/>
      </c>
      <c r="B98" s="17" t="str">
        <f>IF('01_Rohdaten'!A98="","",'01_Rohdaten'!A98)</f>
        <v/>
      </c>
      <c r="C98" s="17" t="str">
        <f>IF(B98="","",INDEX('01_Rohdaten'!B98:D98,'02_Eingaben'!$C$13))</f>
        <v/>
      </c>
      <c r="D98" s="17" t="str">
        <f>IF(C98="","",C98*'02_Eingaben'!$C$15)</f>
        <v/>
      </c>
      <c r="E98" s="17" t="str">
        <f>IF(D98="","",D98*'02_Eingaben'!$C$8)</f>
        <v/>
      </c>
      <c r="F98" s="17" t="str">
        <f>IF(E98="","",AVERAGE(INDEX($E$2:$E$3001,MAX(1,ROW()-1-'02_Eingaben'!$C$17)):INDEX($E$2:$E$3001,MIN('02_Eingaben'!$C$21,ROW()-1+'02_Eingaben'!$C$17))))</f>
        <v/>
      </c>
      <c r="G98" s="17" t="str">
        <f>IF(F98="","",F98-'02_Eingaben'!$C$10)</f>
        <v/>
      </c>
      <c r="H98" t="str">
        <f>IF(F98="","",IF(F98&lt;'02_Eingaben'!$C$18*'02_Eingaben'!$C$10,1,0))</f>
        <v/>
      </c>
      <c r="I98" s="17" t="str">
        <f t="shared" si="1"/>
        <v/>
      </c>
      <c r="J98" s="17" t="str">
        <f>IF(B98="","",IF(B97&lt;'02_Eingaben'!$C$36,0,J97+I97/'02_Eingaben'!$C$8))</f>
        <v/>
      </c>
    </row>
    <row r="99" spans="1:10" x14ac:dyDescent="0.25">
      <c r="A99" t="str">
        <f>IF('01_Rohdaten'!A99="","",ROW()-1)</f>
        <v/>
      </c>
      <c r="B99" s="17" t="str">
        <f>IF('01_Rohdaten'!A99="","",'01_Rohdaten'!A99)</f>
        <v/>
      </c>
      <c r="C99" s="17" t="str">
        <f>IF(B99="","",INDEX('01_Rohdaten'!B99:D99,'02_Eingaben'!$C$13))</f>
        <v/>
      </c>
      <c r="D99" s="17" t="str">
        <f>IF(C99="","",C99*'02_Eingaben'!$C$15)</f>
        <v/>
      </c>
      <c r="E99" s="17" t="str">
        <f>IF(D99="","",D99*'02_Eingaben'!$C$8)</f>
        <v/>
      </c>
      <c r="F99" s="17" t="str">
        <f>IF(E99="","",AVERAGE(INDEX($E$2:$E$3001,MAX(1,ROW()-1-'02_Eingaben'!$C$17)):INDEX($E$2:$E$3001,MIN('02_Eingaben'!$C$21,ROW()-1+'02_Eingaben'!$C$17))))</f>
        <v/>
      </c>
      <c r="G99" s="17" t="str">
        <f>IF(F99="","",F99-'02_Eingaben'!$C$10)</f>
        <v/>
      </c>
      <c r="H99" t="str">
        <f>IF(F99="","",IF(F99&lt;'02_Eingaben'!$C$18*'02_Eingaben'!$C$10,1,0))</f>
        <v/>
      </c>
      <c r="I99" s="17" t="str">
        <f t="shared" si="1"/>
        <v/>
      </c>
      <c r="J99" s="17" t="str">
        <f>IF(B99="","",IF(B98&lt;'02_Eingaben'!$C$36,0,J98+I98/'02_Eingaben'!$C$8))</f>
        <v/>
      </c>
    </row>
    <row r="100" spans="1:10" x14ac:dyDescent="0.25">
      <c r="A100" t="str">
        <f>IF('01_Rohdaten'!A100="","",ROW()-1)</f>
        <v/>
      </c>
      <c r="B100" s="17" t="str">
        <f>IF('01_Rohdaten'!A100="","",'01_Rohdaten'!A100)</f>
        <v/>
      </c>
      <c r="C100" s="17" t="str">
        <f>IF(B100="","",INDEX('01_Rohdaten'!B100:D100,'02_Eingaben'!$C$13))</f>
        <v/>
      </c>
      <c r="D100" s="17" t="str">
        <f>IF(C100="","",C100*'02_Eingaben'!$C$15)</f>
        <v/>
      </c>
      <c r="E100" s="17" t="str">
        <f>IF(D100="","",D100*'02_Eingaben'!$C$8)</f>
        <v/>
      </c>
      <c r="F100" s="17" t="str">
        <f>IF(E100="","",AVERAGE(INDEX($E$2:$E$3001,MAX(1,ROW()-1-'02_Eingaben'!$C$17)):INDEX($E$2:$E$3001,MIN('02_Eingaben'!$C$21,ROW()-1+'02_Eingaben'!$C$17))))</f>
        <v/>
      </c>
      <c r="G100" s="17" t="str">
        <f>IF(F100="","",F100-'02_Eingaben'!$C$10)</f>
        <v/>
      </c>
      <c r="H100" t="str">
        <f>IF(F100="","",IF(F100&lt;'02_Eingaben'!$C$18*'02_Eingaben'!$C$10,1,0))</f>
        <v/>
      </c>
      <c r="I100" s="17" t="str">
        <f t="shared" si="1"/>
        <v/>
      </c>
      <c r="J100" s="17" t="str">
        <f>IF(B100="","",IF(B99&lt;'02_Eingaben'!$C$36,0,J99+I99/'02_Eingaben'!$C$8))</f>
        <v/>
      </c>
    </row>
    <row r="101" spans="1:10" x14ac:dyDescent="0.25">
      <c r="A101" t="str">
        <f>IF('01_Rohdaten'!A101="","",ROW()-1)</f>
        <v/>
      </c>
      <c r="B101" s="17" t="str">
        <f>IF('01_Rohdaten'!A101="","",'01_Rohdaten'!A101)</f>
        <v/>
      </c>
      <c r="C101" s="17" t="str">
        <f>IF(B101="","",INDEX('01_Rohdaten'!B101:D101,'02_Eingaben'!$C$13))</f>
        <v/>
      </c>
      <c r="D101" s="17" t="str">
        <f>IF(C101="","",C101*'02_Eingaben'!$C$15)</f>
        <v/>
      </c>
      <c r="E101" s="17" t="str">
        <f>IF(D101="","",D101*'02_Eingaben'!$C$8)</f>
        <v/>
      </c>
      <c r="F101" s="17" t="str">
        <f>IF(E101="","",AVERAGE(INDEX($E$2:$E$3001,MAX(1,ROW()-1-'02_Eingaben'!$C$17)):INDEX($E$2:$E$3001,MIN('02_Eingaben'!$C$21,ROW()-1+'02_Eingaben'!$C$17))))</f>
        <v/>
      </c>
      <c r="G101" s="17" t="str">
        <f>IF(F101="","",F101-'02_Eingaben'!$C$10)</f>
        <v/>
      </c>
      <c r="H101" t="str">
        <f>IF(F101="","",IF(F101&lt;'02_Eingaben'!$C$18*'02_Eingaben'!$C$10,1,0))</f>
        <v/>
      </c>
      <c r="I101" s="17" t="str">
        <f t="shared" si="1"/>
        <v/>
      </c>
      <c r="J101" s="17" t="str">
        <f>IF(B101="","",IF(B100&lt;'02_Eingaben'!$C$36,0,J100+I100/'02_Eingaben'!$C$8))</f>
        <v/>
      </c>
    </row>
    <row r="102" spans="1:10" x14ac:dyDescent="0.25">
      <c r="A102" t="str">
        <f>IF('01_Rohdaten'!A102="","",ROW()-1)</f>
        <v/>
      </c>
      <c r="B102" s="17" t="str">
        <f>IF('01_Rohdaten'!A102="","",'01_Rohdaten'!A102)</f>
        <v/>
      </c>
      <c r="C102" s="17" t="str">
        <f>IF(B102="","",INDEX('01_Rohdaten'!B102:D102,'02_Eingaben'!$C$13))</f>
        <v/>
      </c>
      <c r="D102" s="17" t="str">
        <f>IF(C102="","",C102*'02_Eingaben'!$C$15)</f>
        <v/>
      </c>
      <c r="E102" s="17" t="str">
        <f>IF(D102="","",D102*'02_Eingaben'!$C$8)</f>
        <v/>
      </c>
      <c r="F102" s="17" t="str">
        <f>IF(E102="","",AVERAGE(INDEX($E$2:$E$3001,MAX(1,ROW()-1-'02_Eingaben'!$C$17)):INDEX($E$2:$E$3001,MIN('02_Eingaben'!$C$21,ROW()-1+'02_Eingaben'!$C$17))))</f>
        <v/>
      </c>
      <c r="G102" s="17" t="str">
        <f>IF(F102="","",F102-'02_Eingaben'!$C$10)</f>
        <v/>
      </c>
      <c r="H102" t="str">
        <f>IF(F102="","",IF(F102&lt;'02_Eingaben'!$C$18*'02_Eingaben'!$C$10,1,0))</f>
        <v/>
      </c>
      <c r="I102" s="17" t="str">
        <f t="shared" si="1"/>
        <v/>
      </c>
      <c r="J102" s="17" t="str">
        <f>IF(B102="","",IF(B101&lt;'02_Eingaben'!$C$36,0,J101+I101/'02_Eingaben'!$C$8))</f>
        <v/>
      </c>
    </row>
    <row r="103" spans="1:10" x14ac:dyDescent="0.25">
      <c r="A103" t="str">
        <f>IF('01_Rohdaten'!A103="","",ROW()-1)</f>
        <v/>
      </c>
      <c r="B103" s="17" t="str">
        <f>IF('01_Rohdaten'!A103="","",'01_Rohdaten'!A103)</f>
        <v/>
      </c>
      <c r="C103" s="17" t="str">
        <f>IF(B103="","",INDEX('01_Rohdaten'!B103:D103,'02_Eingaben'!$C$13))</f>
        <v/>
      </c>
      <c r="D103" s="17" t="str">
        <f>IF(C103="","",C103*'02_Eingaben'!$C$15)</f>
        <v/>
      </c>
      <c r="E103" s="17" t="str">
        <f>IF(D103="","",D103*'02_Eingaben'!$C$8)</f>
        <v/>
      </c>
      <c r="F103" s="17" t="str">
        <f>IF(E103="","",AVERAGE(INDEX($E$2:$E$3001,MAX(1,ROW()-1-'02_Eingaben'!$C$17)):INDEX($E$2:$E$3001,MIN('02_Eingaben'!$C$21,ROW()-1+'02_Eingaben'!$C$17))))</f>
        <v/>
      </c>
      <c r="G103" s="17" t="str">
        <f>IF(F103="","",F103-'02_Eingaben'!$C$10)</f>
        <v/>
      </c>
      <c r="H103" t="str">
        <f>IF(F103="","",IF(F103&lt;'02_Eingaben'!$C$18*'02_Eingaben'!$C$10,1,0))</f>
        <v/>
      </c>
      <c r="I103" s="17" t="str">
        <f t="shared" si="1"/>
        <v/>
      </c>
      <c r="J103" s="17" t="str">
        <f>IF(B103="","",IF(B102&lt;'02_Eingaben'!$C$36,0,J102+I102/'02_Eingaben'!$C$8))</f>
        <v/>
      </c>
    </row>
    <row r="104" spans="1:10" x14ac:dyDescent="0.25">
      <c r="A104" t="str">
        <f>IF('01_Rohdaten'!A104="","",ROW()-1)</f>
        <v/>
      </c>
      <c r="B104" s="17" t="str">
        <f>IF('01_Rohdaten'!A104="","",'01_Rohdaten'!A104)</f>
        <v/>
      </c>
      <c r="C104" s="17" t="str">
        <f>IF(B104="","",INDEX('01_Rohdaten'!B104:D104,'02_Eingaben'!$C$13))</f>
        <v/>
      </c>
      <c r="D104" s="17" t="str">
        <f>IF(C104="","",C104*'02_Eingaben'!$C$15)</f>
        <v/>
      </c>
      <c r="E104" s="17" t="str">
        <f>IF(D104="","",D104*'02_Eingaben'!$C$8)</f>
        <v/>
      </c>
      <c r="F104" s="17" t="str">
        <f>IF(E104="","",AVERAGE(INDEX($E$2:$E$3001,MAX(1,ROW()-1-'02_Eingaben'!$C$17)):INDEX($E$2:$E$3001,MIN('02_Eingaben'!$C$21,ROW()-1+'02_Eingaben'!$C$17))))</f>
        <v/>
      </c>
      <c r="G104" s="17" t="str">
        <f>IF(F104="","",F104-'02_Eingaben'!$C$10)</f>
        <v/>
      </c>
      <c r="H104" t="str">
        <f>IF(F104="","",IF(F104&lt;'02_Eingaben'!$C$18*'02_Eingaben'!$C$10,1,0))</f>
        <v/>
      </c>
      <c r="I104" s="17" t="str">
        <f t="shared" si="1"/>
        <v/>
      </c>
      <c r="J104" s="17" t="str">
        <f>IF(B104="","",IF(B103&lt;'02_Eingaben'!$C$36,0,J103+I103/'02_Eingaben'!$C$8))</f>
        <v/>
      </c>
    </row>
    <row r="105" spans="1:10" x14ac:dyDescent="0.25">
      <c r="A105" t="str">
        <f>IF('01_Rohdaten'!A105="","",ROW()-1)</f>
        <v/>
      </c>
      <c r="B105" s="17" t="str">
        <f>IF('01_Rohdaten'!A105="","",'01_Rohdaten'!A105)</f>
        <v/>
      </c>
      <c r="C105" s="17" t="str">
        <f>IF(B105="","",INDEX('01_Rohdaten'!B105:D105,'02_Eingaben'!$C$13))</f>
        <v/>
      </c>
      <c r="D105" s="17" t="str">
        <f>IF(C105="","",C105*'02_Eingaben'!$C$15)</f>
        <v/>
      </c>
      <c r="E105" s="17" t="str">
        <f>IF(D105="","",D105*'02_Eingaben'!$C$8)</f>
        <v/>
      </c>
      <c r="F105" s="17" t="str">
        <f>IF(E105="","",AVERAGE(INDEX($E$2:$E$3001,MAX(1,ROW()-1-'02_Eingaben'!$C$17)):INDEX($E$2:$E$3001,MIN('02_Eingaben'!$C$21,ROW()-1+'02_Eingaben'!$C$17))))</f>
        <v/>
      </c>
      <c r="G105" s="17" t="str">
        <f>IF(F105="","",F105-'02_Eingaben'!$C$10)</f>
        <v/>
      </c>
      <c r="H105" t="str">
        <f>IF(F105="","",IF(F105&lt;'02_Eingaben'!$C$18*'02_Eingaben'!$C$10,1,0))</f>
        <v/>
      </c>
      <c r="I105" s="17" t="str">
        <f t="shared" si="1"/>
        <v/>
      </c>
      <c r="J105" s="17" t="str">
        <f>IF(B105="","",IF(B104&lt;'02_Eingaben'!$C$36,0,J104+I104/'02_Eingaben'!$C$8))</f>
        <v/>
      </c>
    </row>
    <row r="106" spans="1:10" x14ac:dyDescent="0.25">
      <c r="A106" t="str">
        <f>IF('01_Rohdaten'!A106="","",ROW()-1)</f>
        <v/>
      </c>
      <c r="B106" s="17" t="str">
        <f>IF('01_Rohdaten'!A106="","",'01_Rohdaten'!A106)</f>
        <v/>
      </c>
      <c r="C106" s="17" t="str">
        <f>IF(B106="","",INDEX('01_Rohdaten'!B106:D106,'02_Eingaben'!$C$13))</f>
        <v/>
      </c>
      <c r="D106" s="17" t="str">
        <f>IF(C106="","",C106*'02_Eingaben'!$C$15)</f>
        <v/>
      </c>
      <c r="E106" s="17" t="str">
        <f>IF(D106="","",D106*'02_Eingaben'!$C$8)</f>
        <v/>
      </c>
      <c r="F106" s="17" t="str">
        <f>IF(E106="","",AVERAGE(INDEX($E$2:$E$3001,MAX(1,ROW()-1-'02_Eingaben'!$C$17)):INDEX($E$2:$E$3001,MIN('02_Eingaben'!$C$21,ROW()-1+'02_Eingaben'!$C$17))))</f>
        <v/>
      </c>
      <c r="G106" s="17" t="str">
        <f>IF(F106="","",F106-'02_Eingaben'!$C$10)</f>
        <v/>
      </c>
      <c r="H106" t="str">
        <f>IF(F106="","",IF(F106&lt;'02_Eingaben'!$C$18*'02_Eingaben'!$C$10,1,0))</f>
        <v/>
      </c>
      <c r="I106" s="17" t="str">
        <f t="shared" si="1"/>
        <v/>
      </c>
      <c r="J106" s="17" t="str">
        <f>IF(B106="","",IF(B105&lt;'02_Eingaben'!$C$36,0,J105+I105/'02_Eingaben'!$C$8))</f>
        <v/>
      </c>
    </row>
    <row r="107" spans="1:10" x14ac:dyDescent="0.25">
      <c r="A107" t="str">
        <f>IF('01_Rohdaten'!A107="","",ROW()-1)</f>
        <v/>
      </c>
      <c r="B107" s="17" t="str">
        <f>IF('01_Rohdaten'!A107="","",'01_Rohdaten'!A107)</f>
        <v/>
      </c>
      <c r="C107" s="17" t="str">
        <f>IF(B107="","",INDEX('01_Rohdaten'!B107:D107,'02_Eingaben'!$C$13))</f>
        <v/>
      </c>
      <c r="D107" s="17" t="str">
        <f>IF(C107="","",C107*'02_Eingaben'!$C$15)</f>
        <v/>
      </c>
      <c r="E107" s="17" t="str">
        <f>IF(D107="","",D107*'02_Eingaben'!$C$8)</f>
        <v/>
      </c>
      <c r="F107" s="17" t="str">
        <f>IF(E107="","",AVERAGE(INDEX($E$2:$E$3001,MAX(1,ROW()-1-'02_Eingaben'!$C$17)):INDEX($E$2:$E$3001,MIN('02_Eingaben'!$C$21,ROW()-1+'02_Eingaben'!$C$17))))</f>
        <v/>
      </c>
      <c r="G107" s="17" t="str">
        <f>IF(F107="","",F107-'02_Eingaben'!$C$10)</f>
        <v/>
      </c>
      <c r="H107" t="str">
        <f>IF(F107="","",IF(F107&lt;'02_Eingaben'!$C$18*'02_Eingaben'!$C$10,1,0))</f>
        <v/>
      </c>
      <c r="I107" s="17" t="str">
        <f t="shared" si="1"/>
        <v/>
      </c>
      <c r="J107" s="17" t="str">
        <f>IF(B107="","",IF(B106&lt;'02_Eingaben'!$C$36,0,J106+I106/'02_Eingaben'!$C$8))</f>
        <v/>
      </c>
    </row>
    <row r="108" spans="1:10" x14ac:dyDescent="0.25">
      <c r="A108" t="str">
        <f>IF('01_Rohdaten'!A108="","",ROW()-1)</f>
        <v/>
      </c>
      <c r="B108" s="17" t="str">
        <f>IF('01_Rohdaten'!A108="","",'01_Rohdaten'!A108)</f>
        <v/>
      </c>
      <c r="C108" s="17" t="str">
        <f>IF(B108="","",INDEX('01_Rohdaten'!B108:D108,'02_Eingaben'!$C$13))</f>
        <v/>
      </c>
      <c r="D108" s="17" t="str">
        <f>IF(C108="","",C108*'02_Eingaben'!$C$15)</f>
        <v/>
      </c>
      <c r="E108" s="17" t="str">
        <f>IF(D108="","",D108*'02_Eingaben'!$C$8)</f>
        <v/>
      </c>
      <c r="F108" s="17" t="str">
        <f>IF(E108="","",AVERAGE(INDEX($E$2:$E$3001,MAX(1,ROW()-1-'02_Eingaben'!$C$17)):INDEX($E$2:$E$3001,MIN('02_Eingaben'!$C$21,ROW()-1+'02_Eingaben'!$C$17))))</f>
        <v/>
      </c>
      <c r="G108" s="17" t="str">
        <f>IF(F108="","",F108-'02_Eingaben'!$C$10)</f>
        <v/>
      </c>
      <c r="H108" t="str">
        <f>IF(F108="","",IF(F108&lt;'02_Eingaben'!$C$18*'02_Eingaben'!$C$10,1,0))</f>
        <v/>
      </c>
      <c r="I108" s="17" t="str">
        <f t="shared" si="1"/>
        <v/>
      </c>
      <c r="J108" s="17" t="str">
        <f>IF(B108="","",IF(B107&lt;'02_Eingaben'!$C$36,0,J107+I107/'02_Eingaben'!$C$8))</f>
        <v/>
      </c>
    </row>
    <row r="109" spans="1:10" x14ac:dyDescent="0.25">
      <c r="A109" t="str">
        <f>IF('01_Rohdaten'!A109="","",ROW()-1)</f>
        <v/>
      </c>
      <c r="B109" s="17" t="str">
        <f>IF('01_Rohdaten'!A109="","",'01_Rohdaten'!A109)</f>
        <v/>
      </c>
      <c r="C109" s="17" t="str">
        <f>IF(B109="","",INDEX('01_Rohdaten'!B109:D109,'02_Eingaben'!$C$13))</f>
        <v/>
      </c>
      <c r="D109" s="17" t="str">
        <f>IF(C109="","",C109*'02_Eingaben'!$C$15)</f>
        <v/>
      </c>
      <c r="E109" s="17" t="str">
        <f>IF(D109="","",D109*'02_Eingaben'!$C$8)</f>
        <v/>
      </c>
      <c r="F109" s="17" t="str">
        <f>IF(E109="","",AVERAGE(INDEX($E$2:$E$3001,MAX(1,ROW()-1-'02_Eingaben'!$C$17)):INDEX($E$2:$E$3001,MIN('02_Eingaben'!$C$21,ROW()-1+'02_Eingaben'!$C$17))))</f>
        <v/>
      </c>
      <c r="G109" s="17" t="str">
        <f>IF(F109="","",F109-'02_Eingaben'!$C$10)</f>
        <v/>
      </c>
      <c r="H109" t="str">
        <f>IF(F109="","",IF(F109&lt;'02_Eingaben'!$C$18*'02_Eingaben'!$C$10,1,0))</f>
        <v/>
      </c>
      <c r="I109" s="17" t="str">
        <f t="shared" si="1"/>
        <v/>
      </c>
      <c r="J109" s="17" t="str">
        <f>IF(B109="","",IF(B108&lt;'02_Eingaben'!$C$36,0,J108+I108/'02_Eingaben'!$C$8))</f>
        <v/>
      </c>
    </row>
    <row r="110" spans="1:10" x14ac:dyDescent="0.25">
      <c r="A110" t="str">
        <f>IF('01_Rohdaten'!A110="","",ROW()-1)</f>
        <v/>
      </c>
      <c r="B110" s="17" t="str">
        <f>IF('01_Rohdaten'!A110="","",'01_Rohdaten'!A110)</f>
        <v/>
      </c>
      <c r="C110" s="17" t="str">
        <f>IF(B110="","",INDEX('01_Rohdaten'!B110:D110,'02_Eingaben'!$C$13))</f>
        <v/>
      </c>
      <c r="D110" s="17" t="str">
        <f>IF(C110="","",C110*'02_Eingaben'!$C$15)</f>
        <v/>
      </c>
      <c r="E110" s="17" t="str">
        <f>IF(D110="","",D110*'02_Eingaben'!$C$8)</f>
        <v/>
      </c>
      <c r="F110" s="17" t="str">
        <f>IF(E110="","",AVERAGE(INDEX($E$2:$E$3001,MAX(1,ROW()-1-'02_Eingaben'!$C$17)):INDEX($E$2:$E$3001,MIN('02_Eingaben'!$C$21,ROW()-1+'02_Eingaben'!$C$17))))</f>
        <v/>
      </c>
      <c r="G110" s="17" t="str">
        <f>IF(F110="","",F110-'02_Eingaben'!$C$10)</f>
        <v/>
      </c>
      <c r="H110" t="str">
        <f>IF(F110="","",IF(F110&lt;'02_Eingaben'!$C$18*'02_Eingaben'!$C$10,1,0))</f>
        <v/>
      </c>
      <c r="I110" s="17" t="str">
        <f t="shared" si="1"/>
        <v/>
      </c>
      <c r="J110" s="17" t="str">
        <f>IF(B110="","",IF(B109&lt;'02_Eingaben'!$C$36,0,J109+I109/'02_Eingaben'!$C$8))</f>
        <v/>
      </c>
    </row>
    <row r="111" spans="1:10" x14ac:dyDescent="0.25">
      <c r="A111" t="str">
        <f>IF('01_Rohdaten'!A111="","",ROW()-1)</f>
        <v/>
      </c>
      <c r="B111" s="17" t="str">
        <f>IF('01_Rohdaten'!A111="","",'01_Rohdaten'!A111)</f>
        <v/>
      </c>
      <c r="C111" s="17" t="str">
        <f>IF(B111="","",INDEX('01_Rohdaten'!B111:D111,'02_Eingaben'!$C$13))</f>
        <v/>
      </c>
      <c r="D111" s="17" t="str">
        <f>IF(C111="","",C111*'02_Eingaben'!$C$15)</f>
        <v/>
      </c>
      <c r="E111" s="17" t="str">
        <f>IF(D111="","",D111*'02_Eingaben'!$C$8)</f>
        <v/>
      </c>
      <c r="F111" s="17" t="str">
        <f>IF(E111="","",AVERAGE(INDEX($E$2:$E$3001,MAX(1,ROW()-1-'02_Eingaben'!$C$17)):INDEX($E$2:$E$3001,MIN('02_Eingaben'!$C$21,ROW()-1+'02_Eingaben'!$C$17))))</f>
        <v/>
      </c>
      <c r="G111" s="17" t="str">
        <f>IF(F111="","",F111-'02_Eingaben'!$C$10)</f>
        <v/>
      </c>
      <c r="H111" t="str">
        <f>IF(F111="","",IF(F111&lt;'02_Eingaben'!$C$18*'02_Eingaben'!$C$10,1,0))</f>
        <v/>
      </c>
      <c r="I111" s="17" t="str">
        <f t="shared" si="1"/>
        <v/>
      </c>
      <c r="J111" s="17" t="str">
        <f>IF(B111="","",IF(B110&lt;'02_Eingaben'!$C$36,0,J110+I110/'02_Eingaben'!$C$8))</f>
        <v/>
      </c>
    </row>
    <row r="112" spans="1:10" x14ac:dyDescent="0.25">
      <c r="A112" t="str">
        <f>IF('01_Rohdaten'!A112="","",ROW()-1)</f>
        <v/>
      </c>
      <c r="B112" s="17" t="str">
        <f>IF('01_Rohdaten'!A112="","",'01_Rohdaten'!A112)</f>
        <v/>
      </c>
      <c r="C112" s="17" t="str">
        <f>IF(B112="","",INDEX('01_Rohdaten'!B112:D112,'02_Eingaben'!$C$13))</f>
        <v/>
      </c>
      <c r="D112" s="17" t="str">
        <f>IF(C112="","",C112*'02_Eingaben'!$C$15)</f>
        <v/>
      </c>
      <c r="E112" s="17" t="str">
        <f>IF(D112="","",D112*'02_Eingaben'!$C$8)</f>
        <v/>
      </c>
      <c r="F112" s="17" t="str">
        <f>IF(E112="","",AVERAGE(INDEX($E$2:$E$3001,MAX(1,ROW()-1-'02_Eingaben'!$C$17)):INDEX($E$2:$E$3001,MIN('02_Eingaben'!$C$21,ROW()-1+'02_Eingaben'!$C$17))))</f>
        <v/>
      </c>
      <c r="G112" s="17" t="str">
        <f>IF(F112="","",F112-'02_Eingaben'!$C$10)</f>
        <v/>
      </c>
      <c r="H112" t="str">
        <f>IF(F112="","",IF(F112&lt;'02_Eingaben'!$C$18*'02_Eingaben'!$C$10,1,0))</f>
        <v/>
      </c>
      <c r="I112" s="17" t="str">
        <f t="shared" si="1"/>
        <v/>
      </c>
      <c r="J112" s="17" t="str">
        <f>IF(B112="","",IF(B111&lt;'02_Eingaben'!$C$36,0,J111+I111/'02_Eingaben'!$C$8))</f>
        <v/>
      </c>
    </row>
    <row r="113" spans="1:10" x14ac:dyDescent="0.25">
      <c r="A113" t="str">
        <f>IF('01_Rohdaten'!A113="","",ROW()-1)</f>
        <v/>
      </c>
      <c r="B113" s="17" t="str">
        <f>IF('01_Rohdaten'!A113="","",'01_Rohdaten'!A113)</f>
        <v/>
      </c>
      <c r="C113" s="17" t="str">
        <f>IF(B113="","",INDEX('01_Rohdaten'!B113:D113,'02_Eingaben'!$C$13))</f>
        <v/>
      </c>
      <c r="D113" s="17" t="str">
        <f>IF(C113="","",C113*'02_Eingaben'!$C$15)</f>
        <v/>
      </c>
      <c r="E113" s="17" t="str">
        <f>IF(D113="","",D113*'02_Eingaben'!$C$8)</f>
        <v/>
      </c>
      <c r="F113" s="17" t="str">
        <f>IF(E113="","",AVERAGE(INDEX($E$2:$E$3001,MAX(1,ROW()-1-'02_Eingaben'!$C$17)):INDEX($E$2:$E$3001,MIN('02_Eingaben'!$C$21,ROW()-1+'02_Eingaben'!$C$17))))</f>
        <v/>
      </c>
      <c r="G113" s="17" t="str">
        <f>IF(F113="","",F113-'02_Eingaben'!$C$10)</f>
        <v/>
      </c>
      <c r="H113" t="str">
        <f>IF(F113="","",IF(F113&lt;'02_Eingaben'!$C$18*'02_Eingaben'!$C$10,1,0))</f>
        <v/>
      </c>
      <c r="I113" s="17" t="str">
        <f t="shared" si="1"/>
        <v/>
      </c>
      <c r="J113" s="17" t="str">
        <f>IF(B113="","",IF(B112&lt;'02_Eingaben'!$C$36,0,J112+I112/'02_Eingaben'!$C$8))</f>
        <v/>
      </c>
    </row>
    <row r="114" spans="1:10" x14ac:dyDescent="0.25">
      <c r="A114" t="str">
        <f>IF('01_Rohdaten'!A114="","",ROW()-1)</f>
        <v/>
      </c>
      <c r="B114" s="17" t="str">
        <f>IF('01_Rohdaten'!A114="","",'01_Rohdaten'!A114)</f>
        <v/>
      </c>
      <c r="C114" s="17" t="str">
        <f>IF(B114="","",INDEX('01_Rohdaten'!B114:D114,'02_Eingaben'!$C$13))</f>
        <v/>
      </c>
      <c r="D114" s="17" t="str">
        <f>IF(C114="","",C114*'02_Eingaben'!$C$15)</f>
        <v/>
      </c>
      <c r="E114" s="17" t="str">
        <f>IF(D114="","",D114*'02_Eingaben'!$C$8)</f>
        <v/>
      </c>
      <c r="F114" s="17" t="str">
        <f>IF(E114="","",AVERAGE(INDEX($E$2:$E$3001,MAX(1,ROW()-1-'02_Eingaben'!$C$17)):INDEX($E$2:$E$3001,MIN('02_Eingaben'!$C$21,ROW()-1+'02_Eingaben'!$C$17))))</f>
        <v/>
      </c>
      <c r="G114" s="17" t="str">
        <f>IF(F114="","",F114-'02_Eingaben'!$C$10)</f>
        <v/>
      </c>
      <c r="H114" t="str">
        <f>IF(F114="","",IF(F114&lt;'02_Eingaben'!$C$18*'02_Eingaben'!$C$10,1,0))</f>
        <v/>
      </c>
      <c r="I114" s="17" t="str">
        <f t="shared" si="1"/>
        <v/>
      </c>
      <c r="J114" s="17" t="str">
        <f>IF(B114="","",IF(B113&lt;'02_Eingaben'!$C$36,0,J113+I113/'02_Eingaben'!$C$8))</f>
        <v/>
      </c>
    </row>
    <row r="115" spans="1:10" x14ac:dyDescent="0.25">
      <c r="A115" t="str">
        <f>IF('01_Rohdaten'!A115="","",ROW()-1)</f>
        <v/>
      </c>
      <c r="B115" s="17" t="str">
        <f>IF('01_Rohdaten'!A115="","",'01_Rohdaten'!A115)</f>
        <v/>
      </c>
      <c r="C115" s="17" t="str">
        <f>IF(B115="","",INDEX('01_Rohdaten'!B115:D115,'02_Eingaben'!$C$13))</f>
        <v/>
      </c>
      <c r="D115" s="17" t="str">
        <f>IF(C115="","",C115*'02_Eingaben'!$C$15)</f>
        <v/>
      </c>
      <c r="E115" s="17" t="str">
        <f>IF(D115="","",D115*'02_Eingaben'!$C$8)</f>
        <v/>
      </c>
      <c r="F115" s="17" t="str">
        <f>IF(E115="","",AVERAGE(INDEX($E$2:$E$3001,MAX(1,ROW()-1-'02_Eingaben'!$C$17)):INDEX($E$2:$E$3001,MIN('02_Eingaben'!$C$21,ROW()-1+'02_Eingaben'!$C$17))))</f>
        <v/>
      </c>
      <c r="G115" s="17" t="str">
        <f>IF(F115="","",F115-'02_Eingaben'!$C$10)</f>
        <v/>
      </c>
      <c r="H115" t="str">
        <f>IF(F115="","",IF(F115&lt;'02_Eingaben'!$C$18*'02_Eingaben'!$C$10,1,0))</f>
        <v/>
      </c>
      <c r="I115" s="17" t="str">
        <f t="shared" si="1"/>
        <v/>
      </c>
      <c r="J115" s="17" t="str">
        <f>IF(B115="","",IF(B114&lt;'02_Eingaben'!$C$36,0,J114+I114/'02_Eingaben'!$C$8))</f>
        <v/>
      </c>
    </row>
    <row r="116" spans="1:10" x14ac:dyDescent="0.25">
      <c r="A116" t="str">
        <f>IF('01_Rohdaten'!A116="","",ROW()-1)</f>
        <v/>
      </c>
      <c r="B116" s="17" t="str">
        <f>IF('01_Rohdaten'!A116="","",'01_Rohdaten'!A116)</f>
        <v/>
      </c>
      <c r="C116" s="17" t="str">
        <f>IF(B116="","",INDEX('01_Rohdaten'!B116:D116,'02_Eingaben'!$C$13))</f>
        <v/>
      </c>
      <c r="D116" s="17" t="str">
        <f>IF(C116="","",C116*'02_Eingaben'!$C$15)</f>
        <v/>
      </c>
      <c r="E116" s="17" t="str">
        <f>IF(D116="","",D116*'02_Eingaben'!$C$8)</f>
        <v/>
      </c>
      <c r="F116" s="17" t="str">
        <f>IF(E116="","",AVERAGE(INDEX($E$2:$E$3001,MAX(1,ROW()-1-'02_Eingaben'!$C$17)):INDEX($E$2:$E$3001,MIN('02_Eingaben'!$C$21,ROW()-1+'02_Eingaben'!$C$17))))</f>
        <v/>
      </c>
      <c r="G116" s="17" t="str">
        <f>IF(F116="","",F116-'02_Eingaben'!$C$10)</f>
        <v/>
      </c>
      <c r="H116" t="str">
        <f>IF(F116="","",IF(F116&lt;'02_Eingaben'!$C$18*'02_Eingaben'!$C$10,1,0))</f>
        <v/>
      </c>
      <c r="I116" s="17" t="str">
        <f t="shared" si="1"/>
        <v/>
      </c>
      <c r="J116" s="17" t="str">
        <f>IF(B116="","",IF(B115&lt;'02_Eingaben'!$C$36,0,J115+I115/'02_Eingaben'!$C$8))</f>
        <v/>
      </c>
    </row>
    <row r="117" spans="1:10" x14ac:dyDescent="0.25">
      <c r="A117" t="str">
        <f>IF('01_Rohdaten'!A117="","",ROW()-1)</f>
        <v/>
      </c>
      <c r="B117" s="17" t="str">
        <f>IF('01_Rohdaten'!A117="","",'01_Rohdaten'!A117)</f>
        <v/>
      </c>
      <c r="C117" s="17" t="str">
        <f>IF(B117="","",INDEX('01_Rohdaten'!B117:D117,'02_Eingaben'!$C$13))</f>
        <v/>
      </c>
      <c r="D117" s="17" t="str">
        <f>IF(C117="","",C117*'02_Eingaben'!$C$15)</f>
        <v/>
      </c>
      <c r="E117" s="17" t="str">
        <f>IF(D117="","",D117*'02_Eingaben'!$C$8)</f>
        <v/>
      </c>
      <c r="F117" s="17" t="str">
        <f>IF(E117="","",AVERAGE(INDEX($E$2:$E$3001,MAX(1,ROW()-1-'02_Eingaben'!$C$17)):INDEX($E$2:$E$3001,MIN('02_Eingaben'!$C$21,ROW()-1+'02_Eingaben'!$C$17))))</f>
        <v/>
      </c>
      <c r="G117" s="17" t="str">
        <f>IF(F117="","",F117-'02_Eingaben'!$C$10)</f>
        <v/>
      </c>
      <c r="H117" t="str">
        <f>IF(F117="","",IF(F117&lt;'02_Eingaben'!$C$18*'02_Eingaben'!$C$10,1,0))</f>
        <v/>
      </c>
      <c r="I117" s="17" t="str">
        <f t="shared" si="1"/>
        <v/>
      </c>
      <c r="J117" s="17" t="str">
        <f>IF(B117="","",IF(B116&lt;'02_Eingaben'!$C$36,0,J116+I116/'02_Eingaben'!$C$8))</f>
        <v/>
      </c>
    </row>
    <row r="118" spans="1:10" x14ac:dyDescent="0.25">
      <c r="A118" t="str">
        <f>IF('01_Rohdaten'!A118="","",ROW()-1)</f>
        <v/>
      </c>
      <c r="B118" s="17" t="str">
        <f>IF('01_Rohdaten'!A118="","",'01_Rohdaten'!A118)</f>
        <v/>
      </c>
      <c r="C118" s="17" t="str">
        <f>IF(B118="","",INDEX('01_Rohdaten'!B118:D118,'02_Eingaben'!$C$13))</f>
        <v/>
      </c>
      <c r="D118" s="17" t="str">
        <f>IF(C118="","",C118*'02_Eingaben'!$C$15)</f>
        <v/>
      </c>
      <c r="E118" s="17" t="str">
        <f>IF(D118="","",D118*'02_Eingaben'!$C$8)</f>
        <v/>
      </c>
      <c r="F118" s="17" t="str">
        <f>IF(E118="","",AVERAGE(INDEX($E$2:$E$3001,MAX(1,ROW()-1-'02_Eingaben'!$C$17)):INDEX($E$2:$E$3001,MIN('02_Eingaben'!$C$21,ROW()-1+'02_Eingaben'!$C$17))))</f>
        <v/>
      </c>
      <c r="G118" s="17" t="str">
        <f>IF(F118="","",F118-'02_Eingaben'!$C$10)</f>
        <v/>
      </c>
      <c r="H118" t="str">
        <f>IF(F118="","",IF(F118&lt;'02_Eingaben'!$C$18*'02_Eingaben'!$C$10,1,0))</f>
        <v/>
      </c>
      <c r="I118" s="17" t="str">
        <f t="shared" si="1"/>
        <v/>
      </c>
      <c r="J118" s="17" t="str">
        <f>IF(B118="","",IF(B117&lt;'02_Eingaben'!$C$36,0,J117+I117/'02_Eingaben'!$C$8))</f>
        <v/>
      </c>
    </row>
    <row r="119" spans="1:10" x14ac:dyDescent="0.25">
      <c r="A119" t="str">
        <f>IF('01_Rohdaten'!A119="","",ROW()-1)</f>
        <v/>
      </c>
      <c r="B119" s="17" t="str">
        <f>IF('01_Rohdaten'!A119="","",'01_Rohdaten'!A119)</f>
        <v/>
      </c>
      <c r="C119" s="17" t="str">
        <f>IF(B119="","",INDEX('01_Rohdaten'!B119:D119,'02_Eingaben'!$C$13))</f>
        <v/>
      </c>
      <c r="D119" s="17" t="str">
        <f>IF(C119="","",C119*'02_Eingaben'!$C$15)</f>
        <v/>
      </c>
      <c r="E119" s="17" t="str">
        <f>IF(D119="","",D119*'02_Eingaben'!$C$8)</f>
        <v/>
      </c>
      <c r="F119" s="17" t="str">
        <f>IF(E119="","",AVERAGE(INDEX($E$2:$E$3001,MAX(1,ROW()-1-'02_Eingaben'!$C$17)):INDEX($E$2:$E$3001,MIN('02_Eingaben'!$C$21,ROW()-1+'02_Eingaben'!$C$17))))</f>
        <v/>
      </c>
      <c r="G119" s="17" t="str">
        <f>IF(F119="","",F119-'02_Eingaben'!$C$10)</f>
        <v/>
      </c>
      <c r="H119" t="str">
        <f>IF(F119="","",IF(F119&lt;'02_Eingaben'!$C$18*'02_Eingaben'!$C$10,1,0))</f>
        <v/>
      </c>
      <c r="I119" s="17" t="str">
        <f t="shared" si="1"/>
        <v/>
      </c>
      <c r="J119" s="17" t="str">
        <f>IF(B119="","",IF(B118&lt;'02_Eingaben'!$C$36,0,J118+I118/'02_Eingaben'!$C$8))</f>
        <v/>
      </c>
    </row>
    <row r="120" spans="1:10" x14ac:dyDescent="0.25">
      <c r="A120" t="str">
        <f>IF('01_Rohdaten'!A120="","",ROW()-1)</f>
        <v/>
      </c>
      <c r="B120" s="17" t="str">
        <f>IF('01_Rohdaten'!A120="","",'01_Rohdaten'!A120)</f>
        <v/>
      </c>
      <c r="C120" s="17" t="str">
        <f>IF(B120="","",INDEX('01_Rohdaten'!B120:D120,'02_Eingaben'!$C$13))</f>
        <v/>
      </c>
      <c r="D120" s="17" t="str">
        <f>IF(C120="","",C120*'02_Eingaben'!$C$15)</f>
        <v/>
      </c>
      <c r="E120" s="17" t="str">
        <f>IF(D120="","",D120*'02_Eingaben'!$C$8)</f>
        <v/>
      </c>
      <c r="F120" s="17" t="str">
        <f>IF(E120="","",AVERAGE(INDEX($E$2:$E$3001,MAX(1,ROW()-1-'02_Eingaben'!$C$17)):INDEX($E$2:$E$3001,MIN('02_Eingaben'!$C$21,ROW()-1+'02_Eingaben'!$C$17))))</f>
        <v/>
      </c>
      <c r="G120" s="17" t="str">
        <f>IF(F120="","",F120-'02_Eingaben'!$C$10)</f>
        <v/>
      </c>
      <c r="H120" t="str">
        <f>IF(F120="","",IF(F120&lt;'02_Eingaben'!$C$18*'02_Eingaben'!$C$10,1,0))</f>
        <v/>
      </c>
      <c r="I120" s="17" t="str">
        <f t="shared" si="1"/>
        <v/>
      </c>
      <c r="J120" s="17" t="str">
        <f>IF(B120="","",IF(B119&lt;'02_Eingaben'!$C$36,0,J119+I119/'02_Eingaben'!$C$8))</f>
        <v/>
      </c>
    </row>
    <row r="121" spans="1:10" x14ac:dyDescent="0.25">
      <c r="A121" t="str">
        <f>IF('01_Rohdaten'!A121="","",ROW()-1)</f>
        <v/>
      </c>
      <c r="B121" s="17" t="str">
        <f>IF('01_Rohdaten'!A121="","",'01_Rohdaten'!A121)</f>
        <v/>
      </c>
      <c r="C121" s="17" t="str">
        <f>IF(B121="","",INDEX('01_Rohdaten'!B121:D121,'02_Eingaben'!$C$13))</f>
        <v/>
      </c>
      <c r="D121" s="17" t="str">
        <f>IF(C121="","",C121*'02_Eingaben'!$C$15)</f>
        <v/>
      </c>
      <c r="E121" s="17" t="str">
        <f>IF(D121="","",D121*'02_Eingaben'!$C$8)</f>
        <v/>
      </c>
      <c r="F121" s="17" t="str">
        <f>IF(E121="","",AVERAGE(INDEX($E$2:$E$3001,MAX(1,ROW()-1-'02_Eingaben'!$C$17)):INDEX($E$2:$E$3001,MIN('02_Eingaben'!$C$21,ROW()-1+'02_Eingaben'!$C$17))))</f>
        <v/>
      </c>
      <c r="G121" s="17" t="str">
        <f>IF(F121="","",F121-'02_Eingaben'!$C$10)</f>
        <v/>
      </c>
      <c r="H121" t="str">
        <f>IF(F121="","",IF(F121&lt;'02_Eingaben'!$C$18*'02_Eingaben'!$C$10,1,0))</f>
        <v/>
      </c>
      <c r="I121" s="17" t="str">
        <f t="shared" si="1"/>
        <v/>
      </c>
      <c r="J121" s="17" t="str">
        <f>IF(B121="","",IF(B120&lt;'02_Eingaben'!$C$36,0,J120+I120/'02_Eingaben'!$C$8))</f>
        <v/>
      </c>
    </row>
    <row r="122" spans="1:10" x14ac:dyDescent="0.25">
      <c r="A122" t="str">
        <f>IF('01_Rohdaten'!A122="","",ROW()-1)</f>
        <v/>
      </c>
      <c r="B122" s="17" t="str">
        <f>IF('01_Rohdaten'!A122="","",'01_Rohdaten'!A122)</f>
        <v/>
      </c>
      <c r="C122" s="17" t="str">
        <f>IF(B122="","",INDEX('01_Rohdaten'!B122:D122,'02_Eingaben'!$C$13))</f>
        <v/>
      </c>
      <c r="D122" s="17" t="str">
        <f>IF(C122="","",C122*'02_Eingaben'!$C$15)</f>
        <v/>
      </c>
      <c r="E122" s="17" t="str">
        <f>IF(D122="","",D122*'02_Eingaben'!$C$8)</f>
        <v/>
      </c>
      <c r="F122" s="17" t="str">
        <f>IF(E122="","",AVERAGE(INDEX($E$2:$E$3001,MAX(1,ROW()-1-'02_Eingaben'!$C$17)):INDEX($E$2:$E$3001,MIN('02_Eingaben'!$C$21,ROW()-1+'02_Eingaben'!$C$17))))</f>
        <v/>
      </c>
      <c r="G122" s="17" t="str">
        <f>IF(F122="","",F122-'02_Eingaben'!$C$10)</f>
        <v/>
      </c>
      <c r="H122" t="str">
        <f>IF(F122="","",IF(F122&lt;'02_Eingaben'!$C$18*'02_Eingaben'!$C$10,1,0))</f>
        <v/>
      </c>
      <c r="I122" s="17" t="str">
        <f t="shared" si="1"/>
        <v/>
      </c>
      <c r="J122" s="17" t="str">
        <f>IF(B122="","",IF(B121&lt;'02_Eingaben'!$C$36,0,J121+I121/'02_Eingaben'!$C$8))</f>
        <v/>
      </c>
    </row>
    <row r="123" spans="1:10" x14ac:dyDescent="0.25">
      <c r="A123" t="str">
        <f>IF('01_Rohdaten'!A123="","",ROW()-1)</f>
        <v/>
      </c>
      <c r="B123" s="17" t="str">
        <f>IF('01_Rohdaten'!A123="","",'01_Rohdaten'!A123)</f>
        <v/>
      </c>
      <c r="C123" s="17" t="str">
        <f>IF(B123="","",INDEX('01_Rohdaten'!B123:D123,'02_Eingaben'!$C$13))</f>
        <v/>
      </c>
      <c r="D123" s="17" t="str">
        <f>IF(C123="","",C123*'02_Eingaben'!$C$15)</f>
        <v/>
      </c>
      <c r="E123" s="17" t="str">
        <f>IF(D123="","",D123*'02_Eingaben'!$C$8)</f>
        <v/>
      </c>
      <c r="F123" s="17" t="str">
        <f>IF(E123="","",AVERAGE(INDEX($E$2:$E$3001,MAX(1,ROW()-1-'02_Eingaben'!$C$17)):INDEX($E$2:$E$3001,MIN('02_Eingaben'!$C$21,ROW()-1+'02_Eingaben'!$C$17))))</f>
        <v/>
      </c>
      <c r="G123" s="17" t="str">
        <f>IF(F123="","",F123-'02_Eingaben'!$C$10)</f>
        <v/>
      </c>
      <c r="H123" t="str">
        <f>IF(F123="","",IF(F123&lt;'02_Eingaben'!$C$18*'02_Eingaben'!$C$10,1,0))</f>
        <v/>
      </c>
      <c r="I123" s="17" t="str">
        <f t="shared" si="1"/>
        <v/>
      </c>
      <c r="J123" s="17" t="str">
        <f>IF(B123="","",IF(B122&lt;'02_Eingaben'!$C$36,0,J122+I122/'02_Eingaben'!$C$8))</f>
        <v/>
      </c>
    </row>
    <row r="124" spans="1:10" x14ac:dyDescent="0.25">
      <c r="A124" t="str">
        <f>IF('01_Rohdaten'!A124="","",ROW()-1)</f>
        <v/>
      </c>
      <c r="B124" s="17" t="str">
        <f>IF('01_Rohdaten'!A124="","",'01_Rohdaten'!A124)</f>
        <v/>
      </c>
      <c r="C124" s="17" t="str">
        <f>IF(B124="","",INDEX('01_Rohdaten'!B124:D124,'02_Eingaben'!$C$13))</f>
        <v/>
      </c>
      <c r="D124" s="17" t="str">
        <f>IF(C124="","",C124*'02_Eingaben'!$C$15)</f>
        <v/>
      </c>
      <c r="E124" s="17" t="str">
        <f>IF(D124="","",D124*'02_Eingaben'!$C$8)</f>
        <v/>
      </c>
      <c r="F124" s="17" t="str">
        <f>IF(E124="","",AVERAGE(INDEX($E$2:$E$3001,MAX(1,ROW()-1-'02_Eingaben'!$C$17)):INDEX($E$2:$E$3001,MIN('02_Eingaben'!$C$21,ROW()-1+'02_Eingaben'!$C$17))))</f>
        <v/>
      </c>
      <c r="G124" s="17" t="str">
        <f>IF(F124="","",F124-'02_Eingaben'!$C$10)</f>
        <v/>
      </c>
      <c r="H124" t="str">
        <f>IF(F124="","",IF(F124&lt;'02_Eingaben'!$C$18*'02_Eingaben'!$C$10,1,0))</f>
        <v/>
      </c>
      <c r="I124" s="17" t="str">
        <f t="shared" si="1"/>
        <v/>
      </c>
      <c r="J124" s="17" t="str">
        <f>IF(B124="","",IF(B123&lt;'02_Eingaben'!$C$36,0,J123+I123/'02_Eingaben'!$C$8))</f>
        <v/>
      </c>
    </row>
    <row r="125" spans="1:10" x14ac:dyDescent="0.25">
      <c r="A125" t="str">
        <f>IF('01_Rohdaten'!A125="","",ROW()-1)</f>
        <v/>
      </c>
      <c r="B125" s="17" t="str">
        <f>IF('01_Rohdaten'!A125="","",'01_Rohdaten'!A125)</f>
        <v/>
      </c>
      <c r="C125" s="17" t="str">
        <f>IF(B125="","",INDEX('01_Rohdaten'!B125:D125,'02_Eingaben'!$C$13))</f>
        <v/>
      </c>
      <c r="D125" s="17" t="str">
        <f>IF(C125="","",C125*'02_Eingaben'!$C$15)</f>
        <v/>
      </c>
      <c r="E125" s="17" t="str">
        <f>IF(D125="","",D125*'02_Eingaben'!$C$8)</f>
        <v/>
      </c>
      <c r="F125" s="17" t="str">
        <f>IF(E125="","",AVERAGE(INDEX($E$2:$E$3001,MAX(1,ROW()-1-'02_Eingaben'!$C$17)):INDEX($E$2:$E$3001,MIN('02_Eingaben'!$C$21,ROW()-1+'02_Eingaben'!$C$17))))</f>
        <v/>
      </c>
      <c r="G125" s="17" t="str">
        <f>IF(F125="","",F125-'02_Eingaben'!$C$10)</f>
        <v/>
      </c>
      <c r="H125" t="str">
        <f>IF(F125="","",IF(F125&lt;'02_Eingaben'!$C$18*'02_Eingaben'!$C$10,1,0))</f>
        <v/>
      </c>
      <c r="I125" s="17" t="str">
        <f t="shared" si="1"/>
        <v/>
      </c>
      <c r="J125" s="17" t="str">
        <f>IF(B125="","",IF(B124&lt;'02_Eingaben'!$C$36,0,J124+I124/'02_Eingaben'!$C$8))</f>
        <v/>
      </c>
    </row>
    <row r="126" spans="1:10" x14ac:dyDescent="0.25">
      <c r="A126" t="str">
        <f>IF('01_Rohdaten'!A126="","",ROW()-1)</f>
        <v/>
      </c>
      <c r="B126" s="17" t="str">
        <f>IF('01_Rohdaten'!A126="","",'01_Rohdaten'!A126)</f>
        <v/>
      </c>
      <c r="C126" s="17" t="str">
        <f>IF(B126="","",INDEX('01_Rohdaten'!B126:D126,'02_Eingaben'!$C$13))</f>
        <v/>
      </c>
      <c r="D126" s="17" t="str">
        <f>IF(C126="","",C126*'02_Eingaben'!$C$15)</f>
        <v/>
      </c>
      <c r="E126" s="17" t="str">
        <f>IF(D126="","",D126*'02_Eingaben'!$C$8)</f>
        <v/>
      </c>
      <c r="F126" s="17" t="str">
        <f>IF(E126="","",AVERAGE(INDEX($E$2:$E$3001,MAX(1,ROW()-1-'02_Eingaben'!$C$17)):INDEX($E$2:$E$3001,MIN('02_Eingaben'!$C$21,ROW()-1+'02_Eingaben'!$C$17))))</f>
        <v/>
      </c>
      <c r="G126" s="17" t="str">
        <f>IF(F126="","",F126-'02_Eingaben'!$C$10)</f>
        <v/>
      </c>
      <c r="H126" t="str">
        <f>IF(F126="","",IF(F126&lt;'02_Eingaben'!$C$18*'02_Eingaben'!$C$10,1,0))</f>
        <v/>
      </c>
      <c r="I126" s="17" t="str">
        <f t="shared" si="1"/>
        <v/>
      </c>
      <c r="J126" s="17" t="str">
        <f>IF(B126="","",IF(B125&lt;'02_Eingaben'!$C$36,0,J125+I125/'02_Eingaben'!$C$8))</f>
        <v/>
      </c>
    </row>
    <row r="127" spans="1:10" x14ac:dyDescent="0.25">
      <c r="A127" t="str">
        <f>IF('01_Rohdaten'!A127="","",ROW()-1)</f>
        <v/>
      </c>
      <c r="B127" s="17" t="str">
        <f>IF('01_Rohdaten'!A127="","",'01_Rohdaten'!A127)</f>
        <v/>
      </c>
      <c r="C127" s="17" t="str">
        <f>IF(B127="","",INDEX('01_Rohdaten'!B127:D127,'02_Eingaben'!$C$13))</f>
        <v/>
      </c>
      <c r="D127" s="17" t="str">
        <f>IF(C127="","",C127*'02_Eingaben'!$C$15)</f>
        <v/>
      </c>
      <c r="E127" s="17" t="str">
        <f>IF(D127="","",D127*'02_Eingaben'!$C$8)</f>
        <v/>
      </c>
      <c r="F127" s="17" t="str">
        <f>IF(E127="","",AVERAGE(INDEX($E$2:$E$3001,MAX(1,ROW()-1-'02_Eingaben'!$C$17)):INDEX($E$2:$E$3001,MIN('02_Eingaben'!$C$21,ROW()-1+'02_Eingaben'!$C$17))))</f>
        <v/>
      </c>
      <c r="G127" s="17" t="str">
        <f>IF(F127="","",F127-'02_Eingaben'!$C$10)</f>
        <v/>
      </c>
      <c r="H127" t="str">
        <f>IF(F127="","",IF(F127&lt;'02_Eingaben'!$C$18*'02_Eingaben'!$C$10,1,0))</f>
        <v/>
      </c>
      <c r="I127" s="17" t="str">
        <f t="shared" si="1"/>
        <v/>
      </c>
      <c r="J127" s="17" t="str">
        <f>IF(B127="","",IF(B126&lt;'02_Eingaben'!$C$36,0,J126+I126/'02_Eingaben'!$C$8))</f>
        <v/>
      </c>
    </row>
    <row r="128" spans="1:10" x14ac:dyDescent="0.25">
      <c r="A128" t="str">
        <f>IF('01_Rohdaten'!A128="","",ROW()-1)</f>
        <v/>
      </c>
      <c r="B128" s="17" t="str">
        <f>IF('01_Rohdaten'!A128="","",'01_Rohdaten'!A128)</f>
        <v/>
      </c>
      <c r="C128" s="17" t="str">
        <f>IF(B128="","",INDEX('01_Rohdaten'!B128:D128,'02_Eingaben'!$C$13))</f>
        <v/>
      </c>
      <c r="D128" s="17" t="str">
        <f>IF(C128="","",C128*'02_Eingaben'!$C$15)</f>
        <v/>
      </c>
      <c r="E128" s="17" t="str">
        <f>IF(D128="","",D128*'02_Eingaben'!$C$8)</f>
        <v/>
      </c>
      <c r="F128" s="17" t="str">
        <f>IF(E128="","",AVERAGE(INDEX($E$2:$E$3001,MAX(1,ROW()-1-'02_Eingaben'!$C$17)):INDEX($E$2:$E$3001,MIN('02_Eingaben'!$C$21,ROW()-1+'02_Eingaben'!$C$17))))</f>
        <v/>
      </c>
      <c r="G128" s="17" t="str">
        <f>IF(F128="","",F128-'02_Eingaben'!$C$10)</f>
        <v/>
      </c>
      <c r="H128" t="str">
        <f>IF(F128="","",IF(F128&lt;'02_Eingaben'!$C$18*'02_Eingaben'!$C$10,1,0))</f>
        <v/>
      </c>
      <c r="I128" s="17" t="str">
        <f t="shared" si="1"/>
        <v/>
      </c>
      <c r="J128" s="17" t="str">
        <f>IF(B128="","",IF(B127&lt;'02_Eingaben'!$C$36,0,J127+I127/'02_Eingaben'!$C$8))</f>
        <v/>
      </c>
    </row>
    <row r="129" spans="1:10" x14ac:dyDescent="0.25">
      <c r="A129" t="str">
        <f>IF('01_Rohdaten'!A129="","",ROW()-1)</f>
        <v/>
      </c>
      <c r="B129" s="17" t="str">
        <f>IF('01_Rohdaten'!A129="","",'01_Rohdaten'!A129)</f>
        <v/>
      </c>
      <c r="C129" s="17" t="str">
        <f>IF(B129="","",INDEX('01_Rohdaten'!B129:D129,'02_Eingaben'!$C$13))</f>
        <v/>
      </c>
      <c r="D129" s="17" t="str">
        <f>IF(C129="","",C129*'02_Eingaben'!$C$15)</f>
        <v/>
      </c>
      <c r="E129" s="17" t="str">
        <f>IF(D129="","",D129*'02_Eingaben'!$C$8)</f>
        <v/>
      </c>
      <c r="F129" s="17" t="str">
        <f>IF(E129="","",AVERAGE(INDEX($E$2:$E$3001,MAX(1,ROW()-1-'02_Eingaben'!$C$17)):INDEX($E$2:$E$3001,MIN('02_Eingaben'!$C$21,ROW()-1+'02_Eingaben'!$C$17))))</f>
        <v/>
      </c>
      <c r="G129" s="17" t="str">
        <f>IF(F129="","",F129-'02_Eingaben'!$C$10)</f>
        <v/>
      </c>
      <c r="H129" t="str">
        <f>IF(F129="","",IF(F129&lt;'02_Eingaben'!$C$18*'02_Eingaben'!$C$10,1,0))</f>
        <v/>
      </c>
      <c r="I129" s="17" t="str">
        <f t="shared" si="1"/>
        <v/>
      </c>
      <c r="J129" s="17" t="str">
        <f>IF(B129="","",IF(B128&lt;'02_Eingaben'!$C$36,0,J128+I128/'02_Eingaben'!$C$8))</f>
        <v/>
      </c>
    </row>
    <row r="130" spans="1:10" x14ac:dyDescent="0.25">
      <c r="A130" t="str">
        <f>IF('01_Rohdaten'!A130="","",ROW()-1)</f>
        <v/>
      </c>
      <c r="B130" s="17" t="str">
        <f>IF('01_Rohdaten'!A130="","",'01_Rohdaten'!A130)</f>
        <v/>
      </c>
      <c r="C130" s="17" t="str">
        <f>IF(B130="","",INDEX('01_Rohdaten'!B130:D130,'02_Eingaben'!$C$13))</f>
        <v/>
      </c>
      <c r="D130" s="17" t="str">
        <f>IF(C130="","",C130*'02_Eingaben'!$C$15)</f>
        <v/>
      </c>
      <c r="E130" s="17" t="str">
        <f>IF(D130="","",D130*'02_Eingaben'!$C$8)</f>
        <v/>
      </c>
      <c r="F130" s="17" t="str">
        <f>IF(E130="","",AVERAGE(INDEX($E$2:$E$3001,MAX(1,ROW()-1-'02_Eingaben'!$C$17)):INDEX($E$2:$E$3001,MIN('02_Eingaben'!$C$21,ROW()-1+'02_Eingaben'!$C$17))))</f>
        <v/>
      </c>
      <c r="G130" s="17" t="str">
        <f>IF(F130="","",F130-'02_Eingaben'!$C$10)</f>
        <v/>
      </c>
      <c r="H130" t="str">
        <f>IF(F130="","",IF(F130&lt;'02_Eingaben'!$C$18*'02_Eingaben'!$C$10,1,0))</f>
        <v/>
      </c>
      <c r="I130" s="17" t="str">
        <f t="shared" ref="I130:I193" si="2">IF(OR(G130="",G131=""),"",(G130+G131)/2*(B131-B130))</f>
        <v/>
      </c>
      <c r="J130" s="17" t="str">
        <f>IF(B130="","",IF(B129&lt;'02_Eingaben'!$C$36,0,J129+I129/'02_Eingaben'!$C$8))</f>
        <v/>
      </c>
    </row>
    <row r="131" spans="1:10" x14ac:dyDescent="0.25">
      <c r="A131" t="str">
        <f>IF('01_Rohdaten'!A131="","",ROW()-1)</f>
        <v/>
      </c>
      <c r="B131" s="17" t="str">
        <f>IF('01_Rohdaten'!A131="","",'01_Rohdaten'!A131)</f>
        <v/>
      </c>
      <c r="C131" s="17" t="str">
        <f>IF(B131="","",INDEX('01_Rohdaten'!B131:D131,'02_Eingaben'!$C$13))</f>
        <v/>
      </c>
      <c r="D131" s="17" t="str">
        <f>IF(C131="","",C131*'02_Eingaben'!$C$15)</f>
        <v/>
      </c>
      <c r="E131" s="17" t="str">
        <f>IF(D131="","",D131*'02_Eingaben'!$C$8)</f>
        <v/>
      </c>
      <c r="F131" s="17" t="str">
        <f>IF(E131="","",AVERAGE(INDEX($E$2:$E$3001,MAX(1,ROW()-1-'02_Eingaben'!$C$17)):INDEX($E$2:$E$3001,MIN('02_Eingaben'!$C$21,ROW()-1+'02_Eingaben'!$C$17))))</f>
        <v/>
      </c>
      <c r="G131" s="17" t="str">
        <f>IF(F131="","",F131-'02_Eingaben'!$C$10)</f>
        <v/>
      </c>
      <c r="H131" t="str">
        <f>IF(F131="","",IF(F131&lt;'02_Eingaben'!$C$18*'02_Eingaben'!$C$10,1,0))</f>
        <v/>
      </c>
      <c r="I131" s="17" t="str">
        <f t="shared" si="2"/>
        <v/>
      </c>
      <c r="J131" s="17" t="str">
        <f>IF(B131="","",IF(B130&lt;'02_Eingaben'!$C$36,0,J130+I130/'02_Eingaben'!$C$8))</f>
        <v/>
      </c>
    </row>
    <row r="132" spans="1:10" x14ac:dyDescent="0.25">
      <c r="A132" t="str">
        <f>IF('01_Rohdaten'!A132="","",ROW()-1)</f>
        <v/>
      </c>
      <c r="B132" s="17" t="str">
        <f>IF('01_Rohdaten'!A132="","",'01_Rohdaten'!A132)</f>
        <v/>
      </c>
      <c r="C132" s="17" t="str">
        <f>IF(B132="","",INDEX('01_Rohdaten'!B132:D132,'02_Eingaben'!$C$13))</f>
        <v/>
      </c>
      <c r="D132" s="17" t="str">
        <f>IF(C132="","",C132*'02_Eingaben'!$C$15)</f>
        <v/>
      </c>
      <c r="E132" s="17" t="str">
        <f>IF(D132="","",D132*'02_Eingaben'!$C$8)</f>
        <v/>
      </c>
      <c r="F132" s="17" t="str">
        <f>IF(E132="","",AVERAGE(INDEX($E$2:$E$3001,MAX(1,ROW()-1-'02_Eingaben'!$C$17)):INDEX($E$2:$E$3001,MIN('02_Eingaben'!$C$21,ROW()-1+'02_Eingaben'!$C$17))))</f>
        <v/>
      </c>
      <c r="G132" s="17" t="str">
        <f>IF(F132="","",F132-'02_Eingaben'!$C$10)</f>
        <v/>
      </c>
      <c r="H132" t="str">
        <f>IF(F132="","",IF(F132&lt;'02_Eingaben'!$C$18*'02_Eingaben'!$C$10,1,0))</f>
        <v/>
      </c>
      <c r="I132" s="17" t="str">
        <f t="shared" si="2"/>
        <v/>
      </c>
      <c r="J132" s="17" t="str">
        <f>IF(B132="","",IF(B131&lt;'02_Eingaben'!$C$36,0,J131+I131/'02_Eingaben'!$C$8))</f>
        <v/>
      </c>
    </row>
    <row r="133" spans="1:10" x14ac:dyDescent="0.25">
      <c r="A133" t="str">
        <f>IF('01_Rohdaten'!A133="","",ROW()-1)</f>
        <v/>
      </c>
      <c r="B133" s="17" t="str">
        <f>IF('01_Rohdaten'!A133="","",'01_Rohdaten'!A133)</f>
        <v/>
      </c>
      <c r="C133" s="17" t="str">
        <f>IF(B133="","",INDEX('01_Rohdaten'!B133:D133,'02_Eingaben'!$C$13))</f>
        <v/>
      </c>
      <c r="D133" s="17" t="str">
        <f>IF(C133="","",C133*'02_Eingaben'!$C$15)</f>
        <v/>
      </c>
      <c r="E133" s="17" t="str">
        <f>IF(D133="","",D133*'02_Eingaben'!$C$8)</f>
        <v/>
      </c>
      <c r="F133" s="17" t="str">
        <f>IF(E133="","",AVERAGE(INDEX($E$2:$E$3001,MAX(1,ROW()-1-'02_Eingaben'!$C$17)):INDEX($E$2:$E$3001,MIN('02_Eingaben'!$C$21,ROW()-1+'02_Eingaben'!$C$17))))</f>
        <v/>
      </c>
      <c r="G133" s="17" t="str">
        <f>IF(F133="","",F133-'02_Eingaben'!$C$10)</f>
        <v/>
      </c>
      <c r="H133" t="str">
        <f>IF(F133="","",IF(F133&lt;'02_Eingaben'!$C$18*'02_Eingaben'!$C$10,1,0))</f>
        <v/>
      </c>
      <c r="I133" s="17" t="str">
        <f t="shared" si="2"/>
        <v/>
      </c>
      <c r="J133" s="17" t="str">
        <f>IF(B133="","",IF(B132&lt;'02_Eingaben'!$C$36,0,J132+I132/'02_Eingaben'!$C$8))</f>
        <v/>
      </c>
    </row>
    <row r="134" spans="1:10" x14ac:dyDescent="0.25">
      <c r="A134" t="str">
        <f>IF('01_Rohdaten'!A134="","",ROW()-1)</f>
        <v/>
      </c>
      <c r="B134" s="17" t="str">
        <f>IF('01_Rohdaten'!A134="","",'01_Rohdaten'!A134)</f>
        <v/>
      </c>
      <c r="C134" s="17" t="str">
        <f>IF(B134="","",INDEX('01_Rohdaten'!B134:D134,'02_Eingaben'!$C$13))</f>
        <v/>
      </c>
      <c r="D134" s="17" t="str">
        <f>IF(C134="","",C134*'02_Eingaben'!$C$15)</f>
        <v/>
      </c>
      <c r="E134" s="17" t="str">
        <f>IF(D134="","",D134*'02_Eingaben'!$C$8)</f>
        <v/>
      </c>
      <c r="F134" s="17" t="str">
        <f>IF(E134="","",AVERAGE(INDEX($E$2:$E$3001,MAX(1,ROW()-1-'02_Eingaben'!$C$17)):INDEX($E$2:$E$3001,MIN('02_Eingaben'!$C$21,ROW()-1+'02_Eingaben'!$C$17))))</f>
        <v/>
      </c>
      <c r="G134" s="17" t="str">
        <f>IF(F134="","",F134-'02_Eingaben'!$C$10)</f>
        <v/>
      </c>
      <c r="H134" t="str">
        <f>IF(F134="","",IF(F134&lt;'02_Eingaben'!$C$18*'02_Eingaben'!$C$10,1,0))</f>
        <v/>
      </c>
      <c r="I134" s="17" t="str">
        <f t="shared" si="2"/>
        <v/>
      </c>
      <c r="J134" s="17" t="str">
        <f>IF(B134="","",IF(B133&lt;'02_Eingaben'!$C$36,0,J133+I133/'02_Eingaben'!$C$8))</f>
        <v/>
      </c>
    </row>
    <row r="135" spans="1:10" x14ac:dyDescent="0.25">
      <c r="A135" t="str">
        <f>IF('01_Rohdaten'!A135="","",ROW()-1)</f>
        <v/>
      </c>
      <c r="B135" s="17" t="str">
        <f>IF('01_Rohdaten'!A135="","",'01_Rohdaten'!A135)</f>
        <v/>
      </c>
      <c r="C135" s="17" t="str">
        <f>IF(B135="","",INDEX('01_Rohdaten'!B135:D135,'02_Eingaben'!$C$13))</f>
        <v/>
      </c>
      <c r="D135" s="17" t="str">
        <f>IF(C135="","",C135*'02_Eingaben'!$C$15)</f>
        <v/>
      </c>
      <c r="E135" s="17" t="str">
        <f>IF(D135="","",D135*'02_Eingaben'!$C$8)</f>
        <v/>
      </c>
      <c r="F135" s="17" t="str">
        <f>IF(E135="","",AVERAGE(INDEX($E$2:$E$3001,MAX(1,ROW()-1-'02_Eingaben'!$C$17)):INDEX($E$2:$E$3001,MIN('02_Eingaben'!$C$21,ROW()-1+'02_Eingaben'!$C$17))))</f>
        <v/>
      </c>
      <c r="G135" s="17" t="str">
        <f>IF(F135="","",F135-'02_Eingaben'!$C$10)</f>
        <v/>
      </c>
      <c r="H135" t="str">
        <f>IF(F135="","",IF(F135&lt;'02_Eingaben'!$C$18*'02_Eingaben'!$C$10,1,0))</f>
        <v/>
      </c>
      <c r="I135" s="17" t="str">
        <f t="shared" si="2"/>
        <v/>
      </c>
      <c r="J135" s="17" t="str">
        <f>IF(B135="","",IF(B134&lt;'02_Eingaben'!$C$36,0,J134+I134/'02_Eingaben'!$C$8))</f>
        <v/>
      </c>
    </row>
    <row r="136" spans="1:10" x14ac:dyDescent="0.25">
      <c r="A136" t="str">
        <f>IF('01_Rohdaten'!A136="","",ROW()-1)</f>
        <v/>
      </c>
      <c r="B136" s="17" t="str">
        <f>IF('01_Rohdaten'!A136="","",'01_Rohdaten'!A136)</f>
        <v/>
      </c>
      <c r="C136" s="17" t="str">
        <f>IF(B136="","",INDEX('01_Rohdaten'!B136:D136,'02_Eingaben'!$C$13))</f>
        <v/>
      </c>
      <c r="D136" s="17" t="str">
        <f>IF(C136="","",C136*'02_Eingaben'!$C$15)</f>
        <v/>
      </c>
      <c r="E136" s="17" t="str">
        <f>IF(D136="","",D136*'02_Eingaben'!$C$8)</f>
        <v/>
      </c>
      <c r="F136" s="17" t="str">
        <f>IF(E136="","",AVERAGE(INDEX($E$2:$E$3001,MAX(1,ROW()-1-'02_Eingaben'!$C$17)):INDEX($E$2:$E$3001,MIN('02_Eingaben'!$C$21,ROW()-1+'02_Eingaben'!$C$17))))</f>
        <v/>
      </c>
      <c r="G136" s="17" t="str">
        <f>IF(F136="","",F136-'02_Eingaben'!$C$10)</f>
        <v/>
      </c>
      <c r="H136" t="str">
        <f>IF(F136="","",IF(F136&lt;'02_Eingaben'!$C$18*'02_Eingaben'!$C$10,1,0))</f>
        <v/>
      </c>
      <c r="I136" s="17" t="str">
        <f t="shared" si="2"/>
        <v/>
      </c>
      <c r="J136" s="17" t="str">
        <f>IF(B136="","",IF(B135&lt;'02_Eingaben'!$C$36,0,J135+I135/'02_Eingaben'!$C$8))</f>
        <v/>
      </c>
    </row>
    <row r="137" spans="1:10" x14ac:dyDescent="0.25">
      <c r="A137" t="str">
        <f>IF('01_Rohdaten'!A137="","",ROW()-1)</f>
        <v/>
      </c>
      <c r="B137" s="17" t="str">
        <f>IF('01_Rohdaten'!A137="","",'01_Rohdaten'!A137)</f>
        <v/>
      </c>
      <c r="C137" s="17" t="str">
        <f>IF(B137="","",INDEX('01_Rohdaten'!B137:D137,'02_Eingaben'!$C$13))</f>
        <v/>
      </c>
      <c r="D137" s="17" t="str">
        <f>IF(C137="","",C137*'02_Eingaben'!$C$15)</f>
        <v/>
      </c>
      <c r="E137" s="17" t="str">
        <f>IF(D137="","",D137*'02_Eingaben'!$C$8)</f>
        <v/>
      </c>
      <c r="F137" s="17" t="str">
        <f>IF(E137="","",AVERAGE(INDEX($E$2:$E$3001,MAX(1,ROW()-1-'02_Eingaben'!$C$17)):INDEX($E$2:$E$3001,MIN('02_Eingaben'!$C$21,ROW()-1+'02_Eingaben'!$C$17))))</f>
        <v/>
      </c>
      <c r="G137" s="17" t="str">
        <f>IF(F137="","",F137-'02_Eingaben'!$C$10)</f>
        <v/>
      </c>
      <c r="H137" t="str">
        <f>IF(F137="","",IF(F137&lt;'02_Eingaben'!$C$18*'02_Eingaben'!$C$10,1,0))</f>
        <v/>
      </c>
      <c r="I137" s="17" t="str">
        <f t="shared" si="2"/>
        <v/>
      </c>
      <c r="J137" s="17" t="str">
        <f>IF(B137="","",IF(B136&lt;'02_Eingaben'!$C$36,0,J136+I136/'02_Eingaben'!$C$8))</f>
        <v/>
      </c>
    </row>
    <row r="138" spans="1:10" x14ac:dyDescent="0.25">
      <c r="A138" t="str">
        <f>IF('01_Rohdaten'!A138="","",ROW()-1)</f>
        <v/>
      </c>
      <c r="B138" s="17" t="str">
        <f>IF('01_Rohdaten'!A138="","",'01_Rohdaten'!A138)</f>
        <v/>
      </c>
      <c r="C138" s="17" t="str">
        <f>IF(B138="","",INDEX('01_Rohdaten'!B138:D138,'02_Eingaben'!$C$13))</f>
        <v/>
      </c>
      <c r="D138" s="17" t="str">
        <f>IF(C138="","",C138*'02_Eingaben'!$C$15)</f>
        <v/>
      </c>
      <c r="E138" s="17" t="str">
        <f>IF(D138="","",D138*'02_Eingaben'!$C$8)</f>
        <v/>
      </c>
      <c r="F138" s="17" t="str">
        <f>IF(E138="","",AVERAGE(INDEX($E$2:$E$3001,MAX(1,ROW()-1-'02_Eingaben'!$C$17)):INDEX($E$2:$E$3001,MIN('02_Eingaben'!$C$21,ROW()-1+'02_Eingaben'!$C$17))))</f>
        <v/>
      </c>
      <c r="G138" s="17" t="str">
        <f>IF(F138="","",F138-'02_Eingaben'!$C$10)</f>
        <v/>
      </c>
      <c r="H138" t="str">
        <f>IF(F138="","",IF(F138&lt;'02_Eingaben'!$C$18*'02_Eingaben'!$C$10,1,0))</f>
        <v/>
      </c>
      <c r="I138" s="17" t="str">
        <f t="shared" si="2"/>
        <v/>
      </c>
      <c r="J138" s="17" t="str">
        <f>IF(B138="","",IF(B137&lt;'02_Eingaben'!$C$36,0,J137+I137/'02_Eingaben'!$C$8))</f>
        <v/>
      </c>
    </row>
    <row r="139" spans="1:10" x14ac:dyDescent="0.25">
      <c r="A139" t="str">
        <f>IF('01_Rohdaten'!A139="","",ROW()-1)</f>
        <v/>
      </c>
      <c r="B139" s="17" t="str">
        <f>IF('01_Rohdaten'!A139="","",'01_Rohdaten'!A139)</f>
        <v/>
      </c>
      <c r="C139" s="17" t="str">
        <f>IF(B139="","",INDEX('01_Rohdaten'!B139:D139,'02_Eingaben'!$C$13))</f>
        <v/>
      </c>
      <c r="D139" s="17" t="str">
        <f>IF(C139="","",C139*'02_Eingaben'!$C$15)</f>
        <v/>
      </c>
      <c r="E139" s="17" t="str">
        <f>IF(D139="","",D139*'02_Eingaben'!$C$8)</f>
        <v/>
      </c>
      <c r="F139" s="17" t="str">
        <f>IF(E139="","",AVERAGE(INDEX($E$2:$E$3001,MAX(1,ROW()-1-'02_Eingaben'!$C$17)):INDEX($E$2:$E$3001,MIN('02_Eingaben'!$C$21,ROW()-1+'02_Eingaben'!$C$17))))</f>
        <v/>
      </c>
      <c r="G139" s="17" t="str">
        <f>IF(F139="","",F139-'02_Eingaben'!$C$10)</f>
        <v/>
      </c>
      <c r="H139" t="str">
        <f>IF(F139="","",IF(F139&lt;'02_Eingaben'!$C$18*'02_Eingaben'!$C$10,1,0))</f>
        <v/>
      </c>
      <c r="I139" s="17" t="str">
        <f t="shared" si="2"/>
        <v/>
      </c>
      <c r="J139" s="17" t="str">
        <f>IF(B139="","",IF(B138&lt;'02_Eingaben'!$C$36,0,J138+I138/'02_Eingaben'!$C$8))</f>
        <v/>
      </c>
    </row>
    <row r="140" spans="1:10" x14ac:dyDescent="0.25">
      <c r="A140" t="str">
        <f>IF('01_Rohdaten'!A140="","",ROW()-1)</f>
        <v/>
      </c>
      <c r="B140" s="17" t="str">
        <f>IF('01_Rohdaten'!A140="","",'01_Rohdaten'!A140)</f>
        <v/>
      </c>
      <c r="C140" s="17" t="str">
        <f>IF(B140="","",INDEX('01_Rohdaten'!B140:D140,'02_Eingaben'!$C$13))</f>
        <v/>
      </c>
      <c r="D140" s="17" t="str">
        <f>IF(C140="","",C140*'02_Eingaben'!$C$15)</f>
        <v/>
      </c>
      <c r="E140" s="17" t="str">
        <f>IF(D140="","",D140*'02_Eingaben'!$C$8)</f>
        <v/>
      </c>
      <c r="F140" s="17" t="str">
        <f>IF(E140="","",AVERAGE(INDEX($E$2:$E$3001,MAX(1,ROW()-1-'02_Eingaben'!$C$17)):INDEX($E$2:$E$3001,MIN('02_Eingaben'!$C$21,ROW()-1+'02_Eingaben'!$C$17))))</f>
        <v/>
      </c>
      <c r="G140" s="17" t="str">
        <f>IF(F140="","",F140-'02_Eingaben'!$C$10)</f>
        <v/>
      </c>
      <c r="H140" t="str">
        <f>IF(F140="","",IF(F140&lt;'02_Eingaben'!$C$18*'02_Eingaben'!$C$10,1,0))</f>
        <v/>
      </c>
      <c r="I140" s="17" t="str">
        <f t="shared" si="2"/>
        <v/>
      </c>
      <c r="J140" s="17" t="str">
        <f>IF(B140="","",IF(B139&lt;'02_Eingaben'!$C$36,0,J139+I139/'02_Eingaben'!$C$8))</f>
        <v/>
      </c>
    </row>
    <row r="141" spans="1:10" x14ac:dyDescent="0.25">
      <c r="A141" t="str">
        <f>IF('01_Rohdaten'!A141="","",ROW()-1)</f>
        <v/>
      </c>
      <c r="B141" s="17" t="str">
        <f>IF('01_Rohdaten'!A141="","",'01_Rohdaten'!A141)</f>
        <v/>
      </c>
      <c r="C141" s="17" t="str">
        <f>IF(B141="","",INDEX('01_Rohdaten'!B141:D141,'02_Eingaben'!$C$13))</f>
        <v/>
      </c>
      <c r="D141" s="17" t="str">
        <f>IF(C141="","",C141*'02_Eingaben'!$C$15)</f>
        <v/>
      </c>
      <c r="E141" s="17" t="str">
        <f>IF(D141="","",D141*'02_Eingaben'!$C$8)</f>
        <v/>
      </c>
      <c r="F141" s="17" t="str">
        <f>IF(E141="","",AVERAGE(INDEX($E$2:$E$3001,MAX(1,ROW()-1-'02_Eingaben'!$C$17)):INDEX($E$2:$E$3001,MIN('02_Eingaben'!$C$21,ROW()-1+'02_Eingaben'!$C$17))))</f>
        <v/>
      </c>
      <c r="G141" s="17" t="str">
        <f>IF(F141="","",F141-'02_Eingaben'!$C$10)</f>
        <v/>
      </c>
      <c r="H141" t="str">
        <f>IF(F141="","",IF(F141&lt;'02_Eingaben'!$C$18*'02_Eingaben'!$C$10,1,0))</f>
        <v/>
      </c>
      <c r="I141" s="17" t="str">
        <f t="shared" si="2"/>
        <v/>
      </c>
      <c r="J141" s="17" t="str">
        <f>IF(B141="","",IF(B140&lt;'02_Eingaben'!$C$36,0,J140+I140/'02_Eingaben'!$C$8))</f>
        <v/>
      </c>
    </row>
    <row r="142" spans="1:10" x14ac:dyDescent="0.25">
      <c r="A142" t="str">
        <f>IF('01_Rohdaten'!A142="","",ROW()-1)</f>
        <v/>
      </c>
      <c r="B142" s="17" t="str">
        <f>IF('01_Rohdaten'!A142="","",'01_Rohdaten'!A142)</f>
        <v/>
      </c>
      <c r="C142" s="17" t="str">
        <f>IF(B142="","",INDEX('01_Rohdaten'!B142:D142,'02_Eingaben'!$C$13))</f>
        <v/>
      </c>
      <c r="D142" s="17" t="str">
        <f>IF(C142="","",C142*'02_Eingaben'!$C$15)</f>
        <v/>
      </c>
      <c r="E142" s="17" t="str">
        <f>IF(D142="","",D142*'02_Eingaben'!$C$8)</f>
        <v/>
      </c>
      <c r="F142" s="17" t="str">
        <f>IF(E142="","",AVERAGE(INDEX($E$2:$E$3001,MAX(1,ROW()-1-'02_Eingaben'!$C$17)):INDEX($E$2:$E$3001,MIN('02_Eingaben'!$C$21,ROW()-1+'02_Eingaben'!$C$17))))</f>
        <v/>
      </c>
      <c r="G142" s="17" t="str">
        <f>IF(F142="","",F142-'02_Eingaben'!$C$10)</f>
        <v/>
      </c>
      <c r="H142" t="str">
        <f>IF(F142="","",IF(F142&lt;'02_Eingaben'!$C$18*'02_Eingaben'!$C$10,1,0))</f>
        <v/>
      </c>
      <c r="I142" s="17" t="str">
        <f t="shared" si="2"/>
        <v/>
      </c>
      <c r="J142" s="17" t="str">
        <f>IF(B142="","",IF(B141&lt;'02_Eingaben'!$C$36,0,J141+I141/'02_Eingaben'!$C$8))</f>
        <v/>
      </c>
    </row>
    <row r="143" spans="1:10" x14ac:dyDescent="0.25">
      <c r="A143" t="str">
        <f>IF('01_Rohdaten'!A143="","",ROW()-1)</f>
        <v/>
      </c>
      <c r="B143" s="17" t="str">
        <f>IF('01_Rohdaten'!A143="","",'01_Rohdaten'!A143)</f>
        <v/>
      </c>
      <c r="C143" s="17" t="str">
        <f>IF(B143="","",INDEX('01_Rohdaten'!B143:D143,'02_Eingaben'!$C$13))</f>
        <v/>
      </c>
      <c r="D143" s="17" t="str">
        <f>IF(C143="","",C143*'02_Eingaben'!$C$15)</f>
        <v/>
      </c>
      <c r="E143" s="17" t="str">
        <f>IF(D143="","",D143*'02_Eingaben'!$C$8)</f>
        <v/>
      </c>
      <c r="F143" s="17" t="str">
        <f>IF(E143="","",AVERAGE(INDEX($E$2:$E$3001,MAX(1,ROW()-1-'02_Eingaben'!$C$17)):INDEX($E$2:$E$3001,MIN('02_Eingaben'!$C$21,ROW()-1+'02_Eingaben'!$C$17))))</f>
        <v/>
      </c>
      <c r="G143" s="17" t="str">
        <f>IF(F143="","",F143-'02_Eingaben'!$C$10)</f>
        <v/>
      </c>
      <c r="H143" t="str">
        <f>IF(F143="","",IF(F143&lt;'02_Eingaben'!$C$18*'02_Eingaben'!$C$10,1,0))</f>
        <v/>
      </c>
      <c r="I143" s="17" t="str">
        <f t="shared" si="2"/>
        <v/>
      </c>
      <c r="J143" s="17" t="str">
        <f>IF(B143="","",IF(B142&lt;'02_Eingaben'!$C$36,0,J142+I142/'02_Eingaben'!$C$8))</f>
        <v/>
      </c>
    </row>
    <row r="144" spans="1:10" x14ac:dyDescent="0.25">
      <c r="A144" t="str">
        <f>IF('01_Rohdaten'!A144="","",ROW()-1)</f>
        <v/>
      </c>
      <c r="B144" s="17" t="str">
        <f>IF('01_Rohdaten'!A144="","",'01_Rohdaten'!A144)</f>
        <v/>
      </c>
      <c r="C144" s="17" t="str">
        <f>IF(B144="","",INDEX('01_Rohdaten'!B144:D144,'02_Eingaben'!$C$13))</f>
        <v/>
      </c>
      <c r="D144" s="17" t="str">
        <f>IF(C144="","",C144*'02_Eingaben'!$C$15)</f>
        <v/>
      </c>
      <c r="E144" s="17" t="str">
        <f>IF(D144="","",D144*'02_Eingaben'!$C$8)</f>
        <v/>
      </c>
      <c r="F144" s="17" t="str">
        <f>IF(E144="","",AVERAGE(INDEX($E$2:$E$3001,MAX(1,ROW()-1-'02_Eingaben'!$C$17)):INDEX($E$2:$E$3001,MIN('02_Eingaben'!$C$21,ROW()-1+'02_Eingaben'!$C$17))))</f>
        <v/>
      </c>
      <c r="G144" s="17" t="str">
        <f>IF(F144="","",F144-'02_Eingaben'!$C$10)</f>
        <v/>
      </c>
      <c r="H144" t="str">
        <f>IF(F144="","",IF(F144&lt;'02_Eingaben'!$C$18*'02_Eingaben'!$C$10,1,0))</f>
        <v/>
      </c>
      <c r="I144" s="17" t="str">
        <f t="shared" si="2"/>
        <v/>
      </c>
      <c r="J144" s="17" t="str">
        <f>IF(B144="","",IF(B143&lt;'02_Eingaben'!$C$36,0,J143+I143/'02_Eingaben'!$C$8))</f>
        <v/>
      </c>
    </row>
    <row r="145" spans="1:10" x14ac:dyDescent="0.25">
      <c r="A145" t="str">
        <f>IF('01_Rohdaten'!A145="","",ROW()-1)</f>
        <v/>
      </c>
      <c r="B145" s="17" t="str">
        <f>IF('01_Rohdaten'!A145="","",'01_Rohdaten'!A145)</f>
        <v/>
      </c>
      <c r="C145" s="17" t="str">
        <f>IF(B145="","",INDEX('01_Rohdaten'!B145:D145,'02_Eingaben'!$C$13))</f>
        <v/>
      </c>
      <c r="D145" s="17" t="str">
        <f>IF(C145="","",C145*'02_Eingaben'!$C$15)</f>
        <v/>
      </c>
      <c r="E145" s="17" t="str">
        <f>IF(D145="","",D145*'02_Eingaben'!$C$8)</f>
        <v/>
      </c>
      <c r="F145" s="17" t="str">
        <f>IF(E145="","",AVERAGE(INDEX($E$2:$E$3001,MAX(1,ROW()-1-'02_Eingaben'!$C$17)):INDEX($E$2:$E$3001,MIN('02_Eingaben'!$C$21,ROW()-1+'02_Eingaben'!$C$17))))</f>
        <v/>
      </c>
      <c r="G145" s="17" t="str">
        <f>IF(F145="","",F145-'02_Eingaben'!$C$10)</f>
        <v/>
      </c>
      <c r="H145" t="str">
        <f>IF(F145="","",IF(F145&lt;'02_Eingaben'!$C$18*'02_Eingaben'!$C$10,1,0))</f>
        <v/>
      </c>
      <c r="I145" s="17" t="str">
        <f t="shared" si="2"/>
        <v/>
      </c>
      <c r="J145" s="17" t="str">
        <f>IF(B145="","",IF(B144&lt;'02_Eingaben'!$C$36,0,J144+I144/'02_Eingaben'!$C$8))</f>
        <v/>
      </c>
    </row>
    <row r="146" spans="1:10" x14ac:dyDescent="0.25">
      <c r="A146" t="str">
        <f>IF('01_Rohdaten'!A146="","",ROW()-1)</f>
        <v/>
      </c>
      <c r="B146" s="17" t="str">
        <f>IF('01_Rohdaten'!A146="","",'01_Rohdaten'!A146)</f>
        <v/>
      </c>
      <c r="C146" s="17" t="str">
        <f>IF(B146="","",INDEX('01_Rohdaten'!B146:D146,'02_Eingaben'!$C$13))</f>
        <v/>
      </c>
      <c r="D146" s="17" t="str">
        <f>IF(C146="","",C146*'02_Eingaben'!$C$15)</f>
        <v/>
      </c>
      <c r="E146" s="17" t="str">
        <f>IF(D146="","",D146*'02_Eingaben'!$C$8)</f>
        <v/>
      </c>
      <c r="F146" s="17" t="str">
        <f>IF(E146="","",AVERAGE(INDEX($E$2:$E$3001,MAX(1,ROW()-1-'02_Eingaben'!$C$17)):INDEX($E$2:$E$3001,MIN('02_Eingaben'!$C$21,ROW()-1+'02_Eingaben'!$C$17))))</f>
        <v/>
      </c>
      <c r="G146" s="17" t="str">
        <f>IF(F146="","",F146-'02_Eingaben'!$C$10)</f>
        <v/>
      </c>
      <c r="H146" t="str">
        <f>IF(F146="","",IF(F146&lt;'02_Eingaben'!$C$18*'02_Eingaben'!$C$10,1,0))</f>
        <v/>
      </c>
      <c r="I146" s="17" t="str">
        <f t="shared" si="2"/>
        <v/>
      </c>
      <c r="J146" s="17" t="str">
        <f>IF(B146="","",IF(B145&lt;'02_Eingaben'!$C$36,0,J145+I145/'02_Eingaben'!$C$8))</f>
        <v/>
      </c>
    </row>
    <row r="147" spans="1:10" x14ac:dyDescent="0.25">
      <c r="A147" t="str">
        <f>IF('01_Rohdaten'!A147="","",ROW()-1)</f>
        <v/>
      </c>
      <c r="B147" s="17" t="str">
        <f>IF('01_Rohdaten'!A147="","",'01_Rohdaten'!A147)</f>
        <v/>
      </c>
      <c r="C147" s="17" t="str">
        <f>IF(B147="","",INDEX('01_Rohdaten'!B147:D147,'02_Eingaben'!$C$13))</f>
        <v/>
      </c>
      <c r="D147" s="17" t="str">
        <f>IF(C147="","",C147*'02_Eingaben'!$C$15)</f>
        <v/>
      </c>
      <c r="E147" s="17" t="str">
        <f>IF(D147="","",D147*'02_Eingaben'!$C$8)</f>
        <v/>
      </c>
      <c r="F147" s="17" t="str">
        <f>IF(E147="","",AVERAGE(INDEX($E$2:$E$3001,MAX(1,ROW()-1-'02_Eingaben'!$C$17)):INDEX($E$2:$E$3001,MIN('02_Eingaben'!$C$21,ROW()-1+'02_Eingaben'!$C$17))))</f>
        <v/>
      </c>
      <c r="G147" s="17" t="str">
        <f>IF(F147="","",F147-'02_Eingaben'!$C$10)</f>
        <v/>
      </c>
      <c r="H147" t="str">
        <f>IF(F147="","",IF(F147&lt;'02_Eingaben'!$C$18*'02_Eingaben'!$C$10,1,0))</f>
        <v/>
      </c>
      <c r="I147" s="17" t="str">
        <f t="shared" si="2"/>
        <v/>
      </c>
      <c r="J147" s="17" t="str">
        <f>IF(B147="","",IF(B146&lt;'02_Eingaben'!$C$36,0,J146+I146/'02_Eingaben'!$C$8))</f>
        <v/>
      </c>
    </row>
    <row r="148" spans="1:10" x14ac:dyDescent="0.25">
      <c r="A148" t="str">
        <f>IF('01_Rohdaten'!A148="","",ROW()-1)</f>
        <v/>
      </c>
      <c r="B148" s="17" t="str">
        <f>IF('01_Rohdaten'!A148="","",'01_Rohdaten'!A148)</f>
        <v/>
      </c>
      <c r="C148" s="17" t="str">
        <f>IF(B148="","",INDEX('01_Rohdaten'!B148:D148,'02_Eingaben'!$C$13))</f>
        <v/>
      </c>
      <c r="D148" s="17" t="str">
        <f>IF(C148="","",C148*'02_Eingaben'!$C$15)</f>
        <v/>
      </c>
      <c r="E148" s="17" t="str">
        <f>IF(D148="","",D148*'02_Eingaben'!$C$8)</f>
        <v/>
      </c>
      <c r="F148" s="17" t="str">
        <f>IF(E148="","",AVERAGE(INDEX($E$2:$E$3001,MAX(1,ROW()-1-'02_Eingaben'!$C$17)):INDEX($E$2:$E$3001,MIN('02_Eingaben'!$C$21,ROW()-1+'02_Eingaben'!$C$17))))</f>
        <v/>
      </c>
      <c r="G148" s="17" t="str">
        <f>IF(F148="","",F148-'02_Eingaben'!$C$10)</f>
        <v/>
      </c>
      <c r="H148" t="str">
        <f>IF(F148="","",IF(F148&lt;'02_Eingaben'!$C$18*'02_Eingaben'!$C$10,1,0))</f>
        <v/>
      </c>
      <c r="I148" s="17" t="str">
        <f t="shared" si="2"/>
        <v/>
      </c>
      <c r="J148" s="17" t="str">
        <f>IF(B148="","",IF(B147&lt;'02_Eingaben'!$C$36,0,J147+I147/'02_Eingaben'!$C$8))</f>
        <v/>
      </c>
    </row>
    <row r="149" spans="1:10" x14ac:dyDescent="0.25">
      <c r="A149" t="str">
        <f>IF('01_Rohdaten'!A149="","",ROW()-1)</f>
        <v/>
      </c>
      <c r="B149" s="17" t="str">
        <f>IF('01_Rohdaten'!A149="","",'01_Rohdaten'!A149)</f>
        <v/>
      </c>
      <c r="C149" s="17" t="str">
        <f>IF(B149="","",INDEX('01_Rohdaten'!B149:D149,'02_Eingaben'!$C$13))</f>
        <v/>
      </c>
      <c r="D149" s="17" t="str">
        <f>IF(C149="","",C149*'02_Eingaben'!$C$15)</f>
        <v/>
      </c>
      <c r="E149" s="17" t="str">
        <f>IF(D149="","",D149*'02_Eingaben'!$C$8)</f>
        <v/>
      </c>
      <c r="F149" s="17" t="str">
        <f>IF(E149="","",AVERAGE(INDEX($E$2:$E$3001,MAX(1,ROW()-1-'02_Eingaben'!$C$17)):INDEX($E$2:$E$3001,MIN('02_Eingaben'!$C$21,ROW()-1+'02_Eingaben'!$C$17))))</f>
        <v/>
      </c>
      <c r="G149" s="17" t="str">
        <f>IF(F149="","",F149-'02_Eingaben'!$C$10)</f>
        <v/>
      </c>
      <c r="H149" t="str">
        <f>IF(F149="","",IF(F149&lt;'02_Eingaben'!$C$18*'02_Eingaben'!$C$10,1,0))</f>
        <v/>
      </c>
      <c r="I149" s="17" t="str">
        <f t="shared" si="2"/>
        <v/>
      </c>
      <c r="J149" s="17" t="str">
        <f>IF(B149="","",IF(B148&lt;'02_Eingaben'!$C$36,0,J148+I148/'02_Eingaben'!$C$8))</f>
        <v/>
      </c>
    </row>
    <row r="150" spans="1:10" x14ac:dyDescent="0.25">
      <c r="A150" t="str">
        <f>IF('01_Rohdaten'!A150="","",ROW()-1)</f>
        <v/>
      </c>
      <c r="B150" s="17" t="str">
        <f>IF('01_Rohdaten'!A150="","",'01_Rohdaten'!A150)</f>
        <v/>
      </c>
      <c r="C150" s="17" t="str">
        <f>IF(B150="","",INDEX('01_Rohdaten'!B150:D150,'02_Eingaben'!$C$13))</f>
        <v/>
      </c>
      <c r="D150" s="17" t="str">
        <f>IF(C150="","",C150*'02_Eingaben'!$C$15)</f>
        <v/>
      </c>
      <c r="E150" s="17" t="str">
        <f>IF(D150="","",D150*'02_Eingaben'!$C$8)</f>
        <v/>
      </c>
      <c r="F150" s="17" t="str">
        <f>IF(E150="","",AVERAGE(INDEX($E$2:$E$3001,MAX(1,ROW()-1-'02_Eingaben'!$C$17)):INDEX($E$2:$E$3001,MIN('02_Eingaben'!$C$21,ROW()-1+'02_Eingaben'!$C$17))))</f>
        <v/>
      </c>
      <c r="G150" s="17" t="str">
        <f>IF(F150="","",F150-'02_Eingaben'!$C$10)</f>
        <v/>
      </c>
      <c r="H150" t="str">
        <f>IF(F150="","",IF(F150&lt;'02_Eingaben'!$C$18*'02_Eingaben'!$C$10,1,0))</f>
        <v/>
      </c>
      <c r="I150" s="17" t="str">
        <f t="shared" si="2"/>
        <v/>
      </c>
      <c r="J150" s="17" t="str">
        <f>IF(B150="","",IF(B149&lt;'02_Eingaben'!$C$36,0,J149+I149/'02_Eingaben'!$C$8))</f>
        <v/>
      </c>
    </row>
    <row r="151" spans="1:10" x14ac:dyDescent="0.25">
      <c r="A151" t="str">
        <f>IF('01_Rohdaten'!A151="","",ROW()-1)</f>
        <v/>
      </c>
      <c r="B151" s="17" t="str">
        <f>IF('01_Rohdaten'!A151="","",'01_Rohdaten'!A151)</f>
        <v/>
      </c>
      <c r="C151" s="17" t="str">
        <f>IF(B151="","",INDEX('01_Rohdaten'!B151:D151,'02_Eingaben'!$C$13))</f>
        <v/>
      </c>
      <c r="D151" s="17" t="str">
        <f>IF(C151="","",C151*'02_Eingaben'!$C$15)</f>
        <v/>
      </c>
      <c r="E151" s="17" t="str">
        <f>IF(D151="","",D151*'02_Eingaben'!$C$8)</f>
        <v/>
      </c>
      <c r="F151" s="17" t="str">
        <f>IF(E151="","",AVERAGE(INDEX($E$2:$E$3001,MAX(1,ROW()-1-'02_Eingaben'!$C$17)):INDEX($E$2:$E$3001,MIN('02_Eingaben'!$C$21,ROW()-1+'02_Eingaben'!$C$17))))</f>
        <v/>
      </c>
      <c r="G151" s="17" t="str">
        <f>IF(F151="","",F151-'02_Eingaben'!$C$10)</f>
        <v/>
      </c>
      <c r="H151" t="str">
        <f>IF(F151="","",IF(F151&lt;'02_Eingaben'!$C$18*'02_Eingaben'!$C$10,1,0))</f>
        <v/>
      </c>
      <c r="I151" s="17" t="str">
        <f t="shared" si="2"/>
        <v/>
      </c>
      <c r="J151" s="17" t="str">
        <f>IF(B151="","",IF(B150&lt;'02_Eingaben'!$C$36,0,J150+I150/'02_Eingaben'!$C$8))</f>
        <v/>
      </c>
    </row>
    <row r="152" spans="1:10" x14ac:dyDescent="0.25">
      <c r="A152" t="str">
        <f>IF('01_Rohdaten'!A152="","",ROW()-1)</f>
        <v/>
      </c>
      <c r="B152" s="17" t="str">
        <f>IF('01_Rohdaten'!A152="","",'01_Rohdaten'!A152)</f>
        <v/>
      </c>
      <c r="C152" s="17" t="str">
        <f>IF(B152="","",INDEX('01_Rohdaten'!B152:D152,'02_Eingaben'!$C$13))</f>
        <v/>
      </c>
      <c r="D152" s="17" t="str">
        <f>IF(C152="","",C152*'02_Eingaben'!$C$15)</f>
        <v/>
      </c>
      <c r="E152" s="17" t="str">
        <f>IF(D152="","",D152*'02_Eingaben'!$C$8)</f>
        <v/>
      </c>
      <c r="F152" s="17" t="str">
        <f>IF(E152="","",AVERAGE(INDEX($E$2:$E$3001,MAX(1,ROW()-1-'02_Eingaben'!$C$17)):INDEX($E$2:$E$3001,MIN('02_Eingaben'!$C$21,ROW()-1+'02_Eingaben'!$C$17))))</f>
        <v/>
      </c>
      <c r="G152" s="17" t="str">
        <f>IF(F152="","",F152-'02_Eingaben'!$C$10)</f>
        <v/>
      </c>
      <c r="H152" t="str">
        <f>IF(F152="","",IF(F152&lt;'02_Eingaben'!$C$18*'02_Eingaben'!$C$10,1,0))</f>
        <v/>
      </c>
      <c r="I152" s="17" t="str">
        <f t="shared" si="2"/>
        <v/>
      </c>
      <c r="J152" s="17" t="str">
        <f>IF(B152="","",IF(B151&lt;'02_Eingaben'!$C$36,0,J151+I151/'02_Eingaben'!$C$8))</f>
        <v/>
      </c>
    </row>
    <row r="153" spans="1:10" x14ac:dyDescent="0.25">
      <c r="A153" t="str">
        <f>IF('01_Rohdaten'!A153="","",ROW()-1)</f>
        <v/>
      </c>
      <c r="B153" s="17" t="str">
        <f>IF('01_Rohdaten'!A153="","",'01_Rohdaten'!A153)</f>
        <v/>
      </c>
      <c r="C153" s="17" t="str">
        <f>IF(B153="","",INDEX('01_Rohdaten'!B153:D153,'02_Eingaben'!$C$13))</f>
        <v/>
      </c>
      <c r="D153" s="17" t="str">
        <f>IF(C153="","",C153*'02_Eingaben'!$C$15)</f>
        <v/>
      </c>
      <c r="E153" s="17" t="str">
        <f>IF(D153="","",D153*'02_Eingaben'!$C$8)</f>
        <v/>
      </c>
      <c r="F153" s="17" t="str">
        <f>IF(E153="","",AVERAGE(INDEX($E$2:$E$3001,MAX(1,ROW()-1-'02_Eingaben'!$C$17)):INDEX($E$2:$E$3001,MIN('02_Eingaben'!$C$21,ROW()-1+'02_Eingaben'!$C$17))))</f>
        <v/>
      </c>
      <c r="G153" s="17" t="str">
        <f>IF(F153="","",F153-'02_Eingaben'!$C$10)</f>
        <v/>
      </c>
      <c r="H153" t="str">
        <f>IF(F153="","",IF(F153&lt;'02_Eingaben'!$C$18*'02_Eingaben'!$C$10,1,0))</f>
        <v/>
      </c>
      <c r="I153" s="17" t="str">
        <f t="shared" si="2"/>
        <v/>
      </c>
      <c r="J153" s="17" t="str">
        <f>IF(B153="","",IF(B152&lt;'02_Eingaben'!$C$36,0,J152+I152/'02_Eingaben'!$C$8))</f>
        <v/>
      </c>
    </row>
    <row r="154" spans="1:10" x14ac:dyDescent="0.25">
      <c r="A154" t="str">
        <f>IF('01_Rohdaten'!A154="","",ROW()-1)</f>
        <v/>
      </c>
      <c r="B154" s="17" t="str">
        <f>IF('01_Rohdaten'!A154="","",'01_Rohdaten'!A154)</f>
        <v/>
      </c>
      <c r="C154" s="17" t="str">
        <f>IF(B154="","",INDEX('01_Rohdaten'!B154:D154,'02_Eingaben'!$C$13))</f>
        <v/>
      </c>
      <c r="D154" s="17" t="str">
        <f>IF(C154="","",C154*'02_Eingaben'!$C$15)</f>
        <v/>
      </c>
      <c r="E154" s="17" t="str">
        <f>IF(D154="","",D154*'02_Eingaben'!$C$8)</f>
        <v/>
      </c>
      <c r="F154" s="17" t="str">
        <f>IF(E154="","",AVERAGE(INDEX($E$2:$E$3001,MAX(1,ROW()-1-'02_Eingaben'!$C$17)):INDEX($E$2:$E$3001,MIN('02_Eingaben'!$C$21,ROW()-1+'02_Eingaben'!$C$17))))</f>
        <v/>
      </c>
      <c r="G154" s="17" t="str">
        <f>IF(F154="","",F154-'02_Eingaben'!$C$10)</f>
        <v/>
      </c>
      <c r="H154" t="str">
        <f>IF(F154="","",IF(F154&lt;'02_Eingaben'!$C$18*'02_Eingaben'!$C$10,1,0))</f>
        <v/>
      </c>
      <c r="I154" s="17" t="str">
        <f t="shared" si="2"/>
        <v/>
      </c>
      <c r="J154" s="17" t="str">
        <f>IF(B154="","",IF(B153&lt;'02_Eingaben'!$C$36,0,J153+I153/'02_Eingaben'!$C$8))</f>
        <v/>
      </c>
    </row>
    <row r="155" spans="1:10" x14ac:dyDescent="0.25">
      <c r="A155" t="str">
        <f>IF('01_Rohdaten'!A155="","",ROW()-1)</f>
        <v/>
      </c>
      <c r="B155" s="17" t="str">
        <f>IF('01_Rohdaten'!A155="","",'01_Rohdaten'!A155)</f>
        <v/>
      </c>
      <c r="C155" s="17" t="str">
        <f>IF(B155="","",INDEX('01_Rohdaten'!B155:D155,'02_Eingaben'!$C$13))</f>
        <v/>
      </c>
      <c r="D155" s="17" t="str">
        <f>IF(C155="","",C155*'02_Eingaben'!$C$15)</f>
        <v/>
      </c>
      <c r="E155" s="17" t="str">
        <f>IF(D155="","",D155*'02_Eingaben'!$C$8)</f>
        <v/>
      </c>
      <c r="F155" s="17" t="str">
        <f>IF(E155="","",AVERAGE(INDEX($E$2:$E$3001,MAX(1,ROW()-1-'02_Eingaben'!$C$17)):INDEX($E$2:$E$3001,MIN('02_Eingaben'!$C$21,ROW()-1+'02_Eingaben'!$C$17))))</f>
        <v/>
      </c>
      <c r="G155" s="17" t="str">
        <f>IF(F155="","",F155-'02_Eingaben'!$C$10)</f>
        <v/>
      </c>
      <c r="H155" t="str">
        <f>IF(F155="","",IF(F155&lt;'02_Eingaben'!$C$18*'02_Eingaben'!$C$10,1,0))</f>
        <v/>
      </c>
      <c r="I155" s="17" t="str">
        <f t="shared" si="2"/>
        <v/>
      </c>
      <c r="J155" s="17" t="str">
        <f>IF(B155="","",IF(B154&lt;'02_Eingaben'!$C$36,0,J154+I154/'02_Eingaben'!$C$8))</f>
        <v/>
      </c>
    </row>
    <row r="156" spans="1:10" x14ac:dyDescent="0.25">
      <c r="A156" t="str">
        <f>IF('01_Rohdaten'!A156="","",ROW()-1)</f>
        <v/>
      </c>
      <c r="B156" s="17" t="str">
        <f>IF('01_Rohdaten'!A156="","",'01_Rohdaten'!A156)</f>
        <v/>
      </c>
      <c r="C156" s="17" t="str">
        <f>IF(B156="","",INDEX('01_Rohdaten'!B156:D156,'02_Eingaben'!$C$13))</f>
        <v/>
      </c>
      <c r="D156" s="17" t="str">
        <f>IF(C156="","",C156*'02_Eingaben'!$C$15)</f>
        <v/>
      </c>
      <c r="E156" s="17" t="str">
        <f>IF(D156="","",D156*'02_Eingaben'!$C$8)</f>
        <v/>
      </c>
      <c r="F156" s="17" t="str">
        <f>IF(E156="","",AVERAGE(INDEX($E$2:$E$3001,MAX(1,ROW()-1-'02_Eingaben'!$C$17)):INDEX($E$2:$E$3001,MIN('02_Eingaben'!$C$21,ROW()-1+'02_Eingaben'!$C$17))))</f>
        <v/>
      </c>
      <c r="G156" s="17" t="str">
        <f>IF(F156="","",F156-'02_Eingaben'!$C$10)</f>
        <v/>
      </c>
      <c r="H156" t="str">
        <f>IF(F156="","",IF(F156&lt;'02_Eingaben'!$C$18*'02_Eingaben'!$C$10,1,0))</f>
        <v/>
      </c>
      <c r="I156" s="17" t="str">
        <f t="shared" si="2"/>
        <v/>
      </c>
      <c r="J156" s="17" t="str">
        <f>IF(B156="","",IF(B155&lt;'02_Eingaben'!$C$36,0,J155+I155/'02_Eingaben'!$C$8))</f>
        <v/>
      </c>
    </row>
    <row r="157" spans="1:10" x14ac:dyDescent="0.25">
      <c r="A157" t="str">
        <f>IF('01_Rohdaten'!A157="","",ROW()-1)</f>
        <v/>
      </c>
      <c r="B157" s="17" t="str">
        <f>IF('01_Rohdaten'!A157="","",'01_Rohdaten'!A157)</f>
        <v/>
      </c>
      <c r="C157" s="17" t="str">
        <f>IF(B157="","",INDEX('01_Rohdaten'!B157:D157,'02_Eingaben'!$C$13))</f>
        <v/>
      </c>
      <c r="D157" s="17" t="str">
        <f>IF(C157="","",C157*'02_Eingaben'!$C$15)</f>
        <v/>
      </c>
      <c r="E157" s="17" t="str">
        <f>IF(D157="","",D157*'02_Eingaben'!$C$8)</f>
        <v/>
      </c>
      <c r="F157" s="17" t="str">
        <f>IF(E157="","",AVERAGE(INDEX($E$2:$E$3001,MAX(1,ROW()-1-'02_Eingaben'!$C$17)):INDEX($E$2:$E$3001,MIN('02_Eingaben'!$C$21,ROW()-1+'02_Eingaben'!$C$17))))</f>
        <v/>
      </c>
      <c r="G157" s="17" t="str">
        <f>IF(F157="","",F157-'02_Eingaben'!$C$10)</f>
        <v/>
      </c>
      <c r="H157" t="str">
        <f>IF(F157="","",IF(F157&lt;'02_Eingaben'!$C$18*'02_Eingaben'!$C$10,1,0))</f>
        <v/>
      </c>
      <c r="I157" s="17" t="str">
        <f t="shared" si="2"/>
        <v/>
      </c>
      <c r="J157" s="17" t="str">
        <f>IF(B157="","",IF(B156&lt;'02_Eingaben'!$C$36,0,J156+I156/'02_Eingaben'!$C$8))</f>
        <v/>
      </c>
    </row>
    <row r="158" spans="1:10" x14ac:dyDescent="0.25">
      <c r="A158" t="str">
        <f>IF('01_Rohdaten'!A158="","",ROW()-1)</f>
        <v/>
      </c>
      <c r="B158" s="17" t="str">
        <f>IF('01_Rohdaten'!A158="","",'01_Rohdaten'!A158)</f>
        <v/>
      </c>
      <c r="C158" s="17" t="str">
        <f>IF(B158="","",INDEX('01_Rohdaten'!B158:D158,'02_Eingaben'!$C$13))</f>
        <v/>
      </c>
      <c r="D158" s="17" t="str">
        <f>IF(C158="","",C158*'02_Eingaben'!$C$15)</f>
        <v/>
      </c>
      <c r="E158" s="17" t="str">
        <f>IF(D158="","",D158*'02_Eingaben'!$C$8)</f>
        <v/>
      </c>
      <c r="F158" s="17" t="str">
        <f>IF(E158="","",AVERAGE(INDEX($E$2:$E$3001,MAX(1,ROW()-1-'02_Eingaben'!$C$17)):INDEX($E$2:$E$3001,MIN('02_Eingaben'!$C$21,ROW()-1+'02_Eingaben'!$C$17))))</f>
        <v/>
      </c>
      <c r="G158" s="17" t="str">
        <f>IF(F158="","",F158-'02_Eingaben'!$C$10)</f>
        <v/>
      </c>
      <c r="H158" t="str">
        <f>IF(F158="","",IF(F158&lt;'02_Eingaben'!$C$18*'02_Eingaben'!$C$10,1,0))</f>
        <v/>
      </c>
      <c r="I158" s="17" t="str">
        <f t="shared" si="2"/>
        <v/>
      </c>
      <c r="J158" s="17" t="str">
        <f>IF(B158="","",IF(B157&lt;'02_Eingaben'!$C$36,0,J157+I157/'02_Eingaben'!$C$8))</f>
        <v/>
      </c>
    </row>
    <row r="159" spans="1:10" x14ac:dyDescent="0.25">
      <c r="A159" t="str">
        <f>IF('01_Rohdaten'!A159="","",ROW()-1)</f>
        <v/>
      </c>
      <c r="B159" s="17" t="str">
        <f>IF('01_Rohdaten'!A159="","",'01_Rohdaten'!A159)</f>
        <v/>
      </c>
      <c r="C159" s="17" t="str">
        <f>IF(B159="","",INDEX('01_Rohdaten'!B159:D159,'02_Eingaben'!$C$13))</f>
        <v/>
      </c>
      <c r="D159" s="17" t="str">
        <f>IF(C159="","",C159*'02_Eingaben'!$C$15)</f>
        <v/>
      </c>
      <c r="E159" s="17" t="str">
        <f>IF(D159="","",D159*'02_Eingaben'!$C$8)</f>
        <v/>
      </c>
      <c r="F159" s="17" t="str">
        <f>IF(E159="","",AVERAGE(INDEX($E$2:$E$3001,MAX(1,ROW()-1-'02_Eingaben'!$C$17)):INDEX($E$2:$E$3001,MIN('02_Eingaben'!$C$21,ROW()-1+'02_Eingaben'!$C$17))))</f>
        <v/>
      </c>
      <c r="G159" s="17" t="str">
        <f>IF(F159="","",F159-'02_Eingaben'!$C$10)</f>
        <v/>
      </c>
      <c r="H159" t="str">
        <f>IF(F159="","",IF(F159&lt;'02_Eingaben'!$C$18*'02_Eingaben'!$C$10,1,0))</f>
        <v/>
      </c>
      <c r="I159" s="17" t="str">
        <f t="shared" si="2"/>
        <v/>
      </c>
      <c r="J159" s="17" t="str">
        <f>IF(B159="","",IF(B158&lt;'02_Eingaben'!$C$36,0,J158+I158/'02_Eingaben'!$C$8))</f>
        <v/>
      </c>
    </row>
    <row r="160" spans="1:10" x14ac:dyDescent="0.25">
      <c r="A160" t="str">
        <f>IF('01_Rohdaten'!A160="","",ROW()-1)</f>
        <v/>
      </c>
      <c r="B160" s="17" t="str">
        <f>IF('01_Rohdaten'!A160="","",'01_Rohdaten'!A160)</f>
        <v/>
      </c>
      <c r="C160" s="17" t="str">
        <f>IF(B160="","",INDEX('01_Rohdaten'!B160:D160,'02_Eingaben'!$C$13))</f>
        <v/>
      </c>
      <c r="D160" s="17" t="str">
        <f>IF(C160="","",C160*'02_Eingaben'!$C$15)</f>
        <v/>
      </c>
      <c r="E160" s="17" t="str">
        <f>IF(D160="","",D160*'02_Eingaben'!$C$8)</f>
        <v/>
      </c>
      <c r="F160" s="17" t="str">
        <f>IF(E160="","",AVERAGE(INDEX($E$2:$E$3001,MAX(1,ROW()-1-'02_Eingaben'!$C$17)):INDEX($E$2:$E$3001,MIN('02_Eingaben'!$C$21,ROW()-1+'02_Eingaben'!$C$17))))</f>
        <v/>
      </c>
      <c r="G160" s="17" t="str">
        <f>IF(F160="","",F160-'02_Eingaben'!$C$10)</f>
        <v/>
      </c>
      <c r="H160" t="str">
        <f>IF(F160="","",IF(F160&lt;'02_Eingaben'!$C$18*'02_Eingaben'!$C$10,1,0))</f>
        <v/>
      </c>
      <c r="I160" s="17" t="str">
        <f t="shared" si="2"/>
        <v/>
      </c>
      <c r="J160" s="17" t="str">
        <f>IF(B160="","",IF(B159&lt;'02_Eingaben'!$C$36,0,J159+I159/'02_Eingaben'!$C$8))</f>
        <v/>
      </c>
    </row>
    <row r="161" spans="1:10" x14ac:dyDescent="0.25">
      <c r="A161" t="str">
        <f>IF('01_Rohdaten'!A161="","",ROW()-1)</f>
        <v/>
      </c>
      <c r="B161" s="17" t="str">
        <f>IF('01_Rohdaten'!A161="","",'01_Rohdaten'!A161)</f>
        <v/>
      </c>
      <c r="C161" s="17" t="str">
        <f>IF(B161="","",INDEX('01_Rohdaten'!B161:D161,'02_Eingaben'!$C$13))</f>
        <v/>
      </c>
      <c r="D161" s="17" t="str">
        <f>IF(C161="","",C161*'02_Eingaben'!$C$15)</f>
        <v/>
      </c>
      <c r="E161" s="17" t="str">
        <f>IF(D161="","",D161*'02_Eingaben'!$C$8)</f>
        <v/>
      </c>
      <c r="F161" s="17" t="str">
        <f>IF(E161="","",AVERAGE(INDEX($E$2:$E$3001,MAX(1,ROW()-1-'02_Eingaben'!$C$17)):INDEX($E$2:$E$3001,MIN('02_Eingaben'!$C$21,ROW()-1+'02_Eingaben'!$C$17))))</f>
        <v/>
      </c>
      <c r="G161" s="17" t="str">
        <f>IF(F161="","",F161-'02_Eingaben'!$C$10)</f>
        <v/>
      </c>
      <c r="H161" t="str">
        <f>IF(F161="","",IF(F161&lt;'02_Eingaben'!$C$18*'02_Eingaben'!$C$10,1,0))</f>
        <v/>
      </c>
      <c r="I161" s="17" t="str">
        <f t="shared" si="2"/>
        <v/>
      </c>
      <c r="J161" s="17" t="str">
        <f>IF(B161="","",IF(B160&lt;'02_Eingaben'!$C$36,0,J160+I160/'02_Eingaben'!$C$8))</f>
        <v/>
      </c>
    </row>
    <row r="162" spans="1:10" x14ac:dyDescent="0.25">
      <c r="A162" t="str">
        <f>IF('01_Rohdaten'!A162="","",ROW()-1)</f>
        <v/>
      </c>
      <c r="B162" s="17" t="str">
        <f>IF('01_Rohdaten'!A162="","",'01_Rohdaten'!A162)</f>
        <v/>
      </c>
      <c r="C162" s="17" t="str">
        <f>IF(B162="","",INDEX('01_Rohdaten'!B162:D162,'02_Eingaben'!$C$13))</f>
        <v/>
      </c>
      <c r="D162" s="17" t="str">
        <f>IF(C162="","",C162*'02_Eingaben'!$C$15)</f>
        <v/>
      </c>
      <c r="E162" s="17" t="str">
        <f>IF(D162="","",D162*'02_Eingaben'!$C$8)</f>
        <v/>
      </c>
      <c r="F162" s="17" t="str">
        <f>IF(E162="","",AVERAGE(INDEX($E$2:$E$3001,MAX(1,ROW()-1-'02_Eingaben'!$C$17)):INDEX($E$2:$E$3001,MIN('02_Eingaben'!$C$21,ROW()-1+'02_Eingaben'!$C$17))))</f>
        <v/>
      </c>
      <c r="G162" s="17" t="str">
        <f>IF(F162="","",F162-'02_Eingaben'!$C$10)</f>
        <v/>
      </c>
      <c r="H162" t="str">
        <f>IF(F162="","",IF(F162&lt;'02_Eingaben'!$C$18*'02_Eingaben'!$C$10,1,0))</f>
        <v/>
      </c>
      <c r="I162" s="17" t="str">
        <f t="shared" si="2"/>
        <v/>
      </c>
      <c r="J162" s="17" t="str">
        <f>IF(B162="","",IF(B161&lt;'02_Eingaben'!$C$36,0,J161+I161/'02_Eingaben'!$C$8))</f>
        <v/>
      </c>
    </row>
    <row r="163" spans="1:10" x14ac:dyDescent="0.25">
      <c r="A163" t="str">
        <f>IF('01_Rohdaten'!A163="","",ROW()-1)</f>
        <v/>
      </c>
      <c r="B163" s="17" t="str">
        <f>IF('01_Rohdaten'!A163="","",'01_Rohdaten'!A163)</f>
        <v/>
      </c>
      <c r="C163" s="17" t="str">
        <f>IF(B163="","",INDEX('01_Rohdaten'!B163:D163,'02_Eingaben'!$C$13))</f>
        <v/>
      </c>
      <c r="D163" s="17" t="str">
        <f>IF(C163="","",C163*'02_Eingaben'!$C$15)</f>
        <v/>
      </c>
      <c r="E163" s="17" t="str">
        <f>IF(D163="","",D163*'02_Eingaben'!$C$8)</f>
        <v/>
      </c>
      <c r="F163" s="17" t="str">
        <f>IF(E163="","",AVERAGE(INDEX($E$2:$E$3001,MAX(1,ROW()-1-'02_Eingaben'!$C$17)):INDEX($E$2:$E$3001,MIN('02_Eingaben'!$C$21,ROW()-1+'02_Eingaben'!$C$17))))</f>
        <v/>
      </c>
      <c r="G163" s="17" t="str">
        <f>IF(F163="","",F163-'02_Eingaben'!$C$10)</f>
        <v/>
      </c>
      <c r="H163" t="str">
        <f>IF(F163="","",IF(F163&lt;'02_Eingaben'!$C$18*'02_Eingaben'!$C$10,1,0))</f>
        <v/>
      </c>
      <c r="I163" s="17" t="str">
        <f t="shared" si="2"/>
        <v/>
      </c>
      <c r="J163" s="17" t="str">
        <f>IF(B163="","",IF(B162&lt;'02_Eingaben'!$C$36,0,J162+I162/'02_Eingaben'!$C$8))</f>
        <v/>
      </c>
    </row>
    <row r="164" spans="1:10" x14ac:dyDescent="0.25">
      <c r="A164" t="str">
        <f>IF('01_Rohdaten'!A164="","",ROW()-1)</f>
        <v/>
      </c>
      <c r="B164" s="17" t="str">
        <f>IF('01_Rohdaten'!A164="","",'01_Rohdaten'!A164)</f>
        <v/>
      </c>
      <c r="C164" s="17" t="str">
        <f>IF(B164="","",INDEX('01_Rohdaten'!B164:D164,'02_Eingaben'!$C$13))</f>
        <v/>
      </c>
      <c r="D164" s="17" t="str">
        <f>IF(C164="","",C164*'02_Eingaben'!$C$15)</f>
        <v/>
      </c>
      <c r="E164" s="17" t="str">
        <f>IF(D164="","",D164*'02_Eingaben'!$C$8)</f>
        <v/>
      </c>
      <c r="F164" s="17" t="str">
        <f>IF(E164="","",AVERAGE(INDEX($E$2:$E$3001,MAX(1,ROW()-1-'02_Eingaben'!$C$17)):INDEX($E$2:$E$3001,MIN('02_Eingaben'!$C$21,ROW()-1+'02_Eingaben'!$C$17))))</f>
        <v/>
      </c>
      <c r="G164" s="17" t="str">
        <f>IF(F164="","",F164-'02_Eingaben'!$C$10)</f>
        <v/>
      </c>
      <c r="H164" t="str">
        <f>IF(F164="","",IF(F164&lt;'02_Eingaben'!$C$18*'02_Eingaben'!$C$10,1,0))</f>
        <v/>
      </c>
      <c r="I164" s="17" t="str">
        <f t="shared" si="2"/>
        <v/>
      </c>
      <c r="J164" s="17" t="str">
        <f>IF(B164="","",IF(B163&lt;'02_Eingaben'!$C$36,0,J163+I163/'02_Eingaben'!$C$8))</f>
        <v/>
      </c>
    </row>
    <row r="165" spans="1:10" x14ac:dyDescent="0.25">
      <c r="A165" t="str">
        <f>IF('01_Rohdaten'!A165="","",ROW()-1)</f>
        <v/>
      </c>
      <c r="B165" s="17" t="str">
        <f>IF('01_Rohdaten'!A165="","",'01_Rohdaten'!A165)</f>
        <v/>
      </c>
      <c r="C165" s="17" t="str">
        <f>IF(B165="","",INDEX('01_Rohdaten'!B165:D165,'02_Eingaben'!$C$13))</f>
        <v/>
      </c>
      <c r="D165" s="17" t="str">
        <f>IF(C165="","",C165*'02_Eingaben'!$C$15)</f>
        <v/>
      </c>
      <c r="E165" s="17" t="str">
        <f>IF(D165="","",D165*'02_Eingaben'!$C$8)</f>
        <v/>
      </c>
      <c r="F165" s="17" t="str">
        <f>IF(E165="","",AVERAGE(INDEX($E$2:$E$3001,MAX(1,ROW()-1-'02_Eingaben'!$C$17)):INDEX($E$2:$E$3001,MIN('02_Eingaben'!$C$21,ROW()-1+'02_Eingaben'!$C$17))))</f>
        <v/>
      </c>
      <c r="G165" s="17" t="str">
        <f>IF(F165="","",F165-'02_Eingaben'!$C$10)</f>
        <v/>
      </c>
      <c r="H165" t="str">
        <f>IF(F165="","",IF(F165&lt;'02_Eingaben'!$C$18*'02_Eingaben'!$C$10,1,0))</f>
        <v/>
      </c>
      <c r="I165" s="17" t="str">
        <f t="shared" si="2"/>
        <v/>
      </c>
      <c r="J165" s="17" t="str">
        <f>IF(B165="","",IF(B164&lt;'02_Eingaben'!$C$36,0,J164+I164/'02_Eingaben'!$C$8))</f>
        <v/>
      </c>
    </row>
    <row r="166" spans="1:10" x14ac:dyDescent="0.25">
      <c r="A166" t="str">
        <f>IF('01_Rohdaten'!A166="","",ROW()-1)</f>
        <v/>
      </c>
      <c r="B166" s="17" t="str">
        <f>IF('01_Rohdaten'!A166="","",'01_Rohdaten'!A166)</f>
        <v/>
      </c>
      <c r="C166" s="17" t="str">
        <f>IF(B166="","",INDEX('01_Rohdaten'!B166:D166,'02_Eingaben'!$C$13))</f>
        <v/>
      </c>
      <c r="D166" s="17" t="str">
        <f>IF(C166="","",C166*'02_Eingaben'!$C$15)</f>
        <v/>
      </c>
      <c r="E166" s="17" t="str">
        <f>IF(D166="","",D166*'02_Eingaben'!$C$8)</f>
        <v/>
      </c>
      <c r="F166" s="17" t="str">
        <f>IF(E166="","",AVERAGE(INDEX($E$2:$E$3001,MAX(1,ROW()-1-'02_Eingaben'!$C$17)):INDEX($E$2:$E$3001,MIN('02_Eingaben'!$C$21,ROW()-1+'02_Eingaben'!$C$17))))</f>
        <v/>
      </c>
      <c r="G166" s="17" t="str">
        <f>IF(F166="","",F166-'02_Eingaben'!$C$10)</f>
        <v/>
      </c>
      <c r="H166" t="str">
        <f>IF(F166="","",IF(F166&lt;'02_Eingaben'!$C$18*'02_Eingaben'!$C$10,1,0))</f>
        <v/>
      </c>
      <c r="I166" s="17" t="str">
        <f t="shared" si="2"/>
        <v/>
      </c>
      <c r="J166" s="17" t="str">
        <f>IF(B166="","",IF(B165&lt;'02_Eingaben'!$C$36,0,J165+I165/'02_Eingaben'!$C$8))</f>
        <v/>
      </c>
    </row>
    <row r="167" spans="1:10" x14ac:dyDescent="0.25">
      <c r="A167" t="str">
        <f>IF('01_Rohdaten'!A167="","",ROW()-1)</f>
        <v/>
      </c>
      <c r="B167" s="17" t="str">
        <f>IF('01_Rohdaten'!A167="","",'01_Rohdaten'!A167)</f>
        <v/>
      </c>
      <c r="C167" s="17" t="str">
        <f>IF(B167="","",INDEX('01_Rohdaten'!B167:D167,'02_Eingaben'!$C$13))</f>
        <v/>
      </c>
      <c r="D167" s="17" t="str">
        <f>IF(C167="","",C167*'02_Eingaben'!$C$15)</f>
        <v/>
      </c>
      <c r="E167" s="17" t="str">
        <f>IF(D167="","",D167*'02_Eingaben'!$C$8)</f>
        <v/>
      </c>
      <c r="F167" s="17" t="str">
        <f>IF(E167="","",AVERAGE(INDEX($E$2:$E$3001,MAX(1,ROW()-1-'02_Eingaben'!$C$17)):INDEX($E$2:$E$3001,MIN('02_Eingaben'!$C$21,ROW()-1+'02_Eingaben'!$C$17))))</f>
        <v/>
      </c>
      <c r="G167" s="17" t="str">
        <f>IF(F167="","",F167-'02_Eingaben'!$C$10)</f>
        <v/>
      </c>
      <c r="H167" t="str">
        <f>IF(F167="","",IF(F167&lt;'02_Eingaben'!$C$18*'02_Eingaben'!$C$10,1,0))</f>
        <v/>
      </c>
      <c r="I167" s="17" t="str">
        <f t="shared" si="2"/>
        <v/>
      </c>
      <c r="J167" s="17" t="str">
        <f>IF(B167="","",IF(B166&lt;'02_Eingaben'!$C$36,0,J166+I166/'02_Eingaben'!$C$8))</f>
        <v/>
      </c>
    </row>
    <row r="168" spans="1:10" x14ac:dyDescent="0.25">
      <c r="A168" t="str">
        <f>IF('01_Rohdaten'!A168="","",ROW()-1)</f>
        <v/>
      </c>
      <c r="B168" s="17" t="str">
        <f>IF('01_Rohdaten'!A168="","",'01_Rohdaten'!A168)</f>
        <v/>
      </c>
      <c r="C168" s="17" t="str">
        <f>IF(B168="","",INDEX('01_Rohdaten'!B168:D168,'02_Eingaben'!$C$13))</f>
        <v/>
      </c>
      <c r="D168" s="17" t="str">
        <f>IF(C168="","",C168*'02_Eingaben'!$C$15)</f>
        <v/>
      </c>
      <c r="E168" s="17" t="str">
        <f>IF(D168="","",D168*'02_Eingaben'!$C$8)</f>
        <v/>
      </c>
      <c r="F168" s="17" t="str">
        <f>IF(E168="","",AVERAGE(INDEX($E$2:$E$3001,MAX(1,ROW()-1-'02_Eingaben'!$C$17)):INDEX($E$2:$E$3001,MIN('02_Eingaben'!$C$21,ROW()-1+'02_Eingaben'!$C$17))))</f>
        <v/>
      </c>
      <c r="G168" s="17" t="str">
        <f>IF(F168="","",F168-'02_Eingaben'!$C$10)</f>
        <v/>
      </c>
      <c r="H168" t="str">
        <f>IF(F168="","",IF(F168&lt;'02_Eingaben'!$C$18*'02_Eingaben'!$C$10,1,0))</f>
        <v/>
      </c>
      <c r="I168" s="17" t="str">
        <f t="shared" si="2"/>
        <v/>
      </c>
      <c r="J168" s="17" t="str">
        <f>IF(B168="","",IF(B167&lt;'02_Eingaben'!$C$36,0,J167+I167/'02_Eingaben'!$C$8))</f>
        <v/>
      </c>
    </row>
    <row r="169" spans="1:10" x14ac:dyDescent="0.25">
      <c r="A169" t="str">
        <f>IF('01_Rohdaten'!A169="","",ROW()-1)</f>
        <v/>
      </c>
      <c r="B169" s="17" t="str">
        <f>IF('01_Rohdaten'!A169="","",'01_Rohdaten'!A169)</f>
        <v/>
      </c>
      <c r="C169" s="17" t="str">
        <f>IF(B169="","",INDEX('01_Rohdaten'!B169:D169,'02_Eingaben'!$C$13))</f>
        <v/>
      </c>
      <c r="D169" s="17" t="str">
        <f>IF(C169="","",C169*'02_Eingaben'!$C$15)</f>
        <v/>
      </c>
      <c r="E169" s="17" t="str">
        <f>IF(D169="","",D169*'02_Eingaben'!$C$8)</f>
        <v/>
      </c>
      <c r="F169" s="17" t="str">
        <f>IF(E169="","",AVERAGE(INDEX($E$2:$E$3001,MAX(1,ROW()-1-'02_Eingaben'!$C$17)):INDEX($E$2:$E$3001,MIN('02_Eingaben'!$C$21,ROW()-1+'02_Eingaben'!$C$17))))</f>
        <v/>
      </c>
      <c r="G169" s="17" t="str">
        <f>IF(F169="","",F169-'02_Eingaben'!$C$10)</f>
        <v/>
      </c>
      <c r="H169" t="str">
        <f>IF(F169="","",IF(F169&lt;'02_Eingaben'!$C$18*'02_Eingaben'!$C$10,1,0))</f>
        <v/>
      </c>
      <c r="I169" s="17" t="str">
        <f t="shared" si="2"/>
        <v/>
      </c>
      <c r="J169" s="17" t="str">
        <f>IF(B169="","",IF(B168&lt;'02_Eingaben'!$C$36,0,J168+I168/'02_Eingaben'!$C$8))</f>
        <v/>
      </c>
    </row>
    <row r="170" spans="1:10" x14ac:dyDescent="0.25">
      <c r="A170" t="str">
        <f>IF('01_Rohdaten'!A170="","",ROW()-1)</f>
        <v/>
      </c>
      <c r="B170" s="17" t="str">
        <f>IF('01_Rohdaten'!A170="","",'01_Rohdaten'!A170)</f>
        <v/>
      </c>
      <c r="C170" s="17" t="str">
        <f>IF(B170="","",INDEX('01_Rohdaten'!B170:D170,'02_Eingaben'!$C$13))</f>
        <v/>
      </c>
      <c r="D170" s="17" t="str">
        <f>IF(C170="","",C170*'02_Eingaben'!$C$15)</f>
        <v/>
      </c>
      <c r="E170" s="17" t="str">
        <f>IF(D170="","",D170*'02_Eingaben'!$C$8)</f>
        <v/>
      </c>
      <c r="F170" s="17" t="str">
        <f>IF(E170="","",AVERAGE(INDEX($E$2:$E$3001,MAX(1,ROW()-1-'02_Eingaben'!$C$17)):INDEX($E$2:$E$3001,MIN('02_Eingaben'!$C$21,ROW()-1+'02_Eingaben'!$C$17))))</f>
        <v/>
      </c>
      <c r="G170" s="17" t="str">
        <f>IF(F170="","",F170-'02_Eingaben'!$C$10)</f>
        <v/>
      </c>
      <c r="H170" t="str">
        <f>IF(F170="","",IF(F170&lt;'02_Eingaben'!$C$18*'02_Eingaben'!$C$10,1,0))</f>
        <v/>
      </c>
      <c r="I170" s="17" t="str">
        <f t="shared" si="2"/>
        <v/>
      </c>
      <c r="J170" s="17" t="str">
        <f>IF(B170="","",IF(B169&lt;'02_Eingaben'!$C$36,0,J169+I169/'02_Eingaben'!$C$8))</f>
        <v/>
      </c>
    </row>
    <row r="171" spans="1:10" x14ac:dyDescent="0.25">
      <c r="A171" t="str">
        <f>IF('01_Rohdaten'!A171="","",ROW()-1)</f>
        <v/>
      </c>
      <c r="B171" s="17" t="str">
        <f>IF('01_Rohdaten'!A171="","",'01_Rohdaten'!A171)</f>
        <v/>
      </c>
      <c r="C171" s="17" t="str">
        <f>IF(B171="","",INDEX('01_Rohdaten'!B171:D171,'02_Eingaben'!$C$13))</f>
        <v/>
      </c>
      <c r="D171" s="17" t="str">
        <f>IF(C171="","",C171*'02_Eingaben'!$C$15)</f>
        <v/>
      </c>
      <c r="E171" s="17" t="str">
        <f>IF(D171="","",D171*'02_Eingaben'!$C$8)</f>
        <v/>
      </c>
      <c r="F171" s="17" t="str">
        <f>IF(E171="","",AVERAGE(INDEX($E$2:$E$3001,MAX(1,ROW()-1-'02_Eingaben'!$C$17)):INDEX($E$2:$E$3001,MIN('02_Eingaben'!$C$21,ROW()-1+'02_Eingaben'!$C$17))))</f>
        <v/>
      </c>
      <c r="G171" s="17" t="str">
        <f>IF(F171="","",F171-'02_Eingaben'!$C$10)</f>
        <v/>
      </c>
      <c r="H171" t="str">
        <f>IF(F171="","",IF(F171&lt;'02_Eingaben'!$C$18*'02_Eingaben'!$C$10,1,0))</f>
        <v/>
      </c>
      <c r="I171" s="17" t="str">
        <f t="shared" si="2"/>
        <v/>
      </c>
      <c r="J171" s="17" t="str">
        <f>IF(B171="","",IF(B170&lt;'02_Eingaben'!$C$36,0,J170+I170/'02_Eingaben'!$C$8))</f>
        <v/>
      </c>
    </row>
    <row r="172" spans="1:10" x14ac:dyDescent="0.25">
      <c r="A172" t="str">
        <f>IF('01_Rohdaten'!A172="","",ROW()-1)</f>
        <v/>
      </c>
      <c r="B172" s="17" t="str">
        <f>IF('01_Rohdaten'!A172="","",'01_Rohdaten'!A172)</f>
        <v/>
      </c>
      <c r="C172" s="17" t="str">
        <f>IF(B172="","",INDEX('01_Rohdaten'!B172:D172,'02_Eingaben'!$C$13))</f>
        <v/>
      </c>
      <c r="D172" s="17" t="str">
        <f>IF(C172="","",C172*'02_Eingaben'!$C$15)</f>
        <v/>
      </c>
      <c r="E172" s="17" t="str">
        <f>IF(D172="","",D172*'02_Eingaben'!$C$8)</f>
        <v/>
      </c>
      <c r="F172" s="17" t="str">
        <f>IF(E172="","",AVERAGE(INDEX($E$2:$E$3001,MAX(1,ROW()-1-'02_Eingaben'!$C$17)):INDEX($E$2:$E$3001,MIN('02_Eingaben'!$C$21,ROW()-1+'02_Eingaben'!$C$17))))</f>
        <v/>
      </c>
      <c r="G172" s="17" t="str">
        <f>IF(F172="","",F172-'02_Eingaben'!$C$10)</f>
        <v/>
      </c>
      <c r="H172" t="str">
        <f>IF(F172="","",IF(F172&lt;'02_Eingaben'!$C$18*'02_Eingaben'!$C$10,1,0))</f>
        <v/>
      </c>
      <c r="I172" s="17" t="str">
        <f t="shared" si="2"/>
        <v/>
      </c>
      <c r="J172" s="17" t="str">
        <f>IF(B172="","",IF(B171&lt;'02_Eingaben'!$C$36,0,J171+I171/'02_Eingaben'!$C$8))</f>
        <v/>
      </c>
    </row>
    <row r="173" spans="1:10" x14ac:dyDescent="0.25">
      <c r="A173" t="str">
        <f>IF('01_Rohdaten'!A173="","",ROW()-1)</f>
        <v/>
      </c>
      <c r="B173" s="17" t="str">
        <f>IF('01_Rohdaten'!A173="","",'01_Rohdaten'!A173)</f>
        <v/>
      </c>
      <c r="C173" s="17" t="str">
        <f>IF(B173="","",INDEX('01_Rohdaten'!B173:D173,'02_Eingaben'!$C$13))</f>
        <v/>
      </c>
      <c r="D173" s="17" t="str">
        <f>IF(C173="","",C173*'02_Eingaben'!$C$15)</f>
        <v/>
      </c>
      <c r="E173" s="17" t="str">
        <f>IF(D173="","",D173*'02_Eingaben'!$C$8)</f>
        <v/>
      </c>
      <c r="F173" s="17" t="str">
        <f>IF(E173="","",AVERAGE(INDEX($E$2:$E$3001,MAX(1,ROW()-1-'02_Eingaben'!$C$17)):INDEX($E$2:$E$3001,MIN('02_Eingaben'!$C$21,ROW()-1+'02_Eingaben'!$C$17))))</f>
        <v/>
      </c>
      <c r="G173" s="17" t="str">
        <f>IF(F173="","",F173-'02_Eingaben'!$C$10)</f>
        <v/>
      </c>
      <c r="H173" t="str">
        <f>IF(F173="","",IF(F173&lt;'02_Eingaben'!$C$18*'02_Eingaben'!$C$10,1,0))</f>
        <v/>
      </c>
      <c r="I173" s="17" t="str">
        <f t="shared" si="2"/>
        <v/>
      </c>
      <c r="J173" s="17" t="str">
        <f>IF(B173="","",IF(B172&lt;'02_Eingaben'!$C$36,0,J172+I172/'02_Eingaben'!$C$8))</f>
        <v/>
      </c>
    </row>
    <row r="174" spans="1:10" x14ac:dyDescent="0.25">
      <c r="A174" t="str">
        <f>IF('01_Rohdaten'!A174="","",ROW()-1)</f>
        <v/>
      </c>
      <c r="B174" s="17" t="str">
        <f>IF('01_Rohdaten'!A174="","",'01_Rohdaten'!A174)</f>
        <v/>
      </c>
      <c r="C174" s="17" t="str">
        <f>IF(B174="","",INDEX('01_Rohdaten'!B174:D174,'02_Eingaben'!$C$13))</f>
        <v/>
      </c>
      <c r="D174" s="17" t="str">
        <f>IF(C174="","",C174*'02_Eingaben'!$C$15)</f>
        <v/>
      </c>
      <c r="E174" s="17" t="str">
        <f>IF(D174="","",D174*'02_Eingaben'!$C$8)</f>
        <v/>
      </c>
      <c r="F174" s="17" t="str">
        <f>IF(E174="","",AVERAGE(INDEX($E$2:$E$3001,MAX(1,ROW()-1-'02_Eingaben'!$C$17)):INDEX($E$2:$E$3001,MIN('02_Eingaben'!$C$21,ROW()-1+'02_Eingaben'!$C$17))))</f>
        <v/>
      </c>
      <c r="G174" s="17" t="str">
        <f>IF(F174="","",F174-'02_Eingaben'!$C$10)</f>
        <v/>
      </c>
      <c r="H174" t="str">
        <f>IF(F174="","",IF(F174&lt;'02_Eingaben'!$C$18*'02_Eingaben'!$C$10,1,0))</f>
        <v/>
      </c>
      <c r="I174" s="17" t="str">
        <f t="shared" si="2"/>
        <v/>
      </c>
      <c r="J174" s="17" t="str">
        <f>IF(B174="","",IF(B173&lt;'02_Eingaben'!$C$36,0,J173+I173/'02_Eingaben'!$C$8))</f>
        <v/>
      </c>
    </row>
    <row r="175" spans="1:10" x14ac:dyDescent="0.25">
      <c r="A175" t="str">
        <f>IF('01_Rohdaten'!A175="","",ROW()-1)</f>
        <v/>
      </c>
      <c r="B175" s="17" t="str">
        <f>IF('01_Rohdaten'!A175="","",'01_Rohdaten'!A175)</f>
        <v/>
      </c>
      <c r="C175" s="17" t="str">
        <f>IF(B175="","",INDEX('01_Rohdaten'!B175:D175,'02_Eingaben'!$C$13))</f>
        <v/>
      </c>
      <c r="D175" s="17" t="str">
        <f>IF(C175="","",C175*'02_Eingaben'!$C$15)</f>
        <v/>
      </c>
      <c r="E175" s="17" t="str">
        <f>IF(D175="","",D175*'02_Eingaben'!$C$8)</f>
        <v/>
      </c>
      <c r="F175" s="17" t="str">
        <f>IF(E175="","",AVERAGE(INDEX($E$2:$E$3001,MAX(1,ROW()-1-'02_Eingaben'!$C$17)):INDEX($E$2:$E$3001,MIN('02_Eingaben'!$C$21,ROW()-1+'02_Eingaben'!$C$17))))</f>
        <v/>
      </c>
      <c r="G175" s="17" t="str">
        <f>IF(F175="","",F175-'02_Eingaben'!$C$10)</f>
        <v/>
      </c>
      <c r="H175" t="str">
        <f>IF(F175="","",IF(F175&lt;'02_Eingaben'!$C$18*'02_Eingaben'!$C$10,1,0))</f>
        <v/>
      </c>
      <c r="I175" s="17" t="str">
        <f t="shared" si="2"/>
        <v/>
      </c>
      <c r="J175" s="17" t="str">
        <f>IF(B175="","",IF(B174&lt;'02_Eingaben'!$C$36,0,J174+I174/'02_Eingaben'!$C$8))</f>
        <v/>
      </c>
    </row>
    <row r="176" spans="1:10" x14ac:dyDescent="0.25">
      <c r="A176" t="str">
        <f>IF('01_Rohdaten'!A176="","",ROW()-1)</f>
        <v/>
      </c>
      <c r="B176" s="17" t="str">
        <f>IF('01_Rohdaten'!A176="","",'01_Rohdaten'!A176)</f>
        <v/>
      </c>
      <c r="C176" s="17" t="str">
        <f>IF(B176="","",INDEX('01_Rohdaten'!B176:D176,'02_Eingaben'!$C$13))</f>
        <v/>
      </c>
      <c r="D176" s="17" t="str">
        <f>IF(C176="","",C176*'02_Eingaben'!$C$15)</f>
        <v/>
      </c>
      <c r="E176" s="17" t="str">
        <f>IF(D176="","",D176*'02_Eingaben'!$C$8)</f>
        <v/>
      </c>
      <c r="F176" s="17" t="str">
        <f>IF(E176="","",AVERAGE(INDEX($E$2:$E$3001,MAX(1,ROW()-1-'02_Eingaben'!$C$17)):INDEX($E$2:$E$3001,MIN('02_Eingaben'!$C$21,ROW()-1+'02_Eingaben'!$C$17))))</f>
        <v/>
      </c>
      <c r="G176" s="17" t="str">
        <f>IF(F176="","",F176-'02_Eingaben'!$C$10)</f>
        <v/>
      </c>
      <c r="H176" t="str">
        <f>IF(F176="","",IF(F176&lt;'02_Eingaben'!$C$18*'02_Eingaben'!$C$10,1,0))</f>
        <v/>
      </c>
      <c r="I176" s="17" t="str">
        <f t="shared" si="2"/>
        <v/>
      </c>
      <c r="J176" s="17" t="str">
        <f>IF(B176="","",IF(B175&lt;'02_Eingaben'!$C$36,0,J175+I175/'02_Eingaben'!$C$8))</f>
        <v/>
      </c>
    </row>
    <row r="177" spans="1:10" x14ac:dyDescent="0.25">
      <c r="A177" t="str">
        <f>IF('01_Rohdaten'!A177="","",ROW()-1)</f>
        <v/>
      </c>
      <c r="B177" s="17" t="str">
        <f>IF('01_Rohdaten'!A177="","",'01_Rohdaten'!A177)</f>
        <v/>
      </c>
      <c r="C177" s="17" t="str">
        <f>IF(B177="","",INDEX('01_Rohdaten'!B177:D177,'02_Eingaben'!$C$13))</f>
        <v/>
      </c>
      <c r="D177" s="17" t="str">
        <f>IF(C177="","",C177*'02_Eingaben'!$C$15)</f>
        <v/>
      </c>
      <c r="E177" s="17" t="str">
        <f>IF(D177="","",D177*'02_Eingaben'!$C$8)</f>
        <v/>
      </c>
      <c r="F177" s="17" t="str">
        <f>IF(E177="","",AVERAGE(INDEX($E$2:$E$3001,MAX(1,ROW()-1-'02_Eingaben'!$C$17)):INDEX($E$2:$E$3001,MIN('02_Eingaben'!$C$21,ROW()-1+'02_Eingaben'!$C$17))))</f>
        <v/>
      </c>
      <c r="G177" s="17" t="str">
        <f>IF(F177="","",F177-'02_Eingaben'!$C$10)</f>
        <v/>
      </c>
      <c r="H177" t="str">
        <f>IF(F177="","",IF(F177&lt;'02_Eingaben'!$C$18*'02_Eingaben'!$C$10,1,0))</f>
        <v/>
      </c>
      <c r="I177" s="17" t="str">
        <f t="shared" si="2"/>
        <v/>
      </c>
      <c r="J177" s="17" t="str">
        <f>IF(B177="","",IF(B176&lt;'02_Eingaben'!$C$36,0,J176+I176/'02_Eingaben'!$C$8))</f>
        <v/>
      </c>
    </row>
    <row r="178" spans="1:10" x14ac:dyDescent="0.25">
      <c r="A178" t="str">
        <f>IF('01_Rohdaten'!A178="","",ROW()-1)</f>
        <v/>
      </c>
      <c r="B178" s="17" t="str">
        <f>IF('01_Rohdaten'!A178="","",'01_Rohdaten'!A178)</f>
        <v/>
      </c>
      <c r="C178" s="17" t="str">
        <f>IF(B178="","",INDEX('01_Rohdaten'!B178:D178,'02_Eingaben'!$C$13))</f>
        <v/>
      </c>
      <c r="D178" s="17" t="str">
        <f>IF(C178="","",C178*'02_Eingaben'!$C$15)</f>
        <v/>
      </c>
      <c r="E178" s="17" t="str">
        <f>IF(D178="","",D178*'02_Eingaben'!$C$8)</f>
        <v/>
      </c>
      <c r="F178" s="17" t="str">
        <f>IF(E178="","",AVERAGE(INDEX($E$2:$E$3001,MAX(1,ROW()-1-'02_Eingaben'!$C$17)):INDEX($E$2:$E$3001,MIN('02_Eingaben'!$C$21,ROW()-1+'02_Eingaben'!$C$17))))</f>
        <v/>
      </c>
      <c r="G178" s="17" t="str">
        <f>IF(F178="","",F178-'02_Eingaben'!$C$10)</f>
        <v/>
      </c>
      <c r="H178" t="str">
        <f>IF(F178="","",IF(F178&lt;'02_Eingaben'!$C$18*'02_Eingaben'!$C$10,1,0))</f>
        <v/>
      </c>
      <c r="I178" s="17" t="str">
        <f t="shared" si="2"/>
        <v/>
      </c>
      <c r="J178" s="17" t="str">
        <f>IF(B178="","",IF(B177&lt;'02_Eingaben'!$C$36,0,J177+I177/'02_Eingaben'!$C$8))</f>
        <v/>
      </c>
    </row>
    <row r="179" spans="1:10" x14ac:dyDescent="0.25">
      <c r="A179" t="str">
        <f>IF('01_Rohdaten'!A179="","",ROW()-1)</f>
        <v/>
      </c>
      <c r="B179" s="17" t="str">
        <f>IF('01_Rohdaten'!A179="","",'01_Rohdaten'!A179)</f>
        <v/>
      </c>
      <c r="C179" s="17" t="str">
        <f>IF(B179="","",INDEX('01_Rohdaten'!B179:D179,'02_Eingaben'!$C$13))</f>
        <v/>
      </c>
      <c r="D179" s="17" t="str">
        <f>IF(C179="","",C179*'02_Eingaben'!$C$15)</f>
        <v/>
      </c>
      <c r="E179" s="17" t="str">
        <f>IF(D179="","",D179*'02_Eingaben'!$C$8)</f>
        <v/>
      </c>
      <c r="F179" s="17" t="str">
        <f>IF(E179="","",AVERAGE(INDEX($E$2:$E$3001,MAX(1,ROW()-1-'02_Eingaben'!$C$17)):INDEX($E$2:$E$3001,MIN('02_Eingaben'!$C$21,ROW()-1+'02_Eingaben'!$C$17))))</f>
        <v/>
      </c>
      <c r="G179" s="17" t="str">
        <f>IF(F179="","",F179-'02_Eingaben'!$C$10)</f>
        <v/>
      </c>
      <c r="H179" t="str">
        <f>IF(F179="","",IF(F179&lt;'02_Eingaben'!$C$18*'02_Eingaben'!$C$10,1,0))</f>
        <v/>
      </c>
      <c r="I179" s="17" t="str">
        <f t="shared" si="2"/>
        <v/>
      </c>
      <c r="J179" s="17" t="str">
        <f>IF(B179="","",IF(B178&lt;'02_Eingaben'!$C$36,0,J178+I178/'02_Eingaben'!$C$8))</f>
        <v/>
      </c>
    </row>
    <row r="180" spans="1:10" x14ac:dyDescent="0.25">
      <c r="A180" t="str">
        <f>IF('01_Rohdaten'!A180="","",ROW()-1)</f>
        <v/>
      </c>
      <c r="B180" s="17" t="str">
        <f>IF('01_Rohdaten'!A180="","",'01_Rohdaten'!A180)</f>
        <v/>
      </c>
      <c r="C180" s="17" t="str">
        <f>IF(B180="","",INDEX('01_Rohdaten'!B180:D180,'02_Eingaben'!$C$13))</f>
        <v/>
      </c>
      <c r="D180" s="17" t="str">
        <f>IF(C180="","",C180*'02_Eingaben'!$C$15)</f>
        <v/>
      </c>
      <c r="E180" s="17" t="str">
        <f>IF(D180="","",D180*'02_Eingaben'!$C$8)</f>
        <v/>
      </c>
      <c r="F180" s="17" t="str">
        <f>IF(E180="","",AVERAGE(INDEX($E$2:$E$3001,MAX(1,ROW()-1-'02_Eingaben'!$C$17)):INDEX($E$2:$E$3001,MIN('02_Eingaben'!$C$21,ROW()-1+'02_Eingaben'!$C$17))))</f>
        <v/>
      </c>
      <c r="G180" s="17" t="str">
        <f>IF(F180="","",F180-'02_Eingaben'!$C$10)</f>
        <v/>
      </c>
      <c r="H180" t="str">
        <f>IF(F180="","",IF(F180&lt;'02_Eingaben'!$C$18*'02_Eingaben'!$C$10,1,0))</f>
        <v/>
      </c>
      <c r="I180" s="17" t="str">
        <f t="shared" si="2"/>
        <v/>
      </c>
      <c r="J180" s="17" t="str">
        <f>IF(B180="","",IF(B179&lt;'02_Eingaben'!$C$36,0,J179+I179/'02_Eingaben'!$C$8))</f>
        <v/>
      </c>
    </row>
    <row r="181" spans="1:10" x14ac:dyDescent="0.25">
      <c r="A181" t="str">
        <f>IF('01_Rohdaten'!A181="","",ROW()-1)</f>
        <v/>
      </c>
      <c r="B181" s="17" t="str">
        <f>IF('01_Rohdaten'!A181="","",'01_Rohdaten'!A181)</f>
        <v/>
      </c>
      <c r="C181" s="17" t="str">
        <f>IF(B181="","",INDEX('01_Rohdaten'!B181:D181,'02_Eingaben'!$C$13))</f>
        <v/>
      </c>
      <c r="D181" s="17" t="str">
        <f>IF(C181="","",C181*'02_Eingaben'!$C$15)</f>
        <v/>
      </c>
      <c r="E181" s="17" t="str">
        <f>IF(D181="","",D181*'02_Eingaben'!$C$8)</f>
        <v/>
      </c>
      <c r="F181" s="17" t="str">
        <f>IF(E181="","",AVERAGE(INDEX($E$2:$E$3001,MAX(1,ROW()-1-'02_Eingaben'!$C$17)):INDEX($E$2:$E$3001,MIN('02_Eingaben'!$C$21,ROW()-1+'02_Eingaben'!$C$17))))</f>
        <v/>
      </c>
      <c r="G181" s="17" t="str">
        <f>IF(F181="","",F181-'02_Eingaben'!$C$10)</f>
        <v/>
      </c>
      <c r="H181" t="str">
        <f>IF(F181="","",IF(F181&lt;'02_Eingaben'!$C$18*'02_Eingaben'!$C$10,1,0))</f>
        <v/>
      </c>
      <c r="I181" s="17" t="str">
        <f t="shared" si="2"/>
        <v/>
      </c>
      <c r="J181" s="17" t="str">
        <f>IF(B181="","",IF(B180&lt;'02_Eingaben'!$C$36,0,J180+I180/'02_Eingaben'!$C$8))</f>
        <v/>
      </c>
    </row>
    <row r="182" spans="1:10" x14ac:dyDescent="0.25">
      <c r="A182" t="str">
        <f>IF('01_Rohdaten'!A182="","",ROW()-1)</f>
        <v/>
      </c>
      <c r="B182" s="17" t="str">
        <f>IF('01_Rohdaten'!A182="","",'01_Rohdaten'!A182)</f>
        <v/>
      </c>
      <c r="C182" s="17" t="str">
        <f>IF(B182="","",INDEX('01_Rohdaten'!B182:D182,'02_Eingaben'!$C$13))</f>
        <v/>
      </c>
      <c r="D182" s="17" t="str">
        <f>IF(C182="","",C182*'02_Eingaben'!$C$15)</f>
        <v/>
      </c>
      <c r="E182" s="17" t="str">
        <f>IF(D182="","",D182*'02_Eingaben'!$C$8)</f>
        <v/>
      </c>
      <c r="F182" s="17" t="str">
        <f>IF(E182="","",AVERAGE(INDEX($E$2:$E$3001,MAX(1,ROW()-1-'02_Eingaben'!$C$17)):INDEX($E$2:$E$3001,MIN('02_Eingaben'!$C$21,ROW()-1+'02_Eingaben'!$C$17))))</f>
        <v/>
      </c>
      <c r="G182" s="17" t="str">
        <f>IF(F182="","",F182-'02_Eingaben'!$C$10)</f>
        <v/>
      </c>
      <c r="H182" t="str">
        <f>IF(F182="","",IF(F182&lt;'02_Eingaben'!$C$18*'02_Eingaben'!$C$10,1,0))</f>
        <v/>
      </c>
      <c r="I182" s="17" t="str">
        <f t="shared" si="2"/>
        <v/>
      </c>
      <c r="J182" s="17" t="str">
        <f>IF(B182="","",IF(B181&lt;'02_Eingaben'!$C$36,0,J181+I181/'02_Eingaben'!$C$8))</f>
        <v/>
      </c>
    </row>
    <row r="183" spans="1:10" x14ac:dyDescent="0.25">
      <c r="A183" t="str">
        <f>IF('01_Rohdaten'!A183="","",ROW()-1)</f>
        <v/>
      </c>
      <c r="B183" s="17" t="str">
        <f>IF('01_Rohdaten'!A183="","",'01_Rohdaten'!A183)</f>
        <v/>
      </c>
      <c r="C183" s="17" t="str">
        <f>IF(B183="","",INDEX('01_Rohdaten'!B183:D183,'02_Eingaben'!$C$13))</f>
        <v/>
      </c>
      <c r="D183" s="17" t="str">
        <f>IF(C183="","",C183*'02_Eingaben'!$C$15)</f>
        <v/>
      </c>
      <c r="E183" s="17" t="str">
        <f>IF(D183="","",D183*'02_Eingaben'!$C$8)</f>
        <v/>
      </c>
      <c r="F183" s="17" t="str">
        <f>IF(E183="","",AVERAGE(INDEX($E$2:$E$3001,MAX(1,ROW()-1-'02_Eingaben'!$C$17)):INDEX($E$2:$E$3001,MIN('02_Eingaben'!$C$21,ROW()-1+'02_Eingaben'!$C$17))))</f>
        <v/>
      </c>
      <c r="G183" s="17" t="str">
        <f>IF(F183="","",F183-'02_Eingaben'!$C$10)</f>
        <v/>
      </c>
      <c r="H183" t="str">
        <f>IF(F183="","",IF(F183&lt;'02_Eingaben'!$C$18*'02_Eingaben'!$C$10,1,0))</f>
        <v/>
      </c>
      <c r="I183" s="17" t="str">
        <f t="shared" si="2"/>
        <v/>
      </c>
      <c r="J183" s="17" t="str">
        <f>IF(B183="","",IF(B182&lt;'02_Eingaben'!$C$36,0,J182+I182/'02_Eingaben'!$C$8))</f>
        <v/>
      </c>
    </row>
    <row r="184" spans="1:10" x14ac:dyDescent="0.25">
      <c r="A184" t="str">
        <f>IF('01_Rohdaten'!A184="","",ROW()-1)</f>
        <v/>
      </c>
      <c r="B184" s="17" t="str">
        <f>IF('01_Rohdaten'!A184="","",'01_Rohdaten'!A184)</f>
        <v/>
      </c>
      <c r="C184" s="17" t="str">
        <f>IF(B184="","",INDEX('01_Rohdaten'!B184:D184,'02_Eingaben'!$C$13))</f>
        <v/>
      </c>
      <c r="D184" s="17" t="str">
        <f>IF(C184="","",C184*'02_Eingaben'!$C$15)</f>
        <v/>
      </c>
      <c r="E184" s="17" t="str">
        <f>IF(D184="","",D184*'02_Eingaben'!$C$8)</f>
        <v/>
      </c>
      <c r="F184" s="17" t="str">
        <f>IF(E184="","",AVERAGE(INDEX($E$2:$E$3001,MAX(1,ROW()-1-'02_Eingaben'!$C$17)):INDEX($E$2:$E$3001,MIN('02_Eingaben'!$C$21,ROW()-1+'02_Eingaben'!$C$17))))</f>
        <v/>
      </c>
      <c r="G184" s="17" t="str">
        <f>IF(F184="","",F184-'02_Eingaben'!$C$10)</f>
        <v/>
      </c>
      <c r="H184" t="str">
        <f>IF(F184="","",IF(F184&lt;'02_Eingaben'!$C$18*'02_Eingaben'!$C$10,1,0))</f>
        <v/>
      </c>
      <c r="I184" s="17" t="str">
        <f t="shared" si="2"/>
        <v/>
      </c>
      <c r="J184" s="17" t="str">
        <f>IF(B184="","",IF(B183&lt;'02_Eingaben'!$C$36,0,J183+I183/'02_Eingaben'!$C$8))</f>
        <v/>
      </c>
    </row>
    <row r="185" spans="1:10" x14ac:dyDescent="0.25">
      <c r="A185" t="str">
        <f>IF('01_Rohdaten'!A185="","",ROW()-1)</f>
        <v/>
      </c>
      <c r="B185" s="17" t="str">
        <f>IF('01_Rohdaten'!A185="","",'01_Rohdaten'!A185)</f>
        <v/>
      </c>
      <c r="C185" s="17" t="str">
        <f>IF(B185="","",INDEX('01_Rohdaten'!B185:D185,'02_Eingaben'!$C$13))</f>
        <v/>
      </c>
      <c r="D185" s="17" t="str">
        <f>IF(C185="","",C185*'02_Eingaben'!$C$15)</f>
        <v/>
      </c>
      <c r="E185" s="17" t="str">
        <f>IF(D185="","",D185*'02_Eingaben'!$C$8)</f>
        <v/>
      </c>
      <c r="F185" s="17" t="str">
        <f>IF(E185="","",AVERAGE(INDEX($E$2:$E$3001,MAX(1,ROW()-1-'02_Eingaben'!$C$17)):INDEX($E$2:$E$3001,MIN('02_Eingaben'!$C$21,ROW()-1+'02_Eingaben'!$C$17))))</f>
        <v/>
      </c>
      <c r="G185" s="17" t="str">
        <f>IF(F185="","",F185-'02_Eingaben'!$C$10)</f>
        <v/>
      </c>
      <c r="H185" t="str">
        <f>IF(F185="","",IF(F185&lt;'02_Eingaben'!$C$18*'02_Eingaben'!$C$10,1,0))</f>
        <v/>
      </c>
      <c r="I185" s="17" t="str">
        <f t="shared" si="2"/>
        <v/>
      </c>
      <c r="J185" s="17" t="str">
        <f>IF(B185="","",IF(B184&lt;'02_Eingaben'!$C$36,0,J184+I184/'02_Eingaben'!$C$8))</f>
        <v/>
      </c>
    </row>
    <row r="186" spans="1:10" x14ac:dyDescent="0.25">
      <c r="A186" t="str">
        <f>IF('01_Rohdaten'!A186="","",ROW()-1)</f>
        <v/>
      </c>
      <c r="B186" s="17" t="str">
        <f>IF('01_Rohdaten'!A186="","",'01_Rohdaten'!A186)</f>
        <v/>
      </c>
      <c r="C186" s="17" t="str">
        <f>IF(B186="","",INDEX('01_Rohdaten'!B186:D186,'02_Eingaben'!$C$13))</f>
        <v/>
      </c>
      <c r="D186" s="17" t="str">
        <f>IF(C186="","",C186*'02_Eingaben'!$C$15)</f>
        <v/>
      </c>
      <c r="E186" s="17" t="str">
        <f>IF(D186="","",D186*'02_Eingaben'!$C$8)</f>
        <v/>
      </c>
      <c r="F186" s="17" t="str">
        <f>IF(E186="","",AVERAGE(INDEX($E$2:$E$3001,MAX(1,ROW()-1-'02_Eingaben'!$C$17)):INDEX($E$2:$E$3001,MIN('02_Eingaben'!$C$21,ROW()-1+'02_Eingaben'!$C$17))))</f>
        <v/>
      </c>
      <c r="G186" s="17" t="str">
        <f>IF(F186="","",F186-'02_Eingaben'!$C$10)</f>
        <v/>
      </c>
      <c r="H186" t="str">
        <f>IF(F186="","",IF(F186&lt;'02_Eingaben'!$C$18*'02_Eingaben'!$C$10,1,0))</f>
        <v/>
      </c>
      <c r="I186" s="17" t="str">
        <f t="shared" si="2"/>
        <v/>
      </c>
      <c r="J186" s="17" t="str">
        <f>IF(B186="","",IF(B185&lt;'02_Eingaben'!$C$36,0,J185+I185/'02_Eingaben'!$C$8))</f>
        <v/>
      </c>
    </row>
    <row r="187" spans="1:10" x14ac:dyDescent="0.25">
      <c r="A187" t="str">
        <f>IF('01_Rohdaten'!A187="","",ROW()-1)</f>
        <v/>
      </c>
      <c r="B187" s="17" t="str">
        <f>IF('01_Rohdaten'!A187="","",'01_Rohdaten'!A187)</f>
        <v/>
      </c>
      <c r="C187" s="17" t="str">
        <f>IF(B187="","",INDEX('01_Rohdaten'!B187:D187,'02_Eingaben'!$C$13))</f>
        <v/>
      </c>
      <c r="D187" s="17" t="str">
        <f>IF(C187="","",C187*'02_Eingaben'!$C$15)</f>
        <v/>
      </c>
      <c r="E187" s="17" t="str">
        <f>IF(D187="","",D187*'02_Eingaben'!$C$8)</f>
        <v/>
      </c>
      <c r="F187" s="17" t="str">
        <f>IF(E187="","",AVERAGE(INDEX($E$2:$E$3001,MAX(1,ROW()-1-'02_Eingaben'!$C$17)):INDEX($E$2:$E$3001,MIN('02_Eingaben'!$C$21,ROW()-1+'02_Eingaben'!$C$17))))</f>
        <v/>
      </c>
      <c r="G187" s="17" t="str">
        <f>IF(F187="","",F187-'02_Eingaben'!$C$10)</f>
        <v/>
      </c>
      <c r="H187" t="str">
        <f>IF(F187="","",IF(F187&lt;'02_Eingaben'!$C$18*'02_Eingaben'!$C$10,1,0))</f>
        <v/>
      </c>
      <c r="I187" s="17" t="str">
        <f t="shared" si="2"/>
        <v/>
      </c>
      <c r="J187" s="17" t="str">
        <f>IF(B187="","",IF(B186&lt;'02_Eingaben'!$C$36,0,J186+I186/'02_Eingaben'!$C$8))</f>
        <v/>
      </c>
    </row>
    <row r="188" spans="1:10" x14ac:dyDescent="0.25">
      <c r="A188" t="str">
        <f>IF('01_Rohdaten'!A188="","",ROW()-1)</f>
        <v/>
      </c>
      <c r="B188" s="17" t="str">
        <f>IF('01_Rohdaten'!A188="","",'01_Rohdaten'!A188)</f>
        <v/>
      </c>
      <c r="C188" s="17" t="str">
        <f>IF(B188="","",INDEX('01_Rohdaten'!B188:D188,'02_Eingaben'!$C$13))</f>
        <v/>
      </c>
      <c r="D188" s="17" t="str">
        <f>IF(C188="","",C188*'02_Eingaben'!$C$15)</f>
        <v/>
      </c>
      <c r="E188" s="17" t="str">
        <f>IF(D188="","",D188*'02_Eingaben'!$C$8)</f>
        <v/>
      </c>
      <c r="F188" s="17" t="str">
        <f>IF(E188="","",AVERAGE(INDEX($E$2:$E$3001,MAX(1,ROW()-1-'02_Eingaben'!$C$17)):INDEX($E$2:$E$3001,MIN('02_Eingaben'!$C$21,ROW()-1+'02_Eingaben'!$C$17))))</f>
        <v/>
      </c>
      <c r="G188" s="17" t="str">
        <f>IF(F188="","",F188-'02_Eingaben'!$C$10)</f>
        <v/>
      </c>
      <c r="H188" t="str">
        <f>IF(F188="","",IF(F188&lt;'02_Eingaben'!$C$18*'02_Eingaben'!$C$10,1,0))</f>
        <v/>
      </c>
      <c r="I188" s="17" t="str">
        <f t="shared" si="2"/>
        <v/>
      </c>
      <c r="J188" s="17" t="str">
        <f>IF(B188="","",IF(B187&lt;'02_Eingaben'!$C$36,0,J187+I187/'02_Eingaben'!$C$8))</f>
        <v/>
      </c>
    </row>
    <row r="189" spans="1:10" x14ac:dyDescent="0.25">
      <c r="A189" t="str">
        <f>IF('01_Rohdaten'!A189="","",ROW()-1)</f>
        <v/>
      </c>
      <c r="B189" s="17" t="str">
        <f>IF('01_Rohdaten'!A189="","",'01_Rohdaten'!A189)</f>
        <v/>
      </c>
      <c r="C189" s="17" t="str">
        <f>IF(B189="","",INDEX('01_Rohdaten'!B189:D189,'02_Eingaben'!$C$13))</f>
        <v/>
      </c>
      <c r="D189" s="17" t="str">
        <f>IF(C189="","",C189*'02_Eingaben'!$C$15)</f>
        <v/>
      </c>
      <c r="E189" s="17" t="str">
        <f>IF(D189="","",D189*'02_Eingaben'!$C$8)</f>
        <v/>
      </c>
      <c r="F189" s="17" t="str">
        <f>IF(E189="","",AVERAGE(INDEX($E$2:$E$3001,MAX(1,ROW()-1-'02_Eingaben'!$C$17)):INDEX($E$2:$E$3001,MIN('02_Eingaben'!$C$21,ROW()-1+'02_Eingaben'!$C$17))))</f>
        <v/>
      </c>
      <c r="G189" s="17" t="str">
        <f>IF(F189="","",F189-'02_Eingaben'!$C$10)</f>
        <v/>
      </c>
      <c r="H189" t="str">
        <f>IF(F189="","",IF(F189&lt;'02_Eingaben'!$C$18*'02_Eingaben'!$C$10,1,0))</f>
        <v/>
      </c>
      <c r="I189" s="17" t="str">
        <f t="shared" si="2"/>
        <v/>
      </c>
      <c r="J189" s="17" t="str">
        <f>IF(B189="","",IF(B188&lt;'02_Eingaben'!$C$36,0,J188+I188/'02_Eingaben'!$C$8))</f>
        <v/>
      </c>
    </row>
    <row r="190" spans="1:10" x14ac:dyDescent="0.25">
      <c r="A190" t="str">
        <f>IF('01_Rohdaten'!A190="","",ROW()-1)</f>
        <v/>
      </c>
      <c r="B190" s="17" t="str">
        <f>IF('01_Rohdaten'!A190="","",'01_Rohdaten'!A190)</f>
        <v/>
      </c>
      <c r="C190" s="17" t="str">
        <f>IF(B190="","",INDEX('01_Rohdaten'!B190:D190,'02_Eingaben'!$C$13))</f>
        <v/>
      </c>
      <c r="D190" s="17" t="str">
        <f>IF(C190="","",C190*'02_Eingaben'!$C$15)</f>
        <v/>
      </c>
      <c r="E190" s="17" t="str">
        <f>IF(D190="","",D190*'02_Eingaben'!$C$8)</f>
        <v/>
      </c>
      <c r="F190" s="17" t="str">
        <f>IF(E190="","",AVERAGE(INDEX($E$2:$E$3001,MAX(1,ROW()-1-'02_Eingaben'!$C$17)):INDEX($E$2:$E$3001,MIN('02_Eingaben'!$C$21,ROW()-1+'02_Eingaben'!$C$17))))</f>
        <v/>
      </c>
      <c r="G190" s="17" t="str">
        <f>IF(F190="","",F190-'02_Eingaben'!$C$10)</f>
        <v/>
      </c>
      <c r="H190" t="str">
        <f>IF(F190="","",IF(F190&lt;'02_Eingaben'!$C$18*'02_Eingaben'!$C$10,1,0))</f>
        <v/>
      </c>
      <c r="I190" s="17" t="str">
        <f t="shared" si="2"/>
        <v/>
      </c>
      <c r="J190" s="17" t="str">
        <f>IF(B190="","",IF(B189&lt;'02_Eingaben'!$C$36,0,J189+I189/'02_Eingaben'!$C$8))</f>
        <v/>
      </c>
    </row>
    <row r="191" spans="1:10" x14ac:dyDescent="0.25">
      <c r="A191" t="str">
        <f>IF('01_Rohdaten'!A191="","",ROW()-1)</f>
        <v/>
      </c>
      <c r="B191" s="17" t="str">
        <f>IF('01_Rohdaten'!A191="","",'01_Rohdaten'!A191)</f>
        <v/>
      </c>
      <c r="C191" s="17" t="str">
        <f>IF(B191="","",INDEX('01_Rohdaten'!B191:D191,'02_Eingaben'!$C$13))</f>
        <v/>
      </c>
      <c r="D191" s="17" t="str">
        <f>IF(C191="","",C191*'02_Eingaben'!$C$15)</f>
        <v/>
      </c>
      <c r="E191" s="17" t="str">
        <f>IF(D191="","",D191*'02_Eingaben'!$C$8)</f>
        <v/>
      </c>
      <c r="F191" s="17" t="str">
        <f>IF(E191="","",AVERAGE(INDEX($E$2:$E$3001,MAX(1,ROW()-1-'02_Eingaben'!$C$17)):INDEX($E$2:$E$3001,MIN('02_Eingaben'!$C$21,ROW()-1+'02_Eingaben'!$C$17))))</f>
        <v/>
      </c>
      <c r="G191" s="17" t="str">
        <f>IF(F191="","",F191-'02_Eingaben'!$C$10)</f>
        <v/>
      </c>
      <c r="H191" t="str">
        <f>IF(F191="","",IF(F191&lt;'02_Eingaben'!$C$18*'02_Eingaben'!$C$10,1,0))</f>
        <v/>
      </c>
      <c r="I191" s="17" t="str">
        <f t="shared" si="2"/>
        <v/>
      </c>
      <c r="J191" s="17" t="str">
        <f>IF(B191="","",IF(B190&lt;'02_Eingaben'!$C$36,0,J190+I190/'02_Eingaben'!$C$8))</f>
        <v/>
      </c>
    </row>
    <row r="192" spans="1:10" x14ac:dyDescent="0.25">
      <c r="A192" t="str">
        <f>IF('01_Rohdaten'!A192="","",ROW()-1)</f>
        <v/>
      </c>
      <c r="B192" s="17" t="str">
        <f>IF('01_Rohdaten'!A192="","",'01_Rohdaten'!A192)</f>
        <v/>
      </c>
      <c r="C192" s="17" t="str">
        <f>IF(B192="","",INDEX('01_Rohdaten'!B192:D192,'02_Eingaben'!$C$13))</f>
        <v/>
      </c>
      <c r="D192" s="17" t="str">
        <f>IF(C192="","",C192*'02_Eingaben'!$C$15)</f>
        <v/>
      </c>
      <c r="E192" s="17" t="str">
        <f>IF(D192="","",D192*'02_Eingaben'!$C$8)</f>
        <v/>
      </c>
      <c r="F192" s="17" t="str">
        <f>IF(E192="","",AVERAGE(INDEX($E$2:$E$3001,MAX(1,ROW()-1-'02_Eingaben'!$C$17)):INDEX($E$2:$E$3001,MIN('02_Eingaben'!$C$21,ROW()-1+'02_Eingaben'!$C$17))))</f>
        <v/>
      </c>
      <c r="G192" s="17" t="str">
        <f>IF(F192="","",F192-'02_Eingaben'!$C$10)</f>
        <v/>
      </c>
      <c r="H192" t="str">
        <f>IF(F192="","",IF(F192&lt;'02_Eingaben'!$C$18*'02_Eingaben'!$C$10,1,0))</f>
        <v/>
      </c>
      <c r="I192" s="17" t="str">
        <f t="shared" si="2"/>
        <v/>
      </c>
      <c r="J192" s="17" t="str">
        <f>IF(B192="","",IF(B191&lt;'02_Eingaben'!$C$36,0,J191+I191/'02_Eingaben'!$C$8))</f>
        <v/>
      </c>
    </row>
    <row r="193" spans="1:10" x14ac:dyDescent="0.25">
      <c r="A193" t="str">
        <f>IF('01_Rohdaten'!A193="","",ROW()-1)</f>
        <v/>
      </c>
      <c r="B193" s="17" t="str">
        <f>IF('01_Rohdaten'!A193="","",'01_Rohdaten'!A193)</f>
        <v/>
      </c>
      <c r="C193" s="17" t="str">
        <f>IF(B193="","",INDEX('01_Rohdaten'!B193:D193,'02_Eingaben'!$C$13))</f>
        <v/>
      </c>
      <c r="D193" s="17" t="str">
        <f>IF(C193="","",C193*'02_Eingaben'!$C$15)</f>
        <v/>
      </c>
      <c r="E193" s="17" t="str">
        <f>IF(D193="","",D193*'02_Eingaben'!$C$8)</f>
        <v/>
      </c>
      <c r="F193" s="17" t="str">
        <f>IF(E193="","",AVERAGE(INDEX($E$2:$E$3001,MAX(1,ROW()-1-'02_Eingaben'!$C$17)):INDEX($E$2:$E$3001,MIN('02_Eingaben'!$C$21,ROW()-1+'02_Eingaben'!$C$17))))</f>
        <v/>
      </c>
      <c r="G193" s="17" t="str">
        <f>IF(F193="","",F193-'02_Eingaben'!$C$10)</f>
        <v/>
      </c>
      <c r="H193" t="str">
        <f>IF(F193="","",IF(F193&lt;'02_Eingaben'!$C$18*'02_Eingaben'!$C$10,1,0))</f>
        <v/>
      </c>
      <c r="I193" s="17" t="str">
        <f t="shared" si="2"/>
        <v/>
      </c>
      <c r="J193" s="17" t="str">
        <f>IF(B193="","",IF(B192&lt;'02_Eingaben'!$C$36,0,J192+I192/'02_Eingaben'!$C$8))</f>
        <v/>
      </c>
    </row>
    <row r="194" spans="1:10" x14ac:dyDescent="0.25">
      <c r="A194" t="str">
        <f>IF('01_Rohdaten'!A194="","",ROW()-1)</f>
        <v/>
      </c>
      <c r="B194" s="17" t="str">
        <f>IF('01_Rohdaten'!A194="","",'01_Rohdaten'!A194)</f>
        <v/>
      </c>
      <c r="C194" s="17" t="str">
        <f>IF(B194="","",INDEX('01_Rohdaten'!B194:D194,'02_Eingaben'!$C$13))</f>
        <v/>
      </c>
      <c r="D194" s="17" t="str">
        <f>IF(C194="","",C194*'02_Eingaben'!$C$15)</f>
        <v/>
      </c>
      <c r="E194" s="17" t="str">
        <f>IF(D194="","",D194*'02_Eingaben'!$C$8)</f>
        <v/>
      </c>
      <c r="F194" s="17" t="str">
        <f>IF(E194="","",AVERAGE(INDEX($E$2:$E$3001,MAX(1,ROW()-1-'02_Eingaben'!$C$17)):INDEX($E$2:$E$3001,MIN('02_Eingaben'!$C$21,ROW()-1+'02_Eingaben'!$C$17))))</f>
        <v/>
      </c>
      <c r="G194" s="17" t="str">
        <f>IF(F194="","",F194-'02_Eingaben'!$C$10)</f>
        <v/>
      </c>
      <c r="H194" t="str">
        <f>IF(F194="","",IF(F194&lt;'02_Eingaben'!$C$18*'02_Eingaben'!$C$10,1,0))</f>
        <v/>
      </c>
      <c r="I194" s="17" t="str">
        <f t="shared" ref="I194:I257" si="3">IF(OR(G194="",G195=""),"",(G194+G195)/2*(B195-B194))</f>
        <v/>
      </c>
      <c r="J194" s="17" t="str">
        <f>IF(B194="","",IF(B193&lt;'02_Eingaben'!$C$36,0,J193+I193/'02_Eingaben'!$C$8))</f>
        <v/>
      </c>
    </row>
    <row r="195" spans="1:10" x14ac:dyDescent="0.25">
      <c r="A195" t="str">
        <f>IF('01_Rohdaten'!A195="","",ROW()-1)</f>
        <v/>
      </c>
      <c r="B195" s="17" t="str">
        <f>IF('01_Rohdaten'!A195="","",'01_Rohdaten'!A195)</f>
        <v/>
      </c>
      <c r="C195" s="17" t="str">
        <f>IF(B195="","",INDEX('01_Rohdaten'!B195:D195,'02_Eingaben'!$C$13))</f>
        <v/>
      </c>
      <c r="D195" s="17" t="str">
        <f>IF(C195="","",C195*'02_Eingaben'!$C$15)</f>
        <v/>
      </c>
      <c r="E195" s="17" t="str">
        <f>IF(D195="","",D195*'02_Eingaben'!$C$8)</f>
        <v/>
      </c>
      <c r="F195" s="17" t="str">
        <f>IF(E195="","",AVERAGE(INDEX($E$2:$E$3001,MAX(1,ROW()-1-'02_Eingaben'!$C$17)):INDEX($E$2:$E$3001,MIN('02_Eingaben'!$C$21,ROW()-1+'02_Eingaben'!$C$17))))</f>
        <v/>
      </c>
      <c r="G195" s="17" t="str">
        <f>IF(F195="","",F195-'02_Eingaben'!$C$10)</f>
        <v/>
      </c>
      <c r="H195" t="str">
        <f>IF(F195="","",IF(F195&lt;'02_Eingaben'!$C$18*'02_Eingaben'!$C$10,1,0))</f>
        <v/>
      </c>
      <c r="I195" s="17" t="str">
        <f t="shared" si="3"/>
        <v/>
      </c>
      <c r="J195" s="17" t="str">
        <f>IF(B195="","",IF(B194&lt;'02_Eingaben'!$C$36,0,J194+I194/'02_Eingaben'!$C$8))</f>
        <v/>
      </c>
    </row>
    <row r="196" spans="1:10" x14ac:dyDescent="0.25">
      <c r="A196" t="str">
        <f>IF('01_Rohdaten'!A196="","",ROW()-1)</f>
        <v/>
      </c>
      <c r="B196" s="17" t="str">
        <f>IF('01_Rohdaten'!A196="","",'01_Rohdaten'!A196)</f>
        <v/>
      </c>
      <c r="C196" s="17" t="str">
        <f>IF(B196="","",INDEX('01_Rohdaten'!B196:D196,'02_Eingaben'!$C$13))</f>
        <v/>
      </c>
      <c r="D196" s="17" t="str">
        <f>IF(C196="","",C196*'02_Eingaben'!$C$15)</f>
        <v/>
      </c>
      <c r="E196" s="17" t="str">
        <f>IF(D196="","",D196*'02_Eingaben'!$C$8)</f>
        <v/>
      </c>
      <c r="F196" s="17" t="str">
        <f>IF(E196="","",AVERAGE(INDEX($E$2:$E$3001,MAX(1,ROW()-1-'02_Eingaben'!$C$17)):INDEX($E$2:$E$3001,MIN('02_Eingaben'!$C$21,ROW()-1+'02_Eingaben'!$C$17))))</f>
        <v/>
      </c>
      <c r="G196" s="17" t="str">
        <f>IF(F196="","",F196-'02_Eingaben'!$C$10)</f>
        <v/>
      </c>
      <c r="H196" t="str">
        <f>IF(F196="","",IF(F196&lt;'02_Eingaben'!$C$18*'02_Eingaben'!$C$10,1,0))</f>
        <v/>
      </c>
      <c r="I196" s="17" t="str">
        <f t="shared" si="3"/>
        <v/>
      </c>
      <c r="J196" s="17" t="str">
        <f>IF(B196="","",IF(B195&lt;'02_Eingaben'!$C$36,0,J195+I195/'02_Eingaben'!$C$8))</f>
        <v/>
      </c>
    </row>
    <row r="197" spans="1:10" x14ac:dyDescent="0.25">
      <c r="A197" t="str">
        <f>IF('01_Rohdaten'!A197="","",ROW()-1)</f>
        <v/>
      </c>
      <c r="B197" s="17" t="str">
        <f>IF('01_Rohdaten'!A197="","",'01_Rohdaten'!A197)</f>
        <v/>
      </c>
      <c r="C197" s="17" t="str">
        <f>IF(B197="","",INDEX('01_Rohdaten'!B197:D197,'02_Eingaben'!$C$13))</f>
        <v/>
      </c>
      <c r="D197" s="17" t="str">
        <f>IF(C197="","",C197*'02_Eingaben'!$C$15)</f>
        <v/>
      </c>
      <c r="E197" s="17" t="str">
        <f>IF(D197="","",D197*'02_Eingaben'!$C$8)</f>
        <v/>
      </c>
      <c r="F197" s="17" t="str">
        <f>IF(E197="","",AVERAGE(INDEX($E$2:$E$3001,MAX(1,ROW()-1-'02_Eingaben'!$C$17)):INDEX($E$2:$E$3001,MIN('02_Eingaben'!$C$21,ROW()-1+'02_Eingaben'!$C$17))))</f>
        <v/>
      </c>
      <c r="G197" s="17" t="str">
        <f>IF(F197="","",F197-'02_Eingaben'!$C$10)</f>
        <v/>
      </c>
      <c r="H197" t="str">
        <f>IF(F197="","",IF(F197&lt;'02_Eingaben'!$C$18*'02_Eingaben'!$C$10,1,0))</f>
        <v/>
      </c>
      <c r="I197" s="17" t="str">
        <f t="shared" si="3"/>
        <v/>
      </c>
      <c r="J197" s="17" t="str">
        <f>IF(B197="","",IF(B196&lt;'02_Eingaben'!$C$36,0,J196+I196/'02_Eingaben'!$C$8))</f>
        <v/>
      </c>
    </row>
    <row r="198" spans="1:10" x14ac:dyDescent="0.25">
      <c r="A198" t="str">
        <f>IF('01_Rohdaten'!A198="","",ROW()-1)</f>
        <v/>
      </c>
      <c r="B198" s="17" t="str">
        <f>IF('01_Rohdaten'!A198="","",'01_Rohdaten'!A198)</f>
        <v/>
      </c>
      <c r="C198" s="17" t="str">
        <f>IF(B198="","",INDEX('01_Rohdaten'!B198:D198,'02_Eingaben'!$C$13))</f>
        <v/>
      </c>
      <c r="D198" s="17" t="str">
        <f>IF(C198="","",C198*'02_Eingaben'!$C$15)</f>
        <v/>
      </c>
      <c r="E198" s="17" t="str">
        <f>IF(D198="","",D198*'02_Eingaben'!$C$8)</f>
        <v/>
      </c>
      <c r="F198" s="17" t="str">
        <f>IF(E198="","",AVERAGE(INDEX($E$2:$E$3001,MAX(1,ROW()-1-'02_Eingaben'!$C$17)):INDEX($E$2:$E$3001,MIN('02_Eingaben'!$C$21,ROW()-1+'02_Eingaben'!$C$17))))</f>
        <v/>
      </c>
      <c r="G198" s="17" t="str">
        <f>IF(F198="","",F198-'02_Eingaben'!$C$10)</f>
        <v/>
      </c>
      <c r="H198" t="str">
        <f>IF(F198="","",IF(F198&lt;'02_Eingaben'!$C$18*'02_Eingaben'!$C$10,1,0))</f>
        <v/>
      </c>
      <c r="I198" s="17" t="str">
        <f t="shared" si="3"/>
        <v/>
      </c>
      <c r="J198" s="17" t="str">
        <f>IF(B198="","",IF(B197&lt;'02_Eingaben'!$C$36,0,J197+I197/'02_Eingaben'!$C$8))</f>
        <v/>
      </c>
    </row>
    <row r="199" spans="1:10" x14ac:dyDescent="0.25">
      <c r="A199" t="str">
        <f>IF('01_Rohdaten'!A199="","",ROW()-1)</f>
        <v/>
      </c>
      <c r="B199" s="17" t="str">
        <f>IF('01_Rohdaten'!A199="","",'01_Rohdaten'!A199)</f>
        <v/>
      </c>
      <c r="C199" s="17" t="str">
        <f>IF(B199="","",INDEX('01_Rohdaten'!B199:D199,'02_Eingaben'!$C$13))</f>
        <v/>
      </c>
      <c r="D199" s="17" t="str">
        <f>IF(C199="","",C199*'02_Eingaben'!$C$15)</f>
        <v/>
      </c>
      <c r="E199" s="17" t="str">
        <f>IF(D199="","",D199*'02_Eingaben'!$C$8)</f>
        <v/>
      </c>
      <c r="F199" s="17" t="str">
        <f>IF(E199="","",AVERAGE(INDEX($E$2:$E$3001,MAX(1,ROW()-1-'02_Eingaben'!$C$17)):INDEX($E$2:$E$3001,MIN('02_Eingaben'!$C$21,ROW()-1+'02_Eingaben'!$C$17))))</f>
        <v/>
      </c>
      <c r="G199" s="17" t="str">
        <f>IF(F199="","",F199-'02_Eingaben'!$C$10)</f>
        <v/>
      </c>
      <c r="H199" t="str">
        <f>IF(F199="","",IF(F199&lt;'02_Eingaben'!$C$18*'02_Eingaben'!$C$10,1,0))</f>
        <v/>
      </c>
      <c r="I199" s="17" t="str">
        <f t="shared" si="3"/>
        <v/>
      </c>
      <c r="J199" s="17" t="str">
        <f>IF(B199="","",IF(B198&lt;'02_Eingaben'!$C$36,0,J198+I198/'02_Eingaben'!$C$8))</f>
        <v/>
      </c>
    </row>
    <row r="200" spans="1:10" x14ac:dyDescent="0.25">
      <c r="A200" t="str">
        <f>IF('01_Rohdaten'!A200="","",ROW()-1)</f>
        <v/>
      </c>
      <c r="B200" s="17" t="str">
        <f>IF('01_Rohdaten'!A200="","",'01_Rohdaten'!A200)</f>
        <v/>
      </c>
      <c r="C200" s="17" t="str">
        <f>IF(B200="","",INDEX('01_Rohdaten'!B200:D200,'02_Eingaben'!$C$13))</f>
        <v/>
      </c>
      <c r="D200" s="17" t="str">
        <f>IF(C200="","",C200*'02_Eingaben'!$C$15)</f>
        <v/>
      </c>
      <c r="E200" s="17" t="str">
        <f>IF(D200="","",D200*'02_Eingaben'!$C$8)</f>
        <v/>
      </c>
      <c r="F200" s="17" t="str">
        <f>IF(E200="","",AVERAGE(INDEX($E$2:$E$3001,MAX(1,ROW()-1-'02_Eingaben'!$C$17)):INDEX($E$2:$E$3001,MIN('02_Eingaben'!$C$21,ROW()-1+'02_Eingaben'!$C$17))))</f>
        <v/>
      </c>
      <c r="G200" s="17" t="str">
        <f>IF(F200="","",F200-'02_Eingaben'!$C$10)</f>
        <v/>
      </c>
      <c r="H200" t="str">
        <f>IF(F200="","",IF(F200&lt;'02_Eingaben'!$C$18*'02_Eingaben'!$C$10,1,0))</f>
        <v/>
      </c>
      <c r="I200" s="17" t="str">
        <f t="shared" si="3"/>
        <v/>
      </c>
      <c r="J200" s="17" t="str">
        <f>IF(B200="","",IF(B199&lt;'02_Eingaben'!$C$36,0,J199+I199/'02_Eingaben'!$C$8))</f>
        <v/>
      </c>
    </row>
    <row r="201" spans="1:10" x14ac:dyDescent="0.25">
      <c r="A201" t="str">
        <f>IF('01_Rohdaten'!A201="","",ROW()-1)</f>
        <v/>
      </c>
      <c r="B201" s="17" t="str">
        <f>IF('01_Rohdaten'!A201="","",'01_Rohdaten'!A201)</f>
        <v/>
      </c>
      <c r="C201" s="17" t="str">
        <f>IF(B201="","",INDEX('01_Rohdaten'!B201:D201,'02_Eingaben'!$C$13))</f>
        <v/>
      </c>
      <c r="D201" s="17" t="str">
        <f>IF(C201="","",C201*'02_Eingaben'!$C$15)</f>
        <v/>
      </c>
      <c r="E201" s="17" t="str">
        <f>IF(D201="","",D201*'02_Eingaben'!$C$8)</f>
        <v/>
      </c>
      <c r="F201" s="17" t="str">
        <f>IF(E201="","",AVERAGE(INDEX($E$2:$E$3001,MAX(1,ROW()-1-'02_Eingaben'!$C$17)):INDEX($E$2:$E$3001,MIN('02_Eingaben'!$C$21,ROW()-1+'02_Eingaben'!$C$17))))</f>
        <v/>
      </c>
      <c r="G201" s="17" t="str">
        <f>IF(F201="","",F201-'02_Eingaben'!$C$10)</f>
        <v/>
      </c>
      <c r="H201" t="str">
        <f>IF(F201="","",IF(F201&lt;'02_Eingaben'!$C$18*'02_Eingaben'!$C$10,1,0))</f>
        <v/>
      </c>
      <c r="I201" s="17" t="str">
        <f t="shared" si="3"/>
        <v/>
      </c>
      <c r="J201" s="17" t="str">
        <f>IF(B201="","",IF(B200&lt;'02_Eingaben'!$C$36,0,J200+I200/'02_Eingaben'!$C$8))</f>
        <v/>
      </c>
    </row>
    <row r="202" spans="1:10" x14ac:dyDescent="0.25">
      <c r="A202" t="str">
        <f>IF('01_Rohdaten'!A202="","",ROW()-1)</f>
        <v/>
      </c>
      <c r="B202" s="17" t="str">
        <f>IF('01_Rohdaten'!A202="","",'01_Rohdaten'!A202)</f>
        <v/>
      </c>
      <c r="C202" s="17" t="str">
        <f>IF(B202="","",INDEX('01_Rohdaten'!B202:D202,'02_Eingaben'!$C$13))</f>
        <v/>
      </c>
      <c r="D202" s="17" t="str">
        <f>IF(C202="","",C202*'02_Eingaben'!$C$15)</f>
        <v/>
      </c>
      <c r="E202" s="17" t="str">
        <f>IF(D202="","",D202*'02_Eingaben'!$C$8)</f>
        <v/>
      </c>
      <c r="F202" s="17" t="str">
        <f>IF(E202="","",AVERAGE(INDEX($E$2:$E$3001,MAX(1,ROW()-1-'02_Eingaben'!$C$17)):INDEX($E$2:$E$3001,MIN('02_Eingaben'!$C$21,ROW()-1+'02_Eingaben'!$C$17))))</f>
        <v/>
      </c>
      <c r="G202" s="17" t="str">
        <f>IF(F202="","",F202-'02_Eingaben'!$C$10)</f>
        <v/>
      </c>
      <c r="H202" t="str">
        <f>IF(F202="","",IF(F202&lt;'02_Eingaben'!$C$18*'02_Eingaben'!$C$10,1,0))</f>
        <v/>
      </c>
      <c r="I202" s="17" t="str">
        <f t="shared" si="3"/>
        <v/>
      </c>
      <c r="J202" s="17" t="str">
        <f>IF(B202="","",IF(B201&lt;'02_Eingaben'!$C$36,0,J201+I201/'02_Eingaben'!$C$8))</f>
        <v/>
      </c>
    </row>
    <row r="203" spans="1:10" x14ac:dyDescent="0.25">
      <c r="A203" t="str">
        <f>IF('01_Rohdaten'!A203="","",ROW()-1)</f>
        <v/>
      </c>
      <c r="B203" s="17" t="str">
        <f>IF('01_Rohdaten'!A203="","",'01_Rohdaten'!A203)</f>
        <v/>
      </c>
      <c r="C203" s="17" t="str">
        <f>IF(B203="","",INDEX('01_Rohdaten'!B203:D203,'02_Eingaben'!$C$13))</f>
        <v/>
      </c>
      <c r="D203" s="17" t="str">
        <f>IF(C203="","",C203*'02_Eingaben'!$C$15)</f>
        <v/>
      </c>
      <c r="E203" s="17" t="str">
        <f>IF(D203="","",D203*'02_Eingaben'!$C$8)</f>
        <v/>
      </c>
      <c r="F203" s="17" t="str">
        <f>IF(E203="","",AVERAGE(INDEX($E$2:$E$3001,MAX(1,ROW()-1-'02_Eingaben'!$C$17)):INDEX($E$2:$E$3001,MIN('02_Eingaben'!$C$21,ROW()-1+'02_Eingaben'!$C$17))))</f>
        <v/>
      </c>
      <c r="G203" s="17" t="str">
        <f>IF(F203="","",F203-'02_Eingaben'!$C$10)</f>
        <v/>
      </c>
      <c r="H203" t="str">
        <f>IF(F203="","",IF(F203&lt;'02_Eingaben'!$C$18*'02_Eingaben'!$C$10,1,0))</f>
        <v/>
      </c>
      <c r="I203" s="17" t="str">
        <f t="shared" si="3"/>
        <v/>
      </c>
      <c r="J203" s="17" t="str">
        <f>IF(B203="","",IF(B202&lt;'02_Eingaben'!$C$36,0,J202+I202/'02_Eingaben'!$C$8))</f>
        <v/>
      </c>
    </row>
    <row r="204" spans="1:10" x14ac:dyDescent="0.25">
      <c r="A204" t="str">
        <f>IF('01_Rohdaten'!A204="","",ROW()-1)</f>
        <v/>
      </c>
      <c r="B204" s="17" t="str">
        <f>IF('01_Rohdaten'!A204="","",'01_Rohdaten'!A204)</f>
        <v/>
      </c>
      <c r="C204" s="17" t="str">
        <f>IF(B204="","",INDEX('01_Rohdaten'!B204:D204,'02_Eingaben'!$C$13))</f>
        <v/>
      </c>
      <c r="D204" s="17" t="str">
        <f>IF(C204="","",C204*'02_Eingaben'!$C$15)</f>
        <v/>
      </c>
      <c r="E204" s="17" t="str">
        <f>IF(D204="","",D204*'02_Eingaben'!$C$8)</f>
        <v/>
      </c>
      <c r="F204" s="17" t="str">
        <f>IF(E204="","",AVERAGE(INDEX($E$2:$E$3001,MAX(1,ROW()-1-'02_Eingaben'!$C$17)):INDEX($E$2:$E$3001,MIN('02_Eingaben'!$C$21,ROW()-1+'02_Eingaben'!$C$17))))</f>
        <v/>
      </c>
      <c r="G204" s="17" t="str">
        <f>IF(F204="","",F204-'02_Eingaben'!$C$10)</f>
        <v/>
      </c>
      <c r="H204" t="str">
        <f>IF(F204="","",IF(F204&lt;'02_Eingaben'!$C$18*'02_Eingaben'!$C$10,1,0))</f>
        <v/>
      </c>
      <c r="I204" s="17" t="str">
        <f t="shared" si="3"/>
        <v/>
      </c>
      <c r="J204" s="17" t="str">
        <f>IF(B204="","",IF(B203&lt;'02_Eingaben'!$C$36,0,J203+I203/'02_Eingaben'!$C$8))</f>
        <v/>
      </c>
    </row>
    <row r="205" spans="1:10" x14ac:dyDescent="0.25">
      <c r="A205" t="str">
        <f>IF('01_Rohdaten'!A205="","",ROW()-1)</f>
        <v/>
      </c>
      <c r="B205" s="17" t="str">
        <f>IF('01_Rohdaten'!A205="","",'01_Rohdaten'!A205)</f>
        <v/>
      </c>
      <c r="C205" s="17" t="str">
        <f>IF(B205="","",INDEX('01_Rohdaten'!B205:D205,'02_Eingaben'!$C$13))</f>
        <v/>
      </c>
      <c r="D205" s="17" t="str">
        <f>IF(C205="","",C205*'02_Eingaben'!$C$15)</f>
        <v/>
      </c>
      <c r="E205" s="17" t="str">
        <f>IF(D205="","",D205*'02_Eingaben'!$C$8)</f>
        <v/>
      </c>
      <c r="F205" s="17" t="str">
        <f>IF(E205="","",AVERAGE(INDEX($E$2:$E$3001,MAX(1,ROW()-1-'02_Eingaben'!$C$17)):INDEX($E$2:$E$3001,MIN('02_Eingaben'!$C$21,ROW()-1+'02_Eingaben'!$C$17))))</f>
        <v/>
      </c>
      <c r="G205" s="17" t="str">
        <f>IF(F205="","",F205-'02_Eingaben'!$C$10)</f>
        <v/>
      </c>
      <c r="H205" t="str">
        <f>IF(F205="","",IF(F205&lt;'02_Eingaben'!$C$18*'02_Eingaben'!$C$10,1,0))</f>
        <v/>
      </c>
      <c r="I205" s="17" t="str">
        <f t="shared" si="3"/>
        <v/>
      </c>
      <c r="J205" s="17" t="str">
        <f>IF(B205="","",IF(B204&lt;'02_Eingaben'!$C$36,0,J204+I204/'02_Eingaben'!$C$8))</f>
        <v/>
      </c>
    </row>
    <row r="206" spans="1:10" x14ac:dyDescent="0.25">
      <c r="A206" t="str">
        <f>IF('01_Rohdaten'!A206="","",ROW()-1)</f>
        <v/>
      </c>
      <c r="B206" s="17" t="str">
        <f>IF('01_Rohdaten'!A206="","",'01_Rohdaten'!A206)</f>
        <v/>
      </c>
      <c r="C206" s="17" t="str">
        <f>IF(B206="","",INDEX('01_Rohdaten'!B206:D206,'02_Eingaben'!$C$13))</f>
        <v/>
      </c>
      <c r="D206" s="17" t="str">
        <f>IF(C206="","",C206*'02_Eingaben'!$C$15)</f>
        <v/>
      </c>
      <c r="E206" s="17" t="str">
        <f>IF(D206="","",D206*'02_Eingaben'!$C$8)</f>
        <v/>
      </c>
      <c r="F206" s="17" t="str">
        <f>IF(E206="","",AVERAGE(INDEX($E$2:$E$3001,MAX(1,ROW()-1-'02_Eingaben'!$C$17)):INDEX($E$2:$E$3001,MIN('02_Eingaben'!$C$21,ROW()-1+'02_Eingaben'!$C$17))))</f>
        <v/>
      </c>
      <c r="G206" s="17" t="str">
        <f>IF(F206="","",F206-'02_Eingaben'!$C$10)</f>
        <v/>
      </c>
      <c r="H206" t="str">
        <f>IF(F206="","",IF(F206&lt;'02_Eingaben'!$C$18*'02_Eingaben'!$C$10,1,0))</f>
        <v/>
      </c>
      <c r="I206" s="17" t="str">
        <f t="shared" si="3"/>
        <v/>
      </c>
      <c r="J206" s="17" t="str">
        <f>IF(B206="","",IF(B205&lt;'02_Eingaben'!$C$36,0,J205+I205/'02_Eingaben'!$C$8))</f>
        <v/>
      </c>
    </row>
    <row r="207" spans="1:10" x14ac:dyDescent="0.25">
      <c r="A207" t="str">
        <f>IF('01_Rohdaten'!A207="","",ROW()-1)</f>
        <v/>
      </c>
      <c r="B207" s="17" t="str">
        <f>IF('01_Rohdaten'!A207="","",'01_Rohdaten'!A207)</f>
        <v/>
      </c>
      <c r="C207" s="17" t="str">
        <f>IF(B207="","",INDEX('01_Rohdaten'!B207:D207,'02_Eingaben'!$C$13))</f>
        <v/>
      </c>
      <c r="D207" s="17" t="str">
        <f>IF(C207="","",C207*'02_Eingaben'!$C$15)</f>
        <v/>
      </c>
      <c r="E207" s="17" t="str">
        <f>IF(D207="","",D207*'02_Eingaben'!$C$8)</f>
        <v/>
      </c>
      <c r="F207" s="17" t="str">
        <f>IF(E207="","",AVERAGE(INDEX($E$2:$E$3001,MAX(1,ROW()-1-'02_Eingaben'!$C$17)):INDEX($E$2:$E$3001,MIN('02_Eingaben'!$C$21,ROW()-1+'02_Eingaben'!$C$17))))</f>
        <v/>
      </c>
      <c r="G207" s="17" t="str">
        <f>IF(F207="","",F207-'02_Eingaben'!$C$10)</f>
        <v/>
      </c>
      <c r="H207" t="str">
        <f>IF(F207="","",IF(F207&lt;'02_Eingaben'!$C$18*'02_Eingaben'!$C$10,1,0))</f>
        <v/>
      </c>
      <c r="I207" s="17" t="str">
        <f t="shared" si="3"/>
        <v/>
      </c>
      <c r="J207" s="17" t="str">
        <f>IF(B207="","",IF(B206&lt;'02_Eingaben'!$C$36,0,J206+I206/'02_Eingaben'!$C$8))</f>
        <v/>
      </c>
    </row>
    <row r="208" spans="1:10" x14ac:dyDescent="0.25">
      <c r="A208" t="str">
        <f>IF('01_Rohdaten'!A208="","",ROW()-1)</f>
        <v/>
      </c>
      <c r="B208" s="17" t="str">
        <f>IF('01_Rohdaten'!A208="","",'01_Rohdaten'!A208)</f>
        <v/>
      </c>
      <c r="C208" s="17" t="str">
        <f>IF(B208="","",INDEX('01_Rohdaten'!B208:D208,'02_Eingaben'!$C$13))</f>
        <v/>
      </c>
      <c r="D208" s="17" t="str">
        <f>IF(C208="","",C208*'02_Eingaben'!$C$15)</f>
        <v/>
      </c>
      <c r="E208" s="17" t="str">
        <f>IF(D208="","",D208*'02_Eingaben'!$C$8)</f>
        <v/>
      </c>
      <c r="F208" s="17" t="str">
        <f>IF(E208="","",AVERAGE(INDEX($E$2:$E$3001,MAX(1,ROW()-1-'02_Eingaben'!$C$17)):INDEX($E$2:$E$3001,MIN('02_Eingaben'!$C$21,ROW()-1+'02_Eingaben'!$C$17))))</f>
        <v/>
      </c>
      <c r="G208" s="17" t="str">
        <f>IF(F208="","",F208-'02_Eingaben'!$C$10)</f>
        <v/>
      </c>
      <c r="H208" t="str">
        <f>IF(F208="","",IF(F208&lt;'02_Eingaben'!$C$18*'02_Eingaben'!$C$10,1,0))</f>
        <v/>
      </c>
      <c r="I208" s="17" t="str">
        <f t="shared" si="3"/>
        <v/>
      </c>
      <c r="J208" s="17" t="str">
        <f>IF(B208="","",IF(B207&lt;'02_Eingaben'!$C$36,0,J207+I207/'02_Eingaben'!$C$8))</f>
        <v/>
      </c>
    </row>
    <row r="209" spans="1:10" x14ac:dyDescent="0.25">
      <c r="A209" t="str">
        <f>IF('01_Rohdaten'!A209="","",ROW()-1)</f>
        <v/>
      </c>
      <c r="B209" s="17" t="str">
        <f>IF('01_Rohdaten'!A209="","",'01_Rohdaten'!A209)</f>
        <v/>
      </c>
      <c r="C209" s="17" t="str">
        <f>IF(B209="","",INDEX('01_Rohdaten'!B209:D209,'02_Eingaben'!$C$13))</f>
        <v/>
      </c>
      <c r="D209" s="17" t="str">
        <f>IF(C209="","",C209*'02_Eingaben'!$C$15)</f>
        <v/>
      </c>
      <c r="E209" s="17" t="str">
        <f>IF(D209="","",D209*'02_Eingaben'!$C$8)</f>
        <v/>
      </c>
      <c r="F209" s="17" t="str">
        <f>IF(E209="","",AVERAGE(INDEX($E$2:$E$3001,MAX(1,ROW()-1-'02_Eingaben'!$C$17)):INDEX($E$2:$E$3001,MIN('02_Eingaben'!$C$21,ROW()-1+'02_Eingaben'!$C$17))))</f>
        <v/>
      </c>
      <c r="G209" s="17" t="str">
        <f>IF(F209="","",F209-'02_Eingaben'!$C$10)</f>
        <v/>
      </c>
      <c r="H209" t="str">
        <f>IF(F209="","",IF(F209&lt;'02_Eingaben'!$C$18*'02_Eingaben'!$C$10,1,0))</f>
        <v/>
      </c>
      <c r="I209" s="17" t="str">
        <f t="shared" si="3"/>
        <v/>
      </c>
      <c r="J209" s="17" t="str">
        <f>IF(B209="","",IF(B208&lt;'02_Eingaben'!$C$36,0,J208+I208/'02_Eingaben'!$C$8))</f>
        <v/>
      </c>
    </row>
    <row r="210" spans="1:10" x14ac:dyDescent="0.25">
      <c r="A210" t="str">
        <f>IF('01_Rohdaten'!A210="","",ROW()-1)</f>
        <v/>
      </c>
      <c r="B210" s="17" t="str">
        <f>IF('01_Rohdaten'!A210="","",'01_Rohdaten'!A210)</f>
        <v/>
      </c>
      <c r="C210" s="17" t="str">
        <f>IF(B210="","",INDEX('01_Rohdaten'!B210:D210,'02_Eingaben'!$C$13))</f>
        <v/>
      </c>
      <c r="D210" s="17" t="str">
        <f>IF(C210="","",C210*'02_Eingaben'!$C$15)</f>
        <v/>
      </c>
      <c r="E210" s="17" t="str">
        <f>IF(D210="","",D210*'02_Eingaben'!$C$8)</f>
        <v/>
      </c>
      <c r="F210" s="17" t="str">
        <f>IF(E210="","",AVERAGE(INDEX($E$2:$E$3001,MAX(1,ROW()-1-'02_Eingaben'!$C$17)):INDEX($E$2:$E$3001,MIN('02_Eingaben'!$C$21,ROW()-1+'02_Eingaben'!$C$17))))</f>
        <v/>
      </c>
      <c r="G210" s="17" t="str">
        <f>IF(F210="","",F210-'02_Eingaben'!$C$10)</f>
        <v/>
      </c>
      <c r="H210" t="str">
        <f>IF(F210="","",IF(F210&lt;'02_Eingaben'!$C$18*'02_Eingaben'!$C$10,1,0))</f>
        <v/>
      </c>
      <c r="I210" s="17" t="str">
        <f t="shared" si="3"/>
        <v/>
      </c>
      <c r="J210" s="17" t="str">
        <f>IF(B210="","",IF(B209&lt;'02_Eingaben'!$C$36,0,J209+I209/'02_Eingaben'!$C$8))</f>
        <v/>
      </c>
    </row>
    <row r="211" spans="1:10" x14ac:dyDescent="0.25">
      <c r="A211" t="str">
        <f>IF('01_Rohdaten'!A211="","",ROW()-1)</f>
        <v/>
      </c>
      <c r="B211" s="17" t="str">
        <f>IF('01_Rohdaten'!A211="","",'01_Rohdaten'!A211)</f>
        <v/>
      </c>
      <c r="C211" s="17" t="str">
        <f>IF(B211="","",INDEX('01_Rohdaten'!B211:D211,'02_Eingaben'!$C$13))</f>
        <v/>
      </c>
      <c r="D211" s="17" t="str">
        <f>IF(C211="","",C211*'02_Eingaben'!$C$15)</f>
        <v/>
      </c>
      <c r="E211" s="17" t="str">
        <f>IF(D211="","",D211*'02_Eingaben'!$C$8)</f>
        <v/>
      </c>
      <c r="F211" s="17" t="str">
        <f>IF(E211="","",AVERAGE(INDEX($E$2:$E$3001,MAX(1,ROW()-1-'02_Eingaben'!$C$17)):INDEX($E$2:$E$3001,MIN('02_Eingaben'!$C$21,ROW()-1+'02_Eingaben'!$C$17))))</f>
        <v/>
      </c>
      <c r="G211" s="17" t="str">
        <f>IF(F211="","",F211-'02_Eingaben'!$C$10)</f>
        <v/>
      </c>
      <c r="H211" t="str">
        <f>IF(F211="","",IF(F211&lt;'02_Eingaben'!$C$18*'02_Eingaben'!$C$10,1,0))</f>
        <v/>
      </c>
      <c r="I211" s="17" t="str">
        <f t="shared" si="3"/>
        <v/>
      </c>
      <c r="J211" s="17" t="str">
        <f>IF(B211="","",IF(B210&lt;'02_Eingaben'!$C$36,0,J210+I210/'02_Eingaben'!$C$8))</f>
        <v/>
      </c>
    </row>
    <row r="212" spans="1:10" x14ac:dyDescent="0.25">
      <c r="A212" t="str">
        <f>IF('01_Rohdaten'!A212="","",ROW()-1)</f>
        <v/>
      </c>
      <c r="B212" s="17" t="str">
        <f>IF('01_Rohdaten'!A212="","",'01_Rohdaten'!A212)</f>
        <v/>
      </c>
      <c r="C212" s="17" t="str">
        <f>IF(B212="","",INDEX('01_Rohdaten'!B212:D212,'02_Eingaben'!$C$13))</f>
        <v/>
      </c>
      <c r="D212" s="17" t="str">
        <f>IF(C212="","",C212*'02_Eingaben'!$C$15)</f>
        <v/>
      </c>
      <c r="E212" s="17" t="str">
        <f>IF(D212="","",D212*'02_Eingaben'!$C$8)</f>
        <v/>
      </c>
      <c r="F212" s="17" t="str">
        <f>IF(E212="","",AVERAGE(INDEX($E$2:$E$3001,MAX(1,ROW()-1-'02_Eingaben'!$C$17)):INDEX($E$2:$E$3001,MIN('02_Eingaben'!$C$21,ROW()-1+'02_Eingaben'!$C$17))))</f>
        <v/>
      </c>
      <c r="G212" s="17" t="str">
        <f>IF(F212="","",F212-'02_Eingaben'!$C$10)</f>
        <v/>
      </c>
      <c r="H212" t="str">
        <f>IF(F212="","",IF(F212&lt;'02_Eingaben'!$C$18*'02_Eingaben'!$C$10,1,0))</f>
        <v/>
      </c>
      <c r="I212" s="17" t="str">
        <f t="shared" si="3"/>
        <v/>
      </c>
      <c r="J212" s="17" t="str">
        <f>IF(B212="","",IF(B211&lt;'02_Eingaben'!$C$36,0,J211+I211/'02_Eingaben'!$C$8))</f>
        <v/>
      </c>
    </row>
    <row r="213" spans="1:10" x14ac:dyDescent="0.25">
      <c r="A213" t="str">
        <f>IF('01_Rohdaten'!A213="","",ROW()-1)</f>
        <v/>
      </c>
      <c r="B213" s="17" t="str">
        <f>IF('01_Rohdaten'!A213="","",'01_Rohdaten'!A213)</f>
        <v/>
      </c>
      <c r="C213" s="17" t="str">
        <f>IF(B213="","",INDEX('01_Rohdaten'!B213:D213,'02_Eingaben'!$C$13))</f>
        <v/>
      </c>
      <c r="D213" s="17" t="str">
        <f>IF(C213="","",C213*'02_Eingaben'!$C$15)</f>
        <v/>
      </c>
      <c r="E213" s="17" t="str">
        <f>IF(D213="","",D213*'02_Eingaben'!$C$8)</f>
        <v/>
      </c>
      <c r="F213" s="17" t="str">
        <f>IF(E213="","",AVERAGE(INDEX($E$2:$E$3001,MAX(1,ROW()-1-'02_Eingaben'!$C$17)):INDEX($E$2:$E$3001,MIN('02_Eingaben'!$C$21,ROW()-1+'02_Eingaben'!$C$17))))</f>
        <v/>
      </c>
      <c r="G213" s="17" t="str">
        <f>IF(F213="","",F213-'02_Eingaben'!$C$10)</f>
        <v/>
      </c>
      <c r="H213" t="str">
        <f>IF(F213="","",IF(F213&lt;'02_Eingaben'!$C$18*'02_Eingaben'!$C$10,1,0))</f>
        <v/>
      </c>
      <c r="I213" s="17" t="str">
        <f t="shared" si="3"/>
        <v/>
      </c>
      <c r="J213" s="17" t="str">
        <f>IF(B213="","",IF(B212&lt;'02_Eingaben'!$C$36,0,J212+I212/'02_Eingaben'!$C$8))</f>
        <v/>
      </c>
    </row>
    <row r="214" spans="1:10" x14ac:dyDescent="0.25">
      <c r="A214" t="str">
        <f>IF('01_Rohdaten'!A214="","",ROW()-1)</f>
        <v/>
      </c>
      <c r="B214" s="17" t="str">
        <f>IF('01_Rohdaten'!A214="","",'01_Rohdaten'!A214)</f>
        <v/>
      </c>
      <c r="C214" s="17" t="str">
        <f>IF(B214="","",INDEX('01_Rohdaten'!B214:D214,'02_Eingaben'!$C$13))</f>
        <v/>
      </c>
      <c r="D214" s="17" t="str">
        <f>IF(C214="","",C214*'02_Eingaben'!$C$15)</f>
        <v/>
      </c>
      <c r="E214" s="17" t="str">
        <f>IF(D214="","",D214*'02_Eingaben'!$C$8)</f>
        <v/>
      </c>
      <c r="F214" s="17" t="str">
        <f>IF(E214="","",AVERAGE(INDEX($E$2:$E$3001,MAX(1,ROW()-1-'02_Eingaben'!$C$17)):INDEX($E$2:$E$3001,MIN('02_Eingaben'!$C$21,ROW()-1+'02_Eingaben'!$C$17))))</f>
        <v/>
      </c>
      <c r="G214" s="17" t="str">
        <f>IF(F214="","",F214-'02_Eingaben'!$C$10)</f>
        <v/>
      </c>
      <c r="H214" t="str">
        <f>IF(F214="","",IF(F214&lt;'02_Eingaben'!$C$18*'02_Eingaben'!$C$10,1,0))</f>
        <v/>
      </c>
      <c r="I214" s="17" t="str">
        <f t="shared" si="3"/>
        <v/>
      </c>
      <c r="J214" s="17" t="str">
        <f>IF(B214="","",IF(B213&lt;'02_Eingaben'!$C$36,0,J213+I213/'02_Eingaben'!$C$8))</f>
        <v/>
      </c>
    </row>
    <row r="215" spans="1:10" x14ac:dyDescent="0.25">
      <c r="A215" t="str">
        <f>IF('01_Rohdaten'!A215="","",ROW()-1)</f>
        <v/>
      </c>
      <c r="B215" s="17" t="str">
        <f>IF('01_Rohdaten'!A215="","",'01_Rohdaten'!A215)</f>
        <v/>
      </c>
      <c r="C215" s="17" t="str">
        <f>IF(B215="","",INDEX('01_Rohdaten'!B215:D215,'02_Eingaben'!$C$13))</f>
        <v/>
      </c>
      <c r="D215" s="17" t="str">
        <f>IF(C215="","",C215*'02_Eingaben'!$C$15)</f>
        <v/>
      </c>
      <c r="E215" s="17" t="str">
        <f>IF(D215="","",D215*'02_Eingaben'!$C$8)</f>
        <v/>
      </c>
      <c r="F215" s="17" t="str">
        <f>IF(E215="","",AVERAGE(INDEX($E$2:$E$3001,MAX(1,ROW()-1-'02_Eingaben'!$C$17)):INDEX($E$2:$E$3001,MIN('02_Eingaben'!$C$21,ROW()-1+'02_Eingaben'!$C$17))))</f>
        <v/>
      </c>
      <c r="G215" s="17" t="str">
        <f>IF(F215="","",F215-'02_Eingaben'!$C$10)</f>
        <v/>
      </c>
      <c r="H215" t="str">
        <f>IF(F215="","",IF(F215&lt;'02_Eingaben'!$C$18*'02_Eingaben'!$C$10,1,0))</f>
        <v/>
      </c>
      <c r="I215" s="17" t="str">
        <f t="shared" si="3"/>
        <v/>
      </c>
      <c r="J215" s="17" t="str">
        <f>IF(B215="","",IF(B214&lt;'02_Eingaben'!$C$36,0,J214+I214/'02_Eingaben'!$C$8))</f>
        <v/>
      </c>
    </row>
    <row r="216" spans="1:10" x14ac:dyDescent="0.25">
      <c r="A216" t="str">
        <f>IF('01_Rohdaten'!A216="","",ROW()-1)</f>
        <v/>
      </c>
      <c r="B216" s="17" t="str">
        <f>IF('01_Rohdaten'!A216="","",'01_Rohdaten'!A216)</f>
        <v/>
      </c>
      <c r="C216" s="17" t="str">
        <f>IF(B216="","",INDEX('01_Rohdaten'!B216:D216,'02_Eingaben'!$C$13))</f>
        <v/>
      </c>
      <c r="D216" s="17" t="str">
        <f>IF(C216="","",C216*'02_Eingaben'!$C$15)</f>
        <v/>
      </c>
      <c r="E216" s="17" t="str">
        <f>IF(D216="","",D216*'02_Eingaben'!$C$8)</f>
        <v/>
      </c>
      <c r="F216" s="17" t="str">
        <f>IF(E216="","",AVERAGE(INDEX($E$2:$E$3001,MAX(1,ROW()-1-'02_Eingaben'!$C$17)):INDEX($E$2:$E$3001,MIN('02_Eingaben'!$C$21,ROW()-1+'02_Eingaben'!$C$17))))</f>
        <v/>
      </c>
      <c r="G216" s="17" t="str">
        <f>IF(F216="","",F216-'02_Eingaben'!$C$10)</f>
        <v/>
      </c>
      <c r="H216" t="str">
        <f>IF(F216="","",IF(F216&lt;'02_Eingaben'!$C$18*'02_Eingaben'!$C$10,1,0))</f>
        <v/>
      </c>
      <c r="I216" s="17" t="str">
        <f t="shared" si="3"/>
        <v/>
      </c>
      <c r="J216" s="17" t="str">
        <f>IF(B216="","",IF(B215&lt;'02_Eingaben'!$C$36,0,J215+I215/'02_Eingaben'!$C$8))</f>
        <v/>
      </c>
    </row>
    <row r="217" spans="1:10" x14ac:dyDescent="0.25">
      <c r="A217" t="str">
        <f>IF('01_Rohdaten'!A217="","",ROW()-1)</f>
        <v/>
      </c>
      <c r="B217" s="17" t="str">
        <f>IF('01_Rohdaten'!A217="","",'01_Rohdaten'!A217)</f>
        <v/>
      </c>
      <c r="C217" s="17" t="str">
        <f>IF(B217="","",INDEX('01_Rohdaten'!B217:D217,'02_Eingaben'!$C$13))</f>
        <v/>
      </c>
      <c r="D217" s="17" t="str">
        <f>IF(C217="","",C217*'02_Eingaben'!$C$15)</f>
        <v/>
      </c>
      <c r="E217" s="17" t="str">
        <f>IF(D217="","",D217*'02_Eingaben'!$C$8)</f>
        <v/>
      </c>
      <c r="F217" s="17" t="str">
        <f>IF(E217="","",AVERAGE(INDEX($E$2:$E$3001,MAX(1,ROW()-1-'02_Eingaben'!$C$17)):INDEX($E$2:$E$3001,MIN('02_Eingaben'!$C$21,ROW()-1+'02_Eingaben'!$C$17))))</f>
        <v/>
      </c>
      <c r="G217" s="17" t="str">
        <f>IF(F217="","",F217-'02_Eingaben'!$C$10)</f>
        <v/>
      </c>
      <c r="H217" t="str">
        <f>IF(F217="","",IF(F217&lt;'02_Eingaben'!$C$18*'02_Eingaben'!$C$10,1,0))</f>
        <v/>
      </c>
      <c r="I217" s="17" t="str">
        <f t="shared" si="3"/>
        <v/>
      </c>
      <c r="J217" s="17" t="str">
        <f>IF(B217="","",IF(B216&lt;'02_Eingaben'!$C$36,0,J216+I216/'02_Eingaben'!$C$8))</f>
        <v/>
      </c>
    </row>
    <row r="218" spans="1:10" x14ac:dyDescent="0.25">
      <c r="A218" t="str">
        <f>IF('01_Rohdaten'!A218="","",ROW()-1)</f>
        <v/>
      </c>
      <c r="B218" s="17" t="str">
        <f>IF('01_Rohdaten'!A218="","",'01_Rohdaten'!A218)</f>
        <v/>
      </c>
      <c r="C218" s="17" t="str">
        <f>IF(B218="","",INDEX('01_Rohdaten'!B218:D218,'02_Eingaben'!$C$13))</f>
        <v/>
      </c>
      <c r="D218" s="17" t="str">
        <f>IF(C218="","",C218*'02_Eingaben'!$C$15)</f>
        <v/>
      </c>
      <c r="E218" s="17" t="str">
        <f>IF(D218="","",D218*'02_Eingaben'!$C$8)</f>
        <v/>
      </c>
      <c r="F218" s="17" t="str">
        <f>IF(E218="","",AVERAGE(INDEX($E$2:$E$3001,MAX(1,ROW()-1-'02_Eingaben'!$C$17)):INDEX($E$2:$E$3001,MIN('02_Eingaben'!$C$21,ROW()-1+'02_Eingaben'!$C$17))))</f>
        <v/>
      </c>
      <c r="G218" s="17" t="str">
        <f>IF(F218="","",F218-'02_Eingaben'!$C$10)</f>
        <v/>
      </c>
      <c r="H218" t="str">
        <f>IF(F218="","",IF(F218&lt;'02_Eingaben'!$C$18*'02_Eingaben'!$C$10,1,0))</f>
        <v/>
      </c>
      <c r="I218" s="17" t="str">
        <f t="shared" si="3"/>
        <v/>
      </c>
      <c r="J218" s="17" t="str">
        <f>IF(B218="","",IF(B217&lt;'02_Eingaben'!$C$36,0,J217+I217/'02_Eingaben'!$C$8))</f>
        <v/>
      </c>
    </row>
    <row r="219" spans="1:10" x14ac:dyDescent="0.25">
      <c r="A219" t="str">
        <f>IF('01_Rohdaten'!A219="","",ROW()-1)</f>
        <v/>
      </c>
      <c r="B219" s="17" t="str">
        <f>IF('01_Rohdaten'!A219="","",'01_Rohdaten'!A219)</f>
        <v/>
      </c>
      <c r="C219" s="17" t="str">
        <f>IF(B219="","",INDEX('01_Rohdaten'!B219:D219,'02_Eingaben'!$C$13))</f>
        <v/>
      </c>
      <c r="D219" s="17" t="str">
        <f>IF(C219="","",C219*'02_Eingaben'!$C$15)</f>
        <v/>
      </c>
      <c r="E219" s="17" t="str">
        <f>IF(D219="","",D219*'02_Eingaben'!$C$8)</f>
        <v/>
      </c>
      <c r="F219" s="17" t="str">
        <f>IF(E219="","",AVERAGE(INDEX($E$2:$E$3001,MAX(1,ROW()-1-'02_Eingaben'!$C$17)):INDEX($E$2:$E$3001,MIN('02_Eingaben'!$C$21,ROW()-1+'02_Eingaben'!$C$17))))</f>
        <v/>
      </c>
      <c r="G219" s="17" t="str">
        <f>IF(F219="","",F219-'02_Eingaben'!$C$10)</f>
        <v/>
      </c>
      <c r="H219" t="str">
        <f>IF(F219="","",IF(F219&lt;'02_Eingaben'!$C$18*'02_Eingaben'!$C$10,1,0))</f>
        <v/>
      </c>
      <c r="I219" s="17" t="str">
        <f t="shared" si="3"/>
        <v/>
      </c>
      <c r="J219" s="17" t="str">
        <f>IF(B219="","",IF(B218&lt;'02_Eingaben'!$C$36,0,J218+I218/'02_Eingaben'!$C$8))</f>
        <v/>
      </c>
    </row>
    <row r="220" spans="1:10" x14ac:dyDescent="0.25">
      <c r="A220" t="str">
        <f>IF('01_Rohdaten'!A220="","",ROW()-1)</f>
        <v/>
      </c>
      <c r="B220" s="17" t="str">
        <f>IF('01_Rohdaten'!A220="","",'01_Rohdaten'!A220)</f>
        <v/>
      </c>
      <c r="C220" s="17" t="str">
        <f>IF(B220="","",INDEX('01_Rohdaten'!B220:D220,'02_Eingaben'!$C$13))</f>
        <v/>
      </c>
      <c r="D220" s="17" t="str">
        <f>IF(C220="","",C220*'02_Eingaben'!$C$15)</f>
        <v/>
      </c>
      <c r="E220" s="17" t="str">
        <f>IF(D220="","",D220*'02_Eingaben'!$C$8)</f>
        <v/>
      </c>
      <c r="F220" s="17" t="str">
        <f>IF(E220="","",AVERAGE(INDEX($E$2:$E$3001,MAX(1,ROW()-1-'02_Eingaben'!$C$17)):INDEX($E$2:$E$3001,MIN('02_Eingaben'!$C$21,ROW()-1+'02_Eingaben'!$C$17))))</f>
        <v/>
      </c>
      <c r="G220" s="17" t="str">
        <f>IF(F220="","",F220-'02_Eingaben'!$C$10)</f>
        <v/>
      </c>
      <c r="H220" t="str">
        <f>IF(F220="","",IF(F220&lt;'02_Eingaben'!$C$18*'02_Eingaben'!$C$10,1,0))</f>
        <v/>
      </c>
      <c r="I220" s="17" t="str">
        <f t="shared" si="3"/>
        <v/>
      </c>
      <c r="J220" s="17" t="str">
        <f>IF(B220="","",IF(B219&lt;'02_Eingaben'!$C$36,0,J219+I219/'02_Eingaben'!$C$8))</f>
        <v/>
      </c>
    </row>
    <row r="221" spans="1:10" x14ac:dyDescent="0.25">
      <c r="A221" t="str">
        <f>IF('01_Rohdaten'!A221="","",ROW()-1)</f>
        <v/>
      </c>
      <c r="B221" s="17" t="str">
        <f>IF('01_Rohdaten'!A221="","",'01_Rohdaten'!A221)</f>
        <v/>
      </c>
      <c r="C221" s="17" t="str">
        <f>IF(B221="","",INDEX('01_Rohdaten'!B221:D221,'02_Eingaben'!$C$13))</f>
        <v/>
      </c>
      <c r="D221" s="17" t="str">
        <f>IF(C221="","",C221*'02_Eingaben'!$C$15)</f>
        <v/>
      </c>
      <c r="E221" s="17" t="str">
        <f>IF(D221="","",D221*'02_Eingaben'!$C$8)</f>
        <v/>
      </c>
      <c r="F221" s="17" t="str">
        <f>IF(E221="","",AVERAGE(INDEX($E$2:$E$3001,MAX(1,ROW()-1-'02_Eingaben'!$C$17)):INDEX($E$2:$E$3001,MIN('02_Eingaben'!$C$21,ROW()-1+'02_Eingaben'!$C$17))))</f>
        <v/>
      </c>
      <c r="G221" s="17" t="str">
        <f>IF(F221="","",F221-'02_Eingaben'!$C$10)</f>
        <v/>
      </c>
      <c r="H221" t="str">
        <f>IF(F221="","",IF(F221&lt;'02_Eingaben'!$C$18*'02_Eingaben'!$C$10,1,0))</f>
        <v/>
      </c>
      <c r="I221" s="17" t="str">
        <f t="shared" si="3"/>
        <v/>
      </c>
      <c r="J221" s="17" t="str">
        <f>IF(B221="","",IF(B220&lt;'02_Eingaben'!$C$36,0,J220+I220/'02_Eingaben'!$C$8))</f>
        <v/>
      </c>
    </row>
    <row r="222" spans="1:10" x14ac:dyDescent="0.25">
      <c r="A222" t="str">
        <f>IF('01_Rohdaten'!A222="","",ROW()-1)</f>
        <v/>
      </c>
      <c r="B222" s="17" t="str">
        <f>IF('01_Rohdaten'!A222="","",'01_Rohdaten'!A222)</f>
        <v/>
      </c>
      <c r="C222" s="17" t="str">
        <f>IF(B222="","",INDEX('01_Rohdaten'!B222:D222,'02_Eingaben'!$C$13))</f>
        <v/>
      </c>
      <c r="D222" s="17" t="str">
        <f>IF(C222="","",C222*'02_Eingaben'!$C$15)</f>
        <v/>
      </c>
      <c r="E222" s="17" t="str">
        <f>IF(D222="","",D222*'02_Eingaben'!$C$8)</f>
        <v/>
      </c>
      <c r="F222" s="17" t="str">
        <f>IF(E222="","",AVERAGE(INDEX($E$2:$E$3001,MAX(1,ROW()-1-'02_Eingaben'!$C$17)):INDEX($E$2:$E$3001,MIN('02_Eingaben'!$C$21,ROW()-1+'02_Eingaben'!$C$17))))</f>
        <v/>
      </c>
      <c r="G222" s="17" t="str">
        <f>IF(F222="","",F222-'02_Eingaben'!$C$10)</f>
        <v/>
      </c>
      <c r="H222" t="str">
        <f>IF(F222="","",IF(F222&lt;'02_Eingaben'!$C$18*'02_Eingaben'!$C$10,1,0))</f>
        <v/>
      </c>
      <c r="I222" s="17" t="str">
        <f t="shared" si="3"/>
        <v/>
      </c>
      <c r="J222" s="17" t="str">
        <f>IF(B222="","",IF(B221&lt;'02_Eingaben'!$C$36,0,J221+I221/'02_Eingaben'!$C$8))</f>
        <v/>
      </c>
    </row>
    <row r="223" spans="1:10" x14ac:dyDescent="0.25">
      <c r="A223" t="str">
        <f>IF('01_Rohdaten'!A223="","",ROW()-1)</f>
        <v/>
      </c>
      <c r="B223" s="17" t="str">
        <f>IF('01_Rohdaten'!A223="","",'01_Rohdaten'!A223)</f>
        <v/>
      </c>
      <c r="C223" s="17" t="str">
        <f>IF(B223="","",INDEX('01_Rohdaten'!B223:D223,'02_Eingaben'!$C$13))</f>
        <v/>
      </c>
      <c r="D223" s="17" t="str">
        <f>IF(C223="","",C223*'02_Eingaben'!$C$15)</f>
        <v/>
      </c>
      <c r="E223" s="17" t="str">
        <f>IF(D223="","",D223*'02_Eingaben'!$C$8)</f>
        <v/>
      </c>
      <c r="F223" s="17" t="str">
        <f>IF(E223="","",AVERAGE(INDEX($E$2:$E$3001,MAX(1,ROW()-1-'02_Eingaben'!$C$17)):INDEX($E$2:$E$3001,MIN('02_Eingaben'!$C$21,ROW()-1+'02_Eingaben'!$C$17))))</f>
        <v/>
      </c>
      <c r="G223" s="17" t="str">
        <f>IF(F223="","",F223-'02_Eingaben'!$C$10)</f>
        <v/>
      </c>
      <c r="H223" t="str">
        <f>IF(F223="","",IF(F223&lt;'02_Eingaben'!$C$18*'02_Eingaben'!$C$10,1,0))</f>
        <v/>
      </c>
      <c r="I223" s="17" t="str">
        <f t="shared" si="3"/>
        <v/>
      </c>
      <c r="J223" s="17" t="str">
        <f>IF(B223="","",IF(B222&lt;'02_Eingaben'!$C$36,0,J222+I222/'02_Eingaben'!$C$8))</f>
        <v/>
      </c>
    </row>
    <row r="224" spans="1:10" x14ac:dyDescent="0.25">
      <c r="A224" t="str">
        <f>IF('01_Rohdaten'!A224="","",ROW()-1)</f>
        <v/>
      </c>
      <c r="B224" s="17" t="str">
        <f>IF('01_Rohdaten'!A224="","",'01_Rohdaten'!A224)</f>
        <v/>
      </c>
      <c r="C224" s="17" t="str">
        <f>IF(B224="","",INDEX('01_Rohdaten'!B224:D224,'02_Eingaben'!$C$13))</f>
        <v/>
      </c>
      <c r="D224" s="17" t="str">
        <f>IF(C224="","",C224*'02_Eingaben'!$C$15)</f>
        <v/>
      </c>
      <c r="E224" s="17" t="str">
        <f>IF(D224="","",D224*'02_Eingaben'!$C$8)</f>
        <v/>
      </c>
      <c r="F224" s="17" t="str">
        <f>IF(E224="","",AVERAGE(INDEX($E$2:$E$3001,MAX(1,ROW()-1-'02_Eingaben'!$C$17)):INDEX($E$2:$E$3001,MIN('02_Eingaben'!$C$21,ROW()-1+'02_Eingaben'!$C$17))))</f>
        <v/>
      </c>
      <c r="G224" s="17" t="str">
        <f>IF(F224="","",F224-'02_Eingaben'!$C$10)</f>
        <v/>
      </c>
      <c r="H224" t="str">
        <f>IF(F224="","",IF(F224&lt;'02_Eingaben'!$C$18*'02_Eingaben'!$C$10,1,0))</f>
        <v/>
      </c>
      <c r="I224" s="17" t="str">
        <f t="shared" si="3"/>
        <v/>
      </c>
      <c r="J224" s="17" t="str">
        <f>IF(B224="","",IF(B223&lt;'02_Eingaben'!$C$36,0,J223+I223/'02_Eingaben'!$C$8))</f>
        <v/>
      </c>
    </row>
    <row r="225" spans="1:10" x14ac:dyDescent="0.25">
      <c r="A225" t="str">
        <f>IF('01_Rohdaten'!A225="","",ROW()-1)</f>
        <v/>
      </c>
      <c r="B225" s="17" t="str">
        <f>IF('01_Rohdaten'!A225="","",'01_Rohdaten'!A225)</f>
        <v/>
      </c>
      <c r="C225" s="17" t="str">
        <f>IF(B225="","",INDEX('01_Rohdaten'!B225:D225,'02_Eingaben'!$C$13))</f>
        <v/>
      </c>
      <c r="D225" s="17" t="str">
        <f>IF(C225="","",C225*'02_Eingaben'!$C$15)</f>
        <v/>
      </c>
      <c r="E225" s="17" t="str">
        <f>IF(D225="","",D225*'02_Eingaben'!$C$8)</f>
        <v/>
      </c>
      <c r="F225" s="17" t="str">
        <f>IF(E225="","",AVERAGE(INDEX($E$2:$E$3001,MAX(1,ROW()-1-'02_Eingaben'!$C$17)):INDEX($E$2:$E$3001,MIN('02_Eingaben'!$C$21,ROW()-1+'02_Eingaben'!$C$17))))</f>
        <v/>
      </c>
      <c r="G225" s="17" t="str">
        <f>IF(F225="","",F225-'02_Eingaben'!$C$10)</f>
        <v/>
      </c>
      <c r="H225" t="str">
        <f>IF(F225="","",IF(F225&lt;'02_Eingaben'!$C$18*'02_Eingaben'!$C$10,1,0))</f>
        <v/>
      </c>
      <c r="I225" s="17" t="str">
        <f t="shared" si="3"/>
        <v/>
      </c>
      <c r="J225" s="17" t="str">
        <f>IF(B225="","",IF(B224&lt;'02_Eingaben'!$C$36,0,J224+I224/'02_Eingaben'!$C$8))</f>
        <v/>
      </c>
    </row>
    <row r="226" spans="1:10" x14ac:dyDescent="0.25">
      <c r="A226" t="str">
        <f>IF('01_Rohdaten'!A226="","",ROW()-1)</f>
        <v/>
      </c>
      <c r="B226" s="17" t="str">
        <f>IF('01_Rohdaten'!A226="","",'01_Rohdaten'!A226)</f>
        <v/>
      </c>
      <c r="C226" s="17" t="str">
        <f>IF(B226="","",INDEX('01_Rohdaten'!B226:D226,'02_Eingaben'!$C$13))</f>
        <v/>
      </c>
      <c r="D226" s="17" t="str">
        <f>IF(C226="","",C226*'02_Eingaben'!$C$15)</f>
        <v/>
      </c>
      <c r="E226" s="17" t="str">
        <f>IF(D226="","",D226*'02_Eingaben'!$C$8)</f>
        <v/>
      </c>
      <c r="F226" s="17" t="str">
        <f>IF(E226="","",AVERAGE(INDEX($E$2:$E$3001,MAX(1,ROW()-1-'02_Eingaben'!$C$17)):INDEX($E$2:$E$3001,MIN('02_Eingaben'!$C$21,ROW()-1+'02_Eingaben'!$C$17))))</f>
        <v/>
      </c>
      <c r="G226" s="17" t="str">
        <f>IF(F226="","",F226-'02_Eingaben'!$C$10)</f>
        <v/>
      </c>
      <c r="H226" t="str">
        <f>IF(F226="","",IF(F226&lt;'02_Eingaben'!$C$18*'02_Eingaben'!$C$10,1,0))</f>
        <v/>
      </c>
      <c r="I226" s="17" t="str">
        <f t="shared" si="3"/>
        <v/>
      </c>
      <c r="J226" s="17" t="str">
        <f>IF(B226="","",IF(B225&lt;'02_Eingaben'!$C$36,0,J225+I225/'02_Eingaben'!$C$8))</f>
        <v/>
      </c>
    </row>
    <row r="227" spans="1:10" x14ac:dyDescent="0.25">
      <c r="A227" t="str">
        <f>IF('01_Rohdaten'!A227="","",ROW()-1)</f>
        <v/>
      </c>
      <c r="B227" s="17" t="str">
        <f>IF('01_Rohdaten'!A227="","",'01_Rohdaten'!A227)</f>
        <v/>
      </c>
      <c r="C227" s="17" t="str">
        <f>IF(B227="","",INDEX('01_Rohdaten'!B227:D227,'02_Eingaben'!$C$13))</f>
        <v/>
      </c>
      <c r="D227" s="17" t="str">
        <f>IF(C227="","",C227*'02_Eingaben'!$C$15)</f>
        <v/>
      </c>
      <c r="E227" s="17" t="str">
        <f>IF(D227="","",D227*'02_Eingaben'!$C$8)</f>
        <v/>
      </c>
      <c r="F227" s="17" t="str">
        <f>IF(E227="","",AVERAGE(INDEX($E$2:$E$3001,MAX(1,ROW()-1-'02_Eingaben'!$C$17)):INDEX($E$2:$E$3001,MIN('02_Eingaben'!$C$21,ROW()-1+'02_Eingaben'!$C$17))))</f>
        <v/>
      </c>
      <c r="G227" s="17" t="str">
        <f>IF(F227="","",F227-'02_Eingaben'!$C$10)</f>
        <v/>
      </c>
      <c r="H227" t="str">
        <f>IF(F227="","",IF(F227&lt;'02_Eingaben'!$C$18*'02_Eingaben'!$C$10,1,0))</f>
        <v/>
      </c>
      <c r="I227" s="17" t="str">
        <f t="shared" si="3"/>
        <v/>
      </c>
      <c r="J227" s="17" t="str">
        <f>IF(B227="","",IF(B226&lt;'02_Eingaben'!$C$36,0,J226+I226/'02_Eingaben'!$C$8))</f>
        <v/>
      </c>
    </row>
    <row r="228" spans="1:10" x14ac:dyDescent="0.25">
      <c r="A228" t="str">
        <f>IF('01_Rohdaten'!A228="","",ROW()-1)</f>
        <v/>
      </c>
      <c r="B228" s="17" t="str">
        <f>IF('01_Rohdaten'!A228="","",'01_Rohdaten'!A228)</f>
        <v/>
      </c>
      <c r="C228" s="17" t="str">
        <f>IF(B228="","",INDEX('01_Rohdaten'!B228:D228,'02_Eingaben'!$C$13))</f>
        <v/>
      </c>
      <c r="D228" s="17" t="str">
        <f>IF(C228="","",C228*'02_Eingaben'!$C$15)</f>
        <v/>
      </c>
      <c r="E228" s="17" t="str">
        <f>IF(D228="","",D228*'02_Eingaben'!$C$8)</f>
        <v/>
      </c>
      <c r="F228" s="17" t="str">
        <f>IF(E228="","",AVERAGE(INDEX($E$2:$E$3001,MAX(1,ROW()-1-'02_Eingaben'!$C$17)):INDEX($E$2:$E$3001,MIN('02_Eingaben'!$C$21,ROW()-1+'02_Eingaben'!$C$17))))</f>
        <v/>
      </c>
      <c r="G228" s="17" t="str">
        <f>IF(F228="","",F228-'02_Eingaben'!$C$10)</f>
        <v/>
      </c>
      <c r="H228" t="str">
        <f>IF(F228="","",IF(F228&lt;'02_Eingaben'!$C$18*'02_Eingaben'!$C$10,1,0))</f>
        <v/>
      </c>
      <c r="I228" s="17" t="str">
        <f t="shared" si="3"/>
        <v/>
      </c>
      <c r="J228" s="17" t="str">
        <f>IF(B228="","",IF(B227&lt;'02_Eingaben'!$C$36,0,J227+I227/'02_Eingaben'!$C$8))</f>
        <v/>
      </c>
    </row>
    <row r="229" spans="1:10" x14ac:dyDescent="0.25">
      <c r="A229" t="str">
        <f>IF('01_Rohdaten'!A229="","",ROW()-1)</f>
        <v/>
      </c>
      <c r="B229" s="17" t="str">
        <f>IF('01_Rohdaten'!A229="","",'01_Rohdaten'!A229)</f>
        <v/>
      </c>
      <c r="C229" s="17" t="str">
        <f>IF(B229="","",INDEX('01_Rohdaten'!B229:D229,'02_Eingaben'!$C$13))</f>
        <v/>
      </c>
      <c r="D229" s="17" t="str">
        <f>IF(C229="","",C229*'02_Eingaben'!$C$15)</f>
        <v/>
      </c>
      <c r="E229" s="17" t="str">
        <f>IF(D229="","",D229*'02_Eingaben'!$C$8)</f>
        <v/>
      </c>
      <c r="F229" s="17" t="str">
        <f>IF(E229="","",AVERAGE(INDEX($E$2:$E$3001,MAX(1,ROW()-1-'02_Eingaben'!$C$17)):INDEX($E$2:$E$3001,MIN('02_Eingaben'!$C$21,ROW()-1+'02_Eingaben'!$C$17))))</f>
        <v/>
      </c>
      <c r="G229" s="17" t="str">
        <f>IF(F229="","",F229-'02_Eingaben'!$C$10)</f>
        <v/>
      </c>
      <c r="H229" t="str">
        <f>IF(F229="","",IF(F229&lt;'02_Eingaben'!$C$18*'02_Eingaben'!$C$10,1,0))</f>
        <v/>
      </c>
      <c r="I229" s="17" t="str">
        <f t="shared" si="3"/>
        <v/>
      </c>
      <c r="J229" s="17" t="str">
        <f>IF(B229="","",IF(B228&lt;'02_Eingaben'!$C$36,0,J228+I228/'02_Eingaben'!$C$8))</f>
        <v/>
      </c>
    </row>
    <row r="230" spans="1:10" x14ac:dyDescent="0.25">
      <c r="A230" t="str">
        <f>IF('01_Rohdaten'!A230="","",ROW()-1)</f>
        <v/>
      </c>
      <c r="B230" s="17" t="str">
        <f>IF('01_Rohdaten'!A230="","",'01_Rohdaten'!A230)</f>
        <v/>
      </c>
      <c r="C230" s="17" t="str">
        <f>IF(B230="","",INDEX('01_Rohdaten'!B230:D230,'02_Eingaben'!$C$13))</f>
        <v/>
      </c>
      <c r="D230" s="17" t="str">
        <f>IF(C230="","",C230*'02_Eingaben'!$C$15)</f>
        <v/>
      </c>
      <c r="E230" s="17" t="str">
        <f>IF(D230="","",D230*'02_Eingaben'!$C$8)</f>
        <v/>
      </c>
      <c r="F230" s="17" t="str">
        <f>IF(E230="","",AVERAGE(INDEX($E$2:$E$3001,MAX(1,ROW()-1-'02_Eingaben'!$C$17)):INDEX($E$2:$E$3001,MIN('02_Eingaben'!$C$21,ROW()-1+'02_Eingaben'!$C$17))))</f>
        <v/>
      </c>
      <c r="G230" s="17" t="str">
        <f>IF(F230="","",F230-'02_Eingaben'!$C$10)</f>
        <v/>
      </c>
      <c r="H230" t="str">
        <f>IF(F230="","",IF(F230&lt;'02_Eingaben'!$C$18*'02_Eingaben'!$C$10,1,0))</f>
        <v/>
      </c>
      <c r="I230" s="17" t="str">
        <f t="shared" si="3"/>
        <v/>
      </c>
      <c r="J230" s="17" t="str">
        <f>IF(B230="","",IF(B229&lt;'02_Eingaben'!$C$36,0,J229+I229/'02_Eingaben'!$C$8))</f>
        <v/>
      </c>
    </row>
    <row r="231" spans="1:10" x14ac:dyDescent="0.25">
      <c r="A231" t="str">
        <f>IF('01_Rohdaten'!A231="","",ROW()-1)</f>
        <v/>
      </c>
      <c r="B231" s="17" t="str">
        <f>IF('01_Rohdaten'!A231="","",'01_Rohdaten'!A231)</f>
        <v/>
      </c>
      <c r="C231" s="17" t="str">
        <f>IF(B231="","",INDEX('01_Rohdaten'!B231:D231,'02_Eingaben'!$C$13))</f>
        <v/>
      </c>
      <c r="D231" s="17" t="str">
        <f>IF(C231="","",C231*'02_Eingaben'!$C$15)</f>
        <v/>
      </c>
      <c r="E231" s="17" t="str">
        <f>IF(D231="","",D231*'02_Eingaben'!$C$8)</f>
        <v/>
      </c>
      <c r="F231" s="17" t="str">
        <f>IF(E231="","",AVERAGE(INDEX($E$2:$E$3001,MAX(1,ROW()-1-'02_Eingaben'!$C$17)):INDEX($E$2:$E$3001,MIN('02_Eingaben'!$C$21,ROW()-1+'02_Eingaben'!$C$17))))</f>
        <v/>
      </c>
      <c r="G231" s="17" t="str">
        <f>IF(F231="","",F231-'02_Eingaben'!$C$10)</f>
        <v/>
      </c>
      <c r="H231" t="str">
        <f>IF(F231="","",IF(F231&lt;'02_Eingaben'!$C$18*'02_Eingaben'!$C$10,1,0))</f>
        <v/>
      </c>
      <c r="I231" s="17" t="str">
        <f t="shared" si="3"/>
        <v/>
      </c>
      <c r="J231" s="17" t="str">
        <f>IF(B231="","",IF(B230&lt;'02_Eingaben'!$C$36,0,J230+I230/'02_Eingaben'!$C$8))</f>
        <v/>
      </c>
    </row>
    <row r="232" spans="1:10" x14ac:dyDescent="0.25">
      <c r="A232" t="str">
        <f>IF('01_Rohdaten'!A232="","",ROW()-1)</f>
        <v/>
      </c>
      <c r="B232" s="17" t="str">
        <f>IF('01_Rohdaten'!A232="","",'01_Rohdaten'!A232)</f>
        <v/>
      </c>
      <c r="C232" s="17" t="str">
        <f>IF(B232="","",INDEX('01_Rohdaten'!B232:D232,'02_Eingaben'!$C$13))</f>
        <v/>
      </c>
      <c r="D232" s="17" t="str">
        <f>IF(C232="","",C232*'02_Eingaben'!$C$15)</f>
        <v/>
      </c>
      <c r="E232" s="17" t="str">
        <f>IF(D232="","",D232*'02_Eingaben'!$C$8)</f>
        <v/>
      </c>
      <c r="F232" s="17" t="str">
        <f>IF(E232="","",AVERAGE(INDEX($E$2:$E$3001,MAX(1,ROW()-1-'02_Eingaben'!$C$17)):INDEX($E$2:$E$3001,MIN('02_Eingaben'!$C$21,ROW()-1+'02_Eingaben'!$C$17))))</f>
        <v/>
      </c>
      <c r="G232" s="17" t="str">
        <f>IF(F232="","",F232-'02_Eingaben'!$C$10)</f>
        <v/>
      </c>
      <c r="H232" t="str">
        <f>IF(F232="","",IF(F232&lt;'02_Eingaben'!$C$18*'02_Eingaben'!$C$10,1,0))</f>
        <v/>
      </c>
      <c r="I232" s="17" t="str">
        <f t="shared" si="3"/>
        <v/>
      </c>
      <c r="J232" s="17" t="str">
        <f>IF(B232="","",IF(B231&lt;'02_Eingaben'!$C$36,0,J231+I231/'02_Eingaben'!$C$8))</f>
        <v/>
      </c>
    </row>
    <row r="233" spans="1:10" x14ac:dyDescent="0.25">
      <c r="A233" t="str">
        <f>IF('01_Rohdaten'!A233="","",ROW()-1)</f>
        <v/>
      </c>
      <c r="B233" s="17" t="str">
        <f>IF('01_Rohdaten'!A233="","",'01_Rohdaten'!A233)</f>
        <v/>
      </c>
      <c r="C233" s="17" t="str">
        <f>IF(B233="","",INDEX('01_Rohdaten'!B233:D233,'02_Eingaben'!$C$13))</f>
        <v/>
      </c>
      <c r="D233" s="17" t="str">
        <f>IF(C233="","",C233*'02_Eingaben'!$C$15)</f>
        <v/>
      </c>
      <c r="E233" s="17" t="str">
        <f>IF(D233="","",D233*'02_Eingaben'!$C$8)</f>
        <v/>
      </c>
      <c r="F233" s="17" t="str">
        <f>IF(E233="","",AVERAGE(INDEX($E$2:$E$3001,MAX(1,ROW()-1-'02_Eingaben'!$C$17)):INDEX($E$2:$E$3001,MIN('02_Eingaben'!$C$21,ROW()-1+'02_Eingaben'!$C$17))))</f>
        <v/>
      </c>
      <c r="G233" s="17" t="str">
        <f>IF(F233="","",F233-'02_Eingaben'!$C$10)</f>
        <v/>
      </c>
      <c r="H233" t="str">
        <f>IF(F233="","",IF(F233&lt;'02_Eingaben'!$C$18*'02_Eingaben'!$C$10,1,0))</f>
        <v/>
      </c>
      <c r="I233" s="17" t="str">
        <f t="shared" si="3"/>
        <v/>
      </c>
      <c r="J233" s="17" t="str">
        <f>IF(B233="","",IF(B232&lt;'02_Eingaben'!$C$36,0,J232+I232/'02_Eingaben'!$C$8))</f>
        <v/>
      </c>
    </row>
    <row r="234" spans="1:10" x14ac:dyDescent="0.25">
      <c r="A234" t="str">
        <f>IF('01_Rohdaten'!A234="","",ROW()-1)</f>
        <v/>
      </c>
      <c r="B234" s="17" t="str">
        <f>IF('01_Rohdaten'!A234="","",'01_Rohdaten'!A234)</f>
        <v/>
      </c>
      <c r="C234" s="17" t="str">
        <f>IF(B234="","",INDEX('01_Rohdaten'!B234:D234,'02_Eingaben'!$C$13))</f>
        <v/>
      </c>
      <c r="D234" s="17" t="str">
        <f>IF(C234="","",C234*'02_Eingaben'!$C$15)</f>
        <v/>
      </c>
      <c r="E234" s="17" t="str">
        <f>IF(D234="","",D234*'02_Eingaben'!$C$8)</f>
        <v/>
      </c>
      <c r="F234" s="17" t="str">
        <f>IF(E234="","",AVERAGE(INDEX($E$2:$E$3001,MAX(1,ROW()-1-'02_Eingaben'!$C$17)):INDEX($E$2:$E$3001,MIN('02_Eingaben'!$C$21,ROW()-1+'02_Eingaben'!$C$17))))</f>
        <v/>
      </c>
      <c r="G234" s="17" t="str">
        <f>IF(F234="","",F234-'02_Eingaben'!$C$10)</f>
        <v/>
      </c>
      <c r="H234" t="str">
        <f>IF(F234="","",IF(F234&lt;'02_Eingaben'!$C$18*'02_Eingaben'!$C$10,1,0))</f>
        <v/>
      </c>
      <c r="I234" s="17" t="str">
        <f t="shared" si="3"/>
        <v/>
      </c>
      <c r="J234" s="17" t="str">
        <f>IF(B234="","",IF(B233&lt;'02_Eingaben'!$C$36,0,J233+I233/'02_Eingaben'!$C$8))</f>
        <v/>
      </c>
    </row>
    <row r="235" spans="1:10" x14ac:dyDescent="0.25">
      <c r="A235" t="str">
        <f>IF('01_Rohdaten'!A235="","",ROW()-1)</f>
        <v/>
      </c>
      <c r="B235" s="17" t="str">
        <f>IF('01_Rohdaten'!A235="","",'01_Rohdaten'!A235)</f>
        <v/>
      </c>
      <c r="C235" s="17" t="str">
        <f>IF(B235="","",INDEX('01_Rohdaten'!B235:D235,'02_Eingaben'!$C$13))</f>
        <v/>
      </c>
      <c r="D235" s="17" t="str">
        <f>IF(C235="","",C235*'02_Eingaben'!$C$15)</f>
        <v/>
      </c>
      <c r="E235" s="17" t="str">
        <f>IF(D235="","",D235*'02_Eingaben'!$C$8)</f>
        <v/>
      </c>
      <c r="F235" s="17" t="str">
        <f>IF(E235="","",AVERAGE(INDEX($E$2:$E$3001,MAX(1,ROW()-1-'02_Eingaben'!$C$17)):INDEX($E$2:$E$3001,MIN('02_Eingaben'!$C$21,ROW()-1+'02_Eingaben'!$C$17))))</f>
        <v/>
      </c>
      <c r="G235" s="17" t="str">
        <f>IF(F235="","",F235-'02_Eingaben'!$C$10)</f>
        <v/>
      </c>
      <c r="H235" t="str">
        <f>IF(F235="","",IF(F235&lt;'02_Eingaben'!$C$18*'02_Eingaben'!$C$10,1,0))</f>
        <v/>
      </c>
      <c r="I235" s="17" t="str">
        <f t="shared" si="3"/>
        <v/>
      </c>
      <c r="J235" s="17" t="str">
        <f>IF(B235="","",IF(B234&lt;'02_Eingaben'!$C$36,0,J234+I234/'02_Eingaben'!$C$8))</f>
        <v/>
      </c>
    </row>
    <row r="236" spans="1:10" x14ac:dyDescent="0.25">
      <c r="A236" t="str">
        <f>IF('01_Rohdaten'!A236="","",ROW()-1)</f>
        <v/>
      </c>
      <c r="B236" s="17" t="str">
        <f>IF('01_Rohdaten'!A236="","",'01_Rohdaten'!A236)</f>
        <v/>
      </c>
      <c r="C236" s="17" t="str">
        <f>IF(B236="","",INDEX('01_Rohdaten'!B236:D236,'02_Eingaben'!$C$13))</f>
        <v/>
      </c>
      <c r="D236" s="17" t="str">
        <f>IF(C236="","",C236*'02_Eingaben'!$C$15)</f>
        <v/>
      </c>
      <c r="E236" s="17" t="str">
        <f>IF(D236="","",D236*'02_Eingaben'!$C$8)</f>
        <v/>
      </c>
      <c r="F236" s="17" t="str">
        <f>IF(E236="","",AVERAGE(INDEX($E$2:$E$3001,MAX(1,ROW()-1-'02_Eingaben'!$C$17)):INDEX($E$2:$E$3001,MIN('02_Eingaben'!$C$21,ROW()-1+'02_Eingaben'!$C$17))))</f>
        <v/>
      </c>
      <c r="G236" s="17" t="str">
        <f>IF(F236="","",F236-'02_Eingaben'!$C$10)</f>
        <v/>
      </c>
      <c r="H236" t="str">
        <f>IF(F236="","",IF(F236&lt;'02_Eingaben'!$C$18*'02_Eingaben'!$C$10,1,0))</f>
        <v/>
      </c>
      <c r="I236" s="17" t="str">
        <f t="shared" si="3"/>
        <v/>
      </c>
      <c r="J236" s="17" t="str">
        <f>IF(B236="","",IF(B235&lt;'02_Eingaben'!$C$36,0,J235+I235/'02_Eingaben'!$C$8))</f>
        <v/>
      </c>
    </row>
    <row r="237" spans="1:10" x14ac:dyDescent="0.25">
      <c r="A237" t="str">
        <f>IF('01_Rohdaten'!A237="","",ROW()-1)</f>
        <v/>
      </c>
      <c r="B237" s="17" t="str">
        <f>IF('01_Rohdaten'!A237="","",'01_Rohdaten'!A237)</f>
        <v/>
      </c>
      <c r="C237" s="17" t="str">
        <f>IF(B237="","",INDEX('01_Rohdaten'!B237:D237,'02_Eingaben'!$C$13))</f>
        <v/>
      </c>
      <c r="D237" s="17" t="str">
        <f>IF(C237="","",C237*'02_Eingaben'!$C$15)</f>
        <v/>
      </c>
      <c r="E237" s="17" t="str">
        <f>IF(D237="","",D237*'02_Eingaben'!$C$8)</f>
        <v/>
      </c>
      <c r="F237" s="17" t="str">
        <f>IF(E237="","",AVERAGE(INDEX($E$2:$E$3001,MAX(1,ROW()-1-'02_Eingaben'!$C$17)):INDEX($E$2:$E$3001,MIN('02_Eingaben'!$C$21,ROW()-1+'02_Eingaben'!$C$17))))</f>
        <v/>
      </c>
      <c r="G237" s="17" t="str">
        <f>IF(F237="","",F237-'02_Eingaben'!$C$10)</f>
        <v/>
      </c>
      <c r="H237" t="str">
        <f>IF(F237="","",IF(F237&lt;'02_Eingaben'!$C$18*'02_Eingaben'!$C$10,1,0))</f>
        <v/>
      </c>
      <c r="I237" s="17" t="str">
        <f t="shared" si="3"/>
        <v/>
      </c>
      <c r="J237" s="17" t="str">
        <f>IF(B237="","",IF(B236&lt;'02_Eingaben'!$C$36,0,J236+I236/'02_Eingaben'!$C$8))</f>
        <v/>
      </c>
    </row>
    <row r="238" spans="1:10" x14ac:dyDescent="0.25">
      <c r="A238" t="str">
        <f>IF('01_Rohdaten'!A238="","",ROW()-1)</f>
        <v/>
      </c>
      <c r="B238" s="17" t="str">
        <f>IF('01_Rohdaten'!A238="","",'01_Rohdaten'!A238)</f>
        <v/>
      </c>
      <c r="C238" s="17" t="str">
        <f>IF(B238="","",INDEX('01_Rohdaten'!B238:D238,'02_Eingaben'!$C$13))</f>
        <v/>
      </c>
      <c r="D238" s="17" t="str">
        <f>IF(C238="","",C238*'02_Eingaben'!$C$15)</f>
        <v/>
      </c>
      <c r="E238" s="17" t="str">
        <f>IF(D238="","",D238*'02_Eingaben'!$C$8)</f>
        <v/>
      </c>
      <c r="F238" s="17" t="str">
        <f>IF(E238="","",AVERAGE(INDEX($E$2:$E$3001,MAX(1,ROW()-1-'02_Eingaben'!$C$17)):INDEX($E$2:$E$3001,MIN('02_Eingaben'!$C$21,ROW()-1+'02_Eingaben'!$C$17))))</f>
        <v/>
      </c>
      <c r="G238" s="17" t="str">
        <f>IF(F238="","",F238-'02_Eingaben'!$C$10)</f>
        <v/>
      </c>
      <c r="H238" t="str">
        <f>IF(F238="","",IF(F238&lt;'02_Eingaben'!$C$18*'02_Eingaben'!$C$10,1,0))</f>
        <v/>
      </c>
      <c r="I238" s="17" t="str">
        <f t="shared" si="3"/>
        <v/>
      </c>
      <c r="J238" s="17" t="str">
        <f>IF(B238="","",IF(B237&lt;'02_Eingaben'!$C$36,0,J237+I237/'02_Eingaben'!$C$8))</f>
        <v/>
      </c>
    </row>
    <row r="239" spans="1:10" x14ac:dyDescent="0.25">
      <c r="A239" t="str">
        <f>IF('01_Rohdaten'!A239="","",ROW()-1)</f>
        <v/>
      </c>
      <c r="B239" s="17" t="str">
        <f>IF('01_Rohdaten'!A239="","",'01_Rohdaten'!A239)</f>
        <v/>
      </c>
      <c r="C239" s="17" t="str">
        <f>IF(B239="","",INDEX('01_Rohdaten'!B239:D239,'02_Eingaben'!$C$13))</f>
        <v/>
      </c>
      <c r="D239" s="17" t="str">
        <f>IF(C239="","",C239*'02_Eingaben'!$C$15)</f>
        <v/>
      </c>
      <c r="E239" s="17" t="str">
        <f>IF(D239="","",D239*'02_Eingaben'!$C$8)</f>
        <v/>
      </c>
      <c r="F239" s="17" t="str">
        <f>IF(E239="","",AVERAGE(INDEX($E$2:$E$3001,MAX(1,ROW()-1-'02_Eingaben'!$C$17)):INDEX($E$2:$E$3001,MIN('02_Eingaben'!$C$21,ROW()-1+'02_Eingaben'!$C$17))))</f>
        <v/>
      </c>
      <c r="G239" s="17" t="str">
        <f>IF(F239="","",F239-'02_Eingaben'!$C$10)</f>
        <v/>
      </c>
      <c r="H239" t="str">
        <f>IF(F239="","",IF(F239&lt;'02_Eingaben'!$C$18*'02_Eingaben'!$C$10,1,0))</f>
        <v/>
      </c>
      <c r="I239" s="17" t="str">
        <f t="shared" si="3"/>
        <v/>
      </c>
      <c r="J239" s="17" t="str">
        <f>IF(B239="","",IF(B238&lt;'02_Eingaben'!$C$36,0,J238+I238/'02_Eingaben'!$C$8))</f>
        <v/>
      </c>
    </row>
    <row r="240" spans="1:10" x14ac:dyDescent="0.25">
      <c r="A240" t="str">
        <f>IF('01_Rohdaten'!A240="","",ROW()-1)</f>
        <v/>
      </c>
      <c r="B240" s="17" t="str">
        <f>IF('01_Rohdaten'!A240="","",'01_Rohdaten'!A240)</f>
        <v/>
      </c>
      <c r="C240" s="17" t="str">
        <f>IF(B240="","",INDEX('01_Rohdaten'!B240:D240,'02_Eingaben'!$C$13))</f>
        <v/>
      </c>
      <c r="D240" s="17" t="str">
        <f>IF(C240="","",C240*'02_Eingaben'!$C$15)</f>
        <v/>
      </c>
      <c r="E240" s="17" t="str">
        <f>IF(D240="","",D240*'02_Eingaben'!$C$8)</f>
        <v/>
      </c>
      <c r="F240" s="17" t="str">
        <f>IF(E240="","",AVERAGE(INDEX($E$2:$E$3001,MAX(1,ROW()-1-'02_Eingaben'!$C$17)):INDEX($E$2:$E$3001,MIN('02_Eingaben'!$C$21,ROW()-1+'02_Eingaben'!$C$17))))</f>
        <v/>
      </c>
      <c r="G240" s="17" t="str">
        <f>IF(F240="","",F240-'02_Eingaben'!$C$10)</f>
        <v/>
      </c>
      <c r="H240" t="str">
        <f>IF(F240="","",IF(F240&lt;'02_Eingaben'!$C$18*'02_Eingaben'!$C$10,1,0))</f>
        <v/>
      </c>
      <c r="I240" s="17" t="str">
        <f t="shared" si="3"/>
        <v/>
      </c>
      <c r="J240" s="17" t="str">
        <f>IF(B240="","",IF(B239&lt;'02_Eingaben'!$C$36,0,J239+I239/'02_Eingaben'!$C$8))</f>
        <v/>
      </c>
    </row>
    <row r="241" spans="1:10" x14ac:dyDescent="0.25">
      <c r="A241" t="str">
        <f>IF('01_Rohdaten'!A241="","",ROW()-1)</f>
        <v/>
      </c>
      <c r="B241" s="17" t="str">
        <f>IF('01_Rohdaten'!A241="","",'01_Rohdaten'!A241)</f>
        <v/>
      </c>
      <c r="C241" s="17" t="str">
        <f>IF(B241="","",INDEX('01_Rohdaten'!B241:D241,'02_Eingaben'!$C$13))</f>
        <v/>
      </c>
      <c r="D241" s="17" t="str">
        <f>IF(C241="","",C241*'02_Eingaben'!$C$15)</f>
        <v/>
      </c>
      <c r="E241" s="17" t="str">
        <f>IF(D241="","",D241*'02_Eingaben'!$C$8)</f>
        <v/>
      </c>
      <c r="F241" s="17" t="str">
        <f>IF(E241="","",AVERAGE(INDEX($E$2:$E$3001,MAX(1,ROW()-1-'02_Eingaben'!$C$17)):INDEX($E$2:$E$3001,MIN('02_Eingaben'!$C$21,ROW()-1+'02_Eingaben'!$C$17))))</f>
        <v/>
      </c>
      <c r="G241" s="17" t="str">
        <f>IF(F241="","",F241-'02_Eingaben'!$C$10)</f>
        <v/>
      </c>
      <c r="H241" t="str">
        <f>IF(F241="","",IF(F241&lt;'02_Eingaben'!$C$18*'02_Eingaben'!$C$10,1,0))</f>
        <v/>
      </c>
      <c r="I241" s="17" t="str">
        <f t="shared" si="3"/>
        <v/>
      </c>
      <c r="J241" s="17" t="str">
        <f>IF(B241="","",IF(B240&lt;'02_Eingaben'!$C$36,0,J240+I240/'02_Eingaben'!$C$8))</f>
        <v/>
      </c>
    </row>
    <row r="242" spans="1:10" x14ac:dyDescent="0.25">
      <c r="A242" t="str">
        <f>IF('01_Rohdaten'!A242="","",ROW()-1)</f>
        <v/>
      </c>
      <c r="B242" s="17" t="str">
        <f>IF('01_Rohdaten'!A242="","",'01_Rohdaten'!A242)</f>
        <v/>
      </c>
      <c r="C242" s="17" t="str">
        <f>IF(B242="","",INDEX('01_Rohdaten'!B242:D242,'02_Eingaben'!$C$13))</f>
        <v/>
      </c>
      <c r="D242" s="17" t="str">
        <f>IF(C242="","",C242*'02_Eingaben'!$C$15)</f>
        <v/>
      </c>
      <c r="E242" s="17" t="str">
        <f>IF(D242="","",D242*'02_Eingaben'!$C$8)</f>
        <v/>
      </c>
      <c r="F242" s="17" t="str">
        <f>IF(E242="","",AVERAGE(INDEX($E$2:$E$3001,MAX(1,ROW()-1-'02_Eingaben'!$C$17)):INDEX($E$2:$E$3001,MIN('02_Eingaben'!$C$21,ROW()-1+'02_Eingaben'!$C$17))))</f>
        <v/>
      </c>
      <c r="G242" s="17" t="str">
        <f>IF(F242="","",F242-'02_Eingaben'!$C$10)</f>
        <v/>
      </c>
      <c r="H242" t="str">
        <f>IF(F242="","",IF(F242&lt;'02_Eingaben'!$C$18*'02_Eingaben'!$C$10,1,0))</f>
        <v/>
      </c>
      <c r="I242" s="17" t="str">
        <f t="shared" si="3"/>
        <v/>
      </c>
      <c r="J242" s="17" t="str">
        <f>IF(B242="","",IF(B241&lt;'02_Eingaben'!$C$36,0,J241+I241/'02_Eingaben'!$C$8))</f>
        <v/>
      </c>
    </row>
    <row r="243" spans="1:10" x14ac:dyDescent="0.25">
      <c r="A243" t="str">
        <f>IF('01_Rohdaten'!A243="","",ROW()-1)</f>
        <v/>
      </c>
      <c r="B243" s="17" t="str">
        <f>IF('01_Rohdaten'!A243="","",'01_Rohdaten'!A243)</f>
        <v/>
      </c>
      <c r="C243" s="17" t="str">
        <f>IF(B243="","",INDEX('01_Rohdaten'!B243:D243,'02_Eingaben'!$C$13))</f>
        <v/>
      </c>
      <c r="D243" s="17" t="str">
        <f>IF(C243="","",C243*'02_Eingaben'!$C$15)</f>
        <v/>
      </c>
      <c r="E243" s="17" t="str">
        <f>IF(D243="","",D243*'02_Eingaben'!$C$8)</f>
        <v/>
      </c>
      <c r="F243" s="17" t="str">
        <f>IF(E243="","",AVERAGE(INDEX($E$2:$E$3001,MAX(1,ROW()-1-'02_Eingaben'!$C$17)):INDEX($E$2:$E$3001,MIN('02_Eingaben'!$C$21,ROW()-1+'02_Eingaben'!$C$17))))</f>
        <v/>
      </c>
      <c r="G243" s="17" t="str">
        <f>IF(F243="","",F243-'02_Eingaben'!$C$10)</f>
        <v/>
      </c>
      <c r="H243" t="str">
        <f>IF(F243="","",IF(F243&lt;'02_Eingaben'!$C$18*'02_Eingaben'!$C$10,1,0))</f>
        <v/>
      </c>
      <c r="I243" s="17" t="str">
        <f t="shared" si="3"/>
        <v/>
      </c>
      <c r="J243" s="17" t="str">
        <f>IF(B243="","",IF(B242&lt;'02_Eingaben'!$C$36,0,J242+I242/'02_Eingaben'!$C$8))</f>
        <v/>
      </c>
    </row>
    <row r="244" spans="1:10" x14ac:dyDescent="0.25">
      <c r="A244" t="str">
        <f>IF('01_Rohdaten'!A244="","",ROW()-1)</f>
        <v/>
      </c>
      <c r="B244" s="17" t="str">
        <f>IF('01_Rohdaten'!A244="","",'01_Rohdaten'!A244)</f>
        <v/>
      </c>
      <c r="C244" s="17" t="str">
        <f>IF(B244="","",INDEX('01_Rohdaten'!B244:D244,'02_Eingaben'!$C$13))</f>
        <v/>
      </c>
      <c r="D244" s="17" t="str">
        <f>IF(C244="","",C244*'02_Eingaben'!$C$15)</f>
        <v/>
      </c>
      <c r="E244" s="17" t="str">
        <f>IF(D244="","",D244*'02_Eingaben'!$C$8)</f>
        <v/>
      </c>
      <c r="F244" s="17" t="str">
        <f>IF(E244="","",AVERAGE(INDEX($E$2:$E$3001,MAX(1,ROW()-1-'02_Eingaben'!$C$17)):INDEX($E$2:$E$3001,MIN('02_Eingaben'!$C$21,ROW()-1+'02_Eingaben'!$C$17))))</f>
        <v/>
      </c>
      <c r="G244" s="17" t="str">
        <f>IF(F244="","",F244-'02_Eingaben'!$C$10)</f>
        <v/>
      </c>
      <c r="H244" t="str">
        <f>IF(F244="","",IF(F244&lt;'02_Eingaben'!$C$18*'02_Eingaben'!$C$10,1,0))</f>
        <v/>
      </c>
      <c r="I244" s="17" t="str">
        <f t="shared" si="3"/>
        <v/>
      </c>
      <c r="J244" s="17" t="str">
        <f>IF(B244="","",IF(B243&lt;'02_Eingaben'!$C$36,0,J243+I243/'02_Eingaben'!$C$8))</f>
        <v/>
      </c>
    </row>
    <row r="245" spans="1:10" x14ac:dyDescent="0.25">
      <c r="A245" t="str">
        <f>IF('01_Rohdaten'!A245="","",ROW()-1)</f>
        <v/>
      </c>
      <c r="B245" s="17" t="str">
        <f>IF('01_Rohdaten'!A245="","",'01_Rohdaten'!A245)</f>
        <v/>
      </c>
      <c r="C245" s="17" t="str">
        <f>IF(B245="","",INDEX('01_Rohdaten'!B245:D245,'02_Eingaben'!$C$13))</f>
        <v/>
      </c>
      <c r="D245" s="17" t="str">
        <f>IF(C245="","",C245*'02_Eingaben'!$C$15)</f>
        <v/>
      </c>
      <c r="E245" s="17" t="str">
        <f>IF(D245="","",D245*'02_Eingaben'!$C$8)</f>
        <v/>
      </c>
      <c r="F245" s="17" t="str">
        <f>IF(E245="","",AVERAGE(INDEX($E$2:$E$3001,MAX(1,ROW()-1-'02_Eingaben'!$C$17)):INDEX($E$2:$E$3001,MIN('02_Eingaben'!$C$21,ROW()-1+'02_Eingaben'!$C$17))))</f>
        <v/>
      </c>
      <c r="G245" s="17" t="str">
        <f>IF(F245="","",F245-'02_Eingaben'!$C$10)</f>
        <v/>
      </c>
      <c r="H245" t="str">
        <f>IF(F245="","",IF(F245&lt;'02_Eingaben'!$C$18*'02_Eingaben'!$C$10,1,0))</f>
        <v/>
      </c>
      <c r="I245" s="17" t="str">
        <f t="shared" si="3"/>
        <v/>
      </c>
      <c r="J245" s="17" t="str">
        <f>IF(B245="","",IF(B244&lt;'02_Eingaben'!$C$36,0,J244+I244/'02_Eingaben'!$C$8))</f>
        <v/>
      </c>
    </row>
    <row r="246" spans="1:10" x14ac:dyDescent="0.25">
      <c r="A246" t="str">
        <f>IF('01_Rohdaten'!A246="","",ROW()-1)</f>
        <v/>
      </c>
      <c r="B246" s="17" t="str">
        <f>IF('01_Rohdaten'!A246="","",'01_Rohdaten'!A246)</f>
        <v/>
      </c>
      <c r="C246" s="17" t="str">
        <f>IF(B246="","",INDEX('01_Rohdaten'!B246:D246,'02_Eingaben'!$C$13))</f>
        <v/>
      </c>
      <c r="D246" s="17" t="str">
        <f>IF(C246="","",C246*'02_Eingaben'!$C$15)</f>
        <v/>
      </c>
      <c r="E246" s="17" t="str">
        <f>IF(D246="","",D246*'02_Eingaben'!$C$8)</f>
        <v/>
      </c>
      <c r="F246" s="17" t="str">
        <f>IF(E246="","",AVERAGE(INDEX($E$2:$E$3001,MAX(1,ROW()-1-'02_Eingaben'!$C$17)):INDEX($E$2:$E$3001,MIN('02_Eingaben'!$C$21,ROW()-1+'02_Eingaben'!$C$17))))</f>
        <v/>
      </c>
      <c r="G246" s="17" t="str">
        <f>IF(F246="","",F246-'02_Eingaben'!$C$10)</f>
        <v/>
      </c>
      <c r="H246" t="str">
        <f>IF(F246="","",IF(F246&lt;'02_Eingaben'!$C$18*'02_Eingaben'!$C$10,1,0))</f>
        <v/>
      </c>
      <c r="I246" s="17" t="str">
        <f t="shared" si="3"/>
        <v/>
      </c>
      <c r="J246" s="17" t="str">
        <f>IF(B246="","",IF(B245&lt;'02_Eingaben'!$C$36,0,J245+I245/'02_Eingaben'!$C$8))</f>
        <v/>
      </c>
    </row>
    <row r="247" spans="1:10" x14ac:dyDescent="0.25">
      <c r="A247" t="str">
        <f>IF('01_Rohdaten'!A247="","",ROW()-1)</f>
        <v/>
      </c>
      <c r="B247" s="17" t="str">
        <f>IF('01_Rohdaten'!A247="","",'01_Rohdaten'!A247)</f>
        <v/>
      </c>
      <c r="C247" s="17" t="str">
        <f>IF(B247="","",INDEX('01_Rohdaten'!B247:D247,'02_Eingaben'!$C$13))</f>
        <v/>
      </c>
      <c r="D247" s="17" t="str">
        <f>IF(C247="","",C247*'02_Eingaben'!$C$15)</f>
        <v/>
      </c>
      <c r="E247" s="17" t="str">
        <f>IF(D247="","",D247*'02_Eingaben'!$C$8)</f>
        <v/>
      </c>
      <c r="F247" s="17" t="str">
        <f>IF(E247="","",AVERAGE(INDEX($E$2:$E$3001,MAX(1,ROW()-1-'02_Eingaben'!$C$17)):INDEX($E$2:$E$3001,MIN('02_Eingaben'!$C$21,ROW()-1+'02_Eingaben'!$C$17))))</f>
        <v/>
      </c>
      <c r="G247" s="17" t="str">
        <f>IF(F247="","",F247-'02_Eingaben'!$C$10)</f>
        <v/>
      </c>
      <c r="H247" t="str">
        <f>IF(F247="","",IF(F247&lt;'02_Eingaben'!$C$18*'02_Eingaben'!$C$10,1,0))</f>
        <v/>
      </c>
      <c r="I247" s="17" t="str">
        <f t="shared" si="3"/>
        <v/>
      </c>
      <c r="J247" s="17" t="str">
        <f>IF(B247="","",IF(B246&lt;'02_Eingaben'!$C$36,0,J246+I246/'02_Eingaben'!$C$8))</f>
        <v/>
      </c>
    </row>
    <row r="248" spans="1:10" x14ac:dyDescent="0.25">
      <c r="A248" t="str">
        <f>IF('01_Rohdaten'!A248="","",ROW()-1)</f>
        <v/>
      </c>
      <c r="B248" s="17" t="str">
        <f>IF('01_Rohdaten'!A248="","",'01_Rohdaten'!A248)</f>
        <v/>
      </c>
      <c r="C248" s="17" t="str">
        <f>IF(B248="","",INDEX('01_Rohdaten'!B248:D248,'02_Eingaben'!$C$13))</f>
        <v/>
      </c>
      <c r="D248" s="17" t="str">
        <f>IF(C248="","",C248*'02_Eingaben'!$C$15)</f>
        <v/>
      </c>
      <c r="E248" s="17" t="str">
        <f>IF(D248="","",D248*'02_Eingaben'!$C$8)</f>
        <v/>
      </c>
      <c r="F248" s="17" t="str">
        <f>IF(E248="","",AVERAGE(INDEX($E$2:$E$3001,MAX(1,ROW()-1-'02_Eingaben'!$C$17)):INDEX($E$2:$E$3001,MIN('02_Eingaben'!$C$21,ROW()-1+'02_Eingaben'!$C$17))))</f>
        <v/>
      </c>
      <c r="G248" s="17" t="str">
        <f>IF(F248="","",F248-'02_Eingaben'!$C$10)</f>
        <v/>
      </c>
      <c r="H248" t="str">
        <f>IF(F248="","",IF(F248&lt;'02_Eingaben'!$C$18*'02_Eingaben'!$C$10,1,0))</f>
        <v/>
      </c>
      <c r="I248" s="17" t="str">
        <f t="shared" si="3"/>
        <v/>
      </c>
      <c r="J248" s="17" t="str">
        <f>IF(B248="","",IF(B247&lt;'02_Eingaben'!$C$36,0,J247+I247/'02_Eingaben'!$C$8))</f>
        <v/>
      </c>
    </row>
    <row r="249" spans="1:10" x14ac:dyDescent="0.25">
      <c r="A249" t="str">
        <f>IF('01_Rohdaten'!A249="","",ROW()-1)</f>
        <v/>
      </c>
      <c r="B249" s="17" t="str">
        <f>IF('01_Rohdaten'!A249="","",'01_Rohdaten'!A249)</f>
        <v/>
      </c>
      <c r="C249" s="17" t="str">
        <f>IF(B249="","",INDEX('01_Rohdaten'!B249:D249,'02_Eingaben'!$C$13))</f>
        <v/>
      </c>
      <c r="D249" s="17" t="str">
        <f>IF(C249="","",C249*'02_Eingaben'!$C$15)</f>
        <v/>
      </c>
      <c r="E249" s="17" t="str">
        <f>IF(D249="","",D249*'02_Eingaben'!$C$8)</f>
        <v/>
      </c>
      <c r="F249" s="17" t="str">
        <f>IF(E249="","",AVERAGE(INDEX($E$2:$E$3001,MAX(1,ROW()-1-'02_Eingaben'!$C$17)):INDEX($E$2:$E$3001,MIN('02_Eingaben'!$C$21,ROW()-1+'02_Eingaben'!$C$17))))</f>
        <v/>
      </c>
      <c r="G249" s="17" t="str">
        <f>IF(F249="","",F249-'02_Eingaben'!$C$10)</f>
        <v/>
      </c>
      <c r="H249" t="str">
        <f>IF(F249="","",IF(F249&lt;'02_Eingaben'!$C$18*'02_Eingaben'!$C$10,1,0))</f>
        <v/>
      </c>
      <c r="I249" s="17" t="str">
        <f t="shared" si="3"/>
        <v/>
      </c>
      <c r="J249" s="17" t="str">
        <f>IF(B249="","",IF(B248&lt;'02_Eingaben'!$C$36,0,J248+I248/'02_Eingaben'!$C$8))</f>
        <v/>
      </c>
    </row>
    <row r="250" spans="1:10" x14ac:dyDescent="0.25">
      <c r="A250" t="str">
        <f>IF('01_Rohdaten'!A250="","",ROW()-1)</f>
        <v/>
      </c>
      <c r="B250" s="17" t="str">
        <f>IF('01_Rohdaten'!A250="","",'01_Rohdaten'!A250)</f>
        <v/>
      </c>
      <c r="C250" s="17" t="str">
        <f>IF(B250="","",INDEX('01_Rohdaten'!B250:D250,'02_Eingaben'!$C$13))</f>
        <v/>
      </c>
      <c r="D250" s="17" t="str">
        <f>IF(C250="","",C250*'02_Eingaben'!$C$15)</f>
        <v/>
      </c>
      <c r="E250" s="17" t="str">
        <f>IF(D250="","",D250*'02_Eingaben'!$C$8)</f>
        <v/>
      </c>
      <c r="F250" s="17" t="str">
        <f>IF(E250="","",AVERAGE(INDEX($E$2:$E$3001,MAX(1,ROW()-1-'02_Eingaben'!$C$17)):INDEX($E$2:$E$3001,MIN('02_Eingaben'!$C$21,ROW()-1+'02_Eingaben'!$C$17))))</f>
        <v/>
      </c>
      <c r="G250" s="17" t="str">
        <f>IF(F250="","",F250-'02_Eingaben'!$C$10)</f>
        <v/>
      </c>
      <c r="H250" t="str">
        <f>IF(F250="","",IF(F250&lt;'02_Eingaben'!$C$18*'02_Eingaben'!$C$10,1,0))</f>
        <v/>
      </c>
      <c r="I250" s="17" t="str">
        <f t="shared" si="3"/>
        <v/>
      </c>
      <c r="J250" s="17" t="str">
        <f>IF(B250="","",IF(B249&lt;'02_Eingaben'!$C$36,0,J249+I249/'02_Eingaben'!$C$8))</f>
        <v/>
      </c>
    </row>
    <row r="251" spans="1:10" x14ac:dyDescent="0.25">
      <c r="A251" t="str">
        <f>IF('01_Rohdaten'!A251="","",ROW()-1)</f>
        <v/>
      </c>
      <c r="B251" s="17" t="str">
        <f>IF('01_Rohdaten'!A251="","",'01_Rohdaten'!A251)</f>
        <v/>
      </c>
      <c r="C251" s="17" t="str">
        <f>IF(B251="","",INDEX('01_Rohdaten'!B251:D251,'02_Eingaben'!$C$13))</f>
        <v/>
      </c>
      <c r="D251" s="17" t="str">
        <f>IF(C251="","",C251*'02_Eingaben'!$C$15)</f>
        <v/>
      </c>
      <c r="E251" s="17" t="str">
        <f>IF(D251="","",D251*'02_Eingaben'!$C$8)</f>
        <v/>
      </c>
      <c r="F251" s="17" t="str">
        <f>IF(E251="","",AVERAGE(INDEX($E$2:$E$3001,MAX(1,ROW()-1-'02_Eingaben'!$C$17)):INDEX($E$2:$E$3001,MIN('02_Eingaben'!$C$21,ROW()-1+'02_Eingaben'!$C$17))))</f>
        <v/>
      </c>
      <c r="G251" s="17" t="str">
        <f>IF(F251="","",F251-'02_Eingaben'!$C$10)</f>
        <v/>
      </c>
      <c r="H251" t="str">
        <f>IF(F251="","",IF(F251&lt;'02_Eingaben'!$C$18*'02_Eingaben'!$C$10,1,0))</f>
        <v/>
      </c>
      <c r="I251" s="17" t="str">
        <f t="shared" si="3"/>
        <v/>
      </c>
      <c r="J251" s="17" t="str">
        <f>IF(B251="","",IF(B250&lt;'02_Eingaben'!$C$36,0,J250+I250/'02_Eingaben'!$C$8))</f>
        <v/>
      </c>
    </row>
    <row r="252" spans="1:10" x14ac:dyDescent="0.25">
      <c r="A252" t="str">
        <f>IF('01_Rohdaten'!A252="","",ROW()-1)</f>
        <v/>
      </c>
      <c r="B252" s="17" t="str">
        <f>IF('01_Rohdaten'!A252="","",'01_Rohdaten'!A252)</f>
        <v/>
      </c>
      <c r="C252" s="17" t="str">
        <f>IF(B252="","",INDEX('01_Rohdaten'!B252:D252,'02_Eingaben'!$C$13))</f>
        <v/>
      </c>
      <c r="D252" s="17" t="str">
        <f>IF(C252="","",C252*'02_Eingaben'!$C$15)</f>
        <v/>
      </c>
      <c r="E252" s="17" t="str">
        <f>IF(D252="","",D252*'02_Eingaben'!$C$8)</f>
        <v/>
      </c>
      <c r="F252" s="17" t="str">
        <f>IF(E252="","",AVERAGE(INDEX($E$2:$E$3001,MAX(1,ROW()-1-'02_Eingaben'!$C$17)):INDEX($E$2:$E$3001,MIN('02_Eingaben'!$C$21,ROW()-1+'02_Eingaben'!$C$17))))</f>
        <v/>
      </c>
      <c r="G252" s="17" t="str">
        <f>IF(F252="","",F252-'02_Eingaben'!$C$10)</f>
        <v/>
      </c>
      <c r="H252" t="str">
        <f>IF(F252="","",IF(F252&lt;'02_Eingaben'!$C$18*'02_Eingaben'!$C$10,1,0))</f>
        <v/>
      </c>
      <c r="I252" s="17" t="str">
        <f t="shared" si="3"/>
        <v/>
      </c>
      <c r="J252" s="17" t="str">
        <f>IF(B252="","",IF(B251&lt;'02_Eingaben'!$C$36,0,J251+I251/'02_Eingaben'!$C$8))</f>
        <v/>
      </c>
    </row>
    <row r="253" spans="1:10" x14ac:dyDescent="0.25">
      <c r="A253" t="str">
        <f>IF('01_Rohdaten'!A253="","",ROW()-1)</f>
        <v/>
      </c>
      <c r="B253" s="17" t="str">
        <f>IF('01_Rohdaten'!A253="","",'01_Rohdaten'!A253)</f>
        <v/>
      </c>
      <c r="C253" s="17" t="str">
        <f>IF(B253="","",INDEX('01_Rohdaten'!B253:D253,'02_Eingaben'!$C$13))</f>
        <v/>
      </c>
      <c r="D253" s="17" t="str">
        <f>IF(C253="","",C253*'02_Eingaben'!$C$15)</f>
        <v/>
      </c>
      <c r="E253" s="17" t="str">
        <f>IF(D253="","",D253*'02_Eingaben'!$C$8)</f>
        <v/>
      </c>
      <c r="F253" s="17" t="str">
        <f>IF(E253="","",AVERAGE(INDEX($E$2:$E$3001,MAX(1,ROW()-1-'02_Eingaben'!$C$17)):INDEX($E$2:$E$3001,MIN('02_Eingaben'!$C$21,ROW()-1+'02_Eingaben'!$C$17))))</f>
        <v/>
      </c>
      <c r="G253" s="17" t="str">
        <f>IF(F253="","",F253-'02_Eingaben'!$C$10)</f>
        <v/>
      </c>
      <c r="H253" t="str">
        <f>IF(F253="","",IF(F253&lt;'02_Eingaben'!$C$18*'02_Eingaben'!$C$10,1,0))</f>
        <v/>
      </c>
      <c r="I253" s="17" t="str">
        <f t="shared" si="3"/>
        <v/>
      </c>
      <c r="J253" s="17" t="str">
        <f>IF(B253="","",IF(B252&lt;'02_Eingaben'!$C$36,0,J252+I252/'02_Eingaben'!$C$8))</f>
        <v/>
      </c>
    </row>
    <row r="254" spans="1:10" x14ac:dyDescent="0.25">
      <c r="A254" t="str">
        <f>IF('01_Rohdaten'!A254="","",ROW()-1)</f>
        <v/>
      </c>
      <c r="B254" s="17" t="str">
        <f>IF('01_Rohdaten'!A254="","",'01_Rohdaten'!A254)</f>
        <v/>
      </c>
      <c r="C254" s="17" t="str">
        <f>IF(B254="","",INDEX('01_Rohdaten'!B254:D254,'02_Eingaben'!$C$13))</f>
        <v/>
      </c>
      <c r="D254" s="17" t="str">
        <f>IF(C254="","",C254*'02_Eingaben'!$C$15)</f>
        <v/>
      </c>
      <c r="E254" s="17" t="str">
        <f>IF(D254="","",D254*'02_Eingaben'!$C$8)</f>
        <v/>
      </c>
      <c r="F254" s="17" t="str">
        <f>IF(E254="","",AVERAGE(INDEX($E$2:$E$3001,MAX(1,ROW()-1-'02_Eingaben'!$C$17)):INDEX($E$2:$E$3001,MIN('02_Eingaben'!$C$21,ROW()-1+'02_Eingaben'!$C$17))))</f>
        <v/>
      </c>
      <c r="G254" s="17" t="str">
        <f>IF(F254="","",F254-'02_Eingaben'!$C$10)</f>
        <v/>
      </c>
      <c r="H254" t="str">
        <f>IF(F254="","",IF(F254&lt;'02_Eingaben'!$C$18*'02_Eingaben'!$C$10,1,0))</f>
        <v/>
      </c>
      <c r="I254" s="17" t="str">
        <f t="shared" si="3"/>
        <v/>
      </c>
      <c r="J254" s="17" t="str">
        <f>IF(B254="","",IF(B253&lt;'02_Eingaben'!$C$36,0,J253+I253/'02_Eingaben'!$C$8))</f>
        <v/>
      </c>
    </row>
    <row r="255" spans="1:10" x14ac:dyDescent="0.25">
      <c r="A255" t="str">
        <f>IF('01_Rohdaten'!A255="","",ROW()-1)</f>
        <v/>
      </c>
      <c r="B255" s="17" t="str">
        <f>IF('01_Rohdaten'!A255="","",'01_Rohdaten'!A255)</f>
        <v/>
      </c>
      <c r="C255" s="17" t="str">
        <f>IF(B255="","",INDEX('01_Rohdaten'!B255:D255,'02_Eingaben'!$C$13))</f>
        <v/>
      </c>
      <c r="D255" s="17" t="str">
        <f>IF(C255="","",C255*'02_Eingaben'!$C$15)</f>
        <v/>
      </c>
      <c r="E255" s="17" t="str">
        <f>IF(D255="","",D255*'02_Eingaben'!$C$8)</f>
        <v/>
      </c>
      <c r="F255" s="17" t="str">
        <f>IF(E255="","",AVERAGE(INDEX($E$2:$E$3001,MAX(1,ROW()-1-'02_Eingaben'!$C$17)):INDEX($E$2:$E$3001,MIN('02_Eingaben'!$C$21,ROW()-1+'02_Eingaben'!$C$17))))</f>
        <v/>
      </c>
      <c r="G255" s="17" t="str">
        <f>IF(F255="","",F255-'02_Eingaben'!$C$10)</f>
        <v/>
      </c>
      <c r="H255" t="str">
        <f>IF(F255="","",IF(F255&lt;'02_Eingaben'!$C$18*'02_Eingaben'!$C$10,1,0))</f>
        <v/>
      </c>
      <c r="I255" s="17" t="str">
        <f t="shared" si="3"/>
        <v/>
      </c>
      <c r="J255" s="17" t="str">
        <f>IF(B255="","",IF(B254&lt;'02_Eingaben'!$C$36,0,J254+I254/'02_Eingaben'!$C$8))</f>
        <v/>
      </c>
    </row>
    <row r="256" spans="1:10" x14ac:dyDescent="0.25">
      <c r="A256" t="str">
        <f>IF('01_Rohdaten'!A256="","",ROW()-1)</f>
        <v/>
      </c>
      <c r="B256" s="17" t="str">
        <f>IF('01_Rohdaten'!A256="","",'01_Rohdaten'!A256)</f>
        <v/>
      </c>
      <c r="C256" s="17" t="str">
        <f>IF(B256="","",INDEX('01_Rohdaten'!B256:D256,'02_Eingaben'!$C$13))</f>
        <v/>
      </c>
      <c r="D256" s="17" t="str">
        <f>IF(C256="","",C256*'02_Eingaben'!$C$15)</f>
        <v/>
      </c>
      <c r="E256" s="17" t="str">
        <f>IF(D256="","",D256*'02_Eingaben'!$C$8)</f>
        <v/>
      </c>
      <c r="F256" s="17" t="str">
        <f>IF(E256="","",AVERAGE(INDEX($E$2:$E$3001,MAX(1,ROW()-1-'02_Eingaben'!$C$17)):INDEX($E$2:$E$3001,MIN('02_Eingaben'!$C$21,ROW()-1+'02_Eingaben'!$C$17))))</f>
        <v/>
      </c>
      <c r="G256" s="17" t="str">
        <f>IF(F256="","",F256-'02_Eingaben'!$C$10)</f>
        <v/>
      </c>
      <c r="H256" t="str">
        <f>IF(F256="","",IF(F256&lt;'02_Eingaben'!$C$18*'02_Eingaben'!$C$10,1,0))</f>
        <v/>
      </c>
      <c r="I256" s="17" t="str">
        <f t="shared" si="3"/>
        <v/>
      </c>
      <c r="J256" s="17" t="str">
        <f>IF(B256="","",IF(B255&lt;'02_Eingaben'!$C$36,0,J255+I255/'02_Eingaben'!$C$8))</f>
        <v/>
      </c>
    </row>
    <row r="257" spans="1:10" x14ac:dyDescent="0.25">
      <c r="A257" t="str">
        <f>IF('01_Rohdaten'!A257="","",ROW()-1)</f>
        <v/>
      </c>
      <c r="B257" s="17" t="str">
        <f>IF('01_Rohdaten'!A257="","",'01_Rohdaten'!A257)</f>
        <v/>
      </c>
      <c r="C257" s="17" t="str">
        <f>IF(B257="","",INDEX('01_Rohdaten'!B257:D257,'02_Eingaben'!$C$13))</f>
        <v/>
      </c>
      <c r="D257" s="17" t="str">
        <f>IF(C257="","",C257*'02_Eingaben'!$C$15)</f>
        <v/>
      </c>
      <c r="E257" s="17" t="str">
        <f>IF(D257="","",D257*'02_Eingaben'!$C$8)</f>
        <v/>
      </c>
      <c r="F257" s="17" t="str">
        <f>IF(E257="","",AVERAGE(INDEX($E$2:$E$3001,MAX(1,ROW()-1-'02_Eingaben'!$C$17)):INDEX($E$2:$E$3001,MIN('02_Eingaben'!$C$21,ROW()-1+'02_Eingaben'!$C$17))))</f>
        <v/>
      </c>
      <c r="G257" s="17" t="str">
        <f>IF(F257="","",F257-'02_Eingaben'!$C$10)</f>
        <v/>
      </c>
      <c r="H257" t="str">
        <f>IF(F257="","",IF(F257&lt;'02_Eingaben'!$C$18*'02_Eingaben'!$C$10,1,0))</f>
        <v/>
      </c>
      <c r="I257" s="17" t="str">
        <f t="shared" si="3"/>
        <v/>
      </c>
      <c r="J257" s="17" t="str">
        <f>IF(B257="","",IF(B256&lt;'02_Eingaben'!$C$36,0,J256+I256/'02_Eingaben'!$C$8))</f>
        <v/>
      </c>
    </row>
    <row r="258" spans="1:10" x14ac:dyDescent="0.25">
      <c r="A258" t="str">
        <f>IF('01_Rohdaten'!A258="","",ROW()-1)</f>
        <v/>
      </c>
      <c r="B258" s="17" t="str">
        <f>IF('01_Rohdaten'!A258="","",'01_Rohdaten'!A258)</f>
        <v/>
      </c>
      <c r="C258" s="17" t="str">
        <f>IF(B258="","",INDEX('01_Rohdaten'!B258:D258,'02_Eingaben'!$C$13))</f>
        <v/>
      </c>
      <c r="D258" s="17" t="str">
        <f>IF(C258="","",C258*'02_Eingaben'!$C$15)</f>
        <v/>
      </c>
      <c r="E258" s="17" t="str">
        <f>IF(D258="","",D258*'02_Eingaben'!$C$8)</f>
        <v/>
      </c>
      <c r="F258" s="17" t="str">
        <f>IF(E258="","",AVERAGE(INDEX($E$2:$E$3001,MAX(1,ROW()-1-'02_Eingaben'!$C$17)):INDEX($E$2:$E$3001,MIN('02_Eingaben'!$C$21,ROW()-1+'02_Eingaben'!$C$17))))</f>
        <v/>
      </c>
      <c r="G258" s="17" t="str">
        <f>IF(F258="","",F258-'02_Eingaben'!$C$10)</f>
        <v/>
      </c>
      <c r="H258" t="str">
        <f>IF(F258="","",IF(F258&lt;'02_Eingaben'!$C$18*'02_Eingaben'!$C$10,1,0))</f>
        <v/>
      </c>
      <c r="I258" s="17" t="str">
        <f t="shared" ref="I258:I321" si="4">IF(OR(G258="",G259=""),"",(G258+G259)/2*(B259-B258))</f>
        <v/>
      </c>
      <c r="J258" s="17" t="str">
        <f>IF(B258="","",IF(B257&lt;'02_Eingaben'!$C$36,0,J257+I257/'02_Eingaben'!$C$8))</f>
        <v/>
      </c>
    </row>
    <row r="259" spans="1:10" x14ac:dyDescent="0.25">
      <c r="A259" t="str">
        <f>IF('01_Rohdaten'!A259="","",ROW()-1)</f>
        <v/>
      </c>
      <c r="B259" s="17" t="str">
        <f>IF('01_Rohdaten'!A259="","",'01_Rohdaten'!A259)</f>
        <v/>
      </c>
      <c r="C259" s="17" t="str">
        <f>IF(B259="","",INDEX('01_Rohdaten'!B259:D259,'02_Eingaben'!$C$13))</f>
        <v/>
      </c>
      <c r="D259" s="17" t="str">
        <f>IF(C259="","",C259*'02_Eingaben'!$C$15)</f>
        <v/>
      </c>
      <c r="E259" s="17" t="str">
        <f>IF(D259="","",D259*'02_Eingaben'!$C$8)</f>
        <v/>
      </c>
      <c r="F259" s="17" t="str">
        <f>IF(E259="","",AVERAGE(INDEX($E$2:$E$3001,MAX(1,ROW()-1-'02_Eingaben'!$C$17)):INDEX($E$2:$E$3001,MIN('02_Eingaben'!$C$21,ROW()-1+'02_Eingaben'!$C$17))))</f>
        <v/>
      </c>
      <c r="G259" s="17" t="str">
        <f>IF(F259="","",F259-'02_Eingaben'!$C$10)</f>
        <v/>
      </c>
      <c r="H259" t="str">
        <f>IF(F259="","",IF(F259&lt;'02_Eingaben'!$C$18*'02_Eingaben'!$C$10,1,0))</f>
        <v/>
      </c>
      <c r="I259" s="17" t="str">
        <f t="shared" si="4"/>
        <v/>
      </c>
      <c r="J259" s="17" t="str">
        <f>IF(B259="","",IF(B258&lt;'02_Eingaben'!$C$36,0,J258+I258/'02_Eingaben'!$C$8))</f>
        <v/>
      </c>
    </row>
    <row r="260" spans="1:10" x14ac:dyDescent="0.25">
      <c r="A260" t="str">
        <f>IF('01_Rohdaten'!A260="","",ROW()-1)</f>
        <v/>
      </c>
      <c r="B260" s="17" t="str">
        <f>IF('01_Rohdaten'!A260="","",'01_Rohdaten'!A260)</f>
        <v/>
      </c>
      <c r="C260" s="17" t="str">
        <f>IF(B260="","",INDEX('01_Rohdaten'!B260:D260,'02_Eingaben'!$C$13))</f>
        <v/>
      </c>
      <c r="D260" s="17" t="str">
        <f>IF(C260="","",C260*'02_Eingaben'!$C$15)</f>
        <v/>
      </c>
      <c r="E260" s="17" t="str">
        <f>IF(D260="","",D260*'02_Eingaben'!$C$8)</f>
        <v/>
      </c>
      <c r="F260" s="17" t="str">
        <f>IF(E260="","",AVERAGE(INDEX($E$2:$E$3001,MAX(1,ROW()-1-'02_Eingaben'!$C$17)):INDEX($E$2:$E$3001,MIN('02_Eingaben'!$C$21,ROW()-1+'02_Eingaben'!$C$17))))</f>
        <v/>
      </c>
      <c r="G260" s="17" t="str">
        <f>IF(F260="","",F260-'02_Eingaben'!$C$10)</f>
        <v/>
      </c>
      <c r="H260" t="str">
        <f>IF(F260="","",IF(F260&lt;'02_Eingaben'!$C$18*'02_Eingaben'!$C$10,1,0))</f>
        <v/>
      </c>
      <c r="I260" s="17" t="str">
        <f t="shared" si="4"/>
        <v/>
      </c>
      <c r="J260" s="17" t="str">
        <f>IF(B260="","",IF(B259&lt;'02_Eingaben'!$C$36,0,J259+I259/'02_Eingaben'!$C$8))</f>
        <v/>
      </c>
    </row>
    <row r="261" spans="1:10" x14ac:dyDescent="0.25">
      <c r="A261" t="str">
        <f>IF('01_Rohdaten'!A261="","",ROW()-1)</f>
        <v/>
      </c>
      <c r="B261" s="17" t="str">
        <f>IF('01_Rohdaten'!A261="","",'01_Rohdaten'!A261)</f>
        <v/>
      </c>
      <c r="C261" s="17" t="str">
        <f>IF(B261="","",INDEX('01_Rohdaten'!B261:D261,'02_Eingaben'!$C$13))</f>
        <v/>
      </c>
      <c r="D261" s="17" t="str">
        <f>IF(C261="","",C261*'02_Eingaben'!$C$15)</f>
        <v/>
      </c>
      <c r="E261" s="17" t="str">
        <f>IF(D261="","",D261*'02_Eingaben'!$C$8)</f>
        <v/>
      </c>
      <c r="F261" s="17" t="str">
        <f>IF(E261="","",AVERAGE(INDEX($E$2:$E$3001,MAX(1,ROW()-1-'02_Eingaben'!$C$17)):INDEX($E$2:$E$3001,MIN('02_Eingaben'!$C$21,ROW()-1+'02_Eingaben'!$C$17))))</f>
        <v/>
      </c>
      <c r="G261" s="17" t="str">
        <f>IF(F261="","",F261-'02_Eingaben'!$C$10)</f>
        <v/>
      </c>
      <c r="H261" t="str">
        <f>IF(F261="","",IF(F261&lt;'02_Eingaben'!$C$18*'02_Eingaben'!$C$10,1,0))</f>
        <v/>
      </c>
      <c r="I261" s="17" t="str">
        <f t="shared" si="4"/>
        <v/>
      </c>
      <c r="J261" s="17" t="str">
        <f>IF(B261="","",IF(B260&lt;'02_Eingaben'!$C$36,0,J260+I260/'02_Eingaben'!$C$8))</f>
        <v/>
      </c>
    </row>
    <row r="262" spans="1:10" x14ac:dyDescent="0.25">
      <c r="A262" t="str">
        <f>IF('01_Rohdaten'!A262="","",ROW()-1)</f>
        <v/>
      </c>
      <c r="B262" s="17" t="str">
        <f>IF('01_Rohdaten'!A262="","",'01_Rohdaten'!A262)</f>
        <v/>
      </c>
      <c r="C262" s="17" t="str">
        <f>IF(B262="","",INDEX('01_Rohdaten'!B262:D262,'02_Eingaben'!$C$13))</f>
        <v/>
      </c>
      <c r="D262" s="17" t="str">
        <f>IF(C262="","",C262*'02_Eingaben'!$C$15)</f>
        <v/>
      </c>
      <c r="E262" s="17" t="str">
        <f>IF(D262="","",D262*'02_Eingaben'!$C$8)</f>
        <v/>
      </c>
      <c r="F262" s="17" t="str">
        <f>IF(E262="","",AVERAGE(INDEX($E$2:$E$3001,MAX(1,ROW()-1-'02_Eingaben'!$C$17)):INDEX($E$2:$E$3001,MIN('02_Eingaben'!$C$21,ROW()-1+'02_Eingaben'!$C$17))))</f>
        <v/>
      </c>
      <c r="G262" s="17" t="str">
        <f>IF(F262="","",F262-'02_Eingaben'!$C$10)</f>
        <v/>
      </c>
      <c r="H262" t="str">
        <f>IF(F262="","",IF(F262&lt;'02_Eingaben'!$C$18*'02_Eingaben'!$C$10,1,0))</f>
        <v/>
      </c>
      <c r="I262" s="17" t="str">
        <f t="shared" si="4"/>
        <v/>
      </c>
      <c r="J262" s="17" t="str">
        <f>IF(B262="","",IF(B261&lt;'02_Eingaben'!$C$36,0,J261+I261/'02_Eingaben'!$C$8))</f>
        <v/>
      </c>
    </row>
    <row r="263" spans="1:10" x14ac:dyDescent="0.25">
      <c r="A263" t="str">
        <f>IF('01_Rohdaten'!A263="","",ROW()-1)</f>
        <v/>
      </c>
      <c r="B263" s="17" t="str">
        <f>IF('01_Rohdaten'!A263="","",'01_Rohdaten'!A263)</f>
        <v/>
      </c>
      <c r="C263" s="17" t="str">
        <f>IF(B263="","",INDEX('01_Rohdaten'!B263:D263,'02_Eingaben'!$C$13))</f>
        <v/>
      </c>
      <c r="D263" s="17" t="str">
        <f>IF(C263="","",C263*'02_Eingaben'!$C$15)</f>
        <v/>
      </c>
      <c r="E263" s="17" t="str">
        <f>IF(D263="","",D263*'02_Eingaben'!$C$8)</f>
        <v/>
      </c>
      <c r="F263" s="17" t="str">
        <f>IF(E263="","",AVERAGE(INDEX($E$2:$E$3001,MAX(1,ROW()-1-'02_Eingaben'!$C$17)):INDEX($E$2:$E$3001,MIN('02_Eingaben'!$C$21,ROW()-1+'02_Eingaben'!$C$17))))</f>
        <v/>
      </c>
      <c r="G263" s="17" t="str">
        <f>IF(F263="","",F263-'02_Eingaben'!$C$10)</f>
        <v/>
      </c>
      <c r="H263" t="str">
        <f>IF(F263="","",IF(F263&lt;'02_Eingaben'!$C$18*'02_Eingaben'!$C$10,1,0))</f>
        <v/>
      </c>
      <c r="I263" s="17" t="str">
        <f t="shared" si="4"/>
        <v/>
      </c>
      <c r="J263" s="17" t="str">
        <f>IF(B263="","",IF(B262&lt;'02_Eingaben'!$C$36,0,J262+I262/'02_Eingaben'!$C$8))</f>
        <v/>
      </c>
    </row>
    <row r="264" spans="1:10" x14ac:dyDescent="0.25">
      <c r="A264" t="str">
        <f>IF('01_Rohdaten'!A264="","",ROW()-1)</f>
        <v/>
      </c>
      <c r="B264" s="17" t="str">
        <f>IF('01_Rohdaten'!A264="","",'01_Rohdaten'!A264)</f>
        <v/>
      </c>
      <c r="C264" s="17" t="str">
        <f>IF(B264="","",INDEX('01_Rohdaten'!B264:D264,'02_Eingaben'!$C$13))</f>
        <v/>
      </c>
      <c r="D264" s="17" t="str">
        <f>IF(C264="","",C264*'02_Eingaben'!$C$15)</f>
        <v/>
      </c>
      <c r="E264" s="17" t="str">
        <f>IF(D264="","",D264*'02_Eingaben'!$C$8)</f>
        <v/>
      </c>
      <c r="F264" s="17" t="str">
        <f>IF(E264="","",AVERAGE(INDEX($E$2:$E$3001,MAX(1,ROW()-1-'02_Eingaben'!$C$17)):INDEX($E$2:$E$3001,MIN('02_Eingaben'!$C$21,ROW()-1+'02_Eingaben'!$C$17))))</f>
        <v/>
      </c>
      <c r="G264" s="17" t="str">
        <f>IF(F264="","",F264-'02_Eingaben'!$C$10)</f>
        <v/>
      </c>
      <c r="H264" t="str">
        <f>IF(F264="","",IF(F264&lt;'02_Eingaben'!$C$18*'02_Eingaben'!$C$10,1,0))</f>
        <v/>
      </c>
      <c r="I264" s="17" t="str">
        <f t="shared" si="4"/>
        <v/>
      </c>
      <c r="J264" s="17" t="str">
        <f>IF(B264="","",IF(B263&lt;'02_Eingaben'!$C$36,0,J263+I263/'02_Eingaben'!$C$8))</f>
        <v/>
      </c>
    </row>
    <row r="265" spans="1:10" x14ac:dyDescent="0.25">
      <c r="A265" t="str">
        <f>IF('01_Rohdaten'!A265="","",ROW()-1)</f>
        <v/>
      </c>
      <c r="B265" s="17" t="str">
        <f>IF('01_Rohdaten'!A265="","",'01_Rohdaten'!A265)</f>
        <v/>
      </c>
      <c r="C265" s="17" t="str">
        <f>IF(B265="","",INDEX('01_Rohdaten'!B265:D265,'02_Eingaben'!$C$13))</f>
        <v/>
      </c>
      <c r="D265" s="17" t="str">
        <f>IF(C265="","",C265*'02_Eingaben'!$C$15)</f>
        <v/>
      </c>
      <c r="E265" s="17" t="str">
        <f>IF(D265="","",D265*'02_Eingaben'!$C$8)</f>
        <v/>
      </c>
      <c r="F265" s="17" t="str">
        <f>IF(E265="","",AVERAGE(INDEX($E$2:$E$3001,MAX(1,ROW()-1-'02_Eingaben'!$C$17)):INDEX($E$2:$E$3001,MIN('02_Eingaben'!$C$21,ROW()-1+'02_Eingaben'!$C$17))))</f>
        <v/>
      </c>
      <c r="G265" s="17" t="str">
        <f>IF(F265="","",F265-'02_Eingaben'!$C$10)</f>
        <v/>
      </c>
      <c r="H265" t="str">
        <f>IF(F265="","",IF(F265&lt;'02_Eingaben'!$C$18*'02_Eingaben'!$C$10,1,0))</f>
        <v/>
      </c>
      <c r="I265" s="17" t="str">
        <f t="shared" si="4"/>
        <v/>
      </c>
      <c r="J265" s="17" t="str">
        <f>IF(B265="","",IF(B264&lt;'02_Eingaben'!$C$36,0,J264+I264/'02_Eingaben'!$C$8))</f>
        <v/>
      </c>
    </row>
    <row r="266" spans="1:10" x14ac:dyDescent="0.25">
      <c r="A266" t="str">
        <f>IF('01_Rohdaten'!A266="","",ROW()-1)</f>
        <v/>
      </c>
      <c r="B266" s="17" t="str">
        <f>IF('01_Rohdaten'!A266="","",'01_Rohdaten'!A266)</f>
        <v/>
      </c>
      <c r="C266" s="17" t="str">
        <f>IF(B266="","",INDEX('01_Rohdaten'!B266:D266,'02_Eingaben'!$C$13))</f>
        <v/>
      </c>
      <c r="D266" s="17" t="str">
        <f>IF(C266="","",C266*'02_Eingaben'!$C$15)</f>
        <v/>
      </c>
      <c r="E266" s="17" t="str">
        <f>IF(D266="","",D266*'02_Eingaben'!$C$8)</f>
        <v/>
      </c>
      <c r="F266" s="17" t="str">
        <f>IF(E266="","",AVERAGE(INDEX($E$2:$E$3001,MAX(1,ROW()-1-'02_Eingaben'!$C$17)):INDEX($E$2:$E$3001,MIN('02_Eingaben'!$C$21,ROW()-1+'02_Eingaben'!$C$17))))</f>
        <v/>
      </c>
      <c r="G266" s="17" t="str">
        <f>IF(F266="","",F266-'02_Eingaben'!$C$10)</f>
        <v/>
      </c>
      <c r="H266" t="str">
        <f>IF(F266="","",IF(F266&lt;'02_Eingaben'!$C$18*'02_Eingaben'!$C$10,1,0))</f>
        <v/>
      </c>
      <c r="I266" s="17" t="str">
        <f t="shared" si="4"/>
        <v/>
      </c>
      <c r="J266" s="17" t="str">
        <f>IF(B266="","",IF(B265&lt;'02_Eingaben'!$C$36,0,J265+I265/'02_Eingaben'!$C$8))</f>
        <v/>
      </c>
    </row>
    <row r="267" spans="1:10" x14ac:dyDescent="0.25">
      <c r="A267" t="str">
        <f>IF('01_Rohdaten'!A267="","",ROW()-1)</f>
        <v/>
      </c>
      <c r="B267" s="17" t="str">
        <f>IF('01_Rohdaten'!A267="","",'01_Rohdaten'!A267)</f>
        <v/>
      </c>
      <c r="C267" s="17" t="str">
        <f>IF(B267="","",INDEX('01_Rohdaten'!B267:D267,'02_Eingaben'!$C$13))</f>
        <v/>
      </c>
      <c r="D267" s="17" t="str">
        <f>IF(C267="","",C267*'02_Eingaben'!$C$15)</f>
        <v/>
      </c>
      <c r="E267" s="17" t="str">
        <f>IF(D267="","",D267*'02_Eingaben'!$C$8)</f>
        <v/>
      </c>
      <c r="F267" s="17" t="str">
        <f>IF(E267="","",AVERAGE(INDEX($E$2:$E$3001,MAX(1,ROW()-1-'02_Eingaben'!$C$17)):INDEX($E$2:$E$3001,MIN('02_Eingaben'!$C$21,ROW()-1+'02_Eingaben'!$C$17))))</f>
        <v/>
      </c>
      <c r="G267" s="17" t="str">
        <f>IF(F267="","",F267-'02_Eingaben'!$C$10)</f>
        <v/>
      </c>
      <c r="H267" t="str">
        <f>IF(F267="","",IF(F267&lt;'02_Eingaben'!$C$18*'02_Eingaben'!$C$10,1,0))</f>
        <v/>
      </c>
      <c r="I267" s="17" t="str">
        <f t="shared" si="4"/>
        <v/>
      </c>
      <c r="J267" s="17" t="str">
        <f>IF(B267="","",IF(B266&lt;'02_Eingaben'!$C$36,0,J266+I266/'02_Eingaben'!$C$8))</f>
        <v/>
      </c>
    </row>
    <row r="268" spans="1:10" x14ac:dyDescent="0.25">
      <c r="A268" t="str">
        <f>IF('01_Rohdaten'!A268="","",ROW()-1)</f>
        <v/>
      </c>
      <c r="B268" s="17" t="str">
        <f>IF('01_Rohdaten'!A268="","",'01_Rohdaten'!A268)</f>
        <v/>
      </c>
      <c r="C268" s="17" t="str">
        <f>IF(B268="","",INDEX('01_Rohdaten'!B268:D268,'02_Eingaben'!$C$13))</f>
        <v/>
      </c>
      <c r="D268" s="17" t="str">
        <f>IF(C268="","",C268*'02_Eingaben'!$C$15)</f>
        <v/>
      </c>
      <c r="E268" s="17" t="str">
        <f>IF(D268="","",D268*'02_Eingaben'!$C$8)</f>
        <v/>
      </c>
      <c r="F268" s="17" t="str">
        <f>IF(E268="","",AVERAGE(INDEX($E$2:$E$3001,MAX(1,ROW()-1-'02_Eingaben'!$C$17)):INDEX($E$2:$E$3001,MIN('02_Eingaben'!$C$21,ROW()-1+'02_Eingaben'!$C$17))))</f>
        <v/>
      </c>
      <c r="G268" s="17" t="str">
        <f>IF(F268="","",F268-'02_Eingaben'!$C$10)</f>
        <v/>
      </c>
      <c r="H268" t="str">
        <f>IF(F268="","",IF(F268&lt;'02_Eingaben'!$C$18*'02_Eingaben'!$C$10,1,0))</f>
        <v/>
      </c>
      <c r="I268" s="17" t="str">
        <f t="shared" si="4"/>
        <v/>
      </c>
      <c r="J268" s="17" t="str">
        <f>IF(B268="","",IF(B267&lt;'02_Eingaben'!$C$36,0,J267+I267/'02_Eingaben'!$C$8))</f>
        <v/>
      </c>
    </row>
    <row r="269" spans="1:10" x14ac:dyDescent="0.25">
      <c r="A269" t="str">
        <f>IF('01_Rohdaten'!A269="","",ROW()-1)</f>
        <v/>
      </c>
      <c r="B269" s="17" t="str">
        <f>IF('01_Rohdaten'!A269="","",'01_Rohdaten'!A269)</f>
        <v/>
      </c>
      <c r="C269" s="17" t="str">
        <f>IF(B269="","",INDEX('01_Rohdaten'!B269:D269,'02_Eingaben'!$C$13))</f>
        <v/>
      </c>
      <c r="D269" s="17" t="str">
        <f>IF(C269="","",C269*'02_Eingaben'!$C$15)</f>
        <v/>
      </c>
      <c r="E269" s="17" t="str">
        <f>IF(D269="","",D269*'02_Eingaben'!$C$8)</f>
        <v/>
      </c>
      <c r="F269" s="17" t="str">
        <f>IF(E269="","",AVERAGE(INDEX($E$2:$E$3001,MAX(1,ROW()-1-'02_Eingaben'!$C$17)):INDEX($E$2:$E$3001,MIN('02_Eingaben'!$C$21,ROW()-1+'02_Eingaben'!$C$17))))</f>
        <v/>
      </c>
      <c r="G269" s="17" t="str">
        <f>IF(F269="","",F269-'02_Eingaben'!$C$10)</f>
        <v/>
      </c>
      <c r="H269" t="str">
        <f>IF(F269="","",IF(F269&lt;'02_Eingaben'!$C$18*'02_Eingaben'!$C$10,1,0))</f>
        <v/>
      </c>
      <c r="I269" s="17" t="str">
        <f t="shared" si="4"/>
        <v/>
      </c>
      <c r="J269" s="17" t="str">
        <f>IF(B269="","",IF(B268&lt;'02_Eingaben'!$C$36,0,J268+I268/'02_Eingaben'!$C$8))</f>
        <v/>
      </c>
    </row>
    <row r="270" spans="1:10" x14ac:dyDescent="0.25">
      <c r="A270" t="str">
        <f>IF('01_Rohdaten'!A270="","",ROW()-1)</f>
        <v/>
      </c>
      <c r="B270" s="17" t="str">
        <f>IF('01_Rohdaten'!A270="","",'01_Rohdaten'!A270)</f>
        <v/>
      </c>
      <c r="C270" s="17" t="str">
        <f>IF(B270="","",INDEX('01_Rohdaten'!B270:D270,'02_Eingaben'!$C$13))</f>
        <v/>
      </c>
      <c r="D270" s="17" t="str">
        <f>IF(C270="","",C270*'02_Eingaben'!$C$15)</f>
        <v/>
      </c>
      <c r="E270" s="17" t="str">
        <f>IF(D270="","",D270*'02_Eingaben'!$C$8)</f>
        <v/>
      </c>
      <c r="F270" s="17" t="str">
        <f>IF(E270="","",AVERAGE(INDEX($E$2:$E$3001,MAX(1,ROW()-1-'02_Eingaben'!$C$17)):INDEX($E$2:$E$3001,MIN('02_Eingaben'!$C$21,ROW()-1+'02_Eingaben'!$C$17))))</f>
        <v/>
      </c>
      <c r="G270" s="17" t="str">
        <f>IF(F270="","",F270-'02_Eingaben'!$C$10)</f>
        <v/>
      </c>
      <c r="H270" t="str">
        <f>IF(F270="","",IF(F270&lt;'02_Eingaben'!$C$18*'02_Eingaben'!$C$10,1,0))</f>
        <v/>
      </c>
      <c r="I270" s="17" t="str">
        <f t="shared" si="4"/>
        <v/>
      </c>
      <c r="J270" s="17" t="str">
        <f>IF(B270="","",IF(B269&lt;'02_Eingaben'!$C$36,0,J269+I269/'02_Eingaben'!$C$8))</f>
        <v/>
      </c>
    </row>
    <row r="271" spans="1:10" x14ac:dyDescent="0.25">
      <c r="A271" t="str">
        <f>IF('01_Rohdaten'!A271="","",ROW()-1)</f>
        <v/>
      </c>
      <c r="B271" s="17" t="str">
        <f>IF('01_Rohdaten'!A271="","",'01_Rohdaten'!A271)</f>
        <v/>
      </c>
      <c r="C271" s="17" t="str">
        <f>IF(B271="","",INDEX('01_Rohdaten'!B271:D271,'02_Eingaben'!$C$13))</f>
        <v/>
      </c>
      <c r="D271" s="17" t="str">
        <f>IF(C271="","",C271*'02_Eingaben'!$C$15)</f>
        <v/>
      </c>
      <c r="E271" s="17" t="str">
        <f>IF(D271="","",D271*'02_Eingaben'!$C$8)</f>
        <v/>
      </c>
      <c r="F271" s="17" t="str">
        <f>IF(E271="","",AVERAGE(INDEX($E$2:$E$3001,MAX(1,ROW()-1-'02_Eingaben'!$C$17)):INDEX($E$2:$E$3001,MIN('02_Eingaben'!$C$21,ROW()-1+'02_Eingaben'!$C$17))))</f>
        <v/>
      </c>
      <c r="G271" s="17" t="str">
        <f>IF(F271="","",F271-'02_Eingaben'!$C$10)</f>
        <v/>
      </c>
      <c r="H271" t="str">
        <f>IF(F271="","",IF(F271&lt;'02_Eingaben'!$C$18*'02_Eingaben'!$C$10,1,0))</f>
        <v/>
      </c>
      <c r="I271" s="17" t="str">
        <f t="shared" si="4"/>
        <v/>
      </c>
      <c r="J271" s="17" t="str">
        <f>IF(B271="","",IF(B270&lt;'02_Eingaben'!$C$36,0,J270+I270/'02_Eingaben'!$C$8))</f>
        <v/>
      </c>
    </row>
    <row r="272" spans="1:10" x14ac:dyDescent="0.25">
      <c r="A272" t="str">
        <f>IF('01_Rohdaten'!A272="","",ROW()-1)</f>
        <v/>
      </c>
      <c r="B272" s="17" t="str">
        <f>IF('01_Rohdaten'!A272="","",'01_Rohdaten'!A272)</f>
        <v/>
      </c>
      <c r="C272" s="17" t="str">
        <f>IF(B272="","",INDEX('01_Rohdaten'!B272:D272,'02_Eingaben'!$C$13))</f>
        <v/>
      </c>
      <c r="D272" s="17" t="str">
        <f>IF(C272="","",C272*'02_Eingaben'!$C$15)</f>
        <v/>
      </c>
      <c r="E272" s="17" t="str">
        <f>IF(D272="","",D272*'02_Eingaben'!$C$8)</f>
        <v/>
      </c>
      <c r="F272" s="17" t="str">
        <f>IF(E272="","",AVERAGE(INDEX($E$2:$E$3001,MAX(1,ROW()-1-'02_Eingaben'!$C$17)):INDEX($E$2:$E$3001,MIN('02_Eingaben'!$C$21,ROW()-1+'02_Eingaben'!$C$17))))</f>
        <v/>
      </c>
      <c r="G272" s="17" t="str">
        <f>IF(F272="","",F272-'02_Eingaben'!$C$10)</f>
        <v/>
      </c>
      <c r="H272" t="str">
        <f>IF(F272="","",IF(F272&lt;'02_Eingaben'!$C$18*'02_Eingaben'!$C$10,1,0))</f>
        <v/>
      </c>
      <c r="I272" s="17" t="str">
        <f t="shared" si="4"/>
        <v/>
      </c>
      <c r="J272" s="17" t="str">
        <f>IF(B272="","",IF(B271&lt;'02_Eingaben'!$C$36,0,J271+I271/'02_Eingaben'!$C$8))</f>
        <v/>
      </c>
    </row>
    <row r="273" spans="1:10" x14ac:dyDescent="0.25">
      <c r="A273" t="str">
        <f>IF('01_Rohdaten'!A273="","",ROW()-1)</f>
        <v/>
      </c>
      <c r="B273" s="17" t="str">
        <f>IF('01_Rohdaten'!A273="","",'01_Rohdaten'!A273)</f>
        <v/>
      </c>
      <c r="C273" s="17" t="str">
        <f>IF(B273="","",INDEX('01_Rohdaten'!B273:D273,'02_Eingaben'!$C$13))</f>
        <v/>
      </c>
      <c r="D273" s="17" t="str">
        <f>IF(C273="","",C273*'02_Eingaben'!$C$15)</f>
        <v/>
      </c>
      <c r="E273" s="17" t="str">
        <f>IF(D273="","",D273*'02_Eingaben'!$C$8)</f>
        <v/>
      </c>
      <c r="F273" s="17" t="str">
        <f>IF(E273="","",AVERAGE(INDEX($E$2:$E$3001,MAX(1,ROW()-1-'02_Eingaben'!$C$17)):INDEX($E$2:$E$3001,MIN('02_Eingaben'!$C$21,ROW()-1+'02_Eingaben'!$C$17))))</f>
        <v/>
      </c>
      <c r="G273" s="17" t="str">
        <f>IF(F273="","",F273-'02_Eingaben'!$C$10)</f>
        <v/>
      </c>
      <c r="H273" t="str">
        <f>IF(F273="","",IF(F273&lt;'02_Eingaben'!$C$18*'02_Eingaben'!$C$10,1,0))</f>
        <v/>
      </c>
      <c r="I273" s="17" t="str">
        <f t="shared" si="4"/>
        <v/>
      </c>
      <c r="J273" s="17" t="str">
        <f>IF(B273="","",IF(B272&lt;'02_Eingaben'!$C$36,0,J272+I272/'02_Eingaben'!$C$8))</f>
        <v/>
      </c>
    </row>
    <row r="274" spans="1:10" x14ac:dyDescent="0.25">
      <c r="A274" t="str">
        <f>IF('01_Rohdaten'!A274="","",ROW()-1)</f>
        <v/>
      </c>
      <c r="B274" s="17" t="str">
        <f>IF('01_Rohdaten'!A274="","",'01_Rohdaten'!A274)</f>
        <v/>
      </c>
      <c r="C274" s="17" t="str">
        <f>IF(B274="","",INDEX('01_Rohdaten'!B274:D274,'02_Eingaben'!$C$13))</f>
        <v/>
      </c>
      <c r="D274" s="17" t="str">
        <f>IF(C274="","",C274*'02_Eingaben'!$C$15)</f>
        <v/>
      </c>
      <c r="E274" s="17" t="str">
        <f>IF(D274="","",D274*'02_Eingaben'!$C$8)</f>
        <v/>
      </c>
      <c r="F274" s="17" t="str">
        <f>IF(E274="","",AVERAGE(INDEX($E$2:$E$3001,MAX(1,ROW()-1-'02_Eingaben'!$C$17)):INDEX($E$2:$E$3001,MIN('02_Eingaben'!$C$21,ROW()-1+'02_Eingaben'!$C$17))))</f>
        <v/>
      </c>
      <c r="G274" s="17" t="str">
        <f>IF(F274="","",F274-'02_Eingaben'!$C$10)</f>
        <v/>
      </c>
      <c r="H274" t="str">
        <f>IF(F274="","",IF(F274&lt;'02_Eingaben'!$C$18*'02_Eingaben'!$C$10,1,0))</f>
        <v/>
      </c>
      <c r="I274" s="17" t="str">
        <f t="shared" si="4"/>
        <v/>
      </c>
      <c r="J274" s="17" t="str">
        <f>IF(B274="","",IF(B273&lt;'02_Eingaben'!$C$36,0,J273+I273/'02_Eingaben'!$C$8))</f>
        <v/>
      </c>
    </row>
    <row r="275" spans="1:10" x14ac:dyDescent="0.25">
      <c r="A275" t="str">
        <f>IF('01_Rohdaten'!A275="","",ROW()-1)</f>
        <v/>
      </c>
      <c r="B275" s="17" t="str">
        <f>IF('01_Rohdaten'!A275="","",'01_Rohdaten'!A275)</f>
        <v/>
      </c>
      <c r="C275" s="17" t="str">
        <f>IF(B275="","",INDEX('01_Rohdaten'!B275:D275,'02_Eingaben'!$C$13))</f>
        <v/>
      </c>
      <c r="D275" s="17" t="str">
        <f>IF(C275="","",C275*'02_Eingaben'!$C$15)</f>
        <v/>
      </c>
      <c r="E275" s="17" t="str">
        <f>IF(D275="","",D275*'02_Eingaben'!$C$8)</f>
        <v/>
      </c>
      <c r="F275" s="17" t="str">
        <f>IF(E275="","",AVERAGE(INDEX($E$2:$E$3001,MAX(1,ROW()-1-'02_Eingaben'!$C$17)):INDEX($E$2:$E$3001,MIN('02_Eingaben'!$C$21,ROW()-1+'02_Eingaben'!$C$17))))</f>
        <v/>
      </c>
      <c r="G275" s="17" t="str">
        <f>IF(F275="","",F275-'02_Eingaben'!$C$10)</f>
        <v/>
      </c>
      <c r="H275" t="str">
        <f>IF(F275="","",IF(F275&lt;'02_Eingaben'!$C$18*'02_Eingaben'!$C$10,1,0))</f>
        <v/>
      </c>
      <c r="I275" s="17" t="str">
        <f t="shared" si="4"/>
        <v/>
      </c>
      <c r="J275" s="17" t="str">
        <f>IF(B275="","",IF(B274&lt;'02_Eingaben'!$C$36,0,J274+I274/'02_Eingaben'!$C$8))</f>
        <v/>
      </c>
    </row>
    <row r="276" spans="1:10" x14ac:dyDescent="0.25">
      <c r="A276" t="str">
        <f>IF('01_Rohdaten'!A276="","",ROW()-1)</f>
        <v/>
      </c>
      <c r="B276" s="17" t="str">
        <f>IF('01_Rohdaten'!A276="","",'01_Rohdaten'!A276)</f>
        <v/>
      </c>
      <c r="C276" s="17" t="str">
        <f>IF(B276="","",INDEX('01_Rohdaten'!B276:D276,'02_Eingaben'!$C$13))</f>
        <v/>
      </c>
      <c r="D276" s="17" t="str">
        <f>IF(C276="","",C276*'02_Eingaben'!$C$15)</f>
        <v/>
      </c>
      <c r="E276" s="17" t="str">
        <f>IF(D276="","",D276*'02_Eingaben'!$C$8)</f>
        <v/>
      </c>
      <c r="F276" s="17" t="str">
        <f>IF(E276="","",AVERAGE(INDEX($E$2:$E$3001,MAX(1,ROW()-1-'02_Eingaben'!$C$17)):INDEX($E$2:$E$3001,MIN('02_Eingaben'!$C$21,ROW()-1+'02_Eingaben'!$C$17))))</f>
        <v/>
      </c>
      <c r="G276" s="17" t="str">
        <f>IF(F276="","",F276-'02_Eingaben'!$C$10)</f>
        <v/>
      </c>
      <c r="H276" t="str">
        <f>IF(F276="","",IF(F276&lt;'02_Eingaben'!$C$18*'02_Eingaben'!$C$10,1,0))</f>
        <v/>
      </c>
      <c r="I276" s="17" t="str">
        <f t="shared" si="4"/>
        <v/>
      </c>
      <c r="J276" s="17" t="str">
        <f>IF(B276="","",IF(B275&lt;'02_Eingaben'!$C$36,0,J275+I275/'02_Eingaben'!$C$8))</f>
        <v/>
      </c>
    </row>
    <row r="277" spans="1:10" x14ac:dyDescent="0.25">
      <c r="A277" t="str">
        <f>IF('01_Rohdaten'!A277="","",ROW()-1)</f>
        <v/>
      </c>
      <c r="B277" s="17" t="str">
        <f>IF('01_Rohdaten'!A277="","",'01_Rohdaten'!A277)</f>
        <v/>
      </c>
      <c r="C277" s="17" t="str">
        <f>IF(B277="","",INDEX('01_Rohdaten'!B277:D277,'02_Eingaben'!$C$13))</f>
        <v/>
      </c>
      <c r="D277" s="17" t="str">
        <f>IF(C277="","",C277*'02_Eingaben'!$C$15)</f>
        <v/>
      </c>
      <c r="E277" s="17" t="str">
        <f>IF(D277="","",D277*'02_Eingaben'!$C$8)</f>
        <v/>
      </c>
      <c r="F277" s="17" t="str">
        <f>IF(E277="","",AVERAGE(INDEX($E$2:$E$3001,MAX(1,ROW()-1-'02_Eingaben'!$C$17)):INDEX($E$2:$E$3001,MIN('02_Eingaben'!$C$21,ROW()-1+'02_Eingaben'!$C$17))))</f>
        <v/>
      </c>
      <c r="G277" s="17" t="str">
        <f>IF(F277="","",F277-'02_Eingaben'!$C$10)</f>
        <v/>
      </c>
      <c r="H277" t="str">
        <f>IF(F277="","",IF(F277&lt;'02_Eingaben'!$C$18*'02_Eingaben'!$C$10,1,0))</f>
        <v/>
      </c>
      <c r="I277" s="17" t="str">
        <f t="shared" si="4"/>
        <v/>
      </c>
      <c r="J277" s="17" t="str">
        <f>IF(B277="","",IF(B276&lt;'02_Eingaben'!$C$36,0,J276+I276/'02_Eingaben'!$C$8))</f>
        <v/>
      </c>
    </row>
    <row r="278" spans="1:10" x14ac:dyDescent="0.25">
      <c r="A278" t="str">
        <f>IF('01_Rohdaten'!A278="","",ROW()-1)</f>
        <v/>
      </c>
      <c r="B278" s="17" t="str">
        <f>IF('01_Rohdaten'!A278="","",'01_Rohdaten'!A278)</f>
        <v/>
      </c>
      <c r="C278" s="17" t="str">
        <f>IF(B278="","",INDEX('01_Rohdaten'!B278:D278,'02_Eingaben'!$C$13))</f>
        <v/>
      </c>
      <c r="D278" s="17" t="str">
        <f>IF(C278="","",C278*'02_Eingaben'!$C$15)</f>
        <v/>
      </c>
      <c r="E278" s="17" t="str">
        <f>IF(D278="","",D278*'02_Eingaben'!$C$8)</f>
        <v/>
      </c>
      <c r="F278" s="17" t="str">
        <f>IF(E278="","",AVERAGE(INDEX($E$2:$E$3001,MAX(1,ROW()-1-'02_Eingaben'!$C$17)):INDEX($E$2:$E$3001,MIN('02_Eingaben'!$C$21,ROW()-1+'02_Eingaben'!$C$17))))</f>
        <v/>
      </c>
      <c r="G278" s="17" t="str">
        <f>IF(F278="","",F278-'02_Eingaben'!$C$10)</f>
        <v/>
      </c>
      <c r="H278" t="str">
        <f>IF(F278="","",IF(F278&lt;'02_Eingaben'!$C$18*'02_Eingaben'!$C$10,1,0))</f>
        <v/>
      </c>
      <c r="I278" s="17" t="str">
        <f t="shared" si="4"/>
        <v/>
      </c>
      <c r="J278" s="17" t="str">
        <f>IF(B278="","",IF(B277&lt;'02_Eingaben'!$C$36,0,J277+I277/'02_Eingaben'!$C$8))</f>
        <v/>
      </c>
    </row>
    <row r="279" spans="1:10" x14ac:dyDescent="0.25">
      <c r="A279" t="str">
        <f>IF('01_Rohdaten'!A279="","",ROW()-1)</f>
        <v/>
      </c>
      <c r="B279" s="17" t="str">
        <f>IF('01_Rohdaten'!A279="","",'01_Rohdaten'!A279)</f>
        <v/>
      </c>
      <c r="C279" s="17" t="str">
        <f>IF(B279="","",INDEX('01_Rohdaten'!B279:D279,'02_Eingaben'!$C$13))</f>
        <v/>
      </c>
      <c r="D279" s="17" t="str">
        <f>IF(C279="","",C279*'02_Eingaben'!$C$15)</f>
        <v/>
      </c>
      <c r="E279" s="17" t="str">
        <f>IF(D279="","",D279*'02_Eingaben'!$C$8)</f>
        <v/>
      </c>
      <c r="F279" s="17" t="str">
        <f>IF(E279="","",AVERAGE(INDEX($E$2:$E$3001,MAX(1,ROW()-1-'02_Eingaben'!$C$17)):INDEX($E$2:$E$3001,MIN('02_Eingaben'!$C$21,ROW()-1+'02_Eingaben'!$C$17))))</f>
        <v/>
      </c>
      <c r="G279" s="17" t="str">
        <f>IF(F279="","",F279-'02_Eingaben'!$C$10)</f>
        <v/>
      </c>
      <c r="H279" t="str">
        <f>IF(F279="","",IF(F279&lt;'02_Eingaben'!$C$18*'02_Eingaben'!$C$10,1,0))</f>
        <v/>
      </c>
      <c r="I279" s="17" t="str">
        <f t="shared" si="4"/>
        <v/>
      </c>
      <c r="J279" s="17" t="str">
        <f>IF(B279="","",IF(B278&lt;'02_Eingaben'!$C$36,0,J278+I278/'02_Eingaben'!$C$8))</f>
        <v/>
      </c>
    </row>
    <row r="280" spans="1:10" x14ac:dyDescent="0.25">
      <c r="A280" t="str">
        <f>IF('01_Rohdaten'!A280="","",ROW()-1)</f>
        <v/>
      </c>
      <c r="B280" s="17" t="str">
        <f>IF('01_Rohdaten'!A280="","",'01_Rohdaten'!A280)</f>
        <v/>
      </c>
      <c r="C280" s="17" t="str">
        <f>IF(B280="","",INDEX('01_Rohdaten'!B280:D280,'02_Eingaben'!$C$13))</f>
        <v/>
      </c>
      <c r="D280" s="17" t="str">
        <f>IF(C280="","",C280*'02_Eingaben'!$C$15)</f>
        <v/>
      </c>
      <c r="E280" s="17" t="str">
        <f>IF(D280="","",D280*'02_Eingaben'!$C$8)</f>
        <v/>
      </c>
      <c r="F280" s="17" t="str">
        <f>IF(E280="","",AVERAGE(INDEX($E$2:$E$3001,MAX(1,ROW()-1-'02_Eingaben'!$C$17)):INDEX($E$2:$E$3001,MIN('02_Eingaben'!$C$21,ROW()-1+'02_Eingaben'!$C$17))))</f>
        <v/>
      </c>
      <c r="G280" s="17" t="str">
        <f>IF(F280="","",F280-'02_Eingaben'!$C$10)</f>
        <v/>
      </c>
      <c r="H280" t="str">
        <f>IF(F280="","",IF(F280&lt;'02_Eingaben'!$C$18*'02_Eingaben'!$C$10,1,0))</f>
        <v/>
      </c>
      <c r="I280" s="17" t="str">
        <f t="shared" si="4"/>
        <v/>
      </c>
      <c r="J280" s="17" t="str">
        <f>IF(B280="","",IF(B279&lt;'02_Eingaben'!$C$36,0,J279+I279/'02_Eingaben'!$C$8))</f>
        <v/>
      </c>
    </row>
    <row r="281" spans="1:10" x14ac:dyDescent="0.25">
      <c r="A281" t="str">
        <f>IF('01_Rohdaten'!A281="","",ROW()-1)</f>
        <v/>
      </c>
      <c r="B281" s="17" t="str">
        <f>IF('01_Rohdaten'!A281="","",'01_Rohdaten'!A281)</f>
        <v/>
      </c>
      <c r="C281" s="17" t="str">
        <f>IF(B281="","",INDEX('01_Rohdaten'!B281:D281,'02_Eingaben'!$C$13))</f>
        <v/>
      </c>
      <c r="D281" s="17" t="str">
        <f>IF(C281="","",C281*'02_Eingaben'!$C$15)</f>
        <v/>
      </c>
      <c r="E281" s="17" t="str">
        <f>IF(D281="","",D281*'02_Eingaben'!$C$8)</f>
        <v/>
      </c>
      <c r="F281" s="17" t="str">
        <f>IF(E281="","",AVERAGE(INDEX($E$2:$E$3001,MAX(1,ROW()-1-'02_Eingaben'!$C$17)):INDEX($E$2:$E$3001,MIN('02_Eingaben'!$C$21,ROW()-1+'02_Eingaben'!$C$17))))</f>
        <v/>
      </c>
      <c r="G281" s="17" t="str">
        <f>IF(F281="","",F281-'02_Eingaben'!$C$10)</f>
        <v/>
      </c>
      <c r="H281" t="str">
        <f>IF(F281="","",IF(F281&lt;'02_Eingaben'!$C$18*'02_Eingaben'!$C$10,1,0))</f>
        <v/>
      </c>
      <c r="I281" s="17" t="str">
        <f t="shared" si="4"/>
        <v/>
      </c>
      <c r="J281" s="17" t="str">
        <f>IF(B281="","",IF(B280&lt;'02_Eingaben'!$C$36,0,J280+I280/'02_Eingaben'!$C$8))</f>
        <v/>
      </c>
    </row>
    <row r="282" spans="1:10" x14ac:dyDescent="0.25">
      <c r="A282" t="str">
        <f>IF('01_Rohdaten'!A282="","",ROW()-1)</f>
        <v/>
      </c>
      <c r="B282" s="17" t="str">
        <f>IF('01_Rohdaten'!A282="","",'01_Rohdaten'!A282)</f>
        <v/>
      </c>
      <c r="C282" s="17" t="str">
        <f>IF(B282="","",INDEX('01_Rohdaten'!B282:D282,'02_Eingaben'!$C$13))</f>
        <v/>
      </c>
      <c r="D282" s="17" t="str">
        <f>IF(C282="","",C282*'02_Eingaben'!$C$15)</f>
        <v/>
      </c>
      <c r="E282" s="17" t="str">
        <f>IF(D282="","",D282*'02_Eingaben'!$C$8)</f>
        <v/>
      </c>
      <c r="F282" s="17" t="str">
        <f>IF(E282="","",AVERAGE(INDEX($E$2:$E$3001,MAX(1,ROW()-1-'02_Eingaben'!$C$17)):INDEX($E$2:$E$3001,MIN('02_Eingaben'!$C$21,ROW()-1+'02_Eingaben'!$C$17))))</f>
        <v/>
      </c>
      <c r="G282" s="17" t="str">
        <f>IF(F282="","",F282-'02_Eingaben'!$C$10)</f>
        <v/>
      </c>
      <c r="H282" t="str">
        <f>IF(F282="","",IF(F282&lt;'02_Eingaben'!$C$18*'02_Eingaben'!$C$10,1,0))</f>
        <v/>
      </c>
      <c r="I282" s="17" t="str">
        <f t="shared" si="4"/>
        <v/>
      </c>
      <c r="J282" s="17" t="str">
        <f>IF(B282="","",IF(B281&lt;'02_Eingaben'!$C$36,0,J281+I281/'02_Eingaben'!$C$8))</f>
        <v/>
      </c>
    </row>
    <row r="283" spans="1:10" x14ac:dyDescent="0.25">
      <c r="A283" t="str">
        <f>IF('01_Rohdaten'!A283="","",ROW()-1)</f>
        <v/>
      </c>
      <c r="B283" s="17" t="str">
        <f>IF('01_Rohdaten'!A283="","",'01_Rohdaten'!A283)</f>
        <v/>
      </c>
      <c r="C283" s="17" t="str">
        <f>IF(B283="","",INDEX('01_Rohdaten'!B283:D283,'02_Eingaben'!$C$13))</f>
        <v/>
      </c>
      <c r="D283" s="17" t="str">
        <f>IF(C283="","",C283*'02_Eingaben'!$C$15)</f>
        <v/>
      </c>
      <c r="E283" s="17" t="str">
        <f>IF(D283="","",D283*'02_Eingaben'!$C$8)</f>
        <v/>
      </c>
      <c r="F283" s="17" t="str">
        <f>IF(E283="","",AVERAGE(INDEX($E$2:$E$3001,MAX(1,ROW()-1-'02_Eingaben'!$C$17)):INDEX($E$2:$E$3001,MIN('02_Eingaben'!$C$21,ROW()-1+'02_Eingaben'!$C$17))))</f>
        <v/>
      </c>
      <c r="G283" s="17" t="str">
        <f>IF(F283="","",F283-'02_Eingaben'!$C$10)</f>
        <v/>
      </c>
      <c r="H283" t="str">
        <f>IF(F283="","",IF(F283&lt;'02_Eingaben'!$C$18*'02_Eingaben'!$C$10,1,0))</f>
        <v/>
      </c>
      <c r="I283" s="17" t="str">
        <f t="shared" si="4"/>
        <v/>
      </c>
      <c r="J283" s="17" t="str">
        <f>IF(B283="","",IF(B282&lt;'02_Eingaben'!$C$36,0,J282+I282/'02_Eingaben'!$C$8))</f>
        <v/>
      </c>
    </row>
    <row r="284" spans="1:10" x14ac:dyDescent="0.25">
      <c r="A284" t="str">
        <f>IF('01_Rohdaten'!A284="","",ROW()-1)</f>
        <v/>
      </c>
      <c r="B284" s="17" t="str">
        <f>IF('01_Rohdaten'!A284="","",'01_Rohdaten'!A284)</f>
        <v/>
      </c>
      <c r="C284" s="17" t="str">
        <f>IF(B284="","",INDEX('01_Rohdaten'!B284:D284,'02_Eingaben'!$C$13))</f>
        <v/>
      </c>
      <c r="D284" s="17" t="str">
        <f>IF(C284="","",C284*'02_Eingaben'!$C$15)</f>
        <v/>
      </c>
      <c r="E284" s="17" t="str">
        <f>IF(D284="","",D284*'02_Eingaben'!$C$8)</f>
        <v/>
      </c>
      <c r="F284" s="17" t="str">
        <f>IF(E284="","",AVERAGE(INDEX($E$2:$E$3001,MAX(1,ROW()-1-'02_Eingaben'!$C$17)):INDEX($E$2:$E$3001,MIN('02_Eingaben'!$C$21,ROW()-1+'02_Eingaben'!$C$17))))</f>
        <v/>
      </c>
      <c r="G284" s="17" t="str">
        <f>IF(F284="","",F284-'02_Eingaben'!$C$10)</f>
        <v/>
      </c>
      <c r="H284" t="str">
        <f>IF(F284="","",IF(F284&lt;'02_Eingaben'!$C$18*'02_Eingaben'!$C$10,1,0))</f>
        <v/>
      </c>
      <c r="I284" s="17" t="str">
        <f t="shared" si="4"/>
        <v/>
      </c>
      <c r="J284" s="17" t="str">
        <f>IF(B284="","",IF(B283&lt;'02_Eingaben'!$C$36,0,J283+I283/'02_Eingaben'!$C$8))</f>
        <v/>
      </c>
    </row>
    <row r="285" spans="1:10" x14ac:dyDescent="0.25">
      <c r="A285" t="str">
        <f>IF('01_Rohdaten'!A285="","",ROW()-1)</f>
        <v/>
      </c>
      <c r="B285" s="17" t="str">
        <f>IF('01_Rohdaten'!A285="","",'01_Rohdaten'!A285)</f>
        <v/>
      </c>
      <c r="C285" s="17" t="str">
        <f>IF(B285="","",INDEX('01_Rohdaten'!B285:D285,'02_Eingaben'!$C$13))</f>
        <v/>
      </c>
      <c r="D285" s="17" t="str">
        <f>IF(C285="","",C285*'02_Eingaben'!$C$15)</f>
        <v/>
      </c>
      <c r="E285" s="17" t="str">
        <f>IF(D285="","",D285*'02_Eingaben'!$C$8)</f>
        <v/>
      </c>
      <c r="F285" s="17" t="str">
        <f>IF(E285="","",AVERAGE(INDEX($E$2:$E$3001,MAX(1,ROW()-1-'02_Eingaben'!$C$17)):INDEX($E$2:$E$3001,MIN('02_Eingaben'!$C$21,ROW()-1+'02_Eingaben'!$C$17))))</f>
        <v/>
      </c>
      <c r="G285" s="17" t="str">
        <f>IF(F285="","",F285-'02_Eingaben'!$C$10)</f>
        <v/>
      </c>
      <c r="H285" t="str">
        <f>IF(F285="","",IF(F285&lt;'02_Eingaben'!$C$18*'02_Eingaben'!$C$10,1,0))</f>
        <v/>
      </c>
      <c r="I285" s="17" t="str">
        <f t="shared" si="4"/>
        <v/>
      </c>
      <c r="J285" s="17" t="str">
        <f>IF(B285="","",IF(B284&lt;'02_Eingaben'!$C$36,0,J284+I284/'02_Eingaben'!$C$8))</f>
        <v/>
      </c>
    </row>
    <row r="286" spans="1:10" x14ac:dyDescent="0.25">
      <c r="A286" t="str">
        <f>IF('01_Rohdaten'!A286="","",ROW()-1)</f>
        <v/>
      </c>
      <c r="B286" s="17" t="str">
        <f>IF('01_Rohdaten'!A286="","",'01_Rohdaten'!A286)</f>
        <v/>
      </c>
      <c r="C286" s="17" t="str">
        <f>IF(B286="","",INDEX('01_Rohdaten'!B286:D286,'02_Eingaben'!$C$13))</f>
        <v/>
      </c>
      <c r="D286" s="17" t="str">
        <f>IF(C286="","",C286*'02_Eingaben'!$C$15)</f>
        <v/>
      </c>
      <c r="E286" s="17" t="str">
        <f>IF(D286="","",D286*'02_Eingaben'!$C$8)</f>
        <v/>
      </c>
      <c r="F286" s="17" t="str">
        <f>IF(E286="","",AVERAGE(INDEX($E$2:$E$3001,MAX(1,ROW()-1-'02_Eingaben'!$C$17)):INDEX($E$2:$E$3001,MIN('02_Eingaben'!$C$21,ROW()-1+'02_Eingaben'!$C$17))))</f>
        <v/>
      </c>
      <c r="G286" s="17" t="str">
        <f>IF(F286="","",F286-'02_Eingaben'!$C$10)</f>
        <v/>
      </c>
      <c r="H286" t="str">
        <f>IF(F286="","",IF(F286&lt;'02_Eingaben'!$C$18*'02_Eingaben'!$C$10,1,0))</f>
        <v/>
      </c>
      <c r="I286" s="17" t="str">
        <f t="shared" si="4"/>
        <v/>
      </c>
      <c r="J286" s="17" t="str">
        <f>IF(B286="","",IF(B285&lt;'02_Eingaben'!$C$36,0,J285+I285/'02_Eingaben'!$C$8))</f>
        <v/>
      </c>
    </row>
    <row r="287" spans="1:10" x14ac:dyDescent="0.25">
      <c r="A287" t="str">
        <f>IF('01_Rohdaten'!A287="","",ROW()-1)</f>
        <v/>
      </c>
      <c r="B287" s="17" t="str">
        <f>IF('01_Rohdaten'!A287="","",'01_Rohdaten'!A287)</f>
        <v/>
      </c>
      <c r="C287" s="17" t="str">
        <f>IF(B287="","",INDEX('01_Rohdaten'!B287:D287,'02_Eingaben'!$C$13))</f>
        <v/>
      </c>
      <c r="D287" s="17" t="str">
        <f>IF(C287="","",C287*'02_Eingaben'!$C$15)</f>
        <v/>
      </c>
      <c r="E287" s="17" t="str">
        <f>IF(D287="","",D287*'02_Eingaben'!$C$8)</f>
        <v/>
      </c>
      <c r="F287" s="17" t="str">
        <f>IF(E287="","",AVERAGE(INDEX($E$2:$E$3001,MAX(1,ROW()-1-'02_Eingaben'!$C$17)):INDEX($E$2:$E$3001,MIN('02_Eingaben'!$C$21,ROW()-1+'02_Eingaben'!$C$17))))</f>
        <v/>
      </c>
      <c r="G287" s="17" t="str">
        <f>IF(F287="","",F287-'02_Eingaben'!$C$10)</f>
        <v/>
      </c>
      <c r="H287" t="str">
        <f>IF(F287="","",IF(F287&lt;'02_Eingaben'!$C$18*'02_Eingaben'!$C$10,1,0))</f>
        <v/>
      </c>
      <c r="I287" s="17" t="str">
        <f t="shared" si="4"/>
        <v/>
      </c>
      <c r="J287" s="17" t="str">
        <f>IF(B287="","",IF(B286&lt;'02_Eingaben'!$C$36,0,J286+I286/'02_Eingaben'!$C$8))</f>
        <v/>
      </c>
    </row>
    <row r="288" spans="1:10" x14ac:dyDescent="0.25">
      <c r="A288" t="str">
        <f>IF('01_Rohdaten'!A288="","",ROW()-1)</f>
        <v/>
      </c>
      <c r="B288" s="17" t="str">
        <f>IF('01_Rohdaten'!A288="","",'01_Rohdaten'!A288)</f>
        <v/>
      </c>
      <c r="C288" s="17" t="str">
        <f>IF(B288="","",INDEX('01_Rohdaten'!B288:D288,'02_Eingaben'!$C$13))</f>
        <v/>
      </c>
      <c r="D288" s="17" t="str">
        <f>IF(C288="","",C288*'02_Eingaben'!$C$15)</f>
        <v/>
      </c>
      <c r="E288" s="17" t="str">
        <f>IF(D288="","",D288*'02_Eingaben'!$C$8)</f>
        <v/>
      </c>
      <c r="F288" s="17" t="str">
        <f>IF(E288="","",AVERAGE(INDEX($E$2:$E$3001,MAX(1,ROW()-1-'02_Eingaben'!$C$17)):INDEX($E$2:$E$3001,MIN('02_Eingaben'!$C$21,ROW()-1+'02_Eingaben'!$C$17))))</f>
        <v/>
      </c>
      <c r="G288" s="17" t="str">
        <f>IF(F288="","",F288-'02_Eingaben'!$C$10)</f>
        <v/>
      </c>
      <c r="H288" t="str">
        <f>IF(F288="","",IF(F288&lt;'02_Eingaben'!$C$18*'02_Eingaben'!$C$10,1,0))</f>
        <v/>
      </c>
      <c r="I288" s="17" t="str">
        <f t="shared" si="4"/>
        <v/>
      </c>
      <c r="J288" s="17" t="str">
        <f>IF(B288="","",IF(B287&lt;'02_Eingaben'!$C$36,0,J287+I287/'02_Eingaben'!$C$8))</f>
        <v/>
      </c>
    </row>
    <row r="289" spans="1:10" x14ac:dyDescent="0.25">
      <c r="A289" t="str">
        <f>IF('01_Rohdaten'!A289="","",ROW()-1)</f>
        <v/>
      </c>
      <c r="B289" s="17" t="str">
        <f>IF('01_Rohdaten'!A289="","",'01_Rohdaten'!A289)</f>
        <v/>
      </c>
      <c r="C289" s="17" t="str">
        <f>IF(B289="","",INDEX('01_Rohdaten'!B289:D289,'02_Eingaben'!$C$13))</f>
        <v/>
      </c>
      <c r="D289" s="17" t="str">
        <f>IF(C289="","",C289*'02_Eingaben'!$C$15)</f>
        <v/>
      </c>
      <c r="E289" s="17" t="str">
        <f>IF(D289="","",D289*'02_Eingaben'!$C$8)</f>
        <v/>
      </c>
      <c r="F289" s="17" t="str">
        <f>IF(E289="","",AVERAGE(INDEX($E$2:$E$3001,MAX(1,ROW()-1-'02_Eingaben'!$C$17)):INDEX($E$2:$E$3001,MIN('02_Eingaben'!$C$21,ROW()-1+'02_Eingaben'!$C$17))))</f>
        <v/>
      </c>
      <c r="G289" s="17" t="str">
        <f>IF(F289="","",F289-'02_Eingaben'!$C$10)</f>
        <v/>
      </c>
      <c r="H289" t="str">
        <f>IF(F289="","",IF(F289&lt;'02_Eingaben'!$C$18*'02_Eingaben'!$C$10,1,0))</f>
        <v/>
      </c>
      <c r="I289" s="17" t="str">
        <f t="shared" si="4"/>
        <v/>
      </c>
      <c r="J289" s="17" t="str">
        <f>IF(B289="","",IF(B288&lt;'02_Eingaben'!$C$36,0,J288+I288/'02_Eingaben'!$C$8))</f>
        <v/>
      </c>
    </row>
    <row r="290" spans="1:10" x14ac:dyDescent="0.25">
      <c r="A290" t="str">
        <f>IF('01_Rohdaten'!A290="","",ROW()-1)</f>
        <v/>
      </c>
      <c r="B290" s="17" t="str">
        <f>IF('01_Rohdaten'!A290="","",'01_Rohdaten'!A290)</f>
        <v/>
      </c>
      <c r="C290" s="17" t="str">
        <f>IF(B290="","",INDEX('01_Rohdaten'!B290:D290,'02_Eingaben'!$C$13))</f>
        <v/>
      </c>
      <c r="D290" s="17" t="str">
        <f>IF(C290="","",C290*'02_Eingaben'!$C$15)</f>
        <v/>
      </c>
      <c r="E290" s="17" t="str">
        <f>IF(D290="","",D290*'02_Eingaben'!$C$8)</f>
        <v/>
      </c>
      <c r="F290" s="17" t="str">
        <f>IF(E290="","",AVERAGE(INDEX($E$2:$E$3001,MAX(1,ROW()-1-'02_Eingaben'!$C$17)):INDEX($E$2:$E$3001,MIN('02_Eingaben'!$C$21,ROW()-1+'02_Eingaben'!$C$17))))</f>
        <v/>
      </c>
      <c r="G290" s="17" t="str">
        <f>IF(F290="","",F290-'02_Eingaben'!$C$10)</f>
        <v/>
      </c>
      <c r="H290" t="str">
        <f>IF(F290="","",IF(F290&lt;'02_Eingaben'!$C$18*'02_Eingaben'!$C$10,1,0))</f>
        <v/>
      </c>
      <c r="I290" s="17" t="str">
        <f t="shared" si="4"/>
        <v/>
      </c>
      <c r="J290" s="17" t="str">
        <f>IF(B290="","",IF(B289&lt;'02_Eingaben'!$C$36,0,J289+I289/'02_Eingaben'!$C$8))</f>
        <v/>
      </c>
    </row>
    <row r="291" spans="1:10" x14ac:dyDescent="0.25">
      <c r="A291" t="str">
        <f>IF('01_Rohdaten'!A291="","",ROW()-1)</f>
        <v/>
      </c>
      <c r="B291" s="17" t="str">
        <f>IF('01_Rohdaten'!A291="","",'01_Rohdaten'!A291)</f>
        <v/>
      </c>
      <c r="C291" s="17" t="str">
        <f>IF(B291="","",INDEX('01_Rohdaten'!B291:D291,'02_Eingaben'!$C$13))</f>
        <v/>
      </c>
      <c r="D291" s="17" t="str">
        <f>IF(C291="","",C291*'02_Eingaben'!$C$15)</f>
        <v/>
      </c>
      <c r="E291" s="17" t="str">
        <f>IF(D291="","",D291*'02_Eingaben'!$C$8)</f>
        <v/>
      </c>
      <c r="F291" s="17" t="str">
        <f>IF(E291="","",AVERAGE(INDEX($E$2:$E$3001,MAX(1,ROW()-1-'02_Eingaben'!$C$17)):INDEX($E$2:$E$3001,MIN('02_Eingaben'!$C$21,ROW()-1+'02_Eingaben'!$C$17))))</f>
        <v/>
      </c>
      <c r="G291" s="17" t="str">
        <f>IF(F291="","",F291-'02_Eingaben'!$C$10)</f>
        <v/>
      </c>
      <c r="H291" t="str">
        <f>IF(F291="","",IF(F291&lt;'02_Eingaben'!$C$18*'02_Eingaben'!$C$10,1,0))</f>
        <v/>
      </c>
      <c r="I291" s="17" t="str">
        <f t="shared" si="4"/>
        <v/>
      </c>
      <c r="J291" s="17" t="str">
        <f>IF(B291="","",IF(B290&lt;'02_Eingaben'!$C$36,0,J290+I290/'02_Eingaben'!$C$8))</f>
        <v/>
      </c>
    </row>
    <row r="292" spans="1:10" x14ac:dyDescent="0.25">
      <c r="A292" t="str">
        <f>IF('01_Rohdaten'!A292="","",ROW()-1)</f>
        <v/>
      </c>
      <c r="B292" s="17" t="str">
        <f>IF('01_Rohdaten'!A292="","",'01_Rohdaten'!A292)</f>
        <v/>
      </c>
      <c r="C292" s="17" t="str">
        <f>IF(B292="","",INDEX('01_Rohdaten'!B292:D292,'02_Eingaben'!$C$13))</f>
        <v/>
      </c>
      <c r="D292" s="17" t="str">
        <f>IF(C292="","",C292*'02_Eingaben'!$C$15)</f>
        <v/>
      </c>
      <c r="E292" s="17" t="str">
        <f>IF(D292="","",D292*'02_Eingaben'!$C$8)</f>
        <v/>
      </c>
      <c r="F292" s="17" t="str">
        <f>IF(E292="","",AVERAGE(INDEX($E$2:$E$3001,MAX(1,ROW()-1-'02_Eingaben'!$C$17)):INDEX($E$2:$E$3001,MIN('02_Eingaben'!$C$21,ROW()-1+'02_Eingaben'!$C$17))))</f>
        <v/>
      </c>
      <c r="G292" s="17" t="str">
        <f>IF(F292="","",F292-'02_Eingaben'!$C$10)</f>
        <v/>
      </c>
      <c r="H292" t="str">
        <f>IF(F292="","",IF(F292&lt;'02_Eingaben'!$C$18*'02_Eingaben'!$C$10,1,0))</f>
        <v/>
      </c>
      <c r="I292" s="17" t="str">
        <f t="shared" si="4"/>
        <v/>
      </c>
      <c r="J292" s="17" t="str">
        <f>IF(B292="","",IF(B291&lt;'02_Eingaben'!$C$36,0,J291+I291/'02_Eingaben'!$C$8))</f>
        <v/>
      </c>
    </row>
    <row r="293" spans="1:10" x14ac:dyDescent="0.25">
      <c r="A293" t="str">
        <f>IF('01_Rohdaten'!A293="","",ROW()-1)</f>
        <v/>
      </c>
      <c r="B293" s="17" t="str">
        <f>IF('01_Rohdaten'!A293="","",'01_Rohdaten'!A293)</f>
        <v/>
      </c>
      <c r="C293" s="17" t="str">
        <f>IF(B293="","",INDEX('01_Rohdaten'!B293:D293,'02_Eingaben'!$C$13))</f>
        <v/>
      </c>
      <c r="D293" s="17" t="str">
        <f>IF(C293="","",C293*'02_Eingaben'!$C$15)</f>
        <v/>
      </c>
      <c r="E293" s="17" t="str">
        <f>IF(D293="","",D293*'02_Eingaben'!$C$8)</f>
        <v/>
      </c>
      <c r="F293" s="17" t="str">
        <f>IF(E293="","",AVERAGE(INDEX($E$2:$E$3001,MAX(1,ROW()-1-'02_Eingaben'!$C$17)):INDEX($E$2:$E$3001,MIN('02_Eingaben'!$C$21,ROW()-1+'02_Eingaben'!$C$17))))</f>
        <v/>
      </c>
      <c r="G293" s="17" t="str">
        <f>IF(F293="","",F293-'02_Eingaben'!$C$10)</f>
        <v/>
      </c>
      <c r="H293" t="str">
        <f>IF(F293="","",IF(F293&lt;'02_Eingaben'!$C$18*'02_Eingaben'!$C$10,1,0))</f>
        <v/>
      </c>
      <c r="I293" s="17" t="str">
        <f t="shared" si="4"/>
        <v/>
      </c>
      <c r="J293" s="17" t="str">
        <f>IF(B293="","",IF(B292&lt;'02_Eingaben'!$C$36,0,J292+I292/'02_Eingaben'!$C$8))</f>
        <v/>
      </c>
    </row>
    <row r="294" spans="1:10" x14ac:dyDescent="0.25">
      <c r="A294" t="str">
        <f>IF('01_Rohdaten'!A294="","",ROW()-1)</f>
        <v/>
      </c>
      <c r="B294" s="17" t="str">
        <f>IF('01_Rohdaten'!A294="","",'01_Rohdaten'!A294)</f>
        <v/>
      </c>
      <c r="C294" s="17" t="str">
        <f>IF(B294="","",INDEX('01_Rohdaten'!B294:D294,'02_Eingaben'!$C$13))</f>
        <v/>
      </c>
      <c r="D294" s="17" t="str">
        <f>IF(C294="","",C294*'02_Eingaben'!$C$15)</f>
        <v/>
      </c>
      <c r="E294" s="17" t="str">
        <f>IF(D294="","",D294*'02_Eingaben'!$C$8)</f>
        <v/>
      </c>
      <c r="F294" s="17" t="str">
        <f>IF(E294="","",AVERAGE(INDEX($E$2:$E$3001,MAX(1,ROW()-1-'02_Eingaben'!$C$17)):INDEX($E$2:$E$3001,MIN('02_Eingaben'!$C$21,ROW()-1+'02_Eingaben'!$C$17))))</f>
        <v/>
      </c>
      <c r="G294" s="17" t="str">
        <f>IF(F294="","",F294-'02_Eingaben'!$C$10)</f>
        <v/>
      </c>
      <c r="H294" t="str">
        <f>IF(F294="","",IF(F294&lt;'02_Eingaben'!$C$18*'02_Eingaben'!$C$10,1,0))</f>
        <v/>
      </c>
      <c r="I294" s="17" t="str">
        <f t="shared" si="4"/>
        <v/>
      </c>
      <c r="J294" s="17" t="str">
        <f>IF(B294="","",IF(B293&lt;'02_Eingaben'!$C$36,0,J293+I293/'02_Eingaben'!$C$8))</f>
        <v/>
      </c>
    </row>
    <row r="295" spans="1:10" x14ac:dyDescent="0.25">
      <c r="A295" t="str">
        <f>IF('01_Rohdaten'!A295="","",ROW()-1)</f>
        <v/>
      </c>
      <c r="B295" s="17" t="str">
        <f>IF('01_Rohdaten'!A295="","",'01_Rohdaten'!A295)</f>
        <v/>
      </c>
      <c r="C295" s="17" t="str">
        <f>IF(B295="","",INDEX('01_Rohdaten'!B295:D295,'02_Eingaben'!$C$13))</f>
        <v/>
      </c>
      <c r="D295" s="17" t="str">
        <f>IF(C295="","",C295*'02_Eingaben'!$C$15)</f>
        <v/>
      </c>
      <c r="E295" s="17" t="str">
        <f>IF(D295="","",D295*'02_Eingaben'!$C$8)</f>
        <v/>
      </c>
      <c r="F295" s="17" t="str">
        <f>IF(E295="","",AVERAGE(INDEX($E$2:$E$3001,MAX(1,ROW()-1-'02_Eingaben'!$C$17)):INDEX($E$2:$E$3001,MIN('02_Eingaben'!$C$21,ROW()-1+'02_Eingaben'!$C$17))))</f>
        <v/>
      </c>
      <c r="G295" s="17" t="str">
        <f>IF(F295="","",F295-'02_Eingaben'!$C$10)</f>
        <v/>
      </c>
      <c r="H295" t="str">
        <f>IF(F295="","",IF(F295&lt;'02_Eingaben'!$C$18*'02_Eingaben'!$C$10,1,0))</f>
        <v/>
      </c>
      <c r="I295" s="17" t="str">
        <f t="shared" si="4"/>
        <v/>
      </c>
      <c r="J295" s="17" t="str">
        <f>IF(B295="","",IF(B294&lt;'02_Eingaben'!$C$36,0,J294+I294/'02_Eingaben'!$C$8))</f>
        <v/>
      </c>
    </row>
    <row r="296" spans="1:10" x14ac:dyDescent="0.25">
      <c r="A296" t="str">
        <f>IF('01_Rohdaten'!A296="","",ROW()-1)</f>
        <v/>
      </c>
      <c r="B296" s="17" t="str">
        <f>IF('01_Rohdaten'!A296="","",'01_Rohdaten'!A296)</f>
        <v/>
      </c>
      <c r="C296" s="17" t="str">
        <f>IF(B296="","",INDEX('01_Rohdaten'!B296:D296,'02_Eingaben'!$C$13))</f>
        <v/>
      </c>
      <c r="D296" s="17" t="str">
        <f>IF(C296="","",C296*'02_Eingaben'!$C$15)</f>
        <v/>
      </c>
      <c r="E296" s="17" t="str">
        <f>IF(D296="","",D296*'02_Eingaben'!$C$8)</f>
        <v/>
      </c>
      <c r="F296" s="17" t="str">
        <f>IF(E296="","",AVERAGE(INDEX($E$2:$E$3001,MAX(1,ROW()-1-'02_Eingaben'!$C$17)):INDEX($E$2:$E$3001,MIN('02_Eingaben'!$C$21,ROW()-1+'02_Eingaben'!$C$17))))</f>
        <v/>
      </c>
      <c r="G296" s="17" t="str">
        <f>IF(F296="","",F296-'02_Eingaben'!$C$10)</f>
        <v/>
      </c>
      <c r="H296" t="str">
        <f>IF(F296="","",IF(F296&lt;'02_Eingaben'!$C$18*'02_Eingaben'!$C$10,1,0))</f>
        <v/>
      </c>
      <c r="I296" s="17" t="str">
        <f t="shared" si="4"/>
        <v/>
      </c>
      <c r="J296" s="17" t="str">
        <f>IF(B296="","",IF(B295&lt;'02_Eingaben'!$C$36,0,J295+I295/'02_Eingaben'!$C$8))</f>
        <v/>
      </c>
    </row>
    <row r="297" spans="1:10" x14ac:dyDescent="0.25">
      <c r="A297" t="str">
        <f>IF('01_Rohdaten'!A297="","",ROW()-1)</f>
        <v/>
      </c>
      <c r="B297" s="17" t="str">
        <f>IF('01_Rohdaten'!A297="","",'01_Rohdaten'!A297)</f>
        <v/>
      </c>
      <c r="C297" s="17" t="str">
        <f>IF(B297="","",INDEX('01_Rohdaten'!B297:D297,'02_Eingaben'!$C$13))</f>
        <v/>
      </c>
      <c r="D297" s="17" t="str">
        <f>IF(C297="","",C297*'02_Eingaben'!$C$15)</f>
        <v/>
      </c>
      <c r="E297" s="17" t="str">
        <f>IF(D297="","",D297*'02_Eingaben'!$C$8)</f>
        <v/>
      </c>
      <c r="F297" s="17" t="str">
        <f>IF(E297="","",AVERAGE(INDEX($E$2:$E$3001,MAX(1,ROW()-1-'02_Eingaben'!$C$17)):INDEX($E$2:$E$3001,MIN('02_Eingaben'!$C$21,ROW()-1+'02_Eingaben'!$C$17))))</f>
        <v/>
      </c>
      <c r="G297" s="17" t="str">
        <f>IF(F297="","",F297-'02_Eingaben'!$C$10)</f>
        <v/>
      </c>
      <c r="H297" t="str">
        <f>IF(F297="","",IF(F297&lt;'02_Eingaben'!$C$18*'02_Eingaben'!$C$10,1,0))</f>
        <v/>
      </c>
      <c r="I297" s="17" t="str">
        <f t="shared" si="4"/>
        <v/>
      </c>
      <c r="J297" s="17" t="str">
        <f>IF(B297="","",IF(B296&lt;'02_Eingaben'!$C$36,0,J296+I296/'02_Eingaben'!$C$8))</f>
        <v/>
      </c>
    </row>
    <row r="298" spans="1:10" x14ac:dyDescent="0.25">
      <c r="A298" t="str">
        <f>IF('01_Rohdaten'!A298="","",ROW()-1)</f>
        <v/>
      </c>
      <c r="B298" s="17" t="str">
        <f>IF('01_Rohdaten'!A298="","",'01_Rohdaten'!A298)</f>
        <v/>
      </c>
      <c r="C298" s="17" t="str">
        <f>IF(B298="","",INDEX('01_Rohdaten'!B298:D298,'02_Eingaben'!$C$13))</f>
        <v/>
      </c>
      <c r="D298" s="17" t="str">
        <f>IF(C298="","",C298*'02_Eingaben'!$C$15)</f>
        <v/>
      </c>
      <c r="E298" s="17" t="str">
        <f>IF(D298="","",D298*'02_Eingaben'!$C$8)</f>
        <v/>
      </c>
      <c r="F298" s="17" t="str">
        <f>IF(E298="","",AVERAGE(INDEX($E$2:$E$3001,MAX(1,ROW()-1-'02_Eingaben'!$C$17)):INDEX($E$2:$E$3001,MIN('02_Eingaben'!$C$21,ROW()-1+'02_Eingaben'!$C$17))))</f>
        <v/>
      </c>
      <c r="G298" s="17" t="str">
        <f>IF(F298="","",F298-'02_Eingaben'!$C$10)</f>
        <v/>
      </c>
      <c r="H298" t="str">
        <f>IF(F298="","",IF(F298&lt;'02_Eingaben'!$C$18*'02_Eingaben'!$C$10,1,0))</f>
        <v/>
      </c>
      <c r="I298" s="17" t="str">
        <f t="shared" si="4"/>
        <v/>
      </c>
      <c r="J298" s="17" t="str">
        <f>IF(B298="","",IF(B297&lt;'02_Eingaben'!$C$36,0,J297+I297/'02_Eingaben'!$C$8))</f>
        <v/>
      </c>
    </row>
    <row r="299" spans="1:10" x14ac:dyDescent="0.25">
      <c r="A299" t="str">
        <f>IF('01_Rohdaten'!A299="","",ROW()-1)</f>
        <v/>
      </c>
      <c r="B299" s="17" t="str">
        <f>IF('01_Rohdaten'!A299="","",'01_Rohdaten'!A299)</f>
        <v/>
      </c>
      <c r="C299" s="17" t="str">
        <f>IF(B299="","",INDEX('01_Rohdaten'!B299:D299,'02_Eingaben'!$C$13))</f>
        <v/>
      </c>
      <c r="D299" s="17" t="str">
        <f>IF(C299="","",C299*'02_Eingaben'!$C$15)</f>
        <v/>
      </c>
      <c r="E299" s="17" t="str">
        <f>IF(D299="","",D299*'02_Eingaben'!$C$8)</f>
        <v/>
      </c>
      <c r="F299" s="17" t="str">
        <f>IF(E299="","",AVERAGE(INDEX($E$2:$E$3001,MAX(1,ROW()-1-'02_Eingaben'!$C$17)):INDEX($E$2:$E$3001,MIN('02_Eingaben'!$C$21,ROW()-1+'02_Eingaben'!$C$17))))</f>
        <v/>
      </c>
      <c r="G299" s="17" t="str">
        <f>IF(F299="","",F299-'02_Eingaben'!$C$10)</f>
        <v/>
      </c>
      <c r="H299" t="str">
        <f>IF(F299="","",IF(F299&lt;'02_Eingaben'!$C$18*'02_Eingaben'!$C$10,1,0))</f>
        <v/>
      </c>
      <c r="I299" s="17" t="str">
        <f t="shared" si="4"/>
        <v/>
      </c>
      <c r="J299" s="17" t="str">
        <f>IF(B299="","",IF(B298&lt;'02_Eingaben'!$C$36,0,J298+I298/'02_Eingaben'!$C$8))</f>
        <v/>
      </c>
    </row>
    <row r="300" spans="1:10" x14ac:dyDescent="0.25">
      <c r="A300" t="str">
        <f>IF('01_Rohdaten'!A300="","",ROW()-1)</f>
        <v/>
      </c>
      <c r="B300" s="17" t="str">
        <f>IF('01_Rohdaten'!A300="","",'01_Rohdaten'!A300)</f>
        <v/>
      </c>
      <c r="C300" s="17" t="str">
        <f>IF(B300="","",INDEX('01_Rohdaten'!B300:D300,'02_Eingaben'!$C$13))</f>
        <v/>
      </c>
      <c r="D300" s="17" t="str">
        <f>IF(C300="","",C300*'02_Eingaben'!$C$15)</f>
        <v/>
      </c>
      <c r="E300" s="17" t="str">
        <f>IF(D300="","",D300*'02_Eingaben'!$C$8)</f>
        <v/>
      </c>
      <c r="F300" s="17" t="str">
        <f>IF(E300="","",AVERAGE(INDEX($E$2:$E$3001,MAX(1,ROW()-1-'02_Eingaben'!$C$17)):INDEX($E$2:$E$3001,MIN('02_Eingaben'!$C$21,ROW()-1+'02_Eingaben'!$C$17))))</f>
        <v/>
      </c>
      <c r="G300" s="17" t="str">
        <f>IF(F300="","",F300-'02_Eingaben'!$C$10)</f>
        <v/>
      </c>
      <c r="H300" t="str">
        <f>IF(F300="","",IF(F300&lt;'02_Eingaben'!$C$18*'02_Eingaben'!$C$10,1,0))</f>
        <v/>
      </c>
      <c r="I300" s="17" t="str">
        <f t="shared" si="4"/>
        <v/>
      </c>
      <c r="J300" s="17" t="str">
        <f>IF(B300="","",IF(B299&lt;'02_Eingaben'!$C$36,0,J299+I299/'02_Eingaben'!$C$8))</f>
        <v/>
      </c>
    </row>
    <row r="301" spans="1:10" x14ac:dyDescent="0.25">
      <c r="A301" t="str">
        <f>IF('01_Rohdaten'!A301="","",ROW()-1)</f>
        <v/>
      </c>
      <c r="B301" s="17" t="str">
        <f>IF('01_Rohdaten'!A301="","",'01_Rohdaten'!A301)</f>
        <v/>
      </c>
      <c r="C301" s="17" t="str">
        <f>IF(B301="","",INDEX('01_Rohdaten'!B301:D301,'02_Eingaben'!$C$13))</f>
        <v/>
      </c>
      <c r="D301" s="17" t="str">
        <f>IF(C301="","",C301*'02_Eingaben'!$C$15)</f>
        <v/>
      </c>
      <c r="E301" s="17" t="str">
        <f>IF(D301="","",D301*'02_Eingaben'!$C$8)</f>
        <v/>
      </c>
      <c r="F301" s="17" t="str">
        <f>IF(E301="","",AVERAGE(INDEX($E$2:$E$3001,MAX(1,ROW()-1-'02_Eingaben'!$C$17)):INDEX($E$2:$E$3001,MIN('02_Eingaben'!$C$21,ROW()-1+'02_Eingaben'!$C$17))))</f>
        <v/>
      </c>
      <c r="G301" s="17" t="str">
        <f>IF(F301="","",F301-'02_Eingaben'!$C$10)</f>
        <v/>
      </c>
      <c r="H301" t="str">
        <f>IF(F301="","",IF(F301&lt;'02_Eingaben'!$C$18*'02_Eingaben'!$C$10,1,0))</f>
        <v/>
      </c>
      <c r="I301" s="17" t="str">
        <f t="shared" si="4"/>
        <v/>
      </c>
      <c r="J301" s="17" t="str">
        <f>IF(B301="","",IF(B300&lt;'02_Eingaben'!$C$36,0,J300+I300/'02_Eingaben'!$C$8))</f>
        <v/>
      </c>
    </row>
    <row r="302" spans="1:10" x14ac:dyDescent="0.25">
      <c r="A302" t="str">
        <f>IF('01_Rohdaten'!A302="","",ROW()-1)</f>
        <v/>
      </c>
      <c r="B302" s="17" t="str">
        <f>IF('01_Rohdaten'!A302="","",'01_Rohdaten'!A302)</f>
        <v/>
      </c>
      <c r="C302" s="17" t="str">
        <f>IF(B302="","",INDEX('01_Rohdaten'!B302:D302,'02_Eingaben'!$C$13))</f>
        <v/>
      </c>
      <c r="D302" s="17" t="str">
        <f>IF(C302="","",C302*'02_Eingaben'!$C$15)</f>
        <v/>
      </c>
      <c r="E302" s="17" t="str">
        <f>IF(D302="","",D302*'02_Eingaben'!$C$8)</f>
        <v/>
      </c>
      <c r="F302" s="17" t="str">
        <f>IF(E302="","",AVERAGE(INDEX($E$2:$E$3001,MAX(1,ROW()-1-'02_Eingaben'!$C$17)):INDEX($E$2:$E$3001,MIN('02_Eingaben'!$C$21,ROW()-1+'02_Eingaben'!$C$17))))</f>
        <v/>
      </c>
      <c r="G302" s="17" t="str">
        <f>IF(F302="","",F302-'02_Eingaben'!$C$10)</f>
        <v/>
      </c>
      <c r="H302" t="str">
        <f>IF(F302="","",IF(F302&lt;'02_Eingaben'!$C$18*'02_Eingaben'!$C$10,1,0))</f>
        <v/>
      </c>
      <c r="I302" s="17" t="str">
        <f t="shared" si="4"/>
        <v/>
      </c>
      <c r="J302" s="17" t="str">
        <f>IF(B302="","",IF(B301&lt;'02_Eingaben'!$C$36,0,J301+I301/'02_Eingaben'!$C$8))</f>
        <v/>
      </c>
    </row>
    <row r="303" spans="1:10" x14ac:dyDescent="0.25">
      <c r="A303" t="str">
        <f>IF('01_Rohdaten'!A303="","",ROW()-1)</f>
        <v/>
      </c>
      <c r="B303" s="17" t="str">
        <f>IF('01_Rohdaten'!A303="","",'01_Rohdaten'!A303)</f>
        <v/>
      </c>
      <c r="C303" s="17" t="str">
        <f>IF(B303="","",INDEX('01_Rohdaten'!B303:D303,'02_Eingaben'!$C$13))</f>
        <v/>
      </c>
      <c r="D303" s="17" t="str">
        <f>IF(C303="","",C303*'02_Eingaben'!$C$15)</f>
        <v/>
      </c>
      <c r="E303" s="17" t="str">
        <f>IF(D303="","",D303*'02_Eingaben'!$C$8)</f>
        <v/>
      </c>
      <c r="F303" s="17" t="str">
        <f>IF(E303="","",AVERAGE(INDEX($E$2:$E$3001,MAX(1,ROW()-1-'02_Eingaben'!$C$17)):INDEX($E$2:$E$3001,MIN('02_Eingaben'!$C$21,ROW()-1+'02_Eingaben'!$C$17))))</f>
        <v/>
      </c>
      <c r="G303" s="17" t="str">
        <f>IF(F303="","",F303-'02_Eingaben'!$C$10)</f>
        <v/>
      </c>
      <c r="H303" t="str">
        <f>IF(F303="","",IF(F303&lt;'02_Eingaben'!$C$18*'02_Eingaben'!$C$10,1,0))</f>
        <v/>
      </c>
      <c r="I303" s="17" t="str">
        <f t="shared" si="4"/>
        <v/>
      </c>
      <c r="J303" s="17" t="str">
        <f>IF(B303="","",IF(B302&lt;'02_Eingaben'!$C$36,0,J302+I302/'02_Eingaben'!$C$8))</f>
        <v/>
      </c>
    </row>
    <row r="304" spans="1:10" x14ac:dyDescent="0.25">
      <c r="A304" t="str">
        <f>IF('01_Rohdaten'!A304="","",ROW()-1)</f>
        <v/>
      </c>
      <c r="B304" s="17" t="str">
        <f>IF('01_Rohdaten'!A304="","",'01_Rohdaten'!A304)</f>
        <v/>
      </c>
      <c r="C304" s="17" t="str">
        <f>IF(B304="","",INDEX('01_Rohdaten'!B304:D304,'02_Eingaben'!$C$13))</f>
        <v/>
      </c>
      <c r="D304" s="17" t="str">
        <f>IF(C304="","",C304*'02_Eingaben'!$C$15)</f>
        <v/>
      </c>
      <c r="E304" s="17" t="str">
        <f>IF(D304="","",D304*'02_Eingaben'!$C$8)</f>
        <v/>
      </c>
      <c r="F304" s="17" t="str">
        <f>IF(E304="","",AVERAGE(INDEX($E$2:$E$3001,MAX(1,ROW()-1-'02_Eingaben'!$C$17)):INDEX($E$2:$E$3001,MIN('02_Eingaben'!$C$21,ROW()-1+'02_Eingaben'!$C$17))))</f>
        <v/>
      </c>
      <c r="G304" s="17" t="str">
        <f>IF(F304="","",F304-'02_Eingaben'!$C$10)</f>
        <v/>
      </c>
      <c r="H304" t="str">
        <f>IF(F304="","",IF(F304&lt;'02_Eingaben'!$C$18*'02_Eingaben'!$C$10,1,0))</f>
        <v/>
      </c>
      <c r="I304" s="17" t="str">
        <f t="shared" si="4"/>
        <v/>
      </c>
      <c r="J304" s="17" t="str">
        <f>IF(B304="","",IF(B303&lt;'02_Eingaben'!$C$36,0,J303+I303/'02_Eingaben'!$C$8))</f>
        <v/>
      </c>
    </row>
    <row r="305" spans="1:10" x14ac:dyDescent="0.25">
      <c r="A305" t="str">
        <f>IF('01_Rohdaten'!A305="","",ROW()-1)</f>
        <v/>
      </c>
      <c r="B305" s="17" t="str">
        <f>IF('01_Rohdaten'!A305="","",'01_Rohdaten'!A305)</f>
        <v/>
      </c>
      <c r="C305" s="17" t="str">
        <f>IF(B305="","",INDEX('01_Rohdaten'!B305:D305,'02_Eingaben'!$C$13))</f>
        <v/>
      </c>
      <c r="D305" s="17" t="str">
        <f>IF(C305="","",C305*'02_Eingaben'!$C$15)</f>
        <v/>
      </c>
      <c r="E305" s="17" t="str">
        <f>IF(D305="","",D305*'02_Eingaben'!$C$8)</f>
        <v/>
      </c>
      <c r="F305" s="17" t="str">
        <f>IF(E305="","",AVERAGE(INDEX($E$2:$E$3001,MAX(1,ROW()-1-'02_Eingaben'!$C$17)):INDEX($E$2:$E$3001,MIN('02_Eingaben'!$C$21,ROW()-1+'02_Eingaben'!$C$17))))</f>
        <v/>
      </c>
      <c r="G305" s="17" t="str">
        <f>IF(F305="","",F305-'02_Eingaben'!$C$10)</f>
        <v/>
      </c>
      <c r="H305" t="str">
        <f>IF(F305="","",IF(F305&lt;'02_Eingaben'!$C$18*'02_Eingaben'!$C$10,1,0))</f>
        <v/>
      </c>
      <c r="I305" s="17" t="str">
        <f t="shared" si="4"/>
        <v/>
      </c>
      <c r="J305" s="17" t="str">
        <f>IF(B305="","",IF(B304&lt;'02_Eingaben'!$C$36,0,J304+I304/'02_Eingaben'!$C$8))</f>
        <v/>
      </c>
    </row>
    <row r="306" spans="1:10" x14ac:dyDescent="0.25">
      <c r="A306" t="str">
        <f>IF('01_Rohdaten'!A306="","",ROW()-1)</f>
        <v/>
      </c>
      <c r="B306" s="17" t="str">
        <f>IF('01_Rohdaten'!A306="","",'01_Rohdaten'!A306)</f>
        <v/>
      </c>
      <c r="C306" s="17" t="str">
        <f>IF(B306="","",INDEX('01_Rohdaten'!B306:D306,'02_Eingaben'!$C$13))</f>
        <v/>
      </c>
      <c r="D306" s="17" t="str">
        <f>IF(C306="","",C306*'02_Eingaben'!$C$15)</f>
        <v/>
      </c>
      <c r="E306" s="17" t="str">
        <f>IF(D306="","",D306*'02_Eingaben'!$C$8)</f>
        <v/>
      </c>
      <c r="F306" s="17" t="str">
        <f>IF(E306="","",AVERAGE(INDEX($E$2:$E$3001,MAX(1,ROW()-1-'02_Eingaben'!$C$17)):INDEX($E$2:$E$3001,MIN('02_Eingaben'!$C$21,ROW()-1+'02_Eingaben'!$C$17))))</f>
        <v/>
      </c>
      <c r="G306" s="17" t="str">
        <f>IF(F306="","",F306-'02_Eingaben'!$C$10)</f>
        <v/>
      </c>
      <c r="H306" t="str">
        <f>IF(F306="","",IF(F306&lt;'02_Eingaben'!$C$18*'02_Eingaben'!$C$10,1,0))</f>
        <v/>
      </c>
      <c r="I306" s="17" t="str">
        <f t="shared" si="4"/>
        <v/>
      </c>
      <c r="J306" s="17" t="str">
        <f>IF(B306="","",IF(B305&lt;'02_Eingaben'!$C$36,0,J305+I305/'02_Eingaben'!$C$8))</f>
        <v/>
      </c>
    </row>
    <row r="307" spans="1:10" x14ac:dyDescent="0.25">
      <c r="A307" t="str">
        <f>IF('01_Rohdaten'!A307="","",ROW()-1)</f>
        <v/>
      </c>
      <c r="B307" s="17" t="str">
        <f>IF('01_Rohdaten'!A307="","",'01_Rohdaten'!A307)</f>
        <v/>
      </c>
      <c r="C307" s="17" t="str">
        <f>IF(B307="","",INDEX('01_Rohdaten'!B307:D307,'02_Eingaben'!$C$13))</f>
        <v/>
      </c>
      <c r="D307" s="17" t="str">
        <f>IF(C307="","",C307*'02_Eingaben'!$C$15)</f>
        <v/>
      </c>
      <c r="E307" s="17" t="str">
        <f>IF(D307="","",D307*'02_Eingaben'!$C$8)</f>
        <v/>
      </c>
      <c r="F307" s="17" t="str">
        <f>IF(E307="","",AVERAGE(INDEX($E$2:$E$3001,MAX(1,ROW()-1-'02_Eingaben'!$C$17)):INDEX($E$2:$E$3001,MIN('02_Eingaben'!$C$21,ROW()-1+'02_Eingaben'!$C$17))))</f>
        <v/>
      </c>
      <c r="G307" s="17" t="str">
        <f>IF(F307="","",F307-'02_Eingaben'!$C$10)</f>
        <v/>
      </c>
      <c r="H307" t="str">
        <f>IF(F307="","",IF(F307&lt;'02_Eingaben'!$C$18*'02_Eingaben'!$C$10,1,0))</f>
        <v/>
      </c>
      <c r="I307" s="17" t="str">
        <f t="shared" si="4"/>
        <v/>
      </c>
      <c r="J307" s="17" t="str">
        <f>IF(B307="","",IF(B306&lt;'02_Eingaben'!$C$36,0,J306+I306/'02_Eingaben'!$C$8))</f>
        <v/>
      </c>
    </row>
    <row r="308" spans="1:10" x14ac:dyDescent="0.25">
      <c r="A308" t="str">
        <f>IF('01_Rohdaten'!A308="","",ROW()-1)</f>
        <v/>
      </c>
      <c r="B308" s="17" t="str">
        <f>IF('01_Rohdaten'!A308="","",'01_Rohdaten'!A308)</f>
        <v/>
      </c>
      <c r="C308" s="17" t="str">
        <f>IF(B308="","",INDEX('01_Rohdaten'!B308:D308,'02_Eingaben'!$C$13))</f>
        <v/>
      </c>
      <c r="D308" s="17" t="str">
        <f>IF(C308="","",C308*'02_Eingaben'!$C$15)</f>
        <v/>
      </c>
      <c r="E308" s="17" t="str">
        <f>IF(D308="","",D308*'02_Eingaben'!$C$8)</f>
        <v/>
      </c>
      <c r="F308" s="17" t="str">
        <f>IF(E308="","",AVERAGE(INDEX($E$2:$E$3001,MAX(1,ROW()-1-'02_Eingaben'!$C$17)):INDEX($E$2:$E$3001,MIN('02_Eingaben'!$C$21,ROW()-1+'02_Eingaben'!$C$17))))</f>
        <v/>
      </c>
      <c r="G308" s="17" t="str">
        <f>IF(F308="","",F308-'02_Eingaben'!$C$10)</f>
        <v/>
      </c>
      <c r="H308" t="str">
        <f>IF(F308="","",IF(F308&lt;'02_Eingaben'!$C$18*'02_Eingaben'!$C$10,1,0))</f>
        <v/>
      </c>
      <c r="I308" s="17" t="str">
        <f t="shared" si="4"/>
        <v/>
      </c>
      <c r="J308" s="17" t="str">
        <f>IF(B308="","",IF(B307&lt;'02_Eingaben'!$C$36,0,J307+I307/'02_Eingaben'!$C$8))</f>
        <v/>
      </c>
    </row>
    <row r="309" spans="1:10" x14ac:dyDescent="0.25">
      <c r="A309" t="str">
        <f>IF('01_Rohdaten'!A309="","",ROW()-1)</f>
        <v/>
      </c>
      <c r="B309" s="17" t="str">
        <f>IF('01_Rohdaten'!A309="","",'01_Rohdaten'!A309)</f>
        <v/>
      </c>
      <c r="C309" s="17" t="str">
        <f>IF(B309="","",INDEX('01_Rohdaten'!B309:D309,'02_Eingaben'!$C$13))</f>
        <v/>
      </c>
      <c r="D309" s="17" t="str">
        <f>IF(C309="","",C309*'02_Eingaben'!$C$15)</f>
        <v/>
      </c>
      <c r="E309" s="17" t="str">
        <f>IF(D309="","",D309*'02_Eingaben'!$C$8)</f>
        <v/>
      </c>
      <c r="F309" s="17" t="str">
        <f>IF(E309="","",AVERAGE(INDEX($E$2:$E$3001,MAX(1,ROW()-1-'02_Eingaben'!$C$17)):INDEX($E$2:$E$3001,MIN('02_Eingaben'!$C$21,ROW()-1+'02_Eingaben'!$C$17))))</f>
        <v/>
      </c>
      <c r="G309" s="17" t="str">
        <f>IF(F309="","",F309-'02_Eingaben'!$C$10)</f>
        <v/>
      </c>
      <c r="H309" t="str">
        <f>IF(F309="","",IF(F309&lt;'02_Eingaben'!$C$18*'02_Eingaben'!$C$10,1,0))</f>
        <v/>
      </c>
      <c r="I309" s="17" t="str">
        <f t="shared" si="4"/>
        <v/>
      </c>
      <c r="J309" s="17" t="str">
        <f>IF(B309="","",IF(B308&lt;'02_Eingaben'!$C$36,0,J308+I308/'02_Eingaben'!$C$8))</f>
        <v/>
      </c>
    </row>
    <row r="310" spans="1:10" x14ac:dyDescent="0.25">
      <c r="A310" t="str">
        <f>IF('01_Rohdaten'!A310="","",ROW()-1)</f>
        <v/>
      </c>
      <c r="B310" s="17" t="str">
        <f>IF('01_Rohdaten'!A310="","",'01_Rohdaten'!A310)</f>
        <v/>
      </c>
      <c r="C310" s="17" t="str">
        <f>IF(B310="","",INDEX('01_Rohdaten'!B310:D310,'02_Eingaben'!$C$13))</f>
        <v/>
      </c>
      <c r="D310" s="17" t="str">
        <f>IF(C310="","",C310*'02_Eingaben'!$C$15)</f>
        <v/>
      </c>
      <c r="E310" s="17" t="str">
        <f>IF(D310="","",D310*'02_Eingaben'!$C$8)</f>
        <v/>
      </c>
      <c r="F310" s="17" t="str">
        <f>IF(E310="","",AVERAGE(INDEX($E$2:$E$3001,MAX(1,ROW()-1-'02_Eingaben'!$C$17)):INDEX($E$2:$E$3001,MIN('02_Eingaben'!$C$21,ROW()-1+'02_Eingaben'!$C$17))))</f>
        <v/>
      </c>
      <c r="G310" s="17" t="str">
        <f>IF(F310="","",F310-'02_Eingaben'!$C$10)</f>
        <v/>
      </c>
      <c r="H310" t="str">
        <f>IF(F310="","",IF(F310&lt;'02_Eingaben'!$C$18*'02_Eingaben'!$C$10,1,0))</f>
        <v/>
      </c>
      <c r="I310" s="17" t="str">
        <f t="shared" si="4"/>
        <v/>
      </c>
      <c r="J310" s="17" t="str">
        <f>IF(B310="","",IF(B309&lt;'02_Eingaben'!$C$36,0,J309+I309/'02_Eingaben'!$C$8))</f>
        <v/>
      </c>
    </row>
    <row r="311" spans="1:10" x14ac:dyDescent="0.25">
      <c r="A311" t="str">
        <f>IF('01_Rohdaten'!A311="","",ROW()-1)</f>
        <v/>
      </c>
      <c r="B311" s="17" t="str">
        <f>IF('01_Rohdaten'!A311="","",'01_Rohdaten'!A311)</f>
        <v/>
      </c>
      <c r="C311" s="17" t="str">
        <f>IF(B311="","",INDEX('01_Rohdaten'!B311:D311,'02_Eingaben'!$C$13))</f>
        <v/>
      </c>
      <c r="D311" s="17" t="str">
        <f>IF(C311="","",C311*'02_Eingaben'!$C$15)</f>
        <v/>
      </c>
      <c r="E311" s="17" t="str">
        <f>IF(D311="","",D311*'02_Eingaben'!$C$8)</f>
        <v/>
      </c>
      <c r="F311" s="17" t="str">
        <f>IF(E311="","",AVERAGE(INDEX($E$2:$E$3001,MAX(1,ROW()-1-'02_Eingaben'!$C$17)):INDEX($E$2:$E$3001,MIN('02_Eingaben'!$C$21,ROW()-1+'02_Eingaben'!$C$17))))</f>
        <v/>
      </c>
      <c r="G311" s="17" t="str">
        <f>IF(F311="","",F311-'02_Eingaben'!$C$10)</f>
        <v/>
      </c>
      <c r="H311" t="str">
        <f>IF(F311="","",IF(F311&lt;'02_Eingaben'!$C$18*'02_Eingaben'!$C$10,1,0))</f>
        <v/>
      </c>
      <c r="I311" s="17" t="str">
        <f t="shared" si="4"/>
        <v/>
      </c>
      <c r="J311" s="17" t="str">
        <f>IF(B311="","",IF(B310&lt;'02_Eingaben'!$C$36,0,J310+I310/'02_Eingaben'!$C$8))</f>
        <v/>
      </c>
    </row>
    <row r="312" spans="1:10" x14ac:dyDescent="0.25">
      <c r="A312" t="str">
        <f>IF('01_Rohdaten'!A312="","",ROW()-1)</f>
        <v/>
      </c>
      <c r="B312" s="17" t="str">
        <f>IF('01_Rohdaten'!A312="","",'01_Rohdaten'!A312)</f>
        <v/>
      </c>
      <c r="C312" s="17" t="str">
        <f>IF(B312="","",INDEX('01_Rohdaten'!B312:D312,'02_Eingaben'!$C$13))</f>
        <v/>
      </c>
      <c r="D312" s="17" t="str">
        <f>IF(C312="","",C312*'02_Eingaben'!$C$15)</f>
        <v/>
      </c>
      <c r="E312" s="17" t="str">
        <f>IF(D312="","",D312*'02_Eingaben'!$C$8)</f>
        <v/>
      </c>
      <c r="F312" s="17" t="str">
        <f>IF(E312="","",AVERAGE(INDEX($E$2:$E$3001,MAX(1,ROW()-1-'02_Eingaben'!$C$17)):INDEX($E$2:$E$3001,MIN('02_Eingaben'!$C$21,ROW()-1+'02_Eingaben'!$C$17))))</f>
        <v/>
      </c>
      <c r="G312" s="17" t="str">
        <f>IF(F312="","",F312-'02_Eingaben'!$C$10)</f>
        <v/>
      </c>
      <c r="H312" t="str">
        <f>IF(F312="","",IF(F312&lt;'02_Eingaben'!$C$18*'02_Eingaben'!$C$10,1,0))</f>
        <v/>
      </c>
      <c r="I312" s="17" t="str">
        <f t="shared" si="4"/>
        <v/>
      </c>
      <c r="J312" s="17" t="str">
        <f>IF(B312="","",IF(B311&lt;'02_Eingaben'!$C$36,0,J311+I311/'02_Eingaben'!$C$8))</f>
        <v/>
      </c>
    </row>
    <row r="313" spans="1:10" x14ac:dyDescent="0.25">
      <c r="A313" t="str">
        <f>IF('01_Rohdaten'!A313="","",ROW()-1)</f>
        <v/>
      </c>
      <c r="B313" s="17" t="str">
        <f>IF('01_Rohdaten'!A313="","",'01_Rohdaten'!A313)</f>
        <v/>
      </c>
      <c r="C313" s="17" t="str">
        <f>IF(B313="","",INDEX('01_Rohdaten'!B313:D313,'02_Eingaben'!$C$13))</f>
        <v/>
      </c>
      <c r="D313" s="17" t="str">
        <f>IF(C313="","",C313*'02_Eingaben'!$C$15)</f>
        <v/>
      </c>
      <c r="E313" s="17" t="str">
        <f>IF(D313="","",D313*'02_Eingaben'!$C$8)</f>
        <v/>
      </c>
      <c r="F313" s="17" t="str">
        <f>IF(E313="","",AVERAGE(INDEX($E$2:$E$3001,MAX(1,ROW()-1-'02_Eingaben'!$C$17)):INDEX($E$2:$E$3001,MIN('02_Eingaben'!$C$21,ROW()-1+'02_Eingaben'!$C$17))))</f>
        <v/>
      </c>
      <c r="G313" s="17" t="str">
        <f>IF(F313="","",F313-'02_Eingaben'!$C$10)</f>
        <v/>
      </c>
      <c r="H313" t="str">
        <f>IF(F313="","",IF(F313&lt;'02_Eingaben'!$C$18*'02_Eingaben'!$C$10,1,0))</f>
        <v/>
      </c>
      <c r="I313" s="17" t="str">
        <f t="shared" si="4"/>
        <v/>
      </c>
      <c r="J313" s="17" t="str">
        <f>IF(B313="","",IF(B312&lt;'02_Eingaben'!$C$36,0,J312+I312/'02_Eingaben'!$C$8))</f>
        <v/>
      </c>
    </row>
    <row r="314" spans="1:10" x14ac:dyDescent="0.25">
      <c r="A314" t="str">
        <f>IF('01_Rohdaten'!A314="","",ROW()-1)</f>
        <v/>
      </c>
      <c r="B314" s="17" t="str">
        <f>IF('01_Rohdaten'!A314="","",'01_Rohdaten'!A314)</f>
        <v/>
      </c>
      <c r="C314" s="17" t="str">
        <f>IF(B314="","",INDEX('01_Rohdaten'!B314:D314,'02_Eingaben'!$C$13))</f>
        <v/>
      </c>
      <c r="D314" s="17" t="str">
        <f>IF(C314="","",C314*'02_Eingaben'!$C$15)</f>
        <v/>
      </c>
      <c r="E314" s="17" t="str">
        <f>IF(D314="","",D314*'02_Eingaben'!$C$8)</f>
        <v/>
      </c>
      <c r="F314" s="17" t="str">
        <f>IF(E314="","",AVERAGE(INDEX($E$2:$E$3001,MAX(1,ROW()-1-'02_Eingaben'!$C$17)):INDEX($E$2:$E$3001,MIN('02_Eingaben'!$C$21,ROW()-1+'02_Eingaben'!$C$17))))</f>
        <v/>
      </c>
      <c r="G314" s="17" t="str">
        <f>IF(F314="","",F314-'02_Eingaben'!$C$10)</f>
        <v/>
      </c>
      <c r="H314" t="str">
        <f>IF(F314="","",IF(F314&lt;'02_Eingaben'!$C$18*'02_Eingaben'!$C$10,1,0))</f>
        <v/>
      </c>
      <c r="I314" s="17" t="str">
        <f t="shared" si="4"/>
        <v/>
      </c>
      <c r="J314" s="17" t="str">
        <f>IF(B314="","",IF(B313&lt;'02_Eingaben'!$C$36,0,J313+I313/'02_Eingaben'!$C$8))</f>
        <v/>
      </c>
    </row>
    <row r="315" spans="1:10" x14ac:dyDescent="0.25">
      <c r="A315" t="str">
        <f>IF('01_Rohdaten'!A315="","",ROW()-1)</f>
        <v/>
      </c>
      <c r="B315" s="17" t="str">
        <f>IF('01_Rohdaten'!A315="","",'01_Rohdaten'!A315)</f>
        <v/>
      </c>
      <c r="C315" s="17" t="str">
        <f>IF(B315="","",INDEX('01_Rohdaten'!B315:D315,'02_Eingaben'!$C$13))</f>
        <v/>
      </c>
      <c r="D315" s="17" t="str">
        <f>IF(C315="","",C315*'02_Eingaben'!$C$15)</f>
        <v/>
      </c>
      <c r="E315" s="17" t="str">
        <f>IF(D315="","",D315*'02_Eingaben'!$C$8)</f>
        <v/>
      </c>
      <c r="F315" s="17" t="str">
        <f>IF(E315="","",AVERAGE(INDEX($E$2:$E$3001,MAX(1,ROW()-1-'02_Eingaben'!$C$17)):INDEX($E$2:$E$3001,MIN('02_Eingaben'!$C$21,ROW()-1+'02_Eingaben'!$C$17))))</f>
        <v/>
      </c>
      <c r="G315" s="17" t="str">
        <f>IF(F315="","",F315-'02_Eingaben'!$C$10)</f>
        <v/>
      </c>
      <c r="H315" t="str">
        <f>IF(F315="","",IF(F315&lt;'02_Eingaben'!$C$18*'02_Eingaben'!$C$10,1,0))</f>
        <v/>
      </c>
      <c r="I315" s="17" t="str">
        <f t="shared" si="4"/>
        <v/>
      </c>
      <c r="J315" s="17" t="str">
        <f>IF(B315="","",IF(B314&lt;'02_Eingaben'!$C$36,0,J314+I314/'02_Eingaben'!$C$8))</f>
        <v/>
      </c>
    </row>
    <row r="316" spans="1:10" x14ac:dyDescent="0.25">
      <c r="A316" t="str">
        <f>IF('01_Rohdaten'!A316="","",ROW()-1)</f>
        <v/>
      </c>
      <c r="B316" s="17" t="str">
        <f>IF('01_Rohdaten'!A316="","",'01_Rohdaten'!A316)</f>
        <v/>
      </c>
      <c r="C316" s="17" t="str">
        <f>IF(B316="","",INDEX('01_Rohdaten'!B316:D316,'02_Eingaben'!$C$13))</f>
        <v/>
      </c>
      <c r="D316" s="17" t="str">
        <f>IF(C316="","",C316*'02_Eingaben'!$C$15)</f>
        <v/>
      </c>
      <c r="E316" s="17" t="str">
        <f>IF(D316="","",D316*'02_Eingaben'!$C$8)</f>
        <v/>
      </c>
      <c r="F316" s="17" t="str">
        <f>IF(E316="","",AVERAGE(INDEX($E$2:$E$3001,MAX(1,ROW()-1-'02_Eingaben'!$C$17)):INDEX($E$2:$E$3001,MIN('02_Eingaben'!$C$21,ROW()-1+'02_Eingaben'!$C$17))))</f>
        <v/>
      </c>
      <c r="G316" s="17" t="str">
        <f>IF(F316="","",F316-'02_Eingaben'!$C$10)</f>
        <v/>
      </c>
      <c r="H316" t="str">
        <f>IF(F316="","",IF(F316&lt;'02_Eingaben'!$C$18*'02_Eingaben'!$C$10,1,0))</f>
        <v/>
      </c>
      <c r="I316" s="17" t="str">
        <f t="shared" si="4"/>
        <v/>
      </c>
      <c r="J316" s="17" t="str">
        <f>IF(B316="","",IF(B315&lt;'02_Eingaben'!$C$36,0,J315+I315/'02_Eingaben'!$C$8))</f>
        <v/>
      </c>
    </row>
    <row r="317" spans="1:10" x14ac:dyDescent="0.25">
      <c r="A317" t="str">
        <f>IF('01_Rohdaten'!A317="","",ROW()-1)</f>
        <v/>
      </c>
      <c r="B317" s="17" t="str">
        <f>IF('01_Rohdaten'!A317="","",'01_Rohdaten'!A317)</f>
        <v/>
      </c>
      <c r="C317" s="17" t="str">
        <f>IF(B317="","",INDEX('01_Rohdaten'!B317:D317,'02_Eingaben'!$C$13))</f>
        <v/>
      </c>
      <c r="D317" s="17" t="str">
        <f>IF(C317="","",C317*'02_Eingaben'!$C$15)</f>
        <v/>
      </c>
      <c r="E317" s="17" t="str">
        <f>IF(D317="","",D317*'02_Eingaben'!$C$8)</f>
        <v/>
      </c>
      <c r="F317" s="17" t="str">
        <f>IF(E317="","",AVERAGE(INDEX($E$2:$E$3001,MAX(1,ROW()-1-'02_Eingaben'!$C$17)):INDEX($E$2:$E$3001,MIN('02_Eingaben'!$C$21,ROW()-1+'02_Eingaben'!$C$17))))</f>
        <v/>
      </c>
      <c r="G317" s="17" t="str">
        <f>IF(F317="","",F317-'02_Eingaben'!$C$10)</f>
        <v/>
      </c>
      <c r="H317" t="str">
        <f>IF(F317="","",IF(F317&lt;'02_Eingaben'!$C$18*'02_Eingaben'!$C$10,1,0))</f>
        <v/>
      </c>
      <c r="I317" s="17" t="str">
        <f t="shared" si="4"/>
        <v/>
      </c>
      <c r="J317" s="17" t="str">
        <f>IF(B317="","",IF(B316&lt;'02_Eingaben'!$C$36,0,J316+I316/'02_Eingaben'!$C$8))</f>
        <v/>
      </c>
    </row>
    <row r="318" spans="1:10" x14ac:dyDescent="0.25">
      <c r="A318" t="str">
        <f>IF('01_Rohdaten'!A318="","",ROW()-1)</f>
        <v/>
      </c>
      <c r="B318" s="17" t="str">
        <f>IF('01_Rohdaten'!A318="","",'01_Rohdaten'!A318)</f>
        <v/>
      </c>
      <c r="C318" s="17" t="str">
        <f>IF(B318="","",INDEX('01_Rohdaten'!B318:D318,'02_Eingaben'!$C$13))</f>
        <v/>
      </c>
      <c r="D318" s="17" t="str">
        <f>IF(C318="","",C318*'02_Eingaben'!$C$15)</f>
        <v/>
      </c>
      <c r="E318" s="17" t="str">
        <f>IF(D318="","",D318*'02_Eingaben'!$C$8)</f>
        <v/>
      </c>
      <c r="F318" s="17" t="str">
        <f>IF(E318="","",AVERAGE(INDEX($E$2:$E$3001,MAX(1,ROW()-1-'02_Eingaben'!$C$17)):INDEX($E$2:$E$3001,MIN('02_Eingaben'!$C$21,ROW()-1+'02_Eingaben'!$C$17))))</f>
        <v/>
      </c>
      <c r="G318" s="17" t="str">
        <f>IF(F318="","",F318-'02_Eingaben'!$C$10)</f>
        <v/>
      </c>
      <c r="H318" t="str">
        <f>IF(F318="","",IF(F318&lt;'02_Eingaben'!$C$18*'02_Eingaben'!$C$10,1,0))</f>
        <v/>
      </c>
      <c r="I318" s="17" t="str">
        <f t="shared" si="4"/>
        <v/>
      </c>
      <c r="J318" s="17" t="str">
        <f>IF(B318="","",IF(B317&lt;'02_Eingaben'!$C$36,0,J317+I317/'02_Eingaben'!$C$8))</f>
        <v/>
      </c>
    </row>
    <row r="319" spans="1:10" x14ac:dyDescent="0.25">
      <c r="A319" t="str">
        <f>IF('01_Rohdaten'!A319="","",ROW()-1)</f>
        <v/>
      </c>
      <c r="B319" s="17" t="str">
        <f>IF('01_Rohdaten'!A319="","",'01_Rohdaten'!A319)</f>
        <v/>
      </c>
      <c r="C319" s="17" t="str">
        <f>IF(B319="","",INDEX('01_Rohdaten'!B319:D319,'02_Eingaben'!$C$13))</f>
        <v/>
      </c>
      <c r="D319" s="17" t="str">
        <f>IF(C319="","",C319*'02_Eingaben'!$C$15)</f>
        <v/>
      </c>
      <c r="E319" s="17" t="str">
        <f>IF(D319="","",D319*'02_Eingaben'!$C$8)</f>
        <v/>
      </c>
      <c r="F319" s="17" t="str">
        <f>IF(E319="","",AVERAGE(INDEX($E$2:$E$3001,MAX(1,ROW()-1-'02_Eingaben'!$C$17)):INDEX($E$2:$E$3001,MIN('02_Eingaben'!$C$21,ROW()-1+'02_Eingaben'!$C$17))))</f>
        <v/>
      </c>
      <c r="G319" s="17" t="str">
        <f>IF(F319="","",F319-'02_Eingaben'!$C$10)</f>
        <v/>
      </c>
      <c r="H319" t="str">
        <f>IF(F319="","",IF(F319&lt;'02_Eingaben'!$C$18*'02_Eingaben'!$C$10,1,0))</f>
        <v/>
      </c>
      <c r="I319" s="17" t="str">
        <f t="shared" si="4"/>
        <v/>
      </c>
      <c r="J319" s="17" t="str">
        <f>IF(B319="","",IF(B318&lt;'02_Eingaben'!$C$36,0,J318+I318/'02_Eingaben'!$C$8))</f>
        <v/>
      </c>
    </row>
    <row r="320" spans="1:10" x14ac:dyDescent="0.25">
      <c r="A320" t="str">
        <f>IF('01_Rohdaten'!A320="","",ROW()-1)</f>
        <v/>
      </c>
      <c r="B320" s="17" t="str">
        <f>IF('01_Rohdaten'!A320="","",'01_Rohdaten'!A320)</f>
        <v/>
      </c>
      <c r="C320" s="17" t="str">
        <f>IF(B320="","",INDEX('01_Rohdaten'!B320:D320,'02_Eingaben'!$C$13))</f>
        <v/>
      </c>
      <c r="D320" s="17" t="str">
        <f>IF(C320="","",C320*'02_Eingaben'!$C$15)</f>
        <v/>
      </c>
      <c r="E320" s="17" t="str">
        <f>IF(D320="","",D320*'02_Eingaben'!$C$8)</f>
        <v/>
      </c>
      <c r="F320" s="17" t="str">
        <f>IF(E320="","",AVERAGE(INDEX($E$2:$E$3001,MAX(1,ROW()-1-'02_Eingaben'!$C$17)):INDEX($E$2:$E$3001,MIN('02_Eingaben'!$C$21,ROW()-1+'02_Eingaben'!$C$17))))</f>
        <v/>
      </c>
      <c r="G320" s="17" t="str">
        <f>IF(F320="","",F320-'02_Eingaben'!$C$10)</f>
        <v/>
      </c>
      <c r="H320" t="str">
        <f>IF(F320="","",IF(F320&lt;'02_Eingaben'!$C$18*'02_Eingaben'!$C$10,1,0))</f>
        <v/>
      </c>
      <c r="I320" s="17" t="str">
        <f t="shared" si="4"/>
        <v/>
      </c>
      <c r="J320" s="17" t="str">
        <f>IF(B320="","",IF(B319&lt;'02_Eingaben'!$C$36,0,J319+I319/'02_Eingaben'!$C$8))</f>
        <v/>
      </c>
    </row>
    <row r="321" spans="1:10" x14ac:dyDescent="0.25">
      <c r="A321" t="str">
        <f>IF('01_Rohdaten'!A321="","",ROW()-1)</f>
        <v/>
      </c>
      <c r="B321" s="17" t="str">
        <f>IF('01_Rohdaten'!A321="","",'01_Rohdaten'!A321)</f>
        <v/>
      </c>
      <c r="C321" s="17" t="str">
        <f>IF(B321="","",INDEX('01_Rohdaten'!B321:D321,'02_Eingaben'!$C$13))</f>
        <v/>
      </c>
      <c r="D321" s="17" t="str">
        <f>IF(C321="","",C321*'02_Eingaben'!$C$15)</f>
        <v/>
      </c>
      <c r="E321" s="17" t="str">
        <f>IF(D321="","",D321*'02_Eingaben'!$C$8)</f>
        <v/>
      </c>
      <c r="F321" s="17" t="str">
        <f>IF(E321="","",AVERAGE(INDEX($E$2:$E$3001,MAX(1,ROW()-1-'02_Eingaben'!$C$17)):INDEX($E$2:$E$3001,MIN('02_Eingaben'!$C$21,ROW()-1+'02_Eingaben'!$C$17))))</f>
        <v/>
      </c>
      <c r="G321" s="17" t="str">
        <f>IF(F321="","",F321-'02_Eingaben'!$C$10)</f>
        <v/>
      </c>
      <c r="H321" t="str">
        <f>IF(F321="","",IF(F321&lt;'02_Eingaben'!$C$18*'02_Eingaben'!$C$10,1,0))</f>
        <v/>
      </c>
      <c r="I321" s="17" t="str">
        <f t="shared" si="4"/>
        <v/>
      </c>
      <c r="J321" s="17" t="str">
        <f>IF(B321="","",IF(B320&lt;'02_Eingaben'!$C$36,0,J320+I320/'02_Eingaben'!$C$8))</f>
        <v/>
      </c>
    </row>
    <row r="322" spans="1:10" x14ac:dyDescent="0.25">
      <c r="A322" t="str">
        <f>IF('01_Rohdaten'!A322="","",ROW()-1)</f>
        <v/>
      </c>
      <c r="B322" s="17" t="str">
        <f>IF('01_Rohdaten'!A322="","",'01_Rohdaten'!A322)</f>
        <v/>
      </c>
      <c r="C322" s="17" t="str">
        <f>IF(B322="","",INDEX('01_Rohdaten'!B322:D322,'02_Eingaben'!$C$13))</f>
        <v/>
      </c>
      <c r="D322" s="17" t="str">
        <f>IF(C322="","",C322*'02_Eingaben'!$C$15)</f>
        <v/>
      </c>
      <c r="E322" s="17" t="str">
        <f>IF(D322="","",D322*'02_Eingaben'!$C$8)</f>
        <v/>
      </c>
      <c r="F322" s="17" t="str">
        <f>IF(E322="","",AVERAGE(INDEX($E$2:$E$3001,MAX(1,ROW()-1-'02_Eingaben'!$C$17)):INDEX($E$2:$E$3001,MIN('02_Eingaben'!$C$21,ROW()-1+'02_Eingaben'!$C$17))))</f>
        <v/>
      </c>
      <c r="G322" s="17" t="str">
        <f>IF(F322="","",F322-'02_Eingaben'!$C$10)</f>
        <v/>
      </c>
      <c r="H322" t="str">
        <f>IF(F322="","",IF(F322&lt;'02_Eingaben'!$C$18*'02_Eingaben'!$C$10,1,0))</f>
        <v/>
      </c>
      <c r="I322" s="17" t="str">
        <f t="shared" ref="I322:I385" si="5">IF(OR(G322="",G323=""),"",(G322+G323)/2*(B323-B322))</f>
        <v/>
      </c>
      <c r="J322" s="17" t="str">
        <f>IF(B322="","",IF(B321&lt;'02_Eingaben'!$C$36,0,J321+I321/'02_Eingaben'!$C$8))</f>
        <v/>
      </c>
    </row>
    <row r="323" spans="1:10" x14ac:dyDescent="0.25">
      <c r="A323" t="str">
        <f>IF('01_Rohdaten'!A323="","",ROW()-1)</f>
        <v/>
      </c>
      <c r="B323" s="17" t="str">
        <f>IF('01_Rohdaten'!A323="","",'01_Rohdaten'!A323)</f>
        <v/>
      </c>
      <c r="C323" s="17" t="str">
        <f>IF(B323="","",INDEX('01_Rohdaten'!B323:D323,'02_Eingaben'!$C$13))</f>
        <v/>
      </c>
      <c r="D323" s="17" t="str">
        <f>IF(C323="","",C323*'02_Eingaben'!$C$15)</f>
        <v/>
      </c>
      <c r="E323" s="17" t="str">
        <f>IF(D323="","",D323*'02_Eingaben'!$C$8)</f>
        <v/>
      </c>
      <c r="F323" s="17" t="str">
        <f>IF(E323="","",AVERAGE(INDEX($E$2:$E$3001,MAX(1,ROW()-1-'02_Eingaben'!$C$17)):INDEX($E$2:$E$3001,MIN('02_Eingaben'!$C$21,ROW()-1+'02_Eingaben'!$C$17))))</f>
        <v/>
      </c>
      <c r="G323" s="17" t="str">
        <f>IF(F323="","",F323-'02_Eingaben'!$C$10)</f>
        <v/>
      </c>
      <c r="H323" t="str">
        <f>IF(F323="","",IF(F323&lt;'02_Eingaben'!$C$18*'02_Eingaben'!$C$10,1,0))</f>
        <v/>
      </c>
      <c r="I323" s="17" t="str">
        <f t="shared" si="5"/>
        <v/>
      </c>
      <c r="J323" s="17" t="str">
        <f>IF(B323="","",IF(B322&lt;'02_Eingaben'!$C$36,0,J322+I322/'02_Eingaben'!$C$8))</f>
        <v/>
      </c>
    </row>
    <row r="324" spans="1:10" x14ac:dyDescent="0.25">
      <c r="A324" t="str">
        <f>IF('01_Rohdaten'!A324="","",ROW()-1)</f>
        <v/>
      </c>
      <c r="B324" s="17" t="str">
        <f>IF('01_Rohdaten'!A324="","",'01_Rohdaten'!A324)</f>
        <v/>
      </c>
      <c r="C324" s="17" t="str">
        <f>IF(B324="","",INDEX('01_Rohdaten'!B324:D324,'02_Eingaben'!$C$13))</f>
        <v/>
      </c>
      <c r="D324" s="17" t="str">
        <f>IF(C324="","",C324*'02_Eingaben'!$C$15)</f>
        <v/>
      </c>
      <c r="E324" s="17" t="str">
        <f>IF(D324="","",D324*'02_Eingaben'!$C$8)</f>
        <v/>
      </c>
      <c r="F324" s="17" t="str">
        <f>IF(E324="","",AVERAGE(INDEX($E$2:$E$3001,MAX(1,ROW()-1-'02_Eingaben'!$C$17)):INDEX($E$2:$E$3001,MIN('02_Eingaben'!$C$21,ROW()-1+'02_Eingaben'!$C$17))))</f>
        <v/>
      </c>
      <c r="G324" s="17" t="str">
        <f>IF(F324="","",F324-'02_Eingaben'!$C$10)</f>
        <v/>
      </c>
      <c r="H324" t="str">
        <f>IF(F324="","",IF(F324&lt;'02_Eingaben'!$C$18*'02_Eingaben'!$C$10,1,0))</f>
        <v/>
      </c>
      <c r="I324" s="17" t="str">
        <f t="shared" si="5"/>
        <v/>
      </c>
      <c r="J324" s="17" t="str">
        <f>IF(B324="","",IF(B323&lt;'02_Eingaben'!$C$36,0,J323+I323/'02_Eingaben'!$C$8))</f>
        <v/>
      </c>
    </row>
    <row r="325" spans="1:10" x14ac:dyDescent="0.25">
      <c r="A325" t="str">
        <f>IF('01_Rohdaten'!A325="","",ROW()-1)</f>
        <v/>
      </c>
      <c r="B325" s="17" t="str">
        <f>IF('01_Rohdaten'!A325="","",'01_Rohdaten'!A325)</f>
        <v/>
      </c>
      <c r="C325" s="17" t="str">
        <f>IF(B325="","",INDEX('01_Rohdaten'!B325:D325,'02_Eingaben'!$C$13))</f>
        <v/>
      </c>
      <c r="D325" s="17" t="str">
        <f>IF(C325="","",C325*'02_Eingaben'!$C$15)</f>
        <v/>
      </c>
      <c r="E325" s="17" t="str">
        <f>IF(D325="","",D325*'02_Eingaben'!$C$8)</f>
        <v/>
      </c>
      <c r="F325" s="17" t="str">
        <f>IF(E325="","",AVERAGE(INDEX($E$2:$E$3001,MAX(1,ROW()-1-'02_Eingaben'!$C$17)):INDEX($E$2:$E$3001,MIN('02_Eingaben'!$C$21,ROW()-1+'02_Eingaben'!$C$17))))</f>
        <v/>
      </c>
      <c r="G325" s="17" t="str">
        <f>IF(F325="","",F325-'02_Eingaben'!$C$10)</f>
        <v/>
      </c>
      <c r="H325" t="str">
        <f>IF(F325="","",IF(F325&lt;'02_Eingaben'!$C$18*'02_Eingaben'!$C$10,1,0))</f>
        <v/>
      </c>
      <c r="I325" s="17" t="str">
        <f t="shared" si="5"/>
        <v/>
      </c>
      <c r="J325" s="17" t="str">
        <f>IF(B325="","",IF(B324&lt;'02_Eingaben'!$C$36,0,J324+I324/'02_Eingaben'!$C$8))</f>
        <v/>
      </c>
    </row>
    <row r="326" spans="1:10" x14ac:dyDescent="0.25">
      <c r="A326" t="str">
        <f>IF('01_Rohdaten'!A326="","",ROW()-1)</f>
        <v/>
      </c>
      <c r="B326" s="17" t="str">
        <f>IF('01_Rohdaten'!A326="","",'01_Rohdaten'!A326)</f>
        <v/>
      </c>
      <c r="C326" s="17" t="str">
        <f>IF(B326="","",INDEX('01_Rohdaten'!B326:D326,'02_Eingaben'!$C$13))</f>
        <v/>
      </c>
      <c r="D326" s="17" t="str">
        <f>IF(C326="","",C326*'02_Eingaben'!$C$15)</f>
        <v/>
      </c>
      <c r="E326" s="17" t="str">
        <f>IF(D326="","",D326*'02_Eingaben'!$C$8)</f>
        <v/>
      </c>
      <c r="F326" s="17" t="str">
        <f>IF(E326="","",AVERAGE(INDEX($E$2:$E$3001,MAX(1,ROW()-1-'02_Eingaben'!$C$17)):INDEX($E$2:$E$3001,MIN('02_Eingaben'!$C$21,ROW()-1+'02_Eingaben'!$C$17))))</f>
        <v/>
      </c>
      <c r="G326" s="17" t="str">
        <f>IF(F326="","",F326-'02_Eingaben'!$C$10)</f>
        <v/>
      </c>
      <c r="H326" t="str">
        <f>IF(F326="","",IF(F326&lt;'02_Eingaben'!$C$18*'02_Eingaben'!$C$10,1,0))</f>
        <v/>
      </c>
      <c r="I326" s="17" t="str">
        <f t="shared" si="5"/>
        <v/>
      </c>
      <c r="J326" s="17" t="str">
        <f>IF(B326="","",IF(B325&lt;'02_Eingaben'!$C$36,0,J325+I325/'02_Eingaben'!$C$8))</f>
        <v/>
      </c>
    </row>
    <row r="327" spans="1:10" x14ac:dyDescent="0.25">
      <c r="A327" t="str">
        <f>IF('01_Rohdaten'!A327="","",ROW()-1)</f>
        <v/>
      </c>
      <c r="B327" s="17" t="str">
        <f>IF('01_Rohdaten'!A327="","",'01_Rohdaten'!A327)</f>
        <v/>
      </c>
      <c r="C327" s="17" t="str">
        <f>IF(B327="","",INDEX('01_Rohdaten'!B327:D327,'02_Eingaben'!$C$13))</f>
        <v/>
      </c>
      <c r="D327" s="17" t="str">
        <f>IF(C327="","",C327*'02_Eingaben'!$C$15)</f>
        <v/>
      </c>
      <c r="E327" s="17" t="str">
        <f>IF(D327="","",D327*'02_Eingaben'!$C$8)</f>
        <v/>
      </c>
      <c r="F327" s="17" t="str">
        <f>IF(E327="","",AVERAGE(INDEX($E$2:$E$3001,MAX(1,ROW()-1-'02_Eingaben'!$C$17)):INDEX($E$2:$E$3001,MIN('02_Eingaben'!$C$21,ROW()-1+'02_Eingaben'!$C$17))))</f>
        <v/>
      </c>
      <c r="G327" s="17" t="str">
        <f>IF(F327="","",F327-'02_Eingaben'!$C$10)</f>
        <v/>
      </c>
      <c r="H327" t="str">
        <f>IF(F327="","",IF(F327&lt;'02_Eingaben'!$C$18*'02_Eingaben'!$C$10,1,0))</f>
        <v/>
      </c>
      <c r="I327" s="17" t="str">
        <f t="shared" si="5"/>
        <v/>
      </c>
      <c r="J327" s="17" t="str">
        <f>IF(B327="","",IF(B326&lt;'02_Eingaben'!$C$36,0,J326+I326/'02_Eingaben'!$C$8))</f>
        <v/>
      </c>
    </row>
    <row r="328" spans="1:10" x14ac:dyDescent="0.25">
      <c r="A328" t="str">
        <f>IF('01_Rohdaten'!A328="","",ROW()-1)</f>
        <v/>
      </c>
      <c r="B328" s="17" t="str">
        <f>IF('01_Rohdaten'!A328="","",'01_Rohdaten'!A328)</f>
        <v/>
      </c>
      <c r="C328" s="17" t="str">
        <f>IF(B328="","",INDEX('01_Rohdaten'!B328:D328,'02_Eingaben'!$C$13))</f>
        <v/>
      </c>
      <c r="D328" s="17" t="str">
        <f>IF(C328="","",C328*'02_Eingaben'!$C$15)</f>
        <v/>
      </c>
      <c r="E328" s="17" t="str">
        <f>IF(D328="","",D328*'02_Eingaben'!$C$8)</f>
        <v/>
      </c>
      <c r="F328" s="17" t="str">
        <f>IF(E328="","",AVERAGE(INDEX($E$2:$E$3001,MAX(1,ROW()-1-'02_Eingaben'!$C$17)):INDEX($E$2:$E$3001,MIN('02_Eingaben'!$C$21,ROW()-1+'02_Eingaben'!$C$17))))</f>
        <v/>
      </c>
      <c r="G328" s="17" t="str">
        <f>IF(F328="","",F328-'02_Eingaben'!$C$10)</f>
        <v/>
      </c>
      <c r="H328" t="str">
        <f>IF(F328="","",IF(F328&lt;'02_Eingaben'!$C$18*'02_Eingaben'!$C$10,1,0))</f>
        <v/>
      </c>
      <c r="I328" s="17" t="str">
        <f t="shared" si="5"/>
        <v/>
      </c>
      <c r="J328" s="17" t="str">
        <f>IF(B328="","",IF(B327&lt;'02_Eingaben'!$C$36,0,J327+I327/'02_Eingaben'!$C$8))</f>
        <v/>
      </c>
    </row>
    <row r="329" spans="1:10" x14ac:dyDescent="0.25">
      <c r="A329" t="str">
        <f>IF('01_Rohdaten'!A329="","",ROW()-1)</f>
        <v/>
      </c>
      <c r="B329" s="17" t="str">
        <f>IF('01_Rohdaten'!A329="","",'01_Rohdaten'!A329)</f>
        <v/>
      </c>
      <c r="C329" s="17" t="str">
        <f>IF(B329="","",INDEX('01_Rohdaten'!B329:D329,'02_Eingaben'!$C$13))</f>
        <v/>
      </c>
      <c r="D329" s="17" t="str">
        <f>IF(C329="","",C329*'02_Eingaben'!$C$15)</f>
        <v/>
      </c>
      <c r="E329" s="17" t="str">
        <f>IF(D329="","",D329*'02_Eingaben'!$C$8)</f>
        <v/>
      </c>
      <c r="F329" s="17" t="str">
        <f>IF(E329="","",AVERAGE(INDEX($E$2:$E$3001,MAX(1,ROW()-1-'02_Eingaben'!$C$17)):INDEX($E$2:$E$3001,MIN('02_Eingaben'!$C$21,ROW()-1+'02_Eingaben'!$C$17))))</f>
        <v/>
      </c>
      <c r="G329" s="17" t="str">
        <f>IF(F329="","",F329-'02_Eingaben'!$C$10)</f>
        <v/>
      </c>
      <c r="H329" t="str">
        <f>IF(F329="","",IF(F329&lt;'02_Eingaben'!$C$18*'02_Eingaben'!$C$10,1,0))</f>
        <v/>
      </c>
      <c r="I329" s="17" t="str">
        <f t="shared" si="5"/>
        <v/>
      </c>
      <c r="J329" s="17" t="str">
        <f>IF(B329="","",IF(B328&lt;'02_Eingaben'!$C$36,0,J328+I328/'02_Eingaben'!$C$8))</f>
        <v/>
      </c>
    </row>
    <row r="330" spans="1:10" x14ac:dyDescent="0.25">
      <c r="A330" t="str">
        <f>IF('01_Rohdaten'!A330="","",ROW()-1)</f>
        <v/>
      </c>
      <c r="B330" s="17" t="str">
        <f>IF('01_Rohdaten'!A330="","",'01_Rohdaten'!A330)</f>
        <v/>
      </c>
      <c r="C330" s="17" t="str">
        <f>IF(B330="","",INDEX('01_Rohdaten'!B330:D330,'02_Eingaben'!$C$13))</f>
        <v/>
      </c>
      <c r="D330" s="17" t="str">
        <f>IF(C330="","",C330*'02_Eingaben'!$C$15)</f>
        <v/>
      </c>
      <c r="E330" s="17" t="str">
        <f>IF(D330="","",D330*'02_Eingaben'!$C$8)</f>
        <v/>
      </c>
      <c r="F330" s="17" t="str">
        <f>IF(E330="","",AVERAGE(INDEX($E$2:$E$3001,MAX(1,ROW()-1-'02_Eingaben'!$C$17)):INDEX($E$2:$E$3001,MIN('02_Eingaben'!$C$21,ROW()-1+'02_Eingaben'!$C$17))))</f>
        <v/>
      </c>
      <c r="G330" s="17" t="str">
        <f>IF(F330="","",F330-'02_Eingaben'!$C$10)</f>
        <v/>
      </c>
      <c r="H330" t="str">
        <f>IF(F330="","",IF(F330&lt;'02_Eingaben'!$C$18*'02_Eingaben'!$C$10,1,0))</f>
        <v/>
      </c>
      <c r="I330" s="17" t="str">
        <f t="shared" si="5"/>
        <v/>
      </c>
      <c r="J330" s="17" t="str">
        <f>IF(B330="","",IF(B329&lt;'02_Eingaben'!$C$36,0,J329+I329/'02_Eingaben'!$C$8))</f>
        <v/>
      </c>
    </row>
    <row r="331" spans="1:10" x14ac:dyDescent="0.25">
      <c r="A331" t="str">
        <f>IF('01_Rohdaten'!A331="","",ROW()-1)</f>
        <v/>
      </c>
      <c r="B331" s="17" t="str">
        <f>IF('01_Rohdaten'!A331="","",'01_Rohdaten'!A331)</f>
        <v/>
      </c>
      <c r="C331" s="17" t="str">
        <f>IF(B331="","",INDEX('01_Rohdaten'!B331:D331,'02_Eingaben'!$C$13))</f>
        <v/>
      </c>
      <c r="D331" s="17" t="str">
        <f>IF(C331="","",C331*'02_Eingaben'!$C$15)</f>
        <v/>
      </c>
      <c r="E331" s="17" t="str">
        <f>IF(D331="","",D331*'02_Eingaben'!$C$8)</f>
        <v/>
      </c>
      <c r="F331" s="17" t="str">
        <f>IF(E331="","",AVERAGE(INDEX($E$2:$E$3001,MAX(1,ROW()-1-'02_Eingaben'!$C$17)):INDEX($E$2:$E$3001,MIN('02_Eingaben'!$C$21,ROW()-1+'02_Eingaben'!$C$17))))</f>
        <v/>
      </c>
      <c r="G331" s="17" t="str">
        <f>IF(F331="","",F331-'02_Eingaben'!$C$10)</f>
        <v/>
      </c>
      <c r="H331" t="str">
        <f>IF(F331="","",IF(F331&lt;'02_Eingaben'!$C$18*'02_Eingaben'!$C$10,1,0))</f>
        <v/>
      </c>
      <c r="I331" s="17" t="str">
        <f t="shared" si="5"/>
        <v/>
      </c>
      <c r="J331" s="17" t="str">
        <f>IF(B331="","",IF(B330&lt;'02_Eingaben'!$C$36,0,J330+I330/'02_Eingaben'!$C$8))</f>
        <v/>
      </c>
    </row>
    <row r="332" spans="1:10" x14ac:dyDescent="0.25">
      <c r="A332" t="str">
        <f>IF('01_Rohdaten'!A332="","",ROW()-1)</f>
        <v/>
      </c>
      <c r="B332" s="17" t="str">
        <f>IF('01_Rohdaten'!A332="","",'01_Rohdaten'!A332)</f>
        <v/>
      </c>
      <c r="C332" s="17" t="str">
        <f>IF(B332="","",INDEX('01_Rohdaten'!B332:D332,'02_Eingaben'!$C$13))</f>
        <v/>
      </c>
      <c r="D332" s="17" t="str">
        <f>IF(C332="","",C332*'02_Eingaben'!$C$15)</f>
        <v/>
      </c>
      <c r="E332" s="17" t="str">
        <f>IF(D332="","",D332*'02_Eingaben'!$C$8)</f>
        <v/>
      </c>
      <c r="F332" s="17" t="str">
        <f>IF(E332="","",AVERAGE(INDEX($E$2:$E$3001,MAX(1,ROW()-1-'02_Eingaben'!$C$17)):INDEX($E$2:$E$3001,MIN('02_Eingaben'!$C$21,ROW()-1+'02_Eingaben'!$C$17))))</f>
        <v/>
      </c>
      <c r="G332" s="17" t="str">
        <f>IF(F332="","",F332-'02_Eingaben'!$C$10)</f>
        <v/>
      </c>
      <c r="H332" t="str">
        <f>IF(F332="","",IF(F332&lt;'02_Eingaben'!$C$18*'02_Eingaben'!$C$10,1,0))</f>
        <v/>
      </c>
      <c r="I332" s="17" t="str">
        <f t="shared" si="5"/>
        <v/>
      </c>
      <c r="J332" s="17" t="str">
        <f>IF(B332="","",IF(B331&lt;'02_Eingaben'!$C$36,0,J331+I331/'02_Eingaben'!$C$8))</f>
        <v/>
      </c>
    </row>
    <row r="333" spans="1:10" x14ac:dyDescent="0.25">
      <c r="A333" t="str">
        <f>IF('01_Rohdaten'!A333="","",ROW()-1)</f>
        <v/>
      </c>
      <c r="B333" s="17" t="str">
        <f>IF('01_Rohdaten'!A333="","",'01_Rohdaten'!A333)</f>
        <v/>
      </c>
      <c r="C333" s="17" t="str">
        <f>IF(B333="","",INDEX('01_Rohdaten'!B333:D333,'02_Eingaben'!$C$13))</f>
        <v/>
      </c>
      <c r="D333" s="17" t="str">
        <f>IF(C333="","",C333*'02_Eingaben'!$C$15)</f>
        <v/>
      </c>
      <c r="E333" s="17" t="str">
        <f>IF(D333="","",D333*'02_Eingaben'!$C$8)</f>
        <v/>
      </c>
      <c r="F333" s="17" t="str">
        <f>IF(E333="","",AVERAGE(INDEX($E$2:$E$3001,MAX(1,ROW()-1-'02_Eingaben'!$C$17)):INDEX($E$2:$E$3001,MIN('02_Eingaben'!$C$21,ROW()-1+'02_Eingaben'!$C$17))))</f>
        <v/>
      </c>
      <c r="G333" s="17" t="str">
        <f>IF(F333="","",F333-'02_Eingaben'!$C$10)</f>
        <v/>
      </c>
      <c r="H333" t="str">
        <f>IF(F333="","",IF(F333&lt;'02_Eingaben'!$C$18*'02_Eingaben'!$C$10,1,0))</f>
        <v/>
      </c>
      <c r="I333" s="17" t="str">
        <f t="shared" si="5"/>
        <v/>
      </c>
      <c r="J333" s="17" t="str">
        <f>IF(B333="","",IF(B332&lt;'02_Eingaben'!$C$36,0,J332+I332/'02_Eingaben'!$C$8))</f>
        <v/>
      </c>
    </row>
    <row r="334" spans="1:10" x14ac:dyDescent="0.25">
      <c r="A334" t="str">
        <f>IF('01_Rohdaten'!A334="","",ROW()-1)</f>
        <v/>
      </c>
      <c r="B334" s="17" t="str">
        <f>IF('01_Rohdaten'!A334="","",'01_Rohdaten'!A334)</f>
        <v/>
      </c>
      <c r="C334" s="17" t="str">
        <f>IF(B334="","",INDEX('01_Rohdaten'!B334:D334,'02_Eingaben'!$C$13))</f>
        <v/>
      </c>
      <c r="D334" s="17" t="str">
        <f>IF(C334="","",C334*'02_Eingaben'!$C$15)</f>
        <v/>
      </c>
      <c r="E334" s="17" t="str">
        <f>IF(D334="","",D334*'02_Eingaben'!$C$8)</f>
        <v/>
      </c>
      <c r="F334" s="17" t="str">
        <f>IF(E334="","",AVERAGE(INDEX($E$2:$E$3001,MAX(1,ROW()-1-'02_Eingaben'!$C$17)):INDEX($E$2:$E$3001,MIN('02_Eingaben'!$C$21,ROW()-1+'02_Eingaben'!$C$17))))</f>
        <v/>
      </c>
      <c r="G334" s="17" t="str">
        <f>IF(F334="","",F334-'02_Eingaben'!$C$10)</f>
        <v/>
      </c>
      <c r="H334" t="str">
        <f>IF(F334="","",IF(F334&lt;'02_Eingaben'!$C$18*'02_Eingaben'!$C$10,1,0))</f>
        <v/>
      </c>
      <c r="I334" s="17" t="str">
        <f t="shared" si="5"/>
        <v/>
      </c>
      <c r="J334" s="17" t="str">
        <f>IF(B334="","",IF(B333&lt;'02_Eingaben'!$C$36,0,J333+I333/'02_Eingaben'!$C$8))</f>
        <v/>
      </c>
    </row>
    <row r="335" spans="1:10" x14ac:dyDescent="0.25">
      <c r="A335" t="str">
        <f>IF('01_Rohdaten'!A335="","",ROW()-1)</f>
        <v/>
      </c>
      <c r="B335" s="17" t="str">
        <f>IF('01_Rohdaten'!A335="","",'01_Rohdaten'!A335)</f>
        <v/>
      </c>
      <c r="C335" s="17" t="str">
        <f>IF(B335="","",INDEX('01_Rohdaten'!B335:D335,'02_Eingaben'!$C$13))</f>
        <v/>
      </c>
      <c r="D335" s="17" t="str">
        <f>IF(C335="","",C335*'02_Eingaben'!$C$15)</f>
        <v/>
      </c>
      <c r="E335" s="17" t="str">
        <f>IF(D335="","",D335*'02_Eingaben'!$C$8)</f>
        <v/>
      </c>
      <c r="F335" s="17" t="str">
        <f>IF(E335="","",AVERAGE(INDEX($E$2:$E$3001,MAX(1,ROW()-1-'02_Eingaben'!$C$17)):INDEX($E$2:$E$3001,MIN('02_Eingaben'!$C$21,ROW()-1+'02_Eingaben'!$C$17))))</f>
        <v/>
      </c>
      <c r="G335" s="17" t="str">
        <f>IF(F335="","",F335-'02_Eingaben'!$C$10)</f>
        <v/>
      </c>
      <c r="H335" t="str">
        <f>IF(F335="","",IF(F335&lt;'02_Eingaben'!$C$18*'02_Eingaben'!$C$10,1,0))</f>
        <v/>
      </c>
      <c r="I335" s="17" t="str">
        <f t="shared" si="5"/>
        <v/>
      </c>
      <c r="J335" s="17" t="str">
        <f>IF(B335="","",IF(B334&lt;'02_Eingaben'!$C$36,0,J334+I334/'02_Eingaben'!$C$8))</f>
        <v/>
      </c>
    </row>
    <row r="336" spans="1:10" x14ac:dyDescent="0.25">
      <c r="A336" t="str">
        <f>IF('01_Rohdaten'!A336="","",ROW()-1)</f>
        <v/>
      </c>
      <c r="B336" s="17" t="str">
        <f>IF('01_Rohdaten'!A336="","",'01_Rohdaten'!A336)</f>
        <v/>
      </c>
      <c r="C336" s="17" t="str">
        <f>IF(B336="","",INDEX('01_Rohdaten'!B336:D336,'02_Eingaben'!$C$13))</f>
        <v/>
      </c>
      <c r="D336" s="17" t="str">
        <f>IF(C336="","",C336*'02_Eingaben'!$C$15)</f>
        <v/>
      </c>
      <c r="E336" s="17" t="str">
        <f>IF(D336="","",D336*'02_Eingaben'!$C$8)</f>
        <v/>
      </c>
      <c r="F336" s="17" t="str">
        <f>IF(E336="","",AVERAGE(INDEX($E$2:$E$3001,MAX(1,ROW()-1-'02_Eingaben'!$C$17)):INDEX($E$2:$E$3001,MIN('02_Eingaben'!$C$21,ROW()-1+'02_Eingaben'!$C$17))))</f>
        <v/>
      </c>
      <c r="G336" s="17" t="str">
        <f>IF(F336="","",F336-'02_Eingaben'!$C$10)</f>
        <v/>
      </c>
      <c r="H336" t="str">
        <f>IF(F336="","",IF(F336&lt;'02_Eingaben'!$C$18*'02_Eingaben'!$C$10,1,0))</f>
        <v/>
      </c>
      <c r="I336" s="17" t="str">
        <f t="shared" si="5"/>
        <v/>
      </c>
      <c r="J336" s="17" t="str">
        <f>IF(B336="","",IF(B335&lt;'02_Eingaben'!$C$36,0,J335+I335/'02_Eingaben'!$C$8))</f>
        <v/>
      </c>
    </row>
    <row r="337" spans="1:10" x14ac:dyDescent="0.25">
      <c r="A337" t="str">
        <f>IF('01_Rohdaten'!A337="","",ROW()-1)</f>
        <v/>
      </c>
      <c r="B337" s="17" t="str">
        <f>IF('01_Rohdaten'!A337="","",'01_Rohdaten'!A337)</f>
        <v/>
      </c>
      <c r="C337" s="17" t="str">
        <f>IF(B337="","",INDEX('01_Rohdaten'!B337:D337,'02_Eingaben'!$C$13))</f>
        <v/>
      </c>
      <c r="D337" s="17" t="str">
        <f>IF(C337="","",C337*'02_Eingaben'!$C$15)</f>
        <v/>
      </c>
      <c r="E337" s="17" t="str">
        <f>IF(D337="","",D337*'02_Eingaben'!$C$8)</f>
        <v/>
      </c>
      <c r="F337" s="17" t="str">
        <f>IF(E337="","",AVERAGE(INDEX($E$2:$E$3001,MAX(1,ROW()-1-'02_Eingaben'!$C$17)):INDEX($E$2:$E$3001,MIN('02_Eingaben'!$C$21,ROW()-1+'02_Eingaben'!$C$17))))</f>
        <v/>
      </c>
      <c r="G337" s="17" t="str">
        <f>IF(F337="","",F337-'02_Eingaben'!$C$10)</f>
        <v/>
      </c>
      <c r="H337" t="str">
        <f>IF(F337="","",IF(F337&lt;'02_Eingaben'!$C$18*'02_Eingaben'!$C$10,1,0))</f>
        <v/>
      </c>
      <c r="I337" s="17" t="str">
        <f t="shared" si="5"/>
        <v/>
      </c>
      <c r="J337" s="17" t="str">
        <f>IF(B337="","",IF(B336&lt;'02_Eingaben'!$C$36,0,J336+I336/'02_Eingaben'!$C$8))</f>
        <v/>
      </c>
    </row>
    <row r="338" spans="1:10" x14ac:dyDescent="0.25">
      <c r="A338" t="str">
        <f>IF('01_Rohdaten'!A338="","",ROW()-1)</f>
        <v/>
      </c>
      <c r="B338" s="17" t="str">
        <f>IF('01_Rohdaten'!A338="","",'01_Rohdaten'!A338)</f>
        <v/>
      </c>
      <c r="C338" s="17" t="str">
        <f>IF(B338="","",INDEX('01_Rohdaten'!B338:D338,'02_Eingaben'!$C$13))</f>
        <v/>
      </c>
      <c r="D338" s="17" t="str">
        <f>IF(C338="","",C338*'02_Eingaben'!$C$15)</f>
        <v/>
      </c>
      <c r="E338" s="17" t="str">
        <f>IF(D338="","",D338*'02_Eingaben'!$C$8)</f>
        <v/>
      </c>
      <c r="F338" s="17" t="str">
        <f>IF(E338="","",AVERAGE(INDEX($E$2:$E$3001,MAX(1,ROW()-1-'02_Eingaben'!$C$17)):INDEX($E$2:$E$3001,MIN('02_Eingaben'!$C$21,ROW()-1+'02_Eingaben'!$C$17))))</f>
        <v/>
      </c>
      <c r="G338" s="17" t="str">
        <f>IF(F338="","",F338-'02_Eingaben'!$C$10)</f>
        <v/>
      </c>
      <c r="H338" t="str">
        <f>IF(F338="","",IF(F338&lt;'02_Eingaben'!$C$18*'02_Eingaben'!$C$10,1,0))</f>
        <v/>
      </c>
      <c r="I338" s="17" t="str">
        <f t="shared" si="5"/>
        <v/>
      </c>
      <c r="J338" s="17" t="str">
        <f>IF(B338="","",IF(B337&lt;'02_Eingaben'!$C$36,0,J337+I337/'02_Eingaben'!$C$8))</f>
        <v/>
      </c>
    </row>
    <row r="339" spans="1:10" x14ac:dyDescent="0.25">
      <c r="A339" t="str">
        <f>IF('01_Rohdaten'!A339="","",ROW()-1)</f>
        <v/>
      </c>
      <c r="B339" s="17" t="str">
        <f>IF('01_Rohdaten'!A339="","",'01_Rohdaten'!A339)</f>
        <v/>
      </c>
      <c r="C339" s="17" t="str">
        <f>IF(B339="","",INDEX('01_Rohdaten'!B339:D339,'02_Eingaben'!$C$13))</f>
        <v/>
      </c>
      <c r="D339" s="17" t="str">
        <f>IF(C339="","",C339*'02_Eingaben'!$C$15)</f>
        <v/>
      </c>
      <c r="E339" s="17" t="str">
        <f>IF(D339="","",D339*'02_Eingaben'!$C$8)</f>
        <v/>
      </c>
      <c r="F339" s="17" t="str">
        <f>IF(E339="","",AVERAGE(INDEX($E$2:$E$3001,MAX(1,ROW()-1-'02_Eingaben'!$C$17)):INDEX($E$2:$E$3001,MIN('02_Eingaben'!$C$21,ROW()-1+'02_Eingaben'!$C$17))))</f>
        <v/>
      </c>
      <c r="G339" s="17" t="str">
        <f>IF(F339="","",F339-'02_Eingaben'!$C$10)</f>
        <v/>
      </c>
      <c r="H339" t="str">
        <f>IF(F339="","",IF(F339&lt;'02_Eingaben'!$C$18*'02_Eingaben'!$C$10,1,0))</f>
        <v/>
      </c>
      <c r="I339" s="17" t="str">
        <f t="shared" si="5"/>
        <v/>
      </c>
      <c r="J339" s="17" t="str">
        <f>IF(B339="","",IF(B338&lt;'02_Eingaben'!$C$36,0,J338+I338/'02_Eingaben'!$C$8))</f>
        <v/>
      </c>
    </row>
    <row r="340" spans="1:10" x14ac:dyDescent="0.25">
      <c r="A340" t="str">
        <f>IF('01_Rohdaten'!A340="","",ROW()-1)</f>
        <v/>
      </c>
      <c r="B340" s="17" t="str">
        <f>IF('01_Rohdaten'!A340="","",'01_Rohdaten'!A340)</f>
        <v/>
      </c>
      <c r="C340" s="17" t="str">
        <f>IF(B340="","",INDEX('01_Rohdaten'!B340:D340,'02_Eingaben'!$C$13))</f>
        <v/>
      </c>
      <c r="D340" s="17" t="str">
        <f>IF(C340="","",C340*'02_Eingaben'!$C$15)</f>
        <v/>
      </c>
      <c r="E340" s="17" t="str">
        <f>IF(D340="","",D340*'02_Eingaben'!$C$8)</f>
        <v/>
      </c>
      <c r="F340" s="17" t="str">
        <f>IF(E340="","",AVERAGE(INDEX($E$2:$E$3001,MAX(1,ROW()-1-'02_Eingaben'!$C$17)):INDEX($E$2:$E$3001,MIN('02_Eingaben'!$C$21,ROW()-1+'02_Eingaben'!$C$17))))</f>
        <v/>
      </c>
      <c r="G340" s="17" t="str">
        <f>IF(F340="","",F340-'02_Eingaben'!$C$10)</f>
        <v/>
      </c>
      <c r="H340" t="str">
        <f>IF(F340="","",IF(F340&lt;'02_Eingaben'!$C$18*'02_Eingaben'!$C$10,1,0))</f>
        <v/>
      </c>
      <c r="I340" s="17" t="str">
        <f t="shared" si="5"/>
        <v/>
      </c>
      <c r="J340" s="17" t="str">
        <f>IF(B340="","",IF(B339&lt;'02_Eingaben'!$C$36,0,J339+I339/'02_Eingaben'!$C$8))</f>
        <v/>
      </c>
    </row>
    <row r="341" spans="1:10" x14ac:dyDescent="0.25">
      <c r="A341" t="str">
        <f>IF('01_Rohdaten'!A341="","",ROW()-1)</f>
        <v/>
      </c>
      <c r="B341" s="17" t="str">
        <f>IF('01_Rohdaten'!A341="","",'01_Rohdaten'!A341)</f>
        <v/>
      </c>
      <c r="C341" s="17" t="str">
        <f>IF(B341="","",INDEX('01_Rohdaten'!B341:D341,'02_Eingaben'!$C$13))</f>
        <v/>
      </c>
      <c r="D341" s="17" t="str">
        <f>IF(C341="","",C341*'02_Eingaben'!$C$15)</f>
        <v/>
      </c>
      <c r="E341" s="17" t="str">
        <f>IF(D341="","",D341*'02_Eingaben'!$C$8)</f>
        <v/>
      </c>
      <c r="F341" s="17" t="str">
        <f>IF(E341="","",AVERAGE(INDEX($E$2:$E$3001,MAX(1,ROW()-1-'02_Eingaben'!$C$17)):INDEX($E$2:$E$3001,MIN('02_Eingaben'!$C$21,ROW()-1+'02_Eingaben'!$C$17))))</f>
        <v/>
      </c>
      <c r="G341" s="17" t="str">
        <f>IF(F341="","",F341-'02_Eingaben'!$C$10)</f>
        <v/>
      </c>
      <c r="H341" t="str">
        <f>IF(F341="","",IF(F341&lt;'02_Eingaben'!$C$18*'02_Eingaben'!$C$10,1,0))</f>
        <v/>
      </c>
      <c r="I341" s="17" t="str">
        <f t="shared" si="5"/>
        <v/>
      </c>
      <c r="J341" s="17" t="str">
        <f>IF(B341="","",IF(B340&lt;'02_Eingaben'!$C$36,0,J340+I340/'02_Eingaben'!$C$8))</f>
        <v/>
      </c>
    </row>
    <row r="342" spans="1:10" x14ac:dyDescent="0.25">
      <c r="A342" t="str">
        <f>IF('01_Rohdaten'!A342="","",ROW()-1)</f>
        <v/>
      </c>
      <c r="B342" s="17" t="str">
        <f>IF('01_Rohdaten'!A342="","",'01_Rohdaten'!A342)</f>
        <v/>
      </c>
      <c r="C342" s="17" t="str">
        <f>IF(B342="","",INDEX('01_Rohdaten'!B342:D342,'02_Eingaben'!$C$13))</f>
        <v/>
      </c>
      <c r="D342" s="17" t="str">
        <f>IF(C342="","",C342*'02_Eingaben'!$C$15)</f>
        <v/>
      </c>
      <c r="E342" s="17" t="str">
        <f>IF(D342="","",D342*'02_Eingaben'!$C$8)</f>
        <v/>
      </c>
      <c r="F342" s="17" t="str">
        <f>IF(E342="","",AVERAGE(INDEX($E$2:$E$3001,MAX(1,ROW()-1-'02_Eingaben'!$C$17)):INDEX($E$2:$E$3001,MIN('02_Eingaben'!$C$21,ROW()-1+'02_Eingaben'!$C$17))))</f>
        <v/>
      </c>
      <c r="G342" s="17" t="str">
        <f>IF(F342="","",F342-'02_Eingaben'!$C$10)</f>
        <v/>
      </c>
      <c r="H342" t="str">
        <f>IF(F342="","",IF(F342&lt;'02_Eingaben'!$C$18*'02_Eingaben'!$C$10,1,0))</f>
        <v/>
      </c>
      <c r="I342" s="17" t="str">
        <f t="shared" si="5"/>
        <v/>
      </c>
      <c r="J342" s="17" t="str">
        <f>IF(B342="","",IF(B341&lt;'02_Eingaben'!$C$36,0,J341+I341/'02_Eingaben'!$C$8))</f>
        <v/>
      </c>
    </row>
    <row r="343" spans="1:10" x14ac:dyDescent="0.25">
      <c r="A343" t="str">
        <f>IF('01_Rohdaten'!A343="","",ROW()-1)</f>
        <v/>
      </c>
      <c r="B343" s="17" t="str">
        <f>IF('01_Rohdaten'!A343="","",'01_Rohdaten'!A343)</f>
        <v/>
      </c>
      <c r="C343" s="17" t="str">
        <f>IF(B343="","",INDEX('01_Rohdaten'!B343:D343,'02_Eingaben'!$C$13))</f>
        <v/>
      </c>
      <c r="D343" s="17" t="str">
        <f>IF(C343="","",C343*'02_Eingaben'!$C$15)</f>
        <v/>
      </c>
      <c r="E343" s="17" t="str">
        <f>IF(D343="","",D343*'02_Eingaben'!$C$8)</f>
        <v/>
      </c>
      <c r="F343" s="17" t="str">
        <f>IF(E343="","",AVERAGE(INDEX($E$2:$E$3001,MAX(1,ROW()-1-'02_Eingaben'!$C$17)):INDEX($E$2:$E$3001,MIN('02_Eingaben'!$C$21,ROW()-1+'02_Eingaben'!$C$17))))</f>
        <v/>
      </c>
      <c r="G343" s="17" t="str">
        <f>IF(F343="","",F343-'02_Eingaben'!$C$10)</f>
        <v/>
      </c>
      <c r="H343" t="str">
        <f>IF(F343="","",IF(F343&lt;'02_Eingaben'!$C$18*'02_Eingaben'!$C$10,1,0))</f>
        <v/>
      </c>
      <c r="I343" s="17" t="str">
        <f t="shared" si="5"/>
        <v/>
      </c>
      <c r="J343" s="17" t="str">
        <f>IF(B343="","",IF(B342&lt;'02_Eingaben'!$C$36,0,J342+I342/'02_Eingaben'!$C$8))</f>
        <v/>
      </c>
    </row>
    <row r="344" spans="1:10" x14ac:dyDescent="0.25">
      <c r="A344" t="str">
        <f>IF('01_Rohdaten'!A344="","",ROW()-1)</f>
        <v/>
      </c>
      <c r="B344" s="17" t="str">
        <f>IF('01_Rohdaten'!A344="","",'01_Rohdaten'!A344)</f>
        <v/>
      </c>
      <c r="C344" s="17" t="str">
        <f>IF(B344="","",INDEX('01_Rohdaten'!B344:D344,'02_Eingaben'!$C$13))</f>
        <v/>
      </c>
      <c r="D344" s="17" t="str">
        <f>IF(C344="","",C344*'02_Eingaben'!$C$15)</f>
        <v/>
      </c>
      <c r="E344" s="17" t="str">
        <f>IF(D344="","",D344*'02_Eingaben'!$C$8)</f>
        <v/>
      </c>
      <c r="F344" s="17" t="str">
        <f>IF(E344="","",AVERAGE(INDEX($E$2:$E$3001,MAX(1,ROW()-1-'02_Eingaben'!$C$17)):INDEX($E$2:$E$3001,MIN('02_Eingaben'!$C$21,ROW()-1+'02_Eingaben'!$C$17))))</f>
        <v/>
      </c>
      <c r="G344" s="17" t="str">
        <f>IF(F344="","",F344-'02_Eingaben'!$C$10)</f>
        <v/>
      </c>
      <c r="H344" t="str">
        <f>IF(F344="","",IF(F344&lt;'02_Eingaben'!$C$18*'02_Eingaben'!$C$10,1,0))</f>
        <v/>
      </c>
      <c r="I344" s="17" t="str">
        <f t="shared" si="5"/>
        <v/>
      </c>
      <c r="J344" s="17" t="str">
        <f>IF(B344="","",IF(B343&lt;'02_Eingaben'!$C$36,0,J343+I343/'02_Eingaben'!$C$8))</f>
        <v/>
      </c>
    </row>
    <row r="345" spans="1:10" x14ac:dyDescent="0.25">
      <c r="A345" t="str">
        <f>IF('01_Rohdaten'!A345="","",ROW()-1)</f>
        <v/>
      </c>
      <c r="B345" s="17" t="str">
        <f>IF('01_Rohdaten'!A345="","",'01_Rohdaten'!A345)</f>
        <v/>
      </c>
      <c r="C345" s="17" t="str">
        <f>IF(B345="","",INDEX('01_Rohdaten'!B345:D345,'02_Eingaben'!$C$13))</f>
        <v/>
      </c>
      <c r="D345" s="17" t="str">
        <f>IF(C345="","",C345*'02_Eingaben'!$C$15)</f>
        <v/>
      </c>
      <c r="E345" s="17" t="str">
        <f>IF(D345="","",D345*'02_Eingaben'!$C$8)</f>
        <v/>
      </c>
      <c r="F345" s="17" t="str">
        <f>IF(E345="","",AVERAGE(INDEX($E$2:$E$3001,MAX(1,ROW()-1-'02_Eingaben'!$C$17)):INDEX($E$2:$E$3001,MIN('02_Eingaben'!$C$21,ROW()-1+'02_Eingaben'!$C$17))))</f>
        <v/>
      </c>
      <c r="G345" s="17" t="str">
        <f>IF(F345="","",F345-'02_Eingaben'!$C$10)</f>
        <v/>
      </c>
      <c r="H345" t="str">
        <f>IF(F345="","",IF(F345&lt;'02_Eingaben'!$C$18*'02_Eingaben'!$C$10,1,0))</f>
        <v/>
      </c>
      <c r="I345" s="17" t="str">
        <f t="shared" si="5"/>
        <v/>
      </c>
      <c r="J345" s="17" t="str">
        <f>IF(B345="","",IF(B344&lt;'02_Eingaben'!$C$36,0,J344+I344/'02_Eingaben'!$C$8))</f>
        <v/>
      </c>
    </row>
    <row r="346" spans="1:10" x14ac:dyDescent="0.25">
      <c r="A346" t="str">
        <f>IF('01_Rohdaten'!A346="","",ROW()-1)</f>
        <v/>
      </c>
      <c r="B346" s="17" t="str">
        <f>IF('01_Rohdaten'!A346="","",'01_Rohdaten'!A346)</f>
        <v/>
      </c>
      <c r="C346" s="17" t="str">
        <f>IF(B346="","",INDEX('01_Rohdaten'!B346:D346,'02_Eingaben'!$C$13))</f>
        <v/>
      </c>
      <c r="D346" s="17" t="str">
        <f>IF(C346="","",C346*'02_Eingaben'!$C$15)</f>
        <v/>
      </c>
      <c r="E346" s="17" t="str">
        <f>IF(D346="","",D346*'02_Eingaben'!$C$8)</f>
        <v/>
      </c>
      <c r="F346" s="17" t="str">
        <f>IF(E346="","",AVERAGE(INDEX($E$2:$E$3001,MAX(1,ROW()-1-'02_Eingaben'!$C$17)):INDEX($E$2:$E$3001,MIN('02_Eingaben'!$C$21,ROW()-1+'02_Eingaben'!$C$17))))</f>
        <v/>
      </c>
      <c r="G346" s="17" t="str">
        <f>IF(F346="","",F346-'02_Eingaben'!$C$10)</f>
        <v/>
      </c>
      <c r="H346" t="str">
        <f>IF(F346="","",IF(F346&lt;'02_Eingaben'!$C$18*'02_Eingaben'!$C$10,1,0))</f>
        <v/>
      </c>
      <c r="I346" s="17" t="str">
        <f t="shared" si="5"/>
        <v/>
      </c>
      <c r="J346" s="17" t="str">
        <f>IF(B346="","",IF(B345&lt;'02_Eingaben'!$C$36,0,J345+I345/'02_Eingaben'!$C$8))</f>
        <v/>
      </c>
    </row>
    <row r="347" spans="1:10" x14ac:dyDescent="0.25">
      <c r="A347" t="str">
        <f>IF('01_Rohdaten'!A347="","",ROW()-1)</f>
        <v/>
      </c>
      <c r="B347" s="17" t="str">
        <f>IF('01_Rohdaten'!A347="","",'01_Rohdaten'!A347)</f>
        <v/>
      </c>
      <c r="C347" s="17" t="str">
        <f>IF(B347="","",INDEX('01_Rohdaten'!B347:D347,'02_Eingaben'!$C$13))</f>
        <v/>
      </c>
      <c r="D347" s="17" t="str">
        <f>IF(C347="","",C347*'02_Eingaben'!$C$15)</f>
        <v/>
      </c>
      <c r="E347" s="17" t="str">
        <f>IF(D347="","",D347*'02_Eingaben'!$C$8)</f>
        <v/>
      </c>
      <c r="F347" s="17" t="str">
        <f>IF(E347="","",AVERAGE(INDEX($E$2:$E$3001,MAX(1,ROW()-1-'02_Eingaben'!$C$17)):INDEX($E$2:$E$3001,MIN('02_Eingaben'!$C$21,ROW()-1+'02_Eingaben'!$C$17))))</f>
        <v/>
      </c>
      <c r="G347" s="17" t="str">
        <f>IF(F347="","",F347-'02_Eingaben'!$C$10)</f>
        <v/>
      </c>
      <c r="H347" t="str">
        <f>IF(F347="","",IF(F347&lt;'02_Eingaben'!$C$18*'02_Eingaben'!$C$10,1,0))</f>
        <v/>
      </c>
      <c r="I347" s="17" t="str">
        <f t="shared" si="5"/>
        <v/>
      </c>
      <c r="J347" s="17" t="str">
        <f>IF(B347="","",IF(B346&lt;'02_Eingaben'!$C$36,0,J346+I346/'02_Eingaben'!$C$8))</f>
        <v/>
      </c>
    </row>
    <row r="348" spans="1:10" x14ac:dyDescent="0.25">
      <c r="A348" t="str">
        <f>IF('01_Rohdaten'!A348="","",ROW()-1)</f>
        <v/>
      </c>
      <c r="B348" s="17" t="str">
        <f>IF('01_Rohdaten'!A348="","",'01_Rohdaten'!A348)</f>
        <v/>
      </c>
      <c r="C348" s="17" t="str">
        <f>IF(B348="","",INDEX('01_Rohdaten'!B348:D348,'02_Eingaben'!$C$13))</f>
        <v/>
      </c>
      <c r="D348" s="17" t="str">
        <f>IF(C348="","",C348*'02_Eingaben'!$C$15)</f>
        <v/>
      </c>
      <c r="E348" s="17" t="str">
        <f>IF(D348="","",D348*'02_Eingaben'!$C$8)</f>
        <v/>
      </c>
      <c r="F348" s="17" t="str">
        <f>IF(E348="","",AVERAGE(INDEX($E$2:$E$3001,MAX(1,ROW()-1-'02_Eingaben'!$C$17)):INDEX($E$2:$E$3001,MIN('02_Eingaben'!$C$21,ROW()-1+'02_Eingaben'!$C$17))))</f>
        <v/>
      </c>
      <c r="G348" s="17" t="str">
        <f>IF(F348="","",F348-'02_Eingaben'!$C$10)</f>
        <v/>
      </c>
      <c r="H348" t="str">
        <f>IF(F348="","",IF(F348&lt;'02_Eingaben'!$C$18*'02_Eingaben'!$C$10,1,0))</f>
        <v/>
      </c>
      <c r="I348" s="17" t="str">
        <f t="shared" si="5"/>
        <v/>
      </c>
      <c r="J348" s="17" t="str">
        <f>IF(B348="","",IF(B347&lt;'02_Eingaben'!$C$36,0,J347+I347/'02_Eingaben'!$C$8))</f>
        <v/>
      </c>
    </row>
    <row r="349" spans="1:10" x14ac:dyDescent="0.25">
      <c r="A349" t="str">
        <f>IF('01_Rohdaten'!A349="","",ROW()-1)</f>
        <v/>
      </c>
      <c r="B349" s="17" t="str">
        <f>IF('01_Rohdaten'!A349="","",'01_Rohdaten'!A349)</f>
        <v/>
      </c>
      <c r="C349" s="17" t="str">
        <f>IF(B349="","",INDEX('01_Rohdaten'!B349:D349,'02_Eingaben'!$C$13))</f>
        <v/>
      </c>
      <c r="D349" s="17" t="str">
        <f>IF(C349="","",C349*'02_Eingaben'!$C$15)</f>
        <v/>
      </c>
      <c r="E349" s="17" t="str">
        <f>IF(D349="","",D349*'02_Eingaben'!$C$8)</f>
        <v/>
      </c>
      <c r="F349" s="17" t="str">
        <f>IF(E349="","",AVERAGE(INDEX($E$2:$E$3001,MAX(1,ROW()-1-'02_Eingaben'!$C$17)):INDEX($E$2:$E$3001,MIN('02_Eingaben'!$C$21,ROW()-1+'02_Eingaben'!$C$17))))</f>
        <v/>
      </c>
      <c r="G349" s="17" t="str">
        <f>IF(F349="","",F349-'02_Eingaben'!$C$10)</f>
        <v/>
      </c>
      <c r="H349" t="str">
        <f>IF(F349="","",IF(F349&lt;'02_Eingaben'!$C$18*'02_Eingaben'!$C$10,1,0))</f>
        <v/>
      </c>
      <c r="I349" s="17" t="str">
        <f t="shared" si="5"/>
        <v/>
      </c>
      <c r="J349" s="17" t="str">
        <f>IF(B349="","",IF(B348&lt;'02_Eingaben'!$C$36,0,J348+I348/'02_Eingaben'!$C$8))</f>
        <v/>
      </c>
    </row>
    <row r="350" spans="1:10" x14ac:dyDescent="0.25">
      <c r="A350" t="str">
        <f>IF('01_Rohdaten'!A350="","",ROW()-1)</f>
        <v/>
      </c>
      <c r="B350" s="17" t="str">
        <f>IF('01_Rohdaten'!A350="","",'01_Rohdaten'!A350)</f>
        <v/>
      </c>
      <c r="C350" s="17" t="str">
        <f>IF(B350="","",INDEX('01_Rohdaten'!B350:D350,'02_Eingaben'!$C$13))</f>
        <v/>
      </c>
      <c r="D350" s="17" t="str">
        <f>IF(C350="","",C350*'02_Eingaben'!$C$15)</f>
        <v/>
      </c>
      <c r="E350" s="17" t="str">
        <f>IF(D350="","",D350*'02_Eingaben'!$C$8)</f>
        <v/>
      </c>
      <c r="F350" s="17" t="str">
        <f>IF(E350="","",AVERAGE(INDEX($E$2:$E$3001,MAX(1,ROW()-1-'02_Eingaben'!$C$17)):INDEX($E$2:$E$3001,MIN('02_Eingaben'!$C$21,ROW()-1+'02_Eingaben'!$C$17))))</f>
        <v/>
      </c>
      <c r="G350" s="17" t="str">
        <f>IF(F350="","",F350-'02_Eingaben'!$C$10)</f>
        <v/>
      </c>
      <c r="H350" t="str">
        <f>IF(F350="","",IF(F350&lt;'02_Eingaben'!$C$18*'02_Eingaben'!$C$10,1,0))</f>
        <v/>
      </c>
      <c r="I350" s="17" t="str">
        <f t="shared" si="5"/>
        <v/>
      </c>
      <c r="J350" s="17" t="str">
        <f>IF(B350="","",IF(B349&lt;'02_Eingaben'!$C$36,0,J349+I349/'02_Eingaben'!$C$8))</f>
        <v/>
      </c>
    </row>
    <row r="351" spans="1:10" x14ac:dyDescent="0.25">
      <c r="A351" t="str">
        <f>IF('01_Rohdaten'!A351="","",ROW()-1)</f>
        <v/>
      </c>
      <c r="B351" s="17" t="str">
        <f>IF('01_Rohdaten'!A351="","",'01_Rohdaten'!A351)</f>
        <v/>
      </c>
      <c r="C351" s="17" t="str">
        <f>IF(B351="","",INDEX('01_Rohdaten'!B351:D351,'02_Eingaben'!$C$13))</f>
        <v/>
      </c>
      <c r="D351" s="17" t="str">
        <f>IF(C351="","",C351*'02_Eingaben'!$C$15)</f>
        <v/>
      </c>
      <c r="E351" s="17" t="str">
        <f>IF(D351="","",D351*'02_Eingaben'!$C$8)</f>
        <v/>
      </c>
      <c r="F351" s="17" t="str">
        <f>IF(E351="","",AVERAGE(INDEX($E$2:$E$3001,MAX(1,ROW()-1-'02_Eingaben'!$C$17)):INDEX($E$2:$E$3001,MIN('02_Eingaben'!$C$21,ROW()-1+'02_Eingaben'!$C$17))))</f>
        <v/>
      </c>
      <c r="G351" s="17" t="str">
        <f>IF(F351="","",F351-'02_Eingaben'!$C$10)</f>
        <v/>
      </c>
      <c r="H351" t="str">
        <f>IF(F351="","",IF(F351&lt;'02_Eingaben'!$C$18*'02_Eingaben'!$C$10,1,0))</f>
        <v/>
      </c>
      <c r="I351" s="17" t="str">
        <f t="shared" si="5"/>
        <v/>
      </c>
      <c r="J351" s="17" t="str">
        <f>IF(B351="","",IF(B350&lt;'02_Eingaben'!$C$36,0,J350+I350/'02_Eingaben'!$C$8))</f>
        <v/>
      </c>
    </row>
    <row r="352" spans="1:10" x14ac:dyDescent="0.25">
      <c r="A352" t="str">
        <f>IF('01_Rohdaten'!A352="","",ROW()-1)</f>
        <v/>
      </c>
      <c r="B352" s="17" t="str">
        <f>IF('01_Rohdaten'!A352="","",'01_Rohdaten'!A352)</f>
        <v/>
      </c>
      <c r="C352" s="17" t="str">
        <f>IF(B352="","",INDEX('01_Rohdaten'!B352:D352,'02_Eingaben'!$C$13))</f>
        <v/>
      </c>
      <c r="D352" s="17" t="str">
        <f>IF(C352="","",C352*'02_Eingaben'!$C$15)</f>
        <v/>
      </c>
      <c r="E352" s="17" t="str">
        <f>IF(D352="","",D352*'02_Eingaben'!$C$8)</f>
        <v/>
      </c>
      <c r="F352" s="17" t="str">
        <f>IF(E352="","",AVERAGE(INDEX($E$2:$E$3001,MAX(1,ROW()-1-'02_Eingaben'!$C$17)):INDEX($E$2:$E$3001,MIN('02_Eingaben'!$C$21,ROW()-1+'02_Eingaben'!$C$17))))</f>
        <v/>
      </c>
      <c r="G352" s="17" t="str">
        <f>IF(F352="","",F352-'02_Eingaben'!$C$10)</f>
        <v/>
      </c>
      <c r="H352" t="str">
        <f>IF(F352="","",IF(F352&lt;'02_Eingaben'!$C$18*'02_Eingaben'!$C$10,1,0))</f>
        <v/>
      </c>
      <c r="I352" s="17" t="str">
        <f t="shared" si="5"/>
        <v/>
      </c>
      <c r="J352" s="17" t="str">
        <f>IF(B352="","",IF(B351&lt;'02_Eingaben'!$C$36,0,J351+I351/'02_Eingaben'!$C$8))</f>
        <v/>
      </c>
    </row>
    <row r="353" spans="1:10" x14ac:dyDescent="0.25">
      <c r="A353" t="str">
        <f>IF('01_Rohdaten'!A353="","",ROW()-1)</f>
        <v/>
      </c>
      <c r="B353" s="17" t="str">
        <f>IF('01_Rohdaten'!A353="","",'01_Rohdaten'!A353)</f>
        <v/>
      </c>
      <c r="C353" s="17" t="str">
        <f>IF(B353="","",INDEX('01_Rohdaten'!B353:D353,'02_Eingaben'!$C$13))</f>
        <v/>
      </c>
      <c r="D353" s="17" t="str">
        <f>IF(C353="","",C353*'02_Eingaben'!$C$15)</f>
        <v/>
      </c>
      <c r="E353" s="17" t="str">
        <f>IF(D353="","",D353*'02_Eingaben'!$C$8)</f>
        <v/>
      </c>
      <c r="F353" s="17" t="str">
        <f>IF(E353="","",AVERAGE(INDEX($E$2:$E$3001,MAX(1,ROW()-1-'02_Eingaben'!$C$17)):INDEX($E$2:$E$3001,MIN('02_Eingaben'!$C$21,ROW()-1+'02_Eingaben'!$C$17))))</f>
        <v/>
      </c>
      <c r="G353" s="17" t="str">
        <f>IF(F353="","",F353-'02_Eingaben'!$C$10)</f>
        <v/>
      </c>
      <c r="H353" t="str">
        <f>IF(F353="","",IF(F353&lt;'02_Eingaben'!$C$18*'02_Eingaben'!$C$10,1,0))</f>
        <v/>
      </c>
      <c r="I353" s="17" t="str">
        <f t="shared" si="5"/>
        <v/>
      </c>
      <c r="J353" s="17" t="str">
        <f>IF(B353="","",IF(B352&lt;'02_Eingaben'!$C$36,0,J352+I352/'02_Eingaben'!$C$8))</f>
        <v/>
      </c>
    </row>
    <row r="354" spans="1:10" x14ac:dyDescent="0.25">
      <c r="A354" t="str">
        <f>IF('01_Rohdaten'!A354="","",ROW()-1)</f>
        <v/>
      </c>
      <c r="B354" s="17" t="str">
        <f>IF('01_Rohdaten'!A354="","",'01_Rohdaten'!A354)</f>
        <v/>
      </c>
      <c r="C354" s="17" t="str">
        <f>IF(B354="","",INDEX('01_Rohdaten'!B354:D354,'02_Eingaben'!$C$13))</f>
        <v/>
      </c>
      <c r="D354" s="17" t="str">
        <f>IF(C354="","",C354*'02_Eingaben'!$C$15)</f>
        <v/>
      </c>
      <c r="E354" s="17" t="str">
        <f>IF(D354="","",D354*'02_Eingaben'!$C$8)</f>
        <v/>
      </c>
      <c r="F354" s="17" t="str">
        <f>IF(E354="","",AVERAGE(INDEX($E$2:$E$3001,MAX(1,ROW()-1-'02_Eingaben'!$C$17)):INDEX($E$2:$E$3001,MIN('02_Eingaben'!$C$21,ROW()-1+'02_Eingaben'!$C$17))))</f>
        <v/>
      </c>
      <c r="G354" s="17" t="str">
        <f>IF(F354="","",F354-'02_Eingaben'!$C$10)</f>
        <v/>
      </c>
      <c r="H354" t="str">
        <f>IF(F354="","",IF(F354&lt;'02_Eingaben'!$C$18*'02_Eingaben'!$C$10,1,0))</f>
        <v/>
      </c>
      <c r="I354" s="17" t="str">
        <f t="shared" si="5"/>
        <v/>
      </c>
      <c r="J354" s="17" t="str">
        <f>IF(B354="","",IF(B353&lt;'02_Eingaben'!$C$36,0,J353+I353/'02_Eingaben'!$C$8))</f>
        <v/>
      </c>
    </row>
    <row r="355" spans="1:10" x14ac:dyDescent="0.25">
      <c r="A355" t="str">
        <f>IF('01_Rohdaten'!A355="","",ROW()-1)</f>
        <v/>
      </c>
      <c r="B355" s="17" t="str">
        <f>IF('01_Rohdaten'!A355="","",'01_Rohdaten'!A355)</f>
        <v/>
      </c>
      <c r="C355" s="17" t="str">
        <f>IF(B355="","",INDEX('01_Rohdaten'!B355:D355,'02_Eingaben'!$C$13))</f>
        <v/>
      </c>
      <c r="D355" s="17" t="str">
        <f>IF(C355="","",C355*'02_Eingaben'!$C$15)</f>
        <v/>
      </c>
      <c r="E355" s="17" t="str">
        <f>IF(D355="","",D355*'02_Eingaben'!$C$8)</f>
        <v/>
      </c>
      <c r="F355" s="17" t="str">
        <f>IF(E355="","",AVERAGE(INDEX($E$2:$E$3001,MAX(1,ROW()-1-'02_Eingaben'!$C$17)):INDEX($E$2:$E$3001,MIN('02_Eingaben'!$C$21,ROW()-1+'02_Eingaben'!$C$17))))</f>
        <v/>
      </c>
      <c r="G355" s="17" t="str">
        <f>IF(F355="","",F355-'02_Eingaben'!$C$10)</f>
        <v/>
      </c>
      <c r="H355" t="str">
        <f>IF(F355="","",IF(F355&lt;'02_Eingaben'!$C$18*'02_Eingaben'!$C$10,1,0))</f>
        <v/>
      </c>
      <c r="I355" s="17" t="str">
        <f t="shared" si="5"/>
        <v/>
      </c>
      <c r="J355" s="17" t="str">
        <f>IF(B355="","",IF(B354&lt;'02_Eingaben'!$C$36,0,J354+I354/'02_Eingaben'!$C$8))</f>
        <v/>
      </c>
    </row>
    <row r="356" spans="1:10" x14ac:dyDescent="0.25">
      <c r="A356" t="str">
        <f>IF('01_Rohdaten'!A356="","",ROW()-1)</f>
        <v/>
      </c>
      <c r="B356" s="17" t="str">
        <f>IF('01_Rohdaten'!A356="","",'01_Rohdaten'!A356)</f>
        <v/>
      </c>
      <c r="C356" s="17" t="str">
        <f>IF(B356="","",INDEX('01_Rohdaten'!B356:D356,'02_Eingaben'!$C$13))</f>
        <v/>
      </c>
      <c r="D356" s="17" t="str">
        <f>IF(C356="","",C356*'02_Eingaben'!$C$15)</f>
        <v/>
      </c>
      <c r="E356" s="17" t="str">
        <f>IF(D356="","",D356*'02_Eingaben'!$C$8)</f>
        <v/>
      </c>
      <c r="F356" s="17" t="str">
        <f>IF(E356="","",AVERAGE(INDEX($E$2:$E$3001,MAX(1,ROW()-1-'02_Eingaben'!$C$17)):INDEX($E$2:$E$3001,MIN('02_Eingaben'!$C$21,ROW()-1+'02_Eingaben'!$C$17))))</f>
        <v/>
      </c>
      <c r="G356" s="17" t="str">
        <f>IF(F356="","",F356-'02_Eingaben'!$C$10)</f>
        <v/>
      </c>
      <c r="H356" t="str">
        <f>IF(F356="","",IF(F356&lt;'02_Eingaben'!$C$18*'02_Eingaben'!$C$10,1,0))</f>
        <v/>
      </c>
      <c r="I356" s="17" t="str">
        <f t="shared" si="5"/>
        <v/>
      </c>
      <c r="J356" s="17" t="str">
        <f>IF(B356="","",IF(B355&lt;'02_Eingaben'!$C$36,0,J355+I355/'02_Eingaben'!$C$8))</f>
        <v/>
      </c>
    </row>
    <row r="357" spans="1:10" x14ac:dyDescent="0.25">
      <c r="A357" t="str">
        <f>IF('01_Rohdaten'!A357="","",ROW()-1)</f>
        <v/>
      </c>
      <c r="B357" s="17" t="str">
        <f>IF('01_Rohdaten'!A357="","",'01_Rohdaten'!A357)</f>
        <v/>
      </c>
      <c r="C357" s="17" t="str">
        <f>IF(B357="","",INDEX('01_Rohdaten'!B357:D357,'02_Eingaben'!$C$13))</f>
        <v/>
      </c>
      <c r="D357" s="17" t="str">
        <f>IF(C357="","",C357*'02_Eingaben'!$C$15)</f>
        <v/>
      </c>
      <c r="E357" s="17" t="str">
        <f>IF(D357="","",D357*'02_Eingaben'!$C$8)</f>
        <v/>
      </c>
      <c r="F357" s="17" t="str">
        <f>IF(E357="","",AVERAGE(INDEX($E$2:$E$3001,MAX(1,ROW()-1-'02_Eingaben'!$C$17)):INDEX($E$2:$E$3001,MIN('02_Eingaben'!$C$21,ROW()-1+'02_Eingaben'!$C$17))))</f>
        <v/>
      </c>
      <c r="G357" s="17" t="str">
        <f>IF(F357="","",F357-'02_Eingaben'!$C$10)</f>
        <v/>
      </c>
      <c r="H357" t="str">
        <f>IF(F357="","",IF(F357&lt;'02_Eingaben'!$C$18*'02_Eingaben'!$C$10,1,0))</f>
        <v/>
      </c>
      <c r="I357" s="17" t="str">
        <f t="shared" si="5"/>
        <v/>
      </c>
      <c r="J357" s="17" t="str">
        <f>IF(B357="","",IF(B356&lt;'02_Eingaben'!$C$36,0,J356+I356/'02_Eingaben'!$C$8))</f>
        <v/>
      </c>
    </row>
    <row r="358" spans="1:10" x14ac:dyDescent="0.25">
      <c r="A358" t="str">
        <f>IF('01_Rohdaten'!A358="","",ROW()-1)</f>
        <v/>
      </c>
      <c r="B358" s="17" t="str">
        <f>IF('01_Rohdaten'!A358="","",'01_Rohdaten'!A358)</f>
        <v/>
      </c>
      <c r="C358" s="17" t="str">
        <f>IF(B358="","",INDEX('01_Rohdaten'!B358:D358,'02_Eingaben'!$C$13))</f>
        <v/>
      </c>
      <c r="D358" s="17" t="str">
        <f>IF(C358="","",C358*'02_Eingaben'!$C$15)</f>
        <v/>
      </c>
      <c r="E358" s="17" t="str">
        <f>IF(D358="","",D358*'02_Eingaben'!$C$8)</f>
        <v/>
      </c>
      <c r="F358" s="17" t="str">
        <f>IF(E358="","",AVERAGE(INDEX($E$2:$E$3001,MAX(1,ROW()-1-'02_Eingaben'!$C$17)):INDEX($E$2:$E$3001,MIN('02_Eingaben'!$C$21,ROW()-1+'02_Eingaben'!$C$17))))</f>
        <v/>
      </c>
      <c r="G358" s="17" t="str">
        <f>IF(F358="","",F358-'02_Eingaben'!$C$10)</f>
        <v/>
      </c>
      <c r="H358" t="str">
        <f>IF(F358="","",IF(F358&lt;'02_Eingaben'!$C$18*'02_Eingaben'!$C$10,1,0))</f>
        <v/>
      </c>
      <c r="I358" s="17" t="str">
        <f t="shared" si="5"/>
        <v/>
      </c>
      <c r="J358" s="17" t="str">
        <f>IF(B358="","",IF(B357&lt;'02_Eingaben'!$C$36,0,J357+I357/'02_Eingaben'!$C$8))</f>
        <v/>
      </c>
    </row>
    <row r="359" spans="1:10" x14ac:dyDescent="0.25">
      <c r="A359" t="str">
        <f>IF('01_Rohdaten'!A359="","",ROW()-1)</f>
        <v/>
      </c>
      <c r="B359" s="17" t="str">
        <f>IF('01_Rohdaten'!A359="","",'01_Rohdaten'!A359)</f>
        <v/>
      </c>
      <c r="C359" s="17" t="str">
        <f>IF(B359="","",INDEX('01_Rohdaten'!B359:D359,'02_Eingaben'!$C$13))</f>
        <v/>
      </c>
      <c r="D359" s="17" t="str">
        <f>IF(C359="","",C359*'02_Eingaben'!$C$15)</f>
        <v/>
      </c>
      <c r="E359" s="17" t="str">
        <f>IF(D359="","",D359*'02_Eingaben'!$C$8)</f>
        <v/>
      </c>
      <c r="F359" s="17" t="str">
        <f>IF(E359="","",AVERAGE(INDEX($E$2:$E$3001,MAX(1,ROW()-1-'02_Eingaben'!$C$17)):INDEX($E$2:$E$3001,MIN('02_Eingaben'!$C$21,ROW()-1+'02_Eingaben'!$C$17))))</f>
        <v/>
      </c>
      <c r="G359" s="17" t="str">
        <f>IF(F359="","",F359-'02_Eingaben'!$C$10)</f>
        <v/>
      </c>
      <c r="H359" t="str">
        <f>IF(F359="","",IF(F359&lt;'02_Eingaben'!$C$18*'02_Eingaben'!$C$10,1,0))</f>
        <v/>
      </c>
      <c r="I359" s="17" t="str">
        <f t="shared" si="5"/>
        <v/>
      </c>
      <c r="J359" s="17" t="str">
        <f>IF(B359="","",IF(B358&lt;'02_Eingaben'!$C$36,0,J358+I358/'02_Eingaben'!$C$8))</f>
        <v/>
      </c>
    </row>
    <row r="360" spans="1:10" x14ac:dyDescent="0.25">
      <c r="A360" t="str">
        <f>IF('01_Rohdaten'!A360="","",ROW()-1)</f>
        <v/>
      </c>
      <c r="B360" s="17" t="str">
        <f>IF('01_Rohdaten'!A360="","",'01_Rohdaten'!A360)</f>
        <v/>
      </c>
      <c r="C360" s="17" t="str">
        <f>IF(B360="","",INDEX('01_Rohdaten'!B360:D360,'02_Eingaben'!$C$13))</f>
        <v/>
      </c>
      <c r="D360" s="17" t="str">
        <f>IF(C360="","",C360*'02_Eingaben'!$C$15)</f>
        <v/>
      </c>
      <c r="E360" s="17" t="str">
        <f>IF(D360="","",D360*'02_Eingaben'!$C$8)</f>
        <v/>
      </c>
      <c r="F360" s="17" t="str">
        <f>IF(E360="","",AVERAGE(INDEX($E$2:$E$3001,MAX(1,ROW()-1-'02_Eingaben'!$C$17)):INDEX($E$2:$E$3001,MIN('02_Eingaben'!$C$21,ROW()-1+'02_Eingaben'!$C$17))))</f>
        <v/>
      </c>
      <c r="G360" s="17" t="str">
        <f>IF(F360="","",F360-'02_Eingaben'!$C$10)</f>
        <v/>
      </c>
      <c r="H360" t="str">
        <f>IF(F360="","",IF(F360&lt;'02_Eingaben'!$C$18*'02_Eingaben'!$C$10,1,0))</f>
        <v/>
      </c>
      <c r="I360" s="17" t="str">
        <f t="shared" si="5"/>
        <v/>
      </c>
      <c r="J360" s="17" t="str">
        <f>IF(B360="","",IF(B359&lt;'02_Eingaben'!$C$36,0,J359+I359/'02_Eingaben'!$C$8))</f>
        <v/>
      </c>
    </row>
    <row r="361" spans="1:10" x14ac:dyDescent="0.25">
      <c r="A361" t="str">
        <f>IF('01_Rohdaten'!A361="","",ROW()-1)</f>
        <v/>
      </c>
      <c r="B361" s="17" t="str">
        <f>IF('01_Rohdaten'!A361="","",'01_Rohdaten'!A361)</f>
        <v/>
      </c>
      <c r="C361" s="17" t="str">
        <f>IF(B361="","",INDEX('01_Rohdaten'!B361:D361,'02_Eingaben'!$C$13))</f>
        <v/>
      </c>
      <c r="D361" s="17" t="str">
        <f>IF(C361="","",C361*'02_Eingaben'!$C$15)</f>
        <v/>
      </c>
      <c r="E361" s="17" t="str">
        <f>IF(D361="","",D361*'02_Eingaben'!$C$8)</f>
        <v/>
      </c>
      <c r="F361" s="17" t="str">
        <f>IF(E361="","",AVERAGE(INDEX($E$2:$E$3001,MAX(1,ROW()-1-'02_Eingaben'!$C$17)):INDEX($E$2:$E$3001,MIN('02_Eingaben'!$C$21,ROW()-1+'02_Eingaben'!$C$17))))</f>
        <v/>
      </c>
      <c r="G361" s="17" t="str">
        <f>IF(F361="","",F361-'02_Eingaben'!$C$10)</f>
        <v/>
      </c>
      <c r="H361" t="str">
        <f>IF(F361="","",IF(F361&lt;'02_Eingaben'!$C$18*'02_Eingaben'!$C$10,1,0))</f>
        <v/>
      </c>
      <c r="I361" s="17" t="str">
        <f t="shared" si="5"/>
        <v/>
      </c>
      <c r="J361" s="17" t="str">
        <f>IF(B361="","",IF(B360&lt;'02_Eingaben'!$C$36,0,J360+I360/'02_Eingaben'!$C$8))</f>
        <v/>
      </c>
    </row>
    <row r="362" spans="1:10" x14ac:dyDescent="0.25">
      <c r="A362" t="str">
        <f>IF('01_Rohdaten'!A362="","",ROW()-1)</f>
        <v/>
      </c>
      <c r="B362" s="17" t="str">
        <f>IF('01_Rohdaten'!A362="","",'01_Rohdaten'!A362)</f>
        <v/>
      </c>
      <c r="C362" s="17" t="str">
        <f>IF(B362="","",INDEX('01_Rohdaten'!B362:D362,'02_Eingaben'!$C$13))</f>
        <v/>
      </c>
      <c r="D362" s="17" t="str">
        <f>IF(C362="","",C362*'02_Eingaben'!$C$15)</f>
        <v/>
      </c>
      <c r="E362" s="17" t="str">
        <f>IF(D362="","",D362*'02_Eingaben'!$C$8)</f>
        <v/>
      </c>
      <c r="F362" s="17" t="str">
        <f>IF(E362="","",AVERAGE(INDEX($E$2:$E$3001,MAX(1,ROW()-1-'02_Eingaben'!$C$17)):INDEX($E$2:$E$3001,MIN('02_Eingaben'!$C$21,ROW()-1+'02_Eingaben'!$C$17))))</f>
        <v/>
      </c>
      <c r="G362" s="17" t="str">
        <f>IF(F362="","",F362-'02_Eingaben'!$C$10)</f>
        <v/>
      </c>
      <c r="H362" t="str">
        <f>IF(F362="","",IF(F362&lt;'02_Eingaben'!$C$18*'02_Eingaben'!$C$10,1,0))</f>
        <v/>
      </c>
      <c r="I362" s="17" t="str">
        <f t="shared" si="5"/>
        <v/>
      </c>
      <c r="J362" s="17" t="str">
        <f>IF(B362="","",IF(B361&lt;'02_Eingaben'!$C$36,0,J361+I361/'02_Eingaben'!$C$8))</f>
        <v/>
      </c>
    </row>
    <row r="363" spans="1:10" x14ac:dyDescent="0.25">
      <c r="A363" t="str">
        <f>IF('01_Rohdaten'!A363="","",ROW()-1)</f>
        <v/>
      </c>
      <c r="B363" s="17" t="str">
        <f>IF('01_Rohdaten'!A363="","",'01_Rohdaten'!A363)</f>
        <v/>
      </c>
      <c r="C363" s="17" t="str">
        <f>IF(B363="","",INDEX('01_Rohdaten'!B363:D363,'02_Eingaben'!$C$13))</f>
        <v/>
      </c>
      <c r="D363" s="17" t="str">
        <f>IF(C363="","",C363*'02_Eingaben'!$C$15)</f>
        <v/>
      </c>
      <c r="E363" s="17" t="str">
        <f>IF(D363="","",D363*'02_Eingaben'!$C$8)</f>
        <v/>
      </c>
      <c r="F363" s="17" t="str">
        <f>IF(E363="","",AVERAGE(INDEX($E$2:$E$3001,MAX(1,ROW()-1-'02_Eingaben'!$C$17)):INDEX($E$2:$E$3001,MIN('02_Eingaben'!$C$21,ROW()-1+'02_Eingaben'!$C$17))))</f>
        <v/>
      </c>
      <c r="G363" s="17" t="str">
        <f>IF(F363="","",F363-'02_Eingaben'!$C$10)</f>
        <v/>
      </c>
      <c r="H363" t="str">
        <f>IF(F363="","",IF(F363&lt;'02_Eingaben'!$C$18*'02_Eingaben'!$C$10,1,0))</f>
        <v/>
      </c>
      <c r="I363" s="17" t="str">
        <f t="shared" si="5"/>
        <v/>
      </c>
      <c r="J363" s="17" t="str">
        <f>IF(B363="","",IF(B362&lt;'02_Eingaben'!$C$36,0,J362+I362/'02_Eingaben'!$C$8))</f>
        <v/>
      </c>
    </row>
    <row r="364" spans="1:10" x14ac:dyDescent="0.25">
      <c r="A364" t="str">
        <f>IF('01_Rohdaten'!A364="","",ROW()-1)</f>
        <v/>
      </c>
      <c r="B364" s="17" t="str">
        <f>IF('01_Rohdaten'!A364="","",'01_Rohdaten'!A364)</f>
        <v/>
      </c>
      <c r="C364" s="17" t="str">
        <f>IF(B364="","",INDEX('01_Rohdaten'!B364:D364,'02_Eingaben'!$C$13))</f>
        <v/>
      </c>
      <c r="D364" s="17" t="str">
        <f>IF(C364="","",C364*'02_Eingaben'!$C$15)</f>
        <v/>
      </c>
      <c r="E364" s="17" t="str">
        <f>IF(D364="","",D364*'02_Eingaben'!$C$8)</f>
        <v/>
      </c>
      <c r="F364" s="17" t="str">
        <f>IF(E364="","",AVERAGE(INDEX($E$2:$E$3001,MAX(1,ROW()-1-'02_Eingaben'!$C$17)):INDEX($E$2:$E$3001,MIN('02_Eingaben'!$C$21,ROW()-1+'02_Eingaben'!$C$17))))</f>
        <v/>
      </c>
      <c r="G364" s="17" t="str">
        <f>IF(F364="","",F364-'02_Eingaben'!$C$10)</f>
        <v/>
      </c>
      <c r="H364" t="str">
        <f>IF(F364="","",IF(F364&lt;'02_Eingaben'!$C$18*'02_Eingaben'!$C$10,1,0))</f>
        <v/>
      </c>
      <c r="I364" s="17" t="str">
        <f t="shared" si="5"/>
        <v/>
      </c>
      <c r="J364" s="17" t="str">
        <f>IF(B364="","",IF(B363&lt;'02_Eingaben'!$C$36,0,J363+I363/'02_Eingaben'!$C$8))</f>
        <v/>
      </c>
    </row>
    <row r="365" spans="1:10" x14ac:dyDescent="0.25">
      <c r="A365" t="str">
        <f>IF('01_Rohdaten'!A365="","",ROW()-1)</f>
        <v/>
      </c>
      <c r="B365" s="17" t="str">
        <f>IF('01_Rohdaten'!A365="","",'01_Rohdaten'!A365)</f>
        <v/>
      </c>
      <c r="C365" s="17" t="str">
        <f>IF(B365="","",INDEX('01_Rohdaten'!B365:D365,'02_Eingaben'!$C$13))</f>
        <v/>
      </c>
      <c r="D365" s="17" t="str">
        <f>IF(C365="","",C365*'02_Eingaben'!$C$15)</f>
        <v/>
      </c>
      <c r="E365" s="17" t="str">
        <f>IF(D365="","",D365*'02_Eingaben'!$C$8)</f>
        <v/>
      </c>
      <c r="F365" s="17" t="str">
        <f>IF(E365="","",AVERAGE(INDEX($E$2:$E$3001,MAX(1,ROW()-1-'02_Eingaben'!$C$17)):INDEX($E$2:$E$3001,MIN('02_Eingaben'!$C$21,ROW()-1+'02_Eingaben'!$C$17))))</f>
        <v/>
      </c>
      <c r="G365" s="17" t="str">
        <f>IF(F365="","",F365-'02_Eingaben'!$C$10)</f>
        <v/>
      </c>
      <c r="H365" t="str">
        <f>IF(F365="","",IF(F365&lt;'02_Eingaben'!$C$18*'02_Eingaben'!$C$10,1,0))</f>
        <v/>
      </c>
      <c r="I365" s="17" t="str">
        <f t="shared" si="5"/>
        <v/>
      </c>
      <c r="J365" s="17" t="str">
        <f>IF(B365="","",IF(B364&lt;'02_Eingaben'!$C$36,0,J364+I364/'02_Eingaben'!$C$8))</f>
        <v/>
      </c>
    </row>
    <row r="366" spans="1:10" x14ac:dyDescent="0.25">
      <c r="A366" t="str">
        <f>IF('01_Rohdaten'!A366="","",ROW()-1)</f>
        <v/>
      </c>
      <c r="B366" s="17" t="str">
        <f>IF('01_Rohdaten'!A366="","",'01_Rohdaten'!A366)</f>
        <v/>
      </c>
      <c r="C366" s="17" t="str">
        <f>IF(B366="","",INDEX('01_Rohdaten'!B366:D366,'02_Eingaben'!$C$13))</f>
        <v/>
      </c>
      <c r="D366" s="17" t="str">
        <f>IF(C366="","",C366*'02_Eingaben'!$C$15)</f>
        <v/>
      </c>
      <c r="E366" s="17" t="str">
        <f>IF(D366="","",D366*'02_Eingaben'!$C$8)</f>
        <v/>
      </c>
      <c r="F366" s="17" t="str">
        <f>IF(E366="","",AVERAGE(INDEX($E$2:$E$3001,MAX(1,ROW()-1-'02_Eingaben'!$C$17)):INDEX($E$2:$E$3001,MIN('02_Eingaben'!$C$21,ROW()-1+'02_Eingaben'!$C$17))))</f>
        <v/>
      </c>
      <c r="G366" s="17" t="str">
        <f>IF(F366="","",F366-'02_Eingaben'!$C$10)</f>
        <v/>
      </c>
      <c r="H366" t="str">
        <f>IF(F366="","",IF(F366&lt;'02_Eingaben'!$C$18*'02_Eingaben'!$C$10,1,0))</f>
        <v/>
      </c>
      <c r="I366" s="17" t="str">
        <f t="shared" si="5"/>
        <v/>
      </c>
      <c r="J366" s="17" t="str">
        <f>IF(B366="","",IF(B365&lt;'02_Eingaben'!$C$36,0,J365+I365/'02_Eingaben'!$C$8))</f>
        <v/>
      </c>
    </row>
    <row r="367" spans="1:10" x14ac:dyDescent="0.25">
      <c r="A367" t="str">
        <f>IF('01_Rohdaten'!A367="","",ROW()-1)</f>
        <v/>
      </c>
      <c r="B367" s="17" t="str">
        <f>IF('01_Rohdaten'!A367="","",'01_Rohdaten'!A367)</f>
        <v/>
      </c>
      <c r="C367" s="17" t="str">
        <f>IF(B367="","",INDEX('01_Rohdaten'!B367:D367,'02_Eingaben'!$C$13))</f>
        <v/>
      </c>
      <c r="D367" s="17" t="str">
        <f>IF(C367="","",C367*'02_Eingaben'!$C$15)</f>
        <v/>
      </c>
      <c r="E367" s="17" t="str">
        <f>IF(D367="","",D367*'02_Eingaben'!$C$8)</f>
        <v/>
      </c>
      <c r="F367" s="17" t="str">
        <f>IF(E367="","",AVERAGE(INDEX($E$2:$E$3001,MAX(1,ROW()-1-'02_Eingaben'!$C$17)):INDEX($E$2:$E$3001,MIN('02_Eingaben'!$C$21,ROW()-1+'02_Eingaben'!$C$17))))</f>
        <v/>
      </c>
      <c r="G367" s="17" t="str">
        <f>IF(F367="","",F367-'02_Eingaben'!$C$10)</f>
        <v/>
      </c>
      <c r="H367" t="str">
        <f>IF(F367="","",IF(F367&lt;'02_Eingaben'!$C$18*'02_Eingaben'!$C$10,1,0))</f>
        <v/>
      </c>
      <c r="I367" s="17" t="str">
        <f t="shared" si="5"/>
        <v/>
      </c>
      <c r="J367" s="17" t="str">
        <f>IF(B367="","",IF(B366&lt;'02_Eingaben'!$C$36,0,J366+I366/'02_Eingaben'!$C$8))</f>
        <v/>
      </c>
    </row>
    <row r="368" spans="1:10" x14ac:dyDescent="0.25">
      <c r="A368" t="str">
        <f>IF('01_Rohdaten'!A368="","",ROW()-1)</f>
        <v/>
      </c>
      <c r="B368" s="17" t="str">
        <f>IF('01_Rohdaten'!A368="","",'01_Rohdaten'!A368)</f>
        <v/>
      </c>
      <c r="C368" s="17" t="str">
        <f>IF(B368="","",INDEX('01_Rohdaten'!B368:D368,'02_Eingaben'!$C$13))</f>
        <v/>
      </c>
      <c r="D368" s="17" t="str">
        <f>IF(C368="","",C368*'02_Eingaben'!$C$15)</f>
        <v/>
      </c>
      <c r="E368" s="17" t="str">
        <f>IF(D368="","",D368*'02_Eingaben'!$C$8)</f>
        <v/>
      </c>
      <c r="F368" s="17" t="str">
        <f>IF(E368="","",AVERAGE(INDEX($E$2:$E$3001,MAX(1,ROW()-1-'02_Eingaben'!$C$17)):INDEX($E$2:$E$3001,MIN('02_Eingaben'!$C$21,ROW()-1+'02_Eingaben'!$C$17))))</f>
        <v/>
      </c>
      <c r="G368" s="17" t="str">
        <f>IF(F368="","",F368-'02_Eingaben'!$C$10)</f>
        <v/>
      </c>
      <c r="H368" t="str">
        <f>IF(F368="","",IF(F368&lt;'02_Eingaben'!$C$18*'02_Eingaben'!$C$10,1,0))</f>
        <v/>
      </c>
      <c r="I368" s="17" t="str">
        <f t="shared" si="5"/>
        <v/>
      </c>
      <c r="J368" s="17" t="str">
        <f>IF(B368="","",IF(B367&lt;'02_Eingaben'!$C$36,0,J367+I367/'02_Eingaben'!$C$8))</f>
        <v/>
      </c>
    </row>
    <row r="369" spans="1:10" x14ac:dyDescent="0.25">
      <c r="A369" t="str">
        <f>IF('01_Rohdaten'!A369="","",ROW()-1)</f>
        <v/>
      </c>
      <c r="B369" s="17" t="str">
        <f>IF('01_Rohdaten'!A369="","",'01_Rohdaten'!A369)</f>
        <v/>
      </c>
      <c r="C369" s="17" t="str">
        <f>IF(B369="","",INDEX('01_Rohdaten'!B369:D369,'02_Eingaben'!$C$13))</f>
        <v/>
      </c>
      <c r="D369" s="17" t="str">
        <f>IF(C369="","",C369*'02_Eingaben'!$C$15)</f>
        <v/>
      </c>
      <c r="E369" s="17" t="str">
        <f>IF(D369="","",D369*'02_Eingaben'!$C$8)</f>
        <v/>
      </c>
      <c r="F369" s="17" t="str">
        <f>IF(E369="","",AVERAGE(INDEX($E$2:$E$3001,MAX(1,ROW()-1-'02_Eingaben'!$C$17)):INDEX($E$2:$E$3001,MIN('02_Eingaben'!$C$21,ROW()-1+'02_Eingaben'!$C$17))))</f>
        <v/>
      </c>
      <c r="G369" s="17" t="str">
        <f>IF(F369="","",F369-'02_Eingaben'!$C$10)</f>
        <v/>
      </c>
      <c r="H369" t="str">
        <f>IF(F369="","",IF(F369&lt;'02_Eingaben'!$C$18*'02_Eingaben'!$C$10,1,0))</f>
        <v/>
      </c>
      <c r="I369" s="17" t="str">
        <f t="shared" si="5"/>
        <v/>
      </c>
      <c r="J369" s="17" t="str">
        <f>IF(B369="","",IF(B368&lt;'02_Eingaben'!$C$36,0,J368+I368/'02_Eingaben'!$C$8))</f>
        <v/>
      </c>
    </row>
    <row r="370" spans="1:10" x14ac:dyDescent="0.25">
      <c r="A370" t="str">
        <f>IF('01_Rohdaten'!A370="","",ROW()-1)</f>
        <v/>
      </c>
      <c r="B370" s="17" t="str">
        <f>IF('01_Rohdaten'!A370="","",'01_Rohdaten'!A370)</f>
        <v/>
      </c>
      <c r="C370" s="17" t="str">
        <f>IF(B370="","",INDEX('01_Rohdaten'!B370:D370,'02_Eingaben'!$C$13))</f>
        <v/>
      </c>
      <c r="D370" s="17" t="str">
        <f>IF(C370="","",C370*'02_Eingaben'!$C$15)</f>
        <v/>
      </c>
      <c r="E370" s="17" t="str">
        <f>IF(D370="","",D370*'02_Eingaben'!$C$8)</f>
        <v/>
      </c>
      <c r="F370" s="17" t="str">
        <f>IF(E370="","",AVERAGE(INDEX($E$2:$E$3001,MAX(1,ROW()-1-'02_Eingaben'!$C$17)):INDEX($E$2:$E$3001,MIN('02_Eingaben'!$C$21,ROW()-1+'02_Eingaben'!$C$17))))</f>
        <v/>
      </c>
      <c r="G370" s="17" t="str">
        <f>IF(F370="","",F370-'02_Eingaben'!$C$10)</f>
        <v/>
      </c>
      <c r="H370" t="str">
        <f>IF(F370="","",IF(F370&lt;'02_Eingaben'!$C$18*'02_Eingaben'!$C$10,1,0))</f>
        <v/>
      </c>
      <c r="I370" s="17" t="str">
        <f t="shared" si="5"/>
        <v/>
      </c>
      <c r="J370" s="17" t="str">
        <f>IF(B370="","",IF(B369&lt;'02_Eingaben'!$C$36,0,J369+I369/'02_Eingaben'!$C$8))</f>
        <v/>
      </c>
    </row>
    <row r="371" spans="1:10" x14ac:dyDescent="0.25">
      <c r="A371" t="str">
        <f>IF('01_Rohdaten'!A371="","",ROW()-1)</f>
        <v/>
      </c>
      <c r="B371" s="17" t="str">
        <f>IF('01_Rohdaten'!A371="","",'01_Rohdaten'!A371)</f>
        <v/>
      </c>
      <c r="C371" s="17" t="str">
        <f>IF(B371="","",INDEX('01_Rohdaten'!B371:D371,'02_Eingaben'!$C$13))</f>
        <v/>
      </c>
      <c r="D371" s="17" t="str">
        <f>IF(C371="","",C371*'02_Eingaben'!$C$15)</f>
        <v/>
      </c>
      <c r="E371" s="17" t="str">
        <f>IF(D371="","",D371*'02_Eingaben'!$C$8)</f>
        <v/>
      </c>
      <c r="F371" s="17" t="str">
        <f>IF(E371="","",AVERAGE(INDEX($E$2:$E$3001,MAX(1,ROW()-1-'02_Eingaben'!$C$17)):INDEX($E$2:$E$3001,MIN('02_Eingaben'!$C$21,ROW()-1+'02_Eingaben'!$C$17))))</f>
        <v/>
      </c>
      <c r="G371" s="17" t="str">
        <f>IF(F371="","",F371-'02_Eingaben'!$C$10)</f>
        <v/>
      </c>
      <c r="H371" t="str">
        <f>IF(F371="","",IF(F371&lt;'02_Eingaben'!$C$18*'02_Eingaben'!$C$10,1,0))</f>
        <v/>
      </c>
      <c r="I371" s="17" t="str">
        <f t="shared" si="5"/>
        <v/>
      </c>
      <c r="J371" s="17" t="str">
        <f>IF(B371="","",IF(B370&lt;'02_Eingaben'!$C$36,0,J370+I370/'02_Eingaben'!$C$8))</f>
        <v/>
      </c>
    </row>
    <row r="372" spans="1:10" x14ac:dyDescent="0.25">
      <c r="A372" t="str">
        <f>IF('01_Rohdaten'!A372="","",ROW()-1)</f>
        <v/>
      </c>
      <c r="B372" s="17" t="str">
        <f>IF('01_Rohdaten'!A372="","",'01_Rohdaten'!A372)</f>
        <v/>
      </c>
      <c r="C372" s="17" t="str">
        <f>IF(B372="","",INDEX('01_Rohdaten'!B372:D372,'02_Eingaben'!$C$13))</f>
        <v/>
      </c>
      <c r="D372" s="17" t="str">
        <f>IF(C372="","",C372*'02_Eingaben'!$C$15)</f>
        <v/>
      </c>
      <c r="E372" s="17" t="str">
        <f>IF(D372="","",D372*'02_Eingaben'!$C$8)</f>
        <v/>
      </c>
      <c r="F372" s="17" t="str">
        <f>IF(E372="","",AVERAGE(INDEX($E$2:$E$3001,MAX(1,ROW()-1-'02_Eingaben'!$C$17)):INDEX($E$2:$E$3001,MIN('02_Eingaben'!$C$21,ROW()-1+'02_Eingaben'!$C$17))))</f>
        <v/>
      </c>
      <c r="G372" s="17" t="str">
        <f>IF(F372="","",F372-'02_Eingaben'!$C$10)</f>
        <v/>
      </c>
      <c r="H372" t="str">
        <f>IF(F372="","",IF(F372&lt;'02_Eingaben'!$C$18*'02_Eingaben'!$C$10,1,0))</f>
        <v/>
      </c>
      <c r="I372" s="17" t="str">
        <f t="shared" si="5"/>
        <v/>
      </c>
      <c r="J372" s="17" t="str">
        <f>IF(B372="","",IF(B371&lt;'02_Eingaben'!$C$36,0,J371+I371/'02_Eingaben'!$C$8))</f>
        <v/>
      </c>
    </row>
    <row r="373" spans="1:10" x14ac:dyDescent="0.25">
      <c r="A373" t="str">
        <f>IF('01_Rohdaten'!A373="","",ROW()-1)</f>
        <v/>
      </c>
      <c r="B373" s="17" t="str">
        <f>IF('01_Rohdaten'!A373="","",'01_Rohdaten'!A373)</f>
        <v/>
      </c>
      <c r="C373" s="17" t="str">
        <f>IF(B373="","",INDEX('01_Rohdaten'!B373:D373,'02_Eingaben'!$C$13))</f>
        <v/>
      </c>
      <c r="D373" s="17" t="str">
        <f>IF(C373="","",C373*'02_Eingaben'!$C$15)</f>
        <v/>
      </c>
      <c r="E373" s="17" t="str">
        <f>IF(D373="","",D373*'02_Eingaben'!$C$8)</f>
        <v/>
      </c>
      <c r="F373" s="17" t="str">
        <f>IF(E373="","",AVERAGE(INDEX($E$2:$E$3001,MAX(1,ROW()-1-'02_Eingaben'!$C$17)):INDEX($E$2:$E$3001,MIN('02_Eingaben'!$C$21,ROW()-1+'02_Eingaben'!$C$17))))</f>
        <v/>
      </c>
      <c r="G373" s="17" t="str">
        <f>IF(F373="","",F373-'02_Eingaben'!$C$10)</f>
        <v/>
      </c>
      <c r="H373" t="str">
        <f>IF(F373="","",IF(F373&lt;'02_Eingaben'!$C$18*'02_Eingaben'!$C$10,1,0))</f>
        <v/>
      </c>
      <c r="I373" s="17" t="str">
        <f t="shared" si="5"/>
        <v/>
      </c>
      <c r="J373" s="17" t="str">
        <f>IF(B373="","",IF(B372&lt;'02_Eingaben'!$C$36,0,J372+I372/'02_Eingaben'!$C$8))</f>
        <v/>
      </c>
    </row>
    <row r="374" spans="1:10" x14ac:dyDescent="0.25">
      <c r="A374" t="str">
        <f>IF('01_Rohdaten'!A374="","",ROW()-1)</f>
        <v/>
      </c>
      <c r="B374" s="17" t="str">
        <f>IF('01_Rohdaten'!A374="","",'01_Rohdaten'!A374)</f>
        <v/>
      </c>
      <c r="C374" s="17" t="str">
        <f>IF(B374="","",INDEX('01_Rohdaten'!B374:D374,'02_Eingaben'!$C$13))</f>
        <v/>
      </c>
      <c r="D374" s="17" t="str">
        <f>IF(C374="","",C374*'02_Eingaben'!$C$15)</f>
        <v/>
      </c>
      <c r="E374" s="17" t="str">
        <f>IF(D374="","",D374*'02_Eingaben'!$C$8)</f>
        <v/>
      </c>
      <c r="F374" s="17" t="str">
        <f>IF(E374="","",AVERAGE(INDEX($E$2:$E$3001,MAX(1,ROW()-1-'02_Eingaben'!$C$17)):INDEX($E$2:$E$3001,MIN('02_Eingaben'!$C$21,ROW()-1+'02_Eingaben'!$C$17))))</f>
        <v/>
      </c>
      <c r="G374" s="17" t="str">
        <f>IF(F374="","",F374-'02_Eingaben'!$C$10)</f>
        <v/>
      </c>
      <c r="H374" t="str">
        <f>IF(F374="","",IF(F374&lt;'02_Eingaben'!$C$18*'02_Eingaben'!$C$10,1,0))</f>
        <v/>
      </c>
      <c r="I374" s="17" t="str">
        <f t="shared" si="5"/>
        <v/>
      </c>
      <c r="J374" s="17" t="str">
        <f>IF(B374="","",IF(B373&lt;'02_Eingaben'!$C$36,0,J373+I373/'02_Eingaben'!$C$8))</f>
        <v/>
      </c>
    </row>
    <row r="375" spans="1:10" x14ac:dyDescent="0.25">
      <c r="A375" t="str">
        <f>IF('01_Rohdaten'!A375="","",ROW()-1)</f>
        <v/>
      </c>
      <c r="B375" s="17" t="str">
        <f>IF('01_Rohdaten'!A375="","",'01_Rohdaten'!A375)</f>
        <v/>
      </c>
      <c r="C375" s="17" t="str">
        <f>IF(B375="","",INDEX('01_Rohdaten'!B375:D375,'02_Eingaben'!$C$13))</f>
        <v/>
      </c>
      <c r="D375" s="17" t="str">
        <f>IF(C375="","",C375*'02_Eingaben'!$C$15)</f>
        <v/>
      </c>
      <c r="E375" s="17" t="str">
        <f>IF(D375="","",D375*'02_Eingaben'!$C$8)</f>
        <v/>
      </c>
      <c r="F375" s="17" t="str">
        <f>IF(E375="","",AVERAGE(INDEX($E$2:$E$3001,MAX(1,ROW()-1-'02_Eingaben'!$C$17)):INDEX($E$2:$E$3001,MIN('02_Eingaben'!$C$21,ROW()-1+'02_Eingaben'!$C$17))))</f>
        <v/>
      </c>
      <c r="G375" s="17" t="str">
        <f>IF(F375="","",F375-'02_Eingaben'!$C$10)</f>
        <v/>
      </c>
      <c r="H375" t="str">
        <f>IF(F375="","",IF(F375&lt;'02_Eingaben'!$C$18*'02_Eingaben'!$C$10,1,0))</f>
        <v/>
      </c>
      <c r="I375" s="17" t="str">
        <f t="shared" si="5"/>
        <v/>
      </c>
      <c r="J375" s="17" t="str">
        <f>IF(B375="","",IF(B374&lt;'02_Eingaben'!$C$36,0,J374+I374/'02_Eingaben'!$C$8))</f>
        <v/>
      </c>
    </row>
    <row r="376" spans="1:10" x14ac:dyDescent="0.25">
      <c r="A376" t="str">
        <f>IF('01_Rohdaten'!A376="","",ROW()-1)</f>
        <v/>
      </c>
      <c r="B376" s="17" t="str">
        <f>IF('01_Rohdaten'!A376="","",'01_Rohdaten'!A376)</f>
        <v/>
      </c>
      <c r="C376" s="17" t="str">
        <f>IF(B376="","",INDEX('01_Rohdaten'!B376:D376,'02_Eingaben'!$C$13))</f>
        <v/>
      </c>
      <c r="D376" s="17" t="str">
        <f>IF(C376="","",C376*'02_Eingaben'!$C$15)</f>
        <v/>
      </c>
      <c r="E376" s="17" t="str">
        <f>IF(D376="","",D376*'02_Eingaben'!$C$8)</f>
        <v/>
      </c>
      <c r="F376" s="17" t="str">
        <f>IF(E376="","",AVERAGE(INDEX($E$2:$E$3001,MAX(1,ROW()-1-'02_Eingaben'!$C$17)):INDEX($E$2:$E$3001,MIN('02_Eingaben'!$C$21,ROW()-1+'02_Eingaben'!$C$17))))</f>
        <v/>
      </c>
      <c r="G376" s="17" t="str">
        <f>IF(F376="","",F376-'02_Eingaben'!$C$10)</f>
        <v/>
      </c>
      <c r="H376" t="str">
        <f>IF(F376="","",IF(F376&lt;'02_Eingaben'!$C$18*'02_Eingaben'!$C$10,1,0))</f>
        <v/>
      </c>
      <c r="I376" s="17" t="str">
        <f t="shared" si="5"/>
        <v/>
      </c>
      <c r="J376" s="17" t="str">
        <f>IF(B376="","",IF(B375&lt;'02_Eingaben'!$C$36,0,J375+I375/'02_Eingaben'!$C$8))</f>
        <v/>
      </c>
    </row>
    <row r="377" spans="1:10" x14ac:dyDescent="0.25">
      <c r="A377" t="str">
        <f>IF('01_Rohdaten'!A377="","",ROW()-1)</f>
        <v/>
      </c>
      <c r="B377" s="17" t="str">
        <f>IF('01_Rohdaten'!A377="","",'01_Rohdaten'!A377)</f>
        <v/>
      </c>
      <c r="C377" s="17" t="str">
        <f>IF(B377="","",INDEX('01_Rohdaten'!B377:D377,'02_Eingaben'!$C$13))</f>
        <v/>
      </c>
      <c r="D377" s="17" t="str">
        <f>IF(C377="","",C377*'02_Eingaben'!$C$15)</f>
        <v/>
      </c>
      <c r="E377" s="17" t="str">
        <f>IF(D377="","",D377*'02_Eingaben'!$C$8)</f>
        <v/>
      </c>
      <c r="F377" s="17" t="str">
        <f>IF(E377="","",AVERAGE(INDEX($E$2:$E$3001,MAX(1,ROW()-1-'02_Eingaben'!$C$17)):INDEX($E$2:$E$3001,MIN('02_Eingaben'!$C$21,ROW()-1+'02_Eingaben'!$C$17))))</f>
        <v/>
      </c>
      <c r="G377" s="17" t="str">
        <f>IF(F377="","",F377-'02_Eingaben'!$C$10)</f>
        <v/>
      </c>
      <c r="H377" t="str">
        <f>IF(F377="","",IF(F377&lt;'02_Eingaben'!$C$18*'02_Eingaben'!$C$10,1,0))</f>
        <v/>
      </c>
      <c r="I377" s="17" t="str">
        <f t="shared" si="5"/>
        <v/>
      </c>
      <c r="J377" s="17" t="str">
        <f>IF(B377="","",IF(B376&lt;'02_Eingaben'!$C$36,0,J376+I376/'02_Eingaben'!$C$8))</f>
        <v/>
      </c>
    </row>
    <row r="378" spans="1:10" x14ac:dyDescent="0.25">
      <c r="A378" t="str">
        <f>IF('01_Rohdaten'!A378="","",ROW()-1)</f>
        <v/>
      </c>
      <c r="B378" s="17" t="str">
        <f>IF('01_Rohdaten'!A378="","",'01_Rohdaten'!A378)</f>
        <v/>
      </c>
      <c r="C378" s="17" t="str">
        <f>IF(B378="","",INDEX('01_Rohdaten'!B378:D378,'02_Eingaben'!$C$13))</f>
        <v/>
      </c>
      <c r="D378" s="17" t="str">
        <f>IF(C378="","",C378*'02_Eingaben'!$C$15)</f>
        <v/>
      </c>
      <c r="E378" s="17" t="str">
        <f>IF(D378="","",D378*'02_Eingaben'!$C$8)</f>
        <v/>
      </c>
      <c r="F378" s="17" t="str">
        <f>IF(E378="","",AVERAGE(INDEX($E$2:$E$3001,MAX(1,ROW()-1-'02_Eingaben'!$C$17)):INDEX($E$2:$E$3001,MIN('02_Eingaben'!$C$21,ROW()-1+'02_Eingaben'!$C$17))))</f>
        <v/>
      </c>
      <c r="G378" s="17" t="str">
        <f>IF(F378="","",F378-'02_Eingaben'!$C$10)</f>
        <v/>
      </c>
      <c r="H378" t="str">
        <f>IF(F378="","",IF(F378&lt;'02_Eingaben'!$C$18*'02_Eingaben'!$C$10,1,0))</f>
        <v/>
      </c>
      <c r="I378" s="17" t="str">
        <f t="shared" si="5"/>
        <v/>
      </c>
      <c r="J378" s="17" t="str">
        <f>IF(B378="","",IF(B377&lt;'02_Eingaben'!$C$36,0,J377+I377/'02_Eingaben'!$C$8))</f>
        <v/>
      </c>
    </row>
    <row r="379" spans="1:10" x14ac:dyDescent="0.25">
      <c r="A379" t="str">
        <f>IF('01_Rohdaten'!A379="","",ROW()-1)</f>
        <v/>
      </c>
      <c r="B379" s="17" t="str">
        <f>IF('01_Rohdaten'!A379="","",'01_Rohdaten'!A379)</f>
        <v/>
      </c>
      <c r="C379" s="17" t="str">
        <f>IF(B379="","",INDEX('01_Rohdaten'!B379:D379,'02_Eingaben'!$C$13))</f>
        <v/>
      </c>
      <c r="D379" s="17" t="str">
        <f>IF(C379="","",C379*'02_Eingaben'!$C$15)</f>
        <v/>
      </c>
      <c r="E379" s="17" t="str">
        <f>IF(D379="","",D379*'02_Eingaben'!$C$8)</f>
        <v/>
      </c>
      <c r="F379" s="17" t="str">
        <f>IF(E379="","",AVERAGE(INDEX($E$2:$E$3001,MAX(1,ROW()-1-'02_Eingaben'!$C$17)):INDEX($E$2:$E$3001,MIN('02_Eingaben'!$C$21,ROW()-1+'02_Eingaben'!$C$17))))</f>
        <v/>
      </c>
      <c r="G379" s="17" t="str">
        <f>IF(F379="","",F379-'02_Eingaben'!$C$10)</f>
        <v/>
      </c>
      <c r="H379" t="str">
        <f>IF(F379="","",IF(F379&lt;'02_Eingaben'!$C$18*'02_Eingaben'!$C$10,1,0))</f>
        <v/>
      </c>
      <c r="I379" s="17" t="str">
        <f t="shared" si="5"/>
        <v/>
      </c>
      <c r="J379" s="17" t="str">
        <f>IF(B379="","",IF(B378&lt;'02_Eingaben'!$C$36,0,J378+I378/'02_Eingaben'!$C$8))</f>
        <v/>
      </c>
    </row>
    <row r="380" spans="1:10" x14ac:dyDescent="0.25">
      <c r="A380" t="str">
        <f>IF('01_Rohdaten'!A380="","",ROW()-1)</f>
        <v/>
      </c>
      <c r="B380" s="17" t="str">
        <f>IF('01_Rohdaten'!A380="","",'01_Rohdaten'!A380)</f>
        <v/>
      </c>
      <c r="C380" s="17" t="str">
        <f>IF(B380="","",INDEX('01_Rohdaten'!B380:D380,'02_Eingaben'!$C$13))</f>
        <v/>
      </c>
      <c r="D380" s="17" t="str">
        <f>IF(C380="","",C380*'02_Eingaben'!$C$15)</f>
        <v/>
      </c>
      <c r="E380" s="17" t="str">
        <f>IF(D380="","",D380*'02_Eingaben'!$C$8)</f>
        <v/>
      </c>
      <c r="F380" s="17" t="str">
        <f>IF(E380="","",AVERAGE(INDEX($E$2:$E$3001,MAX(1,ROW()-1-'02_Eingaben'!$C$17)):INDEX($E$2:$E$3001,MIN('02_Eingaben'!$C$21,ROW()-1+'02_Eingaben'!$C$17))))</f>
        <v/>
      </c>
      <c r="G380" s="17" t="str">
        <f>IF(F380="","",F380-'02_Eingaben'!$C$10)</f>
        <v/>
      </c>
      <c r="H380" t="str">
        <f>IF(F380="","",IF(F380&lt;'02_Eingaben'!$C$18*'02_Eingaben'!$C$10,1,0))</f>
        <v/>
      </c>
      <c r="I380" s="17" t="str">
        <f t="shared" si="5"/>
        <v/>
      </c>
      <c r="J380" s="17" t="str">
        <f>IF(B380="","",IF(B379&lt;'02_Eingaben'!$C$36,0,J379+I379/'02_Eingaben'!$C$8))</f>
        <v/>
      </c>
    </row>
    <row r="381" spans="1:10" x14ac:dyDescent="0.25">
      <c r="A381" t="str">
        <f>IF('01_Rohdaten'!A381="","",ROW()-1)</f>
        <v/>
      </c>
      <c r="B381" s="17" t="str">
        <f>IF('01_Rohdaten'!A381="","",'01_Rohdaten'!A381)</f>
        <v/>
      </c>
      <c r="C381" s="17" t="str">
        <f>IF(B381="","",INDEX('01_Rohdaten'!B381:D381,'02_Eingaben'!$C$13))</f>
        <v/>
      </c>
      <c r="D381" s="17" t="str">
        <f>IF(C381="","",C381*'02_Eingaben'!$C$15)</f>
        <v/>
      </c>
      <c r="E381" s="17" t="str">
        <f>IF(D381="","",D381*'02_Eingaben'!$C$8)</f>
        <v/>
      </c>
      <c r="F381" s="17" t="str">
        <f>IF(E381="","",AVERAGE(INDEX($E$2:$E$3001,MAX(1,ROW()-1-'02_Eingaben'!$C$17)):INDEX($E$2:$E$3001,MIN('02_Eingaben'!$C$21,ROW()-1+'02_Eingaben'!$C$17))))</f>
        <v/>
      </c>
      <c r="G381" s="17" t="str">
        <f>IF(F381="","",F381-'02_Eingaben'!$C$10)</f>
        <v/>
      </c>
      <c r="H381" t="str">
        <f>IF(F381="","",IF(F381&lt;'02_Eingaben'!$C$18*'02_Eingaben'!$C$10,1,0))</f>
        <v/>
      </c>
      <c r="I381" s="17" t="str">
        <f t="shared" si="5"/>
        <v/>
      </c>
      <c r="J381" s="17" t="str">
        <f>IF(B381="","",IF(B380&lt;'02_Eingaben'!$C$36,0,J380+I380/'02_Eingaben'!$C$8))</f>
        <v/>
      </c>
    </row>
    <row r="382" spans="1:10" x14ac:dyDescent="0.25">
      <c r="A382" t="str">
        <f>IF('01_Rohdaten'!A382="","",ROW()-1)</f>
        <v/>
      </c>
      <c r="B382" s="17" t="str">
        <f>IF('01_Rohdaten'!A382="","",'01_Rohdaten'!A382)</f>
        <v/>
      </c>
      <c r="C382" s="17" t="str">
        <f>IF(B382="","",INDEX('01_Rohdaten'!B382:D382,'02_Eingaben'!$C$13))</f>
        <v/>
      </c>
      <c r="D382" s="17" t="str">
        <f>IF(C382="","",C382*'02_Eingaben'!$C$15)</f>
        <v/>
      </c>
      <c r="E382" s="17" t="str">
        <f>IF(D382="","",D382*'02_Eingaben'!$C$8)</f>
        <v/>
      </c>
      <c r="F382" s="17" t="str">
        <f>IF(E382="","",AVERAGE(INDEX($E$2:$E$3001,MAX(1,ROW()-1-'02_Eingaben'!$C$17)):INDEX($E$2:$E$3001,MIN('02_Eingaben'!$C$21,ROW()-1+'02_Eingaben'!$C$17))))</f>
        <v/>
      </c>
      <c r="G382" s="17" t="str">
        <f>IF(F382="","",F382-'02_Eingaben'!$C$10)</f>
        <v/>
      </c>
      <c r="H382" t="str">
        <f>IF(F382="","",IF(F382&lt;'02_Eingaben'!$C$18*'02_Eingaben'!$C$10,1,0))</f>
        <v/>
      </c>
      <c r="I382" s="17" t="str">
        <f t="shared" si="5"/>
        <v/>
      </c>
      <c r="J382" s="17" t="str">
        <f>IF(B382="","",IF(B381&lt;'02_Eingaben'!$C$36,0,J381+I381/'02_Eingaben'!$C$8))</f>
        <v/>
      </c>
    </row>
    <row r="383" spans="1:10" x14ac:dyDescent="0.25">
      <c r="A383" t="str">
        <f>IF('01_Rohdaten'!A383="","",ROW()-1)</f>
        <v/>
      </c>
      <c r="B383" s="17" t="str">
        <f>IF('01_Rohdaten'!A383="","",'01_Rohdaten'!A383)</f>
        <v/>
      </c>
      <c r="C383" s="17" t="str">
        <f>IF(B383="","",INDEX('01_Rohdaten'!B383:D383,'02_Eingaben'!$C$13))</f>
        <v/>
      </c>
      <c r="D383" s="17" t="str">
        <f>IF(C383="","",C383*'02_Eingaben'!$C$15)</f>
        <v/>
      </c>
      <c r="E383" s="17" t="str">
        <f>IF(D383="","",D383*'02_Eingaben'!$C$8)</f>
        <v/>
      </c>
      <c r="F383" s="17" t="str">
        <f>IF(E383="","",AVERAGE(INDEX($E$2:$E$3001,MAX(1,ROW()-1-'02_Eingaben'!$C$17)):INDEX($E$2:$E$3001,MIN('02_Eingaben'!$C$21,ROW()-1+'02_Eingaben'!$C$17))))</f>
        <v/>
      </c>
      <c r="G383" s="17" t="str">
        <f>IF(F383="","",F383-'02_Eingaben'!$C$10)</f>
        <v/>
      </c>
      <c r="H383" t="str">
        <f>IF(F383="","",IF(F383&lt;'02_Eingaben'!$C$18*'02_Eingaben'!$C$10,1,0))</f>
        <v/>
      </c>
      <c r="I383" s="17" t="str">
        <f t="shared" si="5"/>
        <v/>
      </c>
      <c r="J383" s="17" t="str">
        <f>IF(B383="","",IF(B382&lt;'02_Eingaben'!$C$36,0,J382+I382/'02_Eingaben'!$C$8))</f>
        <v/>
      </c>
    </row>
    <row r="384" spans="1:10" x14ac:dyDescent="0.25">
      <c r="A384" t="str">
        <f>IF('01_Rohdaten'!A384="","",ROW()-1)</f>
        <v/>
      </c>
      <c r="B384" s="17" t="str">
        <f>IF('01_Rohdaten'!A384="","",'01_Rohdaten'!A384)</f>
        <v/>
      </c>
      <c r="C384" s="17" t="str">
        <f>IF(B384="","",INDEX('01_Rohdaten'!B384:D384,'02_Eingaben'!$C$13))</f>
        <v/>
      </c>
      <c r="D384" s="17" t="str">
        <f>IF(C384="","",C384*'02_Eingaben'!$C$15)</f>
        <v/>
      </c>
      <c r="E384" s="17" t="str">
        <f>IF(D384="","",D384*'02_Eingaben'!$C$8)</f>
        <v/>
      </c>
      <c r="F384" s="17" t="str">
        <f>IF(E384="","",AVERAGE(INDEX($E$2:$E$3001,MAX(1,ROW()-1-'02_Eingaben'!$C$17)):INDEX($E$2:$E$3001,MIN('02_Eingaben'!$C$21,ROW()-1+'02_Eingaben'!$C$17))))</f>
        <v/>
      </c>
      <c r="G384" s="17" t="str">
        <f>IF(F384="","",F384-'02_Eingaben'!$C$10)</f>
        <v/>
      </c>
      <c r="H384" t="str">
        <f>IF(F384="","",IF(F384&lt;'02_Eingaben'!$C$18*'02_Eingaben'!$C$10,1,0))</f>
        <v/>
      </c>
      <c r="I384" s="17" t="str">
        <f t="shared" si="5"/>
        <v/>
      </c>
      <c r="J384" s="17" t="str">
        <f>IF(B384="","",IF(B383&lt;'02_Eingaben'!$C$36,0,J383+I383/'02_Eingaben'!$C$8))</f>
        <v/>
      </c>
    </row>
    <row r="385" spans="1:10" x14ac:dyDescent="0.25">
      <c r="A385" t="str">
        <f>IF('01_Rohdaten'!A385="","",ROW()-1)</f>
        <v/>
      </c>
      <c r="B385" s="17" t="str">
        <f>IF('01_Rohdaten'!A385="","",'01_Rohdaten'!A385)</f>
        <v/>
      </c>
      <c r="C385" s="17" t="str">
        <f>IF(B385="","",INDEX('01_Rohdaten'!B385:D385,'02_Eingaben'!$C$13))</f>
        <v/>
      </c>
      <c r="D385" s="17" t="str">
        <f>IF(C385="","",C385*'02_Eingaben'!$C$15)</f>
        <v/>
      </c>
      <c r="E385" s="17" t="str">
        <f>IF(D385="","",D385*'02_Eingaben'!$C$8)</f>
        <v/>
      </c>
      <c r="F385" s="17" t="str">
        <f>IF(E385="","",AVERAGE(INDEX($E$2:$E$3001,MAX(1,ROW()-1-'02_Eingaben'!$C$17)):INDEX($E$2:$E$3001,MIN('02_Eingaben'!$C$21,ROW()-1+'02_Eingaben'!$C$17))))</f>
        <v/>
      </c>
      <c r="G385" s="17" t="str">
        <f>IF(F385="","",F385-'02_Eingaben'!$C$10)</f>
        <v/>
      </c>
      <c r="H385" t="str">
        <f>IF(F385="","",IF(F385&lt;'02_Eingaben'!$C$18*'02_Eingaben'!$C$10,1,0))</f>
        <v/>
      </c>
      <c r="I385" s="17" t="str">
        <f t="shared" si="5"/>
        <v/>
      </c>
      <c r="J385" s="17" t="str">
        <f>IF(B385="","",IF(B384&lt;'02_Eingaben'!$C$36,0,J384+I384/'02_Eingaben'!$C$8))</f>
        <v/>
      </c>
    </row>
    <row r="386" spans="1:10" x14ac:dyDescent="0.25">
      <c r="A386" t="str">
        <f>IF('01_Rohdaten'!A386="","",ROW()-1)</f>
        <v/>
      </c>
      <c r="B386" s="17" t="str">
        <f>IF('01_Rohdaten'!A386="","",'01_Rohdaten'!A386)</f>
        <v/>
      </c>
      <c r="C386" s="17" t="str">
        <f>IF(B386="","",INDEX('01_Rohdaten'!B386:D386,'02_Eingaben'!$C$13))</f>
        <v/>
      </c>
      <c r="D386" s="17" t="str">
        <f>IF(C386="","",C386*'02_Eingaben'!$C$15)</f>
        <v/>
      </c>
      <c r="E386" s="17" t="str">
        <f>IF(D386="","",D386*'02_Eingaben'!$C$8)</f>
        <v/>
      </c>
      <c r="F386" s="17" t="str">
        <f>IF(E386="","",AVERAGE(INDEX($E$2:$E$3001,MAX(1,ROW()-1-'02_Eingaben'!$C$17)):INDEX($E$2:$E$3001,MIN('02_Eingaben'!$C$21,ROW()-1+'02_Eingaben'!$C$17))))</f>
        <v/>
      </c>
      <c r="G386" s="17" t="str">
        <f>IF(F386="","",F386-'02_Eingaben'!$C$10)</f>
        <v/>
      </c>
      <c r="H386" t="str">
        <f>IF(F386="","",IF(F386&lt;'02_Eingaben'!$C$18*'02_Eingaben'!$C$10,1,0))</f>
        <v/>
      </c>
      <c r="I386" s="17" t="str">
        <f t="shared" ref="I386:I449" si="6">IF(OR(G386="",G387=""),"",(G386+G387)/2*(B387-B386))</f>
        <v/>
      </c>
      <c r="J386" s="17" t="str">
        <f>IF(B386="","",IF(B385&lt;'02_Eingaben'!$C$36,0,J385+I385/'02_Eingaben'!$C$8))</f>
        <v/>
      </c>
    </row>
    <row r="387" spans="1:10" x14ac:dyDescent="0.25">
      <c r="A387" t="str">
        <f>IF('01_Rohdaten'!A387="","",ROW()-1)</f>
        <v/>
      </c>
      <c r="B387" s="17" t="str">
        <f>IF('01_Rohdaten'!A387="","",'01_Rohdaten'!A387)</f>
        <v/>
      </c>
      <c r="C387" s="17" t="str">
        <f>IF(B387="","",INDEX('01_Rohdaten'!B387:D387,'02_Eingaben'!$C$13))</f>
        <v/>
      </c>
      <c r="D387" s="17" t="str">
        <f>IF(C387="","",C387*'02_Eingaben'!$C$15)</f>
        <v/>
      </c>
      <c r="E387" s="17" t="str">
        <f>IF(D387="","",D387*'02_Eingaben'!$C$8)</f>
        <v/>
      </c>
      <c r="F387" s="17" t="str">
        <f>IF(E387="","",AVERAGE(INDEX($E$2:$E$3001,MAX(1,ROW()-1-'02_Eingaben'!$C$17)):INDEX($E$2:$E$3001,MIN('02_Eingaben'!$C$21,ROW()-1+'02_Eingaben'!$C$17))))</f>
        <v/>
      </c>
      <c r="G387" s="17" t="str">
        <f>IF(F387="","",F387-'02_Eingaben'!$C$10)</f>
        <v/>
      </c>
      <c r="H387" t="str">
        <f>IF(F387="","",IF(F387&lt;'02_Eingaben'!$C$18*'02_Eingaben'!$C$10,1,0))</f>
        <v/>
      </c>
      <c r="I387" s="17" t="str">
        <f t="shared" si="6"/>
        <v/>
      </c>
      <c r="J387" s="17" t="str">
        <f>IF(B387="","",IF(B386&lt;'02_Eingaben'!$C$36,0,J386+I386/'02_Eingaben'!$C$8))</f>
        <v/>
      </c>
    </row>
    <row r="388" spans="1:10" x14ac:dyDescent="0.25">
      <c r="A388" t="str">
        <f>IF('01_Rohdaten'!A388="","",ROW()-1)</f>
        <v/>
      </c>
      <c r="B388" s="17" t="str">
        <f>IF('01_Rohdaten'!A388="","",'01_Rohdaten'!A388)</f>
        <v/>
      </c>
      <c r="C388" s="17" t="str">
        <f>IF(B388="","",INDEX('01_Rohdaten'!B388:D388,'02_Eingaben'!$C$13))</f>
        <v/>
      </c>
      <c r="D388" s="17" t="str">
        <f>IF(C388="","",C388*'02_Eingaben'!$C$15)</f>
        <v/>
      </c>
      <c r="E388" s="17" t="str">
        <f>IF(D388="","",D388*'02_Eingaben'!$C$8)</f>
        <v/>
      </c>
      <c r="F388" s="17" t="str">
        <f>IF(E388="","",AVERAGE(INDEX($E$2:$E$3001,MAX(1,ROW()-1-'02_Eingaben'!$C$17)):INDEX($E$2:$E$3001,MIN('02_Eingaben'!$C$21,ROW()-1+'02_Eingaben'!$C$17))))</f>
        <v/>
      </c>
      <c r="G388" s="17" t="str">
        <f>IF(F388="","",F388-'02_Eingaben'!$C$10)</f>
        <v/>
      </c>
      <c r="H388" t="str">
        <f>IF(F388="","",IF(F388&lt;'02_Eingaben'!$C$18*'02_Eingaben'!$C$10,1,0))</f>
        <v/>
      </c>
      <c r="I388" s="17" t="str">
        <f t="shared" si="6"/>
        <v/>
      </c>
      <c r="J388" s="17" t="str">
        <f>IF(B388="","",IF(B387&lt;'02_Eingaben'!$C$36,0,J387+I387/'02_Eingaben'!$C$8))</f>
        <v/>
      </c>
    </row>
    <row r="389" spans="1:10" x14ac:dyDescent="0.25">
      <c r="A389" t="str">
        <f>IF('01_Rohdaten'!A389="","",ROW()-1)</f>
        <v/>
      </c>
      <c r="B389" s="17" t="str">
        <f>IF('01_Rohdaten'!A389="","",'01_Rohdaten'!A389)</f>
        <v/>
      </c>
      <c r="C389" s="17" t="str">
        <f>IF(B389="","",INDEX('01_Rohdaten'!B389:D389,'02_Eingaben'!$C$13))</f>
        <v/>
      </c>
      <c r="D389" s="17" t="str">
        <f>IF(C389="","",C389*'02_Eingaben'!$C$15)</f>
        <v/>
      </c>
      <c r="E389" s="17" t="str">
        <f>IF(D389="","",D389*'02_Eingaben'!$C$8)</f>
        <v/>
      </c>
      <c r="F389" s="17" t="str">
        <f>IF(E389="","",AVERAGE(INDEX($E$2:$E$3001,MAX(1,ROW()-1-'02_Eingaben'!$C$17)):INDEX($E$2:$E$3001,MIN('02_Eingaben'!$C$21,ROW()-1+'02_Eingaben'!$C$17))))</f>
        <v/>
      </c>
      <c r="G389" s="17" t="str">
        <f>IF(F389="","",F389-'02_Eingaben'!$C$10)</f>
        <v/>
      </c>
      <c r="H389" t="str">
        <f>IF(F389="","",IF(F389&lt;'02_Eingaben'!$C$18*'02_Eingaben'!$C$10,1,0))</f>
        <v/>
      </c>
      <c r="I389" s="17" t="str">
        <f t="shared" si="6"/>
        <v/>
      </c>
      <c r="J389" s="17" t="str">
        <f>IF(B389="","",IF(B388&lt;'02_Eingaben'!$C$36,0,J388+I388/'02_Eingaben'!$C$8))</f>
        <v/>
      </c>
    </row>
    <row r="390" spans="1:10" x14ac:dyDescent="0.25">
      <c r="A390" t="str">
        <f>IF('01_Rohdaten'!A390="","",ROW()-1)</f>
        <v/>
      </c>
      <c r="B390" s="17" t="str">
        <f>IF('01_Rohdaten'!A390="","",'01_Rohdaten'!A390)</f>
        <v/>
      </c>
      <c r="C390" s="17" t="str">
        <f>IF(B390="","",INDEX('01_Rohdaten'!B390:D390,'02_Eingaben'!$C$13))</f>
        <v/>
      </c>
      <c r="D390" s="17" t="str">
        <f>IF(C390="","",C390*'02_Eingaben'!$C$15)</f>
        <v/>
      </c>
      <c r="E390" s="17" t="str">
        <f>IF(D390="","",D390*'02_Eingaben'!$C$8)</f>
        <v/>
      </c>
      <c r="F390" s="17" t="str">
        <f>IF(E390="","",AVERAGE(INDEX($E$2:$E$3001,MAX(1,ROW()-1-'02_Eingaben'!$C$17)):INDEX($E$2:$E$3001,MIN('02_Eingaben'!$C$21,ROW()-1+'02_Eingaben'!$C$17))))</f>
        <v/>
      </c>
      <c r="G390" s="17" t="str">
        <f>IF(F390="","",F390-'02_Eingaben'!$C$10)</f>
        <v/>
      </c>
      <c r="H390" t="str">
        <f>IF(F390="","",IF(F390&lt;'02_Eingaben'!$C$18*'02_Eingaben'!$C$10,1,0))</f>
        <v/>
      </c>
      <c r="I390" s="17" t="str">
        <f t="shared" si="6"/>
        <v/>
      </c>
      <c r="J390" s="17" t="str">
        <f>IF(B390="","",IF(B389&lt;'02_Eingaben'!$C$36,0,J389+I389/'02_Eingaben'!$C$8))</f>
        <v/>
      </c>
    </row>
    <row r="391" spans="1:10" x14ac:dyDescent="0.25">
      <c r="A391" t="str">
        <f>IF('01_Rohdaten'!A391="","",ROW()-1)</f>
        <v/>
      </c>
      <c r="B391" s="17" t="str">
        <f>IF('01_Rohdaten'!A391="","",'01_Rohdaten'!A391)</f>
        <v/>
      </c>
      <c r="C391" s="17" t="str">
        <f>IF(B391="","",INDEX('01_Rohdaten'!B391:D391,'02_Eingaben'!$C$13))</f>
        <v/>
      </c>
      <c r="D391" s="17" t="str">
        <f>IF(C391="","",C391*'02_Eingaben'!$C$15)</f>
        <v/>
      </c>
      <c r="E391" s="17" t="str">
        <f>IF(D391="","",D391*'02_Eingaben'!$C$8)</f>
        <v/>
      </c>
      <c r="F391" s="17" t="str">
        <f>IF(E391="","",AVERAGE(INDEX($E$2:$E$3001,MAX(1,ROW()-1-'02_Eingaben'!$C$17)):INDEX($E$2:$E$3001,MIN('02_Eingaben'!$C$21,ROW()-1+'02_Eingaben'!$C$17))))</f>
        <v/>
      </c>
      <c r="G391" s="17" t="str">
        <f>IF(F391="","",F391-'02_Eingaben'!$C$10)</f>
        <v/>
      </c>
      <c r="H391" t="str">
        <f>IF(F391="","",IF(F391&lt;'02_Eingaben'!$C$18*'02_Eingaben'!$C$10,1,0))</f>
        <v/>
      </c>
      <c r="I391" s="17" t="str">
        <f t="shared" si="6"/>
        <v/>
      </c>
      <c r="J391" s="17" t="str">
        <f>IF(B391="","",IF(B390&lt;'02_Eingaben'!$C$36,0,J390+I390/'02_Eingaben'!$C$8))</f>
        <v/>
      </c>
    </row>
    <row r="392" spans="1:10" x14ac:dyDescent="0.25">
      <c r="A392" t="str">
        <f>IF('01_Rohdaten'!A392="","",ROW()-1)</f>
        <v/>
      </c>
      <c r="B392" s="17" t="str">
        <f>IF('01_Rohdaten'!A392="","",'01_Rohdaten'!A392)</f>
        <v/>
      </c>
      <c r="C392" s="17" t="str">
        <f>IF(B392="","",INDEX('01_Rohdaten'!B392:D392,'02_Eingaben'!$C$13))</f>
        <v/>
      </c>
      <c r="D392" s="17" t="str">
        <f>IF(C392="","",C392*'02_Eingaben'!$C$15)</f>
        <v/>
      </c>
      <c r="E392" s="17" t="str">
        <f>IF(D392="","",D392*'02_Eingaben'!$C$8)</f>
        <v/>
      </c>
      <c r="F392" s="17" t="str">
        <f>IF(E392="","",AVERAGE(INDEX($E$2:$E$3001,MAX(1,ROW()-1-'02_Eingaben'!$C$17)):INDEX($E$2:$E$3001,MIN('02_Eingaben'!$C$21,ROW()-1+'02_Eingaben'!$C$17))))</f>
        <v/>
      </c>
      <c r="G392" s="17" t="str">
        <f>IF(F392="","",F392-'02_Eingaben'!$C$10)</f>
        <v/>
      </c>
      <c r="H392" t="str">
        <f>IF(F392="","",IF(F392&lt;'02_Eingaben'!$C$18*'02_Eingaben'!$C$10,1,0))</f>
        <v/>
      </c>
      <c r="I392" s="17" t="str">
        <f t="shared" si="6"/>
        <v/>
      </c>
      <c r="J392" s="17" t="str">
        <f>IF(B392="","",IF(B391&lt;'02_Eingaben'!$C$36,0,J391+I391/'02_Eingaben'!$C$8))</f>
        <v/>
      </c>
    </row>
    <row r="393" spans="1:10" x14ac:dyDescent="0.25">
      <c r="A393" t="str">
        <f>IF('01_Rohdaten'!A393="","",ROW()-1)</f>
        <v/>
      </c>
      <c r="B393" s="17" t="str">
        <f>IF('01_Rohdaten'!A393="","",'01_Rohdaten'!A393)</f>
        <v/>
      </c>
      <c r="C393" s="17" t="str">
        <f>IF(B393="","",INDEX('01_Rohdaten'!B393:D393,'02_Eingaben'!$C$13))</f>
        <v/>
      </c>
      <c r="D393" s="17" t="str">
        <f>IF(C393="","",C393*'02_Eingaben'!$C$15)</f>
        <v/>
      </c>
      <c r="E393" s="17" t="str">
        <f>IF(D393="","",D393*'02_Eingaben'!$C$8)</f>
        <v/>
      </c>
      <c r="F393" s="17" t="str">
        <f>IF(E393="","",AVERAGE(INDEX($E$2:$E$3001,MAX(1,ROW()-1-'02_Eingaben'!$C$17)):INDEX($E$2:$E$3001,MIN('02_Eingaben'!$C$21,ROW()-1+'02_Eingaben'!$C$17))))</f>
        <v/>
      </c>
      <c r="G393" s="17" t="str">
        <f>IF(F393="","",F393-'02_Eingaben'!$C$10)</f>
        <v/>
      </c>
      <c r="H393" t="str">
        <f>IF(F393="","",IF(F393&lt;'02_Eingaben'!$C$18*'02_Eingaben'!$C$10,1,0))</f>
        <v/>
      </c>
      <c r="I393" s="17" t="str">
        <f t="shared" si="6"/>
        <v/>
      </c>
      <c r="J393" s="17" t="str">
        <f>IF(B393="","",IF(B392&lt;'02_Eingaben'!$C$36,0,J392+I392/'02_Eingaben'!$C$8))</f>
        <v/>
      </c>
    </row>
    <row r="394" spans="1:10" x14ac:dyDescent="0.25">
      <c r="A394" t="str">
        <f>IF('01_Rohdaten'!A394="","",ROW()-1)</f>
        <v/>
      </c>
      <c r="B394" s="17" t="str">
        <f>IF('01_Rohdaten'!A394="","",'01_Rohdaten'!A394)</f>
        <v/>
      </c>
      <c r="C394" s="17" t="str">
        <f>IF(B394="","",INDEX('01_Rohdaten'!B394:D394,'02_Eingaben'!$C$13))</f>
        <v/>
      </c>
      <c r="D394" s="17" t="str">
        <f>IF(C394="","",C394*'02_Eingaben'!$C$15)</f>
        <v/>
      </c>
      <c r="E394" s="17" t="str">
        <f>IF(D394="","",D394*'02_Eingaben'!$C$8)</f>
        <v/>
      </c>
      <c r="F394" s="17" t="str">
        <f>IF(E394="","",AVERAGE(INDEX($E$2:$E$3001,MAX(1,ROW()-1-'02_Eingaben'!$C$17)):INDEX($E$2:$E$3001,MIN('02_Eingaben'!$C$21,ROW()-1+'02_Eingaben'!$C$17))))</f>
        <v/>
      </c>
      <c r="G394" s="17" t="str">
        <f>IF(F394="","",F394-'02_Eingaben'!$C$10)</f>
        <v/>
      </c>
      <c r="H394" t="str">
        <f>IF(F394="","",IF(F394&lt;'02_Eingaben'!$C$18*'02_Eingaben'!$C$10,1,0))</f>
        <v/>
      </c>
      <c r="I394" s="17" t="str">
        <f t="shared" si="6"/>
        <v/>
      </c>
      <c r="J394" s="17" t="str">
        <f>IF(B394="","",IF(B393&lt;'02_Eingaben'!$C$36,0,J393+I393/'02_Eingaben'!$C$8))</f>
        <v/>
      </c>
    </row>
    <row r="395" spans="1:10" x14ac:dyDescent="0.25">
      <c r="A395" t="str">
        <f>IF('01_Rohdaten'!A395="","",ROW()-1)</f>
        <v/>
      </c>
      <c r="B395" s="17" t="str">
        <f>IF('01_Rohdaten'!A395="","",'01_Rohdaten'!A395)</f>
        <v/>
      </c>
      <c r="C395" s="17" t="str">
        <f>IF(B395="","",INDEX('01_Rohdaten'!B395:D395,'02_Eingaben'!$C$13))</f>
        <v/>
      </c>
      <c r="D395" s="17" t="str">
        <f>IF(C395="","",C395*'02_Eingaben'!$C$15)</f>
        <v/>
      </c>
      <c r="E395" s="17" t="str">
        <f>IF(D395="","",D395*'02_Eingaben'!$C$8)</f>
        <v/>
      </c>
      <c r="F395" s="17" t="str">
        <f>IF(E395="","",AVERAGE(INDEX($E$2:$E$3001,MAX(1,ROW()-1-'02_Eingaben'!$C$17)):INDEX($E$2:$E$3001,MIN('02_Eingaben'!$C$21,ROW()-1+'02_Eingaben'!$C$17))))</f>
        <v/>
      </c>
      <c r="G395" s="17" t="str">
        <f>IF(F395="","",F395-'02_Eingaben'!$C$10)</f>
        <v/>
      </c>
      <c r="H395" t="str">
        <f>IF(F395="","",IF(F395&lt;'02_Eingaben'!$C$18*'02_Eingaben'!$C$10,1,0))</f>
        <v/>
      </c>
      <c r="I395" s="17" t="str">
        <f t="shared" si="6"/>
        <v/>
      </c>
      <c r="J395" s="17" t="str">
        <f>IF(B395="","",IF(B394&lt;'02_Eingaben'!$C$36,0,J394+I394/'02_Eingaben'!$C$8))</f>
        <v/>
      </c>
    </row>
    <row r="396" spans="1:10" x14ac:dyDescent="0.25">
      <c r="A396" t="str">
        <f>IF('01_Rohdaten'!A396="","",ROW()-1)</f>
        <v/>
      </c>
      <c r="B396" s="17" t="str">
        <f>IF('01_Rohdaten'!A396="","",'01_Rohdaten'!A396)</f>
        <v/>
      </c>
      <c r="C396" s="17" t="str">
        <f>IF(B396="","",INDEX('01_Rohdaten'!B396:D396,'02_Eingaben'!$C$13))</f>
        <v/>
      </c>
      <c r="D396" s="17" t="str">
        <f>IF(C396="","",C396*'02_Eingaben'!$C$15)</f>
        <v/>
      </c>
      <c r="E396" s="17" t="str">
        <f>IF(D396="","",D396*'02_Eingaben'!$C$8)</f>
        <v/>
      </c>
      <c r="F396" s="17" t="str">
        <f>IF(E396="","",AVERAGE(INDEX($E$2:$E$3001,MAX(1,ROW()-1-'02_Eingaben'!$C$17)):INDEX($E$2:$E$3001,MIN('02_Eingaben'!$C$21,ROW()-1+'02_Eingaben'!$C$17))))</f>
        <v/>
      </c>
      <c r="G396" s="17" t="str">
        <f>IF(F396="","",F396-'02_Eingaben'!$C$10)</f>
        <v/>
      </c>
      <c r="H396" t="str">
        <f>IF(F396="","",IF(F396&lt;'02_Eingaben'!$C$18*'02_Eingaben'!$C$10,1,0))</f>
        <v/>
      </c>
      <c r="I396" s="17" t="str">
        <f t="shared" si="6"/>
        <v/>
      </c>
      <c r="J396" s="17" t="str">
        <f>IF(B396="","",IF(B395&lt;'02_Eingaben'!$C$36,0,J395+I395/'02_Eingaben'!$C$8))</f>
        <v/>
      </c>
    </row>
    <row r="397" spans="1:10" x14ac:dyDescent="0.25">
      <c r="A397" t="str">
        <f>IF('01_Rohdaten'!A397="","",ROW()-1)</f>
        <v/>
      </c>
      <c r="B397" s="17" t="str">
        <f>IF('01_Rohdaten'!A397="","",'01_Rohdaten'!A397)</f>
        <v/>
      </c>
      <c r="C397" s="17" t="str">
        <f>IF(B397="","",INDEX('01_Rohdaten'!B397:D397,'02_Eingaben'!$C$13))</f>
        <v/>
      </c>
      <c r="D397" s="17" t="str">
        <f>IF(C397="","",C397*'02_Eingaben'!$C$15)</f>
        <v/>
      </c>
      <c r="E397" s="17" t="str">
        <f>IF(D397="","",D397*'02_Eingaben'!$C$8)</f>
        <v/>
      </c>
      <c r="F397" s="17" t="str">
        <f>IF(E397="","",AVERAGE(INDEX($E$2:$E$3001,MAX(1,ROW()-1-'02_Eingaben'!$C$17)):INDEX($E$2:$E$3001,MIN('02_Eingaben'!$C$21,ROW()-1+'02_Eingaben'!$C$17))))</f>
        <v/>
      </c>
      <c r="G397" s="17" t="str">
        <f>IF(F397="","",F397-'02_Eingaben'!$C$10)</f>
        <v/>
      </c>
      <c r="H397" t="str">
        <f>IF(F397="","",IF(F397&lt;'02_Eingaben'!$C$18*'02_Eingaben'!$C$10,1,0))</f>
        <v/>
      </c>
      <c r="I397" s="17" t="str">
        <f t="shared" si="6"/>
        <v/>
      </c>
      <c r="J397" s="17" t="str">
        <f>IF(B397="","",IF(B396&lt;'02_Eingaben'!$C$36,0,J396+I396/'02_Eingaben'!$C$8))</f>
        <v/>
      </c>
    </row>
    <row r="398" spans="1:10" x14ac:dyDescent="0.25">
      <c r="A398" t="str">
        <f>IF('01_Rohdaten'!A398="","",ROW()-1)</f>
        <v/>
      </c>
      <c r="B398" s="17" t="str">
        <f>IF('01_Rohdaten'!A398="","",'01_Rohdaten'!A398)</f>
        <v/>
      </c>
      <c r="C398" s="17" t="str">
        <f>IF(B398="","",INDEX('01_Rohdaten'!B398:D398,'02_Eingaben'!$C$13))</f>
        <v/>
      </c>
      <c r="D398" s="17" t="str">
        <f>IF(C398="","",C398*'02_Eingaben'!$C$15)</f>
        <v/>
      </c>
      <c r="E398" s="17" t="str">
        <f>IF(D398="","",D398*'02_Eingaben'!$C$8)</f>
        <v/>
      </c>
      <c r="F398" s="17" t="str">
        <f>IF(E398="","",AVERAGE(INDEX($E$2:$E$3001,MAX(1,ROW()-1-'02_Eingaben'!$C$17)):INDEX($E$2:$E$3001,MIN('02_Eingaben'!$C$21,ROW()-1+'02_Eingaben'!$C$17))))</f>
        <v/>
      </c>
      <c r="G398" s="17" t="str">
        <f>IF(F398="","",F398-'02_Eingaben'!$C$10)</f>
        <v/>
      </c>
      <c r="H398" t="str">
        <f>IF(F398="","",IF(F398&lt;'02_Eingaben'!$C$18*'02_Eingaben'!$C$10,1,0))</f>
        <v/>
      </c>
      <c r="I398" s="17" t="str">
        <f t="shared" si="6"/>
        <v/>
      </c>
      <c r="J398" s="17" t="str">
        <f>IF(B398="","",IF(B397&lt;'02_Eingaben'!$C$36,0,J397+I397/'02_Eingaben'!$C$8))</f>
        <v/>
      </c>
    </row>
    <row r="399" spans="1:10" x14ac:dyDescent="0.25">
      <c r="A399" t="str">
        <f>IF('01_Rohdaten'!A399="","",ROW()-1)</f>
        <v/>
      </c>
      <c r="B399" s="17" t="str">
        <f>IF('01_Rohdaten'!A399="","",'01_Rohdaten'!A399)</f>
        <v/>
      </c>
      <c r="C399" s="17" t="str">
        <f>IF(B399="","",INDEX('01_Rohdaten'!B399:D399,'02_Eingaben'!$C$13))</f>
        <v/>
      </c>
      <c r="D399" s="17" t="str">
        <f>IF(C399="","",C399*'02_Eingaben'!$C$15)</f>
        <v/>
      </c>
      <c r="E399" s="17" t="str">
        <f>IF(D399="","",D399*'02_Eingaben'!$C$8)</f>
        <v/>
      </c>
      <c r="F399" s="17" t="str">
        <f>IF(E399="","",AVERAGE(INDEX($E$2:$E$3001,MAX(1,ROW()-1-'02_Eingaben'!$C$17)):INDEX($E$2:$E$3001,MIN('02_Eingaben'!$C$21,ROW()-1+'02_Eingaben'!$C$17))))</f>
        <v/>
      </c>
      <c r="G399" s="17" t="str">
        <f>IF(F399="","",F399-'02_Eingaben'!$C$10)</f>
        <v/>
      </c>
      <c r="H399" t="str">
        <f>IF(F399="","",IF(F399&lt;'02_Eingaben'!$C$18*'02_Eingaben'!$C$10,1,0))</f>
        <v/>
      </c>
      <c r="I399" s="17" t="str">
        <f t="shared" si="6"/>
        <v/>
      </c>
      <c r="J399" s="17" t="str">
        <f>IF(B399="","",IF(B398&lt;'02_Eingaben'!$C$36,0,J398+I398/'02_Eingaben'!$C$8))</f>
        <v/>
      </c>
    </row>
    <row r="400" spans="1:10" x14ac:dyDescent="0.25">
      <c r="A400" t="str">
        <f>IF('01_Rohdaten'!A400="","",ROW()-1)</f>
        <v/>
      </c>
      <c r="B400" s="17" t="str">
        <f>IF('01_Rohdaten'!A400="","",'01_Rohdaten'!A400)</f>
        <v/>
      </c>
      <c r="C400" s="17" t="str">
        <f>IF(B400="","",INDEX('01_Rohdaten'!B400:D400,'02_Eingaben'!$C$13))</f>
        <v/>
      </c>
      <c r="D400" s="17" t="str">
        <f>IF(C400="","",C400*'02_Eingaben'!$C$15)</f>
        <v/>
      </c>
      <c r="E400" s="17" t="str">
        <f>IF(D400="","",D400*'02_Eingaben'!$C$8)</f>
        <v/>
      </c>
      <c r="F400" s="17" t="str">
        <f>IF(E400="","",AVERAGE(INDEX($E$2:$E$3001,MAX(1,ROW()-1-'02_Eingaben'!$C$17)):INDEX($E$2:$E$3001,MIN('02_Eingaben'!$C$21,ROW()-1+'02_Eingaben'!$C$17))))</f>
        <v/>
      </c>
      <c r="G400" s="17" t="str">
        <f>IF(F400="","",F400-'02_Eingaben'!$C$10)</f>
        <v/>
      </c>
      <c r="H400" t="str">
        <f>IF(F400="","",IF(F400&lt;'02_Eingaben'!$C$18*'02_Eingaben'!$C$10,1,0))</f>
        <v/>
      </c>
      <c r="I400" s="17" t="str">
        <f t="shared" si="6"/>
        <v/>
      </c>
      <c r="J400" s="17" t="str">
        <f>IF(B400="","",IF(B399&lt;'02_Eingaben'!$C$36,0,J399+I399/'02_Eingaben'!$C$8))</f>
        <v/>
      </c>
    </row>
    <row r="401" spans="1:10" x14ac:dyDescent="0.25">
      <c r="A401" t="str">
        <f>IF('01_Rohdaten'!A401="","",ROW()-1)</f>
        <v/>
      </c>
      <c r="B401" s="17" t="str">
        <f>IF('01_Rohdaten'!A401="","",'01_Rohdaten'!A401)</f>
        <v/>
      </c>
      <c r="C401" s="17" t="str">
        <f>IF(B401="","",INDEX('01_Rohdaten'!B401:D401,'02_Eingaben'!$C$13))</f>
        <v/>
      </c>
      <c r="D401" s="17" t="str">
        <f>IF(C401="","",C401*'02_Eingaben'!$C$15)</f>
        <v/>
      </c>
      <c r="E401" s="17" t="str">
        <f>IF(D401="","",D401*'02_Eingaben'!$C$8)</f>
        <v/>
      </c>
      <c r="F401" s="17" t="str">
        <f>IF(E401="","",AVERAGE(INDEX($E$2:$E$3001,MAX(1,ROW()-1-'02_Eingaben'!$C$17)):INDEX($E$2:$E$3001,MIN('02_Eingaben'!$C$21,ROW()-1+'02_Eingaben'!$C$17))))</f>
        <v/>
      </c>
      <c r="G401" s="17" t="str">
        <f>IF(F401="","",F401-'02_Eingaben'!$C$10)</f>
        <v/>
      </c>
      <c r="H401" t="str">
        <f>IF(F401="","",IF(F401&lt;'02_Eingaben'!$C$18*'02_Eingaben'!$C$10,1,0))</f>
        <v/>
      </c>
      <c r="I401" s="17" t="str">
        <f t="shared" si="6"/>
        <v/>
      </c>
      <c r="J401" s="17" t="str">
        <f>IF(B401="","",IF(B400&lt;'02_Eingaben'!$C$36,0,J400+I400/'02_Eingaben'!$C$8))</f>
        <v/>
      </c>
    </row>
    <row r="402" spans="1:10" x14ac:dyDescent="0.25">
      <c r="A402" t="str">
        <f>IF('01_Rohdaten'!A402="","",ROW()-1)</f>
        <v/>
      </c>
      <c r="B402" s="17" t="str">
        <f>IF('01_Rohdaten'!A402="","",'01_Rohdaten'!A402)</f>
        <v/>
      </c>
      <c r="C402" s="17" t="str">
        <f>IF(B402="","",INDEX('01_Rohdaten'!B402:D402,'02_Eingaben'!$C$13))</f>
        <v/>
      </c>
      <c r="D402" s="17" t="str">
        <f>IF(C402="","",C402*'02_Eingaben'!$C$15)</f>
        <v/>
      </c>
      <c r="E402" s="17" t="str">
        <f>IF(D402="","",D402*'02_Eingaben'!$C$8)</f>
        <v/>
      </c>
      <c r="F402" s="17" t="str">
        <f>IF(E402="","",AVERAGE(INDEX($E$2:$E$3001,MAX(1,ROW()-1-'02_Eingaben'!$C$17)):INDEX($E$2:$E$3001,MIN('02_Eingaben'!$C$21,ROW()-1+'02_Eingaben'!$C$17))))</f>
        <v/>
      </c>
      <c r="G402" s="17" t="str">
        <f>IF(F402="","",F402-'02_Eingaben'!$C$10)</f>
        <v/>
      </c>
      <c r="H402" t="str">
        <f>IF(F402="","",IF(F402&lt;'02_Eingaben'!$C$18*'02_Eingaben'!$C$10,1,0))</f>
        <v/>
      </c>
      <c r="I402" s="17" t="str">
        <f t="shared" si="6"/>
        <v/>
      </c>
      <c r="J402" s="17" t="str">
        <f>IF(B402="","",IF(B401&lt;'02_Eingaben'!$C$36,0,J401+I401/'02_Eingaben'!$C$8))</f>
        <v/>
      </c>
    </row>
    <row r="403" spans="1:10" x14ac:dyDescent="0.25">
      <c r="A403" t="str">
        <f>IF('01_Rohdaten'!A403="","",ROW()-1)</f>
        <v/>
      </c>
      <c r="B403" s="17" t="str">
        <f>IF('01_Rohdaten'!A403="","",'01_Rohdaten'!A403)</f>
        <v/>
      </c>
      <c r="C403" s="17" t="str">
        <f>IF(B403="","",INDEX('01_Rohdaten'!B403:D403,'02_Eingaben'!$C$13))</f>
        <v/>
      </c>
      <c r="D403" s="17" t="str">
        <f>IF(C403="","",C403*'02_Eingaben'!$C$15)</f>
        <v/>
      </c>
      <c r="E403" s="17" t="str">
        <f>IF(D403="","",D403*'02_Eingaben'!$C$8)</f>
        <v/>
      </c>
      <c r="F403" s="17" t="str">
        <f>IF(E403="","",AVERAGE(INDEX($E$2:$E$3001,MAX(1,ROW()-1-'02_Eingaben'!$C$17)):INDEX($E$2:$E$3001,MIN('02_Eingaben'!$C$21,ROW()-1+'02_Eingaben'!$C$17))))</f>
        <v/>
      </c>
      <c r="G403" s="17" t="str">
        <f>IF(F403="","",F403-'02_Eingaben'!$C$10)</f>
        <v/>
      </c>
      <c r="H403" t="str">
        <f>IF(F403="","",IF(F403&lt;'02_Eingaben'!$C$18*'02_Eingaben'!$C$10,1,0))</f>
        <v/>
      </c>
      <c r="I403" s="17" t="str">
        <f t="shared" si="6"/>
        <v/>
      </c>
      <c r="J403" s="17" t="str">
        <f>IF(B403="","",IF(B402&lt;'02_Eingaben'!$C$36,0,J402+I402/'02_Eingaben'!$C$8))</f>
        <v/>
      </c>
    </row>
    <row r="404" spans="1:10" x14ac:dyDescent="0.25">
      <c r="A404" t="str">
        <f>IF('01_Rohdaten'!A404="","",ROW()-1)</f>
        <v/>
      </c>
      <c r="B404" s="17" t="str">
        <f>IF('01_Rohdaten'!A404="","",'01_Rohdaten'!A404)</f>
        <v/>
      </c>
      <c r="C404" s="17" t="str">
        <f>IF(B404="","",INDEX('01_Rohdaten'!B404:D404,'02_Eingaben'!$C$13))</f>
        <v/>
      </c>
      <c r="D404" s="17" t="str">
        <f>IF(C404="","",C404*'02_Eingaben'!$C$15)</f>
        <v/>
      </c>
      <c r="E404" s="17" t="str">
        <f>IF(D404="","",D404*'02_Eingaben'!$C$8)</f>
        <v/>
      </c>
      <c r="F404" s="17" t="str">
        <f>IF(E404="","",AVERAGE(INDEX($E$2:$E$3001,MAX(1,ROW()-1-'02_Eingaben'!$C$17)):INDEX($E$2:$E$3001,MIN('02_Eingaben'!$C$21,ROW()-1+'02_Eingaben'!$C$17))))</f>
        <v/>
      </c>
      <c r="G404" s="17" t="str">
        <f>IF(F404="","",F404-'02_Eingaben'!$C$10)</f>
        <v/>
      </c>
      <c r="H404" t="str">
        <f>IF(F404="","",IF(F404&lt;'02_Eingaben'!$C$18*'02_Eingaben'!$C$10,1,0))</f>
        <v/>
      </c>
      <c r="I404" s="17" t="str">
        <f t="shared" si="6"/>
        <v/>
      </c>
      <c r="J404" s="17" t="str">
        <f>IF(B404="","",IF(B403&lt;'02_Eingaben'!$C$36,0,J403+I403/'02_Eingaben'!$C$8))</f>
        <v/>
      </c>
    </row>
    <row r="405" spans="1:10" x14ac:dyDescent="0.25">
      <c r="A405" t="str">
        <f>IF('01_Rohdaten'!A405="","",ROW()-1)</f>
        <v/>
      </c>
      <c r="B405" s="17" t="str">
        <f>IF('01_Rohdaten'!A405="","",'01_Rohdaten'!A405)</f>
        <v/>
      </c>
      <c r="C405" s="17" t="str">
        <f>IF(B405="","",INDEX('01_Rohdaten'!B405:D405,'02_Eingaben'!$C$13))</f>
        <v/>
      </c>
      <c r="D405" s="17" t="str">
        <f>IF(C405="","",C405*'02_Eingaben'!$C$15)</f>
        <v/>
      </c>
      <c r="E405" s="17" t="str">
        <f>IF(D405="","",D405*'02_Eingaben'!$C$8)</f>
        <v/>
      </c>
      <c r="F405" s="17" t="str">
        <f>IF(E405="","",AVERAGE(INDEX($E$2:$E$3001,MAX(1,ROW()-1-'02_Eingaben'!$C$17)):INDEX($E$2:$E$3001,MIN('02_Eingaben'!$C$21,ROW()-1+'02_Eingaben'!$C$17))))</f>
        <v/>
      </c>
      <c r="G405" s="17" t="str">
        <f>IF(F405="","",F405-'02_Eingaben'!$C$10)</f>
        <v/>
      </c>
      <c r="H405" t="str">
        <f>IF(F405="","",IF(F405&lt;'02_Eingaben'!$C$18*'02_Eingaben'!$C$10,1,0))</f>
        <v/>
      </c>
      <c r="I405" s="17" t="str">
        <f t="shared" si="6"/>
        <v/>
      </c>
      <c r="J405" s="17" t="str">
        <f>IF(B405="","",IF(B404&lt;'02_Eingaben'!$C$36,0,J404+I404/'02_Eingaben'!$C$8))</f>
        <v/>
      </c>
    </row>
    <row r="406" spans="1:10" x14ac:dyDescent="0.25">
      <c r="A406" t="str">
        <f>IF('01_Rohdaten'!A406="","",ROW()-1)</f>
        <v/>
      </c>
      <c r="B406" s="17" t="str">
        <f>IF('01_Rohdaten'!A406="","",'01_Rohdaten'!A406)</f>
        <v/>
      </c>
      <c r="C406" s="17" t="str">
        <f>IF(B406="","",INDEX('01_Rohdaten'!B406:D406,'02_Eingaben'!$C$13))</f>
        <v/>
      </c>
      <c r="D406" s="17" t="str">
        <f>IF(C406="","",C406*'02_Eingaben'!$C$15)</f>
        <v/>
      </c>
      <c r="E406" s="17" t="str">
        <f>IF(D406="","",D406*'02_Eingaben'!$C$8)</f>
        <v/>
      </c>
      <c r="F406" s="17" t="str">
        <f>IF(E406="","",AVERAGE(INDEX($E$2:$E$3001,MAX(1,ROW()-1-'02_Eingaben'!$C$17)):INDEX($E$2:$E$3001,MIN('02_Eingaben'!$C$21,ROW()-1+'02_Eingaben'!$C$17))))</f>
        <v/>
      </c>
      <c r="G406" s="17" t="str">
        <f>IF(F406="","",F406-'02_Eingaben'!$C$10)</f>
        <v/>
      </c>
      <c r="H406" t="str">
        <f>IF(F406="","",IF(F406&lt;'02_Eingaben'!$C$18*'02_Eingaben'!$C$10,1,0))</f>
        <v/>
      </c>
      <c r="I406" s="17" t="str">
        <f t="shared" si="6"/>
        <v/>
      </c>
      <c r="J406" s="17" t="str">
        <f>IF(B406="","",IF(B405&lt;'02_Eingaben'!$C$36,0,J405+I405/'02_Eingaben'!$C$8))</f>
        <v/>
      </c>
    </row>
    <row r="407" spans="1:10" x14ac:dyDescent="0.25">
      <c r="A407" t="str">
        <f>IF('01_Rohdaten'!A407="","",ROW()-1)</f>
        <v/>
      </c>
      <c r="B407" s="17" t="str">
        <f>IF('01_Rohdaten'!A407="","",'01_Rohdaten'!A407)</f>
        <v/>
      </c>
      <c r="C407" s="17" t="str">
        <f>IF(B407="","",INDEX('01_Rohdaten'!B407:D407,'02_Eingaben'!$C$13))</f>
        <v/>
      </c>
      <c r="D407" s="17" t="str">
        <f>IF(C407="","",C407*'02_Eingaben'!$C$15)</f>
        <v/>
      </c>
      <c r="E407" s="17" t="str">
        <f>IF(D407="","",D407*'02_Eingaben'!$C$8)</f>
        <v/>
      </c>
      <c r="F407" s="17" t="str">
        <f>IF(E407="","",AVERAGE(INDEX($E$2:$E$3001,MAX(1,ROW()-1-'02_Eingaben'!$C$17)):INDEX($E$2:$E$3001,MIN('02_Eingaben'!$C$21,ROW()-1+'02_Eingaben'!$C$17))))</f>
        <v/>
      </c>
      <c r="G407" s="17" t="str">
        <f>IF(F407="","",F407-'02_Eingaben'!$C$10)</f>
        <v/>
      </c>
      <c r="H407" t="str">
        <f>IF(F407="","",IF(F407&lt;'02_Eingaben'!$C$18*'02_Eingaben'!$C$10,1,0))</f>
        <v/>
      </c>
      <c r="I407" s="17" t="str">
        <f t="shared" si="6"/>
        <v/>
      </c>
      <c r="J407" s="17" t="str">
        <f>IF(B407="","",IF(B406&lt;'02_Eingaben'!$C$36,0,J406+I406/'02_Eingaben'!$C$8))</f>
        <v/>
      </c>
    </row>
    <row r="408" spans="1:10" x14ac:dyDescent="0.25">
      <c r="A408" t="str">
        <f>IF('01_Rohdaten'!A408="","",ROW()-1)</f>
        <v/>
      </c>
      <c r="B408" s="17" t="str">
        <f>IF('01_Rohdaten'!A408="","",'01_Rohdaten'!A408)</f>
        <v/>
      </c>
      <c r="C408" s="17" t="str">
        <f>IF(B408="","",INDEX('01_Rohdaten'!B408:D408,'02_Eingaben'!$C$13))</f>
        <v/>
      </c>
      <c r="D408" s="17" t="str">
        <f>IF(C408="","",C408*'02_Eingaben'!$C$15)</f>
        <v/>
      </c>
      <c r="E408" s="17" t="str">
        <f>IF(D408="","",D408*'02_Eingaben'!$C$8)</f>
        <v/>
      </c>
      <c r="F408" s="17" t="str">
        <f>IF(E408="","",AVERAGE(INDEX($E$2:$E$3001,MAX(1,ROW()-1-'02_Eingaben'!$C$17)):INDEX($E$2:$E$3001,MIN('02_Eingaben'!$C$21,ROW()-1+'02_Eingaben'!$C$17))))</f>
        <v/>
      </c>
      <c r="G408" s="17" t="str">
        <f>IF(F408="","",F408-'02_Eingaben'!$C$10)</f>
        <v/>
      </c>
      <c r="H408" t="str">
        <f>IF(F408="","",IF(F408&lt;'02_Eingaben'!$C$18*'02_Eingaben'!$C$10,1,0))</f>
        <v/>
      </c>
      <c r="I408" s="17" t="str">
        <f t="shared" si="6"/>
        <v/>
      </c>
      <c r="J408" s="17" t="str">
        <f>IF(B408="","",IF(B407&lt;'02_Eingaben'!$C$36,0,J407+I407/'02_Eingaben'!$C$8))</f>
        <v/>
      </c>
    </row>
    <row r="409" spans="1:10" x14ac:dyDescent="0.25">
      <c r="A409" t="str">
        <f>IF('01_Rohdaten'!A409="","",ROW()-1)</f>
        <v/>
      </c>
      <c r="B409" s="17" t="str">
        <f>IF('01_Rohdaten'!A409="","",'01_Rohdaten'!A409)</f>
        <v/>
      </c>
      <c r="C409" s="17" t="str">
        <f>IF(B409="","",INDEX('01_Rohdaten'!B409:D409,'02_Eingaben'!$C$13))</f>
        <v/>
      </c>
      <c r="D409" s="17" t="str">
        <f>IF(C409="","",C409*'02_Eingaben'!$C$15)</f>
        <v/>
      </c>
      <c r="E409" s="17" t="str">
        <f>IF(D409="","",D409*'02_Eingaben'!$C$8)</f>
        <v/>
      </c>
      <c r="F409" s="17" t="str">
        <f>IF(E409="","",AVERAGE(INDEX($E$2:$E$3001,MAX(1,ROW()-1-'02_Eingaben'!$C$17)):INDEX($E$2:$E$3001,MIN('02_Eingaben'!$C$21,ROW()-1+'02_Eingaben'!$C$17))))</f>
        <v/>
      </c>
      <c r="G409" s="17" t="str">
        <f>IF(F409="","",F409-'02_Eingaben'!$C$10)</f>
        <v/>
      </c>
      <c r="H409" t="str">
        <f>IF(F409="","",IF(F409&lt;'02_Eingaben'!$C$18*'02_Eingaben'!$C$10,1,0))</f>
        <v/>
      </c>
      <c r="I409" s="17" t="str">
        <f t="shared" si="6"/>
        <v/>
      </c>
      <c r="J409" s="17" t="str">
        <f>IF(B409="","",IF(B408&lt;'02_Eingaben'!$C$36,0,J408+I408/'02_Eingaben'!$C$8))</f>
        <v/>
      </c>
    </row>
    <row r="410" spans="1:10" x14ac:dyDescent="0.25">
      <c r="A410" t="str">
        <f>IF('01_Rohdaten'!A410="","",ROW()-1)</f>
        <v/>
      </c>
      <c r="B410" s="17" t="str">
        <f>IF('01_Rohdaten'!A410="","",'01_Rohdaten'!A410)</f>
        <v/>
      </c>
      <c r="C410" s="17" t="str">
        <f>IF(B410="","",INDEX('01_Rohdaten'!B410:D410,'02_Eingaben'!$C$13))</f>
        <v/>
      </c>
      <c r="D410" s="17" t="str">
        <f>IF(C410="","",C410*'02_Eingaben'!$C$15)</f>
        <v/>
      </c>
      <c r="E410" s="17" t="str">
        <f>IF(D410="","",D410*'02_Eingaben'!$C$8)</f>
        <v/>
      </c>
      <c r="F410" s="17" t="str">
        <f>IF(E410="","",AVERAGE(INDEX($E$2:$E$3001,MAX(1,ROW()-1-'02_Eingaben'!$C$17)):INDEX($E$2:$E$3001,MIN('02_Eingaben'!$C$21,ROW()-1+'02_Eingaben'!$C$17))))</f>
        <v/>
      </c>
      <c r="G410" s="17" t="str">
        <f>IF(F410="","",F410-'02_Eingaben'!$C$10)</f>
        <v/>
      </c>
      <c r="H410" t="str">
        <f>IF(F410="","",IF(F410&lt;'02_Eingaben'!$C$18*'02_Eingaben'!$C$10,1,0))</f>
        <v/>
      </c>
      <c r="I410" s="17" t="str">
        <f t="shared" si="6"/>
        <v/>
      </c>
      <c r="J410" s="17" t="str">
        <f>IF(B410="","",IF(B409&lt;'02_Eingaben'!$C$36,0,J409+I409/'02_Eingaben'!$C$8))</f>
        <v/>
      </c>
    </row>
    <row r="411" spans="1:10" x14ac:dyDescent="0.25">
      <c r="A411" t="str">
        <f>IF('01_Rohdaten'!A411="","",ROW()-1)</f>
        <v/>
      </c>
      <c r="B411" s="17" t="str">
        <f>IF('01_Rohdaten'!A411="","",'01_Rohdaten'!A411)</f>
        <v/>
      </c>
      <c r="C411" s="17" t="str">
        <f>IF(B411="","",INDEX('01_Rohdaten'!B411:D411,'02_Eingaben'!$C$13))</f>
        <v/>
      </c>
      <c r="D411" s="17" t="str">
        <f>IF(C411="","",C411*'02_Eingaben'!$C$15)</f>
        <v/>
      </c>
      <c r="E411" s="17" t="str">
        <f>IF(D411="","",D411*'02_Eingaben'!$C$8)</f>
        <v/>
      </c>
      <c r="F411" s="17" t="str">
        <f>IF(E411="","",AVERAGE(INDEX($E$2:$E$3001,MAX(1,ROW()-1-'02_Eingaben'!$C$17)):INDEX($E$2:$E$3001,MIN('02_Eingaben'!$C$21,ROW()-1+'02_Eingaben'!$C$17))))</f>
        <v/>
      </c>
      <c r="G411" s="17" t="str">
        <f>IF(F411="","",F411-'02_Eingaben'!$C$10)</f>
        <v/>
      </c>
      <c r="H411" t="str">
        <f>IF(F411="","",IF(F411&lt;'02_Eingaben'!$C$18*'02_Eingaben'!$C$10,1,0))</f>
        <v/>
      </c>
      <c r="I411" s="17" t="str">
        <f t="shared" si="6"/>
        <v/>
      </c>
      <c r="J411" s="17" t="str">
        <f>IF(B411="","",IF(B410&lt;'02_Eingaben'!$C$36,0,J410+I410/'02_Eingaben'!$C$8))</f>
        <v/>
      </c>
    </row>
    <row r="412" spans="1:10" x14ac:dyDescent="0.25">
      <c r="A412" t="str">
        <f>IF('01_Rohdaten'!A412="","",ROW()-1)</f>
        <v/>
      </c>
      <c r="B412" s="17" t="str">
        <f>IF('01_Rohdaten'!A412="","",'01_Rohdaten'!A412)</f>
        <v/>
      </c>
      <c r="C412" s="17" t="str">
        <f>IF(B412="","",INDEX('01_Rohdaten'!B412:D412,'02_Eingaben'!$C$13))</f>
        <v/>
      </c>
      <c r="D412" s="17" t="str">
        <f>IF(C412="","",C412*'02_Eingaben'!$C$15)</f>
        <v/>
      </c>
      <c r="E412" s="17" t="str">
        <f>IF(D412="","",D412*'02_Eingaben'!$C$8)</f>
        <v/>
      </c>
      <c r="F412" s="17" t="str">
        <f>IF(E412="","",AVERAGE(INDEX($E$2:$E$3001,MAX(1,ROW()-1-'02_Eingaben'!$C$17)):INDEX($E$2:$E$3001,MIN('02_Eingaben'!$C$21,ROW()-1+'02_Eingaben'!$C$17))))</f>
        <v/>
      </c>
      <c r="G412" s="17" t="str">
        <f>IF(F412="","",F412-'02_Eingaben'!$C$10)</f>
        <v/>
      </c>
      <c r="H412" t="str">
        <f>IF(F412="","",IF(F412&lt;'02_Eingaben'!$C$18*'02_Eingaben'!$C$10,1,0))</f>
        <v/>
      </c>
      <c r="I412" s="17" t="str">
        <f t="shared" si="6"/>
        <v/>
      </c>
      <c r="J412" s="17" t="str">
        <f>IF(B412="","",IF(B411&lt;'02_Eingaben'!$C$36,0,J411+I411/'02_Eingaben'!$C$8))</f>
        <v/>
      </c>
    </row>
    <row r="413" spans="1:10" x14ac:dyDescent="0.25">
      <c r="A413" t="str">
        <f>IF('01_Rohdaten'!A413="","",ROW()-1)</f>
        <v/>
      </c>
      <c r="B413" s="17" t="str">
        <f>IF('01_Rohdaten'!A413="","",'01_Rohdaten'!A413)</f>
        <v/>
      </c>
      <c r="C413" s="17" t="str">
        <f>IF(B413="","",INDEX('01_Rohdaten'!B413:D413,'02_Eingaben'!$C$13))</f>
        <v/>
      </c>
      <c r="D413" s="17" t="str">
        <f>IF(C413="","",C413*'02_Eingaben'!$C$15)</f>
        <v/>
      </c>
      <c r="E413" s="17" t="str">
        <f>IF(D413="","",D413*'02_Eingaben'!$C$8)</f>
        <v/>
      </c>
      <c r="F413" s="17" t="str">
        <f>IF(E413="","",AVERAGE(INDEX($E$2:$E$3001,MAX(1,ROW()-1-'02_Eingaben'!$C$17)):INDEX($E$2:$E$3001,MIN('02_Eingaben'!$C$21,ROW()-1+'02_Eingaben'!$C$17))))</f>
        <v/>
      </c>
      <c r="G413" s="17" t="str">
        <f>IF(F413="","",F413-'02_Eingaben'!$C$10)</f>
        <v/>
      </c>
      <c r="H413" t="str">
        <f>IF(F413="","",IF(F413&lt;'02_Eingaben'!$C$18*'02_Eingaben'!$C$10,1,0))</f>
        <v/>
      </c>
      <c r="I413" s="17" t="str">
        <f t="shared" si="6"/>
        <v/>
      </c>
      <c r="J413" s="17" t="str">
        <f>IF(B413="","",IF(B412&lt;'02_Eingaben'!$C$36,0,J412+I412/'02_Eingaben'!$C$8))</f>
        <v/>
      </c>
    </row>
    <row r="414" spans="1:10" x14ac:dyDescent="0.25">
      <c r="A414" t="str">
        <f>IF('01_Rohdaten'!A414="","",ROW()-1)</f>
        <v/>
      </c>
      <c r="B414" s="17" t="str">
        <f>IF('01_Rohdaten'!A414="","",'01_Rohdaten'!A414)</f>
        <v/>
      </c>
      <c r="C414" s="17" t="str">
        <f>IF(B414="","",INDEX('01_Rohdaten'!B414:D414,'02_Eingaben'!$C$13))</f>
        <v/>
      </c>
      <c r="D414" s="17" t="str">
        <f>IF(C414="","",C414*'02_Eingaben'!$C$15)</f>
        <v/>
      </c>
      <c r="E414" s="17" t="str">
        <f>IF(D414="","",D414*'02_Eingaben'!$C$8)</f>
        <v/>
      </c>
      <c r="F414" s="17" t="str">
        <f>IF(E414="","",AVERAGE(INDEX($E$2:$E$3001,MAX(1,ROW()-1-'02_Eingaben'!$C$17)):INDEX($E$2:$E$3001,MIN('02_Eingaben'!$C$21,ROW()-1+'02_Eingaben'!$C$17))))</f>
        <v/>
      </c>
      <c r="G414" s="17" t="str">
        <f>IF(F414="","",F414-'02_Eingaben'!$C$10)</f>
        <v/>
      </c>
      <c r="H414" t="str">
        <f>IF(F414="","",IF(F414&lt;'02_Eingaben'!$C$18*'02_Eingaben'!$C$10,1,0))</f>
        <v/>
      </c>
      <c r="I414" s="17" t="str">
        <f t="shared" si="6"/>
        <v/>
      </c>
      <c r="J414" s="17" t="str">
        <f>IF(B414="","",IF(B413&lt;'02_Eingaben'!$C$36,0,J413+I413/'02_Eingaben'!$C$8))</f>
        <v/>
      </c>
    </row>
    <row r="415" spans="1:10" x14ac:dyDescent="0.25">
      <c r="A415" t="str">
        <f>IF('01_Rohdaten'!A415="","",ROW()-1)</f>
        <v/>
      </c>
      <c r="B415" s="17" t="str">
        <f>IF('01_Rohdaten'!A415="","",'01_Rohdaten'!A415)</f>
        <v/>
      </c>
      <c r="C415" s="17" t="str">
        <f>IF(B415="","",INDEX('01_Rohdaten'!B415:D415,'02_Eingaben'!$C$13))</f>
        <v/>
      </c>
      <c r="D415" s="17" t="str">
        <f>IF(C415="","",C415*'02_Eingaben'!$C$15)</f>
        <v/>
      </c>
      <c r="E415" s="17" t="str">
        <f>IF(D415="","",D415*'02_Eingaben'!$C$8)</f>
        <v/>
      </c>
      <c r="F415" s="17" t="str">
        <f>IF(E415="","",AVERAGE(INDEX($E$2:$E$3001,MAX(1,ROW()-1-'02_Eingaben'!$C$17)):INDEX($E$2:$E$3001,MIN('02_Eingaben'!$C$21,ROW()-1+'02_Eingaben'!$C$17))))</f>
        <v/>
      </c>
      <c r="G415" s="17" t="str">
        <f>IF(F415="","",F415-'02_Eingaben'!$C$10)</f>
        <v/>
      </c>
      <c r="H415" t="str">
        <f>IF(F415="","",IF(F415&lt;'02_Eingaben'!$C$18*'02_Eingaben'!$C$10,1,0))</f>
        <v/>
      </c>
      <c r="I415" s="17" t="str">
        <f t="shared" si="6"/>
        <v/>
      </c>
      <c r="J415" s="17" t="str">
        <f>IF(B415="","",IF(B414&lt;'02_Eingaben'!$C$36,0,J414+I414/'02_Eingaben'!$C$8))</f>
        <v/>
      </c>
    </row>
    <row r="416" spans="1:10" x14ac:dyDescent="0.25">
      <c r="A416" t="str">
        <f>IF('01_Rohdaten'!A416="","",ROW()-1)</f>
        <v/>
      </c>
      <c r="B416" s="17" t="str">
        <f>IF('01_Rohdaten'!A416="","",'01_Rohdaten'!A416)</f>
        <v/>
      </c>
      <c r="C416" s="17" t="str">
        <f>IF(B416="","",INDEX('01_Rohdaten'!B416:D416,'02_Eingaben'!$C$13))</f>
        <v/>
      </c>
      <c r="D416" s="17" t="str">
        <f>IF(C416="","",C416*'02_Eingaben'!$C$15)</f>
        <v/>
      </c>
      <c r="E416" s="17" t="str">
        <f>IF(D416="","",D416*'02_Eingaben'!$C$8)</f>
        <v/>
      </c>
      <c r="F416" s="17" t="str">
        <f>IF(E416="","",AVERAGE(INDEX($E$2:$E$3001,MAX(1,ROW()-1-'02_Eingaben'!$C$17)):INDEX($E$2:$E$3001,MIN('02_Eingaben'!$C$21,ROW()-1+'02_Eingaben'!$C$17))))</f>
        <v/>
      </c>
      <c r="G416" s="17" t="str">
        <f>IF(F416="","",F416-'02_Eingaben'!$C$10)</f>
        <v/>
      </c>
      <c r="H416" t="str">
        <f>IF(F416="","",IF(F416&lt;'02_Eingaben'!$C$18*'02_Eingaben'!$C$10,1,0))</f>
        <v/>
      </c>
      <c r="I416" s="17" t="str">
        <f t="shared" si="6"/>
        <v/>
      </c>
      <c r="J416" s="17" t="str">
        <f>IF(B416="","",IF(B415&lt;'02_Eingaben'!$C$36,0,J415+I415/'02_Eingaben'!$C$8))</f>
        <v/>
      </c>
    </row>
    <row r="417" spans="1:10" x14ac:dyDescent="0.25">
      <c r="A417" t="str">
        <f>IF('01_Rohdaten'!A417="","",ROW()-1)</f>
        <v/>
      </c>
      <c r="B417" s="17" t="str">
        <f>IF('01_Rohdaten'!A417="","",'01_Rohdaten'!A417)</f>
        <v/>
      </c>
      <c r="C417" s="17" t="str">
        <f>IF(B417="","",INDEX('01_Rohdaten'!B417:D417,'02_Eingaben'!$C$13))</f>
        <v/>
      </c>
      <c r="D417" s="17" t="str">
        <f>IF(C417="","",C417*'02_Eingaben'!$C$15)</f>
        <v/>
      </c>
      <c r="E417" s="17" t="str">
        <f>IF(D417="","",D417*'02_Eingaben'!$C$8)</f>
        <v/>
      </c>
      <c r="F417" s="17" t="str">
        <f>IF(E417="","",AVERAGE(INDEX($E$2:$E$3001,MAX(1,ROW()-1-'02_Eingaben'!$C$17)):INDEX($E$2:$E$3001,MIN('02_Eingaben'!$C$21,ROW()-1+'02_Eingaben'!$C$17))))</f>
        <v/>
      </c>
      <c r="G417" s="17" t="str">
        <f>IF(F417="","",F417-'02_Eingaben'!$C$10)</f>
        <v/>
      </c>
      <c r="H417" t="str">
        <f>IF(F417="","",IF(F417&lt;'02_Eingaben'!$C$18*'02_Eingaben'!$C$10,1,0))</f>
        <v/>
      </c>
      <c r="I417" s="17" t="str">
        <f t="shared" si="6"/>
        <v/>
      </c>
      <c r="J417" s="17" t="str">
        <f>IF(B417="","",IF(B416&lt;'02_Eingaben'!$C$36,0,J416+I416/'02_Eingaben'!$C$8))</f>
        <v/>
      </c>
    </row>
    <row r="418" spans="1:10" x14ac:dyDescent="0.25">
      <c r="A418" t="str">
        <f>IF('01_Rohdaten'!A418="","",ROW()-1)</f>
        <v/>
      </c>
      <c r="B418" s="17" t="str">
        <f>IF('01_Rohdaten'!A418="","",'01_Rohdaten'!A418)</f>
        <v/>
      </c>
      <c r="C418" s="17" t="str">
        <f>IF(B418="","",INDEX('01_Rohdaten'!B418:D418,'02_Eingaben'!$C$13))</f>
        <v/>
      </c>
      <c r="D418" s="17" t="str">
        <f>IF(C418="","",C418*'02_Eingaben'!$C$15)</f>
        <v/>
      </c>
      <c r="E418" s="17" t="str">
        <f>IF(D418="","",D418*'02_Eingaben'!$C$8)</f>
        <v/>
      </c>
      <c r="F418" s="17" t="str">
        <f>IF(E418="","",AVERAGE(INDEX($E$2:$E$3001,MAX(1,ROW()-1-'02_Eingaben'!$C$17)):INDEX($E$2:$E$3001,MIN('02_Eingaben'!$C$21,ROW()-1+'02_Eingaben'!$C$17))))</f>
        <v/>
      </c>
      <c r="G418" s="17" t="str">
        <f>IF(F418="","",F418-'02_Eingaben'!$C$10)</f>
        <v/>
      </c>
      <c r="H418" t="str">
        <f>IF(F418="","",IF(F418&lt;'02_Eingaben'!$C$18*'02_Eingaben'!$C$10,1,0))</f>
        <v/>
      </c>
      <c r="I418" s="17" t="str">
        <f t="shared" si="6"/>
        <v/>
      </c>
      <c r="J418" s="17" t="str">
        <f>IF(B418="","",IF(B417&lt;'02_Eingaben'!$C$36,0,J417+I417/'02_Eingaben'!$C$8))</f>
        <v/>
      </c>
    </row>
    <row r="419" spans="1:10" x14ac:dyDescent="0.25">
      <c r="A419" t="str">
        <f>IF('01_Rohdaten'!A419="","",ROW()-1)</f>
        <v/>
      </c>
      <c r="B419" s="17" t="str">
        <f>IF('01_Rohdaten'!A419="","",'01_Rohdaten'!A419)</f>
        <v/>
      </c>
      <c r="C419" s="17" t="str">
        <f>IF(B419="","",INDEX('01_Rohdaten'!B419:D419,'02_Eingaben'!$C$13))</f>
        <v/>
      </c>
      <c r="D419" s="17" t="str">
        <f>IF(C419="","",C419*'02_Eingaben'!$C$15)</f>
        <v/>
      </c>
      <c r="E419" s="17" t="str">
        <f>IF(D419="","",D419*'02_Eingaben'!$C$8)</f>
        <v/>
      </c>
      <c r="F419" s="17" t="str">
        <f>IF(E419="","",AVERAGE(INDEX($E$2:$E$3001,MAX(1,ROW()-1-'02_Eingaben'!$C$17)):INDEX($E$2:$E$3001,MIN('02_Eingaben'!$C$21,ROW()-1+'02_Eingaben'!$C$17))))</f>
        <v/>
      </c>
      <c r="G419" s="17" t="str">
        <f>IF(F419="","",F419-'02_Eingaben'!$C$10)</f>
        <v/>
      </c>
      <c r="H419" t="str">
        <f>IF(F419="","",IF(F419&lt;'02_Eingaben'!$C$18*'02_Eingaben'!$C$10,1,0))</f>
        <v/>
      </c>
      <c r="I419" s="17" t="str">
        <f t="shared" si="6"/>
        <v/>
      </c>
      <c r="J419" s="17" t="str">
        <f>IF(B419="","",IF(B418&lt;'02_Eingaben'!$C$36,0,J418+I418/'02_Eingaben'!$C$8))</f>
        <v/>
      </c>
    </row>
    <row r="420" spans="1:10" x14ac:dyDescent="0.25">
      <c r="A420" t="str">
        <f>IF('01_Rohdaten'!A420="","",ROW()-1)</f>
        <v/>
      </c>
      <c r="B420" s="17" t="str">
        <f>IF('01_Rohdaten'!A420="","",'01_Rohdaten'!A420)</f>
        <v/>
      </c>
      <c r="C420" s="17" t="str">
        <f>IF(B420="","",INDEX('01_Rohdaten'!B420:D420,'02_Eingaben'!$C$13))</f>
        <v/>
      </c>
      <c r="D420" s="17" t="str">
        <f>IF(C420="","",C420*'02_Eingaben'!$C$15)</f>
        <v/>
      </c>
      <c r="E420" s="17" t="str">
        <f>IF(D420="","",D420*'02_Eingaben'!$C$8)</f>
        <v/>
      </c>
      <c r="F420" s="17" t="str">
        <f>IF(E420="","",AVERAGE(INDEX($E$2:$E$3001,MAX(1,ROW()-1-'02_Eingaben'!$C$17)):INDEX($E$2:$E$3001,MIN('02_Eingaben'!$C$21,ROW()-1+'02_Eingaben'!$C$17))))</f>
        <v/>
      </c>
      <c r="G420" s="17" t="str">
        <f>IF(F420="","",F420-'02_Eingaben'!$C$10)</f>
        <v/>
      </c>
      <c r="H420" t="str">
        <f>IF(F420="","",IF(F420&lt;'02_Eingaben'!$C$18*'02_Eingaben'!$C$10,1,0))</f>
        <v/>
      </c>
      <c r="I420" s="17" t="str">
        <f t="shared" si="6"/>
        <v/>
      </c>
      <c r="J420" s="17" t="str">
        <f>IF(B420="","",IF(B419&lt;'02_Eingaben'!$C$36,0,J419+I419/'02_Eingaben'!$C$8))</f>
        <v/>
      </c>
    </row>
    <row r="421" spans="1:10" x14ac:dyDescent="0.25">
      <c r="A421" t="str">
        <f>IF('01_Rohdaten'!A421="","",ROW()-1)</f>
        <v/>
      </c>
      <c r="B421" s="17" t="str">
        <f>IF('01_Rohdaten'!A421="","",'01_Rohdaten'!A421)</f>
        <v/>
      </c>
      <c r="C421" s="17" t="str">
        <f>IF(B421="","",INDEX('01_Rohdaten'!B421:D421,'02_Eingaben'!$C$13))</f>
        <v/>
      </c>
      <c r="D421" s="17" t="str">
        <f>IF(C421="","",C421*'02_Eingaben'!$C$15)</f>
        <v/>
      </c>
      <c r="E421" s="17" t="str">
        <f>IF(D421="","",D421*'02_Eingaben'!$C$8)</f>
        <v/>
      </c>
      <c r="F421" s="17" t="str">
        <f>IF(E421="","",AVERAGE(INDEX($E$2:$E$3001,MAX(1,ROW()-1-'02_Eingaben'!$C$17)):INDEX($E$2:$E$3001,MIN('02_Eingaben'!$C$21,ROW()-1+'02_Eingaben'!$C$17))))</f>
        <v/>
      </c>
      <c r="G421" s="17" t="str">
        <f>IF(F421="","",F421-'02_Eingaben'!$C$10)</f>
        <v/>
      </c>
      <c r="H421" t="str">
        <f>IF(F421="","",IF(F421&lt;'02_Eingaben'!$C$18*'02_Eingaben'!$C$10,1,0))</f>
        <v/>
      </c>
      <c r="I421" s="17" t="str">
        <f t="shared" si="6"/>
        <v/>
      </c>
      <c r="J421" s="17" t="str">
        <f>IF(B421="","",IF(B420&lt;'02_Eingaben'!$C$36,0,J420+I420/'02_Eingaben'!$C$8))</f>
        <v/>
      </c>
    </row>
    <row r="422" spans="1:10" x14ac:dyDescent="0.25">
      <c r="A422" t="str">
        <f>IF('01_Rohdaten'!A422="","",ROW()-1)</f>
        <v/>
      </c>
      <c r="B422" s="17" t="str">
        <f>IF('01_Rohdaten'!A422="","",'01_Rohdaten'!A422)</f>
        <v/>
      </c>
      <c r="C422" s="17" t="str">
        <f>IF(B422="","",INDEX('01_Rohdaten'!B422:D422,'02_Eingaben'!$C$13))</f>
        <v/>
      </c>
      <c r="D422" s="17" t="str">
        <f>IF(C422="","",C422*'02_Eingaben'!$C$15)</f>
        <v/>
      </c>
      <c r="E422" s="17" t="str">
        <f>IF(D422="","",D422*'02_Eingaben'!$C$8)</f>
        <v/>
      </c>
      <c r="F422" s="17" t="str">
        <f>IF(E422="","",AVERAGE(INDEX($E$2:$E$3001,MAX(1,ROW()-1-'02_Eingaben'!$C$17)):INDEX($E$2:$E$3001,MIN('02_Eingaben'!$C$21,ROW()-1+'02_Eingaben'!$C$17))))</f>
        <v/>
      </c>
      <c r="G422" s="17" t="str">
        <f>IF(F422="","",F422-'02_Eingaben'!$C$10)</f>
        <v/>
      </c>
      <c r="H422" t="str">
        <f>IF(F422="","",IF(F422&lt;'02_Eingaben'!$C$18*'02_Eingaben'!$C$10,1,0))</f>
        <v/>
      </c>
      <c r="I422" s="17" t="str">
        <f t="shared" si="6"/>
        <v/>
      </c>
      <c r="J422" s="17" t="str">
        <f>IF(B422="","",IF(B421&lt;'02_Eingaben'!$C$36,0,J421+I421/'02_Eingaben'!$C$8))</f>
        <v/>
      </c>
    </row>
    <row r="423" spans="1:10" x14ac:dyDescent="0.25">
      <c r="A423" t="str">
        <f>IF('01_Rohdaten'!A423="","",ROW()-1)</f>
        <v/>
      </c>
      <c r="B423" s="17" t="str">
        <f>IF('01_Rohdaten'!A423="","",'01_Rohdaten'!A423)</f>
        <v/>
      </c>
      <c r="C423" s="17" t="str">
        <f>IF(B423="","",INDEX('01_Rohdaten'!B423:D423,'02_Eingaben'!$C$13))</f>
        <v/>
      </c>
      <c r="D423" s="17" t="str">
        <f>IF(C423="","",C423*'02_Eingaben'!$C$15)</f>
        <v/>
      </c>
      <c r="E423" s="17" t="str">
        <f>IF(D423="","",D423*'02_Eingaben'!$C$8)</f>
        <v/>
      </c>
      <c r="F423" s="17" t="str">
        <f>IF(E423="","",AVERAGE(INDEX($E$2:$E$3001,MAX(1,ROW()-1-'02_Eingaben'!$C$17)):INDEX($E$2:$E$3001,MIN('02_Eingaben'!$C$21,ROW()-1+'02_Eingaben'!$C$17))))</f>
        <v/>
      </c>
      <c r="G423" s="17" t="str">
        <f>IF(F423="","",F423-'02_Eingaben'!$C$10)</f>
        <v/>
      </c>
      <c r="H423" t="str">
        <f>IF(F423="","",IF(F423&lt;'02_Eingaben'!$C$18*'02_Eingaben'!$C$10,1,0))</f>
        <v/>
      </c>
      <c r="I423" s="17" t="str">
        <f t="shared" si="6"/>
        <v/>
      </c>
      <c r="J423" s="17" t="str">
        <f>IF(B423="","",IF(B422&lt;'02_Eingaben'!$C$36,0,J422+I422/'02_Eingaben'!$C$8))</f>
        <v/>
      </c>
    </row>
    <row r="424" spans="1:10" x14ac:dyDescent="0.25">
      <c r="A424" t="str">
        <f>IF('01_Rohdaten'!A424="","",ROW()-1)</f>
        <v/>
      </c>
      <c r="B424" s="17" t="str">
        <f>IF('01_Rohdaten'!A424="","",'01_Rohdaten'!A424)</f>
        <v/>
      </c>
      <c r="C424" s="17" t="str">
        <f>IF(B424="","",INDEX('01_Rohdaten'!B424:D424,'02_Eingaben'!$C$13))</f>
        <v/>
      </c>
      <c r="D424" s="17" t="str">
        <f>IF(C424="","",C424*'02_Eingaben'!$C$15)</f>
        <v/>
      </c>
      <c r="E424" s="17" t="str">
        <f>IF(D424="","",D424*'02_Eingaben'!$C$8)</f>
        <v/>
      </c>
      <c r="F424" s="17" t="str">
        <f>IF(E424="","",AVERAGE(INDEX($E$2:$E$3001,MAX(1,ROW()-1-'02_Eingaben'!$C$17)):INDEX($E$2:$E$3001,MIN('02_Eingaben'!$C$21,ROW()-1+'02_Eingaben'!$C$17))))</f>
        <v/>
      </c>
      <c r="G424" s="17" t="str">
        <f>IF(F424="","",F424-'02_Eingaben'!$C$10)</f>
        <v/>
      </c>
      <c r="H424" t="str">
        <f>IF(F424="","",IF(F424&lt;'02_Eingaben'!$C$18*'02_Eingaben'!$C$10,1,0))</f>
        <v/>
      </c>
      <c r="I424" s="17" t="str">
        <f t="shared" si="6"/>
        <v/>
      </c>
      <c r="J424" s="17" t="str">
        <f>IF(B424="","",IF(B423&lt;'02_Eingaben'!$C$36,0,J423+I423/'02_Eingaben'!$C$8))</f>
        <v/>
      </c>
    </row>
    <row r="425" spans="1:10" x14ac:dyDescent="0.25">
      <c r="A425" t="str">
        <f>IF('01_Rohdaten'!A425="","",ROW()-1)</f>
        <v/>
      </c>
      <c r="B425" s="17" t="str">
        <f>IF('01_Rohdaten'!A425="","",'01_Rohdaten'!A425)</f>
        <v/>
      </c>
      <c r="C425" s="17" t="str">
        <f>IF(B425="","",INDEX('01_Rohdaten'!B425:D425,'02_Eingaben'!$C$13))</f>
        <v/>
      </c>
      <c r="D425" s="17" t="str">
        <f>IF(C425="","",C425*'02_Eingaben'!$C$15)</f>
        <v/>
      </c>
      <c r="E425" s="17" t="str">
        <f>IF(D425="","",D425*'02_Eingaben'!$C$8)</f>
        <v/>
      </c>
      <c r="F425" s="17" t="str">
        <f>IF(E425="","",AVERAGE(INDEX($E$2:$E$3001,MAX(1,ROW()-1-'02_Eingaben'!$C$17)):INDEX($E$2:$E$3001,MIN('02_Eingaben'!$C$21,ROW()-1+'02_Eingaben'!$C$17))))</f>
        <v/>
      </c>
      <c r="G425" s="17" t="str">
        <f>IF(F425="","",F425-'02_Eingaben'!$C$10)</f>
        <v/>
      </c>
      <c r="H425" t="str">
        <f>IF(F425="","",IF(F425&lt;'02_Eingaben'!$C$18*'02_Eingaben'!$C$10,1,0))</f>
        <v/>
      </c>
      <c r="I425" s="17" t="str">
        <f t="shared" si="6"/>
        <v/>
      </c>
      <c r="J425" s="17" t="str">
        <f>IF(B425="","",IF(B424&lt;'02_Eingaben'!$C$36,0,J424+I424/'02_Eingaben'!$C$8))</f>
        <v/>
      </c>
    </row>
    <row r="426" spans="1:10" x14ac:dyDescent="0.25">
      <c r="A426" t="str">
        <f>IF('01_Rohdaten'!A426="","",ROW()-1)</f>
        <v/>
      </c>
      <c r="B426" s="17" t="str">
        <f>IF('01_Rohdaten'!A426="","",'01_Rohdaten'!A426)</f>
        <v/>
      </c>
      <c r="C426" s="17" t="str">
        <f>IF(B426="","",INDEX('01_Rohdaten'!B426:D426,'02_Eingaben'!$C$13))</f>
        <v/>
      </c>
      <c r="D426" s="17" t="str">
        <f>IF(C426="","",C426*'02_Eingaben'!$C$15)</f>
        <v/>
      </c>
      <c r="E426" s="17" t="str">
        <f>IF(D426="","",D426*'02_Eingaben'!$C$8)</f>
        <v/>
      </c>
      <c r="F426" s="17" t="str">
        <f>IF(E426="","",AVERAGE(INDEX($E$2:$E$3001,MAX(1,ROW()-1-'02_Eingaben'!$C$17)):INDEX($E$2:$E$3001,MIN('02_Eingaben'!$C$21,ROW()-1+'02_Eingaben'!$C$17))))</f>
        <v/>
      </c>
      <c r="G426" s="17" t="str">
        <f>IF(F426="","",F426-'02_Eingaben'!$C$10)</f>
        <v/>
      </c>
      <c r="H426" t="str">
        <f>IF(F426="","",IF(F426&lt;'02_Eingaben'!$C$18*'02_Eingaben'!$C$10,1,0))</f>
        <v/>
      </c>
      <c r="I426" s="17" t="str">
        <f t="shared" si="6"/>
        <v/>
      </c>
      <c r="J426" s="17" t="str">
        <f>IF(B426="","",IF(B425&lt;'02_Eingaben'!$C$36,0,J425+I425/'02_Eingaben'!$C$8))</f>
        <v/>
      </c>
    </row>
    <row r="427" spans="1:10" x14ac:dyDescent="0.25">
      <c r="A427" t="str">
        <f>IF('01_Rohdaten'!A427="","",ROW()-1)</f>
        <v/>
      </c>
      <c r="B427" s="17" t="str">
        <f>IF('01_Rohdaten'!A427="","",'01_Rohdaten'!A427)</f>
        <v/>
      </c>
      <c r="C427" s="17" t="str">
        <f>IF(B427="","",INDEX('01_Rohdaten'!B427:D427,'02_Eingaben'!$C$13))</f>
        <v/>
      </c>
      <c r="D427" s="17" t="str">
        <f>IF(C427="","",C427*'02_Eingaben'!$C$15)</f>
        <v/>
      </c>
      <c r="E427" s="17" t="str">
        <f>IF(D427="","",D427*'02_Eingaben'!$C$8)</f>
        <v/>
      </c>
      <c r="F427" s="17" t="str">
        <f>IF(E427="","",AVERAGE(INDEX($E$2:$E$3001,MAX(1,ROW()-1-'02_Eingaben'!$C$17)):INDEX($E$2:$E$3001,MIN('02_Eingaben'!$C$21,ROW()-1+'02_Eingaben'!$C$17))))</f>
        <v/>
      </c>
      <c r="G427" s="17" t="str">
        <f>IF(F427="","",F427-'02_Eingaben'!$C$10)</f>
        <v/>
      </c>
      <c r="H427" t="str">
        <f>IF(F427="","",IF(F427&lt;'02_Eingaben'!$C$18*'02_Eingaben'!$C$10,1,0))</f>
        <v/>
      </c>
      <c r="I427" s="17" t="str">
        <f t="shared" si="6"/>
        <v/>
      </c>
      <c r="J427" s="17" t="str">
        <f>IF(B427="","",IF(B426&lt;'02_Eingaben'!$C$36,0,J426+I426/'02_Eingaben'!$C$8))</f>
        <v/>
      </c>
    </row>
    <row r="428" spans="1:10" x14ac:dyDescent="0.25">
      <c r="A428" t="str">
        <f>IF('01_Rohdaten'!A428="","",ROW()-1)</f>
        <v/>
      </c>
      <c r="B428" s="17" t="str">
        <f>IF('01_Rohdaten'!A428="","",'01_Rohdaten'!A428)</f>
        <v/>
      </c>
      <c r="C428" s="17" t="str">
        <f>IF(B428="","",INDEX('01_Rohdaten'!B428:D428,'02_Eingaben'!$C$13))</f>
        <v/>
      </c>
      <c r="D428" s="17" t="str">
        <f>IF(C428="","",C428*'02_Eingaben'!$C$15)</f>
        <v/>
      </c>
      <c r="E428" s="17" t="str">
        <f>IF(D428="","",D428*'02_Eingaben'!$C$8)</f>
        <v/>
      </c>
      <c r="F428" s="17" t="str">
        <f>IF(E428="","",AVERAGE(INDEX($E$2:$E$3001,MAX(1,ROW()-1-'02_Eingaben'!$C$17)):INDEX($E$2:$E$3001,MIN('02_Eingaben'!$C$21,ROW()-1+'02_Eingaben'!$C$17))))</f>
        <v/>
      </c>
      <c r="G428" s="17" t="str">
        <f>IF(F428="","",F428-'02_Eingaben'!$C$10)</f>
        <v/>
      </c>
      <c r="H428" t="str">
        <f>IF(F428="","",IF(F428&lt;'02_Eingaben'!$C$18*'02_Eingaben'!$C$10,1,0))</f>
        <v/>
      </c>
      <c r="I428" s="17" t="str">
        <f t="shared" si="6"/>
        <v/>
      </c>
      <c r="J428" s="17" t="str">
        <f>IF(B428="","",IF(B427&lt;'02_Eingaben'!$C$36,0,J427+I427/'02_Eingaben'!$C$8))</f>
        <v/>
      </c>
    </row>
    <row r="429" spans="1:10" x14ac:dyDescent="0.25">
      <c r="A429" t="str">
        <f>IF('01_Rohdaten'!A429="","",ROW()-1)</f>
        <v/>
      </c>
      <c r="B429" s="17" t="str">
        <f>IF('01_Rohdaten'!A429="","",'01_Rohdaten'!A429)</f>
        <v/>
      </c>
      <c r="C429" s="17" t="str">
        <f>IF(B429="","",INDEX('01_Rohdaten'!B429:D429,'02_Eingaben'!$C$13))</f>
        <v/>
      </c>
      <c r="D429" s="17" t="str">
        <f>IF(C429="","",C429*'02_Eingaben'!$C$15)</f>
        <v/>
      </c>
      <c r="E429" s="17" t="str">
        <f>IF(D429="","",D429*'02_Eingaben'!$C$8)</f>
        <v/>
      </c>
      <c r="F429" s="17" t="str">
        <f>IF(E429="","",AVERAGE(INDEX($E$2:$E$3001,MAX(1,ROW()-1-'02_Eingaben'!$C$17)):INDEX($E$2:$E$3001,MIN('02_Eingaben'!$C$21,ROW()-1+'02_Eingaben'!$C$17))))</f>
        <v/>
      </c>
      <c r="G429" s="17" t="str">
        <f>IF(F429="","",F429-'02_Eingaben'!$C$10)</f>
        <v/>
      </c>
      <c r="H429" t="str">
        <f>IF(F429="","",IF(F429&lt;'02_Eingaben'!$C$18*'02_Eingaben'!$C$10,1,0))</f>
        <v/>
      </c>
      <c r="I429" s="17" t="str">
        <f t="shared" si="6"/>
        <v/>
      </c>
      <c r="J429" s="17" t="str">
        <f>IF(B429="","",IF(B428&lt;'02_Eingaben'!$C$36,0,J428+I428/'02_Eingaben'!$C$8))</f>
        <v/>
      </c>
    </row>
    <row r="430" spans="1:10" x14ac:dyDescent="0.25">
      <c r="A430" t="str">
        <f>IF('01_Rohdaten'!A430="","",ROW()-1)</f>
        <v/>
      </c>
      <c r="B430" s="17" t="str">
        <f>IF('01_Rohdaten'!A430="","",'01_Rohdaten'!A430)</f>
        <v/>
      </c>
      <c r="C430" s="17" t="str">
        <f>IF(B430="","",INDEX('01_Rohdaten'!B430:D430,'02_Eingaben'!$C$13))</f>
        <v/>
      </c>
      <c r="D430" s="17" t="str">
        <f>IF(C430="","",C430*'02_Eingaben'!$C$15)</f>
        <v/>
      </c>
      <c r="E430" s="17" t="str">
        <f>IF(D430="","",D430*'02_Eingaben'!$C$8)</f>
        <v/>
      </c>
      <c r="F430" s="17" t="str">
        <f>IF(E430="","",AVERAGE(INDEX($E$2:$E$3001,MAX(1,ROW()-1-'02_Eingaben'!$C$17)):INDEX($E$2:$E$3001,MIN('02_Eingaben'!$C$21,ROW()-1+'02_Eingaben'!$C$17))))</f>
        <v/>
      </c>
      <c r="G430" s="17" t="str">
        <f>IF(F430="","",F430-'02_Eingaben'!$C$10)</f>
        <v/>
      </c>
      <c r="H430" t="str">
        <f>IF(F430="","",IF(F430&lt;'02_Eingaben'!$C$18*'02_Eingaben'!$C$10,1,0))</f>
        <v/>
      </c>
      <c r="I430" s="17" t="str">
        <f t="shared" si="6"/>
        <v/>
      </c>
      <c r="J430" s="17" t="str">
        <f>IF(B430="","",IF(B429&lt;'02_Eingaben'!$C$36,0,J429+I429/'02_Eingaben'!$C$8))</f>
        <v/>
      </c>
    </row>
    <row r="431" spans="1:10" x14ac:dyDescent="0.25">
      <c r="A431" t="str">
        <f>IF('01_Rohdaten'!A431="","",ROW()-1)</f>
        <v/>
      </c>
      <c r="B431" s="17" t="str">
        <f>IF('01_Rohdaten'!A431="","",'01_Rohdaten'!A431)</f>
        <v/>
      </c>
      <c r="C431" s="17" t="str">
        <f>IF(B431="","",INDEX('01_Rohdaten'!B431:D431,'02_Eingaben'!$C$13))</f>
        <v/>
      </c>
      <c r="D431" s="17" t="str">
        <f>IF(C431="","",C431*'02_Eingaben'!$C$15)</f>
        <v/>
      </c>
      <c r="E431" s="17" t="str">
        <f>IF(D431="","",D431*'02_Eingaben'!$C$8)</f>
        <v/>
      </c>
      <c r="F431" s="17" t="str">
        <f>IF(E431="","",AVERAGE(INDEX($E$2:$E$3001,MAX(1,ROW()-1-'02_Eingaben'!$C$17)):INDEX($E$2:$E$3001,MIN('02_Eingaben'!$C$21,ROW()-1+'02_Eingaben'!$C$17))))</f>
        <v/>
      </c>
      <c r="G431" s="17" t="str">
        <f>IF(F431="","",F431-'02_Eingaben'!$C$10)</f>
        <v/>
      </c>
      <c r="H431" t="str">
        <f>IF(F431="","",IF(F431&lt;'02_Eingaben'!$C$18*'02_Eingaben'!$C$10,1,0))</f>
        <v/>
      </c>
      <c r="I431" s="17" t="str">
        <f t="shared" si="6"/>
        <v/>
      </c>
      <c r="J431" s="17" t="str">
        <f>IF(B431="","",IF(B430&lt;'02_Eingaben'!$C$36,0,J430+I430/'02_Eingaben'!$C$8))</f>
        <v/>
      </c>
    </row>
    <row r="432" spans="1:10" x14ac:dyDescent="0.25">
      <c r="A432" t="str">
        <f>IF('01_Rohdaten'!A432="","",ROW()-1)</f>
        <v/>
      </c>
      <c r="B432" s="17" t="str">
        <f>IF('01_Rohdaten'!A432="","",'01_Rohdaten'!A432)</f>
        <v/>
      </c>
      <c r="C432" s="17" t="str">
        <f>IF(B432="","",INDEX('01_Rohdaten'!B432:D432,'02_Eingaben'!$C$13))</f>
        <v/>
      </c>
      <c r="D432" s="17" t="str">
        <f>IF(C432="","",C432*'02_Eingaben'!$C$15)</f>
        <v/>
      </c>
      <c r="E432" s="17" t="str">
        <f>IF(D432="","",D432*'02_Eingaben'!$C$8)</f>
        <v/>
      </c>
      <c r="F432" s="17" t="str">
        <f>IF(E432="","",AVERAGE(INDEX($E$2:$E$3001,MAX(1,ROW()-1-'02_Eingaben'!$C$17)):INDEX($E$2:$E$3001,MIN('02_Eingaben'!$C$21,ROW()-1+'02_Eingaben'!$C$17))))</f>
        <v/>
      </c>
      <c r="G432" s="17" t="str">
        <f>IF(F432="","",F432-'02_Eingaben'!$C$10)</f>
        <v/>
      </c>
      <c r="H432" t="str">
        <f>IF(F432="","",IF(F432&lt;'02_Eingaben'!$C$18*'02_Eingaben'!$C$10,1,0))</f>
        <v/>
      </c>
      <c r="I432" s="17" t="str">
        <f t="shared" si="6"/>
        <v/>
      </c>
      <c r="J432" s="17" t="str">
        <f>IF(B432="","",IF(B431&lt;'02_Eingaben'!$C$36,0,J431+I431/'02_Eingaben'!$C$8))</f>
        <v/>
      </c>
    </row>
    <row r="433" spans="1:10" x14ac:dyDescent="0.25">
      <c r="A433" t="str">
        <f>IF('01_Rohdaten'!A433="","",ROW()-1)</f>
        <v/>
      </c>
      <c r="B433" s="17" t="str">
        <f>IF('01_Rohdaten'!A433="","",'01_Rohdaten'!A433)</f>
        <v/>
      </c>
      <c r="C433" s="17" t="str">
        <f>IF(B433="","",INDEX('01_Rohdaten'!B433:D433,'02_Eingaben'!$C$13))</f>
        <v/>
      </c>
      <c r="D433" s="17" t="str">
        <f>IF(C433="","",C433*'02_Eingaben'!$C$15)</f>
        <v/>
      </c>
      <c r="E433" s="17" t="str">
        <f>IF(D433="","",D433*'02_Eingaben'!$C$8)</f>
        <v/>
      </c>
      <c r="F433" s="17" t="str">
        <f>IF(E433="","",AVERAGE(INDEX($E$2:$E$3001,MAX(1,ROW()-1-'02_Eingaben'!$C$17)):INDEX($E$2:$E$3001,MIN('02_Eingaben'!$C$21,ROW()-1+'02_Eingaben'!$C$17))))</f>
        <v/>
      </c>
      <c r="G433" s="17" t="str">
        <f>IF(F433="","",F433-'02_Eingaben'!$C$10)</f>
        <v/>
      </c>
      <c r="H433" t="str">
        <f>IF(F433="","",IF(F433&lt;'02_Eingaben'!$C$18*'02_Eingaben'!$C$10,1,0))</f>
        <v/>
      </c>
      <c r="I433" s="17" t="str">
        <f t="shared" si="6"/>
        <v/>
      </c>
      <c r="J433" s="17" t="str">
        <f>IF(B433="","",IF(B432&lt;'02_Eingaben'!$C$36,0,J432+I432/'02_Eingaben'!$C$8))</f>
        <v/>
      </c>
    </row>
    <row r="434" spans="1:10" x14ac:dyDescent="0.25">
      <c r="A434" t="str">
        <f>IF('01_Rohdaten'!A434="","",ROW()-1)</f>
        <v/>
      </c>
      <c r="B434" s="17" t="str">
        <f>IF('01_Rohdaten'!A434="","",'01_Rohdaten'!A434)</f>
        <v/>
      </c>
      <c r="C434" s="17" t="str">
        <f>IF(B434="","",INDEX('01_Rohdaten'!B434:D434,'02_Eingaben'!$C$13))</f>
        <v/>
      </c>
      <c r="D434" s="17" t="str">
        <f>IF(C434="","",C434*'02_Eingaben'!$C$15)</f>
        <v/>
      </c>
      <c r="E434" s="17" t="str">
        <f>IF(D434="","",D434*'02_Eingaben'!$C$8)</f>
        <v/>
      </c>
      <c r="F434" s="17" t="str">
        <f>IF(E434="","",AVERAGE(INDEX($E$2:$E$3001,MAX(1,ROW()-1-'02_Eingaben'!$C$17)):INDEX($E$2:$E$3001,MIN('02_Eingaben'!$C$21,ROW()-1+'02_Eingaben'!$C$17))))</f>
        <v/>
      </c>
      <c r="G434" s="17" t="str">
        <f>IF(F434="","",F434-'02_Eingaben'!$C$10)</f>
        <v/>
      </c>
      <c r="H434" t="str">
        <f>IF(F434="","",IF(F434&lt;'02_Eingaben'!$C$18*'02_Eingaben'!$C$10,1,0))</f>
        <v/>
      </c>
      <c r="I434" s="17" t="str">
        <f t="shared" si="6"/>
        <v/>
      </c>
      <c r="J434" s="17" t="str">
        <f>IF(B434="","",IF(B433&lt;'02_Eingaben'!$C$36,0,J433+I433/'02_Eingaben'!$C$8))</f>
        <v/>
      </c>
    </row>
    <row r="435" spans="1:10" x14ac:dyDescent="0.25">
      <c r="A435" t="str">
        <f>IF('01_Rohdaten'!A435="","",ROW()-1)</f>
        <v/>
      </c>
      <c r="B435" s="17" t="str">
        <f>IF('01_Rohdaten'!A435="","",'01_Rohdaten'!A435)</f>
        <v/>
      </c>
      <c r="C435" s="17" t="str">
        <f>IF(B435="","",INDEX('01_Rohdaten'!B435:D435,'02_Eingaben'!$C$13))</f>
        <v/>
      </c>
      <c r="D435" s="17" t="str">
        <f>IF(C435="","",C435*'02_Eingaben'!$C$15)</f>
        <v/>
      </c>
      <c r="E435" s="17" t="str">
        <f>IF(D435="","",D435*'02_Eingaben'!$C$8)</f>
        <v/>
      </c>
      <c r="F435" s="17" t="str">
        <f>IF(E435="","",AVERAGE(INDEX($E$2:$E$3001,MAX(1,ROW()-1-'02_Eingaben'!$C$17)):INDEX($E$2:$E$3001,MIN('02_Eingaben'!$C$21,ROW()-1+'02_Eingaben'!$C$17))))</f>
        <v/>
      </c>
      <c r="G435" s="17" t="str">
        <f>IF(F435="","",F435-'02_Eingaben'!$C$10)</f>
        <v/>
      </c>
      <c r="H435" t="str">
        <f>IF(F435="","",IF(F435&lt;'02_Eingaben'!$C$18*'02_Eingaben'!$C$10,1,0))</f>
        <v/>
      </c>
      <c r="I435" s="17" t="str">
        <f t="shared" si="6"/>
        <v/>
      </c>
      <c r="J435" s="17" t="str">
        <f>IF(B435="","",IF(B434&lt;'02_Eingaben'!$C$36,0,J434+I434/'02_Eingaben'!$C$8))</f>
        <v/>
      </c>
    </row>
    <row r="436" spans="1:10" x14ac:dyDescent="0.25">
      <c r="A436" t="str">
        <f>IF('01_Rohdaten'!A436="","",ROW()-1)</f>
        <v/>
      </c>
      <c r="B436" s="17" t="str">
        <f>IF('01_Rohdaten'!A436="","",'01_Rohdaten'!A436)</f>
        <v/>
      </c>
      <c r="C436" s="17" t="str">
        <f>IF(B436="","",INDEX('01_Rohdaten'!B436:D436,'02_Eingaben'!$C$13))</f>
        <v/>
      </c>
      <c r="D436" s="17" t="str">
        <f>IF(C436="","",C436*'02_Eingaben'!$C$15)</f>
        <v/>
      </c>
      <c r="E436" s="17" t="str">
        <f>IF(D436="","",D436*'02_Eingaben'!$C$8)</f>
        <v/>
      </c>
      <c r="F436" s="17" t="str">
        <f>IF(E436="","",AVERAGE(INDEX($E$2:$E$3001,MAX(1,ROW()-1-'02_Eingaben'!$C$17)):INDEX($E$2:$E$3001,MIN('02_Eingaben'!$C$21,ROW()-1+'02_Eingaben'!$C$17))))</f>
        <v/>
      </c>
      <c r="G436" s="17" t="str">
        <f>IF(F436="","",F436-'02_Eingaben'!$C$10)</f>
        <v/>
      </c>
      <c r="H436" t="str">
        <f>IF(F436="","",IF(F436&lt;'02_Eingaben'!$C$18*'02_Eingaben'!$C$10,1,0))</f>
        <v/>
      </c>
      <c r="I436" s="17" t="str">
        <f t="shared" si="6"/>
        <v/>
      </c>
      <c r="J436" s="17" t="str">
        <f>IF(B436="","",IF(B435&lt;'02_Eingaben'!$C$36,0,J435+I435/'02_Eingaben'!$C$8))</f>
        <v/>
      </c>
    </row>
    <row r="437" spans="1:10" x14ac:dyDescent="0.25">
      <c r="A437" t="str">
        <f>IF('01_Rohdaten'!A437="","",ROW()-1)</f>
        <v/>
      </c>
      <c r="B437" s="17" t="str">
        <f>IF('01_Rohdaten'!A437="","",'01_Rohdaten'!A437)</f>
        <v/>
      </c>
      <c r="C437" s="17" t="str">
        <f>IF(B437="","",INDEX('01_Rohdaten'!B437:D437,'02_Eingaben'!$C$13))</f>
        <v/>
      </c>
      <c r="D437" s="17" t="str">
        <f>IF(C437="","",C437*'02_Eingaben'!$C$15)</f>
        <v/>
      </c>
      <c r="E437" s="17" t="str">
        <f>IF(D437="","",D437*'02_Eingaben'!$C$8)</f>
        <v/>
      </c>
      <c r="F437" s="17" t="str">
        <f>IF(E437="","",AVERAGE(INDEX($E$2:$E$3001,MAX(1,ROW()-1-'02_Eingaben'!$C$17)):INDEX($E$2:$E$3001,MIN('02_Eingaben'!$C$21,ROW()-1+'02_Eingaben'!$C$17))))</f>
        <v/>
      </c>
      <c r="G437" s="17" t="str">
        <f>IF(F437="","",F437-'02_Eingaben'!$C$10)</f>
        <v/>
      </c>
      <c r="H437" t="str">
        <f>IF(F437="","",IF(F437&lt;'02_Eingaben'!$C$18*'02_Eingaben'!$C$10,1,0))</f>
        <v/>
      </c>
      <c r="I437" s="17" t="str">
        <f t="shared" si="6"/>
        <v/>
      </c>
      <c r="J437" s="17" t="str">
        <f>IF(B437="","",IF(B436&lt;'02_Eingaben'!$C$36,0,J436+I436/'02_Eingaben'!$C$8))</f>
        <v/>
      </c>
    </row>
    <row r="438" spans="1:10" x14ac:dyDescent="0.25">
      <c r="A438" t="str">
        <f>IF('01_Rohdaten'!A438="","",ROW()-1)</f>
        <v/>
      </c>
      <c r="B438" s="17" t="str">
        <f>IF('01_Rohdaten'!A438="","",'01_Rohdaten'!A438)</f>
        <v/>
      </c>
      <c r="C438" s="17" t="str">
        <f>IF(B438="","",INDEX('01_Rohdaten'!B438:D438,'02_Eingaben'!$C$13))</f>
        <v/>
      </c>
      <c r="D438" s="17" t="str">
        <f>IF(C438="","",C438*'02_Eingaben'!$C$15)</f>
        <v/>
      </c>
      <c r="E438" s="17" t="str">
        <f>IF(D438="","",D438*'02_Eingaben'!$C$8)</f>
        <v/>
      </c>
      <c r="F438" s="17" t="str">
        <f>IF(E438="","",AVERAGE(INDEX($E$2:$E$3001,MAX(1,ROW()-1-'02_Eingaben'!$C$17)):INDEX($E$2:$E$3001,MIN('02_Eingaben'!$C$21,ROW()-1+'02_Eingaben'!$C$17))))</f>
        <v/>
      </c>
      <c r="G438" s="17" t="str">
        <f>IF(F438="","",F438-'02_Eingaben'!$C$10)</f>
        <v/>
      </c>
      <c r="H438" t="str">
        <f>IF(F438="","",IF(F438&lt;'02_Eingaben'!$C$18*'02_Eingaben'!$C$10,1,0))</f>
        <v/>
      </c>
      <c r="I438" s="17" t="str">
        <f t="shared" si="6"/>
        <v/>
      </c>
      <c r="J438" s="17" t="str">
        <f>IF(B438="","",IF(B437&lt;'02_Eingaben'!$C$36,0,J437+I437/'02_Eingaben'!$C$8))</f>
        <v/>
      </c>
    </row>
    <row r="439" spans="1:10" x14ac:dyDescent="0.25">
      <c r="A439" t="str">
        <f>IF('01_Rohdaten'!A439="","",ROW()-1)</f>
        <v/>
      </c>
      <c r="B439" s="17" t="str">
        <f>IF('01_Rohdaten'!A439="","",'01_Rohdaten'!A439)</f>
        <v/>
      </c>
      <c r="C439" s="17" t="str">
        <f>IF(B439="","",INDEX('01_Rohdaten'!B439:D439,'02_Eingaben'!$C$13))</f>
        <v/>
      </c>
      <c r="D439" s="17" t="str">
        <f>IF(C439="","",C439*'02_Eingaben'!$C$15)</f>
        <v/>
      </c>
      <c r="E439" s="17" t="str">
        <f>IF(D439="","",D439*'02_Eingaben'!$C$8)</f>
        <v/>
      </c>
      <c r="F439" s="17" t="str">
        <f>IF(E439="","",AVERAGE(INDEX($E$2:$E$3001,MAX(1,ROW()-1-'02_Eingaben'!$C$17)):INDEX($E$2:$E$3001,MIN('02_Eingaben'!$C$21,ROW()-1+'02_Eingaben'!$C$17))))</f>
        <v/>
      </c>
      <c r="G439" s="17" t="str">
        <f>IF(F439="","",F439-'02_Eingaben'!$C$10)</f>
        <v/>
      </c>
      <c r="H439" t="str">
        <f>IF(F439="","",IF(F439&lt;'02_Eingaben'!$C$18*'02_Eingaben'!$C$10,1,0))</f>
        <v/>
      </c>
      <c r="I439" s="17" t="str">
        <f t="shared" si="6"/>
        <v/>
      </c>
      <c r="J439" s="17" t="str">
        <f>IF(B439="","",IF(B438&lt;'02_Eingaben'!$C$36,0,J438+I438/'02_Eingaben'!$C$8))</f>
        <v/>
      </c>
    </row>
    <row r="440" spans="1:10" x14ac:dyDescent="0.25">
      <c r="A440" t="str">
        <f>IF('01_Rohdaten'!A440="","",ROW()-1)</f>
        <v/>
      </c>
      <c r="B440" s="17" t="str">
        <f>IF('01_Rohdaten'!A440="","",'01_Rohdaten'!A440)</f>
        <v/>
      </c>
      <c r="C440" s="17" t="str">
        <f>IF(B440="","",INDEX('01_Rohdaten'!B440:D440,'02_Eingaben'!$C$13))</f>
        <v/>
      </c>
      <c r="D440" s="17" t="str">
        <f>IF(C440="","",C440*'02_Eingaben'!$C$15)</f>
        <v/>
      </c>
      <c r="E440" s="17" t="str">
        <f>IF(D440="","",D440*'02_Eingaben'!$C$8)</f>
        <v/>
      </c>
      <c r="F440" s="17" t="str">
        <f>IF(E440="","",AVERAGE(INDEX($E$2:$E$3001,MAX(1,ROW()-1-'02_Eingaben'!$C$17)):INDEX($E$2:$E$3001,MIN('02_Eingaben'!$C$21,ROW()-1+'02_Eingaben'!$C$17))))</f>
        <v/>
      </c>
      <c r="G440" s="17" t="str">
        <f>IF(F440="","",F440-'02_Eingaben'!$C$10)</f>
        <v/>
      </c>
      <c r="H440" t="str">
        <f>IF(F440="","",IF(F440&lt;'02_Eingaben'!$C$18*'02_Eingaben'!$C$10,1,0))</f>
        <v/>
      </c>
      <c r="I440" s="17" t="str">
        <f t="shared" si="6"/>
        <v/>
      </c>
      <c r="J440" s="17" t="str">
        <f>IF(B440="","",IF(B439&lt;'02_Eingaben'!$C$36,0,J439+I439/'02_Eingaben'!$C$8))</f>
        <v/>
      </c>
    </row>
    <row r="441" spans="1:10" x14ac:dyDescent="0.25">
      <c r="A441" t="str">
        <f>IF('01_Rohdaten'!A441="","",ROW()-1)</f>
        <v/>
      </c>
      <c r="B441" s="17" t="str">
        <f>IF('01_Rohdaten'!A441="","",'01_Rohdaten'!A441)</f>
        <v/>
      </c>
      <c r="C441" s="17" t="str">
        <f>IF(B441="","",INDEX('01_Rohdaten'!B441:D441,'02_Eingaben'!$C$13))</f>
        <v/>
      </c>
      <c r="D441" s="17" t="str">
        <f>IF(C441="","",C441*'02_Eingaben'!$C$15)</f>
        <v/>
      </c>
      <c r="E441" s="17" t="str">
        <f>IF(D441="","",D441*'02_Eingaben'!$C$8)</f>
        <v/>
      </c>
      <c r="F441" s="17" t="str">
        <f>IF(E441="","",AVERAGE(INDEX($E$2:$E$3001,MAX(1,ROW()-1-'02_Eingaben'!$C$17)):INDEX($E$2:$E$3001,MIN('02_Eingaben'!$C$21,ROW()-1+'02_Eingaben'!$C$17))))</f>
        <v/>
      </c>
      <c r="G441" s="17" t="str">
        <f>IF(F441="","",F441-'02_Eingaben'!$C$10)</f>
        <v/>
      </c>
      <c r="H441" t="str">
        <f>IF(F441="","",IF(F441&lt;'02_Eingaben'!$C$18*'02_Eingaben'!$C$10,1,0))</f>
        <v/>
      </c>
      <c r="I441" s="17" t="str">
        <f t="shared" si="6"/>
        <v/>
      </c>
      <c r="J441" s="17" t="str">
        <f>IF(B441="","",IF(B440&lt;'02_Eingaben'!$C$36,0,J440+I440/'02_Eingaben'!$C$8))</f>
        <v/>
      </c>
    </row>
    <row r="442" spans="1:10" x14ac:dyDescent="0.25">
      <c r="A442" t="str">
        <f>IF('01_Rohdaten'!A442="","",ROW()-1)</f>
        <v/>
      </c>
      <c r="B442" s="17" t="str">
        <f>IF('01_Rohdaten'!A442="","",'01_Rohdaten'!A442)</f>
        <v/>
      </c>
      <c r="C442" s="17" t="str">
        <f>IF(B442="","",INDEX('01_Rohdaten'!B442:D442,'02_Eingaben'!$C$13))</f>
        <v/>
      </c>
      <c r="D442" s="17" t="str">
        <f>IF(C442="","",C442*'02_Eingaben'!$C$15)</f>
        <v/>
      </c>
      <c r="E442" s="17" t="str">
        <f>IF(D442="","",D442*'02_Eingaben'!$C$8)</f>
        <v/>
      </c>
      <c r="F442" s="17" t="str">
        <f>IF(E442="","",AVERAGE(INDEX($E$2:$E$3001,MAX(1,ROW()-1-'02_Eingaben'!$C$17)):INDEX($E$2:$E$3001,MIN('02_Eingaben'!$C$21,ROW()-1+'02_Eingaben'!$C$17))))</f>
        <v/>
      </c>
      <c r="G442" s="17" t="str">
        <f>IF(F442="","",F442-'02_Eingaben'!$C$10)</f>
        <v/>
      </c>
      <c r="H442" t="str">
        <f>IF(F442="","",IF(F442&lt;'02_Eingaben'!$C$18*'02_Eingaben'!$C$10,1,0))</f>
        <v/>
      </c>
      <c r="I442" s="17" t="str">
        <f t="shared" si="6"/>
        <v/>
      </c>
      <c r="J442" s="17" t="str">
        <f>IF(B442="","",IF(B441&lt;'02_Eingaben'!$C$36,0,J441+I441/'02_Eingaben'!$C$8))</f>
        <v/>
      </c>
    </row>
    <row r="443" spans="1:10" x14ac:dyDescent="0.25">
      <c r="A443" t="str">
        <f>IF('01_Rohdaten'!A443="","",ROW()-1)</f>
        <v/>
      </c>
      <c r="B443" s="17" t="str">
        <f>IF('01_Rohdaten'!A443="","",'01_Rohdaten'!A443)</f>
        <v/>
      </c>
      <c r="C443" s="17" t="str">
        <f>IF(B443="","",INDEX('01_Rohdaten'!B443:D443,'02_Eingaben'!$C$13))</f>
        <v/>
      </c>
      <c r="D443" s="17" t="str">
        <f>IF(C443="","",C443*'02_Eingaben'!$C$15)</f>
        <v/>
      </c>
      <c r="E443" s="17" t="str">
        <f>IF(D443="","",D443*'02_Eingaben'!$C$8)</f>
        <v/>
      </c>
      <c r="F443" s="17" t="str">
        <f>IF(E443="","",AVERAGE(INDEX($E$2:$E$3001,MAX(1,ROW()-1-'02_Eingaben'!$C$17)):INDEX($E$2:$E$3001,MIN('02_Eingaben'!$C$21,ROW()-1+'02_Eingaben'!$C$17))))</f>
        <v/>
      </c>
      <c r="G443" s="17" t="str">
        <f>IF(F443="","",F443-'02_Eingaben'!$C$10)</f>
        <v/>
      </c>
      <c r="H443" t="str">
        <f>IF(F443="","",IF(F443&lt;'02_Eingaben'!$C$18*'02_Eingaben'!$C$10,1,0))</f>
        <v/>
      </c>
      <c r="I443" s="17" t="str">
        <f t="shared" si="6"/>
        <v/>
      </c>
      <c r="J443" s="17" t="str">
        <f>IF(B443="","",IF(B442&lt;'02_Eingaben'!$C$36,0,J442+I442/'02_Eingaben'!$C$8))</f>
        <v/>
      </c>
    </row>
    <row r="444" spans="1:10" x14ac:dyDescent="0.25">
      <c r="A444" t="str">
        <f>IF('01_Rohdaten'!A444="","",ROW()-1)</f>
        <v/>
      </c>
      <c r="B444" s="17" t="str">
        <f>IF('01_Rohdaten'!A444="","",'01_Rohdaten'!A444)</f>
        <v/>
      </c>
      <c r="C444" s="17" t="str">
        <f>IF(B444="","",INDEX('01_Rohdaten'!B444:D444,'02_Eingaben'!$C$13))</f>
        <v/>
      </c>
      <c r="D444" s="17" t="str">
        <f>IF(C444="","",C444*'02_Eingaben'!$C$15)</f>
        <v/>
      </c>
      <c r="E444" s="17" t="str">
        <f>IF(D444="","",D444*'02_Eingaben'!$C$8)</f>
        <v/>
      </c>
      <c r="F444" s="17" t="str">
        <f>IF(E444="","",AVERAGE(INDEX($E$2:$E$3001,MAX(1,ROW()-1-'02_Eingaben'!$C$17)):INDEX($E$2:$E$3001,MIN('02_Eingaben'!$C$21,ROW()-1+'02_Eingaben'!$C$17))))</f>
        <v/>
      </c>
      <c r="G444" s="17" t="str">
        <f>IF(F444="","",F444-'02_Eingaben'!$C$10)</f>
        <v/>
      </c>
      <c r="H444" t="str">
        <f>IF(F444="","",IF(F444&lt;'02_Eingaben'!$C$18*'02_Eingaben'!$C$10,1,0))</f>
        <v/>
      </c>
      <c r="I444" s="17" t="str">
        <f t="shared" si="6"/>
        <v/>
      </c>
      <c r="J444" s="17" t="str">
        <f>IF(B444="","",IF(B443&lt;'02_Eingaben'!$C$36,0,J443+I443/'02_Eingaben'!$C$8))</f>
        <v/>
      </c>
    </row>
    <row r="445" spans="1:10" x14ac:dyDescent="0.25">
      <c r="A445" t="str">
        <f>IF('01_Rohdaten'!A445="","",ROW()-1)</f>
        <v/>
      </c>
      <c r="B445" s="17" t="str">
        <f>IF('01_Rohdaten'!A445="","",'01_Rohdaten'!A445)</f>
        <v/>
      </c>
      <c r="C445" s="17" t="str">
        <f>IF(B445="","",INDEX('01_Rohdaten'!B445:D445,'02_Eingaben'!$C$13))</f>
        <v/>
      </c>
      <c r="D445" s="17" t="str">
        <f>IF(C445="","",C445*'02_Eingaben'!$C$15)</f>
        <v/>
      </c>
      <c r="E445" s="17" t="str">
        <f>IF(D445="","",D445*'02_Eingaben'!$C$8)</f>
        <v/>
      </c>
      <c r="F445" s="17" t="str">
        <f>IF(E445="","",AVERAGE(INDEX($E$2:$E$3001,MAX(1,ROW()-1-'02_Eingaben'!$C$17)):INDEX($E$2:$E$3001,MIN('02_Eingaben'!$C$21,ROW()-1+'02_Eingaben'!$C$17))))</f>
        <v/>
      </c>
      <c r="G445" s="17" t="str">
        <f>IF(F445="","",F445-'02_Eingaben'!$C$10)</f>
        <v/>
      </c>
      <c r="H445" t="str">
        <f>IF(F445="","",IF(F445&lt;'02_Eingaben'!$C$18*'02_Eingaben'!$C$10,1,0))</f>
        <v/>
      </c>
      <c r="I445" s="17" t="str">
        <f t="shared" si="6"/>
        <v/>
      </c>
      <c r="J445" s="17" t="str">
        <f>IF(B445="","",IF(B444&lt;'02_Eingaben'!$C$36,0,J444+I444/'02_Eingaben'!$C$8))</f>
        <v/>
      </c>
    </row>
    <row r="446" spans="1:10" x14ac:dyDescent="0.25">
      <c r="A446" t="str">
        <f>IF('01_Rohdaten'!A446="","",ROW()-1)</f>
        <v/>
      </c>
      <c r="B446" s="17" t="str">
        <f>IF('01_Rohdaten'!A446="","",'01_Rohdaten'!A446)</f>
        <v/>
      </c>
      <c r="C446" s="17" t="str">
        <f>IF(B446="","",INDEX('01_Rohdaten'!B446:D446,'02_Eingaben'!$C$13))</f>
        <v/>
      </c>
      <c r="D446" s="17" t="str">
        <f>IF(C446="","",C446*'02_Eingaben'!$C$15)</f>
        <v/>
      </c>
      <c r="E446" s="17" t="str">
        <f>IF(D446="","",D446*'02_Eingaben'!$C$8)</f>
        <v/>
      </c>
      <c r="F446" s="17" t="str">
        <f>IF(E446="","",AVERAGE(INDEX($E$2:$E$3001,MAX(1,ROW()-1-'02_Eingaben'!$C$17)):INDEX($E$2:$E$3001,MIN('02_Eingaben'!$C$21,ROW()-1+'02_Eingaben'!$C$17))))</f>
        <v/>
      </c>
      <c r="G446" s="17" t="str">
        <f>IF(F446="","",F446-'02_Eingaben'!$C$10)</f>
        <v/>
      </c>
      <c r="H446" t="str">
        <f>IF(F446="","",IF(F446&lt;'02_Eingaben'!$C$18*'02_Eingaben'!$C$10,1,0))</f>
        <v/>
      </c>
      <c r="I446" s="17" t="str">
        <f t="shared" si="6"/>
        <v/>
      </c>
      <c r="J446" s="17" t="str">
        <f>IF(B446="","",IF(B445&lt;'02_Eingaben'!$C$36,0,J445+I445/'02_Eingaben'!$C$8))</f>
        <v/>
      </c>
    </row>
    <row r="447" spans="1:10" x14ac:dyDescent="0.25">
      <c r="A447" t="str">
        <f>IF('01_Rohdaten'!A447="","",ROW()-1)</f>
        <v/>
      </c>
      <c r="B447" s="17" t="str">
        <f>IF('01_Rohdaten'!A447="","",'01_Rohdaten'!A447)</f>
        <v/>
      </c>
      <c r="C447" s="17" t="str">
        <f>IF(B447="","",INDEX('01_Rohdaten'!B447:D447,'02_Eingaben'!$C$13))</f>
        <v/>
      </c>
      <c r="D447" s="17" t="str">
        <f>IF(C447="","",C447*'02_Eingaben'!$C$15)</f>
        <v/>
      </c>
      <c r="E447" s="17" t="str">
        <f>IF(D447="","",D447*'02_Eingaben'!$C$8)</f>
        <v/>
      </c>
      <c r="F447" s="17" t="str">
        <f>IF(E447="","",AVERAGE(INDEX($E$2:$E$3001,MAX(1,ROW()-1-'02_Eingaben'!$C$17)):INDEX($E$2:$E$3001,MIN('02_Eingaben'!$C$21,ROW()-1+'02_Eingaben'!$C$17))))</f>
        <v/>
      </c>
      <c r="G447" s="17" t="str">
        <f>IF(F447="","",F447-'02_Eingaben'!$C$10)</f>
        <v/>
      </c>
      <c r="H447" t="str">
        <f>IF(F447="","",IF(F447&lt;'02_Eingaben'!$C$18*'02_Eingaben'!$C$10,1,0))</f>
        <v/>
      </c>
      <c r="I447" s="17" t="str">
        <f t="shared" si="6"/>
        <v/>
      </c>
      <c r="J447" s="17" t="str">
        <f>IF(B447="","",IF(B446&lt;'02_Eingaben'!$C$36,0,J446+I446/'02_Eingaben'!$C$8))</f>
        <v/>
      </c>
    </row>
    <row r="448" spans="1:10" x14ac:dyDescent="0.25">
      <c r="A448" t="str">
        <f>IF('01_Rohdaten'!A448="","",ROW()-1)</f>
        <v/>
      </c>
      <c r="B448" s="17" t="str">
        <f>IF('01_Rohdaten'!A448="","",'01_Rohdaten'!A448)</f>
        <v/>
      </c>
      <c r="C448" s="17" t="str">
        <f>IF(B448="","",INDEX('01_Rohdaten'!B448:D448,'02_Eingaben'!$C$13))</f>
        <v/>
      </c>
      <c r="D448" s="17" t="str">
        <f>IF(C448="","",C448*'02_Eingaben'!$C$15)</f>
        <v/>
      </c>
      <c r="E448" s="17" t="str">
        <f>IF(D448="","",D448*'02_Eingaben'!$C$8)</f>
        <v/>
      </c>
      <c r="F448" s="17" t="str">
        <f>IF(E448="","",AVERAGE(INDEX($E$2:$E$3001,MAX(1,ROW()-1-'02_Eingaben'!$C$17)):INDEX($E$2:$E$3001,MIN('02_Eingaben'!$C$21,ROW()-1+'02_Eingaben'!$C$17))))</f>
        <v/>
      </c>
      <c r="G448" s="17" t="str">
        <f>IF(F448="","",F448-'02_Eingaben'!$C$10)</f>
        <v/>
      </c>
      <c r="H448" t="str">
        <f>IF(F448="","",IF(F448&lt;'02_Eingaben'!$C$18*'02_Eingaben'!$C$10,1,0))</f>
        <v/>
      </c>
      <c r="I448" s="17" t="str">
        <f t="shared" si="6"/>
        <v/>
      </c>
      <c r="J448" s="17" t="str">
        <f>IF(B448="","",IF(B447&lt;'02_Eingaben'!$C$36,0,J447+I447/'02_Eingaben'!$C$8))</f>
        <v/>
      </c>
    </row>
    <row r="449" spans="1:10" x14ac:dyDescent="0.25">
      <c r="A449" t="str">
        <f>IF('01_Rohdaten'!A449="","",ROW()-1)</f>
        <v/>
      </c>
      <c r="B449" s="17" t="str">
        <f>IF('01_Rohdaten'!A449="","",'01_Rohdaten'!A449)</f>
        <v/>
      </c>
      <c r="C449" s="17" t="str">
        <f>IF(B449="","",INDEX('01_Rohdaten'!B449:D449,'02_Eingaben'!$C$13))</f>
        <v/>
      </c>
      <c r="D449" s="17" t="str">
        <f>IF(C449="","",C449*'02_Eingaben'!$C$15)</f>
        <v/>
      </c>
      <c r="E449" s="17" t="str">
        <f>IF(D449="","",D449*'02_Eingaben'!$C$8)</f>
        <v/>
      </c>
      <c r="F449" s="17" t="str">
        <f>IF(E449="","",AVERAGE(INDEX($E$2:$E$3001,MAX(1,ROW()-1-'02_Eingaben'!$C$17)):INDEX($E$2:$E$3001,MIN('02_Eingaben'!$C$21,ROW()-1+'02_Eingaben'!$C$17))))</f>
        <v/>
      </c>
      <c r="G449" s="17" t="str">
        <f>IF(F449="","",F449-'02_Eingaben'!$C$10)</f>
        <v/>
      </c>
      <c r="H449" t="str">
        <f>IF(F449="","",IF(F449&lt;'02_Eingaben'!$C$18*'02_Eingaben'!$C$10,1,0))</f>
        <v/>
      </c>
      <c r="I449" s="17" t="str">
        <f t="shared" si="6"/>
        <v/>
      </c>
      <c r="J449" s="17" t="str">
        <f>IF(B449="","",IF(B448&lt;'02_Eingaben'!$C$36,0,J448+I448/'02_Eingaben'!$C$8))</f>
        <v/>
      </c>
    </row>
    <row r="450" spans="1:10" x14ac:dyDescent="0.25">
      <c r="A450" t="str">
        <f>IF('01_Rohdaten'!A450="","",ROW()-1)</f>
        <v/>
      </c>
      <c r="B450" s="17" t="str">
        <f>IF('01_Rohdaten'!A450="","",'01_Rohdaten'!A450)</f>
        <v/>
      </c>
      <c r="C450" s="17" t="str">
        <f>IF(B450="","",INDEX('01_Rohdaten'!B450:D450,'02_Eingaben'!$C$13))</f>
        <v/>
      </c>
      <c r="D450" s="17" t="str">
        <f>IF(C450="","",C450*'02_Eingaben'!$C$15)</f>
        <v/>
      </c>
      <c r="E450" s="17" t="str">
        <f>IF(D450="","",D450*'02_Eingaben'!$C$8)</f>
        <v/>
      </c>
      <c r="F450" s="17" t="str">
        <f>IF(E450="","",AVERAGE(INDEX($E$2:$E$3001,MAX(1,ROW()-1-'02_Eingaben'!$C$17)):INDEX($E$2:$E$3001,MIN('02_Eingaben'!$C$21,ROW()-1+'02_Eingaben'!$C$17))))</f>
        <v/>
      </c>
      <c r="G450" s="17" t="str">
        <f>IF(F450="","",F450-'02_Eingaben'!$C$10)</f>
        <v/>
      </c>
      <c r="H450" t="str">
        <f>IF(F450="","",IF(F450&lt;'02_Eingaben'!$C$18*'02_Eingaben'!$C$10,1,0))</f>
        <v/>
      </c>
      <c r="I450" s="17" t="str">
        <f t="shared" ref="I450:I513" si="7">IF(OR(G450="",G451=""),"",(G450+G451)/2*(B451-B450))</f>
        <v/>
      </c>
      <c r="J450" s="17" t="str">
        <f>IF(B450="","",IF(B449&lt;'02_Eingaben'!$C$36,0,J449+I449/'02_Eingaben'!$C$8))</f>
        <v/>
      </c>
    </row>
    <row r="451" spans="1:10" x14ac:dyDescent="0.25">
      <c r="A451" t="str">
        <f>IF('01_Rohdaten'!A451="","",ROW()-1)</f>
        <v/>
      </c>
      <c r="B451" s="17" t="str">
        <f>IF('01_Rohdaten'!A451="","",'01_Rohdaten'!A451)</f>
        <v/>
      </c>
      <c r="C451" s="17" t="str">
        <f>IF(B451="","",INDEX('01_Rohdaten'!B451:D451,'02_Eingaben'!$C$13))</f>
        <v/>
      </c>
      <c r="D451" s="17" t="str">
        <f>IF(C451="","",C451*'02_Eingaben'!$C$15)</f>
        <v/>
      </c>
      <c r="E451" s="17" t="str">
        <f>IF(D451="","",D451*'02_Eingaben'!$C$8)</f>
        <v/>
      </c>
      <c r="F451" s="17" t="str">
        <f>IF(E451="","",AVERAGE(INDEX($E$2:$E$3001,MAX(1,ROW()-1-'02_Eingaben'!$C$17)):INDEX($E$2:$E$3001,MIN('02_Eingaben'!$C$21,ROW()-1+'02_Eingaben'!$C$17))))</f>
        <v/>
      </c>
      <c r="G451" s="17" t="str">
        <f>IF(F451="","",F451-'02_Eingaben'!$C$10)</f>
        <v/>
      </c>
      <c r="H451" t="str">
        <f>IF(F451="","",IF(F451&lt;'02_Eingaben'!$C$18*'02_Eingaben'!$C$10,1,0))</f>
        <v/>
      </c>
      <c r="I451" s="17" t="str">
        <f t="shared" si="7"/>
        <v/>
      </c>
      <c r="J451" s="17" t="str">
        <f>IF(B451="","",IF(B450&lt;'02_Eingaben'!$C$36,0,J450+I450/'02_Eingaben'!$C$8))</f>
        <v/>
      </c>
    </row>
    <row r="452" spans="1:10" x14ac:dyDescent="0.25">
      <c r="A452" t="str">
        <f>IF('01_Rohdaten'!A452="","",ROW()-1)</f>
        <v/>
      </c>
      <c r="B452" s="17" t="str">
        <f>IF('01_Rohdaten'!A452="","",'01_Rohdaten'!A452)</f>
        <v/>
      </c>
      <c r="C452" s="17" t="str">
        <f>IF(B452="","",INDEX('01_Rohdaten'!B452:D452,'02_Eingaben'!$C$13))</f>
        <v/>
      </c>
      <c r="D452" s="17" t="str">
        <f>IF(C452="","",C452*'02_Eingaben'!$C$15)</f>
        <v/>
      </c>
      <c r="E452" s="17" t="str">
        <f>IF(D452="","",D452*'02_Eingaben'!$C$8)</f>
        <v/>
      </c>
      <c r="F452" s="17" t="str">
        <f>IF(E452="","",AVERAGE(INDEX($E$2:$E$3001,MAX(1,ROW()-1-'02_Eingaben'!$C$17)):INDEX($E$2:$E$3001,MIN('02_Eingaben'!$C$21,ROW()-1+'02_Eingaben'!$C$17))))</f>
        <v/>
      </c>
      <c r="G452" s="17" t="str">
        <f>IF(F452="","",F452-'02_Eingaben'!$C$10)</f>
        <v/>
      </c>
      <c r="H452" t="str">
        <f>IF(F452="","",IF(F452&lt;'02_Eingaben'!$C$18*'02_Eingaben'!$C$10,1,0))</f>
        <v/>
      </c>
      <c r="I452" s="17" t="str">
        <f t="shared" si="7"/>
        <v/>
      </c>
      <c r="J452" s="17" t="str">
        <f>IF(B452="","",IF(B451&lt;'02_Eingaben'!$C$36,0,J451+I451/'02_Eingaben'!$C$8))</f>
        <v/>
      </c>
    </row>
    <row r="453" spans="1:10" x14ac:dyDescent="0.25">
      <c r="A453" t="str">
        <f>IF('01_Rohdaten'!A453="","",ROW()-1)</f>
        <v/>
      </c>
      <c r="B453" s="17" t="str">
        <f>IF('01_Rohdaten'!A453="","",'01_Rohdaten'!A453)</f>
        <v/>
      </c>
      <c r="C453" s="17" t="str">
        <f>IF(B453="","",INDEX('01_Rohdaten'!B453:D453,'02_Eingaben'!$C$13))</f>
        <v/>
      </c>
      <c r="D453" s="17" t="str">
        <f>IF(C453="","",C453*'02_Eingaben'!$C$15)</f>
        <v/>
      </c>
      <c r="E453" s="17" t="str">
        <f>IF(D453="","",D453*'02_Eingaben'!$C$8)</f>
        <v/>
      </c>
      <c r="F453" s="17" t="str">
        <f>IF(E453="","",AVERAGE(INDEX($E$2:$E$3001,MAX(1,ROW()-1-'02_Eingaben'!$C$17)):INDEX($E$2:$E$3001,MIN('02_Eingaben'!$C$21,ROW()-1+'02_Eingaben'!$C$17))))</f>
        <v/>
      </c>
      <c r="G453" s="17" t="str">
        <f>IF(F453="","",F453-'02_Eingaben'!$C$10)</f>
        <v/>
      </c>
      <c r="H453" t="str">
        <f>IF(F453="","",IF(F453&lt;'02_Eingaben'!$C$18*'02_Eingaben'!$C$10,1,0))</f>
        <v/>
      </c>
      <c r="I453" s="17" t="str">
        <f t="shared" si="7"/>
        <v/>
      </c>
      <c r="J453" s="17" t="str">
        <f>IF(B453="","",IF(B452&lt;'02_Eingaben'!$C$36,0,J452+I452/'02_Eingaben'!$C$8))</f>
        <v/>
      </c>
    </row>
    <row r="454" spans="1:10" x14ac:dyDescent="0.25">
      <c r="A454" t="str">
        <f>IF('01_Rohdaten'!A454="","",ROW()-1)</f>
        <v/>
      </c>
      <c r="B454" s="17" t="str">
        <f>IF('01_Rohdaten'!A454="","",'01_Rohdaten'!A454)</f>
        <v/>
      </c>
      <c r="C454" s="17" t="str">
        <f>IF(B454="","",INDEX('01_Rohdaten'!B454:D454,'02_Eingaben'!$C$13))</f>
        <v/>
      </c>
      <c r="D454" s="17" t="str">
        <f>IF(C454="","",C454*'02_Eingaben'!$C$15)</f>
        <v/>
      </c>
      <c r="E454" s="17" t="str">
        <f>IF(D454="","",D454*'02_Eingaben'!$C$8)</f>
        <v/>
      </c>
      <c r="F454" s="17" t="str">
        <f>IF(E454="","",AVERAGE(INDEX($E$2:$E$3001,MAX(1,ROW()-1-'02_Eingaben'!$C$17)):INDEX($E$2:$E$3001,MIN('02_Eingaben'!$C$21,ROW()-1+'02_Eingaben'!$C$17))))</f>
        <v/>
      </c>
      <c r="G454" s="17" t="str">
        <f>IF(F454="","",F454-'02_Eingaben'!$C$10)</f>
        <v/>
      </c>
      <c r="H454" t="str">
        <f>IF(F454="","",IF(F454&lt;'02_Eingaben'!$C$18*'02_Eingaben'!$C$10,1,0))</f>
        <v/>
      </c>
      <c r="I454" s="17" t="str">
        <f t="shared" si="7"/>
        <v/>
      </c>
      <c r="J454" s="17" t="str">
        <f>IF(B454="","",IF(B453&lt;'02_Eingaben'!$C$36,0,J453+I453/'02_Eingaben'!$C$8))</f>
        <v/>
      </c>
    </row>
    <row r="455" spans="1:10" x14ac:dyDescent="0.25">
      <c r="A455" t="str">
        <f>IF('01_Rohdaten'!A455="","",ROW()-1)</f>
        <v/>
      </c>
      <c r="B455" s="17" t="str">
        <f>IF('01_Rohdaten'!A455="","",'01_Rohdaten'!A455)</f>
        <v/>
      </c>
      <c r="C455" s="17" t="str">
        <f>IF(B455="","",INDEX('01_Rohdaten'!B455:D455,'02_Eingaben'!$C$13))</f>
        <v/>
      </c>
      <c r="D455" s="17" t="str">
        <f>IF(C455="","",C455*'02_Eingaben'!$C$15)</f>
        <v/>
      </c>
      <c r="E455" s="17" t="str">
        <f>IF(D455="","",D455*'02_Eingaben'!$C$8)</f>
        <v/>
      </c>
      <c r="F455" s="17" t="str">
        <f>IF(E455="","",AVERAGE(INDEX($E$2:$E$3001,MAX(1,ROW()-1-'02_Eingaben'!$C$17)):INDEX($E$2:$E$3001,MIN('02_Eingaben'!$C$21,ROW()-1+'02_Eingaben'!$C$17))))</f>
        <v/>
      </c>
      <c r="G455" s="17" t="str">
        <f>IF(F455="","",F455-'02_Eingaben'!$C$10)</f>
        <v/>
      </c>
      <c r="H455" t="str">
        <f>IF(F455="","",IF(F455&lt;'02_Eingaben'!$C$18*'02_Eingaben'!$C$10,1,0))</f>
        <v/>
      </c>
      <c r="I455" s="17" t="str">
        <f t="shared" si="7"/>
        <v/>
      </c>
      <c r="J455" s="17" t="str">
        <f>IF(B455="","",IF(B454&lt;'02_Eingaben'!$C$36,0,J454+I454/'02_Eingaben'!$C$8))</f>
        <v/>
      </c>
    </row>
    <row r="456" spans="1:10" x14ac:dyDescent="0.25">
      <c r="A456" t="str">
        <f>IF('01_Rohdaten'!A456="","",ROW()-1)</f>
        <v/>
      </c>
      <c r="B456" s="17" t="str">
        <f>IF('01_Rohdaten'!A456="","",'01_Rohdaten'!A456)</f>
        <v/>
      </c>
      <c r="C456" s="17" t="str">
        <f>IF(B456="","",INDEX('01_Rohdaten'!B456:D456,'02_Eingaben'!$C$13))</f>
        <v/>
      </c>
      <c r="D456" s="17" t="str">
        <f>IF(C456="","",C456*'02_Eingaben'!$C$15)</f>
        <v/>
      </c>
      <c r="E456" s="17" t="str">
        <f>IF(D456="","",D456*'02_Eingaben'!$C$8)</f>
        <v/>
      </c>
      <c r="F456" s="17" t="str">
        <f>IF(E456="","",AVERAGE(INDEX($E$2:$E$3001,MAX(1,ROW()-1-'02_Eingaben'!$C$17)):INDEX($E$2:$E$3001,MIN('02_Eingaben'!$C$21,ROW()-1+'02_Eingaben'!$C$17))))</f>
        <v/>
      </c>
      <c r="G456" s="17" t="str">
        <f>IF(F456="","",F456-'02_Eingaben'!$C$10)</f>
        <v/>
      </c>
      <c r="H456" t="str">
        <f>IF(F456="","",IF(F456&lt;'02_Eingaben'!$C$18*'02_Eingaben'!$C$10,1,0))</f>
        <v/>
      </c>
      <c r="I456" s="17" t="str">
        <f t="shared" si="7"/>
        <v/>
      </c>
      <c r="J456" s="17" t="str">
        <f>IF(B456="","",IF(B455&lt;'02_Eingaben'!$C$36,0,J455+I455/'02_Eingaben'!$C$8))</f>
        <v/>
      </c>
    </row>
    <row r="457" spans="1:10" x14ac:dyDescent="0.25">
      <c r="A457" t="str">
        <f>IF('01_Rohdaten'!A457="","",ROW()-1)</f>
        <v/>
      </c>
      <c r="B457" s="17" t="str">
        <f>IF('01_Rohdaten'!A457="","",'01_Rohdaten'!A457)</f>
        <v/>
      </c>
      <c r="C457" s="17" t="str">
        <f>IF(B457="","",INDEX('01_Rohdaten'!B457:D457,'02_Eingaben'!$C$13))</f>
        <v/>
      </c>
      <c r="D457" s="17" t="str">
        <f>IF(C457="","",C457*'02_Eingaben'!$C$15)</f>
        <v/>
      </c>
      <c r="E457" s="17" t="str">
        <f>IF(D457="","",D457*'02_Eingaben'!$C$8)</f>
        <v/>
      </c>
      <c r="F457" s="17" t="str">
        <f>IF(E457="","",AVERAGE(INDEX($E$2:$E$3001,MAX(1,ROW()-1-'02_Eingaben'!$C$17)):INDEX($E$2:$E$3001,MIN('02_Eingaben'!$C$21,ROW()-1+'02_Eingaben'!$C$17))))</f>
        <v/>
      </c>
      <c r="G457" s="17" t="str">
        <f>IF(F457="","",F457-'02_Eingaben'!$C$10)</f>
        <v/>
      </c>
      <c r="H457" t="str">
        <f>IF(F457="","",IF(F457&lt;'02_Eingaben'!$C$18*'02_Eingaben'!$C$10,1,0))</f>
        <v/>
      </c>
      <c r="I457" s="17" t="str">
        <f t="shared" si="7"/>
        <v/>
      </c>
      <c r="J457" s="17" t="str">
        <f>IF(B457="","",IF(B456&lt;'02_Eingaben'!$C$36,0,J456+I456/'02_Eingaben'!$C$8))</f>
        <v/>
      </c>
    </row>
    <row r="458" spans="1:10" x14ac:dyDescent="0.25">
      <c r="A458" t="str">
        <f>IF('01_Rohdaten'!A458="","",ROW()-1)</f>
        <v/>
      </c>
      <c r="B458" s="17" t="str">
        <f>IF('01_Rohdaten'!A458="","",'01_Rohdaten'!A458)</f>
        <v/>
      </c>
      <c r="C458" s="17" t="str">
        <f>IF(B458="","",INDEX('01_Rohdaten'!B458:D458,'02_Eingaben'!$C$13))</f>
        <v/>
      </c>
      <c r="D458" s="17" t="str">
        <f>IF(C458="","",C458*'02_Eingaben'!$C$15)</f>
        <v/>
      </c>
      <c r="E458" s="17" t="str">
        <f>IF(D458="","",D458*'02_Eingaben'!$C$8)</f>
        <v/>
      </c>
      <c r="F458" s="17" t="str">
        <f>IF(E458="","",AVERAGE(INDEX($E$2:$E$3001,MAX(1,ROW()-1-'02_Eingaben'!$C$17)):INDEX($E$2:$E$3001,MIN('02_Eingaben'!$C$21,ROW()-1+'02_Eingaben'!$C$17))))</f>
        <v/>
      </c>
      <c r="G458" s="17" t="str">
        <f>IF(F458="","",F458-'02_Eingaben'!$C$10)</f>
        <v/>
      </c>
      <c r="H458" t="str">
        <f>IF(F458="","",IF(F458&lt;'02_Eingaben'!$C$18*'02_Eingaben'!$C$10,1,0))</f>
        <v/>
      </c>
      <c r="I458" s="17" t="str">
        <f t="shared" si="7"/>
        <v/>
      </c>
      <c r="J458" s="17" t="str">
        <f>IF(B458="","",IF(B457&lt;'02_Eingaben'!$C$36,0,J457+I457/'02_Eingaben'!$C$8))</f>
        <v/>
      </c>
    </row>
    <row r="459" spans="1:10" x14ac:dyDescent="0.25">
      <c r="A459" t="str">
        <f>IF('01_Rohdaten'!A459="","",ROW()-1)</f>
        <v/>
      </c>
      <c r="B459" s="17" t="str">
        <f>IF('01_Rohdaten'!A459="","",'01_Rohdaten'!A459)</f>
        <v/>
      </c>
      <c r="C459" s="17" t="str">
        <f>IF(B459="","",INDEX('01_Rohdaten'!B459:D459,'02_Eingaben'!$C$13))</f>
        <v/>
      </c>
      <c r="D459" s="17" t="str">
        <f>IF(C459="","",C459*'02_Eingaben'!$C$15)</f>
        <v/>
      </c>
      <c r="E459" s="17" t="str">
        <f>IF(D459="","",D459*'02_Eingaben'!$C$8)</f>
        <v/>
      </c>
      <c r="F459" s="17" t="str">
        <f>IF(E459="","",AVERAGE(INDEX($E$2:$E$3001,MAX(1,ROW()-1-'02_Eingaben'!$C$17)):INDEX($E$2:$E$3001,MIN('02_Eingaben'!$C$21,ROW()-1+'02_Eingaben'!$C$17))))</f>
        <v/>
      </c>
      <c r="G459" s="17" t="str">
        <f>IF(F459="","",F459-'02_Eingaben'!$C$10)</f>
        <v/>
      </c>
      <c r="H459" t="str">
        <f>IF(F459="","",IF(F459&lt;'02_Eingaben'!$C$18*'02_Eingaben'!$C$10,1,0))</f>
        <v/>
      </c>
      <c r="I459" s="17" t="str">
        <f t="shared" si="7"/>
        <v/>
      </c>
      <c r="J459" s="17" t="str">
        <f>IF(B459="","",IF(B458&lt;'02_Eingaben'!$C$36,0,J458+I458/'02_Eingaben'!$C$8))</f>
        <v/>
      </c>
    </row>
    <row r="460" spans="1:10" x14ac:dyDescent="0.25">
      <c r="A460" t="str">
        <f>IF('01_Rohdaten'!A460="","",ROW()-1)</f>
        <v/>
      </c>
      <c r="B460" s="17" t="str">
        <f>IF('01_Rohdaten'!A460="","",'01_Rohdaten'!A460)</f>
        <v/>
      </c>
      <c r="C460" s="17" t="str">
        <f>IF(B460="","",INDEX('01_Rohdaten'!B460:D460,'02_Eingaben'!$C$13))</f>
        <v/>
      </c>
      <c r="D460" s="17" t="str">
        <f>IF(C460="","",C460*'02_Eingaben'!$C$15)</f>
        <v/>
      </c>
      <c r="E460" s="17" t="str">
        <f>IF(D460="","",D460*'02_Eingaben'!$C$8)</f>
        <v/>
      </c>
      <c r="F460" s="17" t="str">
        <f>IF(E460="","",AVERAGE(INDEX($E$2:$E$3001,MAX(1,ROW()-1-'02_Eingaben'!$C$17)):INDEX($E$2:$E$3001,MIN('02_Eingaben'!$C$21,ROW()-1+'02_Eingaben'!$C$17))))</f>
        <v/>
      </c>
      <c r="G460" s="17" t="str">
        <f>IF(F460="","",F460-'02_Eingaben'!$C$10)</f>
        <v/>
      </c>
      <c r="H460" t="str">
        <f>IF(F460="","",IF(F460&lt;'02_Eingaben'!$C$18*'02_Eingaben'!$C$10,1,0))</f>
        <v/>
      </c>
      <c r="I460" s="17" t="str">
        <f t="shared" si="7"/>
        <v/>
      </c>
      <c r="J460" s="17" t="str">
        <f>IF(B460="","",IF(B459&lt;'02_Eingaben'!$C$36,0,J459+I459/'02_Eingaben'!$C$8))</f>
        <v/>
      </c>
    </row>
    <row r="461" spans="1:10" x14ac:dyDescent="0.25">
      <c r="A461" t="str">
        <f>IF('01_Rohdaten'!A461="","",ROW()-1)</f>
        <v/>
      </c>
      <c r="B461" s="17" t="str">
        <f>IF('01_Rohdaten'!A461="","",'01_Rohdaten'!A461)</f>
        <v/>
      </c>
      <c r="C461" s="17" t="str">
        <f>IF(B461="","",INDEX('01_Rohdaten'!B461:D461,'02_Eingaben'!$C$13))</f>
        <v/>
      </c>
      <c r="D461" s="17" t="str">
        <f>IF(C461="","",C461*'02_Eingaben'!$C$15)</f>
        <v/>
      </c>
      <c r="E461" s="17" t="str">
        <f>IF(D461="","",D461*'02_Eingaben'!$C$8)</f>
        <v/>
      </c>
      <c r="F461" s="17" t="str">
        <f>IF(E461="","",AVERAGE(INDEX($E$2:$E$3001,MAX(1,ROW()-1-'02_Eingaben'!$C$17)):INDEX($E$2:$E$3001,MIN('02_Eingaben'!$C$21,ROW()-1+'02_Eingaben'!$C$17))))</f>
        <v/>
      </c>
      <c r="G461" s="17" t="str">
        <f>IF(F461="","",F461-'02_Eingaben'!$C$10)</f>
        <v/>
      </c>
      <c r="H461" t="str">
        <f>IF(F461="","",IF(F461&lt;'02_Eingaben'!$C$18*'02_Eingaben'!$C$10,1,0))</f>
        <v/>
      </c>
      <c r="I461" s="17" t="str">
        <f t="shared" si="7"/>
        <v/>
      </c>
      <c r="J461" s="17" t="str">
        <f>IF(B461="","",IF(B460&lt;'02_Eingaben'!$C$36,0,J460+I460/'02_Eingaben'!$C$8))</f>
        <v/>
      </c>
    </row>
    <row r="462" spans="1:10" x14ac:dyDescent="0.25">
      <c r="A462" t="str">
        <f>IF('01_Rohdaten'!A462="","",ROW()-1)</f>
        <v/>
      </c>
      <c r="B462" s="17" t="str">
        <f>IF('01_Rohdaten'!A462="","",'01_Rohdaten'!A462)</f>
        <v/>
      </c>
      <c r="C462" s="17" t="str">
        <f>IF(B462="","",INDEX('01_Rohdaten'!B462:D462,'02_Eingaben'!$C$13))</f>
        <v/>
      </c>
      <c r="D462" s="17" t="str">
        <f>IF(C462="","",C462*'02_Eingaben'!$C$15)</f>
        <v/>
      </c>
      <c r="E462" s="17" t="str">
        <f>IF(D462="","",D462*'02_Eingaben'!$C$8)</f>
        <v/>
      </c>
      <c r="F462" s="17" t="str">
        <f>IF(E462="","",AVERAGE(INDEX($E$2:$E$3001,MAX(1,ROW()-1-'02_Eingaben'!$C$17)):INDEX($E$2:$E$3001,MIN('02_Eingaben'!$C$21,ROW()-1+'02_Eingaben'!$C$17))))</f>
        <v/>
      </c>
      <c r="G462" s="17" t="str">
        <f>IF(F462="","",F462-'02_Eingaben'!$C$10)</f>
        <v/>
      </c>
      <c r="H462" t="str">
        <f>IF(F462="","",IF(F462&lt;'02_Eingaben'!$C$18*'02_Eingaben'!$C$10,1,0))</f>
        <v/>
      </c>
      <c r="I462" s="17" t="str">
        <f t="shared" si="7"/>
        <v/>
      </c>
      <c r="J462" s="17" t="str">
        <f>IF(B462="","",IF(B461&lt;'02_Eingaben'!$C$36,0,J461+I461/'02_Eingaben'!$C$8))</f>
        <v/>
      </c>
    </row>
    <row r="463" spans="1:10" x14ac:dyDescent="0.25">
      <c r="A463" t="str">
        <f>IF('01_Rohdaten'!A463="","",ROW()-1)</f>
        <v/>
      </c>
      <c r="B463" s="17" t="str">
        <f>IF('01_Rohdaten'!A463="","",'01_Rohdaten'!A463)</f>
        <v/>
      </c>
      <c r="C463" s="17" t="str">
        <f>IF(B463="","",INDEX('01_Rohdaten'!B463:D463,'02_Eingaben'!$C$13))</f>
        <v/>
      </c>
      <c r="D463" s="17" t="str">
        <f>IF(C463="","",C463*'02_Eingaben'!$C$15)</f>
        <v/>
      </c>
      <c r="E463" s="17" t="str">
        <f>IF(D463="","",D463*'02_Eingaben'!$C$8)</f>
        <v/>
      </c>
      <c r="F463" s="17" t="str">
        <f>IF(E463="","",AVERAGE(INDEX($E$2:$E$3001,MAX(1,ROW()-1-'02_Eingaben'!$C$17)):INDEX($E$2:$E$3001,MIN('02_Eingaben'!$C$21,ROW()-1+'02_Eingaben'!$C$17))))</f>
        <v/>
      </c>
      <c r="G463" s="17" t="str">
        <f>IF(F463="","",F463-'02_Eingaben'!$C$10)</f>
        <v/>
      </c>
      <c r="H463" t="str">
        <f>IF(F463="","",IF(F463&lt;'02_Eingaben'!$C$18*'02_Eingaben'!$C$10,1,0))</f>
        <v/>
      </c>
      <c r="I463" s="17" t="str">
        <f t="shared" si="7"/>
        <v/>
      </c>
      <c r="J463" s="17" t="str">
        <f>IF(B463="","",IF(B462&lt;'02_Eingaben'!$C$36,0,J462+I462/'02_Eingaben'!$C$8))</f>
        <v/>
      </c>
    </row>
    <row r="464" spans="1:10" x14ac:dyDescent="0.25">
      <c r="A464" t="str">
        <f>IF('01_Rohdaten'!A464="","",ROW()-1)</f>
        <v/>
      </c>
      <c r="B464" s="17" t="str">
        <f>IF('01_Rohdaten'!A464="","",'01_Rohdaten'!A464)</f>
        <v/>
      </c>
      <c r="C464" s="17" t="str">
        <f>IF(B464="","",INDEX('01_Rohdaten'!B464:D464,'02_Eingaben'!$C$13))</f>
        <v/>
      </c>
      <c r="D464" s="17" t="str">
        <f>IF(C464="","",C464*'02_Eingaben'!$C$15)</f>
        <v/>
      </c>
      <c r="E464" s="17" t="str">
        <f>IF(D464="","",D464*'02_Eingaben'!$C$8)</f>
        <v/>
      </c>
      <c r="F464" s="17" t="str">
        <f>IF(E464="","",AVERAGE(INDEX($E$2:$E$3001,MAX(1,ROW()-1-'02_Eingaben'!$C$17)):INDEX($E$2:$E$3001,MIN('02_Eingaben'!$C$21,ROW()-1+'02_Eingaben'!$C$17))))</f>
        <v/>
      </c>
      <c r="G464" s="17" t="str">
        <f>IF(F464="","",F464-'02_Eingaben'!$C$10)</f>
        <v/>
      </c>
      <c r="H464" t="str">
        <f>IF(F464="","",IF(F464&lt;'02_Eingaben'!$C$18*'02_Eingaben'!$C$10,1,0))</f>
        <v/>
      </c>
      <c r="I464" s="17" t="str">
        <f t="shared" si="7"/>
        <v/>
      </c>
      <c r="J464" s="17" t="str">
        <f>IF(B464="","",IF(B463&lt;'02_Eingaben'!$C$36,0,J463+I463/'02_Eingaben'!$C$8))</f>
        <v/>
      </c>
    </row>
    <row r="465" spans="1:10" x14ac:dyDescent="0.25">
      <c r="A465" t="str">
        <f>IF('01_Rohdaten'!A465="","",ROW()-1)</f>
        <v/>
      </c>
      <c r="B465" s="17" t="str">
        <f>IF('01_Rohdaten'!A465="","",'01_Rohdaten'!A465)</f>
        <v/>
      </c>
      <c r="C465" s="17" t="str">
        <f>IF(B465="","",INDEX('01_Rohdaten'!B465:D465,'02_Eingaben'!$C$13))</f>
        <v/>
      </c>
      <c r="D465" s="17" t="str">
        <f>IF(C465="","",C465*'02_Eingaben'!$C$15)</f>
        <v/>
      </c>
      <c r="E465" s="17" t="str">
        <f>IF(D465="","",D465*'02_Eingaben'!$C$8)</f>
        <v/>
      </c>
      <c r="F465" s="17" t="str">
        <f>IF(E465="","",AVERAGE(INDEX($E$2:$E$3001,MAX(1,ROW()-1-'02_Eingaben'!$C$17)):INDEX($E$2:$E$3001,MIN('02_Eingaben'!$C$21,ROW()-1+'02_Eingaben'!$C$17))))</f>
        <v/>
      </c>
      <c r="G465" s="17" t="str">
        <f>IF(F465="","",F465-'02_Eingaben'!$C$10)</f>
        <v/>
      </c>
      <c r="H465" t="str">
        <f>IF(F465="","",IF(F465&lt;'02_Eingaben'!$C$18*'02_Eingaben'!$C$10,1,0))</f>
        <v/>
      </c>
      <c r="I465" s="17" t="str">
        <f t="shared" si="7"/>
        <v/>
      </c>
      <c r="J465" s="17" t="str">
        <f>IF(B465="","",IF(B464&lt;'02_Eingaben'!$C$36,0,J464+I464/'02_Eingaben'!$C$8))</f>
        <v/>
      </c>
    </row>
    <row r="466" spans="1:10" x14ac:dyDescent="0.25">
      <c r="A466" t="str">
        <f>IF('01_Rohdaten'!A466="","",ROW()-1)</f>
        <v/>
      </c>
      <c r="B466" s="17" t="str">
        <f>IF('01_Rohdaten'!A466="","",'01_Rohdaten'!A466)</f>
        <v/>
      </c>
      <c r="C466" s="17" t="str">
        <f>IF(B466="","",INDEX('01_Rohdaten'!B466:D466,'02_Eingaben'!$C$13))</f>
        <v/>
      </c>
      <c r="D466" s="17" t="str">
        <f>IF(C466="","",C466*'02_Eingaben'!$C$15)</f>
        <v/>
      </c>
      <c r="E466" s="17" t="str">
        <f>IF(D466="","",D466*'02_Eingaben'!$C$8)</f>
        <v/>
      </c>
      <c r="F466" s="17" t="str">
        <f>IF(E466="","",AVERAGE(INDEX($E$2:$E$3001,MAX(1,ROW()-1-'02_Eingaben'!$C$17)):INDEX($E$2:$E$3001,MIN('02_Eingaben'!$C$21,ROW()-1+'02_Eingaben'!$C$17))))</f>
        <v/>
      </c>
      <c r="G466" s="17" t="str">
        <f>IF(F466="","",F466-'02_Eingaben'!$C$10)</f>
        <v/>
      </c>
      <c r="H466" t="str">
        <f>IF(F466="","",IF(F466&lt;'02_Eingaben'!$C$18*'02_Eingaben'!$C$10,1,0))</f>
        <v/>
      </c>
      <c r="I466" s="17" t="str">
        <f t="shared" si="7"/>
        <v/>
      </c>
      <c r="J466" s="17" t="str">
        <f>IF(B466="","",IF(B465&lt;'02_Eingaben'!$C$36,0,J465+I465/'02_Eingaben'!$C$8))</f>
        <v/>
      </c>
    </row>
    <row r="467" spans="1:10" x14ac:dyDescent="0.25">
      <c r="A467" t="str">
        <f>IF('01_Rohdaten'!A467="","",ROW()-1)</f>
        <v/>
      </c>
      <c r="B467" s="17" t="str">
        <f>IF('01_Rohdaten'!A467="","",'01_Rohdaten'!A467)</f>
        <v/>
      </c>
      <c r="C467" s="17" t="str">
        <f>IF(B467="","",INDEX('01_Rohdaten'!B467:D467,'02_Eingaben'!$C$13))</f>
        <v/>
      </c>
      <c r="D467" s="17" t="str">
        <f>IF(C467="","",C467*'02_Eingaben'!$C$15)</f>
        <v/>
      </c>
      <c r="E467" s="17" t="str">
        <f>IF(D467="","",D467*'02_Eingaben'!$C$8)</f>
        <v/>
      </c>
      <c r="F467" s="17" t="str">
        <f>IF(E467="","",AVERAGE(INDEX($E$2:$E$3001,MAX(1,ROW()-1-'02_Eingaben'!$C$17)):INDEX($E$2:$E$3001,MIN('02_Eingaben'!$C$21,ROW()-1+'02_Eingaben'!$C$17))))</f>
        <v/>
      </c>
      <c r="G467" s="17" t="str">
        <f>IF(F467="","",F467-'02_Eingaben'!$C$10)</f>
        <v/>
      </c>
      <c r="H467" t="str">
        <f>IF(F467="","",IF(F467&lt;'02_Eingaben'!$C$18*'02_Eingaben'!$C$10,1,0))</f>
        <v/>
      </c>
      <c r="I467" s="17" t="str">
        <f t="shared" si="7"/>
        <v/>
      </c>
      <c r="J467" s="17" t="str">
        <f>IF(B467="","",IF(B466&lt;'02_Eingaben'!$C$36,0,J466+I466/'02_Eingaben'!$C$8))</f>
        <v/>
      </c>
    </row>
    <row r="468" spans="1:10" x14ac:dyDescent="0.25">
      <c r="A468" t="str">
        <f>IF('01_Rohdaten'!A468="","",ROW()-1)</f>
        <v/>
      </c>
      <c r="B468" s="17" t="str">
        <f>IF('01_Rohdaten'!A468="","",'01_Rohdaten'!A468)</f>
        <v/>
      </c>
      <c r="C468" s="17" t="str">
        <f>IF(B468="","",INDEX('01_Rohdaten'!B468:D468,'02_Eingaben'!$C$13))</f>
        <v/>
      </c>
      <c r="D468" s="17" t="str">
        <f>IF(C468="","",C468*'02_Eingaben'!$C$15)</f>
        <v/>
      </c>
      <c r="E468" s="17" t="str">
        <f>IF(D468="","",D468*'02_Eingaben'!$C$8)</f>
        <v/>
      </c>
      <c r="F468" s="17" t="str">
        <f>IF(E468="","",AVERAGE(INDEX($E$2:$E$3001,MAX(1,ROW()-1-'02_Eingaben'!$C$17)):INDEX($E$2:$E$3001,MIN('02_Eingaben'!$C$21,ROW()-1+'02_Eingaben'!$C$17))))</f>
        <v/>
      </c>
      <c r="G468" s="17" t="str">
        <f>IF(F468="","",F468-'02_Eingaben'!$C$10)</f>
        <v/>
      </c>
      <c r="H468" t="str">
        <f>IF(F468="","",IF(F468&lt;'02_Eingaben'!$C$18*'02_Eingaben'!$C$10,1,0))</f>
        <v/>
      </c>
      <c r="I468" s="17" t="str">
        <f t="shared" si="7"/>
        <v/>
      </c>
      <c r="J468" s="17" t="str">
        <f>IF(B468="","",IF(B467&lt;'02_Eingaben'!$C$36,0,J467+I467/'02_Eingaben'!$C$8))</f>
        <v/>
      </c>
    </row>
    <row r="469" spans="1:10" x14ac:dyDescent="0.25">
      <c r="A469" t="str">
        <f>IF('01_Rohdaten'!A469="","",ROW()-1)</f>
        <v/>
      </c>
      <c r="B469" s="17" t="str">
        <f>IF('01_Rohdaten'!A469="","",'01_Rohdaten'!A469)</f>
        <v/>
      </c>
      <c r="C469" s="17" t="str">
        <f>IF(B469="","",INDEX('01_Rohdaten'!B469:D469,'02_Eingaben'!$C$13))</f>
        <v/>
      </c>
      <c r="D469" s="17" t="str">
        <f>IF(C469="","",C469*'02_Eingaben'!$C$15)</f>
        <v/>
      </c>
      <c r="E469" s="17" t="str">
        <f>IF(D469="","",D469*'02_Eingaben'!$C$8)</f>
        <v/>
      </c>
      <c r="F469" s="17" t="str">
        <f>IF(E469="","",AVERAGE(INDEX($E$2:$E$3001,MAX(1,ROW()-1-'02_Eingaben'!$C$17)):INDEX($E$2:$E$3001,MIN('02_Eingaben'!$C$21,ROW()-1+'02_Eingaben'!$C$17))))</f>
        <v/>
      </c>
      <c r="G469" s="17" t="str">
        <f>IF(F469="","",F469-'02_Eingaben'!$C$10)</f>
        <v/>
      </c>
      <c r="H469" t="str">
        <f>IF(F469="","",IF(F469&lt;'02_Eingaben'!$C$18*'02_Eingaben'!$C$10,1,0))</f>
        <v/>
      </c>
      <c r="I469" s="17" t="str">
        <f t="shared" si="7"/>
        <v/>
      </c>
      <c r="J469" s="17" t="str">
        <f>IF(B469="","",IF(B468&lt;'02_Eingaben'!$C$36,0,J468+I468/'02_Eingaben'!$C$8))</f>
        <v/>
      </c>
    </row>
    <row r="470" spans="1:10" x14ac:dyDescent="0.25">
      <c r="A470" t="str">
        <f>IF('01_Rohdaten'!A470="","",ROW()-1)</f>
        <v/>
      </c>
      <c r="B470" s="17" t="str">
        <f>IF('01_Rohdaten'!A470="","",'01_Rohdaten'!A470)</f>
        <v/>
      </c>
      <c r="C470" s="17" t="str">
        <f>IF(B470="","",INDEX('01_Rohdaten'!B470:D470,'02_Eingaben'!$C$13))</f>
        <v/>
      </c>
      <c r="D470" s="17" t="str">
        <f>IF(C470="","",C470*'02_Eingaben'!$C$15)</f>
        <v/>
      </c>
      <c r="E470" s="17" t="str">
        <f>IF(D470="","",D470*'02_Eingaben'!$C$8)</f>
        <v/>
      </c>
      <c r="F470" s="17" t="str">
        <f>IF(E470="","",AVERAGE(INDEX($E$2:$E$3001,MAX(1,ROW()-1-'02_Eingaben'!$C$17)):INDEX($E$2:$E$3001,MIN('02_Eingaben'!$C$21,ROW()-1+'02_Eingaben'!$C$17))))</f>
        <v/>
      </c>
      <c r="G470" s="17" t="str">
        <f>IF(F470="","",F470-'02_Eingaben'!$C$10)</f>
        <v/>
      </c>
      <c r="H470" t="str">
        <f>IF(F470="","",IF(F470&lt;'02_Eingaben'!$C$18*'02_Eingaben'!$C$10,1,0))</f>
        <v/>
      </c>
      <c r="I470" s="17" t="str">
        <f t="shared" si="7"/>
        <v/>
      </c>
      <c r="J470" s="17" t="str">
        <f>IF(B470="","",IF(B469&lt;'02_Eingaben'!$C$36,0,J469+I469/'02_Eingaben'!$C$8))</f>
        <v/>
      </c>
    </row>
    <row r="471" spans="1:10" x14ac:dyDescent="0.25">
      <c r="A471" t="str">
        <f>IF('01_Rohdaten'!A471="","",ROW()-1)</f>
        <v/>
      </c>
      <c r="B471" s="17" t="str">
        <f>IF('01_Rohdaten'!A471="","",'01_Rohdaten'!A471)</f>
        <v/>
      </c>
      <c r="C471" s="17" t="str">
        <f>IF(B471="","",INDEX('01_Rohdaten'!B471:D471,'02_Eingaben'!$C$13))</f>
        <v/>
      </c>
      <c r="D471" s="17" t="str">
        <f>IF(C471="","",C471*'02_Eingaben'!$C$15)</f>
        <v/>
      </c>
      <c r="E471" s="17" t="str">
        <f>IF(D471="","",D471*'02_Eingaben'!$C$8)</f>
        <v/>
      </c>
      <c r="F471" s="17" t="str">
        <f>IF(E471="","",AVERAGE(INDEX($E$2:$E$3001,MAX(1,ROW()-1-'02_Eingaben'!$C$17)):INDEX($E$2:$E$3001,MIN('02_Eingaben'!$C$21,ROW()-1+'02_Eingaben'!$C$17))))</f>
        <v/>
      </c>
      <c r="G471" s="17" t="str">
        <f>IF(F471="","",F471-'02_Eingaben'!$C$10)</f>
        <v/>
      </c>
      <c r="H471" t="str">
        <f>IF(F471="","",IF(F471&lt;'02_Eingaben'!$C$18*'02_Eingaben'!$C$10,1,0))</f>
        <v/>
      </c>
      <c r="I471" s="17" t="str">
        <f t="shared" si="7"/>
        <v/>
      </c>
      <c r="J471" s="17" t="str">
        <f>IF(B471="","",IF(B470&lt;'02_Eingaben'!$C$36,0,J470+I470/'02_Eingaben'!$C$8))</f>
        <v/>
      </c>
    </row>
    <row r="472" spans="1:10" x14ac:dyDescent="0.25">
      <c r="A472" t="str">
        <f>IF('01_Rohdaten'!A472="","",ROW()-1)</f>
        <v/>
      </c>
      <c r="B472" s="17" t="str">
        <f>IF('01_Rohdaten'!A472="","",'01_Rohdaten'!A472)</f>
        <v/>
      </c>
      <c r="C472" s="17" t="str">
        <f>IF(B472="","",INDEX('01_Rohdaten'!B472:D472,'02_Eingaben'!$C$13))</f>
        <v/>
      </c>
      <c r="D472" s="17" t="str">
        <f>IF(C472="","",C472*'02_Eingaben'!$C$15)</f>
        <v/>
      </c>
      <c r="E472" s="17" t="str">
        <f>IF(D472="","",D472*'02_Eingaben'!$C$8)</f>
        <v/>
      </c>
      <c r="F472" s="17" t="str">
        <f>IF(E472="","",AVERAGE(INDEX($E$2:$E$3001,MAX(1,ROW()-1-'02_Eingaben'!$C$17)):INDEX($E$2:$E$3001,MIN('02_Eingaben'!$C$21,ROW()-1+'02_Eingaben'!$C$17))))</f>
        <v/>
      </c>
      <c r="G472" s="17" t="str">
        <f>IF(F472="","",F472-'02_Eingaben'!$C$10)</f>
        <v/>
      </c>
      <c r="H472" t="str">
        <f>IF(F472="","",IF(F472&lt;'02_Eingaben'!$C$18*'02_Eingaben'!$C$10,1,0))</f>
        <v/>
      </c>
      <c r="I472" s="17" t="str">
        <f t="shared" si="7"/>
        <v/>
      </c>
      <c r="J472" s="17" t="str">
        <f>IF(B472="","",IF(B471&lt;'02_Eingaben'!$C$36,0,J471+I471/'02_Eingaben'!$C$8))</f>
        <v/>
      </c>
    </row>
    <row r="473" spans="1:10" x14ac:dyDescent="0.25">
      <c r="A473" t="str">
        <f>IF('01_Rohdaten'!A473="","",ROW()-1)</f>
        <v/>
      </c>
      <c r="B473" s="17" t="str">
        <f>IF('01_Rohdaten'!A473="","",'01_Rohdaten'!A473)</f>
        <v/>
      </c>
      <c r="C473" s="17" t="str">
        <f>IF(B473="","",INDEX('01_Rohdaten'!B473:D473,'02_Eingaben'!$C$13))</f>
        <v/>
      </c>
      <c r="D473" s="17" t="str">
        <f>IF(C473="","",C473*'02_Eingaben'!$C$15)</f>
        <v/>
      </c>
      <c r="E473" s="17" t="str">
        <f>IF(D473="","",D473*'02_Eingaben'!$C$8)</f>
        <v/>
      </c>
      <c r="F473" s="17" t="str">
        <f>IF(E473="","",AVERAGE(INDEX($E$2:$E$3001,MAX(1,ROW()-1-'02_Eingaben'!$C$17)):INDEX($E$2:$E$3001,MIN('02_Eingaben'!$C$21,ROW()-1+'02_Eingaben'!$C$17))))</f>
        <v/>
      </c>
      <c r="G473" s="17" t="str">
        <f>IF(F473="","",F473-'02_Eingaben'!$C$10)</f>
        <v/>
      </c>
      <c r="H473" t="str">
        <f>IF(F473="","",IF(F473&lt;'02_Eingaben'!$C$18*'02_Eingaben'!$C$10,1,0))</f>
        <v/>
      </c>
      <c r="I473" s="17" t="str">
        <f t="shared" si="7"/>
        <v/>
      </c>
      <c r="J473" s="17" t="str">
        <f>IF(B473="","",IF(B472&lt;'02_Eingaben'!$C$36,0,J472+I472/'02_Eingaben'!$C$8))</f>
        <v/>
      </c>
    </row>
    <row r="474" spans="1:10" x14ac:dyDescent="0.25">
      <c r="A474" t="str">
        <f>IF('01_Rohdaten'!A474="","",ROW()-1)</f>
        <v/>
      </c>
      <c r="B474" s="17" t="str">
        <f>IF('01_Rohdaten'!A474="","",'01_Rohdaten'!A474)</f>
        <v/>
      </c>
      <c r="C474" s="17" t="str">
        <f>IF(B474="","",INDEX('01_Rohdaten'!B474:D474,'02_Eingaben'!$C$13))</f>
        <v/>
      </c>
      <c r="D474" s="17" t="str">
        <f>IF(C474="","",C474*'02_Eingaben'!$C$15)</f>
        <v/>
      </c>
      <c r="E474" s="17" t="str">
        <f>IF(D474="","",D474*'02_Eingaben'!$C$8)</f>
        <v/>
      </c>
      <c r="F474" s="17" t="str">
        <f>IF(E474="","",AVERAGE(INDEX($E$2:$E$3001,MAX(1,ROW()-1-'02_Eingaben'!$C$17)):INDEX($E$2:$E$3001,MIN('02_Eingaben'!$C$21,ROW()-1+'02_Eingaben'!$C$17))))</f>
        <v/>
      </c>
      <c r="G474" s="17" t="str">
        <f>IF(F474="","",F474-'02_Eingaben'!$C$10)</f>
        <v/>
      </c>
      <c r="H474" t="str">
        <f>IF(F474="","",IF(F474&lt;'02_Eingaben'!$C$18*'02_Eingaben'!$C$10,1,0))</f>
        <v/>
      </c>
      <c r="I474" s="17" t="str">
        <f t="shared" si="7"/>
        <v/>
      </c>
      <c r="J474" s="17" t="str">
        <f>IF(B474="","",IF(B473&lt;'02_Eingaben'!$C$36,0,J473+I473/'02_Eingaben'!$C$8))</f>
        <v/>
      </c>
    </row>
    <row r="475" spans="1:10" x14ac:dyDescent="0.25">
      <c r="A475" t="str">
        <f>IF('01_Rohdaten'!A475="","",ROW()-1)</f>
        <v/>
      </c>
      <c r="B475" s="17" t="str">
        <f>IF('01_Rohdaten'!A475="","",'01_Rohdaten'!A475)</f>
        <v/>
      </c>
      <c r="C475" s="17" t="str">
        <f>IF(B475="","",INDEX('01_Rohdaten'!B475:D475,'02_Eingaben'!$C$13))</f>
        <v/>
      </c>
      <c r="D475" s="17" t="str">
        <f>IF(C475="","",C475*'02_Eingaben'!$C$15)</f>
        <v/>
      </c>
      <c r="E475" s="17" t="str">
        <f>IF(D475="","",D475*'02_Eingaben'!$C$8)</f>
        <v/>
      </c>
      <c r="F475" s="17" t="str">
        <f>IF(E475="","",AVERAGE(INDEX($E$2:$E$3001,MAX(1,ROW()-1-'02_Eingaben'!$C$17)):INDEX($E$2:$E$3001,MIN('02_Eingaben'!$C$21,ROW()-1+'02_Eingaben'!$C$17))))</f>
        <v/>
      </c>
      <c r="G475" s="17" t="str">
        <f>IF(F475="","",F475-'02_Eingaben'!$C$10)</f>
        <v/>
      </c>
      <c r="H475" t="str">
        <f>IF(F475="","",IF(F475&lt;'02_Eingaben'!$C$18*'02_Eingaben'!$C$10,1,0))</f>
        <v/>
      </c>
      <c r="I475" s="17" t="str">
        <f t="shared" si="7"/>
        <v/>
      </c>
      <c r="J475" s="17" t="str">
        <f>IF(B475="","",IF(B474&lt;'02_Eingaben'!$C$36,0,J474+I474/'02_Eingaben'!$C$8))</f>
        <v/>
      </c>
    </row>
    <row r="476" spans="1:10" x14ac:dyDescent="0.25">
      <c r="A476" t="str">
        <f>IF('01_Rohdaten'!A476="","",ROW()-1)</f>
        <v/>
      </c>
      <c r="B476" s="17" t="str">
        <f>IF('01_Rohdaten'!A476="","",'01_Rohdaten'!A476)</f>
        <v/>
      </c>
      <c r="C476" s="17" t="str">
        <f>IF(B476="","",INDEX('01_Rohdaten'!B476:D476,'02_Eingaben'!$C$13))</f>
        <v/>
      </c>
      <c r="D476" s="17" t="str">
        <f>IF(C476="","",C476*'02_Eingaben'!$C$15)</f>
        <v/>
      </c>
      <c r="E476" s="17" t="str">
        <f>IF(D476="","",D476*'02_Eingaben'!$C$8)</f>
        <v/>
      </c>
      <c r="F476" s="17" t="str">
        <f>IF(E476="","",AVERAGE(INDEX($E$2:$E$3001,MAX(1,ROW()-1-'02_Eingaben'!$C$17)):INDEX($E$2:$E$3001,MIN('02_Eingaben'!$C$21,ROW()-1+'02_Eingaben'!$C$17))))</f>
        <v/>
      </c>
      <c r="G476" s="17" t="str">
        <f>IF(F476="","",F476-'02_Eingaben'!$C$10)</f>
        <v/>
      </c>
      <c r="H476" t="str">
        <f>IF(F476="","",IF(F476&lt;'02_Eingaben'!$C$18*'02_Eingaben'!$C$10,1,0))</f>
        <v/>
      </c>
      <c r="I476" s="17" t="str">
        <f t="shared" si="7"/>
        <v/>
      </c>
      <c r="J476" s="17" t="str">
        <f>IF(B476="","",IF(B475&lt;'02_Eingaben'!$C$36,0,J475+I475/'02_Eingaben'!$C$8))</f>
        <v/>
      </c>
    </row>
    <row r="477" spans="1:10" x14ac:dyDescent="0.25">
      <c r="A477" t="str">
        <f>IF('01_Rohdaten'!A477="","",ROW()-1)</f>
        <v/>
      </c>
      <c r="B477" s="17" t="str">
        <f>IF('01_Rohdaten'!A477="","",'01_Rohdaten'!A477)</f>
        <v/>
      </c>
      <c r="C477" s="17" t="str">
        <f>IF(B477="","",INDEX('01_Rohdaten'!B477:D477,'02_Eingaben'!$C$13))</f>
        <v/>
      </c>
      <c r="D477" s="17" t="str">
        <f>IF(C477="","",C477*'02_Eingaben'!$C$15)</f>
        <v/>
      </c>
      <c r="E477" s="17" t="str">
        <f>IF(D477="","",D477*'02_Eingaben'!$C$8)</f>
        <v/>
      </c>
      <c r="F477" s="17" t="str">
        <f>IF(E477="","",AVERAGE(INDEX($E$2:$E$3001,MAX(1,ROW()-1-'02_Eingaben'!$C$17)):INDEX($E$2:$E$3001,MIN('02_Eingaben'!$C$21,ROW()-1+'02_Eingaben'!$C$17))))</f>
        <v/>
      </c>
      <c r="G477" s="17" t="str">
        <f>IF(F477="","",F477-'02_Eingaben'!$C$10)</f>
        <v/>
      </c>
      <c r="H477" t="str">
        <f>IF(F477="","",IF(F477&lt;'02_Eingaben'!$C$18*'02_Eingaben'!$C$10,1,0))</f>
        <v/>
      </c>
      <c r="I477" s="17" t="str">
        <f t="shared" si="7"/>
        <v/>
      </c>
      <c r="J477" s="17" t="str">
        <f>IF(B477="","",IF(B476&lt;'02_Eingaben'!$C$36,0,J476+I476/'02_Eingaben'!$C$8))</f>
        <v/>
      </c>
    </row>
    <row r="478" spans="1:10" x14ac:dyDescent="0.25">
      <c r="A478" t="str">
        <f>IF('01_Rohdaten'!A478="","",ROW()-1)</f>
        <v/>
      </c>
      <c r="B478" s="17" t="str">
        <f>IF('01_Rohdaten'!A478="","",'01_Rohdaten'!A478)</f>
        <v/>
      </c>
      <c r="C478" s="17" t="str">
        <f>IF(B478="","",INDEX('01_Rohdaten'!B478:D478,'02_Eingaben'!$C$13))</f>
        <v/>
      </c>
      <c r="D478" s="17" t="str">
        <f>IF(C478="","",C478*'02_Eingaben'!$C$15)</f>
        <v/>
      </c>
      <c r="E478" s="17" t="str">
        <f>IF(D478="","",D478*'02_Eingaben'!$C$8)</f>
        <v/>
      </c>
      <c r="F478" s="17" t="str">
        <f>IF(E478="","",AVERAGE(INDEX($E$2:$E$3001,MAX(1,ROW()-1-'02_Eingaben'!$C$17)):INDEX($E$2:$E$3001,MIN('02_Eingaben'!$C$21,ROW()-1+'02_Eingaben'!$C$17))))</f>
        <v/>
      </c>
      <c r="G478" s="17" t="str">
        <f>IF(F478="","",F478-'02_Eingaben'!$C$10)</f>
        <v/>
      </c>
      <c r="H478" t="str">
        <f>IF(F478="","",IF(F478&lt;'02_Eingaben'!$C$18*'02_Eingaben'!$C$10,1,0))</f>
        <v/>
      </c>
      <c r="I478" s="17" t="str">
        <f t="shared" si="7"/>
        <v/>
      </c>
      <c r="J478" s="17" t="str">
        <f>IF(B478="","",IF(B477&lt;'02_Eingaben'!$C$36,0,J477+I477/'02_Eingaben'!$C$8))</f>
        <v/>
      </c>
    </row>
    <row r="479" spans="1:10" x14ac:dyDescent="0.25">
      <c r="A479" t="str">
        <f>IF('01_Rohdaten'!A479="","",ROW()-1)</f>
        <v/>
      </c>
      <c r="B479" s="17" t="str">
        <f>IF('01_Rohdaten'!A479="","",'01_Rohdaten'!A479)</f>
        <v/>
      </c>
      <c r="C479" s="17" t="str">
        <f>IF(B479="","",INDEX('01_Rohdaten'!B479:D479,'02_Eingaben'!$C$13))</f>
        <v/>
      </c>
      <c r="D479" s="17" t="str">
        <f>IF(C479="","",C479*'02_Eingaben'!$C$15)</f>
        <v/>
      </c>
      <c r="E479" s="17" t="str">
        <f>IF(D479="","",D479*'02_Eingaben'!$C$8)</f>
        <v/>
      </c>
      <c r="F479" s="17" t="str">
        <f>IF(E479="","",AVERAGE(INDEX($E$2:$E$3001,MAX(1,ROW()-1-'02_Eingaben'!$C$17)):INDEX($E$2:$E$3001,MIN('02_Eingaben'!$C$21,ROW()-1+'02_Eingaben'!$C$17))))</f>
        <v/>
      </c>
      <c r="G479" s="17" t="str">
        <f>IF(F479="","",F479-'02_Eingaben'!$C$10)</f>
        <v/>
      </c>
      <c r="H479" t="str">
        <f>IF(F479="","",IF(F479&lt;'02_Eingaben'!$C$18*'02_Eingaben'!$C$10,1,0))</f>
        <v/>
      </c>
      <c r="I479" s="17" t="str">
        <f t="shared" si="7"/>
        <v/>
      </c>
      <c r="J479" s="17" t="str">
        <f>IF(B479="","",IF(B478&lt;'02_Eingaben'!$C$36,0,J478+I478/'02_Eingaben'!$C$8))</f>
        <v/>
      </c>
    </row>
    <row r="480" spans="1:10" x14ac:dyDescent="0.25">
      <c r="A480" t="str">
        <f>IF('01_Rohdaten'!A480="","",ROW()-1)</f>
        <v/>
      </c>
      <c r="B480" s="17" t="str">
        <f>IF('01_Rohdaten'!A480="","",'01_Rohdaten'!A480)</f>
        <v/>
      </c>
      <c r="C480" s="17" t="str">
        <f>IF(B480="","",INDEX('01_Rohdaten'!B480:D480,'02_Eingaben'!$C$13))</f>
        <v/>
      </c>
      <c r="D480" s="17" t="str">
        <f>IF(C480="","",C480*'02_Eingaben'!$C$15)</f>
        <v/>
      </c>
      <c r="E480" s="17" t="str">
        <f>IF(D480="","",D480*'02_Eingaben'!$C$8)</f>
        <v/>
      </c>
      <c r="F480" s="17" t="str">
        <f>IF(E480="","",AVERAGE(INDEX($E$2:$E$3001,MAX(1,ROW()-1-'02_Eingaben'!$C$17)):INDEX($E$2:$E$3001,MIN('02_Eingaben'!$C$21,ROW()-1+'02_Eingaben'!$C$17))))</f>
        <v/>
      </c>
      <c r="G480" s="17" t="str">
        <f>IF(F480="","",F480-'02_Eingaben'!$C$10)</f>
        <v/>
      </c>
      <c r="H480" t="str">
        <f>IF(F480="","",IF(F480&lt;'02_Eingaben'!$C$18*'02_Eingaben'!$C$10,1,0))</f>
        <v/>
      </c>
      <c r="I480" s="17" t="str">
        <f t="shared" si="7"/>
        <v/>
      </c>
      <c r="J480" s="17" t="str">
        <f>IF(B480="","",IF(B479&lt;'02_Eingaben'!$C$36,0,J479+I479/'02_Eingaben'!$C$8))</f>
        <v/>
      </c>
    </row>
    <row r="481" spans="1:10" x14ac:dyDescent="0.25">
      <c r="A481" t="str">
        <f>IF('01_Rohdaten'!A481="","",ROW()-1)</f>
        <v/>
      </c>
      <c r="B481" s="17" t="str">
        <f>IF('01_Rohdaten'!A481="","",'01_Rohdaten'!A481)</f>
        <v/>
      </c>
      <c r="C481" s="17" t="str">
        <f>IF(B481="","",INDEX('01_Rohdaten'!B481:D481,'02_Eingaben'!$C$13))</f>
        <v/>
      </c>
      <c r="D481" s="17" t="str">
        <f>IF(C481="","",C481*'02_Eingaben'!$C$15)</f>
        <v/>
      </c>
      <c r="E481" s="17" t="str">
        <f>IF(D481="","",D481*'02_Eingaben'!$C$8)</f>
        <v/>
      </c>
      <c r="F481" s="17" t="str">
        <f>IF(E481="","",AVERAGE(INDEX($E$2:$E$3001,MAX(1,ROW()-1-'02_Eingaben'!$C$17)):INDEX($E$2:$E$3001,MIN('02_Eingaben'!$C$21,ROW()-1+'02_Eingaben'!$C$17))))</f>
        <v/>
      </c>
      <c r="G481" s="17" t="str">
        <f>IF(F481="","",F481-'02_Eingaben'!$C$10)</f>
        <v/>
      </c>
      <c r="H481" t="str">
        <f>IF(F481="","",IF(F481&lt;'02_Eingaben'!$C$18*'02_Eingaben'!$C$10,1,0))</f>
        <v/>
      </c>
      <c r="I481" s="17" t="str">
        <f t="shared" si="7"/>
        <v/>
      </c>
      <c r="J481" s="17" t="str">
        <f>IF(B481="","",IF(B480&lt;'02_Eingaben'!$C$36,0,J480+I480/'02_Eingaben'!$C$8))</f>
        <v/>
      </c>
    </row>
    <row r="482" spans="1:10" x14ac:dyDescent="0.25">
      <c r="A482" t="str">
        <f>IF('01_Rohdaten'!A482="","",ROW()-1)</f>
        <v/>
      </c>
      <c r="B482" s="17" t="str">
        <f>IF('01_Rohdaten'!A482="","",'01_Rohdaten'!A482)</f>
        <v/>
      </c>
      <c r="C482" s="17" t="str">
        <f>IF(B482="","",INDEX('01_Rohdaten'!B482:D482,'02_Eingaben'!$C$13))</f>
        <v/>
      </c>
      <c r="D482" s="17" t="str">
        <f>IF(C482="","",C482*'02_Eingaben'!$C$15)</f>
        <v/>
      </c>
      <c r="E482" s="17" t="str">
        <f>IF(D482="","",D482*'02_Eingaben'!$C$8)</f>
        <v/>
      </c>
      <c r="F482" s="17" t="str">
        <f>IF(E482="","",AVERAGE(INDEX($E$2:$E$3001,MAX(1,ROW()-1-'02_Eingaben'!$C$17)):INDEX($E$2:$E$3001,MIN('02_Eingaben'!$C$21,ROW()-1+'02_Eingaben'!$C$17))))</f>
        <v/>
      </c>
      <c r="G482" s="17" t="str">
        <f>IF(F482="","",F482-'02_Eingaben'!$C$10)</f>
        <v/>
      </c>
      <c r="H482" t="str">
        <f>IF(F482="","",IF(F482&lt;'02_Eingaben'!$C$18*'02_Eingaben'!$C$10,1,0))</f>
        <v/>
      </c>
      <c r="I482" s="17" t="str">
        <f t="shared" si="7"/>
        <v/>
      </c>
      <c r="J482" s="17" t="str">
        <f>IF(B482="","",IF(B481&lt;'02_Eingaben'!$C$36,0,J481+I481/'02_Eingaben'!$C$8))</f>
        <v/>
      </c>
    </row>
    <row r="483" spans="1:10" x14ac:dyDescent="0.25">
      <c r="A483" t="str">
        <f>IF('01_Rohdaten'!A483="","",ROW()-1)</f>
        <v/>
      </c>
      <c r="B483" s="17" t="str">
        <f>IF('01_Rohdaten'!A483="","",'01_Rohdaten'!A483)</f>
        <v/>
      </c>
      <c r="C483" s="17" t="str">
        <f>IF(B483="","",INDEX('01_Rohdaten'!B483:D483,'02_Eingaben'!$C$13))</f>
        <v/>
      </c>
      <c r="D483" s="17" t="str">
        <f>IF(C483="","",C483*'02_Eingaben'!$C$15)</f>
        <v/>
      </c>
      <c r="E483" s="17" t="str">
        <f>IF(D483="","",D483*'02_Eingaben'!$C$8)</f>
        <v/>
      </c>
      <c r="F483" s="17" t="str">
        <f>IF(E483="","",AVERAGE(INDEX($E$2:$E$3001,MAX(1,ROW()-1-'02_Eingaben'!$C$17)):INDEX($E$2:$E$3001,MIN('02_Eingaben'!$C$21,ROW()-1+'02_Eingaben'!$C$17))))</f>
        <v/>
      </c>
      <c r="G483" s="17" t="str">
        <f>IF(F483="","",F483-'02_Eingaben'!$C$10)</f>
        <v/>
      </c>
      <c r="H483" t="str">
        <f>IF(F483="","",IF(F483&lt;'02_Eingaben'!$C$18*'02_Eingaben'!$C$10,1,0))</f>
        <v/>
      </c>
      <c r="I483" s="17" t="str">
        <f t="shared" si="7"/>
        <v/>
      </c>
      <c r="J483" s="17" t="str">
        <f>IF(B483="","",IF(B482&lt;'02_Eingaben'!$C$36,0,J482+I482/'02_Eingaben'!$C$8))</f>
        <v/>
      </c>
    </row>
    <row r="484" spans="1:10" x14ac:dyDescent="0.25">
      <c r="A484" t="str">
        <f>IF('01_Rohdaten'!A484="","",ROW()-1)</f>
        <v/>
      </c>
      <c r="B484" s="17" t="str">
        <f>IF('01_Rohdaten'!A484="","",'01_Rohdaten'!A484)</f>
        <v/>
      </c>
      <c r="C484" s="17" t="str">
        <f>IF(B484="","",INDEX('01_Rohdaten'!B484:D484,'02_Eingaben'!$C$13))</f>
        <v/>
      </c>
      <c r="D484" s="17" t="str">
        <f>IF(C484="","",C484*'02_Eingaben'!$C$15)</f>
        <v/>
      </c>
      <c r="E484" s="17" t="str">
        <f>IF(D484="","",D484*'02_Eingaben'!$C$8)</f>
        <v/>
      </c>
      <c r="F484" s="17" t="str">
        <f>IF(E484="","",AVERAGE(INDEX($E$2:$E$3001,MAX(1,ROW()-1-'02_Eingaben'!$C$17)):INDEX($E$2:$E$3001,MIN('02_Eingaben'!$C$21,ROW()-1+'02_Eingaben'!$C$17))))</f>
        <v/>
      </c>
      <c r="G484" s="17" t="str">
        <f>IF(F484="","",F484-'02_Eingaben'!$C$10)</f>
        <v/>
      </c>
      <c r="H484" t="str">
        <f>IF(F484="","",IF(F484&lt;'02_Eingaben'!$C$18*'02_Eingaben'!$C$10,1,0))</f>
        <v/>
      </c>
      <c r="I484" s="17" t="str">
        <f t="shared" si="7"/>
        <v/>
      </c>
      <c r="J484" s="17" t="str">
        <f>IF(B484="","",IF(B483&lt;'02_Eingaben'!$C$36,0,J483+I483/'02_Eingaben'!$C$8))</f>
        <v/>
      </c>
    </row>
    <row r="485" spans="1:10" x14ac:dyDescent="0.25">
      <c r="A485" t="str">
        <f>IF('01_Rohdaten'!A485="","",ROW()-1)</f>
        <v/>
      </c>
      <c r="B485" s="17" t="str">
        <f>IF('01_Rohdaten'!A485="","",'01_Rohdaten'!A485)</f>
        <v/>
      </c>
      <c r="C485" s="17" t="str">
        <f>IF(B485="","",INDEX('01_Rohdaten'!B485:D485,'02_Eingaben'!$C$13))</f>
        <v/>
      </c>
      <c r="D485" s="17" t="str">
        <f>IF(C485="","",C485*'02_Eingaben'!$C$15)</f>
        <v/>
      </c>
      <c r="E485" s="17" t="str">
        <f>IF(D485="","",D485*'02_Eingaben'!$C$8)</f>
        <v/>
      </c>
      <c r="F485" s="17" t="str">
        <f>IF(E485="","",AVERAGE(INDEX($E$2:$E$3001,MAX(1,ROW()-1-'02_Eingaben'!$C$17)):INDEX($E$2:$E$3001,MIN('02_Eingaben'!$C$21,ROW()-1+'02_Eingaben'!$C$17))))</f>
        <v/>
      </c>
      <c r="G485" s="17" t="str">
        <f>IF(F485="","",F485-'02_Eingaben'!$C$10)</f>
        <v/>
      </c>
      <c r="H485" t="str">
        <f>IF(F485="","",IF(F485&lt;'02_Eingaben'!$C$18*'02_Eingaben'!$C$10,1,0))</f>
        <v/>
      </c>
      <c r="I485" s="17" t="str">
        <f t="shared" si="7"/>
        <v/>
      </c>
      <c r="J485" s="17" t="str">
        <f>IF(B485="","",IF(B484&lt;'02_Eingaben'!$C$36,0,J484+I484/'02_Eingaben'!$C$8))</f>
        <v/>
      </c>
    </row>
    <row r="486" spans="1:10" x14ac:dyDescent="0.25">
      <c r="A486" t="str">
        <f>IF('01_Rohdaten'!A486="","",ROW()-1)</f>
        <v/>
      </c>
      <c r="B486" s="17" t="str">
        <f>IF('01_Rohdaten'!A486="","",'01_Rohdaten'!A486)</f>
        <v/>
      </c>
      <c r="C486" s="17" t="str">
        <f>IF(B486="","",INDEX('01_Rohdaten'!B486:D486,'02_Eingaben'!$C$13))</f>
        <v/>
      </c>
      <c r="D486" s="17" t="str">
        <f>IF(C486="","",C486*'02_Eingaben'!$C$15)</f>
        <v/>
      </c>
      <c r="E486" s="17" t="str">
        <f>IF(D486="","",D486*'02_Eingaben'!$C$8)</f>
        <v/>
      </c>
      <c r="F486" s="17" t="str">
        <f>IF(E486="","",AVERAGE(INDEX($E$2:$E$3001,MAX(1,ROW()-1-'02_Eingaben'!$C$17)):INDEX($E$2:$E$3001,MIN('02_Eingaben'!$C$21,ROW()-1+'02_Eingaben'!$C$17))))</f>
        <v/>
      </c>
      <c r="G486" s="17" t="str">
        <f>IF(F486="","",F486-'02_Eingaben'!$C$10)</f>
        <v/>
      </c>
      <c r="H486" t="str">
        <f>IF(F486="","",IF(F486&lt;'02_Eingaben'!$C$18*'02_Eingaben'!$C$10,1,0))</f>
        <v/>
      </c>
      <c r="I486" s="17" t="str">
        <f t="shared" si="7"/>
        <v/>
      </c>
      <c r="J486" s="17" t="str">
        <f>IF(B486="","",IF(B485&lt;'02_Eingaben'!$C$36,0,J485+I485/'02_Eingaben'!$C$8))</f>
        <v/>
      </c>
    </row>
    <row r="487" spans="1:10" x14ac:dyDescent="0.25">
      <c r="A487" t="str">
        <f>IF('01_Rohdaten'!A487="","",ROW()-1)</f>
        <v/>
      </c>
      <c r="B487" s="17" t="str">
        <f>IF('01_Rohdaten'!A487="","",'01_Rohdaten'!A487)</f>
        <v/>
      </c>
      <c r="C487" s="17" t="str">
        <f>IF(B487="","",INDEX('01_Rohdaten'!B487:D487,'02_Eingaben'!$C$13))</f>
        <v/>
      </c>
      <c r="D487" s="17" t="str">
        <f>IF(C487="","",C487*'02_Eingaben'!$C$15)</f>
        <v/>
      </c>
      <c r="E487" s="17" t="str">
        <f>IF(D487="","",D487*'02_Eingaben'!$C$8)</f>
        <v/>
      </c>
      <c r="F487" s="17" t="str">
        <f>IF(E487="","",AVERAGE(INDEX($E$2:$E$3001,MAX(1,ROW()-1-'02_Eingaben'!$C$17)):INDEX($E$2:$E$3001,MIN('02_Eingaben'!$C$21,ROW()-1+'02_Eingaben'!$C$17))))</f>
        <v/>
      </c>
      <c r="G487" s="17" t="str">
        <f>IF(F487="","",F487-'02_Eingaben'!$C$10)</f>
        <v/>
      </c>
      <c r="H487" t="str">
        <f>IF(F487="","",IF(F487&lt;'02_Eingaben'!$C$18*'02_Eingaben'!$C$10,1,0))</f>
        <v/>
      </c>
      <c r="I487" s="17" t="str">
        <f t="shared" si="7"/>
        <v/>
      </c>
      <c r="J487" s="17" t="str">
        <f>IF(B487="","",IF(B486&lt;'02_Eingaben'!$C$36,0,J486+I486/'02_Eingaben'!$C$8))</f>
        <v/>
      </c>
    </row>
    <row r="488" spans="1:10" x14ac:dyDescent="0.25">
      <c r="A488" t="str">
        <f>IF('01_Rohdaten'!A488="","",ROW()-1)</f>
        <v/>
      </c>
      <c r="B488" s="17" t="str">
        <f>IF('01_Rohdaten'!A488="","",'01_Rohdaten'!A488)</f>
        <v/>
      </c>
      <c r="C488" s="17" t="str">
        <f>IF(B488="","",INDEX('01_Rohdaten'!B488:D488,'02_Eingaben'!$C$13))</f>
        <v/>
      </c>
      <c r="D488" s="17" t="str">
        <f>IF(C488="","",C488*'02_Eingaben'!$C$15)</f>
        <v/>
      </c>
      <c r="E488" s="17" t="str">
        <f>IF(D488="","",D488*'02_Eingaben'!$C$8)</f>
        <v/>
      </c>
      <c r="F488" s="17" t="str">
        <f>IF(E488="","",AVERAGE(INDEX($E$2:$E$3001,MAX(1,ROW()-1-'02_Eingaben'!$C$17)):INDEX($E$2:$E$3001,MIN('02_Eingaben'!$C$21,ROW()-1+'02_Eingaben'!$C$17))))</f>
        <v/>
      </c>
      <c r="G488" s="17" t="str">
        <f>IF(F488="","",F488-'02_Eingaben'!$C$10)</f>
        <v/>
      </c>
      <c r="H488" t="str">
        <f>IF(F488="","",IF(F488&lt;'02_Eingaben'!$C$18*'02_Eingaben'!$C$10,1,0))</f>
        <v/>
      </c>
      <c r="I488" s="17" t="str">
        <f t="shared" si="7"/>
        <v/>
      </c>
      <c r="J488" s="17" t="str">
        <f>IF(B488="","",IF(B487&lt;'02_Eingaben'!$C$36,0,J487+I487/'02_Eingaben'!$C$8))</f>
        <v/>
      </c>
    </row>
    <row r="489" spans="1:10" x14ac:dyDescent="0.25">
      <c r="A489" t="str">
        <f>IF('01_Rohdaten'!A489="","",ROW()-1)</f>
        <v/>
      </c>
      <c r="B489" s="17" t="str">
        <f>IF('01_Rohdaten'!A489="","",'01_Rohdaten'!A489)</f>
        <v/>
      </c>
      <c r="C489" s="17" t="str">
        <f>IF(B489="","",INDEX('01_Rohdaten'!B489:D489,'02_Eingaben'!$C$13))</f>
        <v/>
      </c>
      <c r="D489" s="17" t="str">
        <f>IF(C489="","",C489*'02_Eingaben'!$C$15)</f>
        <v/>
      </c>
      <c r="E489" s="17" t="str">
        <f>IF(D489="","",D489*'02_Eingaben'!$C$8)</f>
        <v/>
      </c>
      <c r="F489" s="17" t="str">
        <f>IF(E489="","",AVERAGE(INDEX($E$2:$E$3001,MAX(1,ROW()-1-'02_Eingaben'!$C$17)):INDEX($E$2:$E$3001,MIN('02_Eingaben'!$C$21,ROW()-1+'02_Eingaben'!$C$17))))</f>
        <v/>
      </c>
      <c r="G489" s="17" t="str">
        <f>IF(F489="","",F489-'02_Eingaben'!$C$10)</f>
        <v/>
      </c>
      <c r="H489" t="str">
        <f>IF(F489="","",IF(F489&lt;'02_Eingaben'!$C$18*'02_Eingaben'!$C$10,1,0))</f>
        <v/>
      </c>
      <c r="I489" s="17" t="str">
        <f t="shared" si="7"/>
        <v/>
      </c>
      <c r="J489" s="17" t="str">
        <f>IF(B489="","",IF(B488&lt;'02_Eingaben'!$C$36,0,J488+I488/'02_Eingaben'!$C$8))</f>
        <v/>
      </c>
    </row>
    <row r="490" spans="1:10" x14ac:dyDescent="0.25">
      <c r="A490" t="str">
        <f>IF('01_Rohdaten'!A490="","",ROW()-1)</f>
        <v/>
      </c>
      <c r="B490" s="17" t="str">
        <f>IF('01_Rohdaten'!A490="","",'01_Rohdaten'!A490)</f>
        <v/>
      </c>
      <c r="C490" s="17" t="str">
        <f>IF(B490="","",INDEX('01_Rohdaten'!B490:D490,'02_Eingaben'!$C$13))</f>
        <v/>
      </c>
      <c r="D490" s="17" t="str">
        <f>IF(C490="","",C490*'02_Eingaben'!$C$15)</f>
        <v/>
      </c>
      <c r="E490" s="17" t="str">
        <f>IF(D490="","",D490*'02_Eingaben'!$C$8)</f>
        <v/>
      </c>
      <c r="F490" s="17" t="str">
        <f>IF(E490="","",AVERAGE(INDEX($E$2:$E$3001,MAX(1,ROW()-1-'02_Eingaben'!$C$17)):INDEX($E$2:$E$3001,MIN('02_Eingaben'!$C$21,ROW()-1+'02_Eingaben'!$C$17))))</f>
        <v/>
      </c>
      <c r="G490" s="17" t="str">
        <f>IF(F490="","",F490-'02_Eingaben'!$C$10)</f>
        <v/>
      </c>
      <c r="H490" t="str">
        <f>IF(F490="","",IF(F490&lt;'02_Eingaben'!$C$18*'02_Eingaben'!$C$10,1,0))</f>
        <v/>
      </c>
      <c r="I490" s="17" t="str">
        <f t="shared" si="7"/>
        <v/>
      </c>
      <c r="J490" s="17" t="str">
        <f>IF(B490="","",IF(B489&lt;'02_Eingaben'!$C$36,0,J489+I489/'02_Eingaben'!$C$8))</f>
        <v/>
      </c>
    </row>
    <row r="491" spans="1:10" x14ac:dyDescent="0.25">
      <c r="A491" t="str">
        <f>IF('01_Rohdaten'!A491="","",ROW()-1)</f>
        <v/>
      </c>
      <c r="B491" s="17" t="str">
        <f>IF('01_Rohdaten'!A491="","",'01_Rohdaten'!A491)</f>
        <v/>
      </c>
      <c r="C491" s="17" t="str">
        <f>IF(B491="","",INDEX('01_Rohdaten'!B491:D491,'02_Eingaben'!$C$13))</f>
        <v/>
      </c>
      <c r="D491" s="17" t="str">
        <f>IF(C491="","",C491*'02_Eingaben'!$C$15)</f>
        <v/>
      </c>
      <c r="E491" s="17" t="str">
        <f>IF(D491="","",D491*'02_Eingaben'!$C$8)</f>
        <v/>
      </c>
      <c r="F491" s="17" t="str">
        <f>IF(E491="","",AVERAGE(INDEX($E$2:$E$3001,MAX(1,ROW()-1-'02_Eingaben'!$C$17)):INDEX($E$2:$E$3001,MIN('02_Eingaben'!$C$21,ROW()-1+'02_Eingaben'!$C$17))))</f>
        <v/>
      </c>
      <c r="G491" s="17" t="str">
        <f>IF(F491="","",F491-'02_Eingaben'!$C$10)</f>
        <v/>
      </c>
      <c r="H491" t="str">
        <f>IF(F491="","",IF(F491&lt;'02_Eingaben'!$C$18*'02_Eingaben'!$C$10,1,0))</f>
        <v/>
      </c>
      <c r="I491" s="17" t="str">
        <f t="shared" si="7"/>
        <v/>
      </c>
      <c r="J491" s="17" t="str">
        <f>IF(B491="","",IF(B490&lt;'02_Eingaben'!$C$36,0,J490+I490/'02_Eingaben'!$C$8))</f>
        <v/>
      </c>
    </row>
    <row r="492" spans="1:10" x14ac:dyDescent="0.25">
      <c r="A492" t="str">
        <f>IF('01_Rohdaten'!A492="","",ROW()-1)</f>
        <v/>
      </c>
      <c r="B492" s="17" t="str">
        <f>IF('01_Rohdaten'!A492="","",'01_Rohdaten'!A492)</f>
        <v/>
      </c>
      <c r="C492" s="17" t="str">
        <f>IF(B492="","",INDEX('01_Rohdaten'!B492:D492,'02_Eingaben'!$C$13))</f>
        <v/>
      </c>
      <c r="D492" s="17" t="str">
        <f>IF(C492="","",C492*'02_Eingaben'!$C$15)</f>
        <v/>
      </c>
      <c r="E492" s="17" t="str">
        <f>IF(D492="","",D492*'02_Eingaben'!$C$8)</f>
        <v/>
      </c>
      <c r="F492" s="17" t="str">
        <f>IF(E492="","",AVERAGE(INDEX($E$2:$E$3001,MAX(1,ROW()-1-'02_Eingaben'!$C$17)):INDEX($E$2:$E$3001,MIN('02_Eingaben'!$C$21,ROW()-1+'02_Eingaben'!$C$17))))</f>
        <v/>
      </c>
      <c r="G492" s="17" t="str">
        <f>IF(F492="","",F492-'02_Eingaben'!$C$10)</f>
        <v/>
      </c>
      <c r="H492" t="str">
        <f>IF(F492="","",IF(F492&lt;'02_Eingaben'!$C$18*'02_Eingaben'!$C$10,1,0))</f>
        <v/>
      </c>
      <c r="I492" s="17" t="str">
        <f t="shared" si="7"/>
        <v/>
      </c>
      <c r="J492" s="17" t="str">
        <f>IF(B492="","",IF(B491&lt;'02_Eingaben'!$C$36,0,J491+I491/'02_Eingaben'!$C$8))</f>
        <v/>
      </c>
    </row>
    <row r="493" spans="1:10" x14ac:dyDescent="0.25">
      <c r="A493" t="str">
        <f>IF('01_Rohdaten'!A493="","",ROW()-1)</f>
        <v/>
      </c>
      <c r="B493" s="17" t="str">
        <f>IF('01_Rohdaten'!A493="","",'01_Rohdaten'!A493)</f>
        <v/>
      </c>
      <c r="C493" s="17" t="str">
        <f>IF(B493="","",INDEX('01_Rohdaten'!B493:D493,'02_Eingaben'!$C$13))</f>
        <v/>
      </c>
      <c r="D493" s="17" t="str">
        <f>IF(C493="","",C493*'02_Eingaben'!$C$15)</f>
        <v/>
      </c>
      <c r="E493" s="17" t="str">
        <f>IF(D493="","",D493*'02_Eingaben'!$C$8)</f>
        <v/>
      </c>
      <c r="F493" s="17" t="str">
        <f>IF(E493="","",AVERAGE(INDEX($E$2:$E$3001,MAX(1,ROW()-1-'02_Eingaben'!$C$17)):INDEX($E$2:$E$3001,MIN('02_Eingaben'!$C$21,ROW()-1+'02_Eingaben'!$C$17))))</f>
        <v/>
      </c>
      <c r="G493" s="17" t="str">
        <f>IF(F493="","",F493-'02_Eingaben'!$C$10)</f>
        <v/>
      </c>
      <c r="H493" t="str">
        <f>IF(F493="","",IF(F493&lt;'02_Eingaben'!$C$18*'02_Eingaben'!$C$10,1,0))</f>
        <v/>
      </c>
      <c r="I493" s="17" t="str">
        <f t="shared" si="7"/>
        <v/>
      </c>
      <c r="J493" s="17" t="str">
        <f>IF(B493="","",IF(B492&lt;'02_Eingaben'!$C$36,0,J492+I492/'02_Eingaben'!$C$8))</f>
        <v/>
      </c>
    </row>
    <row r="494" spans="1:10" x14ac:dyDescent="0.25">
      <c r="A494" t="str">
        <f>IF('01_Rohdaten'!A494="","",ROW()-1)</f>
        <v/>
      </c>
      <c r="B494" s="17" t="str">
        <f>IF('01_Rohdaten'!A494="","",'01_Rohdaten'!A494)</f>
        <v/>
      </c>
      <c r="C494" s="17" t="str">
        <f>IF(B494="","",INDEX('01_Rohdaten'!B494:D494,'02_Eingaben'!$C$13))</f>
        <v/>
      </c>
      <c r="D494" s="17" t="str">
        <f>IF(C494="","",C494*'02_Eingaben'!$C$15)</f>
        <v/>
      </c>
      <c r="E494" s="17" t="str">
        <f>IF(D494="","",D494*'02_Eingaben'!$C$8)</f>
        <v/>
      </c>
      <c r="F494" s="17" t="str">
        <f>IF(E494="","",AVERAGE(INDEX($E$2:$E$3001,MAX(1,ROW()-1-'02_Eingaben'!$C$17)):INDEX($E$2:$E$3001,MIN('02_Eingaben'!$C$21,ROW()-1+'02_Eingaben'!$C$17))))</f>
        <v/>
      </c>
      <c r="G494" s="17" t="str">
        <f>IF(F494="","",F494-'02_Eingaben'!$C$10)</f>
        <v/>
      </c>
      <c r="H494" t="str">
        <f>IF(F494="","",IF(F494&lt;'02_Eingaben'!$C$18*'02_Eingaben'!$C$10,1,0))</f>
        <v/>
      </c>
      <c r="I494" s="17" t="str">
        <f t="shared" si="7"/>
        <v/>
      </c>
      <c r="J494" s="17" t="str">
        <f>IF(B494="","",IF(B493&lt;'02_Eingaben'!$C$36,0,J493+I493/'02_Eingaben'!$C$8))</f>
        <v/>
      </c>
    </row>
    <row r="495" spans="1:10" x14ac:dyDescent="0.25">
      <c r="A495" t="str">
        <f>IF('01_Rohdaten'!A495="","",ROW()-1)</f>
        <v/>
      </c>
      <c r="B495" s="17" t="str">
        <f>IF('01_Rohdaten'!A495="","",'01_Rohdaten'!A495)</f>
        <v/>
      </c>
      <c r="C495" s="17" t="str">
        <f>IF(B495="","",INDEX('01_Rohdaten'!B495:D495,'02_Eingaben'!$C$13))</f>
        <v/>
      </c>
      <c r="D495" s="17" t="str">
        <f>IF(C495="","",C495*'02_Eingaben'!$C$15)</f>
        <v/>
      </c>
      <c r="E495" s="17" t="str">
        <f>IF(D495="","",D495*'02_Eingaben'!$C$8)</f>
        <v/>
      </c>
      <c r="F495" s="17" t="str">
        <f>IF(E495="","",AVERAGE(INDEX($E$2:$E$3001,MAX(1,ROW()-1-'02_Eingaben'!$C$17)):INDEX($E$2:$E$3001,MIN('02_Eingaben'!$C$21,ROW()-1+'02_Eingaben'!$C$17))))</f>
        <v/>
      </c>
      <c r="G495" s="17" t="str">
        <f>IF(F495="","",F495-'02_Eingaben'!$C$10)</f>
        <v/>
      </c>
      <c r="H495" t="str">
        <f>IF(F495="","",IF(F495&lt;'02_Eingaben'!$C$18*'02_Eingaben'!$C$10,1,0))</f>
        <v/>
      </c>
      <c r="I495" s="17" t="str">
        <f t="shared" si="7"/>
        <v/>
      </c>
      <c r="J495" s="17" t="str">
        <f>IF(B495="","",IF(B494&lt;'02_Eingaben'!$C$36,0,J494+I494/'02_Eingaben'!$C$8))</f>
        <v/>
      </c>
    </row>
    <row r="496" spans="1:10" x14ac:dyDescent="0.25">
      <c r="A496" t="str">
        <f>IF('01_Rohdaten'!A496="","",ROW()-1)</f>
        <v/>
      </c>
      <c r="B496" s="17" t="str">
        <f>IF('01_Rohdaten'!A496="","",'01_Rohdaten'!A496)</f>
        <v/>
      </c>
      <c r="C496" s="17" t="str">
        <f>IF(B496="","",INDEX('01_Rohdaten'!B496:D496,'02_Eingaben'!$C$13))</f>
        <v/>
      </c>
      <c r="D496" s="17" t="str">
        <f>IF(C496="","",C496*'02_Eingaben'!$C$15)</f>
        <v/>
      </c>
      <c r="E496" s="17" t="str">
        <f>IF(D496="","",D496*'02_Eingaben'!$C$8)</f>
        <v/>
      </c>
      <c r="F496" s="17" t="str">
        <f>IF(E496="","",AVERAGE(INDEX($E$2:$E$3001,MAX(1,ROW()-1-'02_Eingaben'!$C$17)):INDEX($E$2:$E$3001,MIN('02_Eingaben'!$C$21,ROW()-1+'02_Eingaben'!$C$17))))</f>
        <v/>
      </c>
      <c r="G496" s="17" t="str">
        <f>IF(F496="","",F496-'02_Eingaben'!$C$10)</f>
        <v/>
      </c>
      <c r="H496" t="str">
        <f>IF(F496="","",IF(F496&lt;'02_Eingaben'!$C$18*'02_Eingaben'!$C$10,1,0))</f>
        <v/>
      </c>
      <c r="I496" s="17" t="str">
        <f t="shared" si="7"/>
        <v/>
      </c>
      <c r="J496" s="17" t="str">
        <f>IF(B496="","",IF(B495&lt;'02_Eingaben'!$C$36,0,J495+I495/'02_Eingaben'!$C$8))</f>
        <v/>
      </c>
    </row>
    <row r="497" spans="1:10" x14ac:dyDescent="0.25">
      <c r="A497" t="str">
        <f>IF('01_Rohdaten'!A497="","",ROW()-1)</f>
        <v/>
      </c>
      <c r="B497" s="17" t="str">
        <f>IF('01_Rohdaten'!A497="","",'01_Rohdaten'!A497)</f>
        <v/>
      </c>
      <c r="C497" s="17" t="str">
        <f>IF(B497="","",INDEX('01_Rohdaten'!B497:D497,'02_Eingaben'!$C$13))</f>
        <v/>
      </c>
      <c r="D497" s="17" t="str">
        <f>IF(C497="","",C497*'02_Eingaben'!$C$15)</f>
        <v/>
      </c>
      <c r="E497" s="17" t="str">
        <f>IF(D497="","",D497*'02_Eingaben'!$C$8)</f>
        <v/>
      </c>
      <c r="F497" s="17" t="str">
        <f>IF(E497="","",AVERAGE(INDEX($E$2:$E$3001,MAX(1,ROW()-1-'02_Eingaben'!$C$17)):INDEX($E$2:$E$3001,MIN('02_Eingaben'!$C$21,ROW()-1+'02_Eingaben'!$C$17))))</f>
        <v/>
      </c>
      <c r="G497" s="17" t="str">
        <f>IF(F497="","",F497-'02_Eingaben'!$C$10)</f>
        <v/>
      </c>
      <c r="H497" t="str">
        <f>IF(F497="","",IF(F497&lt;'02_Eingaben'!$C$18*'02_Eingaben'!$C$10,1,0))</f>
        <v/>
      </c>
      <c r="I497" s="17" t="str">
        <f t="shared" si="7"/>
        <v/>
      </c>
      <c r="J497" s="17" t="str">
        <f>IF(B497="","",IF(B496&lt;'02_Eingaben'!$C$36,0,J496+I496/'02_Eingaben'!$C$8))</f>
        <v/>
      </c>
    </row>
    <row r="498" spans="1:10" x14ac:dyDescent="0.25">
      <c r="A498" t="str">
        <f>IF('01_Rohdaten'!A498="","",ROW()-1)</f>
        <v/>
      </c>
      <c r="B498" s="17" t="str">
        <f>IF('01_Rohdaten'!A498="","",'01_Rohdaten'!A498)</f>
        <v/>
      </c>
      <c r="C498" s="17" t="str">
        <f>IF(B498="","",INDEX('01_Rohdaten'!B498:D498,'02_Eingaben'!$C$13))</f>
        <v/>
      </c>
      <c r="D498" s="17" t="str">
        <f>IF(C498="","",C498*'02_Eingaben'!$C$15)</f>
        <v/>
      </c>
      <c r="E498" s="17" t="str">
        <f>IF(D498="","",D498*'02_Eingaben'!$C$8)</f>
        <v/>
      </c>
      <c r="F498" s="17" t="str">
        <f>IF(E498="","",AVERAGE(INDEX($E$2:$E$3001,MAX(1,ROW()-1-'02_Eingaben'!$C$17)):INDEX($E$2:$E$3001,MIN('02_Eingaben'!$C$21,ROW()-1+'02_Eingaben'!$C$17))))</f>
        <v/>
      </c>
      <c r="G498" s="17" t="str">
        <f>IF(F498="","",F498-'02_Eingaben'!$C$10)</f>
        <v/>
      </c>
      <c r="H498" t="str">
        <f>IF(F498="","",IF(F498&lt;'02_Eingaben'!$C$18*'02_Eingaben'!$C$10,1,0))</f>
        <v/>
      </c>
      <c r="I498" s="17" t="str">
        <f t="shared" si="7"/>
        <v/>
      </c>
      <c r="J498" s="17" t="str">
        <f>IF(B498="","",IF(B497&lt;'02_Eingaben'!$C$36,0,J497+I497/'02_Eingaben'!$C$8))</f>
        <v/>
      </c>
    </row>
    <row r="499" spans="1:10" x14ac:dyDescent="0.25">
      <c r="A499" t="str">
        <f>IF('01_Rohdaten'!A499="","",ROW()-1)</f>
        <v/>
      </c>
      <c r="B499" s="17" t="str">
        <f>IF('01_Rohdaten'!A499="","",'01_Rohdaten'!A499)</f>
        <v/>
      </c>
      <c r="C499" s="17" t="str">
        <f>IF(B499="","",INDEX('01_Rohdaten'!B499:D499,'02_Eingaben'!$C$13))</f>
        <v/>
      </c>
      <c r="D499" s="17" t="str">
        <f>IF(C499="","",C499*'02_Eingaben'!$C$15)</f>
        <v/>
      </c>
      <c r="E499" s="17" t="str">
        <f>IF(D499="","",D499*'02_Eingaben'!$C$8)</f>
        <v/>
      </c>
      <c r="F499" s="17" t="str">
        <f>IF(E499="","",AVERAGE(INDEX($E$2:$E$3001,MAX(1,ROW()-1-'02_Eingaben'!$C$17)):INDEX($E$2:$E$3001,MIN('02_Eingaben'!$C$21,ROW()-1+'02_Eingaben'!$C$17))))</f>
        <v/>
      </c>
      <c r="G499" s="17" t="str">
        <f>IF(F499="","",F499-'02_Eingaben'!$C$10)</f>
        <v/>
      </c>
      <c r="H499" t="str">
        <f>IF(F499="","",IF(F499&lt;'02_Eingaben'!$C$18*'02_Eingaben'!$C$10,1,0))</f>
        <v/>
      </c>
      <c r="I499" s="17" t="str">
        <f t="shared" si="7"/>
        <v/>
      </c>
      <c r="J499" s="17" t="str">
        <f>IF(B499="","",IF(B498&lt;'02_Eingaben'!$C$36,0,J498+I498/'02_Eingaben'!$C$8))</f>
        <v/>
      </c>
    </row>
    <row r="500" spans="1:10" x14ac:dyDescent="0.25">
      <c r="A500" t="str">
        <f>IF('01_Rohdaten'!A500="","",ROW()-1)</f>
        <v/>
      </c>
      <c r="B500" s="17" t="str">
        <f>IF('01_Rohdaten'!A500="","",'01_Rohdaten'!A500)</f>
        <v/>
      </c>
      <c r="C500" s="17" t="str">
        <f>IF(B500="","",INDEX('01_Rohdaten'!B500:D500,'02_Eingaben'!$C$13))</f>
        <v/>
      </c>
      <c r="D500" s="17" t="str">
        <f>IF(C500="","",C500*'02_Eingaben'!$C$15)</f>
        <v/>
      </c>
      <c r="E500" s="17" t="str">
        <f>IF(D500="","",D500*'02_Eingaben'!$C$8)</f>
        <v/>
      </c>
      <c r="F500" s="17" t="str">
        <f>IF(E500="","",AVERAGE(INDEX($E$2:$E$3001,MAX(1,ROW()-1-'02_Eingaben'!$C$17)):INDEX($E$2:$E$3001,MIN('02_Eingaben'!$C$21,ROW()-1+'02_Eingaben'!$C$17))))</f>
        <v/>
      </c>
      <c r="G500" s="17" t="str">
        <f>IF(F500="","",F500-'02_Eingaben'!$C$10)</f>
        <v/>
      </c>
      <c r="H500" t="str">
        <f>IF(F500="","",IF(F500&lt;'02_Eingaben'!$C$18*'02_Eingaben'!$C$10,1,0))</f>
        <v/>
      </c>
      <c r="I500" s="17" t="str">
        <f t="shared" si="7"/>
        <v/>
      </c>
      <c r="J500" s="17" t="str">
        <f>IF(B500="","",IF(B499&lt;'02_Eingaben'!$C$36,0,J499+I499/'02_Eingaben'!$C$8))</f>
        <v/>
      </c>
    </row>
    <row r="501" spans="1:10" x14ac:dyDescent="0.25">
      <c r="A501" t="str">
        <f>IF('01_Rohdaten'!A501="","",ROW()-1)</f>
        <v/>
      </c>
      <c r="B501" s="17" t="str">
        <f>IF('01_Rohdaten'!A501="","",'01_Rohdaten'!A501)</f>
        <v/>
      </c>
      <c r="C501" s="17" t="str">
        <f>IF(B501="","",INDEX('01_Rohdaten'!B501:D501,'02_Eingaben'!$C$13))</f>
        <v/>
      </c>
      <c r="D501" s="17" t="str">
        <f>IF(C501="","",C501*'02_Eingaben'!$C$15)</f>
        <v/>
      </c>
      <c r="E501" s="17" t="str">
        <f>IF(D501="","",D501*'02_Eingaben'!$C$8)</f>
        <v/>
      </c>
      <c r="F501" s="17" t="str">
        <f>IF(E501="","",AVERAGE(INDEX($E$2:$E$3001,MAX(1,ROW()-1-'02_Eingaben'!$C$17)):INDEX($E$2:$E$3001,MIN('02_Eingaben'!$C$21,ROW()-1+'02_Eingaben'!$C$17))))</f>
        <v/>
      </c>
      <c r="G501" s="17" t="str">
        <f>IF(F501="","",F501-'02_Eingaben'!$C$10)</f>
        <v/>
      </c>
      <c r="H501" t="str">
        <f>IF(F501="","",IF(F501&lt;'02_Eingaben'!$C$18*'02_Eingaben'!$C$10,1,0))</f>
        <v/>
      </c>
      <c r="I501" s="17" t="str">
        <f t="shared" si="7"/>
        <v/>
      </c>
      <c r="J501" s="17" t="str">
        <f>IF(B501="","",IF(B500&lt;'02_Eingaben'!$C$36,0,J500+I500/'02_Eingaben'!$C$8))</f>
        <v/>
      </c>
    </row>
    <row r="502" spans="1:10" x14ac:dyDescent="0.25">
      <c r="A502" t="str">
        <f>IF('01_Rohdaten'!A502="","",ROW()-1)</f>
        <v/>
      </c>
      <c r="B502" s="17" t="str">
        <f>IF('01_Rohdaten'!A502="","",'01_Rohdaten'!A502)</f>
        <v/>
      </c>
      <c r="C502" s="17" t="str">
        <f>IF(B502="","",INDEX('01_Rohdaten'!B502:D502,'02_Eingaben'!$C$13))</f>
        <v/>
      </c>
      <c r="D502" s="17" t="str">
        <f>IF(C502="","",C502*'02_Eingaben'!$C$15)</f>
        <v/>
      </c>
      <c r="E502" s="17" t="str">
        <f>IF(D502="","",D502*'02_Eingaben'!$C$8)</f>
        <v/>
      </c>
      <c r="F502" s="17" t="str">
        <f>IF(E502="","",AVERAGE(INDEX($E$2:$E$3001,MAX(1,ROW()-1-'02_Eingaben'!$C$17)):INDEX($E$2:$E$3001,MIN('02_Eingaben'!$C$21,ROW()-1+'02_Eingaben'!$C$17))))</f>
        <v/>
      </c>
      <c r="G502" s="17" t="str">
        <f>IF(F502="","",F502-'02_Eingaben'!$C$10)</f>
        <v/>
      </c>
      <c r="H502" t="str">
        <f>IF(F502="","",IF(F502&lt;'02_Eingaben'!$C$18*'02_Eingaben'!$C$10,1,0))</f>
        <v/>
      </c>
      <c r="I502" s="17" t="str">
        <f t="shared" si="7"/>
        <v/>
      </c>
      <c r="J502" s="17" t="str">
        <f>IF(B502="","",IF(B501&lt;'02_Eingaben'!$C$36,0,J501+I501/'02_Eingaben'!$C$8))</f>
        <v/>
      </c>
    </row>
    <row r="503" spans="1:10" x14ac:dyDescent="0.25">
      <c r="A503" t="str">
        <f>IF('01_Rohdaten'!A503="","",ROW()-1)</f>
        <v/>
      </c>
      <c r="B503" s="17" t="str">
        <f>IF('01_Rohdaten'!A503="","",'01_Rohdaten'!A503)</f>
        <v/>
      </c>
      <c r="C503" s="17" t="str">
        <f>IF(B503="","",INDEX('01_Rohdaten'!B503:D503,'02_Eingaben'!$C$13))</f>
        <v/>
      </c>
      <c r="D503" s="17" t="str">
        <f>IF(C503="","",C503*'02_Eingaben'!$C$15)</f>
        <v/>
      </c>
      <c r="E503" s="17" t="str">
        <f>IF(D503="","",D503*'02_Eingaben'!$C$8)</f>
        <v/>
      </c>
      <c r="F503" s="17" t="str">
        <f>IF(E503="","",AVERAGE(INDEX($E$2:$E$3001,MAX(1,ROW()-1-'02_Eingaben'!$C$17)):INDEX($E$2:$E$3001,MIN('02_Eingaben'!$C$21,ROW()-1+'02_Eingaben'!$C$17))))</f>
        <v/>
      </c>
      <c r="G503" s="17" t="str">
        <f>IF(F503="","",F503-'02_Eingaben'!$C$10)</f>
        <v/>
      </c>
      <c r="H503" t="str">
        <f>IF(F503="","",IF(F503&lt;'02_Eingaben'!$C$18*'02_Eingaben'!$C$10,1,0))</f>
        <v/>
      </c>
      <c r="I503" s="17" t="str">
        <f t="shared" si="7"/>
        <v/>
      </c>
      <c r="J503" s="17" t="str">
        <f>IF(B503="","",IF(B502&lt;'02_Eingaben'!$C$36,0,J502+I502/'02_Eingaben'!$C$8))</f>
        <v/>
      </c>
    </row>
    <row r="504" spans="1:10" x14ac:dyDescent="0.25">
      <c r="A504" t="str">
        <f>IF('01_Rohdaten'!A504="","",ROW()-1)</f>
        <v/>
      </c>
      <c r="B504" s="17" t="str">
        <f>IF('01_Rohdaten'!A504="","",'01_Rohdaten'!A504)</f>
        <v/>
      </c>
      <c r="C504" s="17" t="str">
        <f>IF(B504="","",INDEX('01_Rohdaten'!B504:D504,'02_Eingaben'!$C$13))</f>
        <v/>
      </c>
      <c r="D504" s="17" t="str">
        <f>IF(C504="","",C504*'02_Eingaben'!$C$15)</f>
        <v/>
      </c>
      <c r="E504" s="17" t="str">
        <f>IF(D504="","",D504*'02_Eingaben'!$C$8)</f>
        <v/>
      </c>
      <c r="F504" s="17" t="str">
        <f>IF(E504="","",AVERAGE(INDEX($E$2:$E$3001,MAX(1,ROW()-1-'02_Eingaben'!$C$17)):INDEX($E$2:$E$3001,MIN('02_Eingaben'!$C$21,ROW()-1+'02_Eingaben'!$C$17))))</f>
        <v/>
      </c>
      <c r="G504" s="17" t="str">
        <f>IF(F504="","",F504-'02_Eingaben'!$C$10)</f>
        <v/>
      </c>
      <c r="H504" t="str">
        <f>IF(F504="","",IF(F504&lt;'02_Eingaben'!$C$18*'02_Eingaben'!$C$10,1,0))</f>
        <v/>
      </c>
      <c r="I504" s="17" t="str">
        <f t="shared" si="7"/>
        <v/>
      </c>
      <c r="J504" s="17" t="str">
        <f>IF(B504="","",IF(B503&lt;'02_Eingaben'!$C$36,0,J503+I503/'02_Eingaben'!$C$8))</f>
        <v/>
      </c>
    </row>
    <row r="505" spans="1:10" x14ac:dyDescent="0.25">
      <c r="A505" t="str">
        <f>IF('01_Rohdaten'!A505="","",ROW()-1)</f>
        <v/>
      </c>
      <c r="B505" s="17" t="str">
        <f>IF('01_Rohdaten'!A505="","",'01_Rohdaten'!A505)</f>
        <v/>
      </c>
      <c r="C505" s="17" t="str">
        <f>IF(B505="","",INDEX('01_Rohdaten'!B505:D505,'02_Eingaben'!$C$13))</f>
        <v/>
      </c>
      <c r="D505" s="17" t="str">
        <f>IF(C505="","",C505*'02_Eingaben'!$C$15)</f>
        <v/>
      </c>
      <c r="E505" s="17" t="str">
        <f>IF(D505="","",D505*'02_Eingaben'!$C$8)</f>
        <v/>
      </c>
      <c r="F505" s="17" t="str">
        <f>IF(E505="","",AVERAGE(INDEX($E$2:$E$3001,MAX(1,ROW()-1-'02_Eingaben'!$C$17)):INDEX($E$2:$E$3001,MIN('02_Eingaben'!$C$21,ROW()-1+'02_Eingaben'!$C$17))))</f>
        <v/>
      </c>
      <c r="G505" s="17" t="str">
        <f>IF(F505="","",F505-'02_Eingaben'!$C$10)</f>
        <v/>
      </c>
      <c r="H505" t="str">
        <f>IF(F505="","",IF(F505&lt;'02_Eingaben'!$C$18*'02_Eingaben'!$C$10,1,0))</f>
        <v/>
      </c>
      <c r="I505" s="17" t="str">
        <f t="shared" si="7"/>
        <v/>
      </c>
      <c r="J505" s="17" t="str">
        <f>IF(B505="","",IF(B504&lt;'02_Eingaben'!$C$36,0,J504+I504/'02_Eingaben'!$C$8))</f>
        <v/>
      </c>
    </row>
    <row r="506" spans="1:10" x14ac:dyDescent="0.25">
      <c r="A506" t="str">
        <f>IF('01_Rohdaten'!A506="","",ROW()-1)</f>
        <v/>
      </c>
      <c r="B506" s="17" t="str">
        <f>IF('01_Rohdaten'!A506="","",'01_Rohdaten'!A506)</f>
        <v/>
      </c>
      <c r="C506" s="17" t="str">
        <f>IF(B506="","",INDEX('01_Rohdaten'!B506:D506,'02_Eingaben'!$C$13))</f>
        <v/>
      </c>
      <c r="D506" s="17" t="str">
        <f>IF(C506="","",C506*'02_Eingaben'!$C$15)</f>
        <v/>
      </c>
      <c r="E506" s="17" t="str">
        <f>IF(D506="","",D506*'02_Eingaben'!$C$8)</f>
        <v/>
      </c>
      <c r="F506" s="17" t="str">
        <f>IF(E506="","",AVERAGE(INDEX($E$2:$E$3001,MAX(1,ROW()-1-'02_Eingaben'!$C$17)):INDEX($E$2:$E$3001,MIN('02_Eingaben'!$C$21,ROW()-1+'02_Eingaben'!$C$17))))</f>
        <v/>
      </c>
      <c r="G506" s="17" t="str">
        <f>IF(F506="","",F506-'02_Eingaben'!$C$10)</f>
        <v/>
      </c>
      <c r="H506" t="str">
        <f>IF(F506="","",IF(F506&lt;'02_Eingaben'!$C$18*'02_Eingaben'!$C$10,1,0))</f>
        <v/>
      </c>
      <c r="I506" s="17" t="str">
        <f t="shared" si="7"/>
        <v/>
      </c>
      <c r="J506" s="17" t="str">
        <f>IF(B506="","",IF(B505&lt;'02_Eingaben'!$C$36,0,J505+I505/'02_Eingaben'!$C$8))</f>
        <v/>
      </c>
    </row>
    <row r="507" spans="1:10" x14ac:dyDescent="0.25">
      <c r="A507" t="str">
        <f>IF('01_Rohdaten'!A507="","",ROW()-1)</f>
        <v/>
      </c>
      <c r="B507" s="17" t="str">
        <f>IF('01_Rohdaten'!A507="","",'01_Rohdaten'!A507)</f>
        <v/>
      </c>
      <c r="C507" s="17" t="str">
        <f>IF(B507="","",INDEX('01_Rohdaten'!B507:D507,'02_Eingaben'!$C$13))</f>
        <v/>
      </c>
      <c r="D507" s="17" t="str">
        <f>IF(C507="","",C507*'02_Eingaben'!$C$15)</f>
        <v/>
      </c>
      <c r="E507" s="17" t="str">
        <f>IF(D507="","",D507*'02_Eingaben'!$C$8)</f>
        <v/>
      </c>
      <c r="F507" s="17" t="str">
        <f>IF(E507="","",AVERAGE(INDEX($E$2:$E$3001,MAX(1,ROW()-1-'02_Eingaben'!$C$17)):INDEX($E$2:$E$3001,MIN('02_Eingaben'!$C$21,ROW()-1+'02_Eingaben'!$C$17))))</f>
        <v/>
      </c>
      <c r="G507" s="17" t="str">
        <f>IF(F507="","",F507-'02_Eingaben'!$C$10)</f>
        <v/>
      </c>
      <c r="H507" t="str">
        <f>IF(F507="","",IF(F507&lt;'02_Eingaben'!$C$18*'02_Eingaben'!$C$10,1,0))</f>
        <v/>
      </c>
      <c r="I507" s="17" t="str">
        <f t="shared" si="7"/>
        <v/>
      </c>
      <c r="J507" s="17" t="str">
        <f>IF(B507="","",IF(B506&lt;'02_Eingaben'!$C$36,0,J506+I506/'02_Eingaben'!$C$8))</f>
        <v/>
      </c>
    </row>
    <row r="508" spans="1:10" x14ac:dyDescent="0.25">
      <c r="A508" t="str">
        <f>IF('01_Rohdaten'!A508="","",ROW()-1)</f>
        <v/>
      </c>
      <c r="B508" s="17" t="str">
        <f>IF('01_Rohdaten'!A508="","",'01_Rohdaten'!A508)</f>
        <v/>
      </c>
      <c r="C508" s="17" t="str">
        <f>IF(B508="","",INDEX('01_Rohdaten'!B508:D508,'02_Eingaben'!$C$13))</f>
        <v/>
      </c>
      <c r="D508" s="17" t="str">
        <f>IF(C508="","",C508*'02_Eingaben'!$C$15)</f>
        <v/>
      </c>
      <c r="E508" s="17" t="str">
        <f>IF(D508="","",D508*'02_Eingaben'!$C$8)</f>
        <v/>
      </c>
      <c r="F508" s="17" t="str">
        <f>IF(E508="","",AVERAGE(INDEX($E$2:$E$3001,MAX(1,ROW()-1-'02_Eingaben'!$C$17)):INDEX($E$2:$E$3001,MIN('02_Eingaben'!$C$21,ROW()-1+'02_Eingaben'!$C$17))))</f>
        <v/>
      </c>
      <c r="G508" s="17" t="str">
        <f>IF(F508="","",F508-'02_Eingaben'!$C$10)</f>
        <v/>
      </c>
      <c r="H508" t="str">
        <f>IF(F508="","",IF(F508&lt;'02_Eingaben'!$C$18*'02_Eingaben'!$C$10,1,0))</f>
        <v/>
      </c>
      <c r="I508" s="17" t="str">
        <f t="shared" si="7"/>
        <v/>
      </c>
      <c r="J508" s="17" t="str">
        <f>IF(B508="","",IF(B507&lt;'02_Eingaben'!$C$36,0,J507+I507/'02_Eingaben'!$C$8))</f>
        <v/>
      </c>
    </row>
    <row r="509" spans="1:10" x14ac:dyDescent="0.25">
      <c r="A509" t="str">
        <f>IF('01_Rohdaten'!A509="","",ROW()-1)</f>
        <v/>
      </c>
      <c r="B509" s="17" t="str">
        <f>IF('01_Rohdaten'!A509="","",'01_Rohdaten'!A509)</f>
        <v/>
      </c>
      <c r="C509" s="17" t="str">
        <f>IF(B509="","",INDEX('01_Rohdaten'!B509:D509,'02_Eingaben'!$C$13))</f>
        <v/>
      </c>
      <c r="D509" s="17" t="str">
        <f>IF(C509="","",C509*'02_Eingaben'!$C$15)</f>
        <v/>
      </c>
      <c r="E509" s="17" t="str">
        <f>IF(D509="","",D509*'02_Eingaben'!$C$8)</f>
        <v/>
      </c>
      <c r="F509" s="17" t="str">
        <f>IF(E509="","",AVERAGE(INDEX($E$2:$E$3001,MAX(1,ROW()-1-'02_Eingaben'!$C$17)):INDEX($E$2:$E$3001,MIN('02_Eingaben'!$C$21,ROW()-1+'02_Eingaben'!$C$17))))</f>
        <v/>
      </c>
      <c r="G509" s="17" t="str">
        <f>IF(F509="","",F509-'02_Eingaben'!$C$10)</f>
        <v/>
      </c>
      <c r="H509" t="str">
        <f>IF(F509="","",IF(F509&lt;'02_Eingaben'!$C$18*'02_Eingaben'!$C$10,1,0))</f>
        <v/>
      </c>
      <c r="I509" s="17" t="str">
        <f t="shared" si="7"/>
        <v/>
      </c>
      <c r="J509" s="17" t="str">
        <f>IF(B509="","",IF(B508&lt;'02_Eingaben'!$C$36,0,J508+I508/'02_Eingaben'!$C$8))</f>
        <v/>
      </c>
    </row>
    <row r="510" spans="1:10" x14ac:dyDescent="0.25">
      <c r="A510" t="str">
        <f>IF('01_Rohdaten'!A510="","",ROW()-1)</f>
        <v/>
      </c>
      <c r="B510" s="17" t="str">
        <f>IF('01_Rohdaten'!A510="","",'01_Rohdaten'!A510)</f>
        <v/>
      </c>
      <c r="C510" s="17" t="str">
        <f>IF(B510="","",INDEX('01_Rohdaten'!B510:D510,'02_Eingaben'!$C$13))</f>
        <v/>
      </c>
      <c r="D510" s="17" t="str">
        <f>IF(C510="","",C510*'02_Eingaben'!$C$15)</f>
        <v/>
      </c>
      <c r="E510" s="17" t="str">
        <f>IF(D510="","",D510*'02_Eingaben'!$C$8)</f>
        <v/>
      </c>
      <c r="F510" s="17" t="str">
        <f>IF(E510="","",AVERAGE(INDEX($E$2:$E$3001,MAX(1,ROW()-1-'02_Eingaben'!$C$17)):INDEX($E$2:$E$3001,MIN('02_Eingaben'!$C$21,ROW()-1+'02_Eingaben'!$C$17))))</f>
        <v/>
      </c>
      <c r="G510" s="17" t="str">
        <f>IF(F510="","",F510-'02_Eingaben'!$C$10)</f>
        <v/>
      </c>
      <c r="H510" t="str">
        <f>IF(F510="","",IF(F510&lt;'02_Eingaben'!$C$18*'02_Eingaben'!$C$10,1,0))</f>
        <v/>
      </c>
      <c r="I510" s="17" t="str">
        <f t="shared" si="7"/>
        <v/>
      </c>
      <c r="J510" s="17" t="str">
        <f>IF(B510="","",IF(B509&lt;'02_Eingaben'!$C$36,0,J509+I509/'02_Eingaben'!$C$8))</f>
        <v/>
      </c>
    </row>
    <row r="511" spans="1:10" x14ac:dyDescent="0.25">
      <c r="A511" t="str">
        <f>IF('01_Rohdaten'!A511="","",ROW()-1)</f>
        <v/>
      </c>
      <c r="B511" s="17" t="str">
        <f>IF('01_Rohdaten'!A511="","",'01_Rohdaten'!A511)</f>
        <v/>
      </c>
      <c r="C511" s="17" t="str">
        <f>IF(B511="","",INDEX('01_Rohdaten'!B511:D511,'02_Eingaben'!$C$13))</f>
        <v/>
      </c>
      <c r="D511" s="17" t="str">
        <f>IF(C511="","",C511*'02_Eingaben'!$C$15)</f>
        <v/>
      </c>
      <c r="E511" s="17" t="str">
        <f>IF(D511="","",D511*'02_Eingaben'!$C$8)</f>
        <v/>
      </c>
      <c r="F511" s="17" t="str">
        <f>IF(E511="","",AVERAGE(INDEX($E$2:$E$3001,MAX(1,ROW()-1-'02_Eingaben'!$C$17)):INDEX($E$2:$E$3001,MIN('02_Eingaben'!$C$21,ROW()-1+'02_Eingaben'!$C$17))))</f>
        <v/>
      </c>
      <c r="G511" s="17" t="str">
        <f>IF(F511="","",F511-'02_Eingaben'!$C$10)</f>
        <v/>
      </c>
      <c r="H511" t="str">
        <f>IF(F511="","",IF(F511&lt;'02_Eingaben'!$C$18*'02_Eingaben'!$C$10,1,0))</f>
        <v/>
      </c>
      <c r="I511" s="17" t="str">
        <f t="shared" si="7"/>
        <v/>
      </c>
      <c r="J511" s="17" t="str">
        <f>IF(B511="","",IF(B510&lt;'02_Eingaben'!$C$36,0,J510+I510/'02_Eingaben'!$C$8))</f>
        <v/>
      </c>
    </row>
    <row r="512" spans="1:10" x14ac:dyDescent="0.25">
      <c r="A512" t="str">
        <f>IF('01_Rohdaten'!A512="","",ROW()-1)</f>
        <v/>
      </c>
      <c r="B512" s="17" t="str">
        <f>IF('01_Rohdaten'!A512="","",'01_Rohdaten'!A512)</f>
        <v/>
      </c>
      <c r="C512" s="17" t="str">
        <f>IF(B512="","",INDEX('01_Rohdaten'!B512:D512,'02_Eingaben'!$C$13))</f>
        <v/>
      </c>
      <c r="D512" s="17" t="str">
        <f>IF(C512="","",C512*'02_Eingaben'!$C$15)</f>
        <v/>
      </c>
      <c r="E512" s="17" t="str">
        <f>IF(D512="","",D512*'02_Eingaben'!$C$8)</f>
        <v/>
      </c>
      <c r="F512" s="17" t="str">
        <f>IF(E512="","",AVERAGE(INDEX($E$2:$E$3001,MAX(1,ROW()-1-'02_Eingaben'!$C$17)):INDEX($E$2:$E$3001,MIN('02_Eingaben'!$C$21,ROW()-1+'02_Eingaben'!$C$17))))</f>
        <v/>
      </c>
      <c r="G512" s="17" t="str">
        <f>IF(F512="","",F512-'02_Eingaben'!$C$10)</f>
        <v/>
      </c>
      <c r="H512" t="str">
        <f>IF(F512="","",IF(F512&lt;'02_Eingaben'!$C$18*'02_Eingaben'!$C$10,1,0))</f>
        <v/>
      </c>
      <c r="I512" s="17" t="str">
        <f t="shared" si="7"/>
        <v/>
      </c>
      <c r="J512" s="17" t="str">
        <f>IF(B512="","",IF(B511&lt;'02_Eingaben'!$C$36,0,J511+I511/'02_Eingaben'!$C$8))</f>
        <v/>
      </c>
    </row>
    <row r="513" spans="1:10" x14ac:dyDescent="0.25">
      <c r="A513" t="str">
        <f>IF('01_Rohdaten'!A513="","",ROW()-1)</f>
        <v/>
      </c>
      <c r="B513" s="17" t="str">
        <f>IF('01_Rohdaten'!A513="","",'01_Rohdaten'!A513)</f>
        <v/>
      </c>
      <c r="C513" s="17" t="str">
        <f>IF(B513="","",INDEX('01_Rohdaten'!B513:D513,'02_Eingaben'!$C$13))</f>
        <v/>
      </c>
      <c r="D513" s="17" t="str">
        <f>IF(C513="","",C513*'02_Eingaben'!$C$15)</f>
        <v/>
      </c>
      <c r="E513" s="17" t="str">
        <f>IF(D513="","",D513*'02_Eingaben'!$C$8)</f>
        <v/>
      </c>
      <c r="F513" s="17" t="str">
        <f>IF(E513="","",AVERAGE(INDEX($E$2:$E$3001,MAX(1,ROW()-1-'02_Eingaben'!$C$17)):INDEX($E$2:$E$3001,MIN('02_Eingaben'!$C$21,ROW()-1+'02_Eingaben'!$C$17))))</f>
        <v/>
      </c>
      <c r="G513" s="17" t="str">
        <f>IF(F513="","",F513-'02_Eingaben'!$C$10)</f>
        <v/>
      </c>
      <c r="H513" t="str">
        <f>IF(F513="","",IF(F513&lt;'02_Eingaben'!$C$18*'02_Eingaben'!$C$10,1,0))</f>
        <v/>
      </c>
      <c r="I513" s="17" t="str">
        <f t="shared" si="7"/>
        <v/>
      </c>
      <c r="J513" s="17" t="str">
        <f>IF(B513="","",IF(B512&lt;'02_Eingaben'!$C$36,0,J512+I512/'02_Eingaben'!$C$8))</f>
        <v/>
      </c>
    </row>
    <row r="514" spans="1:10" x14ac:dyDescent="0.25">
      <c r="A514" t="str">
        <f>IF('01_Rohdaten'!A514="","",ROW()-1)</f>
        <v/>
      </c>
      <c r="B514" s="17" t="str">
        <f>IF('01_Rohdaten'!A514="","",'01_Rohdaten'!A514)</f>
        <v/>
      </c>
      <c r="C514" s="17" t="str">
        <f>IF(B514="","",INDEX('01_Rohdaten'!B514:D514,'02_Eingaben'!$C$13))</f>
        <v/>
      </c>
      <c r="D514" s="17" t="str">
        <f>IF(C514="","",C514*'02_Eingaben'!$C$15)</f>
        <v/>
      </c>
      <c r="E514" s="17" t="str">
        <f>IF(D514="","",D514*'02_Eingaben'!$C$8)</f>
        <v/>
      </c>
      <c r="F514" s="17" t="str">
        <f>IF(E514="","",AVERAGE(INDEX($E$2:$E$3001,MAX(1,ROW()-1-'02_Eingaben'!$C$17)):INDEX($E$2:$E$3001,MIN('02_Eingaben'!$C$21,ROW()-1+'02_Eingaben'!$C$17))))</f>
        <v/>
      </c>
      <c r="G514" s="17" t="str">
        <f>IF(F514="","",F514-'02_Eingaben'!$C$10)</f>
        <v/>
      </c>
      <c r="H514" t="str">
        <f>IF(F514="","",IF(F514&lt;'02_Eingaben'!$C$18*'02_Eingaben'!$C$10,1,0))</f>
        <v/>
      </c>
      <c r="I514" s="17" t="str">
        <f t="shared" ref="I514:I577" si="8">IF(OR(G514="",G515=""),"",(G514+G515)/2*(B515-B514))</f>
        <v/>
      </c>
      <c r="J514" s="17" t="str">
        <f>IF(B514="","",IF(B513&lt;'02_Eingaben'!$C$36,0,J513+I513/'02_Eingaben'!$C$8))</f>
        <v/>
      </c>
    </row>
    <row r="515" spans="1:10" x14ac:dyDescent="0.25">
      <c r="A515" t="str">
        <f>IF('01_Rohdaten'!A515="","",ROW()-1)</f>
        <v/>
      </c>
      <c r="B515" s="17" t="str">
        <f>IF('01_Rohdaten'!A515="","",'01_Rohdaten'!A515)</f>
        <v/>
      </c>
      <c r="C515" s="17" t="str">
        <f>IF(B515="","",INDEX('01_Rohdaten'!B515:D515,'02_Eingaben'!$C$13))</f>
        <v/>
      </c>
      <c r="D515" s="17" t="str">
        <f>IF(C515="","",C515*'02_Eingaben'!$C$15)</f>
        <v/>
      </c>
      <c r="E515" s="17" t="str">
        <f>IF(D515="","",D515*'02_Eingaben'!$C$8)</f>
        <v/>
      </c>
      <c r="F515" s="17" t="str">
        <f>IF(E515="","",AVERAGE(INDEX($E$2:$E$3001,MAX(1,ROW()-1-'02_Eingaben'!$C$17)):INDEX($E$2:$E$3001,MIN('02_Eingaben'!$C$21,ROW()-1+'02_Eingaben'!$C$17))))</f>
        <v/>
      </c>
      <c r="G515" s="17" t="str">
        <f>IF(F515="","",F515-'02_Eingaben'!$C$10)</f>
        <v/>
      </c>
      <c r="H515" t="str">
        <f>IF(F515="","",IF(F515&lt;'02_Eingaben'!$C$18*'02_Eingaben'!$C$10,1,0))</f>
        <v/>
      </c>
      <c r="I515" s="17" t="str">
        <f t="shared" si="8"/>
        <v/>
      </c>
      <c r="J515" s="17" t="str">
        <f>IF(B515="","",IF(B514&lt;'02_Eingaben'!$C$36,0,J514+I514/'02_Eingaben'!$C$8))</f>
        <v/>
      </c>
    </row>
    <row r="516" spans="1:10" x14ac:dyDescent="0.25">
      <c r="A516" t="str">
        <f>IF('01_Rohdaten'!A516="","",ROW()-1)</f>
        <v/>
      </c>
      <c r="B516" s="17" t="str">
        <f>IF('01_Rohdaten'!A516="","",'01_Rohdaten'!A516)</f>
        <v/>
      </c>
      <c r="C516" s="17" t="str">
        <f>IF(B516="","",INDEX('01_Rohdaten'!B516:D516,'02_Eingaben'!$C$13))</f>
        <v/>
      </c>
      <c r="D516" s="17" t="str">
        <f>IF(C516="","",C516*'02_Eingaben'!$C$15)</f>
        <v/>
      </c>
      <c r="E516" s="17" t="str">
        <f>IF(D516="","",D516*'02_Eingaben'!$C$8)</f>
        <v/>
      </c>
      <c r="F516" s="17" t="str">
        <f>IF(E516="","",AVERAGE(INDEX($E$2:$E$3001,MAX(1,ROW()-1-'02_Eingaben'!$C$17)):INDEX($E$2:$E$3001,MIN('02_Eingaben'!$C$21,ROW()-1+'02_Eingaben'!$C$17))))</f>
        <v/>
      </c>
      <c r="G516" s="17" t="str">
        <f>IF(F516="","",F516-'02_Eingaben'!$C$10)</f>
        <v/>
      </c>
      <c r="H516" t="str">
        <f>IF(F516="","",IF(F516&lt;'02_Eingaben'!$C$18*'02_Eingaben'!$C$10,1,0))</f>
        <v/>
      </c>
      <c r="I516" s="17" t="str">
        <f t="shared" si="8"/>
        <v/>
      </c>
      <c r="J516" s="17" t="str">
        <f>IF(B516="","",IF(B515&lt;'02_Eingaben'!$C$36,0,J515+I515/'02_Eingaben'!$C$8))</f>
        <v/>
      </c>
    </row>
    <row r="517" spans="1:10" x14ac:dyDescent="0.25">
      <c r="A517" t="str">
        <f>IF('01_Rohdaten'!A517="","",ROW()-1)</f>
        <v/>
      </c>
      <c r="B517" s="17" t="str">
        <f>IF('01_Rohdaten'!A517="","",'01_Rohdaten'!A517)</f>
        <v/>
      </c>
      <c r="C517" s="17" t="str">
        <f>IF(B517="","",INDEX('01_Rohdaten'!B517:D517,'02_Eingaben'!$C$13))</f>
        <v/>
      </c>
      <c r="D517" s="17" t="str">
        <f>IF(C517="","",C517*'02_Eingaben'!$C$15)</f>
        <v/>
      </c>
      <c r="E517" s="17" t="str">
        <f>IF(D517="","",D517*'02_Eingaben'!$C$8)</f>
        <v/>
      </c>
      <c r="F517" s="17" t="str">
        <f>IF(E517="","",AVERAGE(INDEX($E$2:$E$3001,MAX(1,ROW()-1-'02_Eingaben'!$C$17)):INDEX($E$2:$E$3001,MIN('02_Eingaben'!$C$21,ROW()-1+'02_Eingaben'!$C$17))))</f>
        <v/>
      </c>
      <c r="G517" s="17" t="str">
        <f>IF(F517="","",F517-'02_Eingaben'!$C$10)</f>
        <v/>
      </c>
      <c r="H517" t="str">
        <f>IF(F517="","",IF(F517&lt;'02_Eingaben'!$C$18*'02_Eingaben'!$C$10,1,0))</f>
        <v/>
      </c>
      <c r="I517" s="17" t="str">
        <f t="shared" si="8"/>
        <v/>
      </c>
      <c r="J517" s="17" t="str">
        <f>IF(B517="","",IF(B516&lt;'02_Eingaben'!$C$36,0,J516+I516/'02_Eingaben'!$C$8))</f>
        <v/>
      </c>
    </row>
    <row r="518" spans="1:10" x14ac:dyDescent="0.25">
      <c r="A518" t="str">
        <f>IF('01_Rohdaten'!A518="","",ROW()-1)</f>
        <v/>
      </c>
      <c r="B518" s="17" t="str">
        <f>IF('01_Rohdaten'!A518="","",'01_Rohdaten'!A518)</f>
        <v/>
      </c>
      <c r="C518" s="17" t="str">
        <f>IF(B518="","",INDEX('01_Rohdaten'!B518:D518,'02_Eingaben'!$C$13))</f>
        <v/>
      </c>
      <c r="D518" s="17" t="str">
        <f>IF(C518="","",C518*'02_Eingaben'!$C$15)</f>
        <v/>
      </c>
      <c r="E518" s="17" t="str">
        <f>IF(D518="","",D518*'02_Eingaben'!$C$8)</f>
        <v/>
      </c>
      <c r="F518" s="17" t="str">
        <f>IF(E518="","",AVERAGE(INDEX($E$2:$E$3001,MAX(1,ROW()-1-'02_Eingaben'!$C$17)):INDEX($E$2:$E$3001,MIN('02_Eingaben'!$C$21,ROW()-1+'02_Eingaben'!$C$17))))</f>
        <v/>
      </c>
      <c r="G518" s="17" t="str">
        <f>IF(F518="","",F518-'02_Eingaben'!$C$10)</f>
        <v/>
      </c>
      <c r="H518" t="str">
        <f>IF(F518="","",IF(F518&lt;'02_Eingaben'!$C$18*'02_Eingaben'!$C$10,1,0))</f>
        <v/>
      </c>
      <c r="I518" s="17" t="str">
        <f t="shared" si="8"/>
        <v/>
      </c>
      <c r="J518" s="17" t="str">
        <f>IF(B518="","",IF(B517&lt;'02_Eingaben'!$C$36,0,J517+I517/'02_Eingaben'!$C$8))</f>
        <v/>
      </c>
    </row>
    <row r="519" spans="1:10" x14ac:dyDescent="0.25">
      <c r="A519" t="str">
        <f>IF('01_Rohdaten'!A519="","",ROW()-1)</f>
        <v/>
      </c>
      <c r="B519" s="17" t="str">
        <f>IF('01_Rohdaten'!A519="","",'01_Rohdaten'!A519)</f>
        <v/>
      </c>
      <c r="C519" s="17" t="str">
        <f>IF(B519="","",INDEX('01_Rohdaten'!B519:D519,'02_Eingaben'!$C$13))</f>
        <v/>
      </c>
      <c r="D519" s="17" t="str">
        <f>IF(C519="","",C519*'02_Eingaben'!$C$15)</f>
        <v/>
      </c>
      <c r="E519" s="17" t="str">
        <f>IF(D519="","",D519*'02_Eingaben'!$C$8)</f>
        <v/>
      </c>
      <c r="F519" s="17" t="str">
        <f>IF(E519="","",AVERAGE(INDEX($E$2:$E$3001,MAX(1,ROW()-1-'02_Eingaben'!$C$17)):INDEX($E$2:$E$3001,MIN('02_Eingaben'!$C$21,ROW()-1+'02_Eingaben'!$C$17))))</f>
        <v/>
      </c>
      <c r="G519" s="17" t="str">
        <f>IF(F519="","",F519-'02_Eingaben'!$C$10)</f>
        <v/>
      </c>
      <c r="H519" t="str">
        <f>IF(F519="","",IF(F519&lt;'02_Eingaben'!$C$18*'02_Eingaben'!$C$10,1,0))</f>
        <v/>
      </c>
      <c r="I519" s="17" t="str">
        <f t="shared" si="8"/>
        <v/>
      </c>
      <c r="J519" s="17" t="str">
        <f>IF(B519="","",IF(B518&lt;'02_Eingaben'!$C$36,0,J518+I518/'02_Eingaben'!$C$8))</f>
        <v/>
      </c>
    </row>
    <row r="520" spans="1:10" x14ac:dyDescent="0.25">
      <c r="A520" t="str">
        <f>IF('01_Rohdaten'!A520="","",ROW()-1)</f>
        <v/>
      </c>
      <c r="B520" s="17" t="str">
        <f>IF('01_Rohdaten'!A520="","",'01_Rohdaten'!A520)</f>
        <v/>
      </c>
      <c r="C520" s="17" t="str">
        <f>IF(B520="","",INDEX('01_Rohdaten'!B520:D520,'02_Eingaben'!$C$13))</f>
        <v/>
      </c>
      <c r="D520" s="17" t="str">
        <f>IF(C520="","",C520*'02_Eingaben'!$C$15)</f>
        <v/>
      </c>
      <c r="E520" s="17" t="str">
        <f>IF(D520="","",D520*'02_Eingaben'!$C$8)</f>
        <v/>
      </c>
      <c r="F520" s="17" t="str">
        <f>IF(E520="","",AVERAGE(INDEX($E$2:$E$3001,MAX(1,ROW()-1-'02_Eingaben'!$C$17)):INDEX($E$2:$E$3001,MIN('02_Eingaben'!$C$21,ROW()-1+'02_Eingaben'!$C$17))))</f>
        <v/>
      </c>
      <c r="G520" s="17" t="str">
        <f>IF(F520="","",F520-'02_Eingaben'!$C$10)</f>
        <v/>
      </c>
      <c r="H520" t="str">
        <f>IF(F520="","",IF(F520&lt;'02_Eingaben'!$C$18*'02_Eingaben'!$C$10,1,0))</f>
        <v/>
      </c>
      <c r="I520" s="17" t="str">
        <f t="shared" si="8"/>
        <v/>
      </c>
      <c r="J520" s="17" t="str">
        <f>IF(B520="","",IF(B519&lt;'02_Eingaben'!$C$36,0,J519+I519/'02_Eingaben'!$C$8))</f>
        <v/>
      </c>
    </row>
    <row r="521" spans="1:10" x14ac:dyDescent="0.25">
      <c r="A521" t="str">
        <f>IF('01_Rohdaten'!A521="","",ROW()-1)</f>
        <v/>
      </c>
      <c r="B521" s="17" t="str">
        <f>IF('01_Rohdaten'!A521="","",'01_Rohdaten'!A521)</f>
        <v/>
      </c>
      <c r="C521" s="17" t="str">
        <f>IF(B521="","",INDEX('01_Rohdaten'!B521:D521,'02_Eingaben'!$C$13))</f>
        <v/>
      </c>
      <c r="D521" s="17" t="str">
        <f>IF(C521="","",C521*'02_Eingaben'!$C$15)</f>
        <v/>
      </c>
      <c r="E521" s="17" t="str">
        <f>IF(D521="","",D521*'02_Eingaben'!$C$8)</f>
        <v/>
      </c>
      <c r="F521" s="17" t="str">
        <f>IF(E521="","",AVERAGE(INDEX($E$2:$E$3001,MAX(1,ROW()-1-'02_Eingaben'!$C$17)):INDEX($E$2:$E$3001,MIN('02_Eingaben'!$C$21,ROW()-1+'02_Eingaben'!$C$17))))</f>
        <v/>
      </c>
      <c r="G521" s="17" t="str">
        <f>IF(F521="","",F521-'02_Eingaben'!$C$10)</f>
        <v/>
      </c>
      <c r="H521" t="str">
        <f>IF(F521="","",IF(F521&lt;'02_Eingaben'!$C$18*'02_Eingaben'!$C$10,1,0))</f>
        <v/>
      </c>
      <c r="I521" s="17" t="str">
        <f t="shared" si="8"/>
        <v/>
      </c>
      <c r="J521" s="17" t="str">
        <f>IF(B521="","",IF(B520&lt;'02_Eingaben'!$C$36,0,J520+I520/'02_Eingaben'!$C$8))</f>
        <v/>
      </c>
    </row>
    <row r="522" spans="1:10" x14ac:dyDescent="0.25">
      <c r="A522" t="str">
        <f>IF('01_Rohdaten'!A522="","",ROW()-1)</f>
        <v/>
      </c>
      <c r="B522" s="17" t="str">
        <f>IF('01_Rohdaten'!A522="","",'01_Rohdaten'!A522)</f>
        <v/>
      </c>
      <c r="C522" s="17" t="str">
        <f>IF(B522="","",INDEX('01_Rohdaten'!B522:D522,'02_Eingaben'!$C$13))</f>
        <v/>
      </c>
      <c r="D522" s="17" t="str">
        <f>IF(C522="","",C522*'02_Eingaben'!$C$15)</f>
        <v/>
      </c>
      <c r="E522" s="17" t="str">
        <f>IF(D522="","",D522*'02_Eingaben'!$C$8)</f>
        <v/>
      </c>
      <c r="F522" s="17" t="str">
        <f>IF(E522="","",AVERAGE(INDEX($E$2:$E$3001,MAX(1,ROW()-1-'02_Eingaben'!$C$17)):INDEX($E$2:$E$3001,MIN('02_Eingaben'!$C$21,ROW()-1+'02_Eingaben'!$C$17))))</f>
        <v/>
      </c>
      <c r="G522" s="17" t="str">
        <f>IF(F522="","",F522-'02_Eingaben'!$C$10)</f>
        <v/>
      </c>
      <c r="H522" t="str">
        <f>IF(F522="","",IF(F522&lt;'02_Eingaben'!$C$18*'02_Eingaben'!$C$10,1,0))</f>
        <v/>
      </c>
      <c r="I522" s="17" t="str">
        <f t="shared" si="8"/>
        <v/>
      </c>
      <c r="J522" s="17" t="str">
        <f>IF(B522="","",IF(B521&lt;'02_Eingaben'!$C$36,0,J521+I521/'02_Eingaben'!$C$8))</f>
        <v/>
      </c>
    </row>
    <row r="523" spans="1:10" x14ac:dyDescent="0.25">
      <c r="A523" t="str">
        <f>IF('01_Rohdaten'!A523="","",ROW()-1)</f>
        <v/>
      </c>
      <c r="B523" s="17" t="str">
        <f>IF('01_Rohdaten'!A523="","",'01_Rohdaten'!A523)</f>
        <v/>
      </c>
      <c r="C523" s="17" t="str">
        <f>IF(B523="","",INDEX('01_Rohdaten'!B523:D523,'02_Eingaben'!$C$13))</f>
        <v/>
      </c>
      <c r="D523" s="17" t="str">
        <f>IF(C523="","",C523*'02_Eingaben'!$C$15)</f>
        <v/>
      </c>
      <c r="E523" s="17" t="str">
        <f>IF(D523="","",D523*'02_Eingaben'!$C$8)</f>
        <v/>
      </c>
      <c r="F523" s="17" t="str">
        <f>IF(E523="","",AVERAGE(INDEX($E$2:$E$3001,MAX(1,ROW()-1-'02_Eingaben'!$C$17)):INDEX($E$2:$E$3001,MIN('02_Eingaben'!$C$21,ROW()-1+'02_Eingaben'!$C$17))))</f>
        <v/>
      </c>
      <c r="G523" s="17" t="str">
        <f>IF(F523="","",F523-'02_Eingaben'!$C$10)</f>
        <v/>
      </c>
      <c r="H523" t="str">
        <f>IF(F523="","",IF(F523&lt;'02_Eingaben'!$C$18*'02_Eingaben'!$C$10,1,0))</f>
        <v/>
      </c>
      <c r="I523" s="17" t="str">
        <f t="shared" si="8"/>
        <v/>
      </c>
      <c r="J523" s="17" t="str">
        <f>IF(B523="","",IF(B522&lt;'02_Eingaben'!$C$36,0,J522+I522/'02_Eingaben'!$C$8))</f>
        <v/>
      </c>
    </row>
    <row r="524" spans="1:10" x14ac:dyDescent="0.25">
      <c r="A524" t="str">
        <f>IF('01_Rohdaten'!A524="","",ROW()-1)</f>
        <v/>
      </c>
      <c r="B524" s="17" t="str">
        <f>IF('01_Rohdaten'!A524="","",'01_Rohdaten'!A524)</f>
        <v/>
      </c>
      <c r="C524" s="17" t="str">
        <f>IF(B524="","",INDEX('01_Rohdaten'!B524:D524,'02_Eingaben'!$C$13))</f>
        <v/>
      </c>
      <c r="D524" s="17" t="str">
        <f>IF(C524="","",C524*'02_Eingaben'!$C$15)</f>
        <v/>
      </c>
      <c r="E524" s="17" t="str">
        <f>IF(D524="","",D524*'02_Eingaben'!$C$8)</f>
        <v/>
      </c>
      <c r="F524" s="17" t="str">
        <f>IF(E524="","",AVERAGE(INDEX($E$2:$E$3001,MAX(1,ROW()-1-'02_Eingaben'!$C$17)):INDEX($E$2:$E$3001,MIN('02_Eingaben'!$C$21,ROW()-1+'02_Eingaben'!$C$17))))</f>
        <v/>
      </c>
      <c r="G524" s="17" t="str">
        <f>IF(F524="","",F524-'02_Eingaben'!$C$10)</f>
        <v/>
      </c>
      <c r="H524" t="str">
        <f>IF(F524="","",IF(F524&lt;'02_Eingaben'!$C$18*'02_Eingaben'!$C$10,1,0))</f>
        <v/>
      </c>
      <c r="I524" s="17" t="str">
        <f t="shared" si="8"/>
        <v/>
      </c>
      <c r="J524" s="17" t="str">
        <f>IF(B524="","",IF(B523&lt;'02_Eingaben'!$C$36,0,J523+I523/'02_Eingaben'!$C$8))</f>
        <v/>
      </c>
    </row>
    <row r="525" spans="1:10" x14ac:dyDescent="0.25">
      <c r="A525" t="str">
        <f>IF('01_Rohdaten'!A525="","",ROW()-1)</f>
        <v/>
      </c>
      <c r="B525" s="17" t="str">
        <f>IF('01_Rohdaten'!A525="","",'01_Rohdaten'!A525)</f>
        <v/>
      </c>
      <c r="C525" s="17" t="str">
        <f>IF(B525="","",INDEX('01_Rohdaten'!B525:D525,'02_Eingaben'!$C$13))</f>
        <v/>
      </c>
      <c r="D525" s="17" t="str">
        <f>IF(C525="","",C525*'02_Eingaben'!$C$15)</f>
        <v/>
      </c>
      <c r="E525" s="17" t="str">
        <f>IF(D525="","",D525*'02_Eingaben'!$C$8)</f>
        <v/>
      </c>
      <c r="F525" s="17" t="str">
        <f>IF(E525="","",AVERAGE(INDEX($E$2:$E$3001,MAX(1,ROW()-1-'02_Eingaben'!$C$17)):INDEX($E$2:$E$3001,MIN('02_Eingaben'!$C$21,ROW()-1+'02_Eingaben'!$C$17))))</f>
        <v/>
      </c>
      <c r="G525" s="17" t="str">
        <f>IF(F525="","",F525-'02_Eingaben'!$C$10)</f>
        <v/>
      </c>
      <c r="H525" t="str">
        <f>IF(F525="","",IF(F525&lt;'02_Eingaben'!$C$18*'02_Eingaben'!$C$10,1,0))</f>
        <v/>
      </c>
      <c r="I525" s="17" t="str">
        <f t="shared" si="8"/>
        <v/>
      </c>
      <c r="J525" s="17" t="str">
        <f>IF(B525="","",IF(B524&lt;'02_Eingaben'!$C$36,0,J524+I524/'02_Eingaben'!$C$8))</f>
        <v/>
      </c>
    </row>
    <row r="526" spans="1:10" x14ac:dyDescent="0.25">
      <c r="A526" t="str">
        <f>IF('01_Rohdaten'!A526="","",ROW()-1)</f>
        <v/>
      </c>
      <c r="B526" s="17" t="str">
        <f>IF('01_Rohdaten'!A526="","",'01_Rohdaten'!A526)</f>
        <v/>
      </c>
      <c r="C526" s="17" t="str">
        <f>IF(B526="","",INDEX('01_Rohdaten'!B526:D526,'02_Eingaben'!$C$13))</f>
        <v/>
      </c>
      <c r="D526" s="17" t="str">
        <f>IF(C526="","",C526*'02_Eingaben'!$C$15)</f>
        <v/>
      </c>
      <c r="E526" s="17" t="str">
        <f>IF(D526="","",D526*'02_Eingaben'!$C$8)</f>
        <v/>
      </c>
      <c r="F526" s="17" t="str">
        <f>IF(E526="","",AVERAGE(INDEX($E$2:$E$3001,MAX(1,ROW()-1-'02_Eingaben'!$C$17)):INDEX($E$2:$E$3001,MIN('02_Eingaben'!$C$21,ROW()-1+'02_Eingaben'!$C$17))))</f>
        <v/>
      </c>
      <c r="G526" s="17" t="str">
        <f>IF(F526="","",F526-'02_Eingaben'!$C$10)</f>
        <v/>
      </c>
      <c r="H526" t="str">
        <f>IF(F526="","",IF(F526&lt;'02_Eingaben'!$C$18*'02_Eingaben'!$C$10,1,0))</f>
        <v/>
      </c>
      <c r="I526" s="17" t="str">
        <f t="shared" si="8"/>
        <v/>
      </c>
      <c r="J526" s="17" t="str">
        <f>IF(B526="","",IF(B525&lt;'02_Eingaben'!$C$36,0,J525+I525/'02_Eingaben'!$C$8))</f>
        <v/>
      </c>
    </row>
    <row r="527" spans="1:10" x14ac:dyDescent="0.25">
      <c r="A527" t="str">
        <f>IF('01_Rohdaten'!A527="","",ROW()-1)</f>
        <v/>
      </c>
      <c r="B527" s="17" t="str">
        <f>IF('01_Rohdaten'!A527="","",'01_Rohdaten'!A527)</f>
        <v/>
      </c>
      <c r="C527" s="17" t="str">
        <f>IF(B527="","",INDEX('01_Rohdaten'!B527:D527,'02_Eingaben'!$C$13))</f>
        <v/>
      </c>
      <c r="D527" s="17" t="str">
        <f>IF(C527="","",C527*'02_Eingaben'!$C$15)</f>
        <v/>
      </c>
      <c r="E527" s="17" t="str">
        <f>IF(D527="","",D527*'02_Eingaben'!$C$8)</f>
        <v/>
      </c>
      <c r="F527" s="17" t="str">
        <f>IF(E527="","",AVERAGE(INDEX($E$2:$E$3001,MAX(1,ROW()-1-'02_Eingaben'!$C$17)):INDEX($E$2:$E$3001,MIN('02_Eingaben'!$C$21,ROW()-1+'02_Eingaben'!$C$17))))</f>
        <v/>
      </c>
      <c r="G527" s="17" t="str">
        <f>IF(F527="","",F527-'02_Eingaben'!$C$10)</f>
        <v/>
      </c>
      <c r="H527" t="str">
        <f>IF(F527="","",IF(F527&lt;'02_Eingaben'!$C$18*'02_Eingaben'!$C$10,1,0))</f>
        <v/>
      </c>
      <c r="I527" s="17" t="str">
        <f t="shared" si="8"/>
        <v/>
      </c>
      <c r="J527" s="17" t="str">
        <f>IF(B527="","",IF(B526&lt;'02_Eingaben'!$C$36,0,J526+I526/'02_Eingaben'!$C$8))</f>
        <v/>
      </c>
    </row>
    <row r="528" spans="1:10" x14ac:dyDescent="0.25">
      <c r="A528" t="str">
        <f>IF('01_Rohdaten'!A528="","",ROW()-1)</f>
        <v/>
      </c>
      <c r="B528" s="17" t="str">
        <f>IF('01_Rohdaten'!A528="","",'01_Rohdaten'!A528)</f>
        <v/>
      </c>
      <c r="C528" s="17" t="str">
        <f>IF(B528="","",INDEX('01_Rohdaten'!B528:D528,'02_Eingaben'!$C$13))</f>
        <v/>
      </c>
      <c r="D528" s="17" t="str">
        <f>IF(C528="","",C528*'02_Eingaben'!$C$15)</f>
        <v/>
      </c>
      <c r="E528" s="17" t="str">
        <f>IF(D528="","",D528*'02_Eingaben'!$C$8)</f>
        <v/>
      </c>
      <c r="F528" s="17" t="str">
        <f>IF(E528="","",AVERAGE(INDEX($E$2:$E$3001,MAX(1,ROW()-1-'02_Eingaben'!$C$17)):INDEX($E$2:$E$3001,MIN('02_Eingaben'!$C$21,ROW()-1+'02_Eingaben'!$C$17))))</f>
        <v/>
      </c>
      <c r="G528" s="17" t="str">
        <f>IF(F528="","",F528-'02_Eingaben'!$C$10)</f>
        <v/>
      </c>
      <c r="H528" t="str">
        <f>IF(F528="","",IF(F528&lt;'02_Eingaben'!$C$18*'02_Eingaben'!$C$10,1,0))</f>
        <v/>
      </c>
      <c r="I528" s="17" t="str">
        <f t="shared" si="8"/>
        <v/>
      </c>
      <c r="J528" s="17" t="str">
        <f>IF(B528="","",IF(B527&lt;'02_Eingaben'!$C$36,0,J527+I527/'02_Eingaben'!$C$8))</f>
        <v/>
      </c>
    </row>
    <row r="529" spans="1:10" x14ac:dyDescent="0.25">
      <c r="A529" t="str">
        <f>IF('01_Rohdaten'!A529="","",ROW()-1)</f>
        <v/>
      </c>
      <c r="B529" s="17" t="str">
        <f>IF('01_Rohdaten'!A529="","",'01_Rohdaten'!A529)</f>
        <v/>
      </c>
      <c r="C529" s="17" t="str">
        <f>IF(B529="","",INDEX('01_Rohdaten'!B529:D529,'02_Eingaben'!$C$13))</f>
        <v/>
      </c>
      <c r="D529" s="17" t="str">
        <f>IF(C529="","",C529*'02_Eingaben'!$C$15)</f>
        <v/>
      </c>
      <c r="E529" s="17" t="str">
        <f>IF(D529="","",D529*'02_Eingaben'!$C$8)</f>
        <v/>
      </c>
      <c r="F529" s="17" t="str">
        <f>IF(E529="","",AVERAGE(INDEX($E$2:$E$3001,MAX(1,ROW()-1-'02_Eingaben'!$C$17)):INDEX($E$2:$E$3001,MIN('02_Eingaben'!$C$21,ROW()-1+'02_Eingaben'!$C$17))))</f>
        <v/>
      </c>
      <c r="G529" s="17" t="str">
        <f>IF(F529="","",F529-'02_Eingaben'!$C$10)</f>
        <v/>
      </c>
      <c r="H529" t="str">
        <f>IF(F529="","",IF(F529&lt;'02_Eingaben'!$C$18*'02_Eingaben'!$C$10,1,0))</f>
        <v/>
      </c>
      <c r="I529" s="17" t="str">
        <f t="shared" si="8"/>
        <v/>
      </c>
      <c r="J529" s="17" t="str">
        <f>IF(B529="","",IF(B528&lt;'02_Eingaben'!$C$36,0,J528+I528/'02_Eingaben'!$C$8))</f>
        <v/>
      </c>
    </row>
    <row r="530" spans="1:10" x14ac:dyDescent="0.25">
      <c r="A530" t="str">
        <f>IF('01_Rohdaten'!A530="","",ROW()-1)</f>
        <v/>
      </c>
      <c r="B530" s="17" t="str">
        <f>IF('01_Rohdaten'!A530="","",'01_Rohdaten'!A530)</f>
        <v/>
      </c>
      <c r="C530" s="17" t="str">
        <f>IF(B530="","",INDEX('01_Rohdaten'!B530:D530,'02_Eingaben'!$C$13))</f>
        <v/>
      </c>
      <c r="D530" s="17" t="str">
        <f>IF(C530="","",C530*'02_Eingaben'!$C$15)</f>
        <v/>
      </c>
      <c r="E530" s="17" t="str">
        <f>IF(D530="","",D530*'02_Eingaben'!$C$8)</f>
        <v/>
      </c>
      <c r="F530" s="17" t="str">
        <f>IF(E530="","",AVERAGE(INDEX($E$2:$E$3001,MAX(1,ROW()-1-'02_Eingaben'!$C$17)):INDEX($E$2:$E$3001,MIN('02_Eingaben'!$C$21,ROW()-1+'02_Eingaben'!$C$17))))</f>
        <v/>
      </c>
      <c r="G530" s="17" t="str">
        <f>IF(F530="","",F530-'02_Eingaben'!$C$10)</f>
        <v/>
      </c>
      <c r="H530" t="str">
        <f>IF(F530="","",IF(F530&lt;'02_Eingaben'!$C$18*'02_Eingaben'!$C$10,1,0))</f>
        <v/>
      </c>
      <c r="I530" s="17" t="str">
        <f t="shared" si="8"/>
        <v/>
      </c>
      <c r="J530" s="17" t="str">
        <f>IF(B530="","",IF(B529&lt;'02_Eingaben'!$C$36,0,J529+I529/'02_Eingaben'!$C$8))</f>
        <v/>
      </c>
    </row>
    <row r="531" spans="1:10" x14ac:dyDescent="0.25">
      <c r="A531" t="str">
        <f>IF('01_Rohdaten'!A531="","",ROW()-1)</f>
        <v/>
      </c>
      <c r="B531" s="17" t="str">
        <f>IF('01_Rohdaten'!A531="","",'01_Rohdaten'!A531)</f>
        <v/>
      </c>
      <c r="C531" s="17" t="str">
        <f>IF(B531="","",INDEX('01_Rohdaten'!B531:D531,'02_Eingaben'!$C$13))</f>
        <v/>
      </c>
      <c r="D531" s="17" t="str">
        <f>IF(C531="","",C531*'02_Eingaben'!$C$15)</f>
        <v/>
      </c>
      <c r="E531" s="17" t="str">
        <f>IF(D531="","",D531*'02_Eingaben'!$C$8)</f>
        <v/>
      </c>
      <c r="F531" s="17" t="str">
        <f>IF(E531="","",AVERAGE(INDEX($E$2:$E$3001,MAX(1,ROW()-1-'02_Eingaben'!$C$17)):INDEX($E$2:$E$3001,MIN('02_Eingaben'!$C$21,ROW()-1+'02_Eingaben'!$C$17))))</f>
        <v/>
      </c>
      <c r="G531" s="17" t="str">
        <f>IF(F531="","",F531-'02_Eingaben'!$C$10)</f>
        <v/>
      </c>
      <c r="H531" t="str">
        <f>IF(F531="","",IF(F531&lt;'02_Eingaben'!$C$18*'02_Eingaben'!$C$10,1,0))</f>
        <v/>
      </c>
      <c r="I531" s="17" t="str">
        <f t="shared" si="8"/>
        <v/>
      </c>
      <c r="J531" s="17" t="str">
        <f>IF(B531="","",IF(B530&lt;'02_Eingaben'!$C$36,0,J530+I530/'02_Eingaben'!$C$8))</f>
        <v/>
      </c>
    </row>
    <row r="532" spans="1:10" x14ac:dyDescent="0.25">
      <c r="A532" t="str">
        <f>IF('01_Rohdaten'!A532="","",ROW()-1)</f>
        <v/>
      </c>
      <c r="B532" s="17" t="str">
        <f>IF('01_Rohdaten'!A532="","",'01_Rohdaten'!A532)</f>
        <v/>
      </c>
      <c r="C532" s="17" t="str">
        <f>IF(B532="","",INDEX('01_Rohdaten'!B532:D532,'02_Eingaben'!$C$13))</f>
        <v/>
      </c>
      <c r="D532" s="17" t="str">
        <f>IF(C532="","",C532*'02_Eingaben'!$C$15)</f>
        <v/>
      </c>
      <c r="E532" s="17" t="str">
        <f>IF(D532="","",D532*'02_Eingaben'!$C$8)</f>
        <v/>
      </c>
      <c r="F532" s="17" t="str">
        <f>IF(E532="","",AVERAGE(INDEX($E$2:$E$3001,MAX(1,ROW()-1-'02_Eingaben'!$C$17)):INDEX($E$2:$E$3001,MIN('02_Eingaben'!$C$21,ROW()-1+'02_Eingaben'!$C$17))))</f>
        <v/>
      </c>
      <c r="G532" s="17" t="str">
        <f>IF(F532="","",F532-'02_Eingaben'!$C$10)</f>
        <v/>
      </c>
      <c r="H532" t="str">
        <f>IF(F532="","",IF(F532&lt;'02_Eingaben'!$C$18*'02_Eingaben'!$C$10,1,0))</f>
        <v/>
      </c>
      <c r="I532" s="17" t="str">
        <f t="shared" si="8"/>
        <v/>
      </c>
      <c r="J532" s="17" t="str">
        <f>IF(B532="","",IF(B531&lt;'02_Eingaben'!$C$36,0,J531+I531/'02_Eingaben'!$C$8))</f>
        <v/>
      </c>
    </row>
    <row r="533" spans="1:10" x14ac:dyDescent="0.25">
      <c r="A533" t="str">
        <f>IF('01_Rohdaten'!A533="","",ROW()-1)</f>
        <v/>
      </c>
      <c r="B533" s="17" t="str">
        <f>IF('01_Rohdaten'!A533="","",'01_Rohdaten'!A533)</f>
        <v/>
      </c>
      <c r="C533" s="17" t="str">
        <f>IF(B533="","",INDEX('01_Rohdaten'!B533:D533,'02_Eingaben'!$C$13))</f>
        <v/>
      </c>
      <c r="D533" s="17" t="str">
        <f>IF(C533="","",C533*'02_Eingaben'!$C$15)</f>
        <v/>
      </c>
      <c r="E533" s="17" t="str">
        <f>IF(D533="","",D533*'02_Eingaben'!$C$8)</f>
        <v/>
      </c>
      <c r="F533" s="17" t="str">
        <f>IF(E533="","",AVERAGE(INDEX($E$2:$E$3001,MAX(1,ROW()-1-'02_Eingaben'!$C$17)):INDEX($E$2:$E$3001,MIN('02_Eingaben'!$C$21,ROW()-1+'02_Eingaben'!$C$17))))</f>
        <v/>
      </c>
      <c r="G533" s="17" t="str">
        <f>IF(F533="","",F533-'02_Eingaben'!$C$10)</f>
        <v/>
      </c>
      <c r="H533" t="str">
        <f>IF(F533="","",IF(F533&lt;'02_Eingaben'!$C$18*'02_Eingaben'!$C$10,1,0))</f>
        <v/>
      </c>
      <c r="I533" s="17" t="str">
        <f t="shared" si="8"/>
        <v/>
      </c>
      <c r="J533" s="17" t="str">
        <f>IF(B533="","",IF(B532&lt;'02_Eingaben'!$C$36,0,J532+I532/'02_Eingaben'!$C$8))</f>
        <v/>
      </c>
    </row>
    <row r="534" spans="1:10" x14ac:dyDescent="0.25">
      <c r="A534" t="str">
        <f>IF('01_Rohdaten'!A534="","",ROW()-1)</f>
        <v/>
      </c>
      <c r="B534" s="17" t="str">
        <f>IF('01_Rohdaten'!A534="","",'01_Rohdaten'!A534)</f>
        <v/>
      </c>
      <c r="C534" s="17" t="str">
        <f>IF(B534="","",INDEX('01_Rohdaten'!B534:D534,'02_Eingaben'!$C$13))</f>
        <v/>
      </c>
      <c r="D534" s="17" t="str">
        <f>IF(C534="","",C534*'02_Eingaben'!$C$15)</f>
        <v/>
      </c>
      <c r="E534" s="17" t="str">
        <f>IF(D534="","",D534*'02_Eingaben'!$C$8)</f>
        <v/>
      </c>
      <c r="F534" s="17" t="str">
        <f>IF(E534="","",AVERAGE(INDEX($E$2:$E$3001,MAX(1,ROW()-1-'02_Eingaben'!$C$17)):INDEX($E$2:$E$3001,MIN('02_Eingaben'!$C$21,ROW()-1+'02_Eingaben'!$C$17))))</f>
        <v/>
      </c>
      <c r="G534" s="17" t="str">
        <f>IF(F534="","",F534-'02_Eingaben'!$C$10)</f>
        <v/>
      </c>
      <c r="H534" t="str">
        <f>IF(F534="","",IF(F534&lt;'02_Eingaben'!$C$18*'02_Eingaben'!$C$10,1,0))</f>
        <v/>
      </c>
      <c r="I534" s="17" t="str">
        <f t="shared" si="8"/>
        <v/>
      </c>
      <c r="J534" s="17" t="str">
        <f>IF(B534="","",IF(B533&lt;'02_Eingaben'!$C$36,0,J533+I533/'02_Eingaben'!$C$8))</f>
        <v/>
      </c>
    </row>
    <row r="535" spans="1:10" x14ac:dyDescent="0.25">
      <c r="A535" t="str">
        <f>IF('01_Rohdaten'!A535="","",ROW()-1)</f>
        <v/>
      </c>
      <c r="B535" s="17" t="str">
        <f>IF('01_Rohdaten'!A535="","",'01_Rohdaten'!A535)</f>
        <v/>
      </c>
      <c r="C535" s="17" t="str">
        <f>IF(B535="","",INDEX('01_Rohdaten'!B535:D535,'02_Eingaben'!$C$13))</f>
        <v/>
      </c>
      <c r="D535" s="17" t="str">
        <f>IF(C535="","",C535*'02_Eingaben'!$C$15)</f>
        <v/>
      </c>
      <c r="E535" s="17" t="str">
        <f>IF(D535="","",D535*'02_Eingaben'!$C$8)</f>
        <v/>
      </c>
      <c r="F535" s="17" t="str">
        <f>IF(E535="","",AVERAGE(INDEX($E$2:$E$3001,MAX(1,ROW()-1-'02_Eingaben'!$C$17)):INDEX($E$2:$E$3001,MIN('02_Eingaben'!$C$21,ROW()-1+'02_Eingaben'!$C$17))))</f>
        <v/>
      </c>
      <c r="G535" s="17" t="str">
        <f>IF(F535="","",F535-'02_Eingaben'!$C$10)</f>
        <v/>
      </c>
      <c r="H535" t="str">
        <f>IF(F535="","",IF(F535&lt;'02_Eingaben'!$C$18*'02_Eingaben'!$C$10,1,0))</f>
        <v/>
      </c>
      <c r="I535" s="17" t="str">
        <f t="shared" si="8"/>
        <v/>
      </c>
      <c r="J535" s="17" t="str">
        <f>IF(B535="","",IF(B534&lt;'02_Eingaben'!$C$36,0,J534+I534/'02_Eingaben'!$C$8))</f>
        <v/>
      </c>
    </row>
    <row r="536" spans="1:10" x14ac:dyDescent="0.25">
      <c r="A536" t="str">
        <f>IF('01_Rohdaten'!A536="","",ROW()-1)</f>
        <v/>
      </c>
      <c r="B536" s="17" t="str">
        <f>IF('01_Rohdaten'!A536="","",'01_Rohdaten'!A536)</f>
        <v/>
      </c>
      <c r="C536" s="17" t="str">
        <f>IF(B536="","",INDEX('01_Rohdaten'!B536:D536,'02_Eingaben'!$C$13))</f>
        <v/>
      </c>
      <c r="D536" s="17" t="str">
        <f>IF(C536="","",C536*'02_Eingaben'!$C$15)</f>
        <v/>
      </c>
      <c r="E536" s="17" t="str">
        <f>IF(D536="","",D536*'02_Eingaben'!$C$8)</f>
        <v/>
      </c>
      <c r="F536" s="17" t="str">
        <f>IF(E536="","",AVERAGE(INDEX($E$2:$E$3001,MAX(1,ROW()-1-'02_Eingaben'!$C$17)):INDEX($E$2:$E$3001,MIN('02_Eingaben'!$C$21,ROW()-1+'02_Eingaben'!$C$17))))</f>
        <v/>
      </c>
      <c r="G536" s="17" t="str">
        <f>IF(F536="","",F536-'02_Eingaben'!$C$10)</f>
        <v/>
      </c>
      <c r="H536" t="str">
        <f>IF(F536="","",IF(F536&lt;'02_Eingaben'!$C$18*'02_Eingaben'!$C$10,1,0))</f>
        <v/>
      </c>
      <c r="I536" s="17" t="str">
        <f t="shared" si="8"/>
        <v/>
      </c>
      <c r="J536" s="17" t="str">
        <f>IF(B536="","",IF(B535&lt;'02_Eingaben'!$C$36,0,J535+I535/'02_Eingaben'!$C$8))</f>
        <v/>
      </c>
    </row>
    <row r="537" spans="1:10" x14ac:dyDescent="0.25">
      <c r="A537" t="str">
        <f>IF('01_Rohdaten'!A537="","",ROW()-1)</f>
        <v/>
      </c>
      <c r="B537" s="17" t="str">
        <f>IF('01_Rohdaten'!A537="","",'01_Rohdaten'!A537)</f>
        <v/>
      </c>
      <c r="C537" s="17" t="str">
        <f>IF(B537="","",INDEX('01_Rohdaten'!B537:D537,'02_Eingaben'!$C$13))</f>
        <v/>
      </c>
      <c r="D537" s="17" t="str">
        <f>IF(C537="","",C537*'02_Eingaben'!$C$15)</f>
        <v/>
      </c>
      <c r="E537" s="17" t="str">
        <f>IF(D537="","",D537*'02_Eingaben'!$C$8)</f>
        <v/>
      </c>
      <c r="F537" s="17" t="str">
        <f>IF(E537="","",AVERAGE(INDEX($E$2:$E$3001,MAX(1,ROW()-1-'02_Eingaben'!$C$17)):INDEX($E$2:$E$3001,MIN('02_Eingaben'!$C$21,ROW()-1+'02_Eingaben'!$C$17))))</f>
        <v/>
      </c>
      <c r="G537" s="17" t="str">
        <f>IF(F537="","",F537-'02_Eingaben'!$C$10)</f>
        <v/>
      </c>
      <c r="H537" t="str">
        <f>IF(F537="","",IF(F537&lt;'02_Eingaben'!$C$18*'02_Eingaben'!$C$10,1,0))</f>
        <v/>
      </c>
      <c r="I537" s="17" t="str">
        <f t="shared" si="8"/>
        <v/>
      </c>
      <c r="J537" s="17" t="str">
        <f>IF(B537="","",IF(B536&lt;'02_Eingaben'!$C$36,0,J536+I536/'02_Eingaben'!$C$8))</f>
        <v/>
      </c>
    </row>
    <row r="538" spans="1:10" x14ac:dyDescent="0.25">
      <c r="A538" t="str">
        <f>IF('01_Rohdaten'!A538="","",ROW()-1)</f>
        <v/>
      </c>
      <c r="B538" s="17" t="str">
        <f>IF('01_Rohdaten'!A538="","",'01_Rohdaten'!A538)</f>
        <v/>
      </c>
      <c r="C538" s="17" t="str">
        <f>IF(B538="","",INDEX('01_Rohdaten'!B538:D538,'02_Eingaben'!$C$13))</f>
        <v/>
      </c>
      <c r="D538" s="17" t="str">
        <f>IF(C538="","",C538*'02_Eingaben'!$C$15)</f>
        <v/>
      </c>
      <c r="E538" s="17" t="str">
        <f>IF(D538="","",D538*'02_Eingaben'!$C$8)</f>
        <v/>
      </c>
      <c r="F538" s="17" t="str">
        <f>IF(E538="","",AVERAGE(INDEX($E$2:$E$3001,MAX(1,ROW()-1-'02_Eingaben'!$C$17)):INDEX($E$2:$E$3001,MIN('02_Eingaben'!$C$21,ROW()-1+'02_Eingaben'!$C$17))))</f>
        <v/>
      </c>
      <c r="G538" s="17" t="str">
        <f>IF(F538="","",F538-'02_Eingaben'!$C$10)</f>
        <v/>
      </c>
      <c r="H538" t="str">
        <f>IF(F538="","",IF(F538&lt;'02_Eingaben'!$C$18*'02_Eingaben'!$C$10,1,0))</f>
        <v/>
      </c>
      <c r="I538" s="17" t="str">
        <f t="shared" si="8"/>
        <v/>
      </c>
      <c r="J538" s="17" t="str">
        <f>IF(B538="","",IF(B537&lt;'02_Eingaben'!$C$36,0,J537+I537/'02_Eingaben'!$C$8))</f>
        <v/>
      </c>
    </row>
    <row r="539" spans="1:10" x14ac:dyDescent="0.25">
      <c r="A539" t="str">
        <f>IF('01_Rohdaten'!A539="","",ROW()-1)</f>
        <v/>
      </c>
      <c r="B539" s="17" t="str">
        <f>IF('01_Rohdaten'!A539="","",'01_Rohdaten'!A539)</f>
        <v/>
      </c>
      <c r="C539" s="17" t="str">
        <f>IF(B539="","",INDEX('01_Rohdaten'!B539:D539,'02_Eingaben'!$C$13))</f>
        <v/>
      </c>
      <c r="D539" s="17" t="str">
        <f>IF(C539="","",C539*'02_Eingaben'!$C$15)</f>
        <v/>
      </c>
      <c r="E539" s="17" t="str">
        <f>IF(D539="","",D539*'02_Eingaben'!$C$8)</f>
        <v/>
      </c>
      <c r="F539" s="17" t="str">
        <f>IF(E539="","",AVERAGE(INDEX($E$2:$E$3001,MAX(1,ROW()-1-'02_Eingaben'!$C$17)):INDEX($E$2:$E$3001,MIN('02_Eingaben'!$C$21,ROW()-1+'02_Eingaben'!$C$17))))</f>
        <v/>
      </c>
      <c r="G539" s="17" t="str">
        <f>IF(F539="","",F539-'02_Eingaben'!$C$10)</f>
        <v/>
      </c>
      <c r="H539" t="str">
        <f>IF(F539="","",IF(F539&lt;'02_Eingaben'!$C$18*'02_Eingaben'!$C$10,1,0))</f>
        <v/>
      </c>
      <c r="I539" s="17" t="str">
        <f t="shared" si="8"/>
        <v/>
      </c>
      <c r="J539" s="17" t="str">
        <f>IF(B539="","",IF(B538&lt;'02_Eingaben'!$C$36,0,J538+I538/'02_Eingaben'!$C$8))</f>
        <v/>
      </c>
    </row>
    <row r="540" spans="1:10" x14ac:dyDescent="0.25">
      <c r="A540" t="str">
        <f>IF('01_Rohdaten'!A540="","",ROW()-1)</f>
        <v/>
      </c>
      <c r="B540" s="17" t="str">
        <f>IF('01_Rohdaten'!A540="","",'01_Rohdaten'!A540)</f>
        <v/>
      </c>
      <c r="C540" s="17" t="str">
        <f>IF(B540="","",INDEX('01_Rohdaten'!B540:D540,'02_Eingaben'!$C$13))</f>
        <v/>
      </c>
      <c r="D540" s="17" t="str">
        <f>IF(C540="","",C540*'02_Eingaben'!$C$15)</f>
        <v/>
      </c>
      <c r="E540" s="17" t="str">
        <f>IF(D540="","",D540*'02_Eingaben'!$C$8)</f>
        <v/>
      </c>
      <c r="F540" s="17" t="str">
        <f>IF(E540="","",AVERAGE(INDEX($E$2:$E$3001,MAX(1,ROW()-1-'02_Eingaben'!$C$17)):INDEX($E$2:$E$3001,MIN('02_Eingaben'!$C$21,ROW()-1+'02_Eingaben'!$C$17))))</f>
        <v/>
      </c>
      <c r="G540" s="17" t="str">
        <f>IF(F540="","",F540-'02_Eingaben'!$C$10)</f>
        <v/>
      </c>
      <c r="H540" t="str">
        <f>IF(F540="","",IF(F540&lt;'02_Eingaben'!$C$18*'02_Eingaben'!$C$10,1,0))</f>
        <v/>
      </c>
      <c r="I540" s="17" t="str">
        <f t="shared" si="8"/>
        <v/>
      </c>
      <c r="J540" s="17" t="str">
        <f>IF(B540="","",IF(B539&lt;'02_Eingaben'!$C$36,0,J539+I539/'02_Eingaben'!$C$8))</f>
        <v/>
      </c>
    </row>
    <row r="541" spans="1:10" x14ac:dyDescent="0.25">
      <c r="A541" t="str">
        <f>IF('01_Rohdaten'!A541="","",ROW()-1)</f>
        <v/>
      </c>
      <c r="B541" s="17" t="str">
        <f>IF('01_Rohdaten'!A541="","",'01_Rohdaten'!A541)</f>
        <v/>
      </c>
      <c r="C541" s="17" t="str">
        <f>IF(B541="","",INDEX('01_Rohdaten'!B541:D541,'02_Eingaben'!$C$13))</f>
        <v/>
      </c>
      <c r="D541" s="17" t="str">
        <f>IF(C541="","",C541*'02_Eingaben'!$C$15)</f>
        <v/>
      </c>
      <c r="E541" s="17" t="str">
        <f>IF(D541="","",D541*'02_Eingaben'!$C$8)</f>
        <v/>
      </c>
      <c r="F541" s="17" t="str">
        <f>IF(E541="","",AVERAGE(INDEX($E$2:$E$3001,MAX(1,ROW()-1-'02_Eingaben'!$C$17)):INDEX($E$2:$E$3001,MIN('02_Eingaben'!$C$21,ROW()-1+'02_Eingaben'!$C$17))))</f>
        <v/>
      </c>
      <c r="G541" s="17" t="str">
        <f>IF(F541="","",F541-'02_Eingaben'!$C$10)</f>
        <v/>
      </c>
      <c r="H541" t="str">
        <f>IF(F541="","",IF(F541&lt;'02_Eingaben'!$C$18*'02_Eingaben'!$C$10,1,0))</f>
        <v/>
      </c>
      <c r="I541" s="17" t="str">
        <f t="shared" si="8"/>
        <v/>
      </c>
      <c r="J541" s="17" t="str">
        <f>IF(B541="","",IF(B540&lt;'02_Eingaben'!$C$36,0,J540+I540/'02_Eingaben'!$C$8))</f>
        <v/>
      </c>
    </row>
    <row r="542" spans="1:10" x14ac:dyDescent="0.25">
      <c r="A542" t="str">
        <f>IF('01_Rohdaten'!A542="","",ROW()-1)</f>
        <v/>
      </c>
      <c r="B542" s="17" t="str">
        <f>IF('01_Rohdaten'!A542="","",'01_Rohdaten'!A542)</f>
        <v/>
      </c>
      <c r="C542" s="17" t="str">
        <f>IF(B542="","",INDEX('01_Rohdaten'!B542:D542,'02_Eingaben'!$C$13))</f>
        <v/>
      </c>
      <c r="D542" s="17" t="str">
        <f>IF(C542="","",C542*'02_Eingaben'!$C$15)</f>
        <v/>
      </c>
      <c r="E542" s="17" t="str">
        <f>IF(D542="","",D542*'02_Eingaben'!$C$8)</f>
        <v/>
      </c>
      <c r="F542" s="17" t="str">
        <f>IF(E542="","",AVERAGE(INDEX($E$2:$E$3001,MAX(1,ROW()-1-'02_Eingaben'!$C$17)):INDEX($E$2:$E$3001,MIN('02_Eingaben'!$C$21,ROW()-1+'02_Eingaben'!$C$17))))</f>
        <v/>
      </c>
      <c r="G542" s="17" t="str">
        <f>IF(F542="","",F542-'02_Eingaben'!$C$10)</f>
        <v/>
      </c>
      <c r="H542" t="str">
        <f>IF(F542="","",IF(F542&lt;'02_Eingaben'!$C$18*'02_Eingaben'!$C$10,1,0))</f>
        <v/>
      </c>
      <c r="I542" s="17" t="str">
        <f t="shared" si="8"/>
        <v/>
      </c>
      <c r="J542" s="17" t="str">
        <f>IF(B542="","",IF(B541&lt;'02_Eingaben'!$C$36,0,J541+I541/'02_Eingaben'!$C$8))</f>
        <v/>
      </c>
    </row>
    <row r="543" spans="1:10" x14ac:dyDescent="0.25">
      <c r="A543" t="str">
        <f>IF('01_Rohdaten'!A543="","",ROW()-1)</f>
        <v/>
      </c>
      <c r="B543" s="17" t="str">
        <f>IF('01_Rohdaten'!A543="","",'01_Rohdaten'!A543)</f>
        <v/>
      </c>
      <c r="C543" s="17" t="str">
        <f>IF(B543="","",INDEX('01_Rohdaten'!B543:D543,'02_Eingaben'!$C$13))</f>
        <v/>
      </c>
      <c r="D543" s="17" t="str">
        <f>IF(C543="","",C543*'02_Eingaben'!$C$15)</f>
        <v/>
      </c>
      <c r="E543" s="17" t="str">
        <f>IF(D543="","",D543*'02_Eingaben'!$C$8)</f>
        <v/>
      </c>
      <c r="F543" s="17" t="str">
        <f>IF(E543="","",AVERAGE(INDEX($E$2:$E$3001,MAX(1,ROW()-1-'02_Eingaben'!$C$17)):INDEX($E$2:$E$3001,MIN('02_Eingaben'!$C$21,ROW()-1+'02_Eingaben'!$C$17))))</f>
        <v/>
      </c>
      <c r="G543" s="17" t="str">
        <f>IF(F543="","",F543-'02_Eingaben'!$C$10)</f>
        <v/>
      </c>
      <c r="H543" t="str">
        <f>IF(F543="","",IF(F543&lt;'02_Eingaben'!$C$18*'02_Eingaben'!$C$10,1,0))</f>
        <v/>
      </c>
      <c r="I543" s="17" t="str">
        <f t="shared" si="8"/>
        <v/>
      </c>
      <c r="J543" s="17" t="str">
        <f>IF(B543="","",IF(B542&lt;'02_Eingaben'!$C$36,0,J542+I542/'02_Eingaben'!$C$8))</f>
        <v/>
      </c>
    </row>
    <row r="544" spans="1:10" x14ac:dyDescent="0.25">
      <c r="A544" t="str">
        <f>IF('01_Rohdaten'!A544="","",ROW()-1)</f>
        <v/>
      </c>
      <c r="B544" s="17" t="str">
        <f>IF('01_Rohdaten'!A544="","",'01_Rohdaten'!A544)</f>
        <v/>
      </c>
      <c r="C544" s="17" t="str">
        <f>IF(B544="","",INDEX('01_Rohdaten'!B544:D544,'02_Eingaben'!$C$13))</f>
        <v/>
      </c>
      <c r="D544" s="17" t="str">
        <f>IF(C544="","",C544*'02_Eingaben'!$C$15)</f>
        <v/>
      </c>
      <c r="E544" s="17" t="str">
        <f>IF(D544="","",D544*'02_Eingaben'!$C$8)</f>
        <v/>
      </c>
      <c r="F544" s="17" t="str">
        <f>IF(E544="","",AVERAGE(INDEX($E$2:$E$3001,MAX(1,ROW()-1-'02_Eingaben'!$C$17)):INDEX($E$2:$E$3001,MIN('02_Eingaben'!$C$21,ROW()-1+'02_Eingaben'!$C$17))))</f>
        <v/>
      </c>
      <c r="G544" s="17" t="str">
        <f>IF(F544="","",F544-'02_Eingaben'!$C$10)</f>
        <v/>
      </c>
      <c r="H544" t="str">
        <f>IF(F544="","",IF(F544&lt;'02_Eingaben'!$C$18*'02_Eingaben'!$C$10,1,0))</f>
        <v/>
      </c>
      <c r="I544" s="17" t="str">
        <f t="shared" si="8"/>
        <v/>
      </c>
      <c r="J544" s="17" t="str">
        <f>IF(B544="","",IF(B543&lt;'02_Eingaben'!$C$36,0,J543+I543/'02_Eingaben'!$C$8))</f>
        <v/>
      </c>
    </row>
    <row r="545" spans="1:10" x14ac:dyDescent="0.25">
      <c r="A545" t="str">
        <f>IF('01_Rohdaten'!A545="","",ROW()-1)</f>
        <v/>
      </c>
      <c r="B545" s="17" t="str">
        <f>IF('01_Rohdaten'!A545="","",'01_Rohdaten'!A545)</f>
        <v/>
      </c>
      <c r="C545" s="17" t="str">
        <f>IF(B545="","",INDEX('01_Rohdaten'!B545:D545,'02_Eingaben'!$C$13))</f>
        <v/>
      </c>
      <c r="D545" s="17" t="str">
        <f>IF(C545="","",C545*'02_Eingaben'!$C$15)</f>
        <v/>
      </c>
      <c r="E545" s="17" t="str">
        <f>IF(D545="","",D545*'02_Eingaben'!$C$8)</f>
        <v/>
      </c>
      <c r="F545" s="17" t="str">
        <f>IF(E545="","",AVERAGE(INDEX($E$2:$E$3001,MAX(1,ROW()-1-'02_Eingaben'!$C$17)):INDEX($E$2:$E$3001,MIN('02_Eingaben'!$C$21,ROW()-1+'02_Eingaben'!$C$17))))</f>
        <v/>
      </c>
      <c r="G545" s="17" t="str">
        <f>IF(F545="","",F545-'02_Eingaben'!$C$10)</f>
        <v/>
      </c>
      <c r="H545" t="str">
        <f>IF(F545="","",IF(F545&lt;'02_Eingaben'!$C$18*'02_Eingaben'!$C$10,1,0))</f>
        <v/>
      </c>
      <c r="I545" s="17" t="str">
        <f t="shared" si="8"/>
        <v/>
      </c>
      <c r="J545" s="17" t="str">
        <f>IF(B545="","",IF(B544&lt;'02_Eingaben'!$C$36,0,J544+I544/'02_Eingaben'!$C$8))</f>
        <v/>
      </c>
    </row>
    <row r="546" spans="1:10" x14ac:dyDescent="0.25">
      <c r="A546" t="str">
        <f>IF('01_Rohdaten'!A546="","",ROW()-1)</f>
        <v/>
      </c>
      <c r="B546" s="17" t="str">
        <f>IF('01_Rohdaten'!A546="","",'01_Rohdaten'!A546)</f>
        <v/>
      </c>
      <c r="C546" s="17" t="str">
        <f>IF(B546="","",INDEX('01_Rohdaten'!B546:D546,'02_Eingaben'!$C$13))</f>
        <v/>
      </c>
      <c r="D546" s="17" t="str">
        <f>IF(C546="","",C546*'02_Eingaben'!$C$15)</f>
        <v/>
      </c>
      <c r="E546" s="17" t="str">
        <f>IF(D546="","",D546*'02_Eingaben'!$C$8)</f>
        <v/>
      </c>
      <c r="F546" s="17" t="str">
        <f>IF(E546="","",AVERAGE(INDEX($E$2:$E$3001,MAX(1,ROW()-1-'02_Eingaben'!$C$17)):INDEX($E$2:$E$3001,MIN('02_Eingaben'!$C$21,ROW()-1+'02_Eingaben'!$C$17))))</f>
        <v/>
      </c>
      <c r="G546" s="17" t="str">
        <f>IF(F546="","",F546-'02_Eingaben'!$C$10)</f>
        <v/>
      </c>
      <c r="H546" t="str">
        <f>IF(F546="","",IF(F546&lt;'02_Eingaben'!$C$18*'02_Eingaben'!$C$10,1,0))</f>
        <v/>
      </c>
      <c r="I546" s="17" t="str">
        <f t="shared" si="8"/>
        <v/>
      </c>
      <c r="J546" s="17" t="str">
        <f>IF(B546="","",IF(B545&lt;'02_Eingaben'!$C$36,0,J545+I545/'02_Eingaben'!$C$8))</f>
        <v/>
      </c>
    </row>
    <row r="547" spans="1:10" x14ac:dyDescent="0.25">
      <c r="A547" t="str">
        <f>IF('01_Rohdaten'!A547="","",ROW()-1)</f>
        <v/>
      </c>
      <c r="B547" s="17" t="str">
        <f>IF('01_Rohdaten'!A547="","",'01_Rohdaten'!A547)</f>
        <v/>
      </c>
      <c r="C547" s="17" t="str">
        <f>IF(B547="","",INDEX('01_Rohdaten'!B547:D547,'02_Eingaben'!$C$13))</f>
        <v/>
      </c>
      <c r="D547" s="17" t="str">
        <f>IF(C547="","",C547*'02_Eingaben'!$C$15)</f>
        <v/>
      </c>
      <c r="E547" s="17" t="str">
        <f>IF(D547="","",D547*'02_Eingaben'!$C$8)</f>
        <v/>
      </c>
      <c r="F547" s="17" t="str">
        <f>IF(E547="","",AVERAGE(INDEX($E$2:$E$3001,MAX(1,ROW()-1-'02_Eingaben'!$C$17)):INDEX($E$2:$E$3001,MIN('02_Eingaben'!$C$21,ROW()-1+'02_Eingaben'!$C$17))))</f>
        <v/>
      </c>
      <c r="G547" s="17" t="str">
        <f>IF(F547="","",F547-'02_Eingaben'!$C$10)</f>
        <v/>
      </c>
      <c r="H547" t="str">
        <f>IF(F547="","",IF(F547&lt;'02_Eingaben'!$C$18*'02_Eingaben'!$C$10,1,0))</f>
        <v/>
      </c>
      <c r="I547" s="17" t="str">
        <f t="shared" si="8"/>
        <v/>
      </c>
      <c r="J547" s="17" t="str">
        <f>IF(B547="","",IF(B546&lt;'02_Eingaben'!$C$36,0,J546+I546/'02_Eingaben'!$C$8))</f>
        <v/>
      </c>
    </row>
    <row r="548" spans="1:10" x14ac:dyDescent="0.25">
      <c r="A548" t="str">
        <f>IF('01_Rohdaten'!A548="","",ROW()-1)</f>
        <v/>
      </c>
      <c r="B548" s="17" t="str">
        <f>IF('01_Rohdaten'!A548="","",'01_Rohdaten'!A548)</f>
        <v/>
      </c>
      <c r="C548" s="17" t="str">
        <f>IF(B548="","",INDEX('01_Rohdaten'!B548:D548,'02_Eingaben'!$C$13))</f>
        <v/>
      </c>
      <c r="D548" s="17" t="str">
        <f>IF(C548="","",C548*'02_Eingaben'!$C$15)</f>
        <v/>
      </c>
      <c r="E548" s="17" t="str">
        <f>IF(D548="","",D548*'02_Eingaben'!$C$8)</f>
        <v/>
      </c>
      <c r="F548" s="17" t="str">
        <f>IF(E548="","",AVERAGE(INDEX($E$2:$E$3001,MAX(1,ROW()-1-'02_Eingaben'!$C$17)):INDEX($E$2:$E$3001,MIN('02_Eingaben'!$C$21,ROW()-1+'02_Eingaben'!$C$17))))</f>
        <v/>
      </c>
      <c r="G548" s="17" t="str">
        <f>IF(F548="","",F548-'02_Eingaben'!$C$10)</f>
        <v/>
      </c>
      <c r="H548" t="str">
        <f>IF(F548="","",IF(F548&lt;'02_Eingaben'!$C$18*'02_Eingaben'!$C$10,1,0))</f>
        <v/>
      </c>
      <c r="I548" s="17" t="str">
        <f t="shared" si="8"/>
        <v/>
      </c>
      <c r="J548" s="17" t="str">
        <f>IF(B548="","",IF(B547&lt;'02_Eingaben'!$C$36,0,J547+I547/'02_Eingaben'!$C$8))</f>
        <v/>
      </c>
    </row>
    <row r="549" spans="1:10" x14ac:dyDescent="0.25">
      <c r="A549" t="str">
        <f>IF('01_Rohdaten'!A549="","",ROW()-1)</f>
        <v/>
      </c>
      <c r="B549" s="17" t="str">
        <f>IF('01_Rohdaten'!A549="","",'01_Rohdaten'!A549)</f>
        <v/>
      </c>
      <c r="C549" s="17" t="str">
        <f>IF(B549="","",INDEX('01_Rohdaten'!B549:D549,'02_Eingaben'!$C$13))</f>
        <v/>
      </c>
      <c r="D549" s="17" t="str">
        <f>IF(C549="","",C549*'02_Eingaben'!$C$15)</f>
        <v/>
      </c>
      <c r="E549" s="17" t="str">
        <f>IF(D549="","",D549*'02_Eingaben'!$C$8)</f>
        <v/>
      </c>
      <c r="F549" s="17" t="str">
        <f>IF(E549="","",AVERAGE(INDEX($E$2:$E$3001,MAX(1,ROW()-1-'02_Eingaben'!$C$17)):INDEX($E$2:$E$3001,MIN('02_Eingaben'!$C$21,ROW()-1+'02_Eingaben'!$C$17))))</f>
        <v/>
      </c>
      <c r="G549" s="17" t="str">
        <f>IF(F549="","",F549-'02_Eingaben'!$C$10)</f>
        <v/>
      </c>
      <c r="H549" t="str">
        <f>IF(F549="","",IF(F549&lt;'02_Eingaben'!$C$18*'02_Eingaben'!$C$10,1,0))</f>
        <v/>
      </c>
      <c r="I549" s="17" t="str">
        <f t="shared" si="8"/>
        <v/>
      </c>
      <c r="J549" s="17" t="str">
        <f>IF(B549="","",IF(B548&lt;'02_Eingaben'!$C$36,0,J548+I548/'02_Eingaben'!$C$8))</f>
        <v/>
      </c>
    </row>
    <row r="550" spans="1:10" x14ac:dyDescent="0.25">
      <c r="A550" t="str">
        <f>IF('01_Rohdaten'!A550="","",ROW()-1)</f>
        <v/>
      </c>
      <c r="B550" s="17" t="str">
        <f>IF('01_Rohdaten'!A550="","",'01_Rohdaten'!A550)</f>
        <v/>
      </c>
      <c r="C550" s="17" t="str">
        <f>IF(B550="","",INDEX('01_Rohdaten'!B550:D550,'02_Eingaben'!$C$13))</f>
        <v/>
      </c>
      <c r="D550" s="17" t="str">
        <f>IF(C550="","",C550*'02_Eingaben'!$C$15)</f>
        <v/>
      </c>
      <c r="E550" s="17" t="str">
        <f>IF(D550="","",D550*'02_Eingaben'!$C$8)</f>
        <v/>
      </c>
      <c r="F550" s="17" t="str">
        <f>IF(E550="","",AVERAGE(INDEX($E$2:$E$3001,MAX(1,ROW()-1-'02_Eingaben'!$C$17)):INDEX($E$2:$E$3001,MIN('02_Eingaben'!$C$21,ROW()-1+'02_Eingaben'!$C$17))))</f>
        <v/>
      </c>
      <c r="G550" s="17" t="str">
        <f>IF(F550="","",F550-'02_Eingaben'!$C$10)</f>
        <v/>
      </c>
      <c r="H550" t="str">
        <f>IF(F550="","",IF(F550&lt;'02_Eingaben'!$C$18*'02_Eingaben'!$C$10,1,0))</f>
        <v/>
      </c>
      <c r="I550" s="17" t="str">
        <f t="shared" si="8"/>
        <v/>
      </c>
      <c r="J550" s="17" t="str">
        <f>IF(B550="","",IF(B549&lt;'02_Eingaben'!$C$36,0,J549+I549/'02_Eingaben'!$C$8))</f>
        <v/>
      </c>
    </row>
    <row r="551" spans="1:10" x14ac:dyDescent="0.25">
      <c r="A551" t="str">
        <f>IF('01_Rohdaten'!A551="","",ROW()-1)</f>
        <v/>
      </c>
      <c r="B551" s="17" t="str">
        <f>IF('01_Rohdaten'!A551="","",'01_Rohdaten'!A551)</f>
        <v/>
      </c>
      <c r="C551" s="17" t="str">
        <f>IF(B551="","",INDEX('01_Rohdaten'!B551:D551,'02_Eingaben'!$C$13))</f>
        <v/>
      </c>
      <c r="D551" s="17" t="str">
        <f>IF(C551="","",C551*'02_Eingaben'!$C$15)</f>
        <v/>
      </c>
      <c r="E551" s="17" t="str">
        <f>IF(D551="","",D551*'02_Eingaben'!$C$8)</f>
        <v/>
      </c>
      <c r="F551" s="17" t="str">
        <f>IF(E551="","",AVERAGE(INDEX($E$2:$E$3001,MAX(1,ROW()-1-'02_Eingaben'!$C$17)):INDEX($E$2:$E$3001,MIN('02_Eingaben'!$C$21,ROW()-1+'02_Eingaben'!$C$17))))</f>
        <v/>
      </c>
      <c r="G551" s="17" t="str">
        <f>IF(F551="","",F551-'02_Eingaben'!$C$10)</f>
        <v/>
      </c>
      <c r="H551" t="str">
        <f>IF(F551="","",IF(F551&lt;'02_Eingaben'!$C$18*'02_Eingaben'!$C$10,1,0))</f>
        <v/>
      </c>
      <c r="I551" s="17" t="str">
        <f t="shared" si="8"/>
        <v/>
      </c>
      <c r="J551" s="17" t="str">
        <f>IF(B551="","",IF(B550&lt;'02_Eingaben'!$C$36,0,J550+I550/'02_Eingaben'!$C$8))</f>
        <v/>
      </c>
    </row>
    <row r="552" spans="1:10" x14ac:dyDescent="0.25">
      <c r="A552" t="str">
        <f>IF('01_Rohdaten'!A552="","",ROW()-1)</f>
        <v/>
      </c>
      <c r="B552" s="17" t="str">
        <f>IF('01_Rohdaten'!A552="","",'01_Rohdaten'!A552)</f>
        <v/>
      </c>
      <c r="C552" s="17" t="str">
        <f>IF(B552="","",INDEX('01_Rohdaten'!B552:D552,'02_Eingaben'!$C$13))</f>
        <v/>
      </c>
      <c r="D552" s="17" t="str">
        <f>IF(C552="","",C552*'02_Eingaben'!$C$15)</f>
        <v/>
      </c>
      <c r="E552" s="17" t="str">
        <f>IF(D552="","",D552*'02_Eingaben'!$C$8)</f>
        <v/>
      </c>
      <c r="F552" s="17" t="str">
        <f>IF(E552="","",AVERAGE(INDEX($E$2:$E$3001,MAX(1,ROW()-1-'02_Eingaben'!$C$17)):INDEX($E$2:$E$3001,MIN('02_Eingaben'!$C$21,ROW()-1+'02_Eingaben'!$C$17))))</f>
        <v/>
      </c>
      <c r="G552" s="17" t="str">
        <f>IF(F552="","",F552-'02_Eingaben'!$C$10)</f>
        <v/>
      </c>
      <c r="H552" t="str">
        <f>IF(F552="","",IF(F552&lt;'02_Eingaben'!$C$18*'02_Eingaben'!$C$10,1,0))</f>
        <v/>
      </c>
      <c r="I552" s="17" t="str">
        <f t="shared" si="8"/>
        <v/>
      </c>
      <c r="J552" s="17" t="str">
        <f>IF(B552="","",IF(B551&lt;'02_Eingaben'!$C$36,0,J551+I551/'02_Eingaben'!$C$8))</f>
        <v/>
      </c>
    </row>
    <row r="553" spans="1:10" x14ac:dyDescent="0.25">
      <c r="A553" t="str">
        <f>IF('01_Rohdaten'!A553="","",ROW()-1)</f>
        <v/>
      </c>
      <c r="B553" s="17" t="str">
        <f>IF('01_Rohdaten'!A553="","",'01_Rohdaten'!A553)</f>
        <v/>
      </c>
      <c r="C553" s="17" t="str">
        <f>IF(B553="","",INDEX('01_Rohdaten'!B553:D553,'02_Eingaben'!$C$13))</f>
        <v/>
      </c>
      <c r="D553" s="17" t="str">
        <f>IF(C553="","",C553*'02_Eingaben'!$C$15)</f>
        <v/>
      </c>
      <c r="E553" s="17" t="str">
        <f>IF(D553="","",D553*'02_Eingaben'!$C$8)</f>
        <v/>
      </c>
      <c r="F553" s="17" t="str">
        <f>IF(E553="","",AVERAGE(INDEX($E$2:$E$3001,MAX(1,ROW()-1-'02_Eingaben'!$C$17)):INDEX($E$2:$E$3001,MIN('02_Eingaben'!$C$21,ROW()-1+'02_Eingaben'!$C$17))))</f>
        <v/>
      </c>
      <c r="G553" s="17" t="str">
        <f>IF(F553="","",F553-'02_Eingaben'!$C$10)</f>
        <v/>
      </c>
      <c r="H553" t="str">
        <f>IF(F553="","",IF(F553&lt;'02_Eingaben'!$C$18*'02_Eingaben'!$C$10,1,0))</f>
        <v/>
      </c>
      <c r="I553" s="17" t="str">
        <f t="shared" si="8"/>
        <v/>
      </c>
      <c r="J553" s="17" t="str">
        <f>IF(B553="","",IF(B552&lt;'02_Eingaben'!$C$36,0,J552+I552/'02_Eingaben'!$C$8))</f>
        <v/>
      </c>
    </row>
    <row r="554" spans="1:10" x14ac:dyDescent="0.25">
      <c r="A554" t="str">
        <f>IF('01_Rohdaten'!A554="","",ROW()-1)</f>
        <v/>
      </c>
      <c r="B554" s="17" t="str">
        <f>IF('01_Rohdaten'!A554="","",'01_Rohdaten'!A554)</f>
        <v/>
      </c>
      <c r="C554" s="17" t="str">
        <f>IF(B554="","",INDEX('01_Rohdaten'!B554:D554,'02_Eingaben'!$C$13))</f>
        <v/>
      </c>
      <c r="D554" s="17" t="str">
        <f>IF(C554="","",C554*'02_Eingaben'!$C$15)</f>
        <v/>
      </c>
      <c r="E554" s="17" t="str">
        <f>IF(D554="","",D554*'02_Eingaben'!$C$8)</f>
        <v/>
      </c>
      <c r="F554" s="17" t="str">
        <f>IF(E554="","",AVERAGE(INDEX($E$2:$E$3001,MAX(1,ROW()-1-'02_Eingaben'!$C$17)):INDEX($E$2:$E$3001,MIN('02_Eingaben'!$C$21,ROW()-1+'02_Eingaben'!$C$17))))</f>
        <v/>
      </c>
      <c r="G554" s="17" t="str">
        <f>IF(F554="","",F554-'02_Eingaben'!$C$10)</f>
        <v/>
      </c>
      <c r="H554" t="str">
        <f>IF(F554="","",IF(F554&lt;'02_Eingaben'!$C$18*'02_Eingaben'!$C$10,1,0))</f>
        <v/>
      </c>
      <c r="I554" s="17" t="str">
        <f t="shared" si="8"/>
        <v/>
      </c>
      <c r="J554" s="17" t="str">
        <f>IF(B554="","",IF(B553&lt;'02_Eingaben'!$C$36,0,J553+I553/'02_Eingaben'!$C$8))</f>
        <v/>
      </c>
    </row>
    <row r="555" spans="1:10" x14ac:dyDescent="0.25">
      <c r="A555" t="str">
        <f>IF('01_Rohdaten'!A555="","",ROW()-1)</f>
        <v/>
      </c>
      <c r="B555" s="17" t="str">
        <f>IF('01_Rohdaten'!A555="","",'01_Rohdaten'!A555)</f>
        <v/>
      </c>
      <c r="C555" s="17" t="str">
        <f>IF(B555="","",INDEX('01_Rohdaten'!B555:D555,'02_Eingaben'!$C$13))</f>
        <v/>
      </c>
      <c r="D555" s="17" t="str">
        <f>IF(C555="","",C555*'02_Eingaben'!$C$15)</f>
        <v/>
      </c>
      <c r="E555" s="17" t="str">
        <f>IF(D555="","",D555*'02_Eingaben'!$C$8)</f>
        <v/>
      </c>
      <c r="F555" s="17" t="str">
        <f>IF(E555="","",AVERAGE(INDEX($E$2:$E$3001,MAX(1,ROW()-1-'02_Eingaben'!$C$17)):INDEX($E$2:$E$3001,MIN('02_Eingaben'!$C$21,ROW()-1+'02_Eingaben'!$C$17))))</f>
        <v/>
      </c>
      <c r="G555" s="17" t="str">
        <f>IF(F555="","",F555-'02_Eingaben'!$C$10)</f>
        <v/>
      </c>
      <c r="H555" t="str">
        <f>IF(F555="","",IF(F555&lt;'02_Eingaben'!$C$18*'02_Eingaben'!$C$10,1,0))</f>
        <v/>
      </c>
      <c r="I555" s="17" t="str">
        <f t="shared" si="8"/>
        <v/>
      </c>
      <c r="J555" s="17" t="str">
        <f>IF(B555="","",IF(B554&lt;'02_Eingaben'!$C$36,0,J554+I554/'02_Eingaben'!$C$8))</f>
        <v/>
      </c>
    </row>
    <row r="556" spans="1:10" x14ac:dyDescent="0.25">
      <c r="A556" t="str">
        <f>IF('01_Rohdaten'!A556="","",ROW()-1)</f>
        <v/>
      </c>
      <c r="B556" s="17" t="str">
        <f>IF('01_Rohdaten'!A556="","",'01_Rohdaten'!A556)</f>
        <v/>
      </c>
      <c r="C556" s="17" t="str">
        <f>IF(B556="","",INDEX('01_Rohdaten'!B556:D556,'02_Eingaben'!$C$13))</f>
        <v/>
      </c>
      <c r="D556" s="17" t="str">
        <f>IF(C556="","",C556*'02_Eingaben'!$C$15)</f>
        <v/>
      </c>
      <c r="E556" s="17" t="str">
        <f>IF(D556="","",D556*'02_Eingaben'!$C$8)</f>
        <v/>
      </c>
      <c r="F556" s="17" t="str">
        <f>IF(E556="","",AVERAGE(INDEX($E$2:$E$3001,MAX(1,ROW()-1-'02_Eingaben'!$C$17)):INDEX($E$2:$E$3001,MIN('02_Eingaben'!$C$21,ROW()-1+'02_Eingaben'!$C$17))))</f>
        <v/>
      </c>
      <c r="G556" s="17" t="str">
        <f>IF(F556="","",F556-'02_Eingaben'!$C$10)</f>
        <v/>
      </c>
      <c r="H556" t="str">
        <f>IF(F556="","",IF(F556&lt;'02_Eingaben'!$C$18*'02_Eingaben'!$C$10,1,0))</f>
        <v/>
      </c>
      <c r="I556" s="17" t="str">
        <f t="shared" si="8"/>
        <v/>
      </c>
      <c r="J556" s="17" t="str">
        <f>IF(B556="","",IF(B555&lt;'02_Eingaben'!$C$36,0,J555+I555/'02_Eingaben'!$C$8))</f>
        <v/>
      </c>
    </row>
    <row r="557" spans="1:10" x14ac:dyDescent="0.25">
      <c r="A557" t="str">
        <f>IF('01_Rohdaten'!A557="","",ROW()-1)</f>
        <v/>
      </c>
      <c r="B557" s="17" t="str">
        <f>IF('01_Rohdaten'!A557="","",'01_Rohdaten'!A557)</f>
        <v/>
      </c>
      <c r="C557" s="17" t="str">
        <f>IF(B557="","",INDEX('01_Rohdaten'!B557:D557,'02_Eingaben'!$C$13))</f>
        <v/>
      </c>
      <c r="D557" s="17" t="str">
        <f>IF(C557="","",C557*'02_Eingaben'!$C$15)</f>
        <v/>
      </c>
      <c r="E557" s="17" t="str">
        <f>IF(D557="","",D557*'02_Eingaben'!$C$8)</f>
        <v/>
      </c>
      <c r="F557" s="17" t="str">
        <f>IF(E557="","",AVERAGE(INDEX($E$2:$E$3001,MAX(1,ROW()-1-'02_Eingaben'!$C$17)):INDEX($E$2:$E$3001,MIN('02_Eingaben'!$C$21,ROW()-1+'02_Eingaben'!$C$17))))</f>
        <v/>
      </c>
      <c r="G557" s="17" t="str">
        <f>IF(F557="","",F557-'02_Eingaben'!$C$10)</f>
        <v/>
      </c>
      <c r="H557" t="str">
        <f>IF(F557="","",IF(F557&lt;'02_Eingaben'!$C$18*'02_Eingaben'!$C$10,1,0))</f>
        <v/>
      </c>
      <c r="I557" s="17" t="str">
        <f t="shared" si="8"/>
        <v/>
      </c>
      <c r="J557" s="17" t="str">
        <f>IF(B557="","",IF(B556&lt;'02_Eingaben'!$C$36,0,J556+I556/'02_Eingaben'!$C$8))</f>
        <v/>
      </c>
    </row>
    <row r="558" spans="1:10" x14ac:dyDescent="0.25">
      <c r="A558" t="str">
        <f>IF('01_Rohdaten'!A558="","",ROW()-1)</f>
        <v/>
      </c>
      <c r="B558" s="17" t="str">
        <f>IF('01_Rohdaten'!A558="","",'01_Rohdaten'!A558)</f>
        <v/>
      </c>
      <c r="C558" s="17" t="str">
        <f>IF(B558="","",INDEX('01_Rohdaten'!B558:D558,'02_Eingaben'!$C$13))</f>
        <v/>
      </c>
      <c r="D558" s="17" t="str">
        <f>IF(C558="","",C558*'02_Eingaben'!$C$15)</f>
        <v/>
      </c>
      <c r="E558" s="17" t="str">
        <f>IF(D558="","",D558*'02_Eingaben'!$C$8)</f>
        <v/>
      </c>
      <c r="F558" s="17" t="str">
        <f>IF(E558="","",AVERAGE(INDEX($E$2:$E$3001,MAX(1,ROW()-1-'02_Eingaben'!$C$17)):INDEX($E$2:$E$3001,MIN('02_Eingaben'!$C$21,ROW()-1+'02_Eingaben'!$C$17))))</f>
        <v/>
      </c>
      <c r="G558" s="17" t="str">
        <f>IF(F558="","",F558-'02_Eingaben'!$C$10)</f>
        <v/>
      </c>
      <c r="H558" t="str">
        <f>IF(F558="","",IF(F558&lt;'02_Eingaben'!$C$18*'02_Eingaben'!$C$10,1,0))</f>
        <v/>
      </c>
      <c r="I558" s="17" t="str">
        <f t="shared" si="8"/>
        <v/>
      </c>
      <c r="J558" s="17" t="str">
        <f>IF(B558="","",IF(B557&lt;'02_Eingaben'!$C$36,0,J557+I557/'02_Eingaben'!$C$8))</f>
        <v/>
      </c>
    </row>
    <row r="559" spans="1:10" x14ac:dyDescent="0.25">
      <c r="A559" t="str">
        <f>IF('01_Rohdaten'!A559="","",ROW()-1)</f>
        <v/>
      </c>
      <c r="B559" s="17" t="str">
        <f>IF('01_Rohdaten'!A559="","",'01_Rohdaten'!A559)</f>
        <v/>
      </c>
      <c r="C559" s="17" t="str">
        <f>IF(B559="","",INDEX('01_Rohdaten'!B559:D559,'02_Eingaben'!$C$13))</f>
        <v/>
      </c>
      <c r="D559" s="17" t="str">
        <f>IF(C559="","",C559*'02_Eingaben'!$C$15)</f>
        <v/>
      </c>
      <c r="E559" s="17" t="str">
        <f>IF(D559="","",D559*'02_Eingaben'!$C$8)</f>
        <v/>
      </c>
      <c r="F559" s="17" t="str">
        <f>IF(E559="","",AVERAGE(INDEX($E$2:$E$3001,MAX(1,ROW()-1-'02_Eingaben'!$C$17)):INDEX($E$2:$E$3001,MIN('02_Eingaben'!$C$21,ROW()-1+'02_Eingaben'!$C$17))))</f>
        <v/>
      </c>
      <c r="G559" s="17" t="str">
        <f>IF(F559="","",F559-'02_Eingaben'!$C$10)</f>
        <v/>
      </c>
      <c r="H559" t="str">
        <f>IF(F559="","",IF(F559&lt;'02_Eingaben'!$C$18*'02_Eingaben'!$C$10,1,0))</f>
        <v/>
      </c>
      <c r="I559" s="17" t="str">
        <f t="shared" si="8"/>
        <v/>
      </c>
      <c r="J559" s="17" t="str">
        <f>IF(B559="","",IF(B558&lt;'02_Eingaben'!$C$36,0,J558+I558/'02_Eingaben'!$C$8))</f>
        <v/>
      </c>
    </row>
    <row r="560" spans="1:10" x14ac:dyDescent="0.25">
      <c r="A560" t="str">
        <f>IF('01_Rohdaten'!A560="","",ROW()-1)</f>
        <v/>
      </c>
      <c r="B560" s="17" t="str">
        <f>IF('01_Rohdaten'!A560="","",'01_Rohdaten'!A560)</f>
        <v/>
      </c>
      <c r="C560" s="17" t="str">
        <f>IF(B560="","",INDEX('01_Rohdaten'!B560:D560,'02_Eingaben'!$C$13))</f>
        <v/>
      </c>
      <c r="D560" s="17" t="str">
        <f>IF(C560="","",C560*'02_Eingaben'!$C$15)</f>
        <v/>
      </c>
      <c r="E560" s="17" t="str">
        <f>IF(D560="","",D560*'02_Eingaben'!$C$8)</f>
        <v/>
      </c>
      <c r="F560" s="17" t="str">
        <f>IF(E560="","",AVERAGE(INDEX($E$2:$E$3001,MAX(1,ROW()-1-'02_Eingaben'!$C$17)):INDEX($E$2:$E$3001,MIN('02_Eingaben'!$C$21,ROW()-1+'02_Eingaben'!$C$17))))</f>
        <v/>
      </c>
      <c r="G560" s="17" t="str">
        <f>IF(F560="","",F560-'02_Eingaben'!$C$10)</f>
        <v/>
      </c>
      <c r="H560" t="str">
        <f>IF(F560="","",IF(F560&lt;'02_Eingaben'!$C$18*'02_Eingaben'!$C$10,1,0))</f>
        <v/>
      </c>
      <c r="I560" s="17" t="str">
        <f t="shared" si="8"/>
        <v/>
      </c>
      <c r="J560" s="17" t="str">
        <f>IF(B560="","",IF(B559&lt;'02_Eingaben'!$C$36,0,J559+I559/'02_Eingaben'!$C$8))</f>
        <v/>
      </c>
    </row>
    <row r="561" spans="1:10" x14ac:dyDescent="0.25">
      <c r="A561" t="str">
        <f>IF('01_Rohdaten'!A561="","",ROW()-1)</f>
        <v/>
      </c>
      <c r="B561" s="17" t="str">
        <f>IF('01_Rohdaten'!A561="","",'01_Rohdaten'!A561)</f>
        <v/>
      </c>
      <c r="C561" s="17" t="str">
        <f>IF(B561="","",INDEX('01_Rohdaten'!B561:D561,'02_Eingaben'!$C$13))</f>
        <v/>
      </c>
      <c r="D561" s="17" t="str">
        <f>IF(C561="","",C561*'02_Eingaben'!$C$15)</f>
        <v/>
      </c>
      <c r="E561" s="17" t="str">
        <f>IF(D561="","",D561*'02_Eingaben'!$C$8)</f>
        <v/>
      </c>
      <c r="F561" s="17" t="str">
        <f>IF(E561="","",AVERAGE(INDEX($E$2:$E$3001,MAX(1,ROW()-1-'02_Eingaben'!$C$17)):INDEX($E$2:$E$3001,MIN('02_Eingaben'!$C$21,ROW()-1+'02_Eingaben'!$C$17))))</f>
        <v/>
      </c>
      <c r="G561" s="17" t="str">
        <f>IF(F561="","",F561-'02_Eingaben'!$C$10)</f>
        <v/>
      </c>
      <c r="H561" t="str">
        <f>IF(F561="","",IF(F561&lt;'02_Eingaben'!$C$18*'02_Eingaben'!$C$10,1,0))</f>
        <v/>
      </c>
      <c r="I561" s="17" t="str">
        <f t="shared" si="8"/>
        <v/>
      </c>
      <c r="J561" s="17" t="str">
        <f>IF(B561="","",IF(B560&lt;'02_Eingaben'!$C$36,0,J560+I560/'02_Eingaben'!$C$8))</f>
        <v/>
      </c>
    </row>
    <row r="562" spans="1:10" x14ac:dyDescent="0.25">
      <c r="A562" t="str">
        <f>IF('01_Rohdaten'!A562="","",ROW()-1)</f>
        <v/>
      </c>
      <c r="B562" s="17" t="str">
        <f>IF('01_Rohdaten'!A562="","",'01_Rohdaten'!A562)</f>
        <v/>
      </c>
      <c r="C562" s="17" t="str">
        <f>IF(B562="","",INDEX('01_Rohdaten'!B562:D562,'02_Eingaben'!$C$13))</f>
        <v/>
      </c>
      <c r="D562" s="17" t="str">
        <f>IF(C562="","",C562*'02_Eingaben'!$C$15)</f>
        <v/>
      </c>
      <c r="E562" s="17" t="str">
        <f>IF(D562="","",D562*'02_Eingaben'!$C$8)</f>
        <v/>
      </c>
      <c r="F562" s="17" t="str">
        <f>IF(E562="","",AVERAGE(INDEX($E$2:$E$3001,MAX(1,ROW()-1-'02_Eingaben'!$C$17)):INDEX($E$2:$E$3001,MIN('02_Eingaben'!$C$21,ROW()-1+'02_Eingaben'!$C$17))))</f>
        <v/>
      </c>
      <c r="G562" s="17" t="str">
        <f>IF(F562="","",F562-'02_Eingaben'!$C$10)</f>
        <v/>
      </c>
      <c r="H562" t="str">
        <f>IF(F562="","",IF(F562&lt;'02_Eingaben'!$C$18*'02_Eingaben'!$C$10,1,0))</f>
        <v/>
      </c>
      <c r="I562" s="17" t="str">
        <f t="shared" si="8"/>
        <v/>
      </c>
      <c r="J562" s="17" t="str">
        <f>IF(B562="","",IF(B561&lt;'02_Eingaben'!$C$36,0,J561+I561/'02_Eingaben'!$C$8))</f>
        <v/>
      </c>
    </row>
    <row r="563" spans="1:10" x14ac:dyDescent="0.25">
      <c r="A563" t="str">
        <f>IF('01_Rohdaten'!A563="","",ROW()-1)</f>
        <v/>
      </c>
      <c r="B563" s="17" t="str">
        <f>IF('01_Rohdaten'!A563="","",'01_Rohdaten'!A563)</f>
        <v/>
      </c>
      <c r="C563" s="17" t="str">
        <f>IF(B563="","",INDEX('01_Rohdaten'!B563:D563,'02_Eingaben'!$C$13))</f>
        <v/>
      </c>
      <c r="D563" s="17" t="str">
        <f>IF(C563="","",C563*'02_Eingaben'!$C$15)</f>
        <v/>
      </c>
      <c r="E563" s="17" t="str">
        <f>IF(D563="","",D563*'02_Eingaben'!$C$8)</f>
        <v/>
      </c>
      <c r="F563" s="17" t="str">
        <f>IF(E563="","",AVERAGE(INDEX($E$2:$E$3001,MAX(1,ROW()-1-'02_Eingaben'!$C$17)):INDEX($E$2:$E$3001,MIN('02_Eingaben'!$C$21,ROW()-1+'02_Eingaben'!$C$17))))</f>
        <v/>
      </c>
      <c r="G563" s="17" t="str">
        <f>IF(F563="","",F563-'02_Eingaben'!$C$10)</f>
        <v/>
      </c>
      <c r="H563" t="str">
        <f>IF(F563="","",IF(F563&lt;'02_Eingaben'!$C$18*'02_Eingaben'!$C$10,1,0))</f>
        <v/>
      </c>
      <c r="I563" s="17" t="str">
        <f t="shared" si="8"/>
        <v/>
      </c>
      <c r="J563" s="17" t="str">
        <f>IF(B563="","",IF(B562&lt;'02_Eingaben'!$C$36,0,J562+I562/'02_Eingaben'!$C$8))</f>
        <v/>
      </c>
    </row>
    <row r="564" spans="1:10" x14ac:dyDescent="0.25">
      <c r="A564" t="str">
        <f>IF('01_Rohdaten'!A564="","",ROW()-1)</f>
        <v/>
      </c>
      <c r="B564" s="17" t="str">
        <f>IF('01_Rohdaten'!A564="","",'01_Rohdaten'!A564)</f>
        <v/>
      </c>
      <c r="C564" s="17" t="str">
        <f>IF(B564="","",INDEX('01_Rohdaten'!B564:D564,'02_Eingaben'!$C$13))</f>
        <v/>
      </c>
      <c r="D564" s="17" t="str">
        <f>IF(C564="","",C564*'02_Eingaben'!$C$15)</f>
        <v/>
      </c>
      <c r="E564" s="17" t="str">
        <f>IF(D564="","",D564*'02_Eingaben'!$C$8)</f>
        <v/>
      </c>
      <c r="F564" s="17" t="str">
        <f>IF(E564="","",AVERAGE(INDEX($E$2:$E$3001,MAX(1,ROW()-1-'02_Eingaben'!$C$17)):INDEX($E$2:$E$3001,MIN('02_Eingaben'!$C$21,ROW()-1+'02_Eingaben'!$C$17))))</f>
        <v/>
      </c>
      <c r="G564" s="17" t="str">
        <f>IF(F564="","",F564-'02_Eingaben'!$C$10)</f>
        <v/>
      </c>
      <c r="H564" t="str">
        <f>IF(F564="","",IF(F564&lt;'02_Eingaben'!$C$18*'02_Eingaben'!$C$10,1,0))</f>
        <v/>
      </c>
      <c r="I564" s="17" t="str">
        <f t="shared" si="8"/>
        <v/>
      </c>
      <c r="J564" s="17" t="str">
        <f>IF(B564="","",IF(B563&lt;'02_Eingaben'!$C$36,0,J563+I563/'02_Eingaben'!$C$8))</f>
        <v/>
      </c>
    </row>
    <row r="565" spans="1:10" x14ac:dyDescent="0.25">
      <c r="A565" t="str">
        <f>IF('01_Rohdaten'!A565="","",ROW()-1)</f>
        <v/>
      </c>
      <c r="B565" s="17" t="str">
        <f>IF('01_Rohdaten'!A565="","",'01_Rohdaten'!A565)</f>
        <v/>
      </c>
      <c r="C565" s="17" t="str">
        <f>IF(B565="","",INDEX('01_Rohdaten'!B565:D565,'02_Eingaben'!$C$13))</f>
        <v/>
      </c>
      <c r="D565" s="17" t="str">
        <f>IF(C565="","",C565*'02_Eingaben'!$C$15)</f>
        <v/>
      </c>
      <c r="E565" s="17" t="str">
        <f>IF(D565="","",D565*'02_Eingaben'!$C$8)</f>
        <v/>
      </c>
      <c r="F565" s="17" t="str">
        <f>IF(E565="","",AVERAGE(INDEX($E$2:$E$3001,MAX(1,ROW()-1-'02_Eingaben'!$C$17)):INDEX($E$2:$E$3001,MIN('02_Eingaben'!$C$21,ROW()-1+'02_Eingaben'!$C$17))))</f>
        <v/>
      </c>
      <c r="G565" s="17" t="str">
        <f>IF(F565="","",F565-'02_Eingaben'!$C$10)</f>
        <v/>
      </c>
      <c r="H565" t="str">
        <f>IF(F565="","",IF(F565&lt;'02_Eingaben'!$C$18*'02_Eingaben'!$C$10,1,0))</f>
        <v/>
      </c>
      <c r="I565" s="17" t="str">
        <f t="shared" si="8"/>
        <v/>
      </c>
      <c r="J565" s="17" t="str">
        <f>IF(B565="","",IF(B564&lt;'02_Eingaben'!$C$36,0,J564+I564/'02_Eingaben'!$C$8))</f>
        <v/>
      </c>
    </row>
    <row r="566" spans="1:10" x14ac:dyDescent="0.25">
      <c r="A566" t="str">
        <f>IF('01_Rohdaten'!A566="","",ROW()-1)</f>
        <v/>
      </c>
      <c r="B566" s="17" t="str">
        <f>IF('01_Rohdaten'!A566="","",'01_Rohdaten'!A566)</f>
        <v/>
      </c>
      <c r="C566" s="17" t="str">
        <f>IF(B566="","",INDEX('01_Rohdaten'!B566:D566,'02_Eingaben'!$C$13))</f>
        <v/>
      </c>
      <c r="D566" s="17" t="str">
        <f>IF(C566="","",C566*'02_Eingaben'!$C$15)</f>
        <v/>
      </c>
      <c r="E566" s="17" t="str">
        <f>IF(D566="","",D566*'02_Eingaben'!$C$8)</f>
        <v/>
      </c>
      <c r="F566" s="17" t="str">
        <f>IF(E566="","",AVERAGE(INDEX($E$2:$E$3001,MAX(1,ROW()-1-'02_Eingaben'!$C$17)):INDEX($E$2:$E$3001,MIN('02_Eingaben'!$C$21,ROW()-1+'02_Eingaben'!$C$17))))</f>
        <v/>
      </c>
      <c r="G566" s="17" t="str">
        <f>IF(F566="","",F566-'02_Eingaben'!$C$10)</f>
        <v/>
      </c>
      <c r="H566" t="str">
        <f>IF(F566="","",IF(F566&lt;'02_Eingaben'!$C$18*'02_Eingaben'!$C$10,1,0))</f>
        <v/>
      </c>
      <c r="I566" s="17" t="str">
        <f t="shared" si="8"/>
        <v/>
      </c>
      <c r="J566" s="17" t="str">
        <f>IF(B566="","",IF(B565&lt;'02_Eingaben'!$C$36,0,J565+I565/'02_Eingaben'!$C$8))</f>
        <v/>
      </c>
    </row>
    <row r="567" spans="1:10" x14ac:dyDescent="0.25">
      <c r="A567" t="str">
        <f>IF('01_Rohdaten'!A567="","",ROW()-1)</f>
        <v/>
      </c>
      <c r="B567" s="17" t="str">
        <f>IF('01_Rohdaten'!A567="","",'01_Rohdaten'!A567)</f>
        <v/>
      </c>
      <c r="C567" s="17" t="str">
        <f>IF(B567="","",INDEX('01_Rohdaten'!B567:D567,'02_Eingaben'!$C$13))</f>
        <v/>
      </c>
      <c r="D567" s="17" t="str">
        <f>IF(C567="","",C567*'02_Eingaben'!$C$15)</f>
        <v/>
      </c>
      <c r="E567" s="17" t="str">
        <f>IF(D567="","",D567*'02_Eingaben'!$C$8)</f>
        <v/>
      </c>
      <c r="F567" s="17" t="str">
        <f>IF(E567="","",AVERAGE(INDEX($E$2:$E$3001,MAX(1,ROW()-1-'02_Eingaben'!$C$17)):INDEX($E$2:$E$3001,MIN('02_Eingaben'!$C$21,ROW()-1+'02_Eingaben'!$C$17))))</f>
        <v/>
      </c>
      <c r="G567" s="17" t="str">
        <f>IF(F567="","",F567-'02_Eingaben'!$C$10)</f>
        <v/>
      </c>
      <c r="H567" t="str">
        <f>IF(F567="","",IF(F567&lt;'02_Eingaben'!$C$18*'02_Eingaben'!$C$10,1,0))</f>
        <v/>
      </c>
      <c r="I567" s="17" t="str">
        <f t="shared" si="8"/>
        <v/>
      </c>
      <c r="J567" s="17" t="str">
        <f>IF(B567="","",IF(B566&lt;'02_Eingaben'!$C$36,0,J566+I566/'02_Eingaben'!$C$8))</f>
        <v/>
      </c>
    </row>
    <row r="568" spans="1:10" x14ac:dyDescent="0.25">
      <c r="A568" t="str">
        <f>IF('01_Rohdaten'!A568="","",ROW()-1)</f>
        <v/>
      </c>
      <c r="B568" s="17" t="str">
        <f>IF('01_Rohdaten'!A568="","",'01_Rohdaten'!A568)</f>
        <v/>
      </c>
      <c r="C568" s="17" t="str">
        <f>IF(B568="","",INDEX('01_Rohdaten'!B568:D568,'02_Eingaben'!$C$13))</f>
        <v/>
      </c>
      <c r="D568" s="17" t="str">
        <f>IF(C568="","",C568*'02_Eingaben'!$C$15)</f>
        <v/>
      </c>
      <c r="E568" s="17" t="str">
        <f>IF(D568="","",D568*'02_Eingaben'!$C$8)</f>
        <v/>
      </c>
      <c r="F568" s="17" t="str">
        <f>IF(E568="","",AVERAGE(INDEX($E$2:$E$3001,MAX(1,ROW()-1-'02_Eingaben'!$C$17)):INDEX($E$2:$E$3001,MIN('02_Eingaben'!$C$21,ROW()-1+'02_Eingaben'!$C$17))))</f>
        <v/>
      </c>
      <c r="G568" s="17" t="str">
        <f>IF(F568="","",F568-'02_Eingaben'!$C$10)</f>
        <v/>
      </c>
      <c r="H568" t="str">
        <f>IF(F568="","",IF(F568&lt;'02_Eingaben'!$C$18*'02_Eingaben'!$C$10,1,0))</f>
        <v/>
      </c>
      <c r="I568" s="17" t="str">
        <f t="shared" si="8"/>
        <v/>
      </c>
      <c r="J568" s="17" t="str">
        <f>IF(B568="","",IF(B567&lt;'02_Eingaben'!$C$36,0,J567+I567/'02_Eingaben'!$C$8))</f>
        <v/>
      </c>
    </row>
    <row r="569" spans="1:10" x14ac:dyDescent="0.25">
      <c r="A569" t="str">
        <f>IF('01_Rohdaten'!A569="","",ROW()-1)</f>
        <v/>
      </c>
      <c r="B569" s="17" t="str">
        <f>IF('01_Rohdaten'!A569="","",'01_Rohdaten'!A569)</f>
        <v/>
      </c>
      <c r="C569" s="17" t="str">
        <f>IF(B569="","",INDEX('01_Rohdaten'!B569:D569,'02_Eingaben'!$C$13))</f>
        <v/>
      </c>
      <c r="D569" s="17" t="str">
        <f>IF(C569="","",C569*'02_Eingaben'!$C$15)</f>
        <v/>
      </c>
      <c r="E569" s="17" t="str">
        <f>IF(D569="","",D569*'02_Eingaben'!$C$8)</f>
        <v/>
      </c>
      <c r="F569" s="17" t="str">
        <f>IF(E569="","",AVERAGE(INDEX($E$2:$E$3001,MAX(1,ROW()-1-'02_Eingaben'!$C$17)):INDEX($E$2:$E$3001,MIN('02_Eingaben'!$C$21,ROW()-1+'02_Eingaben'!$C$17))))</f>
        <v/>
      </c>
      <c r="G569" s="17" t="str">
        <f>IF(F569="","",F569-'02_Eingaben'!$C$10)</f>
        <v/>
      </c>
      <c r="H569" t="str">
        <f>IF(F569="","",IF(F569&lt;'02_Eingaben'!$C$18*'02_Eingaben'!$C$10,1,0))</f>
        <v/>
      </c>
      <c r="I569" s="17" t="str">
        <f t="shared" si="8"/>
        <v/>
      </c>
      <c r="J569" s="17" t="str">
        <f>IF(B569="","",IF(B568&lt;'02_Eingaben'!$C$36,0,J568+I568/'02_Eingaben'!$C$8))</f>
        <v/>
      </c>
    </row>
    <row r="570" spans="1:10" x14ac:dyDescent="0.25">
      <c r="A570" t="str">
        <f>IF('01_Rohdaten'!A570="","",ROW()-1)</f>
        <v/>
      </c>
      <c r="B570" s="17" t="str">
        <f>IF('01_Rohdaten'!A570="","",'01_Rohdaten'!A570)</f>
        <v/>
      </c>
      <c r="C570" s="17" t="str">
        <f>IF(B570="","",INDEX('01_Rohdaten'!B570:D570,'02_Eingaben'!$C$13))</f>
        <v/>
      </c>
      <c r="D570" s="17" t="str">
        <f>IF(C570="","",C570*'02_Eingaben'!$C$15)</f>
        <v/>
      </c>
      <c r="E570" s="17" t="str">
        <f>IF(D570="","",D570*'02_Eingaben'!$C$8)</f>
        <v/>
      </c>
      <c r="F570" s="17" t="str">
        <f>IF(E570="","",AVERAGE(INDEX($E$2:$E$3001,MAX(1,ROW()-1-'02_Eingaben'!$C$17)):INDEX($E$2:$E$3001,MIN('02_Eingaben'!$C$21,ROW()-1+'02_Eingaben'!$C$17))))</f>
        <v/>
      </c>
      <c r="G570" s="17" t="str">
        <f>IF(F570="","",F570-'02_Eingaben'!$C$10)</f>
        <v/>
      </c>
      <c r="H570" t="str">
        <f>IF(F570="","",IF(F570&lt;'02_Eingaben'!$C$18*'02_Eingaben'!$C$10,1,0))</f>
        <v/>
      </c>
      <c r="I570" s="17" t="str">
        <f t="shared" si="8"/>
        <v/>
      </c>
      <c r="J570" s="17" t="str">
        <f>IF(B570="","",IF(B569&lt;'02_Eingaben'!$C$36,0,J569+I569/'02_Eingaben'!$C$8))</f>
        <v/>
      </c>
    </row>
    <row r="571" spans="1:10" x14ac:dyDescent="0.25">
      <c r="A571" t="str">
        <f>IF('01_Rohdaten'!A571="","",ROW()-1)</f>
        <v/>
      </c>
      <c r="B571" s="17" t="str">
        <f>IF('01_Rohdaten'!A571="","",'01_Rohdaten'!A571)</f>
        <v/>
      </c>
      <c r="C571" s="17" t="str">
        <f>IF(B571="","",INDEX('01_Rohdaten'!B571:D571,'02_Eingaben'!$C$13))</f>
        <v/>
      </c>
      <c r="D571" s="17" t="str">
        <f>IF(C571="","",C571*'02_Eingaben'!$C$15)</f>
        <v/>
      </c>
      <c r="E571" s="17" t="str">
        <f>IF(D571="","",D571*'02_Eingaben'!$C$8)</f>
        <v/>
      </c>
      <c r="F571" s="17" t="str">
        <f>IF(E571="","",AVERAGE(INDEX($E$2:$E$3001,MAX(1,ROW()-1-'02_Eingaben'!$C$17)):INDEX($E$2:$E$3001,MIN('02_Eingaben'!$C$21,ROW()-1+'02_Eingaben'!$C$17))))</f>
        <v/>
      </c>
      <c r="G571" s="17" t="str">
        <f>IF(F571="","",F571-'02_Eingaben'!$C$10)</f>
        <v/>
      </c>
      <c r="H571" t="str">
        <f>IF(F571="","",IF(F571&lt;'02_Eingaben'!$C$18*'02_Eingaben'!$C$10,1,0))</f>
        <v/>
      </c>
      <c r="I571" s="17" t="str">
        <f t="shared" si="8"/>
        <v/>
      </c>
      <c r="J571" s="17" t="str">
        <f>IF(B571="","",IF(B570&lt;'02_Eingaben'!$C$36,0,J570+I570/'02_Eingaben'!$C$8))</f>
        <v/>
      </c>
    </row>
    <row r="572" spans="1:10" x14ac:dyDescent="0.25">
      <c r="A572" t="str">
        <f>IF('01_Rohdaten'!A572="","",ROW()-1)</f>
        <v/>
      </c>
      <c r="B572" s="17" t="str">
        <f>IF('01_Rohdaten'!A572="","",'01_Rohdaten'!A572)</f>
        <v/>
      </c>
      <c r="C572" s="17" t="str">
        <f>IF(B572="","",INDEX('01_Rohdaten'!B572:D572,'02_Eingaben'!$C$13))</f>
        <v/>
      </c>
      <c r="D572" s="17" t="str">
        <f>IF(C572="","",C572*'02_Eingaben'!$C$15)</f>
        <v/>
      </c>
      <c r="E572" s="17" t="str">
        <f>IF(D572="","",D572*'02_Eingaben'!$C$8)</f>
        <v/>
      </c>
      <c r="F572" s="17" t="str">
        <f>IF(E572="","",AVERAGE(INDEX($E$2:$E$3001,MAX(1,ROW()-1-'02_Eingaben'!$C$17)):INDEX($E$2:$E$3001,MIN('02_Eingaben'!$C$21,ROW()-1+'02_Eingaben'!$C$17))))</f>
        <v/>
      </c>
      <c r="G572" s="17" t="str">
        <f>IF(F572="","",F572-'02_Eingaben'!$C$10)</f>
        <v/>
      </c>
      <c r="H572" t="str">
        <f>IF(F572="","",IF(F572&lt;'02_Eingaben'!$C$18*'02_Eingaben'!$C$10,1,0))</f>
        <v/>
      </c>
      <c r="I572" s="17" t="str">
        <f t="shared" si="8"/>
        <v/>
      </c>
      <c r="J572" s="17" t="str">
        <f>IF(B572="","",IF(B571&lt;'02_Eingaben'!$C$36,0,J571+I571/'02_Eingaben'!$C$8))</f>
        <v/>
      </c>
    </row>
    <row r="573" spans="1:10" x14ac:dyDescent="0.25">
      <c r="A573" t="str">
        <f>IF('01_Rohdaten'!A573="","",ROW()-1)</f>
        <v/>
      </c>
      <c r="B573" s="17" t="str">
        <f>IF('01_Rohdaten'!A573="","",'01_Rohdaten'!A573)</f>
        <v/>
      </c>
      <c r="C573" s="17" t="str">
        <f>IF(B573="","",INDEX('01_Rohdaten'!B573:D573,'02_Eingaben'!$C$13))</f>
        <v/>
      </c>
      <c r="D573" s="17" t="str">
        <f>IF(C573="","",C573*'02_Eingaben'!$C$15)</f>
        <v/>
      </c>
      <c r="E573" s="17" t="str">
        <f>IF(D573="","",D573*'02_Eingaben'!$C$8)</f>
        <v/>
      </c>
      <c r="F573" s="17" t="str">
        <f>IF(E573="","",AVERAGE(INDEX($E$2:$E$3001,MAX(1,ROW()-1-'02_Eingaben'!$C$17)):INDEX($E$2:$E$3001,MIN('02_Eingaben'!$C$21,ROW()-1+'02_Eingaben'!$C$17))))</f>
        <v/>
      </c>
      <c r="G573" s="17" t="str">
        <f>IF(F573="","",F573-'02_Eingaben'!$C$10)</f>
        <v/>
      </c>
      <c r="H573" t="str">
        <f>IF(F573="","",IF(F573&lt;'02_Eingaben'!$C$18*'02_Eingaben'!$C$10,1,0))</f>
        <v/>
      </c>
      <c r="I573" s="17" t="str">
        <f t="shared" si="8"/>
        <v/>
      </c>
      <c r="J573" s="17" t="str">
        <f>IF(B573="","",IF(B572&lt;'02_Eingaben'!$C$36,0,J572+I572/'02_Eingaben'!$C$8))</f>
        <v/>
      </c>
    </row>
    <row r="574" spans="1:10" x14ac:dyDescent="0.25">
      <c r="A574" t="str">
        <f>IF('01_Rohdaten'!A574="","",ROW()-1)</f>
        <v/>
      </c>
      <c r="B574" s="17" t="str">
        <f>IF('01_Rohdaten'!A574="","",'01_Rohdaten'!A574)</f>
        <v/>
      </c>
      <c r="C574" s="17" t="str">
        <f>IF(B574="","",INDEX('01_Rohdaten'!B574:D574,'02_Eingaben'!$C$13))</f>
        <v/>
      </c>
      <c r="D574" s="17" t="str">
        <f>IF(C574="","",C574*'02_Eingaben'!$C$15)</f>
        <v/>
      </c>
      <c r="E574" s="17" t="str">
        <f>IF(D574="","",D574*'02_Eingaben'!$C$8)</f>
        <v/>
      </c>
      <c r="F574" s="17" t="str">
        <f>IF(E574="","",AVERAGE(INDEX($E$2:$E$3001,MAX(1,ROW()-1-'02_Eingaben'!$C$17)):INDEX($E$2:$E$3001,MIN('02_Eingaben'!$C$21,ROW()-1+'02_Eingaben'!$C$17))))</f>
        <v/>
      </c>
      <c r="G574" s="17" t="str">
        <f>IF(F574="","",F574-'02_Eingaben'!$C$10)</f>
        <v/>
      </c>
      <c r="H574" t="str">
        <f>IF(F574="","",IF(F574&lt;'02_Eingaben'!$C$18*'02_Eingaben'!$C$10,1,0))</f>
        <v/>
      </c>
      <c r="I574" s="17" t="str">
        <f t="shared" si="8"/>
        <v/>
      </c>
      <c r="J574" s="17" t="str">
        <f>IF(B574="","",IF(B573&lt;'02_Eingaben'!$C$36,0,J573+I573/'02_Eingaben'!$C$8))</f>
        <v/>
      </c>
    </row>
    <row r="575" spans="1:10" x14ac:dyDescent="0.25">
      <c r="A575" t="str">
        <f>IF('01_Rohdaten'!A575="","",ROW()-1)</f>
        <v/>
      </c>
      <c r="B575" s="17" t="str">
        <f>IF('01_Rohdaten'!A575="","",'01_Rohdaten'!A575)</f>
        <v/>
      </c>
      <c r="C575" s="17" t="str">
        <f>IF(B575="","",INDEX('01_Rohdaten'!B575:D575,'02_Eingaben'!$C$13))</f>
        <v/>
      </c>
      <c r="D575" s="17" t="str">
        <f>IF(C575="","",C575*'02_Eingaben'!$C$15)</f>
        <v/>
      </c>
      <c r="E575" s="17" t="str">
        <f>IF(D575="","",D575*'02_Eingaben'!$C$8)</f>
        <v/>
      </c>
      <c r="F575" s="17" t="str">
        <f>IF(E575="","",AVERAGE(INDEX($E$2:$E$3001,MAX(1,ROW()-1-'02_Eingaben'!$C$17)):INDEX($E$2:$E$3001,MIN('02_Eingaben'!$C$21,ROW()-1+'02_Eingaben'!$C$17))))</f>
        <v/>
      </c>
      <c r="G575" s="17" t="str">
        <f>IF(F575="","",F575-'02_Eingaben'!$C$10)</f>
        <v/>
      </c>
      <c r="H575" t="str">
        <f>IF(F575="","",IF(F575&lt;'02_Eingaben'!$C$18*'02_Eingaben'!$C$10,1,0))</f>
        <v/>
      </c>
      <c r="I575" s="17" t="str">
        <f t="shared" si="8"/>
        <v/>
      </c>
      <c r="J575" s="17" t="str">
        <f>IF(B575="","",IF(B574&lt;'02_Eingaben'!$C$36,0,J574+I574/'02_Eingaben'!$C$8))</f>
        <v/>
      </c>
    </row>
    <row r="576" spans="1:10" x14ac:dyDescent="0.25">
      <c r="A576" t="str">
        <f>IF('01_Rohdaten'!A576="","",ROW()-1)</f>
        <v/>
      </c>
      <c r="B576" s="17" t="str">
        <f>IF('01_Rohdaten'!A576="","",'01_Rohdaten'!A576)</f>
        <v/>
      </c>
      <c r="C576" s="17" t="str">
        <f>IF(B576="","",INDEX('01_Rohdaten'!B576:D576,'02_Eingaben'!$C$13))</f>
        <v/>
      </c>
      <c r="D576" s="17" t="str">
        <f>IF(C576="","",C576*'02_Eingaben'!$C$15)</f>
        <v/>
      </c>
      <c r="E576" s="17" t="str">
        <f>IF(D576="","",D576*'02_Eingaben'!$C$8)</f>
        <v/>
      </c>
      <c r="F576" s="17" t="str">
        <f>IF(E576="","",AVERAGE(INDEX($E$2:$E$3001,MAX(1,ROW()-1-'02_Eingaben'!$C$17)):INDEX($E$2:$E$3001,MIN('02_Eingaben'!$C$21,ROW()-1+'02_Eingaben'!$C$17))))</f>
        <v/>
      </c>
      <c r="G576" s="17" t="str">
        <f>IF(F576="","",F576-'02_Eingaben'!$C$10)</f>
        <v/>
      </c>
      <c r="H576" t="str">
        <f>IF(F576="","",IF(F576&lt;'02_Eingaben'!$C$18*'02_Eingaben'!$C$10,1,0))</f>
        <v/>
      </c>
      <c r="I576" s="17" t="str">
        <f t="shared" si="8"/>
        <v/>
      </c>
      <c r="J576" s="17" t="str">
        <f>IF(B576="","",IF(B575&lt;'02_Eingaben'!$C$36,0,J575+I575/'02_Eingaben'!$C$8))</f>
        <v/>
      </c>
    </row>
    <row r="577" spans="1:10" x14ac:dyDescent="0.25">
      <c r="A577" t="str">
        <f>IF('01_Rohdaten'!A577="","",ROW()-1)</f>
        <v/>
      </c>
      <c r="B577" s="17" t="str">
        <f>IF('01_Rohdaten'!A577="","",'01_Rohdaten'!A577)</f>
        <v/>
      </c>
      <c r="C577" s="17" t="str">
        <f>IF(B577="","",INDEX('01_Rohdaten'!B577:D577,'02_Eingaben'!$C$13))</f>
        <v/>
      </c>
      <c r="D577" s="17" t="str">
        <f>IF(C577="","",C577*'02_Eingaben'!$C$15)</f>
        <v/>
      </c>
      <c r="E577" s="17" t="str">
        <f>IF(D577="","",D577*'02_Eingaben'!$C$8)</f>
        <v/>
      </c>
      <c r="F577" s="17" t="str">
        <f>IF(E577="","",AVERAGE(INDEX($E$2:$E$3001,MAX(1,ROW()-1-'02_Eingaben'!$C$17)):INDEX($E$2:$E$3001,MIN('02_Eingaben'!$C$21,ROW()-1+'02_Eingaben'!$C$17))))</f>
        <v/>
      </c>
      <c r="G577" s="17" t="str">
        <f>IF(F577="","",F577-'02_Eingaben'!$C$10)</f>
        <v/>
      </c>
      <c r="H577" t="str">
        <f>IF(F577="","",IF(F577&lt;'02_Eingaben'!$C$18*'02_Eingaben'!$C$10,1,0))</f>
        <v/>
      </c>
      <c r="I577" s="17" t="str">
        <f t="shared" si="8"/>
        <v/>
      </c>
      <c r="J577" s="17" t="str">
        <f>IF(B577="","",IF(B576&lt;'02_Eingaben'!$C$36,0,J576+I576/'02_Eingaben'!$C$8))</f>
        <v/>
      </c>
    </row>
    <row r="578" spans="1:10" x14ac:dyDescent="0.25">
      <c r="A578" t="str">
        <f>IF('01_Rohdaten'!A578="","",ROW()-1)</f>
        <v/>
      </c>
      <c r="B578" s="17" t="str">
        <f>IF('01_Rohdaten'!A578="","",'01_Rohdaten'!A578)</f>
        <v/>
      </c>
      <c r="C578" s="17" t="str">
        <f>IF(B578="","",INDEX('01_Rohdaten'!B578:D578,'02_Eingaben'!$C$13))</f>
        <v/>
      </c>
      <c r="D578" s="17" t="str">
        <f>IF(C578="","",C578*'02_Eingaben'!$C$15)</f>
        <v/>
      </c>
      <c r="E578" s="17" t="str">
        <f>IF(D578="","",D578*'02_Eingaben'!$C$8)</f>
        <v/>
      </c>
      <c r="F578" s="17" t="str">
        <f>IF(E578="","",AVERAGE(INDEX($E$2:$E$3001,MAX(1,ROW()-1-'02_Eingaben'!$C$17)):INDEX($E$2:$E$3001,MIN('02_Eingaben'!$C$21,ROW()-1+'02_Eingaben'!$C$17))))</f>
        <v/>
      </c>
      <c r="G578" s="17" t="str">
        <f>IF(F578="","",F578-'02_Eingaben'!$C$10)</f>
        <v/>
      </c>
      <c r="H578" t="str">
        <f>IF(F578="","",IF(F578&lt;'02_Eingaben'!$C$18*'02_Eingaben'!$C$10,1,0))</f>
        <v/>
      </c>
      <c r="I578" s="17" t="str">
        <f t="shared" ref="I578:I641" si="9">IF(OR(G578="",G579=""),"",(G578+G579)/2*(B579-B578))</f>
        <v/>
      </c>
      <c r="J578" s="17" t="str">
        <f>IF(B578="","",IF(B577&lt;'02_Eingaben'!$C$36,0,J577+I577/'02_Eingaben'!$C$8))</f>
        <v/>
      </c>
    </row>
    <row r="579" spans="1:10" x14ac:dyDescent="0.25">
      <c r="A579" t="str">
        <f>IF('01_Rohdaten'!A579="","",ROW()-1)</f>
        <v/>
      </c>
      <c r="B579" s="17" t="str">
        <f>IF('01_Rohdaten'!A579="","",'01_Rohdaten'!A579)</f>
        <v/>
      </c>
      <c r="C579" s="17" t="str">
        <f>IF(B579="","",INDEX('01_Rohdaten'!B579:D579,'02_Eingaben'!$C$13))</f>
        <v/>
      </c>
      <c r="D579" s="17" t="str">
        <f>IF(C579="","",C579*'02_Eingaben'!$C$15)</f>
        <v/>
      </c>
      <c r="E579" s="17" t="str">
        <f>IF(D579="","",D579*'02_Eingaben'!$C$8)</f>
        <v/>
      </c>
      <c r="F579" s="17" t="str">
        <f>IF(E579="","",AVERAGE(INDEX($E$2:$E$3001,MAX(1,ROW()-1-'02_Eingaben'!$C$17)):INDEX($E$2:$E$3001,MIN('02_Eingaben'!$C$21,ROW()-1+'02_Eingaben'!$C$17))))</f>
        <v/>
      </c>
      <c r="G579" s="17" t="str">
        <f>IF(F579="","",F579-'02_Eingaben'!$C$10)</f>
        <v/>
      </c>
      <c r="H579" t="str">
        <f>IF(F579="","",IF(F579&lt;'02_Eingaben'!$C$18*'02_Eingaben'!$C$10,1,0))</f>
        <v/>
      </c>
      <c r="I579" s="17" t="str">
        <f t="shared" si="9"/>
        <v/>
      </c>
      <c r="J579" s="17" t="str">
        <f>IF(B579="","",IF(B578&lt;'02_Eingaben'!$C$36,0,J578+I578/'02_Eingaben'!$C$8))</f>
        <v/>
      </c>
    </row>
    <row r="580" spans="1:10" x14ac:dyDescent="0.25">
      <c r="A580" t="str">
        <f>IF('01_Rohdaten'!A580="","",ROW()-1)</f>
        <v/>
      </c>
      <c r="B580" s="17" t="str">
        <f>IF('01_Rohdaten'!A580="","",'01_Rohdaten'!A580)</f>
        <v/>
      </c>
      <c r="C580" s="17" t="str">
        <f>IF(B580="","",INDEX('01_Rohdaten'!B580:D580,'02_Eingaben'!$C$13))</f>
        <v/>
      </c>
      <c r="D580" s="17" t="str">
        <f>IF(C580="","",C580*'02_Eingaben'!$C$15)</f>
        <v/>
      </c>
      <c r="E580" s="17" t="str">
        <f>IF(D580="","",D580*'02_Eingaben'!$C$8)</f>
        <v/>
      </c>
      <c r="F580" s="17" t="str">
        <f>IF(E580="","",AVERAGE(INDEX($E$2:$E$3001,MAX(1,ROW()-1-'02_Eingaben'!$C$17)):INDEX($E$2:$E$3001,MIN('02_Eingaben'!$C$21,ROW()-1+'02_Eingaben'!$C$17))))</f>
        <v/>
      </c>
      <c r="G580" s="17" t="str">
        <f>IF(F580="","",F580-'02_Eingaben'!$C$10)</f>
        <v/>
      </c>
      <c r="H580" t="str">
        <f>IF(F580="","",IF(F580&lt;'02_Eingaben'!$C$18*'02_Eingaben'!$C$10,1,0))</f>
        <v/>
      </c>
      <c r="I580" s="17" t="str">
        <f t="shared" si="9"/>
        <v/>
      </c>
      <c r="J580" s="17" t="str">
        <f>IF(B580="","",IF(B579&lt;'02_Eingaben'!$C$36,0,J579+I579/'02_Eingaben'!$C$8))</f>
        <v/>
      </c>
    </row>
    <row r="581" spans="1:10" x14ac:dyDescent="0.25">
      <c r="A581" t="str">
        <f>IF('01_Rohdaten'!A581="","",ROW()-1)</f>
        <v/>
      </c>
      <c r="B581" s="17" t="str">
        <f>IF('01_Rohdaten'!A581="","",'01_Rohdaten'!A581)</f>
        <v/>
      </c>
      <c r="C581" s="17" t="str">
        <f>IF(B581="","",INDEX('01_Rohdaten'!B581:D581,'02_Eingaben'!$C$13))</f>
        <v/>
      </c>
      <c r="D581" s="17" t="str">
        <f>IF(C581="","",C581*'02_Eingaben'!$C$15)</f>
        <v/>
      </c>
      <c r="E581" s="17" t="str">
        <f>IF(D581="","",D581*'02_Eingaben'!$C$8)</f>
        <v/>
      </c>
      <c r="F581" s="17" t="str">
        <f>IF(E581="","",AVERAGE(INDEX($E$2:$E$3001,MAX(1,ROW()-1-'02_Eingaben'!$C$17)):INDEX($E$2:$E$3001,MIN('02_Eingaben'!$C$21,ROW()-1+'02_Eingaben'!$C$17))))</f>
        <v/>
      </c>
      <c r="G581" s="17" t="str">
        <f>IF(F581="","",F581-'02_Eingaben'!$C$10)</f>
        <v/>
      </c>
      <c r="H581" t="str">
        <f>IF(F581="","",IF(F581&lt;'02_Eingaben'!$C$18*'02_Eingaben'!$C$10,1,0))</f>
        <v/>
      </c>
      <c r="I581" s="17" t="str">
        <f t="shared" si="9"/>
        <v/>
      </c>
      <c r="J581" s="17" t="str">
        <f>IF(B581="","",IF(B580&lt;'02_Eingaben'!$C$36,0,J580+I580/'02_Eingaben'!$C$8))</f>
        <v/>
      </c>
    </row>
    <row r="582" spans="1:10" x14ac:dyDescent="0.25">
      <c r="A582" t="str">
        <f>IF('01_Rohdaten'!A582="","",ROW()-1)</f>
        <v/>
      </c>
      <c r="B582" s="17" t="str">
        <f>IF('01_Rohdaten'!A582="","",'01_Rohdaten'!A582)</f>
        <v/>
      </c>
      <c r="C582" s="17" t="str">
        <f>IF(B582="","",INDEX('01_Rohdaten'!B582:D582,'02_Eingaben'!$C$13))</f>
        <v/>
      </c>
      <c r="D582" s="17" t="str">
        <f>IF(C582="","",C582*'02_Eingaben'!$C$15)</f>
        <v/>
      </c>
      <c r="E582" s="17" t="str">
        <f>IF(D582="","",D582*'02_Eingaben'!$C$8)</f>
        <v/>
      </c>
      <c r="F582" s="17" t="str">
        <f>IF(E582="","",AVERAGE(INDEX($E$2:$E$3001,MAX(1,ROW()-1-'02_Eingaben'!$C$17)):INDEX($E$2:$E$3001,MIN('02_Eingaben'!$C$21,ROW()-1+'02_Eingaben'!$C$17))))</f>
        <v/>
      </c>
      <c r="G582" s="17" t="str">
        <f>IF(F582="","",F582-'02_Eingaben'!$C$10)</f>
        <v/>
      </c>
      <c r="H582" t="str">
        <f>IF(F582="","",IF(F582&lt;'02_Eingaben'!$C$18*'02_Eingaben'!$C$10,1,0))</f>
        <v/>
      </c>
      <c r="I582" s="17" t="str">
        <f t="shared" si="9"/>
        <v/>
      </c>
      <c r="J582" s="17" t="str">
        <f>IF(B582="","",IF(B581&lt;'02_Eingaben'!$C$36,0,J581+I581/'02_Eingaben'!$C$8))</f>
        <v/>
      </c>
    </row>
    <row r="583" spans="1:10" x14ac:dyDescent="0.25">
      <c r="A583" t="str">
        <f>IF('01_Rohdaten'!A583="","",ROW()-1)</f>
        <v/>
      </c>
      <c r="B583" s="17" t="str">
        <f>IF('01_Rohdaten'!A583="","",'01_Rohdaten'!A583)</f>
        <v/>
      </c>
      <c r="C583" s="17" t="str">
        <f>IF(B583="","",INDEX('01_Rohdaten'!B583:D583,'02_Eingaben'!$C$13))</f>
        <v/>
      </c>
      <c r="D583" s="17" t="str">
        <f>IF(C583="","",C583*'02_Eingaben'!$C$15)</f>
        <v/>
      </c>
      <c r="E583" s="17" t="str">
        <f>IF(D583="","",D583*'02_Eingaben'!$C$8)</f>
        <v/>
      </c>
      <c r="F583" s="17" t="str">
        <f>IF(E583="","",AVERAGE(INDEX($E$2:$E$3001,MAX(1,ROW()-1-'02_Eingaben'!$C$17)):INDEX($E$2:$E$3001,MIN('02_Eingaben'!$C$21,ROW()-1+'02_Eingaben'!$C$17))))</f>
        <v/>
      </c>
      <c r="G583" s="17" t="str">
        <f>IF(F583="","",F583-'02_Eingaben'!$C$10)</f>
        <v/>
      </c>
      <c r="H583" t="str">
        <f>IF(F583="","",IF(F583&lt;'02_Eingaben'!$C$18*'02_Eingaben'!$C$10,1,0))</f>
        <v/>
      </c>
      <c r="I583" s="17" t="str">
        <f t="shared" si="9"/>
        <v/>
      </c>
      <c r="J583" s="17" t="str">
        <f>IF(B583="","",IF(B582&lt;'02_Eingaben'!$C$36,0,J582+I582/'02_Eingaben'!$C$8))</f>
        <v/>
      </c>
    </row>
    <row r="584" spans="1:10" x14ac:dyDescent="0.25">
      <c r="A584" t="str">
        <f>IF('01_Rohdaten'!A584="","",ROW()-1)</f>
        <v/>
      </c>
      <c r="B584" s="17" t="str">
        <f>IF('01_Rohdaten'!A584="","",'01_Rohdaten'!A584)</f>
        <v/>
      </c>
      <c r="C584" s="17" t="str">
        <f>IF(B584="","",INDEX('01_Rohdaten'!B584:D584,'02_Eingaben'!$C$13))</f>
        <v/>
      </c>
      <c r="D584" s="17" t="str">
        <f>IF(C584="","",C584*'02_Eingaben'!$C$15)</f>
        <v/>
      </c>
      <c r="E584" s="17" t="str">
        <f>IF(D584="","",D584*'02_Eingaben'!$C$8)</f>
        <v/>
      </c>
      <c r="F584" s="17" t="str">
        <f>IF(E584="","",AVERAGE(INDEX($E$2:$E$3001,MAX(1,ROW()-1-'02_Eingaben'!$C$17)):INDEX($E$2:$E$3001,MIN('02_Eingaben'!$C$21,ROW()-1+'02_Eingaben'!$C$17))))</f>
        <v/>
      </c>
      <c r="G584" s="17" t="str">
        <f>IF(F584="","",F584-'02_Eingaben'!$C$10)</f>
        <v/>
      </c>
      <c r="H584" t="str">
        <f>IF(F584="","",IF(F584&lt;'02_Eingaben'!$C$18*'02_Eingaben'!$C$10,1,0))</f>
        <v/>
      </c>
      <c r="I584" s="17" t="str">
        <f t="shared" si="9"/>
        <v/>
      </c>
      <c r="J584" s="17" t="str">
        <f>IF(B584="","",IF(B583&lt;'02_Eingaben'!$C$36,0,J583+I583/'02_Eingaben'!$C$8))</f>
        <v/>
      </c>
    </row>
    <row r="585" spans="1:10" x14ac:dyDescent="0.25">
      <c r="A585" t="str">
        <f>IF('01_Rohdaten'!A585="","",ROW()-1)</f>
        <v/>
      </c>
      <c r="B585" s="17" t="str">
        <f>IF('01_Rohdaten'!A585="","",'01_Rohdaten'!A585)</f>
        <v/>
      </c>
      <c r="C585" s="17" t="str">
        <f>IF(B585="","",INDEX('01_Rohdaten'!B585:D585,'02_Eingaben'!$C$13))</f>
        <v/>
      </c>
      <c r="D585" s="17" t="str">
        <f>IF(C585="","",C585*'02_Eingaben'!$C$15)</f>
        <v/>
      </c>
      <c r="E585" s="17" t="str">
        <f>IF(D585="","",D585*'02_Eingaben'!$C$8)</f>
        <v/>
      </c>
      <c r="F585" s="17" t="str">
        <f>IF(E585="","",AVERAGE(INDEX($E$2:$E$3001,MAX(1,ROW()-1-'02_Eingaben'!$C$17)):INDEX($E$2:$E$3001,MIN('02_Eingaben'!$C$21,ROW()-1+'02_Eingaben'!$C$17))))</f>
        <v/>
      </c>
      <c r="G585" s="17" t="str">
        <f>IF(F585="","",F585-'02_Eingaben'!$C$10)</f>
        <v/>
      </c>
      <c r="H585" t="str">
        <f>IF(F585="","",IF(F585&lt;'02_Eingaben'!$C$18*'02_Eingaben'!$C$10,1,0))</f>
        <v/>
      </c>
      <c r="I585" s="17" t="str">
        <f t="shared" si="9"/>
        <v/>
      </c>
      <c r="J585" s="17" t="str">
        <f>IF(B585="","",IF(B584&lt;'02_Eingaben'!$C$36,0,J584+I584/'02_Eingaben'!$C$8))</f>
        <v/>
      </c>
    </row>
    <row r="586" spans="1:10" x14ac:dyDescent="0.25">
      <c r="A586" t="str">
        <f>IF('01_Rohdaten'!A586="","",ROW()-1)</f>
        <v/>
      </c>
      <c r="B586" s="17" t="str">
        <f>IF('01_Rohdaten'!A586="","",'01_Rohdaten'!A586)</f>
        <v/>
      </c>
      <c r="C586" s="17" t="str">
        <f>IF(B586="","",INDEX('01_Rohdaten'!B586:D586,'02_Eingaben'!$C$13))</f>
        <v/>
      </c>
      <c r="D586" s="17" t="str">
        <f>IF(C586="","",C586*'02_Eingaben'!$C$15)</f>
        <v/>
      </c>
      <c r="E586" s="17" t="str">
        <f>IF(D586="","",D586*'02_Eingaben'!$C$8)</f>
        <v/>
      </c>
      <c r="F586" s="17" t="str">
        <f>IF(E586="","",AVERAGE(INDEX($E$2:$E$3001,MAX(1,ROW()-1-'02_Eingaben'!$C$17)):INDEX($E$2:$E$3001,MIN('02_Eingaben'!$C$21,ROW()-1+'02_Eingaben'!$C$17))))</f>
        <v/>
      </c>
      <c r="G586" s="17" t="str">
        <f>IF(F586="","",F586-'02_Eingaben'!$C$10)</f>
        <v/>
      </c>
      <c r="H586" t="str">
        <f>IF(F586="","",IF(F586&lt;'02_Eingaben'!$C$18*'02_Eingaben'!$C$10,1,0))</f>
        <v/>
      </c>
      <c r="I586" s="17" t="str">
        <f t="shared" si="9"/>
        <v/>
      </c>
      <c r="J586" s="17" t="str">
        <f>IF(B586="","",IF(B585&lt;'02_Eingaben'!$C$36,0,J585+I585/'02_Eingaben'!$C$8))</f>
        <v/>
      </c>
    </row>
    <row r="587" spans="1:10" x14ac:dyDescent="0.25">
      <c r="A587" t="str">
        <f>IF('01_Rohdaten'!A587="","",ROW()-1)</f>
        <v/>
      </c>
      <c r="B587" s="17" t="str">
        <f>IF('01_Rohdaten'!A587="","",'01_Rohdaten'!A587)</f>
        <v/>
      </c>
      <c r="C587" s="17" t="str">
        <f>IF(B587="","",INDEX('01_Rohdaten'!B587:D587,'02_Eingaben'!$C$13))</f>
        <v/>
      </c>
      <c r="D587" s="17" t="str">
        <f>IF(C587="","",C587*'02_Eingaben'!$C$15)</f>
        <v/>
      </c>
      <c r="E587" s="17" t="str">
        <f>IF(D587="","",D587*'02_Eingaben'!$C$8)</f>
        <v/>
      </c>
      <c r="F587" s="17" t="str">
        <f>IF(E587="","",AVERAGE(INDEX($E$2:$E$3001,MAX(1,ROW()-1-'02_Eingaben'!$C$17)):INDEX($E$2:$E$3001,MIN('02_Eingaben'!$C$21,ROW()-1+'02_Eingaben'!$C$17))))</f>
        <v/>
      </c>
      <c r="G587" s="17" t="str">
        <f>IF(F587="","",F587-'02_Eingaben'!$C$10)</f>
        <v/>
      </c>
      <c r="H587" t="str">
        <f>IF(F587="","",IF(F587&lt;'02_Eingaben'!$C$18*'02_Eingaben'!$C$10,1,0))</f>
        <v/>
      </c>
      <c r="I587" s="17" t="str">
        <f t="shared" si="9"/>
        <v/>
      </c>
      <c r="J587" s="17" t="str">
        <f>IF(B587="","",IF(B586&lt;'02_Eingaben'!$C$36,0,J586+I586/'02_Eingaben'!$C$8))</f>
        <v/>
      </c>
    </row>
    <row r="588" spans="1:10" x14ac:dyDescent="0.25">
      <c r="A588" t="str">
        <f>IF('01_Rohdaten'!A588="","",ROW()-1)</f>
        <v/>
      </c>
      <c r="B588" s="17" t="str">
        <f>IF('01_Rohdaten'!A588="","",'01_Rohdaten'!A588)</f>
        <v/>
      </c>
      <c r="C588" s="17" t="str">
        <f>IF(B588="","",INDEX('01_Rohdaten'!B588:D588,'02_Eingaben'!$C$13))</f>
        <v/>
      </c>
      <c r="D588" s="17" t="str">
        <f>IF(C588="","",C588*'02_Eingaben'!$C$15)</f>
        <v/>
      </c>
      <c r="E588" s="17" t="str">
        <f>IF(D588="","",D588*'02_Eingaben'!$C$8)</f>
        <v/>
      </c>
      <c r="F588" s="17" t="str">
        <f>IF(E588="","",AVERAGE(INDEX($E$2:$E$3001,MAX(1,ROW()-1-'02_Eingaben'!$C$17)):INDEX($E$2:$E$3001,MIN('02_Eingaben'!$C$21,ROW()-1+'02_Eingaben'!$C$17))))</f>
        <v/>
      </c>
      <c r="G588" s="17" t="str">
        <f>IF(F588="","",F588-'02_Eingaben'!$C$10)</f>
        <v/>
      </c>
      <c r="H588" t="str">
        <f>IF(F588="","",IF(F588&lt;'02_Eingaben'!$C$18*'02_Eingaben'!$C$10,1,0))</f>
        <v/>
      </c>
      <c r="I588" s="17" t="str">
        <f t="shared" si="9"/>
        <v/>
      </c>
      <c r="J588" s="17" t="str">
        <f>IF(B588="","",IF(B587&lt;'02_Eingaben'!$C$36,0,J587+I587/'02_Eingaben'!$C$8))</f>
        <v/>
      </c>
    </row>
    <row r="589" spans="1:10" x14ac:dyDescent="0.25">
      <c r="A589" t="str">
        <f>IF('01_Rohdaten'!A589="","",ROW()-1)</f>
        <v/>
      </c>
      <c r="B589" s="17" t="str">
        <f>IF('01_Rohdaten'!A589="","",'01_Rohdaten'!A589)</f>
        <v/>
      </c>
      <c r="C589" s="17" t="str">
        <f>IF(B589="","",INDEX('01_Rohdaten'!B589:D589,'02_Eingaben'!$C$13))</f>
        <v/>
      </c>
      <c r="D589" s="17" t="str">
        <f>IF(C589="","",C589*'02_Eingaben'!$C$15)</f>
        <v/>
      </c>
      <c r="E589" s="17" t="str">
        <f>IF(D589="","",D589*'02_Eingaben'!$C$8)</f>
        <v/>
      </c>
      <c r="F589" s="17" t="str">
        <f>IF(E589="","",AVERAGE(INDEX($E$2:$E$3001,MAX(1,ROW()-1-'02_Eingaben'!$C$17)):INDEX($E$2:$E$3001,MIN('02_Eingaben'!$C$21,ROW()-1+'02_Eingaben'!$C$17))))</f>
        <v/>
      </c>
      <c r="G589" s="17" t="str">
        <f>IF(F589="","",F589-'02_Eingaben'!$C$10)</f>
        <v/>
      </c>
      <c r="H589" t="str">
        <f>IF(F589="","",IF(F589&lt;'02_Eingaben'!$C$18*'02_Eingaben'!$C$10,1,0))</f>
        <v/>
      </c>
      <c r="I589" s="17" t="str">
        <f t="shared" si="9"/>
        <v/>
      </c>
      <c r="J589" s="17" t="str">
        <f>IF(B589="","",IF(B588&lt;'02_Eingaben'!$C$36,0,J588+I588/'02_Eingaben'!$C$8))</f>
        <v/>
      </c>
    </row>
    <row r="590" spans="1:10" x14ac:dyDescent="0.25">
      <c r="A590" t="str">
        <f>IF('01_Rohdaten'!A590="","",ROW()-1)</f>
        <v/>
      </c>
      <c r="B590" s="17" t="str">
        <f>IF('01_Rohdaten'!A590="","",'01_Rohdaten'!A590)</f>
        <v/>
      </c>
      <c r="C590" s="17" t="str">
        <f>IF(B590="","",INDEX('01_Rohdaten'!B590:D590,'02_Eingaben'!$C$13))</f>
        <v/>
      </c>
      <c r="D590" s="17" t="str">
        <f>IF(C590="","",C590*'02_Eingaben'!$C$15)</f>
        <v/>
      </c>
      <c r="E590" s="17" t="str">
        <f>IF(D590="","",D590*'02_Eingaben'!$C$8)</f>
        <v/>
      </c>
      <c r="F590" s="17" t="str">
        <f>IF(E590="","",AVERAGE(INDEX($E$2:$E$3001,MAX(1,ROW()-1-'02_Eingaben'!$C$17)):INDEX($E$2:$E$3001,MIN('02_Eingaben'!$C$21,ROW()-1+'02_Eingaben'!$C$17))))</f>
        <v/>
      </c>
      <c r="G590" s="17" t="str">
        <f>IF(F590="","",F590-'02_Eingaben'!$C$10)</f>
        <v/>
      </c>
      <c r="H590" t="str">
        <f>IF(F590="","",IF(F590&lt;'02_Eingaben'!$C$18*'02_Eingaben'!$C$10,1,0))</f>
        <v/>
      </c>
      <c r="I590" s="17" t="str">
        <f t="shared" si="9"/>
        <v/>
      </c>
      <c r="J590" s="17" t="str">
        <f>IF(B590="","",IF(B589&lt;'02_Eingaben'!$C$36,0,J589+I589/'02_Eingaben'!$C$8))</f>
        <v/>
      </c>
    </row>
    <row r="591" spans="1:10" x14ac:dyDescent="0.25">
      <c r="A591" t="str">
        <f>IF('01_Rohdaten'!A591="","",ROW()-1)</f>
        <v/>
      </c>
      <c r="B591" s="17" t="str">
        <f>IF('01_Rohdaten'!A591="","",'01_Rohdaten'!A591)</f>
        <v/>
      </c>
      <c r="C591" s="17" t="str">
        <f>IF(B591="","",INDEX('01_Rohdaten'!B591:D591,'02_Eingaben'!$C$13))</f>
        <v/>
      </c>
      <c r="D591" s="17" t="str">
        <f>IF(C591="","",C591*'02_Eingaben'!$C$15)</f>
        <v/>
      </c>
      <c r="E591" s="17" t="str">
        <f>IF(D591="","",D591*'02_Eingaben'!$C$8)</f>
        <v/>
      </c>
      <c r="F591" s="17" t="str">
        <f>IF(E591="","",AVERAGE(INDEX($E$2:$E$3001,MAX(1,ROW()-1-'02_Eingaben'!$C$17)):INDEX($E$2:$E$3001,MIN('02_Eingaben'!$C$21,ROW()-1+'02_Eingaben'!$C$17))))</f>
        <v/>
      </c>
      <c r="G591" s="17" t="str">
        <f>IF(F591="","",F591-'02_Eingaben'!$C$10)</f>
        <v/>
      </c>
      <c r="H591" t="str">
        <f>IF(F591="","",IF(F591&lt;'02_Eingaben'!$C$18*'02_Eingaben'!$C$10,1,0))</f>
        <v/>
      </c>
      <c r="I591" s="17" t="str">
        <f t="shared" si="9"/>
        <v/>
      </c>
      <c r="J591" s="17" t="str">
        <f>IF(B591="","",IF(B590&lt;'02_Eingaben'!$C$36,0,J590+I590/'02_Eingaben'!$C$8))</f>
        <v/>
      </c>
    </row>
    <row r="592" spans="1:10" x14ac:dyDescent="0.25">
      <c r="A592" t="str">
        <f>IF('01_Rohdaten'!A592="","",ROW()-1)</f>
        <v/>
      </c>
      <c r="B592" s="17" t="str">
        <f>IF('01_Rohdaten'!A592="","",'01_Rohdaten'!A592)</f>
        <v/>
      </c>
      <c r="C592" s="17" t="str">
        <f>IF(B592="","",INDEX('01_Rohdaten'!B592:D592,'02_Eingaben'!$C$13))</f>
        <v/>
      </c>
      <c r="D592" s="17" t="str">
        <f>IF(C592="","",C592*'02_Eingaben'!$C$15)</f>
        <v/>
      </c>
      <c r="E592" s="17" t="str">
        <f>IF(D592="","",D592*'02_Eingaben'!$C$8)</f>
        <v/>
      </c>
      <c r="F592" s="17" t="str">
        <f>IF(E592="","",AVERAGE(INDEX($E$2:$E$3001,MAX(1,ROW()-1-'02_Eingaben'!$C$17)):INDEX($E$2:$E$3001,MIN('02_Eingaben'!$C$21,ROW()-1+'02_Eingaben'!$C$17))))</f>
        <v/>
      </c>
      <c r="G592" s="17" t="str">
        <f>IF(F592="","",F592-'02_Eingaben'!$C$10)</f>
        <v/>
      </c>
      <c r="H592" t="str">
        <f>IF(F592="","",IF(F592&lt;'02_Eingaben'!$C$18*'02_Eingaben'!$C$10,1,0))</f>
        <v/>
      </c>
      <c r="I592" s="17" t="str">
        <f t="shared" si="9"/>
        <v/>
      </c>
      <c r="J592" s="17" t="str">
        <f>IF(B592="","",IF(B591&lt;'02_Eingaben'!$C$36,0,J591+I591/'02_Eingaben'!$C$8))</f>
        <v/>
      </c>
    </row>
    <row r="593" spans="1:10" x14ac:dyDescent="0.25">
      <c r="A593" t="str">
        <f>IF('01_Rohdaten'!A593="","",ROW()-1)</f>
        <v/>
      </c>
      <c r="B593" s="17" t="str">
        <f>IF('01_Rohdaten'!A593="","",'01_Rohdaten'!A593)</f>
        <v/>
      </c>
      <c r="C593" s="17" t="str">
        <f>IF(B593="","",INDEX('01_Rohdaten'!B593:D593,'02_Eingaben'!$C$13))</f>
        <v/>
      </c>
      <c r="D593" s="17" t="str">
        <f>IF(C593="","",C593*'02_Eingaben'!$C$15)</f>
        <v/>
      </c>
      <c r="E593" s="17" t="str">
        <f>IF(D593="","",D593*'02_Eingaben'!$C$8)</f>
        <v/>
      </c>
      <c r="F593" s="17" t="str">
        <f>IF(E593="","",AVERAGE(INDEX($E$2:$E$3001,MAX(1,ROW()-1-'02_Eingaben'!$C$17)):INDEX($E$2:$E$3001,MIN('02_Eingaben'!$C$21,ROW()-1+'02_Eingaben'!$C$17))))</f>
        <v/>
      </c>
      <c r="G593" s="17" t="str">
        <f>IF(F593="","",F593-'02_Eingaben'!$C$10)</f>
        <v/>
      </c>
      <c r="H593" t="str">
        <f>IF(F593="","",IF(F593&lt;'02_Eingaben'!$C$18*'02_Eingaben'!$C$10,1,0))</f>
        <v/>
      </c>
      <c r="I593" s="17" t="str">
        <f t="shared" si="9"/>
        <v/>
      </c>
      <c r="J593" s="17" t="str">
        <f>IF(B593="","",IF(B592&lt;'02_Eingaben'!$C$36,0,J592+I592/'02_Eingaben'!$C$8))</f>
        <v/>
      </c>
    </row>
    <row r="594" spans="1:10" x14ac:dyDescent="0.25">
      <c r="A594" t="str">
        <f>IF('01_Rohdaten'!A594="","",ROW()-1)</f>
        <v/>
      </c>
      <c r="B594" s="17" t="str">
        <f>IF('01_Rohdaten'!A594="","",'01_Rohdaten'!A594)</f>
        <v/>
      </c>
      <c r="C594" s="17" t="str">
        <f>IF(B594="","",INDEX('01_Rohdaten'!B594:D594,'02_Eingaben'!$C$13))</f>
        <v/>
      </c>
      <c r="D594" s="17" t="str">
        <f>IF(C594="","",C594*'02_Eingaben'!$C$15)</f>
        <v/>
      </c>
      <c r="E594" s="17" t="str">
        <f>IF(D594="","",D594*'02_Eingaben'!$C$8)</f>
        <v/>
      </c>
      <c r="F594" s="17" t="str">
        <f>IF(E594="","",AVERAGE(INDEX($E$2:$E$3001,MAX(1,ROW()-1-'02_Eingaben'!$C$17)):INDEX($E$2:$E$3001,MIN('02_Eingaben'!$C$21,ROW()-1+'02_Eingaben'!$C$17))))</f>
        <v/>
      </c>
      <c r="G594" s="17" t="str">
        <f>IF(F594="","",F594-'02_Eingaben'!$C$10)</f>
        <v/>
      </c>
      <c r="H594" t="str">
        <f>IF(F594="","",IF(F594&lt;'02_Eingaben'!$C$18*'02_Eingaben'!$C$10,1,0))</f>
        <v/>
      </c>
      <c r="I594" s="17" t="str">
        <f t="shared" si="9"/>
        <v/>
      </c>
      <c r="J594" s="17" t="str">
        <f>IF(B594="","",IF(B593&lt;'02_Eingaben'!$C$36,0,J593+I593/'02_Eingaben'!$C$8))</f>
        <v/>
      </c>
    </row>
    <row r="595" spans="1:10" x14ac:dyDescent="0.25">
      <c r="A595" t="str">
        <f>IF('01_Rohdaten'!A595="","",ROW()-1)</f>
        <v/>
      </c>
      <c r="B595" s="17" t="str">
        <f>IF('01_Rohdaten'!A595="","",'01_Rohdaten'!A595)</f>
        <v/>
      </c>
      <c r="C595" s="17" t="str">
        <f>IF(B595="","",INDEX('01_Rohdaten'!B595:D595,'02_Eingaben'!$C$13))</f>
        <v/>
      </c>
      <c r="D595" s="17" t="str">
        <f>IF(C595="","",C595*'02_Eingaben'!$C$15)</f>
        <v/>
      </c>
      <c r="E595" s="17" t="str">
        <f>IF(D595="","",D595*'02_Eingaben'!$C$8)</f>
        <v/>
      </c>
      <c r="F595" s="17" t="str">
        <f>IF(E595="","",AVERAGE(INDEX($E$2:$E$3001,MAX(1,ROW()-1-'02_Eingaben'!$C$17)):INDEX($E$2:$E$3001,MIN('02_Eingaben'!$C$21,ROW()-1+'02_Eingaben'!$C$17))))</f>
        <v/>
      </c>
      <c r="G595" s="17" t="str">
        <f>IF(F595="","",F595-'02_Eingaben'!$C$10)</f>
        <v/>
      </c>
      <c r="H595" t="str">
        <f>IF(F595="","",IF(F595&lt;'02_Eingaben'!$C$18*'02_Eingaben'!$C$10,1,0))</f>
        <v/>
      </c>
      <c r="I595" s="17" t="str">
        <f t="shared" si="9"/>
        <v/>
      </c>
      <c r="J595" s="17" t="str">
        <f>IF(B595="","",IF(B594&lt;'02_Eingaben'!$C$36,0,J594+I594/'02_Eingaben'!$C$8))</f>
        <v/>
      </c>
    </row>
    <row r="596" spans="1:10" x14ac:dyDescent="0.25">
      <c r="A596" t="str">
        <f>IF('01_Rohdaten'!A596="","",ROW()-1)</f>
        <v/>
      </c>
      <c r="B596" s="17" t="str">
        <f>IF('01_Rohdaten'!A596="","",'01_Rohdaten'!A596)</f>
        <v/>
      </c>
      <c r="C596" s="17" t="str">
        <f>IF(B596="","",INDEX('01_Rohdaten'!B596:D596,'02_Eingaben'!$C$13))</f>
        <v/>
      </c>
      <c r="D596" s="17" t="str">
        <f>IF(C596="","",C596*'02_Eingaben'!$C$15)</f>
        <v/>
      </c>
      <c r="E596" s="17" t="str">
        <f>IF(D596="","",D596*'02_Eingaben'!$C$8)</f>
        <v/>
      </c>
      <c r="F596" s="17" t="str">
        <f>IF(E596="","",AVERAGE(INDEX($E$2:$E$3001,MAX(1,ROW()-1-'02_Eingaben'!$C$17)):INDEX($E$2:$E$3001,MIN('02_Eingaben'!$C$21,ROW()-1+'02_Eingaben'!$C$17))))</f>
        <v/>
      </c>
      <c r="G596" s="17" t="str">
        <f>IF(F596="","",F596-'02_Eingaben'!$C$10)</f>
        <v/>
      </c>
      <c r="H596" t="str">
        <f>IF(F596="","",IF(F596&lt;'02_Eingaben'!$C$18*'02_Eingaben'!$C$10,1,0))</f>
        <v/>
      </c>
      <c r="I596" s="17" t="str">
        <f t="shared" si="9"/>
        <v/>
      </c>
      <c r="J596" s="17" t="str">
        <f>IF(B596="","",IF(B595&lt;'02_Eingaben'!$C$36,0,J595+I595/'02_Eingaben'!$C$8))</f>
        <v/>
      </c>
    </row>
    <row r="597" spans="1:10" x14ac:dyDescent="0.25">
      <c r="A597" t="str">
        <f>IF('01_Rohdaten'!A597="","",ROW()-1)</f>
        <v/>
      </c>
      <c r="B597" s="17" t="str">
        <f>IF('01_Rohdaten'!A597="","",'01_Rohdaten'!A597)</f>
        <v/>
      </c>
      <c r="C597" s="17" t="str">
        <f>IF(B597="","",INDEX('01_Rohdaten'!B597:D597,'02_Eingaben'!$C$13))</f>
        <v/>
      </c>
      <c r="D597" s="17" t="str">
        <f>IF(C597="","",C597*'02_Eingaben'!$C$15)</f>
        <v/>
      </c>
      <c r="E597" s="17" t="str">
        <f>IF(D597="","",D597*'02_Eingaben'!$C$8)</f>
        <v/>
      </c>
      <c r="F597" s="17" t="str">
        <f>IF(E597="","",AVERAGE(INDEX($E$2:$E$3001,MAX(1,ROW()-1-'02_Eingaben'!$C$17)):INDEX($E$2:$E$3001,MIN('02_Eingaben'!$C$21,ROW()-1+'02_Eingaben'!$C$17))))</f>
        <v/>
      </c>
      <c r="G597" s="17" t="str">
        <f>IF(F597="","",F597-'02_Eingaben'!$C$10)</f>
        <v/>
      </c>
      <c r="H597" t="str">
        <f>IF(F597="","",IF(F597&lt;'02_Eingaben'!$C$18*'02_Eingaben'!$C$10,1,0))</f>
        <v/>
      </c>
      <c r="I597" s="17" t="str">
        <f t="shared" si="9"/>
        <v/>
      </c>
      <c r="J597" s="17" t="str">
        <f>IF(B597="","",IF(B596&lt;'02_Eingaben'!$C$36,0,J596+I596/'02_Eingaben'!$C$8))</f>
        <v/>
      </c>
    </row>
    <row r="598" spans="1:10" x14ac:dyDescent="0.25">
      <c r="A598" t="str">
        <f>IF('01_Rohdaten'!A598="","",ROW()-1)</f>
        <v/>
      </c>
      <c r="B598" s="17" t="str">
        <f>IF('01_Rohdaten'!A598="","",'01_Rohdaten'!A598)</f>
        <v/>
      </c>
      <c r="C598" s="17" t="str">
        <f>IF(B598="","",INDEX('01_Rohdaten'!B598:D598,'02_Eingaben'!$C$13))</f>
        <v/>
      </c>
      <c r="D598" s="17" t="str">
        <f>IF(C598="","",C598*'02_Eingaben'!$C$15)</f>
        <v/>
      </c>
      <c r="E598" s="17" t="str">
        <f>IF(D598="","",D598*'02_Eingaben'!$C$8)</f>
        <v/>
      </c>
      <c r="F598" s="17" t="str">
        <f>IF(E598="","",AVERAGE(INDEX($E$2:$E$3001,MAX(1,ROW()-1-'02_Eingaben'!$C$17)):INDEX($E$2:$E$3001,MIN('02_Eingaben'!$C$21,ROW()-1+'02_Eingaben'!$C$17))))</f>
        <v/>
      </c>
      <c r="G598" s="17" t="str">
        <f>IF(F598="","",F598-'02_Eingaben'!$C$10)</f>
        <v/>
      </c>
      <c r="H598" t="str">
        <f>IF(F598="","",IF(F598&lt;'02_Eingaben'!$C$18*'02_Eingaben'!$C$10,1,0))</f>
        <v/>
      </c>
      <c r="I598" s="17" t="str">
        <f t="shared" si="9"/>
        <v/>
      </c>
      <c r="J598" s="17" t="str">
        <f>IF(B598="","",IF(B597&lt;'02_Eingaben'!$C$36,0,J597+I597/'02_Eingaben'!$C$8))</f>
        <v/>
      </c>
    </row>
    <row r="599" spans="1:10" x14ac:dyDescent="0.25">
      <c r="A599" t="str">
        <f>IF('01_Rohdaten'!A599="","",ROW()-1)</f>
        <v/>
      </c>
      <c r="B599" s="17" t="str">
        <f>IF('01_Rohdaten'!A599="","",'01_Rohdaten'!A599)</f>
        <v/>
      </c>
      <c r="C599" s="17" t="str">
        <f>IF(B599="","",INDEX('01_Rohdaten'!B599:D599,'02_Eingaben'!$C$13))</f>
        <v/>
      </c>
      <c r="D599" s="17" t="str">
        <f>IF(C599="","",C599*'02_Eingaben'!$C$15)</f>
        <v/>
      </c>
      <c r="E599" s="17" t="str">
        <f>IF(D599="","",D599*'02_Eingaben'!$C$8)</f>
        <v/>
      </c>
      <c r="F599" s="17" t="str">
        <f>IF(E599="","",AVERAGE(INDEX($E$2:$E$3001,MAX(1,ROW()-1-'02_Eingaben'!$C$17)):INDEX($E$2:$E$3001,MIN('02_Eingaben'!$C$21,ROW()-1+'02_Eingaben'!$C$17))))</f>
        <v/>
      </c>
      <c r="G599" s="17" t="str">
        <f>IF(F599="","",F599-'02_Eingaben'!$C$10)</f>
        <v/>
      </c>
      <c r="H599" t="str">
        <f>IF(F599="","",IF(F599&lt;'02_Eingaben'!$C$18*'02_Eingaben'!$C$10,1,0))</f>
        <v/>
      </c>
      <c r="I599" s="17" t="str">
        <f t="shared" si="9"/>
        <v/>
      </c>
      <c r="J599" s="17" t="str">
        <f>IF(B599="","",IF(B598&lt;'02_Eingaben'!$C$36,0,J598+I598/'02_Eingaben'!$C$8))</f>
        <v/>
      </c>
    </row>
    <row r="600" spans="1:10" x14ac:dyDescent="0.25">
      <c r="A600" t="str">
        <f>IF('01_Rohdaten'!A600="","",ROW()-1)</f>
        <v/>
      </c>
      <c r="B600" s="17" t="str">
        <f>IF('01_Rohdaten'!A600="","",'01_Rohdaten'!A600)</f>
        <v/>
      </c>
      <c r="C600" s="17" t="str">
        <f>IF(B600="","",INDEX('01_Rohdaten'!B600:D600,'02_Eingaben'!$C$13))</f>
        <v/>
      </c>
      <c r="D600" s="17" t="str">
        <f>IF(C600="","",C600*'02_Eingaben'!$C$15)</f>
        <v/>
      </c>
      <c r="E600" s="17" t="str">
        <f>IF(D600="","",D600*'02_Eingaben'!$C$8)</f>
        <v/>
      </c>
      <c r="F600" s="17" t="str">
        <f>IF(E600="","",AVERAGE(INDEX($E$2:$E$3001,MAX(1,ROW()-1-'02_Eingaben'!$C$17)):INDEX($E$2:$E$3001,MIN('02_Eingaben'!$C$21,ROW()-1+'02_Eingaben'!$C$17))))</f>
        <v/>
      </c>
      <c r="G600" s="17" t="str">
        <f>IF(F600="","",F600-'02_Eingaben'!$C$10)</f>
        <v/>
      </c>
      <c r="H600" t="str">
        <f>IF(F600="","",IF(F600&lt;'02_Eingaben'!$C$18*'02_Eingaben'!$C$10,1,0))</f>
        <v/>
      </c>
      <c r="I600" s="17" t="str">
        <f t="shared" si="9"/>
        <v/>
      </c>
      <c r="J600" s="17" t="str">
        <f>IF(B600="","",IF(B599&lt;'02_Eingaben'!$C$36,0,J599+I599/'02_Eingaben'!$C$8))</f>
        <v/>
      </c>
    </row>
    <row r="601" spans="1:10" x14ac:dyDescent="0.25">
      <c r="A601" t="str">
        <f>IF('01_Rohdaten'!A601="","",ROW()-1)</f>
        <v/>
      </c>
      <c r="B601" s="17" t="str">
        <f>IF('01_Rohdaten'!A601="","",'01_Rohdaten'!A601)</f>
        <v/>
      </c>
      <c r="C601" s="17" t="str">
        <f>IF(B601="","",INDEX('01_Rohdaten'!B601:D601,'02_Eingaben'!$C$13))</f>
        <v/>
      </c>
      <c r="D601" s="17" t="str">
        <f>IF(C601="","",C601*'02_Eingaben'!$C$15)</f>
        <v/>
      </c>
      <c r="E601" s="17" t="str">
        <f>IF(D601="","",D601*'02_Eingaben'!$C$8)</f>
        <v/>
      </c>
      <c r="F601" s="17" t="str">
        <f>IF(E601="","",AVERAGE(INDEX($E$2:$E$3001,MAX(1,ROW()-1-'02_Eingaben'!$C$17)):INDEX($E$2:$E$3001,MIN('02_Eingaben'!$C$21,ROW()-1+'02_Eingaben'!$C$17))))</f>
        <v/>
      </c>
      <c r="G601" s="17" t="str">
        <f>IF(F601="","",F601-'02_Eingaben'!$C$10)</f>
        <v/>
      </c>
      <c r="H601" t="str">
        <f>IF(F601="","",IF(F601&lt;'02_Eingaben'!$C$18*'02_Eingaben'!$C$10,1,0))</f>
        <v/>
      </c>
      <c r="I601" s="17" t="str">
        <f t="shared" si="9"/>
        <v/>
      </c>
      <c r="J601" s="17" t="str">
        <f>IF(B601="","",IF(B600&lt;'02_Eingaben'!$C$36,0,J600+I600/'02_Eingaben'!$C$8))</f>
        <v/>
      </c>
    </row>
    <row r="602" spans="1:10" x14ac:dyDescent="0.25">
      <c r="A602" t="str">
        <f>IF('01_Rohdaten'!A602="","",ROW()-1)</f>
        <v/>
      </c>
      <c r="B602" s="17" t="str">
        <f>IF('01_Rohdaten'!A602="","",'01_Rohdaten'!A602)</f>
        <v/>
      </c>
      <c r="C602" s="17" t="str">
        <f>IF(B602="","",INDEX('01_Rohdaten'!B602:D602,'02_Eingaben'!$C$13))</f>
        <v/>
      </c>
      <c r="D602" s="17" t="str">
        <f>IF(C602="","",C602*'02_Eingaben'!$C$15)</f>
        <v/>
      </c>
      <c r="E602" s="17" t="str">
        <f>IF(D602="","",D602*'02_Eingaben'!$C$8)</f>
        <v/>
      </c>
      <c r="F602" s="17" t="str">
        <f>IF(E602="","",AVERAGE(INDEX($E$2:$E$3001,MAX(1,ROW()-1-'02_Eingaben'!$C$17)):INDEX($E$2:$E$3001,MIN('02_Eingaben'!$C$21,ROW()-1+'02_Eingaben'!$C$17))))</f>
        <v/>
      </c>
      <c r="G602" s="17" t="str">
        <f>IF(F602="","",F602-'02_Eingaben'!$C$10)</f>
        <v/>
      </c>
      <c r="H602" t="str">
        <f>IF(F602="","",IF(F602&lt;'02_Eingaben'!$C$18*'02_Eingaben'!$C$10,1,0))</f>
        <v/>
      </c>
      <c r="I602" s="17" t="str">
        <f t="shared" si="9"/>
        <v/>
      </c>
      <c r="J602" s="17" t="str">
        <f>IF(B602="","",IF(B601&lt;'02_Eingaben'!$C$36,0,J601+I601/'02_Eingaben'!$C$8))</f>
        <v/>
      </c>
    </row>
    <row r="603" spans="1:10" x14ac:dyDescent="0.25">
      <c r="A603" t="str">
        <f>IF('01_Rohdaten'!A603="","",ROW()-1)</f>
        <v/>
      </c>
      <c r="B603" s="17" t="str">
        <f>IF('01_Rohdaten'!A603="","",'01_Rohdaten'!A603)</f>
        <v/>
      </c>
      <c r="C603" s="17" t="str">
        <f>IF(B603="","",INDEX('01_Rohdaten'!B603:D603,'02_Eingaben'!$C$13))</f>
        <v/>
      </c>
      <c r="D603" s="17" t="str">
        <f>IF(C603="","",C603*'02_Eingaben'!$C$15)</f>
        <v/>
      </c>
      <c r="E603" s="17" t="str">
        <f>IF(D603="","",D603*'02_Eingaben'!$C$8)</f>
        <v/>
      </c>
      <c r="F603" s="17" t="str">
        <f>IF(E603="","",AVERAGE(INDEX($E$2:$E$3001,MAX(1,ROW()-1-'02_Eingaben'!$C$17)):INDEX($E$2:$E$3001,MIN('02_Eingaben'!$C$21,ROW()-1+'02_Eingaben'!$C$17))))</f>
        <v/>
      </c>
      <c r="G603" s="17" t="str">
        <f>IF(F603="","",F603-'02_Eingaben'!$C$10)</f>
        <v/>
      </c>
      <c r="H603" t="str">
        <f>IF(F603="","",IF(F603&lt;'02_Eingaben'!$C$18*'02_Eingaben'!$C$10,1,0))</f>
        <v/>
      </c>
      <c r="I603" s="17" t="str">
        <f t="shared" si="9"/>
        <v/>
      </c>
      <c r="J603" s="17" t="str">
        <f>IF(B603="","",IF(B602&lt;'02_Eingaben'!$C$36,0,J602+I602/'02_Eingaben'!$C$8))</f>
        <v/>
      </c>
    </row>
    <row r="604" spans="1:10" x14ac:dyDescent="0.25">
      <c r="A604" t="str">
        <f>IF('01_Rohdaten'!A604="","",ROW()-1)</f>
        <v/>
      </c>
      <c r="B604" s="17" t="str">
        <f>IF('01_Rohdaten'!A604="","",'01_Rohdaten'!A604)</f>
        <v/>
      </c>
      <c r="C604" s="17" t="str">
        <f>IF(B604="","",INDEX('01_Rohdaten'!B604:D604,'02_Eingaben'!$C$13))</f>
        <v/>
      </c>
      <c r="D604" s="17" t="str">
        <f>IF(C604="","",C604*'02_Eingaben'!$C$15)</f>
        <v/>
      </c>
      <c r="E604" s="17" t="str">
        <f>IF(D604="","",D604*'02_Eingaben'!$C$8)</f>
        <v/>
      </c>
      <c r="F604" s="17" t="str">
        <f>IF(E604="","",AVERAGE(INDEX($E$2:$E$3001,MAX(1,ROW()-1-'02_Eingaben'!$C$17)):INDEX($E$2:$E$3001,MIN('02_Eingaben'!$C$21,ROW()-1+'02_Eingaben'!$C$17))))</f>
        <v/>
      </c>
      <c r="G604" s="17" t="str">
        <f>IF(F604="","",F604-'02_Eingaben'!$C$10)</f>
        <v/>
      </c>
      <c r="H604" t="str">
        <f>IF(F604="","",IF(F604&lt;'02_Eingaben'!$C$18*'02_Eingaben'!$C$10,1,0))</f>
        <v/>
      </c>
      <c r="I604" s="17" t="str">
        <f t="shared" si="9"/>
        <v/>
      </c>
      <c r="J604" s="17" t="str">
        <f>IF(B604="","",IF(B603&lt;'02_Eingaben'!$C$36,0,J603+I603/'02_Eingaben'!$C$8))</f>
        <v/>
      </c>
    </row>
    <row r="605" spans="1:10" x14ac:dyDescent="0.25">
      <c r="A605" t="str">
        <f>IF('01_Rohdaten'!A605="","",ROW()-1)</f>
        <v/>
      </c>
      <c r="B605" s="17" t="str">
        <f>IF('01_Rohdaten'!A605="","",'01_Rohdaten'!A605)</f>
        <v/>
      </c>
      <c r="C605" s="17" t="str">
        <f>IF(B605="","",INDEX('01_Rohdaten'!B605:D605,'02_Eingaben'!$C$13))</f>
        <v/>
      </c>
      <c r="D605" s="17" t="str">
        <f>IF(C605="","",C605*'02_Eingaben'!$C$15)</f>
        <v/>
      </c>
      <c r="E605" s="17" t="str">
        <f>IF(D605="","",D605*'02_Eingaben'!$C$8)</f>
        <v/>
      </c>
      <c r="F605" s="17" t="str">
        <f>IF(E605="","",AVERAGE(INDEX($E$2:$E$3001,MAX(1,ROW()-1-'02_Eingaben'!$C$17)):INDEX($E$2:$E$3001,MIN('02_Eingaben'!$C$21,ROW()-1+'02_Eingaben'!$C$17))))</f>
        <v/>
      </c>
      <c r="G605" s="17" t="str">
        <f>IF(F605="","",F605-'02_Eingaben'!$C$10)</f>
        <v/>
      </c>
      <c r="H605" t="str">
        <f>IF(F605="","",IF(F605&lt;'02_Eingaben'!$C$18*'02_Eingaben'!$C$10,1,0))</f>
        <v/>
      </c>
      <c r="I605" s="17" t="str">
        <f t="shared" si="9"/>
        <v/>
      </c>
      <c r="J605" s="17" t="str">
        <f>IF(B605="","",IF(B604&lt;'02_Eingaben'!$C$36,0,J604+I604/'02_Eingaben'!$C$8))</f>
        <v/>
      </c>
    </row>
    <row r="606" spans="1:10" x14ac:dyDescent="0.25">
      <c r="A606" t="str">
        <f>IF('01_Rohdaten'!A606="","",ROW()-1)</f>
        <v/>
      </c>
      <c r="B606" s="17" t="str">
        <f>IF('01_Rohdaten'!A606="","",'01_Rohdaten'!A606)</f>
        <v/>
      </c>
      <c r="C606" s="17" t="str">
        <f>IF(B606="","",INDEX('01_Rohdaten'!B606:D606,'02_Eingaben'!$C$13))</f>
        <v/>
      </c>
      <c r="D606" s="17" t="str">
        <f>IF(C606="","",C606*'02_Eingaben'!$C$15)</f>
        <v/>
      </c>
      <c r="E606" s="17" t="str">
        <f>IF(D606="","",D606*'02_Eingaben'!$C$8)</f>
        <v/>
      </c>
      <c r="F606" s="17" t="str">
        <f>IF(E606="","",AVERAGE(INDEX($E$2:$E$3001,MAX(1,ROW()-1-'02_Eingaben'!$C$17)):INDEX($E$2:$E$3001,MIN('02_Eingaben'!$C$21,ROW()-1+'02_Eingaben'!$C$17))))</f>
        <v/>
      </c>
      <c r="G606" s="17" t="str">
        <f>IF(F606="","",F606-'02_Eingaben'!$C$10)</f>
        <v/>
      </c>
      <c r="H606" t="str">
        <f>IF(F606="","",IF(F606&lt;'02_Eingaben'!$C$18*'02_Eingaben'!$C$10,1,0))</f>
        <v/>
      </c>
      <c r="I606" s="17" t="str">
        <f t="shared" si="9"/>
        <v/>
      </c>
      <c r="J606" s="17" t="str">
        <f>IF(B606="","",IF(B605&lt;'02_Eingaben'!$C$36,0,J605+I605/'02_Eingaben'!$C$8))</f>
        <v/>
      </c>
    </row>
    <row r="607" spans="1:10" x14ac:dyDescent="0.25">
      <c r="A607" t="str">
        <f>IF('01_Rohdaten'!A607="","",ROW()-1)</f>
        <v/>
      </c>
      <c r="B607" s="17" t="str">
        <f>IF('01_Rohdaten'!A607="","",'01_Rohdaten'!A607)</f>
        <v/>
      </c>
      <c r="C607" s="17" t="str">
        <f>IF(B607="","",INDEX('01_Rohdaten'!B607:D607,'02_Eingaben'!$C$13))</f>
        <v/>
      </c>
      <c r="D607" s="17" t="str">
        <f>IF(C607="","",C607*'02_Eingaben'!$C$15)</f>
        <v/>
      </c>
      <c r="E607" s="17" t="str">
        <f>IF(D607="","",D607*'02_Eingaben'!$C$8)</f>
        <v/>
      </c>
      <c r="F607" s="17" t="str">
        <f>IF(E607="","",AVERAGE(INDEX($E$2:$E$3001,MAX(1,ROW()-1-'02_Eingaben'!$C$17)):INDEX($E$2:$E$3001,MIN('02_Eingaben'!$C$21,ROW()-1+'02_Eingaben'!$C$17))))</f>
        <v/>
      </c>
      <c r="G607" s="17" t="str">
        <f>IF(F607="","",F607-'02_Eingaben'!$C$10)</f>
        <v/>
      </c>
      <c r="H607" t="str">
        <f>IF(F607="","",IF(F607&lt;'02_Eingaben'!$C$18*'02_Eingaben'!$C$10,1,0))</f>
        <v/>
      </c>
      <c r="I607" s="17" t="str">
        <f t="shared" si="9"/>
        <v/>
      </c>
      <c r="J607" s="17" t="str">
        <f>IF(B607="","",IF(B606&lt;'02_Eingaben'!$C$36,0,J606+I606/'02_Eingaben'!$C$8))</f>
        <v/>
      </c>
    </row>
    <row r="608" spans="1:10" x14ac:dyDescent="0.25">
      <c r="A608" t="str">
        <f>IF('01_Rohdaten'!A608="","",ROW()-1)</f>
        <v/>
      </c>
      <c r="B608" s="17" t="str">
        <f>IF('01_Rohdaten'!A608="","",'01_Rohdaten'!A608)</f>
        <v/>
      </c>
      <c r="C608" s="17" t="str">
        <f>IF(B608="","",INDEX('01_Rohdaten'!B608:D608,'02_Eingaben'!$C$13))</f>
        <v/>
      </c>
      <c r="D608" s="17" t="str">
        <f>IF(C608="","",C608*'02_Eingaben'!$C$15)</f>
        <v/>
      </c>
      <c r="E608" s="17" t="str">
        <f>IF(D608="","",D608*'02_Eingaben'!$C$8)</f>
        <v/>
      </c>
      <c r="F608" s="17" t="str">
        <f>IF(E608="","",AVERAGE(INDEX($E$2:$E$3001,MAX(1,ROW()-1-'02_Eingaben'!$C$17)):INDEX($E$2:$E$3001,MIN('02_Eingaben'!$C$21,ROW()-1+'02_Eingaben'!$C$17))))</f>
        <v/>
      </c>
      <c r="G608" s="17" t="str">
        <f>IF(F608="","",F608-'02_Eingaben'!$C$10)</f>
        <v/>
      </c>
      <c r="H608" t="str">
        <f>IF(F608="","",IF(F608&lt;'02_Eingaben'!$C$18*'02_Eingaben'!$C$10,1,0))</f>
        <v/>
      </c>
      <c r="I608" s="17" t="str">
        <f t="shared" si="9"/>
        <v/>
      </c>
      <c r="J608" s="17" t="str">
        <f>IF(B608="","",IF(B607&lt;'02_Eingaben'!$C$36,0,J607+I607/'02_Eingaben'!$C$8))</f>
        <v/>
      </c>
    </row>
    <row r="609" spans="1:10" x14ac:dyDescent="0.25">
      <c r="A609" t="str">
        <f>IF('01_Rohdaten'!A609="","",ROW()-1)</f>
        <v/>
      </c>
      <c r="B609" s="17" t="str">
        <f>IF('01_Rohdaten'!A609="","",'01_Rohdaten'!A609)</f>
        <v/>
      </c>
      <c r="C609" s="17" t="str">
        <f>IF(B609="","",INDEX('01_Rohdaten'!B609:D609,'02_Eingaben'!$C$13))</f>
        <v/>
      </c>
      <c r="D609" s="17" t="str">
        <f>IF(C609="","",C609*'02_Eingaben'!$C$15)</f>
        <v/>
      </c>
      <c r="E609" s="17" t="str">
        <f>IF(D609="","",D609*'02_Eingaben'!$C$8)</f>
        <v/>
      </c>
      <c r="F609" s="17" t="str">
        <f>IF(E609="","",AVERAGE(INDEX($E$2:$E$3001,MAX(1,ROW()-1-'02_Eingaben'!$C$17)):INDEX($E$2:$E$3001,MIN('02_Eingaben'!$C$21,ROW()-1+'02_Eingaben'!$C$17))))</f>
        <v/>
      </c>
      <c r="G609" s="17" t="str">
        <f>IF(F609="","",F609-'02_Eingaben'!$C$10)</f>
        <v/>
      </c>
      <c r="H609" t="str">
        <f>IF(F609="","",IF(F609&lt;'02_Eingaben'!$C$18*'02_Eingaben'!$C$10,1,0))</f>
        <v/>
      </c>
      <c r="I609" s="17" t="str">
        <f t="shared" si="9"/>
        <v/>
      </c>
      <c r="J609" s="17" t="str">
        <f>IF(B609="","",IF(B608&lt;'02_Eingaben'!$C$36,0,J608+I608/'02_Eingaben'!$C$8))</f>
        <v/>
      </c>
    </row>
    <row r="610" spans="1:10" x14ac:dyDescent="0.25">
      <c r="A610" t="str">
        <f>IF('01_Rohdaten'!A610="","",ROW()-1)</f>
        <v/>
      </c>
      <c r="B610" s="17" t="str">
        <f>IF('01_Rohdaten'!A610="","",'01_Rohdaten'!A610)</f>
        <v/>
      </c>
      <c r="C610" s="17" t="str">
        <f>IF(B610="","",INDEX('01_Rohdaten'!B610:D610,'02_Eingaben'!$C$13))</f>
        <v/>
      </c>
      <c r="D610" s="17" t="str">
        <f>IF(C610="","",C610*'02_Eingaben'!$C$15)</f>
        <v/>
      </c>
      <c r="E610" s="17" t="str">
        <f>IF(D610="","",D610*'02_Eingaben'!$C$8)</f>
        <v/>
      </c>
      <c r="F610" s="17" t="str">
        <f>IF(E610="","",AVERAGE(INDEX($E$2:$E$3001,MAX(1,ROW()-1-'02_Eingaben'!$C$17)):INDEX($E$2:$E$3001,MIN('02_Eingaben'!$C$21,ROW()-1+'02_Eingaben'!$C$17))))</f>
        <v/>
      </c>
      <c r="G610" s="17" t="str">
        <f>IF(F610="","",F610-'02_Eingaben'!$C$10)</f>
        <v/>
      </c>
      <c r="H610" t="str">
        <f>IF(F610="","",IF(F610&lt;'02_Eingaben'!$C$18*'02_Eingaben'!$C$10,1,0))</f>
        <v/>
      </c>
      <c r="I610" s="17" t="str">
        <f t="shared" si="9"/>
        <v/>
      </c>
      <c r="J610" s="17" t="str">
        <f>IF(B610="","",IF(B609&lt;'02_Eingaben'!$C$36,0,J609+I609/'02_Eingaben'!$C$8))</f>
        <v/>
      </c>
    </row>
    <row r="611" spans="1:10" x14ac:dyDescent="0.25">
      <c r="A611" t="str">
        <f>IF('01_Rohdaten'!A611="","",ROW()-1)</f>
        <v/>
      </c>
      <c r="B611" s="17" t="str">
        <f>IF('01_Rohdaten'!A611="","",'01_Rohdaten'!A611)</f>
        <v/>
      </c>
      <c r="C611" s="17" t="str">
        <f>IF(B611="","",INDEX('01_Rohdaten'!B611:D611,'02_Eingaben'!$C$13))</f>
        <v/>
      </c>
      <c r="D611" s="17" t="str">
        <f>IF(C611="","",C611*'02_Eingaben'!$C$15)</f>
        <v/>
      </c>
      <c r="E611" s="17" t="str">
        <f>IF(D611="","",D611*'02_Eingaben'!$C$8)</f>
        <v/>
      </c>
      <c r="F611" s="17" t="str">
        <f>IF(E611="","",AVERAGE(INDEX($E$2:$E$3001,MAX(1,ROW()-1-'02_Eingaben'!$C$17)):INDEX($E$2:$E$3001,MIN('02_Eingaben'!$C$21,ROW()-1+'02_Eingaben'!$C$17))))</f>
        <v/>
      </c>
      <c r="G611" s="17" t="str">
        <f>IF(F611="","",F611-'02_Eingaben'!$C$10)</f>
        <v/>
      </c>
      <c r="H611" t="str">
        <f>IF(F611="","",IF(F611&lt;'02_Eingaben'!$C$18*'02_Eingaben'!$C$10,1,0))</f>
        <v/>
      </c>
      <c r="I611" s="17" t="str">
        <f t="shared" si="9"/>
        <v/>
      </c>
      <c r="J611" s="17" t="str">
        <f>IF(B611="","",IF(B610&lt;'02_Eingaben'!$C$36,0,J610+I610/'02_Eingaben'!$C$8))</f>
        <v/>
      </c>
    </row>
    <row r="612" spans="1:10" x14ac:dyDescent="0.25">
      <c r="A612" t="str">
        <f>IF('01_Rohdaten'!A612="","",ROW()-1)</f>
        <v/>
      </c>
      <c r="B612" s="17" t="str">
        <f>IF('01_Rohdaten'!A612="","",'01_Rohdaten'!A612)</f>
        <v/>
      </c>
      <c r="C612" s="17" t="str">
        <f>IF(B612="","",INDEX('01_Rohdaten'!B612:D612,'02_Eingaben'!$C$13))</f>
        <v/>
      </c>
      <c r="D612" s="17" t="str">
        <f>IF(C612="","",C612*'02_Eingaben'!$C$15)</f>
        <v/>
      </c>
      <c r="E612" s="17" t="str">
        <f>IF(D612="","",D612*'02_Eingaben'!$C$8)</f>
        <v/>
      </c>
      <c r="F612" s="17" t="str">
        <f>IF(E612="","",AVERAGE(INDEX($E$2:$E$3001,MAX(1,ROW()-1-'02_Eingaben'!$C$17)):INDEX($E$2:$E$3001,MIN('02_Eingaben'!$C$21,ROW()-1+'02_Eingaben'!$C$17))))</f>
        <v/>
      </c>
      <c r="G612" s="17" t="str">
        <f>IF(F612="","",F612-'02_Eingaben'!$C$10)</f>
        <v/>
      </c>
      <c r="H612" t="str">
        <f>IF(F612="","",IF(F612&lt;'02_Eingaben'!$C$18*'02_Eingaben'!$C$10,1,0))</f>
        <v/>
      </c>
      <c r="I612" s="17" t="str">
        <f t="shared" si="9"/>
        <v/>
      </c>
      <c r="J612" s="17" t="str">
        <f>IF(B612="","",IF(B611&lt;'02_Eingaben'!$C$36,0,J611+I611/'02_Eingaben'!$C$8))</f>
        <v/>
      </c>
    </row>
    <row r="613" spans="1:10" x14ac:dyDescent="0.25">
      <c r="A613" t="str">
        <f>IF('01_Rohdaten'!A613="","",ROW()-1)</f>
        <v/>
      </c>
      <c r="B613" s="17" t="str">
        <f>IF('01_Rohdaten'!A613="","",'01_Rohdaten'!A613)</f>
        <v/>
      </c>
      <c r="C613" s="17" t="str">
        <f>IF(B613="","",INDEX('01_Rohdaten'!B613:D613,'02_Eingaben'!$C$13))</f>
        <v/>
      </c>
      <c r="D613" s="17" t="str">
        <f>IF(C613="","",C613*'02_Eingaben'!$C$15)</f>
        <v/>
      </c>
      <c r="E613" s="17" t="str">
        <f>IF(D613="","",D613*'02_Eingaben'!$C$8)</f>
        <v/>
      </c>
      <c r="F613" s="17" t="str">
        <f>IF(E613="","",AVERAGE(INDEX($E$2:$E$3001,MAX(1,ROW()-1-'02_Eingaben'!$C$17)):INDEX($E$2:$E$3001,MIN('02_Eingaben'!$C$21,ROW()-1+'02_Eingaben'!$C$17))))</f>
        <v/>
      </c>
      <c r="G613" s="17" t="str">
        <f>IF(F613="","",F613-'02_Eingaben'!$C$10)</f>
        <v/>
      </c>
      <c r="H613" t="str">
        <f>IF(F613="","",IF(F613&lt;'02_Eingaben'!$C$18*'02_Eingaben'!$C$10,1,0))</f>
        <v/>
      </c>
      <c r="I613" s="17" t="str">
        <f t="shared" si="9"/>
        <v/>
      </c>
      <c r="J613" s="17" t="str">
        <f>IF(B613="","",IF(B612&lt;'02_Eingaben'!$C$36,0,J612+I612/'02_Eingaben'!$C$8))</f>
        <v/>
      </c>
    </row>
    <row r="614" spans="1:10" x14ac:dyDescent="0.25">
      <c r="A614" t="str">
        <f>IF('01_Rohdaten'!A614="","",ROW()-1)</f>
        <v/>
      </c>
      <c r="B614" s="17" t="str">
        <f>IF('01_Rohdaten'!A614="","",'01_Rohdaten'!A614)</f>
        <v/>
      </c>
      <c r="C614" s="17" t="str">
        <f>IF(B614="","",INDEX('01_Rohdaten'!B614:D614,'02_Eingaben'!$C$13))</f>
        <v/>
      </c>
      <c r="D614" s="17" t="str">
        <f>IF(C614="","",C614*'02_Eingaben'!$C$15)</f>
        <v/>
      </c>
      <c r="E614" s="17" t="str">
        <f>IF(D614="","",D614*'02_Eingaben'!$C$8)</f>
        <v/>
      </c>
      <c r="F614" s="17" t="str">
        <f>IF(E614="","",AVERAGE(INDEX($E$2:$E$3001,MAX(1,ROW()-1-'02_Eingaben'!$C$17)):INDEX($E$2:$E$3001,MIN('02_Eingaben'!$C$21,ROW()-1+'02_Eingaben'!$C$17))))</f>
        <v/>
      </c>
      <c r="G614" s="17" t="str">
        <f>IF(F614="","",F614-'02_Eingaben'!$C$10)</f>
        <v/>
      </c>
      <c r="H614" t="str">
        <f>IF(F614="","",IF(F614&lt;'02_Eingaben'!$C$18*'02_Eingaben'!$C$10,1,0))</f>
        <v/>
      </c>
      <c r="I614" s="17" t="str">
        <f t="shared" si="9"/>
        <v/>
      </c>
      <c r="J614" s="17" t="str">
        <f>IF(B614="","",IF(B613&lt;'02_Eingaben'!$C$36,0,J613+I613/'02_Eingaben'!$C$8))</f>
        <v/>
      </c>
    </row>
    <row r="615" spans="1:10" x14ac:dyDescent="0.25">
      <c r="A615" t="str">
        <f>IF('01_Rohdaten'!A615="","",ROW()-1)</f>
        <v/>
      </c>
      <c r="B615" s="17" t="str">
        <f>IF('01_Rohdaten'!A615="","",'01_Rohdaten'!A615)</f>
        <v/>
      </c>
      <c r="C615" s="17" t="str">
        <f>IF(B615="","",INDEX('01_Rohdaten'!B615:D615,'02_Eingaben'!$C$13))</f>
        <v/>
      </c>
      <c r="D615" s="17" t="str">
        <f>IF(C615="","",C615*'02_Eingaben'!$C$15)</f>
        <v/>
      </c>
      <c r="E615" s="17" t="str">
        <f>IF(D615="","",D615*'02_Eingaben'!$C$8)</f>
        <v/>
      </c>
      <c r="F615" s="17" t="str">
        <f>IF(E615="","",AVERAGE(INDEX($E$2:$E$3001,MAX(1,ROW()-1-'02_Eingaben'!$C$17)):INDEX($E$2:$E$3001,MIN('02_Eingaben'!$C$21,ROW()-1+'02_Eingaben'!$C$17))))</f>
        <v/>
      </c>
      <c r="G615" s="17" t="str">
        <f>IF(F615="","",F615-'02_Eingaben'!$C$10)</f>
        <v/>
      </c>
      <c r="H615" t="str">
        <f>IF(F615="","",IF(F615&lt;'02_Eingaben'!$C$18*'02_Eingaben'!$C$10,1,0))</f>
        <v/>
      </c>
      <c r="I615" s="17" t="str">
        <f t="shared" si="9"/>
        <v/>
      </c>
      <c r="J615" s="17" t="str">
        <f>IF(B615="","",IF(B614&lt;'02_Eingaben'!$C$36,0,J614+I614/'02_Eingaben'!$C$8))</f>
        <v/>
      </c>
    </row>
    <row r="616" spans="1:10" x14ac:dyDescent="0.25">
      <c r="A616" t="str">
        <f>IF('01_Rohdaten'!A616="","",ROW()-1)</f>
        <v/>
      </c>
      <c r="B616" s="17" t="str">
        <f>IF('01_Rohdaten'!A616="","",'01_Rohdaten'!A616)</f>
        <v/>
      </c>
      <c r="C616" s="17" t="str">
        <f>IF(B616="","",INDEX('01_Rohdaten'!B616:D616,'02_Eingaben'!$C$13))</f>
        <v/>
      </c>
      <c r="D616" s="17" t="str">
        <f>IF(C616="","",C616*'02_Eingaben'!$C$15)</f>
        <v/>
      </c>
      <c r="E616" s="17" t="str">
        <f>IF(D616="","",D616*'02_Eingaben'!$C$8)</f>
        <v/>
      </c>
      <c r="F616" s="17" t="str">
        <f>IF(E616="","",AVERAGE(INDEX($E$2:$E$3001,MAX(1,ROW()-1-'02_Eingaben'!$C$17)):INDEX($E$2:$E$3001,MIN('02_Eingaben'!$C$21,ROW()-1+'02_Eingaben'!$C$17))))</f>
        <v/>
      </c>
      <c r="G616" s="17" t="str">
        <f>IF(F616="","",F616-'02_Eingaben'!$C$10)</f>
        <v/>
      </c>
      <c r="H616" t="str">
        <f>IF(F616="","",IF(F616&lt;'02_Eingaben'!$C$18*'02_Eingaben'!$C$10,1,0))</f>
        <v/>
      </c>
      <c r="I616" s="17" t="str">
        <f t="shared" si="9"/>
        <v/>
      </c>
      <c r="J616" s="17" t="str">
        <f>IF(B616="","",IF(B615&lt;'02_Eingaben'!$C$36,0,J615+I615/'02_Eingaben'!$C$8))</f>
        <v/>
      </c>
    </row>
    <row r="617" spans="1:10" x14ac:dyDescent="0.25">
      <c r="A617" t="str">
        <f>IF('01_Rohdaten'!A617="","",ROW()-1)</f>
        <v/>
      </c>
      <c r="B617" s="17" t="str">
        <f>IF('01_Rohdaten'!A617="","",'01_Rohdaten'!A617)</f>
        <v/>
      </c>
      <c r="C617" s="17" t="str">
        <f>IF(B617="","",INDEX('01_Rohdaten'!B617:D617,'02_Eingaben'!$C$13))</f>
        <v/>
      </c>
      <c r="D617" s="17" t="str">
        <f>IF(C617="","",C617*'02_Eingaben'!$C$15)</f>
        <v/>
      </c>
      <c r="E617" s="17" t="str">
        <f>IF(D617="","",D617*'02_Eingaben'!$C$8)</f>
        <v/>
      </c>
      <c r="F617" s="17" t="str">
        <f>IF(E617="","",AVERAGE(INDEX($E$2:$E$3001,MAX(1,ROW()-1-'02_Eingaben'!$C$17)):INDEX($E$2:$E$3001,MIN('02_Eingaben'!$C$21,ROW()-1+'02_Eingaben'!$C$17))))</f>
        <v/>
      </c>
      <c r="G617" s="17" t="str">
        <f>IF(F617="","",F617-'02_Eingaben'!$C$10)</f>
        <v/>
      </c>
      <c r="H617" t="str">
        <f>IF(F617="","",IF(F617&lt;'02_Eingaben'!$C$18*'02_Eingaben'!$C$10,1,0))</f>
        <v/>
      </c>
      <c r="I617" s="17" t="str">
        <f t="shared" si="9"/>
        <v/>
      </c>
      <c r="J617" s="17" t="str">
        <f>IF(B617="","",IF(B616&lt;'02_Eingaben'!$C$36,0,J616+I616/'02_Eingaben'!$C$8))</f>
        <v/>
      </c>
    </row>
    <row r="618" spans="1:10" x14ac:dyDescent="0.25">
      <c r="A618" t="str">
        <f>IF('01_Rohdaten'!A618="","",ROW()-1)</f>
        <v/>
      </c>
      <c r="B618" s="17" t="str">
        <f>IF('01_Rohdaten'!A618="","",'01_Rohdaten'!A618)</f>
        <v/>
      </c>
      <c r="C618" s="17" t="str">
        <f>IF(B618="","",INDEX('01_Rohdaten'!B618:D618,'02_Eingaben'!$C$13))</f>
        <v/>
      </c>
      <c r="D618" s="17" t="str">
        <f>IF(C618="","",C618*'02_Eingaben'!$C$15)</f>
        <v/>
      </c>
      <c r="E618" s="17" t="str">
        <f>IF(D618="","",D618*'02_Eingaben'!$C$8)</f>
        <v/>
      </c>
      <c r="F618" s="17" t="str">
        <f>IF(E618="","",AVERAGE(INDEX($E$2:$E$3001,MAX(1,ROW()-1-'02_Eingaben'!$C$17)):INDEX($E$2:$E$3001,MIN('02_Eingaben'!$C$21,ROW()-1+'02_Eingaben'!$C$17))))</f>
        <v/>
      </c>
      <c r="G618" s="17" t="str">
        <f>IF(F618="","",F618-'02_Eingaben'!$C$10)</f>
        <v/>
      </c>
      <c r="H618" t="str">
        <f>IF(F618="","",IF(F618&lt;'02_Eingaben'!$C$18*'02_Eingaben'!$C$10,1,0))</f>
        <v/>
      </c>
      <c r="I618" s="17" t="str">
        <f t="shared" si="9"/>
        <v/>
      </c>
      <c r="J618" s="17" t="str">
        <f>IF(B618="","",IF(B617&lt;'02_Eingaben'!$C$36,0,J617+I617/'02_Eingaben'!$C$8))</f>
        <v/>
      </c>
    </row>
    <row r="619" spans="1:10" x14ac:dyDescent="0.25">
      <c r="A619" t="str">
        <f>IF('01_Rohdaten'!A619="","",ROW()-1)</f>
        <v/>
      </c>
      <c r="B619" s="17" t="str">
        <f>IF('01_Rohdaten'!A619="","",'01_Rohdaten'!A619)</f>
        <v/>
      </c>
      <c r="C619" s="17" t="str">
        <f>IF(B619="","",INDEX('01_Rohdaten'!B619:D619,'02_Eingaben'!$C$13))</f>
        <v/>
      </c>
      <c r="D619" s="17" t="str">
        <f>IF(C619="","",C619*'02_Eingaben'!$C$15)</f>
        <v/>
      </c>
      <c r="E619" s="17" t="str">
        <f>IF(D619="","",D619*'02_Eingaben'!$C$8)</f>
        <v/>
      </c>
      <c r="F619" s="17" t="str">
        <f>IF(E619="","",AVERAGE(INDEX($E$2:$E$3001,MAX(1,ROW()-1-'02_Eingaben'!$C$17)):INDEX($E$2:$E$3001,MIN('02_Eingaben'!$C$21,ROW()-1+'02_Eingaben'!$C$17))))</f>
        <v/>
      </c>
      <c r="G619" s="17" t="str">
        <f>IF(F619="","",F619-'02_Eingaben'!$C$10)</f>
        <v/>
      </c>
      <c r="H619" t="str">
        <f>IF(F619="","",IF(F619&lt;'02_Eingaben'!$C$18*'02_Eingaben'!$C$10,1,0))</f>
        <v/>
      </c>
      <c r="I619" s="17" t="str">
        <f t="shared" si="9"/>
        <v/>
      </c>
      <c r="J619" s="17" t="str">
        <f>IF(B619="","",IF(B618&lt;'02_Eingaben'!$C$36,0,J618+I618/'02_Eingaben'!$C$8))</f>
        <v/>
      </c>
    </row>
    <row r="620" spans="1:10" x14ac:dyDescent="0.25">
      <c r="A620" t="str">
        <f>IF('01_Rohdaten'!A620="","",ROW()-1)</f>
        <v/>
      </c>
      <c r="B620" s="17" t="str">
        <f>IF('01_Rohdaten'!A620="","",'01_Rohdaten'!A620)</f>
        <v/>
      </c>
      <c r="C620" s="17" t="str">
        <f>IF(B620="","",INDEX('01_Rohdaten'!B620:D620,'02_Eingaben'!$C$13))</f>
        <v/>
      </c>
      <c r="D620" s="17" t="str">
        <f>IF(C620="","",C620*'02_Eingaben'!$C$15)</f>
        <v/>
      </c>
      <c r="E620" s="17" t="str">
        <f>IF(D620="","",D620*'02_Eingaben'!$C$8)</f>
        <v/>
      </c>
      <c r="F620" s="17" t="str">
        <f>IF(E620="","",AVERAGE(INDEX($E$2:$E$3001,MAX(1,ROW()-1-'02_Eingaben'!$C$17)):INDEX($E$2:$E$3001,MIN('02_Eingaben'!$C$21,ROW()-1+'02_Eingaben'!$C$17))))</f>
        <v/>
      </c>
      <c r="G620" s="17" t="str">
        <f>IF(F620="","",F620-'02_Eingaben'!$C$10)</f>
        <v/>
      </c>
      <c r="H620" t="str">
        <f>IF(F620="","",IF(F620&lt;'02_Eingaben'!$C$18*'02_Eingaben'!$C$10,1,0))</f>
        <v/>
      </c>
      <c r="I620" s="17" t="str">
        <f t="shared" si="9"/>
        <v/>
      </c>
      <c r="J620" s="17" t="str">
        <f>IF(B620="","",IF(B619&lt;'02_Eingaben'!$C$36,0,J619+I619/'02_Eingaben'!$C$8))</f>
        <v/>
      </c>
    </row>
    <row r="621" spans="1:10" x14ac:dyDescent="0.25">
      <c r="A621" t="str">
        <f>IF('01_Rohdaten'!A621="","",ROW()-1)</f>
        <v/>
      </c>
      <c r="B621" s="17" t="str">
        <f>IF('01_Rohdaten'!A621="","",'01_Rohdaten'!A621)</f>
        <v/>
      </c>
      <c r="C621" s="17" t="str">
        <f>IF(B621="","",INDEX('01_Rohdaten'!B621:D621,'02_Eingaben'!$C$13))</f>
        <v/>
      </c>
      <c r="D621" s="17" t="str">
        <f>IF(C621="","",C621*'02_Eingaben'!$C$15)</f>
        <v/>
      </c>
      <c r="E621" s="17" t="str">
        <f>IF(D621="","",D621*'02_Eingaben'!$C$8)</f>
        <v/>
      </c>
      <c r="F621" s="17" t="str">
        <f>IF(E621="","",AVERAGE(INDEX($E$2:$E$3001,MAX(1,ROW()-1-'02_Eingaben'!$C$17)):INDEX($E$2:$E$3001,MIN('02_Eingaben'!$C$21,ROW()-1+'02_Eingaben'!$C$17))))</f>
        <v/>
      </c>
      <c r="G621" s="17" t="str">
        <f>IF(F621="","",F621-'02_Eingaben'!$C$10)</f>
        <v/>
      </c>
      <c r="H621" t="str">
        <f>IF(F621="","",IF(F621&lt;'02_Eingaben'!$C$18*'02_Eingaben'!$C$10,1,0))</f>
        <v/>
      </c>
      <c r="I621" s="17" t="str">
        <f t="shared" si="9"/>
        <v/>
      </c>
      <c r="J621" s="17" t="str">
        <f>IF(B621="","",IF(B620&lt;'02_Eingaben'!$C$36,0,J620+I620/'02_Eingaben'!$C$8))</f>
        <v/>
      </c>
    </row>
    <row r="622" spans="1:10" x14ac:dyDescent="0.25">
      <c r="A622" t="str">
        <f>IF('01_Rohdaten'!A622="","",ROW()-1)</f>
        <v/>
      </c>
      <c r="B622" s="17" t="str">
        <f>IF('01_Rohdaten'!A622="","",'01_Rohdaten'!A622)</f>
        <v/>
      </c>
      <c r="C622" s="17" t="str">
        <f>IF(B622="","",INDEX('01_Rohdaten'!B622:D622,'02_Eingaben'!$C$13))</f>
        <v/>
      </c>
      <c r="D622" s="17" t="str">
        <f>IF(C622="","",C622*'02_Eingaben'!$C$15)</f>
        <v/>
      </c>
      <c r="E622" s="17" t="str">
        <f>IF(D622="","",D622*'02_Eingaben'!$C$8)</f>
        <v/>
      </c>
      <c r="F622" s="17" t="str">
        <f>IF(E622="","",AVERAGE(INDEX($E$2:$E$3001,MAX(1,ROW()-1-'02_Eingaben'!$C$17)):INDEX($E$2:$E$3001,MIN('02_Eingaben'!$C$21,ROW()-1+'02_Eingaben'!$C$17))))</f>
        <v/>
      </c>
      <c r="G622" s="17" t="str">
        <f>IF(F622="","",F622-'02_Eingaben'!$C$10)</f>
        <v/>
      </c>
      <c r="H622" t="str">
        <f>IF(F622="","",IF(F622&lt;'02_Eingaben'!$C$18*'02_Eingaben'!$C$10,1,0))</f>
        <v/>
      </c>
      <c r="I622" s="17" t="str">
        <f t="shared" si="9"/>
        <v/>
      </c>
      <c r="J622" s="17" t="str">
        <f>IF(B622="","",IF(B621&lt;'02_Eingaben'!$C$36,0,J621+I621/'02_Eingaben'!$C$8))</f>
        <v/>
      </c>
    </row>
    <row r="623" spans="1:10" x14ac:dyDescent="0.25">
      <c r="A623" t="str">
        <f>IF('01_Rohdaten'!A623="","",ROW()-1)</f>
        <v/>
      </c>
      <c r="B623" s="17" t="str">
        <f>IF('01_Rohdaten'!A623="","",'01_Rohdaten'!A623)</f>
        <v/>
      </c>
      <c r="C623" s="17" t="str">
        <f>IF(B623="","",INDEX('01_Rohdaten'!B623:D623,'02_Eingaben'!$C$13))</f>
        <v/>
      </c>
      <c r="D623" s="17" t="str">
        <f>IF(C623="","",C623*'02_Eingaben'!$C$15)</f>
        <v/>
      </c>
      <c r="E623" s="17" t="str">
        <f>IF(D623="","",D623*'02_Eingaben'!$C$8)</f>
        <v/>
      </c>
      <c r="F623" s="17" t="str">
        <f>IF(E623="","",AVERAGE(INDEX($E$2:$E$3001,MAX(1,ROW()-1-'02_Eingaben'!$C$17)):INDEX($E$2:$E$3001,MIN('02_Eingaben'!$C$21,ROW()-1+'02_Eingaben'!$C$17))))</f>
        <v/>
      </c>
      <c r="G623" s="17" t="str">
        <f>IF(F623="","",F623-'02_Eingaben'!$C$10)</f>
        <v/>
      </c>
      <c r="H623" t="str">
        <f>IF(F623="","",IF(F623&lt;'02_Eingaben'!$C$18*'02_Eingaben'!$C$10,1,0))</f>
        <v/>
      </c>
      <c r="I623" s="17" t="str">
        <f t="shared" si="9"/>
        <v/>
      </c>
      <c r="J623" s="17" t="str">
        <f>IF(B623="","",IF(B622&lt;'02_Eingaben'!$C$36,0,J622+I622/'02_Eingaben'!$C$8))</f>
        <v/>
      </c>
    </row>
    <row r="624" spans="1:10" x14ac:dyDescent="0.25">
      <c r="A624" t="str">
        <f>IF('01_Rohdaten'!A624="","",ROW()-1)</f>
        <v/>
      </c>
      <c r="B624" s="17" t="str">
        <f>IF('01_Rohdaten'!A624="","",'01_Rohdaten'!A624)</f>
        <v/>
      </c>
      <c r="C624" s="17" t="str">
        <f>IF(B624="","",INDEX('01_Rohdaten'!B624:D624,'02_Eingaben'!$C$13))</f>
        <v/>
      </c>
      <c r="D624" s="17" t="str">
        <f>IF(C624="","",C624*'02_Eingaben'!$C$15)</f>
        <v/>
      </c>
      <c r="E624" s="17" t="str">
        <f>IF(D624="","",D624*'02_Eingaben'!$C$8)</f>
        <v/>
      </c>
      <c r="F624" s="17" t="str">
        <f>IF(E624="","",AVERAGE(INDEX($E$2:$E$3001,MAX(1,ROW()-1-'02_Eingaben'!$C$17)):INDEX($E$2:$E$3001,MIN('02_Eingaben'!$C$21,ROW()-1+'02_Eingaben'!$C$17))))</f>
        <v/>
      </c>
      <c r="G624" s="17" t="str">
        <f>IF(F624="","",F624-'02_Eingaben'!$C$10)</f>
        <v/>
      </c>
      <c r="H624" t="str">
        <f>IF(F624="","",IF(F624&lt;'02_Eingaben'!$C$18*'02_Eingaben'!$C$10,1,0))</f>
        <v/>
      </c>
      <c r="I624" s="17" t="str">
        <f t="shared" si="9"/>
        <v/>
      </c>
      <c r="J624" s="17" t="str">
        <f>IF(B624="","",IF(B623&lt;'02_Eingaben'!$C$36,0,J623+I623/'02_Eingaben'!$C$8))</f>
        <v/>
      </c>
    </row>
    <row r="625" spans="1:10" x14ac:dyDescent="0.25">
      <c r="A625" t="str">
        <f>IF('01_Rohdaten'!A625="","",ROW()-1)</f>
        <v/>
      </c>
      <c r="B625" s="17" t="str">
        <f>IF('01_Rohdaten'!A625="","",'01_Rohdaten'!A625)</f>
        <v/>
      </c>
      <c r="C625" s="17" t="str">
        <f>IF(B625="","",INDEX('01_Rohdaten'!B625:D625,'02_Eingaben'!$C$13))</f>
        <v/>
      </c>
      <c r="D625" s="17" t="str">
        <f>IF(C625="","",C625*'02_Eingaben'!$C$15)</f>
        <v/>
      </c>
      <c r="E625" s="17" t="str">
        <f>IF(D625="","",D625*'02_Eingaben'!$C$8)</f>
        <v/>
      </c>
      <c r="F625" s="17" t="str">
        <f>IF(E625="","",AVERAGE(INDEX($E$2:$E$3001,MAX(1,ROW()-1-'02_Eingaben'!$C$17)):INDEX($E$2:$E$3001,MIN('02_Eingaben'!$C$21,ROW()-1+'02_Eingaben'!$C$17))))</f>
        <v/>
      </c>
      <c r="G625" s="17" t="str">
        <f>IF(F625="","",F625-'02_Eingaben'!$C$10)</f>
        <v/>
      </c>
      <c r="H625" t="str">
        <f>IF(F625="","",IF(F625&lt;'02_Eingaben'!$C$18*'02_Eingaben'!$C$10,1,0))</f>
        <v/>
      </c>
      <c r="I625" s="17" t="str">
        <f t="shared" si="9"/>
        <v/>
      </c>
      <c r="J625" s="17" t="str">
        <f>IF(B625="","",IF(B624&lt;'02_Eingaben'!$C$36,0,J624+I624/'02_Eingaben'!$C$8))</f>
        <v/>
      </c>
    </row>
    <row r="626" spans="1:10" x14ac:dyDescent="0.25">
      <c r="A626" t="str">
        <f>IF('01_Rohdaten'!A626="","",ROW()-1)</f>
        <v/>
      </c>
      <c r="B626" s="17" t="str">
        <f>IF('01_Rohdaten'!A626="","",'01_Rohdaten'!A626)</f>
        <v/>
      </c>
      <c r="C626" s="17" t="str">
        <f>IF(B626="","",INDEX('01_Rohdaten'!B626:D626,'02_Eingaben'!$C$13))</f>
        <v/>
      </c>
      <c r="D626" s="17" t="str">
        <f>IF(C626="","",C626*'02_Eingaben'!$C$15)</f>
        <v/>
      </c>
      <c r="E626" s="17" t="str">
        <f>IF(D626="","",D626*'02_Eingaben'!$C$8)</f>
        <v/>
      </c>
      <c r="F626" s="17" t="str">
        <f>IF(E626="","",AVERAGE(INDEX($E$2:$E$3001,MAX(1,ROW()-1-'02_Eingaben'!$C$17)):INDEX($E$2:$E$3001,MIN('02_Eingaben'!$C$21,ROW()-1+'02_Eingaben'!$C$17))))</f>
        <v/>
      </c>
      <c r="G626" s="17" t="str">
        <f>IF(F626="","",F626-'02_Eingaben'!$C$10)</f>
        <v/>
      </c>
      <c r="H626" t="str">
        <f>IF(F626="","",IF(F626&lt;'02_Eingaben'!$C$18*'02_Eingaben'!$C$10,1,0))</f>
        <v/>
      </c>
      <c r="I626" s="17" t="str">
        <f t="shared" si="9"/>
        <v/>
      </c>
      <c r="J626" s="17" t="str">
        <f>IF(B626="","",IF(B625&lt;'02_Eingaben'!$C$36,0,J625+I625/'02_Eingaben'!$C$8))</f>
        <v/>
      </c>
    </row>
    <row r="627" spans="1:10" x14ac:dyDescent="0.25">
      <c r="A627" t="str">
        <f>IF('01_Rohdaten'!A627="","",ROW()-1)</f>
        <v/>
      </c>
      <c r="B627" s="17" t="str">
        <f>IF('01_Rohdaten'!A627="","",'01_Rohdaten'!A627)</f>
        <v/>
      </c>
      <c r="C627" s="17" t="str">
        <f>IF(B627="","",INDEX('01_Rohdaten'!B627:D627,'02_Eingaben'!$C$13))</f>
        <v/>
      </c>
      <c r="D627" s="17" t="str">
        <f>IF(C627="","",C627*'02_Eingaben'!$C$15)</f>
        <v/>
      </c>
      <c r="E627" s="17" t="str">
        <f>IF(D627="","",D627*'02_Eingaben'!$C$8)</f>
        <v/>
      </c>
      <c r="F627" s="17" t="str">
        <f>IF(E627="","",AVERAGE(INDEX($E$2:$E$3001,MAX(1,ROW()-1-'02_Eingaben'!$C$17)):INDEX($E$2:$E$3001,MIN('02_Eingaben'!$C$21,ROW()-1+'02_Eingaben'!$C$17))))</f>
        <v/>
      </c>
      <c r="G627" s="17" t="str">
        <f>IF(F627="","",F627-'02_Eingaben'!$C$10)</f>
        <v/>
      </c>
      <c r="H627" t="str">
        <f>IF(F627="","",IF(F627&lt;'02_Eingaben'!$C$18*'02_Eingaben'!$C$10,1,0))</f>
        <v/>
      </c>
      <c r="I627" s="17" t="str">
        <f t="shared" si="9"/>
        <v/>
      </c>
      <c r="J627" s="17" t="str">
        <f>IF(B627="","",IF(B626&lt;'02_Eingaben'!$C$36,0,J626+I626/'02_Eingaben'!$C$8))</f>
        <v/>
      </c>
    </row>
    <row r="628" spans="1:10" x14ac:dyDescent="0.25">
      <c r="A628" t="str">
        <f>IF('01_Rohdaten'!A628="","",ROW()-1)</f>
        <v/>
      </c>
      <c r="B628" s="17" t="str">
        <f>IF('01_Rohdaten'!A628="","",'01_Rohdaten'!A628)</f>
        <v/>
      </c>
      <c r="C628" s="17" t="str">
        <f>IF(B628="","",INDEX('01_Rohdaten'!B628:D628,'02_Eingaben'!$C$13))</f>
        <v/>
      </c>
      <c r="D628" s="17" t="str">
        <f>IF(C628="","",C628*'02_Eingaben'!$C$15)</f>
        <v/>
      </c>
      <c r="E628" s="17" t="str">
        <f>IF(D628="","",D628*'02_Eingaben'!$C$8)</f>
        <v/>
      </c>
      <c r="F628" s="17" t="str">
        <f>IF(E628="","",AVERAGE(INDEX($E$2:$E$3001,MAX(1,ROW()-1-'02_Eingaben'!$C$17)):INDEX($E$2:$E$3001,MIN('02_Eingaben'!$C$21,ROW()-1+'02_Eingaben'!$C$17))))</f>
        <v/>
      </c>
      <c r="G628" s="17" t="str">
        <f>IF(F628="","",F628-'02_Eingaben'!$C$10)</f>
        <v/>
      </c>
      <c r="H628" t="str">
        <f>IF(F628="","",IF(F628&lt;'02_Eingaben'!$C$18*'02_Eingaben'!$C$10,1,0))</f>
        <v/>
      </c>
      <c r="I628" s="17" t="str">
        <f t="shared" si="9"/>
        <v/>
      </c>
      <c r="J628" s="17" t="str">
        <f>IF(B628="","",IF(B627&lt;'02_Eingaben'!$C$36,0,J627+I627/'02_Eingaben'!$C$8))</f>
        <v/>
      </c>
    </row>
    <row r="629" spans="1:10" x14ac:dyDescent="0.25">
      <c r="A629" t="str">
        <f>IF('01_Rohdaten'!A629="","",ROW()-1)</f>
        <v/>
      </c>
      <c r="B629" s="17" t="str">
        <f>IF('01_Rohdaten'!A629="","",'01_Rohdaten'!A629)</f>
        <v/>
      </c>
      <c r="C629" s="17" t="str">
        <f>IF(B629="","",INDEX('01_Rohdaten'!B629:D629,'02_Eingaben'!$C$13))</f>
        <v/>
      </c>
      <c r="D629" s="17" t="str">
        <f>IF(C629="","",C629*'02_Eingaben'!$C$15)</f>
        <v/>
      </c>
      <c r="E629" s="17" t="str">
        <f>IF(D629="","",D629*'02_Eingaben'!$C$8)</f>
        <v/>
      </c>
      <c r="F629" s="17" t="str">
        <f>IF(E629="","",AVERAGE(INDEX($E$2:$E$3001,MAX(1,ROW()-1-'02_Eingaben'!$C$17)):INDEX($E$2:$E$3001,MIN('02_Eingaben'!$C$21,ROW()-1+'02_Eingaben'!$C$17))))</f>
        <v/>
      </c>
      <c r="G629" s="17" t="str">
        <f>IF(F629="","",F629-'02_Eingaben'!$C$10)</f>
        <v/>
      </c>
      <c r="H629" t="str">
        <f>IF(F629="","",IF(F629&lt;'02_Eingaben'!$C$18*'02_Eingaben'!$C$10,1,0))</f>
        <v/>
      </c>
      <c r="I629" s="17" t="str">
        <f t="shared" si="9"/>
        <v/>
      </c>
      <c r="J629" s="17" t="str">
        <f>IF(B629="","",IF(B628&lt;'02_Eingaben'!$C$36,0,J628+I628/'02_Eingaben'!$C$8))</f>
        <v/>
      </c>
    </row>
    <row r="630" spans="1:10" x14ac:dyDescent="0.25">
      <c r="A630" t="str">
        <f>IF('01_Rohdaten'!A630="","",ROW()-1)</f>
        <v/>
      </c>
      <c r="B630" s="17" t="str">
        <f>IF('01_Rohdaten'!A630="","",'01_Rohdaten'!A630)</f>
        <v/>
      </c>
      <c r="C630" s="17" t="str">
        <f>IF(B630="","",INDEX('01_Rohdaten'!B630:D630,'02_Eingaben'!$C$13))</f>
        <v/>
      </c>
      <c r="D630" s="17" t="str">
        <f>IF(C630="","",C630*'02_Eingaben'!$C$15)</f>
        <v/>
      </c>
      <c r="E630" s="17" t="str">
        <f>IF(D630="","",D630*'02_Eingaben'!$C$8)</f>
        <v/>
      </c>
      <c r="F630" s="17" t="str">
        <f>IF(E630="","",AVERAGE(INDEX($E$2:$E$3001,MAX(1,ROW()-1-'02_Eingaben'!$C$17)):INDEX($E$2:$E$3001,MIN('02_Eingaben'!$C$21,ROW()-1+'02_Eingaben'!$C$17))))</f>
        <v/>
      </c>
      <c r="G630" s="17" t="str">
        <f>IF(F630="","",F630-'02_Eingaben'!$C$10)</f>
        <v/>
      </c>
      <c r="H630" t="str">
        <f>IF(F630="","",IF(F630&lt;'02_Eingaben'!$C$18*'02_Eingaben'!$C$10,1,0))</f>
        <v/>
      </c>
      <c r="I630" s="17" t="str">
        <f t="shared" si="9"/>
        <v/>
      </c>
      <c r="J630" s="17" t="str">
        <f>IF(B630="","",IF(B629&lt;'02_Eingaben'!$C$36,0,J629+I629/'02_Eingaben'!$C$8))</f>
        <v/>
      </c>
    </row>
    <row r="631" spans="1:10" x14ac:dyDescent="0.25">
      <c r="A631" t="str">
        <f>IF('01_Rohdaten'!A631="","",ROW()-1)</f>
        <v/>
      </c>
      <c r="B631" s="17" t="str">
        <f>IF('01_Rohdaten'!A631="","",'01_Rohdaten'!A631)</f>
        <v/>
      </c>
      <c r="C631" s="17" t="str">
        <f>IF(B631="","",INDEX('01_Rohdaten'!B631:D631,'02_Eingaben'!$C$13))</f>
        <v/>
      </c>
      <c r="D631" s="17" t="str">
        <f>IF(C631="","",C631*'02_Eingaben'!$C$15)</f>
        <v/>
      </c>
      <c r="E631" s="17" t="str">
        <f>IF(D631="","",D631*'02_Eingaben'!$C$8)</f>
        <v/>
      </c>
      <c r="F631" s="17" t="str">
        <f>IF(E631="","",AVERAGE(INDEX($E$2:$E$3001,MAX(1,ROW()-1-'02_Eingaben'!$C$17)):INDEX($E$2:$E$3001,MIN('02_Eingaben'!$C$21,ROW()-1+'02_Eingaben'!$C$17))))</f>
        <v/>
      </c>
      <c r="G631" s="17" t="str">
        <f>IF(F631="","",F631-'02_Eingaben'!$C$10)</f>
        <v/>
      </c>
      <c r="H631" t="str">
        <f>IF(F631="","",IF(F631&lt;'02_Eingaben'!$C$18*'02_Eingaben'!$C$10,1,0))</f>
        <v/>
      </c>
      <c r="I631" s="17" t="str">
        <f t="shared" si="9"/>
        <v/>
      </c>
      <c r="J631" s="17" t="str">
        <f>IF(B631="","",IF(B630&lt;'02_Eingaben'!$C$36,0,J630+I630/'02_Eingaben'!$C$8))</f>
        <v/>
      </c>
    </row>
    <row r="632" spans="1:10" x14ac:dyDescent="0.25">
      <c r="A632" t="str">
        <f>IF('01_Rohdaten'!A632="","",ROW()-1)</f>
        <v/>
      </c>
      <c r="B632" s="17" t="str">
        <f>IF('01_Rohdaten'!A632="","",'01_Rohdaten'!A632)</f>
        <v/>
      </c>
      <c r="C632" s="17" t="str">
        <f>IF(B632="","",INDEX('01_Rohdaten'!B632:D632,'02_Eingaben'!$C$13))</f>
        <v/>
      </c>
      <c r="D632" s="17" t="str">
        <f>IF(C632="","",C632*'02_Eingaben'!$C$15)</f>
        <v/>
      </c>
      <c r="E632" s="17" t="str">
        <f>IF(D632="","",D632*'02_Eingaben'!$C$8)</f>
        <v/>
      </c>
      <c r="F632" s="17" t="str">
        <f>IF(E632="","",AVERAGE(INDEX($E$2:$E$3001,MAX(1,ROW()-1-'02_Eingaben'!$C$17)):INDEX($E$2:$E$3001,MIN('02_Eingaben'!$C$21,ROW()-1+'02_Eingaben'!$C$17))))</f>
        <v/>
      </c>
      <c r="G632" s="17" t="str">
        <f>IF(F632="","",F632-'02_Eingaben'!$C$10)</f>
        <v/>
      </c>
      <c r="H632" t="str">
        <f>IF(F632="","",IF(F632&lt;'02_Eingaben'!$C$18*'02_Eingaben'!$C$10,1,0))</f>
        <v/>
      </c>
      <c r="I632" s="17" t="str">
        <f t="shared" si="9"/>
        <v/>
      </c>
      <c r="J632" s="17" t="str">
        <f>IF(B632="","",IF(B631&lt;'02_Eingaben'!$C$36,0,J631+I631/'02_Eingaben'!$C$8))</f>
        <v/>
      </c>
    </row>
    <row r="633" spans="1:10" x14ac:dyDescent="0.25">
      <c r="A633" t="str">
        <f>IF('01_Rohdaten'!A633="","",ROW()-1)</f>
        <v/>
      </c>
      <c r="B633" s="17" t="str">
        <f>IF('01_Rohdaten'!A633="","",'01_Rohdaten'!A633)</f>
        <v/>
      </c>
      <c r="C633" s="17" t="str">
        <f>IF(B633="","",INDEX('01_Rohdaten'!B633:D633,'02_Eingaben'!$C$13))</f>
        <v/>
      </c>
      <c r="D633" s="17" t="str">
        <f>IF(C633="","",C633*'02_Eingaben'!$C$15)</f>
        <v/>
      </c>
      <c r="E633" s="17" t="str">
        <f>IF(D633="","",D633*'02_Eingaben'!$C$8)</f>
        <v/>
      </c>
      <c r="F633" s="17" t="str">
        <f>IF(E633="","",AVERAGE(INDEX($E$2:$E$3001,MAX(1,ROW()-1-'02_Eingaben'!$C$17)):INDEX($E$2:$E$3001,MIN('02_Eingaben'!$C$21,ROW()-1+'02_Eingaben'!$C$17))))</f>
        <v/>
      </c>
      <c r="G633" s="17" t="str">
        <f>IF(F633="","",F633-'02_Eingaben'!$C$10)</f>
        <v/>
      </c>
      <c r="H633" t="str">
        <f>IF(F633="","",IF(F633&lt;'02_Eingaben'!$C$18*'02_Eingaben'!$C$10,1,0))</f>
        <v/>
      </c>
      <c r="I633" s="17" t="str">
        <f t="shared" si="9"/>
        <v/>
      </c>
      <c r="J633" s="17" t="str">
        <f>IF(B633="","",IF(B632&lt;'02_Eingaben'!$C$36,0,J632+I632/'02_Eingaben'!$C$8))</f>
        <v/>
      </c>
    </row>
    <row r="634" spans="1:10" x14ac:dyDescent="0.25">
      <c r="A634" t="str">
        <f>IF('01_Rohdaten'!A634="","",ROW()-1)</f>
        <v/>
      </c>
      <c r="B634" s="17" t="str">
        <f>IF('01_Rohdaten'!A634="","",'01_Rohdaten'!A634)</f>
        <v/>
      </c>
      <c r="C634" s="17" t="str">
        <f>IF(B634="","",INDEX('01_Rohdaten'!B634:D634,'02_Eingaben'!$C$13))</f>
        <v/>
      </c>
      <c r="D634" s="17" t="str">
        <f>IF(C634="","",C634*'02_Eingaben'!$C$15)</f>
        <v/>
      </c>
      <c r="E634" s="17" t="str">
        <f>IF(D634="","",D634*'02_Eingaben'!$C$8)</f>
        <v/>
      </c>
      <c r="F634" s="17" t="str">
        <f>IF(E634="","",AVERAGE(INDEX($E$2:$E$3001,MAX(1,ROW()-1-'02_Eingaben'!$C$17)):INDEX($E$2:$E$3001,MIN('02_Eingaben'!$C$21,ROW()-1+'02_Eingaben'!$C$17))))</f>
        <v/>
      </c>
      <c r="G634" s="17" t="str">
        <f>IF(F634="","",F634-'02_Eingaben'!$C$10)</f>
        <v/>
      </c>
      <c r="H634" t="str">
        <f>IF(F634="","",IF(F634&lt;'02_Eingaben'!$C$18*'02_Eingaben'!$C$10,1,0))</f>
        <v/>
      </c>
      <c r="I634" s="17" t="str">
        <f t="shared" si="9"/>
        <v/>
      </c>
      <c r="J634" s="17" t="str">
        <f>IF(B634="","",IF(B633&lt;'02_Eingaben'!$C$36,0,J633+I633/'02_Eingaben'!$C$8))</f>
        <v/>
      </c>
    </row>
    <row r="635" spans="1:10" x14ac:dyDescent="0.25">
      <c r="A635" t="str">
        <f>IF('01_Rohdaten'!A635="","",ROW()-1)</f>
        <v/>
      </c>
      <c r="B635" s="17" t="str">
        <f>IF('01_Rohdaten'!A635="","",'01_Rohdaten'!A635)</f>
        <v/>
      </c>
      <c r="C635" s="17" t="str">
        <f>IF(B635="","",INDEX('01_Rohdaten'!B635:D635,'02_Eingaben'!$C$13))</f>
        <v/>
      </c>
      <c r="D635" s="17" t="str">
        <f>IF(C635="","",C635*'02_Eingaben'!$C$15)</f>
        <v/>
      </c>
      <c r="E635" s="17" t="str">
        <f>IF(D635="","",D635*'02_Eingaben'!$C$8)</f>
        <v/>
      </c>
      <c r="F635" s="17" t="str">
        <f>IF(E635="","",AVERAGE(INDEX($E$2:$E$3001,MAX(1,ROW()-1-'02_Eingaben'!$C$17)):INDEX($E$2:$E$3001,MIN('02_Eingaben'!$C$21,ROW()-1+'02_Eingaben'!$C$17))))</f>
        <v/>
      </c>
      <c r="G635" s="17" t="str">
        <f>IF(F635="","",F635-'02_Eingaben'!$C$10)</f>
        <v/>
      </c>
      <c r="H635" t="str">
        <f>IF(F635="","",IF(F635&lt;'02_Eingaben'!$C$18*'02_Eingaben'!$C$10,1,0))</f>
        <v/>
      </c>
      <c r="I635" s="17" t="str">
        <f t="shared" si="9"/>
        <v/>
      </c>
      <c r="J635" s="17" t="str">
        <f>IF(B635="","",IF(B634&lt;'02_Eingaben'!$C$36,0,J634+I634/'02_Eingaben'!$C$8))</f>
        <v/>
      </c>
    </row>
    <row r="636" spans="1:10" x14ac:dyDescent="0.25">
      <c r="A636" t="str">
        <f>IF('01_Rohdaten'!A636="","",ROW()-1)</f>
        <v/>
      </c>
      <c r="B636" s="17" t="str">
        <f>IF('01_Rohdaten'!A636="","",'01_Rohdaten'!A636)</f>
        <v/>
      </c>
      <c r="C636" s="17" t="str">
        <f>IF(B636="","",INDEX('01_Rohdaten'!B636:D636,'02_Eingaben'!$C$13))</f>
        <v/>
      </c>
      <c r="D636" s="17" t="str">
        <f>IF(C636="","",C636*'02_Eingaben'!$C$15)</f>
        <v/>
      </c>
      <c r="E636" s="17" t="str">
        <f>IF(D636="","",D636*'02_Eingaben'!$C$8)</f>
        <v/>
      </c>
      <c r="F636" s="17" t="str">
        <f>IF(E636="","",AVERAGE(INDEX($E$2:$E$3001,MAX(1,ROW()-1-'02_Eingaben'!$C$17)):INDEX($E$2:$E$3001,MIN('02_Eingaben'!$C$21,ROW()-1+'02_Eingaben'!$C$17))))</f>
        <v/>
      </c>
      <c r="G636" s="17" t="str">
        <f>IF(F636="","",F636-'02_Eingaben'!$C$10)</f>
        <v/>
      </c>
      <c r="H636" t="str">
        <f>IF(F636="","",IF(F636&lt;'02_Eingaben'!$C$18*'02_Eingaben'!$C$10,1,0))</f>
        <v/>
      </c>
      <c r="I636" s="17" t="str">
        <f t="shared" si="9"/>
        <v/>
      </c>
      <c r="J636" s="17" t="str">
        <f>IF(B636="","",IF(B635&lt;'02_Eingaben'!$C$36,0,J635+I635/'02_Eingaben'!$C$8))</f>
        <v/>
      </c>
    </row>
    <row r="637" spans="1:10" x14ac:dyDescent="0.25">
      <c r="A637" t="str">
        <f>IF('01_Rohdaten'!A637="","",ROW()-1)</f>
        <v/>
      </c>
      <c r="B637" s="17" t="str">
        <f>IF('01_Rohdaten'!A637="","",'01_Rohdaten'!A637)</f>
        <v/>
      </c>
      <c r="C637" s="17" t="str">
        <f>IF(B637="","",INDEX('01_Rohdaten'!B637:D637,'02_Eingaben'!$C$13))</f>
        <v/>
      </c>
      <c r="D637" s="17" t="str">
        <f>IF(C637="","",C637*'02_Eingaben'!$C$15)</f>
        <v/>
      </c>
      <c r="E637" s="17" t="str">
        <f>IF(D637="","",D637*'02_Eingaben'!$C$8)</f>
        <v/>
      </c>
      <c r="F637" s="17" t="str">
        <f>IF(E637="","",AVERAGE(INDEX($E$2:$E$3001,MAX(1,ROW()-1-'02_Eingaben'!$C$17)):INDEX($E$2:$E$3001,MIN('02_Eingaben'!$C$21,ROW()-1+'02_Eingaben'!$C$17))))</f>
        <v/>
      </c>
      <c r="G637" s="17" t="str">
        <f>IF(F637="","",F637-'02_Eingaben'!$C$10)</f>
        <v/>
      </c>
      <c r="H637" t="str">
        <f>IF(F637="","",IF(F637&lt;'02_Eingaben'!$C$18*'02_Eingaben'!$C$10,1,0))</f>
        <v/>
      </c>
      <c r="I637" s="17" t="str">
        <f t="shared" si="9"/>
        <v/>
      </c>
      <c r="J637" s="17" t="str">
        <f>IF(B637="","",IF(B636&lt;'02_Eingaben'!$C$36,0,J636+I636/'02_Eingaben'!$C$8))</f>
        <v/>
      </c>
    </row>
    <row r="638" spans="1:10" x14ac:dyDescent="0.25">
      <c r="A638" t="str">
        <f>IF('01_Rohdaten'!A638="","",ROW()-1)</f>
        <v/>
      </c>
      <c r="B638" s="17" t="str">
        <f>IF('01_Rohdaten'!A638="","",'01_Rohdaten'!A638)</f>
        <v/>
      </c>
      <c r="C638" s="17" t="str">
        <f>IF(B638="","",INDEX('01_Rohdaten'!B638:D638,'02_Eingaben'!$C$13))</f>
        <v/>
      </c>
      <c r="D638" s="17" t="str">
        <f>IF(C638="","",C638*'02_Eingaben'!$C$15)</f>
        <v/>
      </c>
      <c r="E638" s="17" t="str">
        <f>IF(D638="","",D638*'02_Eingaben'!$C$8)</f>
        <v/>
      </c>
      <c r="F638" s="17" t="str">
        <f>IF(E638="","",AVERAGE(INDEX($E$2:$E$3001,MAX(1,ROW()-1-'02_Eingaben'!$C$17)):INDEX($E$2:$E$3001,MIN('02_Eingaben'!$C$21,ROW()-1+'02_Eingaben'!$C$17))))</f>
        <v/>
      </c>
      <c r="G638" s="17" t="str">
        <f>IF(F638="","",F638-'02_Eingaben'!$C$10)</f>
        <v/>
      </c>
      <c r="H638" t="str">
        <f>IF(F638="","",IF(F638&lt;'02_Eingaben'!$C$18*'02_Eingaben'!$C$10,1,0))</f>
        <v/>
      </c>
      <c r="I638" s="17" t="str">
        <f t="shared" si="9"/>
        <v/>
      </c>
      <c r="J638" s="17" t="str">
        <f>IF(B638="","",IF(B637&lt;'02_Eingaben'!$C$36,0,J637+I637/'02_Eingaben'!$C$8))</f>
        <v/>
      </c>
    </row>
    <row r="639" spans="1:10" x14ac:dyDescent="0.25">
      <c r="A639" t="str">
        <f>IF('01_Rohdaten'!A639="","",ROW()-1)</f>
        <v/>
      </c>
      <c r="B639" s="17" t="str">
        <f>IF('01_Rohdaten'!A639="","",'01_Rohdaten'!A639)</f>
        <v/>
      </c>
      <c r="C639" s="17" t="str">
        <f>IF(B639="","",INDEX('01_Rohdaten'!B639:D639,'02_Eingaben'!$C$13))</f>
        <v/>
      </c>
      <c r="D639" s="17" t="str">
        <f>IF(C639="","",C639*'02_Eingaben'!$C$15)</f>
        <v/>
      </c>
      <c r="E639" s="17" t="str">
        <f>IF(D639="","",D639*'02_Eingaben'!$C$8)</f>
        <v/>
      </c>
      <c r="F639" s="17" t="str">
        <f>IF(E639="","",AVERAGE(INDEX($E$2:$E$3001,MAX(1,ROW()-1-'02_Eingaben'!$C$17)):INDEX($E$2:$E$3001,MIN('02_Eingaben'!$C$21,ROW()-1+'02_Eingaben'!$C$17))))</f>
        <v/>
      </c>
      <c r="G639" s="17" t="str">
        <f>IF(F639="","",F639-'02_Eingaben'!$C$10)</f>
        <v/>
      </c>
      <c r="H639" t="str">
        <f>IF(F639="","",IF(F639&lt;'02_Eingaben'!$C$18*'02_Eingaben'!$C$10,1,0))</f>
        <v/>
      </c>
      <c r="I639" s="17" t="str">
        <f t="shared" si="9"/>
        <v/>
      </c>
      <c r="J639" s="17" t="str">
        <f>IF(B639="","",IF(B638&lt;'02_Eingaben'!$C$36,0,J638+I638/'02_Eingaben'!$C$8))</f>
        <v/>
      </c>
    </row>
    <row r="640" spans="1:10" x14ac:dyDescent="0.25">
      <c r="A640" t="str">
        <f>IF('01_Rohdaten'!A640="","",ROW()-1)</f>
        <v/>
      </c>
      <c r="B640" s="17" t="str">
        <f>IF('01_Rohdaten'!A640="","",'01_Rohdaten'!A640)</f>
        <v/>
      </c>
      <c r="C640" s="17" t="str">
        <f>IF(B640="","",INDEX('01_Rohdaten'!B640:D640,'02_Eingaben'!$C$13))</f>
        <v/>
      </c>
      <c r="D640" s="17" t="str">
        <f>IF(C640="","",C640*'02_Eingaben'!$C$15)</f>
        <v/>
      </c>
      <c r="E640" s="17" t="str">
        <f>IF(D640="","",D640*'02_Eingaben'!$C$8)</f>
        <v/>
      </c>
      <c r="F640" s="17" t="str">
        <f>IF(E640="","",AVERAGE(INDEX($E$2:$E$3001,MAX(1,ROW()-1-'02_Eingaben'!$C$17)):INDEX($E$2:$E$3001,MIN('02_Eingaben'!$C$21,ROW()-1+'02_Eingaben'!$C$17))))</f>
        <v/>
      </c>
      <c r="G640" s="17" t="str">
        <f>IF(F640="","",F640-'02_Eingaben'!$C$10)</f>
        <v/>
      </c>
      <c r="H640" t="str">
        <f>IF(F640="","",IF(F640&lt;'02_Eingaben'!$C$18*'02_Eingaben'!$C$10,1,0))</f>
        <v/>
      </c>
      <c r="I640" s="17" t="str">
        <f t="shared" si="9"/>
        <v/>
      </c>
      <c r="J640" s="17" t="str">
        <f>IF(B640="","",IF(B639&lt;'02_Eingaben'!$C$36,0,J639+I639/'02_Eingaben'!$C$8))</f>
        <v/>
      </c>
    </row>
    <row r="641" spans="1:10" x14ac:dyDescent="0.25">
      <c r="A641" t="str">
        <f>IF('01_Rohdaten'!A641="","",ROW()-1)</f>
        <v/>
      </c>
      <c r="B641" s="17" t="str">
        <f>IF('01_Rohdaten'!A641="","",'01_Rohdaten'!A641)</f>
        <v/>
      </c>
      <c r="C641" s="17" t="str">
        <f>IF(B641="","",INDEX('01_Rohdaten'!B641:D641,'02_Eingaben'!$C$13))</f>
        <v/>
      </c>
      <c r="D641" s="17" t="str">
        <f>IF(C641="","",C641*'02_Eingaben'!$C$15)</f>
        <v/>
      </c>
      <c r="E641" s="17" t="str">
        <f>IF(D641="","",D641*'02_Eingaben'!$C$8)</f>
        <v/>
      </c>
      <c r="F641" s="17" t="str">
        <f>IF(E641="","",AVERAGE(INDEX($E$2:$E$3001,MAX(1,ROW()-1-'02_Eingaben'!$C$17)):INDEX($E$2:$E$3001,MIN('02_Eingaben'!$C$21,ROW()-1+'02_Eingaben'!$C$17))))</f>
        <v/>
      </c>
      <c r="G641" s="17" t="str">
        <f>IF(F641="","",F641-'02_Eingaben'!$C$10)</f>
        <v/>
      </c>
      <c r="H641" t="str">
        <f>IF(F641="","",IF(F641&lt;'02_Eingaben'!$C$18*'02_Eingaben'!$C$10,1,0))</f>
        <v/>
      </c>
      <c r="I641" s="17" t="str">
        <f t="shared" si="9"/>
        <v/>
      </c>
      <c r="J641" s="17" t="str">
        <f>IF(B641="","",IF(B640&lt;'02_Eingaben'!$C$36,0,J640+I640/'02_Eingaben'!$C$8))</f>
        <v/>
      </c>
    </row>
    <row r="642" spans="1:10" x14ac:dyDescent="0.25">
      <c r="A642" t="str">
        <f>IF('01_Rohdaten'!A642="","",ROW()-1)</f>
        <v/>
      </c>
      <c r="B642" s="17" t="str">
        <f>IF('01_Rohdaten'!A642="","",'01_Rohdaten'!A642)</f>
        <v/>
      </c>
      <c r="C642" s="17" t="str">
        <f>IF(B642="","",INDEX('01_Rohdaten'!B642:D642,'02_Eingaben'!$C$13))</f>
        <v/>
      </c>
      <c r="D642" s="17" t="str">
        <f>IF(C642="","",C642*'02_Eingaben'!$C$15)</f>
        <v/>
      </c>
      <c r="E642" s="17" t="str">
        <f>IF(D642="","",D642*'02_Eingaben'!$C$8)</f>
        <v/>
      </c>
      <c r="F642" s="17" t="str">
        <f>IF(E642="","",AVERAGE(INDEX($E$2:$E$3001,MAX(1,ROW()-1-'02_Eingaben'!$C$17)):INDEX($E$2:$E$3001,MIN('02_Eingaben'!$C$21,ROW()-1+'02_Eingaben'!$C$17))))</f>
        <v/>
      </c>
      <c r="G642" s="17" t="str">
        <f>IF(F642="","",F642-'02_Eingaben'!$C$10)</f>
        <v/>
      </c>
      <c r="H642" t="str">
        <f>IF(F642="","",IF(F642&lt;'02_Eingaben'!$C$18*'02_Eingaben'!$C$10,1,0))</f>
        <v/>
      </c>
      <c r="I642" s="17" t="str">
        <f t="shared" ref="I642:I705" si="10">IF(OR(G642="",G643=""),"",(G642+G643)/2*(B643-B642))</f>
        <v/>
      </c>
      <c r="J642" s="17" t="str">
        <f>IF(B642="","",IF(B641&lt;'02_Eingaben'!$C$36,0,J641+I641/'02_Eingaben'!$C$8))</f>
        <v/>
      </c>
    </row>
    <row r="643" spans="1:10" x14ac:dyDescent="0.25">
      <c r="A643" t="str">
        <f>IF('01_Rohdaten'!A643="","",ROW()-1)</f>
        <v/>
      </c>
      <c r="B643" s="17" t="str">
        <f>IF('01_Rohdaten'!A643="","",'01_Rohdaten'!A643)</f>
        <v/>
      </c>
      <c r="C643" s="17" t="str">
        <f>IF(B643="","",INDEX('01_Rohdaten'!B643:D643,'02_Eingaben'!$C$13))</f>
        <v/>
      </c>
      <c r="D643" s="17" t="str">
        <f>IF(C643="","",C643*'02_Eingaben'!$C$15)</f>
        <v/>
      </c>
      <c r="E643" s="17" t="str">
        <f>IF(D643="","",D643*'02_Eingaben'!$C$8)</f>
        <v/>
      </c>
      <c r="F643" s="17" t="str">
        <f>IF(E643="","",AVERAGE(INDEX($E$2:$E$3001,MAX(1,ROW()-1-'02_Eingaben'!$C$17)):INDEX($E$2:$E$3001,MIN('02_Eingaben'!$C$21,ROW()-1+'02_Eingaben'!$C$17))))</f>
        <v/>
      </c>
      <c r="G643" s="17" t="str">
        <f>IF(F643="","",F643-'02_Eingaben'!$C$10)</f>
        <v/>
      </c>
      <c r="H643" t="str">
        <f>IF(F643="","",IF(F643&lt;'02_Eingaben'!$C$18*'02_Eingaben'!$C$10,1,0))</f>
        <v/>
      </c>
      <c r="I643" s="17" t="str">
        <f t="shared" si="10"/>
        <v/>
      </c>
      <c r="J643" s="17" t="str">
        <f>IF(B643="","",IF(B642&lt;'02_Eingaben'!$C$36,0,J642+I642/'02_Eingaben'!$C$8))</f>
        <v/>
      </c>
    </row>
    <row r="644" spans="1:10" x14ac:dyDescent="0.25">
      <c r="A644" t="str">
        <f>IF('01_Rohdaten'!A644="","",ROW()-1)</f>
        <v/>
      </c>
      <c r="B644" s="17" t="str">
        <f>IF('01_Rohdaten'!A644="","",'01_Rohdaten'!A644)</f>
        <v/>
      </c>
      <c r="C644" s="17" t="str">
        <f>IF(B644="","",INDEX('01_Rohdaten'!B644:D644,'02_Eingaben'!$C$13))</f>
        <v/>
      </c>
      <c r="D644" s="17" t="str">
        <f>IF(C644="","",C644*'02_Eingaben'!$C$15)</f>
        <v/>
      </c>
      <c r="E644" s="17" t="str">
        <f>IF(D644="","",D644*'02_Eingaben'!$C$8)</f>
        <v/>
      </c>
      <c r="F644" s="17" t="str">
        <f>IF(E644="","",AVERAGE(INDEX($E$2:$E$3001,MAX(1,ROW()-1-'02_Eingaben'!$C$17)):INDEX($E$2:$E$3001,MIN('02_Eingaben'!$C$21,ROW()-1+'02_Eingaben'!$C$17))))</f>
        <v/>
      </c>
      <c r="G644" s="17" t="str">
        <f>IF(F644="","",F644-'02_Eingaben'!$C$10)</f>
        <v/>
      </c>
      <c r="H644" t="str">
        <f>IF(F644="","",IF(F644&lt;'02_Eingaben'!$C$18*'02_Eingaben'!$C$10,1,0))</f>
        <v/>
      </c>
      <c r="I644" s="17" t="str">
        <f t="shared" si="10"/>
        <v/>
      </c>
      <c r="J644" s="17" t="str">
        <f>IF(B644="","",IF(B643&lt;'02_Eingaben'!$C$36,0,J643+I643/'02_Eingaben'!$C$8))</f>
        <v/>
      </c>
    </row>
    <row r="645" spans="1:10" x14ac:dyDescent="0.25">
      <c r="A645" t="str">
        <f>IF('01_Rohdaten'!A645="","",ROW()-1)</f>
        <v/>
      </c>
      <c r="B645" s="17" t="str">
        <f>IF('01_Rohdaten'!A645="","",'01_Rohdaten'!A645)</f>
        <v/>
      </c>
      <c r="C645" s="17" t="str">
        <f>IF(B645="","",INDEX('01_Rohdaten'!B645:D645,'02_Eingaben'!$C$13))</f>
        <v/>
      </c>
      <c r="D645" s="17" t="str">
        <f>IF(C645="","",C645*'02_Eingaben'!$C$15)</f>
        <v/>
      </c>
      <c r="E645" s="17" t="str">
        <f>IF(D645="","",D645*'02_Eingaben'!$C$8)</f>
        <v/>
      </c>
      <c r="F645" s="17" t="str">
        <f>IF(E645="","",AVERAGE(INDEX($E$2:$E$3001,MAX(1,ROW()-1-'02_Eingaben'!$C$17)):INDEX($E$2:$E$3001,MIN('02_Eingaben'!$C$21,ROW()-1+'02_Eingaben'!$C$17))))</f>
        <v/>
      </c>
      <c r="G645" s="17" t="str">
        <f>IF(F645="","",F645-'02_Eingaben'!$C$10)</f>
        <v/>
      </c>
      <c r="H645" t="str">
        <f>IF(F645="","",IF(F645&lt;'02_Eingaben'!$C$18*'02_Eingaben'!$C$10,1,0))</f>
        <v/>
      </c>
      <c r="I645" s="17" t="str">
        <f t="shared" si="10"/>
        <v/>
      </c>
      <c r="J645" s="17" t="str">
        <f>IF(B645="","",IF(B644&lt;'02_Eingaben'!$C$36,0,J644+I644/'02_Eingaben'!$C$8))</f>
        <v/>
      </c>
    </row>
    <row r="646" spans="1:10" x14ac:dyDescent="0.25">
      <c r="A646" t="str">
        <f>IF('01_Rohdaten'!A646="","",ROW()-1)</f>
        <v/>
      </c>
      <c r="B646" s="17" t="str">
        <f>IF('01_Rohdaten'!A646="","",'01_Rohdaten'!A646)</f>
        <v/>
      </c>
      <c r="C646" s="17" t="str">
        <f>IF(B646="","",INDEX('01_Rohdaten'!B646:D646,'02_Eingaben'!$C$13))</f>
        <v/>
      </c>
      <c r="D646" s="17" t="str">
        <f>IF(C646="","",C646*'02_Eingaben'!$C$15)</f>
        <v/>
      </c>
      <c r="E646" s="17" t="str">
        <f>IF(D646="","",D646*'02_Eingaben'!$C$8)</f>
        <v/>
      </c>
      <c r="F646" s="17" t="str">
        <f>IF(E646="","",AVERAGE(INDEX($E$2:$E$3001,MAX(1,ROW()-1-'02_Eingaben'!$C$17)):INDEX($E$2:$E$3001,MIN('02_Eingaben'!$C$21,ROW()-1+'02_Eingaben'!$C$17))))</f>
        <v/>
      </c>
      <c r="G646" s="17" t="str">
        <f>IF(F646="","",F646-'02_Eingaben'!$C$10)</f>
        <v/>
      </c>
      <c r="H646" t="str">
        <f>IF(F646="","",IF(F646&lt;'02_Eingaben'!$C$18*'02_Eingaben'!$C$10,1,0))</f>
        <v/>
      </c>
      <c r="I646" s="17" t="str">
        <f t="shared" si="10"/>
        <v/>
      </c>
      <c r="J646" s="17" t="str">
        <f>IF(B646="","",IF(B645&lt;'02_Eingaben'!$C$36,0,J645+I645/'02_Eingaben'!$C$8))</f>
        <v/>
      </c>
    </row>
    <row r="647" spans="1:10" x14ac:dyDescent="0.25">
      <c r="A647" t="str">
        <f>IF('01_Rohdaten'!A647="","",ROW()-1)</f>
        <v/>
      </c>
      <c r="B647" s="17" t="str">
        <f>IF('01_Rohdaten'!A647="","",'01_Rohdaten'!A647)</f>
        <v/>
      </c>
      <c r="C647" s="17" t="str">
        <f>IF(B647="","",INDEX('01_Rohdaten'!B647:D647,'02_Eingaben'!$C$13))</f>
        <v/>
      </c>
      <c r="D647" s="17" t="str">
        <f>IF(C647="","",C647*'02_Eingaben'!$C$15)</f>
        <v/>
      </c>
      <c r="E647" s="17" t="str">
        <f>IF(D647="","",D647*'02_Eingaben'!$C$8)</f>
        <v/>
      </c>
      <c r="F647" s="17" t="str">
        <f>IF(E647="","",AVERAGE(INDEX($E$2:$E$3001,MAX(1,ROW()-1-'02_Eingaben'!$C$17)):INDEX($E$2:$E$3001,MIN('02_Eingaben'!$C$21,ROW()-1+'02_Eingaben'!$C$17))))</f>
        <v/>
      </c>
      <c r="G647" s="17" t="str">
        <f>IF(F647="","",F647-'02_Eingaben'!$C$10)</f>
        <v/>
      </c>
      <c r="H647" t="str">
        <f>IF(F647="","",IF(F647&lt;'02_Eingaben'!$C$18*'02_Eingaben'!$C$10,1,0))</f>
        <v/>
      </c>
      <c r="I647" s="17" t="str">
        <f t="shared" si="10"/>
        <v/>
      </c>
      <c r="J647" s="17" t="str">
        <f>IF(B647="","",IF(B646&lt;'02_Eingaben'!$C$36,0,J646+I646/'02_Eingaben'!$C$8))</f>
        <v/>
      </c>
    </row>
    <row r="648" spans="1:10" x14ac:dyDescent="0.25">
      <c r="A648" t="str">
        <f>IF('01_Rohdaten'!A648="","",ROW()-1)</f>
        <v/>
      </c>
      <c r="B648" s="17" t="str">
        <f>IF('01_Rohdaten'!A648="","",'01_Rohdaten'!A648)</f>
        <v/>
      </c>
      <c r="C648" s="17" t="str">
        <f>IF(B648="","",INDEX('01_Rohdaten'!B648:D648,'02_Eingaben'!$C$13))</f>
        <v/>
      </c>
      <c r="D648" s="17" t="str">
        <f>IF(C648="","",C648*'02_Eingaben'!$C$15)</f>
        <v/>
      </c>
      <c r="E648" s="17" t="str">
        <f>IF(D648="","",D648*'02_Eingaben'!$C$8)</f>
        <v/>
      </c>
      <c r="F648" s="17" t="str">
        <f>IF(E648="","",AVERAGE(INDEX($E$2:$E$3001,MAX(1,ROW()-1-'02_Eingaben'!$C$17)):INDEX($E$2:$E$3001,MIN('02_Eingaben'!$C$21,ROW()-1+'02_Eingaben'!$C$17))))</f>
        <v/>
      </c>
      <c r="G648" s="17" t="str">
        <f>IF(F648="","",F648-'02_Eingaben'!$C$10)</f>
        <v/>
      </c>
      <c r="H648" t="str">
        <f>IF(F648="","",IF(F648&lt;'02_Eingaben'!$C$18*'02_Eingaben'!$C$10,1,0))</f>
        <v/>
      </c>
      <c r="I648" s="17" t="str">
        <f t="shared" si="10"/>
        <v/>
      </c>
      <c r="J648" s="17" t="str">
        <f>IF(B648="","",IF(B647&lt;'02_Eingaben'!$C$36,0,J647+I647/'02_Eingaben'!$C$8))</f>
        <v/>
      </c>
    </row>
    <row r="649" spans="1:10" x14ac:dyDescent="0.25">
      <c r="A649" t="str">
        <f>IF('01_Rohdaten'!A649="","",ROW()-1)</f>
        <v/>
      </c>
      <c r="B649" s="17" t="str">
        <f>IF('01_Rohdaten'!A649="","",'01_Rohdaten'!A649)</f>
        <v/>
      </c>
      <c r="C649" s="17" t="str">
        <f>IF(B649="","",INDEX('01_Rohdaten'!B649:D649,'02_Eingaben'!$C$13))</f>
        <v/>
      </c>
      <c r="D649" s="17" t="str">
        <f>IF(C649="","",C649*'02_Eingaben'!$C$15)</f>
        <v/>
      </c>
      <c r="E649" s="17" t="str">
        <f>IF(D649="","",D649*'02_Eingaben'!$C$8)</f>
        <v/>
      </c>
      <c r="F649" s="17" t="str">
        <f>IF(E649="","",AVERAGE(INDEX($E$2:$E$3001,MAX(1,ROW()-1-'02_Eingaben'!$C$17)):INDEX($E$2:$E$3001,MIN('02_Eingaben'!$C$21,ROW()-1+'02_Eingaben'!$C$17))))</f>
        <v/>
      </c>
      <c r="G649" s="17" t="str">
        <f>IF(F649="","",F649-'02_Eingaben'!$C$10)</f>
        <v/>
      </c>
      <c r="H649" t="str">
        <f>IF(F649="","",IF(F649&lt;'02_Eingaben'!$C$18*'02_Eingaben'!$C$10,1,0))</f>
        <v/>
      </c>
      <c r="I649" s="17" t="str">
        <f t="shared" si="10"/>
        <v/>
      </c>
      <c r="J649" s="17" t="str">
        <f>IF(B649="","",IF(B648&lt;'02_Eingaben'!$C$36,0,J648+I648/'02_Eingaben'!$C$8))</f>
        <v/>
      </c>
    </row>
    <row r="650" spans="1:10" x14ac:dyDescent="0.25">
      <c r="A650" t="str">
        <f>IF('01_Rohdaten'!A650="","",ROW()-1)</f>
        <v/>
      </c>
      <c r="B650" s="17" t="str">
        <f>IF('01_Rohdaten'!A650="","",'01_Rohdaten'!A650)</f>
        <v/>
      </c>
      <c r="C650" s="17" t="str">
        <f>IF(B650="","",INDEX('01_Rohdaten'!B650:D650,'02_Eingaben'!$C$13))</f>
        <v/>
      </c>
      <c r="D650" s="17" t="str">
        <f>IF(C650="","",C650*'02_Eingaben'!$C$15)</f>
        <v/>
      </c>
      <c r="E650" s="17" t="str">
        <f>IF(D650="","",D650*'02_Eingaben'!$C$8)</f>
        <v/>
      </c>
      <c r="F650" s="17" t="str">
        <f>IF(E650="","",AVERAGE(INDEX($E$2:$E$3001,MAX(1,ROW()-1-'02_Eingaben'!$C$17)):INDEX($E$2:$E$3001,MIN('02_Eingaben'!$C$21,ROW()-1+'02_Eingaben'!$C$17))))</f>
        <v/>
      </c>
      <c r="G650" s="17" t="str">
        <f>IF(F650="","",F650-'02_Eingaben'!$C$10)</f>
        <v/>
      </c>
      <c r="H650" t="str">
        <f>IF(F650="","",IF(F650&lt;'02_Eingaben'!$C$18*'02_Eingaben'!$C$10,1,0))</f>
        <v/>
      </c>
      <c r="I650" s="17" t="str">
        <f t="shared" si="10"/>
        <v/>
      </c>
      <c r="J650" s="17" t="str">
        <f>IF(B650="","",IF(B649&lt;'02_Eingaben'!$C$36,0,J649+I649/'02_Eingaben'!$C$8))</f>
        <v/>
      </c>
    </row>
    <row r="651" spans="1:10" x14ac:dyDescent="0.25">
      <c r="A651" t="str">
        <f>IF('01_Rohdaten'!A651="","",ROW()-1)</f>
        <v/>
      </c>
      <c r="B651" s="17" t="str">
        <f>IF('01_Rohdaten'!A651="","",'01_Rohdaten'!A651)</f>
        <v/>
      </c>
      <c r="C651" s="17" t="str">
        <f>IF(B651="","",INDEX('01_Rohdaten'!B651:D651,'02_Eingaben'!$C$13))</f>
        <v/>
      </c>
      <c r="D651" s="17" t="str">
        <f>IF(C651="","",C651*'02_Eingaben'!$C$15)</f>
        <v/>
      </c>
      <c r="E651" s="17" t="str">
        <f>IF(D651="","",D651*'02_Eingaben'!$C$8)</f>
        <v/>
      </c>
      <c r="F651" s="17" t="str">
        <f>IF(E651="","",AVERAGE(INDEX($E$2:$E$3001,MAX(1,ROW()-1-'02_Eingaben'!$C$17)):INDEX($E$2:$E$3001,MIN('02_Eingaben'!$C$21,ROW()-1+'02_Eingaben'!$C$17))))</f>
        <v/>
      </c>
      <c r="G651" s="17" t="str">
        <f>IF(F651="","",F651-'02_Eingaben'!$C$10)</f>
        <v/>
      </c>
      <c r="H651" t="str">
        <f>IF(F651="","",IF(F651&lt;'02_Eingaben'!$C$18*'02_Eingaben'!$C$10,1,0))</f>
        <v/>
      </c>
      <c r="I651" s="17" t="str">
        <f t="shared" si="10"/>
        <v/>
      </c>
      <c r="J651" s="17" t="str">
        <f>IF(B651="","",IF(B650&lt;'02_Eingaben'!$C$36,0,J650+I650/'02_Eingaben'!$C$8))</f>
        <v/>
      </c>
    </row>
    <row r="652" spans="1:10" x14ac:dyDescent="0.25">
      <c r="A652" t="str">
        <f>IF('01_Rohdaten'!A652="","",ROW()-1)</f>
        <v/>
      </c>
      <c r="B652" s="17" t="str">
        <f>IF('01_Rohdaten'!A652="","",'01_Rohdaten'!A652)</f>
        <v/>
      </c>
      <c r="C652" s="17" t="str">
        <f>IF(B652="","",INDEX('01_Rohdaten'!B652:D652,'02_Eingaben'!$C$13))</f>
        <v/>
      </c>
      <c r="D652" s="17" t="str">
        <f>IF(C652="","",C652*'02_Eingaben'!$C$15)</f>
        <v/>
      </c>
      <c r="E652" s="17" t="str">
        <f>IF(D652="","",D652*'02_Eingaben'!$C$8)</f>
        <v/>
      </c>
      <c r="F652" s="17" t="str">
        <f>IF(E652="","",AVERAGE(INDEX($E$2:$E$3001,MAX(1,ROW()-1-'02_Eingaben'!$C$17)):INDEX($E$2:$E$3001,MIN('02_Eingaben'!$C$21,ROW()-1+'02_Eingaben'!$C$17))))</f>
        <v/>
      </c>
      <c r="G652" s="17" t="str">
        <f>IF(F652="","",F652-'02_Eingaben'!$C$10)</f>
        <v/>
      </c>
      <c r="H652" t="str">
        <f>IF(F652="","",IF(F652&lt;'02_Eingaben'!$C$18*'02_Eingaben'!$C$10,1,0))</f>
        <v/>
      </c>
      <c r="I652" s="17" t="str">
        <f t="shared" si="10"/>
        <v/>
      </c>
      <c r="J652" s="17" t="str">
        <f>IF(B652="","",IF(B651&lt;'02_Eingaben'!$C$36,0,J651+I651/'02_Eingaben'!$C$8))</f>
        <v/>
      </c>
    </row>
    <row r="653" spans="1:10" x14ac:dyDescent="0.25">
      <c r="A653" t="str">
        <f>IF('01_Rohdaten'!A653="","",ROW()-1)</f>
        <v/>
      </c>
      <c r="B653" s="17" t="str">
        <f>IF('01_Rohdaten'!A653="","",'01_Rohdaten'!A653)</f>
        <v/>
      </c>
      <c r="C653" s="17" t="str">
        <f>IF(B653="","",INDEX('01_Rohdaten'!B653:D653,'02_Eingaben'!$C$13))</f>
        <v/>
      </c>
      <c r="D653" s="17" t="str">
        <f>IF(C653="","",C653*'02_Eingaben'!$C$15)</f>
        <v/>
      </c>
      <c r="E653" s="17" t="str">
        <f>IF(D653="","",D653*'02_Eingaben'!$C$8)</f>
        <v/>
      </c>
      <c r="F653" s="17" t="str">
        <f>IF(E653="","",AVERAGE(INDEX($E$2:$E$3001,MAX(1,ROW()-1-'02_Eingaben'!$C$17)):INDEX($E$2:$E$3001,MIN('02_Eingaben'!$C$21,ROW()-1+'02_Eingaben'!$C$17))))</f>
        <v/>
      </c>
      <c r="G653" s="17" t="str">
        <f>IF(F653="","",F653-'02_Eingaben'!$C$10)</f>
        <v/>
      </c>
      <c r="H653" t="str">
        <f>IF(F653="","",IF(F653&lt;'02_Eingaben'!$C$18*'02_Eingaben'!$C$10,1,0))</f>
        <v/>
      </c>
      <c r="I653" s="17" t="str">
        <f t="shared" si="10"/>
        <v/>
      </c>
      <c r="J653" s="17" t="str">
        <f>IF(B653="","",IF(B652&lt;'02_Eingaben'!$C$36,0,J652+I652/'02_Eingaben'!$C$8))</f>
        <v/>
      </c>
    </row>
    <row r="654" spans="1:10" x14ac:dyDescent="0.25">
      <c r="A654" t="str">
        <f>IF('01_Rohdaten'!A654="","",ROW()-1)</f>
        <v/>
      </c>
      <c r="B654" s="17" t="str">
        <f>IF('01_Rohdaten'!A654="","",'01_Rohdaten'!A654)</f>
        <v/>
      </c>
      <c r="C654" s="17" t="str">
        <f>IF(B654="","",INDEX('01_Rohdaten'!B654:D654,'02_Eingaben'!$C$13))</f>
        <v/>
      </c>
      <c r="D654" s="17" t="str">
        <f>IF(C654="","",C654*'02_Eingaben'!$C$15)</f>
        <v/>
      </c>
      <c r="E654" s="17" t="str">
        <f>IF(D654="","",D654*'02_Eingaben'!$C$8)</f>
        <v/>
      </c>
      <c r="F654" s="17" t="str">
        <f>IF(E654="","",AVERAGE(INDEX($E$2:$E$3001,MAX(1,ROW()-1-'02_Eingaben'!$C$17)):INDEX($E$2:$E$3001,MIN('02_Eingaben'!$C$21,ROW()-1+'02_Eingaben'!$C$17))))</f>
        <v/>
      </c>
      <c r="G654" s="17" t="str">
        <f>IF(F654="","",F654-'02_Eingaben'!$C$10)</f>
        <v/>
      </c>
      <c r="H654" t="str">
        <f>IF(F654="","",IF(F654&lt;'02_Eingaben'!$C$18*'02_Eingaben'!$C$10,1,0))</f>
        <v/>
      </c>
      <c r="I654" s="17" t="str">
        <f t="shared" si="10"/>
        <v/>
      </c>
      <c r="J654" s="17" t="str">
        <f>IF(B654="","",IF(B653&lt;'02_Eingaben'!$C$36,0,J653+I653/'02_Eingaben'!$C$8))</f>
        <v/>
      </c>
    </row>
    <row r="655" spans="1:10" x14ac:dyDescent="0.25">
      <c r="A655" t="str">
        <f>IF('01_Rohdaten'!A655="","",ROW()-1)</f>
        <v/>
      </c>
      <c r="B655" s="17" t="str">
        <f>IF('01_Rohdaten'!A655="","",'01_Rohdaten'!A655)</f>
        <v/>
      </c>
      <c r="C655" s="17" t="str">
        <f>IF(B655="","",INDEX('01_Rohdaten'!B655:D655,'02_Eingaben'!$C$13))</f>
        <v/>
      </c>
      <c r="D655" s="17" t="str">
        <f>IF(C655="","",C655*'02_Eingaben'!$C$15)</f>
        <v/>
      </c>
      <c r="E655" s="17" t="str">
        <f>IF(D655="","",D655*'02_Eingaben'!$C$8)</f>
        <v/>
      </c>
      <c r="F655" s="17" t="str">
        <f>IF(E655="","",AVERAGE(INDEX($E$2:$E$3001,MAX(1,ROW()-1-'02_Eingaben'!$C$17)):INDEX($E$2:$E$3001,MIN('02_Eingaben'!$C$21,ROW()-1+'02_Eingaben'!$C$17))))</f>
        <v/>
      </c>
      <c r="G655" s="17" t="str">
        <f>IF(F655="","",F655-'02_Eingaben'!$C$10)</f>
        <v/>
      </c>
      <c r="H655" t="str">
        <f>IF(F655="","",IF(F655&lt;'02_Eingaben'!$C$18*'02_Eingaben'!$C$10,1,0))</f>
        <v/>
      </c>
      <c r="I655" s="17" t="str">
        <f t="shared" si="10"/>
        <v/>
      </c>
      <c r="J655" s="17" t="str">
        <f>IF(B655="","",IF(B654&lt;'02_Eingaben'!$C$36,0,J654+I654/'02_Eingaben'!$C$8))</f>
        <v/>
      </c>
    </row>
    <row r="656" spans="1:10" x14ac:dyDescent="0.25">
      <c r="A656" t="str">
        <f>IF('01_Rohdaten'!A656="","",ROW()-1)</f>
        <v/>
      </c>
      <c r="B656" s="17" t="str">
        <f>IF('01_Rohdaten'!A656="","",'01_Rohdaten'!A656)</f>
        <v/>
      </c>
      <c r="C656" s="17" t="str">
        <f>IF(B656="","",INDEX('01_Rohdaten'!B656:D656,'02_Eingaben'!$C$13))</f>
        <v/>
      </c>
      <c r="D656" s="17" t="str">
        <f>IF(C656="","",C656*'02_Eingaben'!$C$15)</f>
        <v/>
      </c>
      <c r="E656" s="17" t="str">
        <f>IF(D656="","",D656*'02_Eingaben'!$C$8)</f>
        <v/>
      </c>
      <c r="F656" s="17" t="str">
        <f>IF(E656="","",AVERAGE(INDEX($E$2:$E$3001,MAX(1,ROW()-1-'02_Eingaben'!$C$17)):INDEX($E$2:$E$3001,MIN('02_Eingaben'!$C$21,ROW()-1+'02_Eingaben'!$C$17))))</f>
        <v/>
      </c>
      <c r="G656" s="17" t="str">
        <f>IF(F656="","",F656-'02_Eingaben'!$C$10)</f>
        <v/>
      </c>
      <c r="H656" t="str">
        <f>IF(F656="","",IF(F656&lt;'02_Eingaben'!$C$18*'02_Eingaben'!$C$10,1,0))</f>
        <v/>
      </c>
      <c r="I656" s="17" t="str">
        <f t="shared" si="10"/>
        <v/>
      </c>
      <c r="J656" s="17" t="str">
        <f>IF(B656="","",IF(B655&lt;'02_Eingaben'!$C$36,0,J655+I655/'02_Eingaben'!$C$8))</f>
        <v/>
      </c>
    </row>
    <row r="657" spans="1:10" x14ac:dyDescent="0.25">
      <c r="A657" t="str">
        <f>IF('01_Rohdaten'!A657="","",ROW()-1)</f>
        <v/>
      </c>
      <c r="B657" s="17" t="str">
        <f>IF('01_Rohdaten'!A657="","",'01_Rohdaten'!A657)</f>
        <v/>
      </c>
      <c r="C657" s="17" t="str">
        <f>IF(B657="","",INDEX('01_Rohdaten'!B657:D657,'02_Eingaben'!$C$13))</f>
        <v/>
      </c>
      <c r="D657" s="17" t="str">
        <f>IF(C657="","",C657*'02_Eingaben'!$C$15)</f>
        <v/>
      </c>
      <c r="E657" s="17" t="str">
        <f>IF(D657="","",D657*'02_Eingaben'!$C$8)</f>
        <v/>
      </c>
      <c r="F657" s="17" t="str">
        <f>IF(E657="","",AVERAGE(INDEX($E$2:$E$3001,MAX(1,ROW()-1-'02_Eingaben'!$C$17)):INDEX($E$2:$E$3001,MIN('02_Eingaben'!$C$21,ROW()-1+'02_Eingaben'!$C$17))))</f>
        <v/>
      </c>
      <c r="G657" s="17" t="str">
        <f>IF(F657="","",F657-'02_Eingaben'!$C$10)</f>
        <v/>
      </c>
      <c r="H657" t="str">
        <f>IF(F657="","",IF(F657&lt;'02_Eingaben'!$C$18*'02_Eingaben'!$C$10,1,0))</f>
        <v/>
      </c>
      <c r="I657" s="17" t="str">
        <f t="shared" si="10"/>
        <v/>
      </c>
      <c r="J657" s="17" t="str">
        <f>IF(B657="","",IF(B656&lt;'02_Eingaben'!$C$36,0,J656+I656/'02_Eingaben'!$C$8))</f>
        <v/>
      </c>
    </row>
    <row r="658" spans="1:10" x14ac:dyDescent="0.25">
      <c r="A658" t="str">
        <f>IF('01_Rohdaten'!A658="","",ROW()-1)</f>
        <v/>
      </c>
      <c r="B658" s="17" t="str">
        <f>IF('01_Rohdaten'!A658="","",'01_Rohdaten'!A658)</f>
        <v/>
      </c>
      <c r="C658" s="17" t="str">
        <f>IF(B658="","",INDEX('01_Rohdaten'!B658:D658,'02_Eingaben'!$C$13))</f>
        <v/>
      </c>
      <c r="D658" s="17" t="str">
        <f>IF(C658="","",C658*'02_Eingaben'!$C$15)</f>
        <v/>
      </c>
      <c r="E658" s="17" t="str">
        <f>IF(D658="","",D658*'02_Eingaben'!$C$8)</f>
        <v/>
      </c>
      <c r="F658" s="17" t="str">
        <f>IF(E658="","",AVERAGE(INDEX($E$2:$E$3001,MAX(1,ROW()-1-'02_Eingaben'!$C$17)):INDEX($E$2:$E$3001,MIN('02_Eingaben'!$C$21,ROW()-1+'02_Eingaben'!$C$17))))</f>
        <v/>
      </c>
      <c r="G658" s="17" t="str">
        <f>IF(F658="","",F658-'02_Eingaben'!$C$10)</f>
        <v/>
      </c>
      <c r="H658" t="str">
        <f>IF(F658="","",IF(F658&lt;'02_Eingaben'!$C$18*'02_Eingaben'!$C$10,1,0))</f>
        <v/>
      </c>
      <c r="I658" s="17" t="str">
        <f t="shared" si="10"/>
        <v/>
      </c>
      <c r="J658" s="17" t="str">
        <f>IF(B658="","",IF(B657&lt;'02_Eingaben'!$C$36,0,J657+I657/'02_Eingaben'!$C$8))</f>
        <v/>
      </c>
    </row>
    <row r="659" spans="1:10" x14ac:dyDescent="0.25">
      <c r="A659" t="str">
        <f>IF('01_Rohdaten'!A659="","",ROW()-1)</f>
        <v/>
      </c>
      <c r="B659" s="17" t="str">
        <f>IF('01_Rohdaten'!A659="","",'01_Rohdaten'!A659)</f>
        <v/>
      </c>
      <c r="C659" s="17" t="str">
        <f>IF(B659="","",INDEX('01_Rohdaten'!B659:D659,'02_Eingaben'!$C$13))</f>
        <v/>
      </c>
      <c r="D659" s="17" t="str">
        <f>IF(C659="","",C659*'02_Eingaben'!$C$15)</f>
        <v/>
      </c>
      <c r="E659" s="17" t="str">
        <f>IF(D659="","",D659*'02_Eingaben'!$C$8)</f>
        <v/>
      </c>
      <c r="F659" s="17" t="str">
        <f>IF(E659="","",AVERAGE(INDEX($E$2:$E$3001,MAX(1,ROW()-1-'02_Eingaben'!$C$17)):INDEX($E$2:$E$3001,MIN('02_Eingaben'!$C$21,ROW()-1+'02_Eingaben'!$C$17))))</f>
        <v/>
      </c>
      <c r="G659" s="17" t="str">
        <f>IF(F659="","",F659-'02_Eingaben'!$C$10)</f>
        <v/>
      </c>
      <c r="H659" t="str">
        <f>IF(F659="","",IF(F659&lt;'02_Eingaben'!$C$18*'02_Eingaben'!$C$10,1,0))</f>
        <v/>
      </c>
      <c r="I659" s="17" t="str">
        <f t="shared" si="10"/>
        <v/>
      </c>
      <c r="J659" s="17" t="str">
        <f>IF(B659="","",IF(B658&lt;'02_Eingaben'!$C$36,0,J658+I658/'02_Eingaben'!$C$8))</f>
        <v/>
      </c>
    </row>
    <row r="660" spans="1:10" x14ac:dyDescent="0.25">
      <c r="A660" t="str">
        <f>IF('01_Rohdaten'!A660="","",ROW()-1)</f>
        <v/>
      </c>
      <c r="B660" s="17" t="str">
        <f>IF('01_Rohdaten'!A660="","",'01_Rohdaten'!A660)</f>
        <v/>
      </c>
      <c r="C660" s="17" t="str">
        <f>IF(B660="","",INDEX('01_Rohdaten'!B660:D660,'02_Eingaben'!$C$13))</f>
        <v/>
      </c>
      <c r="D660" s="17" t="str">
        <f>IF(C660="","",C660*'02_Eingaben'!$C$15)</f>
        <v/>
      </c>
      <c r="E660" s="17" t="str">
        <f>IF(D660="","",D660*'02_Eingaben'!$C$8)</f>
        <v/>
      </c>
      <c r="F660" s="17" t="str">
        <f>IF(E660="","",AVERAGE(INDEX($E$2:$E$3001,MAX(1,ROW()-1-'02_Eingaben'!$C$17)):INDEX($E$2:$E$3001,MIN('02_Eingaben'!$C$21,ROW()-1+'02_Eingaben'!$C$17))))</f>
        <v/>
      </c>
      <c r="G660" s="17" t="str">
        <f>IF(F660="","",F660-'02_Eingaben'!$C$10)</f>
        <v/>
      </c>
      <c r="H660" t="str">
        <f>IF(F660="","",IF(F660&lt;'02_Eingaben'!$C$18*'02_Eingaben'!$C$10,1,0))</f>
        <v/>
      </c>
      <c r="I660" s="17" t="str">
        <f t="shared" si="10"/>
        <v/>
      </c>
      <c r="J660" s="17" t="str">
        <f>IF(B660="","",IF(B659&lt;'02_Eingaben'!$C$36,0,J659+I659/'02_Eingaben'!$C$8))</f>
        <v/>
      </c>
    </row>
    <row r="661" spans="1:10" x14ac:dyDescent="0.25">
      <c r="A661" t="str">
        <f>IF('01_Rohdaten'!A661="","",ROW()-1)</f>
        <v/>
      </c>
      <c r="B661" s="17" t="str">
        <f>IF('01_Rohdaten'!A661="","",'01_Rohdaten'!A661)</f>
        <v/>
      </c>
      <c r="C661" s="17" t="str">
        <f>IF(B661="","",INDEX('01_Rohdaten'!B661:D661,'02_Eingaben'!$C$13))</f>
        <v/>
      </c>
      <c r="D661" s="17" t="str">
        <f>IF(C661="","",C661*'02_Eingaben'!$C$15)</f>
        <v/>
      </c>
      <c r="E661" s="17" t="str">
        <f>IF(D661="","",D661*'02_Eingaben'!$C$8)</f>
        <v/>
      </c>
      <c r="F661" s="17" t="str">
        <f>IF(E661="","",AVERAGE(INDEX($E$2:$E$3001,MAX(1,ROW()-1-'02_Eingaben'!$C$17)):INDEX($E$2:$E$3001,MIN('02_Eingaben'!$C$21,ROW()-1+'02_Eingaben'!$C$17))))</f>
        <v/>
      </c>
      <c r="G661" s="17" t="str">
        <f>IF(F661="","",F661-'02_Eingaben'!$C$10)</f>
        <v/>
      </c>
      <c r="H661" t="str">
        <f>IF(F661="","",IF(F661&lt;'02_Eingaben'!$C$18*'02_Eingaben'!$C$10,1,0))</f>
        <v/>
      </c>
      <c r="I661" s="17" t="str">
        <f t="shared" si="10"/>
        <v/>
      </c>
      <c r="J661" s="17" t="str">
        <f>IF(B661="","",IF(B660&lt;'02_Eingaben'!$C$36,0,J660+I660/'02_Eingaben'!$C$8))</f>
        <v/>
      </c>
    </row>
    <row r="662" spans="1:10" x14ac:dyDescent="0.25">
      <c r="A662" t="str">
        <f>IF('01_Rohdaten'!A662="","",ROW()-1)</f>
        <v/>
      </c>
      <c r="B662" s="17" t="str">
        <f>IF('01_Rohdaten'!A662="","",'01_Rohdaten'!A662)</f>
        <v/>
      </c>
      <c r="C662" s="17" t="str">
        <f>IF(B662="","",INDEX('01_Rohdaten'!B662:D662,'02_Eingaben'!$C$13))</f>
        <v/>
      </c>
      <c r="D662" s="17" t="str">
        <f>IF(C662="","",C662*'02_Eingaben'!$C$15)</f>
        <v/>
      </c>
      <c r="E662" s="17" t="str">
        <f>IF(D662="","",D662*'02_Eingaben'!$C$8)</f>
        <v/>
      </c>
      <c r="F662" s="17" t="str">
        <f>IF(E662="","",AVERAGE(INDEX($E$2:$E$3001,MAX(1,ROW()-1-'02_Eingaben'!$C$17)):INDEX($E$2:$E$3001,MIN('02_Eingaben'!$C$21,ROW()-1+'02_Eingaben'!$C$17))))</f>
        <v/>
      </c>
      <c r="G662" s="17" t="str">
        <f>IF(F662="","",F662-'02_Eingaben'!$C$10)</f>
        <v/>
      </c>
      <c r="H662" t="str">
        <f>IF(F662="","",IF(F662&lt;'02_Eingaben'!$C$18*'02_Eingaben'!$C$10,1,0))</f>
        <v/>
      </c>
      <c r="I662" s="17" t="str">
        <f t="shared" si="10"/>
        <v/>
      </c>
      <c r="J662" s="17" t="str">
        <f>IF(B662="","",IF(B661&lt;'02_Eingaben'!$C$36,0,J661+I661/'02_Eingaben'!$C$8))</f>
        <v/>
      </c>
    </row>
    <row r="663" spans="1:10" x14ac:dyDescent="0.25">
      <c r="A663" t="str">
        <f>IF('01_Rohdaten'!A663="","",ROW()-1)</f>
        <v/>
      </c>
      <c r="B663" s="17" t="str">
        <f>IF('01_Rohdaten'!A663="","",'01_Rohdaten'!A663)</f>
        <v/>
      </c>
      <c r="C663" s="17" t="str">
        <f>IF(B663="","",INDEX('01_Rohdaten'!B663:D663,'02_Eingaben'!$C$13))</f>
        <v/>
      </c>
      <c r="D663" s="17" t="str">
        <f>IF(C663="","",C663*'02_Eingaben'!$C$15)</f>
        <v/>
      </c>
      <c r="E663" s="17" t="str">
        <f>IF(D663="","",D663*'02_Eingaben'!$C$8)</f>
        <v/>
      </c>
      <c r="F663" s="17" t="str">
        <f>IF(E663="","",AVERAGE(INDEX($E$2:$E$3001,MAX(1,ROW()-1-'02_Eingaben'!$C$17)):INDEX($E$2:$E$3001,MIN('02_Eingaben'!$C$21,ROW()-1+'02_Eingaben'!$C$17))))</f>
        <v/>
      </c>
      <c r="G663" s="17" t="str">
        <f>IF(F663="","",F663-'02_Eingaben'!$C$10)</f>
        <v/>
      </c>
      <c r="H663" t="str">
        <f>IF(F663="","",IF(F663&lt;'02_Eingaben'!$C$18*'02_Eingaben'!$C$10,1,0))</f>
        <v/>
      </c>
      <c r="I663" s="17" t="str">
        <f t="shared" si="10"/>
        <v/>
      </c>
      <c r="J663" s="17" t="str">
        <f>IF(B663="","",IF(B662&lt;'02_Eingaben'!$C$36,0,J662+I662/'02_Eingaben'!$C$8))</f>
        <v/>
      </c>
    </row>
    <row r="664" spans="1:10" x14ac:dyDescent="0.25">
      <c r="A664" t="str">
        <f>IF('01_Rohdaten'!A664="","",ROW()-1)</f>
        <v/>
      </c>
      <c r="B664" s="17" t="str">
        <f>IF('01_Rohdaten'!A664="","",'01_Rohdaten'!A664)</f>
        <v/>
      </c>
      <c r="C664" s="17" t="str">
        <f>IF(B664="","",INDEX('01_Rohdaten'!B664:D664,'02_Eingaben'!$C$13))</f>
        <v/>
      </c>
      <c r="D664" s="17" t="str">
        <f>IF(C664="","",C664*'02_Eingaben'!$C$15)</f>
        <v/>
      </c>
      <c r="E664" s="17" t="str">
        <f>IF(D664="","",D664*'02_Eingaben'!$C$8)</f>
        <v/>
      </c>
      <c r="F664" s="17" t="str">
        <f>IF(E664="","",AVERAGE(INDEX($E$2:$E$3001,MAX(1,ROW()-1-'02_Eingaben'!$C$17)):INDEX($E$2:$E$3001,MIN('02_Eingaben'!$C$21,ROW()-1+'02_Eingaben'!$C$17))))</f>
        <v/>
      </c>
      <c r="G664" s="17" t="str">
        <f>IF(F664="","",F664-'02_Eingaben'!$C$10)</f>
        <v/>
      </c>
      <c r="H664" t="str">
        <f>IF(F664="","",IF(F664&lt;'02_Eingaben'!$C$18*'02_Eingaben'!$C$10,1,0))</f>
        <v/>
      </c>
      <c r="I664" s="17" t="str">
        <f t="shared" si="10"/>
        <v/>
      </c>
      <c r="J664" s="17" t="str">
        <f>IF(B664="","",IF(B663&lt;'02_Eingaben'!$C$36,0,J663+I663/'02_Eingaben'!$C$8))</f>
        <v/>
      </c>
    </row>
    <row r="665" spans="1:10" x14ac:dyDescent="0.25">
      <c r="A665" t="str">
        <f>IF('01_Rohdaten'!A665="","",ROW()-1)</f>
        <v/>
      </c>
      <c r="B665" s="17" t="str">
        <f>IF('01_Rohdaten'!A665="","",'01_Rohdaten'!A665)</f>
        <v/>
      </c>
      <c r="C665" s="17" t="str">
        <f>IF(B665="","",INDEX('01_Rohdaten'!B665:D665,'02_Eingaben'!$C$13))</f>
        <v/>
      </c>
      <c r="D665" s="17" t="str">
        <f>IF(C665="","",C665*'02_Eingaben'!$C$15)</f>
        <v/>
      </c>
      <c r="E665" s="17" t="str">
        <f>IF(D665="","",D665*'02_Eingaben'!$C$8)</f>
        <v/>
      </c>
      <c r="F665" s="17" t="str">
        <f>IF(E665="","",AVERAGE(INDEX($E$2:$E$3001,MAX(1,ROW()-1-'02_Eingaben'!$C$17)):INDEX($E$2:$E$3001,MIN('02_Eingaben'!$C$21,ROW()-1+'02_Eingaben'!$C$17))))</f>
        <v/>
      </c>
      <c r="G665" s="17" t="str">
        <f>IF(F665="","",F665-'02_Eingaben'!$C$10)</f>
        <v/>
      </c>
      <c r="H665" t="str">
        <f>IF(F665="","",IF(F665&lt;'02_Eingaben'!$C$18*'02_Eingaben'!$C$10,1,0))</f>
        <v/>
      </c>
      <c r="I665" s="17" t="str">
        <f t="shared" si="10"/>
        <v/>
      </c>
      <c r="J665" s="17" t="str">
        <f>IF(B665="","",IF(B664&lt;'02_Eingaben'!$C$36,0,J664+I664/'02_Eingaben'!$C$8))</f>
        <v/>
      </c>
    </row>
    <row r="666" spans="1:10" x14ac:dyDescent="0.25">
      <c r="A666" t="str">
        <f>IF('01_Rohdaten'!A666="","",ROW()-1)</f>
        <v/>
      </c>
      <c r="B666" s="17" t="str">
        <f>IF('01_Rohdaten'!A666="","",'01_Rohdaten'!A666)</f>
        <v/>
      </c>
      <c r="C666" s="17" t="str">
        <f>IF(B666="","",INDEX('01_Rohdaten'!B666:D666,'02_Eingaben'!$C$13))</f>
        <v/>
      </c>
      <c r="D666" s="17" t="str">
        <f>IF(C666="","",C666*'02_Eingaben'!$C$15)</f>
        <v/>
      </c>
      <c r="E666" s="17" t="str">
        <f>IF(D666="","",D666*'02_Eingaben'!$C$8)</f>
        <v/>
      </c>
      <c r="F666" s="17" t="str">
        <f>IF(E666="","",AVERAGE(INDEX($E$2:$E$3001,MAX(1,ROW()-1-'02_Eingaben'!$C$17)):INDEX($E$2:$E$3001,MIN('02_Eingaben'!$C$21,ROW()-1+'02_Eingaben'!$C$17))))</f>
        <v/>
      </c>
      <c r="G666" s="17" t="str">
        <f>IF(F666="","",F666-'02_Eingaben'!$C$10)</f>
        <v/>
      </c>
      <c r="H666" t="str">
        <f>IF(F666="","",IF(F666&lt;'02_Eingaben'!$C$18*'02_Eingaben'!$C$10,1,0))</f>
        <v/>
      </c>
      <c r="I666" s="17" t="str">
        <f t="shared" si="10"/>
        <v/>
      </c>
      <c r="J666" s="17" t="str">
        <f>IF(B666="","",IF(B665&lt;'02_Eingaben'!$C$36,0,J665+I665/'02_Eingaben'!$C$8))</f>
        <v/>
      </c>
    </row>
    <row r="667" spans="1:10" x14ac:dyDescent="0.25">
      <c r="A667" t="str">
        <f>IF('01_Rohdaten'!A667="","",ROW()-1)</f>
        <v/>
      </c>
      <c r="B667" s="17" t="str">
        <f>IF('01_Rohdaten'!A667="","",'01_Rohdaten'!A667)</f>
        <v/>
      </c>
      <c r="C667" s="17" t="str">
        <f>IF(B667="","",INDEX('01_Rohdaten'!B667:D667,'02_Eingaben'!$C$13))</f>
        <v/>
      </c>
      <c r="D667" s="17" t="str">
        <f>IF(C667="","",C667*'02_Eingaben'!$C$15)</f>
        <v/>
      </c>
      <c r="E667" s="17" t="str">
        <f>IF(D667="","",D667*'02_Eingaben'!$C$8)</f>
        <v/>
      </c>
      <c r="F667" s="17" t="str">
        <f>IF(E667="","",AVERAGE(INDEX($E$2:$E$3001,MAX(1,ROW()-1-'02_Eingaben'!$C$17)):INDEX($E$2:$E$3001,MIN('02_Eingaben'!$C$21,ROW()-1+'02_Eingaben'!$C$17))))</f>
        <v/>
      </c>
      <c r="G667" s="17" t="str">
        <f>IF(F667="","",F667-'02_Eingaben'!$C$10)</f>
        <v/>
      </c>
      <c r="H667" t="str">
        <f>IF(F667="","",IF(F667&lt;'02_Eingaben'!$C$18*'02_Eingaben'!$C$10,1,0))</f>
        <v/>
      </c>
      <c r="I667" s="17" t="str">
        <f t="shared" si="10"/>
        <v/>
      </c>
      <c r="J667" s="17" t="str">
        <f>IF(B667="","",IF(B666&lt;'02_Eingaben'!$C$36,0,J666+I666/'02_Eingaben'!$C$8))</f>
        <v/>
      </c>
    </row>
    <row r="668" spans="1:10" x14ac:dyDescent="0.25">
      <c r="A668" t="str">
        <f>IF('01_Rohdaten'!A668="","",ROW()-1)</f>
        <v/>
      </c>
      <c r="B668" s="17" t="str">
        <f>IF('01_Rohdaten'!A668="","",'01_Rohdaten'!A668)</f>
        <v/>
      </c>
      <c r="C668" s="17" t="str">
        <f>IF(B668="","",INDEX('01_Rohdaten'!B668:D668,'02_Eingaben'!$C$13))</f>
        <v/>
      </c>
      <c r="D668" s="17" t="str">
        <f>IF(C668="","",C668*'02_Eingaben'!$C$15)</f>
        <v/>
      </c>
      <c r="E668" s="17" t="str">
        <f>IF(D668="","",D668*'02_Eingaben'!$C$8)</f>
        <v/>
      </c>
      <c r="F668" s="17" t="str">
        <f>IF(E668="","",AVERAGE(INDEX($E$2:$E$3001,MAX(1,ROW()-1-'02_Eingaben'!$C$17)):INDEX($E$2:$E$3001,MIN('02_Eingaben'!$C$21,ROW()-1+'02_Eingaben'!$C$17))))</f>
        <v/>
      </c>
      <c r="G668" s="17" t="str">
        <f>IF(F668="","",F668-'02_Eingaben'!$C$10)</f>
        <v/>
      </c>
      <c r="H668" t="str">
        <f>IF(F668="","",IF(F668&lt;'02_Eingaben'!$C$18*'02_Eingaben'!$C$10,1,0))</f>
        <v/>
      </c>
      <c r="I668" s="17" t="str">
        <f t="shared" si="10"/>
        <v/>
      </c>
      <c r="J668" s="17" t="str">
        <f>IF(B668="","",IF(B667&lt;'02_Eingaben'!$C$36,0,J667+I667/'02_Eingaben'!$C$8))</f>
        <v/>
      </c>
    </row>
    <row r="669" spans="1:10" x14ac:dyDescent="0.25">
      <c r="A669" t="str">
        <f>IF('01_Rohdaten'!A669="","",ROW()-1)</f>
        <v/>
      </c>
      <c r="B669" s="17" t="str">
        <f>IF('01_Rohdaten'!A669="","",'01_Rohdaten'!A669)</f>
        <v/>
      </c>
      <c r="C669" s="17" t="str">
        <f>IF(B669="","",INDEX('01_Rohdaten'!B669:D669,'02_Eingaben'!$C$13))</f>
        <v/>
      </c>
      <c r="D669" s="17" t="str">
        <f>IF(C669="","",C669*'02_Eingaben'!$C$15)</f>
        <v/>
      </c>
      <c r="E669" s="17" t="str">
        <f>IF(D669="","",D669*'02_Eingaben'!$C$8)</f>
        <v/>
      </c>
      <c r="F669" s="17" t="str">
        <f>IF(E669="","",AVERAGE(INDEX($E$2:$E$3001,MAX(1,ROW()-1-'02_Eingaben'!$C$17)):INDEX($E$2:$E$3001,MIN('02_Eingaben'!$C$21,ROW()-1+'02_Eingaben'!$C$17))))</f>
        <v/>
      </c>
      <c r="G669" s="17" t="str">
        <f>IF(F669="","",F669-'02_Eingaben'!$C$10)</f>
        <v/>
      </c>
      <c r="H669" t="str">
        <f>IF(F669="","",IF(F669&lt;'02_Eingaben'!$C$18*'02_Eingaben'!$C$10,1,0))</f>
        <v/>
      </c>
      <c r="I669" s="17" t="str">
        <f t="shared" si="10"/>
        <v/>
      </c>
      <c r="J669" s="17" t="str">
        <f>IF(B669="","",IF(B668&lt;'02_Eingaben'!$C$36,0,J668+I668/'02_Eingaben'!$C$8))</f>
        <v/>
      </c>
    </row>
    <row r="670" spans="1:10" x14ac:dyDescent="0.25">
      <c r="A670" t="str">
        <f>IF('01_Rohdaten'!A670="","",ROW()-1)</f>
        <v/>
      </c>
      <c r="B670" s="17" t="str">
        <f>IF('01_Rohdaten'!A670="","",'01_Rohdaten'!A670)</f>
        <v/>
      </c>
      <c r="C670" s="17" t="str">
        <f>IF(B670="","",INDEX('01_Rohdaten'!B670:D670,'02_Eingaben'!$C$13))</f>
        <v/>
      </c>
      <c r="D670" s="17" t="str">
        <f>IF(C670="","",C670*'02_Eingaben'!$C$15)</f>
        <v/>
      </c>
      <c r="E670" s="17" t="str">
        <f>IF(D670="","",D670*'02_Eingaben'!$C$8)</f>
        <v/>
      </c>
      <c r="F670" s="17" t="str">
        <f>IF(E670="","",AVERAGE(INDEX($E$2:$E$3001,MAX(1,ROW()-1-'02_Eingaben'!$C$17)):INDEX($E$2:$E$3001,MIN('02_Eingaben'!$C$21,ROW()-1+'02_Eingaben'!$C$17))))</f>
        <v/>
      </c>
      <c r="G670" s="17" t="str">
        <f>IF(F670="","",F670-'02_Eingaben'!$C$10)</f>
        <v/>
      </c>
      <c r="H670" t="str">
        <f>IF(F670="","",IF(F670&lt;'02_Eingaben'!$C$18*'02_Eingaben'!$C$10,1,0))</f>
        <v/>
      </c>
      <c r="I670" s="17" t="str">
        <f t="shared" si="10"/>
        <v/>
      </c>
      <c r="J670" s="17" t="str">
        <f>IF(B670="","",IF(B669&lt;'02_Eingaben'!$C$36,0,J669+I669/'02_Eingaben'!$C$8))</f>
        <v/>
      </c>
    </row>
    <row r="671" spans="1:10" x14ac:dyDescent="0.25">
      <c r="A671" t="str">
        <f>IF('01_Rohdaten'!A671="","",ROW()-1)</f>
        <v/>
      </c>
      <c r="B671" s="17" t="str">
        <f>IF('01_Rohdaten'!A671="","",'01_Rohdaten'!A671)</f>
        <v/>
      </c>
      <c r="C671" s="17" t="str">
        <f>IF(B671="","",INDEX('01_Rohdaten'!B671:D671,'02_Eingaben'!$C$13))</f>
        <v/>
      </c>
      <c r="D671" s="17" t="str">
        <f>IF(C671="","",C671*'02_Eingaben'!$C$15)</f>
        <v/>
      </c>
      <c r="E671" s="17" t="str">
        <f>IF(D671="","",D671*'02_Eingaben'!$C$8)</f>
        <v/>
      </c>
      <c r="F671" s="17" t="str">
        <f>IF(E671="","",AVERAGE(INDEX($E$2:$E$3001,MAX(1,ROW()-1-'02_Eingaben'!$C$17)):INDEX($E$2:$E$3001,MIN('02_Eingaben'!$C$21,ROW()-1+'02_Eingaben'!$C$17))))</f>
        <v/>
      </c>
      <c r="G671" s="17" t="str">
        <f>IF(F671="","",F671-'02_Eingaben'!$C$10)</f>
        <v/>
      </c>
      <c r="H671" t="str">
        <f>IF(F671="","",IF(F671&lt;'02_Eingaben'!$C$18*'02_Eingaben'!$C$10,1,0))</f>
        <v/>
      </c>
      <c r="I671" s="17" t="str">
        <f t="shared" si="10"/>
        <v/>
      </c>
      <c r="J671" s="17" t="str">
        <f>IF(B671="","",IF(B670&lt;'02_Eingaben'!$C$36,0,J670+I670/'02_Eingaben'!$C$8))</f>
        <v/>
      </c>
    </row>
    <row r="672" spans="1:10" x14ac:dyDescent="0.25">
      <c r="A672" t="str">
        <f>IF('01_Rohdaten'!A672="","",ROW()-1)</f>
        <v/>
      </c>
      <c r="B672" s="17" t="str">
        <f>IF('01_Rohdaten'!A672="","",'01_Rohdaten'!A672)</f>
        <v/>
      </c>
      <c r="C672" s="17" t="str">
        <f>IF(B672="","",INDEX('01_Rohdaten'!B672:D672,'02_Eingaben'!$C$13))</f>
        <v/>
      </c>
      <c r="D672" s="17" t="str">
        <f>IF(C672="","",C672*'02_Eingaben'!$C$15)</f>
        <v/>
      </c>
      <c r="E672" s="17" t="str">
        <f>IF(D672="","",D672*'02_Eingaben'!$C$8)</f>
        <v/>
      </c>
      <c r="F672" s="17" t="str">
        <f>IF(E672="","",AVERAGE(INDEX($E$2:$E$3001,MAX(1,ROW()-1-'02_Eingaben'!$C$17)):INDEX($E$2:$E$3001,MIN('02_Eingaben'!$C$21,ROW()-1+'02_Eingaben'!$C$17))))</f>
        <v/>
      </c>
      <c r="G672" s="17" t="str">
        <f>IF(F672="","",F672-'02_Eingaben'!$C$10)</f>
        <v/>
      </c>
      <c r="H672" t="str">
        <f>IF(F672="","",IF(F672&lt;'02_Eingaben'!$C$18*'02_Eingaben'!$C$10,1,0))</f>
        <v/>
      </c>
      <c r="I672" s="17" t="str">
        <f t="shared" si="10"/>
        <v/>
      </c>
      <c r="J672" s="17" t="str">
        <f>IF(B672="","",IF(B671&lt;'02_Eingaben'!$C$36,0,J671+I671/'02_Eingaben'!$C$8))</f>
        <v/>
      </c>
    </row>
    <row r="673" spans="1:10" x14ac:dyDescent="0.25">
      <c r="A673" t="str">
        <f>IF('01_Rohdaten'!A673="","",ROW()-1)</f>
        <v/>
      </c>
      <c r="B673" s="17" t="str">
        <f>IF('01_Rohdaten'!A673="","",'01_Rohdaten'!A673)</f>
        <v/>
      </c>
      <c r="C673" s="17" t="str">
        <f>IF(B673="","",INDEX('01_Rohdaten'!B673:D673,'02_Eingaben'!$C$13))</f>
        <v/>
      </c>
      <c r="D673" s="17" t="str">
        <f>IF(C673="","",C673*'02_Eingaben'!$C$15)</f>
        <v/>
      </c>
      <c r="E673" s="17" t="str">
        <f>IF(D673="","",D673*'02_Eingaben'!$C$8)</f>
        <v/>
      </c>
      <c r="F673" s="17" t="str">
        <f>IF(E673="","",AVERAGE(INDEX($E$2:$E$3001,MAX(1,ROW()-1-'02_Eingaben'!$C$17)):INDEX($E$2:$E$3001,MIN('02_Eingaben'!$C$21,ROW()-1+'02_Eingaben'!$C$17))))</f>
        <v/>
      </c>
      <c r="G673" s="17" t="str">
        <f>IF(F673="","",F673-'02_Eingaben'!$C$10)</f>
        <v/>
      </c>
      <c r="H673" t="str">
        <f>IF(F673="","",IF(F673&lt;'02_Eingaben'!$C$18*'02_Eingaben'!$C$10,1,0))</f>
        <v/>
      </c>
      <c r="I673" s="17" t="str">
        <f t="shared" si="10"/>
        <v/>
      </c>
      <c r="J673" s="17" t="str">
        <f>IF(B673="","",IF(B672&lt;'02_Eingaben'!$C$36,0,J672+I672/'02_Eingaben'!$C$8))</f>
        <v/>
      </c>
    </row>
    <row r="674" spans="1:10" x14ac:dyDescent="0.25">
      <c r="A674" t="str">
        <f>IF('01_Rohdaten'!A674="","",ROW()-1)</f>
        <v/>
      </c>
      <c r="B674" s="17" t="str">
        <f>IF('01_Rohdaten'!A674="","",'01_Rohdaten'!A674)</f>
        <v/>
      </c>
      <c r="C674" s="17" t="str">
        <f>IF(B674="","",INDEX('01_Rohdaten'!B674:D674,'02_Eingaben'!$C$13))</f>
        <v/>
      </c>
      <c r="D674" s="17" t="str">
        <f>IF(C674="","",C674*'02_Eingaben'!$C$15)</f>
        <v/>
      </c>
      <c r="E674" s="17" t="str">
        <f>IF(D674="","",D674*'02_Eingaben'!$C$8)</f>
        <v/>
      </c>
      <c r="F674" s="17" t="str">
        <f>IF(E674="","",AVERAGE(INDEX($E$2:$E$3001,MAX(1,ROW()-1-'02_Eingaben'!$C$17)):INDEX($E$2:$E$3001,MIN('02_Eingaben'!$C$21,ROW()-1+'02_Eingaben'!$C$17))))</f>
        <v/>
      </c>
      <c r="G674" s="17" t="str">
        <f>IF(F674="","",F674-'02_Eingaben'!$C$10)</f>
        <v/>
      </c>
      <c r="H674" t="str">
        <f>IF(F674="","",IF(F674&lt;'02_Eingaben'!$C$18*'02_Eingaben'!$C$10,1,0))</f>
        <v/>
      </c>
      <c r="I674" s="17" t="str">
        <f t="shared" si="10"/>
        <v/>
      </c>
      <c r="J674" s="17" t="str">
        <f>IF(B674="","",IF(B673&lt;'02_Eingaben'!$C$36,0,J673+I673/'02_Eingaben'!$C$8))</f>
        <v/>
      </c>
    </row>
    <row r="675" spans="1:10" x14ac:dyDescent="0.25">
      <c r="A675" t="str">
        <f>IF('01_Rohdaten'!A675="","",ROW()-1)</f>
        <v/>
      </c>
      <c r="B675" s="17" t="str">
        <f>IF('01_Rohdaten'!A675="","",'01_Rohdaten'!A675)</f>
        <v/>
      </c>
      <c r="C675" s="17" t="str">
        <f>IF(B675="","",INDEX('01_Rohdaten'!B675:D675,'02_Eingaben'!$C$13))</f>
        <v/>
      </c>
      <c r="D675" s="17" t="str">
        <f>IF(C675="","",C675*'02_Eingaben'!$C$15)</f>
        <v/>
      </c>
      <c r="E675" s="17" t="str">
        <f>IF(D675="","",D675*'02_Eingaben'!$C$8)</f>
        <v/>
      </c>
      <c r="F675" s="17" t="str">
        <f>IF(E675="","",AVERAGE(INDEX($E$2:$E$3001,MAX(1,ROW()-1-'02_Eingaben'!$C$17)):INDEX($E$2:$E$3001,MIN('02_Eingaben'!$C$21,ROW()-1+'02_Eingaben'!$C$17))))</f>
        <v/>
      </c>
      <c r="G675" s="17" t="str">
        <f>IF(F675="","",F675-'02_Eingaben'!$C$10)</f>
        <v/>
      </c>
      <c r="H675" t="str">
        <f>IF(F675="","",IF(F675&lt;'02_Eingaben'!$C$18*'02_Eingaben'!$C$10,1,0))</f>
        <v/>
      </c>
      <c r="I675" s="17" t="str">
        <f t="shared" si="10"/>
        <v/>
      </c>
      <c r="J675" s="17" t="str">
        <f>IF(B675="","",IF(B674&lt;'02_Eingaben'!$C$36,0,J674+I674/'02_Eingaben'!$C$8))</f>
        <v/>
      </c>
    </row>
    <row r="676" spans="1:10" x14ac:dyDescent="0.25">
      <c r="A676" t="str">
        <f>IF('01_Rohdaten'!A676="","",ROW()-1)</f>
        <v/>
      </c>
      <c r="B676" s="17" t="str">
        <f>IF('01_Rohdaten'!A676="","",'01_Rohdaten'!A676)</f>
        <v/>
      </c>
      <c r="C676" s="17" t="str">
        <f>IF(B676="","",INDEX('01_Rohdaten'!B676:D676,'02_Eingaben'!$C$13))</f>
        <v/>
      </c>
      <c r="D676" s="17" t="str">
        <f>IF(C676="","",C676*'02_Eingaben'!$C$15)</f>
        <v/>
      </c>
      <c r="E676" s="17" t="str">
        <f>IF(D676="","",D676*'02_Eingaben'!$C$8)</f>
        <v/>
      </c>
      <c r="F676" s="17" t="str">
        <f>IF(E676="","",AVERAGE(INDEX($E$2:$E$3001,MAX(1,ROW()-1-'02_Eingaben'!$C$17)):INDEX($E$2:$E$3001,MIN('02_Eingaben'!$C$21,ROW()-1+'02_Eingaben'!$C$17))))</f>
        <v/>
      </c>
      <c r="G676" s="17" t="str">
        <f>IF(F676="","",F676-'02_Eingaben'!$C$10)</f>
        <v/>
      </c>
      <c r="H676" t="str">
        <f>IF(F676="","",IF(F676&lt;'02_Eingaben'!$C$18*'02_Eingaben'!$C$10,1,0))</f>
        <v/>
      </c>
      <c r="I676" s="17" t="str">
        <f t="shared" si="10"/>
        <v/>
      </c>
      <c r="J676" s="17" t="str">
        <f>IF(B676="","",IF(B675&lt;'02_Eingaben'!$C$36,0,J675+I675/'02_Eingaben'!$C$8))</f>
        <v/>
      </c>
    </row>
    <row r="677" spans="1:10" x14ac:dyDescent="0.25">
      <c r="A677" t="str">
        <f>IF('01_Rohdaten'!A677="","",ROW()-1)</f>
        <v/>
      </c>
      <c r="B677" s="17" t="str">
        <f>IF('01_Rohdaten'!A677="","",'01_Rohdaten'!A677)</f>
        <v/>
      </c>
      <c r="C677" s="17" t="str">
        <f>IF(B677="","",INDEX('01_Rohdaten'!B677:D677,'02_Eingaben'!$C$13))</f>
        <v/>
      </c>
      <c r="D677" s="17" t="str">
        <f>IF(C677="","",C677*'02_Eingaben'!$C$15)</f>
        <v/>
      </c>
      <c r="E677" s="17" t="str">
        <f>IF(D677="","",D677*'02_Eingaben'!$C$8)</f>
        <v/>
      </c>
      <c r="F677" s="17" t="str">
        <f>IF(E677="","",AVERAGE(INDEX($E$2:$E$3001,MAX(1,ROW()-1-'02_Eingaben'!$C$17)):INDEX($E$2:$E$3001,MIN('02_Eingaben'!$C$21,ROW()-1+'02_Eingaben'!$C$17))))</f>
        <v/>
      </c>
      <c r="G677" s="17" t="str">
        <f>IF(F677="","",F677-'02_Eingaben'!$C$10)</f>
        <v/>
      </c>
      <c r="H677" t="str">
        <f>IF(F677="","",IF(F677&lt;'02_Eingaben'!$C$18*'02_Eingaben'!$C$10,1,0))</f>
        <v/>
      </c>
      <c r="I677" s="17" t="str">
        <f t="shared" si="10"/>
        <v/>
      </c>
      <c r="J677" s="17" t="str">
        <f>IF(B677="","",IF(B676&lt;'02_Eingaben'!$C$36,0,J676+I676/'02_Eingaben'!$C$8))</f>
        <v/>
      </c>
    </row>
    <row r="678" spans="1:10" x14ac:dyDescent="0.25">
      <c r="A678" t="str">
        <f>IF('01_Rohdaten'!A678="","",ROW()-1)</f>
        <v/>
      </c>
      <c r="B678" s="17" t="str">
        <f>IF('01_Rohdaten'!A678="","",'01_Rohdaten'!A678)</f>
        <v/>
      </c>
      <c r="C678" s="17" t="str">
        <f>IF(B678="","",INDEX('01_Rohdaten'!B678:D678,'02_Eingaben'!$C$13))</f>
        <v/>
      </c>
      <c r="D678" s="17" t="str">
        <f>IF(C678="","",C678*'02_Eingaben'!$C$15)</f>
        <v/>
      </c>
      <c r="E678" s="17" t="str">
        <f>IF(D678="","",D678*'02_Eingaben'!$C$8)</f>
        <v/>
      </c>
      <c r="F678" s="17" t="str">
        <f>IF(E678="","",AVERAGE(INDEX($E$2:$E$3001,MAX(1,ROW()-1-'02_Eingaben'!$C$17)):INDEX($E$2:$E$3001,MIN('02_Eingaben'!$C$21,ROW()-1+'02_Eingaben'!$C$17))))</f>
        <v/>
      </c>
      <c r="G678" s="17" t="str">
        <f>IF(F678="","",F678-'02_Eingaben'!$C$10)</f>
        <v/>
      </c>
      <c r="H678" t="str">
        <f>IF(F678="","",IF(F678&lt;'02_Eingaben'!$C$18*'02_Eingaben'!$C$10,1,0))</f>
        <v/>
      </c>
      <c r="I678" s="17" t="str">
        <f t="shared" si="10"/>
        <v/>
      </c>
      <c r="J678" s="17" t="str">
        <f>IF(B678="","",IF(B677&lt;'02_Eingaben'!$C$36,0,J677+I677/'02_Eingaben'!$C$8))</f>
        <v/>
      </c>
    </row>
    <row r="679" spans="1:10" x14ac:dyDescent="0.25">
      <c r="A679" t="str">
        <f>IF('01_Rohdaten'!A679="","",ROW()-1)</f>
        <v/>
      </c>
      <c r="B679" s="17" t="str">
        <f>IF('01_Rohdaten'!A679="","",'01_Rohdaten'!A679)</f>
        <v/>
      </c>
      <c r="C679" s="17" t="str">
        <f>IF(B679="","",INDEX('01_Rohdaten'!B679:D679,'02_Eingaben'!$C$13))</f>
        <v/>
      </c>
      <c r="D679" s="17" t="str">
        <f>IF(C679="","",C679*'02_Eingaben'!$C$15)</f>
        <v/>
      </c>
      <c r="E679" s="17" t="str">
        <f>IF(D679="","",D679*'02_Eingaben'!$C$8)</f>
        <v/>
      </c>
      <c r="F679" s="17" t="str">
        <f>IF(E679="","",AVERAGE(INDEX($E$2:$E$3001,MAX(1,ROW()-1-'02_Eingaben'!$C$17)):INDEX($E$2:$E$3001,MIN('02_Eingaben'!$C$21,ROW()-1+'02_Eingaben'!$C$17))))</f>
        <v/>
      </c>
      <c r="G679" s="17" t="str">
        <f>IF(F679="","",F679-'02_Eingaben'!$C$10)</f>
        <v/>
      </c>
      <c r="H679" t="str">
        <f>IF(F679="","",IF(F679&lt;'02_Eingaben'!$C$18*'02_Eingaben'!$C$10,1,0))</f>
        <v/>
      </c>
      <c r="I679" s="17" t="str">
        <f t="shared" si="10"/>
        <v/>
      </c>
      <c r="J679" s="17" t="str">
        <f>IF(B679="","",IF(B678&lt;'02_Eingaben'!$C$36,0,J678+I678/'02_Eingaben'!$C$8))</f>
        <v/>
      </c>
    </row>
    <row r="680" spans="1:10" x14ac:dyDescent="0.25">
      <c r="A680" t="str">
        <f>IF('01_Rohdaten'!A680="","",ROW()-1)</f>
        <v/>
      </c>
      <c r="B680" s="17" t="str">
        <f>IF('01_Rohdaten'!A680="","",'01_Rohdaten'!A680)</f>
        <v/>
      </c>
      <c r="C680" s="17" t="str">
        <f>IF(B680="","",INDEX('01_Rohdaten'!B680:D680,'02_Eingaben'!$C$13))</f>
        <v/>
      </c>
      <c r="D680" s="17" t="str">
        <f>IF(C680="","",C680*'02_Eingaben'!$C$15)</f>
        <v/>
      </c>
      <c r="E680" s="17" t="str">
        <f>IF(D680="","",D680*'02_Eingaben'!$C$8)</f>
        <v/>
      </c>
      <c r="F680" s="17" t="str">
        <f>IF(E680="","",AVERAGE(INDEX($E$2:$E$3001,MAX(1,ROW()-1-'02_Eingaben'!$C$17)):INDEX($E$2:$E$3001,MIN('02_Eingaben'!$C$21,ROW()-1+'02_Eingaben'!$C$17))))</f>
        <v/>
      </c>
      <c r="G680" s="17" t="str">
        <f>IF(F680="","",F680-'02_Eingaben'!$C$10)</f>
        <v/>
      </c>
      <c r="H680" t="str">
        <f>IF(F680="","",IF(F680&lt;'02_Eingaben'!$C$18*'02_Eingaben'!$C$10,1,0))</f>
        <v/>
      </c>
      <c r="I680" s="17" t="str">
        <f t="shared" si="10"/>
        <v/>
      </c>
      <c r="J680" s="17" t="str">
        <f>IF(B680="","",IF(B679&lt;'02_Eingaben'!$C$36,0,J679+I679/'02_Eingaben'!$C$8))</f>
        <v/>
      </c>
    </row>
    <row r="681" spans="1:10" x14ac:dyDescent="0.25">
      <c r="A681" t="str">
        <f>IF('01_Rohdaten'!A681="","",ROW()-1)</f>
        <v/>
      </c>
      <c r="B681" s="17" t="str">
        <f>IF('01_Rohdaten'!A681="","",'01_Rohdaten'!A681)</f>
        <v/>
      </c>
      <c r="C681" s="17" t="str">
        <f>IF(B681="","",INDEX('01_Rohdaten'!B681:D681,'02_Eingaben'!$C$13))</f>
        <v/>
      </c>
      <c r="D681" s="17" t="str">
        <f>IF(C681="","",C681*'02_Eingaben'!$C$15)</f>
        <v/>
      </c>
      <c r="E681" s="17" t="str">
        <f>IF(D681="","",D681*'02_Eingaben'!$C$8)</f>
        <v/>
      </c>
      <c r="F681" s="17" t="str">
        <f>IF(E681="","",AVERAGE(INDEX($E$2:$E$3001,MAX(1,ROW()-1-'02_Eingaben'!$C$17)):INDEX($E$2:$E$3001,MIN('02_Eingaben'!$C$21,ROW()-1+'02_Eingaben'!$C$17))))</f>
        <v/>
      </c>
      <c r="G681" s="17" t="str">
        <f>IF(F681="","",F681-'02_Eingaben'!$C$10)</f>
        <v/>
      </c>
      <c r="H681" t="str">
        <f>IF(F681="","",IF(F681&lt;'02_Eingaben'!$C$18*'02_Eingaben'!$C$10,1,0))</f>
        <v/>
      </c>
      <c r="I681" s="17" t="str">
        <f t="shared" si="10"/>
        <v/>
      </c>
      <c r="J681" s="17" t="str">
        <f>IF(B681="","",IF(B680&lt;'02_Eingaben'!$C$36,0,J680+I680/'02_Eingaben'!$C$8))</f>
        <v/>
      </c>
    </row>
    <row r="682" spans="1:10" x14ac:dyDescent="0.25">
      <c r="A682" t="str">
        <f>IF('01_Rohdaten'!A682="","",ROW()-1)</f>
        <v/>
      </c>
      <c r="B682" s="17" t="str">
        <f>IF('01_Rohdaten'!A682="","",'01_Rohdaten'!A682)</f>
        <v/>
      </c>
      <c r="C682" s="17" t="str">
        <f>IF(B682="","",INDEX('01_Rohdaten'!B682:D682,'02_Eingaben'!$C$13))</f>
        <v/>
      </c>
      <c r="D682" s="17" t="str">
        <f>IF(C682="","",C682*'02_Eingaben'!$C$15)</f>
        <v/>
      </c>
      <c r="E682" s="17" t="str">
        <f>IF(D682="","",D682*'02_Eingaben'!$C$8)</f>
        <v/>
      </c>
      <c r="F682" s="17" t="str">
        <f>IF(E682="","",AVERAGE(INDEX($E$2:$E$3001,MAX(1,ROW()-1-'02_Eingaben'!$C$17)):INDEX($E$2:$E$3001,MIN('02_Eingaben'!$C$21,ROW()-1+'02_Eingaben'!$C$17))))</f>
        <v/>
      </c>
      <c r="G682" s="17" t="str">
        <f>IF(F682="","",F682-'02_Eingaben'!$C$10)</f>
        <v/>
      </c>
      <c r="H682" t="str">
        <f>IF(F682="","",IF(F682&lt;'02_Eingaben'!$C$18*'02_Eingaben'!$C$10,1,0))</f>
        <v/>
      </c>
      <c r="I682" s="17" t="str">
        <f t="shared" si="10"/>
        <v/>
      </c>
      <c r="J682" s="17" t="str">
        <f>IF(B682="","",IF(B681&lt;'02_Eingaben'!$C$36,0,J681+I681/'02_Eingaben'!$C$8))</f>
        <v/>
      </c>
    </row>
    <row r="683" spans="1:10" x14ac:dyDescent="0.25">
      <c r="A683" t="str">
        <f>IF('01_Rohdaten'!A683="","",ROW()-1)</f>
        <v/>
      </c>
      <c r="B683" s="17" t="str">
        <f>IF('01_Rohdaten'!A683="","",'01_Rohdaten'!A683)</f>
        <v/>
      </c>
      <c r="C683" s="17" t="str">
        <f>IF(B683="","",INDEX('01_Rohdaten'!B683:D683,'02_Eingaben'!$C$13))</f>
        <v/>
      </c>
      <c r="D683" s="17" t="str">
        <f>IF(C683="","",C683*'02_Eingaben'!$C$15)</f>
        <v/>
      </c>
      <c r="E683" s="17" t="str">
        <f>IF(D683="","",D683*'02_Eingaben'!$C$8)</f>
        <v/>
      </c>
      <c r="F683" s="17" t="str">
        <f>IF(E683="","",AVERAGE(INDEX($E$2:$E$3001,MAX(1,ROW()-1-'02_Eingaben'!$C$17)):INDEX($E$2:$E$3001,MIN('02_Eingaben'!$C$21,ROW()-1+'02_Eingaben'!$C$17))))</f>
        <v/>
      </c>
      <c r="G683" s="17" t="str">
        <f>IF(F683="","",F683-'02_Eingaben'!$C$10)</f>
        <v/>
      </c>
      <c r="H683" t="str">
        <f>IF(F683="","",IF(F683&lt;'02_Eingaben'!$C$18*'02_Eingaben'!$C$10,1,0))</f>
        <v/>
      </c>
      <c r="I683" s="17" t="str">
        <f t="shared" si="10"/>
        <v/>
      </c>
      <c r="J683" s="17" t="str">
        <f>IF(B683="","",IF(B682&lt;'02_Eingaben'!$C$36,0,J682+I682/'02_Eingaben'!$C$8))</f>
        <v/>
      </c>
    </row>
    <row r="684" spans="1:10" x14ac:dyDescent="0.25">
      <c r="A684" t="str">
        <f>IF('01_Rohdaten'!A684="","",ROW()-1)</f>
        <v/>
      </c>
      <c r="B684" s="17" t="str">
        <f>IF('01_Rohdaten'!A684="","",'01_Rohdaten'!A684)</f>
        <v/>
      </c>
      <c r="C684" s="17" t="str">
        <f>IF(B684="","",INDEX('01_Rohdaten'!B684:D684,'02_Eingaben'!$C$13))</f>
        <v/>
      </c>
      <c r="D684" s="17" t="str">
        <f>IF(C684="","",C684*'02_Eingaben'!$C$15)</f>
        <v/>
      </c>
      <c r="E684" s="17" t="str">
        <f>IF(D684="","",D684*'02_Eingaben'!$C$8)</f>
        <v/>
      </c>
      <c r="F684" s="17" t="str">
        <f>IF(E684="","",AVERAGE(INDEX($E$2:$E$3001,MAX(1,ROW()-1-'02_Eingaben'!$C$17)):INDEX($E$2:$E$3001,MIN('02_Eingaben'!$C$21,ROW()-1+'02_Eingaben'!$C$17))))</f>
        <v/>
      </c>
      <c r="G684" s="17" t="str">
        <f>IF(F684="","",F684-'02_Eingaben'!$C$10)</f>
        <v/>
      </c>
      <c r="H684" t="str">
        <f>IF(F684="","",IF(F684&lt;'02_Eingaben'!$C$18*'02_Eingaben'!$C$10,1,0))</f>
        <v/>
      </c>
      <c r="I684" s="17" t="str">
        <f t="shared" si="10"/>
        <v/>
      </c>
      <c r="J684" s="17" t="str">
        <f>IF(B684="","",IF(B683&lt;'02_Eingaben'!$C$36,0,J683+I683/'02_Eingaben'!$C$8))</f>
        <v/>
      </c>
    </row>
    <row r="685" spans="1:10" x14ac:dyDescent="0.25">
      <c r="A685" t="str">
        <f>IF('01_Rohdaten'!A685="","",ROW()-1)</f>
        <v/>
      </c>
      <c r="B685" s="17" t="str">
        <f>IF('01_Rohdaten'!A685="","",'01_Rohdaten'!A685)</f>
        <v/>
      </c>
      <c r="C685" s="17" t="str">
        <f>IF(B685="","",INDEX('01_Rohdaten'!B685:D685,'02_Eingaben'!$C$13))</f>
        <v/>
      </c>
      <c r="D685" s="17" t="str">
        <f>IF(C685="","",C685*'02_Eingaben'!$C$15)</f>
        <v/>
      </c>
      <c r="E685" s="17" t="str">
        <f>IF(D685="","",D685*'02_Eingaben'!$C$8)</f>
        <v/>
      </c>
      <c r="F685" s="17" t="str">
        <f>IF(E685="","",AVERAGE(INDEX($E$2:$E$3001,MAX(1,ROW()-1-'02_Eingaben'!$C$17)):INDEX($E$2:$E$3001,MIN('02_Eingaben'!$C$21,ROW()-1+'02_Eingaben'!$C$17))))</f>
        <v/>
      </c>
      <c r="G685" s="17" t="str">
        <f>IF(F685="","",F685-'02_Eingaben'!$C$10)</f>
        <v/>
      </c>
      <c r="H685" t="str">
        <f>IF(F685="","",IF(F685&lt;'02_Eingaben'!$C$18*'02_Eingaben'!$C$10,1,0))</f>
        <v/>
      </c>
      <c r="I685" s="17" t="str">
        <f t="shared" si="10"/>
        <v/>
      </c>
      <c r="J685" s="17" t="str">
        <f>IF(B685="","",IF(B684&lt;'02_Eingaben'!$C$36,0,J684+I684/'02_Eingaben'!$C$8))</f>
        <v/>
      </c>
    </row>
    <row r="686" spans="1:10" x14ac:dyDescent="0.25">
      <c r="A686" t="str">
        <f>IF('01_Rohdaten'!A686="","",ROW()-1)</f>
        <v/>
      </c>
      <c r="B686" s="17" t="str">
        <f>IF('01_Rohdaten'!A686="","",'01_Rohdaten'!A686)</f>
        <v/>
      </c>
      <c r="C686" s="17" t="str">
        <f>IF(B686="","",INDEX('01_Rohdaten'!B686:D686,'02_Eingaben'!$C$13))</f>
        <v/>
      </c>
      <c r="D686" s="17" t="str">
        <f>IF(C686="","",C686*'02_Eingaben'!$C$15)</f>
        <v/>
      </c>
      <c r="E686" s="17" t="str">
        <f>IF(D686="","",D686*'02_Eingaben'!$C$8)</f>
        <v/>
      </c>
      <c r="F686" s="17" t="str">
        <f>IF(E686="","",AVERAGE(INDEX($E$2:$E$3001,MAX(1,ROW()-1-'02_Eingaben'!$C$17)):INDEX($E$2:$E$3001,MIN('02_Eingaben'!$C$21,ROW()-1+'02_Eingaben'!$C$17))))</f>
        <v/>
      </c>
      <c r="G686" s="17" t="str">
        <f>IF(F686="","",F686-'02_Eingaben'!$C$10)</f>
        <v/>
      </c>
      <c r="H686" t="str">
        <f>IF(F686="","",IF(F686&lt;'02_Eingaben'!$C$18*'02_Eingaben'!$C$10,1,0))</f>
        <v/>
      </c>
      <c r="I686" s="17" t="str">
        <f t="shared" si="10"/>
        <v/>
      </c>
      <c r="J686" s="17" t="str">
        <f>IF(B686="","",IF(B685&lt;'02_Eingaben'!$C$36,0,J685+I685/'02_Eingaben'!$C$8))</f>
        <v/>
      </c>
    </row>
    <row r="687" spans="1:10" x14ac:dyDescent="0.25">
      <c r="A687" t="str">
        <f>IF('01_Rohdaten'!A687="","",ROW()-1)</f>
        <v/>
      </c>
      <c r="B687" s="17" t="str">
        <f>IF('01_Rohdaten'!A687="","",'01_Rohdaten'!A687)</f>
        <v/>
      </c>
      <c r="C687" s="17" t="str">
        <f>IF(B687="","",INDEX('01_Rohdaten'!B687:D687,'02_Eingaben'!$C$13))</f>
        <v/>
      </c>
      <c r="D687" s="17" t="str">
        <f>IF(C687="","",C687*'02_Eingaben'!$C$15)</f>
        <v/>
      </c>
      <c r="E687" s="17" t="str">
        <f>IF(D687="","",D687*'02_Eingaben'!$C$8)</f>
        <v/>
      </c>
      <c r="F687" s="17" t="str">
        <f>IF(E687="","",AVERAGE(INDEX($E$2:$E$3001,MAX(1,ROW()-1-'02_Eingaben'!$C$17)):INDEX($E$2:$E$3001,MIN('02_Eingaben'!$C$21,ROW()-1+'02_Eingaben'!$C$17))))</f>
        <v/>
      </c>
      <c r="G687" s="17" t="str">
        <f>IF(F687="","",F687-'02_Eingaben'!$C$10)</f>
        <v/>
      </c>
      <c r="H687" t="str">
        <f>IF(F687="","",IF(F687&lt;'02_Eingaben'!$C$18*'02_Eingaben'!$C$10,1,0))</f>
        <v/>
      </c>
      <c r="I687" s="17" t="str">
        <f t="shared" si="10"/>
        <v/>
      </c>
      <c r="J687" s="17" t="str">
        <f>IF(B687="","",IF(B686&lt;'02_Eingaben'!$C$36,0,J686+I686/'02_Eingaben'!$C$8))</f>
        <v/>
      </c>
    </row>
    <row r="688" spans="1:10" x14ac:dyDescent="0.25">
      <c r="A688" t="str">
        <f>IF('01_Rohdaten'!A688="","",ROW()-1)</f>
        <v/>
      </c>
      <c r="B688" s="17" t="str">
        <f>IF('01_Rohdaten'!A688="","",'01_Rohdaten'!A688)</f>
        <v/>
      </c>
      <c r="C688" s="17" t="str">
        <f>IF(B688="","",INDEX('01_Rohdaten'!B688:D688,'02_Eingaben'!$C$13))</f>
        <v/>
      </c>
      <c r="D688" s="17" t="str">
        <f>IF(C688="","",C688*'02_Eingaben'!$C$15)</f>
        <v/>
      </c>
      <c r="E688" s="17" t="str">
        <f>IF(D688="","",D688*'02_Eingaben'!$C$8)</f>
        <v/>
      </c>
      <c r="F688" s="17" t="str">
        <f>IF(E688="","",AVERAGE(INDEX($E$2:$E$3001,MAX(1,ROW()-1-'02_Eingaben'!$C$17)):INDEX($E$2:$E$3001,MIN('02_Eingaben'!$C$21,ROW()-1+'02_Eingaben'!$C$17))))</f>
        <v/>
      </c>
      <c r="G688" s="17" t="str">
        <f>IF(F688="","",F688-'02_Eingaben'!$C$10)</f>
        <v/>
      </c>
      <c r="H688" t="str">
        <f>IF(F688="","",IF(F688&lt;'02_Eingaben'!$C$18*'02_Eingaben'!$C$10,1,0))</f>
        <v/>
      </c>
      <c r="I688" s="17" t="str">
        <f t="shared" si="10"/>
        <v/>
      </c>
      <c r="J688" s="17" t="str">
        <f>IF(B688="","",IF(B687&lt;'02_Eingaben'!$C$36,0,J687+I687/'02_Eingaben'!$C$8))</f>
        <v/>
      </c>
    </row>
    <row r="689" spans="1:10" x14ac:dyDescent="0.25">
      <c r="A689" t="str">
        <f>IF('01_Rohdaten'!A689="","",ROW()-1)</f>
        <v/>
      </c>
      <c r="B689" s="17" t="str">
        <f>IF('01_Rohdaten'!A689="","",'01_Rohdaten'!A689)</f>
        <v/>
      </c>
      <c r="C689" s="17" t="str">
        <f>IF(B689="","",INDEX('01_Rohdaten'!B689:D689,'02_Eingaben'!$C$13))</f>
        <v/>
      </c>
      <c r="D689" s="17" t="str">
        <f>IF(C689="","",C689*'02_Eingaben'!$C$15)</f>
        <v/>
      </c>
      <c r="E689" s="17" t="str">
        <f>IF(D689="","",D689*'02_Eingaben'!$C$8)</f>
        <v/>
      </c>
      <c r="F689" s="17" t="str">
        <f>IF(E689="","",AVERAGE(INDEX($E$2:$E$3001,MAX(1,ROW()-1-'02_Eingaben'!$C$17)):INDEX($E$2:$E$3001,MIN('02_Eingaben'!$C$21,ROW()-1+'02_Eingaben'!$C$17))))</f>
        <v/>
      </c>
      <c r="G689" s="17" t="str">
        <f>IF(F689="","",F689-'02_Eingaben'!$C$10)</f>
        <v/>
      </c>
      <c r="H689" t="str">
        <f>IF(F689="","",IF(F689&lt;'02_Eingaben'!$C$18*'02_Eingaben'!$C$10,1,0))</f>
        <v/>
      </c>
      <c r="I689" s="17" t="str">
        <f t="shared" si="10"/>
        <v/>
      </c>
      <c r="J689" s="17" t="str">
        <f>IF(B689="","",IF(B688&lt;'02_Eingaben'!$C$36,0,J688+I688/'02_Eingaben'!$C$8))</f>
        <v/>
      </c>
    </row>
    <row r="690" spans="1:10" x14ac:dyDescent="0.25">
      <c r="A690" t="str">
        <f>IF('01_Rohdaten'!A690="","",ROW()-1)</f>
        <v/>
      </c>
      <c r="B690" s="17" t="str">
        <f>IF('01_Rohdaten'!A690="","",'01_Rohdaten'!A690)</f>
        <v/>
      </c>
      <c r="C690" s="17" t="str">
        <f>IF(B690="","",INDEX('01_Rohdaten'!B690:D690,'02_Eingaben'!$C$13))</f>
        <v/>
      </c>
      <c r="D690" s="17" t="str">
        <f>IF(C690="","",C690*'02_Eingaben'!$C$15)</f>
        <v/>
      </c>
      <c r="E690" s="17" t="str">
        <f>IF(D690="","",D690*'02_Eingaben'!$C$8)</f>
        <v/>
      </c>
      <c r="F690" s="17" t="str">
        <f>IF(E690="","",AVERAGE(INDEX($E$2:$E$3001,MAX(1,ROW()-1-'02_Eingaben'!$C$17)):INDEX($E$2:$E$3001,MIN('02_Eingaben'!$C$21,ROW()-1+'02_Eingaben'!$C$17))))</f>
        <v/>
      </c>
      <c r="G690" s="17" t="str">
        <f>IF(F690="","",F690-'02_Eingaben'!$C$10)</f>
        <v/>
      </c>
      <c r="H690" t="str">
        <f>IF(F690="","",IF(F690&lt;'02_Eingaben'!$C$18*'02_Eingaben'!$C$10,1,0))</f>
        <v/>
      </c>
      <c r="I690" s="17" t="str">
        <f t="shared" si="10"/>
        <v/>
      </c>
      <c r="J690" s="17" t="str">
        <f>IF(B690="","",IF(B689&lt;'02_Eingaben'!$C$36,0,J689+I689/'02_Eingaben'!$C$8))</f>
        <v/>
      </c>
    </row>
    <row r="691" spans="1:10" x14ac:dyDescent="0.25">
      <c r="A691" t="str">
        <f>IF('01_Rohdaten'!A691="","",ROW()-1)</f>
        <v/>
      </c>
      <c r="B691" s="17" t="str">
        <f>IF('01_Rohdaten'!A691="","",'01_Rohdaten'!A691)</f>
        <v/>
      </c>
      <c r="C691" s="17" t="str">
        <f>IF(B691="","",INDEX('01_Rohdaten'!B691:D691,'02_Eingaben'!$C$13))</f>
        <v/>
      </c>
      <c r="D691" s="17" t="str">
        <f>IF(C691="","",C691*'02_Eingaben'!$C$15)</f>
        <v/>
      </c>
      <c r="E691" s="17" t="str">
        <f>IF(D691="","",D691*'02_Eingaben'!$C$8)</f>
        <v/>
      </c>
      <c r="F691" s="17" t="str">
        <f>IF(E691="","",AVERAGE(INDEX($E$2:$E$3001,MAX(1,ROW()-1-'02_Eingaben'!$C$17)):INDEX($E$2:$E$3001,MIN('02_Eingaben'!$C$21,ROW()-1+'02_Eingaben'!$C$17))))</f>
        <v/>
      </c>
      <c r="G691" s="17" t="str">
        <f>IF(F691="","",F691-'02_Eingaben'!$C$10)</f>
        <v/>
      </c>
      <c r="H691" t="str">
        <f>IF(F691="","",IF(F691&lt;'02_Eingaben'!$C$18*'02_Eingaben'!$C$10,1,0))</f>
        <v/>
      </c>
      <c r="I691" s="17" t="str">
        <f t="shared" si="10"/>
        <v/>
      </c>
      <c r="J691" s="17" t="str">
        <f>IF(B691="","",IF(B690&lt;'02_Eingaben'!$C$36,0,J690+I690/'02_Eingaben'!$C$8))</f>
        <v/>
      </c>
    </row>
    <row r="692" spans="1:10" x14ac:dyDescent="0.25">
      <c r="A692" t="str">
        <f>IF('01_Rohdaten'!A692="","",ROW()-1)</f>
        <v/>
      </c>
      <c r="B692" s="17" t="str">
        <f>IF('01_Rohdaten'!A692="","",'01_Rohdaten'!A692)</f>
        <v/>
      </c>
      <c r="C692" s="17" t="str">
        <f>IF(B692="","",INDEX('01_Rohdaten'!B692:D692,'02_Eingaben'!$C$13))</f>
        <v/>
      </c>
      <c r="D692" s="17" t="str">
        <f>IF(C692="","",C692*'02_Eingaben'!$C$15)</f>
        <v/>
      </c>
      <c r="E692" s="17" t="str">
        <f>IF(D692="","",D692*'02_Eingaben'!$C$8)</f>
        <v/>
      </c>
      <c r="F692" s="17" t="str">
        <f>IF(E692="","",AVERAGE(INDEX($E$2:$E$3001,MAX(1,ROW()-1-'02_Eingaben'!$C$17)):INDEX($E$2:$E$3001,MIN('02_Eingaben'!$C$21,ROW()-1+'02_Eingaben'!$C$17))))</f>
        <v/>
      </c>
      <c r="G692" s="17" t="str">
        <f>IF(F692="","",F692-'02_Eingaben'!$C$10)</f>
        <v/>
      </c>
      <c r="H692" t="str">
        <f>IF(F692="","",IF(F692&lt;'02_Eingaben'!$C$18*'02_Eingaben'!$C$10,1,0))</f>
        <v/>
      </c>
      <c r="I692" s="17" t="str">
        <f t="shared" si="10"/>
        <v/>
      </c>
      <c r="J692" s="17" t="str">
        <f>IF(B692="","",IF(B691&lt;'02_Eingaben'!$C$36,0,J691+I691/'02_Eingaben'!$C$8))</f>
        <v/>
      </c>
    </row>
    <row r="693" spans="1:10" x14ac:dyDescent="0.25">
      <c r="A693" t="str">
        <f>IF('01_Rohdaten'!A693="","",ROW()-1)</f>
        <v/>
      </c>
      <c r="B693" s="17" t="str">
        <f>IF('01_Rohdaten'!A693="","",'01_Rohdaten'!A693)</f>
        <v/>
      </c>
      <c r="C693" s="17" t="str">
        <f>IF(B693="","",INDEX('01_Rohdaten'!B693:D693,'02_Eingaben'!$C$13))</f>
        <v/>
      </c>
      <c r="D693" s="17" t="str">
        <f>IF(C693="","",C693*'02_Eingaben'!$C$15)</f>
        <v/>
      </c>
      <c r="E693" s="17" t="str">
        <f>IF(D693="","",D693*'02_Eingaben'!$C$8)</f>
        <v/>
      </c>
      <c r="F693" s="17" t="str">
        <f>IF(E693="","",AVERAGE(INDEX($E$2:$E$3001,MAX(1,ROW()-1-'02_Eingaben'!$C$17)):INDEX($E$2:$E$3001,MIN('02_Eingaben'!$C$21,ROW()-1+'02_Eingaben'!$C$17))))</f>
        <v/>
      </c>
      <c r="G693" s="17" t="str">
        <f>IF(F693="","",F693-'02_Eingaben'!$C$10)</f>
        <v/>
      </c>
      <c r="H693" t="str">
        <f>IF(F693="","",IF(F693&lt;'02_Eingaben'!$C$18*'02_Eingaben'!$C$10,1,0))</f>
        <v/>
      </c>
      <c r="I693" s="17" t="str">
        <f t="shared" si="10"/>
        <v/>
      </c>
      <c r="J693" s="17" t="str">
        <f>IF(B693="","",IF(B692&lt;'02_Eingaben'!$C$36,0,J692+I692/'02_Eingaben'!$C$8))</f>
        <v/>
      </c>
    </row>
    <row r="694" spans="1:10" x14ac:dyDescent="0.25">
      <c r="A694" t="str">
        <f>IF('01_Rohdaten'!A694="","",ROW()-1)</f>
        <v/>
      </c>
      <c r="B694" s="17" t="str">
        <f>IF('01_Rohdaten'!A694="","",'01_Rohdaten'!A694)</f>
        <v/>
      </c>
      <c r="C694" s="17" t="str">
        <f>IF(B694="","",INDEX('01_Rohdaten'!B694:D694,'02_Eingaben'!$C$13))</f>
        <v/>
      </c>
      <c r="D694" s="17" t="str">
        <f>IF(C694="","",C694*'02_Eingaben'!$C$15)</f>
        <v/>
      </c>
      <c r="E694" s="17" t="str">
        <f>IF(D694="","",D694*'02_Eingaben'!$C$8)</f>
        <v/>
      </c>
      <c r="F694" s="17" t="str">
        <f>IF(E694="","",AVERAGE(INDEX($E$2:$E$3001,MAX(1,ROW()-1-'02_Eingaben'!$C$17)):INDEX($E$2:$E$3001,MIN('02_Eingaben'!$C$21,ROW()-1+'02_Eingaben'!$C$17))))</f>
        <v/>
      </c>
      <c r="G694" s="17" t="str">
        <f>IF(F694="","",F694-'02_Eingaben'!$C$10)</f>
        <v/>
      </c>
      <c r="H694" t="str">
        <f>IF(F694="","",IF(F694&lt;'02_Eingaben'!$C$18*'02_Eingaben'!$C$10,1,0))</f>
        <v/>
      </c>
      <c r="I694" s="17" t="str">
        <f t="shared" si="10"/>
        <v/>
      </c>
      <c r="J694" s="17" t="str">
        <f>IF(B694="","",IF(B693&lt;'02_Eingaben'!$C$36,0,J693+I693/'02_Eingaben'!$C$8))</f>
        <v/>
      </c>
    </row>
    <row r="695" spans="1:10" x14ac:dyDescent="0.25">
      <c r="A695" t="str">
        <f>IF('01_Rohdaten'!A695="","",ROW()-1)</f>
        <v/>
      </c>
      <c r="B695" s="17" t="str">
        <f>IF('01_Rohdaten'!A695="","",'01_Rohdaten'!A695)</f>
        <v/>
      </c>
      <c r="C695" s="17" t="str">
        <f>IF(B695="","",INDEX('01_Rohdaten'!B695:D695,'02_Eingaben'!$C$13))</f>
        <v/>
      </c>
      <c r="D695" s="17" t="str">
        <f>IF(C695="","",C695*'02_Eingaben'!$C$15)</f>
        <v/>
      </c>
      <c r="E695" s="17" t="str">
        <f>IF(D695="","",D695*'02_Eingaben'!$C$8)</f>
        <v/>
      </c>
      <c r="F695" s="17" t="str">
        <f>IF(E695="","",AVERAGE(INDEX($E$2:$E$3001,MAX(1,ROW()-1-'02_Eingaben'!$C$17)):INDEX($E$2:$E$3001,MIN('02_Eingaben'!$C$21,ROW()-1+'02_Eingaben'!$C$17))))</f>
        <v/>
      </c>
      <c r="G695" s="17" t="str">
        <f>IF(F695="","",F695-'02_Eingaben'!$C$10)</f>
        <v/>
      </c>
      <c r="H695" t="str">
        <f>IF(F695="","",IF(F695&lt;'02_Eingaben'!$C$18*'02_Eingaben'!$C$10,1,0))</f>
        <v/>
      </c>
      <c r="I695" s="17" t="str">
        <f t="shared" si="10"/>
        <v/>
      </c>
      <c r="J695" s="17" t="str">
        <f>IF(B695="","",IF(B694&lt;'02_Eingaben'!$C$36,0,J694+I694/'02_Eingaben'!$C$8))</f>
        <v/>
      </c>
    </row>
    <row r="696" spans="1:10" x14ac:dyDescent="0.25">
      <c r="A696" t="str">
        <f>IF('01_Rohdaten'!A696="","",ROW()-1)</f>
        <v/>
      </c>
      <c r="B696" s="17" t="str">
        <f>IF('01_Rohdaten'!A696="","",'01_Rohdaten'!A696)</f>
        <v/>
      </c>
      <c r="C696" s="17" t="str">
        <f>IF(B696="","",INDEX('01_Rohdaten'!B696:D696,'02_Eingaben'!$C$13))</f>
        <v/>
      </c>
      <c r="D696" s="17" t="str">
        <f>IF(C696="","",C696*'02_Eingaben'!$C$15)</f>
        <v/>
      </c>
      <c r="E696" s="17" t="str">
        <f>IF(D696="","",D696*'02_Eingaben'!$C$8)</f>
        <v/>
      </c>
      <c r="F696" s="17" t="str">
        <f>IF(E696="","",AVERAGE(INDEX($E$2:$E$3001,MAX(1,ROW()-1-'02_Eingaben'!$C$17)):INDEX($E$2:$E$3001,MIN('02_Eingaben'!$C$21,ROW()-1+'02_Eingaben'!$C$17))))</f>
        <v/>
      </c>
      <c r="G696" s="17" t="str">
        <f>IF(F696="","",F696-'02_Eingaben'!$C$10)</f>
        <v/>
      </c>
      <c r="H696" t="str">
        <f>IF(F696="","",IF(F696&lt;'02_Eingaben'!$C$18*'02_Eingaben'!$C$10,1,0))</f>
        <v/>
      </c>
      <c r="I696" s="17" t="str">
        <f t="shared" si="10"/>
        <v/>
      </c>
      <c r="J696" s="17" t="str">
        <f>IF(B696="","",IF(B695&lt;'02_Eingaben'!$C$36,0,J695+I695/'02_Eingaben'!$C$8))</f>
        <v/>
      </c>
    </row>
    <row r="697" spans="1:10" x14ac:dyDescent="0.25">
      <c r="A697" t="str">
        <f>IF('01_Rohdaten'!A697="","",ROW()-1)</f>
        <v/>
      </c>
      <c r="B697" s="17" t="str">
        <f>IF('01_Rohdaten'!A697="","",'01_Rohdaten'!A697)</f>
        <v/>
      </c>
      <c r="C697" s="17" t="str">
        <f>IF(B697="","",INDEX('01_Rohdaten'!B697:D697,'02_Eingaben'!$C$13))</f>
        <v/>
      </c>
      <c r="D697" s="17" t="str">
        <f>IF(C697="","",C697*'02_Eingaben'!$C$15)</f>
        <v/>
      </c>
      <c r="E697" s="17" t="str">
        <f>IF(D697="","",D697*'02_Eingaben'!$C$8)</f>
        <v/>
      </c>
      <c r="F697" s="17" t="str">
        <f>IF(E697="","",AVERAGE(INDEX($E$2:$E$3001,MAX(1,ROW()-1-'02_Eingaben'!$C$17)):INDEX($E$2:$E$3001,MIN('02_Eingaben'!$C$21,ROW()-1+'02_Eingaben'!$C$17))))</f>
        <v/>
      </c>
      <c r="G697" s="17" t="str">
        <f>IF(F697="","",F697-'02_Eingaben'!$C$10)</f>
        <v/>
      </c>
      <c r="H697" t="str">
        <f>IF(F697="","",IF(F697&lt;'02_Eingaben'!$C$18*'02_Eingaben'!$C$10,1,0))</f>
        <v/>
      </c>
      <c r="I697" s="17" t="str">
        <f t="shared" si="10"/>
        <v/>
      </c>
      <c r="J697" s="17" t="str">
        <f>IF(B697="","",IF(B696&lt;'02_Eingaben'!$C$36,0,J696+I696/'02_Eingaben'!$C$8))</f>
        <v/>
      </c>
    </row>
    <row r="698" spans="1:10" x14ac:dyDescent="0.25">
      <c r="A698" t="str">
        <f>IF('01_Rohdaten'!A698="","",ROW()-1)</f>
        <v/>
      </c>
      <c r="B698" s="17" t="str">
        <f>IF('01_Rohdaten'!A698="","",'01_Rohdaten'!A698)</f>
        <v/>
      </c>
      <c r="C698" s="17" t="str">
        <f>IF(B698="","",INDEX('01_Rohdaten'!B698:D698,'02_Eingaben'!$C$13))</f>
        <v/>
      </c>
      <c r="D698" s="17" t="str">
        <f>IF(C698="","",C698*'02_Eingaben'!$C$15)</f>
        <v/>
      </c>
      <c r="E698" s="17" t="str">
        <f>IF(D698="","",D698*'02_Eingaben'!$C$8)</f>
        <v/>
      </c>
      <c r="F698" s="17" t="str">
        <f>IF(E698="","",AVERAGE(INDEX($E$2:$E$3001,MAX(1,ROW()-1-'02_Eingaben'!$C$17)):INDEX($E$2:$E$3001,MIN('02_Eingaben'!$C$21,ROW()-1+'02_Eingaben'!$C$17))))</f>
        <v/>
      </c>
      <c r="G698" s="17" t="str">
        <f>IF(F698="","",F698-'02_Eingaben'!$C$10)</f>
        <v/>
      </c>
      <c r="H698" t="str">
        <f>IF(F698="","",IF(F698&lt;'02_Eingaben'!$C$18*'02_Eingaben'!$C$10,1,0))</f>
        <v/>
      </c>
      <c r="I698" s="17" t="str">
        <f t="shared" si="10"/>
        <v/>
      </c>
      <c r="J698" s="17" t="str">
        <f>IF(B698="","",IF(B697&lt;'02_Eingaben'!$C$36,0,J697+I697/'02_Eingaben'!$C$8))</f>
        <v/>
      </c>
    </row>
    <row r="699" spans="1:10" x14ac:dyDescent="0.25">
      <c r="A699" t="str">
        <f>IF('01_Rohdaten'!A699="","",ROW()-1)</f>
        <v/>
      </c>
      <c r="B699" s="17" t="str">
        <f>IF('01_Rohdaten'!A699="","",'01_Rohdaten'!A699)</f>
        <v/>
      </c>
      <c r="C699" s="17" t="str">
        <f>IF(B699="","",INDEX('01_Rohdaten'!B699:D699,'02_Eingaben'!$C$13))</f>
        <v/>
      </c>
      <c r="D699" s="17" t="str">
        <f>IF(C699="","",C699*'02_Eingaben'!$C$15)</f>
        <v/>
      </c>
      <c r="E699" s="17" t="str">
        <f>IF(D699="","",D699*'02_Eingaben'!$C$8)</f>
        <v/>
      </c>
      <c r="F699" s="17" t="str">
        <f>IF(E699="","",AVERAGE(INDEX($E$2:$E$3001,MAX(1,ROW()-1-'02_Eingaben'!$C$17)):INDEX($E$2:$E$3001,MIN('02_Eingaben'!$C$21,ROW()-1+'02_Eingaben'!$C$17))))</f>
        <v/>
      </c>
      <c r="G699" s="17" t="str">
        <f>IF(F699="","",F699-'02_Eingaben'!$C$10)</f>
        <v/>
      </c>
      <c r="H699" t="str">
        <f>IF(F699="","",IF(F699&lt;'02_Eingaben'!$C$18*'02_Eingaben'!$C$10,1,0))</f>
        <v/>
      </c>
      <c r="I699" s="17" t="str">
        <f t="shared" si="10"/>
        <v/>
      </c>
      <c r="J699" s="17" t="str">
        <f>IF(B699="","",IF(B698&lt;'02_Eingaben'!$C$36,0,J698+I698/'02_Eingaben'!$C$8))</f>
        <v/>
      </c>
    </row>
    <row r="700" spans="1:10" x14ac:dyDescent="0.25">
      <c r="A700" t="str">
        <f>IF('01_Rohdaten'!A700="","",ROW()-1)</f>
        <v/>
      </c>
      <c r="B700" s="17" t="str">
        <f>IF('01_Rohdaten'!A700="","",'01_Rohdaten'!A700)</f>
        <v/>
      </c>
      <c r="C700" s="17" t="str">
        <f>IF(B700="","",INDEX('01_Rohdaten'!B700:D700,'02_Eingaben'!$C$13))</f>
        <v/>
      </c>
      <c r="D700" s="17" t="str">
        <f>IF(C700="","",C700*'02_Eingaben'!$C$15)</f>
        <v/>
      </c>
      <c r="E700" s="17" t="str">
        <f>IF(D700="","",D700*'02_Eingaben'!$C$8)</f>
        <v/>
      </c>
      <c r="F700" s="17" t="str">
        <f>IF(E700="","",AVERAGE(INDEX($E$2:$E$3001,MAX(1,ROW()-1-'02_Eingaben'!$C$17)):INDEX($E$2:$E$3001,MIN('02_Eingaben'!$C$21,ROW()-1+'02_Eingaben'!$C$17))))</f>
        <v/>
      </c>
      <c r="G700" s="17" t="str">
        <f>IF(F700="","",F700-'02_Eingaben'!$C$10)</f>
        <v/>
      </c>
      <c r="H700" t="str">
        <f>IF(F700="","",IF(F700&lt;'02_Eingaben'!$C$18*'02_Eingaben'!$C$10,1,0))</f>
        <v/>
      </c>
      <c r="I700" s="17" t="str">
        <f t="shared" si="10"/>
        <v/>
      </c>
      <c r="J700" s="17" t="str">
        <f>IF(B700="","",IF(B699&lt;'02_Eingaben'!$C$36,0,J699+I699/'02_Eingaben'!$C$8))</f>
        <v/>
      </c>
    </row>
    <row r="701" spans="1:10" x14ac:dyDescent="0.25">
      <c r="A701" t="str">
        <f>IF('01_Rohdaten'!A701="","",ROW()-1)</f>
        <v/>
      </c>
      <c r="B701" s="17" t="str">
        <f>IF('01_Rohdaten'!A701="","",'01_Rohdaten'!A701)</f>
        <v/>
      </c>
      <c r="C701" s="17" t="str">
        <f>IF(B701="","",INDEX('01_Rohdaten'!B701:D701,'02_Eingaben'!$C$13))</f>
        <v/>
      </c>
      <c r="D701" s="17" t="str">
        <f>IF(C701="","",C701*'02_Eingaben'!$C$15)</f>
        <v/>
      </c>
      <c r="E701" s="17" t="str">
        <f>IF(D701="","",D701*'02_Eingaben'!$C$8)</f>
        <v/>
      </c>
      <c r="F701" s="17" t="str">
        <f>IF(E701="","",AVERAGE(INDEX($E$2:$E$3001,MAX(1,ROW()-1-'02_Eingaben'!$C$17)):INDEX($E$2:$E$3001,MIN('02_Eingaben'!$C$21,ROW()-1+'02_Eingaben'!$C$17))))</f>
        <v/>
      </c>
      <c r="G701" s="17" t="str">
        <f>IF(F701="","",F701-'02_Eingaben'!$C$10)</f>
        <v/>
      </c>
      <c r="H701" t="str">
        <f>IF(F701="","",IF(F701&lt;'02_Eingaben'!$C$18*'02_Eingaben'!$C$10,1,0))</f>
        <v/>
      </c>
      <c r="I701" s="17" t="str">
        <f t="shared" si="10"/>
        <v/>
      </c>
      <c r="J701" s="17" t="str">
        <f>IF(B701="","",IF(B700&lt;'02_Eingaben'!$C$36,0,J700+I700/'02_Eingaben'!$C$8))</f>
        <v/>
      </c>
    </row>
    <row r="702" spans="1:10" x14ac:dyDescent="0.25">
      <c r="A702" t="str">
        <f>IF('01_Rohdaten'!A702="","",ROW()-1)</f>
        <v/>
      </c>
      <c r="B702" s="17" t="str">
        <f>IF('01_Rohdaten'!A702="","",'01_Rohdaten'!A702)</f>
        <v/>
      </c>
      <c r="C702" s="17" t="str">
        <f>IF(B702="","",INDEX('01_Rohdaten'!B702:D702,'02_Eingaben'!$C$13))</f>
        <v/>
      </c>
      <c r="D702" s="17" t="str">
        <f>IF(C702="","",C702*'02_Eingaben'!$C$15)</f>
        <v/>
      </c>
      <c r="E702" s="17" t="str">
        <f>IF(D702="","",D702*'02_Eingaben'!$C$8)</f>
        <v/>
      </c>
      <c r="F702" s="17" t="str">
        <f>IF(E702="","",AVERAGE(INDEX($E$2:$E$3001,MAX(1,ROW()-1-'02_Eingaben'!$C$17)):INDEX($E$2:$E$3001,MIN('02_Eingaben'!$C$21,ROW()-1+'02_Eingaben'!$C$17))))</f>
        <v/>
      </c>
      <c r="G702" s="17" t="str">
        <f>IF(F702="","",F702-'02_Eingaben'!$C$10)</f>
        <v/>
      </c>
      <c r="H702" t="str">
        <f>IF(F702="","",IF(F702&lt;'02_Eingaben'!$C$18*'02_Eingaben'!$C$10,1,0))</f>
        <v/>
      </c>
      <c r="I702" s="17" t="str">
        <f t="shared" si="10"/>
        <v/>
      </c>
      <c r="J702" s="17" t="str">
        <f>IF(B702="","",IF(B701&lt;'02_Eingaben'!$C$36,0,J701+I701/'02_Eingaben'!$C$8))</f>
        <v/>
      </c>
    </row>
    <row r="703" spans="1:10" x14ac:dyDescent="0.25">
      <c r="A703" t="str">
        <f>IF('01_Rohdaten'!A703="","",ROW()-1)</f>
        <v/>
      </c>
      <c r="B703" s="17" t="str">
        <f>IF('01_Rohdaten'!A703="","",'01_Rohdaten'!A703)</f>
        <v/>
      </c>
      <c r="C703" s="17" t="str">
        <f>IF(B703="","",INDEX('01_Rohdaten'!B703:D703,'02_Eingaben'!$C$13))</f>
        <v/>
      </c>
      <c r="D703" s="17" t="str">
        <f>IF(C703="","",C703*'02_Eingaben'!$C$15)</f>
        <v/>
      </c>
      <c r="E703" s="17" t="str">
        <f>IF(D703="","",D703*'02_Eingaben'!$C$8)</f>
        <v/>
      </c>
      <c r="F703" s="17" t="str">
        <f>IF(E703="","",AVERAGE(INDEX($E$2:$E$3001,MAX(1,ROW()-1-'02_Eingaben'!$C$17)):INDEX($E$2:$E$3001,MIN('02_Eingaben'!$C$21,ROW()-1+'02_Eingaben'!$C$17))))</f>
        <v/>
      </c>
      <c r="G703" s="17" t="str">
        <f>IF(F703="","",F703-'02_Eingaben'!$C$10)</f>
        <v/>
      </c>
      <c r="H703" t="str">
        <f>IF(F703="","",IF(F703&lt;'02_Eingaben'!$C$18*'02_Eingaben'!$C$10,1,0))</f>
        <v/>
      </c>
      <c r="I703" s="17" t="str">
        <f t="shared" si="10"/>
        <v/>
      </c>
      <c r="J703" s="17" t="str">
        <f>IF(B703="","",IF(B702&lt;'02_Eingaben'!$C$36,0,J702+I702/'02_Eingaben'!$C$8))</f>
        <v/>
      </c>
    </row>
    <row r="704" spans="1:10" x14ac:dyDescent="0.25">
      <c r="A704" t="str">
        <f>IF('01_Rohdaten'!A704="","",ROW()-1)</f>
        <v/>
      </c>
      <c r="B704" s="17" t="str">
        <f>IF('01_Rohdaten'!A704="","",'01_Rohdaten'!A704)</f>
        <v/>
      </c>
      <c r="C704" s="17" t="str">
        <f>IF(B704="","",INDEX('01_Rohdaten'!B704:D704,'02_Eingaben'!$C$13))</f>
        <v/>
      </c>
      <c r="D704" s="17" t="str">
        <f>IF(C704="","",C704*'02_Eingaben'!$C$15)</f>
        <v/>
      </c>
      <c r="E704" s="17" t="str">
        <f>IF(D704="","",D704*'02_Eingaben'!$C$8)</f>
        <v/>
      </c>
      <c r="F704" s="17" t="str">
        <f>IF(E704="","",AVERAGE(INDEX($E$2:$E$3001,MAX(1,ROW()-1-'02_Eingaben'!$C$17)):INDEX($E$2:$E$3001,MIN('02_Eingaben'!$C$21,ROW()-1+'02_Eingaben'!$C$17))))</f>
        <v/>
      </c>
      <c r="G704" s="17" t="str">
        <f>IF(F704="","",F704-'02_Eingaben'!$C$10)</f>
        <v/>
      </c>
      <c r="H704" t="str">
        <f>IF(F704="","",IF(F704&lt;'02_Eingaben'!$C$18*'02_Eingaben'!$C$10,1,0))</f>
        <v/>
      </c>
      <c r="I704" s="17" t="str">
        <f t="shared" si="10"/>
        <v/>
      </c>
      <c r="J704" s="17" t="str">
        <f>IF(B704="","",IF(B703&lt;'02_Eingaben'!$C$36,0,J703+I703/'02_Eingaben'!$C$8))</f>
        <v/>
      </c>
    </row>
    <row r="705" spans="1:10" x14ac:dyDescent="0.25">
      <c r="A705" t="str">
        <f>IF('01_Rohdaten'!A705="","",ROW()-1)</f>
        <v/>
      </c>
      <c r="B705" s="17" t="str">
        <f>IF('01_Rohdaten'!A705="","",'01_Rohdaten'!A705)</f>
        <v/>
      </c>
      <c r="C705" s="17" t="str">
        <f>IF(B705="","",INDEX('01_Rohdaten'!B705:D705,'02_Eingaben'!$C$13))</f>
        <v/>
      </c>
      <c r="D705" s="17" t="str">
        <f>IF(C705="","",C705*'02_Eingaben'!$C$15)</f>
        <v/>
      </c>
      <c r="E705" s="17" t="str">
        <f>IF(D705="","",D705*'02_Eingaben'!$C$8)</f>
        <v/>
      </c>
      <c r="F705" s="17" t="str">
        <f>IF(E705="","",AVERAGE(INDEX($E$2:$E$3001,MAX(1,ROW()-1-'02_Eingaben'!$C$17)):INDEX($E$2:$E$3001,MIN('02_Eingaben'!$C$21,ROW()-1+'02_Eingaben'!$C$17))))</f>
        <v/>
      </c>
      <c r="G705" s="17" t="str">
        <f>IF(F705="","",F705-'02_Eingaben'!$C$10)</f>
        <v/>
      </c>
      <c r="H705" t="str">
        <f>IF(F705="","",IF(F705&lt;'02_Eingaben'!$C$18*'02_Eingaben'!$C$10,1,0))</f>
        <v/>
      </c>
      <c r="I705" s="17" t="str">
        <f t="shared" si="10"/>
        <v/>
      </c>
      <c r="J705" s="17" t="str">
        <f>IF(B705="","",IF(B704&lt;'02_Eingaben'!$C$36,0,J704+I704/'02_Eingaben'!$C$8))</f>
        <v/>
      </c>
    </row>
    <row r="706" spans="1:10" x14ac:dyDescent="0.25">
      <c r="A706" t="str">
        <f>IF('01_Rohdaten'!A706="","",ROW()-1)</f>
        <v/>
      </c>
      <c r="B706" s="17" t="str">
        <f>IF('01_Rohdaten'!A706="","",'01_Rohdaten'!A706)</f>
        <v/>
      </c>
      <c r="C706" s="17" t="str">
        <f>IF(B706="","",INDEX('01_Rohdaten'!B706:D706,'02_Eingaben'!$C$13))</f>
        <v/>
      </c>
      <c r="D706" s="17" t="str">
        <f>IF(C706="","",C706*'02_Eingaben'!$C$15)</f>
        <v/>
      </c>
      <c r="E706" s="17" t="str">
        <f>IF(D706="","",D706*'02_Eingaben'!$C$8)</f>
        <v/>
      </c>
      <c r="F706" s="17" t="str">
        <f>IF(E706="","",AVERAGE(INDEX($E$2:$E$3001,MAX(1,ROW()-1-'02_Eingaben'!$C$17)):INDEX($E$2:$E$3001,MIN('02_Eingaben'!$C$21,ROW()-1+'02_Eingaben'!$C$17))))</f>
        <v/>
      </c>
      <c r="G706" s="17" t="str">
        <f>IF(F706="","",F706-'02_Eingaben'!$C$10)</f>
        <v/>
      </c>
      <c r="H706" t="str">
        <f>IF(F706="","",IF(F706&lt;'02_Eingaben'!$C$18*'02_Eingaben'!$C$10,1,0))</f>
        <v/>
      </c>
      <c r="I706" s="17" t="str">
        <f t="shared" ref="I706:I769" si="11">IF(OR(G706="",G707=""),"",(G706+G707)/2*(B707-B706))</f>
        <v/>
      </c>
      <c r="J706" s="17" t="str">
        <f>IF(B706="","",IF(B705&lt;'02_Eingaben'!$C$36,0,J705+I705/'02_Eingaben'!$C$8))</f>
        <v/>
      </c>
    </row>
    <row r="707" spans="1:10" x14ac:dyDescent="0.25">
      <c r="A707" t="str">
        <f>IF('01_Rohdaten'!A707="","",ROW()-1)</f>
        <v/>
      </c>
      <c r="B707" s="17" t="str">
        <f>IF('01_Rohdaten'!A707="","",'01_Rohdaten'!A707)</f>
        <v/>
      </c>
      <c r="C707" s="17" t="str">
        <f>IF(B707="","",INDEX('01_Rohdaten'!B707:D707,'02_Eingaben'!$C$13))</f>
        <v/>
      </c>
      <c r="D707" s="17" t="str">
        <f>IF(C707="","",C707*'02_Eingaben'!$C$15)</f>
        <v/>
      </c>
      <c r="E707" s="17" t="str">
        <f>IF(D707="","",D707*'02_Eingaben'!$C$8)</f>
        <v/>
      </c>
      <c r="F707" s="17" t="str">
        <f>IF(E707="","",AVERAGE(INDEX($E$2:$E$3001,MAX(1,ROW()-1-'02_Eingaben'!$C$17)):INDEX($E$2:$E$3001,MIN('02_Eingaben'!$C$21,ROW()-1+'02_Eingaben'!$C$17))))</f>
        <v/>
      </c>
      <c r="G707" s="17" t="str">
        <f>IF(F707="","",F707-'02_Eingaben'!$C$10)</f>
        <v/>
      </c>
      <c r="H707" t="str">
        <f>IF(F707="","",IF(F707&lt;'02_Eingaben'!$C$18*'02_Eingaben'!$C$10,1,0))</f>
        <v/>
      </c>
      <c r="I707" s="17" t="str">
        <f t="shared" si="11"/>
        <v/>
      </c>
      <c r="J707" s="17" t="str">
        <f>IF(B707="","",IF(B706&lt;'02_Eingaben'!$C$36,0,J706+I706/'02_Eingaben'!$C$8))</f>
        <v/>
      </c>
    </row>
    <row r="708" spans="1:10" x14ac:dyDescent="0.25">
      <c r="A708" t="str">
        <f>IF('01_Rohdaten'!A708="","",ROW()-1)</f>
        <v/>
      </c>
      <c r="B708" s="17" t="str">
        <f>IF('01_Rohdaten'!A708="","",'01_Rohdaten'!A708)</f>
        <v/>
      </c>
      <c r="C708" s="17" t="str">
        <f>IF(B708="","",INDEX('01_Rohdaten'!B708:D708,'02_Eingaben'!$C$13))</f>
        <v/>
      </c>
      <c r="D708" s="17" t="str">
        <f>IF(C708="","",C708*'02_Eingaben'!$C$15)</f>
        <v/>
      </c>
      <c r="E708" s="17" t="str">
        <f>IF(D708="","",D708*'02_Eingaben'!$C$8)</f>
        <v/>
      </c>
      <c r="F708" s="17" t="str">
        <f>IF(E708="","",AVERAGE(INDEX($E$2:$E$3001,MAX(1,ROW()-1-'02_Eingaben'!$C$17)):INDEX($E$2:$E$3001,MIN('02_Eingaben'!$C$21,ROW()-1+'02_Eingaben'!$C$17))))</f>
        <v/>
      </c>
      <c r="G708" s="17" t="str">
        <f>IF(F708="","",F708-'02_Eingaben'!$C$10)</f>
        <v/>
      </c>
      <c r="H708" t="str">
        <f>IF(F708="","",IF(F708&lt;'02_Eingaben'!$C$18*'02_Eingaben'!$C$10,1,0))</f>
        <v/>
      </c>
      <c r="I708" s="17" t="str">
        <f t="shared" si="11"/>
        <v/>
      </c>
      <c r="J708" s="17" t="str">
        <f>IF(B708="","",IF(B707&lt;'02_Eingaben'!$C$36,0,J707+I707/'02_Eingaben'!$C$8))</f>
        <v/>
      </c>
    </row>
    <row r="709" spans="1:10" x14ac:dyDescent="0.25">
      <c r="A709" t="str">
        <f>IF('01_Rohdaten'!A709="","",ROW()-1)</f>
        <v/>
      </c>
      <c r="B709" s="17" t="str">
        <f>IF('01_Rohdaten'!A709="","",'01_Rohdaten'!A709)</f>
        <v/>
      </c>
      <c r="C709" s="17" t="str">
        <f>IF(B709="","",INDEX('01_Rohdaten'!B709:D709,'02_Eingaben'!$C$13))</f>
        <v/>
      </c>
      <c r="D709" s="17" t="str">
        <f>IF(C709="","",C709*'02_Eingaben'!$C$15)</f>
        <v/>
      </c>
      <c r="E709" s="17" t="str">
        <f>IF(D709="","",D709*'02_Eingaben'!$C$8)</f>
        <v/>
      </c>
      <c r="F709" s="17" t="str">
        <f>IF(E709="","",AVERAGE(INDEX($E$2:$E$3001,MAX(1,ROW()-1-'02_Eingaben'!$C$17)):INDEX($E$2:$E$3001,MIN('02_Eingaben'!$C$21,ROW()-1+'02_Eingaben'!$C$17))))</f>
        <v/>
      </c>
      <c r="G709" s="17" t="str">
        <f>IF(F709="","",F709-'02_Eingaben'!$C$10)</f>
        <v/>
      </c>
      <c r="H709" t="str">
        <f>IF(F709="","",IF(F709&lt;'02_Eingaben'!$C$18*'02_Eingaben'!$C$10,1,0))</f>
        <v/>
      </c>
      <c r="I709" s="17" t="str">
        <f t="shared" si="11"/>
        <v/>
      </c>
      <c r="J709" s="17" t="str">
        <f>IF(B709="","",IF(B708&lt;'02_Eingaben'!$C$36,0,J708+I708/'02_Eingaben'!$C$8))</f>
        <v/>
      </c>
    </row>
    <row r="710" spans="1:10" x14ac:dyDescent="0.25">
      <c r="A710" t="str">
        <f>IF('01_Rohdaten'!A710="","",ROW()-1)</f>
        <v/>
      </c>
      <c r="B710" s="17" t="str">
        <f>IF('01_Rohdaten'!A710="","",'01_Rohdaten'!A710)</f>
        <v/>
      </c>
      <c r="C710" s="17" t="str">
        <f>IF(B710="","",INDEX('01_Rohdaten'!B710:D710,'02_Eingaben'!$C$13))</f>
        <v/>
      </c>
      <c r="D710" s="17" t="str">
        <f>IF(C710="","",C710*'02_Eingaben'!$C$15)</f>
        <v/>
      </c>
      <c r="E710" s="17" t="str">
        <f>IF(D710="","",D710*'02_Eingaben'!$C$8)</f>
        <v/>
      </c>
      <c r="F710" s="17" t="str">
        <f>IF(E710="","",AVERAGE(INDEX($E$2:$E$3001,MAX(1,ROW()-1-'02_Eingaben'!$C$17)):INDEX($E$2:$E$3001,MIN('02_Eingaben'!$C$21,ROW()-1+'02_Eingaben'!$C$17))))</f>
        <v/>
      </c>
      <c r="G710" s="17" t="str">
        <f>IF(F710="","",F710-'02_Eingaben'!$C$10)</f>
        <v/>
      </c>
      <c r="H710" t="str">
        <f>IF(F710="","",IF(F710&lt;'02_Eingaben'!$C$18*'02_Eingaben'!$C$10,1,0))</f>
        <v/>
      </c>
      <c r="I710" s="17" t="str">
        <f t="shared" si="11"/>
        <v/>
      </c>
      <c r="J710" s="17" t="str">
        <f>IF(B710="","",IF(B709&lt;'02_Eingaben'!$C$36,0,J709+I709/'02_Eingaben'!$C$8))</f>
        <v/>
      </c>
    </row>
    <row r="711" spans="1:10" x14ac:dyDescent="0.25">
      <c r="A711" t="str">
        <f>IF('01_Rohdaten'!A711="","",ROW()-1)</f>
        <v/>
      </c>
      <c r="B711" s="17" t="str">
        <f>IF('01_Rohdaten'!A711="","",'01_Rohdaten'!A711)</f>
        <v/>
      </c>
      <c r="C711" s="17" t="str">
        <f>IF(B711="","",INDEX('01_Rohdaten'!B711:D711,'02_Eingaben'!$C$13))</f>
        <v/>
      </c>
      <c r="D711" s="17" t="str">
        <f>IF(C711="","",C711*'02_Eingaben'!$C$15)</f>
        <v/>
      </c>
      <c r="E711" s="17" t="str">
        <f>IF(D711="","",D711*'02_Eingaben'!$C$8)</f>
        <v/>
      </c>
      <c r="F711" s="17" t="str">
        <f>IF(E711="","",AVERAGE(INDEX($E$2:$E$3001,MAX(1,ROW()-1-'02_Eingaben'!$C$17)):INDEX($E$2:$E$3001,MIN('02_Eingaben'!$C$21,ROW()-1+'02_Eingaben'!$C$17))))</f>
        <v/>
      </c>
      <c r="G711" s="17" t="str">
        <f>IF(F711="","",F711-'02_Eingaben'!$C$10)</f>
        <v/>
      </c>
      <c r="H711" t="str">
        <f>IF(F711="","",IF(F711&lt;'02_Eingaben'!$C$18*'02_Eingaben'!$C$10,1,0))</f>
        <v/>
      </c>
      <c r="I711" s="17" t="str">
        <f t="shared" si="11"/>
        <v/>
      </c>
      <c r="J711" s="17" t="str">
        <f>IF(B711="","",IF(B710&lt;'02_Eingaben'!$C$36,0,J710+I710/'02_Eingaben'!$C$8))</f>
        <v/>
      </c>
    </row>
    <row r="712" spans="1:10" x14ac:dyDescent="0.25">
      <c r="A712" t="str">
        <f>IF('01_Rohdaten'!A712="","",ROW()-1)</f>
        <v/>
      </c>
      <c r="B712" s="17" t="str">
        <f>IF('01_Rohdaten'!A712="","",'01_Rohdaten'!A712)</f>
        <v/>
      </c>
      <c r="C712" s="17" t="str">
        <f>IF(B712="","",INDEX('01_Rohdaten'!B712:D712,'02_Eingaben'!$C$13))</f>
        <v/>
      </c>
      <c r="D712" s="17" t="str">
        <f>IF(C712="","",C712*'02_Eingaben'!$C$15)</f>
        <v/>
      </c>
      <c r="E712" s="17" t="str">
        <f>IF(D712="","",D712*'02_Eingaben'!$C$8)</f>
        <v/>
      </c>
      <c r="F712" s="17" t="str">
        <f>IF(E712="","",AVERAGE(INDEX($E$2:$E$3001,MAX(1,ROW()-1-'02_Eingaben'!$C$17)):INDEX($E$2:$E$3001,MIN('02_Eingaben'!$C$21,ROW()-1+'02_Eingaben'!$C$17))))</f>
        <v/>
      </c>
      <c r="G712" s="17" t="str">
        <f>IF(F712="","",F712-'02_Eingaben'!$C$10)</f>
        <v/>
      </c>
      <c r="H712" t="str">
        <f>IF(F712="","",IF(F712&lt;'02_Eingaben'!$C$18*'02_Eingaben'!$C$10,1,0))</f>
        <v/>
      </c>
      <c r="I712" s="17" t="str">
        <f t="shared" si="11"/>
        <v/>
      </c>
      <c r="J712" s="17" t="str">
        <f>IF(B712="","",IF(B711&lt;'02_Eingaben'!$C$36,0,J711+I711/'02_Eingaben'!$C$8))</f>
        <v/>
      </c>
    </row>
    <row r="713" spans="1:10" x14ac:dyDescent="0.25">
      <c r="A713" t="str">
        <f>IF('01_Rohdaten'!A713="","",ROW()-1)</f>
        <v/>
      </c>
      <c r="B713" s="17" t="str">
        <f>IF('01_Rohdaten'!A713="","",'01_Rohdaten'!A713)</f>
        <v/>
      </c>
      <c r="C713" s="17" t="str">
        <f>IF(B713="","",INDEX('01_Rohdaten'!B713:D713,'02_Eingaben'!$C$13))</f>
        <v/>
      </c>
      <c r="D713" s="17" t="str">
        <f>IF(C713="","",C713*'02_Eingaben'!$C$15)</f>
        <v/>
      </c>
      <c r="E713" s="17" t="str">
        <f>IF(D713="","",D713*'02_Eingaben'!$C$8)</f>
        <v/>
      </c>
      <c r="F713" s="17" t="str">
        <f>IF(E713="","",AVERAGE(INDEX($E$2:$E$3001,MAX(1,ROW()-1-'02_Eingaben'!$C$17)):INDEX($E$2:$E$3001,MIN('02_Eingaben'!$C$21,ROW()-1+'02_Eingaben'!$C$17))))</f>
        <v/>
      </c>
      <c r="G713" s="17" t="str">
        <f>IF(F713="","",F713-'02_Eingaben'!$C$10)</f>
        <v/>
      </c>
      <c r="H713" t="str">
        <f>IF(F713="","",IF(F713&lt;'02_Eingaben'!$C$18*'02_Eingaben'!$C$10,1,0))</f>
        <v/>
      </c>
      <c r="I713" s="17" t="str">
        <f t="shared" si="11"/>
        <v/>
      </c>
      <c r="J713" s="17" t="str">
        <f>IF(B713="","",IF(B712&lt;'02_Eingaben'!$C$36,0,J712+I712/'02_Eingaben'!$C$8))</f>
        <v/>
      </c>
    </row>
    <row r="714" spans="1:10" x14ac:dyDescent="0.25">
      <c r="A714" t="str">
        <f>IF('01_Rohdaten'!A714="","",ROW()-1)</f>
        <v/>
      </c>
      <c r="B714" s="17" t="str">
        <f>IF('01_Rohdaten'!A714="","",'01_Rohdaten'!A714)</f>
        <v/>
      </c>
      <c r="C714" s="17" t="str">
        <f>IF(B714="","",INDEX('01_Rohdaten'!B714:D714,'02_Eingaben'!$C$13))</f>
        <v/>
      </c>
      <c r="D714" s="17" t="str">
        <f>IF(C714="","",C714*'02_Eingaben'!$C$15)</f>
        <v/>
      </c>
      <c r="E714" s="17" t="str">
        <f>IF(D714="","",D714*'02_Eingaben'!$C$8)</f>
        <v/>
      </c>
      <c r="F714" s="17" t="str">
        <f>IF(E714="","",AVERAGE(INDEX($E$2:$E$3001,MAX(1,ROW()-1-'02_Eingaben'!$C$17)):INDEX($E$2:$E$3001,MIN('02_Eingaben'!$C$21,ROW()-1+'02_Eingaben'!$C$17))))</f>
        <v/>
      </c>
      <c r="G714" s="17" t="str">
        <f>IF(F714="","",F714-'02_Eingaben'!$C$10)</f>
        <v/>
      </c>
      <c r="H714" t="str">
        <f>IF(F714="","",IF(F714&lt;'02_Eingaben'!$C$18*'02_Eingaben'!$C$10,1,0))</f>
        <v/>
      </c>
      <c r="I714" s="17" t="str">
        <f t="shared" si="11"/>
        <v/>
      </c>
      <c r="J714" s="17" t="str">
        <f>IF(B714="","",IF(B713&lt;'02_Eingaben'!$C$36,0,J713+I713/'02_Eingaben'!$C$8))</f>
        <v/>
      </c>
    </row>
    <row r="715" spans="1:10" x14ac:dyDescent="0.25">
      <c r="A715" t="str">
        <f>IF('01_Rohdaten'!A715="","",ROW()-1)</f>
        <v/>
      </c>
      <c r="B715" s="17" t="str">
        <f>IF('01_Rohdaten'!A715="","",'01_Rohdaten'!A715)</f>
        <v/>
      </c>
      <c r="C715" s="17" t="str">
        <f>IF(B715="","",INDEX('01_Rohdaten'!B715:D715,'02_Eingaben'!$C$13))</f>
        <v/>
      </c>
      <c r="D715" s="17" t="str">
        <f>IF(C715="","",C715*'02_Eingaben'!$C$15)</f>
        <v/>
      </c>
      <c r="E715" s="17" t="str">
        <f>IF(D715="","",D715*'02_Eingaben'!$C$8)</f>
        <v/>
      </c>
      <c r="F715" s="17" t="str">
        <f>IF(E715="","",AVERAGE(INDEX($E$2:$E$3001,MAX(1,ROW()-1-'02_Eingaben'!$C$17)):INDEX($E$2:$E$3001,MIN('02_Eingaben'!$C$21,ROW()-1+'02_Eingaben'!$C$17))))</f>
        <v/>
      </c>
      <c r="G715" s="17" t="str">
        <f>IF(F715="","",F715-'02_Eingaben'!$C$10)</f>
        <v/>
      </c>
      <c r="H715" t="str">
        <f>IF(F715="","",IF(F715&lt;'02_Eingaben'!$C$18*'02_Eingaben'!$C$10,1,0))</f>
        <v/>
      </c>
      <c r="I715" s="17" t="str">
        <f t="shared" si="11"/>
        <v/>
      </c>
      <c r="J715" s="17" t="str">
        <f>IF(B715="","",IF(B714&lt;'02_Eingaben'!$C$36,0,J714+I714/'02_Eingaben'!$C$8))</f>
        <v/>
      </c>
    </row>
    <row r="716" spans="1:10" x14ac:dyDescent="0.25">
      <c r="A716" t="str">
        <f>IF('01_Rohdaten'!A716="","",ROW()-1)</f>
        <v/>
      </c>
      <c r="B716" s="17" t="str">
        <f>IF('01_Rohdaten'!A716="","",'01_Rohdaten'!A716)</f>
        <v/>
      </c>
      <c r="C716" s="17" t="str">
        <f>IF(B716="","",INDEX('01_Rohdaten'!B716:D716,'02_Eingaben'!$C$13))</f>
        <v/>
      </c>
      <c r="D716" s="17" t="str">
        <f>IF(C716="","",C716*'02_Eingaben'!$C$15)</f>
        <v/>
      </c>
      <c r="E716" s="17" t="str">
        <f>IF(D716="","",D716*'02_Eingaben'!$C$8)</f>
        <v/>
      </c>
      <c r="F716" s="17" t="str">
        <f>IF(E716="","",AVERAGE(INDEX($E$2:$E$3001,MAX(1,ROW()-1-'02_Eingaben'!$C$17)):INDEX($E$2:$E$3001,MIN('02_Eingaben'!$C$21,ROW()-1+'02_Eingaben'!$C$17))))</f>
        <v/>
      </c>
      <c r="G716" s="17" t="str">
        <f>IF(F716="","",F716-'02_Eingaben'!$C$10)</f>
        <v/>
      </c>
      <c r="H716" t="str">
        <f>IF(F716="","",IF(F716&lt;'02_Eingaben'!$C$18*'02_Eingaben'!$C$10,1,0))</f>
        <v/>
      </c>
      <c r="I716" s="17" t="str">
        <f t="shared" si="11"/>
        <v/>
      </c>
      <c r="J716" s="17" t="str">
        <f>IF(B716="","",IF(B715&lt;'02_Eingaben'!$C$36,0,J715+I715/'02_Eingaben'!$C$8))</f>
        <v/>
      </c>
    </row>
    <row r="717" spans="1:10" x14ac:dyDescent="0.25">
      <c r="A717" t="str">
        <f>IF('01_Rohdaten'!A717="","",ROW()-1)</f>
        <v/>
      </c>
      <c r="B717" s="17" t="str">
        <f>IF('01_Rohdaten'!A717="","",'01_Rohdaten'!A717)</f>
        <v/>
      </c>
      <c r="C717" s="17" t="str">
        <f>IF(B717="","",INDEX('01_Rohdaten'!B717:D717,'02_Eingaben'!$C$13))</f>
        <v/>
      </c>
      <c r="D717" s="17" t="str">
        <f>IF(C717="","",C717*'02_Eingaben'!$C$15)</f>
        <v/>
      </c>
      <c r="E717" s="17" t="str">
        <f>IF(D717="","",D717*'02_Eingaben'!$C$8)</f>
        <v/>
      </c>
      <c r="F717" s="17" t="str">
        <f>IF(E717="","",AVERAGE(INDEX($E$2:$E$3001,MAX(1,ROW()-1-'02_Eingaben'!$C$17)):INDEX($E$2:$E$3001,MIN('02_Eingaben'!$C$21,ROW()-1+'02_Eingaben'!$C$17))))</f>
        <v/>
      </c>
      <c r="G717" s="17" t="str">
        <f>IF(F717="","",F717-'02_Eingaben'!$C$10)</f>
        <v/>
      </c>
      <c r="H717" t="str">
        <f>IF(F717="","",IF(F717&lt;'02_Eingaben'!$C$18*'02_Eingaben'!$C$10,1,0))</f>
        <v/>
      </c>
      <c r="I717" s="17" t="str">
        <f t="shared" si="11"/>
        <v/>
      </c>
      <c r="J717" s="17" t="str">
        <f>IF(B717="","",IF(B716&lt;'02_Eingaben'!$C$36,0,J716+I716/'02_Eingaben'!$C$8))</f>
        <v/>
      </c>
    </row>
    <row r="718" spans="1:10" x14ac:dyDescent="0.25">
      <c r="A718" t="str">
        <f>IF('01_Rohdaten'!A718="","",ROW()-1)</f>
        <v/>
      </c>
      <c r="B718" s="17" t="str">
        <f>IF('01_Rohdaten'!A718="","",'01_Rohdaten'!A718)</f>
        <v/>
      </c>
      <c r="C718" s="17" t="str">
        <f>IF(B718="","",INDEX('01_Rohdaten'!B718:D718,'02_Eingaben'!$C$13))</f>
        <v/>
      </c>
      <c r="D718" s="17" t="str">
        <f>IF(C718="","",C718*'02_Eingaben'!$C$15)</f>
        <v/>
      </c>
      <c r="E718" s="17" t="str">
        <f>IF(D718="","",D718*'02_Eingaben'!$C$8)</f>
        <v/>
      </c>
      <c r="F718" s="17" t="str">
        <f>IF(E718="","",AVERAGE(INDEX($E$2:$E$3001,MAX(1,ROW()-1-'02_Eingaben'!$C$17)):INDEX($E$2:$E$3001,MIN('02_Eingaben'!$C$21,ROW()-1+'02_Eingaben'!$C$17))))</f>
        <v/>
      </c>
      <c r="G718" s="17" t="str">
        <f>IF(F718="","",F718-'02_Eingaben'!$C$10)</f>
        <v/>
      </c>
      <c r="H718" t="str">
        <f>IF(F718="","",IF(F718&lt;'02_Eingaben'!$C$18*'02_Eingaben'!$C$10,1,0))</f>
        <v/>
      </c>
      <c r="I718" s="17" t="str">
        <f t="shared" si="11"/>
        <v/>
      </c>
      <c r="J718" s="17" t="str">
        <f>IF(B718="","",IF(B717&lt;'02_Eingaben'!$C$36,0,J717+I717/'02_Eingaben'!$C$8))</f>
        <v/>
      </c>
    </row>
    <row r="719" spans="1:10" x14ac:dyDescent="0.25">
      <c r="A719" t="str">
        <f>IF('01_Rohdaten'!A719="","",ROW()-1)</f>
        <v/>
      </c>
      <c r="B719" s="17" t="str">
        <f>IF('01_Rohdaten'!A719="","",'01_Rohdaten'!A719)</f>
        <v/>
      </c>
      <c r="C719" s="17" t="str">
        <f>IF(B719="","",INDEX('01_Rohdaten'!B719:D719,'02_Eingaben'!$C$13))</f>
        <v/>
      </c>
      <c r="D719" s="17" t="str">
        <f>IF(C719="","",C719*'02_Eingaben'!$C$15)</f>
        <v/>
      </c>
      <c r="E719" s="17" t="str">
        <f>IF(D719="","",D719*'02_Eingaben'!$C$8)</f>
        <v/>
      </c>
      <c r="F719" s="17" t="str">
        <f>IF(E719="","",AVERAGE(INDEX($E$2:$E$3001,MAX(1,ROW()-1-'02_Eingaben'!$C$17)):INDEX($E$2:$E$3001,MIN('02_Eingaben'!$C$21,ROW()-1+'02_Eingaben'!$C$17))))</f>
        <v/>
      </c>
      <c r="G719" s="17" t="str">
        <f>IF(F719="","",F719-'02_Eingaben'!$C$10)</f>
        <v/>
      </c>
      <c r="H719" t="str">
        <f>IF(F719="","",IF(F719&lt;'02_Eingaben'!$C$18*'02_Eingaben'!$C$10,1,0))</f>
        <v/>
      </c>
      <c r="I719" s="17" t="str">
        <f t="shared" si="11"/>
        <v/>
      </c>
      <c r="J719" s="17" t="str">
        <f>IF(B719="","",IF(B718&lt;'02_Eingaben'!$C$36,0,J718+I718/'02_Eingaben'!$C$8))</f>
        <v/>
      </c>
    </row>
    <row r="720" spans="1:10" x14ac:dyDescent="0.25">
      <c r="A720" t="str">
        <f>IF('01_Rohdaten'!A720="","",ROW()-1)</f>
        <v/>
      </c>
      <c r="B720" s="17" t="str">
        <f>IF('01_Rohdaten'!A720="","",'01_Rohdaten'!A720)</f>
        <v/>
      </c>
      <c r="C720" s="17" t="str">
        <f>IF(B720="","",INDEX('01_Rohdaten'!B720:D720,'02_Eingaben'!$C$13))</f>
        <v/>
      </c>
      <c r="D720" s="17" t="str">
        <f>IF(C720="","",C720*'02_Eingaben'!$C$15)</f>
        <v/>
      </c>
      <c r="E720" s="17" t="str">
        <f>IF(D720="","",D720*'02_Eingaben'!$C$8)</f>
        <v/>
      </c>
      <c r="F720" s="17" t="str">
        <f>IF(E720="","",AVERAGE(INDEX($E$2:$E$3001,MAX(1,ROW()-1-'02_Eingaben'!$C$17)):INDEX($E$2:$E$3001,MIN('02_Eingaben'!$C$21,ROW()-1+'02_Eingaben'!$C$17))))</f>
        <v/>
      </c>
      <c r="G720" s="17" t="str">
        <f>IF(F720="","",F720-'02_Eingaben'!$C$10)</f>
        <v/>
      </c>
      <c r="H720" t="str">
        <f>IF(F720="","",IF(F720&lt;'02_Eingaben'!$C$18*'02_Eingaben'!$C$10,1,0))</f>
        <v/>
      </c>
      <c r="I720" s="17" t="str">
        <f t="shared" si="11"/>
        <v/>
      </c>
      <c r="J720" s="17" t="str">
        <f>IF(B720="","",IF(B719&lt;'02_Eingaben'!$C$36,0,J719+I719/'02_Eingaben'!$C$8))</f>
        <v/>
      </c>
    </row>
    <row r="721" spans="1:10" x14ac:dyDescent="0.25">
      <c r="A721" t="str">
        <f>IF('01_Rohdaten'!A721="","",ROW()-1)</f>
        <v/>
      </c>
      <c r="B721" s="17" t="str">
        <f>IF('01_Rohdaten'!A721="","",'01_Rohdaten'!A721)</f>
        <v/>
      </c>
      <c r="C721" s="17" t="str">
        <f>IF(B721="","",INDEX('01_Rohdaten'!B721:D721,'02_Eingaben'!$C$13))</f>
        <v/>
      </c>
      <c r="D721" s="17" t="str">
        <f>IF(C721="","",C721*'02_Eingaben'!$C$15)</f>
        <v/>
      </c>
      <c r="E721" s="17" t="str">
        <f>IF(D721="","",D721*'02_Eingaben'!$C$8)</f>
        <v/>
      </c>
      <c r="F721" s="17" t="str">
        <f>IF(E721="","",AVERAGE(INDEX($E$2:$E$3001,MAX(1,ROW()-1-'02_Eingaben'!$C$17)):INDEX($E$2:$E$3001,MIN('02_Eingaben'!$C$21,ROW()-1+'02_Eingaben'!$C$17))))</f>
        <v/>
      </c>
      <c r="G721" s="17" t="str">
        <f>IF(F721="","",F721-'02_Eingaben'!$C$10)</f>
        <v/>
      </c>
      <c r="H721" t="str">
        <f>IF(F721="","",IF(F721&lt;'02_Eingaben'!$C$18*'02_Eingaben'!$C$10,1,0))</f>
        <v/>
      </c>
      <c r="I721" s="17" t="str">
        <f t="shared" si="11"/>
        <v/>
      </c>
      <c r="J721" s="17" t="str">
        <f>IF(B721="","",IF(B720&lt;'02_Eingaben'!$C$36,0,J720+I720/'02_Eingaben'!$C$8))</f>
        <v/>
      </c>
    </row>
    <row r="722" spans="1:10" x14ac:dyDescent="0.25">
      <c r="A722" t="str">
        <f>IF('01_Rohdaten'!A722="","",ROW()-1)</f>
        <v/>
      </c>
      <c r="B722" s="17" t="str">
        <f>IF('01_Rohdaten'!A722="","",'01_Rohdaten'!A722)</f>
        <v/>
      </c>
      <c r="C722" s="17" t="str">
        <f>IF(B722="","",INDEX('01_Rohdaten'!B722:D722,'02_Eingaben'!$C$13))</f>
        <v/>
      </c>
      <c r="D722" s="17" t="str">
        <f>IF(C722="","",C722*'02_Eingaben'!$C$15)</f>
        <v/>
      </c>
      <c r="E722" s="17" t="str">
        <f>IF(D722="","",D722*'02_Eingaben'!$C$8)</f>
        <v/>
      </c>
      <c r="F722" s="17" t="str">
        <f>IF(E722="","",AVERAGE(INDEX($E$2:$E$3001,MAX(1,ROW()-1-'02_Eingaben'!$C$17)):INDEX($E$2:$E$3001,MIN('02_Eingaben'!$C$21,ROW()-1+'02_Eingaben'!$C$17))))</f>
        <v/>
      </c>
      <c r="G722" s="17" t="str">
        <f>IF(F722="","",F722-'02_Eingaben'!$C$10)</f>
        <v/>
      </c>
      <c r="H722" t="str">
        <f>IF(F722="","",IF(F722&lt;'02_Eingaben'!$C$18*'02_Eingaben'!$C$10,1,0))</f>
        <v/>
      </c>
      <c r="I722" s="17" t="str">
        <f t="shared" si="11"/>
        <v/>
      </c>
      <c r="J722" s="17" t="str">
        <f>IF(B722="","",IF(B721&lt;'02_Eingaben'!$C$36,0,J721+I721/'02_Eingaben'!$C$8))</f>
        <v/>
      </c>
    </row>
    <row r="723" spans="1:10" x14ac:dyDescent="0.25">
      <c r="A723" t="str">
        <f>IF('01_Rohdaten'!A723="","",ROW()-1)</f>
        <v/>
      </c>
      <c r="B723" s="17" t="str">
        <f>IF('01_Rohdaten'!A723="","",'01_Rohdaten'!A723)</f>
        <v/>
      </c>
      <c r="C723" s="17" t="str">
        <f>IF(B723="","",INDEX('01_Rohdaten'!B723:D723,'02_Eingaben'!$C$13))</f>
        <v/>
      </c>
      <c r="D723" s="17" t="str">
        <f>IF(C723="","",C723*'02_Eingaben'!$C$15)</f>
        <v/>
      </c>
      <c r="E723" s="17" t="str">
        <f>IF(D723="","",D723*'02_Eingaben'!$C$8)</f>
        <v/>
      </c>
      <c r="F723" s="17" t="str">
        <f>IF(E723="","",AVERAGE(INDEX($E$2:$E$3001,MAX(1,ROW()-1-'02_Eingaben'!$C$17)):INDEX($E$2:$E$3001,MIN('02_Eingaben'!$C$21,ROW()-1+'02_Eingaben'!$C$17))))</f>
        <v/>
      </c>
      <c r="G723" s="17" t="str">
        <f>IF(F723="","",F723-'02_Eingaben'!$C$10)</f>
        <v/>
      </c>
      <c r="H723" t="str">
        <f>IF(F723="","",IF(F723&lt;'02_Eingaben'!$C$18*'02_Eingaben'!$C$10,1,0))</f>
        <v/>
      </c>
      <c r="I723" s="17" t="str">
        <f t="shared" si="11"/>
        <v/>
      </c>
      <c r="J723" s="17" t="str">
        <f>IF(B723="","",IF(B722&lt;'02_Eingaben'!$C$36,0,J722+I722/'02_Eingaben'!$C$8))</f>
        <v/>
      </c>
    </row>
    <row r="724" spans="1:10" x14ac:dyDescent="0.25">
      <c r="A724" t="str">
        <f>IF('01_Rohdaten'!A724="","",ROW()-1)</f>
        <v/>
      </c>
      <c r="B724" s="17" t="str">
        <f>IF('01_Rohdaten'!A724="","",'01_Rohdaten'!A724)</f>
        <v/>
      </c>
      <c r="C724" s="17" t="str">
        <f>IF(B724="","",INDEX('01_Rohdaten'!B724:D724,'02_Eingaben'!$C$13))</f>
        <v/>
      </c>
      <c r="D724" s="17" t="str">
        <f>IF(C724="","",C724*'02_Eingaben'!$C$15)</f>
        <v/>
      </c>
      <c r="E724" s="17" t="str">
        <f>IF(D724="","",D724*'02_Eingaben'!$C$8)</f>
        <v/>
      </c>
      <c r="F724" s="17" t="str">
        <f>IF(E724="","",AVERAGE(INDEX($E$2:$E$3001,MAX(1,ROW()-1-'02_Eingaben'!$C$17)):INDEX($E$2:$E$3001,MIN('02_Eingaben'!$C$21,ROW()-1+'02_Eingaben'!$C$17))))</f>
        <v/>
      </c>
      <c r="G724" s="17" t="str">
        <f>IF(F724="","",F724-'02_Eingaben'!$C$10)</f>
        <v/>
      </c>
      <c r="H724" t="str">
        <f>IF(F724="","",IF(F724&lt;'02_Eingaben'!$C$18*'02_Eingaben'!$C$10,1,0))</f>
        <v/>
      </c>
      <c r="I724" s="17" t="str">
        <f t="shared" si="11"/>
        <v/>
      </c>
      <c r="J724" s="17" t="str">
        <f>IF(B724="","",IF(B723&lt;'02_Eingaben'!$C$36,0,J723+I723/'02_Eingaben'!$C$8))</f>
        <v/>
      </c>
    </row>
    <row r="725" spans="1:10" x14ac:dyDescent="0.25">
      <c r="A725" t="str">
        <f>IF('01_Rohdaten'!A725="","",ROW()-1)</f>
        <v/>
      </c>
      <c r="B725" s="17" t="str">
        <f>IF('01_Rohdaten'!A725="","",'01_Rohdaten'!A725)</f>
        <v/>
      </c>
      <c r="C725" s="17" t="str">
        <f>IF(B725="","",INDEX('01_Rohdaten'!B725:D725,'02_Eingaben'!$C$13))</f>
        <v/>
      </c>
      <c r="D725" s="17" t="str">
        <f>IF(C725="","",C725*'02_Eingaben'!$C$15)</f>
        <v/>
      </c>
      <c r="E725" s="17" t="str">
        <f>IF(D725="","",D725*'02_Eingaben'!$C$8)</f>
        <v/>
      </c>
      <c r="F725" s="17" t="str">
        <f>IF(E725="","",AVERAGE(INDEX($E$2:$E$3001,MAX(1,ROW()-1-'02_Eingaben'!$C$17)):INDEX($E$2:$E$3001,MIN('02_Eingaben'!$C$21,ROW()-1+'02_Eingaben'!$C$17))))</f>
        <v/>
      </c>
      <c r="G725" s="17" t="str">
        <f>IF(F725="","",F725-'02_Eingaben'!$C$10)</f>
        <v/>
      </c>
      <c r="H725" t="str">
        <f>IF(F725="","",IF(F725&lt;'02_Eingaben'!$C$18*'02_Eingaben'!$C$10,1,0))</f>
        <v/>
      </c>
      <c r="I725" s="17" t="str">
        <f t="shared" si="11"/>
        <v/>
      </c>
      <c r="J725" s="17" t="str">
        <f>IF(B725="","",IF(B724&lt;'02_Eingaben'!$C$36,0,J724+I724/'02_Eingaben'!$C$8))</f>
        <v/>
      </c>
    </row>
    <row r="726" spans="1:10" x14ac:dyDescent="0.25">
      <c r="A726" t="str">
        <f>IF('01_Rohdaten'!A726="","",ROW()-1)</f>
        <v/>
      </c>
      <c r="B726" s="17" t="str">
        <f>IF('01_Rohdaten'!A726="","",'01_Rohdaten'!A726)</f>
        <v/>
      </c>
      <c r="C726" s="17" t="str">
        <f>IF(B726="","",INDEX('01_Rohdaten'!B726:D726,'02_Eingaben'!$C$13))</f>
        <v/>
      </c>
      <c r="D726" s="17" t="str">
        <f>IF(C726="","",C726*'02_Eingaben'!$C$15)</f>
        <v/>
      </c>
      <c r="E726" s="17" t="str">
        <f>IF(D726="","",D726*'02_Eingaben'!$C$8)</f>
        <v/>
      </c>
      <c r="F726" s="17" t="str">
        <f>IF(E726="","",AVERAGE(INDEX($E$2:$E$3001,MAX(1,ROW()-1-'02_Eingaben'!$C$17)):INDEX($E$2:$E$3001,MIN('02_Eingaben'!$C$21,ROW()-1+'02_Eingaben'!$C$17))))</f>
        <v/>
      </c>
      <c r="G726" s="17" t="str">
        <f>IF(F726="","",F726-'02_Eingaben'!$C$10)</f>
        <v/>
      </c>
      <c r="H726" t="str">
        <f>IF(F726="","",IF(F726&lt;'02_Eingaben'!$C$18*'02_Eingaben'!$C$10,1,0))</f>
        <v/>
      </c>
      <c r="I726" s="17" t="str">
        <f t="shared" si="11"/>
        <v/>
      </c>
      <c r="J726" s="17" t="str">
        <f>IF(B726="","",IF(B725&lt;'02_Eingaben'!$C$36,0,J725+I725/'02_Eingaben'!$C$8))</f>
        <v/>
      </c>
    </row>
    <row r="727" spans="1:10" x14ac:dyDescent="0.25">
      <c r="A727" t="str">
        <f>IF('01_Rohdaten'!A727="","",ROW()-1)</f>
        <v/>
      </c>
      <c r="B727" s="17" t="str">
        <f>IF('01_Rohdaten'!A727="","",'01_Rohdaten'!A727)</f>
        <v/>
      </c>
      <c r="C727" s="17" t="str">
        <f>IF(B727="","",INDEX('01_Rohdaten'!B727:D727,'02_Eingaben'!$C$13))</f>
        <v/>
      </c>
      <c r="D727" s="17" t="str">
        <f>IF(C727="","",C727*'02_Eingaben'!$C$15)</f>
        <v/>
      </c>
      <c r="E727" s="17" t="str">
        <f>IF(D727="","",D727*'02_Eingaben'!$C$8)</f>
        <v/>
      </c>
      <c r="F727" s="17" t="str">
        <f>IF(E727="","",AVERAGE(INDEX($E$2:$E$3001,MAX(1,ROW()-1-'02_Eingaben'!$C$17)):INDEX($E$2:$E$3001,MIN('02_Eingaben'!$C$21,ROW()-1+'02_Eingaben'!$C$17))))</f>
        <v/>
      </c>
      <c r="G727" s="17" t="str">
        <f>IF(F727="","",F727-'02_Eingaben'!$C$10)</f>
        <v/>
      </c>
      <c r="H727" t="str">
        <f>IF(F727="","",IF(F727&lt;'02_Eingaben'!$C$18*'02_Eingaben'!$C$10,1,0))</f>
        <v/>
      </c>
      <c r="I727" s="17" t="str">
        <f t="shared" si="11"/>
        <v/>
      </c>
      <c r="J727" s="17" t="str">
        <f>IF(B727="","",IF(B726&lt;'02_Eingaben'!$C$36,0,J726+I726/'02_Eingaben'!$C$8))</f>
        <v/>
      </c>
    </row>
    <row r="728" spans="1:10" x14ac:dyDescent="0.25">
      <c r="A728" t="str">
        <f>IF('01_Rohdaten'!A728="","",ROW()-1)</f>
        <v/>
      </c>
      <c r="B728" s="17" t="str">
        <f>IF('01_Rohdaten'!A728="","",'01_Rohdaten'!A728)</f>
        <v/>
      </c>
      <c r="C728" s="17" t="str">
        <f>IF(B728="","",INDEX('01_Rohdaten'!B728:D728,'02_Eingaben'!$C$13))</f>
        <v/>
      </c>
      <c r="D728" s="17" t="str">
        <f>IF(C728="","",C728*'02_Eingaben'!$C$15)</f>
        <v/>
      </c>
      <c r="E728" s="17" t="str">
        <f>IF(D728="","",D728*'02_Eingaben'!$C$8)</f>
        <v/>
      </c>
      <c r="F728" s="17" t="str">
        <f>IF(E728="","",AVERAGE(INDEX($E$2:$E$3001,MAX(1,ROW()-1-'02_Eingaben'!$C$17)):INDEX($E$2:$E$3001,MIN('02_Eingaben'!$C$21,ROW()-1+'02_Eingaben'!$C$17))))</f>
        <v/>
      </c>
      <c r="G728" s="17" t="str">
        <f>IF(F728="","",F728-'02_Eingaben'!$C$10)</f>
        <v/>
      </c>
      <c r="H728" t="str">
        <f>IF(F728="","",IF(F728&lt;'02_Eingaben'!$C$18*'02_Eingaben'!$C$10,1,0))</f>
        <v/>
      </c>
      <c r="I728" s="17" t="str">
        <f t="shared" si="11"/>
        <v/>
      </c>
      <c r="J728" s="17" t="str">
        <f>IF(B728="","",IF(B727&lt;'02_Eingaben'!$C$36,0,J727+I727/'02_Eingaben'!$C$8))</f>
        <v/>
      </c>
    </row>
    <row r="729" spans="1:10" x14ac:dyDescent="0.25">
      <c r="A729" t="str">
        <f>IF('01_Rohdaten'!A729="","",ROW()-1)</f>
        <v/>
      </c>
      <c r="B729" s="17" t="str">
        <f>IF('01_Rohdaten'!A729="","",'01_Rohdaten'!A729)</f>
        <v/>
      </c>
      <c r="C729" s="17" t="str">
        <f>IF(B729="","",INDEX('01_Rohdaten'!B729:D729,'02_Eingaben'!$C$13))</f>
        <v/>
      </c>
      <c r="D729" s="17" t="str">
        <f>IF(C729="","",C729*'02_Eingaben'!$C$15)</f>
        <v/>
      </c>
      <c r="E729" s="17" t="str">
        <f>IF(D729="","",D729*'02_Eingaben'!$C$8)</f>
        <v/>
      </c>
      <c r="F729" s="17" t="str">
        <f>IF(E729="","",AVERAGE(INDEX($E$2:$E$3001,MAX(1,ROW()-1-'02_Eingaben'!$C$17)):INDEX($E$2:$E$3001,MIN('02_Eingaben'!$C$21,ROW()-1+'02_Eingaben'!$C$17))))</f>
        <v/>
      </c>
      <c r="G729" s="17" t="str">
        <f>IF(F729="","",F729-'02_Eingaben'!$C$10)</f>
        <v/>
      </c>
      <c r="H729" t="str">
        <f>IF(F729="","",IF(F729&lt;'02_Eingaben'!$C$18*'02_Eingaben'!$C$10,1,0))</f>
        <v/>
      </c>
      <c r="I729" s="17" t="str">
        <f t="shared" si="11"/>
        <v/>
      </c>
      <c r="J729" s="17" t="str">
        <f>IF(B729="","",IF(B728&lt;'02_Eingaben'!$C$36,0,J728+I728/'02_Eingaben'!$C$8))</f>
        <v/>
      </c>
    </row>
    <row r="730" spans="1:10" x14ac:dyDescent="0.25">
      <c r="A730" t="str">
        <f>IF('01_Rohdaten'!A730="","",ROW()-1)</f>
        <v/>
      </c>
      <c r="B730" s="17" t="str">
        <f>IF('01_Rohdaten'!A730="","",'01_Rohdaten'!A730)</f>
        <v/>
      </c>
      <c r="C730" s="17" t="str">
        <f>IF(B730="","",INDEX('01_Rohdaten'!B730:D730,'02_Eingaben'!$C$13))</f>
        <v/>
      </c>
      <c r="D730" s="17" t="str">
        <f>IF(C730="","",C730*'02_Eingaben'!$C$15)</f>
        <v/>
      </c>
      <c r="E730" s="17" t="str">
        <f>IF(D730="","",D730*'02_Eingaben'!$C$8)</f>
        <v/>
      </c>
      <c r="F730" s="17" t="str">
        <f>IF(E730="","",AVERAGE(INDEX($E$2:$E$3001,MAX(1,ROW()-1-'02_Eingaben'!$C$17)):INDEX($E$2:$E$3001,MIN('02_Eingaben'!$C$21,ROW()-1+'02_Eingaben'!$C$17))))</f>
        <v/>
      </c>
      <c r="G730" s="17" t="str">
        <f>IF(F730="","",F730-'02_Eingaben'!$C$10)</f>
        <v/>
      </c>
      <c r="H730" t="str">
        <f>IF(F730="","",IF(F730&lt;'02_Eingaben'!$C$18*'02_Eingaben'!$C$10,1,0))</f>
        <v/>
      </c>
      <c r="I730" s="17" t="str">
        <f t="shared" si="11"/>
        <v/>
      </c>
      <c r="J730" s="17" t="str">
        <f>IF(B730="","",IF(B729&lt;'02_Eingaben'!$C$36,0,J729+I729/'02_Eingaben'!$C$8))</f>
        <v/>
      </c>
    </row>
    <row r="731" spans="1:10" x14ac:dyDescent="0.25">
      <c r="A731" t="str">
        <f>IF('01_Rohdaten'!A731="","",ROW()-1)</f>
        <v/>
      </c>
      <c r="B731" s="17" t="str">
        <f>IF('01_Rohdaten'!A731="","",'01_Rohdaten'!A731)</f>
        <v/>
      </c>
      <c r="C731" s="17" t="str">
        <f>IF(B731="","",INDEX('01_Rohdaten'!B731:D731,'02_Eingaben'!$C$13))</f>
        <v/>
      </c>
      <c r="D731" s="17" t="str">
        <f>IF(C731="","",C731*'02_Eingaben'!$C$15)</f>
        <v/>
      </c>
      <c r="E731" s="17" t="str">
        <f>IF(D731="","",D731*'02_Eingaben'!$C$8)</f>
        <v/>
      </c>
      <c r="F731" s="17" t="str">
        <f>IF(E731="","",AVERAGE(INDEX($E$2:$E$3001,MAX(1,ROW()-1-'02_Eingaben'!$C$17)):INDEX($E$2:$E$3001,MIN('02_Eingaben'!$C$21,ROW()-1+'02_Eingaben'!$C$17))))</f>
        <v/>
      </c>
      <c r="G731" s="17" t="str">
        <f>IF(F731="","",F731-'02_Eingaben'!$C$10)</f>
        <v/>
      </c>
      <c r="H731" t="str">
        <f>IF(F731="","",IF(F731&lt;'02_Eingaben'!$C$18*'02_Eingaben'!$C$10,1,0))</f>
        <v/>
      </c>
      <c r="I731" s="17" t="str">
        <f t="shared" si="11"/>
        <v/>
      </c>
      <c r="J731" s="17" t="str">
        <f>IF(B731="","",IF(B730&lt;'02_Eingaben'!$C$36,0,J730+I730/'02_Eingaben'!$C$8))</f>
        <v/>
      </c>
    </row>
    <row r="732" spans="1:10" x14ac:dyDescent="0.25">
      <c r="A732" t="str">
        <f>IF('01_Rohdaten'!A732="","",ROW()-1)</f>
        <v/>
      </c>
      <c r="B732" s="17" t="str">
        <f>IF('01_Rohdaten'!A732="","",'01_Rohdaten'!A732)</f>
        <v/>
      </c>
      <c r="C732" s="17" t="str">
        <f>IF(B732="","",INDEX('01_Rohdaten'!B732:D732,'02_Eingaben'!$C$13))</f>
        <v/>
      </c>
      <c r="D732" s="17" t="str">
        <f>IF(C732="","",C732*'02_Eingaben'!$C$15)</f>
        <v/>
      </c>
      <c r="E732" s="17" t="str">
        <f>IF(D732="","",D732*'02_Eingaben'!$C$8)</f>
        <v/>
      </c>
      <c r="F732" s="17" t="str">
        <f>IF(E732="","",AVERAGE(INDEX($E$2:$E$3001,MAX(1,ROW()-1-'02_Eingaben'!$C$17)):INDEX($E$2:$E$3001,MIN('02_Eingaben'!$C$21,ROW()-1+'02_Eingaben'!$C$17))))</f>
        <v/>
      </c>
      <c r="G732" s="17" t="str">
        <f>IF(F732="","",F732-'02_Eingaben'!$C$10)</f>
        <v/>
      </c>
      <c r="H732" t="str">
        <f>IF(F732="","",IF(F732&lt;'02_Eingaben'!$C$18*'02_Eingaben'!$C$10,1,0))</f>
        <v/>
      </c>
      <c r="I732" s="17" t="str">
        <f t="shared" si="11"/>
        <v/>
      </c>
      <c r="J732" s="17" t="str">
        <f>IF(B732="","",IF(B731&lt;'02_Eingaben'!$C$36,0,J731+I731/'02_Eingaben'!$C$8))</f>
        <v/>
      </c>
    </row>
    <row r="733" spans="1:10" x14ac:dyDescent="0.25">
      <c r="A733" t="str">
        <f>IF('01_Rohdaten'!A733="","",ROW()-1)</f>
        <v/>
      </c>
      <c r="B733" s="17" t="str">
        <f>IF('01_Rohdaten'!A733="","",'01_Rohdaten'!A733)</f>
        <v/>
      </c>
      <c r="C733" s="17" t="str">
        <f>IF(B733="","",INDEX('01_Rohdaten'!B733:D733,'02_Eingaben'!$C$13))</f>
        <v/>
      </c>
      <c r="D733" s="17" t="str">
        <f>IF(C733="","",C733*'02_Eingaben'!$C$15)</f>
        <v/>
      </c>
      <c r="E733" s="17" t="str">
        <f>IF(D733="","",D733*'02_Eingaben'!$C$8)</f>
        <v/>
      </c>
      <c r="F733" s="17" t="str">
        <f>IF(E733="","",AVERAGE(INDEX($E$2:$E$3001,MAX(1,ROW()-1-'02_Eingaben'!$C$17)):INDEX($E$2:$E$3001,MIN('02_Eingaben'!$C$21,ROW()-1+'02_Eingaben'!$C$17))))</f>
        <v/>
      </c>
      <c r="G733" s="17" t="str">
        <f>IF(F733="","",F733-'02_Eingaben'!$C$10)</f>
        <v/>
      </c>
      <c r="H733" t="str">
        <f>IF(F733="","",IF(F733&lt;'02_Eingaben'!$C$18*'02_Eingaben'!$C$10,1,0))</f>
        <v/>
      </c>
      <c r="I733" s="17" t="str">
        <f t="shared" si="11"/>
        <v/>
      </c>
      <c r="J733" s="17" t="str">
        <f>IF(B733="","",IF(B732&lt;'02_Eingaben'!$C$36,0,J732+I732/'02_Eingaben'!$C$8))</f>
        <v/>
      </c>
    </row>
    <row r="734" spans="1:10" x14ac:dyDescent="0.25">
      <c r="A734" t="str">
        <f>IF('01_Rohdaten'!A734="","",ROW()-1)</f>
        <v/>
      </c>
      <c r="B734" s="17" t="str">
        <f>IF('01_Rohdaten'!A734="","",'01_Rohdaten'!A734)</f>
        <v/>
      </c>
      <c r="C734" s="17" t="str">
        <f>IF(B734="","",INDEX('01_Rohdaten'!B734:D734,'02_Eingaben'!$C$13))</f>
        <v/>
      </c>
      <c r="D734" s="17" t="str">
        <f>IF(C734="","",C734*'02_Eingaben'!$C$15)</f>
        <v/>
      </c>
      <c r="E734" s="17" t="str">
        <f>IF(D734="","",D734*'02_Eingaben'!$C$8)</f>
        <v/>
      </c>
      <c r="F734" s="17" t="str">
        <f>IF(E734="","",AVERAGE(INDEX($E$2:$E$3001,MAX(1,ROW()-1-'02_Eingaben'!$C$17)):INDEX($E$2:$E$3001,MIN('02_Eingaben'!$C$21,ROW()-1+'02_Eingaben'!$C$17))))</f>
        <v/>
      </c>
      <c r="G734" s="17" t="str">
        <f>IF(F734="","",F734-'02_Eingaben'!$C$10)</f>
        <v/>
      </c>
      <c r="H734" t="str">
        <f>IF(F734="","",IF(F734&lt;'02_Eingaben'!$C$18*'02_Eingaben'!$C$10,1,0))</f>
        <v/>
      </c>
      <c r="I734" s="17" t="str">
        <f t="shared" si="11"/>
        <v/>
      </c>
      <c r="J734" s="17" t="str">
        <f>IF(B734="","",IF(B733&lt;'02_Eingaben'!$C$36,0,J733+I733/'02_Eingaben'!$C$8))</f>
        <v/>
      </c>
    </row>
    <row r="735" spans="1:10" x14ac:dyDescent="0.25">
      <c r="A735" t="str">
        <f>IF('01_Rohdaten'!A735="","",ROW()-1)</f>
        <v/>
      </c>
      <c r="B735" s="17" t="str">
        <f>IF('01_Rohdaten'!A735="","",'01_Rohdaten'!A735)</f>
        <v/>
      </c>
      <c r="C735" s="17" t="str">
        <f>IF(B735="","",INDEX('01_Rohdaten'!B735:D735,'02_Eingaben'!$C$13))</f>
        <v/>
      </c>
      <c r="D735" s="17" t="str">
        <f>IF(C735="","",C735*'02_Eingaben'!$C$15)</f>
        <v/>
      </c>
      <c r="E735" s="17" t="str">
        <f>IF(D735="","",D735*'02_Eingaben'!$C$8)</f>
        <v/>
      </c>
      <c r="F735" s="17" t="str">
        <f>IF(E735="","",AVERAGE(INDEX($E$2:$E$3001,MAX(1,ROW()-1-'02_Eingaben'!$C$17)):INDEX($E$2:$E$3001,MIN('02_Eingaben'!$C$21,ROW()-1+'02_Eingaben'!$C$17))))</f>
        <v/>
      </c>
      <c r="G735" s="17" t="str">
        <f>IF(F735="","",F735-'02_Eingaben'!$C$10)</f>
        <v/>
      </c>
      <c r="H735" t="str">
        <f>IF(F735="","",IF(F735&lt;'02_Eingaben'!$C$18*'02_Eingaben'!$C$10,1,0))</f>
        <v/>
      </c>
      <c r="I735" s="17" t="str">
        <f t="shared" si="11"/>
        <v/>
      </c>
      <c r="J735" s="17" t="str">
        <f>IF(B735="","",IF(B734&lt;'02_Eingaben'!$C$36,0,J734+I734/'02_Eingaben'!$C$8))</f>
        <v/>
      </c>
    </row>
    <row r="736" spans="1:10" x14ac:dyDescent="0.25">
      <c r="A736" t="str">
        <f>IF('01_Rohdaten'!A736="","",ROW()-1)</f>
        <v/>
      </c>
      <c r="B736" s="17" t="str">
        <f>IF('01_Rohdaten'!A736="","",'01_Rohdaten'!A736)</f>
        <v/>
      </c>
      <c r="C736" s="17" t="str">
        <f>IF(B736="","",INDEX('01_Rohdaten'!B736:D736,'02_Eingaben'!$C$13))</f>
        <v/>
      </c>
      <c r="D736" s="17" t="str">
        <f>IF(C736="","",C736*'02_Eingaben'!$C$15)</f>
        <v/>
      </c>
      <c r="E736" s="17" t="str">
        <f>IF(D736="","",D736*'02_Eingaben'!$C$8)</f>
        <v/>
      </c>
      <c r="F736" s="17" t="str">
        <f>IF(E736="","",AVERAGE(INDEX($E$2:$E$3001,MAX(1,ROW()-1-'02_Eingaben'!$C$17)):INDEX($E$2:$E$3001,MIN('02_Eingaben'!$C$21,ROW()-1+'02_Eingaben'!$C$17))))</f>
        <v/>
      </c>
      <c r="G736" s="17" t="str">
        <f>IF(F736="","",F736-'02_Eingaben'!$C$10)</f>
        <v/>
      </c>
      <c r="H736" t="str">
        <f>IF(F736="","",IF(F736&lt;'02_Eingaben'!$C$18*'02_Eingaben'!$C$10,1,0))</f>
        <v/>
      </c>
      <c r="I736" s="17" t="str">
        <f t="shared" si="11"/>
        <v/>
      </c>
      <c r="J736" s="17" t="str">
        <f>IF(B736="","",IF(B735&lt;'02_Eingaben'!$C$36,0,J735+I735/'02_Eingaben'!$C$8))</f>
        <v/>
      </c>
    </row>
    <row r="737" spans="1:10" x14ac:dyDescent="0.25">
      <c r="A737" t="str">
        <f>IF('01_Rohdaten'!A737="","",ROW()-1)</f>
        <v/>
      </c>
      <c r="B737" s="17" t="str">
        <f>IF('01_Rohdaten'!A737="","",'01_Rohdaten'!A737)</f>
        <v/>
      </c>
      <c r="C737" s="17" t="str">
        <f>IF(B737="","",INDEX('01_Rohdaten'!B737:D737,'02_Eingaben'!$C$13))</f>
        <v/>
      </c>
      <c r="D737" s="17" t="str">
        <f>IF(C737="","",C737*'02_Eingaben'!$C$15)</f>
        <v/>
      </c>
      <c r="E737" s="17" t="str">
        <f>IF(D737="","",D737*'02_Eingaben'!$C$8)</f>
        <v/>
      </c>
      <c r="F737" s="17" t="str">
        <f>IF(E737="","",AVERAGE(INDEX($E$2:$E$3001,MAX(1,ROW()-1-'02_Eingaben'!$C$17)):INDEX($E$2:$E$3001,MIN('02_Eingaben'!$C$21,ROW()-1+'02_Eingaben'!$C$17))))</f>
        <v/>
      </c>
      <c r="G737" s="17" t="str">
        <f>IF(F737="","",F737-'02_Eingaben'!$C$10)</f>
        <v/>
      </c>
      <c r="H737" t="str">
        <f>IF(F737="","",IF(F737&lt;'02_Eingaben'!$C$18*'02_Eingaben'!$C$10,1,0))</f>
        <v/>
      </c>
      <c r="I737" s="17" t="str">
        <f t="shared" si="11"/>
        <v/>
      </c>
      <c r="J737" s="17" t="str">
        <f>IF(B737="","",IF(B736&lt;'02_Eingaben'!$C$36,0,J736+I736/'02_Eingaben'!$C$8))</f>
        <v/>
      </c>
    </row>
    <row r="738" spans="1:10" x14ac:dyDescent="0.25">
      <c r="A738" t="str">
        <f>IF('01_Rohdaten'!A738="","",ROW()-1)</f>
        <v/>
      </c>
      <c r="B738" s="17" t="str">
        <f>IF('01_Rohdaten'!A738="","",'01_Rohdaten'!A738)</f>
        <v/>
      </c>
      <c r="C738" s="17" t="str">
        <f>IF(B738="","",INDEX('01_Rohdaten'!B738:D738,'02_Eingaben'!$C$13))</f>
        <v/>
      </c>
      <c r="D738" s="17" t="str">
        <f>IF(C738="","",C738*'02_Eingaben'!$C$15)</f>
        <v/>
      </c>
      <c r="E738" s="17" t="str">
        <f>IF(D738="","",D738*'02_Eingaben'!$C$8)</f>
        <v/>
      </c>
      <c r="F738" s="17" t="str">
        <f>IF(E738="","",AVERAGE(INDEX($E$2:$E$3001,MAX(1,ROW()-1-'02_Eingaben'!$C$17)):INDEX($E$2:$E$3001,MIN('02_Eingaben'!$C$21,ROW()-1+'02_Eingaben'!$C$17))))</f>
        <v/>
      </c>
      <c r="G738" s="17" t="str">
        <f>IF(F738="","",F738-'02_Eingaben'!$C$10)</f>
        <v/>
      </c>
      <c r="H738" t="str">
        <f>IF(F738="","",IF(F738&lt;'02_Eingaben'!$C$18*'02_Eingaben'!$C$10,1,0))</f>
        <v/>
      </c>
      <c r="I738" s="17" t="str">
        <f t="shared" si="11"/>
        <v/>
      </c>
      <c r="J738" s="17" t="str">
        <f>IF(B738="","",IF(B737&lt;'02_Eingaben'!$C$36,0,J737+I737/'02_Eingaben'!$C$8))</f>
        <v/>
      </c>
    </row>
    <row r="739" spans="1:10" x14ac:dyDescent="0.25">
      <c r="A739" t="str">
        <f>IF('01_Rohdaten'!A739="","",ROW()-1)</f>
        <v/>
      </c>
      <c r="B739" s="17" t="str">
        <f>IF('01_Rohdaten'!A739="","",'01_Rohdaten'!A739)</f>
        <v/>
      </c>
      <c r="C739" s="17" t="str">
        <f>IF(B739="","",INDEX('01_Rohdaten'!B739:D739,'02_Eingaben'!$C$13))</f>
        <v/>
      </c>
      <c r="D739" s="17" t="str">
        <f>IF(C739="","",C739*'02_Eingaben'!$C$15)</f>
        <v/>
      </c>
      <c r="E739" s="17" t="str">
        <f>IF(D739="","",D739*'02_Eingaben'!$C$8)</f>
        <v/>
      </c>
      <c r="F739" s="17" t="str">
        <f>IF(E739="","",AVERAGE(INDEX($E$2:$E$3001,MAX(1,ROW()-1-'02_Eingaben'!$C$17)):INDEX($E$2:$E$3001,MIN('02_Eingaben'!$C$21,ROW()-1+'02_Eingaben'!$C$17))))</f>
        <v/>
      </c>
      <c r="G739" s="17" t="str">
        <f>IF(F739="","",F739-'02_Eingaben'!$C$10)</f>
        <v/>
      </c>
      <c r="H739" t="str">
        <f>IF(F739="","",IF(F739&lt;'02_Eingaben'!$C$18*'02_Eingaben'!$C$10,1,0))</f>
        <v/>
      </c>
      <c r="I739" s="17" t="str">
        <f t="shared" si="11"/>
        <v/>
      </c>
      <c r="J739" s="17" t="str">
        <f>IF(B739="","",IF(B738&lt;'02_Eingaben'!$C$36,0,J738+I738/'02_Eingaben'!$C$8))</f>
        <v/>
      </c>
    </row>
    <row r="740" spans="1:10" x14ac:dyDescent="0.25">
      <c r="A740" t="str">
        <f>IF('01_Rohdaten'!A740="","",ROW()-1)</f>
        <v/>
      </c>
      <c r="B740" s="17" t="str">
        <f>IF('01_Rohdaten'!A740="","",'01_Rohdaten'!A740)</f>
        <v/>
      </c>
      <c r="C740" s="17" t="str">
        <f>IF(B740="","",INDEX('01_Rohdaten'!B740:D740,'02_Eingaben'!$C$13))</f>
        <v/>
      </c>
      <c r="D740" s="17" t="str">
        <f>IF(C740="","",C740*'02_Eingaben'!$C$15)</f>
        <v/>
      </c>
      <c r="E740" s="17" t="str">
        <f>IF(D740="","",D740*'02_Eingaben'!$C$8)</f>
        <v/>
      </c>
      <c r="F740" s="17" t="str">
        <f>IF(E740="","",AVERAGE(INDEX($E$2:$E$3001,MAX(1,ROW()-1-'02_Eingaben'!$C$17)):INDEX($E$2:$E$3001,MIN('02_Eingaben'!$C$21,ROW()-1+'02_Eingaben'!$C$17))))</f>
        <v/>
      </c>
      <c r="G740" s="17" t="str">
        <f>IF(F740="","",F740-'02_Eingaben'!$C$10)</f>
        <v/>
      </c>
      <c r="H740" t="str">
        <f>IF(F740="","",IF(F740&lt;'02_Eingaben'!$C$18*'02_Eingaben'!$C$10,1,0))</f>
        <v/>
      </c>
      <c r="I740" s="17" t="str">
        <f t="shared" si="11"/>
        <v/>
      </c>
      <c r="J740" s="17" t="str">
        <f>IF(B740="","",IF(B739&lt;'02_Eingaben'!$C$36,0,J739+I739/'02_Eingaben'!$C$8))</f>
        <v/>
      </c>
    </row>
    <row r="741" spans="1:10" x14ac:dyDescent="0.25">
      <c r="A741" t="str">
        <f>IF('01_Rohdaten'!A741="","",ROW()-1)</f>
        <v/>
      </c>
      <c r="B741" s="17" t="str">
        <f>IF('01_Rohdaten'!A741="","",'01_Rohdaten'!A741)</f>
        <v/>
      </c>
      <c r="C741" s="17" t="str">
        <f>IF(B741="","",INDEX('01_Rohdaten'!B741:D741,'02_Eingaben'!$C$13))</f>
        <v/>
      </c>
      <c r="D741" s="17" t="str">
        <f>IF(C741="","",C741*'02_Eingaben'!$C$15)</f>
        <v/>
      </c>
      <c r="E741" s="17" t="str">
        <f>IF(D741="","",D741*'02_Eingaben'!$C$8)</f>
        <v/>
      </c>
      <c r="F741" s="17" t="str">
        <f>IF(E741="","",AVERAGE(INDEX($E$2:$E$3001,MAX(1,ROW()-1-'02_Eingaben'!$C$17)):INDEX($E$2:$E$3001,MIN('02_Eingaben'!$C$21,ROW()-1+'02_Eingaben'!$C$17))))</f>
        <v/>
      </c>
      <c r="G741" s="17" t="str">
        <f>IF(F741="","",F741-'02_Eingaben'!$C$10)</f>
        <v/>
      </c>
      <c r="H741" t="str">
        <f>IF(F741="","",IF(F741&lt;'02_Eingaben'!$C$18*'02_Eingaben'!$C$10,1,0))</f>
        <v/>
      </c>
      <c r="I741" s="17" t="str">
        <f t="shared" si="11"/>
        <v/>
      </c>
      <c r="J741" s="17" t="str">
        <f>IF(B741="","",IF(B740&lt;'02_Eingaben'!$C$36,0,J740+I740/'02_Eingaben'!$C$8))</f>
        <v/>
      </c>
    </row>
    <row r="742" spans="1:10" x14ac:dyDescent="0.25">
      <c r="A742" t="str">
        <f>IF('01_Rohdaten'!A742="","",ROW()-1)</f>
        <v/>
      </c>
      <c r="B742" s="17" t="str">
        <f>IF('01_Rohdaten'!A742="","",'01_Rohdaten'!A742)</f>
        <v/>
      </c>
      <c r="C742" s="17" t="str">
        <f>IF(B742="","",INDEX('01_Rohdaten'!B742:D742,'02_Eingaben'!$C$13))</f>
        <v/>
      </c>
      <c r="D742" s="17" t="str">
        <f>IF(C742="","",C742*'02_Eingaben'!$C$15)</f>
        <v/>
      </c>
      <c r="E742" s="17" t="str">
        <f>IF(D742="","",D742*'02_Eingaben'!$C$8)</f>
        <v/>
      </c>
      <c r="F742" s="17" t="str">
        <f>IF(E742="","",AVERAGE(INDEX($E$2:$E$3001,MAX(1,ROW()-1-'02_Eingaben'!$C$17)):INDEX($E$2:$E$3001,MIN('02_Eingaben'!$C$21,ROW()-1+'02_Eingaben'!$C$17))))</f>
        <v/>
      </c>
      <c r="G742" s="17" t="str">
        <f>IF(F742="","",F742-'02_Eingaben'!$C$10)</f>
        <v/>
      </c>
      <c r="H742" t="str">
        <f>IF(F742="","",IF(F742&lt;'02_Eingaben'!$C$18*'02_Eingaben'!$C$10,1,0))</f>
        <v/>
      </c>
      <c r="I742" s="17" t="str">
        <f t="shared" si="11"/>
        <v/>
      </c>
      <c r="J742" s="17" t="str">
        <f>IF(B742="","",IF(B741&lt;'02_Eingaben'!$C$36,0,J741+I741/'02_Eingaben'!$C$8))</f>
        <v/>
      </c>
    </row>
    <row r="743" spans="1:10" x14ac:dyDescent="0.25">
      <c r="A743" t="str">
        <f>IF('01_Rohdaten'!A743="","",ROW()-1)</f>
        <v/>
      </c>
      <c r="B743" s="17" t="str">
        <f>IF('01_Rohdaten'!A743="","",'01_Rohdaten'!A743)</f>
        <v/>
      </c>
      <c r="C743" s="17" t="str">
        <f>IF(B743="","",INDEX('01_Rohdaten'!B743:D743,'02_Eingaben'!$C$13))</f>
        <v/>
      </c>
      <c r="D743" s="17" t="str">
        <f>IF(C743="","",C743*'02_Eingaben'!$C$15)</f>
        <v/>
      </c>
      <c r="E743" s="17" t="str">
        <f>IF(D743="","",D743*'02_Eingaben'!$C$8)</f>
        <v/>
      </c>
      <c r="F743" s="17" t="str">
        <f>IF(E743="","",AVERAGE(INDEX($E$2:$E$3001,MAX(1,ROW()-1-'02_Eingaben'!$C$17)):INDEX($E$2:$E$3001,MIN('02_Eingaben'!$C$21,ROW()-1+'02_Eingaben'!$C$17))))</f>
        <v/>
      </c>
      <c r="G743" s="17" t="str">
        <f>IF(F743="","",F743-'02_Eingaben'!$C$10)</f>
        <v/>
      </c>
      <c r="H743" t="str">
        <f>IF(F743="","",IF(F743&lt;'02_Eingaben'!$C$18*'02_Eingaben'!$C$10,1,0))</f>
        <v/>
      </c>
      <c r="I743" s="17" t="str">
        <f t="shared" si="11"/>
        <v/>
      </c>
      <c r="J743" s="17" t="str">
        <f>IF(B743="","",IF(B742&lt;'02_Eingaben'!$C$36,0,J742+I742/'02_Eingaben'!$C$8))</f>
        <v/>
      </c>
    </row>
    <row r="744" spans="1:10" x14ac:dyDescent="0.25">
      <c r="A744" t="str">
        <f>IF('01_Rohdaten'!A744="","",ROW()-1)</f>
        <v/>
      </c>
      <c r="B744" s="17" t="str">
        <f>IF('01_Rohdaten'!A744="","",'01_Rohdaten'!A744)</f>
        <v/>
      </c>
      <c r="C744" s="17" t="str">
        <f>IF(B744="","",INDEX('01_Rohdaten'!B744:D744,'02_Eingaben'!$C$13))</f>
        <v/>
      </c>
      <c r="D744" s="17" t="str">
        <f>IF(C744="","",C744*'02_Eingaben'!$C$15)</f>
        <v/>
      </c>
      <c r="E744" s="17" t="str">
        <f>IF(D744="","",D744*'02_Eingaben'!$C$8)</f>
        <v/>
      </c>
      <c r="F744" s="17" t="str">
        <f>IF(E744="","",AVERAGE(INDEX($E$2:$E$3001,MAX(1,ROW()-1-'02_Eingaben'!$C$17)):INDEX($E$2:$E$3001,MIN('02_Eingaben'!$C$21,ROW()-1+'02_Eingaben'!$C$17))))</f>
        <v/>
      </c>
      <c r="G744" s="17" t="str">
        <f>IF(F744="","",F744-'02_Eingaben'!$C$10)</f>
        <v/>
      </c>
      <c r="H744" t="str">
        <f>IF(F744="","",IF(F744&lt;'02_Eingaben'!$C$18*'02_Eingaben'!$C$10,1,0))</f>
        <v/>
      </c>
      <c r="I744" s="17" t="str">
        <f t="shared" si="11"/>
        <v/>
      </c>
      <c r="J744" s="17" t="str">
        <f>IF(B744="","",IF(B743&lt;'02_Eingaben'!$C$36,0,J743+I743/'02_Eingaben'!$C$8))</f>
        <v/>
      </c>
    </row>
    <row r="745" spans="1:10" x14ac:dyDescent="0.25">
      <c r="A745" t="str">
        <f>IF('01_Rohdaten'!A745="","",ROW()-1)</f>
        <v/>
      </c>
      <c r="B745" s="17" t="str">
        <f>IF('01_Rohdaten'!A745="","",'01_Rohdaten'!A745)</f>
        <v/>
      </c>
      <c r="C745" s="17" t="str">
        <f>IF(B745="","",INDEX('01_Rohdaten'!B745:D745,'02_Eingaben'!$C$13))</f>
        <v/>
      </c>
      <c r="D745" s="17" t="str">
        <f>IF(C745="","",C745*'02_Eingaben'!$C$15)</f>
        <v/>
      </c>
      <c r="E745" s="17" t="str">
        <f>IF(D745="","",D745*'02_Eingaben'!$C$8)</f>
        <v/>
      </c>
      <c r="F745" s="17" t="str">
        <f>IF(E745="","",AVERAGE(INDEX($E$2:$E$3001,MAX(1,ROW()-1-'02_Eingaben'!$C$17)):INDEX($E$2:$E$3001,MIN('02_Eingaben'!$C$21,ROW()-1+'02_Eingaben'!$C$17))))</f>
        <v/>
      </c>
      <c r="G745" s="17" t="str">
        <f>IF(F745="","",F745-'02_Eingaben'!$C$10)</f>
        <v/>
      </c>
      <c r="H745" t="str">
        <f>IF(F745="","",IF(F745&lt;'02_Eingaben'!$C$18*'02_Eingaben'!$C$10,1,0))</f>
        <v/>
      </c>
      <c r="I745" s="17" t="str">
        <f t="shared" si="11"/>
        <v/>
      </c>
      <c r="J745" s="17" t="str">
        <f>IF(B745="","",IF(B744&lt;'02_Eingaben'!$C$36,0,J744+I744/'02_Eingaben'!$C$8))</f>
        <v/>
      </c>
    </row>
    <row r="746" spans="1:10" x14ac:dyDescent="0.25">
      <c r="A746" t="str">
        <f>IF('01_Rohdaten'!A746="","",ROW()-1)</f>
        <v/>
      </c>
      <c r="B746" s="17" t="str">
        <f>IF('01_Rohdaten'!A746="","",'01_Rohdaten'!A746)</f>
        <v/>
      </c>
      <c r="C746" s="17" t="str">
        <f>IF(B746="","",INDEX('01_Rohdaten'!B746:D746,'02_Eingaben'!$C$13))</f>
        <v/>
      </c>
      <c r="D746" s="17" t="str">
        <f>IF(C746="","",C746*'02_Eingaben'!$C$15)</f>
        <v/>
      </c>
      <c r="E746" s="17" t="str">
        <f>IF(D746="","",D746*'02_Eingaben'!$C$8)</f>
        <v/>
      </c>
      <c r="F746" s="17" t="str">
        <f>IF(E746="","",AVERAGE(INDEX($E$2:$E$3001,MAX(1,ROW()-1-'02_Eingaben'!$C$17)):INDEX($E$2:$E$3001,MIN('02_Eingaben'!$C$21,ROW()-1+'02_Eingaben'!$C$17))))</f>
        <v/>
      </c>
      <c r="G746" s="17" t="str">
        <f>IF(F746="","",F746-'02_Eingaben'!$C$10)</f>
        <v/>
      </c>
      <c r="H746" t="str">
        <f>IF(F746="","",IF(F746&lt;'02_Eingaben'!$C$18*'02_Eingaben'!$C$10,1,0))</f>
        <v/>
      </c>
      <c r="I746" s="17" t="str">
        <f t="shared" si="11"/>
        <v/>
      </c>
      <c r="J746" s="17" t="str">
        <f>IF(B746="","",IF(B745&lt;'02_Eingaben'!$C$36,0,J745+I745/'02_Eingaben'!$C$8))</f>
        <v/>
      </c>
    </row>
    <row r="747" spans="1:10" x14ac:dyDescent="0.25">
      <c r="A747" t="str">
        <f>IF('01_Rohdaten'!A747="","",ROW()-1)</f>
        <v/>
      </c>
      <c r="B747" s="17" t="str">
        <f>IF('01_Rohdaten'!A747="","",'01_Rohdaten'!A747)</f>
        <v/>
      </c>
      <c r="C747" s="17" t="str">
        <f>IF(B747="","",INDEX('01_Rohdaten'!B747:D747,'02_Eingaben'!$C$13))</f>
        <v/>
      </c>
      <c r="D747" s="17" t="str">
        <f>IF(C747="","",C747*'02_Eingaben'!$C$15)</f>
        <v/>
      </c>
      <c r="E747" s="17" t="str">
        <f>IF(D747="","",D747*'02_Eingaben'!$C$8)</f>
        <v/>
      </c>
      <c r="F747" s="17" t="str">
        <f>IF(E747="","",AVERAGE(INDEX($E$2:$E$3001,MAX(1,ROW()-1-'02_Eingaben'!$C$17)):INDEX($E$2:$E$3001,MIN('02_Eingaben'!$C$21,ROW()-1+'02_Eingaben'!$C$17))))</f>
        <v/>
      </c>
      <c r="G747" s="17" t="str">
        <f>IF(F747="","",F747-'02_Eingaben'!$C$10)</f>
        <v/>
      </c>
      <c r="H747" t="str">
        <f>IF(F747="","",IF(F747&lt;'02_Eingaben'!$C$18*'02_Eingaben'!$C$10,1,0))</f>
        <v/>
      </c>
      <c r="I747" s="17" t="str">
        <f t="shared" si="11"/>
        <v/>
      </c>
      <c r="J747" s="17" t="str">
        <f>IF(B747="","",IF(B746&lt;'02_Eingaben'!$C$36,0,J746+I746/'02_Eingaben'!$C$8))</f>
        <v/>
      </c>
    </row>
    <row r="748" spans="1:10" x14ac:dyDescent="0.25">
      <c r="A748" t="str">
        <f>IF('01_Rohdaten'!A748="","",ROW()-1)</f>
        <v/>
      </c>
      <c r="B748" s="17" t="str">
        <f>IF('01_Rohdaten'!A748="","",'01_Rohdaten'!A748)</f>
        <v/>
      </c>
      <c r="C748" s="17" t="str">
        <f>IF(B748="","",INDEX('01_Rohdaten'!B748:D748,'02_Eingaben'!$C$13))</f>
        <v/>
      </c>
      <c r="D748" s="17" t="str">
        <f>IF(C748="","",C748*'02_Eingaben'!$C$15)</f>
        <v/>
      </c>
      <c r="E748" s="17" t="str">
        <f>IF(D748="","",D748*'02_Eingaben'!$C$8)</f>
        <v/>
      </c>
      <c r="F748" s="17" t="str">
        <f>IF(E748="","",AVERAGE(INDEX($E$2:$E$3001,MAX(1,ROW()-1-'02_Eingaben'!$C$17)):INDEX($E$2:$E$3001,MIN('02_Eingaben'!$C$21,ROW()-1+'02_Eingaben'!$C$17))))</f>
        <v/>
      </c>
      <c r="G748" s="17" t="str">
        <f>IF(F748="","",F748-'02_Eingaben'!$C$10)</f>
        <v/>
      </c>
      <c r="H748" t="str">
        <f>IF(F748="","",IF(F748&lt;'02_Eingaben'!$C$18*'02_Eingaben'!$C$10,1,0))</f>
        <v/>
      </c>
      <c r="I748" s="17" t="str">
        <f t="shared" si="11"/>
        <v/>
      </c>
      <c r="J748" s="17" t="str">
        <f>IF(B748="","",IF(B747&lt;'02_Eingaben'!$C$36,0,J747+I747/'02_Eingaben'!$C$8))</f>
        <v/>
      </c>
    </row>
    <row r="749" spans="1:10" x14ac:dyDescent="0.25">
      <c r="A749" t="str">
        <f>IF('01_Rohdaten'!A749="","",ROW()-1)</f>
        <v/>
      </c>
      <c r="B749" s="17" t="str">
        <f>IF('01_Rohdaten'!A749="","",'01_Rohdaten'!A749)</f>
        <v/>
      </c>
      <c r="C749" s="17" t="str">
        <f>IF(B749="","",INDEX('01_Rohdaten'!B749:D749,'02_Eingaben'!$C$13))</f>
        <v/>
      </c>
      <c r="D749" s="17" t="str">
        <f>IF(C749="","",C749*'02_Eingaben'!$C$15)</f>
        <v/>
      </c>
      <c r="E749" s="17" t="str">
        <f>IF(D749="","",D749*'02_Eingaben'!$C$8)</f>
        <v/>
      </c>
      <c r="F749" s="17" t="str">
        <f>IF(E749="","",AVERAGE(INDEX($E$2:$E$3001,MAX(1,ROW()-1-'02_Eingaben'!$C$17)):INDEX($E$2:$E$3001,MIN('02_Eingaben'!$C$21,ROW()-1+'02_Eingaben'!$C$17))))</f>
        <v/>
      </c>
      <c r="G749" s="17" t="str">
        <f>IF(F749="","",F749-'02_Eingaben'!$C$10)</f>
        <v/>
      </c>
      <c r="H749" t="str">
        <f>IF(F749="","",IF(F749&lt;'02_Eingaben'!$C$18*'02_Eingaben'!$C$10,1,0))</f>
        <v/>
      </c>
      <c r="I749" s="17" t="str">
        <f t="shared" si="11"/>
        <v/>
      </c>
      <c r="J749" s="17" t="str">
        <f>IF(B749="","",IF(B748&lt;'02_Eingaben'!$C$36,0,J748+I748/'02_Eingaben'!$C$8))</f>
        <v/>
      </c>
    </row>
    <row r="750" spans="1:10" x14ac:dyDescent="0.25">
      <c r="A750" t="str">
        <f>IF('01_Rohdaten'!A750="","",ROW()-1)</f>
        <v/>
      </c>
      <c r="B750" s="17" t="str">
        <f>IF('01_Rohdaten'!A750="","",'01_Rohdaten'!A750)</f>
        <v/>
      </c>
      <c r="C750" s="17" t="str">
        <f>IF(B750="","",INDEX('01_Rohdaten'!B750:D750,'02_Eingaben'!$C$13))</f>
        <v/>
      </c>
      <c r="D750" s="17" t="str">
        <f>IF(C750="","",C750*'02_Eingaben'!$C$15)</f>
        <v/>
      </c>
      <c r="E750" s="17" t="str">
        <f>IF(D750="","",D750*'02_Eingaben'!$C$8)</f>
        <v/>
      </c>
      <c r="F750" s="17" t="str">
        <f>IF(E750="","",AVERAGE(INDEX($E$2:$E$3001,MAX(1,ROW()-1-'02_Eingaben'!$C$17)):INDEX($E$2:$E$3001,MIN('02_Eingaben'!$C$21,ROW()-1+'02_Eingaben'!$C$17))))</f>
        <v/>
      </c>
      <c r="G750" s="17" t="str">
        <f>IF(F750="","",F750-'02_Eingaben'!$C$10)</f>
        <v/>
      </c>
      <c r="H750" t="str">
        <f>IF(F750="","",IF(F750&lt;'02_Eingaben'!$C$18*'02_Eingaben'!$C$10,1,0))</f>
        <v/>
      </c>
      <c r="I750" s="17" t="str">
        <f t="shared" si="11"/>
        <v/>
      </c>
      <c r="J750" s="17" t="str">
        <f>IF(B750="","",IF(B749&lt;'02_Eingaben'!$C$36,0,J749+I749/'02_Eingaben'!$C$8))</f>
        <v/>
      </c>
    </row>
    <row r="751" spans="1:10" x14ac:dyDescent="0.25">
      <c r="A751" t="str">
        <f>IF('01_Rohdaten'!A751="","",ROW()-1)</f>
        <v/>
      </c>
      <c r="B751" s="17" t="str">
        <f>IF('01_Rohdaten'!A751="","",'01_Rohdaten'!A751)</f>
        <v/>
      </c>
      <c r="C751" s="17" t="str">
        <f>IF(B751="","",INDEX('01_Rohdaten'!B751:D751,'02_Eingaben'!$C$13))</f>
        <v/>
      </c>
      <c r="D751" s="17" t="str">
        <f>IF(C751="","",C751*'02_Eingaben'!$C$15)</f>
        <v/>
      </c>
      <c r="E751" s="17" t="str">
        <f>IF(D751="","",D751*'02_Eingaben'!$C$8)</f>
        <v/>
      </c>
      <c r="F751" s="17" t="str">
        <f>IF(E751="","",AVERAGE(INDEX($E$2:$E$3001,MAX(1,ROW()-1-'02_Eingaben'!$C$17)):INDEX($E$2:$E$3001,MIN('02_Eingaben'!$C$21,ROW()-1+'02_Eingaben'!$C$17))))</f>
        <v/>
      </c>
      <c r="G751" s="17" t="str">
        <f>IF(F751="","",F751-'02_Eingaben'!$C$10)</f>
        <v/>
      </c>
      <c r="H751" t="str">
        <f>IF(F751="","",IF(F751&lt;'02_Eingaben'!$C$18*'02_Eingaben'!$C$10,1,0))</f>
        <v/>
      </c>
      <c r="I751" s="17" t="str">
        <f t="shared" si="11"/>
        <v/>
      </c>
      <c r="J751" s="17" t="str">
        <f>IF(B751="","",IF(B750&lt;'02_Eingaben'!$C$36,0,J750+I750/'02_Eingaben'!$C$8))</f>
        <v/>
      </c>
    </row>
    <row r="752" spans="1:10" x14ac:dyDescent="0.25">
      <c r="A752" t="str">
        <f>IF('01_Rohdaten'!A752="","",ROW()-1)</f>
        <v/>
      </c>
      <c r="B752" s="17" t="str">
        <f>IF('01_Rohdaten'!A752="","",'01_Rohdaten'!A752)</f>
        <v/>
      </c>
      <c r="C752" s="17" t="str">
        <f>IF(B752="","",INDEX('01_Rohdaten'!B752:D752,'02_Eingaben'!$C$13))</f>
        <v/>
      </c>
      <c r="D752" s="17" t="str">
        <f>IF(C752="","",C752*'02_Eingaben'!$C$15)</f>
        <v/>
      </c>
      <c r="E752" s="17" t="str">
        <f>IF(D752="","",D752*'02_Eingaben'!$C$8)</f>
        <v/>
      </c>
      <c r="F752" s="17" t="str">
        <f>IF(E752="","",AVERAGE(INDEX($E$2:$E$3001,MAX(1,ROW()-1-'02_Eingaben'!$C$17)):INDEX($E$2:$E$3001,MIN('02_Eingaben'!$C$21,ROW()-1+'02_Eingaben'!$C$17))))</f>
        <v/>
      </c>
      <c r="G752" s="17" t="str">
        <f>IF(F752="","",F752-'02_Eingaben'!$C$10)</f>
        <v/>
      </c>
      <c r="H752" t="str">
        <f>IF(F752="","",IF(F752&lt;'02_Eingaben'!$C$18*'02_Eingaben'!$C$10,1,0))</f>
        <v/>
      </c>
      <c r="I752" s="17" t="str">
        <f t="shared" si="11"/>
        <v/>
      </c>
      <c r="J752" s="17" t="str">
        <f>IF(B752="","",IF(B751&lt;'02_Eingaben'!$C$36,0,J751+I751/'02_Eingaben'!$C$8))</f>
        <v/>
      </c>
    </row>
    <row r="753" spans="1:10" x14ac:dyDescent="0.25">
      <c r="A753" t="str">
        <f>IF('01_Rohdaten'!A753="","",ROW()-1)</f>
        <v/>
      </c>
      <c r="B753" s="17" t="str">
        <f>IF('01_Rohdaten'!A753="","",'01_Rohdaten'!A753)</f>
        <v/>
      </c>
      <c r="C753" s="17" t="str">
        <f>IF(B753="","",INDEX('01_Rohdaten'!B753:D753,'02_Eingaben'!$C$13))</f>
        <v/>
      </c>
      <c r="D753" s="17" t="str">
        <f>IF(C753="","",C753*'02_Eingaben'!$C$15)</f>
        <v/>
      </c>
      <c r="E753" s="17" t="str">
        <f>IF(D753="","",D753*'02_Eingaben'!$C$8)</f>
        <v/>
      </c>
      <c r="F753" s="17" t="str">
        <f>IF(E753="","",AVERAGE(INDEX($E$2:$E$3001,MAX(1,ROW()-1-'02_Eingaben'!$C$17)):INDEX($E$2:$E$3001,MIN('02_Eingaben'!$C$21,ROW()-1+'02_Eingaben'!$C$17))))</f>
        <v/>
      </c>
      <c r="G753" s="17" t="str">
        <f>IF(F753="","",F753-'02_Eingaben'!$C$10)</f>
        <v/>
      </c>
      <c r="H753" t="str">
        <f>IF(F753="","",IF(F753&lt;'02_Eingaben'!$C$18*'02_Eingaben'!$C$10,1,0))</f>
        <v/>
      </c>
      <c r="I753" s="17" t="str">
        <f t="shared" si="11"/>
        <v/>
      </c>
      <c r="J753" s="17" t="str">
        <f>IF(B753="","",IF(B752&lt;'02_Eingaben'!$C$36,0,J752+I752/'02_Eingaben'!$C$8))</f>
        <v/>
      </c>
    </row>
    <row r="754" spans="1:10" x14ac:dyDescent="0.25">
      <c r="A754" t="str">
        <f>IF('01_Rohdaten'!A754="","",ROW()-1)</f>
        <v/>
      </c>
      <c r="B754" s="17" t="str">
        <f>IF('01_Rohdaten'!A754="","",'01_Rohdaten'!A754)</f>
        <v/>
      </c>
      <c r="C754" s="17" t="str">
        <f>IF(B754="","",INDEX('01_Rohdaten'!B754:D754,'02_Eingaben'!$C$13))</f>
        <v/>
      </c>
      <c r="D754" s="17" t="str">
        <f>IF(C754="","",C754*'02_Eingaben'!$C$15)</f>
        <v/>
      </c>
      <c r="E754" s="17" t="str">
        <f>IF(D754="","",D754*'02_Eingaben'!$C$8)</f>
        <v/>
      </c>
      <c r="F754" s="17" t="str">
        <f>IF(E754="","",AVERAGE(INDEX($E$2:$E$3001,MAX(1,ROW()-1-'02_Eingaben'!$C$17)):INDEX($E$2:$E$3001,MIN('02_Eingaben'!$C$21,ROW()-1+'02_Eingaben'!$C$17))))</f>
        <v/>
      </c>
      <c r="G754" s="17" t="str">
        <f>IF(F754="","",F754-'02_Eingaben'!$C$10)</f>
        <v/>
      </c>
      <c r="H754" t="str">
        <f>IF(F754="","",IF(F754&lt;'02_Eingaben'!$C$18*'02_Eingaben'!$C$10,1,0))</f>
        <v/>
      </c>
      <c r="I754" s="17" t="str">
        <f t="shared" si="11"/>
        <v/>
      </c>
      <c r="J754" s="17" t="str">
        <f>IF(B754="","",IF(B753&lt;'02_Eingaben'!$C$36,0,J753+I753/'02_Eingaben'!$C$8))</f>
        <v/>
      </c>
    </row>
    <row r="755" spans="1:10" x14ac:dyDescent="0.25">
      <c r="A755" t="str">
        <f>IF('01_Rohdaten'!A755="","",ROW()-1)</f>
        <v/>
      </c>
      <c r="B755" s="17" t="str">
        <f>IF('01_Rohdaten'!A755="","",'01_Rohdaten'!A755)</f>
        <v/>
      </c>
      <c r="C755" s="17" t="str">
        <f>IF(B755="","",INDEX('01_Rohdaten'!B755:D755,'02_Eingaben'!$C$13))</f>
        <v/>
      </c>
      <c r="D755" s="17" t="str">
        <f>IF(C755="","",C755*'02_Eingaben'!$C$15)</f>
        <v/>
      </c>
      <c r="E755" s="17" t="str">
        <f>IF(D755="","",D755*'02_Eingaben'!$C$8)</f>
        <v/>
      </c>
      <c r="F755" s="17" t="str">
        <f>IF(E755="","",AVERAGE(INDEX($E$2:$E$3001,MAX(1,ROW()-1-'02_Eingaben'!$C$17)):INDEX($E$2:$E$3001,MIN('02_Eingaben'!$C$21,ROW()-1+'02_Eingaben'!$C$17))))</f>
        <v/>
      </c>
      <c r="G755" s="17" t="str">
        <f>IF(F755="","",F755-'02_Eingaben'!$C$10)</f>
        <v/>
      </c>
      <c r="H755" t="str">
        <f>IF(F755="","",IF(F755&lt;'02_Eingaben'!$C$18*'02_Eingaben'!$C$10,1,0))</f>
        <v/>
      </c>
      <c r="I755" s="17" t="str">
        <f t="shared" si="11"/>
        <v/>
      </c>
      <c r="J755" s="17" t="str">
        <f>IF(B755="","",IF(B754&lt;'02_Eingaben'!$C$36,0,J754+I754/'02_Eingaben'!$C$8))</f>
        <v/>
      </c>
    </row>
    <row r="756" spans="1:10" x14ac:dyDescent="0.25">
      <c r="A756" t="str">
        <f>IF('01_Rohdaten'!A756="","",ROW()-1)</f>
        <v/>
      </c>
      <c r="B756" s="17" t="str">
        <f>IF('01_Rohdaten'!A756="","",'01_Rohdaten'!A756)</f>
        <v/>
      </c>
      <c r="C756" s="17" t="str">
        <f>IF(B756="","",INDEX('01_Rohdaten'!B756:D756,'02_Eingaben'!$C$13))</f>
        <v/>
      </c>
      <c r="D756" s="17" t="str">
        <f>IF(C756="","",C756*'02_Eingaben'!$C$15)</f>
        <v/>
      </c>
      <c r="E756" s="17" t="str">
        <f>IF(D756="","",D756*'02_Eingaben'!$C$8)</f>
        <v/>
      </c>
      <c r="F756" s="17" t="str">
        <f>IF(E756="","",AVERAGE(INDEX($E$2:$E$3001,MAX(1,ROW()-1-'02_Eingaben'!$C$17)):INDEX($E$2:$E$3001,MIN('02_Eingaben'!$C$21,ROW()-1+'02_Eingaben'!$C$17))))</f>
        <v/>
      </c>
      <c r="G756" s="17" t="str">
        <f>IF(F756="","",F756-'02_Eingaben'!$C$10)</f>
        <v/>
      </c>
      <c r="H756" t="str">
        <f>IF(F756="","",IF(F756&lt;'02_Eingaben'!$C$18*'02_Eingaben'!$C$10,1,0))</f>
        <v/>
      </c>
      <c r="I756" s="17" t="str">
        <f t="shared" si="11"/>
        <v/>
      </c>
      <c r="J756" s="17" t="str">
        <f>IF(B756="","",IF(B755&lt;'02_Eingaben'!$C$36,0,J755+I755/'02_Eingaben'!$C$8))</f>
        <v/>
      </c>
    </row>
    <row r="757" spans="1:10" x14ac:dyDescent="0.25">
      <c r="A757" t="str">
        <f>IF('01_Rohdaten'!A757="","",ROW()-1)</f>
        <v/>
      </c>
      <c r="B757" s="17" t="str">
        <f>IF('01_Rohdaten'!A757="","",'01_Rohdaten'!A757)</f>
        <v/>
      </c>
      <c r="C757" s="17" t="str">
        <f>IF(B757="","",INDEX('01_Rohdaten'!B757:D757,'02_Eingaben'!$C$13))</f>
        <v/>
      </c>
      <c r="D757" s="17" t="str">
        <f>IF(C757="","",C757*'02_Eingaben'!$C$15)</f>
        <v/>
      </c>
      <c r="E757" s="17" t="str">
        <f>IF(D757="","",D757*'02_Eingaben'!$C$8)</f>
        <v/>
      </c>
      <c r="F757" s="17" t="str">
        <f>IF(E757="","",AVERAGE(INDEX($E$2:$E$3001,MAX(1,ROW()-1-'02_Eingaben'!$C$17)):INDEX($E$2:$E$3001,MIN('02_Eingaben'!$C$21,ROW()-1+'02_Eingaben'!$C$17))))</f>
        <v/>
      </c>
      <c r="G757" s="17" t="str">
        <f>IF(F757="","",F757-'02_Eingaben'!$C$10)</f>
        <v/>
      </c>
      <c r="H757" t="str">
        <f>IF(F757="","",IF(F757&lt;'02_Eingaben'!$C$18*'02_Eingaben'!$C$10,1,0))</f>
        <v/>
      </c>
      <c r="I757" s="17" t="str">
        <f t="shared" si="11"/>
        <v/>
      </c>
      <c r="J757" s="17" t="str">
        <f>IF(B757="","",IF(B756&lt;'02_Eingaben'!$C$36,0,J756+I756/'02_Eingaben'!$C$8))</f>
        <v/>
      </c>
    </row>
    <row r="758" spans="1:10" x14ac:dyDescent="0.25">
      <c r="A758" t="str">
        <f>IF('01_Rohdaten'!A758="","",ROW()-1)</f>
        <v/>
      </c>
      <c r="B758" s="17" t="str">
        <f>IF('01_Rohdaten'!A758="","",'01_Rohdaten'!A758)</f>
        <v/>
      </c>
      <c r="C758" s="17" t="str">
        <f>IF(B758="","",INDEX('01_Rohdaten'!B758:D758,'02_Eingaben'!$C$13))</f>
        <v/>
      </c>
      <c r="D758" s="17" t="str">
        <f>IF(C758="","",C758*'02_Eingaben'!$C$15)</f>
        <v/>
      </c>
      <c r="E758" s="17" t="str">
        <f>IF(D758="","",D758*'02_Eingaben'!$C$8)</f>
        <v/>
      </c>
      <c r="F758" s="17" t="str">
        <f>IF(E758="","",AVERAGE(INDEX($E$2:$E$3001,MAX(1,ROW()-1-'02_Eingaben'!$C$17)):INDEX($E$2:$E$3001,MIN('02_Eingaben'!$C$21,ROW()-1+'02_Eingaben'!$C$17))))</f>
        <v/>
      </c>
      <c r="G758" s="17" t="str">
        <f>IF(F758="","",F758-'02_Eingaben'!$C$10)</f>
        <v/>
      </c>
      <c r="H758" t="str">
        <f>IF(F758="","",IF(F758&lt;'02_Eingaben'!$C$18*'02_Eingaben'!$C$10,1,0))</f>
        <v/>
      </c>
      <c r="I758" s="17" t="str">
        <f t="shared" si="11"/>
        <v/>
      </c>
      <c r="J758" s="17" t="str">
        <f>IF(B758="","",IF(B757&lt;'02_Eingaben'!$C$36,0,J757+I757/'02_Eingaben'!$C$8))</f>
        <v/>
      </c>
    </row>
    <row r="759" spans="1:10" x14ac:dyDescent="0.25">
      <c r="A759" t="str">
        <f>IF('01_Rohdaten'!A759="","",ROW()-1)</f>
        <v/>
      </c>
      <c r="B759" s="17" t="str">
        <f>IF('01_Rohdaten'!A759="","",'01_Rohdaten'!A759)</f>
        <v/>
      </c>
      <c r="C759" s="17" t="str">
        <f>IF(B759="","",INDEX('01_Rohdaten'!B759:D759,'02_Eingaben'!$C$13))</f>
        <v/>
      </c>
      <c r="D759" s="17" t="str">
        <f>IF(C759="","",C759*'02_Eingaben'!$C$15)</f>
        <v/>
      </c>
      <c r="E759" s="17" t="str">
        <f>IF(D759="","",D759*'02_Eingaben'!$C$8)</f>
        <v/>
      </c>
      <c r="F759" s="17" t="str">
        <f>IF(E759="","",AVERAGE(INDEX($E$2:$E$3001,MAX(1,ROW()-1-'02_Eingaben'!$C$17)):INDEX($E$2:$E$3001,MIN('02_Eingaben'!$C$21,ROW()-1+'02_Eingaben'!$C$17))))</f>
        <v/>
      </c>
      <c r="G759" s="17" t="str">
        <f>IF(F759="","",F759-'02_Eingaben'!$C$10)</f>
        <v/>
      </c>
      <c r="H759" t="str">
        <f>IF(F759="","",IF(F759&lt;'02_Eingaben'!$C$18*'02_Eingaben'!$C$10,1,0))</f>
        <v/>
      </c>
      <c r="I759" s="17" t="str">
        <f t="shared" si="11"/>
        <v/>
      </c>
      <c r="J759" s="17" t="str">
        <f>IF(B759="","",IF(B758&lt;'02_Eingaben'!$C$36,0,J758+I758/'02_Eingaben'!$C$8))</f>
        <v/>
      </c>
    </row>
    <row r="760" spans="1:10" x14ac:dyDescent="0.25">
      <c r="A760" t="str">
        <f>IF('01_Rohdaten'!A760="","",ROW()-1)</f>
        <v/>
      </c>
      <c r="B760" s="17" t="str">
        <f>IF('01_Rohdaten'!A760="","",'01_Rohdaten'!A760)</f>
        <v/>
      </c>
      <c r="C760" s="17" t="str">
        <f>IF(B760="","",INDEX('01_Rohdaten'!B760:D760,'02_Eingaben'!$C$13))</f>
        <v/>
      </c>
      <c r="D760" s="17" t="str">
        <f>IF(C760="","",C760*'02_Eingaben'!$C$15)</f>
        <v/>
      </c>
      <c r="E760" s="17" t="str">
        <f>IF(D760="","",D760*'02_Eingaben'!$C$8)</f>
        <v/>
      </c>
      <c r="F760" s="17" t="str">
        <f>IF(E760="","",AVERAGE(INDEX($E$2:$E$3001,MAX(1,ROW()-1-'02_Eingaben'!$C$17)):INDEX($E$2:$E$3001,MIN('02_Eingaben'!$C$21,ROW()-1+'02_Eingaben'!$C$17))))</f>
        <v/>
      </c>
      <c r="G760" s="17" t="str">
        <f>IF(F760="","",F760-'02_Eingaben'!$C$10)</f>
        <v/>
      </c>
      <c r="H760" t="str">
        <f>IF(F760="","",IF(F760&lt;'02_Eingaben'!$C$18*'02_Eingaben'!$C$10,1,0))</f>
        <v/>
      </c>
      <c r="I760" s="17" t="str">
        <f t="shared" si="11"/>
        <v/>
      </c>
      <c r="J760" s="17" t="str">
        <f>IF(B760="","",IF(B759&lt;'02_Eingaben'!$C$36,0,J759+I759/'02_Eingaben'!$C$8))</f>
        <v/>
      </c>
    </row>
    <row r="761" spans="1:10" x14ac:dyDescent="0.25">
      <c r="A761" t="str">
        <f>IF('01_Rohdaten'!A761="","",ROW()-1)</f>
        <v/>
      </c>
      <c r="B761" s="17" t="str">
        <f>IF('01_Rohdaten'!A761="","",'01_Rohdaten'!A761)</f>
        <v/>
      </c>
      <c r="C761" s="17" t="str">
        <f>IF(B761="","",INDEX('01_Rohdaten'!B761:D761,'02_Eingaben'!$C$13))</f>
        <v/>
      </c>
      <c r="D761" s="17" t="str">
        <f>IF(C761="","",C761*'02_Eingaben'!$C$15)</f>
        <v/>
      </c>
      <c r="E761" s="17" t="str">
        <f>IF(D761="","",D761*'02_Eingaben'!$C$8)</f>
        <v/>
      </c>
      <c r="F761" s="17" t="str">
        <f>IF(E761="","",AVERAGE(INDEX($E$2:$E$3001,MAX(1,ROW()-1-'02_Eingaben'!$C$17)):INDEX($E$2:$E$3001,MIN('02_Eingaben'!$C$21,ROW()-1+'02_Eingaben'!$C$17))))</f>
        <v/>
      </c>
      <c r="G761" s="17" t="str">
        <f>IF(F761="","",F761-'02_Eingaben'!$C$10)</f>
        <v/>
      </c>
      <c r="H761" t="str">
        <f>IF(F761="","",IF(F761&lt;'02_Eingaben'!$C$18*'02_Eingaben'!$C$10,1,0))</f>
        <v/>
      </c>
      <c r="I761" s="17" t="str">
        <f t="shared" si="11"/>
        <v/>
      </c>
      <c r="J761" s="17" t="str">
        <f>IF(B761="","",IF(B760&lt;'02_Eingaben'!$C$36,0,J760+I760/'02_Eingaben'!$C$8))</f>
        <v/>
      </c>
    </row>
    <row r="762" spans="1:10" x14ac:dyDescent="0.25">
      <c r="A762" t="str">
        <f>IF('01_Rohdaten'!A762="","",ROW()-1)</f>
        <v/>
      </c>
      <c r="B762" s="17" t="str">
        <f>IF('01_Rohdaten'!A762="","",'01_Rohdaten'!A762)</f>
        <v/>
      </c>
      <c r="C762" s="17" t="str">
        <f>IF(B762="","",INDEX('01_Rohdaten'!B762:D762,'02_Eingaben'!$C$13))</f>
        <v/>
      </c>
      <c r="D762" s="17" t="str">
        <f>IF(C762="","",C762*'02_Eingaben'!$C$15)</f>
        <v/>
      </c>
      <c r="E762" s="17" t="str">
        <f>IF(D762="","",D762*'02_Eingaben'!$C$8)</f>
        <v/>
      </c>
      <c r="F762" s="17" t="str">
        <f>IF(E762="","",AVERAGE(INDEX($E$2:$E$3001,MAX(1,ROW()-1-'02_Eingaben'!$C$17)):INDEX($E$2:$E$3001,MIN('02_Eingaben'!$C$21,ROW()-1+'02_Eingaben'!$C$17))))</f>
        <v/>
      </c>
      <c r="G762" s="17" t="str">
        <f>IF(F762="","",F762-'02_Eingaben'!$C$10)</f>
        <v/>
      </c>
      <c r="H762" t="str">
        <f>IF(F762="","",IF(F762&lt;'02_Eingaben'!$C$18*'02_Eingaben'!$C$10,1,0))</f>
        <v/>
      </c>
      <c r="I762" s="17" t="str">
        <f t="shared" si="11"/>
        <v/>
      </c>
      <c r="J762" s="17" t="str">
        <f>IF(B762="","",IF(B761&lt;'02_Eingaben'!$C$36,0,J761+I761/'02_Eingaben'!$C$8))</f>
        <v/>
      </c>
    </row>
    <row r="763" spans="1:10" x14ac:dyDescent="0.25">
      <c r="A763" t="str">
        <f>IF('01_Rohdaten'!A763="","",ROW()-1)</f>
        <v/>
      </c>
      <c r="B763" s="17" t="str">
        <f>IF('01_Rohdaten'!A763="","",'01_Rohdaten'!A763)</f>
        <v/>
      </c>
      <c r="C763" s="17" t="str">
        <f>IF(B763="","",INDEX('01_Rohdaten'!B763:D763,'02_Eingaben'!$C$13))</f>
        <v/>
      </c>
      <c r="D763" s="17" t="str">
        <f>IF(C763="","",C763*'02_Eingaben'!$C$15)</f>
        <v/>
      </c>
      <c r="E763" s="17" t="str">
        <f>IF(D763="","",D763*'02_Eingaben'!$C$8)</f>
        <v/>
      </c>
      <c r="F763" s="17" t="str">
        <f>IF(E763="","",AVERAGE(INDEX($E$2:$E$3001,MAX(1,ROW()-1-'02_Eingaben'!$C$17)):INDEX($E$2:$E$3001,MIN('02_Eingaben'!$C$21,ROW()-1+'02_Eingaben'!$C$17))))</f>
        <v/>
      </c>
      <c r="G763" s="17" t="str">
        <f>IF(F763="","",F763-'02_Eingaben'!$C$10)</f>
        <v/>
      </c>
      <c r="H763" t="str">
        <f>IF(F763="","",IF(F763&lt;'02_Eingaben'!$C$18*'02_Eingaben'!$C$10,1,0))</f>
        <v/>
      </c>
      <c r="I763" s="17" t="str">
        <f t="shared" si="11"/>
        <v/>
      </c>
      <c r="J763" s="17" t="str">
        <f>IF(B763="","",IF(B762&lt;'02_Eingaben'!$C$36,0,J762+I762/'02_Eingaben'!$C$8))</f>
        <v/>
      </c>
    </row>
    <row r="764" spans="1:10" x14ac:dyDescent="0.25">
      <c r="A764" t="str">
        <f>IF('01_Rohdaten'!A764="","",ROW()-1)</f>
        <v/>
      </c>
      <c r="B764" s="17" t="str">
        <f>IF('01_Rohdaten'!A764="","",'01_Rohdaten'!A764)</f>
        <v/>
      </c>
      <c r="C764" s="17" t="str">
        <f>IF(B764="","",INDEX('01_Rohdaten'!B764:D764,'02_Eingaben'!$C$13))</f>
        <v/>
      </c>
      <c r="D764" s="17" t="str">
        <f>IF(C764="","",C764*'02_Eingaben'!$C$15)</f>
        <v/>
      </c>
      <c r="E764" s="17" t="str">
        <f>IF(D764="","",D764*'02_Eingaben'!$C$8)</f>
        <v/>
      </c>
      <c r="F764" s="17" t="str">
        <f>IF(E764="","",AVERAGE(INDEX($E$2:$E$3001,MAX(1,ROW()-1-'02_Eingaben'!$C$17)):INDEX($E$2:$E$3001,MIN('02_Eingaben'!$C$21,ROW()-1+'02_Eingaben'!$C$17))))</f>
        <v/>
      </c>
      <c r="G764" s="17" t="str">
        <f>IF(F764="","",F764-'02_Eingaben'!$C$10)</f>
        <v/>
      </c>
      <c r="H764" t="str">
        <f>IF(F764="","",IF(F764&lt;'02_Eingaben'!$C$18*'02_Eingaben'!$C$10,1,0))</f>
        <v/>
      </c>
      <c r="I764" s="17" t="str">
        <f t="shared" si="11"/>
        <v/>
      </c>
      <c r="J764" s="17" t="str">
        <f>IF(B764="","",IF(B763&lt;'02_Eingaben'!$C$36,0,J763+I763/'02_Eingaben'!$C$8))</f>
        <v/>
      </c>
    </row>
    <row r="765" spans="1:10" x14ac:dyDescent="0.25">
      <c r="A765" t="str">
        <f>IF('01_Rohdaten'!A765="","",ROW()-1)</f>
        <v/>
      </c>
      <c r="B765" s="17" t="str">
        <f>IF('01_Rohdaten'!A765="","",'01_Rohdaten'!A765)</f>
        <v/>
      </c>
      <c r="C765" s="17" t="str">
        <f>IF(B765="","",INDEX('01_Rohdaten'!B765:D765,'02_Eingaben'!$C$13))</f>
        <v/>
      </c>
      <c r="D765" s="17" t="str">
        <f>IF(C765="","",C765*'02_Eingaben'!$C$15)</f>
        <v/>
      </c>
      <c r="E765" s="17" t="str">
        <f>IF(D765="","",D765*'02_Eingaben'!$C$8)</f>
        <v/>
      </c>
      <c r="F765" s="17" t="str">
        <f>IF(E765="","",AVERAGE(INDEX($E$2:$E$3001,MAX(1,ROW()-1-'02_Eingaben'!$C$17)):INDEX($E$2:$E$3001,MIN('02_Eingaben'!$C$21,ROW()-1+'02_Eingaben'!$C$17))))</f>
        <v/>
      </c>
      <c r="G765" s="17" t="str">
        <f>IF(F765="","",F765-'02_Eingaben'!$C$10)</f>
        <v/>
      </c>
      <c r="H765" t="str">
        <f>IF(F765="","",IF(F765&lt;'02_Eingaben'!$C$18*'02_Eingaben'!$C$10,1,0))</f>
        <v/>
      </c>
      <c r="I765" s="17" t="str">
        <f t="shared" si="11"/>
        <v/>
      </c>
      <c r="J765" s="17" t="str">
        <f>IF(B765="","",IF(B764&lt;'02_Eingaben'!$C$36,0,J764+I764/'02_Eingaben'!$C$8))</f>
        <v/>
      </c>
    </row>
    <row r="766" spans="1:10" x14ac:dyDescent="0.25">
      <c r="A766" t="str">
        <f>IF('01_Rohdaten'!A766="","",ROW()-1)</f>
        <v/>
      </c>
      <c r="B766" s="17" t="str">
        <f>IF('01_Rohdaten'!A766="","",'01_Rohdaten'!A766)</f>
        <v/>
      </c>
      <c r="C766" s="17" t="str">
        <f>IF(B766="","",INDEX('01_Rohdaten'!B766:D766,'02_Eingaben'!$C$13))</f>
        <v/>
      </c>
      <c r="D766" s="17" t="str">
        <f>IF(C766="","",C766*'02_Eingaben'!$C$15)</f>
        <v/>
      </c>
      <c r="E766" s="17" t="str">
        <f>IF(D766="","",D766*'02_Eingaben'!$C$8)</f>
        <v/>
      </c>
      <c r="F766" s="17" t="str">
        <f>IF(E766="","",AVERAGE(INDEX($E$2:$E$3001,MAX(1,ROW()-1-'02_Eingaben'!$C$17)):INDEX($E$2:$E$3001,MIN('02_Eingaben'!$C$21,ROW()-1+'02_Eingaben'!$C$17))))</f>
        <v/>
      </c>
      <c r="G766" s="17" t="str">
        <f>IF(F766="","",F766-'02_Eingaben'!$C$10)</f>
        <v/>
      </c>
      <c r="H766" t="str">
        <f>IF(F766="","",IF(F766&lt;'02_Eingaben'!$C$18*'02_Eingaben'!$C$10,1,0))</f>
        <v/>
      </c>
      <c r="I766" s="17" t="str">
        <f t="shared" si="11"/>
        <v/>
      </c>
      <c r="J766" s="17" t="str">
        <f>IF(B766="","",IF(B765&lt;'02_Eingaben'!$C$36,0,J765+I765/'02_Eingaben'!$C$8))</f>
        <v/>
      </c>
    </row>
    <row r="767" spans="1:10" x14ac:dyDescent="0.25">
      <c r="A767" t="str">
        <f>IF('01_Rohdaten'!A767="","",ROW()-1)</f>
        <v/>
      </c>
      <c r="B767" s="17" t="str">
        <f>IF('01_Rohdaten'!A767="","",'01_Rohdaten'!A767)</f>
        <v/>
      </c>
      <c r="C767" s="17" t="str">
        <f>IF(B767="","",INDEX('01_Rohdaten'!B767:D767,'02_Eingaben'!$C$13))</f>
        <v/>
      </c>
      <c r="D767" s="17" t="str">
        <f>IF(C767="","",C767*'02_Eingaben'!$C$15)</f>
        <v/>
      </c>
      <c r="E767" s="17" t="str">
        <f>IF(D767="","",D767*'02_Eingaben'!$C$8)</f>
        <v/>
      </c>
      <c r="F767" s="17" t="str">
        <f>IF(E767="","",AVERAGE(INDEX($E$2:$E$3001,MAX(1,ROW()-1-'02_Eingaben'!$C$17)):INDEX($E$2:$E$3001,MIN('02_Eingaben'!$C$21,ROW()-1+'02_Eingaben'!$C$17))))</f>
        <v/>
      </c>
      <c r="G767" s="17" t="str">
        <f>IF(F767="","",F767-'02_Eingaben'!$C$10)</f>
        <v/>
      </c>
      <c r="H767" t="str">
        <f>IF(F767="","",IF(F767&lt;'02_Eingaben'!$C$18*'02_Eingaben'!$C$10,1,0))</f>
        <v/>
      </c>
      <c r="I767" s="17" t="str">
        <f t="shared" si="11"/>
        <v/>
      </c>
      <c r="J767" s="17" t="str">
        <f>IF(B767="","",IF(B766&lt;'02_Eingaben'!$C$36,0,J766+I766/'02_Eingaben'!$C$8))</f>
        <v/>
      </c>
    </row>
    <row r="768" spans="1:10" x14ac:dyDescent="0.25">
      <c r="A768" t="str">
        <f>IF('01_Rohdaten'!A768="","",ROW()-1)</f>
        <v/>
      </c>
      <c r="B768" s="17" t="str">
        <f>IF('01_Rohdaten'!A768="","",'01_Rohdaten'!A768)</f>
        <v/>
      </c>
      <c r="C768" s="17" t="str">
        <f>IF(B768="","",INDEX('01_Rohdaten'!B768:D768,'02_Eingaben'!$C$13))</f>
        <v/>
      </c>
      <c r="D768" s="17" t="str">
        <f>IF(C768="","",C768*'02_Eingaben'!$C$15)</f>
        <v/>
      </c>
      <c r="E768" s="17" t="str">
        <f>IF(D768="","",D768*'02_Eingaben'!$C$8)</f>
        <v/>
      </c>
      <c r="F768" s="17" t="str">
        <f>IF(E768="","",AVERAGE(INDEX($E$2:$E$3001,MAX(1,ROW()-1-'02_Eingaben'!$C$17)):INDEX($E$2:$E$3001,MIN('02_Eingaben'!$C$21,ROW()-1+'02_Eingaben'!$C$17))))</f>
        <v/>
      </c>
      <c r="G768" s="17" t="str">
        <f>IF(F768="","",F768-'02_Eingaben'!$C$10)</f>
        <v/>
      </c>
      <c r="H768" t="str">
        <f>IF(F768="","",IF(F768&lt;'02_Eingaben'!$C$18*'02_Eingaben'!$C$10,1,0))</f>
        <v/>
      </c>
      <c r="I768" s="17" t="str">
        <f t="shared" si="11"/>
        <v/>
      </c>
      <c r="J768" s="17" t="str">
        <f>IF(B768="","",IF(B767&lt;'02_Eingaben'!$C$36,0,J767+I767/'02_Eingaben'!$C$8))</f>
        <v/>
      </c>
    </row>
    <row r="769" spans="1:10" x14ac:dyDescent="0.25">
      <c r="A769" t="str">
        <f>IF('01_Rohdaten'!A769="","",ROW()-1)</f>
        <v/>
      </c>
      <c r="B769" s="17" t="str">
        <f>IF('01_Rohdaten'!A769="","",'01_Rohdaten'!A769)</f>
        <v/>
      </c>
      <c r="C769" s="17" t="str">
        <f>IF(B769="","",INDEX('01_Rohdaten'!B769:D769,'02_Eingaben'!$C$13))</f>
        <v/>
      </c>
      <c r="D769" s="17" t="str">
        <f>IF(C769="","",C769*'02_Eingaben'!$C$15)</f>
        <v/>
      </c>
      <c r="E769" s="17" t="str">
        <f>IF(D769="","",D769*'02_Eingaben'!$C$8)</f>
        <v/>
      </c>
      <c r="F769" s="17" t="str">
        <f>IF(E769="","",AVERAGE(INDEX($E$2:$E$3001,MAX(1,ROW()-1-'02_Eingaben'!$C$17)):INDEX($E$2:$E$3001,MIN('02_Eingaben'!$C$21,ROW()-1+'02_Eingaben'!$C$17))))</f>
        <v/>
      </c>
      <c r="G769" s="17" t="str">
        <f>IF(F769="","",F769-'02_Eingaben'!$C$10)</f>
        <v/>
      </c>
      <c r="H769" t="str">
        <f>IF(F769="","",IF(F769&lt;'02_Eingaben'!$C$18*'02_Eingaben'!$C$10,1,0))</f>
        <v/>
      </c>
      <c r="I769" s="17" t="str">
        <f t="shared" si="11"/>
        <v/>
      </c>
      <c r="J769" s="17" t="str">
        <f>IF(B769="","",IF(B768&lt;'02_Eingaben'!$C$36,0,J768+I768/'02_Eingaben'!$C$8))</f>
        <v/>
      </c>
    </row>
    <row r="770" spans="1:10" x14ac:dyDescent="0.25">
      <c r="A770" t="str">
        <f>IF('01_Rohdaten'!A770="","",ROW()-1)</f>
        <v/>
      </c>
      <c r="B770" s="17" t="str">
        <f>IF('01_Rohdaten'!A770="","",'01_Rohdaten'!A770)</f>
        <v/>
      </c>
      <c r="C770" s="17" t="str">
        <f>IF(B770="","",INDEX('01_Rohdaten'!B770:D770,'02_Eingaben'!$C$13))</f>
        <v/>
      </c>
      <c r="D770" s="17" t="str">
        <f>IF(C770="","",C770*'02_Eingaben'!$C$15)</f>
        <v/>
      </c>
      <c r="E770" s="17" t="str">
        <f>IF(D770="","",D770*'02_Eingaben'!$C$8)</f>
        <v/>
      </c>
      <c r="F770" s="17" t="str">
        <f>IF(E770="","",AVERAGE(INDEX($E$2:$E$3001,MAX(1,ROW()-1-'02_Eingaben'!$C$17)):INDEX($E$2:$E$3001,MIN('02_Eingaben'!$C$21,ROW()-1+'02_Eingaben'!$C$17))))</f>
        <v/>
      </c>
      <c r="G770" s="17" t="str">
        <f>IF(F770="","",F770-'02_Eingaben'!$C$10)</f>
        <v/>
      </c>
      <c r="H770" t="str">
        <f>IF(F770="","",IF(F770&lt;'02_Eingaben'!$C$18*'02_Eingaben'!$C$10,1,0))</f>
        <v/>
      </c>
      <c r="I770" s="17" t="str">
        <f t="shared" ref="I770:I833" si="12">IF(OR(G770="",G771=""),"",(G770+G771)/2*(B771-B770))</f>
        <v/>
      </c>
      <c r="J770" s="17" t="str">
        <f>IF(B770="","",IF(B769&lt;'02_Eingaben'!$C$36,0,J769+I769/'02_Eingaben'!$C$8))</f>
        <v/>
      </c>
    </row>
    <row r="771" spans="1:10" x14ac:dyDescent="0.25">
      <c r="A771" t="str">
        <f>IF('01_Rohdaten'!A771="","",ROW()-1)</f>
        <v/>
      </c>
      <c r="B771" s="17" t="str">
        <f>IF('01_Rohdaten'!A771="","",'01_Rohdaten'!A771)</f>
        <v/>
      </c>
      <c r="C771" s="17" t="str">
        <f>IF(B771="","",INDEX('01_Rohdaten'!B771:D771,'02_Eingaben'!$C$13))</f>
        <v/>
      </c>
      <c r="D771" s="17" t="str">
        <f>IF(C771="","",C771*'02_Eingaben'!$C$15)</f>
        <v/>
      </c>
      <c r="E771" s="17" t="str">
        <f>IF(D771="","",D771*'02_Eingaben'!$C$8)</f>
        <v/>
      </c>
      <c r="F771" s="17" t="str">
        <f>IF(E771="","",AVERAGE(INDEX($E$2:$E$3001,MAX(1,ROW()-1-'02_Eingaben'!$C$17)):INDEX($E$2:$E$3001,MIN('02_Eingaben'!$C$21,ROW()-1+'02_Eingaben'!$C$17))))</f>
        <v/>
      </c>
      <c r="G771" s="17" t="str">
        <f>IF(F771="","",F771-'02_Eingaben'!$C$10)</f>
        <v/>
      </c>
      <c r="H771" t="str">
        <f>IF(F771="","",IF(F771&lt;'02_Eingaben'!$C$18*'02_Eingaben'!$C$10,1,0))</f>
        <v/>
      </c>
      <c r="I771" s="17" t="str">
        <f t="shared" si="12"/>
        <v/>
      </c>
      <c r="J771" s="17" t="str">
        <f>IF(B771="","",IF(B770&lt;'02_Eingaben'!$C$36,0,J770+I770/'02_Eingaben'!$C$8))</f>
        <v/>
      </c>
    </row>
    <row r="772" spans="1:10" x14ac:dyDescent="0.25">
      <c r="A772" t="str">
        <f>IF('01_Rohdaten'!A772="","",ROW()-1)</f>
        <v/>
      </c>
      <c r="B772" s="17" t="str">
        <f>IF('01_Rohdaten'!A772="","",'01_Rohdaten'!A772)</f>
        <v/>
      </c>
      <c r="C772" s="17" t="str">
        <f>IF(B772="","",INDEX('01_Rohdaten'!B772:D772,'02_Eingaben'!$C$13))</f>
        <v/>
      </c>
      <c r="D772" s="17" t="str">
        <f>IF(C772="","",C772*'02_Eingaben'!$C$15)</f>
        <v/>
      </c>
      <c r="E772" s="17" t="str">
        <f>IF(D772="","",D772*'02_Eingaben'!$C$8)</f>
        <v/>
      </c>
      <c r="F772" s="17" t="str">
        <f>IF(E772="","",AVERAGE(INDEX($E$2:$E$3001,MAX(1,ROW()-1-'02_Eingaben'!$C$17)):INDEX($E$2:$E$3001,MIN('02_Eingaben'!$C$21,ROW()-1+'02_Eingaben'!$C$17))))</f>
        <v/>
      </c>
      <c r="G772" s="17" t="str">
        <f>IF(F772="","",F772-'02_Eingaben'!$C$10)</f>
        <v/>
      </c>
      <c r="H772" t="str">
        <f>IF(F772="","",IF(F772&lt;'02_Eingaben'!$C$18*'02_Eingaben'!$C$10,1,0))</f>
        <v/>
      </c>
      <c r="I772" s="17" t="str">
        <f t="shared" si="12"/>
        <v/>
      </c>
      <c r="J772" s="17" t="str">
        <f>IF(B772="","",IF(B771&lt;'02_Eingaben'!$C$36,0,J771+I771/'02_Eingaben'!$C$8))</f>
        <v/>
      </c>
    </row>
    <row r="773" spans="1:10" x14ac:dyDescent="0.25">
      <c r="A773" t="str">
        <f>IF('01_Rohdaten'!A773="","",ROW()-1)</f>
        <v/>
      </c>
      <c r="B773" s="17" t="str">
        <f>IF('01_Rohdaten'!A773="","",'01_Rohdaten'!A773)</f>
        <v/>
      </c>
      <c r="C773" s="17" t="str">
        <f>IF(B773="","",INDEX('01_Rohdaten'!B773:D773,'02_Eingaben'!$C$13))</f>
        <v/>
      </c>
      <c r="D773" s="17" t="str">
        <f>IF(C773="","",C773*'02_Eingaben'!$C$15)</f>
        <v/>
      </c>
      <c r="E773" s="17" t="str">
        <f>IF(D773="","",D773*'02_Eingaben'!$C$8)</f>
        <v/>
      </c>
      <c r="F773" s="17" t="str">
        <f>IF(E773="","",AVERAGE(INDEX($E$2:$E$3001,MAX(1,ROW()-1-'02_Eingaben'!$C$17)):INDEX($E$2:$E$3001,MIN('02_Eingaben'!$C$21,ROW()-1+'02_Eingaben'!$C$17))))</f>
        <v/>
      </c>
      <c r="G773" s="17" t="str">
        <f>IF(F773="","",F773-'02_Eingaben'!$C$10)</f>
        <v/>
      </c>
      <c r="H773" t="str">
        <f>IF(F773="","",IF(F773&lt;'02_Eingaben'!$C$18*'02_Eingaben'!$C$10,1,0))</f>
        <v/>
      </c>
      <c r="I773" s="17" t="str">
        <f t="shared" si="12"/>
        <v/>
      </c>
      <c r="J773" s="17" t="str">
        <f>IF(B773="","",IF(B772&lt;'02_Eingaben'!$C$36,0,J772+I772/'02_Eingaben'!$C$8))</f>
        <v/>
      </c>
    </row>
    <row r="774" spans="1:10" x14ac:dyDescent="0.25">
      <c r="A774" t="str">
        <f>IF('01_Rohdaten'!A774="","",ROW()-1)</f>
        <v/>
      </c>
      <c r="B774" s="17" t="str">
        <f>IF('01_Rohdaten'!A774="","",'01_Rohdaten'!A774)</f>
        <v/>
      </c>
      <c r="C774" s="17" t="str">
        <f>IF(B774="","",INDEX('01_Rohdaten'!B774:D774,'02_Eingaben'!$C$13))</f>
        <v/>
      </c>
      <c r="D774" s="17" t="str">
        <f>IF(C774="","",C774*'02_Eingaben'!$C$15)</f>
        <v/>
      </c>
      <c r="E774" s="17" t="str">
        <f>IF(D774="","",D774*'02_Eingaben'!$C$8)</f>
        <v/>
      </c>
      <c r="F774" s="17" t="str">
        <f>IF(E774="","",AVERAGE(INDEX($E$2:$E$3001,MAX(1,ROW()-1-'02_Eingaben'!$C$17)):INDEX($E$2:$E$3001,MIN('02_Eingaben'!$C$21,ROW()-1+'02_Eingaben'!$C$17))))</f>
        <v/>
      </c>
      <c r="G774" s="17" t="str">
        <f>IF(F774="","",F774-'02_Eingaben'!$C$10)</f>
        <v/>
      </c>
      <c r="H774" t="str">
        <f>IF(F774="","",IF(F774&lt;'02_Eingaben'!$C$18*'02_Eingaben'!$C$10,1,0))</f>
        <v/>
      </c>
      <c r="I774" s="17" t="str">
        <f t="shared" si="12"/>
        <v/>
      </c>
      <c r="J774" s="17" t="str">
        <f>IF(B774="","",IF(B773&lt;'02_Eingaben'!$C$36,0,J773+I773/'02_Eingaben'!$C$8))</f>
        <v/>
      </c>
    </row>
    <row r="775" spans="1:10" x14ac:dyDescent="0.25">
      <c r="A775" t="str">
        <f>IF('01_Rohdaten'!A775="","",ROW()-1)</f>
        <v/>
      </c>
      <c r="B775" s="17" t="str">
        <f>IF('01_Rohdaten'!A775="","",'01_Rohdaten'!A775)</f>
        <v/>
      </c>
      <c r="C775" s="17" t="str">
        <f>IF(B775="","",INDEX('01_Rohdaten'!B775:D775,'02_Eingaben'!$C$13))</f>
        <v/>
      </c>
      <c r="D775" s="17" t="str">
        <f>IF(C775="","",C775*'02_Eingaben'!$C$15)</f>
        <v/>
      </c>
      <c r="E775" s="17" t="str">
        <f>IF(D775="","",D775*'02_Eingaben'!$C$8)</f>
        <v/>
      </c>
      <c r="F775" s="17" t="str">
        <f>IF(E775="","",AVERAGE(INDEX($E$2:$E$3001,MAX(1,ROW()-1-'02_Eingaben'!$C$17)):INDEX($E$2:$E$3001,MIN('02_Eingaben'!$C$21,ROW()-1+'02_Eingaben'!$C$17))))</f>
        <v/>
      </c>
      <c r="G775" s="17" t="str">
        <f>IF(F775="","",F775-'02_Eingaben'!$C$10)</f>
        <v/>
      </c>
      <c r="H775" t="str">
        <f>IF(F775="","",IF(F775&lt;'02_Eingaben'!$C$18*'02_Eingaben'!$C$10,1,0))</f>
        <v/>
      </c>
      <c r="I775" s="17" t="str">
        <f t="shared" si="12"/>
        <v/>
      </c>
      <c r="J775" s="17" t="str">
        <f>IF(B775="","",IF(B774&lt;'02_Eingaben'!$C$36,0,J774+I774/'02_Eingaben'!$C$8))</f>
        <v/>
      </c>
    </row>
    <row r="776" spans="1:10" x14ac:dyDescent="0.25">
      <c r="A776" t="str">
        <f>IF('01_Rohdaten'!A776="","",ROW()-1)</f>
        <v/>
      </c>
      <c r="B776" s="17" t="str">
        <f>IF('01_Rohdaten'!A776="","",'01_Rohdaten'!A776)</f>
        <v/>
      </c>
      <c r="C776" s="17" t="str">
        <f>IF(B776="","",INDEX('01_Rohdaten'!B776:D776,'02_Eingaben'!$C$13))</f>
        <v/>
      </c>
      <c r="D776" s="17" t="str">
        <f>IF(C776="","",C776*'02_Eingaben'!$C$15)</f>
        <v/>
      </c>
      <c r="E776" s="17" t="str">
        <f>IF(D776="","",D776*'02_Eingaben'!$C$8)</f>
        <v/>
      </c>
      <c r="F776" s="17" t="str">
        <f>IF(E776="","",AVERAGE(INDEX($E$2:$E$3001,MAX(1,ROW()-1-'02_Eingaben'!$C$17)):INDEX($E$2:$E$3001,MIN('02_Eingaben'!$C$21,ROW()-1+'02_Eingaben'!$C$17))))</f>
        <v/>
      </c>
      <c r="G776" s="17" t="str">
        <f>IF(F776="","",F776-'02_Eingaben'!$C$10)</f>
        <v/>
      </c>
      <c r="H776" t="str">
        <f>IF(F776="","",IF(F776&lt;'02_Eingaben'!$C$18*'02_Eingaben'!$C$10,1,0))</f>
        <v/>
      </c>
      <c r="I776" s="17" t="str">
        <f t="shared" si="12"/>
        <v/>
      </c>
      <c r="J776" s="17" t="str">
        <f>IF(B776="","",IF(B775&lt;'02_Eingaben'!$C$36,0,J775+I775/'02_Eingaben'!$C$8))</f>
        <v/>
      </c>
    </row>
    <row r="777" spans="1:10" x14ac:dyDescent="0.25">
      <c r="A777" t="str">
        <f>IF('01_Rohdaten'!A777="","",ROW()-1)</f>
        <v/>
      </c>
      <c r="B777" s="17" t="str">
        <f>IF('01_Rohdaten'!A777="","",'01_Rohdaten'!A777)</f>
        <v/>
      </c>
      <c r="C777" s="17" t="str">
        <f>IF(B777="","",INDEX('01_Rohdaten'!B777:D777,'02_Eingaben'!$C$13))</f>
        <v/>
      </c>
      <c r="D777" s="17" t="str">
        <f>IF(C777="","",C777*'02_Eingaben'!$C$15)</f>
        <v/>
      </c>
      <c r="E777" s="17" t="str">
        <f>IF(D777="","",D777*'02_Eingaben'!$C$8)</f>
        <v/>
      </c>
      <c r="F777" s="17" t="str">
        <f>IF(E777="","",AVERAGE(INDEX($E$2:$E$3001,MAX(1,ROW()-1-'02_Eingaben'!$C$17)):INDEX($E$2:$E$3001,MIN('02_Eingaben'!$C$21,ROW()-1+'02_Eingaben'!$C$17))))</f>
        <v/>
      </c>
      <c r="G777" s="17" t="str">
        <f>IF(F777="","",F777-'02_Eingaben'!$C$10)</f>
        <v/>
      </c>
      <c r="H777" t="str">
        <f>IF(F777="","",IF(F777&lt;'02_Eingaben'!$C$18*'02_Eingaben'!$C$10,1,0))</f>
        <v/>
      </c>
      <c r="I777" s="17" t="str">
        <f t="shared" si="12"/>
        <v/>
      </c>
      <c r="J777" s="17" t="str">
        <f>IF(B777="","",IF(B776&lt;'02_Eingaben'!$C$36,0,J776+I776/'02_Eingaben'!$C$8))</f>
        <v/>
      </c>
    </row>
    <row r="778" spans="1:10" x14ac:dyDescent="0.25">
      <c r="A778" t="str">
        <f>IF('01_Rohdaten'!A778="","",ROW()-1)</f>
        <v/>
      </c>
      <c r="B778" s="17" t="str">
        <f>IF('01_Rohdaten'!A778="","",'01_Rohdaten'!A778)</f>
        <v/>
      </c>
      <c r="C778" s="17" t="str">
        <f>IF(B778="","",INDEX('01_Rohdaten'!B778:D778,'02_Eingaben'!$C$13))</f>
        <v/>
      </c>
      <c r="D778" s="17" t="str">
        <f>IF(C778="","",C778*'02_Eingaben'!$C$15)</f>
        <v/>
      </c>
      <c r="E778" s="17" t="str">
        <f>IF(D778="","",D778*'02_Eingaben'!$C$8)</f>
        <v/>
      </c>
      <c r="F778" s="17" t="str">
        <f>IF(E778="","",AVERAGE(INDEX($E$2:$E$3001,MAX(1,ROW()-1-'02_Eingaben'!$C$17)):INDEX($E$2:$E$3001,MIN('02_Eingaben'!$C$21,ROW()-1+'02_Eingaben'!$C$17))))</f>
        <v/>
      </c>
      <c r="G778" s="17" t="str">
        <f>IF(F778="","",F778-'02_Eingaben'!$C$10)</f>
        <v/>
      </c>
      <c r="H778" t="str">
        <f>IF(F778="","",IF(F778&lt;'02_Eingaben'!$C$18*'02_Eingaben'!$C$10,1,0))</f>
        <v/>
      </c>
      <c r="I778" s="17" t="str">
        <f t="shared" si="12"/>
        <v/>
      </c>
      <c r="J778" s="17" t="str">
        <f>IF(B778="","",IF(B777&lt;'02_Eingaben'!$C$36,0,J777+I777/'02_Eingaben'!$C$8))</f>
        <v/>
      </c>
    </row>
    <row r="779" spans="1:10" x14ac:dyDescent="0.25">
      <c r="A779" t="str">
        <f>IF('01_Rohdaten'!A779="","",ROW()-1)</f>
        <v/>
      </c>
      <c r="B779" s="17" t="str">
        <f>IF('01_Rohdaten'!A779="","",'01_Rohdaten'!A779)</f>
        <v/>
      </c>
      <c r="C779" s="17" t="str">
        <f>IF(B779="","",INDEX('01_Rohdaten'!B779:D779,'02_Eingaben'!$C$13))</f>
        <v/>
      </c>
      <c r="D779" s="17" t="str">
        <f>IF(C779="","",C779*'02_Eingaben'!$C$15)</f>
        <v/>
      </c>
      <c r="E779" s="17" t="str">
        <f>IF(D779="","",D779*'02_Eingaben'!$C$8)</f>
        <v/>
      </c>
      <c r="F779" s="17" t="str">
        <f>IF(E779="","",AVERAGE(INDEX($E$2:$E$3001,MAX(1,ROW()-1-'02_Eingaben'!$C$17)):INDEX($E$2:$E$3001,MIN('02_Eingaben'!$C$21,ROW()-1+'02_Eingaben'!$C$17))))</f>
        <v/>
      </c>
      <c r="G779" s="17" t="str">
        <f>IF(F779="","",F779-'02_Eingaben'!$C$10)</f>
        <v/>
      </c>
      <c r="H779" t="str">
        <f>IF(F779="","",IF(F779&lt;'02_Eingaben'!$C$18*'02_Eingaben'!$C$10,1,0))</f>
        <v/>
      </c>
      <c r="I779" s="17" t="str">
        <f t="shared" si="12"/>
        <v/>
      </c>
      <c r="J779" s="17" t="str">
        <f>IF(B779="","",IF(B778&lt;'02_Eingaben'!$C$36,0,J778+I778/'02_Eingaben'!$C$8))</f>
        <v/>
      </c>
    </row>
    <row r="780" spans="1:10" x14ac:dyDescent="0.25">
      <c r="A780" t="str">
        <f>IF('01_Rohdaten'!A780="","",ROW()-1)</f>
        <v/>
      </c>
      <c r="B780" s="17" t="str">
        <f>IF('01_Rohdaten'!A780="","",'01_Rohdaten'!A780)</f>
        <v/>
      </c>
      <c r="C780" s="17" t="str">
        <f>IF(B780="","",INDEX('01_Rohdaten'!B780:D780,'02_Eingaben'!$C$13))</f>
        <v/>
      </c>
      <c r="D780" s="17" t="str">
        <f>IF(C780="","",C780*'02_Eingaben'!$C$15)</f>
        <v/>
      </c>
      <c r="E780" s="17" t="str">
        <f>IF(D780="","",D780*'02_Eingaben'!$C$8)</f>
        <v/>
      </c>
      <c r="F780" s="17" t="str">
        <f>IF(E780="","",AVERAGE(INDEX($E$2:$E$3001,MAX(1,ROW()-1-'02_Eingaben'!$C$17)):INDEX($E$2:$E$3001,MIN('02_Eingaben'!$C$21,ROW()-1+'02_Eingaben'!$C$17))))</f>
        <v/>
      </c>
      <c r="G780" s="17" t="str">
        <f>IF(F780="","",F780-'02_Eingaben'!$C$10)</f>
        <v/>
      </c>
      <c r="H780" t="str">
        <f>IF(F780="","",IF(F780&lt;'02_Eingaben'!$C$18*'02_Eingaben'!$C$10,1,0))</f>
        <v/>
      </c>
      <c r="I780" s="17" t="str">
        <f t="shared" si="12"/>
        <v/>
      </c>
      <c r="J780" s="17" t="str">
        <f>IF(B780="","",IF(B779&lt;'02_Eingaben'!$C$36,0,J779+I779/'02_Eingaben'!$C$8))</f>
        <v/>
      </c>
    </row>
    <row r="781" spans="1:10" x14ac:dyDescent="0.25">
      <c r="A781" t="str">
        <f>IF('01_Rohdaten'!A781="","",ROW()-1)</f>
        <v/>
      </c>
      <c r="B781" s="17" t="str">
        <f>IF('01_Rohdaten'!A781="","",'01_Rohdaten'!A781)</f>
        <v/>
      </c>
      <c r="C781" s="17" t="str">
        <f>IF(B781="","",INDEX('01_Rohdaten'!B781:D781,'02_Eingaben'!$C$13))</f>
        <v/>
      </c>
      <c r="D781" s="17" t="str">
        <f>IF(C781="","",C781*'02_Eingaben'!$C$15)</f>
        <v/>
      </c>
      <c r="E781" s="17" t="str">
        <f>IF(D781="","",D781*'02_Eingaben'!$C$8)</f>
        <v/>
      </c>
      <c r="F781" s="17" t="str">
        <f>IF(E781="","",AVERAGE(INDEX($E$2:$E$3001,MAX(1,ROW()-1-'02_Eingaben'!$C$17)):INDEX($E$2:$E$3001,MIN('02_Eingaben'!$C$21,ROW()-1+'02_Eingaben'!$C$17))))</f>
        <v/>
      </c>
      <c r="G781" s="17" t="str">
        <f>IF(F781="","",F781-'02_Eingaben'!$C$10)</f>
        <v/>
      </c>
      <c r="H781" t="str">
        <f>IF(F781="","",IF(F781&lt;'02_Eingaben'!$C$18*'02_Eingaben'!$C$10,1,0))</f>
        <v/>
      </c>
      <c r="I781" s="17" t="str">
        <f t="shared" si="12"/>
        <v/>
      </c>
      <c r="J781" s="17" t="str">
        <f>IF(B781="","",IF(B780&lt;'02_Eingaben'!$C$36,0,J780+I780/'02_Eingaben'!$C$8))</f>
        <v/>
      </c>
    </row>
    <row r="782" spans="1:10" x14ac:dyDescent="0.25">
      <c r="A782" t="str">
        <f>IF('01_Rohdaten'!A782="","",ROW()-1)</f>
        <v/>
      </c>
      <c r="B782" s="17" t="str">
        <f>IF('01_Rohdaten'!A782="","",'01_Rohdaten'!A782)</f>
        <v/>
      </c>
      <c r="C782" s="17" t="str">
        <f>IF(B782="","",INDEX('01_Rohdaten'!B782:D782,'02_Eingaben'!$C$13))</f>
        <v/>
      </c>
      <c r="D782" s="17" t="str">
        <f>IF(C782="","",C782*'02_Eingaben'!$C$15)</f>
        <v/>
      </c>
      <c r="E782" s="17" t="str">
        <f>IF(D782="","",D782*'02_Eingaben'!$C$8)</f>
        <v/>
      </c>
      <c r="F782" s="17" t="str">
        <f>IF(E782="","",AVERAGE(INDEX($E$2:$E$3001,MAX(1,ROW()-1-'02_Eingaben'!$C$17)):INDEX($E$2:$E$3001,MIN('02_Eingaben'!$C$21,ROW()-1+'02_Eingaben'!$C$17))))</f>
        <v/>
      </c>
      <c r="G782" s="17" t="str">
        <f>IF(F782="","",F782-'02_Eingaben'!$C$10)</f>
        <v/>
      </c>
      <c r="H782" t="str">
        <f>IF(F782="","",IF(F782&lt;'02_Eingaben'!$C$18*'02_Eingaben'!$C$10,1,0))</f>
        <v/>
      </c>
      <c r="I782" s="17" t="str">
        <f t="shared" si="12"/>
        <v/>
      </c>
      <c r="J782" s="17" t="str">
        <f>IF(B782="","",IF(B781&lt;'02_Eingaben'!$C$36,0,J781+I781/'02_Eingaben'!$C$8))</f>
        <v/>
      </c>
    </row>
    <row r="783" spans="1:10" x14ac:dyDescent="0.25">
      <c r="A783" t="str">
        <f>IF('01_Rohdaten'!A783="","",ROW()-1)</f>
        <v/>
      </c>
      <c r="B783" s="17" t="str">
        <f>IF('01_Rohdaten'!A783="","",'01_Rohdaten'!A783)</f>
        <v/>
      </c>
      <c r="C783" s="17" t="str">
        <f>IF(B783="","",INDEX('01_Rohdaten'!B783:D783,'02_Eingaben'!$C$13))</f>
        <v/>
      </c>
      <c r="D783" s="17" t="str">
        <f>IF(C783="","",C783*'02_Eingaben'!$C$15)</f>
        <v/>
      </c>
      <c r="E783" s="17" t="str">
        <f>IF(D783="","",D783*'02_Eingaben'!$C$8)</f>
        <v/>
      </c>
      <c r="F783" s="17" t="str">
        <f>IF(E783="","",AVERAGE(INDEX($E$2:$E$3001,MAX(1,ROW()-1-'02_Eingaben'!$C$17)):INDEX($E$2:$E$3001,MIN('02_Eingaben'!$C$21,ROW()-1+'02_Eingaben'!$C$17))))</f>
        <v/>
      </c>
      <c r="G783" s="17" t="str">
        <f>IF(F783="","",F783-'02_Eingaben'!$C$10)</f>
        <v/>
      </c>
      <c r="H783" t="str">
        <f>IF(F783="","",IF(F783&lt;'02_Eingaben'!$C$18*'02_Eingaben'!$C$10,1,0))</f>
        <v/>
      </c>
      <c r="I783" s="17" t="str">
        <f t="shared" si="12"/>
        <v/>
      </c>
      <c r="J783" s="17" t="str">
        <f>IF(B783="","",IF(B782&lt;'02_Eingaben'!$C$36,0,J782+I782/'02_Eingaben'!$C$8))</f>
        <v/>
      </c>
    </row>
    <row r="784" spans="1:10" x14ac:dyDescent="0.25">
      <c r="A784" t="str">
        <f>IF('01_Rohdaten'!A784="","",ROW()-1)</f>
        <v/>
      </c>
      <c r="B784" s="17" t="str">
        <f>IF('01_Rohdaten'!A784="","",'01_Rohdaten'!A784)</f>
        <v/>
      </c>
      <c r="C784" s="17" t="str">
        <f>IF(B784="","",INDEX('01_Rohdaten'!B784:D784,'02_Eingaben'!$C$13))</f>
        <v/>
      </c>
      <c r="D784" s="17" t="str">
        <f>IF(C784="","",C784*'02_Eingaben'!$C$15)</f>
        <v/>
      </c>
      <c r="E784" s="17" t="str">
        <f>IF(D784="","",D784*'02_Eingaben'!$C$8)</f>
        <v/>
      </c>
      <c r="F784" s="17" t="str">
        <f>IF(E784="","",AVERAGE(INDEX($E$2:$E$3001,MAX(1,ROW()-1-'02_Eingaben'!$C$17)):INDEX($E$2:$E$3001,MIN('02_Eingaben'!$C$21,ROW()-1+'02_Eingaben'!$C$17))))</f>
        <v/>
      </c>
      <c r="G784" s="17" t="str">
        <f>IF(F784="","",F784-'02_Eingaben'!$C$10)</f>
        <v/>
      </c>
      <c r="H784" t="str">
        <f>IF(F784="","",IF(F784&lt;'02_Eingaben'!$C$18*'02_Eingaben'!$C$10,1,0))</f>
        <v/>
      </c>
      <c r="I784" s="17" t="str">
        <f t="shared" si="12"/>
        <v/>
      </c>
      <c r="J784" s="17" t="str">
        <f>IF(B784="","",IF(B783&lt;'02_Eingaben'!$C$36,0,J783+I783/'02_Eingaben'!$C$8))</f>
        <v/>
      </c>
    </row>
    <row r="785" spans="1:10" x14ac:dyDescent="0.25">
      <c r="A785" t="str">
        <f>IF('01_Rohdaten'!A785="","",ROW()-1)</f>
        <v/>
      </c>
      <c r="B785" s="17" t="str">
        <f>IF('01_Rohdaten'!A785="","",'01_Rohdaten'!A785)</f>
        <v/>
      </c>
      <c r="C785" s="17" t="str">
        <f>IF(B785="","",INDEX('01_Rohdaten'!B785:D785,'02_Eingaben'!$C$13))</f>
        <v/>
      </c>
      <c r="D785" s="17" t="str">
        <f>IF(C785="","",C785*'02_Eingaben'!$C$15)</f>
        <v/>
      </c>
      <c r="E785" s="17" t="str">
        <f>IF(D785="","",D785*'02_Eingaben'!$C$8)</f>
        <v/>
      </c>
      <c r="F785" s="17" t="str">
        <f>IF(E785="","",AVERAGE(INDEX($E$2:$E$3001,MAX(1,ROW()-1-'02_Eingaben'!$C$17)):INDEX($E$2:$E$3001,MIN('02_Eingaben'!$C$21,ROW()-1+'02_Eingaben'!$C$17))))</f>
        <v/>
      </c>
      <c r="G785" s="17" t="str">
        <f>IF(F785="","",F785-'02_Eingaben'!$C$10)</f>
        <v/>
      </c>
      <c r="H785" t="str">
        <f>IF(F785="","",IF(F785&lt;'02_Eingaben'!$C$18*'02_Eingaben'!$C$10,1,0))</f>
        <v/>
      </c>
      <c r="I785" s="17" t="str">
        <f t="shared" si="12"/>
        <v/>
      </c>
      <c r="J785" s="17" t="str">
        <f>IF(B785="","",IF(B784&lt;'02_Eingaben'!$C$36,0,J784+I784/'02_Eingaben'!$C$8))</f>
        <v/>
      </c>
    </row>
    <row r="786" spans="1:10" x14ac:dyDescent="0.25">
      <c r="A786" t="str">
        <f>IF('01_Rohdaten'!A786="","",ROW()-1)</f>
        <v/>
      </c>
      <c r="B786" s="17" t="str">
        <f>IF('01_Rohdaten'!A786="","",'01_Rohdaten'!A786)</f>
        <v/>
      </c>
      <c r="C786" s="17" t="str">
        <f>IF(B786="","",INDEX('01_Rohdaten'!B786:D786,'02_Eingaben'!$C$13))</f>
        <v/>
      </c>
      <c r="D786" s="17" t="str">
        <f>IF(C786="","",C786*'02_Eingaben'!$C$15)</f>
        <v/>
      </c>
      <c r="E786" s="17" t="str">
        <f>IF(D786="","",D786*'02_Eingaben'!$C$8)</f>
        <v/>
      </c>
      <c r="F786" s="17" t="str">
        <f>IF(E786="","",AVERAGE(INDEX($E$2:$E$3001,MAX(1,ROW()-1-'02_Eingaben'!$C$17)):INDEX($E$2:$E$3001,MIN('02_Eingaben'!$C$21,ROW()-1+'02_Eingaben'!$C$17))))</f>
        <v/>
      </c>
      <c r="G786" s="17" t="str">
        <f>IF(F786="","",F786-'02_Eingaben'!$C$10)</f>
        <v/>
      </c>
      <c r="H786" t="str">
        <f>IF(F786="","",IF(F786&lt;'02_Eingaben'!$C$18*'02_Eingaben'!$C$10,1,0))</f>
        <v/>
      </c>
      <c r="I786" s="17" t="str">
        <f t="shared" si="12"/>
        <v/>
      </c>
      <c r="J786" s="17" t="str">
        <f>IF(B786="","",IF(B785&lt;'02_Eingaben'!$C$36,0,J785+I785/'02_Eingaben'!$C$8))</f>
        <v/>
      </c>
    </row>
    <row r="787" spans="1:10" x14ac:dyDescent="0.25">
      <c r="A787" t="str">
        <f>IF('01_Rohdaten'!A787="","",ROW()-1)</f>
        <v/>
      </c>
      <c r="B787" s="17" t="str">
        <f>IF('01_Rohdaten'!A787="","",'01_Rohdaten'!A787)</f>
        <v/>
      </c>
      <c r="C787" s="17" t="str">
        <f>IF(B787="","",INDEX('01_Rohdaten'!B787:D787,'02_Eingaben'!$C$13))</f>
        <v/>
      </c>
      <c r="D787" s="17" t="str">
        <f>IF(C787="","",C787*'02_Eingaben'!$C$15)</f>
        <v/>
      </c>
      <c r="E787" s="17" t="str">
        <f>IF(D787="","",D787*'02_Eingaben'!$C$8)</f>
        <v/>
      </c>
      <c r="F787" s="17" t="str">
        <f>IF(E787="","",AVERAGE(INDEX($E$2:$E$3001,MAX(1,ROW()-1-'02_Eingaben'!$C$17)):INDEX($E$2:$E$3001,MIN('02_Eingaben'!$C$21,ROW()-1+'02_Eingaben'!$C$17))))</f>
        <v/>
      </c>
      <c r="G787" s="17" t="str">
        <f>IF(F787="","",F787-'02_Eingaben'!$C$10)</f>
        <v/>
      </c>
      <c r="H787" t="str">
        <f>IF(F787="","",IF(F787&lt;'02_Eingaben'!$C$18*'02_Eingaben'!$C$10,1,0))</f>
        <v/>
      </c>
      <c r="I787" s="17" t="str">
        <f t="shared" si="12"/>
        <v/>
      </c>
      <c r="J787" s="17" t="str">
        <f>IF(B787="","",IF(B786&lt;'02_Eingaben'!$C$36,0,J786+I786/'02_Eingaben'!$C$8))</f>
        <v/>
      </c>
    </row>
    <row r="788" spans="1:10" x14ac:dyDescent="0.25">
      <c r="A788" t="str">
        <f>IF('01_Rohdaten'!A788="","",ROW()-1)</f>
        <v/>
      </c>
      <c r="B788" s="17" t="str">
        <f>IF('01_Rohdaten'!A788="","",'01_Rohdaten'!A788)</f>
        <v/>
      </c>
      <c r="C788" s="17" t="str">
        <f>IF(B788="","",INDEX('01_Rohdaten'!B788:D788,'02_Eingaben'!$C$13))</f>
        <v/>
      </c>
      <c r="D788" s="17" t="str">
        <f>IF(C788="","",C788*'02_Eingaben'!$C$15)</f>
        <v/>
      </c>
      <c r="E788" s="17" t="str">
        <f>IF(D788="","",D788*'02_Eingaben'!$C$8)</f>
        <v/>
      </c>
      <c r="F788" s="17" t="str">
        <f>IF(E788="","",AVERAGE(INDEX($E$2:$E$3001,MAX(1,ROW()-1-'02_Eingaben'!$C$17)):INDEX($E$2:$E$3001,MIN('02_Eingaben'!$C$21,ROW()-1+'02_Eingaben'!$C$17))))</f>
        <v/>
      </c>
      <c r="G788" s="17" t="str">
        <f>IF(F788="","",F788-'02_Eingaben'!$C$10)</f>
        <v/>
      </c>
      <c r="H788" t="str">
        <f>IF(F788="","",IF(F788&lt;'02_Eingaben'!$C$18*'02_Eingaben'!$C$10,1,0))</f>
        <v/>
      </c>
      <c r="I788" s="17" t="str">
        <f t="shared" si="12"/>
        <v/>
      </c>
      <c r="J788" s="17" t="str">
        <f>IF(B788="","",IF(B787&lt;'02_Eingaben'!$C$36,0,J787+I787/'02_Eingaben'!$C$8))</f>
        <v/>
      </c>
    </row>
    <row r="789" spans="1:10" x14ac:dyDescent="0.25">
      <c r="A789" t="str">
        <f>IF('01_Rohdaten'!A789="","",ROW()-1)</f>
        <v/>
      </c>
      <c r="B789" s="17" t="str">
        <f>IF('01_Rohdaten'!A789="","",'01_Rohdaten'!A789)</f>
        <v/>
      </c>
      <c r="C789" s="17" t="str">
        <f>IF(B789="","",INDEX('01_Rohdaten'!B789:D789,'02_Eingaben'!$C$13))</f>
        <v/>
      </c>
      <c r="D789" s="17" t="str">
        <f>IF(C789="","",C789*'02_Eingaben'!$C$15)</f>
        <v/>
      </c>
      <c r="E789" s="17" t="str">
        <f>IF(D789="","",D789*'02_Eingaben'!$C$8)</f>
        <v/>
      </c>
      <c r="F789" s="17" t="str">
        <f>IF(E789="","",AVERAGE(INDEX($E$2:$E$3001,MAX(1,ROW()-1-'02_Eingaben'!$C$17)):INDEX($E$2:$E$3001,MIN('02_Eingaben'!$C$21,ROW()-1+'02_Eingaben'!$C$17))))</f>
        <v/>
      </c>
      <c r="G789" s="17" t="str">
        <f>IF(F789="","",F789-'02_Eingaben'!$C$10)</f>
        <v/>
      </c>
      <c r="H789" t="str">
        <f>IF(F789="","",IF(F789&lt;'02_Eingaben'!$C$18*'02_Eingaben'!$C$10,1,0))</f>
        <v/>
      </c>
      <c r="I789" s="17" t="str">
        <f t="shared" si="12"/>
        <v/>
      </c>
      <c r="J789" s="17" t="str">
        <f>IF(B789="","",IF(B788&lt;'02_Eingaben'!$C$36,0,J788+I788/'02_Eingaben'!$C$8))</f>
        <v/>
      </c>
    </row>
    <row r="790" spans="1:10" x14ac:dyDescent="0.25">
      <c r="A790" t="str">
        <f>IF('01_Rohdaten'!A790="","",ROW()-1)</f>
        <v/>
      </c>
      <c r="B790" s="17" t="str">
        <f>IF('01_Rohdaten'!A790="","",'01_Rohdaten'!A790)</f>
        <v/>
      </c>
      <c r="C790" s="17" t="str">
        <f>IF(B790="","",INDEX('01_Rohdaten'!B790:D790,'02_Eingaben'!$C$13))</f>
        <v/>
      </c>
      <c r="D790" s="17" t="str">
        <f>IF(C790="","",C790*'02_Eingaben'!$C$15)</f>
        <v/>
      </c>
      <c r="E790" s="17" t="str">
        <f>IF(D790="","",D790*'02_Eingaben'!$C$8)</f>
        <v/>
      </c>
      <c r="F790" s="17" t="str">
        <f>IF(E790="","",AVERAGE(INDEX($E$2:$E$3001,MAX(1,ROW()-1-'02_Eingaben'!$C$17)):INDEX($E$2:$E$3001,MIN('02_Eingaben'!$C$21,ROW()-1+'02_Eingaben'!$C$17))))</f>
        <v/>
      </c>
      <c r="G790" s="17" t="str">
        <f>IF(F790="","",F790-'02_Eingaben'!$C$10)</f>
        <v/>
      </c>
      <c r="H790" t="str">
        <f>IF(F790="","",IF(F790&lt;'02_Eingaben'!$C$18*'02_Eingaben'!$C$10,1,0))</f>
        <v/>
      </c>
      <c r="I790" s="17" t="str">
        <f t="shared" si="12"/>
        <v/>
      </c>
      <c r="J790" s="17" t="str">
        <f>IF(B790="","",IF(B789&lt;'02_Eingaben'!$C$36,0,J789+I789/'02_Eingaben'!$C$8))</f>
        <v/>
      </c>
    </row>
    <row r="791" spans="1:10" x14ac:dyDescent="0.25">
      <c r="A791" t="str">
        <f>IF('01_Rohdaten'!A791="","",ROW()-1)</f>
        <v/>
      </c>
      <c r="B791" s="17" t="str">
        <f>IF('01_Rohdaten'!A791="","",'01_Rohdaten'!A791)</f>
        <v/>
      </c>
      <c r="C791" s="17" t="str">
        <f>IF(B791="","",INDEX('01_Rohdaten'!B791:D791,'02_Eingaben'!$C$13))</f>
        <v/>
      </c>
      <c r="D791" s="17" t="str">
        <f>IF(C791="","",C791*'02_Eingaben'!$C$15)</f>
        <v/>
      </c>
      <c r="E791" s="17" t="str">
        <f>IF(D791="","",D791*'02_Eingaben'!$C$8)</f>
        <v/>
      </c>
      <c r="F791" s="17" t="str">
        <f>IF(E791="","",AVERAGE(INDEX($E$2:$E$3001,MAX(1,ROW()-1-'02_Eingaben'!$C$17)):INDEX($E$2:$E$3001,MIN('02_Eingaben'!$C$21,ROW()-1+'02_Eingaben'!$C$17))))</f>
        <v/>
      </c>
      <c r="G791" s="17" t="str">
        <f>IF(F791="","",F791-'02_Eingaben'!$C$10)</f>
        <v/>
      </c>
      <c r="H791" t="str">
        <f>IF(F791="","",IF(F791&lt;'02_Eingaben'!$C$18*'02_Eingaben'!$C$10,1,0))</f>
        <v/>
      </c>
      <c r="I791" s="17" t="str">
        <f t="shared" si="12"/>
        <v/>
      </c>
      <c r="J791" s="17" t="str">
        <f>IF(B791="","",IF(B790&lt;'02_Eingaben'!$C$36,0,J790+I790/'02_Eingaben'!$C$8))</f>
        <v/>
      </c>
    </row>
    <row r="792" spans="1:10" x14ac:dyDescent="0.25">
      <c r="A792" t="str">
        <f>IF('01_Rohdaten'!A792="","",ROW()-1)</f>
        <v/>
      </c>
      <c r="B792" s="17" t="str">
        <f>IF('01_Rohdaten'!A792="","",'01_Rohdaten'!A792)</f>
        <v/>
      </c>
      <c r="C792" s="17" t="str">
        <f>IF(B792="","",INDEX('01_Rohdaten'!B792:D792,'02_Eingaben'!$C$13))</f>
        <v/>
      </c>
      <c r="D792" s="17" t="str">
        <f>IF(C792="","",C792*'02_Eingaben'!$C$15)</f>
        <v/>
      </c>
      <c r="E792" s="17" t="str">
        <f>IF(D792="","",D792*'02_Eingaben'!$C$8)</f>
        <v/>
      </c>
      <c r="F792" s="17" t="str">
        <f>IF(E792="","",AVERAGE(INDEX($E$2:$E$3001,MAX(1,ROW()-1-'02_Eingaben'!$C$17)):INDEX($E$2:$E$3001,MIN('02_Eingaben'!$C$21,ROW()-1+'02_Eingaben'!$C$17))))</f>
        <v/>
      </c>
      <c r="G792" s="17" t="str">
        <f>IF(F792="","",F792-'02_Eingaben'!$C$10)</f>
        <v/>
      </c>
      <c r="H792" t="str">
        <f>IF(F792="","",IF(F792&lt;'02_Eingaben'!$C$18*'02_Eingaben'!$C$10,1,0))</f>
        <v/>
      </c>
      <c r="I792" s="17" t="str">
        <f t="shared" si="12"/>
        <v/>
      </c>
      <c r="J792" s="17" t="str">
        <f>IF(B792="","",IF(B791&lt;'02_Eingaben'!$C$36,0,J791+I791/'02_Eingaben'!$C$8))</f>
        <v/>
      </c>
    </row>
    <row r="793" spans="1:10" x14ac:dyDescent="0.25">
      <c r="A793" t="str">
        <f>IF('01_Rohdaten'!A793="","",ROW()-1)</f>
        <v/>
      </c>
      <c r="B793" s="17" t="str">
        <f>IF('01_Rohdaten'!A793="","",'01_Rohdaten'!A793)</f>
        <v/>
      </c>
      <c r="C793" s="17" t="str">
        <f>IF(B793="","",INDEX('01_Rohdaten'!B793:D793,'02_Eingaben'!$C$13))</f>
        <v/>
      </c>
      <c r="D793" s="17" t="str">
        <f>IF(C793="","",C793*'02_Eingaben'!$C$15)</f>
        <v/>
      </c>
      <c r="E793" s="17" t="str">
        <f>IF(D793="","",D793*'02_Eingaben'!$C$8)</f>
        <v/>
      </c>
      <c r="F793" s="17" t="str">
        <f>IF(E793="","",AVERAGE(INDEX($E$2:$E$3001,MAX(1,ROW()-1-'02_Eingaben'!$C$17)):INDEX($E$2:$E$3001,MIN('02_Eingaben'!$C$21,ROW()-1+'02_Eingaben'!$C$17))))</f>
        <v/>
      </c>
      <c r="G793" s="17" t="str">
        <f>IF(F793="","",F793-'02_Eingaben'!$C$10)</f>
        <v/>
      </c>
      <c r="H793" t="str">
        <f>IF(F793="","",IF(F793&lt;'02_Eingaben'!$C$18*'02_Eingaben'!$C$10,1,0))</f>
        <v/>
      </c>
      <c r="I793" s="17" t="str">
        <f t="shared" si="12"/>
        <v/>
      </c>
      <c r="J793" s="17" t="str">
        <f>IF(B793="","",IF(B792&lt;'02_Eingaben'!$C$36,0,J792+I792/'02_Eingaben'!$C$8))</f>
        <v/>
      </c>
    </row>
    <row r="794" spans="1:10" x14ac:dyDescent="0.25">
      <c r="A794" t="str">
        <f>IF('01_Rohdaten'!A794="","",ROW()-1)</f>
        <v/>
      </c>
      <c r="B794" s="17" t="str">
        <f>IF('01_Rohdaten'!A794="","",'01_Rohdaten'!A794)</f>
        <v/>
      </c>
      <c r="C794" s="17" t="str">
        <f>IF(B794="","",INDEX('01_Rohdaten'!B794:D794,'02_Eingaben'!$C$13))</f>
        <v/>
      </c>
      <c r="D794" s="17" t="str">
        <f>IF(C794="","",C794*'02_Eingaben'!$C$15)</f>
        <v/>
      </c>
      <c r="E794" s="17" t="str">
        <f>IF(D794="","",D794*'02_Eingaben'!$C$8)</f>
        <v/>
      </c>
      <c r="F794" s="17" t="str">
        <f>IF(E794="","",AVERAGE(INDEX($E$2:$E$3001,MAX(1,ROW()-1-'02_Eingaben'!$C$17)):INDEX($E$2:$E$3001,MIN('02_Eingaben'!$C$21,ROW()-1+'02_Eingaben'!$C$17))))</f>
        <v/>
      </c>
      <c r="G794" s="17" t="str">
        <f>IF(F794="","",F794-'02_Eingaben'!$C$10)</f>
        <v/>
      </c>
      <c r="H794" t="str">
        <f>IF(F794="","",IF(F794&lt;'02_Eingaben'!$C$18*'02_Eingaben'!$C$10,1,0))</f>
        <v/>
      </c>
      <c r="I794" s="17" t="str">
        <f t="shared" si="12"/>
        <v/>
      </c>
      <c r="J794" s="17" t="str">
        <f>IF(B794="","",IF(B793&lt;'02_Eingaben'!$C$36,0,J793+I793/'02_Eingaben'!$C$8))</f>
        <v/>
      </c>
    </row>
    <row r="795" spans="1:10" x14ac:dyDescent="0.25">
      <c r="A795" t="str">
        <f>IF('01_Rohdaten'!A795="","",ROW()-1)</f>
        <v/>
      </c>
      <c r="B795" s="17" t="str">
        <f>IF('01_Rohdaten'!A795="","",'01_Rohdaten'!A795)</f>
        <v/>
      </c>
      <c r="C795" s="17" t="str">
        <f>IF(B795="","",INDEX('01_Rohdaten'!B795:D795,'02_Eingaben'!$C$13))</f>
        <v/>
      </c>
      <c r="D795" s="17" t="str">
        <f>IF(C795="","",C795*'02_Eingaben'!$C$15)</f>
        <v/>
      </c>
      <c r="E795" s="17" t="str">
        <f>IF(D795="","",D795*'02_Eingaben'!$C$8)</f>
        <v/>
      </c>
      <c r="F795" s="17" t="str">
        <f>IF(E795="","",AVERAGE(INDEX($E$2:$E$3001,MAX(1,ROW()-1-'02_Eingaben'!$C$17)):INDEX($E$2:$E$3001,MIN('02_Eingaben'!$C$21,ROW()-1+'02_Eingaben'!$C$17))))</f>
        <v/>
      </c>
      <c r="G795" s="17" t="str">
        <f>IF(F795="","",F795-'02_Eingaben'!$C$10)</f>
        <v/>
      </c>
      <c r="H795" t="str">
        <f>IF(F795="","",IF(F795&lt;'02_Eingaben'!$C$18*'02_Eingaben'!$C$10,1,0))</f>
        <v/>
      </c>
      <c r="I795" s="17" t="str">
        <f t="shared" si="12"/>
        <v/>
      </c>
      <c r="J795" s="17" t="str">
        <f>IF(B795="","",IF(B794&lt;'02_Eingaben'!$C$36,0,J794+I794/'02_Eingaben'!$C$8))</f>
        <v/>
      </c>
    </row>
    <row r="796" spans="1:10" x14ac:dyDescent="0.25">
      <c r="A796" t="str">
        <f>IF('01_Rohdaten'!A796="","",ROW()-1)</f>
        <v/>
      </c>
      <c r="B796" s="17" t="str">
        <f>IF('01_Rohdaten'!A796="","",'01_Rohdaten'!A796)</f>
        <v/>
      </c>
      <c r="C796" s="17" t="str">
        <f>IF(B796="","",INDEX('01_Rohdaten'!B796:D796,'02_Eingaben'!$C$13))</f>
        <v/>
      </c>
      <c r="D796" s="17" t="str">
        <f>IF(C796="","",C796*'02_Eingaben'!$C$15)</f>
        <v/>
      </c>
      <c r="E796" s="17" t="str">
        <f>IF(D796="","",D796*'02_Eingaben'!$C$8)</f>
        <v/>
      </c>
      <c r="F796" s="17" t="str">
        <f>IF(E796="","",AVERAGE(INDEX($E$2:$E$3001,MAX(1,ROW()-1-'02_Eingaben'!$C$17)):INDEX($E$2:$E$3001,MIN('02_Eingaben'!$C$21,ROW()-1+'02_Eingaben'!$C$17))))</f>
        <v/>
      </c>
      <c r="G796" s="17" t="str">
        <f>IF(F796="","",F796-'02_Eingaben'!$C$10)</f>
        <v/>
      </c>
      <c r="H796" t="str">
        <f>IF(F796="","",IF(F796&lt;'02_Eingaben'!$C$18*'02_Eingaben'!$C$10,1,0))</f>
        <v/>
      </c>
      <c r="I796" s="17" t="str">
        <f t="shared" si="12"/>
        <v/>
      </c>
      <c r="J796" s="17" t="str">
        <f>IF(B796="","",IF(B795&lt;'02_Eingaben'!$C$36,0,J795+I795/'02_Eingaben'!$C$8))</f>
        <v/>
      </c>
    </row>
    <row r="797" spans="1:10" x14ac:dyDescent="0.25">
      <c r="A797" t="str">
        <f>IF('01_Rohdaten'!A797="","",ROW()-1)</f>
        <v/>
      </c>
      <c r="B797" s="17" t="str">
        <f>IF('01_Rohdaten'!A797="","",'01_Rohdaten'!A797)</f>
        <v/>
      </c>
      <c r="C797" s="17" t="str">
        <f>IF(B797="","",INDEX('01_Rohdaten'!B797:D797,'02_Eingaben'!$C$13))</f>
        <v/>
      </c>
      <c r="D797" s="17" t="str">
        <f>IF(C797="","",C797*'02_Eingaben'!$C$15)</f>
        <v/>
      </c>
      <c r="E797" s="17" t="str">
        <f>IF(D797="","",D797*'02_Eingaben'!$C$8)</f>
        <v/>
      </c>
      <c r="F797" s="17" t="str">
        <f>IF(E797="","",AVERAGE(INDEX($E$2:$E$3001,MAX(1,ROW()-1-'02_Eingaben'!$C$17)):INDEX($E$2:$E$3001,MIN('02_Eingaben'!$C$21,ROW()-1+'02_Eingaben'!$C$17))))</f>
        <v/>
      </c>
      <c r="G797" s="17" t="str">
        <f>IF(F797="","",F797-'02_Eingaben'!$C$10)</f>
        <v/>
      </c>
      <c r="H797" t="str">
        <f>IF(F797="","",IF(F797&lt;'02_Eingaben'!$C$18*'02_Eingaben'!$C$10,1,0))</f>
        <v/>
      </c>
      <c r="I797" s="17" t="str">
        <f t="shared" si="12"/>
        <v/>
      </c>
      <c r="J797" s="17" t="str">
        <f>IF(B797="","",IF(B796&lt;'02_Eingaben'!$C$36,0,J796+I796/'02_Eingaben'!$C$8))</f>
        <v/>
      </c>
    </row>
    <row r="798" spans="1:10" x14ac:dyDescent="0.25">
      <c r="A798" t="str">
        <f>IF('01_Rohdaten'!A798="","",ROW()-1)</f>
        <v/>
      </c>
      <c r="B798" s="17" t="str">
        <f>IF('01_Rohdaten'!A798="","",'01_Rohdaten'!A798)</f>
        <v/>
      </c>
      <c r="C798" s="17" t="str">
        <f>IF(B798="","",INDEX('01_Rohdaten'!B798:D798,'02_Eingaben'!$C$13))</f>
        <v/>
      </c>
      <c r="D798" s="17" t="str">
        <f>IF(C798="","",C798*'02_Eingaben'!$C$15)</f>
        <v/>
      </c>
      <c r="E798" s="17" t="str">
        <f>IF(D798="","",D798*'02_Eingaben'!$C$8)</f>
        <v/>
      </c>
      <c r="F798" s="17" t="str">
        <f>IF(E798="","",AVERAGE(INDEX($E$2:$E$3001,MAX(1,ROW()-1-'02_Eingaben'!$C$17)):INDEX($E$2:$E$3001,MIN('02_Eingaben'!$C$21,ROW()-1+'02_Eingaben'!$C$17))))</f>
        <v/>
      </c>
      <c r="G798" s="17" t="str">
        <f>IF(F798="","",F798-'02_Eingaben'!$C$10)</f>
        <v/>
      </c>
      <c r="H798" t="str">
        <f>IF(F798="","",IF(F798&lt;'02_Eingaben'!$C$18*'02_Eingaben'!$C$10,1,0))</f>
        <v/>
      </c>
      <c r="I798" s="17" t="str">
        <f t="shared" si="12"/>
        <v/>
      </c>
      <c r="J798" s="17" t="str">
        <f>IF(B798="","",IF(B797&lt;'02_Eingaben'!$C$36,0,J797+I797/'02_Eingaben'!$C$8))</f>
        <v/>
      </c>
    </row>
    <row r="799" spans="1:10" x14ac:dyDescent="0.25">
      <c r="A799" t="str">
        <f>IF('01_Rohdaten'!A799="","",ROW()-1)</f>
        <v/>
      </c>
      <c r="B799" s="17" t="str">
        <f>IF('01_Rohdaten'!A799="","",'01_Rohdaten'!A799)</f>
        <v/>
      </c>
      <c r="C799" s="17" t="str">
        <f>IF(B799="","",INDEX('01_Rohdaten'!B799:D799,'02_Eingaben'!$C$13))</f>
        <v/>
      </c>
      <c r="D799" s="17" t="str">
        <f>IF(C799="","",C799*'02_Eingaben'!$C$15)</f>
        <v/>
      </c>
      <c r="E799" s="17" t="str">
        <f>IF(D799="","",D799*'02_Eingaben'!$C$8)</f>
        <v/>
      </c>
      <c r="F799" s="17" t="str">
        <f>IF(E799="","",AVERAGE(INDEX($E$2:$E$3001,MAX(1,ROW()-1-'02_Eingaben'!$C$17)):INDEX($E$2:$E$3001,MIN('02_Eingaben'!$C$21,ROW()-1+'02_Eingaben'!$C$17))))</f>
        <v/>
      </c>
      <c r="G799" s="17" t="str">
        <f>IF(F799="","",F799-'02_Eingaben'!$C$10)</f>
        <v/>
      </c>
      <c r="H799" t="str">
        <f>IF(F799="","",IF(F799&lt;'02_Eingaben'!$C$18*'02_Eingaben'!$C$10,1,0))</f>
        <v/>
      </c>
      <c r="I799" s="17" t="str">
        <f t="shared" si="12"/>
        <v/>
      </c>
      <c r="J799" s="17" t="str">
        <f>IF(B799="","",IF(B798&lt;'02_Eingaben'!$C$36,0,J798+I798/'02_Eingaben'!$C$8))</f>
        <v/>
      </c>
    </row>
    <row r="800" spans="1:10" x14ac:dyDescent="0.25">
      <c r="A800" t="str">
        <f>IF('01_Rohdaten'!A800="","",ROW()-1)</f>
        <v/>
      </c>
      <c r="B800" s="17" t="str">
        <f>IF('01_Rohdaten'!A800="","",'01_Rohdaten'!A800)</f>
        <v/>
      </c>
      <c r="C800" s="17" t="str">
        <f>IF(B800="","",INDEX('01_Rohdaten'!B800:D800,'02_Eingaben'!$C$13))</f>
        <v/>
      </c>
      <c r="D800" s="17" t="str">
        <f>IF(C800="","",C800*'02_Eingaben'!$C$15)</f>
        <v/>
      </c>
      <c r="E800" s="17" t="str">
        <f>IF(D800="","",D800*'02_Eingaben'!$C$8)</f>
        <v/>
      </c>
      <c r="F800" s="17" t="str">
        <f>IF(E800="","",AVERAGE(INDEX($E$2:$E$3001,MAX(1,ROW()-1-'02_Eingaben'!$C$17)):INDEX($E$2:$E$3001,MIN('02_Eingaben'!$C$21,ROW()-1+'02_Eingaben'!$C$17))))</f>
        <v/>
      </c>
      <c r="G800" s="17" t="str">
        <f>IF(F800="","",F800-'02_Eingaben'!$C$10)</f>
        <v/>
      </c>
      <c r="H800" t="str">
        <f>IF(F800="","",IF(F800&lt;'02_Eingaben'!$C$18*'02_Eingaben'!$C$10,1,0))</f>
        <v/>
      </c>
      <c r="I800" s="17" t="str">
        <f t="shared" si="12"/>
        <v/>
      </c>
      <c r="J800" s="17" t="str">
        <f>IF(B800="","",IF(B799&lt;'02_Eingaben'!$C$36,0,J799+I799/'02_Eingaben'!$C$8))</f>
        <v/>
      </c>
    </row>
    <row r="801" spans="1:10" x14ac:dyDescent="0.25">
      <c r="A801" t="str">
        <f>IF('01_Rohdaten'!A801="","",ROW()-1)</f>
        <v/>
      </c>
      <c r="B801" s="17" t="str">
        <f>IF('01_Rohdaten'!A801="","",'01_Rohdaten'!A801)</f>
        <v/>
      </c>
      <c r="C801" s="17" t="str">
        <f>IF(B801="","",INDEX('01_Rohdaten'!B801:D801,'02_Eingaben'!$C$13))</f>
        <v/>
      </c>
      <c r="D801" s="17" t="str">
        <f>IF(C801="","",C801*'02_Eingaben'!$C$15)</f>
        <v/>
      </c>
      <c r="E801" s="17" t="str">
        <f>IF(D801="","",D801*'02_Eingaben'!$C$8)</f>
        <v/>
      </c>
      <c r="F801" s="17" t="str">
        <f>IF(E801="","",AVERAGE(INDEX($E$2:$E$3001,MAX(1,ROW()-1-'02_Eingaben'!$C$17)):INDEX($E$2:$E$3001,MIN('02_Eingaben'!$C$21,ROW()-1+'02_Eingaben'!$C$17))))</f>
        <v/>
      </c>
      <c r="G801" s="17" t="str">
        <f>IF(F801="","",F801-'02_Eingaben'!$C$10)</f>
        <v/>
      </c>
      <c r="H801" t="str">
        <f>IF(F801="","",IF(F801&lt;'02_Eingaben'!$C$18*'02_Eingaben'!$C$10,1,0))</f>
        <v/>
      </c>
      <c r="I801" s="17" t="str">
        <f t="shared" si="12"/>
        <v/>
      </c>
      <c r="J801" s="17" t="str">
        <f>IF(B801="","",IF(B800&lt;'02_Eingaben'!$C$36,0,J800+I800/'02_Eingaben'!$C$8))</f>
        <v/>
      </c>
    </row>
    <row r="802" spans="1:10" x14ac:dyDescent="0.25">
      <c r="A802" t="str">
        <f>IF('01_Rohdaten'!A802="","",ROW()-1)</f>
        <v/>
      </c>
      <c r="B802" s="17" t="str">
        <f>IF('01_Rohdaten'!A802="","",'01_Rohdaten'!A802)</f>
        <v/>
      </c>
      <c r="C802" s="17" t="str">
        <f>IF(B802="","",INDEX('01_Rohdaten'!B802:D802,'02_Eingaben'!$C$13))</f>
        <v/>
      </c>
      <c r="D802" s="17" t="str">
        <f>IF(C802="","",C802*'02_Eingaben'!$C$15)</f>
        <v/>
      </c>
      <c r="E802" s="17" t="str">
        <f>IF(D802="","",D802*'02_Eingaben'!$C$8)</f>
        <v/>
      </c>
      <c r="F802" s="17" t="str">
        <f>IF(E802="","",AVERAGE(INDEX($E$2:$E$3001,MAX(1,ROW()-1-'02_Eingaben'!$C$17)):INDEX($E$2:$E$3001,MIN('02_Eingaben'!$C$21,ROW()-1+'02_Eingaben'!$C$17))))</f>
        <v/>
      </c>
      <c r="G802" s="17" t="str">
        <f>IF(F802="","",F802-'02_Eingaben'!$C$10)</f>
        <v/>
      </c>
      <c r="H802" t="str">
        <f>IF(F802="","",IF(F802&lt;'02_Eingaben'!$C$18*'02_Eingaben'!$C$10,1,0))</f>
        <v/>
      </c>
      <c r="I802" s="17" t="str">
        <f t="shared" si="12"/>
        <v/>
      </c>
      <c r="J802" s="17" t="str">
        <f>IF(B802="","",IF(B801&lt;'02_Eingaben'!$C$36,0,J801+I801/'02_Eingaben'!$C$8))</f>
        <v/>
      </c>
    </row>
    <row r="803" spans="1:10" x14ac:dyDescent="0.25">
      <c r="A803" t="str">
        <f>IF('01_Rohdaten'!A803="","",ROW()-1)</f>
        <v/>
      </c>
      <c r="B803" s="17" t="str">
        <f>IF('01_Rohdaten'!A803="","",'01_Rohdaten'!A803)</f>
        <v/>
      </c>
      <c r="C803" s="17" t="str">
        <f>IF(B803="","",INDEX('01_Rohdaten'!B803:D803,'02_Eingaben'!$C$13))</f>
        <v/>
      </c>
      <c r="D803" s="17" t="str">
        <f>IF(C803="","",C803*'02_Eingaben'!$C$15)</f>
        <v/>
      </c>
      <c r="E803" s="17" t="str">
        <f>IF(D803="","",D803*'02_Eingaben'!$C$8)</f>
        <v/>
      </c>
      <c r="F803" s="17" t="str">
        <f>IF(E803="","",AVERAGE(INDEX($E$2:$E$3001,MAX(1,ROW()-1-'02_Eingaben'!$C$17)):INDEX($E$2:$E$3001,MIN('02_Eingaben'!$C$21,ROW()-1+'02_Eingaben'!$C$17))))</f>
        <v/>
      </c>
      <c r="G803" s="17" t="str">
        <f>IF(F803="","",F803-'02_Eingaben'!$C$10)</f>
        <v/>
      </c>
      <c r="H803" t="str">
        <f>IF(F803="","",IF(F803&lt;'02_Eingaben'!$C$18*'02_Eingaben'!$C$10,1,0))</f>
        <v/>
      </c>
      <c r="I803" s="17" t="str">
        <f t="shared" si="12"/>
        <v/>
      </c>
      <c r="J803" s="17" t="str">
        <f>IF(B803="","",IF(B802&lt;'02_Eingaben'!$C$36,0,J802+I802/'02_Eingaben'!$C$8))</f>
        <v/>
      </c>
    </row>
    <row r="804" spans="1:10" x14ac:dyDescent="0.25">
      <c r="A804" t="str">
        <f>IF('01_Rohdaten'!A804="","",ROW()-1)</f>
        <v/>
      </c>
      <c r="B804" s="17" t="str">
        <f>IF('01_Rohdaten'!A804="","",'01_Rohdaten'!A804)</f>
        <v/>
      </c>
      <c r="C804" s="17" t="str">
        <f>IF(B804="","",INDEX('01_Rohdaten'!B804:D804,'02_Eingaben'!$C$13))</f>
        <v/>
      </c>
      <c r="D804" s="17" t="str">
        <f>IF(C804="","",C804*'02_Eingaben'!$C$15)</f>
        <v/>
      </c>
      <c r="E804" s="17" t="str">
        <f>IF(D804="","",D804*'02_Eingaben'!$C$8)</f>
        <v/>
      </c>
      <c r="F804" s="17" t="str">
        <f>IF(E804="","",AVERAGE(INDEX($E$2:$E$3001,MAX(1,ROW()-1-'02_Eingaben'!$C$17)):INDEX($E$2:$E$3001,MIN('02_Eingaben'!$C$21,ROW()-1+'02_Eingaben'!$C$17))))</f>
        <v/>
      </c>
      <c r="G804" s="17" t="str">
        <f>IF(F804="","",F804-'02_Eingaben'!$C$10)</f>
        <v/>
      </c>
      <c r="H804" t="str">
        <f>IF(F804="","",IF(F804&lt;'02_Eingaben'!$C$18*'02_Eingaben'!$C$10,1,0))</f>
        <v/>
      </c>
      <c r="I804" s="17" t="str">
        <f t="shared" si="12"/>
        <v/>
      </c>
      <c r="J804" s="17" t="str">
        <f>IF(B804="","",IF(B803&lt;'02_Eingaben'!$C$36,0,J803+I803/'02_Eingaben'!$C$8))</f>
        <v/>
      </c>
    </row>
    <row r="805" spans="1:10" x14ac:dyDescent="0.25">
      <c r="A805" t="str">
        <f>IF('01_Rohdaten'!A805="","",ROW()-1)</f>
        <v/>
      </c>
      <c r="B805" s="17" t="str">
        <f>IF('01_Rohdaten'!A805="","",'01_Rohdaten'!A805)</f>
        <v/>
      </c>
      <c r="C805" s="17" t="str">
        <f>IF(B805="","",INDEX('01_Rohdaten'!B805:D805,'02_Eingaben'!$C$13))</f>
        <v/>
      </c>
      <c r="D805" s="17" t="str">
        <f>IF(C805="","",C805*'02_Eingaben'!$C$15)</f>
        <v/>
      </c>
      <c r="E805" s="17" t="str">
        <f>IF(D805="","",D805*'02_Eingaben'!$C$8)</f>
        <v/>
      </c>
      <c r="F805" s="17" t="str">
        <f>IF(E805="","",AVERAGE(INDEX($E$2:$E$3001,MAX(1,ROW()-1-'02_Eingaben'!$C$17)):INDEX($E$2:$E$3001,MIN('02_Eingaben'!$C$21,ROW()-1+'02_Eingaben'!$C$17))))</f>
        <v/>
      </c>
      <c r="G805" s="17" t="str">
        <f>IF(F805="","",F805-'02_Eingaben'!$C$10)</f>
        <v/>
      </c>
      <c r="H805" t="str">
        <f>IF(F805="","",IF(F805&lt;'02_Eingaben'!$C$18*'02_Eingaben'!$C$10,1,0))</f>
        <v/>
      </c>
      <c r="I805" s="17" t="str">
        <f t="shared" si="12"/>
        <v/>
      </c>
      <c r="J805" s="17" t="str">
        <f>IF(B805="","",IF(B804&lt;'02_Eingaben'!$C$36,0,J804+I804/'02_Eingaben'!$C$8))</f>
        <v/>
      </c>
    </row>
    <row r="806" spans="1:10" x14ac:dyDescent="0.25">
      <c r="A806" t="str">
        <f>IF('01_Rohdaten'!A806="","",ROW()-1)</f>
        <v/>
      </c>
      <c r="B806" s="17" t="str">
        <f>IF('01_Rohdaten'!A806="","",'01_Rohdaten'!A806)</f>
        <v/>
      </c>
      <c r="C806" s="17" t="str">
        <f>IF(B806="","",INDEX('01_Rohdaten'!B806:D806,'02_Eingaben'!$C$13))</f>
        <v/>
      </c>
      <c r="D806" s="17" t="str">
        <f>IF(C806="","",C806*'02_Eingaben'!$C$15)</f>
        <v/>
      </c>
      <c r="E806" s="17" t="str">
        <f>IF(D806="","",D806*'02_Eingaben'!$C$8)</f>
        <v/>
      </c>
      <c r="F806" s="17" t="str">
        <f>IF(E806="","",AVERAGE(INDEX($E$2:$E$3001,MAX(1,ROW()-1-'02_Eingaben'!$C$17)):INDEX($E$2:$E$3001,MIN('02_Eingaben'!$C$21,ROW()-1+'02_Eingaben'!$C$17))))</f>
        <v/>
      </c>
      <c r="G806" s="17" t="str">
        <f>IF(F806="","",F806-'02_Eingaben'!$C$10)</f>
        <v/>
      </c>
      <c r="H806" t="str">
        <f>IF(F806="","",IF(F806&lt;'02_Eingaben'!$C$18*'02_Eingaben'!$C$10,1,0))</f>
        <v/>
      </c>
      <c r="I806" s="17" t="str">
        <f t="shared" si="12"/>
        <v/>
      </c>
      <c r="J806" s="17" t="str">
        <f>IF(B806="","",IF(B805&lt;'02_Eingaben'!$C$36,0,J805+I805/'02_Eingaben'!$C$8))</f>
        <v/>
      </c>
    </row>
    <row r="807" spans="1:10" x14ac:dyDescent="0.25">
      <c r="A807" t="str">
        <f>IF('01_Rohdaten'!A807="","",ROW()-1)</f>
        <v/>
      </c>
      <c r="B807" s="17" t="str">
        <f>IF('01_Rohdaten'!A807="","",'01_Rohdaten'!A807)</f>
        <v/>
      </c>
      <c r="C807" s="17" t="str">
        <f>IF(B807="","",INDEX('01_Rohdaten'!B807:D807,'02_Eingaben'!$C$13))</f>
        <v/>
      </c>
      <c r="D807" s="17" t="str">
        <f>IF(C807="","",C807*'02_Eingaben'!$C$15)</f>
        <v/>
      </c>
      <c r="E807" s="17" t="str">
        <f>IF(D807="","",D807*'02_Eingaben'!$C$8)</f>
        <v/>
      </c>
      <c r="F807" s="17" t="str">
        <f>IF(E807="","",AVERAGE(INDEX($E$2:$E$3001,MAX(1,ROW()-1-'02_Eingaben'!$C$17)):INDEX($E$2:$E$3001,MIN('02_Eingaben'!$C$21,ROW()-1+'02_Eingaben'!$C$17))))</f>
        <v/>
      </c>
      <c r="G807" s="17" t="str">
        <f>IF(F807="","",F807-'02_Eingaben'!$C$10)</f>
        <v/>
      </c>
      <c r="H807" t="str">
        <f>IF(F807="","",IF(F807&lt;'02_Eingaben'!$C$18*'02_Eingaben'!$C$10,1,0))</f>
        <v/>
      </c>
      <c r="I807" s="17" t="str">
        <f t="shared" si="12"/>
        <v/>
      </c>
      <c r="J807" s="17" t="str">
        <f>IF(B807="","",IF(B806&lt;'02_Eingaben'!$C$36,0,J806+I806/'02_Eingaben'!$C$8))</f>
        <v/>
      </c>
    </row>
    <row r="808" spans="1:10" x14ac:dyDescent="0.25">
      <c r="A808" t="str">
        <f>IF('01_Rohdaten'!A808="","",ROW()-1)</f>
        <v/>
      </c>
      <c r="B808" s="17" t="str">
        <f>IF('01_Rohdaten'!A808="","",'01_Rohdaten'!A808)</f>
        <v/>
      </c>
      <c r="C808" s="17" t="str">
        <f>IF(B808="","",INDEX('01_Rohdaten'!B808:D808,'02_Eingaben'!$C$13))</f>
        <v/>
      </c>
      <c r="D808" s="17" t="str">
        <f>IF(C808="","",C808*'02_Eingaben'!$C$15)</f>
        <v/>
      </c>
      <c r="E808" s="17" t="str">
        <f>IF(D808="","",D808*'02_Eingaben'!$C$8)</f>
        <v/>
      </c>
      <c r="F808" s="17" t="str">
        <f>IF(E808="","",AVERAGE(INDEX($E$2:$E$3001,MAX(1,ROW()-1-'02_Eingaben'!$C$17)):INDEX($E$2:$E$3001,MIN('02_Eingaben'!$C$21,ROW()-1+'02_Eingaben'!$C$17))))</f>
        <v/>
      </c>
      <c r="G808" s="17" t="str">
        <f>IF(F808="","",F808-'02_Eingaben'!$C$10)</f>
        <v/>
      </c>
      <c r="H808" t="str">
        <f>IF(F808="","",IF(F808&lt;'02_Eingaben'!$C$18*'02_Eingaben'!$C$10,1,0))</f>
        <v/>
      </c>
      <c r="I808" s="17" t="str">
        <f t="shared" si="12"/>
        <v/>
      </c>
      <c r="J808" s="17" t="str">
        <f>IF(B808="","",IF(B807&lt;'02_Eingaben'!$C$36,0,J807+I807/'02_Eingaben'!$C$8))</f>
        <v/>
      </c>
    </row>
    <row r="809" spans="1:10" x14ac:dyDescent="0.25">
      <c r="A809" t="str">
        <f>IF('01_Rohdaten'!A809="","",ROW()-1)</f>
        <v/>
      </c>
      <c r="B809" s="17" t="str">
        <f>IF('01_Rohdaten'!A809="","",'01_Rohdaten'!A809)</f>
        <v/>
      </c>
      <c r="C809" s="17" t="str">
        <f>IF(B809="","",INDEX('01_Rohdaten'!B809:D809,'02_Eingaben'!$C$13))</f>
        <v/>
      </c>
      <c r="D809" s="17" t="str">
        <f>IF(C809="","",C809*'02_Eingaben'!$C$15)</f>
        <v/>
      </c>
      <c r="E809" s="17" t="str">
        <f>IF(D809="","",D809*'02_Eingaben'!$C$8)</f>
        <v/>
      </c>
      <c r="F809" s="17" t="str">
        <f>IF(E809="","",AVERAGE(INDEX($E$2:$E$3001,MAX(1,ROW()-1-'02_Eingaben'!$C$17)):INDEX($E$2:$E$3001,MIN('02_Eingaben'!$C$21,ROW()-1+'02_Eingaben'!$C$17))))</f>
        <v/>
      </c>
      <c r="G809" s="17" t="str">
        <f>IF(F809="","",F809-'02_Eingaben'!$C$10)</f>
        <v/>
      </c>
      <c r="H809" t="str">
        <f>IF(F809="","",IF(F809&lt;'02_Eingaben'!$C$18*'02_Eingaben'!$C$10,1,0))</f>
        <v/>
      </c>
      <c r="I809" s="17" t="str">
        <f t="shared" si="12"/>
        <v/>
      </c>
      <c r="J809" s="17" t="str">
        <f>IF(B809="","",IF(B808&lt;'02_Eingaben'!$C$36,0,J808+I808/'02_Eingaben'!$C$8))</f>
        <v/>
      </c>
    </row>
    <row r="810" spans="1:10" x14ac:dyDescent="0.25">
      <c r="A810" t="str">
        <f>IF('01_Rohdaten'!A810="","",ROW()-1)</f>
        <v/>
      </c>
      <c r="B810" s="17" t="str">
        <f>IF('01_Rohdaten'!A810="","",'01_Rohdaten'!A810)</f>
        <v/>
      </c>
      <c r="C810" s="17" t="str">
        <f>IF(B810="","",INDEX('01_Rohdaten'!B810:D810,'02_Eingaben'!$C$13))</f>
        <v/>
      </c>
      <c r="D810" s="17" t="str">
        <f>IF(C810="","",C810*'02_Eingaben'!$C$15)</f>
        <v/>
      </c>
      <c r="E810" s="17" t="str">
        <f>IF(D810="","",D810*'02_Eingaben'!$C$8)</f>
        <v/>
      </c>
      <c r="F810" s="17" t="str">
        <f>IF(E810="","",AVERAGE(INDEX($E$2:$E$3001,MAX(1,ROW()-1-'02_Eingaben'!$C$17)):INDEX($E$2:$E$3001,MIN('02_Eingaben'!$C$21,ROW()-1+'02_Eingaben'!$C$17))))</f>
        <v/>
      </c>
      <c r="G810" s="17" t="str">
        <f>IF(F810="","",F810-'02_Eingaben'!$C$10)</f>
        <v/>
      </c>
      <c r="H810" t="str">
        <f>IF(F810="","",IF(F810&lt;'02_Eingaben'!$C$18*'02_Eingaben'!$C$10,1,0))</f>
        <v/>
      </c>
      <c r="I810" s="17" t="str">
        <f t="shared" si="12"/>
        <v/>
      </c>
      <c r="J810" s="17" t="str">
        <f>IF(B810="","",IF(B809&lt;'02_Eingaben'!$C$36,0,J809+I809/'02_Eingaben'!$C$8))</f>
        <v/>
      </c>
    </row>
    <row r="811" spans="1:10" x14ac:dyDescent="0.25">
      <c r="A811" t="str">
        <f>IF('01_Rohdaten'!A811="","",ROW()-1)</f>
        <v/>
      </c>
      <c r="B811" s="17" t="str">
        <f>IF('01_Rohdaten'!A811="","",'01_Rohdaten'!A811)</f>
        <v/>
      </c>
      <c r="C811" s="17" t="str">
        <f>IF(B811="","",INDEX('01_Rohdaten'!B811:D811,'02_Eingaben'!$C$13))</f>
        <v/>
      </c>
      <c r="D811" s="17" t="str">
        <f>IF(C811="","",C811*'02_Eingaben'!$C$15)</f>
        <v/>
      </c>
      <c r="E811" s="17" t="str">
        <f>IF(D811="","",D811*'02_Eingaben'!$C$8)</f>
        <v/>
      </c>
      <c r="F811" s="17" t="str">
        <f>IF(E811="","",AVERAGE(INDEX($E$2:$E$3001,MAX(1,ROW()-1-'02_Eingaben'!$C$17)):INDEX($E$2:$E$3001,MIN('02_Eingaben'!$C$21,ROW()-1+'02_Eingaben'!$C$17))))</f>
        <v/>
      </c>
      <c r="G811" s="17" t="str">
        <f>IF(F811="","",F811-'02_Eingaben'!$C$10)</f>
        <v/>
      </c>
      <c r="H811" t="str">
        <f>IF(F811="","",IF(F811&lt;'02_Eingaben'!$C$18*'02_Eingaben'!$C$10,1,0))</f>
        <v/>
      </c>
      <c r="I811" s="17" t="str">
        <f t="shared" si="12"/>
        <v/>
      </c>
      <c r="J811" s="17" t="str">
        <f>IF(B811="","",IF(B810&lt;'02_Eingaben'!$C$36,0,J810+I810/'02_Eingaben'!$C$8))</f>
        <v/>
      </c>
    </row>
    <row r="812" spans="1:10" x14ac:dyDescent="0.25">
      <c r="A812" t="str">
        <f>IF('01_Rohdaten'!A812="","",ROW()-1)</f>
        <v/>
      </c>
      <c r="B812" s="17" t="str">
        <f>IF('01_Rohdaten'!A812="","",'01_Rohdaten'!A812)</f>
        <v/>
      </c>
      <c r="C812" s="17" t="str">
        <f>IF(B812="","",INDEX('01_Rohdaten'!B812:D812,'02_Eingaben'!$C$13))</f>
        <v/>
      </c>
      <c r="D812" s="17" t="str">
        <f>IF(C812="","",C812*'02_Eingaben'!$C$15)</f>
        <v/>
      </c>
      <c r="E812" s="17" t="str">
        <f>IF(D812="","",D812*'02_Eingaben'!$C$8)</f>
        <v/>
      </c>
      <c r="F812" s="17" t="str">
        <f>IF(E812="","",AVERAGE(INDEX($E$2:$E$3001,MAX(1,ROW()-1-'02_Eingaben'!$C$17)):INDEX($E$2:$E$3001,MIN('02_Eingaben'!$C$21,ROW()-1+'02_Eingaben'!$C$17))))</f>
        <v/>
      </c>
      <c r="G812" s="17" t="str">
        <f>IF(F812="","",F812-'02_Eingaben'!$C$10)</f>
        <v/>
      </c>
      <c r="H812" t="str">
        <f>IF(F812="","",IF(F812&lt;'02_Eingaben'!$C$18*'02_Eingaben'!$C$10,1,0))</f>
        <v/>
      </c>
      <c r="I812" s="17" t="str">
        <f t="shared" si="12"/>
        <v/>
      </c>
      <c r="J812" s="17" t="str">
        <f>IF(B812="","",IF(B811&lt;'02_Eingaben'!$C$36,0,J811+I811/'02_Eingaben'!$C$8))</f>
        <v/>
      </c>
    </row>
    <row r="813" spans="1:10" x14ac:dyDescent="0.25">
      <c r="A813" t="str">
        <f>IF('01_Rohdaten'!A813="","",ROW()-1)</f>
        <v/>
      </c>
      <c r="B813" s="17" t="str">
        <f>IF('01_Rohdaten'!A813="","",'01_Rohdaten'!A813)</f>
        <v/>
      </c>
      <c r="C813" s="17" t="str">
        <f>IF(B813="","",INDEX('01_Rohdaten'!B813:D813,'02_Eingaben'!$C$13))</f>
        <v/>
      </c>
      <c r="D813" s="17" t="str">
        <f>IF(C813="","",C813*'02_Eingaben'!$C$15)</f>
        <v/>
      </c>
      <c r="E813" s="17" t="str">
        <f>IF(D813="","",D813*'02_Eingaben'!$C$8)</f>
        <v/>
      </c>
      <c r="F813" s="17" t="str">
        <f>IF(E813="","",AVERAGE(INDEX($E$2:$E$3001,MAX(1,ROW()-1-'02_Eingaben'!$C$17)):INDEX($E$2:$E$3001,MIN('02_Eingaben'!$C$21,ROW()-1+'02_Eingaben'!$C$17))))</f>
        <v/>
      </c>
      <c r="G813" s="17" t="str">
        <f>IF(F813="","",F813-'02_Eingaben'!$C$10)</f>
        <v/>
      </c>
      <c r="H813" t="str">
        <f>IF(F813="","",IF(F813&lt;'02_Eingaben'!$C$18*'02_Eingaben'!$C$10,1,0))</f>
        <v/>
      </c>
      <c r="I813" s="17" t="str">
        <f t="shared" si="12"/>
        <v/>
      </c>
      <c r="J813" s="17" t="str">
        <f>IF(B813="","",IF(B812&lt;'02_Eingaben'!$C$36,0,J812+I812/'02_Eingaben'!$C$8))</f>
        <v/>
      </c>
    </row>
    <row r="814" spans="1:10" x14ac:dyDescent="0.25">
      <c r="A814" t="str">
        <f>IF('01_Rohdaten'!A814="","",ROW()-1)</f>
        <v/>
      </c>
      <c r="B814" s="17" t="str">
        <f>IF('01_Rohdaten'!A814="","",'01_Rohdaten'!A814)</f>
        <v/>
      </c>
      <c r="C814" s="17" t="str">
        <f>IF(B814="","",INDEX('01_Rohdaten'!B814:D814,'02_Eingaben'!$C$13))</f>
        <v/>
      </c>
      <c r="D814" s="17" t="str">
        <f>IF(C814="","",C814*'02_Eingaben'!$C$15)</f>
        <v/>
      </c>
      <c r="E814" s="17" t="str">
        <f>IF(D814="","",D814*'02_Eingaben'!$C$8)</f>
        <v/>
      </c>
      <c r="F814" s="17" t="str">
        <f>IF(E814="","",AVERAGE(INDEX($E$2:$E$3001,MAX(1,ROW()-1-'02_Eingaben'!$C$17)):INDEX($E$2:$E$3001,MIN('02_Eingaben'!$C$21,ROW()-1+'02_Eingaben'!$C$17))))</f>
        <v/>
      </c>
      <c r="G814" s="17" t="str">
        <f>IF(F814="","",F814-'02_Eingaben'!$C$10)</f>
        <v/>
      </c>
      <c r="H814" t="str">
        <f>IF(F814="","",IF(F814&lt;'02_Eingaben'!$C$18*'02_Eingaben'!$C$10,1,0))</f>
        <v/>
      </c>
      <c r="I814" s="17" t="str">
        <f t="shared" si="12"/>
        <v/>
      </c>
      <c r="J814" s="17" t="str">
        <f>IF(B814="","",IF(B813&lt;'02_Eingaben'!$C$36,0,J813+I813/'02_Eingaben'!$C$8))</f>
        <v/>
      </c>
    </row>
    <row r="815" spans="1:10" x14ac:dyDescent="0.25">
      <c r="A815" t="str">
        <f>IF('01_Rohdaten'!A815="","",ROW()-1)</f>
        <v/>
      </c>
      <c r="B815" s="17" t="str">
        <f>IF('01_Rohdaten'!A815="","",'01_Rohdaten'!A815)</f>
        <v/>
      </c>
      <c r="C815" s="17" t="str">
        <f>IF(B815="","",INDEX('01_Rohdaten'!B815:D815,'02_Eingaben'!$C$13))</f>
        <v/>
      </c>
      <c r="D815" s="17" t="str">
        <f>IF(C815="","",C815*'02_Eingaben'!$C$15)</f>
        <v/>
      </c>
      <c r="E815" s="17" t="str">
        <f>IF(D815="","",D815*'02_Eingaben'!$C$8)</f>
        <v/>
      </c>
      <c r="F815" s="17" t="str">
        <f>IF(E815="","",AVERAGE(INDEX($E$2:$E$3001,MAX(1,ROW()-1-'02_Eingaben'!$C$17)):INDEX($E$2:$E$3001,MIN('02_Eingaben'!$C$21,ROW()-1+'02_Eingaben'!$C$17))))</f>
        <v/>
      </c>
      <c r="G815" s="17" t="str">
        <f>IF(F815="","",F815-'02_Eingaben'!$C$10)</f>
        <v/>
      </c>
      <c r="H815" t="str">
        <f>IF(F815="","",IF(F815&lt;'02_Eingaben'!$C$18*'02_Eingaben'!$C$10,1,0))</f>
        <v/>
      </c>
      <c r="I815" s="17" t="str">
        <f t="shared" si="12"/>
        <v/>
      </c>
      <c r="J815" s="17" t="str">
        <f>IF(B815="","",IF(B814&lt;'02_Eingaben'!$C$36,0,J814+I814/'02_Eingaben'!$C$8))</f>
        <v/>
      </c>
    </row>
    <row r="816" spans="1:10" x14ac:dyDescent="0.25">
      <c r="A816" t="str">
        <f>IF('01_Rohdaten'!A816="","",ROW()-1)</f>
        <v/>
      </c>
      <c r="B816" s="17" t="str">
        <f>IF('01_Rohdaten'!A816="","",'01_Rohdaten'!A816)</f>
        <v/>
      </c>
      <c r="C816" s="17" t="str">
        <f>IF(B816="","",INDEX('01_Rohdaten'!B816:D816,'02_Eingaben'!$C$13))</f>
        <v/>
      </c>
      <c r="D816" s="17" t="str">
        <f>IF(C816="","",C816*'02_Eingaben'!$C$15)</f>
        <v/>
      </c>
      <c r="E816" s="17" t="str">
        <f>IF(D816="","",D816*'02_Eingaben'!$C$8)</f>
        <v/>
      </c>
      <c r="F816" s="17" t="str">
        <f>IF(E816="","",AVERAGE(INDEX($E$2:$E$3001,MAX(1,ROW()-1-'02_Eingaben'!$C$17)):INDEX($E$2:$E$3001,MIN('02_Eingaben'!$C$21,ROW()-1+'02_Eingaben'!$C$17))))</f>
        <v/>
      </c>
      <c r="G816" s="17" t="str">
        <f>IF(F816="","",F816-'02_Eingaben'!$C$10)</f>
        <v/>
      </c>
      <c r="H816" t="str">
        <f>IF(F816="","",IF(F816&lt;'02_Eingaben'!$C$18*'02_Eingaben'!$C$10,1,0))</f>
        <v/>
      </c>
      <c r="I816" s="17" t="str">
        <f t="shared" si="12"/>
        <v/>
      </c>
      <c r="J816" s="17" t="str">
        <f>IF(B816="","",IF(B815&lt;'02_Eingaben'!$C$36,0,J815+I815/'02_Eingaben'!$C$8))</f>
        <v/>
      </c>
    </row>
    <row r="817" spans="1:10" x14ac:dyDescent="0.25">
      <c r="A817" t="str">
        <f>IF('01_Rohdaten'!A817="","",ROW()-1)</f>
        <v/>
      </c>
      <c r="B817" s="17" t="str">
        <f>IF('01_Rohdaten'!A817="","",'01_Rohdaten'!A817)</f>
        <v/>
      </c>
      <c r="C817" s="17" t="str">
        <f>IF(B817="","",INDEX('01_Rohdaten'!B817:D817,'02_Eingaben'!$C$13))</f>
        <v/>
      </c>
      <c r="D817" s="17" t="str">
        <f>IF(C817="","",C817*'02_Eingaben'!$C$15)</f>
        <v/>
      </c>
      <c r="E817" s="17" t="str">
        <f>IF(D817="","",D817*'02_Eingaben'!$C$8)</f>
        <v/>
      </c>
      <c r="F817" s="17" t="str">
        <f>IF(E817="","",AVERAGE(INDEX($E$2:$E$3001,MAX(1,ROW()-1-'02_Eingaben'!$C$17)):INDEX($E$2:$E$3001,MIN('02_Eingaben'!$C$21,ROW()-1+'02_Eingaben'!$C$17))))</f>
        <v/>
      </c>
      <c r="G817" s="17" t="str">
        <f>IF(F817="","",F817-'02_Eingaben'!$C$10)</f>
        <v/>
      </c>
      <c r="H817" t="str">
        <f>IF(F817="","",IF(F817&lt;'02_Eingaben'!$C$18*'02_Eingaben'!$C$10,1,0))</f>
        <v/>
      </c>
      <c r="I817" s="17" t="str">
        <f t="shared" si="12"/>
        <v/>
      </c>
      <c r="J817" s="17" t="str">
        <f>IF(B817="","",IF(B816&lt;'02_Eingaben'!$C$36,0,J816+I816/'02_Eingaben'!$C$8))</f>
        <v/>
      </c>
    </row>
    <row r="818" spans="1:10" x14ac:dyDescent="0.25">
      <c r="A818" t="str">
        <f>IF('01_Rohdaten'!A818="","",ROW()-1)</f>
        <v/>
      </c>
      <c r="B818" s="17" t="str">
        <f>IF('01_Rohdaten'!A818="","",'01_Rohdaten'!A818)</f>
        <v/>
      </c>
      <c r="C818" s="17" t="str">
        <f>IF(B818="","",INDEX('01_Rohdaten'!B818:D818,'02_Eingaben'!$C$13))</f>
        <v/>
      </c>
      <c r="D818" s="17" t="str">
        <f>IF(C818="","",C818*'02_Eingaben'!$C$15)</f>
        <v/>
      </c>
      <c r="E818" s="17" t="str">
        <f>IF(D818="","",D818*'02_Eingaben'!$C$8)</f>
        <v/>
      </c>
      <c r="F818" s="17" t="str">
        <f>IF(E818="","",AVERAGE(INDEX($E$2:$E$3001,MAX(1,ROW()-1-'02_Eingaben'!$C$17)):INDEX($E$2:$E$3001,MIN('02_Eingaben'!$C$21,ROW()-1+'02_Eingaben'!$C$17))))</f>
        <v/>
      </c>
      <c r="G818" s="17" t="str">
        <f>IF(F818="","",F818-'02_Eingaben'!$C$10)</f>
        <v/>
      </c>
      <c r="H818" t="str">
        <f>IF(F818="","",IF(F818&lt;'02_Eingaben'!$C$18*'02_Eingaben'!$C$10,1,0))</f>
        <v/>
      </c>
      <c r="I818" s="17" t="str">
        <f t="shared" si="12"/>
        <v/>
      </c>
      <c r="J818" s="17" t="str">
        <f>IF(B818="","",IF(B817&lt;'02_Eingaben'!$C$36,0,J817+I817/'02_Eingaben'!$C$8))</f>
        <v/>
      </c>
    </row>
    <row r="819" spans="1:10" x14ac:dyDescent="0.25">
      <c r="A819" t="str">
        <f>IF('01_Rohdaten'!A819="","",ROW()-1)</f>
        <v/>
      </c>
      <c r="B819" s="17" t="str">
        <f>IF('01_Rohdaten'!A819="","",'01_Rohdaten'!A819)</f>
        <v/>
      </c>
      <c r="C819" s="17" t="str">
        <f>IF(B819="","",INDEX('01_Rohdaten'!B819:D819,'02_Eingaben'!$C$13))</f>
        <v/>
      </c>
      <c r="D819" s="17" t="str">
        <f>IF(C819="","",C819*'02_Eingaben'!$C$15)</f>
        <v/>
      </c>
      <c r="E819" s="17" t="str">
        <f>IF(D819="","",D819*'02_Eingaben'!$C$8)</f>
        <v/>
      </c>
      <c r="F819" s="17" t="str">
        <f>IF(E819="","",AVERAGE(INDEX($E$2:$E$3001,MAX(1,ROW()-1-'02_Eingaben'!$C$17)):INDEX($E$2:$E$3001,MIN('02_Eingaben'!$C$21,ROW()-1+'02_Eingaben'!$C$17))))</f>
        <v/>
      </c>
      <c r="G819" s="17" t="str">
        <f>IF(F819="","",F819-'02_Eingaben'!$C$10)</f>
        <v/>
      </c>
      <c r="H819" t="str">
        <f>IF(F819="","",IF(F819&lt;'02_Eingaben'!$C$18*'02_Eingaben'!$C$10,1,0))</f>
        <v/>
      </c>
      <c r="I819" s="17" t="str">
        <f t="shared" si="12"/>
        <v/>
      </c>
      <c r="J819" s="17" t="str">
        <f>IF(B819="","",IF(B818&lt;'02_Eingaben'!$C$36,0,J818+I818/'02_Eingaben'!$C$8))</f>
        <v/>
      </c>
    </row>
    <row r="820" spans="1:10" x14ac:dyDescent="0.25">
      <c r="A820" t="str">
        <f>IF('01_Rohdaten'!A820="","",ROW()-1)</f>
        <v/>
      </c>
      <c r="B820" s="17" t="str">
        <f>IF('01_Rohdaten'!A820="","",'01_Rohdaten'!A820)</f>
        <v/>
      </c>
      <c r="C820" s="17" t="str">
        <f>IF(B820="","",INDEX('01_Rohdaten'!B820:D820,'02_Eingaben'!$C$13))</f>
        <v/>
      </c>
      <c r="D820" s="17" t="str">
        <f>IF(C820="","",C820*'02_Eingaben'!$C$15)</f>
        <v/>
      </c>
      <c r="E820" s="17" t="str">
        <f>IF(D820="","",D820*'02_Eingaben'!$C$8)</f>
        <v/>
      </c>
      <c r="F820" s="17" t="str">
        <f>IF(E820="","",AVERAGE(INDEX($E$2:$E$3001,MAX(1,ROW()-1-'02_Eingaben'!$C$17)):INDEX($E$2:$E$3001,MIN('02_Eingaben'!$C$21,ROW()-1+'02_Eingaben'!$C$17))))</f>
        <v/>
      </c>
      <c r="G820" s="17" t="str">
        <f>IF(F820="","",F820-'02_Eingaben'!$C$10)</f>
        <v/>
      </c>
      <c r="H820" t="str">
        <f>IF(F820="","",IF(F820&lt;'02_Eingaben'!$C$18*'02_Eingaben'!$C$10,1,0))</f>
        <v/>
      </c>
      <c r="I820" s="17" t="str">
        <f t="shared" si="12"/>
        <v/>
      </c>
      <c r="J820" s="17" t="str">
        <f>IF(B820="","",IF(B819&lt;'02_Eingaben'!$C$36,0,J819+I819/'02_Eingaben'!$C$8))</f>
        <v/>
      </c>
    </row>
    <row r="821" spans="1:10" x14ac:dyDescent="0.25">
      <c r="A821" t="str">
        <f>IF('01_Rohdaten'!A821="","",ROW()-1)</f>
        <v/>
      </c>
      <c r="B821" s="17" t="str">
        <f>IF('01_Rohdaten'!A821="","",'01_Rohdaten'!A821)</f>
        <v/>
      </c>
      <c r="C821" s="17" t="str">
        <f>IF(B821="","",INDEX('01_Rohdaten'!B821:D821,'02_Eingaben'!$C$13))</f>
        <v/>
      </c>
      <c r="D821" s="17" t="str">
        <f>IF(C821="","",C821*'02_Eingaben'!$C$15)</f>
        <v/>
      </c>
      <c r="E821" s="17" t="str">
        <f>IF(D821="","",D821*'02_Eingaben'!$C$8)</f>
        <v/>
      </c>
      <c r="F821" s="17" t="str">
        <f>IF(E821="","",AVERAGE(INDEX($E$2:$E$3001,MAX(1,ROW()-1-'02_Eingaben'!$C$17)):INDEX($E$2:$E$3001,MIN('02_Eingaben'!$C$21,ROW()-1+'02_Eingaben'!$C$17))))</f>
        <v/>
      </c>
      <c r="G821" s="17" t="str">
        <f>IF(F821="","",F821-'02_Eingaben'!$C$10)</f>
        <v/>
      </c>
      <c r="H821" t="str">
        <f>IF(F821="","",IF(F821&lt;'02_Eingaben'!$C$18*'02_Eingaben'!$C$10,1,0))</f>
        <v/>
      </c>
      <c r="I821" s="17" t="str">
        <f t="shared" si="12"/>
        <v/>
      </c>
      <c r="J821" s="17" t="str">
        <f>IF(B821="","",IF(B820&lt;'02_Eingaben'!$C$36,0,J820+I820/'02_Eingaben'!$C$8))</f>
        <v/>
      </c>
    </row>
    <row r="822" spans="1:10" x14ac:dyDescent="0.25">
      <c r="A822" t="str">
        <f>IF('01_Rohdaten'!A822="","",ROW()-1)</f>
        <v/>
      </c>
      <c r="B822" s="17" t="str">
        <f>IF('01_Rohdaten'!A822="","",'01_Rohdaten'!A822)</f>
        <v/>
      </c>
      <c r="C822" s="17" t="str">
        <f>IF(B822="","",INDEX('01_Rohdaten'!B822:D822,'02_Eingaben'!$C$13))</f>
        <v/>
      </c>
      <c r="D822" s="17" t="str">
        <f>IF(C822="","",C822*'02_Eingaben'!$C$15)</f>
        <v/>
      </c>
      <c r="E822" s="17" t="str">
        <f>IF(D822="","",D822*'02_Eingaben'!$C$8)</f>
        <v/>
      </c>
      <c r="F822" s="17" t="str">
        <f>IF(E822="","",AVERAGE(INDEX($E$2:$E$3001,MAX(1,ROW()-1-'02_Eingaben'!$C$17)):INDEX($E$2:$E$3001,MIN('02_Eingaben'!$C$21,ROW()-1+'02_Eingaben'!$C$17))))</f>
        <v/>
      </c>
      <c r="G822" s="17" t="str">
        <f>IF(F822="","",F822-'02_Eingaben'!$C$10)</f>
        <v/>
      </c>
      <c r="H822" t="str">
        <f>IF(F822="","",IF(F822&lt;'02_Eingaben'!$C$18*'02_Eingaben'!$C$10,1,0))</f>
        <v/>
      </c>
      <c r="I822" s="17" t="str">
        <f t="shared" si="12"/>
        <v/>
      </c>
      <c r="J822" s="17" t="str">
        <f>IF(B822="","",IF(B821&lt;'02_Eingaben'!$C$36,0,J821+I821/'02_Eingaben'!$C$8))</f>
        <v/>
      </c>
    </row>
    <row r="823" spans="1:10" x14ac:dyDescent="0.25">
      <c r="A823" t="str">
        <f>IF('01_Rohdaten'!A823="","",ROW()-1)</f>
        <v/>
      </c>
      <c r="B823" s="17" t="str">
        <f>IF('01_Rohdaten'!A823="","",'01_Rohdaten'!A823)</f>
        <v/>
      </c>
      <c r="C823" s="17" t="str">
        <f>IF(B823="","",INDEX('01_Rohdaten'!B823:D823,'02_Eingaben'!$C$13))</f>
        <v/>
      </c>
      <c r="D823" s="17" t="str">
        <f>IF(C823="","",C823*'02_Eingaben'!$C$15)</f>
        <v/>
      </c>
      <c r="E823" s="17" t="str">
        <f>IF(D823="","",D823*'02_Eingaben'!$C$8)</f>
        <v/>
      </c>
      <c r="F823" s="17" t="str">
        <f>IF(E823="","",AVERAGE(INDEX($E$2:$E$3001,MAX(1,ROW()-1-'02_Eingaben'!$C$17)):INDEX($E$2:$E$3001,MIN('02_Eingaben'!$C$21,ROW()-1+'02_Eingaben'!$C$17))))</f>
        <v/>
      </c>
      <c r="G823" s="17" t="str">
        <f>IF(F823="","",F823-'02_Eingaben'!$C$10)</f>
        <v/>
      </c>
      <c r="H823" t="str">
        <f>IF(F823="","",IF(F823&lt;'02_Eingaben'!$C$18*'02_Eingaben'!$C$10,1,0))</f>
        <v/>
      </c>
      <c r="I823" s="17" t="str">
        <f t="shared" si="12"/>
        <v/>
      </c>
      <c r="J823" s="17" t="str">
        <f>IF(B823="","",IF(B822&lt;'02_Eingaben'!$C$36,0,J822+I822/'02_Eingaben'!$C$8))</f>
        <v/>
      </c>
    </row>
    <row r="824" spans="1:10" x14ac:dyDescent="0.25">
      <c r="A824" t="str">
        <f>IF('01_Rohdaten'!A824="","",ROW()-1)</f>
        <v/>
      </c>
      <c r="B824" s="17" t="str">
        <f>IF('01_Rohdaten'!A824="","",'01_Rohdaten'!A824)</f>
        <v/>
      </c>
      <c r="C824" s="17" t="str">
        <f>IF(B824="","",INDEX('01_Rohdaten'!B824:D824,'02_Eingaben'!$C$13))</f>
        <v/>
      </c>
      <c r="D824" s="17" t="str">
        <f>IF(C824="","",C824*'02_Eingaben'!$C$15)</f>
        <v/>
      </c>
      <c r="E824" s="17" t="str">
        <f>IF(D824="","",D824*'02_Eingaben'!$C$8)</f>
        <v/>
      </c>
      <c r="F824" s="17" t="str">
        <f>IF(E824="","",AVERAGE(INDEX($E$2:$E$3001,MAX(1,ROW()-1-'02_Eingaben'!$C$17)):INDEX($E$2:$E$3001,MIN('02_Eingaben'!$C$21,ROW()-1+'02_Eingaben'!$C$17))))</f>
        <v/>
      </c>
      <c r="G824" s="17" t="str">
        <f>IF(F824="","",F824-'02_Eingaben'!$C$10)</f>
        <v/>
      </c>
      <c r="H824" t="str">
        <f>IF(F824="","",IF(F824&lt;'02_Eingaben'!$C$18*'02_Eingaben'!$C$10,1,0))</f>
        <v/>
      </c>
      <c r="I824" s="17" t="str">
        <f t="shared" si="12"/>
        <v/>
      </c>
      <c r="J824" s="17" t="str">
        <f>IF(B824="","",IF(B823&lt;'02_Eingaben'!$C$36,0,J823+I823/'02_Eingaben'!$C$8))</f>
        <v/>
      </c>
    </row>
    <row r="825" spans="1:10" x14ac:dyDescent="0.25">
      <c r="A825" t="str">
        <f>IF('01_Rohdaten'!A825="","",ROW()-1)</f>
        <v/>
      </c>
      <c r="B825" s="17" t="str">
        <f>IF('01_Rohdaten'!A825="","",'01_Rohdaten'!A825)</f>
        <v/>
      </c>
      <c r="C825" s="17" t="str">
        <f>IF(B825="","",INDEX('01_Rohdaten'!B825:D825,'02_Eingaben'!$C$13))</f>
        <v/>
      </c>
      <c r="D825" s="17" t="str">
        <f>IF(C825="","",C825*'02_Eingaben'!$C$15)</f>
        <v/>
      </c>
      <c r="E825" s="17" t="str">
        <f>IF(D825="","",D825*'02_Eingaben'!$C$8)</f>
        <v/>
      </c>
      <c r="F825" s="17" t="str">
        <f>IF(E825="","",AVERAGE(INDEX($E$2:$E$3001,MAX(1,ROW()-1-'02_Eingaben'!$C$17)):INDEX($E$2:$E$3001,MIN('02_Eingaben'!$C$21,ROW()-1+'02_Eingaben'!$C$17))))</f>
        <v/>
      </c>
      <c r="G825" s="17" t="str">
        <f>IF(F825="","",F825-'02_Eingaben'!$C$10)</f>
        <v/>
      </c>
      <c r="H825" t="str">
        <f>IF(F825="","",IF(F825&lt;'02_Eingaben'!$C$18*'02_Eingaben'!$C$10,1,0))</f>
        <v/>
      </c>
      <c r="I825" s="17" t="str">
        <f t="shared" si="12"/>
        <v/>
      </c>
      <c r="J825" s="17" t="str">
        <f>IF(B825="","",IF(B824&lt;'02_Eingaben'!$C$36,0,J824+I824/'02_Eingaben'!$C$8))</f>
        <v/>
      </c>
    </row>
    <row r="826" spans="1:10" x14ac:dyDescent="0.25">
      <c r="A826" t="str">
        <f>IF('01_Rohdaten'!A826="","",ROW()-1)</f>
        <v/>
      </c>
      <c r="B826" s="17" t="str">
        <f>IF('01_Rohdaten'!A826="","",'01_Rohdaten'!A826)</f>
        <v/>
      </c>
      <c r="C826" s="17" t="str">
        <f>IF(B826="","",INDEX('01_Rohdaten'!B826:D826,'02_Eingaben'!$C$13))</f>
        <v/>
      </c>
      <c r="D826" s="17" t="str">
        <f>IF(C826="","",C826*'02_Eingaben'!$C$15)</f>
        <v/>
      </c>
      <c r="E826" s="17" t="str">
        <f>IF(D826="","",D826*'02_Eingaben'!$C$8)</f>
        <v/>
      </c>
      <c r="F826" s="17" t="str">
        <f>IF(E826="","",AVERAGE(INDEX($E$2:$E$3001,MAX(1,ROW()-1-'02_Eingaben'!$C$17)):INDEX($E$2:$E$3001,MIN('02_Eingaben'!$C$21,ROW()-1+'02_Eingaben'!$C$17))))</f>
        <v/>
      </c>
      <c r="G826" s="17" t="str">
        <f>IF(F826="","",F826-'02_Eingaben'!$C$10)</f>
        <v/>
      </c>
      <c r="H826" t="str">
        <f>IF(F826="","",IF(F826&lt;'02_Eingaben'!$C$18*'02_Eingaben'!$C$10,1,0))</f>
        <v/>
      </c>
      <c r="I826" s="17" t="str">
        <f t="shared" si="12"/>
        <v/>
      </c>
      <c r="J826" s="17" t="str">
        <f>IF(B826="","",IF(B825&lt;'02_Eingaben'!$C$36,0,J825+I825/'02_Eingaben'!$C$8))</f>
        <v/>
      </c>
    </row>
    <row r="827" spans="1:10" x14ac:dyDescent="0.25">
      <c r="A827" t="str">
        <f>IF('01_Rohdaten'!A827="","",ROW()-1)</f>
        <v/>
      </c>
      <c r="B827" s="17" t="str">
        <f>IF('01_Rohdaten'!A827="","",'01_Rohdaten'!A827)</f>
        <v/>
      </c>
      <c r="C827" s="17" t="str">
        <f>IF(B827="","",INDEX('01_Rohdaten'!B827:D827,'02_Eingaben'!$C$13))</f>
        <v/>
      </c>
      <c r="D827" s="17" t="str">
        <f>IF(C827="","",C827*'02_Eingaben'!$C$15)</f>
        <v/>
      </c>
      <c r="E827" s="17" t="str">
        <f>IF(D827="","",D827*'02_Eingaben'!$C$8)</f>
        <v/>
      </c>
      <c r="F827" s="17" t="str">
        <f>IF(E827="","",AVERAGE(INDEX($E$2:$E$3001,MAX(1,ROW()-1-'02_Eingaben'!$C$17)):INDEX($E$2:$E$3001,MIN('02_Eingaben'!$C$21,ROW()-1+'02_Eingaben'!$C$17))))</f>
        <v/>
      </c>
      <c r="G827" s="17" t="str">
        <f>IF(F827="","",F827-'02_Eingaben'!$C$10)</f>
        <v/>
      </c>
      <c r="H827" t="str">
        <f>IF(F827="","",IF(F827&lt;'02_Eingaben'!$C$18*'02_Eingaben'!$C$10,1,0))</f>
        <v/>
      </c>
      <c r="I827" s="17" t="str">
        <f t="shared" si="12"/>
        <v/>
      </c>
      <c r="J827" s="17" t="str">
        <f>IF(B827="","",IF(B826&lt;'02_Eingaben'!$C$36,0,J826+I826/'02_Eingaben'!$C$8))</f>
        <v/>
      </c>
    </row>
    <row r="828" spans="1:10" x14ac:dyDescent="0.25">
      <c r="A828" t="str">
        <f>IF('01_Rohdaten'!A828="","",ROW()-1)</f>
        <v/>
      </c>
      <c r="B828" s="17" t="str">
        <f>IF('01_Rohdaten'!A828="","",'01_Rohdaten'!A828)</f>
        <v/>
      </c>
      <c r="C828" s="17" t="str">
        <f>IF(B828="","",INDEX('01_Rohdaten'!B828:D828,'02_Eingaben'!$C$13))</f>
        <v/>
      </c>
      <c r="D828" s="17" t="str">
        <f>IF(C828="","",C828*'02_Eingaben'!$C$15)</f>
        <v/>
      </c>
      <c r="E828" s="17" t="str">
        <f>IF(D828="","",D828*'02_Eingaben'!$C$8)</f>
        <v/>
      </c>
      <c r="F828" s="17" t="str">
        <f>IF(E828="","",AVERAGE(INDEX($E$2:$E$3001,MAX(1,ROW()-1-'02_Eingaben'!$C$17)):INDEX($E$2:$E$3001,MIN('02_Eingaben'!$C$21,ROW()-1+'02_Eingaben'!$C$17))))</f>
        <v/>
      </c>
      <c r="G828" s="17" t="str">
        <f>IF(F828="","",F828-'02_Eingaben'!$C$10)</f>
        <v/>
      </c>
      <c r="H828" t="str">
        <f>IF(F828="","",IF(F828&lt;'02_Eingaben'!$C$18*'02_Eingaben'!$C$10,1,0))</f>
        <v/>
      </c>
      <c r="I828" s="17" t="str">
        <f t="shared" si="12"/>
        <v/>
      </c>
      <c r="J828" s="17" t="str">
        <f>IF(B828="","",IF(B827&lt;'02_Eingaben'!$C$36,0,J827+I827/'02_Eingaben'!$C$8))</f>
        <v/>
      </c>
    </row>
    <row r="829" spans="1:10" x14ac:dyDescent="0.25">
      <c r="A829" t="str">
        <f>IF('01_Rohdaten'!A829="","",ROW()-1)</f>
        <v/>
      </c>
      <c r="B829" s="17" t="str">
        <f>IF('01_Rohdaten'!A829="","",'01_Rohdaten'!A829)</f>
        <v/>
      </c>
      <c r="C829" s="17" t="str">
        <f>IF(B829="","",INDEX('01_Rohdaten'!B829:D829,'02_Eingaben'!$C$13))</f>
        <v/>
      </c>
      <c r="D829" s="17" t="str">
        <f>IF(C829="","",C829*'02_Eingaben'!$C$15)</f>
        <v/>
      </c>
      <c r="E829" s="17" t="str">
        <f>IF(D829="","",D829*'02_Eingaben'!$C$8)</f>
        <v/>
      </c>
      <c r="F829" s="17" t="str">
        <f>IF(E829="","",AVERAGE(INDEX($E$2:$E$3001,MAX(1,ROW()-1-'02_Eingaben'!$C$17)):INDEX($E$2:$E$3001,MIN('02_Eingaben'!$C$21,ROW()-1+'02_Eingaben'!$C$17))))</f>
        <v/>
      </c>
      <c r="G829" s="17" t="str">
        <f>IF(F829="","",F829-'02_Eingaben'!$C$10)</f>
        <v/>
      </c>
      <c r="H829" t="str">
        <f>IF(F829="","",IF(F829&lt;'02_Eingaben'!$C$18*'02_Eingaben'!$C$10,1,0))</f>
        <v/>
      </c>
      <c r="I829" s="17" t="str">
        <f t="shared" si="12"/>
        <v/>
      </c>
      <c r="J829" s="17" t="str">
        <f>IF(B829="","",IF(B828&lt;'02_Eingaben'!$C$36,0,J828+I828/'02_Eingaben'!$C$8))</f>
        <v/>
      </c>
    </row>
    <row r="830" spans="1:10" x14ac:dyDescent="0.25">
      <c r="A830" t="str">
        <f>IF('01_Rohdaten'!A830="","",ROW()-1)</f>
        <v/>
      </c>
      <c r="B830" s="17" t="str">
        <f>IF('01_Rohdaten'!A830="","",'01_Rohdaten'!A830)</f>
        <v/>
      </c>
      <c r="C830" s="17" t="str">
        <f>IF(B830="","",INDEX('01_Rohdaten'!B830:D830,'02_Eingaben'!$C$13))</f>
        <v/>
      </c>
      <c r="D830" s="17" t="str">
        <f>IF(C830="","",C830*'02_Eingaben'!$C$15)</f>
        <v/>
      </c>
      <c r="E830" s="17" t="str">
        <f>IF(D830="","",D830*'02_Eingaben'!$C$8)</f>
        <v/>
      </c>
      <c r="F830" s="17" t="str">
        <f>IF(E830="","",AVERAGE(INDEX($E$2:$E$3001,MAX(1,ROW()-1-'02_Eingaben'!$C$17)):INDEX($E$2:$E$3001,MIN('02_Eingaben'!$C$21,ROW()-1+'02_Eingaben'!$C$17))))</f>
        <v/>
      </c>
      <c r="G830" s="17" t="str">
        <f>IF(F830="","",F830-'02_Eingaben'!$C$10)</f>
        <v/>
      </c>
      <c r="H830" t="str">
        <f>IF(F830="","",IF(F830&lt;'02_Eingaben'!$C$18*'02_Eingaben'!$C$10,1,0))</f>
        <v/>
      </c>
      <c r="I830" s="17" t="str">
        <f t="shared" si="12"/>
        <v/>
      </c>
      <c r="J830" s="17" t="str">
        <f>IF(B830="","",IF(B829&lt;'02_Eingaben'!$C$36,0,J829+I829/'02_Eingaben'!$C$8))</f>
        <v/>
      </c>
    </row>
    <row r="831" spans="1:10" x14ac:dyDescent="0.25">
      <c r="A831" t="str">
        <f>IF('01_Rohdaten'!A831="","",ROW()-1)</f>
        <v/>
      </c>
      <c r="B831" s="17" t="str">
        <f>IF('01_Rohdaten'!A831="","",'01_Rohdaten'!A831)</f>
        <v/>
      </c>
      <c r="C831" s="17" t="str">
        <f>IF(B831="","",INDEX('01_Rohdaten'!B831:D831,'02_Eingaben'!$C$13))</f>
        <v/>
      </c>
      <c r="D831" s="17" t="str">
        <f>IF(C831="","",C831*'02_Eingaben'!$C$15)</f>
        <v/>
      </c>
      <c r="E831" s="17" t="str">
        <f>IF(D831="","",D831*'02_Eingaben'!$C$8)</f>
        <v/>
      </c>
      <c r="F831" s="17" t="str">
        <f>IF(E831="","",AVERAGE(INDEX($E$2:$E$3001,MAX(1,ROW()-1-'02_Eingaben'!$C$17)):INDEX($E$2:$E$3001,MIN('02_Eingaben'!$C$21,ROW()-1+'02_Eingaben'!$C$17))))</f>
        <v/>
      </c>
      <c r="G831" s="17" t="str">
        <f>IF(F831="","",F831-'02_Eingaben'!$C$10)</f>
        <v/>
      </c>
      <c r="H831" t="str">
        <f>IF(F831="","",IF(F831&lt;'02_Eingaben'!$C$18*'02_Eingaben'!$C$10,1,0))</f>
        <v/>
      </c>
      <c r="I831" s="17" t="str">
        <f t="shared" si="12"/>
        <v/>
      </c>
      <c r="J831" s="17" t="str">
        <f>IF(B831="","",IF(B830&lt;'02_Eingaben'!$C$36,0,J830+I830/'02_Eingaben'!$C$8))</f>
        <v/>
      </c>
    </row>
    <row r="832" spans="1:10" x14ac:dyDescent="0.25">
      <c r="A832" t="str">
        <f>IF('01_Rohdaten'!A832="","",ROW()-1)</f>
        <v/>
      </c>
      <c r="B832" s="17" t="str">
        <f>IF('01_Rohdaten'!A832="","",'01_Rohdaten'!A832)</f>
        <v/>
      </c>
      <c r="C832" s="17" t="str">
        <f>IF(B832="","",INDEX('01_Rohdaten'!B832:D832,'02_Eingaben'!$C$13))</f>
        <v/>
      </c>
      <c r="D832" s="17" t="str">
        <f>IF(C832="","",C832*'02_Eingaben'!$C$15)</f>
        <v/>
      </c>
      <c r="E832" s="17" t="str">
        <f>IF(D832="","",D832*'02_Eingaben'!$C$8)</f>
        <v/>
      </c>
      <c r="F832" s="17" t="str">
        <f>IF(E832="","",AVERAGE(INDEX($E$2:$E$3001,MAX(1,ROW()-1-'02_Eingaben'!$C$17)):INDEX($E$2:$E$3001,MIN('02_Eingaben'!$C$21,ROW()-1+'02_Eingaben'!$C$17))))</f>
        <v/>
      </c>
      <c r="G832" s="17" t="str">
        <f>IF(F832="","",F832-'02_Eingaben'!$C$10)</f>
        <v/>
      </c>
      <c r="H832" t="str">
        <f>IF(F832="","",IF(F832&lt;'02_Eingaben'!$C$18*'02_Eingaben'!$C$10,1,0))</f>
        <v/>
      </c>
      <c r="I832" s="17" t="str">
        <f t="shared" si="12"/>
        <v/>
      </c>
      <c r="J832" s="17" t="str">
        <f>IF(B832="","",IF(B831&lt;'02_Eingaben'!$C$36,0,J831+I831/'02_Eingaben'!$C$8))</f>
        <v/>
      </c>
    </row>
    <row r="833" spans="1:10" x14ac:dyDescent="0.25">
      <c r="A833" t="str">
        <f>IF('01_Rohdaten'!A833="","",ROW()-1)</f>
        <v/>
      </c>
      <c r="B833" s="17" t="str">
        <f>IF('01_Rohdaten'!A833="","",'01_Rohdaten'!A833)</f>
        <v/>
      </c>
      <c r="C833" s="17" t="str">
        <f>IF(B833="","",INDEX('01_Rohdaten'!B833:D833,'02_Eingaben'!$C$13))</f>
        <v/>
      </c>
      <c r="D833" s="17" t="str">
        <f>IF(C833="","",C833*'02_Eingaben'!$C$15)</f>
        <v/>
      </c>
      <c r="E833" s="17" t="str">
        <f>IF(D833="","",D833*'02_Eingaben'!$C$8)</f>
        <v/>
      </c>
      <c r="F833" s="17" t="str">
        <f>IF(E833="","",AVERAGE(INDEX($E$2:$E$3001,MAX(1,ROW()-1-'02_Eingaben'!$C$17)):INDEX($E$2:$E$3001,MIN('02_Eingaben'!$C$21,ROW()-1+'02_Eingaben'!$C$17))))</f>
        <v/>
      </c>
      <c r="G833" s="17" t="str">
        <f>IF(F833="","",F833-'02_Eingaben'!$C$10)</f>
        <v/>
      </c>
      <c r="H833" t="str">
        <f>IF(F833="","",IF(F833&lt;'02_Eingaben'!$C$18*'02_Eingaben'!$C$10,1,0))</f>
        <v/>
      </c>
      <c r="I833" s="17" t="str">
        <f t="shared" si="12"/>
        <v/>
      </c>
      <c r="J833" s="17" t="str">
        <f>IF(B833="","",IF(B832&lt;'02_Eingaben'!$C$36,0,J832+I832/'02_Eingaben'!$C$8))</f>
        <v/>
      </c>
    </row>
    <row r="834" spans="1:10" x14ac:dyDescent="0.25">
      <c r="A834" t="str">
        <f>IF('01_Rohdaten'!A834="","",ROW()-1)</f>
        <v/>
      </c>
      <c r="B834" s="17" t="str">
        <f>IF('01_Rohdaten'!A834="","",'01_Rohdaten'!A834)</f>
        <v/>
      </c>
      <c r="C834" s="17" t="str">
        <f>IF(B834="","",INDEX('01_Rohdaten'!B834:D834,'02_Eingaben'!$C$13))</f>
        <v/>
      </c>
      <c r="D834" s="17" t="str">
        <f>IF(C834="","",C834*'02_Eingaben'!$C$15)</f>
        <v/>
      </c>
      <c r="E834" s="17" t="str">
        <f>IF(D834="","",D834*'02_Eingaben'!$C$8)</f>
        <v/>
      </c>
      <c r="F834" s="17" t="str">
        <f>IF(E834="","",AVERAGE(INDEX($E$2:$E$3001,MAX(1,ROW()-1-'02_Eingaben'!$C$17)):INDEX($E$2:$E$3001,MIN('02_Eingaben'!$C$21,ROW()-1+'02_Eingaben'!$C$17))))</f>
        <v/>
      </c>
      <c r="G834" s="17" t="str">
        <f>IF(F834="","",F834-'02_Eingaben'!$C$10)</f>
        <v/>
      </c>
      <c r="H834" t="str">
        <f>IF(F834="","",IF(F834&lt;'02_Eingaben'!$C$18*'02_Eingaben'!$C$10,1,0))</f>
        <v/>
      </c>
      <c r="I834" s="17" t="str">
        <f t="shared" ref="I834:I897" si="13">IF(OR(G834="",G835=""),"",(G834+G835)/2*(B835-B834))</f>
        <v/>
      </c>
      <c r="J834" s="17" t="str">
        <f>IF(B834="","",IF(B833&lt;'02_Eingaben'!$C$36,0,J833+I833/'02_Eingaben'!$C$8))</f>
        <v/>
      </c>
    </row>
    <row r="835" spans="1:10" x14ac:dyDescent="0.25">
      <c r="A835" t="str">
        <f>IF('01_Rohdaten'!A835="","",ROW()-1)</f>
        <v/>
      </c>
      <c r="B835" s="17" t="str">
        <f>IF('01_Rohdaten'!A835="","",'01_Rohdaten'!A835)</f>
        <v/>
      </c>
      <c r="C835" s="17" t="str">
        <f>IF(B835="","",INDEX('01_Rohdaten'!B835:D835,'02_Eingaben'!$C$13))</f>
        <v/>
      </c>
      <c r="D835" s="17" t="str">
        <f>IF(C835="","",C835*'02_Eingaben'!$C$15)</f>
        <v/>
      </c>
      <c r="E835" s="17" t="str">
        <f>IF(D835="","",D835*'02_Eingaben'!$C$8)</f>
        <v/>
      </c>
      <c r="F835" s="17" t="str">
        <f>IF(E835="","",AVERAGE(INDEX($E$2:$E$3001,MAX(1,ROW()-1-'02_Eingaben'!$C$17)):INDEX($E$2:$E$3001,MIN('02_Eingaben'!$C$21,ROW()-1+'02_Eingaben'!$C$17))))</f>
        <v/>
      </c>
      <c r="G835" s="17" t="str">
        <f>IF(F835="","",F835-'02_Eingaben'!$C$10)</f>
        <v/>
      </c>
      <c r="H835" t="str">
        <f>IF(F835="","",IF(F835&lt;'02_Eingaben'!$C$18*'02_Eingaben'!$C$10,1,0))</f>
        <v/>
      </c>
      <c r="I835" s="17" t="str">
        <f t="shared" si="13"/>
        <v/>
      </c>
      <c r="J835" s="17" t="str">
        <f>IF(B835="","",IF(B834&lt;'02_Eingaben'!$C$36,0,J834+I834/'02_Eingaben'!$C$8))</f>
        <v/>
      </c>
    </row>
    <row r="836" spans="1:10" x14ac:dyDescent="0.25">
      <c r="A836" t="str">
        <f>IF('01_Rohdaten'!A836="","",ROW()-1)</f>
        <v/>
      </c>
      <c r="B836" s="17" t="str">
        <f>IF('01_Rohdaten'!A836="","",'01_Rohdaten'!A836)</f>
        <v/>
      </c>
      <c r="C836" s="17" t="str">
        <f>IF(B836="","",INDEX('01_Rohdaten'!B836:D836,'02_Eingaben'!$C$13))</f>
        <v/>
      </c>
      <c r="D836" s="17" t="str">
        <f>IF(C836="","",C836*'02_Eingaben'!$C$15)</f>
        <v/>
      </c>
      <c r="E836" s="17" t="str">
        <f>IF(D836="","",D836*'02_Eingaben'!$C$8)</f>
        <v/>
      </c>
      <c r="F836" s="17" t="str">
        <f>IF(E836="","",AVERAGE(INDEX($E$2:$E$3001,MAX(1,ROW()-1-'02_Eingaben'!$C$17)):INDEX($E$2:$E$3001,MIN('02_Eingaben'!$C$21,ROW()-1+'02_Eingaben'!$C$17))))</f>
        <v/>
      </c>
      <c r="G836" s="17" t="str">
        <f>IF(F836="","",F836-'02_Eingaben'!$C$10)</f>
        <v/>
      </c>
      <c r="H836" t="str">
        <f>IF(F836="","",IF(F836&lt;'02_Eingaben'!$C$18*'02_Eingaben'!$C$10,1,0))</f>
        <v/>
      </c>
      <c r="I836" s="17" t="str">
        <f t="shared" si="13"/>
        <v/>
      </c>
      <c r="J836" s="17" t="str">
        <f>IF(B836="","",IF(B835&lt;'02_Eingaben'!$C$36,0,J835+I835/'02_Eingaben'!$C$8))</f>
        <v/>
      </c>
    </row>
    <row r="837" spans="1:10" x14ac:dyDescent="0.25">
      <c r="A837" t="str">
        <f>IF('01_Rohdaten'!A837="","",ROW()-1)</f>
        <v/>
      </c>
      <c r="B837" s="17" t="str">
        <f>IF('01_Rohdaten'!A837="","",'01_Rohdaten'!A837)</f>
        <v/>
      </c>
      <c r="C837" s="17" t="str">
        <f>IF(B837="","",INDEX('01_Rohdaten'!B837:D837,'02_Eingaben'!$C$13))</f>
        <v/>
      </c>
      <c r="D837" s="17" t="str">
        <f>IF(C837="","",C837*'02_Eingaben'!$C$15)</f>
        <v/>
      </c>
      <c r="E837" s="17" t="str">
        <f>IF(D837="","",D837*'02_Eingaben'!$C$8)</f>
        <v/>
      </c>
      <c r="F837" s="17" t="str">
        <f>IF(E837="","",AVERAGE(INDEX($E$2:$E$3001,MAX(1,ROW()-1-'02_Eingaben'!$C$17)):INDEX($E$2:$E$3001,MIN('02_Eingaben'!$C$21,ROW()-1+'02_Eingaben'!$C$17))))</f>
        <v/>
      </c>
      <c r="G837" s="17" t="str">
        <f>IF(F837="","",F837-'02_Eingaben'!$C$10)</f>
        <v/>
      </c>
      <c r="H837" t="str">
        <f>IF(F837="","",IF(F837&lt;'02_Eingaben'!$C$18*'02_Eingaben'!$C$10,1,0))</f>
        <v/>
      </c>
      <c r="I837" s="17" t="str">
        <f t="shared" si="13"/>
        <v/>
      </c>
      <c r="J837" s="17" t="str">
        <f>IF(B837="","",IF(B836&lt;'02_Eingaben'!$C$36,0,J836+I836/'02_Eingaben'!$C$8))</f>
        <v/>
      </c>
    </row>
    <row r="838" spans="1:10" x14ac:dyDescent="0.25">
      <c r="A838" t="str">
        <f>IF('01_Rohdaten'!A838="","",ROW()-1)</f>
        <v/>
      </c>
      <c r="B838" s="17" t="str">
        <f>IF('01_Rohdaten'!A838="","",'01_Rohdaten'!A838)</f>
        <v/>
      </c>
      <c r="C838" s="17" t="str">
        <f>IF(B838="","",INDEX('01_Rohdaten'!B838:D838,'02_Eingaben'!$C$13))</f>
        <v/>
      </c>
      <c r="D838" s="17" t="str">
        <f>IF(C838="","",C838*'02_Eingaben'!$C$15)</f>
        <v/>
      </c>
      <c r="E838" s="17" t="str">
        <f>IF(D838="","",D838*'02_Eingaben'!$C$8)</f>
        <v/>
      </c>
      <c r="F838" s="17" t="str">
        <f>IF(E838="","",AVERAGE(INDEX($E$2:$E$3001,MAX(1,ROW()-1-'02_Eingaben'!$C$17)):INDEX($E$2:$E$3001,MIN('02_Eingaben'!$C$21,ROW()-1+'02_Eingaben'!$C$17))))</f>
        <v/>
      </c>
      <c r="G838" s="17" t="str">
        <f>IF(F838="","",F838-'02_Eingaben'!$C$10)</f>
        <v/>
      </c>
      <c r="H838" t="str">
        <f>IF(F838="","",IF(F838&lt;'02_Eingaben'!$C$18*'02_Eingaben'!$C$10,1,0))</f>
        <v/>
      </c>
      <c r="I838" s="17" t="str">
        <f t="shared" si="13"/>
        <v/>
      </c>
      <c r="J838" s="17" t="str">
        <f>IF(B838="","",IF(B837&lt;'02_Eingaben'!$C$36,0,J837+I837/'02_Eingaben'!$C$8))</f>
        <v/>
      </c>
    </row>
    <row r="839" spans="1:10" x14ac:dyDescent="0.25">
      <c r="A839" t="str">
        <f>IF('01_Rohdaten'!A839="","",ROW()-1)</f>
        <v/>
      </c>
      <c r="B839" s="17" t="str">
        <f>IF('01_Rohdaten'!A839="","",'01_Rohdaten'!A839)</f>
        <v/>
      </c>
      <c r="C839" s="17" t="str">
        <f>IF(B839="","",INDEX('01_Rohdaten'!B839:D839,'02_Eingaben'!$C$13))</f>
        <v/>
      </c>
      <c r="D839" s="17" t="str">
        <f>IF(C839="","",C839*'02_Eingaben'!$C$15)</f>
        <v/>
      </c>
      <c r="E839" s="17" t="str">
        <f>IF(D839="","",D839*'02_Eingaben'!$C$8)</f>
        <v/>
      </c>
      <c r="F839" s="17" t="str">
        <f>IF(E839="","",AVERAGE(INDEX($E$2:$E$3001,MAX(1,ROW()-1-'02_Eingaben'!$C$17)):INDEX($E$2:$E$3001,MIN('02_Eingaben'!$C$21,ROW()-1+'02_Eingaben'!$C$17))))</f>
        <v/>
      </c>
      <c r="G839" s="17" t="str">
        <f>IF(F839="","",F839-'02_Eingaben'!$C$10)</f>
        <v/>
      </c>
      <c r="H839" t="str">
        <f>IF(F839="","",IF(F839&lt;'02_Eingaben'!$C$18*'02_Eingaben'!$C$10,1,0))</f>
        <v/>
      </c>
      <c r="I839" s="17" t="str">
        <f t="shared" si="13"/>
        <v/>
      </c>
      <c r="J839" s="17" t="str">
        <f>IF(B839="","",IF(B838&lt;'02_Eingaben'!$C$36,0,J838+I838/'02_Eingaben'!$C$8))</f>
        <v/>
      </c>
    </row>
    <row r="840" spans="1:10" x14ac:dyDescent="0.25">
      <c r="A840" t="str">
        <f>IF('01_Rohdaten'!A840="","",ROW()-1)</f>
        <v/>
      </c>
      <c r="B840" s="17" t="str">
        <f>IF('01_Rohdaten'!A840="","",'01_Rohdaten'!A840)</f>
        <v/>
      </c>
      <c r="C840" s="17" t="str">
        <f>IF(B840="","",INDEX('01_Rohdaten'!B840:D840,'02_Eingaben'!$C$13))</f>
        <v/>
      </c>
      <c r="D840" s="17" t="str">
        <f>IF(C840="","",C840*'02_Eingaben'!$C$15)</f>
        <v/>
      </c>
      <c r="E840" s="17" t="str">
        <f>IF(D840="","",D840*'02_Eingaben'!$C$8)</f>
        <v/>
      </c>
      <c r="F840" s="17" t="str">
        <f>IF(E840="","",AVERAGE(INDEX($E$2:$E$3001,MAX(1,ROW()-1-'02_Eingaben'!$C$17)):INDEX($E$2:$E$3001,MIN('02_Eingaben'!$C$21,ROW()-1+'02_Eingaben'!$C$17))))</f>
        <v/>
      </c>
      <c r="G840" s="17" t="str">
        <f>IF(F840="","",F840-'02_Eingaben'!$C$10)</f>
        <v/>
      </c>
      <c r="H840" t="str">
        <f>IF(F840="","",IF(F840&lt;'02_Eingaben'!$C$18*'02_Eingaben'!$C$10,1,0))</f>
        <v/>
      </c>
      <c r="I840" s="17" t="str">
        <f t="shared" si="13"/>
        <v/>
      </c>
      <c r="J840" s="17" t="str">
        <f>IF(B840="","",IF(B839&lt;'02_Eingaben'!$C$36,0,J839+I839/'02_Eingaben'!$C$8))</f>
        <v/>
      </c>
    </row>
    <row r="841" spans="1:10" x14ac:dyDescent="0.25">
      <c r="A841" t="str">
        <f>IF('01_Rohdaten'!A841="","",ROW()-1)</f>
        <v/>
      </c>
      <c r="B841" s="17" t="str">
        <f>IF('01_Rohdaten'!A841="","",'01_Rohdaten'!A841)</f>
        <v/>
      </c>
      <c r="C841" s="17" t="str">
        <f>IF(B841="","",INDEX('01_Rohdaten'!B841:D841,'02_Eingaben'!$C$13))</f>
        <v/>
      </c>
      <c r="D841" s="17" t="str">
        <f>IF(C841="","",C841*'02_Eingaben'!$C$15)</f>
        <v/>
      </c>
      <c r="E841" s="17" t="str">
        <f>IF(D841="","",D841*'02_Eingaben'!$C$8)</f>
        <v/>
      </c>
      <c r="F841" s="17" t="str">
        <f>IF(E841="","",AVERAGE(INDEX($E$2:$E$3001,MAX(1,ROW()-1-'02_Eingaben'!$C$17)):INDEX($E$2:$E$3001,MIN('02_Eingaben'!$C$21,ROW()-1+'02_Eingaben'!$C$17))))</f>
        <v/>
      </c>
      <c r="G841" s="17" t="str">
        <f>IF(F841="","",F841-'02_Eingaben'!$C$10)</f>
        <v/>
      </c>
      <c r="H841" t="str">
        <f>IF(F841="","",IF(F841&lt;'02_Eingaben'!$C$18*'02_Eingaben'!$C$10,1,0))</f>
        <v/>
      </c>
      <c r="I841" s="17" t="str">
        <f t="shared" si="13"/>
        <v/>
      </c>
      <c r="J841" s="17" t="str">
        <f>IF(B841="","",IF(B840&lt;'02_Eingaben'!$C$36,0,J840+I840/'02_Eingaben'!$C$8))</f>
        <v/>
      </c>
    </row>
    <row r="842" spans="1:10" x14ac:dyDescent="0.25">
      <c r="A842" t="str">
        <f>IF('01_Rohdaten'!A842="","",ROW()-1)</f>
        <v/>
      </c>
      <c r="B842" s="17" t="str">
        <f>IF('01_Rohdaten'!A842="","",'01_Rohdaten'!A842)</f>
        <v/>
      </c>
      <c r="C842" s="17" t="str">
        <f>IF(B842="","",INDEX('01_Rohdaten'!B842:D842,'02_Eingaben'!$C$13))</f>
        <v/>
      </c>
      <c r="D842" s="17" t="str">
        <f>IF(C842="","",C842*'02_Eingaben'!$C$15)</f>
        <v/>
      </c>
      <c r="E842" s="17" t="str">
        <f>IF(D842="","",D842*'02_Eingaben'!$C$8)</f>
        <v/>
      </c>
      <c r="F842" s="17" t="str">
        <f>IF(E842="","",AVERAGE(INDEX($E$2:$E$3001,MAX(1,ROW()-1-'02_Eingaben'!$C$17)):INDEX($E$2:$E$3001,MIN('02_Eingaben'!$C$21,ROW()-1+'02_Eingaben'!$C$17))))</f>
        <v/>
      </c>
      <c r="G842" s="17" t="str">
        <f>IF(F842="","",F842-'02_Eingaben'!$C$10)</f>
        <v/>
      </c>
      <c r="H842" t="str">
        <f>IF(F842="","",IF(F842&lt;'02_Eingaben'!$C$18*'02_Eingaben'!$C$10,1,0))</f>
        <v/>
      </c>
      <c r="I842" s="17" t="str">
        <f t="shared" si="13"/>
        <v/>
      </c>
      <c r="J842" s="17" t="str">
        <f>IF(B842="","",IF(B841&lt;'02_Eingaben'!$C$36,0,J841+I841/'02_Eingaben'!$C$8))</f>
        <v/>
      </c>
    </row>
    <row r="843" spans="1:10" x14ac:dyDescent="0.25">
      <c r="A843" t="str">
        <f>IF('01_Rohdaten'!A843="","",ROW()-1)</f>
        <v/>
      </c>
      <c r="B843" s="17" t="str">
        <f>IF('01_Rohdaten'!A843="","",'01_Rohdaten'!A843)</f>
        <v/>
      </c>
      <c r="C843" s="17" t="str">
        <f>IF(B843="","",INDEX('01_Rohdaten'!B843:D843,'02_Eingaben'!$C$13))</f>
        <v/>
      </c>
      <c r="D843" s="17" t="str">
        <f>IF(C843="","",C843*'02_Eingaben'!$C$15)</f>
        <v/>
      </c>
      <c r="E843" s="17" t="str">
        <f>IF(D843="","",D843*'02_Eingaben'!$C$8)</f>
        <v/>
      </c>
      <c r="F843" s="17" t="str">
        <f>IF(E843="","",AVERAGE(INDEX($E$2:$E$3001,MAX(1,ROW()-1-'02_Eingaben'!$C$17)):INDEX($E$2:$E$3001,MIN('02_Eingaben'!$C$21,ROW()-1+'02_Eingaben'!$C$17))))</f>
        <v/>
      </c>
      <c r="G843" s="17" t="str">
        <f>IF(F843="","",F843-'02_Eingaben'!$C$10)</f>
        <v/>
      </c>
      <c r="H843" t="str">
        <f>IF(F843="","",IF(F843&lt;'02_Eingaben'!$C$18*'02_Eingaben'!$C$10,1,0))</f>
        <v/>
      </c>
      <c r="I843" s="17" t="str">
        <f t="shared" si="13"/>
        <v/>
      </c>
      <c r="J843" s="17" t="str">
        <f>IF(B843="","",IF(B842&lt;'02_Eingaben'!$C$36,0,J842+I842/'02_Eingaben'!$C$8))</f>
        <v/>
      </c>
    </row>
    <row r="844" spans="1:10" x14ac:dyDescent="0.25">
      <c r="A844" t="str">
        <f>IF('01_Rohdaten'!A844="","",ROW()-1)</f>
        <v/>
      </c>
      <c r="B844" s="17" t="str">
        <f>IF('01_Rohdaten'!A844="","",'01_Rohdaten'!A844)</f>
        <v/>
      </c>
      <c r="C844" s="17" t="str">
        <f>IF(B844="","",INDEX('01_Rohdaten'!B844:D844,'02_Eingaben'!$C$13))</f>
        <v/>
      </c>
      <c r="D844" s="17" t="str">
        <f>IF(C844="","",C844*'02_Eingaben'!$C$15)</f>
        <v/>
      </c>
      <c r="E844" s="17" t="str">
        <f>IF(D844="","",D844*'02_Eingaben'!$C$8)</f>
        <v/>
      </c>
      <c r="F844" s="17" t="str">
        <f>IF(E844="","",AVERAGE(INDEX($E$2:$E$3001,MAX(1,ROW()-1-'02_Eingaben'!$C$17)):INDEX($E$2:$E$3001,MIN('02_Eingaben'!$C$21,ROW()-1+'02_Eingaben'!$C$17))))</f>
        <v/>
      </c>
      <c r="G844" s="17" t="str">
        <f>IF(F844="","",F844-'02_Eingaben'!$C$10)</f>
        <v/>
      </c>
      <c r="H844" t="str">
        <f>IF(F844="","",IF(F844&lt;'02_Eingaben'!$C$18*'02_Eingaben'!$C$10,1,0))</f>
        <v/>
      </c>
      <c r="I844" s="17" t="str">
        <f t="shared" si="13"/>
        <v/>
      </c>
      <c r="J844" s="17" t="str">
        <f>IF(B844="","",IF(B843&lt;'02_Eingaben'!$C$36,0,J843+I843/'02_Eingaben'!$C$8))</f>
        <v/>
      </c>
    </row>
    <row r="845" spans="1:10" x14ac:dyDescent="0.25">
      <c r="A845" t="str">
        <f>IF('01_Rohdaten'!A845="","",ROW()-1)</f>
        <v/>
      </c>
      <c r="B845" s="17" t="str">
        <f>IF('01_Rohdaten'!A845="","",'01_Rohdaten'!A845)</f>
        <v/>
      </c>
      <c r="C845" s="17" t="str">
        <f>IF(B845="","",INDEX('01_Rohdaten'!B845:D845,'02_Eingaben'!$C$13))</f>
        <v/>
      </c>
      <c r="D845" s="17" t="str">
        <f>IF(C845="","",C845*'02_Eingaben'!$C$15)</f>
        <v/>
      </c>
      <c r="E845" s="17" t="str">
        <f>IF(D845="","",D845*'02_Eingaben'!$C$8)</f>
        <v/>
      </c>
      <c r="F845" s="17" t="str">
        <f>IF(E845="","",AVERAGE(INDEX($E$2:$E$3001,MAX(1,ROW()-1-'02_Eingaben'!$C$17)):INDEX($E$2:$E$3001,MIN('02_Eingaben'!$C$21,ROW()-1+'02_Eingaben'!$C$17))))</f>
        <v/>
      </c>
      <c r="G845" s="17" t="str">
        <f>IF(F845="","",F845-'02_Eingaben'!$C$10)</f>
        <v/>
      </c>
      <c r="H845" t="str">
        <f>IF(F845="","",IF(F845&lt;'02_Eingaben'!$C$18*'02_Eingaben'!$C$10,1,0))</f>
        <v/>
      </c>
      <c r="I845" s="17" t="str">
        <f t="shared" si="13"/>
        <v/>
      </c>
      <c r="J845" s="17" t="str">
        <f>IF(B845="","",IF(B844&lt;'02_Eingaben'!$C$36,0,J844+I844/'02_Eingaben'!$C$8))</f>
        <v/>
      </c>
    </row>
    <row r="846" spans="1:10" x14ac:dyDescent="0.25">
      <c r="A846" t="str">
        <f>IF('01_Rohdaten'!A846="","",ROW()-1)</f>
        <v/>
      </c>
      <c r="B846" s="17" t="str">
        <f>IF('01_Rohdaten'!A846="","",'01_Rohdaten'!A846)</f>
        <v/>
      </c>
      <c r="C846" s="17" t="str">
        <f>IF(B846="","",INDEX('01_Rohdaten'!B846:D846,'02_Eingaben'!$C$13))</f>
        <v/>
      </c>
      <c r="D846" s="17" t="str">
        <f>IF(C846="","",C846*'02_Eingaben'!$C$15)</f>
        <v/>
      </c>
      <c r="E846" s="17" t="str">
        <f>IF(D846="","",D846*'02_Eingaben'!$C$8)</f>
        <v/>
      </c>
      <c r="F846" s="17" t="str">
        <f>IF(E846="","",AVERAGE(INDEX($E$2:$E$3001,MAX(1,ROW()-1-'02_Eingaben'!$C$17)):INDEX($E$2:$E$3001,MIN('02_Eingaben'!$C$21,ROW()-1+'02_Eingaben'!$C$17))))</f>
        <v/>
      </c>
      <c r="G846" s="17" t="str">
        <f>IF(F846="","",F846-'02_Eingaben'!$C$10)</f>
        <v/>
      </c>
      <c r="H846" t="str">
        <f>IF(F846="","",IF(F846&lt;'02_Eingaben'!$C$18*'02_Eingaben'!$C$10,1,0))</f>
        <v/>
      </c>
      <c r="I846" s="17" t="str">
        <f t="shared" si="13"/>
        <v/>
      </c>
      <c r="J846" s="17" t="str">
        <f>IF(B846="","",IF(B845&lt;'02_Eingaben'!$C$36,0,J845+I845/'02_Eingaben'!$C$8))</f>
        <v/>
      </c>
    </row>
    <row r="847" spans="1:10" x14ac:dyDescent="0.25">
      <c r="A847" t="str">
        <f>IF('01_Rohdaten'!A847="","",ROW()-1)</f>
        <v/>
      </c>
      <c r="B847" s="17" t="str">
        <f>IF('01_Rohdaten'!A847="","",'01_Rohdaten'!A847)</f>
        <v/>
      </c>
      <c r="C847" s="17" t="str">
        <f>IF(B847="","",INDEX('01_Rohdaten'!B847:D847,'02_Eingaben'!$C$13))</f>
        <v/>
      </c>
      <c r="D847" s="17" t="str">
        <f>IF(C847="","",C847*'02_Eingaben'!$C$15)</f>
        <v/>
      </c>
      <c r="E847" s="17" t="str">
        <f>IF(D847="","",D847*'02_Eingaben'!$C$8)</f>
        <v/>
      </c>
      <c r="F847" s="17" t="str">
        <f>IF(E847="","",AVERAGE(INDEX($E$2:$E$3001,MAX(1,ROW()-1-'02_Eingaben'!$C$17)):INDEX($E$2:$E$3001,MIN('02_Eingaben'!$C$21,ROW()-1+'02_Eingaben'!$C$17))))</f>
        <v/>
      </c>
      <c r="G847" s="17" t="str">
        <f>IF(F847="","",F847-'02_Eingaben'!$C$10)</f>
        <v/>
      </c>
      <c r="H847" t="str">
        <f>IF(F847="","",IF(F847&lt;'02_Eingaben'!$C$18*'02_Eingaben'!$C$10,1,0))</f>
        <v/>
      </c>
      <c r="I847" s="17" t="str">
        <f t="shared" si="13"/>
        <v/>
      </c>
      <c r="J847" s="17" t="str">
        <f>IF(B847="","",IF(B846&lt;'02_Eingaben'!$C$36,0,J846+I846/'02_Eingaben'!$C$8))</f>
        <v/>
      </c>
    </row>
    <row r="848" spans="1:10" x14ac:dyDescent="0.25">
      <c r="A848" t="str">
        <f>IF('01_Rohdaten'!A848="","",ROW()-1)</f>
        <v/>
      </c>
      <c r="B848" s="17" t="str">
        <f>IF('01_Rohdaten'!A848="","",'01_Rohdaten'!A848)</f>
        <v/>
      </c>
      <c r="C848" s="17" t="str">
        <f>IF(B848="","",INDEX('01_Rohdaten'!B848:D848,'02_Eingaben'!$C$13))</f>
        <v/>
      </c>
      <c r="D848" s="17" t="str">
        <f>IF(C848="","",C848*'02_Eingaben'!$C$15)</f>
        <v/>
      </c>
      <c r="E848" s="17" t="str">
        <f>IF(D848="","",D848*'02_Eingaben'!$C$8)</f>
        <v/>
      </c>
      <c r="F848" s="17" t="str">
        <f>IF(E848="","",AVERAGE(INDEX($E$2:$E$3001,MAX(1,ROW()-1-'02_Eingaben'!$C$17)):INDEX($E$2:$E$3001,MIN('02_Eingaben'!$C$21,ROW()-1+'02_Eingaben'!$C$17))))</f>
        <v/>
      </c>
      <c r="G848" s="17" t="str">
        <f>IF(F848="","",F848-'02_Eingaben'!$C$10)</f>
        <v/>
      </c>
      <c r="H848" t="str">
        <f>IF(F848="","",IF(F848&lt;'02_Eingaben'!$C$18*'02_Eingaben'!$C$10,1,0))</f>
        <v/>
      </c>
      <c r="I848" s="17" t="str">
        <f t="shared" si="13"/>
        <v/>
      </c>
      <c r="J848" s="17" t="str">
        <f>IF(B848="","",IF(B847&lt;'02_Eingaben'!$C$36,0,J847+I847/'02_Eingaben'!$C$8))</f>
        <v/>
      </c>
    </row>
    <row r="849" spans="1:10" x14ac:dyDescent="0.25">
      <c r="A849" t="str">
        <f>IF('01_Rohdaten'!A849="","",ROW()-1)</f>
        <v/>
      </c>
      <c r="B849" s="17" t="str">
        <f>IF('01_Rohdaten'!A849="","",'01_Rohdaten'!A849)</f>
        <v/>
      </c>
      <c r="C849" s="17" t="str">
        <f>IF(B849="","",INDEX('01_Rohdaten'!B849:D849,'02_Eingaben'!$C$13))</f>
        <v/>
      </c>
      <c r="D849" s="17" t="str">
        <f>IF(C849="","",C849*'02_Eingaben'!$C$15)</f>
        <v/>
      </c>
      <c r="E849" s="17" t="str">
        <f>IF(D849="","",D849*'02_Eingaben'!$C$8)</f>
        <v/>
      </c>
      <c r="F849" s="17" t="str">
        <f>IF(E849="","",AVERAGE(INDEX($E$2:$E$3001,MAX(1,ROW()-1-'02_Eingaben'!$C$17)):INDEX($E$2:$E$3001,MIN('02_Eingaben'!$C$21,ROW()-1+'02_Eingaben'!$C$17))))</f>
        <v/>
      </c>
      <c r="G849" s="17" t="str">
        <f>IF(F849="","",F849-'02_Eingaben'!$C$10)</f>
        <v/>
      </c>
      <c r="H849" t="str">
        <f>IF(F849="","",IF(F849&lt;'02_Eingaben'!$C$18*'02_Eingaben'!$C$10,1,0))</f>
        <v/>
      </c>
      <c r="I849" s="17" t="str">
        <f t="shared" si="13"/>
        <v/>
      </c>
      <c r="J849" s="17" t="str">
        <f>IF(B849="","",IF(B848&lt;'02_Eingaben'!$C$36,0,J848+I848/'02_Eingaben'!$C$8))</f>
        <v/>
      </c>
    </row>
    <row r="850" spans="1:10" x14ac:dyDescent="0.25">
      <c r="A850" t="str">
        <f>IF('01_Rohdaten'!A850="","",ROW()-1)</f>
        <v/>
      </c>
      <c r="B850" s="17" t="str">
        <f>IF('01_Rohdaten'!A850="","",'01_Rohdaten'!A850)</f>
        <v/>
      </c>
      <c r="C850" s="17" t="str">
        <f>IF(B850="","",INDEX('01_Rohdaten'!B850:D850,'02_Eingaben'!$C$13))</f>
        <v/>
      </c>
      <c r="D850" s="17" t="str">
        <f>IF(C850="","",C850*'02_Eingaben'!$C$15)</f>
        <v/>
      </c>
      <c r="E850" s="17" t="str">
        <f>IF(D850="","",D850*'02_Eingaben'!$C$8)</f>
        <v/>
      </c>
      <c r="F850" s="17" t="str">
        <f>IF(E850="","",AVERAGE(INDEX($E$2:$E$3001,MAX(1,ROW()-1-'02_Eingaben'!$C$17)):INDEX($E$2:$E$3001,MIN('02_Eingaben'!$C$21,ROW()-1+'02_Eingaben'!$C$17))))</f>
        <v/>
      </c>
      <c r="G850" s="17" t="str">
        <f>IF(F850="","",F850-'02_Eingaben'!$C$10)</f>
        <v/>
      </c>
      <c r="H850" t="str">
        <f>IF(F850="","",IF(F850&lt;'02_Eingaben'!$C$18*'02_Eingaben'!$C$10,1,0))</f>
        <v/>
      </c>
      <c r="I850" s="17" t="str">
        <f t="shared" si="13"/>
        <v/>
      </c>
      <c r="J850" s="17" t="str">
        <f>IF(B850="","",IF(B849&lt;'02_Eingaben'!$C$36,0,J849+I849/'02_Eingaben'!$C$8))</f>
        <v/>
      </c>
    </row>
    <row r="851" spans="1:10" x14ac:dyDescent="0.25">
      <c r="A851" t="str">
        <f>IF('01_Rohdaten'!A851="","",ROW()-1)</f>
        <v/>
      </c>
      <c r="B851" s="17" t="str">
        <f>IF('01_Rohdaten'!A851="","",'01_Rohdaten'!A851)</f>
        <v/>
      </c>
      <c r="C851" s="17" t="str">
        <f>IF(B851="","",INDEX('01_Rohdaten'!B851:D851,'02_Eingaben'!$C$13))</f>
        <v/>
      </c>
      <c r="D851" s="17" t="str">
        <f>IF(C851="","",C851*'02_Eingaben'!$C$15)</f>
        <v/>
      </c>
      <c r="E851" s="17" t="str">
        <f>IF(D851="","",D851*'02_Eingaben'!$C$8)</f>
        <v/>
      </c>
      <c r="F851" s="17" t="str">
        <f>IF(E851="","",AVERAGE(INDEX($E$2:$E$3001,MAX(1,ROW()-1-'02_Eingaben'!$C$17)):INDEX($E$2:$E$3001,MIN('02_Eingaben'!$C$21,ROW()-1+'02_Eingaben'!$C$17))))</f>
        <v/>
      </c>
      <c r="G851" s="17" t="str">
        <f>IF(F851="","",F851-'02_Eingaben'!$C$10)</f>
        <v/>
      </c>
      <c r="H851" t="str">
        <f>IF(F851="","",IF(F851&lt;'02_Eingaben'!$C$18*'02_Eingaben'!$C$10,1,0))</f>
        <v/>
      </c>
      <c r="I851" s="17" t="str">
        <f t="shared" si="13"/>
        <v/>
      </c>
      <c r="J851" s="17" t="str">
        <f>IF(B851="","",IF(B850&lt;'02_Eingaben'!$C$36,0,J850+I850/'02_Eingaben'!$C$8))</f>
        <v/>
      </c>
    </row>
    <row r="852" spans="1:10" x14ac:dyDescent="0.25">
      <c r="A852" t="str">
        <f>IF('01_Rohdaten'!A852="","",ROW()-1)</f>
        <v/>
      </c>
      <c r="B852" s="17" t="str">
        <f>IF('01_Rohdaten'!A852="","",'01_Rohdaten'!A852)</f>
        <v/>
      </c>
      <c r="C852" s="17" t="str">
        <f>IF(B852="","",INDEX('01_Rohdaten'!B852:D852,'02_Eingaben'!$C$13))</f>
        <v/>
      </c>
      <c r="D852" s="17" t="str">
        <f>IF(C852="","",C852*'02_Eingaben'!$C$15)</f>
        <v/>
      </c>
      <c r="E852" s="17" t="str">
        <f>IF(D852="","",D852*'02_Eingaben'!$C$8)</f>
        <v/>
      </c>
      <c r="F852" s="17" t="str">
        <f>IF(E852="","",AVERAGE(INDEX($E$2:$E$3001,MAX(1,ROW()-1-'02_Eingaben'!$C$17)):INDEX($E$2:$E$3001,MIN('02_Eingaben'!$C$21,ROW()-1+'02_Eingaben'!$C$17))))</f>
        <v/>
      </c>
      <c r="G852" s="17" t="str">
        <f>IF(F852="","",F852-'02_Eingaben'!$C$10)</f>
        <v/>
      </c>
      <c r="H852" t="str">
        <f>IF(F852="","",IF(F852&lt;'02_Eingaben'!$C$18*'02_Eingaben'!$C$10,1,0))</f>
        <v/>
      </c>
      <c r="I852" s="17" t="str">
        <f t="shared" si="13"/>
        <v/>
      </c>
      <c r="J852" s="17" t="str">
        <f>IF(B852="","",IF(B851&lt;'02_Eingaben'!$C$36,0,J851+I851/'02_Eingaben'!$C$8))</f>
        <v/>
      </c>
    </row>
    <row r="853" spans="1:10" x14ac:dyDescent="0.25">
      <c r="A853" t="str">
        <f>IF('01_Rohdaten'!A853="","",ROW()-1)</f>
        <v/>
      </c>
      <c r="B853" s="17" t="str">
        <f>IF('01_Rohdaten'!A853="","",'01_Rohdaten'!A853)</f>
        <v/>
      </c>
      <c r="C853" s="17" t="str">
        <f>IF(B853="","",INDEX('01_Rohdaten'!B853:D853,'02_Eingaben'!$C$13))</f>
        <v/>
      </c>
      <c r="D853" s="17" t="str">
        <f>IF(C853="","",C853*'02_Eingaben'!$C$15)</f>
        <v/>
      </c>
      <c r="E853" s="17" t="str">
        <f>IF(D853="","",D853*'02_Eingaben'!$C$8)</f>
        <v/>
      </c>
      <c r="F853" s="17" t="str">
        <f>IF(E853="","",AVERAGE(INDEX($E$2:$E$3001,MAX(1,ROW()-1-'02_Eingaben'!$C$17)):INDEX($E$2:$E$3001,MIN('02_Eingaben'!$C$21,ROW()-1+'02_Eingaben'!$C$17))))</f>
        <v/>
      </c>
      <c r="G853" s="17" t="str">
        <f>IF(F853="","",F853-'02_Eingaben'!$C$10)</f>
        <v/>
      </c>
      <c r="H853" t="str">
        <f>IF(F853="","",IF(F853&lt;'02_Eingaben'!$C$18*'02_Eingaben'!$C$10,1,0))</f>
        <v/>
      </c>
      <c r="I853" s="17" t="str">
        <f t="shared" si="13"/>
        <v/>
      </c>
      <c r="J853" s="17" t="str">
        <f>IF(B853="","",IF(B852&lt;'02_Eingaben'!$C$36,0,J852+I852/'02_Eingaben'!$C$8))</f>
        <v/>
      </c>
    </row>
    <row r="854" spans="1:10" x14ac:dyDescent="0.25">
      <c r="A854" t="str">
        <f>IF('01_Rohdaten'!A854="","",ROW()-1)</f>
        <v/>
      </c>
      <c r="B854" s="17" t="str">
        <f>IF('01_Rohdaten'!A854="","",'01_Rohdaten'!A854)</f>
        <v/>
      </c>
      <c r="C854" s="17" t="str">
        <f>IF(B854="","",INDEX('01_Rohdaten'!B854:D854,'02_Eingaben'!$C$13))</f>
        <v/>
      </c>
      <c r="D854" s="17" t="str">
        <f>IF(C854="","",C854*'02_Eingaben'!$C$15)</f>
        <v/>
      </c>
      <c r="E854" s="17" t="str">
        <f>IF(D854="","",D854*'02_Eingaben'!$C$8)</f>
        <v/>
      </c>
      <c r="F854" s="17" t="str">
        <f>IF(E854="","",AVERAGE(INDEX($E$2:$E$3001,MAX(1,ROW()-1-'02_Eingaben'!$C$17)):INDEX($E$2:$E$3001,MIN('02_Eingaben'!$C$21,ROW()-1+'02_Eingaben'!$C$17))))</f>
        <v/>
      </c>
      <c r="G854" s="17" t="str">
        <f>IF(F854="","",F854-'02_Eingaben'!$C$10)</f>
        <v/>
      </c>
      <c r="H854" t="str">
        <f>IF(F854="","",IF(F854&lt;'02_Eingaben'!$C$18*'02_Eingaben'!$C$10,1,0))</f>
        <v/>
      </c>
      <c r="I854" s="17" t="str">
        <f t="shared" si="13"/>
        <v/>
      </c>
      <c r="J854" s="17" t="str">
        <f>IF(B854="","",IF(B853&lt;'02_Eingaben'!$C$36,0,J853+I853/'02_Eingaben'!$C$8))</f>
        <v/>
      </c>
    </row>
    <row r="855" spans="1:10" x14ac:dyDescent="0.25">
      <c r="A855" t="str">
        <f>IF('01_Rohdaten'!A855="","",ROW()-1)</f>
        <v/>
      </c>
      <c r="B855" s="17" t="str">
        <f>IF('01_Rohdaten'!A855="","",'01_Rohdaten'!A855)</f>
        <v/>
      </c>
      <c r="C855" s="17" t="str">
        <f>IF(B855="","",INDEX('01_Rohdaten'!B855:D855,'02_Eingaben'!$C$13))</f>
        <v/>
      </c>
      <c r="D855" s="17" t="str">
        <f>IF(C855="","",C855*'02_Eingaben'!$C$15)</f>
        <v/>
      </c>
      <c r="E855" s="17" t="str">
        <f>IF(D855="","",D855*'02_Eingaben'!$C$8)</f>
        <v/>
      </c>
      <c r="F855" s="17" t="str">
        <f>IF(E855="","",AVERAGE(INDEX($E$2:$E$3001,MAX(1,ROW()-1-'02_Eingaben'!$C$17)):INDEX($E$2:$E$3001,MIN('02_Eingaben'!$C$21,ROW()-1+'02_Eingaben'!$C$17))))</f>
        <v/>
      </c>
      <c r="G855" s="17" t="str">
        <f>IF(F855="","",F855-'02_Eingaben'!$C$10)</f>
        <v/>
      </c>
      <c r="H855" t="str">
        <f>IF(F855="","",IF(F855&lt;'02_Eingaben'!$C$18*'02_Eingaben'!$C$10,1,0))</f>
        <v/>
      </c>
      <c r="I855" s="17" t="str">
        <f t="shared" si="13"/>
        <v/>
      </c>
      <c r="J855" s="17" t="str">
        <f>IF(B855="","",IF(B854&lt;'02_Eingaben'!$C$36,0,J854+I854/'02_Eingaben'!$C$8))</f>
        <v/>
      </c>
    </row>
    <row r="856" spans="1:10" x14ac:dyDescent="0.25">
      <c r="A856" t="str">
        <f>IF('01_Rohdaten'!A856="","",ROW()-1)</f>
        <v/>
      </c>
      <c r="B856" s="17" t="str">
        <f>IF('01_Rohdaten'!A856="","",'01_Rohdaten'!A856)</f>
        <v/>
      </c>
      <c r="C856" s="17" t="str">
        <f>IF(B856="","",INDEX('01_Rohdaten'!B856:D856,'02_Eingaben'!$C$13))</f>
        <v/>
      </c>
      <c r="D856" s="17" t="str">
        <f>IF(C856="","",C856*'02_Eingaben'!$C$15)</f>
        <v/>
      </c>
      <c r="E856" s="17" t="str">
        <f>IF(D856="","",D856*'02_Eingaben'!$C$8)</f>
        <v/>
      </c>
      <c r="F856" s="17" t="str">
        <f>IF(E856="","",AVERAGE(INDEX($E$2:$E$3001,MAX(1,ROW()-1-'02_Eingaben'!$C$17)):INDEX($E$2:$E$3001,MIN('02_Eingaben'!$C$21,ROW()-1+'02_Eingaben'!$C$17))))</f>
        <v/>
      </c>
      <c r="G856" s="17" t="str">
        <f>IF(F856="","",F856-'02_Eingaben'!$C$10)</f>
        <v/>
      </c>
      <c r="H856" t="str">
        <f>IF(F856="","",IF(F856&lt;'02_Eingaben'!$C$18*'02_Eingaben'!$C$10,1,0))</f>
        <v/>
      </c>
      <c r="I856" s="17" t="str">
        <f t="shared" si="13"/>
        <v/>
      </c>
      <c r="J856" s="17" t="str">
        <f>IF(B856="","",IF(B855&lt;'02_Eingaben'!$C$36,0,J855+I855/'02_Eingaben'!$C$8))</f>
        <v/>
      </c>
    </row>
    <row r="857" spans="1:10" x14ac:dyDescent="0.25">
      <c r="A857" t="str">
        <f>IF('01_Rohdaten'!A857="","",ROW()-1)</f>
        <v/>
      </c>
      <c r="B857" s="17" t="str">
        <f>IF('01_Rohdaten'!A857="","",'01_Rohdaten'!A857)</f>
        <v/>
      </c>
      <c r="C857" s="17" t="str">
        <f>IF(B857="","",INDEX('01_Rohdaten'!B857:D857,'02_Eingaben'!$C$13))</f>
        <v/>
      </c>
      <c r="D857" s="17" t="str">
        <f>IF(C857="","",C857*'02_Eingaben'!$C$15)</f>
        <v/>
      </c>
      <c r="E857" s="17" t="str">
        <f>IF(D857="","",D857*'02_Eingaben'!$C$8)</f>
        <v/>
      </c>
      <c r="F857" s="17" t="str">
        <f>IF(E857="","",AVERAGE(INDEX($E$2:$E$3001,MAX(1,ROW()-1-'02_Eingaben'!$C$17)):INDEX($E$2:$E$3001,MIN('02_Eingaben'!$C$21,ROW()-1+'02_Eingaben'!$C$17))))</f>
        <v/>
      </c>
      <c r="G857" s="17" t="str">
        <f>IF(F857="","",F857-'02_Eingaben'!$C$10)</f>
        <v/>
      </c>
      <c r="H857" t="str">
        <f>IF(F857="","",IF(F857&lt;'02_Eingaben'!$C$18*'02_Eingaben'!$C$10,1,0))</f>
        <v/>
      </c>
      <c r="I857" s="17" t="str">
        <f t="shared" si="13"/>
        <v/>
      </c>
      <c r="J857" s="17" t="str">
        <f>IF(B857="","",IF(B856&lt;'02_Eingaben'!$C$36,0,J856+I856/'02_Eingaben'!$C$8))</f>
        <v/>
      </c>
    </row>
    <row r="858" spans="1:10" x14ac:dyDescent="0.25">
      <c r="A858" t="str">
        <f>IF('01_Rohdaten'!A858="","",ROW()-1)</f>
        <v/>
      </c>
      <c r="B858" s="17" t="str">
        <f>IF('01_Rohdaten'!A858="","",'01_Rohdaten'!A858)</f>
        <v/>
      </c>
      <c r="C858" s="17" t="str">
        <f>IF(B858="","",INDEX('01_Rohdaten'!B858:D858,'02_Eingaben'!$C$13))</f>
        <v/>
      </c>
      <c r="D858" s="17" t="str">
        <f>IF(C858="","",C858*'02_Eingaben'!$C$15)</f>
        <v/>
      </c>
      <c r="E858" s="17" t="str">
        <f>IF(D858="","",D858*'02_Eingaben'!$C$8)</f>
        <v/>
      </c>
      <c r="F858" s="17" t="str">
        <f>IF(E858="","",AVERAGE(INDEX($E$2:$E$3001,MAX(1,ROW()-1-'02_Eingaben'!$C$17)):INDEX($E$2:$E$3001,MIN('02_Eingaben'!$C$21,ROW()-1+'02_Eingaben'!$C$17))))</f>
        <v/>
      </c>
      <c r="G858" s="17" t="str">
        <f>IF(F858="","",F858-'02_Eingaben'!$C$10)</f>
        <v/>
      </c>
      <c r="H858" t="str">
        <f>IF(F858="","",IF(F858&lt;'02_Eingaben'!$C$18*'02_Eingaben'!$C$10,1,0))</f>
        <v/>
      </c>
      <c r="I858" s="17" t="str">
        <f t="shared" si="13"/>
        <v/>
      </c>
      <c r="J858" s="17" t="str">
        <f>IF(B858="","",IF(B857&lt;'02_Eingaben'!$C$36,0,J857+I857/'02_Eingaben'!$C$8))</f>
        <v/>
      </c>
    </row>
    <row r="859" spans="1:10" x14ac:dyDescent="0.25">
      <c r="A859" t="str">
        <f>IF('01_Rohdaten'!A859="","",ROW()-1)</f>
        <v/>
      </c>
      <c r="B859" s="17" t="str">
        <f>IF('01_Rohdaten'!A859="","",'01_Rohdaten'!A859)</f>
        <v/>
      </c>
      <c r="C859" s="17" t="str">
        <f>IF(B859="","",INDEX('01_Rohdaten'!B859:D859,'02_Eingaben'!$C$13))</f>
        <v/>
      </c>
      <c r="D859" s="17" t="str">
        <f>IF(C859="","",C859*'02_Eingaben'!$C$15)</f>
        <v/>
      </c>
      <c r="E859" s="17" t="str">
        <f>IF(D859="","",D859*'02_Eingaben'!$C$8)</f>
        <v/>
      </c>
      <c r="F859" s="17" t="str">
        <f>IF(E859="","",AVERAGE(INDEX($E$2:$E$3001,MAX(1,ROW()-1-'02_Eingaben'!$C$17)):INDEX($E$2:$E$3001,MIN('02_Eingaben'!$C$21,ROW()-1+'02_Eingaben'!$C$17))))</f>
        <v/>
      </c>
      <c r="G859" s="17" t="str">
        <f>IF(F859="","",F859-'02_Eingaben'!$C$10)</f>
        <v/>
      </c>
      <c r="H859" t="str">
        <f>IF(F859="","",IF(F859&lt;'02_Eingaben'!$C$18*'02_Eingaben'!$C$10,1,0))</f>
        <v/>
      </c>
      <c r="I859" s="17" t="str">
        <f t="shared" si="13"/>
        <v/>
      </c>
      <c r="J859" s="17" t="str">
        <f>IF(B859="","",IF(B858&lt;'02_Eingaben'!$C$36,0,J858+I858/'02_Eingaben'!$C$8))</f>
        <v/>
      </c>
    </row>
    <row r="860" spans="1:10" x14ac:dyDescent="0.25">
      <c r="A860" t="str">
        <f>IF('01_Rohdaten'!A860="","",ROW()-1)</f>
        <v/>
      </c>
      <c r="B860" s="17" t="str">
        <f>IF('01_Rohdaten'!A860="","",'01_Rohdaten'!A860)</f>
        <v/>
      </c>
      <c r="C860" s="17" t="str">
        <f>IF(B860="","",INDEX('01_Rohdaten'!B860:D860,'02_Eingaben'!$C$13))</f>
        <v/>
      </c>
      <c r="D860" s="17" t="str">
        <f>IF(C860="","",C860*'02_Eingaben'!$C$15)</f>
        <v/>
      </c>
      <c r="E860" s="17" t="str">
        <f>IF(D860="","",D860*'02_Eingaben'!$C$8)</f>
        <v/>
      </c>
      <c r="F860" s="17" t="str">
        <f>IF(E860="","",AVERAGE(INDEX($E$2:$E$3001,MAX(1,ROW()-1-'02_Eingaben'!$C$17)):INDEX($E$2:$E$3001,MIN('02_Eingaben'!$C$21,ROW()-1+'02_Eingaben'!$C$17))))</f>
        <v/>
      </c>
      <c r="G860" s="17" t="str">
        <f>IF(F860="","",F860-'02_Eingaben'!$C$10)</f>
        <v/>
      </c>
      <c r="H860" t="str">
        <f>IF(F860="","",IF(F860&lt;'02_Eingaben'!$C$18*'02_Eingaben'!$C$10,1,0))</f>
        <v/>
      </c>
      <c r="I860" s="17" t="str">
        <f t="shared" si="13"/>
        <v/>
      </c>
      <c r="J860" s="17" t="str">
        <f>IF(B860="","",IF(B859&lt;'02_Eingaben'!$C$36,0,J859+I859/'02_Eingaben'!$C$8))</f>
        <v/>
      </c>
    </row>
    <row r="861" spans="1:10" x14ac:dyDescent="0.25">
      <c r="A861" t="str">
        <f>IF('01_Rohdaten'!A861="","",ROW()-1)</f>
        <v/>
      </c>
      <c r="B861" s="17" t="str">
        <f>IF('01_Rohdaten'!A861="","",'01_Rohdaten'!A861)</f>
        <v/>
      </c>
      <c r="C861" s="17" t="str">
        <f>IF(B861="","",INDEX('01_Rohdaten'!B861:D861,'02_Eingaben'!$C$13))</f>
        <v/>
      </c>
      <c r="D861" s="17" t="str">
        <f>IF(C861="","",C861*'02_Eingaben'!$C$15)</f>
        <v/>
      </c>
      <c r="E861" s="17" t="str">
        <f>IF(D861="","",D861*'02_Eingaben'!$C$8)</f>
        <v/>
      </c>
      <c r="F861" s="17" t="str">
        <f>IF(E861="","",AVERAGE(INDEX($E$2:$E$3001,MAX(1,ROW()-1-'02_Eingaben'!$C$17)):INDEX($E$2:$E$3001,MIN('02_Eingaben'!$C$21,ROW()-1+'02_Eingaben'!$C$17))))</f>
        <v/>
      </c>
      <c r="G861" s="17" t="str">
        <f>IF(F861="","",F861-'02_Eingaben'!$C$10)</f>
        <v/>
      </c>
      <c r="H861" t="str">
        <f>IF(F861="","",IF(F861&lt;'02_Eingaben'!$C$18*'02_Eingaben'!$C$10,1,0))</f>
        <v/>
      </c>
      <c r="I861" s="17" t="str">
        <f t="shared" si="13"/>
        <v/>
      </c>
      <c r="J861" s="17" t="str">
        <f>IF(B861="","",IF(B860&lt;'02_Eingaben'!$C$36,0,J860+I860/'02_Eingaben'!$C$8))</f>
        <v/>
      </c>
    </row>
    <row r="862" spans="1:10" x14ac:dyDescent="0.25">
      <c r="A862" t="str">
        <f>IF('01_Rohdaten'!A862="","",ROW()-1)</f>
        <v/>
      </c>
      <c r="B862" s="17" t="str">
        <f>IF('01_Rohdaten'!A862="","",'01_Rohdaten'!A862)</f>
        <v/>
      </c>
      <c r="C862" s="17" t="str">
        <f>IF(B862="","",INDEX('01_Rohdaten'!B862:D862,'02_Eingaben'!$C$13))</f>
        <v/>
      </c>
      <c r="D862" s="17" t="str">
        <f>IF(C862="","",C862*'02_Eingaben'!$C$15)</f>
        <v/>
      </c>
      <c r="E862" s="17" t="str">
        <f>IF(D862="","",D862*'02_Eingaben'!$C$8)</f>
        <v/>
      </c>
      <c r="F862" s="17" t="str">
        <f>IF(E862="","",AVERAGE(INDEX($E$2:$E$3001,MAX(1,ROW()-1-'02_Eingaben'!$C$17)):INDEX($E$2:$E$3001,MIN('02_Eingaben'!$C$21,ROW()-1+'02_Eingaben'!$C$17))))</f>
        <v/>
      </c>
      <c r="G862" s="17" t="str">
        <f>IF(F862="","",F862-'02_Eingaben'!$C$10)</f>
        <v/>
      </c>
      <c r="H862" t="str">
        <f>IF(F862="","",IF(F862&lt;'02_Eingaben'!$C$18*'02_Eingaben'!$C$10,1,0))</f>
        <v/>
      </c>
      <c r="I862" s="17" t="str">
        <f t="shared" si="13"/>
        <v/>
      </c>
      <c r="J862" s="17" t="str">
        <f>IF(B862="","",IF(B861&lt;'02_Eingaben'!$C$36,0,J861+I861/'02_Eingaben'!$C$8))</f>
        <v/>
      </c>
    </row>
    <row r="863" spans="1:10" x14ac:dyDescent="0.25">
      <c r="A863" t="str">
        <f>IF('01_Rohdaten'!A863="","",ROW()-1)</f>
        <v/>
      </c>
      <c r="B863" s="17" t="str">
        <f>IF('01_Rohdaten'!A863="","",'01_Rohdaten'!A863)</f>
        <v/>
      </c>
      <c r="C863" s="17" t="str">
        <f>IF(B863="","",INDEX('01_Rohdaten'!B863:D863,'02_Eingaben'!$C$13))</f>
        <v/>
      </c>
      <c r="D863" s="17" t="str">
        <f>IF(C863="","",C863*'02_Eingaben'!$C$15)</f>
        <v/>
      </c>
      <c r="E863" s="17" t="str">
        <f>IF(D863="","",D863*'02_Eingaben'!$C$8)</f>
        <v/>
      </c>
      <c r="F863" s="17" t="str">
        <f>IF(E863="","",AVERAGE(INDEX($E$2:$E$3001,MAX(1,ROW()-1-'02_Eingaben'!$C$17)):INDEX($E$2:$E$3001,MIN('02_Eingaben'!$C$21,ROW()-1+'02_Eingaben'!$C$17))))</f>
        <v/>
      </c>
      <c r="G863" s="17" t="str">
        <f>IF(F863="","",F863-'02_Eingaben'!$C$10)</f>
        <v/>
      </c>
      <c r="H863" t="str">
        <f>IF(F863="","",IF(F863&lt;'02_Eingaben'!$C$18*'02_Eingaben'!$C$10,1,0))</f>
        <v/>
      </c>
      <c r="I863" s="17" t="str">
        <f t="shared" si="13"/>
        <v/>
      </c>
      <c r="J863" s="17" t="str">
        <f>IF(B863="","",IF(B862&lt;'02_Eingaben'!$C$36,0,J862+I862/'02_Eingaben'!$C$8))</f>
        <v/>
      </c>
    </row>
    <row r="864" spans="1:10" x14ac:dyDescent="0.25">
      <c r="A864" t="str">
        <f>IF('01_Rohdaten'!A864="","",ROW()-1)</f>
        <v/>
      </c>
      <c r="B864" s="17" t="str">
        <f>IF('01_Rohdaten'!A864="","",'01_Rohdaten'!A864)</f>
        <v/>
      </c>
      <c r="C864" s="17" t="str">
        <f>IF(B864="","",INDEX('01_Rohdaten'!B864:D864,'02_Eingaben'!$C$13))</f>
        <v/>
      </c>
      <c r="D864" s="17" t="str">
        <f>IF(C864="","",C864*'02_Eingaben'!$C$15)</f>
        <v/>
      </c>
      <c r="E864" s="17" t="str">
        <f>IF(D864="","",D864*'02_Eingaben'!$C$8)</f>
        <v/>
      </c>
      <c r="F864" s="17" t="str">
        <f>IF(E864="","",AVERAGE(INDEX($E$2:$E$3001,MAX(1,ROW()-1-'02_Eingaben'!$C$17)):INDEX($E$2:$E$3001,MIN('02_Eingaben'!$C$21,ROW()-1+'02_Eingaben'!$C$17))))</f>
        <v/>
      </c>
      <c r="G864" s="17" t="str">
        <f>IF(F864="","",F864-'02_Eingaben'!$C$10)</f>
        <v/>
      </c>
      <c r="H864" t="str">
        <f>IF(F864="","",IF(F864&lt;'02_Eingaben'!$C$18*'02_Eingaben'!$C$10,1,0))</f>
        <v/>
      </c>
      <c r="I864" s="17" t="str">
        <f t="shared" si="13"/>
        <v/>
      </c>
      <c r="J864" s="17" t="str">
        <f>IF(B864="","",IF(B863&lt;'02_Eingaben'!$C$36,0,J863+I863/'02_Eingaben'!$C$8))</f>
        <v/>
      </c>
    </row>
    <row r="865" spans="1:10" x14ac:dyDescent="0.25">
      <c r="A865" t="str">
        <f>IF('01_Rohdaten'!A865="","",ROW()-1)</f>
        <v/>
      </c>
      <c r="B865" s="17" t="str">
        <f>IF('01_Rohdaten'!A865="","",'01_Rohdaten'!A865)</f>
        <v/>
      </c>
      <c r="C865" s="17" t="str">
        <f>IF(B865="","",INDEX('01_Rohdaten'!B865:D865,'02_Eingaben'!$C$13))</f>
        <v/>
      </c>
      <c r="D865" s="17" t="str">
        <f>IF(C865="","",C865*'02_Eingaben'!$C$15)</f>
        <v/>
      </c>
      <c r="E865" s="17" t="str">
        <f>IF(D865="","",D865*'02_Eingaben'!$C$8)</f>
        <v/>
      </c>
      <c r="F865" s="17" t="str">
        <f>IF(E865="","",AVERAGE(INDEX($E$2:$E$3001,MAX(1,ROW()-1-'02_Eingaben'!$C$17)):INDEX($E$2:$E$3001,MIN('02_Eingaben'!$C$21,ROW()-1+'02_Eingaben'!$C$17))))</f>
        <v/>
      </c>
      <c r="G865" s="17" t="str">
        <f>IF(F865="","",F865-'02_Eingaben'!$C$10)</f>
        <v/>
      </c>
      <c r="H865" t="str">
        <f>IF(F865="","",IF(F865&lt;'02_Eingaben'!$C$18*'02_Eingaben'!$C$10,1,0))</f>
        <v/>
      </c>
      <c r="I865" s="17" t="str">
        <f t="shared" si="13"/>
        <v/>
      </c>
      <c r="J865" s="17" t="str">
        <f>IF(B865="","",IF(B864&lt;'02_Eingaben'!$C$36,0,J864+I864/'02_Eingaben'!$C$8))</f>
        <v/>
      </c>
    </row>
    <row r="866" spans="1:10" x14ac:dyDescent="0.25">
      <c r="A866" t="str">
        <f>IF('01_Rohdaten'!A866="","",ROW()-1)</f>
        <v/>
      </c>
      <c r="B866" s="17" t="str">
        <f>IF('01_Rohdaten'!A866="","",'01_Rohdaten'!A866)</f>
        <v/>
      </c>
      <c r="C866" s="17" t="str">
        <f>IF(B866="","",INDEX('01_Rohdaten'!B866:D866,'02_Eingaben'!$C$13))</f>
        <v/>
      </c>
      <c r="D866" s="17" t="str">
        <f>IF(C866="","",C866*'02_Eingaben'!$C$15)</f>
        <v/>
      </c>
      <c r="E866" s="17" t="str">
        <f>IF(D866="","",D866*'02_Eingaben'!$C$8)</f>
        <v/>
      </c>
      <c r="F866" s="17" t="str">
        <f>IF(E866="","",AVERAGE(INDEX($E$2:$E$3001,MAX(1,ROW()-1-'02_Eingaben'!$C$17)):INDEX($E$2:$E$3001,MIN('02_Eingaben'!$C$21,ROW()-1+'02_Eingaben'!$C$17))))</f>
        <v/>
      </c>
      <c r="G866" s="17" t="str">
        <f>IF(F866="","",F866-'02_Eingaben'!$C$10)</f>
        <v/>
      </c>
      <c r="H866" t="str">
        <f>IF(F866="","",IF(F866&lt;'02_Eingaben'!$C$18*'02_Eingaben'!$C$10,1,0))</f>
        <v/>
      </c>
      <c r="I866" s="17" t="str">
        <f t="shared" si="13"/>
        <v/>
      </c>
      <c r="J866" s="17" t="str">
        <f>IF(B866="","",IF(B865&lt;'02_Eingaben'!$C$36,0,J865+I865/'02_Eingaben'!$C$8))</f>
        <v/>
      </c>
    </row>
    <row r="867" spans="1:10" x14ac:dyDescent="0.25">
      <c r="A867" t="str">
        <f>IF('01_Rohdaten'!A867="","",ROW()-1)</f>
        <v/>
      </c>
      <c r="B867" s="17" t="str">
        <f>IF('01_Rohdaten'!A867="","",'01_Rohdaten'!A867)</f>
        <v/>
      </c>
      <c r="C867" s="17" t="str">
        <f>IF(B867="","",INDEX('01_Rohdaten'!B867:D867,'02_Eingaben'!$C$13))</f>
        <v/>
      </c>
      <c r="D867" s="17" t="str">
        <f>IF(C867="","",C867*'02_Eingaben'!$C$15)</f>
        <v/>
      </c>
      <c r="E867" s="17" t="str">
        <f>IF(D867="","",D867*'02_Eingaben'!$C$8)</f>
        <v/>
      </c>
      <c r="F867" s="17" t="str">
        <f>IF(E867="","",AVERAGE(INDEX($E$2:$E$3001,MAX(1,ROW()-1-'02_Eingaben'!$C$17)):INDEX($E$2:$E$3001,MIN('02_Eingaben'!$C$21,ROW()-1+'02_Eingaben'!$C$17))))</f>
        <v/>
      </c>
      <c r="G867" s="17" t="str">
        <f>IF(F867="","",F867-'02_Eingaben'!$C$10)</f>
        <v/>
      </c>
      <c r="H867" t="str">
        <f>IF(F867="","",IF(F867&lt;'02_Eingaben'!$C$18*'02_Eingaben'!$C$10,1,0))</f>
        <v/>
      </c>
      <c r="I867" s="17" t="str">
        <f t="shared" si="13"/>
        <v/>
      </c>
      <c r="J867" s="17" t="str">
        <f>IF(B867="","",IF(B866&lt;'02_Eingaben'!$C$36,0,J866+I866/'02_Eingaben'!$C$8))</f>
        <v/>
      </c>
    </row>
    <row r="868" spans="1:10" x14ac:dyDescent="0.25">
      <c r="A868" t="str">
        <f>IF('01_Rohdaten'!A868="","",ROW()-1)</f>
        <v/>
      </c>
      <c r="B868" s="17" t="str">
        <f>IF('01_Rohdaten'!A868="","",'01_Rohdaten'!A868)</f>
        <v/>
      </c>
      <c r="C868" s="17" t="str">
        <f>IF(B868="","",INDEX('01_Rohdaten'!B868:D868,'02_Eingaben'!$C$13))</f>
        <v/>
      </c>
      <c r="D868" s="17" t="str">
        <f>IF(C868="","",C868*'02_Eingaben'!$C$15)</f>
        <v/>
      </c>
      <c r="E868" s="17" t="str">
        <f>IF(D868="","",D868*'02_Eingaben'!$C$8)</f>
        <v/>
      </c>
      <c r="F868" s="17" t="str">
        <f>IF(E868="","",AVERAGE(INDEX($E$2:$E$3001,MAX(1,ROW()-1-'02_Eingaben'!$C$17)):INDEX($E$2:$E$3001,MIN('02_Eingaben'!$C$21,ROW()-1+'02_Eingaben'!$C$17))))</f>
        <v/>
      </c>
      <c r="G868" s="17" t="str">
        <f>IF(F868="","",F868-'02_Eingaben'!$C$10)</f>
        <v/>
      </c>
      <c r="H868" t="str">
        <f>IF(F868="","",IF(F868&lt;'02_Eingaben'!$C$18*'02_Eingaben'!$C$10,1,0))</f>
        <v/>
      </c>
      <c r="I868" s="17" t="str">
        <f t="shared" si="13"/>
        <v/>
      </c>
      <c r="J868" s="17" t="str">
        <f>IF(B868="","",IF(B867&lt;'02_Eingaben'!$C$36,0,J867+I867/'02_Eingaben'!$C$8))</f>
        <v/>
      </c>
    </row>
    <row r="869" spans="1:10" x14ac:dyDescent="0.25">
      <c r="A869" t="str">
        <f>IF('01_Rohdaten'!A869="","",ROW()-1)</f>
        <v/>
      </c>
      <c r="B869" s="17" t="str">
        <f>IF('01_Rohdaten'!A869="","",'01_Rohdaten'!A869)</f>
        <v/>
      </c>
      <c r="C869" s="17" t="str">
        <f>IF(B869="","",INDEX('01_Rohdaten'!B869:D869,'02_Eingaben'!$C$13))</f>
        <v/>
      </c>
      <c r="D869" s="17" t="str">
        <f>IF(C869="","",C869*'02_Eingaben'!$C$15)</f>
        <v/>
      </c>
      <c r="E869" s="17" t="str">
        <f>IF(D869="","",D869*'02_Eingaben'!$C$8)</f>
        <v/>
      </c>
      <c r="F869" s="17" t="str">
        <f>IF(E869="","",AVERAGE(INDEX($E$2:$E$3001,MAX(1,ROW()-1-'02_Eingaben'!$C$17)):INDEX($E$2:$E$3001,MIN('02_Eingaben'!$C$21,ROW()-1+'02_Eingaben'!$C$17))))</f>
        <v/>
      </c>
      <c r="G869" s="17" t="str">
        <f>IF(F869="","",F869-'02_Eingaben'!$C$10)</f>
        <v/>
      </c>
      <c r="H869" t="str">
        <f>IF(F869="","",IF(F869&lt;'02_Eingaben'!$C$18*'02_Eingaben'!$C$10,1,0))</f>
        <v/>
      </c>
      <c r="I869" s="17" t="str">
        <f t="shared" si="13"/>
        <v/>
      </c>
      <c r="J869" s="17" t="str">
        <f>IF(B869="","",IF(B868&lt;'02_Eingaben'!$C$36,0,J868+I868/'02_Eingaben'!$C$8))</f>
        <v/>
      </c>
    </row>
    <row r="870" spans="1:10" x14ac:dyDescent="0.25">
      <c r="A870" t="str">
        <f>IF('01_Rohdaten'!A870="","",ROW()-1)</f>
        <v/>
      </c>
      <c r="B870" s="17" t="str">
        <f>IF('01_Rohdaten'!A870="","",'01_Rohdaten'!A870)</f>
        <v/>
      </c>
      <c r="C870" s="17" t="str">
        <f>IF(B870="","",INDEX('01_Rohdaten'!B870:D870,'02_Eingaben'!$C$13))</f>
        <v/>
      </c>
      <c r="D870" s="17" t="str">
        <f>IF(C870="","",C870*'02_Eingaben'!$C$15)</f>
        <v/>
      </c>
      <c r="E870" s="17" t="str">
        <f>IF(D870="","",D870*'02_Eingaben'!$C$8)</f>
        <v/>
      </c>
      <c r="F870" s="17" t="str">
        <f>IF(E870="","",AVERAGE(INDEX($E$2:$E$3001,MAX(1,ROW()-1-'02_Eingaben'!$C$17)):INDEX($E$2:$E$3001,MIN('02_Eingaben'!$C$21,ROW()-1+'02_Eingaben'!$C$17))))</f>
        <v/>
      </c>
      <c r="G870" s="17" t="str">
        <f>IF(F870="","",F870-'02_Eingaben'!$C$10)</f>
        <v/>
      </c>
      <c r="H870" t="str">
        <f>IF(F870="","",IF(F870&lt;'02_Eingaben'!$C$18*'02_Eingaben'!$C$10,1,0))</f>
        <v/>
      </c>
      <c r="I870" s="17" t="str">
        <f t="shared" si="13"/>
        <v/>
      </c>
      <c r="J870" s="17" t="str">
        <f>IF(B870="","",IF(B869&lt;'02_Eingaben'!$C$36,0,J869+I869/'02_Eingaben'!$C$8))</f>
        <v/>
      </c>
    </row>
    <row r="871" spans="1:10" x14ac:dyDescent="0.25">
      <c r="A871" t="str">
        <f>IF('01_Rohdaten'!A871="","",ROW()-1)</f>
        <v/>
      </c>
      <c r="B871" s="17" t="str">
        <f>IF('01_Rohdaten'!A871="","",'01_Rohdaten'!A871)</f>
        <v/>
      </c>
      <c r="C871" s="17" t="str">
        <f>IF(B871="","",INDEX('01_Rohdaten'!B871:D871,'02_Eingaben'!$C$13))</f>
        <v/>
      </c>
      <c r="D871" s="17" t="str">
        <f>IF(C871="","",C871*'02_Eingaben'!$C$15)</f>
        <v/>
      </c>
      <c r="E871" s="17" t="str">
        <f>IF(D871="","",D871*'02_Eingaben'!$C$8)</f>
        <v/>
      </c>
      <c r="F871" s="17" t="str">
        <f>IF(E871="","",AVERAGE(INDEX($E$2:$E$3001,MAX(1,ROW()-1-'02_Eingaben'!$C$17)):INDEX($E$2:$E$3001,MIN('02_Eingaben'!$C$21,ROW()-1+'02_Eingaben'!$C$17))))</f>
        <v/>
      </c>
      <c r="G871" s="17" t="str">
        <f>IF(F871="","",F871-'02_Eingaben'!$C$10)</f>
        <v/>
      </c>
      <c r="H871" t="str">
        <f>IF(F871="","",IF(F871&lt;'02_Eingaben'!$C$18*'02_Eingaben'!$C$10,1,0))</f>
        <v/>
      </c>
      <c r="I871" s="17" t="str">
        <f t="shared" si="13"/>
        <v/>
      </c>
      <c r="J871" s="17" t="str">
        <f>IF(B871="","",IF(B870&lt;'02_Eingaben'!$C$36,0,J870+I870/'02_Eingaben'!$C$8))</f>
        <v/>
      </c>
    </row>
    <row r="872" spans="1:10" x14ac:dyDescent="0.25">
      <c r="A872" t="str">
        <f>IF('01_Rohdaten'!A872="","",ROW()-1)</f>
        <v/>
      </c>
      <c r="B872" s="17" t="str">
        <f>IF('01_Rohdaten'!A872="","",'01_Rohdaten'!A872)</f>
        <v/>
      </c>
      <c r="C872" s="17" t="str">
        <f>IF(B872="","",INDEX('01_Rohdaten'!B872:D872,'02_Eingaben'!$C$13))</f>
        <v/>
      </c>
      <c r="D872" s="17" t="str">
        <f>IF(C872="","",C872*'02_Eingaben'!$C$15)</f>
        <v/>
      </c>
      <c r="E872" s="17" t="str">
        <f>IF(D872="","",D872*'02_Eingaben'!$C$8)</f>
        <v/>
      </c>
      <c r="F872" s="17" t="str">
        <f>IF(E872="","",AVERAGE(INDEX($E$2:$E$3001,MAX(1,ROW()-1-'02_Eingaben'!$C$17)):INDEX($E$2:$E$3001,MIN('02_Eingaben'!$C$21,ROW()-1+'02_Eingaben'!$C$17))))</f>
        <v/>
      </c>
      <c r="G872" s="17" t="str">
        <f>IF(F872="","",F872-'02_Eingaben'!$C$10)</f>
        <v/>
      </c>
      <c r="H872" t="str">
        <f>IF(F872="","",IF(F872&lt;'02_Eingaben'!$C$18*'02_Eingaben'!$C$10,1,0))</f>
        <v/>
      </c>
      <c r="I872" s="17" t="str">
        <f t="shared" si="13"/>
        <v/>
      </c>
      <c r="J872" s="17" t="str">
        <f>IF(B872="","",IF(B871&lt;'02_Eingaben'!$C$36,0,J871+I871/'02_Eingaben'!$C$8))</f>
        <v/>
      </c>
    </row>
    <row r="873" spans="1:10" x14ac:dyDescent="0.25">
      <c r="A873" t="str">
        <f>IF('01_Rohdaten'!A873="","",ROW()-1)</f>
        <v/>
      </c>
      <c r="B873" s="17" t="str">
        <f>IF('01_Rohdaten'!A873="","",'01_Rohdaten'!A873)</f>
        <v/>
      </c>
      <c r="C873" s="17" t="str">
        <f>IF(B873="","",INDEX('01_Rohdaten'!B873:D873,'02_Eingaben'!$C$13))</f>
        <v/>
      </c>
      <c r="D873" s="17" t="str">
        <f>IF(C873="","",C873*'02_Eingaben'!$C$15)</f>
        <v/>
      </c>
      <c r="E873" s="17" t="str">
        <f>IF(D873="","",D873*'02_Eingaben'!$C$8)</f>
        <v/>
      </c>
      <c r="F873" s="17" t="str">
        <f>IF(E873="","",AVERAGE(INDEX($E$2:$E$3001,MAX(1,ROW()-1-'02_Eingaben'!$C$17)):INDEX($E$2:$E$3001,MIN('02_Eingaben'!$C$21,ROW()-1+'02_Eingaben'!$C$17))))</f>
        <v/>
      </c>
      <c r="G873" s="17" t="str">
        <f>IF(F873="","",F873-'02_Eingaben'!$C$10)</f>
        <v/>
      </c>
      <c r="H873" t="str">
        <f>IF(F873="","",IF(F873&lt;'02_Eingaben'!$C$18*'02_Eingaben'!$C$10,1,0))</f>
        <v/>
      </c>
      <c r="I873" s="17" t="str">
        <f t="shared" si="13"/>
        <v/>
      </c>
      <c r="J873" s="17" t="str">
        <f>IF(B873="","",IF(B872&lt;'02_Eingaben'!$C$36,0,J872+I872/'02_Eingaben'!$C$8))</f>
        <v/>
      </c>
    </row>
    <row r="874" spans="1:10" x14ac:dyDescent="0.25">
      <c r="A874" t="str">
        <f>IF('01_Rohdaten'!A874="","",ROW()-1)</f>
        <v/>
      </c>
      <c r="B874" s="17" t="str">
        <f>IF('01_Rohdaten'!A874="","",'01_Rohdaten'!A874)</f>
        <v/>
      </c>
      <c r="C874" s="17" t="str">
        <f>IF(B874="","",INDEX('01_Rohdaten'!B874:D874,'02_Eingaben'!$C$13))</f>
        <v/>
      </c>
      <c r="D874" s="17" t="str">
        <f>IF(C874="","",C874*'02_Eingaben'!$C$15)</f>
        <v/>
      </c>
      <c r="E874" s="17" t="str">
        <f>IF(D874="","",D874*'02_Eingaben'!$C$8)</f>
        <v/>
      </c>
      <c r="F874" s="17" t="str">
        <f>IF(E874="","",AVERAGE(INDEX($E$2:$E$3001,MAX(1,ROW()-1-'02_Eingaben'!$C$17)):INDEX($E$2:$E$3001,MIN('02_Eingaben'!$C$21,ROW()-1+'02_Eingaben'!$C$17))))</f>
        <v/>
      </c>
      <c r="G874" s="17" t="str">
        <f>IF(F874="","",F874-'02_Eingaben'!$C$10)</f>
        <v/>
      </c>
      <c r="H874" t="str">
        <f>IF(F874="","",IF(F874&lt;'02_Eingaben'!$C$18*'02_Eingaben'!$C$10,1,0))</f>
        <v/>
      </c>
      <c r="I874" s="17" t="str">
        <f t="shared" si="13"/>
        <v/>
      </c>
      <c r="J874" s="17" t="str">
        <f>IF(B874="","",IF(B873&lt;'02_Eingaben'!$C$36,0,J873+I873/'02_Eingaben'!$C$8))</f>
        <v/>
      </c>
    </row>
    <row r="875" spans="1:10" x14ac:dyDescent="0.25">
      <c r="A875" t="str">
        <f>IF('01_Rohdaten'!A875="","",ROW()-1)</f>
        <v/>
      </c>
      <c r="B875" s="17" t="str">
        <f>IF('01_Rohdaten'!A875="","",'01_Rohdaten'!A875)</f>
        <v/>
      </c>
      <c r="C875" s="17" t="str">
        <f>IF(B875="","",INDEX('01_Rohdaten'!B875:D875,'02_Eingaben'!$C$13))</f>
        <v/>
      </c>
      <c r="D875" s="17" t="str">
        <f>IF(C875="","",C875*'02_Eingaben'!$C$15)</f>
        <v/>
      </c>
      <c r="E875" s="17" t="str">
        <f>IF(D875="","",D875*'02_Eingaben'!$C$8)</f>
        <v/>
      </c>
      <c r="F875" s="17" t="str">
        <f>IF(E875="","",AVERAGE(INDEX($E$2:$E$3001,MAX(1,ROW()-1-'02_Eingaben'!$C$17)):INDEX($E$2:$E$3001,MIN('02_Eingaben'!$C$21,ROW()-1+'02_Eingaben'!$C$17))))</f>
        <v/>
      </c>
      <c r="G875" s="17" t="str">
        <f>IF(F875="","",F875-'02_Eingaben'!$C$10)</f>
        <v/>
      </c>
      <c r="H875" t="str">
        <f>IF(F875="","",IF(F875&lt;'02_Eingaben'!$C$18*'02_Eingaben'!$C$10,1,0))</f>
        <v/>
      </c>
      <c r="I875" s="17" t="str">
        <f t="shared" si="13"/>
        <v/>
      </c>
      <c r="J875" s="17" t="str">
        <f>IF(B875="","",IF(B874&lt;'02_Eingaben'!$C$36,0,J874+I874/'02_Eingaben'!$C$8))</f>
        <v/>
      </c>
    </row>
    <row r="876" spans="1:10" x14ac:dyDescent="0.25">
      <c r="A876" t="str">
        <f>IF('01_Rohdaten'!A876="","",ROW()-1)</f>
        <v/>
      </c>
      <c r="B876" s="17" t="str">
        <f>IF('01_Rohdaten'!A876="","",'01_Rohdaten'!A876)</f>
        <v/>
      </c>
      <c r="C876" s="17" t="str">
        <f>IF(B876="","",INDEX('01_Rohdaten'!B876:D876,'02_Eingaben'!$C$13))</f>
        <v/>
      </c>
      <c r="D876" s="17" t="str">
        <f>IF(C876="","",C876*'02_Eingaben'!$C$15)</f>
        <v/>
      </c>
      <c r="E876" s="17" t="str">
        <f>IF(D876="","",D876*'02_Eingaben'!$C$8)</f>
        <v/>
      </c>
      <c r="F876" s="17" t="str">
        <f>IF(E876="","",AVERAGE(INDEX($E$2:$E$3001,MAX(1,ROW()-1-'02_Eingaben'!$C$17)):INDEX($E$2:$E$3001,MIN('02_Eingaben'!$C$21,ROW()-1+'02_Eingaben'!$C$17))))</f>
        <v/>
      </c>
      <c r="G876" s="17" t="str">
        <f>IF(F876="","",F876-'02_Eingaben'!$C$10)</f>
        <v/>
      </c>
      <c r="H876" t="str">
        <f>IF(F876="","",IF(F876&lt;'02_Eingaben'!$C$18*'02_Eingaben'!$C$10,1,0))</f>
        <v/>
      </c>
      <c r="I876" s="17" t="str">
        <f t="shared" si="13"/>
        <v/>
      </c>
      <c r="J876" s="17" t="str">
        <f>IF(B876="","",IF(B875&lt;'02_Eingaben'!$C$36,0,J875+I875/'02_Eingaben'!$C$8))</f>
        <v/>
      </c>
    </row>
    <row r="877" spans="1:10" x14ac:dyDescent="0.25">
      <c r="A877" t="str">
        <f>IF('01_Rohdaten'!A877="","",ROW()-1)</f>
        <v/>
      </c>
      <c r="B877" s="17" t="str">
        <f>IF('01_Rohdaten'!A877="","",'01_Rohdaten'!A877)</f>
        <v/>
      </c>
      <c r="C877" s="17" t="str">
        <f>IF(B877="","",INDEX('01_Rohdaten'!B877:D877,'02_Eingaben'!$C$13))</f>
        <v/>
      </c>
      <c r="D877" s="17" t="str">
        <f>IF(C877="","",C877*'02_Eingaben'!$C$15)</f>
        <v/>
      </c>
      <c r="E877" s="17" t="str">
        <f>IF(D877="","",D877*'02_Eingaben'!$C$8)</f>
        <v/>
      </c>
      <c r="F877" s="17" t="str">
        <f>IF(E877="","",AVERAGE(INDEX($E$2:$E$3001,MAX(1,ROW()-1-'02_Eingaben'!$C$17)):INDEX($E$2:$E$3001,MIN('02_Eingaben'!$C$21,ROW()-1+'02_Eingaben'!$C$17))))</f>
        <v/>
      </c>
      <c r="G877" s="17" t="str">
        <f>IF(F877="","",F877-'02_Eingaben'!$C$10)</f>
        <v/>
      </c>
      <c r="H877" t="str">
        <f>IF(F877="","",IF(F877&lt;'02_Eingaben'!$C$18*'02_Eingaben'!$C$10,1,0))</f>
        <v/>
      </c>
      <c r="I877" s="17" t="str">
        <f t="shared" si="13"/>
        <v/>
      </c>
      <c r="J877" s="17" t="str">
        <f>IF(B877="","",IF(B876&lt;'02_Eingaben'!$C$36,0,J876+I876/'02_Eingaben'!$C$8))</f>
        <v/>
      </c>
    </row>
    <row r="878" spans="1:10" x14ac:dyDescent="0.25">
      <c r="A878" t="str">
        <f>IF('01_Rohdaten'!A878="","",ROW()-1)</f>
        <v/>
      </c>
      <c r="B878" s="17" t="str">
        <f>IF('01_Rohdaten'!A878="","",'01_Rohdaten'!A878)</f>
        <v/>
      </c>
      <c r="C878" s="17" t="str">
        <f>IF(B878="","",INDEX('01_Rohdaten'!B878:D878,'02_Eingaben'!$C$13))</f>
        <v/>
      </c>
      <c r="D878" s="17" t="str">
        <f>IF(C878="","",C878*'02_Eingaben'!$C$15)</f>
        <v/>
      </c>
      <c r="E878" s="17" t="str">
        <f>IF(D878="","",D878*'02_Eingaben'!$C$8)</f>
        <v/>
      </c>
      <c r="F878" s="17" t="str">
        <f>IF(E878="","",AVERAGE(INDEX($E$2:$E$3001,MAX(1,ROW()-1-'02_Eingaben'!$C$17)):INDEX($E$2:$E$3001,MIN('02_Eingaben'!$C$21,ROW()-1+'02_Eingaben'!$C$17))))</f>
        <v/>
      </c>
      <c r="G878" s="17" t="str">
        <f>IF(F878="","",F878-'02_Eingaben'!$C$10)</f>
        <v/>
      </c>
      <c r="H878" t="str">
        <f>IF(F878="","",IF(F878&lt;'02_Eingaben'!$C$18*'02_Eingaben'!$C$10,1,0))</f>
        <v/>
      </c>
      <c r="I878" s="17" t="str">
        <f t="shared" si="13"/>
        <v/>
      </c>
      <c r="J878" s="17" t="str">
        <f>IF(B878="","",IF(B877&lt;'02_Eingaben'!$C$36,0,J877+I877/'02_Eingaben'!$C$8))</f>
        <v/>
      </c>
    </row>
    <row r="879" spans="1:10" x14ac:dyDescent="0.25">
      <c r="A879" t="str">
        <f>IF('01_Rohdaten'!A879="","",ROW()-1)</f>
        <v/>
      </c>
      <c r="B879" s="17" t="str">
        <f>IF('01_Rohdaten'!A879="","",'01_Rohdaten'!A879)</f>
        <v/>
      </c>
      <c r="C879" s="17" t="str">
        <f>IF(B879="","",INDEX('01_Rohdaten'!B879:D879,'02_Eingaben'!$C$13))</f>
        <v/>
      </c>
      <c r="D879" s="17" t="str">
        <f>IF(C879="","",C879*'02_Eingaben'!$C$15)</f>
        <v/>
      </c>
      <c r="E879" s="17" t="str">
        <f>IF(D879="","",D879*'02_Eingaben'!$C$8)</f>
        <v/>
      </c>
      <c r="F879" s="17" t="str">
        <f>IF(E879="","",AVERAGE(INDEX($E$2:$E$3001,MAX(1,ROW()-1-'02_Eingaben'!$C$17)):INDEX($E$2:$E$3001,MIN('02_Eingaben'!$C$21,ROW()-1+'02_Eingaben'!$C$17))))</f>
        <v/>
      </c>
      <c r="G879" s="17" t="str">
        <f>IF(F879="","",F879-'02_Eingaben'!$C$10)</f>
        <v/>
      </c>
      <c r="H879" t="str">
        <f>IF(F879="","",IF(F879&lt;'02_Eingaben'!$C$18*'02_Eingaben'!$C$10,1,0))</f>
        <v/>
      </c>
      <c r="I879" s="17" t="str">
        <f t="shared" si="13"/>
        <v/>
      </c>
      <c r="J879" s="17" t="str">
        <f>IF(B879="","",IF(B878&lt;'02_Eingaben'!$C$36,0,J878+I878/'02_Eingaben'!$C$8))</f>
        <v/>
      </c>
    </row>
    <row r="880" spans="1:10" x14ac:dyDescent="0.25">
      <c r="A880" t="str">
        <f>IF('01_Rohdaten'!A880="","",ROW()-1)</f>
        <v/>
      </c>
      <c r="B880" s="17" t="str">
        <f>IF('01_Rohdaten'!A880="","",'01_Rohdaten'!A880)</f>
        <v/>
      </c>
      <c r="C880" s="17" t="str">
        <f>IF(B880="","",INDEX('01_Rohdaten'!B880:D880,'02_Eingaben'!$C$13))</f>
        <v/>
      </c>
      <c r="D880" s="17" t="str">
        <f>IF(C880="","",C880*'02_Eingaben'!$C$15)</f>
        <v/>
      </c>
      <c r="E880" s="17" t="str">
        <f>IF(D880="","",D880*'02_Eingaben'!$C$8)</f>
        <v/>
      </c>
      <c r="F880" s="17" t="str">
        <f>IF(E880="","",AVERAGE(INDEX($E$2:$E$3001,MAX(1,ROW()-1-'02_Eingaben'!$C$17)):INDEX($E$2:$E$3001,MIN('02_Eingaben'!$C$21,ROW()-1+'02_Eingaben'!$C$17))))</f>
        <v/>
      </c>
      <c r="G880" s="17" t="str">
        <f>IF(F880="","",F880-'02_Eingaben'!$C$10)</f>
        <v/>
      </c>
      <c r="H880" t="str">
        <f>IF(F880="","",IF(F880&lt;'02_Eingaben'!$C$18*'02_Eingaben'!$C$10,1,0))</f>
        <v/>
      </c>
      <c r="I880" s="17" t="str">
        <f t="shared" si="13"/>
        <v/>
      </c>
      <c r="J880" s="17" t="str">
        <f>IF(B880="","",IF(B879&lt;'02_Eingaben'!$C$36,0,J879+I879/'02_Eingaben'!$C$8))</f>
        <v/>
      </c>
    </row>
    <row r="881" spans="1:10" x14ac:dyDescent="0.25">
      <c r="A881" t="str">
        <f>IF('01_Rohdaten'!A881="","",ROW()-1)</f>
        <v/>
      </c>
      <c r="B881" s="17" t="str">
        <f>IF('01_Rohdaten'!A881="","",'01_Rohdaten'!A881)</f>
        <v/>
      </c>
      <c r="C881" s="17" t="str">
        <f>IF(B881="","",INDEX('01_Rohdaten'!B881:D881,'02_Eingaben'!$C$13))</f>
        <v/>
      </c>
      <c r="D881" s="17" t="str">
        <f>IF(C881="","",C881*'02_Eingaben'!$C$15)</f>
        <v/>
      </c>
      <c r="E881" s="17" t="str">
        <f>IF(D881="","",D881*'02_Eingaben'!$C$8)</f>
        <v/>
      </c>
      <c r="F881" s="17" t="str">
        <f>IF(E881="","",AVERAGE(INDEX($E$2:$E$3001,MAX(1,ROW()-1-'02_Eingaben'!$C$17)):INDEX($E$2:$E$3001,MIN('02_Eingaben'!$C$21,ROW()-1+'02_Eingaben'!$C$17))))</f>
        <v/>
      </c>
      <c r="G881" s="17" t="str">
        <f>IF(F881="","",F881-'02_Eingaben'!$C$10)</f>
        <v/>
      </c>
      <c r="H881" t="str">
        <f>IF(F881="","",IF(F881&lt;'02_Eingaben'!$C$18*'02_Eingaben'!$C$10,1,0))</f>
        <v/>
      </c>
      <c r="I881" s="17" t="str">
        <f t="shared" si="13"/>
        <v/>
      </c>
      <c r="J881" s="17" t="str">
        <f>IF(B881="","",IF(B880&lt;'02_Eingaben'!$C$36,0,J880+I880/'02_Eingaben'!$C$8))</f>
        <v/>
      </c>
    </row>
    <row r="882" spans="1:10" x14ac:dyDescent="0.25">
      <c r="A882" t="str">
        <f>IF('01_Rohdaten'!A882="","",ROW()-1)</f>
        <v/>
      </c>
      <c r="B882" s="17" t="str">
        <f>IF('01_Rohdaten'!A882="","",'01_Rohdaten'!A882)</f>
        <v/>
      </c>
      <c r="C882" s="17" t="str">
        <f>IF(B882="","",INDEX('01_Rohdaten'!B882:D882,'02_Eingaben'!$C$13))</f>
        <v/>
      </c>
      <c r="D882" s="17" t="str">
        <f>IF(C882="","",C882*'02_Eingaben'!$C$15)</f>
        <v/>
      </c>
      <c r="E882" s="17" t="str">
        <f>IF(D882="","",D882*'02_Eingaben'!$C$8)</f>
        <v/>
      </c>
      <c r="F882" s="17" t="str">
        <f>IF(E882="","",AVERAGE(INDEX($E$2:$E$3001,MAX(1,ROW()-1-'02_Eingaben'!$C$17)):INDEX($E$2:$E$3001,MIN('02_Eingaben'!$C$21,ROW()-1+'02_Eingaben'!$C$17))))</f>
        <v/>
      </c>
      <c r="G882" s="17" t="str">
        <f>IF(F882="","",F882-'02_Eingaben'!$C$10)</f>
        <v/>
      </c>
      <c r="H882" t="str">
        <f>IF(F882="","",IF(F882&lt;'02_Eingaben'!$C$18*'02_Eingaben'!$C$10,1,0))</f>
        <v/>
      </c>
      <c r="I882" s="17" t="str">
        <f t="shared" si="13"/>
        <v/>
      </c>
      <c r="J882" s="17" t="str">
        <f>IF(B882="","",IF(B881&lt;'02_Eingaben'!$C$36,0,J881+I881/'02_Eingaben'!$C$8))</f>
        <v/>
      </c>
    </row>
    <row r="883" spans="1:10" x14ac:dyDescent="0.25">
      <c r="A883" t="str">
        <f>IF('01_Rohdaten'!A883="","",ROW()-1)</f>
        <v/>
      </c>
      <c r="B883" s="17" t="str">
        <f>IF('01_Rohdaten'!A883="","",'01_Rohdaten'!A883)</f>
        <v/>
      </c>
      <c r="C883" s="17" t="str">
        <f>IF(B883="","",INDEX('01_Rohdaten'!B883:D883,'02_Eingaben'!$C$13))</f>
        <v/>
      </c>
      <c r="D883" s="17" t="str">
        <f>IF(C883="","",C883*'02_Eingaben'!$C$15)</f>
        <v/>
      </c>
      <c r="E883" s="17" t="str">
        <f>IF(D883="","",D883*'02_Eingaben'!$C$8)</f>
        <v/>
      </c>
      <c r="F883" s="17" t="str">
        <f>IF(E883="","",AVERAGE(INDEX($E$2:$E$3001,MAX(1,ROW()-1-'02_Eingaben'!$C$17)):INDEX($E$2:$E$3001,MIN('02_Eingaben'!$C$21,ROW()-1+'02_Eingaben'!$C$17))))</f>
        <v/>
      </c>
      <c r="G883" s="17" t="str">
        <f>IF(F883="","",F883-'02_Eingaben'!$C$10)</f>
        <v/>
      </c>
      <c r="H883" t="str">
        <f>IF(F883="","",IF(F883&lt;'02_Eingaben'!$C$18*'02_Eingaben'!$C$10,1,0))</f>
        <v/>
      </c>
      <c r="I883" s="17" t="str">
        <f t="shared" si="13"/>
        <v/>
      </c>
      <c r="J883" s="17" t="str">
        <f>IF(B883="","",IF(B882&lt;'02_Eingaben'!$C$36,0,J882+I882/'02_Eingaben'!$C$8))</f>
        <v/>
      </c>
    </row>
    <row r="884" spans="1:10" x14ac:dyDescent="0.25">
      <c r="A884" t="str">
        <f>IF('01_Rohdaten'!A884="","",ROW()-1)</f>
        <v/>
      </c>
      <c r="B884" s="17" t="str">
        <f>IF('01_Rohdaten'!A884="","",'01_Rohdaten'!A884)</f>
        <v/>
      </c>
      <c r="C884" s="17" t="str">
        <f>IF(B884="","",INDEX('01_Rohdaten'!B884:D884,'02_Eingaben'!$C$13))</f>
        <v/>
      </c>
      <c r="D884" s="17" t="str">
        <f>IF(C884="","",C884*'02_Eingaben'!$C$15)</f>
        <v/>
      </c>
      <c r="E884" s="17" t="str">
        <f>IF(D884="","",D884*'02_Eingaben'!$C$8)</f>
        <v/>
      </c>
      <c r="F884" s="17" t="str">
        <f>IF(E884="","",AVERAGE(INDEX($E$2:$E$3001,MAX(1,ROW()-1-'02_Eingaben'!$C$17)):INDEX($E$2:$E$3001,MIN('02_Eingaben'!$C$21,ROW()-1+'02_Eingaben'!$C$17))))</f>
        <v/>
      </c>
      <c r="G884" s="17" t="str">
        <f>IF(F884="","",F884-'02_Eingaben'!$C$10)</f>
        <v/>
      </c>
      <c r="H884" t="str">
        <f>IF(F884="","",IF(F884&lt;'02_Eingaben'!$C$18*'02_Eingaben'!$C$10,1,0))</f>
        <v/>
      </c>
      <c r="I884" s="17" t="str">
        <f t="shared" si="13"/>
        <v/>
      </c>
      <c r="J884" s="17" t="str">
        <f>IF(B884="","",IF(B883&lt;'02_Eingaben'!$C$36,0,J883+I883/'02_Eingaben'!$C$8))</f>
        <v/>
      </c>
    </row>
    <row r="885" spans="1:10" x14ac:dyDescent="0.25">
      <c r="A885" t="str">
        <f>IF('01_Rohdaten'!A885="","",ROW()-1)</f>
        <v/>
      </c>
      <c r="B885" s="17" t="str">
        <f>IF('01_Rohdaten'!A885="","",'01_Rohdaten'!A885)</f>
        <v/>
      </c>
      <c r="C885" s="17" t="str">
        <f>IF(B885="","",INDEX('01_Rohdaten'!B885:D885,'02_Eingaben'!$C$13))</f>
        <v/>
      </c>
      <c r="D885" s="17" t="str">
        <f>IF(C885="","",C885*'02_Eingaben'!$C$15)</f>
        <v/>
      </c>
      <c r="E885" s="17" t="str">
        <f>IF(D885="","",D885*'02_Eingaben'!$C$8)</f>
        <v/>
      </c>
      <c r="F885" s="17" t="str">
        <f>IF(E885="","",AVERAGE(INDEX($E$2:$E$3001,MAX(1,ROW()-1-'02_Eingaben'!$C$17)):INDEX($E$2:$E$3001,MIN('02_Eingaben'!$C$21,ROW()-1+'02_Eingaben'!$C$17))))</f>
        <v/>
      </c>
      <c r="G885" s="17" t="str">
        <f>IF(F885="","",F885-'02_Eingaben'!$C$10)</f>
        <v/>
      </c>
      <c r="H885" t="str">
        <f>IF(F885="","",IF(F885&lt;'02_Eingaben'!$C$18*'02_Eingaben'!$C$10,1,0))</f>
        <v/>
      </c>
      <c r="I885" s="17" t="str">
        <f t="shared" si="13"/>
        <v/>
      </c>
      <c r="J885" s="17" t="str">
        <f>IF(B885="","",IF(B884&lt;'02_Eingaben'!$C$36,0,J884+I884/'02_Eingaben'!$C$8))</f>
        <v/>
      </c>
    </row>
    <row r="886" spans="1:10" x14ac:dyDescent="0.25">
      <c r="A886" t="str">
        <f>IF('01_Rohdaten'!A886="","",ROW()-1)</f>
        <v/>
      </c>
      <c r="B886" s="17" t="str">
        <f>IF('01_Rohdaten'!A886="","",'01_Rohdaten'!A886)</f>
        <v/>
      </c>
      <c r="C886" s="17" t="str">
        <f>IF(B886="","",INDEX('01_Rohdaten'!B886:D886,'02_Eingaben'!$C$13))</f>
        <v/>
      </c>
      <c r="D886" s="17" t="str">
        <f>IF(C886="","",C886*'02_Eingaben'!$C$15)</f>
        <v/>
      </c>
      <c r="E886" s="17" t="str">
        <f>IF(D886="","",D886*'02_Eingaben'!$C$8)</f>
        <v/>
      </c>
      <c r="F886" s="17" t="str">
        <f>IF(E886="","",AVERAGE(INDEX($E$2:$E$3001,MAX(1,ROW()-1-'02_Eingaben'!$C$17)):INDEX($E$2:$E$3001,MIN('02_Eingaben'!$C$21,ROW()-1+'02_Eingaben'!$C$17))))</f>
        <v/>
      </c>
      <c r="G886" s="17" t="str">
        <f>IF(F886="","",F886-'02_Eingaben'!$C$10)</f>
        <v/>
      </c>
      <c r="H886" t="str">
        <f>IF(F886="","",IF(F886&lt;'02_Eingaben'!$C$18*'02_Eingaben'!$C$10,1,0))</f>
        <v/>
      </c>
      <c r="I886" s="17" t="str">
        <f t="shared" si="13"/>
        <v/>
      </c>
      <c r="J886" s="17" t="str">
        <f>IF(B886="","",IF(B885&lt;'02_Eingaben'!$C$36,0,J885+I885/'02_Eingaben'!$C$8))</f>
        <v/>
      </c>
    </row>
    <row r="887" spans="1:10" x14ac:dyDescent="0.25">
      <c r="A887" t="str">
        <f>IF('01_Rohdaten'!A887="","",ROW()-1)</f>
        <v/>
      </c>
      <c r="B887" s="17" t="str">
        <f>IF('01_Rohdaten'!A887="","",'01_Rohdaten'!A887)</f>
        <v/>
      </c>
      <c r="C887" s="17" t="str">
        <f>IF(B887="","",INDEX('01_Rohdaten'!B887:D887,'02_Eingaben'!$C$13))</f>
        <v/>
      </c>
      <c r="D887" s="17" t="str">
        <f>IF(C887="","",C887*'02_Eingaben'!$C$15)</f>
        <v/>
      </c>
      <c r="E887" s="17" t="str">
        <f>IF(D887="","",D887*'02_Eingaben'!$C$8)</f>
        <v/>
      </c>
      <c r="F887" s="17" t="str">
        <f>IF(E887="","",AVERAGE(INDEX($E$2:$E$3001,MAX(1,ROW()-1-'02_Eingaben'!$C$17)):INDEX($E$2:$E$3001,MIN('02_Eingaben'!$C$21,ROW()-1+'02_Eingaben'!$C$17))))</f>
        <v/>
      </c>
      <c r="G887" s="17" t="str">
        <f>IF(F887="","",F887-'02_Eingaben'!$C$10)</f>
        <v/>
      </c>
      <c r="H887" t="str">
        <f>IF(F887="","",IF(F887&lt;'02_Eingaben'!$C$18*'02_Eingaben'!$C$10,1,0))</f>
        <v/>
      </c>
      <c r="I887" s="17" t="str">
        <f t="shared" si="13"/>
        <v/>
      </c>
      <c r="J887" s="17" t="str">
        <f>IF(B887="","",IF(B886&lt;'02_Eingaben'!$C$36,0,J886+I886/'02_Eingaben'!$C$8))</f>
        <v/>
      </c>
    </row>
    <row r="888" spans="1:10" x14ac:dyDescent="0.25">
      <c r="A888" t="str">
        <f>IF('01_Rohdaten'!A888="","",ROW()-1)</f>
        <v/>
      </c>
      <c r="B888" s="17" t="str">
        <f>IF('01_Rohdaten'!A888="","",'01_Rohdaten'!A888)</f>
        <v/>
      </c>
      <c r="C888" s="17" t="str">
        <f>IF(B888="","",INDEX('01_Rohdaten'!B888:D888,'02_Eingaben'!$C$13))</f>
        <v/>
      </c>
      <c r="D888" s="17" t="str">
        <f>IF(C888="","",C888*'02_Eingaben'!$C$15)</f>
        <v/>
      </c>
      <c r="E888" s="17" t="str">
        <f>IF(D888="","",D888*'02_Eingaben'!$C$8)</f>
        <v/>
      </c>
      <c r="F888" s="17" t="str">
        <f>IF(E888="","",AVERAGE(INDEX($E$2:$E$3001,MAX(1,ROW()-1-'02_Eingaben'!$C$17)):INDEX($E$2:$E$3001,MIN('02_Eingaben'!$C$21,ROW()-1+'02_Eingaben'!$C$17))))</f>
        <v/>
      </c>
      <c r="G888" s="17" t="str">
        <f>IF(F888="","",F888-'02_Eingaben'!$C$10)</f>
        <v/>
      </c>
      <c r="H888" t="str">
        <f>IF(F888="","",IF(F888&lt;'02_Eingaben'!$C$18*'02_Eingaben'!$C$10,1,0))</f>
        <v/>
      </c>
      <c r="I888" s="17" t="str">
        <f t="shared" si="13"/>
        <v/>
      </c>
      <c r="J888" s="17" t="str">
        <f>IF(B888="","",IF(B887&lt;'02_Eingaben'!$C$36,0,J887+I887/'02_Eingaben'!$C$8))</f>
        <v/>
      </c>
    </row>
    <row r="889" spans="1:10" x14ac:dyDescent="0.25">
      <c r="A889" t="str">
        <f>IF('01_Rohdaten'!A889="","",ROW()-1)</f>
        <v/>
      </c>
      <c r="B889" s="17" t="str">
        <f>IF('01_Rohdaten'!A889="","",'01_Rohdaten'!A889)</f>
        <v/>
      </c>
      <c r="C889" s="17" t="str">
        <f>IF(B889="","",INDEX('01_Rohdaten'!B889:D889,'02_Eingaben'!$C$13))</f>
        <v/>
      </c>
      <c r="D889" s="17" t="str">
        <f>IF(C889="","",C889*'02_Eingaben'!$C$15)</f>
        <v/>
      </c>
      <c r="E889" s="17" t="str">
        <f>IF(D889="","",D889*'02_Eingaben'!$C$8)</f>
        <v/>
      </c>
      <c r="F889" s="17" t="str">
        <f>IF(E889="","",AVERAGE(INDEX($E$2:$E$3001,MAX(1,ROW()-1-'02_Eingaben'!$C$17)):INDEX($E$2:$E$3001,MIN('02_Eingaben'!$C$21,ROW()-1+'02_Eingaben'!$C$17))))</f>
        <v/>
      </c>
      <c r="G889" s="17" t="str">
        <f>IF(F889="","",F889-'02_Eingaben'!$C$10)</f>
        <v/>
      </c>
      <c r="H889" t="str">
        <f>IF(F889="","",IF(F889&lt;'02_Eingaben'!$C$18*'02_Eingaben'!$C$10,1,0))</f>
        <v/>
      </c>
      <c r="I889" s="17" t="str">
        <f t="shared" si="13"/>
        <v/>
      </c>
      <c r="J889" s="17" t="str">
        <f>IF(B889="","",IF(B888&lt;'02_Eingaben'!$C$36,0,J888+I888/'02_Eingaben'!$C$8))</f>
        <v/>
      </c>
    </row>
    <row r="890" spans="1:10" x14ac:dyDescent="0.25">
      <c r="A890" t="str">
        <f>IF('01_Rohdaten'!A890="","",ROW()-1)</f>
        <v/>
      </c>
      <c r="B890" s="17" t="str">
        <f>IF('01_Rohdaten'!A890="","",'01_Rohdaten'!A890)</f>
        <v/>
      </c>
      <c r="C890" s="17" t="str">
        <f>IF(B890="","",INDEX('01_Rohdaten'!B890:D890,'02_Eingaben'!$C$13))</f>
        <v/>
      </c>
      <c r="D890" s="17" t="str">
        <f>IF(C890="","",C890*'02_Eingaben'!$C$15)</f>
        <v/>
      </c>
      <c r="E890" s="17" t="str">
        <f>IF(D890="","",D890*'02_Eingaben'!$C$8)</f>
        <v/>
      </c>
      <c r="F890" s="17" t="str">
        <f>IF(E890="","",AVERAGE(INDEX($E$2:$E$3001,MAX(1,ROW()-1-'02_Eingaben'!$C$17)):INDEX($E$2:$E$3001,MIN('02_Eingaben'!$C$21,ROW()-1+'02_Eingaben'!$C$17))))</f>
        <v/>
      </c>
      <c r="G890" s="17" t="str">
        <f>IF(F890="","",F890-'02_Eingaben'!$C$10)</f>
        <v/>
      </c>
      <c r="H890" t="str">
        <f>IF(F890="","",IF(F890&lt;'02_Eingaben'!$C$18*'02_Eingaben'!$C$10,1,0))</f>
        <v/>
      </c>
      <c r="I890" s="17" t="str">
        <f t="shared" si="13"/>
        <v/>
      </c>
      <c r="J890" s="17" t="str">
        <f>IF(B890="","",IF(B889&lt;'02_Eingaben'!$C$36,0,J889+I889/'02_Eingaben'!$C$8))</f>
        <v/>
      </c>
    </row>
    <row r="891" spans="1:10" x14ac:dyDescent="0.25">
      <c r="A891" t="str">
        <f>IF('01_Rohdaten'!A891="","",ROW()-1)</f>
        <v/>
      </c>
      <c r="B891" s="17" t="str">
        <f>IF('01_Rohdaten'!A891="","",'01_Rohdaten'!A891)</f>
        <v/>
      </c>
      <c r="C891" s="17" t="str">
        <f>IF(B891="","",INDEX('01_Rohdaten'!B891:D891,'02_Eingaben'!$C$13))</f>
        <v/>
      </c>
      <c r="D891" s="17" t="str">
        <f>IF(C891="","",C891*'02_Eingaben'!$C$15)</f>
        <v/>
      </c>
      <c r="E891" s="17" t="str">
        <f>IF(D891="","",D891*'02_Eingaben'!$C$8)</f>
        <v/>
      </c>
      <c r="F891" s="17" t="str">
        <f>IF(E891="","",AVERAGE(INDEX($E$2:$E$3001,MAX(1,ROW()-1-'02_Eingaben'!$C$17)):INDEX($E$2:$E$3001,MIN('02_Eingaben'!$C$21,ROW()-1+'02_Eingaben'!$C$17))))</f>
        <v/>
      </c>
      <c r="G891" s="17" t="str">
        <f>IF(F891="","",F891-'02_Eingaben'!$C$10)</f>
        <v/>
      </c>
      <c r="H891" t="str">
        <f>IF(F891="","",IF(F891&lt;'02_Eingaben'!$C$18*'02_Eingaben'!$C$10,1,0))</f>
        <v/>
      </c>
      <c r="I891" s="17" t="str">
        <f t="shared" si="13"/>
        <v/>
      </c>
      <c r="J891" s="17" t="str">
        <f>IF(B891="","",IF(B890&lt;'02_Eingaben'!$C$36,0,J890+I890/'02_Eingaben'!$C$8))</f>
        <v/>
      </c>
    </row>
    <row r="892" spans="1:10" x14ac:dyDescent="0.25">
      <c r="A892" t="str">
        <f>IF('01_Rohdaten'!A892="","",ROW()-1)</f>
        <v/>
      </c>
      <c r="B892" s="17" t="str">
        <f>IF('01_Rohdaten'!A892="","",'01_Rohdaten'!A892)</f>
        <v/>
      </c>
      <c r="C892" s="17" t="str">
        <f>IF(B892="","",INDEX('01_Rohdaten'!B892:D892,'02_Eingaben'!$C$13))</f>
        <v/>
      </c>
      <c r="D892" s="17" t="str">
        <f>IF(C892="","",C892*'02_Eingaben'!$C$15)</f>
        <v/>
      </c>
      <c r="E892" s="17" t="str">
        <f>IF(D892="","",D892*'02_Eingaben'!$C$8)</f>
        <v/>
      </c>
      <c r="F892" s="17" t="str">
        <f>IF(E892="","",AVERAGE(INDEX($E$2:$E$3001,MAX(1,ROW()-1-'02_Eingaben'!$C$17)):INDEX($E$2:$E$3001,MIN('02_Eingaben'!$C$21,ROW()-1+'02_Eingaben'!$C$17))))</f>
        <v/>
      </c>
      <c r="G892" s="17" t="str">
        <f>IF(F892="","",F892-'02_Eingaben'!$C$10)</f>
        <v/>
      </c>
      <c r="H892" t="str">
        <f>IF(F892="","",IF(F892&lt;'02_Eingaben'!$C$18*'02_Eingaben'!$C$10,1,0))</f>
        <v/>
      </c>
      <c r="I892" s="17" t="str">
        <f t="shared" si="13"/>
        <v/>
      </c>
      <c r="J892" s="17" t="str">
        <f>IF(B892="","",IF(B891&lt;'02_Eingaben'!$C$36,0,J891+I891/'02_Eingaben'!$C$8))</f>
        <v/>
      </c>
    </row>
    <row r="893" spans="1:10" x14ac:dyDescent="0.25">
      <c r="A893" t="str">
        <f>IF('01_Rohdaten'!A893="","",ROW()-1)</f>
        <v/>
      </c>
      <c r="B893" s="17" t="str">
        <f>IF('01_Rohdaten'!A893="","",'01_Rohdaten'!A893)</f>
        <v/>
      </c>
      <c r="C893" s="17" t="str">
        <f>IF(B893="","",INDEX('01_Rohdaten'!B893:D893,'02_Eingaben'!$C$13))</f>
        <v/>
      </c>
      <c r="D893" s="17" t="str">
        <f>IF(C893="","",C893*'02_Eingaben'!$C$15)</f>
        <v/>
      </c>
      <c r="E893" s="17" t="str">
        <f>IF(D893="","",D893*'02_Eingaben'!$C$8)</f>
        <v/>
      </c>
      <c r="F893" s="17" t="str">
        <f>IF(E893="","",AVERAGE(INDEX($E$2:$E$3001,MAX(1,ROW()-1-'02_Eingaben'!$C$17)):INDEX($E$2:$E$3001,MIN('02_Eingaben'!$C$21,ROW()-1+'02_Eingaben'!$C$17))))</f>
        <v/>
      </c>
      <c r="G893" s="17" t="str">
        <f>IF(F893="","",F893-'02_Eingaben'!$C$10)</f>
        <v/>
      </c>
      <c r="H893" t="str">
        <f>IF(F893="","",IF(F893&lt;'02_Eingaben'!$C$18*'02_Eingaben'!$C$10,1,0))</f>
        <v/>
      </c>
      <c r="I893" s="17" t="str">
        <f t="shared" si="13"/>
        <v/>
      </c>
      <c r="J893" s="17" t="str">
        <f>IF(B893="","",IF(B892&lt;'02_Eingaben'!$C$36,0,J892+I892/'02_Eingaben'!$C$8))</f>
        <v/>
      </c>
    </row>
    <row r="894" spans="1:10" x14ac:dyDescent="0.25">
      <c r="A894" t="str">
        <f>IF('01_Rohdaten'!A894="","",ROW()-1)</f>
        <v/>
      </c>
      <c r="B894" s="17" t="str">
        <f>IF('01_Rohdaten'!A894="","",'01_Rohdaten'!A894)</f>
        <v/>
      </c>
      <c r="C894" s="17" t="str">
        <f>IF(B894="","",INDEX('01_Rohdaten'!B894:D894,'02_Eingaben'!$C$13))</f>
        <v/>
      </c>
      <c r="D894" s="17" t="str">
        <f>IF(C894="","",C894*'02_Eingaben'!$C$15)</f>
        <v/>
      </c>
      <c r="E894" s="17" t="str">
        <f>IF(D894="","",D894*'02_Eingaben'!$C$8)</f>
        <v/>
      </c>
      <c r="F894" s="17" t="str">
        <f>IF(E894="","",AVERAGE(INDEX($E$2:$E$3001,MAX(1,ROW()-1-'02_Eingaben'!$C$17)):INDEX($E$2:$E$3001,MIN('02_Eingaben'!$C$21,ROW()-1+'02_Eingaben'!$C$17))))</f>
        <v/>
      </c>
      <c r="G894" s="17" t="str">
        <f>IF(F894="","",F894-'02_Eingaben'!$C$10)</f>
        <v/>
      </c>
      <c r="H894" t="str">
        <f>IF(F894="","",IF(F894&lt;'02_Eingaben'!$C$18*'02_Eingaben'!$C$10,1,0))</f>
        <v/>
      </c>
      <c r="I894" s="17" t="str">
        <f t="shared" si="13"/>
        <v/>
      </c>
      <c r="J894" s="17" t="str">
        <f>IF(B894="","",IF(B893&lt;'02_Eingaben'!$C$36,0,J893+I893/'02_Eingaben'!$C$8))</f>
        <v/>
      </c>
    </row>
    <row r="895" spans="1:10" x14ac:dyDescent="0.25">
      <c r="A895" t="str">
        <f>IF('01_Rohdaten'!A895="","",ROW()-1)</f>
        <v/>
      </c>
      <c r="B895" s="17" t="str">
        <f>IF('01_Rohdaten'!A895="","",'01_Rohdaten'!A895)</f>
        <v/>
      </c>
      <c r="C895" s="17" t="str">
        <f>IF(B895="","",INDEX('01_Rohdaten'!B895:D895,'02_Eingaben'!$C$13))</f>
        <v/>
      </c>
      <c r="D895" s="17" t="str">
        <f>IF(C895="","",C895*'02_Eingaben'!$C$15)</f>
        <v/>
      </c>
      <c r="E895" s="17" t="str">
        <f>IF(D895="","",D895*'02_Eingaben'!$C$8)</f>
        <v/>
      </c>
      <c r="F895" s="17" t="str">
        <f>IF(E895="","",AVERAGE(INDEX($E$2:$E$3001,MAX(1,ROW()-1-'02_Eingaben'!$C$17)):INDEX($E$2:$E$3001,MIN('02_Eingaben'!$C$21,ROW()-1+'02_Eingaben'!$C$17))))</f>
        <v/>
      </c>
      <c r="G895" s="17" t="str">
        <f>IF(F895="","",F895-'02_Eingaben'!$C$10)</f>
        <v/>
      </c>
      <c r="H895" t="str">
        <f>IF(F895="","",IF(F895&lt;'02_Eingaben'!$C$18*'02_Eingaben'!$C$10,1,0))</f>
        <v/>
      </c>
      <c r="I895" s="17" t="str">
        <f t="shared" si="13"/>
        <v/>
      </c>
      <c r="J895" s="17" t="str">
        <f>IF(B895="","",IF(B894&lt;'02_Eingaben'!$C$36,0,J894+I894/'02_Eingaben'!$C$8))</f>
        <v/>
      </c>
    </row>
    <row r="896" spans="1:10" x14ac:dyDescent="0.25">
      <c r="A896" t="str">
        <f>IF('01_Rohdaten'!A896="","",ROW()-1)</f>
        <v/>
      </c>
      <c r="B896" s="17" t="str">
        <f>IF('01_Rohdaten'!A896="","",'01_Rohdaten'!A896)</f>
        <v/>
      </c>
      <c r="C896" s="17" t="str">
        <f>IF(B896="","",INDEX('01_Rohdaten'!B896:D896,'02_Eingaben'!$C$13))</f>
        <v/>
      </c>
      <c r="D896" s="17" t="str">
        <f>IF(C896="","",C896*'02_Eingaben'!$C$15)</f>
        <v/>
      </c>
      <c r="E896" s="17" t="str">
        <f>IF(D896="","",D896*'02_Eingaben'!$C$8)</f>
        <v/>
      </c>
      <c r="F896" s="17" t="str">
        <f>IF(E896="","",AVERAGE(INDEX($E$2:$E$3001,MAX(1,ROW()-1-'02_Eingaben'!$C$17)):INDEX($E$2:$E$3001,MIN('02_Eingaben'!$C$21,ROW()-1+'02_Eingaben'!$C$17))))</f>
        <v/>
      </c>
      <c r="G896" s="17" t="str">
        <f>IF(F896="","",F896-'02_Eingaben'!$C$10)</f>
        <v/>
      </c>
      <c r="H896" t="str">
        <f>IF(F896="","",IF(F896&lt;'02_Eingaben'!$C$18*'02_Eingaben'!$C$10,1,0))</f>
        <v/>
      </c>
      <c r="I896" s="17" t="str">
        <f t="shared" si="13"/>
        <v/>
      </c>
      <c r="J896" s="17" t="str">
        <f>IF(B896="","",IF(B895&lt;'02_Eingaben'!$C$36,0,J895+I895/'02_Eingaben'!$C$8))</f>
        <v/>
      </c>
    </row>
    <row r="897" spans="1:10" x14ac:dyDescent="0.25">
      <c r="A897" t="str">
        <f>IF('01_Rohdaten'!A897="","",ROW()-1)</f>
        <v/>
      </c>
      <c r="B897" s="17" t="str">
        <f>IF('01_Rohdaten'!A897="","",'01_Rohdaten'!A897)</f>
        <v/>
      </c>
      <c r="C897" s="17" t="str">
        <f>IF(B897="","",INDEX('01_Rohdaten'!B897:D897,'02_Eingaben'!$C$13))</f>
        <v/>
      </c>
      <c r="D897" s="17" t="str">
        <f>IF(C897="","",C897*'02_Eingaben'!$C$15)</f>
        <v/>
      </c>
      <c r="E897" s="17" t="str">
        <f>IF(D897="","",D897*'02_Eingaben'!$C$8)</f>
        <v/>
      </c>
      <c r="F897" s="17" t="str">
        <f>IF(E897="","",AVERAGE(INDEX($E$2:$E$3001,MAX(1,ROW()-1-'02_Eingaben'!$C$17)):INDEX($E$2:$E$3001,MIN('02_Eingaben'!$C$21,ROW()-1+'02_Eingaben'!$C$17))))</f>
        <v/>
      </c>
      <c r="G897" s="17" t="str">
        <f>IF(F897="","",F897-'02_Eingaben'!$C$10)</f>
        <v/>
      </c>
      <c r="H897" t="str">
        <f>IF(F897="","",IF(F897&lt;'02_Eingaben'!$C$18*'02_Eingaben'!$C$10,1,0))</f>
        <v/>
      </c>
      <c r="I897" s="17" t="str">
        <f t="shared" si="13"/>
        <v/>
      </c>
      <c r="J897" s="17" t="str">
        <f>IF(B897="","",IF(B896&lt;'02_Eingaben'!$C$36,0,J896+I896/'02_Eingaben'!$C$8))</f>
        <v/>
      </c>
    </row>
    <row r="898" spans="1:10" x14ac:dyDescent="0.25">
      <c r="A898" t="str">
        <f>IF('01_Rohdaten'!A898="","",ROW()-1)</f>
        <v/>
      </c>
      <c r="B898" s="17" t="str">
        <f>IF('01_Rohdaten'!A898="","",'01_Rohdaten'!A898)</f>
        <v/>
      </c>
      <c r="C898" s="17" t="str">
        <f>IF(B898="","",INDEX('01_Rohdaten'!B898:D898,'02_Eingaben'!$C$13))</f>
        <v/>
      </c>
      <c r="D898" s="17" t="str">
        <f>IF(C898="","",C898*'02_Eingaben'!$C$15)</f>
        <v/>
      </c>
      <c r="E898" s="17" t="str">
        <f>IF(D898="","",D898*'02_Eingaben'!$C$8)</f>
        <v/>
      </c>
      <c r="F898" s="17" t="str">
        <f>IF(E898="","",AVERAGE(INDEX($E$2:$E$3001,MAX(1,ROW()-1-'02_Eingaben'!$C$17)):INDEX($E$2:$E$3001,MIN('02_Eingaben'!$C$21,ROW()-1+'02_Eingaben'!$C$17))))</f>
        <v/>
      </c>
      <c r="G898" s="17" t="str">
        <f>IF(F898="","",F898-'02_Eingaben'!$C$10)</f>
        <v/>
      </c>
      <c r="H898" t="str">
        <f>IF(F898="","",IF(F898&lt;'02_Eingaben'!$C$18*'02_Eingaben'!$C$10,1,0))</f>
        <v/>
      </c>
      <c r="I898" s="17" t="str">
        <f t="shared" ref="I898:I961" si="14">IF(OR(G898="",G899=""),"",(G898+G899)/2*(B899-B898))</f>
        <v/>
      </c>
      <c r="J898" s="17" t="str">
        <f>IF(B898="","",IF(B897&lt;'02_Eingaben'!$C$36,0,J897+I897/'02_Eingaben'!$C$8))</f>
        <v/>
      </c>
    </row>
    <row r="899" spans="1:10" x14ac:dyDescent="0.25">
      <c r="A899" t="str">
        <f>IF('01_Rohdaten'!A899="","",ROW()-1)</f>
        <v/>
      </c>
      <c r="B899" s="17" t="str">
        <f>IF('01_Rohdaten'!A899="","",'01_Rohdaten'!A899)</f>
        <v/>
      </c>
      <c r="C899" s="17" t="str">
        <f>IF(B899="","",INDEX('01_Rohdaten'!B899:D899,'02_Eingaben'!$C$13))</f>
        <v/>
      </c>
      <c r="D899" s="17" t="str">
        <f>IF(C899="","",C899*'02_Eingaben'!$C$15)</f>
        <v/>
      </c>
      <c r="E899" s="17" t="str">
        <f>IF(D899="","",D899*'02_Eingaben'!$C$8)</f>
        <v/>
      </c>
      <c r="F899" s="17" t="str">
        <f>IF(E899="","",AVERAGE(INDEX($E$2:$E$3001,MAX(1,ROW()-1-'02_Eingaben'!$C$17)):INDEX($E$2:$E$3001,MIN('02_Eingaben'!$C$21,ROW()-1+'02_Eingaben'!$C$17))))</f>
        <v/>
      </c>
      <c r="G899" s="17" t="str">
        <f>IF(F899="","",F899-'02_Eingaben'!$C$10)</f>
        <v/>
      </c>
      <c r="H899" t="str">
        <f>IF(F899="","",IF(F899&lt;'02_Eingaben'!$C$18*'02_Eingaben'!$C$10,1,0))</f>
        <v/>
      </c>
      <c r="I899" s="17" t="str">
        <f t="shared" si="14"/>
        <v/>
      </c>
      <c r="J899" s="17" t="str">
        <f>IF(B899="","",IF(B898&lt;'02_Eingaben'!$C$36,0,J898+I898/'02_Eingaben'!$C$8))</f>
        <v/>
      </c>
    </row>
    <row r="900" spans="1:10" x14ac:dyDescent="0.25">
      <c r="A900" t="str">
        <f>IF('01_Rohdaten'!A900="","",ROW()-1)</f>
        <v/>
      </c>
      <c r="B900" s="17" t="str">
        <f>IF('01_Rohdaten'!A900="","",'01_Rohdaten'!A900)</f>
        <v/>
      </c>
      <c r="C900" s="17" t="str">
        <f>IF(B900="","",INDEX('01_Rohdaten'!B900:D900,'02_Eingaben'!$C$13))</f>
        <v/>
      </c>
      <c r="D900" s="17" t="str">
        <f>IF(C900="","",C900*'02_Eingaben'!$C$15)</f>
        <v/>
      </c>
      <c r="E900" s="17" t="str">
        <f>IF(D900="","",D900*'02_Eingaben'!$C$8)</f>
        <v/>
      </c>
      <c r="F900" s="17" t="str">
        <f>IF(E900="","",AVERAGE(INDEX($E$2:$E$3001,MAX(1,ROW()-1-'02_Eingaben'!$C$17)):INDEX($E$2:$E$3001,MIN('02_Eingaben'!$C$21,ROW()-1+'02_Eingaben'!$C$17))))</f>
        <v/>
      </c>
      <c r="G900" s="17" t="str">
        <f>IF(F900="","",F900-'02_Eingaben'!$C$10)</f>
        <v/>
      </c>
      <c r="H900" t="str">
        <f>IF(F900="","",IF(F900&lt;'02_Eingaben'!$C$18*'02_Eingaben'!$C$10,1,0))</f>
        <v/>
      </c>
      <c r="I900" s="17" t="str">
        <f t="shared" si="14"/>
        <v/>
      </c>
      <c r="J900" s="17" t="str">
        <f>IF(B900="","",IF(B899&lt;'02_Eingaben'!$C$36,0,J899+I899/'02_Eingaben'!$C$8))</f>
        <v/>
      </c>
    </row>
    <row r="901" spans="1:10" x14ac:dyDescent="0.25">
      <c r="A901" t="str">
        <f>IF('01_Rohdaten'!A901="","",ROW()-1)</f>
        <v/>
      </c>
      <c r="B901" s="17" t="str">
        <f>IF('01_Rohdaten'!A901="","",'01_Rohdaten'!A901)</f>
        <v/>
      </c>
      <c r="C901" s="17" t="str">
        <f>IF(B901="","",INDEX('01_Rohdaten'!B901:D901,'02_Eingaben'!$C$13))</f>
        <v/>
      </c>
      <c r="D901" s="17" t="str">
        <f>IF(C901="","",C901*'02_Eingaben'!$C$15)</f>
        <v/>
      </c>
      <c r="E901" s="17" t="str">
        <f>IF(D901="","",D901*'02_Eingaben'!$C$8)</f>
        <v/>
      </c>
      <c r="F901" s="17" t="str">
        <f>IF(E901="","",AVERAGE(INDEX($E$2:$E$3001,MAX(1,ROW()-1-'02_Eingaben'!$C$17)):INDEX($E$2:$E$3001,MIN('02_Eingaben'!$C$21,ROW()-1+'02_Eingaben'!$C$17))))</f>
        <v/>
      </c>
      <c r="G901" s="17" t="str">
        <f>IF(F901="","",F901-'02_Eingaben'!$C$10)</f>
        <v/>
      </c>
      <c r="H901" t="str">
        <f>IF(F901="","",IF(F901&lt;'02_Eingaben'!$C$18*'02_Eingaben'!$C$10,1,0))</f>
        <v/>
      </c>
      <c r="I901" s="17" t="str">
        <f t="shared" si="14"/>
        <v/>
      </c>
      <c r="J901" s="17" t="str">
        <f>IF(B901="","",IF(B900&lt;'02_Eingaben'!$C$36,0,J900+I900/'02_Eingaben'!$C$8))</f>
        <v/>
      </c>
    </row>
    <row r="902" spans="1:10" x14ac:dyDescent="0.25">
      <c r="A902" t="str">
        <f>IF('01_Rohdaten'!A902="","",ROW()-1)</f>
        <v/>
      </c>
      <c r="B902" s="17" t="str">
        <f>IF('01_Rohdaten'!A902="","",'01_Rohdaten'!A902)</f>
        <v/>
      </c>
      <c r="C902" s="17" t="str">
        <f>IF(B902="","",INDEX('01_Rohdaten'!B902:D902,'02_Eingaben'!$C$13))</f>
        <v/>
      </c>
      <c r="D902" s="17" t="str">
        <f>IF(C902="","",C902*'02_Eingaben'!$C$15)</f>
        <v/>
      </c>
      <c r="E902" s="17" t="str">
        <f>IF(D902="","",D902*'02_Eingaben'!$C$8)</f>
        <v/>
      </c>
      <c r="F902" s="17" t="str">
        <f>IF(E902="","",AVERAGE(INDEX($E$2:$E$3001,MAX(1,ROW()-1-'02_Eingaben'!$C$17)):INDEX($E$2:$E$3001,MIN('02_Eingaben'!$C$21,ROW()-1+'02_Eingaben'!$C$17))))</f>
        <v/>
      </c>
      <c r="G902" s="17" t="str">
        <f>IF(F902="","",F902-'02_Eingaben'!$C$10)</f>
        <v/>
      </c>
      <c r="H902" t="str">
        <f>IF(F902="","",IF(F902&lt;'02_Eingaben'!$C$18*'02_Eingaben'!$C$10,1,0))</f>
        <v/>
      </c>
      <c r="I902" s="17" t="str">
        <f t="shared" si="14"/>
        <v/>
      </c>
      <c r="J902" s="17" t="str">
        <f>IF(B902="","",IF(B901&lt;'02_Eingaben'!$C$36,0,J901+I901/'02_Eingaben'!$C$8))</f>
        <v/>
      </c>
    </row>
    <row r="903" spans="1:10" x14ac:dyDescent="0.25">
      <c r="A903" t="str">
        <f>IF('01_Rohdaten'!A903="","",ROW()-1)</f>
        <v/>
      </c>
      <c r="B903" s="17" t="str">
        <f>IF('01_Rohdaten'!A903="","",'01_Rohdaten'!A903)</f>
        <v/>
      </c>
      <c r="C903" s="17" t="str">
        <f>IF(B903="","",INDEX('01_Rohdaten'!B903:D903,'02_Eingaben'!$C$13))</f>
        <v/>
      </c>
      <c r="D903" s="17" t="str">
        <f>IF(C903="","",C903*'02_Eingaben'!$C$15)</f>
        <v/>
      </c>
      <c r="E903" s="17" t="str">
        <f>IF(D903="","",D903*'02_Eingaben'!$C$8)</f>
        <v/>
      </c>
      <c r="F903" s="17" t="str">
        <f>IF(E903="","",AVERAGE(INDEX($E$2:$E$3001,MAX(1,ROW()-1-'02_Eingaben'!$C$17)):INDEX($E$2:$E$3001,MIN('02_Eingaben'!$C$21,ROW()-1+'02_Eingaben'!$C$17))))</f>
        <v/>
      </c>
      <c r="G903" s="17" t="str">
        <f>IF(F903="","",F903-'02_Eingaben'!$C$10)</f>
        <v/>
      </c>
      <c r="H903" t="str">
        <f>IF(F903="","",IF(F903&lt;'02_Eingaben'!$C$18*'02_Eingaben'!$C$10,1,0))</f>
        <v/>
      </c>
      <c r="I903" s="17" t="str">
        <f t="shared" si="14"/>
        <v/>
      </c>
      <c r="J903" s="17" t="str">
        <f>IF(B903="","",IF(B902&lt;'02_Eingaben'!$C$36,0,J902+I902/'02_Eingaben'!$C$8))</f>
        <v/>
      </c>
    </row>
    <row r="904" spans="1:10" x14ac:dyDescent="0.25">
      <c r="A904" t="str">
        <f>IF('01_Rohdaten'!A904="","",ROW()-1)</f>
        <v/>
      </c>
      <c r="B904" s="17" t="str">
        <f>IF('01_Rohdaten'!A904="","",'01_Rohdaten'!A904)</f>
        <v/>
      </c>
      <c r="C904" s="17" t="str">
        <f>IF(B904="","",INDEX('01_Rohdaten'!B904:D904,'02_Eingaben'!$C$13))</f>
        <v/>
      </c>
      <c r="D904" s="17" t="str">
        <f>IF(C904="","",C904*'02_Eingaben'!$C$15)</f>
        <v/>
      </c>
      <c r="E904" s="17" t="str">
        <f>IF(D904="","",D904*'02_Eingaben'!$C$8)</f>
        <v/>
      </c>
      <c r="F904" s="17" t="str">
        <f>IF(E904="","",AVERAGE(INDEX($E$2:$E$3001,MAX(1,ROW()-1-'02_Eingaben'!$C$17)):INDEX($E$2:$E$3001,MIN('02_Eingaben'!$C$21,ROW()-1+'02_Eingaben'!$C$17))))</f>
        <v/>
      </c>
      <c r="G904" s="17" t="str">
        <f>IF(F904="","",F904-'02_Eingaben'!$C$10)</f>
        <v/>
      </c>
      <c r="H904" t="str">
        <f>IF(F904="","",IF(F904&lt;'02_Eingaben'!$C$18*'02_Eingaben'!$C$10,1,0))</f>
        <v/>
      </c>
      <c r="I904" s="17" t="str">
        <f t="shared" si="14"/>
        <v/>
      </c>
      <c r="J904" s="17" t="str">
        <f>IF(B904="","",IF(B903&lt;'02_Eingaben'!$C$36,0,J903+I903/'02_Eingaben'!$C$8))</f>
        <v/>
      </c>
    </row>
    <row r="905" spans="1:10" x14ac:dyDescent="0.25">
      <c r="A905" t="str">
        <f>IF('01_Rohdaten'!A905="","",ROW()-1)</f>
        <v/>
      </c>
      <c r="B905" s="17" t="str">
        <f>IF('01_Rohdaten'!A905="","",'01_Rohdaten'!A905)</f>
        <v/>
      </c>
      <c r="C905" s="17" t="str">
        <f>IF(B905="","",INDEX('01_Rohdaten'!B905:D905,'02_Eingaben'!$C$13))</f>
        <v/>
      </c>
      <c r="D905" s="17" t="str">
        <f>IF(C905="","",C905*'02_Eingaben'!$C$15)</f>
        <v/>
      </c>
      <c r="E905" s="17" t="str">
        <f>IF(D905="","",D905*'02_Eingaben'!$C$8)</f>
        <v/>
      </c>
      <c r="F905" s="17" t="str">
        <f>IF(E905="","",AVERAGE(INDEX($E$2:$E$3001,MAX(1,ROW()-1-'02_Eingaben'!$C$17)):INDEX($E$2:$E$3001,MIN('02_Eingaben'!$C$21,ROW()-1+'02_Eingaben'!$C$17))))</f>
        <v/>
      </c>
      <c r="G905" s="17" t="str">
        <f>IF(F905="","",F905-'02_Eingaben'!$C$10)</f>
        <v/>
      </c>
      <c r="H905" t="str">
        <f>IF(F905="","",IF(F905&lt;'02_Eingaben'!$C$18*'02_Eingaben'!$C$10,1,0))</f>
        <v/>
      </c>
      <c r="I905" s="17" t="str">
        <f t="shared" si="14"/>
        <v/>
      </c>
      <c r="J905" s="17" t="str">
        <f>IF(B905="","",IF(B904&lt;'02_Eingaben'!$C$36,0,J904+I904/'02_Eingaben'!$C$8))</f>
        <v/>
      </c>
    </row>
    <row r="906" spans="1:10" x14ac:dyDescent="0.25">
      <c r="A906" t="str">
        <f>IF('01_Rohdaten'!A906="","",ROW()-1)</f>
        <v/>
      </c>
      <c r="B906" s="17" t="str">
        <f>IF('01_Rohdaten'!A906="","",'01_Rohdaten'!A906)</f>
        <v/>
      </c>
      <c r="C906" s="17" t="str">
        <f>IF(B906="","",INDEX('01_Rohdaten'!B906:D906,'02_Eingaben'!$C$13))</f>
        <v/>
      </c>
      <c r="D906" s="17" t="str">
        <f>IF(C906="","",C906*'02_Eingaben'!$C$15)</f>
        <v/>
      </c>
      <c r="E906" s="17" t="str">
        <f>IF(D906="","",D906*'02_Eingaben'!$C$8)</f>
        <v/>
      </c>
      <c r="F906" s="17" t="str">
        <f>IF(E906="","",AVERAGE(INDEX($E$2:$E$3001,MAX(1,ROW()-1-'02_Eingaben'!$C$17)):INDEX($E$2:$E$3001,MIN('02_Eingaben'!$C$21,ROW()-1+'02_Eingaben'!$C$17))))</f>
        <v/>
      </c>
      <c r="G906" s="17" t="str">
        <f>IF(F906="","",F906-'02_Eingaben'!$C$10)</f>
        <v/>
      </c>
      <c r="H906" t="str">
        <f>IF(F906="","",IF(F906&lt;'02_Eingaben'!$C$18*'02_Eingaben'!$C$10,1,0))</f>
        <v/>
      </c>
      <c r="I906" s="17" t="str">
        <f t="shared" si="14"/>
        <v/>
      </c>
      <c r="J906" s="17" t="str">
        <f>IF(B906="","",IF(B905&lt;'02_Eingaben'!$C$36,0,J905+I905/'02_Eingaben'!$C$8))</f>
        <v/>
      </c>
    </row>
    <row r="907" spans="1:10" x14ac:dyDescent="0.25">
      <c r="A907" t="str">
        <f>IF('01_Rohdaten'!A907="","",ROW()-1)</f>
        <v/>
      </c>
      <c r="B907" s="17" t="str">
        <f>IF('01_Rohdaten'!A907="","",'01_Rohdaten'!A907)</f>
        <v/>
      </c>
      <c r="C907" s="17" t="str">
        <f>IF(B907="","",INDEX('01_Rohdaten'!B907:D907,'02_Eingaben'!$C$13))</f>
        <v/>
      </c>
      <c r="D907" s="17" t="str">
        <f>IF(C907="","",C907*'02_Eingaben'!$C$15)</f>
        <v/>
      </c>
      <c r="E907" s="17" t="str">
        <f>IF(D907="","",D907*'02_Eingaben'!$C$8)</f>
        <v/>
      </c>
      <c r="F907" s="17" t="str">
        <f>IF(E907="","",AVERAGE(INDEX($E$2:$E$3001,MAX(1,ROW()-1-'02_Eingaben'!$C$17)):INDEX($E$2:$E$3001,MIN('02_Eingaben'!$C$21,ROW()-1+'02_Eingaben'!$C$17))))</f>
        <v/>
      </c>
      <c r="G907" s="17" t="str">
        <f>IF(F907="","",F907-'02_Eingaben'!$C$10)</f>
        <v/>
      </c>
      <c r="H907" t="str">
        <f>IF(F907="","",IF(F907&lt;'02_Eingaben'!$C$18*'02_Eingaben'!$C$10,1,0))</f>
        <v/>
      </c>
      <c r="I907" s="17" t="str">
        <f t="shared" si="14"/>
        <v/>
      </c>
      <c r="J907" s="17" t="str">
        <f>IF(B907="","",IF(B906&lt;'02_Eingaben'!$C$36,0,J906+I906/'02_Eingaben'!$C$8))</f>
        <v/>
      </c>
    </row>
    <row r="908" spans="1:10" x14ac:dyDescent="0.25">
      <c r="A908" t="str">
        <f>IF('01_Rohdaten'!A908="","",ROW()-1)</f>
        <v/>
      </c>
      <c r="B908" s="17" t="str">
        <f>IF('01_Rohdaten'!A908="","",'01_Rohdaten'!A908)</f>
        <v/>
      </c>
      <c r="C908" s="17" t="str">
        <f>IF(B908="","",INDEX('01_Rohdaten'!B908:D908,'02_Eingaben'!$C$13))</f>
        <v/>
      </c>
      <c r="D908" s="17" t="str">
        <f>IF(C908="","",C908*'02_Eingaben'!$C$15)</f>
        <v/>
      </c>
      <c r="E908" s="17" t="str">
        <f>IF(D908="","",D908*'02_Eingaben'!$C$8)</f>
        <v/>
      </c>
      <c r="F908" s="17" t="str">
        <f>IF(E908="","",AVERAGE(INDEX($E$2:$E$3001,MAX(1,ROW()-1-'02_Eingaben'!$C$17)):INDEX($E$2:$E$3001,MIN('02_Eingaben'!$C$21,ROW()-1+'02_Eingaben'!$C$17))))</f>
        <v/>
      </c>
      <c r="G908" s="17" t="str">
        <f>IF(F908="","",F908-'02_Eingaben'!$C$10)</f>
        <v/>
      </c>
      <c r="H908" t="str">
        <f>IF(F908="","",IF(F908&lt;'02_Eingaben'!$C$18*'02_Eingaben'!$C$10,1,0))</f>
        <v/>
      </c>
      <c r="I908" s="17" t="str">
        <f t="shared" si="14"/>
        <v/>
      </c>
      <c r="J908" s="17" t="str">
        <f>IF(B908="","",IF(B907&lt;'02_Eingaben'!$C$36,0,J907+I907/'02_Eingaben'!$C$8))</f>
        <v/>
      </c>
    </row>
    <row r="909" spans="1:10" x14ac:dyDescent="0.25">
      <c r="A909" t="str">
        <f>IF('01_Rohdaten'!A909="","",ROW()-1)</f>
        <v/>
      </c>
      <c r="B909" s="17" t="str">
        <f>IF('01_Rohdaten'!A909="","",'01_Rohdaten'!A909)</f>
        <v/>
      </c>
      <c r="C909" s="17" t="str">
        <f>IF(B909="","",INDEX('01_Rohdaten'!B909:D909,'02_Eingaben'!$C$13))</f>
        <v/>
      </c>
      <c r="D909" s="17" t="str">
        <f>IF(C909="","",C909*'02_Eingaben'!$C$15)</f>
        <v/>
      </c>
      <c r="E909" s="17" t="str">
        <f>IF(D909="","",D909*'02_Eingaben'!$C$8)</f>
        <v/>
      </c>
      <c r="F909" s="17" t="str">
        <f>IF(E909="","",AVERAGE(INDEX($E$2:$E$3001,MAX(1,ROW()-1-'02_Eingaben'!$C$17)):INDEX($E$2:$E$3001,MIN('02_Eingaben'!$C$21,ROW()-1+'02_Eingaben'!$C$17))))</f>
        <v/>
      </c>
      <c r="G909" s="17" t="str">
        <f>IF(F909="","",F909-'02_Eingaben'!$C$10)</f>
        <v/>
      </c>
      <c r="H909" t="str">
        <f>IF(F909="","",IF(F909&lt;'02_Eingaben'!$C$18*'02_Eingaben'!$C$10,1,0))</f>
        <v/>
      </c>
      <c r="I909" s="17" t="str">
        <f t="shared" si="14"/>
        <v/>
      </c>
      <c r="J909" s="17" t="str">
        <f>IF(B909="","",IF(B908&lt;'02_Eingaben'!$C$36,0,J908+I908/'02_Eingaben'!$C$8))</f>
        <v/>
      </c>
    </row>
    <row r="910" spans="1:10" x14ac:dyDescent="0.25">
      <c r="A910" t="str">
        <f>IF('01_Rohdaten'!A910="","",ROW()-1)</f>
        <v/>
      </c>
      <c r="B910" s="17" t="str">
        <f>IF('01_Rohdaten'!A910="","",'01_Rohdaten'!A910)</f>
        <v/>
      </c>
      <c r="C910" s="17" t="str">
        <f>IF(B910="","",INDEX('01_Rohdaten'!B910:D910,'02_Eingaben'!$C$13))</f>
        <v/>
      </c>
      <c r="D910" s="17" t="str">
        <f>IF(C910="","",C910*'02_Eingaben'!$C$15)</f>
        <v/>
      </c>
      <c r="E910" s="17" t="str">
        <f>IF(D910="","",D910*'02_Eingaben'!$C$8)</f>
        <v/>
      </c>
      <c r="F910" s="17" t="str">
        <f>IF(E910="","",AVERAGE(INDEX($E$2:$E$3001,MAX(1,ROW()-1-'02_Eingaben'!$C$17)):INDEX($E$2:$E$3001,MIN('02_Eingaben'!$C$21,ROW()-1+'02_Eingaben'!$C$17))))</f>
        <v/>
      </c>
      <c r="G910" s="17" t="str">
        <f>IF(F910="","",F910-'02_Eingaben'!$C$10)</f>
        <v/>
      </c>
      <c r="H910" t="str">
        <f>IF(F910="","",IF(F910&lt;'02_Eingaben'!$C$18*'02_Eingaben'!$C$10,1,0))</f>
        <v/>
      </c>
      <c r="I910" s="17" t="str">
        <f t="shared" si="14"/>
        <v/>
      </c>
      <c r="J910" s="17" t="str">
        <f>IF(B910="","",IF(B909&lt;'02_Eingaben'!$C$36,0,J909+I909/'02_Eingaben'!$C$8))</f>
        <v/>
      </c>
    </row>
    <row r="911" spans="1:10" x14ac:dyDescent="0.25">
      <c r="A911" t="str">
        <f>IF('01_Rohdaten'!A911="","",ROW()-1)</f>
        <v/>
      </c>
      <c r="B911" s="17" t="str">
        <f>IF('01_Rohdaten'!A911="","",'01_Rohdaten'!A911)</f>
        <v/>
      </c>
      <c r="C911" s="17" t="str">
        <f>IF(B911="","",INDEX('01_Rohdaten'!B911:D911,'02_Eingaben'!$C$13))</f>
        <v/>
      </c>
      <c r="D911" s="17" t="str">
        <f>IF(C911="","",C911*'02_Eingaben'!$C$15)</f>
        <v/>
      </c>
      <c r="E911" s="17" t="str">
        <f>IF(D911="","",D911*'02_Eingaben'!$C$8)</f>
        <v/>
      </c>
      <c r="F911" s="17" t="str">
        <f>IF(E911="","",AVERAGE(INDEX($E$2:$E$3001,MAX(1,ROW()-1-'02_Eingaben'!$C$17)):INDEX($E$2:$E$3001,MIN('02_Eingaben'!$C$21,ROW()-1+'02_Eingaben'!$C$17))))</f>
        <v/>
      </c>
      <c r="G911" s="17" t="str">
        <f>IF(F911="","",F911-'02_Eingaben'!$C$10)</f>
        <v/>
      </c>
      <c r="H911" t="str">
        <f>IF(F911="","",IF(F911&lt;'02_Eingaben'!$C$18*'02_Eingaben'!$C$10,1,0))</f>
        <v/>
      </c>
      <c r="I911" s="17" t="str">
        <f t="shared" si="14"/>
        <v/>
      </c>
      <c r="J911" s="17" t="str">
        <f>IF(B911="","",IF(B910&lt;'02_Eingaben'!$C$36,0,J910+I910/'02_Eingaben'!$C$8))</f>
        <v/>
      </c>
    </row>
    <row r="912" spans="1:10" x14ac:dyDescent="0.25">
      <c r="A912" t="str">
        <f>IF('01_Rohdaten'!A912="","",ROW()-1)</f>
        <v/>
      </c>
      <c r="B912" s="17" t="str">
        <f>IF('01_Rohdaten'!A912="","",'01_Rohdaten'!A912)</f>
        <v/>
      </c>
      <c r="C912" s="17" t="str">
        <f>IF(B912="","",INDEX('01_Rohdaten'!B912:D912,'02_Eingaben'!$C$13))</f>
        <v/>
      </c>
      <c r="D912" s="17" t="str">
        <f>IF(C912="","",C912*'02_Eingaben'!$C$15)</f>
        <v/>
      </c>
      <c r="E912" s="17" t="str">
        <f>IF(D912="","",D912*'02_Eingaben'!$C$8)</f>
        <v/>
      </c>
      <c r="F912" s="17" t="str">
        <f>IF(E912="","",AVERAGE(INDEX($E$2:$E$3001,MAX(1,ROW()-1-'02_Eingaben'!$C$17)):INDEX($E$2:$E$3001,MIN('02_Eingaben'!$C$21,ROW()-1+'02_Eingaben'!$C$17))))</f>
        <v/>
      </c>
      <c r="G912" s="17" t="str">
        <f>IF(F912="","",F912-'02_Eingaben'!$C$10)</f>
        <v/>
      </c>
      <c r="H912" t="str">
        <f>IF(F912="","",IF(F912&lt;'02_Eingaben'!$C$18*'02_Eingaben'!$C$10,1,0))</f>
        <v/>
      </c>
      <c r="I912" s="17" t="str">
        <f t="shared" si="14"/>
        <v/>
      </c>
      <c r="J912" s="17" t="str">
        <f>IF(B912="","",IF(B911&lt;'02_Eingaben'!$C$36,0,J911+I911/'02_Eingaben'!$C$8))</f>
        <v/>
      </c>
    </row>
    <row r="913" spans="1:10" x14ac:dyDescent="0.25">
      <c r="A913" t="str">
        <f>IF('01_Rohdaten'!A913="","",ROW()-1)</f>
        <v/>
      </c>
      <c r="B913" s="17" t="str">
        <f>IF('01_Rohdaten'!A913="","",'01_Rohdaten'!A913)</f>
        <v/>
      </c>
      <c r="C913" s="17" t="str">
        <f>IF(B913="","",INDEX('01_Rohdaten'!B913:D913,'02_Eingaben'!$C$13))</f>
        <v/>
      </c>
      <c r="D913" s="17" t="str">
        <f>IF(C913="","",C913*'02_Eingaben'!$C$15)</f>
        <v/>
      </c>
      <c r="E913" s="17" t="str">
        <f>IF(D913="","",D913*'02_Eingaben'!$C$8)</f>
        <v/>
      </c>
      <c r="F913" s="17" t="str">
        <f>IF(E913="","",AVERAGE(INDEX($E$2:$E$3001,MAX(1,ROW()-1-'02_Eingaben'!$C$17)):INDEX($E$2:$E$3001,MIN('02_Eingaben'!$C$21,ROW()-1+'02_Eingaben'!$C$17))))</f>
        <v/>
      </c>
      <c r="G913" s="17" t="str">
        <f>IF(F913="","",F913-'02_Eingaben'!$C$10)</f>
        <v/>
      </c>
      <c r="H913" t="str">
        <f>IF(F913="","",IF(F913&lt;'02_Eingaben'!$C$18*'02_Eingaben'!$C$10,1,0))</f>
        <v/>
      </c>
      <c r="I913" s="17" t="str">
        <f t="shared" si="14"/>
        <v/>
      </c>
      <c r="J913" s="17" t="str">
        <f>IF(B913="","",IF(B912&lt;'02_Eingaben'!$C$36,0,J912+I912/'02_Eingaben'!$C$8))</f>
        <v/>
      </c>
    </row>
    <row r="914" spans="1:10" x14ac:dyDescent="0.25">
      <c r="A914" t="str">
        <f>IF('01_Rohdaten'!A914="","",ROW()-1)</f>
        <v/>
      </c>
      <c r="B914" s="17" t="str">
        <f>IF('01_Rohdaten'!A914="","",'01_Rohdaten'!A914)</f>
        <v/>
      </c>
      <c r="C914" s="17" t="str">
        <f>IF(B914="","",INDEX('01_Rohdaten'!B914:D914,'02_Eingaben'!$C$13))</f>
        <v/>
      </c>
      <c r="D914" s="17" t="str">
        <f>IF(C914="","",C914*'02_Eingaben'!$C$15)</f>
        <v/>
      </c>
      <c r="E914" s="17" t="str">
        <f>IF(D914="","",D914*'02_Eingaben'!$C$8)</f>
        <v/>
      </c>
      <c r="F914" s="17" t="str">
        <f>IF(E914="","",AVERAGE(INDEX($E$2:$E$3001,MAX(1,ROW()-1-'02_Eingaben'!$C$17)):INDEX($E$2:$E$3001,MIN('02_Eingaben'!$C$21,ROW()-1+'02_Eingaben'!$C$17))))</f>
        <v/>
      </c>
      <c r="G914" s="17" t="str">
        <f>IF(F914="","",F914-'02_Eingaben'!$C$10)</f>
        <v/>
      </c>
      <c r="H914" t="str">
        <f>IF(F914="","",IF(F914&lt;'02_Eingaben'!$C$18*'02_Eingaben'!$C$10,1,0))</f>
        <v/>
      </c>
      <c r="I914" s="17" t="str">
        <f t="shared" si="14"/>
        <v/>
      </c>
      <c r="J914" s="17" t="str">
        <f>IF(B914="","",IF(B913&lt;'02_Eingaben'!$C$36,0,J913+I913/'02_Eingaben'!$C$8))</f>
        <v/>
      </c>
    </row>
    <row r="915" spans="1:10" x14ac:dyDescent="0.25">
      <c r="A915" t="str">
        <f>IF('01_Rohdaten'!A915="","",ROW()-1)</f>
        <v/>
      </c>
      <c r="B915" s="17" t="str">
        <f>IF('01_Rohdaten'!A915="","",'01_Rohdaten'!A915)</f>
        <v/>
      </c>
      <c r="C915" s="17" t="str">
        <f>IF(B915="","",INDEX('01_Rohdaten'!B915:D915,'02_Eingaben'!$C$13))</f>
        <v/>
      </c>
      <c r="D915" s="17" t="str">
        <f>IF(C915="","",C915*'02_Eingaben'!$C$15)</f>
        <v/>
      </c>
      <c r="E915" s="17" t="str">
        <f>IF(D915="","",D915*'02_Eingaben'!$C$8)</f>
        <v/>
      </c>
      <c r="F915" s="17" t="str">
        <f>IF(E915="","",AVERAGE(INDEX($E$2:$E$3001,MAX(1,ROW()-1-'02_Eingaben'!$C$17)):INDEX($E$2:$E$3001,MIN('02_Eingaben'!$C$21,ROW()-1+'02_Eingaben'!$C$17))))</f>
        <v/>
      </c>
      <c r="G915" s="17" t="str">
        <f>IF(F915="","",F915-'02_Eingaben'!$C$10)</f>
        <v/>
      </c>
      <c r="H915" t="str">
        <f>IF(F915="","",IF(F915&lt;'02_Eingaben'!$C$18*'02_Eingaben'!$C$10,1,0))</f>
        <v/>
      </c>
      <c r="I915" s="17" t="str">
        <f t="shared" si="14"/>
        <v/>
      </c>
      <c r="J915" s="17" t="str">
        <f>IF(B915="","",IF(B914&lt;'02_Eingaben'!$C$36,0,J914+I914/'02_Eingaben'!$C$8))</f>
        <v/>
      </c>
    </row>
    <row r="916" spans="1:10" x14ac:dyDescent="0.25">
      <c r="A916" t="str">
        <f>IF('01_Rohdaten'!A916="","",ROW()-1)</f>
        <v/>
      </c>
      <c r="B916" s="17" t="str">
        <f>IF('01_Rohdaten'!A916="","",'01_Rohdaten'!A916)</f>
        <v/>
      </c>
      <c r="C916" s="17" t="str">
        <f>IF(B916="","",INDEX('01_Rohdaten'!B916:D916,'02_Eingaben'!$C$13))</f>
        <v/>
      </c>
      <c r="D916" s="17" t="str">
        <f>IF(C916="","",C916*'02_Eingaben'!$C$15)</f>
        <v/>
      </c>
      <c r="E916" s="17" t="str">
        <f>IF(D916="","",D916*'02_Eingaben'!$C$8)</f>
        <v/>
      </c>
      <c r="F916" s="17" t="str">
        <f>IF(E916="","",AVERAGE(INDEX($E$2:$E$3001,MAX(1,ROW()-1-'02_Eingaben'!$C$17)):INDEX($E$2:$E$3001,MIN('02_Eingaben'!$C$21,ROW()-1+'02_Eingaben'!$C$17))))</f>
        <v/>
      </c>
      <c r="G916" s="17" t="str">
        <f>IF(F916="","",F916-'02_Eingaben'!$C$10)</f>
        <v/>
      </c>
      <c r="H916" t="str">
        <f>IF(F916="","",IF(F916&lt;'02_Eingaben'!$C$18*'02_Eingaben'!$C$10,1,0))</f>
        <v/>
      </c>
      <c r="I916" s="17" t="str">
        <f t="shared" si="14"/>
        <v/>
      </c>
      <c r="J916" s="17" t="str">
        <f>IF(B916="","",IF(B915&lt;'02_Eingaben'!$C$36,0,J915+I915/'02_Eingaben'!$C$8))</f>
        <v/>
      </c>
    </row>
    <row r="917" spans="1:10" x14ac:dyDescent="0.25">
      <c r="A917" t="str">
        <f>IF('01_Rohdaten'!A917="","",ROW()-1)</f>
        <v/>
      </c>
      <c r="B917" s="17" t="str">
        <f>IF('01_Rohdaten'!A917="","",'01_Rohdaten'!A917)</f>
        <v/>
      </c>
      <c r="C917" s="17" t="str">
        <f>IF(B917="","",INDEX('01_Rohdaten'!B917:D917,'02_Eingaben'!$C$13))</f>
        <v/>
      </c>
      <c r="D917" s="17" t="str">
        <f>IF(C917="","",C917*'02_Eingaben'!$C$15)</f>
        <v/>
      </c>
      <c r="E917" s="17" t="str">
        <f>IF(D917="","",D917*'02_Eingaben'!$C$8)</f>
        <v/>
      </c>
      <c r="F917" s="17" t="str">
        <f>IF(E917="","",AVERAGE(INDEX($E$2:$E$3001,MAX(1,ROW()-1-'02_Eingaben'!$C$17)):INDEX($E$2:$E$3001,MIN('02_Eingaben'!$C$21,ROW()-1+'02_Eingaben'!$C$17))))</f>
        <v/>
      </c>
      <c r="G917" s="17" t="str">
        <f>IF(F917="","",F917-'02_Eingaben'!$C$10)</f>
        <v/>
      </c>
      <c r="H917" t="str">
        <f>IF(F917="","",IF(F917&lt;'02_Eingaben'!$C$18*'02_Eingaben'!$C$10,1,0))</f>
        <v/>
      </c>
      <c r="I917" s="17" t="str">
        <f t="shared" si="14"/>
        <v/>
      </c>
      <c r="J917" s="17" t="str">
        <f>IF(B917="","",IF(B916&lt;'02_Eingaben'!$C$36,0,J916+I916/'02_Eingaben'!$C$8))</f>
        <v/>
      </c>
    </row>
    <row r="918" spans="1:10" x14ac:dyDescent="0.25">
      <c r="A918" t="str">
        <f>IF('01_Rohdaten'!A918="","",ROW()-1)</f>
        <v/>
      </c>
      <c r="B918" s="17" t="str">
        <f>IF('01_Rohdaten'!A918="","",'01_Rohdaten'!A918)</f>
        <v/>
      </c>
      <c r="C918" s="17" t="str">
        <f>IF(B918="","",INDEX('01_Rohdaten'!B918:D918,'02_Eingaben'!$C$13))</f>
        <v/>
      </c>
      <c r="D918" s="17" t="str">
        <f>IF(C918="","",C918*'02_Eingaben'!$C$15)</f>
        <v/>
      </c>
      <c r="E918" s="17" t="str">
        <f>IF(D918="","",D918*'02_Eingaben'!$C$8)</f>
        <v/>
      </c>
      <c r="F918" s="17" t="str">
        <f>IF(E918="","",AVERAGE(INDEX($E$2:$E$3001,MAX(1,ROW()-1-'02_Eingaben'!$C$17)):INDEX($E$2:$E$3001,MIN('02_Eingaben'!$C$21,ROW()-1+'02_Eingaben'!$C$17))))</f>
        <v/>
      </c>
      <c r="G918" s="17" t="str">
        <f>IF(F918="","",F918-'02_Eingaben'!$C$10)</f>
        <v/>
      </c>
      <c r="H918" t="str">
        <f>IF(F918="","",IF(F918&lt;'02_Eingaben'!$C$18*'02_Eingaben'!$C$10,1,0))</f>
        <v/>
      </c>
      <c r="I918" s="17" t="str">
        <f t="shared" si="14"/>
        <v/>
      </c>
      <c r="J918" s="17" t="str">
        <f>IF(B918="","",IF(B917&lt;'02_Eingaben'!$C$36,0,J917+I917/'02_Eingaben'!$C$8))</f>
        <v/>
      </c>
    </row>
    <row r="919" spans="1:10" x14ac:dyDescent="0.25">
      <c r="A919" t="str">
        <f>IF('01_Rohdaten'!A919="","",ROW()-1)</f>
        <v/>
      </c>
      <c r="B919" s="17" t="str">
        <f>IF('01_Rohdaten'!A919="","",'01_Rohdaten'!A919)</f>
        <v/>
      </c>
      <c r="C919" s="17" t="str">
        <f>IF(B919="","",INDEX('01_Rohdaten'!B919:D919,'02_Eingaben'!$C$13))</f>
        <v/>
      </c>
      <c r="D919" s="17" t="str">
        <f>IF(C919="","",C919*'02_Eingaben'!$C$15)</f>
        <v/>
      </c>
      <c r="E919" s="17" t="str">
        <f>IF(D919="","",D919*'02_Eingaben'!$C$8)</f>
        <v/>
      </c>
      <c r="F919" s="17" t="str">
        <f>IF(E919="","",AVERAGE(INDEX($E$2:$E$3001,MAX(1,ROW()-1-'02_Eingaben'!$C$17)):INDEX($E$2:$E$3001,MIN('02_Eingaben'!$C$21,ROW()-1+'02_Eingaben'!$C$17))))</f>
        <v/>
      </c>
      <c r="G919" s="17" t="str">
        <f>IF(F919="","",F919-'02_Eingaben'!$C$10)</f>
        <v/>
      </c>
      <c r="H919" t="str">
        <f>IF(F919="","",IF(F919&lt;'02_Eingaben'!$C$18*'02_Eingaben'!$C$10,1,0))</f>
        <v/>
      </c>
      <c r="I919" s="17" t="str">
        <f t="shared" si="14"/>
        <v/>
      </c>
      <c r="J919" s="17" t="str">
        <f>IF(B919="","",IF(B918&lt;'02_Eingaben'!$C$36,0,J918+I918/'02_Eingaben'!$C$8))</f>
        <v/>
      </c>
    </row>
    <row r="920" spans="1:10" x14ac:dyDescent="0.25">
      <c r="A920" t="str">
        <f>IF('01_Rohdaten'!A920="","",ROW()-1)</f>
        <v/>
      </c>
      <c r="B920" s="17" t="str">
        <f>IF('01_Rohdaten'!A920="","",'01_Rohdaten'!A920)</f>
        <v/>
      </c>
      <c r="C920" s="17" t="str">
        <f>IF(B920="","",INDEX('01_Rohdaten'!B920:D920,'02_Eingaben'!$C$13))</f>
        <v/>
      </c>
      <c r="D920" s="17" t="str">
        <f>IF(C920="","",C920*'02_Eingaben'!$C$15)</f>
        <v/>
      </c>
      <c r="E920" s="17" t="str">
        <f>IF(D920="","",D920*'02_Eingaben'!$C$8)</f>
        <v/>
      </c>
      <c r="F920" s="17" t="str">
        <f>IF(E920="","",AVERAGE(INDEX($E$2:$E$3001,MAX(1,ROW()-1-'02_Eingaben'!$C$17)):INDEX($E$2:$E$3001,MIN('02_Eingaben'!$C$21,ROW()-1+'02_Eingaben'!$C$17))))</f>
        <v/>
      </c>
      <c r="G920" s="17" t="str">
        <f>IF(F920="","",F920-'02_Eingaben'!$C$10)</f>
        <v/>
      </c>
      <c r="H920" t="str">
        <f>IF(F920="","",IF(F920&lt;'02_Eingaben'!$C$18*'02_Eingaben'!$C$10,1,0))</f>
        <v/>
      </c>
      <c r="I920" s="17" t="str">
        <f t="shared" si="14"/>
        <v/>
      </c>
      <c r="J920" s="17" t="str">
        <f>IF(B920="","",IF(B919&lt;'02_Eingaben'!$C$36,0,J919+I919/'02_Eingaben'!$C$8))</f>
        <v/>
      </c>
    </row>
    <row r="921" spans="1:10" x14ac:dyDescent="0.25">
      <c r="A921" t="str">
        <f>IF('01_Rohdaten'!A921="","",ROW()-1)</f>
        <v/>
      </c>
      <c r="B921" s="17" t="str">
        <f>IF('01_Rohdaten'!A921="","",'01_Rohdaten'!A921)</f>
        <v/>
      </c>
      <c r="C921" s="17" t="str">
        <f>IF(B921="","",INDEX('01_Rohdaten'!B921:D921,'02_Eingaben'!$C$13))</f>
        <v/>
      </c>
      <c r="D921" s="17" t="str">
        <f>IF(C921="","",C921*'02_Eingaben'!$C$15)</f>
        <v/>
      </c>
      <c r="E921" s="17" t="str">
        <f>IF(D921="","",D921*'02_Eingaben'!$C$8)</f>
        <v/>
      </c>
      <c r="F921" s="17" t="str">
        <f>IF(E921="","",AVERAGE(INDEX($E$2:$E$3001,MAX(1,ROW()-1-'02_Eingaben'!$C$17)):INDEX($E$2:$E$3001,MIN('02_Eingaben'!$C$21,ROW()-1+'02_Eingaben'!$C$17))))</f>
        <v/>
      </c>
      <c r="G921" s="17" t="str">
        <f>IF(F921="","",F921-'02_Eingaben'!$C$10)</f>
        <v/>
      </c>
      <c r="H921" t="str">
        <f>IF(F921="","",IF(F921&lt;'02_Eingaben'!$C$18*'02_Eingaben'!$C$10,1,0))</f>
        <v/>
      </c>
      <c r="I921" s="17" t="str">
        <f t="shared" si="14"/>
        <v/>
      </c>
      <c r="J921" s="17" t="str">
        <f>IF(B921="","",IF(B920&lt;'02_Eingaben'!$C$36,0,J920+I920/'02_Eingaben'!$C$8))</f>
        <v/>
      </c>
    </row>
    <row r="922" spans="1:10" x14ac:dyDescent="0.25">
      <c r="A922" t="str">
        <f>IF('01_Rohdaten'!A922="","",ROW()-1)</f>
        <v/>
      </c>
      <c r="B922" s="17" t="str">
        <f>IF('01_Rohdaten'!A922="","",'01_Rohdaten'!A922)</f>
        <v/>
      </c>
      <c r="C922" s="17" t="str">
        <f>IF(B922="","",INDEX('01_Rohdaten'!B922:D922,'02_Eingaben'!$C$13))</f>
        <v/>
      </c>
      <c r="D922" s="17" t="str">
        <f>IF(C922="","",C922*'02_Eingaben'!$C$15)</f>
        <v/>
      </c>
      <c r="E922" s="17" t="str">
        <f>IF(D922="","",D922*'02_Eingaben'!$C$8)</f>
        <v/>
      </c>
      <c r="F922" s="17" t="str">
        <f>IF(E922="","",AVERAGE(INDEX($E$2:$E$3001,MAX(1,ROW()-1-'02_Eingaben'!$C$17)):INDEX($E$2:$E$3001,MIN('02_Eingaben'!$C$21,ROW()-1+'02_Eingaben'!$C$17))))</f>
        <v/>
      </c>
      <c r="G922" s="17" t="str">
        <f>IF(F922="","",F922-'02_Eingaben'!$C$10)</f>
        <v/>
      </c>
      <c r="H922" t="str">
        <f>IF(F922="","",IF(F922&lt;'02_Eingaben'!$C$18*'02_Eingaben'!$C$10,1,0))</f>
        <v/>
      </c>
      <c r="I922" s="17" t="str">
        <f t="shared" si="14"/>
        <v/>
      </c>
      <c r="J922" s="17" t="str">
        <f>IF(B922="","",IF(B921&lt;'02_Eingaben'!$C$36,0,J921+I921/'02_Eingaben'!$C$8))</f>
        <v/>
      </c>
    </row>
    <row r="923" spans="1:10" x14ac:dyDescent="0.25">
      <c r="A923" t="str">
        <f>IF('01_Rohdaten'!A923="","",ROW()-1)</f>
        <v/>
      </c>
      <c r="B923" s="17" t="str">
        <f>IF('01_Rohdaten'!A923="","",'01_Rohdaten'!A923)</f>
        <v/>
      </c>
      <c r="C923" s="17" t="str">
        <f>IF(B923="","",INDEX('01_Rohdaten'!B923:D923,'02_Eingaben'!$C$13))</f>
        <v/>
      </c>
      <c r="D923" s="17" t="str">
        <f>IF(C923="","",C923*'02_Eingaben'!$C$15)</f>
        <v/>
      </c>
      <c r="E923" s="17" t="str">
        <f>IF(D923="","",D923*'02_Eingaben'!$C$8)</f>
        <v/>
      </c>
      <c r="F923" s="17" t="str">
        <f>IF(E923="","",AVERAGE(INDEX($E$2:$E$3001,MAX(1,ROW()-1-'02_Eingaben'!$C$17)):INDEX($E$2:$E$3001,MIN('02_Eingaben'!$C$21,ROW()-1+'02_Eingaben'!$C$17))))</f>
        <v/>
      </c>
      <c r="G923" s="17" t="str">
        <f>IF(F923="","",F923-'02_Eingaben'!$C$10)</f>
        <v/>
      </c>
      <c r="H923" t="str">
        <f>IF(F923="","",IF(F923&lt;'02_Eingaben'!$C$18*'02_Eingaben'!$C$10,1,0))</f>
        <v/>
      </c>
      <c r="I923" s="17" t="str">
        <f t="shared" si="14"/>
        <v/>
      </c>
      <c r="J923" s="17" t="str">
        <f>IF(B923="","",IF(B922&lt;'02_Eingaben'!$C$36,0,J922+I922/'02_Eingaben'!$C$8))</f>
        <v/>
      </c>
    </row>
    <row r="924" spans="1:10" x14ac:dyDescent="0.25">
      <c r="A924" t="str">
        <f>IF('01_Rohdaten'!A924="","",ROW()-1)</f>
        <v/>
      </c>
      <c r="B924" s="17" t="str">
        <f>IF('01_Rohdaten'!A924="","",'01_Rohdaten'!A924)</f>
        <v/>
      </c>
      <c r="C924" s="17" t="str">
        <f>IF(B924="","",INDEX('01_Rohdaten'!B924:D924,'02_Eingaben'!$C$13))</f>
        <v/>
      </c>
      <c r="D924" s="17" t="str">
        <f>IF(C924="","",C924*'02_Eingaben'!$C$15)</f>
        <v/>
      </c>
      <c r="E924" s="17" t="str">
        <f>IF(D924="","",D924*'02_Eingaben'!$C$8)</f>
        <v/>
      </c>
      <c r="F924" s="17" t="str">
        <f>IF(E924="","",AVERAGE(INDEX($E$2:$E$3001,MAX(1,ROW()-1-'02_Eingaben'!$C$17)):INDEX($E$2:$E$3001,MIN('02_Eingaben'!$C$21,ROW()-1+'02_Eingaben'!$C$17))))</f>
        <v/>
      </c>
      <c r="G924" s="17" t="str">
        <f>IF(F924="","",F924-'02_Eingaben'!$C$10)</f>
        <v/>
      </c>
      <c r="H924" t="str">
        <f>IF(F924="","",IF(F924&lt;'02_Eingaben'!$C$18*'02_Eingaben'!$C$10,1,0))</f>
        <v/>
      </c>
      <c r="I924" s="17" t="str">
        <f t="shared" si="14"/>
        <v/>
      </c>
      <c r="J924" s="17" t="str">
        <f>IF(B924="","",IF(B923&lt;'02_Eingaben'!$C$36,0,J923+I923/'02_Eingaben'!$C$8))</f>
        <v/>
      </c>
    </row>
    <row r="925" spans="1:10" x14ac:dyDescent="0.25">
      <c r="A925" t="str">
        <f>IF('01_Rohdaten'!A925="","",ROW()-1)</f>
        <v/>
      </c>
      <c r="B925" s="17" t="str">
        <f>IF('01_Rohdaten'!A925="","",'01_Rohdaten'!A925)</f>
        <v/>
      </c>
      <c r="C925" s="17" t="str">
        <f>IF(B925="","",INDEX('01_Rohdaten'!B925:D925,'02_Eingaben'!$C$13))</f>
        <v/>
      </c>
      <c r="D925" s="17" t="str">
        <f>IF(C925="","",C925*'02_Eingaben'!$C$15)</f>
        <v/>
      </c>
      <c r="E925" s="17" t="str">
        <f>IF(D925="","",D925*'02_Eingaben'!$C$8)</f>
        <v/>
      </c>
      <c r="F925" s="17" t="str">
        <f>IF(E925="","",AVERAGE(INDEX($E$2:$E$3001,MAX(1,ROW()-1-'02_Eingaben'!$C$17)):INDEX($E$2:$E$3001,MIN('02_Eingaben'!$C$21,ROW()-1+'02_Eingaben'!$C$17))))</f>
        <v/>
      </c>
      <c r="G925" s="17" t="str">
        <f>IF(F925="","",F925-'02_Eingaben'!$C$10)</f>
        <v/>
      </c>
      <c r="H925" t="str">
        <f>IF(F925="","",IF(F925&lt;'02_Eingaben'!$C$18*'02_Eingaben'!$C$10,1,0))</f>
        <v/>
      </c>
      <c r="I925" s="17" t="str">
        <f t="shared" si="14"/>
        <v/>
      </c>
      <c r="J925" s="17" t="str">
        <f>IF(B925="","",IF(B924&lt;'02_Eingaben'!$C$36,0,J924+I924/'02_Eingaben'!$C$8))</f>
        <v/>
      </c>
    </row>
    <row r="926" spans="1:10" x14ac:dyDescent="0.25">
      <c r="A926" t="str">
        <f>IF('01_Rohdaten'!A926="","",ROW()-1)</f>
        <v/>
      </c>
      <c r="B926" s="17" t="str">
        <f>IF('01_Rohdaten'!A926="","",'01_Rohdaten'!A926)</f>
        <v/>
      </c>
      <c r="C926" s="17" t="str">
        <f>IF(B926="","",INDEX('01_Rohdaten'!B926:D926,'02_Eingaben'!$C$13))</f>
        <v/>
      </c>
      <c r="D926" s="17" t="str">
        <f>IF(C926="","",C926*'02_Eingaben'!$C$15)</f>
        <v/>
      </c>
      <c r="E926" s="17" t="str">
        <f>IF(D926="","",D926*'02_Eingaben'!$C$8)</f>
        <v/>
      </c>
      <c r="F926" s="17" t="str">
        <f>IF(E926="","",AVERAGE(INDEX($E$2:$E$3001,MAX(1,ROW()-1-'02_Eingaben'!$C$17)):INDEX($E$2:$E$3001,MIN('02_Eingaben'!$C$21,ROW()-1+'02_Eingaben'!$C$17))))</f>
        <v/>
      </c>
      <c r="G926" s="17" t="str">
        <f>IF(F926="","",F926-'02_Eingaben'!$C$10)</f>
        <v/>
      </c>
      <c r="H926" t="str">
        <f>IF(F926="","",IF(F926&lt;'02_Eingaben'!$C$18*'02_Eingaben'!$C$10,1,0))</f>
        <v/>
      </c>
      <c r="I926" s="17" t="str">
        <f t="shared" si="14"/>
        <v/>
      </c>
      <c r="J926" s="17" t="str">
        <f>IF(B926="","",IF(B925&lt;'02_Eingaben'!$C$36,0,J925+I925/'02_Eingaben'!$C$8))</f>
        <v/>
      </c>
    </row>
    <row r="927" spans="1:10" x14ac:dyDescent="0.25">
      <c r="A927" t="str">
        <f>IF('01_Rohdaten'!A927="","",ROW()-1)</f>
        <v/>
      </c>
      <c r="B927" s="17" t="str">
        <f>IF('01_Rohdaten'!A927="","",'01_Rohdaten'!A927)</f>
        <v/>
      </c>
      <c r="C927" s="17" t="str">
        <f>IF(B927="","",INDEX('01_Rohdaten'!B927:D927,'02_Eingaben'!$C$13))</f>
        <v/>
      </c>
      <c r="D927" s="17" t="str">
        <f>IF(C927="","",C927*'02_Eingaben'!$C$15)</f>
        <v/>
      </c>
      <c r="E927" s="17" t="str">
        <f>IF(D927="","",D927*'02_Eingaben'!$C$8)</f>
        <v/>
      </c>
      <c r="F927" s="17" t="str">
        <f>IF(E927="","",AVERAGE(INDEX($E$2:$E$3001,MAX(1,ROW()-1-'02_Eingaben'!$C$17)):INDEX($E$2:$E$3001,MIN('02_Eingaben'!$C$21,ROW()-1+'02_Eingaben'!$C$17))))</f>
        <v/>
      </c>
      <c r="G927" s="17" t="str">
        <f>IF(F927="","",F927-'02_Eingaben'!$C$10)</f>
        <v/>
      </c>
      <c r="H927" t="str">
        <f>IF(F927="","",IF(F927&lt;'02_Eingaben'!$C$18*'02_Eingaben'!$C$10,1,0))</f>
        <v/>
      </c>
      <c r="I927" s="17" t="str">
        <f t="shared" si="14"/>
        <v/>
      </c>
      <c r="J927" s="17" t="str">
        <f>IF(B927="","",IF(B926&lt;'02_Eingaben'!$C$36,0,J926+I926/'02_Eingaben'!$C$8))</f>
        <v/>
      </c>
    </row>
    <row r="928" spans="1:10" x14ac:dyDescent="0.25">
      <c r="A928" t="str">
        <f>IF('01_Rohdaten'!A928="","",ROW()-1)</f>
        <v/>
      </c>
      <c r="B928" s="17" t="str">
        <f>IF('01_Rohdaten'!A928="","",'01_Rohdaten'!A928)</f>
        <v/>
      </c>
      <c r="C928" s="17" t="str">
        <f>IF(B928="","",INDEX('01_Rohdaten'!B928:D928,'02_Eingaben'!$C$13))</f>
        <v/>
      </c>
      <c r="D928" s="17" t="str">
        <f>IF(C928="","",C928*'02_Eingaben'!$C$15)</f>
        <v/>
      </c>
      <c r="E928" s="17" t="str">
        <f>IF(D928="","",D928*'02_Eingaben'!$C$8)</f>
        <v/>
      </c>
      <c r="F928" s="17" t="str">
        <f>IF(E928="","",AVERAGE(INDEX($E$2:$E$3001,MAX(1,ROW()-1-'02_Eingaben'!$C$17)):INDEX($E$2:$E$3001,MIN('02_Eingaben'!$C$21,ROW()-1+'02_Eingaben'!$C$17))))</f>
        <v/>
      </c>
      <c r="G928" s="17" t="str">
        <f>IF(F928="","",F928-'02_Eingaben'!$C$10)</f>
        <v/>
      </c>
      <c r="H928" t="str">
        <f>IF(F928="","",IF(F928&lt;'02_Eingaben'!$C$18*'02_Eingaben'!$C$10,1,0))</f>
        <v/>
      </c>
      <c r="I928" s="17" t="str">
        <f t="shared" si="14"/>
        <v/>
      </c>
      <c r="J928" s="17" t="str">
        <f>IF(B928="","",IF(B927&lt;'02_Eingaben'!$C$36,0,J927+I927/'02_Eingaben'!$C$8))</f>
        <v/>
      </c>
    </row>
    <row r="929" spans="1:10" x14ac:dyDescent="0.25">
      <c r="A929" t="str">
        <f>IF('01_Rohdaten'!A929="","",ROW()-1)</f>
        <v/>
      </c>
      <c r="B929" s="17" t="str">
        <f>IF('01_Rohdaten'!A929="","",'01_Rohdaten'!A929)</f>
        <v/>
      </c>
      <c r="C929" s="17" t="str">
        <f>IF(B929="","",INDEX('01_Rohdaten'!B929:D929,'02_Eingaben'!$C$13))</f>
        <v/>
      </c>
      <c r="D929" s="17" t="str">
        <f>IF(C929="","",C929*'02_Eingaben'!$C$15)</f>
        <v/>
      </c>
      <c r="E929" s="17" t="str">
        <f>IF(D929="","",D929*'02_Eingaben'!$C$8)</f>
        <v/>
      </c>
      <c r="F929" s="17" t="str">
        <f>IF(E929="","",AVERAGE(INDEX($E$2:$E$3001,MAX(1,ROW()-1-'02_Eingaben'!$C$17)):INDEX($E$2:$E$3001,MIN('02_Eingaben'!$C$21,ROW()-1+'02_Eingaben'!$C$17))))</f>
        <v/>
      </c>
      <c r="G929" s="17" t="str">
        <f>IF(F929="","",F929-'02_Eingaben'!$C$10)</f>
        <v/>
      </c>
      <c r="H929" t="str">
        <f>IF(F929="","",IF(F929&lt;'02_Eingaben'!$C$18*'02_Eingaben'!$C$10,1,0))</f>
        <v/>
      </c>
      <c r="I929" s="17" t="str">
        <f t="shared" si="14"/>
        <v/>
      </c>
      <c r="J929" s="17" t="str">
        <f>IF(B929="","",IF(B928&lt;'02_Eingaben'!$C$36,0,J928+I928/'02_Eingaben'!$C$8))</f>
        <v/>
      </c>
    </row>
    <row r="930" spans="1:10" x14ac:dyDescent="0.25">
      <c r="A930" t="str">
        <f>IF('01_Rohdaten'!A930="","",ROW()-1)</f>
        <v/>
      </c>
      <c r="B930" s="17" t="str">
        <f>IF('01_Rohdaten'!A930="","",'01_Rohdaten'!A930)</f>
        <v/>
      </c>
      <c r="C930" s="17" t="str">
        <f>IF(B930="","",INDEX('01_Rohdaten'!B930:D930,'02_Eingaben'!$C$13))</f>
        <v/>
      </c>
      <c r="D930" s="17" t="str">
        <f>IF(C930="","",C930*'02_Eingaben'!$C$15)</f>
        <v/>
      </c>
      <c r="E930" s="17" t="str">
        <f>IF(D930="","",D930*'02_Eingaben'!$C$8)</f>
        <v/>
      </c>
      <c r="F930" s="17" t="str">
        <f>IF(E930="","",AVERAGE(INDEX($E$2:$E$3001,MAX(1,ROW()-1-'02_Eingaben'!$C$17)):INDEX($E$2:$E$3001,MIN('02_Eingaben'!$C$21,ROW()-1+'02_Eingaben'!$C$17))))</f>
        <v/>
      </c>
      <c r="G930" s="17" t="str">
        <f>IF(F930="","",F930-'02_Eingaben'!$C$10)</f>
        <v/>
      </c>
      <c r="H930" t="str">
        <f>IF(F930="","",IF(F930&lt;'02_Eingaben'!$C$18*'02_Eingaben'!$C$10,1,0))</f>
        <v/>
      </c>
      <c r="I930" s="17" t="str">
        <f t="shared" si="14"/>
        <v/>
      </c>
      <c r="J930" s="17" t="str">
        <f>IF(B930="","",IF(B929&lt;'02_Eingaben'!$C$36,0,J929+I929/'02_Eingaben'!$C$8))</f>
        <v/>
      </c>
    </row>
    <row r="931" spans="1:10" x14ac:dyDescent="0.25">
      <c r="A931" t="str">
        <f>IF('01_Rohdaten'!A931="","",ROW()-1)</f>
        <v/>
      </c>
      <c r="B931" s="17" t="str">
        <f>IF('01_Rohdaten'!A931="","",'01_Rohdaten'!A931)</f>
        <v/>
      </c>
      <c r="C931" s="17" t="str">
        <f>IF(B931="","",INDEX('01_Rohdaten'!B931:D931,'02_Eingaben'!$C$13))</f>
        <v/>
      </c>
      <c r="D931" s="17" t="str">
        <f>IF(C931="","",C931*'02_Eingaben'!$C$15)</f>
        <v/>
      </c>
      <c r="E931" s="17" t="str">
        <f>IF(D931="","",D931*'02_Eingaben'!$C$8)</f>
        <v/>
      </c>
      <c r="F931" s="17" t="str">
        <f>IF(E931="","",AVERAGE(INDEX($E$2:$E$3001,MAX(1,ROW()-1-'02_Eingaben'!$C$17)):INDEX($E$2:$E$3001,MIN('02_Eingaben'!$C$21,ROW()-1+'02_Eingaben'!$C$17))))</f>
        <v/>
      </c>
      <c r="G931" s="17" t="str">
        <f>IF(F931="","",F931-'02_Eingaben'!$C$10)</f>
        <v/>
      </c>
      <c r="H931" t="str">
        <f>IF(F931="","",IF(F931&lt;'02_Eingaben'!$C$18*'02_Eingaben'!$C$10,1,0))</f>
        <v/>
      </c>
      <c r="I931" s="17" t="str">
        <f t="shared" si="14"/>
        <v/>
      </c>
      <c r="J931" s="17" t="str">
        <f>IF(B931="","",IF(B930&lt;'02_Eingaben'!$C$36,0,J930+I930/'02_Eingaben'!$C$8))</f>
        <v/>
      </c>
    </row>
    <row r="932" spans="1:10" x14ac:dyDescent="0.25">
      <c r="A932" t="str">
        <f>IF('01_Rohdaten'!A932="","",ROW()-1)</f>
        <v/>
      </c>
      <c r="B932" s="17" t="str">
        <f>IF('01_Rohdaten'!A932="","",'01_Rohdaten'!A932)</f>
        <v/>
      </c>
      <c r="C932" s="17" t="str">
        <f>IF(B932="","",INDEX('01_Rohdaten'!B932:D932,'02_Eingaben'!$C$13))</f>
        <v/>
      </c>
      <c r="D932" s="17" t="str">
        <f>IF(C932="","",C932*'02_Eingaben'!$C$15)</f>
        <v/>
      </c>
      <c r="E932" s="17" t="str">
        <f>IF(D932="","",D932*'02_Eingaben'!$C$8)</f>
        <v/>
      </c>
      <c r="F932" s="17" t="str">
        <f>IF(E932="","",AVERAGE(INDEX($E$2:$E$3001,MAX(1,ROW()-1-'02_Eingaben'!$C$17)):INDEX($E$2:$E$3001,MIN('02_Eingaben'!$C$21,ROW()-1+'02_Eingaben'!$C$17))))</f>
        <v/>
      </c>
      <c r="G932" s="17" t="str">
        <f>IF(F932="","",F932-'02_Eingaben'!$C$10)</f>
        <v/>
      </c>
      <c r="H932" t="str">
        <f>IF(F932="","",IF(F932&lt;'02_Eingaben'!$C$18*'02_Eingaben'!$C$10,1,0))</f>
        <v/>
      </c>
      <c r="I932" s="17" t="str">
        <f t="shared" si="14"/>
        <v/>
      </c>
      <c r="J932" s="17" t="str">
        <f>IF(B932="","",IF(B931&lt;'02_Eingaben'!$C$36,0,J931+I931/'02_Eingaben'!$C$8))</f>
        <v/>
      </c>
    </row>
    <row r="933" spans="1:10" x14ac:dyDescent="0.25">
      <c r="A933" t="str">
        <f>IF('01_Rohdaten'!A933="","",ROW()-1)</f>
        <v/>
      </c>
      <c r="B933" s="17" t="str">
        <f>IF('01_Rohdaten'!A933="","",'01_Rohdaten'!A933)</f>
        <v/>
      </c>
      <c r="C933" s="17" t="str">
        <f>IF(B933="","",INDEX('01_Rohdaten'!B933:D933,'02_Eingaben'!$C$13))</f>
        <v/>
      </c>
      <c r="D933" s="17" t="str">
        <f>IF(C933="","",C933*'02_Eingaben'!$C$15)</f>
        <v/>
      </c>
      <c r="E933" s="17" t="str">
        <f>IF(D933="","",D933*'02_Eingaben'!$C$8)</f>
        <v/>
      </c>
      <c r="F933" s="17" t="str">
        <f>IF(E933="","",AVERAGE(INDEX($E$2:$E$3001,MAX(1,ROW()-1-'02_Eingaben'!$C$17)):INDEX($E$2:$E$3001,MIN('02_Eingaben'!$C$21,ROW()-1+'02_Eingaben'!$C$17))))</f>
        <v/>
      </c>
      <c r="G933" s="17" t="str">
        <f>IF(F933="","",F933-'02_Eingaben'!$C$10)</f>
        <v/>
      </c>
      <c r="H933" t="str">
        <f>IF(F933="","",IF(F933&lt;'02_Eingaben'!$C$18*'02_Eingaben'!$C$10,1,0))</f>
        <v/>
      </c>
      <c r="I933" s="17" t="str">
        <f t="shared" si="14"/>
        <v/>
      </c>
      <c r="J933" s="17" t="str">
        <f>IF(B933="","",IF(B932&lt;'02_Eingaben'!$C$36,0,J932+I932/'02_Eingaben'!$C$8))</f>
        <v/>
      </c>
    </row>
    <row r="934" spans="1:10" x14ac:dyDescent="0.25">
      <c r="A934" t="str">
        <f>IF('01_Rohdaten'!A934="","",ROW()-1)</f>
        <v/>
      </c>
      <c r="B934" s="17" t="str">
        <f>IF('01_Rohdaten'!A934="","",'01_Rohdaten'!A934)</f>
        <v/>
      </c>
      <c r="C934" s="17" t="str">
        <f>IF(B934="","",INDEX('01_Rohdaten'!B934:D934,'02_Eingaben'!$C$13))</f>
        <v/>
      </c>
      <c r="D934" s="17" t="str">
        <f>IF(C934="","",C934*'02_Eingaben'!$C$15)</f>
        <v/>
      </c>
      <c r="E934" s="17" t="str">
        <f>IF(D934="","",D934*'02_Eingaben'!$C$8)</f>
        <v/>
      </c>
      <c r="F934" s="17" t="str">
        <f>IF(E934="","",AVERAGE(INDEX($E$2:$E$3001,MAX(1,ROW()-1-'02_Eingaben'!$C$17)):INDEX($E$2:$E$3001,MIN('02_Eingaben'!$C$21,ROW()-1+'02_Eingaben'!$C$17))))</f>
        <v/>
      </c>
      <c r="G934" s="17" t="str">
        <f>IF(F934="","",F934-'02_Eingaben'!$C$10)</f>
        <v/>
      </c>
      <c r="H934" t="str">
        <f>IF(F934="","",IF(F934&lt;'02_Eingaben'!$C$18*'02_Eingaben'!$C$10,1,0))</f>
        <v/>
      </c>
      <c r="I934" s="17" t="str">
        <f t="shared" si="14"/>
        <v/>
      </c>
      <c r="J934" s="17" t="str">
        <f>IF(B934="","",IF(B933&lt;'02_Eingaben'!$C$36,0,J933+I933/'02_Eingaben'!$C$8))</f>
        <v/>
      </c>
    </row>
    <row r="935" spans="1:10" x14ac:dyDescent="0.25">
      <c r="A935" t="str">
        <f>IF('01_Rohdaten'!A935="","",ROW()-1)</f>
        <v/>
      </c>
      <c r="B935" s="17" t="str">
        <f>IF('01_Rohdaten'!A935="","",'01_Rohdaten'!A935)</f>
        <v/>
      </c>
      <c r="C935" s="17" t="str">
        <f>IF(B935="","",INDEX('01_Rohdaten'!B935:D935,'02_Eingaben'!$C$13))</f>
        <v/>
      </c>
      <c r="D935" s="17" t="str">
        <f>IF(C935="","",C935*'02_Eingaben'!$C$15)</f>
        <v/>
      </c>
      <c r="E935" s="17" t="str">
        <f>IF(D935="","",D935*'02_Eingaben'!$C$8)</f>
        <v/>
      </c>
      <c r="F935" s="17" t="str">
        <f>IF(E935="","",AVERAGE(INDEX($E$2:$E$3001,MAX(1,ROW()-1-'02_Eingaben'!$C$17)):INDEX($E$2:$E$3001,MIN('02_Eingaben'!$C$21,ROW()-1+'02_Eingaben'!$C$17))))</f>
        <v/>
      </c>
      <c r="G935" s="17" t="str">
        <f>IF(F935="","",F935-'02_Eingaben'!$C$10)</f>
        <v/>
      </c>
      <c r="H935" t="str">
        <f>IF(F935="","",IF(F935&lt;'02_Eingaben'!$C$18*'02_Eingaben'!$C$10,1,0))</f>
        <v/>
      </c>
      <c r="I935" s="17" t="str">
        <f t="shared" si="14"/>
        <v/>
      </c>
      <c r="J935" s="17" t="str">
        <f>IF(B935="","",IF(B934&lt;'02_Eingaben'!$C$36,0,J934+I934/'02_Eingaben'!$C$8))</f>
        <v/>
      </c>
    </row>
    <row r="936" spans="1:10" x14ac:dyDescent="0.25">
      <c r="A936" t="str">
        <f>IF('01_Rohdaten'!A936="","",ROW()-1)</f>
        <v/>
      </c>
      <c r="B936" s="17" t="str">
        <f>IF('01_Rohdaten'!A936="","",'01_Rohdaten'!A936)</f>
        <v/>
      </c>
      <c r="C936" s="17" t="str">
        <f>IF(B936="","",INDEX('01_Rohdaten'!B936:D936,'02_Eingaben'!$C$13))</f>
        <v/>
      </c>
      <c r="D936" s="17" t="str">
        <f>IF(C936="","",C936*'02_Eingaben'!$C$15)</f>
        <v/>
      </c>
      <c r="E936" s="17" t="str">
        <f>IF(D936="","",D936*'02_Eingaben'!$C$8)</f>
        <v/>
      </c>
      <c r="F936" s="17" t="str">
        <f>IF(E936="","",AVERAGE(INDEX($E$2:$E$3001,MAX(1,ROW()-1-'02_Eingaben'!$C$17)):INDEX($E$2:$E$3001,MIN('02_Eingaben'!$C$21,ROW()-1+'02_Eingaben'!$C$17))))</f>
        <v/>
      </c>
      <c r="G936" s="17" t="str">
        <f>IF(F936="","",F936-'02_Eingaben'!$C$10)</f>
        <v/>
      </c>
      <c r="H936" t="str">
        <f>IF(F936="","",IF(F936&lt;'02_Eingaben'!$C$18*'02_Eingaben'!$C$10,1,0))</f>
        <v/>
      </c>
      <c r="I936" s="17" t="str">
        <f t="shared" si="14"/>
        <v/>
      </c>
      <c r="J936" s="17" t="str">
        <f>IF(B936="","",IF(B935&lt;'02_Eingaben'!$C$36,0,J935+I935/'02_Eingaben'!$C$8))</f>
        <v/>
      </c>
    </row>
    <row r="937" spans="1:10" x14ac:dyDescent="0.25">
      <c r="A937" t="str">
        <f>IF('01_Rohdaten'!A937="","",ROW()-1)</f>
        <v/>
      </c>
      <c r="B937" s="17" t="str">
        <f>IF('01_Rohdaten'!A937="","",'01_Rohdaten'!A937)</f>
        <v/>
      </c>
      <c r="C937" s="17" t="str">
        <f>IF(B937="","",INDEX('01_Rohdaten'!B937:D937,'02_Eingaben'!$C$13))</f>
        <v/>
      </c>
      <c r="D937" s="17" t="str">
        <f>IF(C937="","",C937*'02_Eingaben'!$C$15)</f>
        <v/>
      </c>
      <c r="E937" s="17" t="str">
        <f>IF(D937="","",D937*'02_Eingaben'!$C$8)</f>
        <v/>
      </c>
      <c r="F937" s="17" t="str">
        <f>IF(E937="","",AVERAGE(INDEX($E$2:$E$3001,MAX(1,ROW()-1-'02_Eingaben'!$C$17)):INDEX($E$2:$E$3001,MIN('02_Eingaben'!$C$21,ROW()-1+'02_Eingaben'!$C$17))))</f>
        <v/>
      </c>
      <c r="G937" s="17" t="str">
        <f>IF(F937="","",F937-'02_Eingaben'!$C$10)</f>
        <v/>
      </c>
      <c r="H937" t="str">
        <f>IF(F937="","",IF(F937&lt;'02_Eingaben'!$C$18*'02_Eingaben'!$C$10,1,0))</f>
        <v/>
      </c>
      <c r="I937" s="17" t="str">
        <f t="shared" si="14"/>
        <v/>
      </c>
      <c r="J937" s="17" t="str">
        <f>IF(B937="","",IF(B936&lt;'02_Eingaben'!$C$36,0,J936+I936/'02_Eingaben'!$C$8))</f>
        <v/>
      </c>
    </row>
    <row r="938" spans="1:10" x14ac:dyDescent="0.25">
      <c r="A938" t="str">
        <f>IF('01_Rohdaten'!A938="","",ROW()-1)</f>
        <v/>
      </c>
      <c r="B938" s="17" t="str">
        <f>IF('01_Rohdaten'!A938="","",'01_Rohdaten'!A938)</f>
        <v/>
      </c>
      <c r="C938" s="17" t="str">
        <f>IF(B938="","",INDEX('01_Rohdaten'!B938:D938,'02_Eingaben'!$C$13))</f>
        <v/>
      </c>
      <c r="D938" s="17" t="str">
        <f>IF(C938="","",C938*'02_Eingaben'!$C$15)</f>
        <v/>
      </c>
      <c r="E938" s="17" t="str">
        <f>IF(D938="","",D938*'02_Eingaben'!$C$8)</f>
        <v/>
      </c>
      <c r="F938" s="17" t="str">
        <f>IF(E938="","",AVERAGE(INDEX($E$2:$E$3001,MAX(1,ROW()-1-'02_Eingaben'!$C$17)):INDEX($E$2:$E$3001,MIN('02_Eingaben'!$C$21,ROW()-1+'02_Eingaben'!$C$17))))</f>
        <v/>
      </c>
      <c r="G938" s="17" t="str">
        <f>IF(F938="","",F938-'02_Eingaben'!$C$10)</f>
        <v/>
      </c>
      <c r="H938" t="str">
        <f>IF(F938="","",IF(F938&lt;'02_Eingaben'!$C$18*'02_Eingaben'!$C$10,1,0))</f>
        <v/>
      </c>
      <c r="I938" s="17" t="str">
        <f t="shared" si="14"/>
        <v/>
      </c>
      <c r="J938" s="17" t="str">
        <f>IF(B938="","",IF(B937&lt;'02_Eingaben'!$C$36,0,J937+I937/'02_Eingaben'!$C$8))</f>
        <v/>
      </c>
    </row>
    <row r="939" spans="1:10" x14ac:dyDescent="0.25">
      <c r="A939" t="str">
        <f>IF('01_Rohdaten'!A939="","",ROW()-1)</f>
        <v/>
      </c>
      <c r="B939" s="17" t="str">
        <f>IF('01_Rohdaten'!A939="","",'01_Rohdaten'!A939)</f>
        <v/>
      </c>
      <c r="C939" s="17" t="str">
        <f>IF(B939="","",INDEX('01_Rohdaten'!B939:D939,'02_Eingaben'!$C$13))</f>
        <v/>
      </c>
      <c r="D939" s="17" t="str">
        <f>IF(C939="","",C939*'02_Eingaben'!$C$15)</f>
        <v/>
      </c>
      <c r="E939" s="17" t="str">
        <f>IF(D939="","",D939*'02_Eingaben'!$C$8)</f>
        <v/>
      </c>
      <c r="F939" s="17" t="str">
        <f>IF(E939="","",AVERAGE(INDEX($E$2:$E$3001,MAX(1,ROW()-1-'02_Eingaben'!$C$17)):INDEX($E$2:$E$3001,MIN('02_Eingaben'!$C$21,ROW()-1+'02_Eingaben'!$C$17))))</f>
        <v/>
      </c>
      <c r="G939" s="17" t="str">
        <f>IF(F939="","",F939-'02_Eingaben'!$C$10)</f>
        <v/>
      </c>
      <c r="H939" t="str">
        <f>IF(F939="","",IF(F939&lt;'02_Eingaben'!$C$18*'02_Eingaben'!$C$10,1,0))</f>
        <v/>
      </c>
      <c r="I939" s="17" t="str">
        <f t="shared" si="14"/>
        <v/>
      </c>
      <c r="J939" s="17" t="str">
        <f>IF(B939="","",IF(B938&lt;'02_Eingaben'!$C$36,0,J938+I938/'02_Eingaben'!$C$8))</f>
        <v/>
      </c>
    </row>
    <row r="940" spans="1:10" x14ac:dyDescent="0.25">
      <c r="A940" t="str">
        <f>IF('01_Rohdaten'!A940="","",ROW()-1)</f>
        <v/>
      </c>
      <c r="B940" s="17" t="str">
        <f>IF('01_Rohdaten'!A940="","",'01_Rohdaten'!A940)</f>
        <v/>
      </c>
      <c r="C940" s="17" t="str">
        <f>IF(B940="","",INDEX('01_Rohdaten'!B940:D940,'02_Eingaben'!$C$13))</f>
        <v/>
      </c>
      <c r="D940" s="17" t="str">
        <f>IF(C940="","",C940*'02_Eingaben'!$C$15)</f>
        <v/>
      </c>
      <c r="E940" s="17" t="str">
        <f>IF(D940="","",D940*'02_Eingaben'!$C$8)</f>
        <v/>
      </c>
      <c r="F940" s="17" t="str">
        <f>IF(E940="","",AVERAGE(INDEX($E$2:$E$3001,MAX(1,ROW()-1-'02_Eingaben'!$C$17)):INDEX($E$2:$E$3001,MIN('02_Eingaben'!$C$21,ROW()-1+'02_Eingaben'!$C$17))))</f>
        <v/>
      </c>
      <c r="G940" s="17" t="str">
        <f>IF(F940="","",F940-'02_Eingaben'!$C$10)</f>
        <v/>
      </c>
      <c r="H940" t="str">
        <f>IF(F940="","",IF(F940&lt;'02_Eingaben'!$C$18*'02_Eingaben'!$C$10,1,0))</f>
        <v/>
      </c>
      <c r="I940" s="17" t="str">
        <f t="shared" si="14"/>
        <v/>
      </c>
      <c r="J940" s="17" t="str">
        <f>IF(B940="","",IF(B939&lt;'02_Eingaben'!$C$36,0,J939+I939/'02_Eingaben'!$C$8))</f>
        <v/>
      </c>
    </row>
    <row r="941" spans="1:10" x14ac:dyDescent="0.25">
      <c r="A941" t="str">
        <f>IF('01_Rohdaten'!A941="","",ROW()-1)</f>
        <v/>
      </c>
      <c r="B941" s="17" t="str">
        <f>IF('01_Rohdaten'!A941="","",'01_Rohdaten'!A941)</f>
        <v/>
      </c>
      <c r="C941" s="17" t="str">
        <f>IF(B941="","",INDEX('01_Rohdaten'!B941:D941,'02_Eingaben'!$C$13))</f>
        <v/>
      </c>
      <c r="D941" s="17" t="str">
        <f>IF(C941="","",C941*'02_Eingaben'!$C$15)</f>
        <v/>
      </c>
      <c r="E941" s="17" t="str">
        <f>IF(D941="","",D941*'02_Eingaben'!$C$8)</f>
        <v/>
      </c>
      <c r="F941" s="17" t="str">
        <f>IF(E941="","",AVERAGE(INDEX($E$2:$E$3001,MAX(1,ROW()-1-'02_Eingaben'!$C$17)):INDEX($E$2:$E$3001,MIN('02_Eingaben'!$C$21,ROW()-1+'02_Eingaben'!$C$17))))</f>
        <v/>
      </c>
      <c r="G941" s="17" t="str">
        <f>IF(F941="","",F941-'02_Eingaben'!$C$10)</f>
        <v/>
      </c>
      <c r="H941" t="str">
        <f>IF(F941="","",IF(F941&lt;'02_Eingaben'!$C$18*'02_Eingaben'!$C$10,1,0))</f>
        <v/>
      </c>
      <c r="I941" s="17" t="str">
        <f t="shared" si="14"/>
        <v/>
      </c>
      <c r="J941" s="17" t="str">
        <f>IF(B941="","",IF(B940&lt;'02_Eingaben'!$C$36,0,J940+I940/'02_Eingaben'!$C$8))</f>
        <v/>
      </c>
    </row>
    <row r="942" spans="1:10" x14ac:dyDescent="0.25">
      <c r="A942" t="str">
        <f>IF('01_Rohdaten'!A942="","",ROW()-1)</f>
        <v/>
      </c>
      <c r="B942" s="17" t="str">
        <f>IF('01_Rohdaten'!A942="","",'01_Rohdaten'!A942)</f>
        <v/>
      </c>
      <c r="C942" s="17" t="str">
        <f>IF(B942="","",INDEX('01_Rohdaten'!B942:D942,'02_Eingaben'!$C$13))</f>
        <v/>
      </c>
      <c r="D942" s="17" t="str">
        <f>IF(C942="","",C942*'02_Eingaben'!$C$15)</f>
        <v/>
      </c>
      <c r="E942" s="17" t="str">
        <f>IF(D942="","",D942*'02_Eingaben'!$C$8)</f>
        <v/>
      </c>
      <c r="F942" s="17" t="str">
        <f>IF(E942="","",AVERAGE(INDEX($E$2:$E$3001,MAX(1,ROW()-1-'02_Eingaben'!$C$17)):INDEX($E$2:$E$3001,MIN('02_Eingaben'!$C$21,ROW()-1+'02_Eingaben'!$C$17))))</f>
        <v/>
      </c>
      <c r="G942" s="17" t="str">
        <f>IF(F942="","",F942-'02_Eingaben'!$C$10)</f>
        <v/>
      </c>
      <c r="H942" t="str">
        <f>IF(F942="","",IF(F942&lt;'02_Eingaben'!$C$18*'02_Eingaben'!$C$10,1,0))</f>
        <v/>
      </c>
      <c r="I942" s="17" t="str">
        <f t="shared" si="14"/>
        <v/>
      </c>
      <c r="J942" s="17" t="str">
        <f>IF(B942="","",IF(B941&lt;'02_Eingaben'!$C$36,0,J941+I941/'02_Eingaben'!$C$8))</f>
        <v/>
      </c>
    </row>
    <row r="943" spans="1:10" x14ac:dyDescent="0.25">
      <c r="A943" t="str">
        <f>IF('01_Rohdaten'!A943="","",ROW()-1)</f>
        <v/>
      </c>
      <c r="B943" s="17" t="str">
        <f>IF('01_Rohdaten'!A943="","",'01_Rohdaten'!A943)</f>
        <v/>
      </c>
      <c r="C943" s="17" t="str">
        <f>IF(B943="","",INDEX('01_Rohdaten'!B943:D943,'02_Eingaben'!$C$13))</f>
        <v/>
      </c>
      <c r="D943" s="17" t="str">
        <f>IF(C943="","",C943*'02_Eingaben'!$C$15)</f>
        <v/>
      </c>
      <c r="E943" s="17" t="str">
        <f>IF(D943="","",D943*'02_Eingaben'!$C$8)</f>
        <v/>
      </c>
      <c r="F943" s="17" t="str">
        <f>IF(E943="","",AVERAGE(INDEX($E$2:$E$3001,MAX(1,ROW()-1-'02_Eingaben'!$C$17)):INDEX($E$2:$E$3001,MIN('02_Eingaben'!$C$21,ROW()-1+'02_Eingaben'!$C$17))))</f>
        <v/>
      </c>
      <c r="G943" s="17" t="str">
        <f>IF(F943="","",F943-'02_Eingaben'!$C$10)</f>
        <v/>
      </c>
      <c r="H943" t="str">
        <f>IF(F943="","",IF(F943&lt;'02_Eingaben'!$C$18*'02_Eingaben'!$C$10,1,0))</f>
        <v/>
      </c>
      <c r="I943" s="17" t="str">
        <f t="shared" si="14"/>
        <v/>
      </c>
      <c r="J943" s="17" t="str">
        <f>IF(B943="","",IF(B942&lt;'02_Eingaben'!$C$36,0,J942+I942/'02_Eingaben'!$C$8))</f>
        <v/>
      </c>
    </row>
    <row r="944" spans="1:10" x14ac:dyDescent="0.25">
      <c r="A944" t="str">
        <f>IF('01_Rohdaten'!A944="","",ROW()-1)</f>
        <v/>
      </c>
      <c r="B944" s="17" t="str">
        <f>IF('01_Rohdaten'!A944="","",'01_Rohdaten'!A944)</f>
        <v/>
      </c>
      <c r="C944" s="17" t="str">
        <f>IF(B944="","",INDEX('01_Rohdaten'!B944:D944,'02_Eingaben'!$C$13))</f>
        <v/>
      </c>
      <c r="D944" s="17" t="str">
        <f>IF(C944="","",C944*'02_Eingaben'!$C$15)</f>
        <v/>
      </c>
      <c r="E944" s="17" t="str">
        <f>IF(D944="","",D944*'02_Eingaben'!$C$8)</f>
        <v/>
      </c>
      <c r="F944" s="17" t="str">
        <f>IF(E944="","",AVERAGE(INDEX($E$2:$E$3001,MAX(1,ROW()-1-'02_Eingaben'!$C$17)):INDEX($E$2:$E$3001,MIN('02_Eingaben'!$C$21,ROW()-1+'02_Eingaben'!$C$17))))</f>
        <v/>
      </c>
      <c r="G944" s="17" t="str">
        <f>IF(F944="","",F944-'02_Eingaben'!$C$10)</f>
        <v/>
      </c>
      <c r="H944" t="str">
        <f>IF(F944="","",IF(F944&lt;'02_Eingaben'!$C$18*'02_Eingaben'!$C$10,1,0))</f>
        <v/>
      </c>
      <c r="I944" s="17" t="str">
        <f t="shared" si="14"/>
        <v/>
      </c>
      <c r="J944" s="17" t="str">
        <f>IF(B944="","",IF(B943&lt;'02_Eingaben'!$C$36,0,J943+I943/'02_Eingaben'!$C$8))</f>
        <v/>
      </c>
    </row>
    <row r="945" spans="1:10" x14ac:dyDescent="0.25">
      <c r="A945" t="str">
        <f>IF('01_Rohdaten'!A945="","",ROW()-1)</f>
        <v/>
      </c>
      <c r="B945" s="17" t="str">
        <f>IF('01_Rohdaten'!A945="","",'01_Rohdaten'!A945)</f>
        <v/>
      </c>
      <c r="C945" s="17" t="str">
        <f>IF(B945="","",INDEX('01_Rohdaten'!B945:D945,'02_Eingaben'!$C$13))</f>
        <v/>
      </c>
      <c r="D945" s="17" t="str">
        <f>IF(C945="","",C945*'02_Eingaben'!$C$15)</f>
        <v/>
      </c>
      <c r="E945" s="17" t="str">
        <f>IF(D945="","",D945*'02_Eingaben'!$C$8)</f>
        <v/>
      </c>
      <c r="F945" s="17" t="str">
        <f>IF(E945="","",AVERAGE(INDEX($E$2:$E$3001,MAX(1,ROW()-1-'02_Eingaben'!$C$17)):INDEX($E$2:$E$3001,MIN('02_Eingaben'!$C$21,ROW()-1+'02_Eingaben'!$C$17))))</f>
        <v/>
      </c>
      <c r="G945" s="17" t="str">
        <f>IF(F945="","",F945-'02_Eingaben'!$C$10)</f>
        <v/>
      </c>
      <c r="H945" t="str">
        <f>IF(F945="","",IF(F945&lt;'02_Eingaben'!$C$18*'02_Eingaben'!$C$10,1,0))</f>
        <v/>
      </c>
      <c r="I945" s="17" t="str">
        <f t="shared" si="14"/>
        <v/>
      </c>
      <c r="J945" s="17" t="str">
        <f>IF(B945="","",IF(B944&lt;'02_Eingaben'!$C$36,0,J944+I944/'02_Eingaben'!$C$8))</f>
        <v/>
      </c>
    </row>
    <row r="946" spans="1:10" x14ac:dyDescent="0.25">
      <c r="A946" t="str">
        <f>IF('01_Rohdaten'!A946="","",ROW()-1)</f>
        <v/>
      </c>
      <c r="B946" s="17" t="str">
        <f>IF('01_Rohdaten'!A946="","",'01_Rohdaten'!A946)</f>
        <v/>
      </c>
      <c r="C946" s="17" t="str">
        <f>IF(B946="","",INDEX('01_Rohdaten'!B946:D946,'02_Eingaben'!$C$13))</f>
        <v/>
      </c>
      <c r="D946" s="17" t="str">
        <f>IF(C946="","",C946*'02_Eingaben'!$C$15)</f>
        <v/>
      </c>
      <c r="E946" s="17" t="str">
        <f>IF(D946="","",D946*'02_Eingaben'!$C$8)</f>
        <v/>
      </c>
      <c r="F946" s="17" t="str">
        <f>IF(E946="","",AVERAGE(INDEX($E$2:$E$3001,MAX(1,ROW()-1-'02_Eingaben'!$C$17)):INDEX($E$2:$E$3001,MIN('02_Eingaben'!$C$21,ROW()-1+'02_Eingaben'!$C$17))))</f>
        <v/>
      </c>
      <c r="G946" s="17" t="str">
        <f>IF(F946="","",F946-'02_Eingaben'!$C$10)</f>
        <v/>
      </c>
      <c r="H946" t="str">
        <f>IF(F946="","",IF(F946&lt;'02_Eingaben'!$C$18*'02_Eingaben'!$C$10,1,0))</f>
        <v/>
      </c>
      <c r="I946" s="17" t="str">
        <f t="shared" si="14"/>
        <v/>
      </c>
      <c r="J946" s="17" t="str">
        <f>IF(B946="","",IF(B945&lt;'02_Eingaben'!$C$36,0,J945+I945/'02_Eingaben'!$C$8))</f>
        <v/>
      </c>
    </row>
    <row r="947" spans="1:10" x14ac:dyDescent="0.25">
      <c r="A947" t="str">
        <f>IF('01_Rohdaten'!A947="","",ROW()-1)</f>
        <v/>
      </c>
      <c r="B947" s="17" t="str">
        <f>IF('01_Rohdaten'!A947="","",'01_Rohdaten'!A947)</f>
        <v/>
      </c>
      <c r="C947" s="17" t="str">
        <f>IF(B947="","",INDEX('01_Rohdaten'!B947:D947,'02_Eingaben'!$C$13))</f>
        <v/>
      </c>
      <c r="D947" s="17" t="str">
        <f>IF(C947="","",C947*'02_Eingaben'!$C$15)</f>
        <v/>
      </c>
      <c r="E947" s="17" t="str">
        <f>IF(D947="","",D947*'02_Eingaben'!$C$8)</f>
        <v/>
      </c>
      <c r="F947" s="17" t="str">
        <f>IF(E947="","",AVERAGE(INDEX($E$2:$E$3001,MAX(1,ROW()-1-'02_Eingaben'!$C$17)):INDEX($E$2:$E$3001,MIN('02_Eingaben'!$C$21,ROW()-1+'02_Eingaben'!$C$17))))</f>
        <v/>
      </c>
      <c r="G947" s="17" t="str">
        <f>IF(F947="","",F947-'02_Eingaben'!$C$10)</f>
        <v/>
      </c>
      <c r="H947" t="str">
        <f>IF(F947="","",IF(F947&lt;'02_Eingaben'!$C$18*'02_Eingaben'!$C$10,1,0))</f>
        <v/>
      </c>
      <c r="I947" s="17" t="str">
        <f t="shared" si="14"/>
        <v/>
      </c>
      <c r="J947" s="17" t="str">
        <f>IF(B947="","",IF(B946&lt;'02_Eingaben'!$C$36,0,J946+I946/'02_Eingaben'!$C$8))</f>
        <v/>
      </c>
    </row>
    <row r="948" spans="1:10" x14ac:dyDescent="0.25">
      <c r="A948" t="str">
        <f>IF('01_Rohdaten'!A948="","",ROW()-1)</f>
        <v/>
      </c>
      <c r="B948" s="17" t="str">
        <f>IF('01_Rohdaten'!A948="","",'01_Rohdaten'!A948)</f>
        <v/>
      </c>
      <c r="C948" s="17" t="str">
        <f>IF(B948="","",INDEX('01_Rohdaten'!B948:D948,'02_Eingaben'!$C$13))</f>
        <v/>
      </c>
      <c r="D948" s="17" t="str">
        <f>IF(C948="","",C948*'02_Eingaben'!$C$15)</f>
        <v/>
      </c>
      <c r="E948" s="17" t="str">
        <f>IF(D948="","",D948*'02_Eingaben'!$C$8)</f>
        <v/>
      </c>
      <c r="F948" s="17" t="str">
        <f>IF(E948="","",AVERAGE(INDEX($E$2:$E$3001,MAX(1,ROW()-1-'02_Eingaben'!$C$17)):INDEX($E$2:$E$3001,MIN('02_Eingaben'!$C$21,ROW()-1+'02_Eingaben'!$C$17))))</f>
        <v/>
      </c>
      <c r="G948" s="17" t="str">
        <f>IF(F948="","",F948-'02_Eingaben'!$C$10)</f>
        <v/>
      </c>
      <c r="H948" t="str">
        <f>IF(F948="","",IF(F948&lt;'02_Eingaben'!$C$18*'02_Eingaben'!$C$10,1,0))</f>
        <v/>
      </c>
      <c r="I948" s="17" t="str">
        <f t="shared" si="14"/>
        <v/>
      </c>
      <c r="J948" s="17" t="str">
        <f>IF(B948="","",IF(B947&lt;'02_Eingaben'!$C$36,0,J947+I947/'02_Eingaben'!$C$8))</f>
        <v/>
      </c>
    </row>
    <row r="949" spans="1:10" x14ac:dyDescent="0.25">
      <c r="A949" t="str">
        <f>IF('01_Rohdaten'!A949="","",ROW()-1)</f>
        <v/>
      </c>
      <c r="B949" s="17" t="str">
        <f>IF('01_Rohdaten'!A949="","",'01_Rohdaten'!A949)</f>
        <v/>
      </c>
      <c r="C949" s="17" t="str">
        <f>IF(B949="","",INDEX('01_Rohdaten'!B949:D949,'02_Eingaben'!$C$13))</f>
        <v/>
      </c>
      <c r="D949" s="17" t="str">
        <f>IF(C949="","",C949*'02_Eingaben'!$C$15)</f>
        <v/>
      </c>
      <c r="E949" s="17" t="str">
        <f>IF(D949="","",D949*'02_Eingaben'!$C$8)</f>
        <v/>
      </c>
      <c r="F949" s="17" t="str">
        <f>IF(E949="","",AVERAGE(INDEX($E$2:$E$3001,MAX(1,ROW()-1-'02_Eingaben'!$C$17)):INDEX($E$2:$E$3001,MIN('02_Eingaben'!$C$21,ROW()-1+'02_Eingaben'!$C$17))))</f>
        <v/>
      </c>
      <c r="G949" s="17" t="str">
        <f>IF(F949="","",F949-'02_Eingaben'!$C$10)</f>
        <v/>
      </c>
      <c r="H949" t="str">
        <f>IF(F949="","",IF(F949&lt;'02_Eingaben'!$C$18*'02_Eingaben'!$C$10,1,0))</f>
        <v/>
      </c>
      <c r="I949" s="17" t="str">
        <f t="shared" si="14"/>
        <v/>
      </c>
      <c r="J949" s="17" t="str">
        <f>IF(B949="","",IF(B948&lt;'02_Eingaben'!$C$36,0,J948+I948/'02_Eingaben'!$C$8))</f>
        <v/>
      </c>
    </row>
    <row r="950" spans="1:10" x14ac:dyDescent="0.25">
      <c r="A950" t="str">
        <f>IF('01_Rohdaten'!A950="","",ROW()-1)</f>
        <v/>
      </c>
      <c r="B950" s="17" t="str">
        <f>IF('01_Rohdaten'!A950="","",'01_Rohdaten'!A950)</f>
        <v/>
      </c>
      <c r="C950" s="17" t="str">
        <f>IF(B950="","",INDEX('01_Rohdaten'!B950:D950,'02_Eingaben'!$C$13))</f>
        <v/>
      </c>
      <c r="D950" s="17" t="str">
        <f>IF(C950="","",C950*'02_Eingaben'!$C$15)</f>
        <v/>
      </c>
      <c r="E950" s="17" t="str">
        <f>IF(D950="","",D950*'02_Eingaben'!$C$8)</f>
        <v/>
      </c>
      <c r="F950" s="17" t="str">
        <f>IF(E950="","",AVERAGE(INDEX($E$2:$E$3001,MAX(1,ROW()-1-'02_Eingaben'!$C$17)):INDEX($E$2:$E$3001,MIN('02_Eingaben'!$C$21,ROW()-1+'02_Eingaben'!$C$17))))</f>
        <v/>
      </c>
      <c r="G950" s="17" t="str">
        <f>IF(F950="","",F950-'02_Eingaben'!$C$10)</f>
        <v/>
      </c>
      <c r="H950" t="str">
        <f>IF(F950="","",IF(F950&lt;'02_Eingaben'!$C$18*'02_Eingaben'!$C$10,1,0))</f>
        <v/>
      </c>
      <c r="I950" s="17" t="str">
        <f t="shared" si="14"/>
        <v/>
      </c>
      <c r="J950" s="17" t="str">
        <f>IF(B950="","",IF(B949&lt;'02_Eingaben'!$C$36,0,J949+I949/'02_Eingaben'!$C$8))</f>
        <v/>
      </c>
    </row>
    <row r="951" spans="1:10" x14ac:dyDescent="0.25">
      <c r="A951" t="str">
        <f>IF('01_Rohdaten'!A951="","",ROW()-1)</f>
        <v/>
      </c>
      <c r="B951" s="17" t="str">
        <f>IF('01_Rohdaten'!A951="","",'01_Rohdaten'!A951)</f>
        <v/>
      </c>
      <c r="C951" s="17" t="str">
        <f>IF(B951="","",INDEX('01_Rohdaten'!B951:D951,'02_Eingaben'!$C$13))</f>
        <v/>
      </c>
      <c r="D951" s="17" t="str">
        <f>IF(C951="","",C951*'02_Eingaben'!$C$15)</f>
        <v/>
      </c>
      <c r="E951" s="17" t="str">
        <f>IF(D951="","",D951*'02_Eingaben'!$C$8)</f>
        <v/>
      </c>
      <c r="F951" s="17" t="str">
        <f>IF(E951="","",AVERAGE(INDEX($E$2:$E$3001,MAX(1,ROW()-1-'02_Eingaben'!$C$17)):INDEX($E$2:$E$3001,MIN('02_Eingaben'!$C$21,ROW()-1+'02_Eingaben'!$C$17))))</f>
        <v/>
      </c>
      <c r="G951" s="17" t="str">
        <f>IF(F951="","",F951-'02_Eingaben'!$C$10)</f>
        <v/>
      </c>
      <c r="H951" t="str">
        <f>IF(F951="","",IF(F951&lt;'02_Eingaben'!$C$18*'02_Eingaben'!$C$10,1,0))</f>
        <v/>
      </c>
      <c r="I951" s="17" t="str">
        <f t="shared" si="14"/>
        <v/>
      </c>
      <c r="J951" s="17" t="str">
        <f>IF(B951="","",IF(B950&lt;'02_Eingaben'!$C$36,0,J950+I950/'02_Eingaben'!$C$8))</f>
        <v/>
      </c>
    </row>
    <row r="952" spans="1:10" x14ac:dyDescent="0.25">
      <c r="A952" t="str">
        <f>IF('01_Rohdaten'!A952="","",ROW()-1)</f>
        <v/>
      </c>
      <c r="B952" s="17" t="str">
        <f>IF('01_Rohdaten'!A952="","",'01_Rohdaten'!A952)</f>
        <v/>
      </c>
      <c r="C952" s="17" t="str">
        <f>IF(B952="","",INDEX('01_Rohdaten'!B952:D952,'02_Eingaben'!$C$13))</f>
        <v/>
      </c>
      <c r="D952" s="17" t="str">
        <f>IF(C952="","",C952*'02_Eingaben'!$C$15)</f>
        <v/>
      </c>
      <c r="E952" s="17" t="str">
        <f>IF(D952="","",D952*'02_Eingaben'!$C$8)</f>
        <v/>
      </c>
      <c r="F952" s="17" t="str">
        <f>IF(E952="","",AVERAGE(INDEX($E$2:$E$3001,MAX(1,ROW()-1-'02_Eingaben'!$C$17)):INDEX($E$2:$E$3001,MIN('02_Eingaben'!$C$21,ROW()-1+'02_Eingaben'!$C$17))))</f>
        <v/>
      </c>
      <c r="G952" s="17" t="str">
        <f>IF(F952="","",F952-'02_Eingaben'!$C$10)</f>
        <v/>
      </c>
      <c r="H952" t="str">
        <f>IF(F952="","",IF(F952&lt;'02_Eingaben'!$C$18*'02_Eingaben'!$C$10,1,0))</f>
        <v/>
      </c>
      <c r="I952" s="17" t="str">
        <f t="shared" si="14"/>
        <v/>
      </c>
      <c r="J952" s="17" t="str">
        <f>IF(B952="","",IF(B951&lt;'02_Eingaben'!$C$36,0,J951+I951/'02_Eingaben'!$C$8))</f>
        <v/>
      </c>
    </row>
    <row r="953" spans="1:10" x14ac:dyDescent="0.25">
      <c r="A953" t="str">
        <f>IF('01_Rohdaten'!A953="","",ROW()-1)</f>
        <v/>
      </c>
      <c r="B953" s="17" t="str">
        <f>IF('01_Rohdaten'!A953="","",'01_Rohdaten'!A953)</f>
        <v/>
      </c>
      <c r="C953" s="17" t="str">
        <f>IF(B953="","",INDEX('01_Rohdaten'!B953:D953,'02_Eingaben'!$C$13))</f>
        <v/>
      </c>
      <c r="D953" s="17" t="str">
        <f>IF(C953="","",C953*'02_Eingaben'!$C$15)</f>
        <v/>
      </c>
      <c r="E953" s="17" t="str">
        <f>IF(D953="","",D953*'02_Eingaben'!$C$8)</f>
        <v/>
      </c>
      <c r="F953" s="17" t="str">
        <f>IF(E953="","",AVERAGE(INDEX($E$2:$E$3001,MAX(1,ROW()-1-'02_Eingaben'!$C$17)):INDEX($E$2:$E$3001,MIN('02_Eingaben'!$C$21,ROW()-1+'02_Eingaben'!$C$17))))</f>
        <v/>
      </c>
      <c r="G953" s="17" t="str">
        <f>IF(F953="","",F953-'02_Eingaben'!$C$10)</f>
        <v/>
      </c>
      <c r="H953" t="str">
        <f>IF(F953="","",IF(F953&lt;'02_Eingaben'!$C$18*'02_Eingaben'!$C$10,1,0))</f>
        <v/>
      </c>
      <c r="I953" s="17" t="str">
        <f t="shared" si="14"/>
        <v/>
      </c>
      <c r="J953" s="17" t="str">
        <f>IF(B953="","",IF(B952&lt;'02_Eingaben'!$C$36,0,J952+I952/'02_Eingaben'!$C$8))</f>
        <v/>
      </c>
    </row>
    <row r="954" spans="1:10" x14ac:dyDescent="0.25">
      <c r="A954" t="str">
        <f>IF('01_Rohdaten'!A954="","",ROW()-1)</f>
        <v/>
      </c>
      <c r="B954" s="17" t="str">
        <f>IF('01_Rohdaten'!A954="","",'01_Rohdaten'!A954)</f>
        <v/>
      </c>
      <c r="C954" s="17" t="str">
        <f>IF(B954="","",INDEX('01_Rohdaten'!B954:D954,'02_Eingaben'!$C$13))</f>
        <v/>
      </c>
      <c r="D954" s="17" t="str">
        <f>IF(C954="","",C954*'02_Eingaben'!$C$15)</f>
        <v/>
      </c>
      <c r="E954" s="17" t="str">
        <f>IF(D954="","",D954*'02_Eingaben'!$C$8)</f>
        <v/>
      </c>
      <c r="F954" s="17" t="str">
        <f>IF(E954="","",AVERAGE(INDEX($E$2:$E$3001,MAX(1,ROW()-1-'02_Eingaben'!$C$17)):INDEX($E$2:$E$3001,MIN('02_Eingaben'!$C$21,ROW()-1+'02_Eingaben'!$C$17))))</f>
        <v/>
      </c>
      <c r="G954" s="17" t="str">
        <f>IF(F954="","",F954-'02_Eingaben'!$C$10)</f>
        <v/>
      </c>
      <c r="H954" t="str">
        <f>IF(F954="","",IF(F954&lt;'02_Eingaben'!$C$18*'02_Eingaben'!$C$10,1,0))</f>
        <v/>
      </c>
      <c r="I954" s="17" t="str">
        <f t="shared" si="14"/>
        <v/>
      </c>
      <c r="J954" s="17" t="str">
        <f>IF(B954="","",IF(B953&lt;'02_Eingaben'!$C$36,0,J953+I953/'02_Eingaben'!$C$8))</f>
        <v/>
      </c>
    </row>
    <row r="955" spans="1:10" x14ac:dyDescent="0.25">
      <c r="A955" t="str">
        <f>IF('01_Rohdaten'!A955="","",ROW()-1)</f>
        <v/>
      </c>
      <c r="B955" s="17" t="str">
        <f>IF('01_Rohdaten'!A955="","",'01_Rohdaten'!A955)</f>
        <v/>
      </c>
      <c r="C955" s="17" t="str">
        <f>IF(B955="","",INDEX('01_Rohdaten'!B955:D955,'02_Eingaben'!$C$13))</f>
        <v/>
      </c>
      <c r="D955" s="17" t="str">
        <f>IF(C955="","",C955*'02_Eingaben'!$C$15)</f>
        <v/>
      </c>
      <c r="E955" s="17" t="str">
        <f>IF(D955="","",D955*'02_Eingaben'!$C$8)</f>
        <v/>
      </c>
      <c r="F955" s="17" t="str">
        <f>IF(E955="","",AVERAGE(INDEX($E$2:$E$3001,MAX(1,ROW()-1-'02_Eingaben'!$C$17)):INDEX($E$2:$E$3001,MIN('02_Eingaben'!$C$21,ROW()-1+'02_Eingaben'!$C$17))))</f>
        <v/>
      </c>
      <c r="G955" s="17" t="str">
        <f>IF(F955="","",F955-'02_Eingaben'!$C$10)</f>
        <v/>
      </c>
      <c r="H955" t="str">
        <f>IF(F955="","",IF(F955&lt;'02_Eingaben'!$C$18*'02_Eingaben'!$C$10,1,0))</f>
        <v/>
      </c>
      <c r="I955" s="17" t="str">
        <f t="shared" si="14"/>
        <v/>
      </c>
      <c r="J955" s="17" t="str">
        <f>IF(B955="","",IF(B954&lt;'02_Eingaben'!$C$36,0,J954+I954/'02_Eingaben'!$C$8))</f>
        <v/>
      </c>
    </row>
    <row r="956" spans="1:10" x14ac:dyDescent="0.25">
      <c r="A956" t="str">
        <f>IF('01_Rohdaten'!A956="","",ROW()-1)</f>
        <v/>
      </c>
      <c r="B956" s="17" t="str">
        <f>IF('01_Rohdaten'!A956="","",'01_Rohdaten'!A956)</f>
        <v/>
      </c>
      <c r="C956" s="17" t="str">
        <f>IF(B956="","",INDEX('01_Rohdaten'!B956:D956,'02_Eingaben'!$C$13))</f>
        <v/>
      </c>
      <c r="D956" s="17" t="str">
        <f>IF(C956="","",C956*'02_Eingaben'!$C$15)</f>
        <v/>
      </c>
      <c r="E956" s="17" t="str">
        <f>IF(D956="","",D956*'02_Eingaben'!$C$8)</f>
        <v/>
      </c>
      <c r="F956" s="17" t="str">
        <f>IF(E956="","",AVERAGE(INDEX($E$2:$E$3001,MAX(1,ROW()-1-'02_Eingaben'!$C$17)):INDEX($E$2:$E$3001,MIN('02_Eingaben'!$C$21,ROW()-1+'02_Eingaben'!$C$17))))</f>
        <v/>
      </c>
      <c r="G956" s="17" t="str">
        <f>IF(F956="","",F956-'02_Eingaben'!$C$10)</f>
        <v/>
      </c>
      <c r="H956" t="str">
        <f>IF(F956="","",IF(F956&lt;'02_Eingaben'!$C$18*'02_Eingaben'!$C$10,1,0))</f>
        <v/>
      </c>
      <c r="I956" s="17" t="str">
        <f t="shared" si="14"/>
        <v/>
      </c>
      <c r="J956" s="17" t="str">
        <f>IF(B956="","",IF(B955&lt;'02_Eingaben'!$C$36,0,J955+I955/'02_Eingaben'!$C$8))</f>
        <v/>
      </c>
    </row>
    <row r="957" spans="1:10" x14ac:dyDescent="0.25">
      <c r="A957" t="str">
        <f>IF('01_Rohdaten'!A957="","",ROW()-1)</f>
        <v/>
      </c>
      <c r="B957" s="17" t="str">
        <f>IF('01_Rohdaten'!A957="","",'01_Rohdaten'!A957)</f>
        <v/>
      </c>
      <c r="C957" s="17" t="str">
        <f>IF(B957="","",INDEX('01_Rohdaten'!B957:D957,'02_Eingaben'!$C$13))</f>
        <v/>
      </c>
      <c r="D957" s="17" t="str">
        <f>IF(C957="","",C957*'02_Eingaben'!$C$15)</f>
        <v/>
      </c>
      <c r="E957" s="17" t="str">
        <f>IF(D957="","",D957*'02_Eingaben'!$C$8)</f>
        <v/>
      </c>
      <c r="F957" s="17" t="str">
        <f>IF(E957="","",AVERAGE(INDEX($E$2:$E$3001,MAX(1,ROW()-1-'02_Eingaben'!$C$17)):INDEX($E$2:$E$3001,MIN('02_Eingaben'!$C$21,ROW()-1+'02_Eingaben'!$C$17))))</f>
        <v/>
      </c>
      <c r="G957" s="17" t="str">
        <f>IF(F957="","",F957-'02_Eingaben'!$C$10)</f>
        <v/>
      </c>
      <c r="H957" t="str">
        <f>IF(F957="","",IF(F957&lt;'02_Eingaben'!$C$18*'02_Eingaben'!$C$10,1,0))</f>
        <v/>
      </c>
      <c r="I957" s="17" t="str">
        <f t="shared" si="14"/>
        <v/>
      </c>
      <c r="J957" s="17" t="str">
        <f>IF(B957="","",IF(B956&lt;'02_Eingaben'!$C$36,0,J956+I956/'02_Eingaben'!$C$8))</f>
        <v/>
      </c>
    </row>
    <row r="958" spans="1:10" x14ac:dyDescent="0.25">
      <c r="A958" t="str">
        <f>IF('01_Rohdaten'!A958="","",ROW()-1)</f>
        <v/>
      </c>
      <c r="B958" s="17" t="str">
        <f>IF('01_Rohdaten'!A958="","",'01_Rohdaten'!A958)</f>
        <v/>
      </c>
      <c r="C958" s="17" t="str">
        <f>IF(B958="","",INDEX('01_Rohdaten'!B958:D958,'02_Eingaben'!$C$13))</f>
        <v/>
      </c>
      <c r="D958" s="17" t="str">
        <f>IF(C958="","",C958*'02_Eingaben'!$C$15)</f>
        <v/>
      </c>
      <c r="E958" s="17" t="str">
        <f>IF(D958="","",D958*'02_Eingaben'!$C$8)</f>
        <v/>
      </c>
      <c r="F958" s="17" t="str">
        <f>IF(E958="","",AVERAGE(INDEX($E$2:$E$3001,MAX(1,ROW()-1-'02_Eingaben'!$C$17)):INDEX($E$2:$E$3001,MIN('02_Eingaben'!$C$21,ROW()-1+'02_Eingaben'!$C$17))))</f>
        <v/>
      </c>
      <c r="G958" s="17" t="str">
        <f>IF(F958="","",F958-'02_Eingaben'!$C$10)</f>
        <v/>
      </c>
      <c r="H958" t="str">
        <f>IF(F958="","",IF(F958&lt;'02_Eingaben'!$C$18*'02_Eingaben'!$C$10,1,0))</f>
        <v/>
      </c>
      <c r="I958" s="17" t="str">
        <f t="shared" si="14"/>
        <v/>
      </c>
      <c r="J958" s="17" t="str">
        <f>IF(B958="","",IF(B957&lt;'02_Eingaben'!$C$36,0,J957+I957/'02_Eingaben'!$C$8))</f>
        <v/>
      </c>
    </row>
    <row r="959" spans="1:10" x14ac:dyDescent="0.25">
      <c r="A959" t="str">
        <f>IF('01_Rohdaten'!A959="","",ROW()-1)</f>
        <v/>
      </c>
      <c r="B959" s="17" t="str">
        <f>IF('01_Rohdaten'!A959="","",'01_Rohdaten'!A959)</f>
        <v/>
      </c>
      <c r="C959" s="17" t="str">
        <f>IF(B959="","",INDEX('01_Rohdaten'!B959:D959,'02_Eingaben'!$C$13))</f>
        <v/>
      </c>
      <c r="D959" s="17" t="str">
        <f>IF(C959="","",C959*'02_Eingaben'!$C$15)</f>
        <v/>
      </c>
      <c r="E959" s="17" t="str">
        <f>IF(D959="","",D959*'02_Eingaben'!$C$8)</f>
        <v/>
      </c>
      <c r="F959" s="17" t="str">
        <f>IF(E959="","",AVERAGE(INDEX($E$2:$E$3001,MAX(1,ROW()-1-'02_Eingaben'!$C$17)):INDEX($E$2:$E$3001,MIN('02_Eingaben'!$C$21,ROW()-1+'02_Eingaben'!$C$17))))</f>
        <v/>
      </c>
      <c r="G959" s="17" t="str">
        <f>IF(F959="","",F959-'02_Eingaben'!$C$10)</f>
        <v/>
      </c>
      <c r="H959" t="str">
        <f>IF(F959="","",IF(F959&lt;'02_Eingaben'!$C$18*'02_Eingaben'!$C$10,1,0))</f>
        <v/>
      </c>
      <c r="I959" s="17" t="str">
        <f t="shared" si="14"/>
        <v/>
      </c>
      <c r="J959" s="17" t="str">
        <f>IF(B959="","",IF(B958&lt;'02_Eingaben'!$C$36,0,J958+I958/'02_Eingaben'!$C$8))</f>
        <v/>
      </c>
    </row>
    <row r="960" spans="1:10" x14ac:dyDescent="0.25">
      <c r="A960" t="str">
        <f>IF('01_Rohdaten'!A960="","",ROW()-1)</f>
        <v/>
      </c>
      <c r="B960" s="17" t="str">
        <f>IF('01_Rohdaten'!A960="","",'01_Rohdaten'!A960)</f>
        <v/>
      </c>
      <c r="C960" s="17" t="str">
        <f>IF(B960="","",INDEX('01_Rohdaten'!B960:D960,'02_Eingaben'!$C$13))</f>
        <v/>
      </c>
      <c r="D960" s="17" t="str">
        <f>IF(C960="","",C960*'02_Eingaben'!$C$15)</f>
        <v/>
      </c>
      <c r="E960" s="17" t="str">
        <f>IF(D960="","",D960*'02_Eingaben'!$C$8)</f>
        <v/>
      </c>
      <c r="F960" s="17" t="str">
        <f>IF(E960="","",AVERAGE(INDEX($E$2:$E$3001,MAX(1,ROW()-1-'02_Eingaben'!$C$17)):INDEX($E$2:$E$3001,MIN('02_Eingaben'!$C$21,ROW()-1+'02_Eingaben'!$C$17))))</f>
        <v/>
      </c>
      <c r="G960" s="17" t="str">
        <f>IF(F960="","",F960-'02_Eingaben'!$C$10)</f>
        <v/>
      </c>
      <c r="H960" t="str">
        <f>IF(F960="","",IF(F960&lt;'02_Eingaben'!$C$18*'02_Eingaben'!$C$10,1,0))</f>
        <v/>
      </c>
      <c r="I960" s="17" t="str">
        <f t="shared" si="14"/>
        <v/>
      </c>
      <c r="J960" s="17" t="str">
        <f>IF(B960="","",IF(B959&lt;'02_Eingaben'!$C$36,0,J959+I959/'02_Eingaben'!$C$8))</f>
        <v/>
      </c>
    </row>
    <row r="961" spans="1:10" x14ac:dyDescent="0.25">
      <c r="A961" t="str">
        <f>IF('01_Rohdaten'!A961="","",ROW()-1)</f>
        <v/>
      </c>
      <c r="B961" s="17" t="str">
        <f>IF('01_Rohdaten'!A961="","",'01_Rohdaten'!A961)</f>
        <v/>
      </c>
      <c r="C961" s="17" t="str">
        <f>IF(B961="","",INDEX('01_Rohdaten'!B961:D961,'02_Eingaben'!$C$13))</f>
        <v/>
      </c>
      <c r="D961" s="17" t="str">
        <f>IF(C961="","",C961*'02_Eingaben'!$C$15)</f>
        <v/>
      </c>
      <c r="E961" s="17" t="str">
        <f>IF(D961="","",D961*'02_Eingaben'!$C$8)</f>
        <v/>
      </c>
      <c r="F961" s="17" t="str">
        <f>IF(E961="","",AVERAGE(INDEX($E$2:$E$3001,MAX(1,ROW()-1-'02_Eingaben'!$C$17)):INDEX($E$2:$E$3001,MIN('02_Eingaben'!$C$21,ROW()-1+'02_Eingaben'!$C$17))))</f>
        <v/>
      </c>
      <c r="G961" s="17" t="str">
        <f>IF(F961="","",F961-'02_Eingaben'!$C$10)</f>
        <v/>
      </c>
      <c r="H961" t="str">
        <f>IF(F961="","",IF(F961&lt;'02_Eingaben'!$C$18*'02_Eingaben'!$C$10,1,0))</f>
        <v/>
      </c>
      <c r="I961" s="17" t="str">
        <f t="shared" si="14"/>
        <v/>
      </c>
      <c r="J961" s="17" t="str">
        <f>IF(B961="","",IF(B960&lt;'02_Eingaben'!$C$36,0,J960+I960/'02_Eingaben'!$C$8))</f>
        <v/>
      </c>
    </row>
    <row r="962" spans="1:10" x14ac:dyDescent="0.25">
      <c r="A962" t="str">
        <f>IF('01_Rohdaten'!A962="","",ROW()-1)</f>
        <v/>
      </c>
      <c r="B962" s="17" t="str">
        <f>IF('01_Rohdaten'!A962="","",'01_Rohdaten'!A962)</f>
        <v/>
      </c>
      <c r="C962" s="17" t="str">
        <f>IF(B962="","",INDEX('01_Rohdaten'!B962:D962,'02_Eingaben'!$C$13))</f>
        <v/>
      </c>
      <c r="D962" s="17" t="str">
        <f>IF(C962="","",C962*'02_Eingaben'!$C$15)</f>
        <v/>
      </c>
      <c r="E962" s="17" t="str">
        <f>IF(D962="","",D962*'02_Eingaben'!$C$8)</f>
        <v/>
      </c>
      <c r="F962" s="17" t="str">
        <f>IF(E962="","",AVERAGE(INDEX($E$2:$E$3001,MAX(1,ROW()-1-'02_Eingaben'!$C$17)):INDEX($E$2:$E$3001,MIN('02_Eingaben'!$C$21,ROW()-1+'02_Eingaben'!$C$17))))</f>
        <v/>
      </c>
      <c r="G962" s="17" t="str">
        <f>IF(F962="","",F962-'02_Eingaben'!$C$10)</f>
        <v/>
      </c>
      <c r="H962" t="str">
        <f>IF(F962="","",IF(F962&lt;'02_Eingaben'!$C$18*'02_Eingaben'!$C$10,1,0))</f>
        <v/>
      </c>
      <c r="I962" s="17" t="str">
        <f t="shared" ref="I962:I1025" si="15">IF(OR(G962="",G963=""),"",(G962+G963)/2*(B963-B962))</f>
        <v/>
      </c>
      <c r="J962" s="17" t="str">
        <f>IF(B962="","",IF(B961&lt;'02_Eingaben'!$C$36,0,J961+I961/'02_Eingaben'!$C$8))</f>
        <v/>
      </c>
    </row>
    <row r="963" spans="1:10" x14ac:dyDescent="0.25">
      <c r="A963" t="str">
        <f>IF('01_Rohdaten'!A963="","",ROW()-1)</f>
        <v/>
      </c>
      <c r="B963" s="17" t="str">
        <f>IF('01_Rohdaten'!A963="","",'01_Rohdaten'!A963)</f>
        <v/>
      </c>
      <c r="C963" s="17" t="str">
        <f>IF(B963="","",INDEX('01_Rohdaten'!B963:D963,'02_Eingaben'!$C$13))</f>
        <v/>
      </c>
      <c r="D963" s="17" t="str">
        <f>IF(C963="","",C963*'02_Eingaben'!$C$15)</f>
        <v/>
      </c>
      <c r="E963" s="17" t="str">
        <f>IF(D963="","",D963*'02_Eingaben'!$C$8)</f>
        <v/>
      </c>
      <c r="F963" s="17" t="str">
        <f>IF(E963="","",AVERAGE(INDEX($E$2:$E$3001,MAX(1,ROW()-1-'02_Eingaben'!$C$17)):INDEX($E$2:$E$3001,MIN('02_Eingaben'!$C$21,ROW()-1+'02_Eingaben'!$C$17))))</f>
        <v/>
      </c>
      <c r="G963" s="17" t="str">
        <f>IF(F963="","",F963-'02_Eingaben'!$C$10)</f>
        <v/>
      </c>
      <c r="H963" t="str">
        <f>IF(F963="","",IF(F963&lt;'02_Eingaben'!$C$18*'02_Eingaben'!$C$10,1,0))</f>
        <v/>
      </c>
      <c r="I963" s="17" t="str">
        <f t="shared" si="15"/>
        <v/>
      </c>
      <c r="J963" s="17" t="str">
        <f>IF(B963="","",IF(B962&lt;'02_Eingaben'!$C$36,0,J962+I962/'02_Eingaben'!$C$8))</f>
        <v/>
      </c>
    </row>
    <row r="964" spans="1:10" x14ac:dyDescent="0.25">
      <c r="A964" t="str">
        <f>IF('01_Rohdaten'!A964="","",ROW()-1)</f>
        <v/>
      </c>
      <c r="B964" s="17" t="str">
        <f>IF('01_Rohdaten'!A964="","",'01_Rohdaten'!A964)</f>
        <v/>
      </c>
      <c r="C964" s="17" t="str">
        <f>IF(B964="","",INDEX('01_Rohdaten'!B964:D964,'02_Eingaben'!$C$13))</f>
        <v/>
      </c>
      <c r="D964" s="17" t="str">
        <f>IF(C964="","",C964*'02_Eingaben'!$C$15)</f>
        <v/>
      </c>
      <c r="E964" s="17" t="str">
        <f>IF(D964="","",D964*'02_Eingaben'!$C$8)</f>
        <v/>
      </c>
      <c r="F964" s="17" t="str">
        <f>IF(E964="","",AVERAGE(INDEX($E$2:$E$3001,MAX(1,ROW()-1-'02_Eingaben'!$C$17)):INDEX($E$2:$E$3001,MIN('02_Eingaben'!$C$21,ROW()-1+'02_Eingaben'!$C$17))))</f>
        <v/>
      </c>
      <c r="G964" s="17" t="str">
        <f>IF(F964="","",F964-'02_Eingaben'!$C$10)</f>
        <v/>
      </c>
      <c r="H964" t="str">
        <f>IF(F964="","",IF(F964&lt;'02_Eingaben'!$C$18*'02_Eingaben'!$C$10,1,0))</f>
        <v/>
      </c>
      <c r="I964" s="17" t="str">
        <f t="shared" si="15"/>
        <v/>
      </c>
      <c r="J964" s="17" t="str">
        <f>IF(B964="","",IF(B963&lt;'02_Eingaben'!$C$36,0,J963+I963/'02_Eingaben'!$C$8))</f>
        <v/>
      </c>
    </row>
    <row r="965" spans="1:10" x14ac:dyDescent="0.25">
      <c r="A965" t="str">
        <f>IF('01_Rohdaten'!A965="","",ROW()-1)</f>
        <v/>
      </c>
      <c r="B965" s="17" t="str">
        <f>IF('01_Rohdaten'!A965="","",'01_Rohdaten'!A965)</f>
        <v/>
      </c>
      <c r="C965" s="17" t="str">
        <f>IF(B965="","",INDEX('01_Rohdaten'!B965:D965,'02_Eingaben'!$C$13))</f>
        <v/>
      </c>
      <c r="D965" s="17" t="str">
        <f>IF(C965="","",C965*'02_Eingaben'!$C$15)</f>
        <v/>
      </c>
      <c r="E965" s="17" t="str">
        <f>IF(D965="","",D965*'02_Eingaben'!$C$8)</f>
        <v/>
      </c>
      <c r="F965" s="17" t="str">
        <f>IF(E965="","",AVERAGE(INDEX($E$2:$E$3001,MAX(1,ROW()-1-'02_Eingaben'!$C$17)):INDEX($E$2:$E$3001,MIN('02_Eingaben'!$C$21,ROW()-1+'02_Eingaben'!$C$17))))</f>
        <v/>
      </c>
      <c r="G965" s="17" t="str">
        <f>IF(F965="","",F965-'02_Eingaben'!$C$10)</f>
        <v/>
      </c>
      <c r="H965" t="str">
        <f>IF(F965="","",IF(F965&lt;'02_Eingaben'!$C$18*'02_Eingaben'!$C$10,1,0))</f>
        <v/>
      </c>
      <c r="I965" s="17" t="str">
        <f t="shared" si="15"/>
        <v/>
      </c>
      <c r="J965" s="17" t="str">
        <f>IF(B965="","",IF(B964&lt;'02_Eingaben'!$C$36,0,J964+I964/'02_Eingaben'!$C$8))</f>
        <v/>
      </c>
    </row>
    <row r="966" spans="1:10" x14ac:dyDescent="0.25">
      <c r="A966" t="str">
        <f>IF('01_Rohdaten'!A966="","",ROW()-1)</f>
        <v/>
      </c>
      <c r="B966" s="17" t="str">
        <f>IF('01_Rohdaten'!A966="","",'01_Rohdaten'!A966)</f>
        <v/>
      </c>
      <c r="C966" s="17" t="str">
        <f>IF(B966="","",INDEX('01_Rohdaten'!B966:D966,'02_Eingaben'!$C$13))</f>
        <v/>
      </c>
      <c r="D966" s="17" t="str">
        <f>IF(C966="","",C966*'02_Eingaben'!$C$15)</f>
        <v/>
      </c>
      <c r="E966" s="17" t="str">
        <f>IF(D966="","",D966*'02_Eingaben'!$C$8)</f>
        <v/>
      </c>
      <c r="F966" s="17" t="str">
        <f>IF(E966="","",AVERAGE(INDEX($E$2:$E$3001,MAX(1,ROW()-1-'02_Eingaben'!$C$17)):INDEX($E$2:$E$3001,MIN('02_Eingaben'!$C$21,ROW()-1+'02_Eingaben'!$C$17))))</f>
        <v/>
      </c>
      <c r="G966" s="17" t="str">
        <f>IF(F966="","",F966-'02_Eingaben'!$C$10)</f>
        <v/>
      </c>
      <c r="H966" t="str">
        <f>IF(F966="","",IF(F966&lt;'02_Eingaben'!$C$18*'02_Eingaben'!$C$10,1,0))</f>
        <v/>
      </c>
      <c r="I966" s="17" t="str">
        <f t="shared" si="15"/>
        <v/>
      </c>
      <c r="J966" s="17" t="str">
        <f>IF(B966="","",IF(B965&lt;'02_Eingaben'!$C$36,0,J965+I965/'02_Eingaben'!$C$8))</f>
        <v/>
      </c>
    </row>
    <row r="967" spans="1:10" x14ac:dyDescent="0.25">
      <c r="A967" t="str">
        <f>IF('01_Rohdaten'!A967="","",ROW()-1)</f>
        <v/>
      </c>
      <c r="B967" s="17" t="str">
        <f>IF('01_Rohdaten'!A967="","",'01_Rohdaten'!A967)</f>
        <v/>
      </c>
      <c r="C967" s="17" t="str">
        <f>IF(B967="","",INDEX('01_Rohdaten'!B967:D967,'02_Eingaben'!$C$13))</f>
        <v/>
      </c>
      <c r="D967" s="17" t="str">
        <f>IF(C967="","",C967*'02_Eingaben'!$C$15)</f>
        <v/>
      </c>
      <c r="E967" s="17" t="str">
        <f>IF(D967="","",D967*'02_Eingaben'!$C$8)</f>
        <v/>
      </c>
      <c r="F967" s="17" t="str">
        <f>IF(E967="","",AVERAGE(INDEX($E$2:$E$3001,MAX(1,ROW()-1-'02_Eingaben'!$C$17)):INDEX($E$2:$E$3001,MIN('02_Eingaben'!$C$21,ROW()-1+'02_Eingaben'!$C$17))))</f>
        <v/>
      </c>
      <c r="G967" s="17" t="str">
        <f>IF(F967="","",F967-'02_Eingaben'!$C$10)</f>
        <v/>
      </c>
      <c r="H967" t="str">
        <f>IF(F967="","",IF(F967&lt;'02_Eingaben'!$C$18*'02_Eingaben'!$C$10,1,0))</f>
        <v/>
      </c>
      <c r="I967" s="17" t="str">
        <f t="shared" si="15"/>
        <v/>
      </c>
      <c r="J967" s="17" t="str">
        <f>IF(B967="","",IF(B966&lt;'02_Eingaben'!$C$36,0,J966+I966/'02_Eingaben'!$C$8))</f>
        <v/>
      </c>
    </row>
    <row r="968" spans="1:10" x14ac:dyDescent="0.25">
      <c r="A968" t="str">
        <f>IF('01_Rohdaten'!A968="","",ROW()-1)</f>
        <v/>
      </c>
      <c r="B968" s="17" t="str">
        <f>IF('01_Rohdaten'!A968="","",'01_Rohdaten'!A968)</f>
        <v/>
      </c>
      <c r="C968" s="17" t="str">
        <f>IF(B968="","",INDEX('01_Rohdaten'!B968:D968,'02_Eingaben'!$C$13))</f>
        <v/>
      </c>
      <c r="D968" s="17" t="str">
        <f>IF(C968="","",C968*'02_Eingaben'!$C$15)</f>
        <v/>
      </c>
      <c r="E968" s="17" t="str">
        <f>IF(D968="","",D968*'02_Eingaben'!$C$8)</f>
        <v/>
      </c>
      <c r="F968" s="17" t="str">
        <f>IF(E968="","",AVERAGE(INDEX($E$2:$E$3001,MAX(1,ROW()-1-'02_Eingaben'!$C$17)):INDEX($E$2:$E$3001,MIN('02_Eingaben'!$C$21,ROW()-1+'02_Eingaben'!$C$17))))</f>
        <v/>
      </c>
      <c r="G968" s="17" t="str">
        <f>IF(F968="","",F968-'02_Eingaben'!$C$10)</f>
        <v/>
      </c>
      <c r="H968" t="str">
        <f>IF(F968="","",IF(F968&lt;'02_Eingaben'!$C$18*'02_Eingaben'!$C$10,1,0))</f>
        <v/>
      </c>
      <c r="I968" s="17" t="str">
        <f t="shared" si="15"/>
        <v/>
      </c>
      <c r="J968" s="17" t="str">
        <f>IF(B968="","",IF(B967&lt;'02_Eingaben'!$C$36,0,J967+I967/'02_Eingaben'!$C$8))</f>
        <v/>
      </c>
    </row>
    <row r="969" spans="1:10" x14ac:dyDescent="0.25">
      <c r="A969" t="str">
        <f>IF('01_Rohdaten'!A969="","",ROW()-1)</f>
        <v/>
      </c>
      <c r="B969" s="17" t="str">
        <f>IF('01_Rohdaten'!A969="","",'01_Rohdaten'!A969)</f>
        <v/>
      </c>
      <c r="C969" s="17" t="str">
        <f>IF(B969="","",INDEX('01_Rohdaten'!B969:D969,'02_Eingaben'!$C$13))</f>
        <v/>
      </c>
      <c r="D969" s="17" t="str">
        <f>IF(C969="","",C969*'02_Eingaben'!$C$15)</f>
        <v/>
      </c>
      <c r="E969" s="17" t="str">
        <f>IF(D969="","",D969*'02_Eingaben'!$C$8)</f>
        <v/>
      </c>
      <c r="F969" s="17" t="str">
        <f>IF(E969="","",AVERAGE(INDEX($E$2:$E$3001,MAX(1,ROW()-1-'02_Eingaben'!$C$17)):INDEX($E$2:$E$3001,MIN('02_Eingaben'!$C$21,ROW()-1+'02_Eingaben'!$C$17))))</f>
        <v/>
      </c>
      <c r="G969" s="17" t="str">
        <f>IF(F969="","",F969-'02_Eingaben'!$C$10)</f>
        <v/>
      </c>
      <c r="H969" t="str">
        <f>IF(F969="","",IF(F969&lt;'02_Eingaben'!$C$18*'02_Eingaben'!$C$10,1,0))</f>
        <v/>
      </c>
      <c r="I969" s="17" t="str">
        <f t="shared" si="15"/>
        <v/>
      </c>
      <c r="J969" s="17" t="str">
        <f>IF(B969="","",IF(B968&lt;'02_Eingaben'!$C$36,0,J968+I968/'02_Eingaben'!$C$8))</f>
        <v/>
      </c>
    </row>
    <row r="970" spans="1:10" x14ac:dyDescent="0.25">
      <c r="A970" t="str">
        <f>IF('01_Rohdaten'!A970="","",ROW()-1)</f>
        <v/>
      </c>
      <c r="B970" s="17" t="str">
        <f>IF('01_Rohdaten'!A970="","",'01_Rohdaten'!A970)</f>
        <v/>
      </c>
      <c r="C970" s="17" t="str">
        <f>IF(B970="","",INDEX('01_Rohdaten'!B970:D970,'02_Eingaben'!$C$13))</f>
        <v/>
      </c>
      <c r="D970" s="17" t="str">
        <f>IF(C970="","",C970*'02_Eingaben'!$C$15)</f>
        <v/>
      </c>
      <c r="E970" s="17" t="str">
        <f>IF(D970="","",D970*'02_Eingaben'!$C$8)</f>
        <v/>
      </c>
      <c r="F970" s="17" t="str">
        <f>IF(E970="","",AVERAGE(INDEX($E$2:$E$3001,MAX(1,ROW()-1-'02_Eingaben'!$C$17)):INDEX($E$2:$E$3001,MIN('02_Eingaben'!$C$21,ROW()-1+'02_Eingaben'!$C$17))))</f>
        <v/>
      </c>
      <c r="G970" s="17" t="str">
        <f>IF(F970="","",F970-'02_Eingaben'!$C$10)</f>
        <v/>
      </c>
      <c r="H970" t="str">
        <f>IF(F970="","",IF(F970&lt;'02_Eingaben'!$C$18*'02_Eingaben'!$C$10,1,0))</f>
        <v/>
      </c>
      <c r="I970" s="17" t="str">
        <f t="shared" si="15"/>
        <v/>
      </c>
      <c r="J970" s="17" t="str">
        <f>IF(B970="","",IF(B969&lt;'02_Eingaben'!$C$36,0,J969+I969/'02_Eingaben'!$C$8))</f>
        <v/>
      </c>
    </row>
    <row r="971" spans="1:10" x14ac:dyDescent="0.25">
      <c r="A971" t="str">
        <f>IF('01_Rohdaten'!A971="","",ROW()-1)</f>
        <v/>
      </c>
      <c r="B971" s="17" t="str">
        <f>IF('01_Rohdaten'!A971="","",'01_Rohdaten'!A971)</f>
        <v/>
      </c>
      <c r="C971" s="17" t="str">
        <f>IF(B971="","",INDEX('01_Rohdaten'!B971:D971,'02_Eingaben'!$C$13))</f>
        <v/>
      </c>
      <c r="D971" s="17" t="str">
        <f>IF(C971="","",C971*'02_Eingaben'!$C$15)</f>
        <v/>
      </c>
      <c r="E971" s="17" t="str">
        <f>IF(D971="","",D971*'02_Eingaben'!$C$8)</f>
        <v/>
      </c>
      <c r="F971" s="17" t="str">
        <f>IF(E971="","",AVERAGE(INDEX($E$2:$E$3001,MAX(1,ROW()-1-'02_Eingaben'!$C$17)):INDEX($E$2:$E$3001,MIN('02_Eingaben'!$C$21,ROW()-1+'02_Eingaben'!$C$17))))</f>
        <v/>
      </c>
      <c r="G971" s="17" t="str">
        <f>IF(F971="","",F971-'02_Eingaben'!$C$10)</f>
        <v/>
      </c>
      <c r="H971" t="str">
        <f>IF(F971="","",IF(F971&lt;'02_Eingaben'!$C$18*'02_Eingaben'!$C$10,1,0))</f>
        <v/>
      </c>
      <c r="I971" s="17" t="str">
        <f t="shared" si="15"/>
        <v/>
      </c>
      <c r="J971" s="17" t="str">
        <f>IF(B971="","",IF(B970&lt;'02_Eingaben'!$C$36,0,J970+I970/'02_Eingaben'!$C$8))</f>
        <v/>
      </c>
    </row>
    <row r="972" spans="1:10" x14ac:dyDescent="0.25">
      <c r="A972" t="str">
        <f>IF('01_Rohdaten'!A972="","",ROW()-1)</f>
        <v/>
      </c>
      <c r="B972" s="17" t="str">
        <f>IF('01_Rohdaten'!A972="","",'01_Rohdaten'!A972)</f>
        <v/>
      </c>
      <c r="C972" s="17" t="str">
        <f>IF(B972="","",INDEX('01_Rohdaten'!B972:D972,'02_Eingaben'!$C$13))</f>
        <v/>
      </c>
      <c r="D972" s="17" t="str">
        <f>IF(C972="","",C972*'02_Eingaben'!$C$15)</f>
        <v/>
      </c>
      <c r="E972" s="17" t="str">
        <f>IF(D972="","",D972*'02_Eingaben'!$C$8)</f>
        <v/>
      </c>
      <c r="F972" s="17" t="str">
        <f>IF(E972="","",AVERAGE(INDEX($E$2:$E$3001,MAX(1,ROW()-1-'02_Eingaben'!$C$17)):INDEX($E$2:$E$3001,MIN('02_Eingaben'!$C$21,ROW()-1+'02_Eingaben'!$C$17))))</f>
        <v/>
      </c>
      <c r="G972" s="17" t="str">
        <f>IF(F972="","",F972-'02_Eingaben'!$C$10)</f>
        <v/>
      </c>
      <c r="H972" t="str">
        <f>IF(F972="","",IF(F972&lt;'02_Eingaben'!$C$18*'02_Eingaben'!$C$10,1,0))</f>
        <v/>
      </c>
      <c r="I972" s="17" t="str">
        <f t="shared" si="15"/>
        <v/>
      </c>
      <c r="J972" s="17" t="str">
        <f>IF(B972="","",IF(B971&lt;'02_Eingaben'!$C$36,0,J971+I971/'02_Eingaben'!$C$8))</f>
        <v/>
      </c>
    </row>
    <row r="973" spans="1:10" x14ac:dyDescent="0.25">
      <c r="A973" t="str">
        <f>IF('01_Rohdaten'!A973="","",ROW()-1)</f>
        <v/>
      </c>
      <c r="B973" s="17" t="str">
        <f>IF('01_Rohdaten'!A973="","",'01_Rohdaten'!A973)</f>
        <v/>
      </c>
      <c r="C973" s="17" t="str">
        <f>IF(B973="","",INDEX('01_Rohdaten'!B973:D973,'02_Eingaben'!$C$13))</f>
        <v/>
      </c>
      <c r="D973" s="17" t="str">
        <f>IF(C973="","",C973*'02_Eingaben'!$C$15)</f>
        <v/>
      </c>
      <c r="E973" s="17" t="str">
        <f>IF(D973="","",D973*'02_Eingaben'!$C$8)</f>
        <v/>
      </c>
      <c r="F973" s="17" t="str">
        <f>IF(E973="","",AVERAGE(INDEX($E$2:$E$3001,MAX(1,ROW()-1-'02_Eingaben'!$C$17)):INDEX($E$2:$E$3001,MIN('02_Eingaben'!$C$21,ROW()-1+'02_Eingaben'!$C$17))))</f>
        <v/>
      </c>
      <c r="G973" s="17" t="str">
        <f>IF(F973="","",F973-'02_Eingaben'!$C$10)</f>
        <v/>
      </c>
      <c r="H973" t="str">
        <f>IF(F973="","",IF(F973&lt;'02_Eingaben'!$C$18*'02_Eingaben'!$C$10,1,0))</f>
        <v/>
      </c>
      <c r="I973" s="17" t="str">
        <f t="shared" si="15"/>
        <v/>
      </c>
      <c r="J973" s="17" t="str">
        <f>IF(B973="","",IF(B972&lt;'02_Eingaben'!$C$36,0,J972+I972/'02_Eingaben'!$C$8))</f>
        <v/>
      </c>
    </row>
    <row r="974" spans="1:10" x14ac:dyDescent="0.25">
      <c r="A974" t="str">
        <f>IF('01_Rohdaten'!A974="","",ROW()-1)</f>
        <v/>
      </c>
      <c r="B974" s="17" t="str">
        <f>IF('01_Rohdaten'!A974="","",'01_Rohdaten'!A974)</f>
        <v/>
      </c>
      <c r="C974" s="17" t="str">
        <f>IF(B974="","",INDEX('01_Rohdaten'!B974:D974,'02_Eingaben'!$C$13))</f>
        <v/>
      </c>
      <c r="D974" s="17" t="str">
        <f>IF(C974="","",C974*'02_Eingaben'!$C$15)</f>
        <v/>
      </c>
      <c r="E974" s="17" t="str">
        <f>IF(D974="","",D974*'02_Eingaben'!$C$8)</f>
        <v/>
      </c>
      <c r="F974" s="17" t="str">
        <f>IF(E974="","",AVERAGE(INDEX($E$2:$E$3001,MAX(1,ROW()-1-'02_Eingaben'!$C$17)):INDEX($E$2:$E$3001,MIN('02_Eingaben'!$C$21,ROW()-1+'02_Eingaben'!$C$17))))</f>
        <v/>
      </c>
      <c r="G974" s="17" t="str">
        <f>IF(F974="","",F974-'02_Eingaben'!$C$10)</f>
        <v/>
      </c>
      <c r="H974" t="str">
        <f>IF(F974="","",IF(F974&lt;'02_Eingaben'!$C$18*'02_Eingaben'!$C$10,1,0))</f>
        <v/>
      </c>
      <c r="I974" s="17" t="str">
        <f t="shared" si="15"/>
        <v/>
      </c>
      <c r="J974" s="17" t="str">
        <f>IF(B974="","",IF(B973&lt;'02_Eingaben'!$C$36,0,J973+I973/'02_Eingaben'!$C$8))</f>
        <v/>
      </c>
    </row>
    <row r="975" spans="1:10" x14ac:dyDescent="0.25">
      <c r="A975" t="str">
        <f>IF('01_Rohdaten'!A975="","",ROW()-1)</f>
        <v/>
      </c>
      <c r="B975" s="17" t="str">
        <f>IF('01_Rohdaten'!A975="","",'01_Rohdaten'!A975)</f>
        <v/>
      </c>
      <c r="C975" s="17" t="str">
        <f>IF(B975="","",INDEX('01_Rohdaten'!B975:D975,'02_Eingaben'!$C$13))</f>
        <v/>
      </c>
      <c r="D975" s="17" t="str">
        <f>IF(C975="","",C975*'02_Eingaben'!$C$15)</f>
        <v/>
      </c>
      <c r="E975" s="17" t="str">
        <f>IF(D975="","",D975*'02_Eingaben'!$C$8)</f>
        <v/>
      </c>
      <c r="F975" s="17" t="str">
        <f>IF(E975="","",AVERAGE(INDEX($E$2:$E$3001,MAX(1,ROW()-1-'02_Eingaben'!$C$17)):INDEX($E$2:$E$3001,MIN('02_Eingaben'!$C$21,ROW()-1+'02_Eingaben'!$C$17))))</f>
        <v/>
      </c>
      <c r="G975" s="17" t="str">
        <f>IF(F975="","",F975-'02_Eingaben'!$C$10)</f>
        <v/>
      </c>
      <c r="H975" t="str">
        <f>IF(F975="","",IF(F975&lt;'02_Eingaben'!$C$18*'02_Eingaben'!$C$10,1,0))</f>
        <v/>
      </c>
      <c r="I975" s="17" t="str">
        <f t="shared" si="15"/>
        <v/>
      </c>
      <c r="J975" s="17" t="str">
        <f>IF(B975="","",IF(B974&lt;'02_Eingaben'!$C$36,0,J974+I974/'02_Eingaben'!$C$8))</f>
        <v/>
      </c>
    </row>
    <row r="976" spans="1:10" x14ac:dyDescent="0.25">
      <c r="A976" t="str">
        <f>IF('01_Rohdaten'!A976="","",ROW()-1)</f>
        <v/>
      </c>
      <c r="B976" s="17" t="str">
        <f>IF('01_Rohdaten'!A976="","",'01_Rohdaten'!A976)</f>
        <v/>
      </c>
      <c r="C976" s="17" t="str">
        <f>IF(B976="","",INDEX('01_Rohdaten'!B976:D976,'02_Eingaben'!$C$13))</f>
        <v/>
      </c>
      <c r="D976" s="17" t="str">
        <f>IF(C976="","",C976*'02_Eingaben'!$C$15)</f>
        <v/>
      </c>
      <c r="E976" s="17" t="str">
        <f>IF(D976="","",D976*'02_Eingaben'!$C$8)</f>
        <v/>
      </c>
      <c r="F976" s="17" t="str">
        <f>IF(E976="","",AVERAGE(INDEX($E$2:$E$3001,MAX(1,ROW()-1-'02_Eingaben'!$C$17)):INDEX($E$2:$E$3001,MIN('02_Eingaben'!$C$21,ROW()-1+'02_Eingaben'!$C$17))))</f>
        <v/>
      </c>
      <c r="G976" s="17" t="str">
        <f>IF(F976="","",F976-'02_Eingaben'!$C$10)</f>
        <v/>
      </c>
      <c r="H976" t="str">
        <f>IF(F976="","",IF(F976&lt;'02_Eingaben'!$C$18*'02_Eingaben'!$C$10,1,0))</f>
        <v/>
      </c>
      <c r="I976" s="17" t="str">
        <f t="shared" si="15"/>
        <v/>
      </c>
      <c r="J976" s="17" t="str">
        <f>IF(B976="","",IF(B975&lt;'02_Eingaben'!$C$36,0,J975+I975/'02_Eingaben'!$C$8))</f>
        <v/>
      </c>
    </row>
    <row r="977" spans="1:10" x14ac:dyDescent="0.25">
      <c r="A977" t="str">
        <f>IF('01_Rohdaten'!A977="","",ROW()-1)</f>
        <v/>
      </c>
      <c r="B977" s="17" t="str">
        <f>IF('01_Rohdaten'!A977="","",'01_Rohdaten'!A977)</f>
        <v/>
      </c>
      <c r="C977" s="17" t="str">
        <f>IF(B977="","",INDEX('01_Rohdaten'!B977:D977,'02_Eingaben'!$C$13))</f>
        <v/>
      </c>
      <c r="D977" s="17" t="str">
        <f>IF(C977="","",C977*'02_Eingaben'!$C$15)</f>
        <v/>
      </c>
      <c r="E977" s="17" t="str">
        <f>IF(D977="","",D977*'02_Eingaben'!$C$8)</f>
        <v/>
      </c>
      <c r="F977" s="17" t="str">
        <f>IF(E977="","",AVERAGE(INDEX($E$2:$E$3001,MAX(1,ROW()-1-'02_Eingaben'!$C$17)):INDEX($E$2:$E$3001,MIN('02_Eingaben'!$C$21,ROW()-1+'02_Eingaben'!$C$17))))</f>
        <v/>
      </c>
      <c r="G977" s="17" t="str">
        <f>IF(F977="","",F977-'02_Eingaben'!$C$10)</f>
        <v/>
      </c>
      <c r="H977" t="str">
        <f>IF(F977="","",IF(F977&lt;'02_Eingaben'!$C$18*'02_Eingaben'!$C$10,1,0))</f>
        <v/>
      </c>
      <c r="I977" s="17" t="str">
        <f t="shared" si="15"/>
        <v/>
      </c>
      <c r="J977" s="17" t="str">
        <f>IF(B977="","",IF(B976&lt;'02_Eingaben'!$C$36,0,J976+I976/'02_Eingaben'!$C$8))</f>
        <v/>
      </c>
    </row>
    <row r="978" spans="1:10" x14ac:dyDescent="0.25">
      <c r="A978" t="str">
        <f>IF('01_Rohdaten'!A978="","",ROW()-1)</f>
        <v/>
      </c>
      <c r="B978" s="17" t="str">
        <f>IF('01_Rohdaten'!A978="","",'01_Rohdaten'!A978)</f>
        <v/>
      </c>
      <c r="C978" s="17" t="str">
        <f>IF(B978="","",INDEX('01_Rohdaten'!B978:D978,'02_Eingaben'!$C$13))</f>
        <v/>
      </c>
      <c r="D978" s="17" t="str">
        <f>IF(C978="","",C978*'02_Eingaben'!$C$15)</f>
        <v/>
      </c>
      <c r="E978" s="17" t="str">
        <f>IF(D978="","",D978*'02_Eingaben'!$C$8)</f>
        <v/>
      </c>
      <c r="F978" s="17" t="str">
        <f>IF(E978="","",AVERAGE(INDEX($E$2:$E$3001,MAX(1,ROW()-1-'02_Eingaben'!$C$17)):INDEX($E$2:$E$3001,MIN('02_Eingaben'!$C$21,ROW()-1+'02_Eingaben'!$C$17))))</f>
        <v/>
      </c>
      <c r="G978" s="17" t="str">
        <f>IF(F978="","",F978-'02_Eingaben'!$C$10)</f>
        <v/>
      </c>
      <c r="H978" t="str">
        <f>IF(F978="","",IF(F978&lt;'02_Eingaben'!$C$18*'02_Eingaben'!$C$10,1,0))</f>
        <v/>
      </c>
      <c r="I978" s="17" t="str">
        <f t="shared" si="15"/>
        <v/>
      </c>
      <c r="J978" s="17" t="str">
        <f>IF(B978="","",IF(B977&lt;'02_Eingaben'!$C$36,0,J977+I977/'02_Eingaben'!$C$8))</f>
        <v/>
      </c>
    </row>
    <row r="979" spans="1:10" x14ac:dyDescent="0.25">
      <c r="A979" t="str">
        <f>IF('01_Rohdaten'!A979="","",ROW()-1)</f>
        <v/>
      </c>
      <c r="B979" s="17" t="str">
        <f>IF('01_Rohdaten'!A979="","",'01_Rohdaten'!A979)</f>
        <v/>
      </c>
      <c r="C979" s="17" t="str">
        <f>IF(B979="","",INDEX('01_Rohdaten'!B979:D979,'02_Eingaben'!$C$13))</f>
        <v/>
      </c>
      <c r="D979" s="17" t="str">
        <f>IF(C979="","",C979*'02_Eingaben'!$C$15)</f>
        <v/>
      </c>
      <c r="E979" s="17" t="str">
        <f>IF(D979="","",D979*'02_Eingaben'!$C$8)</f>
        <v/>
      </c>
      <c r="F979" s="17" t="str">
        <f>IF(E979="","",AVERAGE(INDEX($E$2:$E$3001,MAX(1,ROW()-1-'02_Eingaben'!$C$17)):INDEX($E$2:$E$3001,MIN('02_Eingaben'!$C$21,ROW()-1+'02_Eingaben'!$C$17))))</f>
        <v/>
      </c>
      <c r="G979" s="17" t="str">
        <f>IF(F979="","",F979-'02_Eingaben'!$C$10)</f>
        <v/>
      </c>
      <c r="H979" t="str">
        <f>IF(F979="","",IF(F979&lt;'02_Eingaben'!$C$18*'02_Eingaben'!$C$10,1,0))</f>
        <v/>
      </c>
      <c r="I979" s="17" t="str">
        <f t="shared" si="15"/>
        <v/>
      </c>
      <c r="J979" s="17" t="str">
        <f>IF(B979="","",IF(B978&lt;'02_Eingaben'!$C$36,0,J978+I978/'02_Eingaben'!$C$8))</f>
        <v/>
      </c>
    </row>
    <row r="980" spans="1:10" x14ac:dyDescent="0.25">
      <c r="A980" t="str">
        <f>IF('01_Rohdaten'!A980="","",ROW()-1)</f>
        <v/>
      </c>
      <c r="B980" s="17" t="str">
        <f>IF('01_Rohdaten'!A980="","",'01_Rohdaten'!A980)</f>
        <v/>
      </c>
      <c r="C980" s="17" t="str">
        <f>IF(B980="","",INDEX('01_Rohdaten'!B980:D980,'02_Eingaben'!$C$13))</f>
        <v/>
      </c>
      <c r="D980" s="17" t="str">
        <f>IF(C980="","",C980*'02_Eingaben'!$C$15)</f>
        <v/>
      </c>
      <c r="E980" s="17" t="str">
        <f>IF(D980="","",D980*'02_Eingaben'!$C$8)</f>
        <v/>
      </c>
      <c r="F980" s="17" t="str">
        <f>IF(E980="","",AVERAGE(INDEX($E$2:$E$3001,MAX(1,ROW()-1-'02_Eingaben'!$C$17)):INDEX($E$2:$E$3001,MIN('02_Eingaben'!$C$21,ROW()-1+'02_Eingaben'!$C$17))))</f>
        <v/>
      </c>
      <c r="G980" s="17" t="str">
        <f>IF(F980="","",F980-'02_Eingaben'!$C$10)</f>
        <v/>
      </c>
      <c r="H980" t="str">
        <f>IF(F980="","",IF(F980&lt;'02_Eingaben'!$C$18*'02_Eingaben'!$C$10,1,0))</f>
        <v/>
      </c>
      <c r="I980" s="17" t="str">
        <f t="shared" si="15"/>
        <v/>
      </c>
      <c r="J980" s="17" t="str">
        <f>IF(B980="","",IF(B979&lt;'02_Eingaben'!$C$36,0,J979+I979/'02_Eingaben'!$C$8))</f>
        <v/>
      </c>
    </row>
    <row r="981" spans="1:10" x14ac:dyDescent="0.25">
      <c r="A981" t="str">
        <f>IF('01_Rohdaten'!A981="","",ROW()-1)</f>
        <v/>
      </c>
      <c r="B981" s="17" t="str">
        <f>IF('01_Rohdaten'!A981="","",'01_Rohdaten'!A981)</f>
        <v/>
      </c>
      <c r="C981" s="17" t="str">
        <f>IF(B981="","",INDEX('01_Rohdaten'!B981:D981,'02_Eingaben'!$C$13))</f>
        <v/>
      </c>
      <c r="D981" s="17" t="str">
        <f>IF(C981="","",C981*'02_Eingaben'!$C$15)</f>
        <v/>
      </c>
      <c r="E981" s="17" t="str">
        <f>IF(D981="","",D981*'02_Eingaben'!$C$8)</f>
        <v/>
      </c>
      <c r="F981" s="17" t="str">
        <f>IF(E981="","",AVERAGE(INDEX($E$2:$E$3001,MAX(1,ROW()-1-'02_Eingaben'!$C$17)):INDEX($E$2:$E$3001,MIN('02_Eingaben'!$C$21,ROW()-1+'02_Eingaben'!$C$17))))</f>
        <v/>
      </c>
      <c r="G981" s="17" t="str">
        <f>IF(F981="","",F981-'02_Eingaben'!$C$10)</f>
        <v/>
      </c>
      <c r="H981" t="str">
        <f>IF(F981="","",IF(F981&lt;'02_Eingaben'!$C$18*'02_Eingaben'!$C$10,1,0))</f>
        <v/>
      </c>
      <c r="I981" s="17" t="str">
        <f t="shared" si="15"/>
        <v/>
      </c>
      <c r="J981" s="17" t="str">
        <f>IF(B981="","",IF(B980&lt;'02_Eingaben'!$C$36,0,J980+I980/'02_Eingaben'!$C$8))</f>
        <v/>
      </c>
    </row>
    <row r="982" spans="1:10" x14ac:dyDescent="0.25">
      <c r="A982" t="str">
        <f>IF('01_Rohdaten'!A982="","",ROW()-1)</f>
        <v/>
      </c>
      <c r="B982" s="17" t="str">
        <f>IF('01_Rohdaten'!A982="","",'01_Rohdaten'!A982)</f>
        <v/>
      </c>
      <c r="C982" s="17" t="str">
        <f>IF(B982="","",INDEX('01_Rohdaten'!B982:D982,'02_Eingaben'!$C$13))</f>
        <v/>
      </c>
      <c r="D982" s="17" t="str">
        <f>IF(C982="","",C982*'02_Eingaben'!$C$15)</f>
        <v/>
      </c>
      <c r="E982" s="17" t="str">
        <f>IF(D982="","",D982*'02_Eingaben'!$C$8)</f>
        <v/>
      </c>
      <c r="F982" s="17" t="str">
        <f>IF(E982="","",AVERAGE(INDEX($E$2:$E$3001,MAX(1,ROW()-1-'02_Eingaben'!$C$17)):INDEX($E$2:$E$3001,MIN('02_Eingaben'!$C$21,ROW()-1+'02_Eingaben'!$C$17))))</f>
        <v/>
      </c>
      <c r="G982" s="17" t="str">
        <f>IF(F982="","",F982-'02_Eingaben'!$C$10)</f>
        <v/>
      </c>
      <c r="H982" t="str">
        <f>IF(F982="","",IF(F982&lt;'02_Eingaben'!$C$18*'02_Eingaben'!$C$10,1,0))</f>
        <v/>
      </c>
      <c r="I982" s="17" t="str">
        <f t="shared" si="15"/>
        <v/>
      </c>
      <c r="J982" s="17" t="str">
        <f>IF(B982="","",IF(B981&lt;'02_Eingaben'!$C$36,0,J981+I981/'02_Eingaben'!$C$8))</f>
        <v/>
      </c>
    </row>
    <row r="983" spans="1:10" x14ac:dyDescent="0.25">
      <c r="A983" t="str">
        <f>IF('01_Rohdaten'!A983="","",ROW()-1)</f>
        <v/>
      </c>
      <c r="B983" s="17" t="str">
        <f>IF('01_Rohdaten'!A983="","",'01_Rohdaten'!A983)</f>
        <v/>
      </c>
      <c r="C983" s="17" t="str">
        <f>IF(B983="","",INDEX('01_Rohdaten'!B983:D983,'02_Eingaben'!$C$13))</f>
        <v/>
      </c>
      <c r="D983" s="17" t="str">
        <f>IF(C983="","",C983*'02_Eingaben'!$C$15)</f>
        <v/>
      </c>
      <c r="E983" s="17" t="str">
        <f>IF(D983="","",D983*'02_Eingaben'!$C$8)</f>
        <v/>
      </c>
      <c r="F983" s="17" t="str">
        <f>IF(E983="","",AVERAGE(INDEX($E$2:$E$3001,MAX(1,ROW()-1-'02_Eingaben'!$C$17)):INDEX($E$2:$E$3001,MIN('02_Eingaben'!$C$21,ROW()-1+'02_Eingaben'!$C$17))))</f>
        <v/>
      </c>
      <c r="G983" s="17" t="str">
        <f>IF(F983="","",F983-'02_Eingaben'!$C$10)</f>
        <v/>
      </c>
      <c r="H983" t="str">
        <f>IF(F983="","",IF(F983&lt;'02_Eingaben'!$C$18*'02_Eingaben'!$C$10,1,0))</f>
        <v/>
      </c>
      <c r="I983" s="17" t="str">
        <f t="shared" si="15"/>
        <v/>
      </c>
      <c r="J983" s="17" t="str">
        <f>IF(B983="","",IF(B982&lt;'02_Eingaben'!$C$36,0,J982+I982/'02_Eingaben'!$C$8))</f>
        <v/>
      </c>
    </row>
    <row r="984" spans="1:10" x14ac:dyDescent="0.25">
      <c r="A984" t="str">
        <f>IF('01_Rohdaten'!A984="","",ROW()-1)</f>
        <v/>
      </c>
      <c r="B984" s="17" t="str">
        <f>IF('01_Rohdaten'!A984="","",'01_Rohdaten'!A984)</f>
        <v/>
      </c>
      <c r="C984" s="17" t="str">
        <f>IF(B984="","",INDEX('01_Rohdaten'!B984:D984,'02_Eingaben'!$C$13))</f>
        <v/>
      </c>
      <c r="D984" s="17" t="str">
        <f>IF(C984="","",C984*'02_Eingaben'!$C$15)</f>
        <v/>
      </c>
      <c r="E984" s="17" t="str">
        <f>IF(D984="","",D984*'02_Eingaben'!$C$8)</f>
        <v/>
      </c>
      <c r="F984" s="17" t="str">
        <f>IF(E984="","",AVERAGE(INDEX($E$2:$E$3001,MAX(1,ROW()-1-'02_Eingaben'!$C$17)):INDEX($E$2:$E$3001,MIN('02_Eingaben'!$C$21,ROW()-1+'02_Eingaben'!$C$17))))</f>
        <v/>
      </c>
      <c r="G984" s="17" t="str">
        <f>IF(F984="","",F984-'02_Eingaben'!$C$10)</f>
        <v/>
      </c>
      <c r="H984" t="str">
        <f>IF(F984="","",IF(F984&lt;'02_Eingaben'!$C$18*'02_Eingaben'!$C$10,1,0))</f>
        <v/>
      </c>
      <c r="I984" s="17" t="str">
        <f t="shared" si="15"/>
        <v/>
      </c>
      <c r="J984" s="17" t="str">
        <f>IF(B984="","",IF(B983&lt;'02_Eingaben'!$C$36,0,J983+I983/'02_Eingaben'!$C$8))</f>
        <v/>
      </c>
    </row>
    <row r="985" spans="1:10" x14ac:dyDescent="0.25">
      <c r="A985" t="str">
        <f>IF('01_Rohdaten'!A985="","",ROW()-1)</f>
        <v/>
      </c>
      <c r="B985" s="17" t="str">
        <f>IF('01_Rohdaten'!A985="","",'01_Rohdaten'!A985)</f>
        <v/>
      </c>
      <c r="C985" s="17" t="str">
        <f>IF(B985="","",INDEX('01_Rohdaten'!B985:D985,'02_Eingaben'!$C$13))</f>
        <v/>
      </c>
      <c r="D985" s="17" t="str">
        <f>IF(C985="","",C985*'02_Eingaben'!$C$15)</f>
        <v/>
      </c>
      <c r="E985" s="17" t="str">
        <f>IF(D985="","",D985*'02_Eingaben'!$C$8)</f>
        <v/>
      </c>
      <c r="F985" s="17" t="str">
        <f>IF(E985="","",AVERAGE(INDEX($E$2:$E$3001,MAX(1,ROW()-1-'02_Eingaben'!$C$17)):INDEX($E$2:$E$3001,MIN('02_Eingaben'!$C$21,ROW()-1+'02_Eingaben'!$C$17))))</f>
        <v/>
      </c>
      <c r="G985" s="17" t="str">
        <f>IF(F985="","",F985-'02_Eingaben'!$C$10)</f>
        <v/>
      </c>
      <c r="H985" t="str">
        <f>IF(F985="","",IF(F985&lt;'02_Eingaben'!$C$18*'02_Eingaben'!$C$10,1,0))</f>
        <v/>
      </c>
      <c r="I985" s="17" t="str">
        <f t="shared" si="15"/>
        <v/>
      </c>
      <c r="J985" s="17" t="str">
        <f>IF(B985="","",IF(B984&lt;'02_Eingaben'!$C$36,0,J984+I984/'02_Eingaben'!$C$8))</f>
        <v/>
      </c>
    </row>
    <row r="986" spans="1:10" x14ac:dyDescent="0.25">
      <c r="A986" t="str">
        <f>IF('01_Rohdaten'!A986="","",ROW()-1)</f>
        <v/>
      </c>
      <c r="B986" s="17" t="str">
        <f>IF('01_Rohdaten'!A986="","",'01_Rohdaten'!A986)</f>
        <v/>
      </c>
      <c r="C986" s="17" t="str">
        <f>IF(B986="","",INDEX('01_Rohdaten'!B986:D986,'02_Eingaben'!$C$13))</f>
        <v/>
      </c>
      <c r="D986" s="17" t="str">
        <f>IF(C986="","",C986*'02_Eingaben'!$C$15)</f>
        <v/>
      </c>
      <c r="E986" s="17" t="str">
        <f>IF(D986="","",D986*'02_Eingaben'!$C$8)</f>
        <v/>
      </c>
      <c r="F986" s="17" t="str">
        <f>IF(E986="","",AVERAGE(INDEX($E$2:$E$3001,MAX(1,ROW()-1-'02_Eingaben'!$C$17)):INDEX($E$2:$E$3001,MIN('02_Eingaben'!$C$21,ROW()-1+'02_Eingaben'!$C$17))))</f>
        <v/>
      </c>
      <c r="G986" s="17" t="str">
        <f>IF(F986="","",F986-'02_Eingaben'!$C$10)</f>
        <v/>
      </c>
      <c r="H986" t="str">
        <f>IF(F986="","",IF(F986&lt;'02_Eingaben'!$C$18*'02_Eingaben'!$C$10,1,0))</f>
        <v/>
      </c>
      <c r="I986" s="17" t="str">
        <f t="shared" si="15"/>
        <v/>
      </c>
      <c r="J986" s="17" t="str">
        <f>IF(B986="","",IF(B985&lt;'02_Eingaben'!$C$36,0,J985+I985/'02_Eingaben'!$C$8))</f>
        <v/>
      </c>
    </row>
    <row r="987" spans="1:10" x14ac:dyDescent="0.25">
      <c r="A987" t="str">
        <f>IF('01_Rohdaten'!A987="","",ROW()-1)</f>
        <v/>
      </c>
      <c r="B987" s="17" t="str">
        <f>IF('01_Rohdaten'!A987="","",'01_Rohdaten'!A987)</f>
        <v/>
      </c>
      <c r="C987" s="17" t="str">
        <f>IF(B987="","",INDEX('01_Rohdaten'!B987:D987,'02_Eingaben'!$C$13))</f>
        <v/>
      </c>
      <c r="D987" s="17" t="str">
        <f>IF(C987="","",C987*'02_Eingaben'!$C$15)</f>
        <v/>
      </c>
      <c r="E987" s="17" t="str">
        <f>IF(D987="","",D987*'02_Eingaben'!$C$8)</f>
        <v/>
      </c>
      <c r="F987" s="17" t="str">
        <f>IF(E987="","",AVERAGE(INDEX($E$2:$E$3001,MAX(1,ROW()-1-'02_Eingaben'!$C$17)):INDEX($E$2:$E$3001,MIN('02_Eingaben'!$C$21,ROW()-1+'02_Eingaben'!$C$17))))</f>
        <v/>
      </c>
      <c r="G987" s="17" t="str">
        <f>IF(F987="","",F987-'02_Eingaben'!$C$10)</f>
        <v/>
      </c>
      <c r="H987" t="str">
        <f>IF(F987="","",IF(F987&lt;'02_Eingaben'!$C$18*'02_Eingaben'!$C$10,1,0))</f>
        <v/>
      </c>
      <c r="I987" s="17" t="str">
        <f t="shared" si="15"/>
        <v/>
      </c>
      <c r="J987" s="17" t="str">
        <f>IF(B987="","",IF(B986&lt;'02_Eingaben'!$C$36,0,J986+I986/'02_Eingaben'!$C$8))</f>
        <v/>
      </c>
    </row>
    <row r="988" spans="1:10" x14ac:dyDescent="0.25">
      <c r="A988" t="str">
        <f>IF('01_Rohdaten'!A988="","",ROW()-1)</f>
        <v/>
      </c>
      <c r="B988" s="17" t="str">
        <f>IF('01_Rohdaten'!A988="","",'01_Rohdaten'!A988)</f>
        <v/>
      </c>
      <c r="C988" s="17" t="str">
        <f>IF(B988="","",INDEX('01_Rohdaten'!B988:D988,'02_Eingaben'!$C$13))</f>
        <v/>
      </c>
      <c r="D988" s="17" t="str">
        <f>IF(C988="","",C988*'02_Eingaben'!$C$15)</f>
        <v/>
      </c>
      <c r="E988" s="17" t="str">
        <f>IF(D988="","",D988*'02_Eingaben'!$C$8)</f>
        <v/>
      </c>
      <c r="F988" s="17" t="str">
        <f>IF(E988="","",AVERAGE(INDEX($E$2:$E$3001,MAX(1,ROW()-1-'02_Eingaben'!$C$17)):INDEX($E$2:$E$3001,MIN('02_Eingaben'!$C$21,ROW()-1+'02_Eingaben'!$C$17))))</f>
        <v/>
      </c>
      <c r="G988" s="17" t="str">
        <f>IF(F988="","",F988-'02_Eingaben'!$C$10)</f>
        <v/>
      </c>
      <c r="H988" t="str">
        <f>IF(F988="","",IF(F988&lt;'02_Eingaben'!$C$18*'02_Eingaben'!$C$10,1,0))</f>
        <v/>
      </c>
      <c r="I988" s="17" t="str">
        <f t="shared" si="15"/>
        <v/>
      </c>
      <c r="J988" s="17" t="str">
        <f>IF(B988="","",IF(B987&lt;'02_Eingaben'!$C$36,0,J987+I987/'02_Eingaben'!$C$8))</f>
        <v/>
      </c>
    </row>
    <row r="989" spans="1:10" x14ac:dyDescent="0.25">
      <c r="A989" t="str">
        <f>IF('01_Rohdaten'!A989="","",ROW()-1)</f>
        <v/>
      </c>
      <c r="B989" s="17" t="str">
        <f>IF('01_Rohdaten'!A989="","",'01_Rohdaten'!A989)</f>
        <v/>
      </c>
      <c r="C989" s="17" t="str">
        <f>IF(B989="","",INDEX('01_Rohdaten'!B989:D989,'02_Eingaben'!$C$13))</f>
        <v/>
      </c>
      <c r="D989" s="17" t="str">
        <f>IF(C989="","",C989*'02_Eingaben'!$C$15)</f>
        <v/>
      </c>
      <c r="E989" s="17" t="str">
        <f>IF(D989="","",D989*'02_Eingaben'!$C$8)</f>
        <v/>
      </c>
      <c r="F989" s="17" t="str">
        <f>IF(E989="","",AVERAGE(INDEX($E$2:$E$3001,MAX(1,ROW()-1-'02_Eingaben'!$C$17)):INDEX($E$2:$E$3001,MIN('02_Eingaben'!$C$21,ROW()-1+'02_Eingaben'!$C$17))))</f>
        <v/>
      </c>
      <c r="G989" s="17" t="str">
        <f>IF(F989="","",F989-'02_Eingaben'!$C$10)</f>
        <v/>
      </c>
      <c r="H989" t="str">
        <f>IF(F989="","",IF(F989&lt;'02_Eingaben'!$C$18*'02_Eingaben'!$C$10,1,0))</f>
        <v/>
      </c>
      <c r="I989" s="17" t="str">
        <f t="shared" si="15"/>
        <v/>
      </c>
      <c r="J989" s="17" t="str">
        <f>IF(B989="","",IF(B988&lt;'02_Eingaben'!$C$36,0,J988+I988/'02_Eingaben'!$C$8))</f>
        <v/>
      </c>
    </row>
    <row r="990" spans="1:10" x14ac:dyDescent="0.25">
      <c r="A990" t="str">
        <f>IF('01_Rohdaten'!A990="","",ROW()-1)</f>
        <v/>
      </c>
      <c r="B990" s="17" t="str">
        <f>IF('01_Rohdaten'!A990="","",'01_Rohdaten'!A990)</f>
        <v/>
      </c>
      <c r="C990" s="17" t="str">
        <f>IF(B990="","",INDEX('01_Rohdaten'!B990:D990,'02_Eingaben'!$C$13))</f>
        <v/>
      </c>
      <c r="D990" s="17" t="str">
        <f>IF(C990="","",C990*'02_Eingaben'!$C$15)</f>
        <v/>
      </c>
      <c r="E990" s="17" t="str">
        <f>IF(D990="","",D990*'02_Eingaben'!$C$8)</f>
        <v/>
      </c>
      <c r="F990" s="17" t="str">
        <f>IF(E990="","",AVERAGE(INDEX($E$2:$E$3001,MAX(1,ROW()-1-'02_Eingaben'!$C$17)):INDEX($E$2:$E$3001,MIN('02_Eingaben'!$C$21,ROW()-1+'02_Eingaben'!$C$17))))</f>
        <v/>
      </c>
      <c r="G990" s="17" t="str">
        <f>IF(F990="","",F990-'02_Eingaben'!$C$10)</f>
        <v/>
      </c>
      <c r="H990" t="str">
        <f>IF(F990="","",IF(F990&lt;'02_Eingaben'!$C$18*'02_Eingaben'!$C$10,1,0))</f>
        <v/>
      </c>
      <c r="I990" s="17" t="str">
        <f t="shared" si="15"/>
        <v/>
      </c>
      <c r="J990" s="17" t="str">
        <f>IF(B990="","",IF(B989&lt;'02_Eingaben'!$C$36,0,J989+I989/'02_Eingaben'!$C$8))</f>
        <v/>
      </c>
    </row>
    <row r="991" spans="1:10" x14ac:dyDescent="0.25">
      <c r="A991" t="str">
        <f>IF('01_Rohdaten'!A991="","",ROW()-1)</f>
        <v/>
      </c>
      <c r="B991" s="17" t="str">
        <f>IF('01_Rohdaten'!A991="","",'01_Rohdaten'!A991)</f>
        <v/>
      </c>
      <c r="C991" s="17" t="str">
        <f>IF(B991="","",INDEX('01_Rohdaten'!B991:D991,'02_Eingaben'!$C$13))</f>
        <v/>
      </c>
      <c r="D991" s="17" t="str">
        <f>IF(C991="","",C991*'02_Eingaben'!$C$15)</f>
        <v/>
      </c>
      <c r="E991" s="17" t="str">
        <f>IF(D991="","",D991*'02_Eingaben'!$C$8)</f>
        <v/>
      </c>
      <c r="F991" s="17" t="str">
        <f>IF(E991="","",AVERAGE(INDEX($E$2:$E$3001,MAX(1,ROW()-1-'02_Eingaben'!$C$17)):INDEX($E$2:$E$3001,MIN('02_Eingaben'!$C$21,ROW()-1+'02_Eingaben'!$C$17))))</f>
        <v/>
      </c>
      <c r="G991" s="17" t="str">
        <f>IF(F991="","",F991-'02_Eingaben'!$C$10)</f>
        <v/>
      </c>
      <c r="H991" t="str">
        <f>IF(F991="","",IF(F991&lt;'02_Eingaben'!$C$18*'02_Eingaben'!$C$10,1,0))</f>
        <v/>
      </c>
      <c r="I991" s="17" t="str">
        <f t="shared" si="15"/>
        <v/>
      </c>
      <c r="J991" s="17" t="str">
        <f>IF(B991="","",IF(B990&lt;'02_Eingaben'!$C$36,0,J990+I990/'02_Eingaben'!$C$8))</f>
        <v/>
      </c>
    </row>
    <row r="992" spans="1:10" x14ac:dyDescent="0.25">
      <c r="A992" t="str">
        <f>IF('01_Rohdaten'!A992="","",ROW()-1)</f>
        <v/>
      </c>
      <c r="B992" s="17" t="str">
        <f>IF('01_Rohdaten'!A992="","",'01_Rohdaten'!A992)</f>
        <v/>
      </c>
      <c r="C992" s="17" t="str">
        <f>IF(B992="","",INDEX('01_Rohdaten'!B992:D992,'02_Eingaben'!$C$13))</f>
        <v/>
      </c>
      <c r="D992" s="17" t="str">
        <f>IF(C992="","",C992*'02_Eingaben'!$C$15)</f>
        <v/>
      </c>
      <c r="E992" s="17" t="str">
        <f>IF(D992="","",D992*'02_Eingaben'!$C$8)</f>
        <v/>
      </c>
      <c r="F992" s="17" t="str">
        <f>IF(E992="","",AVERAGE(INDEX($E$2:$E$3001,MAX(1,ROW()-1-'02_Eingaben'!$C$17)):INDEX($E$2:$E$3001,MIN('02_Eingaben'!$C$21,ROW()-1+'02_Eingaben'!$C$17))))</f>
        <v/>
      </c>
      <c r="G992" s="17" t="str">
        <f>IF(F992="","",F992-'02_Eingaben'!$C$10)</f>
        <v/>
      </c>
      <c r="H992" t="str">
        <f>IF(F992="","",IF(F992&lt;'02_Eingaben'!$C$18*'02_Eingaben'!$C$10,1,0))</f>
        <v/>
      </c>
      <c r="I992" s="17" t="str">
        <f t="shared" si="15"/>
        <v/>
      </c>
      <c r="J992" s="17" t="str">
        <f>IF(B992="","",IF(B991&lt;'02_Eingaben'!$C$36,0,J991+I991/'02_Eingaben'!$C$8))</f>
        <v/>
      </c>
    </row>
    <row r="993" spans="1:10" x14ac:dyDescent="0.25">
      <c r="A993" t="str">
        <f>IF('01_Rohdaten'!A993="","",ROW()-1)</f>
        <v/>
      </c>
      <c r="B993" s="17" t="str">
        <f>IF('01_Rohdaten'!A993="","",'01_Rohdaten'!A993)</f>
        <v/>
      </c>
      <c r="C993" s="17" t="str">
        <f>IF(B993="","",INDEX('01_Rohdaten'!B993:D993,'02_Eingaben'!$C$13))</f>
        <v/>
      </c>
      <c r="D993" s="17" t="str">
        <f>IF(C993="","",C993*'02_Eingaben'!$C$15)</f>
        <v/>
      </c>
      <c r="E993" s="17" t="str">
        <f>IF(D993="","",D993*'02_Eingaben'!$C$8)</f>
        <v/>
      </c>
      <c r="F993" s="17" t="str">
        <f>IF(E993="","",AVERAGE(INDEX($E$2:$E$3001,MAX(1,ROW()-1-'02_Eingaben'!$C$17)):INDEX($E$2:$E$3001,MIN('02_Eingaben'!$C$21,ROW()-1+'02_Eingaben'!$C$17))))</f>
        <v/>
      </c>
      <c r="G993" s="17" t="str">
        <f>IF(F993="","",F993-'02_Eingaben'!$C$10)</f>
        <v/>
      </c>
      <c r="H993" t="str">
        <f>IF(F993="","",IF(F993&lt;'02_Eingaben'!$C$18*'02_Eingaben'!$C$10,1,0))</f>
        <v/>
      </c>
      <c r="I993" s="17" t="str">
        <f t="shared" si="15"/>
        <v/>
      </c>
      <c r="J993" s="17" t="str">
        <f>IF(B993="","",IF(B992&lt;'02_Eingaben'!$C$36,0,J992+I992/'02_Eingaben'!$C$8))</f>
        <v/>
      </c>
    </row>
    <row r="994" spans="1:10" x14ac:dyDescent="0.25">
      <c r="A994" t="str">
        <f>IF('01_Rohdaten'!A994="","",ROW()-1)</f>
        <v/>
      </c>
      <c r="B994" s="17" t="str">
        <f>IF('01_Rohdaten'!A994="","",'01_Rohdaten'!A994)</f>
        <v/>
      </c>
      <c r="C994" s="17" t="str">
        <f>IF(B994="","",INDEX('01_Rohdaten'!B994:D994,'02_Eingaben'!$C$13))</f>
        <v/>
      </c>
      <c r="D994" s="17" t="str">
        <f>IF(C994="","",C994*'02_Eingaben'!$C$15)</f>
        <v/>
      </c>
      <c r="E994" s="17" t="str">
        <f>IF(D994="","",D994*'02_Eingaben'!$C$8)</f>
        <v/>
      </c>
      <c r="F994" s="17" t="str">
        <f>IF(E994="","",AVERAGE(INDEX($E$2:$E$3001,MAX(1,ROW()-1-'02_Eingaben'!$C$17)):INDEX($E$2:$E$3001,MIN('02_Eingaben'!$C$21,ROW()-1+'02_Eingaben'!$C$17))))</f>
        <v/>
      </c>
      <c r="G994" s="17" t="str">
        <f>IF(F994="","",F994-'02_Eingaben'!$C$10)</f>
        <v/>
      </c>
      <c r="H994" t="str">
        <f>IF(F994="","",IF(F994&lt;'02_Eingaben'!$C$18*'02_Eingaben'!$C$10,1,0))</f>
        <v/>
      </c>
      <c r="I994" s="17" t="str">
        <f t="shared" si="15"/>
        <v/>
      </c>
      <c r="J994" s="17" t="str">
        <f>IF(B994="","",IF(B993&lt;'02_Eingaben'!$C$36,0,J993+I993/'02_Eingaben'!$C$8))</f>
        <v/>
      </c>
    </row>
    <row r="995" spans="1:10" x14ac:dyDescent="0.25">
      <c r="A995" t="str">
        <f>IF('01_Rohdaten'!A995="","",ROW()-1)</f>
        <v/>
      </c>
      <c r="B995" s="17" t="str">
        <f>IF('01_Rohdaten'!A995="","",'01_Rohdaten'!A995)</f>
        <v/>
      </c>
      <c r="C995" s="17" t="str">
        <f>IF(B995="","",INDEX('01_Rohdaten'!B995:D995,'02_Eingaben'!$C$13))</f>
        <v/>
      </c>
      <c r="D995" s="17" t="str">
        <f>IF(C995="","",C995*'02_Eingaben'!$C$15)</f>
        <v/>
      </c>
      <c r="E995" s="17" t="str">
        <f>IF(D995="","",D995*'02_Eingaben'!$C$8)</f>
        <v/>
      </c>
      <c r="F995" s="17" t="str">
        <f>IF(E995="","",AVERAGE(INDEX($E$2:$E$3001,MAX(1,ROW()-1-'02_Eingaben'!$C$17)):INDEX($E$2:$E$3001,MIN('02_Eingaben'!$C$21,ROW()-1+'02_Eingaben'!$C$17))))</f>
        <v/>
      </c>
      <c r="G995" s="17" t="str">
        <f>IF(F995="","",F995-'02_Eingaben'!$C$10)</f>
        <v/>
      </c>
      <c r="H995" t="str">
        <f>IF(F995="","",IF(F995&lt;'02_Eingaben'!$C$18*'02_Eingaben'!$C$10,1,0))</f>
        <v/>
      </c>
      <c r="I995" s="17" t="str">
        <f t="shared" si="15"/>
        <v/>
      </c>
      <c r="J995" s="17" t="str">
        <f>IF(B995="","",IF(B994&lt;'02_Eingaben'!$C$36,0,J994+I994/'02_Eingaben'!$C$8))</f>
        <v/>
      </c>
    </row>
    <row r="996" spans="1:10" x14ac:dyDescent="0.25">
      <c r="A996" t="str">
        <f>IF('01_Rohdaten'!A996="","",ROW()-1)</f>
        <v/>
      </c>
      <c r="B996" s="17" t="str">
        <f>IF('01_Rohdaten'!A996="","",'01_Rohdaten'!A996)</f>
        <v/>
      </c>
      <c r="C996" s="17" t="str">
        <f>IF(B996="","",INDEX('01_Rohdaten'!B996:D996,'02_Eingaben'!$C$13))</f>
        <v/>
      </c>
      <c r="D996" s="17" t="str">
        <f>IF(C996="","",C996*'02_Eingaben'!$C$15)</f>
        <v/>
      </c>
      <c r="E996" s="17" t="str">
        <f>IF(D996="","",D996*'02_Eingaben'!$C$8)</f>
        <v/>
      </c>
      <c r="F996" s="17" t="str">
        <f>IF(E996="","",AVERAGE(INDEX($E$2:$E$3001,MAX(1,ROW()-1-'02_Eingaben'!$C$17)):INDEX($E$2:$E$3001,MIN('02_Eingaben'!$C$21,ROW()-1+'02_Eingaben'!$C$17))))</f>
        <v/>
      </c>
      <c r="G996" s="17" t="str">
        <f>IF(F996="","",F996-'02_Eingaben'!$C$10)</f>
        <v/>
      </c>
      <c r="H996" t="str">
        <f>IF(F996="","",IF(F996&lt;'02_Eingaben'!$C$18*'02_Eingaben'!$C$10,1,0))</f>
        <v/>
      </c>
      <c r="I996" s="17" t="str">
        <f t="shared" si="15"/>
        <v/>
      </c>
      <c r="J996" s="17" t="str">
        <f>IF(B996="","",IF(B995&lt;'02_Eingaben'!$C$36,0,J995+I995/'02_Eingaben'!$C$8))</f>
        <v/>
      </c>
    </row>
    <row r="997" spans="1:10" x14ac:dyDescent="0.25">
      <c r="A997" t="str">
        <f>IF('01_Rohdaten'!A997="","",ROW()-1)</f>
        <v/>
      </c>
      <c r="B997" s="17" t="str">
        <f>IF('01_Rohdaten'!A997="","",'01_Rohdaten'!A997)</f>
        <v/>
      </c>
      <c r="C997" s="17" t="str">
        <f>IF(B997="","",INDEX('01_Rohdaten'!B997:D997,'02_Eingaben'!$C$13))</f>
        <v/>
      </c>
      <c r="D997" s="17" t="str">
        <f>IF(C997="","",C997*'02_Eingaben'!$C$15)</f>
        <v/>
      </c>
      <c r="E997" s="17" t="str">
        <f>IF(D997="","",D997*'02_Eingaben'!$C$8)</f>
        <v/>
      </c>
      <c r="F997" s="17" t="str">
        <f>IF(E997="","",AVERAGE(INDEX($E$2:$E$3001,MAX(1,ROW()-1-'02_Eingaben'!$C$17)):INDEX($E$2:$E$3001,MIN('02_Eingaben'!$C$21,ROW()-1+'02_Eingaben'!$C$17))))</f>
        <v/>
      </c>
      <c r="G997" s="17" t="str">
        <f>IF(F997="","",F997-'02_Eingaben'!$C$10)</f>
        <v/>
      </c>
      <c r="H997" t="str">
        <f>IF(F997="","",IF(F997&lt;'02_Eingaben'!$C$18*'02_Eingaben'!$C$10,1,0))</f>
        <v/>
      </c>
      <c r="I997" s="17" t="str">
        <f t="shared" si="15"/>
        <v/>
      </c>
      <c r="J997" s="17" t="str">
        <f>IF(B997="","",IF(B996&lt;'02_Eingaben'!$C$36,0,J996+I996/'02_Eingaben'!$C$8))</f>
        <v/>
      </c>
    </row>
    <row r="998" spans="1:10" x14ac:dyDescent="0.25">
      <c r="A998" t="str">
        <f>IF('01_Rohdaten'!A998="","",ROW()-1)</f>
        <v/>
      </c>
      <c r="B998" s="17" t="str">
        <f>IF('01_Rohdaten'!A998="","",'01_Rohdaten'!A998)</f>
        <v/>
      </c>
      <c r="C998" s="17" t="str">
        <f>IF(B998="","",INDEX('01_Rohdaten'!B998:D998,'02_Eingaben'!$C$13))</f>
        <v/>
      </c>
      <c r="D998" s="17" t="str">
        <f>IF(C998="","",C998*'02_Eingaben'!$C$15)</f>
        <v/>
      </c>
      <c r="E998" s="17" t="str">
        <f>IF(D998="","",D998*'02_Eingaben'!$C$8)</f>
        <v/>
      </c>
      <c r="F998" s="17" t="str">
        <f>IF(E998="","",AVERAGE(INDEX($E$2:$E$3001,MAX(1,ROW()-1-'02_Eingaben'!$C$17)):INDEX($E$2:$E$3001,MIN('02_Eingaben'!$C$21,ROW()-1+'02_Eingaben'!$C$17))))</f>
        <v/>
      </c>
      <c r="G998" s="17" t="str">
        <f>IF(F998="","",F998-'02_Eingaben'!$C$10)</f>
        <v/>
      </c>
      <c r="H998" t="str">
        <f>IF(F998="","",IF(F998&lt;'02_Eingaben'!$C$18*'02_Eingaben'!$C$10,1,0))</f>
        <v/>
      </c>
      <c r="I998" s="17" t="str">
        <f t="shared" si="15"/>
        <v/>
      </c>
      <c r="J998" s="17" t="str">
        <f>IF(B998="","",IF(B997&lt;'02_Eingaben'!$C$36,0,J997+I997/'02_Eingaben'!$C$8))</f>
        <v/>
      </c>
    </row>
    <row r="999" spans="1:10" x14ac:dyDescent="0.25">
      <c r="A999" t="str">
        <f>IF('01_Rohdaten'!A999="","",ROW()-1)</f>
        <v/>
      </c>
      <c r="B999" s="17" t="str">
        <f>IF('01_Rohdaten'!A999="","",'01_Rohdaten'!A999)</f>
        <v/>
      </c>
      <c r="C999" s="17" t="str">
        <f>IF(B999="","",INDEX('01_Rohdaten'!B999:D999,'02_Eingaben'!$C$13))</f>
        <v/>
      </c>
      <c r="D999" s="17" t="str">
        <f>IF(C999="","",C999*'02_Eingaben'!$C$15)</f>
        <v/>
      </c>
      <c r="E999" s="17" t="str">
        <f>IF(D999="","",D999*'02_Eingaben'!$C$8)</f>
        <v/>
      </c>
      <c r="F999" s="17" t="str">
        <f>IF(E999="","",AVERAGE(INDEX($E$2:$E$3001,MAX(1,ROW()-1-'02_Eingaben'!$C$17)):INDEX($E$2:$E$3001,MIN('02_Eingaben'!$C$21,ROW()-1+'02_Eingaben'!$C$17))))</f>
        <v/>
      </c>
      <c r="G999" s="17" t="str">
        <f>IF(F999="","",F999-'02_Eingaben'!$C$10)</f>
        <v/>
      </c>
      <c r="H999" t="str">
        <f>IF(F999="","",IF(F999&lt;'02_Eingaben'!$C$18*'02_Eingaben'!$C$10,1,0))</f>
        <v/>
      </c>
      <c r="I999" s="17" t="str">
        <f t="shared" si="15"/>
        <v/>
      </c>
      <c r="J999" s="17" t="str">
        <f>IF(B999="","",IF(B998&lt;'02_Eingaben'!$C$36,0,J998+I998/'02_Eingaben'!$C$8))</f>
        <v/>
      </c>
    </row>
    <row r="1000" spans="1:10" x14ac:dyDescent="0.25">
      <c r="A1000" t="str">
        <f>IF('01_Rohdaten'!A1000="","",ROW()-1)</f>
        <v/>
      </c>
      <c r="B1000" s="17" t="str">
        <f>IF('01_Rohdaten'!A1000="","",'01_Rohdaten'!A1000)</f>
        <v/>
      </c>
      <c r="C1000" s="17" t="str">
        <f>IF(B1000="","",INDEX('01_Rohdaten'!B1000:D1000,'02_Eingaben'!$C$13))</f>
        <v/>
      </c>
      <c r="D1000" s="17" t="str">
        <f>IF(C1000="","",C1000*'02_Eingaben'!$C$15)</f>
        <v/>
      </c>
      <c r="E1000" s="17" t="str">
        <f>IF(D1000="","",D1000*'02_Eingaben'!$C$8)</f>
        <v/>
      </c>
      <c r="F1000" s="17" t="str">
        <f>IF(E1000="","",AVERAGE(INDEX($E$2:$E$3001,MAX(1,ROW()-1-'02_Eingaben'!$C$17)):INDEX($E$2:$E$3001,MIN('02_Eingaben'!$C$21,ROW()-1+'02_Eingaben'!$C$17))))</f>
        <v/>
      </c>
      <c r="G1000" s="17" t="str">
        <f>IF(F1000="","",F1000-'02_Eingaben'!$C$10)</f>
        <v/>
      </c>
      <c r="H1000" t="str">
        <f>IF(F1000="","",IF(F1000&lt;'02_Eingaben'!$C$18*'02_Eingaben'!$C$10,1,0))</f>
        <v/>
      </c>
      <c r="I1000" s="17" t="str">
        <f t="shared" si="15"/>
        <v/>
      </c>
      <c r="J1000" s="17" t="str">
        <f>IF(B1000="","",IF(B999&lt;'02_Eingaben'!$C$36,0,J999+I999/'02_Eingaben'!$C$8))</f>
        <v/>
      </c>
    </row>
    <row r="1001" spans="1:10" x14ac:dyDescent="0.25">
      <c r="A1001" t="str">
        <f>IF('01_Rohdaten'!A1001="","",ROW()-1)</f>
        <v/>
      </c>
      <c r="B1001" s="17" t="str">
        <f>IF('01_Rohdaten'!A1001="","",'01_Rohdaten'!A1001)</f>
        <v/>
      </c>
      <c r="C1001" s="17" t="str">
        <f>IF(B1001="","",INDEX('01_Rohdaten'!B1001:D1001,'02_Eingaben'!$C$13))</f>
        <v/>
      </c>
      <c r="D1001" s="17" t="str">
        <f>IF(C1001="","",C1001*'02_Eingaben'!$C$15)</f>
        <v/>
      </c>
      <c r="E1001" s="17" t="str">
        <f>IF(D1001="","",D1001*'02_Eingaben'!$C$8)</f>
        <v/>
      </c>
      <c r="F1001" s="17" t="str">
        <f>IF(E1001="","",AVERAGE(INDEX($E$2:$E$3001,MAX(1,ROW()-1-'02_Eingaben'!$C$17)):INDEX($E$2:$E$3001,MIN('02_Eingaben'!$C$21,ROW()-1+'02_Eingaben'!$C$17))))</f>
        <v/>
      </c>
      <c r="G1001" s="17" t="str">
        <f>IF(F1001="","",F1001-'02_Eingaben'!$C$10)</f>
        <v/>
      </c>
      <c r="H1001" t="str">
        <f>IF(F1001="","",IF(F1001&lt;'02_Eingaben'!$C$18*'02_Eingaben'!$C$10,1,0))</f>
        <v/>
      </c>
      <c r="I1001" s="17" t="str">
        <f t="shared" si="15"/>
        <v/>
      </c>
      <c r="J1001" s="17" t="str">
        <f>IF(B1001="","",IF(B1000&lt;'02_Eingaben'!$C$36,0,J1000+I1000/'02_Eingaben'!$C$8))</f>
        <v/>
      </c>
    </row>
    <row r="1002" spans="1:10" x14ac:dyDescent="0.25">
      <c r="A1002" t="str">
        <f>IF('01_Rohdaten'!A1002="","",ROW()-1)</f>
        <v/>
      </c>
      <c r="B1002" s="17" t="str">
        <f>IF('01_Rohdaten'!A1002="","",'01_Rohdaten'!A1002)</f>
        <v/>
      </c>
      <c r="C1002" s="17" t="str">
        <f>IF(B1002="","",INDEX('01_Rohdaten'!B1002:D1002,'02_Eingaben'!$C$13))</f>
        <v/>
      </c>
      <c r="D1002" s="17" t="str">
        <f>IF(C1002="","",C1002*'02_Eingaben'!$C$15)</f>
        <v/>
      </c>
      <c r="E1002" s="17" t="str">
        <f>IF(D1002="","",D1002*'02_Eingaben'!$C$8)</f>
        <v/>
      </c>
      <c r="F1002" s="17" t="str">
        <f>IF(E1002="","",AVERAGE(INDEX($E$2:$E$3001,MAX(1,ROW()-1-'02_Eingaben'!$C$17)):INDEX($E$2:$E$3001,MIN('02_Eingaben'!$C$21,ROW()-1+'02_Eingaben'!$C$17))))</f>
        <v/>
      </c>
      <c r="G1002" s="17" t="str">
        <f>IF(F1002="","",F1002-'02_Eingaben'!$C$10)</f>
        <v/>
      </c>
      <c r="H1002" t="str">
        <f>IF(F1002="","",IF(F1002&lt;'02_Eingaben'!$C$18*'02_Eingaben'!$C$10,1,0))</f>
        <v/>
      </c>
      <c r="I1002" s="17" t="str">
        <f t="shared" si="15"/>
        <v/>
      </c>
      <c r="J1002" s="17" t="str">
        <f>IF(B1002="","",IF(B1001&lt;'02_Eingaben'!$C$36,0,J1001+I1001/'02_Eingaben'!$C$8))</f>
        <v/>
      </c>
    </row>
    <row r="1003" spans="1:10" x14ac:dyDescent="0.25">
      <c r="A1003" t="str">
        <f>IF('01_Rohdaten'!A1003="","",ROW()-1)</f>
        <v/>
      </c>
      <c r="B1003" s="17" t="str">
        <f>IF('01_Rohdaten'!A1003="","",'01_Rohdaten'!A1003)</f>
        <v/>
      </c>
      <c r="C1003" s="17" t="str">
        <f>IF(B1003="","",INDEX('01_Rohdaten'!B1003:D1003,'02_Eingaben'!$C$13))</f>
        <v/>
      </c>
      <c r="D1003" s="17" t="str">
        <f>IF(C1003="","",C1003*'02_Eingaben'!$C$15)</f>
        <v/>
      </c>
      <c r="E1003" s="17" t="str">
        <f>IF(D1003="","",D1003*'02_Eingaben'!$C$8)</f>
        <v/>
      </c>
      <c r="F1003" s="17" t="str">
        <f>IF(E1003="","",AVERAGE(INDEX($E$2:$E$3001,MAX(1,ROW()-1-'02_Eingaben'!$C$17)):INDEX($E$2:$E$3001,MIN('02_Eingaben'!$C$21,ROW()-1+'02_Eingaben'!$C$17))))</f>
        <v/>
      </c>
      <c r="G1003" s="17" t="str">
        <f>IF(F1003="","",F1003-'02_Eingaben'!$C$10)</f>
        <v/>
      </c>
      <c r="H1003" t="str">
        <f>IF(F1003="","",IF(F1003&lt;'02_Eingaben'!$C$18*'02_Eingaben'!$C$10,1,0))</f>
        <v/>
      </c>
      <c r="I1003" s="17" t="str">
        <f t="shared" si="15"/>
        <v/>
      </c>
      <c r="J1003" s="17" t="str">
        <f>IF(B1003="","",IF(B1002&lt;'02_Eingaben'!$C$36,0,J1002+I1002/'02_Eingaben'!$C$8))</f>
        <v/>
      </c>
    </row>
    <row r="1004" spans="1:10" x14ac:dyDescent="0.25">
      <c r="A1004" t="str">
        <f>IF('01_Rohdaten'!A1004="","",ROW()-1)</f>
        <v/>
      </c>
      <c r="B1004" s="17" t="str">
        <f>IF('01_Rohdaten'!A1004="","",'01_Rohdaten'!A1004)</f>
        <v/>
      </c>
      <c r="C1004" s="17" t="str">
        <f>IF(B1004="","",INDEX('01_Rohdaten'!B1004:D1004,'02_Eingaben'!$C$13))</f>
        <v/>
      </c>
      <c r="D1004" s="17" t="str">
        <f>IF(C1004="","",C1004*'02_Eingaben'!$C$15)</f>
        <v/>
      </c>
      <c r="E1004" s="17" t="str">
        <f>IF(D1004="","",D1004*'02_Eingaben'!$C$8)</f>
        <v/>
      </c>
      <c r="F1004" s="17" t="str">
        <f>IF(E1004="","",AVERAGE(INDEX($E$2:$E$3001,MAX(1,ROW()-1-'02_Eingaben'!$C$17)):INDEX($E$2:$E$3001,MIN('02_Eingaben'!$C$21,ROW()-1+'02_Eingaben'!$C$17))))</f>
        <v/>
      </c>
      <c r="G1004" s="17" t="str">
        <f>IF(F1004="","",F1004-'02_Eingaben'!$C$10)</f>
        <v/>
      </c>
      <c r="H1004" t="str">
        <f>IF(F1004="","",IF(F1004&lt;'02_Eingaben'!$C$18*'02_Eingaben'!$C$10,1,0))</f>
        <v/>
      </c>
      <c r="I1004" s="17" t="str">
        <f t="shared" si="15"/>
        <v/>
      </c>
      <c r="J1004" s="17" t="str">
        <f>IF(B1004="","",IF(B1003&lt;'02_Eingaben'!$C$36,0,J1003+I1003/'02_Eingaben'!$C$8))</f>
        <v/>
      </c>
    </row>
    <row r="1005" spans="1:10" x14ac:dyDescent="0.25">
      <c r="A1005" t="str">
        <f>IF('01_Rohdaten'!A1005="","",ROW()-1)</f>
        <v/>
      </c>
      <c r="B1005" s="17" t="str">
        <f>IF('01_Rohdaten'!A1005="","",'01_Rohdaten'!A1005)</f>
        <v/>
      </c>
      <c r="C1005" s="17" t="str">
        <f>IF(B1005="","",INDEX('01_Rohdaten'!B1005:D1005,'02_Eingaben'!$C$13))</f>
        <v/>
      </c>
      <c r="D1005" s="17" t="str">
        <f>IF(C1005="","",C1005*'02_Eingaben'!$C$15)</f>
        <v/>
      </c>
      <c r="E1005" s="17" t="str">
        <f>IF(D1005="","",D1005*'02_Eingaben'!$C$8)</f>
        <v/>
      </c>
      <c r="F1005" s="17" t="str">
        <f>IF(E1005="","",AVERAGE(INDEX($E$2:$E$3001,MAX(1,ROW()-1-'02_Eingaben'!$C$17)):INDEX($E$2:$E$3001,MIN('02_Eingaben'!$C$21,ROW()-1+'02_Eingaben'!$C$17))))</f>
        <v/>
      </c>
      <c r="G1005" s="17" t="str">
        <f>IF(F1005="","",F1005-'02_Eingaben'!$C$10)</f>
        <v/>
      </c>
      <c r="H1005" t="str">
        <f>IF(F1005="","",IF(F1005&lt;'02_Eingaben'!$C$18*'02_Eingaben'!$C$10,1,0))</f>
        <v/>
      </c>
      <c r="I1005" s="17" t="str">
        <f t="shared" si="15"/>
        <v/>
      </c>
      <c r="J1005" s="17" t="str">
        <f>IF(B1005="","",IF(B1004&lt;'02_Eingaben'!$C$36,0,J1004+I1004/'02_Eingaben'!$C$8))</f>
        <v/>
      </c>
    </row>
    <row r="1006" spans="1:10" x14ac:dyDescent="0.25">
      <c r="A1006" t="str">
        <f>IF('01_Rohdaten'!A1006="","",ROW()-1)</f>
        <v/>
      </c>
      <c r="B1006" s="17" t="str">
        <f>IF('01_Rohdaten'!A1006="","",'01_Rohdaten'!A1006)</f>
        <v/>
      </c>
      <c r="C1006" s="17" t="str">
        <f>IF(B1006="","",INDEX('01_Rohdaten'!B1006:D1006,'02_Eingaben'!$C$13))</f>
        <v/>
      </c>
      <c r="D1006" s="17" t="str">
        <f>IF(C1006="","",C1006*'02_Eingaben'!$C$15)</f>
        <v/>
      </c>
      <c r="E1006" s="17" t="str">
        <f>IF(D1006="","",D1006*'02_Eingaben'!$C$8)</f>
        <v/>
      </c>
      <c r="F1006" s="17" t="str">
        <f>IF(E1006="","",AVERAGE(INDEX($E$2:$E$3001,MAX(1,ROW()-1-'02_Eingaben'!$C$17)):INDEX($E$2:$E$3001,MIN('02_Eingaben'!$C$21,ROW()-1+'02_Eingaben'!$C$17))))</f>
        <v/>
      </c>
      <c r="G1006" s="17" t="str">
        <f>IF(F1006="","",F1006-'02_Eingaben'!$C$10)</f>
        <v/>
      </c>
      <c r="H1006" t="str">
        <f>IF(F1006="","",IF(F1006&lt;'02_Eingaben'!$C$18*'02_Eingaben'!$C$10,1,0))</f>
        <v/>
      </c>
      <c r="I1006" s="17" t="str">
        <f t="shared" si="15"/>
        <v/>
      </c>
      <c r="J1006" s="17" t="str">
        <f>IF(B1006="","",IF(B1005&lt;'02_Eingaben'!$C$36,0,J1005+I1005/'02_Eingaben'!$C$8))</f>
        <v/>
      </c>
    </row>
    <row r="1007" spans="1:10" x14ac:dyDescent="0.25">
      <c r="A1007" t="str">
        <f>IF('01_Rohdaten'!A1007="","",ROW()-1)</f>
        <v/>
      </c>
      <c r="B1007" s="17" t="str">
        <f>IF('01_Rohdaten'!A1007="","",'01_Rohdaten'!A1007)</f>
        <v/>
      </c>
      <c r="C1007" s="17" t="str">
        <f>IF(B1007="","",INDEX('01_Rohdaten'!B1007:D1007,'02_Eingaben'!$C$13))</f>
        <v/>
      </c>
      <c r="D1007" s="17" t="str">
        <f>IF(C1007="","",C1007*'02_Eingaben'!$C$15)</f>
        <v/>
      </c>
      <c r="E1007" s="17" t="str">
        <f>IF(D1007="","",D1007*'02_Eingaben'!$C$8)</f>
        <v/>
      </c>
      <c r="F1007" s="17" t="str">
        <f>IF(E1007="","",AVERAGE(INDEX($E$2:$E$3001,MAX(1,ROW()-1-'02_Eingaben'!$C$17)):INDEX($E$2:$E$3001,MIN('02_Eingaben'!$C$21,ROW()-1+'02_Eingaben'!$C$17))))</f>
        <v/>
      </c>
      <c r="G1007" s="17" t="str">
        <f>IF(F1007="","",F1007-'02_Eingaben'!$C$10)</f>
        <v/>
      </c>
      <c r="H1007" t="str">
        <f>IF(F1007="","",IF(F1007&lt;'02_Eingaben'!$C$18*'02_Eingaben'!$C$10,1,0))</f>
        <v/>
      </c>
      <c r="I1007" s="17" t="str">
        <f t="shared" si="15"/>
        <v/>
      </c>
      <c r="J1007" s="17" t="str">
        <f>IF(B1007="","",IF(B1006&lt;'02_Eingaben'!$C$36,0,J1006+I1006/'02_Eingaben'!$C$8))</f>
        <v/>
      </c>
    </row>
    <row r="1008" spans="1:10" x14ac:dyDescent="0.25">
      <c r="A1008" t="str">
        <f>IF('01_Rohdaten'!A1008="","",ROW()-1)</f>
        <v/>
      </c>
      <c r="B1008" s="17" t="str">
        <f>IF('01_Rohdaten'!A1008="","",'01_Rohdaten'!A1008)</f>
        <v/>
      </c>
      <c r="C1008" s="17" t="str">
        <f>IF(B1008="","",INDEX('01_Rohdaten'!B1008:D1008,'02_Eingaben'!$C$13))</f>
        <v/>
      </c>
      <c r="D1008" s="17" t="str">
        <f>IF(C1008="","",C1008*'02_Eingaben'!$C$15)</f>
        <v/>
      </c>
      <c r="E1008" s="17" t="str">
        <f>IF(D1008="","",D1008*'02_Eingaben'!$C$8)</f>
        <v/>
      </c>
      <c r="F1008" s="17" t="str">
        <f>IF(E1008="","",AVERAGE(INDEX($E$2:$E$3001,MAX(1,ROW()-1-'02_Eingaben'!$C$17)):INDEX($E$2:$E$3001,MIN('02_Eingaben'!$C$21,ROW()-1+'02_Eingaben'!$C$17))))</f>
        <v/>
      </c>
      <c r="G1008" s="17" t="str">
        <f>IF(F1008="","",F1008-'02_Eingaben'!$C$10)</f>
        <v/>
      </c>
      <c r="H1008" t="str">
        <f>IF(F1008="","",IF(F1008&lt;'02_Eingaben'!$C$18*'02_Eingaben'!$C$10,1,0))</f>
        <v/>
      </c>
      <c r="I1008" s="17" t="str">
        <f t="shared" si="15"/>
        <v/>
      </c>
      <c r="J1008" s="17" t="str">
        <f>IF(B1008="","",IF(B1007&lt;'02_Eingaben'!$C$36,0,J1007+I1007/'02_Eingaben'!$C$8))</f>
        <v/>
      </c>
    </row>
    <row r="1009" spans="1:10" x14ac:dyDescent="0.25">
      <c r="A1009" t="str">
        <f>IF('01_Rohdaten'!A1009="","",ROW()-1)</f>
        <v/>
      </c>
      <c r="B1009" s="17" t="str">
        <f>IF('01_Rohdaten'!A1009="","",'01_Rohdaten'!A1009)</f>
        <v/>
      </c>
      <c r="C1009" s="17" t="str">
        <f>IF(B1009="","",INDEX('01_Rohdaten'!B1009:D1009,'02_Eingaben'!$C$13))</f>
        <v/>
      </c>
      <c r="D1009" s="17" t="str">
        <f>IF(C1009="","",C1009*'02_Eingaben'!$C$15)</f>
        <v/>
      </c>
      <c r="E1009" s="17" t="str">
        <f>IF(D1009="","",D1009*'02_Eingaben'!$C$8)</f>
        <v/>
      </c>
      <c r="F1009" s="17" t="str">
        <f>IF(E1009="","",AVERAGE(INDEX($E$2:$E$3001,MAX(1,ROW()-1-'02_Eingaben'!$C$17)):INDEX($E$2:$E$3001,MIN('02_Eingaben'!$C$21,ROW()-1+'02_Eingaben'!$C$17))))</f>
        <v/>
      </c>
      <c r="G1009" s="17" t="str">
        <f>IF(F1009="","",F1009-'02_Eingaben'!$C$10)</f>
        <v/>
      </c>
      <c r="H1009" t="str">
        <f>IF(F1009="","",IF(F1009&lt;'02_Eingaben'!$C$18*'02_Eingaben'!$C$10,1,0))</f>
        <v/>
      </c>
      <c r="I1009" s="17" t="str">
        <f t="shared" si="15"/>
        <v/>
      </c>
      <c r="J1009" s="17" t="str">
        <f>IF(B1009="","",IF(B1008&lt;'02_Eingaben'!$C$36,0,J1008+I1008/'02_Eingaben'!$C$8))</f>
        <v/>
      </c>
    </row>
    <row r="1010" spans="1:10" x14ac:dyDescent="0.25">
      <c r="A1010" t="str">
        <f>IF('01_Rohdaten'!A1010="","",ROW()-1)</f>
        <v/>
      </c>
      <c r="B1010" s="17" t="str">
        <f>IF('01_Rohdaten'!A1010="","",'01_Rohdaten'!A1010)</f>
        <v/>
      </c>
      <c r="C1010" s="17" t="str">
        <f>IF(B1010="","",INDEX('01_Rohdaten'!B1010:D1010,'02_Eingaben'!$C$13))</f>
        <v/>
      </c>
      <c r="D1010" s="17" t="str">
        <f>IF(C1010="","",C1010*'02_Eingaben'!$C$15)</f>
        <v/>
      </c>
      <c r="E1010" s="17" t="str">
        <f>IF(D1010="","",D1010*'02_Eingaben'!$C$8)</f>
        <v/>
      </c>
      <c r="F1010" s="17" t="str">
        <f>IF(E1010="","",AVERAGE(INDEX($E$2:$E$3001,MAX(1,ROW()-1-'02_Eingaben'!$C$17)):INDEX($E$2:$E$3001,MIN('02_Eingaben'!$C$21,ROW()-1+'02_Eingaben'!$C$17))))</f>
        <v/>
      </c>
      <c r="G1010" s="17" t="str">
        <f>IF(F1010="","",F1010-'02_Eingaben'!$C$10)</f>
        <v/>
      </c>
      <c r="H1010" t="str">
        <f>IF(F1010="","",IF(F1010&lt;'02_Eingaben'!$C$18*'02_Eingaben'!$C$10,1,0))</f>
        <v/>
      </c>
      <c r="I1010" s="17" t="str">
        <f t="shared" si="15"/>
        <v/>
      </c>
      <c r="J1010" s="17" t="str">
        <f>IF(B1010="","",IF(B1009&lt;'02_Eingaben'!$C$36,0,J1009+I1009/'02_Eingaben'!$C$8))</f>
        <v/>
      </c>
    </row>
    <row r="1011" spans="1:10" x14ac:dyDescent="0.25">
      <c r="A1011" t="str">
        <f>IF('01_Rohdaten'!A1011="","",ROW()-1)</f>
        <v/>
      </c>
      <c r="B1011" s="17" t="str">
        <f>IF('01_Rohdaten'!A1011="","",'01_Rohdaten'!A1011)</f>
        <v/>
      </c>
      <c r="C1011" s="17" t="str">
        <f>IF(B1011="","",INDEX('01_Rohdaten'!B1011:D1011,'02_Eingaben'!$C$13))</f>
        <v/>
      </c>
      <c r="D1011" s="17" t="str">
        <f>IF(C1011="","",C1011*'02_Eingaben'!$C$15)</f>
        <v/>
      </c>
      <c r="E1011" s="17" t="str">
        <f>IF(D1011="","",D1011*'02_Eingaben'!$C$8)</f>
        <v/>
      </c>
      <c r="F1011" s="17" t="str">
        <f>IF(E1011="","",AVERAGE(INDEX($E$2:$E$3001,MAX(1,ROW()-1-'02_Eingaben'!$C$17)):INDEX($E$2:$E$3001,MIN('02_Eingaben'!$C$21,ROW()-1+'02_Eingaben'!$C$17))))</f>
        <v/>
      </c>
      <c r="G1011" s="17" t="str">
        <f>IF(F1011="","",F1011-'02_Eingaben'!$C$10)</f>
        <v/>
      </c>
      <c r="H1011" t="str">
        <f>IF(F1011="","",IF(F1011&lt;'02_Eingaben'!$C$18*'02_Eingaben'!$C$10,1,0))</f>
        <v/>
      </c>
      <c r="I1011" s="17" t="str">
        <f t="shared" si="15"/>
        <v/>
      </c>
      <c r="J1011" s="17" t="str">
        <f>IF(B1011="","",IF(B1010&lt;'02_Eingaben'!$C$36,0,J1010+I1010/'02_Eingaben'!$C$8))</f>
        <v/>
      </c>
    </row>
    <row r="1012" spans="1:10" x14ac:dyDescent="0.25">
      <c r="A1012" t="str">
        <f>IF('01_Rohdaten'!A1012="","",ROW()-1)</f>
        <v/>
      </c>
      <c r="B1012" s="17" t="str">
        <f>IF('01_Rohdaten'!A1012="","",'01_Rohdaten'!A1012)</f>
        <v/>
      </c>
      <c r="C1012" s="17" t="str">
        <f>IF(B1012="","",INDEX('01_Rohdaten'!B1012:D1012,'02_Eingaben'!$C$13))</f>
        <v/>
      </c>
      <c r="D1012" s="17" t="str">
        <f>IF(C1012="","",C1012*'02_Eingaben'!$C$15)</f>
        <v/>
      </c>
      <c r="E1012" s="17" t="str">
        <f>IF(D1012="","",D1012*'02_Eingaben'!$C$8)</f>
        <v/>
      </c>
      <c r="F1012" s="17" t="str">
        <f>IF(E1012="","",AVERAGE(INDEX($E$2:$E$3001,MAX(1,ROW()-1-'02_Eingaben'!$C$17)):INDEX($E$2:$E$3001,MIN('02_Eingaben'!$C$21,ROW()-1+'02_Eingaben'!$C$17))))</f>
        <v/>
      </c>
      <c r="G1012" s="17" t="str">
        <f>IF(F1012="","",F1012-'02_Eingaben'!$C$10)</f>
        <v/>
      </c>
      <c r="H1012" t="str">
        <f>IF(F1012="","",IF(F1012&lt;'02_Eingaben'!$C$18*'02_Eingaben'!$C$10,1,0))</f>
        <v/>
      </c>
      <c r="I1012" s="17" t="str">
        <f t="shared" si="15"/>
        <v/>
      </c>
      <c r="J1012" s="17" t="str">
        <f>IF(B1012="","",IF(B1011&lt;'02_Eingaben'!$C$36,0,J1011+I1011/'02_Eingaben'!$C$8))</f>
        <v/>
      </c>
    </row>
    <row r="1013" spans="1:10" x14ac:dyDescent="0.25">
      <c r="A1013" t="str">
        <f>IF('01_Rohdaten'!A1013="","",ROW()-1)</f>
        <v/>
      </c>
      <c r="B1013" s="17" t="str">
        <f>IF('01_Rohdaten'!A1013="","",'01_Rohdaten'!A1013)</f>
        <v/>
      </c>
      <c r="C1013" s="17" t="str">
        <f>IF(B1013="","",INDEX('01_Rohdaten'!B1013:D1013,'02_Eingaben'!$C$13))</f>
        <v/>
      </c>
      <c r="D1013" s="17" t="str">
        <f>IF(C1013="","",C1013*'02_Eingaben'!$C$15)</f>
        <v/>
      </c>
      <c r="E1013" s="17" t="str">
        <f>IF(D1013="","",D1013*'02_Eingaben'!$C$8)</f>
        <v/>
      </c>
      <c r="F1013" s="17" t="str">
        <f>IF(E1013="","",AVERAGE(INDEX($E$2:$E$3001,MAX(1,ROW()-1-'02_Eingaben'!$C$17)):INDEX($E$2:$E$3001,MIN('02_Eingaben'!$C$21,ROW()-1+'02_Eingaben'!$C$17))))</f>
        <v/>
      </c>
      <c r="G1013" s="17" t="str">
        <f>IF(F1013="","",F1013-'02_Eingaben'!$C$10)</f>
        <v/>
      </c>
      <c r="H1013" t="str">
        <f>IF(F1013="","",IF(F1013&lt;'02_Eingaben'!$C$18*'02_Eingaben'!$C$10,1,0))</f>
        <v/>
      </c>
      <c r="I1013" s="17" t="str">
        <f t="shared" si="15"/>
        <v/>
      </c>
      <c r="J1013" s="17" t="str">
        <f>IF(B1013="","",IF(B1012&lt;'02_Eingaben'!$C$36,0,J1012+I1012/'02_Eingaben'!$C$8))</f>
        <v/>
      </c>
    </row>
    <row r="1014" spans="1:10" x14ac:dyDescent="0.25">
      <c r="A1014" t="str">
        <f>IF('01_Rohdaten'!A1014="","",ROW()-1)</f>
        <v/>
      </c>
      <c r="B1014" s="17" t="str">
        <f>IF('01_Rohdaten'!A1014="","",'01_Rohdaten'!A1014)</f>
        <v/>
      </c>
      <c r="C1014" s="17" t="str">
        <f>IF(B1014="","",INDEX('01_Rohdaten'!B1014:D1014,'02_Eingaben'!$C$13))</f>
        <v/>
      </c>
      <c r="D1014" s="17" t="str">
        <f>IF(C1014="","",C1014*'02_Eingaben'!$C$15)</f>
        <v/>
      </c>
      <c r="E1014" s="17" t="str">
        <f>IF(D1014="","",D1014*'02_Eingaben'!$C$8)</f>
        <v/>
      </c>
      <c r="F1014" s="17" t="str">
        <f>IF(E1014="","",AVERAGE(INDEX($E$2:$E$3001,MAX(1,ROW()-1-'02_Eingaben'!$C$17)):INDEX($E$2:$E$3001,MIN('02_Eingaben'!$C$21,ROW()-1+'02_Eingaben'!$C$17))))</f>
        <v/>
      </c>
      <c r="G1014" s="17" t="str">
        <f>IF(F1014="","",F1014-'02_Eingaben'!$C$10)</f>
        <v/>
      </c>
      <c r="H1014" t="str">
        <f>IF(F1014="","",IF(F1014&lt;'02_Eingaben'!$C$18*'02_Eingaben'!$C$10,1,0))</f>
        <v/>
      </c>
      <c r="I1014" s="17" t="str">
        <f t="shared" si="15"/>
        <v/>
      </c>
      <c r="J1014" s="17" t="str">
        <f>IF(B1014="","",IF(B1013&lt;'02_Eingaben'!$C$36,0,J1013+I1013/'02_Eingaben'!$C$8))</f>
        <v/>
      </c>
    </row>
    <row r="1015" spans="1:10" x14ac:dyDescent="0.25">
      <c r="A1015" t="str">
        <f>IF('01_Rohdaten'!A1015="","",ROW()-1)</f>
        <v/>
      </c>
      <c r="B1015" s="17" t="str">
        <f>IF('01_Rohdaten'!A1015="","",'01_Rohdaten'!A1015)</f>
        <v/>
      </c>
      <c r="C1015" s="17" t="str">
        <f>IF(B1015="","",INDEX('01_Rohdaten'!B1015:D1015,'02_Eingaben'!$C$13))</f>
        <v/>
      </c>
      <c r="D1015" s="17" t="str">
        <f>IF(C1015="","",C1015*'02_Eingaben'!$C$15)</f>
        <v/>
      </c>
      <c r="E1015" s="17" t="str">
        <f>IF(D1015="","",D1015*'02_Eingaben'!$C$8)</f>
        <v/>
      </c>
      <c r="F1015" s="17" t="str">
        <f>IF(E1015="","",AVERAGE(INDEX($E$2:$E$3001,MAX(1,ROW()-1-'02_Eingaben'!$C$17)):INDEX($E$2:$E$3001,MIN('02_Eingaben'!$C$21,ROW()-1+'02_Eingaben'!$C$17))))</f>
        <v/>
      </c>
      <c r="G1015" s="17" t="str">
        <f>IF(F1015="","",F1015-'02_Eingaben'!$C$10)</f>
        <v/>
      </c>
      <c r="H1015" t="str">
        <f>IF(F1015="","",IF(F1015&lt;'02_Eingaben'!$C$18*'02_Eingaben'!$C$10,1,0))</f>
        <v/>
      </c>
      <c r="I1015" s="17" t="str">
        <f t="shared" si="15"/>
        <v/>
      </c>
      <c r="J1015" s="17" t="str">
        <f>IF(B1015="","",IF(B1014&lt;'02_Eingaben'!$C$36,0,J1014+I1014/'02_Eingaben'!$C$8))</f>
        <v/>
      </c>
    </row>
    <row r="1016" spans="1:10" x14ac:dyDescent="0.25">
      <c r="A1016" t="str">
        <f>IF('01_Rohdaten'!A1016="","",ROW()-1)</f>
        <v/>
      </c>
      <c r="B1016" s="17" t="str">
        <f>IF('01_Rohdaten'!A1016="","",'01_Rohdaten'!A1016)</f>
        <v/>
      </c>
      <c r="C1016" s="17" t="str">
        <f>IF(B1016="","",INDEX('01_Rohdaten'!B1016:D1016,'02_Eingaben'!$C$13))</f>
        <v/>
      </c>
      <c r="D1016" s="17" t="str">
        <f>IF(C1016="","",C1016*'02_Eingaben'!$C$15)</f>
        <v/>
      </c>
      <c r="E1016" s="17" t="str">
        <f>IF(D1016="","",D1016*'02_Eingaben'!$C$8)</f>
        <v/>
      </c>
      <c r="F1016" s="17" t="str">
        <f>IF(E1016="","",AVERAGE(INDEX($E$2:$E$3001,MAX(1,ROW()-1-'02_Eingaben'!$C$17)):INDEX($E$2:$E$3001,MIN('02_Eingaben'!$C$21,ROW()-1+'02_Eingaben'!$C$17))))</f>
        <v/>
      </c>
      <c r="G1016" s="17" t="str">
        <f>IF(F1016="","",F1016-'02_Eingaben'!$C$10)</f>
        <v/>
      </c>
      <c r="H1016" t="str">
        <f>IF(F1016="","",IF(F1016&lt;'02_Eingaben'!$C$18*'02_Eingaben'!$C$10,1,0))</f>
        <v/>
      </c>
      <c r="I1016" s="17" t="str">
        <f t="shared" si="15"/>
        <v/>
      </c>
      <c r="J1016" s="17" t="str">
        <f>IF(B1016="","",IF(B1015&lt;'02_Eingaben'!$C$36,0,J1015+I1015/'02_Eingaben'!$C$8))</f>
        <v/>
      </c>
    </row>
    <row r="1017" spans="1:10" x14ac:dyDescent="0.25">
      <c r="A1017" t="str">
        <f>IF('01_Rohdaten'!A1017="","",ROW()-1)</f>
        <v/>
      </c>
      <c r="B1017" s="17" t="str">
        <f>IF('01_Rohdaten'!A1017="","",'01_Rohdaten'!A1017)</f>
        <v/>
      </c>
      <c r="C1017" s="17" t="str">
        <f>IF(B1017="","",INDEX('01_Rohdaten'!B1017:D1017,'02_Eingaben'!$C$13))</f>
        <v/>
      </c>
      <c r="D1017" s="17" t="str">
        <f>IF(C1017="","",C1017*'02_Eingaben'!$C$15)</f>
        <v/>
      </c>
      <c r="E1017" s="17" t="str">
        <f>IF(D1017="","",D1017*'02_Eingaben'!$C$8)</f>
        <v/>
      </c>
      <c r="F1017" s="17" t="str">
        <f>IF(E1017="","",AVERAGE(INDEX($E$2:$E$3001,MAX(1,ROW()-1-'02_Eingaben'!$C$17)):INDEX($E$2:$E$3001,MIN('02_Eingaben'!$C$21,ROW()-1+'02_Eingaben'!$C$17))))</f>
        <v/>
      </c>
      <c r="G1017" s="17" t="str">
        <f>IF(F1017="","",F1017-'02_Eingaben'!$C$10)</f>
        <v/>
      </c>
      <c r="H1017" t="str">
        <f>IF(F1017="","",IF(F1017&lt;'02_Eingaben'!$C$18*'02_Eingaben'!$C$10,1,0))</f>
        <v/>
      </c>
      <c r="I1017" s="17" t="str">
        <f t="shared" si="15"/>
        <v/>
      </c>
      <c r="J1017" s="17" t="str">
        <f>IF(B1017="","",IF(B1016&lt;'02_Eingaben'!$C$36,0,J1016+I1016/'02_Eingaben'!$C$8))</f>
        <v/>
      </c>
    </row>
    <row r="1018" spans="1:10" x14ac:dyDescent="0.25">
      <c r="A1018" t="str">
        <f>IF('01_Rohdaten'!A1018="","",ROW()-1)</f>
        <v/>
      </c>
      <c r="B1018" s="17" t="str">
        <f>IF('01_Rohdaten'!A1018="","",'01_Rohdaten'!A1018)</f>
        <v/>
      </c>
      <c r="C1018" s="17" t="str">
        <f>IF(B1018="","",INDEX('01_Rohdaten'!B1018:D1018,'02_Eingaben'!$C$13))</f>
        <v/>
      </c>
      <c r="D1018" s="17" t="str">
        <f>IF(C1018="","",C1018*'02_Eingaben'!$C$15)</f>
        <v/>
      </c>
      <c r="E1018" s="17" t="str">
        <f>IF(D1018="","",D1018*'02_Eingaben'!$C$8)</f>
        <v/>
      </c>
      <c r="F1018" s="17" t="str">
        <f>IF(E1018="","",AVERAGE(INDEX($E$2:$E$3001,MAX(1,ROW()-1-'02_Eingaben'!$C$17)):INDEX($E$2:$E$3001,MIN('02_Eingaben'!$C$21,ROW()-1+'02_Eingaben'!$C$17))))</f>
        <v/>
      </c>
      <c r="G1018" s="17" t="str">
        <f>IF(F1018="","",F1018-'02_Eingaben'!$C$10)</f>
        <v/>
      </c>
      <c r="H1018" t="str">
        <f>IF(F1018="","",IF(F1018&lt;'02_Eingaben'!$C$18*'02_Eingaben'!$C$10,1,0))</f>
        <v/>
      </c>
      <c r="I1018" s="17" t="str">
        <f t="shared" si="15"/>
        <v/>
      </c>
      <c r="J1018" s="17" t="str">
        <f>IF(B1018="","",IF(B1017&lt;'02_Eingaben'!$C$36,0,J1017+I1017/'02_Eingaben'!$C$8))</f>
        <v/>
      </c>
    </row>
    <row r="1019" spans="1:10" x14ac:dyDescent="0.25">
      <c r="A1019" t="str">
        <f>IF('01_Rohdaten'!A1019="","",ROW()-1)</f>
        <v/>
      </c>
      <c r="B1019" s="17" t="str">
        <f>IF('01_Rohdaten'!A1019="","",'01_Rohdaten'!A1019)</f>
        <v/>
      </c>
      <c r="C1019" s="17" t="str">
        <f>IF(B1019="","",INDEX('01_Rohdaten'!B1019:D1019,'02_Eingaben'!$C$13))</f>
        <v/>
      </c>
      <c r="D1019" s="17" t="str">
        <f>IF(C1019="","",C1019*'02_Eingaben'!$C$15)</f>
        <v/>
      </c>
      <c r="E1019" s="17" t="str">
        <f>IF(D1019="","",D1019*'02_Eingaben'!$C$8)</f>
        <v/>
      </c>
      <c r="F1019" s="17" t="str">
        <f>IF(E1019="","",AVERAGE(INDEX($E$2:$E$3001,MAX(1,ROW()-1-'02_Eingaben'!$C$17)):INDEX($E$2:$E$3001,MIN('02_Eingaben'!$C$21,ROW()-1+'02_Eingaben'!$C$17))))</f>
        <v/>
      </c>
      <c r="G1019" s="17" t="str">
        <f>IF(F1019="","",F1019-'02_Eingaben'!$C$10)</f>
        <v/>
      </c>
      <c r="H1019" t="str">
        <f>IF(F1019="","",IF(F1019&lt;'02_Eingaben'!$C$18*'02_Eingaben'!$C$10,1,0))</f>
        <v/>
      </c>
      <c r="I1019" s="17" t="str">
        <f t="shared" si="15"/>
        <v/>
      </c>
      <c r="J1019" s="17" t="str">
        <f>IF(B1019="","",IF(B1018&lt;'02_Eingaben'!$C$36,0,J1018+I1018/'02_Eingaben'!$C$8))</f>
        <v/>
      </c>
    </row>
    <row r="1020" spans="1:10" x14ac:dyDescent="0.25">
      <c r="A1020" t="str">
        <f>IF('01_Rohdaten'!A1020="","",ROW()-1)</f>
        <v/>
      </c>
      <c r="B1020" s="17" t="str">
        <f>IF('01_Rohdaten'!A1020="","",'01_Rohdaten'!A1020)</f>
        <v/>
      </c>
      <c r="C1020" s="17" t="str">
        <f>IF(B1020="","",INDEX('01_Rohdaten'!B1020:D1020,'02_Eingaben'!$C$13))</f>
        <v/>
      </c>
      <c r="D1020" s="17" t="str">
        <f>IF(C1020="","",C1020*'02_Eingaben'!$C$15)</f>
        <v/>
      </c>
      <c r="E1020" s="17" t="str">
        <f>IF(D1020="","",D1020*'02_Eingaben'!$C$8)</f>
        <v/>
      </c>
      <c r="F1020" s="17" t="str">
        <f>IF(E1020="","",AVERAGE(INDEX($E$2:$E$3001,MAX(1,ROW()-1-'02_Eingaben'!$C$17)):INDEX($E$2:$E$3001,MIN('02_Eingaben'!$C$21,ROW()-1+'02_Eingaben'!$C$17))))</f>
        <v/>
      </c>
      <c r="G1020" s="17" t="str">
        <f>IF(F1020="","",F1020-'02_Eingaben'!$C$10)</f>
        <v/>
      </c>
      <c r="H1020" t="str">
        <f>IF(F1020="","",IF(F1020&lt;'02_Eingaben'!$C$18*'02_Eingaben'!$C$10,1,0))</f>
        <v/>
      </c>
      <c r="I1020" s="17" t="str">
        <f t="shared" si="15"/>
        <v/>
      </c>
      <c r="J1020" s="17" t="str">
        <f>IF(B1020="","",IF(B1019&lt;'02_Eingaben'!$C$36,0,J1019+I1019/'02_Eingaben'!$C$8))</f>
        <v/>
      </c>
    </row>
    <row r="1021" spans="1:10" x14ac:dyDescent="0.25">
      <c r="A1021" t="str">
        <f>IF('01_Rohdaten'!A1021="","",ROW()-1)</f>
        <v/>
      </c>
      <c r="B1021" s="17" t="str">
        <f>IF('01_Rohdaten'!A1021="","",'01_Rohdaten'!A1021)</f>
        <v/>
      </c>
      <c r="C1021" s="17" t="str">
        <f>IF(B1021="","",INDEX('01_Rohdaten'!B1021:D1021,'02_Eingaben'!$C$13))</f>
        <v/>
      </c>
      <c r="D1021" s="17" t="str">
        <f>IF(C1021="","",C1021*'02_Eingaben'!$C$15)</f>
        <v/>
      </c>
      <c r="E1021" s="17" t="str">
        <f>IF(D1021="","",D1021*'02_Eingaben'!$C$8)</f>
        <v/>
      </c>
      <c r="F1021" s="17" t="str">
        <f>IF(E1021="","",AVERAGE(INDEX($E$2:$E$3001,MAX(1,ROW()-1-'02_Eingaben'!$C$17)):INDEX($E$2:$E$3001,MIN('02_Eingaben'!$C$21,ROW()-1+'02_Eingaben'!$C$17))))</f>
        <v/>
      </c>
      <c r="G1021" s="17" t="str">
        <f>IF(F1021="","",F1021-'02_Eingaben'!$C$10)</f>
        <v/>
      </c>
      <c r="H1021" t="str">
        <f>IF(F1021="","",IF(F1021&lt;'02_Eingaben'!$C$18*'02_Eingaben'!$C$10,1,0))</f>
        <v/>
      </c>
      <c r="I1021" s="17" t="str">
        <f t="shared" si="15"/>
        <v/>
      </c>
      <c r="J1021" s="17" t="str">
        <f>IF(B1021="","",IF(B1020&lt;'02_Eingaben'!$C$36,0,J1020+I1020/'02_Eingaben'!$C$8))</f>
        <v/>
      </c>
    </row>
    <row r="1022" spans="1:10" x14ac:dyDescent="0.25">
      <c r="A1022" t="str">
        <f>IF('01_Rohdaten'!A1022="","",ROW()-1)</f>
        <v/>
      </c>
      <c r="B1022" s="17" t="str">
        <f>IF('01_Rohdaten'!A1022="","",'01_Rohdaten'!A1022)</f>
        <v/>
      </c>
      <c r="C1022" s="17" t="str">
        <f>IF(B1022="","",INDEX('01_Rohdaten'!B1022:D1022,'02_Eingaben'!$C$13))</f>
        <v/>
      </c>
      <c r="D1022" s="17" t="str">
        <f>IF(C1022="","",C1022*'02_Eingaben'!$C$15)</f>
        <v/>
      </c>
      <c r="E1022" s="17" t="str">
        <f>IF(D1022="","",D1022*'02_Eingaben'!$C$8)</f>
        <v/>
      </c>
      <c r="F1022" s="17" t="str">
        <f>IF(E1022="","",AVERAGE(INDEX($E$2:$E$3001,MAX(1,ROW()-1-'02_Eingaben'!$C$17)):INDEX($E$2:$E$3001,MIN('02_Eingaben'!$C$21,ROW()-1+'02_Eingaben'!$C$17))))</f>
        <v/>
      </c>
      <c r="G1022" s="17" t="str">
        <f>IF(F1022="","",F1022-'02_Eingaben'!$C$10)</f>
        <v/>
      </c>
      <c r="H1022" t="str">
        <f>IF(F1022="","",IF(F1022&lt;'02_Eingaben'!$C$18*'02_Eingaben'!$C$10,1,0))</f>
        <v/>
      </c>
      <c r="I1022" s="17" t="str">
        <f t="shared" si="15"/>
        <v/>
      </c>
      <c r="J1022" s="17" t="str">
        <f>IF(B1022="","",IF(B1021&lt;'02_Eingaben'!$C$36,0,J1021+I1021/'02_Eingaben'!$C$8))</f>
        <v/>
      </c>
    </row>
    <row r="1023" spans="1:10" x14ac:dyDescent="0.25">
      <c r="A1023" t="str">
        <f>IF('01_Rohdaten'!A1023="","",ROW()-1)</f>
        <v/>
      </c>
      <c r="B1023" s="17" t="str">
        <f>IF('01_Rohdaten'!A1023="","",'01_Rohdaten'!A1023)</f>
        <v/>
      </c>
      <c r="C1023" s="17" t="str">
        <f>IF(B1023="","",INDEX('01_Rohdaten'!B1023:D1023,'02_Eingaben'!$C$13))</f>
        <v/>
      </c>
      <c r="D1023" s="17" t="str">
        <f>IF(C1023="","",C1023*'02_Eingaben'!$C$15)</f>
        <v/>
      </c>
      <c r="E1023" s="17" t="str">
        <f>IF(D1023="","",D1023*'02_Eingaben'!$C$8)</f>
        <v/>
      </c>
      <c r="F1023" s="17" t="str">
        <f>IF(E1023="","",AVERAGE(INDEX($E$2:$E$3001,MAX(1,ROW()-1-'02_Eingaben'!$C$17)):INDEX($E$2:$E$3001,MIN('02_Eingaben'!$C$21,ROW()-1+'02_Eingaben'!$C$17))))</f>
        <v/>
      </c>
      <c r="G1023" s="17" t="str">
        <f>IF(F1023="","",F1023-'02_Eingaben'!$C$10)</f>
        <v/>
      </c>
      <c r="H1023" t="str">
        <f>IF(F1023="","",IF(F1023&lt;'02_Eingaben'!$C$18*'02_Eingaben'!$C$10,1,0))</f>
        <v/>
      </c>
      <c r="I1023" s="17" t="str">
        <f t="shared" si="15"/>
        <v/>
      </c>
      <c r="J1023" s="17" t="str">
        <f>IF(B1023="","",IF(B1022&lt;'02_Eingaben'!$C$36,0,J1022+I1022/'02_Eingaben'!$C$8))</f>
        <v/>
      </c>
    </row>
    <row r="1024" spans="1:10" x14ac:dyDescent="0.25">
      <c r="A1024" t="str">
        <f>IF('01_Rohdaten'!A1024="","",ROW()-1)</f>
        <v/>
      </c>
      <c r="B1024" s="17" t="str">
        <f>IF('01_Rohdaten'!A1024="","",'01_Rohdaten'!A1024)</f>
        <v/>
      </c>
      <c r="C1024" s="17" t="str">
        <f>IF(B1024="","",INDEX('01_Rohdaten'!B1024:D1024,'02_Eingaben'!$C$13))</f>
        <v/>
      </c>
      <c r="D1024" s="17" t="str">
        <f>IF(C1024="","",C1024*'02_Eingaben'!$C$15)</f>
        <v/>
      </c>
      <c r="E1024" s="17" t="str">
        <f>IF(D1024="","",D1024*'02_Eingaben'!$C$8)</f>
        <v/>
      </c>
      <c r="F1024" s="17" t="str">
        <f>IF(E1024="","",AVERAGE(INDEX($E$2:$E$3001,MAX(1,ROW()-1-'02_Eingaben'!$C$17)):INDEX($E$2:$E$3001,MIN('02_Eingaben'!$C$21,ROW()-1+'02_Eingaben'!$C$17))))</f>
        <v/>
      </c>
      <c r="G1024" s="17" t="str">
        <f>IF(F1024="","",F1024-'02_Eingaben'!$C$10)</f>
        <v/>
      </c>
      <c r="H1024" t="str">
        <f>IF(F1024="","",IF(F1024&lt;'02_Eingaben'!$C$18*'02_Eingaben'!$C$10,1,0))</f>
        <v/>
      </c>
      <c r="I1024" s="17" t="str">
        <f t="shared" si="15"/>
        <v/>
      </c>
      <c r="J1024" s="17" t="str">
        <f>IF(B1024="","",IF(B1023&lt;'02_Eingaben'!$C$36,0,J1023+I1023/'02_Eingaben'!$C$8))</f>
        <v/>
      </c>
    </row>
    <row r="1025" spans="1:10" x14ac:dyDescent="0.25">
      <c r="A1025" t="str">
        <f>IF('01_Rohdaten'!A1025="","",ROW()-1)</f>
        <v/>
      </c>
      <c r="B1025" s="17" t="str">
        <f>IF('01_Rohdaten'!A1025="","",'01_Rohdaten'!A1025)</f>
        <v/>
      </c>
      <c r="C1025" s="17" t="str">
        <f>IF(B1025="","",INDEX('01_Rohdaten'!B1025:D1025,'02_Eingaben'!$C$13))</f>
        <v/>
      </c>
      <c r="D1025" s="17" t="str">
        <f>IF(C1025="","",C1025*'02_Eingaben'!$C$15)</f>
        <v/>
      </c>
      <c r="E1025" s="17" t="str">
        <f>IF(D1025="","",D1025*'02_Eingaben'!$C$8)</f>
        <v/>
      </c>
      <c r="F1025" s="17" t="str">
        <f>IF(E1025="","",AVERAGE(INDEX($E$2:$E$3001,MAX(1,ROW()-1-'02_Eingaben'!$C$17)):INDEX($E$2:$E$3001,MIN('02_Eingaben'!$C$21,ROW()-1+'02_Eingaben'!$C$17))))</f>
        <v/>
      </c>
      <c r="G1025" s="17" t="str">
        <f>IF(F1025="","",F1025-'02_Eingaben'!$C$10)</f>
        <v/>
      </c>
      <c r="H1025" t="str">
        <f>IF(F1025="","",IF(F1025&lt;'02_Eingaben'!$C$18*'02_Eingaben'!$C$10,1,0))</f>
        <v/>
      </c>
      <c r="I1025" s="17" t="str">
        <f t="shared" si="15"/>
        <v/>
      </c>
      <c r="J1025" s="17" t="str">
        <f>IF(B1025="","",IF(B1024&lt;'02_Eingaben'!$C$36,0,J1024+I1024/'02_Eingaben'!$C$8))</f>
        <v/>
      </c>
    </row>
    <row r="1026" spans="1:10" x14ac:dyDescent="0.25">
      <c r="A1026" t="str">
        <f>IF('01_Rohdaten'!A1026="","",ROW()-1)</f>
        <v/>
      </c>
      <c r="B1026" s="17" t="str">
        <f>IF('01_Rohdaten'!A1026="","",'01_Rohdaten'!A1026)</f>
        <v/>
      </c>
      <c r="C1026" s="17" t="str">
        <f>IF(B1026="","",INDEX('01_Rohdaten'!B1026:D1026,'02_Eingaben'!$C$13))</f>
        <v/>
      </c>
      <c r="D1026" s="17" t="str">
        <f>IF(C1026="","",C1026*'02_Eingaben'!$C$15)</f>
        <v/>
      </c>
      <c r="E1026" s="17" t="str">
        <f>IF(D1026="","",D1026*'02_Eingaben'!$C$8)</f>
        <v/>
      </c>
      <c r="F1026" s="17" t="str">
        <f>IF(E1026="","",AVERAGE(INDEX($E$2:$E$3001,MAX(1,ROW()-1-'02_Eingaben'!$C$17)):INDEX($E$2:$E$3001,MIN('02_Eingaben'!$C$21,ROW()-1+'02_Eingaben'!$C$17))))</f>
        <v/>
      </c>
      <c r="G1026" s="17" t="str">
        <f>IF(F1026="","",F1026-'02_Eingaben'!$C$10)</f>
        <v/>
      </c>
      <c r="H1026" t="str">
        <f>IF(F1026="","",IF(F1026&lt;'02_Eingaben'!$C$18*'02_Eingaben'!$C$10,1,0))</f>
        <v/>
      </c>
      <c r="I1026" s="17" t="str">
        <f t="shared" ref="I1026:I1089" si="16">IF(OR(G1026="",G1027=""),"",(G1026+G1027)/2*(B1027-B1026))</f>
        <v/>
      </c>
      <c r="J1026" s="17" t="str">
        <f>IF(B1026="","",IF(B1025&lt;'02_Eingaben'!$C$36,0,J1025+I1025/'02_Eingaben'!$C$8))</f>
        <v/>
      </c>
    </row>
    <row r="1027" spans="1:10" x14ac:dyDescent="0.25">
      <c r="A1027" t="str">
        <f>IF('01_Rohdaten'!A1027="","",ROW()-1)</f>
        <v/>
      </c>
      <c r="B1027" s="17" t="str">
        <f>IF('01_Rohdaten'!A1027="","",'01_Rohdaten'!A1027)</f>
        <v/>
      </c>
      <c r="C1027" s="17" t="str">
        <f>IF(B1027="","",INDEX('01_Rohdaten'!B1027:D1027,'02_Eingaben'!$C$13))</f>
        <v/>
      </c>
      <c r="D1027" s="17" t="str">
        <f>IF(C1027="","",C1027*'02_Eingaben'!$C$15)</f>
        <v/>
      </c>
      <c r="E1027" s="17" t="str">
        <f>IF(D1027="","",D1027*'02_Eingaben'!$C$8)</f>
        <v/>
      </c>
      <c r="F1027" s="17" t="str">
        <f>IF(E1027="","",AVERAGE(INDEX($E$2:$E$3001,MAX(1,ROW()-1-'02_Eingaben'!$C$17)):INDEX($E$2:$E$3001,MIN('02_Eingaben'!$C$21,ROW()-1+'02_Eingaben'!$C$17))))</f>
        <v/>
      </c>
      <c r="G1027" s="17" t="str">
        <f>IF(F1027="","",F1027-'02_Eingaben'!$C$10)</f>
        <v/>
      </c>
      <c r="H1027" t="str">
        <f>IF(F1027="","",IF(F1027&lt;'02_Eingaben'!$C$18*'02_Eingaben'!$C$10,1,0))</f>
        <v/>
      </c>
      <c r="I1027" s="17" t="str">
        <f t="shared" si="16"/>
        <v/>
      </c>
      <c r="J1027" s="17" t="str">
        <f>IF(B1027="","",IF(B1026&lt;'02_Eingaben'!$C$36,0,J1026+I1026/'02_Eingaben'!$C$8))</f>
        <v/>
      </c>
    </row>
    <row r="1028" spans="1:10" x14ac:dyDescent="0.25">
      <c r="A1028" t="str">
        <f>IF('01_Rohdaten'!A1028="","",ROW()-1)</f>
        <v/>
      </c>
      <c r="B1028" s="17" t="str">
        <f>IF('01_Rohdaten'!A1028="","",'01_Rohdaten'!A1028)</f>
        <v/>
      </c>
      <c r="C1028" s="17" t="str">
        <f>IF(B1028="","",INDEX('01_Rohdaten'!B1028:D1028,'02_Eingaben'!$C$13))</f>
        <v/>
      </c>
      <c r="D1028" s="17" t="str">
        <f>IF(C1028="","",C1028*'02_Eingaben'!$C$15)</f>
        <v/>
      </c>
      <c r="E1028" s="17" t="str">
        <f>IF(D1028="","",D1028*'02_Eingaben'!$C$8)</f>
        <v/>
      </c>
      <c r="F1028" s="17" t="str">
        <f>IF(E1028="","",AVERAGE(INDEX($E$2:$E$3001,MAX(1,ROW()-1-'02_Eingaben'!$C$17)):INDEX($E$2:$E$3001,MIN('02_Eingaben'!$C$21,ROW()-1+'02_Eingaben'!$C$17))))</f>
        <v/>
      </c>
      <c r="G1028" s="17" t="str">
        <f>IF(F1028="","",F1028-'02_Eingaben'!$C$10)</f>
        <v/>
      </c>
      <c r="H1028" t="str">
        <f>IF(F1028="","",IF(F1028&lt;'02_Eingaben'!$C$18*'02_Eingaben'!$C$10,1,0))</f>
        <v/>
      </c>
      <c r="I1028" s="17" t="str">
        <f t="shared" si="16"/>
        <v/>
      </c>
      <c r="J1028" s="17" t="str">
        <f>IF(B1028="","",IF(B1027&lt;'02_Eingaben'!$C$36,0,J1027+I1027/'02_Eingaben'!$C$8))</f>
        <v/>
      </c>
    </row>
    <row r="1029" spans="1:10" x14ac:dyDescent="0.25">
      <c r="A1029" t="str">
        <f>IF('01_Rohdaten'!A1029="","",ROW()-1)</f>
        <v/>
      </c>
      <c r="B1029" s="17" t="str">
        <f>IF('01_Rohdaten'!A1029="","",'01_Rohdaten'!A1029)</f>
        <v/>
      </c>
      <c r="C1029" s="17" t="str">
        <f>IF(B1029="","",INDEX('01_Rohdaten'!B1029:D1029,'02_Eingaben'!$C$13))</f>
        <v/>
      </c>
      <c r="D1029" s="17" t="str">
        <f>IF(C1029="","",C1029*'02_Eingaben'!$C$15)</f>
        <v/>
      </c>
      <c r="E1029" s="17" t="str">
        <f>IF(D1029="","",D1029*'02_Eingaben'!$C$8)</f>
        <v/>
      </c>
      <c r="F1029" s="17" t="str">
        <f>IF(E1029="","",AVERAGE(INDEX($E$2:$E$3001,MAX(1,ROW()-1-'02_Eingaben'!$C$17)):INDEX($E$2:$E$3001,MIN('02_Eingaben'!$C$21,ROW()-1+'02_Eingaben'!$C$17))))</f>
        <v/>
      </c>
      <c r="G1029" s="17" t="str">
        <f>IF(F1029="","",F1029-'02_Eingaben'!$C$10)</f>
        <v/>
      </c>
      <c r="H1029" t="str">
        <f>IF(F1029="","",IF(F1029&lt;'02_Eingaben'!$C$18*'02_Eingaben'!$C$10,1,0))</f>
        <v/>
      </c>
      <c r="I1029" s="17" t="str">
        <f t="shared" si="16"/>
        <v/>
      </c>
      <c r="J1029" s="17" t="str">
        <f>IF(B1029="","",IF(B1028&lt;'02_Eingaben'!$C$36,0,J1028+I1028/'02_Eingaben'!$C$8))</f>
        <v/>
      </c>
    </row>
    <row r="1030" spans="1:10" x14ac:dyDescent="0.25">
      <c r="A1030" t="str">
        <f>IF('01_Rohdaten'!A1030="","",ROW()-1)</f>
        <v/>
      </c>
      <c r="B1030" s="17" t="str">
        <f>IF('01_Rohdaten'!A1030="","",'01_Rohdaten'!A1030)</f>
        <v/>
      </c>
      <c r="C1030" s="17" t="str">
        <f>IF(B1030="","",INDEX('01_Rohdaten'!B1030:D1030,'02_Eingaben'!$C$13))</f>
        <v/>
      </c>
      <c r="D1030" s="17" t="str">
        <f>IF(C1030="","",C1030*'02_Eingaben'!$C$15)</f>
        <v/>
      </c>
      <c r="E1030" s="17" t="str">
        <f>IF(D1030="","",D1030*'02_Eingaben'!$C$8)</f>
        <v/>
      </c>
      <c r="F1030" s="17" t="str">
        <f>IF(E1030="","",AVERAGE(INDEX($E$2:$E$3001,MAX(1,ROW()-1-'02_Eingaben'!$C$17)):INDEX($E$2:$E$3001,MIN('02_Eingaben'!$C$21,ROW()-1+'02_Eingaben'!$C$17))))</f>
        <v/>
      </c>
      <c r="G1030" s="17" t="str">
        <f>IF(F1030="","",F1030-'02_Eingaben'!$C$10)</f>
        <v/>
      </c>
      <c r="H1030" t="str">
        <f>IF(F1030="","",IF(F1030&lt;'02_Eingaben'!$C$18*'02_Eingaben'!$C$10,1,0))</f>
        <v/>
      </c>
      <c r="I1030" s="17" t="str">
        <f t="shared" si="16"/>
        <v/>
      </c>
      <c r="J1030" s="17" t="str">
        <f>IF(B1030="","",IF(B1029&lt;'02_Eingaben'!$C$36,0,J1029+I1029/'02_Eingaben'!$C$8))</f>
        <v/>
      </c>
    </row>
    <row r="1031" spans="1:10" x14ac:dyDescent="0.25">
      <c r="A1031" t="str">
        <f>IF('01_Rohdaten'!A1031="","",ROW()-1)</f>
        <v/>
      </c>
      <c r="B1031" s="17" t="str">
        <f>IF('01_Rohdaten'!A1031="","",'01_Rohdaten'!A1031)</f>
        <v/>
      </c>
      <c r="C1031" s="17" t="str">
        <f>IF(B1031="","",INDEX('01_Rohdaten'!B1031:D1031,'02_Eingaben'!$C$13))</f>
        <v/>
      </c>
      <c r="D1031" s="17" t="str">
        <f>IF(C1031="","",C1031*'02_Eingaben'!$C$15)</f>
        <v/>
      </c>
      <c r="E1031" s="17" t="str">
        <f>IF(D1031="","",D1031*'02_Eingaben'!$C$8)</f>
        <v/>
      </c>
      <c r="F1031" s="17" t="str">
        <f>IF(E1031="","",AVERAGE(INDEX($E$2:$E$3001,MAX(1,ROW()-1-'02_Eingaben'!$C$17)):INDEX($E$2:$E$3001,MIN('02_Eingaben'!$C$21,ROW()-1+'02_Eingaben'!$C$17))))</f>
        <v/>
      </c>
      <c r="G1031" s="17" t="str">
        <f>IF(F1031="","",F1031-'02_Eingaben'!$C$10)</f>
        <v/>
      </c>
      <c r="H1031" t="str">
        <f>IF(F1031="","",IF(F1031&lt;'02_Eingaben'!$C$18*'02_Eingaben'!$C$10,1,0))</f>
        <v/>
      </c>
      <c r="I1031" s="17" t="str">
        <f t="shared" si="16"/>
        <v/>
      </c>
      <c r="J1031" s="17" t="str">
        <f>IF(B1031="","",IF(B1030&lt;'02_Eingaben'!$C$36,0,J1030+I1030/'02_Eingaben'!$C$8))</f>
        <v/>
      </c>
    </row>
    <row r="1032" spans="1:10" x14ac:dyDescent="0.25">
      <c r="A1032" t="str">
        <f>IF('01_Rohdaten'!A1032="","",ROW()-1)</f>
        <v/>
      </c>
      <c r="B1032" s="17" t="str">
        <f>IF('01_Rohdaten'!A1032="","",'01_Rohdaten'!A1032)</f>
        <v/>
      </c>
      <c r="C1032" s="17" t="str">
        <f>IF(B1032="","",INDEX('01_Rohdaten'!B1032:D1032,'02_Eingaben'!$C$13))</f>
        <v/>
      </c>
      <c r="D1032" s="17" t="str">
        <f>IF(C1032="","",C1032*'02_Eingaben'!$C$15)</f>
        <v/>
      </c>
      <c r="E1032" s="17" t="str">
        <f>IF(D1032="","",D1032*'02_Eingaben'!$C$8)</f>
        <v/>
      </c>
      <c r="F1032" s="17" t="str">
        <f>IF(E1032="","",AVERAGE(INDEX($E$2:$E$3001,MAX(1,ROW()-1-'02_Eingaben'!$C$17)):INDEX($E$2:$E$3001,MIN('02_Eingaben'!$C$21,ROW()-1+'02_Eingaben'!$C$17))))</f>
        <v/>
      </c>
      <c r="G1032" s="17" t="str">
        <f>IF(F1032="","",F1032-'02_Eingaben'!$C$10)</f>
        <v/>
      </c>
      <c r="H1032" t="str">
        <f>IF(F1032="","",IF(F1032&lt;'02_Eingaben'!$C$18*'02_Eingaben'!$C$10,1,0))</f>
        <v/>
      </c>
      <c r="I1032" s="17" t="str">
        <f t="shared" si="16"/>
        <v/>
      </c>
      <c r="J1032" s="17" t="str">
        <f>IF(B1032="","",IF(B1031&lt;'02_Eingaben'!$C$36,0,J1031+I1031/'02_Eingaben'!$C$8))</f>
        <v/>
      </c>
    </row>
    <row r="1033" spans="1:10" x14ac:dyDescent="0.25">
      <c r="A1033" t="str">
        <f>IF('01_Rohdaten'!A1033="","",ROW()-1)</f>
        <v/>
      </c>
      <c r="B1033" s="17" t="str">
        <f>IF('01_Rohdaten'!A1033="","",'01_Rohdaten'!A1033)</f>
        <v/>
      </c>
      <c r="C1033" s="17" t="str">
        <f>IF(B1033="","",INDEX('01_Rohdaten'!B1033:D1033,'02_Eingaben'!$C$13))</f>
        <v/>
      </c>
      <c r="D1033" s="17" t="str">
        <f>IF(C1033="","",C1033*'02_Eingaben'!$C$15)</f>
        <v/>
      </c>
      <c r="E1033" s="17" t="str">
        <f>IF(D1033="","",D1033*'02_Eingaben'!$C$8)</f>
        <v/>
      </c>
      <c r="F1033" s="17" t="str">
        <f>IF(E1033="","",AVERAGE(INDEX($E$2:$E$3001,MAX(1,ROW()-1-'02_Eingaben'!$C$17)):INDEX($E$2:$E$3001,MIN('02_Eingaben'!$C$21,ROW()-1+'02_Eingaben'!$C$17))))</f>
        <v/>
      </c>
      <c r="G1033" s="17" t="str">
        <f>IF(F1033="","",F1033-'02_Eingaben'!$C$10)</f>
        <v/>
      </c>
      <c r="H1033" t="str">
        <f>IF(F1033="","",IF(F1033&lt;'02_Eingaben'!$C$18*'02_Eingaben'!$C$10,1,0))</f>
        <v/>
      </c>
      <c r="I1033" s="17" t="str">
        <f t="shared" si="16"/>
        <v/>
      </c>
      <c r="J1033" s="17" t="str">
        <f>IF(B1033="","",IF(B1032&lt;'02_Eingaben'!$C$36,0,J1032+I1032/'02_Eingaben'!$C$8))</f>
        <v/>
      </c>
    </row>
    <row r="1034" spans="1:10" x14ac:dyDescent="0.25">
      <c r="A1034" t="str">
        <f>IF('01_Rohdaten'!A1034="","",ROW()-1)</f>
        <v/>
      </c>
      <c r="B1034" s="17" t="str">
        <f>IF('01_Rohdaten'!A1034="","",'01_Rohdaten'!A1034)</f>
        <v/>
      </c>
      <c r="C1034" s="17" t="str">
        <f>IF(B1034="","",INDEX('01_Rohdaten'!B1034:D1034,'02_Eingaben'!$C$13))</f>
        <v/>
      </c>
      <c r="D1034" s="17" t="str">
        <f>IF(C1034="","",C1034*'02_Eingaben'!$C$15)</f>
        <v/>
      </c>
      <c r="E1034" s="17" t="str">
        <f>IF(D1034="","",D1034*'02_Eingaben'!$C$8)</f>
        <v/>
      </c>
      <c r="F1034" s="17" t="str">
        <f>IF(E1034="","",AVERAGE(INDEX($E$2:$E$3001,MAX(1,ROW()-1-'02_Eingaben'!$C$17)):INDEX($E$2:$E$3001,MIN('02_Eingaben'!$C$21,ROW()-1+'02_Eingaben'!$C$17))))</f>
        <v/>
      </c>
      <c r="G1034" s="17" t="str">
        <f>IF(F1034="","",F1034-'02_Eingaben'!$C$10)</f>
        <v/>
      </c>
      <c r="H1034" t="str">
        <f>IF(F1034="","",IF(F1034&lt;'02_Eingaben'!$C$18*'02_Eingaben'!$C$10,1,0))</f>
        <v/>
      </c>
      <c r="I1034" s="17" t="str">
        <f t="shared" si="16"/>
        <v/>
      </c>
      <c r="J1034" s="17" t="str">
        <f>IF(B1034="","",IF(B1033&lt;'02_Eingaben'!$C$36,0,J1033+I1033/'02_Eingaben'!$C$8))</f>
        <v/>
      </c>
    </row>
    <row r="1035" spans="1:10" x14ac:dyDescent="0.25">
      <c r="A1035" t="str">
        <f>IF('01_Rohdaten'!A1035="","",ROW()-1)</f>
        <v/>
      </c>
      <c r="B1035" s="17" t="str">
        <f>IF('01_Rohdaten'!A1035="","",'01_Rohdaten'!A1035)</f>
        <v/>
      </c>
      <c r="C1035" s="17" t="str">
        <f>IF(B1035="","",INDEX('01_Rohdaten'!B1035:D1035,'02_Eingaben'!$C$13))</f>
        <v/>
      </c>
      <c r="D1035" s="17" t="str">
        <f>IF(C1035="","",C1035*'02_Eingaben'!$C$15)</f>
        <v/>
      </c>
      <c r="E1035" s="17" t="str">
        <f>IF(D1035="","",D1035*'02_Eingaben'!$C$8)</f>
        <v/>
      </c>
      <c r="F1035" s="17" t="str">
        <f>IF(E1035="","",AVERAGE(INDEX($E$2:$E$3001,MAX(1,ROW()-1-'02_Eingaben'!$C$17)):INDEX($E$2:$E$3001,MIN('02_Eingaben'!$C$21,ROW()-1+'02_Eingaben'!$C$17))))</f>
        <v/>
      </c>
      <c r="G1035" s="17" t="str">
        <f>IF(F1035="","",F1035-'02_Eingaben'!$C$10)</f>
        <v/>
      </c>
      <c r="H1035" t="str">
        <f>IF(F1035="","",IF(F1035&lt;'02_Eingaben'!$C$18*'02_Eingaben'!$C$10,1,0))</f>
        <v/>
      </c>
      <c r="I1035" s="17" t="str">
        <f t="shared" si="16"/>
        <v/>
      </c>
      <c r="J1035" s="17" t="str">
        <f>IF(B1035="","",IF(B1034&lt;'02_Eingaben'!$C$36,0,J1034+I1034/'02_Eingaben'!$C$8))</f>
        <v/>
      </c>
    </row>
    <row r="1036" spans="1:10" x14ac:dyDescent="0.25">
      <c r="A1036" t="str">
        <f>IF('01_Rohdaten'!A1036="","",ROW()-1)</f>
        <v/>
      </c>
      <c r="B1036" s="17" t="str">
        <f>IF('01_Rohdaten'!A1036="","",'01_Rohdaten'!A1036)</f>
        <v/>
      </c>
      <c r="C1036" s="17" t="str">
        <f>IF(B1036="","",INDEX('01_Rohdaten'!B1036:D1036,'02_Eingaben'!$C$13))</f>
        <v/>
      </c>
      <c r="D1036" s="17" t="str">
        <f>IF(C1036="","",C1036*'02_Eingaben'!$C$15)</f>
        <v/>
      </c>
      <c r="E1036" s="17" t="str">
        <f>IF(D1036="","",D1036*'02_Eingaben'!$C$8)</f>
        <v/>
      </c>
      <c r="F1036" s="17" t="str">
        <f>IF(E1036="","",AVERAGE(INDEX($E$2:$E$3001,MAX(1,ROW()-1-'02_Eingaben'!$C$17)):INDEX($E$2:$E$3001,MIN('02_Eingaben'!$C$21,ROW()-1+'02_Eingaben'!$C$17))))</f>
        <v/>
      </c>
      <c r="G1036" s="17" t="str">
        <f>IF(F1036="","",F1036-'02_Eingaben'!$C$10)</f>
        <v/>
      </c>
      <c r="H1036" t="str">
        <f>IF(F1036="","",IF(F1036&lt;'02_Eingaben'!$C$18*'02_Eingaben'!$C$10,1,0))</f>
        <v/>
      </c>
      <c r="I1036" s="17" t="str">
        <f t="shared" si="16"/>
        <v/>
      </c>
      <c r="J1036" s="17" t="str">
        <f>IF(B1036="","",IF(B1035&lt;'02_Eingaben'!$C$36,0,J1035+I1035/'02_Eingaben'!$C$8))</f>
        <v/>
      </c>
    </row>
    <row r="1037" spans="1:10" x14ac:dyDescent="0.25">
      <c r="A1037" t="str">
        <f>IF('01_Rohdaten'!A1037="","",ROW()-1)</f>
        <v/>
      </c>
      <c r="B1037" s="17" t="str">
        <f>IF('01_Rohdaten'!A1037="","",'01_Rohdaten'!A1037)</f>
        <v/>
      </c>
      <c r="C1037" s="17" t="str">
        <f>IF(B1037="","",INDEX('01_Rohdaten'!B1037:D1037,'02_Eingaben'!$C$13))</f>
        <v/>
      </c>
      <c r="D1037" s="17" t="str">
        <f>IF(C1037="","",C1037*'02_Eingaben'!$C$15)</f>
        <v/>
      </c>
      <c r="E1037" s="17" t="str">
        <f>IF(D1037="","",D1037*'02_Eingaben'!$C$8)</f>
        <v/>
      </c>
      <c r="F1037" s="17" t="str">
        <f>IF(E1037="","",AVERAGE(INDEX($E$2:$E$3001,MAX(1,ROW()-1-'02_Eingaben'!$C$17)):INDEX($E$2:$E$3001,MIN('02_Eingaben'!$C$21,ROW()-1+'02_Eingaben'!$C$17))))</f>
        <v/>
      </c>
      <c r="G1037" s="17" t="str">
        <f>IF(F1037="","",F1037-'02_Eingaben'!$C$10)</f>
        <v/>
      </c>
      <c r="H1037" t="str">
        <f>IF(F1037="","",IF(F1037&lt;'02_Eingaben'!$C$18*'02_Eingaben'!$C$10,1,0))</f>
        <v/>
      </c>
      <c r="I1037" s="17" t="str">
        <f t="shared" si="16"/>
        <v/>
      </c>
      <c r="J1037" s="17" t="str">
        <f>IF(B1037="","",IF(B1036&lt;'02_Eingaben'!$C$36,0,J1036+I1036/'02_Eingaben'!$C$8))</f>
        <v/>
      </c>
    </row>
    <row r="1038" spans="1:10" x14ac:dyDescent="0.25">
      <c r="A1038" t="str">
        <f>IF('01_Rohdaten'!A1038="","",ROW()-1)</f>
        <v/>
      </c>
      <c r="B1038" s="17" t="str">
        <f>IF('01_Rohdaten'!A1038="","",'01_Rohdaten'!A1038)</f>
        <v/>
      </c>
      <c r="C1038" s="17" t="str">
        <f>IF(B1038="","",INDEX('01_Rohdaten'!B1038:D1038,'02_Eingaben'!$C$13))</f>
        <v/>
      </c>
      <c r="D1038" s="17" t="str">
        <f>IF(C1038="","",C1038*'02_Eingaben'!$C$15)</f>
        <v/>
      </c>
      <c r="E1038" s="17" t="str">
        <f>IF(D1038="","",D1038*'02_Eingaben'!$C$8)</f>
        <v/>
      </c>
      <c r="F1038" s="17" t="str">
        <f>IF(E1038="","",AVERAGE(INDEX($E$2:$E$3001,MAX(1,ROW()-1-'02_Eingaben'!$C$17)):INDEX($E$2:$E$3001,MIN('02_Eingaben'!$C$21,ROW()-1+'02_Eingaben'!$C$17))))</f>
        <v/>
      </c>
      <c r="G1038" s="17" t="str">
        <f>IF(F1038="","",F1038-'02_Eingaben'!$C$10)</f>
        <v/>
      </c>
      <c r="H1038" t="str">
        <f>IF(F1038="","",IF(F1038&lt;'02_Eingaben'!$C$18*'02_Eingaben'!$C$10,1,0))</f>
        <v/>
      </c>
      <c r="I1038" s="17" t="str">
        <f t="shared" si="16"/>
        <v/>
      </c>
      <c r="J1038" s="17" t="str">
        <f>IF(B1038="","",IF(B1037&lt;'02_Eingaben'!$C$36,0,J1037+I1037/'02_Eingaben'!$C$8))</f>
        <v/>
      </c>
    </row>
    <row r="1039" spans="1:10" x14ac:dyDescent="0.25">
      <c r="A1039" t="str">
        <f>IF('01_Rohdaten'!A1039="","",ROW()-1)</f>
        <v/>
      </c>
      <c r="B1039" s="17" t="str">
        <f>IF('01_Rohdaten'!A1039="","",'01_Rohdaten'!A1039)</f>
        <v/>
      </c>
      <c r="C1039" s="17" t="str">
        <f>IF(B1039="","",INDEX('01_Rohdaten'!B1039:D1039,'02_Eingaben'!$C$13))</f>
        <v/>
      </c>
      <c r="D1039" s="17" t="str">
        <f>IF(C1039="","",C1039*'02_Eingaben'!$C$15)</f>
        <v/>
      </c>
      <c r="E1039" s="17" t="str">
        <f>IF(D1039="","",D1039*'02_Eingaben'!$C$8)</f>
        <v/>
      </c>
      <c r="F1039" s="17" t="str">
        <f>IF(E1039="","",AVERAGE(INDEX($E$2:$E$3001,MAX(1,ROW()-1-'02_Eingaben'!$C$17)):INDEX($E$2:$E$3001,MIN('02_Eingaben'!$C$21,ROW()-1+'02_Eingaben'!$C$17))))</f>
        <v/>
      </c>
      <c r="G1039" s="17" t="str">
        <f>IF(F1039="","",F1039-'02_Eingaben'!$C$10)</f>
        <v/>
      </c>
      <c r="H1039" t="str">
        <f>IF(F1039="","",IF(F1039&lt;'02_Eingaben'!$C$18*'02_Eingaben'!$C$10,1,0))</f>
        <v/>
      </c>
      <c r="I1039" s="17" t="str">
        <f t="shared" si="16"/>
        <v/>
      </c>
      <c r="J1039" s="17" t="str">
        <f>IF(B1039="","",IF(B1038&lt;'02_Eingaben'!$C$36,0,J1038+I1038/'02_Eingaben'!$C$8))</f>
        <v/>
      </c>
    </row>
    <row r="1040" spans="1:10" x14ac:dyDescent="0.25">
      <c r="A1040" t="str">
        <f>IF('01_Rohdaten'!A1040="","",ROW()-1)</f>
        <v/>
      </c>
      <c r="B1040" s="17" t="str">
        <f>IF('01_Rohdaten'!A1040="","",'01_Rohdaten'!A1040)</f>
        <v/>
      </c>
      <c r="C1040" s="17" t="str">
        <f>IF(B1040="","",INDEX('01_Rohdaten'!B1040:D1040,'02_Eingaben'!$C$13))</f>
        <v/>
      </c>
      <c r="D1040" s="17" t="str">
        <f>IF(C1040="","",C1040*'02_Eingaben'!$C$15)</f>
        <v/>
      </c>
      <c r="E1040" s="17" t="str">
        <f>IF(D1040="","",D1040*'02_Eingaben'!$C$8)</f>
        <v/>
      </c>
      <c r="F1040" s="17" t="str">
        <f>IF(E1040="","",AVERAGE(INDEX($E$2:$E$3001,MAX(1,ROW()-1-'02_Eingaben'!$C$17)):INDEX($E$2:$E$3001,MIN('02_Eingaben'!$C$21,ROW()-1+'02_Eingaben'!$C$17))))</f>
        <v/>
      </c>
      <c r="G1040" s="17" t="str">
        <f>IF(F1040="","",F1040-'02_Eingaben'!$C$10)</f>
        <v/>
      </c>
      <c r="H1040" t="str">
        <f>IF(F1040="","",IF(F1040&lt;'02_Eingaben'!$C$18*'02_Eingaben'!$C$10,1,0))</f>
        <v/>
      </c>
      <c r="I1040" s="17" t="str">
        <f t="shared" si="16"/>
        <v/>
      </c>
      <c r="J1040" s="17" t="str">
        <f>IF(B1040="","",IF(B1039&lt;'02_Eingaben'!$C$36,0,J1039+I1039/'02_Eingaben'!$C$8))</f>
        <v/>
      </c>
    </row>
    <row r="1041" spans="1:10" x14ac:dyDescent="0.25">
      <c r="A1041" t="str">
        <f>IF('01_Rohdaten'!A1041="","",ROW()-1)</f>
        <v/>
      </c>
      <c r="B1041" s="17" t="str">
        <f>IF('01_Rohdaten'!A1041="","",'01_Rohdaten'!A1041)</f>
        <v/>
      </c>
      <c r="C1041" s="17" t="str">
        <f>IF(B1041="","",INDEX('01_Rohdaten'!B1041:D1041,'02_Eingaben'!$C$13))</f>
        <v/>
      </c>
      <c r="D1041" s="17" t="str">
        <f>IF(C1041="","",C1041*'02_Eingaben'!$C$15)</f>
        <v/>
      </c>
      <c r="E1041" s="17" t="str">
        <f>IF(D1041="","",D1041*'02_Eingaben'!$C$8)</f>
        <v/>
      </c>
      <c r="F1041" s="17" t="str">
        <f>IF(E1041="","",AVERAGE(INDEX($E$2:$E$3001,MAX(1,ROW()-1-'02_Eingaben'!$C$17)):INDEX($E$2:$E$3001,MIN('02_Eingaben'!$C$21,ROW()-1+'02_Eingaben'!$C$17))))</f>
        <v/>
      </c>
      <c r="G1041" s="17" t="str">
        <f>IF(F1041="","",F1041-'02_Eingaben'!$C$10)</f>
        <v/>
      </c>
      <c r="H1041" t="str">
        <f>IF(F1041="","",IF(F1041&lt;'02_Eingaben'!$C$18*'02_Eingaben'!$C$10,1,0))</f>
        <v/>
      </c>
      <c r="I1041" s="17" t="str">
        <f t="shared" si="16"/>
        <v/>
      </c>
      <c r="J1041" s="17" t="str">
        <f>IF(B1041="","",IF(B1040&lt;'02_Eingaben'!$C$36,0,J1040+I1040/'02_Eingaben'!$C$8))</f>
        <v/>
      </c>
    </row>
    <row r="1042" spans="1:10" x14ac:dyDescent="0.25">
      <c r="A1042" t="str">
        <f>IF('01_Rohdaten'!A1042="","",ROW()-1)</f>
        <v/>
      </c>
      <c r="B1042" s="17" t="str">
        <f>IF('01_Rohdaten'!A1042="","",'01_Rohdaten'!A1042)</f>
        <v/>
      </c>
      <c r="C1042" s="17" t="str">
        <f>IF(B1042="","",INDEX('01_Rohdaten'!B1042:D1042,'02_Eingaben'!$C$13))</f>
        <v/>
      </c>
      <c r="D1042" s="17" t="str">
        <f>IF(C1042="","",C1042*'02_Eingaben'!$C$15)</f>
        <v/>
      </c>
      <c r="E1042" s="17" t="str">
        <f>IF(D1042="","",D1042*'02_Eingaben'!$C$8)</f>
        <v/>
      </c>
      <c r="F1042" s="17" t="str">
        <f>IF(E1042="","",AVERAGE(INDEX($E$2:$E$3001,MAX(1,ROW()-1-'02_Eingaben'!$C$17)):INDEX($E$2:$E$3001,MIN('02_Eingaben'!$C$21,ROW()-1+'02_Eingaben'!$C$17))))</f>
        <v/>
      </c>
      <c r="G1042" s="17" t="str">
        <f>IF(F1042="","",F1042-'02_Eingaben'!$C$10)</f>
        <v/>
      </c>
      <c r="H1042" t="str">
        <f>IF(F1042="","",IF(F1042&lt;'02_Eingaben'!$C$18*'02_Eingaben'!$C$10,1,0))</f>
        <v/>
      </c>
      <c r="I1042" s="17" t="str">
        <f t="shared" si="16"/>
        <v/>
      </c>
      <c r="J1042" s="17" t="str">
        <f>IF(B1042="","",IF(B1041&lt;'02_Eingaben'!$C$36,0,J1041+I1041/'02_Eingaben'!$C$8))</f>
        <v/>
      </c>
    </row>
    <row r="1043" spans="1:10" x14ac:dyDescent="0.25">
      <c r="A1043" t="str">
        <f>IF('01_Rohdaten'!A1043="","",ROW()-1)</f>
        <v/>
      </c>
      <c r="B1043" s="17" t="str">
        <f>IF('01_Rohdaten'!A1043="","",'01_Rohdaten'!A1043)</f>
        <v/>
      </c>
      <c r="C1043" s="17" t="str">
        <f>IF(B1043="","",INDEX('01_Rohdaten'!B1043:D1043,'02_Eingaben'!$C$13))</f>
        <v/>
      </c>
      <c r="D1043" s="17" t="str">
        <f>IF(C1043="","",C1043*'02_Eingaben'!$C$15)</f>
        <v/>
      </c>
      <c r="E1043" s="17" t="str">
        <f>IF(D1043="","",D1043*'02_Eingaben'!$C$8)</f>
        <v/>
      </c>
      <c r="F1043" s="17" t="str">
        <f>IF(E1043="","",AVERAGE(INDEX($E$2:$E$3001,MAX(1,ROW()-1-'02_Eingaben'!$C$17)):INDEX($E$2:$E$3001,MIN('02_Eingaben'!$C$21,ROW()-1+'02_Eingaben'!$C$17))))</f>
        <v/>
      </c>
      <c r="G1043" s="17" t="str">
        <f>IF(F1043="","",F1043-'02_Eingaben'!$C$10)</f>
        <v/>
      </c>
      <c r="H1043" t="str">
        <f>IF(F1043="","",IF(F1043&lt;'02_Eingaben'!$C$18*'02_Eingaben'!$C$10,1,0))</f>
        <v/>
      </c>
      <c r="I1043" s="17" t="str">
        <f t="shared" si="16"/>
        <v/>
      </c>
      <c r="J1043" s="17" t="str">
        <f>IF(B1043="","",IF(B1042&lt;'02_Eingaben'!$C$36,0,J1042+I1042/'02_Eingaben'!$C$8))</f>
        <v/>
      </c>
    </row>
    <row r="1044" spans="1:10" x14ac:dyDescent="0.25">
      <c r="A1044" t="str">
        <f>IF('01_Rohdaten'!A1044="","",ROW()-1)</f>
        <v/>
      </c>
      <c r="B1044" s="17" t="str">
        <f>IF('01_Rohdaten'!A1044="","",'01_Rohdaten'!A1044)</f>
        <v/>
      </c>
      <c r="C1044" s="17" t="str">
        <f>IF(B1044="","",INDEX('01_Rohdaten'!B1044:D1044,'02_Eingaben'!$C$13))</f>
        <v/>
      </c>
      <c r="D1044" s="17" t="str">
        <f>IF(C1044="","",C1044*'02_Eingaben'!$C$15)</f>
        <v/>
      </c>
      <c r="E1044" s="17" t="str">
        <f>IF(D1044="","",D1044*'02_Eingaben'!$C$8)</f>
        <v/>
      </c>
      <c r="F1044" s="17" t="str">
        <f>IF(E1044="","",AVERAGE(INDEX($E$2:$E$3001,MAX(1,ROW()-1-'02_Eingaben'!$C$17)):INDEX($E$2:$E$3001,MIN('02_Eingaben'!$C$21,ROW()-1+'02_Eingaben'!$C$17))))</f>
        <v/>
      </c>
      <c r="G1044" s="17" t="str">
        <f>IF(F1044="","",F1044-'02_Eingaben'!$C$10)</f>
        <v/>
      </c>
      <c r="H1044" t="str">
        <f>IF(F1044="","",IF(F1044&lt;'02_Eingaben'!$C$18*'02_Eingaben'!$C$10,1,0))</f>
        <v/>
      </c>
      <c r="I1044" s="17" t="str">
        <f t="shared" si="16"/>
        <v/>
      </c>
      <c r="J1044" s="17" t="str">
        <f>IF(B1044="","",IF(B1043&lt;'02_Eingaben'!$C$36,0,J1043+I1043/'02_Eingaben'!$C$8))</f>
        <v/>
      </c>
    </row>
    <row r="1045" spans="1:10" x14ac:dyDescent="0.25">
      <c r="A1045" t="str">
        <f>IF('01_Rohdaten'!A1045="","",ROW()-1)</f>
        <v/>
      </c>
      <c r="B1045" s="17" t="str">
        <f>IF('01_Rohdaten'!A1045="","",'01_Rohdaten'!A1045)</f>
        <v/>
      </c>
      <c r="C1045" s="17" t="str">
        <f>IF(B1045="","",INDEX('01_Rohdaten'!B1045:D1045,'02_Eingaben'!$C$13))</f>
        <v/>
      </c>
      <c r="D1045" s="17" t="str">
        <f>IF(C1045="","",C1045*'02_Eingaben'!$C$15)</f>
        <v/>
      </c>
      <c r="E1045" s="17" t="str">
        <f>IF(D1045="","",D1045*'02_Eingaben'!$C$8)</f>
        <v/>
      </c>
      <c r="F1045" s="17" t="str">
        <f>IF(E1045="","",AVERAGE(INDEX($E$2:$E$3001,MAX(1,ROW()-1-'02_Eingaben'!$C$17)):INDEX($E$2:$E$3001,MIN('02_Eingaben'!$C$21,ROW()-1+'02_Eingaben'!$C$17))))</f>
        <v/>
      </c>
      <c r="G1045" s="17" t="str">
        <f>IF(F1045="","",F1045-'02_Eingaben'!$C$10)</f>
        <v/>
      </c>
      <c r="H1045" t="str">
        <f>IF(F1045="","",IF(F1045&lt;'02_Eingaben'!$C$18*'02_Eingaben'!$C$10,1,0))</f>
        <v/>
      </c>
      <c r="I1045" s="17" t="str">
        <f t="shared" si="16"/>
        <v/>
      </c>
      <c r="J1045" s="17" t="str">
        <f>IF(B1045="","",IF(B1044&lt;'02_Eingaben'!$C$36,0,J1044+I1044/'02_Eingaben'!$C$8))</f>
        <v/>
      </c>
    </row>
    <row r="1046" spans="1:10" x14ac:dyDescent="0.25">
      <c r="A1046" t="str">
        <f>IF('01_Rohdaten'!A1046="","",ROW()-1)</f>
        <v/>
      </c>
      <c r="B1046" s="17" t="str">
        <f>IF('01_Rohdaten'!A1046="","",'01_Rohdaten'!A1046)</f>
        <v/>
      </c>
      <c r="C1046" s="17" t="str">
        <f>IF(B1046="","",INDEX('01_Rohdaten'!B1046:D1046,'02_Eingaben'!$C$13))</f>
        <v/>
      </c>
      <c r="D1046" s="17" t="str">
        <f>IF(C1046="","",C1046*'02_Eingaben'!$C$15)</f>
        <v/>
      </c>
      <c r="E1046" s="17" t="str">
        <f>IF(D1046="","",D1046*'02_Eingaben'!$C$8)</f>
        <v/>
      </c>
      <c r="F1046" s="17" t="str">
        <f>IF(E1046="","",AVERAGE(INDEX($E$2:$E$3001,MAX(1,ROW()-1-'02_Eingaben'!$C$17)):INDEX($E$2:$E$3001,MIN('02_Eingaben'!$C$21,ROW()-1+'02_Eingaben'!$C$17))))</f>
        <v/>
      </c>
      <c r="G1046" s="17" t="str">
        <f>IF(F1046="","",F1046-'02_Eingaben'!$C$10)</f>
        <v/>
      </c>
      <c r="H1046" t="str">
        <f>IF(F1046="","",IF(F1046&lt;'02_Eingaben'!$C$18*'02_Eingaben'!$C$10,1,0))</f>
        <v/>
      </c>
      <c r="I1046" s="17" t="str">
        <f t="shared" si="16"/>
        <v/>
      </c>
      <c r="J1046" s="17" t="str">
        <f>IF(B1046="","",IF(B1045&lt;'02_Eingaben'!$C$36,0,J1045+I1045/'02_Eingaben'!$C$8))</f>
        <v/>
      </c>
    </row>
    <row r="1047" spans="1:10" x14ac:dyDescent="0.25">
      <c r="A1047" t="str">
        <f>IF('01_Rohdaten'!A1047="","",ROW()-1)</f>
        <v/>
      </c>
      <c r="B1047" s="17" t="str">
        <f>IF('01_Rohdaten'!A1047="","",'01_Rohdaten'!A1047)</f>
        <v/>
      </c>
      <c r="C1047" s="17" t="str">
        <f>IF(B1047="","",INDEX('01_Rohdaten'!B1047:D1047,'02_Eingaben'!$C$13))</f>
        <v/>
      </c>
      <c r="D1047" s="17" t="str">
        <f>IF(C1047="","",C1047*'02_Eingaben'!$C$15)</f>
        <v/>
      </c>
      <c r="E1047" s="17" t="str">
        <f>IF(D1047="","",D1047*'02_Eingaben'!$C$8)</f>
        <v/>
      </c>
      <c r="F1047" s="17" t="str">
        <f>IF(E1047="","",AVERAGE(INDEX($E$2:$E$3001,MAX(1,ROW()-1-'02_Eingaben'!$C$17)):INDEX($E$2:$E$3001,MIN('02_Eingaben'!$C$21,ROW()-1+'02_Eingaben'!$C$17))))</f>
        <v/>
      </c>
      <c r="G1047" s="17" t="str">
        <f>IF(F1047="","",F1047-'02_Eingaben'!$C$10)</f>
        <v/>
      </c>
      <c r="H1047" t="str">
        <f>IF(F1047="","",IF(F1047&lt;'02_Eingaben'!$C$18*'02_Eingaben'!$C$10,1,0))</f>
        <v/>
      </c>
      <c r="I1047" s="17" t="str">
        <f t="shared" si="16"/>
        <v/>
      </c>
      <c r="J1047" s="17" t="str">
        <f>IF(B1047="","",IF(B1046&lt;'02_Eingaben'!$C$36,0,J1046+I1046/'02_Eingaben'!$C$8))</f>
        <v/>
      </c>
    </row>
    <row r="1048" spans="1:10" x14ac:dyDescent="0.25">
      <c r="A1048" t="str">
        <f>IF('01_Rohdaten'!A1048="","",ROW()-1)</f>
        <v/>
      </c>
      <c r="B1048" s="17" t="str">
        <f>IF('01_Rohdaten'!A1048="","",'01_Rohdaten'!A1048)</f>
        <v/>
      </c>
      <c r="C1048" s="17" t="str">
        <f>IF(B1048="","",INDEX('01_Rohdaten'!B1048:D1048,'02_Eingaben'!$C$13))</f>
        <v/>
      </c>
      <c r="D1048" s="17" t="str">
        <f>IF(C1048="","",C1048*'02_Eingaben'!$C$15)</f>
        <v/>
      </c>
      <c r="E1048" s="17" t="str">
        <f>IF(D1048="","",D1048*'02_Eingaben'!$C$8)</f>
        <v/>
      </c>
      <c r="F1048" s="17" t="str">
        <f>IF(E1048="","",AVERAGE(INDEX($E$2:$E$3001,MAX(1,ROW()-1-'02_Eingaben'!$C$17)):INDEX($E$2:$E$3001,MIN('02_Eingaben'!$C$21,ROW()-1+'02_Eingaben'!$C$17))))</f>
        <v/>
      </c>
      <c r="G1048" s="17" t="str">
        <f>IF(F1048="","",F1048-'02_Eingaben'!$C$10)</f>
        <v/>
      </c>
      <c r="H1048" t="str">
        <f>IF(F1048="","",IF(F1048&lt;'02_Eingaben'!$C$18*'02_Eingaben'!$C$10,1,0))</f>
        <v/>
      </c>
      <c r="I1048" s="17" t="str">
        <f t="shared" si="16"/>
        <v/>
      </c>
      <c r="J1048" s="17" t="str">
        <f>IF(B1048="","",IF(B1047&lt;'02_Eingaben'!$C$36,0,J1047+I1047/'02_Eingaben'!$C$8))</f>
        <v/>
      </c>
    </row>
    <row r="1049" spans="1:10" x14ac:dyDescent="0.25">
      <c r="A1049" t="str">
        <f>IF('01_Rohdaten'!A1049="","",ROW()-1)</f>
        <v/>
      </c>
      <c r="B1049" s="17" t="str">
        <f>IF('01_Rohdaten'!A1049="","",'01_Rohdaten'!A1049)</f>
        <v/>
      </c>
      <c r="C1049" s="17" t="str">
        <f>IF(B1049="","",INDEX('01_Rohdaten'!B1049:D1049,'02_Eingaben'!$C$13))</f>
        <v/>
      </c>
      <c r="D1049" s="17" t="str">
        <f>IF(C1049="","",C1049*'02_Eingaben'!$C$15)</f>
        <v/>
      </c>
      <c r="E1049" s="17" t="str">
        <f>IF(D1049="","",D1049*'02_Eingaben'!$C$8)</f>
        <v/>
      </c>
      <c r="F1049" s="17" t="str">
        <f>IF(E1049="","",AVERAGE(INDEX($E$2:$E$3001,MAX(1,ROW()-1-'02_Eingaben'!$C$17)):INDEX($E$2:$E$3001,MIN('02_Eingaben'!$C$21,ROW()-1+'02_Eingaben'!$C$17))))</f>
        <v/>
      </c>
      <c r="G1049" s="17" t="str">
        <f>IF(F1049="","",F1049-'02_Eingaben'!$C$10)</f>
        <v/>
      </c>
      <c r="H1049" t="str">
        <f>IF(F1049="","",IF(F1049&lt;'02_Eingaben'!$C$18*'02_Eingaben'!$C$10,1,0))</f>
        <v/>
      </c>
      <c r="I1049" s="17" t="str">
        <f t="shared" si="16"/>
        <v/>
      </c>
      <c r="J1049" s="17" t="str">
        <f>IF(B1049="","",IF(B1048&lt;'02_Eingaben'!$C$36,0,J1048+I1048/'02_Eingaben'!$C$8))</f>
        <v/>
      </c>
    </row>
    <row r="1050" spans="1:10" x14ac:dyDescent="0.25">
      <c r="A1050" t="str">
        <f>IF('01_Rohdaten'!A1050="","",ROW()-1)</f>
        <v/>
      </c>
      <c r="B1050" s="17" t="str">
        <f>IF('01_Rohdaten'!A1050="","",'01_Rohdaten'!A1050)</f>
        <v/>
      </c>
      <c r="C1050" s="17" t="str">
        <f>IF(B1050="","",INDEX('01_Rohdaten'!B1050:D1050,'02_Eingaben'!$C$13))</f>
        <v/>
      </c>
      <c r="D1050" s="17" t="str">
        <f>IF(C1050="","",C1050*'02_Eingaben'!$C$15)</f>
        <v/>
      </c>
      <c r="E1050" s="17" t="str">
        <f>IF(D1050="","",D1050*'02_Eingaben'!$C$8)</f>
        <v/>
      </c>
      <c r="F1050" s="17" t="str">
        <f>IF(E1050="","",AVERAGE(INDEX($E$2:$E$3001,MAX(1,ROW()-1-'02_Eingaben'!$C$17)):INDEX($E$2:$E$3001,MIN('02_Eingaben'!$C$21,ROW()-1+'02_Eingaben'!$C$17))))</f>
        <v/>
      </c>
      <c r="G1050" s="17" t="str">
        <f>IF(F1050="","",F1050-'02_Eingaben'!$C$10)</f>
        <v/>
      </c>
      <c r="H1050" t="str">
        <f>IF(F1050="","",IF(F1050&lt;'02_Eingaben'!$C$18*'02_Eingaben'!$C$10,1,0))</f>
        <v/>
      </c>
      <c r="I1050" s="17" t="str">
        <f t="shared" si="16"/>
        <v/>
      </c>
      <c r="J1050" s="17" t="str">
        <f>IF(B1050="","",IF(B1049&lt;'02_Eingaben'!$C$36,0,J1049+I1049/'02_Eingaben'!$C$8))</f>
        <v/>
      </c>
    </row>
    <row r="1051" spans="1:10" x14ac:dyDescent="0.25">
      <c r="A1051" t="str">
        <f>IF('01_Rohdaten'!A1051="","",ROW()-1)</f>
        <v/>
      </c>
      <c r="B1051" s="17" t="str">
        <f>IF('01_Rohdaten'!A1051="","",'01_Rohdaten'!A1051)</f>
        <v/>
      </c>
      <c r="C1051" s="17" t="str">
        <f>IF(B1051="","",INDEX('01_Rohdaten'!B1051:D1051,'02_Eingaben'!$C$13))</f>
        <v/>
      </c>
      <c r="D1051" s="17" t="str">
        <f>IF(C1051="","",C1051*'02_Eingaben'!$C$15)</f>
        <v/>
      </c>
      <c r="E1051" s="17" t="str">
        <f>IF(D1051="","",D1051*'02_Eingaben'!$C$8)</f>
        <v/>
      </c>
      <c r="F1051" s="17" t="str">
        <f>IF(E1051="","",AVERAGE(INDEX($E$2:$E$3001,MAX(1,ROW()-1-'02_Eingaben'!$C$17)):INDEX($E$2:$E$3001,MIN('02_Eingaben'!$C$21,ROW()-1+'02_Eingaben'!$C$17))))</f>
        <v/>
      </c>
      <c r="G1051" s="17" t="str">
        <f>IF(F1051="","",F1051-'02_Eingaben'!$C$10)</f>
        <v/>
      </c>
      <c r="H1051" t="str">
        <f>IF(F1051="","",IF(F1051&lt;'02_Eingaben'!$C$18*'02_Eingaben'!$C$10,1,0))</f>
        <v/>
      </c>
      <c r="I1051" s="17" t="str">
        <f t="shared" si="16"/>
        <v/>
      </c>
      <c r="J1051" s="17" t="str">
        <f>IF(B1051="","",IF(B1050&lt;'02_Eingaben'!$C$36,0,J1050+I1050/'02_Eingaben'!$C$8))</f>
        <v/>
      </c>
    </row>
    <row r="1052" spans="1:10" x14ac:dyDescent="0.25">
      <c r="A1052" t="str">
        <f>IF('01_Rohdaten'!A1052="","",ROW()-1)</f>
        <v/>
      </c>
      <c r="B1052" s="17" t="str">
        <f>IF('01_Rohdaten'!A1052="","",'01_Rohdaten'!A1052)</f>
        <v/>
      </c>
      <c r="C1052" s="17" t="str">
        <f>IF(B1052="","",INDEX('01_Rohdaten'!B1052:D1052,'02_Eingaben'!$C$13))</f>
        <v/>
      </c>
      <c r="D1052" s="17" t="str">
        <f>IF(C1052="","",C1052*'02_Eingaben'!$C$15)</f>
        <v/>
      </c>
      <c r="E1052" s="17" t="str">
        <f>IF(D1052="","",D1052*'02_Eingaben'!$C$8)</f>
        <v/>
      </c>
      <c r="F1052" s="17" t="str">
        <f>IF(E1052="","",AVERAGE(INDEX($E$2:$E$3001,MAX(1,ROW()-1-'02_Eingaben'!$C$17)):INDEX($E$2:$E$3001,MIN('02_Eingaben'!$C$21,ROW()-1+'02_Eingaben'!$C$17))))</f>
        <v/>
      </c>
      <c r="G1052" s="17" t="str">
        <f>IF(F1052="","",F1052-'02_Eingaben'!$C$10)</f>
        <v/>
      </c>
      <c r="H1052" t="str">
        <f>IF(F1052="","",IF(F1052&lt;'02_Eingaben'!$C$18*'02_Eingaben'!$C$10,1,0))</f>
        <v/>
      </c>
      <c r="I1052" s="17" t="str">
        <f t="shared" si="16"/>
        <v/>
      </c>
      <c r="J1052" s="17" t="str">
        <f>IF(B1052="","",IF(B1051&lt;'02_Eingaben'!$C$36,0,J1051+I1051/'02_Eingaben'!$C$8))</f>
        <v/>
      </c>
    </row>
    <row r="1053" spans="1:10" x14ac:dyDescent="0.25">
      <c r="A1053" t="str">
        <f>IF('01_Rohdaten'!A1053="","",ROW()-1)</f>
        <v/>
      </c>
      <c r="B1053" s="17" t="str">
        <f>IF('01_Rohdaten'!A1053="","",'01_Rohdaten'!A1053)</f>
        <v/>
      </c>
      <c r="C1053" s="17" t="str">
        <f>IF(B1053="","",INDEX('01_Rohdaten'!B1053:D1053,'02_Eingaben'!$C$13))</f>
        <v/>
      </c>
      <c r="D1053" s="17" t="str">
        <f>IF(C1053="","",C1053*'02_Eingaben'!$C$15)</f>
        <v/>
      </c>
      <c r="E1053" s="17" t="str">
        <f>IF(D1053="","",D1053*'02_Eingaben'!$C$8)</f>
        <v/>
      </c>
      <c r="F1053" s="17" t="str">
        <f>IF(E1053="","",AVERAGE(INDEX($E$2:$E$3001,MAX(1,ROW()-1-'02_Eingaben'!$C$17)):INDEX($E$2:$E$3001,MIN('02_Eingaben'!$C$21,ROW()-1+'02_Eingaben'!$C$17))))</f>
        <v/>
      </c>
      <c r="G1053" s="17" t="str">
        <f>IF(F1053="","",F1053-'02_Eingaben'!$C$10)</f>
        <v/>
      </c>
      <c r="H1053" t="str">
        <f>IF(F1053="","",IF(F1053&lt;'02_Eingaben'!$C$18*'02_Eingaben'!$C$10,1,0))</f>
        <v/>
      </c>
      <c r="I1053" s="17" t="str">
        <f t="shared" si="16"/>
        <v/>
      </c>
      <c r="J1053" s="17" t="str">
        <f>IF(B1053="","",IF(B1052&lt;'02_Eingaben'!$C$36,0,J1052+I1052/'02_Eingaben'!$C$8))</f>
        <v/>
      </c>
    </row>
    <row r="1054" spans="1:10" x14ac:dyDescent="0.25">
      <c r="A1054" t="str">
        <f>IF('01_Rohdaten'!A1054="","",ROW()-1)</f>
        <v/>
      </c>
      <c r="B1054" s="17" t="str">
        <f>IF('01_Rohdaten'!A1054="","",'01_Rohdaten'!A1054)</f>
        <v/>
      </c>
      <c r="C1054" s="17" t="str">
        <f>IF(B1054="","",INDEX('01_Rohdaten'!B1054:D1054,'02_Eingaben'!$C$13))</f>
        <v/>
      </c>
      <c r="D1054" s="17" t="str">
        <f>IF(C1054="","",C1054*'02_Eingaben'!$C$15)</f>
        <v/>
      </c>
      <c r="E1054" s="17" t="str">
        <f>IF(D1054="","",D1054*'02_Eingaben'!$C$8)</f>
        <v/>
      </c>
      <c r="F1054" s="17" t="str">
        <f>IF(E1054="","",AVERAGE(INDEX($E$2:$E$3001,MAX(1,ROW()-1-'02_Eingaben'!$C$17)):INDEX($E$2:$E$3001,MIN('02_Eingaben'!$C$21,ROW()-1+'02_Eingaben'!$C$17))))</f>
        <v/>
      </c>
      <c r="G1054" s="17" t="str">
        <f>IF(F1054="","",F1054-'02_Eingaben'!$C$10)</f>
        <v/>
      </c>
      <c r="H1054" t="str">
        <f>IF(F1054="","",IF(F1054&lt;'02_Eingaben'!$C$18*'02_Eingaben'!$C$10,1,0))</f>
        <v/>
      </c>
      <c r="I1054" s="17" t="str">
        <f t="shared" si="16"/>
        <v/>
      </c>
      <c r="J1054" s="17" t="str">
        <f>IF(B1054="","",IF(B1053&lt;'02_Eingaben'!$C$36,0,J1053+I1053/'02_Eingaben'!$C$8))</f>
        <v/>
      </c>
    </row>
    <row r="1055" spans="1:10" x14ac:dyDescent="0.25">
      <c r="A1055" t="str">
        <f>IF('01_Rohdaten'!A1055="","",ROW()-1)</f>
        <v/>
      </c>
      <c r="B1055" s="17" t="str">
        <f>IF('01_Rohdaten'!A1055="","",'01_Rohdaten'!A1055)</f>
        <v/>
      </c>
      <c r="C1055" s="17" t="str">
        <f>IF(B1055="","",INDEX('01_Rohdaten'!B1055:D1055,'02_Eingaben'!$C$13))</f>
        <v/>
      </c>
      <c r="D1055" s="17" t="str">
        <f>IF(C1055="","",C1055*'02_Eingaben'!$C$15)</f>
        <v/>
      </c>
      <c r="E1055" s="17" t="str">
        <f>IF(D1055="","",D1055*'02_Eingaben'!$C$8)</f>
        <v/>
      </c>
      <c r="F1055" s="17" t="str">
        <f>IF(E1055="","",AVERAGE(INDEX($E$2:$E$3001,MAX(1,ROW()-1-'02_Eingaben'!$C$17)):INDEX($E$2:$E$3001,MIN('02_Eingaben'!$C$21,ROW()-1+'02_Eingaben'!$C$17))))</f>
        <v/>
      </c>
      <c r="G1055" s="17" t="str">
        <f>IF(F1055="","",F1055-'02_Eingaben'!$C$10)</f>
        <v/>
      </c>
      <c r="H1055" t="str">
        <f>IF(F1055="","",IF(F1055&lt;'02_Eingaben'!$C$18*'02_Eingaben'!$C$10,1,0))</f>
        <v/>
      </c>
      <c r="I1055" s="17" t="str">
        <f t="shared" si="16"/>
        <v/>
      </c>
      <c r="J1055" s="17" t="str">
        <f>IF(B1055="","",IF(B1054&lt;'02_Eingaben'!$C$36,0,J1054+I1054/'02_Eingaben'!$C$8))</f>
        <v/>
      </c>
    </row>
    <row r="1056" spans="1:10" x14ac:dyDescent="0.25">
      <c r="A1056" t="str">
        <f>IF('01_Rohdaten'!A1056="","",ROW()-1)</f>
        <v/>
      </c>
      <c r="B1056" s="17" t="str">
        <f>IF('01_Rohdaten'!A1056="","",'01_Rohdaten'!A1056)</f>
        <v/>
      </c>
      <c r="C1056" s="17" t="str">
        <f>IF(B1056="","",INDEX('01_Rohdaten'!B1056:D1056,'02_Eingaben'!$C$13))</f>
        <v/>
      </c>
      <c r="D1056" s="17" t="str">
        <f>IF(C1056="","",C1056*'02_Eingaben'!$C$15)</f>
        <v/>
      </c>
      <c r="E1056" s="17" t="str">
        <f>IF(D1056="","",D1056*'02_Eingaben'!$C$8)</f>
        <v/>
      </c>
      <c r="F1056" s="17" t="str">
        <f>IF(E1056="","",AVERAGE(INDEX($E$2:$E$3001,MAX(1,ROW()-1-'02_Eingaben'!$C$17)):INDEX($E$2:$E$3001,MIN('02_Eingaben'!$C$21,ROW()-1+'02_Eingaben'!$C$17))))</f>
        <v/>
      </c>
      <c r="G1056" s="17" t="str">
        <f>IF(F1056="","",F1056-'02_Eingaben'!$C$10)</f>
        <v/>
      </c>
      <c r="H1056" t="str">
        <f>IF(F1056="","",IF(F1056&lt;'02_Eingaben'!$C$18*'02_Eingaben'!$C$10,1,0))</f>
        <v/>
      </c>
      <c r="I1056" s="17" t="str">
        <f t="shared" si="16"/>
        <v/>
      </c>
      <c r="J1056" s="17" t="str">
        <f>IF(B1056="","",IF(B1055&lt;'02_Eingaben'!$C$36,0,J1055+I1055/'02_Eingaben'!$C$8))</f>
        <v/>
      </c>
    </row>
    <row r="1057" spans="1:10" x14ac:dyDescent="0.25">
      <c r="A1057" t="str">
        <f>IF('01_Rohdaten'!A1057="","",ROW()-1)</f>
        <v/>
      </c>
      <c r="B1057" s="17" t="str">
        <f>IF('01_Rohdaten'!A1057="","",'01_Rohdaten'!A1057)</f>
        <v/>
      </c>
      <c r="C1057" s="17" t="str">
        <f>IF(B1057="","",INDEX('01_Rohdaten'!B1057:D1057,'02_Eingaben'!$C$13))</f>
        <v/>
      </c>
      <c r="D1057" s="17" t="str">
        <f>IF(C1057="","",C1057*'02_Eingaben'!$C$15)</f>
        <v/>
      </c>
      <c r="E1057" s="17" t="str">
        <f>IF(D1057="","",D1057*'02_Eingaben'!$C$8)</f>
        <v/>
      </c>
      <c r="F1057" s="17" t="str">
        <f>IF(E1057="","",AVERAGE(INDEX($E$2:$E$3001,MAX(1,ROW()-1-'02_Eingaben'!$C$17)):INDEX($E$2:$E$3001,MIN('02_Eingaben'!$C$21,ROW()-1+'02_Eingaben'!$C$17))))</f>
        <v/>
      </c>
      <c r="G1057" s="17" t="str">
        <f>IF(F1057="","",F1057-'02_Eingaben'!$C$10)</f>
        <v/>
      </c>
      <c r="H1057" t="str">
        <f>IF(F1057="","",IF(F1057&lt;'02_Eingaben'!$C$18*'02_Eingaben'!$C$10,1,0))</f>
        <v/>
      </c>
      <c r="I1057" s="17" t="str">
        <f t="shared" si="16"/>
        <v/>
      </c>
      <c r="J1057" s="17" t="str">
        <f>IF(B1057="","",IF(B1056&lt;'02_Eingaben'!$C$36,0,J1056+I1056/'02_Eingaben'!$C$8))</f>
        <v/>
      </c>
    </row>
    <row r="1058" spans="1:10" x14ac:dyDescent="0.25">
      <c r="A1058" t="str">
        <f>IF('01_Rohdaten'!A1058="","",ROW()-1)</f>
        <v/>
      </c>
      <c r="B1058" s="17" t="str">
        <f>IF('01_Rohdaten'!A1058="","",'01_Rohdaten'!A1058)</f>
        <v/>
      </c>
      <c r="C1058" s="17" t="str">
        <f>IF(B1058="","",INDEX('01_Rohdaten'!B1058:D1058,'02_Eingaben'!$C$13))</f>
        <v/>
      </c>
      <c r="D1058" s="17" t="str">
        <f>IF(C1058="","",C1058*'02_Eingaben'!$C$15)</f>
        <v/>
      </c>
      <c r="E1058" s="17" t="str">
        <f>IF(D1058="","",D1058*'02_Eingaben'!$C$8)</f>
        <v/>
      </c>
      <c r="F1058" s="17" t="str">
        <f>IF(E1058="","",AVERAGE(INDEX($E$2:$E$3001,MAX(1,ROW()-1-'02_Eingaben'!$C$17)):INDEX($E$2:$E$3001,MIN('02_Eingaben'!$C$21,ROW()-1+'02_Eingaben'!$C$17))))</f>
        <v/>
      </c>
      <c r="G1058" s="17" t="str">
        <f>IF(F1058="","",F1058-'02_Eingaben'!$C$10)</f>
        <v/>
      </c>
      <c r="H1058" t="str">
        <f>IF(F1058="","",IF(F1058&lt;'02_Eingaben'!$C$18*'02_Eingaben'!$C$10,1,0))</f>
        <v/>
      </c>
      <c r="I1058" s="17" t="str">
        <f t="shared" si="16"/>
        <v/>
      </c>
      <c r="J1058" s="17" t="str">
        <f>IF(B1058="","",IF(B1057&lt;'02_Eingaben'!$C$36,0,J1057+I1057/'02_Eingaben'!$C$8))</f>
        <v/>
      </c>
    </row>
    <row r="1059" spans="1:10" x14ac:dyDescent="0.25">
      <c r="A1059" t="str">
        <f>IF('01_Rohdaten'!A1059="","",ROW()-1)</f>
        <v/>
      </c>
      <c r="B1059" s="17" t="str">
        <f>IF('01_Rohdaten'!A1059="","",'01_Rohdaten'!A1059)</f>
        <v/>
      </c>
      <c r="C1059" s="17" t="str">
        <f>IF(B1059="","",INDEX('01_Rohdaten'!B1059:D1059,'02_Eingaben'!$C$13))</f>
        <v/>
      </c>
      <c r="D1059" s="17" t="str">
        <f>IF(C1059="","",C1059*'02_Eingaben'!$C$15)</f>
        <v/>
      </c>
      <c r="E1059" s="17" t="str">
        <f>IF(D1059="","",D1059*'02_Eingaben'!$C$8)</f>
        <v/>
      </c>
      <c r="F1059" s="17" t="str">
        <f>IF(E1059="","",AVERAGE(INDEX($E$2:$E$3001,MAX(1,ROW()-1-'02_Eingaben'!$C$17)):INDEX($E$2:$E$3001,MIN('02_Eingaben'!$C$21,ROW()-1+'02_Eingaben'!$C$17))))</f>
        <v/>
      </c>
      <c r="G1059" s="17" t="str">
        <f>IF(F1059="","",F1059-'02_Eingaben'!$C$10)</f>
        <v/>
      </c>
      <c r="H1059" t="str">
        <f>IF(F1059="","",IF(F1059&lt;'02_Eingaben'!$C$18*'02_Eingaben'!$C$10,1,0))</f>
        <v/>
      </c>
      <c r="I1059" s="17" t="str">
        <f t="shared" si="16"/>
        <v/>
      </c>
      <c r="J1059" s="17" t="str">
        <f>IF(B1059="","",IF(B1058&lt;'02_Eingaben'!$C$36,0,J1058+I1058/'02_Eingaben'!$C$8))</f>
        <v/>
      </c>
    </row>
    <row r="1060" spans="1:10" x14ac:dyDescent="0.25">
      <c r="A1060" t="str">
        <f>IF('01_Rohdaten'!A1060="","",ROW()-1)</f>
        <v/>
      </c>
      <c r="B1060" s="17" t="str">
        <f>IF('01_Rohdaten'!A1060="","",'01_Rohdaten'!A1060)</f>
        <v/>
      </c>
      <c r="C1060" s="17" t="str">
        <f>IF(B1060="","",INDEX('01_Rohdaten'!B1060:D1060,'02_Eingaben'!$C$13))</f>
        <v/>
      </c>
      <c r="D1060" s="17" t="str">
        <f>IF(C1060="","",C1060*'02_Eingaben'!$C$15)</f>
        <v/>
      </c>
      <c r="E1060" s="17" t="str">
        <f>IF(D1060="","",D1060*'02_Eingaben'!$C$8)</f>
        <v/>
      </c>
      <c r="F1060" s="17" t="str">
        <f>IF(E1060="","",AVERAGE(INDEX($E$2:$E$3001,MAX(1,ROW()-1-'02_Eingaben'!$C$17)):INDEX($E$2:$E$3001,MIN('02_Eingaben'!$C$21,ROW()-1+'02_Eingaben'!$C$17))))</f>
        <v/>
      </c>
      <c r="G1060" s="17" t="str">
        <f>IF(F1060="","",F1060-'02_Eingaben'!$C$10)</f>
        <v/>
      </c>
      <c r="H1060" t="str">
        <f>IF(F1060="","",IF(F1060&lt;'02_Eingaben'!$C$18*'02_Eingaben'!$C$10,1,0))</f>
        <v/>
      </c>
      <c r="I1060" s="17" t="str">
        <f t="shared" si="16"/>
        <v/>
      </c>
      <c r="J1060" s="17" t="str">
        <f>IF(B1060="","",IF(B1059&lt;'02_Eingaben'!$C$36,0,J1059+I1059/'02_Eingaben'!$C$8))</f>
        <v/>
      </c>
    </row>
    <row r="1061" spans="1:10" x14ac:dyDescent="0.25">
      <c r="A1061" t="str">
        <f>IF('01_Rohdaten'!A1061="","",ROW()-1)</f>
        <v/>
      </c>
      <c r="B1061" s="17" t="str">
        <f>IF('01_Rohdaten'!A1061="","",'01_Rohdaten'!A1061)</f>
        <v/>
      </c>
      <c r="C1061" s="17" t="str">
        <f>IF(B1061="","",INDEX('01_Rohdaten'!B1061:D1061,'02_Eingaben'!$C$13))</f>
        <v/>
      </c>
      <c r="D1061" s="17" t="str">
        <f>IF(C1061="","",C1061*'02_Eingaben'!$C$15)</f>
        <v/>
      </c>
      <c r="E1061" s="17" t="str">
        <f>IF(D1061="","",D1061*'02_Eingaben'!$C$8)</f>
        <v/>
      </c>
      <c r="F1061" s="17" t="str">
        <f>IF(E1061="","",AVERAGE(INDEX($E$2:$E$3001,MAX(1,ROW()-1-'02_Eingaben'!$C$17)):INDEX($E$2:$E$3001,MIN('02_Eingaben'!$C$21,ROW()-1+'02_Eingaben'!$C$17))))</f>
        <v/>
      </c>
      <c r="G1061" s="17" t="str">
        <f>IF(F1061="","",F1061-'02_Eingaben'!$C$10)</f>
        <v/>
      </c>
      <c r="H1061" t="str">
        <f>IF(F1061="","",IF(F1061&lt;'02_Eingaben'!$C$18*'02_Eingaben'!$C$10,1,0))</f>
        <v/>
      </c>
      <c r="I1061" s="17" t="str">
        <f t="shared" si="16"/>
        <v/>
      </c>
      <c r="J1061" s="17" t="str">
        <f>IF(B1061="","",IF(B1060&lt;'02_Eingaben'!$C$36,0,J1060+I1060/'02_Eingaben'!$C$8))</f>
        <v/>
      </c>
    </row>
    <row r="1062" spans="1:10" x14ac:dyDescent="0.25">
      <c r="A1062" t="str">
        <f>IF('01_Rohdaten'!A1062="","",ROW()-1)</f>
        <v/>
      </c>
      <c r="B1062" s="17" t="str">
        <f>IF('01_Rohdaten'!A1062="","",'01_Rohdaten'!A1062)</f>
        <v/>
      </c>
      <c r="C1062" s="17" t="str">
        <f>IF(B1062="","",INDEX('01_Rohdaten'!B1062:D1062,'02_Eingaben'!$C$13))</f>
        <v/>
      </c>
      <c r="D1062" s="17" t="str">
        <f>IF(C1062="","",C1062*'02_Eingaben'!$C$15)</f>
        <v/>
      </c>
      <c r="E1062" s="17" t="str">
        <f>IF(D1062="","",D1062*'02_Eingaben'!$C$8)</f>
        <v/>
      </c>
      <c r="F1062" s="17" t="str">
        <f>IF(E1062="","",AVERAGE(INDEX($E$2:$E$3001,MAX(1,ROW()-1-'02_Eingaben'!$C$17)):INDEX($E$2:$E$3001,MIN('02_Eingaben'!$C$21,ROW()-1+'02_Eingaben'!$C$17))))</f>
        <v/>
      </c>
      <c r="G1062" s="17" t="str">
        <f>IF(F1062="","",F1062-'02_Eingaben'!$C$10)</f>
        <v/>
      </c>
      <c r="H1062" t="str">
        <f>IF(F1062="","",IF(F1062&lt;'02_Eingaben'!$C$18*'02_Eingaben'!$C$10,1,0))</f>
        <v/>
      </c>
      <c r="I1062" s="17" t="str">
        <f t="shared" si="16"/>
        <v/>
      </c>
      <c r="J1062" s="17" t="str">
        <f>IF(B1062="","",IF(B1061&lt;'02_Eingaben'!$C$36,0,J1061+I1061/'02_Eingaben'!$C$8))</f>
        <v/>
      </c>
    </row>
    <row r="1063" spans="1:10" x14ac:dyDescent="0.25">
      <c r="A1063" t="str">
        <f>IF('01_Rohdaten'!A1063="","",ROW()-1)</f>
        <v/>
      </c>
      <c r="B1063" s="17" t="str">
        <f>IF('01_Rohdaten'!A1063="","",'01_Rohdaten'!A1063)</f>
        <v/>
      </c>
      <c r="C1063" s="17" t="str">
        <f>IF(B1063="","",INDEX('01_Rohdaten'!B1063:D1063,'02_Eingaben'!$C$13))</f>
        <v/>
      </c>
      <c r="D1063" s="17" t="str">
        <f>IF(C1063="","",C1063*'02_Eingaben'!$C$15)</f>
        <v/>
      </c>
      <c r="E1063" s="17" t="str">
        <f>IF(D1063="","",D1063*'02_Eingaben'!$C$8)</f>
        <v/>
      </c>
      <c r="F1063" s="17" t="str">
        <f>IF(E1063="","",AVERAGE(INDEX($E$2:$E$3001,MAX(1,ROW()-1-'02_Eingaben'!$C$17)):INDEX($E$2:$E$3001,MIN('02_Eingaben'!$C$21,ROW()-1+'02_Eingaben'!$C$17))))</f>
        <v/>
      </c>
      <c r="G1063" s="17" t="str">
        <f>IF(F1063="","",F1063-'02_Eingaben'!$C$10)</f>
        <v/>
      </c>
      <c r="H1063" t="str">
        <f>IF(F1063="","",IF(F1063&lt;'02_Eingaben'!$C$18*'02_Eingaben'!$C$10,1,0))</f>
        <v/>
      </c>
      <c r="I1063" s="17" t="str">
        <f t="shared" si="16"/>
        <v/>
      </c>
      <c r="J1063" s="17" t="str">
        <f>IF(B1063="","",IF(B1062&lt;'02_Eingaben'!$C$36,0,J1062+I1062/'02_Eingaben'!$C$8))</f>
        <v/>
      </c>
    </row>
    <row r="1064" spans="1:10" x14ac:dyDescent="0.25">
      <c r="A1064" t="str">
        <f>IF('01_Rohdaten'!A1064="","",ROW()-1)</f>
        <v/>
      </c>
      <c r="B1064" s="17" t="str">
        <f>IF('01_Rohdaten'!A1064="","",'01_Rohdaten'!A1064)</f>
        <v/>
      </c>
      <c r="C1064" s="17" t="str">
        <f>IF(B1064="","",INDEX('01_Rohdaten'!B1064:D1064,'02_Eingaben'!$C$13))</f>
        <v/>
      </c>
      <c r="D1064" s="17" t="str">
        <f>IF(C1064="","",C1064*'02_Eingaben'!$C$15)</f>
        <v/>
      </c>
      <c r="E1064" s="17" t="str">
        <f>IF(D1064="","",D1064*'02_Eingaben'!$C$8)</f>
        <v/>
      </c>
      <c r="F1064" s="17" t="str">
        <f>IF(E1064="","",AVERAGE(INDEX($E$2:$E$3001,MAX(1,ROW()-1-'02_Eingaben'!$C$17)):INDEX($E$2:$E$3001,MIN('02_Eingaben'!$C$21,ROW()-1+'02_Eingaben'!$C$17))))</f>
        <v/>
      </c>
      <c r="G1064" s="17" t="str">
        <f>IF(F1064="","",F1064-'02_Eingaben'!$C$10)</f>
        <v/>
      </c>
      <c r="H1064" t="str">
        <f>IF(F1064="","",IF(F1064&lt;'02_Eingaben'!$C$18*'02_Eingaben'!$C$10,1,0))</f>
        <v/>
      </c>
      <c r="I1064" s="17" t="str">
        <f t="shared" si="16"/>
        <v/>
      </c>
      <c r="J1064" s="17" t="str">
        <f>IF(B1064="","",IF(B1063&lt;'02_Eingaben'!$C$36,0,J1063+I1063/'02_Eingaben'!$C$8))</f>
        <v/>
      </c>
    </row>
    <row r="1065" spans="1:10" x14ac:dyDescent="0.25">
      <c r="A1065" t="str">
        <f>IF('01_Rohdaten'!A1065="","",ROW()-1)</f>
        <v/>
      </c>
      <c r="B1065" s="17" t="str">
        <f>IF('01_Rohdaten'!A1065="","",'01_Rohdaten'!A1065)</f>
        <v/>
      </c>
      <c r="C1065" s="17" t="str">
        <f>IF(B1065="","",INDEX('01_Rohdaten'!B1065:D1065,'02_Eingaben'!$C$13))</f>
        <v/>
      </c>
      <c r="D1065" s="17" t="str">
        <f>IF(C1065="","",C1065*'02_Eingaben'!$C$15)</f>
        <v/>
      </c>
      <c r="E1065" s="17" t="str">
        <f>IF(D1065="","",D1065*'02_Eingaben'!$C$8)</f>
        <v/>
      </c>
      <c r="F1065" s="17" t="str">
        <f>IF(E1065="","",AVERAGE(INDEX($E$2:$E$3001,MAX(1,ROW()-1-'02_Eingaben'!$C$17)):INDEX($E$2:$E$3001,MIN('02_Eingaben'!$C$21,ROW()-1+'02_Eingaben'!$C$17))))</f>
        <v/>
      </c>
      <c r="G1065" s="17" t="str">
        <f>IF(F1065="","",F1065-'02_Eingaben'!$C$10)</f>
        <v/>
      </c>
      <c r="H1065" t="str">
        <f>IF(F1065="","",IF(F1065&lt;'02_Eingaben'!$C$18*'02_Eingaben'!$C$10,1,0))</f>
        <v/>
      </c>
      <c r="I1065" s="17" t="str">
        <f t="shared" si="16"/>
        <v/>
      </c>
      <c r="J1065" s="17" t="str">
        <f>IF(B1065="","",IF(B1064&lt;'02_Eingaben'!$C$36,0,J1064+I1064/'02_Eingaben'!$C$8))</f>
        <v/>
      </c>
    </row>
    <row r="1066" spans="1:10" x14ac:dyDescent="0.25">
      <c r="A1066" t="str">
        <f>IF('01_Rohdaten'!A1066="","",ROW()-1)</f>
        <v/>
      </c>
      <c r="B1066" s="17" t="str">
        <f>IF('01_Rohdaten'!A1066="","",'01_Rohdaten'!A1066)</f>
        <v/>
      </c>
      <c r="C1066" s="17" t="str">
        <f>IF(B1066="","",INDEX('01_Rohdaten'!B1066:D1066,'02_Eingaben'!$C$13))</f>
        <v/>
      </c>
      <c r="D1066" s="17" t="str">
        <f>IF(C1066="","",C1066*'02_Eingaben'!$C$15)</f>
        <v/>
      </c>
      <c r="E1066" s="17" t="str">
        <f>IF(D1066="","",D1066*'02_Eingaben'!$C$8)</f>
        <v/>
      </c>
      <c r="F1066" s="17" t="str">
        <f>IF(E1066="","",AVERAGE(INDEX($E$2:$E$3001,MAX(1,ROW()-1-'02_Eingaben'!$C$17)):INDEX($E$2:$E$3001,MIN('02_Eingaben'!$C$21,ROW()-1+'02_Eingaben'!$C$17))))</f>
        <v/>
      </c>
      <c r="G1066" s="17" t="str">
        <f>IF(F1066="","",F1066-'02_Eingaben'!$C$10)</f>
        <v/>
      </c>
      <c r="H1066" t="str">
        <f>IF(F1066="","",IF(F1066&lt;'02_Eingaben'!$C$18*'02_Eingaben'!$C$10,1,0))</f>
        <v/>
      </c>
      <c r="I1066" s="17" t="str">
        <f t="shared" si="16"/>
        <v/>
      </c>
      <c r="J1066" s="17" t="str">
        <f>IF(B1066="","",IF(B1065&lt;'02_Eingaben'!$C$36,0,J1065+I1065/'02_Eingaben'!$C$8))</f>
        <v/>
      </c>
    </row>
    <row r="1067" spans="1:10" x14ac:dyDescent="0.25">
      <c r="A1067" t="str">
        <f>IF('01_Rohdaten'!A1067="","",ROW()-1)</f>
        <v/>
      </c>
      <c r="B1067" s="17" t="str">
        <f>IF('01_Rohdaten'!A1067="","",'01_Rohdaten'!A1067)</f>
        <v/>
      </c>
      <c r="C1067" s="17" t="str">
        <f>IF(B1067="","",INDEX('01_Rohdaten'!B1067:D1067,'02_Eingaben'!$C$13))</f>
        <v/>
      </c>
      <c r="D1067" s="17" t="str">
        <f>IF(C1067="","",C1067*'02_Eingaben'!$C$15)</f>
        <v/>
      </c>
      <c r="E1067" s="17" t="str">
        <f>IF(D1067="","",D1067*'02_Eingaben'!$C$8)</f>
        <v/>
      </c>
      <c r="F1067" s="17" t="str">
        <f>IF(E1067="","",AVERAGE(INDEX($E$2:$E$3001,MAX(1,ROW()-1-'02_Eingaben'!$C$17)):INDEX($E$2:$E$3001,MIN('02_Eingaben'!$C$21,ROW()-1+'02_Eingaben'!$C$17))))</f>
        <v/>
      </c>
      <c r="G1067" s="17" t="str">
        <f>IF(F1067="","",F1067-'02_Eingaben'!$C$10)</f>
        <v/>
      </c>
      <c r="H1067" t="str">
        <f>IF(F1067="","",IF(F1067&lt;'02_Eingaben'!$C$18*'02_Eingaben'!$C$10,1,0))</f>
        <v/>
      </c>
      <c r="I1067" s="17" t="str">
        <f t="shared" si="16"/>
        <v/>
      </c>
      <c r="J1067" s="17" t="str">
        <f>IF(B1067="","",IF(B1066&lt;'02_Eingaben'!$C$36,0,J1066+I1066/'02_Eingaben'!$C$8))</f>
        <v/>
      </c>
    </row>
    <row r="1068" spans="1:10" x14ac:dyDescent="0.25">
      <c r="A1068" t="str">
        <f>IF('01_Rohdaten'!A1068="","",ROW()-1)</f>
        <v/>
      </c>
      <c r="B1068" s="17" t="str">
        <f>IF('01_Rohdaten'!A1068="","",'01_Rohdaten'!A1068)</f>
        <v/>
      </c>
      <c r="C1068" s="17" t="str">
        <f>IF(B1068="","",INDEX('01_Rohdaten'!B1068:D1068,'02_Eingaben'!$C$13))</f>
        <v/>
      </c>
      <c r="D1068" s="17" t="str">
        <f>IF(C1068="","",C1068*'02_Eingaben'!$C$15)</f>
        <v/>
      </c>
      <c r="E1068" s="17" t="str">
        <f>IF(D1068="","",D1068*'02_Eingaben'!$C$8)</f>
        <v/>
      </c>
      <c r="F1068" s="17" t="str">
        <f>IF(E1068="","",AVERAGE(INDEX($E$2:$E$3001,MAX(1,ROW()-1-'02_Eingaben'!$C$17)):INDEX($E$2:$E$3001,MIN('02_Eingaben'!$C$21,ROW()-1+'02_Eingaben'!$C$17))))</f>
        <v/>
      </c>
      <c r="G1068" s="17" t="str">
        <f>IF(F1068="","",F1068-'02_Eingaben'!$C$10)</f>
        <v/>
      </c>
      <c r="H1068" t="str">
        <f>IF(F1068="","",IF(F1068&lt;'02_Eingaben'!$C$18*'02_Eingaben'!$C$10,1,0))</f>
        <v/>
      </c>
      <c r="I1068" s="17" t="str">
        <f t="shared" si="16"/>
        <v/>
      </c>
      <c r="J1068" s="17" t="str">
        <f>IF(B1068="","",IF(B1067&lt;'02_Eingaben'!$C$36,0,J1067+I1067/'02_Eingaben'!$C$8))</f>
        <v/>
      </c>
    </row>
    <row r="1069" spans="1:10" x14ac:dyDescent="0.25">
      <c r="A1069" t="str">
        <f>IF('01_Rohdaten'!A1069="","",ROW()-1)</f>
        <v/>
      </c>
      <c r="B1069" s="17" t="str">
        <f>IF('01_Rohdaten'!A1069="","",'01_Rohdaten'!A1069)</f>
        <v/>
      </c>
      <c r="C1069" s="17" t="str">
        <f>IF(B1069="","",INDEX('01_Rohdaten'!B1069:D1069,'02_Eingaben'!$C$13))</f>
        <v/>
      </c>
      <c r="D1069" s="17" t="str">
        <f>IF(C1069="","",C1069*'02_Eingaben'!$C$15)</f>
        <v/>
      </c>
      <c r="E1069" s="17" t="str">
        <f>IF(D1069="","",D1069*'02_Eingaben'!$C$8)</f>
        <v/>
      </c>
      <c r="F1069" s="17" t="str">
        <f>IF(E1069="","",AVERAGE(INDEX($E$2:$E$3001,MAX(1,ROW()-1-'02_Eingaben'!$C$17)):INDEX($E$2:$E$3001,MIN('02_Eingaben'!$C$21,ROW()-1+'02_Eingaben'!$C$17))))</f>
        <v/>
      </c>
      <c r="G1069" s="17" t="str">
        <f>IF(F1069="","",F1069-'02_Eingaben'!$C$10)</f>
        <v/>
      </c>
      <c r="H1069" t="str">
        <f>IF(F1069="","",IF(F1069&lt;'02_Eingaben'!$C$18*'02_Eingaben'!$C$10,1,0))</f>
        <v/>
      </c>
      <c r="I1069" s="17" t="str">
        <f t="shared" si="16"/>
        <v/>
      </c>
      <c r="J1069" s="17" t="str">
        <f>IF(B1069="","",IF(B1068&lt;'02_Eingaben'!$C$36,0,J1068+I1068/'02_Eingaben'!$C$8))</f>
        <v/>
      </c>
    </row>
    <row r="1070" spans="1:10" x14ac:dyDescent="0.25">
      <c r="A1070" t="str">
        <f>IF('01_Rohdaten'!A1070="","",ROW()-1)</f>
        <v/>
      </c>
      <c r="B1070" s="17" t="str">
        <f>IF('01_Rohdaten'!A1070="","",'01_Rohdaten'!A1070)</f>
        <v/>
      </c>
      <c r="C1070" s="17" t="str">
        <f>IF(B1070="","",INDEX('01_Rohdaten'!B1070:D1070,'02_Eingaben'!$C$13))</f>
        <v/>
      </c>
      <c r="D1070" s="17" t="str">
        <f>IF(C1070="","",C1070*'02_Eingaben'!$C$15)</f>
        <v/>
      </c>
      <c r="E1070" s="17" t="str">
        <f>IF(D1070="","",D1070*'02_Eingaben'!$C$8)</f>
        <v/>
      </c>
      <c r="F1070" s="17" t="str">
        <f>IF(E1070="","",AVERAGE(INDEX($E$2:$E$3001,MAX(1,ROW()-1-'02_Eingaben'!$C$17)):INDEX($E$2:$E$3001,MIN('02_Eingaben'!$C$21,ROW()-1+'02_Eingaben'!$C$17))))</f>
        <v/>
      </c>
      <c r="G1070" s="17" t="str">
        <f>IF(F1070="","",F1070-'02_Eingaben'!$C$10)</f>
        <v/>
      </c>
      <c r="H1070" t="str">
        <f>IF(F1070="","",IF(F1070&lt;'02_Eingaben'!$C$18*'02_Eingaben'!$C$10,1,0))</f>
        <v/>
      </c>
      <c r="I1070" s="17" t="str">
        <f t="shared" si="16"/>
        <v/>
      </c>
      <c r="J1070" s="17" t="str">
        <f>IF(B1070="","",IF(B1069&lt;'02_Eingaben'!$C$36,0,J1069+I1069/'02_Eingaben'!$C$8))</f>
        <v/>
      </c>
    </row>
    <row r="1071" spans="1:10" x14ac:dyDescent="0.25">
      <c r="A1071" t="str">
        <f>IF('01_Rohdaten'!A1071="","",ROW()-1)</f>
        <v/>
      </c>
      <c r="B1071" s="17" t="str">
        <f>IF('01_Rohdaten'!A1071="","",'01_Rohdaten'!A1071)</f>
        <v/>
      </c>
      <c r="C1071" s="17" t="str">
        <f>IF(B1071="","",INDEX('01_Rohdaten'!B1071:D1071,'02_Eingaben'!$C$13))</f>
        <v/>
      </c>
      <c r="D1071" s="17" t="str">
        <f>IF(C1071="","",C1071*'02_Eingaben'!$C$15)</f>
        <v/>
      </c>
      <c r="E1071" s="17" t="str">
        <f>IF(D1071="","",D1071*'02_Eingaben'!$C$8)</f>
        <v/>
      </c>
      <c r="F1071" s="17" t="str">
        <f>IF(E1071="","",AVERAGE(INDEX($E$2:$E$3001,MAX(1,ROW()-1-'02_Eingaben'!$C$17)):INDEX($E$2:$E$3001,MIN('02_Eingaben'!$C$21,ROW()-1+'02_Eingaben'!$C$17))))</f>
        <v/>
      </c>
      <c r="G1071" s="17" t="str">
        <f>IF(F1071="","",F1071-'02_Eingaben'!$C$10)</f>
        <v/>
      </c>
      <c r="H1071" t="str">
        <f>IF(F1071="","",IF(F1071&lt;'02_Eingaben'!$C$18*'02_Eingaben'!$C$10,1,0))</f>
        <v/>
      </c>
      <c r="I1071" s="17" t="str">
        <f t="shared" si="16"/>
        <v/>
      </c>
      <c r="J1071" s="17" t="str">
        <f>IF(B1071="","",IF(B1070&lt;'02_Eingaben'!$C$36,0,J1070+I1070/'02_Eingaben'!$C$8))</f>
        <v/>
      </c>
    </row>
    <row r="1072" spans="1:10" x14ac:dyDescent="0.25">
      <c r="A1072" t="str">
        <f>IF('01_Rohdaten'!A1072="","",ROW()-1)</f>
        <v/>
      </c>
      <c r="B1072" s="17" t="str">
        <f>IF('01_Rohdaten'!A1072="","",'01_Rohdaten'!A1072)</f>
        <v/>
      </c>
      <c r="C1072" s="17" t="str">
        <f>IF(B1072="","",INDEX('01_Rohdaten'!B1072:D1072,'02_Eingaben'!$C$13))</f>
        <v/>
      </c>
      <c r="D1072" s="17" t="str">
        <f>IF(C1072="","",C1072*'02_Eingaben'!$C$15)</f>
        <v/>
      </c>
      <c r="E1072" s="17" t="str">
        <f>IF(D1072="","",D1072*'02_Eingaben'!$C$8)</f>
        <v/>
      </c>
      <c r="F1072" s="17" t="str">
        <f>IF(E1072="","",AVERAGE(INDEX($E$2:$E$3001,MAX(1,ROW()-1-'02_Eingaben'!$C$17)):INDEX($E$2:$E$3001,MIN('02_Eingaben'!$C$21,ROW()-1+'02_Eingaben'!$C$17))))</f>
        <v/>
      </c>
      <c r="G1072" s="17" t="str">
        <f>IF(F1072="","",F1072-'02_Eingaben'!$C$10)</f>
        <v/>
      </c>
      <c r="H1072" t="str">
        <f>IF(F1072="","",IF(F1072&lt;'02_Eingaben'!$C$18*'02_Eingaben'!$C$10,1,0))</f>
        <v/>
      </c>
      <c r="I1072" s="17" t="str">
        <f t="shared" si="16"/>
        <v/>
      </c>
      <c r="J1072" s="17" t="str">
        <f>IF(B1072="","",IF(B1071&lt;'02_Eingaben'!$C$36,0,J1071+I1071/'02_Eingaben'!$C$8))</f>
        <v/>
      </c>
    </row>
    <row r="1073" spans="1:10" x14ac:dyDescent="0.25">
      <c r="A1073" t="str">
        <f>IF('01_Rohdaten'!A1073="","",ROW()-1)</f>
        <v/>
      </c>
      <c r="B1073" s="17" t="str">
        <f>IF('01_Rohdaten'!A1073="","",'01_Rohdaten'!A1073)</f>
        <v/>
      </c>
      <c r="C1073" s="17" t="str">
        <f>IF(B1073="","",INDEX('01_Rohdaten'!B1073:D1073,'02_Eingaben'!$C$13))</f>
        <v/>
      </c>
      <c r="D1073" s="17" t="str">
        <f>IF(C1073="","",C1073*'02_Eingaben'!$C$15)</f>
        <v/>
      </c>
      <c r="E1073" s="17" t="str">
        <f>IF(D1073="","",D1073*'02_Eingaben'!$C$8)</f>
        <v/>
      </c>
      <c r="F1073" s="17" t="str">
        <f>IF(E1073="","",AVERAGE(INDEX($E$2:$E$3001,MAX(1,ROW()-1-'02_Eingaben'!$C$17)):INDEX($E$2:$E$3001,MIN('02_Eingaben'!$C$21,ROW()-1+'02_Eingaben'!$C$17))))</f>
        <v/>
      </c>
      <c r="G1073" s="17" t="str">
        <f>IF(F1073="","",F1073-'02_Eingaben'!$C$10)</f>
        <v/>
      </c>
      <c r="H1073" t="str">
        <f>IF(F1073="","",IF(F1073&lt;'02_Eingaben'!$C$18*'02_Eingaben'!$C$10,1,0))</f>
        <v/>
      </c>
      <c r="I1073" s="17" t="str">
        <f t="shared" si="16"/>
        <v/>
      </c>
      <c r="J1073" s="17" t="str">
        <f>IF(B1073="","",IF(B1072&lt;'02_Eingaben'!$C$36,0,J1072+I1072/'02_Eingaben'!$C$8))</f>
        <v/>
      </c>
    </row>
    <row r="1074" spans="1:10" x14ac:dyDescent="0.25">
      <c r="A1074" t="str">
        <f>IF('01_Rohdaten'!A1074="","",ROW()-1)</f>
        <v/>
      </c>
      <c r="B1074" s="17" t="str">
        <f>IF('01_Rohdaten'!A1074="","",'01_Rohdaten'!A1074)</f>
        <v/>
      </c>
      <c r="C1074" s="17" t="str">
        <f>IF(B1074="","",INDEX('01_Rohdaten'!B1074:D1074,'02_Eingaben'!$C$13))</f>
        <v/>
      </c>
      <c r="D1074" s="17" t="str">
        <f>IF(C1074="","",C1074*'02_Eingaben'!$C$15)</f>
        <v/>
      </c>
      <c r="E1074" s="17" t="str">
        <f>IF(D1074="","",D1074*'02_Eingaben'!$C$8)</f>
        <v/>
      </c>
      <c r="F1074" s="17" t="str">
        <f>IF(E1074="","",AVERAGE(INDEX($E$2:$E$3001,MAX(1,ROW()-1-'02_Eingaben'!$C$17)):INDEX($E$2:$E$3001,MIN('02_Eingaben'!$C$21,ROW()-1+'02_Eingaben'!$C$17))))</f>
        <v/>
      </c>
      <c r="G1074" s="17" t="str">
        <f>IF(F1074="","",F1074-'02_Eingaben'!$C$10)</f>
        <v/>
      </c>
      <c r="H1074" t="str">
        <f>IF(F1074="","",IF(F1074&lt;'02_Eingaben'!$C$18*'02_Eingaben'!$C$10,1,0))</f>
        <v/>
      </c>
      <c r="I1074" s="17" t="str">
        <f t="shared" si="16"/>
        <v/>
      </c>
      <c r="J1074" s="17" t="str">
        <f>IF(B1074="","",IF(B1073&lt;'02_Eingaben'!$C$36,0,J1073+I1073/'02_Eingaben'!$C$8))</f>
        <v/>
      </c>
    </row>
    <row r="1075" spans="1:10" x14ac:dyDescent="0.25">
      <c r="A1075" t="str">
        <f>IF('01_Rohdaten'!A1075="","",ROW()-1)</f>
        <v/>
      </c>
      <c r="B1075" s="17" t="str">
        <f>IF('01_Rohdaten'!A1075="","",'01_Rohdaten'!A1075)</f>
        <v/>
      </c>
      <c r="C1075" s="17" t="str">
        <f>IF(B1075="","",INDEX('01_Rohdaten'!B1075:D1075,'02_Eingaben'!$C$13))</f>
        <v/>
      </c>
      <c r="D1075" s="17" t="str">
        <f>IF(C1075="","",C1075*'02_Eingaben'!$C$15)</f>
        <v/>
      </c>
      <c r="E1075" s="17" t="str">
        <f>IF(D1075="","",D1075*'02_Eingaben'!$C$8)</f>
        <v/>
      </c>
      <c r="F1075" s="17" t="str">
        <f>IF(E1075="","",AVERAGE(INDEX($E$2:$E$3001,MAX(1,ROW()-1-'02_Eingaben'!$C$17)):INDEX($E$2:$E$3001,MIN('02_Eingaben'!$C$21,ROW()-1+'02_Eingaben'!$C$17))))</f>
        <v/>
      </c>
      <c r="G1075" s="17" t="str">
        <f>IF(F1075="","",F1075-'02_Eingaben'!$C$10)</f>
        <v/>
      </c>
      <c r="H1075" t="str">
        <f>IF(F1075="","",IF(F1075&lt;'02_Eingaben'!$C$18*'02_Eingaben'!$C$10,1,0))</f>
        <v/>
      </c>
      <c r="I1075" s="17" t="str">
        <f t="shared" si="16"/>
        <v/>
      </c>
      <c r="J1075" s="17" t="str">
        <f>IF(B1075="","",IF(B1074&lt;'02_Eingaben'!$C$36,0,J1074+I1074/'02_Eingaben'!$C$8))</f>
        <v/>
      </c>
    </row>
    <row r="1076" spans="1:10" x14ac:dyDescent="0.25">
      <c r="A1076" t="str">
        <f>IF('01_Rohdaten'!A1076="","",ROW()-1)</f>
        <v/>
      </c>
      <c r="B1076" s="17" t="str">
        <f>IF('01_Rohdaten'!A1076="","",'01_Rohdaten'!A1076)</f>
        <v/>
      </c>
      <c r="C1076" s="17" t="str">
        <f>IF(B1076="","",INDEX('01_Rohdaten'!B1076:D1076,'02_Eingaben'!$C$13))</f>
        <v/>
      </c>
      <c r="D1076" s="17" t="str">
        <f>IF(C1076="","",C1076*'02_Eingaben'!$C$15)</f>
        <v/>
      </c>
      <c r="E1076" s="17" t="str">
        <f>IF(D1076="","",D1076*'02_Eingaben'!$C$8)</f>
        <v/>
      </c>
      <c r="F1076" s="17" t="str">
        <f>IF(E1076="","",AVERAGE(INDEX($E$2:$E$3001,MAX(1,ROW()-1-'02_Eingaben'!$C$17)):INDEX($E$2:$E$3001,MIN('02_Eingaben'!$C$21,ROW()-1+'02_Eingaben'!$C$17))))</f>
        <v/>
      </c>
      <c r="G1076" s="17" t="str">
        <f>IF(F1076="","",F1076-'02_Eingaben'!$C$10)</f>
        <v/>
      </c>
      <c r="H1076" t="str">
        <f>IF(F1076="","",IF(F1076&lt;'02_Eingaben'!$C$18*'02_Eingaben'!$C$10,1,0))</f>
        <v/>
      </c>
      <c r="I1076" s="17" t="str">
        <f t="shared" si="16"/>
        <v/>
      </c>
      <c r="J1076" s="17" t="str">
        <f>IF(B1076="","",IF(B1075&lt;'02_Eingaben'!$C$36,0,J1075+I1075/'02_Eingaben'!$C$8))</f>
        <v/>
      </c>
    </row>
    <row r="1077" spans="1:10" x14ac:dyDescent="0.25">
      <c r="A1077" t="str">
        <f>IF('01_Rohdaten'!A1077="","",ROW()-1)</f>
        <v/>
      </c>
      <c r="B1077" s="17" t="str">
        <f>IF('01_Rohdaten'!A1077="","",'01_Rohdaten'!A1077)</f>
        <v/>
      </c>
      <c r="C1077" s="17" t="str">
        <f>IF(B1077="","",INDEX('01_Rohdaten'!B1077:D1077,'02_Eingaben'!$C$13))</f>
        <v/>
      </c>
      <c r="D1077" s="17" t="str">
        <f>IF(C1077="","",C1077*'02_Eingaben'!$C$15)</f>
        <v/>
      </c>
      <c r="E1077" s="17" t="str">
        <f>IF(D1077="","",D1077*'02_Eingaben'!$C$8)</f>
        <v/>
      </c>
      <c r="F1077" s="17" t="str">
        <f>IF(E1077="","",AVERAGE(INDEX($E$2:$E$3001,MAX(1,ROW()-1-'02_Eingaben'!$C$17)):INDEX($E$2:$E$3001,MIN('02_Eingaben'!$C$21,ROW()-1+'02_Eingaben'!$C$17))))</f>
        <v/>
      </c>
      <c r="G1077" s="17" t="str">
        <f>IF(F1077="","",F1077-'02_Eingaben'!$C$10)</f>
        <v/>
      </c>
      <c r="H1077" t="str">
        <f>IF(F1077="","",IF(F1077&lt;'02_Eingaben'!$C$18*'02_Eingaben'!$C$10,1,0))</f>
        <v/>
      </c>
      <c r="I1077" s="17" t="str">
        <f t="shared" si="16"/>
        <v/>
      </c>
      <c r="J1077" s="17" t="str">
        <f>IF(B1077="","",IF(B1076&lt;'02_Eingaben'!$C$36,0,J1076+I1076/'02_Eingaben'!$C$8))</f>
        <v/>
      </c>
    </row>
    <row r="1078" spans="1:10" x14ac:dyDescent="0.25">
      <c r="A1078" t="str">
        <f>IF('01_Rohdaten'!A1078="","",ROW()-1)</f>
        <v/>
      </c>
      <c r="B1078" s="17" t="str">
        <f>IF('01_Rohdaten'!A1078="","",'01_Rohdaten'!A1078)</f>
        <v/>
      </c>
      <c r="C1078" s="17" t="str">
        <f>IF(B1078="","",INDEX('01_Rohdaten'!B1078:D1078,'02_Eingaben'!$C$13))</f>
        <v/>
      </c>
      <c r="D1078" s="17" t="str">
        <f>IF(C1078="","",C1078*'02_Eingaben'!$C$15)</f>
        <v/>
      </c>
      <c r="E1078" s="17" t="str">
        <f>IF(D1078="","",D1078*'02_Eingaben'!$C$8)</f>
        <v/>
      </c>
      <c r="F1078" s="17" t="str">
        <f>IF(E1078="","",AVERAGE(INDEX($E$2:$E$3001,MAX(1,ROW()-1-'02_Eingaben'!$C$17)):INDEX($E$2:$E$3001,MIN('02_Eingaben'!$C$21,ROW()-1+'02_Eingaben'!$C$17))))</f>
        <v/>
      </c>
      <c r="G1078" s="17" t="str">
        <f>IF(F1078="","",F1078-'02_Eingaben'!$C$10)</f>
        <v/>
      </c>
      <c r="H1078" t="str">
        <f>IF(F1078="","",IF(F1078&lt;'02_Eingaben'!$C$18*'02_Eingaben'!$C$10,1,0))</f>
        <v/>
      </c>
      <c r="I1078" s="17" t="str">
        <f t="shared" si="16"/>
        <v/>
      </c>
      <c r="J1078" s="17" t="str">
        <f>IF(B1078="","",IF(B1077&lt;'02_Eingaben'!$C$36,0,J1077+I1077/'02_Eingaben'!$C$8))</f>
        <v/>
      </c>
    </row>
    <row r="1079" spans="1:10" x14ac:dyDescent="0.25">
      <c r="A1079" t="str">
        <f>IF('01_Rohdaten'!A1079="","",ROW()-1)</f>
        <v/>
      </c>
      <c r="B1079" s="17" t="str">
        <f>IF('01_Rohdaten'!A1079="","",'01_Rohdaten'!A1079)</f>
        <v/>
      </c>
      <c r="C1079" s="17" t="str">
        <f>IF(B1079="","",INDEX('01_Rohdaten'!B1079:D1079,'02_Eingaben'!$C$13))</f>
        <v/>
      </c>
      <c r="D1079" s="17" t="str">
        <f>IF(C1079="","",C1079*'02_Eingaben'!$C$15)</f>
        <v/>
      </c>
      <c r="E1079" s="17" t="str">
        <f>IF(D1079="","",D1079*'02_Eingaben'!$C$8)</f>
        <v/>
      </c>
      <c r="F1079" s="17" t="str">
        <f>IF(E1079="","",AVERAGE(INDEX($E$2:$E$3001,MAX(1,ROW()-1-'02_Eingaben'!$C$17)):INDEX($E$2:$E$3001,MIN('02_Eingaben'!$C$21,ROW()-1+'02_Eingaben'!$C$17))))</f>
        <v/>
      </c>
      <c r="G1079" s="17" t="str">
        <f>IF(F1079="","",F1079-'02_Eingaben'!$C$10)</f>
        <v/>
      </c>
      <c r="H1079" t="str">
        <f>IF(F1079="","",IF(F1079&lt;'02_Eingaben'!$C$18*'02_Eingaben'!$C$10,1,0))</f>
        <v/>
      </c>
      <c r="I1079" s="17" t="str">
        <f t="shared" si="16"/>
        <v/>
      </c>
      <c r="J1079" s="17" t="str">
        <f>IF(B1079="","",IF(B1078&lt;'02_Eingaben'!$C$36,0,J1078+I1078/'02_Eingaben'!$C$8))</f>
        <v/>
      </c>
    </row>
    <row r="1080" spans="1:10" x14ac:dyDescent="0.25">
      <c r="A1080" t="str">
        <f>IF('01_Rohdaten'!A1080="","",ROW()-1)</f>
        <v/>
      </c>
      <c r="B1080" s="17" t="str">
        <f>IF('01_Rohdaten'!A1080="","",'01_Rohdaten'!A1080)</f>
        <v/>
      </c>
      <c r="C1080" s="17" t="str">
        <f>IF(B1080="","",INDEX('01_Rohdaten'!B1080:D1080,'02_Eingaben'!$C$13))</f>
        <v/>
      </c>
      <c r="D1080" s="17" t="str">
        <f>IF(C1080="","",C1080*'02_Eingaben'!$C$15)</f>
        <v/>
      </c>
      <c r="E1080" s="17" t="str">
        <f>IF(D1080="","",D1080*'02_Eingaben'!$C$8)</f>
        <v/>
      </c>
      <c r="F1080" s="17" t="str">
        <f>IF(E1080="","",AVERAGE(INDEX($E$2:$E$3001,MAX(1,ROW()-1-'02_Eingaben'!$C$17)):INDEX($E$2:$E$3001,MIN('02_Eingaben'!$C$21,ROW()-1+'02_Eingaben'!$C$17))))</f>
        <v/>
      </c>
      <c r="G1080" s="17" t="str">
        <f>IF(F1080="","",F1080-'02_Eingaben'!$C$10)</f>
        <v/>
      </c>
      <c r="H1080" t="str">
        <f>IF(F1080="","",IF(F1080&lt;'02_Eingaben'!$C$18*'02_Eingaben'!$C$10,1,0))</f>
        <v/>
      </c>
      <c r="I1080" s="17" t="str">
        <f t="shared" si="16"/>
        <v/>
      </c>
      <c r="J1080" s="17" t="str">
        <f>IF(B1080="","",IF(B1079&lt;'02_Eingaben'!$C$36,0,J1079+I1079/'02_Eingaben'!$C$8))</f>
        <v/>
      </c>
    </row>
    <row r="1081" spans="1:10" x14ac:dyDescent="0.25">
      <c r="A1081" t="str">
        <f>IF('01_Rohdaten'!A1081="","",ROW()-1)</f>
        <v/>
      </c>
      <c r="B1081" s="17" t="str">
        <f>IF('01_Rohdaten'!A1081="","",'01_Rohdaten'!A1081)</f>
        <v/>
      </c>
      <c r="C1081" s="17" t="str">
        <f>IF(B1081="","",INDEX('01_Rohdaten'!B1081:D1081,'02_Eingaben'!$C$13))</f>
        <v/>
      </c>
      <c r="D1081" s="17" t="str">
        <f>IF(C1081="","",C1081*'02_Eingaben'!$C$15)</f>
        <v/>
      </c>
      <c r="E1081" s="17" t="str">
        <f>IF(D1081="","",D1081*'02_Eingaben'!$C$8)</f>
        <v/>
      </c>
      <c r="F1081" s="17" t="str">
        <f>IF(E1081="","",AVERAGE(INDEX($E$2:$E$3001,MAX(1,ROW()-1-'02_Eingaben'!$C$17)):INDEX($E$2:$E$3001,MIN('02_Eingaben'!$C$21,ROW()-1+'02_Eingaben'!$C$17))))</f>
        <v/>
      </c>
      <c r="G1081" s="17" t="str">
        <f>IF(F1081="","",F1081-'02_Eingaben'!$C$10)</f>
        <v/>
      </c>
      <c r="H1081" t="str">
        <f>IF(F1081="","",IF(F1081&lt;'02_Eingaben'!$C$18*'02_Eingaben'!$C$10,1,0))</f>
        <v/>
      </c>
      <c r="I1081" s="17" t="str">
        <f t="shared" si="16"/>
        <v/>
      </c>
      <c r="J1081" s="17" t="str">
        <f>IF(B1081="","",IF(B1080&lt;'02_Eingaben'!$C$36,0,J1080+I1080/'02_Eingaben'!$C$8))</f>
        <v/>
      </c>
    </row>
    <row r="1082" spans="1:10" x14ac:dyDescent="0.25">
      <c r="A1082" t="str">
        <f>IF('01_Rohdaten'!A1082="","",ROW()-1)</f>
        <v/>
      </c>
      <c r="B1082" s="17" t="str">
        <f>IF('01_Rohdaten'!A1082="","",'01_Rohdaten'!A1082)</f>
        <v/>
      </c>
      <c r="C1082" s="17" t="str">
        <f>IF(B1082="","",INDEX('01_Rohdaten'!B1082:D1082,'02_Eingaben'!$C$13))</f>
        <v/>
      </c>
      <c r="D1082" s="17" t="str">
        <f>IF(C1082="","",C1082*'02_Eingaben'!$C$15)</f>
        <v/>
      </c>
      <c r="E1082" s="17" t="str">
        <f>IF(D1082="","",D1082*'02_Eingaben'!$C$8)</f>
        <v/>
      </c>
      <c r="F1082" s="17" t="str">
        <f>IF(E1082="","",AVERAGE(INDEX($E$2:$E$3001,MAX(1,ROW()-1-'02_Eingaben'!$C$17)):INDEX($E$2:$E$3001,MIN('02_Eingaben'!$C$21,ROW()-1+'02_Eingaben'!$C$17))))</f>
        <v/>
      </c>
      <c r="G1082" s="17" t="str">
        <f>IF(F1082="","",F1082-'02_Eingaben'!$C$10)</f>
        <v/>
      </c>
      <c r="H1082" t="str">
        <f>IF(F1082="","",IF(F1082&lt;'02_Eingaben'!$C$18*'02_Eingaben'!$C$10,1,0))</f>
        <v/>
      </c>
      <c r="I1082" s="17" t="str">
        <f t="shared" si="16"/>
        <v/>
      </c>
      <c r="J1082" s="17" t="str">
        <f>IF(B1082="","",IF(B1081&lt;'02_Eingaben'!$C$36,0,J1081+I1081/'02_Eingaben'!$C$8))</f>
        <v/>
      </c>
    </row>
    <row r="1083" spans="1:10" x14ac:dyDescent="0.25">
      <c r="A1083" t="str">
        <f>IF('01_Rohdaten'!A1083="","",ROW()-1)</f>
        <v/>
      </c>
      <c r="B1083" s="17" t="str">
        <f>IF('01_Rohdaten'!A1083="","",'01_Rohdaten'!A1083)</f>
        <v/>
      </c>
      <c r="C1083" s="17" t="str">
        <f>IF(B1083="","",INDEX('01_Rohdaten'!B1083:D1083,'02_Eingaben'!$C$13))</f>
        <v/>
      </c>
      <c r="D1083" s="17" t="str">
        <f>IF(C1083="","",C1083*'02_Eingaben'!$C$15)</f>
        <v/>
      </c>
      <c r="E1083" s="17" t="str">
        <f>IF(D1083="","",D1083*'02_Eingaben'!$C$8)</f>
        <v/>
      </c>
      <c r="F1083" s="17" t="str">
        <f>IF(E1083="","",AVERAGE(INDEX($E$2:$E$3001,MAX(1,ROW()-1-'02_Eingaben'!$C$17)):INDEX($E$2:$E$3001,MIN('02_Eingaben'!$C$21,ROW()-1+'02_Eingaben'!$C$17))))</f>
        <v/>
      </c>
      <c r="G1083" s="17" t="str">
        <f>IF(F1083="","",F1083-'02_Eingaben'!$C$10)</f>
        <v/>
      </c>
      <c r="H1083" t="str">
        <f>IF(F1083="","",IF(F1083&lt;'02_Eingaben'!$C$18*'02_Eingaben'!$C$10,1,0))</f>
        <v/>
      </c>
      <c r="I1083" s="17" t="str">
        <f t="shared" si="16"/>
        <v/>
      </c>
      <c r="J1083" s="17" t="str">
        <f>IF(B1083="","",IF(B1082&lt;'02_Eingaben'!$C$36,0,J1082+I1082/'02_Eingaben'!$C$8))</f>
        <v/>
      </c>
    </row>
    <row r="1084" spans="1:10" x14ac:dyDescent="0.25">
      <c r="A1084" t="str">
        <f>IF('01_Rohdaten'!A1084="","",ROW()-1)</f>
        <v/>
      </c>
      <c r="B1084" s="17" t="str">
        <f>IF('01_Rohdaten'!A1084="","",'01_Rohdaten'!A1084)</f>
        <v/>
      </c>
      <c r="C1084" s="17" t="str">
        <f>IF(B1084="","",INDEX('01_Rohdaten'!B1084:D1084,'02_Eingaben'!$C$13))</f>
        <v/>
      </c>
      <c r="D1084" s="17" t="str">
        <f>IF(C1084="","",C1084*'02_Eingaben'!$C$15)</f>
        <v/>
      </c>
      <c r="E1084" s="17" t="str">
        <f>IF(D1084="","",D1084*'02_Eingaben'!$C$8)</f>
        <v/>
      </c>
      <c r="F1084" s="17" t="str">
        <f>IF(E1084="","",AVERAGE(INDEX($E$2:$E$3001,MAX(1,ROW()-1-'02_Eingaben'!$C$17)):INDEX($E$2:$E$3001,MIN('02_Eingaben'!$C$21,ROW()-1+'02_Eingaben'!$C$17))))</f>
        <v/>
      </c>
      <c r="G1084" s="17" t="str">
        <f>IF(F1084="","",F1084-'02_Eingaben'!$C$10)</f>
        <v/>
      </c>
      <c r="H1084" t="str">
        <f>IF(F1084="","",IF(F1084&lt;'02_Eingaben'!$C$18*'02_Eingaben'!$C$10,1,0))</f>
        <v/>
      </c>
      <c r="I1084" s="17" t="str">
        <f t="shared" si="16"/>
        <v/>
      </c>
      <c r="J1084" s="17" t="str">
        <f>IF(B1084="","",IF(B1083&lt;'02_Eingaben'!$C$36,0,J1083+I1083/'02_Eingaben'!$C$8))</f>
        <v/>
      </c>
    </row>
    <row r="1085" spans="1:10" x14ac:dyDescent="0.25">
      <c r="A1085" t="str">
        <f>IF('01_Rohdaten'!A1085="","",ROW()-1)</f>
        <v/>
      </c>
      <c r="B1085" s="17" t="str">
        <f>IF('01_Rohdaten'!A1085="","",'01_Rohdaten'!A1085)</f>
        <v/>
      </c>
      <c r="C1085" s="17" t="str">
        <f>IF(B1085="","",INDEX('01_Rohdaten'!B1085:D1085,'02_Eingaben'!$C$13))</f>
        <v/>
      </c>
      <c r="D1085" s="17" t="str">
        <f>IF(C1085="","",C1085*'02_Eingaben'!$C$15)</f>
        <v/>
      </c>
      <c r="E1085" s="17" t="str">
        <f>IF(D1085="","",D1085*'02_Eingaben'!$C$8)</f>
        <v/>
      </c>
      <c r="F1085" s="17" t="str">
        <f>IF(E1085="","",AVERAGE(INDEX($E$2:$E$3001,MAX(1,ROW()-1-'02_Eingaben'!$C$17)):INDEX($E$2:$E$3001,MIN('02_Eingaben'!$C$21,ROW()-1+'02_Eingaben'!$C$17))))</f>
        <v/>
      </c>
      <c r="G1085" s="17" t="str">
        <f>IF(F1085="","",F1085-'02_Eingaben'!$C$10)</f>
        <v/>
      </c>
      <c r="H1085" t="str">
        <f>IF(F1085="","",IF(F1085&lt;'02_Eingaben'!$C$18*'02_Eingaben'!$C$10,1,0))</f>
        <v/>
      </c>
      <c r="I1085" s="17" t="str">
        <f t="shared" si="16"/>
        <v/>
      </c>
      <c r="J1085" s="17" t="str">
        <f>IF(B1085="","",IF(B1084&lt;'02_Eingaben'!$C$36,0,J1084+I1084/'02_Eingaben'!$C$8))</f>
        <v/>
      </c>
    </row>
    <row r="1086" spans="1:10" x14ac:dyDescent="0.25">
      <c r="A1086" t="str">
        <f>IF('01_Rohdaten'!A1086="","",ROW()-1)</f>
        <v/>
      </c>
      <c r="B1086" s="17" t="str">
        <f>IF('01_Rohdaten'!A1086="","",'01_Rohdaten'!A1086)</f>
        <v/>
      </c>
      <c r="C1086" s="17" t="str">
        <f>IF(B1086="","",INDEX('01_Rohdaten'!B1086:D1086,'02_Eingaben'!$C$13))</f>
        <v/>
      </c>
      <c r="D1086" s="17" t="str">
        <f>IF(C1086="","",C1086*'02_Eingaben'!$C$15)</f>
        <v/>
      </c>
      <c r="E1086" s="17" t="str">
        <f>IF(D1086="","",D1086*'02_Eingaben'!$C$8)</f>
        <v/>
      </c>
      <c r="F1086" s="17" t="str">
        <f>IF(E1086="","",AVERAGE(INDEX($E$2:$E$3001,MAX(1,ROW()-1-'02_Eingaben'!$C$17)):INDEX($E$2:$E$3001,MIN('02_Eingaben'!$C$21,ROW()-1+'02_Eingaben'!$C$17))))</f>
        <v/>
      </c>
      <c r="G1086" s="17" t="str">
        <f>IF(F1086="","",F1086-'02_Eingaben'!$C$10)</f>
        <v/>
      </c>
      <c r="H1086" t="str">
        <f>IF(F1086="","",IF(F1086&lt;'02_Eingaben'!$C$18*'02_Eingaben'!$C$10,1,0))</f>
        <v/>
      </c>
      <c r="I1086" s="17" t="str">
        <f t="shared" si="16"/>
        <v/>
      </c>
      <c r="J1086" s="17" t="str">
        <f>IF(B1086="","",IF(B1085&lt;'02_Eingaben'!$C$36,0,J1085+I1085/'02_Eingaben'!$C$8))</f>
        <v/>
      </c>
    </row>
    <row r="1087" spans="1:10" x14ac:dyDescent="0.25">
      <c r="A1087" t="str">
        <f>IF('01_Rohdaten'!A1087="","",ROW()-1)</f>
        <v/>
      </c>
      <c r="B1087" s="17" t="str">
        <f>IF('01_Rohdaten'!A1087="","",'01_Rohdaten'!A1087)</f>
        <v/>
      </c>
      <c r="C1087" s="17" t="str">
        <f>IF(B1087="","",INDEX('01_Rohdaten'!B1087:D1087,'02_Eingaben'!$C$13))</f>
        <v/>
      </c>
      <c r="D1087" s="17" t="str">
        <f>IF(C1087="","",C1087*'02_Eingaben'!$C$15)</f>
        <v/>
      </c>
      <c r="E1087" s="17" t="str">
        <f>IF(D1087="","",D1087*'02_Eingaben'!$C$8)</f>
        <v/>
      </c>
      <c r="F1087" s="17" t="str">
        <f>IF(E1087="","",AVERAGE(INDEX($E$2:$E$3001,MAX(1,ROW()-1-'02_Eingaben'!$C$17)):INDEX($E$2:$E$3001,MIN('02_Eingaben'!$C$21,ROW()-1+'02_Eingaben'!$C$17))))</f>
        <v/>
      </c>
      <c r="G1087" s="17" t="str">
        <f>IF(F1087="","",F1087-'02_Eingaben'!$C$10)</f>
        <v/>
      </c>
      <c r="H1087" t="str">
        <f>IF(F1087="","",IF(F1087&lt;'02_Eingaben'!$C$18*'02_Eingaben'!$C$10,1,0))</f>
        <v/>
      </c>
      <c r="I1087" s="17" t="str">
        <f t="shared" si="16"/>
        <v/>
      </c>
      <c r="J1087" s="17" t="str">
        <f>IF(B1087="","",IF(B1086&lt;'02_Eingaben'!$C$36,0,J1086+I1086/'02_Eingaben'!$C$8))</f>
        <v/>
      </c>
    </row>
    <row r="1088" spans="1:10" x14ac:dyDescent="0.25">
      <c r="A1088" t="str">
        <f>IF('01_Rohdaten'!A1088="","",ROW()-1)</f>
        <v/>
      </c>
      <c r="B1088" s="17" t="str">
        <f>IF('01_Rohdaten'!A1088="","",'01_Rohdaten'!A1088)</f>
        <v/>
      </c>
      <c r="C1088" s="17" t="str">
        <f>IF(B1088="","",INDEX('01_Rohdaten'!B1088:D1088,'02_Eingaben'!$C$13))</f>
        <v/>
      </c>
      <c r="D1088" s="17" t="str">
        <f>IF(C1088="","",C1088*'02_Eingaben'!$C$15)</f>
        <v/>
      </c>
      <c r="E1088" s="17" t="str">
        <f>IF(D1088="","",D1088*'02_Eingaben'!$C$8)</f>
        <v/>
      </c>
      <c r="F1088" s="17" t="str">
        <f>IF(E1088="","",AVERAGE(INDEX($E$2:$E$3001,MAX(1,ROW()-1-'02_Eingaben'!$C$17)):INDEX($E$2:$E$3001,MIN('02_Eingaben'!$C$21,ROW()-1+'02_Eingaben'!$C$17))))</f>
        <v/>
      </c>
      <c r="G1088" s="17" t="str">
        <f>IF(F1088="","",F1088-'02_Eingaben'!$C$10)</f>
        <v/>
      </c>
      <c r="H1088" t="str">
        <f>IF(F1088="","",IF(F1088&lt;'02_Eingaben'!$C$18*'02_Eingaben'!$C$10,1,0))</f>
        <v/>
      </c>
      <c r="I1088" s="17" t="str">
        <f t="shared" si="16"/>
        <v/>
      </c>
      <c r="J1088" s="17" t="str">
        <f>IF(B1088="","",IF(B1087&lt;'02_Eingaben'!$C$36,0,J1087+I1087/'02_Eingaben'!$C$8))</f>
        <v/>
      </c>
    </row>
    <row r="1089" spans="1:10" x14ac:dyDescent="0.25">
      <c r="A1089" t="str">
        <f>IF('01_Rohdaten'!A1089="","",ROW()-1)</f>
        <v/>
      </c>
      <c r="B1089" s="17" t="str">
        <f>IF('01_Rohdaten'!A1089="","",'01_Rohdaten'!A1089)</f>
        <v/>
      </c>
      <c r="C1089" s="17" t="str">
        <f>IF(B1089="","",INDEX('01_Rohdaten'!B1089:D1089,'02_Eingaben'!$C$13))</f>
        <v/>
      </c>
      <c r="D1089" s="17" t="str">
        <f>IF(C1089="","",C1089*'02_Eingaben'!$C$15)</f>
        <v/>
      </c>
      <c r="E1089" s="17" t="str">
        <f>IF(D1089="","",D1089*'02_Eingaben'!$C$8)</f>
        <v/>
      </c>
      <c r="F1089" s="17" t="str">
        <f>IF(E1089="","",AVERAGE(INDEX($E$2:$E$3001,MAX(1,ROW()-1-'02_Eingaben'!$C$17)):INDEX($E$2:$E$3001,MIN('02_Eingaben'!$C$21,ROW()-1+'02_Eingaben'!$C$17))))</f>
        <v/>
      </c>
      <c r="G1089" s="17" t="str">
        <f>IF(F1089="","",F1089-'02_Eingaben'!$C$10)</f>
        <v/>
      </c>
      <c r="H1089" t="str">
        <f>IF(F1089="","",IF(F1089&lt;'02_Eingaben'!$C$18*'02_Eingaben'!$C$10,1,0))</f>
        <v/>
      </c>
      <c r="I1089" s="17" t="str">
        <f t="shared" si="16"/>
        <v/>
      </c>
      <c r="J1089" s="17" t="str">
        <f>IF(B1089="","",IF(B1088&lt;'02_Eingaben'!$C$36,0,J1088+I1088/'02_Eingaben'!$C$8))</f>
        <v/>
      </c>
    </row>
    <row r="1090" spans="1:10" x14ac:dyDescent="0.25">
      <c r="A1090" t="str">
        <f>IF('01_Rohdaten'!A1090="","",ROW()-1)</f>
        <v/>
      </c>
      <c r="B1090" s="17" t="str">
        <f>IF('01_Rohdaten'!A1090="","",'01_Rohdaten'!A1090)</f>
        <v/>
      </c>
      <c r="C1090" s="17" t="str">
        <f>IF(B1090="","",INDEX('01_Rohdaten'!B1090:D1090,'02_Eingaben'!$C$13))</f>
        <v/>
      </c>
      <c r="D1090" s="17" t="str">
        <f>IF(C1090="","",C1090*'02_Eingaben'!$C$15)</f>
        <v/>
      </c>
      <c r="E1090" s="17" t="str">
        <f>IF(D1090="","",D1090*'02_Eingaben'!$C$8)</f>
        <v/>
      </c>
      <c r="F1090" s="17" t="str">
        <f>IF(E1090="","",AVERAGE(INDEX($E$2:$E$3001,MAX(1,ROW()-1-'02_Eingaben'!$C$17)):INDEX($E$2:$E$3001,MIN('02_Eingaben'!$C$21,ROW()-1+'02_Eingaben'!$C$17))))</f>
        <v/>
      </c>
      <c r="G1090" s="17" t="str">
        <f>IF(F1090="","",F1090-'02_Eingaben'!$C$10)</f>
        <v/>
      </c>
      <c r="H1090" t="str">
        <f>IF(F1090="","",IF(F1090&lt;'02_Eingaben'!$C$18*'02_Eingaben'!$C$10,1,0))</f>
        <v/>
      </c>
      <c r="I1090" s="17" t="str">
        <f t="shared" ref="I1090:I1153" si="17">IF(OR(G1090="",G1091=""),"",(G1090+G1091)/2*(B1091-B1090))</f>
        <v/>
      </c>
      <c r="J1090" s="17" t="str">
        <f>IF(B1090="","",IF(B1089&lt;'02_Eingaben'!$C$36,0,J1089+I1089/'02_Eingaben'!$C$8))</f>
        <v/>
      </c>
    </row>
    <row r="1091" spans="1:10" x14ac:dyDescent="0.25">
      <c r="A1091" t="str">
        <f>IF('01_Rohdaten'!A1091="","",ROW()-1)</f>
        <v/>
      </c>
      <c r="B1091" s="17" t="str">
        <f>IF('01_Rohdaten'!A1091="","",'01_Rohdaten'!A1091)</f>
        <v/>
      </c>
      <c r="C1091" s="17" t="str">
        <f>IF(B1091="","",INDEX('01_Rohdaten'!B1091:D1091,'02_Eingaben'!$C$13))</f>
        <v/>
      </c>
      <c r="D1091" s="17" t="str">
        <f>IF(C1091="","",C1091*'02_Eingaben'!$C$15)</f>
        <v/>
      </c>
      <c r="E1091" s="17" t="str">
        <f>IF(D1091="","",D1091*'02_Eingaben'!$C$8)</f>
        <v/>
      </c>
      <c r="F1091" s="17" t="str">
        <f>IF(E1091="","",AVERAGE(INDEX($E$2:$E$3001,MAX(1,ROW()-1-'02_Eingaben'!$C$17)):INDEX($E$2:$E$3001,MIN('02_Eingaben'!$C$21,ROW()-1+'02_Eingaben'!$C$17))))</f>
        <v/>
      </c>
      <c r="G1091" s="17" t="str">
        <f>IF(F1091="","",F1091-'02_Eingaben'!$C$10)</f>
        <v/>
      </c>
      <c r="H1091" t="str">
        <f>IF(F1091="","",IF(F1091&lt;'02_Eingaben'!$C$18*'02_Eingaben'!$C$10,1,0))</f>
        <v/>
      </c>
      <c r="I1091" s="17" t="str">
        <f t="shared" si="17"/>
        <v/>
      </c>
      <c r="J1091" s="17" t="str">
        <f>IF(B1091="","",IF(B1090&lt;'02_Eingaben'!$C$36,0,J1090+I1090/'02_Eingaben'!$C$8))</f>
        <v/>
      </c>
    </row>
    <row r="1092" spans="1:10" x14ac:dyDescent="0.25">
      <c r="A1092" t="str">
        <f>IF('01_Rohdaten'!A1092="","",ROW()-1)</f>
        <v/>
      </c>
      <c r="B1092" s="17" t="str">
        <f>IF('01_Rohdaten'!A1092="","",'01_Rohdaten'!A1092)</f>
        <v/>
      </c>
      <c r="C1092" s="17" t="str">
        <f>IF(B1092="","",INDEX('01_Rohdaten'!B1092:D1092,'02_Eingaben'!$C$13))</f>
        <v/>
      </c>
      <c r="D1092" s="17" t="str">
        <f>IF(C1092="","",C1092*'02_Eingaben'!$C$15)</f>
        <v/>
      </c>
      <c r="E1092" s="17" t="str">
        <f>IF(D1092="","",D1092*'02_Eingaben'!$C$8)</f>
        <v/>
      </c>
      <c r="F1092" s="17" t="str">
        <f>IF(E1092="","",AVERAGE(INDEX($E$2:$E$3001,MAX(1,ROW()-1-'02_Eingaben'!$C$17)):INDEX($E$2:$E$3001,MIN('02_Eingaben'!$C$21,ROW()-1+'02_Eingaben'!$C$17))))</f>
        <v/>
      </c>
      <c r="G1092" s="17" t="str">
        <f>IF(F1092="","",F1092-'02_Eingaben'!$C$10)</f>
        <v/>
      </c>
      <c r="H1092" t="str">
        <f>IF(F1092="","",IF(F1092&lt;'02_Eingaben'!$C$18*'02_Eingaben'!$C$10,1,0))</f>
        <v/>
      </c>
      <c r="I1092" s="17" t="str">
        <f t="shared" si="17"/>
        <v/>
      </c>
      <c r="J1092" s="17" t="str">
        <f>IF(B1092="","",IF(B1091&lt;'02_Eingaben'!$C$36,0,J1091+I1091/'02_Eingaben'!$C$8))</f>
        <v/>
      </c>
    </row>
    <row r="1093" spans="1:10" x14ac:dyDescent="0.25">
      <c r="A1093" t="str">
        <f>IF('01_Rohdaten'!A1093="","",ROW()-1)</f>
        <v/>
      </c>
      <c r="B1093" s="17" t="str">
        <f>IF('01_Rohdaten'!A1093="","",'01_Rohdaten'!A1093)</f>
        <v/>
      </c>
      <c r="C1093" s="17" t="str">
        <f>IF(B1093="","",INDEX('01_Rohdaten'!B1093:D1093,'02_Eingaben'!$C$13))</f>
        <v/>
      </c>
      <c r="D1093" s="17" t="str">
        <f>IF(C1093="","",C1093*'02_Eingaben'!$C$15)</f>
        <v/>
      </c>
      <c r="E1093" s="17" t="str">
        <f>IF(D1093="","",D1093*'02_Eingaben'!$C$8)</f>
        <v/>
      </c>
      <c r="F1093" s="17" t="str">
        <f>IF(E1093="","",AVERAGE(INDEX($E$2:$E$3001,MAX(1,ROW()-1-'02_Eingaben'!$C$17)):INDEX($E$2:$E$3001,MIN('02_Eingaben'!$C$21,ROW()-1+'02_Eingaben'!$C$17))))</f>
        <v/>
      </c>
      <c r="G1093" s="17" t="str">
        <f>IF(F1093="","",F1093-'02_Eingaben'!$C$10)</f>
        <v/>
      </c>
      <c r="H1093" t="str">
        <f>IF(F1093="","",IF(F1093&lt;'02_Eingaben'!$C$18*'02_Eingaben'!$C$10,1,0))</f>
        <v/>
      </c>
      <c r="I1093" s="17" t="str">
        <f t="shared" si="17"/>
        <v/>
      </c>
      <c r="J1093" s="17" t="str">
        <f>IF(B1093="","",IF(B1092&lt;'02_Eingaben'!$C$36,0,J1092+I1092/'02_Eingaben'!$C$8))</f>
        <v/>
      </c>
    </row>
    <row r="1094" spans="1:10" x14ac:dyDescent="0.25">
      <c r="A1094" t="str">
        <f>IF('01_Rohdaten'!A1094="","",ROW()-1)</f>
        <v/>
      </c>
      <c r="B1094" s="17" t="str">
        <f>IF('01_Rohdaten'!A1094="","",'01_Rohdaten'!A1094)</f>
        <v/>
      </c>
      <c r="C1094" s="17" t="str">
        <f>IF(B1094="","",INDEX('01_Rohdaten'!B1094:D1094,'02_Eingaben'!$C$13))</f>
        <v/>
      </c>
      <c r="D1094" s="17" t="str">
        <f>IF(C1094="","",C1094*'02_Eingaben'!$C$15)</f>
        <v/>
      </c>
      <c r="E1094" s="17" t="str">
        <f>IF(D1094="","",D1094*'02_Eingaben'!$C$8)</f>
        <v/>
      </c>
      <c r="F1094" s="17" t="str">
        <f>IF(E1094="","",AVERAGE(INDEX($E$2:$E$3001,MAX(1,ROW()-1-'02_Eingaben'!$C$17)):INDEX($E$2:$E$3001,MIN('02_Eingaben'!$C$21,ROW()-1+'02_Eingaben'!$C$17))))</f>
        <v/>
      </c>
      <c r="G1094" s="17" t="str">
        <f>IF(F1094="","",F1094-'02_Eingaben'!$C$10)</f>
        <v/>
      </c>
      <c r="H1094" t="str">
        <f>IF(F1094="","",IF(F1094&lt;'02_Eingaben'!$C$18*'02_Eingaben'!$C$10,1,0))</f>
        <v/>
      </c>
      <c r="I1094" s="17" t="str">
        <f t="shared" si="17"/>
        <v/>
      </c>
      <c r="J1094" s="17" t="str">
        <f>IF(B1094="","",IF(B1093&lt;'02_Eingaben'!$C$36,0,J1093+I1093/'02_Eingaben'!$C$8))</f>
        <v/>
      </c>
    </row>
    <row r="1095" spans="1:10" x14ac:dyDescent="0.25">
      <c r="A1095" t="str">
        <f>IF('01_Rohdaten'!A1095="","",ROW()-1)</f>
        <v/>
      </c>
      <c r="B1095" s="17" t="str">
        <f>IF('01_Rohdaten'!A1095="","",'01_Rohdaten'!A1095)</f>
        <v/>
      </c>
      <c r="C1095" s="17" t="str">
        <f>IF(B1095="","",INDEX('01_Rohdaten'!B1095:D1095,'02_Eingaben'!$C$13))</f>
        <v/>
      </c>
      <c r="D1095" s="17" t="str">
        <f>IF(C1095="","",C1095*'02_Eingaben'!$C$15)</f>
        <v/>
      </c>
      <c r="E1095" s="17" t="str">
        <f>IF(D1095="","",D1095*'02_Eingaben'!$C$8)</f>
        <v/>
      </c>
      <c r="F1095" s="17" t="str">
        <f>IF(E1095="","",AVERAGE(INDEX($E$2:$E$3001,MAX(1,ROW()-1-'02_Eingaben'!$C$17)):INDEX($E$2:$E$3001,MIN('02_Eingaben'!$C$21,ROW()-1+'02_Eingaben'!$C$17))))</f>
        <v/>
      </c>
      <c r="G1095" s="17" t="str">
        <f>IF(F1095="","",F1095-'02_Eingaben'!$C$10)</f>
        <v/>
      </c>
      <c r="H1095" t="str">
        <f>IF(F1095="","",IF(F1095&lt;'02_Eingaben'!$C$18*'02_Eingaben'!$C$10,1,0))</f>
        <v/>
      </c>
      <c r="I1095" s="17" t="str">
        <f t="shared" si="17"/>
        <v/>
      </c>
      <c r="J1095" s="17" t="str">
        <f>IF(B1095="","",IF(B1094&lt;'02_Eingaben'!$C$36,0,J1094+I1094/'02_Eingaben'!$C$8))</f>
        <v/>
      </c>
    </row>
    <row r="1096" spans="1:10" x14ac:dyDescent="0.25">
      <c r="A1096" t="str">
        <f>IF('01_Rohdaten'!A1096="","",ROW()-1)</f>
        <v/>
      </c>
      <c r="B1096" s="17" t="str">
        <f>IF('01_Rohdaten'!A1096="","",'01_Rohdaten'!A1096)</f>
        <v/>
      </c>
      <c r="C1096" s="17" t="str">
        <f>IF(B1096="","",INDEX('01_Rohdaten'!B1096:D1096,'02_Eingaben'!$C$13))</f>
        <v/>
      </c>
      <c r="D1096" s="17" t="str">
        <f>IF(C1096="","",C1096*'02_Eingaben'!$C$15)</f>
        <v/>
      </c>
      <c r="E1096" s="17" t="str">
        <f>IF(D1096="","",D1096*'02_Eingaben'!$C$8)</f>
        <v/>
      </c>
      <c r="F1096" s="17" t="str">
        <f>IF(E1096="","",AVERAGE(INDEX($E$2:$E$3001,MAX(1,ROW()-1-'02_Eingaben'!$C$17)):INDEX($E$2:$E$3001,MIN('02_Eingaben'!$C$21,ROW()-1+'02_Eingaben'!$C$17))))</f>
        <v/>
      </c>
      <c r="G1096" s="17" t="str">
        <f>IF(F1096="","",F1096-'02_Eingaben'!$C$10)</f>
        <v/>
      </c>
      <c r="H1096" t="str">
        <f>IF(F1096="","",IF(F1096&lt;'02_Eingaben'!$C$18*'02_Eingaben'!$C$10,1,0))</f>
        <v/>
      </c>
      <c r="I1096" s="17" t="str">
        <f t="shared" si="17"/>
        <v/>
      </c>
      <c r="J1096" s="17" t="str">
        <f>IF(B1096="","",IF(B1095&lt;'02_Eingaben'!$C$36,0,J1095+I1095/'02_Eingaben'!$C$8))</f>
        <v/>
      </c>
    </row>
    <row r="1097" spans="1:10" x14ac:dyDescent="0.25">
      <c r="A1097" t="str">
        <f>IF('01_Rohdaten'!A1097="","",ROW()-1)</f>
        <v/>
      </c>
      <c r="B1097" s="17" t="str">
        <f>IF('01_Rohdaten'!A1097="","",'01_Rohdaten'!A1097)</f>
        <v/>
      </c>
      <c r="C1097" s="17" t="str">
        <f>IF(B1097="","",INDEX('01_Rohdaten'!B1097:D1097,'02_Eingaben'!$C$13))</f>
        <v/>
      </c>
      <c r="D1097" s="17" t="str">
        <f>IF(C1097="","",C1097*'02_Eingaben'!$C$15)</f>
        <v/>
      </c>
      <c r="E1097" s="17" t="str">
        <f>IF(D1097="","",D1097*'02_Eingaben'!$C$8)</f>
        <v/>
      </c>
      <c r="F1097" s="17" t="str">
        <f>IF(E1097="","",AVERAGE(INDEX($E$2:$E$3001,MAX(1,ROW()-1-'02_Eingaben'!$C$17)):INDEX($E$2:$E$3001,MIN('02_Eingaben'!$C$21,ROW()-1+'02_Eingaben'!$C$17))))</f>
        <v/>
      </c>
      <c r="G1097" s="17" t="str">
        <f>IF(F1097="","",F1097-'02_Eingaben'!$C$10)</f>
        <v/>
      </c>
      <c r="H1097" t="str">
        <f>IF(F1097="","",IF(F1097&lt;'02_Eingaben'!$C$18*'02_Eingaben'!$C$10,1,0))</f>
        <v/>
      </c>
      <c r="I1097" s="17" t="str">
        <f t="shared" si="17"/>
        <v/>
      </c>
      <c r="J1097" s="17" t="str">
        <f>IF(B1097="","",IF(B1096&lt;'02_Eingaben'!$C$36,0,J1096+I1096/'02_Eingaben'!$C$8))</f>
        <v/>
      </c>
    </row>
    <row r="1098" spans="1:10" x14ac:dyDescent="0.25">
      <c r="A1098" t="str">
        <f>IF('01_Rohdaten'!A1098="","",ROW()-1)</f>
        <v/>
      </c>
      <c r="B1098" s="17" t="str">
        <f>IF('01_Rohdaten'!A1098="","",'01_Rohdaten'!A1098)</f>
        <v/>
      </c>
      <c r="C1098" s="17" t="str">
        <f>IF(B1098="","",INDEX('01_Rohdaten'!B1098:D1098,'02_Eingaben'!$C$13))</f>
        <v/>
      </c>
      <c r="D1098" s="17" t="str">
        <f>IF(C1098="","",C1098*'02_Eingaben'!$C$15)</f>
        <v/>
      </c>
      <c r="E1098" s="17" t="str">
        <f>IF(D1098="","",D1098*'02_Eingaben'!$C$8)</f>
        <v/>
      </c>
      <c r="F1098" s="17" t="str">
        <f>IF(E1098="","",AVERAGE(INDEX($E$2:$E$3001,MAX(1,ROW()-1-'02_Eingaben'!$C$17)):INDEX($E$2:$E$3001,MIN('02_Eingaben'!$C$21,ROW()-1+'02_Eingaben'!$C$17))))</f>
        <v/>
      </c>
      <c r="G1098" s="17" t="str">
        <f>IF(F1098="","",F1098-'02_Eingaben'!$C$10)</f>
        <v/>
      </c>
      <c r="H1098" t="str">
        <f>IF(F1098="","",IF(F1098&lt;'02_Eingaben'!$C$18*'02_Eingaben'!$C$10,1,0))</f>
        <v/>
      </c>
      <c r="I1098" s="17" t="str">
        <f t="shared" si="17"/>
        <v/>
      </c>
      <c r="J1098" s="17" t="str">
        <f>IF(B1098="","",IF(B1097&lt;'02_Eingaben'!$C$36,0,J1097+I1097/'02_Eingaben'!$C$8))</f>
        <v/>
      </c>
    </row>
    <row r="1099" spans="1:10" x14ac:dyDescent="0.25">
      <c r="A1099" t="str">
        <f>IF('01_Rohdaten'!A1099="","",ROW()-1)</f>
        <v/>
      </c>
      <c r="B1099" s="17" t="str">
        <f>IF('01_Rohdaten'!A1099="","",'01_Rohdaten'!A1099)</f>
        <v/>
      </c>
      <c r="C1099" s="17" t="str">
        <f>IF(B1099="","",INDEX('01_Rohdaten'!B1099:D1099,'02_Eingaben'!$C$13))</f>
        <v/>
      </c>
      <c r="D1099" s="17" t="str">
        <f>IF(C1099="","",C1099*'02_Eingaben'!$C$15)</f>
        <v/>
      </c>
      <c r="E1099" s="17" t="str">
        <f>IF(D1099="","",D1099*'02_Eingaben'!$C$8)</f>
        <v/>
      </c>
      <c r="F1099" s="17" t="str">
        <f>IF(E1099="","",AVERAGE(INDEX($E$2:$E$3001,MAX(1,ROW()-1-'02_Eingaben'!$C$17)):INDEX($E$2:$E$3001,MIN('02_Eingaben'!$C$21,ROW()-1+'02_Eingaben'!$C$17))))</f>
        <v/>
      </c>
      <c r="G1099" s="17" t="str">
        <f>IF(F1099="","",F1099-'02_Eingaben'!$C$10)</f>
        <v/>
      </c>
      <c r="H1099" t="str">
        <f>IF(F1099="","",IF(F1099&lt;'02_Eingaben'!$C$18*'02_Eingaben'!$C$10,1,0))</f>
        <v/>
      </c>
      <c r="I1099" s="17" t="str">
        <f t="shared" si="17"/>
        <v/>
      </c>
      <c r="J1099" s="17" t="str">
        <f>IF(B1099="","",IF(B1098&lt;'02_Eingaben'!$C$36,0,J1098+I1098/'02_Eingaben'!$C$8))</f>
        <v/>
      </c>
    </row>
    <row r="1100" spans="1:10" x14ac:dyDescent="0.25">
      <c r="A1100" t="str">
        <f>IF('01_Rohdaten'!A1100="","",ROW()-1)</f>
        <v/>
      </c>
      <c r="B1100" s="17" t="str">
        <f>IF('01_Rohdaten'!A1100="","",'01_Rohdaten'!A1100)</f>
        <v/>
      </c>
      <c r="C1100" s="17" t="str">
        <f>IF(B1100="","",INDEX('01_Rohdaten'!B1100:D1100,'02_Eingaben'!$C$13))</f>
        <v/>
      </c>
      <c r="D1100" s="17" t="str">
        <f>IF(C1100="","",C1100*'02_Eingaben'!$C$15)</f>
        <v/>
      </c>
      <c r="E1100" s="17" t="str">
        <f>IF(D1100="","",D1100*'02_Eingaben'!$C$8)</f>
        <v/>
      </c>
      <c r="F1100" s="17" t="str">
        <f>IF(E1100="","",AVERAGE(INDEX($E$2:$E$3001,MAX(1,ROW()-1-'02_Eingaben'!$C$17)):INDEX($E$2:$E$3001,MIN('02_Eingaben'!$C$21,ROW()-1+'02_Eingaben'!$C$17))))</f>
        <v/>
      </c>
      <c r="G1100" s="17" t="str">
        <f>IF(F1100="","",F1100-'02_Eingaben'!$C$10)</f>
        <v/>
      </c>
      <c r="H1100" t="str">
        <f>IF(F1100="","",IF(F1100&lt;'02_Eingaben'!$C$18*'02_Eingaben'!$C$10,1,0))</f>
        <v/>
      </c>
      <c r="I1100" s="17" t="str">
        <f t="shared" si="17"/>
        <v/>
      </c>
      <c r="J1100" s="17" t="str">
        <f>IF(B1100="","",IF(B1099&lt;'02_Eingaben'!$C$36,0,J1099+I1099/'02_Eingaben'!$C$8))</f>
        <v/>
      </c>
    </row>
    <row r="1101" spans="1:10" x14ac:dyDescent="0.25">
      <c r="A1101" t="str">
        <f>IF('01_Rohdaten'!A1101="","",ROW()-1)</f>
        <v/>
      </c>
      <c r="B1101" s="17" t="str">
        <f>IF('01_Rohdaten'!A1101="","",'01_Rohdaten'!A1101)</f>
        <v/>
      </c>
      <c r="C1101" s="17" t="str">
        <f>IF(B1101="","",INDEX('01_Rohdaten'!B1101:D1101,'02_Eingaben'!$C$13))</f>
        <v/>
      </c>
      <c r="D1101" s="17" t="str">
        <f>IF(C1101="","",C1101*'02_Eingaben'!$C$15)</f>
        <v/>
      </c>
      <c r="E1101" s="17" t="str">
        <f>IF(D1101="","",D1101*'02_Eingaben'!$C$8)</f>
        <v/>
      </c>
      <c r="F1101" s="17" t="str">
        <f>IF(E1101="","",AVERAGE(INDEX($E$2:$E$3001,MAX(1,ROW()-1-'02_Eingaben'!$C$17)):INDEX($E$2:$E$3001,MIN('02_Eingaben'!$C$21,ROW()-1+'02_Eingaben'!$C$17))))</f>
        <v/>
      </c>
      <c r="G1101" s="17" t="str">
        <f>IF(F1101="","",F1101-'02_Eingaben'!$C$10)</f>
        <v/>
      </c>
      <c r="H1101" t="str">
        <f>IF(F1101="","",IF(F1101&lt;'02_Eingaben'!$C$18*'02_Eingaben'!$C$10,1,0))</f>
        <v/>
      </c>
      <c r="I1101" s="17" t="str">
        <f t="shared" si="17"/>
        <v/>
      </c>
      <c r="J1101" s="17" t="str">
        <f>IF(B1101="","",IF(B1100&lt;'02_Eingaben'!$C$36,0,J1100+I1100/'02_Eingaben'!$C$8))</f>
        <v/>
      </c>
    </row>
    <row r="1102" spans="1:10" x14ac:dyDescent="0.25">
      <c r="A1102" t="str">
        <f>IF('01_Rohdaten'!A1102="","",ROW()-1)</f>
        <v/>
      </c>
      <c r="B1102" s="17" t="str">
        <f>IF('01_Rohdaten'!A1102="","",'01_Rohdaten'!A1102)</f>
        <v/>
      </c>
      <c r="C1102" s="17" t="str">
        <f>IF(B1102="","",INDEX('01_Rohdaten'!B1102:D1102,'02_Eingaben'!$C$13))</f>
        <v/>
      </c>
      <c r="D1102" s="17" t="str">
        <f>IF(C1102="","",C1102*'02_Eingaben'!$C$15)</f>
        <v/>
      </c>
      <c r="E1102" s="17" t="str">
        <f>IF(D1102="","",D1102*'02_Eingaben'!$C$8)</f>
        <v/>
      </c>
      <c r="F1102" s="17" t="str">
        <f>IF(E1102="","",AVERAGE(INDEX($E$2:$E$3001,MAX(1,ROW()-1-'02_Eingaben'!$C$17)):INDEX($E$2:$E$3001,MIN('02_Eingaben'!$C$21,ROW()-1+'02_Eingaben'!$C$17))))</f>
        <v/>
      </c>
      <c r="G1102" s="17" t="str">
        <f>IF(F1102="","",F1102-'02_Eingaben'!$C$10)</f>
        <v/>
      </c>
      <c r="H1102" t="str">
        <f>IF(F1102="","",IF(F1102&lt;'02_Eingaben'!$C$18*'02_Eingaben'!$C$10,1,0))</f>
        <v/>
      </c>
      <c r="I1102" s="17" t="str">
        <f t="shared" si="17"/>
        <v/>
      </c>
      <c r="J1102" s="17" t="str">
        <f>IF(B1102="","",IF(B1101&lt;'02_Eingaben'!$C$36,0,J1101+I1101/'02_Eingaben'!$C$8))</f>
        <v/>
      </c>
    </row>
    <row r="1103" spans="1:10" x14ac:dyDescent="0.25">
      <c r="A1103" t="str">
        <f>IF('01_Rohdaten'!A1103="","",ROW()-1)</f>
        <v/>
      </c>
      <c r="B1103" s="17" t="str">
        <f>IF('01_Rohdaten'!A1103="","",'01_Rohdaten'!A1103)</f>
        <v/>
      </c>
      <c r="C1103" s="17" t="str">
        <f>IF(B1103="","",INDEX('01_Rohdaten'!B1103:D1103,'02_Eingaben'!$C$13))</f>
        <v/>
      </c>
      <c r="D1103" s="17" t="str">
        <f>IF(C1103="","",C1103*'02_Eingaben'!$C$15)</f>
        <v/>
      </c>
      <c r="E1103" s="17" t="str">
        <f>IF(D1103="","",D1103*'02_Eingaben'!$C$8)</f>
        <v/>
      </c>
      <c r="F1103" s="17" t="str">
        <f>IF(E1103="","",AVERAGE(INDEX($E$2:$E$3001,MAX(1,ROW()-1-'02_Eingaben'!$C$17)):INDEX($E$2:$E$3001,MIN('02_Eingaben'!$C$21,ROW()-1+'02_Eingaben'!$C$17))))</f>
        <v/>
      </c>
      <c r="G1103" s="17" t="str">
        <f>IF(F1103="","",F1103-'02_Eingaben'!$C$10)</f>
        <v/>
      </c>
      <c r="H1103" t="str">
        <f>IF(F1103="","",IF(F1103&lt;'02_Eingaben'!$C$18*'02_Eingaben'!$C$10,1,0))</f>
        <v/>
      </c>
      <c r="I1103" s="17" t="str">
        <f t="shared" si="17"/>
        <v/>
      </c>
      <c r="J1103" s="17" t="str">
        <f>IF(B1103="","",IF(B1102&lt;'02_Eingaben'!$C$36,0,J1102+I1102/'02_Eingaben'!$C$8))</f>
        <v/>
      </c>
    </row>
    <row r="1104" spans="1:10" x14ac:dyDescent="0.25">
      <c r="A1104" t="str">
        <f>IF('01_Rohdaten'!A1104="","",ROW()-1)</f>
        <v/>
      </c>
      <c r="B1104" s="17" t="str">
        <f>IF('01_Rohdaten'!A1104="","",'01_Rohdaten'!A1104)</f>
        <v/>
      </c>
      <c r="C1104" s="17" t="str">
        <f>IF(B1104="","",INDEX('01_Rohdaten'!B1104:D1104,'02_Eingaben'!$C$13))</f>
        <v/>
      </c>
      <c r="D1104" s="17" t="str">
        <f>IF(C1104="","",C1104*'02_Eingaben'!$C$15)</f>
        <v/>
      </c>
      <c r="E1104" s="17" t="str">
        <f>IF(D1104="","",D1104*'02_Eingaben'!$C$8)</f>
        <v/>
      </c>
      <c r="F1104" s="17" t="str">
        <f>IF(E1104="","",AVERAGE(INDEX($E$2:$E$3001,MAX(1,ROW()-1-'02_Eingaben'!$C$17)):INDEX($E$2:$E$3001,MIN('02_Eingaben'!$C$21,ROW()-1+'02_Eingaben'!$C$17))))</f>
        <v/>
      </c>
      <c r="G1104" s="17" t="str">
        <f>IF(F1104="","",F1104-'02_Eingaben'!$C$10)</f>
        <v/>
      </c>
      <c r="H1104" t="str">
        <f>IF(F1104="","",IF(F1104&lt;'02_Eingaben'!$C$18*'02_Eingaben'!$C$10,1,0))</f>
        <v/>
      </c>
      <c r="I1104" s="17" t="str">
        <f t="shared" si="17"/>
        <v/>
      </c>
      <c r="J1104" s="17" t="str">
        <f>IF(B1104="","",IF(B1103&lt;'02_Eingaben'!$C$36,0,J1103+I1103/'02_Eingaben'!$C$8))</f>
        <v/>
      </c>
    </row>
    <row r="1105" spans="1:10" x14ac:dyDescent="0.25">
      <c r="A1105" t="str">
        <f>IF('01_Rohdaten'!A1105="","",ROW()-1)</f>
        <v/>
      </c>
      <c r="B1105" s="17" t="str">
        <f>IF('01_Rohdaten'!A1105="","",'01_Rohdaten'!A1105)</f>
        <v/>
      </c>
      <c r="C1105" s="17" t="str">
        <f>IF(B1105="","",INDEX('01_Rohdaten'!B1105:D1105,'02_Eingaben'!$C$13))</f>
        <v/>
      </c>
      <c r="D1105" s="17" t="str">
        <f>IF(C1105="","",C1105*'02_Eingaben'!$C$15)</f>
        <v/>
      </c>
      <c r="E1105" s="17" t="str">
        <f>IF(D1105="","",D1105*'02_Eingaben'!$C$8)</f>
        <v/>
      </c>
      <c r="F1105" s="17" t="str">
        <f>IF(E1105="","",AVERAGE(INDEX($E$2:$E$3001,MAX(1,ROW()-1-'02_Eingaben'!$C$17)):INDEX($E$2:$E$3001,MIN('02_Eingaben'!$C$21,ROW()-1+'02_Eingaben'!$C$17))))</f>
        <v/>
      </c>
      <c r="G1105" s="17" t="str">
        <f>IF(F1105="","",F1105-'02_Eingaben'!$C$10)</f>
        <v/>
      </c>
      <c r="H1105" t="str">
        <f>IF(F1105="","",IF(F1105&lt;'02_Eingaben'!$C$18*'02_Eingaben'!$C$10,1,0))</f>
        <v/>
      </c>
      <c r="I1105" s="17" t="str">
        <f t="shared" si="17"/>
        <v/>
      </c>
      <c r="J1105" s="17" t="str">
        <f>IF(B1105="","",IF(B1104&lt;'02_Eingaben'!$C$36,0,J1104+I1104/'02_Eingaben'!$C$8))</f>
        <v/>
      </c>
    </row>
    <row r="1106" spans="1:10" x14ac:dyDescent="0.25">
      <c r="A1106" t="str">
        <f>IF('01_Rohdaten'!A1106="","",ROW()-1)</f>
        <v/>
      </c>
      <c r="B1106" s="17" t="str">
        <f>IF('01_Rohdaten'!A1106="","",'01_Rohdaten'!A1106)</f>
        <v/>
      </c>
      <c r="C1106" s="17" t="str">
        <f>IF(B1106="","",INDEX('01_Rohdaten'!B1106:D1106,'02_Eingaben'!$C$13))</f>
        <v/>
      </c>
      <c r="D1106" s="17" t="str">
        <f>IF(C1106="","",C1106*'02_Eingaben'!$C$15)</f>
        <v/>
      </c>
      <c r="E1106" s="17" t="str">
        <f>IF(D1106="","",D1106*'02_Eingaben'!$C$8)</f>
        <v/>
      </c>
      <c r="F1106" s="17" t="str">
        <f>IF(E1106="","",AVERAGE(INDEX($E$2:$E$3001,MAX(1,ROW()-1-'02_Eingaben'!$C$17)):INDEX($E$2:$E$3001,MIN('02_Eingaben'!$C$21,ROW()-1+'02_Eingaben'!$C$17))))</f>
        <v/>
      </c>
      <c r="G1106" s="17" t="str">
        <f>IF(F1106="","",F1106-'02_Eingaben'!$C$10)</f>
        <v/>
      </c>
      <c r="H1106" t="str">
        <f>IF(F1106="","",IF(F1106&lt;'02_Eingaben'!$C$18*'02_Eingaben'!$C$10,1,0))</f>
        <v/>
      </c>
      <c r="I1106" s="17" t="str">
        <f t="shared" si="17"/>
        <v/>
      </c>
      <c r="J1106" s="17" t="str">
        <f>IF(B1106="","",IF(B1105&lt;'02_Eingaben'!$C$36,0,J1105+I1105/'02_Eingaben'!$C$8))</f>
        <v/>
      </c>
    </row>
    <row r="1107" spans="1:10" x14ac:dyDescent="0.25">
      <c r="A1107" t="str">
        <f>IF('01_Rohdaten'!A1107="","",ROW()-1)</f>
        <v/>
      </c>
      <c r="B1107" s="17" t="str">
        <f>IF('01_Rohdaten'!A1107="","",'01_Rohdaten'!A1107)</f>
        <v/>
      </c>
      <c r="C1107" s="17" t="str">
        <f>IF(B1107="","",INDEX('01_Rohdaten'!B1107:D1107,'02_Eingaben'!$C$13))</f>
        <v/>
      </c>
      <c r="D1107" s="17" t="str">
        <f>IF(C1107="","",C1107*'02_Eingaben'!$C$15)</f>
        <v/>
      </c>
      <c r="E1107" s="17" t="str">
        <f>IF(D1107="","",D1107*'02_Eingaben'!$C$8)</f>
        <v/>
      </c>
      <c r="F1107" s="17" t="str">
        <f>IF(E1107="","",AVERAGE(INDEX($E$2:$E$3001,MAX(1,ROW()-1-'02_Eingaben'!$C$17)):INDEX($E$2:$E$3001,MIN('02_Eingaben'!$C$21,ROW()-1+'02_Eingaben'!$C$17))))</f>
        <v/>
      </c>
      <c r="G1107" s="17" t="str">
        <f>IF(F1107="","",F1107-'02_Eingaben'!$C$10)</f>
        <v/>
      </c>
      <c r="H1107" t="str">
        <f>IF(F1107="","",IF(F1107&lt;'02_Eingaben'!$C$18*'02_Eingaben'!$C$10,1,0))</f>
        <v/>
      </c>
      <c r="I1107" s="17" t="str">
        <f t="shared" si="17"/>
        <v/>
      </c>
      <c r="J1107" s="17" t="str">
        <f>IF(B1107="","",IF(B1106&lt;'02_Eingaben'!$C$36,0,J1106+I1106/'02_Eingaben'!$C$8))</f>
        <v/>
      </c>
    </row>
    <row r="1108" spans="1:10" x14ac:dyDescent="0.25">
      <c r="A1108" t="str">
        <f>IF('01_Rohdaten'!A1108="","",ROW()-1)</f>
        <v/>
      </c>
      <c r="B1108" s="17" t="str">
        <f>IF('01_Rohdaten'!A1108="","",'01_Rohdaten'!A1108)</f>
        <v/>
      </c>
      <c r="C1108" s="17" t="str">
        <f>IF(B1108="","",INDEX('01_Rohdaten'!B1108:D1108,'02_Eingaben'!$C$13))</f>
        <v/>
      </c>
      <c r="D1108" s="17" t="str">
        <f>IF(C1108="","",C1108*'02_Eingaben'!$C$15)</f>
        <v/>
      </c>
      <c r="E1108" s="17" t="str">
        <f>IF(D1108="","",D1108*'02_Eingaben'!$C$8)</f>
        <v/>
      </c>
      <c r="F1108" s="17" t="str">
        <f>IF(E1108="","",AVERAGE(INDEX($E$2:$E$3001,MAX(1,ROW()-1-'02_Eingaben'!$C$17)):INDEX($E$2:$E$3001,MIN('02_Eingaben'!$C$21,ROW()-1+'02_Eingaben'!$C$17))))</f>
        <v/>
      </c>
      <c r="G1108" s="17" t="str">
        <f>IF(F1108="","",F1108-'02_Eingaben'!$C$10)</f>
        <v/>
      </c>
      <c r="H1108" t="str">
        <f>IF(F1108="","",IF(F1108&lt;'02_Eingaben'!$C$18*'02_Eingaben'!$C$10,1,0))</f>
        <v/>
      </c>
      <c r="I1108" s="17" t="str">
        <f t="shared" si="17"/>
        <v/>
      </c>
      <c r="J1108" s="17" t="str">
        <f>IF(B1108="","",IF(B1107&lt;'02_Eingaben'!$C$36,0,J1107+I1107/'02_Eingaben'!$C$8))</f>
        <v/>
      </c>
    </row>
    <row r="1109" spans="1:10" x14ac:dyDescent="0.25">
      <c r="A1109" t="str">
        <f>IF('01_Rohdaten'!A1109="","",ROW()-1)</f>
        <v/>
      </c>
      <c r="B1109" s="17" t="str">
        <f>IF('01_Rohdaten'!A1109="","",'01_Rohdaten'!A1109)</f>
        <v/>
      </c>
      <c r="C1109" s="17" t="str">
        <f>IF(B1109="","",INDEX('01_Rohdaten'!B1109:D1109,'02_Eingaben'!$C$13))</f>
        <v/>
      </c>
      <c r="D1109" s="17" t="str">
        <f>IF(C1109="","",C1109*'02_Eingaben'!$C$15)</f>
        <v/>
      </c>
      <c r="E1109" s="17" t="str">
        <f>IF(D1109="","",D1109*'02_Eingaben'!$C$8)</f>
        <v/>
      </c>
      <c r="F1109" s="17" t="str">
        <f>IF(E1109="","",AVERAGE(INDEX($E$2:$E$3001,MAX(1,ROW()-1-'02_Eingaben'!$C$17)):INDEX($E$2:$E$3001,MIN('02_Eingaben'!$C$21,ROW()-1+'02_Eingaben'!$C$17))))</f>
        <v/>
      </c>
      <c r="G1109" s="17" t="str">
        <f>IF(F1109="","",F1109-'02_Eingaben'!$C$10)</f>
        <v/>
      </c>
      <c r="H1109" t="str">
        <f>IF(F1109="","",IF(F1109&lt;'02_Eingaben'!$C$18*'02_Eingaben'!$C$10,1,0))</f>
        <v/>
      </c>
      <c r="I1109" s="17" t="str">
        <f t="shared" si="17"/>
        <v/>
      </c>
      <c r="J1109" s="17" t="str">
        <f>IF(B1109="","",IF(B1108&lt;'02_Eingaben'!$C$36,0,J1108+I1108/'02_Eingaben'!$C$8))</f>
        <v/>
      </c>
    </row>
    <row r="1110" spans="1:10" x14ac:dyDescent="0.25">
      <c r="A1110" t="str">
        <f>IF('01_Rohdaten'!A1110="","",ROW()-1)</f>
        <v/>
      </c>
      <c r="B1110" s="17" t="str">
        <f>IF('01_Rohdaten'!A1110="","",'01_Rohdaten'!A1110)</f>
        <v/>
      </c>
      <c r="C1110" s="17" t="str">
        <f>IF(B1110="","",INDEX('01_Rohdaten'!B1110:D1110,'02_Eingaben'!$C$13))</f>
        <v/>
      </c>
      <c r="D1110" s="17" t="str">
        <f>IF(C1110="","",C1110*'02_Eingaben'!$C$15)</f>
        <v/>
      </c>
      <c r="E1110" s="17" t="str">
        <f>IF(D1110="","",D1110*'02_Eingaben'!$C$8)</f>
        <v/>
      </c>
      <c r="F1110" s="17" t="str">
        <f>IF(E1110="","",AVERAGE(INDEX($E$2:$E$3001,MAX(1,ROW()-1-'02_Eingaben'!$C$17)):INDEX($E$2:$E$3001,MIN('02_Eingaben'!$C$21,ROW()-1+'02_Eingaben'!$C$17))))</f>
        <v/>
      </c>
      <c r="G1110" s="17" t="str">
        <f>IF(F1110="","",F1110-'02_Eingaben'!$C$10)</f>
        <v/>
      </c>
      <c r="H1110" t="str">
        <f>IF(F1110="","",IF(F1110&lt;'02_Eingaben'!$C$18*'02_Eingaben'!$C$10,1,0))</f>
        <v/>
      </c>
      <c r="I1110" s="17" t="str">
        <f t="shared" si="17"/>
        <v/>
      </c>
      <c r="J1110" s="17" t="str">
        <f>IF(B1110="","",IF(B1109&lt;'02_Eingaben'!$C$36,0,J1109+I1109/'02_Eingaben'!$C$8))</f>
        <v/>
      </c>
    </row>
    <row r="1111" spans="1:10" x14ac:dyDescent="0.25">
      <c r="A1111" t="str">
        <f>IF('01_Rohdaten'!A1111="","",ROW()-1)</f>
        <v/>
      </c>
      <c r="B1111" s="17" t="str">
        <f>IF('01_Rohdaten'!A1111="","",'01_Rohdaten'!A1111)</f>
        <v/>
      </c>
      <c r="C1111" s="17" t="str">
        <f>IF(B1111="","",INDEX('01_Rohdaten'!B1111:D1111,'02_Eingaben'!$C$13))</f>
        <v/>
      </c>
      <c r="D1111" s="17" t="str">
        <f>IF(C1111="","",C1111*'02_Eingaben'!$C$15)</f>
        <v/>
      </c>
      <c r="E1111" s="17" t="str">
        <f>IF(D1111="","",D1111*'02_Eingaben'!$C$8)</f>
        <v/>
      </c>
      <c r="F1111" s="17" t="str">
        <f>IF(E1111="","",AVERAGE(INDEX($E$2:$E$3001,MAX(1,ROW()-1-'02_Eingaben'!$C$17)):INDEX($E$2:$E$3001,MIN('02_Eingaben'!$C$21,ROW()-1+'02_Eingaben'!$C$17))))</f>
        <v/>
      </c>
      <c r="G1111" s="17" t="str">
        <f>IF(F1111="","",F1111-'02_Eingaben'!$C$10)</f>
        <v/>
      </c>
      <c r="H1111" t="str">
        <f>IF(F1111="","",IF(F1111&lt;'02_Eingaben'!$C$18*'02_Eingaben'!$C$10,1,0))</f>
        <v/>
      </c>
      <c r="I1111" s="17" t="str">
        <f t="shared" si="17"/>
        <v/>
      </c>
      <c r="J1111" s="17" t="str">
        <f>IF(B1111="","",IF(B1110&lt;'02_Eingaben'!$C$36,0,J1110+I1110/'02_Eingaben'!$C$8))</f>
        <v/>
      </c>
    </row>
    <row r="1112" spans="1:10" x14ac:dyDescent="0.25">
      <c r="A1112" t="str">
        <f>IF('01_Rohdaten'!A1112="","",ROW()-1)</f>
        <v/>
      </c>
      <c r="B1112" s="17" t="str">
        <f>IF('01_Rohdaten'!A1112="","",'01_Rohdaten'!A1112)</f>
        <v/>
      </c>
      <c r="C1112" s="17" t="str">
        <f>IF(B1112="","",INDEX('01_Rohdaten'!B1112:D1112,'02_Eingaben'!$C$13))</f>
        <v/>
      </c>
      <c r="D1112" s="17" t="str">
        <f>IF(C1112="","",C1112*'02_Eingaben'!$C$15)</f>
        <v/>
      </c>
      <c r="E1112" s="17" t="str">
        <f>IF(D1112="","",D1112*'02_Eingaben'!$C$8)</f>
        <v/>
      </c>
      <c r="F1112" s="17" t="str">
        <f>IF(E1112="","",AVERAGE(INDEX($E$2:$E$3001,MAX(1,ROW()-1-'02_Eingaben'!$C$17)):INDEX($E$2:$E$3001,MIN('02_Eingaben'!$C$21,ROW()-1+'02_Eingaben'!$C$17))))</f>
        <v/>
      </c>
      <c r="G1112" s="17" t="str">
        <f>IF(F1112="","",F1112-'02_Eingaben'!$C$10)</f>
        <v/>
      </c>
      <c r="H1112" t="str">
        <f>IF(F1112="","",IF(F1112&lt;'02_Eingaben'!$C$18*'02_Eingaben'!$C$10,1,0))</f>
        <v/>
      </c>
      <c r="I1112" s="17" t="str">
        <f t="shared" si="17"/>
        <v/>
      </c>
      <c r="J1112" s="17" t="str">
        <f>IF(B1112="","",IF(B1111&lt;'02_Eingaben'!$C$36,0,J1111+I1111/'02_Eingaben'!$C$8))</f>
        <v/>
      </c>
    </row>
    <row r="1113" spans="1:10" x14ac:dyDescent="0.25">
      <c r="A1113" t="str">
        <f>IF('01_Rohdaten'!A1113="","",ROW()-1)</f>
        <v/>
      </c>
      <c r="B1113" s="17" t="str">
        <f>IF('01_Rohdaten'!A1113="","",'01_Rohdaten'!A1113)</f>
        <v/>
      </c>
      <c r="C1113" s="17" t="str">
        <f>IF(B1113="","",INDEX('01_Rohdaten'!B1113:D1113,'02_Eingaben'!$C$13))</f>
        <v/>
      </c>
      <c r="D1113" s="17" t="str">
        <f>IF(C1113="","",C1113*'02_Eingaben'!$C$15)</f>
        <v/>
      </c>
      <c r="E1113" s="17" t="str">
        <f>IF(D1113="","",D1113*'02_Eingaben'!$C$8)</f>
        <v/>
      </c>
      <c r="F1113" s="17" t="str">
        <f>IF(E1113="","",AVERAGE(INDEX($E$2:$E$3001,MAX(1,ROW()-1-'02_Eingaben'!$C$17)):INDEX($E$2:$E$3001,MIN('02_Eingaben'!$C$21,ROW()-1+'02_Eingaben'!$C$17))))</f>
        <v/>
      </c>
      <c r="G1113" s="17" t="str">
        <f>IF(F1113="","",F1113-'02_Eingaben'!$C$10)</f>
        <v/>
      </c>
      <c r="H1113" t="str">
        <f>IF(F1113="","",IF(F1113&lt;'02_Eingaben'!$C$18*'02_Eingaben'!$C$10,1,0))</f>
        <v/>
      </c>
      <c r="I1113" s="17" t="str">
        <f t="shared" si="17"/>
        <v/>
      </c>
      <c r="J1113" s="17" t="str">
        <f>IF(B1113="","",IF(B1112&lt;'02_Eingaben'!$C$36,0,J1112+I1112/'02_Eingaben'!$C$8))</f>
        <v/>
      </c>
    </row>
    <row r="1114" spans="1:10" x14ac:dyDescent="0.25">
      <c r="A1114" t="str">
        <f>IF('01_Rohdaten'!A1114="","",ROW()-1)</f>
        <v/>
      </c>
      <c r="B1114" s="17" t="str">
        <f>IF('01_Rohdaten'!A1114="","",'01_Rohdaten'!A1114)</f>
        <v/>
      </c>
      <c r="C1114" s="17" t="str">
        <f>IF(B1114="","",INDEX('01_Rohdaten'!B1114:D1114,'02_Eingaben'!$C$13))</f>
        <v/>
      </c>
      <c r="D1114" s="17" t="str">
        <f>IF(C1114="","",C1114*'02_Eingaben'!$C$15)</f>
        <v/>
      </c>
      <c r="E1114" s="17" t="str">
        <f>IF(D1114="","",D1114*'02_Eingaben'!$C$8)</f>
        <v/>
      </c>
      <c r="F1114" s="17" t="str">
        <f>IF(E1114="","",AVERAGE(INDEX($E$2:$E$3001,MAX(1,ROW()-1-'02_Eingaben'!$C$17)):INDEX($E$2:$E$3001,MIN('02_Eingaben'!$C$21,ROW()-1+'02_Eingaben'!$C$17))))</f>
        <v/>
      </c>
      <c r="G1114" s="17" t="str">
        <f>IF(F1114="","",F1114-'02_Eingaben'!$C$10)</f>
        <v/>
      </c>
      <c r="H1114" t="str">
        <f>IF(F1114="","",IF(F1114&lt;'02_Eingaben'!$C$18*'02_Eingaben'!$C$10,1,0))</f>
        <v/>
      </c>
      <c r="I1114" s="17" t="str">
        <f t="shared" si="17"/>
        <v/>
      </c>
      <c r="J1114" s="17" t="str">
        <f>IF(B1114="","",IF(B1113&lt;'02_Eingaben'!$C$36,0,J1113+I1113/'02_Eingaben'!$C$8))</f>
        <v/>
      </c>
    </row>
    <row r="1115" spans="1:10" x14ac:dyDescent="0.25">
      <c r="A1115" t="str">
        <f>IF('01_Rohdaten'!A1115="","",ROW()-1)</f>
        <v/>
      </c>
      <c r="B1115" s="17" t="str">
        <f>IF('01_Rohdaten'!A1115="","",'01_Rohdaten'!A1115)</f>
        <v/>
      </c>
      <c r="C1115" s="17" t="str">
        <f>IF(B1115="","",INDEX('01_Rohdaten'!B1115:D1115,'02_Eingaben'!$C$13))</f>
        <v/>
      </c>
      <c r="D1115" s="17" t="str">
        <f>IF(C1115="","",C1115*'02_Eingaben'!$C$15)</f>
        <v/>
      </c>
      <c r="E1115" s="17" t="str">
        <f>IF(D1115="","",D1115*'02_Eingaben'!$C$8)</f>
        <v/>
      </c>
      <c r="F1115" s="17" t="str">
        <f>IF(E1115="","",AVERAGE(INDEX($E$2:$E$3001,MAX(1,ROW()-1-'02_Eingaben'!$C$17)):INDEX($E$2:$E$3001,MIN('02_Eingaben'!$C$21,ROW()-1+'02_Eingaben'!$C$17))))</f>
        <v/>
      </c>
      <c r="G1115" s="17" t="str">
        <f>IF(F1115="","",F1115-'02_Eingaben'!$C$10)</f>
        <v/>
      </c>
      <c r="H1115" t="str">
        <f>IF(F1115="","",IF(F1115&lt;'02_Eingaben'!$C$18*'02_Eingaben'!$C$10,1,0))</f>
        <v/>
      </c>
      <c r="I1115" s="17" t="str">
        <f t="shared" si="17"/>
        <v/>
      </c>
      <c r="J1115" s="17" t="str">
        <f>IF(B1115="","",IF(B1114&lt;'02_Eingaben'!$C$36,0,J1114+I1114/'02_Eingaben'!$C$8))</f>
        <v/>
      </c>
    </row>
    <row r="1116" spans="1:10" x14ac:dyDescent="0.25">
      <c r="A1116" t="str">
        <f>IF('01_Rohdaten'!A1116="","",ROW()-1)</f>
        <v/>
      </c>
      <c r="B1116" s="17" t="str">
        <f>IF('01_Rohdaten'!A1116="","",'01_Rohdaten'!A1116)</f>
        <v/>
      </c>
      <c r="C1116" s="17" t="str">
        <f>IF(B1116="","",INDEX('01_Rohdaten'!B1116:D1116,'02_Eingaben'!$C$13))</f>
        <v/>
      </c>
      <c r="D1116" s="17" t="str">
        <f>IF(C1116="","",C1116*'02_Eingaben'!$C$15)</f>
        <v/>
      </c>
      <c r="E1116" s="17" t="str">
        <f>IF(D1116="","",D1116*'02_Eingaben'!$C$8)</f>
        <v/>
      </c>
      <c r="F1116" s="17" t="str">
        <f>IF(E1116="","",AVERAGE(INDEX($E$2:$E$3001,MAX(1,ROW()-1-'02_Eingaben'!$C$17)):INDEX($E$2:$E$3001,MIN('02_Eingaben'!$C$21,ROW()-1+'02_Eingaben'!$C$17))))</f>
        <v/>
      </c>
      <c r="G1116" s="17" t="str">
        <f>IF(F1116="","",F1116-'02_Eingaben'!$C$10)</f>
        <v/>
      </c>
      <c r="H1116" t="str">
        <f>IF(F1116="","",IF(F1116&lt;'02_Eingaben'!$C$18*'02_Eingaben'!$C$10,1,0))</f>
        <v/>
      </c>
      <c r="I1116" s="17" t="str">
        <f t="shared" si="17"/>
        <v/>
      </c>
      <c r="J1116" s="17" t="str">
        <f>IF(B1116="","",IF(B1115&lt;'02_Eingaben'!$C$36,0,J1115+I1115/'02_Eingaben'!$C$8))</f>
        <v/>
      </c>
    </row>
    <row r="1117" spans="1:10" x14ac:dyDescent="0.25">
      <c r="A1117" t="str">
        <f>IF('01_Rohdaten'!A1117="","",ROW()-1)</f>
        <v/>
      </c>
      <c r="B1117" s="17" t="str">
        <f>IF('01_Rohdaten'!A1117="","",'01_Rohdaten'!A1117)</f>
        <v/>
      </c>
      <c r="C1117" s="17" t="str">
        <f>IF(B1117="","",INDEX('01_Rohdaten'!B1117:D1117,'02_Eingaben'!$C$13))</f>
        <v/>
      </c>
      <c r="D1117" s="17" t="str">
        <f>IF(C1117="","",C1117*'02_Eingaben'!$C$15)</f>
        <v/>
      </c>
      <c r="E1117" s="17" t="str">
        <f>IF(D1117="","",D1117*'02_Eingaben'!$C$8)</f>
        <v/>
      </c>
      <c r="F1117" s="17" t="str">
        <f>IF(E1117="","",AVERAGE(INDEX($E$2:$E$3001,MAX(1,ROW()-1-'02_Eingaben'!$C$17)):INDEX($E$2:$E$3001,MIN('02_Eingaben'!$C$21,ROW()-1+'02_Eingaben'!$C$17))))</f>
        <v/>
      </c>
      <c r="G1117" s="17" t="str">
        <f>IF(F1117="","",F1117-'02_Eingaben'!$C$10)</f>
        <v/>
      </c>
      <c r="H1117" t="str">
        <f>IF(F1117="","",IF(F1117&lt;'02_Eingaben'!$C$18*'02_Eingaben'!$C$10,1,0))</f>
        <v/>
      </c>
      <c r="I1117" s="17" t="str">
        <f t="shared" si="17"/>
        <v/>
      </c>
      <c r="J1117" s="17" t="str">
        <f>IF(B1117="","",IF(B1116&lt;'02_Eingaben'!$C$36,0,J1116+I1116/'02_Eingaben'!$C$8))</f>
        <v/>
      </c>
    </row>
    <row r="1118" spans="1:10" x14ac:dyDescent="0.25">
      <c r="A1118" t="str">
        <f>IF('01_Rohdaten'!A1118="","",ROW()-1)</f>
        <v/>
      </c>
      <c r="B1118" s="17" t="str">
        <f>IF('01_Rohdaten'!A1118="","",'01_Rohdaten'!A1118)</f>
        <v/>
      </c>
      <c r="C1118" s="17" t="str">
        <f>IF(B1118="","",INDEX('01_Rohdaten'!B1118:D1118,'02_Eingaben'!$C$13))</f>
        <v/>
      </c>
      <c r="D1118" s="17" t="str">
        <f>IF(C1118="","",C1118*'02_Eingaben'!$C$15)</f>
        <v/>
      </c>
      <c r="E1118" s="17" t="str">
        <f>IF(D1118="","",D1118*'02_Eingaben'!$C$8)</f>
        <v/>
      </c>
      <c r="F1118" s="17" t="str">
        <f>IF(E1118="","",AVERAGE(INDEX($E$2:$E$3001,MAX(1,ROW()-1-'02_Eingaben'!$C$17)):INDEX($E$2:$E$3001,MIN('02_Eingaben'!$C$21,ROW()-1+'02_Eingaben'!$C$17))))</f>
        <v/>
      </c>
      <c r="G1118" s="17" t="str">
        <f>IF(F1118="","",F1118-'02_Eingaben'!$C$10)</f>
        <v/>
      </c>
      <c r="H1118" t="str">
        <f>IF(F1118="","",IF(F1118&lt;'02_Eingaben'!$C$18*'02_Eingaben'!$C$10,1,0))</f>
        <v/>
      </c>
      <c r="I1118" s="17" t="str">
        <f t="shared" si="17"/>
        <v/>
      </c>
      <c r="J1118" s="17" t="str">
        <f>IF(B1118="","",IF(B1117&lt;'02_Eingaben'!$C$36,0,J1117+I1117/'02_Eingaben'!$C$8))</f>
        <v/>
      </c>
    </row>
    <row r="1119" spans="1:10" x14ac:dyDescent="0.25">
      <c r="A1119" t="str">
        <f>IF('01_Rohdaten'!A1119="","",ROW()-1)</f>
        <v/>
      </c>
      <c r="B1119" s="17" t="str">
        <f>IF('01_Rohdaten'!A1119="","",'01_Rohdaten'!A1119)</f>
        <v/>
      </c>
      <c r="C1119" s="17" t="str">
        <f>IF(B1119="","",INDEX('01_Rohdaten'!B1119:D1119,'02_Eingaben'!$C$13))</f>
        <v/>
      </c>
      <c r="D1119" s="17" t="str">
        <f>IF(C1119="","",C1119*'02_Eingaben'!$C$15)</f>
        <v/>
      </c>
      <c r="E1119" s="17" t="str">
        <f>IF(D1119="","",D1119*'02_Eingaben'!$C$8)</f>
        <v/>
      </c>
      <c r="F1119" s="17" t="str">
        <f>IF(E1119="","",AVERAGE(INDEX($E$2:$E$3001,MAX(1,ROW()-1-'02_Eingaben'!$C$17)):INDEX($E$2:$E$3001,MIN('02_Eingaben'!$C$21,ROW()-1+'02_Eingaben'!$C$17))))</f>
        <v/>
      </c>
      <c r="G1119" s="17" t="str">
        <f>IF(F1119="","",F1119-'02_Eingaben'!$C$10)</f>
        <v/>
      </c>
      <c r="H1119" t="str">
        <f>IF(F1119="","",IF(F1119&lt;'02_Eingaben'!$C$18*'02_Eingaben'!$C$10,1,0))</f>
        <v/>
      </c>
      <c r="I1119" s="17" t="str">
        <f t="shared" si="17"/>
        <v/>
      </c>
      <c r="J1119" s="17" t="str">
        <f>IF(B1119="","",IF(B1118&lt;'02_Eingaben'!$C$36,0,J1118+I1118/'02_Eingaben'!$C$8))</f>
        <v/>
      </c>
    </row>
    <row r="1120" spans="1:10" x14ac:dyDescent="0.25">
      <c r="A1120" t="str">
        <f>IF('01_Rohdaten'!A1120="","",ROW()-1)</f>
        <v/>
      </c>
      <c r="B1120" s="17" t="str">
        <f>IF('01_Rohdaten'!A1120="","",'01_Rohdaten'!A1120)</f>
        <v/>
      </c>
      <c r="C1120" s="17" t="str">
        <f>IF(B1120="","",INDEX('01_Rohdaten'!B1120:D1120,'02_Eingaben'!$C$13))</f>
        <v/>
      </c>
      <c r="D1120" s="17" t="str">
        <f>IF(C1120="","",C1120*'02_Eingaben'!$C$15)</f>
        <v/>
      </c>
      <c r="E1120" s="17" t="str">
        <f>IF(D1120="","",D1120*'02_Eingaben'!$C$8)</f>
        <v/>
      </c>
      <c r="F1120" s="17" t="str">
        <f>IF(E1120="","",AVERAGE(INDEX($E$2:$E$3001,MAX(1,ROW()-1-'02_Eingaben'!$C$17)):INDEX($E$2:$E$3001,MIN('02_Eingaben'!$C$21,ROW()-1+'02_Eingaben'!$C$17))))</f>
        <v/>
      </c>
      <c r="G1120" s="17" t="str">
        <f>IF(F1120="","",F1120-'02_Eingaben'!$C$10)</f>
        <v/>
      </c>
      <c r="H1120" t="str">
        <f>IF(F1120="","",IF(F1120&lt;'02_Eingaben'!$C$18*'02_Eingaben'!$C$10,1,0))</f>
        <v/>
      </c>
      <c r="I1120" s="17" t="str">
        <f t="shared" si="17"/>
        <v/>
      </c>
      <c r="J1120" s="17" t="str">
        <f>IF(B1120="","",IF(B1119&lt;'02_Eingaben'!$C$36,0,J1119+I1119/'02_Eingaben'!$C$8))</f>
        <v/>
      </c>
    </row>
    <row r="1121" spans="1:10" x14ac:dyDescent="0.25">
      <c r="A1121" t="str">
        <f>IF('01_Rohdaten'!A1121="","",ROW()-1)</f>
        <v/>
      </c>
      <c r="B1121" s="17" t="str">
        <f>IF('01_Rohdaten'!A1121="","",'01_Rohdaten'!A1121)</f>
        <v/>
      </c>
      <c r="C1121" s="17" t="str">
        <f>IF(B1121="","",INDEX('01_Rohdaten'!B1121:D1121,'02_Eingaben'!$C$13))</f>
        <v/>
      </c>
      <c r="D1121" s="17" t="str">
        <f>IF(C1121="","",C1121*'02_Eingaben'!$C$15)</f>
        <v/>
      </c>
      <c r="E1121" s="17" t="str">
        <f>IF(D1121="","",D1121*'02_Eingaben'!$C$8)</f>
        <v/>
      </c>
      <c r="F1121" s="17" t="str">
        <f>IF(E1121="","",AVERAGE(INDEX($E$2:$E$3001,MAX(1,ROW()-1-'02_Eingaben'!$C$17)):INDEX($E$2:$E$3001,MIN('02_Eingaben'!$C$21,ROW()-1+'02_Eingaben'!$C$17))))</f>
        <v/>
      </c>
      <c r="G1121" s="17" t="str">
        <f>IF(F1121="","",F1121-'02_Eingaben'!$C$10)</f>
        <v/>
      </c>
      <c r="H1121" t="str">
        <f>IF(F1121="","",IF(F1121&lt;'02_Eingaben'!$C$18*'02_Eingaben'!$C$10,1,0))</f>
        <v/>
      </c>
      <c r="I1121" s="17" t="str">
        <f t="shared" si="17"/>
        <v/>
      </c>
      <c r="J1121" s="17" t="str">
        <f>IF(B1121="","",IF(B1120&lt;'02_Eingaben'!$C$36,0,J1120+I1120/'02_Eingaben'!$C$8))</f>
        <v/>
      </c>
    </row>
    <row r="1122" spans="1:10" x14ac:dyDescent="0.25">
      <c r="A1122" t="str">
        <f>IF('01_Rohdaten'!A1122="","",ROW()-1)</f>
        <v/>
      </c>
      <c r="B1122" s="17" t="str">
        <f>IF('01_Rohdaten'!A1122="","",'01_Rohdaten'!A1122)</f>
        <v/>
      </c>
      <c r="C1122" s="17" t="str">
        <f>IF(B1122="","",INDEX('01_Rohdaten'!B1122:D1122,'02_Eingaben'!$C$13))</f>
        <v/>
      </c>
      <c r="D1122" s="17" t="str">
        <f>IF(C1122="","",C1122*'02_Eingaben'!$C$15)</f>
        <v/>
      </c>
      <c r="E1122" s="17" t="str">
        <f>IF(D1122="","",D1122*'02_Eingaben'!$C$8)</f>
        <v/>
      </c>
      <c r="F1122" s="17" t="str">
        <f>IF(E1122="","",AVERAGE(INDEX($E$2:$E$3001,MAX(1,ROW()-1-'02_Eingaben'!$C$17)):INDEX($E$2:$E$3001,MIN('02_Eingaben'!$C$21,ROW()-1+'02_Eingaben'!$C$17))))</f>
        <v/>
      </c>
      <c r="G1122" s="17" t="str">
        <f>IF(F1122="","",F1122-'02_Eingaben'!$C$10)</f>
        <v/>
      </c>
      <c r="H1122" t="str">
        <f>IF(F1122="","",IF(F1122&lt;'02_Eingaben'!$C$18*'02_Eingaben'!$C$10,1,0))</f>
        <v/>
      </c>
      <c r="I1122" s="17" t="str">
        <f t="shared" si="17"/>
        <v/>
      </c>
      <c r="J1122" s="17" t="str">
        <f>IF(B1122="","",IF(B1121&lt;'02_Eingaben'!$C$36,0,J1121+I1121/'02_Eingaben'!$C$8))</f>
        <v/>
      </c>
    </row>
    <row r="1123" spans="1:10" x14ac:dyDescent="0.25">
      <c r="A1123" t="str">
        <f>IF('01_Rohdaten'!A1123="","",ROW()-1)</f>
        <v/>
      </c>
      <c r="B1123" s="17" t="str">
        <f>IF('01_Rohdaten'!A1123="","",'01_Rohdaten'!A1123)</f>
        <v/>
      </c>
      <c r="C1123" s="17" t="str">
        <f>IF(B1123="","",INDEX('01_Rohdaten'!B1123:D1123,'02_Eingaben'!$C$13))</f>
        <v/>
      </c>
      <c r="D1123" s="17" t="str">
        <f>IF(C1123="","",C1123*'02_Eingaben'!$C$15)</f>
        <v/>
      </c>
      <c r="E1123" s="17" t="str">
        <f>IF(D1123="","",D1123*'02_Eingaben'!$C$8)</f>
        <v/>
      </c>
      <c r="F1123" s="17" t="str">
        <f>IF(E1123="","",AVERAGE(INDEX($E$2:$E$3001,MAX(1,ROW()-1-'02_Eingaben'!$C$17)):INDEX($E$2:$E$3001,MIN('02_Eingaben'!$C$21,ROW()-1+'02_Eingaben'!$C$17))))</f>
        <v/>
      </c>
      <c r="G1123" s="17" t="str">
        <f>IF(F1123="","",F1123-'02_Eingaben'!$C$10)</f>
        <v/>
      </c>
      <c r="H1123" t="str">
        <f>IF(F1123="","",IF(F1123&lt;'02_Eingaben'!$C$18*'02_Eingaben'!$C$10,1,0))</f>
        <v/>
      </c>
      <c r="I1123" s="17" t="str">
        <f t="shared" si="17"/>
        <v/>
      </c>
      <c r="J1123" s="17" t="str">
        <f>IF(B1123="","",IF(B1122&lt;'02_Eingaben'!$C$36,0,J1122+I1122/'02_Eingaben'!$C$8))</f>
        <v/>
      </c>
    </row>
    <row r="1124" spans="1:10" x14ac:dyDescent="0.25">
      <c r="A1124" t="str">
        <f>IF('01_Rohdaten'!A1124="","",ROW()-1)</f>
        <v/>
      </c>
      <c r="B1124" s="17" t="str">
        <f>IF('01_Rohdaten'!A1124="","",'01_Rohdaten'!A1124)</f>
        <v/>
      </c>
      <c r="C1124" s="17" t="str">
        <f>IF(B1124="","",INDEX('01_Rohdaten'!B1124:D1124,'02_Eingaben'!$C$13))</f>
        <v/>
      </c>
      <c r="D1124" s="17" t="str">
        <f>IF(C1124="","",C1124*'02_Eingaben'!$C$15)</f>
        <v/>
      </c>
      <c r="E1124" s="17" t="str">
        <f>IF(D1124="","",D1124*'02_Eingaben'!$C$8)</f>
        <v/>
      </c>
      <c r="F1124" s="17" t="str">
        <f>IF(E1124="","",AVERAGE(INDEX($E$2:$E$3001,MAX(1,ROW()-1-'02_Eingaben'!$C$17)):INDEX($E$2:$E$3001,MIN('02_Eingaben'!$C$21,ROW()-1+'02_Eingaben'!$C$17))))</f>
        <v/>
      </c>
      <c r="G1124" s="17" t="str">
        <f>IF(F1124="","",F1124-'02_Eingaben'!$C$10)</f>
        <v/>
      </c>
      <c r="H1124" t="str">
        <f>IF(F1124="","",IF(F1124&lt;'02_Eingaben'!$C$18*'02_Eingaben'!$C$10,1,0))</f>
        <v/>
      </c>
      <c r="I1124" s="17" t="str">
        <f t="shared" si="17"/>
        <v/>
      </c>
      <c r="J1124" s="17" t="str">
        <f>IF(B1124="","",IF(B1123&lt;'02_Eingaben'!$C$36,0,J1123+I1123/'02_Eingaben'!$C$8))</f>
        <v/>
      </c>
    </row>
    <row r="1125" spans="1:10" x14ac:dyDescent="0.25">
      <c r="A1125" t="str">
        <f>IF('01_Rohdaten'!A1125="","",ROW()-1)</f>
        <v/>
      </c>
      <c r="B1125" s="17" t="str">
        <f>IF('01_Rohdaten'!A1125="","",'01_Rohdaten'!A1125)</f>
        <v/>
      </c>
      <c r="C1125" s="17" t="str">
        <f>IF(B1125="","",INDEX('01_Rohdaten'!B1125:D1125,'02_Eingaben'!$C$13))</f>
        <v/>
      </c>
      <c r="D1125" s="17" t="str">
        <f>IF(C1125="","",C1125*'02_Eingaben'!$C$15)</f>
        <v/>
      </c>
      <c r="E1125" s="17" t="str">
        <f>IF(D1125="","",D1125*'02_Eingaben'!$C$8)</f>
        <v/>
      </c>
      <c r="F1125" s="17" t="str">
        <f>IF(E1125="","",AVERAGE(INDEX($E$2:$E$3001,MAX(1,ROW()-1-'02_Eingaben'!$C$17)):INDEX($E$2:$E$3001,MIN('02_Eingaben'!$C$21,ROW()-1+'02_Eingaben'!$C$17))))</f>
        <v/>
      </c>
      <c r="G1125" s="17" t="str">
        <f>IF(F1125="","",F1125-'02_Eingaben'!$C$10)</f>
        <v/>
      </c>
      <c r="H1125" t="str">
        <f>IF(F1125="","",IF(F1125&lt;'02_Eingaben'!$C$18*'02_Eingaben'!$C$10,1,0))</f>
        <v/>
      </c>
      <c r="I1125" s="17" t="str">
        <f t="shared" si="17"/>
        <v/>
      </c>
      <c r="J1125" s="17" t="str">
        <f>IF(B1125="","",IF(B1124&lt;'02_Eingaben'!$C$36,0,J1124+I1124/'02_Eingaben'!$C$8))</f>
        <v/>
      </c>
    </row>
    <row r="1126" spans="1:10" x14ac:dyDescent="0.25">
      <c r="A1126" t="str">
        <f>IF('01_Rohdaten'!A1126="","",ROW()-1)</f>
        <v/>
      </c>
      <c r="B1126" s="17" t="str">
        <f>IF('01_Rohdaten'!A1126="","",'01_Rohdaten'!A1126)</f>
        <v/>
      </c>
      <c r="C1126" s="17" t="str">
        <f>IF(B1126="","",INDEX('01_Rohdaten'!B1126:D1126,'02_Eingaben'!$C$13))</f>
        <v/>
      </c>
      <c r="D1126" s="17" t="str">
        <f>IF(C1126="","",C1126*'02_Eingaben'!$C$15)</f>
        <v/>
      </c>
      <c r="E1126" s="17" t="str">
        <f>IF(D1126="","",D1126*'02_Eingaben'!$C$8)</f>
        <v/>
      </c>
      <c r="F1126" s="17" t="str">
        <f>IF(E1126="","",AVERAGE(INDEX($E$2:$E$3001,MAX(1,ROW()-1-'02_Eingaben'!$C$17)):INDEX($E$2:$E$3001,MIN('02_Eingaben'!$C$21,ROW()-1+'02_Eingaben'!$C$17))))</f>
        <v/>
      </c>
      <c r="G1126" s="17" t="str">
        <f>IF(F1126="","",F1126-'02_Eingaben'!$C$10)</f>
        <v/>
      </c>
      <c r="H1126" t="str">
        <f>IF(F1126="","",IF(F1126&lt;'02_Eingaben'!$C$18*'02_Eingaben'!$C$10,1,0))</f>
        <v/>
      </c>
      <c r="I1126" s="17" t="str">
        <f t="shared" si="17"/>
        <v/>
      </c>
      <c r="J1126" s="17" t="str">
        <f>IF(B1126="","",IF(B1125&lt;'02_Eingaben'!$C$36,0,J1125+I1125/'02_Eingaben'!$C$8))</f>
        <v/>
      </c>
    </row>
    <row r="1127" spans="1:10" x14ac:dyDescent="0.25">
      <c r="A1127" t="str">
        <f>IF('01_Rohdaten'!A1127="","",ROW()-1)</f>
        <v/>
      </c>
      <c r="B1127" s="17" t="str">
        <f>IF('01_Rohdaten'!A1127="","",'01_Rohdaten'!A1127)</f>
        <v/>
      </c>
      <c r="C1127" s="17" t="str">
        <f>IF(B1127="","",INDEX('01_Rohdaten'!B1127:D1127,'02_Eingaben'!$C$13))</f>
        <v/>
      </c>
      <c r="D1127" s="17" t="str">
        <f>IF(C1127="","",C1127*'02_Eingaben'!$C$15)</f>
        <v/>
      </c>
      <c r="E1127" s="17" t="str">
        <f>IF(D1127="","",D1127*'02_Eingaben'!$C$8)</f>
        <v/>
      </c>
      <c r="F1127" s="17" t="str">
        <f>IF(E1127="","",AVERAGE(INDEX($E$2:$E$3001,MAX(1,ROW()-1-'02_Eingaben'!$C$17)):INDEX($E$2:$E$3001,MIN('02_Eingaben'!$C$21,ROW()-1+'02_Eingaben'!$C$17))))</f>
        <v/>
      </c>
      <c r="G1127" s="17" t="str">
        <f>IF(F1127="","",F1127-'02_Eingaben'!$C$10)</f>
        <v/>
      </c>
      <c r="H1127" t="str">
        <f>IF(F1127="","",IF(F1127&lt;'02_Eingaben'!$C$18*'02_Eingaben'!$C$10,1,0))</f>
        <v/>
      </c>
      <c r="I1127" s="17" t="str">
        <f t="shared" si="17"/>
        <v/>
      </c>
      <c r="J1127" s="17" t="str">
        <f>IF(B1127="","",IF(B1126&lt;'02_Eingaben'!$C$36,0,J1126+I1126/'02_Eingaben'!$C$8))</f>
        <v/>
      </c>
    </row>
    <row r="1128" spans="1:10" x14ac:dyDescent="0.25">
      <c r="A1128" t="str">
        <f>IF('01_Rohdaten'!A1128="","",ROW()-1)</f>
        <v/>
      </c>
      <c r="B1128" s="17" t="str">
        <f>IF('01_Rohdaten'!A1128="","",'01_Rohdaten'!A1128)</f>
        <v/>
      </c>
      <c r="C1128" s="17" t="str">
        <f>IF(B1128="","",INDEX('01_Rohdaten'!B1128:D1128,'02_Eingaben'!$C$13))</f>
        <v/>
      </c>
      <c r="D1128" s="17" t="str">
        <f>IF(C1128="","",C1128*'02_Eingaben'!$C$15)</f>
        <v/>
      </c>
      <c r="E1128" s="17" t="str">
        <f>IF(D1128="","",D1128*'02_Eingaben'!$C$8)</f>
        <v/>
      </c>
      <c r="F1128" s="17" t="str">
        <f>IF(E1128="","",AVERAGE(INDEX($E$2:$E$3001,MAX(1,ROW()-1-'02_Eingaben'!$C$17)):INDEX($E$2:$E$3001,MIN('02_Eingaben'!$C$21,ROW()-1+'02_Eingaben'!$C$17))))</f>
        <v/>
      </c>
      <c r="G1128" s="17" t="str">
        <f>IF(F1128="","",F1128-'02_Eingaben'!$C$10)</f>
        <v/>
      </c>
      <c r="H1128" t="str">
        <f>IF(F1128="","",IF(F1128&lt;'02_Eingaben'!$C$18*'02_Eingaben'!$C$10,1,0))</f>
        <v/>
      </c>
      <c r="I1128" s="17" t="str">
        <f t="shared" si="17"/>
        <v/>
      </c>
      <c r="J1128" s="17" t="str">
        <f>IF(B1128="","",IF(B1127&lt;'02_Eingaben'!$C$36,0,J1127+I1127/'02_Eingaben'!$C$8))</f>
        <v/>
      </c>
    </row>
    <row r="1129" spans="1:10" x14ac:dyDescent="0.25">
      <c r="A1129" t="str">
        <f>IF('01_Rohdaten'!A1129="","",ROW()-1)</f>
        <v/>
      </c>
      <c r="B1129" s="17" t="str">
        <f>IF('01_Rohdaten'!A1129="","",'01_Rohdaten'!A1129)</f>
        <v/>
      </c>
      <c r="C1129" s="17" t="str">
        <f>IF(B1129="","",INDEX('01_Rohdaten'!B1129:D1129,'02_Eingaben'!$C$13))</f>
        <v/>
      </c>
      <c r="D1129" s="17" t="str">
        <f>IF(C1129="","",C1129*'02_Eingaben'!$C$15)</f>
        <v/>
      </c>
      <c r="E1129" s="17" t="str">
        <f>IF(D1129="","",D1129*'02_Eingaben'!$C$8)</f>
        <v/>
      </c>
      <c r="F1129" s="17" t="str">
        <f>IF(E1129="","",AVERAGE(INDEX($E$2:$E$3001,MAX(1,ROW()-1-'02_Eingaben'!$C$17)):INDEX($E$2:$E$3001,MIN('02_Eingaben'!$C$21,ROW()-1+'02_Eingaben'!$C$17))))</f>
        <v/>
      </c>
      <c r="G1129" s="17" t="str">
        <f>IF(F1129="","",F1129-'02_Eingaben'!$C$10)</f>
        <v/>
      </c>
      <c r="H1129" t="str">
        <f>IF(F1129="","",IF(F1129&lt;'02_Eingaben'!$C$18*'02_Eingaben'!$C$10,1,0))</f>
        <v/>
      </c>
      <c r="I1129" s="17" t="str">
        <f t="shared" si="17"/>
        <v/>
      </c>
      <c r="J1129" s="17" t="str">
        <f>IF(B1129="","",IF(B1128&lt;'02_Eingaben'!$C$36,0,J1128+I1128/'02_Eingaben'!$C$8))</f>
        <v/>
      </c>
    </row>
    <row r="1130" spans="1:10" x14ac:dyDescent="0.25">
      <c r="A1130" t="str">
        <f>IF('01_Rohdaten'!A1130="","",ROW()-1)</f>
        <v/>
      </c>
      <c r="B1130" s="17" t="str">
        <f>IF('01_Rohdaten'!A1130="","",'01_Rohdaten'!A1130)</f>
        <v/>
      </c>
      <c r="C1130" s="17" t="str">
        <f>IF(B1130="","",INDEX('01_Rohdaten'!B1130:D1130,'02_Eingaben'!$C$13))</f>
        <v/>
      </c>
      <c r="D1130" s="17" t="str">
        <f>IF(C1130="","",C1130*'02_Eingaben'!$C$15)</f>
        <v/>
      </c>
      <c r="E1130" s="17" t="str">
        <f>IF(D1130="","",D1130*'02_Eingaben'!$C$8)</f>
        <v/>
      </c>
      <c r="F1130" s="17" t="str">
        <f>IF(E1130="","",AVERAGE(INDEX($E$2:$E$3001,MAX(1,ROW()-1-'02_Eingaben'!$C$17)):INDEX($E$2:$E$3001,MIN('02_Eingaben'!$C$21,ROW()-1+'02_Eingaben'!$C$17))))</f>
        <v/>
      </c>
      <c r="G1130" s="17" t="str">
        <f>IF(F1130="","",F1130-'02_Eingaben'!$C$10)</f>
        <v/>
      </c>
      <c r="H1130" t="str">
        <f>IF(F1130="","",IF(F1130&lt;'02_Eingaben'!$C$18*'02_Eingaben'!$C$10,1,0))</f>
        <v/>
      </c>
      <c r="I1130" s="17" t="str">
        <f t="shared" si="17"/>
        <v/>
      </c>
      <c r="J1130" s="17" t="str">
        <f>IF(B1130="","",IF(B1129&lt;'02_Eingaben'!$C$36,0,J1129+I1129/'02_Eingaben'!$C$8))</f>
        <v/>
      </c>
    </row>
    <row r="1131" spans="1:10" x14ac:dyDescent="0.25">
      <c r="A1131" t="str">
        <f>IF('01_Rohdaten'!A1131="","",ROW()-1)</f>
        <v/>
      </c>
      <c r="B1131" s="17" t="str">
        <f>IF('01_Rohdaten'!A1131="","",'01_Rohdaten'!A1131)</f>
        <v/>
      </c>
      <c r="C1131" s="17" t="str">
        <f>IF(B1131="","",INDEX('01_Rohdaten'!B1131:D1131,'02_Eingaben'!$C$13))</f>
        <v/>
      </c>
      <c r="D1131" s="17" t="str">
        <f>IF(C1131="","",C1131*'02_Eingaben'!$C$15)</f>
        <v/>
      </c>
      <c r="E1131" s="17" t="str">
        <f>IF(D1131="","",D1131*'02_Eingaben'!$C$8)</f>
        <v/>
      </c>
      <c r="F1131" s="17" t="str">
        <f>IF(E1131="","",AVERAGE(INDEX($E$2:$E$3001,MAX(1,ROW()-1-'02_Eingaben'!$C$17)):INDEX($E$2:$E$3001,MIN('02_Eingaben'!$C$21,ROW()-1+'02_Eingaben'!$C$17))))</f>
        <v/>
      </c>
      <c r="G1131" s="17" t="str">
        <f>IF(F1131="","",F1131-'02_Eingaben'!$C$10)</f>
        <v/>
      </c>
      <c r="H1131" t="str">
        <f>IF(F1131="","",IF(F1131&lt;'02_Eingaben'!$C$18*'02_Eingaben'!$C$10,1,0))</f>
        <v/>
      </c>
      <c r="I1131" s="17" t="str">
        <f t="shared" si="17"/>
        <v/>
      </c>
      <c r="J1131" s="17" t="str">
        <f>IF(B1131="","",IF(B1130&lt;'02_Eingaben'!$C$36,0,J1130+I1130/'02_Eingaben'!$C$8))</f>
        <v/>
      </c>
    </row>
    <row r="1132" spans="1:10" x14ac:dyDescent="0.25">
      <c r="A1132" t="str">
        <f>IF('01_Rohdaten'!A1132="","",ROW()-1)</f>
        <v/>
      </c>
      <c r="B1132" s="17" t="str">
        <f>IF('01_Rohdaten'!A1132="","",'01_Rohdaten'!A1132)</f>
        <v/>
      </c>
      <c r="C1132" s="17" t="str">
        <f>IF(B1132="","",INDEX('01_Rohdaten'!B1132:D1132,'02_Eingaben'!$C$13))</f>
        <v/>
      </c>
      <c r="D1132" s="17" t="str">
        <f>IF(C1132="","",C1132*'02_Eingaben'!$C$15)</f>
        <v/>
      </c>
      <c r="E1132" s="17" t="str">
        <f>IF(D1132="","",D1132*'02_Eingaben'!$C$8)</f>
        <v/>
      </c>
      <c r="F1132" s="17" t="str">
        <f>IF(E1132="","",AVERAGE(INDEX($E$2:$E$3001,MAX(1,ROW()-1-'02_Eingaben'!$C$17)):INDEX($E$2:$E$3001,MIN('02_Eingaben'!$C$21,ROW()-1+'02_Eingaben'!$C$17))))</f>
        <v/>
      </c>
      <c r="G1132" s="17" t="str">
        <f>IF(F1132="","",F1132-'02_Eingaben'!$C$10)</f>
        <v/>
      </c>
      <c r="H1132" t="str">
        <f>IF(F1132="","",IF(F1132&lt;'02_Eingaben'!$C$18*'02_Eingaben'!$C$10,1,0))</f>
        <v/>
      </c>
      <c r="I1132" s="17" t="str">
        <f t="shared" si="17"/>
        <v/>
      </c>
      <c r="J1132" s="17" t="str">
        <f>IF(B1132="","",IF(B1131&lt;'02_Eingaben'!$C$36,0,J1131+I1131/'02_Eingaben'!$C$8))</f>
        <v/>
      </c>
    </row>
    <row r="1133" spans="1:10" x14ac:dyDescent="0.25">
      <c r="A1133" t="str">
        <f>IF('01_Rohdaten'!A1133="","",ROW()-1)</f>
        <v/>
      </c>
      <c r="B1133" s="17" t="str">
        <f>IF('01_Rohdaten'!A1133="","",'01_Rohdaten'!A1133)</f>
        <v/>
      </c>
      <c r="C1133" s="17" t="str">
        <f>IF(B1133="","",INDEX('01_Rohdaten'!B1133:D1133,'02_Eingaben'!$C$13))</f>
        <v/>
      </c>
      <c r="D1133" s="17" t="str">
        <f>IF(C1133="","",C1133*'02_Eingaben'!$C$15)</f>
        <v/>
      </c>
      <c r="E1133" s="17" t="str">
        <f>IF(D1133="","",D1133*'02_Eingaben'!$C$8)</f>
        <v/>
      </c>
      <c r="F1133" s="17" t="str">
        <f>IF(E1133="","",AVERAGE(INDEX($E$2:$E$3001,MAX(1,ROW()-1-'02_Eingaben'!$C$17)):INDEX($E$2:$E$3001,MIN('02_Eingaben'!$C$21,ROW()-1+'02_Eingaben'!$C$17))))</f>
        <v/>
      </c>
      <c r="G1133" s="17" t="str">
        <f>IF(F1133="","",F1133-'02_Eingaben'!$C$10)</f>
        <v/>
      </c>
      <c r="H1133" t="str">
        <f>IF(F1133="","",IF(F1133&lt;'02_Eingaben'!$C$18*'02_Eingaben'!$C$10,1,0))</f>
        <v/>
      </c>
      <c r="I1133" s="17" t="str">
        <f t="shared" si="17"/>
        <v/>
      </c>
      <c r="J1133" s="17" t="str">
        <f>IF(B1133="","",IF(B1132&lt;'02_Eingaben'!$C$36,0,J1132+I1132/'02_Eingaben'!$C$8))</f>
        <v/>
      </c>
    </row>
    <row r="1134" spans="1:10" x14ac:dyDescent="0.25">
      <c r="A1134" t="str">
        <f>IF('01_Rohdaten'!A1134="","",ROW()-1)</f>
        <v/>
      </c>
      <c r="B1134" s="17" t="str">
        <f>IF('01_Rohdaten'!A1134="","",'01_Rohdaten'!A1134)</f>
        <v/>
      </c>
      <c r="C1134" s="17" t="str">
        <f>IF(B1134="","",INDEX('01_Rohdaten'!B1134:D1134,'02_Eingaben'!$C$13))</f>
        <v/>
      </c>
      <c r="D1134" s="17" t="str">
        <f>IF(C1134="","",C1134*'02_Eingaben'!$C$15)</f>
        <v/>
      </c>
      <c r="E1134" s="17" t="str">
        <f>IF(D1134="","",D1134*'02_Eingaben'!$C$8)</f>
        <v/>
      </c>
      <c r="F1134" s="17" t="str">
        <f>IF(E1134="","",AVERAGE(INDEX($E$2:$E$3001,MAX(1,ROW()-1-'02_Eingaben'!$C$17)):INDEX($E$2:$E$3001,MIN('02_Eingaben'!$C$21,ROW()-1+'02_Eingaben'!$C$17))))</f>
        <v/>
      </c>
      <c r="G1134" s="17" t="str">
        <f>IF(F1134="","",F1134-'02_Eingaben'!$C$10)</f>
        <v/>
      </c>
      <c r="H1134" t="str">
        <f>IF(F1134="","",IF(F1134&lt;'02_Eingaben'!$C$18*'02_Eingaben'!$C$10,1,0))</f>
        <v/>
      </c>
      <c r="I1134" s="17" t="str">
        <f t="shared" si="17"/>
        <v/>
      </c>
      <c r="J1134" s="17" t="str">
        <f>IF(B1134="","",IF(B1133&lt;'02_Eingaben'!$C$36,0,J1133+I1133/'02_Eingaben'!$C$8))</f>
        <v/>
      </c>
    </row>
    <row r="1135" spans="1:10" x14ac:dyDescent="0.25">
      <c r="A1135" t="str">
        <f>IF('01_Rohdaten'!A1135="","",ROW()-1)</f>
        <v/>
      </c>
      <c r="B1135" s="17" t="str">
        <f>IF('01_Rohdaten'!A1135="","",'01_Rohdaten'!A1135)</f>
        <v/>
      </c>
      <c r="C1135" s="17" t="str">
        <f>IF(B1135="","",INDEX('01_Rohdaten'!B1135:D1135,'02_Eingaben'!$C$13))</f>
        <v/>
      </c>
      <c r="D1135" s="17" t="str">
        <f>IF(C1135="","",C1135*'02_Eingaben'!$C$15)</f>
        <v/>
      </c>
      <c r="E1135" s="17" t="str">
        <f>IF(D1135="","",D1135*'02_Eingaben'!$C$8)</f>
        <v/>
      </c>
      <c r="F1135" s="17" t="str">
        <f>IF(E1135="","",AVERAGE(INDEX($E$2:$E$3001,MAX(1,ROW()-1-'02_Eingaben'!$C$17)):INDEX($E$2:$E$3001,MIN('02_Eingaben'!$C$21,ROW()-1+'02_Eingaben'!$C$17))))</f>
        <v/>
      </c>
      <c r="G1135" s="17" t="str">
        <f>IF(F1135="","",F1135-'02_Eingaben'!$C$10)</f>
        <v/>
      </c>
      <c r="H1135" t="str">
        <f>IF(F1135="","",IF(F1135&lt;'02_Eingaben'!$C$18*'02_Eingaben'!$C$10,1,0))</f>
        <v/>
      </c>
      <c r="I1135" s="17" t="str">
        <f t="shared" si="17"/>
        <v/>
      </c>
      <c r="J1135" s="17" t="str">
        <f>IF(B1135="","",IF(B1134&lt;'02_Eingaben'!$C$36,0,J1134+I1134/'02_Eingaben'!$C$8))</f>
        <v/>
      </c>
    </row>
    <row r="1136" spans="1:10" x14ac:dyDescent="0.25">
      <c r="A1136" t="str">
        <f>IF('01_Rohdaten'!A1136="","",ROW()-1)</f>
        <v/>
      </c>
      <c r="B1136" s="17" t="str">
        <f>IF('01_Rohdaten'!A1136="","",'01_Rohdaten'!A1136)</f>
        <v/>
      </c>
      <c r="C1136" s="17" t="str">
        <f>IF(B1136="","",INDEX('01_Rohdaten'!B1136:D1136,'02_Eingaben'!$C$13))</f>
        <v/>
      </c>
      <c r="D1136" s="17" t="str">
        <f>IF(C1136="","",C1136*'02_Eingaben'!$C$15)</f>
        <v/>
      </c>
      <c r="E1136" s="17" t="str">
        <f>IF(D1136="","",D1136*'02_Eingaben'!$C$8)</f>
        <v/>
      </c>
      <c r="F1136" s="17" t="str">
        <f>IF(E1136="","",AVERAGE(INDEX($E$2:$E$3001,MAX(1,ROW()-1-'02_Eingaben'!$C$17)):INDEX($E$2:$E$3001,MIN('02_Eingaben'!$C$21,ROW()-1+'02_Eingaben'!$C$17))))</f>
        <v/>
      </c>
      <c r="G1136" s="17" t="str">
        <f>IF(F1136="","",F1136-'02_Eingaben'!$C$10)</f>
        <v/>
      </c>
      <c r="H1136" t="str">
        <f>IF(F1136="","",IF(F1136&lt;'02_Eingaben'!$C$18*'02_Eingaben'!$C$10,1,0))</f>
        <v/>
      </c>
      <c r="I1136" s="17" t="str">
        <f t="shared" si="17"/>
        <v/>
      </c>
      <c r="J1136" s="17" t="str">
        <f>IF(B1136="","",IF(B1135&lt;'02_Eingaben'!$C$36,0,J1135+I1135/'02_Eingaben'!$C$8))</f>
        <v/>
      </c>
    </row>
    <row r="1137" spans="1:10" x14ac:dyDescent="0.25">
      <c r="A1137" t="str">
        <f>IF('01_Rohdaten'!A1137="","",ROW()-1)</f>
        <v/>
      </c>
      <c r="B1137" s="17" t="str">
        <f>IF('01_Rohdaten'!A1137="","",'01_Rohdaten'!A1137)</f>
        <v/>
      </c>
      <c r="C1137" s="17" t="str">
        <f>IF(B1137="","",INDEX('01_Rohdaten'!B1137:D1137,'02_Eingaben'!$C$13))</f>
        <v/>
      </c>
      <c r="D1137" s="17" t="str">
        <f>IF(C1137="","",C1137*'02_Eingaben'!$C$15)</f>
        <v/>
      </c>
      <c r="E1137" s="17" t="str">
        <f>IF(D1137="","",D1137*'02_Eingaben'!$C$8)</f>
        <v/>
      </c>
      <c r="F1137" s="17" t="str">
        <f>IF(E1137="","",AVERAGE(INDEX($E$2:$E$3001,MAX(1,ROW()-1-'02_Eingaben'!$C$17)):INDEX($E$2:$E$3001,MIN('02_Eingaben'!$C$21,ROW()-1+'02_Eingaben'!$C$17))))</f>
        <v/>
      </c>
      <c r="G1137" s="17" t="str">
        <f>IF(F1137="","",F1137-'02_Eingaben'!$C$10)</f>
        <v/>
      </c>
      <c r="H1137" t="str">
        <f>IF(F1137="","",IF(F1137&lt;'02_Eingaben'!$C$18*'02_Eingaben'!$C$10,1,0))</f>
        <v/>
      </c>
      <c r="I1137" s="17" t="str">
        <f t="shared" si="17"/>
        <v/>
      </c>
      <c r="J1137" s="17" t="str">
        <f>IF(B1137="","",IF(B1136&lt;'02_Eingaben'!$C$36,0,J1136+I1136/'02_Eingaben'!$C$8))</f>
        <v/>
      </c>
    </row>
    <row r="1138" spans="1:10" x14ac:dyDescent="0.25">
      <c r="A1138" t="str">
        <f>IF('01_Rohdaten'!A1138="","",ROW()-1)</f>
        <v/>
      </c>
      <c r="B1138" s="17" t="str">
        <f>IF('01_Rohdaten'!A1138="","",'01_Rohdaten'!A1138)</f>
        <v/>
      </c>
      <c r="C1138" s="17" t="str">
        <f>IF(B1138="","",INDEX('01_Rohdaten'!B1138:D1138,'02_Eingaben'!$C$13))</f>
        <v/>
      </c>
      <c r="D1138" s="17" t="str">
        <f>IF(C1138="","",C1138*'02_Eingaben'!$C$15)</f>
        <v/>
      </c>
      <c r="E1138" s="17" t="str">
        <f>IF(D1138="","",D1138*'02_Eingaben'!$C$8)</f>
        <v/>
      </c>
      <c r="F1138" s="17" t="str">
        <f>IF(E1138="","",AVERAGE(INDEX($E$2:$E$3001,MAX(1,ROW()-1-'02_Eingaben'!$C$17)):INDEX($E$2:$E$3001,MIN('02_Eingaben'!$C$21,ROW()-1+'02_Eingaben'!$C$17))))</f>
        <v/>
      </c>
      <c r="G1138" s="17" t="str">
        <f>IF(F1138="","",F1138-'02_Eingaben'!$C$10)</f>
        <v/>
      </c>
      <c r="H1138" t="str">
        <f>IF(F1138="","",IF(F1138&lt;'02_Eingaben'!$C$18*'02_Eingaben'!$C$10,1,0))</f>
        <v/>
      </c>
      <c r="I1138" s="17" t="str">
        <f t="shared" si="17"/>
        <v/>
      </c>
      <c r="J1138" s="17" t="str">
        <f>IF(B1138="","",IF(B1137&lt;'02_Eingaben'!$C$36,0,J1137+I1137/'02_Eingaben'!$C$8))</f>
        <v/>
      </c>
    </row>
    <row r="1139" spans="1:10" x14ac:dyDescent="0.25">
      <c r="A1139" t="str">
        <f>IF('01_Rohdaten'!A1139="","",ROW()-1)</f>
        <v/>
      </c>
      <c r="B1139" s="17" t="str">
        <f>IF('01_Rohdaten'!A1139="","",'01_Rohdaten'!A1139)</f>
        <v/>
      </c>
      <c r="C1139" s="17" t="str">
        <f>IF(B1139="","",INDEX('01_Rohdaten'!B1139:D1139,'02_Eingaben'!$C$13))</f>
        <v/>
      </c>
      <c r="D1139" s="17" t="str">
        <f>IF(C1139="","",C1139*'02_Eingaben'!$C$15)</f>
        <v/>
      </c>
      <c r="E1139" s="17" t="str">
        <f>IF(D1139="","",D1139*'02_Eingaben'!$C$8)</f>
        <v/>
      </c>
      <c r="F1139" s="17" t="str">
        <f>IF(E1139="","",AVERAGE(INDEX($E$2:$E$3001,MAX(1,ROW()-1-'02_Eingaben'!$C$17)):INDEX($E$2:$E$3001,MIN('02_Eingaben'!$C$21,ROW()-1+'02_Eingaben'!$C$17))))</f>
        <v/>
      </c>
      <c r="G1139" s="17" t="str">
        <f>IF(F1139="","",F1139-'02_Eingaben'!$C$10)</f>
        <v/>
      </c>
      <c r="H1139" t="str">
        <f>IF(F1139="","",IF(F1139&lt;'02_Eingaben'!$C$18*'02_Eingaben'!$C$10,1,0))</f>
        <v/>
      </c>
      <c r="I1139" s="17" t="str">
        <f t="shared" si="17"/>
        <v/>
      </c>
      <c r="J1139" s="17" t="str">
        <f>IF(B1139="","",IF(B1138&lt;'02_Eingaben'!$C$36,0,J1138+I1138/'02_Eingaben'!$C$8))</f>
        <v/>
      </c>
    </row>
    <row r="1140" spans="1:10" x14ac:dyDescent="0.25">
      <c r="A1140" t="str">
        <f>IF('01_Rohdaten'!A1140="","",ROW()-1)</f>
        <v/>
      </c>
      <c r="B1140" s="17" t="str">
        <f>IF('01_Rohdaten'!A1140="","",'01_Rohdaten'!A1140)</f>
        <v/>
      </c>
      <c r="C1140" s="17" t="str">
        <f>IF(B1140="","",INDEX('01_Rohdaten'!B1140:D1140,'02_Eingaben'!$C$13))</f>
        <v/>
      </c>
      <c r="D1140" s="17" t="str">
        <f>IF(C1140="","",C1140*'02_Eingaben'!$C$15)</f>
        <v/>
      </c>
      <c r="E1140" s="17" t="str">
        <f>IF(D1140="","",D1140*'02_Eingaben'!$C$8)</f>
        <v/>
      </c>
      <c r="F1140" s="17" t="str">
        <f>IF(E1140="","",AVERAGE(INDEX($E$2:$E$3001,MAX(1,ROW()-1-'02_Eingaben'!$C$17)):INDEX($E$2:$E$3001,MIN('02_Eingaben'!$C$21,ROW()-1+'02_Eingaben'!$C$17))))</f>
        <v/>
      </c>
      <c r="G1140" s="17" t="str">
        <f>IF(F1140="","",F1140-'02_Eingaben'!$C$10)</f>
        <v/>
      </c>
      <c r="H1140" t="str">
        <f>IF(F1140="","",IF(F1140&lt;'02_Eingaben'!$C$18*'02_Eingaben'!$C$10,1,0))</f>
        <v/>
      </c>
      <c r="I1140" s="17" t="str">
        <f t="shared" si="17"/>
        <v/>
      </c>
      <c r="J1140" s="17" t="str">
        <f>IF(B1140="","",IF(B1139&lt;'02_Eingaben'!$C$36,0,J1139+I1139/'02_Eingaben'!$C$8))</f>
        <v/>
      </c>
    </row>
    <row r="1141" spans="1:10" x14ac:dyDescent="0.25">
      <c r="A1141" t="str">
        <f>IF('01_Rohdaten'!A1141="","",ROW()-1)</f>
        <v/>
      </c>
      <c r="B1141" s="17" t="str">
        <f>IF('01_Rohdaten'!A1141="","",'01_Rohdaten'!A1141)</f>
        <v/>
      </c>
      <c r="C1141" s="17" t="str">
        <f>IF(B1141="","",INDEX('01_Rohdaten'!B1141:D1141,'02_Eingaben'!$C$13))</f>
        <v/>
      </c>
      <c r="D1141" s="17" t="str">
        <f>IF(C1141="","",C1141*'02_Eingaben'!$C$15)</f>
        <v/>
      </c>
      <c r="E1141" s="17" t="str">
        <f>IF(D1141="","",D1141*'02_Eingaben'!$C$8)</f>
        <v/>
      </c>
      <c r="F1141" s="17" t="str">
        <f>IF(E1141="","",AVERAGE(INDEX($E$2:$E$3001,MAX(1,ROW()-1-'02_Eingaben'!$C$17)):INDEX($E$2:$E$3001,MIN('02_Eingaben'!$C$21,ROW()-1+'02_Eingaben'!$C$17))))</f>
        <v/>
      </c>
      <c r="G1141" s="17" t="str">
        <f>IF(F1141="","",F1141-'02_Eingaben'!$C$10)</f>
        <v/>
      </c>
      <c r="H1141" t="str">
        <f>IF(F1141="","",IF(F1141&lt;'02_Eingaben'!$C$18*'02_Eingaben'!$C$10,1,0))</f>
        <v/>
      </c>
      <c r="I1141" s="17" t="str">
        <f t="shared" si="17"/>
        <v/>
      </c>
      <c r="J1141" s="17" t="str">
        <f>IF(B1141="","",IF(B1140&lt;'02_Eingaben'!$C$36,0,J1140+I1140/'02_Eingaben'!$C$8))</f>
        <v/>
      </c>
    </row>
    <row r="1142" spans="1:10" x14ac:dyDescent="0.25">
      <c r="A1142" t="str">
        <f>IF('01_Rohdaten'!A1142="","",ROW()-1)</f>
        <v/>
      </c>
      <c r="B1142" s="17" t="str">
        <f>IF('01_Rohdaten'!A1142="","",'01_Rohdaten'!A1142)</f>
        <v/>
      </c>
      <c r="C1142" s="17" t="str">
        <f>IF(B1142="","",INDEX('01_Rohdaten'!B1142:D1142,'02_Eingaben'!$C$13))</f>
        <v/>
      </c>
      <c r="D1142" s="17" t="str">
        <f>IF(C1142="","",C1142*'02_Eingaben'!$C$15)</f>
        <v/>
      </c>
      <c r="E1142" s="17" t="str">
        <f>IF(D1142="","",D1142*'02_Eingaben'!$C$8)</f>
        <v/>
      </c>
      <c r="F1142" s="17" t="str">
        <f>IF(E1142="","",AVERAGE(INDEX($E$2:$E$3001,MAX(1,ROW()-1-'02_Eingaben'!$C$17)):INDEX($E$2:$E$3001,MIN('02_Eingaben'!$C$21,ROW()-1+'02_Eingaben'!$C$17))))</f>
        <v/>
      </c>
      <c r="G1142" s="17" t="str">
        <f>IF(F1142="","",F1142-'02_Eingaben'!$C$10)</f>
        <v/>
      </c>
      <c r="H1142" t="str">
        <f>IF(F1142="","",IF(F1142&lt;'02_Eingaben'!$C$18*'02_Eingaben'!$C$10,1,0))</f>
        <v/>
      </c>
      <c r="I1142" s="17" t="str">
        <f t="shared" si="17"/>
        <v/>
      </c>
      <c r="J1142" s="17" t="str">
        <f>IF(B1142="","",IF(B1141&lt;'02_Eingaben'!$C$36,0,J1141+I1141/'02_Eingaben'!$C$8))</f>
        <v/>
      </c>
    </row>
    <row r="1143" spans="1:10" x14ac:dyDescent="0.25">
      <c r="A1143" t="str">
        <f>IF('01_Rohdaten'!A1143="","",ROW()-1)</f>
        <v/>
      </c>
      <c r="B1143" s="17" t="str">
        <f>IF('01_Rohdaten'!A1143="","",'01_Rohdaten'!A1143)</f>
        <v/>
      </c>
      <c r="C1143" s="17" t="str">
        <f>IF(B1143="","",INDEX('01_Rohdaten'!B1143:D1143,'02_Eingaben'!$C$13))</f>
        <v/>
      </c>
      <c r="D1143" s="17" t="str">
        <f>IF(C1143="","",C1143*'02_Eingaben'!$C$15)</f>
        <v/>
      </c>
      <c r="E1143" s="17" t="str">
        <f>IF(D1143="","",D1143*'02_Eingaben'!$C$8)</f>
        <v/>
      </c>
      <c r="F1143" s="17" t="str">
        <f>IF(E1143="","",AVERAGE(INDEX($E$2:$E$3001,MAX(1,ROW()-1-'02_Eingaben'!$C$17)):INDEX($E$2:$E$3001,MIN('02_Eingaben'!$C$21,ROW()-1+'02_Eingaben'!$C$17))))</f>
        <v/>
      </c>
      <c r="G1143" s="17" t="str">
        <f>IF(F1143="","",F1143-'02_Eingaben'!$C$10)</f>
        <v/>
      </c>
      <c r="H1143" t="str">
        <f>IF(F1143="","",IF(F1143&lt;'02_Eingaben'!$C$18*'02_Eingaben'!$C$10,1,0))</f>
        <v/>
      </c>
      <c r="I1143" s="17" t="str">
        <f t="shared" si="17"/>
        <v/>
      </c>
      <c r="J1143" s="17" t="str">
        <f>IF(B1143="","",IF(B1142&lt;'02_Eingaben'!$C$36,0,J1142+I1142/'02_Eingaben'!$C$8))</f>
        <v/>
      </c>
    </row>
    <row r="1144" spans="1:10" x14ac:dyDescent="0.25">
      <c r="A1144" t="str">
        <f>IF('01_Rohdaten'!A1144="","",ROW()-1)</f>
        <v/>
      </c>
      <c r="B1144" s="17" t="str">
        <f>IF('01_Rohdaten'!A1144="","",'01_Rohdaten'!A1144)</f>
        <v/>
      </c>
      <c r="C1144" s="17" t="str">
        <f>IF(B1144="","",INDEX('01_Rohdaten'!B1144:D1144,'02_Eingaben'!$C$13))</f>
        <v/>
      </c>
      <c r="D1144" s="17" t="str">
        <f>IF(C1144="","",C1144*'02_Eingaben'!$C$15)</f>
        <v/>
      </c>
      <c r="E1144" s="17" t="str">
        <f>IF(D1144="","",D1144*'02_Eingaben'!$C$8)</f>
        <v/>
      </c>
      <c r="F1144" s="17" t="str">
        <f>IF(E1144="","",AVERAGE(INDEX($E$2:$E$3001,MAX(1,ROW()-1-'02_Eingaben'!$C$17)):INDEX($E$2:$E$3001,MIN('02_Eingaben'!$C$21,ROW()-1+'02_Eingaben'!$C$17))))</f>
        <v/>
      </c>
      <c r="G1144" s="17" t="str">
        <f>IF(F1144="","",F1144-'02_Eingaben'!$C$10)</f>
        <v/>
      </c>
      <c r="H1144" t="str">
        <f>IF(F1144="","",IF(F1144&lt;'02_Eingaben'!$C$18*'02_Eingaben'!$C$10,1,0))</f>
        <v/>
      </c>
      <c r="I1144" s="17" t="str">
        <f t="shared" si="17"/>
        <v/>
      </c>
      <c r="J1144" s="17" t="str">
        <f>IF(B1144="","",IF(B1143&lt;'02_Eingaben'!$C$36,0,J1143+I1143/'02_Eingaben'!$C$8))</f>
        <v/>
      </c>
    </row>
    <row r="1145" spans="1:10" x14ac:dyDescent="0.25">
      <c r="A1145" t="str">
        <f>IF('01_Rohdaten'!A1145="","",ROW()-1)</f>
        <v/>
      </c>
      <c r="B1145" s="17" t="str">
        <f>IF('01_Rohdaten'!A1145="","",'01_Rohdaten'!A1145)</f>
        <v/>
      </c>
      <c r="C1145" s="17" t="str">
        <f>IF(B1145="","",INDEX('01_Rohdaten'!B1145:D1145,'02_Eingaben'!$C$13))</f>
        <v/>
      </c>
      <c r="D1145" s="17" t="str">
        <f>IF(C1145="","",C1145*'02_Eingaben'!$C$15)</f>
        <v/>
      </c>
      <c r="E1145" s="17" t="str">
        <f>IF(D1145="","",D1145*'02_Eingaben'!$C$8)</f>
        <v/>
      </c>
      <c r="F1145" s="17" t="str">
        <f>IF(E1145="","",AVERAGE(INDEX($E$2:$E$3001,MAX(1,ROW()-1-'02_Eingaben'!$C$17)):INDEX($E$2:$E$3001,MIN('02_Eingaben'!$C$21,ROW()-1+'02_Eingaben'!$C$17))))</f>
        <v/>
      </c>
      <c r="G1145" s="17" t="str">
        <f>IF(F1145="","",F1145-'02_Eingaben'!$C$10)</f>
        <v/>
      </c>
      <c r="H1145" t="str">
        <f>IF(F1145="","",IF(F1145&lt;'02_Eingaben'!$C$18*'02_Eingaben'!$C$10,1,0))</f>
        <v/>
      </c>
      <c r="I1145" s="17" t="str">
        <f t="shared" si="17"/>
        <v/>
      </c>
      <c r="J1145" s="17" t="str">
        <f>IF(B1145="","",IF(B1144&lt;'02_Eingaben'!$C$36,0,J1144+I1144/'02_Eingaben'!$C$8))</f>
        <v/>
      </c>
    </row>
    <row r="1146" spans="1:10" x14ac:dyDescent="0.25">
      <c r="A1146" t="str">
        <f>IF('01_Rohdaten'!A1146="","",ROW()-1)</f>
        <v/>
      </c>
      <c r="B1146" s="17" t="str">
        <f>IF('01_Rohdaten'!A1146="","",'01_Rohdaten'!A1146)</f>
        <v/>
      </c>
      <c r="C1146" s="17" t="str">
        <f>IF(B1146="","",INDEX('01_Rohdaten'!B1146:D1146,'02_Eingaben'!$C$13))</f>
        <v/>
      </c>
      <c r="D1146" s="17" t="str">
        <f>IF(C1146="","",C1146*'02_Eingaben'!$C$15)</f>
        <v/>
      </c>
      <c r="E1146" s="17" t="str">
        <f>IF(D1146="","",D1146*'02_Eingaben'!$C$8)</f>
        <v/>
      </c>
      <c r="F1146" s="17" t="str">
        <f>IF(E1146="","",AVERAGE(INDEX($E$2:$E$3001,MAX(1,ROW()-1-'02_Eingaben'!$C$17)):INDEX($E$2:$E$3001,MIN('02_Eingaben'!$C$21,ROW()-1+'02_Eingaben'!$C$17))))</f>
        <v/>
      </c>
      <c r="G1146" s="17" t="str">
        <f>IF(F1146="","",F1146-'02_Eingaben'!$C$10)</f>
        <v/>
      </c>
      <c r="H1146" t="str">
        <f>IF(F1146="","",IF(F1146&lt;'02_Eingaben'!$C$18*'02_Eingaben'!$C$10,1,0))</f>
        <v/>
      </c>
      <c r="I1146" s="17" t="str">
        <f t="shared" si="17"/>
        <v/>
      </c>
      <c r="J1146" s="17" t="str">
        <f>IF(B1146="","",IF(B1145&lt;'02_Eingaben'!$C$36,0,J1145+I1145/'02_Eingaben'!$C$8))</f>
        <v/>
      </c>
    </row>
    <row r="1147" spans="1:10" x14ac:dyDescent="0.25">
      <c r="A1147" t="str">
        <f>IF('01_Rohdaten'!A1147="","",ROW()-1)</f>
        <v/>
      </c>
      <c r="B1147" s="17" t="str">
        <f>IF('01_Rohdaten'!A1147="","",'01_Rohdaten'!A1147)</f>
        <v/>
      </c>
      <c r="C1147" s="17" t="str">
        <f>IF(B1147="","",INDEX('01_Rohdaten'!B1147:D1147,'02_Eingaben'!$C$13))</f>
        <v/>
      </c>
      <c r="D1147" s="17" t="str">
        <f>IF(C1147="","",C1147*'02_Eingaben'!$C$15)</f>
        <v/>
      </c>
      <c r="E1147" s="17" t="str">
        <f>IF(D1147="","",D1147*'02_Eingaben'!$C$8)</f>
        <v/>
      </c>
      <c r="F1147" s="17" t="str">
        <f>IF(E1147="","",AVERAGE(INDEX($E$2:$E$3001,MAX(1,ROW()-1-'02_Eingaben'!$C$17)):INDEX($E$2:$E$3001,MIN('02_Eingaben'!$C$21,ROW()-1+'02_Eingaben'!$C$17))))</f>
        <v/>
      </c>
      <c r="G1147" s="17" t="str">
        <f>IF(F1147="","",F1147-'02_Eingaben'!$C$10)</f>
        <v/>
      </c>
      <c r="H1147" t="str">
        <f>IF(F1147="","",IF(F1147&lt;'02_Eingaben'!$C$18*'02_Eingaben'!$C$10,1,0))</f>
        <v/>
      </c>
      <c r="I1147" s="17" t="str">
        <f t="shared" si="17"/>
        <v/>
      </c>
      <c r="J1147" s="17" t="str">
        <f>IF(B1147="","",IF(B1146&lt;'02_Eingaben'!$C$36,0,J1146+I1146/'02_Eingaben'!$C$8))</f>
        <v/>
      </c>
    </row>
    <row r="1148" spans="1:10" x14ac:dyDescent="0.25">
      <c r="A1148" t="str">
        <f>IF('01_Rohdaten'!A1148="","",ROW()-1)</f>
        <v/>
      </c>
      <c r="B1148" s="17" t="str">
        <f>IF('01_Rohdaten'!A1148="","",'01_Rohdaten'!A1148)</f>
        <v/>
      </c>
      <c r="C1148" s="17" t="str">
        <f>IF(B1148="","",INDEX('01_Rohdaten'!B1148:D1148,'02_Eingaben'!$C$13))</f>
        <v/>
      </c>
      <c r="D1148" s="17" t="str">
        <f>IF(C1148="","",C1148*'02_Eingaben'!$C$15)</f>
        <v/>
      </c>
      <c r="E1148" s="17" t="str">
        <f>IF(D1148="","",D1148*'02_Eingaben'!$C$8)</f>
        <v/>
      </c>
      <c r="F1148" s="17" t="str">
        <f>IF(E1148="","",AVERAGE(INDEX($E$2:$E$3001,MAX(1,ROW()-1-'02_Eingaben'!$C$17)):INDEX($E$2:$E$3001,MIN('02_Eingaben'!$C$21,ROW()-1+'02_Eingaben'!$C$17))))</f>
        <v/>
      </c>
      <c r="G1148" s="17" t="str">
        <f>IF(F1148="","",F1148-'02_Eingaben'!$C$10)</f>
        <v/>
      </c>
      <c r="H1148" t="str">
        <f>IF(F1148="","",IF(F1148&lt;'02_Eingaben'!$C$18*'02_Eingaben'!$C$10,1,0))</f>
        <v/>
      </c>
      <c r="I1148" s="17" t="str">
        <f t="shared" si="17"/>
        <v/>
      </c>
      <c r="J1148" s="17" t="str">
        <f>IF(B1148="","",IF(B1147&lt;'02_Eingaben'!$C$36,0,J1147+I1147/'02_Eingaben'!$C$8))</f>
        <v/>
      </c>
    </row>
    <row r="1149" spans="1:10" x14ac:dyDescent="0.25">
      <c r="A1149" t="str">
        <f>IF('01_Rohdaten'!A1149="","",ROW()-1)</f>
        <v/>
      </c>
      <c r="B1149" s="17" t="str">
        <f>IF('01_Rohdaten'!A1149="","",'01_Rohdaten'!A1149)</f>
        <v/>
      </c>
      <c r="C1149" s="17" t="str">
        <f>IF(B1149="","",INDEX('01_Rohdaten'!B1149:D1149,'02_Eingaben'!$C$13))</f>
        <v/>
      </c>
      <c r="D1149" s="17" t="str">
        <f>IF(C1149="","",C1149*'02_Eingaben'!$C$15)</f>
        <v/>
      </c>
      <c r="E1149" s="17" t="str">
        <f>IF(D1149="","",D1149*'02_Eingaben'!$C$8)</f>
        <v/>
      </c>
      <c r="F1149" s="17" t="str">
        <f>IF(E1149="","",AVERAGE(INDEX($E$2:$E$3001,MAX(1,ROW()-1-'02_Eingaben'!$C$17)):INDEX($E$2:$E$3001,MIN('02_Eingaben'!$C$21,ROW()-1+'02_Eingaben'!$C$17))))</f>
        <v/>
      </c>
      <c r="G1149" s="17" t="str">
        <f>IF(F1149="","",F1149-'02_Eingaben'!$C$10)</f>
        <v/>
      </c>
      <c r="H1149" t="str">
        <f>IF(F1149="","",IF(F1149&lt;'02_Eingaben'!$C$18*'02_Eingaben'!$C$10,1,0))</f>
        <v/>
      </c>
      <c r="I1149" s="17" t="str">
        <f t="shared" si="17"/>
        <v/>
      </c>
      <c r="J1149" s="17" t="str">
        <f>IF(B1149="","",IF(B1148&lt;'02_Eingaben'!$C$36,0,J1148+I1148/'02_Eingaben'!$C$8))</f>
        <v/>
      </c>
    </row>
    <row r="1150" spans="1:10" x14ac:dyDescent="0.25">
      <c r="A1150" t="str">
        <f>IF('01_Rohdaten'!A1150="","",ROW()-1)</f>
        <v/>
      </c>
      <c r="B1150" s="17" t="str">
        <f>IF('01_Rohdaten'!A1150="","",'01_Rohdaten'!A1150)</f>
        <v/>
      </c>
      <c r="C1150" s="17" t="str">
        <f>IF(B1150="","",INDEX('01_Rohdaten'!B1150:D1150,'02_Eingaben'!$C$13))</f>
        <v/>
      </c>
      <c r="D1150" s="17" t="str">
        <f>IF(C1150="","",C1150*'02_Eingaben'!$C$15)</f>
        <v/>
      </c>
      <c r="E1150" s="17" t="str">
        <f>IF(D1150="","",D1150*'02_Eingaben'!$C$8)</f>
        <v/>
      </c>
      <c r="F1150" s="17" t="str">
        <f>IF(E1150="","",AVERAGE(INDEX($E$2:$E$3001,MAX(1,ROW()-1-'02_Eingaben'!$C$17)):INDEX($E$2:$E$3001,MIN('02_Eingaben'!$C$21,ROW()-1+'02_Eingaben'!$C$17))))</f>
        <v/>
      </c>
      <c r="G1150" s="17" t="str">
        <f>IF(F1150="","",F1150-'02_Eingaben'!$C$10)</f>
        <v/>
      </c>
      <c r="H1150" t="str">
        <f>IF(F1150="","",IF(F1150&lt;'02_Eingaben'!$C$18*'02_Eingaben'!$C$10,1,0))</f>
        <v/>
      </c>
      <c r="I1150" s="17" t="str">
        <f t="shared" si="17"/>
        <v/>
      </c>
      <c r="J1150" s="17" t="str">
        <f>IF(B1150="","",IF(B1149&lt;'02_Eingaben'!$C$36,0,J1149+I1149/'02_Eingaben'!$C$8))</f>
        <v/>
      </c>
    </row>
    <row r="1151" spans="1:10" x14ac:dyDescent="0.25">
      <c r="A1151" t="str">
        <f>IF('01_Rohdaten'!A1151="","",ROW()-1)</f>
        <v/>
      </c>
      <c r="B1151" s="17" t="str">
        <f>IF('01_Rohdaten'!A1151="","",'01_Rohdaten'!A1151)</f>
        <v/>
      </c>
      <c r="C1151" s="17" t="str">
        <f>IF(B1151="","",INDEX('01_Rohdaten'!B1151:D1151,'02_Eingaben'!$C$13))</f>
        <v/>
      </c>
      <c r="D1151" s="17" t="str">
        <f>IF(C1151="","",C1151*'02_Eingaben'!$C$15)</f>
        <v/>
      </c>
      <c r="E1151" s="17" t="str">
        <f>IF(D1151="","",D1151*'02_Eingaben'!$C$8)</f>
        <v/>
      </c>
      <c r="F1151" s="17" t="str">
        <f>IF(E1151="","",AVERAGE(INDEX($E$2:$E$3001,MAX(1,ROW()-1-'02_Eingaben'!$C$17)):INDEX($E$2:$E$3001,MIN('02_Eingaben'!$C$21,ROW()-1+'02_Eingaben'!$C$17))))</f>
        <v/>
      </c>
      <c r="G1151" s="17" t="str">
        <f>IF(F1151="","",F1151-'02_Eingaben'!$C$10)</f>
        <v/>
      </c>
      <c r="H1151" t="str">
        <f>IF(F1151="","",IF(F1151&lt;'02_Eingaben'!$C$18*'02_Eingaben'!$C$10,1,0))</f>
        <v/>
      </c>
      <c r="I1151" s="17" t="str">
        <f t="shared" si="17"/>
        <v/>
      </c>
      <c r="J1151" s="17" t="str">
        <f>IF(B1151="","",IF(B1150&lt;'02_Eingaben'!$C$36,0,J1150+I1150/'02_Eingaben'!$C$8))</f>
        <v/>
      </c>
    </row>
    <row r="1152" spans="1:10" x14ac:dyDescent="0.25">
      <c r="A1152" t="str">
        <f>IF('01_Rohdaten'!A1152="","",ROW()-1)</f>
        <v/>
      </c>
      <c r="B1152" s="17" t="str">
        <f>IF('01_Rohdaten'!A1152="","",'01_Rohdaten'!A1152)</f>
        <v/>
      </c>
      <c r="C1152" s="17" t="str">
        <f>IF(B1152="","",INDEX('01_Rohdaten'!B1152:D1152,'02_Eingaben'!$C$13))</f>
        <v/>
      </c>
      <c r="D1152" s="17" t="str">
        <f>IF(C1152="","",C1152*'02_Eingaben'!$C$15)</f>
        <v/>
      </c>
      <c r="E1152" s="17" t="str">
        <f>IF(D1152="","",D1152*'02_Eingaben'!$C$8)</f>
        <v/>
      </c>
      <c r="F1152" s="17" t="str">
        <f>IF(E1152="","",AVERAGE(INDEX($E$2:$E$3001,MAX(1,ROW()-1-'02_Eingaben'!$C$17)):INDEX($E$2:$E$3001,MIN('02_Eingaben'!$C$21,ROW()-1+'02_Eingaben'!$C$17))))</f>
        <v/>
      </c>
      <c r="G1152" s="17" t="str">
        <f>IF(F1152="","",F1152-'02_Eingaben'!$C$10)</f>
        <v/>
      </c>
      <c r="H1152" t="str">
        <f>IF(F1152="","",IF(F1152&lt;'02_Eingaben'!$C$18*'02_Eingaben'!$C$10,1,0))</f>
        <v/>
      </c>
      <c r="I1152" s="17" t="str">
        <f t="shared" si="17"/>
        <v/>
      </c>
      <c r="J1152" s="17" t="str">
        <f>IF(B1152="","",IF(B1151&lt;'02_Eingaben'!$C$36,0,J1151+I1151/'02_Eingaben'!$C$8))</f>
        <v/>
      </c>
    </row>
    <row r="1153" spans="1:10" x14ac:dyDescent="0.25">
      <c r="A1153" t="str">
        <f>IF('01_Rohdaten'!A1153="","",ROW()-1)</f>
        <v/>
      </c>
      <c r="B1153" s="17" t="str">
        <f>IF('01_Rohdaten'!A1153="","",'01_Rohdaten'!A1153)</f>
        <v/>
      </c>
      <c r="C1153" s="17" t="str">
        <f>IF(B1153="","",INDEX('01_Rohdaten'!B1153:D1153,'02_Eingaben'!$C$13))</f>
        <v/>
      </c>
      <c r="D1153" s="17" t="str">
        <f>IF(C1153="","",C1153*'02_Eingaben'!$C$15)</f>
        <v/>
      </c>
      <c r="E1153" s="17" t="str">
        <f>IF(D1153="","",D1153*'02_Eingaben'!$C$8)</f>
        <v/>
      </c>
      <c r="F1153" s="17" t="str">
        <f>IF(E1153="","",AVERAGE(INDEX($E$2:$E$3001,MAX(1,ROW()-1-'02_Eingaben'!$C$17)):INDEX($E$2:$E$3001,MIN('02_Eingaben'!$C$21,ROW()-1+'02_Eingaben'!$C$17))))</f>
        <v/>
      </c>
      <c r="G1153" s="17" t="str">
        <f>IF(F1153="","",F1153-'02_Eingaben'!$C$10)</f>
        <v/>
      </c>
      <c r="H1153" t="str">
        <f>IF(F1153="","",IF(F1153&lt;'02_Eingaben'!$C$18*'02_Eingaben'!$C$10,1,0))</f>
        <v/>
      </c>
      <c r="I1153" s="17" t="str">
        <f t="shared" si="17"/>
        <v/>
      </c>
      <c r="J1153" s="17" t="str">
        <f>IF(B1153="","",IF(B1152&lt;'02_Eingaben'!$C$36,0,J1152+I1152/'02_Eingaben'!$C$8))</f>
        <v/>
      </c>
    </row>
    <row r="1154" spans="1:10" x14ac:dyDescent="0.25">
      <c r="A1154" t="str">
        <f>IF('01_Rohdaten'!A1154="","",ROW()-1)</f>
        <v/>
      </c>
      <c r="B1154" s="17" t="str">
        <f>IF('01_Rohdaten'!A1154="","",'01_Rohdaten'!A1154)</f>
        <v/>
      </c>
      <c r="C1154" s="17" t="str">
        <f>IF(B1154="","",INDEX('01_Rohdaten'!B1154:D1154,'02_Eingaben'!$C$13))</f>
        <v/>
      </c>
      <c r="D1154" s="17" t="str">
        <f>IF(C1154="","",C1154*'02_Eingaben'!$C$15)</f>
        <v/>
      </c>
      <c r="E1154" s="17" t="str">
        <f>IF(D1154="","",D1154*'02_Eingaben'!$C$8)</f>
        <v/>
      </c>
      <c r="F1154" s="17" t="str">
        <f>IF(E1154="","",AVERAGE(INDEX($E$2:$E$3001,MAX(1,ROW()-1-'02_Eingaben'!$C$17)):INDEX($E$2:$E$3001,MIN('02_Eingaben'!$C$21,ROW()-1+'02_Eingaben'!$C$17))))</f>
        <v/>
      </c>
      <c r="G1154" s="17" t="str">
        <f>IF(F1154="","",F1154-'02_Eingaben'!$C$10)</f>
        <v/>
      </c>
      <c r="H1154" t="str">
        <f>IF(F1154="","",IF(F1154&lt;'02_Eingaben'!$C$18*'02_Eingaben'!$C$10,1,0))</f>
        <v/>
      </c>
      <c r="I1154" s="17" t="str">
        <f t="shared" ref="I1154:I1217" si="18">IF(OR(G1154="",G1155=""),"",(G1154+G1155)/2*(B1155-B1154))</f>
        <v/>
      </c>
      <c r="J1154" s="17" t="str">
        <f>IF(B1154="","",IF(B1153&lt;'02_Eingaben'!$C$36,0,J1153+I1153/'02_Eingaben'!$C$8))</f>
        <v/>
      </c>
    </row>
    <row r="1155" spans="1:10" x14ac:dyDescent="0.25">
      <c r="A1155" t="str">
        <f>IF('01_Rohdaten'!A1155="","",ROW()-1)</f>
        <v/>
      </c>
      <c r="B1155" s="17" t="str">
        <f>IF('01_Rohdaten'!A1155="","",'01_Rohdaten'!A1155)</f>
        <v/>
      </c>
      <c r="C1155" s="17" t="str">
        <f>IF(B1155="","",INDEX('01_Rohdaten'!B1155:D1155,'02_Eingaben'!$C$13))</f>
        <v/>
      </c>
      <c r="D1155" s="17" t="str">
        <f>IF(C1155="","",C1155*'02_Eingaben'!$C$15)</f>
        <v/>
      </c>
      <c r="E1155" s="17" t="str">
        <f>IF(D1155="","",D1155*'02_Eingaben'!$C$8)</f>
        <v/>
      </c>
      <c r="F1155" s="17" t="str">
        <f>IF(E1155="","",AVERAGE(INDEX($E$2:$E$3001,MAX(1,ROW()-1-'02_Eingaben'!$C$17)):INDEX($E$2:$E$3001,MIN('02_Eingaben'!$C$21,ROW()-1+'02_Eingaben'!$C$17))))</f>
        <v/>
      </c>
      <c r="G1155" s="17" t="str">
        <f>IF(F1155="","",F1155-'02_Eingaben'!$C$10)</f>
        <v/>
      </c>
      <c r="H1155" t="str">
        <f>IF(F1155="","",IF(F1155&lt;'02_Eingaben'!$C$18*'02_Eingaben'!$C$10,1,0))</f>
        <v/>
      </c>
      <c r="I1155" s="17" t="str">
        <f t="shared" si="18"/>
        <v/>
      </c>
      <c r="J1155" s="17" t="str">
        <f>IF(B1155="","",IF(B1154&lt;'02_Eingaben'!$C$36,0,J1154+I1154/'02_Eingaben'!$C$8))</f>
        <v/>
      </c>
    </row>
    <row r="1156" spans="1:10" x14ac:dyDescent="0.25">
      <c r="A1156" t="str">
        <f>IF('01_Rohdaten'!A1156="","",ROW()-1)</f>
        <v/>
      </c>
      <c r="B1156" s="17" t="str">
        <f>IF('01_Rohdaten'!A1156="","",'01_Rohdaten'!A1156)</f>
        <v/>
      </c>
      <c r="C1156" s="17" t="str">
        <f>IF(B1156="","",INDEX('01_Rohdaten'!B1156:D1156,'02_Eingaben'!$C$13))</f>
        <v/>
      </c>
      <c r="D1156" s="17" t="str">
        <f>IF(C1156="","",C1156*'02_Eingaben'!$C$15)</f>
        <v/>
      </c>
      <c r="E1156" s="17" t="str">
        <f>IF(D1156="","",D1156*'02_Eingaben'!$C$8)</f>
        <v/>
      </c>
      <c r="F1156" s="17" t="str">
        <f>IF(E1156="","",AVERAGE(INDEX($E$2:$E$3001,MAX(1,ROW()-1-'02_Eingaben'!$C$17)):INDEX($E$2:$E$3001,MIN('02_Eingaben'!$C$21,ROW()-1+'02_Eingaben'!$C$17))))</f>
        <v/>
      </c>
      <c r="G1156" s="17" t="str">
        <f>IF(F1156="","",F1156-'02_Eingaben'!$C$10)</f>
        <v/>
      </c>
      <c r="H1156" t="str">
        <f>IF(F1156="","",IF(F1156&lt;'02_Eingaben'!$C$18*'02_Eingaben'!$C$10,1,0))</f>
        <v/>
      </c>
      <c r="I1156" s="17" t="str">
        <f t="shared" si="18"/>
        <v/>
      </c>
      <c r="J1156" s="17" t="str">
        <f>IF(B1156="","",IF(B1155&lt;'02_Eingaben'!$C$36,0,J1155+I1155/'02_Eingaben'!$C$8))</f>
        <v/>
      </c>
    </row>
    <row r="1157" spans="1:10" x14ac:dyDescent="0.25">
      <c r="A1157" t="str">
        <f>IF('01_Rohdaten'!A1157="","",ROW()-1)</f>
        <v/>
      </c>
      <c r="B1157" s="17" t="str">
        <f>IF('01_Rohdaten'!A1157="","",'01_Rohdaten'!A1157)</f>
        <v/>
      </c>
      <c r="C1157" s="17" t="str">
        <f>IF(B1157="","",INDEX('01_Rohdaten'!B1157:D1157,'02_Eingaben'!$C$13))</f>
        <v/>
      </c>
      <c r="D1157" s="17" t="str">
        <f>IF(C1157="","",C1157*'02_Eingaben'!$C$15)</f>
        <v/>
      </c>
      <c r="E1157" s="17" t="str">
        <f>IF(D1157="","",D1157*'02_Eingaben'!$C$8)</f>
        <v/>
      </c>
      <c r="F1157" s="17" t="str">
        <f>IF(E1157="","",AVERAGE(INDEX($E$2:$E$3001,MAX(1,ROW()-1-'02_Eingaben'!$C$17)):INDEX($E$2:$E$3001,MIN('02_Eingaben'!$C$21,ROW()-1+'02_Eingaben'!$C$17))))</f>
        <v/>
      </c>
      <c r="G1157" s="17" t="str">
        <f>IF(F1157="","",F1157-'02_Eingaben'!$C$10)</f>
        <v/>
      </c>
      <c r="H1157" t="str">
        <f>IF(F1157="","",IF(F1157&lt;'02_Eingaben'!$C$18*'02_Eingaben'!$C$10,1,0))</f>
        <v/>
      </c>
      <c r="I1157" s="17" t="str">
        <f t="shared" si="18"/>
        <v/>
      </c>
      <c r="J1157" s="17" t="str">
        <f>IF(B1157="","",IF(B1156&lt;'02_Eingaben'!$C$36,0,J1156+I1156/'02_Eingaben'!$C$8))</f>
        <v/>
      </c>
    </row>
    <row r="1158" spans="1:10" x14ac:dyDescent="0.25">
      <c r="A1158" t="str">
        <f>IF('01_Rohdaten'!A1158="","",ROW()-1)</f>
        <v/>
      </c>
      <c r="B1158" s="17" t="str">
        <f>IF('01_Rohdaten'!A1158="","",'01_Rohdaten'!A1158)</f>
        <v/>
      </c>
      <c r="C1158" s="17" t="str">
        <f>IF(B1158="","",INDEX('01_Rohdaten'!B1158:D1158,'02_Eingaben'!$C$13))</f>
        <v/>
      </c>
      <c r="D1158" s="17" t="str">
        <f>IF(C1158="","",C1158*'02_Eingaben'!$C$15)</f>
        <v/>
      </c>
      <c r="E1158" s="17" t="str">
        <f>IF(D1158="","",D1158*'02_Eingaben'!$C$8)</f>
        <v/>
      </c>
      <c r="F1158" s="17" t="str">
        <f>IF(E1158="","",AVERAGE(INDEX($E$2:$E$3001,MAX(1,ROW()-1-'02_Eingaben'!$C$17)):INDEX($E$2:$E$3001,MIN('02_Eingaben'!$C$21,ROW()-1+'02_Eingaben'!$C$17))))</f>
        <v/>
      </c>
      <c r="G1158" s="17" t="str">
        <f>IF(F1158="","",F1158-'02_Eingaben'!$C$10)</f>
        <v/>
      </c>
      <c r="H1158" t="str">
        <f>IF(F1158="","",IF(F1158&lt;'02_Eingaben'!$C$18*'02_Eingaben'!$C$10,1,0))</f>
        <v/>
      </c>
      <c r="I1158" s="17" t="str">
        <f t="shared" si="18"/>
        <v/>
      </c>
      <c r="J1158" s="17" t="str">
        <f>IF(B1158="","",IF(B1157&lt;'02_Eingaben'!$C$36,0,J1157+I1157/'02_Eingaben'!$C$8))</f>
        <v/>
      </c>
    </row>
    <row r="1159" spans="1:10" x14ac:dyDescent="0.25">
      <c r="A1159" t="str">
        <f>IF('01_Rohdaten'!A1159="","",ROW()-1)</f>
        <v/>
      </c>
      <c r="B1159" s="17" t="str">
        <f>IF('01_Rohdaten'!A1159="","",'01_Rohdaten'!A1159)</f>
        <v/>
      </c>
      <c r="C1159" s="17" t="str">
        <f>IF(B1159="","",INDEX('01_Rohdaten'!B1159:D1159,'02_Eingaben'!$C$13))</f>
        <v/>
      </c>
      <c r="D1159" s="17" t="str">
        <f>IF(C1159="","",C1159*'02_Eingaben'!$C$15)</f>
        <v/>
      </c>
      <c r="E1159" s="17" t="str">
        <f>IF(D1159="","",D1159*'02_Eingaben'!$C$8)</f>
        <v/>
      </c>
      <c r="F1159" s="17" t="str">
        <f>IF(E1159="","",AVERAGE(INDEX($E$2:$E$3001,MAX(1,ROW()-1-'02_Eingaben'!$C$17)):INDEX($E$2:$E$3001,MIN('02_Eingaben'!$C$21,ROW()-1+'02_Eingaben'!$C$17))))</f>
        <v/>
      </c>
      <c r="G1159" s="17" t="str">
        <f>IF(F1159="","",F1159-'02_Eingaben'!$C$10)</f>
        <v/>
      </c>
      <c r="H1159" t="str">
        <f>IF(F1159="","",IF(F1159&lt;'02_Eingaben'!$C$18*'02_Eingaben'!$C$10,1,0))</f>
        <v/>
      </c>
      <c r="I1159" s="17" t="str">
        <f t="shared" si="18"/>
        <v/>
      </c>
      <c r="J1159" s="17" t="str">
        <f>IF(B1159="","",IF(B1158&lt;'02_Eingaben'!$C$36,0,J1158+I1158/'02_Eingaben'!$C$8))</f>
        <v/>
      </c>
    </row>
    <row r="1160" spans="1:10" x14ac:dyDescent="0.25">
      <c r="A1160" t="str">
        <f>IF('01_Rohdaten'!A1160="","",ROW()-1)</f>
        <v/>
      </c>
      <c r="B1160" s="17" t="str">
        <f>IF('01_Rohdaten'!A1160="","",'01_Rohdaten'!A1160)</f>
        <v/>
      </c>
      <c r="C1160" s="17" t="str">
        <f>IF(B1160="","",INDEX('01_Rohdaten'!B1160:D1160,'02_Eingaben'!$C$13))</f>
        <v/>
      </c>
      <c r="D1160" s="17" t="str">
        <f>IF(C1160="","",C1160*'02_Eingaben'!$C$15)</f>
        <v/>
      </c>
      <c r="E1160" s="17" t="str">
        <f>IF(D1160="","",D1160*'02_Eingaben'!$C$8)</f>
        <v/>
      </c>
      <c r="F1160" s="17" t="str">
        <f>IF(E1160="","",AVERAGE(INDEX($E$2:$E$3001,MAX(1,ROW()-1-'02_Eingaben'!$C$17)):INDEX($E$2:$E$3001,MIN('02_Eingaben'!$C$21,ROW()-1+'02_Eingaben'!$C$17))))</f>
        <v/>
      </c>
      <c r="G1160" s="17" t="str">
        <f>IF(F1160="","",F1160-'02_Eingaben'!$C$10)</f>
        <v/>
      </c>
      <c r="H1160" t="str">
        <f>IF(F1160="","",IF(F1160&lt;'02_Eingaben'!$C$18*'02_Eingaben'!$C$10,1,0))</f>
        <v/>
      </c>
      <c r="I1160" s="17" t="str">
        <f t="shared" si="18"/>
        <v/>
      </c>
      <c r="J1160" s="17" t="str">
        <f>IF(B1160="","",IF(B1159&lt;'02_Eingaben'!$C$36,0,J1159+I1159/'02_Eingaben'!$C$8))</f>
        <v/>
      </c>
    </row>
    <row r="1161" spans="1:10" x14ac:dyDescent="0.25">
      <c r="A1161" t="str">
        <f>IF('01_Rohdaten'!A1161="","",ROW()-1)</f>
        <v/>
      </c>
      <c r="B1161" s="17" t="str">
        <f>IF('01_Rohdaten'!A1161="","",'01_Rohdaten'!A1161)</f>
        <v/>
      </c>
      <c r="C1161" s="17" t="str">
        <f>IF(B1161="","",INDEX('01_Rohdaten'!B1161:D1161,'02_Eingaben'!$C$13))</f>
        <v/>
      </c>
      <c r="D1161" s="17" t="str">
        <f>IF(C1161="","",C1161*'02_Eingaben'!$C$15)</f>
        <v/>
      </c>
      <c r="E1161" s="17" t="str">
        <f>IF(D1161="","",D1161*'02_Eingaben'!$C$8)</f>
        <v/>
      </c>
      <c r="F1161" s="17" t="str">
        <f>IF(E1161="","",AVERAGE(INDEX($E$2:$E$3001,MAX(1,ROW()-1-'02_Eingaben'!$C$17)):INDEX($E$2:$E$3001,MIN('02_Eingaben'!$C$21,ROW()-1+'02_Eingaben'!$C$17))))</f>
        <v/>
      </c>
      <c r="G1161" s="17" t="str">
        <f>IF(F1161="","",F1161-'02_Eingaben'!$C$10)</f>
        <v/>
      </c>
      <c r="H1161" t="str">
        <f>IF(F1161="","",IF(F1161&lt;'02_Eingaben'!$C$18*'02_Eingaben'!$C$10,1,0))</f>
        <v/>
      </c>
      <c r="I1161" s="17" t="str">
        <f t="shared" si="18"/>
        <v/>
      </c>
      <c r="J1161" s="17" t="str">
        <f>IF(B1161="","",IF(B1160&lt;'02_Eingaben'!$C$36,0,J1160+I1160/'02_Eingaben'!$C$8))</f>
        <v/>
      </c>
    </row>
    <row r="1162" spans="1:10" x14ac:dyDescent="0.25">
      <c r="A1162" t="str">
        <f>IF('01_Rohdaten'!A1162="","",ROW()-1)</f>
        <v/>
      </c>
      <c r="B1162" s="17" t="str">
        <f>IF('01_Rohdaten'!A1162="","",'01_Rohdaten'!A1162)</f>
        <v/>
      </c>
      <c r="C1162" s="17" t="str">
        <f>IF(B1162="","",INDEX('01_Rohdaten'!B1162:D1162,'02_Eingaben'!$C$13))</f>
        <v/>
      </c>
      <c r="D1162" s="17" t="str">
        <f>IF(C1162="","",C1162*'02_Eingaben'!$C$15)</f>
        <v/>
      </c>
      <c r="E1162" s="17" t="str">
        <f>IF(D1162="","",D1162*'02_Eingaben'!$C$8)</f>
        <v/>
      </c>
      <c r="F1162" s="17" t="str">
        <f>IF(E1162="","",AVERAGE(INDEX($E$2:$E$3001,MAX(1,ROW()-1-'02_Eingaben'!$C$17)):INDEX($E$2:$E$3001,MIN('02_Eingaben'!$C$21,ROW()-1+'02_Eingaben'!$C$17))))</f>
        <v/>
      </c>
      <c r="G1162" s="17" t="str">
        <f>IF(F1162="","",F1162-'02_Eingaben'!$C$10)</f>
        <v/>
      </c>
      <c r="H1162" t="str">
        <f>IF(F1162="","",IF(F1162&lt;'02_Eingaben'!$C$18*'02_Eingaben'!$C$10,1,0))</f>
        <v/>
      </c>
      <c r="I1162" s="17" t="str">
        <f t="shared" si="18"/>
        <v/>
      </c>
      <c r="J1162" s="17" t="str">
        <f>IF(B1162="","",IF(B1161&lt;'02_Eingaben'!$C$36,0,J1161+I1161/'02_Eingaben'!$C$8))</f>
        <v/>
      </c>
    </row>
    <row r="1163" spans="1:10" x14ac:dyDescent="0.25">
      <c r="A1163" t="str">
        <f>IF('01_Rohdaten'!A1163="","",ROW()-1)</f>
        <v/>
      </c>
      <c r="B1163" s="17" t="str">
        <f>IF('01_Rohdaten'!A1163="","",'01_Rohdaten'!A1163)</f>
        <v/>
      </c>
      <c r="C1163" s="17" t="str">
        <f>IF(B1163="","",INDEX('01_Rohdaten'!B1163:D1163,'02_Eingaben'!$C$13))</f>
        <v/>
      </c>
      <c r="D1163" s="17" t="str">
        <f>IF(C1163="","",C1163*'02_Eingaben'!$C$15)</f>
        <v/>
      </c>
      <c r="E1163" s="17" t="str">
        <f>IF(D1163="","",D1163*'02_Eingaben'!$C$8)</f>
        <v/>
      </c>
      <c r="F1163" s="17" t="str">
        <f>IF(E1163="","",AVERAGE(INDEX($E$2:$E$3001,MAX(1,ROW()-1-'02_Eingaben'!$C$17)):INDEX($E$2:$E$3001,MIN('02_Eingaben'!$C$21,ROW()-1+'02_Eingaben'!$C$17))))</f>
        <v/>
      </c>
      <c r="G1163" s="17" t="str">
        <f>IF(F1163="","",F1163-'02_Eingaben'!$C$10)</f>
        <v/>
      </c>
      <c r="H1163" t="str">
        <f>IF(F1163="","",IF(F1163&lt;'02_Eingaben'!$C$18*'02_Eingaben'!$C$10,1,0))</f>
        <v/>
      </c>
      <c r="I1163" s="17" t="str">
        <f t="shared" si="18"/>
        <v/>
      </c>
      <c r="J1163" s="17" t="str">
        <f>IF(B1163="","",IF(B1162&lt;'02_Eingaben'!$C$36,0,J1162+I1162/'02_Eingaben'!$C$8))</f>
        <v/>
      </c>
    </row>
    <row r="1164" spans="1:10" x14ac:dyDescent="0.25">
      <c r="A1164" t="str">
        <f>IF('01_Rohdaten'!A1164="","",ROW()-1)</f>
        <v/>
      </c>
      <c r="B1164" s="17" t="str">
        <f>IF('01_Rohdaten'!A1164="","",'01_Rohdaten'!A1164)</f>
        <v/>
      </c>
      <c r="C1164" s="17" t="str">
        <f>IF(B1164="","",INDEX('01_Rohdaten'!B1164:D1164,'02_Eingaben'!$C$13))</f>
        <v/>
      </c>
      <c r="D1164" s="17" t="str">
        <f>IF(C1164="","",C1164*'02_Eingaben'!$C$15)</f>
        <v/>
      </c>
      <c r="E1164" s="17" t="str">
        <f>IF(D1164="","",D1164*'02_Eingaben'!$C$8)</f>
        <v/>
      </c>
      <c r="F1164" s="17" t="str">
        <f>IF(E1164="","",AVERAGE(INDEX($E$2:$E$3001,MAX(1,ROW()-1-'02_Eingaben'!$C$17)):INDEX($E$2:$E$3001,MIN('02_Eingaben'!$C$21,ROW()-1+'02_Eingaben'!$C$17))))</f>
        <v/>
      </c>
      <c r="G1164" s="17" t="str">
        <f>IF(F1164="","",F1164-'02_Eingaben'!$C$10)</f>
        <v/>
      </c>
      <c r="H1164" t="str">
        <f>IF(F1164="","",IF(F1164&lt;'02_Eingaben'!$C$18*'02_Eingaben'!$C$10,1,0))</f>
        <v/>
      </c>
      <c r="I1164" s="17" t="str">
        <f t="shared" si="18"/>
        <v/>
      </c>
      <c r="J1164" s="17" t="str">
        <f>IF(B1164="","",IF(B1163&lt;'02_Eingaben'!$C$36,0,J1163+I1163/'02_Eingaben'!$C$8))</f>
        <v/>
      </c>
    </row>
    <row r="1165" spans="1:10" x14ac:dyDescent="0.25">
      <c r="A1165" t="str">
        <f>IF('01_Rohdaten'!A1165="","",ROW()-1)</f>
        <v/>
      </c>
      <c r="B1165" s="17" t="str">
        <f>IF('01_Rohdaten'!A1165="","",'01_Rohdaten'!A1165)</f>
        <v/>
      </c>
      <c r="C1165" s="17" t="str">
        <f>IF(B1165="","",INDEX('01_Rohdaten'!B1165:D1165,'02_Eingaben'!$C$13))</f>
        <v/>
      </c>
      <c r="D1165" s="17" t="str">
        <f>IF(C1165="","",C1165*'02_Eingaben'!$C$15)</f>
        <v/>
      </c>
      <c r="E1165" s="17" t="str">
        <f>IF(D1165="","",D1165*'02_Eingaben'!$C$8)</f>
        <v/>
      </c>
      <c r="F1165" s="17" t="str">
        <f>IF(E1165="","",AVERAGE(INDEX($E$2:$E$3001,MAX(1,ROW()-1-'02_Eingaben'!$C$17)):INDEX($E$2:$E$3001,MIN('02_Eingaben'!$C$21,ROW()-1+'02_Eingaben'!$C$17))))</f>
        <v/>
      </c>
      <c r="G1165" s="17" t="str">
        <f>IF(F1165="","",F1165-'02_Eingaben'!$C$10)</f>
        <v/>
      </c>
      <c r="H1165" t="str">
        <f>IF(F1165="","",IF(F1165&lt;'02_Eingaben'!$C$18*'02_Eingaben'!$C$10,1,0))</f>
        <v/>
      </c>
      <c r="I1165" s="17" t="str">
        <f t="shared" si="18"/>
        <v/>
      </c>
      <c r="J1165" s="17" t="str">
        <f>IF(B1165="","",IF(B1164&lt;'02_Eingaben'!$C$36,0,J1164+I1164/'02_Eingaben'!$C$8))</f>
        <v/>
      </c>
    </row>
    <row r="1166" spans="1:10" x14ac:dyDescent="0.25">
      <c r="A1166" t="str">
        <f>IF('01_Rohdaten'!A1166="","",ROW()-1)</f>
        <v/>
      </c>
      <c r="B1166" s="17" t="str">
        <f>IF('01_Rohdaten'!A1166="","",'01_Rohdaten'!A1166)</f>
        <v/>
      </c>
      <c r="C1166" s="17" t="str">
        <f>IF(B1166="","",INDEX('01_Rohdaten'!B1166:D1166,'02_Eingaben'!$C$13))</f>
        <v/>
      </c>
      <c r="D1166" s="17" t="str">
        <f>IF(C1166="","",C1166*'02_Eingaben'!$C$15)</f>
        <v/>
      </c>
      <c r="E1166" s="17" t="str">
        <f>IF(D1166="","",D1166*'02_Eingaben'!$C$8)</f>
        <v/>
      </c>
      <c r="F1166" s="17" t="str">
        <f>IF(E1166="","",AVERAGE(INDEX($E$2:$E$3001,MAX(1,ROW()-1-'02_Eingaben'!$C$17)):INDEX($E$2:$E$3001,MIN('02_Eingaben'!$C$21,ROW()-1+'02_Eingaben'!$C$17))))</f>
        <v/>
      </c>
      <c r="G1166" s="17" t="str">
        <f>IF(F1166="","",F1166-'02_Eingaben'!$C$10)</f>
        <v/>
      </c>
      <c r="H1166" t="str">
        <f>IF(F1166="","",IF(F1166&lt;'02_Eingaben'!$C$18*'02_Eingaben'!$C$10,1,0))</f>
        <v/>
      </c>
      <c r="I1166" s="17" t="str">
        <f t="shared" si="18"/>
        <v/>
      </c>
      <c r="J1166" s="17" t="str">
        <f>IF(B1166="","",IF(B1165&lt;'02_Eingaben'!$C$36,0,J1165+I1165/'02_Eingaben'!$C$8))</f>
        <v/>
      </c>
    </row>
    <row r="1167" spans="1:10" x14ac:dyDescent="0.25">
      <c r="A1167" t="str">
        <f>IF('01_Rohdaten'!A1167="","",ROW()-1)</f>
        <v/>
      </c>
      <c r="B1167" s="17" t="str">
        <f>IF('01_Rohdaten'!A1167="","",'01_Rohdaten'!A1167)</f>
        <v/>
      </c>
      <c r="C1167" s="17" t="str">
        <f>IF(B1167="","",INDEX('01_Rohdaten'!B1167:D1167,'02_Eingaben'!$C$13))</f>
        <v/>
      </c>
      <c r="D1167" s="17" t="str">
        <f>IF(C1167="","",C1167*'02_Eingaben'!$C$15)</f>
        <v/>
      </c>
      <c r="E1167" s="17" t="str">
        <f>IF(D1167="","",D1167*'02_Eingaben'!$C$8)</f>
        <v/>
      </c>
      <c r="F1167" s="17" t="str">
        <f>IF(E1167="","",AVERAGE(INDEX($E$2:$E$3001,MAX(1,ROW()-1-'02_Eingaben'!$C$17)):INDEX($E$2:$E$3001,MIN('02_Eingaben'!$C$21,ROW()-1+'02_Eingaben'!$C$17))))</f>
        <v/>
      </c>
      <c r="G1167" s="17" t="str">
        <f>IF(F1167="","",F1167-'02_Eingaben'!$C$10)</f>
        <v/>
      </c>
      <c r="H1167" t="str">
        <f>IF(F1167="","",IF(F1167&lt;'02_Eingaben'!$C$18*'02_Eingaben'!$C$10,1,0))</f>
        <v/>
      </c>
      <c r="I1167" s="17" t="str">
        <f t="shared" si="18"/>
        <v/>
      </c>
      <c r="J1167" s="17" t="str">
        <f>IF(B1167="","",IF(B1166&lt;'02_Eingaben'!$C$36,0,J1166+I1166/'02_Eingaben'!$C$8))</f>
        <v/>
      </c>
    </row>
    <row r="1168" spans="1:10" x14ac:dyDescent="0.25">
      <c r="A1168" t="str">
        <f>IF('01_Rohdaten'!A1168="","",ROW()-1)</f>
        <v/>
      </c>
      <c r="B1168" s="17" t="str">
        <f>IF('01_Rohdaten'!A1168="","",'01_Rohdaten'!A1168)</f>
        <v/>
      </c>
      <c r="C1168" s="17" t="str">
        <f>IF(B1168="","",INDEX('01_Rohdaten'!B1168:D1168,'02_Eingaben'!$C$13))</f>
        <v/>
      </c>
      <c r="D1168" s="17" t="str">
        <f>IF(C1168="","",C1168*'02_Eingaben'!$C$15)</f>
        <v/>
      </c>
      <c r="E1168" s="17" t="str">
        <f>IF(D1168="","",D1168*'02_Eingaben'!$C$8)</f>
        <v/>
      </c>
      <c r="F1168" s="17" t="str">
        <f>IF(E1168="","",AVERAGE(INDEX($E$2:$E$3001,MAX(1,ROW()-1-'02_Eingaben'!$C$17)):INDEX($E$2:$E$3001,MIN('02_Eingaben'!$C$21,ROW()-1+'02_Eingaben'!$C$17))))</f>
        <v/>
      </c>
      <c r="G1168" s="17" t="str">
        <f>IF(F1168="","",F1168-'02_Eingaben'!$C$10)</f>
        <v/>
      </c>
      <c r="H1168" t="str">
        <f>IF(F1168="","",IF(F1168&lt;'02_Eingaben'!$C$18*'02_Eingaben'!$C$10,1,0))</f>
        <v/>
      </c>
      <c r="I1168" s="17" t="str">
        <f t="shared" si="18"/>
        <v/>
      </c>
      <c r="J1168" s="17" t="str">
        <f>IF(B1168="","",IF(B1167&lt;'02_Eingaben'!$C$36,0,J1167+I1167/'02_Eingaben'!$C$8))</f>
        <v/>
      </c>
    </row>
    <row r="1169" spans="1:10" x14ac:dyDescent="0.25">
      <c r="A1169" t="str">
        <f>IF('01_Rohdaten'!A1169="","",ROW()-1)</f>
        <v/>
      </c>
      <c r="B1169" s="17" t="str">
        <f>IF('01_Rohdaten'!A1169="","",'01_Rohdaten'!A1169)</f>
        <v/>
      </c>
      <c r="C1169" s="17" t="str">
        <f>IF(B1169="","",INDEX('01_Rohdaten'!B1169:D1169,'02_Eingaben'!$C$13))</f>
        <v/>
      </c>
      <c r="D1169" s="17" t="str">
        <f>IF(C1169="","",C1169*'02_Eingaben'!$C$15)</f>
        <v/>
      </c>
      <c r="E1169" s="17" t="str">
        <f>IF(D1169="","",D1169*'02_Eingaben'!$C$8)</f>
        <v/>
      </c>
      <c r="F1169" s="17" t="str">
        <f>IF(E1169="","",AVERAGE(INDEX($E$2:$E$3001,MAX(1,ROW()-1-'02_Eingaben'!$C$17)):INDEX($E$2:$E$3001,MIN('02_Eingaben'!$C$21,ROW()-1+'02_Eingaben'!$C$17))))</f>
        <v/>
      </c>
      <c r="G1169" s="17" t="str">
        <f>IF(F1169="","",F1169-'02_Eingaben'!$C$10)</f>
        <v/>
      </c>
      <c r="H1169" t="str">
        <f>IF(F1169="","",IF(F1169&lt;'02_Eingaben'!$C$18*'02_Eingaben'!$C$10,1,0))</f>
        <v/>
      </c>
      <c r="I1169" s="17" t="str">
        <f t="shared" si="18"/>
        <v/>
      </c>
      <c r="J1169" s="17" t="str">
        <f>IF(B1169="","",IF(B1168&lt;'02_Eingaben'!$C$36,0,J1168+I1168/'02_Eingaben'!$C$8))</f>
        <v/>
      </c>
    </row>
    <row r="1170" spans="1:10" x14ac:dyDescent="0.25">
      <c r="A1170" t="str">
        <f>IF('01_Rohdaten'!A1170="","",ROW()-1)</f>
        <v/>
      </c>
      <c r="B1170" s="17" t="str">
        <f>IF('01_Rohdaten'!A1170="","",'01_Rohdaten'!A1170)</f>
        <v/>
      </c>
      <c r="C1170" s="17" t="str">
        <f>IF(B1170="","",INDEX('01_Rohdaten'!B1170:D1170,'02_Eingaben'!$C$13))</f>
        <v/>
      </c>
      <c r="D1170" s="17" t="str">
        <f>IF(C1170="","",C1170*'02_Eingaben'!$C$15)</f>
        <v/>
      </c>
      <c r="E1170" s="17" t="str">
        <f>IF(D1170="","",D1170*'02_Eingaben'!$C$8)</f>
        <v/>
      </c>
      <c r="F1170" s="17" t="str">
        <f>IF(E1170="","",AVERAGE(INDEX($E$2:$E$3001,MAX(1,ROW()-1-'02_Eingaben'!$C$17)):INDEX($E$2:$E$3001,MIN('02_Eingaben'!$C$21,ROW()-1+'02_Eingaben'!$C$17))))</f>
        <v/>
      </c>
      <c r="G1170" s="17" t="str">
        <f>IF(F1170="","",F1170-'02_Eingaben'!$C$10)</f>
        <v/>
      </c>
      <c r="H1170" t="str">
        <f>IF(F1170="","",IF(F1170&lt;'02_Eingaben'!$C$18*'02_Eingaben'!$C$10,1,0))</f>
        <v/>
      </c>
      <c r="I1170" s="17" t="str">
        <f t="shared" si="18"/>
        <v/>
      </c>
      <c r="J1170" s="17" t="str">
        <f>IF(B1170="","",IF(B1169&lt;'02_Eingaben'!$C$36,0,J1169+I1169/'02_Eingaben'!$C$8))</f>
        <v/>
      </c>
    </row>
    <row r="1171" spans="1:10" x14ac:dyDescent="0.25">
      <c r="A1171" t="str">
        <f>IF('01_Rohdaten'!A1171="","",ROW()-1)</f>
        <v/>
      </c>
      <c r="B1171" s="17" t="str">
        <f>IF('01_Rohdaten'!A1171="","",'01_Rohdaten'!A1171)</f>
        <v/>
      </c>
      <c r="C1171" s="17" t="str">
        <f>IF(B1171="","",INDEX('01_Rohdaten'!B1171:D1171,'02_Eingaben'!$C$13))</f>
        <v/>
      </c>
      <c r="D1171" s="17" t="str">
        <f>IF(C1171="","",C1171*'02_Eingaben'!$C$15)</f>
        <v/>
      </c>
      <c r="E1171" s="17" t="str">
        <f>IF(D1171="","",D1171*'02_Eingaben'!$C$8)</f>
        <v/>
      </c>
      <c r="F1171" s="17" t="str">
        <f>IF(E1171="","",AVERAGE(INDEX($E$2:$E$3001,MAX(1,ROW()-1-'02_Eingaben'!$C$17)):INDEX($E$2:$E$3001,MIN('02_Eingaben'!$C$21,ROW()-1+'02_Eingaben'!$C$17))))</f>
        <v/>
      </c>
      <c r="G1171" s="17" t="str">
        <f>IF(F1171="","",F1171-'02_Eingaben'!$C$10)</f>
        <v/>
      </c>
      <c r="H1171" t="str">
        <f>IF(F1171="","",IF(F1171&lt;'02_Eingaben'!$C$18*'02_Eingaben'!$C$10,1,0))</f>
        <v/>
      </c>
      <c r="I1171" s="17" t="str">
        <f t="shared" si="18"/>
        <v/>
      </c>
      <c r="J1171" s="17" t="str">
        <f>IF(B1171="","",IF(B1170&lt;'02_Eingaben'!$C$36,0,J1170+I1170/'02_Eingaben'!$C$8))</f>
        <v/>
      </c>
    </row>
    <row r="1172" spans="1:10" x14ac:dyDescent="0.25">
      <c r="A1172" t="str">
        <f>IF('01_Rohdaten'!A1172="","",ROW()-1)</f>
        <v/>
      </c>
      <c r="B1172" s="17" t="str">
        <f>IF('01_Rohdaten'!A1172="","",'01_Rohdaten'!A1172)</f>
        <v/>
      </c>
      <c r="C1172" s="17" t="str">
        <f>IF(B1172="","",INDEX('01_Rohdaten'!B1172:D1172,'02_Eingaben'!$C$13))</f>
        <v/>
      </c>
      <c r="D1172" s="17" t="str">
        <f>IF(C1172="","",C1172*'02_Eingaben'!$C$15)</f>
        <v/>
      </c>
      <c r="E1172" s="17" t="str">
        <f>IF(D1172="","",D1172*'02_Eingaben'!$C$8)</f>
        <v/>
      </c>
      <c r="F1172" s="17" t="str">
        <f>IF(E1172="","",AVERAGE(INDEX($E$2:$E$3001,MAX(1,ROW()-1-'02_Eingaben'!$C$17)):INDEX($E$2:$E$3001,MIN('02_Eingaben'!$C$21,ROW()-1+'02_Eingaben'!$C$17))))</f>
        <v/>
      </c>
      <c r="G1172" s="17" t="str">
        <f>IF(F1172="","",F1172-'02_Eingaben'!$C$10)</f>
        <v/>
      </c>
      <c r="H1172" t="str">
        <f>IF(F1172="","",IF(F1172&lt;'02_Eingaben'!$C$18*'02_Eingaben'!$C$10,1,0))</f>
        <v/>
      </c>
      <c r="I1172" s="17" t="str">
        <f t="shared" si="18"/>
        <v/>
      </c>
      <c r="J1172" s="17" t="str">
        <f>IF(B1172="","",IF(B1171&lt;'02_Eingaben'!$C$36,0,J1171+I1171/'02_Eingaben'!$C$8))</f>
        <v/>
      </c>
    </row>
    <row r="1173" spans="1:10" x14ac:dyDescent="0.25">
      <c r="A1173" t="str">
        <f>IF('01_Rohdaten'!A1173="","",ROW()-1)</f>
        <v/>
      </c>
      <c r="B1173" s="17" t="str">
        <f>IF('01_Rohdaten'!A1173="","",'01_Rohdaten'!A1173)</f>
        <v/>
      </c>
      <c r="C1173" s="17" t="str">
        <f>IF(B1173="","",INDEX('01_Rohdaten'!B1173:D1173,'02_Eingaben'!$C$13))</f>
        <v/>
      </c>
      <c r="D1173" s="17" t="str">
        <f>IF(C1173="","",C1173*'02_Eingaben'!$C$15)</f>
        <v/>
      </c>
      <c r="E1173" s="17" t="str">
        <f>IF(D1173="","",D1173*'02_Eingaben'!$C$8)</f>
        <v/>
      </c>
      <c r="F1173" s="17" t="str">
        <f>IF(E1173="","",AVERAGE(INDEX($E$2:$E$3001,MAX(1,ROW()-1-'02_Eingaben'!$C$17)):INDEX($E$2:$E$3001,MIN('02_Eingaben'!$C$21,ROW()-1+'02_Eingaben'!$C$17))))</f>
        <v/>
      </c>
      <c r="G1173" s="17" t="str">
        <f>IF(F1173="","",F1173-'02_Eingaben'!$C$10)</f>
        <v/>
      </c>
      <c r="H1173" t="str">
        <f>IF(F1173="","",IF(F1173&lt;'02_Eingaben'!$C$18*'02_Eingaben'!$C$10,1,0))</f>
        <v/>
      </c>
      <c r="I1173" s="17" t="str">
        <f t="shared" si="18"/>
        <v/>
      </c>
      <c r="J1173" s="17" t="str">
        <f>IF(B1173="","",IF(B1172&lt;'02_Eingaben'!$C$36,0,J1172+I1172/'02_Eingaben'!$C$8))</f>
        <v/>
      </c>
    </row>
    <row r="1174" spans="1:10" x14ac:dyDescent="0.25">
      <c r="A1174" t="str">
        <f>IF('01_Rohdaten'!A1174="","",ROW()-1)</f>
        <v/>
      </c>
      <c r="B1174" s="17" t="str">
        <f>IF('01_Rohdaten'!A1174="","",'01_Rohdaten'!A1174)</f>
        <v/>
      </c>
      <c r="C1174" s="17" t="str">
        <f>IF(B1174="","",INDEX('01_Rohdaten'!B1174:D1174,'02_Eingaben'!$C$13))</f>
        <v/>
      </c>
      <c r="D1174" s="17" t="str">
        <f>IF(C1174="","",C1174*'02_Eingaben'!$C$15)</f>
        <v/>
      </c>
      <c r="E1174" s="17" t="str">
        <f>IF(D1174="","",D1174*'02_Eingaben'!$C$8)</f>
        <v/>
      </c>
      <c r="F1174" s="17" t="str">
        <f>IF(E1174="","",AVERAGE(INDEX($E$2:$E$3001,MAX(1,ROW()-1-'02_Eingaben'!$C$17)):INDEX($E$2:$E$3001,MIN('02_Eingaben'!$C$21,ROW()-1+'02_Eingaben'!$C$17))))</f>
        <v/>
      </c>
      <c r="G1174" s="17" t="str">
        <f>IF(F1174="","",F1174-'02_Eingaben'!$C$10)</f>
        <v/>
      </c>
      <c r="H1174" t="str">
        <f>IF(F1174="","",IF(F1174&lt;'02_Eingaben'!$C$18*'02_Eingaben'!$C$10,1,0))</f>
        <v/>
      </c>
      <c r="I1174" s="17" t="str">
        <f t="shared" si="18"/>
        <v/>
      </c>
      <c r="J1174" s="17" t="str">
        <f>IF(B1174="","",IF(B1173&lt;'02_Eingaben'!$C$36,0,J1173+I1173/'02_Eingaben'!$C$8))</f>
        <v/>
      </c>
    </row>
    <row r="1175" spans="1:10" x14ac:dyDescent="0.25">
      <c r="A1175" t="str">
        <f>IF('01_Rohdaten'!A1175="","",ROW()-1)</f>
        <v/>
      </c>
      <c r="B1175" s="17" t="str">
        <f>IF('01_Rohdaten'!A1175="","",'01_Rohdaten'!A1175)</f>
        <v/>
      </c>
      <c r="C1175" s="17" t="str">
        <f>IF(B1175="","",INDEX('01_Rohdaten'!B1175:D1175,'02_Eingaben'!$C$13))</f>
        <v/>
      </c>
      <c r="D1175" s="17" t="str">
        <f>IF(C1175="","",C1175*'02_Eingaben'!$C$15)</f>
        <v/>
      </c>
      <c r="E1175" s="17" t="str">
        <f>IF(D1175="","",D1175*'02_Eingaben'!$C$8)</f>
        <v/>
      </c>
      <c r="F1175" s="17" t="str">
        <f>IF(E1175="","",AVERAGE(INDEX($E$2:$E$3001,MAX(1,ROW()-1-'02_Eingaben'!$C$17)):INDEX($E$2:$E$3001,MIN('02_Eingaben'!$C$21,ROW()-1+'02_Eingaben'!$C$17))))</f>
        <v/>
      </c>
      <c r="G1175" s="17" t="str">
        <f>IF(F1175="","",F1175-'02_Eingaben'!$C$10)</f>
        <v/>
      </c>
      <c r="H1175" t="str">
        <f>IF(F1175="","",IF(F1175&lt;'02_Eingaben'!$C$18*'02_Eingaben'!$C$10,1,0))</f>
        <v/>
      </c>
      <c r="I1175" s="17" t="str">
        <f t="shared" si="18"/>
        <v/>
      </c>
      <c r="J1175" s="17" t="str">
        <f>IF(B1175="","",IF(B1174&lt;'02_Eingaben'!$C$36,0,J1174+I1174/'02_Eingaben'!$C$8))</f>
        <v/>
      </c>
    </row>
    <row r="1176" spans="1:10" x14ac:dyDescent="0.25">
      <c r="A1176" t="str">
        <f>IF('01_Rohdaten'!A1176="","",ROW()-1)</f>
        <v/>
      </c>
      <c r="B1176" s="17" t="str">
        <f>IF('01_Rohdaten'!A1176="","",'01_Rohdaten'!A1176)</f>
        <v/>
      </c>
      <c r="C1176" s="17" t="str">
        <f>IF(B1176="","",INDEX('01_Rohdaten'!B1176:D1176,'02_Eingaben'!$C$13))</f>
        <v/>
      </c>
      <c r="D1176" s="17" t="str">
        <f>IF(C1176="","",C1176*'02_Eingaben'!$C$15)</f>
        <v/>
      </c>
      <c r="E1176" s="17" t="str">
        <f>IF(D1176="","",D1176*'02_Eingaben'!$C$8)</f>
        <v/>
      </c>
      <c r="F1176" s="17" t="str">
        <f>IF(E1176="","",AVERAGE(INDEX($E$2:$E$3001,MAX(1,ROW()-1-'02_Eingaben'!$C$17)):INDEX($E$2:$E$3001,MIN('02_Eingaben'!$C$21,ROW()-1+'02_Eingaben'!$C$17))))</f>
        <v/>
      </c>
      <c r="G1176" s="17" t="str">
        <f>IF(F1176="","",F1176-'02_Eingaben'!$C$10)</f>
        <v/>
      </c>
      <c r="H1176" t="str">
        <f>IF(F1176="","",IF(F1176&lt;'02_Eingaben'!$C$18*'02_Eingaben'!$C$10,1,0))</f>
        <v/>
      </c>
      <c r="I1176" s="17" t="str">
        <f t="shared" si="18"/>
        <v/>
      </c>
      <c r="J1176" s="17" t="str">
        <f>IF(B1176="","",IF(B1175&lt;'02_Eingaben'!$C$36,0,J1175+I1175/'02_Eingaben'!$C$8))</f>
        <v/>
      </c>
    </row>
    <row r="1177" spans="1:10" x14ac:dyDescent="0.25">
      <c r="A1177" t="str">
        <f>IF('01_Rohdaten'!A1177="","",ROW()-1)</f>
        <v/>
      </c>
      <c r="B1177" s="17" t="str">
        <f>IF('01_Rohdaten'!A1177="","",'01_Rohdaten'!A1177)</f>
        <v/>
      </c>
      <c r="C1177" s="17" t="str">
        <f>IF(B1177="","",INDEX('01_Rohdaten'!B1177:D1177,'02_Eingaben'!$C$13))</f>
        <v/>
      </c>
      <c r="D1177" s="17" t="str">
        <f>IF(C1177="","",C1177*'02_Eingaben'!$C$15)</f>
        <v/>
      </c>
      <c r="E1177" s="17" t="str">
        <f>IF(D1177="","",D1177*'02_Eingaben'!$C$8)</f>
        <v/>
      </c>
      <c r="F1177" s="17" t="str">
        <f>IF(E1177="","",AVERAGE(INDEX($E$2:$E$3001,MAX(1,ROW()-1-'02_Eingaben'!$C$17)):INDEX($E$2:$E$3001,MIN('02_Eingaben'!$C$21,ROW()-1+'02_Eingaben'!$C$17))))</f>
        <v/>
      </c>
      <c r="G1177" s="17" t="str">
        <f>IF(F1177="","",F1177-'02_Eingaben'!$C$10)</f>
        <v/>
      </c>
      <c r="H1177" t="str">
        <f>IF(F1177="","",IF(F1177&lt;'02_Eingaben'!$C$18*'02_Eingaben'!$C$10,1,0))</f>
        <v/>
      </c>
      <c r="I1177" s="17" t="str">
        <f t="shared" si="18"/>
        <v/>
      </c>
      <c r="J1177" s="17" t="str">
        <f>IF(B1177="","",IF(B1176&lt;'02_Eingaben'!$C$36,0,J1176+I1176/'02_Eingaben'!$C$8))</f>
        <v/>
      </c>
    </row>
    <row r="1178" spans="1:10" x14ac:dyDescent="0.25">
      <c r="A1178" t="str">
        <f>IF('01_Rohdaten'!A1178="","",ROW()-1)</f>
        <v/>
      </c>
      <c r="B1178" s="17" t="str">
        <f>IF('01_Rohdaten'!A1178="","",'01_Rohdaten'!A1178)</f>
        <v/>
      </c>
      <c r="C1178" s="17" t="str">
        <f>IF(B1178="","",INDEX('01_Rohdaten'!B1178:D1178,'02_Eingaben'!$C$13))</f>
        <v/>
      </c>
      <c r="D1178" s="17" t="str">
        <f>IF(C1178="","",C1178*'02_Eingaben'!$C$15)</f>
        <v/>
      </c>
      <c r="E1178" s="17" t="str">
        <f>IF(D1178="","",D1178*'02_Eingaben'!$C$8)</f>
        <v/>
      </c>
      <c r="F1178" s="17" t="str">
        <f>IF(E1178="","",AVERAGE(INDEX($E$2:$E$3001,MAX(1,ROW()-1-'02_Eingaben'!$C$17)):INDEX($E$2:$E$3001,MIN('02_Eingaben'!$C$21,ROW()-1+'02_Eingaben'!$C$17))))</f>
        <v/>
      </c>
      <c r="G1178" s="17" t="str">
        <f>IF(F1178="","",F1178-'02_Eingaben'!$C$10)</f>
        <v/>
      </c>
      <c r="H1178" t="str">
        <f>IF(F1178="","",IF(F1178&lt;'02_Eingaben'!$C$18*'02_Eingaben'!$C$10,1,0))</f>
        <v/>
      </c>
      <c r="I1178" s="17" t="str">
        <f t="shared" si="18"/>
        <v/>
      </c>
      <c r="J1178" s="17" t="str">
        <f>IF(B1178="","",IF(B1177&lt;'02_Eingaben'!$C$36,0,J1177+I1177/'02_Eingaben'!$C$8))</f>
        <v/>
      </c>
    </row>
    <row r="1179" spans="1:10" x14ac:dyDescent="0.25">
      <c r="A1179" t="str">
        <f>IF('01_Rohdaten'!A1179="","",ROW()-1)</f>
        <v/>
      </c>
      <c r="B1179" s="17" t="str">
        <f>IF('01_Rohdaten'!A1179="","",'01_Rohdaten'!A1179)</f>
        <v/>
      </c>
      <c r="C1179" s="17" t="str">
        <f>IF(B1179="","",INDEX('01_Rohdaten'!B1179:D1179,'02_Eingaben'!$C$13))</f>
        <v/>
      </c>
      <c r="D1179" s="17" t="str">
        <f>IF(C1179="","",C1179*'02_Eingaben'!$C$15)</f>
        <v/>
      </c>
      <c r="E1179" s="17" t="str">
        <f>IF(D1179="","",D1179*'02_Eingaben'!$C$8)</f>
        <v/>
      </c>
      <c r="F1179" s="17" t="str">
        <f>IF(E1179="","",AVERAGE(INDEX($E$2:$E$3001,MAX(1,ROW()-1-'02_Eingaben'!$C$17)):INDEX($E$2:$E$3001,MIN('02_Eingaben'!$C$21,ROW()-1+'02_Eingaben'!$C$17))))</f>
        <v/>
      </c>
      <c r="G1179" s="17" t="str">
        <f>IF(F1179="","",F1179-'02_Eingaben'!$C$10)</f>
        <v/>
      </c>
      <c r="H1179" t="str">
        <f>IF(F1179="","",IF(F1179&lt;'02_Eingaben'!$C$18*'02_Eingaben'!$C$10,1,0))</f>
        <v/>
      </c>
      <c r="I1179" s="17" t="str">
        <f t="shared" si="18"/>
        <v/>
      </c>
      <c r="J1179" s="17" t="str">
        <f>IF(B1179="","",IF(B1178&lt;'02_Eingaben'!$C$36,0,J1178+I1178/'02_Eingaben'!$C$8))</f>
        <v/>
      </c>
    </row>
    <row r="1180" spans="1:10" x14ac:dyDescent="0.25">
      <c r="A1180" t="str">
        <f>IF('01_Rohdaten'!A1180="","",ROW()-1)</f>
        <v/>
      </c>
      <c r="B1180" s="17" t="str">
        <f>IF('01_Rohdaten'!A1180="","",'01_Rohdaten'!A1180)</f>
        <v/>
      </c>
      <c r="C1180" s="17" t="str">
        <f>IF(B1180="","",INDEX('01_Rohdaten'!B1180:D1180,'02_Eingaben'!$C$13))</f>
        <v/>
      </c>
      <c r="D1180" s="17" t="str">
        <f>IF(C1180="","",C1180*'02_Eingaben'!$C$15)</f>
        <v/>
      </c>
      <c r="E1180" s="17" t="str">
        <f>IF(D1180="","",D1180*'02_Eingaben'!$C$8)</f>
        <v/>
      </c>
      <c r="F1180" s="17" t="str">
        <f>IF(E1180="","",AVERAGE(INDEX($E$2:$E$3001,MAX(1,ROW()-1-'02_Eingaben'!$C$17)):INDEX($E$2:$E$3001,MIN('02_Eingaben'!$C$21,ROW()-1+'02_Eingaben'!$C$17))))</f>
        <v/>
      </c>
      <c r="G1180" s="17" t="str">
        <f>IF(F1180="","",F1180-'02_Eingaben'!$C$10)</f>
        <v/>
      </c>
      <c r="H1180" t="str">
        <f>IF(F1180="","",IF(F1180&lt;'02_Eingaben'!$C$18*'02_Eingaben'!$C$10,1,0))</f>
        <v/>
      </c>
      <c r="I1180" s="17" t="str">
        <f t="shared" si="18"/>
        <v/>
      </c>
      <c r="J1180" s="17" t="str">
        <f>IF(B1180="","",IF(B1179&lt;'02_Eingaben'!$C$36,0,J1179+I1179/'02_Eingaben'!$C$8))</f>
        <v/>
      </c>
    </row>
    <row r="1181" spans="1:10" x14ac:dyDescent="0.25">
      <c r="A1181" t="str">
        <f>IF('01_Rohdaten'!A1181="","",ROW()-1)</f>
        <v/>
      </c>
      <c r="B1181" s="17" t="str">
        <f>IF('01_Rohdaten'!A1181="","",'01_Rohdaten'!A1181)</f>
        <v/>
      </c>
      <c r="C1181" s="17" t="str">
        <f>IF(B1181="","",INDEX('01_Rohdaten'!B1181:D1181,'02_Eingaben'!$C$13))</f>
        <v/>
      </c>
      <c r="D1181" s="17" t="str">
        <f>IF(C1181="","",C1181*'02_Eingaben'!$C$15)</f>
        <v/>
      </c>
      <c r="E1181" s="17" t="str">
        <f>IF(D1181="","",D1181*'02_Eingaben'!$C$8)</f>
        <v/>
      </c>
      <c r="F1181" s="17" t="str">
        <f>IF(E1181="","",AVERAGE(INDEX($E$2:$E$3001,MAX(1,ROW()-1-'02_Eingaben'!$C$17)):INDEX($E$2:$E$3001,MIN('02_Eingaben'!$C$21,ROW()-1+'02_Eingaben'!$C$17))))</f>
        <v/>
      </c>
      <c r="G1181" s="17" t="str">
        <f>IF(F1181="","",F1181-'02_Eingaben'!$C$10)</f>
        <v/>
      </c>
      <c r="H1181" t="str">
        <f>IF(F1181="","",IF(F1181&lt;'02_Eingaben'!$C$18*'02_Eingaben'!$C$10,1,0))</f>
        <v/>
      </c>
      <c r="I1181" s="17" t="str">
        <f t="shared" si="18"/>
        <v/>
      </c>
      <c r="J1181" s="17" t="str">
        <f>IF(B1181="","",IF(B1180&lt;'02_Eingaben'!$C$36,0,J1180+I1180/'02_Eingaben'!$C$8))</f>
        <v/>
      </c>
    </row>
    <row r="1182" spans="1:10" x14ac:dyDescent="0.25">
      <c r="A1182" t="str">
        <f>IF('01_Rohdaten'!A1182="","",ROW()-1)</f>
        <v/>
      </c>
      <c r="B1182" s="17" t="str">
        <f>IF('01_Rohdaten'!A1182="","",'01_Rohdaten'!A1182)</f>
        <v/>
      </c>
      <c r="C1182" s="17" t="str">
        <f>IF(B1182="","",INDEX('01_Rohdaten'!B1182:D1182,'02_Eingaben'!$C$13))</f>
        <v/>
      </c>
      <c r="D1182" s="17" t="str">
        <f>IF(C1182="","",C1182*'02_Eingaben'!$C$15)</f>
        <v/>
      </c>
      <c r="E1182" s="17" t="str">
        <f>IF(D1182="","",D1182*'02_Eingaben'!$C$8)</f>
        <v/>
      </c>
      <c r="F1182" s="17" t="str">
        <f>IF(E1182="","",AVERAGE(INDEX($E$2:$E$3001,MAX(1,ROW()-1-'02_Eingaben'!$C$17)):INDEX($E$2:$E$3001,MIN('02_Eingaben'!$C$21,ROW()-1+'02_Eingaben'!$C$17))))</f>
        <v/>
      </c>
      <c r="G1182" s="17" t="str">
        <f>IF(F1182="","",F1182-'02_Eingaben'!$C$10)</f>
        <v/>
      </c>
      <c r="H1182" t="str">
        <f>IF(F1182="","",IF(F1182&lt;'02_Eingaben'!$C$18*'02_Eingaben'!$C$10,1,0))</f>
        <v/>
      </c>
      <c r="I1182" s="17" t="str">
        <f t="shared" si="18"/>
        <v/>
      </c>
      <c r="J1182" s="17" t="str">
        <f>IF(B1182="","",IF(B1181&lt;'02_Eingaben'!$C$36,0,J1181+I1181/'02_Eingaben'!$C$8))</f>
        <v/>
      </c>
    </row>
    <row r="1183" spans="1:10" x14ac:dyDescent="0.25">
      <c r="A1183" t="str">
        <f>IF('01_Rohdaten'!A1183="","",ROW()-1)</f>
        <v/>
      </c>
      <c r="B1183" s="17" t="str">
        <f>IF('01_Rohdaten'!A1183="","",'01_Rohdaten'!A1183)</f>
        <v/>
      </c>
      <c r="C1183" s="17" t="str">
        <f>IF(B1183="","",INDEX('01_Rohdaten'!B1183:D1183,'02_Eingaben'!$C$13))</f>
        <v/>
      </c>
      <c r="D1183" s="17" t="str">
        <f>IF(C1183="","",C1183*'02_Eingaben'!$C$15)</f>
        <v/>
      </c>
      <c r="E1183" s="17" t="str">
        <f>IF(D1183="","",D1183*'02_Eingaben'!$C$8)</f>
        <v/>
      </c>
      <c r="F1183" s="17" t="str">
        <f>IF(E1183="","",AVERAGE(INDEX($E$2:$E$3001,MAX(1,ROW()-1-'02_Eingaben'!$C$17)):INDEX($E$2:$E$3001,MIN('02_Eingaben'!$C$21,ROW()-1+'02_Eingaben'!$C$17))))</f>
        <v/>
      </c>
      <c r="G1183" s="17" t="str">
        <f>IF(F1183="","",F1183-'02_Eingaben'!$C$10)</f>
        <v/>
      </c>
      <c r="H1183" t="str">
        <f>IF(F1183="","",IF(F1183&lt;'02_Eingaben'!$C$18*'02_Eingaben'!$C$10,1,0))</f>
        <v/>
      </c>
      <c r="I1183" s="17" t="str">
        <f t="shared" si="18"/>
        <v/>
      </c>
      <c r="J1183" s="17" t="str">
        <f>IF(B1183="","",IF(B1182&lt;'02_Eingaben'!$C$36,0,J1182+I1182/'02_Eingaben'!$C$8))</f>
        <v/>
      </c>
    </row>
    <row r="1184" spans="1:10" x14ac:dyDescent="0.25">
      <c r="A1184" t="str">
        <f>IF('01_Rohdaten'!A1184="","",ROW()-1)</f>
        <v/>
      </c>
      <c r="B1184" s="17" t="str">
        <f>IF('01_Rohdaten'!A1184="","",'01_Rohdaten'!A1184)</f>
        <v/>
      </c>
      <c r="C1184" s="17" t="str">
        <f>IF(B1184="","",INDEX('01_Rohdaten'!B1184:D1184,'02_Eingaben'!$C$13))</f>
        <v/>
      </c>
      <c r="D1184" s="17" t="str">
        <f>IF(C1184="","",C1184*'02_Eingaben'!$C$15)</f>
        <v/>
      </c>
      <c r="E1184" s="17" t="str">
        <f>IF(D1184="","",D1184*'02_Eingaben'!$C$8)</f>
        <v/>
      </c>
      <c r="F1184" s="17" t="str">
        <f>IF(E1184="","",AVERAGE(INDEX($E$2:$E$3001,MAX(1,ROW()-1-'02_Eingaben'!$C$17)):INDEX($E$2:$E$3001,MIN('02_Eingaben'!$C$21,ROW()-1+'02_Eingaben'!$C$17))))</f>
        <v/>
      </c>
      <c r="G1184" s="17" t="str">
        <f>IF(F1184="","",F1184-'02_Eingaben'!$C$10)</f>
        <v/>
      </c>
      <c r="H1184" t="str">
        <f>IF(F1184="","",IF(F1184&lt;'02_Eingaben'!$C$18*'02_Eingaben'!$C$10,1,0))</f>
        <v/>
      </c>
      <c r="I1184" s="17" t="str">
        <f t="shared" si="18"/>
        <v/>
      </c>
      <c r="J1184" s="17" t="str">
        <f>IF(B1184="","",IF(B1183&lt;'02_Eingaben'!$C$36,0,J1183+I1183/'02_Eingaben'!$C$8))</f>
        <v/>
      </c>
    </row>
    <row r="1185" spans="1:10" x14ac:dyDescent="0.25">
      <c r="A1185" t="str">
        <f>IF('01_Rohdaten'!A1185="","",ROW()-1)</f>
        <v/>
      </c>
      <c r="B1185" s="17" t="str">
        <f>IF('01_Rohdaten'!A1185="","",'01_Rohdaten'!A1185)</f>
        <v/>
      </c>
      <c r="C1185" s="17" t="str">
        <f>IF(B1185="","",INDEX('01_Rohdaten'!B1185:D1185,'02_Eingaben'!$C$13))</f>
        <v/>
      </c>
      <c r="D1185" s="17" t="str">
        <f>IF(C1185="","",C1185*'02_Eingaben'!$C$15)</f>
        <v/>
      </c>
      <c r="E1185" s="17" t="str">
        <f>IF(D1185="","",D1185*'02_Eingaben'!$C$8)</f>
        <v/>
      </c>
      <c r="F1185" s="17" t="str">
        <f>IF(E1185="","",AVERAGE(INDEX($E$2:$E$3001,MAX(1,ROW()-1-'02_Eingaben'!$C$17)):INDEX($E$2:$E$3001,MIN('02_Eingaben'!$C$21,ROW()-1+'02_Eingaben'!$C$17))))</f>
        <v/>
      </c>
      <c r="G1185" s="17" t="str">
        <f>IF(F1185="","",F1185-'02_Eingaben'!$C$10)</f>
        <v/>
      </c>
      <c r="H1185" t="str">
        <f>IF(F1185="","",IF(F1185&lt;'02_Eingaben'!$C$18*'02_Eingaben'!$C$10,1,0))</f>
        <v/>
      </c>
      <c r="I1185" s="17" t="str">
        <f t="shared" si="18"/>
        <v/>
      </c>
      <c r="J1185" s="17" t="str">
        <f>IF(B1185="","",IF(B1184&lt;'02_Eingaben'!$C$36,0,J1184+I1184/'02_Eingaben'!$C$8))</f>
        <v/>
      </c>
    </row>
    <row r="1186" spans="1:10" x14ac:dyDescent="0.25">
      <c r="A1186" t="str">
        <f>IF('01_Rohdaten'!A1186="","",ROW()-1)</f>
        <v/>
      </c>
      <c r="B1186" s="17" t="str">
        <f>IF('01_Rohdaten'!A1186="","",'01_Rohdaten'!A1186)</f>
        <v/>
      </c>
      <c r="C1186" s="17" t="str">
        <f>IF(B1186="","",INDEX('01_Rohdaten'!B1186:D1186,'02_Eingaben'!$C$13))</f>
        <v/>
      </c>
      <c r="D1186" s="17" t="str">
        <f>IF(C1186="","",C1186*'02_Eingaben'!$C$15)</f>
        <v/>
      </c>
      <c r="E1186" s="17" t="str">
        <f>IF(D1186="","",D1186*'02_Eingaben'!$C$8)</f>
        <v/>
      </c>
      <c r="F1186" s="17" t="str">
        <f>IF(E1186="","",AVERAGE(INDEX($E$2:$E$3001,MAX(1,ROW()-1-'02_Eingaben'!$C$17)):INDEX($E$2:$E$3001,MIN('02_Eingaben'!$C$21,ROW()-1+'02_Eingaben'!$C$17))))</f>
        <v/>
      </c>
      <c r="G1186" s="17" t="str">
        <f>IF(F1186="","",F1186-'02_Eingaben'!$C$10)</f>
        <v/>
      </c>
      <c r="H1186" t="str">
        <f>IF(F1186="","",IF(F1186&lt;'02_Eingaben'!$C$18*'02_Eingaben'!$C$10,1,0))</f>
        <v/>
      </c>
      <c r="I1186" s="17" t="str">
        <f t="shared" si="18"/>
        <v/>
      </c>
      <c r="J1186" s="17" t="str">
        <f>IF(B1186="","",IF(B1185&lt;'02_Eingaben'!$C$36,0,J1185+I1185/'02_Eingaben'!$C$8))</f>
        <v/>
      </c>
    </row>
    <row r="1187" spans="1:10" x14ac:dyDescent="0.25">
      <c r="A1187" t="str">
        <f>IF('01_Rohdaten'!A1187="","",ROW()-1)</f>
        <v/>
      </c>
      <c r="B1187" s="17" t="str">
        <f>IF('01_Rohdaten'!A1187="","",'01_Rohdaten'!A1187)</f>
        <v/>
      </c>
      <c r="C1187" s="17" t="str">
        <f>IF(B1187="","",INDEX('01_Rohdaten'!B1187:D1187,'02_Eingaben'!$C$13))</f>
        <v/>
      </c>
      <c r="D1187" s="17" t="str">
        <f>IF(C1187="","",C1187*'02_Eingaben'!$C$15)</f>
        <v/>
      </c>
      <c r="E1187" s="17" t="str">
        <f>IF(D1187="","",D1187*'02_Eingaben'!$C$8)</f>
        <v/>
      </c>
      <c r="F1187" s="17" t="str">
        <f>IF(E1187="","",AVERAGE(INDEX($E$2:$E$3001,MAX(1,ROW()-1-'02_Eingaben'!$C$17)):INDEX($E$2:$E$3001,MIN('02_Eingaben'!$C$21,ROW()-1+'02_Eingaben'!$C$17))))</f>
        <v/>
      </c>
      <c r="G1187" s="17" t="str">
        <f>IF(F1187="","",F1187-'02_Eingaben'!$C$10)</f>
        <v/>
      </c>
      <c r="H1187" t="str">
        <f>IF(F1187="","",IF(F1187&lt;'02_Eingaben'!$C$18*'02_Eingaben'!$C$10,1,0))</f>
        <v/>
      </c>
      <c r="I1187" s="17" t="str">
        <f t="shared" si="18"/>
        <v/>
      </c>
      <c r="J1187" s="17" t="str">
        <f>IF(B1187="","",IF(B1186&lt;'02_Eingaben'!$C$36,0,J1186+I1186/'02_Eingaben'!$C$8))</f>
        <v/>
      </c>
    </row>
    <row r="1188" spans="1:10" x14ac:dyDescent="0.25">
      <c r="A1188" t="str">
        <f>IF('01_Rohdaten'!A1188="","",ROW()-1)</f>
        <v/>
      </c>
      <c r="B1188" s="17" t="str">
        <f>IF('01_Rohdaten'!A1188="","",'01_Rohdaten'!A1188)</f>
        <v/>
      </c>
      <c r="C1188" s="17" t="str">
        <f>IF(B1188="","",INDEX('01_Rohdaten'!B1188:D1188,'02_Eingaben'!$C$13))</f>
        <v/>
      </c>
      <c r="D1188" s="17" t="str">
        <f>IF(C1188="","",C1188*'02_Eingaben'!$C$15)</f>
        <v/>
      </c>
      <c r="E1188" s="17" t="str">
        <f>IF(D1188="","",D1188*'02_Eingaben'!$C$8)</f>
        <v/>
      </c>
      <c r="F1188" s="17" t="str">
        <f>IF(E1188="","",AVERAGE(INDEX($E$2:$E$3001,MAX(1,ROW()-1-'02_Eingaben'!$C$17)):INDEX($E$2:$E$3001,MIN('02_Eingaben'!$C$21,ROW()-1+'02_Eingaben'!$C$17))))</f>
        <v/>
      </c>
      <c r="G1188" s="17" t="str">
        <f>IF(F1188="","",F1188-'02_Eingaben'!$C$10)</f>
        <v/>
      </c>
      <c r="H1188" t="str">
        <f>IF(F1188="","",IF(F1188&lt;'02_Eingaben'!$C$18*'02_Eingaben'!$C$10,1,0))</f>
        <v/>
      </c>
      <c r="I1188" s="17" t="str">
        <f t="shared" si="18"/>
        <v/>
      </c>
      <c r="J1188" s="17" t="str">
        <f>IF(B1188="","",IF(B1187&lt;'02_Eingaben'!$C$36,0,J1187+I1187/'02_Eingaben'!$C$8))</f>
        <v/>
      </c>
    </row>
    <row r="1189" spans="1:10" x14ac:dyDescent="0.25">
      <c r="A1189" t="str">
        <f>IF('01_Rohdaten'!A1189="","",ROW()-1)</f>
        <v/>
      </c>
      <c r="B1189" s="17" t="str">
        <f>IF('01_Rohdaten'!A1189="","",'01_Rohdaten'!A1189)</f>
        <v/>
      </c>
      <c r="C1189" s="17" t="str">
        <f>IF(B1189="","",INDEX('01_Rohdaten'!B1189:D1189,'02_Eingaben'!$C$13))</f>
        <v/>
      </c>
      <c r="D1189" s="17" t="str">
        <f>IF(C1189="","",C1189*'02_Eingaben'!$C$15)</f>
        <v/>
      </c>
      <c r="E1189" s="17" t="str">
        <f>IF(D1189="","",D1189*'02_Eingaben'!$C$8)</f>
        <v/>
      </c>
      <c r="F1189" s="17" t="str">
        <f>IF(E1189="","",AVERAGE(INDEX($E$2:$E$3001,MAX(1,ROW()-1-'02_Eingaben'!$C$17)):INDEX($E$2:$E$3001,MIN('02_Eingaben'!$C$21,ROW()-1+'02_Eingaben'!$C$17))))</f>
        <v/>
      </c>
      <c r="G1189" s="17" t="str">
        <f>IF(F1189="","",F1189-'02_Eingaben'!$C$10)</f>
        <v/>
      </c>
      <c r="H1189" t="str">
        <f>IF(F1189="","",IF(F1189&lt;'02_Eingaben'!$C$18*'02_Eingaben'!$C$10,1,0))</f>
        <v/>
      </c>
      <c r="I1189" s="17" t="str">
        <f t="shared" si="18"/>
        <v/>
      </c>
      <c r="J1189" s="17" t="str">
        <f>IF(B1189="","",IF(B1188&lt;'02_Eingaben'!$C$36,0,J1188+I1188/'02_Eingaben'!$C$8))</f>
        <v/>
      </c>
    </row>
    <row r="1190" spans="1:10" x14ac:dyDescent="0.25">
      <c r="A1190" t="str">
        <f>IF('01_Rohdaten'!A1190="","",ROW()-1)</f>
        <v/>
      </c>
      <c r="B1190" s="17" t="str">
        <f>IF('01_Rohdaten'!A1190="","",'01_Rohdaten'!A1190)</f>
        <v/>
      </c>
      <c r="C1190" s="17" t="str">
        <f>IF(B1190="","",INDEX('01_Rohdaten'!B1190:D1190,'02_Eingaben'!$C$13))</f>
        <v/>
      </c>
      <c r="D1190" s="17" t="str">
        <f>IF(C1190="","",C1190*'02_Eingaben'!$C$15)</f>
        <v/>
      </c>
      <c r="E1190" s="17" t="str">
        <f>IF(D1190="","",D1190*'02_Eingaben'!$C$8)</f>
        <v/>
      </c>
      <c r="F1190" s="17" t="str">
        <f>IF(E1190="","",AVERAGE(INDEX($E$2:$E$3001,MAX(1,ROW()-1-'02_Eingaben'!$C$17)):INDEX($E$2:$E$3001,MIN('02_Eingaben'!$C$21,ROW()-1+'02_Eingaben'!$C$17))))</f>
        <v/>
      </c>
      <c r="G1190" s="17" t="str">
        <f>IF(F1190="","",F1190-'02_Eingaben'!$C$10)</f>
        <v/>
      </c>
      <c r="H1190" t="str">
        <f>IF(F1190="","",IF(F1190&lt;'02_Eingaben'!$C$18*'02_Eingaben'!$C$10,1,0))</f>
        <v/>
      </c>
      <c r="I1190" s="17" t="str">
        <f t="shared" si="18"/>
        <v/>
      </c>
      <c r="J1190" s="17" t="str">
        <f>IF(B1190="","",IF(B1189&lt;'02_Eingaben'!$C$36,0,J1189+I1189/'02_Eingaben'!$C$8))</f>
        <v/>
      </c>
    </row>
    <row r="1191" spans="1:10" x14ac:dyDescent="0.25">
      <c r="A1191" t="str">
        <f>IF('01_Rohdaten'!A1191="","",ROW()-1)</f>
        <v/>
      </c>
      <c r="B1191" s="17" t="str">
        <f>IF('01_Rohdaten'!A1191="","",'01_Rohdaten'!A1191)</f>
        <v/>
      </c>
      <c r="C1191" s="17" t="str">
        <f>IF(B1191="","",INDEX('01_Rohdaten'!B1191:D1191,'02_Eingaben'!$C$13))</f>
        <v/>
      </c>
      <c r="D1191" s="17" t="str">
        <f>IF(C1191="","",C1191*'02_Eingaben'!$C$15)</f>
        <v/>
      </c>
      <c r="E1191" s="17" t="str">
        <f>IF(D1191="","",D1191*'02_Eingaben'!$C$8)</f>
        <v/>
      </c>
      <c r="F1191" s="17" t="str">
        <f>IF(E1191="","",AVERAGE(INDEX($E$2:$E$3001,MAX(1,ROW()-1-'02_Eingaben'!$C$17)):INDEX($E$2:$E$3001,MIN('02_Eingaben'!$C$21,ROW()-1+'02_Eingaben'!$C$17))))</f>
        <v/>
      </c>
      <c r="G1191" s="17" t="str">
        <f>IF(F1191="","",F1191-'02_Eingaben'!$C$10)</f>
        <v/>
      </c>
      <c r="H1191" t="str">
        <f>IF(F1191="","",IF(F1191&lt;'02_Eingaben'!$C$18*'02_Eingaben'!$C$10,1,0))</f>
        <v/>
      </c>
      <c r="I1191" s="17" t="str">
        <f t="shared" si="18"/>
        <v/>
      </c>
      <c r="J1191" s="17" t="str">
        <f>IF(B1191="","",IF(B1190&lt;'02_Eingaben'!$C$36,0,J1190+I1190/'02_Eingaben'!$C$8))</f>
        <v/>
      </c>
    </row>
    <row r="1192" spans="1:10" x14ac:dyDescent="0.25">
      <c r="A1192" t="str">
        <f>IF('01_Rohdaten'!A1192="","",ROW()-1)</f>
        <v/>
      </c>
      <c r="B1192" s="17" t="str">
        <f>IF('01_Rohdaten'!A1192="","",'01_Rohdaten'!A1192)</f>
        <v/>
      </c>
      <c r="C1192" s="17" t="str">
        <f>IF(B1192="","",INDEX('01_Rohdaten'!B1192:D1192,'02_Eingaben'!$C$13))</f>
        <v/>
      </c>
      <c r="D1192" s="17" t="str">
        <f>IF(C1192="","",C1192*'02_Eingaben'!$C$15)</f>
        <v/>
      </c>
      <c r="E1192" s="17" t="str">
        <f>IF(D1192="","",D1192*'02_Eingaben'!$C$8)</f>
        <v/>
      </c>
      <c r="F1192" s="17" t="str">
        <f>IF(E1192="","",AVERAGE(INDEX($E$2:$E$3001,MAX(1,ROW()-1-'02_Eingaben'!$C$17)):INDEX($E$2:$E$3001,MIN('02_Eingaben'!$C$21,ROW()-1+'02_Eingaben'!$C$17))))</f>
        <v/>
      </c>
      <c r="G1192" s="17" t="str">
        <f>IF(F1192="","",F1192-'02_Eingaben'!$C$10)</f>
        <v/>
      </c>
      <c r="H1192" t="str">
        <f>IF(F1192="","",IF(F1192&lt;'02_Eingaben'!$C$18*'02_Eingaben'!$C$10,1,0))</f>
        <v/>
      </c>
      <c r="I1192" s="17" t="str">
        <f t="shared" si="18"/>
        <v/>
      </c>
      <c r="J1192" s="17" t="str">
        <f>IF(B1192="","",IF(B1191&lt;'02_Eingaben'!$C$36,0,J1191+I1191/'02_Eingaben'!$C$8))</f>
        <v/>
      </c>
    </row>
    <row r="1193" spans="1:10" x14ac:dyDescent="0.25">
      <c r="A1193" t="str">
        <f>IF('01_Rohdaten'!A1193="","",ROW()-1)</f>
        <v/>
      </c>
      <c r="B1193" s="17" t="str">
        <f>IF('01_Rohdaten'!A1193="","",'01_Rohdaten'!A1193)</f>
        <v/>
      </c>
      <c r="C1193" s="17" t="str">
        <f>IF(B1193="","",INDEX('01_Rohdaten'!B1193:D1193,'02_Eingaben'!$C$13))</f>
        <v/>
      </c>
      <c r="D1193" s="17" t="str">
        <f>IF(C1193="","",C1193*'02_Eingaben'!$C$15)</f>
        <v/>
      </c>
      <c r="E1193" s="17" t="str">
        <f>IF(D1193="","",D1193*'02_Eingaben'!$C$8)</f>
        <v/>
      </c>
      <c r="F1193" s="17" t="str">
        <f>IF(E1193="","",AVERAGE(INDEX($E$2:$E$3001,MAX(1,ROW()-1-'02_Eingaben'!$C$17)):INDEX($E$2:$E$3001,MIN('02_Eingaben'!$C$21,ROW()-1+'02_Eingaben'!$C$17))))</f>
        <v/>
      </c>
      <c r="G1193" s="17" t="str">
        <f>IF(F1193="","",F1193-'02_Eingaben'!$C$10)</f>
        <v/>
      </c>
      <c r="H1193" t="str">
        <f>IF(F1193="","",IF(F1193&lt;'02_Eingaben'!$C$18*'02_Eingaben'!$C$10,1,0))</f>
        <v/>
      </c>
      <c r="I1193" s="17" t="str">
        <f t="shared" si="18"/>
        <v/>
      </c>
      <c r="J1193" s="17" t="str">
        <f>IF(B1193="","",IF(B1192&lt;'02_Eingaben'!$C$36,0,J1192+I1192/'02_Eingaben'!$C$8))</f>
        <v/>
      </c>
    </row>
    <row r="1194" spans="1:10" x14ac:dyDescent="0.25">
      <c r="A1194" t="str">
        <f>IF('01_Rohdaten'!A1194="","",ROW()-1)</f>
        <v/>
      </c>
      <c r="B1194" s="17" t="str">
        <f>IF('01_Rohdaten'!A1194="","",'01_Rohdaten'!A1194)</f>
        <v/>
      </c>
      <c r="C1194" s="17" t="str">
        <f>IF(B1194="","",INDEX('01_Rohdaten'!B1194:D1194,'02_Eingaben'!$C$13))</f>
        <v/>
      </c>
      <c r="D1194" s="17" t="str">
        <f>IF(C1194="","",C1194*'02_Eingaben'!$C$15)</f>
        <v/>
      </c>
      <c r="E1194" s="17" t="str">
        <f>IF(D1194="","",D1194*'02_Eingaben'!$C$8)</f>
        <v/>
      </c>
      <c r="F1194" s="17" t="str">
        <f>IF(E1194="","",AVERAGE(INDEX($E$2:$E$3001,MAX(1,ROW()-1-'02_Eingaben'!$C$17)):INDEX($E$2:$E$3001,MIN('02_Eingaben'!$C$21,ROW()-1+'02_Eingaben'!$C$17))))</f>
        <v/>
      </c>
      <c r="G1194" s="17" t="str">
        <f>IF(F1194="","",F1194-'02_Eingaben'!$C$10)</f>
        <v/>
      </c>
      <c r="H1194" t="str">
        <f>IF(F1194="","",IF(F1194&lt;'02_Eingaben'!$C$18*'02_Eingaben'!$C$10,1,0))</f>
        <v/>
      </c>
      <c r="I1194" s="17" t="str">
        <f t="shared" si="18"/>
        <v/>
      </c>
      <c r="J1194" s="17" t="str">
        <f>IF(B1194="","",IF(B1193&lt;'02_Eingaben'!$C$36,0,J1193+I1193/'02_Eingaben'!$C$8))</f>
        <v/>
      </c>
    </row>
    <row r="1195" spans="1:10" x14ac:dyDescent="0.25">
      <c r="A1195" t="str">
        <f>IF('01_Rohdaten'!A1195="","",ROW()-1)</f>
        <v/>
      </c>
      <c r="B1195" s="17" t="str">
        <f>IF('01_Rohdaten'!A1195="","",'01_Rohdaten'!A1195)</f>
        <v/>
      </c>
      <c r="C1195" s="17" t="str">
        <f>IF(B1195="","",INDEX('01_Rohdaten'!B1195:D1195,'02_Eingaben'!$C$13))</f>
        <v/>
      </c>
      <c r="D1195" s="17" t="str">
        <f>IF(C1195="","",C1195*'02_Eingaben'!$C$15)</f>
        <v/>
      </c>
      <c r="E1195" s="17" t="str">
        <f>IF(D1195="","",D1195*'02_Eingaben'!$C$8)</f>
        <v/>
      </c>
      <c r="F1195" s="17" t="str">
        <f>IF(E1195="","",AVERAGE(INDEX($E$2:$E$3001,MAX(1,ROW()-1-'02_Eingaben'!$C$17)):INDEX($E$2:$E$3001,MIN('02_Eingaben'!$C$21,ROW()-1+'02_Eingaben'!$C$17))))</f>
        <v/>
      </c>
      <c r="G1195" s="17" t="str">
        <f>IF(F1195="","",F1195-'02_Eingaben'!$C$10)</f>
        <v/>
      </c>
      <c r="H1195" t="str">
        <f>IF(F1195="","",IF(F1195&lt;'02_Eingaben'!$C$18*'02_Eingaben'!$C$10,1,0))</f>
        <v/>
      </c>
      <c r="I1195" s="17" t="str">
        <f t="shared" si="18"/>
        <v/>
      </c>
      <c r="J1195" s="17" t="str">
        <f>IF(B1195="","",IF(B1194&lt;'02_Eingaben'!$C$36,0,J1194+I1194/'02_Eingaben'!$C$8))</f>
        <v/>
      </c>
    </row>
    <row r="1196" spans="1:10" x14ac:dyDescent="0.25">
      <c r="A1196" t="str">
        <f>IF('01_Rohdaten'!A1196="","",ROW()-1)</f>
        <v/>
      </c>
      <c r="B1196" s="17" t="str">
        <f>IF('01_Rohdaten'!A1196="","",'01_Rohdaten'!A1196)</f>
        <v/>
      </c>
      <c r="C1196" s="17" t="str">
        <f>IF(B1196="","",INDEX('01_Rohdaten'!B1196:D1196,'02_Eingaben'!$C$13))</f>
        <v/>
      </c>
      <c r="D1196" s="17" t="str">
        <f>IF(C1196="","",C1196*'02_Eingaben'!$C$15)</f>
        <v/>
      </c>
      <c r="E1196" s="17" t="str">
        <f>IF(D1196="","",D1196*'02_Eingaben'!$C$8)</f>
        <v/>
      </c>
      <c r="F1196" s="17" t="str">
        <f>IF(E1196="","",AVERAGE(INDEX($E$2:$E$3001,MAX(1,ROW()-1-'02_Eingaben'!$C$17)):INDEX($E$2:$E$3001,MIN('02_Eingaben'!$C$21,ROW()-1+'02_Eingaben'!$C$17))))</f>
        <v/>
      </c>
      <c r="G1196" s="17" t="str">
        <f>IF(F1196="","",F1196-'02_Eingaben'!$C$10)</f>
        <v/>
      </c>
      <c r="H1196" t="str">
        <f>IF(F1196="","",IF(F1196&lt;'02_Eingaben'!$C$18*'02_Eingaben'!$C$10,1,0))</f>
        <v/>
      </c>
      <c r="I1196" s="17" t="str">
        <f t="shared" si="18"/>
        <v/>
      </c>
      <c r="J1196" s="17" t="str">
        <f>IF(B1196="","",IF(B1195&lt;'02_Eingaben'!$C$36,0,J1195+I1195/'02_Eingaben'!$C$8))</f>
        <v/>
      </c>
    </row>
    <row r="1197" spans="1:10" x14ac:dyDescent="0.25">
      <c r="A1197" t="str">
        <f>IF('01_Rohdaten'!A1197="","",ROW()-1)</f>
        <v/>
      </c>
      <c r="B1197" s="17" t="str">
        <f>IF('01_Rohdaten'!A1197="","",'01_Rohdaten'!A1197)</f>
        <v/>
      </c>
      <c r="C1197" s="17" t="str">
        <f>IF(B1197="","",INDEX('01_Rohdaten'!B1197:D1197,'02_Eingaben'!$C$13))</f>
        <v/>
      </c>
      <c r="D1197" s="17" t="str">
        <f>IF(C1197="","",C1197*'02_Eingaben'!$C$15)</f>
        <v/>
      </c>
      <c r="E1197" s="17" t="str">
        <f>IF(D1197="","",D1197*'02_Eingaben'!$C$8)</f>
        <v/>
      </c>
      <c r="F1197" s="17" t="str">
        <f>IF(E1197="","",AVERAGE(INDEX($E$2:$E$3001,MAX(1,ROW()-1-'02_Eingaben'!$C$17)):INDEX($E$2:$E$3001,MIN('02_Eingaben'!$C$21,ROW()-1+'02_Eingaben'!$C$17))))</f>
        <v/>
      </c>
      <c r="G1197" s="17" t="str">
        <f>IF(F1197="","",F1197-'02_Eingaben'!$C$10)</f>
        <v/>
      </c>
      <c r="H1197" t="str">
        <f>IF(F1197="","",IF(F1197&lt;'02_Eingaben'!$C$18*'02_Eingaben'!$C$10,1,0))</f>
        <v/>
      </c>
      <c r="I1197" s="17" t="str">
        <f t="shared" si="18"/>
        <v/>
      </c>
      <c r="J1197" s="17" t="str">
        <f>IF(B1197="","",IF(B1196&lt;'02_Eingaben'!$C$36,0,J1196+I1196/'02_Eingaben'!$C$8))</f>
        <v/>
      </c>
    </row>
    <row r="1198" spans="1:10" x14ac:dyDescent="0.25">
      <c r="A1198" t="str">
        <f>IF('01_Rohdaten'!A1198="","",ROW()-1)</f>
        <v/>
      </c>
      <c r="B1198" s="17" t="str">
        <f>IF('01_Rohdaten'!A1198="","",'01_Rohdaten'!A1198)</f>
        <v/>
      </c>
      <c r="C1198" s="17" t="str">
        <f>IF(B1198="","",INDEX('01_Rohdaten'!B1198:D1198,'02_Eingaben'!$C$13))</f>
        <v/>
      </c>
      <c r="D1198" s="17" t="str">
        <f>IF(C1198="","",C1198*'02_Eingaben'!$C$15)</f>
        <v/>
      </c>
      <c r="E1198" s="17" t="str">
        <f>IF(D1198="","",D1198*'02_Eingaben'!$C$8)</f>
        <v/>
      </c>
      <c r="F1198" s="17" t="str">
        <f>IF(E1198="","",AVERAGE(INDEX($E$2:$E$3001,MAX(1,ROW()-1-'02_Eingaben'!$C$17)):INDEX($E$2:$E$3001,MIN('02_Eingaben'!$C$21,ROW()-1+'02_Eingaben'!$C$17))))</f>
        <v/>
      </c>
      <c r="G1198" s="17" t="str">
        <f>IF(F1198="","",F1198-'02_Eingaben'!$C$10)</f>
        <v/>
      </c>
      <c r="H1198" t="str">
        <f>IF(F1198="","",IF(F1198&lt;'02_Eingaben'!$C$18*'02_Eingaben'!$C$10,1,0))</f>
        <v/>
      </c>
      <c r="I1198" s="17" t="str">
        <f t="shared" si="18"/>
        <v/>
      </c>
      <c r="J1198" s="17" t="str">
        <f>IF(B1198="","",IF(B1197&lt;'02_Eingaben'!$C$36,0,J1197+I1197/'02_Eingaben'!$C$8))</f>
        <v/>
      </c>
    </row>
    <row r="1199" spans="1:10" x14ac:dyDescent="0.25">
      <c r="A1199" t="str">
        <f>IF('01_Rohdaten'!A1199="","",ROW()-1)</f>
        <v/>
      </c>
      <c r="B1199" s="17" t="str">
        <f>IF('01_Rohdaten'!A1199="","",'01_Rohdaten'!A1199)</f>
        <v/>
      </c>
      <c r="C1199" s="17" t="str">
        <f>IF(B1199="","",INDEX('01_Rohdaten'!B1199:D1199,'02_Eingaben'!$C$13))</f>
        <v/>
      </c>
      <c r="D1199" s="17" t="str">
        <f>IF(C1199="","",C1199*'02_Eingaben'!$C$15)</f>
        <v/>
      </c>
      <c r="E1199" s="17" t="str">
        <f>IF(D1199="","",D1199*'02_Eingaben'!$C$8)</f>
        <v/>
      </c>
      <c r="F1199" s="17" t="str">
        <f>IF(E1199="","",AVERAGE(INDEX($E$2:$E$3001,MAX(1,ROW()-1-'02_Eingaben'!$C$17)):INDEX($E$2:$E$3001,MIN('02_Eingaben'!$C$21,ROW()-1+'02_Eingaben'!$C$17))))</f>
        <v/>
      </c>
      <c r="G1199" s="17" t="str">
        <f>IF(F1199="","",F1199-'02_Eingaben'!$C$10)</f>
        <v/>
      </c>
      <c r="H1199" t="str">
        <f>IF(F1199="","",IF(F1199&lt;'02_Eingaben'!$C$18*'02_Eingaben'!$C$10,1,0))</f>
        <v/>
      </c>
      <c r="I1199" s="17" t="str">
        <f t="shared" si="18"/>
        <v/>
      </c>
      <c r="J1199" s="17" t="str">
        <f>IF(B1199="","",IF(B1198&lt;'02_Eingaben'!$C$36,0,J1198+I1198/'02_Eingaben'!$C$8))</f>
        <v/>
      </c>
    </row>
    <row r="1200" spans="1:10" x14ac:dyDescent="0.25">
      <c r="A1200" t="str">
        <f>IF('01_Rohdaten'!A1200="","",ROW()-1)</f>
        <v/>
      </c>
      <c r="B1200" s="17" t="str">
        <f>IF('01_Rohdaten'!A1200="","",'01_Rohdaten'!A1200)</f>
        <v/>
      </c>
      <c r="C1200" s="17" t="str">
        <f>IF(B1200="","",INDEX('01_Rohdaten'!B1200:D1200,'02_Eingaben'!$C$13))</f>
        <v/>
      </c>
      <c r="D1200" s="17" t="str">
        <f>IF(C1200="","",C1200*'02_Eingaben'!$C$15)</f>
        <v/>
      </c>
      <c r="E1200" s="17" t="str">
        <f>IF(D1200="","",D1200*'02_Eingaben'!$C$8)</f>
        <v/>
      </c>
      <c r="F1200" s="17" t="str">
        <f>IF(E1200="","",AVERAGE(INDEX($E$2:$E$3001,MAX(1,ROW()-1-'02_Eingaben'!$C$17)):INDEX($E$2:$E$3001,MIN('02_Eingaben'!$C$21,ROW()-1+'02_Eingaben'!$C$17))))</f>
        <v/>
      </c>
      <c r="G1200" s="17" t="str">
        <f>IF(F1200="","",F1200-'02_Eingaben'!$C$10)</f>
        <v/>
      </c>
      <c r="H1200" t="str">
        <f>IF(F1200="","",IF(F1200&lt;'02_Eingaben'!$C$18*'02_Eingaben'!$C$10,1,0))</f>
        <v/>
      </c>
      <c r="I1200" s="17" t="str">
        <f t="shared" si="18"/>
        <v/>
      </c>
      <c r="J1200" s="17" t="str">
        <f>IF(B1200="","",IF(B1199&lt;'02_Eingaben'!$C$36,0,J1199+I1199/'02_Eingaben'!$C$8))</f>
        <v/>
      </c>
    </row>
    <row r="1201" spans="1:10" x14ac:dyDescent="0.25">
      <c r="A1201" t="str">
        <f>IF('01_Rohdaten'!A1201="","",ROW()-1)</f>
        <v/>
      </c>
      <c r="B1201" s="17" t="str">
        <f>IF('01_Rohdaten'!A1201="","",'01_Rohdaten'!A1201)</f>
        <v/>
      </c>
      <c r="C1201" s="17" t="str">
        <f>IF(B1201="","",INDEX('01_Rohdaten'!B1201:D1201,'02_Eingaben'!$C$13))</f>
        <v/>
      </c>
      <c r="D1201" s="17" t="str">
        <f>IF(C1201="","",C1201*'02_Eingaben'!$C$15)</f>
        <v/>
      </c>
      <c r="E1201" s="17" t="str">
        <f>IF(D1201="","",D1201*'02_Eingaben'!$C$8)</f>
        <v/>
      </c>
      <c r="F1201" s="17" t="str">
        <f>IF(E1201="","",AVERAGE(INDEX($E$2:$E$3001,MAX(1,ROW()-1-'02_Eingaben'!$C$17)):INDEX($E$2:$E$3001,MIN('02_Eingaben'!$C$21,ROW()-1+'02_Eingaben'!$C$17))))</f>
        <v/>
      </c>
      <c r="G1201" s="17" t="str">
        <f>IF(F1201="","",F1201-'02_Eingaben'!$C$10)</f>
        <v/>
      </c>
      <c r="H1201" t="str">
        <f>IF(F1201="","",IF(F1201&lt;'02_Eingaben'!$C$18*'02_Eingaben'!$C$10,1,0))</f>
        <v/>
      </c>
      <c r="I1201" s="17" t="str">
        <f t="shared" si="18"/>
        <v/>
      </c>
      <c r="J1201" s="17" t="str">
        <f>IF(B1201="","",IF(B1200&lt;'02_Eingaben'!$C$36,0,J1200+I1200/'02_Eingaben'!$C$8))</f>
        <v/>
      </c>
    </row>
    <row r="1202" spans="1:10" x14ac:dyDescent="0.25">
      <c r="A1202" t="str">
        <f>IF('01_Rohdaten'!A1202="","",ROW()-1)</f>
        <v/>
      </c>
      <c r="B1202" s="17" t="str">
        <f>IF('01_Rohdaten'!A1202="","",'01_Rohdaten'!A1202)</f>
        <v/>
      </c>
      <c r="C1202" s="17" t="str">
        <f>IF(B1202="","",INDEX('01_Rohdaten'!B1202:D1202,'02_Eingaben'!$C$13))</f>
        <v/>
      </c>
      <c r="D1202" s="17" t="str">
        <f>IF(C1202="","",C1202*'02_Eingaben'!$C$15)</f>
        <v/>
      </c>
      <c r="E1202" s="17" t="str">
        <f>IF(D1202="","",D1202*'02_Eingaben'!$C$8)</f>
        <v/>
      </c>
      <c r="F1202" s="17" t="str">
        <f>IF(E1202="","",AVERAGE(INDEX($E$2:$E$3001,MAX(1,ROW()-1-'02_Eingaben'!$C$17)):INDEX($E$2:$E$3001,MIN('02_Eingaben'!$C$21,ROW()-1+'02_Eingaben'!$C$17))))</f>
        <v/>
      </c>
      <c r="G1202" s="17" t="str">
        <f>IF(F1202="","",F1202-'02_Eingaben'!$C$10)</f>
        <v/>
      </c>
      <c r="H1202" t="str">
        <f>IF(F1202="","",IF(F1202&lt;'02_Eingaben'!$C$18*'02_Eingaben'!$C$10,1,0))</f>
        <v/>
      </c>
      <c r="I1202" s="17" t="str">
        <f t="shared" si="18"/>
        <v/>
      </c>
      <c r="J1202" s="17" t="str">
        <f>IF(B1202="","",IF(B1201&lt;'02_Eingaben'!$C$36,0,J1201+I1201/'02_Eingaben'!$C$8))</f>
        <v/>
      </c>
    </row>
    <row r="1203" spans="1:10" x14ac:dyDescent="0.25">
      <c r="A1203" t="str">
        <f>IF('01_Rohdaten'!A1203="","",ROW()-1)</f>
        <v/>
      </c>
      <c r="B1203" s="17" t="str">
        <f>IF('01_Rohdaten'!A1203="","",'01_Rohdaten'!A1203)</f>
        <v/>
      </c>
      <c r="C1203" s="17" t="str">
        <f>IF(B1203="","",INDEX('01_Rohdaten'!B1203:D1203,'02_Eingaben'!$C$13))</f>
        <v/>
      </c>
      <c r="D1203" s="17" t="str">
        <f>IF(C1203="","",C1203*'02_Eingaben'!$C$15)</f>
        <v/>
      </c>
      <c r="E1203" s="17" t="str">
        <f>IF(D1203="","",D1203*'02_Eingaben'!$C$8)</f>
        <v/>
      </c>
      <c r="F1203" s="17" t="str">
        <f>IF(E1203="","",AVERAGE(INDEX($E$2:$E$3001,MAX(1,ROW()-1-'02_Eingaben'!$C$17)):INDEX($E$2:$E$3001,MIN('02_Eingaben'!$C$21,ROW()-1+'02_Eingaben'!$C$17))))</f>
        <v/>
      </c>
      <c r="G1203" s="17" t="str">
        <f>IF(F1203="","",F1203-'02_Eingaben'!$C$10)</f>
        <v/>
      </c>
      <c r="H1203" t="str">
        <f>IF(F1203="","",IF(F1203&lt;'02_Eingaben'!$C$18*'02_Eingaben'!$C$10,1,0))</f>
        <v/>
      </c>
      <c r="I1203" s="17" t="str">
        <f t="shared" si="18"/>
        <v/>
      </c>
      <c r="J1203" s="17" t="str">
        <f>IF(B1203="","",IF(B1202&lt;'02_Eingaben'!$C$36,0,J1202+I1202/'02_Eingaben'!$C$8))</f>
        <v/>
      </c>
    </row>
    <row r="1204" spans="1:10" x14ac:dyDescent="0.25">
      <c r="A1204" t="str">
        <f>IF('01_Rohdaten'!A1204="","",ROW()-1)</f>
        <v/>
      </c>
      <c r="B1204" s="17" t="str">
        <f>IF('01_Rohdaten'!A1204="","",'01_Rohdaten'!A1204)</f>
        <v/>
      </c>
      <c r="C1204" s="17" t="str">
        <f>IF(B1204="","",INDEX('01_Rohdaten'!B1204:D1204,'02_Eingaben'!$C$13))</f>
        <v/>
      </c>
      <c r="D1204" s="17" t="str">
        <f>IF(C1204="","",C1204*'02_Eingaben'!$C$15)</f>
        <v/>
      </c>
      <c r="E1204" s="17" t="str">
        <f>IF(D1204="","",D1204*'02_Eingaben'!$C$8)</f>
        <v/>
      </c>
      <c r="F1204" s="17" t="str">
        <f>IF(E1204="","",AVERAGE(INDEX($E$2:$E$3001,MAX(1,ROW()-1-'02_Eingaben'!$C$17)):INDEX($E$2:$E$3001,MIN('02_Eingaben'!$C$21,ROW()-1+'02_Eingaben'!$C$17))))</f>
        <v/>
      </c>
      <c r="G1204" s="17" t="str">
        <f>IF(F1204="","",F1204-'02_Eingaben'!$C$10)</f>
        <v/>
      </c>
      <c r="H1204" t="str">
        <f>IF(F1204="","",IF(F1204&lt;'02_Eingaben'!$C$18*'02_Eingaben'!$C$10,1,0))</f>
        <v/>
      </c>
      <c r="I1204" s="17" t="str">
        <f t="shared" si="18"/>
        <v/>
      </c>
      <c r="J1204" s="17" t="str">
        <f>IF(B1204="","",IF(B1203&lt;'02_Eingaben'!$C$36,0,J1203+I1203/'02_Eingaben'!$C$8))</f>
        <v/>
      </c>
    </row>
    <row r="1205" spans="1:10" x14ac:dyDescent="0.25">
      <c r="A1205" t="str">
        <f>IF('01_Rohdaten'!A1205="","",ROW()-1)</f>
        <v/>
      </c>
      <c r="B1205" s="17" t="str">
        <f>IF('01_Rohdaten'!A1205="","",'01_Rohdaten'!A1205)</f>
        <v/>
      </c>
      <c r="C1205" s="17" t="str">
        <f>IF(B1205="","",INDEX('01_Rohdaten'!B1205:D1205,'02_Eingaben'!$C$13))</f>
        <v/>
      </c>
      <c r="D1205" s="17" t="str">
        <f>IF(C1205="","",C1205*'02_Eingaben'!$C$15)</f>
        <v/>
      </c>
      <c r="E1205" s="17" t="str">
        <f>IF(D1205="","",D1205*'02_Eingaben'!$C$8)</f>
        <v/>
      </c>
      <c r="F1205" s="17" t="str">
        <f>IF(E1205="","",AVERAGE(INDEX($E$2:$E$3001,MAX(1,ROW()-1-'02_Eingaben'!$C$17)):INDEX($E$2:$E$3001,MIN('02_Eingaben'!$C$21,ROW()-1+'02_Eingaben'!$C$17))))</f>
        <v/>
      </c>
      <c r="G1205" s="17" t="str">
        <f>IF(F1205="","",F1205-'02_Eingaben'!$C$10)</f>
        <v/>
      </c>
      <c r="H1205" t="str">
        <f>IF(F1205="","",IF(F1205&lt;'02_Eingaben'!$C$18*'02_Eingaben'!$C$10,1,0))</f>
        <v/>
      </c>
      <c r="I1205" s="17" t="str">
        <f t="shared" si="18"/>
        <v/>
      </c>
      <c r="J1205" s="17" t="str">
        <f>IF(B1205="","",IF(B1204&lt;'02_Eingaben'!$C$36,0,J1204+I1204/'02_Eingaben'!$C$8))</f>
        <v/>
      </c>
    </row>
    <row r="1206" spans="1:10" x14ac:dyDescent="0.25">
      <c r="A1206" t="str">
        <f>IF('01_Rohdaten'!A1206="","",ROW()-1)</f>
        <v/>
      </c>
      <c r="B1206" s="17" t="str">
        <f>IF('01_Rohdaten'!A1206="","",'01_Rohdaten'!A1206)</f>
        <v/>
      </c>
      <c r="C1206" s="17" t="str">
        <f>IF(B1206="","",INDEX('01_Rohdaten'!B1206:D1206,'02_Eingaben'!$C$13))</f>
        <v/>
      </c>
      <c r="D1206" s="17" t="str">
        <f>IF(C1206="","",C1206*'02_Eingaben'!$C$15)</f>
        <v/>
      </c>
      <c r="E1206" s="17" t="str">
        <f>IF(D1206="","",D1206*'02_Eingaben'!$C$8)</f>
        <v/>
      </c>
      <c r="F1206" s="17" t="str">
        <f>IF(E1206="","",AVERAGE(INDEX($E$2:$E$3001,MAX(1,ROW()-1-'02_Eingaben'!$C$17)):INDEX($E$2:$E$3001,MIN('02_Eingaben'!$C$21,ROW()-1+'02_Eingaben'!$C$17))))</f>
        <v/>
      </c>
      <c r="G1206" s="17" t="str">
        <f>IF(F1206="","",F1206-'02_Eingaben'!$C$10)</f>
        <v/>
      </c>
      <c r="H1206" t="str">
        <f>IF(F1206="","",IF(F1206&lt;'02_Eingaben'!$C$18*'02_Eingaben'!$C$10,1,0))</f>
        <v/>
      </c>
      <c r="I1206" s="17" t="str">
        <f t="shared" si="18"/>
        <v/>
      </c>
      <c r="J1206" s="17" t="str">
        <f>IF(B1206="","",IF(B1205&lt;'02_Eingaben'!$C$36,0,J1205+I1205/'02_Eingaben'!$C$8))</f>
        <v/>
      </c>
    </row>
    <row r="1207" spans="1:10" x14ac:dyDescent="0.25">
      <c r="A1207" t="str">
        <f>IF('01_Rohdaten'!A1207="","",ROW()-1)</f>
        <v/>
      </c>
      <c r="B1207" s="17" t="str">
        <f>IF('01_Rohdaten'!A1207="","",'01_Rohdaten'!A1207)</f>
        <v/>
      </c>
      <c r="C1207" s="17" t="str">
        <f>IF(B1207="","",INDEX('01_Rohdaten'!B1207:D1207,'02_Eingaben'!$C$13))</f>
        <v/>
      </c>
      <c r="D1207" s="17" t="str">
        <f>IF(C1207="","",C1207*'02_Eingaben'!$C$15)</f>
        <v/>
      </c>
      <c r="E1207" s="17" t="str">
        <f>IF(D1207="","",D1207*'02_Eingaben'!$C$8)</f>
        <v/>
      </c>
      <c r="F1207" s="17" t="str">
        <f>IF(E1207="","",AVERAGE(INDEX($E$2:$E$3001,MAX(1,ROW()-1-'02_Eingaben'!$C$17)):INDEX($E$2:$E$3001,MIN('02_Eingaben'!$C$21,ROW()-1+'02_Eingaben'!$C$17))))</f>
        <v/>
      </c>
      <c r="G1207" s="17" t="str">
        <f>IF(F1207="","",F1207-'02_Eingaben'!$C$10)</f>
        <v/>
      </c>
      <c r="H1207" t="str">
        <f>IF(F1207="","",IF(F1207&lt;'02_Eingaben'!$C$18*'02_Eingaben'!$C$10,1,0))</f>
        <v/>
      </c>
      <c r="I1207" s="17" t="str">
        <f t="shared" si="18"/>
        <v/>
      </c>
      <c r="J1207" s="17" t="str">
        <f>IF(B1207="","",IF(B1206&lt;'02_Eingaben'!$C$36,0,J1206+I1206/'02_Eingaben'!$C$8))</f>
        <v/>
      </c>
    </row>
    <row r="1208" spans="1:10" x14ac:dyDescent="0.25">
      <c r="A1208" t="str">
        <f>IF('01_Rohdaten'!A1208="","",ROW()-1)</f>
        <v/>
      </c>
      <c r="B1208" s="17" t="str">
        <f>IF('01_Rohdaten'!A1208="","",'01_Rohdaten'!A1208)</f>
        <v/>
      </c>
      <c r="C1208" s="17" t="str">
        <f>IF(B1208="","",INDEX('01_Rohdaten'!B1208:D1208,'02_Eingaben'!$C$13))</f>
        <v/>
      </c>
      <c r="D1208" s="17" t="str">
        <f>IF(C1208="","",C1208*'02_Eingaben'!$C$15)</f>
        <v/>
      </c>
      <c r="E1208" s="17" t="str">
        <f>IF(D1208="","",D1208*'02_Eingaben'!$C$8)</f>
        <v/>
      </c>
      <c r="F1208" s="17" t="str">
        <f>IF(E1208="","",AVERAGE(INDEX($E$2:$E$3001,MAX(1,ROW()-1-'02_Eingaben'!$C$17)):INDEX($E$2:$E$3001,MIN('02_Eingaben'!$C$21,ROW()-1+'02_Eingaben'!$C$17))))</f>
        <v/>
      </c>
      <c r="G1208" s="17" t="str">
        <f>IF(F1208="","",F1208-'02_Eingaben'!$C$10)</f>
        <v/>
      </c>
      <c r="H1208" t="str">
        <f>IF(F1208="","",IF(F1208&lt;'02_Eingaben'!$C$18*'02_Eingaben'!$C$10,1,0))</f>
        <v/>
      </c>
      <c r="I1208" s="17" t="str">
        <f t="shared" si="18"/>
        <v/>
      </c>
      <c r="J1208" s="17" t="str">
        <f>IF(B1208="","",IF(B1207&lt;'02_Eingaben'!$C$36,0,J1207+I1207/'02_Eingaben'!$C$8))</f>
        <v/>
      </c>
    </row>
    <row r="1209" spans="1:10" x14ac:dyDescent="0.25">
      <c r="A1209" t="str">
        <f>IF('01_Rohdaten'!A1209="","",ROW()-1)</f>
        <v/>
      </c>
      <c r="B1209" s="17" t="str">
        <f>IF('01_Rohdaten'!A1209="","",'01_Rohdaten'!A1209)</f>
        <v/>
      </c>
      <c r="C1209" s="17" t="str">
        <f>IF(B1209="","",INDEX('01_Rohdaten'!B1209:D1209,'02_Eingaben'!$C$13))</f>
        <v/>
      </c>
      <c r="D1209" s="17" t="str">
        <f>IF(C1209="","",C1209*'02_Eingaben'!$C$15)</f>
        <v/>
      </c>
      <c r="E1209" s="17" t="str">
        <f>IF(D1209="","",D1209*'02_Eingaben'!$C$8)</f>
        <v/>
      </c>
      <c r="F1209" s="17" t="str">
        <f>IF(E1209="","",AVERAGE(INDEX($E$2:$E$3001,MAX(1,ROW()-1-'02_Eingaben'!$C$17)):INDEX($E$2:$E$3001,MIN('02_Eingaben'!$C$21,ROW()-1+'02_Eingaben'!$C$17))))</f>
        <v/>
      </c>
      <c r="G1209" s="17" t="str">
        <f>IF(F1209="","",F1209-'02_Eingaben'!$C$10)</f>
        <v/>
      </c>
      <c r="H1209" t="str">
        <f>IF(F1209="","",IF(F1209&lt;'02_Eingaben'!$C$18*'02_Eingaben'!$C$10,1,0))</f>
        <v/>
      </c>
      <c r="I1209" s="17" t="str">
        <f t="shared" si="18"/>
        <v/>
      </c>
      <c r="J1209" s="17" t="str">
        <f>IF(B1209="","",IF(B1208&lt;'02_Eingaben'!$C$36,0,J1208+I1208/'02_Eingaben'!$C$8))</f>
        <v/>
      </c>
    </row>
    <row r="1210" spans="1:10" x14ac:dyDescent="0.25">
      <c r="A1210" t="str">
        <f>IF('01_Rohdaten'!A1210="","",ROW()-1)</f>
        <v/>
      </c>
      <c r="B1210" s="17" t="str">
        <f>IF('01_Rohdaten'!A1210="","",'01_Rohdaten'!A1210)</f>
        <v/>
      </c>
      <c r="C1210" s="17" t="str">
        <f>IF(B1210="","",INDEX('01_Rohdaten'!B1210:D1210,'02_Eingaben'!$C$13))</f>
        <v/>
      </c>
      <c r="D1210" s="17" t="str">
        <f>IF(C1210="","",C1210*'02_Eingaben'!$C$15)</f>
        <v/>
      </c>
      <c r="E1210" s="17" t="str">
        <f>IF(D1210="","",D1210*'02_Eingaben'!$C$8)</f>
        <v/>
      </c>
      <c r="F1210" s="17" t="str">
        <f>IF(E1210="","",AVERAGE(INDEX($E$2:$E$3001,MAX(1,ROW()-1-'02_Eingaben'!$C$17)):INDEX($E$2:$E$3001,MIN('02_Eingaben'!$C$21,ROW()-1+'02_Eingaben'!$C$17))))</f>
        <v/>
      </c>
      <c r="G1210" s="17" t="str">
        <f>IF(F1210="","",F1210-'02_Eingaben'!$C$10)</f>
        <v/>
      </c>
      <c r="H1210" t="str">
        <f>IF(F1210="","",IF(F1210&lt;'02_Eingaben'!$C$18*'02_Eingaben'!$C$10,1,0))</f>
        <v/>
      </c>
      <c r="I1210" s="17" t="str">
        <f t="shared" si="18"/>
        <v/>
      </c>
      <c r="J1210" s="17" t="str">
        <f>IF(B1210="","",IF(B1209&lt;'02_Eingaben'!$C$36,0,J1209+I1209/'02_Eingaben'!$C$8))</f>
        <v/>
      </c>
    </row>
    <row r="1211" spans="1:10" x14ac:dyDescent="0.25">
      <c r="A1211" t="str">
        <f>IF('01_Rohdaten'!A1211="","",ROW()-1)</f>
        <v/>
      </c>
      <c r="B1211" s="17" t="str">
        <f>IF('01_Rohdaten'!A1211="","",'01_Rohdaten'!A1211)</f>
        <v/>
      </c>
      <c r="C1211" s="17" t="str">
        <f>IF(B1211="","",INDEX('01_Rohdaten'!B1211:D1211,'02_Eingaben'!$C$13))</f>
        <v/>
      </c>
      <c r="D1211" s="17" t="str">
        <f>IF(C1211="","",C1211*'02_Eingaben'!$C$15)</f>
        <v/>
      </c>
      <c r="E1211" s="17" t="str">
        <f>IF(D1211="","",D1211*'02_Eingaben'!$C$8)</f>
        <v/>
      </c>
      <c r="F1211" s="17" t="str">
        <f>IF(E1211="","",AVERAGE(INDEX($E$2:$E$3001,MAX(1,ROW()-1-'02_Eingaben'!$C$17)):INDEX($E$2:$E$3001,MIN('02_Eingaben'!$C$21,ROW()-1+'02_Eingaben'!$C$17))))</f>
        <v/>
      </c>
      <c r="G1211" s="17" t="str">
        <f>IF(F1211="","",F1211-'02_Eingaben'!$C$10)</f>
        <v/>
      </c>
      <c r="H1211" t="str">
        <f>IF(F1211="","",IF(F1211&lt;'02_Eingaben'!$C$18*'02_Eingaben'!$C$10,1,0))</f>
        <v/>
      </c>
      <c r="I1211" s="17" t="str">
        <f t="shared" si="18"/>
        <v/>
      </c>
      <c r="J1211" s="17" t="str">
        <f>IF(B1211="","",IF(B1210&lt;'02_Eingaben'!$C$36,0,J1210+I1210/'02_Eingaben'!$C$8))</f>
        <v/>
      </c>
    </row>
    <row r="1212" spans="1:10" x14ac:dyDescent="0.25">
      <c r="A1212" t="str">
        <f>IF('01_Rohdaten'!A1212="","",ROW()-1)</f>
        <v/>
      </c>
      <c r="B1212" s="17" t="str">
        <f>IF('01_Rohdaten'!A1212="","",'01_Rohdaten'!A1212)</f>
        <v/>
      </c>
      <c r="C1212" s="17" t="str">
        <f>IF(B1212="","",INDEX('01_Rohdaten'!B1212:D1212,'02_Eingaben'!$C$13))</f>
        <v/>
      </c>
      <c r="D1212" s="17" t="str">
        <f>IF(C1212="","",C1212*'02_Eingaben'!$C$15)</f>
        <v/>
      </c>
      <c r="E1212" s="17" t="str">
        <f>IF(D1212="","",D1212*'02_Eingaben'!$C$8)</f>
        <v/>
      </c>
      <c r="F1212" s="17" t="str">
        <f>IF(E1212="","",AVERAGE(INDEX($E$2:$E$3001,MAX(1,ROW()-1-'02_Eingaben'!$C$17)):INDEX($E$2:$E$3001,MIN('02_Eingaben'!$C$21,ROW()-1+'02_Eingaben'!$C$17))))</f>
        <v/>
      </c>
      <c r="G1212" s="17" t="str">
        <f>IF(F1212="","",F1212-'02_Eingaben'!$C$10)</f>
        <v/>
      </c>
      <c r="H1212" t="str">
        <f>IF(F1212="","",IF(F1212&lt;'02_Eingaben'!$C$18*'02_Eingaben'!$C$10,1,0))</f>
        <v/>
      </c>
      <c r="I1212" s="17" t="str">
        <f t="shared" si="18"/>
        <v/>
      </c>
      <c r="J1212" s="17" t="str">
        <f>IF(B1212="","",IF(B1211&lt;'02_Eingaben'!$C$36,0,J1211+I1211/'02_Eingaben'!$C$8))</f>
        <v/>
      </c>
    </row>
    <row r="1213" spans="1:10" x14ac:dyDescent="0.25">
      <c r="A1213" t="str">
        <f>IF('01_Rohdaten'!A1213="","",ROW()-1)</f>
        <v/>
      </c>
      <c r="B1213" s="17" t="str">
        <f>IF('01_Rohdaten'!A1213="","",'01_Rohdaten'!A1213)</f>
        <v/>
      </c>
      <c r="C1213" s="17" t="str">
        <f>IF(B1213="","",INDEX('01_Rohdaten'!B1213:D1213,'02_Eingaben'!$C$13))</f>
        <v/>
      </c>
      <c r="D1213" s="17" t="str">
        <f>IF(C1213="","",C1213*'02_Eingaben'!$C$15)</f>
        <v/>
      </c>
      <c r="E1213" s="17" t="str">
        <f>IF(D1213="","",D1213*'02_Eingaben'!$C$8)</f>
        <v/>
      </c>
      <c r="F1213" s="17" t="str">
        <f>IF(E1213="","",AVERAGE(INDEX($E$2:$E$3001,MAX(1,ROW()-1-'02_Eingaben'!$C$17)):INDEX($E$2:$E$3001,MIN('02_Eingaben'!$C$21,ROW()-1+'02_Eingaben'!$C$17))))</f>
        <v/>
      </c>
      <c r="G1213" s="17" t="str">
        <f>IF(F1213="","",F1213-'02_Eingaben'!$C$10)</f>
        <v/>
      </c>
      <c r="H1213" t="str">
        <f>IF(F1213="","",IF(F1213&lt;'02_Eingaben'!$C$18*'02_Eingaben'!$C$10,1,0))</f>
        <v/>
      </c>
      <c r="I1213" s="17" t="str">
        <f t="shared" si="18"/>
        <v/>
      </c>
      <c r="J1213" s="17" t="str">
        <f>IF(B1213="","",IF(B1212&lt;'02_Eingaben'!$C$36,0,J1212+I1212/'02_Eingaben'!$C$8))</f>
        <v/>
      </c>
    </row>
    <row r="1214" spans="1:10" x14ac:dyDescent="0.25">
      <c r="A1214" t="str">
        <f>IF('01_Rohdaten'!A1214="","",ROW()-1)</f>
        <v/>
      </c>
      <c r="B1214" s="17" t="str">
        <f>IF('01_Rohdaten'!A1214="","",'01_Rohdaten'!A1214)</f>
        <v/>
      </c>
      <c r="C1214" s="17" t="str">
        <f>IF(B1214="","",INDEX('01_Rohdaten'!B1214:D1214,'02_Eingaben'!$C$13))</f>
        <v/>
      </c>
      <c r="D1214" s="17" t="str">
        <f>IF(C1214="","",C1214*'02_Eingaben'!$C$15)</f>
        <v/>
      </c>
      <c r="E1214" s="17" t="str">
        <f>IF(D1214="","",D1214*'02_Eingaben'!$C$8)</f>
        <v/>
      </c>
      <c r="F1214" s="17" t="str">
        <f>IF(E1214="","",AVERAGE(INDEX($E$2:$E$3001,MAX(1,ROW()-1-'02_Eingaben'!$C$17)):INDEX($E$2:$E$3001,MIN('02_Eingaben'!$C$21,ROW()-1+'02_Eingaben'!$C$17))))</f>
        <v/>
      </c>
      <c r="G1214" s="17" t="str">
        <f>IF(F1214="","",F1214-'02_Eingaben'!$C$10)</f>
        <v/>
      </c>
      <c r="H1214" t="str">
        <f>IF(F1214="","",IF(F1214&lt;'02_Eingaben'!$C$18*'02_Eingaben'!$C$10,1,0))</f>
        <v/>
      </c>
      <c r="I1214" s="17" t="str">
        <f t="shared" si="18"/>
        <v/>
      </c>
      <c r="J1214" s="17" t="str">
        <f>IF(B1214="","",IF(B1213&lt;'02_Eingaben'!$C$36,0,J1213+I1213/'02_Eingaben'!$C$8))</f>
        <v/>
      </c>
    </row>
    <row r="1215" spans="1:10" x14ac:dyDescent="0.25">
      <c r="A1215" t="str">
        <f>IF('01_Rohdaten'!A1215="","",ROW()-1)</f>
        <v/>
      </c>
      <c r="B1215" s="17" t="str">
        <f>IF('01_Rohdaten'!A1215="","",'01_Rohdaten'!A1215)</f>
        <v/>
      </c>
      <c r="C1215" s="17" t="str">
        <f>IF(B1215="","",INDEX('01_Rohdaten'!B1215:D1215,'02_Eingaben'!$C$13))</f>
        <v/>
      </c>
      <c r="D1215" s="17" t="str">
        <f>IF(C1215="","",C1215*'02_Eingaben'!$C$15)</f>
        <v/>
      </c>
      <c r="E1215" s="17" t="str">
        <f>IF(D1215="","",D1215*'02_Eingaben'!$C$8)</f>
        <v/>
      </c>
      <c r="F1215" s="17" t="str">
        <f>IF(E1215="","",AVERAGE(INDEX($E$2:$E$3001,MAX(1,ROW()-1-'02_Eingaben'!$C$17)):INDEX($E$2:$E$3001,MIN('02_Eingaben'!$C$21,ROW()-1+'02_Eingaben'!$C$17))))</f>
        <v/>
      </c>
      <c r="G1215" s="17" t="str">
        <f>IF(F1215="","",F1215-'02_Eingaben'!$C$10)</f>
        <v/>
      </c>
      <c r="H1215" t="str">
        <f>IF(F1215="","",IF(F1215&lt;'02_Eingaben'!$C$18*'02_Eingaben'!$C$10,1,0))</f>
        <v/>
      </c>
      <c r="I1215" s="17" t="str">
        <f t="shared" si="18"/>
        <v/>
      </c>
      <c r="J1215" s="17" t="str">
        <f>IF(B1215="","",IF(B1214&lt;'02_Eingaben'!$C$36,0,J1214+I1214/'02_Eingaben'!$C$8))</f>
        <v/>
      </c>
    </row>
    <row r="1216" spans="1:10" x14ac:dyDescent="0.25">
      <c r="A1216" t="str">
        <f>IF('01_Rohdaten'!A1216="","",ROW()-1)</f>
        <v/>
      </c>
      <c r="B1216" s="17" t="str">
        <f>IF('01_Rohdaten'!A1216="","",'01_Rohdaten'!A1216)</f>
        <v/>
      </c>
      <c r="C1216" s="17" t="str">
        <f>IF(B1216="","",INDEX('01_Rohdaten'!B1216:D1216,'02_Eingaben'!$C$13))</f>
        <v/>
      </c>
      <c r="D1216" s="17" t="str">
        <f>IF(C1216="","",C1216*'02_Eingaben'!$C$15)</f>
        <v/>
      </c>
      <c r="E1216" s="17" t="str">
        <f>IF(D1216="","",D1216*'02_Eingaben'!$C$8)</f>
        <v/>
      </c>
      <c r="F1216" s="17" t="str">
        <f>IF(E1216="","",AVERAGE(INDEX($E$2:$E$3001,MAX(1,ROW()-1-'02_Eingaben'!$C$17)):INDEX($E$2:$E$3001,MIN('02_Eingaben'!$C$21,ROW()-1+'02_Eingaben'!$C$17))))</f>
        <v/>
      </c>
      <c r="G1216" s="17" t="str">
        <f>IF(F1216="","",F1216-'02_Eingaben'!$C$10)</f>
        <v/>
      </c>
      <c r="H1216" t="str">
        <f>IF(F1216="","",IF(F1216&lt;'02_Eingaben'!$C$18*'02_Eingaben'!$C$10,1,0))</f>
        <v/>
      </c>
      <c r="I1216" s="17" t="str">
        <f t="shared" si="18"/>
        <v/>
      </c>
      <c r="J1216" s="17" t="str">
        <f>IF(B1216="","",IF(B1215&lt;'02_Eingaben'!$C$36,0,J1215+I1215/'02_Eingaben'!$C$8))</f>
        <v/>
      </c>
    </row>
    <row r="1217" spans="1:10" x14ac:dyDescent="0.25">
      <c r="A1217" t="str">
        <f>IF('01_Rohdaten'!A1217="","",ROW()-1)</f>
        <v/>
      </c>
      <c r="B1217" s="17" t="str">
        <f>IF('01_Rohdaten'!A1217="","",'01_Rohdaten'!A1217)</f>
        <v/>
      </c>
      <c r="C1217" s="17" t="str">
        <f>IF(B1217="","",INDEX('01_Rohdaten'!B1217:D1217,'02_Eingaben'!$C$13))</f>
        <v/>
      </c>
      <c r="D1217" s="17" t="str">
        <f>IF(C1217="","",C1217*'02_Eingaben'!$C$15)</f>
        <v/>
      </c>
      <c r="E1217" s="17" t="str">
        <f>IF(D1217="","",D1217*'02_Eingaben'!$C$8)</f>
        <v/>
      </c>
      <c r="F1217" s="17" t="str">
        <f>IF(E1217="","",AVERAGE(INDEX($E$2:$E$3001,MAX(1,ROW()-1-'02_Eingaben'!$C$17)):INDEX($E$2:$E$3001,MIN('02_Eingaben'!$C$21,ROW()-1+'02_Eingaben'!$C$17))))</f>
        <v/>
      </c>
      <c r="G1217" s="17" t="str">
        <f>IF(F1217="","",F1217-'02_Eingaben'!$C$10)</f>
        <v/>
      </c>
      <c r="H1217" t="str">
        <f>IF(F1217="","",IF(F1217&lt;'02_Eingaben'!$C$18*'02_Eingaben'!$C$10,1,0))</f>
        <v/>
      </c>
      <c r="I1217" s="17" t="str">
        <f t="shared" si="18"/>
        <v/>
      </c>
      <c r="J1217" s="17" t="str">
        <f>IF(B1217="","",IF(B1216&lt;'02_Eingaben'!$C$36,0,J1216+I1216/'02_Eingaben'!$C$8))</f>
        <v/>
      </c>
    </row>
    <row r="1218" spans="1:10" x14ac:dyDescent="0.25">
      <c r="A1218" t="str">
        <f>IF('01_Rohdaten'!A1218="","",ROW()-1)</f>
        <v/>
      </c>
      <c r="B1218" s="17" t="str">
        <f>IF('01_Rohdaten'!A1218="","",'01_Rohdaten'!A1218)</f>
        <v/>
      </c>
      <c r="C1218" s="17" t="str">
        <f>IF(B1218="","",INDEX('01_Rohdaten'!B1218:D1218,'02_Eingaben'!$C$13))</f>
        <v/>
      </c>
      <c r="D1218" s="17" t="str">
        <f>IF(C1218="","",C1218*'02_Eingaben'!$C$15)</f>
        <v/>
      </c>
      <c r="E1218" s="17" t="str">
        <f>IF(D1218="","",D1218*'02_Eingaben'!$C$8)</f>
        <v/>
      </c>
      <c r="F1218" s="17" t="str">
        <f>IF(E1218="","",AVERAGE(INDEX($E$2:$E$3001,MAX(1,ROW()-1-'02_Eingaben'!$C$17)):INDEX($E$2:$E$3001,MIN('02_Eingaben'!$C$21,ROW()-1+'02_Eingaben'!$C$17))))</f>
        <v/>
      </c>
      <c r="G1218" s="17" t="str">
        <f>IF(F1218="","",F1218-'02_Eingaben'!$C$10)</f>
        <v/>
      </c>
      <c r="H1218" t="str">
        <f>IF(F1218="","",IF(F1218&lt;'02_Eingaben'!$C$18*'02_Eingaben'!$C$10,1,0))</f>
        <v/>
      </c>
      <c r="I1218" s="17" t="str">
        <f t="shared" ref="I1218:I1281" si="19">IF(OR(G1218="",G1219=""),"",(G1218+G1219)/2*(B1219-B1218))</f>
        <v/>
      </c>
      <c r="J1218" s="17" t="str">
        <f>IF(B1218="","",IF(B1217&lt;'02_Eingaben'!$C$36,0,J1217+I1217/'02_Eingaben'!$C$8))</f>
        <v/>
      </c>
    </row>
    <row r="1219" spans="1:10" x14ac:dyDescent="0.25">
      <c r="A1219" t="str">
        <f>IF('01_Rohdaten'!A1219="","",ROW()-1)</f>
        <v/>
      </c>
      <c r="B1219" s="17" t="str">
        <f>IF('01_Rohdaten'!A1219="","",'01_Rohdaten'!A1219)</f>
        <v/>
      </c>
      <c r="C1219" s="17" t="str">
        <f>IF(B1219="","",INDEX('01_Rohdaten'!B1219:D1219,'02_Eingaben'!$C$13))</f>
        <v/>
      </c>
      <c r="D1219" s="17" t="str">
        <f>IF(C1219="","",C1219*'02_Eingaben'!$C$15)</f>
        <v/>
      </c>
      <c r="E1219" s="17" t="str">
        <f>IF(D1219="","",D1219*'02_Eingaben'!$C$8)</f>
        <v/>
      </c>
      <c r="F1219" s="17" t="str">
        <f>IF(E1219="","",AVERAGE(INDEX($E$2:$E$3001,MAX(1,ROW()-1-'02_Eingaben'!$C$17)):INDEX($E$2:$E$3001,MIN('02_Eingaben'!$C$21,ROW()-1+'02_Eingaben'!$C$17))))</f>
        <v/>
      </c>
      <c r="G1219" s="17" t="str">
        <f>IF(F1219="","",F1219-'02_Eingaben'!$C$10)</f>
        <v/>
      </c>
      <c r="H1219" t="str">
        <f>IF(F1219="","",IF(F1219&lt;'02_Eingaben'!$C$18*'02_Eingaben'!$C$10,1,0))</f>
        <v/>
      </c>
      <c r="I1219" s="17" t="str">
        <f t="shared" si="19"/>
        <v/>
      </c>
      <c r="J1219" s="17" t="str">
        <f>IF(B1219="","",IF(B1218&lt;'02_Eingaben'!$C$36,0,J1218+I1218/'02_Eingaben'!$C$8))</f>
        <v/>
      </c>
    </row>
    <row r="1220" spans="1:10" x14ac:dyDescent="0.25">
      <c r="A1220" t="str">
        <f>IF('01_Rohdaten'!A1220="","",ROW()-1)</f>
        <v/>
      </c>
      <c r="B1220" s="17" t="str">
        <f>IF('01_Rohdaten'!A1220="","",'01_Rohdaten'!A1220)</f>
        <v/>
      </c>
      <c r="C1220" s="17" t="str">
        <f>IF(B1220="","",INDEX('01_Rohdaten'!B1220:D1220,'02_Eingaben'!$C$13))</f>
        <v/>
      </c>
      <c r="D1220" s="17" t="str">
        <f>IF(C1220="","",C1220*'02_Eingaben'!$C$15)</f>
        <v/>
      </c>
      <c r="E1220" s="17" t="str">
        <f>IF(D1220="","",D1220*'02_Eingaben'!$C$8)</f>
        <v/>
      </c>
      <c r="F1220" s="17" t="str">
        <f>IF(E1220="","",AVERAGE(INDEX($E$2:$E$3001,MAX(1,ROW()-1-'02_Eingaben'!$C$17)):INDEX($E$2:$E$3001,MIN('02_Eingaben'!$C$21,ROW()-1+'02_Eingaben'!$C$17))))</f>
        <v/>
      </c>
      <c r="G1220" s="17" t="str">
        <f>IF(F1220="","",F1220-'02_Eingaben'!$C$10)</f>
        <v/>
      </c>
      <c r="H1220" t="str">
        <f>IF(F1220="","",IF(F1220&lt;'02_Eingaben'!$C$18*'02_Eingaben'!$C$10,1,0))</f>
        <v/>
      </c>
      <c r="I1220" s="17" t="str">
        <f t="shared" si="19"/>
        <v/>
      </c>
      <c r="J1220" s="17" t="str">
        <f>IF(B1220="","",IF(B1219&lt;'02_Eingaben'!$C$36,0,J1219+I1219/'02_Eingaben'!$C$8))</f>
        <v/>
      </c>
    </row>
    <row r="1221" spans="1:10" x14ac:dyDescent="0.25">
      <c r="A1221" t="str">
        <f>IF('01_Rohdaten'!A1221="","",ROW()-1)</f>
        <v/>
      </c>
      <c r="B1221" s="17" t="str">
        <f>IF('01_Rohdaten'!A1221="","",'01_Rohdaten'!A1221)</f>
        <v/>
      </c>
      <c r="C1221" s="17" t="str">
        <f>IF(B1221="","",INDEX('01_Rohdaten'!B1221:D1221,'02_Eingaben'!$C$13))</f>
        <v/>
      </c>
      <c r="D1221" s="17" t="str">
        <f>IF(C1221="","",C1221*'02_Eingaben'!$C$15)</f>
        <v/>
      </c>
      <c r="E1221" s="17" t="str">
        <f>IF(D1221="","",D1221*'02_Eingaben'!$C$8)</f>
        <v/>
      </c>
      <c r="F1221" s="17" t="str">
        <f>IF(E1221="","",AVERAGE(INDEX($E$2:$E$3001,MAX(1,ROW()-1-'02_Eingaben'!$C$17)):INDEX($E$2:$E$3001,MIN('02_Eingaben'!$C$21,ROW()-1+'02_Eingaben'!$C$17))))</f>
        <v/>
      </c>
      <c r="G1221" s="17" t="str">
        <f>IF(F1221="","",F1221-'02_Eingaben'!$C$10)</f>
        <v/>
      </c>
      <c r="H1221" t="str">
        <f>IF(F1221="","",IF(F1221&lt;'02_Eingaben'!$C$18*'02_Eingaben'!$C$10,1,0))</f>
        <v/>
      </c>
      <c r="I1221" s="17" t="str">
        <f t="shared" si="19"/>
        <v/>
      </c>
      <c r="J1221" s="17" t="str">
        <f>IF(B1221="","",IF(B1220&lt;'02_Eingaben'!$C$36,0,J1220+I1220/'02_Eingaben'!$C$8))</f>
        <v/>
      </c>
    </row>
    <row r="1222" spans="1:10" x14ac:dyDescent="0.25">
      <c r="A1222" t="str">
        <f>IF('01_Rohdaten'!A1222="","",ROW()-1)</f>
        <v/>
      </c>
      <c r="B1222" s="17" t="str">
        <f>IF('01_Rohdaten'!A1222="","",'01_Rohdaten'!A1222)</f>
        <v/>
      </c>
      <c r="C1222" s="17" t="str">
        <f>IF(B1222="","",INDEX('01_Rohdaten'!B1222:D1222,'02_Eingaben'!$C$13))</f>
        <v/>
      </c>
      <c r="D1222" s="17" t="str">
        <f>IF(C1222="","",C1222*'02_Eingaben'!$C$15)</f>
        <v/>
      </c>
      <c r="E1222" s="17" t="str">
        <f>IF(D1222="","",D1222*'02_Eingaben'!$C$8)</f>
        <v/>
      </c>
      <c r="F1222" s="17" t="str">
        <f>IF(E1222="","",AVERAGE(INDEX($E$2:$E$3001,MAX(1,ROW()-1-'02_Eingaben'!$C$17)):INDEX($E$2:$E$3001,MIN('02_Eingaben'!$C$21,ROW()-1+'02_Eingaben'!$C$17))))</f>
        <v/>
      </c>
      <c r="G1222" s="17" t="str">
        <f>IF(F1222="","",F1222-'02_Eingaben'!$C$10)</f>
        <v/>
      </c>
      <c r="H1222" t="str">
        <f>IF(F1222="","",IF(F1222&lt;'02_Eingaben'!$C$18*'02_Eingaben'!$C$10,1,0))</f>
        <v/>
      </c>
      <c r="I1222" s="17" t="str">
        <f t="shared" si="19"/>
        <v/>
      </c>
      <c r="J1222" s="17" t="str">
        <f>IF(B1222="","",IF(B1221&lt;'02_Eingaben'!$C$36,0,J1221+I1221/'02_Eingaben'!$C$8))</f>
        <v/>
      </c>
    </row>
    <row r="1223" spans="1:10" x14ac:dyDescent="0.25">
      <c r="A1223" t="str">
        <f>IF('01_Rohdaten'!A1223="","",ROW()-1)</f>
        <v/>
      </c>
      <c r="B1223" s="17" t="str">
        <f>IF('01_Rohdaten'!A1223="","",'01_Rohdaten'!A1223)</f>
        <v/>
      </c>
      <c r="C1223" s="17" t="str">
        <f>IF(B1223="","",INDEX('01_Rohdaten'!B1223:D1223,'02_Eingaben'!$C$13))</f>
        <v/>
      </c>
      <c r="D1223" s="17" t="str">
        <f>IF(C1223="","",C1223*'02_Eingaben'!$C$15)</f>
        <v/>
      </c>
      <c r="E1223" s="17" t="str">
        <f>IF(D1223="","",D1223*'02_Eingaben'!$C$8)</f>
        <v/>
      </c>
      <c r="F1223" s="17" t="str">
        <f>IF(E1223="","",AVERAGE(INDEX($E$2:$E$3001,MAX(1,ROW()-1-'02_Eingaben'!$C$17)):INDEX($E$2:$E$3001,MIN('02_Eingaben'!$C$21,ROW()-1+'02_Eingaben'!$C$17))))</f>
        <v/>
      </c>
      <c r="G1223" s="17" t="str">
        <f>IF(F1223="","",F1223-'02_Eingaben'!$C$10)</f>
        <v/>
      </c>
      <c r="H1223" t="str">
        <f>IF(F1223="","",IF(F1223&lt;'02_Eingaben'!$C$18*'02_Eingaben'!$C$10,1,0))</f>
        <v/>
      </c>
      <c r="I1223" s="17" t="str">
        <f t="shared" si="19"/>
        <v/>
      </c>
      <c r="J1223" s="17" t="str">
        <f>IF(B1223="","",IF(B1222&lt;'02_Eingaben'!$C$36,0,J1222+I1222/'02_Eingaben'!$C$8))</f>
        <v/>
      </c>
    </row>
    <row r="1224" spans="1:10" x14ac:dyDescent="0.25">
      <c r="A1224" t="str">
        <f>IF('01_Rohdaten'!A1224="","",ROW()-1)</f>
        <v/>
      </c>
      <c r="B1224" s="17" t="str">
        <f>IF('01_Rohdaten'!A1224="","",'01_Rohdaten'!A1224)</f>
        <v/>
      </c>
      <c r="C1224" s="17" t="str">
        <f>IF(B1224="","",INDEX('01_Rohdaten'!B1224:D1224,'02_Eingaben'!$C$13))</f>
        <v/>
      </c>
      <c r="D1224" s="17" t="str">
        <f>IF(C1224="","",C1224*'02_Eingaben'!$C$15)</f>
        <v/>
      </c>
      <c r="E1224" s="17" t="str">
        <f>IF(D1224="","",D1224*'02_Eingaben'!$C$8)</f>
        <v/>
      </c>
      <c r="F1224" s="17" t="str">
        <f>IF(E1224="","",AVERAGE(INDEX($E$2:$E$3001,MAX(1,ROW()-1-'02_Eingaben'!$C$17)):INDEX($E$2:$E$3001,MIN('02_Eingaben'!$C$21,ROW()-1+'02_Eingaben'!$C$17))))</f>
        <v/>
      </c>
      <c r="G1224" s="17" t="str">
        <f>IF(F1224="","",F1224-'02_Eingaben'!$C$10)</f>
        <v/>
      </c>
      <c r="H1224" t="str">
        <f>IF(F1224="","",IF(F1224&lt;'02_Eingaben'!$C$18*'02_Eingaben'!$C$10,1,0))</f>
        <v/>
      </c>
      <c r="I1224" s="17" t="str">
        <f t="shared" si="19"/>
        <v/>
      </c>
      <c r="J1224" s="17" t="str">
        <f>IF(B1224="","",IF(B1223&lt;'02_Eingaben'!$C$36,0,J1223+I1223/'02_Eingaben'!$C$8))</f>
        <v/>
      </c>
    </row>
    <row r="1225" spans="1:10" x14ac:dyDescent="0.25">
      <c r="A1225" t="str">
        <f>IF('01_Rohdaten'!A1225="","",ROW()-1)</f>
        <v/>
      </c>
      <c r="B1225" s="17" t="str">
        <f>IF('01_Rohdaten'!A1225="","",'01_Rohdaten'!A1225)</f>
        <v/>
      </c>
      <c r="C1225" s="17" t="str">
        <f>IF(B1225="","",INDEX('01_Rohdaten'!B1225:D1225,'02_Eingaben'!$C$13))</f>
        <v/>
      </c>
      <c r="D1225" s="17" t="str">
        <f>IF(C1225="","",C1225*'02_Eingaben'!$C$15)</f>
        <v/>
      </c>
      <c r="E1225" s="17" t="str">
        <f>IF(D1225="","",D1225*'02_Eingaben'!$C$8)</f>
        <v/>
      </c>
      <c r="F1225" s="17" t="str">
        <f>IF(E1225="","",AVERAGE(INDEX($E$2:$E$3001,MAX(1,ROW()-1-'02_Eingaben'!$C$17)):INDEX($E$2:$E$3001,MIN('02_Eingaben'!$C$21,ROW()-1+'02_Eingaben'!$C$17))))</f>
        <v/>
      </c>
      <c r="G1225" s="17" t="str">
        <f>IF(F1225="","",F1225-'02_Eingaben'!$C$10)</f>
        <v/>
      </c>
      <c r="H1225" t="str">
        <f>IF(F1225="","",IF(F1225&lt;'02_Eingaben'!$C$18*'02_Eingaben'!$C$10,1,0))</f>
        <v/>
      </c>
      <c r="I1225" s="17" t="str">
        <f t="shared" si="19"/>
        <v/>
      </c>
      <c r="J1225" s="17" t="str">
        <f>IF(B1225="","",IF(B1224&lt;'02_Eingaben'!$C$36,0,J1224+I1224/'02_Eingaben'!$C$8))</f>
        <v/>
      </c>
    </row>
    <row r="1226" spans="1:10" x14ac:dyDescent="0.25">
      <c r="A1226" t="str">
        <f>IF('01_Rohdaten'!A1226="","",ROW()-1)</f>
        <v/>
      </c>
      <c r="B1226" s="17" t="str">
        <f>IF('01_Rohdaten'!A1226="","",'01_Rohdaten'!A1226)</f>
        <v/>
      </c>
      <c r="C1226" s="17" t="str">
        <f>IF(B1226="","",INDEX('01_Rohdaten'!B1226:D1226,'02_Eingaben'!$C$13))</f>
        <v/>
      </c>
      <c r="D1226" s="17" t="str">
        <f>IF(C1226="","",C1226*'02_Eingaben'!$C$15)</f>
        <v/>
      </c>
      <c r="E1226" s="17" t="str">
        <f>IF(D1226="","",D1226*'02_Eingaben'!$C$8)</f>
        <v/>
      </c>
      <c r="F1226" s="17" t="str">
        <f>IF(E1226="","",AVERAGE(INDEX($E$2:$E$3001,MAX(1,ROW()-1-'02_Eingaben'!$C$17)):INDEX($E$2:$E$3001,MIN('02_Eingaben'!$C$21,ROW()-1+'02_Eingaben'!$C$17))))</f>
        <v/>
      </c>
      <c r="G1226" s="17" t="str">
        <f>IF(F1226="","",F1226-'02_Eingaben'!$C$10)</f>
        <v/>
      </c>
      <c r="H1226" t="str">
        <f>IF(F1226="","",IF(F1226&lt;'02_Eingaben'!$C$18*'02_Eingaben'!$C$10,1,0))</f>
        <v/>
      </c>
      <c r="I1226" s="17" t="str">
        <f t="shared" si="19"/>
        <v/>
      </c>
      <c r="J1226" s="17" t="str">
        <f>IF(B1226="","",IF(B1225&lt;'02_Eingaben'!$C$36,0,J1225+I1225/'02_Eingaben'!$C$8))</f>
        <v/>
      </c>
    </row>
    <row r="1227" spans="1:10" x14ac:dyDescent="0.25">
      <c r="A1227" t="str">
        <f>IF('01_Rohdaten'!A1227="","",ROW()-1)</f>
        <v/>
      </c>
      <c r="B1227" s="17" t="str">
        <f>IF('01_Rohdaten'!A1227="","",'01_Rohdaten'!A1227)</f>
        <v/>
      </c>
      <c r="C1227" s="17" t="str">
        <f>IF(B1227="","",INDEX('01_Rohdaten'!B1227:D1227,'02_Eingaben'!$C$13))</f>
        <v/>
      </c>
      <c r="D1227" s="17" t="str">
        <f>IF(C1227="","",C1227*'02_Eingaben'!$C$15)</f>
        <v/>
      </c>
      <c r="E1227" s="17" t="str">
        <f>IF(D1227="","",D1227*'02_Eingaben'!$C$8)</f>
        <v/>
      </c>
      <c r="F1227" s="17" t="str">
        <f>IF(E1227="","",AVERAGE(INDEX($E$2:$E$3001,MAX(1,ROW()-1-'02_Eingaben'!$C$17)):INDEX($E$2:$E$3001,MIN('02_Eingaben'!$C$21,ROW()-1+'02_Eingaben'!$C$17))))</f>
        <v/>
      </c>
      <c r="G1227" s="17" t="str">
        <f>IF(F1227="","",F1227-'02_Eingaben'!$C$10)</f>
        <v/>
      </c>
      <c r="H1227" t="str">
        <f>IF(F1227="","",IF(F1227&lt;'02_Eingaben'!$C$18*'02_Eingaben'!$C$10,1,0))</f>
        <v/>
      </c>
      <c r="I1227" s="17" t="str">
        <f t="shared" si="19"/>
        <v/>
      </c>
      <c r="J1227" s="17" t="str">
        <f>IF(B1227="","",IF(B1226&lt;'02_Eingaben'!$C$36,0,J1226+I1226/'02_Eingaben'!$C$8))</f>
        <v/>
      </c>
    </row>
    <row r="1228" spans="1:10" x14ac:dyDescent="0.25">
      <c r="A1228" t="str">
        <f>IF('01_Rohdaten'!A1228="","",ROW()-1)</f>
        <v/>
      </c>
      <c r="B1228" s="17" t="str">
        <f>IF('01_Rohdaten'!A1228="","",'01_Rohdaten'!A1228)</f>
        <v/>
      </c>
      <c r="C1228" s="17" t="str">
        <f>IF(B1228="","",INDEX('01_Rohdaten'!B1228:D1228,'02_Eingaben'!$C$13))</f>
        <v/>
      </c>
      <c r="D1228" s="17" t="str">
        <f>IF(C1228="","",C1228*'02_Eingaben'!$C$15)</f>
        <v/>
      </c>
      <c r="E1228" s="17" t="str">
        <f>IF(D1228="","",D1228*'02_Eingaben'!$C$8)</f>
        <v/>
      </c>
      <c r="F1228" s="17" t="str">
        <f>IF(E1228="","",AVERAGE(INDEX($E$2:$E$3001,MAX(1,ROW()-1-'02_Eingaben'!$C$17)):INDEX($E$2:$E$3001,MIN('02_Eingaben'!$C$21,ROW()-1+'02_Eingaben'!$C$17))))</f>
        <v/>
      </c>
      <c r="G1228" s="17" t="str">
        <f>IF(F1228="","",F1228-'02_Eingaben'!$C$10)</f>
        <v/>
      </c>
      <c r="H1228" t="str">
        <f>IF(F1228="","",IF(F1228&lt;'02_Eingaben'!$C$18*'02_Eingaben'!$C$10,1,0))</f>
        <v/>
      </c>
      <c r="I1228" s="17" t="str">
        <f t="shared" si="19"/>
        <v/>
      </c>
      <c r="J1228" s="17" t="str">
        <f>IF(B1228="","",IF(B1227&lt;'02_Eingaben'!$C$36,0,J1227+I1227/'02_Eingaben'!$C$8))</f>
        <v/>
      </c>
    </row>
    <row r="1229" spans="1:10" x14ac:dyDescent="0.25">
      <c r="A1229" t="str">
        <f>IF('01_Rohdaten'!A1229="","",ROW()-1)</f>
        <v/>
      </c>
      <c r="B1229" s="17" t="str">
        <f>IF('01_Rohdaten'!A1229="","",'01_Rohdaten'!A1229)</f>
        <v/>
      </c>
      <c r="C1229" s="17" t="str">
        <f>IF(B1229="","",INDEX('01_Rohdaten'!B1229:D1229,'02_Eingaben'!$C$13))</f>
        <v/>
      </c>
      <c r="D1229" s="17" t="str">
        <f>IF(C1229="","",C1229*'02_Eingaben'!$C$15)</f>
        <v/>
      </c>
      <c r="E1229" s="17" t="str">
        <f>IF(D1229="","",D1229*'02_Eingaben'!$C$8)</f>
        <v/>
      </c>
      <c r="F1229" s="17" t="str">
        <f>IF(E1229="","",AVERAGE(INDEX($E$2:$E$3001,MAX(1,ROW()-1-'02_Eingaben'!$C$17)):INDEX($E$2:$E$3001,MIN('02_Eingaben'!$C$21,ROW()-1+'02_Eingaben'!$C$17))))</f>
        <v/>
      </c>
      <c r="G1229" s="17" t="str">
        <f>IF(F1229="","",F1229-'02_Eingaben'!$C$10)</f>
        <v/>
      </c>
      <c r="H1229" t="str">
        <f>IF(F1229="","",IF(F1229&lt;'02_Eingaben'!$C$18*'02_Eingaben'!$C$10,1,0))</f>
        <v/>
      </c>
      <c r="I1229" s="17" t="str">
        <f t="shared" si="19"/>
        <v/>
      </c>
      <c r="J1229" s="17" t="str">
        <f>IF(B1229="","",IF(B1228&lt;'02_Eingaben'!$C$36,0,J1228+I1228/'02_Eingaben'!$C$8))</f>
        <v/>
      </c>
    </row>
    <row r="1230" spans="1:10" x14ac:dyDescent="0.25">
      <c r="A1230" t="str">
        <f>IF('01_Rohdaten'!A1230="","",ROW()-1)</f>
        <v/>
      </c>
      <c r="B1230" s="17" t="str">
        <f>IF('01_Rohdaten'!A1230="","",'01_Rohdaten'!A1230)</f>
        <v/>
      </c>
      <c r="C1230" s="17" t="str">
        <f>IF(B1230="","",INDEX('01_Rohdaten'!B1230:D1230,'02_Eingaben'!$C$13))</f>
        <v/>
      </c>
      <c r="D1230" s="17" t="str">
        <f>IF(C1230="","",C1230*'02_Eingaben'!$C$15)</f>
        <v/>
      </c>
      <c r="E1230" s="17" t="str">
        <f>IF(D1230="","",D1230*'02_Eingaben'!$C$8)</f>
        <v/>
      </c>
      <c r="F1230" s="17" t="str">
        <f>IF(E1230="","",AVERAGE(INDEX($E$2:$E$3001,MAX(1,ROW()-1-'02_Eingaben'!$C$17)):INDEX($E$2:$E$3001,MIN('02_Eingaben'!$C$21,ROW()-1+'02_Eingaben'!$C$17))))</f>
        <v/>
      </c>
      <c r="G1230" s="17" t="str">
        <f>IF(F1230="","",F1230-'02_Eingaben'!$C$10)</f>
        <v/>
      </c>
      <c r="H1230" t="str">
        <f>IF(F1230="","",IF(F1230&lt;'02_Eingaben'!$C$18*'02_Eingaben'!$C$10,1,0))</f>
        <v/>
      </c>
      <c r="I1230" s="17" t="str">
        <f t="shared" si="19"/>
        <v/>
      </c>
      <c r="J1230" s="17" t="str">
        <f>IF(B1230="","",IF(B1229&lt;'02_Eingaben'!$C$36,0,J1229+I1229/'02_Eingaben'!$C$8))</f>
        <v/>
      </c>
    </row>
    <row r="1231" spans="1:10" x14ac:dyDescent="0.25">
      <c r="A1231" t="str">
        <f>IF('01_Rohdaten'!A1231="","",ROW()-1)</f>
        <v/>
      </c>
      <c r="B1231" s="17" t="str">
        <f>IF('01_Rohdaten'!A1231="","",'01_Rohdaten'!A1231)</f>
        <v/>
      </c>
      <c r="C1231" s="17" t="str">
        <f>IF(B1231="","",INDEX('01_Rohdaten'!B1231:D1231,'02_Eingaben'!$C$13))</f>
        <v/>
      </c>
      <c r="D1231" s="17" t="str">
        <f>IF(C1231="","",C1231*'02_Eingaben'!$C$15)</f>
        <v/>
      </c>
      <c r="E1231" s="17" t="str">
        <f>IF(D1231="","",D1231*'02_Eingaben'!$C$8)</f>
        <v/>
      </c>
      <c r="F1231" s="17" t="str">
        <f>IF(E1231="","",AVERAGE(INDEX($E$2:$E$3001,MAX(1,ROW()-1-'02_Eingaben'!$C$17)):INDEX($E$2:$E$3001,MIN('02_Eingaben'!$C$21,ROW()-1+'02_Eingaben'!$C$17))))</f>
        <v/>
      </c>
      <c r="G1231" s="17" t="str">
        <f>IF(F1231="","",F1231-'02_Eingaben'!$C$10)</f>
        <v/>
      </c>
      <c r="H1231" t="str">
        <f>IF(F1231="","",IF(F1231&lt;'02_Eingaben'!$C$18*'02_Eingaben'!$C$10,1,0))</f>
        <v/>
      </c>
      <c r="I1231" s="17" t="str">
        <f t="shared" si="19"/>
        <v/>
      </c>
      <c r="J1231" s="17" t="str">
        <f>IF(B1231="","",IF(B1230&lt;'02_Eingaben'!$C$36,0,J1230+I1230/'02_Eingaben'!$C$8))</f>
        <v/>
      </c>
    </row>
    <row r="1232" spans="1:10" x14ac:dyDescent="0.25">
      <c r="A1232" t="str">
        <f>IF('01_Rohdaten'!A1232="","",ROW()-1)</f>
        <v/>
      </c>
      <c r="B1232" s="17" t="str">
        <f>IF('01_Rohdaten'!A1232="","",'01_Rohdaten'!A1232)</f>
        <v/>
      </c>
      <c r="C1232" s="17" t="str">
        <f>IF(B1232="","",INDEX('01_Rohdaten'!B1232:D1232,'02_Eingaben'!$C$13))</f>
        <v/>
      </c>
      <c r="D1232" s="17" t="str">
        <f>IF(C1232="","",C1232*'02_Eingaben'!$C$15)</f>
        <v/>
      </c>
      <c r="E1232" s="17" t="str">
        <f>IF(D1232="","",D1232*'02_Eingaben'!$C$8)</f>
        <v/>
      </c>
      <c r="F1232" s="17" t="str">
        <f>IF(E1232="","",AVERAGE(INDEX($E$2:$E$3001,MAX(1,ROW()-1-'02_Eingaben'!$C$17)):INDEX($E$2:$E$3001,MIN('02_Eingaben'!$C$21,ROW()-1+'02_Eingaben'!$C$17))))</f>
        <v/>
      </c>
      <c r="G1232" s="17" t="str">
        <f>IF(F1232="","",F1232-'02_Eingaben'!$C$10)</f>
        <v/>
      </c>
      <c r="H1232" t="str">
        <f>IF(F1232="","",IF(F1232&lt;'02_Eingaben'!$C$18*'02_Eingaben'!$C$10,1,0))</f>
        <v/>
      </c>
      <c r="I1232" s="17" t="str">
        <f t="shared" si="19"/>
        <v/>
      </c>
      <c r="J1232" s="17" t="str">
        <f>IF(B1232="","",IF(B1231&lt;'02_Eingaben'!$C$36,0,J1231+I1231/'02_Eingaben'!$C$8))</f>
        <v/>
      </c>
    </row>
    <row r="1233" spans="1:10" x14ac:dyDescent="0.25">
      <c r="A1233" t="str">
        <f>IF('01_Rohdaten'!A1233="","",ROW()-1)</f>
        <v/>
      </c>
      <c r="B1233" s="17" t="str">
        <f>IF('01_Rohdaten'!A1233="","",'01_Rohdaten'!A1233)</f>
        <v/>
      </c>
      <c r="C1233" s="17" t="str">
        <f>IF(B1233="","",INDEX('01_Rohdaten'!B1233:D1233,'02_Eingaben'!$C$13))</f>
        <v/>
      </c>
      <c r="D1233" s="17" t="str">
        <f>IF(C1233="","",C1233*'02_Eingaben'!$C$15)</f>
        <v/>
      </c>
      <c r="E1233" s="17" t="str">
        <f>IF(D1233="","",D1233*'02_Eingaben'!$C$8)</f>
        <v/>
      </c>
      <c r="F1233" s="17" t="str">
        <f>IF(E1233="","",AVERAGE(INDEX($E$2:$E$3001,MAX(1,ROW()-1-'02_Eingaben'!$C$17)):INDEX($E$2:$E$3001,MIN('02_Eingaben'!$C$21,ROW()-1+'02_Eingaben'!$C$17))))</f>
        <v/>
      </c>
      <c r="G1233" s="17" t="str">
        <f>IF(F1233="","",F1233-'02_Eingaben'!$C$10)</f>
        <v/>
      </c>
      <c r="H1233" t="str">
        <f>IF(F1233="","",IF(F1233&lt;'02_Eingaben'!$C$18*'02_Eingaben'!$C$10,1,0))</f>
        <v/>
      </c>
      <c r="I1233" s="17" t="str">
        <f t="shared" si="19"/>
        <v/>
      </c>
      <c r="J1233" s="17" t="str">
        <f>IF(B1233="","",IF(B1232&lt;'02_Eingaben'!$C$36,0,J1232+I1232/'02_Eingaben'!$C$8))</f>
        <v/>
      </c>
    </row>
    <row r="1234" spans="1:10" x14ac:dyDescent="0.25">
      <c r="A1234" t="str">
        <f>IF('01_Rohdaten'!A1234="","",ROW()-1)</f>
        <v/>
      </c>
      <c r="B1234" s="17" t="str">
        <f>IF('01_Rohdaten'!A1234="","",'01_Rohdaten'!A1234)</f>
        <v/>
      </c>
      <c r="C1234" s="17" t="str">
        <f>IF(B1234="","",INDEX('01_Rohdaten'!B1234:D1234,'02_Eingaben'!$C$13))</f>
        <v/>
      </c>
      <c r="D1234" s="17" t="str">
        <f>IF(C1234="","",C1234*'02_Eingaben'!$C$15)</f>
        <v/>
      </c>
      <c r="E1234" s="17" t="str">
        <f>IF(D1234="","",D1234*'02_Eingaben'!$C$8)</f>
        <v/>
      </c>
      <c r="F1234" s="17" t="str">
        <f>IF(E1234="","",AVERAGE(INDEX($E$2:$E$3001,MAX(1,ROW()-1-'02_Eingaben'!$C$17)):INDEX($E$2:$E$3001,MIN('02_Eingaben'!$C$21,ROW()-1+'02_Eingaben'!$C$17))))</f>
        <v/>
      </c>
      <c r="G1234" s="17" t="str">
        <f>IF(F1234="","",F1234-'02_Eingaben'!$C$10)</f>
        <v/>
      </c>
      <c r="H1234" t="str">
        <f>IF(F1234="","",IF(F1234&lt;'02_Eingaben'!$C$18*'02_Eingaben'!$C$10,1,0))</f>
        <v/>
      </c>
      <c r="I1234" s="17" t="str">
        <f t="shared" si="19"/>
        <v/>
      </c>
      <c r="J1234" s="17" t="str">
        <f>IF(B1234="","",IF(B1233&lt;'02_Eingaben'!$C$36,0,J1233+I1233/'02_Eingaben'!$C$8))</f>
        <v/>
      </c>
    </row>
    <row r="1235" spans="1:10" x14ac:dyDescent="0.25">
      <c r="A1235" t="str">
        <f>IF('01_Rohdaten'!A1235="","",ROW()-1)</f>
        <v/>
      </c>
      <c r="B1235" s="17" t="str">
        <f>IF('01_Rohdaten'!A1235="","",'01_Rohdaten'!A1235)</f>
        <v/>
      </c>
      <c r="C1235" s="17" t="str">
        <f>IF(B1235="","",INDEX('01_Rohdaten'!B1235:D1235,'02_Eingaben'!$C$13))</f>
        <v/>
      </c>
      <c r="D1235" s="17" t="str">
        <f>IF(C1235="","",C1235*'02_Eingaben'!$C$15)</f>
        <v/>
      </c>
      <c r="E1235" s="17" t="str">
        <f>IF(D1235="","",D1235*'02_Eingaben'!$C$8)</f>
        <v/>
      </c>
      <c r="F1235" s="17" t="str">
        <f>IF(E1235="","",AVERAGE(INDEX($E$2:$E$3001,MAX(1,ROW()-1-'02_Eingaben'!$C$17)):INDEX($E$2:$E$3001,MIN('02_Eingaben'!$C$21,ROW()-1+'02_Eingaben'!$C$17))))</f>
        <v/>
      </c>
      <c r="G1235" s="17" t="str">
        <f>IF(F1235="","",F1235-'02_Eingaben'!$C$10)</f>
        <v/>
      </c>
      <c r="H1235" t="str">
        <f>IF(F1235="","",IF(F1235&lt;'02_Eingaben'!$C$18*'02_Eingaben'!$C$10,1,0))</f>
        <v/>
      </c>
      <c r="I1235" s="17" t="str">
        <f t="shared" si="19"/>
        <v/>
      </c>
      <c r="J1235" s="17" t="str">
        <f>IF(B1235="","",IF(B1234&lt;'02_Eingaben'!$C$36,0,J1234+I1234/'02_Eingaben'!$C$8))</f>
        <v/>
      </c>
    </row>
    <row r="1236" spans="1:10" x14ac:dyDescent="0.25">
      <c r="A1236" t="str">
        <f>IF('01_Rohdaten'!A1236="","",ROW()-1)</f>
        <v/>
      </c>
      <c r="B1236" s="17" t="str">
        <f>IF('01_Rohdaten'!A1236="","",'01_Rohdaten'!A1236)</f>
        <v/>
      </c>
      <c r="C1236" s="17" t="str">
        <f>IF(B1236="","",INDEX('01_Rohdaten'!B1236:D1236,'02_Eingaben'!$C$13))</f>
        <v/>
      </c>
      <c r="D1236" s="17" t="str">
        <f>IF(C1236="","",C1236*'02_Eingaben'!$C$15)</f>
        <v/>
      </c>
      <c r="E1236" s="17" t="str">
        <f>IF(D1236="","",D1236*'02_Eingaben'!$C$8)</f>
        <v/>
      </c>
      <c r="F1236" s="17" t="str">
        <f>IF(E1236="","",AVERAGE(INDEX($E$2:$E$3001,MAX(1,ROW()-1-'02_Eingaben'!$C$17)):INDEX($E$2:$E$3001,MIN('02_Eingaben'!$C$21,ROW()-1+'02_Eingaben'!$C$17))))</f>
        <v/>
      </c>
      <c r="G1236" s="17" t="str">
        <f>IF(F1236="","",F1236-'02_Eingaben'!$C$10)</f>
        <v/>
      </c>
      <c r="H1236" t="str">
        <f>IF(F1236="","",IF(F1236&lt;'02_Eingaben'!$C$18*'02_Eingaben'!$C$10,1,0))</f>
        <v/>
      </c>
      <c r="I1236" s="17" t="str">
        <f t="shared" si="19"/>
        <v/>
      </c>
      <c r="J1236" s="17" t="str">
        <f>IF(B1236="","",IF(B1235&lt;'02_Eingaben'!$C$36,0,J1235+I1235/'02_Eingaben'!$C$8))</f>
        <v/>
      </c>
    </row>
    <row r="1237" spans="1:10" x14ac:dyDescent="0.25">
      <c r="A1237" t="str">
        <f>IF('01_Rohdaten'!A1237="","",ROW()-1)</f>
        <v/>
      </c>
      <c r="B1237" s="17" t="str">
        <f>IF('01_Rohdaten'!A1237="","",'01_Rohdaten'!A1237)</f>
        <v/>
      </c>
      <c r="C1237" s="17" t="str">
        <f>IF(B1237="","",INDEX('01_Rohdaten'!B1237:D1237,'02_Eingaben'!$C$13))</f>
        <v/>
      </c>
      <c r="D1237" s="17" t="str">
        <f>IF(C1237="","",C1237*'02_Eingaben'!$C$15)</f>
        <v/>
      </c>
      <c r="E1237" s="17" t="str">
        <f>IF(D1237="","",D1237*'02_Eingaben'!$C$8)</f>
        <v/>
      </c>
      <c r="F1237" s="17" t="str">
        <f>IF(E1237="","",AVERAGE(INDEX($E$2:$E$3001,MAX(1,ROW()-1-'02_Eingaben'!$C$17)):INDEX($E$2:$E$3001,MIN('02_Eingaben'!$C$21,ROW()-1+'02_Eingaben'!$C$17))))</f>
        <v/>
      </c>
      <c r="G1237" s="17" t="str">
        <f>IF(F1237="","",F1237-'02_Eingaben'!$C$10)</f>
        <v/>
      </c>
      <c r="H1237" t="str">
        <f>IF(F1237="","",IF(F1237&lt;'02_Eingaben'!$C$18*'02_Eingaben'!$C$10,1,0))</f>
        <v/>
      </c>
      <c r="I1237" s="17" t="str">
        <f t="shared" si="19"/>
        <v/>
      </c>
      <c r="J1237" s="17" t="str">
        <f>IF(B1237="","",IF(B1236&lt;'02_Eingaben'!$C$36,0,J1236+I1236/'02_Eingaben'!$C$8))</f>
        <v/>
      </c>
    </row>
    <row r="1238" spans="1:10" x14ac:dyDescent="0.25">
      <c r="A1238" t="str">
        <f>IF('01_Rohdaten'!A1238="","",ROW()-1)</f>
        <v/>
      </c>
      <c r="B1238" s="17" t="str">
        <f>IF('01_Rohdaten'!A1238="","",'01_Rohdaten'!A1238)</f>
        <v/>
      </c>
      <c r="C1238" s="17" t="str">
        <f>IF(B1238="","",INDEX('01_Rohdaten'!B1238:D1238,'02_Eingaben'!$C$13))</f>
        <v/>
      </c>
      <c r="D1238" s="17" t="str">
        <f>IF(C1238="","",C1238*'02_Eingaben'!$C$15)</f>
        <v/>
      </c>
      <c r="E1238" s="17" t="str">
        <f>IF(D1238="","",D1238*'02_Eingaben'!$C$8)</f>
        <v/>
      </c>
      <c r="F1238" s="17" t="str">
        <f>IF(E1238="","",AVERAGE(INDEX($E$2:$E$3001,MAX(1,ROW()-1-'02_Eingaben'!$C$17)):INDEX($E$2:$E$3001,MIN('02_Eingaben'!$C$21,ROW()-1+'02_Eingaben'!$C$17))))</f>
        <v/>
      </c>
      <c r="G1238" s="17" t="str">
        <f>IF(F1238="","",F1238-'02_Eingaben'!$C$10)</f>
        <v/>
      </c>
      <c r="H1238" t="str">
        <f>IF(F1238="","",IF(F1238&lt;'02_Eingaben'!$C$18*'02_Eingaben'!$C$10,1,0))</f>
        <v/>
      </c>
      <c r="I1238" s="17" t="str">
        <f t="shared" si="19"/>
        <v/>
      </c>
      <c r="J1238" s="17" t="str">
        <f>IF(B1238="","",IF(B1237&lt;'02_Eingaben'!$C$36,0,J1237+I1237/'02_Eingaben'!$C$8))</f>
        <v/>
      </c>
    </row>
    <row r="1239" spans="1:10" x14ac:dyDescent="0.25">
      <c r="A1239" t="str">
        <f>IF('01_Rohdaten'!A1239="","",ROW()-1)</f>
        <v/>
      </c>
      <c r="B1239" s="17" t="str">
        <f>IF('01_Rohdaten'!A1239="","",'01_Rohdaten'!A1239)</f>
        <v/>
      </c>
      <c r="C1239" s="17" t="str">
        <f>IF(B1239="","",INDEX('01_Rohdaten'!B1239:D1239,'02_Eingaben'!$C$13))</f>
        <v/>
      </c>
      <c r="D1239" s="17" t="str">
        <f>IF(C1239="","",C1239*'02_Eingaben'!$C$15)</f>
        <v/>
      </c>
      <c r="E1239" s="17" t="str">
        <f>IF(D1239="","",D1239*'02_Eingaben'!$C$8)</f>
        <v/>
      </c>
      <c r="F1239" s="17" t="str">
        <f>IF(E1239="","",AVERAGE(INDEX($E$2:$E$3001,MAX(1,ROW()-1-'02_Eingaben'!$C$17)):INDEX($E$2:$E$3001,MIN('02_Eingaben'!$C$21,ROW()-1+'02_Eingaben'!$C$17))))</f>
        <v/>
      </c>
      <c r="G1239" s="17" t="str">
        <f>IF(F1239="","",F1239-'02_Eingaben'!$C$10)</f>
        <v/>
      </c>
      <c r="H1239" t="str">
        <f>IF(F1239="","",IF(F1239&lt;'02_Eingaben'!$C$18*'02_Eingaben'!$C$10,1,0))</f>
        <v/>
      </c>
      <c r="I1239" s="17" t="str">
        <f t="shared" si="19"/>
        <v/>
      </c>
      <c r="J1239" s="17" t="str">
        <f>IF(B1239="","",IF(B1238&lt;'02_Eingaben'!$C$36,0,J1238+I1238/'02_Eingaben'!$C$8))</f>
        <v/>
      </c>
    </row>
    <row r="1240" spans="1:10" x14ac:dyDescent="0.25">
      <c r="A1240" t="str">
        <f>IF('01_Rohdaten'!A1240="","",ROW()-1)</f>
        <v/>
      </c>
      <c r="B1240" s="17" t="str">
        <f>IF('01_Rohdaten'!A1240="","",'01_Rohdaten'!A1240)</f>
        <v/>
      </c>
      <c r="C1240" s="17" t="str">
        <f>IF(B1240="","",INDEX('01_Rohdaten'!B1240:D1240,'02_Eingaben'!$C$13))</f>
        <v/>
      </c>
      <c r="D1240" s="17" t="str">
        <f>IF(C1240="","",C1240*'02_Eingaben'!$C$15)</f>
        <v/>
      </c>
      <c r="E1240" s="17" t="str">
        <f>IF(D1240="","",D1240*'02_Eingaben'!$C$8)</f>
        <v/>
      </c>
      <c r="F1240" s="17" t="str">
        <f>IF(E1240="","",AVERAGE(INDEX($E$2:$E$3001,MAX(1,ROW()-1-'02_Eingaben'!$C$17)):INDEX($E$2:$E$3001,MIN('02_Eingaben'!$C$21,ROW()-1+'02_Eingaben'!$C$17))))</f>
        <v/>
      </c>
      <c r="G1240" s="17" t="str">
        <f>IF(F1240="","",F1240-'02_Eingaben'!$C$10)</f>
        <v/>
      </c>
      <c r="H1240" t="str">
        <f>IF(F1240="","",IF(F1240&lt;'02_Eingaben'!$C$18*'02_Eingaben'!$C$10,1,0))</f>
        <v/>
      </c>
      <c r="I1240" s="17" t="str">
        <f t="shared" si="19"/>
        <v/>
      </c>
      <c r="J1240" s="17" t="str">
        <f>IF(B1240="","",IF(B1239&lt;'02_Eingaben'!$C$36,0,J1239+I1239/'02_Eingaben'!$C$8))</f>
        <v/>
      </c>
    </row>
    <row r="1241" spans="1:10" x14ac:dyDescent="0.25">
      <c r="A1241" t="str">
        <f>IF('01_Rohdaten'!A1241="","",ROW()-1)</f>
        <v/>
      </c>
      <c r="B1241" s="17" t="str">
        <f>IF('01_Rohdaten'!A1241="","",'01_Rohdaten'!A1241)</f>
        <v/>
      </c>
      <c r="C1241" s="17" t="str">
        <f>IF(B1241="","",INDEX('01_Rohdaten'!B1241:D1241,'02_Eingaben'!$C$13))</f>
        <v/>
      </c>
      <c r="D1241" s="17" t="str">
        <f>IF(C1241="","",C1241*'02_Eingaben'!$C$15)</f>
        <v/>
      </c>
      <c r="E1241" s="17" t="str">
        <f>IF(D1241="","",D1241*'02_Eingaben'!$C$8)</f>
        <v/>
      </c>
      <c r="F1241" s="17" t="str">
        <f>IF(E1241="","",AVERAGE(INDEX($E$2:$E$3001,MAX(1,ROW()-1-'02_Eingaben'!$C$17)):INDEX($E$2:$E$3001,MIN('02_Eingaben'!$C$21,ROW()-1+'02_Eingaben'!$C$17))))</f>
        <v/>
      </c>
      <c r="G1241" s="17" t="str">
        <f>IF(F1241="","",F1241-'02_Eingaben'!$C$10)</f>
        <v/>
      </c>
      <c r="H1241" t="str">
        <f>IF(F1241="","",IF(F1241&lt;'02_Eingaben'!$C$18*'02_Eingaben'!$C$10,1,0))</f>
        <v/>
      </c>
      <c r="I1241" s="17" t="str">
        <f t="shared" si="19"/>
        <v/>
      </c>
      <c r="J1241" s="17" t="str">
        <f>IF(B1241="","",IF(B1240&lt;'02_Eingaben'!$C$36,0,J1240+I1240/'02_Eingaben'!$C$8))</f>
        <v/>
      </c>
    </row>
    <row r="1242" spans="1:10" x14ac:dyDescent="0.25">
      <c r="A1242" t="str">
        <f>IF('01_Rohdaten'!A1242="","",ROW()-1)</f>
        <v/>
      </c>
      <c r="B1242" s="17" t="str">
        <f>IF('01_Rohdaten'!A1242="","",'01_Rohdaten'!A1242)</f>
        <v/>
      </c>
      <c r="C1242" s="17" t="str">
        <f>IF(B1242="","",INDEX('01_Rohdaten'!B1242:D1242,'02_Eingaben'!$C$13))</f>
        <v/>
      </c>
      <c r="D1242" s="17" t="str">
        <f>IF(C1242="","",C1242*'02_Eingaben'!$C$15)</f>
        <v/>
      </c>
      <c r="E1242" s="17" t="str">
        <f>IF(D1242="","",D1242*'02_Eingaben'!$C$8)</f>
        <v/>
      </c>
      <c r="F1242" s="17" t="str">
        <f>IF(E1242="","",AVERAGE(INDEX($E$2:$E$3001,MAX(1,ROW()-1-'02_Eingaben'!$C$17)):INDEX($E$2:$E$3001,MIN('02_Eingaben'!$C$21,ROW()-1+'02_Eingaben'!$C$17))))</f>
        <v/>
      </c>
      <c r="G1242" s="17" t="str">
        <f>IF(F1242="","",F1242-'02_Eingaben'!$C$10)</f>
        <v/>
      </c>
      <c r="H1242" t="str">
        <f>IF(F1242="","",IF(F1242&lt;'02_Eingaben'!$C$18*'02_Eingaben'!$C$10,1,0))</f>
        <v/>
      </c>
      <c r="I1242" s="17" t="str">
        <f t="shared" si="19"/>
        <v/>
      </c>
      <c r="J1242" s="17" t="str">
        <f>IF(B1242="","",IF(B1241&lt;'02_Eingaben'!$C$36,0,J1241+I1241/'02_Eingaben'!$C$8))</f>
        <v/>
      </c>
    </row>
    <row r="1243" spans="1:10" x14ac:dyDescent="0.25">
      <c r="A1243" t="str">
        <f>IF('01_Rohdaten'!A1243="","",ROW()-1)</f>
        <v/>
      </c>
      <c r="B1243" s="17" t="str">
        <f>IF('01_Rohdaten'!A1243="","",'01_Rohdaten'!A1243)</f>
        <v/>
      </c>
      <c r="C1243" s="17" t="str">
        <f>IF(B1243="","",INDEX('01_Rohdaten'!B1243:D1243,'02_Eingaben'!$C$13))</f>
        <v/>
      </c>
      <c r="D1243" s="17" t="str">
        <f>IF(C1243="","",C1243*'02_Eingaben'!$C$15)</f>
        <v/>
      </c>
      <c r="E1243" s="17" t="str">
        <f>IF(D1243="","",D1243*'02_Eingaben'!$C$8)</f>
        <v/>
      </c>
      <c r="F1243" s="17" t="str">
        <f>IF(E1243="","",AVERAGE(INDEX($E$2:$E$3001,MAX(1,ROW()-1-'02_Eingaben'!$C$17)):INDEX($E$2:$E$3001,MIN('02_Eingaben'!$C$21,ROW()-1+'02_Eingaben'!$C$17))))</f>
        <v/>
      </c>
      <c r="G1243" s="17" t="str">
        <f>IF(F1243="","",F1243-'02_Eingaben'!$C$10)</f>
        <v/>
      </c>
      <c r="H1243" t="str">
        <f>IF(F1243="","",IF(F1243&lt;'02_Eingaben'!$C$18*'02_Eingaben'!$C$10,1,0))</f>
        <v/>
      </c>
      <c r="I1243" s="17" t="str">
        <f t="shared" si="19"/>
        <v/>
      </c>
      <c r="J1243" s="17" t="str">
        <f>IF(B1243="","",IF(B1242&lt;'02_Eingaben'!$C$36,0,J1242+I1242/'02_Eingaben'!$C$8))</f>
        <v/>
      </c>
    </row>
    <row r="1244" spans="1:10" x14ac:dyDescent="0.25">
      <c r="A1244" t="str">
        <f>IF('01_Rohdaten'!A1244="","",ROW()-1)</f>
        <v/>
      </c>
      <c r="B1244" s="17" t="str">
        <f>IF('01_Rohdaten'!A1244="","",'01_Rohdaten'!A1244)</f>
        <v/>
      </c>
      <c r="C1244" s="17" t="str">
        <f>IF(B1244="","",INDEX('01_Rohdaten'!B1244:D1244,'02_Eingaben'!$C$13))</f>
        <v/>
      </c>
      <c r="D1244" s="17" t="str">
        <f>IF(C1244="","",C1244*'02_Eingaben'!$C$15)</f>
        <v/>
      </c>
      <c r="E1244" s="17" t="str">
        <f>IF(D1244="","",D1244*'02_Eingaben'!$C$8)</f>
        <v/>
      </c>
      <c r="F1244" s="17" t="str">
        <f>IF(E1244="","",AVERAGE(INDEX($E$2:$E$3001,MAX(1,ROW()-1-'02_Eingaben'!$C$17)):INDEX($E$2:$E$3001,MIN('02_Eingaben'!$C$21,ROW()-1+'02_Eingaben'!$C$17))))</f>
        <v/>
      </c>
      <c r="G1244" s="17" t="str">
        <f>IF(F1244="","",F1244-'02_Eingaben'!$C$10)</f>
        <v/>
      </c>
      <c r="H1244" t="str">
        <f>IF(F1244="","",IF(F1244&lt;'02_Eingaben'!$C$18*'02_Eingaben'!$C$10,1,0))</f>
        <v/>
      </c>
      <c r="I1244" s="17" t="str">
        <f t="shared" si="19"/>
        <v/>
      </c>
      <c r="J1244" s="17" t="str">
        <f>IF(B1244="","",IF(B1243&lt;'02_Eingaben'!$C$36,0,J1243+I1243/'02_Eingaben'!$C$8))</f>
        <v/>
      </c>
    </row>
    <row r="1245" spans="1:10" x14ac:dyDescent="0.25">
      <c r="A1245" t="str">
        <f>IF('01_Rohdaten'!A1245="","",ROW()-1)</f>
        <v/>
      </c>
      <c r="B1245" s="17" t="str">
        <f>IF('01_Rohdaten'!A1245="","",'01_Rohdaten'!A1245)</f>
        <v/>
      </c>
      <c r="C1245" s="17" t="str">
        <f>IF(B1245="","",INDEX('01_Rohdaten'!B1245:D1245,'02_Eingaben'!$C$13))</f>
        <v/>
      </c>
      <c r="D1245" s="17" t="str">
        <f>IF(C1245="","",C1245*'02_Eingaben'!$C$15)</f>
        <v/>
      </c>
      <c r="E1245" s="17" t="str">
        <f>IF(D1245="","",D1245*'02_Eingaben'!$C$8)</f>
        <v/>
      </c>
      <c r="F1245" s="17" t="str">
        <f>IF(E1245="","",AVERAGE(INDEX($E$2:$E$3001,MAX(1,ROW()-1-'02_Eingaben'!$C$17)):INDEX($E$2:$E$3001,MIN('02_Eingaben'!$C$21,ROW()-1+'02_Eingaben'!$C$17))))</f>
        <v/>
      </c>
      <c r="G1245" s="17" t="str">
        <f>IF(F1245="","",F1245-'02_Eingaben'!$C$10)</f>
        <v/>
      </c>
      <c r="H1245" t="str">
        <f>IF(F1245="","",IF(F1245&lt;'02_Eingaben'!$C$18*'02_Eingaben'!$C$10,1,0))</f>
        <v/>
      </c>
      <c r="I1245" s="17" t="str">
        <f t="shared" si="19"/>
        <v/>
      </c>
      <c r="J1245" s="17" t="str">
        <f>IF(B1245="","",IF(B1244&lt;'02_Eingaben'!$C$36,0,J1244+I1244/'02_Eingaben'!$C$8))</f>
        <v/>
      </c>
    </row>
    <row r="1246" spans="1:10" x14ac:dyDescent="0.25">
      <c r="A1246" t="str">
        <f>IF('01_Rohdaten'!A1246="","",ROW()-1)</f>
        <v/>
      </c>
      <c r="B1246" s="17" t="str">
        <f>IF('01_Rohdaten'!A1246="","",'01_Rohdaten'!A1246)</f>
        <v/>
      </c>
      <c r="C1246" s="17" t="str">
        <f>IF(B1246="","",INDEX('01_Rohdaten'!B1246:D1246,'02_Eingaben'!$C$13))</f>
        <v/>
      </c>
      <c r="D1246" s="17" t="str">
        <f>IF(C1246="","",C1246*'02_Eingaben'!$C$15)</f>
        <v/>
      </c>
      <c r="E1246" s="17" t="str">
        <f>IF(D1246="","",D1246*'02_Eingaben'!$C$8)</f>
        <v/>
      </c>
      <c r="F1246" s="17" t="str">
        <f>IF(E1246="","",AVERAGE(INDEX($E$2:$E$3001,MAX(1,ROW()-1-'02_Eingaben'!$C$17)):INDEX($E$2:$E$3001,MIN('02_Eingaben'!$C$21,ROW()-1+'02_Eingaben'!$C$17))))</f>
        <v/>
      </c>
      <c r="G1246" s="17" t="str">
        <f>IF(F1246="","",F1246-'02_Eingaben'!$C$10)</f>
        <v/>
      </c>
      <c r="H1246" t="str">
        <f>IF(F1246="","",IF(F1246&lt;'02_Eingaben'!$C$18*'02_Eingaben'!$C$10,1,0))</f>
        <v/>
      </c>
      <c r="I1246" s="17" t="str">
        <f t="shared" si="19"/>
        <v/>
      </c>
      <c r="J1246" s="17" t="str">
        <f>IF(B1246="","",IF(B1245&lt;'02_Eingaben'!$C$36,0,J1245+I1245/'02_Eingaben'!$C$8))</f>
        <v/>
      </c>
    </row>
    <row r="1247" spans="1:10" x14ac:dyDescent="0.25">
      <c r="A1247" t="str">
        <f>IF('01_Rohdaten'!A1247="","",ROW()-1)</f>
        <v/>
      </c>
      <c r="B1247" s="17" t="str">
        <f>IF('01_Rohdaten'!A1247="","",'01_Rohdaten'!A1247)</f>
        <v/>
      </c>
      <c r="C1247" s="17" t="str">
        <f>IF(B1247="","",INDEX('01_Rohdaten'!B1247:D1247,'02_Eingaben'!$C$13))</f>
        <v/>
      </c>
      <c r="D1247" s="17" t="str">
        <f>IF(C1247="","",C1247*'02_Eingaben'!$C$15)</f>
        <v/>
      </c>
      <c r="E1247" s="17" t="str">
        <f>IF(D1247="","",D1247*'02_Eingaben'!$C$8)</f>
        <v/>
      </c>
      <c r="F1247" s="17" t="str">
        <f>IF(E1247="","",AVERAGE(INDEX($E$2:$E$3001,MAX(1,ROW()-1-'02_Eingaben'!$C$17)):INDEX($E$2:$E$3001,MIN('02_Eingaben'!$C$21,ROW()-1+'02_Eingaben'!$C$17))))</f>
        <v/>
      </c>
      <c r="G1247" s="17" t="str">
        <f>IF(F1247="","",F1247-'02_Eingaben'!$C$10)</f>
        <v/>
      </c>
      <c r="H1247" t="str">
        <f>IF(F1247="","",IF(F1247&lt;'02_Eingaben'!$C$18*'02_Eingaben'!$C$10,1,0))</f>
        <v/>
      </c>
      <c r="I1247" s="17" t="str">
        <f t="shared" si="19"/>
        <v/>
      </c>
      <c r="J1247" s="17" t="str">
        <f>IF(B1247="","",IF(B1246&lt;'02_Eingaben'!$C$36,0,J1246+I1246/'02_Eingaben'!$C$8))</f>
        <v/>
      </c>
    </row>
    <row r="1248" spans="1:10" x14ac:dyDescent="0.25">
      <c r="A1248" t="str">
        <f>IF('01_Rohdaten'!A1248="","",ROW()-1)</f>
        <v/>
      </c>
      <c r="B1248" s="17" t="str">
        <f>IF('01_Rohdaten'!A1248="","",'01_Rohdaten'!A1248)</f>
        <v/>
      </c>
      <c r="C1248" s="17" t="str">
        <f>IF(B1248="","",INDEX('01_Rohdaten'!B1248:D1248,'02_Eingaben'!$C$13))</f>
        <v/>
      </c>
      <c r="D1248" s="17" t="str">
        <f>IF(C1248="","",C1248*'02_Eingaben'!$C$15)</f>
        <v/>
      </c>
      <c r="E1248" s="17" t="str">
        <f>IF(D1248="","",D1248*'02_Eingaben'!$C$8)</f>
        <v/>
      </c>
      <c r="F1248" s="17" t="str">
        <f>IF(E1248="","",AVERAGE(INDEX($E$2:$E$3001,MAX(1,ROW()-1-'02_Eingaben'!$C$17)):INDEX($E$2:$E$3001,MIN('02_Eingaben'!$C$21,ROW()-1+'02_Eingaben'!$C$17))))</f>
        <v/>
      </c>
      <c r="G1248" s="17" t="str">
        <f>IF(F1248="","",F1248-'02_Eingaben'!$C$10)</f>
        <v/>
      </c>
      <c r="H1248" t="str">
        <f>IF(F1248="","",IF(F1248&lt;'02_Eingaben'!$C$18*'02_Eingaben'!$C$10,1,0))</f>
        <v/>
      </c>
      <c r="I1248" s="17" t="str">
        <f t="shared" si="19"/>
        <v/>
      </c>
      <c r="J1248" s="17" t="str">
        <f>IF(B1248="","",IF(B1247&lt;'02_Eingaben'!$C$36,0,J1247+I1247/'02_Eingaben'!$C$8))</f>
        <v/>
      </c>
    </row>
    <row r="1249" spans="1:10" x14ac:dyDescent="0.25">
      <c r="A1249" t="str">
        <f>IF('01_Rohdaten'!A1249="","",ROW()-1)</f>
        <v/>
      </c>
      <c r="B1249" s="17" t="str">
        <f>IF('01_Rohdaten'!A1249="","",'01_Rohdaten'!A1249)</f>
        <v/>
      </c>
      <c r="C1249" s="17" t="str">
        <f>IF(B1249="","",INDEX('01_Rohdaten'!B1249:D1249,'02_Eingaben'!$C$13))</f>
        <v/>
      </c>
      <c r="D1249" s="17" t="str">
        <f>IF(C1249="","",C1249*'02_Eingaben'!$C$15)</f>
        <v/>
      </c>
      <c r="E1249" s="17" t="str">
        <f>IF(D1249="","",D1249*'02_Eingaben'!$C$8)</f>
        <v/>
      </c>
      <c r="F1249" s="17" t="str">
        <f>IF(E1249="","",AVERAGE(INDEX($E$2:$E$3001,MAX(1,ROW()-1-'02_Eingaben'!$C$17)):INDEX($E$2:$E$3001,MIN('02_Eingaben'!$C$21,ROW()-1+'02_Eingaben'!$C$17))))</f>
        <v/>
      </c>
      <c r="G1249" s="17" t="str">
        <f>IF(F1249="","",F1249-'02_Eingaben'!$C$10)</f>
        <v/>
      </c>
      <c r="H1249" t="str">
        <f>IF(F1249="","",IF(F1249&lt;'02_Eingaben'!$C$18*'02_Eingaben'!$C$10,1,0))</f>
        <v/>
      </c>
      <c r="I1249" s="17" t="str">
        <f t="shared" si="19"/>
        <v/>
      </c>
      <c r="J1249" s="17" t="str">
        <f>IF(B1249="","",IF(B1248&lt;'02_Eingaben'!$C$36,0,J1248+I1248/'02_Eingaben'!$C$8))</f>
        <v/>
      </c>
    </row>
    <row r="1250" spans="1:10" x14ac:dyDescent="0.25">
      <c r="A1250" t="str">
        <f>IF('01_Rohdaten'!A1250="","",ROW()-1)</f>
        <v/>
      </c>
      <c r="B1250" s="17" t="str">
        <f>IF('01_Rohdaten'!A1250="","",'01_Rohdaten'!A1250)</f>
        <v/>
      </c>
      <c r="C1250" s="17" t="str">
        <f>IF(B1250="","",INDEX('01_Rohdaten'!B1250:D1250,'02_Eingaben'!$C$13))</f>
        <v/>
      </c>
      <c r="D1250" s="17" t="str">
        <f>IF(C1250="","",C1250*'02_Eingaben'!$C$15)</f>
        <v/>
      </c>
      <c r="E1250" s="17" t="str">
        <f>IF(D1250="","",D1250*'02_Eingaben'!$C$8)</f>
        <v/>
      </c>
      <c r="F1250" s="17" t="str">
        <f>IF(E1250="","",AVERAGE(INDEX($E$2:$E$3001,MAX(1,ROW()-1-'02_Eingaben'!$C$17)):INDEX($E$2:$E$3001,MIN('02_Eingaben'!$C$21,ROW()-1+'02_Eingaben'!$C$17))))</f>
        <v/>
      </c>
      <c r="G1250" s="17" t="str">
        <f>IF(F1250="","",F1250-'02_Eingaben'!$C$10)</f>
        <v/>
      </c>
      <c r="H1250" t="str">
        <f>IF(F1250="","",IF(F1250&lt;'02_Eingaben'!$C$18*'02_Eingaben'!$C$10,1,0))</f>
        <v/>
      </c>
      <c r="I1250" s="17" t="str">
        <f t="shared" si="19"/>
        <v/>
      </c>
      <c r="J1250" s="17" t="str">
        <f>IF(B1250="","",IF(B1249&lt;'02_Eingaben'!$C$36,0,J1249+I1249/'02_Eingaben'!$C$8))</f>
        <v/>
      </c>
    </row>
    <row r="1251" spans="1:10" x14ac:dyDescent="0.25">
      <c r="A1251" t="str">
        <f>IF('01_Rohdaten'!A1251="","",ROW()-1)</f>
        <v/>
      </c>
      <c r="B1251" s="17" t="str">
        <f>IF('01_Rohdaten'!A1251="","",'01_Rohdaten'!A1251)</f>
        <v/>
      </c>
      <c r="C1251" s="17" t="str">
        <f>IF(B1251="","",INDEX('01_Rohdaten'!B1251:D1251,'02_Eingaben'!$C$13))</f>
        <v/>
      </c>
      <c r="D1251" s="17" t="str">
        <f>IF(C1251="","",C1251*'02_Eingaben'!$C$15)</f>
        <v/>
      </c>
      <c r="E1251" s="17" t="str">
        <f>IF(D1251="","",D1251*'02_Eingaben'!$C$8)</f>
        <v/>
      </c>
      <c r="F1251" s="17" t="str">
        <f>IF(E1251="","",AVERAGE(INDEX($E$2:$E$3001,MAX(1,ROW()-1-'02_Eingaben'!$C$17)):INDEX($E$2:$E$3001,MIN('02_Eingaben'!$C$21,ROW()-1+'02_Eingaben'!$C$17))))</f>
        <v/>
      </c>
      <c r="G1251" s="17" t="str">
        <f>IF(F1251="","",F1251-'02_Eingaben'!$C$10)</f>
        <v/>
      </c>
      <c r="H1251" t="str">
        <f>IF(F1251="","",IF(F1251&lt;'02_Eingaben'!$C$18*'02_Eingaben'!$C$10,1,0))</f>
        <v/>
      </c>
      <c r="I1251" s="17" t="str">
        <f t="shared" si="19"/>
        <v/>
      </c>
      <c r="J1251" s="17" t="str">
        <f>IF(B1251="","",IF(B1250&lt;'02_Eingaben'!$C$36,0,J1250+I1250/'02_Eingaben'!$C$8))</f>
        <v/>
      </c>
    </row>
    <row r="1252" spans="1:10" x14ac:dyDescent="0.25">
      <c r="A1252" t="str">
        <f>IF('01_Rohdaten'!A1252="","",ROW()-1)</f>
        <v/>
      </c>
      <c r="B1252" s="17" t="str">
        <f>IF('01_Rohdaten'!A1252="","",'01_Rohdaten'!A1252)</f>
        <v/>
      </c>
      <c r="C1252" s="17" t="str">
        <f>IF(B1252="","",INDEX('01_Rohdaten'!B1252:D1252,'02_Eingaben'!$C$13))</f>
        <v/>
      </c>
      <c r="D1252" s="17" t="str">
        <f>IF(C1252="","",C1252*'02_Eingaben'!$C$15)</f>
        <v/>
      </c>
      <c r="E1252" s="17" t="str">
        <f>IF(D1252="","",D1252*'02_Eingaben'!$C$8)</f>
        <v/>
      </c>
      <c r="F1252" s="17" t="str">
        <f>IF(E1252="","",AVERAGE(INDEX($E$2:$E$3001,MAX(1,ROW()-1-'02_Eingaben'!$C$17)):INDEX($E$2:$E$3001,MIN('02_Eingaben'!$C$21,ROW()-1+'02_Eingaben'!$C$17))))</f>
        <v/>
      </c>
      <c r="G1252" s="17" t="str">
        <f>IF(F1252="","",F1252-'02_Eingaben'!$C$10)</f>
        <v/>
      </c>
      <c r="H1252" t="str">
        <f>IF(F1252="","",IF(F1252&lt;'02_Eingaben'!$C$18*'02_Eingaben'!$C$10,1,0))</f>
        <v/>
      </c>
      <c r="I1252" s="17" t="str">
        <f t="shared" si="19"/>
        <v/>
      </c>
      <c r="J1252" s="17" t="str">
        <f>IF(B1252="","",IF(B1251&lt;'02_Eingaben'!$C$36,0,J1251+I1251/'02_Eingaben'!$C$8))</f>
        <v/>
      </c>
    </row>
    <row r="1253" spans="1:10" x14ac:dyDescent="0.25">
      <c r="A1253" t="str">
        <f>IF('01_Rohdaten'!A1253="","",ROW()-1)</f>
        <v/>
      </c>
      <c r="B1253" s="17" t="str">
        <f>IF('01_Rohdaten'!A1253="","",'01_Rohdaten'!A1253)</f>
        <v/>
      </c>
      <c r="C1253" s="17" t="str">
        <f>IF(B1253="","",INDEX('01_Rohdaten'!B1253:D1253,'02_Eingaben'!$C$13))</f>
        <v/>
      </c>
      <c r="D1253" s="17" t="str">
        <f>IF(C1253="","",C1253*'02_Eingaben'!$C$15)</f>
        <v/>
      </c>
      <c r="E1253" s="17" t="str">
        <f>IF(D1253="","",D1253*'02_Eingaben'!$C$8)</f>
        <v/>
      </c>
      <c r="F1253" s="17" t="str">
        <f>IF(E1253="","",AVERAGE(INDEX($E$2:$E$3001,MAX(1,ROW()-1-'02_Eingaben'!$C$17)):INDEX($E$2:$E$3001,MIN('02_Eingaben'!$C$21,ROW()-1+'02_Eingaben'!$C$17))))</f>
        <v/>
      </c>
      <c r="G1253" s="17" t="str">
        <f>IF(F1253="","",F1253-'02_Eingaben'!$C$10)</f>
        <v/>
      </c>
      <c r="H1253" t="str">
        <f>IF(F1253="","",IF(F1253&lt;'02_Eingaben'!$C$18*'02_Eingaben'!$C$10,1,0))</f>
        <v/>
      </c>
      <c r="I1253" s="17" t="str">
        <f t="shared" si="19"/>
        <v/>
      </c>
      <c r="J1253" s="17" t="str">
        <f>IF(B1253="","",IF(B1252&lt;'02_Eingaben'!$C$36,0,J1252+I1252/'02_Eingaben'!$C$8))</f>
        <v/>
      </c>
    </row>
    <row r="1254" spans="1:10" x14ac:dyDescent="0.25">
      <c r="A1254" t="str">
        <f>IF('01_Rohdaten'!A1254="","",ROW()-1)</f>
        <v/>
      </c>
      <c r="B1254" s="17" t="str">
        <f>IF('01_Rohdaten'!A1254="","",'01_Rohdaten'!A1254)</f>
        <v/>
      </c>
      <c r="C1254" s="17" t="str">
        <f>IF(B1254="","",INDEX('01_Rohdaten'!B1254:D1254,'02_Eingaben'!$C$13))</f>
        <v/>
      </c>
      <c r="D1254" s="17" t="str">
        <f>IF(C1254="","",C1254*'02_Eingaben'!$C$15)</f>
        <v/>
      </c>
      <c r="E1254" s="17" t="str">
        <f>IF(D1254="","",D1254*'02_Eingaben'!$C$8)</f>
        <v/>
      </c>
      <c r="F1254" s="17" t="str">
        <f>IF(E1254="","",AVERAGE(INDEX($E$2:$E$3001,MAX(1,ROW()-1-'02_Eingaben'!$C$17)):INDEX($E$2:$E$3001,MIN('02_Eingaben'!$C$21,ROW()-1+'02_Eingaben'!$C$17))))</f>
        <v/>
      </c>
      <c r="G1254" s="17" t="str">
        <f>IF(F1254="","",F1254-'02_Eingaben'!$C$10)</f>
        <v/>
      </c>
      <c r="H1254" t="str">
        <f>IF(F1254="","",IF(F1254&lt;'02_Eingaben'!$C$18*'02_Eingaben'!$C$10,1,0))</f>
        <v/>
      </c>
      <c r="I1254" s="17" t="str">
        <f t="shared" si="19"/>
        <v/>
      </c>
      <c r="J1254" s="17" t="str">
        <f>IF(B1254="","",IF(B1253&lt;'02_Eingaben'!$C$36,0,J1253+I1253/'02_Eingaben'!$C$8))</f>
        <v/>
      </c>
    </row>
    <row r="1255" spans="1:10" x14ac:dyDescent="0.25">
      <c r="A1255" t="str">
        <f>IF('01_Rohdaten'!A1255="","",ROW()-1)</f>
        <v/>
      </c>
      <c r="B1255" s="17" t="str">
        <f>IF('01_Rohdaten'!A1255="","",'01_Rohdaten'!A1255)</f>
        <v/>
      </c>
      <c r="C1255" s="17" t="str">
        <f>IF(B1255="","",INDEX('01_Rohdaten'!B1255:D1255,'02_Eingaben'!$C$13))</f>
        <v/>
      </c>
      <c r="D1255" s="17" t="str">
        <f>IF(C1255="","",C1255*'02_Eingaben'!$C$15)</f>
        <v/>
      </c>
      <c r="E1255" s="17" t="str">
        <f>IF(D1255="","",D1255*'02_Eingaben'!$C$8)</f>
        <v/>
      </c>
      <c r="F1255" s="17" t="str">
        <f>IF(E1255="","",AVERAGE(INDEX($E$2:$E$3001,MAX(1,ROW()-1-'02_Eingaben'!$C$17)):INDEX($E$2:$E$3001,MIN('02_Eingaben'!$C$21,ROW()-1+'02_Eingaben'!$C$17))))</f>
        <v/>
      </c>
      <c r="G1255" s="17" t="str">
        <f>IF(F1255="","",F1255-'02_Eingaben'!$C$10)</f>
        <v/>
      </c>
      <c r="H1255" t="str">
        <f>IF(F1255="","",IF(F1255&lt;'02_Eingaben'!$C$18*'02_Eingaben'!$C$10,1,0))</f>
        <v/>
      </c>
      <c r="I1255" s="17" t="str">
        <f t="shared" si="19"/>
        <v/>
      </c>
      <c r="J1255" s="17" t="str">
        <f>IF(B1255="","",IF(B1254&lt;'02_Eingaben'!$C$36,0,J1254+I1254/'02_Eingaben'!$C$8))</f>
        <v/>
      </c>
    </row>
    <row r="1256" spans="1:10" x14ac:dyDescent="0.25">
      <c r="A1256" t="str">
        <f>IF('01_Rohdaten'!A1256="","",ROW()-1)</f>
        <v/>
      </c>
      <c r="B1256" s="17" t="str">
        <f>IF('01_Rohdaten'!A1256="","",'01_Rohdaten'!A1256)</f>
        <v/>
      </c>
      <c r="C1256" s="17" t="str">
        <f>IF(B1256="","",INDEX('01_Rohdaten'!B1256:D1256,'02_Eingaben'!$C$13))</f>
        <v/>
      </c>
      <c r="D1256" s="17" t="str">
        <f>IF(C1256="","",C1256*'02_Eingaben'!$C$15)</f>
        <v/>
      </c>
      <c r="E1256" s="17" t="str">
        <f>IF(D1256="","",D1256*'02_Eingaben'!$C$8)</f>
        <v/>
      </c>
      <c r="F1256" s="17" t="str">
        <f>IF(E1256="","",AVERAGE(INDEX($E$2:$E$3001,MAX(1,ROW()-1-'02_Eingaben'!$C$17)):INDEX($E$2:$E$3001,MIN('02_Eingaben'!$C$21,ROW()-1+'02_Eingaben'!$C$17))))</f>
        <v/>
      </c>
      <c r="G1256" s="17" t="str">
        <f>IF(F1256="","",F1256-'02_Eingaben'!$C$10)</f>
        <v/>
      </c>
      <c r="H1256" t="str">
        <f>IF(F1256="","",IF(F1256&lt;'02_Eingaben'!$C$18*'02_Eingaben'!$C$10,1,0))</f>
        <v/>
      </c>
      <c r="I1256" s="17" t="str">
        <f t="shared" si="19"/>
        <v/>
      </c>
      <c r="J1256" s="17" t="str">
        <f>IF(B1256="","",IF(B1255&lt;'02_Eingaben'!$C$36,0,J1255+I1255/'02_Eingaben'!$C$8))</f>
        <v/>
      </c>
    </row>
    <row r="1257" spans="1:10" x14ac:dyDescent="0.25">
      <c r="A1257" t="str">
        <f>IF('01_Rohdaten'!A1257="","",ROW()-1)</f>
        <v/>
      </c>
      <c r="B1257" s="17" t="str">
        <f>IF('01_Rohdaten'!A1257="","",'01_Rohdaten'!A1257)</f>
        <v/>
      </c>
      <c r="C1257" s="17" t="str">
        <f>IF(B1257="","",INDEX('01_Rohdaten'!B1257:D1257,'02_Eingaben'!$C$13))</f>
        <v/>
      </c>
      <c r="D1257" s="17" t="str">
        <f>IF(C1257="","",C1257*'02_Eingaben'!$C$15)</f>
        <v/>
      </c>
      <c r="E1257" s="17" t="str">
        <f>IF(D1257="","",D1257*'02_Eingaben'!$C$8)</f>
        <v/>
      </c>
      <c r="F1257" s="17" t="str">
        <f>IF(E1257="","",AVERAGE(INDEX($E$2:$E$3001,MAX(1,ROW()-1-'02_Eingaben'!$C$17)):INDEX($E$2:$E$3001,MIN('02_Eingaben'!$C$21,ROW()-1+'02_Eingaben'!$C$17))))</f>
        <v/>
      </c>
      <c r="G1257" s="17" t="str">
        <f>IF(F1257="","",F1257-'02_Eingaben'!$C$10)</f>
        <v/>
      </c>
      <c r="H1257" t="str">
        <f>IF(F1257="","",IF(F1257&lt;'02_Eingaben'!$C$18*'02_Eingaben'!$C$10,1,0))</f>
        <v/>
      </c>
      <c r="I1257" s="17" t="str">
        <f t="shared" si="19"/>
        <v/>
      </c>
      <c r="J1257" s="17" t="str">
        <f>IF(B1257="","",IF(B1256&lt;'02_Eingaben'!$C$36,0,J1256+I1256/'02_Eingaben'!$C$8))</f>
        <v/>
      </c>
    </row>
    <row r="1258" spans="1:10" x14ac:dyDescent="0.25">
      <c r="A1258" t="str">
        <f>IF('01_Rohdaten'!A1258="","",ROW()-1)</f>
        <v/>
      </c>
      <c r="B1258" s="17" t="str">
        <f>IF('01_Rohdaten'!A1258="","",'01_Rohdaten'!A1258)</f>
        <v/>
      </c>
      <c r="C1258" s="17" t="str">
        <f>IF(B1258="","",INDEX('01_Rohdaten'!B1258:D1258,'02_Eingaben'!$C$13))</f>
        <v/>
      </c>
      <c r="D1258" s="17" t="str">
        <f>IF(C1258="","",C1258*'02_Eingaben'!$C$15)</f>
        <v/>
      </c>
      <c r="E1258" s="17" t="str">
        <f>IF(D1258="","",D1258*'02_Eingaben'!$C$8)</f>
        <v/>
      </c>
      <c r="F1258" s="17" t="str">
        <f>IF(E1258="","",AVERAGE(INDEX($E$2:$E$3001,MAX(1,ROW()-1-'02_Eingaben'!$C$17)):INDEX($E$2:$E$3001,MIN('02_Eingaben'!$C$21,ROW()-1+'02_Eingaben'!$C$17))))</f>
        <v/>
      </c>
      <c r="G1258" s="17" t="str">
        <f>IF(F1258="","",F1258-'02_Eingaben'!$C$10)</f>
        <v/>
      </c>
      <c r="H1258" t="str">
        <f>IF(F1258="","",IF(F1258&lt;'02_Eingaben'!$C$18*'02_Eingaben'!$C$10,1,0))</f>
        <v/>
      </c>
      <c r="I1258" s="17" t="str">
        <f t="shared" si="19"/>
        <v/>
      </c>
      <c r="J1258" s="17" t="str">
        <f>IF(B1258="","",IF(B1257&lt;'02_Eingaben'!$C$36,0,J1257+I1257/'02_Eingaben'!$C$8))</f>
        <v/>
      </c>
    </row>
    <row r="1259" spans="1:10" x14ac:dyDescent="0.25">
      <c r="A1259" t="str">
        <f>IF('01_Rohdaten'!A1259="","",ROW()-1)</f>
        <v/>
      </c>
      <c r="B1259" s="17" t="str">
        <f>IF('01_Rohdaten'!A1259="","",'01_Rohdaten'!A1259)</f>
        <v/>
      </c>
      <c r="C1259" s="17" t="str">
        <f>IF(B1259="","",INDEX('01_Rohdaten'!B1259:D1259,'02_Eingaben'!$C$13))</f>
        <v/>
      </c>
      <c r="D1259" s="17" t="str">
        <f>IF(C1259="","",C1259*'02_Eingaben'!$C$15)</f>
        <v/>
      </c>
      <c r="E1259" s="17" t="str">
        <f>IF(D1259="","",D1259*'02_Eingaben'!$C$8)</f>
        <v/>
      </c>
      <c r="F1259" s="17" t="str">
        <f>IF(E1259="","",AVERAGE(INDEX($E$2:$E$3001,MAX(1,ROW()-1-'02_Eingaben'!$C$17)):INDEX($E$2:$E$3001,MIN('02_Eingaben'!$C$21,ROW()-1+'02_Eingaben'!$C$17))))</f>
        <v/>
      </c>
      <c r="G1259" s="17" t="str">
        <f>IF(F1259="","",F1259-'02_Eingaben'!$C$10)</f>
        <v/>
      </c>
      <c r="H1259" t="str">
        <f>IF(F1259="","",IF(F1259&lt;'02_Eingaben'!$C$18*'02_Eingaben'!$C$10,1,0))</f>
        <v/>
      </c>
      <c r="I1259" s="17" t="str">
        <f t="shared" si="19"/>
        <v/>
      </c>
      <c r="J1259" s="17" t="str">
        <f>IF(B1259="","",IF(B1258&lt;'02_Eingaben'!$C$36,0,J1258+I1258/'02_Eingaben'!$C$8))</f>
        <v/>
      </c>
    </row>
    <row r="1260" spans="1:10" x14ac:dyDescent="0.25">
      <c r="A1260" t="str">
        <f>IF('01_Rohdaten'!A1260="","",ROW()-1)</f>
        <v/>
      </c>
      <c r="B1260" s="17" t="str">
        <f>IF('01_Rohdaten'!A1260="","",'01_Rohdaten'!A1260)</f>
        <v/>
      </c>
      <c r="C1260" s="17" t="str">
        <f>IF(B1260="","",INDEX('01_Rohdaten'!B1260:D1260,'02_Eingaben'!$C$13))</f>
        <v/>
      </c>
      <c r="D1260" s="17" t="str">
        <f>IF(C1260="","",C1260*'02_Eingaben'!$C$15)</f>
        <v/>
      </c>
      <c r="E1260" s="17" t="str">
        <f>IF(D1260="","",D1260*'02_Eingaben'!$C$8)</f>
        <v/>
      </c>
      <c r="F1260" s="17" t="str">
        <f>IF(E1260="","",AVERAGE(INDEX($E$2:$E$3001,MAX(1,ROW()-1-'02_Eingaben'!$C$17)):INDEX($E$2:$E$3001,MIN('02_Eingaben'!$C$21,ROW()-1+'02_Eingaben'!$C$17))))</f>
        <v/>
      </c>
      <c r="G1260" s="17" t="str">
        <f>IF(F1260="","",F1260-'02_Eingaben'!$C$10)</f>
        <v/>
      </c>
      <c r="H1260" t="str">
        <f>IF(F1260="","",IF(F1260&lt;'02_Eingaben'!$C$18*'02_Eingaben'!$C$10,1,0))</f>
        <v/>
      </c>
      <c r="I1260" s="17" t="str">
        <f t="shared" si="19"/>
        <v/>
      </c>
      <c r="J1260" s="17" t="str">
        <f>IF(B1260="","",IF(B1259&lt;'02_Eingaben'!$C$36,0,J1259+I1259/'02_Eingaben'!$C$8))</f>
        <v/>
      </c>
    </row>
    <row r="1261" spans="1:10" x14ac:dyDescent="0.25">
      <c r="A1261" t="str">
        <f>IF('01_Rohdaten'!A1261="","",ROW()-1)</f>
        <v/>
      </c>
      <c r="B1261" s="17" t="str">
        <f>IF('01_Rohdaten'!A1261="","",'01_Rohdaten'!A1261)</f>
        <v/>
      </c>
      <c r="C1261" s="17" t="str">
        <f>IF(B1261="","",INDEX('01_Rohdaten'!B1261:D1261,'02_Eingaben'!$C$13))</f>
        <v/>
      </c>
      <c r="D1261" s="17" t="str">
        <f>IF(C1261="","",C1261*'02_Eingaben'!$C$15)</f>
        <v/>
      </c>
      <c r="E1261" s="17" t="str">
        <f>IF(D1261="","",D1261*'02_Eingaben'!$C$8)</f>
        <v/>
      </c>
      <c r="F1261" s="17" t="str">
        <f>IF(E1261="","",AVERAGE(INDEX($E$2:$E$3001,MAX(1,ROW()-1-'02_Eingaben'!$C$17)):INDEX($E$2:$E$3001,MIN('02_Eingaben'!$C$21,ROW()-1+'02_Eingaben'!$C$17))))</f>
        <v/>
      </c>
      <c r="G1261" s="17" t="str">
        <f>IF(F1261="","",F1261-'02_Eingaben'!$C$10)</f>
        <v/>
      </c>
      <c r="H1261" t="str">
        <f>IF(F1261="","",IF(F1261&lt;'02_Eingaben'!$C$18*'02_Eingaben'!$C$10,1,0))</f>
        <v/>
      </c>
      <c r="I1261" s="17" t="str">
        <f t="shared" si="19"/>
        <v/>
      </c>
      <c r="J1261" s="17" t="str">
        <f>IF(B1261="","",IF(B1260&lt;'02_Eingaben'!$C$36,0,J1260+I1260/'02_Eingaben'!$C$8))</f>
        <v/>
      </c>
    </row>
    <row r="1262" spans="1:10" x14ac:dyDescent="0.25">
      <c r="A1262" t="str">
        <f>IF('01_Rohdaten'!A1262="","",ROW()-1)</f>
        <v/>
      </c>
      <c r="B1262" s="17" t="str">
        <f>IF('01_Rohdaten'!A1262="","",'01_Rohdaten'!A1262)</f>
        <v/>
      </c>
      <c r="C1262" s="17" t="str">
        <f>IF(B1262="","",INDEX('01_Rohdaten'!B1262:D1262,'02_Eingaben'!$C$13))</f>
        <v/>
      </c>
      <c r="D1262" s="17" t="str">
        <f>IF(C1262="","",C1262*'02_Eingaben'!$C$15)</f>
        <v/>
      </c>
      <c r="E1262" s="17" t="str">
        <f>IF(D1262="","",D1262*'02_Eingaben'!$C$8)</f>
        <v/>
      </c>
      <c r="F1262" s="17" t="str">
        <f>IF(E1262="","",AVERAGE(INDEX($E$2:$E$3001,MAX(1,ROW()-1-'02_Eingaben'!$C$17)):INDEX($E$2:$E$3001,MIN('02_Eingaben'!$C$21,ROW()-1+'02_Eingaben'!$C$17))))</f>
        <v/>
      </c>
      <c r="G1262" s="17" t="str">
        <f>IF(F1262="","",F1262-'02_Eingaben'!$C$10)</f>
        <v/>
      </c>
      <c r="H1262" t="str">
        <f>IF(F1262="","",IF(F1262&lt;'02_Eingaben'!$C$18*'02_Eingaben'!$C$10,1,0))</f>
        <v/>
      </c>
      <c r="I1262" s="17" t="str">
        <f t="shared" si="19"/>
        <v/>
      </c>
      <c r="J1262" s="17" t="str">
        <f>IF(B1262="","",IF(B1261&lt;'02_Eingaben'!$C$36,0,J1261+I1261/'02_Eingaben'!$C$8))</f>
        <v/>
      </c>
    </row>
    <row r="1263" spans="1:10" x14ac:dyDescent="0.25">
      <c r="A1263" t="str">
        <f>IF('01_Rohdaten'!A1263="","",ROW()-1)</f>
        <v/>
      </c>
      <c r="B1263" s="17" t="str">
        <f>IF('01_Rohdaten'!A1263="","",'01_Rohdaten'!A1263)</f>
        <v/>
      </c>
      <c r="C1263" s="17" t="str">
        <f>IF(B1263="","",INDEX('01_Rohdaten'!B1263:D1263,'02_Eingaben'!$C$13))</f>
        <v/>
      </c>
      <c r="D1263" s="17" t="str">
        <f>IF(C1263="","",C1263*'02_Eingaben'!$C$15)</f>
        <v/>
      </c>
      <c r="E1263" s="17" t="str">
        <f>IF(D1263="","",D1263*'02_Eingaben'!$C$8)</f>
        <v/>
      </c>
      <c r="F1263" s="17" t="str">
        <f>IF(E1263="","",AVERAGE(INDEX($E$2:$E$3001,MAX(1,ROW()-1-'02_Eingaben'!$C$17)):INDEX($E$2:$E$3001,MIN('02_Eingaben'!$C$21,ROW()-1+'02_Eingaben'!$C$17))))</f>
        <v/>
      </c>
      <c r="G1263" s="17" t="str">
        <f>IF(F1263="","",F1263-'02_Eingaben'!$C$10)</f>
        <v/>
      </c>
      <c r="H1263" t="str">
        <f>IF(F1263="","",IF(F1263&lt;'02_Eingaben'!$C$18*'02_Eingaben'!$C$10,1,0))</f>
        <v/>
      </c>
      <c r="I1263" s="17" t="str">
        <f t="shared" si="19"/>
        <v/>
      </c>
      <c r="J1263" s="17" t="str">
        <f>IF(B1263="","",IF(B1262&lt;'02_Eingaben'!$C$36,0,J1262+I1262/'02_Eingaben'!$C$8))</f>
        <v/>
      </c>
    </row>
    <row r="1264" spans="1:10" x14ac:dyDescent="0.25">
      <c r="A1264" t="str">
        <f>IF('01_Rohdaten'!A1264="","",ROW()-1)</f>
        <v/>
      </c>
      <c r="B1264" s="17" t="str">
        <f>IF('01_Rohdaten'!A1264="","",'01_Rohdaten'!A1264)</f>
        <v/>
      </c>
      <c r="C1264" s="17" t="str">
        <f>IF(B1264="","",INDEX('01_Rohdaten'!B1264:D1264,'02_Eingaben'!$C$13))</f>
        <v/>
      </c>
      <c r="D1264" s="17" t="str">
        <f>IF(C1264="","",C1264*'02_Eingaben'!$C$15)</f>
        <v/>
      </c>
      <c r="E1264" s="17" t="str">
        <f>IF(D1264="","",D1264*'02_Eingaben'!$C$8)</f>
        <v/>
      </c>
      <c r="F1264" s="17" t="str">
        <f>IF(E1264="","",AVERAGE(INDEX($E$2:$E$3001,MAX(1,ROW()-1-'02_Eingaben'!$C$17)):INDEX($E$2:$E$3001,MIN('02_Eingaben'!$C$21,ROW()-1+'02_Eingaben'!$C$17))))</f>
        <v/>
      </c>
      <c r="G1264" s="17" t="str">
        <f>IF(F1264="","",F1264-'02_Eingaben'!$C$10)</f>
        <v/>
      </c>
      <c r="H1264" t="str">
        <f>IF(F1264="","",IF(F1264&lt;'02_Eingaben'!$C$18*'02_Eingaben'!$C$10,1,0))</f>
        <v/>
      </c>
      <c r="I1264" s="17" t="str">
        <f t="shared" si="19"/>
        <v/>
      </c>
      <c r="J1264" s="17" t="str">
        <f>IF(B1264="","",IF(B1263&lt;'02_Eingaben'!$C$36,0,J1263+I1263/'02_Eingaben'!$C$8))</f>
        <v/>
      </c>
    </row>
    <row r="1265" spans="1:10" x14ac:dyDescent="0.25">
      <c r="A1265" t="str">
        <f>IF('01_Rohdaten'!A1265="","",ROW()-1)</f>
        <v/>
      </c>
      <c r="B1265" s="17" t="str">
        <f>IF('01_Rohdaten'!A1265="","",'01_Rohdaten'!A1265)</f>
        <v/>
      </c>
      <c r="C1265" s="17" t="str">
        <f>IF(B1265="","",INDEX('01_Rohdaten'!B1265:D1265,'02_Eingaben'!$C$13))</f>
        <v/>
      </c>
      <c r="D1265" s="17" t="str">
        <f>IF(C1265="","",C1265*'02_Eingaben'!$C$15)</f>
        <v/>
      </c>
      <c r="E1265" s="17" t="str">
        <f>IF(D1265="","",D1265*'02_Eingaben'!$C$8)</f>
        <v/>
      </c>
      <c r="F1265" s="17" t="str">
        <f>IF(E1265="","",AVERAGE(INDEX($E$2:$E$3001,MAX(1,ROW()-1-'02_Eingaben'!$C$17)):INDEX($E$2:$E$3001,MIN('02_Eingaben'!$C$21,ROW()-1+'02_Eingaben'!$C$17))))</f>
        <v/>
      </c>
      <c r="G1265" s="17" t="str">
        <f>IF(F1265="","",F1265-'02_Eingaben'!$C$10)</f>
        <v/>
      </c>
      <c r="H1265" t="str">
        <f>IF(F1265="","",IF(F1265&lt;'02_Eingaben'!$C$18*'02_Eingaben'!$C$10,1,0))</f>
        <v/>
      </c>
      <c r="I1265" s="17" t="str">
        <f t="shared" si="19"/>
        <v/>
      </c>
      <c r="J1265" s="17" t="str">
        <f>IF(B1265="","",IF(B1264&lt;'02_Eingaben'!$C$36,0,J1264+I1264/'02_Eingaben'!$C$8))</f>
        <v/>
      </c>
    </row>
    <row r="1266" spans="1:10" x14ac:dyDescent="0.25">
      <c r="A1266" t="str">
        <f>IF('01_Rohdaten'!A1266="","",ROW()-1)</f>
        <v/>
      </c>
      <c r="B1266" s="17" t="str">
        <f>IF('01_Rohdaten'!A1266="","",'01_Rohdaten'!A1266)</f>
        <v/>
      </c>
      <c r="C1266" s="17" t="str">
        <f>IF(B1266="","",INDEX('01_Rohdaten'!B1266:D1266,'02_Eingaben'!$C$13))</f>
        <v/>
      </c>
      <c r="D1266" s="17" t="str">
        <f>IF(C1266="","",C1266*'02_Eingaben'!$C$15)</f>
        <v/>
      </c>
      <c r="E1266" s="17" t="str">
        <f>IF(D1266="","",D1266*'02_Eingaben'!$C$8)</f>
        <v/>
      </c>
      <c r="F1266" s="17" t="str">
        <f>IF(E1266="","",AVERAGE(INDEX($E$2:$E$3001,MAX(1,ROW()-1-'02_Eingaben'!$C$17)):INDEX($E$2:$E$3001,MIN('02_Eingaben'!$C$21,ROW()-1+'02_Eingaben'!$C$17))))</f>
        <v/>
      </c>
      <c r="G1266" s="17" t="str">
        <f>IF(F1266="","",F1266-'02_Eingaben'!$C$10)</f>
        <v/>
      </c>
      <c r="H1266" t="str">
        <f>IF(F1266="","",IF(F1266&lt;'02_Eingaben'!$C$18*'02_Eingaben'!$C$10,1,0))</f>
        <v/>
      </c>
      <c r="I1266" s="17" t="str">
        <f t="shared" si="19"/>
        <v/>
      </c>
      <c r="J1266" s="17" t="str">
        <f>IF(B1266="","",IF(B1265&lt;'02_Eingaben'!$C$36,0,J1265+I1265/'02_Eingaben'!$C$8))</f>
        <v/>
      </c>
    </row>
    <row r="1267" spans="1:10" x14ac:dyDescent="0.25">
      <c r="A1267" t="str">
        <f>IF('01_Rohdaten'!A1267="","",ROW()-1)</f>
        <v/>
      </c>
      <c r="B1267" s="17" t="str">
        <f>IF('01_Rohdaten'!A1267="","",'01_Rohdaten'!A1267)</f>
        <v/>
      </c>
      <c r="C1267" s="17" t="str">
        <f>IF(B1267="","",INDEX('01_Rohdaten'!B1267:D1267,'02_Eingaben'!$C$13))</f>
        <v/>
      </c>
      <c r="D1267" s="17" t="str">
        <f>IF(C1267="","",C1267*'02_Eingaben'!$C$15)</f>
        <v/>
      </c>
      <c r="E1267" s="17" t="str">
        <f>IF(D1267="","",D1267*'02_Eingaben'!$C$8)</f>
        <v/>
      </c>
      <c r="F1267" s="17" t="str">
        <f>IF(E1267="","",AVERAGE(INDEX($E$2:$E$3001,MAX(1,ROW()-1-'02_Eingaben'!$C$17)):INDEX($E$2:$E$3001,MIN('02_Eingaben'!$C$21,ROW()-1+'02_Eingaben'!$C$17))))</f>
        <v/>
      </c>
      <c r="G1267" s="17" t="str">
        <f>IF(F1267="","",F1267-'02_Eingaben'!$C$10)</f>
        <v/>
      </c>
      <c r="H1267" t="str">
        <f>IF(F1267="","",IF(F1267&lt;'02_Eingaben'!$C$18*'02_Eingaben'!$C$10,1,0))</f>
        <v/>
      </c>
      <c r="I1267" s="17" t="str">
        <f t="shared" si="19"/>
        <v/>
      </c>
      <c r="J1267" s="17" t="str">
        <f>IF(B1267="","",IF(B1266&lt;'02_Eingaben'!$C$36,0,J1266+I1266/'02_Eingaben'!$C$8))</f>
        <v/>
      </c>
    </row>
    <row r="1268" spans="1:10" x14ac:dyDescent="0.25">
      <c r="A1268" t="str">
        <f>IF('01_Rohdaten'!A1268="","",ROW()-1)</f>
        <v/>
      </c>
      <c r="B1268" s="17" t="str">
        <f>IF('01_Rohdaten'!A1268="","",'01_Rohdaten'!A1268)</f>
        <v/>
      </c>
      <c r="C1268" s="17" t="str">
        <f>IF(B1268="","",INDEX('01_Rohdaten'!B1268:D1268,'02_Eingaben'!$C$13))</f>
        <v/>
      </c>
      <c r="D1268" s="17" t="str">
        <f>IF(C1268="","",C1268*'02_Eingaben'!$C$15)</f>
        <v/>
      </c>
      <c r="E1268" s="17" t="str">
        <f>IF(D1268="","",D1268*'02_Eingaben'!$C$8)</f>
        <v/>
      </c>
      <c r="F1268" s="17" t="str">
        <f>IF(E1268="","",AVERAGE(INDEX($E$2:$E$3001,MAX(1,ROW()-1-'02_Eingaben'!$C$17)):INDEX($E$2:$E$3001,MIN('02_Eingaben'!$C$21,ROW()-1+'02_Eingaben'!$C$17))))</f>
        <v/>
      </c>
      <c r="G1268" s="17" t="str">
        <f>IF(F1268="","",F1268-'02_Eingaben'!$C$10)</f>
        <v/>
      </c>
      <c r="H1268" t="str">
        <f>IF(F1268="","",IF(F1268&lt;'02_Eingaben'!$C$18*'02_Eingaben'!$C$10,1,0))</f>
        <v/>
      </c>
      <c r="I1268" s="17" t="str">
        <f t="shared" si="19"/>
        <v/>
      </c>
      <c r="J1268" s="17" t="str">
        <f>IF(B1268="","",IF(B1267&lt;'02_Eingaben'!$C$36,0,J1267+I1267/'02_Eingaben'!$C$8))</f>
        <v/>
      </c>
    </row>
    <row r="1269" spans="1:10" x14ac:dyDescent="0.25">
      <c r="A1269" t="str">
        <f>IF('01_Rohdaten'!A1269="","",ROW()-1)</f>
        <v/>
      </c>
      <c r="B1269" s="17" t="str">
        <f>IF('01_Rohdaten'!A1269="","",'01_Rohdaten'!A1269)</f>
        <v/>
      </c>
      <c r="C1269" s="17" t="str">
        <f>IF(B1269="","",INDEX('01_Rohdaten'!B1269:D1269,'02_Eingaben'!$C$13))</f>
        <v/>
      </c>
      <c r="D1269" s="17" t="str">
        <f>IF(C1269="","",C1269*'02_Eingaben'!$C$15)</f>
        <v/>
      </c>
      <c r="E1269" s="17" t="str">
        <f>IF(D1269="","",D1269*'02_Eingaben'!$C$8)</f>
        <v/>
      </c>
      <c r="F1269" s="17" t="str">
        <f>IF(E1269="","",AVERAGE(INDEX($E$2:$E$3001,MAX(1,ROW()-1-'02_Eingaben'!$C$17)):INDEX($E$2:$E$3001,MIN('02_Eingaben'!$C$21,ROW()-1+'02_Eingaben'!$C$17))))</f>
        <v/>
      </c>
      <c r="G1269" s="17" t="str">
        <f>IF(F1269="","",F1269-'02_Eingaben'!$C$10)</f>
        <v/>
      </c>
      <c r="H1269" t="str">
        <f>IF(F1269="","",IF(F1269&lt;'02_Eingaben'!$C$18*'02_Eingaben'!$C$10,1,0))</f>
        <v/>
      </c>
      <c r="I1269" s="17" t="str">
        <f t="shared" si="19"/>
        <v/>
      </c>
      <c r="J1269" s="17" t="str">
        <f>IF(B1269="","",IF(B1268&lt;'02_Eingaben'!$C$36,0,J1268+I1268/'02_Eingaben'!$C$8))</f>
        <v/>
      </c>
    </row>
    <row r="1270" spans="1:10" x14ac:dyDescent="0.25">
      <c r="A1270" t="str">
        <f>IF('01_Rohdaten'!A1270="","",ROW()-1)</f>
        <v/>
      </c>
      <c r="B1270" s="17" t="str">
        <f>IF('01_Rohdaten'!A1270="","",'01_Rohdaten'!A1270)</f>
        <v/>
      </c>
      <c r="C1270" s="17" t="str">
        <f>IF(B1270="","",INDEX('01_Rohdaten'!B1270:D1270,'02_Eingaben'!$C$13))</f>
        <v/>
      </c>
      <c r="D1270" s="17" t="str">
        <f>IF(C1270="","",C1270*'02_Eingaben'!$C$15)</f>
        <v/>
      </c>
      <c r="E1270" s="17" t="str">
        <f>IF(D1270="","",D1270*'02_Eingaben'!$C$8)</f>
        <v/>
      </c>
      <c r="F1270" s="17" t="str">
        <f>IF(E1270="","",AVERAGE(INDEX($E$2:$E$3001,MAX(1,ROW()-1-'02_Eingaben'!$C$17)):INDEX($E$2:$E$3001,MIN('02_Eingaben'!$C$21,ROW()-1+'02_Eingaben'!$C$17))))</f>
        <v/>
      </c>
      <c r="G1270" s="17" t="str">
        <f>IF(F1270="","",F1270-'02_Eingaben'!$C$10)</f>
        <v/>
      </c>
      <c r="H1270" t="str">
        <f>IF(F1270="","",IF(F1270&lt;'02_Eingaben'!$C$18*'02_Eingaben'!$C$10,1,0))</f>
        <v/>
      </c>
      <c r="I1270" s="17" t="str">
        <f t="shared" si="19"/>
        <v/>
      </c>
      <c r="J1270" s="17" t="str">
        <f>IF(B1270="","",IF(B1269&lt;'02_Eingaben'!$C$36,0,J1269+I1269/'02_Eingaben'!$C$8))</f>
        <v/>
      </c>
    </row>
    <row r="1271" spans="1:10" x14ac:dyDescent="0.25">
      <c r="A1271" t="str">
        <f>IF('01_Rohdaten'!A1271="","",ROW()-1)</f>
        <v/>
      </c>
      <c r="B1271" s="17" t="str">
        <f>IF('01_Rohdaten'!A1271="","",'01_Rohdaten'!A1271)</f>
        <v/>
      </c>
      <c r="C1271" s="17" t="str">
        <f>IF(B1271="","",INDEX('01_Rohdaten'!B1271:D1271,'02_Eingaben'!$C$13))</f>
        <v/>
      </c>
      <c r="D1271" s="17" t="str">
        <f>IF(C1271="","",C1271*'02_Eingaben'!$C$15)</f>
        <v/>
      </c>
      <c r="E1271" s="17" t="str">
        <f>IF(D1271="","",D1271*'02_Eingaben'!$C$8)</f>
        <v/>
      </c>
      <c r="F1271" s="17" t="str">
        <f>IF(E1271="","",AVERAGE(INDEX($E$2:$E$3001,MAX(1,ROW()-1-'02_Eingaben'!$C$17)):INDEX($E$2:$E$3001,MIN('02_Eingaben'!$C$21,ROW()-1+'02_Eingaben'!$C$17))))</f>
        <v/>
      </c>
      <c r="G1271" s="17" t="str">
        <f>IF(F1271="","",F1271-'02_Eingaben'!$C$10)</f>
        <v/>
      </c>
      <c r="H1271" t="str">
        <f>IF(F1271="","",IF(F1271&lt;'02_Eingaben'!$C$18*'02_Eingaben'!$C$10,1,0))</f>
        <v/>
      </c>
      <c r="I1271" s="17" t="str">
        <f t="shared" si="19"/>
        <v/>
      </c>
      <c r="J1271" s="17" t="str">
        <f>IF(B1271="","",IF(B1270&lt;'02_Eingaben'!$C$36,0,J1270+I1270/'02_Eingaben'!$C$8))</f>
        <v/>
      </c>
    </row>
    <row r="1272" spans="1:10" x14ac:dyDescent="0.25">
      <c r="A1272" t="str">
        <f>IF('01_Rohdaten'!A1272="","",ROW()-1)</f>
        <v/>
      </c>
      <c r="B1272" s="17" t="str">
        <f>IF('01_Rohdaten'!A1272="","",'01_Rohdaten'!A1272)</f>
        <v/>
      </c>
      <c r="C1272" s="17" t="str">
        <f>IF(B1272="","",INDEX('01_Rohdaten'!B1272:D1272,'02_Eingaben'!$C$13))</f>
        <v/>
      </c>
      <c r="D1272" s="17" t="str">
        <f>IF(C1272="","",C1272*'02_Eingaben'!$C$15)</f>
        <v/>
      </c>
      <c r="E1272" s="17" t="str">
        <f>IF(D1272="","",D1272*'02_Eingaben'!$C$8)</f>
        <v/>
      </c>
      <c r="F1272" s="17" t="str">
        <f>IF(E1272="","",AVERAGE(INDEX($E$2:$E$3001,MAX(1,ROW()-1-'02_Eingaben'!$C$17)):INDEX($E$2:$E$3001,MIN('02_Eingaben'!$C$21,ROW()-1+'02_Eingaben'!$C$17))))</f>
        <v/>
      </c>
      <c r="G1272" s="17" t="str">
        <f>IF(F1272="","",F1272-'02_Eingaben'!$C$10)</f>
        <v/>
      </c>
      <c r="H1272" t="str">
        <f>IF(F1272="","",IF(F1272&lt;'02_Eingaben'!$C$18*'02_Eingaben'!$C$10,1,0))</f>
        <v/>
      </c>
      <c r="I1272" s="17" t="str">
        <f t="shared" si="19"/>
        <v/>
      </c>
      <c r="J1272" s="17" t="str">
        <f>IF(B1272="","",IF(B1271&lt;'02_Eingaben'!$C$36,0,J1271+I1271/'02_Eingaben'!$C$8))</f>
        <v/>
      </c>
    </row>
    <row r="1273" spans="1:10" x14ac:dyDescent="0.25">
      <c r="A1273" t="str">
        <f>IF('01_Rohdaten'!A1273="","",ROW()-1)</f>
        <v/>
      </c>
      <c r="B1273" s="17" t="str">
        <f>IF('01_Rohdaten'!A1273="","",'01_Rohdaten'!A1273)</f>
        <v/>
      </c>
      <c r="C1273" s="17" t="str">
        <f>IF(B1273="","",INDEX('01_Rohdaten'!B1273:D1273,'02_Eingaben'!$C$13))</f>
        <v/>
      </c>
      <c r="D1273" s="17" t="str">
        <f>IF(C1273="","",C1273*'02_Eingaben'!$C$15)</f>
        <v/>
      </c>
      <c r="E1273" s="17" t="str">
        <f>IF(D1273="","",D1273*'02_Eingaben'!$C$8)</f>
        <v/>
      </c>
      <c r="F1273" s="17" t="str">
        <f>IF(E1273="","",AVERAGE(INDEX($E$2:$E$3001,MAX(1,ROW()-1-'02_Eingaben'!$C$17)):INDEX($E$2:$E$3001,MIN('02_Eingaben'!$C$21,ROW()-1+'02_Eingaben'!$C$17))))</f>
        <v/>
      </c>
      <c r="G1273" s="17" t="str">
        <f>IF(F1273="","",F1273-'02_Eingaben'!$C$10)</f>
        <v/>
      </c>
      <c r="H1273" t="str">
        <f>IF(F1273="","",IF(F1273&lt;'02_Eingaben'!$C$18*'02_Eingaben'!$C$10,1,0))</f>
        <v/>
      </c>
      <c r="I1273" s="17" t="str">
        <f t="shared" si="19"/>
        <v/>
      </c>
      <c r="J1273" s="17" t="str">
        <f>IF(B1273="","",IF(B1272&lt;'02_Eingaben'!$C$36,0,J1272+I1272/'02_Eingaben'!$C$8))</f>
        <v/>
      </c>
    </row>
    <row r="1274" spans="1:10" x14ac:dyDescent="0.25">
      <c r="A1274" t="str">
        <f>IF('01_Rohdaten'!A1274="","",ROW()-1)</f>
        <v/>
      </c>
      <c r="B1274" s="17" t="str">
        <f>IF('01_Rohdaten'!A1274="","",'01_Rohdaten'!A1274)</f>
        <v/>
      </c>
      <c r="C1274" s="17" t="str">
        <f>IF(B1274="","",INDEX('01_Rohdaten'!B1274:D1274,'02_Eingaben'!$C$13))</f>
        <v/>
      </c>
      <c r="D1274" s="17" t="str">
        <f>IF(C1274="","",C1274*'02_Eingaben'!$C$15)</f>
        <v/>
      </c>
      <c r="E1274" s="17" t="str">
        <f>IF(D1274="","",D1274*'02_Eingaben'!$C$8)</f>
        <v/>
      </c>
      <c r="F1274" s="17" t="str">
        <f>IF(E1274="","",AVERAGE(INDEX($E$2:$E$3001,MAX(1,ROW()-1-'02_Eingaben'!$C$17)):INDEX($E$2:$E$3001,MIN('02_Eingaben'!$C$21,ROW()-1+'02_Eingaben'!$C$17))))</f>
        <v/>
      </c>
      <c r="G1274" s="17" t="str">
        <f>IF(F1274="","",F1274-'02_Eingaben'!$C$10)</f>
        <v/>
      </c>
      <c r="H1274" t="str">
        <f>IF(F1274="","",IF(F1274&lt;'02_Eingaben'!$C$18*'02_Eingaben'!$C$10,1,0))</f>
        <v/>
      </c>
      <c r="I1274" s="17" t="str">
        <f t="shared" si="19"/>
        <v/>
      </c>
      <c r="J1274" s="17" t="str">
        <f>IF(B1274="","",IF(B1273&lt;'02_Eingaben'!$C$36,0,J1273+I1273/'02_Eingaben'!$C$8))</f>
        <v/>
      </c>
    </row>
    <row r="1275" spans="1:10" x14ac:dyDescent="0.25">
      <c r="A1275" t="str">
        <f>IF('01_Rohdaten'!A1275="","",ROW()-1)</f>
        <v/>
      </c>
      <c r="B1275" s="17" t="str">
        <f>IF('01_Rohdaten'!A1275="","",'01_Rohdaten'!A1275)</f>
        <v/>
      </c>
      <c r="C1275" s="17" t="str">
        <f>IF(B1275="","",INDEX('01_Rohdaten'!B1275:D1275,'02_Eingaben'!$C$13))</f>
        <v/>
      </c>
      <c r="D1275" s="17" t="str">
        <f>IF(C1275="","",C1275*'02_Eingaben'!$C$15)</f>
        <v/>
      </c>
      <c r="E1275" s="17" t="str">
        <f>IF(D1275="","",D1275*'02_Eingaben'!$C$8)</f>
        <v/>
      </c>
      <c r="F1275" s="17" t="str">
        <f>IF(E1275="","",AVERAGE(INDEX($E$2:$E$3001,MAX(1,ROW()-1-'02_Eingaben'!$C$17)):INDEX($E$2:$E$3001,MIN('02_Eingaben'!$C$21,ROW()-1+'02_Eingaben'!$C$17))))</f>
        <v/>
      </c>
      <c r="G1275" s="17" t="str">
        <f>IF(F1275="","",F1275-'02_Eingaben'!$C$10)</f>
        <v/>
      </c>
      <c r="H1275" t="str">
        <f>IF(F1275="","",IF(F1275&lt;'02_Eingaben'!$C$18*'02_Eingaben'!$C$10,1,0))</f>
        <v/>
      </c>
      <c r="I1275" s="17" t="str">
        <f t="shared" si="19"/>
        <v/>
      </c>
      <c r="J1275" s="17" t="str">
        <f>IF(B1275="","",IF(B1274&lt;'02_Eingaben'!$C$36,0,J1274+I1274/'02_Eingaben'!$C$8))</f>
        <v/>
      </c>
    </row>
    <row r="1276" spans="1:10" x14ac:dyDescent="0.25">
      <c r="A1276" t="str">
        <f>IF('01_Rohdaten'!A1276="","",ROW()-1)</f>
        <v/>
      </c>
      <c r="B1276" s="17" t="str">
        <f>IF('01_Rohdaten'!A1276="","",'01_Rohdaten'!A1276)</f>
        <v/>
      </c>
      <c r="C1276" s="17" t="str">
        <f>IF(B1276="","",INDEX('01_Rohdaten'!B1276:D1276,'02_Eingaben'!$C$13))</f>
        <v/>
      </c>
      <c r="D1276" s="17" t="str">
        <f>IF(C1276="","",C1276*'02_Eingaben'!$C$15)</f>
        <v/>
      </c>
      <c r="E1276" s="17" t="str">
        <f>IF(D1276="","",D1276*'02_Eingaben'!$C$8)</f>
        <v/>
      </c>
      <c r="F1276" s="17" t="str">
        <f>IF(E1276="","",AVERAGE(INDEX($E$2:$E$3001,MAX(1,ROW()-1-'02_Eingaben'!$C$17)):INDEX($E$2:$E$3001,MIN('02_Eingaben'!$C$21,ROW()-1+'02_Eingaben'!$C$17))))</f>
        <v/>
      </c>
      <c r="G1276" s="17" t="str">
        <f>IF(F1276="","",F1276-'02_Eingaben'!$C$10)</f>
        <v/>
      </c>
      <c r="H1276" t="str">
        <f>IF(F1276="","",IF(F1276&lt;'02_Eingaben'!$C$18*'02_Eingaben'!$C$10,1,0))</f>
        <v/>
      </c>
      <c r="I1276" s="17" t="str">
        <f t="shared" si="19"/>
        <v/>
      </c>
      <c r="J1276" s="17" t="str">
        <f>IF(B1276="","",IF(B1275&lt;'02_Eingaben'!$C$36,0,J1275+I1275/'02_Eingaben'!$C$8))</f>
        <v/>
      </c>
    </row>
    <row r="1277" spans="1:10" x14ac:dyDescent="0.25">
      <c r="A1277" t="str">
        <f>IF('01_Rohdaten'!A1277="","",ROW()-1)</f>
        <v/>
      </c>
      <c r="B1277" s="17" t="str">
        <f>IF('01_Rohdaten'!A1277="","",'01_Rohdaten'!A1277)</f>
        <v/>
      </c>
      <c r="C1277" s="17" t="str">
        <f>IF(B1277="","",INDEX('01_Rohdaten'!B1277:D1277,'02_Eingaben'!$C$13))</f>
        <v/>
      </c>
      <c r="D1277" s="17" t="str">
        <f>IF(C1277="","",C1277*'02_Eingaben'!$C$15)</f>
        <v/>
      </c>
      <c r="E1277" s="17" t="str">
        <f>IF(D1277="","",D1277*'02_Eingaben'!$C$8)</f>
        <v/>
      </c>
      <c r="F1277" s="17" t="str">
        <f>IF(E1277="","",AVERAGE(INDEX($E$2:$E$3001,MAX(1,ROW()-1-'02_Eingaben'!$C$17)):INDEX($E$2:$E$3001,MIN('02_Eingaben'!$C$21,ROW()-1+'02_Eingaben'!$C$17))))</f>
        <v/>
      </c>
      <c r="G1277" s="17" t="str">
        <f>IF(F1277="","",F1277-'02_Eingaben'!$C$10)</f>
        <v/>
      </c>
      <c r="H1277" t="str">
        <f>IF(F1277="","",IF(F1277&lt;'02_Eingaben'!$C$18*'02_Eingaben'!$C$10,1,0))</f>
        <v/>
      </c>
      <c r="I1277" s="17" t="str">
        <f t="shared" si="19"/>
        <v/>
      </c>
      <c r="J1277" s="17" t="str">
        <f>IF(B1277="","",IF(B1276&lt;'02_Eingaben'!$C$36,0,J1276+I1276/'02_Eingaben'!$C$8))</f>
        <v/>
      </c>
    </row>
    <row r="1278" spans="1:10" x14ac:dyDescent="0.25">
      <c r="A1278" t="str">
        <f>IF('01_Rohdaten'!A1278="","",ROW()-1)</f>
        <v/>
      </c>
      <c r="B1278" s="17" t="str">
        <f>IF('01_Rohdaten'!A1278="","",'01_Rohdaten'!A1278)</f>
        <v/>
      </c>
      <c r="C1278" s="17" t="str">
        <f>IF(B1278="","",INDEX('01_Rohdaten'!B1278:D1278,'02_Eingaben'!$C$13))</f>
        <v/>
      </c>
      <c r="D1278" s="17" t="str">
        <f>IF(C1278="","",C1278*'02_Eingaben'!$C$15)</f>
        <v/>
      </c>
      <c r="E1278" s="17" t="str">
        <f>IF(D1278="","",D1278*'02_Eingaben'!$C$8)</f>
        <v/>
      </c>
      <c r="F1278" s="17" t="str">
        <f>IF(E1278="","",AVERAGE(INDEX($E$2:$E$3001,MAX(1,ROW()-1-'02_Eingaben'!$C$17)):INDEX($E$2:$E$3001,MIN('02_Eingaben'!$C$21,ROW()-1+'02_Eingaben'!$C$17))))</f>
        <v/>
      </c>
      <c r="G1278" s="17" t="str">
        <f>IF(F1278="","",F1278-'02_Eingaben'!$C$10)</f>
        <v/>
      </c>
      <c r="H1278" t="str">
        <f>IF(F1278="","",IF(F1278&lt;'02_Eingaben'!$C$18*'02_Eingaben'!$C$10,1,0))</f>
        <v/>
      </c>
      <c r="I1278" s="17" t="str">
        <f t="shared" si="19"/>
        <v/>
      </c>
      <c r="J1278" s="17" t="str">
        <f>IF(B1278="","",IF(B1277&lt;'02_Eingaben'!$C$36,0,J1277+I1277/'02_Eingaben'!$C$8))</f>
        <v/>
      </c>
    </row>
    <row r="1279" spans="1:10" x14ac:dyDescent="0.25">
      <c r="A1279" t="str">
        <f>IF('01_Rohdaten'!A1279="","",ROW()-1)</f>
        <v/>
      </c>
      <c r="B1279" s="17" t="str">
        <f>IF('01_Rohdaten'!A1279="","",'01_Rohdaten'!A1279)</f>
        <v/>
      </c>
      <c r="C1279" s="17" t="str">
        <f>IF(B1279="","",INDEX('01_Rohdaten'!B1279:D1279,'02_Eingaben'!$C$13))</f>
        <v/>
      </c>
      <c r="D1279" s="17" t="str">
        <f>IF(C1279="","",C1279*'02_Eingaben'!$C$15)</f>
        <v/>
      </c>
      <c r="E1279" s="17" t="str">
        <f>IF(D1279="","",D1279*'02_Eingaben'!$C$8)</f>
        <v/>
      </c>
      <c r="F1279" s="17" t="str">
        <f>IF(E1279="","",AVERAGE(INDEX($E$2:$E$3001,MAX(1,ROW()-1-'02_Eingaben'!$C$17)):INDEX($E$2:$E$3001,MIN('02_Eingaben'!$C$21,ROW()-1+'02_Eingaben'!$C$17))))</f>
        <v/>
      </c>
      <c r="G1279" s="17" t="str">
        <f>IF(F1279="","",F1279-'02_Eingaben'!$C$10)</f>
        <v/>
      </c>
      <c r="H1279" t="str">
        <f>IF(F1279="","",IF(F1279&lt;'02_Eingaben'!$C$18*'02_Eingaben'!$C$10,1,0))</f>
        <v/>
      </c>
      <c r="I1279" s="17" t="str">
        <f t="shared" si="19"/>
        <v/>
      </c>
      <c r="J1279" s="17" t="str">
        <f>IF(B1279="","",IF(B1278&lt;'02_Eingaben'!$C$36,0,J1278+I1278/'02_Eingaben'!$C$8))</f>
        <v/>
      </c>
    </row>
    <row r="1280" spans="1:10" x14ac:dyDescent="0.25">
      <c r="A1280" t="str">
        <f>IF('01_Rohdaten'!A1280="","",ROW()-1)</f>
        <v/>
      </c>
      <c r="B1280" s="17" t="str">
        <f>IF('01_Rohdaten'!A1280="","",'01_Rohdaten'!A1280)</f>
        <v/>
      </c>
      <c r="C1280" s="17" t="str">
        <f>IF(B1280="","",INDEX('01_Rohdaten'!B1280:D1280,'02_Eingaben'!$C$13))</f>
        <v/>
      </c>
      <c r="D1280" s="17" t="str">
        <f>IF(C1280="","",C1280*'02_Eingaben'!$C$15)</f>
        <v/>
      </c>
      <c r="E1280" s="17" t="str">
        <f>IF(D1280="","",D1280*'02_Eingaben'!$C$8)</f>
        <v/>
      </c>
      <c r="F1280" s="17" t="str">
        <f>IF(E1280="","",AVERAGE(INDEX($E$2:$E$3001,MAX(1,ROW()-1-'02_Eingaben'!$C$17)):INDEX($E$2:$E$3001,MIN('02_Eingaben'!$C$21,ROW()-1+'02_Eingaben'!$C$17))))</f>
        <v/>
      </c>
      <c r="G1280" s="17" t="str">
        <f>IF(F1280="","",F1280-'02_Eingaben'!$C$10)</f>
        <v/>
      </c>
      <c r="H1280" t="str">
        <f>IF(F1280="","",IF(F1280&lt;'02_Eingaben'!$C$18*'02_Eingaben'!$C$10,1,0))</f>
        <v/>
      </c>
      <c r="I1280" s="17" t="str">
        <f t="shared" si="19"/>
        <v/>
      </c>
      <c r="J1280" s="17" t="str">
        <f>IF(B1280="","",IF(B1279&lt;'02_Eingaben'!$C$36,0,J1279+I1279/'02_Eingaben'!$C$8))</f>
        <v/>
      </c>
    </row>
    <row r="1281" spans="1:10" x14ac:dyDescent="0.25">
      <c r="A1281" t="str">
        <f>IF('01_Rohdaten'!A1281="","",ROW()-1)</f>
        <v/>
      </c>
      <c r="B1281" s="17" t="str">
        <f>IF('01_Rohdaten'!A1281="","",'01_Rohdaten'!A1281)</f>
        <v/>
      </c>
      <c r="C1281" s="17" t="str">
        <f>IF(B1281="","",INDEX('01_Rohdaten'!B1281:D1281,'02_Eingaben'!$C$13))</f>
        <v/>
      </c>
      <c r="D1281" s="17" t="str">
        <f>IF(C1281="","",C1281*'02_Eingaben'!$C$15)</f>
        <v/>
      </c>
      <c r="E1281" s="17" t="str">
        <f>IF(D1281="","",D1281*'02_Eingaben'!$C$8)</f>
        <v/>
      </c>
      <c r="F1281" s="17" t="str">
        <f>IF(E1281="","",AVERAGE(INDEX($E$2:$E$3001,MAX(1,ROW()-1-'02_Eingaben'!$C$17)):INDEX($E$2:$E$3001,MIN('02_Eingaben'!$C$21,ROW()-1+'02_Eingaben'!$C$17))))</f>
        <v/>
      </c>
      <c r="G1281" s="17" t="str">
        <f>IF(F1281="","",F1281-'02_Eingaben'!$C$10)</f>
        <v/>
      </c>
      <c r="H1281" t="str">
        <f>IF(F1281="","",IF(F1281&lt;'02_Eingaben'!$C$18*'02_Eingaben'!$C$10,1,0))</f>
        <v/>
      </c>
      <c r="I1281" s="17" t="str">
        <f t="shared" si="19"/>
        <v/>
      </c>
      <c r="J1281" s="17" t="str">
        <f>IF(B1281="","",IF(B1280&lt;'02_Eingaben'!$C$36,0,J1280+I1280/'02_Eingaben'!$C$8))</f>
        <v/>
      </c>
    </row>
    <row r="1282" spans="1:10" x14ac:dyDescent="0.25">
      <c r="A1282" t="str">
        <f>IF('01_Rohdaten'!A1282="","",ROW()-1)</f>
        <v/>
      </c>
      <c r="B1282" s="17" t="str">
        <f>IF('01_Rohdaten'!A1282="","",'01_Rohdaten'!A1282)</f>
        <v/>
      </c>
      <c r="C1282" s="17" t="str">
        <f>IF(B1282="","",INDEX('01_Rohdaten'!B1282:D1282,'02_Eingaben'!$C$13))</f>
        <v/>
      </c>
      <c r="D1282" s="17" t="str">
        <f>IF(C1282="","",C1282*'02_Eingaben'!$C$15)</f>
        <v/>
      </c>
      <c r="E1282" s="17" t="str">
        <f>IF(D1282="","",D1282*'02_Eingaben'!$C$8)</f>
        <v/>
      </c>
      <c r="F1282" s="17" t="str">
        <f>IF(E1282="","",AVERAGE(INDEX($E$2:$E$3001,MAX(1,ROW()-1-'02_Eingaben'!$C$17)):INDEX($E$2:$E$3001,MIN('02_Eingaben'!$C$21,ROW()-1+'02_Eingaben'!$C$17))))</f>
        <v/>
      </c>
      <c r="G1282" s="17" t="str">
        <f>IF(F1282="","",F1282-'02_Eingaben'!$C$10)</f>
        <v/>
      </c>
      <c r="H1282" t="str">
        <f>IF(F1282="","",IF(F1282&lt;'02_Eingaben'!$C$18*'02_Eingaben'!$C$10,1,0))</f>
        <v/>
      </c>
      <c r="I1282" s="17" t="str">
        <f t="shared" ref="I1282:I1345" si="20">IF(OR(G1282="",G1283=""),"",(G1282+G1283)/2*(B1283-B1282))</f>
        <v/>
      </c>
      <c r="J1282" s="17" t="str">
        <f>IF(B1282="","",IF(B1281&lt;'02_Eingaben'!$C$36,0,J1281+I1281/'02_Eingaben'!$C$8))</f>
        <v/>
      </c>
    </row>
    <row r="1283" spans="1:10" x14ac:dyDescent="0.25">
      <c r="A1283" t="str">
        <f>IF('01_Rohdaten'!A1283="","",ROW()-1)</f>
        <v/>
      </c>
      <c r="B1283" s="17" t="str">
        <f>IF('01_Rohdaten'!A1283="","",'01_Rohdaten'!A1283)</f>
        <v/>
      </c>
      <c r="C1283" s="17" t="str">
        <f>IF(B1283="","",INDEX('01_Rohdaten'!B1283:D1283,'02_Eingaben'!$C$13))</f>
        <v/>
      </c>
      <c r="D1283" s="17" t="str">
        <f>IF(C1283="","",C1283*'02_Eingaben'!$C$15)</f>
        <v/>
      </c>
      <c r="E1283" s="17" t="str">
        <f>IF(D1283="","",D1283*'02_Eingaben'!$C$8)</f>
        <v/>
      </c>
      <c r="F1283" s="17" t="str">
        <f>IF(E1283="","",AVERAGE(INDEX($E$2:$E$3001,MAX(1,ROW()-1-'02_Eingaben'!$C$17)):INDEX($E$2:$E$3001,MIN('02_Eingaben'!$C$21,ROW()-1+'02_Eingaben'!$C$17))))</f>
        <v/>
      </c>
      <c r="G1283" s="17" t="str">
        <f>IF(F1283="","",F1283-'02_Eingaben'!$C$10)</f>
        <v/>
      </c>
      <c r="H1283" t="str">
        <f>IF(F1283="","",IF(F1283&lt;'02_Eingaben'!$C$18*'02_Eingaben'!$C$10,1,0))</f>
        <v/>
      </c>
      <c r="I1283" s="17" t="str">
        <f t="shared" si="20"/>
        <v/>
      </c>
      <c r="J1283" s="17" t="str">
        <f>IF(B1283="","",IF(B1282&lt;'02_Eingaben'!$C$36,0,J1282+I1282/'02_Eingaben'!$C$8))</f>
        <v/>
      </c>
    </row>
    <row r="1284" spans="1:10" x14ac:dyDescent="0.25">
      <c r="A1284" t="str">
        <f>IF('01_Rohdaten'!A1284="","",ROW()-1)</f>
        <v/>
      </c>
      <c r="B1284" s="17" t="str">
        <f>IF('01_Rohdaten'!A1284="","",'01_Rohdaten'!A1284)</f>
        <v/>
      </c>
      <c r="C1284" s="17" t="str">
        <f>IF(B1284="","",INDEX('01_Rohdaten'!B1284:D1284,'02_Eingaben'!$C$13))</f>
        <v/>
      </c>
      <c r="D1284" s="17" t="str">
        <f>IF(C1284="","",C1284*'02_Eingaben'!$C$15)</f>
        <v/>
      </c>
      <c r="E1284" s="17" t="str">
        <f>IF(D1284="","",D1284*'02_Eingaben'!$C$8)</f>
        <v/>
      </c>
      <c r="F1284" s="17" t="str">
        <f>IF(E1284="","",AVERAGE(INDEX($E$2:$E$3001,MAX(1,ROW()-1-'02_Eingaben'!$C$17)):INDEX($E$2:$E$3001,MIN('02_Eingaben'!$C$21,ROW()-1+'02_Eingaben'!$C$17))))</f>
        <v/>
      </c>
      <c r="G1284" s="17" t="str">
        <f>IF(F1284="","",F1284-'02_Eingaben'!$C$10)</f>
        <v/>
      </c>
      <c r="H1284" t="str">
        <f>IF(F1284="","",IF(F1284&lt;'02_Eingaben'!$C$18*'02_Eingaben'!$C$10,1,0))</f>
        <v/>
      </c>
      <c r="I1284" s="17" t="str">
        <f t="shared" si="20"/>
        <v/>
      </c>
      <c r="J1284" s="17" t="str">
        <f>IF(B1284="","",IF(B1283&lt;'02_Eingaben'!$C$36,0,J1283+I1283/'02_Eingaben'!$C$8))</f>
        <v/>
      </c>
    </row>
    <row r="1285" spans="1:10" x14ac:dyDescent="0.25">
      <c r="A1285" t="str">
        <f>IF('01_Rohdaten'!A1285="","",ROW()-1)</f>
        <v/>
      </c>
      <c r="B1285" s="17" t="str">
        <f>IF('01_Rohdaten'!A1285="","",'01_Rohdaten'!A1285)</f>
        <v/>
      </c>
      <c r="C1285" s="17" t="str">
        <f>IF(B1285="","",INDEX('01_Rohdaten'!B1285:D1285,'02_Eingaben'!$C$13))</f>
        <v/>
      </c>
      <c r="D1285" s="17" t="str">
        <f>IF(C1285="","",C1285*'02_Eingaben'!$C$15)</f>
        <v/>
      </c>
      <c r="E1285" s="17" t="str">
        <f>IF(D1285="","",D1285*'02_Eingaben'!$C$8)</f>
        <v/>
      </c>
      <c r="F1285" s="17" t="str">
        <f>IF(E1285="","",AVERAGE(INDEX($E$2:$E$3001,MAX(1,ROW()-1-'02_Eingaben'!$C$17)):INDEX($E$2:$E$3001,MIN('02_Eingaben'!$C$21,ROW()-1+'02_Eingaben'!$C$17))))</f>
        <v/>
      </c>
      <c r="G1285" s="17" t="str">
        <f>IF(F1285="","",F1285-'02_Eingaben'!$C$10)</f>
        <v/>
      </c>
      <c r="H1285" t="str">
        <f>IF(F1285="","",IF(F1285&lt;'02_Eingaben'!$C$18*'02_Eingaben'!$C$10,1,0))</f>
        <v/>
      </c>
      <c r="I1285" s="17" t="str">
        <f t="shared" si="20"/>
        <v/>
      </c>
      <c r="J1285" s="17" t="str">
        <f>IF(B1285="","",IF(B1284&lt;'02_Eingaben'!$C$36,0,J1284+I1284/'02_Eingaben'!$C$8))</f>
        <v/>
      </c>
    </row>
    <row r="1286" spans="1:10" x14ac:dyDescent="0.25">
      <c r="A1286" t="str">
        <f>IF('01_Rohdaten'!A1286="","",ROW()-1)</f>
        <v/>
      </c>
      <c r="B1286" s="17" t="str">
        <f>IF('01_Rohdaten'!A1286="","",'01_Rohdaten'!A1286)</f>
        <v/>
      </c>
      <c r="C1286" s="17" t="str">
        <f>IF(B1286="","",INDEX('01_Rohdaten'!B1286:D1286,'02_Eingaben'!$C$13))</f>
        <v/>
      </c>
      <c r="D1286" s="17" t="str">
        <f>IF(C1286="","",C1286*'02_Eingaben'!$C$15)</f>
        <v/>
      </c>
      <c r="E1286" s="17" t="str">
        <f>IF(D1286="","",D1286*'02_Eingaben'!$C$8)</f>
        <v/>
      </c>
      <c r="F1286" s="17" t="str">
        <f>IF(E1286="","",AVERAGE(INDEX($E$2:$E$3001,MAX(1,ROW()-1-'02_Eingaben'!$C$17)):INDEX($E$2:$E$3001,MIN('02_Eingaben'!$C$21,ROW()-1+'02_Eingaben'!$C$17))))</f>
        <v/>
      </c>
      <c r="G1286" s="17" t="str">
        <f>IF(F1286="","",F1286-'02_Eingaben'!$C$10)</f>
        <v/>
      </c>
      <c r="H1286" t="str">
        <f>IF(F1286="","",IF(F1286&lt;'02_Eingaben'!$C$18*'02_Eingaben'!$C$10,1,0))</f>
        <v/>
      </c>
      <c r="I1286" s="17" t="str">
        <f t="shared" si="20"/>
        <v/>
      </c>
      <c r="J1286" s="17" t="str">
        <f>IF(B1286="","",IF(B1285&lt;'02_Eingaben'!$C$36,0,J1285+I1285/'02_Eingaben'!$C$8))</f>
        <v/>
      </c>
    </row>
    <row r="1287" spans="1:10" x14ac:dyDescent="0.25">
      <c r="A1287" t="str">
        <f>IF('01_Rohdaten'!A1287="","",ROW()-1)</f>
        <v/>
      </c>
      <c r="B1287" s="17" t="str">
        <f>IF('01_Rohdaten'!A1287="","",'01_Rohdaten'!A1287)</f>
        <v/>
      </c>
      <c r="C1287" s="17" t="str">
        <f>IF(B1287="","",INDEX('01_Rohdaten'!B1287:D1287,'02_Eingaben'!$C$13))</f>
        <v/>
      </c>
      <c r="D1287" s="17" t="str">
        <f>IF(C1287="","",C1287*'02_Eingaben'!$C$15)</f>
        <v/>
      </c>
      <c r="E1287" s="17" t="str">
        <f>IF(D1287="","",D1287*'02_Eingaben'!$C$8)</f>
        <v/>
      </c>
      <c r="F1287" s="17" t="str">
        <f>IF(E1287="","",AVERAGE(INDEX($E$2:$E$3001,MAX(1,ROW()-1-'02_Eingaben'!$C$17)):INDEX($E$2:$E$3001,MIN('02_Eingaben'!$C$21,ROW()-1+'02_Eingaben'!$C$17))))</f>
        <v/>
      </c>
      <c r="G1287" s="17" t="str">
        <f>IF(F1287="","",F1287-'02_Eingaben'!$C$10)</f>
        <v/>
      </c>
      <c r="H1287" t="str">
        <f>IF(F1287="","",IF(F1287&lt;'02_Eingaben'!$C$18*'02_Eingaben'!$C$10,1,0))</f>
        <v/>
      </c>
      <c r="I1287" s="17" t="str">
        <f t="shared" si="20"/>
        <v/>
      </c>
      <c r="J1287" s="17" t="str">
        <f>IF(B1287="","",IF(B1286&lt;'02_Eingaben'!$C$36,0,J1286+I1286/'02_Eingaben'!$C$8))</f>
        <v/>
      </c>
    </row>
    <row r="1288" spans="1:10" x14ac:dyDescent="0.25">
      <c r="A1288" t="str">
        <f>IF('01_Rohdaten'!A1288="","",ROW()-1)</f>
        <v/>
      </c>
      <c r="B1288" s="17" t="str">
        <f>IF('01_Rohdaten'!A1288="","",'01_Rohdaten'!A1288)</f>
        <v/>
      </c>
      <c r="C1288" s="17" t="str">
        <f>IF(B1288="","",INDEX('01_Rohdaten'!B1288:D1288,'02_Eingaben'!$C$13))</f>
        <v/>
      </c>
      <c r="D1288" s="17" t="str">
        <f>IF(C1288="","",C1288*'02_Eingaben'!$C$15)</f>
        <v/>
      </c>
      <c r="E1288" s="17" t="str">
        <f>IF(D1288="","",D1288*'02_Eingaben'!$C$8)</f>
        <v/>
      </c>
      <c r="F1288" s="17" t="str">
        <f>IF(E1288="","",AVERAGE(INDEX($E$2:$E$3001,MAX(1,ROW()-1-'02_Eingaben'!$C$17)):INDEX($E$2:$E$3001,MIN('02_Eingaben'!$C$21,ROW()-1+'02_Eingaben'!$C$17))))</f>
        <v/>
      </c>
      <c r="G1288" s="17" t="str">
        <f>IF(F1288="","",F1288-'02_Eingaben'!$C$10)</f>
        <v/>
      </c>
      <c r="H1288" t="str">
        <f>IF(F1288="","",IF(F1288&lt;'02_Eingaben'!$C$18*'02_Eingaben'!$C$10,1,0))</f>
        <v/>
      </c>
      <c r="I1288" s="17" t="str">
        <f t="shared" si="20"/>
        <v/>
      </c>
      <c r="J1288" s="17" t="str">
        <f>IF(B1288="","",IF(B1287&lt;'02_Eingaben'!$C$36,0,J1287+I1287/'02_Eingaben'!$C$8))</f>
        <v/>
      </c>
    </row>
    <row r="1289" spans="1:10" x14ac:dyDescent="0.25">
      <c r="A1289" t="str">
        <f>IF('01_Rohdaten'!A1289="","",ROW()-1)</f>
        <v/>
      </c>
      <c r="B1289" s="17" t="str">
        <f>IF('01_Rohdaten'!A1289="","",'01_Rohdaten'!A1289)</f>
        <v/>
      </c>
      <c r="C1289" s="17" t="str">
        <f>IF(B1289="","",INDEX('01_Rohdaten'!B1289:D1289,'02_Eingaben'!$C$13))</f>
        <v/>
      </c>
      <c r="D1289" s="17" t="str">
        <f>IF(C1289="","",C1289*'02_Eingaben'!$C$15)</f>
        <v/>
      </c>
      <c r="E1289" s="17" t="str">
        <f>IF(D1289="","",D1289*'02_Eingaben'!$C$8)</f>
        <v/>
      </c>
      <c r="F1289" s="17" t="str">
        <f>IF(E1289="","",AVERAGE(INDEX($E$2:$E$3001,MAX(1,ROW()-1-'02_Eingaben'!$C$17)):INDEX($E$2:$E$3001,MIN('02_Eingaben'!$C$21,ROW()-1+'02_Eingaben'!$C$17))))</f>
        <v/>
      </c>
      <c r="G1289" s="17" t="str">
        <f>IF(F1289="","",F1289-'02_Eingaben'!$C$10)</f>
        <v/>
      </c>
      <c r="H1289" t="str">
        <f>IF(F1289="","",IF(F1289&lt;'02_Eingaben'!$C$18*'02_Eingaben'!$C$10,1,0))</f>
        <v/>
      </c>
      <c r="I1289" s="17" t="str">
        <f t="shared" si="20"/>
        <v/>
      </c>
      <c r="J1289" s="17" t="str">
        <f>IF(B1289="","",IF(B1288&lt;'02_Eingaben'!$C$36,0,J1288+I1288/'02_Eingaben'!$C$8))</f>
        <v/>
      </c>
    </row>
    <row r="1290" spans="1:10" x14ac:dyDescent="0.25">
      <c r="A1290" t="str">
        <f>IF('01_Rohdaten'!A1290="","",ROW()-1)</f>
        <v/>
      </c>
      <c r="B1290" s="17" t="str">
        <f>IF('01_Rohdaten'!A1290="","",'01_Rohdaten'!A1290)</f>
        <v/>
      </c>
      <c r="C1290" s="17" t="str">
        <f>IF(B1290="","",INDEX('01_Rohdaten'!B1290:D1290,'02_Eingaben'!$C$13))</f>
        <v/>
      </c>
      <c r="D1290" s="17" t="str">
        <f>IF(C1290="","",C1290*'02_Eingaben'!$C$15)</f>
        <v/>
      </c>
      <c r="E1290" s="17" t="str">
        <f>IF(D1290="","",D1290*'02_Eingaben'!$C$8)</f>
        <v/>
      </c>
      <c r="F1290" s="17" t="str">
        <f>IF(E1290="","",AVERAGE(INDEX($E$2:$E$3001,MAX(1,ROW()-1-'02_Eingaben'!$C$17)):INDEX($E$2:$E$3001,MIN('02_Eingaben'!$C$21,ROW()-1+'02_Eingaben'!$C$17))))</f>
        <v/>
      </c>
      <c r="G1290" s="17" t="str">
        <f>IF(F1290="","",F1290-'02_Eingaben'!$C$10)</f>
        <v/>
      </c>
      <c r="H1290" t="str">
        <f>IF(F1290="","",IF(F1290&lt;'02_Eingaben'!$C$18*'02_Eingaben'!$C$10,1,0))</f>
        <v/>
      </c>
      <c r="I1290" s="17" t="str">
        <f t="shared" si="20"/>
        <v/>
      </c>
      <c r="J1290" s="17" t="str">
        <f>IF(B1290="","",IF(B1289&lt;'02_Eingaben'!$C$36,0,J1289+I1289/'02_Eingaben'!$C$8))</f>
        <v/>
      </c>
    </row>
    <row r="1291" spans="1:10" x14ac:dyDescent="0.25">
      <c r="A1291" t="str">
        <f>IF('01_Rohdaten'!A1291="","",ROW()-1)</f>
        <v/>
      </c>
      <c r="B1291" s="17" t="str">
        <f>IF('01_Rohdaten'!A1291="","",'01_Rohdaten'!A1291)</f>
        <v/>
      </c>
      <c r="C1291" s="17" t="str">
        <f>IF(B1291="","",INDEX('01_Rohdaten'!B1291:D1291,'02_Eingaben'!$C$13))</f>
        <v/>
      </c>
      <c r="D1291" s="17" t="str">
        <f>IF(C1291="","",C1291*'02_Eingaben'!$C$15)</f>
        <v/>
      </c>
      <c r="E1291" s="17" t="str">
        <f>IF(D1291="","",D1291*'02_Eingaben'!$C$8)</f>
        <v/>
      </c>
      <c r="F1291" s="17" t="str">
        <f>IF(E1291="","",AVERAGE(INDEX($E$2:$E$3001,MAX(1,ROW()-1-'02_Eingaben'!$C$17)):INDEX($E$2:$E$3001,MIN('02_Eingaben'!$C$21,ROW()-1+'02_Eingaben'!$C$17))))</f>
        <v/>
      </c>
      <c r="G1291" s="17" t="str">
        <f>IF(F1291="","",F1291-'02_Eingaben'!$C$10)</f>
        <v/>
      </c>
      <c r="H1291" t="str">
        <f>IF(F1291="","",IF(F1291&lt;'02_Eingaben'!$C$18*'02_Eingaben'!$C$10,1,0))</f>
        <v/>
      </c>
      <c r="I1291" s="17" t="str">
        <f t="shared" si="20"/>
        <v/>
      </c>
      <c r="J1291" s="17" t="str">
        <f>IF(B1291="","",IF(B1290&lt;'02_Eingaben'!$C$36,0,J1290+I1290/'02_Eingaben'!$C$8))</f>
        <v/>
      </c>
    </row>
    <row r="1292" spans="1:10" x14ac:dyDescent="0.25">
      <c r="A1292" t="str">
        <f>IF('01_Rohdaten'!A1292="","",ROW()-1)</f>
        <v/>
      </c>
      <c r="B1292" s="17" t="str">
        <f>IF('01_Rohdaten'!A1292="","",'01_Rohdaten'!A1292)</f>
        <v/>
      </c>
      <c r="C1292" s="17" t="str">
        <f>IF(B1292="","",INDEX('01_Rohdaten'!B1292:D1292,'02_Eingaben'!$C$13))</f>
        <v/>
      </c>
      <c r="D1292" s="17" t="str">
        <f>IF(C1292="","",C1292*'02_Eingaben'!$C$15)</f>
        <v/>
      </c>
      <c r="E1292" s="17" t="str">
        <f>IF(D1292="","",D1292*'02_Eingaben'!$C$8)</f>
        <v/>
      </c>
      <c r="F1292" s="17" t="str">
        <f>IF(E1292="","",AVERAGE(INDEX($E$2:$E$3001,MAX(1,ROW()-1-'02_Eingaben'!$C$17)):INDEX($E$2:$E$3001,MIN('02_Eingaben'!$C$21,ROW()-1+'02_Eingaben'!$C$17))))</f>
        <v/>
      </c>
      <c r="G1292" s="17" t="str">
        <f>IF(F1292="","",F1292-'02_Eingaben'!$C$10)</f>
        <v/>
      </c>
      <c r="H1292" t="str">
        <f>IF(F1292="","",IF(F1292&lt;'02_Eingaben'!$C$18*'02_Eingaben'!$C$10,1,0))</f>
        <v/>
      </c>
      <c r="I1292" s="17" t="str">
        <f t="shared" si="20"/>
        <v/>
      </c>
      <c r="J1292" s="17" t="str">
        <f>IF(B1292="","",IF(B1291&lt;'02_Eingaben'!$C$36,0,J1291+I1291/'02_Eingaben'!$C$8))</f>
        <v/>
      </c>
    </row>
    <row r="1293" spans="1:10" x14ac:dyDescent="0.25">
      <c r="A1293" t="str">
        <f>IF('01_Rohdaten'!A1293="","",ROW()-1)</f>
        <v/>
      </c>
      <c r="B1293" s="17" t="str">
        <f>IF('01_Rohdaten'!A1293="","",'01_Rohdaten'!A1293)</f>
        <v/>
      </c>
      <c r="C1293" s="17" t="str">
        <f>IF(B1293="","",INDEX('01_Rohdaten'!B1293:D1293,'02_Eingaben'!$C$13))</f>
        <v/>
      </c>
      <c r="D1293" s="17" t="str">
        <f>IF(C1293="","",C1293*'02_Eingaben'!$C$15)</f>
        <v/>
      </c>
      <c r="E1293" s="17" t="str">
        <f>IF(D1293="","",D1293*'02_Eingaben'!$C$8)</f>
        <v/>
      </c>
      <c r="F1293" s="17" t="str">
        <f>IF(E1293="","",AVERAGE(INDEX($E$2:$E$3001,MAX(1,ROW()-1-'02_Eingaben'!$C$17)):INDEX($E$2:$E$3001,MIN('02_Eingaben'!$C$21,ROW()-1+'02_Eingaben'!$C$17))))</f>
        <v/>
      </c>
      <c r="G1293" s="17" t="str">
        <f>IF(F1293="","",F1293-'02_Eingaben'!$C$10)</f>
        <v/>
      </c>
      <c r="H1293" t="str">
        <f>IF(F1293="","",IF(F1293&lt;'02_Eingaben'!$C$18*'02_Eingaben'!$C$10,1,0))</f>
        <v/>
      </c>
      <c r="I1293" s="17" t="str">
        <f t="shared" si="20"/>
        <v/>
      </c>
      <c r="J1293" s="17" t="str">
        <f>IF(B1293="","",IF(B1292&lt;'02_Eingaben'!$C$36,0,J1292+I1292/'02_Eingaben'!$C$8))</f>
        <v/>
      </c>
    </row>
    <row r="1294" spans="1:10" x14ac:dyDescent="0.25">
      <c r="A1294" t="str">
        <f>IF('01_Rohdaten'!A1294="","",ROW()-1)</f>
        <v/>
      </c>
      <c r="B1294" s="17" t="str">
        <f>IF('01_Rohdaten'!A1294="","",'01_Rohdaten'!A1294)</f>
        <v/>
      </c>
      <c r="C1294" s="17" t="str">
        <f>IF(B1294="","",INDEX('01_Rohdaten'!B1294:D1294,'02_Eingaben'!$C$13))</f>
        <v/>
      </c>
      <c r="D1294" s="17" t="str">
        <f>IF(C1294="","",C1294*'02_Eingaben'!$C$15)</f>
        <v/>
      </c>
      <c r="E1294" s="17" t="str">
        <f>IF(D1294="","",D1294*'02_Eingaben'!$C$8)</f>
        <v/>
      </c>
      <c r="F1294" s="17" t="str">
        <f>IF(E1294="","",AVERAGE(INDEX($E$2:$E$3001,MAX(1,ROW()-1-'02_Eingaben'!$C$17)):INDEX($E$2:$E$3001,MIN('02_Eingaben'!$C$21,ROW()-1+'02_Eingaben'!$C$17))))</f>
        <v/>
      </c>
      <c r="G1294" s="17" t="str">
        <f>IF(F1294="","",F1294-'02_Eingaben'!$C$10)</f>
        <v/>
      </c>
      <c r="H1294" t="str">
        <f>IF(F1294="","",IF(F1294&lt;'02_Eingaben'!$C$18*'02_Eingaben'!$C$10,1,0))</f>
        <v/>
      </c>
      <c r="I1294" s="17" t="str">
        <f t="shared" si="20"/>
        <v/>
      </c>
      <c r="J1294" s="17" t="str">
        <f>IF(B1294="","",IF(B1293&lt;'02_Eingaben'!$C$36,0,J1293+I1293/'02_Eingaben'!$C$8))</f>
        <v/>
      </c>
    </row>
    <row r="1295" spans="1:10" x14ac:dyDescent="0.25">
      <c r="A1295" t="str">
        <f>IF('01_Rohdaten'!A1295="","",ROW()-1)</f>
        <v/>
      </c>
      <c r="B1295" s="17" t="str">
        <f>IF('01_Rohdaten'!A1295="","",'01_Rohdaten'!A1295)</f>
        <v/>
      </c>
      <c r="C1295" s="17" t="str">
        <f>IF(B1295="","",INDEX('01_Rohdaten'!B1295:D1295,'02_Eingaben'!$C$13))</f>
        <v/>
      </c>
      <c r="D1295" s="17" t="str">
        <f>IF(C1295="","",C1295*'02_Eingaben'!$C$15)</f>
        <v/>
      </c>
      <c r="E1295" s="17" t="str">
        <f>IF(D1295="","",D1295*'02_Eingaben'!$C$8)</f>
        <v/>
      </c>
      <c r="F1295" s="17" t="str">
        <f>IF(E1295="","",AVERAGE(INDEX($E$2:$E$3001,MAX(1,ROW()-1-'02_Eingaben'!$C$17)):INDEX($E$2:$E$3001,MIN('02_Eingaben'!$C$21,ROW()-1+'02_Eingaben'!$C$17))))</f>
        <v/>
      </c>
      <c r="G1295" s="17" t="str">
        <f>IF(F1295="","",F1295-'02_Eingaben'!$C$10)</f>
        <v/>
      </c>
      <c r="H1295" t="str">
        <f>IF(F1295="","",IF(F1295&lt;'02_Eingaben'!$C$18*'02_Eingaben'!$C$10,1,0))</f>
        <v/>
      </c>
      <c r="I1295" s="17" t="str">
        <f t="shared" si="20"/>
        <v/>
      </c>
      <c r="J1295" s="17" t="str">
        <f>IF(B1295="","",IF(B1294&lt;'02_Eingaben'!$C$36,0,J1294+I1294/'02_Eingaben'!$C$8))</f>
        <v/>
      </c>
    </row>
    <row r="1296" spans="1:10" x14ac:dyDescent="0.25">
      <c r="A1296" t="str">
        <f>IF('01_Rohdaten'!A1296="","",ROW()-1)</f>
        <v/>
      </c>
      <c r="B1296" s="17" t="str">
        <f>IF('01_Rohdaten'!A1296="","",'01_Rohdaten'!A1296)</f>
        <v/>
      </c>
      <c r="C1296" s="17" t="str">
        <f>IF(B1296="","",INDEX('01_Rohdaten'!B1296:D1296,'02_Eingaben'!$C$13))</f>
        <v/>
      </c>
      <c r="D1296" s="17" t="str">
        <f>IF(C1296="","",C1296*'02_Eingaben'!$C$15)</f>
        <v/>
      </c>
      <c r="E1296" s="17" t="str">
        <f>IF(D1296="","",D1296*'02_Eingaben'!$C$8)</f>
        <v/>
      </c>
      <c r="F1296" s="17" t="str">
        <f>IF(E1296="","",AVERAGE(INDEX($E$2:$E$3001,MAX(1,ROW()-1-'02_Eingaben'!$C$17)):INDEX($E$2:$E$3001,MIN('02_Eingaben'!$C$21,ROW()-1+'02_Eingaben'!$C$17))))</f>
        <v/>
      </c>
      <c r="G1296" s="17" t="str">
        <f>IF(F1296="","",F1296-'02_Eingaben'!$C$10)</f>
        <v/>
      </c>
      <c r="H1296" t="str">
        <f>IF(F1296="","",IF(F1296&lt;'02_Eingaben'!$C$18*'02_Eingaben'!$C$10,1,0))</f>
        <v/>
      </c>
      <c r="I1296" s="17" t="str">
        <f t="shared" si="20"/>
        <v/>
      </c>
      <c r="J1296" s="17" t="str">
        <f>IF(B1296="","",IF(B1295&lt;'02_Eingaben'!$C$36,0,J1295+I1295/'02_Eingaben'!$C$8))</f>
        <v/>
      </c>
    </row>
    <row r="1297" spans="1:10" x14ac:dyDescent="0.25">
      <c r="A1297" t="str">
        <f>IF('01_Rohdaten'!A1297="","",ROW()-1)</f>
        <v/>
      </c>
      <c r="B1297" s="17" t="str">
        <f>IF('01_Rohdaten'!A1297="","",'01_Rohdaten'!A1297)</f>
        <v/>
      </c>
      <c r="C1297" s="17" t="str">
        <f>IF(B1297="","",INDEX('01_Rohdaten'!B1297:D1297,'02_Eingaben'!$C$13))</f>
        <v/>
      </c>
      <c r="D1297" s="17" t="str">
        <f>IF(C1297="","",C1297*'02_Eingaben'!$C$15)</f>
        <v/>
      </c>
      <c r="E1297" s="17" t="str">
        <f>IF(D1297="","",D1297*'02_Eingaben'!$C$8)</f>
        <v/>
      </c>
      <c r="F1297" s="17" t="str">
        <f>IF(E1297="","",AVERAGE(INDEX($E$2:$E$3001,MAX(1,ROW()-1-'02_Eingaben'!$C$17)):INDEX($E$2:$E$3001,MIN('02_Eingaben'!$C$21,ROW()-1+'02_Eingaben'!$C$17))))</f>
        <v/>
      </c>
      <c r="G1297" s="17" t="str">
        <f>IF(F1297="","",F1297-'02_Eingaben'!$C$10)</f>
        <v/>
      </c>
      <c r="H1297" t="str">
        <f>IF(F1297="","",IF(F1297&lt;'02_Eingaben'!$C$18*'02_Eingaben'!$C$10,1,0))</f>
        <v/>
      </c>
      <c r="I1297" s="17" t="str">
        <f t="shared" si="20"/>
        <v/>
      </c>
      <c r="J1297" s="17" t="str">
        <f>IF(B1297="","",IF(B1296&lt;'02_Eingaben'!$C$36,0,J1296+I1296/'02_Eingaben'!$C$8))</f>
        <v/>
      </c>
    </row>
    <row r="1298" spans="1:10" x14ac:dyDescent="0.25">
      <c r="A1298" t="str">
        <f>IF('01_Rohdaten'!A1298="","",ROW()-1)</f>
        <v/>
      </c>
      <c r="B1298" s="17" t="str">
        <f>IF('01_Rohdaten'!A1298="","",'01_Rohdaten'!A1298)</f>
        <v/>
      </c>
      <c r="C1298" s="17" t="str">
        <f>IF(B1298="","",INDEX('01_Rohdaten'!B1298:D1298,'02_Eingaben'!$C$13))</f>
        <v/>
      </c>
      <c r="D1298" s="17" t="str">
        <f>IF(C1298="","",C1298*'02_Eingaben'!$C$15)</f>
        <v/>
      </c>
      <c r="E1298" s="17" t="str">
        <f>IF(D1298="","",D1298*'02_Eingaben'!$C$8)</f>
        <v/>
      </c>
      <c r="F1298" s="17" t="str">
        <f>IF(E1298="","",AVERAGE(INDEX($E$2:$E$3001,MAX(1,ROW()-1-'02_Eingaben'!$C$17)):INDEX($E$2:$E$3001,MIN('02_Eingaben'!$C$21,ROW()-1+'02_Eingaben'!$C$17))))</f>
        <v/>
      </c>
      <c r="G1298" s="17" t="str">
        <f>IF(F1298="","",F1298-'02_Eingaben'!$C$10)</f>
        <v/>
      </c>
      <c r="H1298" t="str">
        <f>IF(F1298="","",IF(F1298&lt;'02_Eingaben'!$C$18*'02_Eingaben'!$C$10,1,0))</f>
        <v/>
      </c>
      <c r="I1298" s="17" t="str">
        <f t="shared" si="20"/>
        <v/>
      </c>
      <c r="J1298" s="17" t="str">
        <f>IF(B1298="","",IF(B1297&lt;'02_Eingaben'!$C$36,0,J1297+I1297/'02_Eingaben'!$C$8))</f>
        <v/>
      </c>
    </row>
    <row r="1299" spans="1:10" x14ac:dyDescent="0.25">
      <c r="A1299" t="str">
        <f>IF('01_Rohdaten'!A1299="","",ROW()-1)</f>
        <v/>
      </c>
      <c r="B1299" s="17" t="str">
        <f>IF('01_Rohdaten'!A1299="","",'01_Rohdaten'!A1299)</f>
        <v/>
      </c>
      <c r="C1299" s="17" t="str">
        <f>IF(B1299="","",INDEX('01_Rohdaten'!B1299:D1299,'02_Eingaben'!$C$13))</f>
        <v/>
      </c>
      <c r="D1299" s="17" t="str">
        <f>IF(C1299="","",C1299*'02_Eingaben'!$C$15)</f>
        <v/>
      </c>
      <c r="E1299" s="17" t="str">
        <f>IF(D1299="","",D1299*'02_Eingaben'!$C$8)</f>
        <v/>
      </c>
      <c r="F1299" s="17" t="str">
        <f>IF(E1299="","",AVERAGE(INDEX($E$2:$E$3001,MAX(1,ROW()-1-'02_Eingaben'!$C$17)):INDEX($E$2:$E$3001,MIN('02_Eingaben'!$C$21,ROW()-1+'02_Eingaben'!$C$17))))</f>
        <v/>
      </c>
      <c r="G1299" s="17" t="str">
        <f>IF(F1299="","",F1299-'02_Eingaben'!$C$10)</f>
        <v/>
      </c>
      <c r="H1299" t="str">
        <f>IF(F1299="","",IF(F1299&lt;'02_Eingaben'!$C$18*'02_Eingaben'!$C$10,1,0))</f>
        <v/>
      </c>
      <c r="I1299" s="17" t="str">
        <f t="shared" si="20"/>
        <v/>
      </c>
      <c r="J1299" s="17" t="str">
        <f>IF(B1299="","",IF(B1298&lt;'02_Eingaben'!$C$36,0,J1298+I1298/'02_Eingaben'!$C$8))</f>
        <v/>
      </c>
    </row>
    <row r="1300" spans="1:10" x14ac:dyDescent="0.25">
      <c r="A1300" t="str">
        <f>IF('01_Rohdaten'!A1300="","",ROW()-1)</f>
        <v/>
      </c>
      <c r="B1300" s="17" t="str">
        <f>IF('01_Rohdaten'!A1300="","",'01_Rohdaten'!A1300)</f>
        <v/>
      </c>
      <c r="C1300" s="17" t="str">
        <f>IF(B1300="","",INDEX('01_Rohdaten'!B1300:D1300,'02_Eingaben'!$C$13))</f>
        <v/>
      </c>
      <c r="D1300" s="17" t="str">
        <f>IF(C1300="","",C1300*'02_Eingaben'!$C$15)</f>
        <v/>
      </c>
      <c r="E1300" s="17" t="str">
        <f>IF(D1300="","",D1300*'02_Eingaben'!$C$8)</f>
        <v/>
      </c>
      <c r="F1300" s="17" t="str">
        <f>IF(E1300="","",AVERAGE(INDEX($E$2:$E$3001,MAX(1,ROW()-1-'02_Eingaben'!$C$17)):INDEX($E$2:$E$3001,MIN('02_Eingaben'!$C$21,ROW()-1+'02_Eingaben'!$C$17))))</f>
        <v/>
      </c>
      <c r="G1300" s="17" t="str">
        <f>IF(F1300="","",F1300-'02_Eingaben'!$C$10)</f>
        <v/>
      </c>
      <c r="H1300" t="str">
        <f>IF(F1300="","",IF(F1300&lt;'02_Eingaben'!$C$18*'02_Eingaben'!$C$10,1,0))</f>
        <v/>
      </c>
      <c r="I1300" s="17" t="str">
        <f t="shared" si="20"/>
        <v/>
      </c>
      <c r="J1300" s="17" t="str">
        <f>IF(B1300="","",IF(B1299&lt;'02_Eingaben'!$C$36,0,J1299+I1299/'02_Eingaben'!$C$8))</f>
        <v/>
      </c>
    </row>
    <row r="1301" spans="1:10" x14ac:dyDescent="0.25">
      <c r="A1301" t="str">
        <f>IF('01_Rohdaten'!A1301="","",ROW()-1)</f>
        <v/>
      </c>
      <c r="B1301" s="17" t="str">
        <f>IF('01_Rohdaten'!A1301="","",'01_Rohdaten'!A1301)</f>
        <v/>
      </c>
      <c r="C1301" s="17" t="str">
        <f>IF(B1301="","",INDEX('01_Rohdaten'!B1301:D1301,'02_Eingaben'!$C$13))</f>
        <v/>
      </c>
      <c r="D1301" s="17" t="str">
        <f>IF(C1301="","",C1301*'02_Eingaben'!$C$15)</f>
        <v/>
      </c>
      <c r="E1301" s="17" t="str">
        <f>IF(D1301="","",D1301*'02_Eingaben'!$C$8)</f>
        <v/>
      </c>
      <c r="F1301" s="17" t="str">
        <f>IF(E1301="","",AVERAGE(INDEX($E$2:$E$3001,MAX(1,ROW()-1-'02_Eingaben'!$C$17)):INDEX($E$2:$E$3001,MIN('02_Eingaben'!$C$21,ROW()-1+'02_Eingaben'!$C$17))))</f>
        <v/>
      </c>
      <c r="G1301" s="17" t="str">
        <f>IF(F1301="","",F1301-'02_Eingaben'!$C$10)</f>
        <v/>
      </c>
      <c r="H1301" t="str">
        <f>IF(F1301="","",IF(F1301&lt;'02_Eingaben'!$C$18*'02_Eingaben'!$C$10,1,0))</f>
        <v/>
      </c>
      <c r="I1301" s="17" t="str">
        <f t="shared" si="20"/>
        <v/>
      </c>
      <c r="J1301" s="17" t="str">
        <f>IF(B1301="","",IF(B1300&lt;'02_Eingaben'!$C$36,0,J1300+I1300/'02_Eingaben'!$C$8))</f>
        <v/>
      </c>
    </row>
    <row r="1302" spans="1:10" x14ac:dyDescent="0.25">
      <c r="A1302" t="str">
        <f>IF('01_Rohdaten'!A1302="","",ROW()-1)</f>
        <v/>
      </c>
      <c r="B1302" s="17" t="str">
        <f>IF('01_Rohdaten'!A1302="","",'01_Rohdaten'!A1302)</f>
        <v/>
      </c>
      <c r="C1302" s="17" t="str">
        <f>IF(B1302="","",INDEX('01_Rohdaten'!B1302:D1302,'02_Eingaben'!$C$13))</f>
        <v/>
      </c>
      <c r="D1302" s="17" t="str">
        <f>IF(C1302="","",C1302*'02_Eingaben'!$C$15)</f>
        <v/>
      </c>
      <c r="E1302" s="17" t="str">
        <f>IF(D1302="","",D1302*'02_Eingaben'!$C$8)</f>
        <v/>
      </c>
      <c r="F1302" s="17" t="str">
        <f>IF(E1302="","",AVERAGE(INDEX($E$2:$E$3001,MAX(1,ROW()-1-'02_Eingaben'!$C$17)):INDEX($E$2:$E$3001,MIN('02_Eingaben'!$C$21,ROW()-1+'02_Eingaben'!$C$17))))</f>
        <v/>
      </c>
      <c r="G1302" s="17" t="str">
        <f>IF(F1302="","",F1302-'02_Eingaben'!$C$10)</f>
        <v/>
      </c>
      <c r="H1302" t="str">
        <f>IF(F1302="","",IF(F1302&lt;'02_Eingaben'!$C$18*'02_Eingaben'!$C$10,1,0))</f>
        <v/>
      </c>
      <c r="I1302" s="17" t="str">
        <f t="shared" si="20"/>
        <v/>
      </c>
      <c r="J1302" s="17" t="str">
        <f>IF(B1302="","",IF(B1301&lt;'02_Eingaben'!$C$36,0,J1301+I1301/'02_Eingaben'!$C$8))</f>
        <v/>
      </c>
    </row>
    <row r="1303" spans="1:10" x14ac:dyDescent="0.25">
      <c r="A1303" t="str">
        <f>IF('01_Rohdaten'!A1303="","",ROW()-1)</f>
        <v/>
      </c>
      <c r="B1303" s="17" t="str">
        <f>IF('01_Rohdaten'!A1303="","",'01_Rohdaten'!A1303)</f>
        <v/>
      </c>
      <c r="C1303" s="17" t="str">
        <f>IF(B1303="","",INDEX('01_Rohdaten'!B1303:D1303,'02_Eingaben'!$C$13))</f>
        <v/>
      </c>
      <c r="D1303" s="17" t="str">
        <f>IF(C1303="","",C1303*'02_Eingaben'!$C$15)</f>
        <v/>
      </c>
      <c r="E1303" s="17" t="str">
        <f>IF(D1303="","",D1303*'02_Eingaben'!$C$8)</f>
        <v/>
      </c>
      <c r="F1303" s="17" t="str">
        <f>IF(E1303="","",AVERAGE(INDEX($E$2:$E$3001,MAX(1,ROW()-1-'02_Eingaben'!$C$17)):INDEX($E$2:$E$3001,MIN('02_Eingaben'!$C$21,ROW()-1+'02_Eingaben'!$C$17))))</f>
        <v/>
      </c>
      <c r="G1303" s="17" t="str">
        <f>IF(F1303="","",F1303-'02_Eingaben'!$C$10)</f>
        <v/>
      </c>
      <c r="H1303" t="str">
        <f>IF(F1303="","",IF(F1303&lt;'02_Eingaben'!$C$18*'02_Eingaben'!$C$10,1,0))</f>
        <v/>
      </c>
      <c r="I1303" s="17" t="str">
        <f t="shared" si="20"/>
        <v/>
      </c>
      <c r="J1303" s="17" t="str">
        <f>IF(B1303="","",IF(B1302&lt;'02_Eingaben'!$C$36,0,J1302+I1302/'02_Eingaben'!$C$8))</f>
        <v/>
      </c>
    </row>
    <row r="1304" spans="1:10" x14ac:dyDescent="0.25">
      <c r="A1304" t="str">
        <f>IF('01_Rohdaten'!A1304="","",ROW()-1)</f>
        <v/>
      </c>
      <c r="B1304" s="17" t="str">
        <f>IF('01_Rohdaten'!A1304="","",'01_Rohdaten'!A1304)</f>
        <v/>
      </c>
      <c r="C1304" s="17" t="str">
        <f>IF(B1304="","",INDEX('01_Rohdaten'!B1304:D1304,'02_Eingaben'!$C$13))</f>
        <v/>
      </c>
      <c r="D1304" s="17" t="str">
        <f>IF(C1304="","",C1304*'02_Eingaben'!$C$15)</f>
        <v/>
      </c>
      <c r="E1304" s="17" t="str">
        <f>IF(D1304="","",D1304*'02_Eingaben'!$C$8)</f>
        <v/>
      </c>
      <c r="F1304" s="17" t="str">
        <f>IF(E1304="","",AVERAGE(INDEX($E$2:$E$3001,MAX(1,ROW()-1-'02_Eingaben'!$C$17)):INDEX($E$2:$E$3001,MIN('02_Eingaben'!$C$21,ROW()-1+'02_Eingaben'!$C$17))))</f>
        <v/>
      </c>
      <c r="G1304" s="17" t="str">
        <f>IF(F1304="","",F1304-'02_Eingaben'!$C$10)</f>
        <v/>
      </c>
      <c r="H1304" t="str">
        <f>IF(F1304="","",IF(F1304&lt;'02_Eingaben'!$C$18*'02_Eingaben'!$C$10,1,0))</f>
        <v/>
      </c>
      <c r="I1304" s="17" t="str">
        <f t="shared" si="20"/>
        <v/>
      </c>
      <c r="J1304" s="17" t="str">
        <f>IF(B1304="","",IF(B1303&lt;'02_Eingaben'!$C$36,0,J1303+I1303/'02_Eingaben'!$C$8))</f>
        <v/>
      </c>
    </row>
    <row r="1305" spans="1:10" x14ac:dyDescent="0.25">
      <c r="A1305" t="str">
        <f>IF('01_Rohdaten'!A1305="","",ROW()-1)</f>
        <v/>
      </c>
      <c r="B1305" s="17" t="str">
        <f>IF('01_Rohdaten'!A1305="","",'01_Rohdaten'!A1305)</f>
        <v/>
      </c>
      <c r="C1305" s="17" t="str">
        <f>IF(B1305="","",INDEX('01_Rohdaten'!B1305:D1305,'02_Eingaben'!$C$13))</f>
        <v/>
      </c>
      <c r="D1305" s="17" t="str">
        <f>IF(C1305="","",C1305*'02_Eingaben'!$C$15)</f>
        <v/>
      </c>
      <c r="E1305" s="17" t="str">
        <f>IF(D1305="","",D1305*'02_Eingaben'!$C$8)</f>
        <v/>
      </c>
      <c r="F1305" s="17" t="str">
        <f>IF(E1305="","",AVERAGE(INDEX($E$2:$E$3001,MAX(1,ROW()-1-'02_Eingaben'!$C$17)):INDEX($E$2:$E$3001,MIN('02_Eingaben'!$C$21,ROW()-1+'02_Eingaben'!$C$17))))</f>
        <v/>
      </c>
      <c r="G1305" s="17" t="str">
        <f>IF(F1305="","",F1305-'02_Eingaben'!$C$10)</f>
        <v/>
      </c>
      <c r="H1305" t="str">
        <f>IF(F1305="","",IF(F1305&lt;'02_Eingaben'!$C$18*'02_Eingaben'!$C$10,1,0))</f>
        <v/>
      </c>
      <c r="I1305" s="17" t="str">
        <f t="shared" si="20"/>
        <v/>
      </c>
      <c r="J1305" s="17" t="str">
        <f>IF(B1305="","",IF(B1304&lt;'02_Eingaben'!$C$36,0,J1304+I1304/'02_Eingaben'!$C$8))</f>
        <v/>
      </c>
    </row>
    <row r="1306" spans="1:10" x14ac:dyDescent="0.25">
      <c r="A1306" t="str">
        <f>IF('01_Rohdaten'!A1306="","",ROW()-1)</f>
        <v/>
      </c>
      <c r="B1306" s="17" t="str">
        <f>IF('01_Rohdaten'!A1306="","",'01_Rohdaten'!A1306)</f>
        <v/>
      </c>
      <c r="C1306" s="17" t="str">
        <f>IF(B1306="","",INDEX('01_Rohdaten'!B1306:D1306,'02_Eingaben'!$C$13))</f>
        <v/>
      </c>
      <c r="D1306" s="17" t="str">
        <f>IF(C1306="","",C1306*'02_Eingaben'!$C$15)</f>
        <v/>
      </c>
      <c r="E1306" s="17" t="str">
        <f>IF(D1306="","",D1306*'02_Eingaben'!$C$8)</f>
        <v/>
      </c>
      <c r="F1306" s="17" t="str">
        <f>IF(E1306="","",AVERAGE(INDEX($E$2:$E$3001,MAX(1,ROW()-1-'02_Eingaben'!$C$17)):INDEX($E$2:$E$3001,MIN('02_Eingaben'!$C$21,ROW()-1+'02_Eingaben'!$C$17))))</f>
        <v/>
      </c>
      <c r="G1306" s="17" t="str">
        <f>IF(F1306="","",F1306-'02_Eingaben'!$C$10)</f>
        <v/>
      </c>
      <c r="H1306" t="str">
        <f>IF(F1306="","",IF(F1306&lt;'02_Eingaben'!$C$18*'02_Eingaben'!$C$10,1,0))</f>
        <v/>
      </c>
      <c r="I1306" s="17" t="str">
        <f t="shared" si="20"/>
        <v/>
      </c>
      <c r="J1306" s="17" t="str">
        <f>IF(B1306="","",IF(B1305&lt;'02_Eingaben'!$C$36,0,J1305+I1305/'02_Eingaben'!$C$8))</f>
        <v/>
      </c>
    </row>
    <row r="1307" spans="1:10" x14ac:dyDescent="0.25">
      <c r="A1307" t="str">
        <f>IF('01_Rohdaten'!A1307="","",ROW()-1)</f>
        <v/>
      </c>
      <c r="B1307" s="17" t="str">
        <f>IF('01_Rohdaten'!A1307="","",'01_Rohdaten'!A1307)</f>
        <v/>
      </c>
      <c r="C1307" s="17" t="str">
        <f>IF(B1307="","",INDEX('01_Rohdaten'!B1307:D1307,'02_Eingaben'!$C$13))</f>
        <v/>
      </c>
      <c r="D1307" s="17" t="str">
        <f>IF(C1307="","",C1307*'02_Eingaben'!$C$15)</f>
        <v/>
      </c>
      <c r="E1307" s="17" t="str">
        <f>IF(D1307="","",D1307*'02_Eingaben'!$C$8)</f>
        <v/>
      </c>
      <c r="F1307" s="17" t="str">
        <f>IF(E1307="","",AVERAGE(INDEX($E$2:$E$3001,MAX(1,ROW()-1-'02_Eingaben'!$C$17)):INDEX($E$2:$E$3001,MIN('02_Eingaben'!$C$21,ROW()-1+'02_Eingaben'!$C$17))))</f>
        <v/>
      </c>
      <c r="G1307" s="17" t="str">
        <f>IF(F1307="","",F1307-'02_Eingaben'!$C$10)</f>
        <v/>
      </c>
      <c r="H1307" t="str">
        <f>IF(F1307="","",IF(F1307&lt;'02_Eingaben'!$C$18*'02_Eingaben'!$C$10,1,0))</f>
        <v/>
      </c>
      <c r="I1307" s="17" t="str">
        <f t="shared" si="20"/>
        <v/>
      </c>
      <c r="J1307" s="17" t="str">
        <f>IF(B1307="","",IF(B1306&lt;'02_Eingaben'!$C$36,0,J1306+I1306/'02_Eingaben'!$C$8))</f>
        <v/>
      </c>
    </row>
    <row r="1308" spans="1:10" x14ac:dyDescent="0.25">
      <c r="A1308" t="str">
        <f>IF('01_Rohdaten'!A1308="","",ROW()-1)</f>
        <v/>
      </c>
      <c r="B1308" s="17" t="str">
        <f>IF('01_Rohdaten'!A1308="","",'01_Rohdaten'!A1308)</f>
        <v/>
      </c>
      <c r="C1308" s="17" t="str">
        <f>IF(B1308="","",INDEX('01_Rohdaten'!B1308:D1308,'02_Eingaben'!$C$13))</f>
        <v/>
      </c>
      <c r="D1308" s="17" t="str">
        <f>IF(C1308="","",C1308*'02_Eingaben'!$C$15)</f>
        <v/>
      </c>
      <c r="E1308" s="17" t="str">
        <f>IF(D1308="","",D1308*'02_Eingaben'!$C$8)</f>
        <v/>
      </c>
      <c r="F1308" s="17" t="str">
        <f>IF(E1308="","",AVERAGE(INDEX($E$2:$E$3001,MAX(1,ROW()-1-'02_Eingaben'!$C$17)):INDEX($E$2:$E$3001,MIN('02_Eingaben'!$C$21,ROW()-1+'02_Eingaben'!$C$17))))</f>
        <v/>
      </c>
      <c r="G1308" s="17" t="str">
        <f>IF(F1308="","",F1308-'02_Eingaben'!$C$10)</f>
        <v/>
      </c>
      <c r="H1308" t="str">
        <f>IF(F1308="","",IF(F1308&lt;'02_Eingaben'!$C$18*'02_Eingaben'!$C$10,1,0))</f>
        <v/>
      </c>
      <c r="I1308" s="17" t="str">
        <f t="shared" si="20"/>
        <v/>
      </c>
      <c r="J1308" s="17" t="str">
        <f>IF(B1308="","",IF(B1307&lt;'02_Eingaben'!$C$36,0,J1307+I1307/'02_Eingaben'!$C$8))</f>
        <v/>
      </c>
    </row>
    <row r="1309" spans="1:10" x14ac:dyDescent="0.25">
      <c r="A1309" t="str">
        <f>IF('01_Rohdaten'!A1309="","",ROW()-1)</f>
        <v/>
      </c>
      <c r="B1309" s="17" t="str">
        <f>IF('01_Rohdaten'!A1309="","",'01_Rohdaten'!A1309)</f>
        <v/>
      </c>
      <c r="C1309" s="17" t="str">
        <f>IF(B1309="","",INDEX('01_Rohdaten'!B1309:D1309,'02_Eingaben'!$C$13))</f>
        <v/>
      </c>
      <c r="D1309" s="17" t="str">
        <f>IF(C1309="","",C1309*'02_Eingaben'!$C$15)</f>
        <v/>
      </c>
      <c r="E1309" s="17" t="str">
        <f>IF(D1309="","",D1309*'02_Eingaben'!$C$8)</f>
        <v/>
      </c>
      <c r="F1309" s="17" t="str">
        <f>IF(E1309="","",AVERAGE(INDEX($E$2:$E$3001,MAX(1,ROW()-1-'02_Eingaben'!$C$17)):INDEX($E$2:$E$3001,MIN('02_Eingaben'!$C$21,ROW()-1+'02_Eingaben'!$C$17))))</f>
        <v/>
      </c>
      <c r="G1309" s="17" t="str">
        <f>IF(F1309="","",F1309-'02_Eingaben'!$C$10)</f>
        <v/>
      </c>
      <c r="H1309" t="str">
        <f>IF(F1309="","",IF(F1309&lt;'02_Eingaben'!$C$18*'02_Eingaben'!$C$10,1,0))</f>
        <v/>
      </c>
      <c r="I1309" s="17" t="str">
        <f t="shared" si="20"/>
        <v/>
      </c>
      <c r="J1309" s="17" t="str">
        <f>IF(B1309="","",IF(B1308&lt;'02_Eingaben'!$C$36,0,J1308+I1308/'02_Eingaben'!$C$8))</f>
        <v/>
      </c>
    </row>
    <row r="1310" spans="1:10" x14ac:dyDescent="0.25">
      <c r="A1310" t="str">
        <f>IF('01_Rohdaten'!A1310="","",ROW()-1)</f>
        <v/>
      </c>
      <c r="B1310" s="17" t="str">
        <f>IF('01_Rohdaten'!A1310="","",'01_Rohdaten'!A1310)</f>
        <v/>
      </c>
      <c r="C1310" s="17" t="str">
        <f>IF(B1310="","",INDEX('01_Rohdaten'!B1310:D1310,'02_Eingaben'!$C$13))</f>
        <v/>
      </c>
      <c r="D1310" s="17" t="str">
        <f>IF(C1310="","",C1310*'02_Eingaben'!$C$15)</f>
        <v/>
      </c>
      <c r="E1310" s="17" t="str">
        <f>IF(D1310="","",D1310*'02_Eingaben'!$C$8)</f>
        <v/>
      </c>
      <c r="F1310" s="17" t="str">
        <f>IF(E1310="","",AVERAGE(INDEX($E$2:$E$3001,MAX(1,ROW()-1-'02_Eingaben'!$C$17)):INDEX($E$2:$E$3001,MIN('02_Eingaben'!$C$21,ROW()-1+'02_Eingaben'!$C$17))))</f>
        <v/>
      </c>
      <c r="G1310" s="17" t="str">
        <f>IF(F1310="","",F1310-'02_Eingaben'!$C$10)</f>
        <v/>
      </c>
      <c r="H1310" t="str">
        <f>IF(F1310="","",IF(F1310&lt;'02_Eingaben'!$C$18*'02_Eingaben'!$C$10,1,0))</f>
        <v/>
      </c>
      <c r="I1310" s="17" t="str">
        <f t="shared" si="20"/>
        <v/>
      </c>
      <c r="J1310" s="17" t="str">
        <f>IF(B1310="","",IF(B1309&lt;'02_Eingaben'!$C$36,0,J1309+I1309/'02_Eingaben'!$C$8))</f>
        <v/>
      </c>
    </row>
    <row r="1311" spans="1:10" x14ac:dyDescent="0.25">
      <c r="A1311" t="str">
        <f>IF('01_Rohdaten'!A1311="","",ROW()-1)</f>
        <v/>
      </c>
      <c r="B1311" s="17" t="str">
        <f>IF('01_Rohdaten'!A1311="","",'01_Rohdaten'!A1311)</f>
        <v/>
      </c>
      <c r="C1311" s="17" t="str">
        <f>IF(B1311="","",INDEX('01_Rohdaten'!B1311:D1311,'02_Eingaben'!$C$13))</f>
        <v/>
      </c>
      <c r="D1311" s="17" t="str">
        <f>IF(C1311="","",C1311*'02_Eingaben'!$C$15)</f>
        <v/>
      </c>
      <c r="E1311" s="17" t="str">
        <f>IF(D1311="","",D1311*'02_Eingaben'!$C$8)</f>
        <v/>
      </c>
      <c r="F1311" s="17" t="str">
        <f>IF(E1311="","",AVERAGE(INDEX($E$2:$E$3001,MAX(1,ROW()-1-'02_Eingaben'!$C$17)):INDEX($E$2:$E$3001,MIN('02_Eingaben'!$C$21,ROW()-1+'02_Eingaben'!$C$17))))</f>
        <v/>
      </c>
      <c r="G1311" s="17" t="str">
        <f>IF(F1311="","",F1311-'02_Eingaben'!$C$10)</f>
        <v/>
      </c>
      <c r="H1311" t="str">
        <f>IF(F1311="","",IF(F1311&lt;'02_Eingaben'!$C$18*'02_Eingaben'!$C$10,1,0))</f>
        <v/>
      </c>
      <c r="I1311" s="17" t="str">
        <f t="shared" si="20"/>
        <v/>
      </c>
      <c r="J1311" s="17" t="str">
        <f>IF(B1311="","",IF(B1310&lt;'02_Eingaben'!$C$36,0,J1310+I1310/'02_Eingaben'!$C$8))</f>
        <v/>
      </c>
    </row>
    <row r="1312" spans="1:10" x14ac:dyDescent="0.25">
      <c r="A1312" t="str">
        <f>IF('01_Rohdaten'!A1312="","",ROW()-1)</f>
        <v/>
      </c>
      <c r="B1312" s="17" t="str">
        <f>IF('01_Rohdaten'!A1312="","",'01_Rohdaten'!A1312)</f>
        <v/>
      </c>
      <c r="C1312" s="17" t="str">
        <f>IF(B1312="","",INDEX('01_Rohdaten'!B1312:D1312,'02_Eingaben'!$C$13))</f>
        <v/>
      </c>
      <c r="D1312" s="17" t="str">
        <f>IF(C1312="","",C1312*'02_Eingaben'!$C$15)</f>
        <v/>
      </c>
      <c r="E1312" s="17" t="str">
        <f>IF(D1312="","",D1312*'02_Eingaben'!$C$8)</f>
        <v/>
      </c>
      <c r="F1312" s="17" t="str">
        <f>IF(E1312="","",AVERAGE(INDEX($E$2:$E$3001,MAX(1,ROW()-1-'02_Eingaben'!$C$17)):INDEX($E$2:$E$3001,MIN('02_Eingaben'!$C$21,ROW()-1+'02_Eingaben'!$C$17))))</f>
        <v/>
      </c>
      <c r="G1312" s="17" t="str">
        <f>IF(F1312="","",F1312-'02_Eingaben'!$C$10)</f>
        <v/>
      </c>
      <c r="H1312" t="str">
        <f>IF(F1312="","",IF(F1312&lt;'02_Eingaben'!$C$18*'02_Eingaben'!$C$10,1,0))</f>
        <v/>
      </c>
      <c r="I1312" s="17" t="str">
        <f t="shared" si="20"/>
        <v/>
      </c>
      <c r="J1312" s="17" t="str">
        <f>IF(B1312="","",IF(B1311&lt;'02_Eingaben'!$C$36,0,J1311+I1311/'02_Eingaben'!$C$8))</f>
        <v/>
      </c>
    </row>
    <row r="1313" spans="1:10" x14ac:dyDescent="0.25">
      <c r="A1313" t="str">
        <f>IF('01_Rohdaten'!A1313="","",ROW()-1)</f>
        <v/>
      </c>
      <c r="B1313" s="17" t="str">
        <f>IF('01_Rohdaten'!A1313="","",'01_Rohdaten'!A1313)</f>
        <v/>
      </c>
      <c r="C1313" s="17" t="str">
        <f>IF(B1313="","",INDEX('01_Rohdaten'!B1313:D1313,'02_Eingaben'!$C$13))</f>
        <v/>
      </c>
      <c r="D1313" s="17" t="str">
        <f>IF(C1313="","",C1313*'02_Eingaben'!$C$15)</f>
        <v/>
      </c>
      <c r="E1313" s="17" t="str">
        <f>IF(D1313="","",D1313*'02_Eingaben'!$C$8)</f>
        <v/>
      </c>
      <c r="F1313" s="17" t="str">
        <f>IF(E1313="","",AVERAGE(INDEX($E$2:$E$3001,MAX(1,ROW()-1-'02_Eingaben'!$C$17)):INDEX($E$2:$E$3001,MIN('02_Eingaben'!$C$21,ROW()-1+'02_Eingaben'!$C$17))))</f>
        <v/>
      </c>
      <c r="G1313" s="17" t="str">
        <f>IF(F1313="","",F1313-'02_Eingaben'!$C$10)</f>
        <v/>
      </c>
      <c r="H1313" t="str">
        <f>IF(F1313="","",IF(F1313&lt;'02_Eingaben'!$C$18*'02_Eingaben'!$C$10,1,0))</f>
        <v/>
      </c>
      <c r="I1313" s="17" t="str">
        <f t="shared" si="20"/>
        <v/>
      </c>
      <c r="J1313" s="17" t="str">
        <f>IF(B1313="","",IF(B1312&lt;'02_Eingaben'!$C$36,0,J1312+I1312/'02_Eingaben'!$C$8))</f>
        <v/>
      </c>
    </row>
    <row r="1314" spans="1:10" x14ac:dyDescent="0.25">
      <c r="A1314" t="str">
        <f>IF('01_Rohdaten'!A1314="","",ROW()-1)</f>
        <v/>
      </c>
      <c r="B1314" s="17" t="str">
        <f>IF('01_Rohdaten'!A1314="","",'01_Rohdaten'!A1314)</f>
        <v/>
      </c>
      <c r="C1314" s="17" t="str">
        <f>IF(B1314="","",INDEX('01_Rohdaten'!B1314:D1314,'02_Eingaben'!$C$13))</f>
        <v/>
      </c>
      <c r="D1314" s="17" t="str">
        <f>IF(C1314="","",C1314*'02_Eingaben'!$C$15)</f>
        <v/>
      </c>
      <c r="E1314" s="17" t="str">
        <f>IF(D1314="","",D1314*'02_Eingaben'!$C$8)</f>
        <v/>
      </c>
      <c r="F1314" s="17" t="str">
        <f>IF(E1314="","",AVERAGE(INDEX($E$2:$E$3001,MAX(1,ROW()-1-'02_Eingaben'!$C$17)):INDEX($E$2:$E$3001,MIN('02_Eingaben'!$C$21,ROW()-1+'02_Eingaben'!$C$17))))</f>
        <v/>
      </c>
      <c r="G1314" s="17" t="str">
        <f>IF(F1314="","",F1314-'02_Eingaben'!$C$10)</f>
        <v/>
      </c>
      <c r="H1314" t="str">
        <f>IF(F1314="","",IF(F1314&lt;'02_Eingaben'!$C$18*'02_Eingaben'!$C$10,1,0))</f>
        <v/>
      </c>
      <c r="I1314" s="17" t="str">
        <f t="shared" si="20"/>
        <v/>
      </c>
      <c r="J1314" s="17" t="str">
        <f>IF(B1314="","",IF(B1313&lt;'02_Eingaben'!$C$36,0,J1313+I1313/'02_Eingaben'!$C$8))</f>
        <v/>
      </c>
    </row>
    <row r="1315" spans="1:10" x14ac:dyDescent="0.25">
      <c r="A1315" t="str">
        <f>IF('01_Rohdaten'!A1315="","",ROW()-1)</f>
        <v/>
      </c>
      <c r="B1315" s="17" t="str">
        <f>IF('01_Rohdaten'!A1315="","",'01_Rohdaten'!A1315)</f>
        <v/>
      </c>
      <c r="C1315" s="17" t="str">
        <f>IF(B1315="","",INDEX('01_Rohdaten'!B1315:D1315,'02_Eingaben'!$C$13))</f>
        <v/>
      </c>
      <c r="D1315" s="17" t="str">
        <f>IF(C1315="","",C1315*'02_Eingaben'!$C$15)</f>
        <v/>
      </c>
      <c r="E1315" s="17" t="str">
        <f>IF(D1315="","",D1315*'02_Eingaben'!$C$8)</f>
        <v/>
      </c>
      <c r="F1315" s="17" t="str">
        <f>IF(E1315="","",AVERAGE(INDEX($E$2:$E$3001,MAX(1,ROW()-1-'02_Eingaben'!$C$17)):INDEX($E$2:$E$3001,MIN('02_Eingaben'!$C$21,ROW()-1+'02_Eingaben'!$C$17))))</f>
        <v/>
      </c>
      <c r="G1315" s="17" t="str">
        <f>IF(F1315="","",F1315-'02_Eingaben'!$C$10)</f>
        <v/>
      </c>
      <c r="H1315" t="str">
        <f>IF(F1315="","",IF(F1315&lt;'02_Eingaben'!$C$18*'02_Eingaben'!$C$10,1,0))</f>
        <v/>
      </c>
      <c r="I1315" s="17" t="str">
        <f t="shared" si="20"/>
        <v/>
      </c>
      <c r="J1315" s="17" t="str">
        <f>IF(B1315="","",IF(B1314&lt;'02_Eingaben'!$C$36,0,J1314+I1314/'02_Eingaben'!$C$8))</f>
        <v/>
      </c>
    </row>
    <row r="1316" spans="1:10" x14ac:dyDescent="0.25">
      <c r="A1316" t="str">
        <f>IF('01_Rohdaten'!A1316="","",ROW()-1)</f>
        <v/>
      </c>
      <c r="B1316" s="17" t="str">
        <f>IF('01_Rohdaten'!A1316="","",'01_Rohdaten'!A1316)</f>
        <v/>
      </c>
      <c r="C1316" s="17" t="str">
        <f>IF(B1316="","",INDEX('01_Rohdaten'!B1316:D1316,'02_Eingaben'!$C$13))</f>
        <v/>
      </c>
      <c r="D1316" s="17" t="str">
        <f>IF(C1316="","",C1316*'02_Eingaben'!$C$15)</f>
        <v/>
      </c>
      <c r="E1316" s="17" t="str">
        <f>IF(D1316="","",D1316*'02_Eingaben'!$C$8)</f>
        <v/>
      </c>
      <c r="F1316" s="17" t="str">
        <f>IF(E1316="","",AVERAGE(INDEX($E$2:$E$3001,MAX(1,ROW()-1-'02_Eingaben'!$C$17)):INDEX($E$2:$E$3001,MIN('02_Eingaben'!$C$21,ROW()-1+'02_Eingaben'!$C$17))))</f>
        <v/>
      </c>
      <c r="G1316" s="17" t="str">
        <f>IF(F1316="","",F1316-'02_Eingaben'!$C$10)</f>
        <v/>
      </c>
      <c r="H1316" t="str">
        <f>IF(F1316="","",IF(F1316&lt;'02_Eingaben'!$C$18*'02_Eingaben'!$C$10,1,0))</f>
        <v/>
      </c>
      <c r="I1316" s="17" t="str">
        <f t="shared" si="20"/>
        <v/>
      </c>
      <c r="J1316" s="17" t="str">
        <f>IF(B1316="","",IF(B1315&lt;'02_Eingaben'!$C$36,0,J1315+I1315/'02_Eingaben'!$C$8))</f>
        <v/>
      </c>
    </row>
    <row r="1317" spans="1:10" x14ac:dyDescent="0.25">
      <c r="A1317" t="str">
        <f>IF('01_Rohdaten'!A1317="","",ROW()-1)</f>
        <v/>
      </c>
      <c r="B1317" s="17" t="str">
        <f>IF('01_Rohdaten'!A1317="","",'01_Rohdaten'!A1317)</f>
        <v/>
      </c>
      <c r="C1317" s="17" t="str">
        <f>IF(B1317="","",INDEX('01_Rohdaten'!B1317:D1317,'02_Eingaben'!$C$13))</f>
        <v/>
      </c>
      <c r="D1317" s="17" t="str">
        <f>IF(C1317="","",C1317*'02_Eingaben'!$C$15)</f>
        <v/>
      </c>
      <c r="E1317" s="17" t="str">
        <f>IF(D1317="","",D1317*'02_Eingaben'!$C$8)</f>
        <v/>
      </c>
      <c r="F1317" s="17" t="str">
        <f>IF(E1317="","",AVERAGE(INDEX($E$2:$E$3001,MAX(1,ROW()-1-'02_Eingaben'!$C$17)):INDEX($E$2:$E$3001,MIN('02_Eingaben'!$C$21,ROW()-1+'02_Eingaben'!$C$17))))</f>
        <v/>
      </c>
      <c r="G1317" s="17" t="str">
        <f>IF(F1317="","",F1317-'02_Eingaben'!$C$10)</f>
        <v/>
      </c>
      <c r="H1317" t="str">
        <f>IF(F1317="","",IF(F1317&lt;'02_Eingaben'!$C$18*'02_Eingaben'!$C$10,1,0))</f>
        <v/>
      </c>
      <c r="I1317" s="17" t="str">
        <f t="shared" si="20"/>
        <v/>
      </c>
      <c r="J1317" s="17" t="str">
        <f>IF(B1317="","",IF(B1316&lt;'02_Eingaben'!$C$36,0,J1316+I1316/'02_Eingaben'!$C$8))</f>
        <v/>
      </c>
    </row>
    <row r="1318" spans="1:10" x14ac:dyDescent="0.25">
      <c r="A1318" t="str">
        <f>IF('01_Rohdaten'!A1318="","",ROW()-1)</f>
        <v/>
      </c>
      <c r="B1318" s="17" t="str">
        <f>IF('01_Rohdaten'!A1318="","",'01_Rohdaten'!A1318)</f>
        <v/>
      </c>
      <c r="C1318" s="17" t="str">
        <f>IF(B1318="","",INDEX('01_Rohdaten'!B1318:D1318,'02_Eingaben'!$C$13))</f>
        <v/>
      </c>
      <c r="D1318" s="17" t="str">
        <f>IF(C1318="","",C1318*'02_Eingaben'!$C$15)</f>
        <v/>
      </c>
      <c r="E1318" s="17" t="str">
        <f>IF(D1318="","",D1318*'02_Eingaben'!$C$8)</f>
        <v/>
      </c>
      <c r="F1318" s="17" t="str">
        <f>IF(E1318="","",AVERAGE(INDEX($E$2:$E$3001,MAX(1,ROW()-1-'02_Eingaben'!$C$17)):INDEX($E$2:$E$3001,MIN('02_Eingaben'!$C$21,ROW()-1+'02_Eingaben'!$C$17))))</f>
        <v/>
      </c>
      <c r="G1318" s="17" t="str">
        <f>IF(F1318="","",F1318-'02_Eingaben'!$C$10)</f>
        <v/>
      </c>
      <c r="H1318" t="str">
        <f>IF(F1318="","",IF(F1318&lt;'02_Eingaben'!$C$18*'02_Eingaben'!$C$10,1,0))</f>
        <v/>
      </c>
      <c r="I1318" s="17" t="str">
        <f t="shared" si="20"/>
        <v/>
      </c>
      <c r="J1318" s="17" t="str">
        <f>IF(B1318="","",IF(B1317&lt;'02_Eingaben'!$C$36,0,J1317+I1317/'02_Eingaben'!$C$8))</f>
        <v/>
      </c>
    </row>
    <row r="1319" spans="1:10" x14ac:dyDescent="0.25">
      <c r="A1319" t="str">
        <f>IF('01_Rohdaten'!A1319="","",ROW()-1)</f>
        <v/>
      </c>
      <c r="B1319" s="17" t="str">
        <f>IF('01_Rohdaten'!A1319="","",'01_Rohdaten'!A1319)</f>
        <v/>
      </c>
      <c r="C1319" s="17" t="str">
        <f>IF(B1319="","",INDEX('01_Rohdaten'!B1319:D1319,'02_Eingaben'!$C$13))</f>
        <v/>
      </c>
      <c r="D1319" s="17" t="str">
        <f>IF(C1319="","",C1319*'02_Eingaben'!$C$15)</f>
        <v/>
      </c>
      <c r="E1319" s="17" t="str">
        <f>IF(D1319="","",D1319*'02_Eingaben'!$C$8)</f>
        <v/>
      </c>
      <c r="F1319" s="17" t="str">
        <f>IF(E1319="","",AVERAGE(INDEX($E$2:$E$3001,MAX(1,ROW()-1-'02_Eingaben'!$C$17)):INDEX($E$2:$E$3001,MIN('02_Eingaben'!$C$21,ROW()-1+'02_Eingaben'!$C$17))))</f>
        <v/>
      </c>
      <c r="G1319" s="17" t="str">
        <f>IF(F1319="","",F1319-'02_Eingaben'!$C$10)</f>
        <v/>
      </c>
      <c r="H1319" t="str">
        <f>IF(F1319="","",IF(F1319&lt;'02_Eingaben'!$C$18*'02_Eingaben'!$C$10,1,0))</f>
        <v/>
      </c>
      <c r="I1319" s="17" t="str">
        <f t="shared" si="20"/>
        <v/>
      </c>
      <c r="J1319" s="17" t="str">
        <f>IF(B1319="","",IF(B1318&lt;'02_Eingaben'!$C$36,0,J1318+I1318/'02_Eingaben'!$C$8))</f>
        <v/>
      </c>
    </row>
    <row r="1320" spans="1:10" x14ac:dyDescent="0.25">
      <c r="A1320" t="str">
        <f>IF('01_Rohdaten'!A1320="","",ROW()-1)</f>
        <v/>
      </c>
      <c r="B1320" s="17" t="str">
        <f>IF('01_Rohdaten'!A1320="","",'01_Rohdaten'!A1320)</f>
        <v/>
      </c>
      <c r="C1320" s="17" t="str">
        <f>IF(B1320="","",INDEX('01_Rohdaten'!B1320:D1320,'02_Eingaben'!$C$13))</f>
        <v/>
      </c>
      <c r="D1320" s="17" t="str">
        <f>IF(C1320="","",C1320*'02_Eingaben'!$C$15)</f>
        <v/>
      </c>
      <c r="E1320" s="17" t="str">
        <f>IF(D1320="","",D1320*'02_Eingaben'!$C$8)</f>
        <v/>
      </c>
      <c r="F1320" s="17" t="str">
        <f>IF(E1320="","",AVERAGE(INDEX($E$2:$E$3001,MAX(1,ROW()-1-'02_Eingaben'!$C$17)):INDEX($E$2:$E$3001,MIN('02_Eingaben'!$C$21,ROW()-1+'02_Eingaben'!$C$17))))</f>
        <v/>
      </c>
      <c r="G1320" s="17" t="str">
        <f>IF(F1320="","",F1320-'02_Eingaben'!$C$10)</f>
        <v/>
      </c>
      <c r="H1320" t="str">
        <f>IF(F1320="","",IF(F1320&lt;'02_Eingaben'!$C$18*'02_Eingaben'!$C$10,1,0))</f>
        <v/>
      </c>
      <c r="I1320" s="17" t="str">
        <f t="shared" si="20"/>
        <v/>
      </c>
      <c r="J1320" s="17" t="str">
        <f>IF(B1320="","",IF(B1319&lt;'02_Eingaben'!$C$36,0,J1319+I1319/'02_Eingaben'!$C$8))</f>
        <v/>
      </c>
    </row>
    <row r="1321" spans="1:10" x14ac:dyDescent="0.25">
      <c r="A1321" t="str">
        <f>IF('01_Rohdaten'!A1321="","",ROW()-1)</f>
        <v/>
      </c>
      <c r="B1321" s="17" t="str">
        <f>IF('01_Rohdaten'!A1321="","",'01_Rohdaten'!A1321)</f>
        <v/>
      </c>
      <c r="C1321" s="17" t="str">
        <f>IF(B1321="","",INDEX('01_Rohdaten'!B1321:D1321,'02_Eingaben'!$C$13))</f>
        <v/>
      </c>
      <c r="D1321" s="17" t="str">
        <f>IF(C1321="","",C1321*'02_Eingaben'!$C$15)</f>
        <v/>
      </c>
      <c r="E1321" s="17" t="str">
        <f>IF(D1321="","",D1321*'02_Eingaben'!$C$8)</f>
        <v/>
      </c>
      <c r="F1321" s="17" t="str">
        <f>IF(E1321="","",AVERAGE(INDEX($E$2:$E$3001,MAX(1,ROW()-1-'02_Eingaben'!$C$17)):INDEX($E$2:$E$3001,MIN('02_Eingaben'!$C$21,ROW()-1+'02_Eingaben'!$C$17))))</f>
        <v/>
      </c>
      <c r="G1321" s="17" t="str">
        <f>IF(F1321="","",F1321-'02_Eingaben'!$C$10)</f>
        <v/>
      </c>
      <c r="H1321" t="str">
        <f>IF(F1321="","",IF(F1321&lt;'02_Eingaben'!$C$18*'02_Eingaben'!$C$10,1,0))</f>
        <v/>
      </c>
      <c r="I1321" s="17" t="str">
        <f t="shared" si="20"/>
        <v/>
      </c>
      <c r="J1321" s="17" t="str">
        <f>IF(B1321="","",IF(B1320&lt;'02_Eingaben'!$C$36,0,J1320+I1320/'02_Eingaben'!$C$8))</f>
        <v/>
      </c>
    </row>
    <row r="1322" spans="1:10" x14ac:dyDescent="0.25">
      <c r="A1322" t="str">
        <f>IF('01_Rohdaten'!A1322="","",ROW()-1)</f>
        <v/>
      </c>
      <c r="B1322" s="17" t="str">
        <f>IF('01_Rohdaten'!A1322="","",'01_Rohdaten'!A1322)</f>
        <v/>
      </c>
      <c r="C1322" s="17" t="str">
        <f>IF(B1322="","",INDEX('01_Rohdaten'!B1322:D1322,'02_Eingaben'!$C$13))</f>
        <v/>
      </c>
      <c r="D1322" s="17" t="str">
        <f>IF(C1322="","",C1322*'02_Eingaben'!$C$15)</f>
        <v/>
      </c>
      <c r="E1322" s="17" t="str">
        <f>IF(D1322="","",D1322*'02_Eingaben'!$C$8)</f>
        <v/>
      </c>
      <c r="F1322" s="17" t="str">
        <f>IF(E1322="","",AVERAGE(INDEX($E$2:$E$3001,MAX(1,ROW()-1-'02_Eingaben'!$C$17)):INDEX($E$2:$E$3001,MIN('02_Eingaben'!$C$21,ROW()-1+'02_Eingaben'!$C$17))))</f>
        <v/>
      </c>
      <c r="G1322" s="17" t="str">
        <f>IF(F1322="","",F1322-'02_Eingaben'!$C$10)</f>
        <v/>
      </c>
      <c r="H1322" t="str">
        <f>IF(F1322="","",IF(F1322&lt;'02_Eingaben'!$C$18*'02_Eingaben'!$C$10,1,0))</f>
        <v/>
      </c>
      <c r="I1322" s="17" t="str">
        <f t="shared" si="20"/>
        <v/>
      </c>
      <c r="J1322" s="17" t="str">
        <f>IF(B1322="","",IF(B1321&lt;'02_Eingaben'!$C$36,0,J1321+I1321/'02_Eingaben'!$C$8))</f>
        <v/>
      </c>
    </row>
    <row r="1323" spans="1:10" x14ac:dyDescent="0.25">
      <c r="A1323" t="str">
        <f>IF('01_Rohdaten'!A1323="","",ROW()-1)</f>
        <v/>
      </c>
      <c r="B1323" s="17" t="str">
        <f>IF('01_Rohdaten'!A1323="","",'01_Rohdaten'!A1323)</f>
        <v/>
      </c>
      <c r="C1323" s="17" t="str">
        <f>IF(B1323="","",INDEX('01_Rohdaten'!B1323:D1323,'02_Eingaben'!$C$13))</f>
        <v/>
      </c>
      <c r="D1323" s="17" t="str">
        <f>IF(C1323="","",C1323*'02_Eingaben'!$C$15)</f>
        <v/>
      </c>
      <c r="E1323" s="17" t="str">
        <f>IF(D1323="","",D1323*'02_Eingaben'!$C$8)</f>
        <v/>
      </c>
      <c r="F1323" s="17" t="str">
        <f>IF(E1323="","",AVERAGE(INDEX($E$2:$E$3001,MAX(1,ROW()-1-'02_Eingaben'!$C$17)):INDEX($E$2:$E$3001,MIN('02_Eingaben'!$C$21,ROW()-1+'02_Eingaben'!$C$17))))</f>
        <v/>
      </c>
      <c r="G1323" s="17" t="str">
        <f>IF(F1323="","",F1323-'02_Eingaben'!$C$10)</f>
        <v/>
      </c>
      <c r="H1323" t="str">
        <f>IF(F1323="","",IF(F1323&lt;'02_Eingaben'!$C$18*'02_Eingaben'!$C$10,1,0))</f>
        <v/>
      </c>
      <c r="I1323" s="17" t="str">
        <f t="shared" si="20"/>
        <v/>
      </c>
      <c r="J1323" s="17" t="str">
        <f>IF(B1323="","",IF(B1322&lt;'02_Eingaben'!$C$36,0,J1322+I1322/'02_Eingaben'!$C$8))</f>
        <v/>
      </c>
    </row>
    <row r="1324" spans="1:10" x14ac:dyDescent="0.25">
      <c r="A1324" t="str">
        <f>IF('01_Rohdaten'!A1324="","",ROW()-1)</f>
        <v/>
      </c>
      <c r="B1324" s="17" t="str">
        <f>IF('01_Rohdaten'!A1324="","",'01_Rohdaten'!A1324)</f>
        <v/>
      </c>
      <c r="C1324" s="17" t="str">
        <f>IF(B1324="","",INDEX('01_Rohdaten'!B1324:D1324,'02_Eingaben'!$C$13))</f>
        <v/>
      </c>
      <c r="D1324" s="17" t="str">
        <f>IF(C1324="","",C1324*'02_Eingaben'!$C$15)</f>
        <v/>
      </c>
      <c r="E1324" s="17" t="str">
        <f>IF(D1324="","",D1324*'02_Eingaben'!$C$8)</f>
        <v/>
      </c>
      <c r="F1324" s="17" t="str">
        <f>IF(E1324="","",AVERAGE(INDEX($E$2:$E$3001,MAX(1,ROW()-1-'02_Eingaben'!$C$17)):INDEX($E$2:$E$3001,MIN('02_Eingaben'!$C$21,ROW()-1+'02_Eingaben'!$C$17))))</f>
        <v/>
      </c>
      <c r="G1324" s="17" t="str">
        <f>IF(F1324="","",F1324-'02_Eingaben'!$C$10)</f>
        <v/>
      </c>
      <c r="H1324" t="str">
        <f>IF(F1324="","",IF(F1324&lt;'02_Eingaben'!$C$18*'02_Eingaben'!$C$10,1,0))</f>
        <v/>
      </c>
      <c r="I1324" s="17" t="str">
        <f t="shared" si="20"/>
        <v/>
      </c>
      <c r="J1324" s="17" t="str">
        <f>IF(B1324="","",IF(B1323&lt;'02_Eingaben'!$C$36,0,J1323+I1323/'02_Eingaben'!$C$8))</f>
        <v/>
      </c>
    </row>
    <row r="1325" spans="1:10" x14ac:dyDescent="0.25">
      <c r="A1325" t="str">
        <f>IF('01_Rohdaten'!A1325="","",ROW()-1)</f>
        <v/>
      </c>
      <c r="B1325" s="17" t="str">
        <f>IF('01_Rohdaten'!A1325="","",'01_Rohdaten'!A1325)</f>
        <v/>
      </c>
      <c r="C1325" s="17" t="str">
        <f>IF(B1325="","",INDEX('01_Rohdaten'!B1325:D1325,'02_Eingaben'!$C$13))</f>
        <v/>
      </c>
      <c r="D1325" s="17" t="str">
        <f>IF(C1325="","",C1325*'02_Eingaben'!$C$15)</f>
        <v/>
      </c>
      <c r="E1325" s="17" t="str">
        <f>IF(D1325="","",D1325*'02_Eingaben'!$C$8)</f>
        <v/>
      </c>
      <c r="F1325" s="17" t="str">
        <f>IF(E1325="","",AVERAGE(INDEX($E$2:$E$3001,MAX(1,ROW()-1-'02_Eingaben'!$C$17)):INDEX($E$2:$E$3001,MIN('02_Eingaben'!$C$21,ROW()-1+'02_Eingaben'!$C$17))))</f>
        <v/>
      </c>
      <c r="G1325" s="17" t="str">
        <f>IF(F1325="","",F1325-'02_Eingaben'!$C$10)</f>
        <v/>
      </c>
      <c r="H1325" t="str">
        <f>IF(F1325="","",IF(F1325&lt;'02_Eingaben'!$C$18*'02_Eingaben'!$C$10,1,0))</f>
        <v/>
      </c>
      <c r="I1325" s="17" t="str">
        <f t="shared" si="20"/>
        <v/>
      </c>
      <c r="J1325" s="17" t="str">
        <f>IF(B1325="","",IF(B1324&lt;'02_Eingaben'!$C$36,0,J1324+I1324/'02_Eingaben'!$C$8))</f>
        <v/>
      </c>
    </row>
    <row r="1326" spans="1:10" x14ac:dyDescent="0.25">
      <c r="A1326" t="str">
        <f>IF('01_Rohdaten'!A1326="","",ROW()-1)</f>
        <v/>
      </c>
      <c r="B1326" s="17" t="str">
        <f>IF('01_Rohdaten'!A1326="","",'01_Rohdaten'!A1326)</f>
        <v/>
      </c>
      <c r="C1326" s="17" t="str">
        <f>IF(B1326="","",INDEX('01_Rohdaten'!B1326:D1326,'02_Eingaben'!$C$13))</f>
        <v/>
      </c>
      <c r="D1326" s="17" t="str">
        <f>IF(C1326="","",C1326*'02_Eingaben'!$C$15)</f>
        <v/>
      </c>
      <c r="E1326" s="17" t="str">
        <f>IF(D1326="","",D1326*'02_Eingaben'!$C$8)</f>
        <v/>
      </c>
      <c r="F1326" s="17" t="str">
        <f>IF(E1326="","",AVERAGE(INDEX($E$2:$E$3001,MAX(1,ROW()-1-'02_Eingaben'!$C$17)):INDEX($E$2:$E$3001,MIN('02_Eingaben'!$C$21,ROW()-1+'02_Eingaben'!$C$17))))</f>
        <v/>
      </c>
      <c r="G1326" s="17" t="str">
        <f>IF(F1326="","",F1326-'02_Eingaben'!$C$10)</f>
        <v/>
      </c>
      <c r="H1326" t="str">
        <f>IF(F1326="","",IF(F1326&lt;'02_Eingaben'!$C$18*'02_Eingaben'!$C$10,1,0))</f>
        <v/>
      </c>
      <c r="I1326" s="17" t="str">
        <f t="shared" si="20"/>
        <v/>
      </c>
      <c r="J1326" s="17" t="str">
        <f>IF(B1326="","",IF(B1325&lt;'02_Eingaben'!$C$36,0,J1325+I1325/'02_Eingaben'!$C$8))</f>
        <v/>
      </c>
    </row>
    <row r="1327" spans="1:10" x14ac:dyDescent="0.25">
      <c r="A1327" t="str">
        <f>IF('01_Rohdaten'!A1327="","",ROW()-1)</f>
        <v/>
      </c>
      <c r="B1327" s="17" t="str">
        <f>IF('01_Rohdaten'!A1327="","",'01_Rohdaten'!A1327)</f>
        <v/>
      </c>
      <c r="C1327" s="17" t="str">
        <f>IF(B1327="","",INDEX('01_Rohdaten'!B1327:D1327,'02_Eingaben'!$C$13))</f>
        <v/>
      </c>
      <c r="D1327" s="17" t="str">
        <f>IF(C1327="","",C1327*'02_Eingaben'!$C$15)</f>
        <v/>
      </c>
      <c r="E1327" s="17" t="str">
        <f>IF(D1327="","",D1327*'02_Eingaben'!$C$8)</f>
        <v/>
      </c>
      <c r="F1327" s="17" t="str">
        <f>IF(E1327="","",AVERAGE(INDEX($E$2:$E$3001,MAX(1,ROW()-1-'02_Eingaben'!$C$17)):INDEX($E$2:$E$3001,MIN('02_Eingaben'!$C$21,ROW()-1+'02_Eingaben'!$C$17))))</f>
        <v/>
      </c>
      <c r="G1327" s="17" t="str">
        <f>IF(F1327="","",F1327-'02_Eingaben'!$C$10)</f>
        <v/>
      </c>
      <c r="H1327" t="str">
        <f>IF(F1327="","",IF(F1327&lt;'02_Eingaben'!$C$18*'02_Eingaben'!$C$10,1,0))</f>
        <v/>
      </c>
      <c r="I1327" s="17" t="str">
        <f t="shared" si="20"/>
        <v/>
      </c>
      <c r="J1327" s="17" t="str">
        <f>IF(B1327="","",IF(B1326&lt;'02_Eingaben'!$C$36,0,J1326+I1326/'02_Eingaben'!$C$8))</f>
        <v/>
      </c>
    </row>
    <row r="1328" spans="1:10" x14ac:dyDescent="0.25">
      <c r="A1328" t="str">
        <f>IF('01_Rohdaten'!A1328="","",ROW()-1)</f>
        <v/>
      </c>
      <c r="B1328" s="17" t="str">
        <f>IF('01_Rohdaten'!A1328="","",'01_Rohdaten'!A1328)</f>
        <v/>
      </c>
      <c r="C1328" s="17" t="str">
        <f>IF(B1328="","",INDEX('01_Rohdaten'!B1328:D1328,'02_Eingaben'!$C$13))</f>
        <v/>
      </c>
      <c r="D1328" s="17" t="str">
        <f>IF(C1328="","",C1328*'02_Eingaben'!$C$15)</f>
        <v/>
      </c>
      <c r="E1328" s="17" t="str">
        <f>IF(D1328="","",D1328*'02_Eingaben'!$C$8)</f>
        <v/>
      </c>
      <c r="F1328" s="17" t="str">
        <f>IF(E1328="","",AVERAGE(INDEX($E$2:$E$3001,MAX(1,ROW()-1-'02_Eingaben'!$C$17)):INDEX($E$2:$E$3001,MIN('02_Eingaben'!$C$21,ROW()-1+'02_Eingaben'!$C$17))))</f>
        <v/>
      </c>
      <c r="G1328" s="17" t="str">
        <f>IF(F1328="","",F1328-'02_Eingaben'!$C$10)</f>
        <v/>
      </c>
      <c r="H1328" t="str">
        <f>IF(F1328="","",IF(F1328&lt;'02_Eingaben'!$C$18*'02_Eingaben'!$C$10,1,0))</f>
        <v/>
      </c>
      <c r="I1328" s="17" t="str">
        <f t="shared" si="20"/>
        <v/>
      </c>
      <c r="J1328" s="17" t="str">
        <f>IF(B1328="","",IF(B1327&lt;'02_Eingaben'!$C$36,0,J1327+I1327/'02_Eingaben'!$C$8))</f>
        <v/>
      </c>
    </row>
    <row r="1329" spans="1:10" x14ac:dyDescent="0.25">
      <c r="A1329" t="str">
        <f>IF('01_Rohdaten'!A1329="","",ROW()-1)</f>
        <v/>
      </c>
      <c r="B1329" s="17" t="str">
        <f>IF('01_Rohdaten'!A1329="","",'01_Rohdaten'!A1329)</f>
        <v/>
      </c>
      <c r="C1329" s="17" t="str">
        <f>IF(B1329="","",INDEX('01_Rohdaten'!B1329:D1329,'02_Eingaben'!$C$13))</f>
        <v/>
      </c>
      <c r="D1329" s="17" t="str">
        <f>IF(C1329="","",C1329*'02_Eingaben'!$C$15)</f>
        <v/>
      </c>
      <c r="E1329" s="17" t="str">
        <f>IF(D1329="","",D1329*'02_Eingaben'!$C$8)</f>
        <v/>
      </c>
      <c r="F1329" s="17" t="str">
        <f>IF(E1329="","",AVERAGE(INDEX($E$2:$E$3001,MAX(1,ROW()-1-'02_Eingaben'!$C$17)):INDEX($E$2:$E$3001,MIN('02_Eingaben'!$C$21,ROW()-1+'02_Eingaben'!$C$17))))</f>
        <v/>
      </c>
      <c r="G1329" s="17" t="str">
        <f>IF(F1329="","",F1329-'02_Eingaben'!$C$10)</f>
        <v/>
      </c>
      <c r="H1329" t="str">
        <f>IF(F1329="","",IF(F1329&lt;'02_Eingaben'!$C$18*'02_Eingaben'!$C$10,1,0))</f>
        <v/>
      </c>
      <c r="I1329" s="17" t="str">
        <f t="shared" si="20"/>
        <v/>
      </c>
      <c r="J1329" s="17" t="str">
        <f>IF(B1329="","",IF(B1328&lt;'02_Eingaben'!$C$36,0,J1328+I1328/'02_Eingaben'!$C$8))</f>
        <v/>
      </c>
    </row>
    <row r="1330" spans="1:10" x14ac:dyDescent="0.25">
      <c r="A1330" t="str">
        <f>IF('01_Rohdaten'!A1330="","",ROW()-1)</f>
        <v/>
      </c>
      <c r="B1330" s="17" t="str">
        <f>IF('01_Rohdaten'!A1330="","",'01_Rohdaten'!A1330)</f>
        <v/>
      </c>
      <c r="C1330" s="17" t="str">
        <f>IF(B1330="","",INDEX('01_Rohdaten'!B1330:D1330,'02_Eingaben'!$C$13))</f>
        <v/>
      </c>
      <c r="D1330" s="17" t="str">
        <f>IF(C1330="","",C1330*'02_Eingaben'!$C$15)</f>
        <v/>
      </c>
      <c r="E1330" s="17" t="str">
        <f>IF(D1330="","",D1330*'02_Eingaben'!$C$8)</f>
        <v/>
      </c>
      <c r="F1330" s="17" t="str">
        <f>IF(E1330="","",AVERAGE(INDEX($E$2:$E$3001,MAX(1,ROW()-1-'02_Eingaben'!$C$17)):INDEX($E$2:$E$3001,MIN('02_Eingaben'!$C$21,ROW()-1+'02_Eingaben'!$C$17))))</f>
        <v/>
      </c>
      <c r="G1330" s="17" t="str">
        <f>IF(F1330="","",F1330-'02_Eingaben'!$C$10)</f>
        <v/>
      </c>
      <c r="H1330" t="str">
        <f>IF(F1330="","",IF(F1330&lt;'02_Eingaben'!$C$18*'02_Eingaben'!$C$10,1,0))</f>
        <v/>
      </c>
      <c r="I1330" s="17" t="str">
        <f t="shared" si="20"/>
        <v/>
      </c>
      <c r="J1330" s="17" t="str">
        <f>IF(B1330="","",IF(B1329&lt;'02_Eingaben'!$C$36,0,J1329+I1329/'02_Eingaben'!$C$8))</f>
        <v/>
      </c>
    </row>
    <row r="1331" spans="1:10" x14ac:dyDescent="0.25">
      <c r="A1331" t="str">
        <f>IF('01_Rohdaten'!A1331="","",ROW()-1)</f>
        <v/>
      </c>
      <c r="B1331" s="17" t="str">
        <f>IF('01_Rohdaten'!A1331="","",'01_Rohdaten'!A1331)</f>
        <v/>
      </c>
      <c r="C1331" s="17" t="str">
        <f>IF(B1331="","",INDEX('01_Rohdaten'!B1331:D1331,'02_Eingaben'!$C$13))</f>
        <v/>
      </c>
      <c r="D1331" s="17" t="str">
        <f>IF(C1331="","",C1331*'02_Eingaben'!$C$15)</f>
        <v/>
      </c>
      <c r="E1331" s="17" t="str">
        <f>IF(D1331="","",D1331*'02_Eingaben'!$C$8)</f>
        <v/>
      </c>
      <c r="F1331" s="17" t="str">
        <f>IF(E1331="","",AVERAGE(INDEX($E$2:$E$3001,MAX(1,ROW()-1-'02_Eingaben'!$C$17)):INDEX($E$2:$E$3001,MIN('02_Eingaben'!$C$21,ROW()-1+'02_Eingaben'!$C$17))))</f>
        <v/>
      </c>
      <c r="G1331" s="17" t="str">
        <f>IF(F1331="","",F1331-'02_Eingaben'!$C$10)</f>
        <v/>
      </c>
      <c r="H1331" t="str">
        <f>IF(F1331="","",IF(F1331&lt;'02_Eingaben'!$C$18*'02_Eingaben'!$C$10,1,0))</f>
        <v/>
      </c>
      <c r="I1331" s="17" t="str">
        <f t="shared" si="20"/>
        <v/>
      </c>
      <c r="J1331" s="17" t="str">
        <f>IF(B1331="","",IF(B1330&lt;'02_Eingaben'!$C$36,0,J1330+I1330/'02_Eingaben'!$C$8))</f>
        <v/>
      </c>
    </row>
    <row r="1332" spans="1:10" x14ac:dyDescent="0.25">
      <c r="A1332" t="str">
        <f>IF('01_Rohdaten'!A1332="","",ROW()-1)</f>
        <v/>
      </c>
      <c r="B1332" s="17" t="str">
        <f>IF('01_Rohdaten'!A1332="","",'01_Rohdaten'!A1332)</f>
        <v/>
      </c>
      <c r="C1332" s="17" t="str">
        <f>IF(B1332="","",INDEX('01_Rohdaten'!B1332:D1332,'02_Eingaben'!$C$13))</f>
        <v/>
      </c>
      <c r="D1332" s="17" t="str">
        <f>IF(C1332="","",C1332*'02_Eingaben'!$C$15)</f>
        <v/>
      </c>
      <c r="E1332" s="17" t="str">
        <f>IF(D1332="","",D1332*'02_Eingaben'!$C$8)</f>
        <v/>
      </c>
      <c r="F1332" s="17" t="str">
        <f>IF(E1332="","",AVERAGE(INDEX($E$2:$E$3001,MAX(1,ROW()-1-'02_Eingaben'!$C$17)):INDEX($E$2:$E$3001,MIN('02_Eingaben'!$C$21,ROW()-1+'02_Eingaben'!$C$17))))</f>
        <v/>
      </c>
      <c r="G1332" s="17" t="str">
        <f>IF(F1332="","",F1332-'02_Eingaben'!$C$10)</f>
        <v/>
      </c>
      <c r="H1332" t="str">
        <f>IF(F1332="","",IF(F1332&lt;'02_Eingaben'!$C$18*'02_Eingaben'!$C$10,1,0))</f>
        <v/>
      </c>
      <c r="I1332" s="17" t="str">
        <f t="shared" si="20"/>
        <v/>
      </c>
      <c r="J1332" s="17" t="str">
        <f>IF(B1332="","",IF(B1331&lt;'02_Eingaben'!$C$36,0,J1331+I1331/'02_Eingaben'!$C$8))</f>
        <v/>
      </c>
    </row>
    <row r="1333" spans="1:10" x14ac:dyDescent="0.25">
      <c r="A1333" t="str">
        <f>IF('01_Rohdaten'!A1333="","",ROW()-1)</f>
        <v/>
      </c>
      <c r="B1333" s="17" t="str">
        <f>IF('01_Rohdaten'!A1333="","",'01_Rohdaten'!A1333)</f>
        <v/>
      </c>
      <c r="C1333" s="17" t="str">
        <f>IF(B1333="","",INDEX('01_Rohdaten'!B1333:D1333,'02_Eingaben'!$C$13))</f>
        <v/>
      </c>
      <c r="D1333" s="17" t="str">
        <f>IF(C1333="","",C1333*'02_Eingaben'!$C$15)</f>
        <v/>
      </c>
      <c r="E1333" s="17" t="str">
        <f>IF(D1333="","",D1333*'02_Eingaben'!$C$8)</f>
        <v/>
      </c>
      <c r="F1333" s="17" t="str">
        <f>IF(E1333="","",AVERAGE(INDEX($E$2:$E$3001,MAX(1,ROW()-1-'02_Eingaben'!$C$17)):INDEX($E$2:$E$3001,MIN('02_Eingaben'!$C$21,ROW()-1+'02_Eingaben'!$C$17))))</f>
        <v/>
      </c>
      <c r="G1333" s="17" t="str">
        <f>IF(F1333="","",F1333-'02_Eingaben'!$C$10)</f>
        <v/>
      </c>
      <c r="H1333" t="str">
        <f>IF(F1333="","",IF(F1333&lt;'02_Eingaben'!$C$18*'02_Eingaben'!$C$10,1,0))</f>
        <v/>
      </c>
      <c r="I1333" s="17" t="str">
        <f t="shared" si="20"/>
        <v/>
      </c>
      <c r="J1333" s="17" t="str">
        <f>IF(B1333="","",IF(B1332&lt;'02_Eingaben'!$C$36,0,J1332+I1332/'02_Eingaben'!$C$8))</f>
        <v/>
      </c>
    </row>
    <row r="1334" spans="1:10" x14ac:dyDescent="0.25">
      <c r="A1334" t="str">
        <f>IF('01_Rohdaten'!A1334="","",ROW()-1)</f>
        <v/>
      </c>
      <c r="B1334" s="17" t="str">
        <f>IF('01_Rohdaten'!A1334="","",'01_Rohdaten'!A1334)</f>
        <v/>
      </c>
      <c r="C1334" s="17" t="str">
        <f>IF(B1334="","",INDEX('01_Rohdaten'!B1334:D1334,'02_Eingaben'!$C$13))</f>
        <v/>
      </c>
      <c r="D1334" s="17" t="str">
        <f>IF(C1334="","",C1334*'02_Eingaben'!$C$15)</f>
        <v/>
      </c>
      <c r="E1334" s="17" t="str">
        <f>IF(D1334="","",D1334*'02_Eingaben'!$C$8)</f>
        <v/>
      </c>
      <c r="F1334" s="17" t="str">
        <f>IF(E1334="","",AVERAGE(INDEX($E$2:$E$3001,MAX(1,ROW()-1-'02_Eingaben'!$C$17)):INDEX($E$2:$E$3001,MIN('02_Eingaben'!$C$21,ROW()-1+'02_Eingaben'!$C$17))))</f>
        <v/>
      </c>
      <c r="G1334" s="17" t="str">
        <f>IF(F1334="","",F1334-'02_Eingaben'!$C$10)</f>
        <v/>
      </c>
      <c r="H1334" t="str">
        <f>IF(F1334="","",IF(F1334&lt;'02_Eingaben'!$C$18*'02_Eingaben'!$C$10,1,0))</f>
        <v/>
      </c>
      <c r="I1334" s="17" t="str">
        <f t="shared" si="20"/>
        <v/>
      </c>
      <c r="J1334" s="17" t="str">
        <f>IF(B1334="","",IF(B1333&lt;'02_Eingaben'!$C$36,0,J1333+I1333/'02_Eingaben'!$C$8))</f>
        <v/>
      </c>
    </row>
    <row r="1335" spans="1:10" x14ac:dyDescent="0.25">
      <c r="A1335" t="str">
        <f>IF('01_Rohdaten'!A1335="","",ROW()-1)</f>
        <v/>
      </c>
      <c r="B1335" s="17" t="str">
        <f>IF('01_Rohdaten'!A1335="","",'01_Rohdaten'!A1335)</f>
        <v/>
      </c>
      <c r="C1335" s="17" t="str">
        <f>IF(B1335="","",INDEX('01_Rohdaten'!B1335:D1335,'02_Eingaben'!$C$13))</f>
        <v/>
      </c>
      <c r="D1335" s="17" t="str">
        <f>IF(C1335="","",C1335*'02_Eingaben'!$C$15)</f>
        <v/>
      </c>
      <c r="E1335" s="17" t="str">
        <f>IF(D1335="","",D1335*'02_Eingaben'!$C$8)</f>
        <v/>
      </c>
      <c r="F1335" s="17" t="str">
        <f>IF(E1335="","",AVERAGE(INDEX($E$2:$E$3001,MAX(1,ROW()-1-'02_Eingaben'!$C$17)):INDEX($E$2:$E$3001,MIN('02_Eingaben'!$C$21,ROW()-1+'02_Eingaben'!$C$17))))</f>
        <v/>
      </c>
      <c r="G1335" s="17" t="str">
        <f>IF(F1335="","",F1335-'02_Eingaben'!$C$10)</f>
        <v/>
      </c>
      <c r="H1335" t="str">
        <f>IF(F1335="","",IF(F1335&lt;'02_Eingaben'!$C$18*'02_Eingaben'!$C$10,1,0))</f>
        <v/>
      </c>
      <c r="I1335" s="17" t="str">
        <f t="shared" si="20"/>
        <v/>
      </c>
      <c r="J1335" s="17" t="str">
        <f>IF(B1335="","",IF(B1334&lt;'02_Eingaben'!$C$36,0,J1334+I1334/'02_Eingaben'!$C$8))</f>
        <v/>
      </c>
    </row>
    <row r="1336" spans="1:10" x14ac:dyDescent="0.25">
      <c r="A1336" t="str">
        <f>IF('01_Rohdaten'!A1336="","",ROW()-1)</f>
        <v/>
      </c>
      <c r="B1336" s="17" t="str">
        <f>IF('01_Rohdaten'!A1336="","",'01_Rohdaten'!A1336)</f>
        <v/>
      </c>
      <c r="C1336" s="17" t="str">
        <f>IF(B1336="","",INDEX('01_Rohdaten'!B1336:D1336,'02_Eingaben'!$C$13))</f>
        <v/>
      </c>
      <c r="D1336" s="17" t="str">
        <f>IF(C1336="","",C1336*'02_Eingaben'!$C$15)</f>
        <v/>
      </c>
      <c r="E1336" s="17" t="str">
        <f>IF(D1336="","",D1336*'02_Eingaben'!$C$8)</f>
        <v/>
      </c>
      <c r="F1336" s="17" t="str">
        <f>IF(E1336="","",AVERAGE(INDEX($E$2:$E$3001,MAX(1,ROW()-1-'02_Eingaben'!$C$17)):INDEX($E$2:$E$3001,MIN('02_Eingaben'!$C$21,ROW()-1+'02_Eingaben'!$C$17))))</f>
        <v/>
      </c>
      <c r="G1336" s="17" t="str">
        <f>IF(F1336="","",F1336-'02_Eingaben'!$C$10)</f>
        <v/>
      </c>
      <c r="H1336" t="str">
        <f>IF(F1336="","",IF(F1336&lt;'02_Eingaben'!$C$18*'02_Eingaben'!$C$10,1,0))</f>
        <v/>
      </c>
      <c r="I1336" s="17" t="str">
        <f t="shared" si="20"/>
        <v/>
      </c>
      <c r="J1336" s="17" t="str">
        <f>IF(B1336="","",IF(B1335&lt;'02_Eingaben'!$C$36,0,J1335+I1335/'02_Eingaben'!$C$8))</f>
        <v/>
      </c>
    </row>
    <row r="1337" spans="1:10" x14ac:dyDescent="0.25">
      <c r="A1337" t="str">
        <f>IF('01_Rohdaten'!A1337="","",ROW()-1)</f>
        <v/>
      </c>
      <c r="B1337" s="17" t="str">
        <f>IF('01_Rohdaten'!A1337="","",'01_Rohdaten'!A1337)</f>
        <v/>
      </c>
      <c r="C1337" s="17" t="str">
        <f>IF(B1337="","",INDEX('01_Rohdaten'!B1337:D1337,'02_Eingaben'!$C$13))</f>
        <v/>
      </c>
      <c r="D1337" s="17" t="str">
        <f>IF(C1337="","",C1337*'02_Eingaben'!$C$15)</f>
        <v/>
      </c>
      <c r="E1337" s="17" t="str">
        <f>IF(D1337="","",D1337*'02_Eingaben'!$C$8)</f>
        <v/>
      </c>
      <c r="F1337" s="17" t="str">
        <f>IF(E1337="","",AVERAGE(INDEX($E$2:$E$3001,MAX(1,ROW()-1-'02_Eingaben'!$C$17)):INDEX($E$2:$E$3001,MIN('02_Eingaben'!$C$21,ROW()-1+'02_Eingaben'!$C$17))))</f>
        <v/>
      </c>
      <c r="G1337" s="17" t="str">
        <f>IF(F1337="","",F1337-'02_Eingaben'!$C$10)</f>
        <v/>
      </c>
      <c r="H1337" t="str">
        <f>IF(F1337="","",IF(F1337&lt;'02_Eingaben'!$C$18*'02_Eingaben'!$C$10,1,0))</f>
        <v/>
      </c>
      <c r="I1337" s="17" t="str">
        <f t="shared" si="20"/>
        <v/>
      </c>
      <c r="J1337" s="17" t="str">
        <f>IF(B1337="","",IF(B1336&lt;'02_Eingaben'!$C$36,0,J1336+I1336/'02_Eingaben'!$C$8))</f>
        <v/>
      </c>
    </row>
    <row r="1338" spans="1:10" x14ac:dyDescent="0.25">
      <c r="A1338" t="str">
        <f>IF('01_Rohdaten'!A1338="","",ROW()-1)</f>
        <v/>
      </c>
      <c r="B1338" s="17" t="str">
        <f>IF('01_Rohdaten'!A1338="","",'01_Rohdaten'!A1338)</f>
        <v/>
      </c>
      <c r="C1338" s="17" t="str">
        <f>IF(B1338="","",INDEX('01_Rohdaten'!B1338:D1338,'02_Eingaben'!$C$13))</f>
        <v/>
      </c>
      <c r="D1338" s="17" t="str">
        <f>IF(C1338="","",C1338*'02_Eingaben'!$C$15)</f>
        <v/>
      </c>
      <c r="E1338" s="17" t="str">
        <f>IF(D1338="","",D1338*'02_Eingaben'!$C$8)</f>
        <v/>
      </c>
      <c r="F1338" s="17" t="str">
        <f>IF(E1338="","",AVERAGE(INDEX($E$2:$E$3001,MAX(1,ROW()-1-'02_Eingaben'!$C$17)):INDEX($E$2:$E$3001,MIN('02_Eingaben'!$C$21,ROW()-1+'02_Eingaben'!$C$17))))</f>
        <v/>
      </c>
      <c r="G1338" s="17" t="str">
        <f>IF(F1338="","",F1338-'02_Eingaben'!$C$10)</f>
        <v/>
      </c>
      <c r="H1338" t="str">
        <f>IF(F1338="","",IF(F1338&lt;'02_Eingaben'!$C$18*'02_Eingaben'!$C$10,1,0))</f>
        <v/>
      </c>
      <c r="I1338" s="17" t="str">
        <f t="shared" si="20"/>
        <v/>
      </c>
      <c r="J1338" s="17" t="str">
        <f>IF(B1338="","",IF(B1337&lt;'02_Eingaben'!$C$36,0,J1337+I1337/'02_Eingaben'!$C$8))</f>
        <v/>
      </c>
    </row>
    <row r="1339" spans="1:10" x14ac:dyDescent="0.25">
      <c r="A1339" t="str">
        <f>IF('01_Rohdaten'!A1339="","",ROW()-1)</f>
        <v/>
      </c>
      <c r="B1339" s="17" t="str">
        <f>IF('01_Rohdaten'!A1339="","",'01_Rohdaten'!A1339)</f>
        <v/>
      </c>
      <c r="C1339" s="17" t="str">
        <f>IF(B1339="","",INDEX('01_Rohdaten'!B1339:D1339,'02_Eingaben'!$C$13))</f>
        <v/>
      </c>
      <c r="D1339" s="17" t="str">
        <f>IF(C1339="","",C1339*'02_Eingaben'!$C$15)</f>
        <v/>
      </c>
      <c r="E1339" s="17" t="str">
        <f>IF(D1339="","",D1339*'02_Eingaben'!$C$8)</f>
        <v/>
      </c>
      <c r="F1339" s="17" t="str">
        <f>IF(E1339="","",AVERAGE(INDEX($E$2:$E$3001,MAX(1,ROW()-1-'02_Eingaben'!$C$17)):INDEX($E$2:$E$3001,MIN('02_Eingaben'!$C$21,ROW()-1+'02_Eingaben'!$C$17))))</f>
        <v/>
      </c>
      <c r="G1339" s="17" t="str">
        <f>IF(F1339="","",F1339-'02_Eingaben'!$C$10)</f>
        <v/>
      </c>
      <c r="H1339" t="str">
        <f>IF(F1339="","",IF(F1339&lt;'02_Eingaben'!$C$18*'02_Eingaben'!$C$10,1,0))</f>
        <v/>
      </c>
      <c r="I1339" s="17" t="str">
        <f t="shared" si="20"/>
        <v/>
      </c>
      <c r="J1339" s="17" t="str">
        <f>IF(B1339="","",IF(B1338&lt;'02_Eingaben'!$C$36,0,J1338+I1338/'02_Eingaben'!$C$8))</f>
        <v/>
      </c>
    </row>
    <row r="1340" spans="1:10" x14ac:dyDescent="0.25">
      <c r="A1340" t="str">
        <f>IF('01_Rohdaten'!A1340="","",ROW()-1)</f>
        <v/>
      </c>
      <c r="B1340" s="17" t="str">
        <f>IF('01_Rohdaten'!A1340="","",'01_Rohdaten'!A1340)</f>
        <v/>
      </c>
      <c r="C1340" s="17" t="str">
        <f>IF(B1340="","",INDEX('01_Rohdaten'!B1340:D1340,'02_Eingaben'!$C$13))</f>
        <v/>
      </c>
      <c r="D1340" s="17" t="str">
        <f>IF(C1340="","",C1340*'02_Eingaben'!$C$15)</f>
        <v/>
      </c>
      <c r="E1340" s="17" t="str">
        <f>IF(D1340="","",D1340*'02_Eingaben'!$C$8)</f>
        <v/>
      </c>
      <c r="F1340" s="17" t="str">
        <f>IF(E1340="","",AVERAGE(INDEX($E$2:$E$3001,MAX(1,ROW()-1-'02_Eingaben'!$C$17)):INDEX($E$2:$E$3001,MIN('02_Eingaben'!$C$21,ROW()-1+'02_Eingaben'!$C$17))))</f>
        <v/>
      </c>
      <c r="G1340" s="17" t="str">
        <f>IF(F1340="","",F1340-'02_Eingaben'!$C$10)</f>
        <v/>
      </c>
      <c r="H1340" t="str">
        <f>IF(F1340="","",IF(F1340&lt;'02_Eingaben'!$C$18*'02_Eingaben'!$C$10,1,0))</f>
        <v/>
      </c>
      <c r="I1340" s="17" t="str">
        <f t="shared" si="20"/>
        <v/>
      </c>
      <c r="J1340" s="17" t="str">
        <f>IF(B1340="","",IF(B1339&lt;'02_Eingaben'!$C$36,0,J1339+I1339/'02_Eingaben'!$C$8))</f>
        <v/>
      </c>
    </row>
    <row r="1341" spans="1:10" x14ac:dyDescent="0.25">
      <c r="A1341" t="str">
        <f>IF('01_Rohdaten'!A1341="","",ROW()-1)</f>
        <v/>
      </c>
      <c r="B1341" s="17" t="str">
        <f>IF('01_Rohdaten'!A1341="","",'01_Rohdaten'!A1341)</f>
        <v/>
      </c>
      <c r="C1341" s="17" t="str">
        <f>IF(B1341="","",INDEX('01_Rohdaten'!B1341:D1341,'02_Eingaben'!$C$13))</f>
        <v/>
      </c>
      <c r="D1341" s="17" t="str">
        <f>IF(C1341="","",C1341*'02_Eingaben'!$C$15)</f>
        <v/>
      </c>
      <c r="E1341" s="17" t="str">
        <f>IF(D1341="","",D1341*'02_Eingaben'!$C$8)</f>
        <v/>
      </c>
      <c r="F1341" s="17" t="str">
        <f>IF(E1341="","",AVERAGE(INDEX($E$2:$E$3001,MAX(1,ROW()-1-'02_Eingaben'!$C$17)):INDEX($E$2:$E$3001,MIN('02_Eingaben'!$C$21,ROW()-1+'02_Eingaben'!$C$17))))</f>
        <v/>
      </c>
      <c r="G1341" s="17" t="str">
        <f>IF(F1341="","",F1341-'02_Eingaben'!$C$10)</f>
        <v/>
      </c>
      <c r="H1341" t="str">
        <f>IF(F1341="","",IF(F1341&lt;'02_Eingaben'!$C$18*'02_Eingaben'!$C$10,1,0))</f>
        <v/>
      </c>
      <c r="I1341" s="17" t="str">
        <f t="shared" si="20"/>
        <v/>
      </c>
      <c r="J1341" s="17" t="str">
        <f>IF(B1341="","",IF(B1340&lt;'02_Eingaben'!$C$36,0,J1340+I1340/'02_Eingaben'!$C$8))</f>
        <v/>
      </c>
    </row>
    <row r="1342" spans="1:10" x14ac:dyDescent="0.25">
      <c r="A1342" t="str">
        <f>IF('01_Rohdaten'!A1342="","",ROW()-1)</f>
        <v/>
      </c>
      <c r="B1342" s="17" t="str">
        <f>IF('01_Rohdaten'!A1342="","",'01_Rohdaten'!A1342)</f>
        <v/>
      </c>
      <c r="C1342" s="17" t="str">
        <f>IF(B1342="","",INDEX('01_Rohdaten'!B1342:D1342,'02_Eingaben'!$C$13))</f>
        <v/>
      </c>
      <c r="D1342" s="17" t="str">
        <f>IF(C1342="","",C1342*'02_Eingaben'!$C$15)</f>
        <v/>
      </c>
      <c r="E1342" s="17" t="str">
        <f>IF(D1342="","",D1342*'02_Eingaben'!$C$8)</f>
        <v/>
      </c>
      <c r="F1342" s="17" t="str">
        <f>IF(E1342="","",AVERAGE(INDEX($E$2:$E$3001,MAX(1,ROW()-1-'02_Eingaben'!$C$17)):INDEX($E$2:$E$3001,MIN('02_Eingaben'!$C$21,ROW()-1+'02_Eingaben'!$C$17))))</f>
        <v/>
      </c>
      <c r="G1342" s="17" t="str">
        <f>IF(F1342="","",F1342-'02_Eingaben'!$C$10)</f>
        <v/>
      </c>
      <c r="H1342" t="str">
        <f>IF(F1342="","",IF(F1342&lt;'02_Eingaben'!$C$18*'02_Eingaben'!$C$10,1,0))</f>
        <v/>
      </c>
      <c r="I1342" s="17" t="str">
        <f t="shared" si="20"/>
        <v/>
      </c>
      <c r="J1342" s="17" t="str">
        <f>IF(B1342="","",IF(B1341&lt;'02_Eingaben'!$C$36,0,J1341+I1341/'02_Eingaben'!$C$8))</f>
        <v/>
      </c>
    </row>
    <row r="1343" spans="1:10" x14ac:dyDescent="0.25">
      <c r="A1343" t="str">
        <f>IF('01_Rohdaten'!A1343="","",ROW()-1)</f>
        <v/>
      </c>
      <c r="B1343" s="17" t="str">
        <f>IF('01_Rohdaten'!A1343="","",'01_Rohdaten'!A1343)</f>
        <v/>
      </c>
      <c r="C1343" s="17" t="str">
        <f>IF(B1343="","",INDEX('01_Rohdaten'!B1343:D1343,'02_Eingaben'!$C$13))</f>
        <v/>
      </c>
      <c r="D1343" s="17" t="str">
        <f>IF(C1343="","",C1343*'02_Eingaben'!$C$15)</f>
        <v/>
      </c>
      <c r="E1343" s="17" t="str">
        <f>IF(D1343="","",D1343*'02_Eingaben'!$C$8)</f>
        <v/>
      </c>
      <c r="F1343" s="17" t="str">
        <f>IF(E1343="","",AVERAGE(INDEX($E$2:$E$3001,MAX(1,ROW()-1-'02_Eingaben'!$C$17)):INDEX($E$2:$E$3001,MIN('02_Eingaben'!$C$21,ROW()-1+'02_Eingaben'!$C$17))))</f>
        <v/>
      </c>
      <c r="G1343" s="17" t="str">
        <f>IF(F1343="","",F1343-'02_Eingaben'!$C$10)</f>
        <v/>
      </c>
      <c r="H1343" t="str">
        <f>IF(F1343="","",IF(F1343&lt;'02_Eingaben'!$C$18*'02_Eingaben'!$C$10,1,0))</f>
        <v/>
      </c>
      <c r="I1343" s="17" t="str">
        <f t="shared" si="20"/>
        <v/>
      </c>
      <c r="J1343" s="17" t="str">
        <f>IF(B1343="","",IF(B1342&lt;'02_Eingaben'!$C$36,0,J1342+I1342/'02_Eingaben'!$C$8))</f>
        <v/>
      </c>
    </row>
    <row r="1344" spans="1:10" x14ac:dyDescent="0.25">
      <c r="A1344" t="str">
        <f>IF('01_Rohdaten'!A1344="","",ROW()-1)</f>
        <v/>
      </c>
      <c r="B1344" s="17" t="str">
        <f>IF('01_Rohdaten'!A1344="","",'01_Rohdaten'!A1344)</f>
        <v/>
      </c>
      <c r="C1344" s="17" t="str">
        <f>IF(B1344="","",INDEX('01_Rohdaten'!B1344:D1344,'02_Eingaben'!$C$13))</f>
        <v/>
      </c>
      <c r="D1344" s="17" t="str">
        <f>IF(C1344="","",C1344*'02_Eingaben'!$C$15)</f>
        <v/>
      </c>
      <c r="E1344" s="17" t="str">
        <f>IF(D1344="","",D1344*'02_Eingaben'!$C$8)</f>
        <v/>
      </c>
      <c r="F1344" s="17" t="str">
        <f>IF(E1344="","",AVERAGE(INDEX($E$2:$E$3001,MAX(1,ROW()-1-'02_Eingaben'!$C$17)):INDEX($E$2:$E$3001,MIN('02_Eingaben'!$C$21,ROW()-1+'02_Eingaben'!$C$17))))</f>
        <v/>
      </c>
      <c r="G1344" s="17" t="str">
        <f>IF(F1344="","",F1344-'02_Eingaben'!$C$10)</f>
        <v/>
      </c>
      <c r="H1344" t="str">
        <f>IF(F1344="","",IF(F1344&lt;'02_Eingaben'!$C$18*'02_Eingaben'!$C$10,1,0))</f>
        <v/>
      </c>
      <c r="I1344" s="17" t="str">
        <f t="shared" si="20"/>
        <v/>
      </c>
      <c r="J1344" s="17" t="str">
        <f>IF(B1344="","",IF(B1343&lt;'02_Eingaben'!$C$36,0,J1343+I1343/'02_Eingaben'!$C$8))</f>
        <v/>
      </c>
    </row>
    <row r="1345" spans="1:10" x14ac:dyDescent="0.25">
      <c r="A1345" t="str">
        <f>IF('01_Rohdaten'!A1345="","",ROW()-1)</f>
        <v/>
      </c>
      <c r="B1345" s="17" t="str">
        <f>IF('01_Rohdaten'!A1345="","",'01_Rohdaten'!A1345)</f>
        <v/>
      </c>
      <c r="C1345" s="17" t="str">
        <f>IF(B1345="","",INDEX('01_Rohdaten'!B1345:D1345,'02_Eingaben'!$C$13))</f>
        <v/>
      </c>
      <c r="D1345" s="17" t="str">
        <f>IF(C1345="","",C1345*'02_Eingaben'!$C$15)</f>
        <v/>
      </c>
      <c r="E1345" s="17" t="str">
        <f>IF(D1345="","",D1345*'02_Eingaben'!$C$8)</f>
        <v/>
      </c>
      <c r="F1345" s="17" t="str">
        <f>IF(E1345="","",AVERAGE(INDEX($E$2:$E$3001,MAX(1,ROW()-1-'02_Eingaben'!$C$17)):INDEX($E$2:$E$3001,MIN('02_Eingaben'!$C$21,ROW()-1+'02_Eingaben'!$C$17))))</f>
        <v/>
      </c>
      <c r="G1345" s="17" t="str">
        <f>IF(F1345="","",F1345-'02_Eingaben'!$C$10)</f>
        <v/>
      </c>
      <c r="H1345" t="str">
        <f>IF(F1345="","",IF(F1345&lt;'02_Eingaben'!$C$18*'02_Eingaben'!$C$10,1,0))</f>
        <v/>
      </c>
      <c r="I1345" s="17" t="str">
        <f t="shared" si="20"/>
        <v/>
      </c>
      <c r="J1345" s="17" t="str">
        <f>IF(B1345="","",IF(B1344&lt;'02_Eingaben'!$C$36,0,J1344+I1344/'02_Eingaben'!$C$8))</f>
        <v/>
      </c>
    </row>
    <row r="1346" spans="1:10" x14ac:dyDescent="0.25">
      <c r="A1346" t="str">
        <f>IF('01_Rohdaten'!A1346="","",ROW()-1)</f>
        <v/>
      </c>
      <c r="B1346" s="17" t="str">
        <f>IF('01_Rohdaten'!A1346="","",'01_Rohdaten'!A1346)</f>
        <v/>
      </c>
      <c r="C1346" s="17" t="str">
        <f>IF(B1346="","",INDEX('01_Rohdaten'!B1346:D1346,'02_Eingaben'!$C$13))</f>
        <v/>
      </c>
      <c r="D1346" s="17" t="str">
        <f>IF(C1346="","",C1346*'02_Eingaben'!$C$15)</f>
        <v/>
      </c>
      <c r="E1346" s="17" t="str">
        <f>IF(D1346="","",D1346*'02_Eingaben'!$C$8)</f>
        <v/>
      </c>
      <c r="F1346" s="17" t="str">
        <f>IF(E1346="","",AVERAGE(INDEX($E$2:$E$3001,MAX(1,ROW()-1-'02_Eingaben'!$C$17)):INDEX($E$2:$E$3001,MIN('02_Eingaben'!$C$21,ROW()-1+'02_Eingaben'!$C$17))))</f>
        <v/>
      </c>
      <c r="G1346" s="17" t="str">
        <f>IF(F1346="","",F1346-'02_Eingaben'!$C$10)</f>
        <v/>
      </c>
      <c r="H1346" t="str">
        <f>IF(F1346="","",IF(F1346&lt;'02_Eingaben'!$C$18*'02_Eingaben'!$C$10,1,0))</f>
        <v/>
      </c>
      <c r="I1346" s="17" t="str">
        <f t="shared" ref="I1346:I1409" si="21">IF(OR(G1346="",G1347=""),"",(G1346+G1347)/2*(B1347-B1346))</f>
        <v/>
      </c>
      <c r="J1346" s="17" t="str">
        <f>IF(B1346="","",IF(B1345&lt;'02_Eingaben'!$C$36,0,J1345+I1345/'02_Eingaben'!$C$8))</f>
        <v/>
      </c>
    </row>
    <row r="1347" spans="1:10" x14ac:dyDescent="0.25">
      <c r="A1347" t="str">
        <f>IF('01_Rohdaten'!A1347="","",ROW()-1)</f>
        <v/>
      </c>
      <c r="B1347" s="17" t="str">
        <f>IF('01_Rohdaten'!A1347="","",'01_Rohdaten'!A1347)</f>
        <v/>
      </c>
      <c r="C1347" s="17" t="str">
        <f>IF(B1347="","",INDEX('01_Rohdaten'!B1347:D1347,'02_Eingaben'!$C$13))</f>
        <v/>
      </c>
      <c r="D1347" s="17" t="str">
        <f>IF(C1347="","",C1347*'02_Eingaben'!$C$15)</f>
        <v/>
      </c>
      <c r="E1347" s="17" t="str">
        <f>IF(D1347="","",D1347*'02_Eingaben'!$C$8)</f>
        <v/>
      </c>
      <c r="F1347" s="17" t="str">
        <f>IF(E1347="","",AVERAGE(INDEX($E$2:$E$3001,MAX(1,ROW()-1-'02_Eingaben'!$C$17)):INDEX($E$2:$E$3001,MIN('02_Eingaben'!$C$21,ROW()-1+'02_Eingaben'!$C$17))))</f>
        <v/>
      </c>
      <c r="G1347" s="17" t="str">
        <f>IF(F1347="","",F1347-'02_Eingaben'!$C$10)</f>
        <v/>
      </c>
      <c r="H1347" t="str">
        <f>IF(F1347="","",IF(F1347&lt;'02_Eingaben'!$C$18*'02_Eingaben'!$C$10,1,0))</f>
        <v/>
      </c>
      <c r="I1347" s="17" t="str">
        <f t="shared" si="21"/>
        <v/>
      </c>
      <c r="J1347" s="17" t="str">
        <f>IF(B1347="","",IF(B1346&lt;'02_Eingaben'!$C$36,0,J1346+I1346/'02_Eingaben'!$C$8))</f>
        <v/>
      </c>
    </row>
    <row r="1348" spans="1:10" x14ac:dyDescent="0.25">
      <c r="A1348" t="str">
        <f>IF('01_Rohdaten'!A1348="","",ROW()-1)</f>
        <v/>
      </c>
      <c r="B1348" s="17" t="str">
        <f>IF('01_Rohdaten'!A1348="","",'01_Rohdaten'!A1348)</f>
        <v/>
      </c>
      <c r="C1348" s="17" t="str">
        <f>IF(B1348="","",INDEX('01_Rohdaten'!B1348:D1348,'02_Eingaben'!$C$13))</f>
        <v/>
      </c>
      <c r="D1348" s="17" t="str">
        <f>IF(C1348="","",C1348*'02_Eingaben'!$C$15)</f>
        <v/>
      </c>
      <c r="E1348" s="17" t="str">
        <f>IF(D1348="","",D1348*'02_Eingaben'!$C$8)</f>
        <v/>
      </c>
      <c r="F1348" s="17" t="str">
        <f>IF(E1348="","",AVERAGE(INDEX($E$2:$E$3001,MAX(1,ROW()-1-'02_Eingaben'!$C$17)):INDEX($E$2:$E$3001,MIN('02_Eingaben'!$C$21,ROW()-1+'02_Eingaben'!$C$17))))</f>
        <v/>
      </c>
      <c r="G1348" s="17" t="str">
        <f>IF(F1348="","",F1348-'02_Eingaben'!$C$10)</f>
        <v/>
      </c>
      <c r="H1348" t="str">
        <f>IF(F1348="","",IF(F1348&lt;'02_Eingaben'!$C$18*'02_Eingaben'!$C$10,1,0))</f>
        <v/>
      </c>
      <c r="I1348" s="17" t="str">
        <f t="shared" si="21"/>
        <v/>
      </c>
      <c r="J1348" s="17" t="str">
        <f>IF(B1348="","",IF(B1347&lt;'02_Eingaben'!$C$36,0,J1347+I1347/'02_Eingaben'!$C$8))</f>
        <v/>
      </c>
    </row>
    <row r="1349" spans="1:10" x14ac:dyDescent="0.25">
      <c r="A1349" t="str">
        <f>IF('01_Rohdaten'!A1349="","",ROW()-1)</f>
        <v/>
      </c>
      <c r="B1349" s="17" t="str">
        <f>IF('01_Rohdaten'!A1349="","",'01_Rohdaten'!A1349)</f>
        <v/>
      </c>
      <c r="C1349" s="17" t="str">
        <f>IF(B1349="","",INDEX('01_Rohdaten'!B1349:D1349,'02_Eingaben'!$C$13))</f>
        <v/>
      </c>
      <c r="D1349" s="17" t="str">
        <f>IF(C1349="","",C1349*'02_Eingaben'!$C$15)</f>
        <v/>
      </c>
      <c r="E1349" s="17" t="str">
        <f>IF(D1349="","",D1349*'02_Eingaben'!$C$8)</f>
        <v/>
      </c>
      <c r="F1349" s="17" t="str">
        <f>IF(E1349="","",AVERAGE(INDEX($E$2:$E$3001,MAX(1,ROW()-1-'02_Eingaben'!$C$17)):INDEX($E$2:$E$3001,MIN('02_Eingaben'!$C$21,ROW()-1+'02_Eingaben'!$C$17))))</f>
        <v/>
      </c>
      <c r="G1349" s="17" t="str">
        <f>IF(F1349="","",F1349-'02_Eingaben'!$C$10)</f>
        <v/>
      </c>
      <c r="H1349" t="str">
        <f>IF(F1349="","",IF(F1349&lt;'02_Eingaben'!$C$18*'02_Eingaben'!$C$10,1,0))</f>
        <v/>
      </c>
      <c r="I1349" s="17" t="str">
        <f t="shared" si="21"/>
        <v/>
      </c>
      <c r="J1349" s="17" t="str">
        <f>IF(B1349="","",IF(B1348&lt;'02_Eingaben'!$C$36,0,J1348+I1348/'02_Eingaben'!$C$8))</f>
        <v/>
      </c>
    </row>
    <row r="1350" spans="1:10" x14ac:dyDescent="0.25">
      <c r="A1350" t="str">
        <f>IF('01_Rohdaten'!A1350="","",ROW()-1)</f>
        <v/>
      </c>
      <c r="B1350" s="17" t="str">
        <f>IF('01_Rohdaten'!A1350="","",'01_Rohdaten'!A1350)</f>
        <v/>
      </c>
      <c r="C1350" s="17" t="str">
        <f>IF(B1350="","",INDEX('01_Rohdaten'!B1350:D1350,'02_Eingaben'!$C$13))</f>
        <v/>
      </c>
      <c r="D1350" s="17" t="str">
        <f>IF(C1350="","",C1350*'02_Eingaben'!$C$15)</f>
        <v/>
      </c>
      <c r="E1350" s="17" t="str">
        <f>IF(D1350="","",D1350*'02_Eingaben'!$C$8)</f>
        <v/>
      </c>
      <c r="F1350" s="17" t="str">
        <f>IF(E1350="","",AVERAGE(INDEX($E$2:$E$3001,MAX(1,ROW()-1-'02_Eingaben'!$C$17)):INDEX($E$2:$E$3001,MIN('02_Eingaben'!$C$21,ROW()-1+'02_Eingaben'!$C$17))))</f>
        <v/>
      </c>
      <c r="G1350" s="17" t="str">
        <f>IF(F1350="","",F1350-'02_Eingaben'!$C$10)</f>
        <v/>
      </c>
      <c r="H1350" t="str">
        <f>IF(F1350="","",IF(F1350&lt;'02_Eingaben'!$C$18*'02_Eingaben'!$C$10,1,0))</f>
        <v/>
      </c>
      <c r="I1350" s="17" t="str">
        <f t="shared" si="21"/>
        <v/>
      </c>
      <c r="J1350" s="17" t="str">
        <f>IF(B1350="","",IF(B1349&lt;'02_Eingaben'!$C$36,0,J1349+I1349/'02_Eingaben'!$C$8))</f>
        <v/>
      </c>
    </row>
    <row r="1351" spans="1:10" x14ac:dyDescent="0.25">
      <c r="A1351" t="str">
        <f>IF('01_Rohdaten'!A1351="","",ROW()-1)</f>
        <v/>
      </c>
      <c r="B1351" s="17" t="str">
        <f>IF('01_Rohdaten'!A1351="","",'01_Rohdaten'!A1351)</f>
        <v/>
      </c>
      <c r="C1351" s="17" t="str">
        <f>IF(B1351="","",INDEX('01_Rohdaten'!B1351:D1351,'02_Eingaben'!$C$13))</f>
        <v/>
      </c>
      <c r="D1351" s="17" t="str">
        <f>IF(C1351="","",C1351*'02_Eingaben'!$C$15)</f>
        <v/>
      </c>
      <c r="E1351" s="17" t="str">
        <f>IF(D1351="","",D1351*'02_Eingaben'!$C$8)</f>
        <v/>
      </c>
      <c r="F1351" s="17" t="str">
        <f>IF(E1351="","",AVERAGE(INDEX($E$2:$E$3001,MAX(1,ROW()-1-'02_Eingaben'!$C$17)):INDEX($E$2:$E$3001,MIN('02_Eingaben'!$C$21,ROW()-1+'02_Eingaben'!$C$17))))</f>
        <v/>
      </c>
      <c r="G1351" s="17" t="str">
        <f>IF(F1351="","",F1351-'02_Eingaben'!$C$10)</f>
        <v/>
      </c>
      <c r="H1351" t="str">
        <f>IF(F1351="","",IF(F1351&lt;'02_Eingaben'!$C$18*'02_Eingaben'!$C$10,1,0))</f>
        <v/>
      </c>
      <c r="I1351" s="17" t="str">
        <f t="shared" si="21"/>
        <v/>
      </c>
      <c r="J1351" s="17" t="str">
        <f>IF(B1351="","",IF(B1350&lt;'02_Eingaben'!$C$36,0,J1350+I1350/'02_Eingaben'!$C$8))</f>
        <v/>
      </c>
    </row>
    <row r="1352" spans="1:10" x14ac:dyDescent="0.25">
      <c r="A1352" t="str">
        <f>IF('01_Rohdaten'!A1352="","",ROW()-1)</f>
        <v/>
      </c>
      <c r="B1352" s="17" t="str">
        <f>IF('01_Rohdaten'!A1352="","",'01_Rohdaten'!A1352)</f>
        <v/>
      </c>
      <c r="C1352" s="17" t="str">
        <f>IF(B1352="","",INDEX('01_Rohdaten'!B1352:D1352,'02_Eingaben'!$C$13))</f>
        <v/>
      </c>
      <c r="D1352" s="17" t="str">
        <f>IF(C1352="","",C1352*'02_Eingaben'!$C$15)</f>
        <v/>
      </c>
      <c r="E1352" s="17" t="str">
        <f>IF(D1352="","",D1352*'02_Eingaben'!$C$8)</f>
        <v/>
      </c>
      <c r="F1352" s="17" t="str">
        <f>IF(E1352="","",AVERAGE(INDEX($E$2:$E$3001,MAX(1,ROW()-1-'02_Eingaben'!$C$17)):INDEX($E$2:$E$3001,MIN('02_Eingaben'!$C$21,ROW()-1+'02_Eingaben'!$C$17))))</f>
        <v/>
      </c>
      <c r="G1352" s="17" t="str">
        <f>IF(F1352="","",F1352-'02_Eingaben'!$C$10)</f>
        <v/>
      </c>
      <c r="H1352" t="str">
        <f>IF(F1352="","",IF(F1352&lt;'02_Eingaben'!$C$18*'02_Eingaben'!$C$10,1,0))</f>
        <v/>
      </c>
      <c r="I1352" s="17" t="str">
        <f t="shared" si="21"/>
        <v/>
      </c>
      <c r="J1352" s="17" t="str">
        <f>IF(B1352="","",IF(B1351&lt;'02_Eingaben'!$C$36,0,J1351+I1351/'02_Eingaben'!$C$8))</f>
        <v/>
      </c>
    </row>
    <row r="1353" spans="1:10" x14ac:dyDescent="0.25">
      <c r="A1353" t="str">
        <f>IF('01_Rohdaten'!A1353="","",ROW()-1)</f>
        <v/>
      </c>
      <c r="B1353" s="17" t="str">
        <f>IF('01_Rohdaten'!A1353="","",'01_Rohdaten'!A1353)</f>
        <v/>
      </c>
      <c r="C1353" s="17" t="str">
        <f>IF(B1353="","",INDEX('01_Rohdaten'!B1353:D1353,'02_Eingaben'!$C$13))</f>
        <v/>
      </c>
      <c r="D1353" s="17" t="str">
        <f>IF(C1353="","",C1353*'02_Eingaben'!$C$15)</f>
        <v/>
      </c>
      <c r="E1353" s="17" t="str">
        <f>IF(D1353="","",D1353*'02_Eingaben'!$C$8)</f>
        <v/>
      </c>
      <c r="F1353" s="17" t="str">
        <f>IF(E1353="","",AVERAGE(INDEX($E$2:$E$3001,MAX(1,ROW()-1-'02_Eingaben'!$C$17)):INDEX($E$2:$E$3001,MIN('02_Eingaben'!$C$21,ROW()-1+'02_Eingaben'!$C$17))))</f>
        <v/>
      </c>
      <c r="G1353" s="17" t="str">
        <f>IF(F1353="","",F1353-'02_Eingaben'!$C$10)</f>
        <v/>
      </c>
      <c r="H1353" t="str">
        <f>IF(F1353="","",IF(F1353&lt;'02_Eingaben'!$C$18*'02_Eingaben'!$C$10,1,0))</f>
        <v/>
      </c>
      <c r="I1353" s="17" t="str">
        <f t="shared" si="21"/>
        <v/>
      </c>
      <c r="J1353" s="17" t="str">
        <f>IF(B1353="","",IF(B1352&lt;'02_Eingaben'!$C$36,0,J1352+I1352/'02_Eingaben'!$C$8))</f>
        <v/>
      </c>
    </row>
    <row r="1354" spans="1:10" x14ac:dyDescent="0.25">
      <c r="A1354" t="str">
        <f>IF('01_Rohdaten'!A1354="","",ROW()-1)</f>
        <v/>
      </c>
      <c r="B1354" s="17" t="str">
        <f>IF('01_Rohdaten'!A1354="","",'01_Rohdaten'!A1354)</f>
        <v/>
      </c>
      <c r="C1354" s="17" t="str">
        <f>IF(B1354="","",INDEX('01_Rohdaten'!B1354:D1354,'02_Eingaben'!$C$13))</f>
        <v/>
      </c>
      <c r="D1354" s="17" t="str">
        <f>IF(C1354="","",C1354*'02_Eingaben'!$C$15)</f>
        <v/>
      </c>
      <c r="E1354" s="17" t="str">
        <f>IF(D1354="","",D1354*'02_Eingaben'!$C$8)</f>
        <v/>
      </c>
      <c r="F1354" s="17" t="str">
        <f>IF(E1354="","",AVERAGE(INDEX($E$2:$E$3001,MAX(1,ROW()-1-'02_Eingaben'!$C$17)):INDEX($E$2:$E$3001,MIN('02_Eingaben'!$C$21,ROW()-1+'02_Eingaben'!$C$17))))</f>
        <v/>
      </c>
      <c r="G1354" s="17" t="str">
        <f>IF(F1354="","",F1354-'02_Eingaben'!$C$10)</f>
        <v/>
      </c>
      <c r="H1354" t="str">
        <f>IF(F1354="","",IF(F1354&lt;'02_Eingaben'!$C$18*'02_Eingaben'!$C$10,1,0))</f>
        <v/>
      </c>
      <c r="I1354" s="17" t="str">
        <f t="shared" si="21"/>
        <v/>
      </c>
      <c r="J1354" s="17" t="str">
        <f>IF(B1354="","",IF(B1353&lt;'02_Eingaben'!$C$36,0,J1353+I1353/'02_Eingaben'!$C$8))</f>
        <v/>
      </c>
    </row>
    <row r="1355" spans="1:10" x14ac:dyDescent="0.25">
      <c r="A1355" t="str">
        <f>IF('01_Rohdaten'!A1355="","",ROW()-1)</f>
        <v/>
      </c>
      <c r="B1355" s="17" t="str">
        <f>IF('01_Rohdaten'!A1355="","",'01_Rohdaten'!A1355)</f>
        <v/>
      </c>
      <c r="C1355" s="17" t="str">
        <f>IF(B1355="","",INDEX('01_Rohdaten'!B1355:D1355,'02_Eingaben'!$C$13))</f>
        <v/>
      </c>
      <c r="D1355" s="17" t="str">
        <f>IF(C1355="","",C1355*'02_Eingaben'!$C$15)</f>
        <v/>
      </c>
      <c r="E1355" s="17" t="str">
        <f>IF(D1355="","",D1355*'02_Eingaben'!$C$8)</f>
        <v/>
      </c>
      <c r="F1355" s="17" t="str">
        <f>IF(E1355="","",AVERAGE(INDEX($E$2:$E$3001,MAX(1,ROW()-1-'02_Eingaben'!$C$17)):INDEX($E$2:$E$3001,MIN('02_Eingaben'!$C$21,ROW()-1+'02_Eingaben'!$C$17))))</f>
        <v/>
      </c>
      <c r="G1355" s="17" t="str">
        <f>IF(F1355="","",F1355-'02_Eingaben'!$C$10)</f>
        <v/>
      </c>
      <c r="H1355" t="str">
        <f>IF(F1355="","",IF(F1355&lt;'02_Eingaben'!$C$18*'02_Eingaben'!$C$10,1,0))</f>
        <v/>
      </c>
      <c r="I1355" s="17" t="str">
        <f t="shared" si="21"/>
        <v/>
      </c>
      <c r="J1355" s="17" t="str">
        <f>IF(B1355="","",IF(B1354&lt;'02_Eingaben'!$C$36,0,J1354+I1354/'02_Eingaben'!$C$8))</f>
        <v/>
      </c>
    </row>
    <row r="1356" spans="1:10" x14ac:dyDescent="0.25">
      <c r="A1356" t="str">
        <f>IF('01_Rohdaten'!A1356="","",ROW()-1)</f>
        <v/>
      </c>
      <c r="B1356" s="17" t="str">
        <f>IF('01_Rohdaten'!A1356="","",'01_Rohdaten'!A1356)</f>
        <v/>
      </c>
      <c r="C1356" s="17" t="str">
        <f>IF(B1356="","",INDEX('01_Rohdaten'!B1356:D1356,'02_Eingaben'!$C$13))</f>
        <v/>
      </c>
      <c r="D1356" s="17" t="str">
        <f>IF(C1356="","",C1356*'02_Eingaben'!$C$15)</f>
        <v/>
      </c>
      <c r="E1356" s="17" t="str">
        <f>IF(D1356="","",D1356*'02_Eingaben'!$C$8)</f>
        <v/>
      </c>
      <c r="F1356" s="17" t="str">
        <f>IF(E1356="","",AVERAGE(INDEX($E$2:$E$3001,MAX(1,ROW()-1-'02_Eingaben'!$C$17)):INDEX($E$2:$E$3001,MIN('02_Eingaben'!$C$21,ROW()-1+'02_Eingaben'!$C$17))))</f>
        <v/>
      </c>
      <c r="G1356" s="17" t="str">
        <f>IF(F1356="","",F1356-'02_Eingaben'!$C$10)</f>
        <v/>
      </c>
      <c r="H1356" t="str">
        <f>IF(F1356="","",IF(F1356&lt;'02_Eingaben'!$C$18*'02_Eingaben'!$C$10,1,0))</f>
        <v/>
      </c>
      <c r="I1356" s="17" t="str">
        <f t="shared" si="21"/>
        <v/>
      </c>
      <c r="J1356" s="17" t="str">
        <f>IF(B1356="","",IF(B1355&lt;'02_Eingaben'!$C$36,0,J1355+I1355/'02_Eingaben'!$C$8))</f>
        <v/>
      </c>
    </row>
    <row r="1357" spans="1:10" x14ac:dyDescent="0.25">
      <c r="A1357" t="str">
        <f>IF('01_Rohdaten'!A1357="","",ROW()-1)</f>
        <v/>
      </c>
      <c r="B1357" s="17" t="str">
        <f>IF('01_Rohdaten'!A1357="","",'01_Rohdaten'!A1357)</f>
        <v/>
      </c>
      <c r="C1357" s="17" t="str">
        <f>IF(B1357="","",INDEX('01_Rohdaten'!B1357:D1357,'02_Eingaben'!$C$13))</f>
        <v/>
      </c>
      <c r="D1357" s="17" t="str">
        <f>IF(C1357="","",C1357*'02_Eingaben'!$C$15)</f>
        <v/>
      </c>
      <c r="E1357" s="17" t="str">
        <f>IF(D1357="","",D1357*'02_Eingaben'!$C$8)</f>
        <v/>
      </c>
      <c r="F1357" s="17" t="str">
        <f>IF(E1357="","",AVERAGE(INDEX($E$2:$E$3001,MAX(1,ROW()-1-'02_Eingaben'!$C$17)):INDEX($E$2:$E$3001,MIN('02_Eingaben'!$C$21,ROW()-1+'02_Eingaben'!$C$17))))</f>
        <v/>
      </c>
      <c r="G1357" s="17" t="str">
        <f>IF(F1357="","",F1357-'02_Eingaben'!$C$10)</f>
        <v/>
      </c>
      <c r="H1357" t="str">
        <f>IF(F1357="","",IF(F1357&lt;'02_Eingaben'!$C$18*'02_Eingaben'!$C$10,1,0))</f>
        <v/>
      </c>
      <c r="I1357" s="17" t="str">
        <f t="shared" si="21"/>
        <v/>
      </c>
      <c r="J1357" s="17" t="str">
        <f>IF(B1357="","",IF(B1356&lt;'02_Eingaben'!$C$36,0,J1356+I1356/'02_Eingaben'!$C$8))</f>
        <v/>
      </c>
    </row>
    <row r="1358" spans="1:10" x14ac:dyDescent="0.25">
      <c r="A1358" t="str">
        <f>IF('01_Rohdaten'!A1358="","",ROW()-1)</f>
        <v/>
      </c>
      <c r="B1358" s="17" t="str">
        <f>IF('01_Rohdaten'!A1358="","",'01_Rohdaten'!A1358)</f>
        <v/>
      </c>
      <c r="C1358" s="17" t="str">
        <f>IF(B1358="","",INDEX('01_Rohdaten'!B1358:D1358,'02_Eingaben'!$C$13))</f>
        <v/>
      </c>
      <c r="D1358" s="17" t="str">
        <f>IF(C1358="","",C1358*'02_Eingaben'!$C$15)</f>
        <v/>
      </c>
      <c r="E1358" s="17" t="str">
        <f>IF(D1358="","",D1358*'02_Eingaben'!$C$8)</f>
        <v/>
      </c>
      <c r="F1358" s="17" t="str">
        <f>IF(E1358="","",AVERAGE(INDEX($E$2:$E$3001,MAX(1,ROW()-1-'02_Eingaben'!$C$17)):INDEX($E$2:$E$3001,MIN('02_Eingaben'!$C$21,ROW()-1+'02_Eingaben'!$C$17))))</f>
        <v/>
      </c>
      <c r="G1358" s="17" t="str">
        <f>IF(F1358="","",F1358-'02_Eingaben'!$C$10)</f>
        <v/>
      </c>
      <c r="H1358" t="str">
        <f>IF(F1358="","",IF(F1358&lt;'02_Eingaben'!$C$18*'02_Eingaben'!$C$10,1,0))</f>
        <v/>
      </c>
      <c r="I1358" s="17" t="str">
        <f t="shared" si="21"/>
        <v/>
      </c>
      <c r="J1358" s="17" t="str">
        <f>IF(B1358="","",IF(B1357&lt;'02_Eingaben'!$C$36,0,J1357+I1357/'02_Eingaben'!$C$8))</f>
        <v/>
      </c>
    </row>
    <row r="1359" spans="1:10" x14ac:dyDescent="0.25">
      <c r="A1359" t="str">
        <f>IF('01_Rohdaten'!A1359="","",ROW()-1)</f>
        <v/>
      </c>
      <c r="B1359" s="17" t="str">
        <f>IF('01_Rohdaten'!A1359="","",'01_Rohdaten'!A1359)</f>
        <v/>
      </c>
      <c r="C1359" s="17" t="str">
        <f>IF(B1359="","",INDEX('01_Rohdaten'!B1359:D1359,'02_Eingaben'!$C$13))</f>
        <v/>
      </c>
      <c r="D1359" s="17" t="str">
        <f>IF(C1359="","",C1359*'02_Eingaben'!$C$15)</f>
        <v/>
      </c>
      <c r="E1359" s="17" t="str">
        <f>IF(D1359="","",D1359*'02_Eingaben'!$C$8)</f>
        <v/>
      </c>
      <c r="F1359" s="17" t="str">
        <f>IF(E1359="","",AVERAGE(INDEX($E$2:$E$3001,MAX(1,ROW()-1-'02_Eingaben'!$C$17)):INDEX($E$2:$E$3001,MIN('02_Eingaben'!$C$21,ROW()-1+'02_Eingaben'!$C$17))))</f>
        <v/>
      </c>
      <c r="G1359" s="17" t="str">
        <f>IF(F1359="","",F1359-'02_Eingaben'!$C$10)</f>
        <v/>
      </c>
      <c r="H1359" t="str">
        <f>IF(F1359="","",IF(F1359&lt;'02_Eingaben'!$C$18*'02_Eingaben'!$C$10,1,0))</f>
        <v/>
      </c>
      <c r="I1359" s="17" t="str">
        <f t="shared" si="21"/>
        <v/>
      </c>
      <c r="J1359" s="17" t="str">
        <f>IF(B1359="","",IF(B1358&lt;'02_Eingaben'!$C$36,0,J1358+I1358/'02_Eingaben'!$C$8))</f>
        <v/>
      </c>
    </row>
    <row r="1360" spans="1:10" x14ac:dyDescent="0.25">
      <c r="A1360" t="str">
        <f>IF('01_Rohdaten'!A1360="","",ROW()-1)</f>
        <v/>
      </c>
      <c r="B1360" s="17" t="str">
        <f>IF('01_Rohdaten'!A1360="","",'01_Rohdaten'!A1360)</f>
        <v/>
      </c>
      <c r="C1360" s="17" t="str">
        <f>IF(B1360="","",INDEX('01_Rohdaten'!B1360:D1360,'02_Eingaben'!$C$13))</f>
        <v/>
      </c>
      <c r="D1360" s="17" t="str">
        <f>IF(C1360="","",C1360*'02_Eingaben'!$C$15)</f>
        <v/>
      </c>
      <c r="E1360" s="17" t="str">
        <f>IF(D1360="","",D1360*'02_Eingaben'!$C$8)</f>
        <v/>
      </c>
      <c r="F1360" s="17" t="str">
        <f>IF(E1360="","",AVERAGE(INDEX($E$2:$E$3001,MAX(1,ROW()-1-'02_Eingaben'!$C$17)):INDEX($E$2:$E$3001,MIN('02_Eingaben'!$C$21,ROW()-1+'02_Eingaben'!$C$17))))</f>
        <v/>
      </c>
      <c r="G1360" s="17" t="str">
        <f>IF(F1360="","",F1360-'02_Eingaben'!$C$10)</f>
        <v/>
      </c>
      <c r="H1360" t="str">
        <f>IF(F1360="","",IF(F1360&lt;'02_Eingaben'!$C$18*'02_Eingaben'!$C$10,1,0))</f>
        <v/>
      </c>
      <c r="I1360" s="17" t="str">
        <f t="shared" si="21"/>
        <v/>
      </c>
      <c r="J1360" s="17" t="str">
        <f>IF(B1360="","",IF(B1359&lt;'02_Eingaben'!$C$36,0,J1359+I1359/'02_Eingaben'!$C$8))</f>
        <v/>
      </c>
    </row>
    <row r="1361" spans="1:10" x14ac:dyDescent="0.25">
      <c r="A1361" t="str">
        <f>IF('01_Rohdaten'!A1361="","",ROW()-1)</f>
        <v/>
      </c>
      <c r="B1361" s="17" t="str">
        <f>IF('01_Rohdaten'!A1361="","",'01_Rohdaten'!A1361)</f>
        <v/>
      </c>
      <c r="C1361" s="17" t="str">
        <f>IF(B1361="","",INDEX('01_Rohdaten'!B1361:D1361,'02_Eingaben'!$C$13))</f>
        <v/>
      </c>
      <c r="D1361" s="17" t="str">
        <f>IF(C1361="","",C1361*'02_Eingaben'!$C$15)</f>
        <v/>
      </c>
      <c r="E1361" s="17" t="str">
        <f>IF(D1361="","",D1361*'02_Eingaben'!$C$8)</f>
        <v/>
      </c>
      <c r="F1361" s="17" t="str">
        <f>IF(E1361="","",AVERAGE(INDEX($E$2:$E$3001,MAX(1,ROW()-1-'02_Eingaben'!$C$17)):INDEX($E$2:$E$3001,MIN('02_Eingaben'!$C$21,ROW()-1+'02_Eingaben'!$C$17))))</f>
        <v/>
      </c>
      <c r="G1361" s="17" t="str">
        <f>IF(F1361="","",F1361-'02_Eingaben'!$C$10)</f>
        <v/>
      </c>
      <c r="H1361" t="str">
        <f>IF(F1361="","",IF(F1361&lt;'02_Eingaben'!$C$18*'02_Eingaben'!$C$10,1,0))</f>
        <v/>
      </c>
      <c r="I1361" s="17" t="str">
        <f t="shared" si="21"/>
        <v/>
      </c>
      <c r="J1361" s="17" t="str">
        <f>IF(B1361="","",IF(B1360&lt;'02_Eingaben'!$C$36,0,J1360+I1360/'02_Eingaben'!$C$8))</f>
        <v/>
      </c>
    </row>
    <row r="1362" spans="1:10" x14ac:dyDescent="0.25">
      <c r="A1362" t="str">
        <f>IF('01_Rohdaten'!A1362="","",ROW()-1)</f>
        <v/>
      </c>
      <c r="B1362" s="17" t="str">
        <f>IF('01_Rohdaten'!A1362="","",'01_Rohdaten'!A1362)</f>
        <v/>
      </c>
      <c r="C1362" s="17" t="str">
        <f>IF(B1362="","",INDEX('01_Rohdaten'!B1362:D1362,'02_Eingaben'!$C$13))</f>
        <v/>
      </c>
      <c r="D1362" s="17" t="str">
        <f>IF(C1362="","",C1362*'02_Eingaben'!$C$15)</f>
        <v/>
      </c>
      <c r="E1362" s="17" t="str">
        <f>IF(D1362="","",D1362*'02_Eingaben'!$C$8)</f>
        <v/>
      </c>
      <c r="F1362" s="17" t="str">
        <f>IF(E1362="","",AVERAGE(INDEX($E$2:$E$3001,MAX(1,ROW()-1-'02_Eingaben'!$C$17)):INDEX($E$2:$E$3001,MIN('02_Eingaben'!$C$21,ROW()-1+'02_Eingaben'!$C$17))))</f>
        <v/>
      </c>
      <c r="G1362" s="17" t="str">
        <f>IF(F1362="","",F1362-'02_Eingaben'!$C$10)</f>
        <v/>
      </c>
      <c r="H1362" t="str">
        <f>IF(F1362="","",IF(F1362&lt;'02_Eingaben'!$C$18*'02_Eingaben'!$C$10,1,0))</f>
        <v/>
      </c>
      <c r="I1362" s="17" t="str">
        <f t="shared" si="21"/>
        <v/>
      </c>
      <c r="J1362" s="17" t="str">
        <f>IF(B1362="","",IF(B1361&lt;'02_Eingaben'!$C$36,0,J1361+I1361/'02_Eingaben'!$C$8))</f>
        <v/>
      </c>
    </row>
    <row r="1363" spans="1:10" x14ac:dyDescent="0.25">
      <c r="A1363" t="str">
        <f>IF('01_Rohdaten'!A1363="","",ROW()-1)</f>
        <v/>
      </c>
      <c r="B1363" s="17" t="str">
        <f>IF('01_Rohdaten'!A1363="","",'01_Rohdaten'!A1363)</f>
        <v/>
      </c>
      <c r="C1363" s="17" t="str">
        <f>IF(B1363="","",INDEX('01_Rohdaten'!B1363:D1363,'02_Eingaben'!$C$13))</f>
        <v/>
      </c>
      <c r="D1363" s="17" t="str">
        <f>IF(C1363="","",C1363*'02_Eingaben'!$C$15)</f>
        <v/>
      </c>
      <c r="E1363" s="17" t="str">
        <f>IF(D1363="","",D1363*'02_Eingaben'!$C$8)</f>
        <v/>
      </c>
      <c r="F1363" s="17" t="str">
        <f>IF(E1363="","",AVERAGE(INDEX($E$2:$E$3001,MAX(1,ROW()-1-'02_Eingaben'!$C$17)):INDEX($E$2:$E$3001,MIN('02_Eingaben'!$C$21,ROW()-1+'02_Eingaben'!$C$17))))</f>
        <v/>
      </c>
      <c r="G1363" s="17" t="str">
        <f>IF(F1363="","",F1363-'02_Eingaben'!$C$10)</f>
        <v/>
      </c>
      <c r="H1363" t="str">
        <f>IF(F1363="","",IF(F1363&lt;'02_Eingaben'!$C$18*'02_Eingaben'!$C$10,1,0))</f>
        <v/>
      </c>
      <c r="I1363" s="17" t="str">
        <f t="shared" si="21"/>
        <v/>
      </c>
      <c r="J1363" s="17" t="str">
        <f>IF(B1363="","",IF(B1362&lt;'02_Eingaben'!$C$36,0,J1362+I1362/'02_Eingaben'!$C$8))</f>
        <v/>
      </c>
    </row>
    <row r="1364" spans="1:10" x14ac:dyDescent="0.25">
      <c r="A1364" t="str">
        <f>IF('01_Rohdaten'!A1364="","",ROW()-1)</f>
        <v/>
      </c>
      <c r="B1364" s="17" t="str">
        <f>IF('01_Rohdaten'!A1364="","",'01_Rohdaten'!A1364)</f>
        <v/>
      </c>
      <c r="C1364" s="17" t="str">
        <f>IF(B1364="","",INDEX('01_Rohdaten'!B1364:D1364,'02_Eingaben'!$C$13))</f>
        <v/>
      </c>
      <c r="D1364" s="17" t="str">
        <f>IF(C1364="","",C1364*'02_Eingaben'!$C$15)</f>
        <v/>
      </c>
      <c r="E1364" s="17" t="str">
        <f>IF(D1364="","",D1364*'02_Eingaben'!$C$8)</f>
        <v/>
      </c>
      <c r="F1364" s="17" t="str">
        <f>IF(E1364="","",AVERAGE(INDEX($E$2:$E$3001,MAX(1,ROW()-1-'02_Eingaben'!$C$17)):INDEX($E$2:$E$3001,MIN('02_Eingaben'!$C$21,ROW()-1+'02_Eingaben'!$C$17))))</f>
        <v/>
      </c>
      <c r="G1364" s="17" t="str">
        <f>IF(F1364="","",F1364-'02_Eingaben'!$C$10)</f>
        <v/>
      </c>
      <c r="H1364" t="str">
        <f>IF(F1364="","",IF(F1364&lt;'02_Eingaben'!$C$18*'02_Eingaben'!$C$10,1,0))</f>
        <v/>
      </c>
      <c r="I1364" s="17" t="str">
        <f t="shared" si="21"/>
        <v/>
      </c>
      <c r="J1364" s="17" t="str">
        <f>IF(B1364="","",IF(B1363&lt;'02_Eingaben'!$C$36,0,J1363+I1363/'02_Eingaben'!$C$8))</f>
        <v/>
      </c>
    </row>
    <row r="1365" spans="1:10" x14ac:dyDescent="0.25">
      <c r="A1365" t="str">
        <f>IF('01_Rohdaten'!A1365="","",ROW()-1)</f>
        <v/>
      </c>
      <c r="B1365" s="17" t="str">
        <f>IF('01_Rohdaten'!A1365="","",'01_Rohdaten'!A1365)</f>
        <v/>
      </c>
      <c r="C1365" s="17" t="str">
        <f>IF(B1365="","",INDEX('01_Rohdaten'!B1365:D1365,'02_Eingaben'!$C$13))</f>
        <v/>
      </c>
      <c r="D1365" s="17" t="str">
        <f>IF(C1365="","",C1365*'02_Eingaben'!$C$15)</f>
        <v/>
      </c>
      <c r="E1365" s="17" t="str">
        <f>IF(D1365="","",D1365*'02_Eingaben'!$C$8)</f>
        <v/>
      </c>
      <c r="F1365" s="17" t="str">
        <f>IF(E1365="","",AVERAGE(INDEX($E$2:$E$3001,MAX(1,ROW()-1-'02_Eingaben'!$C$17)):INDEX($E$2:$E$3001,MIN('02_Eingaben'!$C$21,ROW()-1+'02_Eingaben'!$C$17))))</f>
        <v/>
      </c>
      <c r="G1365" s="17" t="str">
        <f>IF(F1365="","",F1365-'02_Eingaben'!$C$10)</f>
        <v/>
      </c>
      <c r="H1365" t="str">
        <f>IF(F1365="","",IF(F1365&lt;'02_Eingaben'!$C$18*'02_Eingaben'!$C$10,1,0))</f>
        <v/>
      </c>
      <c r="I1365" s="17" t="str">
        <f t="shared" si="21"/>
        <v/>
      </c>
      <c r="J1365" s="17" t="str">
        <f>IF(B1365="","",IF(B1364&lt;'02_Eingaben'!$C$36,0,J1364+I1364/'02_Eingaben'!$C$8))</f>
        <v/>
      </c>
    </row>
    <row r="1366" spans="1:10" x14ac:dyDescent="0.25">
      <c r="A1366" t="str">
        <f>IF('01_Rohdaten'!A1366="","",ROW()-1)</f>
        <v/>
      </c>
      <c r="B1366" s="17" t="str">
        <f>IF('01_Rohdaten'!A1366="","",'01_Rohdaten'!A1366)</f>
        <v/>
      </c>
      <c r="C1366" s="17" t="str">
        <f>IF(B1366="","",INDEX('01_Rohdaten'!B1366:D1366,'02_Eingaben'!$C$13))</f>
        <v/>
      </c>
      <c r="D1366" s="17" t="str">
        <f>IF(C1366="","",C1366*'02_Eingaben'!$C$15)</f>
        <v/>
      </c>
      <c r="E1366" s="17" t="str">
        <f>IF(D1366="","",D1366*'02_Eingaben'!$C$8)</f>
        <v/>
      </c>
      <c r="F1366" s="17" t="str">
        <f>IF(E1366="","",AVERAGE(INDEX($E$2:$E$3001,MAX(1,ROW()-1-'02_Eingaben'!$C$17)):INDEX($E$2:$E$3001,MIN('02_Eingaben'!$C$21,ROW()-1+'02_Eingaben'!$C$17))))</f>
        <v/>
      </c>
      <c r="G1366" s="17" t="str">
        <f>IF(F1366="","",F1366-'02_Eingaben'!$C$10)</f>
        <v/>
      </c>
      <c r="H1366" t="str">
        <f>IF(F1366="","",IF(F1366&lt;'02_Eingaben'!$C$18*'02_Eingaben'!$C$10,1,0))</f>
        <v/>
      </c>
      <c r="I1366" s="17" t="str">
        <f t="shared" si="21"/>
        <v/>
      </c>
      <c r="J1366" s="17" t="str">
        <f>IF(B1366="","",IF(B1365&lt;'02_Eingaben'!$C$36,0,J1365+I1365/'02_Eingaben'!$C$8))</f>
        <v/>
      </c>
    </row>
    <row r="1367" spans="1:10" x14ac:dyDescent="0.25">
      <c r="A1367" t="str">
        <f>IF('01_Rohdaten'!A1367="","",ROW()-1)</f>
        <v/>
      </c>
      <c r="B1367" s="17" t="str">
        <f>IF('01_Rohdaten'!A1367="","",'01_Rohdaten'!A1367)</f>
        <v/>
      </c>
      <c r="C1367" s="17" t="str">
        <f>IF(B1367="","",INDEX('01_Rohdaten'!B1367:D1367,'02_Eingaben'!$C$13))</f>
        <v/>
      </c>
      <c r="D1367" s="17" t="str">
        <f>IF(C1367="","",C1367*'02_Eingaben'!$C$15)</f>
        <v/>
      </c>
      <c r="E1367" s="17" t="str">
        <f>IF(D1367="","",D1367*'02_Eingaben'!$C$8)</f>
        <v/>
      </c>
      <c r="F1367" s="17" t="str">
        <f>IF(E1367="","",AVERAGE(INDEX($E$2:$E$3001,MAX(1,ROW()-1-'02_Eingaben'!$C$17)):INDEX($E$2:$E$3001,MIN('02_Eingaben'!$C$21,ROW()-1+'02_Eingaben'!$C$17))))</f>
        <v/>
      </c>
      <c r="G1367" s="17" t="str">
        <f>IF(F1367="","",F1367-'02_Eingaben'!$C$10)</f>
        <v/>
      </c>
      <c r="H1367" t="str">
        <f>IF(F1367="","",IF(F1367&lt;'02_Eingaben'!$C$18*'02_Eingaben'!$C$10,1,0))</f>
        <v/>
      </c>
      <c r="I1367" s="17" t="str">
        <f t="shared" si="21"/>
        <v/>
      </c>
      <c r="J1367" s="17" t="str">
        <f>IF(B1367="","",IF(B1366&lt;'02_Eingaben'!$C$36,0,J1366+I1366/'02_Eingaben'!$C$8))</f>
        <v/>
      </c>
    </row>
    <row r="1368" spans="1:10" x14ac:dyDescent="0.25">
      <c r="A1368" t="str">
        <f>IF('01_Rohdaten'!A1368="","",ROW()-1)</f>
        <v/>
      </c>
      <c r="B1368" s="17" t="str">
        <f>IF('01_Rohdaten'!A1368="","",'01_Rohdaten'!A1368)</f>
        <v/>
      </c>
      <c r="C1368" s="17" t="str">
        <f>IF(B1368="","",INDEX('01_Rohdaten'!B1368:D1368,'02_Eingaben'!$C$13))</f>
        <v/>
      </c>
      <c r="D1368" s="17" t="str">
        <f>IF(C1368="","",C1368*'02_Eingaben'!$C$15)</f>
        <v/>
      </c>
      <c r="E1368" s="17" t="str">
        <f>IF(D1368="","",D1368*'02_Eingaben'!$C$8)</f>
        <v/>
      </c>
      <c r="F1368" s="17" t="str">
        <f>IF(E1368="","",AVERAGE(INDEX($E$2:$E$3001,MAX(1,ROW()-1-'02_Eingaben'!$C$17)):INDEX($E$2:$E$3001,MIN('02_Eingaben'!$C$21,ROW()-1+'02_Eingaben'!$C$17))))</f>
        <v/>
      </c>
      <c r="G1368" s="17" t="str">
        <f>IF(F1368="","",F1368-'02_Eingaben'!$C$10)</f>
        <v/>
      </c>
      <c r="H1368" t="str">
        <f>IF(F1368="","",IF(F1368&lt;'02_Eingaben'!$C$18*'02_Eingaben'!$C$10,1,0))</f>
        <v/>
      </c>
      <c r="I1368" s="17" t="str">
        <f t="shared" si="21"/>
        <v/>
      </c>
      <c r="J1368" s="17" t="str">
        <f>IF(B1368="","",IF(B1367&lt;'02_Eingaben'!$C$36,0,J1367+I1367/'02_Eingaben'!$C$8))</f>
        <v/>
      </c>
    </row>
    <row r="1369" spans="1:10" x14ac:dyDescent="0.25">
      <c r="A1369" t="str">
        <f>IF('01_Rohdaten'!A1369="","",ROW()-1)</f>
        <v/>
      </c>
      <c r="B1369" s="17" t="str">
        <f>IF('01_Rohdaten'!A1369="","",'01_Rohdaten'!A1369)</f>
        <v/>
      </c>
      <c r="C1369" s="17" t="str">
        <f>IF(B1369="","",INDEX('01_Rohdaten'!B1369:D1369,'02_Eingaben'!$C$13))</f>
        <v/>
      </c>
      <c r="D1369" s="17" t="str">
        <f>IF(C1369="","",C1369*'02_Eingaben'!$C$15)</f>
        <v/>
      </c>
      <c r="E1369" s="17" t="str">
        <f>IF(D1369="","",D1369*'02_Eingaben'!$C$8)</f>
        <v/>
      </c>
      <c r="F1369" s="17" t="str">
        <f>IF(E1369="","",AVERAGE(INDEX($E$2:$E$3001,MAX(1,ROW()-1-'02_Eingaben'!$C$17)):INDEX($E$2:$E$3001,MIN('02_Eingaben'!$C$21,ROW()-1+'02_Eingaben'!$C$17))))</f>
        <v/>
      </c>
      <c r="G1369" s="17" t="str">
        <f>IF(F1369="","",F1369-'02_Eingaben'!$C$10)</f>
        <v/>
      </c>
      <c r="H1369" t="str">
        <f>IF(F1369="","",IF(F1369&lt;'02_Eingaben'!$C$18*'02_Eingaben'!$C$10,1,0))</f>
        <v/>
      </c>
      <c r="I1369" s="17" t="str">
        <f t="shared" si="21"/>
        <v/>
      </c>
      <c r="J1369" s="17" t="str">
        <f>IF(B1369="","",IF(B1368&lt;'02_Eingaben'!$C$36,0,J1368+I1368/'02_Eingaben'!$C$8))</f>
        <v/>
      </c>
    </row>
    <row r="1370" spans="1:10" x14ac:dyDescent="0.25">
      <c r="A1370" t="str">
        <f>IF('01_Rohdaten'!A1370="","",ROW()-1)</f>
        <v/>
      </c>
      <c r="B1370" s="17" t="str">
        <f>IF('01_Rohdaten'!A1370="","",'01_Rohdaten'!A1370)</f>
        <v/>
      </c>
      <c r="C1370" s="17" t="str">
        <f>IF(B1370="","",INDEX('01_Rohdaten'!B1370:D1370,'02_Eingaben'!$C$13))</f>
        <v/>
      </c>
      <c r="D1370" s="17" t="str">
        <f>IF(C1370="","",C1370*'02_Eingaben'!$C$15)</f>
        <v/>
      </c>
      <c r="E1370" s="17" t="str">
        <f>IF(D1370="","",D1370*'02_Eingaben'!$C$8)</f>
        <v/>
      </c>
      <c r="F1370" s="17" t="str">
        <f>IF(E1370="","",AVERAGE(INDEX($E$2:$E$3001,MAX(1,ROW()-1-'02_Eingaben'!$C$17)):INDEX($E$2:$E$3001,MIN('02_Eingaben'!$C$21,ROW()-1+'02_Eingaben'!$C$17))))</f>
        <v/>
      </c>
      <c r="G1370" s="17" t="str">
        <f>IF(F1370="","",F1370-'02_Eingaben'!$C$10)</f>
        <v/>
      </c>
      <c r="H1370" t="str">
        <f>IF(F1370="","",IF(F1370&lt;'02_Eingaben'!$C$18*'02_Eingaben'!$C$10,1,0))</f>
        <v/>
      </c>
      <c r="I1370" s="17" t="str">
        <f t="shared" si="21"/>
        <v/>
      </c>
      <c r="J1370" s="17" t="str">
        <f>IF(B1370="","",IF(B1369&lt;'02_Eingaben'!$C$36,0,J1369+I1369/'02_Eingaben'!$C$8))</f>
        <v/>
      </c>
    </row>
    <row r="1371" spans="1:10" x14ac:dyDescent="0.25">
      <c r="A1371" t="str">
        <f>IF('01_Rohdaten'!A1371="","",ROW()-1)</f>
        <v/>
      </c>
      <c r="B1371" s="17" t="str">
        <f>IF('01_Rohdaten'!A1371="","",'01_Rohdaten'!A1371)</f>
        <v/>
      </c>
      <c r="C1371" s="17" t="str">
        <f>IF(B1371="","",INDEX('01_Rohdaten'!B1371:D1371,'02_Eingaben'!$C$13))</f>
        <v/>
      </c>
      <c r="D1371" s="17" t="str">
        <f>IF(C1371="","",C1371*'02_Eingaben'!$C$15)</f>
        <v/>
      </c>
      <c r="E1371" s="17" t="str">
        <f>IF(D1371="","",D1371*'02_Eingaben'!$C$8)</f>
        <v/>
      </c>
      <c r="F1371" s="17" t="str">
        <f>IF(E1371="","",AVERAGE(INDEX($E$2:$E$3001,MAX(1,ROW()-1-'02_Eingaben'!$C$17)):INDEX($E$2:$E$3001,MIN('02_Eingaben'!$C$21,ROW()-1+'02_Eingaben'!$C$17))))</f>
        <v/>
      </c>
      <c r="G1371" s="17" t="str">
        <f>IF(F1371="","",F1371-'02_Eingaben'!$C$10)</f>
        <v/>
      </c>
      <c r="H1371" t="str">
        <f>IF(F1371="","",IF(F1371&lt;'02_Eingaben'!$C$18*'02_Eingaben'!$C$10,1,0))</f>
        <v/>
      </c>
      <c r="I1371" s="17" t="str">
        <f t="shared" si="21"/>
        <v/>
      </c>
      <c r="J1371" s="17" t="str">
        <f>IF(B1371="","",IF(B1370&lt;'02_Eingaben'!$C$36,0,J1370+I1370/'02_Eingaben'!$C$8))</f>
        <v/>
      </c>
    </row>
    <row r="1372" spans="1:10" x14ac:dyDescent="0.25">
      <c r="A1372" t="str">
        <f>IF('01_Rohdaten'!A1372="","",ROW()-1)</f>
        <v/>
      </c>
      <c r="B1372" s="17" t="str">
        <f>IF('01_Rohdaten'!A1372="","",'01_Rohdaten'!A1372)</f>
        <v/>
      </c>
      <c r="C1372" s="17" t="str">
        <f>IF(B1372="","",INDEX('01_Rohdaten'!B1372:D1372,'02_Eingaben'!$C$13))</f>
        <v/>
      </c>
      <c r="D1372" s="17" t="str">
        <f>IF(C1372="","",C1372*'02_Eingaben'!$C$15)</f>
        <v/>
      </c>
      <c r="E1372" s="17" t="str">
        <f>IF(D1372="","",D1372*'02_Eingaben'!$C$8)</f>
        <v/>
      </c>
      <c r="F1372" s="17" t="str">
        <f>IF(E1372="","",AVERAGE(INDEX($E$2:$E$3001,MAX(1,ROW()-1-'02_Eingaben'!$C$17)):INDEX($E$2:$E$3001,MIN('02_Eingaben'!$C$21,ROW()-1+'02_Eingaben'!$C$17))))</f>
        <v/>
      </c>
      <c r="G1372" s="17" t="str">
        <f>IF(F1372="","",F1372-'02_Eingaben'!$C$10)</f>
        <v/>
      </c>
      <c r="H1372" t="str">
        <f>IF(F1372="","",IF(F1372&lt;'02_Eingaben'!$C$18*'02_Eingaben'!$C$10,1,0))</f>
        <v/>
      </c>
      <c r="I1372" s="17" t="str">
        <f t="shared" si="21"/>
        <v/>
      </c>
      <c r="J1372" s="17" t="str">
        <f>IF(B1372="","",IF(B1371&lt;'02_Eingaben'!$C$36,0,J1371+I1371/'02_Eingaben'!$C$8))</f>
        <v/>
      </c>
    </row>
    <row r="1373" spans="1:10" x14ac:dyDescent="0.25">
      <c r="A1373" t="str">
        <f>IF('01_Rohdaten'!A1373="","",ROW()-1)</f>
        <v/>
      </c>
      <c r="B1373" s="17" t="str">
        <f>IF('01_Rohdaten'!A1373="","",'01_Rohdaten'!A1373)</f>
        <v/>
      </c>
      <c r="C1373" s="17" t="str">
        <f>IF(B1373="","",INDEX('01_Rohdaten'!B1373:D1373,'02_Eingaben'!$C$13))</f>
        <v/>
      </c>
      <c r="D1373" s="17" t="str">
        <f>IF(C1373="","",C1373*'02_Eingaben'!$C$15)</f>
        <v/>
      </c>
      <c r="E1373" s="17" t="str">
        <f>IF(D1373="","",D1373*'02_Eingaben'!$C$8)</f>
        <v/>
      </c>
      <c r="F1373" s="17" t="str">
        <f>IF(E1373="","",AVERAGE(INDEX($E$2:$E$3001,MAX(1,ROW()-1-'02_Eingaben'!$C$17)):INDEX($E$2:$E$3001,MIN('02_Eingaben'!$C$21,ROW()-1+'02_Eingaben'!$C$17))))</f>
        <v/>
      </c>
      <c r="G1373" s="17" t="str">
        <f>IF(F1373="","",F1373-'02_Eingaben'!$C$10)</f>
        <v/>
      </c>
      <c r="H1373" t="str">
        <f>IF(F1373="","",IF(F1373&lt;'02_Eingaben'!$C$18*'02_Eingaben'!$C$10,1,0))</f>
        <v/>
      </c>
      <c r="I1373" s="17" t="str">
        <f t="shared" si="21"/>
        <v/>
      </c>
      <c r="J1373" s="17" t="str">
        <f>IF(B1373="","",IF(B1372&lt;'02_Eingaben'!$C$36,0,J1372+I1372/'02_Eingaben'!$C$8))</f>
        <v/>
      </c>
    </row>
    <row r="1374" spans="1:10" x14ac:dyDescent="0.25">
      <c r="A1374" t="str">
        <f>IF('01_Rohdaten'!A1374="","",ROW()-1)</f>
        <v/>
      </c>
      <c r="B1374" s="17" t="str">
        <f>IF('01_Rohdaten'!A1374="","",'01_Rohdaten'!A1374)</f>
        <v/>
      </c>
      <c r="C1374" s="17" t="str">
        <f>IF(B1374="","",INDEX('01_Rohdaten'!B1374:D1374,'02_Eingaben'!$C$13))</f>
        <v/>
      </c>
      <c r="D1374" s="17" t="str">
        <f>IF(C1374="","",C1374*'02_Eingaben'!$C$15)</f>
        <v/>
      </c>
      <c r="E1374" s="17" t="str">
        <f>IF(D1374="","",D1374*'02_Eingaben'!$C$8)</f>
        <v/>
      </c>
      <c r="F1374" s="17" t="str">
        <f>IF(E1374="","",AVERAGE(INDEX($E$2:$E$3001,MAX(1,ROW()-1-'02_Eingaben'!$C$17)):INDEX($E$2:$E$3001,MIN('02_Eingaben'!$C$21,ROW()-1+'02_Eingaben'!$C$17))))</f>
        <v/>
      </c>
      <c r="G1374" s="17" t="str">
        <f>IF(F1374="","",F1374-'02_Eingaben'!$C$10)</f>
        <v/>
      </c>
      <c r="H1374" t="str">
        <f>IF(F1374="","",IF(F1374&lt;'02_Eingaben'!$C$18*'02_Eingaben'!$C$10,1,0))</f>
        <v/>
      </c>
      <c r="I1374" s="17" t="str">
        <f t="shared" si="21"/>
        <v/>
      </c>
      <c r="J1374" s="17" t="str">
        <f>IF(B1374="","",IF(B1373&lt;'02_Eingaben'!$C$36,0,J1373+I1373/'02_Eingaben'!$C$8))</f>
        <v/>
      </c>
    </row>
    <row r="1375" spans="1:10" x14ac:dyDescent="0.25">
      <c r="A1375" t="str">
        <f>IF('01_Rohdaten'!A1375="","",ROW()-1)</f>
        <v/>
      </c>
      <c r="B1375" s="17" t="str">
        <f>IF('01_Rohdaten'!A1375="","",'01_Rohdaten'!A1375)</f>
        <v/>
      </c>
      <c r="C1375" s="17" t="str">
        <f>IF(B1375="","",INDEX('01_Rohdaten'!B1375:D1375,'02_Eingaben'!$C$13))</f>
        <v/>
      </c>
      <c r="D1375" s="17" t="str">
        <f>IF(C1375="","",C1375*'02_Eingaben'!$C$15)</f>
        <v/>
      </c>
      <c r="E1375" s="17" t="str">
        <f>IF(D1375="","",D1375*'02_Eingaben'!$C$8)</f>
        <v/>
      </c>
      <c r="F1375" s="17" t="str">
        <f>IF(E1375="","",AVERAGE(INDEX($E$2:$E$3001,MAX(1,ROW()-1-'02_Eingaben'!$C$17)):INDEX($E$2:$E$3001,MIN('02_Eingaben'!$C$21,ROW()-1+'02_Eingaben'!$C$17))))</f>
        <v/>
      </c>
      <c r="G1375" s="17" t="str">
        <f>IF(F1375="","",F1375-'02_Eingaben'!$C$10)</f>
        <v/>
      </c>
      <c r="H1375" t="str">
        <f>IF(F1375="","",IF(F1375&lt;'02_Eingaben'!$C$18*'02_Eingaben'!$C$10,1,0))</f>
        <v/>
      </c>
      <c r="I1375" s="17" t="str">
        <f t="shared" si="21"/>
        <v/>
      </c>
      <c r="J1375" s="17" t="str">
        <f>IF(B1375="","",IF(B1374&lt;'02_Eingaben'!$C$36,0,J1374+I1374/'02_Eingaben'!$C$8))</f>
        <v/>
      </c>
    </row>
    <row r="1376" spans="1:10" x14ac:dyDescent="0.25">
      <c r="A1376" t="str">
        <f>IF('01_Rohdaten'!A1376="","",ROW()-1)</f>
        <v/>
      </c>
      <c r="B1376" s="17" t="str">
        <f>IF('01_Rohdaten'!A1376="","",'01_Rohdaten'!A1376)</f>
        <v/>
      </c>
      <c r="C1376" s="17" t="str">
        <f>IF(B1376="","",INDEX('01_Rohdaten'!B1376:D1376,'02_Eingaben'!$C$13))</f>
        <v/>
      </c>
      <c r="D1376" s="17" t="str">
        <f>IF(C1376="","",C1376*'02_Eingaben'!$C$15)</f>
        <v/>
      </c>
      <c r="E1376" s="17" t="str">
        <f>IF(D1376="","",D1376*'02_Eingaben'!$C$8)</f>
        <v/>
      </c>
      <c r="F1376" s="17" t="str">
        <f>IF(E1376="","",AVERAGE(INDEX($E$2:$E$3001,MAX(1,ROW()-1-'02_Eingaben'!$C$17)):INDEX($E$2:$E$3001,MIN('02_Eingaben'!$C$21,ROW()-1+'02_Eingaben'!$C$17))))</f>
        <v/>
      </c>
      <c r="G1376" s="17" t="str">
        <f>IF(F1376="","",F1376-'02_Eingaben'!$C$10)</f>
        <v/>
      </c>
      <c r="H1376" t="str">
        <f>IF(F1376="","",IF(F1376&lt;'02_Eingaben'!$C$18*'02_Eingaben'!$C$10,1,0))</f>
        <v/>
      </c>
      <c r="I1376" s="17" t="str">
        <f t="shared" si="21"/>
        <v/>
      </c>
      <c r="J1376" s="17" t="str">
        <f>IF(B1376="","",IF(B1375&lt;'02_Eingaben'!$C$36,0,J1375+I1375/'02_Eingaben'!$C$8))</f>
        <v/>
      </c>
    </row>
    <row r="1377" spans="1:10" x14ac:dyDescent="0.25">
      <c r="A1377" t="str">
        <f>IF('01_Rohdaten'!A1377="","",ROW()-1)</f>
        <v/>
      </c>
      <c r="B1377" s="17" t="str">
        <f>IF('01_Rohdaten'!A1377="","",'01_Rohdaten'!A1377)</f>
        <v/>
      </c>
      <c r="C1377" s="17" t="str">
        <f>IF(B1377="","",INDEX('01_Rohdaten'!B1377:D1377,'02_Eingaben'!$C$13))</f>
        <v/>
      </c>
      <c r="D1377" s="17" t="str">
        <f>IF(C1377="","",C1377*'02_Eingaben'!$C$15)</f>
        <v/>
      </c>
      <c r="E1377" s="17" t="str">
        <f>IF(D1377="","",D1377*'02_Eingaben'!$C$8)</f>
        <v/>
      </c>
      <c r="F1377" s="17" t="str">
        <f>IF(E1377="","",AVERAGE(INDEX($E$2:$E$3001,MAX(1,ROW()-1-'02_Eingaben'!$C$17)):INDEX($E$2:$E$3001,MIN('02_Eingaben'!$C$21,ROW()-1+'02_Eingaben'!$C$17))))</f>
        <v/>
      </c>
      <c r="G1377" s="17" t="str">
        <f>IF(F1377="","",F1377-'02_Eingaben'!$C$10)</f>
        <v/>
      </c>
      <c r="H1377" t="str">
        <f>IF(F1377="","",IF(F1377&lt;'02_Eingaben'!$C$18*'02_Eingaben'!$C$10,1,0))</f>
        <v/>
      </c>
      <c r="I1377" s="17" t="str">
        <f t="shared" si="21"/>
        <v/>
      </c>
      <c r="J1377" s="17" t="str">
        <f>IF(B1377="","",IF(B1376&lt;'02_Eingaben'!$C$36,0,J1376+I1376/'02_Eingaben'!$C$8))</f>
        <v/>
      </c>
    </row>
    <row r="1378" spans="1:10" x14ac:dyDescent="0.25">
      <c r="A1378" t="str">
        <f>IF('01_Rohdaten'!A1378="","",ROW()-1)</f>
        <v/>
      </c>
      <c r="B1378" s="17" t="str">
        <f>IF('01_Rohdaten'!A1378="","",'01_Rohdaten'!A1378)</f>
        <v/>
      </c>
      <c r="C1378" s="17" t="str">
        <f>IF(B1378="","",INDEX('01_Rohdaten'!B1378:D1378,'02_Eingaben'!$C$13))</f>
        <v/>
      </c>
      <c r="D1378" s="17" t="str">
        <f>IF(C1378="","",C1378*'02_Eingaben'!$C$15)</f>
        <v/>
      </c>
      <c r="E1378" s="17" t="str">
        <f>IF(D1378="","",D1378*'02_Eingaben'!$C$8)</f>
        <v/>
      </c>
      <c r="F1378" s="17" t="str">
        <f>IF(E1378="","",AVERAGE(INDEX($E$2:$E$3001,MAX(1,ROW()-1-'02_Eingaben'!$C$17)):INDEX($E$2:$E$3001,MIN('02_Eingaben'!$C$21,ROW()-1+'02_Eingaben'!$C$17))))</f>
        <v/>
      </c>
      <c r="G1378" s="17" t="str">
        <f>IF(F1378="","",F1378-'02_Eingaben'!$C$10)</f>
        <v/>
      </c>
      <c r="H1378" t="str">
        <f>IF(F1378="","",IF(F1378&lt;'02_Eingaben'!$C$18*'02_Eingaben'!$C$10,1,0))</f>
        <v/>
      </c>
      <c r="I1378" s="17" t="str">
        <f t="shared" si="21"/>
        <v/>
      </c>
      <c r="J1378" s="17" t="str">
        <f>IF(B1378="","",IF(B1377&lt;'02_Eingaben'!$C$36,0,J1377+I1377/'02_Eingaben'!$C$8))</f>
        <v/>
      </c>
    </row>
    <row r="1379" spans="1:10" x14ac:dyDescent="0.25">
      <c r="A1379" t="str">
        <f>IF('01_Rohdaten'!A1379="","",ROW()-1)</f>
        <v/>
      </c>
      <c r="B1379" s="17" t="str">
        <f>IF('01_Rohdaten'!A1379="","",'01_Rohdaten'!A1379)</f>
        <v/>
      </c>
      <c r="C1379" s="17" t="str">
        <f>IF(B1379="","",INDEX('01_Rohdaten'!B1379:D1379,'02_Eingaben'!$C$13))</f>
        <v/>
      </c>
      <c r="D1379" s="17" t="str">
        <f>IF(C1379="","",C1379*'02_Eingaben'!$C$15)</f>
        <v/>
      </c>
      <c r="E1379" s="17" t="str">
        <f>IF(D1379="","",D1379*'02_Eingaben'!$C$8)</f>
        <v/>
      </c>
      <c r="F1379" s="17" t="str">
        <f>IF(E1379="","",AVERAGE(INDEX($E$2:$E$3001,MAX(1,ROW()-1-'02_Eingaben'!$C$17)):INDEX($E$2:$E$3001,MIN('02_Eingaben'!$C$21,ROW()-1+'02_Eingaben'!$C$17))))</f>
        <v/>
      </c>
      <c r="G1379" s="17" t="str">
        <f>IF(F1379="","",F1379-'02_Eingaben'!$C$10)</f>
        <v/>
      </c>
      <c r="H1379" t="str">
        <f>IF(F1379="","",IF(F1379&lt;'02_Eingaben'!$C$18*'02_Eingaben'!$C$10,1,0))</f>
        <v/>
      </c>
      <c r="I1379" s="17" t="str">
        <f t="shared" si="21"/>
        <v/>
      </c>
      <c r="J1379" s="17" t="str">
        <f>IF(B1379="","",IF(B1378&lt;'02_Eingaben'!$C$36,0,J1378+I1378/'02_Eingaben'!$C$8))</f>
        <v/>
      </c>
    </row>
    <row r="1380" spans="1:10" x14ac:dyDescent="0.25">
      <c r="A1380" t="str">
        <f>IF('01_Rohdaten'!A1380="","",ROW()-1)</f>
        <v/>
      </c>
      <c r="B1380" s="17" t="str">
        <f>IF('01_Rohdaten'!A1380="","",'01_Rohdaten'!A1380)</f>
        <v/>
      </c>
      <c r="C1380" s="17" t="str">
        <f>IF(B1380="","",INDEX('01_Rohdaten'!B1380:D1380,'02_Eingaben'!$C$13))</f>
        <v/>
      </c>
      <c r="D1380" s="17" t="str">
        <f>IF(C1380="","",C1380*'02_Eingaben'!$C$15)</f>
        <v/>
      </c>
      <c r="E1380" s="17" t="str">
        <f>IF(D1380="","",D1380*'02_Eingaben'!$C$8)</f>
        <v/>
      </c>
      <c r="F1380" s="17" t="str">
        <f>IF(E1380="","",AVERAGE(INDEX($E$2:$E$3001,MAX(1,ROW()-1-'02_Eingaben'!$C$17)):INDEX($E$2:$E$3001,MIN('02_Eingaben'!$C$21,ROW()-1+'02_Eingaben'!$C$17))))</f>
        <v/>
      </c>
      <c r="G1380" s="17" t="str">
        <f>IF(F1380="","",F1380-'02_Eingaben'!$C$10)</f>
        <v/>
      </c>
      <c r="H1380" t="str">
        <f>IF(F1380="","",IF(F1380&lt;'02_Eingaben'!$C$18*'02_Eingaben'!$C$10,1,0))</f>
        <v/>
      </c>
      <c r="I1380" s="17" t="str">
        <f t="shared" si="21"/>
        <v/>
      </c>
      <c r="J1380" s="17" t="str">
        <f>IF(B1380="","",IF(B1379&lt;'02_Eingaben'!$C$36,0,J1379+I1379/'02_Eingaben'!$C$8))</f>
        <v/>
      </c>
    </row>
    <row r="1381" spans="1:10" x14ac:dyDescent="0.25">
      <c r="A1381" t="str">
        <f>IF('01_Rohdaten'!A1381="","",ROW()-1)</f>
        <v/>
      </c>
      <c r="B1381" s="17" t="str">
        <f>IF('01_Rohdaten'!A1381="","",'01_Rohdaten'!A1381)</f>
        <v/>
      </c>
      <c r="C1381" s="17" t="str">
        <f>IF(B1381="","",INDEX('01_Rohdaten'!B1381:D1381,'02_Eingaben'!$C$13))</f>
        <v/>
      </c>
      <c r="D1381" s="17" t="str">
        <f>IF(C1381="","",C1381*'02_Eingaben'!$C$15)</f>
        <v/>
      </c>
      <c r="E1381" s="17" t="str">
        <f>IF(D1381="","",D1381*'02_Eingaben'!$C$8)</f>
        <v/>
      </c>
      <c r="F1381" s="17" t="str">
        <f>IF(E1381="","",AVERAGE(INDEX($E$2:$E$3001,MAX(1,ROW()-1-'02_Eingaben'!$C$17)):INDEX($E$2:$E$3001,MIN('02_Eingaben'!$C$21,ROW()-1+'02_Eingaben'!$C$17))))</f>
        <v/>
      </c>
      <c r="G1381" s="17" t="str">
        <f>IF(F1381="","",F1381-'02_Eingaben'!$C$10)</f>
        <v/>
      </c>
      <c r="H1381" t="str">
        <f>IF(F1381="","",IF(F1381&lt;'02_Eingaben'!$C$18*'02_Eingaben'!$C$10,1,0))</f>
        <v/>
      </c>
      <c r="I1381" s="17" t="str">
        <f t="shared" si="21"/>
        <v/>
      </c>
      <c r="J1381" s="17" t="str">
        <f>IF(B1381="","",IF(B1380&lt;'02_Eingaben'!$C$36,0,J1380+I1380/'02_Eingaben'!$C$8))</f>
        <v/>
      </c>
    </row>
    <row r="1382" spans="1:10" x14ac:dyDescent="0.25">
      <c r="A1382" t="str">
        <f>IF('01_Rohdaten'!A1382="","",ROW()-1)</f>
        <v/>
      </c>
      <c r="B1382" s="17" t="str">
        <f>IF('01_Rohdaten'!A1382="","",'01_Rohdaten'!A1382)</f>
        <v/>
      </c>
      <c r="C1382" s="17" t="str">
        <f>IF(B1382="","",INDEX('01_Rohdaten'!B1382:D1382,'02_Eingaben'!$C$13))</f>
        <v/>
      </c>
      <c r="D1382" s="17" t="str">
        <f>IF(C1382="","",C1382*'02_Eingaben'!$C$15)</f>
        <v/>
      </c>
      <c r="E1382" s="17" t="str">
        <f>IF(D1382="","",D1382*'02_Eingaben'!$C$8)</f>
        <v/>
      </c>
      <c r="F1382" s="17" t="str">
        <f>IF(E1382="","",AVERAGE(INDEX($E$2:$E$3001,MAX(1,ROW()-1-'02_Eingaben'!$C$17)):INDEX($E$2:$E$3001,MIN('02_Eingaben'!$C$21,ROW()-1+'02_Eingaben'!$C$17))))</f>
        <v/>
      </c>
      <c r="G1382" s="17" t="str">
        <f>IF(F1382="","",F1382-'02_Eingaben'!$C$10)</f>
        <v/>
      </c>
      <c r="H1382" t="str">
        <f>IF(F1382="","",IF(F1382&lt;'02_Eingaben'!$C$18*'02_Eingaben'!$C$10,1,0))</f>
        <v/>
      </c>
      <c r="I1382" s="17" t="str">
        <f t="shared" si="21"/>
        <v/>
      </c>
      <c r="J1382" s="17" t="str">
        <f>IF(B1382="","",IF(B1381&lt;'02_Eingaben'!$C$36,0,J1381+I1381/'02_Eingaben'!$C$8))</f>
        <v/>
      </c>
    </row>
    <row r="1383" spans="1:10" x14ac:dyDescent="0.25">
      <c r="A1383" t="str">
        <f>IF('01_Rohdaten'!A1383="","",ROW()-1)</f>
        <v/>
      </c>
      <c r="B1383" s="17" t="str">
        <f>IF('01_Rohdaten'!A1383="","",'01_Rohdaten'!A1383)</f>
        <v/>
      </c>
      <c r="C1383" s="17" t="str">
        <f>IF(B1383="","",INDEX('01_Rohdaten'!B1383:D1383,'02_Eingaben'!$C$13))</f>
        <v/>
      </c>
      <c r="D1383" s="17" t="str">
        <f>IF(C1383="","",C1383*'02_Eingaben'!$C$15)</f>
        <v/>
      </c>
      <c r="E1383" s="17" t="str">
        <f>IF(D1383="","",D1383*'02_Eingaben'!$C$8)</f>
        <v/>
      </c>
      <c r="F1383" s="17" t="str">
        <f>IF(E1383="","",AVERAGE(INDEX($E$2:$E$3001,MAX(1,ROW()-1-'02_Eingaben'!$C$17)):INDEX($E$2:$E$3001,MIN('02_Eingaben'!$C$21,ROW()-1+'02_Eingaben'!$C$17))))</f>
        <v/>
      </c>
      <c r="G1383" s="17" t="str">
        <f>IF(F1383="","",F1383-'02_Eingaben'!$C$10)</f>
        <v/>
      </c>
      <c r="H1383" t="str">
        <f>IF(F1383="","",IF(F1383&lt;'02_Eingaben'!$C$18*'02_Eingaben'!$C$10,1,0))</f>
        <v/>
      </c>
      <c r="I1383" s="17" t="str">
        <f t="shared" si="21"/>
        <v/>
      </c>
      <c r="J1383" s="17" t="str">
        <f>IF(B1383="","",IF(B1382&lt;'02_Eingaben'!$C$36,0,J1382+I1382/'02_Eingaben'!$C$8))</f>
        <v/>
      </c>
    </row>
    <row r="1384" spans="1:10" x14ac:dyDescent="0.25">
      <c r="A1384" t="str">
        <f>IF('01_Rohdaten'!A1384="","",ROW()-1)</f>
        <v/>
      </c>
      <c r="B1384" s="17" t="str">
        <f>IF('01_Rohdaten'!A1384="","",'01_Rohdaten'!A1384)</f>
        <v/>
      </c>
      <c r="C1384" s="17" t="str">
        <f>IF(B1384="","",INDEX('01_Rohdaten'!B1384:D1384,'02_Eingaben'!$C$13))</f>
        <v/>
      </c>
      <c r="D1384" s="17" t="str">
        <f>IF(C1384="","",C1384*'02_Eingaben'!$C$15)</f>
        <v/>
      </c>
      <c r="E1384" s="17" t="str">
        <f>IF(D1384="","",D1384*'02_Eingaben'!$C$8)</f>
        <v/>
      </c>
      <c r="F1384" s="17" t="str">
        <f>IF(E1384="","",AVERAGE(INDEX($E$2:$E$3001,MAX(1,ROW()-1-'02_Eingaben'!$C$17)):INDEX($E$2:$E$3001,MIN('02_Eingaben'!$C$21,ROW()-1+'02_Eingaben'!$C$17))))</f>
        <v/>
      </c>
      <c r="G1384" s="17" t="str">
        <f>IF(F1384="","",F1384-'02_Eingaben'!$C$10)</f>
        <v/>
      </c>
      <c r="H1384" t="str">
        <f>IF(F1384="","",IF(F1384&lt;'02_Eingaben'!$C$18*'02_Eingaben'!$C$10,1,0))</f>
        <v/>
      </c>
      <c r="I1384" s="17" t="str">
        <f t="shared" si="21"/>
        <v/>
      </c>
      <c r="J1384" s="17" t="str">
        <f>IF(B1384="","",IF(B1383&lt;'02_Eingaben'!$C$36,0,J1383+I1383/'02_Eingaben'!$C$8))</f>
        <v/>
      </c>
    </row>
    <row r="1385" spans="1:10" x14ac:dyDescent="0.25">
      <c r="A1385" t="str">
        <f>IF('01_Rohdaten'!A1385="","",ROW()-1)</f>
        <v/>
      </c>
      <c r="B1385" s="17" t="str">
        <f>IF('01_Rohdaten'!A1385="","",'01_Rohdaten'!A1385)</f>
        <v/>
      </c>
      <c r="C1385" s="17" t="str">
        <f>IF(B1385="","",INDEX('01_Rohdaten'!B1385:D1385,'02_Eingaben'!$C$13))</f>
        <v/>
      </c>
      <c r="D1385" s="17" t="str">
        <f>IF(C1385="","",C1385*'02_Eingaben'!$C$15)</f>
        <v/>
      </c>
      <c r="E1385" s="17" t="str">
        <f>IF(D1385="","",D1385*'02_Eingaben'!$C$8)</f>
        <v/>
      </c>
      <c r="F1385" s="17" t="str">
        <f>IF(E1385="","",AVERAGE(INDEX($E$2:$E$3001,MAX(1,ROW()-1-'02_Eingaben'!$C$17)):INDEX($E$2:$E$3001,MIN('02_Eingaben'!$C$21,ROW()-1+'02_Eingaben'!$C$17))))</f>
        <v/>
      </c>
      <c r="G1385" s="17" t="str">
        <f>IF(F1385="","",F1385-'02_Eingaben'!$C$10)</f>
        <v/>
      </c>
      <c r="H1385" t="str">
        <f>IF(F1385="","",IF(F1385&lt;'02_Eingaben'!$C$18*'02_Eingaben'!$C$10,1,0))</f>
        <v/>
      </c>
      <c r="I1385" s="17" t="str">
        <f t="shared" si="21"/>
        <v/>
      </c>
      <c r="J1385" s="17" t="str">
        <f>IF(B1385="","",IF(B1384&lt;'02_Eingaben'!$C$36,0,J1384+I1384/'02_Eingaben'!$C$8))</f>
        <v/>
      </c>
    </row>
    <row r="1386" spans="1:10" x14ac:dyDescent="0.25">
      <c r="A1386" t="str">
        <f>IF('01_Rohdaten'!A1386="","",ROW()-1)</f>
        <v/>
      </c>
      <c r="B1386" s="17" t="str">
        <f>IF('01_Rohdaten'!A1386="","",'01_Rohdaten'!A1386)</f>
        <v/>
      </c>
      <c r="C1386" s="17" t="str">
        <f>IF(B1386="","",INDEX('01_Rohdaten'!B1386:D1386,'02_Eingaben'!$C$13))</f>
        <v/>
      </c>
      <c r="D1386" s="17" t="str">
        <f>IF(C1386="","",C1386*'02_Eingaben'!$C$15)</f>
        <v/>
      </c>
      <c r="E1386" s="17" t="str">
        <f>IF(D1386="","",D1386*'02_Eingaben'!$C$8)</f>
        <v/>
      </c>
      <c r="F1386" s="17" t="str">
        <f>IF(E1386="","",AVERAGE(INDEX($E$2:$E$3001,MAX(1,ROW()-1-'02_Eingaben'!$C$17)):INDEX($E$2:$E$3001,MIN('02_Eingaben'!$C$21,ROW()-1+'02_Eingaben'!$C$17))))</f>
        <v/>
      </c>
      <c r="G1386" s="17" t="str">
        <f>IF(F1386="","",F1386-'02_Eingaben'!$C$10)</f>
        <v/>
      </c>
      <c r="H1386" t="str">
        <f>IF(F1386="","",IF(F1386&lt;'02_Eingaben'!$C$18*'02_Eingaben'!$C$10,1,0))</f>
        <v/>
      </c>
      <c r="I1386" s="17" t="str">
        <f t="shared" si="21"/>
        <v/>
      </c>
      <c r="J1386" s="17" t="str">
        <f>IF(B1386="","",IF(B1385&lt;'02_Eingaben'!$C$36,0,J1385+I1385/'02_Eingaben'!$C$8))</f>
        <v/>
      </c>
    </row>
    <row r="1387" spans="1:10" x14ac:dyDescent="0.25">
      <c r="A1387" t="str">
        <f>IF('01_Rohdaten'!A1387="","",ROW()-1)</f>
        <v/>
      </c>
      <c r="B1387" s="17" t="str">
        <f>IF('01_Rohdaten'!A1387="","",'01_Rohdaten'!A1387)</f>
        <v/>
      </c>
      <c r="C1387" s="17" t="str">
        <f>IF(B1387="","",INDEX('01_Rohdaten'!B1387:D1387,'02_Eingaben'!$C$13))</f>
        <v/>
      </c>
      <c r="D1387" s="17" t="str">
        <f>IF(C1387="","",C1387*'02_Eingaben'!$C$15)</f>
        <v/>
      </c>
      <c r="E1387" s="17" t="str">
        <f>IF(D1387="","",D1387*'02_Eingaben'!$C$8)</f>
        <v/>
      </c>
      <c r="F1387" s="17" t="str">
        <f>IF(E1387="","",AVERAGE(INDEX($E$2:$E$3001,MAX(1,ROW()-1-'02_Eingaben'!$C$17)):INDEX($E$2:$E$3001,MIN('02_Eingaben'!$C$21,ROW()-1+'02_Eingaben'!$C$17))))</f>
        <v/>
      </c>
      <c r="G1387" s="17" t="str">
        <f>IF(F1387="","",F1387-'02_Eingaben'!$C$10)</f>
        <v/>
      </c>
      <c r="H1387" t="str">
        <f>IF(F1387="","",IF(F1387&lt;'02_Eingaben'!$C$18*'02_Eingaben'!$C$10,1,0))</f>
        <v/>
      </c>
      <c r="I1387" s="17" t="str">
        <f t="shared" si="21"/>
        <v/>
      </c>
      <c r="J1387" s="17" t="str">
        <f>IF(B1387="","",IF(B1386&lt;'02_Eingaben'!$C$36,0,J1386+I1386/'02_Eingaben'!$C$8))</f>
        <v/>
      </c>
    </row>
    <row r="1388" spans="1:10" x14ac:dyDescent="0.25">
      <c r="A1388" t="str">
        <f>IF('01_Rohdaten'!A1388="","",ROW()-1)</f>
        <v/>
      </c>
      <c r="B1388" s="17" t="str">
        <f>IF('01_Rohdaten'!A1388="","",'01_Rohdaten'!A1388)</f>
        <v/>
      </c>
      <c r="C1388" s="17" t="str">
        <f>IF(B1388="","",INDEX('01_Rohdaten'!B1388:D1388,'02_Eingaben'!$C$13))</f>
        <v/>
      </c>
      <c r="D1388" s="17" t="str">
        <f>IF(C1388="","",C1388*'02_Eingaben'!$C$15)</f>
        <v/>
      </c>
      <c r="E1388" s="17" t="str">
        <f>IF(D1388="","",D1388*'02_Eingaben'!$C$8)</f>
        <v/>
      </c>
      <c r="F1388" s="17" t="str">
        <f>IF(E1388="","",AVERAGE(INDEX($E$2:$E$3001,MAX(1,ROW()-1-'02_Eingaben'!$C$17)):INDEX($E$2:$E$3001,MIN('02_Eingaben'!$C$21,ROW()-1+'02_Eingaben'!$C$17))))</f>
        <v/>
      </c>
      <c r="G1388" s="17" t="str">
        <f>IF(F1388="","",F1388-'02_Eingaben'!$C$10)</f>
        <v/>
      </c>
      <c r="H1388" t="str">
        <f>IF(F1388="","",IF(F1388&lt;'02_Eingaben'!$C$18*'02_Eingaben'!$C$10,1,0))</f>
        <v/>
      </c>
      <c r="I1388" s="17" t="str">
        <f t="shared" si="21"/>
        <v/>
      </c>
      <c r="J1388" s="17" t="str">
        <f>IF(B1388="","",IF(B1387&lt;'02_Eingaben'!$C$36,0,J1387+I1387/'02_Eingaben'!$C$8))</f>
        <v/>
      </c>
    </row>
    <row r="1389" spans="1:10" x14ac:dyDescent="0.25">
      <c r="A1389" t="str">
        <f>IF('01_Rohdaten'!A1389="","",ROW()-1)</f>
        <v/>
      </c>
      <c r="B1389" s="17" t="str">
        <f>IF('01_Rohdaten'!A1389="","",'01_Rohdaten'!A1389)</f>
        <v/>
      </c>
      <c r="C1389" s="17" t="str">
        <f>IF(B1389="","",INDEX('01_Rohdaten'!B1389:D1389,'02_Eingaben'!$C$13))</f>
        <v/>
      </c>
      <c r="D1389" s="17" t="str">
        <f>IF(C1389="","",C1389*'02_Eingaben'!$C$15)</f>
        <v/>
      </c>
      <c r="E1389" s="17" t="str">
        <f>IF(D1389="","",D1389*'02_Eingaben'!$C$8)</f>
        <v/>
      </c>
      <c r="F1389" s="17" t="str">
        <f>IF(E1389="","",AVERAGE(INDEX($E$2:$E$3001,MAX(1,ROW()-1-'02_Eingaben'!$C$17)):INDEX($E$2:$E$3001,MIN('02_Eingaben'!$C$21,ROW()-1+'02_Eingaben'!$C$17))))</f>
        <v/>
      </c>
      <c r="G1389" s="17" t="str">
        <f>IF(F1389="","",F1389-'02_Eingaben'!$C$10)</f>
        <v/>
      </c>
      <c r="H1389" t="str">
        <f>IF(F1389="","",IF(F1389&lt;'02_Eingaben'!$C$18*'02_Eingaben'!$C$10,1,0))</f>
        <v/>
      </c>
      <c r="I1389" s="17" t="str">
        <f t="shared" si="21"/>
        <v/>
      </c>
      <c r="J1389" s="17" t="str">
        <f>IF(B1389="","",IF(B1388&lt;'02_Eingaben'!$C$36,0,J1388+I1388/'02_Eingaben'!$C$8))</f>
        <v/>
      </c>
    </row>
    <row r="1390" spans="1:10" x14ac:dyDescent="0.25">
      <c r="A1390" t="str">
        <f>IF('01_Rohdaten'!A1390="","",ROW()-1)</f>
        <v/>
      </c>
      <c r="B1390" s="17" t="str">
        <f>IF('01_Rohdaten'!A1390="","",'01_Rohdaten'!A1390)</f>
        <v/>
      </c>
      <c r="C1390" s="17" t="str">
        <f>IF(B1390="","",INDEX('01_Rohdaten'!B1390:D1390,'02_Eingaben'!$C$13))</f>
        <v/>
      </c>
      <c r="D1390" s="17" t="str">
        <f>IF(C1390="","",C1390*'02_Eingaben'!$C$15)</f>
        <v/>
      </c>
      <c r="E1390" s="17" t="str">
        <f>IF(D1390="","",D1390*'02_Eingaben'!$C$8)</f>
        <v/>
      </c>
      <c r="F1390" s="17" t="str">
        <f>IF(E1390="","",AVERAGE(INDEX($E$2:$E$3001,MAX(1,ROW()-1-'02_Eingaben'!$C$17)):INDEX($E$2:$E$3001,MIN('02_Eingaben'!$C$21,ROW()-1+'02_Eingaben'!$C$17))))</f>
        <v/>
      </c>
      <c r="G1390" s="17" t="str">
        <f>IF(F1390="","",F1390-'02_Eingaben'!$C$10)</f>
        <v/>
      </c>
      <c r="H1390" t="str">
        <f>IF(F1390="","",IF(F1390&lt;'02_Eingaben'!$C$18*'02_Eingaben'!$C$10,1,0))</f>
        <v/>
      </c>
      <c r="I1390" s="17" t="str">
        <f t="shared" si="21"/>
        <v/>
      </c>
      <c r="J1390" s="17" t="str">
        <f>IF(B1390="","",IF(B1389&lt;'02_Eingaben'!$C$36,0,J1389+I1389/'02_Eingaben'!$C$8))</f>
        <v/>
      </c>
    </row>
    <row r="1391" spans="1:10" x14ac:dyDescent="0.25">
      <c r="A1391" t="str">
        <f>IF('01_Rohdaten'!A1391="","",ROW()-1)</f>
        <v/>
      </c>
      <c r="B1391" s="17" t="str">
        <f>IF('01_Rohdaten'!A1391="","",'01_Rohdaten'!A1391)</f>
        <v/>
      </c>
      <c r="C1391" s="17" t="str">
        <f>IF(B1391="","",INDEX('01_Rohdaten'!B1391:D1391,'02_Eingaben'!$C$13))</f>
        <v/>
      </c>
      <c r="D1391" s="17" t="str">
        <f>IF(C1391="","",C1391*'02_Eingaben'!$C$15)</f>
        <v/>
      </c>
      <c r="E1391" s="17" t="str">
        <f>IF(D1391="","",D1391*'02_Eingaben'!$C$8)</f>
        <v/>
      </c>
      <c r="F1391" s="17" t="str">
        <f>IF(E1391="","",AVERAGE(INDEX($E$2:$E$3001,MAX(1,ROW()-1-'02_Eingaben'!$C$17)):INDEX($E$2:$E$3001,MIN('02_Eingaben'!$C$21,ROW()-1+'02_Eingaben'!$C$17))))</f>
        <v/>
      </c>
      <c r="G1391" s="17" t="str">
        <f>IF(F1391="","",F1391-'02_Eingaben'!$C$10)</f>
        <v/>
      </c>
      <c r="H1391" t="str">
        <f>IF(F1391="","",IF(F1391&lt;'02_Eingaben'!$C$18*'02_Eingaben'!$C$10,1,0))</f>
        <v/>
      </c>
      <c r="I1391" s="17" t="str">
        <f t="shared" si="21"/>
        <v/>
      </c>
      <c r="J1391" s="17" t="str">
        <f>IF(B1391="","",IF(B1390&lt;'02_Eingaben'!$C$36,0,J1390+I1390/'02_Eingaben'!$C$8))</f>
        <v/>
      </c>
    </row>
    <row r="1392" spans="1:10" x14ac:dyDescent="0.25">
      <c r="A1392" t="str">
        <f>IF('01_Rohdaten'!A1392="","",ROW()-1)</f>
        <v/>
      </c>
      <c r="B1392" s="17" t="str">
        <f>IF('01_Rohdaten'!A1392="","",'01_Rohdaten'!A1392)</f>
        <v/>
      </c>
      <c r="C1392" s="17" t="str">
        <f>IF(B1392="","",INDEX('01_Rohdaten'!B1392:D1392,'02_Eingaben'!$C$13))</f>
        <v/>
      </c>
      <c r="D1392" s="17" t="str">
        <f>IF(C1392="","",C1392*'02_Eingaben'!$C$15)</f>
        <v/>
      </c>
      <c r="E1392" s="17" t="str">
        <f>IF(D1392="","",D1392*'02_Eingaben'!$C$8)</f>
        <v/>
      </c>
      <c r="F1392" s="17" t="str">
        <f>IF(E1392="","",AVERAGE(INDEX($E$2:$E$3001,MAX(1,ROW()-1-'02_Eingaben'!$C$17)):INDEX($E$2:$E$3001,MIN('02_Eingaben'!$C$21,ROW()-1+'02_Eingaben'!$C$17))))</f>
        <v/>
      </c>
      <c r="G1392" s="17" t="str">
        <f>IF(F1392="","",F1392-'02_Eingaben'!$C$10)</f>
        <v/>
      </c>
      <c r="H1392" t="str">
        <f>IF(F1392="","",IF(F1392&lt;'02_Eingaben'!$C$18*'02_Eingaben'!$C$10,1,0))</f>
        <v/>
      </c>
      <c r="I1392" s="17" t="str">
        <f t="shared" si="21"/>
        <v/>
      </c>
      <c r="J1392" s="17" t="str">
        <f>IF(B1392="","",IF(B1391&lt;'02_Eingaben'!$C$36,0,J1391+I1391/'02_Eingaben'!$C$8))</f>
        <v/>
      </c>
    </row>
    <row r="1393" spans="1:10" x14ac:dyDescent="0.25">
      <c r="A1393" t="str">
        <f>IF('01_Rohdaten'!A1393="","",ROW()-1)</f>
        <v/>
      </c>
      <c r="B1393" s="17" t="str">
        <f>IF('01_Rohdaten'!A1393="","",'01_Rohdaten'!A1393)</f>
        <v/>
      </c>
      <c r="C1393" s="17" t="str">
        <f>IF(B1393="","",INDEX('01_Rohdaten'!B1393:D1393,'02_Eingaben'!$C$13))</f>
        <v/>
      </c>
      <c r="D1393" s="17" t="str">
        <f>IF(C1393="","",C1393*'02_Eingaben'!$C$15)</f>
        <v/>
      </c>
      <c r="E1393" s="17" t="str">
        <f>IF(D1393="","",D1393*'02_Eingaben'!$C$8)</f>
        <v/>
      </c>
      <c r="F1393" s="17" t="str">
        <f>IF(E1393="","",AVERAGE(INDEX($E$2:$E$3001,MAX(1,ROW()-1-'02_Eingaben'!$C$17)):INDEX($E$2:$E$3001,MIN('02_Eingaben'!$C$21,ROW()-1+'02_Eingaben'!$C$17))))</f>
        <v/>
      </c>
      <c r="G1393" s="17" t="str">
        <f>IF(F1393="","",F1393-'02_Eingaben'!$C$10)</f>
        <v/>
      </c>
      <c r="H1393" t="str">
        <f>IF(F1393="","",IF(F1393&lt;'02_Eingaben'!$C$18*'02_Eingaben'!$C$10,1,0))</f>
        <v/>
      </c>
      <c r="I1393" s="17" t="str">
        <f t="shared" si="21"/>
        <v/>
      </c>
      <c r="J1393" s="17" t="str">
        <f>IF(B1393="","",IF(B1392&lt;'02_Eingaben'!$C$36,0,J1392+I1392/'02_Eingaben'!$C$8))</f>
        <v/>
      </c>
    </row>
    <row r="1394" spans="1:10" x14ac:dyDescent="0.25">
      <c r="A1394" t="str">
        <f>IF('01_Rohdaten'!A1394="","",ROW()-1)</f>
        <v/>
      </c>
      <c r="B1394" s="17" t="str">
        <f>IF('01_Rohdaten'!A1394="","",'01_Rohdaten'!A1394)</f>
        <v/>
      </c>
      <c r="C1394" s="17" t="str">
        <f>IF(B1394="","",INDEX('01_Rohdaten'!B1394:D1394,'02_Eingaben'!$C$13))</f>
        <v/>
      </c>
      <c r="D1394" s="17" t="str">
        <f>IF(C1394="","",C1394*'02_Eingaben'!$C$15)</f>
        <v/>
      </c>
      <c r="E1394" s="17" t="str">
        <f>IF(D1394="","",D1394*'02_Eingaben'!$C$8)</f>
        <v/>
      </c>
      <c r="F1394" s="17" t="str">
        <f>IF(E1394="","",AVERAGE(INDEX($E$2:$E$3001,MAX(1,ROW()-1-'02_Eingaben'!$C$17)):INDEX($E$2:$E$3001,MIN('02_Eingaben'!$C$21,ROW()-1+'02_Eingaben'!$C$17))))</f>
        <v/>
      </c>
      <c r="G1394" s="17" t="str">
        <f>IF(F1394="","",F1394-'02_Eingaben'!$C$10)</f>
        <v/>
      </c>
      <c r="H1394" t="str">
        <f>IF(F1394="","",IF(F1394&lt;'02_Eingaben'!$C$18*'02_Eingaben'!$C$10,1,0))</f>
        <v/>
      </c>
      <c r="I1394" s="17" t="str">
        <f t="shared" si="21"/>
        <v/>
      </c>
      <c r="J1394" s="17" t="str">
        <f>IF(B1394="","",IF(B1393&lt;'02_Eingaben'!$C$36,0,J1393+I1393/'02_Eingaben'!$C$8))</f>
        <v/>
      </c>
    </row>
    <row r="1395" spans="1:10" x14ac:dyDescent="0.25">
      <c r="A1395" t="str">
        <f>IF('01_Rohdaten'!A1395="","",ROW()-1)</f>
        <v/>
      </c>
      <c r="B1395" s="17" t="str">
        <f>IF('01_Rohdaten'!A1395="","",'01_Rohdaten'!A1395)</f>
        <v/>
      </c>
      <c r="C1395" s="17" t="str">
        <f>IF(B1395="","",INDEX('01_Rohdaten'!B1395:D1395,'02_Eingaben'!$C$13))</f>
        <v/>
      </c>
      <c r="D1395" s="17" t="str">
        <f>IF(C1395="","",C1395*'02_Eingaben'!$C$15)</f>
        <v/>
      </c>
      <c r="E1395" s="17" t="str">
        <f>IF(D1395="","",D1395*'02_Eingaben'!$C$8)</f>
        <v/>
      </c>
      <c r="F1395" s="17" t="str">
        <f>IF(E1395="","",AVERAGE(INDEX($E$2:$E$3001,MAX(1,ROW()-1-'02_Eingaben'!$C$17)):INDEX($E$2:$E$3001,MIN('02_Eingaben'!$C$21,ROW()-1+'02_Eingaben'!$C$17))))</f>
        <v/>
      </c>
      <c r="G1395" s="17" t="str">
        <f>IF(F1395="","",F1395-'02_Eingaben'!$C$10)</f>
        <v/>
      </c>
      <c r="H1395" t="str">
        <f>IF(F1395="","",IF(F1395&lt;'02_Eingaben'!$C$18*'02_Eingaben'!$C$10,1,0))</f>
        <v/>
      </c>
      <c r="I1395" s="17" t="str">
        <f t="shared" si="21"/>
        <v/>
      </c>
      <c r="J1395" s="17" t="str">
        <f>IF(B1395="","",IF(B1394&lt;'02_Eingaben'!$C$36,0,J1394+I1394/'02_Eingaben'!$C$8))</f>
        <v/>
      </c>
    </row>
    <row r="1396" spans="1:10" x14ac:dyDescent="0.25">
      <c r="A1396" t="str">
        <f>IF('01_Rohdaten'!A1396="","",ROW()-1)</f>
        <v/>
      </c>
      <c r="B1396" s="17" t="str">
        <f>IF('01_Rohdaten'!A1396="","",'01_Rohdaten'!A1396)</f>
        <v/>
      </c>
      <c r="C1396" s="17" t="str">
        <f>IF(B1396="","",INDEX('01_Rohdaten'!B1396:D1396,'02_Eingaben'!$C$13))</f>
        <v/>
      </c>
      <c r="D1396" s="17" t="str">
        <f>IF(C1396="","",C1396*'02_Eingaben'!$C$15)</f>
        <v/>
      </c>
      <c r="E1396" s="17" t="str">
        <f>IF(D1396="","",D1396*'02_Eingaben'!$C$8)</f>
        <v/>
      </c>
      <c r="F1396" s="17" t="str">
        <f>IF(E1396="","",AVERAGE(INDEX($E$2:$E$3001,MAX(1,ROW()-1-'02_Eingaben'!$C$17)):INDEX($E$2:$E$3001,MIN('02_Eingaben'!$C$21,ROW()-1+'02_Eingaben'!$C$17))))</f>
        <v/>
      </c>
      <c r="G1396" s="17" t="str">
        <f>IF(F1396="","",F1396-'02_Eingaben'!$C$10)</f>
        <v/>
      </c>
      <c r="H1396" t="str">
        <f>IF(F1396="","",IF(F1396&lt;'02_Eingaben'!$C$18*'02_Eingaben'!$C$10,1,0))</f>
        <v/>
      </c>
      <c r="I1396" s="17" t="str">
        <f t="shared" si="21"/>
        <v/>
      </c>
      <c r="J1396" s="17" t="str">
        <f>IF(B1396="","",IF(B1395&lt;'02_Eingaben'!$C$36,0,J1395+I1395/'02_Eingaben'!$C$8))</f>
        <v/>
      </c>
    </row>
    <row r="1397" spans="1:10" x14ac:dyDescent="0.25">
      <c r="A1397" t="str">
        <f>IF('01_Rohdaten'!A1397="","",ROW()-1)</f>
        <v/>
      </c>
      <c r="B1397" s="17" t="str">
        <f>IF('01_Rohdaten'!A1397="","",'01_Rohdaten'!A1397)</f>
        <v/>
      </c>
      <c r="C1397" s="17" t="str">
        <f>IF(B1397="","",INDEX('01_Rohdaten'!B1397:D1397,'02_Eingaben'!$C$13))</f>
        <v/>
      </c>
      <c r="D1397" s="17" t="str">
        <f>IF(C1397="","",C1397*'02_Eingaben'!$C$15)</f>
        <v/>
      </c>
      <c r="E1397" s="17" t="str">
        <f>IF(D1397="","",D1397*'02_Eingaben'!$C$8)</f>
        <v/>
      </c>
      <c r="F1397" s="17" t="str">
        <f>IF(E1397="","",AVERAGE(INDEX($E$2:$E$3001,MAX(1,ROW()-1-'02_Eingaben'!$C$17)):INDEX($E$2:$E$3001,MIN('02_Eingaben'!$C$21,ROW()-1+'02_Eingaben'!$C$17))))</f>
        <v/>
      </c>
      <c r="G1397" s="17" t="str">
        <f>IF(F1397="","",F1397-'02_Eingaben'!$C$10)</f>
        <v/>
      </c>
      <c r="H1397" t="str">
        <f>IF(F1397="","",IF(F1397&lt;'02_Eingaben'!$C$18*'02_Eingaben'!$C$10,1,0))</f>
        <v/>
      </c>
      <c r="I1397" s="17" t="str">
        <f t="shared" si="21"/>
        <v/>
      </c>
      <c r="J1397" s="17" t="str">
        <f>IF(B1397="","",IF(B1396&lt;'02_Eingaben'!$C$36,0,J1396+I1396/'02_Eingaben'!$C$8))</f>
        <v/>
      </c>
    </row>
    <row r="1398" spans="1:10" x14ac:dyDescent="0.25">
      <c r="A1398" t="str">
        <f>IF('01_Rohdaten'!A1398="","",ROW()-1)</f>
        <v/>
      </c>
      <c r="B1398" s="17" t="str">
        <f>IF('01_Rohdaten'!A1398="","",'01_Rohdaten'!A1398)</f>
        <v/>
      </c>
      <c r="C1398" s="17" t="str">
        <f>IF(B1398="","",INDEX('01_Rohdaten'!B1398:D1398,'02_Eingaben'!$C$13))</f>
        <v/>
      </c>
      <c r="D1398" s="17" t="str">
        <f>IF(C1398="","",C1398*'02_Eingaben'!$C$15)</f>
        <v/>
      </c>
      <c r="E1398" s="17" t="str">
        <f>IF(D1398="","",D1398*'02_Eingaben'!$C$8)</f>
        <v/>
      </c>
      <c r="F1398" s="17" t="str">
        <f>IF(E1398="","",AVERAGE(INDEX($E$2:$E$3001,MAX(1,ROW()-1-'02_Eingaben'!$C$17)):INDEX($E$2:$E$3001,MIN('02_Eingaben'!$C$21,ROW()-1+'02_Eingaben'!$C$17))))</f>
        <v/>
      </c>
      <c r="G1398" s="17" t="str">
        <f>IF(F1398="","",F1398-'02_Eingaben'!$C$10)</f>
        <v/>
      </c>
      <c r="H1398" t="str">
        <f>IF(F1398="","",IF(F1398&lt;'02_Eingaben'!$C$18*'02_Eingaben'!$C$10,1,0))</f>
        <v/>
      </c>
      <c r="I1398" s="17" t="str">
        <f t="shared" si="21"/>
        <v/>
      </c>
      <c r="J1398" s="17" t="str">
        <f>IF(B1398="","",IF(B1397&lt;'02_Eingaben'!$C$36,0,J1397+I1397/'02_Eingaben'!$C$8))</f>
        <v/>
      </c>
    </row>
    <row r="1399" spans="1:10" x14ac:dyDescent="0.25">
      <c r="A1399" t="str">
        <f>IF('01_Rohdaten'!A1399="","",ROW()-1)</f>
        <v/>
      </c>
      <c r="B1399" s="17" t="str">
        <f>IF('01_Rohdaten'!A1399="","",'01_Rohdaten'!A1399)</f>
        <v/>
      </c>
      <c r="C1399" s="17" t="str">
        <f>IF(B1399="","",INDEX('01_Rohdaten'!B1399:D1399,'02_Eingaben'!$C$13))</f>
        <v/>
      </c>
      <c r="D1399" s="17" t="str">
        <f>IF(C1399="","",C1399*'02_Eingaben'!$C$15)</f>
        <v/>
      </c>
      <c r="E1399" s="17" t="str">
        <f>IF(D1399="","",D1399*'02_Eingaben'!$C$8)</f>
        <v/>
      </c>
      <c r="F1399" s="17" t="str">
        <f>IF(E1399="","",AVERAGE(INDEX($E$2:$E$3001,MAX(1,ROW()-1-'02_Eingaben'!$C$17)):INDEX($E$2:$E$3001,MIN('02_Eingaben'!$C$21,ROW()-1+'02_Eingaben'!$C$17))))</f>
        <v/>
      </c>
      <c r="G1399" s="17" t="str">
        <f>IF(F1399="","",F1399-'02_Eingaben'!$C$10)</f>
        <v/>
      </c>
      <c r="H1399" t="str">
        <f>IF(F1399="","",IF(F1399&lt;'02_Eingaben'!$C$18*'02_Eingaben'!$C$10,1,0))</f>
        <v/>
      </c>
      <c r="I1399" s="17" t="str">
        <f t="shared" si="21"/>
        <v/>
      </c>
      <c r="J1399" s="17" t="str">
        <f>IF(B1399="","",IF(B1398&lt;'02_Eingaben'!$C$36,0,J1398+I1398/'02_Eingaben'!$C$8))</f>
        <v/>
      </c>
    </row>
    <row r="1400" spans="1:10" x14ac:dyDescent="0.25">
      <c r="A1400" t="str">
        <f>IF('01_Rohdaten'!A1400="","",ROW()-1)</f>
        <v/>
      </c>
      <c r="B1400" s="17" t="str">
        <f>IF('01_Rohdaten'!A1400="","",'01_Rohdaten'!A1400)</f>
        <v/>
      </c>
      <c r="C1400" s="17" t="str">
        <f>IF(B1400="","",INDEX('01_Rohdaten'!B1400:D1400,'02_Eingaben'!$C$13))</f>
        <v/>
      </c>
      <c r="D1400" s="17" t="str">
        <f>IF(C1400="","",C1400*'02_Eingaben'!$C$15)</f>
        <v/>
      </c>
      <c r="E1400" s="17" t="str">
        <f>IF(D1400="","",D1400*'02_Eingaben'!$C$8)</f>
        <v/>
      </c>
      <c r="F1400" s="17" t="str">
        <f>IF(E1400="","",AVERAGE(INDEX($E$2:$E$3001,MAX(1,ROW()-1-'02_Eingaben'!$C$17)):INDEX($E$2:$E$3001,MIN('02_Eingaben'!$C$21,ROW()-1+'02_Eingaben'!$C$17))))</f>
        <v/>
      </c>
      <c r="G1400" s="17" t="str">
        <f>IF(F1400="","",F1400-'02_Eingaben'!$C$10)</f>
        <v/>
      </c>
      <c r="H1400" t="str">
        <f>IF(F1400="","",IF(F1400&lt;'02_Eingaben'!$C$18*'02_Eingaben'!$C$10,1,0))</f>
        <v/>
      </c>
      <c r="I1400" s="17" t="str">
        <f t="shared" si="21"/>
        <v/>
      </c>
      <c r="J1400" s="17" t="str">
        <f>IF(B1400="","",IF(B1399&lt;'02_Eingaben'!$C$36,0,J1399+I1399/'02_Eingaben'!$C$8))</f>
        <v/>
      </c>
    </row>
    <row r="1401" spans="1:10" x14ac:dyDescent="0.25">
      <c r="A1401" t="str">
        <f>IF('01_Rohdaten'!A1401="","",ROW()-1)</f>
        <v/>
      </c>
      <c r="B1401" s="17" t="str">
        <f>IF('01_Rohdaten'!A1401="","",'01_Rohdaten'!A1401)</f>
        <v/>
      </c>
      <c r="C1401" s="17" t="str">
        <f>IF(B1401="","",INDEX('01_Rohdaten'!B1401:D1401,'02_Eingaben'!$C$13))</f>
        <v/>
      </c>
      <c r="D1401" s="17" t="str">
        <f>IF(C1401="","",C1401*'02_Eingaben'!$C$15)</f>
        <v/>
      </c>
      <c r="E1401" s="17" t="str">
        <f>IF(D1401="","",D1401*'02_Eingaben'!$C$8)</f>
        <v/>
      </c>
      <c r="F1401" s="17" t="str">
        <f>IF(E1401="","",AVERAGE(INDEX($E$2:$E$3001,MAX(1,ROW()-1-'02_Eingaben'!$C$17)):INDEX($E$2:$E$3001,MIN('02_Eingaben'!$C$21,ROW()-1+'02_Eingaben'!$C$17))))</f>
        <v/>
      </c>
      <c r="G1401" s="17" t="str">
        <f>IF(F1401="","",F1401-'02_Eingaben'!$C$10)</f>
        <v/>
      </c>
      <c r="H1401" t="str">
        <f>IF(F1401="","",IF(F1401&lt;'02_Eingaben'!$C$18*'02_Eingaben'!$C$10,1,0))</f>
        <v/>
      </c>
      <c r="I1401" s="17" t="str">
        <f t="shared" si="21"/>
        <v/>
      </c>
      <c r="J1401" s="17" t="str">
        <f>IF(B1401="","",IF(B1400&lt;'02_Eingaben'!$C$36,0,J1400+I1400/'02_Eingaben'!$C$8))</f>
        <v/>
      </c>
    </row>
    <row r="1402" spans="1:10" x14ac:dyDescent="0.25">
      <c r="A1402" t="str">
        <f>IF('01_Rohdaten'!A1402="","",ROW()-1)</f>
        <v/>
      </c>
      <c r="B1402" s="17" t="str">
        <f>IF('01_Rohdaten'!A1402="","",'01_Rohdaten'!A1402)</f>
        <v/>
      </c>
      <c r="C1402" s="17" t="str">
        <f>IF(B1402="","",INDEX('01_Rohdaten'!B1402:D1402,'02_Eingaben'!$C$13))</f>
        <v/>
      </c>
      <c r="D1402" s="17" t="str">
        <f>IF(C1402="","",C1402*'02_Eingaben'!$C$15)</f>
        <v/>
      </c>
      <c r="E1402" s="17" t="str">
        <f>IF(D1402="","",D1402*'02_Eingaben'!$C$8)</f>
        <v/>
      </c>
      <c r="F1402" s="17" t="str">
        <f>IF(E1402="","",AVERAGE(INDEX($E$2:$E$3001,MAX(1,ROW()-1-'02_Eingaben'!$C$17)):INDEX($E$2:$E$3001,MIN('02_Eingaben'!$C$21,ROW()-1+'02_Eingaben'!$C$17))))</f>
        <v/>
      </c>
      <c r="G1402" s="17" t="str">
        <f>IF(F1402="","",F1402-'02_Eingaben'!$C$10)</f>
        <v/>
      </c>
      <c r="H1402" t="str">
        <f>IF(F1402="","",IF(F1402&lt;'02_Eingaben'!$C$18*'02_Eingaben'!$C$10,1,0))</f>
        <v/>
      </c>
      <c r="I1402" s="17" t="str">
        <f t="shared" si="21"/>
        <v/>
      </c>
      <c r="J1402" s="17" t="str">
        <f>IF(B1402="","",IF(B1401&lt;'02_Eingaben'!$C$36,0,J1401+I1401/'02_Eingaben'!$C$8))</f>
        <v/>
      </c>
    </row>
    <row r="1403" spans="1:10" x14ac:dyDescent="0.25">
      <c r="A1403" t="str">
        <f>IF('01_Rohdaten'!A1403="","",ROW()-1)</f>
        <v/>
      </c>
      <c r="B1403" s="17" t="str">
        <f>IF('01_Rohdaten'!A1403="","",'01_Rohdaten'!A1403)</f>
        <v/>
      </c>
      <c r="C1403" s="17" t="str">
        <f>IF(B1403="","",INDEX('01_Rohdaten'!B1403:D1403,'02_Eingaben'!$C$13))</f>
        <v/>
      </c>
      <c r="D1403" s="17" t="str">
        <f>IF(C1403="","",C1403*'02_Eingaben'!$C$15)</f>
        <v/>
      </c>
      <c r="E1403" s="17" t="str">
        <f>IF(D1403="","",D1403*'02_Eingaben'!$C$8)</f>
        <v/>
      </c>
      <c r="F1403" s="17" t="str">
        <f>IF(E1403="","",AVERAGE(INDEX($E$2:$E$3001,MAX(1,ROW()-1-'02_Eingaben'!$C$17)):INDEX($E$2:$E$3001,MIN('02_Eingaben'!$C$21,ROW()-1+'02_Eingaben'!$C$17))))</f>
        <v/>
      </c>
      <c r="G1403" s="17" t="str">
        <f>IF(F1403="","",F1403-'02_Eingaben'!$C$10)</f>
        <v/>
      </c>
      <c r="H1403" t="str">
        <f>IF(F1403="","",IF(F1403&lt;'02_Eingaben'!$C$18*'02_Eingaben'!$C$10,1,0))</f>
        <v/>
      </c>
      <c r="I1403" s="17" t="str">
        <f t="shared" si="21"/>
        <v/>
      </c>
      <c r="J1403" s="17" t="str">
        <f>IF(B1403="","",IF(B1402&lt;'02_Eingaben'!$C$36,0,J1402+I1402/'02_Eingaben'!$C$8))</f>
        <v/>
      </c>
    </row>
    <row r="1404" spans="1:10" x14ac:dyDescent="0.25">
      <c r="A1404" t="str">
        <f>IF('01_Rohdaten'!A1404="","",ROW()-1)</f>
        <v/>
      </c>
      <c r="B1404" s="17" t="str">
        <f>IF('01_Rohdaten'!A1404="","",'01_Rohdaten'!A1404)</f>
        <v/>
      </c>
      <c r="C1404" s="17" t="str">
        <f>IF(B1404="","",INDEX('01_Rohdaten'!B1404:D1404,'02_Eingaben'!$C$13))</f>
        <v/>
      </c>
      <c r="D1404" s="17" t="str">
        <f>IF(C1404="","",C1404*'02_Eingaben'!$C$15)</f>
        <v/>
      </c>
      <c r="E1404" s="17" t="str">
        <f>IF(D1404="","",D1404*'02_Eingaben'!$C$8)</f>
        <v/>
      </c>
      <c r="F1404" s="17" t="str">
        <f>IF(E1404="","",AVERAGE(INDEX($E$2:$E$3001,MAX(1,ROW()-1-'02_Eingaben'!$C$17)):INDEX($E$2:$E$3001,MIN('02_Eingaben'!$C$21,ROW()-1+'02_Eingaben'!$C$17))))</f>
        <v/>
      </c>
      <c r="G1404" s="17" t="str">
        <f>IF(F1404="","",F1404-'02_Eingaben'!$C$10)</f>
        <v/>
      </c>
      <c r="H1404" t="str">
        <f>IF(F1404="","",IF(F1404&lt;'02_Eingaben'!$C$18*'02_Eingaben'!$C$10,1,0))</f>
        <v/>
      </c>
      <c r="I1404" s="17" t="str">
        <f t="shared" si="21"/>
        <v/>
      </c>
      <c r="J1404" s="17" t="str">
        <f>IF(B1404="","",IF(B1403&lt;'02_Eingaben'!$C$36,0,J1403+I1403/'02_Eingaben'!$C$8))</f>
        <v/>
      </c>
    </row>
    <row r="1405" spans="1:10" x14ac:dyDescent="0.25">
      <c r="A1405" t="str">
        <f>IF('01_Rohdaten'!A1405="","",ROW()-1)</f>
        <v/>
      </c>
      <c r="B1405" s="17" t="str">
        <f>IF('01_Rohdaten'!A1405="","",'01_Rohdaten'!A1405)</f>
        <v/>
      </c>
      <c r="C1405" s="17" t="str">
        <f>IF(B1405="","",INDEX('01_Rohdaten'!B1405:D1405,'02_Eingaben'!$C$13))</f>
        <v/>
      </c>
      <c r="D1405" s="17" t="str">
        <f>IF(C1405="","",C1405*'02_Eingaben'!$C$15)</f>
        <v/>
      </c>
      <c r="E1405" s="17" t="str">
        <f>IF(D1405="","",D1405*'02_Eingaben'!$C$8)</f>
        <v/>
      </c>
      <c r="F1405" s="17" t="str">
        <f>IF(E1405="","",AVERAGE(INDEX($E$2:$E$3001,MAX(1,ROW()-1-'02_Eingaben'!$C$17)):INDEX($E$2:$E$3001,MIN('02_Eingaben'!$C$21,ROW()-1+'02_Eingaben'!$C$17))))</f>
        <v/>
      </c>
      <c r="G1405" s="17" t="str">
        <f>IF(F1405="","",F1405-'02_Eingaben'!$C$10)</f>
        <v/>
      </c>
      <c r="H1405" t="str">
        <f>IF(F1405="","",IF(F1405&lt;'02_Eingaben'!$C$18*'02_Eingaben'!$C$10,1,0))</f>
        <v/>
      </c>
      <c r="I1405" s="17" t="str">
        <f t="shared" si="21"/>
        <v/>
      </c>
      <c r="J1405" s="17" t="str">
        <f>IF(B1405="","",IF(B1404&lt;'02_Eingaben'!$C$36,0,J1404+I1404/'02_Eingaben'!$C$8))</f>
        <v/>
      </c>
    </row>
    <row r="1406" spans="1:10" x14ac:dyDescent="0.25">
      <c r="A1406" t="str">
        <f>IF('01_Rohdaten'!A1406="","",ROW()-1)</f>
        <v/>
      </c>
      <c r="B1406" s="17" t="str">
        <f>IF('01_Rohdaten'!A1406="","",'01_Rohdaten'!A1406)</f>
        <v/>
      </c>
      <c r="C1406" s="17" t="str">
        <f>IF(B1406="","",INDEX('01_Rohdaten'!B1406:D1406,'02_Eingaben'!$C$13))</f>
        <v/>
      </c>
      <c r="D1406" s="17" t="str">
        <f>IF(C1406="","",C1406*'02_Eingaben'!$C$15)</f>
        <v/>
      </c>
      <c r="E1406" s="17" t="str">
        <f>IF(D1406="","",D1406*'02_Eingaben'!$C$8)</f>
        <v/>
      </c>
      <c r="F1406" s="17" t="str">
        <f>IF(E1406="","",AVERAGE(INDEX($E$2:$E$3001,MAX(1,ROW()-1-'02_Eingaben'!$C$17)):INDEX($E$2:$E$3001,MIN('02_Eingaben'!$C$21,ROW()-1+'02_Eingaben'!$C$17))))</f>
        <v/>
      </c>
      <c r="G1406" s="17" t="str">
        <f>IF(F1406="","",F1406-'02_Eingaben'!$C$10)</f>
        <v/>
      </c>
      <c r="H1406" t="str">
        <f>IF(F1406="","",IF(F1406&lt;'02_Eingaben'!$C$18*'02_Eingaben'!$C$10,1,0))</f>
        <v/>
      </c>
      <c r="I1406" s="17" t="str">
        <f t="shared" si="21"/>
        <v/>
      </c>
      <c r="J1406" s="17" t="str">
        <f>IF(B1406="","",IF(B1405&lt;'02_Eingaben'!$C$36,0,J1405+I1405/'02_Eingaben'!$C$8))</f>
        <v/>
      </c>
    </row>
    <row r="1407" spans="1:10" x14ac:dyDescent="0.25">
      <c r="A1407" t="str">
        <f>IF('01_Rohdaten'!A1407="","",ROW()-1)</f>
        <v/>
      </c>
      <c r="B1407" s="17" t="str">
        <f>IF('01_Rohdaten'!A1407="","",'01_Rohdaten'!A1407)</f>
        <v/>
      </c>
      <c r="C1407" s="17" t="str">
        <f>IF(B1407="","",INDEX('01_Rohdaten'!B1407:D1407,'02_Eingaben'!$C$13))</f>
        <v/>
      </c>
      <c r="D1407" s="17" t="str">
        <f>IF(C1407="","",C1407*'02_Eingaben'!$C$15)</f>
        <v/>
      </c>
      <c r="E1407" s="17" t="str">
        <f>IF(D1407="","",D1407*'02_Eingaben'!$C$8)</f>
        <v/>
      </c>
      <c r="F1407" s="17" t="str">
        <f>IF(E1407="","",AVERAGE(INDEX($E$2:$E$3001,MAX(1,ROW()-1-'02_Eingaben'!$C$17)):INDEX($E$2:$E$3001,MIN('02_Eingaben'!$C$21,ROW()-1+'02_Eingaben'!$C$17))))</f>
        <v/>
      </c>
      <c r="G1407" s="17" t="str">
        <f>IF(F1407="","",F1407-'02_Eingaben'!$C$10)</f>
        <v/>
      </c>
      <c r="H1407" t="str">
        <f>IF(F1407="","",IF(F1407&lt;'02_Eingaben'!$C$18*'02_Eingaben'!$C$10,1,0))</f>
        <v/>
      </c>
      <c r="I1407" s="17" t="str">
        <f t="shared" si="21"/>
        <v/>
      </c>
      <c r="J1407" s="17" t="str">
        <f>IF(B1407="","",IF(B1406&lt;'02_Eingaben'!$C$36,0,J1406+I1406/'02_Eingaben'!$C$8))</f>
        <v/>
      </c>
    </row>
    <row r="1408" spans="1:10" x14ac:dyDescent="0.25">
      <c r="A1408" t="str">
        <f>IF('01_Rohdaten'!A1408="","",ROW()-1)</f>
        <v/>
      </c>
      <c r="B1408" s="17" t="str">
        <f>IF('01_Rohdaten'!A1408="","",'01_Rohdaten'!A1408)</f>
        <v/>
      </c>
      <c r="C1408" s="17" t="str">
        <f>IF(B1408="","",INDEX('01_Rohdaten'!B1408:D1408,'02_Eingaben'!$C$13))</f>
        <v/>
      </c>
      <c r="D1408" s="17" t="str">
        <f>IF(C1408="","",C1408*'02_Eingaben'!$C$15)</f>
        <v/>
      </c>
      <c r="E1408" s="17" t="str">
        <f>IF(D1408="","",D1408*'02_Eingaben'!$C$8)</f>
        <v/>
      </c>
      <c r="F1408" s="17" t="str">
        <f>IF(E1408="","",AVERAGE(INDEX($E$2:$E$3001,MAX(1,ROW()-1-'02_Eingaben'!$C$17)):INDEX($E$2:$E$3001,MIN('02_Eingaben'!$C$21,ROW()-1+'02_Eingaben'!$C$17))))</f>
        <v/>
      </c>
      <c r="G1408" s="17" t="str">
        <f>IF(F1408="","",F1408-'02_Eingaben'!$C$10)</f>
        <v/>
      </c>
      <c r="H1408" t="str">
        <f>IF(F1408="","",IF(F1408&lt;'02_Eingaben'!$C$18*'02_Eingaben'!$C$10,1,0))</f>
        <v/>
      </c>
      <c r="I1408" s="17" t="str">
        <f t="shared" si="21"/>
        <v/>
      </c>
      <c r="J1408" s="17" t="str">
        <f>IF(B1408="","",IF(B1407&lt;'02_Eingaben'!$C$36,0,J1407+I1407/'02_Eingaben'!$C$8))</f>
        <v/>
      </c>
    </row>
    <row r="1409" spans="1:10" x14ac:dyDescent="0.25">
      <c r="A1409" t="str">
        <f>IF('01_Rohdaten'!A1409="","",ROW()-1)</f>
        <v/>
      </c>
      <c r="B1409" s="17" t="str">
        <f>IF('01_Rohdaten'!A1409="","",'01_Rohdaten'!A1409)</f>
        <v/>
      </c>
      <c r="C1409" s="17" t="str">
        <f>IF(B1409="","",INDEX('01_Rohdaten'!B1409:D1409,'02_Eingaben'!$C$13))</f>
        <v/>
      </c>
      <c r="D1409" s="17" t="str">
        <f>IF(C1409="","",C1409*'02_Eingaben'!$C$15)</f>
        <v/>
      </c>
      <c r="E1409" s="17" t="str">
        <f>IF(D1409="","",D1409*'02_Eingaben'!$C$8)</f>
        <v/>
      </c>
      <c r="F1409" s="17" t="str">
        <f>IF(E1409="","",AVERAGE(INDEX($E$2:$E$3001,MAX(1,ROW()-1-'02_Eingaben'!$C$17)):INDEX($E$2:$E$3001,MIN('02_Eingaben'!$C$21,ROW()-1+'02_Eingaben'!$C$17))))</f>
        <v/>
      </c>
      <c r="G1409" s="17" t="str">
        <f>IF(F1409="","",F1409-'02_Eingaben'!$C$10)</f>
        <v/>
      </c>
      <c r="H1409" t="str">
        <f>IF(F1409="","",IF(F1409&lt;'02_Eingaben'!$C$18*'02_Eingaben'!$C$10,1,0))</f>
        <v/>
      </c>
      <c r="I1409" s="17" t="str">
        <f t="shared" si="21"/>
        <v/>
      </c>
      <c r="J1409" s="17" t="str">
        <f>IF(B1409="","",IF(B1408&lt;'02_Eingaben'!$C$36,0,J1408+I1408/'02_Eingaben'!$C$8))</f>
        <v/>
      </c>
    </row>
    <row r="1410" spans="1:10" x14ac:dyDescent="0.25">
      <c r="A1410" t="str">
        <f>IF('01_Rohdaten'!A1410="","",ROW()-1)</f>
        <v/>
      </c>
      <c r="B1410" s="17" t="str">
        <f>IF('01_Rohdaten'!A1410="","",'01_Rohdaten'!A1410)</f>
        <v/>
      </c>
      <c r="C1410" s="17" t="str">
        <f>IF(B1410="","",INDEX('01_Rohdaten'!B1410:D1410,'02_Eingaben'!$C$13))</f>
        <v/>
      </c>
      <c r="D1410" s="17" t="str">
        <f>IF(C1410="","",C1410*'02_Eingaben'!$C$15)</f>
        <v/>
      </c>
      <c r="E1410" s="17" t="str">
        <f>IF(D1410="","",D1410*'02_Eingaben'!$C$8)</f>
        <v/>
      </c>
      <c r="F1410" s="17" t="str">
        <f>IF(E1410="","",AVERAGE(INDEX($E$2:$E$3001,MAX(1,ROW()-1-'02_Eingaben'!$C$17)):INDEX($E$2:$E$3001,MIN('02_Eingaben'!$C$21,ROW()-1+'02_Eingaben'!$C$17))))</f>
        <v/>
      </c>
      <c r="G1410" s="17" t="str">
        <f>IF(F1410="","",F1410-'02_Eingaben'!$C$10)</f>
        <v/>
      </c>
      <c r="H1410" t="str">
        <f>IF(F1410="","",IF(F1410&lt;'02_Eingaben'!$C$18*'02_Eingaben'!$C$10,1,0))</f>
        <v/>
      </c>
      <c r="I1410" s="17" t="str">
        <f t="shared" ref="I1410:I1473" si="22">IF(OR(G1410="",G1411=""),"",(G1410+G1411)/2*(B1411-B1410))</f>
        <v/>
      </c>
      <c r="J1410" s="17" t="str">
        <f>IF(B1410="","",IF(B1409&lt;'02_Eingaben'!$C$36,0,J1409+I1409/'02_Eingaben'!$C$8))</f>
        <v/>
      </c>
    </row>
    <row r="1411" spans="1:10" x14ac:dyDescent="0.25">
      <c r="A1411" t="str">
        <f>IF('01_Rohdaten'!A1411="","",ROW()-1)</f>
        <v/>
      </c>
      <c r="B1411" s="17" t="str">
        <f>IF('01_Rohdaten'!A1411="","",'01_Rohdaten'!A1411)</f>
        <v/>
      </c>
      <c r="C1411" s="17" t="str">
        <f>IF(B1411="","",INDEX('01_Rohdaten'!B1411:D1411,'02_Eingaben'!$C$13))</f>
        <v/>
      </c>
      <c r="D1411" s="17" t="str">
        <f>IF(C1411="","",C1411*'02_Eingaben'!$C$15)</f>
        <v/>
      </c>
      <c r="E1411" s="17" t="str">
        <f>IF(D1411="","",D1411*'02_Eingaben'!$C$8)</f>
        <v/>
      </c>
      <c r="F1411" s="17" t="str">
        <f>IF(E1411="","",AVERAGE(INDEX($E$2:$E$3001,MAX(1,ROW()-1-'02_Eingaben'!$C$17)):INDEX($E$2:$E$3001,MIN('02_Eingaben'!$C$21,ROW()-1+'02_Eingaben'!$C$17))))</f>
        <v/>
      </c>
      <c r="G1411" s="17" t="str">
        <f>IF(F1411="","",F1411-'02_Eingaben'!$C$10)</f>
        <v/>
      </c>
      <c r="H1411" t="str">
        <f>IF(F1411="","",IF(F1411&lt;'02_Eingaben'!$C$18*'02_Eingaben'!$C$10,1,0))</f>
        <v/>
      </c>
      <c r="I1411" s="17" t="str">
        <f t="shared" si="22"/>
        <v/>
      </c>
      <c r="J1411" s="17" t="str">
        <f>IF(B1411="","",IF(B1410&lt;'02_Eingaben'!$C$36,0,J1410+I1410/'02_Eingaben'!$C$8))</f>
        <v/>
      </c>
    </row>
    <row r="1412" spans="1:10" x14ac:dyDescent="0.25">
      <c r="A1412" t="str">
        <f>IF('01_Rohdaten'!A1412="","",ROW()-1)</f>
        <v/>
      </c>
      <c r="B1412" s="17" t="str">
        <f>IF('01_Rohdaten'!A1412="","",'01_Rohdaten'!A1412)</f>
        <v/>
      </c>
      <c r="C1412" s="17" t="str">
        <f>IF(B1412="","",INDEX('01_Rohdaten'!B1412:D1412,'02_Eingaben'!$C$13))</f>
        <v/>
      </c>
      <c r="D1412" s="17" t="str">
        <f>IF(C1412="","",C1412*'02_Eingaben'!$C$15)</f>
        <v/>
      </c>
      <c r="E1412" s="17" t="str">
        <f>IF(D1412="","",D1412*'02_Eingaben'!$C$8)</f>
        <v/>
      </c>
      <c r="F1412" s="17" t="str">
        <f>IF(E1412="","",AVERAGE(INDEX($E$2:$E$3001,MAX(1,ROW()-1-'02_Eingaben'!$C$17)):INDEX($E$2:$E$3001,MIN('02_Eingaben'!$C$21,ROW()-1+'02_Eingaben'!$C$17))))</f>
        <v/>
      </c>
      <c r="G1412" s="17" t="str">
        <f>IF(F1412="","",F1412-'02_Eingaben'!$C$10)</f>
        <v/>
      </c>
      <c r="H1412" t="str">
        <f>IF(F1412="","",IF(F1412&lt;'02_Eingaben'!$C$18*'02_Eingaben'!$C$10,1,0))</f>
        <v/>
      </c>
      <c r="I1412" s="17" t="str">
        <f t="shared" si="22"/>
        <v/>
      </c>
      <c r="J1412" s="17" t="str">
        <f>IF(B1412="","",IF(B1411&lt;'02_Eingaben'!$C$36,0,J1411+I1411/'02_Eingaben'!$C$8))</f>
        <v/>
      </c>
    </row>
    <row r="1413" spans="1:10" x14ac:dyDescent="0.25">
      <c r="A1413" t="str">
        <f>IF('01_Rohdaten'!A1413="","",ROW()-1)</f>
        <v/>
      </c>
      <c r="B1413" s="17" t="str">
        <f>IF('01_Rohdaten'!A1413="","",'01_Rohdaten'!A1413)</f>
        <v/>
      </c>
      <c r="C1413" s="17" t="str">
        <f>IF(B1413="","",INDEX('01_Rohdaten'!B1413:D1413,'02_Eingaben'!$C$13))</f>
        <v/>
      </c>
      <c r="D1413" s="17" t="str">
        <f>IF(C1413="","",C1413*'02_Eingaben'!$C$15)</f>
        <v/>
      </c>
      <c r="E1413" s="17" t="str">
        <f>IF(D1413="","",D1413*'02_Eingaben'!$C$8)</f>
        <v/>
      </c>
      <c r="F1413" s="17" t="str">
        <f>IF(E1413="","",AVERAGE(INDEX($E$2:$E$3001,MAX(1,ROW()-1-'02_Eingaben'!$C$17)):INDEX($E$2:$E$3001,MIN('02_Eingaben'!$C$21,ROW()-1+'02_Eingaben'!$C$17))))</f>
        <v/>
      </c>
      <c r="G1413" s="17" t="str">
        <f>IF(F1413="","",F1413-'02_Eingaben'!$C$10)</f>
        <v/>
      </c>
      <c r="H1413" t="str">
        <f>IF(F1413="","",IF(F1413&lt;'02_Eingaben'!$C$18*'02_Eingaben'!$C$10,1,0))</f>
        <v/>
      </c>
      <c r="I1413" s="17" t="str">
        <f t="shared" si="22"/>
        <v/>
      </c>
      <c r="J1413" s="17" t="str">
        <f>IF(B1413="","",IF(B1412&lt;'02_Eingaben'!$C$36,0,J1412+I1412/'02_Eingaben'!$C$8))</f>
        <v/>
      </c>
    </row>
    <row r="1414" spans="1:10" x14ac:dyDescent="0.25">
      <c r="A1414" t="str">
        <f>IF('01_Rohdaten'!A1414="","",ROW()-1)</f>
        <v/>
      </c>
      <c r="B1414" s="17" t="str">
        <f>IF('01_Rohdaten'!A1414="","",'01_Rohdaten'!A1414)</f>
        <v/>
      </c>
      <c r="C1414" s="17" t="str">
        <f>IF(B1414="","",INDEX('01_Rohdaten'!B1414:D1414,'02_Eingaben'!$C$13))</f>
        <v/>
      </c>
      <c r="D1414" s="17" t="str">
        <f>IF(C1414="","",C1414*'02_Eingaben'!$C$15)</f>
        <v/>
      </c>
      <c r="E1414" s="17" t="str">
        <f>IF(D1414="","",D1414*'02_Eingaben'!$C$8)</f>
        <v/>
      </c>
      <c r="F1414" s="17" t="str">
        <f>IF(E1414="","",AVERAGE(INDEX($E$2:$E$3001,MAX(1,ROW()-1-'02_Eingaben'!$C$17)):INDEX($E$2:$E$3001,MIN('02_Eingaben'!$C$21,ROW()-1+'02_Eingaben'!$C$17))))</f>
        <v/>
      </c>
      <c r="G1414" s="17" t="str">
        <f>IF(F1414="","",F1414-'02_Eingaben'!$C$10)</f>
        <v/>
      </c>
      <c r="H1414" t="str">
        <f>IF(F1414="","",IF(F1414&lt;'02_Eingaben'!$C$18*'02_Eingaben'!$C$10,1,0))</f>
        <v/>
      </c>
      <c r="I1414" s="17" t="str">
        <f t="shared" si="22"/>
        <v/>
      </c>
      <c r="J1414" s="17" t="str">
        <f>IF(B1414="","",IF(B1413&lt;'02_Eingaben'!$C$36,0,J1413+I1413/'02_Eingaben'!$C$8))</f>
        <v/>
      </c>
    </row>
    <row r="1415" spans="1:10" x14ac:dyDescent="0.25">
      <c r="A1415" t="str">
        <f>IF('01_Rohdaten'!A1415="","",ROW()-1)</f>
        <v/>
      </c>
      <c r="B1415" s="17" t="str">
        <f>IF('01_Rohdaten'!A1415="","",'01_Rohdaten'!A1415)</f>
        <v/>
      </c>
      <c r="C1415" s="17" t="str">
        <f>IF(B1415="","",INDEX('01_Rohdaten'!B1415:D1415,'02_Eingaben'!$C$13))</f>
        <v/>
      </c>
      <c r="D1415" s="17" t="str">
        <f>IF(C1415="","",C1415*'02_Eingaben'!$C$15)</f>
        <v/>
      </c>
      <c r="E1415" s="17" t="str">
        <f>IF(D1415="","",D1415*'02_Eingaben'!$C$8)</f>
        <v/>
      </c>
      <c r="F1415" s="17" t="str">
        <f>IF(E1415="","",AVERAGE(INDEX($E$2:$E$3001,MAX(1,ROW()-1-'02_Eingaben'!$C$17)):INDEX($E$2:$E$3001,MIN('02_Eingaben'!$C$21,ROW()-1+'02_Eingaben'!$C$17))))</f>
        <v/>
      </c>
      <c r="G1415" s="17" t="str">
        <f>IF(F1415="","",F1415-'02_Eingaben'!$C$10)</f>
        <v/>
      </c>
      <c r="H1415" t="str">
        <f>IF(F1415="","",IF(F1415&lt;'02_Eingaben'!$C$18*'02_Eingaben'!$C$10,1,0))</f>
        <v/>
      </c>
      <c r="I1415" s="17" t="str">
        <f t="shared" si="22"/>
        <v/>
      </c>
      <c r="J1415" s="17" t="str">
        <f>IF(B1415="","",IF(B1414&lt;'02_Eingaben'!$C$36,0,J1414+I1414/'02_Eingaben'!$C$8))</f>
        <v/>
      </c>
    </row>
    <row r="1416" spans="1:10" x14ac:dyDescent="0.25">
      <c r="A1416" t="str">
        <f>IF('01_Rohdaten'!A1416="","",ROW()-1)</f>
        <v/>
      </c>
      <c r="B1416" s="17" t="str">
        <f>IF('01_Rohdaten'!A1416="","",'01_Rohdaten'!A1416)</f>
        <v/>
      </c>
      <c r="C1416" s="17" t="str">
        <f>IF(B1416="","",INDEX('01_Rohdaten'!B1416:D1416,'02_Eingaben'!$C$13))</f>
        <v/>
      </c>
      <c r="D1416" s="17" t="str">
        <f>IF(C1416="","",C1416*'02_Eingaben'!$C$15)</f>
        <v/>
      </c>
      <c r="E1416" s="17" t="str">
        <f>IF(D1416="","",D1416*'02_Eingaben'!$C$8)</f>
        <v/>
      </c>
      <c r="F1416" s="17" t="str">
        <f>IF(E1416="","",AVERAGE(INDEX($E$2:$E$3001,MAX(1,ROW()-1-'02_Eingaben'!$C$17)):INDEX($E$2:$E$3001,MIN('02_Eingaben'!$C$21,ROW()-1+'02_Eingaben'!$C$17))))</f>
        <v/>
      </c>
      <c r="G1416" s="17" t="str">
        <f>IF(F1416="","",F1416-'02_Eingaben'!$C$10)</f>
        <v/>
      </c>
      <c r="H1416" t="str">
        <f>IF(F1416="","",IF(F1416&lt;'02_Eingaben'!$C$18*'02_Eingaben'!$C$10,1,0))</f>
        <v/>
      </c>
      <c r="I1416" s="17" t="str">
        <f t="shared" si="22"/>
        <v/>
      </c>
      <c r="J1416" s="17" t="str">
        <f>IF(B1416="","",IF(B1415&lt;'02_Eingaben'!$C$36,0,J1415+I1415/'02_Eingaben'!$C$8))</f>
        <v/>
      </c>
    </row>
    <row r="1417" spans="1:10" x14ac:dyDescent="0.25">
      <c r="A1417" t="str">
        <f>IF('01_Rohdaten'!A1417="","",ROW()-1)</f>
        <v/>
      </c>
      <c r="B1417" s="17" t="str">
        <f>IF('01_Rohdaten'!A1417="","",'01_Rohdaten'!A1417)</f>
        <v/>
      </c>
      <c r="C1417" s="17" t="str">
        <f>IF(B1417="","",INDEX('01_Rohdaten'!B1417:D1417,'02_Eingaben'!$C$13))</f>
        <v/>
      </c>
      <c r="D1417" s="17" t="str">
        <f>IF(C1417="","",C1417*'02_Eingaben'!$C$15)</f>
        <v/>
      </c>
      <c r="E1417" s="17" t="str">
        <f>IF(D1417="","",D1417*'02_Eingaben'!$C$8)</f>
        <v/>
      </c>
      <c r="F1417" s="17" t="str">
        <f>IF(E1417="","",AVERAGE(INDEX($E$2:$E$3001,MAX(1,ROW()-1-'02_Eingaben'!$C$17)):INDEX($E$2:$E$3001,MIN('02_Eingaben'!$C$21,ROW()-1+'02_Eingaben'!$C$17))))</f>
        <v/>
      </c>
      <c r="G1417" s="17" t="str">
        <f>IF(F1417="","",F1417-'02_Eingaben'!$C$10)</f>
        <v/>
      </c>
      <c r="H1417" t="str">
        <f>IF(F1417="","",IF(F1417&lt;'02_Eingaben'!$C$18*'02_Eingaben'!$C$10,1,0))</f>
        <v/>
      </c>
      <c r="I1417" s="17" t="str">
        <f t="shared" si="22"/>
        <v/>
      </c>
      <c r="J1417" s="17" t="str">
        <f>IF(B1417="","",IF(B1416&lt;'02_Eingaben'!$C$36,0,J1416+I1416/'02_Eingaben'!$C$8))</f>
        <v/>
      </c>
    </row>
    <row r="1418" spans="1:10" x14ac:dyDescent="0.25">
      <c r="A1418" t="str">
        <f>IF('01_Rohdaten'!A1418="","",ROW()-1)</f>
        <v/>
      </c>
      <c r="B1418" s="17" t="str">
        <f>IF('01_Rohdaten'!A1418="","",'01_Rohdaten'!A1418)</f>
        <v/>
      </c>
      <c r="C1418" s="17" t="str">
        <f>IF(B1418="","",INDEX('01_Rohdaten'!B1418:D1418,'02_Eingaben'!$C$13))</f>
        <v/>
      </c>
      <c r="D1418" s="17" t="str">
        <f>IF(C1418="","",C1418*'02_Eingaben'!$C$15)</f>
        <v/>
      </c>
      <c r="E1418" s="17" t="str">
        <f>IF(D1418="","",D1418*'02_Eingaben'!$C$8)</f>
        <v/>
      </c>
      <c r="F1418" s="17" t="str">
        <f>IF(E1418="","",AVERAGE(INDEX($E$2:$E$3001,MAX(1,ROW()-1-'02_Eingaben'!$C$17)):INDEX($E$2:$E$3001,MIN('02_Eingaben'!$C$21,ROW()-1+'02_Eingaben'!$C$17))))</f>
        <v/>
      </c>
      <c r="G1418" s="17" t="str">
        <f>IF(F1418="","",F1418-'02_Eingaben'!$C$10)</f>
        <v/>
      </c>
      <c r="H1418" t="str">
        <f>IF(F1418="","",IF(F1418&lt;'02_Eingaben'!$C$18*'02_Eingaben'!$C$10,1,0))</f>
        <v/>
      </c>
      <c r="I1418" s="17" t="str">
        <f t="shared" si="22"/>
        <v/>
      </c>
      <c r="J1418" s="17" t="str">
        <f>IF(B1418="","",IF(B1417&lt;'02_Eingaben'!$C$36,0,J1417+I1417/'02_Eingaben'!$C$8))</f>
        <v/>
      </c>
    </row>
    <row r="1419" spans="1:10" x14ac:dyDescent="0.25">
      <c r="A1419" t="str">
        <f>IF('01_Rohdaten'!A1419="","",ROW()-1)</f>
        <v/>
      </c>
      <c r="B1419" s="17" t="str">
        <f>IF('01_Rohdaten'!A1419="","",'01_Rohdaten'!A1419)</f>
        <v/>
      </c>
      <c r="C1419" s="17" t="str">
        <f>IF(B1419="","",INDEX('01_Rohdaten'!B1419:D1419,'02_Eingaben'!$C$13))</f>
        <v/>
      </c>
      <c r="D1419" s="17" t="str">
        <f>IF(C1419="","",C1419*'02_Eingaben'!$C$15)</f>
        <v/>
      </c>
      <c r="E1419" s="17" t="str">
        <f>IF(D1419="","",D1419*'02_Eingaben'!$C$8)</f>
        <v/>
      </c>
      <c r="F1419" s="17" t="str">
        <f>IF(E1419="","",AVERAGE(INDEX($E$2:$E$3001,MAX(1,ROW()-1-'02_Eingaben'!$C$17)):INDEX($E$2:$E$3001,MIN('02_Eingaben'!$C$21,ROW()-1+'02_Eingaben'!$C$17))))</f>
        <v/>
      </c>
      <c r="G1419" s="17" t="str">
        <f>IF(F1419="","",F1419-'02_Eingaben'!$C$10)</f>
        <v/>
      </c>
      <c r="H1419" t="str">
        <f>IF(F1419="","",IF(F1419&lt;'02_Eingaben'!$C$18*'02_Eingaben'!$C$10,1,0))</f>
        <v/>
      </c>
      <c r="I1419" s="17" t="str">
        <f t="shared" si="22"/>
        <v/>
      </c>
      <c r="J1419" s="17" t="str">
        <f>IF(B1419="","",IF(B1418&lt;'02_Eingaben'!$C$36,0,J1418+I1418/'02_Eingaben'!$C$8))</f>
        <v/>
      </c>
    </row>
    <row r="1420" spans="1:10" x14ac:dyDescent="0.25">
      <c r="A1420" t="str">
        <f>IF('01_Rohdaten'!A1420="","",ROW()-1)</f>
        <v/>
      </c>
      <c r="B1420" s="17" t="str">
        <f>IF('01_Rohdaten'!A1420="","",'01_Rohdaten'!A1420)</f>
        <v/>
      </c>
      <c r="C1420" s="17" t="str">
        <f>IF(B1420="","",INDEX('01_Rohdaten'!B1420:D1420,'02_Eingaben'!$C$13))</f>
        <v/>
      </c>
      <c r="D1420" s="17" t="str">
        <f>IF(C1420="","",C1420*'02_Eingaben'!$C$15)</f>
        <v/>
      </c>
      <c r="E1420" s="17" t="str">
        <f>IF(D1420="","",D1420*'02_Eingaben'!$C$8)</f>
        <v/>
      </c>
      <c r="F1420" s="17" t="str">
        <f>IF(E1420="","",AVERAGE(INDEX($E$2:$E$3001,MAX(1,ROW()-1-'02_Eingaben'!$C$17)):INDEX($E$2:$E$3001,MIN('02_Eingaben'!$C$21,ROW()-1+'02_Eingaben'!$C$17))))</f>
        <v/>
      </c>
      <c r="G1420" s="17" t="str">
        <f>IF(F1420="","",F1420-'02_Eingaben'!$C$10)</f>
        <v/>
      </c>
      <c r="H1420" t="str">
        <f>IF(F1420="","",IF(F1420&lt;'02_Eingaben'!$C$18*'02_Eingaben'!$C$10,1,0))</f>
        <v/>
      </c>
      <c r="I1420" s="17" t="str">
        <f t="shared" si="22"/>
        <v/>
      </c>
      <c r="J1420" s="17" t="str">
        <f>IF(B1420="","",IF(B1419&lt;'02_Eingaben'!$C$36,0,J1419+I1419/'02_Eingaben'!$C$8))</f>
        <v/>
      </c>
    </row>
    <row r="1421" spans="1:10" x14ac:dyDescent="0.25">
      <c r="A1421" t="str">
        <f>IF('01_Rohdaten'!A1421="","",ROW()-1)</f>
        <v/>
      </c>
      <c r="B1421" s="17" t="str">
        <f>IF('01_Rohdaten'!A1421="","",'01_Rohdaten'!A1421)</f>
        <v/>
      </c>
      <c r="C1421" s="17" t="str">
        <f>IF(B1421="","",INDEX('01_Rohdaten'!B1421:D1421,'02_Eingaben'!$C$13))</f>
        <v/>
      </c>
      <c r="D1421" s="17" t="str">
        <f>IF(C1421="","",C1421*'02_Eingaben'!$C$15)</f>
        <v/>
      </c>
      <c r="E1421" s="17" t="str">
        <f>IF(D1421="","",D1421*'02_Eingaben'!$C$8)</f>
        <v/>
      </c>
      <c r="F1421" s="17" t="str">
        <f>IF(E1421="","",AVERAGE(INDEX($E$2:$E$3001,MAX(1,ROW()-1-'02_Eingaben'!$C$17)):INDEX($E$2:$E$3001,MIN('02_Eingaben'!$C$21,ROW()-1+'02_Eingaben'!$C$17))))</f>
        <v/>
      </c>
      <c r="G1421" s="17" t="str">
        <f>IF(F1421="","",F1421-'02_Eingaben'!$C$10)</f>
        <v/>
      </c>
      <c r="H1421" t="str">
        <f>IF(F1421="","",IF(F1421&lt;'02_Eingaben'!$C$18*'02_Eingaben'!$C$10,1,0))</f>
        <v/>
      </c>
      <c r="I1421" s="17" t="str">
        <f t="shared" si="22"/>
        <v/>
      </c>
      <c r="J1421" s="17" t="str">
        <f>IF(B1421="","",IF(B1420&lt;'02_Eingaben'!$C$36,0,J1420+I1420/'02_Eingaben'!$C$8))</f>
        <v/>
      </c>
    </row>
    <row r="1422" spans="1:10" x14ac:dyDescent="0.25">
      <c r="A1422" t="str">
        <f>IF('01_Rohdaten'!A1422="","",ROW()-1)</f>
        <v/>
      </c>
      <c r="B1422" s="17" t="str">
        <f>IF('01_Rohdaten'!A1422="","",'01_Rohdaten'!A1422)</f>
        <v/>
      </c>
      <c r="C1422" s="17" t="str">
        <f>IF(B1422="","",INDEX('01_Rohdaten'!B1422:D1422,'02_Eingaben'!$C$13))</f>
        <v/>
      </c>
      <c r="D1422" s="17" t="str">
        <f>IF(C1422="","",C1422*'02_Eingaben'!$C$15)</f>
        <v/>
      </c>
      <c r="E1422" s="17" t="str">
        <f>IF(D1422="","",D1422*'02_Eingaben'!$C$8)</f>
        <v/>
      </c>
      <c r="F1422" s="17" t="str">
        <f>IF(E1422="","",AVERAGE(INDEX($E$2:$E$3001,MAX(1,ROW()-1-'02_Eingaben'!$C$17)):INDEX($E$2:$E$3001,MIN('02_Eingaben'!$C$21,ROW()-1+'02_Eingaben'!$C$17))))</f>
        <v/>
      </c>
      <c r="G1422" s="17" t="str">
        <f>IF(F1422="","",F1422-'02_Eingaben'!$C$10)</f>
        <v/>
      </c>
      <c r="H1422" t="str">
        <f>IF(F1422="","",IF(F1422&lt;'02_Eingaben'!$C$18*'02_Eingaben'!$C$10,1,0))</f>
        <v/>
      </c>
      <c r="I1422" s="17" t="str">
        <f t="shared" si="22"/>
        <v/>
      </c>
      <c r="J1422" s="17" t="str">
        <f>IF(B1422="","",IF(B1421&lt;'02_Eingaben'!$C$36,0,J1421+I1421/'02_Eingaben'!$C$8))</f>
        <v/>
      </c>
    </row>
    <row r="1423" spans="1:10" x14ac:dyDescent="0.25">
      <c r="A1423" t="str">
        <f>IF('01_Rohdaten'!A1423="","",ROW()-1)</f>
        <v/>
      </c>
      <c r="B1423" s="17" t="str">
        <f>IF('01_Rohdaten'!A1423="","",'01_Rohdaten'!A1423)</f>
        <v/>
      </c>
      <c r="C1423" s="17" t="str">
        <f>IF(B1423="","",INDEX('01_Rohdaten'!B1423:D1423,'02_Eingaben'!$C$13))</f>
        <v/>
      </c>
      <c r="D1423" s="17" t="str">
        <f>IF(C1423="","",C1423*'02_Eingaben'!$C$15)</f>
        <v/>
      </c>
      <c r="E1423" s="17" t="str">
        <f>IF(D1423="","",D1423*'02_Eingaben'!$C$8)</f>
        <v/>
      </c>
      <c r="F1423" s="17" t="str">
        <f>IF(E1423="","",AVERAGE(INDEX($E$2:$E$3001,MAX(1,ROW()-1-'02_Eingaben'!$C$17)):INDEX($E$2:$E$3001,MIN('02_Eingaben'!$C$21,ROW()-1+'02_Eingaben'!$C$17))))</f>
        <v/>
      </c>
      <c r="G1423" s="17" t="str">
        <f>IF(F1423="","",F1423-'02_Eingaben'!$C$10)</f>
        <v/>
      </c>
      <c r="H1423" t="str">
        <f>IF(F1423="","",IF(F1423&lt;'02_Eingaben'!$C$18*'02_Eingaben'!$C$10,1,0))</f>
        <v/>
      </c>
      <c r="I1423" s="17" t="str">
        <f t="shared" si="22"/>
        <v/>
      </c>
      <c r="J1423" s="17" t="str">
        <f>IF(B1423="","",IF(B1422&lt;'02_Eingaben'!$C$36,0,J1422+I1422/'02_Eingaben'!$C$8))</f>
        <v/>
      </c>
    </row>
    <row r="1424" spans="1:10" x14ac:dyDescent="0.25">
      <c r="A1424" t="str">
        <f>IF('01_Rohdaten'!A1424="","",ROW()-1)</f>
        <v/>
      </c>
      <c r="B1424" s="17" t="str">
        <f>IF('01_Rohdaten'!A1424="","",'01_Rohdaten'!A1424)</f>
        <v/>
      </c>
      <c r="C1424" s="17" t="str">
        <f>IF(B1424="","",INDEX('01_Rohdaten'!B1424:D1424,'02_Eingaben'!$C$13))</f>
        <v/>
      </c>
      <c r="D1424" s="17" t="str">
        <f>IF(C1424="","",C1424*'02_Eingaben'!$C$15)</f>
        <v/>
      </c>
      <c r="E1424" s="17" t="str">
        <f>IF(D1424="","",D1424*'02_Eingaben'!$C$8)</f>
        <v/>
      </c>
      <c r="F1424" s="17" t="str">
        <f>IF(E1424="","",AVERAGE(INDEX($E$2:$E$3001,MAX(1,ROW()-1-'02_Eingaben'!$C$17)):INDEX($E$2:$E$3001,MIN('02_Eingaben'!$C$21,ROW()-1+'02_Eingaben'!$C$17))))</f>
        <v/>
      </c>
      <c r="G1424" s="17" t="str">
        <f>IF(F1424="","",F1424-'02_Eingaben'!$C$10)</f>
        <v/>
      </c>
      <c r="H1424" t="str">
        <f>IF(F1424="","",IF(F1424&lt;'02_Eingaben'!$C$18*'02_Eingaben'!$C$10,1,0))</f>
        <v/>
      </c>
      <c r="I1424" s="17" t="str">
        <f t="shared" si="22"/>
        <v/>
      </c>
      <c r="J1424" s="17" t="str">
        <f>IF(B1424="","",IF(B1423&lt;'02_Eingaben'!$C$36,0,J1423+I1423/'02_Eingaben'!$C$8))</f>
        <v/>
      </c>
    </row>
    <row r="1425" spans="1:10" x14ac:dyDescent="0.25">
      <c r="A1425" t="str">
        <f>IF('01_Rohdaten'!A1425="","",ROW()-1)</f>
        <v/>
      </c>
      <c r="B1425" s="17" t="str">
        <f>IF('01_Rohdaten'!A1425="","",'01_Rohdaten'!A1425)</f>
        <v/>
      </c>
      <c r="C1425" s="17" t="str">
        <f>IF(B1425="","",INDEX('01_Rohdaten'!B1425:D1425,'02_Eingaben'!$C$13))</f>
        <v/>
      </c>
      <c r="D1425" s="17" t="str">
        <f>IF(C1425="","",C1425*'02_Eingaben'!$C$15)</f>
        <v/>
      </c>
      <c r="E1425" s="17" t="str">
        <f>IF(D1425="","",D1425*'02_Eingaben'!$C$8)</f>
        <v/>
      </c>
      <c r="F1425" s="17" t="str">
        <f>IF(E1425="","",AVERAGE(INDEX($E$2:$E$3001,MAX(1,ROW()-1-'02_Eingaben'!$C$17)):INDEX($E$2:$E$3001,MIN('02_Eingaben'!$C$21,ROW()-1+'02_Eingaben'!$C$17))))</f>
        <v/>
      </c>
      <c r="G1425" s="17" t="str">
        <f>IF(F1425="","",F1425-'02_Eingaben'!$C$10)</f>
        <v/>
      </c>
      <c r="H1425" t="str">
        <f>IF(F1425="","",IF(F1425&lt;'02_Eingaben'!$C$18*'02_Eingaben'!$C$10,1,0))</f>
        <v/>
      </c>
      <c r="I1425" s="17" t="str">
        <f t="shared" si="22"/>
        <v/>
      </c>
      <c r="J1425" s="17" t="str">
        <f>IF(B1425="","",IF(B1424&lt;'02_Eingaben'!$C$36,0,J1424+I1424/'02_Eingaben'!$C$8))</f>
        <v/>
      </c>
    </row>
    <row r="1426" spans="1:10" x14ac:dyDescent="0.25">
      <c r="A1426" t="str">
        <f>IF('01_Rohdaten'!A1426="","",ROW()-1)</f>
        <v/>
      </c>
      <c r="B1426" s="17" t="str">
        <f>IF('01_Rohdaten'!A1426="","",'01_Rohdaten'!A1426)</f>
        <v/>
      </c>
      <c r="C1426" s="17" t="str">
        <f>IF(B1426="","",INDEX('01_Rohdaten'!B1426:D1426,'02_Eingaben'!$C$13))</f>
        <v/>
      </c>
      <c r="D1426" s="17" t="str">
        <f>IF(C1426="","",C1426*'02_Eingaben'!$C$15)</f>
        <v/>
      </c>
      <c r="E1426" s="17" t="str">
        <f>IF(D1426="","",D1426*'02_Eingaben'!$C$8)</f>
        <v/>
      </c>
      <c r="F1426" s="17" t="str">
        <f>IF(E1426="","",AVERAGE(INDEX($E$2:$E$3001,MAX(1,ROW()-1-'02_Eingaben'!$C$17)):INDEX($E$2:$E$3001,MIN('02_Eingaben'!$C$21,ROW()-1+'02_Eingaben'!$C$17))))</f>
        <v/>
      </c>
      <c r="G1426" s="17" t="str">
        <f>IF(F1426="","",F1426-'02_Eingaben'!$C$10)</f>
        <v/>
      </c>
      <c r="H1426" t="str">
        <f>IF(F1426="","",IF(F1426&lt;'02_Eingaben'!$C$18*'02_Eingaben'!$C$10,1,0))</f>
        <v/>
      </c>
      <c r="I1426" s="17" t="str">
        <f t="shared" si="22"/>
        <v/>
      </c>
      <c r="J1426" s="17" t="str">
        <f>IF(B1426="","",IF(B1425&lt;'02_Eingaben'!$C$36,0,J1425+I1425/'02_Eingaben'!$C$8))</f>
        <v/>
      </c>
    </row>
    <row r="1427" spans="1:10" x14ac:dyDescent="0.25">
      <c r="A1427" t="str">
        <f>IF('01_Rohdaten'!A1427="","",ROW()-1)</f>
        <v/>
      </c>
      <c r="B1427" s="17" t="str">
        <f>IF('01_Rohdaten'!A1427="","",'01_Rohdaten'!A1427)</f>
        <v/>
      </c>
      <c r="C1427" s="17" t="str">
        <f>IF(B1427="","",INDEX('01_Rohdaten'!B1427:D1427,'02_Eingaben'!$C$13))</f>
        <v/>
      </c>
      <c r="D1427" s="17" t="str">
        <f>IF(C1427="","",C1427*'02_Eingaben'!$C$15)</f>
        <v/>
      </c>
      <c r="E1427" s="17" t="str">
        <f>IF(D1427="","",D1427*'02_Eingaben'!$C$8)</f>
        <v/>
      </c>
      <c r="F1427" s="17" t="str">
        <f>IF(E1427="","",AVERAGE(INDEX($E$2:$E$3001,MAX(1,ROW()-1-'02_Eingaben'!$C$17)):INDEX($E$2:$E$3001,MIN('02_Eingaben'!$C$21,ROW()-1+'02_Eingaben'!$C$17))))</f>
        <v/>
      </c>
      <c r="G1427" s="17" t="str">
        <f>IF(F1427="","",F1427-'02_Eingaben'!$C$10)</f>
        <v/>
      </c>
      <c r="H1427" t="str">
        <f>IF(F1427="","",IF(F1427&lt;'02_Eingaben'!$C$18*'02_Eingaben'!$C$10,1,0))</f>
        <v/>
      </c>
      <c r="I1427" s="17" t="str">
        <f t="shared" si="22"/>
        <v/>
      </c>
      <c r="J1427" s="17" t="str">
        <f>IF(B1427="","",IF(B1426&lt;'02_Eingaben'!$C$36,0,J1426+I1426/'02_Eingaben'!$C$8))</f>
        <v/>
      </c>
    </row>
    <row r="1428" spans="1:10" x14ac:dyDescent="0.25">
      <c r="A1428" t="str">
        <f>IF('01_Rohdaten'!A1428="","",ROW()-1)</f>
        <v/>
      </c>
      <c r="B1428" s="17" t="str">
        <f>IF('01_Rohdaten'!A1428="","",'01_Rohdaten'!A1428)</f>
        <v/>
      </c>
      <c r="C1428" s="17" t="str">
        <f>IF(B1428="","",INDEX('01_Rohdaten'!B1428:D1428,'02_Eingaben'!$C$13))</f>
        <v/>
      </c>
      <c r="D1428" s="17" t="str">
        <f>IF(C1428="","",C1428*'02_Eingaben'!$C$15)</f>
        <v/>
      </c>
      <c r="E1428" s="17" t="str">
        <f>IF(D1428="","",D1428*'02_Eingaben'!$C$8)</f>
        <v/>
      </c>
      <c r="F1428" s="17" t="str">
        <f>IF(E1428="","",AVERAGE(INDEX($E$2:$E$3001,MAX(1,ROW()-1-'02_Eingaben'!$C$17)):INDEX($E$2:$E$3001,MIN('02_Eingaben'!$C$21,ROW()-1+'02_Eingaben'!$C$17))))</f>
        <v/>
      </c>
      <c r="G1428" s="17" t="str">
        <f>IF(F1428="","",F1428-'02_Eingaben'!$C$10)</f>
        <v/>
      </c>
      <c r="H1428" t="str">
        <f>IF(F1428="","",IF(F1428&lt;'02_Eingaben'!$C$18*'02_Eingaben'!$C$10,1,0))</f>
        <v/>
      </c>
      <c r="I1428" s="17" t="str">
        <f t="shared" si="22"/>
        <v/>
      </c>
      <c r="J1428" s="17" t="str">
        <f>IF(B1428="","",IF(B1427&lt;'02_Eingaben'!$C$36,0,J1427+I1427/'02_Eingaben'!$C$8))</f>
        <v/>
      </c>
    </row>
    <row r="1429" spans="1:10" x14ac:dyDescent="0.25">
      <c r="A1429" t="str">
        <f>IF('01_Rohdaten'!A1429="","",ROW()-1)</f>
        <v/>
      </c>
      <c r="B1429" s="17" t="str">
        <f>IF('01_Rohdaten'!A1429="","",'01_Rohdaten'!A1429)</f>
        <v/>
      </c>
      <c r="C1429" s="17" t="str">
        <f>IF(B1429="","",INDEX('01_Rohdaten'!B1429:D1429,'02_Eingaben'!$C$13))</f>
        <v/>
      </c>
      <c r="D1429" s="17" t="str">
        <f>IF(C1429="","",C1429*'02_Eingaben'!$C$15)</f>
        <v/>
      </c>
      <c r="E1429" s="17" t="str">
        <f>IF(D1429="","",D1429*'02_Eingaben'!$C$8)</f>
        <v/>
      </c>
      <c r="F1429" s="17" t="str">
        <f>IF(E1429="","",AVERAGE(INDEX($E$2:$E$3001,MAX(1,ROW()-1-'02_Eingaben'!$C$17)):INDEX($E$2:$E$3001,MIN('02_Eingaben'!$C$21,ROW()-1+'02_Eingaben'!$C$17))))</f>
        <v/>
      </c>
      <c r="G1429" s="17" t="str">
        <f>IF(F1429="","",F1429-'02_Eingaben'!$C$10)</f>
        <v/>
      </c>
      <c r="H1429" t="str">
        <f>IF(F1429="","",IF(F1429&lt;'02_Eingaben'!$C$18*'02_Eingaben'!$C$10,1,0))</f>
        <v/>
      </c>
      <c r="I1429" s="17" t="str">
        <f t="shared" si="22"/>
        <v/>
      </c>
      <c r="J1429" s="17" t="str">
        <f>IF(B1429="","",IF(B1428&lt;'02_Eingaben'!$C$36,0,J1428+I1428/'02_Eingaben'!$C$8))</f>
        <v/>
      </c>
    </row>
    <row r="1430" spans="1:10" x14ac:dyDescent="0.25">
      <c r="A1430" t="str">
        <f>IF('01_Rohdaten'!A1430="","",ROW()-1)</f>
        <v/>
      </c>
      <c r="B1430" s="17" t="str">
        <f>IF('01_Rohdaten'!A1430="","",'01_Rohdaten'!A1430)</f>
        <v/>
      </c>
      <c r="C1430" s="17" t="str">
        <f>IF(B1430="","",INDEX('01_Rohdaten'!B1430:D1430,'02_Eingaben'!$C$13))</f>
        <v/>
      </c>
      <c r="D1430" s="17" t="str">
        <f>IF(C1430="","",C1430*'02_Eingaben'!$C$15)</f>
        <v/>
      </c>
      <c r="E1430" s="17" t="str">
        <f>IF(D1430="","",D1430*'02_Eingaben'!$C$8)</f>
        <v/>
      </c>
      <c r="F1430" s="17" t="str">
        <f>IF(E1430="","",AVERAGE(INDEX($E$2:$E$3001,MAX(1,ROW()-1-'02_Eingaben'!$C$17)):INDEX($E$2:$E$3001,MIN('02_Eingaben'!$C$21,ROW()-1+'02_Eingaben'!$C$17))))</f>
        <v/>
      </c>
      <c r="G1430" s="17" t="str">
        <f>IF(F1430="","",F1430-'02_Eingaben'!$C$10)</f>
        <v/>
      </c>
      <c r="H1430" t="str">
        <f>IF(F1430="","",IF(F1430&lt;'02_Eingaben'!$C$18*'02_Eingaben'!$C$10,1,0))</f>
        <v/>
      </c>
      <c r="I1430" s="17" t="str">
        <f t="shared" si="22"/>
        <v/>
      </c>
      <c r="J1430" s="17" t="str">
        <f>IF(B1430="","",IF(B1429&lt;'02_Eingaben'!$C$36,0,J1429+I1429/'02_Eingaben'!$C$8))</f>
        <v/>
      </c>
    </row>
    <row r="1431" spans="1:10" x14ac:dyDescent="0.25">
      <c r="A1431" t="str">
        <f>IF('01_Rohdaten'!A1431="","",ROW()-1)</f>
        <v/>
      </c>
      <c r="B1431" s="17" t="str">
        <f>IF('01_Rohdaten'!A1431="","",'01_Rohdaten'!A1431)</f>
        <v/>
      </c>
      <c r="C1431" s="17" t="str">
        <f>IF(B1431="","",INDEX('01_Rohdaten'!B1431:D1431,'02_Eingaben'!$C$13))</f>
        <v/>
      </c>
      <c r="D1431" s="17" t="str">
        <f>IF(C1431="","",C1431*'02_Eingaben'!$C$15)</f>
        <v/>
      </c>
      <c r="E1431" s="17" t="str">
        <f>IF(D1431="","",D1431*'02_Eingaben'!$C$8)</f>
        <v/>
      </c>
      <c r="F1431" s="17" t="str">
        <f>IF(E1431="","",AVERAGE(INDEX($E$2:$E$3001,MAX(1,ROW()-1-'02_Eingaben'!$C$17)):INDEX($E$2:$E$3001,MIN('02_Eingaben'!$C$21,ROW()-1+'02_Eingaben'!$C$17))))</f>
        <v/>
      </c>
      <c r="G1431" s="17" t="str">
        <f>IF(F1431="","",F1431-'02_Eingaben'!$C$10)</f>
        <v/>
      </c>
      <c r="H1431" t="str">
        <f>IF(F1431="","",IF(F1431&lt;'02_Eingaben'!$C$18*'02_Eingaben'!$C$10,1,0))</f>
        <v/>
      </c>
      <c r="I1431" s="17" t="str">
        <f t="shared" si="22"/>
        <v/>
      </c>
      <c r="J1431" s="17" t="str">
        <f>IF(B1431="","",IF(B1430&lt;'02_Eingaben'!$C$36,0,J1430+I1430/'02_Eingaben'!$C$8))</f>
        <v/>
      </c>
    </row>
    <row r="1432" spans="1:10" x14ac:dyDescent="0.25">
      <c r="A1432" t="str">
        <f>IF('01_Rohdaten'!A1432="","",ROW()-1)</f>
        <v/>
      </c>
      <c r="B1432" s="17" t="str">
        <f>IF('01_Rohdaten'!A1432="","",'01_Rohdaten'!A1432)</f>
        <v/>
      </c>
      <c r="C1432" s="17" t="str">
        <f>IF(B1432="","",INDEX('01_Rohdaten'!B1432:D1432,'02_Eingaben'!$C$13))</f>
        <v/>
      </c>
      <c r="D1432" s="17" t="str">
        <f>IF(C1432="","",C1432*'02_Eingaben'!$C$15)</f>
        <v/>
      </c>
      <c r="E1432" s="17" t="str">
        <f>IF(D1432="","",D1432*'02_Eingaben'!$C$8)</f>
        <v/>
      </c>
      <c r="F1432" s="17" t="str">
        <f>IF(E1432="","",AVERAGE(INDEX($E$2:$E$3001,MAX(1,ROW()-1-'02_Eingaben'!$C$17)):INDEX($E$2:$E$3001,MIN('02_Eingaben'!$C$21,ROW()-1+'02_Eingaben'!$C$17))))</f>
        <v/>
      </c>
      <c r="G1432" s="17" t="str">
        <f>IF(F1432="","",F1432-'02_Eingaben'!$C$10)</f>
        <v/>
      </c>
      <c r="H1432" t="str">
        <f>IF(F1432="","",IF(F1432&lt;'02_Eingaben'!$C$18*'02_Eingaben'!$C$10,1,0))</f>
        <v/>
      </c>
      <c r="I1432" s="17" t="str">
        <f t="shared" si="22"/>
        <v/>
      </c>
      <c r="J1432" s="17" t="str">
        <f>IF(B1432="","",IF(B1431&lt;'02_Eingaben'!$C$36,0,J1431+I1431/'02_Eingaben'!$C$8))</f>
        <v/>
      </c>
    </row>
    <row r="1433" spans="1:10" x14ac:dyDescent="0.25">
      <c r="A1433" t="str">
        <f>IF('01_Rohdaten'!A1433="","",ROW()-1)</f>
        <v/>
      </c>
      <c r="B1433" s="17" t="str">
        <f>IF('01_Rohdaten'!A1433="","",'01_Rohdaten'!A1433)</f>
        <v/>
      </c>
      <c r="C1433" s="17" t="str">
        <f>IF(B1433="","",INDEX('01_Rohdaten'!B1433:D1433,'02_Eingaben'!$C$13))</f>
        <v/>
      </c>
      <c r="D1433" s="17" t="str">
        <f>IF(C1433="","",C1433*'02_Eingaben'!$C$15)</f>
        <v/>
      </c>
      <c r="E1433" s="17" t="str">
        <f>IF(D1433="","",D1433*'02_Eingaben'!$C$8)</f>
        <v/>
      </c>
      <c r="F1433" s="17" t="str">
        <f>IF(E1433="","",AVERAGE(INDEX($E$2:$E$3001,MAX(1,ROW()-1-'02_Eingaben'!$C$17)):INDEX($E$2:$E$3001,MIN('02_Eingaben'!$C$21,ROW()-1+'02_Eingaben'!$C$17))))</f>
        <v/>
      </c>
      <c r="G1433" s="17" t="str">
        <f>IF(F1433="","",F1433-'02_Eingaben'!$C$10)</f>
        <v/>
      </c>
      <c r="H1433" t="str">
        <f>IF(F1433="","",IF(F1433&lt;'02_Eingaben'!$C$18*'02_Eingaben'!$C$10,1,0))</f>
        <v/>
      </c>
      <c r="I1433" s="17" t="str">
        <f t="shared" si="22"/>
        <v/>
      </c>
      <c r="J1433" s="17" t="str">
        <f>IF(B1433="","",IF(B1432&lt;'02_Eingaben'!$C$36,0,J1432+I1432/'02_Eingaben'!$C$8))</f>
        <v/>
      </c>
    </row>
    <row r="1434" spans="1:10" x14ac:dyDescent="0.25">
      <c r="A1434" t="str">
        <f>IF('01_Rohdaten'!A1434="","",ROW()-1)</f>
        <v/>
      </c>
      <c r="B1434" s="17" t="str">
        <f>IF('01_Rohdaten'!A1434="","",'01_Rohdaten'!A1434)</f>
        <v/>
      </c>
      <c r="C1434" s="17" t="str">
        <f>IF(B1434="","",INDEX('01_Rohdaten'!B1434:D1434,'02_Eingaben'!$C$13))</f>
        <v/>
      </c>
      <c r="D1434" s="17" t="str">
        <f>IF(C1434="","",C1434*'02_Eingaben'!$C$15)</f>
        <v/>
      </c>
      <c r="E1434" s="17" t="str">
        <f>IF(D1434="","",D1434*'02_Eingaben'!$C$8)</f>
        <v/>
      </c>
      <c r="F1434" s="17" t="str">
        <f>IF(E1434="","",AVERAGE(INDEX($E$2:$E$3001,MAX(1,ROW()-1-'02_Eingaben'!$C$17)):INDEX($E$2:$E$3001,MIN('02_Eingaben'!$C$21,ROW()-1+'02_Eingaben'!$C$17))))</f>
        <v/>
      </c>
      <c r="G1434" s="17" t="str">
        <f>IF(F1434="","",F1434-'02_Eingaben'!$C$10)</f>
        <v/>
      </c>
      <c r="H1434" t="str">
        <f>IF(F1434="","",IF(F1434&lt;'02_Eingaben'!$C$18*'02_Eingaben'!$C$10,1,0))</f>
        <v/>
      </c>
      <c r="I1434" s="17" t="str">
        <f t="shared" si="22"/>
        <v/>
      </c>
      <c r="J1434" s="17" t="str">
        <f>IF(B1434="","",IF(B1433&lt;'02_Eingaben'!$C$36,0,J1433+I1433/'02_Eingaben'!$C$8))</f>
        <v/>
      </c>
    </row>
    <row r="1435" spans="1:10" x14ac:dyDescent="0.25">
      <c r="A1435" t="str">
        <f>IF('01_Rohdaten'!A1435="","",ROW()-1)</f>
        <v/>
      </c>
      <c r="B1435" s="17" t="str">
        <f>IF('01_Rohdaten'!A1435="","",'01_Rohdaten'!A1435)</f>
        <v/>
      </c>
      <c r="C1435" s="17" t="str">
        <f>IF(B1435="","",INDEX('01_Rohdaten'!B1435:D1435,'02_Eingaben'!$C$13))</f>
        <v/>
      </c>
      <c r="D1435" s="17" t="str">
        <f>IF(C1435="","",C1435*'02_Eingaben'!$C$15)</f>
        <v/>
      </c>
      <c r="E1435" s="17" t="str">
        <f>IF(D1435="","",D1435*'02_Eingaben'!$C$8)</f>
        <v/>
      </c>
      <c r="F1435" s="17" t="str">
        <f>IF(E1435="","",AVERAGE(INDEX($E$2:$E$3001,MAX(1,ROW()-1-'02_Eingaben'!$C$17)):INDEX($E$2:$E$3001,MIN('02_Eingaben'!$C$21,ROW()-1+'02_Eingaben'!$C$17))))</f>
        <v/>
      </c>
      <c r="G1435" s="17" t="str">
        <f>IF(F1435="","",F1435-'02_Eingaben'!$C$10)</f>
        <v/>
      </c>
      <c r="H1435" t="str">
        <f>IF(F1435="","",IF(F1435&lt;'02_Eingaben'!$C$18*'02_Eingaben'!$C$10,1,0))</f>
        <v/>
      </c>
      <c r="I1435" s="17" t="str">
        <f t="shared" si="22"/>
        <v/>
      </c>
      <c r="J1435" s="17" t="str">
        <f>IF(B1435="","",IF(B1434&lt;'02_Eingaben'!$C$36,0,J1434+I1434/'02_Eingaben'!$C$8))</f>
        <v/>
      </c>
    </row>
    <row r="1436" spans="1:10" x14ac:dyDescent="0.25">
      <c r="A1436" t="str">
        <f>IF('01_Rohdaten'!A1436="","",ROW()-1)</f>
        <v/>
      </c>
      <c r="B1436" s="17" t="str">
        <f>IF('01_Rohdaten'!A1436="","",'01_Rohdaten'!A1436)</f>
        <v/>
      </c>
      <c r="C1436" s="17" t="str">
        <f>IF(B1436="","",INDEX('01_Rohdaten'!B1436:D1436,'02_Eingaben'!$C$13))</f>
        <v/>
      </c>
      <c r="D1436" s="17" t="str">
        <f>IF(C1436="","",C1436*'02_Eingaben'!$C$15)</f>
        <v/>
      </c>
      <c r="E1436" s="17" t="str">
        <f>IF(D1436="","",D1436*'02_Eingaben'!$C$8)</f>
        <v/>
      </c>
      <c r="F1436" s="17" t="str">
        <f>IF(E1436="","",AVERAGE(INDEX($E$2:$E$3001,MAX(1,ROW()-1-'02_Eingaben'!$C$17)):INDEX($E$2:$E$3001,MIN('02_Eingaben'!$C$21,ROW()-1+'02_Eingaben'!$C$17))))</f>
        <v/>
      </c>
      <c r="G1436" s="17" t="str">
        <f>IF(F1436="","",F1436-'02_Eingaben'!$C$10)</f>
        <v/>
      </c>
      <c r="H1436" t="str">
        <f>IF(F1436="","",IF(F1436&lt;'02_Eingaben'!$C$18*'02_Eingaben'!$C$10,1,0))</f>
        <v/>
      </c>
      <c r="I1436" s="17" t="str">
        <f t="shared" si="22"/>
        <v/>
      </c>
      <c r="J1436" s="17" t="str">
        <f>IF(B1436="","",IF(B1435&lt;'02_Eingaben'!$C$36,0,J1435+I1435/'02_Eingaben'!$C$8))</f>
        <v/>
      </c>
    </row>
    <row r="1437" spans="1:10" x14ac:dyDescent="0.25">
      <c r="A1437" t="str">
        <f>IF('01_Rohdaten'!A1437="","",ROW()-1)</f>
        <v/>
      </c>
      <c r="B1437" s="17" t="str">
        <f>IF('01_Rohdaten'!A1437="","",'01_Rohdaten'!A1437)</f>
        <v/>
      </c>
      <c r="C1437" s="17" t="str">
        <f>IF(B1437="","",INDEX('01_Rohdaten'!B1437:D1437,'02_Eingaben'!$C$13))</f>
        <v/>
      </c>
      <c r="D1437" s="17" t="str">
        <f>IF(C1437="","",C1437*'02_Eingaben'!$C$15)</f>
        <v/>
      </c>
      <c r="E1437" s="17" t="str">
        <f>IF(D1437="","",D1437*'02_Eingaben'!$C$8)</f>
        <v/>
      </c>
      <c r="F1437" s="17" t="str">
        <f>IF(E1437="","",AVERAGE(INDEX($E$2:$E$3001,MAX(1,ROW()-1-'02_Eingaben'!$C$17)):INDEX($E$2:$E$3001,MIN('02_Eingaben'!$C$21,ROW()-1+'02_Eingaben'!$C$17))))</f>
        <v/>
      </c>
      <c r="G1437" s="17" t="str">
        <f>IF(F1437="","",F1437-'02_Eingaben'!$C$10)</f>
        <v/>
      </c>
      <c r="H1437" t="str">
        <f>IF(F1437="","",IF(F1437&lt;'02_Eingaben'!$C$18*'02_Eingaben'!$C$10,1,0))</f>
        <v/>
      </c>
      <c r="I1437" s="17" t="str">
        <f t="shared" si="22"/>
        <v/>
      </c>
      <c r="J1437" s="17" t="str">
        <f>IF(B1437="","",IF(B1436&lt;'02_Eingaben'!$C$36,0,J1436+I1436/'02_Eingaben'!$C$8))</f>
        <v/>
      </c>
    </row>
    <row r="1438" spans="1:10" x14ac:dyDescent="0.25">
      <c r="A1438" t="str">
        <f>IF('01_Rohdaten'!A1438="","",ROW()-1)</f>
        <v/>
      </c>
      <c r="B1438" s="17" t="str">
        <f>IF('01_Rohdaten'!A1438="","",'01_Rohdaten'!A1438)</f>
        <v/>
      </c>
      <c r="C1438" s="17" t="str">
        <f>IF(B1438="","",INDEX('01_Rohdaten'!B1438:D1438,'02_Eingaben'!$C$13))</f>
        <v/>
      </c>
      <c r="D1438" s="17" t="str">
        <f>IF(C1438="","",C1438*'02_Eingaben'!$C$15)</f>
        <v/>
      </c>
      <c r="E1438" s="17" t="str">
        <f>IF(D1438="","",D1438*'02_Eingaben'!$C$8)</f>
        <v/>
      </c>
      <c r="F1438" s="17" t="str">
        <f>IF(E1438="","",AVERAGE(INDEX($E$2:$E$3001,MAX(1,ROW()-1-'02_Eingaben'!$C$17)):INDEX($E$2:$E$3001,MIN('02_Eingaben'!$C$21,ROW()-1+'02_Eingaben'!$C$17))))</f>
        <v/>
      </c>
      <c r="G1438" s="17" t="str">
        <f>IF(F1438="","",F1438-'02_Eingaben'!$C$10)</f>
        <v/>
      </c>
      <c r="H1438" t="str">
        <f>IF(F1438="","",IF(F1438&lt;'02_Eingaben'!$C$18*'02_Eingaben'!$C$10,1,0))</f>
        <v/>
      </c>
      <c r="I1438" s="17" t="str">
        <f t="shared" si="22"/>
        <v/>
      </c>
      <c r="J1438" s="17" t="str">
        <f>IF(B1438="","",IF(B1437&lt;'02_Eingaben'!$C$36,0,J1437+I1437/'02_Eingaben'!$C$8))</f>
        <v/>
      </c>
    </row>
    <row r="1439" spans="1:10" x14ac:dyDescent="0.25">
      <c r="A1439" t="str">
        <f>IF('01_Rohdaten'!A1439="","",ROW()-1)</f>
        <v/>
      </c>
      <c r="B1439" s="17" t="str">
        <f>IF('01_Rohdaten'!A1439="","",'01_Rohdaten'!A1439)</f>
        <v/>
      </c>
      <c r="C1439" s="17" t="str">
        <f>IF(B1439="","",INDEX('01_Rohdaten'!B1439:D1439,'02_Eingaben'!$C$13))</f>
        <v/>
      </c>
      <c r="D1439" s="17" t="str">
        <f>IF(C1439="","",C1439*'02_Eingaben'!$C$15)</f>
        <v/>
      </c>
      <c r="E1439" s="17" t="str">
        <f>IF(D1439="","",D1439*'02_Eingaben'!$C$8)</f>
        <v/>
      </c>
      <c r="F1439" s="17" t="str">
        <f>IF(E1439="","",AVERAGE(INDEX($E$2:$E$3001,MAX(1,ROW()-1-'02_Eingaben'!$C$17)):INDEX($E$2:$E$3001,MIN('02_Eingaben'!$C$21,ROW()-1+'02_Eingaben'!$C$17))))</f>
        <v/>
      </c>
      <c r="G1439" s="17" t="str">
        <f>IF(F1439="","",F1439-'02_Eingaben'!$C$10)</f>
        <v/>
      </c>
      <c r="H1439" t="str">
        <f>IF(F1439="","",IF(F1439&lt;'02_Eingaben'!$C$18*'02_Eingaben'!$C$10,1,0))</f>
        <v/>
      </c>
      <c r="I1439" s="17" t="str">
        <f t="shared" si="22"/>
        <v/>
      </c>
      <c r="J1439" s="17" t="str">
        <f>IF(B1439="","",IF(B1438&lt;'02_Eingaben'!$C$36,0,J1438+I1438/'02_Eingaben'!$C$8))</f>
        <v/>
      </c>
    </row>
    <row r="1440" spans="1:10" x14ac:dyDescent="0.25">
      <c r="A1440" t="str">
        <f>IF('01_Rohdaten'!A1440="","",ROW()-1)</f>
        <v/>
      </c>
      <c r="B1440" s="17" t="str">
        <f>IF('01_Rohdaten'!A1440="","",'01_Rohdaten'!A1440)</f>
        <v/>
      </c>
      <c r="C1440" s="17" t="str">
        <f>IF(B1440="","",INDEX('01_Rohdaten'!B1440:D1440,'02_Eingaben'!$C$13))</f>
        <v/>
      </c>
      <c r="D1440" s="17" t="str">
        <f>IF(C1440="","",C1440*'02_Eingaben'!$C$15)</f>
        <v/>
      </c>
      <c r="E1440" s="17" t="str">
        <f>IF(D1440="","",D1440*'02_Eingaben'!$C$8)</f>
        <v/>
      </c>
      <c r="F1440" s="17" t="str">
        <f>IF(E1440="","",AVERAGE(INDEX($E$2:$E$3001,MAX(1,ROW()-1-'02_Eingaben'!$C$17)):INDEX($E$2:$E$3001,MIN('02_Eingaben'!$C$21,ROW()-1+'02_Eingaben'!$C$17))))</f>
        <v/>
      </c>
      <c r="G1440" s="17" t="str">
        <f>IF(F1440="","",F1440-'02_Eingaben'!$C$10)</f>
        <v/>
      </c>
      <c r="H1440" t="str">
        <f>IF(F1440="","",IF(F1440&lt;'02_Eingaben'!$C$18*'02_Eingaben'!$C$10,1,0))</f>
        <v/>
      </c>
      <c r="I1440" s="17" t="str">
        <f t="shared" si="22"/>
        <v/>
      </c>
      <c r="J1440" s="17" t="str">
        <f>IF(B1440="","",IF(B1439&lt;'02_Eingaben'!$C$36,0,J1439+I1439/'02_Eingaben'!$C$8))</f>
        <v/>
      </c>
    </row>
    <row r="1441" spans="1:10" x14ac:dyDescent="0.25">
      <c r="A1441" t="str">
        <f>IF('01_Rohdaten'!A1441="","",ROW()-1)</f>
        <v/>
      </c>
      <c r="B1441" s="17" t="str">
        <f>IF('01_Rohdaten'!A1441="","",'01_Rohdaten'!A1441)</f>
        <v/>
      </c>
      <c r="C1441" s="17" t="str">
        <f>IF(B1441="","",INDEX('01_Rohdaten'!B1441:D1441,'02_Eingaben'!$C$13))</f>
        <v/>
      </c>
      <c r="D1441" s="17" t="str">
        <f>IF(C1441="","",C1441*'02_Eingaben'!$C$15)</f>
        <v/>
      </c>
      <c r="E1441" s="17" t="str">
        <f>IF(D1441="","",D1441*'02_Eingaben'!$C$8)</f>
        <v/>
      </c>
      <c r="F1441" s="17" t="str">
        <f>IF(E1441="","",AVERAGE(INDEX($E$2:$E$3001,MAX(1,ROW()-1-'02_Eingaben'!$C$17)):INDEX($E$2:$E$3001,MIN('02_Eingaben'!$C$21,ROW()-1+'02_Eingaben'!$C$17))))</f>
        <v/>
      </c>
      <c r="G1441" s="17" t="str">
        <f>IF(F1441="","",F1441-'02_Eingaben'!$C$10)</f>
        <v/>
      </c>
      <c r="H1441" t="str">
        <f>IF(F1441="","",IF(F1441&lt;'02_Eingaben'!$C$18*'02_Eingaben'!$C$10,1,0))</f>
        <v/>
      </c>
      <c r="I1441" s="17" t="str">
        <f t="shared" si="22"/>
        <v/>
      </c>
      <c r="J1441" s="17" t="str">
        <f>IF(B1441="","",IF(B1440&lt;'02_Eingaben'!$C$36,0,J1440+I1440/'02_Eingaben'!$C$8))</f>
        <v/>
      </c>
    </row>
    <row r="1442" spans="1:10" x14ac:dyDescent="0.25">
      <c r="A1442" t="str">
        <f>IF('01_Rohdaten'!A1442="","",ROW()-1)</f>
        <v/>
      </c>
      <c r="B1442" s="17" t="str">
        <f>IF('01_Rohdaten'!A1442="","",'01_Rohdaten'!A1442)</f>
        <v/>
      </c>
      <c r="C1442" s="17" t="str">
        <f>IF(B1442="","",INDEX('01_Rohdaten'!B1442:D1442,'02_Eingaben'!$C$13))</f>
        <v/>
      </c>
      <c r="D1442" s="17" t="str">
        <f>IF(C1442="","",C1442*'02_Eingaben'!$C$15)</f>
        <v/>
      </c>
      <c r="E1442" s="17" t="str">
        <f>IF(D1442="","",D1442*'02_Eingaben'!$C$8)</f>
        <v/>
      </c>
      <c r="F1442" s="17" t="str">
        <f>IF(E1442="","",AVERAGE(INDEX($E$2:$E$3001,MAX(1,ROW()-1-'02_Eingaben'!$C$17)):INDEX($E$2:$E$3001,MIN('02_Eingaben'!$C$21,ROW()-1+'02_Eingaben'!$C$17))))</f>
        <v/>
      </c>
      <c r="G1442" s="17" t="str">
        <f>IF(F1442="","",F1442-'02_Eingaben'!$C$10)</f>
        <v/>
      </c>
      <c r="H1442" t="str">
        <f>IF(F1442="","",IF(F1442&lt;'02_Eingaben'!$C$18*'02_Eingaben'!$C$10,1,0))</f>
        <v/>
      </c>
      <c r="I1442" s="17" t="str">
        <f t="shared" si="22"/>
        <v/>
      </c>
      <c r="J1442" s="17" t="str">
        <f>IF(B1442="","",IF(B1441&lt;'02_Eingaben'!$C$36,0,J1441+I1441/'02_Eingaben'!$C$8))</f>
        <v/>
      </c>
    </row>
    <row r="1443" spans="1:10" x14ac:dyDescent="0.25">
      <c r="A1443" t="str">
        <f>IF('01_Rohdaten'!A1443="","",ROW()-1)</f>
        <v/>
      </c>
      <c r="B1443" s="17" t="str">
        <f>IF('01_Rohdaten'!A1443="","",'01_Rohdaten'!A1443)</f>
        <v/>
      </c>
      <c r="C1443" s="17" t="str">
        <f>IF(B1443="","",INDEX('01_Rohdaten'!B1443:D1443,'02_Eingaben'!$C$13))</f>
        <v/>
      </c>
      <c r="D1443" s="17" t="str">
        <f>IF(C1443="","",C1443*'02_Eingaben'!$C$15)</f>
        <v/>
      </c>
      <c r="E1443" s="17" t="str">
        <f>IF(D1443="","",D1443*'02_Eingaben'!$C$8)</f>
        <v/>
      </c>
      <c r="F1443" s="17" t="str">
        <f>IF(E1443="","",AVERAGE(INDEX($E$2:$E$3001,MAX(1,ROW()-1-'02_Eingaben'!$C$17)):INDEX($E$2:$E$3001,MIN('02_Eingaben'!$C$21,ROW()-1+'02_Eingaben'!$C$17))))</f>
        <v/>
      </c>
      <c r="G1443" s="17" t="str">
        <f>IF(F1443="","",F1443-'02_Eingaben'!$C$10)</f>
        <v/>
      </c>
      <c r="H1443" t="str">
        <f>IF(F1443="","",IF(F1443&lt;'02_Eingaben'!$C$18*'02_Eingaben'!$C$10,1,0))</f>
        <v/>
      </c>
      <c r="I1443" s="17" t="str">
        <f t="shared" si="22"/>
        <v/>
      </c>
      <c r="J1443" s="17" t="str">
        <f>IF(B1443="","",IF(B1442&lt;'02_Eingaben'!$C$36,0,J1442+I1442/'02_Eingaben'!$C$8))</f>
        <v/>
      </c>
    </row>
    <row r="1444" spans="1:10" x14ac:dyDescent="0.25">
      <c r="A1444" t="str">
        <f>IF('01_Rohdaten'!A1444="","",ROW()-1)</f>
        <v/>
      </c>
      <c r="B1444" s="17" t="str">
        <f>IF('01_Rohdaten'!A1444="","",'01_Rohdaten'!A1444)</f>
        <v/>
      </c>
      <c r="C1444" s="17" t="str">
        <f>IF(B1444="","",INDEX('01_Rohdaten'!B1444:D1444,'02_Eingaben'!$C$13))</f>
        <v/>
      </c>
      <c r="D1444" s="17" t="str">
        <f>IF(C1444="","",C1444*'02_Eingaben'!$C$15)</f>
        <v/>
      </c>
      <c r="E1444" s="17" t="str">
        <f>IF(D1444="","",D1444*'02_Eingaben'!$C$8)</f>
        <v/>
      </c>
      <c r="F1444" s="17" t="str">
        <f>IF(E1444="","",AVERAGE(INDEX($E$2:$E$3001,MAX(1,ROW()-1-'02_Eingaben'!$C$17)):INDEX($E$2:$E$3001,MIN('02_Eingaben'!$C$21,ROW()-1+'02_Eingaben'!$C$17))))</f>
        <v/>
      </c>
      <c r="G1444" s="17" t="str">
        <f>IF(F1444="","",F1444-'02_Eingaben'!$C$10)</f>
        <v/>
      </c>
      <c r="H1444" t="str">
        <f>IF(F1444="","",IF(F1444&lt;'02_Eingaben'!$C$18*'02_Eingaben'!$C$10,1,0))</f>
        <v/>
      </c>
      <c r="I1444" s="17" t="str">
        <f t="shared" si="22"/>
        <v/>
      </c>
      <c r="J1444" s="17" t="str">
        <f>IF(B1444="","",IF(B1443&lt;'02_Eingaben'!$C$36,0,J1443+I1443/'02_Eingaben'!$C$8))</f>
        <v/>
      </c>
    </row>
    <row r="1445" spans="1:10" x14ac:dyDescent="0.25">
      <c r="A1445" t="str">
        <f>IF('01_Rohdaten'!A1445="","",ROW()-1)</f>
        <v/>
      </c>
      <c r="B1445" s="17" t="str">
        <f>IF('01_Rohdaten'!A1445="","",'01_Rohdaten'!A1445)</f>
        <v/>
      </c>
      <c r="C1445" s="17" t="str">
        <f>IF(B1445="","",INDEX('01_Rohdaten'!B1445:D1445,'02_Eingaben'!$C$13))</f>
        <v/>
      </c>
      <c r="D1445" s="17" t="str">
        <f>IF(C1445="","",C1445*'02_Eingaben'!$C$15)</f>
        <v/>
      </c>
      <c r="E1445" s="17" t="str">
        <f>IF(D1445="","",D1445*'02_Eingaben'!$C$8)</f>
        <v/>
      </c>
      <c r="F1445" s="17" t="str">
        <f>IF(E1445="","",AVERAGE(INDEX($E$2:$E$3001,MAX(1,ROW()-1-'02_Eingaben'!$C$17)):INDEX($E$2:$E$3001,MIN('02_Eingaben'!$C$21,ROW()-1+'02_Eingaben'!$C$17))))</f>
        <v/>
      </c>
      <c r="G1445" s="17" t="str">
        <f>IF(F1445="","",F1445-'02_Eingaben'!$C$10)</f>
        <v/>
      </c>
      <c r="H1445" t="str">
        <f>IF(F1445="","",IF(F1445&lt;'02_Eingaben'!$C$18*'02_Eingaben'!$C$10,1,0))</f>
        <v/>
      </c>
      <c r="I1445" s="17" t="str">
        <f t="shared" si="22"/>
        <v/>
      </c>
      <c r="J1445" s="17" t="str">
        <f>IF(B1445="","",IF(B1444&lt;'02_Eingaben'!$C$36,0,J1444+I1444/'02_Eingaben'!$C$8))</f>
        <v/>
      </c>
    </row>
    <row r="1446" spans="1:10" x14ac:dyDescent="0.25">
      <c r="A1446" t="str">
        <f>IF('01_Rohdaten'!A1446="","",ROW()-1)</f>
        <v/>
      </c>
      <c r="B1446" s="17" t="str">
        <f>IF('01_Rohdaten'!A1446="","",'01_Rohdaten'!A1446)</f>
        <v/>
      </c>
      <c r="C1446" s="17" t="str">
        <f>IF(B1446="","",INDEX('01_Rohdaten'!B1446:D1446,'02_Eingaben'!$C$13))</f>
        <v/>
      </c>
      <c r="D1446" s="17" t="str">
        <f>IF(C1446="","",C1446*'02_Eingaben'!$C$15)</f>
        <v/>
      </c>
      <c r="E1446" s="17" t="str">
        <f>IF(D1446="","",D1446*'02_Eingaben'!$C$8)</f>
        <v/>
      </c>
      <c r="F1446" s="17" t="str">
        <f>IF(E1446="","",AVERAGE(INDEX($E$2:$E$3001,MAX(1,ROW()-1-'02_Eingaben'!$C$17)):INDEX($E$2:$E$3001,MIN('02_Eingaben'!$C$21,ROW()-1+'02_Eingaben'!$C$17))))</f>
        <v/>
      </c>
      <c r="G1446" s="17" t="str">
        <f>IF(F1446="","",F1446-'02_Eingaben'!$C$10)</f>
        <v/>
      </c>
      <c r="H1446" t="str">
        <f>IF(F1446="","",IF(F1446&lt;'02_Eingaben'!$C$18*'02_Eingaben'!$C$10,1,0))</f>
        <v/>
      </c>
      <c r="I1446" s="17" t="str">
        <f t="shared" si="22"/>
        <v/>
      </c>
      <c r="J1446" s="17" t="str">
        <f>IF(B1446="","",IF(B1445&lt;'02_Eingaben'!$C$36,0,J1445+I1445/'02_Eingaben'!$C$8))</f>
        <v/>
      </c>
    </row>
    <row r="1447" spans="1:10" x14ac:dyDescent="0.25">
      <c r="A1447" t="str">
        <f>IF('01_Rohdaten'!A1447="","",ROW()-1)</f>
        <v/>
      </c>
      <c r="B1447" s="17" t="str">
        <f>IF('01_Rohdaten'!A1447="","",'01_Rohdaten'!A1447)</f>
        <v/>
      </c>
      <c r="C1447" s="17" t="str">
        <f>IF(B1447="","",INDEX('01_Rohdaten'!B1447:D1447,'02_Eingaben'!$C$13))</f>
        <v/>
      </c>
      <c r="D1447" s="17" t="str">
        <f>IF(C1447="","",C1447*'02_Eingaben'!$C$15)</f>
        <v/>
      </c>
      <c r="E1447" s="17" t="str">
        <f>IF(D1447="","",D1447*'02_Eingaben'!$C$8)</f>
        <v/>
      </c>
      <c r="F1447" s="17" t="str">
        <f>IF(E1447="","",AVERAGE(INDEX($E$2:$E$3001,MAX(1,ROW()-1-'02_Eingaben'!$C$17)):INDEX($E$2:$E$3001,MIN('02_Eingaben'!$C$21,ROW()-1+'02_Eingaben'!$C$17))))</f>
        <v/>
      </c>
      <c r="G1447" s="17" t="str">
        <f>IF(F1447="","",F1447-'02_Eingaben'!$C$10)</f>
        <v/>
      </c>
      <c r="H1447" t="str">
        <f>IF(F1447="","",IF(F1447&lt;'02_Eingaben'!$C$18*'02_Eingaben'!$C$10,1,0))</f>
        <v/>
      </c>
      <c r="I1447" s="17" t="str">
        <f t="shared" si="22"/>
        <v/>
      </c>
      <c r="J1447" s="17" t="str">
        <f>IF(B1447="","",IF(B1446&lt;'02_Eingaben'!$C$36,0,J1446+I1446/'02_Eingaben'!$C$8))</f>
        <v/>
      </c>
    </row>
    <row r="1448" spans="1:10" x14ac:dyDescent="0.25">
      <c r="A1448" t="str">
        <f>IF('01_Rohdaten'!A1448="","",ROW()-1)</f>
        <v/>
      </c>
      <c r="B1448" s="17" t="str">
        <f>IF('01_Rohdaten'!A1448="","",'01_Rohdaten'!A1448)</f>
        <v/>
      </c>
      <c r="C1448" s="17" t="str">
        <f>IF(B1448="","",INDEX('01_Rohdaten'!B1448:D1448,'02_Eingaben'!$C$13))</f>
        <v/>
      </c>
      <c r="D1448" s="17" t="str">
        <f>IF(C1448="","",C1448*'02_Eingaben'!$C$15)</f>
        <v/>
      </c>
      <c r="E1448" s="17" t="str">
        <f>IF(D1448="","",D1448*'02_Eingaben'!$C$8)</f>
        <v/>
      </c>
      <c r="F1448" s="17" t="str">
        <f>IF(E1448="","",AVERAGE(INDEX($E$2:$E$3001,MAX(1,ROW()-1-'02_Eingaben'!$C$17)):INDEX($E$2:$E$3001,MIN('02_Eingaben'!$C$21,ROW()-1+'02_Eingaben'!$C$17))))</f>
        <v/>
      </c>
      <c r="G1448" s="17" t="str">
        <f>IF(F1448="","",F1448-'02_Eingaben'!$C$10)</f>
        <v/>
      </c>
      <c r="H1448" t="str">
        <f>IF(F1448="","",IF(F1448&lt;'02_Eingaben'!$C$18*'02_Eingaben'!$C$10,1,0))</f>
        <v/>
      </c>
      <c r="I1448" s="17" t="str">
        <f t="shared" si="22"/>
        <v/>
      </c>
      <c r="J1448" s="17" t="str">
        <f>IF(B1448="","",IF(B1447&lt;'02_Eingaben'!$C$36,0,J1447+I1447/'02_Eingaben'!$C$8))</f>
        <v/>
      </c>
    </row>
    <row r="1449" spans="1:10" x14ac:dyDescent="0.25">
      <c r="A1449" t="str">
        <f>IF('01_Rohdaten'!A1449="","",ROW()-1)</f>
        <v/>
      </c>
      <c r="B1449" s="17" t="str">
        <f>IF('01_Rohdaten'!A1449="","",'01_Rohdaten'!A1449)</f>
        <v/>
      </c>
      <c r="C1449" s="17" t="str">
        <f>IF(B1449="","",INDEX('01_Rohdaten'!B1449:D1449,'02_Eingaben'!$C$13))</f>
        <v/>
      </c>
      <c r="D1449" s="17" t="str">
        <f>IF(C1449="","",C1449*'02_Eingaben'!$C$15)</f>
        <v/>
      </c>
      <c r="E1449" s="17" t="str">
        <f>IF(D1449="","",D1449*'02_Eingaben'!$C$8)</f>
        <v/>
      </c>
      <c r="F1449" s="17" t="str">
        <f>IF(E1449="","",AVERAGE(INDEX($E$2:$E$3001,MAX(1,ROW()-1-'02_Eingaben'!$C$17)):INDEX($E$2:$E$3001,MIN('02_Eingaben'!$C$21,ROW()-1+'02_Eingaben'!$C$17))))</f>
        <v/>
      </c>
      <c r="G1449" s="17" t="str">
        <f>IF(F1449="","",F1449-'02_Eingaben'!$C$10)</f>
        <v/>
      </c>
      <c r="H1449" t="str">
        <f>IF(F1449="","",IF(F1449&lt;'02_Eingaben'!$C$18*'02_Eingaben'!$C$10,1,0))</f>
        <v/>
      </c>
      <c r="I1449" s="17" t="str">
        <f t="shared" si="22"/>
        <v/>
      </c>
      <c r="J1449" s="17" t="str">
        <f>IF(B1449="","",IF(B1448&lt;'02_Eingaben'!$C$36,0,J1448+I1448/'02_Eingaben'!$C$8))</f>
        <v/>
      </c>
    </row>
    <row r="1450" spans="1:10" x14ac:dyDescent="0.25">
      <c r="A1450" t="str">
        <f>IF('01_Rohdaten'!A1450="","",ROW()-1)</f>
        <v/>
      </c>
      <c r="B1450" s="17" t="str">
        <f>IF('01_Rohdaten'!A1450="","",'01_Rohdaten'!A1450)</f>
        <v/>
      </c>
      <c r="C1450" s="17" t="str">
        <f>IF(B1450="","",INDEX('01_Rohdaten'!B1450:D1450,'02_Eingaben'!$C$13))</f>
        <v/>
      </c>
      <c r="D1450" s="17" t="str">
        <f>IF(C1450="","",C1450*'02_Eingaben'!$C$15)</f>
        <v/>
      </c>
      <c r="E1450" s="17" t="str">
        <f>IF(D1450="","",D1450*'02_Eingaben'!$C$8)</f>
        <v/>
      </c>
      <c r="F1450" s="17" t="str">
        <f>IF(E1450="","",AVERAGE(INDEX($E$2:$E$3001,MAX(1,ROW()-1-'02_Eingaben'!$C$17)):INDEX($E$2:$E$3001,MIN('02_Eingaben'!$C$21,ROW()-1+'02_Eingaben'!$C$17))))</f>
        <v/>
      </c>
      <c r="G1450" s="17" t="str">
        <f>IF(F1450="","",F1450-'02_Eingaben'!$C$10)</f>
        <v/>
      </c>
      <c r="H1450" t="str">
        <f>IF(F1450="","",IF(F1450&lt;'02_Eingaben'!$C$18*'02_Eingaben'!$C$10,1,0))</f>
        <v/>
      </c>
      <c r="I1450" s="17" t="str">
        <f t="shared" si="22"/>
        <v/>
      </c>
      <c r="J1450" s="17" t="str">
        <f>IF(B1450="","",IF(B1449&lt;'02_Eingaben'!$C$36,0,J1449+I1449/'02_Eingaben'!$C$8))</f>
        <v/>
      </c>
    </row>
    <row r="1451" spans="1:10" x14ac:dyDescent="0.25">
      <c r="A1451" t="str">
        <f>IF('01_Rohdaten'!A1451="","",ROW()-1)</f>
        <v/>
      </c>
      <c r="B1451" s="17" t="str">
        <f>IF('01_Rohdaten'!A1451="","",'01_Rohdaten'!A1451)</f>
        <v/>
      </c>
      <c r="C1451" s="17" t="str">
        <f>IF(B1451="","",INDEX('01_Rohdaten'!B1451:D1451,'02_Eingaben'!$C$13))</f>
        <v/>
      </c>
      <c r="D1451" s="17" t="str">
        <f>IF(C1451="","",C1451*'02_Eingaben'!$C$15)</f>
        <v/>
      </c>
      <c r="E1451" s="17" t="str">
        <f>IF(D1451="","",D1451*'02_Eingaben'!$C$8)</f>
        <v/>
      </c>
      <c r="F1451" s="17" t="str">
        <f>IF(E1451="","",AVERAGE(INDEX($E$2:$E$3001,MAX(1,ROW()-1-'02_Eingaben'!$C$17)):INDEX($E$2:$E$3001,MIN('02_Eingaben'!$C$21,ROW()-1+'02_Eingaben'!$C$17))))</f>
        <v/>
      </c>
      <c r="G1451" s="17" t="str">
        <f>IF(F1451="","",F1451-'02_Eingaben'!$C$10)</f>
        <v/>
      </c>
      <c r="H1451" t="str">
        <f>IF(F1451="","",IF(F1451&lt;'02_Eingaben'!$C$18*'02_Eingaben'!$C$10,1,0))</f>
        <v/>
      </c>
      <c r="I1451" s="17" t="str">
        <f t="shared" si="22"/>
        <v/>
      </c>
      <c r="J1451" s="17" t="str">
        <f>IF(B1451="","",IF(B1450&lt;'02_Eingaben'!$C$36,0,J1450+I1450/'02_Eingaben'!$C$8))</f>
        <v/>
      </c>
    </row>
    <row r="1452" spans="1:10" x14ac:dyDescent="0.25">
      <c r="A1452" t="str">
        <f>IF('01_Rohdaten'!A1452="","",ROW()-1)</f>
        <v/>
      </c>
      <c r="B1452" s="17" t="str">
        <f>IF('01_Rohdaten'!A1452="","",'01_Rohdaten'!A1452)</f>
        <v/>
      </c>
      <c r="C1452" s="17" t="str">
        <f>IF(B1452="","",INDEX('01_Rohdaten'!B1452:D1452,'02_Eingaben'!$C$13))</f>
        <v/>
      </c>
      <c r="D1452" s="17" t="str">
        <f>IF(C1452="","",C1452*'02_Eingaben'!$C$15)</f>
        <v/>
      </c>
      <c r="E1452" s="17" t="str">
        <f>IF(D1452="","",D1452*'02_Eingaben'!$C$8)</f>
        <v/>
      </c>
      <c r="F1452" s="17" t="str">
        <f>IF(E1452="","",AVERAGE(INDEX($E$2:$E$3001,MAX(1,ROW()-1-'02_Eingaben'!$C$17)):INDEX($E$2:$E$3001,MIN('02_Eingaben'!$C$21,ROW()-1+'02_Eingaben'!$C$17))))</f>
        <v/>
      </c>
      <c r="G1452" s="17" t="str">
        <f>IF(F1452="","",F1452-'02_Eingaben'!$C$10)</f>
        <v/>
      </c>
      <c r="H1452" t="str">
        <f>IF(F1452="","",IF(F1452&lt;'02_Eingaben'!$C$18*'02_Eingaben'!$C$10,1,0))</f>
        <v/>
      </c>
      <c r="I1452" s="17" t="str">
        <f t="shared" si="22"/>
        <v/>
      </c>
      <c r="J1452" s="17" t="str">
        <f>IF(B1452="","",IF(B1451&lt;'02_Eingaben'!$C$36,0,J1451+I1451/'02_Eingaben'!$C$8))</f>
        <v/>
      </c>
    </row>
    <row r="1453" spans="1:10" x14ac:dyDescent="0.25">
      <c r="A1453" t="str">
        <f>IF('01_Rohdaten'!A1453="","",ROW()-1)</f>
        <v/>
      </c>
      <c r="B1453" s="17" t="str">
        <f>IF('01_Rohdaten'!A1453="","",'01_Rohdaten'!A1453)</f>
        <v/>
      </c>
      <c r="C1453" s="17" t="str">
        <f>IF(B1453="","",INDEX('01_Rohdaten'!B1453:D1453,'02_Eingaben'!$C$13))</f>
        <v/>
      </c>
      <c r="D1453" s="17" t="str">
        <f>IF(C1453="","",C1453*'02_Eingaben'!$C$15)</f>
        <v/>
      </c>
      <c r="E1453" s="17" t="str">
        <f>IF(D1453="","",D1453*'02_Eingaben'!$C$8)</f>
        <v/>
      </c>
      <c r="F1453" s="17" t="str">
        <f>IF(E1453="","",AVERAGE(INDEX($E$2:$E$3001,MAX(1,ROW()-1-'02_Eingaben'!$C$17)):INDEX($E$2:$E$3001,MIN('02_Eingaben'!$C$21,ROW()-1+'02_Eingaben'!$C$17))))</f>
        <v/>
      </c>
      <c r="G1453" s="17" t="str">
        <f>IF(F1453="","",F1453-'02_Eingaben'!$C$10)</f>
        <v/>
      </c>
      <c r="H1453" t="str">
        <f>IF(F1453="","",IF(F1453&lt;'02_Eingaben'!$C$18*'02_Eingaben'!$C$10,1,0))</f>
        <v/>
      </c>
      <c r="I1453" s="17" t="str">
        <f t="shared" si="22"/>
        <v/>
      </c>
      <c r="J1453" s="17" t="str">
        <f>IF(B1453="","",IF(B1452&lt;'02_Eingaben'!$C$36,0,J1452+I1452/'02_Eingaben'!$C$8))</f>
        <v/>
      </c>
    </row>
    <row r="1454" spans="1:10" x14ac:dyDescent="0.25">
      <c r="A1454" t="str">
        <f>IF('01_Rohdaten'!A1454="","",ROW()-1)</f>
        <v/>
      </c>
      <c r="B1454" s="17" t="str">
        <f>IF('01_Rohdaten'!A1454="","",'01_Rohdaten'!A1454)</f>
        <v/>
      </c>
      <c r="C1454" s="17" t="str">
        <f>IF(B1454="","",INDEX('01_Rohdaten'!B1454:D1454,'02_Eingaben'!$C$13))</f>
        <v/>
      </c>
      <c r="D1454" s="17" t="str">
        <f>IF(C1454="","",C1454*'02_Eingaben'!$C$15)</f>
        <v/>
      </c>
      <c r="E1454" s="17" t="str">
        <f>IF(D1454="","",D1454*'02_Eingaben'!$C$8)</f>
        <v/>
      </c>
      <c r="F1454" s="17" t="str">
        <f>IF(E1454="","",AVERAGE(INDEX($E$2:$E$3001,MAX(1,ROW()-1-'02_Eingaben'!$C$17)):INDEX($E$2:$E$3001,MIN('02_Eingaben'!$C$21,ROW()-1+'02_Eingaben'!$C$17))))</f>
        <v/>
      </c>
      <c r="G1454" s="17" t="str">
        <f>IF(F1454="","",F1454-'02_Eingaben'!$C$10)</f>
        <v/>
      </c>
      <c r="H1454" t="str">
        <f>IF(F1454="","",IF(F1454&lt;'02_Eingaben'!$C$18*'02_Eingaben'!$C$10,1,0))</f>
        <v/>
      </c>
      <c r="I1454" s="17" t="str">
        <f t="shared" si="22"/>
        <v/>
      </c>
      <c r="J1454" s="17" t="str">
        <f>IF(B1454="","",IF(B1453&lt;'02_Eingaben'!$C$36,0,J1453+I1453/'02_Eingaben'!$C$8))</f>
        <v/>
      </c>
    </row>
    <row r="1455" spans="1:10" x14ac:dyDescent="0.25">
      <c r="A1455" t="str">
        <f>IF('01_Rohdaten'!A1455="","",ROW()-1)</f>
        <v/>
      </c>
      <c r="B1455" s="17" t="str">
        <f>IF('01_Rohdaten'!A1455="","",'01_Rohdaten'!A1455)</f>
        <v/>
      </c>
      <c r="C1455" s="17" t="str">
        <f>IF(B1455="","",INDEX('01_Rohdaten'!B1455:D1455,'02_Eingaben'!$C$13))</f>
        <v/>
      </c>
      <c r="D1455" s="17" t="str">
        <f>IF(C1455="","",C1455*'02_Eingaben'!$C$15)</f>
        <v/>
      </c>
      <c r="E1455" s="17" t="str">
        <f>IF(D1455="","",D1455*'02_Eingaben'!$C$8)</f>
        <v/>
      </c>
      <c r="F1455" s="17" t="str">
        <f>IF(E1455="","",AVERAGE(INDEX($E$2:$E$3001,MAX(1,ROW()-1-'02_Eingaben'!$C$17)):INDEX($E$2:$E$3001,MIN('02_Eingaben'!$C$21,ROW()-1+'02_Eingaben'!$C$17))))</f>
        <v/>
      </c>
      <c r="G1455" s="17" t="str">
        <f>IF(F1455="","",F1455-'02_Eingaben'!$C$10)</f>
        <v/>
      </c>
      <c r="H1455" t="str">
        <f>IF(F1455="","",IF(F1455&lt;'02_Eingaben'!$C$18*'02_Eingaben'!$C$10,1,0))</f>
        <v/>
      </c>
      <c r="I1455" s="17" t="str">
        <f t="shared" si="22"/>
        <v/>
      </c>
      <c r="J1455" s="17" t="str">
        <f>IF(B1455="","",IF(B1454&lt;'02_Eingaben'!$C$36,0,J1454+I1454/'02_Eingaben'!$C$8))</f>
        <v/>
      </c>
    </row>
    <row r="1456" spans="1:10" x14ac:dyDescent="0.25">
      <c r="A1456" t="str">
        <f>IF('01_Rohdaten'!A1456="","",ROW()-1)</f>
        <v/>
      </c>
      <c r="B1456" s="17" t="str">
        <f>IF('01_Rohdaten'!A1456="","",'01_Rohdaten'!A1456)</f>
        <v/>
      </c>
      <c r="C1456" s="17" t="str">
        <f>IF(B1456="","",INDEX('01_Rohdaten'!B1456:D1456,'02_Eingaben'!$C$13))</f>
        <v/>
      </c>
      <c r="D1456" s="17" t="str">
        <f>IF(C1456="","",C1456*'02_Eingaben'!$C$15)</f>
        <v/>
      </c>
      <c r="E1456" s="17" t="str">
        <f>IF(D1456="","",D1456*'02_Eingaben'!$C$8)</f>
        <v/>
      </c>
      <c r="F1456" s="17" t="str">
        <f>IF(E1456="","",AVERAGE(INDEX($E$2:$E$3001,MAX(1,ROW()-1-'02_Eingaben'!$C$17)):INDEX($E$2:$E$3001,MIN('02_Eingaben'!$C$21,ROW()-1+'02_Eingaben'!$C$17))))</f>
        <v/>
      </c>
      <c r="G1456" s="17" t="str">
        <f>IF(F1456="","",F1456-'02_Eingaben'!$C$10)</f>
        <v/>
      </c>
      <c r="H1456" t="str">
        <f>IF(F1456="","",IF(F1456&lt;'02_Eingaben'!$C$18*'02_Eingaben'!$C$10,1,0))</f>
        <v/>
      </c>
      <c r="I1456" s="17" t="str">
        <f t="shared" si="22"/>
        <v/>
      </c>
      <c r="J1456" s="17" t="str">
        <f>IF(B1456="","",IF(B1455&lt;'02_Eingaben'!$C$36,0,J1455+I1455/'02_Eingaben'!$C$8))</f>
        <v/>
      </c>
    </row>
    <row r="1457" spans="1:10" x14ac:dyDescent="0.25">
      <c r="A1457" t="str">
        <f>IF('01_Rohdaten'!A1457="","",ROW()-1)</f>
        <v/>
      </c>
      <c r="B1457" s="17" t="str">
        <f>IF('01_Rohdaten'!A1457="","",'01_Rohdaten'!A1457)</f>
        <v/>
      </c>
      <c r="C1457" s="17" t="str">
        <f>IF(B1457="","",INDEX('01_Rohdaten'!B1457:D1457,'02_Eingaben'!$C$13))</f>
        <v/>
      </c>
      <c r="D1457" s="17" t="str">
        <f>IF(C1457="","",C1457*'02_Eingaben'!$C$15)</f>
        <v/>
      </c>
      <c r="E1457" s="17" t="str">
        <f>IF(D1457="","",D1457*'02_Eingaben'!$C$8)</f>
        <v/>
      </c>
      <c r="F1457" s="17" t="str">
        <f>IF(E1457="","",AVERAGE(INDEX($E$2:$E$3001,MAX(1,ROW()-1-'02_Eingaben'!$C$17)):INDEX($E$2:$E$3001,MIN('02_Eingaben'!$C$21,ROW()-1+'02_Eingaben'!$C$17))))</f>
        <v/>
      </c>
      <c r="G1457" s="17" t="str">
        <f>IF(F1457="","",F1457-'02_Eingaben'!$C$10)</f>
        <v/>
      </c>
      <c r="H1457" t="str">
        <f>IF(F1457="","",IF(F1457&lt;'02_Eingaben'!$C$18*'02_Eingaben'!$C$10,1,0))</f>
        <v/>
      </c>
      <c r="I1457" s="17" t="str">
        <f t="shared" si="22"/>
        <v/>
      </c>
      <c r="J1457" s="17" t="str">
        <f>IF(B1457="","",IF(B1456&lt;'02_Eingaben'!$C$36,0,J1456+I1456/'02_Eingaben'!$C$8))</f>
        <v/>
      </c>
    </row>
    <row r="1458" spans="1:10" x14ac:dyDescent="0.25">
      <c r="A1458" t="str">
        <f>IF('01_Rohdaten'!A1458="","",ROW()-1)</f>
        <v/>
      </c>
      <c r="B1458" s="17" t="str">
        <f>IF('01_Rohdaten'!A1458="","",'01_Rohdaten'!A1458)</f>
        <v/>
      </c>
      <c r="C1458" s="17" t="str">
        <f>IF(B1458="","",INDEX('01_Rohdaten'!B1458:D1458,'02_Eingaben'!$C$13))</f>
        <v/>
      </c>
      <c r="D1458" s="17" t="str">
        <f>IF(C1458="","",C1458*'02_Eingaben'!$C$15)</f>
        <v/>
      </c>
      <c r="E1458" s="17" t="str">
        <f>IF(D1458="","",D1458*'02_Eingaben'!$C$8)</f>
        <v/>
      </c>
      <c r="F1458" s="17" t="str">
        <f>IF(E1458="","",AVERAGE(INDEX($E$2:$E$3001,MAX(1,ROW()-1-'02_Eingaben'!$C$17)):INDEX($E$2:$E$3001,MIN('02_Eingaben'!$C$21,ROW()-1+'02_Eingaben'!$C$17))))</f>
        <v/>
      </c>
      <c r="G1458" s="17" t="str">
        <f>IF(F1458="","",F1458-'02_Eingaben'!$C$10)</f>
        <v/>
      </c>
      <c r="H1458" t="str">
        <f>IF(F1458="","",IF(F1458&lt;'02_Eingaben'!$C$18*'02_Eingaben'!$C$10,1,0))</f>
        <v/>
      </c>
      <c r="I1458" s="17" t="str">
        <f t="shared" si="22"/>
        <v/>
      </c>
      <c r="J1458" s="17" t="str">
        <f>IF(B1458="","",IF(B1457&lt;'02_Eingaben'!$C$36,0,J1457+I1457/'02_Eingaben'!$C$8))</f>
        <v/>
      </c>
    </row>
    <row r="1459" spans="1:10" x14ac:dyDescent="0.25">
      <c r="A1459" t="str">
        <f>IF('01_Rohdaten'!A1459="","",ROW()-1)</f>
        <v/>
      </c>
      <c r="B1459" s="17" t="str">
        <f>IF('01_Rohdaten'!A1459="","",'01_Rohdaten'!A1459)</f>
        <v/>
      </c>
      <c r="C1459" s="17" t="str">
        <f>IF(B1459="","",INDEX('01_Rohdaten'!B1459:D1459,'02_Eingaben'!$C$13))</f>
        <v/>
      </c>
      <c r="D1459" s="17" t="str">
        <f>IF(C1459="","",C1459*'02_Eingaben'!$C$15)</f>
        <v/>
      </c>
      <c r="E1459" s="17" t="str">
        <f>IF(D1459="","",D1459*'02_Eingaben'!$C$8)</f>
        <v/>
      </c>
      <c r="F1459" s="17" t="str">
        <f>IF(E1459="","",AVERAGE(INDEX($E$2:$E$3001,MAX(1,ROW()-1-'02_Eingaben'!$C$17)):INDEX($E$2:$E$3001,MIN('02_Eingaben'!$C$21,ROW()-1+'02_Eingaben'!$C$17))))</f>
        <v/>
      </c>
      <c r="G1459" s="17" t="str">
        <f>IF(F1459="","",F1459-'02_Eingaben'!$C$10)</f>
        <v/>
      </c>
      <c r="H1459" t="str">
        <f>IF(F1459="","",IF(F1459&lt;'02_Eingaben'!$C$18*'02_Eingaben'!$C$10,1,0))</f>
        <v/>
      </c>
      <c r="I1459" s="17" t="str">
        <f t="shared" si="22"/>
        <v/>
      </c>
      <c r="J1459" s="17" t="str">
        <f>IF(B1459="","",IF(B1458&lt;'02_Eingaben'!$C$36,0,J1458+I1458/'02_Eingaben'!$C$8))</f>
        <v/>
      </c>
    </row>
    <row r="1460" spans="1:10" x14ac:dyDescent="0.25">
      <c r="A1460" t="str">
        <f>IF('01_Rohdaten'!A1460="","",ROW()-1)</f>
        <v/>
      </c>
      <c r="B1460" s="17" t="str">
        <f>IF('01_Rohdaten'!A1460="","",'01_Rohdaten'!A1460)</f>
        <v/>
      </c>
      <c r="C1460" s="17" t="str">
        <f>IF(B1460="","",INDEX('01_Rohdaten'!B1460:D1460,'02_Eingaben'!$C$13))</f>
        <v/>
      </c>
      <c r="D1460" s="17" t="str">
        <f>IF(C1460="","",C1460*'02_Eingaben'!$C$15)</f>
        <v/>
      </c>
      <c r="E1460" s="17" t="str">
        <f>IF(D1460="","",D1460*'02_Eingaben'!$C$8)</f>
        <v/>
      </c>
      <c r="F1460" s="17" t="str">
        <f>IF(E1460="","",AVERAGE(INDEX($E$2:$E$3001,MAX(1,ROW()-1-'02_Eingaben'!$C$17)):INDEX($E$2:$E$3001,MIN('02_Eingaben'!$C$21,ROW()-1+'02_Eingaben'!$C$17))))</f>
        <v/>
      </c>
      <c r="G1460" s="17" t="str">
        <f>IF(F1460="","",F1460-'02_Eingaben'!$C$10)</f>
        <v/>
      </c>
      <c r="H1460" t="str">
        <f>IF(F1460="","",IF(F1460&lt;'02_Eingaben'!$C$18*'02_Eingaben'!$C$10,1,0))</f>
        <v/>
      </c>
      <c r="I1460" s="17" t="str">
        <f t="shared" si="22"/>
        <v/>
      </c>
      <c r="J1460" s="17" t="str">
        <f>IF(B1460="","",IF(B1459&lt;'02_Eingaben'!$C$36,0,J1459+I1459/'02_Eingaben'!$C$8))</f>
        <v/>
      </c>
    </row>
    <row r="1461" spans="1:10" x14ac:dyDescent="0.25">
      <c r="A1461" t="str">
        <f>IF('01_Rohdaten'!A1461="","",ROW()-1)</f>
        <v/>
      </c>
      <c r="B1461" s="17" t="str">
        <f>IF('01_Rohdaten'!A1461="","",'01_Rohdaten'!A1461)</f>
        <v/>
      </c>
      <c r="C1461" s="17" t="str">
        <f>IF(B1461="","",INDEX('01_Rohdaten'!B1461:D1461,'02_Eingaben'!$C$13))</f>
        <v/>
      </c>
      <c r="D1461" s="17" t="str">
        <f>IF(C1461="","",C1461*'02_Eingaben'!$C$15)</f>
        <v/>
      </c>
      <c r="E1461" s="17" t="str">
        <f>IF(D1461="","",D1461*'02_Eingaben'!$C$8)</f>
        <v/>
      </c>
      <c r="F1461" s="17" t="str">
        <f>IF(E1461="","",AVERAGE(INDEX($E$2:$E$3001,MAX(1,ROW()-1-'02_Eingaben'!$C$17)):INDEX($E$2:$E$3001,MIN('02_Eingaben'!$C$21,ROW()-1+'02_Eingaben'!$C$17))))</f>
        <v/>
      </c>
      <c r="G1461" s="17" t="str">
        <f>IF(F1461="","",F1461-'02_Eingaben'!$C$10)</f>
        <v/>
      </c>
      <c r="H1461" t="str">
        <f>IF(F1461="","",IF(F1461&lt;'02_Eingaben'!$C$18*'02_Eingaben'!$C$10,1,0))</f>
        <v/>
      </c>
      <c r="I1461" s="17" t="str">
        <f t="shared" si="22"/>
        <v/>
      </c>
      <c r="J1461" s="17" t="str">
        <f>IF(B1461="","",IF(B1460&lt;'02_Eingaben'!$C$36,0,J1460+I1460/'02_Eingaben'!$C$8))</f>
        <v/>
      </c>
    </row>
    <row r="1462" spans="1:10" x14ac:dyDescent="0.25">
      <c r="A1462" t="str">
        <f>IF('01_Rohdaten'!A1462="","",ROW()-1)</f>
        <v/>
      </c>
      <c r="B1462" s="17" t="str">
        <f>IF('01_Rohdaten'!A1462="","",'01_Rohdaten'!A1462)</f>
        <v/>
      </c>
      <c r="C1462" s="17" t="str">
        <f>IF(B1462="","",INDEX('01_Rohdaten'!B1462:D1462,'02_Eingaben'!$C$13))</f>
        <v/>
      </c>
      <c r="D1462" s="17" t="str">
        <f>IF(C1462="","",C1462*'02_Eingaben'!$C$15)</f>
        <v/>
      </c>
      <c r="E1462" s="17" t="str">
        <f>IF(D1462="","",D1462*'02_Eingaben'!$C$8)</f>
        <v/>
      </c>
      <c r="F1462" s="17" t="str">
        <f>IF(E1462="","",AVERAGE(INDEX($E$2:$E$3001,MAX(1,ROW()-1-'02_Eingaben'!$C$17)):INDEX($E$2:$E$3001,MIN('02_Eingaben'!$C$21,ROW()-1+'02_Eingaben'!$C$17))))</f>
        <v/>
      </c>
      <c r="G1462" s="17" t="str">
        <f>IF(F1462="","",F1462-'02_Eingaben'!$C$10)</f>
        <v/>
      </c>
      <c r="H1462" t="str">
        <f>IF(F1462="","",IF(F1462&lt;'02_Eingaben'!$C$18*'02_Eingaben'!$C$10,1,0))</f>
        <v/>
      </c>
      <c r="I1462" s="17" t="str">
        <f t="shared" si="22"/>
        <v/>
      </c>
      <c r="J1462" s="17" t="str">
        <f>IF(B1462="","",IF(B1461&lt;'02_Eingaben'!$C$36,0,J1461+I1461/'02_Eingaben'!$C$8))</f>
        <v/>
      </c>
    </row>
    <row r="1463" spans="1:10" x14ac:dyDescent="0.25">
      <c r="A1463" t="str">
        <f>IF('01_Rohdaten'!A1463="","",ROW()-1)</f>
        <v/>
      </c>
      <c r="B1463" s="17" t="str">
        <f>IF('01_Rohdaten'!A1463="","",'01_Rohdaten'!A1463)</f>
        <v/>
      </c>
      <c r="C1463" s="17" t="str">
        <f>IF(B1463="","",INDEX('01_Rohdaten'!B1463:D1463,'02_Eingaben'!$C$13))</f>
        <v/>
      </c>
      <c r="D1463" s="17" t="str">
        <f>IF(C1463="","",C1463*'02_Eingaben'!$C$15)</f>
        <v/>
      </c>
      <c r="E1463" s="17" t="str">
        <f>IF(D1463="","",D1463*'02_Eingaben'!$C$8)</f>
        <v/>
      </c>
      <c r="F1463" s="17" t="str">
        <f>IF(E1463="","",AVERAGE(INDEX($E$2:$E$3001,MAX(1,ROW()-1-'02_Eingaben'!$C$17)):INDEX($E$2:$E$3001,MIN('02_Eingaben'!$C$21,ROW()-1+'02_Eingaben'!$C$17))))</f>
        <v/>
      </c>
      <c r="G1463" s="17" t="str">
        <f>IF(F1463="","",F1463-'02_Eingaben'!$C$10)</f>
        <v/>
      </c>
      <c r="H1463" t="str">
        <f>IF(F1463="","",IF(F1463&lt;'02_Eingaben'!$C$18*'02_Eingaben'!$C$10,1,0))</f>
        <v/>
      </c>
      <c r="I1463" s="17" t="str">
        <f t="shared" si="22"/>
        <v/>
      </c>
      <c r="J1463" s="17" t="str">
        <f>IF(B1463="","",IF(B1462&lt;'02_Eingaben'!$C$36,0,J1462+I1462/'02_Eingaben'!$C$8))</f>
        <v/>
      </c>
    </row>
    <row r="1464" spans="1:10" x14ac:dyDescent="0.25">
      <c r="A1464" t="str">
        <f>IF('01_Rohdaten'!A1464="","",ROW()-1)</f>
        <v/>
      </c>
      <c r="B1464" s="17" t="str">
        <f>IF('01_Rohdaten'!A1464="","",'01_Rohdaten'!A1464)</f>
        <v/>
      </c>
      <c r="C1464" s="17" t="str">
        <f>IF(B1464="","",INDEX('01_Rohdaten'!B1464:D1464,'02_Eingaben'!$C$13))</f>
        <v/>
      </c>
      <c r="D1464" s="17" t="str">
        <f>IF(C1464="","",C1464*'02_Eingaben'!$C$15)</f>
        <v/>
      </c>
      <c r="E1464" s="17" t="str">
        <f>IF(D1464="","",D1464*'02_Eingaben'!$C$8)</f>
        <v/>
      </c>
      <c r="F1464" s="17" t="str">
        <f>IF(E1464="","",AVERAGE(INDEX($E$2:$E$3001,MAX(1,ROW()-1-'02_Eingaben'!$C$17)):INDEX($E$2:$E$3001,MIN('02_Eingaben'!$C$21,ROW()-1+'02_Eingaben'!$C$17))))</f>
        <v/>
      </c>
      <c r="G1464" s="17" t="str">
        <f>IF(F1464="","",F1464-'02_Eingaben'!$C$10)</f>
        <v/>
      </c>
      <c r="H1464" t="str">
        <f>IF(F1464="","",IF(F1464&lt;'02_Eingaben'!$C$18*'02_Eingaben'!$C$10,1,0))</f>
        <v/>
      </c>
      <c r="I1464" s="17" t="str">
        <f t="shared" si="22"/>
        <v/>
      </c>
      <c r="J1464" s="17" t="str">
        <f>IF(B1464="","",IF(B1463&lt;'02_Eingaben'!$C$36,0,J1463+I1463/'02_Eingaben'!$C$8))</f>
        <v/>
      </c>
    </row>
    <row r="1465" spans="1:10" x14ac:dyDescent="0.25">
      <c r="A1465" t="str">
        <f>IF('01_Rohdaten'!A1465="","",ROW()-1)</f>
        <v/>
      </c>
      <c r="B1465" s="17" t="str">
        <f>IF('01_Rohdaten'!A1465="","",'01_Rohdaten'!A1465)</f>
        <v/>
      </c>
      <c r="C1465" s="17" t="str">
        <f>IF(B1465="","",INDEX('01_Rohdaten'!B1465:D1465,'02_Eingaben'!$C$13))</f>
        <v/>
      </c>
      <c r="D1465" s="17" t="str">
        <f>IF(C1465="","",C1465*'02_Eingaben'!$C$15)</f>
        <v/>
      </c>
      <c r="E1465" s="17" t="str">
        <f>IF(D1465="","",D1465*'02_Eingaben'!$C$8)</f>
        <v/>
      </c>
      <c r="F1465" s="17" t="str">
        <f>IF(E1465="","",AVERAGE(INDEX($E$2:$E$3001,MAX(1,ROW()-1-'02_Eingaben'!$C$17)):INDEX($E$2:$E$3001,MIN('02_Eingaben'!$C$21,ROW()-1+'02_Eingaben'!$C$17))))</f>
        <v/>
      </c>
      <c r="G1465" s="17" t="str">
        <f>IF(F1465="","",F1465-'02_Eingaben'!$C$10)</f>
        <v/>
      </c>
      <c r="H1465" t="str">
        <f>IF(F1465="","",IF(F1465&lt;'02_Eingaben'!$C$18*'02_Eingaben'!$C$10,1,0))</f>
        <v/>
      </c>
      <c r="I1465" s="17" t="str">
        <f t="shared" si="22"/>
        <v/>
      </c>
      <c r="J1465" s="17" t="str">
        <f>IF(B1465="","",IF(B1464&lt;'02_Eingaben'!$C$36,0,J1464+I1464/'02_Eingaben'!$C$8))</f>
        <v/>
      </c>
    </row>
    <row r="1466" spans="1:10" x14ac:dyDescent="0.25">
      <c r="A1466" t="str">
        <f>IF('01_Rohdaten'!A1466="","",ROW()-1)</f>
        <v/>
      </c>
      <c r="B1466" s="17" t="str">
        <f>IF('01_Rohdaten'!A1466="","",'01_Rohdaten'!A1466)</f>
        <v/>
      </c>
      <c r="C1466" s="17" t="str">
        <f>IF(B1466="","",INDEX('01_Rohdaten'!B1466:D1466,'02_Eingaben'!$C$13))</f>
        <v/>
      </c>
      <c r="D1466" s="17" t="str">
        <f>IF(C1466="","",C1466*'02_Eingaben'!$C$15)</f>
        <v/>
      </c>
      <c r="E1466" s="17" t="str">
        <f>IF(D1466="","",D1466*'02_Eingaben'!$C$8)</f>
        <v/>
      </c>
      <c r="F1466" s="17" t="str">
        <f>IF(E1466="","",AVERAGE(INDEX($E$2:$E$3001,MAX(1,ROW()-1-'02_Eingaben'!$C$17)):INDEX($E$2:$E$3001,MIN('02_Eingaben'!$C$21,ROW()-1+'02_Eingaben'!$C$17))))</f>
        <v/>
      </c>
      <c r="G1466" s="17" t="str">
        <f>IF(F1466="","",F1466-'02_Eingaben'!$C$10)</f>
        <v/>
      </c>
      <c r="H1466" t="str">
        <f>IF(F1466="","",IF(F1466&lt;'02_Eingaben'!$C$18*'02_Eingaben'!$C$10,1,0))</f>
        <v/>
      </c>
      <c r="I1466" s="17" t="str">
        <f t="shared" si="22"/>
        <v/>
      </c>
      <c r="J1466" s="17" t="str">
        <f>IF(B1466="","",IF(B1465&lt;'02_Eingaben'!$C$36,0,J1465+I1465/'02_Eingaben'!$C$8))</f>
        <v/>
      </c>
    </row>
    <row r="1467" spans="1:10" x14ac:dyDescent="0.25">
      <c r="A1467" t="str">
        <f>IF('01_Rohdaten'!A1467="","",ROW()-1)</f>
        <v/>
      </c>
      <c r="B1467" s="17" t="str">
        <f>IF('01_Rohdaten'!A1467="","",'01_Rohdaten'!A1467)</f>
        <v/>
      </c>
      <c r="C1467" s="17" t="str">
        <f>IF(B1467="","",INDEX('01_Rohdaten'!B1467:D1467,'02_Eingaben'!$C$13))</f>
        <v/>
      </c>
      <c r="D1467" s="17" t="str">
        <f>IF(C1467="","",C1467*'02_Eingaben'!$C$15)</f>
        <v/>
      </c>
      <c r="E1467" s="17" t="str">
        <f>IF(D1467="","",D1467*'02_Eingaben'!$C$8)</f>
        <v/>
      </c>
      <c r="F1467" s="17" t="str">
        <f>IF(E1467="","",AVERAGE(INDEX($E$2:$E$3001,MAX(1,ROW()-1-'02_Eingaben'!$C$17)):INDEX($E$2:$E$3001,MIN('02_Eingaben'!$C$21,ROW()-1+'02_Eingaben'!$C$17))))</f>
        <v/>
      </c>
      <c r="G1467" s="17" t="str">
        <f>IF(F1467="","",F1467-'02_Eingaben'!$C$10)</f>
        <v/>
      </c>
      <c r="H1467" t="str">
        <f>IF(F1467="","",IF(F1467&lt;'02_Eingaben'!$C$18*'02_Eingaben'!$C$10,1,0))</f>
        <v/>
      </c>
      <c r="I1467" s="17" t="str">
        <f t="shared" si="22"/>
        <v/>
      </c>
      <c r="J1467" s="17" t="str">
        <f>IF(B1467="","",IF(B1466&lt;'02_Eingaben'!$C$36,0,J1466+I1466/'02_Eingaben'!$C$8))</f>
        <v/>
      </c>
    </row>
    <row r="1468" spans="1:10" x14ac:dyDescent="0.25">
      <c r="A1468" t="str">
        <f>IF('01_Rohdaten'!A1468="","",ROW()-1)</f>
        <v/>
      </c>
      <c r="B1468" s="17" t="str">
        <f>IF('01_Rohdaten'!A1468="","",'01_Rohdaten'!A1468)</f>
        <v/>
      </c>
      <c r="C1468" s="17" t="str">
        <f>IF(B1468="","",INDEX('01_Rohdaten'!B1468:D1468,'02_Eingaben'!$C$13))</f>
        <v/>
      </c>
      <c r="D1468" s="17" t="str">
        <f>IF(C1468="","",C1468*'02_Eingaben'!$C$15)</f>
        <v/>
      </c>
      <c r="E1468" s="17" t="str">
        <f>IF(D1468="","",D1468*'02_Eingaben'!$C$8)</f>
        <v/>
      </c>
      <c r="F1468" s="17" t="str">
        <f>IF(E1468="","",AVERAGE(INDEX($E$2:$E$3001,MAX(1,ROW()-1-'02_Eingaben'!$C$17)):INDEX($E$2:$E$3001,MIN('02_Eingaben'!$C$21,ROW()-1+'02_Eingaben'!$C$17))))</f>
        <v/>
      </c>
      <c r="G1468" s="17" t="str">
        <f>IF(F1468="","",F1468-'02_Eingaben'!$C$10)</f>
        <v/>
      </c>
      <c r="H1468" t="str">
        <f>IF(F1468="","",IF(F1468&lt;'02_Eingaben'!$C$18*'02_Eingaben'!$C$10,1,0))</f>
        <v/>
      </c>
      <c r="I1468" s="17" t="str">
        <f t="shared" si="22"/>
        <v/>
      </c>
      <c r="J1468" s="17" t="str">
        <f>IF(B1468="","",IF(B1467&lt;'02_Eingaben'!$C$36,0,J1467+I1467/'02_Eingaben'!$C$8))</f>
        <v/>
      </c>
    </row>
    <row r="1469" spans="1:10" x14ac:dyDescent="0.25">
      <c r="A1469" t="str">
        <f>IF('01_Rohdaten'!A1469="","",ROW()-1)</f>
        <v/>
      </c>
      <c r="B1469" s="17" t="str">
        <f>IF('01_Rohdaten'!A1469="","",'01_Rohdaten'!A1469)</f>
        <v/>
      </c>
      <c r="C1469" s="17" t="str">
        <f>IF(B1469="","",INDEX('01_Rohdaten'!B1469:D1469,'02_Eingaben'!$C$13))</f>
        <v/>
      </c>
      <c r="D1469" s="17" t="str">
        <f>IF(C1469="","",C1469*'02_Eingaben'!$C$15)</f>
        <v/>
      </c>
      <c r="E1469" s="17" t="str">
        <f>IF(D1469="","",D1469*'02_Eingaben'!$C$8)</f>
        <v/>
      </c>
      <c r="F1469" s="17" t="str">
        <f>IF(E1469="","",AVERAGE(INDEX($E$2:$E$3001,MAX(1,ROW()-1-'02_Eingaben'!$C$17)):INDEX($E$2:$E$3001,MIN('02_Eingaben'!$C$21,ROW()-1+'02_Eingaben'!$C$17))))</f>
        <v/>
      </c>
      <c r="G1469" s="17" t="str">
        <f>IF(F1469="","",F1469-'02_Eingaben'!$C$10)</f>
        <v/>
      </c>
      <c r="H1469" t="str">
        <f>IF(F1469="","",IF(F1469&lt;'02_Eingaben'!$C$18*'02_Eingaben'!$C$10,1,0))</f>
        <v/>
      </c>
      <c r="I1469" s="17" t="str">
        <f t="shared" si="22"/>
        <v/>
      </c>
      <c r="J1469" s="17" t="str">
        <f>IF(B1469="","",IF(B1468&lt;'02_Eingaben'!$C$36,0,J1468+I1468/'02_Eingaben'!$C$8))</f>
        <v/>
      </c>
    </row>
    <row r="1470" spans="1:10" x14ac:dyDescent="0.25">
      <c r="A1470" t="str">
        <f>IF('01_Rohdaten'!A1470="","",ROW()-1)</f>
        <v/>
      </c>
      <c r="B1470" s="17" t="str">
        <f>IF('01_Rohdaten'!A1470="","",'01_Rohdaten'!A1470)</f>
        <v/>
      </c>
      <c r="C1470" s="17" t="str">
        <f>IF(B1470="","",INDEX('01_Rohdaten'!B1470:D1470,'02_Eingaben'!$C$13))</f>
        <v/>
      </c>
      <c r="D1470" s="17" t="str">
        <f>IF(C1470="","",C1470*'02_Eingaben'!$C$15)</f>
        <v/>
      </c>
      <c r="E1470" s="17" t="str">
        <f>IF(D1470="","",D1470*'02_Eingaben'!$C$8)</f>
        <v/>
      </c>
      <c r="F1470" s="17" t="str">
        <f>IF(E1470="","",AVERAGE(INDEX($E$2:$E$3001,MAX(1,ROW()-1-'02_Eingaben'!$C$17)):INDEX($E$2:$E$3001,MIN('02_Eingaben'!$C$21,ROW()-1+'02_Eingaben'!$C$17))))</f>
        <v/>
      </c>
      <c r="G1470" s="17" t="str">
        <f>IF(F1470="","",F1470-'02_Eingaben'!$C$10)</f>
        <v/>
      </c>
      <c r="H1470" t="str">
        <f>IF(F1470="","",IF(F1470&lt;'02_Eingaben'!$C$18*'02_Eingaben'!$C$10,1,0))</f>
        <v/>
      </c>
      <c r="I1470" s="17" t="str">
        <f t="shared" si="22"/>
        <v/>
      </c>
      <c r="J1470" s="17" t="str">
        <f>IF(B1470="","",IF(B1469&lt;'02_Eingaben'!$C$36,0,J1469+I1469/'02_Eingaben'!$C$8))</f>
        <v/>
      </c>
    </row>
    <row r="1471" spans="1:10" x14ac:dyDescent="0.25">
      <c r="A1471" t="str">
        <f>IF('01_Rohdaten'!A1471="","",ROW()-1)</f>
        <v/>
      </c>
      <c r="B1471" s="17" t="str">
        <f>IF('01_Rohdaten'!A1471="","",'01_Rohdaten'!A1471)</f>
        <v/>
      </c>
      <c r="C1471" s="17" t="str">
        <f>IF(B1471="","",INDEX('01_Rohdaten'!B1471:D1471,'02_Eingaben'!$C$13))</f>
        <v/>
      </c>
      <c r="D1471" s="17" t="str">
        <f>IF(C1471="","",C1471*'02_Eingaben'!$C$15)</f>
        <v/>
      </c>
      <c r="E1471" s="17" t="str">
        <f>IF(D1471="","",D1471*'02_Eingaben'!$C$8)</f>
        <v/>
      </c>
      <c r="F1471" s="17" t="str">
        <f>IF(E1471="","",AVERAGE(INDEX($E$2:$E$3001,MAX(1,ROW()-1-'02_Eingaben'!$C$17)):INDEX($E$2:$E$3001,MIN('02_Eingaben'!$C$21,ROW()-1+'02_Eingaben'!$C$17))))</f>
        <v/>
      </c>
      <c r="G1471" s="17" t="str">
        <f>IF(F1471="","",F1471-'02_Eingaben'!$C$10)</f>
        <v/>
      </c>
      <c r="H1471" t="str">
        <f>IF(F1471="","",IF(F1471&lt;'02_Eingaben'!$C$18*'02_Eingaben'!$C$10,1,0))</f>
        <v/>
      </c>
      <c r="I1471" s="17" t="str">
        <f t="shared" si="22"/>
        <v/>
      </c>
      <c r="J1471" s="17" t="str">
        <f>IF(B1471="","",IF(B1470&lt;'02_Eingaben'!$C$36,0,J1470+I1470/'02_Eingaben'!$C$8))</f>
        <v/>
      </c>
    </row>
    <row r="1472" spans="1:10" x14ac:dyDescent="0.25">
      <c r="A1472" t="str">
        <f>IF('01_Rohdaten'!A1472="","",ROW()-1)</f>
        <v/>
      </c>
      <c r="B1472" s="17" t="str">
        <f>IF('01_Rohdaten'!A1472="","",'01_Rohdaten'!A1472)</f>
        <v/>
      </c>
      <c r="C1472" s="17" t="str">
        <f>IF(B1472="","",INDEX('01_Rohdaten'!B1472:D1472,'02_Eingaben'!$C$13))</f>
        <v/>
      </c>
      <c r="D1472" s="17" t="str">
        <f>IF(C1472="","",C1472*'02_Eingaben'!$C$15)</f>
        <v/>
      </c>
      <c r="E1472" s="17" t="str">
        <f>IF(D1472="","",D1472*'02_Eingaben'!$C$8)</f>
        <v/>
      </c>
      <c r="F1472" s="17" t="str">
        <f>IF(E1472="","",AVERAGE(INDEX($E$2:$E$3001,MAX(1,ROW()-1-'02_Eingaben'!$C$17)):INDEX($E$2:$E$3001,MIN('02_Eingaben'!$C$21,ROW()-1+'02_Eingaben'!$C$17))))</f>
        <v/>
      </c>
      <c r="G1472" s="17" t="str">
        <f>IF(F1472="","",F1472-'02_Eingaben'!$C$10)</f>
        <v/>
      </c>
      <c r="H1472" t="str">
        <f>IF(F1472="","",IF(F1472&lt;'02_Eingaben'!$C$18*'02_Eingaben'!$C$10,1,0))</f>
        <v/>
      </c>
      <c r="I1472" s="17" t="str">
        <f t="shared" si="22"/>
        <v/>
      </c>
      <c r="J1472" s="17" t="str">
        <f>IF(B1472="","",IF(B1471&lt;'02_Eingaben'!$C$36,0,J1471+I1471/'02_Eingaben'!$C$8))</f>
        <v/>
      </c>
    </row>
    <row r="1473" spans="1:10" x14ac:dyDescent="0.25">
      <c r="A1473" t="str">
        <f>IF('01_Rohdaten'!A1473="","",ROW()-1)</f>
        <v/>
      </c>
      <c r="B1473" s="17" t="str">
        <f>IF('01_Rohdaten'!A1473="","",'01_Rohdaten'!A1473)</f>
        <v/>
      </c>
      <c r="C1473" s="17" t="str">
        <f>IF(B1473="","",INDEX('01_Rohdaten'!B1473:D1473,'02_Eingaben'!$C$13))</f>
        <v/>
      </c>
      <c r="D1473" s="17" t="str">
        <f>IF(C1473="","",C1473*'02_Eingaben'!$C$15)</f>
        <v/>
      </c>
      <c r="E1473" s="17" t="str">
        <f>IF(D1473="","",D1473*'02_Eingaben'!$C$8)</f>
        <v/>
      </c>
      <c r="F1473" s="17" t="str">
        <f>IF(E1473="","",AVERAGE(INDEX($E$2:$E$3001,MAX(1,ROW()-1-'02_Eingaben'!$C$17)):INDEX($E$2:$E$3001,MIN('02_Eingaben'!$C$21,ROW()-1+'02_Eingaben'!$C$17))))</f>
        <v/>
      </c>
      <c r="G1473" s="17" t="str">
        <f>IF(F1473="","",F1473-'02_Eingaben'!$C$10)</f>
        <v/>
      </c>
      <c r="H1473" t="str">
        <f>IF(F1473="","",IF(F1473&lt;'02_Eingaben'!$C$18*'02_Eingaben'!$C$10,1,0))</f>
        <v/>
      </c>
      <c r="I1473" s="17" t="str">
        <f t="shared" si="22"/>
        <v/>
      </c>
      <c r="J1473" s="17" t="str">
        <f>IF(B1473="","",IF(B1472&lt;'02_Eingaben'!$C$36,0,J1472+I1472/'02_Eingaben'!$C$8))</f>
        <v/>
      </c>
    </row>
    <row r="1474" spans="1:10" x14ac:dyDescent="0.25">
      <c r="A1474" t="str">
        <f>IF('01_Rohdaten'!A1474="","",ROW()-1)</f>
        <v/>
      </c>
      <c r="B1474" s="17" t="str">
        <f>IF('01_Rohdaten'!A1474="","",'01_Rohdaten'!A1474)</f>
        <v/>
      </c>
      <c r="C1474" s="17" t="str">
        <f>IF(B1474="","",INDEX('01_Rohdaten'!B1474:D1474,'02_Eingaben'!$C$13))</f>
        <v/>
      </c>
      <c r="D1474" s="17" t="str">
        <f>IF(C1474="","",C1474*'02_Eingaben'!$C$15)</f>
        <v/>
      </c>
      <c r="E1474" s="17" t="str">
        <f>IF(D1474="","",D1474*'02_Eingaben'!$C$8)</f>
        <v/>
      </c>
      <c r="F1474" s="17" t="str">
        <f>IF(E1474="","",AVERAGE(INDEX($E$2:$E$3001,MAX(1,ROW()-1-'02_Eingaben'!$C$17)):INDEX($E$2:$E$3001,MIN('02_Eingaben'!$C$21,ROW()-1+'02_Eingaben'!$C$17))))</f>
        <v/>
      </c>
      <c r="G1474" s="17" t="str">
        <f>IF(F1474="","",F1474-'02_Eingaben'!$C$10)</f>
        <v/>
      </c>
      <c r="H1474" t="str">
        <f>IF(F1474="","",IF(F1474&lt;'02_Eingaben'!$C$18*'02_Eingaben'!$C$10,1,0))</f>
        <v/>
      </c>
      <c r="I1474" s="17" t="str">
        <f t="shared" ref="I1474:I1537" si="23">IF(OR(G1474="",G1475=""),"",(G1474+G1475)/2*(B1475-B1474))</f>
        <v/>
      </c>
      <c r="J1474" s="17" t="str">
        <f>IF(B1474="","",IF(B1473&lt;'02_Eingaben'!$C$36,0,J1473+I1473/'02_Eingaben'!$C$8))</f>
        <v/>
      </c>
    </row>
    <row r="1475" spans="1:10" x14ac:dyDescent="0.25">
      <c r="A1475" t="str">
        <f>IF('01_Rohdaten'!A1475="","",ROW()-1)</f>
        <v/>
      </c>
      <c r="B1475" s="17" t="str">
        <f>IF('01_Rohdaten'!A1475="","",'01_Rohdaten'!A1475)</f>
        <v/>
      </c>
      <c r="C1475" s="17" t="str">
        <f>IF(B1475="","",INDEX('01_Rohdaten'!B1475:D1475,'02_Eingaben'!$C$13))</f>
        <v/>
      </c>
      <c r="D1475" s="17" t="str">
        <f>IF(C1475="","",C1475*'02_Eingaben'!$C$15)</f>
        <v/>
      </c>
      <c r="E1475" s="17" t="str">
        <f>IF(D1475="","",D1475*'02_Eingaben'!$C$8)</f>
        <v/>
      </c>
      <c r="F1475" s="17" t="str">
        <f>IF(E1475="","",AVERAGE(INDEX($E$2:$E$3001,MAX(1,ROW()-1-'02_Eingaben'!$C$17)):INDEX($E$2:$E$3001,MIN('02_Eingaben'!$C$21,ROW()-1+'02_Eingaben'!$C$17))))</f>
        <v/>
      </c>
      <c r="G1475" s="17" t="str">
        <f>IF(F1475="","",F1475-'02_Eingaben'!$C$10)</f>
        <v/>
      </c>
      <c r="H1475" t="str">
        <f>IF(F1475="","",IF(F1475&lt;'02_Eingaben'!$C$18*'02_Eingaben'!$C$10,1,0))</f>
        <v/>
      </c>
      <c r="I1475" s="17" t="str">
        <f t="shared" si="23"/>
        <v/>
      </c>
      <c r="J1475" s="17" t="str">
        <f>IF(B1475="","",IF(B1474&lt;'02_Eingaben'!$C$36,0,J1474+I1474/'02_Eingaben'!$C$8))</f>
        <v/>
      </c>
    </row>
    <row r="1476" spans="1:10" x14ac:dyDescent="0.25">
      <c r="A1476" t="str">
        <f>IF('01_Rohdaten'!A1476="","",ROW()-1)</f>
        <v/>
      </c>
      <c r="B1476" s="17" t="str">
        <f>IF('01_Rohdaten'!A1476="","",'01_Rohdaten'!A1476)</f>
        <v/>
      </c>
      <c r="C1476" s="17" t="str">
        <f>IF(B1476="","",INDEX('01_Rohdaten'!B1476:D1476,'02_Eingaben'!$C$13))</f>
        <v/>
      </c>
      <c r="D1476" s="17" t="str">
        <f>IF(C1476="","",C1476*'02_Eingaben'!$C$15)</f>
        <v/>
      </c>
      <c r="E1476" s="17" t="str">
        <f>IF(D1476="","",D1476*'02_Eingaben'!$C$8)</f>
        <v/>
      </c>
      <c r="F1476" s="17" t="str">
        <f>IF(E1476="","",AVERAGE(INDEX($E$2:$E$3001,MAX(1,ROW()-1-'02_Eingaben'!$C$17)):INDEX($E$2:$E$3001,MIN('02_Eingaben'!$C$21,ROW()-1+'02_Eingaben'!$C$17))))</f>
        <v/>
      </c>
      <c r="G1476" s="17" t="str">
        <f>IF(F1476="","",F1476-'02_Eingaben'!$C$10)</f>
        <v/>
      </c>
      <c r="H1476" t="str">
        <f>IF(F1476="","",IF(F1476&lt;'02_Eingaben'!$C$18*'02_Eingaben'!$C$10,1,0))</f>
        <v/>
      </c>
      <c r="I1476" s="17" t="str">
        <f t="shared" si="23"/>
        <v/>
      </c>
      <c r="J1476" s="17" t="str">
        <f>IF(B1476="","",IF(B1475&lt;'02_Eingaben'!$C$36,0,J1475+I1475/'02_Eingaben'!$C$8))</f>
        <v/>
      </c>
    </row>
    <row r="1477" spans="1:10" x14ac:dyDescent="0.25">
      <c r="A1477" t="str">
        <f>IF('01_Rohdaten'!A1477="","",ROW()-1)</f>
        <v/>
      </c>
      <c r="B1477" s="17" t="str">
        <f>IF('01_Rohdaten'!A1477="","",'01_Rohdaten'!A1477)</f>
        <v/>
      </c>
      <c r="C1477" s="17" t="str">
        <f>IF(B1477="","",INDEX('01_Rohdaten'!B1477:D1477,'02_Eingaben'!$C$13))</f>
        <v/>
      </c>
      <c r="D1477" s="17" t="str">
        <f>IF(C1477="","",C1477*'02_Eingaben'!$C$15)</f>
        <v/>
      </c>
      <c r="E1477" s="17" t="str">
        <f>IF(D1477="","",D1477*'02_Eingaben'!$C$8)</f>
        <v/>
      </c>
      <c r="F1477" s="17" t="str">
        <f>IF(E1477="","",AVERAGE(INDEX($E$2:$E$3001,MAX(1,ROW()-1-'02_Eingaben'!$C$17)):INDEX($E$2:$E$3001,MIN('02_Eingaben'!$C$21,ROW()-1+'02_Eingaben'!$C$17))))</f>
        <v/>
      </c>
      <c r="G1477" s="17" t="str">
        <f>IF(F1477="","",F1477-'02_Eingaben'!$C$10)</f>
        <v/>
      </c>
      <c r="H1477" t="str">
        <f>IF(F1477="","",IF(F1477&lt;'02_Eingaben'!$C$18*'02_Eingaben'!$C$10,1,0))</f>
        <v/>
      </c>
      <c r="I1477" s="17" t="str">
        <f t="shared" si="23"/>
        <v/>
      </c>
      <c r="J1477" s="17" t="str">
        <f>IF(B1477="","",IF(B1476&lt;'02_Eingaben'!$C$36,0,J1476+I1476/'02_Eingaben'!$C$8))</f>
        <v/>
      </c>
    </row>
    <row r="1478" spans="1:10" x14ac:dyDescent="0.25">
      <c r="A1478" t="str">
        <f>IF('01_Rohdaten'!A1478="","",ROW()-1)</f>
        <v/>
      </c>
      <c r="B1478" s="17" t="str">
        <f>IF('01_Rohdaten'!A1478="","",'01_Rohdaten'!A1478)</f>
        <v/>
      </c>
      <c r="C1478" s="17" t="str">
        <f>IF(B1478="","",INDEX('01_Rohdaten'!B1478:D1478,'02_Eingaben'!$C$13))</f>
        <v/>
      </c>
      <c r="D1478" s="17" t="str">
        <f>IF(C1478="","",C1478*'02_Eingaben'!$C$15)</f>
        <v/>
      </c>
      <c r="E1478" s="17" t="str">
        <f>IF(D1478="","",D1478*'02_Eingaben'!$C$8)</f>
        <v/>
      </c>
      <c r="F1478" s="17" t="str">
        <f>IF(E1478="","",AVERAGE(INDEX($E$2:$E$3001,MAX(1,ROW()-1-'02_Eingaben'!$C$17)):INDEX($E$2:$E$3001,MIN('02_Eingaben'!$C$21,ROW()-1+'02_Eingaben'!$C$17))))</f>
        <v/>
      </c>
      <c r="G1478" s="17" t="str">
        <f>IF(F1478="","",F1478-'02_Eingaben'!$C$10)</f>
        <v/>
      </c>
      <c r="H1478" t="str">
        <f>IF(F1478="","",IF(F1478&lt;'02_Eingaben'!$C$18*'02_Eingaben'!$C$10,1,0))</f>
        <v/>
      </c>
      <c r="I1478" s="17" t="str">
        <f t="shared" si="23"/>
        <v/>
      </c>
      <c r="J1478" s="17" t="str">
        <f>IF(B1478="","",IF(B1477&lt;'02_Eingaben'!$C$36,0,J1477+I1477/'02_Eingaben'!$C$8))</f>
        <v/>
      </c>
    </row>
    <row r="1479" spans="1:10" x14ac:dyDescent="0.25">
      <c r="A1479" t="str">
        <f>IF('01_Rohdaten'!A1479="","",ROW()-1)</f>
        <v/>
      </c>
      <c r="B1479" s="17" t="str">
        <f>IF('01_Rohdaten'!A1479="","",'01_Rohdaten'!A1479)</f>
        <v/>
      </c>
      <c r="C1479" s="17" t="str">
        <f>IF(B1479="","",INDEX('01_Rohdaten'!B1479:D1479,'02_Eingaben'!$C$13))</f>
        <v/>
      </c>
      <c r="D1479" s="17" t="str">
        <f>IF(C1479="","",C1479*'02_Eingaben'!$C$15)</f>
        <v/>
      </c>
      <c r="E1479" s="17" t="str">
        <f>IF(D1479="","",D1479*'02_Eingaben'!$C$8)</f>
        <v/>
      </c>
      <c r="F1479" s="17" t="str">
        <f>IF(E1479="","",AVERAGE(INDEX($E$2:$E$3001,MAX(1,ROW()-1-'02_Eingaben'!$C$17)):INDEX($E$2:$E$3001,MIN('02_Eingaben'!$C$21,ROW()-1+'02_Eingaben'!$C$17))))</f>
        <v/>
      </c>
      <c r="G1479" s="17" t="str">
        <f>IF(F1479="","",F1479-'02_Eingaben'!$C$10)</f>
        <v/>
      </c>
      <c r="H1479" t="str">
        <f>IF(F1479="","",IF(F1479&lt;'02_Eingaben'!$C$18*'02_Eingaben'!$C$10,1,0))</f>
        <v/>
      </c>
      <c r="I1479" s="17" t="str">
        <f t="shared" si="23"/>
        <v/>
      </c>
      <c r="J1479" s="17" t="str">
        <f>IF(B1479="","",IF(B1478&lt;'02_Eingaben'!$C$36,0,J1478+I1478/'02_Eingaben'!$C$8))</f>
        <v/>
      </c>
    </row>
    <row r="1480" spans="1:10" x14ac:dyDescent="0.25">
      <c r="A1480" t="str">
        <f>IF('01_Rohdaten'!A1480="","",ROW()-1)</f>
        <v/>
      </c>
      <c r="B1480" s="17" t="str">
        <f>IF('01_Rohdaten'!A1480="","",'01_Rohdaten'!A1480)</f>
        <v/>
      </c>
      <c r="C1480" s="17" t="str">
        <f>IF(B1480="","",INDEX('01_Rohdaten'!B1480:D1480,'02_Eingaben'!$C$13))</f>
        <v/>
      </c>
      <c r="D1480" s="17" t="str">
        <f>IF(C1480="","",C1480*'02_Eingaben'!$C$15)</f>
        <v/>
      </c>
      <c r="E1480" s="17" t="str">
        <f>IF(D1480="","",D1480*'02_Eingaben'!$C$8)</f>
        <v/>
      </c>
      <c r="F1480" s="17" t="str">
        <f>IF(E1480="","",AVERAGE(INDEX($E$2:$E$3001,MAX(1,ROW()-1-'02_Eingaben'!$C$17)):INDEX($E$2:$E$3001,MIN('02_Eingaben'!$C$21,ROW()-1+'02_Eingaben'!$C$17))))</f>
        <v/>
      </c>
      <c r="G1480" s="17" t="str">
        <f>IF(F1480="","",F1480-'02_Eingaben'!$C$10)</f>
        <v/>
      </c>
      <c r="H1480" t="str">
        <f>IF(F1480="","",IF(F1480&lt;'02_Eingaben'!$C$18*'02_Eingaben'!$C$10,1,0))</f>
        <v/>
      </c>
      <c r="I1480" s="17" t="str">
        <f t="shared" si="23"/>
        <v/>
      </c>
      <c r="J1480" s="17" t="str">
        <f>IF(B1480="","",IF(B1479&lt;'02_Eingaben'!$C$36,0,J1479+I1479/'02_Eingaben'!$C$8))</f>
        <v/>
      </c>
    </row>
    <row r="1481" spans="1:10" x14ac:dyDescent="0.25">
      <c r="A1481" t="str">
        <f>IF('01_Rohdaten'!A1481="","",ROW()-1)</f>
        <v/>
      </c>
      <c r="B1481" s="17" t="str">
        <f>IF('01_Rohdaten'!A1481="","",'01_Rohdaten'!A1481)</f>
        <v/>
      </c>
      <c r="C1481" s="17" t="str">
        <f>IF(B1481="","",INDEX('01_Rohdaten'!B1481:D1481,'02_Eingaben'!$C$13))</f>
        <v/>
      </c>
      <c r="D1481" s="17" t="str">
        <f>IF(C1481="","",C1481*'02_Eingaben'!$C$15)</f>
        <v/>
      </c>
      <c r="E1481" s="17" t="str">
        <f>IF(D1481="","",D1481*'02_Eingaben'!$C$8)</f>
        <v/>
      </c>
      <c r="F1481" s="17" t="str">
        <f>IF(E1481="","",AVERAGE(INDEX($E$2:$E$3001,MAX(1,ROW()-1-'02_Eingaben'!$C$17)):INDEX($E$2:$E$3001,MIN('02_Eingaben'!$C$21,ROW()-1+'02_Eingaben'!$C$17))))</f>
        <v/>
      </c>
      <c r="G1481" s="17" t="str">
        <f>IF(F1481="","",F1481-'02_Eingaben'!$C$10)</f>
        <v/>
      </c>
      <c r="H1481" t="str">
        <f>IF(F1481="","",IF(F1481&lt;'02_Eingaben'!$C$18*'02_Eingaben'!$C$10,1,0))</f>
        <v/>
      </c>
      <c r="I1481" s="17" t="str">
        <f t="shared" si="23"/>
        <v/>
      </c>
      <c r="J1481" s="17" t="str">
        <f>IF(B1481="","",IF(B1480&lt;'02_Eingaben'!$C$36,0,J1480+I1480/'02_Eingaben'!$C$8))</f>
        <v/>
      </c>
    </row>
    <row r="1482" spans="1:10" x14ac:dyDescent="0.25">
      <c r="A1482" t="str">
        <f>IF('01_Rohdaten'!A1482="","",ROW()-1)</f>
        <v/>
      </c>
      <c r="B1482" s="17" t="str">
        <f>IF('01_Rohdaten'!A1482="","",'01_Rohdaten'!A1482)</f>
        <v/>
      </c>
      <c r="C1482" s="17" t="str">
        <f>IF(B1482="","",INDEX('01_Rohdaten'!B1482:D1482,'02_Eingaben'!$C$13))</f>
        <v/>
      </c>
      <c r="D1482" s="17" t="str">
        <f>IF(C1482="","",C1482*'02_Eingaben'!$C$15)</f>
        <v/>
      </c>
      <c r="E1482" s="17" t="str">
        <f>IF(D1482="","",D1482*'02_Eingaben'!$C$8)</f>
        <v/>
      </c>
      <c r="F1482" s="17" t="str">
        <f>IF(E1482="","",AVERAGE(INDEX($E$2:$E$3001,MAX(1,ROW()-1-'02_Eingaben'!$C$17)):INDEX($E$2:$E$3001,MIN('02_Eingaben'!$C$21,ROW()-1+'02_Eingaben'!$C$17))))</f>
        <v/>
      </c>
      <c r="G1482" s="17" t="str">
        <f>IF(F1482="","",F1482-'02_Eingaben'!$C$10)</f>
        <v/>
      </c>
      <c r="H1482" t="str">
        <f>IF(F1482="","",IF(F1482&lt;'02_Eingaben'!$C$18*'02_Eingaben'!$C$10,1,0))</f>
        <v/>
      </c>
      <c r="I1482" s="17" t="str">
        <f t="shared" si="23"/>
        <v/>
      </c>
      <c r="J1482" s="17" t="str">
        <f>IF(B1482="","",IF(B1481&lt;'02_Eingaben'!$C$36,0,J1481+I1481/'02_Eingaben'!$C$8))</f>
        <v/>
      </c>
    </row>
    <row r="1483" spans="1:10" x14ac:dyDescent="0.25">
      <c r="A1483" t="str">
        <f>IF('01_Rohdaten'!A1483="","",ROW()-1)</f>
        <v/>
      </c>
      <c r="B1483" s="17" t="str">
        <f>IF('01_Rohdaten'!A1483="","",'01_Rohdaten'!A1483)</f>
        <v/>
      </c>
      <c r="C1483" s="17" t="str">
        <f>IF(B1483="","",INDEX('01_Rohdaten'!B1483:D1483,'02_Eingaben'!$C$13))</f>
        <v/>
      </c>
      <c r="D1483" s="17" t="str">
        <f>IF(C1483="","",C1483*'02_Eingaben'!$C$15)</f>
        <v/>
      </c>
      <c r="E1483" s="17" t="str">
        <f>IF(D1483="","",D1483*'02_Eingaben'!$C$8)</f>
        <v/>
      </c>
      <c r="F1483" s="17" t="str">
        <f>IF(E1483="","",AVERAGE(INDEX($E$2:$E$3001,MAX(1,ROW()-1-'02_Eingaben'!$C$17)):INDEX($E$2:$E$3001,MIN('02_Eingaben'!$C$21,ROW()-1+'02_Eingaben'!$C$17))))</f>
        <v/>
      </c>
      <c r="G1483" s="17" t="str">
        <f>IF(F1483="","",F1483-'02_Eingaben'!$C$10)</f>
        <v/>
      </c>
      <c r="H1483" t="str">
        <f>IF(F1483="","",IF(F1483&lt;'02_Eingaben'!$C$18*'02_Eingaben'!$C$10,1,0))</f>
        <v/>
      </c>
      <c r="I1483" s="17" t="str">
        <f t="shared" si="23"/>
        <v/>
      </c>
      <c r="J1483" s="17" t="str">
        <f>IF(B1483="","",IF(B1482&lt;'02_Eingaben'!$C$36,0,J1482+I1482/'02_Eingaben'!$C$8))</f>
        <v/>
      </c>
    </row>
    <row r="1484" spans="1:10" x14ac:dyDescent="0.25">
      <c r="A1484" t="str">
        <f>IF('01_Rohdaten'!A1484="","",ROW()-1)</f>
        <v/>
      </c>
      <c r="B1484" s="17" t="str">
        <f>IF('01_Rohdaten'!A1484="","",'01_Rohdaten'!A1484)</f>
        <v/>
      </c>
      <c r="C1484" s="17" t="str">
        <f>IF(B1484="","",INDEX('01_Rohdaten'!B1484:D1484,'02_Eingaben'!$C$13))</f>
        <v/>
      </c>
      <c r="D1484" s="17" t="str">
        <f>IF(C1484="","",C1484*'02_Eingaben'!$C$15)</f>
        <v/>
      </c>
      <c r="E1484" s="17" t="str">
        <f>IF(D1484="","",D1484*'02_Eingaben'!$C$8)</f>
        <v/>
      </c>
      <c r="F1484" s="17" t="str">
        <f>IF(E1484="","",AVERAGE(INDEX($E$2:$E$3001,MAX(1,ROW()-1-'02_Eingaben'!$C$17)):INDEX($E$2:$E$3001,MIN('02_Eingaben'!$C$21,ROW()-1+'02_Eingaben'!$C$17))))</f>
        <v/>
      </c>
      <c r="G1484" s="17" t="str">
        <f>IF(F1484="","",F1484-'02_Eingaben'!$C$10)</f>
        <v/>
      </c>
      <c r="H1484" t="str">
        <f>IF(F1484="","",IF(F1484&lt;'02_Eingaben'!$C$18*'02_Eingaben'!$C$10,1,0))</f>
        <v/>
      </c>
      <c r="I1484" s="17" t="str">
        <f t="shared" si="23"/>
        <v/>
      </c>
      <c r="J1484" s="17" t="str">
        <f>IF(B1484="","",IF(B1483&lt;'02_Eingaben'!$C$36,0,J1483+I1483/'02_Eingaben'!$C$8))</f>
        <v/>
      </c>
    </row>
    <row r="1485" spans="1:10" x14ac:dyDescent="0.25">
      <c r="A1485" t="str">
        <f>IF('01_Rohdaten'!A1485="","",ROW()-1)</f>
        <v/>
      </c>
      <c r="B1485" s="17" t="str">
        <f>IF('01_Rohdaten'!A1485="","",'01_Rohdaten'!A1485)</f>
        <v/>
      </c>
      <c r="C1485" s="17" t="str">
        <f>IF(B1485="","",INDEX('01_Rohdaten'!B1485:D1485,'02_Eingaben'!$C$13))</f>
        <v/>
      </c>
      <c r="D1485" s="17" t="str">
        <f>IF(C1485="","",C1485*'02_Eingaben'!$C$15)</f>
        <v/>
      </c>
      <c r="E1485" s="17" t="str">
        <f>IF(D1485="","",D1485*'02_Eingaben'!$C$8)</f>
        <v/>
      </c>
      <c r="F1485" s="17" t="str">
        <f>IF(E1485="","",AVERAGE(INDEX($E$2:$E$3001,MAX(1,ROW()-1-'02_Eingaben'!$C$17)):INDEX($E$2:$E$3001,MIN('02_Eingaben'!$C$21,ROW()-1+'02_Eingaben'!$C$17))))</f>
        <v/>
      </c>
      <c r="G1485" s="17" t="str">
        <f>IF(F1485="","",F1485-'02_Eingaben'!$C$10)</f>
        <v/>
      </c>
      <c r="H1485" t="str">
        <f>IF(F1485="","",IF(F1485&lt;'02_Eingaben'!$C$18*'02_Eingaben'!$C$10,1,0))</f>
        <v/>
      </c>
      <c r="I1485" s="17" t="str">
        <f t="shared" si="23"/>
        <v/>
      </c>
      <c r="J1485" s="17" t="str">
        <f>IF(B1485="","",IF(B1484&lt;'02_Eingaben'!$C$36,0,J1484+I1484/'02_Eingaben'!$C$8))</f>
        <v/>
      </c>
    </row>
    <row r="1486" spans="1:10" x14ac:dyDescent="0.25">
      <c r="A1486" t="str">
        <f>IF('01_Rohdaten'!A1486="","",ROW()-1)</f>
        <v/>
      </c>
      <c r="B1486" s="17" t="str">
        <f>IF('01_Rohdaten'!A1486="","",'01_Rohdaten'!A1486)</f>
        <v/>
      </c>
      <c r="C1486" s="17" t="str">
        <f>IF(B1486="","",INDEX('01_Rohdaten'!B1486:D1486,'02_Eingaben'!$C$13))</f>
        <v/>
      </c>
      <c r="D1486" s="17" t="str">
        <f>IF(C1486="","",C1486*'02_Eingaben'!$C$15)</f>
        <v/>
      </c>
      <c r="E1486" s="17" t="str">
        <f>IF(D1486="","",D1486*'02_Eingaben'!$C$8)</f>
        <v/>
      </c>
      <c r="F1486" s="17" t="str">
        <f>IF(E1486="","",AVERAGE(INDEX($E$2:$E$3001,MAX(1,ROW()-1-'02_Eingaben'!$C$17)):INDEX($E$2:$E$3001,MIN('02_Eingaben'!$C$21,ROW()-1+'02_Eingaben'!$C$17))))</f>
        <v/>
      </c>
      <c r="G1486" s="17" t="str">
        <f>IF(F1486="","",F1486-'02_Eingaben'!$C$10)</f>
        <v/>
      </c>
      <c r="H1486" t="str">
        <f>IF(F1486="","",IF(F1486&lt;'02_Eingaben'!$C$18*'02_Eingaben'!$C$10,1,0))</f>
        <v/>
      </c>
      <c r="I1486" s="17" t="str">
        <f t="shared" si="23"/>
        <v/>
      </c>
      <c r="J1486" s="17" t="str">
        <f>IF(B1486="","",IF(B1485&lt;'02_Eingaben'!$C$36,0,J1485+I1485/'02_Eingaben'!$C$8))</f>
        <v/>
      </c>
    </row>
    <row r="1487" spans="1:10" x14ac:dyDescent="0.25">
      <c r="A1487" t="str">
        <f>IF('01_Rohdaten'!A1487="","",ROW()-1)</f>
        <v/>
      </c>
      <c r="B1487" s="17" t="str">
        <f>IF('01_Rohdaten'!A1487="","",'01_Rohdaten'!A1487)</f>
        <v/>
      </c>
      <c r="C1487" s="17" t="str">
        <f>IF(B1487="","",INDEX('01_Rohdaten'!B1487:D1487,'02_Eingaben'!$C$13))</f>
        <v/>
      </c>
      <c r="D1487" s="17" t="str">
        <f>IF(C1487="","",C1487*'02_Eingaben'!$C$15)</f>
        <v/>
      </c>
      <c r="E1487" s="17" t="str">
        <f>IF(D1487="","",D1487*'02_Eingaben'!$C$8)</f>
        <v/>
      </c>
      <c r="F1487" s="17" t="str">
        <f>IF(E1487="","",AVERAGE(INDEX($E$2:$E$3001,MAX(1,ROW()-1-'02_Eingaben'!$C$17)):INDEX($E$2:$E$3001,MIN('02_Eingaben'!$C$21,ROW()-1+'02_Eingaben'!$C$17))))</f>
        <v/>
      </c>
      <c r="G1487" s="17" t="str">
        <f>IF(F1487="","",F1487-'02_Eingaben'!$C$10)</f>
        <v/>
      </c>
      <c r="H1487" t="str">
        <f>IF(F1487="","",IF(F1487&lt;'02_Eingaben'!$C$18*'02_Eingaben'!$C$10,1,0))</f>
        <v/>
      </c>
      <c r="I1487" s="17" t="str">
        <f t="shared" si="23"/>
        <v/>
      </c>
      <c r="J1487" s="17" t="str">
        <f>IF(B1487="","",IF(B1486&lt;'02_Eingaben'!$C$36,0,J1486+I1486/'02_Eingaben'!$C$8))</f>
        <v/>
      </c>
    </row>
    <row r="1488" spans="1:10" x14ac:dyDescent="0.25">
      <c r="A1488" t="str">
        <f>IF('01_Rohdaten'!A1488="","",ROW()-1)</f>
        <v/>
      </c>
      <c r="B1488" s="17" t="str">
        <f>IF('01_Rohdaten'!A1488="","",'01_Rohdaten'!A1488)</f>
        <v/>
      </c>
      <c r="C1488" s="17" t="str">
        <f>IF(B1488="","",INDEX('01_Rohdaten'!B1488:D1488,'02_Eingaben'!$C$13))</f>
        <v/>
      </c>
      <c r="D1488" s="17" t="str">
        <f>IF(C1488="","",C1488*'02_Eingaben'!$C$15)</f>
        <v/>
      </c>
      <c r="E1488" s="17" t="str">
        <f>IF(D1488="","",D1488*'02_Eingaben'!$C$8)</f>
        <v/>
      </c>
      <c r="F1488" s="17" t="str">
        <f>IF(E1488="","",AVERAGE(INDEX($E$2:$E$3001,MAX(1,ROW()-1-'02_Eingaben'!$C$17)):INDEX($E$2:$E$3001,MIN('02_Eingaben'!$C$21,ROW()-1+'02_Eingaben'!$C$17))))</f>
        <v/>
      </c>
      <c r="G1488" s="17" t="str">
        <f>IF(F1488="","",F1488-'02_Eingaben'!$C$10)</f>
        <v/>
      </c>
      <c r="H1488" t="str">
        <f>IF(F1488="","",IF(F1488&lt;'02_Eingaben'!$C$18*'02_Eingaben'!$C$10,1,0))</f>
        <v/>
      </c>
      <c r="I1488" s="17" t="str">
        <f t="shared" si="23"/>
        <v/>
      </c>
      <c r="J1488" s="17" t="str">
        <f>IF(B1488="","",IF(B1487&lt;'02_Eingaben'!$C$36,0,J1487+I1487/'02_Eingaben'!$C$8))</f>
        <v/>
      </c>
    </row>
    <row r="1489" spans="1:10" x14ac:dyDescent="0.25">
      <c r="A1489" t="str">
        <f>IF('01_Rohdaten'!A1489="","",ROW()-1)</f>
        <v/>
      </c>
      <c r="B1489" s="17" t="str">
        <f>IF('01_Rohdaten'!A1489="","",'01_Rohdaten'!A1489)</f>
        <v/>
      </c>
      <c r="C1489" s="17" t="str">
        <f>IF(B1489="","",INDEX('01_Rohdaten'!B1489:D1489,'02_Eingaben'!$C$13))</f>
        <v/>
      </c>
      <c r="D1489" s="17" t="str">
        <f>IF(C1489="","",C1489*'02_Eingaben'!$C$15)</f>
        <v/>
      </c>
      <c r="E1489" s="17" t="str">
        <f>IF(D1489="","",D1489*'02_Eingaben'!$C$8)</f>
        <v/>
      </c>
      <c r="F1489" s="17" t="str">
        <f>IF(E1489="","",AVERAGE(INDEX($E$2:$E$3001,MAX(1,ROW()-1-'02_Eingaben'!$C$17)):INDEX($E$2:$E$3001,MIN('02_Eingaben'!$C$21,ROW()-1+'02_Eingaben'!$C$17))))</f>
        <v/>
      </c>
      <c r="G1489" s="17" t="str">
        <f>IF(F1489="","",F1489-'02_Eingaben'!$C$10)</f>
        <v/>
      </c>
      <c r="H1489" t="str">
        <f>IF(F1489="","",IF(F1489&lt;'02_Eingaben'!$C$18*'02_Eingaben'!$C$10,1,0))</f>
        <v/>
      </c>
      <c r="I1489" s="17" t="str">
        <f t="shared" si="23"/>
        <v/>
      </c>
      <c r="J1489" s="17" t="str">
        <f>IF(B1489="","",IF(B1488&lt;'02_Eingaben'!$C$36,0,J1488+I1488/'02_Eingaben'!$C$8))</f>
        <v/>
      </c>
    </row>
    <row r="1490" spans="1:10" x14ac:dyDescent="0.25">
      <c r="A1490" t="str">
        <f>IF('01_Rohdaten'!A1490="","",ROW()-1)</f>
        <v/>
      </c>
      <c r="B1490" s="17" t="str">
        <f>IF('01_Rohdaten'!A1490="","",'01_Rohdaten'!A1490)</f>
        <v/>
      </c>
      <c r="C1490" s="17" t="str">
        <f>IF(B1490="","",INDEX('01_Rohdaten'!B1490:D1490,'02_Eingaben'!$C$13))</f>
        <v/>
      </c>
      <c r="D1490" s="17" t="str">
        <f>IF(C1490="","",C1490*'02_Eingaben'!$C$15)</f>
        <v/>
      </c>
      <c r="E1490" s="17" t="str">
        <f>IF(D1490="","",D1490*'02_Eingaben'!$C$8)</f>
        <v/>
      </c>
      <c r="F1490" s="17" t="str">
        <f>IF(E1490="","",AVERAGE(INDEX($E$2:$E$3001,MAX(1,ROW()-1-'02_Eingaben'!$C$17)):INDEX($E$2:$E$3001,MIN('02_Eingaben'!$C$21,ROW()-1+'02_Eingaben'!$C$17))))</f>
        <v/>
      </c>
      <c r="G1490" s="17" t="str">
        <f>IF(F1490="","",F1490-'02_Eingaben'!$C$10)</f>
        <v/>
      </c>
      <c r="H1490" t="str">
        <f>IF(F1490="","",IF(F1490&lt;'02_Eingaben'!$C$18*'02_Eingaben'!$C$10,1,0))</f>
        <v/>
      </c>
      <c r="I1490" s="17" t="str">
        <f t="shared" si="23"/>
        <v/>
      </c>
      <c r="J1490" s="17" t="str">
        <f>IF(B1490="","",IF(B1489&lt;'02_Eingaben'!$C$36,0,J1489+I1489/'02_Eingaben'!$C$8))</f>
        <v/>
      </c>
    </row>
    <row r="1491" spans="1:10" x14ac:dyDescent="0.25">
      <c r="A1491" t="str">
        <f>IF('01_Rohdaten'!A1491="","",ROW()-1)</f>
        <v/>
      </c>
      <c r="B1491" s="17" t="str">
        <f>IF('01_Rohdaten'!A1491="","",'01_Rohdaten'!A1491)</f>
        <v/>
      </c>
      <c r="C1491" s="17" t="str">
        <f>IF(B1491="","",INDEX('01_Rohdaten'!B1491:D1491,'02_Eingaben'!$C$13))</f>
        <v/>
      </c>
      <c r="D1491" s="17" t="str">
        <f>IF(C1491="","",C1491*'02_Eingaben'!$C$15)</f>
        <v/>
      </c>
      <c r="E1491" s="17" t="str">
        <f>IF(D1491="","",D1491*'02_Eingaben'!$C$8)</f>
        <v/>
      </c>
      <c r="F1491" s="17" t="str">
        <f>IF(E1491="","",AVERAGE(INDEX($E$2:$E$3001,MAX(1,ROW()-1-'02_Eingaben'!$C$17)):INDEX($E$2:$E$3001,MIN('02_Eingaben'!$C$21,ROW()-1+'02_Eingaben'!$C$17))))</f>
        <v/>
      </c>
      <c r="G1491" s="17" t="str">
        <f>IF(F1491="","",F1491-'02_Eingaben'!$C$10)</f>
        <v/>
      </c>
      <c r="H1491" t="str">
        <f>IF(F1491="","",IF(F1491&lt;'02_Eingaben'!$C$18*'02_Eingaben'!$C$10,1,0))</f>
        <v/>
      </c>
      <c r="I1491" s="17" t="str">
        <f t="shared" si="23"/>
        <v/>
      </c>
      <c r="J1491" s="17" t="str">
        <f>IF(B1491="","",IF(B1490&lt;'02_Eingaben'!$C$36,0,J1490+I1490/'02_Eingaben'!$C$8))</f>
        <v/>
      </c>
    </row>
    <row r="1492" spans="1:10" x14ac:dyDescent="0.25">
      <c r="A1492" t="str">
        <f>IF('01_Rohdaten'!A1492="","",ROW()-1)</f>
        <v/>
      </c>
      <c r="B1492" s="17" t="str">
        <f>IF('01_Rohdaten'!A1492="","",'01_Rohdaten'!A1492)</f>
        <v/>
      </c>
      <c r="C1492" s="17" t="str">
        <f>IF(B1492="","",INDEX('01_Rohdaten'!B1492:D1492,'02_Eingaben'!$C$13))</f>
        <v/>
      </c>
      <c r="D1492" s="17" t="str">
        <f>IF(C1492="","",C1492*'02_Eingaben'!$C$15)</f>
        <v/>
      </c>
      <c r="E1492" s="17" t="str">
        <f>IF(D1492="","",D1492*'02_Eingaben'!$C$8)</f>
        <v/>
      </c>
      <c r="F1492" s="17" t="str">
        <f>IF(E1492="","",AVERAGE(INDEX($E$2:$E$3001,MAX(1,ROW()-1-'02_Eingaben'!$C$17)):INDEX($E$2:$E$3001,MIN('02_Eingaben'!$C$21,ROW()-1+'02_Eingaben'!$C$17))))</f>
        <v/>
      </c>
      <c r="G1492" s="17" t="str">
        <f>IF(F1492="","",F1492-'02_Eingaben'!$C$10)</f>
        <v/>
      </c>
      <c r="H1492" t="str">
        <f>IF(F1492="","",IF(F1492&lt;'02_Eingaben'!$C$18*'02_Eingaben'!$C$10,1,0))</f>
        <v/>
      </c>
      <c r="I1492" s="17" t="str">
        <f t="shared" si="23"/>
        <v/>
      </c>
      <c r="J1492" s="17" t="str">
        <f>IF(B1492="","",IF(B1491&lt;'02_Eingaben'!$C$36,0,J1491+I1491/'02_Eingaben'!$C$8))</f>
        <v/>
      </c>
    </row>
    <row r="1493" spans="1:10" x14ac:dyDescent="0.25">
      <c r="A1493" t="str">
        <f>IF('01_Rohdaten'!A1493="","",ROW()-1)</f>
        <v/>
      </c>
      <c r="B1493" s="17" t="str">
        <f>IF('01_Rohdaten'!A1493="","",'01_Rohdaten'!A1493)</f>
        <v/>
      </c>
      <c r="C1493" s="17" t="str">
        <f>IF(B1493="","",INDEX('01_Rohdaten'!B1493:D1493,'02_Eingaben'!$C$13))</f>
        <v/>
      </c>
      <c r="D1493" s="17" t="str">
        <f>IF(C1493="","",C1493*'02_Eingaben'!$C$15)</f>
        <v/>
      </c>
      <c r="E1493" s="17" t="str">
        <f>IF(D1493="","",D1493*'02_Eingaben'!$C$8)</f>
        <v/>
      </c>
      <c r="F1493" s="17" t="str">
        <f>IF(E1493="","",AVERAGE(INDEX($E$2:$E$3001,MAX(1,ROW()-1-'02_Eingaben'!$C$17)):INDEX($E$2:$E$3001,MIN('02_Eingaben'!$C$21,ROW()-1+'02_Eingaben'!$C$17))))</f>
        <v/>
      </c>
      <c r="G1493" s="17" t="str">
        <f>IF(F1493="","",F1493-'02_Eingaben'!$C$10)</f>
        <v/>
      </c>
      <c r="H1493" t="str">
        <f>IF(F1493="","",IF(F1493&lt;'02_Eingaben'!$C$18*'02_Eingaben'!$C$10,1,0))</f>
        <v/>
      </c>
      <c r="I1493" s="17" t="str">
        <f t="shared" si="23"/>
        <v/>
      </c>
      <c r="J1493" s="17" t="str">
        <f>IF(B1493="","",IF(B1492&lt;'02_Eingaben'!$C$36,0,J1492+I1492/'02_Eingaben'!$C$8))</f>
        <v/>
      </c>
    </row>
    <row r="1494" spans="1:10" x14ac:dyDescent="0.25">
      <c r="A1494" t="str">
        <f>IF('01_Rohdaten'!A1494="","",ROW()-1)</f>
        <v/>
      </c>
      <c r="B1494" s="17" t="str">
        <f>IF('01_Rohdaten'!A1494="","",'01_Rohdaten'!A1494)</f>
        <v/>
      </c>
      <c r="C1494" s="17" t="str">
        <f>IF(B1494="","",INDEX('01_Rohdaten'!B1494:D1494,'02_Eingaben'!$C$13))</f>
        <v/>
      </c>
      <c r="D1494" s="17" t="str">
        <f>IF(C1494="","",C1494*'02_Eingaben'!$C$15)</f>
        <v/>
      </c>
      <c r="E1494" s="17" t="str">
        <f>IF(D1494="","",D1494*'02_Eingaben'!$C$8)</f>
        <v/>
      </c>
      <c r="F1494" s="17" t="str">
        <f>IF(E1494="","",AVERAGE(INDEX($E$2:$E$3001,MAX(1,ROW()-1-'02_Eingaben'!$C$17)):INDEX($E$2:$E$3001,MIN('02_Eingaben'!$C$21,ROW()-1+'02_Eingaben'!$C$17))))</f>
        <v/>
      </c>
      <c r="G1494" s="17" t="str">
        <f>IF(F1494="","",F1494-'02_Eingaben'!$C$10)</f>
        <v/>
      </c>
      <c r="H1494" t="str">
        <f>IF(F1494="","",IF(F1494&lt;'02_Eingaben'!$C$18*'02_Eingaben'!$C$10,1,0))</f>
        <v/>
      </c>
      <c r="I1494" s="17" t="str">
        <f t="shared" si="23"/>
        <v/>
      </c>
      <c r="J1494" s="17" t="str">
        <f>IF(B1494="","",IF(B1493&lt;'02_Eingaben'!$C$36,0,J1493+I1493/'02_Eingaben'!$C$8))</f>
        <v/>
      </c>
    </row>
    <row r="1495" spans="1:10" x14ac:dyDescent="0.25">
      <c r="A1495" t="str">
        <f>IF('01_Rohdaten'!A1495="","",ROW()-1)</f>
        <v/>
      </c>
      <c r="B1495" s="17" t="str">
        <f>IF('01_Rohdaten'!A1495="","",'01_Rohdaten'!A1495)</f>
        <v/>
      </c>
      <c r="C1495" s="17" t="str">
        <f>IF(B1495="","",INDEX('01_Rohdaten'!B1495:D1495,'02_Eingaben'!$C$13))</f>
        <v/>
      </c>
      <c r="D1495" s="17" t="str">
        <f>IF(C1495="","",C1495*'02_Eingaben'!$C$15)</f>
        <v/>
      </c>
      <c r="E1495" s="17" t="str">
        <f>IF(D1495="","",D1495*'02_Eingaben'!$C$8)</f>
        <v/>
      </c>
      <c r="F1495" s="17" t="str">
        <f>IF(E1495="","",AVERAGE(INDEX($E$2:$E$3001,MAX(1,ROW()-1-'02_Eingaben'!$C$17)):INDEX($E$2:$E$3001,MIN('02_Eingaben'!$C$21,ROW()-1+'02_Eingaben'!$C$17))))</f>
        <v/>
      </c>
      <c r="G1495" s="17" t="str">
        <f>IF(F1495="","",F1495-'02_Eingaben'!$C$10)</f>
        <v/>
      </c>
      <c r="H1495" t="str">
        <f>IF(F1495="","",IF(F1495&lt;'02_Eingaben'!$C$18*'02_Eingaben'!$C$10,1,0))</f>
        <v/>
      </c>
      <c r="I1495" s="17" t="str">
        <f t="shared" si="23"/>
        <v/>
      </c>
      <c r="J1495" s="17" t="str">
        <f>IF(B1495="","",IF(B1494&lt;'02_Eingaben'!$C$36,0,J1494+I1494/'02_Eingaben'!$C$8))</f>
        <v/>
      </c>
    </row>
    <row r="1496" spans="1:10" x14ac:dyDescent="0.25">
      <c r="A1496" t="str">
        <f>IF('01_Rohdaten'!A1496="","",ROW()-1)</f>
        <v/>
      </c>
      <c r="B1496" s="17" t="str">
        <f>IF('01_Rohdaten'!A1496="","",'01_Rohdaten'!A1496)</f>
        <v/>
      </c>
      <c r="C1496" s="17" t="str">
        <f>IF(B1496="","",INDEX('01_Rohdaten'!B1496:D1496,'02_Eingaben'!$C$13))</f>
        <v/>
      </c>
      <c r="D1496" s="17" t="str">
        <f>IF(C1496="","",C1496*'02_Eingaben'!$C$15)</f>
        <v/>
      </c>
      <c r="E1496" s="17" t="str">
        <f>IF(D1496="","",D1496*'02_Eingaben'!$C$8)</f>
        <v/>
      </c>
      <c r="F1496" s="17" t="str">
        <f>IF(E1496="","",AVERAGE(INDEX($E$2:$E$3001,MAX(1,ROW()-1-'02_Eingaben'!$C$17)):INDEX($E$2:$E$3001,MIN('02_Eingaben'!$C$21,ROW()-1+'02_Eingaben'!$C$17))))</f>
        <v/>
      </c>
      <c r="G1496" s="17" t="str">
        <f>IF(F1496="","",F1496-'02_Eingaben'!$C$10)</f>
        <v/>
      </c>
      <c r="H1496" t="str">
        <f>IF(F1496="","",IF(F1496&lt;'02_Eingaben'!$C$18*'02_Eingaben'!$C$10,1,0))</f>
        <v/>
      </c>
      <c r="I1496" s="17" t="str">
        <f t="shared" si="23"/>
        <v/>
      </c>
      <c r="J1496" s="17" t="str">
        <f>IF(B1496="","",IF(B1495&lt;'02_Eingaben'!$C$36,0,J1495+I1495/'02_Eingaben'!$C$8))</f>
        <v/>
      </c>
    </row>
    <row r="1497" spans="1:10" x14ac:dyDescent="0.25">
      <c r="A1497" t="str">
        <f>IF('01_Rohdaten'!A1497="","",ROW()-1)</f>
        <v/>
      </c>
      <c r="B1497" s="17" t="str">
        <f>IF('01_Rohdaten'!A1497="","",'01_Rohdaten'!A1497)</f>
        <v/>
      </c>
      <c r="C1497" s="17" t="str">
        <f>IF(B1497="","",INDEX('01_Rohdaten'!B1497:D1497,'02_Eingaben'!$C$13))</f>
        <v/>
      </c>
      <c r="D1497" s="17" t="str">
        <f>IF(C1497="","",C1497*'02_Eingaben'!$C$15)</f>
        <v/>
      </c>
      <c r="E1497" s="17" t="str">
        <f>IF(D1497="","",D1497*'02_Eingaben'!$C$8)</f>
        <v/>
      </c>
      <c r="F1497" s="17" t="str">
        <f>IF(E1497="","",AVERAGE(INDEX($E$2:$E$3001,MAX(1,ROW()-1-'02_Eingaben'!$C$17)):INDEX($E$2:$E$3001,MIN('02_Eingaben'!$C$21,ROW()-1+'02_Eingaben'!$C$17))))</f>
        <v/>
      </c>
      <c r="G1497" s="17" t="str">
        <f>IF(F1497="","",F1497-'02_Eingaben'!$C$10)</f>
        <v/>
      </c>
      <c r="H1497" t="str">
        <f>IF(F1497="","",IF(F1497&lt;'02_Eingaben'!$C$18*'02_Eingaben'!$C$10,1,0))</f>
        <v/>
      </c>
      <c r="I1497" s="17" t="str">
        <f t="shared" si="23"/>
        <v/>
      </c>
      <c r="J1497" s="17" t="str">
        <f>IF(B1497="","",IF(B1496&lt;'02_Eingaben'!$C$36,0,J1496+I1496/'02_Eingaben'!$C$8))</f>
        <v/>
      </c>
    </row>
    <row r="1498" spans="1:10" x14ac:dyDescent="0.25">
      <c r="A1498" t="str">
        <f>IF('01_Rohdaten'!A1498="","",ROW()-1)</f>
        <v/>
      </c>
      <c r="B1498" s="17" t="str">
        <f>IF('01_Rohdaten'!A1498="","",'01_Rohdaten'!A1498)</f>
        <v/>
      </c>
      <c r="C1498" s="17" t="str">
        <f>IF(B1498="","",INDEX('01_Rohdaten'!B1498:D1498,'02_Eingaben'!$C$13))</f>
        <v/>
      </c>
      <c r="D1498" s="17" t="str">
        <f>IF(C1498="","",C1498*'02_Eingaben'!$C$15)</f>
        <v/>
      </c>
      <c r="E1498" s="17" t="str">
        <f>IF(D1498="","",D1498*'02_Eingaben'!$C$8)</f>
        <v/>
      </c>
      <c r="F1498" s="17" t="str">
        <f>IF(E1498="","",AVERAGE(INDEX($E$2:$E$3001,MAX(1,ROW()-1-'02_Eingaben'!$C$17)):INDEX($E$2:$E$3001,MIN('02_Eingaben'!$C$21,ROW()-1+'02_Eingaben'!$C$17))))</f>
        <v/>
      </c>
      <c r="G1498" s="17" t="str">
        <f>IF(F1498="","",F1498-'02_Eingaben'!$C$10)</f>
        <v/>
      </c>
      <c r="H1498" t="str">
        <f>IF(F1498="","",IF(F1498&lt;'02_Eingaben'!$C$18*'02_Eingaben'!$C$10,1,0))</f>
        <v/>
      </c>
      <c r="I1498" s="17" t="str">
        <f t="shared" si="23"/>
        <v/>
      </c>
      <c r="J1498" s="17" t="str">
        <f>IF(B1498="","",IF(B1497&lt;'02_Eingaben'!$C$36,0,J1497+I1497/'02_Eingaben'!$C$8))</f>
        <v/>
      </c>
    </row>
    <row r="1499" spans="1:10" x14ac:dyDescent="0.25">
      <c r="A1499" t="str">
        <f>IF('01_Rohdaten'!A1499="","",ROW()-1)</f>
        <v/>
      </c>
      <c r="B1499" s="17" t="str">
        <f>IF('01_Rohdaten'!A1499="","",'01_Rohdaten'!A1499)</f>
        <v/>
      </c>
      <c r="C1499" s="17" t="str">
        <f>IF(B1499="","",INDEX('01_Rohdaten'!B1499:D1499,'02_Eingaben'!$C$13))</f>
        <v/>
      </c>
      <c r="D1499" s="17" t="str">
        <f>IF(C1499="","",C1499*'02_Eingaben'!$C$15)</f>
        <v/>
      </c>
      <c r="E1499" s="17" t="str">
        <f>IF(D1499="","",D1499*'02_Eingaben'!$C$8)</f>
        <v/>
      </c>
      <c r="F1499" s="17" t="str">
        <f>IF(E1499="","",AVERAGE(INDEX($E$2:$E$3001,MAX(1,ROW()-1-'02_Eingaben'!$C$17)):INDEX($E$2:$E$3001,MIN('02_Eingaben'!$C$21,ROW()-1+'02_Eingaben'!$C$17))))</f>
        <v/>
      </c>
      <c r="G1499" s="17" t="str">
        <f>IF(F1499="","",F1499-'02_Eingaben'!$C$10)</f>
        <v/>
      </c>
      <c r="H1499" t="str">
        <f>IF(F1499="","",IF(F1499&lt;'02_Eingaben'!$C$18*'02_Eingaben'!$C$10,1,0))</f>
        <v/>
      </c>
      <c r="I1499" s="17" t="str">
        <f t="shared" si="23"/>
        <v/>
      </c>
      <c r="J1499" s="17" t="str">
        <f>IF(B1499="","",IF(B1498&lt;'02_Eingaben'!$C$36,0,J1498+I1498/'02_Eingaben'!$C$8))</f>
        <v/>
      </c>
    </row>
    <row r="1500" spans="1:10" x14ac:dyDescent="0.25">
      <c r="A1500" t="str">
        <f>IF('01_Rohdaten'!A1500="","",ROW()-1)</f>
        <v/>
      </c>
      <c r="B1500" s="17" t="str">
        <f>IF('01_Rohdaten'!A1500="","",'01_Rohdaten'!A1500)</f>
        <v/>
      </c>
      <c r="C1500" s="17" t="str">
        <f>IF(B1500="","",INDEX('01_Rohdaten'!B1500:D1500,'02_Eingaben'!$C$13))</f>
        <v/>
      </c>
      <c r="D1500" s="17" t="str">
        <f>IF(C1500="","",C1500*'02_Eingaben'!$C$15)</f>
        <v/>
      </c>
      <c r="E1500" s="17" t="str">
        <f>IF(D1500="","",D1500*'02_Eingaben'!$C$8)</f>
        <v/>
      </c>
      <c r="F1500" s="17" t="str">
        <f>IF(E1500="","",AVERAGE(INDEX($E$2:$E$3001,MAX(1,ROW()-1-'02_Eingaben'!$C$17)):INDEX($E$2:$E$3001,MIN('02_Eingaben'!$C$21,ROW()-1+'02_Eingaben'!$C$17))))</f>
        <v/>
      </c>
      <c r="G1500" s="17" t="str">
        <f>IF(F1500="","",F1500-'02_Eingaben'!$C$10)</f>
        <v/>
      </c>
      <c r="H1500" t="str">
        <f>IF(F1500="","",IF(F1500&lt;'02_Eingaben'!$C$18*'02_Eingaben'!$C$10,1,0))</f>
        <v/>
      </c>
      <c r="I1500" s="17" t="str">
        <f t="shared" si="23"/>
        <v/>
      </c>
      <c r="J1500" s="17" t="str">
        <f>IF(B1500="","",IF(B1499&lt;'02_Eingaben'!$C$36,0,J1499+I1499/'02_Eingaben'!$C$8))</f>
        <v/>
      </c>
    </row>
    <row r="1501" spans="1:10" x14ac:dyDescent="0.25">
      <c r="A1501" t="str">
        <f>IF('01_Rohdaten'!A1501="","",ROW()-1)</f>
        <v/>
      </c>
      <c r="B1501" s="17" t="str">
        <f>IF('01_Rohdaten'!A1501="","",'01_Rohdaten'!A1501)</f>
        <v/>
      </c>
      <c r="C1501" s="17" t="str">
        <f>IF(B1501="","",INDEX('01_Rohdaten'!B1501:D1501,'02_Eingaben'!$C$13))</f>
        <v/>
      </c>
      <c r="D1501" s="17" t="str">
        <f>IF(C1501="","",C1501*'02_Eingaben'!$C$15)</f>
        <v/>
      </c>
      <c r="E1501" s="17" t="str">
        <f>IF(D1501="","",D1501*'02_Eingaben'!$C$8)</f>
        <v/>
      </c>
      <c r="F1501" s="17" t="str">
        <f>IF(E1501="","",AVERAGE(INDEX($E$2:$E$3001,MAX(1,ROW()-1-'02_Eingaben'!$C$17)):INDEX($E$2:$E$3001,MIN('02_Eingaben'!$C$21,ROW()-1+'02_Eingaben'!$C$17))))</f>
        <v/>
      </c>
      <c r="G1501" s="17" t="str">
        <f>IF(F1501="","",F1501-'02_Eingaben'!$C$10)</f>
        <v/>
      </c>
      <c r="H1501" t="str">
        <f>IF(F1501="","",IF(F1501&lt;'02_Eingaben'!$C$18*'02_Eingaben'!$C$10,1,0))</f>
        <v/>
      </c>
      <c r="I1501" s="17" t="str">
        <f t="shared" si="23"/>
        <v/>
      </c>
      <c r="J1501" s="17" t="str">
        <f>IF(B1501="","",IF(B1500&lt;'02_Eingaben'!$C$36,0,J1500+I1500/'02_Eingaben'!$C$8))</f>
        <v/>
      </c>
    </row>
    <row r="1502" spans="1:10" x14ac:dyDescent="0.25">
      <c r="A1502" t="str">
        <f>IF('01_Rohdaten'!A1502="","",ROW()-1)</f>
        <v/>
      </c>
      <c r="B1502" s="17" t="str">
        <f>IF('01_Rohdaten'!A1502="","",'01_Rohdaten'!A1502)</f>
        <v/>
      </c>
      <c r="C1502" s="17" t="str">
        <f>IF(B1502="","",INDEX('01_Rohdaten'!B1502:D1502,'02_Eingaben'!$C$13))</f>
        <v/>
      </c>
      <c r="D1502" s="17" t="str">
        <f>IF(C1502="","",C1502*'02_Eingaben'!$C$15)</f>
        <v/>
      </c>
      <c r="E1502" s="17" t="str">
        <f>IF(D1502="","",D1502*'02_Eingaben'!$C$8)</f>
        <v/>
      </c>
      <c r="F1502" s="17" t="str">
        <f>IF(E1502="","",AVERAGE(INDEX($E$2:$E$3001,MAX(1,ROW()-1-'02_Eingaben'!$C$17)):INDEX($E$2:$E$3001,MIN('02_Eingaben'!$C$21,ROW()-1+'02_Eingaben'!$C$17))))</f>
        <v/>
      </c>
      <c r="G1502" s="17" t="str">
        <f>IF(F1502="","",F1502-'02_Eingaben'!$C$10)</f>
        <v/>
      </c>
      <c r="H1502" t="str">
        <f>IF(F1502="","",IF(F1502&lt;'02_Eingaben'!$C$18*'02_Eingaben'!$C$10,1,0))</f>
        <v/>
      </c>
      <c r="I1502" s="17" t="str">
        <f t="shared" si="23"/>
        <v/>
      </c>
      <c r="J1502" s="17" t="str">
        <f>IF(B1502="","",IF(B1501&lt;'02_Eingaben'!$C$36,0,J1501+I1501/'02_Eingaben'!$C$8))</f>
        <v/>
      </c>
    </row>
    <row r="1503" spans="1:10" x14ac:dyDescent="0.25">
      <c r="A1503" t="str">
        <f>IF('01_Rohdaten'!A1503="","",ROW()-1)</f>
        <v/>
      </c>
      <c r="B1503" s="17" t="str">
        <f>IF('01_Rohdaten'!A1503="","",'01_Rohdaten'!A1503)</f>
        <v/>
      </c>
      <c r="C1503" s="17" t="str">
        <f>IF(B1503="","",INDEX('01_Rohdaten'!B1503:D1503,'02_Eingaben'!$C$13))</f>
        <v/>
      </c>
      <c r="D1503" s="17" t="str">
        <f>IF(C1503="","",C1503*'02_Eingaben'!$C$15)</f>
        <v/>
      </c>
      <c r="E1503" s="17" t="str">
        <f>IF(D1503="","",D1503*'02_Eingaben'!$C$8)</f>
        <v/>
      </c>
      <c r="F1503" s="17" t="str">
        <f>IF(E1503="","",AVERAGE(INDEX($E$2:$E$3001,MAX(1,ROW()-1-'02_Eingaben'!$C$17)):INDEX($E$2:$E$3001,MIN('02_Eingaben'!$C$21,ROW()-1+'02_Eingaben'!$C$17))))</f>
        <v/>
      </c>
      <c r="G1503" s="17" t="str">
        <f>IF(F1503="","",F1503-'02_Eingaben'!$C$10)</f>
        <v/>
      </c>
      <c r="H1503" t="str">
        <f>IF(F1503="","",IF(F1503&lt;'02_Eingaben'!$C$18*'02_Eingaben'!$C$10,1,0))</f>
        <v/>
      </c>
      <c r="I1503" s="17" t="str">
        <f t="shared" si="23"/>
        <v/>
      </c>
      <c r="J1503" s="17" t="str">
        <f>IF(B1503="","",IF(B1502&lt;'02_Eingaben'!$C$36,0,J1502+I1502/'02_Eingaben'!$C$8))</f>
        <v/>
      </c>
    </row>
    <row r="1504" spans="1:10" x14ac:dyDescent="0.25">
      <c r="A1504" t="str">
        <f>IF('01_Rohdaten'!A1504="","",ROW()-1)</f>
        <v/>
      </c>
      <c r="B1504" s="17" t="str">
        <f>IF('01_Rohdaten'!A1504="","",'01_Rohdaten'!A1504)</f>
        <v/>
      </c>
      <c r="C1504" s="17" t="str">
        <f>IF(B1504="","",INDEX('01_Rohdaten'!B1504:D1504,'02_Eingaben'!$C$13))</f>
        <v/>
      </c>
      <c r="D1504" s="17" t="str">
        <f>IF(C1504="","",C1504*'02_Eingaben'!$C$15)</f>
        <v/>
      </c>
      <c r="E1504" s="17" t="str">
        <f>IF(D1504="","",D1504*'02_Eingaben'!$C$8)</f>
        <v/>
      </c>
      <c r="F1504" s="17" t="str">
        <f>IF(E1504="","",AVERAGE(INDEX($E$2:$E$3001,MAX(1,ROW()-1-'02_Eingaben'!$C$17)):INDEX($E$2:$E$3001,MIN('02_Eingaben'!$C$21,ROW()-1+'02_Eingaben'!$C$17))))</f>
        <v/>
      </c>
      <c r="G1504" s="17" t="str">
        <f>IF(F1504="","",F1504-'02_Eingaben'!$C$10)</f>
        <v/>
      </c>
      <c r="H1504" t="str">
        <f>IF(F1504="","",IF(F1504&lt;'02_Eingaben'!$C$18*'02_Eingaben'!$C$10,1,0))</f>
        <v/>
      </c>
      <c r="I1504" s="17" t="str">
        <f t="shared" si="23"/>
        <v/>
      </c>
      <c r="J1504" s="17" t="str">
        <f>IF(B1504="","",IF(B1503&lt;'02_Eingaben'!$C$36,0,J1503+I1503/'02_Eingaben'!$C$8))</f>
        <v/>
      </c>
    </row>
    <row r="1505" spans="1:10" x14ac:dyDescent="0.25">
      <c r="A1505" t="str">
        <f>IF('01_Rohdaten'!A1505="","",ROW()-1)</f>
        <v/>
      </c>
      <c r="B1505" s="17" t="str">
        <f>IF('01_Rohdaten'!A1505="","",'01_Rohdaten'!A1505)</f>
        <v/>
      </c>
      <c r="C1505" s="17" t="str">
        <f>IF(B1505="","",INDEX('01_Rohdaten'!B1505:D1505,'02_Eingaben'!$C$13))</f>
        <v/>
      </c>
      <c r="D1505" s="17" t="str">
        <f>IF(C1505="","",C1505*'02_Eingaben'!$C$15)</f>
        <v/>
      </c>
      <c r="E1505" s="17" t="str">
        <f>IF(D1505="","",D1505*'02_Eingaben'!$C$8)</f>
        <v/>
      </c>
      <c r="F1505" s="17" t="str">
        <f>IF(E1505="","",AVERAGE(INDEX($E$2:$E$3001,MAX(1,ROW()-1-'02_Eingaben'!$C$17)):INDEX($E$2:$E$3001,MIN('02_Eingaben'!$C$21,ROW()-1+'02_Eingaben'!$C$17))))</f>
        <v/>
      </c>
      <c r="G1505" s="17" t="str">
        <f>IF(F1505="","",F1505-'02_Eingaben'!$C$10)</f>
        <v/>
      </c>
      <c r="H1505" t="str">
        <f>IF(F1505="","",IF(F1505&lt;'02_Eingaben'!$C$18*'02_Eingaben'!$C$10,1,0))</f>
        <v/>
      </c>
      <c r="I1505" s="17" t="str">
        <f t="shared" si="23"/>
        <v/>
      </c>
      <c r="J1505" s="17" t="str">
        <f>IF(B1505="","",IF(B1504&lt;'02_Eingaben'!$C$36,0,J1504+I1504/'02_Eingaben'!$C$8))</f>
        <v/>
      </c>
    </row>
    <row r="1506" spans="1:10" x14ac:dyDescent="0.25">
      <c r="A1506" t="str">
        <f>IF('01_Rohdaten'!A1506="","",ROW()-1)</f>
        <v/>
      </c>
      <c r="B1506" s="17" t="str">
        <f>IF('01_Rohdaten'!A1506="","",'01_Rohdaten'!A1506)</f>
        <v/>
      </c>
      <c r="C1506" s="17" t="str">
        <f>IF(B1506="","",INDEX('01_Rohdaten'!B1506:D1506,'02_Eingaben'!$C$13))</f>
        <v/>
      </c>
      <c r="D1506" s="17" t="str">
        <f>IF(C1506="","",C1506*'02_Eingaben'!$C$15)</f>
        <v/>
      </c>
      <c r="E1506" s="17" t="str">
        <f>IF(D1506="","",D1506*'02_Eingaben'!$C$8)</f>
        <v/>
      </c>
      <c r="F1506" s="17" t="str">
        <f>IF(E1506="","",AVERAGE(INDEX($E$2:$E$3001,MAX(1,ROW()-1-'02_Eingaben'!$C$17)):INDEX($E$2:$E$3001,MIN('02_Eingaben'!$C$21,ROW()-1+'02_Eingaben'!$C$17))))</f>
        <v/>
      </c>
      <c r="G1506" s="17" t="str">
        <f>IF(F1506="","",F1506-'02_Eingaben'!$C$10)</f>
        <v/>
      </c>
      <c r="H1506" t="str">
        <f>IF(F1506="","",IF(F1506&lt;'02_Eingaben'!$C$18*'02_Eingaben'!$C$10,1,0))</f>
        <v/>
      </c>
      <c r="I1506" s="17" t="str">
        <f t="shared" si="23"/>
        <v/>
      </c>
      <c r="J1506" s="17" t="str">
        <f>IF(B1506="","",IF(B1505&lt;'02_Eingaben'!$C$36,0,J1505+I1505/'02_Eingaben'!$C$8))</f>
        <v/>
      </c>
    </row>
    <row r="1507" spans="1:10" x14ac:dyDescent="0.25">
      <c r="A1507" t="str">
        <f>IF('01_Rohdaten'!A1507="","",ROW()-1)</f>
        <v/>
      </c>
      <c r="B1507" s="17" t="str">
        <f>IF('01_Rohdaten'!A1507="","",'01_Rohdaten'!A1507)</f>
        <v/>
      </c>
      <c r="C1507" s="17" t="str">
        <f>IF(B1507="","",INDEX('01_Rohdaten'!B1507:D1507,'02_Eingaben'!$C$13))</f>
        <v/>
      </c>
      <c r="D1507" s="17" t="str">
        <f>IF(C1507="","",C1507*'02_Eingaben'!$C$15)</f>
        <v/>
      </c>
      <c r="E1507" s="17" t="str">
        <f>IF(D1507="","",D1507*'02_Eingaben'!$C$8)</f>
        <v/>
      </c>
      <c r="F1507" s="17" t="str">
        <f>IF(E1507="","",AVERAGE(INDEX($E$2:$E$3001,MAX(1,ROW()-1-'02_Eingaben'!$C$17)):INDEX($E$2:$E$3001,MIN('02_Eingaben'!$C$21,ROW()-1+'02_Eingaben'!$C$17))))</f>
        <v/>
      </c>
      <c r="G1507" s="17" t="str">
        <f>IF(F1507="","",F1507-'02_Eingaben'!$C$10)</f>
        <v/>
      </c>
      <c r="H1507" t="str">
        <f>IF(F1507="","",IF(F1507&lt;'02_Eingaben'!$C$18*'02_Eingaben'!$C$10,1,0))</f>
        <v/>
      </c>
      <c r="I1507" s="17" t="str">
        <f t="shared" si="23"/>
        <v/>
      </c>
      <c r="J1507" s="17" t="str">
        <f>IF(B1507="","",IF(B1506&lt;'02_Eingaben'!$C$36,0,J1506+I1506/'02_Eingaben'!$C$8))</f>
        <v/>
      </c>
    </row>
    <row r="1508" spans="1:10" x14ac:dyDescent="0.25">
      <c r="A1508" t="str">
        <f>IF('01_Rohdaten'!A1508="","",ROW()-1)</f>
        <v/>
      </c>
      <c r="B1508" s="17" t="str">
        <f>IF('01_Rohdaten'!A1508="","",'01_Rohdaten'!A1508)</f>
        <v/>
      </c>
      <c r="C1508" s="17" t="str">
        <f>IF(B1508="","",INDEX('01_Rohdaten'!B1508:D1508,'02_Eingaben'!$C$13))</f>
        <v/>
      </c>
      <c r="D1508" s="17" t="str">
        <f>IF(C1508="","",C1508*'02_Eingaben'!$C$15)</f>
        <v/>
      </c>
      <c r="E1508" s="17" t="str">
        <f>IF(D1508="","",D1508*'02_Eingaben'!$C$8)</f>
        <v/>
      </c>
      <c r="F1508" s="17" t="str">
        <f>IF(E1508="","",AVERAGE(INDEX($E$2:$E$3001,MAX(1,ROW()-1-'02_Eingaben'!$C$17)):INDEX($E$2:$E$3001,MIN('02_Eingaben'!$C$21,ROW()-1+'02_Eingaben'!$C$17))))</f>
        <v/>
      </c>
      <c r="G1508" s="17" t="str">
        <f>IF(F1508="","",F1508-'02_Eingaben'!$C$10)</f>
        <v/>
      </c>
      <c r="H1508" t="str">
        <f>IF(F1508="","",IF(F1508&lt;'02_Eingaben'!$C$18*'02_Eingaben'!$C$10,1,0))</f>
        <v/>
      </c>
      <c r="I1508" s="17" t="str">
        <f t="shared" si="23"/>
        <v/>
      </c>
      <c r="J1508" s="17" t="str">
        <f>IF(B1508="","",IF(B1507&lt;'02_Eingaben'!$C$36,0,J1507+I1507/'02_Eingaben'!$C$8))</f>
        <v/>
      </c>
    </row>
    <row r="1509" spans="1:10" x14ac:dyDescent="0.25">
      <c r="A1509" t="str">
        <f>IF('01_Rohdaten'!A1509="","",ROW()-1)</f>
        <v/>
      </c>
      <c r="B1509" s="17" t="str">
        <f>IF('01_Rohdaten'!A1509="","",'01_Rohdaten'!A1509)</f>
        <v/>
      </c>
      <c r="C1509" s="17" t="str">
        <f>IF(B1509="","",INDEX('01_Rohdaten'!B1509:D1509,'02_Eingaben'!$C$13))</f>
        <v/>
      </c>
      <c r="D1509" s="17" t="str">
        <f>IF(C1509="","",C1509*'02_Eingaben'!$C$15)</f>
        <v/>
      </c>
      <c r="E1509" s="17" t="str">
        <f>IF(D1509="","",D1509*'02_Eingaben'!$C$8)</f>
        <v/>
      </c>
      <c r="F1509" s="17" t="str">
        <f>IF(E1509="","",AVERAGE(INDEX($E$2:$E$3001,MAX(1,ROW()-1-'02_Eingaben'!$C$17)):INDEX($E$2:$E$3001,MIN('02_Eingaben'!$C$21,ROW()-1+'02_Eingaben'!$C$17))))</f>
        <v/>
      </c>
      <c r="G1509" s="17" t="str">
        <f>IF(F1509="","",F1509-'02_Eingaben'!$C$10)</f>
        <v/>
      </c>
      <c r="H1509" t="str">
        <f>IF(F1509="","",IF(F1509&lt;'02_Eingaben'!$C$18*'02_Eingaben'!$C$10,1,0))</f>
        <v/>
      </c>
      <c r="I1509" s="17" t="str">
        <f t="shared" si="23"/>
        <v/>
      </c>
      <c r="J1509" s="17" t="str">
        <f>IF(B1509="","",IF(B1508&lt;'02_Eingaben'!$C$36,0,J1508+I1508/'02_Eingaben'!$C$8))</f>
        <v/>
      </c>
    </row>
    <row r="1510" spans="1:10" x14ac:dyDescent="0.25">
      <c r="A1510" t="str">
        <f>IF('01_Rohdaten'!A1510="","",ROW()-1)</f>
        <v/>
      </c>
      <c r="B1510" s="17" t="str">
        <f>IF('01_Rohdaten'!A1510="","",'01_Rohdaten'!A1510)</f>
        <v/>
      </c>
      <c r="C1510" s="17" t="str">
        <f>IF(B1510="","",INDEX('01_Rohdaten'!B1510:D1510,'02_Eingaben'!$C$13))</f>
        <v/>
      </c>
      <c r="D1510" s="17" t="str">
        <f>IF(C1510="","",C1510*'02_Eingaben'!$C$15)</f>
        <v/>
      </c>
      <c r="E1510" s="17" t="str">
        <f>IF(D1510="","",D1510*'02_Eingaben'!$C$8)</f>
        <v/>
      </c>
      <c r="F1510" s="17" t="str">
        <f>IF(E1510="","",AVERAGE(INDEX($E$2:$E$3001,MAX(1,ROW()-1-'02_Eingaben'!$C$17)):INDEX($E$2:$E$3001,MIN('02_Eingaben'!$C$21,ROW()-1+'02_Eingaben'!$C$17))))</f>
        <v/>
      </c>
      <c r="G1510" s="17" t="str">
        <f>IF(F1510="","",F1510-'02_Eingaben'!$C$10)</f>
        <v/>
      </c>
      <c r="H1510" t="str">
        <f>IF(F1510="","",IF(F1510&lt;'02_Eingaben'!$C$18*'02_Eingaben'!$C$10,1,0))</f>
        <v/>
      </c>
      <c r="I1510" s="17" t="str">
        <f t="shared" si="23"/>
        <v/>
      </c>
      <c r="J1510" s="17" t="str">
        <f>IF(B1510="","",IF(B1509&lt;'02_Eingaben'!$C$36,0,J1509+I1509/'02_Eingaben'!$C$8))</f>
        <v/>
      </c>
    </row>
    <row r="1511" spans="1:10" x14ac:dyDescent="0.25">
      <c r="A1511" t="str">
        <f>IF('01_Rohdaten'!A1511="","",ROW()-1)</f>
        <v/>
      </c>
      <c r="B1511" s="17" t="str">
        <f>IF('01_Rohdaten'!A1511="","",'01_Rohdaten'!A1511)</f>
        <v/>
      </c>
      <c r="C1511" s="17" t="str">
        <f>IF(B1511="","",INDEX('01_Rohdaten'!B1511:D1511,'02_Eingaben'!$C$13))</f>
        <v/>
      </c>
      <c r="D1511" s="17" t="str">
        <f>IF(C1511="","",C1511*'02_Eingaben'!$C$15)</f>
        <v/>
      </c>
      <c r="E1511" s="17" t="str">
        <f>IF(D1511="","",D1511*'02_Eingaben'!$C$8)</f>
        <v/>
      </c>
      <c r="F1511" s="17" t="str">
        <f>IF(E1511="","",AVERAGE(INDEX($E$2:$E$3001,MAX(1,ROW()-1-'02_Eingaben'!$C$17)):INDEX($E$2:$E$3001,MIN('02_Eingaben'!$C$21,ROW()-1+'02_Eingaben'!$C$17))))</f>
        <v/>
      </c>
      <c r="G1511" s="17" t="str">
        <f>IF(F1511="","",F1511-'02_Eingaben'!$C$10)</f>
        <v/>
      </c>
      <c r="H1511" t="str">
        <f>IF(F1511="","",IF(F1511&lt;'02_Eingaben'!$C$18*'02_Eingaben'!$C$10,1,0))</f>
        <v/>
      </c>
      <c r="I1511" s="17" t="str">
        <f t="shared" si="23"/>
        <v/>
      </c>
      <c r="J1511" s="17" t="str">
        <f>IF(B1511="","",IF(B1510&lt;'02_Eingaben'!$C$36,0,J1510+I1510/'02_Eingaben'!$C$8))</f>
        <v/>
      </c>
    </row>
    <row r="1512" spans="1:10" x14ac:dyDescent="0.25">
      <c r="A1512" t="str">
        <f>IF('01_Rohdaten'!A1512="","",ROW()-1)</f>
        <v/>
      </c>
      <c r="B1512" s="17" t="str">
        <f>IF('01_Rohdaten'!A1512="","",'01_Rohdaten'!A1512)</f>
        <v/>
      </c>
      <c r="C1512" s="17" t="str">
        <f>IF(B1512="","",INDEX('01_Rohdaten'!B1512:D1512,'02_Eingaben'!$C$13))</f>
        <v/>
      </c>
      <c r="D1512" s="17" t="str">
        <f>IF(C1512="","",C1512*'02_Eingaben'!$C$15)</f>
        <v/>
      </c>
      <c r="E1512" s="17" t="str">
        <f>IF(D1512="","",D1512*'02_Eingaben'!$C$8)</f>
        <v/>
      </c>
      <c r="F1512" s="17" t="str">
        <f>IF(E1512="","",AVERAGE(INDEX($E$2:$E$3001,MAX(1,ROW()-1-'02_Eingaben'!$C$17)):INDEX($E$2:$E$3001,MIN('02_Eingaben'!$C$21,ROW()-1+'02_Eingaben'!$C$17))))</f>
        <v/>
      </c>
      <c r="G1512" s="17" t="str">
        <f>IF(F1512="","",F1512-'02_Eingaben'!$C$10)</f>
        <v/>
      </c>
      <c r="H1512" t="str">
        <f>IF(F1512="","",IF(F1512&lt;'02_Eingaben'!$C$18*'02_Eingaben'!$C$10,1,0))</f>
        <v/>
      </c>
      <c r="I1512" s="17" t="str">
        <f t="shared" si="23"/>
        <v/>
      </c>
      <c r="J1512" s="17" t="str">
        <f>IF(B1512="","",IF(B1511&lt;'02_Eingaben'!$C$36,0,J1511+I1511/'02_Eingaben'!$C$8))</f>
        <v/>
      </c>
    </row>
    <row r="1513" spans="1:10" x14ac:dyDescent="0.25">
      <c r="A1513" t="str">
        <f>IF('01_Rohdaten'!A1513="","",ROW()-1)</f>
        <v/>
      </c>
      <c r="B1513" s="17" t="str">
        <f>IF('01_Rohdaten'!A1513="","",'01_Rohdaten'!A1513)</f>
        <v/>
      </c>
      <c r="C1513" s="17" t="str">
        <f>IF(B1513="","",INDEX('01_Rohdaten'!B1513:D1513,'02_Eingaben'!$C$13))</f>
        <v/>
      </c>
      <c r="D1513" s="17" t="str">
        <f>IF(C1513="","",C1513*'02_Eingaben'!$C$15)</f>
        <v/>
      </c>
      <c r="E1513" s="17" t="str">
        <f>IF(D1513="","",D1513*'02_Eingaben'!$C$8)</f>
        <v/>
      </c>
      <c r="F1513" s="17" t="str">
        <f>IF(E1513="","",AVERAGE(INDEX($E$2:$E$3001,MAX(1,ROW()-1-'02_Eingaben'!$C$17)):INDEX($E$2:$E$3001,MIN('02_Eingaben'!$C$21,ROW()-1+'02_Eingaben'!$C$17))))</f>
        <v/>
      </c>
      <c r="G1513" s="17" t="str">
        <f>IF(F1513="","",F1513-'02_Eingaben'!$C$10)</f>
        <v/>
      </c>
      <c r="H1513" t="str">
        <f>IF(F1513="","",IF(F1513&lt;'02_Eingaben'!$C$18*'02_Eingaben'!$C$10,1,0))</f>
        <v/>
      </c>
      <c r="I1513" s="17" t="str">
        <f t="shared" si="23"/>
        <v/>
      </c>
      <c r="J1513" s="17" t="str">
        <f>IF(B1513="","",IF(B1512&lt;'02_Eingaben'!$C$36,0,J1512+I1512/'02_Eingaben'!$C$8))</f>
        <v/>
      </c>
    </row>
    <row r="1514" spans="1:10" x14ac:dyDescent="0.25">
      <c r="A1514" t="str">
        <f>IF('01_Rohdaten'!A1514="","",ROW()-1)</f>
        <v/>
      </c>
      <c r="B1514" s="17" t="str">
        <f>IF('01_Rohdaten'!A1514="","",'01_Rohdaten'!A1514)</f>
        <v/>
      </c>
      <c r="C1514" s="17" t="str">
        <f>IF(B1514="","",INDEX('01_Rohdaten'!B1514:D1514,'02_Eingaben'!$C$13))</f>
        <v/>
      </c>
      <c r="D1514" s="17" t="str">
        <f>IF(C1514="","",C1514*'02_Eingaben'!$C$15)</f>
        <v/>
      </c>
      <c r="E1514" s="17" t="str">
        <f>IF(D1514="","",D1514*'02_Eingaben'!$C$8)</f>
        <v/>
      </c>
      <c r="F1514" s="17" t="str">
        <f>IF(E1514="","",AVERAGE(INDEX($E$2:$E$3001,MAX(1,ROW()-1-'02_Eingaben'!$C$17)):INDEX($E$2:$E$3001,MIN('02_Eingaben'!$C$21,ROW()-1+'02_Eingaben'!$C$17))))</f>
        <v/>
      </c>
      <c r="G1514" s="17" t="str">
        <f>IF(F1514="","",F1514-'02_Eingaben'!$C$10)</f>
        <v/>
      </c>
      <c r="H1514" t="str">
        <f>IF(F1514="","",IF(F1514&lt;'02_Eingaben'!$C$18*'02_Eingaben'!$C$10,1,0))</f>
        <v/>
      </c>
      <c r="I1514" s="17" t="str">
        <f t="shared" si="23"/>
        <v/>
      </c>
      <c r="J1514" s="17" t="str">
        <f>IF(B1514="","",IF(B1513&lt;'02_Eingaben'!$C$36,0,J1513+I1513/'02_Eingaben'!$C$8))</f>
        <v/>
      </c>
    </row>
    <row r="1515" spans="1:10" x14ac:dyDescent="0.25">
      <c r="A1515" t="str">
        <f>IF('01_Rohdaten'!A1515="","",ROW()-1)</f>
        <v/>
      </c>
      <c r="B1515" s="17" t="str">
        <f>IF('01_Rohdaten'!A1515="","",'01_Rohdaten'!A1515)</f>
        <v/>
      </c>
      <c r="C1515" s="17" t="str">
        <f>IF(B1515="","",INDEX('01_Rohdaten'!B1515:D1515,'02_Eingaben'!$C$13))</f>
        <v/>
      </c>
      <c r="D1515" s="17" t="str">
        <f>IF(C1515="","",C1515*'02_Eingaben'!$C$15)</f>
        <v/>
      </c>
      <c r="E1515" s="17" t="str">
        <f>IF(D1515="","",D1515*'02_Eingaben'!$C$8)</f>
        <v/>
      </c>
      <c r="F1515" s="17" t="str">
        <f>IF(E1515="","",AVERAGE(INDEX($E$2:$E$3001,MAX(1,ROW()-1-'02_Eingaben'!$C$17)):INDEX($E$2:$E$3001,MIN('02_Eingaben'!$C$21,ROW()-1+'02_Eingaben'!$C$17))))</f>
        <v/>
      </c>
      <c r="G1515" s="17" t="str">
        <f>IF(F1515="","",F1515-'02_Eingaben'!$C$10)</f>
        <v/>
      </c>
      <c r="H1515" t="str">
        <f>IF(F1515="","",IF(F1515&lt;'02_Eingaben'!$C$18*'02_Eingaben'!$C$10,1,0))</f>
        <v/>
      </c>
      <c r="I1515" s="17" t="str">
        <f t="shared" si="23"/>
        <v/>
      </c>
      <c r="J1515" s="17" t="str">
        <f>IF(B1515="","",IF(B1514&lt;'02_Eingaben'!$C$36,0,J1514+I1514/'02_Eingaben'!$C$8))</f>
        <v/>
      </c>
    </row>
    <row r="1516" spans="1:10" x14ac:dyDescent="0.25">
      <c r="A1516" t="str">
        <f>IF('01_Rohdaten'!A1516="","",ROW()-1)</f>
        <v/>
      </c>
      <c r="B1516" s="17" t="str">
        <f>IF('01_Rohdaten'!A1516="","",'01_Rohdaten'!A1516)</f>
        <v/>
      </c>
      <c r="C1516" s="17" t="str">
        <f>IF(B1516="","",INDEX('01_Rohdaten'!B1516:D1516,'02_Eingaben'!$C$13))</f>
        <v/>
      </c>
      <c r="D1516" s="17" t="str">
        <f>IF(C1516="","",C1516*'02_Eingaben'!$C$15)</f>
        <v/>
      </c>
      <c r="E1516" s="17" t="str">
        <f>IF(D1516="","",D1516*'02_Eingaben'!$C$8)</f>
        <v/>
      </c>
      <c r="F1516" s="17" t="str">
        <f>IF(E1516="","",AVERAGE(INDEX($E$2:$E$3001,MAX(1,ROW()-1-'02_Eingaben'!$C$17)):INDEX($E$2:$E$3001,MIN('02_Eingaben'!$C$21,ROW()-1+'02_Eingaben'!$C$17))))</f>
        <v/>
      </c>
      <c r="G1516" s="17" t="str">
        <f>IF(F1516="","",F1516-'02_Eingaben'!$C$10)</f>
        <v/>
      </c>
      <c r="H1516" t="str">
        <f>IF(F1516="","",IF(F1516&lt;'02_Eingaben'!$C$18*'02_Eingaben'!$C$10,1,0))</f>
        <v/>
      </c>
      <c r="I1516" s="17" t="str">
        <f t="shared" si="23"/>
        <v/>
      </c>
      <c r="J1516" s="17" t="str">
        <f>IF(B1516="","",IF(B1515&lt;'02_Eingaben'!$C$36,0,J1515+I1515/'02_Eingaben'!$C$8))</f>
        <v/>
      </c>
    </row>
    <row r="1517" spans="1:10" x14ac:dyDescent="0.25">
      <c r="A1517" t="str">
        <f>IF('01_Rohdaten'!A1517="","",ROW()-1)</f>
        <v/>
      </c>
      <c r="B1517" s="17" t="str">
        <f>IF('01_Rohdaten'!A1517="","",'01_Rohdaten'!A1517)</f>
        <v/>
      </c>
      <c r="C1517" s="17" t="str">
        <f>IF(B1517="","",INDEX('01_Rohdaten'!B1517:D1517,'02_Eingaben'!$C$13))</f>
        <v/>
      </c>
      <c r="D1517" s="17" t="str">
        <f>IF(C1517="","",C1517*'02_Eingaben'!$C$15)</f>
        <v/>
      </c>
      <c r="E1517" s="17" t="str">
        <f>IF(D1517="","",D1517*'02_Eingaben'!$C$8)</f>
        <v/>
      </c>
      <c r="F1517" s="17" t="str">
        <f>IF(E1517="","",AVERAGE(INDEX($E$2:$E$3001,MAX(1,ROW()-1-'02_Eingaben'!$C$17)):INDEX($E$2:$E$3001,MIN('02_Eingaben'!$C$21,ROW()-1+'02_Eingaben'!$C$17))))</f>
        <v/>
      </c>
      <c r="G1517" s="17" t="str">
        <f>IF(F1517="","",F1517-'02_Eingaben'!$C$10)</f>
        <v/>
      </c>
      <c r="H1517" t="str">
        <f>IF(F1517="","",IF(F1517&lt;'02_Eingaben'!$C$18*'02_Eingaben'!$C$10,1,0))</f>
        <v/>
      </c>
      <c r="I1517" s="17" t="str">
        <f t="shared" si="23"/>
        <v/>
      </c>
      <c r="J1517" s="17" t="str">
        <f>IF(B1517="","",IF(B1516&lt;'02_Eingaben'!$C$36,0,J1516+I1516/'02_Eingaben'!$C$8))</f>
        <v/>
      </c>
    </row>
    <row r="1518" spans="1:10" x14ac:dyDescent="0.25">
      <c r="A1518" t="str">
        <f>IF('01_Rohdaten'!A1518="","",ROW()-1)</f>
        <v/>
      </c>
      <c r="B1518" s="17" t="str">
        <f>IF('01_Rohdaten'!A1518="","",'01_Rohdaten'!A1518)</f>
        <v/>
      </c>
      <c r="C1518" s="17" t="str">
        <f>IF(B1518="","",INDEX('01_Rohdaten'!B1518:D1518,'02_Eingaben'!$C$13))</f>
        <v/>
      </c>
      <c r="D1518" s="17" t="str">
        <f>IF(C1518="","",C1518*'02_Eingaben'!$C$15)</f>
        <v/>
      </c>
      <c r="E1518" s="17" t="str">
        <f>IF(D1518="","",D1518*'02_Eingaben'!$C$8)</f>
        <v/>
      </c>
      <c r="F1518" s="17" t="str">
        <f>IF(E1518="","",AVERAGE(INDEX($E$2:$E$3001,MAX(1,ROW()-1-'02_Eingaben'!$C$17)):INDEX($E$2:$E$3001,MIN('02_Eingaben'!$C$21,ROW()-1+'02_Eingaben'!$C$17))))</f>
        <v/>
      </c>
      <c r="G1518" s="17" t="str">
        <f>IF(F1518="","",F1518-'02_Eingaben'!$C$10)</f>
        <v/>
      </c>
      <c r="H1518" t="str">
        <f>IF(F1518="","",IF(F1518&lt;'02_Eingaben'!$C$18*'02_Eingaben'!$C$10,1,0))</f>
        <v/>
      </c>
      <c r="I1518" s="17" t="str">
        <f t="shared" si="23"/>
        <v/>
      </c>
      <c r="J1518" s="17" t="str">
        <f>IF(B1518="","",IF(B1517&lt;'02_Eingaben'!$C$36,0,J1517+I1517/'02_Eingaben'!$C$8))</f>
        <v/>
      </c>
    </row>
    <row r="1519" spans="1:10" x14ac:dyDescent="0.25">
      <c r="A1519" t="str">
        <f>IF('01_Rohdaten'!A1519="","",ROW()-1)</f>
        <v/>
      </c>
      <c r="B1519" s="17" t="str">
        <f>IF('01_Rohdaten'!A1519="","",'01_Rohdaten'!A1519)</f>
        <v/>
      </c>
      <c r="C1519" s="17" t="str">
        <f>IF(B1519="","",INDEX('01_Rohdaten'!B1519:D1519,'02_Eingaben'!$C$13))</f>
        <v/>
      </c>
      <c r="D1519" s="17" t="str">
        <f>IF(C1519="","",C1519*'02_Eingaben'!$C$15)</f>
        <v/>
      </c>
      <c r="E1519" s="17" t="str">
        <f>IF(D1519="","",D1519*'02_Eingaben'!$C$8)</f>
        <v/>
      </c>
      <c r="F1519" s="17" t="str">
        <f>IF(E1519="","",AVERAGE(INDEX($E$2:$E$3001,MAX(1,ROW()-1-'02_Eingaben'!$C$17)):INDEX($E$2:$E$3001,MIN('02_Eingaben'!$C$21,ROW()-1+'02_Eingaben'!$C$17))))</f>
        <v/>
      </c>
      <c r="G1519" s="17" t="str">
        <f>IF(F1519="","",F1519-'02_Eingaben'!$C$10)</f>
        <v/>
      </c>
      <c r="H1519" t="str">
        <f>IF(F1519="","",IF(F1519&lt;'02_Eingaben'!$C$18*'02_Eingaben'!$C$10,1,0))</f>
        <v/>
      </c>
      <c r="I1519" s="17" t="str">
        <f t="shared" si="23"/>
        <v/>
      </c>
      <c r="J1519" s="17" t="str">
        <f>IF(B1519="","",IF(B1518&lt;'02_Eingaben'!$C$36,0,J1518+I1518/'02_Eingaben'!$C$8))</f>
        <v/>
      </c>
    </row>
    <row r="1520" spans="1:10" x14ac:dyDescent="0.25">
      <c r="A1520" t="str">
        <f>IF('01_Rohdaten'!A1520="","",ROW()-1)</f>
        <v/>
      </c>
      <c r="B1520" s="17" t="str">
        <f>IF('01_Rohdaten'!A1520="","",'01_Rohdaten'!A1520)</f>
        <v/>
      </c>
      <c r="C1520" s="17" t="str">
        <f>IF(B1520="","",INDEX('01_Rohdaten'!B1520:D1520,'02_Eingaben'!$C$13))</f>
        <v/>
      </c>
      <c r="D1520" s="17" t="str">
        <f>IF(C1520="","",C1520*'02_Eingaben'!$C$15)</f>
        <v/>
      </c>
      <c r="E1520" s="17" t="str">
        <f>IF(D1520="","",D1520*'02_Eingaben'!$C$8)</f>
        <v/>
      </c>
      <c r="F1520" s="17" t="str">
        <f>IF(E1520="","",AVERAGE(INDEX($E$2:$E$3001,MAX(1,ROW()-1-'02_Eingaben'!$C$17)):INDEX($E$2:$E$3001,MIN('02_Eingaben'!$C$21,ROW()-1+'02_Eingaben'!$C$17))))</f>
        <v/>
      </c>
      <c r="G1520" s="17" t="str">
        <f>IF(F1520="","",F1520-'02_Eingaben'!$C$10)</f>
        <v/>
      </c>
      <c r="H1520" t="str">
        <f>IF(F1520="","",IF(F1520&lt;'02_Eingaben'!$C$18*'02_Eingaben'!$C$10,1,0))</f>
        <v/>
      </c>
      <c r="I1520" s="17" t="str">
        <f t="shared" si="23"/>
        <v/>
      </c>
      <c r="J1520" s="17" t="str">
        <f>IF(B1520="","",IF(B1519&lt;'02_Eingaben'!$C$36,0,J1519+I1519/'02_Eingaben'!$C$8))</f>
        <v/>
      </c>
    </row>
    <row r="1521" spans="1:10" x14ac:dyDescent="0.25">
      <c r="A1521" t="str">
        <f>IF('01_Rohdaten'!A1521="","",ROW()-1)</f>
        <v/>
      </c>
      <c r="B1521" s="17" t="str">
        <f>IF('01_Rohdaten'!A1521="","",'01_Rohdaten'!A1521)</f>
        <v/>
      </c>
      <c r="C1521" s="17" t="str">
        <f>IF(B1521="","",INDEX('01_Rohdaten'!B1521:D1521,'02_Eingaben'!$C$13))</f>
        <v/>
      </c>
      <c r="D1521" s="17" t="str">
        <f>IF(C1521="","",C1521*'02_Eingaben'!$C$15)</f>
        <v/>
      </c>
      <c r="E1521" s="17" t="str">
        <f>IF(D1521="","",D1521*'02_Eingaben'!$C$8)</f>
        <v/>
      </c>
      <c r="F1521" s="17" t="str">
        <f>IF(E1521="","",AVERAGE(INDEX($E$2:$E$3001,MAX(1,ROW()-1-'02_Eingaben'!$C$17)):INDEX($E$2:$E$3001,MIN('02_Eingaben'!$C$21,ROW()-1+'02_Eingaben'!$C$17))))</f>
        <v/>
      </c>
      <c r="G1521" s="17" t="str">
        <f>IF(F1521="","",F1521-'02_Eingaben'!$C$10)</f>
        <v/>
      </c>
      <c r="H1521" t="str">
        <f>IF(F1521="","",IF(F1521&lt;'02_Eingaben'!$C$18*'02_Eingaben'!$C$10,1,0))</f>
        <v/>
      </c>
      <c r="I1521" s="17" t="str">
        <f t="shared" si="23"/>
        <v/>
      </c>
      <c r="J1521" s="17" t="str">
        <f>IF(B1521="","",IF(B1520&lt;'02_Eingaben'!$C$36,0,J1520+I1520/'02_Eingaben'!$C$8))</f>
        <v/>
      </c>
    </row>
    <row r="1522" spans="1:10" x14ac:dyDescent="0.25">
      <c r="A1522" t="str">
        <f>IF('01_Rohdaten'!A1522="","",ROW()-1)</f>
        <v/>
      </c>
      <c r="B1522" s="17" t="str">
        <f>IF('01_Rohdaten'!A1522="","",'01_Rohdaten'!A1522)</f>
        <v/>
      </c>
      <c r="C1522" s="17" t="str">
        <f>IF(B1522="","",INDEX('01_Rohdaten'!B1522:D1522,'02_Eingaben'!$C$13))</f>
        <v/>
      </c>
      <c r="D1522" s="17" t="str">
        <f>IF(C1522="","",C1522*'02_Eingaben'!$C$15)</f>
        <v/>
      </c>
      <c r="E1522" s="17" t="str">
        <f>IF(D1522="","",D1522*'02_Eingaben'!$C$8)</f>
        <v/>
      </c>
      <c r="F1522" s="17" t="str">
        <f>IF(E1522="","",AVERAGE(INDEX($E$2:$E$3001,MAX(1,ROW()-1-'02_Eingaben'!$C$17)):INDEX($E$2:$E$3001,MIN('02_Eingaben'!$C$21,ROW()-1+'02_Eingaben'!$C$17))))</f>
        <v/>
      </c>
      <c r="G1522" s="17" t="str">
        <f>IF(F1522="","",F1522-'02_Eingaben'!$C$10)</f>
        <v/>
      </c>
      <c r="H1522" t="str">
        <f>IF(F1522="","",IF(F1522&lt;'02_Eingaben'!$C$18*'02_Eingaben'!$C$10,1,0))</f>
        <v/>
      </c>
      <c r="I1522" s="17" t="str">
        <f t="shared" si="23"/>
        <v/>
      </c>
      <c r="J1522" s="17" t="str">
        <f>IF(B1522="","",IF(B1521&lt;'02_Eingaben'!$C$36,0,J1521+I1521/'02_Eingaben'!$C$8))</f>
        <v/>
      </c>
    </row>
    <row r="1523" spans="1:10" x14ac:dyDescent="0.25">
      <c r="A1523" t="str">
        <f>IF('01_Rohdaten'!A1523="","",ROW()-1)</f>
        <v/>
      </c>
      <c r="B1523" s="17" t="str">
        <f>IF('01_Rohdaten'!A1523="","",'01_Rohdaten'!A1523)</f>
        <v/>
      </c>
      <c r="C1523" s="17" t="str">
        <f>IF(B1523="","",INDEX('01_Rohdaten'!B1523:D1523,'02_Eingaben'!$C$13))</f>
        <v/>
      </c>
      <c r="D1523" s="17" t="str">
        <f>IF(C1523="","",C1523*'02_Eingaben'!$C$15)</f>
        <v/>
      </c>
      <c r="E1523" s="17" t="str">
        <f>IF(D1523="","",D1523*'02_Eingaben'!$C$8)</f>
        <v/>
      </c>
      <c r="F1523" s="17" t="str">
        <f>IF(E1523="","",AVERAGE(INDEX($E$2:$E$3001,MAX(1,ROW()-1-'02_Eingaben'!$C$17)):INDEX($E$2:$E$3001,MIN('02_Eingaben'!$C$21,ROW()-1+'02_Eingaben'!$C$17))))</f>
        <v/>
      </c>
      <c r="G1523" s="17" t="str">
        <f>IF(F1523="","",F1523-'02_Eingaben'!$C$10)</f>
        <v/>
      </c>
      <c r="H1523" t="str">
        <f>IF(F1523="","",IF(F1523&lt;'02_Eingaben'!$C$18*'02_Eingaben'!$C$10,1,0))</f>
        <v/>
      </c>
      <c r="I1523" s="17" t="str">
        <f t="shared" si="23"/>
        <v/>
      </c>
      <c r="J1523" s="17" t="str">
        <f>IF(B1523="","",IF(B1522&lt;'02_Eingaben'!$C$36,0,J1522+I1522/'02_Eingaben'!$C$8))</f>
        <v/>
      </c>
    </row>
    <row r="1524" spans="1:10" x14ac:dyDescent="0.25">
      <c r="A1524" t="str">
        <f>IF('01_Rohdaten'!A1524="","",ROW()-1)</f>
        <v/>
      </c>
      <c r="B1524" s="17" t="str">
        <f>IF('01_Rohdaten'!A1524="","",'01_Rohdaten'!A1524)</f>
        <v/>
      </c>
      <c r="C1524" s="17" t="str">
        <f>IF(B1524="","",INDEX('01_Rohdaten'!B1524:D1524,'02_Eingaben'!$C$13))</f>
        <v/>
      </c>
      <c r="D1524" s="17" t="str">
        <f>IF(C1524="","",C1524*'02_Eingaben'!$C$15)</f>
        <v/>
      </c>
      <c r="E1524" s="17" t="str">
        <f>IF(D1524="","",D1524*'02_Eingaben'!$C$8)</f>
        <v/>
      </c>
      <c r="F1524" s="17" t="str">
        <f>IF(E1524="","",AVERAGE(INDEX($E$2:$E$3001,MAX(1,ROW()-1-'02_Eingaben'!$C$17)):INDEX($E$2:$E$3001,MIN('02_Eingaben'!$C$21,ROW()-1+'02_Eingaben'!$C$17))))</f>
        <v/>
      </c>
      <c r="G1524" s="17" t="str">
        <f>IF(F1524="","",F1524-'02_Eingaben'!$C$10)</f>
        <v/>
      </c>
      <c r="H1524" t="str">
        <f>IF(F1524="","",IF(F1524&lt;'02_Eingaben'!$C$18*'02_Eingaben'!$C$10,1,0))</f>
        <v/>
      </c>
      <c r="I1524" s="17" t="str">
        <f t="shared" si="23"/>
        <v/>
      </c>
      <c r="J1524" s="17" t="str">
        <f>IF(B1524="","",IF(B1523&lt;'02_Eingaben'!$C$36,0,J1523+I1523/'02_Eingaben'!$C$8))</f>
        <v/>
      </c>
    </row>
    <row r="1525" spans="1:10" x14ac:dyDescent="0.25">
      <c r="A1525" t="str">
        <f>IF('01_Rohdaten'!A1525="","",ROW()-1)</f>
        <v/>
      </c>
      <c r="B1525" s="17" t="str">
        <f>IF('01_Rohdaten'!A1525="","",'01_Rohdaten'!A1525)</f>
        <v/>
      </c>
      <c r="C1525" s="17" t="str">
        <f>IF(B1525="","",INDEX('01_Rohdaten'!B1525:D1525,'02_Eingaben'!$C$13))</f>
        <v/>
      </c>
      <c r="D1525" s="17" t="str">
        <f>IF(C1525="","",C1525*'02_Eingaben'!$C$15)</f>
        <v/>
      </c>
      <c r="E1525" s="17" t="str">
        <f>IF(D1525="","",D1525*'02_Eingaben'!$C$8)</f>
        <v/>
      </c>
      <c r="F1525" s="17" t="str">
        <f>IF(E1525="","",AVERAGE(INDEX($E$2:$E$3001,MAX(1,ROW()-1-'02_Eingaben'!$C$17)):INDEX($E$2:$E$3001,MIN('02_Eingaben'!$C$21,ROW()-1+'02_Eingaben'!$C$17))))</f>
        <v/>
      </c>
      <c r="G1525" s="17" t="str">
        <f>IF(F1525="","",F1525-'02_Eingaben'!$C$10)</f>
        <v/>
      </c>
      <c r="H1525" t="str">
        <f>IF(F1525="","",IF(F1525&lt;'02_Eingaben'!$C$18*'02_Eingaben'!$C$10,1,0))</f>
        <v/>
      </c>
      <c r="I1525" s="17" t="str">
        <f t="shared" si="23"/>
        <v/>
      </c>
      <c r="J1525" s="17" t="str">
        <f>IF(B1525="","",IF(B1524&lt;'02_Eingaben'!$C$36,0,J1524+I1524/'02_Eingaben'!$C$8))</f>
        <v/>
      </c>
    </row>
    <row r="1526" spans="1:10" x14ac:dyDescent="0.25">
      <c r="A1526" t="str">
        <f>IF('01_Rohdaten'!A1526="","",ROW()-1)</f>
        <v/>
      </c>
      <c r="B1526" s="17" t="str">
        <f>IF('01_Rohdaten'!A1526="","",'01_Rohdaten'!A1526)</f>
        <v/>
      </c>
      <c r="C1526" s="17" t="str">
        <f>IF(B1526="","",INDEX('01_Rohdaten'!B1526:D1526,'02_Eingaben'!$C$13))</f>
        <v/>
      </c>
      <c r="D1526" s="17" t="str">
        <f>IF(C1526="","",C1526*'02_Eingaben'!$C$15)</f>
        <v/>
      </c>
      <c r="E1526" s="17" t="str">
        <f>IF(D1526="","",D1526*'02_Eingaben'!$C$8)</f>
        <v/>
      </c>
      <c r="F1526" s="17" t="str">
        <f>IF(E1526="","",AVERAGE(INDEX($E$2:$E$3001,MAX(1,ROW()-1-'02_Eingaben'!$C$17)):INDEX($E$2:$E$3001,MIN('02_Eingaben'!$C$21,ROW()-1+'02_Eingaben'!$C$17))))</f>
        <v/>
      </c>
      <c r="G1526" s="17" t="str">
        <f>IF(F1526="","",F1526-'02_Eingaben'!$C$10)</f>
        <v/>
      </c>
      <c r="H1526" t="str">
        <f>IF(F1526="","",IF(F1526&lt;'02_Eingaben'!$C$18*'02_Eingaben'!$C$10,1,0))</f>
        <v/>
      </c>
      <c r="I1526" s="17" t="str">
        <f t="shared" si="23"/>
        <v/>
      </c>
      <c r="J1526" s="17" t="str">
        <f>IF(B1526="","",IF(B1525&lt;'02_Eingaben'!$C$36,0,J1525+I1525/'02_Eingaben'!$C$8))</f>
        <v/>
      </c>
    </row>
    <row r="1527" spans="1:10" x14ac:dyDescent="0.25">
      <c r="A1527" t="str">
        <f>IF('01_Rohdaten'!A1527="","",ROW()-1)</f>
        <v/>
      </c>
      <c r="B1527" s="17" t="str">
        <f>IF('01_Rohdaten'!A1527="","",'01_Rohdaten'!A1527)</f>
        <v/>
      </c>
      <c r="C1527" s="17" t="str">
        <f>IF(B1527="","",INDEX('01_Rohdaten'!B1527:D1527,'02_Eingaben'!$C$13))</f>
        <v/>
      </c>
      <c r="D1527" s="17" t="str">
        <f>IF(C1527="","",C1527*'02_Eingaben'!$C$15)</f>
        <v/>
      </c>
      <c r="E1527" s="17" t="str">
        <f>IF(D1527="","",D1527*'02_Eingaben'!$C$8)</f>
        <v/>
      </c>
      <c r="F1527" s="17" t="str">
        <f>IF(E1527="","",AVERAGE(INDEX($E$2:$E$3001,MAX(1,ROW()-1-'02_Eingaben'!$C$17)):INDEX($E$2:$E$3001,MIN('02_Eingaben'!$C$21,ROW()-1+'02_Eingaben'!$C$17))))</f>
        <v/>
      </c>
      <c r="G1527" s="17" t="str">
        <f>IF(F1527="","",F1527-'02_Eingaben'!$C$10)</f>
        <v/>
      </c>
      <c r="H1527" t="str">
        <f>IF(F1527="","",IF(F1527&lt;'02_Eingaben'!$C$18*'02_Eingaben'!$C$10,1,0))</f>
        <v/>
      </c>
      <c r="I1527" s="17" t="str">
        <f t="shared" si="23"/>
        <v/>
      </c>
      <c r="J1527" s="17" t="str">
        <f>IF(B1527="","",IF(B1526&lt;'02_Eingaben'!$C$36,0,J1526+I1526/'02_Eingaben'!$C$8))</f>
        <v/>
      </c>
    </row>
    <row r="1528" spans="1:10" x14ac:dyDescent="0.25">
      <c r="A1528" t="str">
        <f>IF('01_Rohdaten'!A1528="","",ROW()-1)</f>
        <v/>
      </c>
      <c r="B1528" s="17" t="str">
        <f>IF('01_Rohdaten'!A1528="","",'01_Rohdaten'!A1528)</f>
        <v/>
      </c>
      <c r="C1528" s="17" t="str">
        <f>IF(B1528="","",INDEX('01_Rohdaten'!B1528:D1528,'02_Eingaben'!$C$13))</f>
        <v/>
      </c>
      <c r="D1528" s="17" t="str">
        <f>IF(C1528="","",C1528*'02_Eingaben'!$C$15)</f>
        <v/>
      </c>
      <c r="E1528" s="17" t="str">
        <f>IF(D1528="","",D1528*'02_Eingaben'!$C$8)</f>
        <v/>
      </c>
      <c r="F1528" s="17" t="str">
        <f>IF(E1528="","",AVERAGE(INDEX($E$2:$E$3001,MAX(1,ROW()-1-'02_Eingaben'!$C$17)):INDEX($E$2:$E$3001,MIN('02_Eingaben'!$C$21,ROW()-1+'02_Eingaben'!$C$17))))</f>
        <v/>
      </c>
      <c r="G1528" s="17" t="str">
        <f>IF(F1528="","",F1528-'02_Eingaben'!$C$10)</f>
        <v/>
      </c>
      <c r="H1528" t="str">
        <f>IF(F1528="","",IF(F1528&lt;'02_Eingaben'!$C$18*'02_Eingaben'!$C$10,1,0))</f>
        <v/>
      </c>
      <c r="I1528" s="17" t="str">
        <f t="shared" si="23"/>
        <v/>
      </c>
      <c r="J1528" s="17" t="str">
        <f>IF(B1528="","",IF(B1527&lt;'02_Eingaben'!$C$36,0,J1527+I1527/'02_Eingaben'!$C$8))</f>
        <v/>
      </c>
    </row>
    <row r="1529" spans="1:10" x14ac:dyDescent="0.25">
      <c r="A1529" t="str">
        <f>IF('01_Rohdaten'!A1529="","",ROW()-1)</f>
        <v/>
      </c>
      <c r="B1529" s="17" t="str">
        <f>IF('01_Rohdaten'!A1529="","",'01_Rohdaten'!A1529)</f>
        <v/>
      </c>
      <c r="C1529" s="17" t="str">
        <f>IF(B1529="","",INDEX('01_Rohdaten'!B1529:D1529,'02_Eingaben'!$C$13))</f>
        <v/>
      </c>
      <c r="D1529" s="17" t="str">
        <f>IF(C1529="","",C1529*'02_Eingaben'!$C$15)</f>
        <v/>
      </c>
      <c r="E1529" s="17" t="str">
        <f>IF(D1529="","",D1529*'02_Eingaben'!$C$8)</f>
        <v/>
      </c>
      <c r="F1529" s="17" t="str">
        <f>IF(E1529="","",AVERAGE(INDEX($E$2:$E$3001,MAX(1,ROW()-1-'02_Eingaben'!$C$17)):INDEX($E$2:$E$3001,MIN('02_Eingaben'!$C$21,ROW()-1+'02_Eingaben'!$C$17))))</f>
        <v/>
      </c>
      <c r="G1529" s="17" t="str">
        <f>IF(F1529="","",F1529-'02_Eingaben'!$C$10)</f>
        <v/>
      </c>
      <c r="H1529" t="str">
        <f>IF(F1529="","",IF(F1529&lt;'02_Eingaben'!$C$18*'02_Eingaben'!$C$10,1,0))</f>
        <v/>
      </c>
      <c r="I1529" s="17" t="str">
        <f t="shared" si="23"/>
        <v/>
      </c>
      <c r="J1529" s="17" t="str">
        <f>IF(B1529="","",IF(B1528&lt;'02_Eingaben'!$C$36,0,J1528+I1528/'02_Eingaben'!$C$8))</f>
        <v/>
      </c>
    </row>
    <row r="1530" spans="1:10" x14ac:dyDescent="0.25">
      <c r="A1530" t="str">
        <f>IF('01_Rohdaten'!A1530="","",ROW()-1)</f>
        <v/>
      </c>
      <c r="B1530" s="17" t="str">
        <f>IF('01_Rohdaten'!A1530="","",'01_Rohdaten'!A1530)</f>
        <v/>
      </c>
      <c r="C1530" s="17" t="str">
        <f>IF(B1530="","",INDEX('01_Rohdaten'!B1530:D1530,'02_Eingaben'!$C$13))</f>
        <v/>
      </c>
      <c r="D1530" s="17" t="str">
        <f>IF(C1530="","",C1530*'02_Eingaben'!$C$15)</f>
        <v/>
      </c>
      <c r="E1530" s="17" t="str">
        <f>IF(D1530="","",D1530*'02_Eingaben'!$C$8)</f>
        <v/>
      </c>
      <c r="F1530" s="17" t="str">
        <f>IF(E1530="","",AVERAGE(INDEX($E$2:$E$3001,MAX(1,ROW()-1-'02_Eingaben'!$C$17)):INDEX($E$2:$E$3001,MIN('02_Eingaben'!$C$21,ROW()-1+'02_Eingaben'!$C$17))))</f>
        <v/>
      </c>
      <c r="G1530" s="17" t="str">
        <f>IF(F1530="","",F1530-'02_Eingaben'!$C$10)</f>
        <v/>
      </c>
      <c r="H1530" t="str">
        <f>IF(F1530="","",IF(F1530&lt;'02_Eingaben'!$C$18*'02_Eingaben'!$C$10,1,0))</f>
        <v/>
      </c>
      <c r="I1530" s="17" t="str">
        <f t="shared" si="23"/>
        <v/>
      </c>
      <c r="J1530" s="17" t="str">
        <f>IF(B1530="","",IF(B1529&lt;'02_Eingaben'!$C$36,0,J1529+I1529/'02_Eingaben'!$C$8))</f>
        <v/>
      </c>
    </row>
    <row r="1531" spans="1:10" x14ac:dyDescent="0.25">
      <c r="A1531" t="str">
        <f>IF('01_Rohdaten'!A1531="","",ROW()-1)</f>
        <v/>
      </c>
      <c r="B1531" s="17" t="str">
        <f>IF('01_Rohdaten'!A1531="","",'01_Rohdaten'!A1531)</f>
        <v/>
      </c>
      <c r="C1531" s="17" t="str">
        <f>IF(B1531="","",INDEX('01_Rohdaten'!B1531:D1531,'02_Eingaben'!$C$13))</f>
        <v/>
      </c>
      <c r="D1531" s="17" t="str">
        <f>IF(C1531="","",C1531*'02_Eingaben'!$C$15)</f>
        <v/>
      </c>
      <c r="E1531" s="17" t="str">
        <f>IF(D1531="","",D1531*'02_Eingaben'!$C$8)</f>
        <v/>
      </c>
      <c r="F1531" s="17" t="str">
        <f>IF(E1531="","",AVERAGE(INDEX($E$2:$E$3001,MAX(1,ROW()-1-'02_Eingaben'!$C$17)):INDEX($E$2:$E$3001,MIN('02_Eingaben'!$C$21,ROW()-1+'02_Eingaben'!$C$17))))</f>
        <v/>
      </c>
      <c r="G1531" s="17" t="str">
        <f>IF(F1531="","",F1531-'02_Eingaben'!$C$10)</f>
        <v/>
      </c>
      <c r="H1531" t="str">
        <f>IF(F1531="","",IF(F1531&lt;'02_Eingaben'!$C$18*'02_Eingaben'!$C$10,1,0))</f>
        <v/>
      </c>
      <c r="I1531" s="17" t="str">
        <f t="shared" si="23"/>
        <v/>
      </c>
      <c r="J1531" s="17" t="str">
        <f>IF(B1531="","",IF(B1530&lt;'02_Eingaben'!$C$36,0,J1530+I1530/'02_Eingaben'!$C$8))</f>
        <v/>
      </c>
    </row>
    <row r="1532" spans="1:10" x14ac:dyDescent="0.25">
      <c r="A1532" t="str">
        <f>IF('01_Rohdaten'!A1532="","",ROW()-1)</f>
        <v/>
      </c>
      <c r="B1532" s="17" t="str">
        <f>IF('01_Rohdaten'!A1532="","",'01_Rohdaten'!A1532)</f>
        <v/>
      </c>
      <c r="C1532" s="17" t="str">
        <f>IF(B1532="","",INDEX('01_Rohdaten'!B1532:D1532,'02_Eingaben'!$C$13))</f>
        <v/>
      </c>
      <c r="D1532" s="17" t="str">
        <f>IF(C1532="","",C1532*'02_Eingaben'!$C$15)</f>
        <v/>
      </c>
      <c r="E1532" s="17" t="str">
        <f>IF(D1532="","",D1532*'02_Eingaben'!$C$8)</f>
        <v/>
      </c>
      <c r="F1532" s="17" t="str">
        <f>IF(E1532="","",AVERAGE(INDEX($E$2:$E$3001,MAX(1,ROW()-1-'02_Eingaben'!$C$17)):INDEX($E$2:$E$3001,MIN('02_Eingaben'!$C$21,ROW()-1+'02_Eingaben'!$C$17))))</f>
        <v/>
      </c>
      <c r="G1532" s="17" t="str">
        <f>IF(F1532="","",F1532-'02_Eingaben'!$C$10)</f>
        <v/>
      </c>
      <c r="H1532" t="str">
        <f>IF(F1532="","",IF(F1532&lt;'02_Eingaben'!$C$18*'02_Eingaben'!$C$10,1,0))</f>
        <v/>
      </c>
      <c r="I1532" s="17" t="str">
        <f t="shared" si="23"/>
        <v/>
      </c>
      <c r="J1532" s="17" t="str">
        <f>IF(B1532="","",IF(B1531&lt;'02_Eingaben'!$C$36,0,J1531+I1531/'02_Eingaben'!$C$8))</f>
        <v/>
      </c>
    </row>
    <row r="1533" spans="1:10" x14ac:dyDescent="0.25">
      <c r="A1533" t="str">
        <f>IF('01_Rohdaten'!A1533="","",ROW()-1)</f>
        <v/>
      </c>
      <c r="B1533" s="17" t="str">
        <f>IF('01_Rohdaten'!A1533="","",'01_Rohdaten'!A1533)</f>
        <v/>
      </c>
      <c r="C1533" s="17" t="str">
        <f>IF(B1533="","",INDEX('01_Rohdaten'!B1533:D1533,'02_Eingaben'!$C$13))</f>
        <v/>
      </c>
      <c r="D1533" s="17" t="str">
        <f>IF(C1533="","",C1533*'02_Eingaben'!$C$15)</f>
        <v/>
      </c>
      <c r="E1533" s="17" t="str">
        <f>IF(D1533="","",D1533*'02_Eingaben'!$C$8)</f>
        <v/>
      </c>
      <c r="F1533" s="17" t="str">
        <f>IF(E1533="","",AVERAGE(INDEX($E$2:$E$3001,MAX(1,ROW()-1-'02_Eingaben'!$C$17)):INDEX($E$2:$E$3001,MIN('02_Eingaben'!$C$21,ROW()-1+'02_Eingaben'!$C$17))))</f>
        <v/>
      </c>
      <c r="G1533" s="17" t="str">
        <f>IF(F1533="","",F1533-'02_Eingaben'!$C$10)</f>
        <v/>
      </c>
      <c r="H1533" t="str">
        <f>IF(F1533="","",IF(F1533&lt;'02_Eingaben'!$C$18*'02_Eingaben'!$C$10,1,0))</f>
        <v/>
      </c>
      <c r="I1533" s="17" t="str">
        <f t="shared" si="23"/>
        <v/>
      </c>
      <c r="J1533" s="17" t="str">
        <f>IF(B1533="","",IF(B1532&lt;'02_Eingaben'!$C$36,0,J1532+I1532/'02_Eingaben'!$C$8))</f>
        <v/>
      </c>
    </row>
    <row r="1534" spans="1:10" x14ac:dyDescent="0.25">
      <c r="A1534" t="str">
        <f>IF('01_Rohdaten'!A1534="","",ROW()-1)</f>
        <v/>
      </c>
      <c r="B1534" s="17" t="str">
        <f>IF('01_Rohdaten'!A1534="","",'01_Rohdaten'!A1534)</f>
        <v/>
      </c>
      <c r="C1534" s="17" t="str">
        <f>IF(B1534="","",INDEX('01_Rohdaten'!B1534:D1534,'02_Eingaben'!$C$13))</f>
        <v/>
      </c>
      <c r="D1534" s="17" t="str">
        <f>IF(C1534="","",C1534*'02_Eingaben'!$C$15)</f>
        <v/>
      </c>
      <c r="E1534" s="17" t="str">
        <f>IF(D1534="","",D1534*'02_Eingaben'!$C$8)</f>
        <v/>
      </c>
      <c r="F1534" s="17" t="str">
        <f>IF(E1534="","",AVERAGE(INDEX($E$2:$E$3001,MAX(1,ROW()-1-'02_Eingaben'!$C$17)):INDEX($E$2:$E$3001,MIN('02_Eingaben'!$C$21,ROW()-1+'02_Eingaben'!$C$17))))</f>
        <v/>
      </c>
      <c r="G1534" s="17" t="str">
        <f>IF(F1534="","",F1534-'02_Eingaben'!$C$10)</f>
        <v/>
      </c>
      <c r="H1534" t="str">
        <f>IF(F1534="","",IF(F1534&lt;'02_Eingaben'!$C$18*'02_Eingaben'!$C$10,1,0))</f>
        <v/>
      </c>
      <c r="I1534" s="17" t="str">
        <f t="shared" si="23"/>
        <v/>
      </c>
      <c r="J1534" s="17" t="str">
        <f>IF(B1534="","",IF(B1533&lt;'02_Eingaben'!$C$36,0,J1533+I1533/'02_Eingaben'!$C$8))</f>
        <v/>
      </c>
    </row>
    <row r="1535" spans="1:10" x14ac:dyDescent="0.25">
      <c r="A1535" t="str">
        <f>IF('01_Rohdaten'!A1535="","",ROW()-1)</f>
        <v/>
      </c>
      <c r="B1535" s="17" t="str">
        <f>IF('01_Rohdaten'!A1535="","",'01_Rohdaten'!A1535)</f>
        <v/>
      </c>
      <c r="C1535" s="17" t="str">
        <f>IF(B1535="","",INDEX('01_Rohdaten'!B1535:D1535,'02_Eingaben'!$C$13))</f>
        <v/>
      </c>
      <c r="D1535" s="17" t="str">
        <f>IF(C1535="","",C1535*'02_Eingaben'!$C$15)</f>
        <v/>
      </c>
      <c r="E1535" s="17" t="str">
        <f>IF(D1535="","",D1535*'02_Eingaben'!$C$8)</f>
        <v/>
      </c>
      <c r="F1535" s="17" t="str">
        <f>IF(E1535="","",AVERAGE(INDEX($E$2:$E$3001,MAX(1,ROW()-1-'02_Eingaben'!$C$17)):INDEX($E$2:$E$3001,MIN('02_Eingaben'!$C$21,ROW()-1+'02_Eingaben'!$C$17))))</f>
        <v/>
      </c>
      <c r="G1535" s="17" t="str">
        <f>IF(F1535="","",F1535-'02_Eingaben'!$C$10)</f>
        <v/>
      </c>
      <c r="H1535" t="str">
        <f>IF(F1535="","",IF(F1535&lt;'02_Eingaben'!$C$18*'02_Eingaben'!$C$10,1,0))</f>
        <v/>
      </c>
      <c r="I1535" s="17" t="str">
        <f t="shared" si="23"/>
        <v/>
      </c>
      <c r="J1535" s="17" t="str">
        <f>IF(B1535="","",IF(B1534&lt;'02_Eingaben'!$C$36,0,J1534+I1534/'02_Eingaben'!$C$8))</f>
        <v/>
      </c>
    </row>
    <row r="1536" spans="1:10" x14ac:dyDescent="0.25">
      <c r="A1536" t="str">
        <f>IF('01_Rohdaten'!A1536="","",ROW()-1)</f>
        <v/>
      </c>
      <c r="B1536" s="17" t="str">
        <f>IF('01_Rohdaten'!A1536="","",'01_Rohdaten'!A1536)</f>
        <v/>
      </c>
      <c r="C1536" s="17" t="str">
        <f>IF(B1536="","",INDEX('01_Rohdaten'!B1536:D1536,'02_Eingaben'!$C$13))</f>
        <v/>
      </c>
      <c r="D1536" s="17" t="str">
        <f>IF(C1536="","",C1536*'02_Eingaben'!$C$15)</f>
        <v/>
      </c>
      <c r="E1536" s="17" t="str">
        <f>IF(D1536="","",D1536*'02_Eingaben'!$C$8)</f>
        <v/>
      </c>
      <c r="F1536" s="17" t="str">
        <f>IF(E1536="","",AVERAGE(INDEX($E$2:$E$3001,MAX(1,ROW()-1-'02_Eingaben'!$C$17)):INDEX($E$2:$E$3001,MIN('02_Eingaben'!$C$21,ROW()-1+'02_Eingaben'!$C$17))))</f>
        <v/>
      </c>
      <c r="G1536" s="17" t="str">
        <f>IF(F1536="","",F1536-'02_Eingaben'!$C$10)</f>
        <v/>
      </c>
      <c r="H1536" t="str">
        <f>IF(F1536="","",IF(F1536&lt;'02_Eingaben'!$C$18*'02_Eingaben'!$C$10,1,0))</f>
        <v/>
      </c>
      <c r="I1536" s="17" t="str">
        <f t="shared" si="23"/>
        <v/>
      </c>
      <c r="J1536" s="17" t="str">
        <f>IF(B1536="","",IF(B1535&lt;'02_Eingaben'!$C$36,0,J1535+I1535/'02_Eingaben'!$C$8))</f>
        <v/>
      </c>
    </row>
    <row r="1537" spans="1:10" x14ac:dyDescent="0.25">
      <c r="A1537" t="str">
        <f>IF('01_Rohdaten'!A1537="","",ROW()-1)</f>
        <v/>
      </c>
      <c r="B1537" s="17" t="str">
        <f>IF('01_Rohdaten'!A1537="","",'01_Rohdaten'!A1537)</f>
        <v/>
      </c>
      <c r="C1537" s="17" t="str">
        <f>IF(B1537="","",INDEX('01_Rohdaten'!B1537:D1537,'02_Eingaben'!$C$13))</f>
        <v/>
      </c>
      <c r="D1537" s="17" t="str">
        <f>IF(C1537="","",C1537*'02_Eingaben'!$C$15)</f>
        <v/>
      </c>
      <c r="E1537" s="17" t="str">
        <f>IF(D1537="","",D1537*'02_Eingaben'!$C$8)</f>
        <v/>
      </c>
      <c r="F1537" s="17" t="str">
        <f>IF(E1537="","",AVERAGE(INDEX($E$2:$E$3001,MAX(1,ROW()-1-'02_Eingaben'!$C$17)):INDEX($E$2:$E$3001,MIN('02_Eingaben'!$C$21,ROW()-1+'02_Eingaben'!$C$17))))</f>
        <v/>
      </c>
      <c r="G1537" s="17" t="str">
        <f>IF(F1537="","",F1537-'02_Eingaben'!$C$10)</f>
        <v/>
      </c>
      <c r="H1537" t="str">
        <f>IF(F1537="","",IF(F1537&lt;'02_Eingaben'!$C$18*'02_Eingaben'!$C$10,1,0))</f>
        <v/>
      </c>
      <c r="I1537" s="17" t="str">
        <f t="shared" si="23"/>
        <v/>
      </c>
      <c r="J1537" s="17" t="str">
        <f>IF(B1537="","",IF(B1536&lt;'02_Eingaben'!$C$36,0,J1536+I1536/'02_Eingaben'!$C$8))</f>
        <v/>
      </c>
    </row>
    <row r="1538" spans="1:10" x14ac:dyDescent="0.25">
      <c r="A1538" t="str">
        <f>IF('01_Rohdaten'!A1538="","",ROW()-1)</f>
        <v/>
      </c>
      <c r="B1538" s="17" t="str">
        <f>IF('01_Rohdaten'!A1538="","",'01_Rohdaten'!A1538)</f>
        <v/>
      </c>
      <c r="C1538" s="17" t="str">
        <f>IF(B1538="","",INDEX('01_Rohdaten'!B1538:D1538,'02_Eingaben'!$C$13))</f>
        <v/>
      </c>
      <c r="D1538" s="17" t="str">
        <f>IF(C1538="","",C1538*'02_Eingaben'!$C$15)</f>
        <v/>
      </c>
      <c r="E1538" s="17" t="str">
        <f>IF(D1538="","",D1538*'02_Eingaben'!$C$8)</f>
        <v/>
      </c>
      <c r="F1538" s="17" t="str">
        <f>IF(E1538="","",AVERAGE(INDEX($E$2:$E$3001,MAX(1,ROW()-1-'02_Eingaben'!$C$17)):INDEX($E$2:$E$3001,MIN('02_Eingaben'!$C$21,ROW()-1+'02_Eingaben'!$C$17))))</f>
        <v/>
      </c>
      <c r="G1538" s="17" t="str">
        <f>IF(F1538="","",F1538-'02_Eingaben'!$C$10)</f>
        <v/>
      </c>
      <c r="H1538" t="str">
        <f>IF(F1538="","",IF(F1538&lt;'02_Eingaben'!$C$18*'02_Eingaben'!$C$10,1,0))</f>
        <v/>
      </c>
      <c r="I1538" s="17" t="str">
        <f t="shared" ref="I1538:I1601" si="24">IF(OR(G1538="",G1539=""),"",(G1538+G1539)/2*(B1539-B1538))</f>
        <v/>
      </c>
      <c r="J1538" s="17" t="str">
        <f>IF(B1538="","",IF(B1537&lt;'02_Eingaben'!$C$36,0,J1537+I1537/'02_Eingaben'!$C$8))</f>
        <v/>
      </c>
    </row>
    <row r="1539" spans="1:10" x14ac:dyDescent="0.25">
      <c r="A1539" t="str">
        <f>IF('01_Rohdaten'!A1539="","",ROW()-1)</f>
        <v/>
      </c>
      <c r="B1539" s="17" t="str">
        <f>IF('01_Rohdaten'!A1539="","",'01_Rohdaten'!A1539)</f>
        <v/>
      </c>
      <c r="C1539" s="17" t="str">
        <f>IF(B1539="","",INDEX('01_Rohdaten'!B1539:D1539,'02_Eingaben'!$C$13))</f>
        <v/>
      </c>
      <c r="D1539" s="17" t="str">
        <f>IF(C1539="","",C1539*'02_Eingaben'!$C$15)</f>
        <v/>
      </c>
      <c r="E1539" s="17" t="str">
        <f>IF(D1539="","",D1539*'02_Eingaben'!$C$8)</f>
        <v/>
      </c>
      <c r="F1539" s="17" t="str">
        <f>IF(E1539="","",AVERAGE(INDEX($E$2:$E$3001,MAX(1,ROW()-1-'02_Eingaben'!$C$17)):INDEX($E$2:$E$3001,MIN('02_Eingaben'!$C$21,ROW()-1+'02_Eingaben'!$C$17))))</f>
        <v/>
      </c>
      <c r="G1539" s="17" t="str">
        <f>IF(F1539="","",F1539-'02_Eingaben'!$C$10)</f>
        <v/>
      </c>
      <c r="H1539" t="str">
        <f>IF(F1539="","",IF(F1539&lt;'02_Eingaben'!$C$18*'02_Eingaben'!$C$10,1,0))</f>
        <v/>
      </c>
      <c r="I1539" s="17" t="str">
        <f t="shared" si="24"/>
        <v/>
      </c>
      <c r="J1539" s="17" t="str">
        <f>IF(B1539="","",IF(B1538&lt;'02_Eingaben'!$C$36,0,J1538+I1538/'02_Eingaben'!$C$8))</f>
        <v/>
      </c>
    </row>
    <row r="1540" spans="1:10" x14ac:dyDescent="0.25">
      <c r="A1540" t="str">
        <f>IF('01_Rohdaten'!A1540="","",ROW()-1)</f>
        <v/>
      </c>
      <c r="B1540" s="17" t="str">
        <f>IF('01_Rohdaten'!A1540="","",'01_Rohdaten'!A1540)</f>
        <v/>
      </c>
      <c r="C1540" s="17" t="str">
        <f>IF(B1540="","",INDEX('01_Rohdaten'!B1540:D1540,'02_Eingaben'!$C$13))</f>
        <v/>
      </c>
      <c r="D1540" s="17" t="str">
        <f>IF(C1540="","",C1540*'02_Eingaben'!$C$15)</f>
        <v/>
      </c>
      <c r="E1540" s="17" t="str">
        <f>IF(D1540="","",D1540*'02_Eingaben'!$C$8)</f>
        <v/>
      </c>
      <c r="F1540" s="17" t="str">
        <f>IF(E1540="","",AVERAGE(INDEX($E$2:$E$3001,MAX(1,ROW()-1-'02_Eingaben'!$C$17)):INDEX($E$2:$E$3001,MIN('02_Eingaben'!$C$21,ROW()-1+'02_Eingaben'!$C$17))))</f>
        <v/>
      </c>
      <c r="G1540" s="17" t="str">
        <f>IF(F1540="","",F1540-'02_Eingaben'!$C$10)</f>
        <v/>
      </c>
      <c r="H1540" t="str">
        <f>IF(F1540="","",IF(F1540&lt;'02_Eingaben'!$C$18*'02_Eingaben'!$C$10,1,0))</f>
        <v/>
      </c>
      <c r="I1540" s="17" t="str">
        <f t="shared" si="24"/>
        <v/>
      </c>
      <c r="J1540" s="17" t="str">
        <f>IF(B1540="","",IF(B1539&lt;'02_Eingaben'!$C$36,0,J1539+I1539/'02_Eingaben'!$C$8))</f>
        <v/>
      </c>
    </row>
    <row r="1541" spans="1:10" x14ac:dyDescent="0.25">
      <c r="A1541" t="str">
        <f>IF('01_Rohdaten'!A1541="","",ROW()-1)</f>
        <v/>
      </c>
      <c r="B1541" s="17" t="str">
        <f>IF('01_Rohdaten'!A1541="","",'01_Rohdaten'!A1541)</f>
        <v/>
      </c>
      <c r="C1541" s="17" t="str">
        <f>IF(B1541="","",INDEX('01_Rohdaten'!B1541:D1541,'02_Eingaben'!$C$13))</f>
        <v/>
      </c>
      <c r="D1541" s="17" t="str">
        <f>IF(C1541="","",C1541*'02_Eingaben'!$C$15)</f>
        <v/>
      </c>
      <c r="E1541" s="17" t="str">
        <f>IF(D1541="","",D1541*'02_Eingaben'!$C$8)</f>
        <v/>
      </c>
      <c r="F1541" s="17" t="str">
        <f>IF(E1541="","",AVERAGE(INDEX($E$2:$E$3001,MAX(1,ROW()-1-'02_Eingaben'!$C$17)):INDEX($E$2:$E$3001,MIN('02_Eingaben'!$C$21,ROW()-1+'02_Eingaben'!$C$17))))</f>
        <v/>
      </c>
      <c r="G1541" s="17" t="str">
        <f>IF(F1541="","",F1541-'02_Eingaben'!$C$10)</f>
        <v/>
      </c>
      <c r="H1541" t="str">
        <f>IF(F1541="","",IF(F1541&lt;'02_Eingaben'!$C$18*'02_Eingaben'!$C$10,1,0))</f>
        <v/>
      </c>
      <c r="I1541" s="17" t="str">
        <f t="shared" si="24"/>
        <v/>
      </c>
      <c r="J1541" s="17" t="str">
        <f>IF(B1541="","",IF(B1540&lt;'02_Eingaben'!$C$36,0,J1540+I1540/'02_Eingaben'!$C$8))</f>
        <v/>
      </c>
    </row>
    <row r="1542" spans="1:10" x14ac:dyDescent="0.25">
      <c r="A1542" t="str">
        <f>IF('01_Rohdaten'!A1542="","",ROW()-1)</f>
        <v/>
      </c>
      <c r="B1542" s="17" t="str">
        <f>IF('01_Rohdaten'!A1542="","",'01_Rohdaten'!A1542)</f>
        <v/>
      </c>
      <c r="C1542" s="17" t="str">
        <f>IF(B1542="","",INDEX('01_Rohdaten'!B1542:D1542,'02_Eingaben'!$C$13))</f>
        <v/>
      </c>
      <c r="D1542" s="17" t="str">
        <f>IF(C1542="","",C1542*'02_Eingaben'!$C$15)</f>
        <v/>
      </c>
      <c r="E1542" s="17" t="str">
        <f>IF(D1542="","",D1542*'02_Eingaben'!$C$8)</f>
        <v/>
      </c>
      <c r="F1542" s="17" t="str">
        <f>IF(E1542="","",AVERAGE(INDEX($E$2:$E$3001,MAX(1,ROW()-1-'02_Eingaben'!$C$17)):INDEX($E$2:$E$3001,MIN('02_Eingaben'!$C$21,ROW()-1+'02_Eingaben'!$C$17))))</f>
        <v/>
      </c>
      <c r="G1542" s="17" t="str">
        <f>IF(F1542="","",F1542-'02_Eingaben'!$C$10)</f>
        <v/>
      </c>
      <c r="H1542" t="str">
        <f>IF(F1542="","",IF(F1542&lt;'02_Eingaben'!$C$18*'02_Eingaben'!$C$10,1,0))</f>
        <v/>
      </c>
      <c r="I1542" s="17" t="str">
        <f t="shared" si="24"/>
        <v/>
      </c>
      <c r="J1542" s="17" t="str">
        <f>IF(B1542="","",IF(B1541&lt;'02_Eingaben'!$C$36,0,J1541+I1541/'02_Eingaben'!$C$8))</f>
        <v/>
      </c>
    </row>
    <row r="1543" spans="1:10" x14ac:dyDescent="0.25">
      <c r="A1543" t="str">
        <f>IF('01_Rohdaten'!A1543="","",ROW()-1)</f>
        <v/>
      </c>
      <c r="B1543" s="17" t="str">
        <f>IF('01_Rohdaten'!A1543="","",'01_Rohdaten'!A1543)</f>
        <v/>
      </c>
      <c r="C1543" s="17" t="str">
        <f>IF(B1543="","",INDEX('01_Rohdaten'!B1543:D1543,'02_Eingaben'!$C$13))</f>
        <v/>
      </c>
      <c r="D1543" s="17" t="str">
        <f>IF(C1543="","",C1543*'02_Eingaben'!$C$15)</f>
        <v/>
      </c>
      <c r="E1543" s="17" t="str">
        <f>IF(D1543="","",D1543*'02_Eingaben'!$C$8)</f>
        <v/>
      </c>
      <c r="F1543" s="17" t="str">
        <f>IF(E1543="","",AVERAGE(INDEX($E$2:$E$3001,MAX(1,ROW()-1-'02_Eingaben'!$C$17)):INDEX($E$2:$E$3001,MIN('02_Eingaben'!$C$21,ROW()-1+'02_Eingaben'!$C$17))))</f>
        <v/>
      </c>
      <c r="G1543" s="17" t="str">
        <f>IF(F1543="","",F1543-'02_Eingaben'!$C$10)</f>
        <v/>
      </c>
      <c r="H1543" t="str">
        <f>IF(F1543="","",IF(F1543&lt;'02_Eingaben'!$C$18*'02_Eingaben'!$C$10,1,0))</f>
        <v/>
      </c>
      <c r="I1543" s="17" t="str">
        <f t="shared" si="24"/>
        <v/>
      </c>
      <c r="J1543" s="17" t="str">
        <f>IF(B1543="","",IF(B1542&lt;'02_Eingaben'!$C$36,0,J1542+I1542/'02_Eingaben'!$C$8))</f>
        <v/>
      </c>
    </row>
    <row r="1544" spans="1:10" x14ac:dyDescent="0.25">
      <c r="A1544" t="str">
        <f>IF('01_Rohdaten'!A1544="","",ROW()-1)</f>
        <v/>
      </c>
      <c r="B1544" s="17" t="str">
        <f>IF('01_Rohdaten'!A1544="","",'01_Rohdaten'!A1544)</f>
        <v/>
      </c>
      <c r="C1544" s="17" t="str">
        <f>IF(B1544="","",INDEX('01_Rohdaten'!B1544:D1544,'02_Eingaben'!$C$13))</f>
        <v/>
      </c>
      <c r="D1544" s="17" t="str">
        <f>IF(C1544="","",C1544*'02_Eingaben'!$C$15)</f>
        <v/>
      </c>
      <c r="E1544" s="17" t="str">
        <f>IF(D1544="","",D1544*'02_Eingaben'!$C$8)</f>
        <v/>
      </c>
      <c r="F1544" s="17" t="str">
        <f>IF(E1544="","",AVERAGE(INDEX($E$2:$E$3001,MAX(1,ROW()-1-'02_Eingaben'!$C$17)):INDEX($E$2:$E$3001,MIN('02_Eingaben'!$C$21,ROW()-1+'02_Eingaben'!$C$17))))</f>
        <v/>
      </c>
      <c r="G1544" s="17" t="str">
        <f>IF(F1544="","",F1544-'02_Eingaben'!$C$10)</f>
        <v/>
      </c>
      <c r="H1544" t="str">
        <f>IF(F1544="","",IF(F1544&lt;'02_Eingaben'!$C$18*'02_Eingaben'!$C$10,1,0))</f>
        <v/>
      </c>
      <c r="I1544" s="17" t="str">
        <f t="shared" si="24"/>
        <v/>
      </c>
      <c r="J1544" s="17" t="str">
        <f>IF(B1544="","",IF(B1543&lt;'02_Eingaben'!$C$36,0,J1543+I1543/'02_Eingaben'!$C$8))</f>
        <v/>
      </c>
    </row>
    <row r="1545" spans="1:10" x14ac:dyDescent="0.25">
      <c r="A1545" t="str">
        <f>IF('01_Rohdaten'!A1545="","",ROW()-1)</f>
        <v/>
      </c>
      <c r="B1545" s="17" t="str">
        <f>IF('01_Rohdaten'!A1545="","",'01_Rohdaten'!A1545)</f>
        <v/>
      </c>
      <c r="C1545" s="17" t="str">
        <f>IF(B1545="","",INDEX('01_Rohdaten'!B1545:D1545,'02_Eingaben'!$C$13))</f>
        <v/>
      </c>
      <c r="D1545" s="17" t="str">
        <f>IF(C1545="","",C1545*'02_Eingaben'!$C$15)</f>
        <v/>
      </c>
      <c r="E1545" s="17" t="str">
        <f>IF(D1545="","",D1545*'02_Eingaben'!$C$8)</f>
        <v/>
      </c>
      <c r="F1545" s="17" t="str">
        <f>IF(E1545="","",AVERAGE(INDEX($E$2:$E$3001,MAX(1,ROW()-1-'02_Eingaben'!$C$17)):INDEX($E$2:$E$3001,MIN('02_Eingaben'!$C$21,ROW()-1+'02_Eingaben'!$C$17))))</f>
        <v/>
      </c>
      <c r="G1545" s="17" t="str">
        <f>IF(F1545="","",F1545-'02_Eingaben'!$C$10)</f>
        <v/>
      </c>
      <c r="H1545" t="str">
        <f>IF(F1545="","",IF(F1545&lt;'02_Eingaben'!$C$18*'02_Eingaben'!$C$10,1,0))</f>
        <v/>
      </c>
      <c r="I1545" s="17" t="str">
        <f t="shared" si="24"/>
        <v/>
      </c>
      <c r="J1545" s="17" t="str">
        <f>IF(B1545="","",IF(B1544&lt;'02_Eingaben'!$C$36,0,J1544+I1544/'02_Eingaben'!$C$8))</f>
        <v/>
      </c>
    </row>
    <row r="1546" spans="1:10" x14ac:dyDescent="0.25">
      <c r="A1546" t="str">
        <f>IF('01_Rohdaten'!A1546="","",ROW()-1)</f>
        <v/>
      </c>
      <c r="B1546" s="17" t="str">
        <f>IF('01_Rohdaten'!A1546="","",'01_Rohdaten'!A1546)</f>
        <v/>
      </c>
      <c r="C1546" s="17" t="str">
        <f>IF(B1546="","",INDEX('01_Rohdaten'!B1546:D1546,'02_Eingaben'!$C$13))</f>
        <v/>
      </c>
      <c r="D1546" s="17" t="str">
        <f>IF(C1546="","",C1546*'02_Eingaben'!$C$15)</f>
        <v/>
      </c>
      <c r="E1546" s="17" t="str">
        <f>IF(D1546="","",D1546*'02_Eingaben'!$C$8)</f>
        <v/>
      </c>
      <c r="F1546" s="17" t="str">
        <f>IF(E1546="","",AVERAGE(INDEX($E$2:$E$3001,MAX(1,ROW()-1-'02_Eingaben'!$C$17)):INDEX($E$2:$E$3001,MIN('02_Eingaben'!$C$21,ROW()-1+'02_Eingaben'!$C$17))))</f>
        <v/>
      </c>
      <c r="G1546" s="17" t="str">
        <f>IF(F1546="","",F1546-'02_Eingaben'!$C$10)</f>
        <v/>
      </c>
      <c r="H1546" t="str">
        <f>IF(F1546="","",IF(F1546&lt;'02_Eingaben'!$C$18*'02_Eingaben'!$C$10,1,0))</f>
        <v/>
      </c>
      <c r="I1546" s="17" t="str">
        <f t="shared" si="24"/>
        <v/>
      </c>
      <c r="J1546" s="17" t="str">
        <f>IF(B1546="","",IF(B1545&lt;'02_Eingaben'!$C$36,0,J1545+I1545/'02_Eingaben'!$C$8))</f>
        <v/>
      </c>
    </row>
    <row r="1547" spans="1:10" x14ac:dyDescent="0.25">
      <c r="A1547" t="str">
        <f>IF('01_Rohdaten'!A1547="","",ROW()-1)</f>
        <v/>
      </c>
      <c r="B1547" s="17" t="str">
        <f>IF('01_Rohdaten'!A1547="","",'01_Rohdaten'!A1547)</f>
        <v/>
      </c>
      <c r="C1547" s="17" t="str">
        <f>IF(B1547="","",INDEX('01_Rohdaten'!B1547:D1547,'02_Eingaben'!$C$13))</f>
        <v/>
      </c>
      <c r="D1547" s="17" t="str">
        <f>IF(C1547="","",C1547*'02_Eingaben'!$C$15)</f>
        <v/>
      </c>
      <c r="E1547" s="17" t="str">
        <f>IF(D1547="","",D1547*'02_Eingaben'!$C$8)</f>
        <v/>
      </c>
      <c r="F1547" s="17" t="str">
        <f>IF(E1547="","",AVERAGE(INDEX($E$2:$E$3001,MAX(1,ROW()-1-'02_Eingaben'!$C$17)):INDEX($E$2:$E$3001,MIN('02_Eingaben'!$C$21,ROW()-1+'02_Eingaben'!$C$17))))</f>
        <v/>
      </c>
      <c r="G1547" s="17" t="str">
        <f>IF(F1547="","",F1547-'02_Eingaben'!$C$10)</f>
        <v/>
      </c>
      <c r="H1547" t="str">
        <f>IF(F1547="","",IF(F1547&lt;'02_Eingaben'!$C$18*'02_Eingaben'!$C$10,1,0))</f>
        <v/>
      </c>
      <c r="I1547" s="17" t="str">
        <f t="shared" si="24"/>
        <v/>
      </c>
      <c r="J1547" s="17" t="str">
        <f>IF(B1547="","",IF(B1546&lt;'02_Eingaben'!$C$36,0,J1546+I1546/'02_Eingaben'!$C$8))</f>
        <v/>
      </c>
    </row>
    <row r="1548" spans="1:10" x14ac:dyDescent="0.25">
      <c r="A1548" t="str">
        <f>IF('01_Rohdaten'!A1548="","",ROW()-1)</f>
        <v/>
      </c>
      <c r="B1548" s="17" t="str">
        <f>IF('01_Rohdaten'!A1548="","",'01_Rohdaten'!A1548)</f>
        <v/>
      </c>
      <c r="C1548" s="17" t="str">
        <f>IF(B1548="","",INDEX('01_Rohdaten'!B1548:D1548,'02_Eingaben'!$C$13))</f>
        <v/>
      </c>
      <c r="D1548" s="17" t="str">
        <f>IF(C1548="","",C1548*'02_Eingaben'!$C$15)</f>
        <v/>
      </c>
      <c r="E1548" s="17" t="str">
        <f>IF(D1548="","",D1548*'02_Eingaben'!$C$8)</f>
        <v/>
      </c>
      <c r="F1548" s="17" t="str">
        <f>IF(E1548="","",AVERAGE(INDEX($E$2:$E$3001,MAX(1,ROW()-1-'02_Eingaben'!$C$17)):INDEX($E$2:$E$3001,MIN('02_Eingaben'!$C$21,ROW()-1+'02_Eingaben'!$C$17))))</f>
        <v/>
      </c>
      <c r="G1548" s="17" t="str">
        <f>IF(F1548="","",F1548-'02_Eingaben'!$C$10)</f>
        <v/>
      </c>
      <c r="H1548" t="str">
        <f>IF(F1548="","",IF(F1548&lt;'02_Eingaben'!$C$18*'02_Eingaben'!$C$10,1,0))</f>
        <v/>
      </c>
      <c r="I1548" s="17" t="str">
        <f t="shared" si="24"/>
        <v/>
      </c>
      <c r="J1548" s="17" t="str">
        <f>IF(B1548="","",IF(B1547&lt;'02_Eingaben'!$C$36,0,J1547+I1547/'02_Eingaben'!$C$8))</f>
        <v/>
      </c>
    </row>
    <row r="1549" spans="1:10" x14ac:dyDescent="0.25">
      <c r="A1549" t="str">
        <f>IF('01_Rohdaten'!A1549="","",ROW()-1)</f>
        <v/>
      </c>
      <c r="B1549" s="17" t="str">
        <f>IF('01_Rohdaten'!A1549="","",'01_Rohdaten'!A1549)</f>
        <v/>
      </c>
      <c r="C1549" s="17" t="str">
        <f>IF(B1549="","",INDEX('01_Rohdaten'!B1549:D1549,'02_Eingaben'!$C$13))</f>
        <v/>
      </c>
      <c r="D1549" s="17" t="str">
        <f>IF(C1549="","",C1549*'02_Eingaben'!$C$15)</f>
        <v/>
      </c>
      <c r="E1549" s="17" t="str">
        <f>IF(D1549="","",D1549*'02_Eingaben'!$C$8)</f>
        <v/>
      </c>
      <c r="F1549" s="17" t="str">
        <f>IF(E1549="","",AVERAGE(INDEX($E$2:$E$3001,MAX(1,ROW()-1-'02_Eingaben'!$C$17)):INDEX($E$2:$E$3001,MIN('02_Eingaben'!$C$21,ROW()-1+'02_Eingaben'!$C$17))))</f>
        <v/>
      </c>
      <c r="G1549" s="17" t="str">
        <f>IF(F1549="","",F1549-'02_Eingaben'!$C$10)</f>
        <v/>
      </c>
      <c r="H1549" t="str">
        <f>IF(F1549="","",IF(F1549&lt;'02_Eingaben'!$C$18*'02_Eingaben'!$C$10,1,0))</f>
        <v/>
      </c>
      <c r="I1549" s="17" t="str">
        <f t="shared" si="24"/>
        <v/>
      </c>
      <c r="J1549" s="17" t="str">
        <f>IF(B1549="","",IF(B1548&lt;'02_Eingaben'!$C$36,0,J1548+I1548/'02_Eingaben'!$C$8))</f>
        <v/>
      </c>
    </row>
    <row r="1550" spans="1:10" x14ac:dyDescent="0.25">
      <c r="A1550" t="str">
        <f>IF('01_Rohdaten'!A1550="","",ROW()-1)</f>
        <v/>
      </c>
      <c r="B1550" s="17" t="str">
        <f>IF('01_Rohdaten'!A1550="","",'01_Rohdaten'!A1550)</f>
        <v/>
      </c>
      <c r="C1550" s="17" t="str">
        <f>IF(B1550="","",INDEX('01_Rohdaten'!B1550:D1550,'02_Eingaben'!$C$13))</f>
        <v/>
      </c>
      <c r="D1550" s="17" t="str">
        <f>IF(C1550="","",C1550*'02_Eingaben'!$C$15)</f>
        <v/>
      </c>
      <c r="E1550" s="17" t="str">
        <f>IF(D1550="","",D1550*'02_Eingaben'!$C$8)</f>
        <v/>
      </c>
      <c r="F1550" s="17" t="str">
        <f>IF(E1550="","",AVERAGE(INDEX($E$2:$E$3001,MAX(1,ROW()-1-'02_Eingaben'!$C$17)):INDEX($E$2:$E$3001,MIN('02_Eingaben'!$C$21,ROW()-1+'02_Eingaben'!$C$17))))</f>
        <v/>
      </c>
      <c r="G1550" s="17" t="str">
        <f>IF(F1550="","",F1550-'02_Eingaben'!$C$10)</f>
        <v/>
      </c>
      <c r="H1550" t="str">
        <f>IF(F1550="","",IF(F1550&lt;'02_Eingaben'!$C$18*'02_Eingaben'!$C$10,1,0))</f>
        <v/>
      </c>
      <c r="I1550" s="17" t="str">
        <f t="shared" si="24"/>
        <v/>
      </c>
      <c r="J1550" s="17" t="str">
        <f>IF(B1550="","",IF(B1549&lt;'02_Eingaben'!$C$36,0,J1549+I1549/'02_Eingaben'!$C$8))</f>
        <v/>
      </c>
    </row>
    <row r="1551" spans="1:10" x14ac:dyDescent="0.25">
      <c r="A1551" t="str">
        <f>IF('01_Rohdaten'!A1551="","",ROW()-1)</f>
        <v/>
      </c>
      <c r="B1551" s="17" t="str">
        <f>IF('01_Rohdaten'!A1551="","",'01_Rohdaten'!A1551)</f>
        <v/>
      </c>
      <c r="C1551" s="17" t="str">
        <f>IF(B1551="","",INDEX('01_Rohdaten'!B1551:D1551,'02_Eingaben'!$C$13))</f>
        <v/>
      </c>
      <c r="D1551" s="17" t="str">
        <f>IF(C1551="","",C1551*'02_Eingaben'!$C$15)</f>
        <v/>
      </c>
      <c r="E1551" s="17" t="str">
        <f>IF(D1551="","",D1551*'02_Eingaben'!$C$8)</f>
        <v/>
      </c>
      <c r="F1551" s="17" t="str">
        <f>IF(E1551="","",AVERAGE(INDEX($E$2:$E$3001,MAX(1,ROW()-1-'02_Eingaben'!$C$17)):INDEX($E$2:$E$3001,MIN('02_Eingaben'!$C$21,ROW()-1+'02_Eingaben'!$C$17))))</f>
        <v/>
      </c>
      <c r="G1551" s="17" t="str">
        <f>IF(F1551="","",F1551-'02_Eingaben'!$C$10)</f>
        <v/>
      </c>
      <c r="H1551" t="str">
        <f>IF(F1551="","",IF(F1551&lt;'02_Eingaben'!$C$18*'02_Eingaben'!$C$10,1,0))</f>
        <v/>
      </c>
      <c r="I1551" s="17" t="str">
        <f t="shared" si="24"/>
        <v/>
      </c>
      <c r="J1551" s="17" t="str">
        <f>IF(B1551="","",IF(B1550&lt;'02_Eingaben'!$C$36,0,J1550+I1550/'02_Eingaben'!$C$8))</f>
        <v/>
      </c>
    </row>
    <row r="1552" spans="1:10" x14ac:dyDescent="0.25">
      <c r="A1552" t="str">
        <f>IF('01_Rohdaten'!A1552="","",ROW()-1)</f>
        <v/>
      </c>
      <c r="B1552" s="17" t="str">
        <f>IF('01_Rohdaten'!A1552="","",'01_Rohdaten'!A1552)</f>
        <v/>
      </c>
      <c r="C1552" s="17" t="str">
        <f>IF(B1552="","",INDEX('01_Rohdaten'!B1552:D1552,'02_Eingaben'!$C$13))</f>
        <v/>
      </c>
      <c r="D1552" s="17" t="str">
        <f>IF(C1552="","",C1552*'02_Eingaben'!$C$15)</f>
        <v/>
      </c>
      <c r="E1552" s="17" t="str">
        <f>IF(D1552="","",D1552*'02_Eingaben'!$C$8)</f>
        <v/>
      </c>
      <c r="F1552" s="17" t="str">
        <f>IF(E1552="","",AVERAGE(INDEX($E$2:$E$3001,MAX(1,ROW()-1-'02_Eingaben'!$C$17)):INDEX($E$2:$E$3001,MIN('02_Eingaben'!$C$21,ROW()-1+'02_Eingaben'!$C$17))))</f>
        <v/>
      </c>
      <c r="G1552" s="17" t="str">
        <f>IF(F1552="","",F1552-'02_Eingaben'!$C$10)</f>
        <v/>
      </c>
      <c r="H1552" t="str">
        <f>IF(F1552="","",IF(F1552&lt;'02_Eingaben'!$C$18*'02_Eingaben'!$C$10,1,0))</f>
        <v/>
      </c>
      <c r="I1552" s="17" t="str">
        <f t="shared" si="24"/>
        <v/>
      </c>
      <c r="J1552" s="17" t="str">
        <f>IF(B1552="","",IF(B1551&lt;'02_Eingaben'!$C$36,0,J1551+I1551/'02_Eingaben'!$C$8))</f>
        <v/>
      </c>
    </row>
    <row r="1553" spans="1:10" x14ac:dyDescent="0.25">
      <c r="A1553" t="str">
        <f>IF('01_Rohdaten'!A1553="","",ROW()-1)</f>
        <v/>
      </c>
      <c r="B1553" s="17" t="str">
        <f>IF('01_Rohdaten'!A1553="","",'01_Rohdaten'!A1553)</f>
        <v/>
      </c>
      <c r="C1553" s="17" t="str">
        <f>IF(B1553="","",INDEX('01_Rohdaten'!B1553:D1553,'02_Eingaben'!$C$13))</f>
        <v/>
      </c>
      <c r="D1553" s="17" t="str">
        <f>IF(C1553="","",C1553*'02_Eingaben'!$C$15)</f>
        <v/>
      </c>
      <c r="E1553" s="17" t="str">
        <f>IF(D1553="","",D1553*'02_Eingaben'!$C$8)</f>
        <v/>
      </c>
      <c r="F1553" s="17" t="str">
        <f>IF(E1553="","",AVERAGE(INDEX($E$2:$E$3001,MAX(1,ROW()-1-'02_Eingaben'!$C$17)):INDEX($E$2:$E$3001,MIN('02_Eingaben'!$C$21,ROW()-1+'02_Eingaben'!$C$17))))</f>
        <v/>
      </c>
      <c r="G1553" s="17" t="str">
        <f>IF(F1553="","",F1553-'02_Eingaben'!$C$10)</f>
        <v/>
      </c>
      <c r="H1553" t="str">
        <f>IF(F1553="","",IF(F1553&lt;'02_Eingaben'!$C$18*'02_Eingaben'!$C$10,1,0))</f>
        <v/>
      </c>
      <c r="I1553" s="17" t="str">
        <f t="shared" si="24"/>
        <v/>
      </c>
      <c r="J1553" s="17" t="str">
        <f>IF(B1553="","",IF(B1552&lt;'02_Eingaben'!$C$36,0,J1552+I1552/'02_Eingaben'!$C$8))</f>
        <v/>
      </c>
    </row>
    <row r="1554" spans="1:10" x14ac:dyDescent="0.25">
      <c r="A1554" t="str">
        <f>IF('01_Rohdaten'!A1554="","",ROW()-1)</f>
        <v/>
      </c>
      <c r="B1554" s="17" t="str">
        <f>IF('01_Rohdaten'!A1554="","",'01_Rohdaten'!A1554)</f>
        <v/>
      </c>
      <c r="C1554" s="17" t="str">
        <f>IF(B1554="","",INDEX('01_Rohdaten'!B1554:D1554,'02_Eingaben'!$C$13))</f>
        <v/>
      </c>
      <c r="D1554" s="17" t="str">
        <f>IF(C1554="","",C1554*'02_Eingaben'!$C$15)</f>
        <v/>
      </c>
      <c r="E1554" s="17" t="str">
        <f>IF(D1554="","",D1554*'02_Eingaben'!$C$8)</f>
        <v/>
      </c>
      <c r="F1554" s="17" t="str">
        <f>IF(E1554="","",AVERAGE(INDEX($E$2:$E$3001,MAX(1,ROW()-1-'02_Eingaben'!$C$17)):INDEX($E$2:$E$3001,MIN('02_Eingaben'!$C$21,ROW()-1+'02_Eingaben'!$C$17))))</f>
        <v/>
      </c>
      <c r="G1554" s="17" t="str">
        <f>IF(F1554="","",F1554-'02_Eingaben'!$C$10)</f>
        <v/>
      </c>
      <c r="H1554" t="str">
        <f>IF(F1554="","",IF(F1554&lt;'02_Eingaben'!$C$18*'02_Eingaben'!$C$10,1,0))</f>
        <v/>
      </c>
      <c r="I1554" s="17" t="str">
        <f t="shared" si="24"/>
        <v/>
      </c>
      <c r="J1554" s="17" t="str">
        <f>IF(B1554="","",IF(B1553&lt;'02_Eingaben'!$C$36,0,J1553+I1553/'02_Eingaben'!$C$8))</f>
        <v/>
      </c>
    </row>
    <row r="1555" spans="1:10" x14ac:dyDescent="0.25">
      <c r="A1555" t="str">
        <f>IF('01_Rohdaten'!A1555="","",ROW()-1)</f>
        <v/>
      </c>
      <c r="B1555" s="17" t="str">
        <f>IF('01_Rohdaten'!A1555="","",'01_Rohdaten'!A1555)</f>
        <v/>
      </c>
      <c r="C1555" s="17" t="str">
        <f>IF(B1555="","",INDEX('01_Rohdaten'!B1555:D1555,'02_Eingaben'!$C$13))</f>
        <v/>
      </c>
      <c r="D1555" s="17" t="str">
        <f>IF(C1555="","",C1555*'02_Eingaben'!$C$15)</f>
        <v/>
      </c>
      <c r="E1555" s="17" t="str">
        <f>IF(D1555="","",D1555*'02_Eingaben'!$C$8)</f>
        <v/>
      </c>
      <c r="F1555" s="17" t="str">
        <f>IF(E1555="","",AVERAGE(INDEX($E$2:$E$3001,MAX(1,ROW()-1-'02_Eingaben'!$C$17)):INDEX($E$2:$E$3001,MIN('02_Eingaben'!$C$21,ROW()-1+'02_Eingaben'!$C$17))))</f>
        <v/>
      </c>
      <c r="G1555" s="17" t="str">
        <f>IF(F1555="","",F1555-'02_Eingaben'!$C$10)</f>
        <v/>
      </c>
      <c r="H1555" t="str">
        <f>IF(F1555="","",IF(F1555&lt;'02_Eingaben'!$C$18*'02_Eingaben'!$C$10,1,0))</f>
        <v/>
      </c>
      <c r="I1555" s="17" t="str">
        <f t="shared" si="24"/>
        <v/>
      </c>
      <c r="J1555" s="17" t="str">
        <f>IF(B1555="","",IF(B1554&lt;'02_Eingaben'!$C$36,0,J1554+I1554/'02_Eingaben'!$C$8))</f>
        <v/>
      </c>
    </row>
    <row r="1556" spans="1:10" x14ac:dyDescent="0.25">
      <c r="A1556" t="str">
        <f>IF('01_Rohdaten'!A1556="","",ROW()-1)</f>
        <v/>
      </c>
      <c r="B1556" s="17" t="str">
        <f>IF('01_Rohdaten'!A1556="","",'01_Rohdaten'!A1556)</f>
        <v/>
      </c>
      <c r="C1556" s="17" t="str">
        <f>IF(B1556="","",INDEX('01_Rohdaten'!B1556:D1556,'02_Eingaben'!$C$13))</f>
        <v/>
      </c>
      <c r="D1556" s="17" t="str">
        <f>IF(C1556="","",C1556*'02_Eingaben'!$C$15)</f>
        <v/>
      </c>
      <c r="E1556" s="17" t="str">
        <f>IF(D1556="","",D1556*'02_Eingaben'!$C$8)</f>
        <v/>
      </c>
      <c r="F1556" s="17" t="str">
        <f>IF(E1556="","",AVERAGE(INDEX($E$2:$E$3001,MAX(1,ROW()-1-'02_Eingaben'!$C$17)):INDEX($E$2:$E$3001,MIN('02_Eingaben'!$C$21,ROW()-1+'02_Eingaben'!$C$17))))</f>
        <v/>
      </c>
      <c r="G1556" s="17" t="str">
        <f>IF(F1556="","",F1556-'02_Eingaben'!$C$10)</f>
        <v/>
      </c>
      <c r="H1556" t="str">
        <f>IF(F1556="","",IF(F1556&lt;'02_Eingaben'!$C$18*'02_Eingaben'!$C$10,1,0))</f>
        <v/>
      </c>
      <c r="I1556" s="17" t="str">
        <f t="shared" si="24"/>
        <v/>
      </c>
      <c r="J1556" s="17" t="str">
        <f>IF(B1556="","",IF(B1555&lt;'02_Eingaben'!$C$36,0,J1555+I1555/'02_Eingaben'!$C$8))</f>
        <v/>
      </c>
    </row>
    <row r="1557" spans="1:10" x14ac:dyDescent="0.25">
      <c r="A1557" t="str">
        <f>IF('01_Rohdaten'!A1557="","",ROW()-1)</f>
        <v/>
      </c>
      <c r="B1557" s="17" t="str">
        <f>IF('01_Rohdaten'!A1557="","",'01_Rohdaten'!A1557)</f>
        <v/>
      </c>
      <c r="C1557" s="17" t="str">
        <f>IF(B1557="","",INDEX('01_Rohdaten'!B1557:D1557,'02_Eingaben'!$C$13))</f>
        <v/>
      </c>
      <c r="D1557" s="17" t="str">
        <f>IF(C1557="","",C1557*'02_Eingaben'!$C$15)</f>
        <v/>
      </c>
      <c r="E1557" s="17" t="str">
        <f>IF(D1557="","",D1557*'02_Eingaben'!$C$8)</f>
        <v/>
      </c>
      <c r="F1557" s="17" t="str">
        <f>IF(E1557="","",AVERAGE(INDEX($E$2:$E$3001,MAX(1,ROW()-1-'02_Eingaben'!$C$17)):INDEX($E$2:$E$3001,MIN('02_Eingaben'!$C$21,ROW()-1+'02_Eingaben'!$C$17))))</f>
        <v/>
      </c>
      <c r="G1557" s="17" t="str">
        <f>IF(F1557="","",F1557-'02_Eingaben'!$C$10)</f>
        <v/>
      </c>
      <c r="H1557" t="str">
        <f>IF(F1557="","",IF(F1557&lt;'02_Eingaben'!$C$18*'02_Eingaben'!$C$10,1,0))</f>
        <v/>
      </c>
      <c r="I1557" s="17" t="str">
        <f t="shared" si="24"/>
        <v/>
      </c>
      <c r="J1557" s="17" t="str">
        <f>IF(B1557="","",IF(B1556&lt;'02_Eingaben'!$C$36,0,J1556+I1556/'02_Eingaben'!$C$8))</f>
        <v/>
      </c>
    </row>
    <row r="1558" spans="1:10" x14ac:dyDescent="0.25">
      <c r="A1558" t="str">
        <f>IF('01_Rohdaten'!A1558="","",ROW()-1)</f>
        <v/>
      </c>
      <c r="B1558" s="17" t="str">
        <f>IF('01_Rohdaten'!A1558="","",'01_Rohdaten'!A1558)</f>
        <v/>
      </c>
      <c r="C1558" s="17" t="str">
        <f>IF(B1558="","",INDEX('01_Rohdaten'!B1558:D1558,'02_Eingaben'!$C$13))</f>
        <v/>
      </c>
      <c r="D1558" s="17" t="str">
        <f>IF(C1558="","",C1558*'02_Eingaben'!$C$15)</f>
        <v/>
      </c>
      <c r="E1558" s="17" t="str">
        <f>IF(D1558="","",D1558*'02_Eingaben'!$C$8)</f>
        <v/>
      </c>
      <c r="F1558" s="17" t="str">
        <f>IF(E1558="","",AVERAGE(INDEX($E$2:$E$3001,MAX(1,ROW()-1-'02_Eingaben'!$C$17)):INDEX($E$2:$E$3001,MIN('02_Eingaben'!$C$21,ROW()-1+'02_Eingaben'!$C$17))))</f>
        <v/>
      </c>
      <c r="G1558" s="17" t="str">
        <f>IF(F1558="","",F1558-'02_Eingaben'!$C$10)</f>
        <v/>
      </c>
      <c r="H1558" t="str">
        <f>IF(F1558="","",IF(F1558&lt;'02_Eingaben'!$C$18*'02_Eingaben'!$C$10,1,0))</f>
        <v/>
      </c>
      <c r="I1558" s="17" t="str">
        <f t="shared" si="24"/>
        <v/>
      </c>
      <c r="J1558" s="17" t="str">
        <f>IF(B1558="","",IF(B1557&lt;'02_Eingaben'!$C$36,0,J1557+I1557/'02_Eingaben'!$C$8))</f>
        <v/>
      </c>
    </row>
    <row r="1559" spans="1:10" x14ac:dyDescent="0.25">
      <c r="A1559" t="str">
        <f>IF('01_Rohdaten'!A1559="","",ROW()-1)</f>
        <v/>
      </c>
      <c r="B1559" s="17" t="str">
        <f>IF('01_Rohdaten'!A1559="","",'01_Rohdaten'!A1559)</f>
        <v/>
      </c>
      <c r="C1559" s="17" t="str">
        <f>IF(B1559="","",INDEX('01_Rohdaten'!B1559:D1559,'02_Eingaben'!$C$13))</f>
        <v/>
      </c>
      <c r="D1559" s="17" t="str">
        <f>IF(C1559="","",C1559*'02_Eingaben'!$C$15)</f>
        <v/>
      </c>
      <c r="E1559" s="17" t="str">
        <f>IF(D1559="","",D1559*'02_Eingaben'!$C$8)</f>
        <v/>
      </c>
      <c r="F1559" s="17" t="str">
        <f>IF(E1559="","",AVERAGE(INDEX($E$2:$E$3001,MAX(1,ROW()-1-'02_Eingaben'!$C$17)):INDEX($E$2:$E$3001,MIN('02_Eingaben'!$C$21,ROW()-1+'02_Eingaben'!$C$17))))</f>
        <v/>
      </c>
      <c r="G1559" s="17" t="str">
        <f>IF(F1559="","",F1559-'02_Eingaben'!$C$10)</f>
        <v/>
      </c>
      <c r="H1559" t="str">
        <f>IF(F1559="","",IF(F1559&lt;'02_Eingaben'!$C$18*'02_Eingaben'!$C$10,1,0))</f>
        <v/>
      </c>
      <c r="I1559" s="17" t="str">
        <f t="shared" si="24"/>
        <v/>
      </c>
      <c r="J1559" s="17" t="str">
        <f>IF(B1559="","",IF(B1558&lt;'02_Eingaben'!$C$36,0,J1558+I1558/'02_Eingaben'!$C$8))</f>
        <v/>
      </c>
    </row>
    <row r="1560" spans="1:10" x14ac:dyDescent="0.25">
      <c r="A1560" t="str">
        <f>IF('01_Rohdaten'!A1560="","",ROW()-1)</f>
        <v/>
      </c>
      <c r="B1560" s="17" t="str">
        <f>IF('01_Rohdaten'!A1560="","",'01_Rohdaten'!A1560)</f>
        <v/>
      </c>
      <c r="C1560" s="17" t="str">
        <f>IF(B1560="","",INDEX('01_Rohdaten'!B1560:D1560,'02_Eingaben'!$C$13))</f>
        <v/>
      </c>
      <c r="D1560" s="17" t="str">
        <f>IF(C1560="","",C1560*'02_Eingaben'!$C$15)</f>
        <v/>
      </c>
      <c r="E1560" s="17" t="str">
        <f>IF(D1560="","",D1560*'02_Eingaben'!$C$8)</f>
        <v/>
      </c>
      <c r="F1560" s="17" t="str">
        <f>IF(E1560="","",AVERAGE(INDEX($E$2:$E$3001,MAX(1,ROW()-1-'02_Eingaben'!$C$17)):INDEX($E$2:$E$3001,MIN('02_Eingaben'!$C$21,ROW()-1+'02_Eingaben'!$C$17))))</f>
        <v/>
      </c>
      <c r="G1560" s="17" t="str">
        <f>IF(F1560="","",F1560-'02_Eingaben'!$C$10)</f>
        <v/>
      </c>
      <c r="H1560" t="str">
        <f>IF(F1560="","",IF(F1560&lt;'02_Eingaben'!$C$18*'02_Eingaben'!$C$10,1,0))</f>
        <v/>
      </c>
      <c r="I1560" s="17" t="str">
        <f t="shared" si="24"/>
        <v/>
      </c>
      <c r="J1560" s="17" t="str">
        <f>IF(B1560="","",IF(B1559&lt;'02_Eingaben'!$C$36,0,J1559+I1559/'02_Eingaben'!$C$8))</f>
        <v/>
      </c>
    </row>
    <row r="1561" spans="1:10" x14ac:dyDescent="0.25">
      <c r="A1561" t="str">
        <f>IF('01_Rohdaten'!A1561="","",ROW()-1)</f>
        <v/>
      </c>
      <c r="B1561" s="17" t="str">
        <f>IF('01_Rohdaten'!A1561="","",'01_Rohdaten'!A1561)</f>
        <v/>
      </c>
      <c r="C1561" s="17" t="str">
        <f>IF(B1561="","",INDEX('01_Rohdaten'!B1561:D1561,'02_Eingaben'!$C$13))</f>
        <v/>
      </c>
      <c r="D1561" s="17" t="str">
        <f>IF(C1561="","",C1561*'02_Eingaben'!$C$15)</f>
        <v/>
      </c>
      <c r="E1561" s="17" t="str">
        <f>IF(D1561="","",D1561*'02_Eingaben'!$C$8)</f>
        <v/>
      </c>
      <c r="F1561" s="17" t="str">
        <f>IF(E1561="","",AVERAGE(INDEX($E$2:$E$3001,MAX(1,ROW()-1-'02_Eingaben'!$C$17)):INDEX($E$2:$E$3001,MIN('02_Eingaben'!$C$21,ROW()-1+'02_Eingaben'!$C$17))))</f>
        <v/>
      </c>
      <c r="G1561" s="17" t="str">
        <f>IF(F1561="","",F1561-'02_Eingaben'!$C$10)</f>
        <v/>
      </c>
      <c r="H1561" t="str">
        <f>IF(F1561="","",IF(F1561&lt;'02_Eingaben'!$C$18*'02_Eingaben'!$C$10,1,0))</f>
        <v/>
      </c>
      <c r="I1561" s="17" t="str">
        <f t="shared" si="24"/>
        <v/>
      </c>
      <c r="J1561" s="17" t="str">
        <f>IF(B1561="","",IF(B1560&lt;'02_Eingaben'!$C$36,0,J1560+I1560/'02_Eingaben'!$C$8))</f>
        <v/>
      </c>
    </row>
    <row r="1562" spans="1:10" x14ac:dyDescent="0.25">
      <c r="A1562" t="str">
        <f>IF('01_Rohdaten'!A1562="","",ROW()-1)</f>
        <v/>
      </c>
      <c r="B1562" s="17" t="str">
        <f>IF('01_Rohdaten'!A1562="","",'01_Rohdaten'!A1562)</f>
        <v/>
      </c>
      <c r="C1562" s="17" t="str">
        <f>IF(B1562="","",INDEX('01_Rohdaten'!B1562:D1562,'02_Eingaben'!$C$13))</f>
        <v/>
      </c>
      <c r="D1562" s="17" t="str">
        <f>IF(C1562="","",C1562*'02_Eingaben'!$C$15)</f>
        <v/>
      </c>
      <c r="E1562" s="17" t="str">
        <f>IF(D1562="","",D1562*'02_Eingaben'!$C$8)</f>
        <v/>
      </c>
      <c r="F1562" s="17" t="str">
        <f>IF(E1562="","",AVERAGE(INDEX($E$2:$E$3001,MAX(1,ROW()-1-'02_Eingaben'!$C$17)):INDEX($E$2:$E$3001,MIN('02_Eingaben'!$C$21,ROW()-1+'02_Eingaben'!$C$17))))</f>
        <v/>
      </c>
      <c r="G1562" s="17" t="str">
        <f>IF(F1562="","",F1562-'02_Eingaben'!$C$10)</f>
        <v/>
      </c>
      <c r="H1562" t="str">
        <f>IF(F1562="","",IF(F1562&lt;'02_Eingaben'!$C$18*'02_Eingaben'!$C$10,1,0))</f>
        <v/>
      </c>
      <c r="I1562" s="17" t="str">
        <f t="shared" si="24"/>
        <v/>
      </c>
      <c r="J1562" s="17" t="str">
        <f>IF(B1562="","",IF(B1561&lt;'02_Eingaben'!$C$36,0,J1561+I1561/'02_Eingaben'!$C$8))</f>
        <v/>
      </c>
    </row>
    <row r="1563" spans="1:10" x14ac:dyDescent="0.25">
      <c r="A1563" t="str">
        <f>IF('01_Rohdaten'!A1563="","",ROW()-1)</f>
        <v/>
      </c>
      <c r="B1563" s="17" t="str">
        <f>IF('01_Rohdaten'!A1563="","",'01_Rohdaten'!A1563)</f>
        <v/>
      </c>
      <c r="C1563" s="17" t="str">
        <f>IF(B1563="","",INDEX('01_Rohdaten'!B1563:D1563,'02_Eingaben'!$C$13))</f>
        <v/>
      </c>
      <c r="D1563" s="17" t="str">
        <f>IF(C1563="","",C1563*'02_Eingaben'!$C$15)</f>
        <v/>
      </c>
      <c r="E1563" s="17" t="str">
        <f>IF(D1563="","",D1563*'02_Eingaben'!$C$8)</f>
        <v/>
      </c>
      <c r="F1563" s="17" t="str">
        <f>IF(E1563="","",AVERAGE(INDEX($E$2:$E$3001,MAX(1,ROW()-1-'02_Eingaben'!$C$17)):INDEX($E$2:$E$3001,MIN('02_Eingaben'!$C$21,ROW()-1+'02_Eingaben'!$C$17))))</f>
        <v/>
      </c>
      <c r="G1563" s="17" t="str">
        <f>IF(F1563="","",F1563-'02_Eingaben'!$C$10)</f>
        <v/>
      </c>
      <c r="H1563" t="str">
        <f>IF(F1563="","",IF(F1563&lt;'02_Eingaben'!$C$18*'02_Eingaben'!$C$10,1,0))</f>
        <v/>
      </c>
      <c r="I1563" s="17" t="str">
        <f t="shared" si="24"/>
        <v/>
      </c>
      <c r="J1563" s="17" t="str">
        <f>IF(B1563="","",IF(B1562&lt;'02_Eingaben'!$C$36,0,J1562+I1562/'02_Eingaben'!$C$8))</f>
        <v/>
      </c>
    </row>
    <row r="1564" spans="1:10" x14ac:dyDescent="0.25">
      <c r="A1564" t="str">
        <f>IF('01_Rohdaten'!A1564="","",ROW()-1)</f>
        <v/>
      </c>
      <c r="B1564" s="17" t="str">
        <f>IF('01_Rohdaten'!A1564="","",'01_Rohdaten'!A1564)</f>
        <v/>
      </c>
      <c r="C1564" s="17" t="str">
        <f>IF(B1564="","",INDEX('01_Rohdaten'!B1564:D1564,'02_Eingaben'!$C$13))</f>
        <v/>
      </c>
      <c r="D1564" s="17" t="str">
        <f>IF(C1564="","",C1564*'02_Eingaben'!$C$15)</f>
        <v/>
      </c>
      <c r="E1564" s="17" t="str">
        <f>IF(D1564="","",D1564*'02_Eingaben'!$C$8)</f>
        <v/>
      </c>
      <c r="F1564" s="17" t="str">
        <f>IF(E1564="","",AVERAGE(INDEX($E$2:$E$3001,MAX(1,ROW()-1-'02_Eingaben'!$C$17)):INDEX($E$2:$E$3001,MIN('02_Eingaben'!$C$21,ROW()-1+'02_Eingaben'!$C$17))))</f>
        <v/>
      </c>
      <c r="G1564" s="17" t="str">
        <f>IF(F1564="","",F1564-'02_Eingaben'!$C$10)</f>
        <v/>
      </c>
      <c r="H1564" t="str">
        <f>IF(F1564="","",IF(F1564&lt;'02_Eingaben'!$C$18*'02_Eingaben'!$C$10,1,0))</f>
        <v/>
      </c>
      <c r="I1564" s="17" t="str">
        <f t="shared" si="24"/>
        <v/>
      </c>
      <c r="J1564" s="17" t="str">
        <f>IF(B1564="","",IF(B1563&lt;'02_Eingaben'!$C$36,0,J1563+I1563/'02_Eingaben'!$C$8))</f>
        <v/>
      </c>
    </row>
    <row r="1565" spans="1:10" x14ac:dyDescent="0.25">
      <c r="A1565" t="str">
        <f>IF('01_Rohdaten'!A1565="","",ROW()-1)</f>
        <v/>
      </c>
      <c r="B1565" s="17" t="str">
        <f>IF('01_Rohdaten'!A1565="","",'01_Rohdaten'!A1565)</f>
        <v/>
      </c>
      <c r="C1565" s="17" t="str">
        <f>IF(B1565="","",INDEX('01_Rohdaten'!B1565:D1565,'02_Eingaben'!$C$13))</f>
        <v/>
      </c>
      <c r="D1565" s="17" t="str">
        <f>IF(C1565="","",C1565*'02_Eingaben'!$C$15)</f>
        <v/>
      </c>
      <c r="E1565" s="17" t="str">
        <f>IF(D1565="","",D1565*'02_Eingaben'!$C$8)</f>
        <v/>
      </c>
      <c r="F1565" s="17" t="str">
        <f>IF(E1565="","",AVERAGE(INDEX($E$2:$E$3001,MAX(1,ROW()-1-'02_Eingaben'!$C$17)):INDEX($E$2:$E$3001,MIN('02_Eingaben'!$C$21,ROW()-1+'02_Eingaben'!$C$17))))</f>
        <v/>
      </c>
      <c r="G1565" s="17" t="str">
        <f>IF(F1565="","",F1565-'02_Eingaben'!$C$10)</f>
        <v/>
      </c>
      <c r="H1565" t="str">
        <f>IF(F1565="","",IF(F1565&lt;'02_Eingaben'!$C$18*'02_Eingaben'!$C$10,1,0))</f>
        <v/>
      </c>
      <c r="I1565" s="17" t="str">
        <f t="shared" si="24"/>
        <v/>
      </c>
      <c r="J1565" s="17" t="str">
        <f>IF(B1565="","",IF(B1564&lt;'02_Eingaben'!$C$36,0,J1564+I1564/'02_Eingaben'!$C$8))</f>
        <v/>
      </c>
    </row>
    <row r="1566" spans="1:10" x14ac:dyDescent="0.25">
      <c r="A1566" t="str">
        <f>IF('01_Rohdaten'!A1566="","",ROW()-1)</f>
        <v/>
      </c>
      <c r="B1566" s="17" t="str">
        <f>IF('01_Rohdaten'!A1566="","",'01_Rohdaten'!A1566)</f>
        <v/>
      </c>
      <c r="C1566" s="17" t="str">
        <f>IF(B1566="","",INDEX('01_Rohdaten'!B1566:D1566,'02_Eingaben'!$C$13))</f>
        <v/>
      </c>
      <c r="D1566" s="17" t="str">
        <f>IF(C1566="","",C1566*'02_Eingaben'!$C$15)</f>
        <v/>
      </c>
      <c r="E1566" s="17" t="str">
        <f>IF(D1566="","",D1566*'02_Eingaben'!$C$8)</f>
        <v/>
      </c>
      <c r="F1566" s="17" t="str">
        <f>IF(E1566="","",AVERAGE(INDEX($E$2:$E$3001,MAX(1,ROW()-1-'02_Eingaben'!$C$17)):INDEX($E$2:$E$3001,MIN('02_Eingaben'!$C$21,ROW()-1+'02_Eingaben'!$C$17))))</f>
        <v/>
      </c>
      <c r="G1566" s="17" t="str">
        <f>IF(F1566="","",F1566-'02_Eingaben'!$C$10)</f>
        <v/>
      </c>
      <c r="H1566" t="str">
        <f>IF(F1566="","",IF(F1566&lt;'02_Eingaben'!$C$18*'02_Eingaben'!$C$10,1,0))</f>
        <v/>
      </c>
      <c r="I1566" s="17" t="str">
        <f t="shared" si="24"/>
        <v/>
      </c>
      <c r="J1566" s="17" t="str">
        <f>IF(B1566="","",IF(B1565&lt;'02_Eingaben'!$C$36,0,J1565+I1565/'02_Eingaben'!$C$8))</f>
        <v/>
      </c>
    </row>
    <row r="1567" spans="1:10" x14ac:dyDescent="0.25">
      <c r="A1567" t="str">
        <f>IF('01_Rohdaten'!A1567="","",ROW()-1)</f>
        <v/>
      </c>
      <c r="B1567" s="17" t="str">
        <f>IF('01_Rohdaten'!A1567="","",'01_Rohdaten'!A1567)</f>
        <v/>
      </c>
      <c r="C1567" s="17" t="str">
        <f>IF(B1567="","",INDEX('01_Rohdaten'!B1567:D1567,'02_Eingaben'!$C$13))</f>
        <v/>
      </c>
      <c r="D1567" s="17" t="str">
        <f>IF(C1567="","",C1567*'02_Eingaben'!$C$15)</f>
        <v/>
      </c>
      <c r="E1567" s="17" t="str">
        <f>IF(D1567="","",D1567*'02_Eingaben'!$C$8)</f>
        <v/>
      </c>
      <c r="F1567" s="17" t="str">
        <f>IF(E1567="","",AVERAGE(INDEX($E$2:$E$3001,MAX(1,ROW()-1-'02_Eingaben'!$C$17)):INDEX($E$2:$E$3001,MIN('02_Eingaben'!$C$21,ROW()-1+'02_Eingaben'!$C$17))))</f>
        <v/>
      </c>
      <c r="G1567" s="17" t="str">
        <f>IF(F1567="","",F1567-'02_Eingaben'!$C$10)</f>
        <v/>
      </c>
      <c r="H1567" t="str">
        <f>IF(F1567="","",IF(F1567&lt;'02_Eingaben'!$C$18*'02_Eingaben'!$C$10,1,0))</f>
        <v/>
      </c>
      <c r="I1567" s="17" t="str">
        <f t="shared" si="24"/>
        <v/>
      </c>
      <c r="J1567" s="17" t="str">
        <f>IF(B1567="","",IF(B1566&lt;'02_Eingaben'!$C$36,0,J1566+I1566/'02_Eingaben'!$C$8))</f>
        <v/>
      </c>
    </row>
    <row r="1568" spans="1:10" x14ac:dyDescent="0.25">
      <c r="A1568" t="str">
        <f>IF('01_Rohdaten'!A1568="","",ROW()-1)</f>
        <v/>
      </c>
      <c r="B1568" s="17" t="str">
        <f>IF('01_Rohdaten'!A1568="","",'01_Rohdaten'!A1568)</f>
        <v/>
      </c>
      <c r="C1568" s="17" t="str">
        <f>IF(B1568="","",INDEX('01_Rohdaten'!B1568:D1568,'02_Eingaben'!$C$13))</f>
        <v/>
      </c>
      <c r="D1568" s="17" t="str">
        <f>IF(C1568="","",C1568*'02_Eingaben'!$C$15)</f>
        <v/>
      </c>
      <c r="E1568" s="17" t="str">
        <f>IF(D1568="","",D1568*'02_Eingaben'!$C$8)</f>
        <v/>
      </c>
      <c r="F1568" s="17" t="str">
        <f>IF(E1568="","",AVERAGE(INDEX($E$2:$E$3001,MAX(1,ROW()-1-'02_Eingaben'!$C$17)):INDEX($E$2:$E$3001,MIN('02_Eingaben'!$C$21,ROW()-1+'02_Eingaben'!$C$17))))</f>
        <v/>
      </c>
      <c r="G1568" s="17" t="str">
        <f>IF(F1568="","",F1568-'02_Eingaben'!$C$10)</f>
        <v/>
      </c>
      <c r="H1568" t="str">
        <f>IF(F1568="","",IF(F1568&lt;'02_Eingaben'!$C$18*'02_Eingaben'!$C$10,1,0))</f>
        <v/>
      </c>
      <c r="I1568" s="17" t="str">
        <f t="shared" si="24"/>
        <v/>
      </c>
      <c r="J1568" s="17" t="str">
        <f>IF(B1568="","",IF(B1567&lt;'02_Eingaben'!$C$36,0,J1567+I1567/'02_Eingaben'!$C$8))</f>
        <v/>
      </c>
    </row>
    <row r="1569" spans="1:10" x14ac:dyDescent="0.25">
      <c r="A1569" t="str">
        <f>IF('01_Rohdaten'!A1569="","",ROW()-1)</f>
        <v/>
      </c>
      <c r="B1569" s="17" t="str">
        <f>IF('01_Rohdaten'!A1569="","",'01_Rohdaten'!A1569)</f>
        <v/>
      </c>
      <c r="C1569" s="17" t="str">
        <f>IF(B1569="","",INDEX('01_Rohdaten'!B1569:D1569,'02_Eingaben'!$C$13))</f>
        <v/>
      </c>
      <c r="D1569" s="17" t="str">
        <f>IF(C1569="","",C1569*'02_Eingaben'!$C$15)</f>
        <v/>
      </c>
      <c r="E1569" s="17" t="str">
        <f>IF(D1569="","",D1569*'02_Eingaben'!$C$8)</f>
        <v/>
      </c>
      <c r="F1569" s="17" t="str">
        <f>IF(E1569="","",AVERAGE(INDEX($E$2:$E$3001,MAX(1,ROW()-1-'02_Eingaben'!$C$17)):INDEX($E$2:$E$3001,MIN('02_Eingaben'!$C$21,ROW()-1+'02_Eingaben'!$C$17))))</f>
        <v/>
      </c>
      <c r="G1569" s="17" t="str">
        <f>IF(F1569="","",F1569-'02_Eingaben'!$C$10)</f>
        <v/>
      </c>
      <c r="H1569" t="str">
        <f>IF(F1569="","",IF(F1569&lt;'02_Eingaben'!$C$18*'02_Eingaben'!$C$10,1,0))</f>
        <v/>
      </c>
      <c r="I1569" s="17" t="str">
        <f t="shared" si="24"/>
        <v/>
      </c>
      <c r="J1569" s="17" t="str">
        <f>IF(B1569="","",IF(B1568&lt;'02_Eingaben'!$C$36,0,J1568+I1568/'02_Eingaben'!$C$8))</f>
        <v/>
      </c>
    </row>
    <row r="1570" spans="1:10" x14ac:dyDescent="0.25">
      <c r="A1570" t="str">
        <f>IF('01_Rohdaten'!A1570="","",ROW()-1)</f>
        <v/>
      </c>
      <c r="B1570" s="17" t="str">
        <f>IF('01_Rohdaten'!A1570="","",'01_Rohdaten'!A1570)</f>
        <v/>
      </c>
      <c r="C1570" s="17" t="str">
        <f>IF(B1570="","",INDEX('01_Rohdaten'!B1570:D1570,'02_Eingaben'!$C$13))</f>
        <v/>
      </c>
      <c r="D1570" s="17" t="str">
        <f>IF(C1570="","",C1570*'02_Eingaben'!$C$15)</f>
        <v/>
      </c>
      <c r="E1570" s="17" t="str">
        <f>IF(D1570="","",D1570*'02_Eingaben'!$C$8)</f>
        <v/>
      </c>
      <c r="F1570" s="17" t="str">
        <f>IF(E1570="","",AVERAGE(INDEX($E$2:$E$3001,MAX(1,ROW()-1-'02_Eingaben'!$C$17)):INDEX($E$2:$E$3001,MIN('02_Eingaben'!$C$21,ROW()-1+'02_Eingaben'!$C$17))))</f>
        <v/>
      </c>
      <c r="G1570" s="17" t="str">
        <f>IF(F1570="","",F1570-'02_Eingaben'!$C$10)</f>
        <v/>
      </c>
      <c r="H1570" t="str">
        <f>IF(F1570="","",IF(F1570&lt;'02_Eingaben'!$C$18*'02_Eingaben'!$C$10,1,0))</f>
        <v/>
      </c>
      <c r="I1570" s="17" t="str">
        <f t="shared" si="24"/>
        <v/>
      </c>
      <c r="J1570" s="17" t="str">
        <f>IF(B1570="","",IF(B1569&lt;'02_Eingaben'!$C$36,0,J1569+I1569/'02_Eingaben'!$C$8))</f>
        <v/>
      </c>
    </row>
    <row r="1571" spans="1:10" x14ac:dyDescent="0.25">
      <c r="A1571" t="str">
        <f>IF('01_Rohdaten'!A1571="","",ROW()-1)</f>
        <v/>
      </c>
      <c r="B1571" s="17" t="str">
        <f>IF('01_Rohdaten'!A1571="","",'01_Rohdaten'!A1571)</f>
        <v/>
      </c>
      <c r="C1571" s="17" t="str">
        <f>IF(B1571="","",INDEX('01_Rohdaten'!B1571:D1571,'02_Eingaben'!$C$13))</f>
        <v/>
      </c>
      <c r="D1571" s="17" t="str">
        <f>IF(C1571="","",C1571*'02_Eingaben'!$C$15)</f>
        <v/>
      </c>
      <c r="E1571" s="17" t="str">
        <f>IF(D1571="","",D1571*'02_Eingaben'!$C$8)</f>
        <v/>
      </c>
      <c r="F1571" s="17" t="str">
        <f>IF(E1571="","",AVERAGE(INDEX($E$2:$E$3001,MAX(1,ROW()-1-'02_Eingaben'!$C$17)):INDEX($E$2:$E$3001,MIN('02_Eingaben'!$C$21,ROW()-1+'02_Eingaben'!$C$17))))</f>
        <v/>
      </c>
      <c r="G1571" s="17" t="str">
        <f>IF(F1571="","",F1571-'02_Eingaben'!$C$10)</f>
        <v/>
      </c>
      <c r="H1571" t="str">
        <f>IF(F1571="","",IF(F1571&lt;'02_Eingaben'!$C$18*'02_Eingaben'!$C$10,1,0))</f>
        <v/>
      </c>
      <c r="I1571" s="17" t="str">
        <f t="shared" si="24"/>
        <v/>
      </c>
      <c r="J1571" s="17" t="str">
        <f>IF(B1571="","",IF(B1570&lt;'02_Eingaben'!$C$36,0,J1570+I1570/'02_Eingaben'!$C$8))</f>
        <v/>
      </c>
    </row>
    <row r="1572" spans="1:10" x14ac:dyDescent="0.25">
      <c r="A1572" t="str">
        <f>IF('01_Rohdaten'!A1572="","",ROW()-1)</f>
        <v/>
      </c>
      <c r="B1572" s="17" t="str">
        <f>IF('01_Rohdaten'!A1572="","",'01_Rohdaten'!A1572)</f>
        <v/>
      </c>
      <c r="C1572" s="17" t="str">
        <f>IF(B1572="","",INDEX('01_Rohdaten'!B1572:D1572,'02_Eingaben'!$C$13))</f>
        <v/>
      </c>
      <c r="D1572" s="17" t="str">
        <f>IF(C1572="","",C1572*'02_Eingaben'!$C$15)</f>
        <v/>
      </c>
      <c r="E1572" s="17" t="str">
        <f>IF(D1572="","",D1572*'02_Eingaben'!$C$8)</f>
        <v/>
      </c>
      <c r="F1572" s="17" t="str">
        <f>IF(E1572="","",AVERAGE(INDEX($E$2:$E$3001,MAX(1,ROW()-1-'02_Eingaben'!$C$17)):INDEX($E$2:$E$3001,MIN('02_Eingaben'!$C$21,ROW()-1+'02_Eingaben'!$C$17))))</f>
        <v/>
      </c>
      <c r="G1572" s="17" t="str">
        <f>IF(F1572="","",F1572-'02_Eingaben'!$C$10)</f>
        <v/>
      </c>
      <c r="H1572" t="str">
        <f>IF(F1572="","",IF(F1572&lt;'02_Eingaben'!$C$18*'02_Eingaben'!$C$10,1,0))</f>
        <v/>
      </c>
      <c r="I1572" s="17" t="str">
        <f t="shared" si="24"/>
        <v/>
      </c>
      <c r="J1572" s="17" t="str">
        <f>IF(B1572="","",IF(B1571&lt;'02_Eingaben'!$C$36,0,J1571+I1571/'02_Eingaben'!$C$8))</f>
        <v/>
      </c>
    </row>
    <row r="1573" spans="1:10" x14ac:dyDescent="0.25">
      <c r="A1573" t="str">
        <f>IF('01_Rohdaten'!A1573="","",ROW()-1)</f>
        <v/>
      </c>
      <c r="B1573" s="17" t="str">
        <f>IF('01_Rohdaten'!A1573="","",'01_Rohdaten'!A1573)</f>
        <v/>
      </c>
      <c r="C1573" s="17" t="str">
        <f>IF(B1573="","",INDEX('01_Rohdaten'!B1573:D1573,'02_Eingaben'!$C$13))</f>
        <v/>
      </c>
      <c r="D1573" s="17" t="str">
        <f>IF(C1573="","",C1573*'02_Eingaben'!$C$15)</f>
        <v/>
      </c>
      <c r="E1573" s="17" t="str">
        <f>IF(D1573="","",D1573*'02_Eingaben'!$C$8)</f>
        <v/>
      </c>
      <c r="F1573" s="17" t="str">
        <f>IF(E1573="","",AVERAGE(INDEX($E$2:$E$3001,MAX(1,ROW()-1-'02_Eingaben'!$C$17)):INDEX($E$2:$E$3001,MIN('02_Eingaben'!$C$21,ROW()-1+'02_Eingaben'!$C$17))))</f>
        <v/>
      </c>
      <c r="G1573" s="17" t="str">
        <f>IF(F1573="","",F1573-'02_Eingaben'!$C$10)</f>
        <v/>
      </c>
      <c r="H1573" t="str">
        <f>IF(F1573="","",IF(F1573&lt;'02_Eingaben'!$C$18*'02_Eingaben'!$C$10,1,0))</f>
        <v/>
      </c>
      <c r="I1573" s="17" t="str">
        <f t="shared" si="24"/>
        <v/>
      </c>
      <c r="J1573" s="17" t="str">
        <f>IF(B1573="","",IF(B1572&lt;'02_Eingaben'!$C$36,0,J1572+I1572/'02_Eingaben'!$C$8))</f>
        <v/>
      </c>
    </row>
    <row r="1574" spans="1:10" x14ac:dyDescent="0.25">
      <c r="A1574" t="str">
        <f>IF('01_Rohdaten'!A1574="","",ROW()-1)</f>
        <v/>
      </c>
      <c r="B1574" s="17" t="str">
        <f>IF('01_Rohdaten'!A1574="","",'01_Rohdaten'!A1574)</f>
        <v/>
      </c>
      <c r="C1574" s="17" t="str">
        <f>IF(B1574="","",INDEX('01_Rohdaten'!B1574:D1574,'02_Eingaben'!$C$13))</f>
        <v/>
      </c>
      <c r="D1574" s="17" t="str">
        <f>IF(C1574="","",C1574*'02_Eingaben'!$C$15)</f>
        <v/>
      </c>
      <c r="E1574" s="17" t="str">
        <f>IF(D1574="","",D1574*'02_Eingaben'!$C$8)</f>
        <v/>
      </c>
      <c r="F1574" s="17" t="str">
        <f>IF(E1574="","",AVERAGE(INDEX($E$2:$E$3001,MAX(1,ROW()-1-'02_Eingaben'!$C$17)):INDEX($E$2:$E$3001,MIN('02_Eingaben'!$C$21,ROW()-1+'02_Eingaben'!$C$17))))</f>
        <v/>
      </c>
      <c r="G1574" s="17" t="str">
        <f>IF(F1574="","",F1574-'02_Eingaben'!$C$10)</f>
        <v/>
      </c>
      <c r="H1574" t="str">
        <f>IF(F1574="","",IF(F1574&lt;'02_Eingaben'!$C$18*'02_Eingaben'!$C$10,1,0))</f>
        <v/>
      </c>
      <c r="I1574" s="17" t="str">
        <f t="shared" si="24"/>
        <v/>
      </c>
      <c r="J1574" s="17" t="str">
        <f>IF(B1574="","",IF(B1573&lt;'02_Eingaben'!$C$36,0,J1573+I1573/'02_Eingaben'!$C$8))</f>
        <v/>
      </c>
    </row>
    <row r="1575" spans="1:10" x14ac:dyDescent="0.25">
      <c r="A1575" t="str">
        <f>IF('01_Rohdaten'!A1575="","",ROW()-1)</f>
        <v/>
      </c>
      <c r="B1575" s="17" t="str">
        <f>IF('01_Rohdaten'!A1575="","",'01_Rohdaten'!A1575)</f>
        <v/>
      </c>
      <c r="C1575" s="17" t="str">
        <f>IF(B1575="","",INDEX('01_Rohdaten'!B1575:D1575,'02_Eingaben'!$C$13))</f>
        <v/>
      </c>
      <c r="D1575" s="17" t="str">
        <f>IF(C1575="","",C1575*'02_Eingaben'!$C$15)</f>
        <v/>
      </c>
      <c r="E1575" s="17" t="str">
        <f>IF(D1575="","",D1575*'02_Eingaben'!$C$8)</f>
        <v/>
      </c>
      <c r="F1575" s="17" t="str">
        <f>IF(E1575="","",AVERAGE(INDEX($E$2:$E$3001,MAX(1,ROW()-1-'02_Eingaben'!$C$17)):INDEX($E$2:$E$3001,MIN('02_Eingaben'!$C$21,ROW()-1+'02_Eingaben'!$C$17))))</f>
        <v/>
      </c>
      <c r="G1575" s="17" t="str">
        <f>IF(F1575="","",F1575-'02_Eingaben'!$C$10)</f>
        <v/>
      </c>
      <c r="H1575" t="str">
        <f>IF(F1575="","",IF(F1575&lt;'02_Eingaben'!$C$18*'02_Eingaben'!$C$10,1,0))</f>
        <v/>
      </c>
      <c r="I1575" s="17" t="str">
        <f t="shared" si="24"/>
        <v/>
      </c>
      <c r="J1575" s="17" t="str">
        <f>IF(B1575="","",IF(B1574&lt;'02_Eingaben'!$C$36,0,J1574+I1574/'02_Eingaben'!$C$8))</f>
        <v/>
      </c>
    </row>
    <row r="1576" spans="1:10" x14ac:dyDescent="0.25">
      <c r="A1576" t="str">
        <f>IF('01_Rohdaten'!A1576="","",ROW()-1)</f>
        <v/>
      </c>
      <c r="B1576" s="17" t="str">
        <f>IF('01_Rohdaten'!A1576="","",'01_Rohdaten'!A1576)</f>
        <v/>
      </c>
      <c r="C1576" s="17" t="str">
        <f>IF(B1576="","",INDEX('01_Rohdaten'!B1576:D1576,'02_Eingaben'!$C$13))</f>
        <v/>
      </c>
      <c r="D1576" s="17" t="str">
        <f>IF(C1576="","",C1576*'02_Eingaben'!$C$15)</f>
        <v/>
      </c>
      <c r="E1576" s="17" t="str">
        <f>IF(D1576="","",D1576*'02_Eingaben'!$C$8)</f>
        <v/>
      </c>
      <c r="F1576" s="17" t="str">
        <f>IF(E1576="","",AVERAGE(INDEX($E$2:$E$3001,MAX(1,ROW()-1-'02_Eingaben'!$C$17)):INDEX($E$2:$E$3001,MIN('02_Eingaben'!$C$21,ROW()-1+'02_Eingaben'!$C$17))))</f>
        <v/>
      </c>
      <c r="G1576" s="17" t="str">
        <f>IF(F1576="","",F1576-'02_Eingaben'!$C$10)</f>
        <v/>
      </c>
      <c r="H1576" t="str">
        <f>IF(F1576="","",IF(F1576&lt;'02_Eingaben'!$C$18*'02_Eingaben'!$C$10,1,0))</f>
        <v/>
      </c>
      <c r="I1576" s="17" t="str">
        <f t="shared" si="24"/>
        <v/>
      </c>
      <c r="J1576" s="17" t="str">
        <f>IF(B1576="","",IF(B1575&lt;'02_Eingaben'!$C$36,0,J1575+I1575/'02_Eingaben'!$C$8))</f>
        <v/>
      </c>
    </row>
    <row r="1577" spans="1:10" x14ac:dyDescent="0.25">
      <c r="A1577" t="str">
        <f>IF('01_Rohdaten'!A1577="","",ROW()-1)</f>
        <v/>
      </c>
      <c r="B1577" s="17" t="str">
        <f>IF('01_Rohdaten'!A1577="","",'01_Rohdaten'!A1577)</f>
        <v/>
      </c>
      <c r="C1577" s="17" t="str">
        <f>IF(B1577="","",INDEX('01_Rohdaten'!B1577:D1577,'02_Eingaben'!$C$13))</f>
        <v/>
      </c>
      <c r="D1577" s="17" t="str">
        <f>IF(C1577="","",C1577*'02_Eingaben'!$C$15)</f>
        <v/>
      </c>
      <c r="E1577" s="17" t="str">
        <f>IF(D1577="","",D1577*'02_Eingaben'!$C$8)</f>
        <v/>
      </c>
      <c r="F1577" s="17" t="str">
        <f>IF(E1577="","",AVERAGE(INDEX($E$2:$E$3001,MAX(1,ROW()-1-'02_Eingaben'!$C$17)):INDEX($E$2:$E$3001,MIN('02_Eingaben'!$C$21,ROW()-1+'02_Eingaben'!$C$17))))</f>
        <v/>
      </c>
      <c r="G1577" s="17" t="str">
        <f>IF(F1577="","",F1577-'02_Eingaben'!$C$10)</f>
        <v/>
      </c>
      <c r="H1577" t="str">
        <f>IF(F1577="","",IF(F1577&lt;'02_Eingaben'!$C$18*'02_Eingaben'!$C$10,1,0))</f>
        <v/>
      </c>
      <c r="I1577" s="17" t="str">
        <f t="shared" si="24"/>
        <v/>
      </c>
      <c r="J1577" s="17" t="str">
        <f>IF(B1577="","",IF(B1576&lt;'02_Eingaben'!$C$36,0,J1576+I1576/'02_Eingaben'!$C$8))</f>
        <v/>
      </c>
    </row>
    <row r="1578" spans="1:10" x14ac:dyDescent="0.25">
      <c r="A1578" t="str">
        <f>IF('01_Rohdaten'!A1578="","",ROW()-1)</f>
        <v/>
      </c>
      <c r="B1578" s="17" t="str">
        <f>IF('01_Rohdaten'!A1578="","",'01_Rohdaten'!A1578)</f>
        <v/>
      </c>
      <c r="C1578" s="17" t="str">
        <f>IF(B1578="","",INDEX('01_Rohdaten'!B1578:D1578,'02_Eingaben'!$C$13))</f>
        <v/>
      </c>
      <c r="D1578" s="17" t="str">
        <f>IF(C1578="","",C1578*'02_Eingaben'!$C$15)</f>
        <v/>
      </c>
      <c r="E1578" s="17" t="str">
        <f>IF(D1578="","",D1578*'02_Eingaben'!$C$8)</f>
        <v/>
      </c>
      <c r="F1578" s="17" t="str">
        <f>IF(E1578="","",AVERAGE(INDEX($E$2:$E$3001,MAX(1,ROW()-1-'02_Eingaben'!$C$17)):INDEX($E$2:$E$3001,MIN('02_Eingaben'!$C$21,ROW()-1+'02_Eingaben'!$C$17))))</f>
        <v/>
      </c>
      <c r="G1578" s="17" t="str">
        <f>IF(F1578="","",F1578-'02_Eingaben'!$C$10)</f>
        <v/>
      </c>
      <c r="H1578" t="str">
        <f>IF(F1578="","",IF(F1578&lt;'02_Eingaben'!$C$18*'02_Eingaben'!$C$10,1,0))</f>
        <v/>
      </c>
      <c r="I1578" s="17" t="str">
        <f t="shared" si="24"/>
        <v/>
      </c>
      <c r="J1578" s="17" t="str">
        <f>IF(B1578="","",IF(B1577&lt;'02_Eingaben'!$C$36,0,J1577+I1577/'02_Eingaben'!$C$8))</f>
        <v/>
      </c>
    </row>
    <row r="1579" spans="1:10" x14ac:dyDescent="0.25">
      <c r="A1579" t="str">
        <f>IF('01_Rohdaten'!A1579="","",ROW()-1)</f>
        <v/>
      </c>
      <c r="B1579" s="17" t="str">
        <f>IF('01_Rohdaten'!A1579="","",'01_Rohdaten'!A1579)</f>
        <v/>
      </c>
      <c r="C1579" s="17" t="str">
        <f>IF(B1579="","",INDEX('01_Rohdaten'!B1579:D1579,'02_Eingaben'!$C$13))</f>
        <v/>
      </c>
      <c r="D1579" s="17" t="str">
        <f>IF(C1579="","",C1579*'02_Eingaben'!$C$15)</f>
        <v/>
      </c>
      <c r="E1579" s="17" t="str">
        <f>IF(D1579="","",D1579*'02_Eingaben'!$C$8)</f>
        <v/>
      </c>
      <c r="F1579" s="17" t="str">
        <f>IF(E1579="","",AVERAGE(INDEX($E$2:$E$3001,MAX(1,ROW()-1-'02_Eingaben'!$C$17)):INDEX($E$2:$E$3001,MIN('02_Eingaben'!$C$21,ROW()-1+'02_Eingaben'!$C$17))))</f>
        <v/>
      </c>
      <c r="G1579" s="17" t="str">
        <f>IF(F1579="","",F1579-'02_Eingaben'!$C$10)</f>
        <v/>
      </c>
      <c r="H1579" t="str">
        <f>IF(F1579="","",IF(F1579&lt;'02_Eingaben'!$C$18*'02_Eingaben'!$C$10,1,0))</f>
        <v/>
      </c>
      <c r="I1579" s="17" t="str">
        <f t="shared" si="24"/>
        <v/>
      </c>
      <c r="J1579" s="17" t="str">
        <f>IF(B1579="","",IF(B1578&lt;'02_Eingaben'!$C$36,0,J1578+I1578/'02_Eingaben'!$C$8))</f>
        <v/>
      </c>
    </row>
    <row r="1580" spans="1:10" x14ac:dyDescent="0.25">
      <c r="A1580" t="str">
        <f>IF('01_Rohdaten'!A1580="","",ROW()-1)</f>
        <v/>
      </c>
      <c r="B1580" s="17" t="str">
        <f>IF('01_Rohdaten'!A1580="","",'01_Rohdaten'!A1580)</f>
        <v/>
      </c>
      <c r="C1580" s="17" t="str">
        <f>IF(B1580="","",INDEX('01_Rohdaten'!B1580:D1580,'02_Eingaben'!$C$13))</f>
        <v/>
      </c>
      <c r="D1580" s="17" t="str">
        <f>IF(C1580="","",C1580*'02_Eingaben'!$C$15)</f>
        <v/>
      </c>
      <c r="E1580" s="17" t="str">
        <f>IF(D1580="","",D1580*'02_Eingaben'!$C$8)</f>
        <v/>
      </c>
      <c r="F1580" s="17" t="str">
        <f>IF(E1580="","",AVERAGE(INDEX($E$2:$E$3001,MAX(1,ROW()-1-'02_Eingaben'!$C$17)):INDEX($E$2:$E$3001,MIN('02_Eingaben'!$C$21,ROW()-1+'02_Eingaben'!$C$17))))</f>
        <v/>
      </c>
      <c r="G1580" s="17" t="str">
        <f>IF(F1580="","",F1580-'02_Eingaben'!$C$10)</f>
        <v/>
      </c>
      <c r="H1580" t="str">
        <f>IF(F1580="","",IF(F1580&lt;'02_Eingaben'!$C$18*'02_Eingaben'!$C$10,1,0))</f>
        <v/>
      </c>
      <c r="I1580" s="17" t="str">
        <f t="shared" si="24"/>
        <v/>
      </c>
      <c r="J1580" s="17" t="str">
        <f>IF(B1580="","",IF(B1579&lt;'02_Eingaben'!$C$36,0,J1579+I1579/'02_Eingaben'!$C$8))</f>
        <v/>
      </c>
    </row>
    <row r="1581" spans="1:10" x14ac:dyDescent="0.25">
      <c r="A1581" t="str">
        <f>IF('01_Rohdaten'!A1581="","",ROW()-1)</f>
        <v/>
      </c>
      <c r="B1581" s="17" t="str">
        <f>IF('01_Rohdaten'!A1581="","",'01_Rohdaten'!A1581)</f>
        <v/>
      </c>
      <c r="C1581" s="17" t="str">
        <f>IF(B1581="","",INDEX('01_Rohdaten'!B1581:D1581,'02_Eingaben'!$C$13))</f>
        <v/>
      </c>
      <c r="D1581" s="17" t="str">
        <f>IF(C1581="","",C1581*'02_Eingaben'!$C$15)</f>
        <v/>
      </c>
      <c r="E1581" s="17" t="str">
        <f>IF(D1581="","",D1581*'02_Eingaben'!$C$8)</f>
        <v/>
      </c>
      <c r="F1581" s="17" t="str">
        <f>IF(E1581="","",AVERAGE(INDEX($E$2:$E$3001,MAX(1,ROW()-1-'02_Eingaben'!$C$17)):INDEX($E$2:$E$3001,MIN('02_Eingaben'!$C$21,ROW()-1+'02_Eingaben'!$C$17))))</f>
        <v/>
      </c>
      <c r="G1581" s="17" t="str">
        <f>IF(F1581="","",F1581-'02_Eingaben'!$C$10)</f>
        <v/>
      </c>
      <c r="H1581" t="str">
        <f>IF(F1581="","",IF(F1581&lt;'02_Eingaben'!$C$18*'02_Eingaben'!$C$10,1,0))</f>
        <v/>
      </c>
      <c r="I1581" s="17" t="str">
        <f t="shared" si="24"/>
        <v/>
      </c>
      <c r="J1581" s="17" t="str">
        <f>IF(B1581="","",IF(B1580&lt;'02_Eingaben'!$C$36,0,J1580+I1580/'02_Eingaben'!$C$8))</f>
        <v/>
      </c>
    </row>
    <row r="1582" spans="1:10" x14ac:dyDescent="0.25">
      <c r="A1582" t="str">
        <f>IF('01_Rohdaten'!A1582="","",ROW()-1)</f>
        <v/>
      </c>
      <c r="B1582" s="17" t="str">
        <f>IF('01_Rohdaten'!A1582="","",'01_Rohdaten'!A1582)</f>
        <v/>
      </c>
      <c r="C1582" s="17" t="str">
        <f>IF(B1582="","",INDEX('01_Rohdaten'!B1582:D1582,'02_Eingaben'!$C$13))</f>
        <v/>
      </c>
      <c r="D1582" s="17" t="str">
        <f>IF(C1582="","",C1582*'02_Eingaben'!$C$15)</f>
        <v/>
      </c>
      <c r="E1582" s="17" t="str">
        <f>IF(D1582="","",D1582*'02_Eingaben'!$C$8)</f>
        <v/>
      </c>
      <c r="F1582" s="17" t="str">
        <f>IF(E1582="","",AVERAGE(INDEX($E$2:$E$3001,MAX(1,ROW()-1-'02_Eingaben'!$C$17)):INDEX($E$2:$E$3001,MIN('02_Eingaben'!$C$21,ROW()-1+'02_Eingaben'!$C$17))))</f>
        <v/>
      </c>
      <c r="G1582" s="17" t="str">
        <f>IF(F1582="","",F1582-'02_Eingaben'!$C$10)</f>
        <v/>
      </c>
      <c r="H1582" t="str">
        <f>IF(F1582="","",IF(F1582&lt;'02_Eingaben'!$C$18*'02_Eingaben'!$C$10,1,0))</f>
        <v/>
      </c>
      <c r="I1582" s="17" t="str">
        <f t="shared" si="24"/>
        <v/>
      </c>
      <c r="J1582" s="17" t="str">
        <f>IF(B1582="","",IF(B1581&lt;'02_Eingaben'!$C$36,0,J1581+I1581/'02_Eingaben'!$C$8))</f>
        <v/>
      </c>
    </row>
    <row r="1583" spans="1:10" x14ac:dyDescent="0.25">
      <c r="A1583" t="str">
        <f>IF('01_Rohdaten'!A1583="","",ROW()-1)</f>
        <v/>
      </c>
      <c r="B1583" s="17" t="str">
        <f>IF('01_Rohdaten'!A1583="","",'01_Rohdaten'!A1583)</f>
        <v/>
      </c>
      <c r="C1583" s="17" t="str">
        <f>IF(B1583="","",INDEX('01_Rohdaten'!B1583:D1583,'02_Eingaben'!$C$13))</f>
        <v/>
      </c>
      <c r="D1583" s="17" t="str">
        <f>IF(C1583="","",C1583*'02_Eingaben'!$C$15)</f>
        <v/>
      </c>
      <c r="E1583" s="17" t="str">
        <f>IF(D1583="","",D1583*'02_Eingaben'!$C$8)</f>
        <v/>
      </c>
      <c r="F1583" s="17" t="str">
        <f>IF(E1583="","",AVERAGE(INDEX($E$2:$E$3001,MAX(1,ROW()-1-'02_Eingaben'!$C$17)):INDEX($E$2:$E$3001,MIN('02_Eingaben'!$C$21,ROW()-1+'02_Eingaben'!$C$17))))</f>
        <v/>
      </c>
      <c r="G1583" s="17" t="str">
        <f>IF(F1583="","",F1583-'02_Eingaben'!$C$10)</f>
        <v/>
      </c>
      <c r="H1583" t="str">
        <f>IF(F1583="","",IF(F1583&lt;'02_Eingaben'!$C$18*'02_Eingaben'!$C$10,1,0))</f>
        <v/>
      </c>
      <c r="I1583" s="17" t="str">
        <f t="shared" si="24"/>
        <v/>
      </c>
      <c r="J1583" s="17" t="str">
        <f>IF(B1583="","",IF(B1582&lt;'02_Eingaben'!$C$36,0,J1582+I1582/'02_Eingaben'!$C$8))</f>
        <v/>
      </c>
    </row>
    <row r="1584" spans="1:10" x14ac:dyDescent="0.25">
      <c r="A1584" t="str">
        <f>IF('01_Rohdaten'!A1584="","",ROW()-1)</f>
        <v/>
      </c>
      <c r="B1584" s="17" t="str">
        <f>IF('01_Rohdaten'!A1584="","",'01_Rohdaten'!A1584)</f>
        <v/>
      </c>
      <c r="C1584" s="17" t="str">
        <f>IF(B1584="","",INDEX('01_Rohdaten'!B1584:D1584,'02_Eingaben'!$C$13))</f>
        <v/>
      </c>
      <c r="D1584" s="17" t="str">
        <f>IF(C1584="","",C1584*'02_Eingaben'!$C$15)</f>
        <v/>
      </c>
      <c r="E1584" s="17" t="str">
        <f>IF(D1584="","",D1584*'02_Eingaben'!$C$8)</f>
        <v/>
      </c>
      <c r="F1584" s="17" t="str">
        <f>IF(E1584="","",AVERAGE(INDEX($E$2:$E$3001,MAX(1,ROW()-1-'02_Eingaben'!$C$17)):INDEX($E$2:$E$3001,MIN('02_Eingaben'!$C$21,ROW()-1+'02_Eingaben'!$C$17))))</f>
        <v/>
      </c>
      <c r="G1584" s="17" t="str">
        <f>IF(F1584="","",F1584-'02_Eingaben'!$C$10)</f>
        <v/>
      </c>
      <c r="H1584" t="str">
        <f>IF(F1584="","",IF(F1584&lt;'02_Eingaben'!$C$18*'02_Eingaben'!$C$10,1,0))</f>
        <v/>
      </c>
      <c r="I1584" s="17" t="str">
        <f t="shared" si="24"/>
        <v/>
      </c>
      <c r="J1584" s="17" t="str">
        <f>IF(B1584="","",IF(B1583&lt;'02_Eingaben'!$C$36,0,J1583+I1583/'02_Eingaben'!$C$8))</f>
        <v/>
      </c>
    </row>
    <row r="1585" spans="1:10" x14ac:dyDescent="0.25">
      <c r="A1585" t="str">
        <f>IF('01_Rohdaten'!A1585="","",ROW()-1)</f>
        <v/>
      </c>
      <c r="B1585" s="17" t="str">
        <f>IF('01_Rohdaten'!A1585="","",'01_Rohdaten'!A1585)</f>
        <v/>
      </c>
      <c r="C1585" s="17" t="str">
        <f>IF(B1585="","",INDEX('01_Rohdaten'!B1585:D1585,'02_Eingaben'!$C$13))</f>
        <v/>
      </c>
      <c r="D1585" s="17" t="str">
        <f>IF(C1585="","",C1585*'02_Eingaben'!$C$15)</f>
        <v/>
      </c>
      <c r="E1585" s="17" t="str">
        <f>IF(D1585="","",D1585*'02_Eingaben'!$C$8)</f>
        <v/>
      </c>
      <c r="F1585" s="17" t="str">
        <f>IF(E1585="","",AVERAGE(INDEX($E$2:$E$3001,MAX(1,ROW()-1-'02_Eingaben'!$C$17)):INDEX($E$2:$E$3001,MIN('02_Eingaben'!$C$21,ROW()-1+'02_Eingaben'!$C$17))))</f>
        <v/>
      </c>
      <c r="G1585" s="17" t="str">
        <f>IF(F1585="","",F1585-'02_Eingaben'!$C$10)</f>
        <v/>
      </c>
      <c r="H1585" t="str">
        <f>IF(F1585="","",IF(F1585&lt;'02_Eingaben'!$C$18*'02_Eingaben'!$C$10,1,0))</f>
        <v/>
      </c>
      <c r="I1585" s="17" t="str">
        <f t="shared" si="24"/>
        <v/>
      </c>
      <c r="J1585" s="17" t="str">
        <f>IF(B1585="","",IF(B1584&lt;'02_Eingaben'!$C$36,0,J1584+I1584/'02_Eingaben'!$C$8))</f>
        <v/>
      </c>
    </row>
    <row r="1586" spans="1:10" x14ac:dyDescent="0.25">
      <c r="A1586" t="str">
        <f>IF('01_Rohdaten'!A1586="","",ROW()-1)</f>
        <v/>
      </c>
      <c r="B1586" s="17" t="str">
        <f>IF('01_Rohdaten'!A1586="","",'01_Rohdaten'!A1586)</f>
        <v/>
      </c>
      <c r="C1586" s="17" t="str">
        <f>IF(B1586="","",INDEX('01_Rohdaten'!B1586:D1586,'02_Eingaben'!$C$13))</f>
        <v/>
      </c>
      <c r="D1586" s="17" t="str">
        <f>IF(C1586="","",C1586*'02_Eingaben'!$C$15)</f>
        <v/>
      </c>
      <c r="E1586" s="17" t="str">
        <f>IF(D1586="","",D1586*'02_Eingaben'!$C$8)</f>
        <v/>
      </c>
      <c r="F1586" s="17" t="str">
        <f>IF(E1586="","",AVERAGE(INDEX($E$2:$E$3001,MAX(1,ROW()-1-'02_Eingaben'!$C$17)):INDEX($E$2:$E$3001,MIN('02_Eingaben'!$C$21,ROW()-1+'02_Eingaben'!$C$17))))</f>
        <v/>
      </c>
      <c r="G1586" s="17" t="str">
        <f>IF(F1586="","",F1586-'02_Eingaben'!$C$10)</f>
        <v/>
      </c>
      <c r="H1586" t="str">
        <f>IF(F1586="","",IF(F1586&lt;'02_Eingaben'!$C$18*'02_Eingaben'!$C$10,1,0))</f>
        <v/>
      </c>
      <c r="I1586" s="17" t="str">
        <f t="shared" si="24"/>
        <v/>
      </c>
      <c r="J1586" s="17" t="str">
        <f>IF(B1586="","",IF(B1585&lt;'02_Eingaben'!$C$36,0,J1585+I1585/'02_Eingaben'!$C$8))</f>
        <v/>
      </c>
    </row>
    <row r="1587" spans="1:10" x14ac:dyDescent="0.25">
      <c r="A1587" t="str">
        <f>IF('01_Rohdaten'!A1587="","",ROW()-1)</f>
        <v/>
      </c>
      <c r="B1587" s="17" t="str">
        <f>IF('01_Rohdaten'!A1587="","",'01_Rohdaten'!A1587)</f>
        <v/>
      </c>
      <c r="C1587" s="17" t="str">
        <f>IF(B1587="","",INDEX('01_Rohdaten'!B1587:D1587,'02_Eingaben'!$C$13))</f>
        <v/>
      </c>
      <c r="D1587" s="17" t="str">
        <f>IF(C1587="","",C1587*'02_Eingaben'!$C$15)</f>
        <v/>
      </c>
      <c r="E1587" s="17" t="str">
        <f>IF(D1587="","",D1587*'02_Eingaben'!$C$8)</f>
        <v/>
      </c>
      <c r="F1587" s="17" t="str">
        <f>IF(E1587="","",AVERAGE(INDEX($E$2:$E$3001,MAX(1,ROW()-1-'02_Eingaben'!$C$17)):INDEX($E$2:$E$3001,MIN('02_Eingaben'!$C$21,ROW()-1+'02_Eingaben'!$C$17))))</f>
        <v/>
      </c>
      <c r="G1587" s="17" t="str">
        <f>IF(F1587="","",F1587-'02_Eingaben'!$C$10)</f>
        <v/>
      </c>
      <c r="H1587" t="str">
        <f>IF(F1587="","",IF(F1587&lt;'02_Eingaben'!$C$18*'02_Eingaben'!$C$10,1,0))</f>
        <v/>
      </c>
      <c r="I1587" s="17" t="str">
        <f t="shared" si="24"/>
        <v/>
      </c>
      <c r="J1587" s="17" t="str">
        <f>IF(B1587="","",IF(B1586&lt;'02_Eingaben'!$C$36,0,J1586+I1586/'02_Eingaben'!$C$8))</f>
        <v/>
      </c>
    </row>
    <row r="1588" spans="1:10" x14ac:dyDescent="0.25">
      <c r="A1588" t="str">
        <f>IF('01_Rohdaten'!A1588="","",ROW()-1)</f>
        <v/>
      </c>
      <c r="B1588" s="17" t="str">
        <f>IF('01_Rohdaten'!A1588="","",'01_Rohdaten'!A1588)</f>
        <v/>
      </c>
      <c r="C1588" s="17" t="str">
        <f>IF(B1588="","",INDEX('01_Rohdaten'!B1588:D1588,'02_Eingaben'!$C$13))</f>
        <v/>
      </c>
      <c r="D1588" s="17" t="str">
        <f>IF(C1588="","",C1588*'02_Eingaben'!$C$15)</f>
        <v/>
      </c>
      <c r="E1588" s="17" t="str">
        <f>IF(D1588="","",D1588*'02_Eingaben'!$C$8)</f>
        <v/>
      </c>
      <c r="F1588" s="17" t="str">
        <f>IF(E1588="","",AVERAGE(INDEX($E$2:$E$3001,MAX(1,ROW()-1-'02_Eingaben'!$C$17)):INDEX($E$2:$E$3001,MIN('02_Eingaben'!$C$21,ROW()-1+'02_Eingaben'!$C$17))))</f>
        <v/>
      </c>
      <c r="G1588" s="17" t="str">
        <f>IF(F1588="","",F1588-'02_Eingaben'!$C$10)</f>
        <v/>
      </c>
      <c r="H1588" t="str">
        <f>IF(F1588="","",IF(F1588&lt;'02_Eingaben'!$C$18*'02_Eingaben'!$C$10,1,0))</f>
        <v/>
      </c>
      <c r="I1588" s="17" t="str">
        <f t="shared" si="24"/>
        <v/>
      </c>
      <c r="J1588" s="17" t="str">
        <f>IF(B1588="","",IF(B1587&lt;'02_Eingaben'!$C$36,0,J1587+I1587/'02_Eingaben'!$C$8))</f>
        <v/>
      </c>
    </row>
    <row r="1589" spans="1:10" x14ac:dyDescent="0.25">
      <c r="A1589" t="str">
        <f>IF('01_Rohdaten'!A1589="","",ROW()-1)</f>
        <v/>
      </c>
      <c r="B1589" s="17" t="str">
        <f>IF('01_Rohdaten'!A1589="","",'01_Rohdaten'!A1589)</f>
        <v/>
      </c>
      <c r="C1589" s="17" t="str">
        <f>IF(B1589="","",INDEX('01_Rohdaten'!B1589:D1589,'02_Eingaben'!$C$13))</f>
        <v/>
      </c>
      <c r="D1589" s="17" t="str">
        <f>IF(C1589="","",C1589*'02_Eingaben'!$C$15)</f>
        <v/>
      </c>
      <c r="E1589" s="17" t="str">
        <f>IF(D1589="","",D1589*'02_Eingaben'!$C$8)</f>
        <v/>
      </c>
      <c r="F1589" s="17" t="str">
        <f>IF(E1589="","",AVERAGE(INDEX($E$2:$E$3001,MAX(1,ROW()-1-'02_Eingaben'!$C$17)):INDEX($E$2:$E$3001,MIN('02_Eingaben'!$C$21,ROW()-1+'02_Eingaben'!$C$17))))</f>
        <v/>
      </c>
      <c r="G1589" s="17" t="str">
        <f>IF(F1589="","",F1589-'02_Eingaben'!$C$10)</f>
        <v/>
      </c>
      <c r="H1589" t="str">
        <f>IF(F1589="","",IF(F1589&lt;'02_Eingaben'!$C$18*'02_Eingaben'!$C$10,1,0))</f>
        <v/>
      </c>
      <c r="I1589" s="17" t="str">
        <f t="shared" si="24"/>
        <v/>
      </c>
      <c r="J1589" s="17" t="str">
        <f>IF(B1589="","",IF(B1588&lt;'02_Eingaben'!$C$36,0,J1588+I1588/'02_Eingaben'!$C$8))</f>
        <v/>
      </c>
    </row>
    <row r="1590" spans="1:10" x14ac:dyDescent="0.25">
      <c r="A1590" t="str">
        <f>IF('01_Rohdaten'!A1590="","",ROW()-1)</f>
        <v/>
      </c>
      <c r="B1590" s="17" t="str">
        <f>IF('01_Rohdaten'!A1590="","",'01_Rohdaten'!A1590)</f>
        <v/>
      </c>
      <c r="C1590" s="17" t="str">
        <f>IF(B1590="","",INDEX('01_Rohdaten'!B1590:D1590,'02_Eingaben'!$C$13))</f>
        <v/>
      </c>
      <c r="D1590" s="17" t="str">
        <f>IF(C1590="","",C1590*'02_Eingaben'!$C$15)</f>
        <v/>
      </c>
      <c r="E1590" s="17" t="str">
        <f>IF(D1590="","",D1590*'02_Eingaben'!$C$8)</f>
        <v/>
      </c>
      <c r="F1590" s="17" t="str">
        <f>IF(E1590="","",AVERAGE(INDEX($E$2:$E$3001,MAX(1,ROW()-1-'02_Eingaben'!$C$17)):INDEX($E$2:$E$3001,MIN('02_Eingaben'!$C$21,ROW()-1+'02_Eingaben'!$C$17))))</f>
        <v/>
      </c>
      <c r="G1590" s="17" t="str">
        <f>IF(F1590="","",F1590-'02_Eingaben'!$C$10)</f>
        <v/>
      </c>
      <c r="H1590" t="str">
        <f>IF(F1590="","",IF(F1590&lt;'02_Eingaben'!$C$18*'02_Eingaben'!$C$10,1,0))</f>
        <v/>
      </c>
      <c r="I1590" s="17" t="str">
        <f t="shared" si="24"/>
        <v/>
      </c>
      <c r="J1590" s="17" t="str">
        <f>IF(B1590="","",IF(B1589&lt;'02_Eingaben'!$C$36,0,J1589+I1589/'02_Eingaben'!$C$8))</f>
        <v/>
      </c>
    </row>
    <row r="1591" spans="1:10" x14ac:dyDescent="0.25">
      <c r="A1591" t="str">
        <f>IF('01_Rohdaten'!A1591="","",ROW()-1)</f>
        <v/>
      </c>
      <c r="B1591" s="17" t="str">
        <f>IF('01_Rohdaten'!A1591="","",'01_Rohdaten'!A1591)</f>
        <v/>
      </c>
      <c r="C1591" s="17" t="str">
        <f>IF(B1591="","",INDEX('01_Rohdaten'!B1591:D1591,'02_Eingaben'!$C$13))</f>
        <v/>
      </c>
      <c r="D1591" s="17" t="str">
        <f>IF(C1591="","",C1591*'02_Eingaben'!$C$15)</f>
        <v/>
      </c>
      <c r="E1591" s="17" t="str">
        <f>IF(D1591="","",D1591*'02_Eingaben'!$C$8)</f>
        <v/>
      </c>
      <c r="F1591" s="17" t="str">
        <f>IF(E1591="","",AVERAGE(INDEX($E$2:$E$3001,MAX(1,ROW()-1-'02_Eingaben'!$C$17)):INDEX($E$2:$E$3001,MIN('02_Eingaben'!$C$21,ROW()-1+'02_Eingaben'!$C$17))))</f>
        <v/>
      </c>
      <c r="G1591" s="17" t="str">
        <f>IF(F1591="","",F1591-'02_Eingaben'!$C$10)</f>
        <v/>
      </c>
      <c r="H1591" t="str">
        <f>IF(F1591="","",IF(F1591&lt;'02_Eingaben'!$C$18*'02_Eingaben'!$C$10,1,0))</f>
        <v/>
      </c>
      <c r="I1591" s="17" t="str">
        <f t="shared" si="24"/>
        <v/>
      </c>
      <c r="J1591" s="17" t="str">
        <f>IF(B1591="","",IF(B1590&lt;'02_Eingaben'!$C$36,0,J1590+I1590/'02_Eingaben'!$C$8))</f>
        <v/>
      </c>
    </row>
    <row r="1592" spans="1:10" x14ac:dyDescent="0.25">
      <c r="A1592" t="str">
        <f>IF('01_Rohdaten'!A1592="","",ROW()-1)</f>
        <v/>
      </c>
      <c r="B1592" s="17" t="str">
        <f>IF('01_Rohdaten'!A1592="","",'01_Rohdaten'!A1592)</f>
        <v/>
      </c>
      <c r="C1592" s="17" t="str">
        <f>IF(B1592="","",INDEX('01_Rohdaten'!B1592:D1592,'02_Eingaben'!$C$13))</f>
        <v/>
      </c>
      <c r="D1592" s="17" t="str">
        <f>IF(C1592="","",C1592*'02_Eingaben'!$C$15)</f>
        <v/>
      </c>
      <c r="E1592" s="17" t="str">
        <f>IF(D1592="","",D1592*'02_Eingaben'!$C$8)</f>
        <v/>
      </c>
      <c r="F1592" s="17" t="str">
        <f>IF(E1592="","",AVERAGE(INDEX($E$2:$E$3001,MAX(1,ROW()-1-'02_Eingaben'!$C$17)):INDEX($E$2:$E$3001,MIN('02_Eingaben'!$C$21,ROW()-1+'02_Eingaben'!$C$17))))</f>
        <v/>
      </c>
      <c r="G1592" s="17" t="str">
        <f>IF(F1592="","",F1592-'02_Eingaben'!$C$10)</f>
        <v/>
      </c>
      <c r="H1592" t="str">
        <f>IF(F1592="","",IF(F1592&lt;'02_Eingaben'!$C$18*'02_Eingaben'!$C$10,1,0))</f>
        <v/>
      </c>
      <c r="I1592" s="17" t="str">
        <f t="shared" si="24"/>
        <v/>
      </c>
      <c r="J1592" s="17" t="str">
        <f>IF(B1592="","",IF(B1591&lt;'02_Eingaben'!$C$36,0,J1591+I1591/'02_Eingaben'!$C$8))</f>
        <v/>
      </c>
    </row>
    <row r="1593" spans="1:10" x14ac:dyDescent="0.25">
      <c r="A1593" t="str">
        <f>IF('01_Rohdaten'!A1593="","",ROW()-1)</f>
        <v/>
      </c>
      <c r="B1593" s="17" t="str">
        <f>IF('01_Rohdaten'!A1593="","",'01_Rohdaten'!A1593)</f>
        <v/>
      </c>
      <c r="C1593" s="17" t="str">
        <f>IF(B1593="","",INDEX('01_Rohdaten'!B1593:D1593,'02_Eingaben'!$C$13))</f>
        <v/>
      </c>
      <c r="D1593" s="17" t="str">
        <f>IF(C1593="","",C1593*'02_Eingaben'!$C$15)</f>
        <v/>
      </c>
      <c r="E1593" s="17" t="str">
        <f>IF(D1593="","",D1593*'02_Eingaben'!$C$8)</f>
        <v/>
      </c>
      <c r="F1593" s="17" t="str">
        <f>IF(E1593="","",AVERAGE(INDEX($E$2:$E$3001,MAX(1,ROW()-1-'02_Eingaben'!$C$17)):INDEX($E$2:$E$3001,MIN('02_Eingaben'!$C$21,ROW()-1+'02_Eingaben'!$C$17))))</f>
        <v/>
      </c>
      <c r="G1593" s="17" t="str">
        <f>IF(F1593="","",F1593-'02_Eingaben'!$C$10)</f>
        <v/>
      </c>
      <c r="H1593" t="str">
        <f>IF(F1593="","",IF(F1593&lt;'02_Eingaben'!$C$18*'02_Eingaben'!$C$10,1,0))</f>
        <v/>
      </c>
      <c r="I1593" s="17" t="str">
        <f t="shared" si="24"/>
        <v/>
      </c>
      <c r="J1593" s="17" t="str">
        <f>IF(B1593="","",IF(B1592&lt;'02_Eingaben'!$C$36,0,J1592+I1592/'02_Eingaben'!$C$8))</f>
        <v/>
      </c>
    </row>
    <row r="1594" spans="1:10" x14ac:dyDescent="0.25">
      <c r="A1594" t="str">
        <f>IF('01_Rohdaten'!A1594="","",ROW()-1)</f>
        <v/>
      </c>
      <c r="B1594" s="17" t="str">
        <f>IF('01_Rohdaten'!A1594="","",'01_Rohdaten'!A1594)</f>
        <v/>
      </c>
      <c r="C1594" s="17" t="str">
        <f>IF(B1594="","",INDEX('01_Rohdaten'!B1594:D1594,'02_Eingaben'!$C$13))</f>
        <v/>
      </c>
      <c r="D1594" s="17" t="str">
        <f>IF(C1594="","",C1594*'02_Eingaben'!$C$15)</f>
        <v/>
      </c>
      <c r="E1594" s="17" t="str">
        <f>IF(D1594="","",D1594*'02_Eingaben'!$C$8)</f>
        <v/>
      </c>
      <c r="F1594" s="17" t="str">
        <f>IF(E1594="","",AVERAGE(INDEX($E$2:$E$3001,MAX(1,ROW()-1-'02_Eingaben'!$C$17)):INDEX($E$2:$E$3001,MIN('02_Eingaben'!$C$21,ROW()-1+'02_Eingaben'!$C$17))))</f>
        <v/>
      </c>
      <c r="G1594" s="17" t="str">
        <f>IF(F1594="","",F1594-'02_Eingaben'!$C$10)</f>
        <v/>
      </c>
      <c r="H1594" t="str">
        <f>IF(F1594="","",IF(F1594&lt;'02_Eingaben'!$C$18*'02_Eingaben'!$C$10,1,0))</f>
        <v/>
      </c>
      <c r="I1594" s="17" t="str">
        <f t="shared" si="24"/>
        <v/>
      </c>
      <c r="J1594" s="17" t="str">
        <f>IF(B1594="","",IF(B1593&lt;'02_Eingaben'!$C$36,0,J1593+I1593/'02_Eingaben'!$C$8))</f>
        <v/>
      </c>
    </row>
    <row r="1595" spans="1:10" x14ac:dyDescent="0.25">
      <c r="A1595" t="str">
        <f>IF('01_Rohdaten'!A1595="","",ROW()-1)</f>
        <v/>
      </c>
      <c r="B1595" s="17" t="str">
        <f>IF('01_Rohdaten'!A1595="","",'01_Rohdaten'!A1595)</f>
        <v/>
      </c>
      <c r="C1595" s="17" t="str">
        <f>IF(B1595="","",INDEX('01_Rohdaten'!B1595:D1595,'02_Eingaben'!$C$13))</f>
        <v/>
      </c>
      <c r="D1595" s="17" t="str">
        <f>IF(C1595="","",C1595*'02_Eingaben'!$C$15)</f>
        <v/>
      </c>
      <c r="E1595" s="17" t="str">
        <f>IF(D1595="","",D1595*'02_Eingaben'!$C$8)</f>
        <v/>
      </c>
      <c r="F1595" s="17" t="str">
        <f>IF(E1595="","",AVERAGE(INDEX($E$2:$E$3001,MAX(1,ROW()-1-'02_Eingaben'!$C$17)):INDEX($E$2:$E$3001,MIN('02_Eingaben'!$C$21,ROW()-1+'02_Eingaben'!$C$17))))</f>
        <v/>
      </c>
      <c r="G1595" s="17" t="str">
        <f>IF(F1595="","",F1595-'02_Eingaben'!$C$10)</f>
        <v/>
      </c>
      <c r="H1595" t="str">
        <f>IF(F1595="","",IF(F1595&lt;'02_Eingaben'!$C$18*'02_Eingaben'!$C$10,1,0))</f>
        <v/>
      </c>
      <c r="I1595" s="17" t="str">
        <f t="shared" si="24"/>
        <v/>
      </c>
      <c r="J1595" s="17" t="str">
        <f>IF(B1595="","",IF(B1594&lt;'02_Eingaben'!$C$36,0,J1594+I1594/'02_Eingaben'!$C$8))</f>
        <v/>
      </c>
    </row>
    <row r="1596" spans="1:10" x14ac:dyDescent="0.25">
      <c r="A1596" t="str">
        <f>IF('01_Rohdaten'!A1596="","",ROW()-1)</f>
        <v/>
      </c>
      <c r="B1596" s="17" t="str">
        <f>IF('01_Rohdaten'!A1596="","",'01_Rohdaten'!A1596)</f>
        <v/>
      </c>
      <c r="C1596" s="17" t="str">
        <f>IF(B1596="","",INDEX('01_Rohdaten'!B1596:D1596,'02_Eingaben'!$C$13))</f>
        <v/>
      </c>
      <c r="D1596" s="17" t="str">
        <f>IF(C1596="","",C1596*'02_Eingaben'!$C$15)</f>
        <v/>
      </c>
      <c r="E1596" s="17" t="str">
        <f>IF(D1596="","",D1596*'02_Eingaben'!$C$8)</f>
        <v/>
      </c>
      <c r="F1596" s="17" t="str">
        <f>IF(E1596="","",AVERAGE(INDEX($E$2:$E$3001,MAX(1,ROW()-1-'02_Eingaben'!$C$17)):INDEX($E$2:$E$3001,MIN('02_Eingaben'!$C$21,ROW()-1+'02_Eingaben'!$C$17))))</f>
        <v/>
      </c>
      <c r="G1596" s="17" t="str">
        <f>IF(F1596="","",F1596-'02_Eingaben'!$C$10)</f>
        <v/>
      </c>
      <c r="H1596" t="str">
        <f>IF(F1596="","",IF(F1596&lt;'02_Eingaben'!$C$18*'02_Eingaben'!$C$10,1,0))</f>
        <v/>
      </c>
      <c r="I1596" s="17" t="str">
        <f t="shared" si="24"/>
        <v/>
      </c>
      <c r="J1596" s="17" t="str">
        <f>IF(B1596="","",IF(B1595&lt;'02_Eingaben'!$C$36,0,J1595+I1595/'02_Eingaben'!$C$8))</f>
        <v/>
      </c>
    </row>
    <row r="1597" spans="1:10" x14ac:dyDescent="0.25">
      <c r="A1597" t="str">
        <f>IF('01_Rohdaten'!A1597="","",ROW()-1)</f>
        <v/>
      </c>
      <c r="B1597" s="17" t="str">
        <f>IF('01_Rohdaten'!A1597="","",'01_Rohdaten'!A1597)</f>
        <v/>
      </c>
      <c r="C1597" s="17" t="str">
        <f>IF(B1597="","",INDEX('01_Rohdaten'!B1597:D1597,'02_Eingaben'!$C$13))</f>
        <v/>
      </c>
      <c r="D1597" s="17" t="str">
        <f>IF(C1597="","",C1597*'02_Eingaben'!$C$15)</f>
        <v/>
      </c>
      <c r="E1597" s="17" t="str">
        <f>IF(D1597="","",D1597*'02_Eingaben'!$C$8)</f>
        <v/>
      </c>
      <c r="F1597" s="17" t="str">
        <f>IF(E1597="","",AVERAGE(INDEX($E$2:$E$3001,MAX(1,ROW()-1-'02_Eingaben'!$C$17)):INDEX($E$2:$E$3001,MIN('02_Eingaben'!$C$21,ROW()-1+'02_Eingaben'!$C$17))))</f>
        <v/>
      </c>
      <c r="G1597" s="17" t="str">
        <f>IF(F1597="","",F1597-'02_Eingaben'!$C$10)</f>
        <v/>
      </c>
      <c r="H1597" t="str">
        <f>IF(F1597="","",IF(F1597&lt;'02_Eingaben'!$C$18*'02_Eingaben'!$C$10,1,0))</f>
        <v/>
      </c>
      <c r="I1597" s="17" t="str">
        <f t="shared" si="24"/>
        <v/>
      </c>
      <c r="J1597" s="17" t="str">
        <f>IF(B1597="","",IF(B1596&lt;'02_Eingaben'!$C$36,0,J1596+I1596/'02_Eingaben'!$C$8))</f>
        <v/>
      </c>
    </row>
    <row r="1598" spans="1:10" x14ac:dyDescent="0.25">
      <c r="A1598" t="str">
        <f>IF('01_Rohdaten'!A1598="","",ROW()-1)</f>
        <v/>
      </c>
      <c r="B1598" s="17" t="str">
        <f>IF('01_Rohdaten'!A1598="","",'01_Rohdaten'!A1598)</f>
        <v/>
      </c>
      <c r="C1598" s="17" t="str">
        <f>IF(B1598="","",INDEX('01_Rohdaten'!B1598:D1598,'02_Eingaben'!$C$13))</f>
        <v/>
      </c>
      <c r="D1598" s="17" t="str">
        <f>IF(C1598="","",C1598*'02_Eingaben'!$C$15)</f>
        <v/>
      </c>
      <c r="E1598" s="17" t="str">
        <f>IF(D1598="","",D1598*'02_Eingaben'!$C$8)</f>
        <v/>
      </c>
      <c r="F1598" s="17" t="str">
        <f>IF(E1598="","",AVERAGE(INDEX($E$2:$E$3001,MAX(1,ROW()-1-'02_Eingaben'!$C$17)):INDEX($E$2:$E$3001,MIN('02_Eingaben'!$C$21,ROW()-1+'02_Eingaben'!$C$17))))</f>
        <v/>
      </c>
      <c r="G1598" s="17" t="str">
        <f>IF(F1598="","",F1598-'02_Eingaben'!$C$10)</f>
        <v/>
      </c>
      <c r="H1598" t="str">
        <f>IF(F1598="","",IF(F1598&lt;'02_Eingaben'!$C$18*'02_Eingaben'!$C$10,1,0))</f>
        <v/>
      </c>
      <c r="I1598" s="17" t="str">
        <f t="shared" si="24"/>
        <v/>
      </c>
      <c r="J1598" s="17" t="str">
        <f>IF(B1598="","",IF(B1597&lt;'02_Eingaben'!$C$36,0,J1597+I1597/'02_Eingaben'!$C$8))</f>
        <v/>
      </c>
    </row>
    <row r="1599" spans="1:10" x14ac:dyDescent="0.25">
      <c r="A1599" t="str">
        <f>IF('01_Rohdaten'!A1599="","",ROW()-1)</f>
        <v/>
      </c>
      <c r="B1599" s="17" t="str">
        <f>IF('01_Rohdaten'!A1599="","",'01_Rohdaten'!A1599)</f>
        <v/>
      </c>
      <c r="C1599" s="17" t="str">
        <f>IF(B1599="","",INDEX('01_Rohdaten'!B1599:D1599,'02_Eingaben'!$C$13))</f>
        <v/>
      </c>
      <c r="D1599" s="17" t="str">
        <f>IF(C1599="","",C1599*'02_Eingaben'!$C$15)</f>
        <v/>
      </c>
      <c r="E1599" s="17" t="str">
        <f>IF(D1599="","",D1599*'02_Eingaben'!$C$8)</f>
        <v/>
      </c>
      <c r="F1599" s="17" t="str">
        <f>IF(E1599="","",AVERAGE(INDEX($E$2:$E$3001,MAX(1,ROW()-1-'02_Eingaben'!$C$17)):INDEX($E$2:$E$3001,MIN('02_Eingaben'!$C$21,ROW()-1+'02_Eingaben'!$C$17))))</f>
        <v/>
      </c>
      <c r="G1599" s="17" t="str">
        <f>IF(F1599="","",F1599-'02_Eingaben'!$C$10)</f>
        <v/>
      </c>
      <c r="H1599" t="str">
        <f>IF(F1599="","",IF(F1599&lt;'02_Eingaben'!$C$18*'02_Eingaben'!$C$10,1,0))</f>
        <v/>
      </c>
      <c r="I1599" s="17" t="str">
        <f t="shared" si="24"/>
        <v/>
      </c>
      <c r="J1599" s="17" t="str">
        <f>IF(B1599="","",IF(B1598&lt;'02_Eingaben'!$C$36,0,J1598+I1598/'02_Eingaben'!$C$8))</f>
        <v/>
      </c>
    </row>
    <row r="1600" spans="1:10" x14ac:dyDescent="0.25">
      <c r="A1600" t="str">
        <f>IF('01_Rohdaten'!A1600="","",ROW()-1)</f>
        <v/>
      </c>
      <c r="B1600" s="17" t="str">
        <f>IF('01_Rohdaten'!A1600="","",'01_Rohdaten'!A1600)</f>
        <v/>
      </c>
      <c r="C1600" s="17" t="str">
        <f>IF(B1600="","",INDEX('01_Rohdaten'!B1600:D1600,'02_Eingaben'!$C$13))</f>
        <v/>
      </c>
      <c r="D1600" s="17" t="str">
        <f>IF(C1600="","",C1600*'02_Eingaben'!$C$15)</f>
        <v/>
      </c>
      <c r="E1600" s="17" t="str">
        <f>IF(D1600="","",D1600*'02_Eingaben'!$C$8)</f>
        <v/>
      </c>
      <c r="F1600" s="17" t="str">
        <f>IF(E1600="","",AVERAGE(INDEX($E$2:$E$3001,MAX(1,ROW()-1-'02_Eingaben'!$C$17)):INDEX($E$2:$E$3001,MIN('02_Eingaben'!$C$21,ROW()-1+'02_Eingaben'!$C$17))))</f>
        <v/>
      </c>
      <c r="G1600" s="17" t="str">
        <f>IF(F1600="","",F1600-'02_Eingaben'!$C$10)</f>
        <v/>
      </c>
      <c r="H1600" t="str">
        <f>IF(F1600="","",IF(F1600&lt;'02_Eingaben'!$C$18*'02_Eingaben'!$C$10,1,0))</f>
        <v/>
      </c>
      <c r="I1600" s="17" t="str">
        <f t="shared" si="24"/>
        <v/>
      </c>
      <c r="J1600" s="17" t="str">
        <f>IF(B1600="","",IF(B1599&lt;'02_Eingaben'!$C$36,0,J1599+I1599/'02_Eingaben'!$C$8))</f>
        <v/>
      </c>
    </row>
    <row r="1601" spans="1:10" x14ac:dyDescent="0.25">
      <c r="A1601" t="str">
        <f>IF('01_Rohdaten'!A1601="","",ROW()-1)</f>
        <v/>
      </c>
      <c r="B1601" s="17" t="str">
        <f>IF('01_Rohdaten'!A1601="","",'01_Rohdaten'!A1601)</f>
        <v/>
      </c>
      <c r="C1601" s="17" t="str">
        <f>IF(B1601="","",INDEX('01_Rohdaten'!B1601:D1601,'02_Eingaben'!$C$13))</f>
        <v/>
      </c>
      <c r="D1601" s="17" t="str">
        <f>IF(C1601="","",C1601*'02_Eingaben'!$C$15)</f>
        <v/>
      </c>
      <c r="E1601" s="17" t="str">
        <f>IF(D1601="","",D1601*'02_Eingaben'!$C$8)</f>
        <v/>
      </c>
      <c r="F1601" s="17" t="str">
        <f>IF(E1601="","",AVERAGE(INDEX($E$2:$E$3001,MAX(1,ROW()-1-'02_Eingaben'!$C$17)):INDEX($E$2:$E$3001,MIN('02_Eingaben'!$C$21,ROW()-1+'02_Eingaben'!$C$17))))</f>
        <v/>
      </c>
      <c r="G1601" s="17" t="str">
        <f>IF(F1601="","",F1601-'02_Eingaben'!$C$10)</f>
        <v/>
      </c>
      <c r="H1601" t="str">
        <f>IF(F1601="","",IF(F1601&lt;'02_Eingaben'!$C$18*'02_Eingaben'!$C$10,1,0))</f>
        <v/>
      </c>
      <c r="I1601" s="17" t="str">
        <f t="shared" si="24"/>
        <v/>
      </c>
      <c r="J1601" s="17" t="str">
        <f>IF(B1601="","",IF(B1600&lt;'02_Eingaben'!$C$36,0,J1600+I1600/'02_Eingaben'!$C$8))</f>
        <v/>
      </c>
    </row>
    <row r="1602" spans="1:10" x14ac:dyDescent="0.25">
      <c r="A1602" t="str">
        <f>IF('01_Rohdaten'!A1602="","",ROW()-1)</f>
        <v/>
      </c>
      <c r="B1602" s="17" t="str">
        <f>IF('01_Rohdaten'!A1602="","",'01_Rohdaten'!A1602)</f>
        <v/>
      </c>
      <c r="C1602" s="17" t="str">
        <f>IF(B1602="","",INDEX('01_Rohdaten'!B1602:D1602,'02_Eingaben'!$C$13))</f>
        <v/>
      </c>
      <c r="D1602" s="17" t="str">
        <f>IF(C1602="","",C1602*'02_Eingaben'!$C$15)</f>
        <v/>
      </c>
      <c r="E1602" s="17" t="str">
        <f>IF(D1602="","",D1602*'02_Eingaben'!$C$8)</f>
        <v/>
      </c>
      <c r="F1602" s="17" t="str">
        <f>IF(E1602="","",AVERAGE(INDEX($E$2:$E$3001,MAX(1,ROW()-1-'02_Eingaben'!$C$17)):INDEX($E$2:$E$3001,MIN('02_Eingaben'!$C$21,ROW()-1+'02_Eingaben'!$C$17))))</f>
        <v/>
      </c>
      <c r="G1602" s="17" t="str">
        <f>IF(F1602="","",F1602-'02_Eingaben'!$C$10)</f>
        <v/>
      </c>
      <c r="H1602" t="str">
        <f>IF(F1602="","",IF(F1602&lt;'02_Eingaben'!$C$18*'02_Eingaben'!$C$10,1,0))</f>
        <v/>
      </c>
      <c r="I1602" s="17" t="str">
        <f t="shared" ref="I1602:I1665" si="25">IF(OR(G1602="",G1603=""),"",(G1602+G1603)/2*(B1603-B1602))</f>
        <v/>
      </c>
      <c r="J1602" s="17" t="str">
        <f>IF(B1602="","",IF(B1601&lt;'02_Eingaben'!$C$36,0,J1601+I1601/'02_Eingaben'!$C$8))</f>
        <v/>
      </c>
    </row>
    <row r="1603" spans="1:10" x14ac:dyDescent="0.25">
      <c r="A1603" t="str">
        <f>IF('01_Rohdaten'!A1603="","",ROW()-1)</f>
        <v/>
      </c>
      <c r="B1603" s="17" t="str">
        <f>IF('01_Rohdaten'!A1603="","",'01_Rohdaten'!A1603)</f>
        <v/>
      </c>
      <c r="C1603" s="17" t="str">
        <f>IF(B1603="","",INDEX('01_Rohdaten'!B1603:D1603,'02_Eingaben'!$C$13))</f>
        <v/>
      </c>
      <c r="D1603" s="17" t="str">
        <f>IF(C1603="","",C1603*'02_Eingaben'!$C$15)</f>
        <v/>
      </c>
      <c r="E1603" s="17" t="str">
        <f>IF(D1603="","",D1603*'02_Eingaben'!$C$8)</f>
        <v/>
      </c>
      <c r="F1603" s="17" t="str">
        <f>IF(E1603="","",AVERAGE(INDEX($E$2:$E$3001,MAX(1,ROW()-1-'02_Eingaben'!$C$17)):INDEX($E$2:$E$3001,MIN('02_Eingaben'!$C$21,ROW()-1+'02_Eingaben'!$C$17))))</f>
        <v/>
      </c>
      <c r="G1603" s="17" t="str">
        <f>IF(F1603="","",F1603-'02_Eingaben'!$C$10)</f>
        <v/>
      </c>
      <c r="H1603" t="str">
        <f>IF(F1603="","",IF(F1603&lt;'02_Eingaben'!$C$18*'02_Eingaben'!$C$10,1,0))</f>
        <v/>
      </c>
      <c r="I1603" s="17" t="str">
        <f t="shared" si="25"/>
        <v/>
      </c>
      <c r="J1603" s="17" t="str">
        <f>IF(B1603="","",IF(B1602&lt;'02_Eingaben'!$C$36,0,J1602+I1602/'02_Eingaben'!$C$8))</f>
        <v/>
      </c>
    </row>
    <row r="1604" spans="1:10" x14ac:dyDescent="0.25">
      <c r="A1604" t="str">
        <f>IF('01_Rohdaten'!A1604="","",ROW()-1)</f>
        <v/>
      </c>
      <c r="B1604" s="17" t="str">
        <f>IF('01_Rohdaten'!A1604="","",'01_Rohdaten'!A1604)</f>
        <v/>
      </c>
      <c r="C1604" s="17" t="str">
        <f>IF(B1604="","",INDEX('01_Rohdaten'!B1604:D1604,'02_Eingaben'!$C$13))</f>
        <v/>
      </c>
      <c r="D1604" s="17" t="str">
        <f>IF(C1604="","",C1604*'02_Eingaben'!$C$15)</f>
        <v/>
      </c>
      <c r="E1604" s="17" t="str">
        <f>IF(D1604="","",D1604*'02_Eingaben'!$C$8)</f>
        <v/>
      </c>
      <c r="F1604" s="17" t="str">
        <f>IF(E1604="","",AVERAGE(INDEX($E$2:$E$3001,MAX(1,ROW()-1-'02_Eingaben'!$C$17)):INDEX($E$2:$E$3001,MIN('02_Eingaben'!$C$21,ROW()-1+'02_Eingaben'!$C$17))))</f>
        <v/>
      </c>
      <c r="G1604" s="17" t="str">
        <f>IF(F1604="","",F1604-'02_Eingaben'!$C$10)</f>
        <v/>
      </c>
      <c r="H1604" t="str">
        <f>IF(F1604="","",IF(F1604&lt;'02_Eingaben'!$C$18*'02_Eingaben'!$C$10,1,0))</f>
        <v/>
      </c>
      <c r="I1604" s="17" t="str">
        <f t="shared" si="25"/>
        <v/>
      </c>
      <c r="J1604" s="17" t="str">
        <f>IF(B1604="","",IF(B1603&lt;'02_Eingaben'!$C$36,0,J1603+I1603/'02_Eingaben'!$C$8))</f>
        <v/>
      </c>
    </row>
    <row r="1605" spans="1:10" x14ac:dyDescent="0.25">
      <c r="A1605" t="str">
        <f>IF('01_Rohdaten'!A1605="","",ROW()-1)</f>
        <v/>
      </c>
      <c r="B1605" s="17" t="str">
        <f>IF('01_Rohdaten'!A1605="","",'01_Rohdaten'!A1605)</f>
        <v/>
      </c>
      <c r="C1605" s="17" t="str">
        <f>IF(B1605="","",INDEX('01_Rohdaten'!B1605:D1605,'02_Eingaben'!$C$13))</f>
        <v/>
      </c>
      <c r="D1605" s="17" t="str">
        <f>IF(C1605="","",C1605*'02_Eingaben'!$C$15)</f>
        <v/>
      </c>
      <c r="E1605" s="17" t="str">
        <f>IF(D1605="","",D1605*'02_Eingaben'!$C$8)</f>
        <v/>
      </c>
      <c r="F1605" s="17" t="str">
        <f>IF(E1605="","",AVERAGE(INDEX($E$2:$E$3001,MAX(1,ROW()-1-'02_Eingaben'!$C$17)):INDEX($E$2:$E$3001,MIN('02_Eingaben'!$C$21,ROW()-1+'02_Eingaben'!$C$17))))</f>
        <v/>
      </c>
      <c r="G1605" s="17" t="str">
        <f>IF(F1605="","",F1605-'02_Eingaben'!$C$10)</f>
        <v/>
      </c>
      <c r="H1605" t="str">
        <f>IF(F1605="","",IF(F1605&lt;'02_Eingaben'!$C$18*'02_Eingaben'!$C$10,1,0))</f>
        <v/>
      </c>
      <c r="I1605" s="17" t="str">
        <f t="shared" si="25"/>
        <v/>
      </c>
      <c r="J1605" s="17" t="str">
        <f>IF(B1605="","",IF(B1604&lt;'02_Eingaben'!$C$36,0,J1604+I1604/'02_Eingaben'!$C$8))</f>
        <v/>
      </c>
    </row>
    <row r="1606" spans="1:10" x14ac:dyDescent="0.25">
      <c r="A1606" t="str">
        <f>IF('01_Rohdaten'!A1606="","",ROW()-1)</f>
        <v/>
      </c>
      <c r="B1606" s="17" t="str">
        <f>IF('01_Rohdaten'!A1606="","",'01_Rohdaten'!A1606)</f>
        <v/>
      </c>
      <c r="C1606" s="17" t="str">
        <f>IF(B1606="","",INDEX('01_Rohdaten'!B1606:D1606,'02_Eingaben'!$C$13))</f>
        <v/>
      </c>
      <c r="D1606" s="17" t="str">
        <f>IF(C1606="","",C1606*'02_Eingaben'!$C$15)</f>
        <v/>
      </c>
      <c r="E1606" s="17" t="str">
        <f>IF(D1606="","",D1606*'02_Eingaben'!$C$8)</f>
        <v/>
      </c>
      <c r="F1606" s="17" t="str">
        <f>IF(E1606="","",AVERAGE(INDEX($E$2:$E$3001,MAX(1,ROW()-1-'02_Eingaben'!$C$17)):INDEX($E$2:$E$3001,MIN('02_Eingaben'!$C$21,ROW()-1+'02_Eingaben'!$C$17))))</f>
        <v/>
      </c>
      <c r="G1606" s="17" t="str">
        <f>IF(F1606="","",F1606-'02_Eingaben'!$C$10)</f>
        <v/>
      </c>
      <c r="H1606" t="str">
        <f>IF(F1606="","",IF(F1606&lt;'02_Eingaben'!$C$18*'02_Eingaben'!$C$10,1,0))</f>
        <v/>
      </c>
      <c r="I1606" s="17" t="str">
        <f t="shared" si="25"/>
        <v/>
      </c>
      <c r="J1606" s="17" t="str">
        <f>IF(B1606="","",IF(B1605&lt;'02_Eingaben'!$C$36,0,J1605+I1605/'02_Eingaben'!$C$8))</f>
        <v/>
      </c>
    </row>
    <row r="1607" spans="1:10" x14ac:dyDescent="0.25">
      <c r="A1607" t="str">
        <f>IF('01_Rohdaten'!A1607="","",ROW()-1)</f>
        <v/>
      </c>
      <c r="B1607" s="17" t="str">
        <f>IF('01_Rohdaten'!A1607="","",'01_Rohdaten'!A1607)</f>
        <v/>
      </c>
      <c r="C1607" s="17" t="str">
        <f>IF(B1607="","",INDEX('01_Rohdaten'!B1607:D1607,'02_Eingaben'!$C$13))</f>
        <v/>
      </c>
      <c r="D1607" s="17" t="str">
        <f>IF(C1607="","",C1607*'02_Eingaben'!$C$15)</f>
        <v/>
      </c>
      <c r="E1607" s="17" t="str">
        <f>IF(D1607="","",D1607*'02_Eingaben'!$C$8)</f>
        <v/>
      </c>
      <c r="F1607" s="17" t="str">
        <f>IF(E1607="","",AVERAGE(INDEX($E$2:$E$3001,MAX(1,ROW()-1-'02_Eingaben'!$C$17)):INDEX($E$2:$E$3001,MIN('02_Eingaben'!$C$21,ROW()-1+'02_Eingaben'!$C$17))))</f>
        <v/>
      </c>
      <c r="G1607" s="17" t="str">
        <f>IF(F1607="","",F1607-'02_Eingaben'!$C$10)</f>
        <v/>
      </c>
      <c r="H1607" t="str">
        <f>IF(F1607="","",IF(F1607&lt;'02_Eingaben'!$C$18*'02_Eingaben'!$C$10,1,0))</f>
        <v/>
      </c>
      <c r="I1607" s="17" t="str">
        <f t="shared" si="25"/>
        <v/>
      </c>
      <c r="J1607" s="17" t="str">
        <f>IF(B1607="","",IF(B1606&lt;'02_Eingaben'!$C$36,0,J1606+I1606/'02_Eingaben'!$C$8))</f>
        <v/>
      </c>
    </row>
    <row r="1608" spans="1:10" x14ac:dyDescent="0.25">
      <c r="A1608" t="str">
        <f>IF('01_Rohdaten'!A1608="","",ROW()-1)</f>
        <v/>
      </c>
      <c r="B1608" s="17" t="str">
        <f>IF('01_Rohdaten'!A1608="","",'01_Rohdaten'!A1608)</f>
        <v/>
      </c>
      <c r="C1608" s="17" t="str">
        <f>IF(B1608="","",INDEX('01_Rohdaten'!B1608:D1608,'02_Eingaben'!$C$13))</f>
        <v/>
      </c>
      <c r="D1608" s="17" t="str">
        <f>IF(C1608="","",C1608*'02_Eingaben'!$C$15)</f>
        <v/>
      </c>
      <c r="E1608" s="17" t="str">
        <f>IF(D1608="","",D1608*'02_Eingaben'!$C$8)</f>
        <v/>
      </c>
      <c r="F1608" s="17" t="str">
        <f>IF(E1608="","",AVERAGE(INDEX($E$2:$E$3001,MAX(1,ROW()-1-'02_Eingaben'!$C$17)):INDEX($E$2:$E$3001,MIN('02_Eingaben'!$C$21,ROW()-1+'02_Eingaben'!$C$17))))</f>
        <v/>
      </c>
      <c r="G1608" s="17" t="str">
        <f>IF(F1608="","",F1608-'02_Eingaben'!$C$10)</f>
        <v/>
      </c>
      <c r="H1608" t="str">
        <f>IF(F1608="","",IF(F1608&lt;'02_Eingaben'!$C$18*'02_Eingaben'!$C$10,1,0))</f>
        <v/>
      </c>
      <c r="I1608" s="17" t="str">
        <f t="shared" si="25"/>
        <v/>
      </c>
      <c r="J1608" s="17" t="str">
        <f>IF(B1608="","",IF(B1607&lt;'02_Eingaben'!$C$36,0,J1607+I1607/'02_Eingaben'!$C$8))</f>
        <v/>
      </c>
    </row>
    <row r="1609" spans="1:10" x14ac:dyDescent="0.25">
      <c r="A1609" t="str">
        <f>IF('01_Rohdaten'!A1609="","",ROW()-1)</f>
        <v/>
      </c>
      <c r="B1609" s="17" t="str">
        <f>IF('01_Rohdaten'!A1609="","",'01_Rohdaten'!A1609)</f>
        <v/>
      </c>
      <c r="C1609" s="17" t="str">
        <f>IF(B1609="","",INDEX('01_Rohdaten'!B1609:D1609,'02_Eingaben'!$C$13))</f>
        <v/>
      </c>
      <c r="D1609" s="17" t="str">
        <f>IF(C1609="","",C1609*'02_Eingaben'!$C$15)</f>
        <v/>
      </c>
      <c r="E1609" s="17" t="str">
        <f>IF(D1609="","",D1609*'02_Eingaben'!$C$8)</f>
        <v/>
      </c>
      <c r="F1609" s="17" t="str">
        <f>IF(E1609="","",AVERAGE(INDEX($E$2:$E$3001,MAX(1,ROW()-1-'02_Eingaben'!$C$17)):INDEX($E$2:$E$3001,MIN('02_Eingaben'!$C$21,ROW()-1+'02_Eingaben'!$C$17))))</f>
        <v/>
      </c>
      <c r="G1609" s="17" t="str">
        <f>IF(F1609="","",F1609-'02_Eingaben'!$C$10)</f>
        <v/>
      </c>
      <c r="H1609" t="str">
        <f>IF(F1609="","",IF(F1609&lt;'02_Eingaben'!$C$18*'02_Eingaben'!$C$10,1,0))</f>
        <v/>
      </c>
      <c r="I1609" s="17" t="str">
        <f t="shared" si="25"/>
        <v/>
      </c>
      <c r="J1609" s="17" t="str">
        <f>IF(B1609="","",IF(B1608&lt;'02_Eingaben'!$C$36,0,J1608+I1608/'02_Eingaben'!$C$8))</f>
        <v/>
      </c>
    </row>
    <row r="1610" spans="1:10" x14ac:dyDescent="0.25">
      <c r="A1610" t="str">
        <f>IF('01_Rohdaten'!A1610="","",ROW()-1)</f>
        <v/>
      </c>
      <c r="B1610" s="17" t="str">
        <f>IF('01_Rohdaten'!A1610="","",'01_Rohdaten'!A1610)</f>
        <v/>
      </c>
      <c r="C1610" s="17" t="str">
        <f>IF(B1610="","",INDEX('01_Rohdaten'!B1610:D1610,'02_Eingaben'!$C$13))</f>
        <v/>
      </c>
      <c r="D1610" s="17" t="str">
        <f>IF(C1610="","",C1610*'02_Eingaben'!$C$15)</f>
        <v/>
      </c>
      <c r="E1610" s="17" t="str">
        <f>IF(D1610="","",D1610*'02_Eingaben'!$C$8)</f>
        <v/>
      </c>
      <c r="F1610" s="17" t="str">
        <f>IF(E1610="","",AVERAGE(INDEX($E$2:$E$3001,MAX(1,ROW()-1-'02_Eingaben'!$C$17)):INDEX($E$2:$E$3001,MIN('02_Eingaben'!$C$21,ROW()-1+'02_Eingaben'!$C$17))))</f>
        <v/>
      </c>
      <c r="G1610" s="17" t="str">
        <f>IF(F1610="","",F1610-'02_Eingaben'!$C$10)</f>
        <v/>
      </c>
      <c r="H1610" t="str">
        <f>IF(F1610="","",IF(F1610&lt;'02_Eingaben'!$C$18*'02_Eingaben'!$C$10,1,0))</f>
        <v/>
      </c>
      <c r="I1610" s="17" t="str">
        <f t="shared" si="25"/>
        <v/>
      </c>
      <c r="J1610" s="17" t="str">
        <f>IF(B1610="","",IF(B1609&lt;'02_Eingaben'!$C$36,0,J1609+I1609/'02_Eingaben'!$C$8))</f>
        <v/>
      </c>
    </row>
    <row r="1611" spans="1:10" x14ac:dyDescent="0.25">
      <c r="A1611" t="str">
        <f>IF('01_Rohdaten'!A1611="","",ROW()-1)</f>
        <v/>
      </c>
      <c r="B1611" s="17" t="str">
        <f>IF('01_Rohdaten'!A1611="","",'01_Rohdaten'!A1611)</f>
        <v/>
      </c>
      <c r="C1611" s="17" t="str">
        <f>IF(B1611="","",INDEX('01_Rohdaten'!B1611:D1611,'02_Eingaben'!$C$13))</f>
        <v/>
      </c>
      <c r="D1611" s="17" t="str">
        <f>IF(C1611="","",C1611*'02_Eingaben'!$C$15)</f>
        <v/>
      </c>
      <c r="E1611" s="17" t="str">
        <f>IF(D1611="","",D1611*'02_Eingaben'!$C$8)</f>
        <v/>
      </c>
      <c r="F1611" s="17" t="str">
        <f>IF(E1611="","",AVERAGE(INDEX($E$2:$E$3001,MAX(1,ROW()-1-'02_Eingaben'!$C$17)):INDEX($E$2:$E$3001,MIN('02_Eingaben'!$C$21,ROW()-1+'02_Eingaben'!$C$17))))</f>
        <v/>
      </c>
      <c r="G1611" s="17" t="str">
        <f>IF(F1611="","",F1611-'02_Eingaben'!$C$10)</f>
        <v/>
      </c>
      <c r="H1611" t="str">
        <f>IF(F1611="","",IF(F1611&lt;'02_Eingaben'!$C$18*'02_Eingaben'!$C$10,1,0))</f>
        <v/>
      </c>
      <c r="I1611" s="17" t="str">
        <f t="shared" si="25"/>
        <v/>
      </c>
      <c r="J1611" s="17" t="str">
        <f>IF(B1611="","",IF(B1610&lt;'02_Eingaben'!$C$36,0,J1610+I1610/'02_Eingaben'!$C$8))</f>
        <v/>
      </c>
    </row>
    <row r="1612" spans="1:10" x14ac:dyDescent="0.25">
      <c r="A1612" t="str">
        <f>IF('01_Rohdaten'!A1612="","",ROW()-1)</f>
        <v/>
      </c>
      <c r="B1612" s="17" t="str">
        <f>IF('01_Rohdaten'!A1612="","",'01_Rohdaten'!A1612)</f>
        <v/>
      </c>
      <c r="C1612" s="17" t="str">
        <f>IF(B1612="","",INDEX('01_Rohdaten'!B1612:D1612,'02_Eingaben'!$C$13))</f>
        <v/>
      </c>
      <c r="D1612" s="17" t="str">
        <f>IF(C1612="","",C1612*'02_Eingaben'!$C$15)</f>
        <v/>
      </c>
      <c r="E1612" s="17" t="str">
        <f>IF(D1612="","",D1612*'02_Eingaben'!$C$8)</f>
        <v/>
      </c>
      <c r="F1612" s="17" t="str">
        <f>IF(E1612="","",AVERAGE(INDEX($E$2:$E$3001,MAX(1,ROW()-1-'02_Eingaben'!$C$17)):INDEX($E$2:$E$3001,MIN('02_Eingaben'!$C$21,ROW()-1+'02_Eingaben'!$C$17))))</f>
        <v/>
      </c>
      <c r="G1612" s="17" t="str">
        <f>IF(F1612="","",F1612-'02_Eingaben'!$C$10)</f>
        <v/>
      </c>
      <c r="H1612" t="str">
        <f>IF(F1612="","",IF(F1612&lt;'02_Eingaben'!$C$18*'02_Eingaben'!$C$10,1,0))</f>
        <v/>
      </c>
      <c r="I1612" s="17" t="str">
        <f t="shared" si="25"/>
        <v/>
      </c>
      <c r="J1612" s="17" t="str">
        <f>IF(B1612="","",IF(B1611&lt;'02_Eingaben'!$C$36,0,J1611+I1611/'02_Eingaben'!$C$8))</f>
        <v/>
      </c>
    </row>
    <row r="1613" spans="1:10" x14ac:dyDescent="0.25">
      <c r="A1613" t="str">
        <f>IF('01_Rohdaten'!A1613="","",ROW()-1)</f>
        <v/>
      </c>
      <c r="B1613" s="17" t="str">
        <f>IF('01_Rohdaten'!A1613="","",'01_Rohdaten'!A1613)</f>
        <v/>
      </c>
      <c r="C1613" s="17" t="str">
        <f>IF(B1613="","",INDEX('01_Rohdaten'!B1613:D1613,'02_Eingaben'!$C$13))</f>
        <v/>
      </c>
      <c r="D1613" s="17" t="str">
        <f>IF(C1613="","",C1613*'02_Eingaben'!$C$15)</f>
        <v/>
      </c>
      <c r="E1613" s="17" t="str">
        <f>IF(D1613="","",D1613*'02_Eingaben'!$C$8)</f>
        <v/>
      </c>
      <c r="F1613" s="17" t="str">
        <f>IF(E1613="","",AVERAGE(INDEX($E$2:$E$3001,MAX(1,ROW()-1-'02_Eingaben'!$C$17)):INDEX($E$2:$E$3001,MIN('02_Eingaben'!$C$21,ROW()-1+'02_Eingaben'!$C$17))))</f>
        <v/>
      </c>
      <c r="G1613" s="17" t="str">
        <f>IF(F1613="","",F1613-'02_Eingaben'!$C$10)</f>
        <v/>
      </c>
      <c r="H1613" t="str">
        <f>IF(F1613="","",IF(F1613&lt;'02_Eingaben'!$C$18*'02_Eingaben'!$C$10,1,0))</f>
        <v/>
      </c>
      <c r="I1613" s="17" t="str">
        <f t="shared" si="25"/>
        <v/>
      </c>
      <c r="J1613" s="17" t="str">
        <f>IF(B1613="","",IF(B1612&lt;'02_Eingaben'!$C$36,0,J1612+I1612/'02_Eingaben'!$C$8))</f>
        <v/>
      </c>
    </row>
    <row r="1614" spans="1:10" x14ac:dyDescent="0.25">
      <c r="A1614" t="str">
        <f>IF('01_Rohdaten'!A1614="","",ROW()-1)</f>
        <v/>
      </c>
      <c r="B1614" s="17" t="str">
        <f>IF('01_Rohdaten'!A1614="","",'01_Rohdaten'!A1614)</f>
        <v/>
      </c>
      <c r="C1614" s="17" t="str">
        <f>IF(B1614="","",INDEX('01_Rohdaten'!B1614:D1614,'02_Eingaben'!$C$13))</f>
        <v/>
      </c>
      <c r="D1614" s="17" t="str">
        <f>IF(C1614="","",C1614*'02_Eingaben'!$C$15)</f>
        <v/>
      </c>
      <c r="E1614" s="17" t="str">
        <f>IF(D1614="","",D1614*'02_Eingaben'!$C$8)</f>
        <v/>
      </c>
      <c r="F1614" s="17" t="str">
        <f>IF(E1614="","",AVERAGE(INDEX($E$2:$E$3001,MAX(1,ROW()-1-'02_Eingaben'!$C$17)):INDEX($E$2:$E$3001,MIN('02_Eingaben'!$C$21,ROW()-1+'02_Eingaben'!$C$17))))</f>
        <v/>
      </c>
      <c r="G1614" s="17" t="str">
        <f>IF(F1614="","",F1614-'02_Eingaben'!$C$10)</f>
        <v/>
      </c>
      <c r="H1614" t="str">
        <f>IF(F1614="","",IF(F1614&lt;'02_Eingaben'!$C$18*'02_Eingaben'!$C$10,1,0))</f>
        <v/>
      </c>
      <c r="I1614" s="17" t="str">
        <f t="shared" si="25"/>
        <v/>
      </c>
      <c r="J1614" s="17" t="str">
        <f>IF(B1614="","",IF(B1613&lt;'02_Eingaben'!$C$36,0,J1613+I1613/'02_Eingaben'!$C$8))</f>
        <v/>
      </c>
    </row>
    <row r="1615" spans="1:10" x14ac:dyDescent="0.25">
      <c r="A1615" t="str">
        <f>IF('01_Rohdaten'!A1615="","",ROW()-1)</f>
        <v/>
      </c>
      <c r="B1615" s="17" t="str">
        <f>IF('01_Rohdaten'!A1615="","",'01_Rohdaten'!A1615)</f>
        <v/>
      </c>
      <c r="C1615" s="17" t="str">
        <f>IF(B1615="","",INDEX('01_Rohdaten'!B1615:D1615,'02_Eingaben'!$C$13))</f>
        <v/>
      </c>
      <c r="D1615" s="17" t="str">
        <f>IF(C1615="","",C1615*'02_Eingaben'!$C$15)</f>
        <v/>
      </c>
      <c r="E1615" s="17" t="str">
        <f>IF(D1615="","",D1615*'02_Eingaben'!$C$8)</f>
        <v/>
      </c>
      <c r="F1615" s="17" t="str">
        <f>IF(E1615="","",AVERAGE(INDEX($E$2:$E$3001,MAX(1,ROW()-1-'02_Eingaben'!$C$17)):INDEX($E$2:$E$3001,MIN('02_Eingaben'!$C$21,ROW()-1+'02_Eingaben'!$C$17))))</f>
        <v/>
      </c>
      <c r="G1615" s="17" t="str">
        <f>IF(F1615="","",F1615-'02_Eingaben'!$C$10)</f>
        <v/>
      </c>
      <c r="H1615" t="str">
        <f>IF(F1615="","",IF(F1615&lt;'02_Eingaben'!$C$18*'02_Eingaben'!$C$10,1,0))</f>
        <v/>
      </c>
      <c r="I1615" s="17" t="str">
        <f t="shared" si="25"/>
        <v/>
      </c>
      <c r="J1615" s="17" t="str">
        <f>IF(B1615="","",IF(B1614&lt;'02_Eingaben'!$C$36,0,J1614+I1614/'02_Eingaben'!$C$8))</f>
        <v/>
      </c>
    </row>
    <row r="1616" spans="1:10" x14ac:dyDescent="0.25">
      <c r="A1616" t="str">
        <f>IF('01_Rohdaten'!A1616="","",ROW()-1)</f>
        <v/>
      </c>
      <c r="B1616" s="17" t="str">
        <f>IF('01_Rohdaten'!A1616="","",'01_Rohdaten'!A1616)</f>
        <v/>
      </c>
      <c r="C1616" s="17" t="str">
        <f>IF(B1616="","",INDEX('01_Rohdaten'!B1616:D1616,'02_Eingaben'!$C$13))</f>
        <v/>
      </c>
      <c r="D1616" s="17" t="str">
        <f>IF(C1616="","",C1616*'02_Eingaben'!$C$15)</f>
        <v/>
      </c>
      <c r="E1616" s="17" t="str">
        <f>IF(D1616="","",D1616*'02_Eingaben'!$C$8)</f>
        <v/>
      </c>
      <c r="F1616" s="17" t="str">
        <f>IF(E1616="","",AVERAGE(INDEX($E$2:$E$3001,MAX(1,ROW()-1-'02_Eingaben'!$C$17)):INDEX($E$2:$E$3001,MIN('02_Eingaben'!$C$21,ROW()-1+'02_Eingaben'!$C$17))))</f>
        <v/>
      </c>
      <c r="G1616" s="17" t="str">
        <f>IF(F1616="","",F1616-'02_Eingaben'!$C$10)</f>
        <v/>
      </c>
      <c r="H1616" t="str">
        <f>IF(F1616="","",IF(F1616&lt;'02_Eingaben'!$C$18*'02_Eingaben'!$C$10,1,0))</f>
        <v/>
      </c>
      <c r="I1616" s="17" t="str">
        <f t="shared" si="25"/>
        <v/>
      </c>
      <c r="J1616" s="17" t="str">
        <f>IF(B1616="","",IF(B1615&lt;'02_Eingaben'!$C$36,0,J1615+I1615/'02_Eingaben'!$C$8))</f>
        <v/>
      </c>
    </row>
    <row r="1617" spans="1:10" x14ac:dyDescent="0.25">
      <c r="A1617" t="str">
        <f>IF('01_Rohdaten'!A1617="","",ROW()-1)</f>
        <v/>
      </c>
      <c r="B1617" s="17" t="str">
        <f>IF('01_Rohdaten'!A1617="","",'01_Rohdaten'!A1617)</f>
        <v/>
      </c>
      <c r="C1617" s="17" t="str">
        <f>IF(B1617="","",INDEX('01_Rohdaten'!B1617:D1617,'02_Eingaben'!$C$13))</f>
        <v/>
      </c>
      <c r="D1617" s="17" t="str">
        <f>IF(C1617="","",C1617*'02_Eingaben'!$C$15)</f>
        <v/>
      </c>
      <c r="E1617" s="17" t="str">
        <f>IF(D1617="","",D1617*'02_Eingaben'!$C$8)</f>
        <v/>
      </c>
      <c r="F1617" s="17" t="str">
        <f>IF(E1617="","",AVERAGE(INDEX($E$2:$E$3001,MAX(1,ROW()-1-'02_Eingaben'!$C$17)):INDEX($E$2:$E$3001,MIN('02_Eingaben'!$C$21,ROW()-1+'02_Eingaben'!$C$17))))</f>
        <v/>
      </c>
      <c r="G1617" s="17" t="str">
        <f>IF(F1617="","",F1617-'02_Eingaben'!$C$10)</f>
        <v/>
      </c>
      <c r="H1617" t="str">
        <f>IF(F1617="","",IF(F1617&lt;'02_Eingaben'!$C$18*'02_Eingaben'!$C$10,1,0))</f>
        <v/>
      </c>
      <c r="I1617" s="17" t="str">
        <f t="shared" si="25"/>
        <v/>
      </c>
      <c r="J1617" s="17" t="str">
        <f>IF(B1617="","",IF(B1616&lt;'02_Eingaben'!$C$36,0,J1616+I1616/'02_Eingaben'!$C$8))</f>
        <v/>
      </c>
    </row>
    <row r="1618" spans="1:10" x14ac:dyDescent="0.25">
      <c r="A1618" t="str">
        <f>IF('01_Rohdaten'!A1618="","",ROW()-1)</f>
        <v/>
      </c>
      <c r="B1618" s="17" t="str">
        <f>IF('01_Rohdaten'!A1618="","",'01_Rohdaten'!A1618)</f>
        <v/>
      </c>
      <c r="C1618" s="17" t="str">
        <f>IF(B1618="","",INDEX('01_Rohdaten'!B1618:D1618,'02_Eingaben'!$C$13))</f>
        <v/>
      </c>
      <c r="D1618" s="17" t="str">
        <f>IF(C1618="","",C1618*'02_Eingaben'!$C$15)</f>
        <v/>
      </c>
      <c r="E1618" s="17" t="str">
        <f>IF(D1618="","",D1618*'02_Eingaben'!$C$8)</f>
        <v/>
      </c>
      <c r="F1618" s="17" t="str">
        <f>IF(E1618="","",AVERAGE(INDEX($E$2:$E$3001,MAX(1,ROW()-1-'02_Eingaben'!$C$17)):INDEX($E$2:$E$3001,MIN('02_Eingaben'!$C$21,ROW()-1+'02_Eingaben'!$C$17))))</f>
        <v/>
      </c>
      <c r="G1618" s="17" t="str">
        <f>IF(F1618="","",F1618-'02_Eingaben'!$C$10)</f>
        <v/>
      </c>
      <c r="H1618" t="str">
        <f>IF(F1618="","",IF(F1618&lt;'02_Eingaben'!$C$18*'02_Eingaben'!$C$10,1,0))</f>
        <v/>
      </c>
      <c r="I1618" s="17" t="str">
        <f t="shared" si="25"/>
        <v/>
      </c>
      <c r="J1618" s="17" t="str">
        <f>IF(B1618="","",IF(B1617&lt;'02_Eingaben'!$C$36,0,J1617+I1617/'02_Eingaben'!$C$8))</f>
        <v/>
      </c>
    </row>
    <row r="1619" spans="1:10" x14ac:dyDescent="0.25">
      <c r="A1619" t="str">
        <f>IF('01_Rohdaten'!A1619="","",ROW()-1)</f>
        <v/>
      </c>
      <c r="B1619" s="17" t="str">
        <f>IF('01_Rohdaten'!A1619="","",'01_Rohdaten'!A1619)</f>
        <v/>
      </c>
      <c r="C1619" s="17" t="str">
        <f>IF(B1619="","",INDEX('01_Rohdaten'!B1619:D1619,'02_Eingaben'!$C$13))</f>
        <v/>
      </c>
      <c r="D1619" s="17" t="str">
        <f>IF(C1619="","",C1619*'02_Eingaben'!$C$15)</f>
        <v/>
      </c>
      <c r="E1619" s="17" t="str">
        <f>IF(D1619="","",D1619*'02_Eingaben'!$C$8)</f>
        <v/>
      </c>
      <c r="F1619" s="17" t="str">
        <f>IF(E1619="","",AVERAGE(INDEX($E$2:$E$3001,MAX(1,ROW()-1-'02_Eingaben'!$C$17)):INDEX($E$2:$E$3001,MIN('02_Eingaben'!$C$21,ROW()-1+'02_Eingaben'!$C$17))))</f>
        <v/>
      </c>
      <c r="G1619" s="17" t="str">
        <f>IF(F1619="","",F1619-'02_Eingaben'!$C$10)</f>
        <v/>
      </c>
      <c r="H1619" t="str">
        <f>IF(F1619="","",IF(F1619&lt;'02_Eingaben'!$C$18*'02_Eingaben'!$C$10,1,0))</f>
        <v/>
      </c>
      <c r="I1619" s="17" t="str">
        <f t="shared" si="25"/>
        <v/>
      </c>
      <c r="J1619" s="17" t="str">
        <f>IF(B1619="","",IF(B1618&lt;'02_Eingaben'!$C$36,0,J1618+I1618/'02_Eingaben'!$C$8))</f>
        <v/>
      </c>
    </row>
    <row r="1620" spans="1:10" x14ac:dyDescent="0.25">
      <c r="A1620" t="str">
        <f>IF('01_Rohdaten'!A1620="","",ROW()-1)</f>
        <v/>
      </c>
      <c r="B1620" s="17" t="str">
        <f>IF('01_Rohdaten'!A1620="","",'01_Rohdaten'!A1620)</f>
        <v/>
      </c>
      <c r="C1620" s="17" t="str">
        <f>IF(B1620="","",INDEX('01_Rohdaten'!B1620:D1620,'02_Eingaben'!$C$13))</f>
        <v/>
      </c>
      <c r="D1620" s="17" t="str">
        <f>IF(C1620="","",C1620*'02_Eingaben'!$C$15)</f>
        <v/>
      </c>
      <c r="E1620" s="17" t="str">
        <f>IF(D1620="","",D1620*'02_Eingaben'!$C$8)</f>
        <v/>
      </c>
      <c r="F1620" s="17" t="str">
        <f>IF(E1620="","",AVERAGE(INDEX($E$2:$E$3001,MAX(1,ROW()-1-'02_Eingaben'!$C$17)):INDEX($E$2:$E$3001,MIN('02_Eingaben'!$C$21,ROW()-1+'02_Eingaben'!$C$17))))</f>
        <v/>
      </c>
      <c r="G1620" s="17" t="str">
        <f>IF(F1620="","",F1620-'02_Eingaben'!$C$10)</f>
        <v/>
      </c>
      <c r="H1620" t="str">
        <f>IF(F1620="","",IF(F1620&lt;'02_Eingaben'!$C$18*'02_Eingaben'!$C$10,1,0))</f>
        <v/>
      </c>
      <c r="I1620" s="17" t="str">
        <f t="shared" si="25"/>
        <v/>
      </c>
      <c r="J1620" s="17" t="str">
        <f>IF(B1620="","",IF(B1619&lt;'02_Eingaben'!$C$36,0,J1619+I1619/'02_Eingaben'!$C$8))</f>
        <v/>
      </c>
    </row>
    <row r="1621" spans="1:10" x14ac:dyDescent="0.25">
      <c r="A1621" t="str">
        <f>IF('01_Rohdaten'!A1621="","",ROW()-1)</f>
        <v/>
      </c>
      <c r="B1621" s="17" t="str">
        <f>IF('01_Rohdaten'!A1621="","",'01_Rohdaten'!A1621)</f>
        <v/>
      </c>
      <c r="C1621" s="17" t="str">
        <f>IF(B1621="","",INDEX('01_Rohdaten'!B1621:D1621,'02_Eingaben'!$C$13))</f>
        <v/>
      </c>
      <c r="D1621" s="17" t="str">
        <f>IF(C1621="","",C1621*'02_Eingaben'!$C$15)</f>
        <v/>
      </c>
      <c r="E1621" s="17" t="str">
        <f>IF(D1621="","",D1621*'02_Eingaben'!$C$8)</f>
        <v/>
      </c>
      <c r="F1621" s="17" t="str">
        <f>IF(E1621="","",AVERAGE(INDEX($E$2:$E$3001,MAX(1,ROW()-1-'02_Eingaben'!$C$17)):INDEX($E$2:$E$3001,MIN('02_Eingaben'!$C$21,ROW()-1+'02_Eingaben'!$C$17))))</f>
        <v/>
      </c>
      <c r="G1621" s="17" t="str">
        <f>IF(F1621="","",F1621-'02_Eingaben'!$C$10)</f>
        <v/>
      </c>
      <c r="H1621" t="str">
        <f>IF(F1621="","",IF(F1621&lt;'02_Eingaben'!$C$18*'02_Eingaben'!$C$10,1,0))</f>
        <v/>
      </c>
      <c r="I1621" s="17" t="str">
        <f t="shared" si="25"/>
        <v/>
      </c>
      <c r="J1621" s="17" t="str">
        <f>IF(B1621="","",IF(B1620&lt;'02_Eingaben'!$C$36,0,J1620+I1620/'02_Eingaben'!$C$8))</f>
        <v/>
      </c>
    </row>
    <row r="1622" spans="1:10" x14ac:dyDescent="0.25">
      <c r="A1622" t="str">
        <f>IF('01_Rohdaten'!A1622="","",ROW()-1)</f>
        <v/>
      </c>
      <c r="B1622" s="17" t="str">
        <f>IF('01_Rohdaten'!A1622="","",'01_Rohdaten'!A1622)</f>
        <v/>
      </c>
      <c r="C1622" s="17" t="str">
        <f>IF(B1622="","",INDEX('01_Rohdaten'!B1622:D1622,'02_Eingaben'!$C$13))</f>
        <v/>
      </c>
      <c r="D1622" s="17" t="str">
        <f>IF(C1622="","",C1622*'02_Eingaben'!$C$15)</f>
        <v/>
      </c>
      <c r="E1622" s="17" t="str">
        <f>IF(D1622="","",D1622*'02_Eingaben'!$C$8)</f>
        <v/>
      </c>
      <c r="F1622" s="17" t="str">
        <f>IF(E1622="","",AVERAGE(INDEX($E$2:$E$3001,MAX(1,ROW()-1-'02_Eingaben'!$C$17)):INDEX($E$2:$E$3001,MIN('02_Eingaben'!$C$21,ROW()-1+'02_Eingaben'!$C$17))))</f>
        <v/>
      </c>
      <c r="G1622" s="17" t="str">
        <f>IF(F1622="","",F1622-'02_Eingaben'!$C$10)</f>
        <v/>
      </c>
      <c r="H1622" t="str">
        <f>IF(F1622="","",IF(F1622&lt;'02_Eingaben'!$C$18*'02_Eingaben'!$C$10,1,0))</f>
        <v/>
      </c>
      <c r="I1622" s="17" t="str">
        <f t="shared" si="25"/>
        <v/>
      </c>
      <c r="J1622" s="17" t="str">
        <f>IF(B1622="","",IF(B1621&lt;'02_Eingaben'!$C$36,0,J1621+I1621/'02_Eingaben'!$C$8))</f>
        <v/>
      </c>
    </row>
    <row r="1623" spans="1:10" x14ac:dyDescent="0.25">
      <c r="A1623" t="str">
        <f>IF('01_Rohdaten'!A1623="","",ROW()-1)</f>
        <v/>
      </c>
      <c r="B1623" s="17" t="str">
        <f>IF('01_Rohdaten'!A1623="","",'01_Rohdaten'!A1623)</f>
        <v/>
      </c>
      <c r="C1623" s="17" t="str">
        <f>IF(B1623="","",INDEX('01_Rohdaten'!B1623:D1623,'02_Eingaben'!$C$13))</f>
        <v/>
      </c>
      <c r="D1623" s="17" t="str">
        <f>IF(C1623="","",C1623*'02_Eingaben'!$C$15)</f>
        <v/>
      </c>
      <c r="E1623" s="17" t="str">
        <f>IF(D1623="","",D1623*'02_Eingaben'!$C$8)</f>
        <v/>
      </c>
      <c r="F1623" s="17" t="str">
        <f>IF(E1623="","",AVERAGE(INDEX($E$2:$E$3001,MAX(1,ROW()-1-'02_Eingaben'!$C$17)):INDEX($E$2:$E$3001,MIN('02_Eingaben'!$C$21,ROW()-1+'02_Eingaben'!$C$17))))</f>
        <v/>
      </c>
      <c r="G1623" s="17" t="str">
        <f>IF(F1623="","",F1623-'02_Eingaben'!$C$10)</f>
        <v/>
      </c>
      <c r="H1623" t="str">
        <f>IF(F1623="","",IF(F1623&lt;'02_Eingaben'!$C$18*'02_Eingaben'!$C$10,1,0))</f>
        <v/>
      </c>
      <c r="I1623" s="17" t="str">
        <f t="shared" si="25"/>
        <v/>
      </c>
      <c r="J1623" s="17" t="str">
        <f>IF(B1623="","",IF(B1622&lt;'02_Eingaben'!$C$36,0,J1622+I1622/'02_Eingaben'!$C$8))</f>
        <v/>
      </c>
    </row>
    <row r="1624" spans="1:10" x14ac:dyDescent="0.25">
      <c r="A1624" t="str">
        <f>IF('01_Rohdaten'!A1624="","",ROW()-1)</f>
        <v/>
      </c>
      <c r="B1624" s="17" t="str">
        <f>IF('01_Rohdaten'!A1624="","",'01_Rohdaten'!A1624)</f>
        <v/>
      </c>
      <c r="C1624" s="17" t="str">
        <f>IF(B1624="","",INDEX('01_Rohdaten'!B1624:D1624,'02_Eingaben'!$C$13))</f>
        <v/>
      </c>
      <c r="D1624" s="17" t="str">
        <f>IF(C1624="","",C1624*'02_Eingaben'!$C$15)</f>
        <v/>
      </c>
      <c r="E1624" s="17" t="str">
        <f>IF(D1624="","",D1624*'02_Eingaben'!$C$8)</f>
        <v/>
      </c>
      <c r="F1624" s="17" t="str">
        <f>IF(E1624="","",AVERAGE(INDEX($E$2:$E$3001,MAX(1,ROW()-1-'02_Eingaben'!$C$17)):INDEX($E$2:$E$3001,MIN('02_Eingaben'!$C$21,ROW()-1+'02_Eingaben'!$C$17))))</f>
        <v/>
      </c>
      <c r="G1624" s="17" t="str">
        <f>IF(F1624="","",F1624-'02_Eingaben'!$C$10)</f>
        <v/>
      </c>
      <c r="H1624" t="str">
        <f>IF(F1624="","",IF(F1624&lt;'02_Eingaben'!$C$18*'02_Eingaben'!$C$10,1,0))</f>
        <v/>
      </c>
      <c r="I1624" s="17" t="str">
        <f t="shared" si="25"/>
        <v/>
      </c>
      <c r="J1624" s="17" t="str">
        <f>IF(B1624="","",IF(B1623&lt;'02_Eingaben'!$C$36,0,J1623+I1623/'02_Eingaben'!$C$8))</f>
        <v/>
      </c>
    </row>
    <row r="1625" spans="1:10" x14ac:dyDescent="0.25">
      <c r="A1625" t="str">
        <f>IF('01_Rohdaten'!A1625="","",ROW()-1)</f>
        <v/>
      </c>
      <c r="B1625" s="17" t="str">
        <f>IF('01_Rohdaten'!A1625="","",'01_Rohdaten'!A1625)</f>
        <v/>
      </c>
      <c r="C1625" s="17" t="str">
        <f>IF(B1625="","",INDEX('01_Rohdaten'!B1625:D1625,'02_Eingaben'!$C$13))</f>
        <v/>
      </c>
      <c r="D1625" s="17" t="str">
        <f>IF(C1625="","",C1625*'02_Eingaben'!$C$15)</f>
        <v/>
      </c>
      <c r="E1625" s="17" t="str">
        <f>IF(D1625="","",D1625*'02_Eingaben'!$C$8)</f>
        <v/>
      </c>
      <c r="F1625" s="17" t="str">
        <f>IF(E1625="","",AVERAGE(INDEX($E$2:$E$3001,MAX(1,ROW()-1-'02_Eingaben'!$C$17)):INDEX($E$2:$E$3001,MIN('02_Eingaben'!$C$21,ROW()-1+'02_Eingaben'!$C$17))))</f>
        <v/>
      </c>
      <c r="G1625" s="17" t="str">
        <f>IF(F1625="","",F1625-'02_Eingaben'!$C$10)</f>
        <v/>
      </c>
      <c r="H1625" t="str">
        <f>IF(F1625="","",IF(F1625&lt;'02_Eingaben'!$C$18*'02_Eingaben'!$C$10,1,0))</f>
        <v/>
      </c>
      <c r="I1625" s="17" t="str">
        <f t="shared" si="25"/>
        <v/>
      </c>
      <c r="J1625" s="17" t="str">
        <f>IF(B1625="","",IF(B1624&lt;'02_Eingaben'!$C$36,0,J1624+I1624/'02_Eingaben'!$C$8))</f>
        <v/>
      </c>
    </row>
    <row r="1626" spans="1:10" x14ac:dyDescent="0.25">
      <c r="A1626" t="str">
        <f>IF('01_Rohdaten'!A1626="","",ROW()-1)</f>
        <v/>
      </c>
      <c r="B1626" s="17" t="str">
        <f>IF('01_Rohdaten'!A1626="","",'01_Rohdaten'!A1626)</f>
        <v/>
      </c>
      <c r="C1626" s="17" t="str">
        <f>IF(B1626="","",INDEX('01_Rohdaten'!B1626:D1626,'02_Eingaben'!$C$13))</f>
        <v/>
      </c>
      <c r="D1626" s="17" t="str">
        <f>IF(C1626="","",C1626*'02_Eingaben'!$C$15)</f>
        <v/>
      </c>
      <c r="E1626" s="17" t="str">
        <f>IF(D1626="","",D1626*'02_Eingaben'!$C$8)</f>
        <v/>
      </c>
      <c r="F1626" s="17" t="str">
        <f>IF(E1626="","",AVERAGE(INDEX($E$2:$E$3001,MAX(1,ROW()-1-'02_Eingaben'!$C$17)):INDEX($E$2:$E$3001,MIN('02_Eingaben'!$C$21,ROW()-1+'02_Eingaben'!$C$17))))</f>
        <v/>
      </c>
      <c r="G1626" s="17" t="str">
        <f>IF(F1626="","",F1626-'02_Eingaben'!$C$10)</f>
        <v/>
      </c>
      <c r="H1626" t="str">
        <f>IF(F1626="","",IF(F1626&lt;'02_Eingaben'!$C$18*'02_Eingaben'!$C$10,1,0))</f>
        <v/>
      </c>
      <c r="I1626" s="17" t="str">
        <f t="shared" si="25"/>
        <v/>
      </c>
      <c r="J1626" s="17" t="str">
        <f>IF(B1626="","",IF(B1625&lt;'02_Eingaben'!$C$36,0,J1625+I1625/'02_Eingaben'!$C$8))</f>
        <v/>
      </c>
    </row>
    <row r="1627" spans="1:10" x14ac:dyDescent="0.25">
      <c r="A1627" t="str">
        <f>IF('01_Rohdaten'!A1627="","",ROW()-1)</f>
        <v/>
      </c>
      <c r="B1627" s="17" t="str">
        <f>IF('01_Rohdaten'!A1627="","",'01_Rohdaten'!A1627)</f>
        <v/>
      </c>
      <c r="C1627" s="17" t="str">
        <f>IF(B1627="","",INDEX('01_Rohdaten'!B1627:D1627,'02_Eingaben'!$C$13))</f>
        <v/>
      </c>
      <c r="D1627" s="17" t="str">
        <f>IF(C1627="","",C1627*'02_Eingaben'!$C$15)</f>
        <v/>
      </c>
      <c r="E1627" s="17" t="str">
        <f>IF(D1627="","",D1627*'02_Eingaben'!$C$8)</f>
        <v/>
      </c>
      <c r="F1627" s="17" t="str">
        <f>IF(E1627="","",AVERAGE(INDEX($E$2:$E$3001,MAX(1,ROW()-1-'02_Eingaben'!$C$17)):INDEX($E$2:$E$3001,MIN('02_Eingaben'!$C$21,ROW()-1+'02_Eingaben'!$C$17))))</f>
        <v/>
      </c>
      <c r="G1627" s="17" t="str">
        <f>IF(F1627="","",F1627-'02_Eingaben'!$C$10)</f>
        <v/>
      </c>
      <c r="H1627" t="str">
        <f>IF(F1627="","",IF(F1627&lt;'02_Eingaben'!$C$18*'02_Eingaben'!$C$10,1,0))</f>
        <v/>
      </c>
      <c r="I1627" s="17" t="str">
        <f t="shared" si="25"/>
        <v/>
      </c>
      <c r="J1627" s="17" t="str">
        <f>IF(B1627="","",IF(B1626&lt;'02_Eingaben'!$C$36,0,J1626+I1626/'02_Eingaben'!$C$8))</f>
        <v/>
      </c>
    </row>
    <row r="1628" spans="1:10" x14ac:dyDescent="0.25">
      <c r="A1628" t="str">
        <f>IF('01_Rohdaten'!A1628="","",ROW()-1)</f>
        <v/>
      </c>
      <c r="B1628" s="17" t="str">
        <f>IF('01_Rohdaten'!A1628="","",'01_Rohdaten'!A1628)</f>
        <v/>
      </c>
      <c r="C1628" s="17" t="str">
        <f>IF(B1628="","",INDEX('01_Rohdaten'!B1628:D1628,'02_Eingaben'!$C$13))</f>
        <v/>
      </c>
      <c r="D1628" s="17" t="str">
        <f>IF(C1628="","",C1628*'02_Eingaben'!$C$15)</f>
        <v/>
      </c>
      <c r="E1628" s="17" t="str">
        <f>IF(D1628="","",D1628*'02_Eingaben'!$C$8)</f>
        <v/>
      </c>
      <c r="F1628" s="17" t="str">
        <f>IF(E1628="","",AVERAGE(INDEX($E$2:$E$3001,MAX(1,ROW()-1-'02_Eingaben'!$C$17)):INDEX($E$2:$E$3001,MIN('02_Eingaben'!$C$21,ROW()-1+'02_Eingaben'!$C$17))))</f>
        <v/>
      </c>
      <c r="G1628" s="17" t="str">
        <f>IF(F1628="","",F1628-'02_Eingaben'!$C$10)</f>
        <v/>
      </c>
      <c r="H1628" t="str">
        <f>IF(F1628="","",IF(F1628&lt;'02_Eingaben'!$C$18*'02_Eingaben'!$C$10,1,0))</f>
        <v/>
      </c>
      <c r="I1628" s="17" t="str">
        <f t="shared" si="25"/>
        <v/>
      </c>
      <c r="J1628" s="17" t="str">
        <f>IF(B1628="","",IF(B1627&lt;'02_Eingaben'!$C$36,0,J1627+I1627/'02_Eingaben'!$C$8))</f>
        <v/>
      </c>
    </row>
    <row r="1629" spans="1:10" x14ac:dyDescent="0.25">
      <c r="A1629" t="str">
        <f>IF('01_Rohdaten'!A1629="","",ROW()-1)</f>
        <v/>
      </c>
      <c r="B1629" s="17" t="str">
        <f>IF('01_Rohdaten'!A1629="","",'01_Rohdaten'!A1629)</f>
        <v/>
      </c>
      <c r="C1629" s="17" t="str">
        <f>IF(B1629="","",INDEX('01_Rohdaten'!B1629:D1629,'02_Eingaben'!$C$13))</f>
        <v/>
      </c>
      <c r="D1629" s="17" t="str">
        <f>IF(C1629="","",C1629*'02_Eingaben'!$C$15)</f>
        <v/>
      </c>
      <c r="E1629" s="17" t="str">
        <f>IF(D1629="","",D1629*'02_Eingaben'!$C$8)</f>
        <v/>
      </c>
      <c r="F1629" s="17" t="str">
        <f>IF(E1629="","",AVERAGE(INDEX($E$2:$E$3001,MAX(1,ROW()-1-'02_Eingaben'!$C$17)):INDEX($E$2:$E$3001,MIN('02_Eingaben'!$C$21,ROW()-1+'02_Eingaben'!$C$17))))</f>
        <v/>
      </c>
      <c r="G1629" s="17" t="str">
        <f>IF(F1629="","",F1629-'02_Eingaben'!$C$10)</f>
        <v/>
      </c>
      <c r="H1629" t="str">
        <f>IF(F1629="","",IF(F1629&lt;'02_Eingaben'!$C$18*'02_Eingaben'!$C$10,1,0))</f>
        <v/>
      </c>
      <c r="I1629" s="17" t="str">
        <f t="shared" si="25"/>
        <v/>
      </c>
      <c r="J1629" s="17" t="str">
        <f>IF(B1629="","",IF(B1628&lt;'02_Eingaben'!$C$36,0,J1628+I1628/'02_Eingaben'!$C$8))</f>
        <v/>
      </c>
    </row>
    <row r="1630" spans="1:10" x14ac:dyDescent="0.25">
      <c r="A1630" t="str">
        <f>IF('01_Rohdaten'!A1630="","",ROW()-1)</f>
        <v/>
      </c>
      <c r="B1630" s="17" t="str">
        <f>IF('01_Rohdaten'!A1630="","",'01_Rohdaten'!A1630)</f>
        <v/>
      </c>
      <c r="C1630" s="17" t="str">
        <f>IF(B1630="","",INDEX('01_Rohdaten'!B1630:D1630,'02_Eingaben'!$C$13))</f>
        <v/>
      </c>
      <c r="D1630" s="17" t="str">
        <f>IF(C1630="","",C1630*'02_Eingaben'!$C$15)</f>
        <v/>
      </c>
      <c r="E1630" s="17" t="str">
        <f>IF(D1630="","",D1630*'02_Eingaben'!$C$8)</f>
        <v/>
      </c>
      <c r="F1630" s="17" t="str">
        <f>IF(E1630="","",AVERAGE(INDEX($E$2:$E$3001,MAX(1,ROW()-1-'02_Eingaben'!$C$17)):INDEX($E$2:$E$3001,MIN('02_Eingaben'!$C$21,ROW()-1+'02_Eingaben'!$C$17))))</f>
        <v/>
      </c>
      <c r="G1630" s="17" t="str">
        <f>IF(F1630="","",F1630-'02_Eingaben'!$C$10)</f>
        <v/>
      </c>
      <c r="H1630" t="str">
        <f>IF(F1630="","",IF(F1630&lt;'02_Eingaben'!$C$18*'02_Eingaben'!$C$10,1,0))</f>
        <v/>
      </c>
      <c r="I1630" s="17" t="str">
        <f t="shared" si="25"/>
        <v/>
      </c>
      <c r="J1630" s="17" t="str">
        <f>IF(B1630="","",IF(B1629&lt;'02_Eingaben'!$C$36,0,J1629+I1629/'02_Eingaben'!$C$8))</f>
        <v/>
      </c>
    </row>
    <row r="1631" spans="1:10" x14ac:dyDescent="0.25">
      <c r="A1631" t="str">
        <f>IF('01_Rohdaten'!A1631="","",ROW()-1)</f>
        <v/>
      </c>
      <c r="B1631" s="17" t="str">
        <f>IF('01_Rohdaten'!A1631="","",'01_Rohdaten'!A1631)</f>
        <v/>
      </c>
      <c r="C1631" s="17" t="str">
        <f>IF(B1631="","",INDEX('01_Rohdaten'!B1631:D1631,'02_Eingaben'!$C$13))</f>
        <v/>
      </c>
      <c r="D1631" s="17" t="str">
        <f>IF(C1631="","",C1631*'02_Eingaben'!$C$15)</f>
        <v/>
      </c>
      <c r="E1631" s="17" t="str">
        <f>IF(D1631="","",D1631*'02_Eingaben'!$C$8)</f>
        <v/>
      </c>
      <c r="F1631" s="17" t="str">
        <f>IF(E1631="","",AVERAGE(INDEX($E$2:$E$3001,MAX(1,ROW()-1-'02_Eingaben'!$C$17)):INDEX($E$2:$E$3001,MIN('02_Eingaben'!$C$21,ROW()-1+'02_Eingaben'!$C$17))))</f>
        <v/>
      </c>
      <c r="G1631" s="17" t="str">
        <f>IF(F1631="","",F1631-'02_Eingaben'!$C$10)</f>
        <v/>
      </c>
      <c r="H1631" t="str">
        <f>IF(F1631="","",IF(F1631&lt;'02_Eingaben'!$C$18*'02_Eingaben'!$C$10,1,0))</f>
        <v/>
      </c>
      <c r="I1631" s="17" t="str">
        <f t="shared" si="25"/>
        <v/>
      </c>
      <c r="J1631" s="17" t="str">
        <f>IF(B1631="","",IF(B1630&lt;'02_Eingaben'!$C$36,0,J1630+I1630/'02_Eingaben'!$C$8))</f>
        <v/>
      </c>
    </row>
    <row r="1632" spans="1:10" x14ac:dyDescent="0.25">
      <c r="A1632" t="str">
        <f>IF('01_Rohdaten'!A1632="","",ROW()-1)</f>
        <v/>
      </c>
      <c r="B1632" s="17" t="str">
        <f>IF('01_Rohdaten'!A1632="","",'01_Rohdaten'!A1632)</f>
        <v/>
      </c>
      <c r="C1632" s="17" t="str">
        <f>IF(B1632="","",INDEX('01_Rohdaten'!B1632:D1632,'02_Eingaben'!$C$13))</f>
        <v/>
      </c>
      <c r="D1632" s="17" t="str">
        <f>IF(C1632="","",C1632*'02_Eingaben'!$C$15)</f>
        <v/>
      </c>
      <c r="E1632" s="17" t="str">
        <f>IF(D1632="","",D1632*'02_Eingaben'!$C$8)</f>
        <v/>
      </c>
      <c r="F1632" s="17" t="str">
        <f>IF(E1632="","",AVERAGE(INDEX($E$2:$E$3001,MAX(1,ROW()-1-'02_Eingaben'!$C$17)):INDEX($E$2:$E$3001,MIN('02_Eingaben'!$C$21,ROW()-1+'02_Eingaben'!$C$17))))</f>
        <v/>
      </c>
      <c r="G1632" s="17" t="str">
        <f>IF(F1632="","",F1632-'02_Eingaben'!$C$10)</f>
        <v/>
      </c>
      <c r="H1632" t="str">
        <f>IF(F1632="","",IF(F1632&lt;'02_Eingaben'!$C$18*'02_Eingaben'!$C$10,1,0))</f>
        <v/>
      </c>
      <c r="I1632" s="17" t="str">
        <f t="shared" si="25"/>
        <v/>
      </c>
      <c r="J1632" s="17" t="str">
        <f>IF(B1632="","",IF(B1631&lt;'02_Eingaben'!$C$36,0,J1631+I1631/'02_Eingaben'!$C$8))</f>
        <v/>
      </c>
    </row>
    <row r="1633" spans="1:10" x14ac:dyDescent="0.25">
      <c r="A1633" t="str">
        <f>IF('01_Rohdaten'!A1633="","",ROW()-1)</f>
        <v/>
      </c>
      <c r="B1633" s="17" t="str">
        <f>IF('01_Rohdaten'!A1633="","",'01_Rohdaten'!A1633)</f>
        <v/>
      </c>
      <c r="C1633" s="17" t="str">
        <f>IF(B1633="","",INDEX('01_Rohdaten'!B1633:D1633,'02_Eingaben'!$C$13))</f>
        <v/>
      </c>
      <c r="D1633" s="17" t="str">
        <f>IF(C1633="","",C1633*'02_Eingaben'!$C$15)</f>
        <v/>
      </c>
      <c r="E1633" s="17" t="str">
        <f>IF(D1633="","",D1633*'02_Eingaben'!$C$8)</f>
        <v/>
      </c>
      <c r="F1633" s="17" t="str">
        <f>IF(E1633="","",AVERAGE(INDEX($E$2:$E$3001,MAX(1,ROW()-1-'02_Eingaben'!$C$17)):INDEX($E$2:$E$3001,MIN('02_Eingaben'!$C$21,ROW()-1+'02_Eingaben'!$C$17))))</f>
        <v/>
      </c>
      <c r="G1633" s="17" t="str">
        <f>IF(F1633="","",F1633-'02_Eingaben'!$C$10)</f>
        <v/>
      </c>
      <c r="H1633" t="str">
        <f>IF(F1633="","",IF(F1633&lt;'02_Eingaben'!$C$18*'02_Eingaben'!$C$10,1,0))</f>
        <v/>
      </c>
      <c r="I1633" s="17" t="str">
        <f t="shared" si="25"/>
        <v/>
      </c>
      <c r="J1633" s="17" t="str">
        <f>IF(B1633="","",IF(B1632&lt;'02_Eingaben'!$C$36,0,J1632+I1632/'02_Eingaben'!$C$8))</f>
        <v/>
      </c>
    </row>
    <row r="1634" spans="1:10" x14ac:dyDescent="0.25">
      <c r="A1634" t="str">
        <f>IF('01_Rohdaten'!A1634="","",ROW()-1)</f>
        <v/>
      </c>
      <c r="B1634" s="17" t="str">
        <f>IF('01_Rohdaten'!A1634="","",'01_Rohdaten'!A1634)</f>
        <v/>
      </c>
      <c r="C1634" s="17" t="str">
        <f>IF(B1634="","",INDEX('01_Rohdaten'!B1634:D1634,'02_Eingaben'!$C$13))</f>
        <v/>
      </c>
      <c r="D1634" s="17" t="str">
        <f>IF(C1634="","",C1634*'02_Eingaben'!$C$15)</f>
        <v/>
      </c>
      <c r="E1634" s="17" t="str">
        <f>IF(D1634="","",D1634*'02_Eingaben'!$C$8)</f>
        <v/>
      </c>
      <c r="F1634" s="17" t="str">
        <f>IF(E1634="","",AVERAGE(INDEX($E$2:$E$3001,MAX(1,ROW()-1-'02_Eingaben'!$C$17)):INDEX($E$2:$E$3001,MIN('02_Eingaben'!$C$21,ROW()-1+'02_Eingaben'!$C$17))))</f>
        <v/>
      </c>
      <c r="G1634" s="17" t="str">
        <f>IF(F1634="","",F1634-'02_Eingaben'!$C$10)</f>
        <v/>
      </c>
      <c r="H1634" t="str">
        <f>IF(F1634="","",IF(F1634&lt;'02_Eingaben'!$C$18*'02_Eingaben'!$C$10,1,0))</f>
        <v/>
      </c>
      <c r="I1634" s="17" t="str">
        <f t="shared" si="25"/>
        <v/>
      </c>
      <c r="J1634" s="17" t="str">
        <f>IF(B1634="","",IF(B1633&lt;'02_Eingaben'!$C$36,0,J1633+I1633/'02_Eingaben'!$C$8))</f>
        <v/>
      </c>
    </row>
    <row r="1635" spans="1:10" x14ac:dyDescent="0.25">
      <c r="A1635" t="str">
        <f>IF('01_Rohdaten'!A1635="","",ROW()-1)</f>
        <v/>
      </c>
      <c r="B1635" s="17" t="str">
        <f>IF('01_Rohdaten'!A1635="","",'01_Rohdaten'!A1635)</f>
        <v/>
      </c>
      <c r="C1635" s="17" t="str">
        <f>IF(B1635="","",INDEX('01_Rohdaten'!B1635:D1635,'02_Eingaben'!$C$13))</f>
        <v/>
      </c>
      <c r="D1635" s="17" t="str">
        <f>IF(C1635="","",C1635*'02_Eingaben'!$C$15)</f>
        <v/>
      </c>
      <c r="E1635" s="17" t="str">
        <f>IF(D1635="","",D1635*'02_Eingaben'!$C$8)</f>
        <v/>
      </c>
      <c r="F1635" s="17" t="str">
        <f>IF(E1635="","",AVERAGE(INDEX($E$2:$E$3001,MAX(1,ROW()-1-'02_Eingaben'!$C$17)):INDEX($E$2:$E$3001,MIN('02_Eingaben'!$C$21,ROW()-1+'02_Eingaben'!$C$17))))</f>
        <v/>
      </c>
      <c r="G1635" s="17" t="str">
        <f>IF(F1635="","",F1635-'02_Eingaben'!$C$10)</f>
        <v/>
      </c>
      <c r="H1635" t="str">
        <f>IF(F1635="","",IF(F1635&lt;'02_Eingaben'!$C$18*'02_Eingaben'!$C$10,1,0))</f>
        <v/>
      </c>
      <c r="I1635" s="17" t="str">
        <f t="shared" si="25"/>
        <v/>
      </c>
      <c r="J1635" s="17" t="str">
        <f>IF(B1635="","",IF(B1634&lt;'02_Eingaben'!$C$36,0,J1634+I1634/'02_Eingaben'!$C$8))</f>
        <v/>
      </c>
    </row>
    <row r="1636" spans="1:10" x14ac:dyDescent="0.25">
      <c r="A1636" t="str">
        <f>IF('01_Rohdaten'!A1636="","",ROW()-1)</f>
        <v/>
      </c>
      <c r="B1636" s="17" t="str">
        <f>IF('01_Rohdaten'!A1636="","",'01_Rohdaten'!A1636)</f>
        <v/>
      </c>
      <c r="C1636" s="17" t="str">
        <f>IF(B1636="","",INDEX('01_Rohdaten'!B1636:D1636,'02_Eingaben'!$C$13))</f>
        <v/>
      </c>
      <c r="D1636" s="17" t="str">
        <f>IF(C1636="","",C1636*'02_Eingaben'!$C$15)</f>
        <v/>
      </c>
      <c r="E1636" s="17" t="str">
        <f>IF(D1636="","",D1636*'02_Eingaben'!$C$8)</f>
        <v/>
      </c>
      <c r="F1636" s="17" t="str">
        <f>IF(E1636="","",AVERAGE(INDEX($E$2:$E$3001,MAX(1,ROW()-1-'02_Eingaben'!$C$17)):INDEX($E$2:$E$3001,MIN('02_Eingaben'!$C$21,ROW()-1+'02_Eingaben'!$C$17))))</f>
        <v/>
      </c>
      <c r="G1636" s="17" t="str">
        <f>IF(F1636="","",F1636-'02_Eingaben'!$C$10)</f>
        <v/>
      </c>
      <c r="H1636" t="str">
        <f>IF(F1636="","",IF(F1636&lt;'02_Eingaben'!$C$18*'02_Eingaben'!$C$10,1,0))</f>
        <v/>
      </c>
      <c r="I1636" s="17" t="str">
        <f t="shared" si="25"/>
        <v/>
      </c>
      <c r="J1636" s="17" t="str">
        <f>IF(B1636="","",IF(B1635&lt;'02_Eingaben'!$C$36,0,J1635+I1635/'02_Eingaben'!$C$8))</f>
        <v/>
      </c>
    </row>
    <row r="1637" spans="1:10" x14ac:dyDescent="0.25">
      <c r="A1637" t="str">
        <f>IF('01_Rohdaten'!A1637="","",ROW()-1)</f>
        <v/>
      </c>
      <c r="B1637" s="17" t="str">
        <f>IF('01_Rohdaten'!A1637="","",'01_Rohdaten'!A1637)</f>
        <v/>
      </c>
      <c r="C1637" s="17" t="str">
        <f>IF(B1637="","",INDEX('01_Rohdaten'!B1637:D1637,'02_Eingaben'!$C$13))</f>
        <v/>
      </c>
      <c r="D1637" s="17" t="str">
        <f>IF(C1637="","",C1637*'02_Eingaben'!$C$15)</f>
        <v/>
      </c>
      <c r="E1637" s="17" t="str">
        <f>IF(D1637="","",D1637*'02_Eingaben'!$C$8)</f>
        <v/>
      </c>
      <c r="F1637" s="17" t="str">
        <f>IF(E1637="","",AVERAGE(INDEX($E$2:$E$3001,MAX(1,ROW()-1-'02_Eingaben'!$C$17)):INDEX($E$2:$E$3001,MIN('02_Eingaben'!$C$21,ROW()-1+'02_Eingaben'!$C$17))))</f>
        <v/>
      </c>
      <c r="G1637" s="17" t="str">
        <f>IF(F1637="","",F1637-'02_Eingaben'!$C$10)</f>
        <v/>
      </c>
      <c r="H1637" t="str">
        <f>IF(F1637="","",IF(F1637&lt;'02_Eingaben'!$C$18*'02_Eingaben'!$C$10,1,0))</f>
        <v/>
      </c>
      <c r="I1637" s="17" t="str">
        <f t="shared" si="25"/>
        <v/>
      </c>
      <c r="J1637" s="17" t="str">
        <f>IF(B1637="","",IF(B1636&lt;'02_Eingaben'!$C$36,0,J1636+I1636/'02_Eingaben'!$C$8))</f>
        <v/>
      </c>
    </row>
    <row r="1638" spans="1:10" x14ac:dyDescent="0.25">
      <c r="A1638" t="str">
        <f>IF('01_Rohdaten'!A1638="","",ROW()-1)</f>
        <v/>
      </c>
      <c r="B1638" s="17" t="str">
        <f>IF('01_Rohdaten'!A1638="","",'01_Rohdaten'!A1638)</f>
        <v/>
      </c>
      <c r="C1638" s="17" t="str">
        <f>IF(B1638="","",INDEX('01_Rohdaten'!B1638:D1638,'02_Eingaben'!$C$13))</f>
        <v/>
      </c>
      <c r="D1638" s="17" t="str">
        <f>IF(C1638="","",C1638*'02_Eingaben'!$C$15)</f>
        <v/>
      </c>
      <c r="E1638" s="17" t="str">
        <f>IF(D1638="","",D1638*'02_Eingaben'!$C$8)</f>
        <v/>
      </c>
      <c r="F1638" s="17" t="str">
        <f>IF(E1638="","",AVERAGE(INDEX($E$2:$E$3001,MAX(1,ROW()-1-'02_Eingaben'!$C$17)):INDEX($E$2:$E$3001,MIN('02_Eingaben'!$C$21,ROW()-1+'02_Eingaben'!$C$17))))</f>
        <v/>
      </c>
      <c r="G1638" s="17" t="str">
        <f>IF(F1638="","",F1638-'02_Eingaben'!$C$10)</f>
        <v/>
      </c>
      <c r="H1638" t="str">
        <f>IF(F1638="","",IF(F1638&lt;'02_Eingaben'!$C$18*'02_Eingaben'!$C$10,1,0))</f>
        <v/>
      </c>
      <c r="I1638" s="17" t="str">
        <f t="shared" si="25"/>
        <v/>
      </c>
      <c r="J1638" s="17" t="str">
        <f>IF(B1638="","",IF(B1637&lt;'02_Eingaben'!$C$36,0,J1637+I1637/'02_Eingaben'!$C$8))</f>
        <v/>
      </c>
    </row>
    <row r="1639" spans="1:10" x14ac:dyDescent="0.25">
      <c r="A1639" t="str">
        <f>IF('01_Rohdaten'!A1639="","",ROW()-1)</f>
        <v/>
      </c>
      <c r="B1639" s="17" t="str">
        <f>IF('01_Rohdaten'!A1639="","",'01_Rohdaten'!A1639)</f>
        <v/>
      </c>
      <c r="C1639" s="17" t="str">
        <f>IF(B1639="","",INDEX('01_Rohdaten'!B1639:D1639,'02_Eingaben'!$C$13))</f>
        <v/>
      </c>
      <c r="D1639" s="17" t="str">
        <f>IF(C1639="","",C1639*'02_Eingaben'!$C$15)</f>
        <v/>
      </c>
      <c r="E1639" s="17" t="str">
        <f>IF(D1639="","",D1639*'02_Eingaben'!$C$8)</f>
        <v/>
      </c>
      <c r="F1639" s="17" t="str">
        <f>IF(E1639="","",AVERAGE(INDEX($E$2:$E$3001,MAX(1,ROW()-1-'02_Eingaben'!$C$17)):INDEX($E$2:$E$3001,MIN('02_Eingaben'!$C$21,ROW()-1+'02_Eingaben'!$C$17))))</f>
        <v/>
      </c>
      <c r="G1639" s="17" t="str">
        <f>IF(F1639="","",F1639-'02_Eingaben'!$C$10)</f>
        <v/>
      </c>
      <c r="H1639" t="str">
        <f>IF(F1639="","",IF(F1639&lt;'02_Eingaben'!$C$18*'02_Eingaben'!$C$10,1,0))</f>
        <v/>
      </c>
      <c r="I1639" s="17" t="str">
        <f t="shared" si="25"/>
        <v/>
      </c>
      <c r="J1639" s="17" t="str">
        <f>IF(B1639="","",IF(B1638&lt;'02_Eingaben'!$C$36,0,J1638+I1638/'02_Eingaben'!$C$8))</f>
        <v/>
      </c>
    </row>
    <row r="1640" spans="1:10" x14ac:dyDescent="0.25">
      <c r="A1640" t="str">
        <f>IF('01_Rohdaten'!A1640="","",ROW()-1)</f>
        <v/>
      </c>
      <c r="B1640" s="17" t="str">
        <f>IF('01_Rohdaten'!A1640="","",'01_Rohdaten'!A1640)</f>
        <v/>
      </c>
      <c r="C1640" s="17" t="str">
        <f>IF(B1640="","",INDEX('01_Rohdaten'!B1640:D1640,'02_Eingaben'!$C$13))</f>
        <v/>
      </c>
      <c r="D1640" s="17" t="str">
        <f>IF(C1640="","",C1640*'02_Eingaben'!$C$15)</f>
        <v/>
      </c>
      <c r="E1640" s="17" t="str">
        <f>IF(D1640="","",D1640*'02_Eingaben'!$C$8)</f>
        <v/>
      </c>
      <c r="F1640" s="17" t="str">
        <f>IF(E1640="","",AVERAGE(INDEX($E$2:$E$3001,MAX(1,ROW()-1-'02_Eingaben'!$C$17)):INDEX($E$2:$E$3001,MIN('02_Eingaben'!$C$21,ROW()-1+'02_Eingaben'!$C$17))))</f>
        <v/>
      </c>
      <c r="G1640" s="17" t="str">
        <f>IF(F1640="","",F1640-'02_Eingaben'!$C$10)</f>
        <v/>
      </c>
      <c r="H1640" t="str">
        <f>IF(F1640="","",IF(F1640&lt;'02_Eingaben'!$C$18*'02_Eingaben'!$C$10,1,0))</f>
        <v/>
      </c>
      <c r="I1640" s="17" t="str">
        <f t="shared" si="25"/>
        <v/>
      </c>
      <c r="J1640" s="17" t="str">
        <f>IF(B1640="","",IF(B1639&lt;'02_Eingaben'!$C$36,0,J1639+I1639/'02_Eingaben'!$C$8))</f>
        <v/>
      </c>
    </row>
    <row r="1641" spans="1:10" x14ac:dyDescent="0.25">
      <c r="A1641" t="str">
        <f>IF('01_Rohdaten'!A1641="","",ROW()-1)</f>
        <v/>
      </c>
      <c r="B1641" s="17" t="str">
        <f>IF('01_Rohdaten'!A1641="","",'01_Rohdaten'!A1641)</f>
        <v/>
      </c>
      <c r="C1641" s="17" t="str">
        <f>IF(B1641="","",INDEX('01_Rohdaten'!B1641:D1641,'02_Eingaben'!$C$13))</f>
        <v/>
      </c>
      <c r="D1641" s="17" t="str">
        <f>IF(C1641="","",C1641*'02_Eingaben'!$C$15)</f>
        <v/>
      </c>
      <c r="E1641" s="17" t="str">
        <f>IF(D1641="","",D1641*'02_Eingaben'!$C$8)</f>
        <v/>
      </c>
      <c r="F1641" s="17" t="str">
        <f>IF(E1641="","",AVERAGE(INDEX($E$2:$E$3001,MAX(1,ROW()-1-'02_Eingaben'!$C$17)):INDEX($E$2:$E$3001,MIN('02_Eingaben'!$C$21,ROW()-1+'02_Eingaben'!$C$17))))</f>
        <v/>
      </c>
      <c r="G1641" s="17" t="str">
        <f>IF(F1641="","",F1641-'02_Eingaben'!$C$10)</f>
        <v/>
      </c>
      <c r="H1641" t="str">
        <f>IF(F1641="","",IF(F1641&lt;'02_Eingaben'!$C$18*'02_Eingaben'!$C$10,1,0))</f>
        <v/>
      </c>
      <c r="I1641" s="17" t="str">
        <f t="shared" si="25"/>
        <v/>
      </c>
      <c r="J1641" s="17" t="str">
        <f>IF(B1641="","",IF(B1640&lt;'02_Eingaben'!$C$36,0,J1640+I1640/'02_Eingaben'!$C$8))</f>
        <v/>
      </c>
    </row>
    <row r="1642" spans="1:10" x14ac:dyDescent="0.25">
      <c r="A1642" t="str">
        <f>IF('01_Rohdaten'!A1642="","",ROW()-1)</f>
        <v/>
      </c>
      <c r="B1642" s="17" t="str">
        <f>IF('01_Rohdaten'!A1642="","",'01_Rohdaten'!A1642)</f>
        <v/>
      </c>
      <c r="C1642" s="17" t="str">
        <f>IF(B1642="","",INDEX('01_Rohdaten'!B1642:D1642,'02_Eingaben'!$C$13))</f>
        <v/>
      </c>
      <c r="D1642" s="17" t="str">
        <f>IF(C1642="","",C1642*'02_Eingaben'!$C$15)</f>
        <v/>
      </c>
      <c r="E1642" s="17" t="str">
        <f>IF(D1642="","",D1642*'02_Eingaben'!$C$8)</f>
        <v/>
      </c>
      <c r="F1642" s="17" t="str">
        <f>IF(E1642="","",AVERAGE(INDEX($E$2:$E$3001,MAX(1,ROW()-1-'02_Eingaben'!$C$17)):INDEX($E$2:$E$3001,MIN('02_Eingaben'!$C$21,ROW()-1+'02_Eingaben'!$C$17))))</f>
        <v/>
      </c>
      <c r="G1642" s="17" t="str">
        <f>IF(F1642="","",F1642-'02_Eingaben'!$C$10)</f>
        <v/>
      </c>
      <c r="H1642" t="str">
        <f>IF(F1642="","",IF(F1642&lt;'02_Eingaben'!$C$18*'02_Eingaben'!$C$10,1,0))</f>
        <v/>
      </c>
      <c r="I1642" s="17" t="str">
        <f t="shared" si="25"/>
        <v/>
      </c>
      <c r="J1642" s="17" t="str">
        <f>IF(B1642="","",IF(B1641&lt;'02_Eingaben'!$C$36,0,J1641+I1641/'02_Eingaben'!$C$8))</f>
        <v/>
      </c>
    </row>
    <row r="1643" spans="1:10" x14ac:dyDescent="0.25">
      <c r="A1643" t="str">
        <f>IF('01_Rohdaten'!A1643="","",ROW()-1)</f>
        <v/>
      </c>
      <c r="B1643" s="17" t="str">
        <f>IF('01_Rohdaten'!A1643="","",'01_Rohdaten'!A1643)</f>
        <v/>
      </c>
      <c r="C1643" s="17" t="str">
        <f>IF(B1643="","",INDEX('01_Rohdaten'!B1643:D1643,'02_Eingaben'!$C$13))</f>
        <v/>
      </c>
      <c r="D1643" s="17" t="str">
        <f>IF(C1643="","",C1643*'02_Eingaben'!$C$15)</f>
        <v/>
      </c>
      <c r="E1643" s="17" t="str">
        <f>IF(D1643="","",D1643*'02_Eingaben'!$C$8)</f>
        <v/>
      </c>
      <c r="F1643" s="17" t="str">
        <f>IF(E1643="","",AVERAGE(INDEX($E$2:$E$3001,MAX(1,ROW()-1-'02_Eingaben'!$C$17)):INDEX($E$2:$E$3001,MIN('02_Eingaben'!$C$21,ROW()-1+'02_Eingaben'!$C$17))))</f>
        <v/>
      </c>
      <c r="G1643" s="17" t="str">
        <f>IF(F1643="","",F1643-'02_Eingaben'!$C$10)</f>
        <v/>
      </c>
      <c r="H1643" t="str">
        <f>IF(F1643="","",IF(F1643&lt;'02_Eingaben'!$C$18*'02_Eingaben'!$C$10,1,0))</f>
        <v/>
      </c>
      <c r="I1643" s="17" t="str">
        <f t="shared" si="25"/>
        <v/>
      </c>
      <c r="J1643" s="17" t="str">
        <f>IF(B1643="","",IF(B1642&lt;'02_Eingaben'!$C$36,0,J1642+I1642/'02_Eingaben'!$C$8))</f>
        <v/>
      </c>
    </row>
    <row r="1644" spans="1:10" x14ac:dyDescent="0.25">
      <c r="A1644" t="str">
        <f>IF('01_Rohdaten'!A1644="","",ROW()-1)</f>
        <v/>
      </c>
      <c r="B1644" s="17" t="str">
        <f>IF('01_Rohdaten'!A1644="","",'01_Rohdaten'!A1644)</f>
        <v/>
      </c>
      <c r="C1644" s="17" t="str">
        <f>IF(B1644="","",INDEX('01_Rohdaten'!B1644:D1644,'02_Eingaben'!$C$13))</f>
        <v/>
      </c>
      <c r="D1644" s="17" t="str">
        <f>IF(C1644="","",C1644*'02_Eingaben'!$C$15)</f>
        <v/>
      </c>
      <c r="E1644" s="17" t="str">
        <f>IF(D1644="","",D1644*'02_Eingaben'!$C$8)</f>
        <v/>
      </c>
      <c r="F1644" s="17" t="str">
        <f>IF(E1644="","",AVERAGE(INDEX($E$2:$E$3001,MAX(1,ROW()-1-'02_Eingaben'!$C$17)):INDEX($E$2:$E$3001,MIN('02_Eingaben'!$C$21,ROW()-1+'02_Eingaben'!$C$17))))</f>
        <v/>
      </c>
      <c r="G1644" s="17" t="str">
        <f>IF(F1644="","",F1644-'02_Eingaben'!$C$10)</f>
        <v/>
      </c>
      <c r="H1644" t="str">
        <f>IF(F1644="","",IF(F1644&lt;'02_Eingaben'!$C$18*'02_Eingaben'!$C$10,1,0))</f>
        <v/>
      </c>
      <c r="I1644" s="17" t="str">
        <f t="shared" si="25"/>
        <v/>
      </c>
      <c r="J1644" s="17" t="str">
        <f>IF(B1644="","",IF(B1643&lt;'02_Eingaben'!$C$36,0,J1643+I1643/'02_Eingaben'!$C$8))</f>
        <v/>
      </c>
    </row>
    <row r="1645" spans="1:10" x14ac:dyDescent="0.25">
      <c r="A1645" t="str">
        <f>IF('01_Rohdaten'!A1645="","",ROW()-1)</f>
        <v/>
      </c>
      <c r="B1645" s="17" t="str">
        <f>IF('01_Rohdaten'!A1645="","",'01_Rohdaten'!A1645)</f>
        <v/>
      </c>
      <c r="C1645" s="17" t="str">
        <f>IF(B1645="","",INDEX('01_Rohdaten'!B1645:D1645,'02_Eingaben'!$C$13))</f>
        <v/>
      </c>
      <c r="D1645" s="17" t="str">
        <f>IF(C1645="","",C1645*'02_Eingaben'!$C$15)</f>
        <v/>
      </c>
      <c r="E1645" s="17" t="str">
        <f>IF(D1645="","",D1645*'02_Eingaben'!$C$8)</f>
        <v/>
      </c>
      <c r="F1645" s="17" t="str">
        <f>IF(E1645="","",AVERAGE(INDEX($E$2:$E$3001,MAX(1,ROW()-1-'02_Eingaben'!$C$17)):INDEX($E$2:$E$3001,MIN('02_Eingaben'!$C$21,ROW()-1+'02_Eingaben'!$C$17))))</f>
        <v/>
      </c>
      <c r="G1645" s="17" t="str">
        <f>IF(F1645="","",F1645-'02_Eingaben'!$C$10)</f>
        <v/>
      </c>
      <c r="H1645" t="str">
        <f>IF(F1645="","",IF(F1645&lt;'02_Eingaben'!$C$18*'02_Eingaben'!$C$10,1,0))</f>
        <v/>
      </c>
      <c r="I1645" s="17" t="str">
        <f t="shared" si="25"/>
        <v/>
      </c>
      <c r="J1645" s="17" t="str">
        <f>IF(B1645="","",IF(B1644&lt;'02_Eingaben'!$C$36,0,J1644+I1644/'02_Eingaben'!$C$8))</f>
        <v/>
      </c>
    </row>
    <row r="1646" spans="1:10" x14ac:dyDescent="0.25">
      <c r="A1646" t="str">
        <f>IF('01_Rohdaten'!A1646="","",ROW()-1)</f>
        <v/>
      </c>
      <c r="B1646" s="17" t="str">
        <f>IF('01_Rohdaten'!A1646="","",'01_Rohdaten'!A1646)</f>
        <v/>
      </c>
      <c r="C1646" s="17" t="str">
        <f>IF(B1646="","",INDEX('01_Rohdaten'!B1646:D1646,'02_Eingaben'!$C$13))</f>
        <v/>
      </c>
      <c r="D1646" s="17" t="str">
        <f>IF(C1646="","",C1646*'02_Eingaben'!$C$15)</f>
        <v/>
      </c>
      <c r="E1646" s="17" t="str">
        <f>IF(D1646="","",D1646*'02_Eingaben'!$C$8)</f>
        <v/>
      </c>
      <c r="F1646" s="17" t="str">
        <f>IF(E1646="","",AVERAGE(INDEX($E$2:$E$3001,MAX(1,ROW()-1-'02_Eingaben'!$C$17)):INDEX($E$2:$E$3001,MIN('02_Eingaben'!$C$21,ROW()-1+'02_Eingaben'!$C$17))))</f>
        <v/>
      </c>
      <c r="G1646" s="17" t="str">
        <f>IF(F1646="","",F1646-'02_Eingaben'!$C$10)</f>
        <v/>
      </c>
      <c r="H1646" t="str">
        <f>IF(F1646="","",IF(F1646&lt;'02_Eingaben'!$C$18*'02_Eingaben'!$C$10,1,0))</f>
        <v/>
      </c>
      <c r="I1646" s="17" t="str">
        <f t="shared" si="25"/>
        <v/>
      </c>
      <c r="J1646" s="17" t="str">
        <f>IF(B1646="","",IF(B1645&lt;'02_Eingaben'!$C$36,0,J1645+I1645/'02_Eingaben'!$C$8))</f>
        <v/>
      </c>
    </row>
    <row r="1647" spans="1:10" x14ac:dyDescent="0.25">
      <c r="A1647" t="str">
        <f>IF('01_Rohdaten'!A1647="","",ROW()-1)</f>
        <v/>
      </c>
      <c r="B1647" s="17" t="str">
        <f>IF('01_Rohdaten'!A1647="","",'01_Rohdaten'!A1647)</f>
        <v/>
      </c>
      <c r="C1647" s="17" t="str">
        <f>IF(B1647="","",INDEX('01_Rohdaten'!B1647:D1647,'02_Eingaben'!$C$13))</f>
        <v/>
      </c>
      <c r="D1647" s="17" t="str">
        <f>IF(C1647="","",C1647*'02_Eingaben'!$C$15)</f>
        <v/>
      </c>
      <c r="E1647" s="17" t="str">
        <f>IF(D1647="","",D1647*'02_Eingaben'!$C$8)</f>
        <v/>
      </c>
      <c r="F1647" s="17" t="str">
        <f>IF(E1647="","",AVERAGE(INDEX($E$2:$E$3001,MAX(1,ROW()-1-'02_Eingaben'!$C$17)):INDEX($E$2:$E$3001,MIN('02_Eingaben'!$C$21,ROW()-1+'02_Eingaben'!$C$17))))</f>
        <v/>
      </c>
      <c r="G1647" s="17" t="str">
        <f>IF(F1647="","",F1647-'02_Eingaben'!$C$10)</f>
        <v/>
      </c>
      <c r="H1647" t="str">
        <f>IF(F1647="","",IF(F1647&lt;'02_Eingaben'!$C$18*'02_Eingaben'!$C$10,1,0))</f>
        <v/>
      </c>
      <c r="I1647" s="17" t="str">
        <f t="shared" si="25"/>
        <v/>
      </c>
      <c r="J1647" s="17" t="str">
        <f>IF(B1647="","",IF(B1646&lt;'02_Eingaben'!$C$36,0,J1646+I1646/'02_Eingaben'!$C$8))</f>
        <v/>
      </c>
    </row>
    <row r="1648" spans="1:10" x14ac:dyDescent="0.25">
      <c r="A1648" t="str">
        <f>IF('01_Rohdaten'!A1648="","",ROW()-1)</f>
        <v/>
      </c>
      <c r="B1648" s="17" t="str">
        <f>IF('01_Rohdaten'!A1648="","",'01_Rohdaten'!A1648)</f>
        <v/>
      </c>
      <c r="C1648" s="17" t="str">
        <f>IF(B1648="","",INDEX('01_Rohdaten'!B1648:D1648,'02_Eingaben'!$C$13))</f>
        <v/>
      </c>
      <c r="D1648" s="17" t="str">
        <f>IF(C1648="","",C1648*'02_Eingaben'!$C$15)</f>
        <v/>
      </c>
      <c r="E1648" s="17" t="str">
        <f>IF(D1648="","",D1648*'02_Eingaben'!$C$8)</f>
        <v/>
      </c>
      <c r="F1648" s="17" t="str">
        <f>IF(E1648="","",AVERAGE(INDEX($E$2:$E$3001,MAX(1,ROW()-1-'02_Eingaben'!$C$17)):INDEX($E$2:$E$3001,MIN('02_Eingaben'!$C$21,ROW()-1+'02_Eingaben'!$C$17))))</f>
        <v/>
      </c>
      <c r="G1648" s="17" t="str">
        <f>IF(F1648="","",F1648-'02_Eingaben'!$C$10)</f>
        <v/>
      </c>
      <c r="H1648" t="str">
        <f>IF(F1648="","",IF(F1648&lt;'02_Eingaben'!$C$18*'02_Eingaben'!$C$10,1,0))</f>
        <v/>
      </c>
      <c r="I1648" s="17" t="str">
        <f t="shared" si="25"/>
        <v/>
      </c>
      <c r="J1648" s="17" t="str">
        <f>IF(B1648="","",IF(B1647&lt;'02_Eingaben'!$C$36,0,J1647+I1647/'02_Eingaben'!$C$8))</f>
        <v/>
      </c>
    </row>
    <row r="1649" spans="1:10" x14ac:dyDescent="0.25">
      <c r="A1649" t="str">
        <f>IF('01_Rohdaten'!A1649="","",ROW()-1)</f>
        <v/>
      </c>
      <c r="B1649" s="17" t="str">
        <f>IF('01_Rohdaten'!A1649="","",'01_Rohdaten'!A1649)</f>
        <v/>
      </c>
      <c r="C1649" s="17" t="str">
        <f>IF(B1649="","",INDEX('01_Rohdaten'!B1649:D1649,'02_Eingaben'!$C$13))</f>
        <v/>
      </c>
      <c r="D1649" s="17" t="str">
        <f>IF(C1649="","",C1649*'02_Eingaben'!$C$15)</f>
        <v/>
      </c>
      <c r="E1649" s="17" t="str">
        <f>IF(D1649="","",D1649*'02_Eingaben'!$C$8)</f>
        <v/>
      </c>
      <c r="F1649" s="17" t="str">
        <f>IF(E1649="","",AVERAGE(INDEX($E$2:$E$3001,MAX(1,ROW()-1-'02_Eingaben'!$C$17)):INDEX($E$2:$E$3001,MIN('02_Eingaben'!$C$21,ROW()-1+'02_Eingaben'!$C$17))))</f>
        <v/>
      </c>
      <c r="G1649" s="17" t="str">
        <f>IF(F1649="","",F1649-'02_Eingaben'!$C$10)</f>
        <v/>
      </c>
      <c r="H1649" t="str">
        <f>IF(F1649="","",IF(F1649&lt;'02_Eingaben'!$C$18*'02_Eingaben'!$C$10,1,0))</f>
        <v/>
      </c>
      <c r="I1649" s="17" t="str">
        <f t="shared" si="25"/>
        <v/>
      </c>
      <c r="J1649" s="17" t="str">
        <f>IF(B1649="","",IF(B1648&lt;'02_Eingaben'!$C$36,0,J1648+I1648/'02_Eingaben'!$C$8))</f>
        <v/>
      </c>
    </row>
    <row r="1650" spans="1:10" x14ac:dyDescent="0.25">
      <c r="A1650" t="str">
        <f>IF('01_Rohdaten'!A1650="","",ROW()-1)</f>
        <v/>
      </c>
      <c r="B1650" s="17" t="str">
        <f>IF('01_Rohdaten'!A1650="","",'01_Rohdaten'!A1650)</f>
        <v/>
      </c>
      <c r="C1650" s="17" t="str">
        <f>IF(B1650="","",INDEX('01_Rohdaten'!B1650:D1650,'02_Eingaben'!$C$13))</f>
        <v/>
      </c>
      <c r="D1650" s="17" t="str">
        <f>IF(C1650="","",C1650*'02_Eingaben'!$C$15)</f>
        <v/>
      </c>
      <c r="E1650" s="17" t="str">
        <f>IF(D1650="","",D1650*'02_Eingaben'!$C$8)</f>
        <v/>
      </c>
      <c r="F1650" s="17" t="str">
        <f>IF(E1650="","",AVERAGE(INDEX($E$2:$E$3001,MAX(1,ROW()-1-'02_Eingaben'!$C$17)):INDEX($E$2:$E$3001,MIN('02_Eingaben'!$C$21,ROW()-1+'02_Eingaben'!$C$17))))</f>
        <v/>
      </c>
      <c r="G1650" s="17" t="str">
        <f>IF(F1650="","",F1650-'02_Eingaben'!$C$10)</f>
        <v/>
      </c>
      <c r="H1650" t="str">
        <f>IF(F1650="","",IF(F1650&lt;'02_Eingaben'!$C$18*'02_Eingaben'!$C$10,1,0))</f>
        <v/>
      </c>
      <c r="I1650" s="17" t="str">
        <f t="shared" si="25"/>
        <v/>
      </c>
      <c r="J1650" s="17" t="str">
        <f>IF(B1650="","",IF(B1649&lt;'02_Eingaben'!$C$36,0,J1649+I1649/'02_Eingaben'!$C$8))</f>
        <v/>
      </c>
    </row>
    <row r="1651" spans="1:10" x14ac:dyDescent="0.25">
      <c r="A1651" t="str">
        <f>IF('01_Rohdaten'!A1651="","",ROW()-1)</f>
        <v/>
      </c>
      <c r="B1651" s="17" t="str">
        <f>IF('01_Rohdaten'!A1651="","",'01_Rohdaten'!A1651)</f>
        <v/>
      </c>
      <c r="C1651" s="17" t="str">
        <f>IF(B1651="","",INDEX('01_Rohdaten'!B1651:D1651,'02_Eingaben'!$C$13))</f>
        <v/>
      </c>
      <c r="D1651" s="17" t="str">
        <f>IF(C1651="","",C1651*'02_Eingaben'!$C$15)</f>
        <v/>
      </c>
      <c r="E1651" s="17" t="str">
        <f>IF(D1651="","",D1651*'02_Eingaben'!$C$8)</f>
        <v/>
      </c>
      <c r="F1651" s="17" t="str">
        <f>IF(E1651="","",AVERAGE(INDEX($E$2:$E$3001,MAX(1,ROW()-1-'02_Eingaben'!$C$17)):INDEX($E$2:$E$3001,MIN('02_Eingaben'!$C$21,ROW()-1+'02_Eingaben'!$C$17))))</f>
        <v/>
      </c>
      <c r="G1651" s="17" t="str">
        <f>IF(F1651="","",F1651-'02_Eingaben'!$C$10)</f>
        <v/>
      </c>
      <c r="H1651" t="str">
        <f>IF(F1651="","",IF(F1651&lt;'02_Eingaben'!$C$18*'02_Eingaben'!$C$10,1,0))</f>
        <v/>
      </c>
      <c r="I1651" s="17" t="str">
        <f t="shared" si="25"/>
        <v/>
      </c>
      <c r="J1651" s="17" t="str">
        <f>IF(B1651="","",IF(B1650&lt;'02_Eingaben'!$C$36,0,J1650+I1650/'02_Eingaben'!$C$8))</f>
        <v/>
      </c>
    </row>
    <row r="1652" spans="1:10" x14ac:dyDescent="0.25">
      <c r="A1652" t="str">
        <f>IF('01_Rohdaten'!A1652="","",ROW()-1)</f>
        <v/>
      </c>
      <c r="B1652" s="17" t="str">
        <f>IF('01_Rohdaten'!A1652="","",'01_Rohdaten'!A1652)</f>
        <v/>
      </c>
      <c r="C1652" s="17" t="str">
        <f>IF(B1652="","",INDEX('01_Rohdaten'!B1652:D1652,'02_Eingaben'!$C$13))</f>
        <v/>
      </c>
      <c r="D1652" s="17" t="str">
        <f>IF(C1652="","",C1652*'02_Eingaben'!$C$15)</f>
        <v/>
      </c>
      <c r="E1652" s="17" t="str">
        <f>IF(D1652="","",D1652*'02_Eingaben'!$C$8)</f>
        <v/>
      </c>
      <c r="F1652" s="17" t="str">
        <f>IF(E1652="","",AVERAGE(INDEX($E$2:$E$3001,MAX(1,ROW()-1-'02_Eingaben'!$C$17)):INDEX($E$2:$E$3001,MIN('02_Eingaben'!$C$21,ROW()-1+'02_Eingaben'!$C$17))))</f>
        <v/>
      </c>
      <c r="G1652" s="17" t="str">
        <f>IF(F1652="","",F1652-'02_Eingaben'!$C$10)</f>
        <v/>
      </c>
      <c r="H1652" t="str">
        <f>IF(F1652="","",IF(F1652&lt;'02_Eingaben'!$C$18*'02_Eingaben'!$C$10,1,0))</f>
        <v/>
      </c>
      <c r="I1652" s="17" t="str">
        <f t="shared" si="25"/>
        <v/>
      </c>
      <c r="J1652" s="17" t="str">
        <f>IF(B1652="","",IF(B1651&lt;'02_Eingaben'!$C$36,0,J1651+I1651/'02_Eingaben'!$C$8))</f>
        <v/>
      </c>
    </row>
    <row r="1653" spans="1:10" x14ac:dyDescent="0.25">
      <c r="A1653" t="str">
        <f>IF('01_Rohdaten'!A1653="","",ROW()-1)</f>
        <v/>
      </c>
      <c r="B1653" s="17" t="str">
        <f>IF('01_Rohdaten'!A1653="","",'01_Rohdaten'!A1653)</f>
        <v/>
      </c>
      <c r="C1653" s="17" t="str">
        <f>IF(B1653="","",INDEX('01_Rohdaten'!B1653:D1653,'02_Eingaben'!$C$13))</f>
        <v/>
      </c>
      <c r="D1653" s="17" t="str">
        <f>IF(C1653="","",C1653*'02_Eingaben'!$C$15)</f>
        <v/>
      </c>
      <c r="E1653" s="17" t="str">
        <f>IF(D1653="","",D1653*'02_Eingaben'!$C$8)</f>
        <v/>
      </c>
      <c r="F1653" s="17" t="str">
        <f>IF(E1653="","",AVERAGE(INDEX($E$2:$E$3001,MAX(1,ROW()-1-'02_Eingaben'!$C$17)):INDEX($E$2:$E$3001,MIN('02_Eingaben'!$C$21,ROW()-1+'02_Eingaben'!$C$17))))</f>
        <v/>
      </c>
      <c r="G1653" s="17" t="str">
        <f>IF(F1653="","",F1653-'02_Eingaben'!$C$10)</f>
        <v/>
      </c>
      <c r="H1653" t="str">
        <f>IF(F1653="","",IF(F1653&lt;'02_Eingaben'!$C$18*'02_Eingaben'!$C$10,1,0))</f>
        <v/>
      </c>
      <c r="I1653" s="17" t="str">
        <f t="shared" si="25"/>
        <v/>
      </c>
      <c r="J1653" s="17" t="str">
        <f>IF(B1653="","",IF(B1652&lt;'02_Eingaben'!$C$36,0,J1652+I1652/'02_Eingaben'!$C$8))</f>
        <v/>
      </c>
    </row>
    <row r="1654" spans="1:10" x14ac:dyDescent="0.25">
      <c r="A1654" t="str">
        <f>IF('01_Rohdaten'!A1654="","",ROW()-1)</f>
        <v/>
      </c>
      <c r="B1654" s="17" t="str">
        <f>IF('01_Rohdaten'!A1654="","",'01_Rohdaten'!A1654)</f>
        <v/>
      </c>
      <c r="C1654" s="17" t="str">
        <f>IF(B1654="","",INDEX('01_Rohdaten'!B1654:D1654,'02_Eingaben'!$C$13))</f>
        <v/>
      </c>
      <c r="D1654" s="17" t="str">
        <f>IF(C1654="","",C1654*'02_Eingaben'!$C$15)</f>
        <v/>
      </c>
      <c r="E1654" s="17" t="str">
        <f>IF(D1654="","",D1654*'02_Eingaben'!$C$8)</f>
        <v/>
      </c>
      <c r="F1654" s="17" t="str">
        <f>IF(E1654="","",AVERAGE(INDEX($E$2:$E$3001,MAX(1,ROW()-1-'02_Eingaben'!$C$17)):INDEX($E$2:$E$3001,MIN('02_Eingaben'!$C$21,ROW()-1+'02_Eingaben'!$C$17))))</f>
        <v/>
      </c>
      <c r="G1654" s="17" t="str">
        <f>IF(F1654="","",F1654-'02_Eingaben'!$C$10)</f>
        <v/>
      </c>
      <c r="H1654" t="str">
        <f>IF(F1654="","",IF(F1654&lt;'02_Eingaben'!$C$18*'02_Eingaben'!$C$10,1,0))</f>
        <v/>
      </c>
      <c r="I1654" s="17" t="str">
        <f t="shared" si="25"/>
        <v/>
      </c>
      <c r="J1654" s="17" t="str">
        <f>IF(B1654="","",IF(B1653&lt;'02_Eingaben'!$C$36,0,J1653+I1653/'02_Eingaben'!$C$8))</f>
        <v/>
      </c>
    </row>
    <row r="1655" spans="1:10" x14ac:dyDescent="0.25">
      <c r="A1655" t="str">
        <f>IF('01_Rohdaten'!A1655="","",ROW()-1)</f>
        <v/>
      </c>
      <c r="B1655" s="17" t="str">
        <f>IF('01_Rohdaten'!A1655="","",'01_Rohdaten'!A1655)</f>
        <v/>
      </c>
      <c r="C1655" s="17" t="str">
        <f>IF(B1655="","",INDEX('01_Rohdaten'!B1655:D1655,'02_Eingaben'!$C$13))</f>
        <v/>
      </c>
      <c r="D1655" s="17" t="str">
        <f>IF(C1655="","",C1655*'02_Eingaben'!$C$15)</f>
        <v/>
      </c>
      <c r="E1655" s="17" t="str">
        <f>IF(D1655="","",D1655*'02_Eingaben'!$C$8)</f>
        <v/>
      </c>
      <c r="F1655" s="17" t="str">
        <f>IF(E1655="","",AVERAGE(INDEX($E$2:$E$3001,MAX(1,ROW()-1-'02_Eingaben'!$C$17)):INDEX($E$2:$E$3001,MIN('02_Eingaben'!$C$21,ROW()-1+'02_Eingaben'!$C$17))))</f>
        <v/>
      </c>
      <c r="G1655" s="17" t="str">
        <f>IF(F1655="","",F1655-'02_Eingaben'!$C$10)</f>
        <v/>
      </c>
      <c r="H1655" t="str">
        <f>IF(F1655="","",IF(F1655&lt;'02_Eingaben'!$C$18*'02_Eingaben'!$C$10,1,0))</f>
        <v/>
      </c>
      <c r="I1655" s="17" t="str">
        <f t="shared" si="25"/>
        <v/>
      </c>
      <c r="J1655" s="17" t="str">
        <f>IF(B1655="","",IF(B1654&lt;'02_Eingaben'!$C$36,0,J1654+I1654/'02_Eingaben'!$C$8))</f>
        <v/>
      </c>
    </row>
    <row r="1656" spans="1:10" x14ac:dyDescent="0.25">
      <c r="A1656" t="str">
        <f>IF('01_Rohdaten'!A1656="","",ROW()-1)</f>
        <v/>
      </c>
      <c r="B1656" s="17" t="str">
        <f>IF('01_Rohdaten'!A1656="","",'01_Rohdaten'!A1656)</f>
        <v/>
      </c>
      <c r="C1656" s="17" t="str">
        <f>IF(B1656="","",INDEX('01_Rohdaten'!B1656:D1656,'02_Eingaben'!$C$13))</f>
        <v/>
      </c>
      <c r="D1656" s="17" t="str">
        <f>IF(C1656="","",C1656*'02_Eingaben'!$C$15)</f>
        <v/>
      </c>
      <c r="E1656" s="17" t="str">
        <f>IF(D1656="","",D1656*'02_Eingaben'!$C$8)</f>
        <v/>
      </c>
      <c r="F1656" s="17" t="str">
        <f>IF(E1656="","",AVERAGE(INDEX($E$2:$E$3001,MAX(1,ROW()-1-'02_Eingaben'!$C$17)):INDEX($E$2:$E$3001,MIN('02_Eingaben'!$C$21,ROW()-1+'02_Eingaben'!$C$17))))</f>
        <v/>
      </c>
      <c r="G1656" s="17" t="str">
        <f>IF(F1656="","",F1656-'02_Eingaben'!$C$10)</f>
        <v/>
      </c>
      <c r="H1656" t="str">
        <f>IF(F1656="","",IF(F1656&lt;'02_Eingaben'!$C$18*'02_Eingaben'!$C$10,1,0))</f>
        <v/>
      </c>
      <c r="I1656" s="17" t="str">
        <f t="shared" si="25"/>
        <v/>
      </c>
      <c r="J1656" s="17" t="str">
        <f>IF(B1656="","",IF(B1655&lt;'02_Eingaben'!$C$36,0,J1655+I1655/'02_Eingaben'!$C$8))</f>
        <v/>
      </c>
    </row>
    <row r="1657" spans="1:10" x14ac:dyDescent="0.25">
      <c r="A1657" t="str">
        <f>IF('01_Rohdaten'!A1657="","",ROW()-1)</f>
        <v/>
      </c>
      <c r="B1657" s="17" t="str">
        <f>IF('01_Rohdaten'!A1657="","",'01_Rohdaten'!A1657)</f>
        <v/>
      </c>
      <c r="C1657" s="17" t="str">
        <f>IF(B1657="","",INDEX('01_Rohdaten'!B1657:D1657,'02_Eingaben'!$C$13))</f>
        <v/>
      </c>
      <c r="D1657" s="17" t="str">
        <f>IF(C1657="","",C1657*'02_Eingaben'!$C$15)</f>
        <v/>
      </c>
      <c r="E1657" s="17" t="str">
        <f>IF(D1657="","",D1657*'02_Eingaben'!$C$8)</f>
        <v/>
      </c>
      <c r="F1657" s="17" t="str">
        <f>IF(E1657="","",AVERAGE(INDEX($E$2:$E$3001,MAX(1,ROW()-1-'02_Eingaben'!$C$17)):INDEX($E$2:$E$3001,MIN('02_Eingaben'!$C$21,ROW()-1+'02_Eingaben'!$C$17))))</f>
        <v/>
      </c>
      <c r="G1657" s="17" t="str">
        <f>IF(F1657="","",F1657-'02_Eingaben'!$C$10)</f>
        <v/>
      </c>
      <c r="H1657" t="str">
        <f>IF(F1657="","",IF(F1657&lt;'02_Eingaben'!$C$18*'02_Eingaben'!$C$10,1,0))</f>
        <v/>
      </c>
      <c r="I1657" s="17" t="str">
        <f t="shared" si="25"/>
        <v/>
      </c>
      <c r="J1657" s="17" t="str">
        <f>IF(B1657="","",IF(B1656&lt;'02_Eingaben'!$C$36,0,J1656+I1656/'02_Eingaben'!$C$8))</f>
        <v/>
      </c>
    </row>
    <row r="1658" spans="1:10" x14ac:dyDescent="0.25">
      <c r="A1658" t="str">
        <f>IF('01_Rohdaten'!A1658="","",ROW()-1)</f>
        <v/>
      </c>
      <c r="B1658" s="17" t="str">
        <f>IF('01_Rohdaten'!A1658="","",'01_Rohdaten'!A1658)</f>
        <v/>
      </c>
      <c r="C1658" s="17" t="str">
        <f>IF(B1658="","",INDEX('01_Rohdaten'!B1658:D1658,'02_Eingaben'!$C$13))</f>
        <v/>
      </c>
      <c r="D1658" s="17" t="str">
        <f>IF(C1658="","",C1658*'02_Eingaben'!$C$15)</f>
        <v/>
      </c>
      <c r="E1658" s="17" t="str">
        <f>IF(D1658="","",D1658*'02_Eingaben'!$C$8)</f>
        <v/>
      </c>
      <c r="F1658" s="17" t="str">
        <f>IF(E1658="","",AVERAGE(INDEX($E$2:$E$3001,MAX(1,ROW()-1-'02_Eingaben'!$C$17)):INDEX($E$2:$E$3001,MIN('02_Eingaben'!$C$21,ROW()-1+'02_Eingaben'!$C$17))))</f>
        <v/>
      </c>
      <c r="G1658" s="17" t="str">
        <f>IF(F1658="","",F1658-'02_Eingaben'!$C$10)</f>
        <v/>
      </c>
      <c r="H1658" t="str">
        <f>IF(F1658="","",IF(F1658&lt;'02_Eingaben'!$C$18*'02_Eingaben'!$C$10,1,0))</f>
        <v/>
      </c>
      <c r="I1658" s="17" t="str">
        <f t="shared" si="25"/>
        <v/>
      </c>
      <c r="J1658" s="17" t="str">
        <f>IF(B1658="","",IF(B1657&lt;'02_Eingaben'!$C$36,0,J1657+I1657/'02_Eingaben'!$C$8))</f>
        <v/>
      </c>
    </row>
    <row r="1659" spans="1:10" x14ac:dyDescent="0.25">
      <c r="A1659" t="str">
        <f>IF('01_Rohdaten'!A1659="","",ROW()-1)</f>
        <v/>
      </c>
      <c r="B1659" s="17" t="str">
        <f>IF('01_Rohdaten'!A1659="","",'01_Rohdaten'!A1659)</f>
        <v/>
      </c>
      <c r="C1659" s="17" t="str">
        <f>IF(B1659="","",INDEX('01_Rohdaten'!B1659:D1659,'02_Eingaben'!$C$13))</f>
        <v/>
      </c>
      <c r="D1659" s="17" t="str">
        <f>IF(C1659="","",C1659*'02_Eingaben'!$C$15)</f>
        <v/>
      </c>
      <c r="E1659" s="17" t="str">
        <f>IF(D1659="","",D1659*'02_Eingaben'!$C$8)</f>
        <v/>
      </c>
      <c r="F1659" s="17" t="str">
        <f>IF(E1659="","",AVERAGE(INDEX($E$2:$E$3001,MAX(1,ROW()-1-'02_Eingaben'!$C$17)):INDEX($E$2:$E$3001,MIN('02_Eingaben'!$C$21,ROW()-1+'02_Eingaben'!$C$17))))</f>
        <v/>
      </c>
      <c r="G1659" s="17" t="str">
        <f>IF(F1659="","",F1659-'02_Eingaben'!$C$10)</f>
        <v/>
      </c>
      <c r="H1659" t="str">
        <f>IF(F1659="","",IF(F1659&lt;'02_Eingaben'!$C$18*'02_Eingaben'!$C$10,1,0))</f>
        <v/>
      </c>
      <c r="I1659" s="17" t="str">
        <f t="shared" si="25"/>
        <v/>
      </c>
      <c r="J1659" s="17" t="str">
        <f>IF(B1659="","",IF(B1658&lt;'02_Eingaben'!$C$36,0,J1658+I1658/'02_Eingaben'!$C$8))</f>
        <v/>
      </c>
    </row>
    <row r="1660" spans="1:10" x14ac:dyDescent="0.25">
      <c r="A1660" t="str">
        <f>IF('01_Rohdaten'!A1660="","",ROW()-1)</f>
        <v/>
      </c>
      <c r="B1660" s="17" t="str">
        <f>IF('01_Rohdaten'!A1660="","",'01_Rohdaten'!A1660)</f>
        <v/>
      </c>
      <c r="C1660" s="17" t="str">
        <f>IF(B1660="","",INDEX('01_Rohdaten'!B1660:D1660,'02_Eingaben'!$C$13))</f>
        <v/>
      </c>
      <c r="D1660" s="17" t="str">
        <f>IF(C1660="","",C1660*'02_Eingaben'!$C$15)</f>
        <v/>
      </c>
      <c r="E1660" s="17" t="str">
        <f>IF(D1660="","",D1660*'02_Eingaben'!$C$8)</f>
        <v/>
      </c>
      <c r="F1660" s="17" t="str">
        <f>IF(E1660="","",AVERAGE(INDEX($E$2:$E$3001,MAX(1,ROW()-1-'02_Eingaben'!$C$17)):INDEX($E$2:$E$3001,MIN('02_Eingaben'!$C$21,ROW()-1+'02_Eingaben'!$C$17))))</f>
        <v/>
      </c>
      <c r="G1660" s="17" t="str">
        <f>IF(F1660="","",F1660-'02_Eingaben'!$C$10)</f>
        <v/>
      </c>
      <c r="H1660" t="str">
        <f>IF(F1660="","",IF(F1660&lt;'02_Eingaben'!$C$18*'02_Eingaben'!$C$10,1,0))</f>
        <v/>
      </c>
      <c r="I1660" s="17" t="str">
        <f t="shared" si="25"/>
        <v/>
      </c>
      <c r="J1660" s="17" t="str">
        <f>IF(B1660="","",IF(B1659&lt;'02_Eingaben'!$C$36,0,J1659+I1659/'02_Eingaben'!$C$8))</f>
        <v/>
      </c>
    </row>
    <row r="1661" spans="1:10" x14ac:dyDescent="0.25">
      <c r="A1661" t="str">
        <f>IF('01_Rohdaten'!A1661="","",ROW()-1)</f>
        <v/>
      </c>
      <c r="B1661" s="17" t="str">
        <f>IF('01_Rohdaten'!A1661="","",'01_Rohdaten'!A1661)</f>
        <v/>
      </c>
      <c r="C1661" s="17" t="str">
        <f>IF(B1661="","",INDEX('01_Rohdaten'!B1661:D1661,'02_Eingaben'!$C$13))</f>
        <v/>
      </c>
      <c r="D1661" s="17" t="str">
        <f>IF(C1661="","",C1661*'02_Eingaben'!$C$15)</f>
        <v/>
      </c>
      <c r="E1661" s="17" t="str">
        <f>IF(D1661="","",D1661*'02_Eingaben'!$C$8)</f>
        <v/>
      </c>
      <c r="F1661" s="17" t="str">
        <f>IF(E1661="","",AVERAGE(INDEX($E$2:$E$3001,MAX(1,ROW()-1-'02_Eingaben'!$C$17)):INDEX($E$2:$E$3001,MIN('02_Eingaben'!$C$21,ROW()-1+'02_Eingaben'!$C$17))))</f>
        <v/>
      </c>
      <c r="G1661" s="17" t="str">
        <f>IF(F1661="","",F1661-'02_Eingaben'!$C$10)</f>
        <v/>
      </c>
      <c r="H1661" t="str">
        <f>IF(F1661="","",IF(F1661&lt;'02_Eingaben'!$C$18*'02_Eingaben'!$C$10,1,0))</f>
        <v/>
      </c>
      <c r="I1661" s="17" t="str">
        <f t="shared" si="25"/>
        <v/>
      </c>
      <c r="J1661" s="17" t="str">
        <f>IF(B1661="","",IF(B1660&lt;'02_Eingaben'!$C$36,0,J1660+I1660/'02_Eingaben'!$C$8))</f>
        <v/>
      </c>
    </row>
    <row r="1662" spans="1:10" x14ac:dyDescent="0.25">
      <c r="A1662" t="str">
        <f>IF('01_Rohdaten'!A1662="","",ROW()-1)</f>
        <v/>
      </c>
      <c r="B1662" s="17" t="str">
        <f>IF('01_Rohdaten'!A1662="","",'01_Rohdaten'!A1662)</f>
        <v/>
      </c>
      <c r="C1662" s="17" t="str">
        <f>IF(B1662="","",INDEX('01_Rohdaten'!B1662:D1662,'02_Eingaben'!$C$13))</f>
        <v/>
      </c>
      <c r="D1662" s="17" t="str">
        <f>IF(C1662="","",C1662*'02_Eingaben'!$C$15)</f>
        <v/>
      </c>
      <c r="E1662" s="17" t="str">
        <f>IF(D1662="","",D1662*'02_Eingaben'!$C$8)</f>
        <v/>
      </c>
      <c r="F1662" s="17" t="str">
        <f>IF(E1662="","",AVERAGE(INDEX($E$2:$E$3001,MAX(1,ROW()-1-'02_Eingaben'!$C$17)):INDEX($E$2:$E$3001,MIN('02_Eingaben'!$C$21,ROW()-1+'02_Eingaben'!$C$17))))</f>
        <v/>
      </c>
      <c r="G1662" s="17" t="str">
        <f>IF(F1662="","",F1662-'02_Eingaben'!$C$10)</f>
        <v/>
      </c>
      <c r="H1662" t="str">
        <f>IF(F1662="","",IF(F1662&lt;'02_Eingaben'!$C$18*'02_Eingaben'!$C$10,1,0))</f>
        <v/>
      </c>
      <c r="I1662" s="17" t="str">
        <f t="shared" si="25"/>
        <v/>
      </c>
      <c r="J1662" s="17" t="str">
        <f>IF(B1662="","",IF(B1661&lt;'02_Eingaben'!$C$36,0,J1661+I1661/'02_Eingaben'!$C$8))</f>
        <v/>
      </c>
    </row>
    <row r="1663" spans="1:10" x14ac:dyDescent="0.25">
      <c r="A1663" t="str">
        <f>IF('01_Rohdaten'!A1663="","",ROW()-1)</f>
        <v/>
      </c>
      <c r="B1663" s="17" t="str">
        <f>IF('01_Rohdaten'!A1663="","",'01_Rohdaten'!A1663)</f>
        <v/>
      </c>
      <c r="C1663" s="17" t="str">
        <f>IF(B1663="","",INDEX('01_Rohdaten'!B1663:D1663,'02_Eingaben'!$C$13))</f>
        <v/>
      </c>
      <c r="D1663" s="17" t="str">
        <f>IF(C1663="","",C1663*'02_Eingaben'!$C$15)</f>
        <v/>
      </c>
      <c r="E1663" s="17" t="str">
        <f>IF(D1663="","",D1663*'02_Eingaben'!$C$8)</f>
        <v/>
      </c>
      <c r="F1663" s="17" t="str">
        <f>IF(E1663="","",AVERAGE(INDEX($E$2:$E$3001,MAX(1,ROW()-1-'02_Eingaben'!$C$17)):INDEX($E$2:$E$3001,MIN('02_Eingaben'!$C$21,ROW()-1+'02_Eingaben'!$C$17))))</f>
        <v/>
      </c>
      <c r="G1663" s="17" t="str">
        <f>IF(F1663="","",F1663-'02_Eingaben'!$C$10)</f>
        <v/>
      </c>
      <c r="H1663" t="str">
        <f>IF(F1663="","",IF(F1663&lt;'02_Eingaben'!$C$18*'02_Eingaben'!$C$10,1,0))</f>
        <v/>
      </c>
      <c r="I1663" s="17" t="str">
        <f t="shared" si="25"/>
        <v/>
      </c>
      <c r="J1663" s="17" t="str">
        <f>IF(B1663="","",IF(B1662&lt;'02_Eingaben'!$C$36,0,J1662+I1662/'02_Eingaben'!$C$8))</f>
        <v/>
      </c>
    </row>
    <row r="1664" spans="1:10" x14ac:dyDescent="0.25">
      <c r="A1664" t="str">
        <f>IF('01_Rohdaten'!A1664="","",ROW()-1)</f>
        <v/>
      </c>
      <c r="B1664" s="17" t="str">
        <f>IF('01_Rohdaten'!A1664="","",'01_Rohdaten'!A1664)</f>
        <v/>
      </c>
      <c r="C1664" s="17" t="str">
        <f>IF(B1664="","",INDEX('01_Rohdaten'!B1664:D1664,'02_Eingaben'!$C$13))</f>
        <v/>
      </c>
      <c r="D1664" s="17" t="str">
        <f>IF(C1664="","",C1664*'02_Eingaben'!$C$15)</f>
        <v/>
      </c>
      <c r="E1664" s="17" t="str">
        <f>IF(D1664="","",D1664*'02_Eingaben'!$C$8)</f>
        <v/>
      </c>
      <c r="F1664" s="17" t="str">
        <f>IF(E1664="","",AVERAGE(INDEX($E$2:$E$3001,MAX(1,ROW()-1-'02_Eingaben'!$C$17)):INDEX($E$2:$E$3001,MIN('02_Eingaben'!$C$21,ROW()-1+'02_Eingaben'!$C$17))))</f>
        <v/>
      </c>
      <c r="G1664" s="17" t="str">
        <f>IF(F1664="","",F1664-'02_Eingaben'!$C$10)</f>
        <v/>
      </c>
      <c r="H1664" t="str">
        <f>IF(F1664="","",IF(F1664&lt;'02_Eingaben'!$C$18*'02_Eingaben'!$C$10,1,0))</f>
        <v/>
      </c>
      <c r="I1664" s="17" t="str">
        <f t="shared" si="25"/>
        <v/>
      </c>
      <c r="J1664" s="17" t="str">
        <f>IF(B1664="","",IF(B1663&lt;'02_Eingaben'!$C$36,0,J1663+I1663/'02_Eingaben'!$C$8))</f>
        <v/>
      </c>
    </row>
    <row r="1665" spans="1:10" x14ac:dyDescent="0.25">
      <c r="A1665" t="str">
        <f>IF('01_Rohdaten'!A1665="","",ROW()-1)</f>
        <v/>
      </c>
      <c r="B1665" s="17" t="str">
        <f>IF('01_Rohdaten'!A1665="","",'01_Rohdaten'!A1665)</f>
        <v/>
      </c>
      <c r="C1665" s="17" t="str">
        <f>IF(B1665="","",INDEX('01_Rohdaten'!B1665:D1665,'02_Eingaben'!$C$13))</f>
        <v/>
      </c>
      <c r="D1665" s="17" t="str">
        <f>IF(C1665="","",C1665*'02_Eingaben'!$C$15)</f>
        <v/>
      </c>
      <c r="E1665" s="17" t="str">
        <f>IF(D1665="","",D1665*'02_Eingaben'!$C$8)</f>
        <v/>
      </c>
      <c r="F1665" s="17" t="str">
        <f>IF(E1665="","",AVERAGE(INDEX($E$2:$E$3001,MAX(1,ROW()-1-'02_Eingaben'!$C$17)):INDEX($E$2:$E$3001,MIN('02_Eingaben'!$C$21,ROW()-1+'02_Eingaben'!$C$17))))</f>
        <v/>
      </c>
      <c r="G1665" s="17" t="str">
        <f>IF(F1665="","",F1665-'02_Eingaben'!$C$10)</f>
        <v/>
      </c>
      <c r="H1665" t="str">
        <f>IF(F1665="","",IF(F1665&lt;'02_Eingaben'!$C$18*'02_Eingaben'!$C$10,1,0))</f>
        <v/>
      </c>
      <c r="I1665" s="17" t="str">
        <f t="shared" si="25"/>
        <v/>
      </c>
      <c r="J1665" s="17" t="str">
        <f>IF(B1665="","",IF(B1664&lt;'02_Eingaben'!$C$36,0,J1664+I1664/'02_Eingaben'!$C$8))</f>
        <v/>
      </c>
    </row>
    <row r="1666" spans="1:10" x14ac:dyDescent="0.25">
      <c r="A1666" t="str">
        <f>IF('01_Rohdaten'!A1666="","",ROW()-1)</f>
        <v/>
      </c>
      <c r="B1666" s="17" t="str">
        <f>IF('01_Rohdaten'!A1666="","",'01_Rohdaten'!A1666)</f>
        <v/>
      </c>
      <c r="C1666" s="17" t="str">
        <f>IF(B1666="","",INDEX('01_Rohdaten'!B1666:D1666,'02_Eingaben'!$C$13))</f>
        <v/>
      </c>
      <c r="D1666" s="17" t="str">
        <f>IF(C1666="","",C1666*'02_Eingaben'!$C$15)</f>
        <v/>
      </c>
      <c r="E1666" s="17" t="str">
        <f>IF(D1666="","",D1666*'02_Eingaben'!$C$8)</f>
        <v/>
      </c>
      <c r="F1666" s="17" t="str">
        <f>IF(E1666="","",AVERAGE(INDEX($E$2:$E$3001,MAX(1,ROW()-1-'02_Eingaben'!$C$17)):INDEX($E$2:$E$3001,MIN('02_Eingaben'!$C$21,ROW()-1+'02_Eingaben'!$C$17))))</f>
        <v/>
      </c>
      <c r="G1666" s="17" t="str">
        <f>IF(F1666="","",F1666-'02_Eingaben'!$C$10)</f>
        <v/>
      </c>
      <c r="H1666" t="str">
        <f>IF(F1666="","",IF(F1666&lt;'02_Eingaben'!$C$18*'02_Eingaben'!$C$10,1,0))</f>
        <v/>
      </c>
      <c r="I1666" s="17" t="str">
        <f t="shared" ref="I1666:I1729" si="26">IF(OR(G1666="",G1667=""),"",(G1666+G1667)/2*(B1667-B1666))</f>
        <v/>
      </c>
      <c r="J1666" s="17" t="str">
        <f>IF(B1666="","",IF(B1665&lt;'02_Eingaben'!$C$36,0,J1665+I1665/'02_Eingaben'!$C$8))</f>
        <v/>
      </c>
    </row>
    <row r="1667" spans="1:10" x14ac:dyDescent="0.25">
      <c r="A1667" t="str">
        <f>IF('01_Rohdaten'!A1667="","",ROW()-1)</f>
        <v/>
      </c>
      <c r="B1667" s="17" t="str">
        <f>IF('01_Rohdaten'!A1667="","",'01_Rohdaten'!A1667)</f>
        <v/>
      </c>
      <c r="C1667" s="17" t="str">
        <f>IF(B1667="","",INDEX('01_Rohdaten'!B1667:D1667,'02_Eingaben'!$C$13))</f>
        <v/>
      </c>
      <c r="D1667" s="17" t="str">
        <f>IF(C1667="","",C1667*'02_Eingaben'!$C$15)</f>
        <v/>
      </c>
      <c r="E1667" s="17" t="str">
        <f>IF(D1667="","",D1667*'02_Eingaben'!$C$8)</f>
        <v/>
      </c>
      <c r="F1667" s="17" t="str">
        <f>IF(E1667="","",AVERAGE(INDEX($E$2:$E$3001,MAX(1,ROW()-1-'02_Eingaben'!$C$17)):INDEX($E$2:$E$3001,MIN('02_Eingaben'!$C$21,ROW()-1+'02_Eingaben'!$C$17))))</f>
        <v/>
      </c>
      <c r="G1667" s="17" t="str">
        <f>IF(F1667="","",F1667-'02_Eingaben'!$C$10)</f>
        <v/>
      </c>
      <c r="H1667" t="str">
        <f>IF(F1667="","",IF(F1667&lt;'02_Eingaben'!$C$18*'02_Eingaben'!$C$10,1,0))</f>
        <v/>
      </c>
      <c r="I1667" s="17" t="str">
        <f t="shared" si="26"/>
        <v/>
      </c>
      <c r="J1667" s="17" t="str">
        <f>IF(B1667="","",IF(B1666&lt;'02_Eingaben'!$C$36,0,J1666+I1666/'02_Eingaben'!$C$8))</f>
        <v/>
      </c>
    </row>
    <row r="1668" spans="1:10" x14ac:dyDescent="0.25">
      <c r="A1668" t="str">
        <f>IF('01_Rohdaten'!A1668="","",ROW()-1)</f>
        <v/>
      </c>
      <c r="B1668" s="17" t="str">
        <f>IF('01_Rohdaten'!A1668="","",'01_Rohdaten'!A1668)</f>
        <v/>
      </c>
      <c r="C1668" s="17" t="str">
        <f>IF(B1668="","",INDEX('01_Rohdaten'!B1668:D1668,'02_Eingaben'!$C$13))</f>
        <v/>
      </c>
      <c r="D1668" s="17" t="str">
        <f>IF(C1668="","",C1668*'02_Eingaben'!$C$15)</f>
        <v/>
      </c>
      <c r="E1668" s="17" t="str">
        <f>IF(D1668="","",D1668*'02_Eingaben'!$C$8)</f>
        <v/>
      </c>
      <c r="F1668" s="17" t="str">
        <f>IF(E1668="","",AVERAGE(INDEX($E$2:$E$3001,MAX(1,ROW()-1-'02_Eingaben'!$C$17)):INDEX($E$2:$E$3001,MIN('02_Eingaben'!$C$21,ROW()-1+'02_Eingaben'!$C$17))))</f>
        <v/>
      </c>
      <c r="G1668" s="17" t="str">
        <f>IF(F1668="","",F1668-'02_Eingaben'!$C$10)</f>
        <v/>
      </c>
      <c r="H1668" t="str">
        <f>IF(F1668="","",IF(F1668&lt;'02_Eingaben'!$C$18*'02_Eingaben'!$C$10,1,0))</f>
        <v/>
      </c>
      <c r="I1668" s="17" t="str">
        <f t="shared" si="26"/>
        <v/>
      </c>
      <c r="J1668" s="17" t="str">
        <f>IF(B1668="","",IF(B1667&lt;'02_Eingaben'!$C$36,0,J1667+I1667/'02_Eingaben'!$C$8))</f>
        <v/>
      </c>
    </row>
    <row r="1669" spans="1:10" x14ac:dyDescent="0.25">
      <c r="A1669" t="str">
        <f>IF('01_Rohdaten'!A1669="","",ROW()-1)</f>
        <v/>
      </c>
      <c r="B1669" s="17" t="str">
        <f>IF('01_Rohdaten'!A1669="","",'01_Rohdaten'!A1669)</f>
        <v/>
      </c>
      <c r="C1669" s="17" t="str">
        <f>IF(B1669="","",INDEX('01_Rohdaten'!B1669:D1669,'02_Eingaben'!$C$13))</f>
        <v/>
      </c>
      <c r="D1669" s="17" t="str">
        <f>IF(C1669="","",C1669*'02_Eingaben'!$C$15)</f>
        <v/>
      </c>
      <c r="E1669" s="17" t="str">
        <f>IF(D1669="","",D1669*'02_Eingaben'!$C$8)</f>
        <v/>
      </c>
      <c r="F1669" s="17" t="str">
        <f>IF(E1669="","",AVERAGE(INDEX($E$2:$E$3001,MAX(1,ROW()-1-'02_Eingaben'!$C$17)):INDEX($E$2:$E$3001,MIN('02_Eingaben'!$C$21,ROW()-1+'02_Eingaben'!$C$17))))</f>
        <v/>
      </c>
      <c r="G1669" s="17" t="str">
        <f>IF(F1669="","",F1669-'02_Eingaben'!$C$10)</f>
        <v/>
      </c>
      <c r="H1669" t="str">
        <f>IF(F1669="","",IF(F1669&lt;'02_Eingaben'!$C$18*'02_Eingaben'!$C$10,1,0))</f>
        <v/>
      </c>
      <c r="I1669" s="17" t="str">
        <f t="shared" si="26"/>
        <v/>
      </c>
      <c r="J1669" s="17" t="str">
        <f>IF(B1669="","",IF(B1668&lt;'02_Eingaben'!$C$36,0,J1668+I1668/'02_Eingaben'!$C$8))</f>
        <v/>
      </c>
    </row>
    <row r="1670" spans="1:10" x14ac:dyDescent="0.25">
      <c r="A1670" t="str">
        <f>IF('01_Rohdaten'!A1670="","",ROW()-1)</f>
        <v/>
      </c>
      <c r="B1670" s="17" t="str">
        <f>IF('01_Rohdaten'!A1670="","",'01_Rohdaten'!A1670)</f>
        <v/>
      </c>
      <c r="C1670" s="17" t="str">
        <f>IF(B1670="","",INDEX('01_Rohdaten'!B1670:D1670,'02_Eingaben'!$C$13))</f>
        <v/>
      </c>
      <c r="D1670" s="17" t="str">
        <f>IF(C1670="","",C1670*'02_Eingaben'!$C$15)</f>
        <v/>
      </c>
      <c r="E1670" s="17" t="str">
        <f>IF(D1670="","",D1670*'02_Eingaben'!$C$8)</f>
        <v/>
      </c>
      <c r="F1670" s="17" t="str">
        <f>IF(E1670="","",AVERAGE(INDEX($E$2:$E$3001,MAX(1,ROW()-1-'02_Eingaben'!$C$17)):INDEX($E$2:$E$3001,MIN('02_Eingaben'!$C$21,ROW()-1+'02_Eingaben'!$C$17))))</f>
        <v/>
      </c>
      <c r="G1670" s="17" t="str">
        <f>IF(F1670="","",F1670-'02_Eingaben'!$C$10)</f>
        <v/>
      </c>
      <c r="H1670" t="str">
        <f>IF(F1670="","",IF(F1670&lt;'02_Eingaben'!$C$18*'02_Eingaben'!$C$10,1,0))</f>
        <v/>
      </c>
      <c r="I1670" s="17" t="str">
        <f t="shared" si="26"/>
        <v/>
      </c>
      <c r="J1670" s="17" t="str">
        <f>IF(B1670="","",IF(B1669&lt;'02_Eingaben'!$C$36,0,J1669+I1669/'02_Eingaben'!$C$8))</f>
        <v/>
      </c>
    </row>
    <row r="1671" spans="1:10" x14ac:dyDescent="0.25">
      <c r="A1671" t="str">
        <f>IF('01_Rohdaten'!A1671="","",ROW()-1)</f>
        <v/>
      </c>
      <c r="B1671" s="17" t="str">
        <f>IF('01_Rohdaten'!A1671="","",'01_Rohdaten'!A1671)</f>
        <v/>
      </c>
      <c r="C1671" s="17" t="str">
        <f>IF(B1671="","",INDEX('01_Rohdaten'!B1671:D1671,'02_Eingaben'!$C$13))</f>
        <v/>
      </c>
      <c r="D1671" s="17" t="str">
        <f>IF(C1671="","",C1671*'02_Eingaben'!$C$15)</f>
        <v/>
      </c>
      <c r="E1671" s="17" t="str">
        <f>IF(D1671="","",D1671*'02_Eingaben'!$C$8)</f>
        <v/>
      </c>
      <c r="F1671" s="17" t="str">
        <f>IF(E1671="","",AVERAGE(INDEX($E$2:$E$3001,MAX(1,ROW()-1-'02_Eingaben'!$C$17)):INDEX($E$2:$E$3001,MIN('02_Eingaben'!$C$21,ROW()-1+'02_Eingaben'!$C$17))))</f>
        <v/>
      </c>
      <c r="G1671" s="17" t="str">
        <f>IF(F1671="","",F1671-'02_Eingaben'!$C$10)</f>
        <v/>
      </c>
      <c r="H1671" t="str">
        <f>IF(F1671="","",IF(F1671&lt;'02_Eingaben'!$C$18*'02_Eingaben'!$C$10,1,0))</f>
        <v/>
      </c>
      <c r="I1671" s="17" t="str">
        <f t="shared" si="26"/>
        <v/>
      </c>
      <c r="J1671" s="17" t="str">
        <f>IF(B1671="","",IF(B1670&lt;'02_Eingaben'!$C$36,0,J1670+I1670/'02_Eingaben'!$C$8))</f>
        <v/>
      </c>
    </row>
    <row r="1672" spans="1:10" x14ac:dyDescent="0.25">
      <c r="A1672" t="str">
        <f>IF('01_Rohdaten'!A1672="","",ROW()-1)</f>
        <v/>
      </c>
      <c r="B1672" s="17" t="str">
        <f>IF('01_Rohdaten'!A1672="","",'01_Rohdaten'!A1672)</f>
        <v/>
      </c>
      <c r="C1672" s="17" t="str">
        <f>IF(B1672="","",INDEX('01_Rohdaten'!B1672:D1672,'02_Eingaben'!$C$13))</f>
        <v/>
      </c>
      <c r="D1672" s="17" t="str">
        <f>IF(C1672="","",C1672*'02_Eingaben'!$C$15)</f>
        <v/>
      </c>
      <c r="E1672" s="17" t="str">
        <f>IF(D1672="","",D1672*'02_Eingaben'!$C$8)</f>
        <v/>
      </c>
      <c r="F1672" s="17" t="str">
        <f>IF(E1672="","",AVERAGE(INDEX($E$2:$E$3001,MAX(1,ROW()-1-'02_Eingaben'!$C$17)):INDEX($E$2:$E$3001,MIN('02_Eingaben'!$C$21,ROW()-1+'02_Eingaben'!$C$17))))</f>
        <v/>
      </c>
      <c r="G1672" s="17" t="str">
        <f>IF(F1672="","",F1672-'02_Eingaben'!$C$10)</f>
        <v/>
      </c>
      <c r="H1672" t="str">
        <f>IF(F1672="","",IF(F1672&lt;'02_Eingaben'!$C$18*'02_Eingaben'!$C$10,1,0))</f>
        <v/>
      </c>
      <c r="I1672" s="17" t="str">
        <f t="shared" si="26"/>
        <v/>
      </c>
      <c r="J1672" s="17" t="str">
        <f>IF(B1672="","",IF(B1671&lt;'02_Eingaben'!$C$36,0,J1671+I1671/'02_Eingaben'!$C$8))</f>
        <v/>
      </c>
    </row>
    <row r="1673" spans="1:10" x14ac:dyDescent="0.25">
      <c r="A1673" t="str">
        <f>IF('01_Rohdaten'!A1673="","",ROW()-1)</f>
        <v/>
      </c>
      <c r="B1673" s="17" t="str">
        <f>IF('01_Rohdaten'!A1673="","",'01_Rohdaten'!A1673)</f>
        <v/>
      </c>
      <c r="C1673" s="17" t="str">
        <f>IF(B1673="","",INDEX('01_Rohdaten'!B1673:D1673,'02_Eingaben'!$C$13))</f>
        <v/>
      </c>
      <c r="D1673" s="17" t="str">
        <f>IF(C1673="","",C1673*'02_Eingaben'!$C$15)</f>
        <v/>
      </c>
      <c r="E1673" s="17" t="str">
        <f>IF(D1673="","",D1673*'02_Eingaben'!$C$8)</f>
        <v/>
      </c>
      <c r="F1673" s="17" t="str">
        <f>IF(E1673="","",AVERAGE(INDEX($E$2:$E$3001,MAX(1,ROW()-1-'02_Eingaben'!$C$17)):INDEX($E$2:$E$3001,MIN('02_Eingaben'!$C$21,ROW()-1+'02_Eingaben'!$C$17))))</f>
        <v/>
      </c>
      <c r="G1673" s="17" t="str">
        <f>IF(F1673="","",F1673-'02_Eingaben'!$C$10)</f>
        <v/>
      </c>
      <c r="H1673" t="str">
        <f>IF(F1673="","",IF(F1673&lt;'02_Eingaben'!$C$18*'02_Eingaben'!$C$10,1,0))</f>
        <v/>
      </c>
      <c r="I1673" s="17" t="str">
        <f t="shared" si="26"/>
        <v/>
      </c>
      <c r="J1673" s="17" t="str">
        <f>IF(B1673="","",IF(B1672&lt;'02_Eingaben'!$C$36,0,J1672+I1672/'02_Eingaben'!$C$8))</f>
        <v/>
      </c>
    </row>
    <row r="1674" spans="1:10" x14ac:dyDescent="0.25">
      <c r="A1674" t="str">
        <f>IF('01_Rohdaten'!A1674="","",ROW()-1)</f>
        <v/>
      </c>
      <c r="B1674" s="17" t="str">
        <f>IF('01_Rohdaten'!A1674="","",'01_Rohdaten'!A1674)</f>
        <v/>
      </c>
      <c r="C1674" s="17" t="str">
        <f>IF(B1674="","",INDEX('01_Rohdaten'!B1674:D1674,'02_Eingaben'!$C$13))</f>
        <v/>
      </c>
      <c r="D1674" s="17" t="str">
        <f>IF(C1674="","",C1674*'02_Eingaben'!$C$15)</f>
        <v/>
      </c>
      <c r="E1674" s="17" t="str">
        <f>IF(D1674="","",D1674*'02_Eingaben'!$C$8)</f>
        <v/>
      </c>
      <c r="F1674" s="17" t="str">
        <f>IF(E1674="","",AVERAGE(INDEX($E$2:$E$3001,MAX(1,ROW()-1-'02_Eingaben'!$C$17)):INDEX($E$2:$E$3001,MIN('02_Eingaben'!$C$21,ROW()-1+'02_Eingaben'!$C$17))))</f>
        <v/>
      </c>
      <c r="G1674" s="17" t="str">
        <f>IF(F1674="","",F1674-'02_Eingaben'!$C$10)</f>
        <v/>
      </c>
      <c r="H1674" t="str">
        <f>IF(F1674="","",IF(F1674&lt;'02_Eingaben'!$C$18*'02_Eingaben'!$C$10,1,0))</f>
        <v/>
      </c>
      <c r="I1674" s="17" t="str">
        <f t="shared" si="26"/>
        <v/>
      </c>
      <c r="J1674" s="17" t="str">
        <f>IF(B1674="","",IF(B1673&lt;'02_Eingaben'!$C$36,0,J1673+I1673/'02_Eingaben'!$C$8))</f>
        <v/>
      </c>
    </row>
    <row r="1675" spans="1:10" x14ac:dyDescent="0.25">
      <c r="A1675" t="str">
        <f>IF('01_Rohdaten'!A1675="","",ROW()-1)</f>
        <v/>
      </c>
      <c r="B1675" s="17" t="str">
        <f>IF('01_Rohdaten'!A1675="","",'01_Rohdaten'!A1675)</f>
        <v/>
      </c>
      <c r="C1675" s="17" t="str">
        <f>IF(B1675="","",INDEX('01_Rohdaten'!B1675:D1675,'02_Eingaben'!$C$13))</f>
        <v/>
      </c>
      <c r="D1675" s="17" t="str">
        <f>IF(C1675="","",C1675*'02_Eingaben'!$C$15)</f>
        <v/>
      </c>
      <c r="E1675" s="17" t="str">
        <f>IF(D1675="","",D1675*'02_Eingaben'!$C$8)</f>
        <v/>
      </c>
      <c r="F1675" s="17" t="str">
        <f>IF(E1675="","",AVERAGE(INDEX($E$2:$E$3001,MAX(1,ROW()-1-'02_Eingaben'!$C$17)):INDEX($E$2:$E$3001,MIN('02_Eingaben'!$C$21,ROW()-1+'02_Eingaben'!$C$17))))</f>
        <v/>
      </c>
      <c r="G1675" s="17" t="str">
        <f>IF(F1675="","",F1675-'02_Eingaben'!$C$10)</f>
        <v/>
      </c>
      <c r="H1675" t="str">
        <f>IF(F1675="","",IF(F1675&lt;'02_Eingaben'!$C$18*'02_Eingaben'!$C$10,1,0))</f>
        <v/>
      </c>
      <c r="I1675" s="17" t="str">
        <f t="shared" si="26"/>
        <v/>
      </c>
      <c r="J1675" s="17" t="str">
        <f>IF(B1675="","",IF(B1674&lt;'02_Eingaben'!$C$36,0,J1674+I1674/'02_Eingaben'!$C$8))</f>
        <v/>
      </c>
    </row>
    <row r="1676" spans="1:10" x14ac:dyDescent="0.25">
      <c r="A1676" t="str">
        <f>IF('01_Rohdaten'!A1676="","",ROW()-1)</f>
        <v/>
      </c>
      <c r="B1676" s="17" t="str">
        <f>IF('01_Rohdaten'!A1676="","",'01_Rohdaten'!A1676)</f>
        <v/>
      </c>
      <c r="C1676" s="17" t="str">
        <f>IF(B1676="","",INDEX('01_Rohdaten'!B1676:D1676,'02_Eingaben'!$C$13))</f>
        <v/>
      </c>
      <c r="D1676" s="17" t="str">
        <f>IF(C1676="","",C1676*'02_Eingaben'!$C$15)</f>
        <v/>
      </c>
      <c r="E1676" s="17" t="str">
        <f>IF(D1676="","",D1676*'02_Eingaben'!$C$8)</f>
        <v/>
      </c>
      <c r="F1676" s="17" t="str">
        <f>IF(E1676="","",AVERAGE(INDEX($E$2:$E$3001,MAX(1,ROW()-1-'02_Eingaben'!$C$17)):INDEX($E$2:$E$3001,MIN('02_Eingaben'!$C$21,ROW()-1+'02_Eingaben'!$C$17))))</f>
        <v/>
      </c>
      <c r="G1676" s="17" t="str">
        <f>IF(F1676="","",F1676-'02_Eingaben'!$C$10)</f>
        <v/>
      </c>
      <c r="H1676" t="str">
        <f>IF(F1676="","",IF(F1676&lt;'02_Eingaben'!$C$18*'02_Eingaben'!$C$10,1,0))</f>
        <v/>
      </c>
      <c r="I1676" s="17" t="str">
        <f t="shared" si="26"/>
        <v/>
      </c>
      <c r="J1676" s="17" t="str">
        <f>IF(B1676="","",IF(B1675&lt;'02_Eingaben'!$C$36,0,J1675+I1675/'02_Eingaben'!$C$8))</f>
        <v/>
      </c>
    </row>
    <row r="1677" spans="1:10" x14ac:dyDescent="0.25">
      <c r="A1677" t="str">
        <f>IF('01_Rohdaten'!A1677="","",ROW()-1)</f>
        <v/>
      </c>
      <c r="B1677" s="17" t="str">
        <f>IF('01_Rohdaten'!A1677="","",'01_Rohdaten'!A1677)</f>
        <v/>
      </c>
      <c r="C1677" s="17" t="str">
        <f>IF(B1677="","",INDEX('01_Rohdaten'!B1677:D1677,'02_Eingaben'!$C$13))</f>
        <v/>
      </c>
      <c r="D1677" s="17" t="str">
        <f>IF(C1677="","",C1677*'02_Eingaben'!$C$15)</f>
        <v/>
      </c>
      <c r="E1677" s="17" t="str">
        <f>IF(D1677="","",D1677*'02_Eingaben'!$C$8)</f>
        <v/>
      </c>
      <c r="F1677" s="17" t="str">
        <f>IF(E1677="","",AVERAGE(INDEX($E$2:$E$3001,MAX(1,ROW()-1-'02_Eingaben'!$C$17)):INDEX($E$2:$E$3001,MIN('02_Eingaben'!$C$21,ROW()-1+'02_Eingaben'!$C$17))))</f>
        <v/>
      </c>
      <c r="G1677" s="17" t="str">
        <f>IF(F1677="","",F1677-'02_Eingaben'!$C$10)</f>
        <v/>
      </c>
      <c r="H1677" t="str">
        <f>IF(F1677="","",IF(F1677&lt;'02_Eingaben'!$C$18*'02_Eingaben'!$C$10,1,0))</f>
        <v/>
      </c>
      <c r="I1677" s="17" t="str">
        <f t="shared" si="26"/>
        <v/>
      </c>
      <c r="J1677" s="17" t="str">
        <f>IF(B1677="","",IF(B1676&lt;'02_Eingaben'!$C$36,0,J1676+I1676/'02_Eingaben'!$C$8))</f>
        <v/>
      </c>
    </row>
    <row r="1678" spans="1:10" x14ac:dyDescent="0.25">
      <c r="A1678" t="str">
        <f>IF('01_Rohdaten'!A1678="","",ROW()-1)</f>
        <v/>
      </c>
      <c r="B1678" s="17" t="str">
        <f>IF('01_Rohdaten'!A1678="","",'01_Rohdaten'!A1678)</f>
        <v/>
      </c>
      <c r="C1678" s="17" t="str">
        <f>IF(B1678="","",INDEX('01_Rohdaten'!B1678:D1678,'02_Eingaben'!$C$13))</f>
        <v/>
      </c>
      <c r="D1678" s="17" t="str">
        <f>IF(C1678="","",C1678*'02_Eingaben'!$C$15)</f>
        <v/>
      </c>
      <c r="E1678" s="17" t="str">
        <f>IF(D1678="","",D1678*'02_Eingaben'!$C$8)</f>
        <v/>
      </c>
      <c r="F1678" s="17" t="str">
        <f>IF(E1678="","",AVERAGE(INDEX($E$2:$E$3001,MAX(1,ROW()-1-'02_Eingaben'!$C$17)):INDEX($E$2:$E$3001,MIN('02_Eingaben'!$C$21,ROW()-1+'02_Eingaben'!$C$17))))</f>
        <v/>
      </c>
      <c r="G1678" s="17" t="str">
        <f>IF(F1678="","",F1678-'02_Eingaben'!$C$10)</f>
        <v/>
      </c>
      <c r="H1678" t="str">
        <f>IF(F1678="","",IF(F1678&lt;'02_Eingaben'!$C$18*'02_Eingaben'!$C$10,1,0))</f>
        <v/>
      </c>
      <c r="I1678" s="17" t="str">
        <f t="shared" si="26"/>
        <v/>
      </c>
      <c r="J1678" s="17" t="str">
        <f>IF(B1678="","",IF(B1677&lt;'02_Eingaben'!$C$36,0,J1677+I1677/'02_Eingaben'!$C$8))</f>
        <v/>
      </c>
    </row>
    <row r="1679" spans="1:10" x14ac:dyDescent="0.25">
      <c r="A1679" t="str">
        <f>IF('01_Rohdaten'!A1679="","",ROW()-1)</f>
        <v/>
      </c>
      <c r="B1679" s="17" t="str">
        <f>IF('01_Rohdaten'!A1679="","",'01_Rohdaten'!A1679)</f>
        <v/>
      </c>
      <c r="C1679" s="17" t="str">
        <f>IF(B1679="","",INDEX('01_Rohdaten'!B1679:D1679,'02_Eingaben'!$C$13))</f>
        <v/>
      </c>
      <c r="D1679" s="17" t="str">
        <f>IF(C1679="","",C1679*'02_Eingaben'!$C$15)</f>
        <v/>
      </c>
      <c r="E1679" s="17" t="str">
        <f>IF(D1679="","",D1679*'02_Eingaben'!$C$8)</f>
        <v/>
      </c>
      <c r="F1679" s="17" t="str">
        <f>IF(E1679="","",AVERAGE(INDEX($E$2:$E$3001,MAX(1,ROW()-1-'02_Eingaben'!$C$17)):INDEX($E$2:$E$3001,MIN('02_Eingaben'!$C$21,ROW()-1+'02_Eingaben'!$C$17))))</f>
        <v/>
      </c>
      <c r="G1679" s="17" t="str">
        <f>IF(F1679="","",F1679-'02_Eingaben'!$C$10)</f>
        <v/>
      </c>
      <c r="H1679" t="str">
        <f>IF(F1679="","",IF(F1679&lt;'02_Eingaben'!$C$18*'02_Eingaben'!$C$10,1,0))</f>
        <v/>
      </c>
      <c r="I1679" s="17" t="str">
        <f t="shared" si="26"/>
        <v/>
      </c>
      <c r="J1679" s="17" t="str">
        <f>IF(B1679="","",IF(B1678&lt;'02_Eingaben'!$C$36,0,J1678+I1678/'02_Eingaben'!$C$8))</f>
        <v/>
      </c>
    </row>
    <row r="1680" spans="1:10" x14ac:dyDescent="0.25">
      <c r="A1680" t="str">
        <f>IF('01_Rohdaten'!A1680="","",ROW()-1)</f>
        <v/>
      </c>
      <c r="B1680" s="17" t="str">
        <f>IF('01_Rohdaten'!A1680="","",'01_Rohdaten'!A1680)</f>
        <v/>
      </c>
      <c r="C1680" s="17" t="str">
        <f>IF(B1680="","",INDEX('01_Rohdaten'!B1680:D1680,'02_Eingaben'!$C$13))</f>
        <v/>
      </c>
      <c r="D1680" s="17" t="str">
        <f>IF(C1680="","",C1680*'02_Eingaben'!$C$15)</f>
        <v/>
      </c>
      <c r="E1680" s="17" t="str">
        <f>IF(D1680="","",D1680*'02_Eingaben'!$C$8)</f>
        <v/>
      </c>
      <c r="F1680" s="17" t="str">
        <f>IF(E1680="","",AVERAGE(INDEX($E$2:$E$3001,MAX(1,ROW()-1-'02_Eingaben'!$C$17)):INDEX($E$2:$E$3001,MIN('02_Eingaben'!$C$21,ROW()-1+'02_Eingaben'!$C$17))))</f>
        <v/>
      </c>
      <c r="G1680" s="17" t="str">
        <f>IF(F1680="","",F1680-'02_Eingaben'!$C$10)</f>
        <v/>
      </c>
      <c r="H1680" t="str">
        <f>IF(F1680="","",IF(F1680&lt;'02_Eingaben'!$C$18*'02_Eingaben'!$C$10,1,0))</f>
        <v/>
      </c>
      <c r="I1680" s="17" t="str">
        <f t="shared" si="26"/>
        <v/>
      </c>
      <c r="J1680" s="17" t="str">
        <f>IF(B1680="","",IF(B1679&lt;'02_Eingaben'!$C$36,0,J1679+I1679/'02_Eingaben'!$C$8))</f>
        <v/>
      </c>
    </row>
    <row r="1681" spans="1:10" x14ac:dyDescent="0.25">
      <c r="A1681" t="str">
        <f>IF('01_Rohdaten'!A1681="","",ROW()-1)</f>
        <v/>
      </c>
      <c r="B1681" s="17" t="str">
        <f>IF('01_Rohdaten'!A1681="","",'01_Rohdaten'!A1681)</f>
        <v/>
      </c>
      <c r="C1681" s="17" t="str">
        <f>IF(B1681="","",INDEX('01_Rohdaten'!B1681:D1681,'02_Eingaben'!$C$13))</f>
        <v/>
      </c>
      <c r="D1681" s="17" t="str">
        <f>IF(C1681="","",C1681*'02_Eingaben'!$C$15)</f>
        <v/>
      </c>
      <c r="E1681" s="17" t="str">
        <f>IF(D1681="","",D1681*'02_Eingaben'!$C$8)</f>
        <v/>
      </c>
      <c r="F1681" s="17" t="str">
        <f>IF(E1681="","",AVERAGE(INDEX($E$2:$E$3001,MAX(1,ROW()-1-'02_Eingaben'!$C$17)):INDEX($E$2:$E$3001,MIN('02_Eingaben'!$C$21,ROW()-1+'02_Eingaben'!$C$17))))</f>
        <v/>
      </c>
      <c r="G1681" s="17" t="str">
        <f>IF(F1681="","",F1681-'02_Eingaben'!$C$10)</f>
        <v/>
      </c>
      <c r="H1681" t="str">
        <f>IF(F1681="","",IF(F1681&lt;'02_Eingaben'!$C$18*'02_Eingaben'!$C$10,1,0))</f>
        <v/>
      </c>
      <c r="I1681" s="17" t="str">
        <f t="shared" si="26"/>
        <v/>
      </c>
      <c r="J1681" s="17" t="str">
        <f>IF(B1681="","",IF(B1680&lt;'02_Eingaben'!$C$36,0,J1680+I1680/'02_Eingaben'!$C$8))</f>
        <v/>
      </c>
    </row>
    <row r="1682" spans="1:10" x14ac:dyDescent="0.25">
      <c r="A1682" t="str">
        <f>IF('01_Rohdaten'!A1682="","",ROW()-1)</f>
        <v/>
      </c>
      <c r="B1682" s="17" t="str">
        <f>IF('01_Rohdaten'!A1682="","",'01_Rohdaten'!A1682)</f>
        <v/>
      </c>
      <c r="C1682" s="17" t="str">
        <f>IF(B1682="","",INDEX('01_Rohdaten'!B1682:D1682,'02_Eingaben'!$C$13))</f>
        <v/>
      </c>
      <c r="D1682" s="17" t="str">
        <f>IF(C1682="","",C1682*'02_Eingaben'!$C$15)</f>
        <v/>
      </c>
      <c r="E1682" s="17" t="str">
        <f>IF(D1682="","",D1682*'02_Eingaben'!$C$8)</f>
        <v/>
      </c>
      <c r="F1682" s="17" t="str">
        <f>IF(E1682="","",AVERAGE(INDEX($E$2:$E$3001,MAX(1,ROW()-1-'02_Eingaben'!$C$17)):INDEX($E$2:$E$3001,MIN('02_Eingaben'!$C$21,ROW()-1+'02_Eingaben'!$C$17))))</f>
        <v/>
      </c>
      <c r="G1682" s="17" t="str">
        <f>IF(F1682="","",F1682-'02_Eingaben'!$C$10)</f>
        <v/>
      </c>
      <c r="H1682" t="str">
        <f>IF(F1682="","",IF(F1682&lt;'02_Eingaben'!$C$18*'02_Eingaben'!$C$10,1,0))</f>
        <v/>
      </c>
      <c r="I1682" s="17" t="str">
        <f t="shared" si="26"/>
        <v/>
      </c>
      <c r="J1682" s="17" t="str">
        <f>IF(B1682="","",IF(B1681&lt;'02_Eingaben'!$C$36,0,J1681+I1681/'02_Eingaben'!$C$8))</f>
        <v/>
      </c>
    </row>
    <row r="1683" spans="1:10" x14ac:dyDescent="0.25">
      <c r="A1683" t="str">
        <f>IF('01_Rohdaten'!A1683="","",ROW()-1)</f>
        <v/>
      </c>
      <c r="B1683" s="17" t="str">
        <f>IF('01_Rohdaten'!A1683="","",'01_Rohdaten'!A1683)</f>
        <v/>
      </c>
      <c r="C1683" s="17" t="str">
        <f>IF(B1683="","",INDEX('01_Rohdaten'!B1683:D1683,'02_Eingaben'!$C$13))</f>
        <v/>
      </c>
      <c r="D1683" s="17" t="str">
        <f>IF(C1683="","",C1683*'02_Eingaben'!$C$15)</f>
        <v/>
      </c>
      <c r="E1683" s="17" t="str">
        <f>IF(D1683="","",D1683*'02_Eingaben'!$C$8)</f>
        <v/>
      </c>
      <c r="F1683" s="17" t="str">
        <f>IF(E1683="","",AVERAGE(INDEX($E$2:$E$3001,MAX(1,ROW()-1-'02_Eingaben'!$C$17)):INDEX($E$2:$E$3001,MIN('02_Eingaben'!$C$21,ROW()-1+'02_Eingaben'!$C$17))))</f>
        <v/>
      </c>
      <c r="G1683" s="17" t="str">
        <f>IF(F1683="","",F1683-'02_Eingaben'!$C$10)</f>
        <v/>
      </c>
      <c r="H1683" t="str">
        <f>IF(F1683="","",IF(F1683&lt;'02_Eingaben'!$C$18*'02_Eingaben'!$C$10,1,0))</f>
        <v/>
      </c>
      <c r="I1683" s="17" t="str">
        <f t="shared" si="26"/>
        <v/>
      </c>
      <c r="J1683" s="17" t="str">
        <f>IF(B1683="","",IF(B1682&lt;'02_Eingaben'!$C$36,0,J1682+I1682/'02_Eingaben'!$C$8))</f>
        <v/>
      </c>
    </row>
    <row r="1684" spans="1:10" x14ac:dyDescent="0.25">
      <c r="A1684" t="str">
        <f>IF('01_Rohdaten'!A1684="","",ROW()-1)</f>
        <v/>
      </c>
      <c r="B1684" s="17" t="str">
        <f>IF('01_Rohdaten'!A1684="","",'01_Rohdaten'!A1684)</f>
        <v/>
      </c>
      <c r="C1684" s="17" t="str">
        <f>IF(B1684="","",INDEX('01_Rohdaten'!B1684:D1684,'02_Eingaben'!$C$13))</f>
        <v/>
      </c>
      <c r="D1684" s="17" t="str">
        <f>IF(C1684="","",C1684*'02_Eingaben'!$C$15)</f>
        <v/>
      </c>
      <c r="E1684" s="17" t="str">
        <f>IF(D1684="","",D1684*'02_Eingaben'!$C$8)</f>
        <v/>
      </c>
      <c r="F1684" s="17" t="str">
        <f>IF(E1684="","",AVERAGE(INDEX($E$2:$E$3001,MAX(1,ROW()-1-'02_Eingaben'!$C$17)):INDEX($E$2:$E$3001,MIN('02_Eingaben'!$C$21,ROW()-1+'02_Eingaben'!$C$17))))</f>
        <v/>
      </c>
      <c r="G1684" s="17" t="str">
        <f>IF(F1684="","",F1684-'02_Eingaben'!$C$10)</f>
        <v/>
      </c>
      <c r="H1684" t="str">
        <f>IF(F1684="","",IF(F1684&lt;'02_Eingaben'!$C$18*'02_Eingaben'!$C$10,1,0))</f>
        <v/>
      </c>
      <c r="I1684" s="17" t="str">
        <f t="shared" si="26"/>
        <v/>
      </c>
      <c r="J1684" s="17" t="str">
        <f>IF(B1684="","",IF(B1683&lt;'02_Eingaben'!$C$36,0,J1683+I1683/'02_Eingaben'!$C$8))</f>
        <v/>
      </c>
    </row>
    <row r="1685" spans="1:10" x14ac:dyDescent="0.25">
      <c r="A1685" t="str">
        <f>IF('01_Rohdaten'!A1685="","",ROW()-1)</f>
        <v/>
      </c>
      <c r="B1685" s="17" t="str">
        <f>IF('01_Rohdaten'!A1685="","",'01_Rohdaten'!A1685)</f>
        <v/>
      </c>
      <c r="C1685" s="17" t="str">
        <f>IF(B1685="","",INDEX('01_Rohdaten'!B1685:D1685,'02_Eingaben'!$C$13))</f>
        <v/>
      </c>
      <c r="D1685" s="17" t="str">
        <f>IF(C1685="","",C1685*'02_Eingaben'!$C$15)</f>
        <v/>
      </c>
      <c r="E1685" s="17" t="str">
        <f>IF(D1685="","",D1685*'02_Eingaben'!$C$8)</f>
        <v/>
      </c>
      <c r="F1685" s="17" t="str">
        <f>IF(E1685="","",AVERAGE(INDEX($E$2:$E$3001,MAX(1,ROW()-1-'02_Eingaben'!$C$17)):INDEX($E$2:$E$3001,MIN('02_Eingaben'!$C$21,ROW()-1+'02_Eingaben'!$C$17))))</f>
        <v/>
      </c>
      <c r="G1685" s="17" t="str">
        <f>IF(F1685="","",F1685-'02_Eingaben'!$C$10)</f>
        <v/>
      </c>
      <c r="H1685" t="str">
        <f>IF(F1685="","",IF(F1685&lt;'02_Eingaben'!$C$18*'02_Eingaben'!$C$10,1,0))</f>
        <v/>
      </c>
      <c r="I1685" s="17" t="str">
        <f t="shared" si="26"/>
        <v/>
      </c>
      <c r="J1685" s="17" t="str">
        <f>IF(B1685="","",IF(B1684&lt;'02_Eingaben'!$C$36,0,J1684+I1684/'02_Eingaben'!$C$8))</f>
        <v/>
      </c>
    </row>
    <row r="1686" spans="1:10" x14ac:dyDescent="0.25">
      <c r="A1686" t="str">
        <f>IF('01_Rohdaten'!A1686="","",ROW()-1)</f>
        <v/>
      </c>
      <c r="B1686" s="17" t="str">
        <f>IF('01_Rohdaten'!A1686="","",'01_Rohdaten'!A1686)</f>
        <v/>
      </c>
      <c r="C1686" s="17" t="str">
        <f>IF(B1686="","",INDEX('01_Rohdaten'!B1686:D1686,'02_Eingaben'!$C$13))</f>
        <v/>
      </c>
      <c r="D1686" s="17" t="str">
        <f>IF(C1686="","",C1686*'02_Eingaben'!$C$15)</f>
        <v/>
      </c>
      <c r="E1686" s="17" t="str">
        <f>IF(D1686="","",D1686*'02_Eingaben'!$C$8)</f>
        <v/>
      </c>
      <c r="F1686" s="17" t="str">
        <f>IF(E1686="","",AVERAGE(INDEX($E$2:$E$3001,MAX(1,ROW()-1-'02_Eingaben'!$C$17)):INDEX($E$2:$E$3001,MIN('02_Eingaben'!$C$21,ROW()-1+'02_Eingaben'!$C$17))))</f>
        <v/>
      </c>
      <c r="G1686" s="17" t="str">
        <f>IF(F1686="","",F1686-'02_Eingaben'!$C$10)</f>
        <v/>
      </c>
      <c r="H1686" t="str">
        <f>IF(F1686="","",IF(F1686&lt;'02_Eingaben'!$C$18*'02_Eingaben'!$C$10,1,0))</f>
        <v/>
      </c>
      <c r="I1686" s="17" t="str">
        <f t="shared" si="26"/>
        <v/>
      </c>
      <c r="J1686" s="17" t="str">
        <f>IF(B1686="","",IF(B1685&lt;'02_Eingaben'!$C$36,0,J1685+I1685/'02_Eingaben'!$C$8))</f>
        <v/>
      </c>
    </row>
    <row r="1687" spans="1:10" x14ac:dyDescent="0.25">
      <c r="A1687" t="str">
        <f>IF('01_Rohdaten'!A1687="","",ROW()-1)</f>
        <v/>
      </c>
      <c r="B1687" s="17" t="str">
        <f>IF('01_Rohdaten'!A1687="","",'01_Rohdaten'!A1687)</f>
        <v/>
      </c>
      <c r="C1687" s="17" t="str">
        <f>IF(B1687="","",INDEX('01_Rohdaten'!B1687:D1687,'02_Eingaben'!$C$13))</f>
        <v/>
      </c>
      <c r="D1687" s="17" t="str">
        <f>IF(C1687="","",C1687*'02_Eingaben'!$C$15)</f>
        <v/>
      </c>
      <c r="E1687" s="17" t="str">
        <f>IF(D1687="","",D1687*'02_Eingaben'!$C$8)</f>
        <v/>
      </c>
      <c r="F1687" s="17" t="str">
        <f>IF(E1687="","",AVERAGE(INDEX($E$2:$E$3001,MAX(1,ROW()-1-'02_Eingaben'!$C$17)):INDEX($E$2:$E$3001,MIN('02_Eingaben'!$C$21,ROW()-1+'02_Eingaben'!$C$17))))</f>
        <v/>
      </c>
      <c r="G1687" s="17" t="str">
        <f>IF(F1687="","",F1687-'02_Eingaben'!$C$10)</f>
        <v/>
      </c>
      <c r="H1687" t="str">
        <f>IF(F1687="","",IF(F1687&lt;'02_Eingaben'!$C$18*'02_Eingaben'!$C$10,1,0))</f>
        <v/>
      </c>
      <c r="I1687" s="17" t="str">
        <f t="shared" si="26"/>
        <v/>
      </c>
      <c r="J1687" s="17" t="str">
        <f>IF(B1687="","",IF(B1686&lt;'02_Eingaben'!$C$36,0,J1686+I1686/'02_Eingaben'!$C$8))</f>
        <v/>
      </c>
    </row>
    <row r="1688" spans="1:10" x14ac:dyDescent="0.25">
      <c r="A1688" t="str">
        <f>IF('01_Rohdaten'!A1688="","",ROW()-1)</f>
        <v/>
      </c>
      <c r="B1688" s="17" t="str">
        <f>IF('01_Rohdaten'!A1688="","",'01_Rohdaten'!A1688)</f>
        <v/>
      </c>
      <c r="C1688" s="17" t="str">
        <f>IF(B1688="","",INDEX('01_Rohdaten'!B1688:D1688,'02_Eingaben'!$C$13))</f>
        <v/>
      </c>
      <c r="D1688" s="17" t="str">
        <f>IF(C1688="","",C1688*'02_Eingaben'!$C$15)</f>
        <v/>
      </c>
      <c r="E1688" s="17" t="str">
        <f>IF(D1688="","",D1688*'02_Eingaben'!$C$8)</f>
        <v/>
      </c>
      <c r="F1688" s="17" t="str">
        <f>IF(E1688="","",AVERAGE(INDEX($E$2:$E$3001,MAX(1,ROW()-1-'02_Eingaben'!$C$17)):INDEX($E$2:$E$3001,MIN('02_Eingaben'!$C$21,ROW()-1+'02_Eingaben'!$C$17))))</f>
        <v/>
      </c>
      <c r="G1688" s="17" t="str">
        <f>IF(F1688="","",F1688-'02_Eingaben'!$C$10)</f>
        <v/>
      </c>
      <c r="H1688" t="str">
        <f>IF(F1688="","",IF(F1688&lt;'02_Eingaben'!$C$18*'02_Eingaben'!$C$10,1,0))</f>
        <v/>
      </c>
      <c r="I1688" s="17" t="str">
        <f t="shared" si="26"/>
        <v/>
      </c>
      <c r="J1688" s="17" t="str">
        <f>IF(B1688="","",IF(B1687&lt;'02_Eingaben'!$C$36,0,J1687+I1687/'02_Eingaben'!$C$8))</f>
        <v/>
      </c>
    </row>
    <row r="1689" spans="1:10" x14ac:dyDescent="0.25">
      <c r="A1689" t="str">
        <f>IF('01_Rohdaten'!A1689="","",ROW()-1)</f>
        <v/>
      </c>
      <c r="B1689" s="17" t="str">
        <f>IF('01_Rohdaten'!A1689="","",'01_Rohdaten'!A1689)</f>
        <v/>
      </c>
      <c r="C1689" s="17" t="str">
        <f>IF(B1689="","",INDEX('01_Rohdaten'!B1689:D1689,'02_Eingaben'!$C$13))</f>
        <v/>
      </c>
      <c r="D1689" s="17" t="str">
        <f>IF(C1689="","",C1689*'02_Eingaben'!$C$15)</f>
        <v/>
      </c>
      <c r="E1689" s="17" t="str">
        <f>IF(D1689="","",D1689*'02_Eingaben'!$C$8)</f>
        <v/>
      </c>
      <c r="F1689" s="17" t="str">
        <f>IF(E1689="","",AVERAGE(INDEX($E$2:$E$3001,MAX(1,ROW()-1-'02_Eingaben'!$C$17)):INDEX($E$2:$E$3001,MIN('02_Eingaben'!$C$21,ROW()-1+'02_Eingaben'!$C$17))))</f>
        <v/>
      </c>
      <c r="G1689" s="17" t="str">
        <f>IF(F1689="","",F1689-'02_Eingaben'!$C$10)</f>
        <v/>
      </c>
      <c r="H1689" t="str">
        <f>IF(F1689="","",IF(F1689&lt;'02_Eingaben'!$C$18*'02_Eingaben'!$C$10,1,0))</f>
        <v/>
      </c>
      <c r="I1689" s="17" t="str">
        <f t="shared" si="26"/>
        <v/>
      </c>
      <c r="J1689" s="17" t="str">
        <f>IF(B1689="","",IF(B1688&lt;'02_Eingaben'!$C$36,0,J1688+I1688/'02_Eingaben'!$C$8))</f>
        <v/>
      </c>
    </row>
    <row r="1690" spans="1:10" x14ac:dyDescent="0.25">
      <c r="A1690" t="str">
        <f>IF('01_Rohdaten'!A1690="","",ROW()-1)</f>
        <v/>
      </c>
      <c r="B1690" s="17" t="str">
        <f>IF('01_Rohdaten'!A1690="","",'01_Rohdaten'!A1690)</f>
        <v/>
      </c>
      <c r="C1690" s="17" t="str">
        <f>IF(B1690="","",INDEX('01_Rohdaten'!B1690:D1690,'02_Eingaben'!$C$13))</f>
        <v/>
      </c>
      <c r="D1690" s="17" t="str">
        <f>IF(C1690="","",C1690*'02_Eingaben'!$C$15)</f>
        <v/>
      </c>
      <c r="E1690" s="17" t="str">
        <f>IF(D1690="","",D1690*'02_Eingaben'!$C$8)</f>
        <v/>
      </c>
      <c r="F1690" s="17" t="str">
        <f>IF(E1690="","",AVERAGE(INDEX($E$2:$E$3001,MAX(1,ROW()-1-'02_Eingaben'!$C$17)):INDEX($E$2:$E$3001,MIN('02_Eingaben'!$C$21,ROW()-1+'02_Eingaben'!$C$17))))</f>
        <v/>
      </c>
      <c r="G1690" s="17" t="str">
        <f>IF(F1690="","",F1690-'02_Eingaben'!$C$10)</f>
        <v/>
      </c>
      <c r="H1690" t="str">
        <f>IF(F1690="","",IF(F1690&lt;'02_Eingaben'!$C$18*'02_Eingaben'!$C$10,1,0))</f>
        <v/>
      </c>
      <c r="I1690" s="17" t="str">
        <f t="shared" si="26"/>
        <v/>
      </c>
      <c r="J1690" s="17" t="str">
        <f>IF(B1690="","",IF(B1689&lt;'02_Eingaben'!$C$36,0,J1689+I1689/'02_Eingaben'!$C$8))</f>
        <v/>
      </c>
    </row>
    <row r="1691" spans="1:10" x14ac:dyDescent="0.25">
      <c r="A1691" t="str">
        <f>IF('01_Rohdaten'!A1691="","",ROW()-1)</f>
        <v/>
      </c>
      <c r="B1691" s="17" t="str">
        <f>IF('01_Rohdaten'!A1691="","",'01_Rohdaten'!A1691)</f>
        <v/>
      </c>
      <c r="C1691" s="17" t="str">
        <f>IF(B1691="","",INDEX('01_Rohdaten'!B1691:D1691,'02_Eingaben'!$C$13))</f>
        <v/>
      </c>
      <c r="D1691" s="17" t="str">
        <f>IF(C1691="","",C1691*'02_Eingaben'!$C$15)</f>
        <v/>
      </c>
      <c r="E1691" s="17" t="str">
        <f>IF(D1691="","",D1691*'02_Eingaben'!$C$8)</f>
        <v/>
      </c>
      <c r="F1691" s="17" t="str">
        <f>IF(E1691="","",AVERAGE(INDEX($E$2:$E$3001,MAX(1,ROW()-1-'02_Eingaben'!$C$17)):INDEX($E$2:$E$3001,MIN('02_Eingaben'!$C$21,ROW()-1+'02_Eingaben'!$C$17))))</f>
        <v/>
      </c>
      <c r="G1691" s="17" t="str">
        <f>IF(F1691="","",F1691-'02_Eingaben'!$C$10)</f>
        <v/>
      </c>
      <c r="H1691" t="str">
        <f>IF(F1691="","",IF(F1691&lt;'02_Eingaben'!$C$18*'02_Eingaben'!$C$10,1,0))</f>
        <v/>
      </c>
      <c r="I1691" s="17" t="str">
        <f t="shared" si="26"/>
        <v/>
      </c>
      <c r="J1691" s="17" t="str">
        <f>IF(B1691="","",IF(B1690&lt;'02_Eingaben'!$C$36,0,J1690+I1690/'02_Eingaben'!$C$8))</f>
        <v/>
      </c>
    </row>
    <row r="1692" spans="1:10" x14ac:dyDescent="0.25">
      <c r="A1692" t="str">
        <f>IF('01_Rohdaten'!A1692="","",ROW()-1)</f>
        <v/>
      </c>
      <c r="B1692" s="17" t="str">
        <f>IF('01_Rohdaten'!A1692="","",'01_Rohdaten'!A1692)</f>
        <v/>
      </c>
      <c r="C1692" s="17" t="str">
        <f>IF(B1692="","",INDEX('01_Rohdaten'!B1692:D1692,'02_Eingaben'!$C$13))</f>
        <v/>
      </c>
      <c r="D1692" s="17" t="str">
        <f>IF(C1692="","",C1692*'02_Eingaben'!$C$15)</f>
        <v/>
      </c>
      <c r="E1692" s="17" t="str">
        <f>IF(D1692="","",D1692*'02_Eingaben'!$C$8)</f>
        <v/>
      </c>
      <c r="F1692" s="17" t="str">
        <f>IF(E1692="","",AVERAGE(INDEX($E$2:$E$3001,MAX(1,ROW()-1-'02_Eingaben'!$C$17)):INDEX($E$2:$E$3001,MIN('02_Eingaben'!$C$21,ROW()-1+'02_Eingaben'!$C$17))))</f>
        <v/>
      </c>
      <c r="G1692" s="17" t="str">
        <f>IF(F1692="","",F1692-'02_Eingaben'!$C$10)</f>
        <v/>
      </c>
      <c r="H1692" t="str">
        <f>IF(F1692="","",IF(F1692&lt;'02_Eingaben'!$C$18*'02_Eingaben'!$C$10,1,0))</f>
        <v/>
      </c>
      <c r="I1692" s="17" t="str">
        <f t="shared" si="26"/>
        <v/>
      </c>
      <c r="J1692" s="17" t="str">
        <f>IF(B1692="","",IF(B1691&lt;'02_Eingaben'!$C$36,0,J1691+I1691/'02_Eingaben'!$C$8))</f>
        <v/>
      </c>
    </row>
    <row r="1693" spans="1:10" x14ac:dyDescent="0.25">
      <c r="A1693" t="str">
        <f>IF('01_Rohdaten'!A1693="","",ROW()-1)</f>
        <v/>
      </c>
      <c r="B1693" s="17" t="str">
        <f>IF('01_Rohdaten'!A1693="","",'01_Rohdaten'!A1693)</f>
        <v/>
      </c>
      <c r="C1693" s="17" t="str">
        <f>IF(B1693="","",INDEX('01_Rohdaten'!B1693:D1693,'02_Eingaben'!$C$13))</f>
        <v/>
      </c>
      <c r="D1693" s="17" t="str">
        <f>IF(C1693="","",C1693*'02_Eingaben'!$C$15)</f>
        <v/>
      </c>
      <c r="E1693" s="17" t="str">
        <f>IF(D1693="","",D1693*'02_Eingaben'!$C$8)</f>
        <v/>
      </c>
      <c r="F1693" s="17" t="str">
        <f>IF(E1693="","",AVERAGE(INDEX($E$2:$E$3001,MAX(1,ROW()-1-'02_Eingaben'!$C$17)):INDEX($E$2:$E$3001,MIN('02_Eingaben'!$C$21,ROW()-1+'02_Eingaben'!$C$17))))</f>
        <v/>
      </c>
      <c r="G1693" s="17" t="str">
        <f>IF(F1693="","",F1693-'02_Eingaben'!$C$10)</f>
        <v/>
      </c>
      <c r="H1693" t="str">
        <f>IF(F1693="","",IF(F1693&lt;'02_Eingaben'!$C$18*'02_Eingaben'!$C$10,1,0))</f>
        <v/>
      </c>
      <c r="I1693" s="17" t="str">
        <f t="shared" si="26"/>
        <v/>
      </c>
      <c r="J1693" s="17" t="str">
        <f>IF(B1693="","",IF(B1692&lt;'02_Eingaben'!$C$36,0,J1692+I1692/'02_Eingaben'!$C$8))</f>
        <v/>
      </c>
    </row>
    <row r="1694" spans="1:10" x14ac:dyDescent="0.25">
      <c r="A1694" t="str">
        <f>IF('01_Rohdaten'!A1694="","",ROW()-1)</f>
        <v/>
      </c>
      <c r="B1694" s="17" t="str">
        <f>IF('01_Rohdaten'!A1694="","",'01_Rohdaten'!A1694)</f>
        <v/>
      </c>
      <c r="C1694" s="17" t="str">
        <f>IF(B1694="","",INDEX('01_Rohdaten'!B1694:D1694,'02_Eingaben'!$C$13))</f>
        <v/>
      </c>
      <c r="D1694" s="17" t="str">
        <f>IF(C1694="","",C1694*'02_Eingaben'!$C$15)</f>
        <v/>
      </c>
      <c r="E1694" s="17" t="str">
        <f>IF(D1694="","",D1694*'02_Eingaben'!$C$8)</f>
        <v/>
      </c>
      <c r="F1694" s="17" t="str">
        <f>IF(E1694="","",AVERAGE(INDEX($E$2:$E$3001,MAX(1,ROW()-1-'02_Eingaben'!$C$17)):INDEX($E$2:$E$3001,MIN('02_Eingaben'!$C$21,ROW()-1+'02_Eingaben'!$C$17))))</f>
        <v/>
      </c>
      <c r="G1694" s="17" t="str">
        <f>IF(F1694="","",F1694-'02_Eingaben'!$C$10)</f>
        <v/>
      </c>
      <c r="H1694" t="str">
        <f>IF(F1694="","",IF(F1694&lt;'02_Eingaben'!$C$18*'02_Eingaben'!$C$10,1,0))</f>
        <v/>
      </c>
      <c r="I1694" s="17" t="str">
        <f t="shared" si="26"/>
        <v/>
      </c>
      <c r="J1694" s="17" t="str">
        <f>IF(B1694="","",IF(B1693&lt;'02_Eingaben'!$C$36,0,J1693+I1693/'02_Eingaben'!$C$8))</f>
        <v/>
      </c>
    </row>
    <row r="1695" spans="1:10" x14ac:dyDescent="0.25">
      <c r="A1695" t="str">
        <f>IF('01_Rohdaten'!A1695="","",ROW()-1)</f>
        <v/>
      </c>
      <c r="B1695" s="17" t="str">
        <f>IF('01_Rohdaten'!A1695="","",'01_Rohdaten'!A1695)</f>
        <v/>
      </c>
      <c r="C1695" s="17" t="str">
        <f>IF(B1695="","",INDEX('01_Rohdaten'!B1695:D1695,'02_Eingaben'!$C$13))</f>
        <v/>
      </c>
      <c r="D1695" s="17" t="str">
        <f>IF(C1695="","",C1695*'02_Eingaben'!$C$15)</f>
        <v/>
      </c>
      <c r="E1695" s="17" t="str">
        <f>IF(D1695="","",D1695*'02_Eingaben'!$C$8)</f>
        <v/>
      </c>
      <c r="F1695" s="17" t="str">
        <f>IF(E1695="","",AVERAGE(INDEX($E$2:$E$3001,MAX(1,ROW()-1-'02_Eingaben'!$C$17)):INDEX($E$2:$E$3001,MIN('02_Eingaben'!$C$21,ROW()-1+'02_Eingaben'!$C$17))))</f>
        <v/>
      </c>
      <c r="G1695" s="17" t="str">
        <f>IF(F1695="","",F1695-'02_Eingaben'!$C$10)</f>
        <v/>
      </c>
      <c r="H1695" t="str">
        <f>IF(F1695="","",IF(F1695&lt;'02_Eingaben'!$C$18*'02_Eingaben'!$C$10,1,0))</f>
        <v/>
      </c>
      <c r="I1695" s="17" t="str">
        <f t="shared" si="26"/>
        <v/>
      </c>
      <c r="J1695" s="17" t="str">
        <f>IF(B1695="","",IF(B1694&lt;'02_Eingaben'!$C$36,0,J1694+I1694/'02_Eingaben'!$C$8))</f>
        <v/>
      </c>
    </row>
    <row r="1696" spans="1:10" x14ac:dyDescent="0.25">
      <c r="A1696" t="str">
        <f>IF('01_Rohdaten'!A1696="","",ROW()-1)</f>
        <v/>
      </c>
      <c r="B1696" s="17" t="str">
        <f>IF('01_Rohdaten'!A1696="","",'01_Rohdaten'!A1696)</f>
        <v/>
      </c>
      <c r="C1696" s="17" t="str">
        <f>IF(B1696="","",INDEX('01_Rohdaten'!B1696:D1696,'02_Eingaben'!$C$13))</f>
        <v/>
      </c>
      <c r="D1696" s="17" t="str">
        <f>IF(C1696="","",C1696*'02_Eingaben'!$C$15)</f>
        <v/>
      </c>
      <c r="E1696" s="17" t="str">
        <f>IF(D1696="","",D1696*'02_Eingaben'!$C$8)</f>
        <v/>
      </c>
      <c r="F1696" s="17" t="str">
        <f>IF(E1696="","",AVERAGE(INDEX($E$2:$E$3001,MAX(1,ROW()-1-'02_Eingaben'!$C$17)):INDEX($E$2:$E$3001,MIN('02_Eingaben'!$C$21,ROW()-1+'02_Eingaben'!$C$17))))</f>
        <v/>
      </c>
      <c r="G1696" s="17" t="str">
        <f>IF(F1696="","",F1696-'02_Eingaben'!$C$10)</f>
        <v/>
      </c>
      <c r="H1696" t="str">
        <f>IF(F1696="","",IF(F1696&lt;'02_Eingaben'!$C$18*'02_Eingaben'!$C$10,1,0))</f>
        <v/>
      </c>
      <c r="I1696" s="17" t="str">
        <f t="shared" si="26"/>
        <v/>
      </c>
      <c r="J1696" s="17" t="str">
        <f>IF(B1696="","",IF(B1695&lt;'02_Eingaben'!$C$36,0,J1695+I1695/'02_Eingaben'!$C$8))</f>
        <v/>
      </c>
    </row>
    <row r="1697" spans="1:10" x14ac:dyDescent="0.25">
      <c r="A1697" t="str">
        <f>IF('01_Rohdaten'!A1697="","",ROW()-1)</f>
        <v/>
      </c>
      <c r="B1697" s="17" t="str">
        <f>IF('01_Rohdaten'!A1697="","",'01_Rohdaten'!A1697)</f>
        <v/>
      </c>
      <c r="C1697" s="17" t="str">
        <f>IF(B1697="","",INDEX('01_Rohdaten'!B1697:D1697,'02_Eingaben'!$C$13))</f>
        <v/>
      </c>
      <c r="D1697" s="17" t="str">
        <f>IF(C1697="","",C1697*'02_Eingaben'!$C$15)</f>
        <v/>
      </c>
      <c r="E1697" s="17" t="str">
        <f>IF(D1697="","",D1697*'02_Eingaben'!$C$8)</f>
        <v/>
      </c>
      <c r="F1697" s="17" t="str">
        <f>IF(E1697="","",AVERAGE(INDEX($E$2:$E$3001,MAX(1,ROW()-1-'02_Eingaben'!$C$17)):INDEX($E$2:$E$3001,MIN('02_Eingaben'!$C$21,ROW()-1+'02_Eingaben'!$C$17))))</f>
        <v/>
      </c>
      <c r="G1697" s="17" t="str">
        <f>IF(F1697="","",F1697-'02_Eingaben'!$C$10)</f>
        <v/>
      </c>
      <c r="H1697" t="str">
        <f>IF(F1697="","",IF(F1697&lt;'02_Eingaben'!$C$18*'02_Eingaben'!$C$10,1,0))</f>
        <v/>
      </c>
      <c r="I1697" s="17" t="str">
        <f t="shared" si="26"/>
        <v/>
      </c>
      <c r="J1697" s="17" t="str">
        <f>IF(B1697="","",IF(B1696&lt;'02_Eingaben'!$C$36,0,J1696+I1696/'02_Eingaben'!$C$8))</f>
        <v/>
      </c>
    </row>
    <row r="1698" spans="1:10" x14ac:dyDescent="0.25">
      <c r="A1698" t="str">
        <f>IF('01_Rohdaten'!A1698="","",ROW()-1)</f>
        <v/>
      </c>
      <c r="B1698" s="17" t="str">
        <f>IF('01_Rohdaten'!A1698="","",'01_Rohdaten'!A1698)</f>
        <v/>
      </c>
      <c r="C1698" s="17" t="str">
        <f>IF(B1698="","",INDEX('01_Rohdaten'!B1698:D1698,'02_Eingaben'!$C$13))</f>
        <v/>
      </c>
      <c r="D1698" s="17" t="str">
        <f>IF(C1698="","",C1698*'02_Eingaben'!$C$15)</f>
        <v/>
      </c>
      <c r="E1698" s="17" t="str">
        <f>IF(D1698="","",D1698*'02_Eingaben'!$C$8)</f>
        <v/>
      </c>
      <c r="F1698" s="17" t="str">
        <f>IF(E1698="","",AVERAGE(INDEX($E$2:$E$3001,MAX(1,ROW()-1-'02_Eingaben'!$C$17)):INDEX($E$2:$E$3001,MIN('02_Eingaben'!$C$21,ROW()-1+'02_Eingaben'!$C$17))))</f>
        <v/>
      </c>
      <c r="G1698" s="17" t="str">
        <f>IF(F1698="","",F1698-'02_Eingaben'!$C$10)</f>
        <v/>
      </c>
      <c r="H1698" t="str">
        <f>IF(F1698="","",IF(F1698&lt;'02_Eingaben'!$C$18*'02_Eingaben'!$C$10,1,0))</f>
        <v/>
      </c>
      <c r="I1698" s="17" t="str">
        <f t="shared" si="26"/>
        <v/>
      </c>
      <c r="J1698" s="17" t="str">
        <f>IF(B1698="","",IF(B1697&lt;'02_Eingaben'!$C$36,0,J1697+I1697/'02_Eingaben'!$C$8))</f>
        <v/>
      </c>
    </row>
    <row r="1699" spans="1:10" x14ac:dyDescent="0.25">
      <c r="A1699" t="str">
        <f>IF('01_Rohdaten'!A1699="","",ROW()-1)</f>
        <v/>
      </c>
      <c r="B1699" s="17" t="str">
        <f>IF('01_Rohdaten'!A1699="","",'01_Rohdaten'!A1699)</f>
        <v/>
      </c>
      <c r="C1699" s="17" t="str">
        <f>IF(B1699="","",INDEX('01_Rohdaten'!B1699:D1699,'02_Eingaben'!$C$13))</f>
        <v/>
      </c>
      <c r="D1699" s="17" t="str">
        <f>IF(C1699="","",C1699*'02_Eingaben'!$C$15)</f>
        <v/>
      </c>
      <c r="E1699" s="17" t="str">
        <f>IF(D1699="","",D1699*'02_Eingaben'!$C$8)</f>
        <v/>
      </c>
      <c r="F1699" s="17" t="str">
        <f>IF(E1699="","",AVERAGE(INDEX($E$2:$E$3001,MAX(1,ROW()-1-'02_Eingaben'!$C$17)):INDEX($E$2:$E$3001,MIN('02_Eingaben'!$C$21,ROW()-1+'02_Eingaben'!$C$17))))</f>
        <v/>
      </c>
      <c r="G1699" s="17" t="str">
        <f>IF(F1699="","",F1699-'02_Eingaben'!$C$10)</f>
        <v/>
      </c>
      <c r="H1699" t="str">
        <f>IF(F1699="","",IF(F1699&lt;'02_Eingaben'!$C$18*'02_Eingaben'!$C$10,1,0))</f>
        <v/>
      </c>
      <c r="I1699" s="17" t="str">
        <f t="shared" si="26"/>
        <v/>
      </c>
      <c r="J1699" s="17" t="str">
        <f>IF(B1699="","",IF(B1698&lt;'02_Eingaben'!$C$36,0,J1698+I1698/'02_Eingaben'!$C$8))</f>
        <v/>
      </c>
    </row>
    <row r="1700" spans="1:10" x14ac:dyDescent="0.25">
      <c r="A1700" t="str">
        <f>IF('01_Rohdaten'!A1700="","",ROW()-1)</f>
        <v/>
      </c>
      <c r="B1700" s="17" t="str">
        <f>IF('01_Rohdaten'!A1700="","",'01_Rohdaten'!A1700)</f>
        <v/>
      </c>
      <c r="C1700" s="17" t="str">
        <f>IF(B1700="","",INDEX('01_Rohdaten'!B1700:D1700,'02_Eingaben'!$C$13))</f>
        <v/>
      </c>
      <c r="D1700" s="17" t="str">
        <f>IF(C1700="","",C1700*'02_Eingaben'!$C$15)</f>
        <v/>
      </c>
      <c r="E1700" s="17" t="str">
        <f>IF(D1700="","",D1700*'02_Eingaben'!$C$8)</f>
        <v/>
      </c>
      <c r="F1700" s="17" t="str">
        <f>IF(E1700="","",AVERAGE(INDEX($E$2:$E$3001,MAX(1,ROW()-1-'02_Eingaben'!$C$17)):INDEX($E$2:$E$3001,MIN('02_Eingaben'!$C$21,ROW()-1+'02_Eingaben'!$C$17))))</f>
        <v/>
      </c>
      <c r="G1700" s="17" t="str">
        <f>IF(F1700="","",F1700-'02_Eingaben'!$C$10)</f>
        <v/>
      </c>
      <c r="H1700" t="str">
        <f>IF(F1700="","",IF(F1700&lt;'02_Eingaben'!$C$18*'02_Eingaben'!$C$10,1,0))</f>
        <v/>
      </c>
      <c r="I1700" s="17" t="str">
        <f t="shared" si="26"/>
        <v/>
      </c>
      <c r="J1700" s="17" t="str">
        <f>IF(B1700="","",IF(B1699&lt;'02_Eingaben'!$C$36,0,J1699+I1699/'02_Eingaben'!$C$8))</f>
        <v/>
      </c>
    </row>
    <row r="1701" spans="1:10" x14ac:dyDescent="0.25">
      <c r="A1701" t="str">
        <f>IF('01_Rohdaten'!A1701="","",ROW()-1)</f>
        <v/>
      </c>
      <c r="B1701" s="17" t="str">
        <f>IF('01_Rohdaten'!A1701="","",'01_Rohdaten'!A1701)</f>
        <v/>
      </c>
      <c r="C1701" s="17" t="str">
        <f>IF(B1701="","",INDEX('01_Rohdaten'!B1701:D1701,'02_Eingaben'!$C$13))</f>
        <v/>
      </c>
      <c r="D1701" s="17" t="str">
        <f>IF(C1701="","",C1701*'02_Eingaben'!$C$15)</f>
        <v/>
      </c>
      <c r="E1701" s="17" t="str">
        <f>IF(D1701="","",D1701*'02_Eingaben'!$C$8)</f>
        <v/>
      </c>
      <c r="F1701" s="17" t="str">
        <f>IF(E1701="","",AVERAGE(INDEX($E$2:$E$3001,MAX(1,ROW()-1-'02_Eingaben'!$C$17)):INDEX($E$2:$E$3001,MIN('02_Eingaben'!$C$21,ROW()-1+'02_Eingaben'!$C$17))))</f>
        <v/>
      </c>
      <c r="G1701" s="17" t="str">
        <f>IF(F1701="","",F1701-'02_Eingaben'!$C$10)</f>
        <v/>
      </c>
      <c r="H1701" t="str">
        <f>IF(F1701="","",IF(F1701&lt;'02_Eingaben'!$C$18*'02_Eingaben'!$C$10,1,0))</f>
        <v/>
      </c>
      <c r="I1701" s="17" t="str">
        <f t="shared" si="26"/>
        <v/>
      </c>
      <c r="J1701" s="17" t="str">
        <f>IF(B1701="","",IF(B1700&lt;'02_Eingaben'!$C$36,0,J1700+I1700/'02_Eingaben'!$C$8))</f>
        <v/>
      </c>
    </row>
    <row r="1702" spans="1:10" x14ac:dyDescent="0.25">
      <c r="A1702" t="str">
        <f>IF('01_Rohdaten'!A1702="","",ROW()-1)</f>
        <v/>
      </c>
      <c r="B1702" s="17" t="str">
        <f>IF('01_Rohdaten'!A1702="","",'01_Rohdaten'!A1702)</f>
        <v/>
      </c>
      <c r="C1702" s="17" t="str">
        <f>IF(B1702="","",INDEX('01_Rohdaten'!B1702:D1702,'02_Eingaben'!$C$13))</f>
        <v/>
      </c>
      <c r="D1702" s="17" t="str">
        <f>IF(C1702="","",C1702*'02_Eingaben'!$C$15)</f>
        <v/>
      </c>
      <c r="E1702" s="17" t="str">
        <f>IF(D1702="","",D1702*'02_Eingaben'!$C$8)</f>
        <v/>
      </c>
      <c r="F1702" s="17" t="str">
        <f>IF(E1702="","",AVERAGE(INDEX($E$2:$E$3001,MAX(1,ROW()-1-'02_Eingaben'!$C$17)):INDEX($E$2:$E$3001,MIN('02_Eingaben'!$C$21,ROW()-1+'02_Eingaben'!$C$17))))</f>
        <v/>
      </c>
      <c r="G1702" s="17" t="str">
        <f>IF(F1702="","",F1702-'02_Eingaben'!$C$10)</f>
        <v/>
      </c>
      <c r="H1702" t="str">
        <f>IF(F1702="","",IF(F1702&lt;'02_Eingaben'!$C$18*'02_Eingaben'!$C$10,1,0))</f>
        <v/>
      </c>
      <c r="I1702" s="17" t="str">
        <f t="shared" si="26"/>
        <v/>
      </c>
      <c r="J1702" s="17" t="str">
        <f>IF(B1702="","",IF(B1701&lt;'02_Eingaben'!$C$36,0,J1701+I1701/'02_Eingaben'!$C$8))</f>
        <v/>
      </c>
    </row>
    <row r="1703" spans="1:10" x14ac:dyDescent="0.25">
      <c r="A1703" t="str">
        <f>IF('01_Rohdaten'!A1703="","",ROW()-1)</f>
        <v/>
      </c>
      <c r="B1703" s="17" t="str">
        <f>IF('01_Rohdaten'!A1703="","",'01_Rohdaten'!A1703)</f>
        <v/>
      </c>
      <c r="C1703" s="17" t="str">
        <f>IF(B1703="","",INDEX('01_Rohdaten'!B1703:D1703,'02_Eingaben'!$C$13))</f>
        <v/>
      </c>
      <c r="D1703" s="17" t="str">
        <f>IF(C1703="","",C1703*'02_Eingaben'!$C$15)</f>
        <v/>
      </c>
      <c r="E1703" s="17" t="str">
        <f>IF(D1703="","",D1703*'02_Eingaben'!$C$8)</f>
        <v/>
      </c>
      <c r="F1703" s="17" t="str">
        <f>IF(E1703="","",AVERAGE(INDEX($E$2:$E$3001,MAX(1,ROW()-1-'02_Eingaben'!$C$17)):INDEX($E$2:$E$3001,MIN('02_Eingaben'!$C$21,ROW()-1+'02_Eingaben'!$C$17))))</f>
        <v/>
      </c>
      <c r="G1703" s="17" t="str">
        <f>IF(F1703="","",F1703-'02_Eingaben'!$C$10)</f>
        <v/>
      </c>
      <c r="H1703" t="str">
        <f>IF(F1703="","",IF(F1703&lt;'02_Eingaben'!$C$18*'02_Eingaben'!$C$10,1,0))</f>
        <v/>
      </c>
      <c r="I1703" s="17" t="str">
        <f t="shared" si="26"/>
        <v/>
      </c>
      <c r="J1703" s="17" t="str">
        <f>IF(B1703="","",IF(B1702&lt;'02_Eingaben'!$C$36,0,J1702+I1702/'02_Eingaben'!$C$8))</f>
        <v/>
      </c>
    </row>
    <row r="1704" spans="1:10" x14ac:dyDescent="0.25">
      <c r="A1704" t="str">
        <f>IF('01_Rohdaten'!A1704="","",ROW()-1)</f>
        <v/>
      </c>
      <c r="B1704" s="17" t="str">
        <f>IF('01_Rohdaten'!A1704="","",'01_Rohdaten'!A1704)</f>
        <v/>
      </c>
      <c r="C1704" s="17" t="str">
        <f>IF(B1704="","",INDEX('01_Rohdaten'!B1704:D1704,'02_Eingaben'!$C$13))</f>
        <v/>
      </c>
      <c r="D1704" s="17" t="str">
        <f>IF(C1704="","",C1704*'02_Eingaben'!$C$15)</f>
        <v/>
      </c>
      <c r="E1704" s="17" t="str">
        <f>IF(D1704="","",D1704*'02_Eingaben'!$C$8)</f>
        <v/>
      </c>
      <c r="F1704" s="17" t="str">
        <f>IF(E1704="","",AVERAGE(INDEX($E$2:$E$3001,MAX(1,ROW()-1-'02_Eingaben'!$C$17)):INDEX($E$2:$E$3001,MIN('02_Eingaben'!$C$21,ROW()-1+'02_Eingaben'!$C$17))))</f>
        <v/>
      </c>
      <c r="G1704" s="17" t="str">
        <f>IF(F1704="","",F1704-'02_Eingaben'!$C$10)</f>
        <v/>
      </c>
      <c r="H1704" t="str">
        <f>IF(F1704="","",IF(F1704&lt;'02_Eingaben'!$C$18*'02_Eingaben'!$C$10,1,0))</f>
        <v/>
      </c>
      <c r="I1704" s="17" t="str">
        <f t="shared" si="26"/>
        <v/>
      </c>
      <c r="J1704" s="17" t="str">
        <f>IF(B1704="","",IF(B1703&lt;'02_Eingaben'!$C$36,0,J1703+I1703/'02_Eingaben'!$C$8))</f>
        <v/>
      </c>
    </row>
    <row r="1705" spans="1:10" x14ac:dyDescent="0.25">
      <c r="A1705" t="str">
        <f>IF('01_Rohdaten'!A1705="","",ROW()-1)</f>
        <v/>
      </c>
      <c r="B1705" s="17" t="str">
        <f>IF('01_Rohdaten'!A1705="","",'01_Rohdaten'!A1705)</f>
        <v/>
      </c>
      <c r="C1705" s="17" t="str">
        <f>IF(B1705="","",INDEX('01_Rohdaten'!B1705:D1705,'02_Eingaben'!$C$13))</f>
        <v/>
      </c>
      <c r="D1705" s="17" t="str">
        <f>IF(C1705="","",C1705*'02_Eingaben'!$C$15)</f>
        <v/>
      </c>
      <c r="E1705" s="17" t="str">
        <f>IF(D1705="","",D1705*'02_Eingaben'!$C$8)</f>
        <v/>
      </c>
      <c r="F1705" s="17" t="str">
        <f>IF(E1705="","",AVERAGE(INDEX($E$2:$E$3001,MAX(1,ROW()-1-'02_Eingaben'!$C$17)):INDEX($E$2:$E$3001,MIN('02_Eingaben'!$C$21,ROW()-1+'02_Eingaben'!$C$17))))</f>
        <v/>
      </c>
      <c r="G1705" s="17" t="str">
        <f>IF(F1705="","",F1705-'02_Eingaben'!$C$10)</f>
        <v/>
      </c>
      <c r="H1705" t="str">
        <f>IF(F1705="","",IF(F1705&lt;'02_Eingaben'!$C$18*'02_Eingaben'!$C$10,1,0))</f>
        <v/>
      </c>
      <c r="I1705" s="17" t="str">
        <f t="shared" si="26"/>
        <v/>
      </c>
      <c r="J1705" s="17" t="str">
        <f>IF(B1705="","",IF(B1704&lt;'02_Eingaben'!$C$36,0,J1704+I1704/'02_Eingaben'!$C$8))</f>
        <v/>
      </c>
    </row>
    <row r="1706" spans="1:10" x14ac:dyDescent="0.25">
      <c r="A1706" t="str">
        <f>IF('01_Rohdaten'!A1706="","",ROW()-1)</f>
        <v/>
      </c>
      <c r="B1706" s="17" t="str">
        <f>IF('01_Rohdaten'!A1706="","",'01_Rohdaten'!A1706)</f>
        <v/>
      </c>
      <c r="C1706" s="17" t="str">
        <f>IF(B1706="","",INDEX('01_Rohdaten'!B1706:D1706,'02_Eingaben'!$C$13))</f>
        <v/>
      </c>
      <c r="D1706" s="17" t="str">
        <f>IF(C1706="","",C1706*'02_Eingaben'!$C$15)</f>
        <v/>
      </c>
      <c r="E1706" s="17" t="str">
        <f>IF(D1706="","",D1706*'02_Eingaben'!$C$8)</f>
        <v/>
      </c>
      <c r="F1706" s="17" t="str">
        <f>IF(E1706="","",AVERAGE(INDEX($E$2:$E$3001,MAX(1,ROW()-1-'02_Eingaben'!$C$17)):INDEX($E$2:$E$3001,MIN('02_Eingaben'!$C$21,ROW()-1+'02_Eingaben'!$C$17))))</f>
        <v/>
      </c>
      <c r="G1706" s="17" t="str">
        <f>IF(F1706="","",F1706-'02_Eingaben'!$C$10)</f>
        <v/>
      </c>
      <c r="H1706" t="str">
        <f>IF(F1706="","",IF(F1706&lt;'02_Eingaben'!$C$18*'02_Eingaben'!$C$10,1,0))</f>
        <v/>
      </c>
      <c r="I1706" s="17" t="str">
        <f t="shared" si="26"/>
        <v/>
      </c>
      <c r="J1706" s="17" t="str">
        <f>IF(B1706="","",IF(B1705&lt;'02_Eingaben'!$C$36,0,J1705+I1705/'02_Eingaben'!$C$8))</f>
        <v/>
      </c>
    </row>
    <row r="1707" spans="1:10" x14ac:dyDescent="0.25">
      <c r="A1707" t="str">
        <f>IF('01_Rohdaten'!A1707="","",ROW()-1)</f>
        <v/>
      </c>
      <c r="B1707" s="17" t="str">
        <f>IF('01_Rohdaten'!A1707="","",'01_Rohdaten'!A1707)</f>
        <v/>
      </c>
      <c r="C1707" s="17" t="str">
        <f>IF(B1707="","",INDEX('01_Rohdaten'!B1707:D1707,'02_Eingaben'!$C$13))</f>
        <v/>
      </c>
      <c r="D1707" s="17" t="str">
        <f>IF(C1707="","",C1707*'02_Eingaben'!$C$15)</f>
        <v/>
      </c>
      <c r="E1707" s="17" t="str">
        <f>IF(D1707="","",D1707*'02_Eingaben'!$C$8)</f>
        <v/>
      </c>
      <c r="F1707" s="17" t="str">
        <f>IF(E1707="","",AVERAGE(INDEX($E$2:$E$3001,MAX(1,ROW()-1-'02_Eingaben'!$C$17)):INDEX($E$2:$E$3001,MIN('02_Eingaben'!$C$21,ROW()-1+'02_Eingaben'!$C$17))))</f>
        <v/>
      </c>
      <c r="G1707" s="17" t="str">
        <f>IF(F1707="","",F1707-'02_Eingaben'!$C$10)</f>
        <v/>
      </c>
      <c r="H1707" t="str">
        <f>IF(F1707="","",IF(F1707&lt;'02_Eingaben'!$C$18*'02_Eingaben'!$C$10,1,0))</f>
        <v/>
      </c>
      <c r="I1707" s="17" t="str">
        <f t="shared" si="26"/>
        <v/>
      </c>
      <c r="J1707" s="17" t="str">
        <f>IF(B1707="","",IF(B1706&lt;'02_Eingaben'!$C$36,0,J1706+I1706/'02_Eingaben'!$C$8))</f>
        <v/>
      </c>
    </row>
    <row r="1708" spans="1:10" x14ac:dyDescent="0.25">
      <c r="A1708" t="str">
        <f>IF('01_Rohdaten'!A1708="","",ROW()-1)</f>
        <v/>
      </c>
      <c r="B1708" s="17" t="str">
        <f>IF('01_Rohdaten'!A1708="","",'01_Rohdaten'!A1708)</f>
        <v/>
      </c>
      <c r="C1708" s="17" t="str">
        <f>IF(B1708="","",INDEX('01_Rohdaten'!B1708:D1708,'02_Eingaben'!$C$13))</f>
        <v/>
      </c>
      <c r="D1708" s="17" t="str">
        <f>IF(C1708="","",C1708*'02_Eingaben'!$C$15)</f>
        <v/>
      </c>
      <c r="E1708" s="17" t="str">
        <f>IF(D1708="","",D1708*'02_Eingaben'!$C$8)</f>
        <v/>
      </c>
      <c r="F1708" s="17" t="str">
        <f>IF(E1708="","",AVERAGE(INDEX($E$2:$E$3001,MAX(1,ROW()-1-'02_Eingaben'!$C$17)):INDEX($E$2:$E$3001,MIN('02_Eingaben'!$C$21,ROW()-1+'02_Eingaben'!$C$17))))</f>
        <v/>
      </c>
      <c r="G1708" s="17" t="str">
        <f>IF(F1708="","",F1708-'02_Eingaben'!$C$10)</f>
        <v/>
      </c>
      <c r="H1708" t="str">
        <f>IF(F1708="","",IF(F1708&lt;'02_Eingaben'!$C$18*'02_Eingaben'!$C$10,1,0))</f>
        <v/>
      </c>
      <c r="I1708" s="17" t="str">
        <f t="shared" si="26"/>
        <v/>
      </c>
      <c r="J1708" s="17" t="str">
        <f>IF(B1708="","",IF(B1707&lt;'02_Eingaben'!$C$36,0,J1707+I1707/'02_Eingaben'!$C$8))</f>
        <v/>
      </c>
    </row>
    <row r="1709" spans="1:10" x14ac:dyDescent="0.25">
      <c r="A1709" t="str">
        <f>IF('01_Rohdaten'!A1709="","",ROW()-1)</f>
        <v/>
      </c>
      <c r="B1709" s="17" t="str">
        <f>IF('01_Rohdaten'!A1709="","",'01_Rohdaten'!A1709)</f>
        <v/>
      </c>
      <c r="C1709" s="17" t="str">
        <f>IF(B1709="","",INDEX('01_Rohdaten'!B1709:D1709,'02_Eingaben'!$C$13))</f>
        <v/>
      </c>
      <c r="D1709" s="17" t="str">
        <f>IF(C1709="","",C1709*'02_Eingaben'!$C$15)</f>
        <v/>
      </c>
      <c r="E1709" s="17" t="str">
        <f>IF(D1709="","",D1709*'02_Eingaben'!$C$8)</f>
        <v/>
      </c>
      <c r="F1709" s="17" t="str">
        <f>IF(E1709="","",AVERAGE(INDEX($E$2:$E$3001,MAX(1,ROW()-1-'02_Eingaben'!$C$17)):INDEX($E$2:$E$3001,MIN('02_Eingaben'!$C$21,ROW()-1+'02_Eingaben'!$C$17))))</f>
        <v/>
      </c>
      <c r="G1709" s="17" t="str">
        <f>IF(F1709="","",F1709-'02_Eingaben'!$C$10)</f>
        <v/>
      </c>
      <c r="H1709" t="str">
        <f>IF(F1709="","",IF(F1709&lt;'02_Eingaben'!$C$18*'02_Eingaben'!$C$10,1,0))</f>
        <v/>
      </c>
      <c r="I1709" s="17" t="str">
        <f t="shared" si="26"/>
        <v/>
      </c>
      <c r="J1709" s="17" t="str">
        <f>IF(B1709="","",IF(B1708&lt;'02_Eingaben'!$C$36,0,J1708+I1708/'02_Eingaben'!$C$8))</f>
        <v/>
      </c>
    </row>
    <row r="1710" spans="1:10" x14ac:dyDescent="0.25">
      <c r="A1710" t="str">
        <f>IF('01_Rohdaten'!A1710="","",ROW()-1)</f>
        <v/>
      </c>
      <c r="B1710" s="17" t="str">
        <f>IF('01_Rohdaten'!A1710="","",'01_Rohdaten'!A1710)</f>
        <v/>
      </c>
      <c r="C1710" s="17" t="str">
        <f>IF(B1710="","",INDEX('01_Rohdaten'!B1710:D1710,'02_Eingaben'!$C$13))</f>
        <v/>
      </c>
      <c r="D1710" s="17" t="str">
        <f>IF(C1710="","",C1710*'02_Eingaben'!$C$15)</f>
        <v/>
      </c>
      <c r="E1710" s="17" t="str">
        <f>IF(D1710="","",D1710*'02_Eingaben'!$C$8)</f>
        <v/>
      </c>
      <c r="F1710" s="17" t="str">
        <f>IF(E1710="","",AVERAGE(INDEX($E$2:$E$3001,MAX(1,ROW()-1-'02_Eingaben'!$C$17)):INDEX($E$2:$E$3001,MIN('02_Eingaben'!$C$21,ROW()-1+'02_Eingaben'!$C$17))))</f>
        <v/>
      </c>
      <c r="G1710" s="17" t="str">
        <f>IF(F1710="","",F1710-'02_Eingaben'!$C$10)</f>
        <v/>
      </c>
      <c r="H1710" t="str">
        <f>IF(F1710="","",IF(F1710&lt;'02_Eingaben'!$C$18*'02_Eingaben'!$C$10,1,0))</f>
        <v/>
      </c>
      <c r="I1710" s="17" t="str">
        <f t="shared" si="26"/>
        <v/>
      </c>
      <c r="J1710" s="17" t="str">
        <f>IF(B1710="","",IF(B1709&lt;'02_Eingaben'!$C$36,0,J1709+I1709/'02_Eingaben'!$C$8))</f>
        <v/>
      </c>
    </row>
    <row r="1711" spans="1:10" x14ac:dyDescent="0.25">
      <c r="A1711" t="str">
        <f>IF('01_Rohdaten'!A1711="","",ROW()-1)</f>
        <v/>
      </c>
      <c r="B1711" s="17" t="str">
        <f>IF('01_Rohdaten'!A1711="","",'01_Rohdaten'!A1711)</f>
        <v/>
      </c>
      <c r="C1711" s="17" t="str">
        <f>IF(B1711="","",INDEX('01_Rohdaten'!B1711:D1711,'02_Eingaben'!$C$13))</f>
        <v/>
      </c>
      <c r="D1711" s="17" t="str">
        <f>IF(C1711="","",C1711*'02_Eingaben'!$C$15)</f>
        <v/>
      </c>
      <c r="E1711" s="17" t="str">
        <f>IF(D1711="","",D1711*'02_Eingaben'!$C$8)</f>
        <v/>
      </c>
      <c r="F1711" s="17" t="str">
        <f>IF(E1711="","",AVERAGE(INDEX($E$2:$E$3001,MAX(1,ROW()-1-'02_Eingaben'!$C$17)):INDEX($E$2:$E$3001,MIN('02_Eingaben'!$C$21,ROW()-1+'02_Eingaben'!$C$17))))</f>
        <v/>
      </c>
      <c r="G1711" s="17" t="str">
        <f>IF(F1711="","",F1711-'02_Eingaben'!$C$10)</f>
        <v/>
      </c>
      <c r="H1711" t="str">
        <f>IF(F1711="","",IF(F1711&lt;'02_Eingaben'!$C$18*'02_Eingaben'!$C$10,1,0))</f>
        <v/>
      </c>
      <c r="I1711" s="17" t="str">
        <f t="shared" si="26"/>
        <v/>
      </c>
      <c r="J1711" s="17" t="str">
        <f>IF(B1711="","",IF(B1710&lt;'02_Eingaben'!$C$36,0,J1710+I1710/'02_Eingaben'!$C$8))</f>
        <v/>
      </c>
    </row>
    <row r="1712" spans="1:10" x14ac:dyDescent="0.25">
      <c r="A1712" t="str">
        <f>IF('01_Rohdaten'!A1712="","",ROW()-1)</f>
        <v/>
      </c>
      <c r="B1712" s="17" t="str">
        <f>IF('01_Rohdaten'!A1712="","",'01_Rohdaten'!A1712)</f>
        <v/>
      </c>
      <c r="C1712" s="17" t="str">
        <f>IF(B1712="","",INDEX('01_Rohdaten'!B1712:D1712,'02_Eingaben'!$C$13))</f>
        <v/>
      </c>
      <c r="D1712" s="17" t="str">
        <f>IF(C1712="","",C1712*'02_Eingaben'!$C$15)</f>
        <v/>
      </c>
      <c r="E1712" s="17" t="str">
        <f>IF(D1712="","",D1712*'02_Eingaben'!$C$8)</f>
        <v/>
      </c>
      <c r="F1712" s="17" t="str">
        <f>IF(E1712="","",AVERAGE(INDEX($E$2:$E$3001,MAX(1,ROW()-1-'02_Eingaben'!$C$17)):INDEX($E$2:$E$3001,MIN('02_Eingaben'!$C$21,ROW()-1+'02_Eingaben'!$C$17))))</f>
        <v/>
      </c>
      <c r="G1712" s="17" t="str">
        <f>IF(F1712="","",F1712-'02_Eingaben'!$C$10)</f>
        <v/>
      </c>
      <c r="H1712" t="str">
        <f>IF(F1712="","",IF(F1712&lt;'02_Eingaben'!$C$18*'02_Eingaben'!$C$10,1,0))</f>
        <v/>
      </c>
      <c r="I1712" s="17" t="str">
        <f t="shared" si="26"/>
        <v/>
      </c>
      <c r="J1712" s="17" t="str">
        <f>IF(B1712="","",IF(B1711&lt;'02_Eingaben'!$C$36,0,J1711+I1711/'02_Eingaben'!$C$8))</f>
        <v/>
      </c>
    </row>
    <row r="1713" spans="1:10" x14ac:dyDescent="0.25">
      <c r="A1713" t="str">
        <f>IF('01_Rohdaten'!A1713="","",ROW()-1)</f>
        <v/>
      </c>
      <c r="B1713" s="17" t="str">
        <f>IF('01_Rohdaten'!A1713="","",'01_Rohdaten'!A1713)</f>
        <v/>
      </c>
      <c r="C1713" s="17" t="str">
        <f>IF(B1713="","",INDEX('01_Rohdaten'!B1713:D1713,'02_Eingaben'!$C$13))</f>
        <v/>
      </c>
      <c r="D1713" s="17" t="str">
        <f>IF(C1713="","",C1713*'02_Eingaben'!$C$15)</f>
        <v/>
      </c>
      <c r="E1713" s="17" t="str">
        <f>IF(D1713="","",D1713*'02_Eingaben'!$C$8)</f>
        <v/>
      </c>
      <c r="F1713" s="17" t="str">
        <f>IF(E1713="","",AVERAGE(INDEX($E$2:$E$3001,MAX(1,ROW()-1-'02_Eingaben'!$C$17)):INDEX($E$2:$E$3001,MIN('02_Eingaben'!$C$21,ROW()-1+'02_Eingaben'!$C$17))))</f>
        <v/>
      </c>
      <c r="G1713" s="17" t="str">
        <f>IF(F1713="","",F1713-'02_Eingaben'!$C$10)</f>
        <v/>
      </c>
      <c r="H1713" t="str">
        <f>IF(F1713="","",IF(F1713&lt;'02_Eingaben'!$C$18*'02_Eingaben'!$C$10,1,0))</f>
        <v/>
      </c>
      <c r="I1713" s="17" t="str">
        <f t="shared" si="26"/>
        <v/>
      </c>
      <c r="J1713" s="17" t="str">
        <f>IF(B1713="","",IF(B1712&lt;'02_Eingaben'!$C$36,0,J1712+I1712/'02_Eingaben'!$C$8))</f>
        <v/>
      </c>
    </row>
    <row r="1714" spans="1:10" x14ac:dyDescent="0.25">
      <c r="A1714" t="str">
        <f>IF('01_Rohdaten'!A1714="","",ROW()-1)</f>
        <v/>
      </c>
      <c r="B1714" s="17" t="str">
        <f>IF('01_Rohdaten'!A1714="","",'01_Rohdaten'!A1714)</f>
        <v/>
      </c>
      <c r="C1714" s="17" t="str">
        <f>IF(B1714="","",INDEX('01_Rohdaten'!B1714:D1714,'02_Eingaben'!$C$13))</f>
        <v/>
      </c>
      <c r="D1714" s="17" t="str">
        <f>IF(C1714="","",C1714*'02_Eingaben'!$C$15)</f>
        <v/>
      </c>
      <c r="E1714" s="17" t="str">
        <f>IF(D1714="","",D1714*'02_Eingaben'!$C$8)</f>
        <v/>
      </c>
      <c r="F1714" s="17" t="str">
        <f>IF(E1714="","",AVERAGE(INDEX($E$2:$E$3001,MAX(1,ROW()-1-'02_Eingaben'!$C$17)):INDEX($E$2:$E$3001,MIN('02_Eingaben'!$C$21,ROW()-1+'02_Eingaben'!$C$17))))</f>
        <v/>
      </c>
      <c r="G1714" s="17" t="str">
        <f>IF(F1714="","",F1714-'02_Eingaben'!$C$10)</f>
        <v/>
      </c>
      <c r="H1714" t="str">
        <f>IF(F1714="","",IF(F1714&lt;'02_Eingaben'!$C$18*'02_Eingaben'!$C$10,1,0))</f>
        <v/>
      </c>
      <c r="I1714" s="17" t="str">
        <f t="shared" si="26"/>
        <v/>
      </c>
      <c r="J1714" s="17" t="str">
        <f>IF(B1714="","",IF(B1713&lt;'02_Eingaben'!$C$36,0,J1713+I1713/'02_Eingaben'!$C$8))</f>
        <v/>
      </c>
    </row>
    <row r="1715" spans="1:10" x14ac:dyDescent="0.25">
      <c r="A1715" t="str">
        <f>IF('01_Rohdaten'!A1715="","",ROW()-1)</f>
        <v/>
      </c>
      <c r="B1715" s="17" t="str">
        <f>IF('01_Rohdaten'!A1715="","",'01_Rohdaten'!A1715)</f>
        <v/>
      </c>
      <c r="C1715" s="17" t="str">
        <f>IF(B1715="","",INDEX('01_Rohdaten'!B1715:D1715,'02_Eingaben'!$C$13))</f>
        <v/>
      </c>
      <c r="D1715" s="17" t="str">
        <f>IF(C1715="","",C1715*'02_Eingaben'!$C$15)</f>
        <v/>
      </c>
      <c r="E1715" s="17" t="str">
        <f>IF(D1715="","",D1715*'02_Eingaben'!$C$8)</f>
        <v/>
      </c>
      <c r="F1715" s="17" t="str">
        <f>IF(E1715="","",AVERAGE(INDEX($E$2:$E$3001,MAX(1,ROW()-1-'02_Eingaben'!$C$17)):INDEX($E$2:$E$3001,MIN('02_Eingaben'!$C$21,ROW()-1+'02_Eingaben'!$C$17))))</f>
        <v/>
      </c>
      <c r="G1715" s="17" t="str">
        <f>IF(F1715="","",F1715-'02_Eingaben'!$C$10)</f>
        <v/>
      </c>
      <c r="H1715" t="str">
        <f>IF(F1715="","",IF(F1715&lt;'02_Eingaben'!$C$18*'02_Eingaben'!$C$10,1,0))</f>
        <v/>
      </c>
      <c r="I1715" s="17" t="str">
        <f t="shared" si="26"/>
        <v/>
      </c>
      <c r="J1715" s="17" t="str">
        <f>IF(B1715="","",IF(B1714&lt;'02_Eingaben'!$C$36,0,J1714+I1714/'02_Eingaben'!$C$8))</f>
        <v/>
      </c>
    </row>
    <row r="1716" spans="1:10" x14ac:dyDescent="0.25">
      <c r="A1716" t="str">
        <f>IF('01_Rohdaten'!A1716="","",ROW()-1)</f>
        <v/>
      </c>
      <c r="B1716" s="17" t="str">
        <f>IF('01_Rohdaten'!A1716="","",'01_Rohdaten'!A1716)</f>
        <v/>
      </c>
      <c r="C1716" s="17" t="str">
        <f>IF(B1716="","",INDEX('01_Rohdaten'!B1716:D1716,'02_Eingaben'!$C$13))</f>
        <v/>
      </c>
      <c r="D1716" s="17" t="str">
        <f>IF(C1716="","",C1716*'02_Eingaben'!$C$15)</f>
        <v/>
      </c>
      <c r="E1716" s="17" t="str">
        <f>IF(D1716="","",D1716*'02_Eingaben'!$C$8)</f>
        <v/>
      </c>
      <c r="F1716" s="17" t="str">
        <f>IF(E1716="","",AVERAGE(INDEX($E$2:$E$3001,MAX(1,ROW()-1-'02_Eingaben'!$C$17)):INDEX($E$2:$E$3001,MIN('02_Eingaben'!$C$21,ROW()-1+'02_Eingaben'!$C$17))))</f>
        <v/>
      </c>
      <c r="G1716" s="17" t="str">
        <f>IF(F1716="","",F1716-'02_Eingaben'!$C$10)</f>
        <v/>
      </c>
      <c r="H1716" t="str">
        <f>IF(F1716="","",IF(F1716&lt;'02_Eingaben'!$C$18*'02_Eingaben'!$C$10,1,0))</f>
        <v/>
      </c>
      <c r="I1716" s="17" t="str">
        <f t="shared" si="26"/>
        <v/>
      </c>
      <c r="J1716" s="17" t="str">
        <f>IF(B1716="","",IF(B1715&lt;'02_Eingaben'!$C$36,0,J1715+I1715/'02_Eingaben'!$C$8))</f>
        <v/>
      </c>
    </row>
    <row r="1717" spans="1:10" x14ac:dyDescent="0.25">
      <c r="A1717" t="str">
        <f>IF('01_Rohdaten'!A1717="","",ROW()-1)</f>
        <v/>
      </c>
      <c r="B1717" s="17" t="str">
        <f>IF('01_Rohdaten'!A1717="","",'01_Rohdaten'!A1717)</f>
        <v/>
      </c>
      <c r="C1717" s="17" t="str">
        <f>IF(B1717="","",INDEX('01_Rohdaten'!B1717:D1717,'02_Eingaben'!$C$13))</f>
        <v/>
      </c>
      <c r="D1717" s="17" t="str">
        <f>IF(C1717="","",C1717*'02_Eingaben'!$C$15)</f>
        <v/>
      </c>
      <c r="E1717" s="17" t="str">
        <f>IF(D1717="","",D1717*'02_Eingaben'!$C$8)</f>
        <v/>
      </c>
      <c r="F1717" s="17" t="str">
        <f>IF(E1717="","",AVERAGE(INDEX($E$2:$E$3001,MAX(1,ROW()-1-'02_Eingaben'!$C$17)):INDEX($E$2:$E$3001,MIN('02_Eingaben'!$C$21,ROW()-1+'02_Eingaben'!$C$17))))</f>
        <v/>
      </c>
      <c r="G1717" s="17" t="str">
        <f>IF(F1717="","",F1717-'02_Eingaben'!$C$10)</f>
        <v/>
      </c>
      <c r="H1717" t="str">
        <f>IF(F1717="","",IF(F1717&lt;'02_Eingaben'!$C$18*'02_Eingaben'!$C$10,1,0))</f>
        <v/>
      </c>
      <c r="I1717" s="17" t="str">
        <f t="shared" si="26"/>
        <v/>
      </c>
      <c r="J1717" s="17" t="str">
        <f>IF(B1717="","",IF(B1716&lt;'02_Eingaben'!$C$36,0,J1716+I1716/'02_Eingaben'!$C$8))</f>
        <v/>
      </c>
    </row>
    <row r="1718" spans="1:10" x14ac:dyDescent="0.25">
      <c r="A1718" t="str">
        <f>IF('01_Rohdaten'!A1718="","",ROW()-1)</f>
        <v/>
      </c>
      <c r="B1718" s="17" t="str">
        <f>IF('01_Rohdaten'!A1718="","",'01_Rohdaten'!A1718)</f>
        <v/>
      </c>
      <c r="C1718" s="17" t="str">
        <f>IF(B1718="","",INDEX('01_Rohdaten'!B1718:D1718,'02_Eingaben'!$C$13))</f>
        <v/>
      </c>
      <c r="D1718" s="17" t="str">
        <f>IF(C1718="","",C1718*'02_Eingaben'!$C$15)</f>
        <v/>
      </c>
      <c r="E1718" s="17" t="str">
        <f>IF(D1718="","",D1718*'02_Eingaben'!$C$8)</f>
        <v/>
      </c>
      <c r="F1718" s="17" t="str">
        <f>IF(E1718="","",AVERAGE(INDEX($E$2:$E$3001,MAX(1,ROW()-1-'02_Eingaben'!$C$17)):INDEX($E$2:$E$3001,MIN('02_Eingaben'!$C$21,ROW()-1+'02_Eingaben'!$C$17))))</f>
        <v/>
      </c>
      <c r="G1718" s="17" t="str">
        <f>IF(F1718="","",F1718-'02_Eingaben'!$C$10)</f>
        <v/>
      </c>
      <c r="H1718" t="str">
        <f>IF(F1718="","",IF(F1718&lt;'02_Eingaben'!$C$18*'02_Eingaben'!$C$10,1,0))</f>
        <v/>
      </c>
      <c r="I1718" s="17" t="str">
        <f t="shared" si="26"/>
        <v/>
      </c>
      <c r="J1718" s="17" t="str">
        <f>IF(B1718="","",IF(B1717&lt;'02_Eingaben'!$C$36,0,J1717+I1717/'02_Eingaben'!$C$8))</f>
        <v/>
      </c>
    </row>
    <row r="1719" spans="1:10" x14ac:dyDescent="0.25">
      <c r="A1719" t="str">
        <f>IF('01_Rohdaten'!A1719="","",ROW()-1)</f>
        <v/>
      </c>
      <c r="B1719" s="17" t="str">
        <f>IF('01_Rohdaten'!A1719="","",'01_Rohdaten'!A1719)</f>
        <v/>
      </c>
      <c r="C1719" s="17" t="str">
        <f>IF(B1719="","",INDEX('01_Rohdaten'!B1719:D1719,'02_Eingaben'!$C$13))</f>
        <v/>
      </c>
      <c r="D1719" s="17" t="str">
        <f>IF(C1719="","",C1719*'02_Eingaben'!$C$15)</f>
        <v/>
      </c>
      <c r="E1719" s="17" t="str">
        <f>IF(D1719="","",D1719*'02_Eingaben'!$C$8)</f>
        <v/>
      </c>
      <c r="F1719" s="17" t="str">
        <f>IF(E1719="","",AVERAGE(INDEX($E$2:$E$3001,MAX(1,ROW()-1-'02_Eingaben'!$C$17)):INDEX($E$2:$E$3001,MIN('02_Eingaben'!$C$21,ROW()-1+'02_Eingaben'!$C$17))))</f>
        <v/>
      </c>
      <c r="G1719" s="17" t="str">
        <f>IF(F1719="","",F1719-'02_Eingaben'!$C$10)</f>
        <v/>
      </c>
      <c r="H1719" t="str">
        <f>IF(F1719="","",IF(F1719&lt;'02_Eingaben'!$C$18*'02_Eingaben'!$C$10,1,0))</f>
        <v/>
      </c>
      <c r="I1719" s="17" t="str">
        <f t="shared" si="26"/>
        <v/>
      </c>
      <c r="J1719" s="17" t="str">
        <f>IF(B1719="","",IF(B1718&lt;'02_Eingaben'!$C$36,0,J1718+I1718/'02_Eingaben'!$C$8))</f>
        <v/>
      </c>
    </row>
    <row r="1720" spans="1:10" x14ac:dyDescent="0.25">
      <c r="A1720" t="str">
        <f>IF('01_Rohdaten'!A1720="","",ROW()-1)</f>
        <v/>
      </c>
      <c r="B1720" s="17" t="str">
        <f>IF('01_Rohdaten'!A1720="","",'01_Rohdaten'!A1720)</f>
        <v/>
      </c>
      <c r="C1720" s="17" t="str">
        <f>IF(B1720="","",INDEX('01_Rohdaten'!B1720:D1720,'02_Eingaben'!$C$13))</f>
        <v/>
      </c>
      <c r="D1720" s="17" t="str">
        <f>IF(C1720="","",C1720*'02_Eingaben'!$C$15)</f>
        <v/>
      </c>
      <c r="E1720" s="17" t="str">
        <f>IF(D1720="","",D1720*'02_Eingaben'!$C$8)</f>
        <v/>
      </c>
      <c r="F1720" s="17" t="str">
        <f>IF(E1720="","",AVERAGE(INDEX($E$2:$E$3001,MAX(1,ROW()-1-'02_Eingaben'!$C$17)):INDEX($E$2:$E$3001,MIN('02_Eingaben'!$C$21,ROW()-1+'02_Eingaben'!$C$17))))</f>
        <v/>
      </c>
      <c r="G1720" s="17" t="str">
        <f>IF(F1720="","",F1720-'02_Eingaben'!$C$10)</f>
        <v/>
      </c>
      <c r="H1720" t="str">
        <f>IF(F1720="","",IF(F1720&lt;'02_Eingaben'!$C$18*'02_Eingaben'!$C$10,1,0))</f>
        <v/>
      </c>
      <c r="I1720" s="17" t="str">
        <f t="shared" si="26"/>
        <v/>
      </c>
      <c r="J1720" s="17" t="str">
        <f>IF(B1720="","",IF(B1719&lt;'02_Eingaben'!$C$36,0,J1719+I1719/'02_Eingaben'!$C$8))</f>
        <v/>
      </c>
    </row>
    <row r="1721" spans="1:10" x14ac:dyDescent="0.25">
      <c r="A1721" t="str">
        <f>IF('01_Rohdaten'!A1721="","",ROW()-1)</f>
        <v/>
      </c>
      <c r="B1721" s="17" t="str">
        <f>IF('01_Rohdaten'!A1721="","",'01_Rohdaten'!A1721)</f>
        <v/>
      </c>
      <c r="C1721" s="17" t="str">
        <f>IF(B1721="","",INDEX('01_Rohdaten'!B1721:D1721,'02_Eingaben'!$C$13))</f>
        <v/>
      </c>
      <c r="D1721" s="17" t="str">
        <f>IF(C1721="","",C1721*'02_Eingaben'!$C$15)</f>
        <v/>
      </c>
      <c r="E1721" s="17" t="str">
        <f>IF(D1721="","",D1721*'02_Eingaben'!$C$8)</f>
        <v/>
      </c>
      <c r="F1721" s="17" t="str">
        <f>IF(E1721="","",AVERAGE(INDEX($E$2:$E$3001,MAX(1,ROW()-1-'02_Eingaben'!$C$17)):INDEX($E$2:$E$3001,MIN('02_Eingaben'!$C$21,ROW()-1+'02_Eingaben'!$C$17))))</f>
        <v/>
      </c>
      <c r="G1721" s="17" t="str">
        <f>IF(F1721="","",F1721-'02_Eingaben'!$C$10)</f>
        <v/>
      </c>
      <c r="H1721" t="str">
        <f>IF(F1721="","",IF(F1721&lt;'02_Eingaben'!$C$18*'02_Eingaben'!$C$10,1,0))</f>
        <v/>
      </c>
      <c r="I1721" s="17" t="str">
        <f t="shared" si="26"/>
        <v/>
      </c>
      <c r="J1721" s="17" t="str">
        <f>IF(B1721="","",IF(B1720&lt;'02_Eingaben'!$C$36,0,J1720+I1720/'02_Eingaben'!$C$8))</f>
        <v/>
      </c>
    </row>
    <row r="1722" spans="1:10" x14ac:dyDescent="0.25">
      <c r="A1722" t="str">
        <f>IF('01_Rohdaten'!A1722="","",ROW()-1)</f>
        <v/>
      </c>
      <c r="B1722" s="17" t="str">
        <f>IF('01_Rohdaten'!A1722="","",'01_Rohdaten'!A1722)</f>
        <v/>
      </c>
      <c r="C1722" s="17" t="str">
        <f>IF(B1722="","",INDEX('01_Rohdaten'!B1722:D1722,'02_Eingaben'!$C$13))</f>
        <v/>
      </c>
      <c r="D1722" s="17" t="str">
        <f>IF(C1722="","",C1722*'02_Eingaben'!$C$15)</f>
        <v/>
      </c>
      <c r="E1722" s="17" t="str">
        <f>IF(D1722="","",D1722*'02_Eingaben'!$C$8)</f>
        <v/>
      </c>
      <c r="F1722" s="17" t="str">
        <f>IF(E1722="","",AVERAGE(INDEX($E$2:$E$3001,MAX(1,ROW()-1-'02_Eingaben'!$C$17)):INDEX($E$2:$E$3001,MIN('02_Eingaben'!$C$21,ROW()-1+'02_Eingaben'!$C$17))))</f>
        <v/>
      </c>
      <c r="G1722" s="17" t="str">
        <f>IF(F1722="","",F1722-'02_Eingaben'!$C$10)</f>
        <v/>
      </c>
      <c r="H1722" t="str">
        <f>IF(F1722="","",IF(F1722&lt;'02_Eingaben'!$C$18*'02_Eingaben'!$C$10,1,0))</f>
        <v/>
      </c>
      <c r="I1722" s="17" t="str">
        <f t="shared" si="26"/>
        <v/>
      </c>
      <c r="J1722" s="17" t="str">
        <f>IF(B1722="","",IF(B1721&lt;'02_Eingaben'!$C$36,0,J1721+I1721/'02_Eingaben'!$C$8))</f>
        <v/>
      </c>
    </row>
    <row r="1723" spans="1:10" x14ac:dyDescent="0.25">
      <c r="A1723" t="str">
        <f>IF('01_Rohdaten'!A1723="","",ROW()-1)</f>
        <v/>
      </c>
      <c r="B1723" s="17" t="str">
        <f>IF('01_Rohdaten'!A1723="","",'01_Rohdaten'!A1723)</f>
        <v/>
      </c>
      <c r="C1723" s="17" t="str">
        <f>IF(B1723="","",INDEX('01_Rohdaten'!B1723:D1723,'02_Eingaben'!$C$13))</f>
        <v/>
      </c>
      <c r="D1723" s="17" t="str">
        <f>IF(C1723="","",C1723*'02_Eingaben'!$C$15)</f>
        <v/>
      </c>
      <c r="E1723" s="17" t="str">
        <f>IF(D1723="","",D1723*'02_Eingaben'!$C$8)</f>
        <v/>
      </c>
      <c r="F1723" s="17" t="str">
        <f>IF(E1723="","",AVERAGE(INDEX($E$2:$E$3001,MAX(1,ROW()-1-'02_Eingaben'!$C$17)):INDEX($E$2:$E$3001,MIN('02_Eingaben'!$C$21,ROW()-1+'02_Eingaben'!$C$17))))</f>
        <v/>
      </c>
      <c r="G1723" s="17" t="str">
        <f>IF(F1723="","",F1723-'02_Eingaben'!$C$10)</f>
        <v/>
      </c>
      <c r="H1723" t="str">
        <f>IF(F1723="","",IF(F1723&lt;'02_Eingaben'!$C$18*'02_Eingaben'!$C$10,1,0))</f>
        <v/>
      </c>
      <c r="I1723" s="17" t="str">
        <f t="shared" si="26"/>
        <v/>
      </c>
      <c r="J1723" s="17" t="str">
        <f>IF(B1723="","",IF(B1722&lt;'02_Eingaben'!$C$36,0,J1722+I1722/'02_Eingaben'!$C$8))</f>
        <v/>
      </c>
    </row>
    <row r="1724" spans="1:10" x14ac:dyDescent="0.25">
      <c r="A1724" t="str">
        <f>IF('01_Rohdaten'!A1724="","",ROW()-1)</f>
        <v/>
      </c>
      <c r="B1724" s="17" t="str">
        <f>IF('01_Rohdaten'!A1724="","",'01_Rohdaten'!A1724)</f>
        <v/>
      </c>
      <c r="C1724" s="17" t="str">
        <f>IF(B1724="","",INDEX('01_Rohdaten'!B1724:D1724,'02_Eingaben'!$C$13))</f>
        <v/>
      </c>
      <c r="D1724" s="17" t="str">
        <f>IF(C1724="","",C1724*'02_Eingaben'!$C$15)</f>
        <v/>
      </c>
      <c r="E1724" s="17" t="str">
        <f>IF(D1724="","",D1724*'02_Eingaben'!$C$8)</f>
        <v/>
      </c>
      <c r="F1724" s="17" t="str">
        <f>IF(E1724="","",AVERAGE(INDEX($E$2:$E$3001,MAX(1,ROW()-1-'02_Eingaben'!$C$17)):INDEX($E$2:$E$3001,MIN('02_Eingaben'!$C$21,ROW()-1+'02_Eingaben'!$C$17))))</f>
        <v/>
      </c>
      <c r="G1724" s="17" t="str">
        <f>IF(F1724="","",F1724-'02_Eingaben'!$C$10)</f>
        <v/>
      </c>
      <c r="H1724" t="str">
        <f>IF(F1724="","",IF(F1724&lt;'02_Eingaben'!$C$18*'02_Eingaben'!$C$10,1,0))</f>
        <v/>
      </c>
      <c r="I1724" s="17" t="str">
        <f t="shared" si="26"/>
        <v/>
      </c>
      <c r="J1724" s="17" t="str">
        <f>IF(B1724="","",IF(B1723&lt;'02_Eingaben'!$C$36,0,J1723+I1723/'02_Eingaben'!$C$8))</f>
        <v/>
      </c>
    </row>
    <row r="1725" spans="1:10" x14ac:dyDescent="0.25">
      <c r="A1725" t="str">
        <f>IF('01_Rohdaten'!A1725="","",ROW()-1)</f>
        <v/>
      </c>
      <c r="B1725" s="17" t="str">
        <f>IF('01_Rohdaten'!A1725="","",'01_Rohdaten'!A1725)</f>
        <v/>
      </c>
      <c r="C1725" s="17" t="str">
        <f>IF(B1725="","",INDEX('01_Rohdaten'!B1725:D1725,'02_Eingaben'!$C$13))</f>
        <v/>
      </c>
      <c r="D1725" s="17" t="str">
        <f>IF(C1725="","",C1725*'02_Eingaben'!$C$15)</f>
        <v/>
      </c>
      <c r="E1725" s="17" t="str">
        <f>IF(D1725="","",D1725*'02_Eingaben'!$C$8)</f>
        <v/>
      </c>
      <c r="F1725" s="17" t="str">
        <f>IF(E1725="","",AVERAGE(INDEX($E$2:$E$3001,MAX(1,ROW()-1-'02_Eingaben'!$C$17)):INDEX($E$2:$E$3001,MIN('02_Eingaben'!$C$21,ROW()-1+'02_Eingaben'!$C$17))))</f>
        <v/>
      </c>
      <c r="G1725" s="17" t="str">
        <f>IF(F1725="","",F1725-'02_Eingaben'!$C$10)</f>
        <v/>
      </c>
      <c r="H1725" t="str">
        <f>IF(F1725="","",IF(F1725&lt;'02_Eingaben'!$C$18*'02_Eingaben'!$C$10,1,0))</f>
        <v/>
      </c>
      <c r="I1725" s="17" t="str">
        <f t="shared" si="26"/>
        <v/>
      </c>
      <c r="J1725" s="17" t="str">
        <f>IF(B1725="","",IF(B1724&lt;'02_Eingaben'!$C$36,0,J1724+I1724/'02_Eingaben'!$C$8))</f>
        <v/>
      </c>
    </row>
    <row r="1726" spans="1:10" x14ac:dyDescent="0.25">
      <c r="A1726" t="str">
        <f>IF('01_Rohdaten'!A1726="","",ROW()-1)</f>
        <v/>
      </c>
      <c r="B1726" s="17" t="str">
        <f>IF('01_Rohdaten'!A1726="","",'01_Rohdaten'!A1726)</f>
        <v/>
      </c>
      <c r="C1726" s="17" t="str">
        <f>IF(B1726="","",INDEX('01_Rohdaten'!B1726:D1726,'02_Eingaben'!$C$13))</f>
        <v/>
      </c>
      <c r="D1726" s="17" t="str">
        <f>IF(C1726="","",C1726*'02_Eingaben'!$C$15)</f>
        <v/>
      </c>
      <c r="E1726" s="17" t="str">
        <f>IF(D1726="","",D1726*'02_Eingaben'!$C$8)</f>
        <v/>
      </c>
      <c r="F1726" s="17" t="str">
        <f>IF(E1726="","",AVERAGE(INDEX($E$2:$E$3001,MAX(1,ROW()-1-'02_Eingaben'!$C$17)):INDEX($E$2:$E$3001,MIN('02_Eingaben'!$C$21,ROW()-1+'02_Eingaben'!$C$17))))</f>
        <v/>
      </c>
      <c r="G1726" s="17" t="str">
        <f>IF(F1726="","",F1726-'02_Eingaben'!$C$10)</f>
        <v/>
      </c>
      <c r="H1726" t="str">
        <f>IF(F1726="","",IF(F1726&lt;'02_Eingaben'!$C$18*'02_Eingaben'!$C$10,1,0))</f>
        <v/>
      </c>
      <c r="I1726" s="17" t="str">
        <f t="shared" si="26"/>
        <v/>
      </c>
      <c r="J1726" s="17" t="str">
        <f>IF(B1726="","",IF(B1725&lt;'02_Eingaben'!$C$36,0,J1725+I1725/'02_Eingaben'!$C$8))</f>
        <v/>
      </c>
    </row>
    <row r="1727" spans="1:10" x14ac:dyDescent="0.25">
      <c r="A1727" t="str">
        <f>IF('01_Rohdaten'!A1727="","",ROW()-1)</f>
        <v/>
      </c>
      <c r="B1727" s="17" t="str">
        <f>IF('01_Rohdaten'!A1727="","",'01_Rohdaten'!A1727)</f>
        <v/>
      </c>
      <c r="C1727" s="17" t="str">
        <f>IF(B1727="","",INDEX('01_Rohdaten'!B1727:D1727,'02_Eingaben'!$C$13))</f>
        <v/>
      </c>
      <c r="D1727" s="17" t="str">
        <f>IF(C1727="","",C1727*'02_Eingaben'!$C$15)</f>
        <v/>
      </c>
      <c r="E1727" s="17" t="str">
        <f>IF(D1727="","",D1727*'02_Eingaben'!$C$8)</f>
        <v/>
      </c>
      <c r="F1727" s="17" t="str">
        <f>IF(E1727="","",AVERAGE(INDEX($E$2:$E$3001,MAX(1,ROW()-1-'02_Eingaben'!$C$17)):INDEX($E$2:$E$3001,MIN('02_Eingaben'!$C$21,ROW()-1+'02_Eingaben'!$C$17))))</f>
        <v/>
      </c>
      <c r="G1727" s="17" t="str">
        <f>IF(F1727="","",F1727-'02_Eingaben'!$C$10)</f>
        <v/>
      </c>
      <c r="H1727" t="str">
        <f>IF(F1727="","",IF(F1727&lt;'02_Eingaben'!$C$18*'02_Eingaben'!$C$10,1,0))</f>
        <v/>
      </c>
      <c r="I1727" s="17" t="str">
        <f t="shared" si="26"/>
        <v/>
      </c>
      <c r="J1727" s="17" t="str">
        <f>IF(B1727="","",IF(B1726&lt;'02_Eingaben'!$C$36,0,J1726+I1726/'02_Eingaben'!$C$8))</f>
        <v/>
      </c>
    </row>
    <row r="1728" spans="1:10" x14ac:dyDescent="0.25">
      <c r="A1728" t="str">
        <f>IF('01_Rohdaten'!A1728="","",ROW()-1)</f>
        <v/>
      </c>
      <c r="B1728" s="17" t="str">
        <f>IF('01_Rohdaten'!A1728="","",'01_Rohdaten'!A1728)</f>
        <v/>
      </c>
      <c r="C1728" s="17" t="str">
        <f>IF(B1728="","",INDEX('01_Rohdaten'!B1728:D1728,'02_Eingaben'!$C$13))</f>
        <v/>
      </c>
      <c r="D1728" s="17" t="str">
        <f>IF(C1728="","",C1728*'02_Eingaben'!$C$15)</f>
        <v/>
      </c>
      <c r="E1728" s="17" t="str">
        <f>IF(D1728="","",D1728*'02_Eingaben'!$C$8)</f>
        <v/>
      </c>
      <c r="F1728" s="17" t="str">
        <f>IF(E1728="","",AVERAGE(INDEX($E$2:$E$3001,MAX(1,ROW()-1-'02_Eingaben'!$C$17)):INDEX($E$2:$E$3001,MIN('02_Eingaben'!$C$21,ROW()-1+'02_Eingaben'!$C$17))))</f>
        <v/>
      </c>
      <c r="G1728" s="17" t="str">
        <f>IF(F1728="","",F1728-'02_Eingaben'!$C$10)</f>
        <v/>
      </c>
      <c r="H1728" t="str">
        <f>IF(F1728="","",IF(F1728&lt;'02_Eingaben'!$C$18*'02_Eingaben'!$C$10,1,0))</f>
        <v/>
      </c>
      <c r="I1728" s="17" t="str">
        <f t="shared" si="26"/>
        <v/>
      </c>
      <c r="J1728" s="17" t="str">
        <f>IF(B1728="","",IF(B1727&lt;'02_Eingaben'!$C$36,0,J1727+I1727/'02_Eingaben'!$C$8))</f>
        <v/>
      </c>
    </row>
    <row r="1729" spans="1:10" x14ac:dyDescent="0.25">
      <c r="A1729" t="str">
        <f>IF('01_Rohdaten'!A1729="","",ROW()-1)</f>
        <v/>
      </c>
      <c r="B1729" s="17" t="str">
        <f>IF('01_Rohdaten'!A1729="","",'01_Rohdaten'!A1729)</f>
        <v/>
      </c>
      <c r="C1729" s="17" t="str">
        <f>IF(B1729="","",INDEX('01_Rohdaten'!B1729:D1729,'02_Eingaben'!$C$13))</f>
        <v/>
      </c>
      <c r="D1729" s="17" t="str">
        <f>IF(C1729="","",C1729*'02_Eingaben'!$C$15)</f>
        <v/>
      </c>
      <c r="E1729" s="17" t="str">
        <f>IF(D1729="","",D1729*'02_Eingaben'!$C$8)</f>
        <v/>
      </c>
      <c r="F1729" s="17" t="str">
        <f>IF(E1729="","",AVERAGE(INDEX($E$2:$E$3001,MAX(1,ROW()-1-'02_Eingaben'!$C$17)):INDEX($E$2:$E$3001,MIN('02_Eingaben'!$C$21,ROW()-1+'02_Eingaben'!$C$17))))</f>
        <v/>
      </c>
      <c r="G1729" s="17" t="str">
        <f>IF(F1729="","",F1729-'02_Eingaben'!$C$10)</f>
        <v/>
      </c>
      <c r="H1729" t="str">
        <f>IF(F1729="","",IF(F1729&lt;'02_Eingaben'!$C$18*'02_Eingaben'!$C$10,1,0))</f>
        <v/>
      </c>
      <c r="I1729" s="17" t="str">
        <f t="shared" si="26"/>
        <v/>
      </c>
      <c r="J1729" s="17" t="str">
        <f>IF(B1729="","",IF(B1728&lt;'02_Eingaben'!$C$36,0,J1728+I1728/'02_Eingaben'!$C$8))</f>
        <v/>
      </c>
    </row>
    <row r="1730" spans="1:10" x14ac:dyDescent="0.25">
      <c r="A1730" t="str">
        <f>IF('01_Rohdaten'!A1730="","",ROW()-1)</f>
        <v/>
      </c>
      <c r="B1730" s="17" t="str">
        <f>IF('01_Rohdaten'!A1730="","",'01_Rohdaten'!A1730)</f>
        <v/>
      </c>
      <c r="C1730" s="17" t="str">
        <f>IF(B1730="","",INDEX('01_Rohdaten'!B1730:D1730,'02_Eingaben'!$C$13))</f>
        <v/>
      </c>
      <c r="D1730" s="17" t="str">
        <f>IF(C1730="","",C1730*'02_Eingaben'!$C$15)</f>
        <v/>
      </c>
      <c r="E1730" s="17" t="str">
        <f>IF(D1730="","",D1730*'02_Eingaben'!$C$8)</f>
        <v/>
      </c>
      <c r="F1730" s="17" t="str">
        <f>IF(E1730="","",AVERAGE(INDEX($E$2:$E$3001,MAX(1,ROW()-1-'02_Eingaben'!$C$17)):INDEX($E$2:$E$3001,MIN('02_Eingaben'!$C$21,ROW()-1+'02_Eingaben'!$C$17))))</f>
        <v/>
      </c>
      <c r="G1730" s="17" t="str">
        <f>IF(F1730="","",F1730-'02_Eingaben'!$C$10)</f>
        <v/>
      </c>
      <c r="H1730" t="str">
        <f>IF(F1730="","",IF(F1730&lt;'02_Eingaben'!$C$18*'02_Eingaben'!$C$10,1,0))</f>
        <v/>
      </c>
      <c r="I1730" s="17" t="str">
        <f t="shared" ref="I1730:I1793" si="27">IF(OR(G1730="",G1731=""),"",(G1730+G1731)/2*(B1731-B1730))</f>
        <v/>
      </c>
      <c r="J1730" s="17" t="str">
        <f>IF(B1730="","",IF(B1729&lt;'02_Eingaben'!$C$36,0,J1729+I1729/'02_Eingaben'!$C$8))</f>
        <v/>
      </c>
    </row>
    <row r="1731" spans="1:10" x14ac:dyDescent="0.25">
      <c r="A1731" t="str">
        <f>IF('01_Rohdaten'!A1731="","",ROW()-1)</f>
        <v/>
      </c>
      <c r="B1731" s="17" t="str">
        <f>IF('01_Rohdaten'!A1731="","",'01_Rohdaten'!A1731)</f>
        <v/>
      </c>
      <c r="C1731" s="17" t="str">
        <f>IF(B1731="","",INDEX('01_Rohdaten'!B1731:D1731,'02_Eingaben'!$C$13))</f>
        <v/>
      </c>
      <c r="D1731" s="17" t="str">
        <f>IF(C1731="","",C1731*'02_Eingaben'!$C$15)</f>
        <v/>
      </c>
      <c r="E1731" s="17" t="str">
        <f>IF(D1731="","",D1731*'02_Eingaben'!$C$8)</f>
        <v/>
      </c>
      <c r="F1731" s="17" t="str">
        <f>IF(E1731="","",AVERAGE(INDEX($E$2:$E$3001,MAX(1,ROW()-1-'02_Eingaben'!$C$17)):INDEX($E$2:$E$3001,MIN('02_Eingaben'!$C$21,ROW()-1+'02_Eingaben'!$C$17))))</f>
        <v/>
      </c>
      <c r="G1731" s="17" t="str">
        <f>IF(F1731="","",F1731-'02_Eingaben'!$C$10)</f>
        <v/>
      </c>
      <c r="H1731" t="str">
        <f>IF(F1731="","",IF(F1731&lt;'02_Eingaben'!$C$18*'02_Eingaben'!$C$10,1,0))</f>
        <v/>
      </c>
      <c r="I1731" s="17" t="str">
        <f t="shared" si="27"/>
        <v/>
      </c>
      <c r="J1731" s="17" t="str">
        <f>IF(B1731="","",IF(B1730&lt;'02_Eingaben'!$C$36,0,J1730+I1730/'02_Eingaben'!$C$8))</f>
        <v/>
      </c>
    </row>
    <row r="1732" spans="1:10" x14ac:dyDescent="0.25">
      <c r="A1732" t="str">
        <f>IF('01_Rohdaten'!A1732="","",ROW()-1)</f>
        <v/>
      </c>
      <c r="B1732" s="17" t="str">
        <f>IF('01_Rohdaten'!A1732="","",'01_Rohdaten'!A1732)</f>
        <v/>
      </c>
      <c r="C1732" s="17" t="str">
        <f>IF(B1732="","",INDEX('01_Rohdaten'!B1732:D1732,'02_Eingaben'!$C$13))</f>
        <v/>
      </c>
      <c r="D1732" s="17" t="str">
        <f>IF(C1732="","",C1732*'02_Eingaben'!$C$15)</f>
        <v/>
      </c>
      <c r="E1732" s="17" t="str">
        <f>IF(D1732="","",D1732*'02_Eingaben'!$C$8)</f>
        <v/>
      </c>
      <c r="F1732" s="17" t="str">
        <f>IF(E1732="","",AVERAGE(INDEX($E$2:$E$3001,MAX(1,ROW()-1-'02_Eingaben'!$C$17)):INDEX($E$2:$E$3001,MIN('02_Eingaben'!$C$21,ROW()-1+'02_Eingaben'!$C$17))))</f>
        <v/>
      </c>
      <c r="G1732" s="17" t="str">
        <f>IF(F1732="","",F1732-'02_Eingaben'!$C$10)</f>
        <v/>
      </c>
      <c r="H1732" t="str">
        <f>IF(F1732="","",IF(F1732&lt;'02_Eingaben'!$C$18*'02_Eingaben'!$C$10,1,0))</f>
        <v/>
      </c>
      <c r="I1732" s="17" t="str">
        <f t="shared" si="27"/>
        <v/>
      </c>
      <c r="J1732" s="17" t="str">
        <f>IF(B1732="","",IF(B1731&lt;'02_Eingaben'!$C$36,0,J1731+I1731/'02_Eingaben'!$C$8))</f>
        <v/>
      </c>
    </row>
    <row r="1733" spans="1:10" x14ac:dyDescent="0.25">
      <c r="A1733" t="str">
        <f>IF('01_Rohdaten'!A1733="","",ROW()-1)</f>
        <v/>
      </c>
      <c r="B1733" s="17" t="str">
        <f>IF('01_Rohdaten'!A1733="","",'01_Rohdaten'!A1733)</f>
        <v/>
      </c>
      <c r="C1733" s="17" t="str">
        <f>IF(B1733="","",INDEX('01_Rohdaten'!B1733:D1733,'02_Eingaben'!$C$13))</f>
        <v/>
      </c>
      <c r="D1733" s="17" t="str">
        <f>IF(C1733="","",C1733*'02_Eingaben'!$C$15)</f>
        <v/>
      </c>
      <c r="E1733" s="17" t="str">
        <f>IF(D1733="","",D1733*'02_Eingaben'!$C$8)</f>
        <v/>
      </c>
      <c r="F1733" s="17" t="str">
        <f>IF(E1733="","",AVERAGE(INDEX($E$2:$E$3001,MAX(1,ROW()-1-'02_Eingaben'!$C$17)):INDEX($E$2:$E$3001,MIN('02_Eingaben'!$C$21,ROW()-1+'02_Eingaben'!$C$17))))</f>
        <v/>
      </c>
      <c r="G1733" s="17" t="str">
        <f>IF(F1733="","",F1733-'02_Eingaben'!$C$10)</f>
        <v/>
      </c>
      <c r="H1733" t="str">
        <f>IF(F1733="","",IF(F1733&lt;'02_Eingaben'!$C$18*'02_Eingaben'!$C$10,1,0))</f>
        <v/>
      </c>
      <c r="I1733" s="17" t="str">
        <f t="shared" si="27"/>
        <v/>
      </c>
      <c r="J1733" s="17" t="str">
        <f>IF(B1733="","",IF(B1732&lt;'02_Eingaben'!$C$36,0,J1732+I1732/'02_Eingaben'!$C$8))</f>
        <v/>
      </c>
    </row>
    <row r="1734" spans="1:10" x14ac:dyDescent="0.25">
      <c r="A1734" t="str">
        <f>IF('01_Rohdaten'!A1734="","",ROW()-1)</f>
        <v/>
      </c>
      <c r="B1734" s="17" t="str">
        <f>IF('01_Rohdaten'!A1734="","",'01_Rohdaten'!A1734)</f>
        <v/>
      </c>
      <c r="C1734" s="17" t="str">
        <f>IF(B1734="","",INDEX('01_Rohdaten'!B1734:D1734,'02_Eingaben'!$C$13))</f>
        <v/>
      </c>
      <c r="D1734" s="17" t="str">
        <f>IF(C1734="","",C1734*'02_Eingaben'!$C$15)</f>
        <v/>
      </c>
      <c r="E1734" s="17" t="str">
        <f>IF(D1734="","",D1734*'02_Eingaben'!$C$8)</f>
        <v/>
      </c>
      <c r="F1734" s="17" t="str">
        <f>IF(E1734="","",AVERAGE(INDEX($E$2:$E$3001,MAX(1,ROW()-1-'02_Eingaben'!$C$17)):INDEX($E$2:$E$3001,MIN('02_Eingaben'!$C$21,ROW()-1+'02_Eingaben'!$C$17))))</f>
        <v/>
      </c>
      <c r="G1734" s="17" t="str">
        <f>IF(F1734="","",F1734-'02_Eingaben'!$C$10)</f>
        <v/>
      </c>
      <c r="H1734" t="str">
        <f>IF(F1734="","",IF(F1734&lt;'02_Eingaben'!$C$18*'02_Eingaben'!$C$10,1,0))</f>
        <v/>
      </c>
      <c r="I1734" s="17" t="str">
        <f t="shared" si="27"/>
        <v/>
      </c>
      <c r="J1734" s="17" t="str">
        <f>IF(B1734="","",IF(B1733&lt;'02_Eingaben'!$C$36,0,J1733+I1733/'02_Eingaben'!$C$8))</f>
        <v/>
      </c>
    </row>
    <row r="1735" spans="1:10" x14ac:dyDescent="0.25">
      <c r="A1735" t="str">
        <f>IF('01_Rohdaten'!A1735="","",ROW()-1)</f>
        <v/>
      </c>
      <c r="B1735" s="17" t="str">
        <f>IF('01_Rohdaten'!A1735="","",'01_Rohdaten'!A1735)</f>
        <v/>
      </c>
      <c r="C1735" s="17" t="str">
        <f>IF(B1735="","",INDEX('01_Rohdaten'!B1735:D1735,'02_Eingaben'!$C$13))</f>
        <v/>
      </c>
      <c r="D1735" s="17" t="str">
        <f>IF(C1735="","",C1735*'02_Eingaben'!$C$15)</f>
        <v/>
      </c>
      <c r="E1735" s="17" t="str">
        <f>IF(D1735="","",D1735*'02_Eingaben'!$C$8)</f>
        <v/>
      </c>
      <c r="F1735" s="17" t="str">
        <f>IF(E1735="","",AVERAGE(INDEX($E$2:$E$3001,MAX(1,ROW()-1-'02_Eingaben'!$C$17)):INDEX($E$2:$E$3001,MIN('02_Eingaben'!$C$21,ROW()-1+'02_Eingaben'!$C$17))))</f>
        <v/>
      </c>
      <c r="G1735" s="17" t="str">
        <f>IF(F1735="","",F1735-'02_Eingaben'!$C$10)</f>
        <v/>
      </c>
      <c r="H1735" t="str">
        <f>IF(F1735="","",IF(F1735&lt;'02_Eingaben'!$C$18*'02_Eingaben'!$C$10,1,0))</f>
        <v/>
      </c>
      <c r="I1735" s="17" t="str">
        <f t="shared" si="27"/>
        <v/>
      </c>
      <c r="J1735" s="17" t="str">
        <f>IF(B1735="","",IF(B1734&lt;'02_Eingaben'!$C$36,0,J1734+I1734/'02_Eingaben'!$C$8))</f>
        <v/>
      </c>
    </row>
    <row r="1736" spans="1:10" x14ac:dyDescent="0.25">
      <c r="A1736" t="str">
        <f>IF('01_Rohdaten'!A1736="","",ROW()-1)</f>
        <v/>
      </c>
      <c r="B1736" s="17" t="str">
        <f>IF('01_Rohdaten'!A1736="","",'01_Rohdaten'!A1736)</f>
        <v/>
      </c>
      <c r="C1736" s="17" t="str">
        <f>IF(B1736="","",INDEX('01_Rohdaten'!B1736:D1736,'02_Eingaben'!$C$13))</f>
        <v/>
      </c>
      <c r="D1736" s="17" t="str">
        <f>IF(C1736="","",C1736*'02_Eingaben'!$C$15)</f>
        <v/>
      </c>
      <c r="E1736" s="17" t="str">
        <f>IF(D1736="","",D1736*'02_Eingaben'!$C$8)</f>
        <v/>
      </c>
      <c r="F1736" s="17" t="str">
        <f>IF(E1736="","",AVERAGE(INDEX($E$2:$E$3001,MAX(1,ROW()-1-'02_Eingaben'!$C$17)):INDEX($E$2:$E$3001,MIN('02_Eingaben'!$C$21,ROW()-1+'02_Eingaben'!$C$17))))</f>
        <v/>
      </c>
      <c r="G1736" s="17" t="str">
        <f>IF(F1736="","",F1736-'02_Eingaben'!$C$10)</f>
        <v/>
      </c>
      <c r="H1736" t="str">
        <f>IF(F1736="","",IF(F1736&lt;'02_Eingaben'!$C$18*'02_Eingaben'!$C$10,1,0))</f>
        <v/>
      </c>
      <c r="I1736" s="17" t="str">
        <f t="shared" si="27"/>
        <v/>
      </c>
      <c r="J1736" s="17" t="str">
        <f>IF(B1736="","",IF(B1735&lt;'02_Eingaben'!$C$36,0,J1735+I1735/'02_Eingaben'!$C$8))</f>
        <v/>
      </c>
    </row>
    <row r="1737" spans="1:10" x14ac:dyDescent="0.25">
      <c r="A1737" t="str">
        <f>IF('01_Rohdaten'!A1737="","",ROW()-1)</f>
        <v/>
      </c>
      <c r="B1737" s="17" t="str">
        <f>IF('01_Rohdaten'!A1737="","",'01_Rohdaten'!A1737)</f>
        <v/>
      </c>
      <c r="C1737" s="17" t="str">
        <f>IF(B1737="","",INDEX('01_Rohdaten'!B1737:D1737,'02_Eingaben'!$C$13))</f>
        <v/>
      </c>
      <c r="D1737" s="17" t="str">
        <f>IF(C1737="","",C1737*'02_Eingaben'!$C$15)</f>
        <v/>
      </c>
      <c r="E1737" s="17" t="str">
        <f>IF(D1737="","",D1737*'02_Eingaben'!$C$8)</f>
        <v/>
      </c>
      <c r="F1737" s="17" t="str">
        <f>IF(E1737="","",AVERAGE(INDEX($E$2:$E$3001,MAX(1,ROW()-1-'02_Eingaben'!$C$17)):INDEX($E$2:$E$3001,MIN('02_Eingaben'!$C$21,ROW()-1+'02_Eingaben'!$C$17))))</f>
        <v/>
      </c>
      <c r="G1737" s="17" t="str">
        <f>IF(F1737="","",F1737-'02_Eingaben'!$C$10)</f>
        <v/>
      </c>
      <c r="H1737" t="str">
        <f>IF(F1737="","",IF(F1737&lt;'02_Eingaben'!$C$18*'02_Eingaben'!$C$10,1,0))</f>
        <v/>
      </c>
      <c r="I1737" s="17" t="str">
        <f t="shared" si="27"/>
        <v/>
      </c>
      <c r="J1737" s="17" t="str">
        <f>IF(B1737="","",IF(B1736&lt;'02_Eingaben'!$C$36,0,J1736+I1736/'02_Eingaben'!$C$8))</f>
        <v/>
      </c>
    </row>
    <row r="1738" spans="1:10" x14ac:dyDescent="0.25">
      <c r="A1738" t="str">
        <f>IF('01_Rohdaten'!A1738="","",ROW()-1)</f>
        <v/>
      </c>
      <c r="B1738" s="17" t="str">
        <f>IF('01_Rohdaten'!A1738="","",'01_Rohdaten'!A1738)</f>
        <v/>
      </c>
      <c r="C1738" s="17" t="str">
        <f>IF(B1738="","",INDEX('01_Rohdaten'!B1738:D1738,'02_Eingaben'!$C$13))</f>
        <v/>
      </c>
      <c r="D1738" s="17" t="str">
        <f>IF(C1738="","",C1738*'02_Eingaben'!$C$15)</f>
        <v/>
      </c>
      <c r="E1738" s="17" t="str">
        <f>IF(D1738="","",D1738*'02_Eingaben'!$C$8)</f>
        <v/>
      </c>
      <c r="F1738" s="17" t="str">
        <f>IF(E1738="","",AVERAGE(INDEX($E$2:$E$3001,MAX(1,ROW()-1-'02_Eingaben'!$C$17)):INDEX($E$2:$E$3001,MIN('02_Eingaben'!$C$21,ROW()-1+'02_Eingaben'!$C$17))))</f>
        <v/>
      </c>
      <c r="G1738" s="17" t="str">
        <f>IF(F1738="","",F1738-'02_Eingaben'!$C$10)</f>
        <v/>
      </c>
      <c r="H1738" t="str">
        <f>IF(F1738="","",IF(F1738&lt;'02_Eingaben'!$C$18*'02_Eingaben'!$C$10,1,0))</f>
        <v/>
      </c>
      <c r="I1738" s="17" t="str">
        <f t="shared" si="27"/>
        <v/>
      </c>
      <c r="J1738" s="17" t="str">
        <f>IF(B1738="","",IF(B1737&lt;'02_Eingaben'!$C$36,0,J1737+I1737/'02_Eingaben'!$C$8))</f>
        <v/>
      </c>
    </row>
    <row r="1739" spans="1:10" x14ac:dyDescent="0.25">
      <c r="A1739" t="str">
        <f>IF('01_Rohdaten'!A1739="","",ROW()-1)</f>
        <v/>
      </c>
      <c r="B1739" s="17" t="str">
        <f>IF('01_Rohdaten'!A1739="","",'01_Rohdaten'!A1739)</f>
        <v/>
      </c>
      <c r="C1739" s="17" t="str">
        <f>IF(B1739="","",INDEX('01_Rohdaten'!B1739:D1739,'02_Eingaben'!$C$13))</f>
        <v/>
      </c>
      <c r="D1739" s="17" t="str">
        <f>IF(C1739="","",C1739*'02_Eingaben'!$C$15)</f>
        <v/>
      </c>
      <c r="E1739" s="17" t="str">
        <f>IF(D1739="","",D1739*'02_Eingaben'!$C$8)</f>
        <v/>
      </c>
      <c r="F1739" s="17" t="str">
        <f>IF(E1739="","",AVERAGE(INDEX($E$2:$E$3001,MAX(1,ROW()-1-'02_Eingaben'!$C$17)):INDEX($E$2:$E$3001,MIN('02_Eingaben'!$C$21,ROW()-1+'02_Eingaben'!$C$17))))</f>
        <v/>
      </c>
      <c r="G1739" s="17" t="str">
        <f>IF(F1739="","",F1739-'02_Eingaben'!$C$10)</f>
        <v/>
      </c>
      <c r="H1739" t="str">
        <f>IF(F1739="","",IF(F1739&lt;'02_Eingaben'!$C$18*'02_Eingaben'!$C$10,1,0))</f>
        <v/>
      </c>
      <c r="I1739" s="17" t="str">
        <f t="shared" si="27"/>
        <v/>
      </c>
      <c r="J1739" s="17" t="str">
        <f>IF(B1739="","",IF(B1738&lt;'02_Eingaben'!$C$36,0,J1738+I1738/'02_Eingaben'!$C$8))</f>
        <v/>
      </c>
    </row>
    <row r="1740" spans="1:10" x14ac:dyDescent="0.25">
      <c r="A1740" t="str">
        <f>IF('01_Rohdaten'!A1740="","",ROW()-1)</f>
        <v/>
      </c>
      <c r="B1740" s="17" t="str">
        <f>IF('01_Rohdaten'!A1740="","",'01_Rohdaten'!A1740)</f>
        <v/>
      </c>
      <c r="C1740" s="17" t="str">
        <f>IF(B1740="","",INDEX('01_Rohdaten'!B1740:D1740,'02_Eingaben'!$C$13))</f>
        <v/>
      </c>
      <c r="D1740" s="17" t="str">
        <f>IF(C1740="","",C1740*'02_Eingaben'!$C$15)</f>
        <v/>
      </c>
      <c r="E1740" s="17" t="str">
        <f>IF(D1740="","",D1740*'02_Eingaben'!$C$8)</f>
        <v/>
      </c>
      <c r="F1740" s="17" t="str">
        <f>IF(E1740="","",AVERAGE(INDEX($E$2:$E$3001,MAX(1,ROW()-1-'02_Eingaben'!$C$17)):INDEX($E$2:$E$3001,MIN('02_Eingaben'!$C$21,ROW()-1+'02_Eingaben'!$C$17))))</f>
        <v/>
      </c>
      <c r="G1740" s="17" t="str">
        <f>IF(F1740="","",F1740-'02_Eingaben'!$C$10)</f>
        <v/>
      </c>
      <c r="H1740" t="str">
        <f>IF(F1740="","",IF(F1740&lt;'02_Eingaben'!$C$18*'02_Eingaben'!$C$10,1,0))</f>
        <v/>
      </c>
      <c r="I1740" s="17" t="str">
        <f t="shared" si="27"/>
        <v/>
      </c>
      <c r="J1740" s="17" t="str">
        <f>IF(B1740="","",IF(B1739&lt;'02_Eingaben'!$C$36,0,J1739+I1739/'02_Eingaben'!$C$8))</f>
        <v/>
      </c>
    </row>
    <row r="1741" spans="1:10" x14ac:dyDescent="0.25">
      <c r="A1741" t="str">
        <f>IF('01_Rohdaten'!A1741="","",ROW()-1)</f>
        <v/>
      </c>
      <c r="B1741" s="17" t="str">
        <f>IF('01_Rohdaten'!A1741="","",'01_Rohdaten'!A1741)</f>
        <v/>
      </c>
      <c r="C1741" s="17" t="str">
        <f>IF(B1741="","",INDEX('01_Rohdaten'!B1741:D1741,'02_Eingaben'!$C$13))</f>
        <v/>
      </c>
      <c r="D1741" s="17" t="str">
        <f>IF(C1741="","",C1741*'02_Eingaben'!$C$15)</f>
        <v/>
      </c>
      <c r="E1741" s="17" t="str">
        <f>IF(D1741="","",D1741*'02_Eingaben'!$C$8)</f>
        <v/>
      </c>
      <c r="F1741" s="17" t="str">
        <f>IF(E1741="","",AVERAGE(INDEX($E$2:$E$3001,MAX(1,ROW()-1-'02_Eingaben'!$C$17)):INDEX($E$2:$E$3001,MIN('02_Eingaben'!$C$21,ROW()-1+'02_Eingaben'!$C$17))))</f>
        <v/>
      </c>
      <c r="G1741" s="17" t="str">
        <f>IF(F1741="","",F1741-'02_Eingaben'!$C$10)</f>
        <v/>
      </c>
      <c r="H1741" t="str">
        <f>IF(F1741="","",IF(F1741&lt;'02_Eingaben'!$C$18*'02_Eingaben'!$C$10,1,0))</f>
        <v/>
      </c>
      <c r="I1741" s="17" t="str">
        <f t="shared" si="27"/>
        <v/>
      </c>
      <c r="J1741" s="17" t="str">
        <f>IF(B1741="","",IF(B1740&lt;'02_Eingaben'!$C$36,0,J1740+I1740/'02_Eingaben'!$C$8))</f>
        <v/>
      </c>
    </row>
    <row r="1742" spans="1:10" x14ac:dyDescent="0.25">
      <c r="A1742" t="str">
        <f>IF('01_Rohdaten'!A1742="","",ROW()-1)</f>
        <v/>
      </c>
      <c r="B1742" s="17" t="str">
        <f>IF('01_Rohdaten'!A1742="","",'01_Rohdaten'!A1742)</f>
        <v/>
      </c>
      <c r="C1742" s="17" t="str">
        <f>IF(B1742="","",INDEX('01_Rohdaten'!B1742:D1742,'02_Eingaben'!$C$13))</f>
        <v/>
      </c>
      <c r="D1742" s="17" t="str">
        <f>IF(C1742="","",C1742*'02_Eingaben'!$C$15)</f>
        <v/>
      </c>
      <c r="E1742" s="17" t="str">
        <f>IF(D1742="","",D1742*'02_Eingaben'!$C$8)</f>
        <v/>
      </c>
      <c r="F1742" s="17" t="str">
        <f>IF(E1742="","",AVERAGE(INDEX($E$2:$E$3001,MAX(1,ROW()-1-'02_Eingaben'!$C$17)):INDEX($E$2:$E$3001,MIN('02_Eingaben'!$C$21,ROW()-1+'02_Eingaben'!$C$17))))</f>
        <v/>
      </c>
      <c r="G1742" s="17" t="str">
        <f>IF(F1742="","",F1742-'02_Eingaben'!$C$10)</f>
        <v/>
      </c>
      <c r="H1742" t="str">
        <f>IF(F1742="","",IF(F1742&lt;'02_Eingaben'!$C$18*'02_Eingaben'!$C$10,1,0))</f>
        <v/>
      </c>
      <c r="I1742" s="17" t="str">
        <f t="shared" si="27"/>
        <v/>
      </c>
      <c r="J1742" s="17" t="str">
        <f>IF(B1742="","",IF(B1741&lt;'02_Eingaben'!$C$36,0,J1741+I1741/'02_Eingaben'!$C$8))</f>
        <v/>
      </c>
    </row>
    <row r="1743" spans="1:10" x14ac:dyDescent="0.25">
      <c r="A1743" t="str">
        <f>IF('01_Rohdaten'!A1743="","",ROW()-1)</f>
        <v/>
      </c>
      <c r="B1743" s="17" t="str">
        <f>IF('01_Rohdaten'!A1743="","",'01_Rohdaten'!A1743)</f>
        <v/>
      </c>
      <c r="C1743" s="17" t="str">
        <f>IF(B1743="","",INDEX('01_Rohdaten'!B1743:D1743,'02_Eingaben'!$C$13))</f>
        <v/>
      </c>
      <c r="D1743" s="17" t="str">
        <f>IF(C1743="","",C1743*'02_Eingaben'!$C$15)</f>
        <v/>
      </c>
      <c r="E1743" s="17" t="str">
        <f>IF(D1743="","",D1743*'02_Eingaben'!$C$8)</f>
        <v/>
      </c>
      <c r="F1743" s="17" t="str">
        <f>IF(E1743="","",AVERAGE(INDEX($E$2:$E$3001,MAX(1,ROW()-1-'02_Eingaben'!$C$17)):INDEX($E$2:$E$3001,MIN('02_Eingaben'!$C$21,ROW()-1+'02_Eingaben'!$C$17))))</f>
        <v/>
      </c>
      <c r="G1743" s="17" t="str">
        <f>IF(F1743="","",F1743-'02_Eingaben'!$C$10)</f>
        <v/>
      </c>
      <c r="H1743" t="str">
        <f>IF(F1743="","",IF(F1743&lt;'02_Eingaben'!$C$18*'02_Eingaben'!$C$10,1,0))</f>
        <v/>
      </c>
      <c r="I1743" s="17" t="str">
        <f t="shared" si="27"/>
        <v/>
      </c>
      <c r="J1743" s="17" t="str">
        <f>IF(B1743="","",IF(B1742&lt;'02_Eingaben'!$C$36,0,J1742+I1742/'02_Eingaben'!$C$8))</f>
        <v/>
      </c>
    </row>
    <row r="1744" spans="1:10" x14ac:dyDescent="0.25">
      <c r="A1744" t="str">
        <f>IF('01_Rohdaten'!A1744="","",ROW()-1)</f>
        <v/>
      </c>
      <c r="B1744" s="17" t="str">
        <f>IF('01_Rohdaten'!A1744="","",'01_Rohdaten'!A1744)</f>
        <v/>
      </c>
      <c r="C1744" s="17" t="str">
        <f>IF(B1744="","",INDEX('01_Rohdaten'!B1744:D1744,'02_Eingaben'!$C$13))</f>
        <v/>
      </c>
      <c r="D1744" s="17" t="str">
        <f>IF(C1744="","",C1744*'02_Eingaben'!$C$15)</f>
        <v/>
      </c>
      <c r="E1744" s="17" t="str">
        <f>IF(D1744="","",D1744*'02_Eingaben'!$C$8)</f>
        <v/>
      </c>
      <c r="F1744" s="17" t="str">
        <f>IF(E1744="","",AVERAGE(INDEX($E$2:$E$3001,MAX(1,ROW()-1-'02_Eingaben'!$C$17)):INDEX($E$2:$E$3001,MIN('02_Eingaben'!$C$21,ROW()-1+'02_Eingaben'!$C$17))))</f>
        <v/>
      </c>
      <c r="G1744" s="17" t="str">
        <f>IF(F1744="","",F1744-'02_Eingaben'!$C$10)</f>
        <v/>
      </c>
      <c r="H1744" t="str">
        <f>IF(F1744="","",IF(F1744&lt;'02_Eingaben'!$C$18*'02_Eingaben'!$C$10,1,0))</f>
        <v/>
      </c>
      <c r="I1744" s="17" t="str">
        <f t="shared" si="27"/>
        <v/>
      </c>
      <c r="J1744" s="17" t="str">
        <f>IF(B1744="","",IF(B1743&lt;'02_Eingaben'!$C$36,0,J1743+I1743/'02_Eingaben'!$C$8))</f>
        <v/>
      </c>
    </row>
    <row r="1745" spans="1:10" x14ac:dyDescent="0.25">
      <c r="A1745" t="str">
        <f>IF('01_Rohdaten'!A1745="","",ROW()-1)</f>
        <v/>
      </c>
      <c r="B1745" s="17" t="str">
        <f>IF('01_Rohdaten'!A1745="","",'01_Rohdaten'!A1745)</f>
        <v/>
      </c>
      <c r="C1745" s="17" t="str">
        <f>IF(B1745="","",INDEX('01_Rohdaten'!B1745:D1745,'02_Eingaben'!$C$13))</f>
        <v/>
      </c>
      <c r="D1745" s="17" t="str">
        <f>IF(C1745="","",C1745*'02_Eingaben'!$C$15)</f>
        <v/>
      </c>
      <c r="E1745" s="17" t="str">
        <f>IF(D1745="","",D1745*'02_Eingaben'!$C$8)</f>
        <v/>
      </c>
      <c r="F1745" s="17" t="str">
        <f>IF(E1745="","",AVERAGE(INDEX($E$2:$E$3001,MAX(1,ROW()-1-'02_Eingaben'!$C$17)):INDEX($E$2:$E$3001,MIN('02_Eingaben'!$C$21,ROW()-1+'02_Eingaben'!$C$17))))</f>
        <v/>
      </c>
      <c r="G1745" s="17" t="str">
        <f>IF(F1745="","",F1745-'02_Eingaben'!$C$10)</f>
        <v/>
      </c>
      <c r="H1745" t="str">
        <f>IF(F1745="","",IF(F1745&lt;'02_Eingaben'!$C$18*'02_Eingaben'!$C$10,1,0))</f>
        <v/>
      </c>
      <c r="I1745" s="17" t="str">
        <f t="shared" si="27"/>
        <v/>
      </c>
      <c r="J1745" s="17" t="str">
        <f>IF(B1745="","",IF(B1744&lt;'02_Eingaben'!$C$36,0,J1744+I1744/'02_Eingaben'!$C$8))</f>
        <v/>
      </c>
    </row>
    <row r="1746" spans="1:10" x14ac:dyDescent="0.25">
      <c r="A1746" t="str">
        <f>IF('01_Rohdaten'!A1746="","",ROW()-1)</f>
        <v/>
      </c>
      <c r="B1746" s="17" t="str">
        <f>IF('01_Rohdaten'!A1746="","",'01_Rohdaten'!A1746)</f>
        <v/>
      </c>
      <c r="C1746" s="17" t="str">
        <f>IF(B1746="","",INDEX('01_Rohdaten'!B1746:D1746,'02_Eingaben'!$C$13))</f>
        <v/>
      </c>
      <c r="D1746" s="17" t="str">
        <f>IF(C1746="","",C1746*'02_Eingaben'!$C$15)</f>
        <v/>
      </c>
      <c r="E1746" s="17" t="str">
        <f>IF(D1746="","",D1746*'02_Eingaben'!$C$8)</f>
        <v/>
      </c>
      <c r="F1746" s="17" t="str">
        <f>IF(E1746="","",AVERAGE(INDEX($E$2:$E$3001,MAX(1,ROW()-1-'02_Eingaben'!$C$17)):INDEX($E$2:$E$3001,MIN('02_Eingaben'!$C$21,ROW()-1+'02_Eingaben'!$C$17))))</f>
        <v/>
      </c>
      <c r="G1746" s="17" t="str">
        <f>IF(F1746="","",F1746-'02_Eingaben'!$C$10)</f>
        <v/>
      </c>
      <c r="H1746" t="str">
        <f>IF(F1746="","",IF(F1746&lt;'02_Eingaben'!$C$18*'02_Eingaben'!$C$10,1,0))</f>
        <v/>
      </c>
      <c r="I1746" s="17" t="str">
        <f t="shared" si="27"/>
        <v/>
      </c>
      <c r="J1746" s="17" t="str">
        <f>IF(B1746="","",IF(B1745&lt;'02_Eingaben'!$C$36,0,J1745+I1745/'02_Eingaben'!$C$8))</f>
        <v/>
      </c>
    </row>
    <row r="1747" spans="1:10" x14ac:dyDescent="0.25">
      <c r="A1747" t="str">
        <f>IF('01_Rohdaten'!A1747="","",ROW()-1)</f>
        <v/>
      </c>
      <c r="B1747" s="17" t="str">
        <f>IF('01_Rohdaten'!A1747="","",'01_Rohdaten'!A1747)</f>
        <v/>
      </c>
      <c r="C1747" s="17" t="str">
        <f>IF(B1747="","",INDEX('01_Rohdaten'!B1747:D1747,'02_Eingaben'!$C$13))</f>
        <v/>
      </c>
      <c r="D1747" s="17" t="str">
        <f>IF(C1747="","",C1747*'02_Eingaben'!$C$15)</f>
        <v/>
      </c>
      <c r="E1747" s="17" t="str">
        <f>IF(D1747="","",D1747*'02_Eingaben'!$C$8)</f>
        <v/>
      </c>
      <c r="F1747" s="17" t="str">
        <f>IF(E1747="","",AVERAGE(INDEX($E$2:$E$3001,MAX(1,ROW()-1-'02_Eingaben'!$C$17)):INDEX($E$2:$E$3001,MIN('02_Eingaben'!$C$21,ROW()-1+'02_Eingaben'!$C$17))))</f>
        <v/>
      </c>
      <c r="G1747" s="17" t="str">
        <f>IF(F1747="","",F1747-'02_Eingaben'!$C$10)</f>
        <v/>
      </c>
      <c r="H1747" t="str">
        <f>IF(F1747="","",IF(F1747&lt;'02_Eingaben'!$C$18*'02_Eingaben'!$C$10,1,0))</f>
        <v/>
      </c>
      <c r="I1747" s="17" t="str">
        <f t="shared" si="27"/>
        <v/>
      </c>
      <c r="J1747" s="17" t="str">
        <f>IF(B1747="","",IF(B1746&lt;'02_Eingaben'!$C$36,0,J1746+I1746/'02_Eingaben'!$C$8))</f>
        <v/>
      </c>
    </row>
    <row r="1748" spans="1:10" x14ac:dyDescent="0.25">
      <c r="A1748" t="str">
        <f>IF('01_Rohdaten'!A1748="","",ROW()-1)</f>
        <v/>
      </c>
      <c r="B1748" s="17" t="str">
        <f>IF('01_Rohdaten'!A1748="","",'01_Rohdaten'!A1748)</f>
        <v/>
      </c>
      <c r="C1748" s="17" t="str">
        <f>IF(B1748="","",INDEX('01_Rohdaten'!B1748:D1748,'02_Eingaben'!$C$13))</f>
        <v/>
      </c>
      <c r="D1748" s="17" t="str">
        <f>IF(C1748="","",C1748*'02_Eingaben'!$C$15)</f>
        <v/>
      </c>
      <c r="E1748" s="17" t="str">
        <f>IF(D1748="","",D1748*'02_Eingaben'!$C$8)</f>
        <v/>
      </c>
      <c r="F1748" s="17" t="str">
        <f>IF(E1748="","",AVERAGE(INDEX($E$2:$E$3001,MAX(1,ROW()-1-'02_Eingaben'!$C$17)):INDEX($E$2:$E$3001,MIN('02_Eingaben'!$C$21,ROW()-1+'02_Eingaben'!$C$17))))</f>
        <v/>
      </c>
      <c r="G1748" s="17" t="str">
        <f>IF(F1748="","",F1748-'02_Eingaben'!$C$10)</f>
        <v/>
      </c>
      <c r="H1748" t="str">
        <f>IF(F1748="","",IF(F1748&lt;'02_Eingaben'!$C$18*'02_Eingaben'!$C$10,1,0))</f>
        <v/>
      </c>
      <c r="I1748" s="17" t="str">
        <f t="shared" si="27"/>
        <v/>
      </c>
      <c r="J1748" s="17" t="str">
        <f>IF(B1748="","",IF(B1747&lt;'02_Eingaben'!$C$36,0,J1747+I1747/'02_Eingaben'!$C$8))</f>
        <v/>
      </c>
    </row>
    <row r="1749" spans="1:10" x14ac:dyDescent="0.25">
      <c r="A1749" t="str">
        <f>IF('01_Rohdaten'!A1749="","",ROW()-1)</f>
        <v/>
      </c>
      <c r="B1749" s="17" t="str">
        <f>IF('01_Rohdaten'!A1749="","",'01_Rohdaten'!A1749)</f>
        <v/>
      </c>
      <c r="C1749" s="17" t="str">
        <f>IF(B1749="","",INDEX('01_Rohdaten'!B1749:D1749,'02_Eingaben'!$C$13))</f>
        <v/>
      </c>
      <c r="D1749" s="17" t="str">
        <f>IF(C1749="","",C1749*'02_Eingaben'!$C$15)</f>
        <v/>
      </c>
      <c r="E1749" s="17" t="str">
        <f>IF(D1749="","",D1749*'02_Eingaben'!$C$8)</f>
        <v/>
      </c>
      <c r="F1749" s="17" t="str">
        <f>IF(E1749="","",AVERAGE(INDEX($E$2:$E$3001,MAX(1,ROW()-1-'02_Eingaben'!$C$17)):INDEX($E$2:$E$3001,MIN('02_Eingaben'!$C$21,ROW()-1+'02_Eingaben'!$C$17))))</f>
        <v/>
      </c>
      <c r="G1749" s="17" t="str">
        <f>IF(F1749="","",F1749-'02_Eingaben'!$C$10)</f>
        <v/>
      </c>
      <c r="H1749" t="str">
        <f>IF(F1749="","",IF(F1749&lt;'02_Eingaben'!$C$18*'02_Eingaben'!$C$10,1,0))</f>
        <v/>
      </c>
      <c r="I1749" s="17" t="str">
        <f t="shared" si="27"/>
        <v/>
      </c>
      <c r="J1749" s="17" t="str">
        <f>IF(B1749="","",IF(B1748&lt;'02_Eingaben'!$C$36,0,J1748+I1748/'02_Eingaben'!$C$8))</f>
        <v/>
      </c>
    </row>
    <row r="1750" spans="1:10" x14ac:dyDescent="0.25">
      <c r="A1750" t="str">
        <f>IF('01_Rohdaten'!A1750="","",ROW()-1)</f>
        <v/>
      </c>
      <c r="B1750" s="17" t="str">
        <f>IF('01_Rohdaten'!A1750="","",'01_Rohdaten'!A1750)</f>
        <v/>
      </c>
      <c r="C1750" s="17" t="str">
        <f>IF(B1750="","",INDEX('01_Rohdaten'!B1750:D1750,'02_Eingaben'!$C$13))</f>
        <v/>
      </c>
      <c r="D1750" s="17" t="str">
        <f>IF(C1750="","",C1750*'02_Eingaben'!$C$15)</f>
        <v/>
      </c>
      <c r="E1750" s="17" t="str">
        <f>IF(D1750="","",D1750*'02_Eingaben'!$C$8)</f>
        <v/>
      </c>
      <c r="F1750" s="17" t="str">
        <f>IF(E1750="","",AVERAGE(INDEX($E$2:$E$3001,MAX(1,ROW()-1-'02_Eingaben'!$C$17)):INDEX($E$2:$E$3001,MIN('02_Eingaben'!$C$21,ROW()-1+'02_Eingaben'!$C$17))))</f>
        <v/>
      </c>
      <c r="G1750" s="17" t="str">
        <f>IF(F1750="","",F1750-'02_Eingaben'!$C$10)</f>
        <v/>
      </c>
      <c r="H1750" t="str">
        <f>IF(F1750="","",IF(F1750&lt;'02_Eingaben'!$C$18*'02_Eingaben'!$C$10,1,0))</f>
        <v/>
      </c>
      <c r="I1750" s="17" t="str">
        <f t="shared" si="27"/>
        <v/>
      </c>
      <c r="J1750" s="17" t="str">
        <f>IF(B1750="","",IF(B1749&lt;'02_Eingaben'!$C$36,0,J1749+I1749/'02_Eingaben'!$C$8))</f>
        <v/>
      </c>
    </row>
    <row r="1751" spans="1:10" x14ac:dyDescent="0.25">
      <c r="A1751" t="str">
        <f>IF('01_Rohdaten'!A1751="","",ROW()-1)</f>
        <v/>
      </c>
      <c r="B1751" s="17" t="str">
        <f>IF('01_Rohdaten'!A1751="","",'01_Rohdaten'!A1751)</f>
        <v/>
      </c>
      <c r="C1751" s="17" t="str">
        <f>IF(B1751="","",INDEX('01_Rohdaten'!B1751:D1751,'02_Eingaben'!$C$13))</f>
        <v/>
      </c>
      <c r="D1751" s="17" t="str">
        <f>IF(C1751="","",C1751*'02_Eingaben'!$C$15)</f>
        <v/>
      </c>
      <c r="E1751" s="17" t="str">
        <f>IF(D1751="","",D1751*'02_Eingaben'!$C$8)</f>
        <v/>
      </c>
      <c r="F1751" s="17" t="str">
        <f>IF(E1751="","",AVERAGE(INDEX($E$2:$E$3001,MAX(1,ROW()-1-'02_Eingaben'!$C$17)):INDEX($E$2:$E$3001,MIN('02_Eingaben'!$C$21,ROW()-1+'02_Eingaben'!$C$17))))</f>
        <v/>
      </c>
      <c r="G1751" s="17" t="str">
        <f>IF(F1751="","",F1751-'02_Eingaben'!$C$10)</f>
        <v/>
      </c>
      <c r="H1751" t="str">
        <f>IF(F1751="","",IF(F1751&lt;'02_Eingaben'!$C$18*'02_Eingaben'!$C$10,1,0))</f>
        <v/>
      </c>
      <c r="I1751" s="17" t="str">
        <f t="shared" si="27"/>
        <v/>
      </c>
      <c r="J1751" s="17" t="str">
        <f>IF(B1751="","",IF(B1750&lt;'02_Eingaben'!$C$36,0,J1750+I1750/'02_Eingaben'!$C$8))</f>
        <v/>
      </c>
    </row>
    <row r="1752" spans="1:10" x14ac:dyDescent="0.25">
      <c r="A1752" t="str">
        <f>IF('01_Rohdaten'!A1752="","",ROW()-1)</f>
        <v/>
      </c>
      <c r="B1752" s="17" t="str">
        <f>IF('01_Rohdaten'!A1752="","",'01_Rohdaten'!A1752)</f>
        <v/>
      </c>
      <c r="C1752" s="17" t="str">
        <f>IF(B1752="","",INDEX('01_Rohdaten'!B1752:D1752,'02_Eingaben'!$C$13))</f>
        <v/>
      </c>
      <c r="D1752" s="17" t="str">
        <f>IF(C1752="","",C1752*'02_Eingaben'!$C$15)</f>
        <v/>
      </c>
      <c r="E1752" s="17" t="str">
        <f>IF(D1752="","",D1752*'02_Eingaben'!$C$8)</f>
        <v/>
      </c>
      <c r="F1752" s="17" t="str">
        <f>IF(E1752="","",AVERAGE(INDEX($E$2:$E$3001,MAX(1,ROW()-1-'02_Eingaben'!$C$17)):INDEX($E$2:$E$3001,MIN('02_Eingaben'!$C$21,ROW()-1+'02_Eingaben'!$C$17))))</f>
        <v/>
      </c>
      <c r="G1752" s="17" t="str">
        <f>IF(F1752="","",F1752-'02_Eingaben'!$C$10)</f>
        <v/>
      </c>
      <c r="H1752" t="str">
        <f>IF(F1752="","",IF(F1752&lt;'02_Eingaben'!$C$18*'02_Eingaben'!$C$10,1,0))</f>
        <v/>
      </c>
      <c r="I1752" s="17" t="str">
        <f t="shared" si="27"/>
        <v/>
      </c>
      <c r="J1752" s="17" t="str">
        <f>IF(B1752="","",IF(B1751&lt;'02_Eingaben'!$C$36,0,J1751+I1751/'02_Eingaben'!$C$8))</f>
        <v/>
      </c>
    </row>
    <row r="1753" spans="1:10" x14ac:dyDescent="0.25">
      <c r="A1753" t="str">
        <f>IF('01_Rohdaten'!A1753="","",ROW()-1)</f>
        <v/>
      </c>
      <c r="B1753" s="17" t="str">
        <f>IF('01_Rohdaten'!A1753="","",'01_Rohdaten'!A1753)</f>
        <v/>
      </c>
      <c r="C1753" s="17" t="str">
        <f>IF(B1753="","",INDEX('01_Rohdaten'!B1753:D1753,'02_Eingaben'!$C$13))</f>
        <v/>
      </c>
      <c r="D1753" s="17" t="str">
        <f>IF(C1753="","",C1753*'02_Eingaben'!$C$15)</f>
        <v/>
      </c>
      <c r="E1753" s="17" t="str">
        <f>IF(D1753="","",D1753*'02_Eingaben'!$C$8)</f>
        <v/>
      </c>
      <c r="F1753" s="17" t="str">
        <f>IF(E1753="","",AVERAGE(INDEX($E$2:$E$3001,MAX(1,ROW()-1-'02_Eingaben'!$C$17)):INDEX($E$2:$E$3001,MIN('02_Eingaben'!$C$21,ROW()-1+'02_Eingaben'!$C$17))))</f>
        <v/>
      </c>
      <c r="G1753" s="17" t="str">
        <f>IF(F1753="","",F1753-'02_Eingaben'!$C$10)</f>
        <v/>
      </c>
      <c r="H1753" t="str">
        <f>IF(F1753="","",IF(F1753&lt;'02_Eingaben'!$C$18*'02_Eingaben'!$C$10,1,0))</f>
        <v/>
      </c>
      <c r="I1753" s="17" t="str">
        <f t="shared" si="27"/>
        <v/>
      </c>
      <c r="J1753" s="17" t="str">
        <f>IF(B1753="","",IF(B1752&lt;'02_Eingaben'!$C$36,0,J1752+I1752/'02_Eingaben'!$C$8))</f>
        <v/>
      </c>
    </row>
    <row r="1754" spans="1:10" x14ac:dyDescent="0.25">
      <c r="A1754" t="str">
        <f>IF('01_Rohdaten'!A1754="","",ROW()-1)</f>
        <v/>
      </c>
      <c r="B1754" s="17" t="str">
        <f>IF('01_Rohdaten'!A1754="","",'01_Rohdaten'!A1754)</f>
        <v/>
      </c>
      <c r="C1754" s="17" t="str">
        <f>IF(B1754="","",INDEX('01_Rohdaten'!B1754:D1754,'02_Eingaben'!$C$13))</f>
        <v/>
      </c>
      <c r="D1754" s="17" t="str">
        <f>IF(C1754="","",C1754*'02_Eingaben'!$C$15)</f>
        <v/>
      </c>
      <c r="E1754" s="17" t="str">
        <f>IF(D1754="","",D1754*'02_Eingaben'!$C$8)</f>
        <v/>
      </c>
      <c r="F1754" s="17" t="str">
        <f>IF(E1754="","",AVERAGE(INDEX($E$2:$E$3001,MAX(1,ROW()-1-'02_Eingaben'!$C$17)):INDEX($E$2:$E$3001,MIN('02_Eingaben'!$C$21,ROW()-1+'02_Eingaben'!$C$17))))</f>
        <v/>
      </c>
      <c r="G1754" s="17" t="str">
        <f>IF(F1754="","",F1754-'02_Eingaben'!$C$10)</f>
        <v/>
      </c>
      <c r="H1754" t="str">
        <f>IF(F1754="","",IF(F1754&lt;'02_Eingaben'!$C$18*'02_Eingaben'!$C$10,1,0))</f>
        <v/>
      </c>
      <c r="I1754" s="17" t="str">
        <f t="shared" si="27"/>
        <v/>
      </c>
      <c r="J1754" s="17" t="str">
        <f>IF(B1754="","",IF(B1753&lt;'02_Eingaben'!$C$36,0,J1753+I1753/'02_Eingaben'!$C$8))</f>
        <v/>
      </c>
    </row>
    <row r="1755" spans="1:10" x14ac:dyDescent="0.25">
      <c r="A1755" t="str">
        <f>IF('01_Rohdaten'!A1755="","",ROW()-1)</f>
        <v/>
      </c>
      <c r="B1755" s="17" t="str">
        <f>IF('01_Rohdaten'!A1755="","",'01_Rohdaten'!A1755)</f>
        <v/>
      </c>
      <c r="C1755" s="17" t="str">
        <f>IF(B1755="","",INDEX('01_Rohdaten'!B1755:D1755,'02_Eingaben'!$C$13))</f>
        <v/>
      </c>
      <c r="D1755" s="17" t="str">
        <f>IF(C1755="","",C1755*'02_Eingaben'!$C$15)</f>
        <v/>
      </c>
      <c r="E1755" s="17" t="str">
        <f>IF(D1755="","",D1755*'02_Eingaben'!$C$8)</f>
        <v/>
      </c>
      <c r="F1755" s="17" t="str">
        <f>IF(E1755="","",AVERAGE(INDEX($E$2:$E$3001,MAX(1,ROW()-1-'02_Eingaben'!$C$17)):INDEX($E$2:$E$3001,MIN('02_Eingaben'!$C$21,ROW()-1+'02_Eingaben'!$C$17))))</f>
        <v/>
      </c>
      <c r="G1755" s="17" t="str">
        <f>IF(F1755="","",F1755-'02_Eingaben'!$C$10)</f>
        <v/>
      </c>
      <c r="H1755" t="str">
        <f>IF(F1755="","",IF(F1755&lt;'02_Eingaben'!$C$18*'02_Eingaben'!$C$10,1,0))</f>
        <v/>
      </c>
      <c r="I1755" s="17" t="str">
        <f t="shared" si="27"/>
        <v/>
      </c>
      <c r="J1755" s="17" t="str">
        <f>IF(B1755="","",IF(B1754&lt;'02_Eingaben'!$C$36,0,J1754+I1754/'02_Eingaben'!$C$8))</f>
        <v/>
      </c>
    </row>
    <row r="1756" spans="1:10" x14ac:dyDescent="0.25">
      <c r="A1756" t="str">
        <f>IF('01_Rohdaten'!A1756="","",ROW()-1)</f>
        <v/>
      </c>
      <c r="B1756" s="17" t="str">
        <f>IF('01_Rohdaten'!A1756="","",'01_Rohdaten'!A1756)</f>
        <v/>
      </c>
      <c r="C1756" s="17" t="str">
        <f>IF(B1756="","",INDEX('01_Rohdaten'!B1756:D1756,'02_Eingaben'!$C$13))</f>
        <v/>
      </c>
      <c r="D1756" s="17" t="str">
        <f>IF(C1756="","",C1756*'02_Eingaben'!$C$15)</f>
        <v/>
      </c>
      <c r="E1756" s="17" t="str">
        <f>IF(D1756="","",D1756*'02_Eingaben'!$C$8)</f>
        <v/>
      </c>
      <c r="F1756" s="17" t="str">
        <f>IF(E1756="","",AVERAGE(INDEX($E$2:$E$3001,MAX(1,ROW()-1-'02_Eingaben'!$C$17)):INDEX($E$2:$E$3001,MIN('02_Eingaben'!$C$21,ROW()-1+'02_Eingaben'!$C$17))))</f>
        <v/>
      </c>
      <c r="G1756" s="17" t="str">
        <f>IF(F1756="","",F1756-'02_Eingaben'!$C$10)</f>
        <v/>
      </c>
      <c r="H1756" t="str">
        <f>IF(F1756="","",IF(F1756&lt;'02_Eingaben'!$C$18*'02_Eingaben'!$C$10,1,0))</f>
        <v/>
      </c>
      <c r="I1756" s="17" t="str">
        <f t="shared" si="27"/>
        <v/>
      </c>
      <c r="J1756" s="17" t="str">
        <f>IF(B1756="","",IF(B1755&lt;'02_Eingaben'!$C$36,0,J1755+I1755/'02_Eingaben'!$C$8))</f>
        <v/>
      </c>
    </row>
    <row r="1757" spans="1:10" x14ac:dyDescent="0.25">
      <c r="A1757" t="str">
        <f>IF('01_Rohdaten'!A1757="","",ROW()-1)</f>
        <v/>
      </c>
      <c r="B1757" s="17" t="str">
        <f>IF('01_Rohdaten'!A1757="","",'01_Rohdaten'!A1757)</f>
        <v/>
      </c>
      <c r="C1757" s="17" t="str">
        <f>IF(B1757="","",INDEX('01_Rohdaten'!B1757:D1757,'02_Eingaben'!$C$13))</f>
        <v/>
      </c>
      <c r="D1757" s="17" t="str">
        <f>IF(C1757="","",C1757*'02_Eingaben'!$C$15)</f>
        <v/>
      </c>
      <c r="E1757" s="17" t="str">
        <f>IF(D1757="","",D1757*'02_Eingaben'!$C$8)</f>
        <v/>
      </c>
      <c r="F1757" s="17" t="str">
        <f>IF(E1757="","",AVERAGE(INDEX($E$2:$E$3001,MAX(1,ROW()-1-'02_Eingaben'!$C$17)):INDEX($E$2:$E$3001,MIN('02_Eingaben'!$C$21,ROW()-1+'02_Eingaben'!$C$17))))</f>
        <v/>
      </c>
      <c r="G1757" s="17" t="str">
        <f>IF(F1757="","",F1757-'02_Eingaben'!$C$10)</f>
        <v/>
      </c>
      <c r="H1757" t="str">
        <f>IF(F1757="","",IF(F1757&lt;'02_Eingaben'!$C$18*'02_Eingaben'!$C$10,1,0))</f>
        <v/>
      </c>
      <c r="I1757" s="17" t="str">
        <f t="shared" si="27"/>
        <v/>
      </c>
      <c r="J1757" s="17" t="str">
        <f>IF(B1757="","",IF(B1756&lt;'02_Eingaben'!$C$36,0,J1756+I1756/'02_Eingaben'!$C$8))</f>
        <v/>
      </c>
    </row>
    <row r="1758" spans="1:10" x14ac:dyDescent="0.25">
      <c r="A1758" t="str">
        <f>IF('01_Rohdaten'!A1758="","",ROW()-1)</f>
        <v/>
      </c>
      <c r="B1758" s="17" t="str">
        <f>IF('01_Rohdaten'!A1758="","",'01_Rohdaten'!A1758)</f>
        <v/>
      </c>
      <c r="C1758" s="17" t="str">
        <f>IF(B1758="","",INDEX('01_Rohdaten'!B1758:D1758,'02_Eingaben'!$C$13))</f>
        <v/>
      </c>
      <c r="D1758" s="17" t="str">
        <f>IF(C1758="","",C1758*'02_Eingaben'!$C$15)</f>
        <v/>
      </c>
      <c r="E1758" s="17" t="str">
        <f>IF(D1758="","",D1758*'02_Eingaben'!$C$8)</f>
        <v/>
      </c>
      <c r="F1758" s="17" t="str">
        <f>IF(E1758="","",AVERAGE(INDEX($E$2:$E$3001,MAX(1,ROW()-1-'02_Eingaben'!$C$17)):INDEX($E$2:$E$3001,MIN('02_Eingaben'!$C$21,ROW()-1+'02_Eingaben'!$C$17))))</f>
        <v/>
      </c>
      <c r="G1758" s="17" t="str">
        <f>IF(F1758="","",F1758-'02_Eingaben'!$C$10)</f>
        <v/>
      </c>
      <c r="H1758" t="str">
        <f>IF(F1758="","",IF(F1758&lt;'02_Eingaben'!$C$18*'02_Eingaben'!$C$10,1,0))</f>
        <v/>
      </c>
      <c r="I1758" s="17" t="str">
        <f t="shared" si="27"/>
        <v/>
      </c>
      <c r="J1758" s="17" t="str">
        <f>IF(B1758="","",IF(B1757&lt;'02_Eingaben'!$C$36,0,J1757+I1757/'02_Eingaben'!$C$8))</f>
        <v/>
      </c>
    </row>
    <row r="1759" spans="1:10" x14ac:dyDescent="0.25">
      <c r="A1759" t="str">
        <f>IF('01_Rohdaten'!A1759="","",ROW()-1)</f>
        <v/>
      </c>
      <c r="B1759" s="17" t="str">
        <f>IF('01_Rohdaten'!A1759="","",'01_Rohdaten'!A1759)</f>
        <v/>
      </c>
      <c r="C1759" s="17" t="str">
        <f>IF(B1759="","",INDEX('01_Rohdaten'!B1759:D1759,'02_Eingaben'!$C$13))</f>
        <v/>
      </c>
      <c r="D1759" s="17" t="str">
        <f>IF(C1759="","",C1759*'02_Eingaben'!$C$15)</f>
        <v/>
      </c>
      <c r="E1759" s="17" t="str">
        <f>IF(D1759="","",D1759*'02_Eingaben'!$C$8)</f>
        <v/>
      </c>
      <c r="F1759" s="17" t="str">
        <f>IF(E1759="","",AVERAGE(INDEX($E$2:$E$3001,MAX(1,ROW()-1-'02_Eingaben'!$C$17)):INDEX($E$2:$E$3001,MIN('02_Eingaben'!$C$21,ROW()-1+'02_Eingaben'!$C$17))))</f>
        <v/>
      </c>
      <c r="G1759" s="17" t="str">
        <f>IF(F1759="","",F1759-'02_Eingaben'!$C$10)</f>
        <v/>
      </c>
      <c r="H1759" t="str">
        <f>IF(F1759="","",IF(F1759&lt;'02_Eingaben'!$C$18*'02_Eingaben'!$C$10,1,0))</f>
        <v/>
      </c>
      <c r="I1759" s="17" t="str">
        <f t="shared" si="27"/>
        <v/>
      </c>
      <c r="J1759" s="17" t="str">
        <f>IF(B1759="","",IF(B1758&lt;'02_Eingaben'!$C$36,0,J1758+I1758/'02_Eingaben'!$C$8))</f>
        <v/>
      </c>
    </row>
    <row r="1760" spans="1:10" x14ac:dyDescent="0.25">
      <c r="A1760" t="str">
        <f>IF('01_Rohdaten'!A1760="","",ROW()-1)</f>
        <v/>
      </c>
      <c r="B1760" s="17" t="str">
        <f>IF('01_Rohdaten'!A1760="","",'01_Rohdaten'!A1760)</f>
        <v/>
      </c>
      <c r="C1760" s="17" t="str">
        <f>IF(B1760="","",INDEX('01_Rohdaten'!B1760:D1760,'02_Eingaben'!$C$13))</f>
        <v/>
      </c>
      <c r="D1760" s="17" t="str">
        <f>IF(C1760="","",C1760*'02_Eingaben'!$C$15)</f>
        <v/>
      </c>
      <c r="E1760" s="17" t="str">
        <f>IF(D1760="","",D1760*'02_Eingaben'!$C$8)</f>
        <v/>
      </c>
      <c r="F1760" s="17" t="str">
        <f>IF(E1760="","",AVERAGE(INDEX($E$2:$E$3001,MAX(1,ROW()-1-'02_Eingaben'!$C$17)):INDEX($E$2:$E$3001,MIN('02_Eingaben'!$C$21,ROW()-1+'02_Eingaben'!$C$17))))</f>
        <v/>
      </c>
      <c r="G1760" s="17" t="str">
        <f>IF(F1760="","",F1760-'02_Eingaben'!$C$10)</f>
        <v/>
      </c>
      <c r="H1760" t="str">
        <f>IF(F1760="","",IF(F1760&lt;'02_Eingaben'!$C$18*'02_Eingaben'!$C$10,1,0))</f>
        <v/>
      </c>
      <c r="I1760" s="17" t="str">
        <f t="shared" si="27"/>
        <v/>
      </c>
      <c r="J1760" s="17" t="str">
        <f>IF(B1760="","",IF(B1759&lt;'02_Eingaben'!$C$36,0,J1759+I1759/'02_Eingaben'!$C$8))</f>
        <v/>
      </c>
    </row>
    <row r="1761" spans="1:10" x14ac:dyDescent="0.25">
      <c r="A1761" t="str">
        <f>IF('01_Rohdaten'!A1761="","",ROW()-1)</f>
        <v/>
      </c>
      <c r="B1761" s="17" t="str">
        <f>IF('01_Rohdaten'!A1761="","",'01_Rohdaten'!A1761)</f>
        <v/>
      </c>
      <c r="C1761" s="17" t="str">
        <f>IF(B1761="","",INDEX('01_Rohdaten'!B1761:D1761,'02_Eingaben'!$C$13))</f>
        <v/>
      </c>
      <c r="D1761" s="17" t="str">
        <f>IF(C1761="","",C1761*'02_Eingaben'!$C$15)</f>
        <v/>
      </c>
      <c r="E1761" s="17" t="str">
        <f>IF(D1761="","",D1761*'02_Eingaben'!$C$8)</f>
        <v/>
      </c>
      <c r="F1761" s="17" t="str">
        <f>IF(E1761="","",AVERAGE(INDEX($E$2:$E$3001,MAX(1,ROW()-1-'02_Eingaben'!$C$17)):INDEX($E$2:$E$3001,MIN('02_Eingaben'!$C$21,ROW()-1+'02_Eingaben'!$C$17))))</f>
        <v/>
      </c>
      <c r="G1761" s="17" t="str">
        <f>IF(F1761="","",F1761-'02_Eingaben'!$C$10)</f>
        <v/>
      </c>
      <c r="H1761" t="str">
        <f>IF(F1761="","",IF(F1761&lt;'02_Eingaben'!$C$18*'02_Eingaben'!$C$10,1,0))</f>
        <v/>
      </c>
      <c r="I1761" s="17" t="str">
        <f t="shared" si="27"/>
        <v/>
      </c>
      <c r="J1761" s="17" t="str">
        <f>IF(B1761="","",IF(B1760&lt;'02_Eingaben'!$C$36,0,J1760+I1760/'02_Eingaben'!$C$8))</f>
        <v/>
      </c>
    </row>
    <row r="1762" spans="1:10" x14ac:dyDescent="0.25">
      <c r="A1762" t="str">
        <f>IF('01_Rohdaten'!A1762="","",ROW()-1)</f>
        <v/>
      </c>
      <c r="B1762" s="17" t="str">
        <f>IF('01_Rohdaten'!A1762="","",'01_Rohdaten'!A1762)</f>
        <v/>
      </c>
      <c r="C1762" s="17" t="str">
        <f>IF(B1762="","",INDEX('01_Rohdaten'!B1762:D1762,'02_Eingaben'!$C$13))</f>
        <v/>
      </c>
      <c r="D1762" s="17" t="str">
        <f>IF(C1762="","",C1762*'02_Eingaben'!$C$15)</f>
        <v/>
      </c>
      <c r="E1762" s="17" t="str">
        <f>IF(D1762="","",D1762*'02_Eingaben'!$C$8)</f>
        <v/>
      </c>
      <c r="F1762" s="17" t="str">
        <f>IF(E1762="","",AVERAGE(INDEX($E$2:$E$3001,MAX(1,ROW()-1-'02_Eingaben'!$C$17)):INDEX($E$2:$E$3001,MIN('02_Eingaben'!$C$21,ROW()-1+'02_Eingaben'!$C$17))))</f>
        <v/>
      </c>
      <c r="G1762" s="17" t="str">
        <f>IF(F1762="","",F1762-'02_Eingaben'!$C$10)</f>
        <v/>
      </c>
      <c r="H1762" t="str">
        <f>IF(F1762="","",IF(F1762&lt;'02_Eingaben'!$C$18*'02_Eingaben'!$C$10,1,0))</f>
        <v/>
      </c>
      <c r="I1762" s="17" t="str">
        <f t="shared" si="27"/>
        <v/>
      </c>
      <c r="J1762" s="17" t="str">
        <f>IF(B1762="","",IF(B1761&lt;'02_Eingaben'!$C$36,0,J1761+I1761/'02_Eingaben'!$C$8))</f>
        <v/>
      </c>
    </row>
    <row r="1763" spans="1:10" x14ac:dyDescent="0.25">
      <c r="A1763" t="str">
        <f>IF('01_Rohdaten'!A1763="","",ROW()-1)</f>
        <v/>
      </c>
      <c r="B1763" s="17" t="str">
        <f>IF('01_Rohdaten'!A1763="","",'01_Rohdaten'!A1763)</f>
        <v/>
      </c>
      <c r="C1763" s="17" t="str">
        <f>IF(B1763="","",INDEX('01_Rohdaten'!B1763:D1763,'02_Eingaben'!$C$13))</f>
        <v/>
      </c>
      <c r="D1763" s="17" t="str">
        <f>IF(C1763="","",C1763*'02_Eingaben'!$C$15)</f>
        <v/>
      </c>
      <c r="E1763" s="17" t="str">
        <f>IF(D1763="","",D1763*'02_Eingaben'!$C$8)</f>
        <v/>
      </c>
      <c r="F1763" s="17" t="str">
        <f>IF(E1763="","",AVERAGE(INDEX($E$2:$E$3001,MAX(1,ROW()-1-'02_Eingaben'!$C$17)):INDEX($E$2:$E$3001,MIN('02_Eingaben'!$C$21,ROW()-1+'02_Eingaben'!$C$17))))</f>
        <v/>
      </c>
      <c r="G1763" s="17" t="str">
        <f>IF(F1763="","",F1763-'02_Eingaben'!$C$10)</f>
        <v/>
      </c>
      <c r="H1763" t="str">
        <f>IF(F1763="","",IF(F1763&lt;'02_Eingaben'!$C$18*'02_Eingaben'!$C$10,1,0))</f>
        <v/>
      </c>
      <c r="I1763" s="17" t="str">
        <f t="shared" si="27"/>
        <v/>
      </c>
      <c r="J1763" s="17" t="str">
        <f>IF(B1763="","",IF(B1762&lt;'02_Eingaben'!$C$36,0,J1762+I1762/'02_Eingaben'!$C$8))</f>
        <v/>
      </c>
    </row>
    <row r="1764" spans="1:10" x14ac:dyDescent="0.25">
      <c r="A1764" t="str">
        <f>IF('01_Rohdaten'!A1764="","",ROW()-1)</f>
        <v/>
      </c>
      <c r="B1764" s="17" t="str">
        <f>IF('01_Rohdaten'!A1764="","",'01_Rohdaten'!A1764)</f>
        <v/>
      </c>
      <c r="C1764" s="17" t="str">
        <f>IF(B1764="","",INDEX('01_Rohdaten'!B1764:D1764,'02_Eingaben'!$C$13))</f>
        <v/>
      </c>
      <c r="D1764" s="17" t="str">
        <f>IF(C1764="","",C1764*'02_Eingaben'!$C$15)</f>
        <v/>
      </c>
      <c r="E1764" s="17" t="str">
        <f>IF(D1764="","",D1764*'02_Eingaben'!$C$8)</f>
        <v/>
      </c>
      <c r="F1764" s="17" t="str">
        <f>IF(E1764="","",AVERAGE(INDEX($E$2:$E$3001,MAX(1,ROW()-1-'02_Eingaben'!$C$17)):INDEX($E$2:$E$3001,MIN('02_Eingaben'!$C$21,ROW()-1+'02_Eingaben'!$C$17))))</f>
        <v/>
      </c>
      <c r="G1764" s="17" t="str">
        <f>IF(F1764="","",F1764-'02_Eingaben'!$C$10)</f>
        <v/>
      </c>
      <c r="H1764" t="str">
        <f>IF(F1764="","",IF(F1764&lt;'02_Eingaben'!$C$18*'02_Eingaben'!$C$10,1,0))</f>
        <v/>
      </c>
      <c r="I1764" s="17" t="str">
        <f t="shared" si="27"/>
        <v/>
      </c>
      <c r="J1764" s="17" t="str">
        <f>IF(B1764="","",IF(B1763&lt;'02_Eingaben'!$C$36,0,J1763+I1763/'02_Eingaben'!$C$8))</f>
        <v/>
      </c>
    </row>
    <row r="1765" spans="1:10" x14ac:dyDescent="0.25">
      <c r="A1765" t="str">
        <f>IF('01_Rohdaten'!A1765="","",ROW()-1)</f>
        <v/>
      </c>
      <c r="B1765" s="17" t="str">
        <f>IF('01_Rohdaten'!A1765="","",'01_Rohdaten'!A1765)</f>
        <v/>
      </c>
      <c r="C1765" s="17" t="str">
        <f>IF(B1765="","",INDEX('01_Rohdaten'!B1765:D1765,'02_Eingaben'!$C$13))</f>
        <v/>
      </c>
      <c r="D1765" s="17" t="str">
        <f>IF(C1765="","",C1765*'02_Eingaben'!$C$15)</f>
        <v/>
      </c>
      <c r="E1765" s="17" t="str">
        <f>IF(D1765="","",D1765*'02_Eingaben'!$C$8)</f>
        <v/>
      </c>
      <c r="F1765" s="17" t="str">
        <f>IF(E1765="","",AVERAGE(INDEX($E$2:$E$3001,MAX(1,ROW()-1-'02_Eingaben'!$C$17)):INDEX($E$2:$E$3001,MIN('02_Eingaben'!$C$21,ROW()-1+'02_Eingaben'!$C$17))))</f>
        <v/>
      </c>
      <c r="G1765" s="17" t="str">
        <f>IF(F1765="","",F1765-'02_Eingaben'!$C$10)</f>
        <v/>
      </c>
      <c r="H1765" t="str">
        <f>IF(F1765="","",IF(F1765&lt;'02_Eingaben'!$C$18*'02_Eingaben'!$C$10,1,0))</f>
        <v/>
      </c>
      <c r="I1765" s="17" t="str">
        <f t="shared" si="27"/>
        <v/>
      </c>
      <c r="J1765" s="17" t="str">
        <f>IF(B1765="","",IF(B1764&lt;'02_Eingaben'!$C$36,0,J1764+I1764/'02_Eingaben'!$C$8))</f>
        <v/>
      </c>
    </row>
    <row r="1766" spans="1:10" x14ac:dyDescent="0.25">
      <c r="A1766" t="str">
        <f>IF('01_Rohdaten'!A1766="","",ROW()-1)</f>
        <v/>
      </c>
      <c r="B1766" s="17" t="str">
        <f>IF('01_Rohdaten'!A1766="","",'01_Rohdaten'!A1766)</f>
        <v/>
      </c>
      <c r="C1766" s="17" t="str">
        <f>IF(B1766="","",INDEX('01_Rohdaten'!B1766:D1766,'02_Eingaben'!$C$13))</f>
        <v/>
      </c>
      <c r="D1766" s="17" t="str">
        <f>IF(C1766="","",C1766*'02_Eingaben'!$C$15)</f>
        <v/>
      </c>
      <c r="E1766" s="17" t="str">
        <f>IF(D1766="","",D1766*'02_Eingaben'!$C$8)</f>
        <v/>
      </c>
      <c r="F1766" s="17" t="str">
        <f>IF(E1766="","",AVERAGE(INDEX($E$2:$E$3001,MAX(1,ROW()-1-'02_Eingaben'!$C$17)):INDEX($E$2:$E$3001,MIN('02_Eingaben'!$C$21,ROW()-1+'02_Eingaben'!$C$17))))</f>
        <v/>
      </c>
      <c r="G1766" s="17" t="str">
        <f>IF(F1766="","",F1766-'02_Eingaben'!$C$10)</f>
        <v/>
      </c>
      <c r="H1766" t="str">
        <f>IF(F1766="","",IF(F1766&lt;'02_Eingaben'!$C$18*'02_Eingaben'!$C$10,1,0))</f>
        <v/>
      </c>
      <c r="I1766" s="17" t="str">
        <f t="shared" si="27"/>
        <v/>
      </c>
      <c r="J1766" s="17" t="str">
        <f>IF(B1766="","",IF(B1765&lt;'02_Eingaben'!$C$36,0,J1765+I1765/'02_Eingaben'!$C$8))</f>
        <v/>
      </c>
    </row>
    <row r="1767" spans="1:10" x14ac:dyDescent="0.25">
      <c r="A1767" t="str">
        <f>IF('01_Rohdaten'!A1767="","",ROW()-1)</f>
        <v/>
      </c>
      <c r="B1767" s="17" t="str">
        <f>IF('01_Rohdaten'!A1767="","",'01_Rohdaten'!A1767)</f>
        <v/>
      </c>
      <c r="C1767" s="17" t="str">
        <f>IF(B1767="","",INDEX('01_Rohdaten'!B1767:D1767,'02_Eingaben'!$C$13))</f>
        <v/>
      </c>
      <c r="D1767" s="17" t="str">
        <f>IF(C1767="","",C1767*'02_Eingaben'!$C$15)</f>
        <v/>
      </c>
      <c r="E1767" s="17" t="str">
        <f>IF(D1767="","",D1767*'02_Eingaben'!$C$8)</f>
        <v/>
      </c>
      <c r="F1767" s="17" t="str">
        <f>IF(E1767="","",AVERAGE(INDEX($E$2:$E$3001,MAX(1,ROW()-1-'02_Eingaben'!$C$17)):INDEX($E$2:$E$3001,MIN('02_Eingaben'!$C$21,ROW()-1+'02_Eingaben'!$C$17))))</f>
        <v/>
      </c>
      <c r="G1767" s="17" t="str">
        <f>IF(F1767="","",F1767-'02_Eingaben'!$C$10)</f>
        <v/>
      </c>
      <c r="H1767" t="str">
        <f>IF(F1767="","",IF(F1767&lt;'02_Eingaben'!$C$18*'02_Eingaben'!$C$10,1,0))</f>
        <v/>
      </c>
      <c r="I1767" s="17" t="str">
        <f t="shared" si="27"/>
        <v/>
      </c>
      <c r="J1767" s="17" t="str">
        <f>IF(B1767="","",IF(B1766&lt;'02_Eingaben'!$C$36,0,J1766+I1766/'02_Eingaben'!$C$8))</f>
        <v/>
      </c>
    </row>
    <row r="1768" spans="1:10" x14ac:dyDescent="0.25">
      <c r="A1768" t="str">
        <f>IF('01_Rohdaten'!A1768="","",ROW()-1)</f>
        <v/>
      </c>
      <c r="B1768" s="17" t="str">
        <f>IF('01_Rohdaten'!A1768="","",'01_Rohdaten'!A1768)</f>
        <v/>
      </c>
      <c r="C1768" s="17" t="str">
        <f>IF(B1768="","",INDEX('01_Rohdaten'!B1768:D1768,'02_Eingaben'!$C$13))</f>
        <v/>
      </c>
      <c r="D1768" s="17" t="str">
        <f>IF(C1768="","",C1768*'02_Eingaben'!$C$15)</f>
        <v/>
      </c>
      <c r="E1768" s="17" t="str">
        <f>IF(D1768="","",D1768*'02_Eingaben'!$C$8)</f>
        <v/>
      </c>
      <c r="F1768" s="17" t="str">
        <f>IF(E1768="","",AVERAGE(INDEX($E$2:$E$3001,MAX(1,ROW()-1-'02_Eingaben'!$C$17)):INDEX($E$2:$E$3001,MIN('02_Eingaben'!$C$21,ROW()-1+'02_Eingaben'!$C$17))))</f>
        <v/>
      </c>
      <c r="G1768" s="17" t="str">
        <f>IF(F1768="","",F1768-'02_Eingaben'!$C$10)</f>
        <v/>
      </c>
      <c r="H1768" t="str">
        <f>IF(F1768="","",IF(F1768&lt;'02_Eingaben'!$C$18*'02_Eingaben'!$C$10,1,0))</f>
        <v/>
      </c>
      <c r="I1768" s="17" t="str">
        <f t="shared" si="27"/>
        <v/>
      </c>
      <c r="J1768" s="17" t="str">
        <f>IF(B1768="","",IF(B1767&lt;'02_Eingaben'!$C$36,0,J1767+I1767/'02_Eingaben'!$C$8))</f>
        <v/>
      </c>
    </row>
    <row r="1769" spans="1:10" x14ac:dyDescent="0.25">
      <c r="A1769" t="str">
        <f>IF('01_Rohdaten'!A1769="","",ROW()-1)</f>
        <v/>
      </c>
      <c r="B1769" s="17" t="str">
        <f>IF('01_Rohdaten'!A1769="","",'01_Rohdaten'!A1769)</f>
        <v/>
      </c>
      <c r="C1769" s="17" t="str">
        <f>IF(B1769="","",INDEX('01_Rohdaten'!B1769:D1769,'02_Eingaben'!$C$13))</f>
        <v/>
      </c>
      <c r="D1769" s="17" t="str">
        <f>IF(C1769="","",C1769*'02_Eingaben'!$C$15)</f>
        <v/>
      </c>
      <c r="E1769" s="17" t="str">
        <f>IF(D1769="","",D1769*'02_Eingaben'!$C$8)</f>
        <v/>
      </c>
      <c r="F1769" s="17" t="str">
        <f>IF(E1769="","",AVERAGE(INDEX($E$2:$E$3001,MAX(1,ROW()-1-'02_Eingaben'!$C$17)):INDEX($E$2:$E$3001,MIN('02_Eingaben'!$C$21,ROW()-1+'02_Eingaben'!$C$17))))</f>
        <v/>
      </c>
      <c r="G1769" s="17" t="str">
        <f>IF(F1769="","",F1769-'02_Eingaben'!$C$10)</f>
        <v/>
      </c>
      <c r="H1769" t="str">
        <f>IF(F1769="","",IF(F1769&lt;'02_Eingaben'!$C$18*'02_Eingaben'!$C$10,1,0))</f>
        <v/>
      </c>
      <c r="I1769" s="17" t="str">
        <f t="shared" si="27"/>
        <v/>
      </c>
      <c r="J1769" s="17" t="str">
        <f>IF(B1769="","",IF(B1768&lt;'02_Eingaben'!$C$36,0,J1768+I1768/'02_Eingaben'!$C$8))</f>
        <v/>
      </c>
    </row>
    <row r="1770" spans="1:10" x14ac:dyDescent="0.25">
      <c r="A1770" t="str">
        <f>IF('01_Rohdaten'!A1770="","",ROW()-1)</f>
        <v/>
      </c>
      <c r="B1770" s="17" t="str">
        <f>IF('01_Rohdaten'!A1770="","",'01_Rohdaten'!A1770)</f>
        <v/>
      </c>
      <c r="C1770" s="17" t="str">
        <f>IF(B1770="","",INDEX('01_Rohdaten'!B1770:D1770,'02_Eingaben'!$C$13))</f>
        <v/>
      </c>
      <c r="D1770" s="17" t="str">
        <f>IF(C1770="","",C1770*'02_Eingaben'!$C$15)</f>
        <v/>
      </c>
      <c r="E1770" s="17" t="str">
        <f>IF(D1770="","",D1770*'02_Eingaben'!$C$8)</f>
        <v/>
      </c>
      <c r="F1770" s="17" t="str">
        <f>IF(E1770="","",AVERAGE(INDEX($E$2:$E$3001,MAX(1,ROW()-1-'02_Eingaben'!$C$17)):INDEX($E$2:$E$3001,MIN('02_Eingaben'!$C$21,ROW()-1+'02_Eingaben'!$C$17))))</f>
        <v/>
      </c>
      <c r="G1770" s="17" t="str">
        <f>IF(F1770="","",F1770-'02_Eingaben'!$C$10)</f>
        <v/>
      </c>
      <c r="H1770" t="str">
        <f>IF(F1770="","",IF(F1770&lt;'02_Eingaben'!$C$18*'02_Eingaben'!$C$10,1,0))</f>
        <v/>
      </c>
      <c r="I1770" s="17" t="str">
        <f t="shared" si="27"/>
        <v/>
      </c>
      <c r="J1770" s="17" t="str">
        <f>IF(B1770="","",IF(B1769&lt;'02_Eingaben'!$C$36,0,J1769+I1769/'02_Eingaben'!$C$8))</f>
        <v/>
      </c>
    </row>
    <row r="1771" spans="1:10" x14ac:dyDescent="0.25">
      <c r="A1771" t="str">
        <f>IF('01_Rohdaten'!A1771="","",ROW()-1)</f>
        <v/>
      </c>
      <c r="B1771" s="17" t="str">
        <f>IF('01_Rohdaten'!A1771="","",'01_Rohdaten'!A1771)</f>
        <v/>
      </c>
      <c r="C1771" s="17" t="str">
        <f>IF(B1771="","",INDEX('01_Rohdaten'!B1771:D1771,'02_Eingaben'!$C$13))</f>
        <v/>
      </c>
      <c r="D1771" s="17" t="str">
        <f>IF(C1771="","",C1771*'02_Eingaben'!$C$15)</f>
        <v/>
      </c>
      <c r="E1771" s="17" t="str">
        <f>IF(D1771="","",D1771*'02_Eingaben'!$C$8)</f>
        <v/>
      </c>
      <c r="F1771" s="17" t="str">
        <f>IF(E1771="","",AVERAGE(INDEX($E$2:$E$3001,MAX(1,ROW()-1-'02_Eingaben'!$C$17)):INDEX($E$2:$E$3001,MIN('02_Eingaben'!$C$21,ROW()-1+'02_Eingaben'!$C$17))))</f>
        <v/>
      </c>
      <c r="G1771" s="17" t="str">
        <f>IF(F1771="","",F1771-'02_Eingaben'!$C$10)</f>
        <v/>
      </c>
      <c r="H1771" t="str">
        <f>IF(F1771="","",IF(F1771&lt;'02_Eingaben'!$C$18*'02_Eingaben'!$C$10,1,0))</f>
        <v/>
      </c>
      <c r="I1771" s="17" t="str">
        <f t="shared" si="27"/>
        <v/>
      </c>
      <c r="J1771" s="17" t="str">
        <f>IF(B1771="","",IF(B1770&lt;'02_Eingaben'!$C$36,0,J1770+I1770/'02_Eingaben'!$C$8))</f>
        <v/>
      </c>
    </row>
    <row r="1772" spans="1:10" x14ac:dyDescent="0.25">
      <c r="A1772" t="str">
        <f>IF('01_Rohdaten'!A1772="","",ROW()-1)</f>
        <v/>
      </c>
      <c r="B1772" s="17" t="str">
        <f>IF('01_Rohdaten'!A1772="","",'01_Rohdaten'!A1772)</f>
        <v/>
      </c>
      <c r="C1772" s="17" t="str">
        <f>IF(B1772="","",INDEX('01_Rohdaten'!B1772:D1772,'02_Eingaben'!$C$13))</f>
        <v/>
      </c>
      <c r="D1772" s="17" t="str">
        <f>IF(C1772="","",C1772*'02_Eingaben'!$C$15)</f>
        <v/>
      </c>
      <c r="E1772" s="17" t="str">
        <f>IF(D1772="","",D1772*'02_Eingaben'!$C$8)</f>
        <v/>
      </c>
      <c r="F1772" s="17" t="str">
        <f>IF(E1772="","",AVERAGE(INDEX($E$2:$E$3001,MAX(1,ROW()-1-'02_Eingaben'!$C$17)):INDEX($E$2:$E$3001,MIN('02_Eingaben'!$C$21,ROW()-1+'02_Eingaben'!$C$17))))</f>
        <v/>
      </c>
      <c r="G1772" s="17" t="str">
        <f>IF(F1772="","",F1772-'02_Eingaben'!$C$10)</f>
        <v/>
      </c>
      <c r="H1772" t="str">
        <f>IF(F1772="","",IF(F1772&lt;'02_Eingaben'!$C$18*'02_Eingaben'!$C$10,1,0))</f>
        <v/>
      </c>
      <c r="I1772" s="17" t="str">
        <f t="shared" si="27"/>
        <v/>
      </c>
      <c r="J1772" s="17" t="str">
        <f>IF(B1772="","",IF(B1771&lt;'02_Eingaben'!$C$36,0,J1771+I1771/'02_Eingaben'!$C$8))</f>
        <v/>
      </c>
    </row>
    <row r="1773" spans="1:10" x14ac:dyDescent="0.25">
      <c r="A1773" t="str">
        <f>IF('01_Rohdaten'!A1773="","",ROW()-1)</f>
        <v/>
      </c>
      <c r="B1773" s="17" t="str">
        <f>IF('01_Rohdaten'!A1773="","",'01_Rohdaten'!A1773)</f>
        <v/>
      </c>
      <c r="C1773" s="17" t="str">
        <f>IF(B1773="","",INDEX('01_Rohdaten'!B1773:D1773,'02_Eingaben'!$C$13))</f>
        <v/>
      </c>
      <c r="D1773" s="17" t="str">
        <f>IF(C1773="","",C1773*'02_Eingaben'!$C$15)</f>
        <v/>
      </c>
      <c r="E1773" s="17" t="str">
        <f>IF(D1773="","",D1773*'02_Eingaben'!$C$8)</f>
        <v/>
      </c>
      <c r="F1773" s="17" t="str">
        <f>IF(E1773="","",AVERAGE(INDEX($E$2:$E$3001,MAX(1,ROW()-1-'02_Eingaben'!$C$17)):INDEX($E$2:$E$3001,MIN('02_Eingaben'!$C$21,ROW()-1+'02_Eingaben'!$C$17))))</f>
        <v/>
      </c>
      <c r="G1773" s="17" t="str">
        <f>IF(F1773="","",F1773-'02_Eingaben'!$C$10)</f>
        <v/>
      </c>
      <c r="H1773" t="str">
        <f>IF(F1773="","",IF(F1773&lt;'02_Eingaben'!$C$18*'02_Eingaben'!$C$10,1,0))</f>
        <v/>
      </c>
      <c r="I1773" s="17" t="str">
        <f t="shared" si="27"/>
        <v/>
      </c>
      <c r="J1773" s="17" t="str">
        <f>IF(B1773="","",IF(B1772&lt;'02_Eingaben'!$C$36,0,J1772+I1772/'02_Eingaben'!$C$8))</f>
        <v/>
      </c>
    </row>
    <row r="1774" spans="1:10" x14ac:dyDescent="0.25">
      <c r="A1774" t="str">
        <f>IF('01_Rohdaten'!A1774="","",ROW()-1)</f>
        <v/>
      </c>
      <c r="B1774" s="17" t="str">
        <f>IF('01_Rohdaten'!A1774="","",'01_Rohdaten'!A1774)</f>
        <v/>
      </c>
      <c r="C1774" s="17" t="str">
        <f>IF(B1774="","",INDEX('01_Rohdaten'!B1774:D1774,'02_Eingaben'!$C$13))</f>
        <v/>
      </c>
      <c r="D1774" s="17" t="str">
        <f>IF(C1774="","",C1774*'02_Eingaben'!$C$15)</f>
        <v/>
      </c>
      <c r="E1774" s="17" t="str">
        <f>IF(D1774="","",D1774*'02_Eingaben'!$C$8)</f>
        <v/>
      </c>
      <c r="F1774" s="17" t="str">
        <f>IF(E1774="","",AVERAGE(INDEX($E$2:$E$3001,MAX(1,ROW()-1-'02_Eingaben'!$C$17)):INDEX($E$2:$E$3001,MIN('02_Eingaben'!$C$21,ROW()-1+'02_Eingaben'!$C$17))))</f>
        <v/>
      </c>
      <c r="G1774" s="17" t="str">
        <f>IF(F1774="","",F1774-'02_Eingaben'!$C$10)</f>
        <v/>
      </c>
      <c r="H1774" t="str">
        <f>IF(F1774="","",IF(F1774&lt;'02_Eingaben'!$C$18*'02_Eingaben'!$C$10,1,0))</f>
        <v/>
      </c>
      <c r="I1774" s="17" t="str">
        <f t="shared" si="27"/>
        <v/>
      </c>
      <c r="J1774" s="17" t="str">
        <f>IF(B1774="","",IF(B1773&lt;'02_Eingaben'!$C$36,0,J1773+I1773/'02_Eingaben'!$C$8))</f>
        <v/>
      </c>
    </row>
    <row r="1775" spans="1:10" x14ac:dyDescent="0.25">
      <c r="A1775" t="str">
        <f>IF('01_Rohdaten'!A1775="","",ROW()-1)</f>
        <v/>
      </c>
      <c r="B1775" s="17" t="str">
        <f>IF('01_Rohdaten'!A1775="","",'01_Rohdaten'!A1775)</f>
        <v/>
      </c>
      <c r="C1775" s="17" t="str">
        <f>IF(B1775="","",INDEX('01_Rohdaten'!B1775:D1775,'02_Eingaben'!$C$13))</f>
        <v/>
      </c>
      <c r="D1775" s="17" t="str">
        <f>IF(C1775="","",C1775*'02_Eingaben'!$C$15)</f>
        <v/>
      </c>
      <c r="E1775" s="17" t="str">
        <f>IF(D1775="","",D1775*'02_Eingaben'!$C$8)</f>
        <v/>
      </c>
      <c r="F1775" s="17" t="str">
        <f>IF(E1775="","",AVERAGE(INDEX($E$2:$E$3001,MAX(1,ROW()-1-'02_Eingaben'!$C$17)):INDEX($E$2:$E$3001,MIN('02_Eingaben'!$C$21,ROW()-1+'02_Eingaben'!$C$17))))</f>
        <v/>
      </c>
      <c r="G1775" s="17" t="str">
        <f>IF(F1775="","",F1775-'02_Eingaben'!$C$10)</f>
        <v/>
      </c>
      <c r="H1775" t="str">
        <f>IF(F1775="","",IF(F1775&lt;'02_Eingaben'!$C$18*'02_Eingaben'!$C$10,1,0))</f>
        <v/>
      </c>
      <c r="I1775" s="17" t="str">
        <f t="shared" si="27"/>
        <v/>
      </c>
      <c r="J1775" s="17" t="str">
        <f>IF(B1775="","",IF(B1774&lt;'02_Eingaben'!$C$36,0,J1774+I1774/'02_Eingaben'!$C$8))</f>
        <v/>
      </c>
    </row>
    <row r="1776" spans="1:10" x14ac:dyDescent="0.25">
      <c r="A1776" t="str">
        <f>IF('01_Rohdaten'!A1776="","",ROW()-1)</f>
        <v/>
      </c>
      <c r="B1776" s="17" t="str">
        <f>IF('01_Rohdaten'!A1776="","",'01_Rohdaten'!A1776)</f>
        <v/>
      </c>
      <c r="C1776" s="17" t="str">
        <f>IF(B1776="","",INDEX('01_Rohdaten'!B1776:D1776,'02_Eingaben'!$C$13))</f>
        <v/>
      </c>
      <c r="D1776" s="17" t="str">
        <f>IF(C1776="","",C1776*'02_Eingaben'!$C$15)</f>
        <v/>
      </c>
      <c r="E1776" s="17" t="str">
        <f>IF(D1776="","",D1776*'02_Eingaben'!$C$8)</f>
        <v/>
      </c>
      <c r="F1776" s="17" t="str">
        <f>IF(E1776="","",AVERAGE(INDEX($E$2:$E$3001,MAX(1,ROW()-1-'02_Eingaben'!$C$17)):INDEX($E$2:$E$3001,MIN('02_Eingaben'!$C$21,ROW()-1+'02_Eingaben'!$C$17))))</f>
        <v/>
      </c>
      <c r="G1776" s="17" t="str">
        <f>IF(F1776="","",F1776-'02_Eingaben'!$C$10)</f>
        <v/>
      </c>
      <c r="H1776" t="str">
        <f>IF(F1776="","",IF(F1776&lt;'02_Eingaben'!$C$18*'02_Eingaben'!$C$10,1,0))</f>
        <v/>
      </c>
      <c r="I1776" s="17" t="str">
        <f t="shared" si="27"/>
        <v/>
      </c>
      <c r="J1776" s="17" t="str">
        <f>IF(B1776="","",IF(B1775&lt;'02_Eingaben'!$C$36,0,J1775+I1775/'02_Eingaben'!$C$8))</f>
        <v/>
      </c>
    </row>
    <row r="1777" spans="1:10" x14ac:dyDescent="0.25">
      <c r="A1777" t="str">
        <f>IF('01_Rohdaten'!A1777="","",ROW()-1)</f>
        <v/>
      </c>
      <c r="B1777" s="17" t="str">
        <f>IF('01_Rohdaten'!A1777="","",'01_Rohdaten'!A1777)</f>
        <v/>
      </c>
      <c r="C1777" s="17" t="str">
        <f>IF(B1777="","",INDEX('01_Rohdaten'!B1777:D1777,'02_Eingaben'!$C$13))</f>
        <v/>
      </c>
      <c r="D1777" s="17" t="str">
        <f>IF(C1777="","",C1777*'02_Eingaben'!$C$15)</f>
        <v/>
      </c>
      <c r="E1777" s="17" t="str">
        <f>IF(D1777="","",D1777*'02_Eingaben'!$C$8)</f>
        <v/>
      </c>
      <c r="F1777" s="17" t="str">
        <f>IF(E1777="","",AVERAGE(INDEX($E$2:$E$3001,MAX(1,ROW()-1-'02_Eingaben'!$C$17)):INDEX($E$2:$E$3001,MIN('02_Eingaben'!$C$21,ROW()-1+'02_Eingaben'!$C$17))))</f>
        <v/>
      </c>
      <c r="G1777" s="17" t="str">
        <f>IF(F1777="","",F1777-'02_Eingaben'!$C$10)</f>
        <v/>
      </c>
      <c r="H1777" t="str">
        <f>IF(F1777="","",IF(F1777&lt;'02_Eingaben'!$C$18*'02_Eingaben'!$C$10,1,0))</f>
        <v/>
      </c>
      <c r="I1777" s="17" t="str">
        <f t="shared" si="27"/>
        <v/>
      </c>
      <c r="J1777" s="17" t="str">
        <f>IF(B1777="","",IF(B1776&lt;'02_Eingaben'!$C$36,0,J1776+I1776/'02_Eingaben'!$C$8))</f>
        <v/>
      </c>
    </row>
    <row r="1778" spans="1:10" x14ac:dyDescent="0.25">
      <c r="A1778" t="str">
        <f>IF('01_Rohdaten'!A1778="","",ROW()-1)</f>
        <v/>
      </c>
      <c r="B1778" s="17" t="str">
        <f>IF('01_Rohdaten'!A1778="","",'01_Rohdaten'!A1778)</f>
        <v/>
      </c>
      <c r="C1778" s="17" t="str">
        <f>IF(B1778="","",INDEX('01_Rohdaten'!B1778:D1778,'02_Eingaben'!$C$13))</f>
        <v/>
      </c>
      <c r="D1778" s="17" t="str">
        <f>IF(C1778="","",C1778*'02_Eingaben'!$C$15)</f>
        <v/>
      </c>
      <c r="E1778" s="17" t="str">
        <f>IF(D1778="","",D1778*'02_Eingaben'!$C$8)</f>
        <v/>
      </c>
      <c r="F1778" s="17" t="str">
        <f>IF(E1778="","",AVERAGE(INDEX($E$2:$E$3001,MAX(1,ROW()-1-'02_Eingaben'!$C$17)):INDEX($E$2:$E$3001,MIN('02_Eingaben'!$C$21,ROW()-1+'02_Eingaben'!$C$17))))</f>
        <v/>
      </c>
      <c r="G1778" s="17" t="str">
        <f>IF(F1778="","",F1778-'02_Eingaben'!$C$10)</f>
        <v/>
      </c>
      <c r="H1778" t="str">
        <f>IF(F1778="","",IF(F1778&lt;'02_Eingaben'!$C$18*'02_Eingaben'!$C$10,1,0))</f>
        <v/>
      </c>
      <c r="I1778" s="17" t="str">
        <f t="shared" si="27"/>
        <v/>
      </c>
      <c r="J1778" s="17" t="str">
        <f>IF(B1778="","",IF(B1777&lt;'02_Eingaben'!$C$36,0,J1777+I1777/'02_Eingaben'!$C$8))</f>
        <v/>
      </c>
    </row>
    <row r="1779" spans="1:10" x14ac:dyDescent="0.25">
      <c r="A1779" t="str">
        <f>IF('01_Rohdaten'!A1779="","",ROW()-1)</f>
        <v/>
      </c>
      <c r="B1779" s="17" t="str">
        <f>IF('01_Rohdaten'!A1779="","",'01_Rohdaten'!A1779)</f>
        <v/>
      </c>
      <c r="C1779" s="17" t="str">
        <f>IF(B1779="","",INDEX('01_Rohdaten'!B1779:D1779,'02_Eingaben'!$C$13))</f>
        <v/>
      </c>
      <c r="D1779" s="17" t="str">
        <f>IF(C1779="","",C1779*'02_Eingaben'!$C$15)</f>
        <v/>
      </c>
      <c r="E1779" s="17" t="str">
        <f>IF(D1779="","",D1779*'02_Eingaben'!$C$8)</f>
        <v/>
      </c>
      <c r="F1779" s="17" t="str">
        <f>IF(E1779="","",AVERAGE(INDEX($E$2:$E$3001,MAX(1,ROW()-1-'02_Eingaben'!$C$17)):INDEX($E$2:$E$3001,MIN('02_Eingaben'!$C$21,ROW()-1+'02_Eingaben'!$C$17))))</f>
        <v/>
      </c>
      <c r="G1779" s="17" t="str">
        <f>IF(F1779="","",F1779-'02_Eingaben'!$C$10)</f>
        <v/>
      </c>
      <c r="H1779" t="str">
        <f>IF(F1779="","",IF(F1779&lt;'02_Eingaben'!$C$18*'02_Eingaben'!$C$10,1,0))</f>
        <v/>
      </c>
      <c r="I1779" s="17" t="str">
        <f t="shared" si="27"/>
        <v/>
      </c>
      <c r="J1779" s="17" t="str">
        <f>IF(B1779="","",IF(B1778&lt;'02_Eingaben'!$C$36,0,J1778+I1778/'02_Eingaben'!$C$8))</f>
        <v/>
      </c>
    </row>
    <row r="1780" spans="1:10" x14ac:dyDescent="0.25">
      <c r="A1780" t="str">
        <f>IF('01_Rohdaten'!A1780="","",ROW()-1)</f>
        <v/>
      </c>
      <c r="B1780" s="17" t="str">
        <f>IF('01_Rohdaten'!A1780="","",'01_Rohdaten'!A1780)</f>
        <v/>
      </c>
      <c r="C1780" s="17" t="str">
        <f>IF(B1780="","",INDEX('01_Rohdaten'!B1780:D1780,'02_Eingaben'!$C$13))</f>
        <v/>
      </c>
      <c r="D1780" s="17" t="str">
        <f>IF(C1780="","",C1780*'02_Eingaben'!$C$15)</f>
        <v/>
      </c>
      <c r="E1780" s="17" t="str">
        <f>IF(D1780="","",D1780*'02_Eingaben'!$C$8)</f>
        <v/>
      </c>
      <c r="F1780" s="17" t="str">
        <f>IF(E1780="","",AVERAGE(INDEX($E$2:$E$3001,MAX(1,ROW()-1-'02_Eingaben'!$C$17)):INDEX($E$2:$E$3001,MIN('02_Eingaben'!$C$21,ROW()-1+'02_Eingaben'!$C$17))))</f>
        <v/>
      </c>
      <c r="G1780" s="17" t="str">
        <f>IF(F1780="","",F1780-'02_Eingaben'!$C$10)</f>
        <v/>
      </c>
      <c r="H1780" t="str">
        <f>IF(F1780="","",IF(F1780&lt;'02_Eingaben'!$C$18*'02_Eingaben'!$C$10,1,0))</f>
        <v/>
      </c>
      <c r="I1780" s="17" t="str">
        <f t="shared" si="27"/>
        <v/>
      </c>
      <c r="J1780" s="17" t="str">
        <f>IF(B1780="","",IF(B1779&lt;'02_Eingaben'!$C$36,0,J1779+I1779/'02_Eingaben'!$C$8))</f>
        <v/>
      </c>
    </row>
    <row r="1781" spans="1:10" x14ac:dyDescent="0.25">
      <c r="A1781" t="str">
        <f>IF('01_Rohdaten'!A1781="","",ROW()-1)</f>
        <v/>
      </c>
      <c r="B1781" s="17" t="str">
        <f>IF('01_Rohdaten'!A1781="","",'01_Rohdaten'!A1781)</f>
        <v/>
      </c>
      <c r="C1781" s="17" t="str">
        <f>IF(B1781="","",INDEX('01_Rohdaten'!B1781:D1781,'02_Eingaben'!$C$13))</f>
        <v/>
      </c>
      <c r="D1781" s="17" t="str">
        <f>IF(C1781="","",C1781*'02_Eingaben'!$C$15)</f>
        <v/>
      </c>
      <c r="E1781" s="17" t="str">
        <f>IF(D1781="","",D1781*'02_Eingaben'!$C$8)</f>
        <v/>
      </c>
      <c r="F1781" s="17" t="str">
        <f>IF(E1781="","",AVERAGE(INDEX($E$2:$E$3001,MAX(1,ROW()-1-'02_Eingaben'!$C$17)):INDEX($E$2:$E$3001,MIN('02_Eingaben'!$C$21,ROW()-1+'02_Eingaben'!$C$17))))</f>
        <v/>
      </c>
      <c r="G1781" s="17" t="str">
        <f>IF(F1781="","",F1781-'02_Eingaben'!$C$10)</f>
        <v/>
      </c>
      <c r="H1781" t="str">
        <f>IF(F1781="","",IF(F1781&lt;'02_Eingaben'!$C$18*'02_Eingaben'!$C$10,1,0))</f>
        <v/>
      </c>
      <c r="I1781" s="17" t="str">
        <f t="shared" si="27"/>
        <v/>
      </c>
      <c r="J1781" s="17" t="str">
        <f>IF(B1781="","",IF(B1780&lt;'02_Eingaben'!$C$36,0,J1780+I1780/'02_Eingaben'!$C$8))</f>
        <v/>
      </c>
    </row>
    <row r="1782" spans="1:10" x14ac:dyDescent="0.25">
      <c r="A1782" t="str">
        <f>IF('01_Rohdaten'!A1782="","",ROW()-1)</f>
        <v/>
      </c>
      <c r="B1782" s="17" t="str">
        <f>IF('01_Rohdaten'!A1782="","",'01_Rohdaten'!A1782)</f>
        <v/>
      </c>
      <c r="C1782" s="17" t="str">
        <f>IF(B1782="","",INDEX('01_Rohdaten'!B1782:D1782,'02_Eingaben'!$C$13))</f>
        <v/>
      </c>
      <c r="D1782" s="17" t="str">
        <f>IF(C1782="","",C1782*'02_Eingaben'!$C$15)</f>
        <v/>
      </c>
      <c r="E1782" s="17" t="str">
        <f>IF(D1782="","",D1782*'02_Eingaben'!$C$8)</f>
        <v/>
      </c>
      <c r="F1782" s="17" t="str">
        <f>IF(E1782="","",AVERAGE(INDEX($E$2:$E$3001,MAX(1,ROW()-1-'02_Eingaben'!$C$17)):INDEX($E$2:$E$3001,MIN('02_Eingaben'!$C$21,ROW()-1+'02_Eingaben'!$C$17))))</f>
        <v/>
      </c>
      <c r="G1782" s="17" t="str">
        <f>IF(F1782="","",F1782-'02_Eingaben'!$C$10)</f>
        <v/>
      </c>
      <c r="H1782" t="str">
        <f>IF(F1782="","",IF(F1782&lt;'02_Eingaben'!$C$18*'02_Eingaben'!$C$10,1,0))</f>
        <v/>
      </c>
      <c r="I1782" s="17" t="str">
        <f t="shared" si="27"/>
        <v/>
      </c>
      <c r="J1782" s="17" t="str">
        <f>IF(B1782="","",IF(B1781&lt;'02_Eingaben'!$C$36,0,J1781+I1781/'02_Eingaben'!$C$8))</f>
        <v/>
      </c>
    </row>
    <row r="1783" spans="1:10" x14ac:dyDescent="0.25">
      <c r="A1783" t="str">
        <f>IF('01_Rohdaten'!A1783="","",ROW()-1)</f>
        <v/>
      </c>
      <c r="B1783" s="17" t="str">
        <f>IF('01_Rohdaten'!A1783="","",'01_Rohdaten'!A1783)</f>
        <v/>
      </c>
      <c r="C1783" s="17" t="str">
        <f>IF(B1783="","",INDEX('01_Rohdaten'!B1783:D1783,'02_Eingaben'!$C$13))</f>
        <v/>
      </c>
      <c r="D1783" s="17" t="str">
        <f>IF(C1783="","",C1783*'02_Eingaben'!$C$15)</f>
        <v/>
      </c>
      <c r="E1783" s="17" t="str">
        <f>IF(D1783="","",D1783*'02_Eingaben'!$C$8)</f>
        <v/>
      </c>
      <c r="F1783" s="17" t="str">
        <f>IF(E1783="","",AVERAGE(INDEX($E$2:$E$3001,MAX(1,ROW()-1-'02_Eingaben'!$C$17)):INDEX($E$2:$E$3001,MIN('02_Eingaben'!$C$21,ROW()-1+'02_Eingaben'!$C$17))))</f>
        <v/>
      </c>
      <c r="G1783" s="17" t="str">
        <f>IF(F1783="","",F1783-'02_Eingaben'!$C$10)</f>
        <v/>
      </c>
      <c r="H1783" t="str">
        <f>IF(F1783="","",IF(F1783&lt;'02_Eingaben'!$C$18*'02_Eingaben'!$C$10,1,0))</f>
        <v/>
      </c>
      <c r="I1783" s="17" t="str">
        <f t="shared" si="27"/>
        <v/>
      </c>
      <c r="J1783" s="17" t="str">
        <f>IF(B1783="","",IF(B1782&lt;'02_Eingaben'!$C$36,0,J1782+I1782/'02_Eingaben'!$C$8))</f>
        <v/>
      </c>
    </row>
    <row r="1784" spans="1:10" x14ac:dyDescent="0.25">
      <c r="A1784" t="str">
        <f>IF('01_Rohdaten'!A1784="","",ROW()-1)</f>
        <v/>
      </c>
      <c r="B1784" s="17" t="str">
        <f>IF('01_Rohdaten'!A1784="","",'01_Rohdaten'!A1784)</f>
        <v/>
      </c>
      <c r="C1784" s="17" t="str">
        <f>IF(B1784="","",INDEX('01_Rohdaten'!B1784:D1784,'02_Eingaben'!$C$13))</f>
        <v/>
      </c>
      <c r="D1784" s="17" t="str">
        <f>IF(C1784="","",C1784*'02_Eingaben'!$C$15)</f>
        <v/>
      </c>
      <c r="E1784" s="17" t="str">
        <f>IF(D1784="","",D1784*'02_Eingaben'!$C$8)</f>
        <v/>
      </c>
      <c r="F1784" s="17" t="str">
        <f>IF(E1784="","",AVERAGE(INDEX($E$2:$E$3001,MAX(1,ROW()-1-'02_Eingaben'!$C$17)):INDEX($E$2:$E$3001,MIN('02_Eingaben'!$C$21,ROW()-1+'02_Eingaben'!$C$17))))</f>
        <v/>
      </c>
      <c r="G1784" s="17" t="str">
        <f>IF(F1784="","",F1784-'02_Eingaben'!$C$10)</f>
        <v/>
      </c>
      <c r="H1784" t="str">
        <f>IF(F1784="","",IF(F1784&lt;'02_Eingaben'!$C$18*'02_Eingaben'!$C$10,1,0))</f>
        <v/>
      </c>
      <c r="I1784" s="17" t="str">
        <f t="shared" si="27"/>
        <v/>
      </c>
      <c r="J1784" s="17" t="str">
        <f>IF(B1784="","",IF(B1783&lt;'02_Eingaben'!$C$36,0,J1783+I1783/'02_Eingaben'!$C$8))</f>
        <v/>
      </c>
    </row>
    <row r="1785" spans="1:10" x14ac:dyDescent="0.25">
      <c r="A1785" t="str">
        <f>IF('01_Rohdaten'!A1785="","",ROW()-1)</f>
        <v/>
      </c>
      <c r="B1785" s="17" t="str">
        <f>IF('01_Rohdaten'!A1785="","",'01_Rohdaten'!A1785)</f>
        <v/>
      </c>
      <c r="C1785" s="17" t="str">
        <f>IF(B1785="","",INDEX('01_Rohdaten'!B1785:D1785,'02_Eingaben'!$C$13))</f>
        <v/>
      </c>
      <c r="D1785" s="17" t="str">
        <f>IF(C1785="","",C1785*'02_Eingaben'!$C$15)</f>
        <v/>
      </c>
      <c r="E1785" s="17" t="str">
        <f>IF(D1785="","",D1785*'02_Eingaben'!$C$8)</f>
        <v/>
      </c>
      <c r="F1785" s="17" t="str">
        <f>IF(E1785="","",AVERAGE(INDEX($E$2:$E$3001,MAX(1,ROW()-1-'02_Eingaben'!$C$17)):INDEX($E$2:$E$3001,MIN('02_Eingaben'!$C$21,ROW()-1+'02_Eingaben'!$C$17))))</f>
        <v/>
      </c>
      <c r="G1785" s="17" t="str">
        <f>IF(F1785="","",F1785-'02_Eingaben'!$C$10)</f>
        <v/>
      </c>
      <c r="H1785" t="str">
        <f>IF(F1785="","",IF(F1785&lt;'02_Eingaben'!$C$18*'02_Eingaben'!$C$10,1,0))</f>
        <v/>
      </c>
      <c r="I1785" s="17" t="str">
        <f t="shared" si="27"/>
        <v/>
      </c>
      <c r="J1785" s="17" t="str">
        <f>IF(B1785="","",IF(B1784&lt;'02_Eingaben'!$C$36,0,J1784+I1784/'02_Eingaben'!$C$8))</f>
        <v/>
      </c>
    </row>
    <row r="1786" spans="1:10" x14ac:dyDescent="0.25">
      <c r="A1786" t="str">
        <f>IF('01_Rohdaten'!A1786="","",ROW()-1)</f>
        <v/>
      </c>
      <c r="B1786" s="17" t="str">
        <f>IF('01_Rohdaten'!A1786="","",'01_Rohdaten'!A1786)</f>
        <v/>
      </c>
      <c r="C1786" s="17" t="str">
        <f>IF(B1786="","",INDEX('01_Rohdaten'!B1786:D1786,'02_Eingaben'!$C$13))</f>
        <v/>
      </c>
      <c r="D1786" s="17" t="str">
        <f>IF(C1786="","",C1786*'02_Eingaben'!$C$15)</f>
        <v/>
      </c>
      <c r="E1786" s="17" t="str">
        <f>IF(D1786="","",D1786*'02_Eingaben'!$C$8)</f>
        <v/>
      </c>
      <c r="F1786" s="17" t="str">
        <f>IF(E1786="","",AVERAGE(INDEX($E$2:$E$3001,MAX(1,ROW()-1-'02_Eingaben'!$C$17)):INDEX($E$2:$E$3001,MIN('02_Eingaben'!$C$21,ROW()-1+'02_Eingaben'!$C$17))))</f>
        <v/>
      </c>
      <c r="G1786" s="17" t="str">
        <f>IF(F1786="","",F1786-'02_Eingaben'!$C$10)</f>
        <v/>
      </c>
      <c r="H1786" t="str">
        <f>IF(F1786="","",IF(F1786&lt;'02_Eingaben'!$C$18*'02_Eingaben'!$C$10,1,0))</f>
        <v/>
      </c>
      <c r="I1786" s="17" t="str">
        <f t="shared" si="27"/>
        <v/>
      </c>
      <c r="J1786" s="17" t="str">
        <f>IF(B1786="","",IF(B1785&lt;'02_Eingaben'!$C$36,0,J1785+I1785/'02_Eingaben'!$C$8))</f>
        <v/>
      </c>
    </row>
    <row r="1787" spans="1:10" x14ac:dyDescent="0.25">
      <c r="A1787" t="str">
        <f>IF('01_Rohdaten'!A1787="","",ROW()-1)</f>
        <v/>
      </c>
      <c r="B1787" s="17" t="str">
        <f>IF('01_Rohdaten'!A1787="","",'01_Rohdaten'!A1787)</f>
        <v/>
      </c>
      <c r="C1787" s="17" t="str">
        <f>IF(B1787="","",INDEX('01_Rohdaten'!B1787:D1787,'02_Eingaben'!$C$13))</f>
        <v/>
      </c>
      <c r="D1787" s="17" t="str">
        <f>IF(C1787="","",C1787*'02_Eingaben'!$C$15)</f>
        <v/>
      </c>
      <c r="E1787" s="17" t="str">
        <f>IF(D1787="","",D1787*'02_Eingaben'!$C$8)</f>
        <v/>
      </c>
      <c r="F1787" s="17" t="str">
        <f>IF(E1787="","",AVERAGE(INDEX($E$2:$E$3001,MAX(1,ROW()-1-'02_Eingaben'!$C$17)):INDEX($E$2:$E$3001,MIN('02_Eingaben'!$C$21,ROW()-1+'02_Eingaben'!$C$17))))</f>
        <v/>
      </c>
      <c r="G1787" s="17" t="str">
        <f>IF(F1787="","",F1787-'02_Eingaben'!$C$10)</f>
        <v/>
      </c>
      <c r="H1787" t="str">
        <f>IF(F1787="","",IF(F1787&lt;'02_Eingaben'!$C$18*'02_Eingaben'!$C$10,1,0))</f>
        <v/>
      </c>
      <c r="I1787" s="17" t="str">
        <f t="shared" si="27"/>
        <v/>
      </c>
      <c r="J1787" s="17" t="str">
        <f>IF(B1787="","",IF(B1786&lt;'02_Eingaben'!$C$36,0,J1786+I1786/'02_Eingaben'!$C$8))</f>
        <v/>
      </c>
    </row>
    <row r="1788" spans="1:10" x14ac:dyDescent="0.25">
      <c r="A1788" t="str">
        <f>IF('01_Rohdaten'!A1788="","",ROW()-1)</f>
        <v/>
      </c>
      <c r="B1788" s="17" t="str">
        <f>IF('01_Rohdaten'!A1788="","",'01_Rohdaten'!A1788)</f>
        <v/>
      </c>
      <c r="C1788" s="17" t="str">
        <f>IF(B1788="","",INDEX('01_Rohdaten'!B1788:D1788,'02_Eingaben'!$C$13))</f>
        <v/>
      </c>
      <c r="D1788" s="17" t="str">
        <f>IF(C1788="","",C1788*'02_Eingaben'!$C$15)</f>
        <v/>
      </c>
      <c r="E1788" s="17" t="str">
        <f>IF(D1788="","",D1788*'02_Eingaben'!$C$8)</f>
        <v/>
      </c>
      <c r="F1788" s="17" t="str">
        <f>IF(E1788="","",AVERAGE(INDEX($E$2:$E$3001,MAX(1,ROW()-1-'02_Eingaben'!$C$17)):INDEX($E$2:$E$3001,MIN('02_Eingaben'!$C$21,ROW()-1+'02_Eingaben'!$C$17))))</f>
        <v/>
      </c>
      <c r="G1788" s="17" t="str">
        <f>IF(F1788="","",F1788-'02_Eingaben'!$C$10)</f>
        <v/>
      </c>
      <c r="H1788" t="str">
        <f>IF(F1788="","",IF(F1788&lt;'02_Eingaben'!$C$18*'02_Eingaben'!$C$10,1,0))</f>
        <v/>
      </c>
      <c r="I1788" s="17" t="str">
        <f t="shared" si="27"/>
        <v/>
      </c>
      <c r="J1788" s="17" t="str">
        <f>IF(B1788="","",IF(B1787&lt;'02_Eingaben'!$C$36,0,J1787+I1787/'02_Eingaben'!$C$8))</f>
        <v/>
      </c>
    </row>
    <row r="1789" spans="1:10" x14ac:dyDescent="0.25">
      <c r="A1789" t="str">
        <f>IF('01_Rohdaten'!A1789="","",ROW()-1)</f>
        <v/>
      </c>
      <c r="B1789" s="17" t="str">
        <f>IF('01_Rohdaten'!A1789="","",'01_Rohdaten'!A1789)</f>
        <v/>
      </c>
      <c r="C1789" s="17" t="str">
        <f>IF(B1789="","",INDEX('01_Rohdaten'!B1789:D1789,'02_Eingaben'!$C$13))</f>
        <v/>
      </c>
      <c r="D1789" s="17" t="str">
        <f>IF(C1789="","",C1789*'02_Eingaben'!$C$15)</f>
        <v/>
      </c>
      <c r="E1789" s="17" t="str">
        <f>IF(D1789="","",D1789*'02_Eingaben'!$C$8)</f>
        <v/>
      </c>
      <c r="F1789" s="17" t="str">
        <f>IF(E1789="","",AVERAGE(INDEX($E$2:$E$3001,MAX(1,ROW()-1-'02_Eingaben'!$C$17)):INDEX($E$2:$E$3001,MIN('02_Eingaben'!$C$21,ROW()-1+'02_Eingaben'!$C$17))))</f>
        <v/>
      </c>
      <c r="G1789" s="17" t="str">
        <f>IF(F1789="","",F1789-'02_Eingaben'!$C$10)</f>
        <v/>
      </c>
      <c r="H1789" t="str">
        <f>IF(F1789="","",IF(F1789&lt;'02_Eingaben'!$C$18*'02_Eingaben'!$C$10,1,0))</f>
        <v/>
      </c>
      <c r="I1789" s="17" t="str">
        <f t="shared" si="27"/>
        <v/>
      </c>
      <c r="J1789" s="17" t="str">
        <f>IF(B1789="","",IF(B1788&lt;'02_Eingaben'!$C$36,0,J1788+I1788/'02_Eingaben'!$C$8))</f>
        <v/>
      </c>
    </row>
    <row r="1790" spans="1:10" x14ac:dyDescent="0.25">
      <c r="A1790" t="str">
        <f>IF('01_Rohdaten'!A1790="","",ROW()-1)</f>
        <v/>
      </c>
      <c r="B1790" s="17" t="str">
        <f>IF('01_Rohdaten'!A1790="","",'01_Rohdaten'!A1790)</f>
        <v/>
      </c>
      <c r="C1790" s="17" t="str">
        <f>IF(B1790="","",INDEX('01_Rohdaten'!B1790:D1790,'02_Eingaben'!$C$13))</f>
        <v/>
      </c>
      <c r="D1790" s="17" t="str">
        <f>IF(C1790="","",C1790*'02_Eingaben'!$C$15)</f>
        <v/>
      </c>
      <c r="E1790" s="17" t="str">
        <f>IF(D1790="","",D1790*'02_Eingaben'!$C$8)</f>
        <v/>
      </c>
      <c r="F1790" s="17" t="str">
        <f>IF(E1790="","",AVERAGE(INDEX($E$2:$E$3001,MAX(1,ROW()-1-'02_Eingaben'!$C$17)):INDEX($E$2:$E$3001,MIN('02_Eingaben'!$C$21,ROW()-1+'02_Eingaben'!$C$17))))</f>
        <v/>
      </c>
      <c r="G1790" s="17" t="str">
        <f>IF(F1790="","",F1790-'02_Eingaben'!$C$10)</f>
        <v/>
      </c>
      <c r="H1790" t="str">
        <f>IF(F1790="","",IF(F1790&lt;'02_Eingaben'!$C$18*'02_Eingaben'!$C$10,1,0))</f>
        <v/>
      </c>
      <c r="I1790" s="17" t="str">
        <f t="shared" si="27"/>
        <v/>
      </c>
      <c r="J1790" s="17" t="str">
        <f>IF(B1790="","",IF(B1789&lt;'02_Eingaben'!$C$36,0,J1789+I1789/'02_Eingaben'!$C$8))</f>
        <v/>
      </c>
    </row>
    <row r="1791" spans="1:10" x14ac:dyDescent="0.25">
      <c r="A1791" t="str">
        <f>IF('01_Rohdaten'!A1791="","",ROW()-1)</f>
        <v/>
      </c>
      <c r="B1791" s="17" t="str">
        <f>IF('01_Rohdaten'!A1791="","",'01_Rohdaten'!A1791)</f>
        <v/>
      </c>
      <c r="C1791" s="17" t="str">
        <f>IF(B1791="","",INDEX('01_Rohdaten'!B1791:D1791,'02_Eingaben'!$C$13))</f>
        <v/>
      </c>
      <c r="D1791" s="17" t="str">
        <f>IF(C1791="","",C1791*'02_Eingaben'!$C$15)</f>
        <v/>
      </c>
      <c r="E1791" s="17" t="str">
        <f>IF(D1791="","",D1791*'02_Eingaben'!$C$8)</f>
        <v/>
      </c>
      <c r="F1791" s="17" t="str">
        <f>IF(E1791="","",AVERAGE(INDEX($E$2:$E$3001,MAX(1,ROW()-1-'02_Eingaben'!$C$17)):INDEX($E$2:$E$3001,MIN('02_Eingaben'!$C$21,ROW()-1+'02_Eingaben'!$C$17))))</f>
        <v/>
      </c>
      <c r="G1791" s="17" t="str">
        <f>IF(F1791="","",F1791-'02_Eingaben'!$C$10)</f>
        <v/>
      </c>
      <c r="H1791" t="str">
        <f>IF(F1791="","",IF(F1791&lt;'02_Eingaben'!$C$18*'02_Eingaben'!$C$10,1,0))</f>
        <v/>
      </c>
      <c r="I1791" s="17" t="str">
        <f t="shared" si="27"/>
        <v/>
      </c>
      <c r="J1791" s="17" t="str">
        <f>IF(B1791="","",IF(B1790&lt;'02_Eingaben'!$C$36,0,J1790+I1790/'02_Eingaben'!$C$8))</f>
        <v/>
      </c>
    </row>
    <row r="1792" spans="1:10" x14ac:dyDescent="0.25">
      <c r="A1792" t="str">
        <f>IF('01_Rohdaten'!A1792="","",ROW()-1)</f>
        <v/>
      </c>
      <c r="B1792" s="17" t="str">
        <f>IF('01_Rohdaten'!A1792="","",'01_Rohdaten'!A1792)</f>
        <v/>
      </c>
      <c r="C1792" s="17" t="str">
        <f>IF(B1792="","",INDEX('01_Rohdaten'!B1792:D1792,'02_Eingaben'!$C$13))</f>
        <v/>
      </c>
      <c r="D1792" s="17" t="str">
        <f>IF(C1792="","",C1792*'02_Eingaben'!$C$15)</f>
        <v/>
      </c>
      <c r="E1792" s="17" t="str">
        <f>IF(D1792="","",D1792*'02_Eingaben'!$C$8)</f>
        <v/>
      </c>
      <c r="F1792" s="17" t="str">
        <f>IF(E1792="","",AVERAGE(INDEX($E$2:$E$3001,MAX(1,ROW()-1-'02_Eingaben'!$C$17)):INDEX($E$2:$E$3001,MIN('02_Eingaben'!$C$21,ROW()-1+'02_Eingaben'!$C$17))))</f>
        <v/>
      </c>
      <c r="G1792" s="17" t="str">
        <f>IF(F1792="","",F1792-'02_Eingaben'!$C$10)</f>
        <v/>
      </c>
      <c r="H1792" t="str">
        <f>IF(F1792="","",IF(F1792&lt;'02_Eingaben'!$C$18*'02_Eingaben'!$C$10,1,0))</f>
        <v/>
      </c>
      <c r="I1792" s="17" t="str">
        <f t="shared" si="27"/>
        <v/>
      </c>
      <c r="J1792" s="17" t="str">
        <f>IF(B1792="","",IF(B1791&lt;'02_Eingaben'!$C$36,0,J1791+I1791/'02_Eingaben'!$C$8))</f>
        <v/>
      </c>
    </row>
    <row r="1793" spans="1:10" x14ac:dyDescent="0.25">
      <c r="A1793" t="str">
        <f>IF('01_Rohdaten'!A1793="","",ROW()-1)</f>
        <v/>
      </c>
      <c r="B1793" s="17" t="str">
        <f>IF('01_Rohdaten'!A1793="","",'01_Rohdaten'!A1793)</f>
        <v/>
      </c>
      <c r="C1793" s="17" t="str">
        <f>IF(B1793="","",INDEX('01_Rohdaten'!B1793:D1793,'02_Eingaben'!$C$13))</f>
        <v/>
      </c>
      <c r="D1793" s="17" t="str">
        <f>IF(C1793="","",C1793*'02_Eingaben'!$C$15)</f>
        <v/>
      </c>
      <c r="E1793" s="17" t="str">
        <f>IF(D1793="","",D1793*'02_Eingaben'!$C$8)</f>
        <v/>
      </c>
      <c r="F1793" s="17" t="str">
        <f>IF(E1793="","",AVERAGE(INDEX($E$2:$E$3001,MAX(1,ROW()-1-'02_Eingaben'!$C$17)):INDEX($E$2:$E$3001,MIN('02_Eingaben'!$C$21,ROW()-1+'02_Eingaben'!$C$17))))</f>
        <v/>
      </c>
      <c r="G1793" s="17" t="str">
        <f>IF(F1793="","",F1793-'02_Eingaben'!$C$10)</f>
        <v/>
      </c>
      <c r="H1793" t="str">
        <f>IF(F1793="","",IF(F1793&lt;'02_Eingaben'!$C$18*'02_Eingaben'!$C$10,1,0))</f>
        <v/>
      </c>
      <c r="I1793" s="17" t="str">
        <f t="shared" si="27"/>
        <v/>
      </c>
      <c r="J1793" s="17" t="str">
        <f>IF(B1793="","",IF(B1792&lt;'02_Eingaben'!$C$36,0,J1792+I1792/'02_Eingaben'!$C$8))</f>
        <v/>
      </c>
    </row>
    <row r="1794" spans="1:10" x14ac:dyDescent="0.25">
      <c r="A1794" t="str">
        <f>IF('01_Rohdaten'!A1794="","",ROW()-1)</f>
        <v/>
      </c>
      <c r="B1794" s="17" t="str">
        <f>IF('01_Rohdaten'!A1794="","",'01_Rohdaten'!A1794)</f>
        <v/>
      </c>
      <c r="C1794" s="17" t="str">
        <f>IF(B1794="","",INDEX('01_Rohdaten'!B1794:D1794,'02_Eingaben'!$C$13))</f>
        <v/>
      </c>
      <c r="D1794" s="17" t="str">
        <f>IF(C1794="","",C1794*'02_Eingaben'!$C$15)</f>
        <v/>
      </c>
      <c r="E1794" s="17" t="str">
        <f>IF(D1794="","",D1794*'02_Eingaben'!$C$8)</f>
        <v/>
      </c>
      <c r="F1794" s="17" t="str">
        <f>IF(E1794="","",AVERAGE(INDEX($E$2:$E$3001,MAX(1,ROW()-1-'02_Eingaben'!$C$17)):INDEX($E$2:$E$3001,MIN('02_Eingaben'!$C$21,ROW()-1+'02_Eingaben'!$C$17))))</f>
        <v/>
      </c>
      <c r="G1794" s="17" t="str">
        <f>IF(F1794="","",F1794-'02_Eingaben'!$C$10)</f>
        <v/>
      </c>
      <c r="H1794" t="str">
        <f>IF(F1794="","",IF(F1794&lt;'02_Eingaben'!$C$18*'02_Eingaben'!$C$10,1,0))</f>
        <v/>
      </c>
      <c r="I1794" s="17" t="str">
        <f t="shared" ref="I1794:I1857" si="28">IF(OR(G1794="",G1795=""),"",(G1794+G1795)/2*(B1795-B1794))</f>
        <v/>
      </c>
      <c r="J1794" s="17" t="str">
        <f>IF(B1794="","",IF(B1793&lt;'02_Eingaben'!$C$36,0,J1793+I1793/'02_Eingaben'!$C$8))</f>
        <v/>
      </c>
    </row>
    <row r="1795" spans="1:10" x14ac:dyDescent="0.25">
      <c r="A1795" t="str">
        <f>IF('01_Rohdaten'!A1795="","",ROW()-1)</f>
        <v/>
      </c>
      <c r="B1795" s="17" t="str">
        <f>IF('01_Rohdaten'!A1795="","",'01_Rohdaten'!A1795)</f>
        <v/>
      </c>
      <c r="C1795" s="17" t="str">
        <f>IF(B1795="","",INDEX('01_Rohdaten'!B1795:D1795,'02_Eingaben'!$C$13))</f>
        <v/>
      </c>
      <c r="D1795" s="17" t="str">
        <f>IF(C1795="","",C1795*'02_Eingaben'!$C$15)</f>
        <v/>
      </c>
      <c r="E1795" s="17" t="str">
        <f>IF(D1795="","",D1795*'02_Eingaben'!$C$8)</f>
        <v/>
      </c>
      <c r="F1795" s="17" t="str">
        <f>IF(E1795="","",AVERAGE(INDEX($E$2:$E$3001,MAX(1,ROW()-1-'02_Eingaben'!$C$17)):INDEX($E$2:$E$3001,MIN('02_Eingaben'!$C$21,ROW()-1+'02_Eingaben'!$C$17))))</f>
        <v/>
      </c>
      <c r="G1795" s="17" t="str">
        <f>IF(F1795="","",F1795-'02_Eingaben'!$C$10)</f>
        <v/>
      </c>
      <c r="H1795" t="str">
        <f>IF(F1795="","",IF(F1795&lt;'02_Eingaben'!$C$18*'02_Eingaben'!$C$10,1,0))</f>
        <v/>
      </c>
      <c r="I1795" s="17" t="str">
        <f t="shared" si="28"/>
        <v/>
      </c>
      <c r="J1795" s="17" t="str">
        <f>IF(B1795="","",IF(B1794&lt;'02_Eingaben'!$C$36,0,J1794+I1794/'02_Eingaben'!$C$8))</f>
        <v/>
      </c>
    </row>
    <row r="1796" spans="1:10" x14ac:dyDescent="0.25">
      <c r="A1796" t="str">
        <f>IF('01_Rohdaten'!A1796="","",ROW()-1)</f>
        <v/>
      </c>
      <c r="B1796" s="17" t="str">
        <f>IF('01_Rohdaten'!A1796="","",'01_Rohdaten'!A1796)</f>
        <v/>
      </c>
      <c r="C1796" s="17" t="str">
        <f>IF(B1796="","",INDEX('01_Rohdaten'!B1796:D1796,'02_Eingaben'!$C$13))</f>
        <v/>
      </c>
      <c r="D1796" s="17" t="str">
        <f>IF(C1796="","",C1796*'02_Eingaben'!$C$15)</f>
        <v/>
      </c>
      <c r="E1796" s="17" t="str">
        <f>IF(D1796="","",D1796*'02_Eingaben'!$C$8)</f>
        <v/>
      </c>
      <c r="F1796" s="17" t="str">
        <f>IF(E1796="","",AVERAGE(INDEX($E$2:$E$3001,MAX(1,ROW()-1-'02_Eingaben'!$C$17)):INDEX($E$2:$E$3001,MIN('02_Eingaben'!$C$21,ROW()-1+'02_Eingaben'!$C$17))))</f>
        <v/>
      </c>
      <c r="G1796" s="17" t="str">
        <f>IF(F1796="","",F1796-'02_Eingaben'!$C$10)</f>
        <v/>
      </c>
      <c r="H1796" t="str">
        <f>IF(F1796="","",IF(F1796&lt;'02_Eingaben'!$C$18*'02_Eingaben'!$C$10,1,0))</f>
        <v/>
      </c>
      <c r="I1796" s="17" t="str">
        <f t="shared" si="28"/>
        <v/>
      </c>
      <c r="J1796" s="17" t="str">
        <f>IF(B1796="","",IF(B1795&lt;'02_Eingaben'!$C$36,0,J1795+I1795/'02_Eingaben'!$C$8))</f>
        <v/>
      </c>
    </row>
    <row r="1797" spans="1:10" x14ac:dyDescent="0.25">
      <c r="A1797" t="str">
        <f>IF('01_Rohdaten'!A1797="","",ROW()-1)</f>
        <v/>
      </c>
      <c r="B1797" s="17" t="str">
        <f>IF('01_Rohdaten'!A1797="","",'01_Rohdaten'!A1797)</f>
        <v/>
      </c>
      <c r="C1797" s="17" t="str">
        <f>IF(B1797="","",INDEX('01_Rohdaten'!B1797:D1797,'02_Eingaben'!$C$13))</f>
        <v/>
      </c>
      <c r="D1797" s="17" t="str">
        <f>IF(C1797="","",C1797*'02_Eingaben'!$C$15)</f>
        <v/>
      </c>
      <c r="E1797" s="17" t="str">
        <f>IF(D1797="","",D1797*'02_Eingaben'!$C$8)</f>
        <v/>
      </c>
      <c r="F1797" s="17" t="str">
        <f>IF(E1797="","",AVERAGE(INDEX($E$2:$E$3001,MAX(1,ROW()-1-'02_Eingaben'!$C$17)):INDEX($E$2:$E$3001,MIN('02_Eingaben'!$C$21,ROW()-1+'02_Eingaben'!$C$17))))</f>
        <v/>
      </c>
      <c r="G1797" s="17" t="str">
        <f>IF(F1797="","",F1797-'02_Eingaben'!$C$10)</f>
        <v/>
      </c>
      <c r="H1797" t="str">
        <f>IF(F1797="","",IF(F1797&lt;'02_Eingaben'!$C$18*'02_Eingaben'!$C$10,1,0))</f>
        <v/>
      </c>
      <c r="I1797" s="17" t="str">
        <f t="shared" si="28"/>
        <v/>
      </c>
      <c r="J1797" s="17" t="str">
        <f>IF(B1797="","",IF(B1796&lt;'02_Eingaben'!$C$36,0,J1796+I1796/'02_Eingaben'!$C$8))</f>
        <v/>
      </c>
    </row>
    <row r="1798" spans="1:10" x14ac:dyDescent="0.25">
      <c r="A1798" t="str">
        <f>IF('01_Rohdaten'!A1798="","",ROW()-1)</f>
        <v/>
      </c>
      <c r="B1798" s="17" t="str">
        <f>IF('01_Rohdaten'!A1798="","",'01_Rohdaten'!A1798)</f>
        <v/>
      </c>
      <c r="C1798" s="17" t="str">
        <f>IF(B1798="","",INDEX('01_Rohdaten'!B1798:D1798,'02_Eingaben'!$C$13))</f>
        <v/>
      </c>
      <c r="D1798" s="17" t="str">
        <f>IF(C1798="","",C1798*'02_Eingaben'!$C$15)</f>
        <v/>
      </c>
      <c r="E1798" s="17" t="str">
        <f>IF(D1798="","",D1798*'02_Eingaben'!$C$8)</f>
        <v/>
      </c>
      <c r="F1798" s="17" t="str">
        <f>IF(E1798="","",AVERAGE(INDEX($E$2:$E$3001,MAX(1,ROW()-1-'02_Eingaben'!$C$17)):INDEX($E$2:$E$3001,MIN('02_Eingaben'!$C$21,ROW()-1+'02_Eingaben'!$C$17))))</f>
        <v/>
      </c>
      <c r="G1798" s="17" t="str">
        <f>IF(F1798="","",F1798-'02_Eingaben'!$C$10)</f>
        <v/>
      </c>
      <c r="H1798" t="str">
        <f>IF(F1798="","",IF(F1798&lt;'02_Eingaben'!$C$18*'02_Eingaben'!$C$10,1,0))</f>
        <v/>
      </c>
      <c r="I1798" s="17" t="str">
        <f t="shared" si="28"/>
        <v/>
      </c>
      <c r="J1798" s="17" t="str">
        <f>IF(B1798="","",IF(B1797&lt;'02_Eingaben'!$C$36,0,J1797+I1797/'02_Eingaben'!$C$8))</f>
        <v/>
      </c>
    </row>
    <row r="1799" spans="1:10" x14ac:dyDescent="0.25">
      <c r="A1799" t="str">
        <f>IF('01_Rohdaten'!A1799="","",ROW()-1)</f>
        <v/>
      </c>
      <c r="B1799" s="17" t="str">
        <f>IF('01_Rohdaten'!A1799="","",'01_Rohdaten'!A1799)</f>
        <v/>
      </c>
      <c r="C1799" s="17" t="str">
        <f>IF(B1799="","",INDEX('01_Rohdaten'!B1799:D1799,'02_Eingaben'!$C$13))</f>
        <v/>
      </c>
      <c r="D1799" s="17" t="str">
        <f>IF(C1799="","",C1799*'02_Eingaben'!$C$15)</f>
        <v/>
      </c>
      <c r="E1799" s="17" t="str">
        <f>IF(D1799="","",D1799*'02_Eingaben'!$C$8)</f>
        <v/>
      </c>
      <c r="F1799" s="17" t="str">
        <f>IF(E1799="","",AVERAGE(INDEX($E$2:$E$3001,MAX(1,ROW()-1-'02_Eingaben'!$C$17)):INDEX($E$2:$E$3001,MIN('02_Eingaben'!$C$21,ROW()-1+'02_Eingaben'!$C$17))))</f>
        <v/>
      </c>
      <c r="G1799" s="17" t="str">
        <f>IF(F1799="","",F1799-'02_Eingaben'!$C$10)</f>
        <v/>
      </c>
      <c r="H1799" t="str">
        <f>IF(F1799="","",IF(F1799&lt;'02_Eingaben'!$C$18*'02_Eingaben'!$C$10,1,0))</f>
        <v/>
      </c>
      <c r="I1799" s="17" t="str">
        <f t="shared" si="28"/>
        <v/>
      </c>
      <c r="J1799" s="17" t="str">
        <f>IF(B1799="","",IF(B1798&lt;'02_Eingaben'!$C$36,0,J1798+I1798/'02_Eingaben'!$C$8))</f>
        <v/>
      </c>
    </row>
    <row r="1800" spans="1:10" x14ac:dyDescent="0.25">
      <c r="A1800" t="str">
        <f>IF('01_Rohdaten'!A1800="","",ROW()-1)</f>
        <v/>
      </c>
      <c r="B1800" s="17" t="str">
        <f>IF('01_Rohdaten'!A1800="","",'01_Rohdaten'!A1800)</f>
        <v/>
      </c>
      <c r="C1800" s="17" t="str">
        <f>IF(B1800="","",INDEX('01_Rohdaten'!B1800:D1800,'02_Eingaben'!$C$13))</f>
        <v/>
      </c>
      <c r="D1800" s="17" t="str">
        <f>IF(C1800="","",C1800*'02_Eingaben'!$C$15)</f>
        <v/>
      </c>
      <c r="E1800" s="17" t="str">
        <f>IF(D1800="","",D1800*'02_Eingaben'!$C$8)</f>
        <v/>
      </c>
      <c r="F1800" s="17" t="str">
        <f>IF(E1800="","",AVERAGE(INDEX($E$2:$E$3001,MAX(1,ROW()-1-'02_Eingaben'!$C$17)):INDEX($E$2:$E$3001,MIN('02_Eingaben'!$C$21,ROW()-1+'02_Eingaben'!$C$17))))</f>
        <v/>
      </c>
      <c r="G1800" s="17" t="str">
        <f>IF(F1800="","",F1800-'02_Eingaben'!$C$10)</f>
        <v/>
      </c>
      <c r="H1800" t="str">
        <f>IF(F1800="","",IF(F1800&lt;'02_Eingaben'!$C$18*'02_Eingaben'!$C$10,1,0))</f>
        <v/>
      </c>
      <c r="I1800" s="17" t="str">
        <f t="shared" si="28"/>
        <v/>
      </c>
      <c r="J1800" s="17" t="str">
        <f>IF(B1800="","",IF(B1799&lt;'02_Eingaben'!$C$36,0,J1799+I1799/'02_Eingaben'!$C$8))</f>
        <v/>
      </c>
    </row>
    <row r="1801" spans="1:10" x14ac:dyDescent="0.25">
      <c r="A1801" t="str">
        <f>IF('01_Rohdaten'!A1801="","",ROW()-1)</f>
        <v/>
      </c>
      <c r="B1801" s="17" t="str">
        <f>IF('01_Rohdaten'!A1801="","",'01_Rohdaten'!A1801)</f>
        <v/>
      </c>
      <c r="C1801" s="17" t="str">
        <f>IF(B1801="","",INDEX('01_Rohdaten'!B1801:D1801,'02_Eingaben'!$C$13))</f>
        <v/>
      </c>
      <c r="D1801" s="17" t="str">
        <f>IF(C1801="","",C1801*'02_Eingaben'!$C$15)</f>
        <v/>
      </c>
      <c r="E1801" s="17" t="str">
        <f>IF(D1801="","",D1801*'02_Eingaben'!$C$8)</f>
        <v/>
      </c>
      <c r="F1801" s="17" t="str">
        <f>IF(E1801="","",AVERAGE(INDEX($E$2:$E$3001,MAX(1,ROW()-1-'02_Eingaben'!$C$17)):INDEX($E$2:$E$3001,MIN('02_Eingaben'!$C$21,ROW()-1+'02_Eingaben'!$C$17))))</f>
        <v/>
      </c>
      <c r="G1801" s="17" t="str">
        <f>IF(F1801="","",F1801-'02_Eingaben'!$C$10)</f>
        <v/>
      </c>
      <c r="H1801" t="str">
        <f>IF(F1801="","",IF(F1801&lt;'02_Eingaben'!$C$18*'02_Eingaben'!$C$10,1,0))</f>
        <v/>
      </c>
      <c r="I1801" s="17" t="str">
        <f t="shared" si="28"/>
        <v/>
      </c>
      <c r="J1801" s="17" t="str">
        <f>IF(B1801="","",IF(B1800&lt;'02_Eingaben'!$C$36,0,J1800+I1800/'02_Eingaben'!$C$8))</f>
        <v/>
      </c>
    </row>
    <row r="1802" spans="1:10" x14ac:dyDescent="0.25">
      <c r="A1802" t="str">
        <f>IF('01_Rohdaten'!A1802="","",ROW()-1)</f>
        <v/>
      </c>
      <c r="B1802" s="17" t="str">
        <f>IF('01_Rohdaten'!A1802="","",'01_Rohdaten'!A1802)</f>
        <v/>
      </c>
      <c r="C1802" s="17" t="str">
        <f>IF(B1802="","",INDEX('01_Rohdaten'!B1802:D1802,'02_Eingaben'!$C$13))</f>
        <v/>
      </c>
      <c r="D1802" s="17" t="str">
        <f>IF(C1802="","",C1802*'02_Eingaben'!$C$15)</f>
        <v/>
      </c>
      <c r="E1802" s="17" t="str">
        <f>IF(D1802="","",D1802*'02_Eingaben'!$C$8)</f>
        <v/>
      </c>
      <c r="F1802" s="17" t="str">
        <f>IF(E1802="","",AVERAGE(INDEX($E$2:$E$3001,MAX(1,ROW()-1-'02_Eingaben'!$C$17)):INDEX($E$2:$E$3001,MIN('02_Eingaben'!$C$21,ROW()-1+'02_Eingaben'!$C$17))))</f>
        <v/>
      </c>
      <c r="G1802" s="17" t="str">
        <f>IF(F1802="","",F1802-'02_Eingaben'!$C$10)</f>
        <v/>
      </c>
      <c r="H1802" t="str">
        <f>IF(F1802="","",IF(F1802&lt;'02_Eingaben'!$C$18*'02_Eingaben'!$C$10,1,0))</f>
        <v/>
      </c>
      <c r="I1802" s="17" t="str">
        <f t="shared" si="28"/>
        <v/>
      </c>
      <c r="J1802" s="17" t="str">
        <f>IF(B1802="","",IF(B1801&lt;'02_Eingaben'!$C$36,0,J1801+I1801/'02_Eingaben'!$C$8))</f>
        <v/>
      </c>
    </row>
    <row r="1803" spans="1:10" x14ac:dyDescent="0.25">
      <c r="A1803" t="str">
        <f>IF('01_Rohdaten'!A1803="","",ROW()-1)</f>
        <v/>
      </c>
      <c r="B1803" s="17" t="str">
        <f>IF('01_Rohdaten'!A1803="","",'01_Rohdaten'!A1803)</f>
        <v/>
      </c>
      <c r="C1803" s="17" t="str">
        <f>IF(B1803="","",INDEX('01_Rohdaten'!B1803:D1803,'02_Eingaben'!$C$13))</f>
        <v/>
      </c>
      <c r="D1803" s="17" t="str">
        <f>IF(C1803="","",C1803*'02_Eingaben'!$C$15)</f>
        <v/>
      </c>
      <c r="E1803" s="17" t="str">
        <f>IF(D1803="","",D1803*'02_Eingaben'!$C$8)</f>
        <v/>
      </c>
      <c r="F1803" s="17" t="str">
        <f>IF(E1803="","",AVERAGE(INDEX($E$2:$E$3001,MAX(1,ROW()-1-'02_Eingaben'!$C$17)):INDEX($E$2:$E$3001,MIN('02_Eingaben'!$C$21,ROW()-1+'02_Eingaben'!$C$17))))</f>
        <v/>
      </c>
      <c r="G1803" s="17" t="str">
        <f>IF(F1803="","",F1803-'02_Eingaben'!$C$10)</f>
        <v/>
      </c>
      <c r="H1803" t="str">
        <f>IF(F1803="","",IF(F1803&lt;'02_Eingaben'!$C$18*'02_Eingaben'!$C$10,1,0))</f>
        <v/>
      </c>
      <c r="I1803" s="17" t="str">
        <f t="shared" si="28"/>
        <v/>
      </c>
      <c r="J1803" s="17" t="str">
        <f>IF(B1803="","",IF(B1802&lt;'02_Eingaben'!$C$36,0,J1802+I1802/'02_Eingaben'!$C$8))</f>
        <v/>
      </c>
    </row>
    <row r="1804" spans="1:10" x14ac:dyDescent="0.25">
      <c r="A1804" t="str">
        <f>IF('01_Rohdaten'!A1804="","",ROW()-1)</f>
        <v/>
      </c>
      <c r="B1804" s="17" t="str">
        <f>IF('01_Rohdaten'!A1804="","",'01_Rohdaten'!A1804)</f>
        <v/>
      </c>
      <c r="C1804" s="17" t="str">
        <f>IF(B1804="","",INDEX('01_Rohdaten'!B1804:D1804,'02_Eingaben'!$C$13))</f>
        <v/>
      </c>
      <c r="D1804" s="17" t="str">
        <f>IF(C1804="","",C1804*'02_Eingaben'!$C$15)</f>
        <v/>
      </c>
      <c r="E1804" s="17" t="str">
        <f>IF(D1804="","",D1804*'02_Eingaben'!$C$8)</f>
        <v/>
      </c>
      <c r="F1804" s="17" t="str">
        <f>IF(E1804="","",AVERAGE(INDEX($E$2:$E$3001,MAX(1,ROW()-1-'02_Eingaben'!$C$17)):INDEX($E$2:$E$3001,MIN('02_Eingaben'!$C$21,ROW()-1+'02_Eingaben'!$C$17))))</f>
        <v/>
      </c>
      <c r="G1804" s="17" t="str">
        <f>IF(F1804="","",F1804-'02_Eingaben'!$C$10)</f>
        <v/>
      </c>
      <c r="H1804" t="str">
        <f>IF(F1804="","",IF(F1804&lt;'02_Eingaben'!$C$18*'02_Eingaben'!$C$10,1,0))</f>
        <v/>
      </c>
      <c r="I1804" s="17" t="str">
        <f t="shared" si="28"/>
        <v/>
      </c>
      <c r="J1804" s="17" t="str">
        <f>IF(B1804="","",IF(B1803&lt;'02_Eingaben'!$C$36,0,J1803+I1803/'02_Eingaben'!$C$8))</f>
        <v/>
      </c>
    </row>
    <row r="1805" spans="1:10" x14ac:dyDescent="0.25">
      <c r="A1805" t="str">
        <f>IF('01_Rohdaten'!A1805="","",ROW()-1)</f>
        <v/>
      </c>
      <c r="B1805" s="17" t="str">
        <f>IF('01_Rohdaten'!A1805="","",'01_Rohdaten'!A1805)</f>
        <v/>
      </c>
      <c r="C1805" s="17" t="str">
        <f>IF(B1805="","",INDEX('01_Rohdaten'!B1805:D1805,'02_Eingaben'!$C$13))</f>
        <v/>
      </c>
      <c r="D1805" s="17" t="str">
        <f>IF(C1805="","",C1805*'02_Eingaben'!$C$15)</f>
        <v/>
      </c>
      <c r="E1805" s="17" t="str">
        <f>IF(D1805="","",D1805*'02_Eingaben'!$C$8)</f>
        <v/>
      </c>
      <c r="F1805" s="17" t="str">
        <f>IF(E1805="","",AVERAGE(INDEX($E$2:$E$3001,MAX(1,ROW()-1-'02_Eingaben'!$C$17)):INDEX($E$2:$E$3001,MIN('02_Eingaben'!$C$21,ROW()-1+'02_Eingaben'!$C$17))))</f>
        <v/>
      </c>
      <c r="G1805" s="17" t="str">
        <f>IF(F1805="","",F1805-'02_Eingaben'!$C$10)</f>
        <v/>
      </c>
      <c r="H1805" t="str">
        <f>IF(F1805="","",IF(F1805&lt;'02_Eingaben'!$C$18*'02_Eingaben'!$C$10,1,0))</f>
        <v/>
      </c>
      <c r="I1805" s="17" t="str">
        <f t="shared" si="28"/>
        <v/>
      </c>
      <c r="J1805" s="17" t="str">
        <f>IF(B1805="","",IF(B1804&lt;'02_Eingaben'!$C$36,0,J1804+I1804/'02_Eingaben'!$C$8))</f>
        <v/>
      </c>
    </row>
    <row r="1806" spans="1:10" x14ac:dyDescent="0.25">
      <c r="A1806" t="str">
        <f>IF('01_Rohdaten'!A1806="","",ROW()-1)</f>
        <v/>
      </c>
      <c r="B1806" s="17" t="str">
        <f>IF('01_Rohdaten'!A1806="","",'01_Rohdaten'!A1806)</f>
        <v/>
      </c>
      <c r="C1806" s="17" t="str">
        <f>IF(B1806="","",INDEX('01_Rohdaten'!B1806:D1806,'02_Eingaben'!$C$13))</f>
        <v/>
      </c>
      <c r="D1806" s="17" t="str">
        <f>IF(C1806="","",C1806*'02_Eingaben'!$C$15)</f>
        <v/>
      </c>
      <c r="E1806" s="17" t="str">
        <f>IF(D1806="","",D1806*'02_Eingaben'!$C$8)</f>
        <v/>
      </c>
      <c r="F1806" s="17" t="str">
        <f>IF(E1806="","",AVERAGE(INDEX($E$2:$E$3001,MAX(1,ROW()-1-'02_Eingaben'!$C$17)):INDEX($E$2:$E$3001,MIN('02_Eingaben'!$C$21,ROW()-1+'02_Eingaben'!$C$17))))</f>
        <v/>
      </c>
      <c r="G1806" s="17" t="str">
        <f>IF(F1806="","",F1806-'02_Eingaben'!$C$10)</f>
        <v/>
      </c>
      <c r="H1806" t="str">
        <f>IF(F1806="","",IF(F1806&lt;'02_Eingaben'!$C$18*'02_Eingaben'!$C$10,1,0))</f>
        <v/>
      </c>
      <c r="I1806" s="17" t="str">
        <f t="shared" si="28"/>
        <v/>
      </c>
      <c r="J1806" s="17" t="str">
        <f>IF(B1806="","",IF(B1805&lt;'02_Eingaben'!$C$36,0,J1805+I1805/'02_Eingaben'!$C$8))</f>
        <v/>
      </c>
    </row>
    <row r="1807" spans="1:10" x14ac:dyDescent="0.25">
      <c r="A1807" t="str">
        <f>IF('01_Rohdaten'!A1807="","",ROW()-1)</f>
        <v/>
      </c>
      <c r="B1807" s="17" t="str">
        <f>IF('01_Rohdaten'!A1807="","",'01_Rohdaten'!A1807)</f>
        <v/>
      </c>
      <c r="C1807" s="17" t="str">
        <f>IF(B1807="","",INDEX('01_Rohdaten'!B1807:D1807,'02_Eingaben'!$C$13))</f>
        <v/>
      </c>
      <c r="D1807" s="17" t="str">
        <f>IF(C1807="","",C1807*'02_Eingaben'!$C$15)</f>
        <v/>
      </c>
      <c r="E1807" s="17" t="str">
        <f>IF(D1807="","",D1807*'02_Eingaben'!$C$8)</f>
        <v/>
      </c>
      <c r="F1807" s="17" t="str">
        <f>IF(E1807="","",AVERAGE(INDEX($E$2:$E$3001,MAX(1,ROW()-1-'02_Eingaben'!$C$17)):INDEX($E$2:$E$3001,MIN('02_Eingaben'!$C$21,ROW()-1+'02_Eingaben'!$C$17))))</f>
        <v/>
      </c>
      <c r="G1807" s="17" t="str">
        <f>IF(F1807="","",F1807-'02_Eingaben'!$C$10)</f>
        <v/>
      </c>
      <c r="H1807" t="str">
        <f>IF(F1807="","",IF(F1807&lt;'02_Eingaben'!$C$18*'02_Eingaben'!$C$10,1,0))</f>
        <v/>
      </c>
      <c r="I1807" s="17" t="str">
        <f t="shared" si="28"/>
        <v/>
      </c>
      <c r="J1807" s="17" t="str">
        <f>IF(B1807="","",IF(B1806&lt;'02_Eingaben'!$C$36,0,J1806+I1806/'02_Eingaben'!$C$8))</f>
        <v/>
      </c>
    </row>
    <row r="1808" spans="1:10" x14ac:dyDescent="0.25">
      <c r="A1808" t="str">
        <f>IF('01_Rohdaten'!A1808="","",ROW()-1)</f>
        <v/>
      </c>
      <c r="B1808" s="17" t="str">
        <f>IF('01_Rohdaten'!A1808="","",'01_Rohdaten'!A1808)</f>
        <v/>
      </c>
      <c r="C1808" s="17" t="str">
        <f>IF(B1808="","",INDEX('01_Rohdaten'!B1808:D1808,'02_Eingaben'!$C$13))</f>
        <v/>
      </c>
      <c r="D1808" s="17" t="str">
        <f>IF(C1808="","",C1808*'02_Eingaben'!$C$15)</f>
        <v/>
      </c>
      <c r="E1808" s="17" t="str">
        <f>IF(D1808="","",D1808*'02_Eingaben'!$C$8)</f>
        <v/>
      </c>
      <c r="F1808" s="17" t="str">
        <f>IF(E1808="","",AVERAGE(INDEX($E$2:$E$3001,MAX(1,ROW()-1-'02_Eingaben'!$C$17)):INDEX($E$2:$E$3001,MIN('02_Eingaben'!$C$21,ROW()-1+'02_Eingaben'!$C$17))))</f>
        <v/>
      </c>
      <c r="G1808" s="17" t="str">
        <f>IF(F1808="","",F1808-'02_Eingaben'!$C$10)</f>
        <v/>
      </c>
      <c r="H1808" t="str">
        <f>IF(F1808="","",IF(F1808&lt;'02_Eingaben'!$C$18*'02_Eingaben'!$C$10,1,0))</f>
        <v/>
      </c>
      <c r="I1808" s="17" t="str">
        <f t="shared" si="28"/>
        <v/>
      </c>
      <c r="J1808" s="17" t="str">
        <f>IF(B1808="","",IF(B1807&lt;'02_Eingaben'!$C$36,0,J1807+I1807/'02_Eingaben'!$C$8))</f>
        <v/>
      </c>
    </row>
    <row r="1809" spans="1:10" x14ac:dyDescent="0.25">
      <c r="A1809" t="str">
        <f>IF('01_Rohdaten'!A1809="","",ROW()-1)</f>
        <v/>
      </c>
      <c r="B1809" s="17" t="str">
        <f>IF('01_Rohdaten'!A1809="","",'01_Rohdaten'!A1809)</f>
        <v/>
      </c>
      <c r="C1809" s="17" t="str">
        <f>IF(B1809="","",INDEX('01_Rohdaten'!B1809:D1809,'02_Eingaben'!$C$13))</f>
        <v/>
      </c>
      <c r="D1809" s="17" t="str">
        <f>IF(C1809="","",C1809*'02_Eingaben'!$C$15)</f>
        <v/>
      </c>
      <c r="E1809" s="17" t="str">
        <f>IF(D1809="","",D1809*'02_Eingaben'!$C$8)</f>
        <v/>
      </c>
      <c r="F1809" s="17" t="str">
        <f>IF(E1809="","",AVERAGE(INDEX($E$2:$E$3001,MAX(1,ROW()-1-'02_Eingaben'!$C$17)):INDEX($E$2:$E$3001,MIN('02_Eingaben'!$C$21,ROW()-1+'02_Eingaben'!$C$17))))</f>
        <v/>
      </c>
      <c r="G1809" s="17" t="str">
        <f>IF(F1809="","",F1809-'02_Eingaben'!$C$10)</f>
        <v/>
      </c>
      <c r="H1809" t="str">
        <f>IF(F1809="","",IF(F1809&lt;'02_Eingaben'!$C$18*'02_Eingaben'!$C$10,1,0))</f>
        <v/>
      </c>
      <c r="I1809" s="17" t="str">
        <f t="shared" si="28"/>
        <v/>
      </c>
      <c r="J1809" s="17" t="str">
        <f>IF(B1809="","",IF(B1808&lt;'02_Eingaben'!$C$36,0,J1808+I1808/'02_Eingaben'!$C$8))</f>
        <v/>
      </c>
    </row>
    <row r="1810" spans="1:10" x14ac:dyDescent="0.25">
      <c r="A1810" t="str">
        <f>IF('01_Rohdaten'!A1810="","",ROW()-1)</f>
        <v/>
      </c>
      <c r="B1810" s="17" t="str">
        <f>IF('01_Rohdaten'!A1810="","",'01_Rohdaten'!A1810)</f>
        <v/>
      </c>
      <c r="C1810" s="17" t="str">
        <f>IF(B1810="","",INDEX('01_Rohdaten'!B1810:D1810,'02_Eingaben'!$C$13))</f>
        <v/>
      </c>
      <c r="D1810" s="17" t="str">
        <f>IF(C1810="","",C1810*'02_Eingaben'!$C$15)</f>
        <v/>
      </c>
      <c r="E1810" s="17" t="str">
        <f>IF(D1810="","",D1810*'02_Eingaben'!$C$8)</f>
        <v/>
      </c>
      <c r="F1810" s="17" t="str">
        <f>IF(E1810="","",AVERAGE(INDEX($E$2:$E$3001,MAX(1,ROW()-1-'02_Eingaben'!$C$17)):INDEX($E$2:$E$3001,MIN('02_Eingaben'!$C$21,ROW()-1+'02_Eingaben'!$C$17))))</f>
        <v/>
      </c>
      <c r="G1810" s="17" t="str">
        <f>IF(F1810="","",F1810-'02_Eingaben'!$C$10)</f>
        <v/>
      </c>
      <c r="H1810" t="str">
        <f>IF(F1810="","",IF(F1810&lt;'02_Eingaben'!$C$18*'02_Eingaben'!$C$10,1,0))</f>
        <v/>
      </c>
      <c r="I1810" s="17" t="str">
        <f t="shared" si="28"/>
        <v/>
      </c>
      <c r="J1810" s="17" t="str">
        <f>IF(B1810="","",IF(B1809&lt;'02_Eingaben'!$C$36,0,J1809+I1809/'02_Eingaben'!$C$8))</f>
        <v/>
      </c>
    </row>
    <row r="1811" spans="1:10" x14ac:dyDescent="0.25">
      <c r="A1811" t="str">
        <f>IF('01_Rohdaten'!A1811="","",ROW()-1)</f>
        <v/>
      </c>
      <c r="B1811" s="17" t="str">
        <f>IF('01_Rohdaten'!A1811="","",'01_Rohdaten'!A1811)</f>
        <v/>
      </c>
      <c r="C1811" s="17" t="str">
        <f>IF(B1811="","",INDEX('01_Rohdaten'!B1811:D1811,'02_Eingaben'!$C$13))</f>
        <v/>
      </c>
      <c r="D1811" s="17" t="str">
        <f>IF(C1811="","",C1811*'02_Eingaben'!$C$15)</f>
        <v/>
      </c>
      <c r="E1811" s="17" t="str">
        <f>IF(D1811="","",D1811*'02_Eingaben'!$C$8)</f>
        <v/>
      </c>
      <c r="F1811" s="17" t="str">
        <f>IF(E1811="","",AVERAGE(INDEX($E$2:$E$3001,MAX(1,ROW()-1-'02_Eingaben'!$C$17)):INDEX($E$2:$E$3001,MIN('02_Eingaben'!$C$21,ROW()-1+'02_Eingaben'!$C$17))))</f>
        <v/>
      </c>
      <c r="G1811" s="17" t="str">
        <f>IF(F1811="","",F1811-'02_Eingaben'!$C$10)</f>
        <v/>
      </c>
      <c r="H1811" t="str">
        <f>IF(F1811="","",IF(F1811&lt;'02_Eingaben'!$C$18*'02_Eingaben'!$C$10,1,0))</f>
        <v/>
      </c>
      <c r="I1811" s="17" t="str">
        <f t="shared" si="28"/>
        <v/>
      </c>
      <c r="J1811" s="17" t="str">
        <f>IF(B1811="","",IF(B1810&lt;'02_Eingaben'!$C$36,0,J1810+I1810/'02_Eingaben'!$C$8))</f>
        <v/>
      </c>
    </row>
    <row r="1812" spans="1:10" x14ac:dyDescent="0.25">
      <c r="A1812" t="str">
        <f>IF('01_Rohdaten'!A1812="","",ROW()-1)</f>
        <v/>
      </c>
      <c r="B1812" s="17" t="str">
        <f>IF('01_Rohdaten'!A1812="","",'01_Rohdaten'!A1812)</f>
        <v/>
      </c>
      <c r="C1812" s="17" t="str">
        <f>IF(B1812="","",INDEX('01_Rohdaten'!B1812:D1812,'02_Eingaben'!$C$13))</f>
        <v/>
      </c>
      <c r="D1812" s="17" t="str">
        <f>IF(C1812="","",C1812*'02_Eingaben'!$C$15)</f>
        <v/>
      </c>
      <c r="E1812" s="17" t="str">
        <f>IF(D1812="","",D1812*'02_Eingaben'!$C$8)</f>
        <v/>
      </c>
      <c r="F1812" s="17" t="str">
        <f>IF(E1812="","",AVERAGE(INDEX($E$2:$E$3001,MAX(1,ROW()-1-'02_Eingaben'!$C$17)):INDEX($E$2:$E$3001,MIN('02_Eingaben'!$C$21,ROW()-1+'02_Eingaben'!$C$17))))</f>
        <v/>
      </c>
      <c r="G1812" s="17" t="str">
        <f>IF(F1812="","",F1812-'02_Eingaben'!$C$10)</f>
        <v/>
      </c>
      <c r="H1812" t="str">
        <f>IF(F1812="","",IF(F1812&lt;'02_Eingaben'!$C$18*'02_Eingaben'!$C$10,1,0))</f>
        <v/>
      </c>
      <c r="I1812" s="17" t="str">
        <f t="shared" si="28"/>
        <v/>
      </c>
      <c r="J1812" s="17" t="str">
        <f>IF(B1812="","",IF(B1811&lt;'02_Eingaben'!$C$36,0,J1811+I1811/'02_Eingaben'!$C$8))</f>
        <v/>
      </c>
    </row>
    <row r="1813" spans="1:10" x14ac:dyDescent="0.25">
      <c r="A1813" t="str">
        <f>IF('01_Rohdaten'!A1813="","",ROW()-1)</f>
        <v/>
      </c>
      <c r="B1813" s="17" t="str">
        <f>IF('01_Rohdaten'!A1813="","",'01_Rohdaten'!A1813)</f>
        <v/>
      </c>
      <c r="C1813" s="17" t="str">
        <f>IF(B1813="","",INDEX('01_Rohdaten'!B1813:D1813,'02_Eingaben'!$C$13))</f>
        <v/>
      </c>
      <c r="D1813" s="17" t="str">
        <f>IF(C1813="","",C1813*'02_Eingaben'!$C$15)</f>
        <v/>
      </c>
      <c r="E1813" s="17" t="str">
        <f>IF(D1813="","",D1813*'02_Eingaben'!$C$8)</f>
        <v/>
      </c>
      <c r="F1813" s="17" t="str">
        <f>IF(E1813="","",AVERAGE(INDEX($E$2:$E$3001,MAX(1,ROW()-1-'02_Eingaben'!$C$17)):INDEX($E$2:$E$3001,MIN('02_Eingaben'!$C$21,ROW()-1+'02_Eingaben'!$C$17))))</f>
        <v/>
      </c>
      <c r="G1813" s="17" t="str">
        <f>IF(F1813="","",F1813-'02_Eingaben'!$C$10)</f>
        <v/>
      </c>
      <c r="H1813" t="str">
        <f>IF(F1813="","",IF(F1813&lt;'02_Eingaben'!$C$18*'02_Eingaben'!$C$10,1,0))</f>
        <v/>
      </c>
      <c r="I1813" s="17" t="str">
        <f t="shared" si="28"/>
        <v/>
      </c>
      <c r="J1813" s="17" t="str">
        <f>IF(B1813="","",IF(B1812&lt;'02_Eingaben'!$C$36,0,J1812+I1812/'02_Eingaben'!$C$8))</f>
        <v/>
      </c>
    </row>
    <row r="1814" spans="1:10" x14ac:dyDescent="0.25">
      <c r="A1814" t="str">
        <f>IF('01_Rohdaten'!A1814="","",ROW()-1)</f>
        <v/>
      </c>
      <c r="B1814" s="17" t="str">
        <f>IF('01_Rohdaten'!A1814="","",'01_Rohdaten'!A1814)</f>
        <v/>
      </c>
      <c r="C1814" s="17" t="str">
        <f>IF(B1814="","",INDEX('01_Rohdaten'!B1814:D1814,'02_Eingaben'!$C$13))</f>
        <v/>
      </c>
      <c r="D1814" s="17" t="str">
        <f>IF(C1814="","",C1814*'02_Eingaben'!$C$15)</f>
        <v/>
      </c>
      <c r="E1814" s="17" t="str">
        <f>IF(D1814="","",D1814*'02_Eingaben'!$C$8)</f>
        <v/>
      </c>
      <c r="F1814" s="17" t="str">
        <f>IF(E1814="","",AVERAGE(INDEX($E$2:$E$3001,MAX(1,ROW()-1-'02_Eingaben'!$C$17)):INDEX($E$2:$E$3001,MIN('02_Eingaben'!$C$21,ROW()-1+'02_Eingaben'!$C$17))))</f>
        <v/>
      </c>
      <c r="G1814" s="17" t="str">
        <f>IF(F1814="","",F1814-'02_Eingaben'!$C$10)</f>
        <v/>
      </c>
      <c r="H1814" t="str">
        <f>IF(F1814="","",IF(F1814&lt;'02_Eingaben'!$C$18*'02_Eingaben'!$C$10,1,0))</f>
        <v/>
      </c>
      <c r="I1814" s="17" t="str">
        <f t="shared" si="28"/>
        <v/>
      </c>
      <c r="J1814" s="17" t="str">
        <f>IF(B1814="","",IF(B1813&lt;'02_Eingaben'!$C$36,0,J1813+I1813/'02_Eingaben'!$C$8))</f>
        <v/>
      </c>
    </row>
    <row r="1815" spans="1:10" x14ac:dyDescent="0.25">
      <c r="A1815" t="str">
        <f>IF('01_Rohdaten'!A1815="","",ROW()-1)</f>
        <v/>
      </c>
      <c r="B1815" s="17" t="str">
        <f>IF('01_Rohdaten'!A1815="","",'01_Rohdaten'!A1815)</f>
        <v/>
      </c>
      <c r="C1815" s="17" t="str">
        <f>IF(B1815="","",INDEX('01_Rohdaten'!B1815:D1815,'02_Eingaben'!$C$13))</f>
        <v/>
      </c>
      <c r="D1815" s="17" t="str">
        <f>IF(C1815="","",C1815*'02_Eingaben'!$C$15)</f>
        <v/>
      </c>
      <c r="E1815" s="17" t="str">
        <f>IF(D1815="","",D1815*'02_Eingaben'!$C$8)</f>
        <v/>
      </c>
      <c r="F1815" s="17" t="str">
        <f>IF(E1815="","",AVERAGE(INDEX($E$2:$E$3001,MAX(1,ROW()-1-'02_Eingaben'!$C$17)):INDEX($E$2:$E$3001,MIN('02_Eingaben'!$C$21,ROW()-1+'02_Eingaben'!$C$17))))</f>
        <v/>
      </c>
      <c r="G1815" s="17" t="str">
        <f>IF(F1815="","",F1815-'02_Eingaben'!$C$10)</f>
        <v/>
      </c>
      <c r="H1815" t="str">
        <f>IF(F1815="","",IF(F1815&lt;'02_Eingaben'!$C$18*'02_Eingaben'!$C$10,1,0))</f>
        <v/>
      </c>
      <c r="I1815" s="17" t="str">
        <f t="shared" si="28"/>
        <v/>
      </c>
      <c r="J1815" s="17" t="str">
        <f>IF(B1815="","",IF(B1814&lt;'02_Eingaben'!$C$36,0,J1814+I1814/'02_Eingaben'!$C$8))</f>
        <v/>
      </c>
    </row>
    <row r="1816" spans="1:10" x14ac:dyDescent="0.25">
      <c r="A1816" t="str">
        <f>IF('01_Rohdaten'!A1816="","",ROW()-1)</f>
        <v/>
      </c>
      <c r="B1816" s="17" t="str">
        <f>IF('01_Rohdaten'!A1816="","",'01_Rohdaten'!A1816)</f>
        <v/>
      </c>
      <c r="C1816" s="17" t="str">
        <f>IF(B1816="","",INDEX('01_Rohdaten'!B1816:D1816,'02_Eingaben'!$C$13))</f>
        <v/>
      </c>
      <c r="D1816" s="17" t="str">
        <f>IF(C1816="","",C1816*'02_Eingaben'!$C$15)</f>
        <v/>
      </c>
      <c r="E1816" s="17" t="str">
        <f>IF(D1816="","",D1816*'02_Eingaben'!$C$8)</f>
        <v/>
      </c>
      <c r="F1816" s="17" t="str">
        <f>IF(E1816="","",AVERAGE(INDEX($E$2:$E$3001,MAX(1,ROW()-1-'02_Eingaben'!$C$17)):INDEX($E$2:$E$3001,MIN('02_Eingaben'!$C$21,ROW()-1+'02_Eingaben'!$C$17))))</f>
        <v/>
      </c>
      <c r="G1816" s="17" t="str">
        <f>IF(F1816="","",F1816-'02_Eingaben'!$C$10)</f>
        <v/>
      </c>
      <c r="H1816" t="str">
        <f>IF(F1816="","",IF(F1816&lt;'02_Eingaben'!$C$18*'02_Eingaben'!$C$10,1,0))</f>
        <v/>
      </c>
      <c r="I1816" s="17" t="str">
        <f t="shared" si="28"/>
        <v/>
      </c>
      <c r="J1816" s="17" t="str">
        <f>IF(B1816="","",IF(B1815&lt;'02_Eingaben'!$C$36,0,J1815+I1815/'02_Eingaben'!$C$8))</f>
        <v/>
      </c>
    </row>
    <row r="1817" spans="1:10" x14ac:dyDescent="0.25">
      <c r="A1817" t="str">
        <f>IF('01_Rohdaten'!A1817="","",ROW()-1)</f>
        <v/>
      </c>
      <c r="B1817" s="17" t="str">
        <f>IF('01_Rohdaten'!A1817="","",'01_Rohdaten'!A1817)</f>
        <v/>
      </c>
      <c r="C1817" s="17" t="str">
        <f>IF(B1817="","",INDEX('01_Rohdaten'!B1817:D1817,'02_Eingaben'!$C$13))</f>
        <v/>
      </c>
      <c r="D1817" s="17" t="str">
        <f>IF(C1817="","",C1817*'02_Eingaben'!$C$15)</f>
        <v/>
      </c>
      <c r="E1817" s="17" t="str">
        <f>IF(D1817="","",D1817*'02_Eingaben'!$C$8)</f>
        <v/>
      </c>
      <c r="F1817" s="17" t="str">
        <f>IF(E1817="","",AVERAGE(INDEX($E$2:$E$3001,MAX(1,ROW()-1-'02_Eingaben'!$C$17)):INDEX($E$2:$E$3001,MIN('02_Eingaben'!$C$21,ROW()-1+'02_Eingaben'!$C$17))))</f>
        <v/>
      </c>
      <c r="G1817" s="17" t="str">
        <f>IF(F1817="","",F1817-'02_Eingaben'!$C$10)</f>
        <v/>
      </c>
      <c r="H1817" t="str">
        <f>IF(F1817="","",IF(F1817&lt;'02_Eingaben'!$C$18*'02_Eingaben'!$C$10,1,0))</f>
        <v/>
      </c>
      <c r="I1817" s="17" t="str">
        <f t="shared" si="28"/>
        <v/>
      </c>
      <c r="J1817" s="17" t="str">
        <f>IF(B1817="","",IF(B1816&lt;'02_Eingaben'!$C$36,0,J1816+I1816/'02_Eingaben'!$C$8))</f>
        <v/>
      </c>
    </row>
    <row r="1818" spans="1:10" x14ac:dyDescent="0.25">
      <c r="A1818" t="str">
        <f>IF('01_Rohdaten'!A1818="","",ROW()-1)</f>
        <v/>
      </c>
      <c r="B1818" s="17" t="str">
        <f>IF('01_Rohdaten'!A1818="","",'01_Rohdaten'!A1818)</f>
        <v/>
      </c>
      <c r="C1818" s="17" t="str">
        <f>IF(B1818="","",INDEX('01_Rohdaten'!B1818:D1818,'02_Eingaben'!$C$13))</f>
        <v/>
      </c>
      <c r="D1818" s="17" t="str">
        <f>IF(C1818="","",C1818*'02_Eingaben'!$C$15)</f>
        <v/>
      </c>
      <c r="E1818" s="17" t="str">
        <f>IF(D1818="","",D1818*'02_Eingaben'!$C$8)</f>
        <v/>
      </c>
      <c r="F1818" s="17" t="str">
        <f>IF(E1818="","",AVERAGE(INDEX($E$2:$E$3001,MAX(1,ROW()-1-'02_Eingaben'!$C$17)):INDEX($E$2:$E$3001,MIN('02_Eingaben'!$C$21,ROW()-1+'02_Eingaben'!$C$17))))</f>
        <v/>
      </c>
      <c r="G1818" s="17" t="str">
        <f>IF(F1818="","",F1818-'02_Eingaben'!$C$10)</f>
        <v/>
      </c>
      <c r="H1818" t="str">
        <f>IF(F1818="","",IF(F1818&lt;'02_Eingaben'!$C$18*'02_Eingaben'!$C$10,1,0))</f>
        <v/>
      </c>
      <c r="I1818" s="17" t="str">
        <f t="shared" si="28"/>
        <v/>
      </c>
      <c r="J1818" s="17" t="str">
        <f>IF(B1818="","",IF(B1817&lt;'02_Eingaben'!$C$36,0,J1817+I1817/'02_Eingaben'!$C$8))</f>
        <v/>
      </c>
    </row>
    <row r="1819" spans="1:10" x14ac:dyDescent="0.25">
      <c r="A1819" t="str">
        <f>IF('01_Rohdaten'!A1819="","",ROW()-1)</f>
        <v/>
      </c>
      <c r="B1819" s="17" t="str">
        <f>IF('01_Rohdaten'!A1819="","",'01_Rohdaten'!A1819)</f>
        <v/>
      </c>
      <c r="C1819" s="17" t="str">
        <f>IF(B1819="","",INDEX('01_Rohdaten'!B1819:D1819,'02_Eingaben'!$C$13))</f>
        <v/>
      </c>
      <c r="D1819" s="17" t="str">
        <f>IF(C1819="","",C1819*'02_Eingaben'!$C$15)</f>
        <v/>
      </c>
      <c r="E1819" s="17" t="str">
        <f>IF(D1819="","",D1819*'02_Eingaben'!$C$8)</f>
        <v/>
      </c>
      <c r="F1819" s="17" t="str">
        <f>IF(E1819="","",AVERAGE(INDEX($E$2:$E$3001,MAX(1,ROW()-1-'02_Eingaben'!$C$17)):INDEX($E$2:$E$3001,MIN('02_Eingaben'!$C$21,ROW()-1+'02_Eingaben'!$C$17))))</f>
        <v/>
      </c>
      <c r="G1819" s="17" t="str">
        <f>IF(F1819="","",F1819-'02_Eingaben'!$C$10)</f>
        <v/>
      </c>
      <c r="H1819" t="str">
        <f>IF(F1819="","",IF(F1819&lt;'02_Eingaben'!$C$18*'02_Eingaben'!$C$10,1,0))</f>
        <v/>
      </c>
      <c r="I1819" s="17" t="str">
        <f t="shared" si="28"/>
        <v/>
      </c>
      <c r="J1819" s="17" t="str">
        <f>IF(B1819="","",IF(B1818&lt;'02_Eingaben'!$C$36,0,J1818+I1818/'02_Eingaben'!$C$8))</f>
        <v/>
      </c>
    </row>
    <row r="1820" spans="1:10" x14ac:dyDescent="0.25">
      <c r="A1820" t="str">
        <f>IF('01_Rohdaten'!A1820="","",ROW()-1)</f>
        <v/>
      </c>
      <c r="B1820" s="17" t="str">
        <f>IF('01_Rohdaten'!A1820="","",'01_Rohdaten'!A1820)</f>
        <v/>
      </c>
      <c r="C1820" s="17" t="str">
        <f>IF(B1820="","",INDEX('01_Rohdaten'!B1820:D1820,'02_Eingaben'!$C$13))</f>
        <v/>
      </c>
      <c r="D1820" s="17" t="str">
        <f>IF(C1820="","",C1820*'02_Eingaben'!$C$15)</f>
        <v/>
      </c>
      <c r="E1820" s="17" t="str">
        <f>IF(D1820="","",D1820*'02_Eingaben'!$C$8)</f>
        <v/>
      </c>
      <c r="F1820" s="17" t="str">
        <f>IF(E1820="","",AVERAGE(INDEX($E$2:$E$3001,MAX(1,ROW()-1-'02_Eingaben'!$C$17)):INDEX($E$2:$E$3001,MIN('02_Eingaben'!$C$21,ROW()-1+'02_Eingaben'!$C$17))))</f>
        <v/>
      </c>
      <c r="G1820" s="17" t="str">
        <f>IF(F1820="","",F1820-'02_Eingaben'!$C$10)</f>
        <v/>
      </c>
      <c r="H1820" t="str">
        <f>IF(F1820="","",IF(F1820&lt;'02_Eingaben'!$C$18*'02_Eingaben'!$C$10,1,0))</f>
        <v/>
      </c>
      <c r="I1820" s="17" t="str">
        <f t="shared" si="28"/>
        <v/>
      </c>
      <c r="J1820" s="17" t="str">
        <f>IF(B1820="","",IF(B1819&lt;'02_Eingaben'!$C$36,0,J1819+I1819/'02_Eingaben'!$C$8))</f>
        <v/>
      </c>
    </row>
    <row r="1821" spans="1:10" x14ac:dyDescent="0.25">
      <c r="A1821" t="str">
        <f>IF('01_Rohdaten'!A1821="","",ROW()-1)</f>
        <v/>
      </c>
      <c r="B1821" s="17" t="str">
        <f>IF('01_Rohdaten'!A1821="","",'01_Rohdaten'!A1821)</f>
        <v/>
      </c>
      <c r="C1821" s="17" t="str">
        <f>IF(B1821="","",INDEX('01_Rohdaten'!B1821:D1821,'02_Eingaben'!$C$13))</f>
        <v/>
      </c>
      <c r="D1821" s="17" t="str">
        <f>IF(C1821="","",C1821*'02_Eingaben'!$C$15)</f>
        <v/>
      </c>
      <c r="E1821" s="17" t="str">
        <f>IF(D1821="","",D1821*'02_Eingaben'!$C$8)</f>
        <v/>
      </c>
      <c r="F1821" s="17" t="str">
        <f>IF(E1821="","",AVERAGE(INDEX($E$2:$E$3001,MAX(1,ROW()-1-'02_Eingaben'!$C$17)):INDEX($E$2:$E$3001,MIN('02_Eingaben'!$C$21,ROW()-1+'02_Eingaben'!$C$17))))</f>
        <v/>
      </c>
      <c r="G1821" s="17" t="str">
        <f>IF(F1821="","",F1821-'02_Eingaben'!$C$10)</f>
        <v/>
      </c>
      <c r="H1821" t="str">
        <f>IF(F1821="","",IF(F1821&lt;'02_Eingaben'!$C$18*'02_Eingaben'!$C$10,1,0))</f>
        <v/>
      </c>
      <c r="I1821" s="17" t="str">
        <f t="shared" si="28"/>
        <v/>
      </c>
      <c r="J1821" s="17" t="str">
        <f>IF(B1821="","",IF(B1820&lt;'02_Eingaben'!$C$36,0,J1820+I1820/'02_Eingaben'!$C$8))</f>
        <v/>
      </c>
    </row>
    <row r="1822" spans="1:10" x14ac:dyDescent="0.25">
      <c r="A1822" t="str">
        <f>IF('01_Rohdaten'!A1822="","",ROW()-1)</f>
        <v/>
      </c>
      <c r="B1822" s="17" t="str">
        <f>IF('01_Rohdaten'!A1822="","",'01_Rohdaten'!A1822)</f>
        <v/>
      </c>
      <c r="C1822" s="17" t="str">
        <f>IF(B1822="","",INDEX('01_Rohdaten'!B1822:D1822,'02_Eingaben'!$C$13))</f>
        <v/>
      </c>
      <c r="D1822" s="17" t="str">
        <f>IF(C1822="","",C1822*'02_Eingaben'!$C$15)</f>
        <v/>
      </c>
      <c r="E1822" s="17" t="str">
        <f>IF(D1822="","",D1822*'02_Eingaben'!$C$8)</f>
        <v/>
      </c>
      <c r="F1822" s="17" t="str">
        <f>IF(E1822="","",AVERAGE(INDEX($E$2:$E$3001,MAX(1,ROW()-1-'02_Eingaben'!$C$17)):INDEX($E$2:$E$3001,MIN('02_Eingaben'!$C$21,ROW()-1+'02_Eingaben'!$C$17))))</f>
        <v/>
      </c>
      <c r="G1822" s="17" t="str">
        <f>IF(F1822="","",F1822-'02_Eingaben'!$C$10)</f>
        <v/>
      </c>
      <c r="H1822" t="str">
        <f>IF(F1822="","",IF(F1822&lt;'02_Eingaben'!$C$18*'02_Eingaben'!$C$10,1,0))</f>
        <v/>
      </c>
      <c r="I1822" s="17" t="str">
        <f t="shared" si="28"/>
        <v/>
      </c>
      <c r="J1822" s="17" t="str">
        <f>IF(B1822="","",IF(B1821&lt;'02_Eingaben'!$C$36,0,J1821+I1821/'02_Eingaben'!$C$8))</f>
        <v/>
      </c>
    </row>
    <row r="1823" spans="1:10" x14ac:dyDescent="0.25">
      <c r="A1823" t="str">
        <f>IF('01_Rohdaten'!A1823="","",ROW()-1)</f>
        <v/>
      </c>
      <c r="B1823" s="17" t="str">
        <f>IF('01_Rohdaten'!A1823="","",'01_Rohdaten'!A1823)</f>
        <v/>
      </c>
      <c r="C1823" s="17" t="str">
        <f>IF(B1823="","",INDEX('01_Rohdaten'!B1823:D1823,'02_Eingaben'!$C$13))</f>
        <v/>
      </c>
      <c r="D1823" s="17" t="str">
        <f>IF(C1823="","",C1823*'02_Eingaben'!$C$15)</f>
        <v/>
      </c>
      <c r="E1823" s="17" t="str">
        <f>IF(D1823="","",D1823*'02_Eingaben'!$C$8)</f>
        <v/>
      </c>
      <c r="F1823" s="17" t="str">
        <f>IF(E1823="","",AVERAGE(INDEX($E$2:$E$3001,MAX(1,ROW()-1-'02_Eingaben'!$C$17)):INDEX($E$2:$E$3001,MIN('02_Eingaben'!$C$21,ROW()-1+'02_Eingaben'!$C$17))))</f>
        <v/>
      </c>
      <c r="G1823" s="17" t="str">
        <f>IF(F1823="","",F1823-'02_Eingaben'!$C$10)</f>
        <v/>
      </c>
      <c r="H1823" t="str">
        <f>IF(F1823="","",IF(F1823&lt;'02_Eingaben'!$C$18*'02_Eingaben'!$C$10,1,0))</f>
        <v/>
      </c>
      <c r="I1823" s="17" t="str">
        <f t="shared" si="28"/>
        <v/>
      </c>
      <c r="J1823" s="17" t="str">
        <f>IF(B1823="","",IF(B1822&lt;'02_Eingaben'!$C$36,0,J1822+I1822/'02_Eingaben'!$C$8))</f>
        <v/>
      </c>
    </row>
    <row r="1824" spans="1:10" x14ac:dyDescent="0.25">
      <c r="A1824" t="str">
        <f>IF('01_Rohdaten'!A1824="","",ROW()-1)</f>
        <v/>
      </c>
      <c r="B1824" s="17" t="str">
        <f>IF('01_Rohdaten'!A1824="","",'01_Rohdaten'!A1824)</f>
        <v/>
      </c>
      <c r="C1824" s="17" t="str">
        <f>IF(B1824="","",INDEX('01_Rohdaten'!B1824:D1824,'02_Eingaben'!$C$13))</f>
        <v/>
      </c>
      <c r="D1824" s="17" t="str">
        <f>IF(C1824="","",C1824*'02_Eingaben'!$C$15)</f>
        <v/>
      </c>
      <c r="E1824" s="17" t="str">
        <f>IF(D1824="","",D1824*'02_Eingaben'!$C$8)</f>
        <v/>
      </c>
      <c r="F1824" s="17" t="str">
        <f>IF(E1824="","",AVERAGE(INDEX($E$2:$E$3001,MAX(1,ROW()-1-'02_Eingaben'!$C$17)):INDEX($E$2:$E$3001,MIN('02_Eingaben'!$C$21,ROW()-1+'02_Eingaben'!$C$17))))</f>
        <v/>
      </c>
      <c r="G1824" s="17" t="str">
        <f>IF(F1824="","",F1824-'02_Eingaben'!$C$10)</f>
        <v/>
      </c>
      <c r="H1824" t="str">
        <f>IF(F1824="","",IF(F1824&lt;'02_Eingaben'!$C$18*'02_Eingaben'!$C$10,1,0))</f>
        <v/>
      </c>
      <c r="I1824" s="17" t="str">
        <f t="shared" si="28"/>
        <v/>
      </c>
      <c r="J1824" s="17" t="str">
        <f>IF(B1824="","",IF(B1823&lt;'02_Eingaben'!$C$36,0,J1823+I1823/'02_Eingaben'!$C$8))</f>
        <v/>
      </c>
    </row>
    <row r="1825" spans="1:10" x14ac:dyDescent="0.25">
      <c r="A1825" t="str">
        <f>IF('01_Rohdaten'!A1825="","",ROW()-1)</f>
        <v/>
      </c>
      <c r="B1825" s="17" t="str">
        <f>IF('01_Rohdaten'!A1825="","",'01_Rohdaten'!A1825)</f>
        <v/>
      </c>
      <c r="C1825" s="17" t="str">
        <f>IF(B1825="","",INDEX('01_Rohdaten'!B1825:D1825,'02_Eingaben'!$C$13))</f>
        <v/>
      </c>
      <c r="D1825" s="17" t="str">
        <f>IF(C1825="","",C1825*'02_Eingaben'!$C$15)</f>
        <v/>
      </c>
      <c r="E1825" s="17" t="str">
        <f>IF(D1825="","",D1825*'02_Eingaben'!$C$8)</f>
        <v/>
      </c>
      <c r="F1825" s="17" t="str">
        <f>IF(E1825="","",AVERAGE(INDEX($E$2:$E$3001,MAX(1,ROW()-1-'02_Eingaben'!$C$17)):INDEX($E$2:$E$3001,MIN('02_Eingaben'!$C$21,ROW()-1+'02_Eingaben'!$C$17))))</f>
        <v/>
      </c>
      <c r="G1825" s="17" t="str">
        <f>IF(F1825="","",F1825-'02_Eingaben'!$C$10)</f>
        <v/>
      </c>
      <c r="H1825" t="str">
        <f>IF(F1825="","",IF(F1825&lt;'02_Eingaben'!$C$18*'02_Eingaben'!$C$10,1,0))</f>
        <v/>
      </c>
      <c r="I1825" s="17" t="str">
        <f t="shared" si="28"/>
        <v/>
      </c>
      <c r="J1825" s="17" t="str">
        <f>IF(B1825="","",IF(B1824&lt;'02_Eingaben'!$C$36,0,J1824+I1824/'02_Eingaben'!$C$8))</f>
        <v/>
      </c>
    </row>
    <row r="1826" spans="1:10" x14ac:dyDescent="0.25">
      <c r="A1826" t="str">
        <f>IF('01_Rohdaten'!A1826="","",ROW()-1)</f>
        <v/>
      </c>
      <c r="B1826" s="17" t="str">
        <f>IF('01_Rohdaten'!A1826="","",'01_Rohdaten'!A1826)</f>
        <v/>
      </c>
      <c r="C1826" s="17" t="str">
        <f>IF(B1826="","",INDEX('01_Rohdaten'!B1826:D1826,'02_Eingaben'!$C$13))</f>
        <v/>
      </c>
      <c r="D1826" s="17" t="str">
        <f>IF(C1826="","",C1826*'02_Eingaben'!$C$15)</f>
        <v/>
      </c>
      <c r="E1826" s="17" t="str">
        <f>IF(D1826="","",D1826*'02_Eingaben'!$C$8)</f>
        <v/>
      </c>
      <c r="F1826" s="17" t="str">
        <f>IF(E1826="","",AVERAGE(INDEX($E$2:$E$3001,MAX(1,ROW()-1-'02_Eingaben'!$C$17)):INDEX($E$2:$E$3001,MIN('02_Eingaben'!$C$21,ROW()-1+'02_Eingaben'!$C$17))))</f>
        <v/>
      </c>
      <c r="G1826" s="17" t="str">
        <f>IF(F1826="","",F1826-'02_Eingaben'!$C$10)</f>
        <v/>
      </c>
      <c r="H1826" t="str">
        <f>IF(F1826="","",IF(F1826&lt;'02_Eingaben'!$C$18*'02_Eingaben'!$C$10,1,0))</f>
        <v/>
      </c>
      <c r="I1826" s="17" t="str">
        <f t="shared" si="28"/>
        <v/>
      </c>
      <c r="J1826" s="17" t="str">
        <f>IF(B1826="","",IF(B1825&lt;'02_Eingaben'!$C$36,0,J1825+I1825/'02_Eingaben'!$C$8))</f>
        <v/>
      </c>
    </row>
    <row r="1827" spans="1:10" x14ac:dyDescent="0.25">
      <c r="A1827" t="str">
        <f>IF('01_Rohdaten'!A1827="","",ROW()-1)</f>
        <v/>
      </c>
      <c r="B1827" s="17" t="str">
        <f>IF('01_Rohdaten'!A1827="","",'01_Rohdaten'!A1827)</f>
        <v/>
      </c>
      <c r="C1827" s="17" t="str">
        <f>IF(B1827="","",INDEX('01_Rohdaten'!B1827:D1827,'02_Eingaben'!$C$13))</f>
        <v/>
      </c>
      <c r="D1827" s="17" t="str">
        <f>IF(C1827="","",C1827*'02_Eingaben'!$C$15)</f>
        <v/>
      </c>
      <c r="E1827" s="17" t="str">
        <f>IF(D1827="","",D1827*'02_Eingaben'!$C$8)</f>
        <v/>
      </c>
      <c r="F1827" s="17" t="str">
        <f>IF(E1827="","",AVERAGE(INDEX($E$2:$E$3001,MAX(1,ROW()-1-'02_Eingaben'!$C$17)):INDEX($E$2:$E$3001,MIN('02_Eingaben'!$C$21,ROW()-1+'02_Eingaben'!$C$17))))</f>
        <v/>
      </c>
      <c r="G1827" s="17" t="str">
        <f>IF(F1827="","",F1827-'02_Eingaben'!$C$10)</f>
        <v/>
      </c>
      <c r="H1827" t="str">
        <f>IF(F1827="","",IF(F1827&lt;'02_Eingaben'!$C$18*'02_Eingaben'!$C$10,1,0))</f>
        <v/>
      </c>
      <c r="I1827" s="17" t="str">
        <f t="shared" si="28"/>
        <v/>
      </c>
      <c r="J1827" s="17" t="str">
        <f>IF(B1827="","",IF(B1826&lt;'02_Eingaben'!$C$36,0,J1826+I1826/'02_Eingaben'!$C$8))</f>
        <v/>
      </c>
    </row>
    <row r="1828" spans="1:10" x14ac:dyDescent="0.25">
      <c r="A1828" t="str">
        <f>IF('01_Rohdaten'!A1828="","",ROW()-1)</f>
        <v/>
      </c>
      <c r="B1828" s="17" t="str">
        <f>IF('01_Rohdaten'!A1828="","",'01_Rohdaten'!A1828)</f>
        <v/>
      </c>
      <c r="C1828" s="17" t="str">
        <f>IF(B1828="","",INDEX('01_Rohdaten'!B1828:D1828,'02_Eingaben'!$C$13))</f>
        <v/>
      </c>
      <c r="D1828" s="17" t="str">
        <f>IF(C1828="","",C1828*'02_Eingaben'!$C$15)</f>
        <v/>
      </c>
      <c r="E1828" s="17" t="str">
        <f>IF(D1828="","",D1828*'02_Eingaben'!$C$8)</f>
        <v/>
      </c>
      <c r="F1828" s="17" t="str">
        <f>IF(E1828="","",AVERAGE(INDEX($E$2:$E$3001,MAX(1,ROW()-1-'02_Eingaben'!$C$17)):INDEX($E$2:$E$3001,MIN('02_Eingaben'!$C$21,ROW()-1+'02_Eingaben'!$C$17))))</f>
        <v/>
      </c>
      <c r="G1828" s="17" t="str">
        <f>IF(F1828="","",F1828-'02_Eingaben'!$C$10)</f>
        <v/>
      </c>
      <c r="H1828" t="str">
        <f>IF(F1828="","",IF(F1828&lt;'02_Eingaben'!$C$18*'02_Eingaben'!$C$10,1,0))</f>
        <v/>
      </c>
      <c r="I1828" s="17" t="str">
        <f t="shared" si="28"/>
        <v/>
      </c>
      <c r="J1828" s="17" t="str">
        <f>IF(B1828="","",IF(B1827&lt;'02_Eingaben'!$C$36,0,J1827+I1827/'02_Eingaben'!$C$8))</f>
        <v/>
      </c>
    </row>
    <row r="1829" spans="1:10" x14ac:dyDescent="0.25">
      <c r="A1829" t="str">
        <f>IF('01_Rohdaten'!A1829="","",ROW()-1)</f>
        <v/>
      </c>
      <c r="B1829" s="17" t="str">
        <f>IF('01_Rohdaten'!A1829="","",'01_Rohdaten'!A1829)</f>
        <v/>
      </c>
      <c r="C1829" s="17" t="str">
        <f>IF(B1829="","",INDEX('01_Rohdaten'!B1829:D1829,'02_Eingaben'!$C$13))</f>
        <v/>
      </c>
      <c r="D1829" s="17" t="str">
        <f>IF(C1829="","",C1829*'02_Eingaben'!$C$15)</f>
        <v/>
      </c>
      <c r="E1829" s="17" t="str">
        <f>IF(D1829="","",D1829*'02_Eingaben'!$C$8)</f>
        <v/>
      </c>
      <c r="F1829" s="17" t="str">
        <f>IF(E1829="","",AVERAGE(INDEX($E$2:$E$3001,MAX(1,ROW()-1-'02_Eingaben'!$C$17)):INDEX($E$2:$E$3001,MIN('02_Eingaben'!$C$21,ROW()-1+'02_Eingaben'!$C$17))))</f>
        <v/>
      </c>
      <c r="G1829" s="17" t="str">
        <f>IF(F1829="","",F1829-'02_Eingaben'!$C$10)</f>
        <v/>
      </c>
      <c r="H1829" t="str">
        <f>IF(F1829="","",IF(F1829&lt;'02_Eingaben'!$C$18*'02_Eingaben'!$C$10,1,0))</f>
        <v/>
      </c>
      <c r="I1829" s="17" t="str">
        <f t="shared" si="28"/>
        <v/>
      </c>
      <c r="J1829" s="17" t="str">
        <f>IF(B1829="","",IF(B1828&lt;'02_Eingaben'!$C$36,0,J1828+I1828/'02_Eingaben'!$C$8))</f>
        <v/>
      </c>
    </row>
    <row r="1830" spans="1:10" x14ac:dyDescent="0.25">
      <c r="A1830" t="str">
        <f>IF('01_Rohdaten'!A1830="","",ROW()-1)</f>
        <v/>
      </c>
      <c r="B1830" s="17" t="str">
        <f>IF('01_Rohdaten'!A1830="","",'01_Rohdaten'!A1830)</f>
        <v/>
      </c>
      <c r="C1830" s="17" t="str">
        <f>IF(B1830="","",INDEX('01_Rohdaten'!B1830:D1830,'02_Eingaben'!$C$13))</f>
        <v/>
      </c>
      <c r="D1830" s="17" t="str">
        <f>IF(C1830="","",C1830*'02_Eingaben'!$C$15)</f>
        <v/>
      </c>
      <c r="E1830" s="17" t="str">
        <f>IF(D1830="","",D1830*'02_Eingaben'!$C$8)</f>
        <v/>
      </c>
      <c r="F1830" s="17" t="str">
        <f>IF(E1830="","",AVERAGE(INDEX($E$2:$E$3001,MAX(1,ROW()-1-'02_Eingaben'!$C$17)):INDEX($E$2:$E$3001,MIN('02_Eingaben'!$C$21,ROW()-1+'02_Eingaben'!$C$17))))</f>
        <v/>
      </c>
      <c r="G1830" s="17" t="str">
        <f>IF(F1830="","",F1830-'02_Eingaben'!$C$10)</f>
        <v/>
      </c>
      <c r="H1830" t="str">
        <f>IF(F1830="","",IF(F1830&lt;'02_Eingaben'!$C$18*'02_Eingaben'!$C$10,1,0))</f>
        <v/>
      </c>
      <c r="I1830" s="17" t="str">
        <f t="shared" si="28"/>
        <v/>
      </c>
      <c r="J1830" s="17" t="str">
        <f>IF(B1830="","",IF(B1829&lt;'02_Eingaben'!$C$36,0,J1829+I1829/'02_Eingaben'!$C$8))</f>
        <v/>
      </c>
    </row>
    <row r="1831" spans="1:10" x14ac:dyDescent="0.25">
      <c r="A1831" t="str">
        <f>IF('01_Rohdaten'!A1831="","",ROW()-1)</f>
        <v/>
      </c>
      <c r="B1831" s="17" t="str">
        <f>IF('01_Rohdaten'!A1831="","",'01_Rohdaten'!A1831)</f>
        <v/>
      </c>
      <c r="C1831" s="17" t="str">
        <f>IF(B1831="","",INDEX('01_Rohdaten'!B1831:D1831,'02_Eingaben'!$C$13))</f>
        <v/>
      </c>
      <c r="D1831" s="17" t="str">
        <f>IF(C1831="","",C1831*'02_Eingaben'!$C$15)</f>
        <v/>
      </c>
      <c r="E1831" s="17" t="str">
        <f>IF(D1831="","",D1831*'02_Eingaben'!$C$8)</f>
        <v/>
      </c>
      <c r="F1831" s="17" t="str">
        <f>IF(E1831="","",AVERAGE(INDEX($E$2:$E$3001,MAX(1,ROW()-1-'02_Eingaben'!$C$17)):INDEX($E$2:$E$3001,MIN('02_Eingaben'!$C$21,ROW()-1+'02_Eingaben'!$C$17))))</f>
        <v/>
      </c>
      <c r="G1831" s="17" t="str">
        <f>IF(F1831="","",F1831-'02_Eingaben'!$C$10)</f>
        <v/>
      </c>
      <c r="H1831" t="str">
        <f>IF(F1831="","",IF(F1831&lt;'02_Eingaben'!$C$18*'02_Eingaben'!$C$10,1,0))</f>
        <v/>
      </c>
      <c r="I1831" s="17" t="str">
        <f t="shared" si="28"/>
        <v/>
      </c>
      <c r="J1831" s="17" t="str">
        <f>IF(B1831="","",IF(B1830&lt;'02_Eingaben'!$C$36,0,J1830+I1830/'02_Eingaben'!$C$8))</f>
        <v/>
      </c>
    </row>
    <row r="1832" spans="1:10" x14ac:dyDescent="0.25">
      <c r="A1832" t="str">
        <f>IF('01_Rohdaten'!A1832="","",ROW()-1)</f>
        <v/>
      </c>
      <c r="B1832" s="17" t="str">
        <f>IF('01_Rohdaten'!A1832="","",'01_Rohdaten'!A1832)</f>
        <v/>
      </c>
      <c r="C1832" s="17" t="str">
        <f>IF(B1832="","",INDEX('01_Rohdaten'!B1832:D1832,'02_Eingaben'!$C$13))</f>
        <v/>
      </c>
      <c r="D1832" s="17" t="str">
        <f>IF(C1832="","",C1832*'02_Eingaben'!$C$15)</f>
        <v/>
      </c>
      <c r="E1832" s="17" t="str">
        <f>IF(D1832="","",D1832*'02_Eingaben'!$C$8)</f>
        <v/>
      </c>
      <c r="F1832" s="17" t="str">
        <f>IF(E1832="","",AVERAGE(INDEX($E$2:$E$3001,MAX(1,ROW()-1-'02_Eingaben'!$C$17)):INDEX($E$2:$E$3001,MIN('02_Eingaben'!$C$21,ROW()-1+'02_Eingaben'!$C$17))))</f>
        <v/>
      </c>
      <c r="G1832" s="17" t="str">
        <f>IF(F1832="","",F1832-'02_Eingaben'!$C$10)</f>
        <v/>
      </c>
      <c r="H1832" t="str">
        <f>IF(F1832="","",IF(F1832&lt;'02_Eingaben'!$C$18*'02_Eingaben'!$C$10,1,0))</f>
        <v/>
      </c>
      <c r="I1832" s="17" t="str">
        <f t="shared" si="28"/>
        <v/>
      </c>
      <c r="J1832" s="17" t="str">
        <f>IF(B1832="","",IF(B1831&lt;'02_Eingaben'!$C$36,0,J1831+I1831/'02_Eingaben'!$C$8))</f>
        <v/>
      </c>
    </row>
    <row r="1833" spans="1:10" x14ac:dyDescent="0.25">
      <c r="A1833" t="str">
        <f>IF('01_Rohdaten'!A1833="","",ROW()-1)</f>
        <v/>
      </c>
      <c r="B1833" s="17" t="str">
        <f>IF('01_Rohdaten'!A1833="","",'01_Rohdaten'!A1833)</f>
        <v/>
      </c>
      <c r="C1833" s="17" t="str">
        <f>IF(B1833="","",INDEX('01_Rohdaten'!B1833:D1833,'02_Eingaben'!$C$13))</f>
        <v/>
      </c>
      <c r="D1833" s="17" t="str">
        <f>IF(C1833="","",C1833*'02_Eingaben'!$C$15)</f>
        <v/>
      </c>
      <c r="E1833" s="17" t="str">
        <f>IF(D1833="","",D1833*'02_Eingaben'!$C$8)</f>
        <v/>
      </c>
      <c r="F1833" s="17" t="str">
        <f>IF(E1833="","",AVERAGE(INDEX($E$2:$E$3001,MAX(1,ROW()-1-'02_Eingaben'!$C$17)):INDEX($E$2:$E$3001,MIN('02_Eingaben'!$C$21,ROW()-1+'02_Eingaben'!$C$17))))</f>
        <v/>
      </c>
      <c r="G1833" s="17" t="str">
        <f>IF(F1833="","",F1833-'02_Eingaben'!$C$10)</f>
        <v/>
      </c>
      <c r="H1833" t="str">
        <f>IF(F1833="","",IF(F1833&lt;'02_Eingaben'!$C$18*'02_Eingaben'!$C$10,1,0))</f>
        <v/>
      </c>
      <c r="I1833" s="17" t="str">
        <f t="shared" si="28"/>
        <v/>
      </c>
      <c r="J1833" s="17" t="str">
        <f>IF(B1833="","",IF(B1832&lt;'02_Eingaben'!$C$36,0,J1832+I1832/'02_Eingaben'!$C$8))</f>
        <v/>
      </c>
    </row>
    <row r="1834" spans="1:10" x14ac:dyDescent="0.25">
      <c r="A1834" t="str">
        <f>IF('01_Rohdaten'!A1834="","",ROW()-1)</f>
        <v/>
      </c>
      <c r="B1834" s="17" t="str">
        <f>IF('01_Rohdaten'!A1834="","",'01_Rohdaten'!A1834)</f>
        <v/>
      </c>
      <c r="C1834" s="17" t="str">
        <f>IF(B1834="","",INDEX('01_Rohdaten'!B1834:D1834,'02_Eingaben'!$C$13))</f>
        <v/>
      </c>
      <c r="D1834" s="17" t="str">
        <f>IF(C1834="","",C1834*'02_Eingaben'!$C$15)</f>
        <v/>
      </c>
      <c r="E1834" s="17" t="str">
        <f>IF(D1834="","",D1834*'02_Eingaben'!$C$8)</f>
        <v/>
      </c>
      <c r="F1834" s="17" t="str">
        <f>IF(E1834="","",AVERAGE(INDEX($E$2:$E$3001,MAX(1,ROW()-1-'02_Eingaben'!$C$17)):INDEX($E$2:$E$3001,MIN('02_Eingaben'!$C$21,ROW()-1+'02_Eingaben'!$C$17))))</f>
        <v/>
      </c>
      <c r="G1834" s="17" t="str">
        <f>IF(F1834="","",F1834-'02_Eingaben'!$C$10)</f>
        <v/>
      </c>
      <c r="H1834" t="str">
        <f>IF(F1834="","",IF(F1834&lt;'02_Eingaben'!$C$18*'02_Eingaben'!$C$10,1,0))</f>
        <v/>
      </c>
      <c r="I1834" s="17" t="str">
        <f t="shared" si="28"/>
        <v/>
      </c>
      <c r="J1834" s="17" t="str">
        <f>IF(B1834="","",IF(B1833&lt;'02_Eingaben'!$C$36,0,J1833+I1833/'02_Eingaben'!$C$8))</f>
        <v/>
      </c>
    </row>
    <row r="1835" spans="1:10" x14ac:dyDescent="0.25">
      <c r="A1835" t="str">
        <f>IF('01_Rohdaten'!A1835="","",ROW()-1)</f>
        <v/>
      </c>
      <c r="B1835" s="17" t="str">
        <f>IF('01_Rohdaten'!A1835="","",'01_Rohdaten'!A1835)</f>
        <v/>
      </c>
      <c r="C1835" s="17" t="str">
        <f>IF(B1835="","",INDEX('01_Rohdaten'!B1835:D1835,'02_Eingaben'!$C$13))</f>
        <v/>
      </c>
      <c r="D1835" s="17" t="str">
        <f>IF(C1835="","",C1835*'02_Eingaben'!$C$15)</f>
        <v/>
      </c>
      <c r="E1835" s="17" t="str">
        <f>IF(D1835="","",D1835*'02_Eingaben'!$C$8)</f>
        <v/>
      </c>
      <c r="F1835" s="17" t="str">
        <f>IF(E1835="","",AVERAGE(INDEX($E$2:$E$3001,MAX(1,ROW()-1-'02_Eingaben'!$C$17)):INDEX($E$2:$E$3001,MIN('02_Eingaben'!$C$21,ROW()-1+'02_Eingaben'!$C$17))))</f>
        <v/>
      </c>
      <c r="G1835" s="17" t="str">
        <f>IF(F1835="","",F1835-'02_Eingaben'!$C$10)</f>
        <v/>
      </c>
      <c r="H1835" t="str">
        <f>IF(F1835="","",IF(F1835&lt;'02_Eingaben'!$C$18*'02_Eingaben'!$C$10,1,0))</f>
        <v/>
      </c>
      <c r="I1835" s="17" t="str">
        <f t="shared" si="28"/>
        <v/>
      </c>
      <c r="J1835" s="17" t="str">
        <f>IF(B1835="","",IF(B1834&lt;'02_Eingaben'!$C$36,0,J1834+I1834/'02_Eingaben'!$C$8))</f>
        <v/>
      </c>
    </row>
    <row r="1836" spans="1:10" x14ac:dyDescent="0.25">
      <c r="A1836" t="str">
        <f>IF('01_Rohdaten'!A1836="","",ROW()-1)</f>
        <v/>
      </c>
      <c r="B1836" s="17" t="str">
        <f>IF('01_Rohdaten'!A1836="","",'01_Rohdaten'!A1836)</f>
        <v/>
      </c>
      <c r="C1836" s="17" t="str">
        <f>IF(B1836="","",INDEX('01_Rohdaten'!B1836:D1836,'02_Eingaben'!$C$13))</f>
        <v/>
      </c>
      <c r="D1836" s="17" t="str">
        <f>IF(C1836="","",C1836*'02_Eingaben'!$C$15)</f>
        <v/>
      </c>
      <c r="E1836" s="17" t="str">
        <f>IF(D1836="","",D1836*'02_Eingaben'!$C$8)</f>
        <v/>
      </c>
      <c r="F1836" s="17" t="str">
        <f>IF(E1836="","",AVERAGE(INDEX($E$2:$E$3001,MAX(1,ROW()-1-'02_Eingaben'!$C$17)):INDEX($E$2:$E$3001,MIN('02_Eingaben'!$C$21,ROW()-1+'02_Eingaben'!$C$17))))</f>
        <v/>
      </c>
      <c r="G1836" s="17" t="str">
        <f>IF(F1836="","",F1836-'02_Eingaben'!$C$10)</f>
        <v/>
      </c>
      <c r="H1836" t="str">
        <f>IF(F1836="","",IF(F1836&lt;'02_Eingaben'!$C$18*'02_Eingaben'!$C$10,1,0))</f>
        <v/>
      </c>
      <c r="I1836" s="17" t="str">
        <f t="shared" si="28"/>
        <v/>
      </c>
      <c r="J1836" s="17" t="str">
        <f>IF(B1836="","",IF(B1835&lt;'02_Eingaben'!$C$36,0,J1835+I1835/'02_Eingaben'!$C$8))</f>
        <v/>
      </c>
    </row>
    <row r="1837" spans="1:10" x14ac:dyDescent="0.25">
      <c r="A1837" t="str">
        <f>IF('01_Rohdaten'!A1837="","",ROW()-1)</f>
        <v/>
      </c>
      <c r="B1837" s="17" t="str">
        <f>IF('01_Rohdaten'!A1837="","",'01_Rohdaten'!A1837)</f>
        <v/>
      </c>
      <c r="C1837" s="17" t="str">
        <f>IF(B1837="","",INDEX('01_Rohdaten'!B1837:D1837,'02_Eingaben'!$C$13))</f>
        <v/>
      </c>
      <c r="D1837" s="17" t="str">
        <f>IF(C1837="","",C1837*'02_Eingaben'!$C$15)</f>
        <v/>
      </c>
      <c r="E1837" s="17" t="str">
        <f>IF(D1837="","",D1837*'02_Eingaben'!$C$8)</f>
        <v/>
      </c>
      <c r="F1837" s="17" t="str">
        <f>IF(E1837="","",AVERAGE(INDEX($E$2:$E$3001,MAX(1,ROW()-1-'02_Eingaben'!$C$17)):INDEX($E$2:$E$3001,MIN('02_Eingaben'!$C$21,ROW()-1+'02_Eingaben'!$C$17))))</f>
        <v/>
      </c>
      <c r="G1837" s="17" t="str">
        <f>IF(F1837="","",F1837-'02_Eingaben'!$C$10)</f>
        <v/>
      </c>
      <c r="H1837" t="str">
        <f>IF(F1837="","",IF(F1837&lt;'02_Eingaben'!$C$18*'02_Eingaben'!$C$10,1,0))</f>
        <v/>
      </c>
      <c r="I1837" s="17" t="str">
        <f t="shared" si="28"/>
        <v/>
      </c>
      <c r="J1837" s="17" t="str">
        <f>IF(B1837="","",IF(B1836&lt;'02_Eingaben'!$C$36,0,J1836+I1836/'02_Eingaben'!$C$8))</f>
        <v/>
      </c>
    </row>
    <row r="1838" spans="1:10" x14ac:dyDescent="0.25">
      <c r="A1838" t="str">
        <f>IF('01_Rohdaten'!A1838="","",ROW()-1)</f>
        <v/>
      </c>
      <c r="B1838" s="17" t="str">
        <f>IF('01_Rohdaten'!A1838="","",'01_Rohdaten'!A1838)</f>
        <v/>
      </c>
      <c r="C1838" s="17" t="str">
        <f>IF(B1838="","",INDEX('01_Rohdaten'!B1838:D1838,'02_Eingaben'!$C$13))</f>
        <v/>
      </c>
      <c r="D1838" s="17" t="str">
        <f>IF(C1838="","",C1838*'02_Eingaben'!$C$15)</f>
        <v/>
      </c>
      <c r="E1838" s="17" t="str">
        <f>IF(D1838="","",D1838*'02_Eingaben'!$C$8)</f>
        <v/>
      </c>
      <c r="F1838" s="17" t="str">
        <f>IF(E1838="","",AVERAGE(INDEX($E$2:$E$3001,MAX(1,ROW()-1-'02_Eingaben'!$C$17)):INDEX($E$2:$E$3001,MIN('02_Eingaben'!$C$21,ROW()-1+'02_Eingaben'!$C$17))))</f>
        <v/>
      </c>
      <c r="G1838" s="17" t="str">
        <f>IF(F1838="","",F1838-'02_Eingaben'!$C$10)</f>
        <v/>
      </c>
      <c r="H1838" t="str">
        <f>IF(F1838="","",IF(F1838&lt;'02_Eingaben'!$C$18*'02_Eingaben'!$C$10,1,0))</f>
        <v/>
      </c>
      <c r="I1838" s="17" t="str">
        <f t="shared" si="28"/>
        <v/>
      </c>
      <c r="J1838" s="17" t="str">
        <f>IF(B1838="","",IF(B1837&lt;'02_Eingaben'!$C$36,0,J1837+I1837/'02_Eingaben'!$C$8))</f>
        <v/>
      </c>
    </row>
    <row r="1839" spans="1:10" x14ac:dyDescent="0.25">
      <c r="A1839" t="str">
        <f>IF('01_Rohdaten'!A1839="","",ROW()-1)</f>
        <v/>
      </c>
      <c r="B1839" s="17" t="str">
        <f>IF('01_Rohdaten'!A1839="","",'01_Rohdaten'!A1839)</f>
        <v/>
      </c>
      <c r="C1839" s="17" t="str">
        <f>IF(B1839="","",INDEX('01_Rohdaten'!B1839:D1839,'02_Eingaben'!$C$13))</f>
        <v/>
      </c>
      <c r="D1839" s="17" t="str">
        <f>IF(C1839="","",C1839*'02_Eingaben'!$C$15)</f>
        <v/>
      </c>
      <c r="E1839" s="17" t="str">
        <f>IF(D1839="","",D1839*'02_Eingaben'!$C$8)</f>
        <v/>
      </c>
      <c r="F1839" s="17" t="str">
        <f>IF(E1839="","",AVERAGE(INDEX($E$2:$E$3001,MAX(1,ROW()-1-'02_Eingaben'!$C$17)):INDEX($E$2:$E$3001,MIN('02_Eingaben'!$C$21,ROW()-1+'02_Eingaben'!$C$17))))</f>
        <v/>
      </c>
      <c r="G1839" s="17" t="str">
        <f>IF(F1839="","",F1839-'02_Eingaben'!$C$10)</f>
        <v/>
      </c>
      <c r="H1839" t="str">
        <f>IF(F1839="","",IF(F1839&lt;'02_Eingaben'!$C$18*'02_Eingaben'!$C$10,1,0))</f>
        <v/>
      </c>
      <c r="I1839" s="17" t="str">
        <f t="shared" si="28"/>
        <v/>
      </c>
      <c r="J1839" s="17" t="str">
        <f>IF(B1839="","",IF(B1838&lt;'02_Eingaben'!$C$36,0,J1838+I1838/'02_Eingaben'!$C$8))</f>
        <v/>
      </c>
    </row>
    <row r="1840" spans="1:10" x14ac:dyDescent="0.25">
      <c r="A1840" t="str">
        <f>IF('01_Rohdaten'!A1840="","",ROW()-1)</f>
        <v/>
      </c>
      <c r="B1840" s="17" t="str">
        <f>IF('01_Rohdaten'!A1840="","",'01_Rohdaten'!A1840)</f>
        <v/>
      </c>
      <c r="C1840" s="17" t="str">
        <f>IF(B1840="","",INDEX('01_Rohdaten'!B1840:D1840,'02_Eingaben'!$C$13))</f>
        <v/>
      </c>
      <c r="D1840" s="17" t="str">
        <f>IF(C1840="","",C1840*'02_Eingaben'!$C$15)</f>
        <v/>
      </c>
      <c r="E1840" s="17" t="str">
        <f>IF(D1840="","",D1840*'02_Eingaben'!$C$8)</f>
        <v/>
      </c>
      <c r="F1840" s="17" t="str">
        <f>IF(E1840="","",AVERAGE(INDEX($E$2:$E$3001,MAX(1,ROW()-1-'02_Eingaben'!$C$17)):INDEX($E$2:$E$3001,MIN('02_Eingaben'!$C$21,ROW()-1+'02_Eingaben'!$C$17))))</f>
        <v/>
      </c>
      <c r="G1840" s="17" t="str">
        <f>IF(F1840="","",F1840-'02_Eingaben'!$C$10)</f>
        <v/>
      </c>
      <c r="H1840" t="str">
        <f>IF(F1840="","",IF(F1840&lt;'02_Eingaben'!$C$18*'02_Eingaben'!$C$10,1,0))</f>
        <v/>
      </c>
      <c r="I1840" s="17" t="str">
        <f t="shared" si="28"/>
        <v/>
      </c>
      <c r="J1840" s="17" t="str">
        <f>IF(B1840="","",IF(B1839&lt;'02_Eingaben'!$C$36,0,J1839+I1839/'02_Eingaben'!$C$8))</f>
        <v/>
      </c>
    </row>
    <row r="1841" spans="1:10" x14ac:dyDescent="0.25">
      <c r="A1841" t="str">
        <f>IF('01_Rohdaten'!A1841="","",ROW()-1)</f>
        <v/>
      </c>
      <c r="B1841" s="17" t="str">
        <f>IF('01_Rohdaten'!A1841="","",'01_Rohdaten'!A1841)</f>
        <v/>
      </c>
      <c r="C1841" s="17" t="str">
        <f>IF(B1841="","",INDEX('01_Rohdaten'!B1841:D1841,'02_Eingaben'!$C$13))</f>
        <v/>
      </c>
      <c r="D1841" s="17" t="str">
        <f>IF(C1841="","",C1841*'02_Eingaben'!$C$15)</f>
        <v/>
      </c>
      <c r="E1841" s="17" t="str">
        <f>IF(D1841="","",D1841*'02_Eingaben'!$C$8)</f>
        <v/>
      </c>
      <c r="F1841" s="17" t="str">
        <f>IF(E1841="","",AVERAGE(INDEX($E$2:$E$3001,MAX(1,ROW()-1-'02_Eingaben'!$C$17)):INDEX($E$2:$E$3001,MIN('02_Eingaben'!$C$21,ROW()-1+'02_Eingaben'!$C$17))))</f>
        <v/>
      </c>
      <c r="G1841" s="17" t="str">
        <f>IF(F1841="","",F1841-'02_Eingaben'!$C$10)</f>
        <v/>
      </c>
      <c r="H1841" t="str">
        <f>IF(F1841="","",IF(F1841&lt;'02_Eingaben'!$C$18*'02_Eingaben'!$C$10,1,0))</f>
        <v/>
      </c>
      <c r="I1841" s="17" t="str">
        <f t="shared" si="28"/>
        <v/>
      </c>
      <c r="J1841" s="17" t="str">
        <f>IF(B1841="","",IF(B1840&lt;'02_Eingaben'!$C$36,0,J1840+I1840/'02_Eingaben'!$C$8))</f>
        <v/>
      </c>
    </row>
    <row r="1842" spans="1:10" x14ac:dyDescent="0.25">
      <c r="A1842" t="str">
        <f>IF('01_Rohdaten'!A1842="","",ROW()-1)</f>
        <v/>
      </c>
      <c r="B1842" s="17" t="str">
        <f>IF('01_Rohdaten'!A1842="","",'01_Rohdaten'!A1842)</f>
        <v/>
      </c>
      <c r="C1842" s="17" t="str">
        <f>IF(B1842="","",INDEX('01_Rohdaten'!B1842:D1842,'02_Eingaben'!$C$13))</f>
        <v/>
      </c>
      <c r="D1842" s="17" t="str">
        <f>IF(C1842="","",C1842*'02_Eingaben'!$C$15)</f>
        <v/>
      </c>
      <c r="E1842" s="17" t="str">
        <f>IF(D1842="","",D1842*'02_Eingaben'!$C$8)</f>
        <v/>
      </c>
      <c r="F1842" s="17" t="str">
        <f>IF(E1842="","",AVERAGE(INDEX($E$2:$E$3001,MAX(1,ROW()-1-'02_Eingaben'!$C$17)):INDEX($E$2:$E$3001,MIN('02_Eingaben'!$C$21,ROW()-1+'02_Eingaben'!$C$17))))</f>
        <v/>
      </c>
      <c r="G1842" s="17" t="str">
        <f>IF(F1842="","",F1842-'02_Eingaben'!$C$10)</f>
        <v/>
      </c>
      <c r="H1842" t="str">
        <f>IF(F1842="","",IF(F1842&lt;'02_Eingaben'!$C$18*'02_Eingaben'!$C$10,1,0))</f>
        <v/>
      </c>
      <c r="I1842" s="17" t="str">
        <f t="shared" si="28"/>
        <v/>
      </c>
      <c r="J1842" s="17" t="str">
        <f>IF(B1842="","",IF(B1841&lt;'02_Eingaben'!$C$36,0,J1841+I1841/'02_Eingaben'!$C$8))</f>
        <v/>
      </c>
    </row>
    <row r="1843" spans="1:10" x14ac:dyDescent="0.25">
      <c r="A1843" t="str">
        <f>IF('01_Rohdaten'!A1843="","",ROW()-1)</f>
        <v/>
      </c>
      <c r="B1843" s="17" t="str">
        <f>IF('01_Rohdaten'!A1843="","",'01_Rohdaten'!A1843)</f>
        <v/>
      </c>
      <c r="C1843" s="17" t="str">
        <f>IF(B1843="","",INDEX('01_Rohdaten'!B1843:D1843,'02_Eingaben'!$C$13))</f>
        <v/>
      </c>
      <c r="D1843" s="17" t="str">
        <f>IF(C1843="","",C1843*'02_Eingaben'!$C$15)</f>
        <v/>
      </c>
      <c r="E1843" s="17" t="str">
        <f>IF(D1843="","",D1843*'02_Eingaben'!$C$8)</f>
        <v/>
      </c>
      <c r="F1843" s="17" t="str">
        <f>IF(E1843="","",AVERAGE(INDEX($E$2:$E$3001,MAX(1,ROW()-1-'02_Eingaben'!$C$17)):INDEX($E$2:$E$3001,MIN('02_Eingaben'!$C$21,ROW()-1+'02_Eingaben'!$C$17))))</f>
        <v/>
      </c>
      <c r="G1843" s="17" t="str">
        <f>IF(F1843="","",F1843-'02_Eingaben'!$C$10)</f>
        <v/>
      </c>
      <c r="H1843" t="str">
        <f>IF(F1843="","",IF(F1843&lt;'02_Eingaben'!$C$18*'02_Eingaben'!$C$10,1,0))</f>
        <v/>
      </c>
      <c r="I1843" s="17" t="str">
        <f t="shared" si="28"/>
        <v/>
      </c>
      <c r="J1843" s="17" t="str">
        <f>IF(B1843="","",IF(B1842&lt;'02_Eingaben'!$C$36,0,J1842+I1842/'02_Eingaben'!$C$8))</f>
        <v/>
      </c>
    </row>
    <row r="1844" spans="1:10" x14ac:dyDescent="0.25">
      <c r="A1844" t="str">
        <f>IF('01_Rohdaten'!A1844="","",ROW()-1)</f>
        <v/>
      </c>
      <c r="B1844" s="17" t="str">
        <f>IF('01_Rohdaten'!A1844="","",'01_Rohdaten'!A1844)</f>
        <v/>
      </c>
      <c r="C1844" s="17" t="str">
        <f>IF(B1844="","",INDEX('01_Rohdaten'!B1844:D1844,'02_Eingaben'!$C$13))</f>
        <v/>
      </c>
      <c r="D1844" s="17" t="str">
        <f>IF(C1844="","",C1844*'02_Eingaben'!$C$15)</f>
        <v/>
      </c>
      <c r="E1844" s="17" t="str">
        <f>IF(D1844="","",D1844*'02_Eingaben'!$C$8)</f>
        <v/>
      </c>
      <c r="F1844" s="17" t="str">
        <f>IF(E1844="","",AVERAGE(INDEX($E$2:$E$3001,MAX(1,ROW()-1-'02_Eingaben'!$C$17)):INDEX($E$2:$E$3001,MIN('02_Eingaben'!$C$21,ROW()-1+'02_Eingaben'!$C$17))))</f>
        <v/>
      </c>
      <c r="G1844" s="17" t="str">
        <f>IF(F1844="","",F1844-'02_Eingaben'!$C$10)</f>
        <v/>
      </c>
      <c r="H1844" t="str">
        <f>IF(F1844="","",IF(F1844&lt;'02_Eingaben'!$C$18*'02_Eingaben'!$C$10,1,0))</f>
        <v/>
      </c>
      <c r="I1844" s="17" t="str">
        <f t="shared" si="28"/>
        <v/>
      </c>
      <c r="J1844" s="17" t="str">
        <f>IF(B1844="","",IF(B1843&lt;'02_Eingaben'!$C$36,0,J1843+I1843/'02_Eingaben'!$C$8))</f>
        <v/>
      </c>
    </row>
    <row r="1845" spans="1:10" x14ac:dyDescent="0.25">
      <c r="A1845" t="str">
        <f>IF('01_Rohdaten'!A1845="","",ROW()-1)</f>
        <v/>
      </c>
      <c r="B1845" s="17" t="str">
        <f>IF('01_Rohdaten'!A1845="","",'01_Rohdaten'!A1845)</f>
        <v/>
      </c>
      <c r="C1845" s="17" t="str">
        <f>IF(B1845="","",INDEX('01_Rohdaten'!B1845:D1845,'02_Eingaben'!$C$13))</f>
        <v/>
      </c>
      <c r="D1845" s="17" t="str">
        <f>IF(C1845="","",C1845*'02_Eingaben'!$C$15)</f>
        <v/>
      </c>
      <c r="E1845" s="17" t="str">
        <f>IF(D1845="","",D1845*'02_Eingaben'!$C$8)</f>
        <v/>
      </c>
      <c r="F1845" s="17" t="str">
        <f>IF(E1845="","",AVERAGE(INDEX($E$2:$E$3001,MAX(1,ROW()-1-'02_Eingaben'!$C$17)):INDEX($E$2:$E$3001,MIN('02_Eingaben'!$C$21,ROW()-1+'02_Eingaben'!$C$17))))</f>
        <v/>
      </c>
      <c r="G1845" s="17" t="str">
        <f>IF(F1845="","",F1845-'02_Eingaben'!$C$10)</f>
        <v/>
      </c>
      <c r="H1845" t="str">
        <f>IF(F1845="","",IF(F1845&lt;'02_Eingaben'!$C$18*'02_Eingaben'!$C$10,1,0))</f>
        <v/>
      </c>
      <c r="I1845" s="17" t="str">
        <f t="shared" si="28"/>
        <v/>
      </c>
      <c r="J1845" s="17" t="str">
        <f>IF(B1845="","",IF(B1844&lt;'02_Eingaben'!$C$36,0,J1844+I1844/'02_Eingaben'!$C$8))</f>
        <v/>
      </c>
    </row>
    <row r="1846" spans="1:10" x14ac:dyDescent="0.25">
      <c r="A1846" t="str">
        <f>IF('01_Rohdaten'!A1846="","",ROW()-1)</f>
        <v/>
      </c>
      <c r="B1846" s="17" t="str">
        <f>IF('01_Rohdaten'!A1846="","",'01_Rohdaten'!A1846)</f>
        <v/>
      </c>
      <c r="C1846" s="17" t="str">
        <f>IF(B1846="","",INDEX('01_Rohdaten'!B1846:D1846,'02_Eingaben'!$C$13))</f>
        <v/>
      </c>
      <c r="D1846" s="17" t="str">
        <f>IF(C1846="","",C1846*'02_Eingaben'!$C$15)</f>
        <v/>
      </c>
      <c r="E1846" s="17" t="str">
        <f>IF(D1846="","",D1846*'02_Eingaben'!$C$8)</f>
        <v/>
      </c>
      <c r="F1846" s="17" t="str">
        <f>IF(E1846="","",AVERAGE(INDEX($E$2:$E$3001,MAX(1,ROW()-1-'02_Eingaben'!$C$17)):INDEX($E$2:$E$3001,MIN('02_Eingaben'!$C$21,ROW()-1+'02_Eingaben'!$C$17))))</f>
        <v/>
      </c>
      <c r="G1846" s="17" t="str">
        <f>IF(F1846="","",F1846-'02_Eingaben'!$C$10)</f>
        <v/>
      </c>
      <c r="H1846" t="str">
        <f>IF(F1846="","",IF(F1846&lt;'02_Eingaben'!$C$18*'02_Eingaben'!$C$10,1,0))</f>
        <v/>
      </c>
      <c r="I1846" s="17" t="str">
        <f t="shared" si="28"/>
        <v/>
      </c>
      <c r="J1846" s="17" t="str">
        <f>IF(B1846="","",IF(B1845&lt;'02_Eingaben'!$C$36,0,J1845+I1845/'02_Eingaben'!$C$8))</f>
        <v/>
      </c>
    </row>
    <row r="1847" spans="1:10" x14ac:dyDescent="0.25">
      <c r="A1847" t="str">
        <f>IF('01_Rohdaten'!A1847="","",ROW()-1)</f>
        <v/>
      </c>
      <c r="B1847" s="17" t="str">
        <f>IF('01_Rohdaten'!A1847="","",'01_Rohdaten'!A1847)</f>
        <v/>
      </c>
      <c r="C1847" s="17" t="str">
        <f>IF(B1847="","",INDEX('01_Rohdaten'!B1847:D1847,'02_Eingaben'!$C$13))</f>
        <v/>
      </c>
      <c r="D1847" s="17" t="str">
        <f>IF(C1847="","",C1847*'02_Eingaben'!$C$15)</f>
        <v/>
      </c>
      <c r="E1847" s="17" t="str">
        <f>IF(D1847="","",D1847*'02_Eingaben'!$C$8)</f>
        <v/>
      </c>
      <c r="F1847" s="17" t="str">
        <f>IF(E1847="","",AVERAGE(INDEX($E$2:$E$3001,MAX(1,ROW()-1-'02_Eingaben'!$C$17)):INDEX($E$2:$E$3001,MIN('02_Eingaben'!$C$21,ROW()-1+'02_Eingaben'!$C$17))))</f>
        <v/>
      </c>
      <c r="G1847" s="17" t="str">
        <f>IF(F1847="","",F1847-'02_Eingaben'!$C$10)</f>
        <v/>
      </c>
      <c r="H1847" t="str">
        <f>IF(F1847="","",IF(F1847&lt;'02_Eingaben'!$C$18*'02_Eingaben'!$C$10,1,0))</f>
        <v/>
      </c>
      <c r="I1847" s="17" t="str">
        <f t="shared" si="28"/>
        <v/>
      </c>
      <c r="J1847" s="17" t="str">
        <f>IF(B1847="","",IF(B1846&lt;'02_Eingaben'!$C$36,0,J1846+I1846/'02_Eingaben'!$C$8))</f>
        <v/>
      </c>
    </row>
    <row r="1848" spans="1:10" x14ac:dyDescent="0.25">
      <c r="A1848" t="str">
        <f>IF('01_Rohdaten'!A1848="","",ROW()-1)</f>
        <v/>
      </c>
      <c r="B1848" s="17" t="str">
        <f>IF('01_Rohdaten'!A1848="","",'01_Rohdaten'!A1848)</f>
        <v/>
      </c>
      <c r="C1848" s="17" t="str">
        <f>IF(B1848="","",INDEX('01_Rohdaten'!B1848:D1848,'02_Eingaben'!$C$13))</f>
        <v/>
      </c>
      <c r="D1848" s="17" t="str">
        <f>IF(C1848="","",C1848*'02_Eingaben'!$C$15)</f>
        <v/>
      </c>
      <c r="E1848" s="17" t="str">
        <f>IF(D1848="","",D1848*'02_Eingaben'!$C$8)</f>
        <v/>
      </c>
      <c r="F1848" s="17" t="str">
        <f>IF(E1848="","",AVERAGE(INDEX($E$2:$E$3001,MAX(1,ROW()-1-'02_Eingaben'!$C$17)):INDEX($E$2:$E$3001,MIN('02_Eingaben'!$C$21,ROW()-1+'02_Eingaben'!$C$17))))</f>
        <v/>
      </c>
      <c r="G1848" s="17" t="str">
        <f>IF(F1848="","",F1848-'02_Eingaben'!$C$10)</f>
        <v/>
      </c>
      <c r="H1848" t="str">
        <f>IF(F1848="","",IF(F1848&lt;'02_Eingaben'!$C$18*'02_Eingaben'!$C$10,1,0))</f>
        <v/>
      </c>
      <c r="I1848" s="17" t="str">
        <f t="shared" si="28"/>
        <v/>
      </c>
      <c r="J1848" s="17" t="str">
        <f>IF(B1848="","",IF(B1847&lt;'02_Eingaben'!$C$36,0,J1847+I1847/'02_Eingaben'!$C$8))</f>
        <v/>
      </c>
    </row>
    <row r="1849" spans="1:10" x14ac:dyDescent="0.25">
      <c r="A1849" t="str">
        <f>IF('01_Rohdaten'!A1849="","",ROW()-1)</f>
        <v/>
      </c>
      <c r="B1849" s="17" t="str">
        <f>IF('01_Rohdaten'!A1849="","",'01_Rohdaten'!A1849)</f>
        <v/>
      </c>
      <c r="C1849" s="17" t="str">
        <f>IF(B1849="","",INDEX('01_Rohdaten'!B1849:D1849,'02_Eingaben'!$C$13))</f>
        <v/>
      </c>
      <c r="D1849" s="17" t="str">
        <f>IF(C1849="","",C1849*'02_Eingaben'!$C$15)</f>
        <v/>
      </c>
      <c r="E1849" s="17" t="str">
        <f>IF(D1849="","",D1849*'02_Eingaben'!$C$8)</f>
        <v/>
      </c>
      <c r="F1849" s="17" t="str">
        <f>IF(E1849="","",AVERAGE(INDEX($E$2:$E$3001,MAX(1,ROW()-1-'02_Eingaben'!$C$17)):INDEX($E$2:$E$3001,MIN('02_Eingaben'!$C$21,ROW()-1+'02_Eingaben'!$C$17))))</f>
        <v/>
      </c>
      <c r="G1849" s="17" t="str">
        <f>IF(F1849="","",F1849-'02_Eingaben'!$C$10)</f>
        <v/>
      </c>
      <c r="H1849" t="str">
        <f>IF(F1849="","",IF(F1849&lt;'02_Eingaben'!$C$18*'02_Eingaben'!$C$10,1,0))</f>
        <v/>
      </c>
      <c r="I1849" s="17" t="str">
        <f t="shared" si="28"/>
        <v/>
      </c>
      <c r="J1849" s="17" t="str">
        <f>IF(B1849="","",IF(B1848&lt;'02_Eingaben'!$C$36,0,J1848+I1848/'02_Eingaben'!$C$8))</f>
        <v/>
      </c>
    </row>
    <row r="1850" spans="1:10" x14ac:dyDescent="0.25">
      <c r="A1850" t="str">
        <f>IF('01_Rohdaten'!A1850="","",ROW()-1)</f>
        <v/>
      </c>
      <c r="B1850" s="17" t="str">
        <f>IF('01_Rohdaten'!A1850="","",'01_Rohdaten'!A1850)</f>
        <v/>
      </c>
      <c r="C1850" s="17" t="str">
        <f>IF(B1850="","",INDEX('01_Rohdaten'!B1850:D1850,'02_Eingaben'!$C$13))</f>
        <v/>
      </c>
      <c r="D1850" s="17" t="str">
        <f>IF(C1850="","",C1850*'02_Eingaben'!$C$15)</f>
        <v/>
      </c>
      <c r="E1850" s="17" t="str">
        <f>IF(D1850="","",D1850*'02_Eingaben'!$C$8)</f>
        <v/>
      </c>
      <c r="F1850" s="17" t="str">
        <f>IF(E1850="","",AVERAGE(INDEX($E$2:$E$3001,MAX(1,ROW()-1-'02_Eingaben'!$C$17)):INDEX($E$2:$E$3001,MIN('02_Eingaben'!$C$21,ROW()-1+'02_Eingaben'!$C$17))))</f>
        <v/>
      </c>
      <c r="G1850" s="17" t="str">
        <f>IF(F1850="","",F1850-'02_Eingaben'!$C$10)</f>
        <v/>
      </c>
      <c r="H1850" t="str">
        <f>IF(F1850="","",IF(F1850&lt;'02_Eingaben'!$C$18*'02_Eingaben'!$C$10,1,0))</f>
        <v/>
      </c>
      <c r="I1850" s="17" t="str">
        <f t="shared" si="28"/>
        <v/>
      </c>
      <c r="J1850" s="17" t="str">
        <f>IF(B1850="","",IF(B1849&lt;'02_Eingaben'!$C$36,0,J1849+I1849/'02_Eingaben'!$C$8))</f>
        <v/>
      </c>
    </row>
    <row r="1851" spans="1:10" x14ac:dyDescent="0.25">
      <c r="A1851" t="str">
        <f>IF('01_Rohdaten'!A1851="","",ROW()-1)</f>
        <v/>
      </c>
      <c r="B1851" s="17" t="str">
        <f>IF('01_Rohdaten'!A1851="","",'01_Rohdaten'!A1851)</f>
        <v/>
      </c>
      <c r="C1851" s="17" t="str">
        <f>IF(B1851="","",INDEX('01_Rohdaten'!B1851:D1851,'02_Eingaben'!$C$13))</f>
        <v/>
      </c>
      <c r="D1851" s="17" t="str">
        <f>IF(C1851="","",C1851*'02_Eingaben'!$C$15)</f>
        <v/>
      </c>
      <c r="E1851" s="17" t="str">
        <f>IF(D1851="","",D1851*'02_Eingaben'!$C$8)</f>
        <v/>
      </c>
      <c r="F1851" s="17" t="str">
        <f>IF(E1851="","",AVERAGE(INDEX($E$2:$E$3001,MAX(1,ROW()-1-'02_Eingaben'!$C$17)):INDEX($E$2:$E$3001,MIN('02_Eingaben'!$C$21,ROW()-1+'02_Eingaben'!$C$17))))</f>
        <v/>
      </c>
      <c r="G1851" s="17" t="str">
        <f>IF(F1851="","",F1851-'02_Eingaben'!$C$10)</f>
        <v/>
      </c>
      <c r="H1851" t="str">
        <f>IF(F1851="","",IF(F1851&lt;'02_Eingaben'!$C$18*'02_Eingaben'!$C$10,1,0))</f>
        <v/>
      </c>
      <c r="I1851" s="17" t="str">
        <f t="shared" si="28"/>
        <v/>
      </c>
      <c r="J1851" s="17" t="str">
        <f>IF(B1851="","",IF(B1850&lt;'02_Eingaben'!$C$36,0,J1850+I1850/'02_Eingaben'!$C$8))</f>
        <v/>
      </c>
    </row>
    <row r="1852" spans="1:10" x14ac:dyDescent="0.25">
      <c r="A1852" t="str">
        <f>IF('01_Rohdaten'!A1852="","",ROW()-1)</f>
        <v/>
      </c>
      <c r="B1852" s="17" t="str">
        <f>IF('01_Rohdaten'!A1852="","",'01_Rohdaten'!A1852)</f>
        <v/>
      </c>
      <c r="C1852" s="17" t="str">
        <f>IF(B1852="","",INDEX('01_Rohdaten'!B1852:D1852,'02_Eingaben'!$C$13))</f>
        <v/>
      </c>
      <c r="D1852" s="17" t="str">
        <f>IF(C1852="","",C1852*'02_Eingaben'!$C$15)</f>
        <v/>
      </c>
      <c r="E1852" s="17" t="str">
        <f>IF(D1852="","",D1852*'02_Eingaben'!$C$8)</f>
        <v/>
      </c>
      <c r="F1852" s="17" t="str">
        <f>IF(E1852="","",AVERAGE(INDEX($E$2:$E$3001,MAX(1,ROW()-1-'02_Eingaben'!$C$17)):INDEX($E$2:$E$3001,MIN('02_Eingaben'!$C$21,ROW()-1+'02_Eingaben'!$C$17))))</f>
        <v/>
      </c>
      <c r="G1852" s="17" t="str">
        <f>IF(F1852="","",F1852-'02_Eingaben'!$C$10)</f>
        <v/>
      </c>
      <c r="H1852" t="str">
        <f>IF(F1852="","",IF(F1852&lt;'02_Eingaben'!$C$18*'02_Eingaben'!$C$10,1,0))</f>
        <v/>
      </c>
      <c r="I1852" s="17" t="str">
        <f t="shared" si="28"/>
        <v/>
      </c>
      <c r="J1852" s="17" t="str">
        <f>IF(B1852="","",IF(B1851&lt;'02_Eingaben'!$C$36,0,J1851+I1851/'02_Eingaben'!$C$8))</f>
        <v/>
      </c>
    </row>
    <row r="1853" spans="1:10" x14ac:dyDescent="0.25">
      <c r="A1853" t="str">
        <f>IF('01_Rohdaten'!A1853="","",ROW()-1)</f>
        <v/>
      </c>
      <c r="B1853" s="17" t="str">
        <f>IF('01_Rohdaten'!A1853="","",'01_Rohdaten'!A1853)</f>
        <v/>
      </c>
      <c r="C1853" s="17" t="str">
        <f>IF(B1853="","",INDEX('01_Rohdaten'!B1853:D1853,'02_Eingaben'!$C$13))</f>
        <v/>
      </c>
      <c r="D1853" s="17" t="str">
        <f>IF(C1853="","",C1853*'02_Eingaben'!$C$15)</f>
        <v/>
      </c>
      <c r="E1853" s="17" t="str">
        <f>IF(D1853="","",D1853*'02_Eingaben'!$C$8)</f>
        <v/>
      </c>
      <c r="F1853" s="17" t="str">
        <f>IF(E1853="","",AVERAGE(INDEX($E$2:$E$3001,MAX(1,ROW()-1-'02_Eingaben'!$C$17)):INDEX($E$2:$E$3001,MIN('02_Eingaben'!$C$21,ROW()-1+'02_Eingaben'!$C$17))))</f>
        <v/>
      </c>
      <c r="G1853" s="17" t="str">
        <f>IF(F1853="","",F1853-'02_Eingaben'!$C$10)</f>
        <v/>
      </c>
      <c r="H1853" t="str">
        <f>IF(F1853="","",IF(F1853&lt;'02_Eingaben'!$C$18*'02_Eingaben'!$C$10,1,0))</f>
        <v/>
      </c>
      <c r="I1853" s="17" t="str">
        <f t="shared" si="28"/>
        <v/>
      </c>
      <c r="J1853" s="17" t="str">
        <f>IF(B1853="","",IF(B1852&lt;'02_Eingaben'!$C$36,0,J1852+I1852/'02_Eingaben'!$C$8))</f>
        <v/>
      </c>
    </row>
    <row r="1854" spans="1:10" x14ac:dyDescent="0.25">
      <c r="A1854" t="str">
        <f>IF('01_Rohdaten'!A1854="","",ROW()-1)</f>
        <v/>
      </c>
      <c r="B1854" s="17" t="str">
        <f>IF('01_Rohdaten'!A1854="","",'01_Rohdaten'!A1854)</f>
        <v/>
      </c>
      <c r="C1854" s="17" t="str">
        <f>IF(B1854="","",INDEX('01_Rohdaten'!B1854:D1854,'02_Eingaben'!$C$13))</f>
        <v/>
      </c>
      <c r="D1854" s="17" t="str">
        <f>IF(C1854="","",C1854*'02_Eingaben'!$C$15)</f>
        <v/>
      </c>
      <c r="E1854" s="17" t="str">
        <f>IF(D1854="","",D1854*'02_Eingaben'!$C$8)</f>
        <v/>
      </c>
      <c r="F1854" s="17" t="str">
        <f>IF(E1854="","",AVERAGE(INDEX($E$2:$E$3001,MAX(1,ROW()-1-'02_Eingaben'!$C$17)):INDEX($E$2:$E$3001,MIN('02_Eingaben'!$C$21,ROW()-1+'02_Eingaben'!$C$17))))</f>
        <v/>
      </c>
      <c r="G1854" s="17" t="str">
        <f>IF(F1854="","",F1854-'02_Eingaben'!$C$10)</f>
        <v/>
      </c>
      <c r="H1854" t="str">
        <f>IF(F1854="","",IF(F1854&lt;'02_Eingaben'!$C$18*'02_Eingaben'!$C$10,1,0))</f>
        <v/>
      </c>
      <c r="I1854" s="17" t="str">
        <f t="shared" si="28"/>
        <v/>
      </c>
      <c r="J1854" s="17" t="str">
        <f>IF(B1854="","",IF(B1853&lt;'02_Eingaben'!$C$36,0,J1853+I1853/'02_Eingaben'!$C$8))</f>
        <v/>
      </c>
    </row>
    <row r="1855" spans="1:10" x14ac:dyDescent="0.25">
      <c r="A1855" t="str">
        <f>IF('01_Rohdaten'!A1855="","",ROW()-1)</f>
        <v/>
      </c>
      <c r="B1855" s="17" t="str">
        <f>IF('01_Rohdaten'!A1855="","",'01_Rohdaten'!A1855)</f>
        <v/>
      </c>
      <c r="C1855" s="17" t="str">
        <f>IF(B1855="","",INDEX('01_Rohdaten'!B1855:D1855,'02_Eingaben'!$C$13))</f>
        <v/>
      </c>
      <c r="D1855" s="17" t="str">
        <f>IF(C1855="","",C1855*'02_Eingaben'!$C$15)</f>
        <v/>
      </c>
      <c r="E1855" s="17" t="str">
        <f>IF(D1855="","",D1855*'02_Eingaben'!$C$8)</f>
        <v/>
      </c>
      <c r="F1855" s="17" t="str">
        <f>IF(E1855="","",AVERAGE(INDEX($E$2:$E$3001,MAX(1,ROW()-1-'02_Eingaben'!$C$17)):INDEX($E$2:$E$3001,MIN('02_Eingaben'!$C$21,ROW()-1+'02_Eingaben'!$C$17))))</f>
        <v/>
      </c>
      <c r="G1855" s="17" t="str">
        <f>IF(F1855="","",F1855-'02_Eingaben'!$C$10)</f>
        <v/>
      </c>
      <c r="H1855" t="str">
        <f>IF(F1855="","",IF(F1855&lt;'02_Eingaben'!$C$18*'02_Eingaben'!$C$10,1,0))</f>
        <v/>
      </c>
      <c r="I1855" s="17" t="str">
        <f t="shared" si="28"/>
        <v/>
      </c>
      <c r="J1855" s="17" t="str">
        <f>IF(B1855="","",IF(B1854&lt;'02_Eingaben'!$C$36,0,J1854+I1854/'02_Eingaben'!$C$8))</f>
        <v/>
      </c>
    </row>
    <row r="1856" spans="1:10" x14ac:dyDescent="0.25">
      <c r="A1856" t="str">
        <f>IF('01_Rohdaten'!A1856="","",ROW()-1)</f>
        <v/>
      </c>
      <c r="B1856" s="17" t="str">
        <f>IF('01_Rohdaten'!A1856="","",'01_Rohdaten'!A1856)</f>
        <v/>
      </c>
      <c r="C1856" s="17" t="str">
        <f>IF(B1856="","",INDEX('01_Rohdaten'!B1856:D1856,'02_Eingaben'!$C$13))</f>
        <v/>
      </c>
      <c r="D1856" s="17" t="str">
        <f>IF(C1856="","",C1856*'02_Eingaben'!$C$15)</f>
        <v/>
      </c>
      <c r="E1856" s="17" t="str">
        <f>IF(D1856="","",D1856*'02_Eingaben'!$C$8)</f>
        <v/>
      </c>
      <c r="F1856" s="17" t="str">
        <f>IF(E1856="","",AVERAGE(INDEX($E$2:$E$3001,MAX(1,ROW()-1-'02_Eingaben'!$C$17)):INDEX($E$2:$E$3001,MIN('02_Eingaben'!$C$21,ROW()-1+'02_Eingaben'!$C$17))))</f>
        <v/>
      </c>
      <c r="G1856" s="17" t="str">
        <f>IF(F1856="","",F1856-'02_Eingaben'!$C$10)</f>
        <v/>
      </c>
      <c r="H1856" t="str">
        <f>IF(F1856="","",IF(F1856&lt;'02_Eingaben'!$C$18*'02_Eingaben'!$C$10,1,0))</f>
        <v/>
      </c>
      <c r="I1856" s="17" t="str">
        <f t="shared" si="28"/>
        <v/>
      </c>
      <c r="J1856" s="17" t="str">
        <f>IF(B1856="","",IF(B1855&lt;'02_Eingaben'!$C$36,0,J1855+I1855/'02_Eingaben'!$C$8))</f>
        <v/>
      </c>
    </row>
    <row r="1857" spans="1:10" x14ac:dyDescent="0.25">
      <c r="A1857" t="str">
        <f>IF('01_Rohdaten'!A1857="","",ROW()-1)</f>
        <v/>
      </c>
      <c r="B1857" s="17" t="str">
        <f>IF('01_Rohdaten'!A1857="","",'01_Rohdaten'!A1857)</f>
        <v/>
      </c>
      <c r="C1857" s="17" t="str">
        <f>IF(B1857="","",INDEX('01_Rohdaten'!B1857:D1857,'02_Eingaben'!$C$13))</f>
        <v/>
      </c>
      <c r="D1857" s="17" t="str">
        <f>IF(C1857="","",C1857*'02_Eingaben'!$C$15)</f>
        <v/>
      </c>
      <c r="E1857" s="17" t="str">
        <f>IF(D1857="","",D1857*'02_Eingaben'!$C$8)</f>
        <v/>
      </c>
      <c r="F1857" s="17" t="str">
        <f>IF(E1857="","",AVERAGE(INDEX($E$2:$E$3001,MAX(1,ROW()-1-'02_Eingaben'!$C$17)):INDEX($E$2:$E$3001,MIN('02_Eingaben'!$C$21,ROW()-1+'02_Eingaben'!$C$17))))</f>
        <v/>
      </c>
      <c r="G1857" s="17" t="str">
        <f>IF(F1857="","",F1857-'02_Eingaben'!$C$10)</f>
        <v/>
      </c>
      <c r="H1857" t="str">
        <f>IF(F1857="","",IF(F1857&lt;'02_Eingaben'!$C$18*'02_Eingaben'!$C$10,1,0))</f>
        <v/>
      </c>
      <c r="I1857" s="17" t="str">
        <f t="shared" si="28"/>
        <v/>
      </c>
      <c r="J1857" s="17" t="str">
        <f>IF(B1857="","",IF(B1856&lt;'02_Eingaben'!$C$36,0,J1856+I1856/'02_Eingaben'!$C$8))</f>
        <v/>
      </c>
    </row>
    <row r="1858" spans="1:10" x14ac:dyDescent="0.25">
      <c r="A1858" t="str">
        <f>IF('01_Rohdaten'!A1858="","",ROW()-1)</f>
        <v/>
      </c>
      <c r="B1858" s="17" t="str">
        <f>IF('01_Rohdaten'!A1858="","",'01_Rohdaten'!A1858)</f>
        <v/>
      </c>
      <c r="C1858" s="17" t="str">
        <f>IF(B1858="","",INDEX('01_Rohdaten'!B1858:D1858,'02_Eingaben'!$C$13))</f>
        <v/>
      </c>
      <c r="D1858" s="17" t="str">
        <f>IF(C1858="","",C1858*'02_Eingaben'!$C$15)</f>
        <v/>
      </c>
      <c r="E1858" s="17" t="str">
        <f>IF(D1858="","",D1858*'02_Eingaben'!$C$8)</f>
        <v/>
      </c>
      <c r="F1858" s="17" t="str">
        <f>IF(E1858="","",AVERAGE(INDEX($E$2:$E$3001,MAX(1,ROW()-1-'02_Eingaben'!$C$17)):INDEX($E$2:$E$3001,MIN('02_Eingaben'!$C$21,ROW()-1+'02_Eingaben'!$C$17))))</f>
        <v/>
      </c>
      <c r="G1858" s="17" t="str">
        <f>IF(F1858="","",F1858-'02_Eingaben'!$C$10)</f>
        <v/>
      </c>
      <c r="H1858" t="str">
        <f>IF(F1858="","",IF(F1858&lt;'02_Eingaben'!$C$18*'02_Eingaben'!$C$10,1,0))</f>
        <v/>
      </c>
      <c r="I1858" s="17" t="str">
        <f t="shared" ref="I1858:I1921" si="29">IF(OR(G1858="",G1859=""),"",(G1858+G1859)/2*(B1859-B1858))</f>
        <v/>
      </c>
      <c r="J1858" s="17" t="str">
        <f>IF(B1858="","",IF(B1857&lt;'02_Eingaben'!$C$36,0,J1857+I1857/'02_Eingaben'!$C$8))</f>
        <v/>
      </c>
    </row>
    <row r="1859" spans="1:10" x14ac:dyDescent="0.25">
      <c r="A1859" t="str">
        <f>IF('01_Rohdaten'!A1859="","",ROW()-1)</f>
        <v/>
      </c>
      <c r="B1859" s="17" t="str">
        <f>IF('01_Rohdaten'!A1859="","",'01_Rohdaten'!A1859)</f>
        <v/>
      </c>
      <c r="C1859" s="17" t="str">
        <f>IF(B1859="","",INDEX('01_Rohdaten'!B1859:D1859,'02_Eingaben'!$C$13))</f>
        <v/>
      </c>
      <c r="D1859" s="17" t="str">
        <f>IF(C1859="","",C1859*'02_Eingaben'!$C$15)</f>
        <v/>
      </c>
      <c r="E1859" s="17" t="str">
        <f>IF(D1859="","",D1859*'02_Eingaben'!$C$8)</f>
        <v/>
      </c>
      <c r="F1859" s="17" t="str">
        <f>IF(E1859="","",AVERAGE(INDEX($E$2:$E$3001,MAX(1,ROW()-1-'02_Eingaben'!$C$17)):INDEX($E$2:$E$3001,MIN('02_Eingaben'!$C$21,ROW()-1+'02_Eingaben'!$C$17))))</f>
        <v/>
      </c>
      <c r="G1859" s="17" t="str">
        <f>IF(F1859="","",F1859-'02_Eingaben'!$C$10)</f>
        <v/>
      </c>
      <c r="H1859" t="str">
        <f>IF(F1859="","",IF(F1859&lt;'02_Eingaben'!$C$18*'02_Eingaben'!$C$10,1,0))</f>
        <v/>
      </c>
      <c r="I1859" s="17" t="str">
        <f t="shared" si="29"/>
        <v/>
      </c>
      <c r="J1859" s="17" t="str">
        <f>IF(B1859="","",IF(B1858&lt;'02_Eingaben'!$C$36,0,J1858+I1858/'02_Eingaben'!$C$8))</f>
        <v/>
      </c>
    </row>
    <row r="1860" spans="1:10" x14ac:dyDescent="0.25">
      <c r="A1860" t="str">
        <f>IF('01_Rohdaten'!A1860="","",ROW()-1)</f>
        <v/>
      </c>
      <c r="B1860" s="17" t="str">
        <f>IF('01_Rohdaten'!A1860="","",'01_Rohdaten'!A1860)</f>
        <v/>
      </c>
      <c r="C1860" s="17" t="str">
        <f>IF(B1860="","",INDEX('01_Rohdaten'!B1860:D1860,'02_Eingaben'!$C$13))</f>
        <v/>
      </c>
      <c r="D1860" s="17" t="str">
        <f>IF(C1860="","",C1860*'02_Eingaben'!$C$15)</f>
        <v/>
      </c>
      <c r="E1860" s="17" t="str">
        <f>IF(D1860="","",D1860*'02_Eingaben'!$C$8)</f>
        <v/>
      </c>
      <c r="F1860" s="17" t="str">
        <f>IF(E1860="","",AVERAGE(INDEX($E$2:$E$3001,MAX(1,ROW()-1-'02_Eingaben'!$C$17)):INDEX($E$2:$E$3001,MIN('02_Eingaben'!$C$21,ROW()-1+'02_Eingaben'!$C$17))))</f>
        <v/>
      </c>
      <c r="G1860" s="17" t="str">
        <f>IF(F1860="","",F1860-'02_Eingaben'!$C$10)</f>
        <v/>
      </c>
      <c r="H1860" t="str">
        <f>IF(F1860="","",IF(F1860&lt;'02_Eingaben'!$C$18*'02_Eingaben'!$C$10,1,0))</f>
        <v/>
      </c>
      <c r="I1860" s="17" t="str">
        <f t="shared" si="29"/>
        <v/>
      </c>
      <c r="J1860" s="17" t="str">
        <f>IF(B1860="","",IF(B1859&lt;'02_Eingaben'!$C$36,0,J1859+I1859/'02_Eingaben'!$C$8))</f>
        <v/>
      </c>
    </row>
    <row r="1861" spans="1:10" x14ac:dyDescent="0.25">
      <c r="A1861" t="str">
        <f>IF('01_Rohdaten'!A1861="","",ROW()-1)</f>
        <v/>
      </c>
      <c r="B1861" s="17" t="str">
        <f>IF('01_Rohdaten'!A1861="","",'01_Rohdaten'!A1861)</f>
        <v/>
      </c>
      <c r="C1861" s="17" t="str">
        <f>IF(B1861="","",INDEX('01_Rohdaten'!B1861:D1861,'02_Eingaben'!$C$13))</f>
        <v/>
      </c>
      <c r="D1861" s="17" t="str">
        <f>IF(C1861="","",C1861*'02_Eingaben'!$C$15)</f>
        <v/>
      </c>
      <c r="E1861" s="17" t="str">
        <f>IF(D1861="","",D1861*'02_Eingaben'!$C$8)</f>
        <v/>
      </c>
      <c r="F1861" s="17" t="str">
        <f>IF(E1861="","",AVERAGE(INDEX($E$2:$E$3001,MAX(1,ROW()-1-'02_Eingaben'!$C$17)):INDEX($E$2:$E$3001,MIN('02_Eingaben'!$C$21,ROW()-1+'02_Eingaben'!$C$17))))</f>
        <v/>
      </c>
      <c r="G1861" s="17" t="str">
        <f>IF(F1861="","",F1861-'02_Eingaben'!$C$10)</f>
        <v/>
      </c>
      <c r="H1861" t="str">
        <f>IF(F1861="","",IF(F1861&lt;'02_Eingaben'!$C$18*'02_Eingaben'!$C$10,1,0))</f>
        <v/>
      </c>
      <c r="I1861" s="17" t="str">
        <f t="shared" si="29"/>
        <v/>
      </c>
      <c r="J1861" s="17" t="str">
        <f>IF(B1861="","",IF(B1860&lt;'02_Eingaben'!$C$36,0,J1860+I1860/'02_Eingaben'!$C$8))</f>
        <v/>
      </c>
    </row>
    <row r="1862" spans="1:10" x14ac:dyDescent="0.25">
      <c r="A1862" t="str">
        <f>IF('01_Rohdaten'!A1862="","",ROW()-1)</f>
        <v/>
      </c>
      <c r="B1862" s="17" t="str">
        <f>IF('01_Rohdaten'!A1862="","",'01_Rohdaten'!A1862)</f>
        <v/>
      </c>
      <c r="C1862" s="17" t="str">
        <f>IF(B1862="","",INDEX('01_Rohdaten'!B1862:D1862,'02_Eingaben'!$C$13))</f>
        <v/>
      </c>
      <c r="D1862" s="17" t="str">
        <f>IF(C1862="","",C1862*'02_Eingaben'!$C$15)</f>
        <v/>
      </c>
      <c r="E1862" s="17" t="str">
        <f>IF(D1862="","",D1862*'02_Eingaben'!$C$8)</f>
        <v/>
      </c>
      <c r="F1862" s="17" t="str">
        <f>IF(E1862="","",AVERAGE(INDEX($E$2:$E$3001,MAX(1,ROW()-1-'02_Eingaben'!$C$17)):INDEX($E$2:$E$3001,MIN('02_Eingaben'!$C$21,ROW()-1+'02_Eingaben'!$C$17))))</f>
        <v/>
      </c>
      <c r="G1862" s="17" t="str">
        <f>IF(F1862="","",F1862-'02_Eingaben'!$C$10)</f>
        <v/>
      </c>
      <c r="H1862" t="str">
        <f>IF(F1862="","",IF(F1862&lt;'02_Eingaben'!$C$18*'02_Eingaben'!$C$10,1,0))</f>
        <v/>
      </c>
      <c r="I1862" s="17" t="str">
        <f t="shared" si="29"/>
        <v/>
      </c>
      <c r="J1862" s="17" t="str">
        <f>IF(B1862="","",IF(B1861&lt;'02_Eingaben'!$C$36,0,J1861+I1861/'02_Eingaben'!$C$8))</f>
        <v/>
      </c>
    </row>
    <row r="1863" spans="1:10" x14ac:dyDescent="0.25">
      <c r="A1863" t="str">
        <f>IF('01_Rohdaten'!A1863="","",ROW()-1)</f>
        <v/>
      </c>
      <c r="B1863" s="17" t="str">
        <f>IF('01_Rohdaten'!A1863="","",'01_Rohdaten'!A1863)</f>
        <v/>
      </c>
      <c r="C1863" s="17" t="str">
        <f>IF(B1863="","",INDEX('01_Rohdaten'!B1863:D1863,'02_Eingaben'!$C$13))</f>
        <v/>
      </c>
      <c r="D1863" s="17" t="str">
        <f>IF(C1863="","",C1863*'02_Eingaben'!$C$15)</f>
        <v/>
      </c>
      <c r="E1863" s="17" t="str">
        <f>IF(D1863="","",D1863*'02_Eingaben'!$C$8)</f>
        <v/>
      </c>
      <c r="F1863" s="17" t="str">
        <f>IF(E1863="","",AVERAGE(INDEX($E$2:$E$3001,MAX(1,ROW()-1-'02_Eingaben'!$C$17)):INDEX($E$2:$E$3001,MIN('02_Eingaben'!$C$21,ROW()-1+'02_Eingaben'!$C$17))))</f>
        <v/>
      </c>
      <c r="G1863" s="17" t="str">
        <f>IF(F1863="","",F1863-'02_Eingaben'!$C$10)</f>
        <v/>
      </c>
      <c r="H1863" t="str">
        <f>IF(F1863="","",IF(F1863&lt;'02_Eingaben'!$C$18*'02_Eingaben'!$C$10,1,0))</f>
        <v/>
      </c>
      <c r="I1863" s="17" t="str">
        <f t="shared" si="29"/>
        <v/>
      </c>
      <c r="J1863" s="17" t="str">
        <f>IF(B1863="","",IF(B1862&lt;'02_Eingaben'!$C$36,0,J1862+I1862/'02_Eingaben'!$C$8))</f>
        <v/>
      </c>
    </row>
    <row r="1864" spans="1:10" x14ac:dyDescent="0.25">
      <c r="A1864" t="str">
        <f>IF('01_Rohdaten'!A1864="","",ROW()-1)</f>
        <v/>
      </c>
      <c r="B1864" s="17" t="str">
        <f>IF('01_Rohdaten'!A1864="","",'01_Rohdaten'!A1864)</f>
        <v/>
      </c>
      <c r="C1864" s="17" t="str">
        <f>IF(B1864="","",INDEX('01_Rohdaten'!B1864:D1864,'02_Eingaben'!$C$13))</f>
        <v/>
      </c>
      <c r="D1864" s="17" t="str">
        <f>IF(C1864="","",C1864*'02_Eingaben'!$C$15)</f>
        <v/>
      </c>
      <c r="E1864" s="17" t="str">
        <f>IF(D1864="","",D1864*'02_Eingaben'!$C$8)</f>
        <v/>
      </c>
      <c r="F1864" s="17" t="str">
        <f>IF(E1864="","",AVERAGE(INDEX($E$2:$E$3001,MAX(1,ROW()-1-'02_Eingaben'!$C$17)):INDEX($E$2:$E$3001,MIN('02_Eingaben'!$C$21,ROW()-1+'02_Eingaben'!$C$17))))</f>
        <v/>
      </c>
      <c r="G1864" s="17" t="str">
        <f>IF(F1864="","",F1864-'02_Eingaben'!$C$10)</f>
        <v/>
      </c>
      <c r="H1864" t="str">
        <f>IF(F1864="","",IF(F1864&lt;'02_Eingaben'!$C$18*'02_Eingaben'!$C$10,1,0))</f>
        <v/>
      </c>
      <c r="I1864" s="17" t="str">
        <f t="shared" si="29"/>
        <v/>
      </c>
      <c r="J1864" s="17" t="str">
        <f>IF(B1864="","",IF(B1863&lt;'02_Eingaben'!$C$36,0,J1863+I1863/'02_Eingaben'!$C$8))</f>
        <v/>
      </c>
    </row>
    <row r="1865" spans="1:10" x14ac:dyDescent="0.25">
      <c r="A1865" t="str">
        <f>IF('01_Rohdaten'!A1865="","",ROW()-1)</f>
        <v/>
      </c>
      <c r="B1865" s="17" t="str">
        <f>IF('01_Rohdaten'!A1865="","",'01_Rohdaten'!A1865)</f>
        <v/>
      </c>
      <c r="C1865" s="17" t="str">
        <f>IF(B1865="","",INDEX('01_Rohdaten'!B1865:D1865,'02_Eingaben'!$C$13))</f>
        <v/>
      </c>
      <c r="D1865" s="17" t="str">
        <f>IF(C1865="","",C1865*'02_Eingaben'!$C$15)</f>
        <v/>
      </c>
      <c r="E1865" s="17" t="str">
        <f>IF(D1865="","",D1865*'02_Eingaben'!$C$8)</f>
        <v/>
      </c>
      <c r="F1865" s="17" t="str">
        <f>IF(E1865="","",AVERAGE(INDEX($E$2:$E$3001,MAX(1,ROW()-1-'02_Eingaben'!$C$17)):INDEX($E$2:$E$3001,MIN('02_Eingaben'!$C$21,ROW()-1+'02_Eingaben'!$C$17))))</f>
        <v/>
      </c>
      <c r="G1865" s="17" t="str">
        <f>IF(F1865="","",F1865-'02_Eingaben'!$C$10)</f>
        <v/>
      </c>
      <c r="H1865" t="str">
        <f>IF(F1865="","",IF(F1865&lt;'02_Eingaben'!$C$18*'02_Eingaben'!$C$10,1,0))</f>
        <v/>
      </c>
      <c r="I1865" s="17" t="str">
        <f t="shared" si="29"/>
        <v/>
      </c>
      <c r="J1865" s="17" t="str">
        <f>IF(B1865="","",IF(B1864&lt;'02_Eingaben'!$C$36,0,J1864+I1864/'02_Eingaben'!$C$8))</f>
        <v/>
      </c>
    </row>
    <row r="1866" spans="1:10" x14ac:dyDescent="0.25">
      <c r="A1866" t="str">
        <f>IF('01_Rohdaten'!A1866="","",ROW()-1)</f>
        <v/>
      </c>
      <c r="B1866" s="17" t="str">
        <f>IF('01_Rohdaten'!A1866="","",'01_Rohdaten'!A1866)</f>
        <v/>
      </c>
      <c r="C1866" s="17" t="str">
        <f>IF(B1866="","",INDEX('01_Rohdaten'!B1866:D1866,'02_Eingaben'!$C$13))</f>
        <v/>
      </c>
      <c r="D1866" s="17" t="str">
        <f>IF(C1866="","",C1866*'02_Eingaben'!$C$15)</f>
        <v/>
      </c>
      <c r="E1866" s="17" t="str">
        <f>IF(D1866="","",D1866*'02_Eingaben'!$C$8)</f>
        <v/>
      </c>
      <c r="F1866" s="17" t="str">
        <f>IF(E1866="","",AVERAGE(INDEX($E$2:$E$3001,MAX(1,ROW()-1-'02_Eingaben'!$C$17)):INDEX($E$2:$E$3001,MIN('02_Eingaben'!$C$21,ROW()-1+'02_Eingaben'!$C$17))))</f>
        <v/>
      </c>
      <c r="G1866" s="17" t="str">
        <f>IF(F1866="","",F1866-'02_Eingaben'!$C$10)</f>
        <v/>
      </c>
      <c r="H1866" t="str">
        <f>IF(F1866="","",IF(F1866&lt;'02_Eingaben'!$C$18*'02_Eingaben'!$C$10,1,0))</f>
        <v/>
      </c>
      <c r="I1866" s="17" t="str">
        <f t="shared" si="29"/>
        <v/>
      </c>
      <c r="J1866" s="17" t="str">
        <f>IF(B1866="","",IF(B1865&lt;'02_Eingaben'!$C$36,0,J1865+I1865/'02_Eingaben'!$C$8))</f>
        <v/>
      </c>
    </row>
    <row r="1867" spans="1:10" x14ac:dyDescent="0.25">
      <c r="A1867" t="str">
        <f>IF('01_Rohdaten'!A1867="","",ROW()-1)</f>
        <v/>
      </c>
      <c r="B1867" s="17" t="str">
        <f>IF('01_Rohdaten'!A1867="","",'01_Rohdaten'!A1867)</f>
        <v/>
      </c>
      <c r="C1867" s="17" t="str">
        <f>IF(B1867="","",INDEX('01_Rohdaten'!B1867:D1867,'02_Eingaben'!$C$13))</f>
        <v/>
      </c>
      <c r="D1867" s="17" t="str">
        <f>IF(C1867="","",C1867*'02_Eingaben'!$C$15)</f>
        <v/>
      </c>
      <c r="E1867" s="17" t="str">
        <f>IF(D1867="","",D1867*'02_Eingaben'!$C$8)</f>
        <v/>
      </c>
      <c r="F1867" s="17" t="str">
        <f>IF(E1867="","",AVERAGE(INDEX($E$2:$E$3001,MAX(1,ROW()-1-'02_Eingaben'!$C$17)):INDEX($E$2:$E$3001,MIN('02_Eingaben'!$C$21,ROW()-1+'02_Eingaben'!$C$17))))</f>
        <v/>
      </c>
      <c r="G1867" s="17" t="str">
        <f>IF(F1867="","",F1867-'02_Eingaben'!$C$10)</f>
        <v/>
      </c>
      <c r="H1867" t="str">
        <f>IF(F1867="","",IF(F1867&lt;'02_Eingaben'!$C$18*'02_Eingaben'!$C$10,1,0))</f>
        <v/>
      </c>
      <c r="I1867" s="17" t="str">
        <f t="shared" si="29"/>
        <v/>
      </c>
      <c r="J1867" s="17" t="str">
        <f>IF(B1867="","",IF(B1866&lt;'02_Eingaben'!$C$36,0,J1866+I1866/'02_Eingaben'!$C$8))</f>
        <v/>
      </c>
    </row>
    <row r="1868" spans="1:10" x14ac:dyDescent="0.25">
      <c r="A1868" t="str">
        <f>IF('01_Rohdaten'!A1868="","",ROW()-1)</f>
        <v/>
      </c>
      <c r="B1868" s="17" t="str">
        <f>IF('01_Rohdaten'!A1868="","",'01_Rohdaten'!A1868)</f>
        <v/>
      </c>
      <c r="C1868" s="17" t="str">
        <f>IF(B1868="","",INDEX('01_Rohdaten'!B1868:D1868,'02_Eingaben'!$C$13))</f>
        <v/>
      </c>
      <c r="D1868" s="17" t="str">
        <f>IF(C1868="","",C1868*'02_Eingaben'!$C$15)</f>
        <v/>
      </c>
      <c r="E1868" s="17" t="str">
        <f>IF(D1868="","",D1868*'02_Eingaben'!$C$8)</f>
        <v/>
      </c>
      <c r="F1868" s="17" t="str">
        <f>IF(E1868="","",AVERAGE(INDEX($E$2:$E$3001,MAX(1,ROW()-1-'02_Eingaben'!$C$17)):INDEX($E$2:$E$3001,MIN('02_Eingaben'!$C$21,ROW()-1+'02_Eingaben'!$C$17))))</f>
        <v/>
      </c>
      <c r="G1868" s="17" t="str">
        <f>IF(F1868="","",F1868-'02_Eingaben'!$C$10)</f>
        <v/>
      </c>
      <c r="H1868" t="str">
        <f>IF(F1868="","",IF(F1868&lt;'02_Eingaben'!$C$18*'02_Eingaben'!$C$10,1,0))</f>
        <v/>
      </c>
      <c r="I1868" s="17" t="str">
        <f t="shared" si="29"/>
        <v/>
      </c>
      <c r="J1868" s="17" t="str">
        <f>IF(B1868="","",IF(B1867&lt;'02_Eingaben'!$C$36,0,J1867+I1867/'02_Eingaben'!$C$8))</f>
        <v/>
      </c>
    </row>
    <row r="1869" spans="1:10" x14ac:dyDescent="0.25">
      <c r="A1869" t="str">
        <f>IF('01_Rohdaten'!A1869="","",ROW()-1)</f>
        <v/>
      </c>
      <c r="B1869" s="17" t="str">
        <f>IF('01_Rohdaten'!A1869="","",'01_Rohdaten'!A1869)</f>
        <v/>
      </c>
      <c r="C1869" s="17" t="str">
        <f>IF(B1869="","",INDEX('01_Rohdaten'!B1869:D1869,'02_Eingaben'!$C$13))</f>
        <v/>
      </c>
      <c r="D1869" s="17" t="str">
        <f>IF(C1869="","",C1869*'02_Eingaben'!$C$15)</f>
        <v/>
      </c>
      <c r="E1869" s="17" t="str">
        <f>IF(D1869="","",D1869*'02_Eingaben'!$C$8)</f>
        <v/>
      </c>
      <c r="F1869" s="17" t="str">
        <f>IF(E1869="","",AVERAGE(INDEX($E$2:$E$3001,MAX(1,ROW()-1-'02_Eingaben'!$C$17)):INDEX($E$2:$E$3001,MIN('02_Eingaben'!$C$21,ROW()-1+'02_Eingaben'!$C$17))))</f>
        <v/>
      </c>
      <c r="G1869" s="17" t="str">
        <f>IF(F1869="","",F1869-'02_Eingaben'!$C$10)</f>
        <v/>
      </c>
      <c r="H1869" t="str">
        <f>IF(F1869="","",IF(F1869&lt;'02_Eingaben'!$C$18*'02_Eingaben'!$C$10,1,0))</f>
        <v/>
      </c>
      <c r="I1869" s="17" t="str">
        <f t="shared" si="29"/>
        <v/>
      </c>
      <c r="J1869" s="17" t="str">
        <f>IF(B1869="","",IF(B1868&lt;'02_Eingaben'!$C$36,0,J1868+I1868/'02_Eingaben'!$C$8))</f>
        <v/>
      </c>
    </row>
    <row r="1870" spans="1:10" x14ac:dyDescent="0.25">
      <c r="A1870" t="str">
        <f>IF('01_Rohdaten'!A1870="","",ROW()-1)</f>
        <v/>
      </c>
      <c r="B1870" s="17" t="str">
        <f>IF('01_Rohdaten'!A1870="","",'01_Rohdaten'!A1870)</f>
        <v/>
      </c>
      <c r="C1870" s="17" t="str">
        <f>IF(B1870="","",INDEX('01_Rohdaten'!B1870:D1870,'02_Eingaben'!$C$13))</f>
        <v/>
      </c>
      <c r="D1870" s="17" t="str">
        <f>IF(C1870="","",C1870*'02_Eingaben'!$C$15)</f>
        <v/>
      </c>
      <c r="E1870" s="17" t="str">
        <f>IF(D1870="","",D1870*'02_Eingaben'!$C$8)</f>
        <v/>
      </c>
      <c r="F1870" s="17" t="str">
        <f>IF(E1870="","",AVERAGE(INDEX($E$2:$E$3001,MAX(1,ROW()-1-'02_Eingaben'!$C$17)):INDEX($E$2:$E$3001,MIN('02_Eingaben'!$C$21,ROW()-1+'02_Eingaben'!$C$17))))</f>
        <v/>
      </c>
      <c r="G1870" s="17" t="str">
        <f>IF(F1870="","",F1870-'02_Eingaben'!$C$10)</f>
        <v/>
      </c>
      <c r="H1870" t="str">
        <f>IF(F1870="","",IF(F1870&lt;'02_Eingaben'!$C$18*'02_Eingaben'!$C$10,1,0))</f>
        <v/>
      </c>
      <c r="I1870" s="17" t="str">
        <f t="shared" si="29"/>
        <v/>
      </c>
      <c r="J1870" s="17" t="str">
        <f>IF(B1870="","",IF(B1869&lt;'02_Eingaben'!$C$36,0,J1869+I1869/'02_Eingaben'!$C$8))</f>
        <v/>
      </c>
    </row>
    <row r="1871" spans="1:10" x14ac:dyDescent="0.25">
      <c r="A1871" t="str">
        <f>IF('01_Rohdaten'!A1871="","",ROW()-1)</f>
        <v/>
      </c>
      <c r="B1871" s="17" t="str">
        <f>IF('01_Rohdaten'!A1871="","",'01_Rohdaten'!A1871)</f>
        <v/>
      </c>
      <c r="C1871" s="17" t="str">
        <f>IF(B1871="","",INDEX('01_Rohdaten'!B1871:D1871,'02_Eingaben'!$C$13))</f>
        <v/>
      </c>
      <c r="D1871" s="17" t="str">
        <f>IF(C1871="","",C1871*'02_Eingaben'!$C$15)</f>
        <v/>
      </c>
      <c r="E1871" s="17" t="str">
        <f>IF(D1871="","",D1871*'02_Eingaben'!$C$8)</f>
        <v/>
      </c>
      <c r="F1871" s="17" t="str">
        <f>IF(E1871="","",AVERAGE(INDEX($E$2:$E$3001,MAX(1,ROW()-1-'02_Eingaben'!$C$17)):INDEX($E$2:$E$3001,MIN('02_Eingaben'!$C$21,ROW()-1+'02_Eingaben'!$C$17))))</f>
        <v/>
      </c>
      <c r="G1871" s="17" t="str">
        <f>IF(F1871="","",F1871-'02_Eingaben'!$C$10)</f>
        <v/>
      </c>
      <c r="H1871" t="str">
        <f>IF(F1871="","",IF(F1871&lt;'02_Eingaben'!$C$18*'02_Eingaben'!$C$10,1,0))</f>
        <v/>
      </c>
      <c r="I1871" s="17" t="str">
        <f t="shared" si="29"/>
        <v/>
      </c>
      <c r="J1871" s="17" t="str">
        <f>IF(B1871="","",IF(B1870&lt;'02_Eingaben'!$C$36,0,J1870+I1870/'02_Eingaben'!$C$8))</f>
        <v/>
      </c>
    </row>
    <row r="1872" spans="1:10" x14ac:dyDescent="0.25">
      <c r="A1872" t="str">
        <f>IF('01_Rohdaten'!A1872="","",ROW()-1)</f>
        <v/>
      </c>
      <c r="B1872" s="17" t="str">
        <f>IF('01_Rohdaten'!A1872="","",'01_Rohdaten'!A1872)</f>
        <v/>
      </c>
      <c r="C1872" s="17" t="str">
        <f>IF(B1872="","",INDEX('01_Rohdaten'!B1872:D1872,'02_Eingaben'!$C$13))</f>
        <v/>
      </c>
      <c r="D1872" s="17" t="str">
        <f>IF(C1872="","",C1872*'02_Eingaben'!$C$15)</f>
        <v/>
      </c>
      <c r="E1872" s="17" t="str">
        <f>IF(D1872="","",D1872*'02_Eingaben'!$C$8)</f>
        <v/>
      </c>
      <c r="F1872" s="17" t="str">
        <f>IF(E1872="","",AVERAGE(INDEX($E$2:$E$3001,MAX(1,ROW()-1-'02_Eingaben'!$C$17)):INDEX($E$2:$E$3001,MIN('02_Eingaben'!$C$21,ROW()-1+'02_Eingaben'!$C$17))))</f>
        <v/>
      </c>
      <c r="G1872" s="17" t="str">
        <f>IF(F1872="","",F1872-'02_Eingaben'!$C$10)</f>
        <v/>
      </c>
      <c r="H1872" t="str">
        <f>IF(F1872="","",IF(F1872&lt;'02_Eingaben'!$C$18*'02_Eingaben'!$C$10,1,0))</f>
        <v/>
      </c>
      <c r="I1872" s="17" t="str">
        <f t="shared" si="29"/>
        <v/>
      </c>
      <c r="J1872" s="17" t="str">
        <f>IF(B1872="","",IF(B1871&lt;'02_Eingaben'!$C$36,0,J1871+I1871/'02_Eingaben'!$C$8))</f>
        <v/>
      </c>
    </row>
    <row r="1873" spans="1:10" x14ac:dyDescent="0.25">
      <c r="A1873" t="str">
        <f>IF('01_Rohdaten'!A1873="","",ROW()-1)</f>
        <v/>
      </c>
      <c r="B1873" s="17" t="str">
        <f>IF('01_Rohdaten'!A1873="","",'01_Rohdaten'!A1873)</f>
        <v/>
      </c>
      <c r="C1873" s="17" t="str">
        <f>IF(B1873="","",INDEX('01_Rohdaten'!B1873:D1873,'02_Eingaben'!$C$13))</f>
        <v/>
      </c>
      <c r="D1873" s="17" t="str">
        <f>IF(C1873="","",C1873*'02_Eingaben'!$C$15)</f>
        <v/>
      </c>
      <c r="E1873" s="17" t="str">
        <f>IF(D1873="","",D1873*'02_Eingaben'!$C$8)</f>
        <v/>
      </c>
      <c r="F1873" s="17" t="str">
        <f>IF(E1873="","",AVERAGE(INDEX($E$2:$E$3001,MAX(1,ROW()-1-'02_Eingaben'!$C$17)):INDEX($E$2:$E$3001,MIN('02_Eingaben'!$C$21,ROW()-1+'02_Eingaben'!$C$17))))</f>
        <v/>
      </c>
      <c r="G1873" s="17" t="str">
        <f>IF(F1873="","",F1873-'02_Eingaben'!$C$10)</f>
        <v/>
      </c>
      <c r="H1873" t="str">
        <f>IF(F1873="","",IF(F1873&lt;'02_Eingaben'!$C$18*'02_Eingaben'!$C$10,1,0))</f>
        <v/>
      </c>
      <c r="I1873" s="17" t="str">
        <f t="shared" si="29"/>
        <v/>
      </c>
      <c r="J1873" s="17" t="str">
        <f>IF(B1873="","",IF(B1872&lt;'02_Eingaben'!$C$36,0,J1872+I1872/'02_Eingaben'!$C$8))</f>
        <v/>
      </c>
    </row>
    <row r="1874" spans="1:10" x14ac:dyDescent="0.25">
      <c r="A1874" t="str">
        <f>IF('01_Rohdaten'!A1874="","",ROW()-1)</f>
        <v/>
      </c>
      <c r="B1874" s="17" t="str">
        <f>IF('01_Rohdaten'!A1874="","",'01_Rohdaten'!A1874)</f>
        <v/>
      </c>
      <c r="C1874" s="17" t="str">
        <f>IF(B1874="","",INDEX('01_Rohdaten'!B1874:D1874,'02_Eingaben'!$C$13))</f>
        <v/>
      </c>
      <c r="D1874" s="17" t="str">
        <f>IF(C1874="","",C1874*'02_Eingaben'!$C$15)</f>
        <v/>
      </c>
      <c r="E1874" s="17" t="str">
        <f>IF(D1874="","",D1874*'02_Eingaben'!$C$8)</f>
        <v/>
      </c>
      <c r="F1874" s="17" t="str">
        <f>IF(E1874="","",AVERAGE(INDEX($E$2:$E$3001,MAX(1,ROW()-1-'02_Eingaben'!$C$17)):INDEX($E$2:$E$3001,MIN('02_Eingaben'!$C$21,ROW()-1+'02_Eingaben'!$C$17))))</f>
        <v/>
      </c>
      <c r="G1874" s="17" t="str">
        <f>IF(F1874="","",F1874-'02_Eingaben'!$C$10)</f>
        <v/>
      </c>
      <c r="H1874" t="str">
        <f>IF(F1874="","",IF(F1874&lt;'02_Eingaben'!$C$18*'02_Eingaben'!$C$10,1,0))</f>
        <v/>
      </c>
      <c r="I1874" s="17" t="str">
        <f t="shared" si="29"/>
        <v/>
      </c>
      <c r="J1874" s="17" t="str">
        <f>IF(B1874="","",IF(B1873&lt;'02_Eingaben'!$C$36,0,J1873+I1873/'02_Eingaben'!$C$8))</f>
        <v/>
      </c>
    </row>
    <row r="1875" spans="1:10" x14ac:dyDescent="0.25">
      <c r="A1875" t="str">
        <f>IF('01_Rohdaten'!A1875="","",ROW()-1)</f>
        <v/>
      </c>
      <c r="B1875" s="17" t="str">
        <f>IF('01_Rohdaten'!A1875="","",'01_Rohdaten'!A1875)</f>
        <v/>
      </c>
      <c r="C1875" s="17" t="str">
        <f>IF(B1875="","",INDEX('01_Rohdaten'!B1875:D1875,'02_Eingaben'!$C$13))</f>
        <v/>
      </c>
      <c r="D1875" s="17" t="str">
        <f>IF(C1875="","",C1875*'02_Eingaben'!$C$15)</f>
        <v/>
      </c>
      <c r="E1875" s="17" t="str">
        <f>IF(D1875="","",D1875*'02_Eingaben'!$C$8)</f>
        <v/>
      </c>
      <c r="F1875" s="17" t="str">
        <f>IF(E1875="","",AVERAGE(INDEX($E$2:$E$3001,MAX(1,ROW()-1-'02_Eingaben'!$C$17)):INDEX($E$2:$E$3001,MIN('02_Eingaben'!$C$21,ROW()-1+'02_Eingaben'!$C$17))))</f>
        <v/>
      </c>
      <c r="G1875" s="17" t="str">
        <f>IF(F1875="","",F1875-'02_Eingaben'!$C$10)</f>
        <v/>
      </c>
      <c r="H1875" t="str">
        <f>IF(F1875="","",IF(F1875&lt;'02_Eingaben'!$C$18*'02_Eingaben'!$C$10,1,0))</f>
        <v/>
      </c>
      <c r="I1875" s="17" t="str">
        <f t="shared" si="29"/>
        <v/>
      </c>
      <c r="J1875" s="17" t="str">
        <f>IF(B1875="","",IF(B1874&lt;'02_Eingaben'!$C$36,0,J1874+I1874/'02_Eingaben'!$C$8))</f>
        <v/>
      </c>
    </row>
    <row r="1876" spans="1:10" x14ac:dyDescent="0.25">
      <c r="A1876" t="str">
        <f>IF('01_Rohdaten'!A1876="","",ROW()-1)</f>
        <v/>
      </c>
      <c r="B1876" s="17" t="str">
        <f>IF('01_Rohdaten'!A1876="","",'01_Rohdaten'!A1876)</f>
        <v/>
      </c>
      <c r="C1876" s="17" t="str">
        <f>IF(B1876="","",INDEX('01_Rohdaten'!B1876:D1876,'02_Eingaben'!$C$13))</f>
        <v/>
      </c>
      <c r="D1876" s="17" t="str">
        <f>IF(C1876="","",C1876*'02_Eingaben'!$C$15)</f>
        <v/>
      </c>
      <c r="E1876" s="17" t="str">
        <f>IF(D1876="","",D1876*'02_Eingaben'!$C$8)</f>
        <v/>
      </c>
      <c r="F1876" s="17" t="str">
        <f>IF(E1876="","",AVERAGE(INDEX($E$2:$E$3001,MAX(1,ROW()-1-'02_Eingaben'!$C$17)):INDEX($E$2:$E$3001,MIN('02_Eingaben'!$C$21,ROW()-1+'02_Eingaben'!$C$17))))</f>
        <v/>
      </c>
      <c r="G1876" s="17" t="str">
        <f>IF(F1876="","",F1876-'02_Eingaben'!$C$10)</f>
        <v/>
      </c>
      <c r="H1876" t="str">
        <f>IF(F1876="","",IF(F1876&lt;'02_Eingaben'!$C$18*'02_Eingaben'!$C$10,1,0))</f>
        <v/>
      </c>
      <c r="I1876" s="17" t="str">
        <f t="shared" si="29"/>
        <v/>
      </c>
      <c r="J1876" s="17" t="str">
        <f>IF(B1876="","",IF(B1875&lt;'02_Eingaben'!$C$36,0,J1875+I1875/'02_Eingaben'!$C$8))</f>
        <v/>
      </c>
    </row>
    <row r="1877" spans="1:10" x14ac:dyDescent="0.25">
      <c r="A1877" t="str">
        <f>IF('01_Rohdaten'!A1877="","",ROW()-1)</f>
        <v/>
      </c>
      <c r="B1877" s="17" t="str">
        <f>IF('01_Rohdaten'!A1877="","",'01_Rohdaten'!A1877)</f>
        <v/>
      </c>
      <c r="C1877" s="17" t="str">
        <f>IF(B1877="","",INDEX('01_Rohdaten'!B1877:D1877,'02_Eingaben'!$C$13))</f>
        <v/>
      </c>
      <c r="D1877" s="17" t="str">
        <f>IF(C1877="","",C1877*'02_Eingaben'!$C$15)</f>
        <v/>
      </c>
      <c r="E1877" s="17" t="str">
        <f>IF(D1877="","",D1877*'02_Eingaben'!$C$8)</f>
        <v/>
      </c>
      <c r="F1877" s="17" t="str">
        <f>IF(E1877="","",AVERAGE(INDEX($E$2:$E$3001,MAX(1,ROW()-1-'02_Eingaben'!$C$17)):INDEX($E$2:$E$3001,MIN('02_Eingaben'!$C$21,ROW()-1+'02_Eingaben'!$C$17))))</f>
        <v/>
      </c>
      <c r="G1877" s="17" t="str">
        <f>IF(F1877="","",F1877-'02_Eingaben'!$C$10)</f>
        <v/>
      </c>
      <c r="H1877" t="str">
        <f>IF(F1877="","",IF(F1877&lt;'02_Eingaben'!$C$18*'02_Eingaben'!$C$10,1,0))</f>
        <v/>
      </c>
      <c r="I1877" s="17" t="str">
        <f t="shared" si="29"/>
        <v/>
      </c>
      <c r="J1877" s="17" t="str">
        <f>IF(B1877="","",IF(B1876&lt;'02_Eingaben'!$C$36,0,J1876+I1876/'02_Eingaben'!$C$8))</f>
        <v/>
      </c>
    </row>
    <row r="1878" spans="1:10" x14ac:dyDescent="0.25">
      <c r="A1878" t="str">
        <f>IF('01_Rohdaten'!A1878="","",ROW()-1)</f>
        <v/>
      </c>
      <c r="B1878" s="17" t="str">
        <f>IF('01_Rohdaten'!A1878="","",'01_Rohdaten'!A1878)</f>
        <v/>
      </c>
      <c r="C1878" s="17" t="str">
        <f>IF(B1878="","",INDEX('01_Rohdaten'!B1878:D1878,'02_Eingaben'!$C$13))</f>
        <v/>
      </c>
      <c r="D1878" s="17" t="str">
        <f>IF(C1878="","",C1878*'02_Eingaben'!$C$15)</f>
        <v/>
      </c>
      <c r="E1878" s="17" t="str">
        <f>IF(D1878="","",D1878*'02_Eingaben'!$C$8)</f>
        <v/>
      </c>
      <c r="F1878" s="17" t="str">
        <f>IF(E1878="","",AVERAGE(INDEX($E$2:$E$3001,MAX(1,ROW()-1-'02_Eingaben'!$C$17)):INDEX($E$2:$E$3001,MIN('02_Eingaben'!$C$21,ROW()-1+'02_Eingaben'!$C$17))))</f>
        <v/>
      </c>
      <c r="G1878" s="17" t="str">
        <f>IF(F1878="","",F1878-'02_Eingaben'!$C$10)</f>
        <v/>
      </c>
      <c r="H1878" t="str">
        <f>IF(F1878="","",IF(F1878&lt;'02_Eingaben'!$C$18*'02_Eingaben'!$C$10,1,0))</f>
        <v/>
      </c>
      <c r="I1878" s="17" t="str">
        <f t="shared" si="29"/>
        <v/>
      </c>
      <c r="J1878" s="17" t="str">
        <f>IF(B1878="","",IF(B1877&lt;'02_Eingaben'!$C$36,0,J1877+I1877/'02_Eingaben'!$C$8))</f>
        <v/>
      </c>
    </row>
    <row r="1879" spans="1:10" x14ac:dyDescent="0.25">
      <c r="A1879" t="str">
        <f>IF('01_Rohdaten'!A1879="","",ROW()-1)</f>
        <v/>
      </c>
      <c r="B1879" s="17" t="str">
        <f>IF('01_Rohdaten'!A1879="","",'01_Rohdaten'!A1879)</f>
        <v/>
      </c>
      <c r="C1879" s="17" t="str">
        <f>IF(B1879="","",INDEX('01_Rohdaten'!B1879:D1879,'02_Eingaben'!$C$13))</f>
        <v/>
      </c>
      <c r="D1879" s="17" t="str">
        <f>IF(C1879="","",C1879*'02_Eingaben'!$C$15)</f>
        <v/>
      </c>
      <c r="E1879" s="17" t="str">
        <f>IF(D1879="","",D1879*'02_Eingaben'!$C$8)</f>
        <v/>
      </c>
      <c r="F1879" s="17" t="str">
        <f>IF(E1879="","",AVERAGE(INDEX($E$2:$E$3001,MAX(1,ROW()-1-'02_Eingaben'!$C$17)):INDEX($E$2:$E$3001,MIN('02_Eingaben'!$C$21,ROW()-1+'02_Eingaben'!$C$17))))</f>
        <v/>
      </c>
      <c r="G1879" s="17" t="str">
        <f>IF(F1879="","",F1879-'02_Eingaben'!$C$10)</f>
        <v/>
      </c>
      <c r="H1879" t="str">
        <f>IF(F1879="","",IF(F1879&lt;'02_Eingaben'!$C$18*'02_Eingaben'!$C$10,1,0))</f>
        <v/>
      </c>
      <c r="I1879" s="17" t="str">
        <f t="shared" si="29"/>
        <v/>
      </c>
      <c r="J1879" s="17" t="str">
        <f>IF(B1879="","",IF(B1878&lt;'02_Eingaben'!$C$36,0,J1878+I1878/'02_Eingaben'!$C$8))</f>
        <v/>
      </c>
    </row>
    <row r="1880" spans="1:10" x14ac:dyDescent="0.25">
      <c r="A1880" t="str">
        <f>IF('01_Rohdaten'!A1880="","",ROW()-1)</f>
        <v/>
      </c>
      <c r="B1880" s="17" t="str">
        <f>IF('01_Rohdaten'!A1880="","",'01_Rohdaten'!A1880)</f>
        <v/>
      </c>
      <c r="C1880" s="17" t="str">
        <f>IF(B1880="","",INDEX('01_Rohdaten'!B1880:D1880,'02_Eingaben'!$C$13))</f>
        <v/>
      </c>
      <c r="D1880" s="17" t="str">
        <f>IF(C1880="","",C1880*'02_Eingaben'!$C$15)</f>
        <v/>
      </c>
      <c r="E1880" s="17" t="str">
        <f>IF(D1880="","",D1880*'02_Eingaben'!$C$8)</f>
        <v/>
      </c>
      <c r="F1880" s="17" t="str">
        <f>IF(E1880="","",AVERAGE(INDEX($E$2:$E$3001,MAX(1,ROW()-1-'02_Eingaben'!$C$17)):INDEX($E$2:$E$3001,MIN('02_Eingaben'!$C$21,ROW()-1+'02_Eingaben'!$C$17))))</f>
        <v/>
      </c>
      <c r="G1880" s="17" t="str">
        <f>IF(F1880="","",F1880-'02_Eingaben'!$C$10)</f>
        <v/>
      </c>
      <c r="H1880" t="str">
        <f>IF(F1880="","",IF(F1880&lt;'02_Eingaben'!$C$18*'02_Eingaben'!$C$10,1,0))</f>
        <v/>
      </c>
      <c r="I1880" s="17" t="str">
        <f t="shared" si="29"/>
        <v/>
      </c>
      <c r="J1880" s="17" t="str">
        <f>IF(B1880="","",IF(B1879&lt;'02_Eingaben'!$C$36,0,J1879+I1879/'02_Eingaben'!$C$8))</f>
        <v/>
      </c>
    </row>
    <row r="1881" spans="1:10" x14ac:dyDescent="0.25">
      <c r="A1881" t="str">
        <f>IF('01_Rohdaten'!A1881="","",ROW()-1)</f>
        <v/>
      </c>
      <c r="B1881" s="17" t="str">
        <f>IF('01_Rohdaten'!A1881="","",'01_Rohdaten'!A1881)</f>
        <v/>
      </c>
      <c r="C1881" s="17" t="str">
        <f>IF(B1881="","",INDEX('01_Rohdaten'!B1881:D1881,'02_Eingaben'!$C$13))</f>
        <v/>
      </c>
      <c r="D1881" s="17" t="str">
        <f>IF(C1881="","",C1881*'02_Eingaben'!$C$15)</f>
        <v/>
      </c>
      <c r="E1881" s="17" t="str">
        <f>IF(D1881="","",D1881*'02_Eingaben'!$C$8)</f>
        <v/>
      </c>
      <c r="F1881" s="17" t="str">
        <f>IF(E1881="","",AVERAGE(INDEX($E$2:$E$3001,MAX(1,ROW()-1-'02_Eingaben'!$C$17)):INDEX($E$2:$E$3001,MIN('02_Eingaben'!$C$21,ROW()-1+'02_Eingaben'!$C$17))))</f>
        <v/>
      </c>
      <c r="G1881" s="17" t="str">
        <f>IF(F1881="","",F1881-'02_Eingaben'!$C$10)</f>
        <v/>
      </c>
      <c r="H1881" t="str">
        <f>IF(F1881="","",IF(F1881&lt;'02_Eingaben'!$C$18*'02_Eingaben'!$C$10,1,0))</f>
        <v/>
      </c>
      <c r="I1881" s="17" t="str">
        <f t="shared" si="29"/>
        <v/>
      </c>
      <c r="J1881" s="17" t="str">
        <f>IF(B1881="","",IF(B1880&lt;'02_Eingaben'!$C$36,0,J1880+I1880/'02_Eingaben'!$C$8))</f>
        <v/>
      </c>
    </row>
    <row r="1882" spans="1:10" x14ac:dyDescent="0.25">
      <c r="A1882" t="str">
        <f>IF('01_Rohdaten'!A1882="","",ROW()-1)</f>
        <v/>
      </c>
      <c r="B1882" s="17" t="str">
        <f>IF('01_Rohdaten'!A1882="","",'01_Rohdaten'!A1882)</f>
        <v/>
      </c>
      <c r="C1882" s="17" t="str">
        <f>IF(B1882="","",INDEX('01_Rohdaten'!B1882:D1882,'02_Eingaben'!$C$13))</f>
        <v/>
      </c>
      <c r="D1882" s="17" t="str">
        <f>IF(C1882="","",C1882*'02_Eingaben'!$C$15)</f>
        <v/>
      </c>
      <c r="E1882" s="17" t="str">
        <f>IF(D1882="","",D1882*'02_Eingaben'!$C$8)</f>
        <v/>
      </c>
      <c r="F1882" s="17" t="str">
        <f>IF(E1882="","",AVERAGE(INDEX($E$2:$E$3001,MAX(1,ROW()-1-'02_Eingaben'!$C$17)):INDEX($E$2:$E$3001,MIN('02_Eingaben'!$C$21,ROW()-1+'02_Eingaben'!$C$17))))</f>
        <v/>
      </c>
      <c r="G1882" s="17" t="str">
        <f>IF(F1882="","",F1882-'02_Eingaben'!$C$10)</f>
        <v/>
      </c>
      <c r="H1882" t="str">
        <f>IF(F1882="","",IF(F1882&lt;'02_Eingaben'!$C$18*'02_Eingaben'!$C$10,1,0))</f>
        <v/>
      </c>
      <c r="I1882" s="17" t="str">
        <f t="shared" si="29"/>
        <v/>
      </c>
      <c r="J1882" s="17" t="str">
        <f>IF(B1882="","",IF(B1881&lt;'02_Eingaben'!$C$36,0,J1881+I1881/'02_Eingaben'!$C$8))</f>
        <v/>
      </c>
    </row>
    <row r="1883" spans="1:10" x14ac:dyDescent="0.25">
      <c r="A1883" t="str">
        <f>IF('01_Rohdaten'!A1883="","",ROW()-1)</f>
        <v/>
      </c>
      <c r="B1883" s="17" t="str">
        <f>IF('01_Rohdaten'!A1883="","",'01_Rohdaten'!A1883)</f>
        <v/>
      </c>
      <c r="C1883" s="17" t="str">
        <f>IF(B1883="","",INDEX('01_Rohdaten'!B1883:D1883,'02_Eingaben'!$C$13))</f>
        <v/>
      </c>
      <c r="D1883" s="17" t="str">
        <f>IF(C1883="","",C1883*'02_Eingaben'!$C$15)</f>
        <v/>
      </c>
      <c r="E1883" s="17" t="str">
        <f>IF(D1883="","",D1883*'02_Eingaben'!$C$8)</f>
        <v/>
      </c>
      <c r="F1883" s="17" t="str">
        <f>IF(E1883="","",AVERAGE(INDEX($E$2:$E$3001,MAX(1,ROW()-1-'02_Eingaben'!$C$17)):INDEX($E$2:$E$3001,MIN('02_Eingaben'!$C$21,ROW()-1+'02_Eingaben'!$C$17))))</f>
        <v/>
      </c>
      <c r="G1883" s="17" t="str">
        <f>IF(F1883="","",F1883-'02_Eingaben'!$C$10)</f>
        <v/>
      </c>
      <c r="H1883" t="str">
        <f>IF(F1883="","",IF(F1883&lt;'02_Eingaben'!$C$18*'02_Eingaben'!$C$10,1,0))</f>
        <v/>
      </c>
      <c r="I1883" s="17" t="str">
        <f t="shared" si="29"/>
        <v/>
      </c>
      <c r="J1883" s="17" t="str">
        <f>IF(B1883="","",IF(B1882&lt;'02_Eingaben'!$C$36,0,J1882+I1882/'02_Eingaben'!$C$8))</f>
        <v/>
      </c>
    </row>
    <row r="1884" spans="1:10" x14ac:dyDescent="0.25">
      <c r="A1884" t="str">
        <f>IF('01_Rohdaten'!A1884="","",ROW()-1)</f>
        <v/>
      </c>
      <c r="B1884" s="17" t="str">
        <f>IF('01_Rohdaten'!A1884="","",'01_Rohdaten'!A1884)</f>
        <v/>
      </c>
      <c r="C1884" s="17" t="str">
        <f>IF(B1884="","",INDEX('01_Rohdaten'!B1884:D1884,'02_Eingaben'!$C$13))</f>
        <v/>
      </c>
      <c r="D1884" s="17" t="str">
        <f>IF(C1884="","",C1884*'02_Eingaben'!$C$15)</f>
        <v/>
      </c>
      <c r="E1884" s="17" t="str">
        <f>IF(D1884="","",D1884*'02_Eingaben'!$C$8)</f>
        <v/>
      </c>
      <c r="F1884" s="17" t="str">
        <f>IF(E1884="","",AVERAGE(INDEX($E$2:$E$3001,MAX(1,ROW()-1-'02_Eingaben'!$C$17)):INDEX($E$2:$E$3001,MIN('02_Eingaben'!$C$21,ROW()-1+'02_Eingaben'!$C$17))))</f>
        <v/>
      </c>
      <c r="G1884" s="17" t="str">
        <f>IF(F1884="","",F1884-'02_Eingaben'!$C$10)</f>
        <v/>
      </c>
      <c r="H1884" t="str">
        <f>IF(F1884="","",IF(F1884&lt;'02_Eingaben'!$C$18*'02_Eingaben'!$C$10,1,0))</f>
        <v/>
      </c>
      <c r="I1884" s="17" t="str">
        <f t="shared" si="29"/>
        <v/>
      </c>
      <c r="J1884" s="17" t="str">
        <f>IF(B1884="","",IF(B1883&lt;'02_Eingaben'!$C$36,0,J1883+I1883/'02_Eingaben'!$C$8))</f>
        <v/>
      </c>
    </row>
    <row r="1885" spans="1:10" x14ac:dyDescent="0.25">
      <c r="A1885" t="str">
        <f>IF('01_Rohdaten'!A1885="","",ROW()-1)</f>
        <v/>
      </c>
      <c r="B1885" s="17" t="str">
        <f>IF('01_Rohdaten'!A1885="","",'01_Rohdaten'!A1885)</f>
        <v/>
      </c>
      <c r="C1885" s="17" t="str">
        <f>IF(B1885="","",INDEX('01_Rohdaten'!B1885:D1885,'02_Eingaben'!$C$13))</f>
        <v/>
      </c>
      <c r="D1885" s="17" t="str">
        <f>IF(C1885="","",C1885*'02_Eingaben'!$C$15)</f>
        <v/>
      </c>
      <c r="E1885" s="17" t="str">
        <f>IF(D1885="","",D1885*'02_Eingaben'!$C$8)</f>
        <v/>
      </c>
      <c r="F1885" s="17" t="str">
        <f>IF(E1885="","",AVERAGE(INDEX($E$2:$E$3001,MAX(1,ROW()-1-'02_Eingaben'!$C$17)):INDEX($E$2:$E$3001,MIN('02_Eingaben'!$C$21,ROW()-1+'02_Eingaben'!$C$17))))</f>
        <v/>
      </c>
      <c r="G1885" s="17" t="str">
        <f>IF(F1885="","",F1885-'02_Eingaben'!$C$10)</f>
        <v/>
      </c>
      <c r="H1885" t="str">
        <f>IF(F1885="","",IF(F1885&lt;'02_Eingaben'!$C$18*'02_Eingaben'!$C$10,1,0))</f>
        <v/>
      </c>
      <c r="I1885" s="17" t="str">
        <f t="shared" si="29"/>
        <v/>
      </c>
      <c r="J1885" s="17" t="str">
        <f>IF(B1885="","",IF(B1884&lt;'02_Eingaben'!$C$36,0,J1884+I1884/'02_Eingaben'!$C$8))</f>
        <v/>
      </c>
    </row>
    <row r="1886" spans="1:10" x14ac:dyDescent="0.25">
      <c r="A1886" t="str">
        <f>IF('01_Rohdaten'!A1886="","",ROW()-1)</f>
        <v/>
      </c>
      <c r="B1886" s="17" t="str">
        <f>IF('01_Rohdaten'!A1886="","",'01_Rohdaten'!A1886)</f>
        <v/>
      </c>
      <c r="C1886" s="17" t="str">
        <f>IF(B1886="","",INDEX('01_Rohdaten'!B1886:D1886,'02_Eingaben'!$C$13))</f>
        <v/>
      </c>
      <c r="D1886" s="17" t="str">
        <f>IF(C1886="","",C1886*'02_Eingaben'!$C$15)</f>
        <v/>
      </c>
      <c r="E1886" s="17" t="str">
        <f>IF(D1886="","",D1886*'02_Eingaben'!$C$8)</f>
        <v/>
      </c>
      <c r="F1886" s="17" t="str">
        <f>IF(E1886="","",AVERAGE(INDEX($E$2:$E$3001,MAX(1,ROW()-1-'02_Eingaben'!$C$17)):INDEX($E$2:$E$3001,MIN('02_Eingaben'!$C$21,ROW()-1+'02_Eingaben'!$C$17))))</f>
        <v/>
      </c>
      <c r="G1886" s="17" t="str">
        <f>IF(F1886="","",F1886-'02_Eingaben'!$C$10)</f>
        <v/>
      </c>
      <c r="H1886" t="str">
        <f>IF(F1886="","",IF(F1886&lt;'02_Eingaben'!$C$18*'02_Eingaben'!$C$10,1,0))</f>
        <v/>
      </c>
      <c r="I1886" s="17" t="str">
        <f t="shared" si="29"/>
        <v/>
      </c>
      <c r="J1886" s="17" t="str">
        <f>IF(B1886="","",IF(B1885&lt;'02_Eingaben'!$C$36,0,J1885+I1885/'02_Eingaben'!$C$8))</f>
        <v/>
      </c>
    </row>
    <row r="1887" spans="1:10" x14ac:dyDescent="0.25">
      <c r="A1887" t="str">
        <f>IF('01_Rohdaten'!A1887="","",ROW()-1)</f>
        <v/>
      </c>
      <c r="B1887" s="17" t="str">
        <f>IF('01_Rohdaten'!A1887="","",'01_Rohdaten'!A1887)</f>
        <v/>
      </c>
      <c r="C1887" s="17" t="str">
        <f>IF(B1887="","",INDEX('01_Rohdaten'!B1887:D1887,'02_Eingaben'!$C$13))</f>
        <v/>
      </c>
      <c r="D1887" s="17" t="str">
        <f>IF(C1887="","",C1887*'02_Eingaben'!$C$15)</f>
        <v/>
      </c>
      <c r="E1887" s="17" t="str">
        <f>IF(D1887="","",D1887*'02_Eingaben'!$C$8)</f>
        <v/>
      </c>
      <c r="F1887" s="17" t="str">
        <f>IF(E1887="","",AVERAGE(INDEX($E$2:$E$3001,MAX(1,ROW()-1-'02_Eingaben'!$C$17)):INDEX($E$2:$E$3001,MIN('02_Eingaben'!$C$21,ROW()-1+'02_Eingaben'!$C$17))))</f>
        <v/>
      </c>
      <c r="G1887" s="17" t="str">
        <f>IF(F1887="","",F1887-'02_Eingaben'!$C$10)</f>
        <v/>
      </c>
      <c r="H1887" t="str">
        <f>IF(F1887="","",IF(F1887&lt;'02_Eingaben'!$C$18*'02_Eingaben'!$C$10,1,0))</f>
        <v/>
      </c>
      <c r="I1887" s="17" t="str">
        <f t="shared" si="29"/>
        <v/>
      </c>
      <c r="J1887" s="17" t="str">
        <f>IF(B1887="","",IF(B1886&lt;'02_Eingaben'!$C$36,0,J1886+I1886/'02_Eingaben'!$C$8))</f>
        <v/>
      </c>
    </row>
    <row r="1888" spans="1:10" x14ac:dyDescent="0.25">
      <c r="A1888" t="str">
        <f>IF('01_Rohdaten'!A1888="","",ROW()-1)</f>
        <v/>
      </c>
      <c r="B1888" s="17" t="str">
        <f>IF('01_Rohdaten'!A1888="","",'01_Rohdaten'!A1888)</f>
        <v/>
      </c>
      <c r="C1888" s="17" t="str">
        <f>IF(B1888="","",INDEX('01_Rohdaten'!B1888:D1888,'02_Eingaben'!$C$13))</f>
        <v/>
      </c>
      <c r="D1888" s="17" t="str">
        <f>IF(C1888="","",C1888*'02_Eingaben'!$C$15)</f>
        <v/>
      </c>
      <c r="E1888" s="17" t="str">
        <f>IF(D1888="","",D1888*'02_Eingaben'!$C$8)</f>
        <v/>
      </c>
      <c r="F1888" s="17" t="str">
        <f>IF(E1888="","",AVERAGE(INDEX($E$2:$E$3001,MAX(1,ROW()-1-'02_Eingaben'!$C$17)):INDEX($E$2:$E$3001,MIN('02_Eingaben'!$C$21,ROW()-1+'02_Eingaben'!$C$17))))</f>
        <v/>
      </c>
      <c r="G1888" s="17" t="str">
        <f>IF(F1888="","",F1888-'02_Eingaben'!$C$10)</f>
        <v/>
      </c>
      <c r="H1888" t="str">
        <f>IF(F1888="","",IF(F1888&lt;'02_Eingaben'!$C$18*'02_Eingaben'!$C$10,1,0))</f>
        <v/>
      </c>
      <c r="I1888" s="17" t="str">
        <f t="shared" si="29"/>
        <v/>
      </c>
      <c r="J1888" s="17" t="str">
        <f>IF(B1888="","",IF(B1887&lt;'02_Eingaben'!$C$36,0,J1887+I1887/'02_Eingaben'!$C$8))</f>
        <v/>
      </c>
    </row>
    <row r="1889" spans="1:10" x14ac:dyDescent="0.25">
      <c r="A1889" t="str">
        <f>IF('01_Rohdaten'!A1889="","",ROW()-1)</f>
        <v/>
      </c>
      <c r="B1889" s="17" t="str">
        <f>IF('01_Rohdaten'!A1889="","",'01_Rohdaten'!A1889)</f>
        <v/>
      </c>
      <c r="C1889" s="17" t="str">
        <f>IF(B1889="","",INDEX('01_Rohdaten'!B1889:D1889,'02_Eingaben'!$C$13))</f>
        <v/>
      </c>
      <c r="D1889" s="17" t="str">
        <f>IF(C1889="","",C1889*'02_Eingaben'!$C$15)</f>
        <v/>
      </c>
      <c r="E1889" s="17" t="str">
        <f>IF(D1889="","",D1889*'02_Eingaben'!$C$8)</f>
        <v/>
      </c>
      <c r="F1889" s="17" t="str">
        <f>IF(E1889="","",AVERAGE(INDEX($E$2:$E$3001,MAX(1,ROW()-1-'02_Eingaben'!$C$17)):INDEX($E$2:$E$3001,MIN('02_Eingaben'!$C$21,ROW()-1+'02_Eingaben'!$C$17))))</f>
        <v/>
      </c>
      <c r="G1889" s="17" t="str">
        <f>IF(F1889="","",F1889-'02_Eingaben'!$C$10)</f>
        <v/>
      </c>
      <c r="H1889" t="str">
        <f>IF(F1889="","",IF(F1889&lt;'02_Eingaben'!$C$18*'02_Eingaben'!$C$10,1,0))</f>
        <v/>
      </c>
      <c r="I1889" s="17" t="str">
        <f t="shared" si="29"/>
        <v/>
      </c>
      <c r="J1889" s="17" t="str">
        <f>IF(B1889="","",IF(B1888&lt;'02_Eingaben'!$C$36,0,J1888+I1888/'02_Eingaben'!$C$8))</f>
        <v/>
      </c>
    </row>
    <row r="1890" spans="1:10" x14ac:dyDescent="0.25">
      <c r="A1890" t="str">
        <f>IF('01_Rohdaten'!A1890="","",ROW()-1)</f>
        <v/>
      </c>
      <c r="B1890" s="17" t="str">
        <f>IF('01_Rohdaten'!A1890="","",'01_Rohdaten'!A1890)</f>
        <v/>
      </c>
      <c r="C1890" s="17" t="str">
        <f>IF(B1890="","",INDEX('01_Rohdaten'!B1890:D1890,'02_Eingaben'!$C$13))</f>
        <v/>
      </c>
      <c r="D1890" s="17" t="str">
        <f>IF(C1890="","",C1890*'02_Eingaben'!$C$15)</f>
        <v/>
      </c>
      <c r="E1890" s="17" t="str">
        <f>IF(D1890="","",D1890*'02_Eingaben'!$C$8)</f>
        <v/>
      </c>
      <c r="F1890" s="17" t="str">
        <f>IF(E1890="","",AVERAGE(INDEX($E$2:$E$3001,MAX(1,ROW()-1-'02_Eingaben'!$C$17)):INDEX($E$2:$E$3001,MIN('02_Eingaben'!$C$21,ROW()-1+'02_Eingaben'!$C$17))))</f>
        <v/>
      </c>
      <c r="G1890" s="17" t="str">
        <f>IF(F1890="","",F1890-'02_Eingaben'!$C$10)</f>
        <v/>
      </c>
      <c r="H1890" t="str">
        <f>IF(F1890="","",IF(F1890&lt;'02_Eingaben'!$C$18*'02_Eingaben'!$C$10,1,0))</f>
        <v/>
      </c>
      <c r="I1890" s="17" t="str">
        <f t="shared" si="29"/>
        <v/>
      </c>
      <c r="J1890" s="17" t="str">
        <f>IF(B1890="","",IF(B1889&lt;'02_Eingaben'!$C$36,0,J1889+I1889/'02_Eingaben'!$C$8))</f>
        <v/>
      </c>
    </row>
    <row r="1891" spans="1:10" x14ac:dyDescent="0.25">
      <c r="A1891" t="str">
        <f>IF('01_Rohdaten'!A1891="","",ROW()-1)</f>
        <v/>
      </c>
      <c r="B1891" s="17" t="str">
        <f>IF('01_Rohdaten'!A1891="","",'01_Rohdaten'!A1891)</f>
        <v/>
      </c>
      <c r="C1891" s="17" t="str">
        <f>IF(B1891="","",INDEX('01_Rohdaten'!B1891:D1891,'02_Eingaben'!$C$13))</f>
        <v/>
      </c>
      <c r="D1891" s="17" t="str">
        <f>IF(C1891="","",C1891*'02_Eingaben'!$C$15)</f>
        <v/>
      </c>
      <c r="E1891" s="17" t="str">
        <f>IF(D1891="","",D1891*'02_Eingaben'!$C$8)</f>
        <v/>
      </c>
      <c r="F1891" s="17" t="str">
        <f>IF(E1891="","",AVERAGE(INDEX($E$2:$E$3001,MAX(1,ROW()-1-'02_Eingaben'!$C$17)):INDEX($E$2:$E$3001,MIN('02_Eingaben'!$C$21,ROW()-1+'02_Eingaben'!$C$17))))</f>
        <v/>
      </c>
      <c r="G1891" s="17" t="str">
        <f>IF(F1891="","",F1891-'02_Eingaben'!$C$10)</f>
        <v/>
      </c>
      <c r="H1891" t="str">
        <f>IF(F1891="","",IF(F1891&lt;'02_Eingaben'!$C$18*'02_Eingaben'!$C$10,1,0))</f>
        <v/>
      </c>
      <c r="I1891" s="17" t="str">
        <f t="shared" si="29"/>
        <v/>
      </c>
      <c r="J1891" s="17" t="str">
        <f>IF(B1891="","",IF(B1890&lt;'02_Eingaben'!$C$36,0,J1890+I1890/'02_Eingaben'!$C$8))</f>
        <v/>
      </c>
    </row>
    <row r="1892" spans="1:10" x14ac:dyDescent="0.25">
      <c r="A1892" t="str">
        <f>IF('01_Rohdaten'!A1892="","",ROW()-1)</f>
        <v/>
      </c>
      <c r="B1892" s="17" t="str">
        <f>IF('01_Rohdaten'!A1892="","",'01_Rohdaten'!A1892)</f>
        <v/>
      </c>
      <c r="C1892" s="17" t="str">
        <f>IF(B1892="","",INDEX('01_Rohdaten'!B1892:D1892,'02_Eingaben'!$C$13))</f>
        <v/>
      </c>
      <c r="D1892" s="17" t="str">
        <f>IF(C1892="","",C1892*'02_Eingaben'!$C$15)</f>
        <v/>
      </c>
      <c r="E1892" s="17" t="str">
        <f>IF(D1892="","",D1892*'02_Eingaben'!$C$8)</f>
        <v/>
      </c>
      <c r="F1892" s="17" t="str">
        <f>IF(E1892="","",AVERAGE(INDEX($E$2:$E$3001,MAX(1,ROW()-1-'02_Eingaben'!$C$17)):INDEX($E$2:$E$3001,MIN('02_Eingaben'!$C$21,ROW()-1+'02_Eingaben'!$C$17))))</f>
        <v/>
      </c>
      <c r="G1892" s="17" t="str">
        <f>IF(F1892="","",F1892-'02_Eingaben'!$C$10)</f>
        <v/>
      </c>
      <c r="H1892" t="str">
        <f>IF(F1892="","",IF(F1892&lt;'02_Eingaben'!$C$18*'02_Eingaben'!$C$10,1,0))</f>
        <v/>
      </c>
      <c r="I1892" s="17" t="str">
        <f t="shared" si="29"/>
        <v/>
      </c>
      <c r="J1892" s="17" t="str">
        <f>IF(B1892="","",IF(B1891&lt;'02_Eingaben'!$C$36,0,J1891+I1891/'02_Eingaben'!$C$8))</f>
        <v/>
      </c>
    </row>
    <row r="1893" spans="1:10" x14ac:dyDescent="0.25">
      <c r="A1893" t="str">
        <f>IF('01_Rohdaten'!A1893="","",ROW()-1)</f>
        <v/>
      </c>
      <c r="B1893" s="17" t="str">
        <f>IF('01_Rohdaten'!A1893="","",'01_Rohdaten'!A1893)</f>
        <v/>
      </c>
      <c r="C1893" s="17" t="str">
        <f>IF(B1893="","",INDEX('01_Rohdaten'!B1893:D1893,'02_Eingaben'!$C$13))</f>
        <v/>
      </c>
      <c r="D1893" s="17" t="str">
        <f>IF(C1893="","",C1893*'02_Eingaben'!$C$15)</f>
        <v/>
      </c>
      <c r="E1893" s="17" t="str">
        <f>IF(D1893="","",D1893*'02_Eingaben'!$C$8)</f>
        <v/>
      </c>
      <c r="F1893" s="17" t="str">
        <f>IF(E1893="","",AVERAGE(INDEX($E$2:$E$3001,MAX(1,ROW()-1-'02_Eingaben'!$C$17)):INDEX($E$2:$E$3001,MIN('02_Eingaben'!$C$21,ROW()-1+'02_Eingaben'!$C$17))))</f>
        <v/>
      </c>
      <c r="G1893" s="17" t="str">
        <f>IF(F1893="","",F1893-'02_Eingaben'!$C$10)</f>
        <v/>
      </c>
      <c r="H1893" t="str">
        <f>IF(F1893="","",IF(F1893&lt;'02_Eingaben'!$C$18*'02_Eingaben'!$C$10,1,0))</f>
        <v/>
      </c>
      <c r="I1893" s="17" t="str">
        <f t="shared" si="29"/>
        <v/>
      </c>
      <c r="J1893" s="17" t="str">
        <f>IF(B1893="","",IF(B1892&lt;'02_Eingaben'!$C$36,0,J1892+I1892/'02_Eingaben'!$C$8))</f>
        <v/>
      </c>
    </row>
    <row r="1894" spans="1:10" x14ac:dyDescent="0.25">
      <c r="A1894" t="str">
        <f>IF('01_Rohdaten'!A1894="","",ROW()-1)</f>
        <v/>
      </c>
      <c r="B1894" s="17" t="str">
        <f>IF('01_Rohdaten'!A1894="","",'01_Rohdaten'!A1894)</f>
        <v/>
      </c>
      <c r="C1894" s="17" t="str">
        <f>IF(B1894="","",INDEX('01_Rohdaten'!B1894:D1894,'02_Eingaben'!$C$13))</f>
        <v/>
      </c>
      <c r="D1894" s="17" t="str">
        <f>IF(C1894="","",C1894*'02_Eingaben'!$C$15)</f>
        <v/>
      </c>
      <c r="E1894" s="17" t="str">
        <f>IF(D1894="","",D1894*'02_Eingaben'!$C$8)</f>
        <v/>
      </c>
      <c r="F1894" s="17" t="str">
        <f>IF(E1894="","",AVERAGE(INDEX($E$2:$E$3001,MAX(1,ROW()-1-'02_Eingaben'!$C$17)):INDEX($E$2:$E$3001,MIN('02_Eingaben'!$C$21,ROW()-1+'02_Eingaben'!$C$17))))</f>
        <v/>
      </c>
      <c r="G1894" s="17" t="str">
        <f>IF(F1894="","",F1894-'02_Eingaben'!$C$10)</f>
        <v/>
      </c>
      <c r="H1894" t="str">
        <f>IF(F1894="","",IF(F1894&lt;'02_Eingaben'!$C$18*'02_Eingaben'!$C$10,1,0))</f>
        <v/>
      </c>
      <c r="I1894" s="17" t="str">
        <f t="shared" si="29"/>
        <v/>
      </c>
      <c r="J1894" s="17" t="str">
        <f>IF(B1894="","",IF(B1893&lt;'02_Eingaben'!$C$36,0,J1893+I1893/'02_Eingaben'!$C$8))</f>
        <v/>
      </c>
    </row>
    <row r="1895" spans="1:10" x14ac:dyDescent="0.25">
      <c r="A1895" t="str">
        <f>IF('01_Rohdaten'!A1895="","",ROW()-1)</f>
        <v/>
      </c>
      <c r="B1895" s="17" t="str">
        <f>IF('01_Rohdaten'!A1895="","",'01_Rohdaten'!A1895)</f>
        <v/>
      </c>
      <c r="C1895" s="17" t="str">
        <f>IF(B1895="","",INDEX('01_Rohdaten'!B1895:D1895,'02_Eingaben'!$C$13))</f>
        <v/>
      </c>
      <c r="D1895" s="17" t="str">
        <f>IF(C1895="","",C1895*'02_Eingaben'!$C$15)</f>
        <v/>
      </c>
      <c r="E1895" s="17" t="str">
        <f>IF(D1895="","",D1895*'02_Eingaben'!$C$8)</f>
        <v/>
      </c>
      <c r="F1895" s="17" t="str">
        <f>IF(E1895="","",AVERAGE(INDEX($E$2:$E$3001,MAX(1,ROW()-1-'02_Eingaben'!$C$17)):INDEX($E$2:$E$3001,MIN('02_Eingaben'!$C$21,ROW()-1+'02_Eingaben'!$C$17))))</f>
        <v/>
      </c>
      <c r="G1895" s="17" t="str">
        <f>IF(F1895="","",F1895-'02_Eingaben'!$C$10)</f>
        <v/>
      </c>
      <c r="H1895" t="str">
        <f>IF(F1895="","",IF(F1895&lt;'02_Eingaben'!$C$18*'02_Eingaben'!$C$10,1,0))</f>
        <v/>
      </c>
      <c r="I1895" s="17" t="str">
        <f t="shared" si="29"/>
        <v/>
      </c>
      <c r="J1895" s="17" t="str">
        <f>IF(B1895="","",IF(B1894&lt;'02_Eingaben'!$C$36,0,J1894+I1894/'02_Eingaben'!$C$8))</f>
        <v/>
      </c>
    </row>
    <row r="1896" spans="1:10" x14ac:dyDescent="0.25">
      <c r="A1896" t="str">
        <f>IF('01_Rohdaten'!A1896="","",ROW()-1)</f>
        <v/>
      </c>
      <c r="B1896" s="17" t="str">
        <f>IF('01_Rohdaten'!A1896="","",'01_Rohdaten'!A1896)</f>
        <v/>
      </c>
      <c r="C1896" s="17" t="str">
        <f>IF(B1896="","",INDEX('01_Rohdaten'!B1896:D1896,'02_Eingaben'!$C$13))</f>
        <v/>
      </c>
      <c r="D1896" s="17" t="str">
        <f>IF(C1896="","",C1896*'02_Eingaben'!$C$15)</f>
        <v/>
      </c>
      <c r="E1896" s="17" t="str">
        <f>IF(D1896="","",D1896*'02_Eingaben'!$C$8)</f>
        <v/>
      </c>
      <c r="F1896" s="17" t="str">
        <f>IF(E1896="","",AVERAGE(INDEX($E$2:$E$3001,MAX(1,ROW()-1-'02_Eingaben'!$C$17)):INDEX($E$2:$E$3001,MIN('02_Eingaben'!$C$21,ROW()-1+'02_Eingaben'!$C$17))))</f>
        <v/>
      </c>
      <c r="G1896" s="17" t="str">
        <f>IF(F1896="","",F1896-'02_Eingaben'!$C$10)</f>
        <v/>
      </c>
      <c r="H1896" t="str">
        <f>IF(F1896="","",IF(F1896&lt;'02_Eingaben'!$C$18*'02_Eingaben'!$C$10,1,0))</f>
        <v/>
      </c>
      <c r="I1896" s="17" t="str">
        <f t="shared" si="29"/>
        <v/>
      </c>
      <c r="J1896" s="17" t="str">
        <f>IF(B1896="","",IF(B1895&lt;'02_Eingaben'!$C$36,0,J1895+I1895/'02_Eingaben'!$C$8))</f>
        <v/>
      </c>
    </row>
    <row r="1897" spans="1:10" x14ac:dyDescent="0.25">
      <c r="A1897" t="str">
        <f>IF('01_Rohdaten'!A1897="","",ROW()-1)</f>
        <v/>
      </c>
      <c r="B1897" s="17" t="str">
        <f>IF('01_Rohdaten'!A1897="","",'01_Rohdaten'!A1897)</f>
        <v/>
      </c>
      <c r="C1897" s="17" t="str">
        <f>IF(B1897="","",INDEX('01_Rohdaten'!B1897:D1897,'02_Eingaben'!$C$13))</f>
        <v/>
      </c>
      <c r="D1897" s="17" t="str">
        <f>IF(C1897="","",C1897*'02_Eingaben'!$C$15)</f>
        <v/>
      </c>
      <c r="E1897" s="17" t="str">
        <f>IF(D1897="","",D1897*'02_Eingaben'!$C$8)</f>
        <v/>
      </c>
      <c r="F1897" s="17" t="str">
        <f>IF(E1897="","",AVERAGE(INDEX($E$2:$E$3001,MAX(1,ROW()-1-'02_Eingaben'!$C$17)):INDEX($E$2:$E$3001,MIN('02_Eingaben'!$C$21,ROW()-1+'02_Eingaben'!$C$17))))</f>
        <v/>
      </c>
      <c r="G1897" s="17" t="str">
        <f>IF(F1897="","",F1897-'02_Eingaben'!$C$10)</f>
        <v/>
      </c>
      <c r="H1897" t="str">
        <f>IF(F1897="","",IF(F1897&lt;'02_Eingaben'!$C$18*'02_Eingaben'!$C$10,1,0))</f>
        <v/>
      </c>
      <c r="I1897" s="17" t="str">
        <f t="shared" si="29"/>
        <v/>
      </c>
      <c r="J1897" s="17" t="str">
        <f>IF(B1897="","",IF(B1896&lt;'02_Eingaben'!$C$36,0,J1896+I1896/'02_Eingaben'!$C$8))</f>
        <v/>
      </c>
    </row>
    <row r="1898" spans="1:10" x14ac:dyDescent="0.25">
      <c r="A1898" t="str">
        <f>IF('01_Rohdaten'!A1898="","",ROW()-1)</f>
        <v/>
      </c>
      <c r="B1898" s="17" t="str">
        <f>IF('01_Rohdaten'!A1898="","",'01_Rohdaten'!A1898)</f>
        <v/>
      </c>
      <c r="C1898" s="17" t="str">
        <f>IF(B1898="","",INDEX('01_Rohdaten'!B1898:D1898,'02_Eingaben'!$C$13))</f>
        <v/>
      </c>
      <c r="D1898" s="17" t="str">
        <f>IF(C1898="","",C1898*'02_Eingaben'!$C$15)</f>
        <v/>
      </c>
      <c r="E1898" s="17" t="str">
        <f>IF(D1898="","",D1898*'02_Eingaben'!$C$8)</f>
        <v/>
      </c>
      <c r="F1898" s="17" t="str">
        <f>IF(E1898="","",AVERAGE(INDEX($E$2:$E$3001,MAX(1,ROW()-1-'02_Eingaben'!$C$17)):INDEX($E$2:$E$3001,MIN('02_Eingaben'!$C$21,ROW()-1+'02_Eingaben'!$C$17))))</f>
        <v/>
      </c>
      <c r="G1898" s="17" t="str">
        <f>IF(F1898="","",F1898-'02_Eingaben'!$C$10)</f>
        <v/>
      </c>
      <c r="H1898" t="str">
        <f>IF(F1898="","",IF(F1898&lt;'02_Eingaben'!$C$18*'02_Eingaben'!$C$10,1,0))</f>
        <v/>
      </c>
      <c r="I1898" s="17" t="str">
        <f t="shared" si="29"/>
        <v/>
      </c>
      <c r="J1898" s="17" t="str">
        <f>IF(B1898="","",IF(B1897&lt;'02_Eingaben'!$C$36,0,J1897+I1897/'02_Eingaben'!$C$8))</f>
        <v/>
      </c>
    </row>
    <row r="1899" spans="1:10" x14ac:dyDescent="0.25">
      <c r="A1899" t="str">
        <f>IF('01_Rohdaten'!A1899="","",ROW()-1)</f>
        <v/>
      </c>
      <c r="B1899" s="17" t="str">
        <f>IF('01_Rohdaten'!A1899="","",'01_Rohdaten'!A1899)</f>
        <v/>
      </c>
      <c r="C1899" s="17" t="str">
        <f>IF(B1899="","",INDEX('01_Rohdaten'!B1899:D1899,'02_Eingaben'!$C$13))</f>
        <v/>
      </c>
      <c r="D1899" s="17" t="str">
        <f>IF(C1899="","",C1899*'02_Eingaben'!$C$15)</f>
        <v/>
      </c>
      <c r="E1899" s="17" t="str">
        <f>IF(D1899="","",D1899*'02_Eingaben'!$C$8)</f>
        <v/>
      </c>
      <c r="F1899" s="17" t="str">
        <f>IF(E1899="","",AVERAGE(INDEX($E$2:$E$3001,MAX(1,ROW()-1-'02_Eingaben'!$C$17)):INDEX($E$2:$E$3001,MIN('02_Eingaben'!$C$21,ROW()-1+'02_Eingaben'!$C$17))))</f>
        <v/>
      </c>
      <c r="G1899" s="17" t="str">
        <f>IF(F1899="","",F1899-'02_Eingaben'!$C$10)</f>
        <v/>
      </c>
      <c r="H1899" t="str">
        <f>IF(F1899="","",IF(F1899&lt;'02_Eingaben'!$C$18*'02_Eingaben'!$C$10,1,0))</f>
        <v/>
      </c>
      <c r="I1899" s="17" t="str">
        <f t="shared" si="29"/>
        <v/>
      </c>
      <c r="J1899" s="17" t="str">
        <f>IF(B1899="","",IF(B1898&lt;'02_Eingaben'!$C$36,0,J1898+I1898/'02_Eingaben'!$C$8))</f>
        <v/>
      </c>
    </row>
    <row r="1900" spans="1:10" x14ac:dyDescent="0.25">
      <c r="A1900" t="str">
        <f>IF('01_Rohdaten'!A1900="","",ROW()-1)</f>
        <v/>
      </c>
      <c r="B1900" s="17" t="str">
        <f>IF('01_Rohdaten'!A1900="","",'01_Rohdaten'!A1900)</f>
        <v/>
      </c>
      <c r="C1900" s="17" t="str">
        <f>IF(B1900="","",INDEX('01_Rohdaten'!B1900:D1900,'02_Eingaben'!$C$13))</f>
        <v/>
      </c>
      <c r="D1900" s="17" t="str">
        <f>IF(C1900="","",C1900*'02_Eingaben'!$C$15)</f>
        <v/>
      </c>
      <c r="E1900" s="17" t="str">
        <f>IF(D1900="","",D1900*'02_Eingaben'!$C$8)</f>
        <v/>
      </c>
      <c r="F1900" s="17" t="str">
        <f>IF(E1900="","",AVERAGE(INDEX($E$2:$E$3001,MAX(1,ROW()-1-'02_Eingaben'!$C$17)):INDEX($E$2:$E$3001,MIN('02_Eingaben'!$C$21,ROW()-1+'02_Eingaben'!$C$17))))</f>
        <v/>
      </c>
      <c r="G1900" s="17" t="str">
        <f>IF(F1900="","",F1900-'02_Eingaben'!$C$10)</f>
        <v/>
      </c>
      <c r="H1900" t="str">
        <f>IF(F1900="","",IF(F1900&lt;'02_Eingaben'!$C$18*'02_Eingaben'!$C$10,1,0))</f>
        <v/>
      </c>
      <c r="I1900" s="17" t="str">
        <f t="shared" si="29"/>
        <v/>
      </c>
      <c r="J1900" s="17" t="str">
        <f>IF(B1900="","",IF(B1899&lt;'02_Eingaben'!$C$36,0,J1899+I1899/'02_Eingaben'!$C$8))</f>
        <v/>
      </c>
    </row>
    <row r="1901" spans="1:10" x14ac:dyDescent="0.25">
      <c r="A1901" t="str">
        <f>IF('01_Rohdaten'!A1901="","",ROW()-1)</f>
        <v/>
      </c>
      <c r="B1901" s="17" t="str">
        <f>IF('01_Rohdaten'!A1901="","",'01_Rohdaten'!A1901)</f>
        <v/>
      </c>
      <c r="C1901" s="17" t="str">
        <f>IF(B1901="","",INDEX('01_Rohdaten'!B1901:D1901,'02_Eingaben'!$C$13))</f>
        <v/>
      </c>
      <c r="D1901" s="17" t="str">
        <f>IF(C1901="","",C1901*'02_Eingaben'!$C$15)</f>
        <v/>
      </c>
      <c r="E1901" s="17" t="str">
        <f>IF(D1901="","",D1901*'02_Eingaben'!$C$8)</f>
        <v/>
      </c>
      <c r="F1901" s="17" t="str">
        <f>IF(E1901="","",AVERAGE(INDEX($E$2:$E$3001,MAX(1,ROW()-1-'02_Eingaben'!$C$17)):INDEX($E$2:$E$3001,MIN('02_Eingaben'!$C$21,ROW()-1+'02_Eingaben'!$C$17))))</f>
        <v/>
      </c>
      <c r="G1901" s="17" t="str">
        <f>IF(F1901="","",F1901-'02_Eingaben'!$C$10)</f>
        <v/>
      </c>
      <c r="H1901" t="str">
        <f>IF(F1901="","",IF(F1901&lt;'02_Eingaben'!$C$18*'02_Eingaben'!$C$10,1,0))</f>
        <v/>
      </c>
      <c r="I1901" s="17" t="str">
        <f t="shared" si="29"/>
        <v/>
      </c>
      <c r="J1901" s="17" t="str">
        <f>IF(B1901="","",IF(B1900&lt;'02_Eingaben'!$C$36,0,J1900+I1900/'02_Eingaben'!$C$8))</f>
        <v/>
      </c>
    </row>
    <row r="1902" spans="1:10" x14ac:dyDescent="0.25">
      <c r="A1902" t="str">
        <f>IF('01_Rohdaten'!A1902="","",ROW()-1)</f>
        <v/>
      </c>
      <c r="B1902" s="17" t="str">
        <f>IF('01_Rohdaten'!A1902="","",'01_Rohdaten'!A1902)</f>
        <v/>
      </c>
      <c r="C1902" s="17" t="str">
        <f>IF(B1902="","",INDEX('01_Rohdaten'!B1902:D1902,'02_Eingaben'!$C$13))</f>
        <v/>
      </c>
      <c r="D1902" s="17" t="str">
        <f>IF(C1902="","",C1902*'02_Eingaben'!$C$15)</f>
        <v/>
      </c>
      <c r="E1902" s="17" t="str">
        <f>IF(D1902="","",D1902*'02_Eingaben'!$C$8)</f>
        <v/>
      </c>
      <c r="F1902" s="17" t="str">
        <f>IF(E1902="","",AVERAGE(INDEX($E$2:$E$3001,MAX(1,ROW()-1-'02_Eingaben'!$C$17)):INDEX($E$2:$E$3001,MIN('02_Eingaben'!$C$21,ROW()-1+'02_Eingaben'!$C$17))))</f>
        <v/>
      </c>
      <c r="G1902" s="17" t="str">
        <f>IF(F1902="","",F1902-'02_Eingaben'!$C$10)</f>
        <v/>
      </c>
      <c r="H1902" t="str">
        <f>IF(F1902="","",IF(F1902&lt;'02_Eingaben'!$C$18*'02_Eingaben'!$C$10,1,0))</f>
        <v/>
      </c>
      <c r="I1902" s="17" t="str">
        <f t="shared" si="29"/>
        <v/>
      </c>
      <c r="J1902" s="17" t="str">
        <f>IF(B1902="","",IF(B1901&lt;'02_Eingaben'!$C$36,0,J1901+I1901/'02_Eingaben'!$C$8))</f>
        <v/>
      </c>
    </row>
    <row r="1903" spans="1:10" x14ac:dyDescent="0.25">
      <c r="A1903" t="str">
        <f>IF('01_Rohdaten'!A1903="","",ROW()-1)</f>
        <v/>
      </c>
      <c r="B1903" s="17" t="str">
        <f>IF('01_Rohdaten'!A1903="","",'01_Rohdaten'!A1903)</f>
        <v/>
      </c>
      <c r="C1903" s="17" t="str">
        <f>IF(B1903="","",INDEX('01_Rohdaten'!B1903:D1903,'02_Eingaben'!$C$13))</f>
        <v/>
      </c>
      <c r="D1903" s="17" t="str">
        <f>IF(C1903="","",C1903*'02_Eingaben'!$C$15)</f>
        <v/>
      </c>
      <c r="E1903" s="17" t="str">
        <f>IF(D1903="","",D1903*'02_Eingaben'!$C$8)</f>
        <v/>
      </c>
      <c r="F1903" s="17" t="str">
        <f>IF(E1903="","",AVERAGE(INDEX($E$2:$E$3001,MAX(1,ROW()-1-'02_Eingaben'!$C$17)):INDEX($E$2:$E$3001,MIN('02_Eingaben'!$C$21,ROW()-1+'02_Eingaben'!$C$17))))</f>
        <v/>
      </c>
      <c r="G1903" s="17" t="str">
        <f>IF(F1903="","",F1903-'02_Eingaben'!$C$10)</f>
        <v/>
      </c>
      <c r="H1903" t="str">
        <f>IF(F1903="","",IF(F1903&lt;'02_Eingaben'!$C$18*'02_Eingaben'!$C$10,1,0))</f>
        <v/>
      </c>
      <c r="I1903" s="17" t="str">
        <f t="shared" si="29"/>
        <v/>
      </c>
      <c r="J1903" s="17" t="str">
        <f>IF(B1903="","",IF(B1902&lt;'02_Eingaben'!$C$36,0,J1902+I1902/'02_Eingaben'!$C$8))</f>
        <v/>
      </c>
    </row>
    <row r="1904" spans="1:10" x14ac:dyDescent="0.25">
      <c r="A1904" t="str">
        <f>IF('01_Rohdaten'!A1904="","",ROW()-1)</f>
        <v/>
      </c>
      <c r="B1904" s="17" t="str">
        <f>IF('01_Rohdaten'!A1904="","",'01_Rohdaten'!A1904)</f>
        <v/>
      </c>
      <c r="C1904" s="17" t="str">
        <f>IF(B1904="","",INDEX('01_Rohdaten'!B1904:D1904,'02_Eingaben'!$C$13))</f>
        <v/>
      </c>
      <c r="D1904" s="17" t="str">
        <f>IF(C1904="","",C1904*'02_Eingaben'!$C$15)</f>
        <v/>
      </c>
      <c r="E1904" s="17" t="str">
        <f>IF(D1904="","",D1904*'02_Eingaben'!$C$8)</f>
        <v/>
      </c>
      <c r="F1904" s="17" t="str">
        <f>IF(E1904="","",AVERAGE(INDEX($E$2:$E$3001,MAX(1,ROW()-1-'02_Eingaben'!$C$17)):INDEX($E$2:$E$3001,MIN('02_Eingaben'!$C$21,ROW()-1+'02_Eingaben'!$C$17))))</f>
        <v/>
      </c>
      <c r="G1904" s="17" t="str">
        <f>IF(F1904="","",F1904-'02_Eingaben'!$C$10)</f>
        <v/>
      </c>
      <c r="H1904" t="str">
        <f>IF(F1904="","",IF(F1904&lt;'02_Eingaben'!$C$18*'02_Eingaben'!$C$10,1,0))</f>
        <v/>
      </c>
      <c r="I1904" s="17" t="str">
        <f t="shared" si="29"/>
        <v/>
      </c>
      <c r="J1904" s="17" t="str">
        <f>IF(B1904="","",IF(B1903&lt;'02_Eingaben'!$C$36,0,J1903+I1903/'02_Eingaben'!$C$8))</f>
        <v/>
      </c>
    </row>
    <row r="1905" spans="1:10" x14ac:dyDescent="0.25">
      <c r="A1905" t="str">
        <f>IF('01_Rohdaten'!A1905="","",ROW()-1)</f>
        <v/>
      </c>
      <c r="B1905" s="17" t="str">
        <f>IF('01_Rohdaten'!A1905="","",'01_Rohdaten'!A1905)</f>
        <v/>
      </c>
      <c r="C1905" s="17" t="str">
        <f>IF(B1905="","",INDEX('01_Rohdaten'!B1905:D1905,'02_Eingaben'!$C$13))</f>
        <v/>
      </c>
      <c r="D1905" s="17" t="str">
        <f>IF(C1905="","",C1905*'02_Eingaben'!$C$15)</f>
        <v/>
      </c>
      <c r="E1905" s="17" t="str">
        <f>IF(D1905="","",D1905*'02_Eingaben'!$C$8)</f>
        <v/>
      </c>
      <c r="F1905" s="17" t="str">
        <f>IF(E1905="","",AVERAGE(INDEX($E$2:$E$3001,MAX(1,ROW()-1-'02_Eingaben'!$C$17)):INDEX($E$2:$E$3001,MIN('02_Eingaben'!$C$21,ROW()-1+'02_Eingaben'!$C$17))))</f>
        <v/>
      </c>
      <c r="G1905" s="17" t="str">
        <f>IF(F1905="","",F1905-'02_Eingaben'!$C$10)</f>
        <v/>
      </c>
      <c r="H1905" t="str">
        <f>IF(F1905="","",IF(F1905&lt;'02_Eingaben'!$C$18*'02_Eingaben'!$C$10,1,0))</f>
        <v/>
      </c>
      <c r="I1905" s="17" t="str">
        <f t="shared" si="29"/>
        <v/>
      </c>
      <c r="J1905" s="17" t="str">
        <f>IF(B1905="","",IF(B1904&lt;'02_Eingaben'!$C$36,0,J1904+I1904/'02_Eingaben'!$C$8))</f>
        <v/>
      </c>
    </row>
    <row r="1906" spans="1:10" x14ac:dyDescent="0.25">
      <c r="A1906" t="str">
        <f>IF('01_Rohdaten'!A1906="","",ROW()-1)</f>
        <v/>
      </c>
      <c r="B1906" s="17" t="str">
        <f>IF('01_Rohdaten'!A1906="","",'01_Rohdaten'!A1906)</f>
        <v/>
      </c>
      <c r="C1906" s="17" t="str">
        <f>IF(B1906="","",INDEX('01_Rohdaten'!B1906:D1906,'02_Eingaben'!$C$13))</f>
        <v/>
      </c>
      <c r="D1906" s="17" t="str">
        <f>IF(C1906="","",C1906*'02_Eingaben'!$C$15)</f>
        <v/>
      </c>
      <c r="E1906" s="17" t="str">
        <f>IF(D1906="","",D1906*'02_Eingaben'!$C$8)</f>
        <v/>
      </c>
      <c r="F1906" s="17" t="str">
        <f>IF(E1906="","",AVERAGE(INDEX($E$2:$E$3001,MAX(1,ROW()-1-'02_Eingaben'!$C$17)):INDEX($E$2:$E$3001,MIN('02_Eingaben'!$C$21,ROW()-1+'02_Eingaben'!$C$17))))</f>
        <v/>
      </c>
      <c r="G1906" s="17" t="str">
        <f>IF(F1906="","",F1906-'02_Eingaben'!$C$10)</f>
        <v/>
      </c>
      <c r="H1906" t="str">
        <f>IF(F1906="","",IF(F1906&lt;'02_Eingaben'!$C$18*'02_Eingaben'!$C$10,1,0))</f>
        <v/>
      </c>
      <c r="I1906" s="17" t="str">
        <f t="shared" si="29"/>
        <v/>
      </c>
      <c r="J1906" s="17" t="str">
        <f>IF(B1906="","",IF(B1905&lt;'02_Eingaben'!$C$36,0,J1905+I1905/'02_Eingaben'!$C$8))</f>
        <v/>
      </c>
    </row>
    <row r="1907" spans="1:10" x14ac:dyDescent="0.25">
      <c r="A1907" t="str">
        <f>IF('01_Rohdaten'!A1907="","",ROW()-1)</f>
        <v/>
      </c>
      <c r="B1907" s="17" t="str">
        <f>IF('01_Rohdaten'!A1907="","",'01_Rohdaten'!A1907)</f>
        <v/>
      </c>
      <c r="C1907" s="17" t="str">
        <f>IF(B1907="","",INDEX('01_Rohdaten'!B1907:D1907,'02_Eingaben'!$C$13))</f>
        <v/>
      </c>
      <c r="D1907" s="17" t="str">
        <f>IF(C1907="","",C1907*'02_Eingaben'!$C$15)</f>
        <v/>
      </c>
      <c r="E1907" s="17" t="str">
        <f>IF(D1907="","",D1907*'02_Eingaben'!$C$8)</f>
        <v/>
      </c>
      <c r="F1907" s="17" t="str">
        <f>IF(E1907="","",AVERAGE(INDEX($E$2:$E$3001,MAX(1,ROW()-1-'02_Eingaben'!$C$17)):INDEX($E$2:$E$3001,MIN('02_Eingaben'!$C$21,ROW()-1+'02_Eingaben'!$C$17))))</f>
        <v/>
      </c>
      <c r="G1907" s="17" t="str">
        <f>IF(F1907="","",F1907-'02_Eingaben'!$C$10)</f>
        <v/>
      </c>
      <c r="H1907" t="str">
        <f>IF(F1907="","",IF(F1907&lt;'02_Eingaben'!$C$18*'02_Eingaben'!$C$10,1,0))</f>
        <v/>
      </c>
      <c r="I1907" s="17" t="str">
        <f t="shared" si="29"/>
        <v/>
      </c>
      <c r="J1907" s="17" t="str">
        <f>IF(B1907="","",IF(B1906&lt;'02_Eingaben'!$C$36,0,J1906+I1906/'02_Eingaben'!$C$8))</f>
        <v/>
      </c>
    </row>
    <row r="1908" spans="1:10" x14ac:dyDescent="0.25">
      <c r="A1908" t="str">
        <f>IF('01_Rohdaten'!A1908="","",ROW()-1)</f>
        <v/>
      </c>
      <c r="B1908" s="17" t="str">
        <f>IF('01_Rohdaten'!A1908="","",'01_Rohdaten'!A1908)</f>
        <v/>
      </c>
      <c r="C1908" s="17" t="str">
        <f>IF(B1908="","",INDEX('01_Rohdaten'!B1908:D1908,'02_Eingaben'!$C$13))</f>
        <v/>
      </c>
      <c r="D1908" s="17" t="str">
        <f>IF(C1908="","",C1908*'02_Eingaben'!$C$15)</f>
        <v/>
      </c>
      <c r="E1908" s="17" t="str">
        <f>IF(D1908="","",D1908*'02_Eingaben'!$C$8)</f>
        <v/>
      </c>
      <c r="F1908" s="17" t="str">
        <f>IF(E1908="","",AVERAGE(INDEX($E$2:$E$3001,MAX(1,ROW()-1-'02_Eingaben'!$C$17)):INDEX($E$2:$E$3001,MIN('02_Eingaben'!$C$21,ROW()-1+'02_Eingaben'!$C$17))))</f>
        <v/>
      </c>
      <c r="G1908" s="17" t="str">
        <f>IF(F1908="","",F1908-'02_Eingaben'!$C$10)</f>
        <v/>
      </c>
      <c r="H1908" t="str">
        <f>IF(F1908="","",IF(F1908&lt;'02_Eingaben'!$C$18*'02_Eingaben'!$C$10,1,0))</f>
        <v/>
      </c>
      <c r="I1908" s="17" t="str">
        <f t="shared" si="29"/>
        <v/>
      </c>
      <c r="J1908" s="17" t="str">
        <f>IF(B1908="","",IF(B1907&lt;'02_Eingaben'!$C$36,0,J1907+I1907/'02_Eingaben'!$C$8))</f>
        <v/>
      </c>
    </row>
    <row r="1909" spans="1:10" x14ac:dyDescent="0.25">
      <c r="A1909" t="str">
        <f>IF('01_Rohdaten'!A1909="","",ROW()-1)</f>
        <v/>
      </c>
      <c r="B1909" s="17" t="str">
        <f>IF('01_Rohdaten'!A1909="","",'01_Rohdaten'!A1909)</f>
        <v/>
      </c>
      <c r="C1909" s="17" t="str">
        <f>IF(B1909="","",INDEX('01_Rohdaten'!B1909:D1909,'02_Eingaben'!$C$13))</f>
        <v/>
      </c>
      <c r="D1909" s="17" t="str">
        <f>IF(C1909="","",C1909*'02_Eingaben'!$C$15)</f>
        <v/>
      </c>
      <c r="E1909" s="17" t="str">
        <f>IF(D1909="","",D1909*'02_Eingaben'!$C$8)</f>
        <v/>
      </c>
      <c r="F1909" s="17" t="str">
        <f>IF(E1909="","",AVERAGE(INDEX($E$2:$E$3001,MAX(1,ROW()-1-'02_Eingaben'!$C$17)):INDEX($E$2:$E$3001,MIN('02_Eingaben'!$C$21,ROW()-1+'02_Eingaben'!$C$17))))</f>
        <v/>
      </c>
      <c r="G1909" s="17" t="str">
        <f>IF(F1909="","",F1909-'02_Eingaben'!$C$10)</f>
        <v/>
      </c>
      <c r="H1909" t="str">
        <f>IF(F1909="","",IF(F1909&lt;'02_Eingaben'!$C$18*'02_Eingaben'!$C$10,1,0))</f>
        <v/>
      </c>
      <c r="I1909" s="17" t="str">
        <f t="shared" si="29"/>
        <v/>
      </c>
      <c r="J1909" s="17" t="str">
        <f>IF(B1909="","",IF(B1908&lt;'02_Eingaben'!$C$36,0,J1908+I1908/'02_Eingaben'!$C$8))</f>
        <v/>
      </c>
    </row>
    <row r="1910" spans="1:10" x14ac:dyDescent="0.25">
      <c r="A1910" t="str">
        <f>IF('01_Rohdaten'!A1910="","",ROW()-1)</f>
        <v/>
      </c>
      <c r="B1910" s="17" t="str">
        <f>IF('01_Rohdaten'!A1910="","",'01_Rohdaten'!A1910)</f>
        <v/>
      </c>
      <c r="C1910" s="17" t="str">
        <f>IF(B1910="","",INDEX('01_Rohdaten'!B1910:D1910,'02_Eingaben'!$C$13))</f>
        <v/>
      </c>
      <c r="D1910" s="17" t="str">
        <f>IF(C1910="","",C1910*'02_Eingaben'!$C$15)</f>
        <v/>
      </c>
      <c r="E1910" s="17" t="str">
        <f>IF(D1910="","",D1910*'02_Eingaben'!$C$8)</f>
        <v/>
      </c>
      <c r="F1910" s="17" t="str">
        <f>IF(E1910="","",AVERAGE(INDEX($E$2:$E$3001,MAX(1,ROW()-1-'02_Eingaben'!$C$17)):INDEX($E$2:$E$3001,MIN('02_Eingaben'!$C$21,ROW()-1+'02_Eingaben'!$C$17))))</f>
        <v/>
      </c>
      <c r="G1910" s="17" t="str">
        <f>IF(F1910="","",F1910-'02_Eingaben'!$C$10)</f>
        <v/>
      </c>
      <c r="H1910" t="str">
        <f>IF(F1910="","",IF(F1910&lt;'02_Eingaben'!$C$18*'02_Eingaben'!$C$10,1,0))</f>
        <v/>
      </c>
      <c r="I1910" s="17" t="str">
        <f t="shared" si="29"/>
        <v/>
      </c>
      <c r="J1910" s="17" t="str">
        <f>IF(B1910="","",IF(B1909&lt;'02_Eingaben'!$C$36,0,J1909+I1909/'02_Eingaben'!$C$8))</f>
        <v/>
      </c>
    </row>
    <row r="1911" spans="1:10" x14ac:dyDescent="0.25">
      <c r="A1911" t="str">
        <f>IF('01_Rohdaten'!A1911="","",ROW()-1)</f>
        <v/>
      </c>
      <c r="B1911" s="17" t="str">
        <f>IF('01_Rohdaten'!A1911="","",'01_Rohdaten'!A1911)</f>
        <v/>
      </c>
      <c r="C1911" s="17" t="str">
        <f>IF(B1911="","",INDEX('01_Rohdaten'!B1911:D1911,'02_Eingaben'!$C$13))</f>
        <v/>
      </c>
      <c r="D1911" s="17" t="str">
        <f>IF(C1911="","",C1911*'02_Eingaben'!$C$15)</f>
        <v/>
      </c>
      <c r="E1911" s="17" t="str">
        <f>IF(D1911="","",D1911*'02_Eingaben'!$C$8)</f>
        <v/>
      </c>
      <c r="F1911" s="17" t="str">
        <f>IF(E1911="","",AVERAGE(INDEX($E$2:$E$3001,MAX(1,ROW()-1-'02_Eingaben'!$C$17)):INDEX($E$2:$E$3001,MIN('02_Eingaben'!$C$21,ROW()-1+'02_Eingaben'!$C$17))))</f>
        <v/>
      </c>
      <c r="G1911" s="17" t="str">
        <f>IF(F1911="","",F1911-'02_Eingaben'!$C$10)</f>
        <v/>
      </c>
      <c r="H1911" t="str">
        <f>IF(F1911="","",IF(F1911&lt;'02_Eingaben'!$C$18*'02_Eingaben'!$C$10,1,0))</f>
        <v/>
      </c>
      <c r="I1911" s="17" t="str">
        <f t="shared" si="29"/>
        <v/>
      </c>
      <c r="J1911" s="17" t="str">
        <f>IF(B1911="","",IF(B1910&lt;'02_Eingaben'!$C$36,0,J1910+I1910/'02_Eingaben'!$C$8))</f>
        <v/>
      </c>
    </row>
    <row r="1912" spans="1:10" x14ac:dyDescent="0.25">
      <c r="A1912" t="str">
        <f>IF('01_Rohdaten'!A1912="","",ROW()-1)</f>
        <v/>
      </c>
      <c r="B1912" s="17" t="str">
        <f>IF('01_Rohdaten'!A1912="","",'01_Rohdaten'!A1912)</f>
        <v/>
      </c>
      <c r="C1912" s="17" t="str">
        <f>IF(B1912="","",INDEX('01_Rohdaten'!B1912:D1912,'02_Eingaben'!$C$13))</f>
        <v/>
      </c>
      <c r="D1912" s="17" t="str">
        <f>IF(C1912="","",C1912*'02_Eingaben'!$C$15)</f>
        <v/>
      </c>
      <c r="E1912" s="17" t="str">
        <f>IF(D1912="","",D1912*'02_Eingaben'!$C$8)</f>
        <v/>
      </c>
      <c r="F1912" s="17" t="str">
        <f>IF(E1912="","",AVERAGE(INDEX($E$2:$E$3001,MAX(1,ROW()-1-'02_Eingaben'!$C$17)):INDEX($E$2:$E$3001,MIN('02_Eingaben'!$C$21,ROW()-1+'02_Eingaben'!$C$17))))</f>
        <v/>
      </c>
      <c r="G1912" s="17" t="str">
        <f>IF(F1912="","",F1912-'02_Eingaben'!$C$10)</f>
        <v/>
      </c>
      <c r="H1912" t="str">
        <f>IF(F1912="","",IF(F1912&lt;'02_Eingaben'!$C$18*'02_Eingaben'!$C$10,1,0))</f>
        <v/>
      </c>
      <c r="I1912" s="17" t="str">
        <f t="shared" si="29"/>
        <v/>
      </c>
      <c r="J1912" s="17" t="str">
        <f>IF(B1912="","",IF(B1911&lt;'02_Eingaben'!$C$36,0,J1911+I1911/'02_Eingaben'!$C$8))</f>
        <v/>
      </c>
    </row>
    <row r="1913" spans="1:10" x14ac:dyDescent="0.25">
      <c r="A1913" t="str">
        <f>IF('01_Rohdaten'!A1913="","",ROW()-1)</f>
        <v/>
      </c>
      <c r="B1913" s="17" t="str">
        <f>IF('01_Rohdaten'!A1913="","",'01_Rohdaten'!A1913)</f>
        <v/>
      </c>
      <c r="C1913" s="17" t="str">
        <f>IF(B1913="","",INDEX('01_Rohdaten'!B1913:D1913,'02_Eingaben'!$C$13))</f>
        <v/>
      </c>
      <c r="D1913" s="17" t="str">
        <f>IF(C1913="","",C1913*'02_Eingaben'!$C$15)</f>
        <v/>
      </c>
      <c r="E1913" s="17" t="str">
        <f>IF(D1913="","",D1913*'02_Eingaben'!$C$8)</f>
        <v/>
      </c>
      <c r="F1913" s="17" t="str">
        <f>IF(E1913="","",AVERAGE(INDEX($E$2:$E$3001,MAX(1,ROW()-1-'02_Eingaben'!$C$17)):INDEX($E$2:$E$3001,MIN('02_Eingaben'!$C$21,ROW()-1+'02_Eingaben'!$C$17))))</f>
        <v/>
      </c>
      <c r="G1913" s="17" t="str">
        <f>IF(F1913="","",F1913-'02_Eingaben'!$C$10)</f>
        <v/>
      </c>
      <c r="H1913" t="str">
        <f>IF(F1913="","",IF(F1913&lt;'02_Eingaben'!$C$18*'02_Eingaben'!$C$10,1,0))</f>
        <v/>
      </c>
      <c r="I1913" s="17" t="str">
        <f t="shared" si="29"/>
        <v/>
      </c>
      <c r="J1913" s="17" t="str">
        <f>IF(B1913="","",IF(B1912&lt;'02_Eingaben'!$C$36,0,J1912+I1912/'02_Eingaben'!$C$8))</f>
        <v/>
      </c>
    </row>
    <row r="1914" spans="1:10" x14ac:dyDescent="0.25">
      <c r="A1914" t="str">
        <f>IF('01_Rohdaten'!A1914="","",ROW()-1)</f>
        <v/>
      </c>
      <c r="B1914" s="17" t="str">
        <f>IF('01_Rohdaten'!A1914="","",'01_Rohdaten'!A1914)</f>
        <v/>
      </c>
      <c r="C1914" s="17" t="str">
        <f>IF(B1914="","",INDEX('01_Rohdaten'!B1914:D1914,'02_Eingaben'!$C$13))</f>
        <v/>
      </c>
      <c r="D1914" s="17" t="str">
        <f>IF(C1914="","",C1914*'02_Eingaben'!$C$15)</f>
        <v/>
      </c>
      <c r="E1914" s="17" t="str">
        <f>IF(D1914="","",D1914*'02_Eingaben'!$C$8)</f>
        <v/>
      </c>
      <c r="F1914" s="17" t="str">
        <f>IF(E1914="","",AVERAGE(INDEX($E$2:$E$3001,MAX(1,ROW()-1-'02_Eingaben'!$C$17)):INDEX($E$2:$E$3001,MIN('02_Eingaben'!$C$21,ROW()-1+'02_Eingaben'!$C$17))))</f>
        <v/>
      </c>
      <c r="G1914" s="17" t="str">
        <f>IF(F1914="","",F1914-'02_Eingaben'!$C$10)</f>
        <v/>
      </c>
      <c r="H1914" t="str">
        <f>IF(F1914="","",IF(F1914&lt;'02_Eingaben'!$C$18*'02_Eingaben'!$C$10,1,0))</f>
        <v/>
      </c>
      <c r="I1914" s="17" t="str">
        <f t="shared" si="29"/>
        <v/>
      </c>
      <c r="J1914" s="17" t="str">
        <f>IF(B1914="","",IF(B1913&lt;'02_Eingaben'!$C$36,0,J1913+I1913/'02_Eingaben'!$C$8))</f>
        <v/>
      </c>
    </row>
    <row r="1915" spans="1:10" x14ac:dyDescent="0.25">
      <c r="A1915" t="str">
        <f>IF('01_Rohdaten'!A1915="","",ROW()-1)</f>
        <v/>
      </c>
      <c r="B1915" s="17" t="str">
        <f>IF('01_Rohdaten'!A1915="","",'01_Rohdaten'!A1915)</f>
        <v/>
      </c>
      <c r="C1915" s="17" t="str">
        <f>IF(B1915="","",INDEX('01_Rohdaten'!B1915:D1915,'02_Eingaben'!$C$13))</f>
        <v/>
      </c>
      <c r="D1915" s="17" t="str">
        <f>IF(C1915="","",C1915*'02_Eingaben'!$C$15)</f>
        <v/>
      </c>
      <c r="E1915" s="17" t="str">
        <f>IF(D1915="","",D1915*'02_Eingaben'!$C$8)</f>
        <v/>
      </c>
      <c r="F1915" s="17" t="str">
        <f>IF(E1915="","",AVERAGE(INDEX($E$2:$E$3001,MAX(1,ROW()-1-'02_Eingaben'!$C$17)):INDEX($E$2:$E$3001,MIN('02_Eingaben'!$C$21,ROW()-1+'02_Eingaben'!$C$17))))</f>
        <v/>
      </c>
      <c r="G1915" s="17" t="str">
        <f>IF(F1915="","",F1915-'02_Eingaben'!$C$10)</f>
        <v/>
      </c>
      <c r="H1915" t="str">
        <f>IF(F1915="","",IF(F1915&lt;'02_Eingaben'!$C$18*'02_Eingaben'!$C$10,1,0))</f>
        <v/>
      </c>
      <c r="I1915" s="17" t="str">
        <f t="shared" si="29"/>
        <v/>
      </c>
      <c r="J1915" s="17" t="str">
        <f>IF(B1915="","",IF(B1914&lt;'02_Eingaben'!$C$36,0,J1914+I1914/'02_Eingaben'!$C$8))</f>
        <v/>
      </c>
    </row>
    <row r="1916" spans="1:10" x14ac:dyDescent="0.25">
      <c r="A1916" t="str">
        <f>IF('01_Rohdaten'!A1916="","",ROW()-1)</f>
        <v/>
      </c>
      <c r="B1916" s="17" t="str">
        <f>IF('01_Rohdaten'!A1916="","",'01_Rohdaten'!A1916)</f>
        <v/>
      </c>
      <c r="C1916" s="17" t="str">
        <f>IF(B1916="","",INDEX('01_Rohdaten'!B1916:D1916,'02_Eingaben'!$C$13))</f>
        <v/>
      </c>
      <c r="D1916" s="17" t="str">
        <f>IF(C1916="","",C1916*'02_Eingaben'!$C$15)</f>
        <v/>
      </c>
      <c r="E1916" s="17" t="str">
        <f>IF(D1916="","",D1916*'02_Eingaben'!$C$8)</f>
        <v/>
      </c>
      <c r="F1916" s="17" t="str">
        <f>IF(E1916="","",AVERAGE(INDEX($E$2:$E$3001,MAX(1,ROW()-1-'02_Eingaben'!$C$17)):INDEX($E$2:$E$3001,MIN('02_Eingaben'!$C$21,ROW()-1+'02_Eingaben'!$C$17))))</f>
        <v/>
      </c>
      <c r="G1916" s="17" t="str">
        <f>IF(F1916="","",F1916-'02_Eingaben'!$C$10)</f>
        <v/>
      </c>
      <c r="H1916" t="str">
        <f>IF(F1916="","",IF(F1916&lt;'02_Eingaben'!$C$18*'02_Eingaben'!$C$10,1,0))</f>
        <v/>
      </c>
      <c r="I1916" s="17" t="str">
        <f t="shared" si="29"/>
        <v/>
      </c>
      <c r="J1916" s="17" t="str">
        <f>IF(B1916="","",IF(B1915&lt;'02_Eingaben'!$C$36,0,J1915+I1915/'02_Eingaben'!$C$8))</f>
        <v/>
      </c>
    </row>
    <row r="1917" spans="1:10" x14ac:dyDescent="0.25">
      <c r="A1917" t="str">
        <f>IF('01_Rohdaten'!A1917="","",ROW()-1)</f>
        <v/>
      </c>
      <c r="B1917" s="17" t="str">
        <f>IF('01_Rohdaten'!A1917="","",'01_Rohdaten'!A1917)</f>
        <v/>
      </c>
      <c r="C1917" s="17" t="str">
        <f>IF(B1917="","",INDEX('01_Rohdaten'!B1917:D1917,'02_Eingaben'!$C$13))</f>
        <v/>
      </c>
      <c r="D1917" s="17" t="str">
        <f>IF(C1917="","",C1917*'02_Eingaben'!$C$15)</f>
        <v/>
      </c>
      <c r="E1917" s="17" t="str">
        <f>IF(D1917="","",D1917*'02_Eingaben'!$C$8)</f>
        <v/>
      </c>
      <c r="F1917" s="17" t="str">
        <f>IF(E1917="","",AVERAGE(INDEX($E$2:$E$3001,MAX(1,ROW()-1-'02_Eingaben'!$C$17)):INDEX($E$2:$E$3001,MIN('02_Eingaben'!$C$21,ROW()-1+'02_Eingaben'!$C$17))))</f>
        <v/>
      </c>
      <c r="G1917" s="17" t="str">
        <f>IF(F1917="","",F1917-'02_Eingaben'!$C$10)</f>
        <v/>
      </c>
      <c r="H1917" t="str">
        <f>IF(F1917="","",IF(F1917&lt;'02_Eingaben'!$C$18*'02_Eingaben'!$C$10,1,0))</f>
        <v/>
      </c>
      <c r="I1917" s="17" t="str">
        <f t="shared" si="29"/>
        <v/>
      </c>
      <c r="J1917" s="17" t="str">
        <f>IF(B1917="","",IF(B1916&lt;'02_Eingaben'!$C$36,0,J1916+I1916/'02_Eingaben'!$C$8))</f>
        <v/>
      </c>
    </row>
    <row r="1918" spans="1:10" x14ac:dyDescent="0.25">
      <c r="A1918" t="str">
        <f>IF('01_Rohdaten'!A1918="","",ROW()-1)</f>
        <v/>
      </c>
      <c r="B1918" s="17" t="str">
        <f>IF('01_Rohdaten'!A1918="","",'01_Rohdaten'!A1918)</f>
        <v/>
      </c>
      <c r="C1918" s="17" t="str">
        <f>IF(B1918="","",INDEX('01_Rohdaten'!B1918:D1918,'02_Eingaben'!$C$13))</f>
        <v/>
      </c>
      <c r="D1918" s="17" t="str">
        <f>IF(C1918="","",C1918*'02_Eingaben'!$C$15)</f>
        <v/>
      </c>
      <c r="E1918" s="17" t="str">
        <f>IF(D1918="","",D1918*'02_Eingaben'!$C$8)</f>
        <v/>
      </c>
      <c r="F1918" s="17" t="str">
        <f>IF(E1918="","",AVERAGE(INDEX($E$2:$E$3001,MAX(1,ROW()-1-'02_Eingaben'!$C$17)):INDEX($E$2:$E$3001,MIN('02_Eingaben'!$C$21,ROW()-1+'02_Eingaben'!$C$17))))</f>
        <v/>
      </c>
      <c r="G1918" s="17" t="str">
        <f>IF(F1918="","",F1918-'02_Eingaben'!$C$10)</f>
        <v/>
      </c>
      <c r="H1918" t="str">
        <f>IF(F1918="","",IF(F1918&lt;'02_Eingaben'!$C$18*'02_Eingaben'!$C$10,1,0))</f>
        <v/>
      </c>
      <c r="I1918" s="17" t="str">
        <f t="shared" si="29"/>
        <v/>
      </c>
      <c r="J1918" s="17" t="str">
        <f>IF(B1918="","",IF(B1917&lt;'02_Eingaben'!$C$36,0,J1917+I1917/'02_Eingaben'!$C$8))</f>
        <v/>
      </c>
    </row>
    <row r="1919" spans="1:10" x14ac:dyDescent="0.25">
      <c r="A1919" t="str">
        <f>IF('01_Rohdaten'!A1919="","",ROW()-1)</f>
        <v/>
      </c>
      <c r="B1919" s="17" t="str">
        <f>IF('01_Rohdaten'!A1919="","",'01_Rohdaten'!A1919)</f>
        <v/>
      </c>
      <c r="C1919" s="17" t="str">
        <f>IF(B1919="","",INDEX('01_Rohdaten'!B1919:D1919,'02_Eingaben'!$C$13))</f>
        <v/>
      </c>
      <c r="D1919" s="17" t="str">
        <f>IF(C1919="","",C1919*'02_Eingaben'!$C$15)</f>
        <v/>
      </c>
      <c r="E1919" s="17" t="str">
        <f>IF(D1919="","",D1919*'02_Eingaben'!$C$8)</f>
        <v/>
      </c>
      <c r="F1919" s="17" t="str">
        <f>IF(E1919="","",AVERAGE(INDEX($E$2:$E$3001,MAX(1,ROW()-1-'02_Eingaben'!$C$17)):INDEX($E$2:$E$3001,MIN('02_Eingaben'!$C$21,ROW()-1+'02_Eingaben'!$C$17))))</f>
        <v/>
      </c>
      <c r="G1919" s="17" t="str">
        <f>IF(F1919="","",F1919-'02_Eingaben'!$C$10)</f>
        <v/>
      </c>
      <c r="H1919" t="str">
        <f>IF(F1919="","",IF(F1919&lt;'02_Eingaben'!$C$18*'02_Eingaben'!$C$10,1,0))</f>
        <v/>
      </c>
      <c r="I1919" s="17" t="str">
        <f t="shared" si="29"/>
        <v/>
      </c>
      <c r="J1919" s="17" t="str">
        <f>IF(B1919="","",IF(B1918&lt;'02_Eingaben'!$C$36,0,J1918+I1918/'02_Eingaben'!$C$8))</f>
        <v/>
      </c>
    </row>
    <row r="1920" spans="1:10" x14ac:dyDescent="0.25">
      <c r="A1920" t="str">
        <f>IF('01_Rohdaten'!A1920="","",ROW()-1)</f>
        <v/>
      </c>
      <c r="B1920" s="17" t="str">
        <f>IF('01_Rohdaten'!A1920="","",'01_Rohdaten'!A1920)</f>
        <v/>
      </c>
      <c r="C1920" s="17" t="str">
        <f>IF(B1920="","",INDEX('01_Rohdaten'!B1920:D1920,'02_Eingaben'!$C$13))</f>
        <v/>
      </c>
      <c r="D1920" s="17" t="str">
        <f>IF(C1920="","",C1920*'02_Eingaben'!$C$15)</f>
        <v/>
      </c>
      <c r="E1920" s="17" t="str">
        <f>IF(D1920="","",D1920*'02_Eingaben'!$C$8)</f>
        <v/>
      </c>
      <c r="F1920" s="17" t="str">
        <f>IF(E1920="","",AVERAGE(INDEX($E$2:$E$3001,MAX(1,ROW()-1-'02_Eingaben'!$C$17)):INDEX($E$2:$E$3001,MIN('02_Eingaben'!$C$21,ROW()-1+'02_Eingaben'!$C$17))))</f>
        <v/>
      </c>
      <c r="G1920" s="17" t="str">
        <f>IF(F1920="","",F1920-'02_Eingaben'!$C$10)</f>
        <v/>
      </c>
      <c r="H1920" t="str">
        <f>IF(F1920="","",IF(F1920&lt;'02_Eingaben'!$C$18*'02_Eingaben'!$C$10,1,0))</f>
        <v/>
      </c>
      <c r="I1920" s="17" t="str">
        <f t="shared" si="29"/>
        <v/>
      </c>
      <c r="J1920" s="17" t="str">
        <f>IF(B1920="","",IF(B1919&lt;'02_Eingaben'!$C$36,0,J1919+I1919/'02_Eingaben'!$C$8))</f>
        <v/>
      </c>
    </row>
    <row r="1921" spans="1:10" x14ac:dyDescent="0.25">
      <c r="A1921" t="str">
        <f>IF('01_Rohdaten'!A1921="","",ROW()-1)</f>
        <v/>
      </c>
      <c r="B1921" s="17" t="str">
        <f>IF('01_Rohdaten'!A1921="","",'01_Rohdaten'!A1921)</f>
        <v/>
      </c>
      <c r="C1921" s="17" t="str">
        <f>IF(B1921="","",INDEX('01_Rohdaten'!B1921:D1921,'02_Eingaben'!$C$13))</f>
        <v/>
      </c>
      <c r="D1921" s="17" t="str">
        <f>IF(C1921="","",C1921*'02_Eingaben'!$C$15)</f>
        <v/>
      </c>
      <c r="E1921" s="17" t="str">
        <f>IF(D1921="","",D1921*'02_Eingaben'!$C$8)</f>
        <v/>
      </c>
      <c r="F1921" s="17" t="str">
        <f>IF(E1921="","",AVERAGE(INDEX($E$2:$E$3001,MAX(1,ROW()-1-'02_Eingaben'!$C$17)):INDEX($E$2:$E$3001,MIN('02_Eingaben'!$C$21,ROW()-1+'02_Eingaben'!$C$17))))</f>
        <v/>
      </c>
      <c r="G1921" s="17" t="str">
        <f>IF(F1921="","",F1921-'02_Eingaben'!$C$10)</f>
        <v/>
      </c>
      <c r="H1921" t="str">
        <f>IF(F1921="","",IF(F1921&lt;'02_Eingaben'!$C$18*'02_Eingaben'!$C$10,1,0))</f>
        <v/>
      </c>
      <c r="I1921" s="17" t="str">
        <f t="shared" si="29"/>
        <v/>
      </c>
      <c r="J1921" s="17" t="str">
        <f>IF(B1921="","",IF(B1920&lt;'02_Eingaben'!$C$36,0,J1920+I1920/'02_Eingaben'!$C$8))</f>
        <v/>
      </c>
    </row>
    <row r="1922" spans="1:10" x14ac:dyDescent="0.25">
      <c r="A1922" t="str">
        <f>IF('01_Rohdaten'!A1922="","",ROW()-1)</f>
        <v/>
      </c>
      <c r="B1922" s="17" t="str">
        <f>IF('01_Rohdaten'!A1922="","",'01_Rohdaten'!A1922)</f>
        <v/>
      </c>
      <c r="C1922" s="17" t="str">
        <f>IF(B1922="","",INDEX('01_Rohdaten'!B1922:D1922,'02_Eingaben'!$C$13))</f>
        <v/>
      </c>
      <c r="D1922" s="17" t="str">
        <f>IF(C1922="","",C1922*'02_Eingaben'!$C$15)</f>
        <v/>
      </c>
      <c r="E1922" s="17" t="str">
        <f>IF(D1922="","",D1922*'02_Eingaben'!$C$8)</f>
        <v/>
      </c>
      <c r="F1922" s="17" t="str">
        <f>IF(E1922="","",AVERAGE(INDEX($E$2:$E$3001,MAX(1,ROW()-1-'02_Eingaben'!$C$17)):INDEX($E$2:$E$3001,MIN('02_Eingaben'!$C$21,ROW()-1+'02_Eingaben'!$C$17))))</f>
        <v/>
      </c>
      <c r="G1922" s="17" t="str">
        <f>IF(F1922="","",F1922-'02_Eingaben'!$C$10)</f>
        <v/>
      </c>
      <c r="H1922" t="str">
        <f>IF(F1922="","",IF(F1922&lt;'02_Eingaben'!$C$18*'02_Eingaben'!$C$10,1,0))</f>
        <v/>
      </c>
      <c r="I1922" s="17" t="str">
        <f t="shared" ref="I1922:I1985" si="30">IF(OR(G1922="",G1923=""),"",(G1922+G1923)/2*(B1923-B1922))</f>
        <v/>
      </c>
      <c r="J1922" s="17" t="str">
        <f>IF(B1922="","",IF(B1921&lt;'02_Eingaben'!$C$36,0,J1921+I1921/'02_Eingaben'!$C$8))</f>
        <v/>
      </c>
    </row>
    <row r="1923" spans="1:10" x14ac:dyDescent="0.25">
      <c r="A1923" t="str">
        <f>IF('01_Rohdaten'!A1923="","",ROW()-1)</f>
        <v/>
      </c>
      <c r="B1923" s="17" t="str">
        <f>IF('01_Rohdaten'!A1923="","",'01_Rohdaten'!A1923)</f>
        <v/>
      </c>
      <c r="C1923" s="17" t="str">
        <f>IF(B1923="","",INDEX('01_Rohdaten'!B1923:D1923,'02_Eingaben'!$C$13))</f>
        <v/>
      </c>
      <c r="D1923" s="17" t="str">
        <f>IF(C1923="","",C1923*'02_Eingaben'!$C$15)</f>
        <v/>
      </c>
      <c r="E1923" s="17" t="str">
        <f>IF(D1923="","",D1923*'02_Eingaben'!$C$8)</f>
        <v/>
      </c>
      <c r="F1923" s="17" t="str">
        <f>IF(E1923="","",AVERAGE(INDEX($E$2:$E$3001,MAX(1,ROW()-1-'02_Eingaben'!$C$17)):INDEX($E$2:$E$3001,MIN('02_Eingaben'!$C$21,ROW()-1+'02_Eingaben'!$C$17))))</f>
        <v/>
      </c>
      <c r="G1923" s="17" t="str">
        <f>IF(F1923="","",F1923-'02_Eingaben'!$C$10)</f>
        <v/>
      </c>
      <c r="H1923" t="str">
        <f>IF(F1923="","",IF(F1923&lt;'02_Eingaben'!$C$18*'02_Eingaben'!$C$10,1,0))</f>
        <v/>
      </c>
      <c r="I1923" s="17" t="str">
        <f t="shared" si="30"/>
        <v/>
      </c>
      <c r="J1923" s="17" t="str">
        <f>IF(B1923="","",IF(B1922&lt;'02_Eingaben'!$C$36,0,J1922+I1922/'02_Eingaben'!$C$8))</f>
        <v/>
      </c>
    </row>
    <row r="1924" spans="1:10" x14ac:dyDescent="0.25">
      <c r="A1924" t="str">
        <f>IF('01_Rohdaten'!A1924="","",ROW()-1)</f>
        <v/>
      </c>
      <c r="B1924" s="17" t="str">
        <f>IF('01_Rohdaten'!A1924="","",'01_Rohdaten'!A1924)</f>
        <v/>
      </c>
      <c r="C1924" s="17" t="str">
        <f>IF(B1924="","",INDEX('01_Rohdaten'!B1924:D1924,'02_Eingaben'!$C$13))</f>
        <v/>
      </c>
      <c r="D1924" s="17" t="str">
        <f>IF(C1924="","",C1924*'02_Eingaben'!$C$15)</f>
        <v/>
      </c>
      <c r="E1924" s="17" t="str">
        <f>IF(D1924="","",D1924*'02_Eingaben'!$C$8)</f>
        <v/>
      </c>
      <c r="F1924" s="17" t="str">
        <f>IF(E1924="","",AVERAGE(INDEX($E$2:$E$3001,MAX(1,ROW()-1-'02_Eingaben'!$C$17)):INDEX($E$2:$E$3001,MIN('02_Eingaben'!$C$21,ROW()-1+'02_Eingaben'!$C$17))))</f>
        <v/>
      </c>
      <c r="G1924" s="17" t="str">
        <f>IF(F1924="","",F1924-'02_Eingaben'!$C$10)</f>
        <v/>
      </c>
      <c r="H1924" t="str">
        <f>IF(F1924="","",IF(F1924&lt;'02_Eingaben'!$C$18*'02_Eingaben'!$C$10,1,0))</f>
        <v/>
      </c>
      <c r="I1924" s="17" t="str">
        <f t="shared" si="30"/>
        <v/>
      </c>
      <c r="J1924" s="17" t="str">
        <f>IF(B1924="","",IF(B1923&lt;'02_Eingaben'!$C$36,0,J1923+I1923/'02_Eingaben'!$C$8))</f>
        <v/>
      </c>
    </row>
    <row r="1925" spans="1:10" x14ac:dyDescent="0.25">
      <c r="A1925" t="str">
        <f>IF('01_Rohdaten'!A1925="","",ROW()-1)</f>
        <v/>
      </c>
      <c r="B1925" s="17" t="str">
        <f>IF('01_Rohdaten'!A1925="","",'01_Rohdaten'!A1925)</f>
        <v/>
      </c>
      <c r="C1925" s="17" t="str">
        <f>IF(B1925="","",INDEX('01_Rohdaten'!B1925:D1925,'02_Eingaben'!$C$13))</f>
        <v/>
      </c>
      <c r="D1925" s="17" t="str">
        <f>IF(C1925="","",C1925*'02_Eingaben'!$C$15)</f>
        <v/>
      </c>
      <c r="E1925" s="17" t="str">
        <f>IF(D1925="","",D1925*'02_Eingaben'!$C$8)</f>
        <v/>
      </c>
      <c r="F1925" s="17" t="str">
        <f>IF(E1925="","",AVERAGE(INDEX($E$2:$E$3001,MAX(1,ROW()-1-'02_Eingaben'!$C$17)):INDEX($E$2:$E$3001,MIN('02_Eingaben'!$C$21,ROW()-1+'02_Eingaben'!$C$17))))</f>
        <v/>
      </c>
      <c r="G1925" s="17" t="str">
        <f>IF(F1925="","",F1925-'02_Eingaben'!$C$10)</f>
        <v/>
      </c>
      <c r="H1925" t="str">
        <f>IF(F1925="","",IF(F1925&lt;'02_Eingaben'!$C$18*'02_Eingaben'!$C$10,1,0))</f>
        <v/>
      </c>
      <c r="I1925" s="17" t="str">
        <f t="shared" si="30"/>
        <v/>
      </c>
      <c r="J1925" s="17" t="str">
        <f>IF(B1925="","",IF(B1924&lt;'02_Eingaben'!$C$36,0,J1924+I1924/'02_Eingaben'!$C$8))</f>
        <v/>
      </c>
    </row>
    <row r="1926" spans="1:10" x14ac:dyDescent="0.25">
      <c r="A1926" t="str">
        <f>IF('01_Rohdaten'!A1926="","",ROW()-1)</f>
        <v/>
      </c>
      <c r="B1926" s="17" t="str">
        <f>IF('01_Rohdaten'!A1926="","",'01_Rohdaten'!A1926)</f>
        <v/>
      </c>
      <c r="C1926" s="17" t="str">
        <f>IF(B1926="","",INDEX('01_Rohdaten'!B1926:D1926,'02_Eingaben'!$C$13))</f>
        <v/>
      </c>
      <c r="D1926" s="17" t="str">
        <f>IF(C1926="","",C1926*'02_Eingaben'!$C$15)</f>
        <v/>
      </c>
      <c r="E1926" s="17" t="str">
        <f>IF(D1926="","",D1926*'02_Eingaben'!$C$8)</f>
        <v/>
      </c>
      <c r="F1926" s="17" t="str">
        <f>IF(E1926="","",AVERAGE(INDEX($E$2:$E$3001,MAX(1,ROW()-1-'02_Eingaben'!$C$17)):INDEX($E$2:$E$3001,MIN('02_Eingaben'!$C$21,ROW()-1+'02_Eingaben'!$C$17))))</f>
        <v/>
      </c>
      <c r="G1926" s="17" t="str">
        <f>IF(F1926="","",F1926-'02_Eingaben'!$C$10)</f>
        <v/>
      </c>
      <c r="H1926" t="str">
        <f>IF(F1926="","",IF(F1926&lt;'02_Eingaben'!$C$18*'02_Eingaben'!$C$10,1,0))</f>
        <v/>
      </c>
      <c r="I1926" s="17" t="str">
        <f t="shared" si="30"/>
        <v/>
      </c>
      <c r="J1926" s="17" t="str">
        <f>IF(B1926="","",IF(B1925&lt;'02_Eingaben'!$C$36,0,J1925+I1925/'02_Eingaben'!$C$8))</f>
        <v/>
      </c>
    </row>
    <row r="1927" spans="1:10" x14ac:dyDescent="0.25">
      <c r="A1927" t="str">
        <f>IF('01_Rohdaten'!A1927="","",ROW()-1)</f>
        <v/>
      </c>
      <c r="B1927" s="17" t="str">
        <f>IF('01_Rohdaten'!A1927="","",'01_Rohdaten'!A1927)</f>
        <v/>
      </c>
      <c r="C1927" s="17" t="str">
        <f>IF(B1927="","",INDEX('01_Rohdaten'!B1927:D1927,'02_Eingaben'!$C$13))</f>
        <v/>
      </c>
      <c r="D1927" s="17" t="str">
        <f>IF(C1927="","",C1927*'02_Eingaben'!$C$15)</f>
        <v/>
      </c>
      <c r="E1927" s="17" t="str">
        <f>IF(D1927="","",D1927*'02_Eingaben'!$C$8)</f>
        <v/>
      </c>
      <c r="F1927" s="17" t="str">
        <f>IF(E1927="","",AVERAGE(INDEX($E$2:$E$3001,MAX(1,ROW()-1-'02_Eingaben'!$C$17)):INDEX($E$2:$E$3001,MIN('02_Eingaben'!$C$21,ROW()-1+'02_Eingaben'!$C$17))))</f>
        <v/>
      </c>
      <c r="G1927" s="17" t="str">
        <f>IF(F1927="","",F1927-'02_Eingaben'!$C$10)</f>
        <v/>
      </c>
      <c r="H1927" t="str">
        <f>IF(F1927="","",IF(F1927&lt;'02_Eingaben'!$C$18*'02_Eingaben'!$C$10,1,0))</f>
        <v/>
      </c>
      <c r="I1927" s="17" t="str">
        <f t="shared" si="30"/>
        <v/>
      </c>
      <c r="J1927" s="17" t="str">
        <f>IF(B1927="","",IF(B1926&lt;'02_Eingaben'!$C$36,0,J1926+I1926/'02_Eingaben'!$C$8))</f>
        <v/>
      </c>
    </row>
    <row r="1928" spans="1:10" x14ac:dyDescent="0.25">
      <c r="A1928" t="str">
        <f>IF('01_Rohdaten'!A1928="","",ROW()-1)</f>
        <v/>
      </c>
      <c r="B1928" s="17" t="str">
        <f>IF('01_Rohdaten'!A1928="","",'01_Rohdaten'!A1928)</f>
        <v/>
      </c>
      <c r="C1928" s="17" t="str">
        <f>IF(B1928="","",INDEX('01_Rohdaten'!B1928:D1928,'02_Eingaben'!$C$13))</f>
        <v/>
      </c>
      <c r="D1928" s="17" t="str">
        <f>IF(C1928="","",C1928*'02_Eingaben'!$C$15)</f>
        <v/>
      </c>
      <c r="E1928" s="17" t="str">
        <f>IF(D1928="","",D1928*'02_Eingaben'!$C$8)</f>
        <v/>
      </c>
      <c r="F1928" s="17" t="str">
        <f>IF(E1928="","",AVERAGE(INDEX($E$2:$E$3001,MAX(1,ROW()-1-'02_Eingaben'!$C$17)):INDEX($E$2:$E$3001,MIN('02_Eingaben'!$C$21,ROW()-1+'02_Eingaben'!$C$17))))</f>
        <v/>
      </c>
      <c r="G1928" s="17" t="str">
        <f>IF(F1928="","",F1928-'02_Eingaben'!$C$10)</f>
        <v/>
      </c>
      <c r="H1928" t="str">
        <f>IF(F1928="","",IF(F1928&lt;'02_Eingaben'!$C$18*'02_Eingaben'!$C$10,1,0))</f>
        <v/>
      </c>
      <c r="I1928" s="17" t="str">
        <f t="shared" si="30"/>
        <v/>
      </c>
      <c r="J1928" s="17" t="str">
        <f>IF(B1928="","",IF(B1927&lt;'02_Eingaben'!$C$36,0,J1927+I1927/'02_Eingaben'!$C$8))</f>
        <v/>
      </c>
    </row>
    <row r="1929" spans="1:10" x14ac:dyDescent="0.25">
      <c r="A1929" t="str">
        <f>IF('01_Rohdaten'!A1929="","",ROW()-1)</f>
        <v/>
      </c>
      <c r="B1929" s="17" t="str">
        <f>IF('01_Rohdaten'!A1929="","",'01_Rohdaten'!A1929)</f>
        <v/>
      </c>
      <c r="C1929" s="17" t="str">
        <f>IF(B1929="","",INDEX('01_Rohdaten'!B1929:D1929,'02_Eingaben'!$C$13))</f>
        <v/>
      </c>
      <c r="D1929" s="17" t="str">
        <f>IF(C1929="","",C1929*'02_Eingaben'!$C$15)</f>
        <v/>
      </c>
      <c r="E1929" s="17" t="str">
        <f>IF(D1929="","",D1929*'02_Eingaben'!$C$8)</f>
        <v/>
      </c>
      <c r="F1929" s="17" t="str">
        <f>IF(E1929="","",AVERAGE(INDEX($E$2:$E$3001,MAX(1,ROW()-1-'02_Eingaben'!$C$17)):INDEX($E$2:$E$3001,MIN('02_Eingaben'!$C$21,ROW()-1+'02_Eingaben'!$C$17))))</f>
        <v/>
      </c>
      <c r="G1929" s="17" t="str">
        <f>IF(F1929="","",F1929-'02_Eingaben'!$C$10)</f>
        <v/>
      </c>
      <c r="H1929" t="str">
        <f>IF(F1929="","",IF(F1929&lt;'02_Eingaben'!$C$18*'02_Eingaben'!$C$10,1,0))</f>
        <v/>
      </c>
      <c r="I1929" s="17" t="str">
        <f t="shared" si="30"/>
        <v/>
      </c>
      <c r="J1929" s="17" t="str">
        <f>IF(B1929="","",IF(B1928&lt;'02_Eingaben'!$C$36,0,J1928+I1928/'02_Eingaben'!$C$8))</f>
        <v/>
      </c>
    </row>
    <row r="1930" spans="1:10" x14ac:dyDescent="0.25">
      <c r="A1930" t="str">
        <f>IF('01_Rohdaten'!A1930="","",ROW()-1)</f>
        <v/>
      </c>
      <c r="B1930" s="17" t="str">
        <f>IF('01_Rohdaten'!A1930="","",'01_Rohdaten'!A1930)</f>
        <v/>
      </c>
      <c r="C1930" s="17" t="str">
        <f>IF(B1930="","",INDEX('01_Rohdaten'!B1930:D1930,'02_Eingaben'!$C$13))</f>
        <v/>
      </c>
      <c r="D1930" s="17" t="str">
        <f>IF(C1930="","",C1930*'02_Eingaben'!$C$15)</f>
        <v/>
      </c>
      <c r="E1930" s="17" t="str">
        <f>IF(D1930="","",D1930*'02_Eingaben'!$C$8)</f>
        <v/>
      </c>
      <c r="F1930" s="17" t="str">
        <f>IF(E1930="","",AVERAGE(INDEX($E$2:$E$3001,MAX(1,ROW()-1-'02_Eingaben'!$C$17)):INDEX($E$2:$E$3001,MIN('02_Eingaben'!$C$21,ROW()-1+'02_Eingaben'!$C$17))))</f>
        <v/>
      </c>
      <c r="G1930" s="17" t="str">
        <f>IF(F1930="","",F1930-'02_Eingaben'!$C$10)</f>
        <v/>
      </c>
      <c r="H1930" t="str">
        <f>IF(F1930="","",IF(F1930&lt;'02_Eingaben'!$C$18*'02_Eingaben'!$C$10,1,0))</f>
        <v/>
      </c>
      <c r="I1930" s="17" t="str">
        <f t="shared" si="30"/>
        <v/>
      </c>
      <c r="J1930" s="17" t="str">
        <f>IF(B1930="","",IF(B1929&lt;'02_Eingaben'!$C$36,0,J1929+I1929/'02_Eingaben'!$C$8))</f>
        <v/>
      </c>
    </row>
    <row r="1931" spans="1:10" x14ac:dyDescent="0.25">
      <c r="A1931" t="str">
        <f>IF('01_Rohdaten'!A1931="","",ROW()-1)</f>
        <v/>
      </c>
      <c r="B1931" s="17" t="str">
        <f>IF('01_Rohdaten'!A1931="","",'01_Rohdaten'!A1931)</f>
        <v/>
      </c>
      <c r="C1931" s="17" t="str">
        <f>IF(B1931="","",INDEX('01_Rohdaten'!B1931:D1931,'02_Eingaben'!$C$13))</f>
        <v/>
      </c>
      <c r="D1931" s="17" t="str">
        <f>IF(C1931="","",C1931*'02_Eingaben'!$C$15)</f>
        <v/>
      </c>
      <c r="E1931" s="17" t="str">
        <f>IF(D1931="","",D1931*'02_Eingaben'!$C$8)</f>
        <v/>
      </c>
      <c r="F1931" s="17" t="str">
        <f>IF(E1931="","",AVERAGE(INDEX($E$2:$E$3001,MAX(1,ROW()-1-'02_Eingaben'!$C$17)):INDEX($E$2:$E$3001,MIN('02_Eingaben'!$C$21,ROW()-1+'02_Eingaben'!$C$17))))</f>
        <v/>
      </c>
      <c r="G1931" s="17" t="str">
        <f>IF(F1931="","",F1931-'02_Eingaben'!$C$10)</f>
        <v/>
      </c>
      <c r="H1931" t="str">
        <f>IF(F1931="","",IF(F1931&lt;'02_Eingaben'!$C$18*'02_Eingaben'!$C$10,1,0))</f>
        <v/>
      </c>
      <c r="I1931" s="17" t="str">
        <f t="shared" si="30"/>
        <v/>
      </c>
      <c r="J1931" s="17" t="str">
        <f>IF(B1931="","",IF(B1930&lt;'02_Eingaben'!$C$36,0,J1930+I1930/'02_Eingaben'!$C$8))</f>
        <v/>
      </c>
    </row>
    <row r="1932" spans="1:10" x14ac:dyDescent="0.25">
      <c r="A1932" t="str">
        <f>IF('01_Rohdaten'!A1932="","",ROW()-1)</f>
        <v/>
      </c>
      <c r="B1932" s="17" t="str">
        <f>IF('01_Rohdaten'!A1932="","",'01_Rohdaten'!A1932)</f>
        <v/>
      </c>
      <c r="C1932" s="17" t="str">
        <f>IF(B1932="","",INDEX('01_Rohdaten'!B1932:D1932,'02_Eingaben'!$C$13))</f>
        <v/>
      </c>
      <c r="D1932" s="17" t="str">
        <f>IF(C1932="","",C1932*'02_Eingaben'!$C$15)</f>
        <v/>
      </c>
      <c r="E1932" s="17" t="str">
        <f>IF(D1932="","",D1932*'02_Eingaben'!$C$8)</f>
        <v/>
      </c>
      <c r="F1932" s="17" t="str">
        <f>IF(E1932="","",AVERAGE(INDEX($E$2:$E$3001,MAX(1,ROW()-1-'02_Eingaben'!$C$17)):INDEX($E$2:$E$3001,MIN('02_Eingaben'!$C$21,ROW()-1+'02_Eingaben'!$C$17))))</f>
        <v/>
      </c>
      <c r="G1932" s="17" t="str">
        <f>IF(F1932="","",F1932-'02_Eingaben'!$C$10)</f>
        <v/>
      </c>
      <c r="H1932" t="str">
        <f>IF(F1932="","",IF(F1932&lt;'02_Eingaben'!$C$18*'02_Eingaben'!$C$10,1,0))</f>
        <v/>
      </c>
      <c r="I1932" s="17" t="str">
        <f t="shared" si="30"/>
        <v/>
      </c>
      <c r="J1932" s="17" t="str">
        <f>IF(B1932="","",IF(B1931&lt;'02_Eingaben'!$C$36,0,J1931+I1931/'02_Eingaben'!$C$8))</f>
        <v/>
      </c>
    </row>
    <row r="1933" spans="1:10" x14ac:dyDescent="0.25">
      <c r="A1933" t="str">
        <f>IF('01_Rohdaten'!A1933="","",ROW()-1)</f>
        <v/>
      </c>
      <c r="B1933" s="17" t="str">
        <f>IF('01_Rohdaten'!A1933="","",'01_Rohdaten'!A1933)</f>
        <v/>
      </c>
      <c r="C1933" s="17" t="str">
        <f>IF(B1933="","",INDEX('01_Rohdaten'!B1933:D1933,'02_Eingaben'!$C$13))</f>
        <v/>
      </c>
      <c r="D1933" s="17" t="str">
        <f>IF(C1933="","",C1933*'02_Eingaben'!$C$15)</f>
        <v/>
      </c>
      <c r="E1933" s="17" t="str">
        <f>IF(D1933="","",D1933*'02_Eingaben'!$C$8)</f>
        <v/>
      </c>
      <c r="F1933" s="17" t="str">
        <f>IF(E1933="","",AVERAGE(INDEX($E$2:$E$3001,MAX(1,ROW()-1-'02_Eingaben'!$C$17)):INDEX($E$2:$E$3001,MIN('02_Eingaben'!$C$21,ROW()-1+'02_Eingaben'!$C$17))))</f>
        <v/>
      </c>
      <c r="G1933" s="17" t="str">
        <f>IF(F1933="","",F1933-'02_Eingaben'!$C$10)</f>
        <v/>
      </c>
      <c r="H1933" t="str">
        <f>IF(F1933="","",IF(F1933&lt;'02_Eingaben'!$C$18*'02_Eingaben'!$C$10,1,0))</f>
        <v/>
      </c>
      <c r="I1933" s="17" t="str">
        <f t="shared" si="30"/>
        <v/>
      </c>
      <c r="J1933" s="17" t="str">
        <f>IF(B1933="","",IF(B1932&lt;'02_Eingaben'!$C$36,0,J1932+I1932/'02_Eingaben'!$C$8))</f>
        <v/>
      </c>
    </row>
    <row r="1934" spans="1:10" x14ac:dyDescent="0.25">
      <c r="A1934" t="str">
        <f>IF('01_Rohdaten'!A1934="","",ROW()-1)</f>
        <v/>
      </c>
      <c r="B1934" s="17" t="str">
        <f>IF('01_Rohdaten'!A1934="","",'01_Rohdaten'!A1934)</f>
        <v/>
      </c>
      <c r="C1934" s="17" t="str">
        <f>IF(B1934="","",INDEX('01_Rohdaten'!B1934:D1934,'02_Eingaben'!$C$13))</f>
        <v/>
      </c>
      <c r="D1934" s="17" t="str">
        <f>IF(C1934="","",C1934*'02_Eingaben'!$C$15)</f>
        <v/>
      </c>
      <c r="E1934" s="17" t="str">
        <f>IF(D1934="","",D1934*'02_Eingaben'!$C$8)</f>
        <v/>
      </c>
      <c r="F1934" s="17" t="str">
        <f>IF(E1934="","",AVERAGE(INDEX($E$2:$E$3001,MAX(1,ROW()-1-'02_Eingaben'!$C$17)):INDEX($E$2:$E$3001,MIN('02_Eingaben'!$C$21,ROW()-1+'02_Eingaben'!$C$17))))</f>
        <v/>
      </c>
      <c r="G1934" s="17" t="str">
        <f>IF(F1934="","",F1934-'02_Eingaben'!$C$10)</f>
        <v/>
      </c>
      <c r="H1934" t="str">
        <f>IF(F1934="","",IF(F1934&lt;'02_Eingaben'!$C$18*'02_Eingaben'!$C$10,1,0))</f>
        <v/>
      </c>
      <c r="I1934" s="17" t="str">
        <f t="shared" si="30"/>
        <v/>
      </c>
      <c r="J1934" s="17" t="str">
        <f>IF(B1934="","",IF(B1933&lt;'02_Eingaben'!$C$36,0,J1933+I1933/'02_Eingaben'!$C$8))</f>
        <v/>
      </c>
    </row>
    <row r="1935" spans="1:10" x14ac:dyDescent="0.25">
      <c r="A1935" t="str">
        <f>IF('01_Rohdaten'!A1935="","",ROW()-1)</f>
        <v/>
      </c>
      <c r="B1935" s="17" t="str">
        <f>IF('01_Rohdaten'!A1935="","",'01_Rohdaten'!A1935)</f>
        <v/>
      </c>
      <c r="C1935" s="17" t="str">
        <f>IF(B1935="","",INDEX('01_Rohdaten'!B1935:D1935,'02_Eingaben'!$C$13))</f>
        <v/>
      </c>
      <c r="D1935" s="17" t="str">
        <f>IF(C1935="","",C1935*'02_Eingaben'!$C$15)</f>
        <v/>
      </c>
      <c r="E1935" s="17" t="str">
        <f>IF(D1935="","",D1935*'02_Eingaben'!$C$8)</f>
        <v/>
      </c>
      <c r="F1935" s="17" t="str">
        <f>IF(E1935="","",AVERAGE(INDEX($E$2:$E$3001,MAX(1,ROW()-1-'02_Eingaben'!$C$17)):INDEX($E$2:$E$3001,MIN('02_Eingaben'!$C$21,ROW()-1+'02_Eingaben'!$C$17))))</f>
        <v/>
      </c>
      <c r="G1935" s="17" t="str">
        <f>IF(F1935="","",F1935-'02_Eingaben'!$C$10)</f>
        <v/>
      </c>
      <c r="H1935" t="str">
        <f>IF(F1935="","",IF(F1935&lt;'02_Eingaben'!$C$18*'02_Eingaben'!$C$10,1,0))</f>
        <v/>
      </c>
      <c r="I1935" s="17" t="str">
        <f t="shared" si="30"/>
        <v/>
      </c>
      <c r="J1935" s="17" t="str">
        <f>IF(B1935="","",IF(B1934&lt;'02_Eingaben'!$C$36,0,J1934+I1934/'02_Eingaben'!$C$8))</f>
        <v/>
      </c>
    </row>
    <row r="1936" spans="1:10" x14ac:dyDescent="0.25">
      <c r="A1936" t="str">
        <f>IF('01_Rohdaten'!A1936="","",ROW()-1)</f>
        <v/>
      </c>
      <c r="B1936" s="17" t="str">
        <f>IF('01_Rohdaten'!A1936="","",'01_Rohdaten'!A1936)</f>
        <v/>
      </c>
      <c r="C1936" s="17" t="str">
        <f>IF(B1936="","",INDEX('01_Rohdaten'!B1936:D1936,'02_Eingaben'!$C$13))</f>
        <v/>
      </c>
      <c r="D1936" s="17" t="str">
        <f>IF(C1936="","",C1936*'02_Eingaben'!$C$15)</f>
        <v/>
      </c>
      <c r="E1936" s="17" t="str">
        <f>IF(D1936="","",D1936*'02_Eingaben'!$C$8)</f>
        <v/>
      </c>
      <c r="F1936" s="17" t="str">
        <f>IF(E1936="","",AVERAGE(INDEX($E$2:$E$3001,MAX(1,ROW()-1-'02_Eingaben'!$C$17)):INDEX($E$2:$E$3001,MIN('02_Eingaben'!$C$21,ROW()-1+'02_Eingaben'!$C$17))))</f>
        <v/>
      </c>
      <c r="G1936" s="17" t="str">
        <f>IF(F1936="","",F1936-'02_Eingaben'!$C$10)</f>
        <v/>
      </c>
      <c r="H1936" t="str">
        <f>IF(F1936="","",IF(F1936&lt;'02_Eingaben'!$C$18*'02_Eingaben'!$C$10,1,0))</f>
        <v/>
      </c>
      <c r="I1936" s="17" t="str">
        <f t="shared" si="30"/>
        <v/>
      </c>
      <c r="J1936" s="17" t="str">
        <f>IF(B1936="","",IF(B1935&lt;'02_Eingaben'!$C$36,0,J1935+I1935/'02_Eingaben'!$C$8))</f>
        <v/>
      </c>
    </row>
    <row r="1937" spans="1:10" x14ac:dyDescent="0.25">
      <c r="A1937" t="str">
        <f>IF('01_Rohdaten'!A1937="","",ROW()-1)</f>
        <v/>
      </c>
      <c r="B1937" s="17" t="str">
        <f>IF('01_Rohdaten'!A1937="","",'01_Rohdaten'!A1937)</f>
        <v/>
      </c>
      <c r="C1937" s="17" t="str">
        <f>IF(B1937="","",INDEX('01_Rohdaten'!B1937:D1937,'02_Eingaben'!$C$13))</f>
        <v/>
      </c>
      <c r="D1937" s="17" t="str">
        <f>IF(C1937="","",C1937*'02_Eingaben'!$C$15)</f>
        <v/>
      </c>
      <c r="E1937" s="17" t="str">
        <f>IF(D1937="","",D1937*'02_Eingaben'!$C$8)</f>
        <v/>
      </c>
      <c r="F1937" s="17" t="str">
        <f>IF(E1937="","",AVERAGE(INDEX($E$2:$E$3001,MAX(1,ROW()-1-'02_Eingaben'!$C$17)):INDEX($E$2:$E$3001,MIN('02_Eingaben'!$C$21,ROW()-1+'02_Eingaben'!$C$17))))</f>
        <v/>
      </c>
      <c r="G1937" s="17" t="str">
        <f>IF(F1937="","",F1937-'02_Eingaben'!$C$10)</f>
        <v/>
      </c>
      <c r="H1937" t="str">
        <f>IF(F1937="","",IF(F1937&lt;'02_Eingaben'!$C$18*'02_Eingaben'!$C$10,1,0))</f>
        <v/>
      </c>
      <c r="I1937" s="17" t="str">
        <f t="shared" si="30"/>
        <v/>
      </c>
      <c r="J1937" s="17" t="str">
        <f>IF(B1937="","",IF(B1936&lt;'02_Eingaben'!$C$36,0,J1936+I1936/'02_Eingaben'!$C$8))</f>
        <v/>
      </c>
    </row>
    <row r="1938" spans="1:10" x14ac:dyDescent="0.25">
      <c r="A1938" t="str">
        <f>IF('01_Rohdaten'!A1938="","",ROW()-1)</f>
        <v/>
      </c>
      <c r="B1938" s="17" t="str">
        <f>IF('01_Rohdaten'!A1938="","",'01_Rohdaten'!A1938)</f>
        <v/>
      </c>
      <c r="C1938" s="17" t="str">
        <f>IF(B1938="","",INDEX('01_Rohdaten'!B1938:D1938,'02_Eingaben'!$C$13))</f>
        <v/>
      </c>
      <c r="D1938" s="17" t="str">
        <f>IF(C1938="","",C1938*'02_Eingaben'!$C$15)</f>
        <v/>
      </c>
      <c r="E1938" s="17" t="str">
        <f>IF(D1938="","",D1938*'02_Eingaben'!$C$8)</f>
        <v/>
      </c>
      <c r="F1938" s="17" t="str">
        <f>IF(E1938="","",AVERAGE(INDEX($E$2:$E$3001,MAX(1,ROW()-1-'02_Eingaben'!$C$17)):INDEX($E$2:$E$3001,MIN('02_Eingaben'!$C$21,ROW()-1+'02_Eingaben'!$C$17))))</f>
        <v/>
      </c>
      <c r="G1938" s="17" t="str">
        <f>IF(F1938="","",F1938-'02_Eingaben'!$C$10)</f>
        <v/>
      </c>
      <c r="H1938" t="str">
        <f>IF(F1938="","",IF(F1938&lt;'02_Eingaben'!$C$18*'02_Eingaben'!$C$10,1,0))</f>
        <v/>
      </c>
      <c r="I1938" s="17" t="str">
        <f t="shared" si="30"/>
        <v/>
      </c>
      <c r="J1938" s="17" t="str">
        <f>IF(B1938="","",IF(B1937&lt;'02_Eingaben'!$C$36,0,J1937+I1937/'02_Eingaben'!$C$8))</f>
        <v/>
      </c>
    </row>
    <row r="1939" spans="1:10" x14ac:dyDescent="0.25">
      <c r="A1939" t="str">
        <f>IF('01_Rohdaten'!A1939="","",ROW()-1)</f>
        <v/>
      </c>
      <c r="B1939" s="17" t="str">
        <f>IF('01_Rohdaten'!A1939="","",'01_Rohdaten'!A1939)</f>
        <v/>
      </c>
      <c r="C1939" s="17" t="str">
        <f>IF(B1939="","",INDEX('01_Rohdaten'!B1939:D1939,'02_Eingaben'!$C$13))</f>
        <v/>
      </c>
      <c r="D1939" s="17" t="str">
        <f>IF(C1939="","",C1939*'02_Eingaben'!$C$15)</f>
        <v/>
      </c>
      <c r="E1939" s="17" t="str">
        <f>IF(D1939="","",D1939*'02_Eingaben'!$C$8)</f>
        <v/>
      </c>
      <c r="F1939" s="17" t="str">
        <f>IF(E1939="","",AVERAGE(INDEX($E$2:$E$3001,MAX(1,ROW()-1-'02_Eingaben'!$C$17)):INDEX($E$2:$E$3001,MIN('02_Eingaben'!$C$21,ROW()-1+'02_Eingaben'!$C$17))))</f>
        <v/>
      </c>
      <c r="G1939" s="17" t="str">
        <f>IF(F1939="","",F1939-'02_Eingaben'!$C$10)</f>
        <v/>
      </c>
      <c r="H1939" t="str">
        <f>IF(F1939="","",IF(F1939&lt;'02_Eingaben'!$C$18*'02_Eingaben'!$C$10,1,0))</f>
        <v/>
      </c>
      <c r="I1939" s="17" t="str">
        <f t="shared" si="30"/>
        <v/>
      </c>
      <c r="J1939" s="17" t="str">
        <f>IF(B1939="","",IF(B1938&lt;'02_Eingaben'!$C$36,0,J1938+I1938/'02_Eingaben'!$C$8))</f>
        <v/>
      </c>
    </row>
    <row r="1940" spans="1:10" x14ac:dyDescent="0.25">
      <c r="A1940" t="str">
        <f>IF('01_Rohdaten'!A1940="","",ROW()-1)</f>
        <v/>
      </c>
      <c r="B1940" s="17" t="str">
        <f>IF('01_Rohdaten'!A1940="","",'01_Rohdaten'!A1940)</f>
        <v/>
      </c>
      <c r="C1940" s="17" t="str">
        <f>IF(B1940="","",INDEX('01_Rohdaten'!B1940:D1940,'02_Eingaben'!$C$13))</f>
        <v/>
      </c>
      <c r="D1940" s="17" t="str">
        <f>IF(C1940="","",C1940*'02_Eingaben'!$C$15)</f>
        <v/>
      </c>
      <c r="E1940" s="17" t="str">
        <f>IF(D1940="","",D1940*'02_Eingaben'!$C$8)</f>
        <v/>
      </c>
      <c r="F1940" s="17" t="str">
        <f>IF(E1940="","",AVERAGE(INDEX($E$2:$E$3001,MAX(1,ROW()-1-'02_Eingaben'!$C$17)):INDEX($E$2:$E$3001,MIN('02_Eingaben'!$C$21,ROW()-1+'02_Eingaben'!$C$17))))</f>
        <v/>
      </c>
      <c r="G1940" s="17" t="str">
        <f>IF(F1940="","",F1940-'02_Eingaben'!$C$10)</f>
        <v/>
      </c>
      <c r="H1940" t="str">
        <f>IF(F1940="","",IF(F1940&lt;'02_Eingaben'!$C$18*'02_Eingaben'!$C$10,1,0))</f>
        <v/>
      </c>
      <c r="I1940" s="17" t="str">
        <f t="shared" si="30"/>
        <v/>
      </c>
      <c r="J1940" s="17" t="str">
        <f>IF(B1940="","",IF(B1939&lt;'02_Eingaben'!$C$36,0,J1939+I1939/'02_Eingaben'!$C$8))</f>
        <v/>
      </c>
    </row>
    <row r="1941" spans="1:10" x14ac:dyDescent="0.25">
      <c r="A1941" t="str">
        <f>IF('01_Rohdaten'!A1941="","",ROW()-1)</f>
        <v/>
      </c>
      <c r="B1941" s="17" t="str">
        <f>IF('01_Rohdaten'!A1941="","",'01_Rohdaten'!A1941)</f>
        <v/>
      </c>
      <c r="C1941" s="17" t="str">
        <f>IF(B1941="","",INDEX('01_Rohdaten'!B1941:D1941,'02_Eingaben'!$C$13))</f>
        <v/>
      </c>
      <c r="D1941" s="17" t="str">
        <f>IF(C1941="","",C1941*'02_Eingaben'!$C$15)</f>
        <v/>
      </c>
      <c r="E1941" s="17" t="str">
        <f>IF(D1941="","",D1941*'02_Eingaben'!$C$8)</f>
        <v/>
      </c>
      <c r="F1941" s="17" t="str">
        <f>IF(E1941="","",AVERAGE(INDEX($E$2:$E$3001,MAX(1,ROW()-1-'02_Eingaben'!$C$17)):INDEX($E$2:$E$3001,MIN('02_Eingaben'!$C$21,ROW()-1+'02_Eingaben'!$C$17))))</f>
        <v/>
      </c>
      <c r="G1941" s="17" t="str">
        <f>IF(F1941="","",F1941-'02_Eingaben'!$C$10)</f>
        <v/>
      </c>
      <c r="H1941" t="str">
        <f>IF(F1941="","",IF(F1941&lt;'02_Eingaben'!$C$18*'02_Eingaben'!$C$10,1,0))</f>
        <v/>
      </c>
      <c r="I1941" s="17" t="str">
        <f t="shared" si="30"/>
        <v/>
      </c>
      <c r="J1941" s="17" t="str">
        <f>IF(B1941="","",IF(B1940&lt;'02_Eingaben'!$C$36,0,J1940+I1940/'02_Eingaben'!$C$8))</f>
        <v/>
      </c>
    </row>
    <row r="1942" spans="1:10" x14ac:dyDescent="0.25">
      <c r="A1942" t="str">
        <f>IF('01_Rohdaten'!A1942="","",ROW()-1)</f>
        <v/>
      </c>
      <c r="B1942" s="17" t="str">
        <f>IF('01_Rohdaten'!A1942="","",'01_Rohdaten'!A1942)</f>
        <v/>
      </c>
      <c r="C1942" s="17" t="str">
        <f>IF(B1942="","",INDEX('01_Rohdaten'!B1942:D1942,'02_Eingaben'!$C$13))</f>
        <v/>
      </c>
      <c r="D1942" s="17" t="str">
        <f>IF(C1942="","",C1942*'02_Eingaben'!$C$15)</f>
        <v/>
      </c>
      <c r="E1942" s="17" t="str">
        <f>IF(D1942="","",D1942*'02_Eingaben'!$C$8)</f>
        <v/>
      </c>
      <c r="F1942" s="17" t="str">
        <f>IF(E1942="","",AVERAGE(INDEX($E$2:$E$3001,MAX(1,ROW()-1-'02_Eingaben'!$C$17)):INDEX($E$2:$E$3001,MIN('02_Eingaben'!$C$21,ROW()-1+'02_Eingaben'!$C$17))))</f>
        <v/>
      </c>
      <c r="G1942" s="17" t="str">
        <f>IF(F1942="","",F1942-'02_Eingaben'!$C$10)</f>
        <v/>
      </c>
      <c r="H1942" t="str">
        <f>IF(F1942="","",IF(F1942&lt;'02_Eingaben'!$C$18*'02_Eingaben'!$C$10,1,0))</f>
        <v/>
      </c>
      <c r="I1942" s="17" t="str">
        <f t="shared" si="30"/>
        <v/>
      </c>
      <c r="J1942" s="17" t="str">
        <f>IF(B1942="","",IF(B1941&lt;'02_Eingaben'!$C$36,0,J1941+I1941/'02_Eingaben'!$C$8))</f>
        <v/>
      </c>
    </row>
    <row r="1943" spans="1:10" x14ac:dyDescent="0.25">
      <c r="A1943" t="str">
        <f>IF('01_Rohdaten'!A1943="","",ROW()-1)</f>
        <v/>
      </c>
      <c r="B1943" s="17" t="str">
        <f>IF('01_Rohdaten'!A1943="","",'01_Rohdaten'!A1943)</f>
        <v/>
      </c>
      <c r="C1943" s="17" t="str">
        <f>IF(B1943="","",INDEX('01_Rohdaten'!B1943:D1943,'02_Eingaben'!$C$13))</f>
        <v/>
      </c>
      <c r="D1943" s="17" t="str">
        <f>IF(C1943="","",C1943*'02_Eingaben'!$C$15)</f>
        <v/>
      </c>
      <c r="E1943" s="17" t="str">
        <f>IF(D1943="","",D1943*'02_Eingaben'!$C$8)</f>
        <v/>
      </c>
      <c r="F1943" s="17" t="str">
        <f>IF(E1943="","",AVERAGE(INDEX($E$2:$E$3001,MAX(1,ROW()-1-'02_Eingaben'!$C$17)):INDEX($E$2:$E$3001,MIN('02_Eingaben'!$C$21,ROW()-1+'02_Eingaben'!$C$17))))</f>
        <v/>
      </c>
      <c r="G1943" s="17" t="str">
        <f>IF(F1943="","",F1943-'02_Eingaben'!$C$10)</f>
        <v/>
      </c>
      <c r="H1943" t="str">
        <f>IF(F1943="","",IF(F1943&lt;'02_Eingaben'!$C$18*'02_Eingaben'!$C$10,1,0))</f>
        <v/>
      </c>
      <c r="I1943" s="17" t="str">
        <f t="shared" si="30"/>
        <v/>
      </c>
      <c r="J1943" s="17" t="str">
        <f>IF(B1943="","",IF(B1942&lt;'02_Eingaben'!$C$36,0,J1942+I1942/'02_Eingaben'!$C$8))</f>
        <v/>
      </c>
    </row>
    <row r="1944" spans="1:10" x14ac:dyDescent="0.25">
      <c r="A1944" t="str">
        <f>IF('01_Rohdaten'!A1944="","",ROW()-1)</f>
        <v/>
      </c>
      <c r="B1944" s="17" t="str">
        <f>IF('01_Rohdaten'!A1944="","",'01_Rohdaten'!A1944)</f>
        <v/>
      </c>
      <c r="C1944" s="17" t="str">
        <f>IF(B1944="","",INDEX('01_Rohdaten'!B1944:D1944,'02_Eingaben'!$C$13))</f>
        <v/>
      </c>
      <c r="D1944" s="17" t="str">
        <f>IF(C1944="","",C1944*'02_Eingaben'!$C$15)</f>
        <v/>
      </c>
      <c r="E1944" s="17" t="str">
        <f>IF(D1944="","",D1944*'02_Eingaben'!$C$8)</f>
        <v/>
      </c>
      <c r="F1944" s="17" t="str">
        <f>IF(E1944="","",AVERAGE(INDEX($E$2:$E$3001,MAX(1,ROW()-1-'02_Eingaben'!$C$17)):INDEX($E$2:$E$3001,MIN('02_Eingaben'!$C$21,ROW()-1+'02_Eingaben'!$C$17))))</f>
        <v/>
      </c>
      <c r="G1944" s="17" t="str">
        <f>IF(F1944="","",F1944-'02_Eingaben'!$C$10)</f>
        <v/>
      </c>
      <c r="H1944" t="str">
        <f>IF(F1944="","",IF(F1944&lt;'02_Eingaben'!$C$18*'02_Eingaben'!$C$10,1,0))</f>
        <v/>
      </c>
      <c r="I1944" s="17" t="str">
        <f t="shared" si="30"/>
        <v/>
      </c>
      <c r="J1944" s="17" t="str">
        <f>IF(B1944="","",IF(B1943&lt;'02_Eingaben'!$C$36,0,J1943+I1943/'02_Eingaben'!$C$8))</f>
        <v/>
      </c>
    </row>
    <row r="1945" spans="1:10" x14ac:dyDescent="0.25">
      <c r="A1945" t="str">
        <f>IF('01_Rohdaten'!A1945="","",ROW()-1)</f>
        <v/>
      </c>
      <c r="B1945" s="17" t="str">
        <f>IF('01_Rohdaten'!A1945="","",'01_Rohdaten'!A1945)</f>
        <v/>
      </c>
      <c r="C1945" s="17" t="str">
        <f>IF(B1945="","",INDEX('01_Rohdaten'!B1945:D1945,'02_Eingaben'!$C$13))</f>
        <v/>
      </c>
      <c r="D1945" s="17" t="str">
        <f>IF(C1945="","",C1945*'02_Eingaben'!$C$15)</f>
        <v/>
      </c>
      <c r="E1945" s="17" t="str">
        <f>IF(D1945="","",D1945*'02_Eingaben'!$C$8)</f>
        <v/>
      </c>
      <c r="F1945" s="17" t="str">
        <f>IF(E1945="","",AVERAGE(INDEX($E$2:$E$3001,MAX(1,ROW()-1-'02_Eingaben'!$C$17)):INDEX($E$2:$E$3001,MIN('02_Eingaben'!$C$21,ROW()-1+'02_Eingaben'!$C$17))))</f>
        <v/>
      </c>
      <c r="G1945" s="17" t="str">
        <f>IF(F1945="","",F1945-'02_Eingaben'!$C$10)</f>
        <v/>
      </c>
      <c r="H1945" t="str">
        <f>IF(F1945="","",IF(F1945&lt;'02_Eingaben'!$C$18*'02_Eingaben'!$C$10,1,0))</f>
        <v/>
      </c>
      <c r="I1945" s="17" t="str">
        <f t="shared" si="30"/>
        <v/>
      </c>
      <c r="J1945" s="17" t="str">
        <f>IF(B1945="","",IF(B1944&lt;'02_Eingaben'!$C$36,0,J1944+I1944/'02_Eingaben'!$C$8))</f>
        <v/>
      </c>
    </row>
    <row r="1946" spans="1:10" x14ac:dyDescent="0.25">
      <c r="A1946" t="str">
        <f>IF('01_Rohdaten'!A1946="","",ROW()-1)</f>
        <v/>
      </c>
      <c r="B1946" s="17" t="str">
        <f>IF('01_Rohdaten'!A1946="","",'01_Rohdaten'!A1946)</f>
        <v/>
      </c>
      <c r="C1946" s="17" t="str">
        <f>IF(B1946="","",INDEX('01_Rohdaten'!B1946:D1946,'02_Eingaben'!$C$13))</f>
        <v/>
      </c>
      <c r="D1946" s="17" t="str">
        <f>IF(C1946="","",C1946*'02_Eingaben'!$C$15)</f>
        <v/>
      </c>
      <c r="E1946" s="17" t="str">
        <f>IF(D1946="","",D1946*'02_Eingaben'!$C$8)</f>
        <v/>
      </c>
      <c r="F1946" s="17" t="str">
        <f>IF(E1946="","",AVERAGE(INDEX($E$2:$E$3001,MAX(1,ROW()-1-'02_Eingaben'!$C$17)):INDEX($E$2:$E$3001,MIN('02_Eingaben'!$C$21,ROW()-1+'02_Eingaben'!$C$17))))</f>
        <v/>
      </c>
      <c r="G1946" s="17" t="str">
        <f>IF(F1946="","",F1946-'02_Eingaben'!$C$10)</f>
        <v/>
      </c>
      <c r="H1946" t="str">
        <f>IF(F1946="","",IF(F1946&lt;'02_Eingaben'!$C$18*'02_Eingaben'!$C$10,1,0))</f>
        <v/>
      </c>
      <c r="I1946" s="17" t="str">
        <f t="shared" si="30"/>
        <v/>
      </c>
      <c r="J1946" s="17" t="str">
        <f>IF(B1946="","",IF(B1945&lt;'02_Eingaben'!$C$36,0,J1945+I1945/'02_Eingaben'!$C$8))</f>
        <v/>
      </c>
    </row>
    <row r="1947" spans="1:10" x14ac:dyDescent="0.25">
      <c r="A1947" t="str">
        <f>IF('01_Rohdaten'!A1947="","",ROW()-1)</f>
        <v/>
      </c>
      <c r="B1947" s="17" t="str">
        <f>IF('01_Rohdaten'!A1947="","",'01_Rohdaten'!A1947)</f>
        <v/>
      </c>
      <c r="C1947" s="17" t="str">
        <f>IF(B1947="","",INDEX('01_Rohdaten'!B1947:D1947,'02_Eingaben'!$C$13))</f>
        <v/>
      </c>
      <c r="D1947" s="17" t="str">
        <f>IF(C1947="","",C1947*'02_Eingaben'!$C$15)</f>
        <v/>
      </c>
      <c r="E1947" s="17" t="str">
        <f>IF(D1947="","",D1947*'02_Eingaben'!$C$8)</f>
        <v/>
      </c>
      <c r="F1947" s="17" t="str">
        <f>IF(E1947="","",AVERAGE(INDEX($E$2:$E$3001,MAX(1,ROW()-1-'02_Eingaben'!$C$17)):INDEX($E$2:$E$3001,MIN('02_Eingaben'!$C$21,ROW()-1+'02_Eingaben'!$C$17))))</f>
        <v/>
      </c>
      <c r="G1947" s="17" t="str">
        <f>IF(F1947="","",F1947-'02_Eingaben'!$C$10)</f>
        <v/>
      </c>
      <c r="H1947" t="str">
        <f>IF(F1947="","",IF(F1947&lt;'02_Eingaben'!$C$18*'02_Eingaben'!$C$10,1,0))</f>
        <v/>
      </c>
      <c r="I1947" s="17" t="str">
        <f t="shared" si="30"/>
        <v/>
      </c>
      <c r="J1947" s="17" t="str">
        <f>IF(B1947="","",IF(B1946&lt;'02_Eingaben'!$C$36,0,J1946+I1946/'02_Eingaben'!$C$8))</f>
        <v/>
      </c>
    </row>
    <row r="1948" spans="1:10" x14ac:dyDescent="0.25">
      <c r="A1948" t="str">
        <f>IF('01_Rohdaten'!A1948="","",ROW()-1)</f>
        <v/>
      </c>
      <c r="B1948" s="17" t="str">
        <f>IF('01_Rohdaten'!A1948="","",'01_Rohdaten'!A1948)</f>
        <v/>
      </c>
      <c r="C1948" s="17" t="str">
        <f>IF(B1948="","",INDEX('01_Rohdaten'!B1948:D1948,'02_Eingaben'!$C$13))</f>
        <v/>
      </c>
      <c r="D1948" s="17" t="str">
        <f>IF(C1948="","",C1948*'02_Eingaben'!$C$15)</f>
        <v/>
      </c>
      <c r="E1948" s="17" t="str">
        <f>IF(D1948="","",D1948*'02_Eingaben'!$C$8)</f>
        <v/>
      </c>
      <c r="F1948" s="17" t="str">
        <f>IF(E1948="","",AVERAGE(INDEX($E$2:$E$3001,MAX(1,ROW()-1-'02_Eingaben'!$C$17)):INDEX($E$2:$E$3001,MIN('02_Eingaben'!$C$21,ROW()-1+'02_Eingaben'!$C$17))))</f>
        <v/>
      </c>
      <c r="G1948" s="17" t="str">
        <f>IF(F1948="","",F1948-'02_Eingaben'!$C$10)</f>
        <v/>
      </c>
      <c r="H1948" t="str">
        <f>IF(F1948="","",IF(F1948&lt;'02_Eingaben'!$C$18*'02_Eingaben'!$C$10,1,0))</f>
        <v/>
      </c>
      <c r="I1948" s="17" t="str">
        <f t="shared" si="30"/>
        <v/>
      </c>
      <c r="J1948" s="17" t="str">
        <f>IF(B1948="","",IF(B1947&lt;'02_Eingaben'!$C$36,0,J1947+I1947/'02_Eingaben'!$C$8))</f>
        <v/>
      </c>
    </row>
    <row r="1949" spans="1:10" x14ac:dyDescent="0.25">
      <c r="A1949" t="str">
        <f>IF('01_Rohdaten'!A1949="","",ROW()-1)</f>
        <v/>
      </c>
      <c r="B1949" s="17" t="str">
        <f>IF('01_Rohdaten'!A1949="","",'01_Rohdaten'!A1949)</f>
        <v/>
      </c>
      <c r="C1949" s="17" t="str">
        <f>IF(B1949="","",INDEX('01_Rohdaten'!B1949:D1949,'02_Eingaben'!$C$13))</f>
        <v/>
      </c>
      <c r="D1949" s="17" t="str">
        <f>IF(C1949="","",C1949*'02_Eingaben'!$C$15)</f>
        <v/>
      </c>
      <c r="E1949" s="17" t="str">
        <f>IF(D1949="","",D1949*'02_Eingaben'!$C$8)</f>
        <v/>
      </c>
      <c r="F1949" s="17" t="str">
        <f>IF(E1949="","",AVERAGE(INDEX($E$2:$E$3001,MAX(1,ROW()-1-'02_Eingaben'!$C$17)):INDEX($E$2:$E$3001,MIN('02_Eingaben'!$C$21,ROW()-1+'02_Eingaben'!$C$17))))</f>
        <v/>
      </c>
      <c r="G1949" s="17" t="str">
        <f>IF(F1949="","",F1949-'02_Eingaben'!$C$10)</f>
        <v/>
      </c>
      <c r="H1949" t="str">
        <f>IF(F1949="","",IF(F1949&lt;'02_Eingaben'!$C$18*'02_Eingaben'!$C$10,1,0))</f>
        <v/>
      </c>
      <c r="I1949" s="17" t="str">
        <f t="shared" si="30"/>
        <v/>
      </c>
      <c r="J1949" s="17" t="str">
        <f>IF(B1949="","",IF(B1948&lt;'02_Eingaben'!$C$36,0,J1948+I1948/'02_Eingaben'!$C$8))</f>
        <v/>
      </c>
    </row>
    <row r="1950" spans="1:10" x14ac:dyDescent="0.25">
      <c r="A1950" t="str">
        <f>IF('01_Rohdaten'!A1950="","",ROW()-1)</f>
        <v/>
      </c>
      <c r="B1950" s="17" t="str">
        <f>IF('01_Rohdaten'!A1950="","",'01_Rohdaten'!A1950)</f>
        <v/>
      </c>
      <c r="C1950" s="17" t="str">
        <f>IF(B1950="","",INDEX('01_Rohdaten'!B1950:D1950,'02_Eingaben'!$C$13))</f>
        <v/>
      </c>
      <c r="D1950" s="17" t="str">
        <f>IF(C1950="","",C1950*'02_Eingaben'!$C$15)</f>
        <v/>
      </c>
      <c r="E1950" s="17" t="str">
        <f>IF(D1950="","",D1950*'02_Eingaben'!$C$8)</f>
        <v/>
      </c>
      <c r="F1950" s="17" t="str">
        <f>IF(E1950="","",AVERAGE(INDEX($E$2:$E$3001,MAX(1,ROW()-1-'02_Eingaben'!$C$17)):INDEX($E$2:$E$3001,MIN('02_Eingaben'!$C$21,ROW()-1+'02_Eingaben'!$C$17))))</f>
        <v/>
      </c>
      <c r="G1950" s="17" t="str">
        <f>IF(F1950="","",F1950-'02_Eingaben'!$C$10)</f>
        <v/>
      </c>
      <c r="H1950" t="str">
        <f>IF(F1950="","",IF(F1950&lt;'02_Eingaben'!$C$18*'02_Eingaben'!$C$10,1,0))</f>
        <v/>
      </c>
      <c r="I1950" s="17" t="str">
        <f t="shared" si="30"/>
        <v/>
      </c>
      <c r="J1950" s="17" t="str">
        <f>IF(B1950="","",IF(B1949&lt;'02_Eingaben'!$C$36,0,J1949+I1949/'02_Eingaben'!$C$8))</f>
        <v/>
      </c>
    </row>
    <row r="1951" spans="1:10" x14ac:dyDescent="0.25">
      <c r="A1951" t="str">
        <f>IF('01_Rohdaten'!A1951="","",ROW()-1)</f>
        <v/>
      </c>
      <c r="B1951" s="17" t="str">
        <f>IF('01_Rohdaten'!A1951="","",'01_Rohdaten'!A1951)</f>
        <v/>
      </c>
      <c r="C1951" s="17" t="str">
        <f>IF(B1951="","",INDEX('01_Rohdaten'!B1951:D1951,'02_Eingaben'!$C$13))</f>
        <v/>
      </c>
      <c r="D1951" s="17" t="str">
        <f>IF(C1951="","",C1951*'02_Eingaben'!$C$15)</f>
        <v/>
      </c>
      <c r="E1951" s="17" t="str">
        <f>IF(D1951="","",D1951*'02_Eingaben'!$C$8)</f>
        <v/>
      </c>
      <c r="F1951" s="17" t="str">
        <f>IF(E1951="","",AVERAGE(INDEX($E$2:$E$3001,MAX(1,ROW()-1-'02_Eingaben'!$C$17)):INDEX($E$2:$E$3001,MIN('02_Eingaben'!$C$21,ROW()-1+'02_Eingaben'!$C$17))))</f>
        <v/>
      </c>
      <c r="G1951" s="17" t="str">
        <f>IF(F1951="","",F1951-'02_Eingaben'!$C$10)</f>
        <v/>
      </c>
      <c r="H1951" t="str">
        <f>IF(F1951="","",IF(F1951&lt;'02_Eingaben'!$C$18*'02_Eingaben'!$C$10,1,0))</f>
        <v/>
      </c>
      <c r="I1951" s="17" t="str">
        <f t="shared" si="30"/>
        <v/>
      </c>
      <c r="J1951" s="17" t="str">
        <f>IF(B1951="","",IF(B1950&lt;'02_Eingaben'!$C$36,0,J1950+I1950/'02_Eingaben'!$C$8))</f>
        <v/>
      </c>
    </row>
    <row r="1952" spans="1:10" x14ac:dyDescent="0.25">
      <c r="A1952" t="str">
        <f>IF('01_Rohdaten'!A1952="","",ROW()-1)</f>
        <v/>
      </c>
      <c r="B1952" s="17" t="str">
        <f>IF('01_Rohdaten'!A1952="","",'01_Rohdaten'!A1952)</f>
        <v/>
      </c>
      <c r="C1952" s="17" t="str">
        <f>IF(B1952="","",INDEX('01_Rohdaten'!B1952:D1952,'02_Eingaben'!$C$13))</f>
        <v/>
      </c>
      <c r="D1952" s="17" t="str">
        <f>IF(C1952="","",C1952*'02_Eingaben'!$C$15)</f>
        <v/>
      </c>
      <c r="E1952" s="17" t="str">
        <f>IF(D1952="","",D1952*'02_Eingaben'!$C$8)</f>
        <v/>
      </c>
      <c r="F1952" s="17" t="str">
        <f>IF(E1952="","",AVERAGE(INDEX($E$2:$E$3001,MAX(1,ROW()-1-'02_Eingaben'!$C$17)):INDEX($E$2:$E$3001,MIN('02_Eingaben'!$C$21,ROW()-1+'02_Eingaben'!$C$17))))</f>
        <v/>
      </c>
      <c r="G1952" s="17" t="str">
        <f>IF(F1952="","",F1952-'02_Eingaben'!$C$10)</f>
        <v/>
      </c>
      <c r="H1952" t="str">
        <f>IF(F1952="","",IF(F1952&lt;'02_Eingaben'!$C$18*'02_Eingaben'!$C$10,1,0))</f>
        <v/>
      </c>
      <c r="I1952" s="17" t="str">
        <f t="shared" si="30"/>
        <v/>
      </c>
      <c r="J1952" s="17" t="str">
        <f>IF(B1952="","",IF(B1951&lt;'02_Eingaben'!$C$36,0,J1951+I1951/'02_Eingaben'!$C$8))</f>
        <v/>
      </c>
    </row>
    <row r="1953" spans="1:10" x14ac:dyDescent="0.25">
      <c r="A1953" t="str">
        <f>IF('01_Rohdaten'!A1953="","",ROW()-1)</f>
        <v/>
      </c>
      <c r="B1953" s="17" t="str">
        <f>IF('01_Rohdaten'!A1953="","",'01_Rohdaten'!A1953)</f>
        <v/>
      </c>
      <c r="C1953" s="17" t="str">
        <f>IF(B1953="","",INDEX('01_Rohdaten'!B1953:D1953,'02_Eingaben'!$C$13))</f>
        <v/>
      </c>
      <c r="D1953" s="17" t="str">
        <f>IF(C1953="","",C1953*'02_Eingaben'!$C$15)</f>
        <v/>
      </c>
      <c r="E1953" s="17" t="str">
        <f>IF(D1953="","",D1953*'02_Eingaben'!$C$8)</f>
        <v/>
      </c>
      <c r="F1953" s="17" t="str">
        <f>IF(E1953="","",AVERAGE(INDEX($E$2:$E$3001,MAX(1,ROW()-1-'02_Eingaben'!$C$17)):INDEX($E$2:$E$3001,MIN('02_Eingaben'!$C$21,ROW()-1+'02_Eingaben'!$C$17))))</f>
        <v/>
      </c>
      <c r="G1953" s="17" t="str">
        <f>IF(F1953="","",F1953-'02_Eingaben'!$C$10)</f>
        <v/>
      </c>
      <c r="H1953" t="str">
        <f>IF(F1953="","",IF(F1953&lt;'02_Eingaben'!$C$18*'02_Eingaben'!$C$10,1,0))</f>
        <v/>
      </c>
      <c r="I1953" s="17" t="str">
        <f t="shared" si="30"/>
        <v/>
      </c>
      <c r="J1953" s="17" t="str">
        <f>IF(B1953="","",IF(B1952&lt;'02_Eingaben'!$C$36,0,J1952+I1952/'02_Eingaben'!$C$8))</f>
        <v/>
      </c>
    </row>
    <row r="1954" spans="1:10" x14ac:dyDescent="0.25">
      <c r="A1954" t="str">
        <f>IF('01_Rohdaten'!A1954="","",ROW()-1)</f>
        <v/>
      </c>
      <c r="B1954" s="17" t="str">
        <f>IF('01_Rohdaten'!A1954="","",'01_Rohdaten'!A1954)</f>
        <v/>
      </c>
      <c r="C1954" s="17" t="str">
        <f>IF(B1954="","",INDEX('01_Rohdaten'!B1954:D1954,'02_Eingaben'!$C$13))</f>
        <v/>
      </c>
      <c r="D1954" s="17" t="str">
        <f>IF(C1954="","",C1954*'02_Eingaben'!$C$15)</f>
        <v/>
      </c>
      <c r="E1954" s="17" t="str">
        <f>IF(D1954="","",D1954*'02_Eingaben'!$C$8)</f>
        <v/>
      </c>
      <c r="F1954" s="17" t="str">
        <f>IF(E1954="","",AVERAGE(INDEX($E$2:$E$3001,MAX(1,ROW()-1-'02_Eingaben'!$C$17)):INDEX($E$2:$E$3001,MIN('02_Eingaben'!$C$21,ROW()-1+'02_Eingaben'!$C$17))))</f>
        <v/>
      </c>
      <c r="G1954" s="17" t="str">
        <f>IF(F1954="","",F1954-'02_Eingaben'!$C$10)</f>
        <v/>
      </c>
      <c r="H1954" t="str">
        <f>IF(F1954="","",IF(F1954&lt;'02_Eingaben'!$C$18*'02_Eingaben'!$C$10,1,0))</f>
        <v/>
      </c>
      <c r="I1954" s="17" t="str">
        <f t="shared" si="30"/>
        <v/>
      </c>
      <c r="J1954" s="17" t="str">
        <f>IF(B1954="","",IF(B1953&lt;'02_Eingaben'!$C$36,0,J1953+I1953/'02_Eingaben'!$C$8))</f>
        <v/>
      </c>
    </row>
    <row r="1955" spans="1:10" x14ac:dyDescent="0.25">
      <c r="A1955" t="str">
        <f>IF('01_Rohdaten'!A1955="","",ROW()-1)</f>
        <v/>
      </c>
      <c r="B1955" s="17" t="str">
        <f>IF('01_Rohdaten'!A1955="","",'01_Rohdaten'!A1955)</f>
        <v/>
      </c>
      <c r="C1955" s="17" t="str">
        <f>IF(B1955="","",INDEX('01_Rohdaten'!B1955:D1955,'02_Eingaben'!$C$13))</f>
        <v/>
      </c>
      <c r="D1955" s="17" t="str">
        <f>IF(C1955="","",C1955*'02_Eingaben'!$C$15)</f>
        <v/>
      </c>
      <c r="E1955" s="17" t="str">
        <f>IF(D1955="","",D1955*'02_Eingaben'!$C$8)</f>
        <v/>
      </c>
      <c r="F1955" s="17" t="str">
        <f>IF(E1955="","",AVERAGE(INDEX($E$2:$E$3001,MAX(1,ROW()-1-'02_Eingaben'!$C$17)):INDEX($E$2:$E$3001,MIN('02_Eingaben'!$C$21,ROW()-1+'02_Eingaben'!$C$17))))</f>
        <v/>
      </c>
      <c r="G1955" s="17" t="str">
        <f>IF(F1955="","",F1955-'02_Eingaben'!$C$10)</f>
        <v/>
      </c>
      <c r="H1955" t="str">
        <f>IF(F1955="","",IF(F1955&lt;'02_Eingaben'!$C$18*'02_Eingaben'!$C$10,1,0))</f>
        <v/>
      </c>
      <c r="I1955" s="17" t="str">
        <f t="shared" si="30"/>
        <v/>
      </c>
      <c r="J1955" s="17" t="str">
        <f>IF(B1955="","",IF(B1954&lt;'02_Eingaben'!$C$36,0,J1954+I1954/'02_Eingaben'!$C$8))</f>
        <v/>
      </c>
    </row>
    <row r="1956" spans="1:10" x14ac:dyDescent="0.25">
      <c r="A1956" t="str">
        <f>IF('01_Rohdaten'!A1956="","",ROW()-1)</f>
        <v/>
      </c>
      <c r="B1956" s="17" t="str">
        <f>IF('01_Rohdaten'!A1956="","",'01_Rohdaten'!A1956)</f>
        <v/>
      </c>
      <c r="C1956" s="17" t="str">
        <f>IF(B1956="","",INDEX('01_Rohdaten'!B1956:D1956,'02_Eingaben'!$C$13))</f>
        <v/>
      </c>
      <c r="D1956" s="17" t="str">
        <f>IF(C1956="","",C1956*'02_Eingaben'!$C$15)</f>
        <v/>
      </c>
      <c r="E1956" s="17" t="str">
        <f>IF(D1956="","",D1956*'02_Eingaben'!$C$8)</f>
        <v/>
      </c>
      <c r="F1956" s="17" t="str">
        <f>IF(E1956="","",AVERAGE(INDEX($E$2:$E$3001,MAX(1,ROW()-1-'02_Eingaben'!$C$17)):INDEX($E$2:$E$3001,MIN('02_Eingaben'!$C$21,ROW()-1+'02_Eingaben'!$C$17))))</f>
        <v/>
      </c>
      <c r="G1956" s="17" t="str">
        <f>IF(F1956="","",F1956-'02_Eingaben'!$C$10)</f>
        <v/>
      </c>
      <c r="H1956" t="str">
        <f>IF(F1956="","",IF(F1956&lt;'02_Eingaben'!$C$18*'02_Eingaben'!$C$10,1,0))</f>
        <v/>
      </c>
      <c r="I1956" s="17" t="str">
        <f t="shared" si="30"/>
        <v/>
      </c>
      <c r="J1956" s="17" t="str">
        <f>IF(B1956="","",IF(B1955&lt;'02_Eingaben'!$C$36,0,J1955+I1955/'02_Eingaben'!$C$8))</f>
        <v/>
      </c>
    </row>
    <row r="1957" spans="1:10" x14ac:dyDescent="0.25">
      <c r="A1957" t="str">
        <f>IF('01_Rohdaten'!A1957="","",ROW()-1)</f>
        <v/>
      </c>
      <c r="B1957" s="17" t="str">
        <f>IF('01_Rohdaten'!A1957="","",'01_Rohdaten'!A1957)</f>
        <v/>
      </c>
      <c r="C1957" s="17" t="str">
        <f>IF(B1957="","",INDEX('01_Rohdaten'!B1957:D1957,'02_Eingaben'!$C$13))</f>
        <v/>
      </c>
      <c r="D1957" s="17" t="str">
        <f>IF(C1957="","",C1957*'02_Eingaben'!$C$15)</f>
        <v/>
      </c>
      <c r="E1957" s="17" t="str">
        <f>IF(D1957="","",D1957*'02_Eingaben'!$C$8)</f>
        <v/>
      </c>
      <c r="F1957" s="17" t="str">
        <f>IF(E1957="","",AVERAGE(INDEX($E$2:$E$3001,MAX(1,ROW()-1-'02_Eingaben'!$C$17)):INDEX($E$2:$E$3001,MIN('02_Eingaben'!$C$21,ROW()-1+'02_Eingaben'!$C$17))))</f>
        <v/>
      </c>
      <c r="G1957" s="17" t="str">
        <f>IF(F1957="","",F1957-'02_Eingaben'!$C$10)</f>
        <v/>
      </c>
      <c r="H1957" t="str">
        <f>IF(F1957="","",IF(F1957&lt;'02_Eingaben'!$C$18*'02_Eingaben'!$C$10,1,0))</f>
        <v/>
      </c>
      <c r="I1957" s="17" t="str">
        <f t="shared" si="30"/>
        <v/>
      </c>
      <c r="J1957" s="17" t="str">
        <f>IF(B1957="","",IF(B1956&lt;'02_Eingaben'!$C$36,0,J1956+I1956/'02_Eingaben'!$C$8))</f>
        <v/>
      </c>
    </row>
    <row r="1958" spans="1:10" x14ac:dyDescent="0.25">
      <c r="A1958" t="str">
        <f>IF('01_Rohdaten'!A1958="","",ROW()-1)</f>
        <v/>
      </c>
      <c r="B1958" s="17" t="str">
        <f>IF('01_Rohdaten'!A1958="","",'01_Rohdaten'!A1958)</f>
        <v/>
      </c>
      <c r="C1958" s="17" t="str">
        <f>IF(B1958="","",INDEX('01_Rohdaten'!B1958:D1958,'02_Eingaben'!$C$13))</f>
        <v/>
      </c>
      <c r="D1958" s="17" t="str">
        <f>IF(C1958="","",C1958*'02_Eingaben'!$C$15)</f>
        <v/>
      </c>
      <c r="E1958" s="17" t="str">
        <f>IF(D1958="","",D1958*'02_Eingaben'!$C$8)</f>
        <v/>
      </c>
      <c r="F1958" s="17" t="str">
        <f>IF(E1958="","",AVERAGE(INDEX($E$2:$E$3001,MAX(1,ROW()-1-'02_Eingaben'!$C$17)):INDEX($E$2:$E$3001,MIN('02_Eingaben'!$C$21,ROW()-1+'02_Eingaben'!$C$17))))</f>
        <v/>
      </c>
      <c r="G1958" s="17" t="str">
        <f>IF(F1958="","",F1958-'02_Eingaben'!$C$10)</f>
        <v/>
      </c>
      <c r="H1958" t="str">
        <f>IF(F1958="","",IF(F1958&lt;'02_Eingaben'!$C$18*'02_Eingaben'!$C$10,1,0))</f>
        <v/>
      </c>
      <c r="I1958" s="17" t="str">
        <f t="shared" si="30"/>
        <v/>
      </c>
      <c r="J1958" s="17" t="str">
        <f>IF(B1958="","",IF(B1957&lt;'02_Eingaben'!$C$36,0,J1957+I1957/'02_Eingaben'!$C$8))</f>
        <v/>
      </c>
    </row>
    <row r="1959" spans="1:10" x14ac:dyDescent="0.25">
      <c r="A1959" t="str">
        <f>IF('01_Rohdaten'!A1959="","",ROW()-1)</f>
        <v/>
      </c>
      <c r="B1959" s="17" t="str">
        <f>IF('01_Rohdaten'!A1959="","",'01_Rohdaten'!A1959)</f>
        <v/>
      </c>
      <c r="C1959" s="17" t="str">
        <f>IF(B1959="","",INDEX('01_Rohdaten'!B1959:D1959,'02_Eingaben'!$C$13))</f>
        <v/>
      </c>
      <c r="D1959" s="17" t="str">
        <f>IF(C1959="","",C1959*'02_Eingaben'!$C$15)</f>
        <v/>
      </c>
      <c r="E1959" s="17" t="str">
        <f>IF(D1959="","",D1959*'02_Eingaben'!$C$8)</f>
        <v/>
      </c>
      <c r="F1959" s="17" t="str">
        <f>IF(E1959="","",AVERAGE(INDEX($E$2:$E$3001,MAX(1,ROW()-1-'02_Eingaben'!$C$17)):INDEX($E$2:$E$3001,MIN('02_Eingaben'!$C$21,ROW()-1+'02_Eingaben'!$C$17))))</f>
        <v/>
      </c>
      <c r="G1959" s="17" t="str">
        <f>IF(F1959="","",F1959-'02_Eingaben'!$C$10)</f>
        <v/>
      </c>
      <c r="H1959" t="str">
        <f>IF(F1959="","",IF(F1959&lt;'02_Eingaben'!$C$18*'02_Eingaben'!$C$10,1,0))</f>
        <v/>
      </c>
      <c r="I1959" s="17" t="str">
        <f t="shared" si="30"/>
        <v/>
      </c>
      <c r="J1959" s="17" t="str">
        <f>IF(B1959="","",IF(B1958&lt;'02_Eingaben'!$C$36,0,J1958+I1958/'02_Eingaben'!$C$8))</f>
        <v/>
      </c>
    </row>
    <row r="1960" spans="1:10" x14ac:dyDescent="0.25">
      <c r="A1960" t="str">
        <f>IF('01_Rohdaten'!A1960="","",ROW()-1)</f>
        <v/>
      </c>
      <c r="B1960" s="17" t="str">
        <f>IF('01_Rohdaten'!A1960="","",'01_Rohdaten'!A1960)</f>
        <v/>
      </c>
      <c r="C1960" s="17" t="str">
        <f>IF(B1960="","",INDEX('01_Rohdaten'!B1960:D1960,'02_Eingaben'!$C$13))</f>
        <v/>
      </c>
      <c r="D1960" s="17" t="str">
        <f>IF(C1960="","",C1960*'02_Eingaben'!$C$15)</f>
        <v/>
      </c>
      <c r="E1960" s="17" t="str">
        <f>IF(D1960="","",D1960*'02_Eingaben'!$C$8)</f>
        <v/>
      </c>
      <c r="F1960" s="17" t="str">
        <f>IF(E1960="","",AVERAGE(INDEX($E$2:$E$3001,MAX(1,ROW()-1-'02_Eingaben'!$C$17)):INDEX($E$2:$E$3001,MIN('02_Eingaben'!$C$21,ROW()-1+'02_Eingaben'!$C$17))))</f>
        <v/>
      </c>
      <c r="G1960" s="17" t="str">
        <f>IF(F1960="","",F1960-'02_Eingaben'!$C$10)</f>
        <v/>
      </c>
      <c r="H1960" t="str">
        <f>IF(F1960="","",IF(F1960&lt;'02_Eingaben'!$C$18*'02_Eingaben'!$C$10,1,0))</f>
        <v/>
      </c>
      <c r="I1960" s="17" t="str">
        <f t="shared" si="30"/>
        <v/>
      </c>
      <c r="J1960" s="17" t="str">
        <f>IF(B1960="","",IF(B1959&lt;'02_Eingaben'!$C$36,0,J1959+I1959/'02_Eingaben'!$C$8))</f>
        <v/>
      </c>
    </row>
    <row r="1961" spans="1:10" x14ac:dyDescent="0.25">
      <c r="A1961" t="str">
        <f>IF('01_Rohdaten'!A1961="","",ROW()-1)</f>
        <v/>
      </c>
      <c r="B1961" s="17" t="str">
        <f>IF('01_Rohdaten'!A1961="","",'01_Rohdaten'!A1961)</f>
        <v/>
      </c>
      <c r="C1961" s="17" t="str">
        <f>IF(B1961="","",INDEX('01_Rohdaten'!B1961:D1961,'02_Eingaben'!$C$13))</f>
        <v/>
      </c>
      <c r="D1961" s="17" t="str">
        <f>IF(C1961="","",C1961*'02_Eingaben'!$C$15)</f>
        <v/>
      </c>
      <c r="E1961" s="17" t="str">
        <f>IF(D1961="","",D1961*'02_Eingaben'!$C$8)</f>
        <v/>
      </c>
      <c r="F1961" s="17" t="str">
        <f>IF(E1961="","",AVERAGE(INDEX($E$2:$E$3001,MAX(1,ROW()-1-'02_Eingaben'!$C$17)):INDEX($E$2:$E$3001,MIN('02_Eingaben'!$C$21,ROW()-1+'02_Eingaben'!$C$17))))</f>
        <v/>
      </c>
      <c r="G1961" s="17" t="str">
        <f>IF(F1961="","",F1961-'02_Eingaben'!$C$10)</f>
        <v/>
      </c>
      <c r="H1961" t="str">
        <f>IF(F1961="","",IF(F1961&lt;'02_Eingaben'!$C$18*'02_Eingaben'!$C$10,1,0))</f>
        <v/>
      </c>
      <c r="I1961" s="17" t="str">
        <f t="shared" si="30"/>
        <v/>
      </c>
      <c r="J1961" s="17" t="str">
        <f>IF(B1961="","",IF(B1960&lt;'02_Eingaben'!$C$36,0,J1960+I1960/'02_Eingaben'!$C$8))</f>
        <v/>
      </c>
    </row>
    <row r="1962" spans="1:10" x14ac:dyDescent="0.25">
      <c r="A1962" t="str">
        <f>IF('01_Rohdaten'!A1962="","",ROW()-1)</f>
        <v/>
      </c>
      <c r="B1962" s="17" t="str">
        <f>IF('01_Rohdaten'!A1962="","",'01_Rohdaten'!A1962)</f>
        <v/>
      </c>
      <c r="C1962" s="17" t="str">
        <f>IF(B1962="","",INDEX('01_Rohdaten'!B1962:D1962,'02_Eingaben'!$C$13))</f>
        <v/>
      </c>
      <c r="D1962" s="17" t="str">
        <f>IF(C1962="","",C1962*'02_Eingaben'!$C$15)</f>
        <v/>
      </c>
      <c r="E1962" s="17" t="str">
        <f>IF(D1962="","",D1962*'02_Eingaben'!$C$8)</f>
        <v/>
      </c>
      <c r="F1962" s="17" t="str">
        <f>IF(E1962="","",AVERAGE(INDEX($E$2:$E$3001,MAX(1,ROW()-1-'02_Eingaben'!$C$17)):INDEX($E$2:$E$3001,MIN('02_Eingaben'!$C$21,ROW()-1+'02_Eingaben'!$C$17))))</f>
        <v/>
      </c>
      <c r="G1962" s="17" t="str">
        <f>IF(F1962="","",F1962-'02_Eingaben'!$C$10)</f>
        <v/>
      </c>
      <c r="H1962" t="str">
        <f>IF(F1962="","",IF(F1962&lt;'02_Eingaben'!$C$18*'02_Eingaben'!$C$10,1,0))</f>
        <v/>
      </c>
      <c r="I1962" s="17" t="str">
        <f t="shared" si="30"/>
        <v/>
      </c>
      <c r="J1962" s="17" t="str">
        <f>IF(B1962="","",IF(B1961&lt;'02_Eingaben'!$C$36,0,J1961+I1961/'02_Eingaben'!$C$8))</f>
        <v/>
      </c>
    </row>
    <row r="1963" spans="1:10" x14ac:dyDescent="0.25">
      <c r="A1963" t="str">
        <f>IF('01_Rohdaten'!A1963="","",ROW()-1)</f>
        <v/>
      </c>
      <c r="B1963" s="17" t="str">
        <f>IF('01_Rohdaten'!A1963="","",'01_Rohdaten'!A1963)</f>
        <v/>
      </c>
      <c r="C1963" s="17" t="str">
        <f>IF(B1963="","",INDEX('01_Rohdaten'!B1963:D1963,'02_Eingaben'!$C$13))</f>
        <v/>
      </c>
      <c r="D1963" s="17" t="str">
        <f>IF(C1963="","",C1963*'02_Eingaben'!$C$15)</f>
        <v/>
      </c>
      <c r="E1963" s="17" t="str">
        <f>IF(D1963="","",D1963*'02_Eingaben'!$C$8)</f>
        <v/>
      </c>
      <c r="F1963" s="17" t="str">
        <f>IF(E1963="","",AVERAGE(INDEX($E$2:$E$3001,MAX(1,ROW()-1-'02_Eingaben'!$C$17)):INDEX($E$2:$E$3001,MIN('02_Eingaben'!$C$21,ROW()-1+'02_Eingaben'!$C$17))))</f>
        <v/>
      </c>
      <c r="G1963" s="17" t="str">
        <f>IF(F1963="","",F1963-'02_Eingaben'!$C$10)</f>
        <v/>
      </c>
      <c r="H1963" t="str">
        <f>IF(F1963="","",IF(F1963&lt;'02_Eingaben'!$C$18*'02_Eingaben'!$C$10,1,0))</f>
        <v/>
      </c>
      <c r="I1963" s="17" t="str">
        <f t="shared" si="30"/>
        <v/>
      </c>
      <c r="J1963" s="17" t="str">
        <f>IF(B1963="","",IF(B1962&lt;'02_Eingaben'!$C$36,0,J1962+I1962/'02_Eingaben'!$C$8))</f>
        <v/>
      </c>
    </row>
    <row r="1964" spans="1:10" x14ac:dyDescent="0.25">
      <c r="A1964" t="str">
        <f>IF('01_Rohdaten'!A1964="","",ROW()-1)</f>
        <v/>
      </c>
      <c r="B1964" s="17" t="str">
        <f>IF('01_Rohdaten'!A1964="","",'01_Rohdaten'!A1964)</f>
        <v/>
      </c>
      <c r="C1964" s="17" t="str">
        <f>IF(B1964="","",INDEX('01_Rohdaten'!B1964:D1964,'02_Eingaben'!$C$13))</f>
        <v/>
      </c>
      <c r="D1964" s="17" t="str">
        <f>IF(C1964="","",C1964*'02_Eingaben'!$C$15)</f>
        <v/>
      </c>
      <c r="E1964" s="17" t="str">
        <f>IF(D1964="","",D1964*'02_Eingaben'!$C$8)</f>
        <v/>
      </c>
      <c r="F1964" s="17" t="str">
        <f>IF(E1964="","",AVERAGE(INDEX($E$2:$E$3001,MAX(1,ROW()-1-'02_Eingaben'!$C$17)):INDEX($E$2:$E$3001,MIN('02_Eingaben'!$C$21,ROW()-1+'02_Eingaben'!$C$17))))</f>
        <v/>
      </c>
      <c r="G1964" s="17" t="str">
        <f>IF(F1964="","",F1964-'02_Eingaben'!$C$10)</f>
        <v/>
      </c>
      <c r="H1964" t="str">
        <f>IF(F1964="","",IF(F1964&lt;'02_Eingaben'!$C$18*'02_Eingaben'!$C$10,1,0))</f>
        <v/>
      </c>
      <c r="I1964" s="17" t="str">
        <f t="shared" si="30"/>
        <v/>
      </c>
      <c r="J1964" s="17" t="str">
        <f>IF(B1964="","",IF(B1963&lt;'02_Eingaben'!$C$36,0,J1963+I1963/'02_Eingaben'!$C$8))</f>
        <v/>
      </c>
    </row>
    <row r="1965" spans="1:10" x14ac:dyDescent="0.25">
      <c r="A1965" t="str">
        <f>IF('01_Rohdaten'!A1965="","",ROW()-1)</f>
        <v/>
      </c>
      <c r="B1965" s="17" t="str">
        <f>IF('01_Rohdaten'!A1965="","",'01_Rohdaten'!A1965)</f>
        <v/>
      </c>
      <c r="C1965" s="17" t="str">
        <f>IF(B1965="","",INDEX('01_Rohdaten'!B1965:D1965,'02_Eingaben'!$C$13))</f>
        <v/>
      </c>
      <c r="D1965" s="17" t="str">
        <f>IF(C1965="","",C1965*'02_Eingaben'!$C$15)</f>
        <v/>
      </c>
      <c r="E1965" s="17" t="str">
        <f>IF(D1965="","",D1965*'02_Eingaben'!$C$8)</f>
        <v/>
      </c>
      <c r="F1965" s="17" t="str">
        <f>IF(E1965="","",AVERAGE(INDEX($E$2:$E$3001,MAX(1,ROW()-1-'02_Eingaben'!$C$17)):INDEX($E$2:$E$3001,MIN('02_Eingaben'!$C$21,ROW()-1+'02_Eingaben'!$C$17))))</f>
        <v/>
      </c>
      <c r="G1965" s="17" t="str">
        <f>IF(F1965="","",F1965-'02_Eingaben'!$C$10)</f>
        <v/>
      </c>
      <c r="H1965" t="str">
        <f>IF(F1965="","",IF(F1965&lt;'02_Eingaben'!$C$18*'02_Eingaben'!$C$10,1,0))</f>
        <v/>
      </c>
      <c r="I1965" s="17" t="str">
        <f t="shared" si="30"/>
        <v/>
      </c>
      <c r="J1965" s="17" t="str">
        <f>IF(B1965="","",IF(B1964&lt;'02_Eingaben'!$C$36,0,J1964+I1964/'02_Eingaben'!$C$8))</f>
        <v/>
      </c>
    </row>
    <row r="1966" spans="1:10" x14ac:dyDescent="0.25">
      <c r="A1966" t="str">
        <f>IF('01_Rohdaten'!A1966="","",ROW()-1)</f>
        <v/>
      </c>
      <c r="B1966" s="17" t="str">
        <f>IF('01_Rohdaten'!A1966="","",'01_Rohdaten'!A1966)</f>
        <v/>
      </c>
      <c r="C1966" s="17" t="str">
        <f>IF(B1966="","",INDEX('01_Rohdaten'!B1966:D1966,'02_Eingaben'!$C$13))</f>
        <v/>
      </c>
      <c r="D1966" s="17" t="str">
        <f>IF(C1966="","",C1966*'02_Eingaben'!$C$15)</f>
        <v/>
      </c>
      <c r="E1966" s="17" t="str">
        <f>IF(D1966="","",D1966*'02_Eingaben'!$C$8)</f>
        <v/>
      </c>
      <c r="F1966" s="17" t="str">
        <f>IF(E1966="","",AVERAGE(INDEX($E$2:$E$3001,MAX(1,ROW()-1-'02_Eingaben'!$C$17)):INDEX($E$2:$E$3001,MIN('02_Eingaben'!$C$21,ROW()-1+'02_Eingaben'!$C$17))))</f>
        <v/>
      </c>
      <c r="G1966" s="17" t="str">
        <f>IF(F1966="","",F1966-'02_Eingaben'!$C$10)</f>
        <v/>
      </c>
      <c r="H1966" t="str">
        <f>IF(F1966="","",IF(F1966&lt;'02_Eingaben'!$C$18*'02_Eingaben'!$C$10,1,0))</f>
        <v/>
      </c>
      <c r="I1966" s="17" t="str">
        <f t="shared" si="30"/>
        <v/>
      </c>
      <c r="J1966" s="17" t="str">
        <f>IF(B1966="","",IF(B1965&lt;'02_Eingaben'!$C$36,0,J1965+I1965/'02_Eingaben'!$C$8))</f>
        <v/>
      </c>
    </row>
    <row r="1967" spans="1:10" x14ac:dyDescent="0.25">
      <c r="A1967" t="str">
        <f>IF('01_Rohdaten'!A1967="","",ROW()-1)</f>
        <v/>
      </c>
      <c r="B1967" s="17" t="str">
        <f>IF('01_Rohdaten'!A1967="","",'01_Rohdaten'!A1967)</f>
        <v/>
      </c>
      <c r="C1967" s="17" t="str">
        <f>IF(B1967="","",INDEX('01_Rohdaten'!B1967:D1967,'02_Eingaben'!$C$13))</f>
        <v/>
      </c>
      <c r="D1967" s="17" t="str">
        <f>IF(C1967="","",C1967*'02_Eingaben'!$C$15)</f>
        <v/>
      </c>
      <c r="E1967" s="17" t="str">
        <f>IF(D1967="","",D1967*'02_Eingaben'!$C$8)</f>
        <v/>
      </c>
      <c r="F1967" s="17" t="str">
        <f>IF(E1967="","",AVERAGE(INDEX($E$2:$E$3001,MAX(1,ROW()-1-'02_Eingaben'!$C$17)):INDEX($E$2:$E$3001,MIN('02_Eingaben'!$C$21,ROW()-1+'02_Eingaben'!$C$17))))</f>
        <v/>
      </c>
      <c r="G1967" s="17" t="str">
        <f>IF(F1967="","",F1967-'02_Eingaben'!$C$10)</f>
        <v/>
      </c>
      <c r="H1967" t="str">
        <f>IF(F1967="","",IF(F1967&lt;'02_Eingaben'!$C$18*'02_Eingaben'!$C$10,1,0))</f>
        <v/>
      </c>
      <c r="I1967" s="17" t="str">
        <f t="shared" si="30"/>
        <v/>
      </c>
      <c r="J1967" s="17" t="str">
        <f>IF(B1967="","",IF(B1966&lt;'02_Eingaben'!$C$36,0,J1966+I1966/'02_Eingaben'!$C$8))</f>
        <v/>
      </c>
    </row>
    <row r="1968" spans="1:10" x14ac:dyDescent="0.25">
      <c r="A1968" t="str">
        <f>IF('01_Rohdaten'!A1968="","",ROW()-1)</f>
        <v/>
      </c>
      <c r="B1968" s="17" t="str">
        <f>IF('01_Rohdaten'!A1968="","",'01_Rohdaten'!A1968)</f>
        <v/>
      </c>
      <c r="C1968" s="17" t="str">
        <f>IF(B1968="","",INDEX('01_Rohdaten'!B1968:D1968,'02_Eingaben'!$C$13))</f>
        <v/>
      </c>
      <c r="D1968" s="17" t="str">
        <f>IF(C1968="","",C1968*'02_Eingaben'!$C$15)</f>
        <v/>
      </c>
      <c r="E1968" s="17" t="str">
        <f>IF(D1968="","",D1968*'02_Eingaben'!$C$8)</f>
        <v/>
      </c>
      <c r="F1968" s="17" t="str">
        <f>IF(E1968="","",AVERAGE(INDEX($E$2:$E$3001,MAX(1,ROW()-1-'02_Eingaben'!$C$17)):INDEX($E$2:$E$3001,MIN('02_Eingaben'!$C$21,ROW()-1+'02_Eingaben'!$C$17))))</f>
        <v/>
      </c>
      <c r="G1968" s="17" t="str">
        <f>IF(F1968="","",F1968-'02_Eingaben'!$C$10)</f>
        <v/>
      </c>
      <c r="H1968" t="str">
        <f>IF(F1968="","",IF(F1968&lt;'02_Eingaben'!$C$18*'02_Eingaben'!$C$10,1,0))</f>
        <v/>
      </c>
      <c r="I1968" s="17" t="str">
        <f t="shared" si="30"/>
        <v/>
      </c>
      <c r="J1968" s="17" t="str">
        <f>IF(B1968="","",IF(B1967&lt;'02_Eingaben'!$C$36,0,J1967+I1967/'02_Eingaben'!$C$8))</f>
        <v/>
      </c>
    </row>
    <row r="1969" spans="1:10" x14ac:dyDescent="0.25">
      <c r="A1969" t="str">
        <f>IF('01_Rohdaten'!A1969="","",ROW()-1)</f>
        <v/>
      </c>
      <c r="B1969" s="17" t="str">
        <f>IF('01_Rohdaten'!A1969="","",'01_Rohdaten'!A1969)</f>
        <v/>
      </c>
      <c r="C1969" s="17" t="str">
        <f>IF(B1969="","",INDEX('01_Rohdaten'!B1969:D1969,'02_Eingaben'!$C$13))</f>
        <v/>
      </c>
      <c r="D1969" s="17" t="str">
        <f>IF(C1969="","",C1969*'02_Eingaben'!$C$15)</f>
        <v/>
      </c>
      <c r="E1969" s="17" t="str">
        <f>IF(D1969="","",D1969*'02_Eingaben'!$C$8)</f>
        <v/>
      </c>
      <c r="F1969" s="17" t="str">
        <f>IF(E1969="","",AVERAGE(INDEX($E$2:$E$3001,MAX(1,ROW()-1-'02_Eingaben'!$C$17)):INDEX($E$2:$E$3001,MIN('02_Eingaben'!$C$21,ROW()-1+'02_Eingaben'!$C$17))))</f>
        <v/>
      </c>
      <c r="G1969" s="17" t="str">
        <f>IF(F1969="","",F1969-'02_Eingaben'!$C$10)</f>
        <v/>
      </c>
      <c r="H1969" t="str">
        <f>IF(F1969="","",IF(F1969&lt;'02_Eingaben'!$C$18*'02_Eingaben'!$C$10,1,0))</f>
        <v/>
      </c>
      <c r="I1969" s="17" t="str">
        <f t="shared" si="30"/>
        <v/>
      </c>
      <c r="J1969" s="17" t="str">
        <f>IF(B1969="","",IF(B1968&lt;'02_Eingaben'!$C$36,0,J1968+I1968/'02_Eingaben'!$C$8))</f>
        <v/>
      </c>
    </row>
    <row r="1970" spans="1:10" x14ac:dyDescent="0.25">
      <c r="A1970" t="str">
        <f>IF('01_Rohdaten'!A1970="","",ROW()-1)</f>
        <v/>
      </c>
      <c r="B1970" s="17" t="str">
        <f>IF('01_Rohdaten'!A1970="","",'01_Rohdaten'!A1970)</f>
        <v/>
      </c>
      <c r="C1970" s="17" t="str">
        <f>IF(B1970="","",INDEX('01_Rohdaten'!B1970:D1970,'02_Eingaben'!$C$13))</f>
        <v/>
      </c>
      <c r="D1970" s="17" t="str">
        <f>IF(C1970="","",C1970*'02_Eingaben'!$C$15)</f>
        <v/>
      </c>
      <c r="E1970" s="17" t="str">
        <f>IF(D1970="","",D1970*'02_Eingaben'!$C$8)</f>
        <v/>
      </c>
      <c r="F1970" s="17" t="str">
        <f>IF(E1970="","",AVERAGE(INDEX($E$2:$E$3001,MAX(1,ROW()-1-'02_Eingaben'!$C$17)):INDEX($E$2:$E$3001,MIN('02_Eingaben'!$C$21,ROW()-1+'02_Eingaben'!$C$17))))</f>
        <v/>
      </c>
      <c r="G1970" s="17" t="str">
        <f>IF(F1970="","",F1970-'02_Eingaben'!$C$10)</f>
        <v/>
      </c>
      <c r="H1970" t="str">
        <f>IF(F1970="","",IF(F1970&lt;'02_Eingaben'!$C$18*'02_Eingaben'!$C$10,1,0))</f>
        <v/>
      </c>
      <c r="I1970" s="17" t="str">
        <f t="shared" si="30"/>
        <v/>
      </c>
      <c r="J1970" s="17" t="str">
        <f>IF(B1970="","",IF(B1969&lt;'02_Eingaben'!$C$36,0,J1969+I1969/'02_Eingaben'!$C$8))</f>
        <v/>
      </c>
    </row>
    <row r="1971" spans="1:10" x14ac:dyDescent="0.25">
      <c r="A1971" t="str">
        <f>IF('01_Rohdaten'!A1971="","",ROW()-1)</f>
        <v/>
      </c>
      <c r="B1971" s="17" t="str">
        <f>IF('01_Rohdaten'!A1971="","",'01_Rohdaten'!A1971)</f>
        <v/>
      </c>
      <c r="C1971" s="17" t="str">
        <f>IF(B1971="","",INDEX('01_Rohdaten'!B1971:D1971,'02_Eingaben'!$C$13))</f>
        <v/>
      </c>
      <c r="D1971" s="17" t="str">
        <f>IF(C1971="","",C1971*'02_Eingaben'!$C$15)</f>
        <v/>
      </c>
      <c r="E1971" s="17" t="str">
        <f>IF(D1971="","",D1971*'02_Eingaben'!$C$8)</f>
        <v/>
      </c>
      <c r="F1971" s="17" t="str">
        <f>IF(E1971="","",AVERAGE(INDEX($E$2:$E$3001,MAX(1,ROW()-1-'02_Eingaben'!$C$17)):INDEX($E$2:$E$3001,MIN('02_Eingaben'!$C$21,ROW()-1+'02_Eingaben'!$C$17))))</f>
        <v/>
      </c>
      <c r="G1971" s="17" t="str">
        <f>IF(F1971="","",F1971-'02_Eingaben'!$C$10)</f>
        <v/>
      </c>
      <c r="H1971" t="str">
        <f>IF(F1971="","",IF(F1971&lt;'02_Eingaben'!$C$18*'02_Eingaben'!$C$10,1,0))</f>
        <v/>
      </c>
      <c r="I1971" s="17" t="str">
        <f t="shared" si="30"/>
        <v/>
      </c>
      <c r="J1971" s="17" t="str">
        <f>IF(B1971="","",IF(B1970&lt;'02_Eingaben'!$C$36,0,J1970+I1970/'02_Eingaben'!$C$8))</f>
        <v/>
      </c>
    </row>
    <row r="1972" spans="1:10" x14ac:dyDescent="0.25">
      <c r="A1972" t="str">
        <f>IF('01_Rohdaten'!A1972="","",ROW()-1)</f>
        <v/>
      </c>
      <c r="B1972" s="17" t="str">
        <f>IF('01_Rohdaten'!A1972="","",'01_Rohdaten'!A1972)</f>
        <v/>
      </c>
      <c r="C1972" s="17" t="str">
        <f>IF(B1972="","",INDEX('01_Rohdaten'!B1972:D1972,'02_Eingaben'!$C$13))</f>
        <v/>
      </c>
      <c r="D1972" s="17" t="str">
        <f>IF(C1972="","",C1972*'02_Eingaben'!$C$15)</f>
        <v/>
      </c>
      <c r="E1972" s="17" t="str">
        <f>IF(D1972="","",D1972*'02_Eingaben'!$C$8)</f>
        <v/>
      </c>
      <c r="F1972" s="17" t="str">
        <f>IF(E1972="","",AVERAGE(INDEX($E$2:$E$3001,MAX(1,ROW()-1-'02_Eingaben'!$C$17)):INDEX($E$2:$E$3001,MIN('02_Eingaben'!$C$21,ROW()-1+'02_Eingaben'!$C$17))))</f>
        <v/>
      </c>
      <c r="G1972" s="17" t="str">
        <f>IF(F1972="","",F1972-'02_Eingaben'!$C$10)</f>
        <v/>
      </c>
      <c r="H1972" t="str">
        <f>IF(F1972="","",IF(F1972&lt;'02_Eingaben'!$C$18*'02_Eingaben'!$C$10,1,0))</f>
        <v/>
      </c>
      <c r="I1972" s="17" t="str">
        <f t="shared" si="30"/>
        <v/>
      </c>
      <c r="J1972" s="17" t="str">
        <f>IF(B1972="","",IF(B1971&lt;'02_Eingaben'!$C$36,0,J1971+I1971/'02_Eingaben'!$C$8))</f>
        <v/>
      </c>
    </row>
    <row r="1973" spans="1:10" x14ac:dyDescent="0.25">
      <c r="A1973" t="str">
        <f>IF('01_Rohdaten'!A1973="","",ROW()-1)</f>
        <v/>
      </c>
      <c r="B1973" s="17" t="str">
        <f>IF('01_Rohdaten'!A1973="","",'01_Rohdaten'!A1973)</f>
        <v/>
      </c>
      <c r="C1973" s="17" t="str">
        <f>IF(B1973="","",INDEX('01_Rohdaten'!B1973:D1973,'02_Eingaben'!$C$13))</f>
        <v/>
      </c>
      <c r="D1973" s="17" t="str">
        <f>IF(C1973="","",C1973*'02_Eingaben'!$C$15)</f>
        <v/>
      </c>
      <c r="E1973" s="17" t="str">
        <f>IF(D1973="","",D1973*'02_Eingaben'!$C$8)</f>
        <v/>
      </c>
      <c r="F1973" s="17" t="str">
        <f>IF(E1973="","",AVERAGE(INDEX($E$2:$E$3001,MAX(1,ROW()-1-'02_Eingaben'!$C$17)):INDEX($E$2:$E$3001,MIN('02_Eingaben'!$C$21,ROW()-1+'02_Eingaben'!$C$17))))</f>
        <v/>
      </c>
      <c r="G1973" s="17" t="str">
        <f>IF(F1973="","",F1973-'02_Eingaben'!$C$10)</f>
        <v/>
      </c>
      <c r="H1973" t="str">
        <f>IF(F1973="","",IF(F1973&lt;'02_Eingaben'!$C$18*'02_Eingaben'!$C$10,1,0))</f>
        <v/>
      </c>
      <c r="I1973" s="17" t="str">
        <f t="shared" si="30"/>
        <v/>
      </c>
      <c r="J1973" s="17" t="str">
        <f>IF(B1973="","",IF(B1972&lt;'02_Eingaben'!$C$36,0,J1972+I1972/'02_Eingaben'!$C$8))</f>
        <v/>
      </c>
    </row>
    <row r="1974" spans="1:10" x14ac:dyDescent="0.25">
      <c r="A1974" t="str">
        <f>IF('01_Rohdaten'!A1974="","",ROW()-1)</f>
        <v/>
      </c>
      <c r="B1974" s="17" t="str">
        <f>IF('01_Rohdaten'!A1974="","",'01_Rohdaten'!A1974)</f>
        <v/>
      </c>
      <c r="C1974" s="17" t="str">
        <f>IF(B1974="","",INDEX('01_Rohdaten'!B1974:D1974,'02_Eingaben'!$C$13))</f>
        <v/>
      </c>
      <c r="D1974" s="17" t="str">
        <f>IF(C1974="","",C1974*'02_Eingaben'!$C$15)</f>
        <v/>
      </c>
      <c r="E1974" s="17" t="str">
        <f>IF(D1974="","",D1974*'02_Eingaben'!$C$8)</f>
        <v/>
      </c>
      <c r="F1974" s="17" t="str">
        <f>IF(E1974="","",AVERAGE(INDEX($E$2:$E$3001,MAX(1,ROW()-1-'02_Eingaben'!$C$17)):INDEX($E$2:$E$3001,MIN('02_Eingaben'!$C$21,ROW()-1+'02_Eingaben'!$C$17))))</f>
        <v/>
      </c>
      <c r="G1974" s="17" t="str">
        <f>IF(F1974="","",F1974-'02_Eingaben'!$C$10)</f>
        <v/>
      </c>
      <c r="H1974" t="str">
        <f>IF(F1974="","",IF(F1974&lt;'02_Eingaben'!$C$18*'02_Eingaben'!$C$10,1,0))</f>
        <v/>
      </c>
      <c r="I1974" s="17" t="str">
        <f t="shared" si="30"/>
        <v/>
      </c>
      <c r="J1974" s="17" t="str">
        <f>IF(B1974="","",IF(B1973&lt;'02_Eingaben'!$C$36,0,J1973+I1973/'02_Eingaben'!$C$8))</f>
        <v/>
      </c>
    </row>
    <row r="1975" spans="1:10" x14ac:dyDescent="0.25">
      <c r="A1975" t="str">
        <f>IF('01_Rohdaten'!A1975="","",ROW()-1)</f>
        <v/>
      </c>
      <c r="B1975" s="17" t="str">
        <f>IF('01_Rohdaten'!A1975="","",'01_Rohdaten'!A1975)</f>
        <v/>
      </c>
      <c r="C1975" s="17" t="str">
        <f>IF(B1975="","",INDEX('01_Rohdaten'!B1975:D1975,'02_Eingaben'!$C$13))</f>
        <v/>
      </c>
      <c r="D1975" s="17" t="str">
        <f>IF(C1975="","",C1975*'02_Eingaben'!$C$15)</f>
        <v/>
      </c>
      <c r="E1975" s="17" t="str">
        <f>IF(D1975="","",D1975*'02_Eingaben'!$C$8)</f>
        <v/>
      </c>
      <c r="F1975" s="17" t="str">
        <f>IF(E1975="","",AVERAGE(INDEX($E$2:$E$3001,MAX(1,ROW()-1-'02_Eingaben'!$C$17)):INDEX($E$2:$E$3001,MIN('02_Eingaben'!$C$21,ROW()-1+'02_Eingaben'!$C$17))))</f>
        <v/>
      </c>
      <c r="G1975" s="17" t="str">
        <f>IF(F1975="","",F1975-'02_Eingaben'!$C$10)</f>
        <v/>
      </c>
      <c r="H1975" t="str">
        <f>IF(F1975="","",IF(F1975&lt;'02_Eingaben'!$C$18*'02_Eingaben'!$C$10,1,0))</f>
        <v/>
      </c>
      <c r="I1975" s="17" t="str">
        <f t="shared" si="30"/>
        <v/>
      </c>
      <c r="J1975" s="17" t="str">
        <f>IF(B1975="","",IF(B1974&lt;'02_Eingaben'!$C$36,0,J1974+I1974/'02_Eingaben'!$C$8))</f>
        <v/>
      </c>
    </row>
    <row r="1976" spans="1:10" x14ac:dyDescent="0.25">
      <c r="A1976" t="str">
        <f>IF('01_Rohdaten'!A1976="","",ROW()-1)</f>
        <v/>
      </c>
      <c r="B1976" s="17" t="str">
        <f>IF('01_Rohdaten'!A1976="","",'01_Rohdaten'!A1976)</f>
        <v/>
      </c>
      <c r="C1976" s="17" t="str">
        <f>IF(B1976="","",INDEX('01_Rohdaten'!B1976:D1976,'02_Eingaben'!$C$13))</f>
        <v/>
      </c>
      <c r="D1976" s="17" t="str">
        <f>IF(C1976="","",C1976*'02_Eingaben'!$C$15)</f>
        <v/>
      </c>
      <c r="E1976" s="17" t="str">
        <f>IF(D1976="","",D1976*'02_Eingaben'!$C$8)</f>
        <v/>
      </c>
      <c r="F1976" s="17" t="str">
        <f>IF(E1976="","",AVERAGE(INDEX($E$2:$E$3001,MAX(1,ROW()-1-'02_Eingaben'!$C$17)):INDEX($E$2:$E$3001,MIN('02_Eingaben'!$C$21,ROW()-1+'02_Eingaben'!$C$17))))</f>
        <v/>
      </c>
      <c r="G1976" s="17" t="str">
        <f>IF(F1976="","",F1976-'02_Eingaben'!$C$10)</f>
        <v/>
      </c>
      <c r="H1976" t="str">
        <f>IF(F1976="","",IF(F1976&lt;'02_Eingaben'!$C$18*'02_Eingaben'!$C$10,1,0))</f>
        <v/>
      </c>
      <c r="I1976" s="17" t="str">
        <f t="shared" si="30"/>
        <v/>
      </c>
      <c r="J1976" s="17" t="str">
        <f>IF(B1976="","",IF(B1975&lt;'02_Eingaben'!$C$36,0,J1975+I1975/'02_Eingaben'!$C$8))</f>
        <v/>
      </c>
    </row>
    <row r="1977" spans="1:10" x14ac:dyDescent="0.25">
      <c r="A1977" t="str">
        <f>IF('01_Rohdaten'!A1977="","",ROW()-1)</f>
        <v/>
      </c>
      <c r="B1977" s="17" t="str">
        <f>IF('01_Rohdaten'!A1977="","",'01_Rohdaten'!A1977)</f>
        <v/>
      </c>
      <c r="C1977" s="17" t="str">
        <f>IF(B1977="","",INDEX('01_Rohdaten'!B1977:D1977,'02_Eingaben'!$C$13))</f>
        <v/>
      </c>
      <c r="D1977" s="17" t="str">
        <f>IF(C1977="","",C1977*'02_Eingaben'!$C$15)</f>
        <v/>
      </c>
      <c r="E1977" s="17" t="str">
        <f>IF(D1977="","",D1977*'02_Eingaben'!$C$8)</f>
        <v/>
      </c>
      <c r="F1977" s="17" t="str">
        <f>IF(E1977="","",AVERAGE(INDEX($E$2:$E$3001,MAX(1,ROW()-1-'02_Eingaben'!$C$17)):INDEX($E$2:$E$3001,MIN('02_Eingaben'!$C$21,ROW()-1+'02_Eingaben'!$C$17))))</f>
        <v/>
      </c>
      <c r="G1977" s="17" t="str">
        <f>IF(F1977="","",F1977-'02_Eingaben'!$C$10)</f>
        <v/>
      </c>
      <c r="H1977" t="str">
        <f>IF(F1977="","",IF(F1977&lt;'02_Eingaben'!$C$18*'02_Eingaben'!$C$10,1,0))</f>
        <v/>
      </c>
      <c r="I1977" s="17" t="str">
        <f t="shared" si="30"/>
        <v/>
      </c>
      <c r="J1977" s="17" t="str">
        <f>IF(B1977="","",IF(B1976&lt;'02_Eingaben'!$C$36,0,J1976+I1976/'02_Eingaben'!$C$8))</f>
        <v/>
      </c>
    </row>
    <row r="1978" spans="1:10" x14ac:dyDescent="0.25">
      <c r="A1978" t="str">
        <f>IF('01_Rohdaten'!A1978="","",ROW()-1)</f>
        <v/>
      </c>
      <c r="B1978" s="17" t="str">
        <f>IF('01_Rohdaten'!A1978="","",'01_Rohdaten'!A1978)</f>
        <v/>
      </c>
      <c r="C1978" s="17" t="str">
        <f>IF(B1978="","",INDEX('01_Rohdaten'!B1978:D1978,'02_Eingaben'!$C$13))</f>
        <v/>
      </c>
      <c r="D1978" s="17" t="str">
        <f>IF(C1978="","",C1978*'02_Eingaben'!$C$15)</f>
        <v/>
      </c>
      <c r="E1978" s="17" t="str">
        <f>IF(D1978="","",D1978*'02_Eingaben'!$C$8)</f>
        <v/>
      </c>
      <c r="F1978" s="17" t="str">
        <f>IF(E1978="","",AVERAGE(INDEX($E$2:$E$3001,MAX(1,ROW()-1-'02_Eingaben'!$C$17)):INDEX($E$2:$E$3001,MIN('02_Eingaben'!$C$21,ROW()-1+'02_Eingaben'!$C$17))))</f>
        <v/>
      </c>
      <c r="G1978" s="17" t="str">
        <f>IF(F1978="","",F1978-'02_Eingaben'!$C$10)</f>
        <v/>
      </c>
      <c r="H1978" t="str">
        <f>IF(F1978="","",IF(F1978&lt;'02_Eingaben'!$C$18*'02_Eingaben'!$C$10,1,0))</f>
        <v/>
      </c>
      <c r="I1978" s="17" t="str">
        <f t="shared" si="30"/>
        <v/>
      </c>
      <c r="J1978" s="17" t="str">
        <f>IF(B1978="","",IF(B1977&lt;'02_Eingaben'!$C$36,0,J1977+I1977/'02_Eingaben'!$C$8))</f>
        <v/>
      </c>
    </row>
    <row r="1979" spans="1:10" x14ac:dyDescent="0.25">
      <c r="A1979" t="str">
        <f>IF('01_Rohdaten'!A1979="","",ROW()-1)</f>
        <v/>
      </c>
      <c r="B1979" s="17" t="str">
        <f>IF('01_Rohdaten'!A1979="","",'01_Rohdaten'!A1979)</f>
        <v/>
      </c>
      <c r="C1979" s="17" t="str">
        <f>IF(B1979="","",INDEX('01_Rohdaten'!B1979:D1979,'02_Eingaben'!$C$13))</f>
        <v/>
      </c>
      <c r="D1979" s="17" t="str">
        <f>IF(C1979="","",C1979*'02_Eingaben'!$C$15)</f>
        <v/>
      </c>
      <c r="E1979" s="17" t="str">
        <f>IF(D1979="","",D1979*'02_Eingaben'!$C$8)</f>
        <v/>
      </c>
      <c r="F1979" s="17" t="str">
        <f>IF(E1979="","",AVERAGE(INDEX($E$2:$E$3001,MAX(1,ROW()-1-'02_Eingaben'!$C$17)):INDEX($E$2:$E$3001,MIN('02_Eingaben'!$C$21,ROW()-1+'02_Eingaben'!$C$17))))</f>
        <v/>
      </c>
      <c r="G1979" s="17" t="str">
        <f>IF(F1979="","",F1979-'02_Eingaben'!$C$10)</f>
        <v/>
      </c>
      <c r="H1979" t="str">
        <f>IF(F1979="","",IF(F1979&lt;'02_Eingaben'!$C$18*'02_Eingaben'!$C$10,1,0))</f>
        <v/>
      </c>
      <c r="I1979" s="17" t="str">
        <f t="shared" si="30"/>
        <v/>
      </c>
      <c r="J1979" s="17" t="str">
        <f>IF(B1979="","",IF(B1978&lt;'02_Eingaben'!$C$36,0,J1978+I1978/'02_Eingaben'!$C$8))</f>
        <v/>
      </c>
    </row>
    <row r="1980" spans="1:10" x14ac:dyDescent="0.25">
      <c r="A1980" t="str">
        <f>IF('01_Rohdaten'!A1980="","",ROW()-1)</f>
        <v/>
      </c>
      <c r="B1980" s="17" t="str">
        <f>IF('01_Rohdaten'!A1980="","",'01_Rohdaten'!A1980)</f>
        <v/>
      </c>
      <c r="C1980" s="17" t="str">
        <f>IF(B1980="","",INDEX('01_Rohdaten'!B1980:D1980,'02_Eingaben'!$C$13))</f>
        <v/>
      </c>
      <c r="D1980" s="17" t="str">
        <f>IF(C1980="","",C1980*'02_Eingaben'!$C$15)</f>
        <v/>
      </c>
      <c r="E1980" s="17" t="str">
        <f>IF(D1980="","",D1980*'02_Eingaben'!$C$8)</f>
        <v/>
      </c>
      <c r="F1980" s="17" t="str">
        <f>IF(E1980="","",AVERAGE(INDEX($E$2:$E$3001,MAX(1,ROW()-1-'02_Eingaben'!$C$17)):INDEX($E$2:$E$3001,MIN('02_Eingaben'!$C$21,ROW()-1+'02_Eingaben'!$C$17))))</f>
        <v/>
      </c>
      <c r="G1980" s="17" t="str">
        <f>IF(F1980="","",F1980-'02_Eingaben'!$C$10)</f>
        <v/>
      </c>
      <c r="H1980" t="str">
        <f>IF(F1980="","",IF(F1980&lt;'02_Eingaben'!$C$18*'02_Eingaben'!$C$10,1,0))</f>
        <v/>
      </c>
      <c r="I1980" s="17" t="str">
        <f t="shared" si="30"/>
        <v/>
      </c>
      <c r="J1980" s="17" t="str">
        <f>IF(B1980="","",IF(B1979&lt;'02_Eingaben'!$C$36,0,J1979+I1979/'02_Eingaben'!$C$8))</f>
        <v/>
      </c>
    </row>
    <row r="1981" spans="1:10" x14ac:dyDescent="0.25">
      <c r="A1981" t="str">
        <f>IF('01_Rohdaten'!A1981="","",ROW()-1)</f>
        <v/>
      </c>
      <c r="B1981" s="17" t="str">
        <f>IF('01_Rohdaten'!A1981="","",'01_Rohdaten'!A1981)</f>
        <v/>
      </c>
      <c r="C1981" s="17" t="str">
        <f>IF(B1981="","",INDEX('01_Rohdaten'!B1981:D1981,'02_Eingaben'!$C$13))</f>
        <v/>
      </c>
      <c r="D1981" s="17" t="str">
        <f>IF(C1981="","",C1981*'02_Eingaben'!$C$15)</f>
        <v/>
      </c>
      <c r="E1981" s="17" t="str">
        <f>IF(D1981="","",D1981*'02_Eingaben'!$C$8)</f>
        <v/>
      </c>
      <c r="F1981" s="17" t="str">
        <f>IF(E1981="","",AVERAGE(INDEX($E$2:$E$3001,MAX(1,ROW()-1-'02_Eingaben'!$C$17)):INDEX($E$2:$E$3001,MIN('02_Eingaben'!$C$21,ROW()-1+'02_Eingaben'!$C$17))))</f>
        <v/>
      </c>
      <c r="G1981" s="17" t="str">
        <f>IF(F1981="","",F1981-'02_Eingaben'!$C$10)</f>
        <v/>
      </c>
      <c r="H1981" t="str">
        <f>IF(F1981="","",IF(F1981&lt;'02_Eingaben'!$C$18*'02_Eingaben'!$C$10,1,0))</f>
        <v/>
      </c>
      <c r="I1981" s="17" t="str">
        <f t="shared" si="30"/>
        <v/>
      </c>
      <c r="J1981" s="17" t="str">
        <f>IF(B1981="","",IF(B1980&lt;'02_Eingaben'!$C$36,0,J1980+I1980/'02_Eingaben'!$C$8))</f>
        <v/>
      </c>
    </row>
    <row r="1982" spans="1:10" x14ac:dyDescent="0.25">
      <c r="A1982" t="str">
        <f>IF('01_Rohdaten'!A1982="","",ROW()-1)</f>
        <v/>
      </c>
      <c r="B1982" s="17" t="str">
        <f>IF('01_Rohdaten'!A1982="","",'01_Rohdaten'!A1982)</f>
        <v/>
      </c>
      <c r="C1982" s="17" t="str">
        <f>IF(B1982="","",INDEX('01_Rohdaten'!B1982:D1982,'02_Eingaben'!$C$13))</f>
        <v/>
      </c>
      <c r="D1982" s="17" t="str">
        <f>IF(C1982="","",C1982*'02_Eingaben'!$C$15)</f>
        <v/>
      </c>
      <c r="E1982" s="17" t="str">
        <f>IF(D1982="","",D1982*'02_Eingaben'!$C$8)</f>
        <v/>
      </c>
      <c r="F1982" s="17" t="str">
        <f>IF(E1982="","",AVERAGE(INDEX($E$2:$E$3001,MAX(1,ROW()-1-'02_Eingaben'!$C$17)):INDEX($E$2:$E$3001,MIN('02_Eingaben'!$C$21,ROW()-1+'02_Eingaben'!$C$17))))</f>
        <v/>
      </c>
      <c r="G1982" s="17" t="str">
        <f>IF(F1982="","",F1982-'02_Eingaben'!$C$10)</f>
        <v/>
      </c>
      <c r="H1982" t="str">
        <f>IF(F1982="","",IF(F1982&lt;'02_Eingaben'!$C$18*'02_Eingaben'!$C$10,1,0))</f>
        <v/>
      </c>
      <c r="I1982" s="17" t="str">
        <f t="shared" si="30"/>
        <v/>
      </c>
      <c r="J1982" s="17" t="str">
        <f>IF(B1982="","",IF(B1981&lt;'02_Eingaben'!$C$36,0,J1981+I1981/'02_Eingaben'!$C$8))</f>
        <v/>
      </c>
    </row>
    <row r="1983" spans="1:10" x14ac:dyDescent="0.25">
      <c r="A1983" t="str">
        <f>IF('01_Rohdaten'!A1983="","",ROW()-1)</f>
        <v/>
      </c>
      <c r="B1983" s="17" t="str">
        <f>IF('01_Rohdaten'!A1983="","",'01_Rohdaten'!A1983)</f>
        <v/>
      </c>
      <c r="C1983" s="17" t="str">
        <f>IF(B1983="","",INDEX('01_Rohdaten'!B1983:D1983,'02_Eingaben'!$C$13))</f>
        <v/>
      </c>
      <c r="D1983" s="17" t="str">
        <f>IF(C1983="","",C1983*'02_Eingaben'!$C$15)</f>
        <v/>
      </c>
      <c r="E1983" s="17" t="str">
        <f>IF(D1983="","",D1983*'02_Eingaben'!$C$8)</f>
        <v/>
      </c>
      <c r="F1983" s="17" t="str">
        <f>IF(E1983="","",AVERAGE(INDEX($E$2:$E$3001,MAX(1,ROW()-1-'02_Eingaben'!$C$17)):INDEX($E$2:$E$3001,MIN('02_Eingaben'!$C$21,ROW()-1+'02_Eingaben'!$C$17))))</f>
        <v/>
      </c>
      <c r="G1983" s="17" t="str">
        <f>IF(F1983="","",F1983-'02_Eingaben'!$C$10)</f>
        <v/>
      </c>
      <c r="H1983" t="str">
        <f>IF(F1983="","",IF(F1983&lt;'02_Eingaben'!$C$18*'02_Eingaben'!$C$10,1,0))</f>
        <v/>
      </c>
      <c r="I1983" s="17" t="str">
        <f t="shared" si="30"/>
        <v/>
      </c>
      <c r="J1983" s="17" t="str">
        <f>IF(B1983="","",IF(B1982&lt;'02_Eingaben'!$C$36,0,J1982+I1982/'02_Eingaben'!$C$8))</f>
        <v/>
      </c>
    </row>
    <row r="1984" spans="1:10" x14ac:dyDescent="0.25">
      <c r="A1984" t="str">
        <f>IF('01_Rohdaten'!A1984="","",ROW()-1)</f>
        <v/>
      </c>
      <c r="B1984" s="17" t="str">
        <f>IF('01_Rohdaten'!A1984="","",'01_Rohdaten'!A1984)</f>
        <v/>
      </c>
      <c r="C1984" s="17" t="str">
        <f>IF(B1984="","",INDEX('01_Rohdaten'!B1984:D1984,'02_Eingaben'!$C$13))</f>
        <v/>
      </c>
      <c r="D1984" s="17" t="str">
        <f>IF(C1984="","",C1984*'02_Eingaben'!$C$15)</f>
        <v/>
      </c>
      <c r="E1984" s="17" t="str">
        <f>IF(D1984="","",D1984*'02_Eingaben'!$C$8)</f>
        <v/>
      </c>
      <c r="F1984" s="17" t="str">
        <f>IF(E1984="","",AVERAGE(INDEX($E$2:$E$3001,MAX(1,ROW()-1-'02_Eingaben'!$C$17)):INDEX($E$2:$E$3001,MIN('02_Eingaben'!$C$21,ROW()-1+'02_Eingaben'!$C$17))))</f>
        <v/>
      </c>
      <c r="G1984" s="17" t="str">
        <f>IF(F1984="","",F1984-'02_Eingaben'!$C$10)</f>
        <v/>
      </c>
      <c r="H1984" t="str">
        <f>IF(F1984="","",IF(F1984&lt;'02_Eingaben'!$C$18*'02_Eingaben'!$C$10,1,0))</f>
        <v/>
      </c>
      <c r="I1984" s="17" t="str">
        <f t="shared" si="30"/>
        <v/>
      </c>
      <c r="J1984" s="17" t="str">
        <f>IF(B1984="","",IF(B1983&lt;'02_Eingaben'!$C$36,0,J1983+I1983/'02_Eingaben'!$C$8))</f>
        <v/>
      </c>
    </row>
    <row r="1985" spans="1:10" x14ac:dyDescent="0.25">
      <c r="A1985" t="str">
        <f>IF('01_Rohdaten'!A1985="","",ROW()-1)</f>
        <v/>
      </c>
      <c r="B1985" s="17" t="str">
        <f>IF('01_Rohdaten'!A1985="","",'01_Rohdaten'!A1985)</f>
        <v/>
      </c>
      <c r="C1985" s="17" t="str">
        <f>IF(B1985="","",INDEX('01_Rohdaten'!B1985:D1985,'02_Eingaben'!$C$13))</f>
        <v/>
      </c>
      <c r="D1985" s="17" t="str">
        <f>IF(C1985="","",C1985*'02_Eingaben'!$C$15)</f>
        <v/>
      </c>
      <c r="E1985" s="17" t="str">
        <f>IF(D1985="","",D1985*'02_Eingaben'!$C$8)</f>
        <v/>
      </c>
      <c r="F1985" s="17" t="str">
        <f>IF(E1985="","",AVERAGE(INDEX($E$2:$E$3001,MAX(1,ROW()-1-'02_Eingaben'!$C$17)):INDEX($E$2:$E$3001,MIN('02_Eingaben'!$C$21,ROW()-1+'02_Eingaben'!$C$17))))</f>
        <v/>
      </c>
      <c r="G1985" s="17" t="str">
        <f>IF(F1985="","",F1985-'02_Eingaben'!$C$10)</f>
        <v/>
      </c>
      <c r="H1985" t="str">
        <f>IF(F1985="","",IF(F1985&lt;'02_Eingaben'!$C$18*'02_Eingaben'!$C$10,1,0))</f>
        <v/>
      </c>
      <c r="I1985" s="17" t="str">
        <f t="shared" si="30"/>
        <v/>
      </c>
      <c r="J1985" s="17" t="str">
        <f>IF(B1985="","",IF(B1984&lt;'02_Eingaben'!$C$36,0,J1984+I1984/'02_Eingaben'!$C$8))</f>
        <v/>
      </c>
    </row>
    <row r="1986" spans="1:10" x14ac:dyDescent="0.25">
      <c r="A1986" t="str">
        <f>IF('01_Rohdaten'!A1986="","",ROW()-1)</f>
        <v/>
      </c>
      <c r="B1986" s="17" t="str">
        <f>IF('01_Rohdaten'!A1986="","",'01_Rohdaten'!A1986)</f>
        <v/>
      </c>
      <c r="C1986" s="17" t="str">
        <f>IF(B1986="","",INDEX('01_Rohdaten'!B1986:D1986,'02_Eingaben'!$C$13))</f>
        <v/>
      </c>
      <c r="D1986" s="17" t="str">
        <f>IF(C1986="","",C1986*'02_Eingaben'!$C$15)</f>
        <v/>
      </c>
      <c r="E1986" s="17" t="str">
        <f>IF(D1986="","",D1986*'02_Eingaben'!$C$8)</f>
        <v/>
      </c>
      <c r="F1986" s="17" t="str">
        <f>IF(E1986="","",AVERAGE(INDEX($E$2:$E$3001,MAX(1,ROW()-1-'02_Eingaben'!$C$17)):INDEX($E$2:$E$3001,MIN('02_Eingaben'!$C$21,ROW()-1+'02_Eingaben'!$C$17))))</f>
        <v/>
      </c>
      <c r="G1986" s="17" t="str">
        <f>IF(F1986="","",F1986-'02_Eingaben'!$C$10)</f>
        <v/>
      </c>
      <c r="H1986" t="str">
        <f>IF(F1986="","",IF(F1986&lt;'02_Eingaben'!$C$18*'02_Eingaben'!$C$10,1,0))</f>
        <v/>
      </c>
      <c r="I1986" s="17" t="str">
        <f t="shared" ref="I1986:I2049" si="31">IF(OR(G1986="",G1987=""),"",(G1986+G1987)/2*(B1987-B1986))</f>
        <v/>
      </c>
      <c r="J1986" s="17" t="str">
        <f>IF(B1986="","",IF(B1985&lt;'02_Eingaben'!$C$36,0,J1985+I1985/'02_Eingaben'!$C$8))</f>
        <v/>
      </c>
    </row>
    <row r="1987" spans="1:10" x14ac:dyDescent="0.25">
      <c r="A1987" t="str">
        <f>IF('01_Rohdaten'!A1987="","",ROW()-1)</f>
        <v/>
      </c>
      <c r="B1987" s="17" t="str">
        <f>IF('01_Rohdaten'!A1987="","",'01_Rohdaten'!A1987)</f>
        <v/>
      </c>
      <c r="C1987" s="17" t="str">
        <f>IF(B1987="","",INDEX('01_Rohdaten'!B1987:D1987,'02_Eingaben'!$C$13))</f>
        <v/>
      </c>
      <c r="D1987" s="17" t="str">
        <f>IF(C1987="","",C1987*'02_Eingaben'!$C$15)</f>
        <v/>
      </c>
      <c r="E1987" s="17" t="str">
        <f>IF(D1987="","",D1987*'02_Eingaben'!$C$8)</f>
        <v/>
      </c>
      <c r="F1987" s="17" t="str">
        <f>IF(E1987="","",AVERAGE(INDEX($E$2:$E$3001,MAX(1,ROW()-1-'02_Eingaben'!$C$17)):INDEX($E$2:$E$3001,MIN('02_Eingaben'!$C$21,ROW()-1+'02_Eingaben'!$C$17))))</f>
        <v/>
      </c>
      <c r="G1987" s="17" t="str">
        <f>IF(F1987="","",F1987-'02_Eingaben'!$C$10)</f>
        <v/>
      </c>
      <c r="H1987" t="str">
        <f>IF(F1987="","",IF(F1987&lt;'02_Eingaben'!$C$18*'02_Eingaben'!$C$10,1,0))</f>
        <v/>
      </c>
      <c r="I1987" s="17" t="str">
        <f t="shared" si="31"/>
        <v/>
      </c>
      <c r="J1987" s="17" t="str">
        <f>IF(B1987="","",IF(B1986&lt;'02_Eingaben'!$C$36,0,J1986+I1986/'02_Eingaben'!$C$8))</f>
        <v/>
      </c>
    </row>
    <row r="1988" spans="1:10" x14ac:dyDescent="0.25">
      <c r="A1988" t="str">
        <f>IF('01_Rohdaten'!A1988="","",ROW()-1)</f>
        <v/>
      </c>
      <c r="B1988" s="17" t="str">
        <f>IF('01_Rohdaten'!A1988="","",'01_Rohdaten'!A1988)</f>
        <v/>
      </c>
      <c r="C1988" s="17" t="str">
        <f>IF(B1988="","",INDEX('01_Rohdaten'!B1988:D1988,'02_Eingaben'!$C$13))</f>
        <v/>
      </c>
      <c r="D1988" s="17" t="str">
        <f>IF(C1988="","",C1988*'02_Eingaben'!$C$15)</f>
        <v/>
      </c>
      <c r="E1988" s="17" t="str">
        <f>IF(D1988="","",D1988*'02_Eingaben'!$C$8)</f>
        <v/>
      </c>
      <c r="F1988" s="17" t="str">
        <f>IF(E1988="","",AVERAGE(INDEX($E$2:$E$3001,MAX(1,ROW()-1-'02_Eingaben'!$C$17)):INDEX($E$2:$E$3001,MIN('02_Eingaben'!$C$21,ROW()-1+'02_Eingaben'!$C$17))))</f>
        <v/>
      </c>
      <c r="G1988" s="17" t="str">
        <f>IF(F1988="","",F1988-'02_Eingaben'!$C$10)</f>
        <v/>
      </c>
      <c r="H1988" t="str">
        <f>IF(F1988="","",IF(F1988&lt;'02_Eingaben'!$C$18*'02_Eingaben'!$C$10,1,0))</f>
        <v/>
      </c>
      <c r="I1988" s="17" t="str">
        <f t="shared" si="31"/>
        <v/>
      </c>
      <c r="J1988" s="17" t="str">
        <f>IF(B1988="","",IF(B1987&lt;'02_Eingaben'!$C$36,0,J1987+I1987/'02_Eingaben'!$C$8))</f>
        <v/>
      </c>
    </row>
    <row r="1989" spans="1:10" x14ac:dyDescent="0.25">
      <c r="A1989" t="str">
        <f>IF('01_Rohdaten'!A1989="","",ROW()-1)</f>
        <v/>
      </c>
      <c r="B1989" s="17" t="str">
        <f>IF('01_Rohdaten'!A1989="","",'01_Rohdaten'!A1989)</f>
        <v/>
      </c>
      <c r="C1989" s="17" t="str">
        <f>IF(B1989="","",INDEX('01_Rohdaten'!B1989:D1989,'02_Eingaben'!$C$13))</f>
        <v/>
      </c>
      <c r="D1989" s="17" t="str">
        <f>IF(C1989="","",C1989*'02_Eingaben'!$C$15)</f>
        <v/>
      </c>
      <c r="E1989" s="17" t="str">
        <f>IF(D1989="","",D1989*'02_Eingaben'!$C$8)</f>
        <v/>
      </c>
      <c r="F1989" s="17" t="str">
        <f>IF(E1989="","",AVERAGE(INDEX($E$2:$E$3001,MAX(1,ROW()-1-'02_Eingaben'!$C$17)):INDEX($E$2:$E$3001,MIN('02_Eingaben'!$C$21,ROW()-1+'02_Eingaben'!$C$17))))</f>
        <v/>
      </c>
      <c r="G1989" s="17" t="str">
        <f>IF(F1989="","",F1989-'02_Eingaben'!$C$10)</f>
        <v/>
      </c>
      <c r="H1989" t="str">
        <f>IF(F1989="","",IF(F1989&lt;'02_Eingaben'!$C$18*'02_Eingaben'!$C$10,1,0))</f>
        <v/>
      </c>
      <c r="I1989" s="17" t="str">
        <f t="shared" si="31"/>
        <v/>
      </c>
      <c r="J1989" s="17" t="str">
        <f>IF(B1989="","",IF(B1988&lt;'02_Eingaben'!$C$36,0,J1988+I1988/'02_Eingaben'!$C$8))</f>
        <v/>
      </c>
    </row>
    <row r="1990" spans="1:10" x14ac:dyDescent="0.25">
      <c r="A1990" t="str">
        <f>IF('01_Rohdaten'!A1990="","",ROW()-1)</f>
        <v/>
      </c>
      <c r="B1990" s="17" t="str">
        <f>IF('01_Rohdaten'!A1990="","",'01_Rohdaten'!A1990)</f>
        <v/>
      </c>
      <c r="C1990" s="17" t="str">
        <f>IF(B1990="","",INDEX('01_Rohdaten'!B1990:D1990,'02_Eingaben'!$C$13))</f>
        <v/>
      </c>
      <c r="D1990" s="17" t="str">
        <f>IF(C1990="","",C1990*'02_Eingaben'!$C$15)</f>
        <v/>
      </c>
      <c r="E1990" s="17" t="str">
        <f>IF(D1990="","",D1990*'02_Eingaben'!$C$8)</f>
        <v/>
      </c>
      <c r="F1990" s="17" t="str">
        <f>IF(E1990="","",AVERAGE(INDEX($E$2:$E$3001,MAX(1,ROW()-1-'02_Eingaben'!$C$17)):INDEX($E$2:$E$3001,MIN('02_Eingaben'!$C$21,ROW()-1+'02_Eingaben'!$C$17))))</f>
        <v/>
      </c>
      <c r="G1990" s="17" t="str">
        <f>IF(F1990="","",F1990-'02_Eingaben'!$C$10)</f>
        <v/>
      </c>
      <c r="H1990" t="str">
        <f>IF(F1990="","",IF(F1990&lt;'02_Eingaben'!$C$18*'02_Eingaben'!$C$10,1,0))</f>
        <v/>
      </c>
      <c r="I1990" s="17" t="str">
        <f t="shared" si="31"/>
        <v/>
      </c>
      <c r="J1990" s="17" t="str">
        <f>IF(B1990="","",IF(B1989&lt;'02_Eingaben'!$C$36,0,J1989+I1989/'02_Eingaben'!$C$8))</f>
        <v/>
      </c>
    </row>
    <row r="1991" spans="1:10" x14ac:dyDescent="0.25">
      <c r="A1991" t="str">
        <f>IF('01_Rohdaten'!A1991="","",ROW()-1)</f>
        <v/>
      </c>
      <c r="B1991" s="17" t="str">
        <f>IF('01_Rohdaten'!A1991="","",'01_Rohdaten'!A1991)</f>
        <v/>
      </c>
      <c r="C1991" s="17" t="str">
        <f>IF(B1991="","",INDEX('01_Rohdaten'!B1991:D1991,'02_Eingaben'!$C$13))</f>
        <v/>
      </c>
      <c r="D1991" s="17" t="str">
        <f>IF(C1991="","",C1991*'02_Eingaben'!$C$15)</f>
        <v/>
      </c>
      <c r="E1991" s="17" t="str">
        <f>IF(D1991="","",D1991*'02_Eingaben'!$C$8)</f>
        <v/>
      </c>
      <c r="F1991" s="17" t="str">
        <f>IF(E1991="","",AVERAGE(INDEX($E$2:$E$3001,MAX(1,ROW()-1-'02_Eingaben'!$C$17)):INDEX($E$2:$E$3001,MIN('02_Eingaben'!$C$21,ROW()-1+'02_Eingaben'!$C$17))))</f>
        <v/>
      </c>
      <c r="G1991" s="17" t="str">
        <f>IF(F1991="","",F1991-'02_Eingaben'!$C$10)</f>
        <v/>
      </c>
      <c r="H1991" t="str">
        <f>IF(F1991="","",IF(F1991&lt;'02_Eingaben'!$C$18*'02_Eingaben'!$C$10,1,0))</f>
        <v/>
      </c>
      <c r="I1991" s="17" t="str">
        <f t="shared" si="31"/>
        <v/>
      </c>
      <c r="J1991" s="17" t="str">
        <f>IF(B1991="","",IF(B1990&lt;'02_Eingaben'!$C$36,0,J1990+I1990/'02_Eingaben'!$C$8))</f>
        <v/>
      </c>
    </row>
    <row r="1992" spans="1:10" x14ac:dyDescent="0.25">
      <c r="A1992" t="str">
        <f>IF('01_Rohdaten'!A1992="","",ROW()-1)</f>
        <v/>
      </c>
      <c r="B1992" s="17" t="str">
        <f>IF('01_Rohdaten'!A1992="","",'01_Rohdaten'!A1992)</f>
        <v/>
      </c>
      <c r="C1992" s="17" t="str">
        <f>IF(B1992="","",INDEX('01_Rohdaten'!B1992:D1992,'02_Eingaben'!$C$13))</f>
        <v/>
      </c>
      <c r="D1992" s="17" t="str">
        <f>IF(C1992="","",C1992*'02_Eingaben'!$C$15)</f>
        <v/>
      </c>
      <c r="E1992" s="17" t="str">
        <f>IF(D1992="","",D1992*'02_Eingaben'!$C$8)</f>
        <v/>
      </c>
      <c r="F1992" s="17" t="str">
        <f>IF(E1992="","",AVERAGE(INDEX($E$2:$E$3001,MAX(1,ROW()-1-'02_Eingaben'!$C$17)):INDEX($E$2:$E$3001,MIN('02_Eingaben'!$C$21,ROW()-1+'02_Eingaben'!$C$17))))</f>
        <v/>
      </c>
      <c r="G1992" s="17" t="str">
        <f>IF(F1992="","",F1992-'02_Eingaben'!$C$10)</f>
        <v/>
      </c>
      <c r="H1992" t="str">
        <f>IF(F1992="","",IF(F1992&lt;'02_Eingaben'!$C$18*'02_Eingaben'!$C$10,1,0))</f>
        <v/>
      </c>
      <c r="I1992" s="17" t="str">
        <f t="shared" si="31"/>
        <v/>
      </c>
      <c r="J1992" s="17" t="str">
        <f>IF(B1992="","",IF(B1991&lt;'02_Eingaben'!$C$36,0,J1991+I1991/'02_Eingaben'!$C$8))</f>
        <v/>
      </c>
    </row>
    <row r="1993" spans="1:10" x14ac:dyDescent="0.25">
      <c r="A1993" t="str">
        <f>IF('01_Rohdaten'!A1993="","",ROW()-1)</f>
        <v/>
      </c>
      <c r="B1993" s="17" t="str">
        <f>IF('01_Rohdaten'!A1993="","",'01_Rohdaten'!A1993)</f>
        <v/>
      </c>
      <c r="C1993" s="17" t="str">
        <f>IF(B1993="","",INDEX('01_Rohdaten'!B1993:D1993,'02_Eingaben'!$C$13))</f>
        <v/>
      </c>
      <c r="D1993" s="17" t="str">
        <f>IF(C1993="","",C1993*'02_Eingaben'!$C$15)</f>
        <v/>
      </c>
      <c r="E1993" s="17" t="str">
        <f>IF(D1993="","",D1993*'02_Eingaben'!$C$8)</f>
        <v/>
      </c>
      <c r="F1993" s="17" t="str">
        <f>IF(E1993="","",AVERAGE(INDEX($E$2:$E$3001,MAX(1,ROW()-1-'02_Eingaben'!$C$17)):INDEX($E$2:$E$3001,MIN('02_Eingaben'!$C$21,ROW()-1+'02_Eingaben'!$C$17))))</f>
        <v/>
      </c>
      <c r="G1993" s="17" t="str">
        <f>IF(F1993="","",F1993-'02_Eingaben'!$C$10)</f>
        <v/>
      </c>
      <c r="H1993" t="str">
        <f>IF(F1993="","",IF(F1993&lt;'02_Eingaben'!$C$18*'02_Eingaben'!$C$10,1,0))</f>
        <v/>
      </c>
      <c r="I1993" s="17" t="str">
        <f t="shared" si="31"/>
        <v/>
      </c>
      <c r="J1993" s="17" t="str">
        <f>IF(B1993="","",IF(B1992&lt;'02_Eingaben'!$C$36,0,J1992+I1992/'02_Eingaben'!$C$8))</f>
        <v/>
      </c>
    </row>
    <row r="1994" spans="1:10" x14ac:dyDescent="0.25">
      <c r="A1994" t="str">
        <f>IF('01_Rohdaten'!A1994="","",ROW()-1)</f>
        <v/>
      </c>
      <c r="B1994" s="17" t="str">
        <f>IF('01_Rohdaten'!A1994="","",'01_Rohdaten'!A1994)</f>
        <v/>
      </c>
      <c r="C1994" s="17" t="str">
        <f>IF(B1994="","",INDEX('01_Rohdaten'!B1994:D1994,'02_Eingaben'!$C$13))</f>
        <v/>
      </c>
      <c r="D1994" s="17" t="str">
        <f>IF(C1994="","",C1994*'02_Eingaben'!$C$15)</f>
        <v/>
      </c>
      <c r="E1994" s="17" t="str">
        <f>IF(D1994="","",D1994*'02_Eingaben'!$C$8)</f>
        <v/>
      </c>
      <c r="F1994" s="17" t="str">
        <f>IF(E1994="","",AVERAGE(INDEX($E$2:$E$3001,MAX(1,ROW()-1-'02_Eingaben'!$C$17)):INDEX($E$2:$E$3001,MIN('02_Eingaben'!$C$21,ROW()-1+'02_Eingaben'!$C$17))))</f>
        <v/>
      </c>
      <c r="G1994" s="17" t="str">
        <f>IF(F1994="","",F1994-'02_Eingaben'!$C$10)</f>
        <v/>
      </c>
      <c r="H1994" t="str">
        <f>IF(F1994="","",IF(F1994&lt;'02_Eingaben'!$C$18*'02_Eingaben'!$C$10,1,0))</f>
        <v/>
      </c>
      <c r="I1994" s="17" t="str">
        <f t="shared" si="31"/>
        <v/>
      </c>
      <c r="J1994" s="17" t="str">
        <f>IF(B1994="","",IF(B1993&lt;'02_Eingaben'!$C$36,0,J1993+I1993/'02_Eingaben'!$C$8))</f>
        <v/>
      </c>
    </row>
    <row r="1995" spans="1:10" x14ac:dyDescent="0.25">
      <c r="A1995" t="str">
        <f>IF('01_Rohdaten'!A1995="","",ROW()-1)</f>
        <v/>
      </c>
      <c r="B1995" s="17" t="str">
        <f>IF('01_Rohdaten'!A1995="","",'01_Rohdaten'!A1995)</f>
        <v/>
      </c>
      <c r="C1995" s="17" t="str">
        <f>IF(B1995="","",INDEX('01_Rohdaten'!B1995:D1995,'02_Eingaben'!$C$13))</f>
        <v/>
      </c>
      <c r="D1995" s="17" t="str">
        <f>IF(C1995="","",C1995*'02_Eingaben'!$C$15)</f>
        <v/>
      </c>
      <c r="E1995" s="17" t="str">
        <f>IF(D1995="","",D1995*'02_Eingaben'!$C$8)</f>
        <v/>
      </c>
      <c r="F1995" s="17" t="str">
        <f>IF(E1995="","",AVERAGE(INDEX($E$2:$E$3001,MAX(1,ROW()-1-'02_Eingaben'!$C$17)):INDEX($E$2:$E$3001,MIN('02_Eingaben'!$C$21,ROW()-1+'02_Eingaben'!$C$17))))</f>
        <v/>
      </c>
      <c r="G1995" s="17" t="str">
        <f>IF(F1995="","",F1995-'02_Eingaben'!$C$10)</f>
        <v/>
      </c>
      <c r="H1995" t="str">
        <f>IF(F1995="","",IF(F1995&lt;'02_Eingaben'!$C$18*'02_Eingaben'!$C$10,1,0))</f>
        <v/>
      </c>
      <c r="I1995" s="17" t="str">
        <f t="shared" si="31"/>
        <v/>
      </c>
      <c r="J1995" s="17" t="str">
        <f>IF(B1995="","",IF(B1994&lt;'02_Eingaben'!$C$36,0,J1994+I1994/'02_Eingaben'!$C$8))</f>
        <v/>
      </c>
    </row>
    <row r="1996" spans="1:10" x14ac:dyDescent="0.25">
      <c r="A1996" t="str">
        <f>IF('01_Rohdaten'!A1996="","",ROW()-1)</f>
        <v/>
      </c>
      <c r="B1996" s="17" t="str">
        <f>IF('01_Rohdaten'!A1996="","",'01_Rohdaten'!A1996)</f>
        <v/>
      </c>
      <c r="C1996" s="17" t="str">
        <f>IF(B1996="","",INDEX('01_Rohdaten'!B1996:D1996,'02_Eingaben'!$C$13))</f>
        <v/>
      </c>
      <c r="D1996" s="17" t="str">
        <f>IF(C1996="","",C1996*'02_Eingaben'!$C$15)</f>
        <v/>
      </c>
      <c r="E1996" s="17" t="str">
        <f>IF(D1996="","",D1996*'02_Eingaben'!$C$8)</f>
        <v/>
      </c>
      <c r="F1996" s="17" t="str">
        <f>IF(E1996="","",AVERAGE(INDEX($E$2:$E$3001,MAX(1,ROW()-1-'02_Eingaben'!$C$17)):INDEX($E$2:$E$3001,MIN('02_Eingaben'!$C$21,ROW()-1+'02_Eingaben'!$C$17))))</f>
        <v/>
      </c>
      <c r="G1996" s="17" t="str">
        <f>IF(F1996="","",F1996-'02_Eingaben'!$C$10)</f>
        <v/>
      </c>
      <c r="H1996" t="str">
        <f>IF(F1996="","",IF(F1996&lt;'02_Eingaben'!$C$18*'02_Eingaben'!$C$10,1,0))</f>
        <v/>
      </c>
      <c r="I1996" s="17" t="str">
        <f t="shared" si="31"/>
        <v/>
      </c>
      <c r="J1996" s="17" t="str">
        <f>IF(B1996="","",IF(B1995&lt;'02_Eingaben'!$C$36,0,J1995+I1995/'02_Eingaben'!$C$8))</f>
        <v/>
      </c>
    </row>
    <row r="1997" spans="1:10" x14ac:dyDescent="0.25">
      <c r="A1997" t="str">
        <f>IF('01_Rohdaten'!A1997="","",ROW()-1)</f>
        <v/>
      </c>
      <c r="B1997" s="17" t="str">
        <f>IF('01_Rohdaten'!A1997="","",'01_Rohdaten'!A1997)</f>
        <v/>
      </c>
      <c r="C1997" s="17" t="str">
        <f>IF(B1997="","",INDEX('01_Rohdaten'!B1997:D1997,'02_Eingaben'!$C$13))</f>
        <v/>
      </c>
      <c r="D1997" s="17" t="str">
        <f>IF(C1997="","",C1997*'02_Eingaben'!$C$15)</f>
        <v/>
      </c>
      <c r="E1997" s="17" t="str">
        <f>IF(D1997="","",D1997*'02_Eingaben'!$C$8)</f>
        <v/>
      </c>
      <c r="F1997" s="17" t="str">
        <f>IF(E1997="","",AVERAGE(INDEX($E$2:$E$3001,MAX(1,ROW()-1-'02_Eingaben'!$C$17)):INDEX($E$2:$E$3001,MIN('02_Eingaben'!$C$21,ROW()-1+'02_Eingaben'!$C$17))))</f>
        <v/>
      </c>
      <c r="G1997" s="17" t="str">
        <f>IF(F1997="","",F1997-'02_Eingaben'!$C$10)</f>
        <v/>
      </c>
      <c r="H1997" t="str">
        <f>IF(F1997="","",IF(F1997&lt;'02_Eingaben'!$C$18*'02_Eingaben'!$C$10,1,0))</f>
        <v/>
      </c>
      <c r="I1997" s="17" t="str">
        <f t="shared" si="31"/>
        <v/>
      </c>
      <c r="J1997" s="17" t="str">
        <f>IF(B1997="","",IF(B1996&lt;'02_Eingaben'!$C$36,0,J1996+I1996/'02_Eingaben'!$C$8))</f>
        <v/>
      </c>
    </row>
    <row r="1998" spans="1:10" x14ac:dyDescent="0.25">
      <c r="A1998" t="str">
        <f>IF('01_Rohdaten'!A1998="","",ROW()-1)</f>
        <v/>
      </c>
      <c r="B1998" s="17" t="str">
        <f>IF('01_Rohdaten'!A1998="","",'01_Rohdaten'!A1998)</f>
        <v/>
      </c>
      <c r="C1998" s="17" t="str">
        <f>IF(B1998="","",INDEX('01_Rohdaten'!B1998:D1998,'02_Eingaben'!$C$13))</f>
        <v/>
      </c>
      <c r="D1998" s="17" t="str">
        <f>IF(C1998="","",C1998*'02_Eingaben'!$C$15)</f>
        <v/>
      </c>
      <c r="E1998" s="17" t="str">
        <f>IF(D1998="","",D1998*'02_Eingaben'!$C$8)</f>
        <v/>
      </c>
      <c r="F1998" s="17" t="str">
        <f>IF(E1998="","",AVERAGE(INDEX($E$2:$E$3001,MAX(1,ROW()-1-'02_Eingaben'!$C$17)):INDEX($E$2:$E$3001,MIN('02_Eingaben'!$C$21,ROW()-1+'02_Eingaben'!$C$17))))</f>
        <v/>
      </c>
      <c r="G1998" s="17" t="str">
        <f>IF(F1998="","",F1998-'02_Eingaben'!$C$10)</f>
        <v/>
      </c>
      <c r="H1998" t="str">
        <f>IF(F1998="","",IF(F1998&lt;'02_Eingaben'!$C$18*'02_Eingaben'!$C$10,1,0))</f>
        <v/>
      </c>
      <c r="I1998" s="17" t="str">
        <f t="shared" si="31"/>
        <v/>
      </c>
      <c r="J1998" s="17" t="str">
        <f>IF(B1998="","",IF(B1997&lt;'02_Eingaben'!$C$36,0,J1997+I1997/'02_Eingaben'!$C$8))</f>
        <v/>
      </c>
    </row>
    <row r="1999" spans="1:10" x14ac:dyDescent="0.25">
      <c r="A1999" t="str">
        <f>IF('01_Rohdaten'!A1999="","",ROW()-1)</f>
        <v/>
      </c>
      <c r="B1999" s="17" t="str">
        <f>IF('01_Rohdaten'!A1999="","",'01_Rohdaten'!A1999)</f>
        <v/>
      </c>
      <c r="C1999" s="17" t="str">
        <f>IF(B1999="","",INDEX('01_Rohdaten'!B1999:D1999,'02_Eingaben'!$C$13))</f>
        <v/>
      </c>
      <c r="D1999" s="17" t="str">
        <f>IF(C1999="","",C1999*'02_Eingaben'!$C$15)</f>
        <v/>
      </c>
      <c r="E1999" s="17" t="str">
        <f>IF(D1999="","",D1999*'02_Eingaben'!$C$8)</f>
        <v/>
      </c>
      <c r="F1999" s="17" t="str">
        <f>IF(E1999="","",AVERAGE(INDEX($E$2:$E$3001,MAX(1,ROW()-1-'02_Eingaben'!$C$17)):INDEX($E$2:$E$3001,MIN('02_Eingaben'!$C$21,ROW()-1+'02_Eingaben'!$C$17))))</f>
        <v/>
      </c>
      <c r="G1999" s="17" t="str">
        <f>IF(F1999="","",F1999-'02_Eingaben'!$C$10)</f>
        <v/>
      </c>
      <c r="H1999" t="str">
        <f>IF(F1999="","",IF(F1999&lt;'02_Eingaben'!$C$18*'02_Eingaben'!$C$10,1,0))</f>
        <v/>
      </c>
      <c r="I1999" s="17" t="str">
        <f t="shared" si="31"/>
        <v/>
      </c>
      <c r="J1999" s="17" t="str">
        <f>IF(B1999="","",IF(B1998&lt;'02_Eingaben'!$C$36,0,J1998+I1998/'02_Eingaben'!$C$8))</f>
        <v/>
      </c>
    </row>
    <row r="2000" spans="1:10" x14ac:dyDescent="0.25">
      <c r="A2000" t="str">
        <f>IF('01_Rohdaten'!A2000="","",ROW()-1)</f>
        <v/>
      </c>
      <c r="B2000" s="17" t="str">
        <f>IF('01_Rohdaten'!A2000="","",'01_Rohdaten'!A2000)</f>
        <v/>
      </c>
      <c r="C2000" s="17" t="str">
        <f>IF(B2000="","",INDEX('01_Rohdaten'!B2000:D2000,'02_Eingaben'!$C$13))</f>
        <v/>
      </c>
      <c r="D2000" s="17" t="str">
        <f>IF(C2000="","",C2000*'02_Eingaben'!$C$15)</f>
        <v/>
      </c>
      <c r="E2000" s="17" t="str">
        <f>IF(D2000="","",D2000*'02_Eingaben'!$C$8)</f>
        <v/>
      </c>
      <c r="F2000" s="17" t="str">
        <f>IF(E2000="","",AVERAGE(INDEX($E$2:$E$3001,MAX(1,ROW()-1-'02_Eingaben'!$C$17)):INDEX($E$2:$E$3001,MIN('02_Eingaben'!$C$21,ROW()-1+'02_Eingaben'!$C$17))))</f>
        <v/>
      </c>
      <c r="G2000" s="17" t="str">
        <f>IF(F2000="","",F2000-'02_Eingaben'!$C$10)</f>
        <v/>
      </c>
      <c r="H2000" t="str">
        <f>IF(F2000="","",IF(F2000&lt;'02_Eingaben'!$C$18*'02_Eingaben'!$C$10,1,0))</f>
        <v/>
      </c>
      <c r="I2000" s="17" t="str">
        <f t="shared" si="31"/>
        <v/>
      </c>
      <c r="J2000" s="17" t="str">
        <f>IF(B2000="","",IF(B1999&lt;'02_Eingaben'!$C$36,0,J1999+I1999/'02_Eingaben'!$C$8))</f>
        <v/>
      </c>
    </row>
    <row r="2001" spans="1:10" x14ac:dyDescent="0.25">
      <c r="A2001" t="str">
        <f>IF('01_Rohdaten'!A2001="","",ROW()-1)</f>
        <v/>
      </c>
      <c r="B2001" s="17" t="str">
        <f>IF('01_Rohdaten'!A2001="","",'01_Rohdaten'!A2001)</f>
        <v/>
      </c>
      <c r="C2001" s="17" t="str">
        <f>IF(B2001="","",INDEX('01_Rohdaten'!B2001:D2001,'02_Eingaben'!$C$13))</f>
        <v/>
      </c>
      <c r="D2001" s="17" t="str">
        <f>IF(C2001="","",C2001*'02_Eingaben'!$C$15)</f>
        <v/>
      </c>
      <c r="E2001" s="17" t="str">
        <f>IF(D2001="","",D2001*'02_Eingaben'!$C$8)</f>
        <v/>
      </c>
      <c r="F2001" s="17" t="str">
        <f>IF(E2001="","",AVERAGE(INDEX($E$2:$E$3001,MAX(1,ROW()-1-'02_Eingaben'!$C$17)):INDEX($E$2:$E$3001,MIN('02_Eingaben'!$C$21,ROW()-1+'02_Eingaben'!$C$17))))</f>
        <v/>
      </c>
      <c r="G2001" s="17" t="str">
        <f>IF(F2001="","",F2001-'02_Eingaben'!$C$10)</f>
        <v/>
      </c>
      <c r="H2001" t="str">
        <f>IF(F2001="","",IF(F2001&lt;'02_Eingaben'!$C$18*'02_Eingaben'!$C$10,1,0))</f>
        <v/>
      </c>
      <c r="I2001" s="17" t="str">
        <f t="shared" si="31"/>
        <v/>
      </c>
      <c r="J2001" s="17" t="str">
        <f>IF(B2001="","",IF(B2000&lt;'02_Eingaben'!$C$36,0,J2000+I2000/'02_Eingaben'!$C$8))</f>
        <v/>
      </c>
    </row>
    <row r="2002" spans="1:10" x14ac:dyDescent="0.25">
      <c r="A2002" t="str">
        <f>IF('01_Rohdaten'!A2002="","",ROW()-1)</f>
        <v/>
      </c>
      <c r="B2002" s="17" t="str">
        <f>IF('01_Rohdaten'!A2002="","",'01_Rohdaten'!A2002)</f>
        <v/>
      </c>
      <c r="C2002" s="17" t="str">
        <f>IF(B2002="","",INDEX('01_Rohdaten'!B2002:D2002,'02_Eingaben'!$C$13))</f>
        <v/>
      </c>
      <c r="D2002" s="17" t="str">
        <f>IF(C2002="","",C2002*'02_Eingaben'!$C$15)</f>
        <v/>
      </c>
      <c r="E2002" s="17" t="str">
        <f>IF(D2002="","",D2002*'02_Eingaben'!$C$8)</f>
        <v/>
      </c>
      <c r="F2002" s="17" t="str">
        <f>IF(E2002="","",AVERAGE(INDEX($E$2:$E$3001,MAX(1,ROW()-1-'02_Eingaben'!$C$17)):INDEX($E$2:$E$3001,MIN('02_Eingaben'!$C$21,ROW()-1+'02_Eingaben'!$C$17))))</f>
        <v/>
      </c>
      <c r="G2002" s="17" t="str">
        <f>IF(F2002="","",F2002-'02_Eingaben'!$C$10)</f>
        <v/>
      </c>
      <c r="H2002" t="str">
        <f>IF(F2002="","",IF(F2002&lt;'02_Eingaben'!$C$18*'02_Eingaben'!$C$10,1,0))</f>
        <v/>
      </c>
      <c r="I2002" s="17" t="str">
        <f t="shared" si="31"/>
        <v/>
      </c>
      <c r="J2002" s="17" t="str">
        <f>IF(B2002="","",IF(B2001&lt;'02_Eingaben'!$C$36,0,J2001+I2001/'02_Eingaben'!$C$8))</f>
        <v/>
      </c>
    </row>
    <row r="2003" spans="1:10" x14ac:dyDescent="0.25">
      <c r="A2003" t="str">
        <f>IF('01_Rohdaten'!A2003="","",ROW()-1)</f>
        <v/>
      </c>
      <c r="B2003" s="17" t="str">
        <f>IF('01_Rohdaten'!A2003="","",'01_Rohdaten'!A2003)</f>
        <v/>
      </c>
      <c r="C2003" s="17" t="str">
        <f>IF(B2003="","",INDEX('01_Rohdaten'!B2003:D2003,'02_Eingaben'!$C$13))</f>
        <v/>
      </c>
      <c r="D2003" s="17" t="str">
        <f>IF(C2003="","",C2003*'02_Eingaben'!$C$15)</f>
        <v/>
      </c>
      <c r="E2003" s="17" t="str">
        <f>IF(D2003="","",D2003*'02_Eingaben'!$C$8)</f>
        <v/>
      </c>
      <c r="F2003" s="17" t="str">
        <f>IF(E2003="","",AVERAGE(INDEX($E$2:$E$3001,MAX(1,ROW()-1-'02_Eingaben'!$C$17)):INDEX($E$2:$E$3001,MIN('02_Eingaben'!$C$21,ROW()-1+'02_Eingaben'!$C$17))))</f>
        <v/>
      </c>
      <c r="G2003" s="17" t="str">
        <f>IF(F2003="","",F2003-'02_Eingaben'!$C$10)</f>
        <v/>
      </c>
      <c r="H2003" t="str">
        <f>IF(F2003="","",IF(F2003&lt;'02_Eingaben'!$C$18*'02_Eingaben'!$C$10,1,0))</f>
        <v/>
      </c>
      <c r="I2003" s="17" t="str">
        <f t="shared" si="31"/>
        <v/>
      </c>
      <c r="J2003" s="17" t="str">
        <f>IF(B2003="","",IF(B2002&lt;'02_Eingaben'!$C$36,0,J2002+I2002/'02_Eingaben'!$C$8))</f>
        <v/>
      </c>
    </row>
    <row r="2004" spans="1:10" x14ac:dyDescent="0.25">
      <c r="A2004" t="str">
        <f>IF('01_Rohdaten'!A2004="","",ROW()-1)</f>
        <v/>
      </c>
      <c r="B2004" s="17" t="str">
        <f>IF('01_Rohdaten'!A2004="","",'01_Rohdaten'!A2004)</f>
        <v/>
      </c>
      <c r="C2004" s="17" t="str">
        <f>IF(B2004="","",INDEX('01_Rohdaten'!B2004:D2004,'02_Eingaben'!$C$13))</f>
        <v/>
      </c>
      <c r="D2004" s="17" t="str">
        <f>IF(C2004="","",C2004*'02_Eingaben'!$C$15)</f>
        <v/>
      </c>
      <c r="E2004" s="17" t="str">
        <f>IF(D2004="","",D2004*'02_Eingaben'!$C$8)</f>
        <v/>
      </c>
      <c r="F2004" s="17" t="str">
        <f>IF(E2004="","",AVERAGE(INDEX($E$2:$E$3001,MAX(1,ROW()-1-'02_Eingaben'!$C$17)):INDEX($E$2:$E$3001,MIN('02_Eingaben'!$C$21,ROW()-1+'02_Eingaben'!$C$17))))</f>
        <v/>
      </c>
      <c r="G2004" s="17" t="str">
        <f>IF(F2004="","",F2004-'02_Eingaben'!$C$10)</f>
        <v/>
      </c>
      <c r="H2004" t="str">
        <f>IF(F2004="","",IF(F2004&lt;'02_Eingaben'!$C$18*'02_Eingaben'!$C$10,1,0))</f>
        <v/>
      </c>
      <c r="I2004" s="17" t="str">
        <f t="shared" si="31"/>
        <v/>
      </c>
      <c r="J2004" s="17" t="str">
        <f>IF(B2004="","",IF(B2003&lt;'02_Eingaben'!$C$36,0,J2003+I2003/'02_Eingaben'!$C$8))</f>
        <v/>
      </c>
    </row>
    <row r="2005" spans="1:10" x14ac:dyDescent="0.25">
      <c r="A2005" t="str">
        <f>IF('01_Rohdaten'!A2005="","",ROW()-1)</f>
        <v/>
      </c>
      <c r="B2005" s="17" t="str">
        <f>IF('01_Rohdaten'!A2005="","",'01_Rohdaten'!A2005)</f>
        <v/>
      </c>
      <c r="C2005" s="17" t="str">
        <f>IF(B2005="","",INDEX('01_Rohdaten'!B2005:D2005,'02_Eingaben'!$C$13))</f>
        <v/>
      </c>
      <c r="D2005" s="17" t="str">
        <f>IF(C2005="","",C2005*'02_Eingaben'!$C$15)</f>
        <v/>
      </c>
      <c r="E2005" s="17" t="str">
        <f>IF(D2005="","",D2005*'02_Eingaben'!$C$8)</f>
        <v/>
      </c>
      <c r="F2005" s="17" t="str">
        <f>IF(E2005="","",AVERAGE(INDEX($E$2:$E$3001,MAX(1,ROW()-1-'02_Eingaben'!$C$17)):INDEX($E$2:$E$3001,MIN('02_Eingaben'!$C$21,ROW()-1+'02_Eingaben'!$C$17))))</f>
        <v/>
      </c>
      <c r="G2005" s="17" t="str">
        <f>IF(F2005="","",F2005-'02_Eingaben'!$C$10)</f>
        <v/>
      </c>
      <c r="H2005" t="str">
        <f>IF(F2005="","",IF(F2005&lt;'02_Eingaben'!$C$18*'02_Eingaben'!$C$10,1,0))</f>
        <v/>
      </c>
      <c r="I2005" s="17" t="str">
        <f t="shared" si="31"/>
        <v/>
      </c>
      <c r="J2005" s="17" t="str">
        <f>IF(B2005="","",IF(B2004&lt;'02_Eingaben'!$C$36,0,J2004+I2004/'02_Eingaben'!$C$8))</f>
        <v/>
      </c>
    </row>
    <row r="2006" spans="1:10" x14ac:dyDescent="0.25">
      <c r="A2006" t="str">
        <f>IF('01_Rohdaten'!A2006="","",ROW()-1)</f>
        <v/>
      </c>
      <c r="B2006" s="17" t="str">
        <f>IF('01_Rohdaten'!A2006="","",'01_Rohdaten'!A2006)</f>
        <v/>
      </c>
      <c r="C2006" s="17" t="str">
        <f>IF(B2006="","",INDEX('01_Rohdaten'!B2006:D2006,'02_Eingaben'!$C$13))</f>
        <v/>
      </c>
      <c r="D2006" s="17" t="str">
        <f>IF(C2006="","",C2006*'02_Eingaben'!$C$15)</f>
        <v/>
      </c>
      <c r="E2006" s="17" t="str">
        <f>IF(D2006="","",D2006*'02_Eingaben'!$C$8)</f>
        <v/>
      </c>
      <c r="F2006" s="17" t="str">
        <f>IF(E2006="","",AVERAGE(INDEX($E$2:$E$3001,MAX(1,ROW()-1-'02_Eingaben'!$C$17)):INDEX($E$2:$E$3001,MIN('02_Eingaben'!$C$21,ROW()-1+'02_Eingaben'!$C$17))))</f>
        <v/>
      </c>
      <c r="G2006" s="17" t="str">
        <f>IF(F2006="","",F2006-'02_Eingaben'!$C$10)</f>
        <v/>
      </c>
      <c r="H2006" t="str">
        <f>IF(F2006="","",IF(F2006&lt;'02_Eingaben'!$C$18*'02_Eingaben'!$C$10,1,0))</f>
        <v/>
      </c>
      <c r="I2006" s="17" t="str">
        <f t="shared" si="31"/>
        <v/>
      </c>
      <c r="J2006" s="17" t="str">
        <f>IF(B2006="","",IF(B2005&lt;'02_Eingaben'!$C$36,0,J2005+I2005/'02_Eingaben'!$C$8))</f>
        <v/>
      </c>
    </row>
    <row r="2007" spans="1:10" x14ac:dyDescent="0.25">
      <c r="A2007" t="str">
        <f>IF('01_Rohdaten'!A2007="","",ROW()-1)</f>
        <v/>
      </c>
      <c r="B2007" s="17" t="str">
        <f>IF('01_Rohdaten'!A2007="","",'01_Rohdaten'!A2007)</f>
        <v/>
      </c>
      <c r="C2007" s="17" t="str">
        <f>IF(B2007="","",INDEX('01_Rohdaten'!B2007:D2007,'02_Eingaben'!$C$13))</f>
        <v/>
      </c>
      <c r="D2007" s="17" t="str">
        <f>IF(C2007="","",C2007*'02_Eingaben'!$C$15)</f>
        <v/>
      </c>
      <c r="E2007" s="17" t="str">
        <f>IF(D2007="","",D2007*'02_Eingaben'!$C$8)</f>
        <v/>
      </c>
      <c r="F2007" s="17" t="str">
        <f>IF(E2007="","",AVERAGE(INDEX($E$2:$E$3001,MAX(1,ROW()-1-'02_Eingaben'!$C$17)):INDEX($E$2:$E$3001,MIN('02_Eingaben'!$C$21,ROW()-1+'02_Eingaben'!$C$17))))</f>
        <v/>
      </c>
      <c r="G2007" s="17" t="str">
        <f>IF(F2007="","",F2007-'02_Eingaben'!$C$10)</f>
        <v/>
      </c>
      <c r="H2007" t="str">
        <f>IF(F2007="","",IF(F2007&lt;'02_Eingaben'!$C$18*'02_Eingaben'!$C$10,1,0))</f>
        <v/>
      </c>
      <c r="I2007" s="17" t="str">
        <f t="shared" si="31"/>
        <v/>
      </c>
      <c r="J2007" s="17" t="str">
        <f>IF(B2007="","",IF(B2006&lt;'02_Eingaben'!$C$36,0,J2006+I2006/'02_Eingaben'!$C$8))</f>
        <v/>
      </c>
    </row>
    <row r="2008" spans="1:10" x14ac:dyDescent="0.25">
      <c r="A2008" t="str">
        <f>IF('01_Rohdaten'!A2008="","",ROW()-1)</f>
        <v/>
      </c>
      <c r="B2008" s="17" t="str">
        <f>IF('01_Rohdaten'!A2008="","",'01_Rohdaten'!A2008)</f>
        <v/>
      </c>
      <c r="C2008" s="17" t="str">
        <f>IF(B2008="","",INDEX('01_Rohdaten'!B2008:D2008,'02_Eingaben'!$C$13))</f>
        <v/>
      </c>
      <c r="D2008" s="17" t="str">
        <f>IF(C2008="","",C2008*'02_Eingaben'!$C$15)</f>
        <v/>
      </c>
      <c r="E2008" s="17" t="str">
        <f>IF(D2008="","",D2008*'02_Eingaben'!$C$8)</f>
        <v/>
      </c>
      <c r="F2008" s="17" t="str">
        <f>IF(E2008="","",AVERAGE(INDEX($E$2:$E$3001,MAX(1,ROW()-1-'02_Eingaben'!$C$17)):INDEX($E$2:$E$3001,MIN('02_Eingaben'!$C$21,ROW()-1+'02_Eingaben'!$C$17))))</f>
        <v/>
      </c>
      <c r="G2008" s="17" t="str">
        <f>IF(F2008="","",F2008-'02_Eingaben'!$C$10)</f>
        <v/>
      </c>
      <c r="H2008" t="str">
        <f>IF(F2008="","",IF(F2008&lt;'02_Eingaben'!$C$18*'02_Eingaben'!$C$10,1,0))</f>
        <v/>
      </c>
      <c r="I2008" s="17" t="str">
        <f t="shared" si="31"/>
        <v/>
      </c>
      <c r="J2008" s="17" t="str">
        <f>IF(B2008="","",IF(B2007&lt;'02_Eingaben'!$C$36,0,J2007+I2007/'02_Eingaben'!$C$8))</f>
        <v/>
      </c>
    </row>
    <row r="2009" spans="1:10" x14ac:dyDescent="0.25">
      <c r="A2009" t="str">
        <f>IF('01_Rohdaten'!A2009="","",ROW()-1)</f>
        <v/>
      </c>
      <c r="B2009" s="17" t="str">
        <f>IF('01_Rohdaten'!A2009="","",'01_Rohdaten'!A2009)</f>
        <v/>
      </c>
      <c r="C2009" s="17" t="str">
        <f>IF(B2009="","",INDEX('01_Rohdaten'!B2009:D2009,'02_Eingaben'!$C$13))</f>
        <v/>
      </c>
      <c r="D2009" s="17" t="str">
        <f>IF(C2009="","",C2009*'02_Eingaben'!$C$15)</f>
        <v/>
      </c>
      <c r="E2009" s="17" t="str">
        <f>IF(D2009="","",D2009*'02_Eingaben'!$C$8)</f>
        <v/>
      </c>
      <c r="F2009" s="17" t="str">
        <f>IF(E2009="","",AVERAGE(INDEX($E$2:$E$3001,MAX(1,ROW()-1-'02_Eingaben'!$C$17)):INDEX($E$2:$E$3001,MIN('02_Eingaben'!$C$21,ROW()-1+'02_Eingaben'!$C$17))))</f>
        <v/>
      </c>
      <c r="G2009" s="17" t="str">
        <f>IF(F2009="","",F2009-'02_Eingaben'!$C$10)</f>
        <v/>
      </c>
      <c r="H2009" t="str">
        <f>IF(F2009="","",IF(F2009&lt;'02_Eingaben'!$C$18*'02_Eingaben'!$C$10,1,0))</f>
        <v/>
      </c>
      <c r="I2009" s="17" t="str">
        <f t="shared" si="31"/>
        <v/>
      </c>
      <c r="J2009" s="17" t="str">
        <f>IF(B2009="","",IF(B2008&lt;'02_Eingaben'!$C$36,0,J2008+I2008/'02_Eingaben'!$C$8))</f>
        <v/>
      </c>
    </row>
    <row r="2010" spans="1:10" x14ac:dyDescent="0.25">
      <c r="A2010" t="str">
        <f>IF('01_Rohdaten'!A2010="","",ROW()-1)</f>
        <v/>
      </c>
      <c r="B2010" s="17" t="str">
        <f>IF('01_Rohdaten'!A2010="","",'01_Rohdaten'!A2010)</f>
        <v/>
      </c>
      <c r="C2010" s="17" t="str">
        <f>IF(B2010="","",INDEX('01_Rohdaten'!B2010:D2010,'02_Eingaben'!$C$13))</f>
        <v/>
      </c>
      <c r="D2010" s="17" t="str">
        <f>IF(C2010="","",C2010*'02_Eingaben'!$C$15)</f>
        <v/>
      </c>
      <c r="E2010" s="17" t="str">
        <f>IF(D2010="","",D2010*'02_Eingaben'!$C$8)</f>
        <v/>
      </c>
      <c r="F2010" s="17" t="str">
        <f>IF(E2010="","",AVERAGE(INDEX($E$2:$E$3001,MAX(1,ROW()-1-'02_Eingaben'!$C$17)):INDEX($E$2:$E$3001,MIN('02_Eingaben'!$C$21,ROW()-1+'02_Eingaben'!$C$17))))</f>
        <v/>
      </c>
      <c r="G2010" s="17" t="str">
        <f>IF(F2010="","",F2010-'02_Eingaben'!$C$10)</f>
        <v/>
      </c>
      <c r="H2010" t="str">
        <f>IF(F2010="","",IF(F2010&lt;'02_Eingaben'!$C$18*'02_Eingaben'!$C$10,1,0))</f>
        <v/>
      </c>
      <c r="I2010" s="17" t="str">
        <f t="shared" si="31"/>
        <v/>
      </c>
      <c r="J2010" s="17" t="str">
        <f>IF(B2010="","",IF(B2009&lt;'02_Eingaben'!$C$36,0,J2009+I2009/'02_Eingaben'!$C$8))</f>
        <v/>
      </c>
    </row>
    <row r="2011" spans="1:10" x14ac:dyDescent="0.25">
      <c r="A2011" t="str">
        <f>IF('01_Rohdaten'!A2011="","",ROW()-1)</f>
        <v/>
      </c>
      <c r="B2011" s="17" t="str">
        <f>IF('01_Rohdaten'!A2011="","",'01_Rohdaten'!A2011)</f>
        <v/>
      </c>
      <c r="C2011" s="17" t="str">
        <f>IF(B2011="","",INDEX('01_Rohdaten'!B2011:D2011,'02_Eingaben'!$C$13))</f>
        <v/>
      </c>
      <c r="D2011" s="17" t="str">
        <f>IF(C2011="","",C2011*'02_Eingaben'!$C$15)</f>
        <v/>
      </c>
      <c r="E2011" s="17" t="str">
        <f>IF(D2011="","",D2011*'02_Eingaben'!$C$8)</f>
        <v/>
      </c>
      <c r="F2011" s="17" t="str">
        <f>IF(E2011="","",AVERAGE(INDEX($E$2:$E$3001,MAX(1,ROW()-1-'02_Eingaben'!$C$17)):INDEX($E$2:$E$3001,MIN('02_Eingaben'!$C$21,ROW()-1+'02_Eingaben'!$C$17))))</f>
        <v/>
      </c>
      <c r="G2011" s="17" t="str">
        <f>IF(F2011="","",F2011-'02_Eingaben'!$C$10)</f>
        <v/>
      </c>
      <c r="H2011" t="str">
        <f>IF(F2011="","",IF(F2011&lt;'02_Eingaben'!$C$18*'02_Eingaben'!$C$10,1,0))</f>
        <v/>
      </c>
      <c r="I2011" s="17" t="str">
        <f t="shared" si="31"/>
        <v/>
      </c>
      <c r="J2011" s="17" t="str">
        <f>IF(B2011="","",IF(B2010&lt;'02_Eingaben'!$C$36,0,J2010+I2010/'02_Eingaben'!$C$8))</f>
        <v/>
      </c>
    </row>
    <row r="2012" spans="1:10" x14ac:dyDescent="0.25">
      <c r="A2012" t="str">
        <f>IF('01_Rohdaten'!A2012="","",ROW()-1)</f>
        <v/>
      </c>
      <c r="B2012" s="17" t="str">
        <f>IF('01_Rohdaten'!A2012="","",'01_Rohdaten'!A2012)</f>
        <v/>
      </c>
      <c r="C2012" s="17" t="str">
        <f>IF(B2012="","",INDEX('01_Rohdaten'!B2012:D2012,'02_Eingaben'!$C$13))</f>
        <v/>
      </c>
      <c r="D2012" s="17" t="str">
        <f>IF(C2012="","",C2012*'02_Eingaben'!$C$15)</f>
        <v/>
      </c>
      <c r="E2012" s="17" t="str">
        <f>IF(D2012="","",D2012*'02_Eingaben'!$C$8)</f>
        <v/>
      </c>
      <c r="F2012" s="17" t="str">
        <f>IF(E2012="","",AVERAGE(INDEX($E$2:$E$3001,MAX(1,ROW()-1-'02_Eingaben'!$C$17)):INDEX($E$2:$E$3001,MIN('02_Eingaben'!$C$21,ROW()-1+'02_Eingaben'!$C$17))))</f>
        <v/>
      </c>
      <c r="G2012" s="17" t="str">
        <f>IF(F2012="","",F2012-'02_Eingaben'!$C$10)</f>
        <v/>
      </c>
      <c r="H2012" t="str">
        <f>IF(F2012="","",IF(F2012&lt;'02_Eingaben'!$C$18*'02_Eingaben'!$C$10,1,0))</f>
        <v/>
      </c>
      <c r="I2012" s="17" t="str">
        <f t="shared" si="31"/>
        <v/>
      </c>
      <c r="J2012" s="17" t="str">
        <f>IF(B2012="","",IF(B2011&lt;'02_Eingaben'!$C$36,0,J2011+I2011/'02_Eingaben'!$C$8))</f>
        <v/>
      </c>
    </row>
    <row r="2013" spans="1:10" x14ac:dyDescent="0.25">
      <c r="A2013" t="str">
        <f>IF('01_Rohdaten'!A2013="","",ROW()-1)</f>
        <v/>
      </c>
      <c r="B2013" s="17" t="str">
        <f>IF('01_Rohdaten'!A2013="","",'01_Rohdaten'!A2013)</f>
        <v/>
      </c>
      <c r="C2013" s="17" t="str">
        <f>IF(B2013="","",INDEX('01_Rohdaten'!B2013:D2013,'02_Eingaben'!$C$13))</f>
        <v/>
      </c>
      <c r="D2013" s="17" t="str">
        <f>IF(C2013="","",C2013*'02_Eingaben'!$C$15)</f>
        <v/>
      </c>
      <c r="E2013" s="17" t="str">
        <f>IF(D2013="","",D2013*'02_Eingaben'!$C$8)</f>
        <v/>
      </c>
      <c r="F2013" s="17" t="str">
        <f>IF(E2013="","",AVERAGE(INDEX($E$2:$E$3001,MAX(1,ROW()-1-'02_Eingaben'!$C$17)):INDEX($E$2:$E$3001,MIN('02_Eingaben'!$C$21,ROW()-1+'02_Eingaben'!$C$17))))</f>
        <v/>
      </c>
      <c r="G2013" s="17" t="str">
        <f>IF(F2013="","",F2013-'02_Eingaben'!$C$10)</f>
        <v/>
      </c>
      <c r="H2013" t="str">
        <f>IF(F2013="","",IF(F2013&lt;'02_Eingaben'!$C$18*'02_Eingaben'!$C$10,1,0))</f>
        <v/>
      </c>
      <c r="I2013" s="17" t="str">
        <f t="shared" si="31"/>
        <v/>
      </c>
      <c r="J2013" s="17" t="str">
        <f>IF(B2013="","",IF(B2012&lt;'02_Eingaben'!$C$36,0,J2012+I2012/'02_Eingaben'!$C$8))</f>
        <v/>
      </c>
    </row>
    <row r="2014" spans="1:10" x14ac:dyDescent="0.25">
      <c r="A2014" t="str">
        <f>IF('01_Rohdaten'!A2014="","",ROW()-1)</f>
        <v/>
      </c>
      <c r="B2014" s="17" t="str">
        <f>IF('01_Rohdaten'!A2014="","",'01_Rohdaten'!A2014)</f>
        <v/>
      </c>
      <c r="C2014" s="17" t="str">
        <f>IF(B2014="","",INDEX('01_Rohdaten'!B2014:D2014,'02_Eingaben'!$C$13))</f>
        <v/>
      </c>
      <c r="D2014" s="17" t="str">
        <f>IF(C2014="","",C2014*'02_Eingaben'!$C$15)</f>
        <v/>
      </c>
      <c r="E2014" s="17" t="str">
        <f>IF(D2014="","",D2014*'02_Eingaben'!$C$8)</f>
        <v/>
      </c>
      <c r="F2014" s="17" t="str">
        <f>IF(E2014="","",AVERAGE(INDEX($E$2:$E$3001,MAX(1,ROW()-1-'02_Eingaben'!$C$17)):INDEX($E$2:$E$3001,MIN('02_Eingaben'!$C$21,ROW()-1+'02_Eingaben'!$C$17))))</f>
        <v/>
      </c>
      <c r="G2014" s="17" t="str">
        <f>IF(F2014="","",F2014-'02_Eingaben'!$C$10)</f>
        <v/>
      </c>
      <c r="H2014" t="str">
        <f>IF(F2014="","",IF(F2014&lt;'02_Eingaben'!$C$18*'02_Eingaben'!$C$10,1,0))</f>
        <v/>
      </c>
      <c r="I2014" s="17" t="str">
        <f t="shared" si="31"/>
        <v/>
      </c>
      <c r="J2014" s="17" t="str">
        <f>IF(B2014="","",IF(B2013&lt;'02_Eingaben'!$C$36,0,J2013+I2013/'02_Eingaben'!$C$8))</f>
        <v/>
      </c>
    </row>
    <row r="2015" spans="1:10" x14ac:dyDescent="0.25">
      <c r="A2015" t="str">
        <f>IF('01_Rohdaten'!A2015="","",ROW()-1)</f>
        <v/>
      </c>
      <c r="B2015" s="17" t="str">
        <f>IF('01_Rohdaten'!A2015="","",'01_Rohdaten'!A2015)</f>
        <v/>
      </c>
      <c r="C2015" s="17" t="str">
        <f>IF(B2015="","",INDEX('01_Rohdaten'!B2015:D2015,'02_Eingaben'!$C$13))</f>
        <v/>
      </c>
      <c r="D2015" s="17" t="str">
        <f>IF(C2015="","",C2015*'02_Eingaben'!$C$15)</f>
        <v/>
      </c>
      <c r="E2015" s="17" t="str">
        <f>IF(D2015="","",D2015*'02_Eingaben'!$C$8)</f>
        <v/>
      </c>
      <c r="F2015" s="17" t="str">
        <f>IF(E2015="","",AVERAGE(INDEX($E$2:$E$3001,MAX(1,ROW()-1-'02_Eingaben'!$C$17)):INDEX($E$2:$E$3001,MIN('02_Eingaben'!$C$21,ROW()-1+'02_Eingaben'!$C$17))))</f>
        <v/>
      </c>
      <c r="G2015" s="17" t="str">
        <f>IF(F2015="","",F2015-'02_Eingaben'!$C$10)</f>
        <v/>
      </c>
      <c r="H2015" t="str">
        <f>IF(F2015="","",IF(F2015&lt;'02_Eingaben'!$C$18*'02_Eingaben'!$C$10,1,0))</f>
        <v/>
      </c>
      <c r="I2015" s="17" t="str">
        <f t="shared" si="31"/>
        <v/>
      </c>
      <c r="J2015" s="17" t="str">
        <f>IF(B2015="","",IF(B2014&lt;'02_Eingaben'!$C$36,0,J2014+I2014/'02_Eingaben'!$C$8))</f>
        <v/>
      </c>
    </row>
    <row r="2016" spans="1:10" x14ac:dyDescent="0.25">
      <c r="A2016" t="str">
        <f>IF('01_Rohdaten'!A2016="","",ROW()-1)</f>
        <v/>
      </c>
      <c r="B2016" s="17" t="str">
        <f>IF('01_Rohdaten'!A2016="","",'01_Rohdaten'!A2016)</f>
        <v/>
      </c>
      <c r="C2016" s="17" t="str">
        <f>IF(B2016="","",INDEX('01_Rohdaten'!B2016:D2016,'02_Eingaben'!$C$13))</f>
        <v/>
      </c>
      <c r="D2016" s="17" t="str">
        <f>IF(C2016="","",C2016*'02_Eingaben'!$C$15)</f>
        <v/>
      </c>
      <c r="E2016" s="17" t="str">
        <f>IF(D2016="","",D2016*'02_Eingaben'!$C$8)</f>
        <v/>
      </c>
      <c r="F2016" s="17" t="str">
        <f>IF(E2016="","",AVERAGE(INDEX($E$2:$E$3001,MAX(1,ROW()-1-'02_Eingaben'!$C$17)):INDEX($E$2:$E$3001,MIN('02_Eingaben'!$C$21,ROW()-1+'02_Eingaben'!$C$17))))</f>
        <v/>
      </c>
      <c r="G2016" s="17" t="str">
        <f>IF(F2016="","",F2016-'02_Eingaben'!$C$10)</f>
        <v/>
      </c>
      <c r="H2016" t="str">
        <f>IF(F2016="","",IF(F2016&lt;'02_Eingaben'!$C$18*'02_Eingaben'!$C$10,1,0))</f>
        <v/>
      </c>
      <c r="I2016" s="17" t="str">
        <f t="shared" si="31"/>
        <v/>
      </c>
      <c r="J2016" s="17" t="str">
        <f>IF(B2016="","",IF(B2015&lt;'02_Eingaben'!$C$36,0,J2015+I2015/'02_Eingaben'!$C$8))</f>
        <v/>
      </c>
    </row>
    <row r="2017" spans="1:10" x14ac:dyDescent="0.25">
      <c r="A2017" t="str">
        <f>IF('01_Rohdaten'!A2017="","",ROW()-1)</f>
        <v/>
      </c>
      <c r="B2017" s="17" t="str">
        <f>IF('01_Rohdaten'!A2017="","",'01_Rohdaten'!A2017)</f>
        <v/>
      </c>
      <c r="C2017" s="17" t="str">
        <f>IF(B2017="","",INDEX('01_Rohdaten'!B2017:D2017,'02_Eingaben'!$C$13))</f>
        <v/>
      </c>
      <c r="D2017" s="17" t="str">
        <f>IF(C2017="","",C2017*'02_Eingaben'!$C$15)</f>
        <v/>
      </c>
      <c r="E2017" s="17" t="str">
        <f>IF(D2017="","",D2017*'02_Eingaben'!$C$8)</f>
        <v/>
      </c>
      <c r="F2017" s="17" t="str">
        <f>IF(E2017="","",AVERAGE(INDEX($E$2:$E$3001,MAX(1,ROW()-1-'02_Eingaben'!$C$17)):INDEX($E$2:$E$3001,MIN('02_Eingaben'!$C$21,ROW()-1+'02_Eingaben'!$C$17))))</f>
        <v/>
      </c>
      <c r="G2017" s="17" t="str">
        <f>IF(F2017="","",F2017-'02_Eingaben'!$C$10)</f>
        <v/>
      </c>
      <c r="H2017" t="str">
        <f>IF(F2017="","",IF(F2017&lt;'02_Eingaben'!$C$18*'02_Eingaben'!$C$10,1,0))</f>
        <v/>
      </c>
      <c r="I2017" s="17" t="str">
        <f t="shared" si="31"/>
        <v/>
      </c>
      <c r="J2017" s="17" t="str">
        <f>IF(B2017="","",IF(B2016&lt;'02_Eingaben'!$C$36,0,J2016+I2016/'02_Eingaben'!$C$8))</f>
        <v/>
      </c>
    </row>
    <row r="2018" spans="1:10" x14ac:dyDescent="0.25">
      <c r="A2018" t="str">
        <f>IF('01_Rohdaten'!A2018="","",ROW()-1)</f>
        <v/>
      </c>
      <c r="B2018" s="17" t="str">
        <f>IF('01_Rohdaten'!A2018="","",'01_Rohdaten'!A2018)</f>
        <v/>
      </c>
      <c r="C2018" s="17" t="str">
        <f>IF(B2018="","",INDEX('01_Rohdaten'!B2018:D2018,'02_Eingaben'!$C$13))</f>
        <v/>
      </c>
      <c r="D2018" s="17" t="str">
        <f>IF(C2018="","",C2018*'02_Eingaben'!$C$15)</f>
        <v/>
      </c>
      <c r="E2018" s="17" t="str">
        <f>IF(D2018="","",D2018*'02_Eingaben'!$C$8)</f>
        <v/>
      </c>
      <c r="F2018" s="17" t="str">
        <f>IF(E2018="","",AVERAGE(INDEX($E$2:$E$3001,MAX(1,ROW()-1-'02_Eingaben'!$C$17)):INDEX($E$2:$E$3001,MIN('02_Eingaben'!$C$21,ROW()-1+'02_Eingaben'!$C$17))))</f>
        <v/>
      </c>
      <c r="G2018" s="17" t="str">
        <f>IF(F2018="","",F2018-'02_Eingaben'!$C$10)</f>
        <v/>
      </c>
      <c r="H2018" t="str">
        <f>IF(F2018="","",IF(F2018&lt;'02_Eingaben'!$C$18*'02_Eingaben'!$C$10,1,0))</f>
        <v/>
      </c>
      <c r="I2018" s="17" t="str">
        <f t="shared" si="31"/>
        <v/>
      </c>
      <c r="J2018" s="17" t="str">
        <f>IF(B2018="","",IF(B2017&lt;'02_Eingaben'!$C$36,0,J2017+I2017/'02_Eingaben'!$C$8))</f>
        <v/>
      </c>
    </row>
    <row r="2019" spans="1:10" x14ac:dyDescent="0.25">
      <c r="A2019" t="str">
        <f>IF('01_Rohdaten'!A2019="","",ROW()-1)</f>
        <v/>
      </c>
      <c r="B2019" s="17" t="str">
        <f>IF('01_Rohdaten'!A2019="","",'01_Rohdaten'!A2019)</f>
        <v/>
      </c>
      <c r="C2019" s="17" t="str">
        <f>IF(B2019="","",INDEX('01_Rohdaten'!B2019:D2019,'02_Eingaben'!$C$13))</f>
        <v/>
      </c>
      <c r="D2019" s="17" t="str">
        <f>IF(C2019="","",C2019*'02_Eingaben'!$C$15)</f>
        <v/>
      </c>
      <c r="E2019" s="17" t="str">
        <f>IF(D2019="","",D2019*'02_Eingaben'!$C$8)</f>
        <v/>
      </c>
      <c r="F2019" s="17" t="str">
        <f>IF(E2019="","",AVERAGE(INDEX($E$2:$E$3001,MAX(1,ROW()-1-'02_Eingaben'!$C$17)):INDEX($E$2:$E$3001,MIN('02_Eingaben'!$C$21,ROW()-1+'02_Eingaben'!$C$17))))</f>
        <v/>
      </c>
      <c r="G2019" s="17" t="str">
        <f>IF(F2019="","",F2019-'02_Eingaben'!$C$10)</f>
        <v/>
      </c>
      <c r="H2019" t="str">
        <f>IF(F2019="","",IF(F2019&lt;'02_Eingaben'!$C$18*'02_Eingaben'!$C$10,1,0))</f>
        <v/>
      </c>
      <c r="I2019" s="17" t="str">
        <f t="shared" si="31"/>
        <v/>
      </c>
      <c r="J2019" s="17" t="str">
        <f>IF(B2019="","",IF(B2018&lt;'02_Eingaben'!$C$36,0,J2018+I2018/'02_Eingaben'!$C$8))</f>
        <v/>
      </c>
    </row>
    <row r="2020" spans="1:10" x14ac:dyDescent="0.25">
      <c r="A2020" t="str">
        <f>IF('01_Rohdaten'!A2020="","",ROW()-1)</f>
        <v/>
      </c>
      <c r="B2020" s="17" t="str">
        <f>IF('01_Rohdaten'!A2020="","",'01_Rohdaten'!A2020)</f>
        <v/>
      </c>
      <c r="C2020" s="17" t="str">
        <f>IF(B2020="","",INDEX('01_Rohdaten'!B2020:D2020,'02_Eingaben'!$C$13))</f>
        <v/>
      </c>
      <c r="D2020" s="17" t="str">
        <f>IF(C2020="","",C2020*'02_Eingaben'!$C$15)</f>
        <v/>
      </c>
      <c r="E2020" s="17" t="str">
        <f>IF(D2020="","",D2020*'02_Eingaben'!$C$8)</f>
        <v/>
      </c>
      <c r="F2020" s="17" t="str">
        <f>IF(E2020="","",AVERAGE(INDEX($E$2:$E$3001,MAX(1,ROW()-1-'02_Eingaben'!$C$17)):INDEX($E$2:$E$3001,MIN('02_Eingaben'!$C$21,ROW()-1+'02_Eingaben'!$C$17))))</f>
        <v/>
      </c>
      <c r="G2020" s="17" t="str">
        <f>IF(F2020="","",F2020-'02_Eingaben'!$C$10)</f>
        <v/>
      </c>
      <c r="H2020" t="str">
        <f>IF(F2020="","",IF(F2020&lt;'02_Eingaben'!$C$18*'02_Eingaben'!$C$10,1,0))</f>
        <v/>
      </c>
      <c r="I2020" s="17" t="str">
        <f t="shared" si="31"/>
        <v/>
      </c>
      <c r="J2020" s="17" t="str">
        <f>IF(B2020="","",IF(B2019&lt;'02_Eingaben'!$C$36,0,J2019+I2019/'02_Eingaben'!$C$8))</f>
        <v/>
      </c>
    </row>
    <row r="2021" spans="1:10" x14ac:dyDescent="0.25">
      <c r="A2021" t="str">
        <f>IF('01_Rohdaten'!A2021="","",ROW()-1)</f>
        <v/>
      </c>
      <c r="B2021" s="17" t="str">
        <f>IF('01_Rohdaten'!A2021="","",'01_Rohdaten'!A2021)</f>
        <v/>
      </c>
      <c r="C2021" s="17" t="str">
        <f>IF(B2021="","",INDEX('01_Rohdaten'!B2021:D2021,'02_Eingaben'!$C$13))</f>
        <v/>
      </c>
      <c r="D2021" s="17" t="str">
        <f>IF(C2021="","",C2021*'02_Eingaben'!$C$15)</f>
        <v/>
      </c>
      <c r="E2021" s="17" t="str">
        <f>IF(D2021="","",D2021*'02_Eingaben'!$C$8)</f>
        <v/>
      </c>
      <c r="F2021" s="17" t="str">
        <f>IF(E2021="","",AVERAGE(INDEX($E$2:$E$3001,MAX(1,ROW()-1-'02_Eingaben'!$C$17)):INDEX($E$2:$E$3001,MIN('02_Eingaben'!$C$21,ROW()-1+'02_Eingaben'!$C$17))))</f>
        <v/>
      </c>
      <c r="G2021" s="17" t="str">
        <f>IF(F2021="","",F2021-'02_Eingaben'!$C$10)</f>
        <v/>
      </c>
      <c r="H2021" t="str">
        <f>IF(F2021="","",IF(F2021&lt;'02_Eingaben'!$C$18*'02_Eingaben'!$C$10,1,0))</f>
        <v/>
      </c>
      <c r="I2021" s="17" t="str">
        <f t="shared" si="31"/>
        <v/>
      </c>
      <c r="J2021" s="17" t="str">
        <f>IF(B2021="","",IF(B2020&lt;'02_Eingaben'!$C$36,0,J2020+I2020/'02_Eingaben'!$C$8))</f>
        <v/>
      </c>
    </row>
    <row r="2022" spans="1:10" x14ac:dyDescent="0.25">
      <c r="A2022" t="str">
        <f>IF('01_Rohdaten'!A2022="","",ROW()-1)</f>
        <v/>
      </c>
      <c r="B2022" s="17" t="str">
        <f>IF('01_Rohdaten'!A2022="","",'01_Rohdaten'!A2022)</f>
        <v/>
      </c>
      <c r="C2022" s="17" t="str">
        <f>IF(B2022="","",INDEX('01_Rohdaten'!B2022:D2022,'02_Eingaben'!$C$13))</f>
        <v/>
      </c>
      <c r="D2022" s="17" t="str">
        <f>IF(C2022="","",C2022*'02_Eingaben'!$C$15)</f>
        <v/>
      </c>
      <c r="E2022" s="17" t="str">
        <f>IF(D2022="","",D2022*'02_Eingaben'!$C$8)</f>
        <v/>
      </c>
      <c r="F2022" s="17" t="str">
        <f>IF(E2022="","",AVERAGE(INDEX($E$2:$E$3001,MAX(1,ROW()-1-'02_Eingaben'!$C$17)):INDEX($E$2:$E$3001,MIN('02_Eingaben'!$C$21,ROW()-1+'02_Eingaben'!$C$17))))</f>
        <v/>
      </c>
      <c r="G2022" s="17" t="str">
        <f>IF(F2022="","",F2022-'02_Eingaben'!$C$10)</f>
        <v/>
      </c>
      <c r="H2022" t="str">
        <f>IF(F2022="","",IF(F2022&lt;'02_Eingaben'!$C$18*'02_Eingaben'!$C$10,1,0))</f>
        <v/>
      </c>
      <c r="I2022" s="17" t="str">
        <f t="shared" si="31"/>
        <v/>
      </c>
      <c r="J2022" s="17" t="str">
        <f>IF(B2022="","",IF(B2021&lt;'02_Eingaben'!$C$36,0,J2021+I2021/'02_Eingaben'!$C$8))</f>
        <v/>
      </c>
    </row>
    <row r="2023" spans="1:10" x14ac:dyDescent="0.25">
      <c r="A2023" t="str">
        <f>IF('01_Rohdaten'!A2023="","",ROW()-1)</f>
        <v/>
      </c>
      <c r="B2023" s="17" t="str">
        <f>IF('01_Rohdaten'!A2023="","",'01_Rohdaten'!A2023)</f>
        <v/>
      </c>
      <c r="C2023" s="17" t="str">
        <f>IF(B2023="","",INDEX('01_Rohdaten'!B2023:D2023,'02_Eingaben'!$C$13))</f>
        <v/>
      </c>
      <c r="D2023" s="17" t="str">
        <f>IF(C2023="","",C2023*'02_Eingaben'!$C$15)</f>
        <v/>
      </c>
      <c r="E2023" s="17" t="str">
        <f>IF(D2023="","",D2023*'02_Eingaben'!$C$8)</f>
        <v/>
      </c>
      <c r="F2023" s="17" t="str">
        <f>IF(E2023="","",AVERAGE(INDEX($E$2:$E$3001,MAX(1,ROW()-1-'02_Eingaben'!$C$17)):INDEX($E$2:$E$3001,MIN('02_Eingaben'!$C$21,ROW()-1+'02_Eingaben'!$C$17))))</f>
        <v/>
      </c>
      <c r="G2023" s="17" t="str">
        <f>IF(F2023="","",F2023-'02_Eingaben'!$C$10)</f>
        <v/>
      </c>
      <c r="H2023" t="str">
        <f>IF(F2023="","",IF(F2023&lt;'02_Eingaben'!$C$18*'02_Eingaben'!$C$10,1,0))</f>
        <v/>
      </c>
      <c r="I2023" s="17" t="str">
        <f t="shared" si="31"/>
        <v/>
      </c>
      <c r="J2023" s="17" t="str">
        <f>IF(B2023="","",IF(B2022&lt;'02_Eingaben'!$C$36,0,J2022+I2022/'02_Eingaben'!$C$8))</f>
        <v/>
      </c>
    </row>
    <row r="2024" spans="1:10" x14ac:dyDescent="0.25">
      <c r="A2024" t="str">
        <f>IF('01_Rohdaten'!A2024="","",ROW()-1)</f>
        <v/>
      </c>
      <c r="B2024" s="17" t="str">
        <f>IF('01_Rohdaten'!A2024="","",'01_Rohdaten'!A2024)</f>
        <v/>
      </c>
      <c r="C2024" s="17" t="str">
        <f>IF(B2024="","",INDEX('01_Rohdaten'!B2024:D2024,'02_Eingaben'!$C$13))</f>
        <v/>
      </c>
      <c r="D2024" s="17" t="str">
        <f>IF(C2024="","",C2024*'02_Eingaben'!$C$15)</f>
        <v/>
      </c>
      <c r="E2024" s="17" t="str">
        <f>IF(D2024="","",D2024*'02_Eingaben'!$C$8)</f>
        <v/>
      </c>
      <c r="F2024" s="17" t="str">
        <f>IF(E2024="","",AVERAGE(INDEX($E$2:$E$3001,MAX(1,ROW()-1-'02_Eingaben'!$C$17)):INDEX($E$2:$E$3001,MIN('02_Eingaben'!$C$21,ROW()-1+'02_Eingaben'!$C$17))))</f>
        <v/>
      </c>
      <c r="G2024" s="17" t="str">
        <f>IF(F2024="","",F2024-'02_Eingaben'!$C$10)</f>
        <v/>
      </c>
      <c r="H2024" t="str">
        <f>IF(F2024="","",IF(F2024&lt;'02_Eingaben'!$C$18*'02_Eingaben'!$C$10,1,0))</f>
        <v/>
      </c>
      <c r="I2024" s="17" t="str">
        <f t="shared" si="31"/>
        <v/>
      </c>
      <c r="J2024" s="17" t="str">
        <f>IF(B2024="","",IF(B2023&lt;'02_Eingaben'!$C$36,0,J2023+I2023/'02_Eingaben'!$C$8))</f>
        <v/>
      </c>
    </row>
    <row r="2025" spans="1:10" x14ac:dyDescent="0.25">
      <c r="A2025" t="str">
        <f>IF('01_Rohdaten'!A2025="","",ROW()-1)</f>
        <v/>
      </c>
      <c r="B2025" s="17" t="str">
        <f>IF('01_Rohdaten'!A2025="","",'01_Rohdaten'!A2025)</f>
        <v/>
      </c>
      <c r="C2025" s="17" t="str">
        <f>IF(B2025="","",INDEX('01_Rohdaten'!B2025:D2025,'02_Eingaben'!$C$13))</f>
        <v/>
      </c>
      <c r="D2025" s="17" t="str">
        <f>IF(C2025="","",C2025*'02_Eingaben'!$C$15)</f>
        <v/>
      </c>
      <c r="E2025" s="17" t="str">
        <f>IF(D2025="","",D2025*'02_Eingaben'!$C$8)</f>
        <v/>
      </c>
      <c r="F2025" s="17" t="str">
        <f>IF(E2025="","",AVERAGE(INDEX($E$2:$E$3001,MAX(1,ROW()-1-'02_Eingaben'!$C$17)):INDEX($E$2:$E$3001,MIN('02_Eingaben'!$C$21,ROW()-1+'02_Eingaben'!$C$17))))</f>
        <v/>
      </c>
      <c r="G2025" s="17" t="str">
        <f>IF(F2025="","",F2025-'02_Eingaben'!$C$10)</f>
        <v/>
      </c>
      <c r="H2025" t="str">
        <f>IF(F2025="","",IF(F2025&lt;'02_Eingaben'!$C$18*'02_Eingaben'!$C$10,1,0))</f>
        <v/>
      </c>
      <c r="I2025" s="17" t="str">
        <f t="shared" si="31"/>
        <v/>
      </c>
      <c r="J2025" s="17" t="str">
        <f>IF(B2025="","",IF(B2024&lt;'02_Eingaben'!$C$36,0,J2024+I2024/'02_Eingaben'!$C$8))</f>
        <v/>
      </c>
    </row>
    <row r="2026" spans="1:10" x14ac:dyDescent="0.25">
      <c r="A2026" t="str">
        <f>IF('01_Rohdaten'!A2026="","",ROW()-1)</f>
        <v/>
      </c>
      <c r="B2026" s="17" t="str">
        <f>IF('01_Rohdaten'!A2026="","",'01_Rohdaten'!A2026)</f>
        <v/>
      </c>
      <c r="C2026" s="17" t="str">
        <f>IF(B2026="","",INDEX('01_Rohdaten'!B2026:D2026,'02_Eingaben'!$C$13))</f>
        <v/>
      </c>
      <c r="D2026" s="17" t="str">
        <f>IF(C2026="","",C2026*'02_Eingaben'!$C$15)</f>
        <v/>
      </c>
      <c r="E2026" s="17" t="str">
        <f>IF(D2026="","",D2026*'02_Eingaben'!$C$8)</f>
        <v/>
      </c>
      <c r="F2026" s="17" t="str">
        <f>IF(E2026="","",AVERAGE(INDEX($E$2:$E$3001,MAX(1,ROW()-1-'02_Eingaben'!$C$17)):INDEX($E$2:$E$3001,MIN('02_Eingaben'!$C$21,ROW()-1+'02_Eingaben'!$C$17))))</f>
        <v/>
      </c>
      <c r="G2026" s="17" t="str">
        <f>IF(F2026="","",F2026-'02_Eingaben'!$C$10)</f>
        <v/>
      </c>
      <c r="H2026" t="str">
        <f>IF(F2026="","",IF(F2026&lt;'02_Eingaben'!$C$18*'02_Eingaben'!$C$10,1,0))</f>
        <v/>
      </c>
      <c r="I2026" s="17" t="str">
        <f t="shared" si="31"/>
        <v/>
      </c>
      <c r="J2026" s="17" t="str">
        <f>IF(B2026="","",IF(B2025&lt;'02_Eingaben'!$C$36,0,J2025+I2025/'02_Eingaben'!$C$8))</f>
        <v/>
      </c>
    </row>
    <row r="2027" spans="1:10" x14ac:dyDescent="0.25">
      <c r="A2027" t="str">
        <f>IF('01_Rohdaten'!A2027="","",ROW()-1)</f>
        <v/>
      </c>
      <c r="B2027" s="17" t="str">
        <f>IF('01_Rohdaten'!A2027="","",'01_Rohdaten'!A2027)</f>
        <v/>
      </c>
      <c r="C2027" s="17" t="str">
        <f>IF(B2027="","",INDEX('01_Rohdaten'!B2027:D2027,'02_Eingaben'!$C$13))</f>
        <v/>
      </c>
      <c r="D2027" s="17" t="str">
        <f>IF(C2027="","",C2027*'02_Eingaben'!$C$15)</f>
        <v/>
      </c>
      <c r="E2027" s="17" t="str">
        <f>IF(D2027="","",D2027*'02_Eingaben'!$C$8)</f>
        <v/>
      </c>
      <c r="F2027" s="17" t="str">
        <f>IF(E2027="","",AVERAGE(INDEX($E$2:$E$3001,MAX(1,ROW()-1-'02_Eingaben'!$C$17)):INDEX($E$2:$E$3001,MIN('02_Eingaben'!$C$21,ROW()-1+'02_Eingaben'!$C$17))))</f>
        <v/>
      </c>
      <c r="G2027" s="17" t="str">
        <f>IF(F2027="","",F2027-'02_Eingaben'!$C$10)</f>
        <v/>
      </c>
      <c r="H2027" t="str">
        <f>IF(F2027="","",IF(F2027&lt;'02_Eingaben'!$C$18*'02_Eingaben'!$C$10,1,0))</f>
        <v/>
      </c>
      <c r="I2027" s="17" t="str">
        <f t="shared" si="31"/>
        <v/>
      </c>
      <c r="J2027" s="17" t="str">
        <f>IF(B2027="","",IF(B2026&lt;'02_Eingaben'!$C$36,0,J2026+I2026/'02_Eingaben'!$C$8))</f>
        <v/>
      </c>
    </row>
    <row r="2028" spans="1:10" x14ac:dyDescent="0.25">
      <c r="A2028" t="str">
        <f>IF('01_Rohdaten'!A2028="","",ROW()-1)</f>
        <v/>
      </c>
      <c r="B2028" s="17" t="str">
        <f>IF('01_Rohdaten'!A2028="","",'01_Rohdaten'!A2028)</f>
        <v/>
      </c>
      <c r="C2028" s="17" t="str">
        <f>IF(B2028="","",INDEX('01_Rohdaten'!B2028:D2028,'02_Eingaben'!$C$13))</f>
        <v/>
      </c>
      <c r="D2028" s="17" t="str">
        <f>IF(C2028="","",C2028*'02_Eingaben'!$C$15)</f>
        <v/>
      </c>
      <c r="E2028" s="17" t="str">
        <f>IF(D2028="","",D2028*'02_Eingaben'!$C$8)</f>
        <v/>
      </c>
      <c r="F2028" s="17" t="str">
        <f>IF(E2028="","",AVERAGE(INDEX($E$2:$E$3001,MAX(1,ROW()-1-'02_Eingaben'!$C$17)):INDEX($E$2:$E$3001,MIN('02_Eingaben'!$C$21,ROW()-1+'02_Eingaben'!$C$17))))</f>
        <v/>
      </c>
      <c r="G2028" s="17" t="str">
        <f>IF(F2028="","",F2028-'02_Eingaben'!$C$10)</f>
        <v/>
      </c>
      <c r="H2028" t="str">
        <f>IF(F2028="","",IF(F2028&lt;'02_Eingaben'!$C$18*'02_Eingaben'!$C$10,1,0))</f>
        <v/>
      </c>
      <c r="I2028" s="17" t="str">
        <f t="shared" si="31"/>
        <v/>
      </c>
      <c r="J2028" s="17" t="str">
        <f>IF(B2028="","",IF(B2027&lt;'02_Eingaben'!$C$36,0,J2027+I2027/'02_Eingaben'!$C$8))</f>
        <v/>
      </c>
    </row>
    <row r="2029" spans="1:10" x14ac:dyDescent="0.25">
      <c r="A2029" t="str">
        <f>IF('01_Rohdaten'!A2029="","",ROW()-1)</f>
        <v/>
      </c>
      <c r="B2029" s="17" t="str">
        <f>IF('01_Rohdaten'!A2029="","",'01_Rohdaten'!A2029)</f>
        <v/>
      </c>
      <c r="C2029" s="17" t="str">
        <f>IF(B2029="","",INDEX('01_Rohdaten'!B2029:D2029,'02_Eingaben'!$C$13))</f>
        <v/>
      </c>
      <c r="D2029" s="17" t="str">
        <f>IF(C2029="","",C2029*'02_Eingaben'!$C$15)</f>
        <v/>
      </c>
      <c r="E2029" s="17" t="str">
        <f>IF(D2029="","",D2029*'02_Eingaben'!$C$8)</f>
        <v/>
      </c>
      <c r="F2029" s="17" t="str">
        <f>IF(E2029="","",AVERAGE(INDEX($E$2:$E$3001,MAX(1,ROW()-1-'02_Eingaben'!$C$17)):INDEX($E$2:$E$3001,MIN('02_Eingaben'!$C$21,ROW()-1+'02_Eingaben'!$C$17))))</f>
        <v/>
      </c>
      <c r="G2029" s="17" t="str">
        <f>IF(F2029="","",F2029-'02_Eingaben'!$C$10)</f>
        <v/>
      </c>
      <c r="H2029" t="str">
        <f>IF(F2029="","",IF(F2029&lt;'02_Eingaben'!$C$18*'02_Eingaben'!$C$10,1,0))</f>
        <v/>
      </c>
      <c r="I2029" s="17" t="str">
        <f t="shared" si="31"/>
        <v/>
      </c>
      <c r="J2029" s="17" t="str">
        <f>IF(B2029="","",IF(B2028&lt;'02_Eingaben'!$C$36,0,J2028+I2028/'02_Eingaben'!$C$8))</f>
        <v/>
      </c>
    </row>
    <row r="2030" spans="1:10" x14ac:dyDescent="0.25">
      <c r="A2030" t="str">
        <f>IF('01_Rohdaten'!A2030="","",ROW()-1)</f>
        <v/>
      </c>
      <c r="B2030" s="17" t="str">
        <f>IF('01_Rohdaten'!A2030="","",'01_Rohdaten'!A2030)</f>
        <v/>
      </c>
      <c r="C2030" s="17" t="str">
        <f>IF(B2030="","",INDEX('01_Rohdaten'!B2030:D2030,'02_Eingaben'!$C$13))</f>
        <v/>
      </c>
      <c r="D2030" s="17" t="str">
        <f>IF(C2030="","",C2030*'02_Eingaben'!$C$15)</f>
        <v/>
      </c>
      <c r="E2030" s="17" t="str">
        <f>IF(D2030="","",D2030*'02_Eingaben'!$C$8)</f>
        <v/>
      </c>
      <c r="F2030" s="17" t="str">
        <f>IF(E2030="","",AVERAGE(INDEX($E$2:$E$3001,MAX(1,ROW()-1-'02_Eingaben'!$C$17)):INDEX($E$2:$E$3001,MIN('02_Eingaben'!$C$21,ROW()-1+'02_Eingaben'!$C$17))))</f>
        <v/>
      </c>
      <c r="G2030" s="17" t="str">
        <f>IF(F2030="","",F2030-'02_Eingaben'!$C$10)</f>
        <v/>
      </c>
      <c r="H2030" t="str">
        <f>IF(F2030="","",IF(F2030&lt;'02_Eingaben'!$C$18*'02_Eingaben'!$C$10,1,0))</f>
        <v/>
      </c>
      <c r="I2030" s="17" t="str">
        <f t="shared" si="31"/>
        <v/>
      </c>
      <c r="J2030" s="17" t="str">
        <f>IF(B2030="","",IF(B2029&lt;'02_Eingaben'!$C$36,0,J2029+I2029/'02_Eingaben'!$C$8))</f>
        <v/>
      </c>
    </row>
    <row r="2031" spans="1:10" x14ac:dyDescent="0.25">
      <c r="A2031" t="str">
        <f>IF('01_Rohdaten'!A2031="","",ROW()-1)</f>
        <v/>
      </c>
      <c r="B2031" s="17" t="str">
        <f>IF('01_Rohdaten'!A2031="","",'01_Rohdaten'!A2031)</f>
        <v/>
      </c>
      <c r="C2031" s="17" t="str">
        <f>IF(B2031="","",INDEX('01_Rohdaten'!B2031:D2031,'02_Eingaben'!$C$13))</f>
        <v/>
      </c>
      <c r="D2031" s="17" t="str">
        <f>IF(C2031="","",C2031*'02_Eingaben'!$C$15)</f>
        <v/>
      </c>
      <c r="E2031" s="17" t="str">
        <f>IF(D2031="","",D2031*'02_Eingaben'!$C$8)</f>
        <v/>
      </c>
      <c r="F2031" s="17" t="str">
        <f>IF(E2031="","",AVERAGE(INDEX($E$2:$E$3001,MAX(1,ROW()-1-'02_Eingaben'!$C$17)):INDEX($E$2:$E$3001,MIN('02_Eingaben'!$C$21,ROW()-1+'02_Eingaben'!$C$17))))</f>
        <v/>
      </c>
      <c r="G2031" s="17" t="str">
        <f>IF(F2031="","",F2031-'02_Eingaben'!$C$10)</f>
        <v/>
      </c>
      <c r="H2031" t="str">
        <f>IF(F2031="","",IF(F2031&lt;'02_Eingaben'!$C$18*'02_Eingaben'!$C$10,1,0))</f>
        <v/>
      </c>
      <c r="I2031" s="17" t="str">
        <f t="shared" si="31"/>
        <v/>
      </c>
      <c r="J2031" s="17" t="str">
        <f>IF(B2031="","",IF(B2030&lt;'02_Eingaben'!$C$36,0,J2030+I2030/'02_Eingaben'!$C$8))</f>
        <v/>
      </c>
    </row>
    <row r="2032" spans="1:10" x14ac:dyDescent="0.25">
      <c r="A2032" t="str">
        <f>IF('01_Rohdaten'!A2032="","",ROW()-1)</f>
        <v/>
      </c>
      <c r="B2032" s="17" t="str">
        <f>IF('01_Rohdaten'!A2032="","",'01_Rohdaten'!A2032)</f>
        <v/>
      </c>
      <c r="C2032" s="17" t="str">
        <f>IF(B2032="","",INDEX('01_Rohdaten'!B2032:D2032,'02_Eingaben'!$C$13))</f>
        <v/>
      </c>
      <c r="D2032" s="17" t="str">
        <f>IF(C2032="","",C2032*'02_Eingaben'!$C$15)</f>
        <v/>
      </c>
      <c r="E2032" s="17" t="str">
        <f>IF(D2032="","",D2032*'02_Eingaben'!$C$8)</f>
        <v/>
      </c>
      <c r="F2032" s="17" t="str">
        <f>IF(E2032="","",AVERAGE(INDEX($E$2:$E$3001,MAX(1,ROW()-1-'02_Eingaben'!$C$17)):INDEX($E$2:$E$3001,MIN('02_Eingaben'!$C$21,ROW()-1+'02_Eingaben'!$C$17))))</f>
        <v/>
      </c>
      <c r="G2032" s="17" t="str">
        <f>IF(F2032="","",F2032-'02_Eingaben'!$C$10)</f>
        <v/>
      </c>
      <c r="H2032" t="str">
        <f>IF(F2032="","",IF(F2032&lt;'02_Eingaben'!$C$18*'02_Eingaben'!$C$10,1,0))</f>
        <v/>
      </c>
      <c r="I2032" s="17" t="str">
        <f t="shared" si="31"/>
        <v/>
      </c>
      <c r="J2032" s="17" t="str">
        <f>IF(B2032="","",IF(B2031&lt;'02_Eingaben'!$C$36,0,J2031+I2031/'02_Eingaben'!$C$8))</f>
        <v/>
      </c>
    </row>
    <row r="2033" spans="1:10" x14ac:dyDescent="0.25">
      <c r="A2033" t="str">
        <f>IF('01_Rohdaten'!A2033="","",ROW()-1)</f>
        <v/>
      </c>
      <c r="B2033" s="17" t="str">
        <f>IF('01_Rohdaten'!A2033="","",'01_Rohdaten'!A2033)</f>
        <v/>
      </c>
      <c r="C2033" s="17" t="str">
        <f>IF(B2033="","",INDEX('01_Rohdaten'!B2033:D2033,'02_Eingaben'!$C$13))</f>
        <v/>
      </c>
      <c r="D2033" s="17" t="str">
        <f>IF(C2033="","",C2033*'02_Eingaben'!$C$15)</f>
        <v/>
      </c>
      <c r="E2033" s="17" t="str">
        <f>IF(D2033="","",D2033*'02_Eingaben'!$C$8)</f>
        <v/>
      </c>
      <c r="F2033" s="17" t="str">
        <f>IF(E2033="","",AVERAGE(INDEX($E$2:$E$3001,MAX(1,ROW()-1-'02_Eingaben'!$C$17)):INDEX($E$2:$E$3001,MIN('02_Eingaben'!$C$21,ROW()-1+'02_Eingaben'!$C$17))))</f>
        <v/>
      </c>
      <c r="G2033" s="17" t="str">
        <f>IF(F2033="","",F2033-'02_Eingaben'!$C$10)</f>
        <v/>
      </c>
      <c r="H2033" t="str">
        <f>IF(F2033="","",IF(F2033&lt;'02_Eingaben'!$C$18*'02_Eingaben'!$C$10,1,0))</f>
        <v/>
      </c>
      <c r="I2033" s="17" t="str">
        <f t="shared" si="31"/>
        <v/>
      </c>
      <c r="J2033" s="17" t="str">
        <f>IF(B2033="","",IF(B2032&lt;'02_Eingaben'!$C$36,0,J2032+I2032/'02_Eingaben'!$C$8))</f>
        <v/>
      </c>
    </row>
    <row r="2034" spans="1:10" x14ac:dyDescent="0.25">
      <c r="A2034" t="str">
        <f>IF('01_Rohdaten'!A2034="","",ROW()-1)</f>
        <v/>
      </c>
      <c r="B2034" s="17" t="str">
        <f>IF('01_Rohdaten'!A2034="","",'01_Rohdaten'!A2034)</f>
        <v/>
      </c>
      <c r="C2034" s="17" t="str">
        <f>IF(B2034="","",INDEX('01_Rohdaten'!B2034:D2034,'02_Eingaben'!$C$13))</f>
        <v/>
      </c>
      <c r="D2034" s="17" t="str">
        <f>IF(C2034="","",C2034*'02_Eingaben'!$C$15)</f>
        <v/>
      </c>
      <c r="E2034" s="17" t="str">
        <f>IF(D2034="","",D2034*'02_Eingaben'!$C$8)</f>
        <v/>
      </c>
      <c r="F2034" s="17" t="str">
        <f>IF(E2034="","",AVERAGE(INDEX($E$2:$E$3001,MAX(1,ROW()-1-'02_Eingaben'!$C$17)):INDEX($E$2:$E$3001,MIN('02_Eingaben'!$C$21,ROW()-1+'02_Eingaben'!$C$17))))</f>
        <v/>
      </c>
      <c r="G2034" s="17" t="str">
        <f>IF(F2034="","",F2034-'02_Eingaben'!$C$10)</f>
        <v/>
      </c>
      <c r="H2034" t="str">
        <f>IF(F2034="","",IF(F2034&lt;'02_Eingaben'!$C$18*'02_Eingaben'!$C$10,1,0))</f>
        <v/>
      </c>
      <c r="I2034" s="17" t="str">
        <f t="shared" si="31"/>
        <v/>
      </c>
      <c r="J2034" s="17" t="str">
        <f>IF(B2034="","",IF(B2033&lt;'02_Eingaben'!$C$36,0,J2033+I2033/'02_Eingaben'!$C$8))</f>
        <v/>
      </c>
    </row>
    <row r="2035" spans="1:10" x14ac:dyDescent="0.25">
      <c r="A2035" t="str">
        <f>IF('01_Rohdaten'!A2035="","",ROW()-1)</f>
        <v/>
      </c>
      <c r="B2035" s="17" t="str">
        <f>IF('01_Rohdaten'!A2035="","",'01_Rohdaten'!A2035)</f>
        <v/>
      </c>
      <c r="C2035" s="17" t="str">
        <f>IF(B2035="","",INDEX('01_Rohdaten'!B2035:D2035,'02_Eingaben'!$C$13))</f>
        <v/>
      </c>
      <c r="D2035" s="17" t="str">
        <f>IF(C2035="","",C2035*'02_Eingaben'!$C$15)</f>
        <v/>
      </c>
      <c r="E2035" s="17" t="str">
        <f>IF(D2035="","",D2035*'02_Eingaben'!$C$8)</f>
        <v/>
      </c>
      <c r="F2035" s="17" t="str">
        <f>IF(E2035="","",AVERAGE(INDEX($E$2:$E$3001,MAX(1,ROW()-1-'02_Eingaben'!$C$17)):INDEX($E$2:$E$3001,MIN('02_Eingaben'!$C$21,ROW()-1+'02_Eingaben'!$C$17))))</f>
        <v/>
      </c>
      <c r="G2035" s="17" t="str">
        <f>IF(F2035="","",F2035-'02_Eingaben'!$C$10)</f>
        <v/>
      </c>
      <c r="H2035" t="str">
        <f>IF(F2035="","",IF(F2035&lt;'02_Eingaben'!$C$18*'02_Eingaben'!$C$10,1,0))</f>
        <v/>
      </c>
      <c r="I2035" s="17" t="str">
        <f t="shared" si="31"/>
        <v/>
      </c>
      <c r="J2035" s="17" t="str">
        <f>IF(B2035="","",IF(B2034&lt;'02_Eingaben'!$C$36,0,J2034+I2034/'02_Eingaben'!$C$8))</f>
        <v/>
      </c>
    </row>
    <row r="2036" spans="1:10" x14ac:dyDescent="0.25">
      <c r="A2036" t="str">
        <f>IF('01_Rohdaten'!A2036="","",ROW()-1)</f>
        <v/>
      </c>
      <c r="B2036" s="17" t="str">
        <f>IF('01_Rohdaten'!A2036="","",'01_Rohdaten'!A2036)</f>
        <v/>
      </c>
      <c r="C2036" s="17" t="str">
        <f>IF(B2036="","",INDEX('01_Rohdaten'!B2036:D2036,'02_Eingaben'!$C$13))</f>
        <v/>
      </c>
      <c r="D2036" s="17" t="str">
        <f>IF(C2036="","",C2036*'02_Eingaben'!$C$15)</f>
        <v/>
      </c>
      <c r="E2036" s="17" t="str">
        <f>IF(D2036="","",D2036*'02_Eingaben'!$C$8)</f>
        <v/>
      </c>
      <c r="F2036" s="17" t="str">
        <f>IF(E2036="","",AVERAGE(INDEX($E$2:$E$3001,MAX(1,ROW()-1-'02_Eingaben'!$C$17)):INDEX($E$2:$E$3001,MIN('02_Eingaben'!$C$21,ROW()-1+'02_Eingaben'!$C$17))))</f>
        <v/>
      </c>
      <c r="G2036" s="17" t="str">
        <f>IF(F2036="","",F2036-'02_Eingaben'!$C$10)</f>
        <v/>
      </c>
      <c r="H2036" t="str">
        <f>IF(F2036="","",IF(F2036&lt;'02_Eingaben'!$C$18*'02_Eingaben'!$C$10,1,0))</f>
        <v/>
      </c>
      <c r="I2036" s="17" t="str">
        <f t="shared" si="31"/>
        <v/>
      </c>
      <c r="J2036" s="17" t="str">
        <f>IF(B2036="","",IF(B2035&lt;'02_Eingaben'!$C$36,0,J2035+I2035/'02_Eingaben'!$C$8))</f>
        <v/>
      </c>
    </row>
    <row r="2037" spans="1:10" x14ac:dyDescent="0.25">
      <c r="A2037" t="str">
        <f>IF('01_Rohdaten'!A2037="","",ROW()-1)</f>
        <v/>
      </c>
      <c r="B2037" s="17" t="str">
        <f>IF('01_Rohdaten'!A2037="","",'01_Rohdaten'!A2037)</f>
        <v/>
      </c>
      <c r="C2037" s="17" t="str">
        <f>IF(B2037="","",INDEX('01_Rohdaten'!B2037:D2037,'02_Eingaben'!$C$13))</f>
        <v/>
      </c>
      <c r="D2037" s="17" t="str">
        <f>IF(C2037="","",C2037*'02_Eingaben'!$C$15)</f>
        <v/>
      </c>
      <c r="E2037" s="17" t="str">
        <f>IF(D2037="","",D2037*'02_Eingaben'!$C$8)</f>
        <v/>
      </c>
      <c r="F2037" s="17" t="str">
        <f>IF(E2037="","",AVERAGE(INDEX($E$2:$E$3001,MAX(1,ROW()-1-'02_Eingaben'!$C$17)):INDEX($E$2:$E$3001,MIN('02_Eingaben'!$C$21,ROW()-1+'02_Eingaben'!$C$17))))</f>
        <v/>
      </c>
      <c r="G2037" s="17" t="str">
        <f>IF(F2037="","",F2037-'02_Eingaben'!$C$10)</f>
        <v/>
      </c>
      <c r="H2037" t="str">
        <f>IF(F2037="","",IF(F2037&lt;'02_Eingaben'!$C$18*'02_Eingaben'!$C$10,1,0))</f>
        <v/>
      </c>
      <c r="I2037" s="17" t="str">
        <f t="shared" si="31"/>
        <v/>
      </c>
      <c r="J2037" s="17" t="str">
        <f>IF(B2037="","",IF(B2036&lt;'02_Eingaben'!$C$36,0,J2036+I2036/'02_Eingaben'!$C$8))</f>
        <v/>
      </c>
    </row>
    <row r="2038" spans="1:10" x14ac:dyDescent="0.25">
      <c r="A2038" t="str">
        <f>IF('01_Rohdaten'!A2038="","",ROW()-1)</f>
        <v/>
      </c>
      <c r="B2038" s="17" t="str">
        <f>IF('01_Rohdaten'!A2038="","",'01_Rohdaten'!A2038)</f>
        <v/>
      </c>
      <c r="C2038" s="17" t="str">
        <f>IF(B2038="","",INDEX('01_Rohdaten'!B2038:D2038,'02_Eingaben'!$C$13))</f>
        <v/>
      </c>
      <c r="D2038" s="17" t="str">
        <f>IF(C2038="","",C2038*'02_Eingaben'!$C$15)</f>
        <v/>
      </c>
      <c r="E2038" s="17" t="str">
        <f>IF(D2038="","",D2038*'02_Eingaben'!$C$8)</f>
        <v/>
      </c>
      <c r="F2038" s="17" t="str">
        <f>IF(E2038="","",AVERAGE(INDEX($E$2:$E$3001,MAX(1,ROW()-1-'02_Eingaben'!$C$17)):INDEX($E$2:$E$3001,MIN('02_Eingaben'!$C$21,ROW()-1+'02_Eingaben'!$C$17))))</f>
        <v/>
      </c>
      <c r="G2038" s="17" t="str">
        <f>IF(F2038="","",F2038-'02_Eingaben'!$C$10)</f>
        <v/>
      </c>
      <c r="H2038" t="str">
        <f>IF(F2038="","",IF(F2038&lt;'02_Eingaben'!$C$18*'02_Eingaben'!$C$10,1,0))</f>
        <v/>
      </c>
      <c r="I2038" s="17" t="str">
        <f t="shared" si="31"/>
        <v/>
      </c>
      <c r="J2038" s="17" t="str">
        <f>IF(B2038="","",IF(B2037&lt;'02_Eingaben'!$C$36,0,J2037+I2037/'02_Eingaben'!$C$8))</f>
        <v/>
      </c>
    </row>
    <row r="2039" spans="1:10" x14ac:dyDescent="0.25">
      <c r="A2039" t="str">
        <f>IF('01_Rohdaten'!A2039="","",ROW()-1)</f>
        <v/>
      </c>
      <c r="B2039" s="17" t="str">
        <f>IF('01_Rohdaten'!A2039="","",'01_Rohdaten'!A2039)</f>
        <v/>
      </c>
      <c r="C2039" s="17" t="str">
        <f>IF(B2039="","",INDEX('01_Rohdaten'!B2039:D2039,'02_Eingaben'!$C$13))</f>
        <v/>
      </c>
      <c r="D2039" s="17" t="str">
        <f>IF(C2039="","",C2039*'02_Eingaben'!$C$15)</f>
        <v/>
      </c>
      <c r="E2039" s="17" t="str">
        <f>IF(D2039="","",D2039*'02_Eingaben'!$C$8)</f>
        <v/>
      </c>
      <c r="F2039" s="17" t="str">
        <f>IF(E2039="","",AVERAGE(INDEX($E$2:$E$3001,MAX(1,ROW()-1-'02_Eingaben'!$C$17)):INDEX($E$2:$E$3001,MIN('02_Eingaben'!$C$21,ROW()-1+'02_Eingaben'!$C$17))))</f>
        <v/>
      </c>
      <c r="G2039" s="17" t="str">
        <f>IF(F2039="","",F2039-'02_Eingaben'!$C$10)</f>
        <v/>
      </c>
      <c r="H2039" t="str">
        <f>IF(F2039="","",IF(F2039&lt;'02_Eingaben'!$C$18*'02_Eingaben'!$C$10,1,0))</f>
        <v/>
      </c>
      <c r="I2039" s="17" t="str">
        <f t="shared" si="31"/>
        <v/>
      </c>
      <c r="J2039" s="17" t="str">
        <f>IF(B2039="","",IF(B2038&lt;'02_Eingaben'!$C$36,0,J2038+I2038/'02_Eingaben'!$C$8))</f>
        <v/>
      </c>
    </row>
    <row r="2040" spans="1:10" x14ac:dyDescent="0.25">
      <c r="A2040" t="str">
        <f>IF('01_Rohdaten'!A2040="","",ROW()-1)</f>
        <v/>
      </c>
      <c r="B2040" s="17" t="str">
        <f>IF('01_Rohdaten'!A2040="","",'01_Rohdaten'!A2040)</f>
        <v/>
      </c>
      <c r="C2040" s="17" t="str">
        <f>IF(B2040="","",INDEX('01_Rohdaten'!B2040:D2040,'02_Eingaben'!$C$13))</f>
        <v/>
      </c>
      <c r="D2040" s="17" t="str">
        <f>IF(C2040="","",C2040*'02_Eingaben'!$C$15)</f>
        <v/>
      </c>
      <c r="E2040" s="17" t="str">
        <f>IF(D2040="","",D2040*'02_Eingaben'!$C$8)</f>
        <v/>
      </c>
      <c r="F2040" s="17" t="str">
        <f>IF(E2040="","",AVERAGE(INDEX($E$2:$E$3001,MAX(1,ROW()-1-'02_Eingaben'!$C$17)):INDEX($E$2:$E$3001,MIN('02_Eingaben'!$C$21,ROW()-1+'02_Eingaben'!$C$17))))</f>
        <v/>
      </c>
      <c r="G2040" s="17" t="str">
        <f>IF(F2040="","",F2040-'02_Eingaben'!$C$10)</f>
        <v/>
      </c>
      <c r="H2040" t="str">
        <f>IF(F2040="","",IF(F2040&lt;'02_Eingaben'!$C$18*'02_Eingaben'!$C$10,1,0))</f>
        <v/>
      </c>
      <c r="I2040" s="17" t="str">
        <f t="shared" si="31"/>
        <v/>
      </c>
      <c r="J2040" s="17" t="str">
        <f>IF(B2040="","",IF(B2039&lt;'02_Eingaben'!$C$36,0,J2039+I2039/'02_Eingaben'!$C$8))</f>
        <v/>
      </c>
    </row>
    <row r="2041" spans="1:10" x14ac:dyDescent="0.25">
      <c r="A2041" t="str">
        <f>IF('01_Rohdaten'!A2041="","",ROW()-1)</f>
        <v/>
      </c>
      <c r="B2041" s="17" t="str">
        <f>IF('01_Rohdaten'!A2041="","",'01_Rohdaten'!A2041)</f>
        <v/>
      </c>
      <c r="C2041" s="17" t="str">
        <f>IF(B2041="","",INDEX('01_Rohdaten'!B2041:D2041,'02_Eingaben'!$C$13))</f>
        <v/>
      </c>
      <c r="D2041" s="17" t="str">
        <f>IF(C2041="","",C2041*'02_Eingaben'!$C$15)</f>
        <v/>
      </c>
      <c r="E2041" s="17" t="str">
        <f>IF(D2041="","",D2041*'02_Eingaben'!$C$8)</f>
        <v/>
      </c>
      <c r="F2041" s="17" t="str">
        <f>IF(E2041="","",AVERAGE(INDEX($E$2:$E$3001,MAX(1,ROW()-1-'02_Eingaben'!$C$17)):INDEX($E$2:$E$3001,MIN('02_Eingaben'!$C$21,ROW()-1+'02_Eingaben'!$C$17))))</f>
        <v/>
      </c>
      <c r="G2041" s="17" t="str">
        <f>IF(F2041="","",F2041-'02_Eingaben'!$C$10)</f>
        <v/>
      </c>
      <c r="H2041" t="str">
        <f>IF(F2041="","",IF(F2041&lt;'02_Eingaben'!$C$18*'02_Eingaben'!$C$10,1,0))</f>
        <v/>
      </c>
      <c r="I2041" s="17" t="str">
        <f t="shared" si="31"/>
        <v/>
      </c>
      <c r="J2041" s="17" t="str">
        <f>IF(B2041="","",IF(B2040&lt;'02_Eingaben'!$C$36,0,J2040+I2040/'02_Eingaben'!$C$8))</f>
        <v/>
      </c>
    </row>
    <row r="2042" spans="1:10" x14ac:dyDescent="0.25">
      <c r="A2042" t="str">
        <f>IF('01_Rohdaten'!A2042="","",ROW()-1)</f>
        <v/>
      </c>
      <c r="B2042" s="17" t="str">
        <f>IF('01_Rohdaten'!A2042="","",'01_Rohdaten'!A2042)</f>
        <v/>
      </c>
      <c r="C2042" s="17" t="str">
        <f>IF(B2042="","",INDEX('01_Rohdaten'!B2042:D2042,'02_Eingaben'!$C$13))</f>
        <v/>
      </c>
      <c r="D2042" s="17" t="str">
        <f>IF(C2042="","",C2042*'02_Eingaben'!$C$15)</f>
        <v/>
      </c>
      <c r="E2042" s="17" t="str">
        <f>IF(D2042="","",D2042*'02_Eingaben'!$C$8)</f>
        <v/>
      </c>
      <c r="F2042" s="17" t="str">
        <f>IF(E2042="","",AVERAGE(INDEX($E$2:$E$3001,MAX(1,ROW()-1-'02_Eingaben'!$C$17)):INDEX($E$2:$E$3001,MIN('02_Eingaben'!$C$21,ROW()-1+'02_Eingaben'!$C$17))))</f>
        <v/>
      </c>
      <c r="G2042" s="17" t="str">
        <f>IF(F2042="","",F2042-'02_Eingaben'!$C$10)</f>
        <v/>
      </c>
      <c r="H2042" t="str">
        <f>IF(F2042="","",IF(F2042&lt;'02_Eingaben'!$C$18*'02_Eingaben'!$C$10,1,0))</f>
        <v/>
      </c>
      <c r="I2042" s="17" t="str">
        <f t="shared" si="31"/>
        <v/>
      </c>
      <c r="J2042" s="17" t="str">
        <f>IF(B2042="","",IF(B2041&lt;'02_Eingaben'!$C$36,0,J2041+I2041/'02_Eingaben'!$C$8))</f>
        <v/>
      </c>
    </row>
    <row r="2043" spans="1:10" x14ac:dyDescent="0.25">
      <c r="A2043" t="str">
        <f>IF('01_Rohdaten'!A2043="","",ROW()-1)</f>
        <v/>
      </c>
      <c r="B2043" s="17" t="str">
        <f>IF('01_Rohdaten'!A2043="","",'01_Rohdaten'!A2043)</f>
        <v/>
      </c>
      <c r="C2043" s="17" t="str">
        <f>IF(B2043="","",INDEX('01_Rohdaten'!B2043:D2043,'02_Eingaben'!$C$13))</f>
        <v/>
      </c>
      <c r="D2043" s="17" t="str">
        <f>IF(C2043="","",C2043*'02_Eingaben'!$C$15)</f>
        <v/>
      </c>
      <c r="E2043" s="17" t="str">
        <f>IF(D2043="","",D2043*'02_Eingaben'!$C$8)</f>
        <v/>
      </c>
      <c r="F2043" s="17" t="str">
        <f>IF(E2043="","",AVERAGE(INDEX($E$2:$E$3001,MAX(1,ROW()-1-'02_Eingaben'!$C$17)):INDEX($E$2:$E$3001,MIN('02_Eingaben'!$C$21,ROW()-1+'02_Eingaben'!$C$17))))</f>
        <v/>
      </c>
      <c r="G2043" s="17" t="str">
        <f>IF(F2043="","",F2043-'02_Eingaben'!$C$10)</f>
        <v/>
      </c>
      <c r="H2043" t="str">
        <f>IF(F2043="","",IF(F2043&lt;'02_Eingaben'!$C$18*'02_Eingaben'!$C$10,1,0))</f>
        <v/>
      </c>
      <c r="I2043" s="17" t="str">
        <f t="shared" si="31"/>
        <v/>
      </c>
      <c r="J2043" s="17" t="str">
        <f>IF(B2043="","",IF(B2042&lt;'02_Eingaben'!$C$36,0,J2042+I2042/'02_Eingaben'!$C$8))</f>
        <v/>
      </c>
    </row>
    <row r="2044" spans="1:10" x14ac:dyDescent="0.25">
      <c r="A2044" t="str">
        <f>IF('01_Rohdaten'!A2044="","",ROW()-1)</f>
        <v/>
      </c>
      <c r="B2044" s="17" t="str">
        <f>IF('01_Rohdaten'!A2044="","",'01_Rohdaten'!A2044)</f>
        <v/>
      </c>
      <c r="C2044" s="17" t="str">
        <f>IF(B2044="","",INDEX('01_Rohdaten'!B2044:D2044,'02_Eingaben'!$C$13))</f>
        <v/>
      </c>
      <c r="D2044" s="17" t="str">
        <f>IF(C2044="","",C2044*'02_Eingaben'!$C$15)</f>
        <v/>
      </c>
      <c r="E2044" s="17" t="str">
        <f>IF(D2044="","",D2044*'02_Eingaben'!$C$8)</f>
        <v/>
      </c>
      <c r="F2044" s="17" t="str">
        <f>IF(E2044="","",AVERAGE(INDEX($E$2:$E$3001,MAX(1,ROW()-1-'02_Eingaben'!$C$17)):INDEX($E$2:$E$3001,MIN('02_Eingaben'!$C$21,ROW()-1+'02_Eingaben'!$C$17))))</f>
        <v/>
      </c>
      <c r="G2044" s="17" t="str">
        <f>IF(F2044="","",F2044-'02_Eingaben'!$C$10)</f>
        <v/>
      </c>
      <c r="H2044" t="str">
        <f>IF(F2044="","",IF(F2044&lt;'02_Eingaben'!$C$18*'02_Eingaben'!$C$10,1,0))</f>
        <v/>
      </c>
      <c r="I2044" s="17" t="str">
        <f t="shared" si="31"/>
        <v/>
      </c>
      <c r="J2044" s="17" t="str">
        <f>IF(B2044="","",IF(B2043&lt;'02_Eingaben'!$C$36,0,J2043+I2043/'02_Eingaben'!$C$8))</f>
        <v/>
      </c>
    </row>
    <row r="2045" spans="1:10" x14ac:dyDescent="0.25">
      <c r="A2045" t="str">
        <f>IF('01_Rohdaten'!A2045="","",ROW()-1)</f>
        <v/>
      </c>
      <c r="B2045" s="17" t="str">
        <f>IF('01_Rohdaten'!A2045="","",'01_Rohdaten'!A2045)</f>
        <v/>
      </c>
      <c r="C2045" s="17" t="str">
        <f>IF(B2045="","",INDEX('01_Rohdaten'!B2045:D2045,'02_Eingaben'!$C$13))</f>
        <v/>
      </c>
      <c r="D2045" s="17" t="str">
        <f>IF(C2045="","",C2045*'02_Eingaben'!$C$15)</f>
        <v/>
      </c>
      <c r="E2045" s="17" t="str">
        <f>IF(D2045="","",D2045*'02_Eingaben'!$C$8)</f>
        <v/>
      </c>
      <c r="F2045" s="17" t="str">
        <f>IF(E2045="","",AVERAGE(INDEX($E$2:$E$3001,MAX(1,ROW()-1-'02_Eingaben'!$C$17)):INDEX($E$2:$E$3001,MIN('02_Eingaben'!$C$21,ROW()-1+'02_Eingaben'!$C$17))))</f>
        <v/>
      </c>
      <c r="G2045" s="17" t="str">
        <f>IF(F2045="","",F2045-'02_Eingaben'!$C$10)</f>
        <v/>
      </c>
      <c r="H2045" t="str">
        <f>IF(F2045="","",IF(F2045&lt;'02_Eingaben'!$C$18*'02_Eingaben'!$C$10,1,0))</f>
        <v/>
      </c>
      <c r="I2045" s="17" t="str">
        <f t="shared" si="31"/>
        <v/>
      </c>
      <c r="J2045" s="17" t="str">
        <f>IF(B2045="","",IF(B2044&lt;'02_Eingaben'!$C$36,0,J2044+I2044/'02_Eingaben'!$C$8))</f>
        <v/>
      </c>
    </row>
    <row r="2046" spans="1:10" x14ac:dyDescent="0.25">
      <c r="A2046" t="str">
        <f>IF('01_Rohdaten'!A2046="","",ROW()-1)</f>
        <v/>
      </c>
      <c r="B2046" s="17" t="str">
        <f>IF('01_Rohdaten'!A2046="","",'01_Rohdaten'!A2046)</f>
        <v/>
      </c>
      <c r="C2046" s="17" t="str">
        <f>IF(B2046="","",INDEX('01_Rohdaten'!B2046:D2046,'02_Eingaben'!$C$13))</f>
        <v/>
      </c>
      <c r="D2046" s="17" t="str">
        <f>IF(C2046="","",C2046*'02_Eingaben'!$C$15)</f>
        <v/>
      </c>
      <c r="E2046" s="17" t="str">
        <f>IF(D2046="","",D2046*'02_Eingaben'!$C$8)</f>
        <v/>
      </c>
      <c r="F2046" s="17" t="str">
        <f>IF(E2046="","",AVERAGE(INDEX($E$2:$E$3001,MAX(1,ROW()-1-'02_Eingaben'!$C$17)):INDEX($E$2:$E$3001,MIN('02_Eingaben'!$C$21,ROW()-1+'02_Eingaben'!$C$17))))</f>
        <v/>
      </c>
      <c r="G2046" s="17" t="str">
        <f>IF(F2046="","",F2046-'02_Eingaben'!$C$10)</f>
        <v/>
      </c>
      <c r="H2046" t="str">
        <f>IF(F2046="","",IF(F2046&lt;'02_Eingaben'!$C$18*'02_Eingaben'!$C$10,1,0))</f>
        <v/>
      </c>
      <c r="I2046" s="17" t="str">
        <f t="shared" si="31"/>
        <v/>
      </c>
      <c r="J2046" s="17" t="str">
        <f>IF(B2046="","",IF(B2045&lt;'02_Eingaben'!$C$36,0,J2045+I2045/'02_Eingaben'!$C$8))</f>
        <v/>
      </c>
    </row>
    <row r="2047" spans="1:10" x14ac:dyDescent="0.25">
      <c r="A2047" t="str">
        <f>IF('01_Rohdaten'!A2047="","",ROW()-1)</f>
        <v/>
      </c>
      <c r="B2047" s="17" t="str">
        <f>IF('01_Rohdaten'!A2047="","",'01_Rohdaten'!A2047)</f>
        <v/>
      </c>
      <c r="C2047" s="17" t="str">
        <f>IF(B2047="","",INDEX('01_Rohdaten'!B2047:D2047,'02_Eingaben'!$C$13))</f>
        <v/>
      </c>
      <c r="D2047" s="17" t="str">
        <f>IF(C2047="","",C2047*'02_Eingaben'!$C$15)</f>
        <v/>
      </c>
      <c r="E2047" s="17" t="str">
        <f>IF(D2047="","",D2047*'02_Eingaben'!$C$8)</f>
        <v/>
      </c>
      <c r="F2047" s="17" t="str">
        <f>IF(E2047="","",AVERAGE(INDEX($E$2:$E$3001,MAX(1,ROW()-1-'02_Eingaben'!$C$17)):INDEX($E$2:$E$3001,MIN('02_Eingaben'!$C$21,ROW()-1+'02_Eingaben'!$C$17))))</f>
        <v/>
      </c>
      <c r="G2047" s="17" t="str">
        <f>IF(F2047="","",F2047-'02_Eingaben'!$C$10)</f>
        <v/>
      </c>
      <c r="H2047" t="str">
        <f>IF(F2047="","",IF(F2047&lt;'02_Eingaben'!$C$18*'02_Eingaben'!$C$10,1,0))</f>
        <v/>
      </c>
      <c r="I2047" s="17" t="str">
        <f t="shared" si="31"/>
        <v/>
      </c>
      <c r="J2047" s="17" t="str">
        <f>IF(B2047="","",IF(B2046&lt;'02_Eingaben'!$C$36,0,J2046+I2046/'02_Eingaben'!$C$8))</f>
        <v/>
      </c>
    </row>
    <row r="2048" spans="1:10" x14ac:dyDescent="0.25">
      <c r="A2048" t="str">
        <f>IF('01_Rohdaten'!A2048="","",ROW()-1)</f>
        <v/>
      </c>
      <c r="B2048" s="17" t="str">
        <f>IF('01_Rohdaten'!A2048="","",'01_Rohdaten'!A2048)</f>
        <v/>
      </c>
      <c r="C2048" s="17" t="str">
        <f>IF(B2048="","",INDEX('01_Rohdaten'!B2048:D2048,'02_Eingaben'!$C$13))</f>
        <v/>
      </c>
      <c r="D2048" s="17" t="str">
        <f>IF(C2048="","",C2048*'02_Eingaben'!$C$15)</f>
        <v/>
      </c>
      <c r="E2048" s="17" t="str">
        <f>IF(D2048="","",D2048*'02_Eingaben'!$C$8)</f>
        <v/>
      </c>
      <c r="F2048" s="17" t="str">
        <f>IF(E2048="","",AVERAGE(INDEX($E$2:$E$3001,MAX(1,ROW()-1-'02_Eingaben'!$C$17)):INDEX($E$2:$E$3001,MIN('02_Eingaben'!$C$21,ROW()-1+'02_Eingaben'!$C$17))))</f>
        <v/>
      </c>
      <c r="G2048" s="17" t="str">
        <f>IF(F2048="","",F2048-'02_Eingaben'!$C$10)</f>
        <v/>
      </c>
      <c r="H2048" t="str">
        <f>IF(F2048="","",IF(F2048&lt;'02_Eingaben'!$C$18*'02_Eingaben'!$C$10,1,0))</f>
        <v/>
      </c>
      <c r="I2048" s="17" t="str">
        <f t="shared" si="31"/>
        <v/>
      </c>
      <c r="J2048" s="17" t="str">
        <f>IF(B2048="","",IF(B2047&lt;'02_Eingaben'!$C$36,0,J2047+I2047/'02_Eingaben'!$C$8))</f>
        <v/>
      </c>
    </row>
    <row r="2049" spans="1:10" x14ac:dyDescent="0.25">
      <c r="A2049" t="str">
        <f>IF('01_Rohdaten'!A2049="","",ROW()-1)</f>
        <v/>
      </c>
      <c r="B2049" s="17" t="str">
        <f>IF('01_Rohdaten'!A2049="","",'01_Rohdaten'!A2049)</f>
        <v/>
      </c>
      <c r="C2049" s="17" t="str">
        <f>IF(B2049="","",INDEX('01_Rohdaten'!B2049:D2049,'02_Eingaben'!$C$13))</f>
        <v/>
      </c>
      <c r="D2049" s="17" t="str">
        <f>IF(C2049="","",C2049*'02_Eingaben'!$C$15)</f>
        <v/>
      </c>
      <c r="E2049" s="17" t="str">
        <f>IF(D2049="","",D2049*'02_Eingaben'!$C$8)</f>
        <v/>
      </c>
      <c r="F2049" s="17" t="str">
        <f>IF(E2049="","",AVERAGE(INDEX($E$2:$E$3001,MAX(1,ROW()-1-'02_Eingaben'!$C$17)):INDEX($E$2:$E$3001,MIN('02_Eingaben'!$C$21,ROW()-1+'02_Eingaben'!$C$17))))</f>
        <v/>
      </c>
      <c r="G2049" s="17" t="str">
        <f>IF(F2049="","",F2049-'02_Eingaben'!$C$10)</f>
        <v/>
      </c>
      <c r="H2049" t="str">
        <f>IF(F2049="","",IF(F2049&lt;'02_Eingaben'!$C$18*'02_Eingaben'!$C$10,1,0))</f>
        <v/>
      </c>
      <c r="I2049" s="17" t="str">
        <f t="shared" si="31"/>
        <v/>
      </c>
      <c r="J2049" s="17" t="str">
        <f>IF(B2049="","",IF(B2048&lt;'02_Eingaben'!$C$36,0,J2048+I2048/'02_Eingaben'!$C$8))</f>
        <v/>
      </c>
    </row>
    <row r="2050" spans="1:10" x14ac:dyDescent="0.25">
      <c r="A2050" t="str">
        <f>IF('01_Rohdaten'!A2050="","",ROW()-1)</f>
        <v/>
      </c>
      <c r="B2050" s="17" t="str">
        <f>IF('01_Rohdaten'!A2050="","",'01_Rohdaten'!A2050)</f>
        <v/>
      </c>
      <c r="C2050" s="17" t="str">
        <f>IF(B2050="","",INDEX('01_Rohdaten'!B2050:D2050,'02_Eingaben'!$C$13))</f>
        <v/>
      </c>
      <c r="D2050" s="17" t="str">
        <f>IF(C2050="","",C2050*'02_Eingaben'!$C$15)</f>
        <v/>
      </c>
      <c r="E2050" s="17" t="str">
        <f>IF(D2050="","",D2050*'02_Eingaben'!$C$8)</f>
        <v/>
      </c>
      <c r="F2050" s="17" t="str">
        <f>IF(E2050="","",AVERAGE(INDEX($E$2:$E$3001,MAX(1,ROW()-1-'02_Eingaben'!$C$17)):INDEX($E$2:$E$3001,MIN('02_Eingaben'!$C$21,ROW()-1+'02_Eingaben'!$C$17))))</f>
        <v/>
      </c>
      <c r="G2050" s="17" t="str">
        <f>IF(F2050="","",F2050-'02_Eingaben'!$C$10)</f>
        <v/>
      </c>
      <c r="H2050" t="str">
        <f>IF(F2050="","",IF(F2050&lt;'02_Eingaben'!$C$18*'02_Eingaben'!$C$10,1,0))</f>
        <v/>
      </c>
      <c r="I2050" s="17" t="str">
        <f t="shared" ref="I2050:I2113" si="32">IF(OR(G2050="",G2051=""),"",(G2050+G2051)/2*(B2051-B2050))</f>
        <v/>
      </c>
      <c r="J2050" s="17" t="str">
        <f>IF(B2050="","",IF(B2049&lt;'02_Eingaben'!$C$36,0,J2049+I2049/'02_Eingaben'!$C$8))</f>
        <v/>
      </c>
    </row>
    <row r="2051" spans="1:10" x14ac:dyDescent="0.25">
      <c r="A2051" t="str">
        <f>IF('01_Rohdaten'!A2051="","",ROW()-1)</f>
        <v/>
      </c>
      <c r="B2051" s="17" t="str">
        <f>IF('01_Rohdaten'!A2051="","",'01_Rohdaten'!A2051)</f>
        <v/>
      </c>
      <c r="C2051" s="17" t="str">
        <f>IF(B2051="","",INDEX('01_Rohdaten'!B2051:D2051,'02_Eingaben'!$C$13))</f>
        <v/>
      </c>
      <c r="D2051" s="17" t="str">
        <f>IF(C2051="","",C2051*'02_Eingaben'!$C$15)</f>
        <v/>
      </c>
      <c r="E2051" s="17" t="str">
        <f>IF(D2051="","",D2051*'02_Eingaben'!$C$8)</f>
        <v/>
      </c>
      <c r="F2051" s="17" t="str">
        <f>IF(E2051="","",AVERAGE(INDEX($E$2:$E$3001,MAX(1,ROW()-1-'02_Eingaben'!$C$17)):INDEX($E$2:$E$3001,MIN('02_Eingaben'!$C$21,ROW()-1+'02_Eingaben'!$C$17))))</f>
        <v/>
      </c>
      <c r="G2051" s="17" t="str">
        <f>IF(F2051="","",F2051-'02_Eingaben'!$C$10)</f>
        <v/>
      </c>
      <c r="H2051" t="str">
        <f>IF(F2051="","",IF(F2051&lt;'02_Eingaben'!$C$18*'02_Eingaben'!$C$10,1,0))</f>
        <v/>
      </c>
      <c r="I2051" s="17" t="str">
        <f t="shared" si="32"/>
        <v/>
      </c>
      <c r="J2051" s="17" t="str">
        <f>IF(B2051="","",IF(B2050&lt;'02_Eingaben'!$C$36,0,J2050+I2050/'02_Eingaben'!$C$8))</f>
        <v/>
      </c>
    </row>
    <row r="2052" spans="1:10" x14ac:dyDescent="0.25">
      <c r="A2052" t="str">
        <f>IF('01_Rohdaten'!A2052="","",ROW()-1)</f>
        <v/>
      </c>
      <c r="B2052" s="17" t="str">
        <f>IF('01_Rohdaten'!A2052="","",'01_Rohdaten'!A2052)</f>
        <v/>
      </c>
      <c r="C2052" s="17" t="str">
        <f>IF(B2052="","",INDEX('01_Rohdaten'!B2052:D2052,'02_Eingaben'!$C$13))</f>
        <v/>
      </c>
      <c r="D2052" s="17" t="str">
        <f>IF(C2052="","",C2052*'02_Eingaben'!$C$15)</f>
        <v/>
      </c>
      <c r="E2052" s="17" t="str">
        <f>IF(D2052="","",D2052*'02_Eingaben'!$C$8)</f>
        <v/>
      </c>
      <c r="F2052" s="17" t="str">
        <f>IF(E2052="","",AVERAGE(INDEX($E$2:$E$3001,MAX(1,ROW()-1-'02_Eingaben'!$C$17)):INDEX($E$2:$E$3001,MIN('02_Eingaben'!$C$21,ROW()-1+'02_Eingaben'!$C$17))))</f>
        <v/>
      </c>
      <c r="G2052" s="17" t="str">
        <f>IF(F2052="","",F2052-'02_Eingaben'!$C$10)</f>
        <v/>
      </c>
      <c r="H2052" t="str">
        <f>IF(F2052="","",IF(F2052&lt;'02_Eingaben'!$C$18*'02_Eingaben'!$C$10,1,0))</f>
        <v/>
      </c>
      <c r="I2052" s="17" t="str">
        <f t="shared" si="32"/>
        <v/>
      </c>
      <c r="J2052" s="17" t="str">
        <f>IF(B2052="","",IF(B2051&lt;'02_Eingaben'!$C$36,0,J2051+I2051/'02_Eingaben'!$C$8))</f>
        <v/>
      </c>
    </row>
    <row r="2053" spans="1:10" x14ac:dyDescent="0.25">
      <c r="A2053" t="str">
        <f>IF('01_Rohdaten'!A2053="","",ROW()-1)</f>
        <v/>
      </c>
      <c r="B2053" s="17" t="str">
        <f>IF('01_Rohdaten'!A2053="","",'01_Rohdaten'!A2053)</f>
        <v/>
      </c>
      <c r="C2053" s="17" t="str">
        <f>IF(B2053="","",INDEX('01_Rohdaten'!B2053:D2053,'02_Eingaben'!$C$13))</f>
        <v/>
      </c>
      <c r="D2053" s="17" t="str">
        <f>IF(C2053="","",C2053*'02_Eingaben'!$C$15)</f>
        <v/>
      </c>
      <c r="E2053" s="17" t="str">
        <f>IF(D2053="","",D2053*'02_Eingaben'!$C$8)</f>
        <v/>
      </c>
      <c r="F2053" s="17" t="str">
        <f>IF(E2053="","",AVERAGE(INDEX($E$2:$E$3001,MAX(1,ROW()-1-'02_Eingaben'!$C$17)):INDEX($E$2:$E$3001,MIN('02_Eingaben'!$C$21,ROW()-1+'02_Eingaben'!$C$17))))</f>
        <v/>
      </c>
      <c r="G2053" s="17" t="str">
        <f>IF(F2053="","",F2053-'02_Eingaben'!$C$10)</f>
        <v/>
      </c>
      <c r="H2053" t="str">
        <f>IF(F2053="","",IF(F2053&lt;'02_Eingaben'!$C$18*'02_Eingaben'!$C$10,1,0))</f>
        <v/>
      </c>
      <c r="I2053" s="17" t="str">
        <f t="shared" si="32"/>
        <v/>
      </c>
      <c r="J2053" s="17" t="str">
        <f>IF(B2053="","",IF(B2052&lt;'02_Eingaben'!$C$36,0,J2052+I2052/'02_Eingaben'!$C$8))</f>
        <v/>
      </c>
    </row>
    <row r="2054" spans="1:10" x14ac:dyDescent="0.25">
      <c r="A2054" t="str">
        <f>IF('01_Rohdaten'!A2054="","",ROW()-1)</f>
        <v/>
      </c>
      <c r="B2054" s="17" t="str">
        <f>IF('01_Rohdaten'!A2054="","",'01_Rohdaten'!A2054)</f>
        <v/>
      </c>
      <c r="C2054" s="17" t="str">
        <f>IF(B2054="","",INDEX('01_Rohdaten'!B2054:D2054,'02_Eingaben'!$C$13))</f>
        <v/>
      </c>
      <c r="D2054" s="17" t="str">
        <f>IF(C2054="","",C2054*'02_Eingaben'!$C$15)</f>
        <v/>
      </c>
      <c r="E2054" s="17" t="str">
        <f>IF(D2054="","",D2054*'02_Eingaben'!$C$8)</f>
        <v/>
      </c>
      <c r="F2054" s="17" t="str">
        <f>IF(E2054="","",AVERAGE(INDEX($E$2:$E$3001,MAX(1,ROW()-1-'02_Eingaben'!$C$17)):INDEX($E$2:$E$3001,MIN('02_Eingaben'!$C$21,ROW()-1+'02_Eingaben'!$C$17))))</f>
        <v/>
      </c>
      <c r="G2054" s="17" t="str">
        <f>IF(F2054="","",F2054-'02_Eingaben'!$C$10)</f>
        <v/>
      </c>
      <c r="H2054" t="str">
        <f>IF(F2054="","",IF(F2054&lt;'02_Eingaben'!$C$18*'02_Eingaben'!$C$10,1,0))</f>
        <v/>
      </c>
      <c r="I2054" s="17" t="str">
        <f t="shared" si="32"/>
        <v/>
      </c>
      <c r="J2054" s="17" t="str">
        <f>IF(B2054="","",IF(B2053&lt;'02_Eingaben'!$C$36,0,J2053+I2053/'02_Eingaben'!$C$8))</f>
        <v/>
      </c>
    </row>
    <row r="2055" spans="1:10" x14ac:dyDescent="0.25">
      <c r="A2055" t="str">
        <f>IF('01_Rohdaten'!A2055="","",ROW()-1)</f>
        <v/>
      </c>
      <c r="B2055" s="17" t="str">
        <f>IF('01_Rohdaten'!A2055="","",'01_Rohdaten'!A2055)</f>
        <v/>
      </c>
      <c r="C2055" s="17" t="str">
        <f>IF(B2055="","",INDEX('01_Rohdaten'!B2055:D2055,'02_Eingaben'!$C$13))</f>
        <v/>
      </c>
      <c r="D2055" s="17" t="str">
        <f>IF(C2055="","",C2055*'02_Eingaben'!$C$15)</f>
        <v/>
      </c>
      <c r="E2055" s="17" t="str">
        <f>IF(D2055="","",D2055*'02_Eingaben'!$C$8)</f>
        <v/>
      </c>
      <c r="F2055" s="17" t="str">
        <f>IF(E2055="","",AVERAGE(INDEX($E$2:$E$3001,MAX(1,ROW()-1-'02_Eingaben'!$C$17)):INDEX($E$2:$E$3001,MIN('02_Eingaben'!$C$21,ROW()-1+'02_Eingaben'!$C$17))))</f>
        <v/>
      </c>
      <c r="G2055" s="17" t="str">
        <f>IF(F2055="","",F2055-'02_Eingaben'!$C$10)</f>
        <v/>
      </c>
      <c r="H2055" t="str">
        <f>IF(F2055="","",IF(F2055&lt;'02_Eingaben'!$C$18*'02_Eingaben'!$C$10,1,0))</f>
        <v/>
      </c>
      <c r="I2055" s="17" t="str">
        <f t="shared" si="32"/>
        <v/>
      </c>
      <c r="J2055" s="17" t="str">
        <f>IF(B2055="","",IF(B2054&lt;'02_Eingaben'!$C$36,0,J2054+I2054/'02_Eingaben'!$C$8))</f>
        <v/>
      </c>
    </row>
    <row r="2056" spans="1:10" x14ac:dyDescent="0.25">
      <c r="A2056" t="str">
        <f>IF('01_Rohdaten'!A2056="","",ROW()-1)</f>
        <v/>
      </c>
      <c r="B2056" s="17" t="str">
        <f>IF('01_Rohdaten'!A2056="","",'01_Rohdaten'!A2056)</f>
        <v/>
      </c>
      <c r="C2056" s="17" t="str">
        <f>IF(B2056="","",INDEX('01_Rohdaten'!B2056:D2056,'02_Eingaben'!$C$13))</f>
        <v/>
      </c>
      <c r="D2056" s="17" t="str">
        <f>IF(C2056="","",C2056*'02_Eingaben'!$C$15)</f>
        <v/>
      </c>
      <c r="E2056" s="17" t="str">
        <f>IF(D2056="","",D2056*'02_Eingaben'!$C$8)</f>
        <v/>
      </c>
      <c r="F2056" s="17" t="str">
        <f>IF(E2056="","",AVERAGE(INDEX($E$2:$E$3001,MAX(1,ROW()-1-'02_Eingaben'!$C$17)):INDEX($E$2:$E$3001,MIN('02_Eingaben'!$C$21,ROW()-1+'02_Eingaben'!$C$17))))</f>
        <v/>
      </c>
      <c r="G2056" s="17" t="str">
        <f>IF(F2056="","",F2056-'02_Eingaben'!$C$10)</f>
        <v/>
      </c>
      <c r="H2056" t="str">
        <f>IF(F2056="","",IF(F2056&lt;'02_Eingaben'!$C$18*'02_Eingaben'!$C$10,1,0))</f>
        <v/>
      </c>
      <c r="I2056" s="17" t="str">
        <f t="shared" si="32"/>
        <v/>
      </c>
      <c r="J2056" s="17" t="str">
        <f>IF(B2056="","",IF(B2055&lt;'02_Eingaben'!$C$36,0,J2055+I2055/'02_Eingaben'!$C$8))</f>
        <v/>
      </c>
    </row>
    <row r="2057" spans="1:10" x14ac:dyDescent="0.25">
      <c r="A2057" t="str">
        <f>IF('01_Rohdaten'!A2057="","",ROW()-1)</f>
        <v/>
      </c>
      <c r="B2057" s="17" t="str">
        <f>IF('01_Rohdaten'!A2057="","",'01_Rohdaten'!A2057)</f>
        <v/>
      </c>
      <c r="C2057" s="17" t="str">
        <f>IF(B2057="","",INDEX('01_Rohdaten'!B2057:D2057,'02_Eingaben'!$C$13))</f>
        <v/>
      </c>
      <c r="D2057" s="17" t="str">
        <f>IF(C2057="","",C2057*'02_Eingaben'!$C$15)</f>
        <v/>
      </c>
      <c r="E2057" s="17" t="str">
        <f>IF(D2057="","",D2057*'02_Eingaben'!$C$8)</f>
        <v/>
      </c>
      <c r="F2057" s="17" t="str">
        <f>IF(E2057="","",AVERAGE(INDEX($E$2:$E$3001,MAX(1,ROW()-1-'02_Eingaben'!$C$17)):INDEX($E$2:$E$3001,MIN('02_Eingaben'!$C$21,ROW()-1+'02_Eingaben'!$C$17))))</f>
        <v/>
      </c>
      <c r="G2057" s="17" t="str">
        <f>IF(F2057="","",F2057-'02_Eingaben'!$C$10)</f>
        <v/>
      </c>
      <c r="H2057" t="str">
        <f>IF(F2057="","",IF(F2057&lt;'02_Eingaben'!$C$18*'02_Eingaben'!$C$10,1,0))</f>
        <v/>
      </c>
      <c r="I2057" s="17" t="str">
        <f t="shared" si="32"/>
        <v/>
      </c>
      <c r="J2057" s="17" t="str">
        <f>IF(B2057="","",IF(B2056&lt;'02_Eingaben'!$C$36,0,J2056+I2056/'02_Eingaben'!$C$8))</f>
        <v/>
      </c>
    </row>
    <row r="2058" spans="1:10" x14ac:dyDescent="0.25">
      <c r="A2058" t="str">
        <f>IF('01_Rohdaten'!A2058="","",ROW()-1)</f>
        <v/>
      </c>
      <c r="B2058" s="17" t="str">
        <f>IF('01_Rohdaten'!A2058="","",'01_Rohdaten'!A2058)</f>
        <v/>
      </c>
      <c r="C2058" s="17" t="str">
        <f>IF(B2058="","",INDEX('01_Rohdaten'!B2058:D2058,'02_Eingaben'!$C$13))</f>
        <v/>
      </c>
      <c r="D2058" s="17" t="str">
        <f>IF(C2058="","",C2058*'02_Eingaben'!$C$15)</f>
        <v/>
      </c>
      <c r="E2058" s="17" t="str">
        <f>IF(D2058="","",D2058*'02_Eingaben'!$C$8)</f>
        <v/>
      </c>
      <c r="F2058" s="17" t="str">
        <f>IF(E2058="","",AVERAGE(INDEX($E$2:$E$3001,MAX(1,ROW()-1-'02_Eingaben'!$C$17)):INDEX($E$2:$E$3001,MIN('02_Eingaben'!$C$21,ROW()-1+'02_Eingaben'!$C$17))))</f>
        <v/>
      </c>
      <c r="G2058" s="17" t="str">
        <f>IF(F2058="","",F2058-'02_Eingaben'!$C$10)</f>
        <v/>
      </c>
      <c r="H2058" t="str">
        <f>IF(F2058="","",IF(F2058&lt;'02_Eingaben'!$C$18*'02_Eingaben'!$C$10,1,0))</f>
        <v/>
      </c>
      <c r="I2058" s="17" t="str">
        <f t="shared" si="32"/>
        <v/>
      </c>
      <c r="J2058" s="17" t="str">
        <f>IF(B2058="","",IF(B2057&lt;'02_Eingaben'!$C$36,0,J2057+I2057/'02_Eingaben'!$C$8))</f>
        <v/>
      </c>
    </row>
    <row r="2059" spans="1:10" x14ac:dyDescent="0.25">
      <c r="A2059" t="str">
        <f>IF('01_Rohdaten'!A2059="","",ROW()-1)</f>
        <v/>
      </c>
      <c r="B2059" s="17" t="str">
        <f>IF('01_Rohdaten'!A2059="","",'01_Rohdaten'!A2059)</f>
        <v/>
      </c>
      <c r="C2059" s="17" t="str">
        <f>IF(B2059="","",INDEX('01_Rohdaten'!B2059:D2059,'02_Eingaben'!$C$13))</f>
        <v/>
      </c>
      <c r="D2059" s="17" t="str">
        <f>IF(C2059="","",C2059*'02_Eingaben'!$C$15)</f>
        <v/>
      </c>
      <c r="E2059" s="17" t="str">
        <f>IF(D2059="","",D2059*'02_Eingaben'!$C$8)</f>
        <v/>
      </c>
      <c r="F2059" s="17" t="str">
        <f>IF(E2059="","",AVERAGE(INDEX($E$2:$E$3001,MAX(1,ROW()-1-'02_Eingaben'!$C$17)):INDEX($E$2:$E$3001,MIN('02_Eingaben'!$C$21,ROW()-1+'02_Eingaben'!$C$17))))</f>
        <v/>
      </c>
      <c r="G2059" s="17" t="str">
        <f>IF(F2059="","",F2059-'02_Eingaben'!$C$10)</f>
        <v/>
      </c>
      <c r="H2059" t="str">
        <f>IF(F2059="","",IF(F2059&lt;'02_Eingaben'!$C$18*'02_Eingaben'!$C$10,1,0))</f>
        <v/>
      </c>
      <c r="I2059" s="17" t="str">
        <f t="shared" si="32"/>
        <v/>
      </c>
      <c r="J2059" s="17" t="str">
        <f>IF(B2059="","",IF(B2058&lt;'02_Eingaben'!$C$36,0,J2058+I2058/'02_Eingaben'!$C$8))</f>
        <v/>
      </c>
    </row>
    <row r="2060" spans="1:10" x14ac:dyDescent="0.25">
      <c r="A2060" t="str">
        <f>IF('01_Rohdaten'!A2060="","",ROW()-1)</f>
        <v/>
      </c>
      <c r="B2060" s="17" t="str">
        <f>IF('01_Rohdaten'!A2060="","",'01_Rohdaten'!A2060)</f>
        <v/>
      </c>
      <c r="C2060" s="17" t="str">
        <f>IF(B2060="","",INDEX('01_Rohdaten'!B2060:D2060,'02_Eingaben'!$C$13))</f>
        <v/>
      </c>
      <c r="D2060" s="17" t="str">
        <f>IF(C2060="","",C2060*'02_Eingaben'!$C$15)</f>
        <v/>
      </c>
      <c r="E2060" s="17" t="str">
        <f>IF(D2060="","",D2060*'02_Eingaben'!$C$8)</f>
        <v/>
      </c>
      <c r="F2060" s="17" t="str">
        <f>IF(E2060="","",AVERAGE(INDEX($E$2:$E$3001,MAX(1,ROW()-1-'02_Eingaben'!$C$17)):INDEX($E$2:$E$3001,MIN('02_Eingaben'!$C$21,ROW()-1+'02_Eingaben'!$C$17))))</f>
        <v/>
      </c>
      <c r="G2060" s="17" t="str">
        <f>IF(F2060="","",F2060-'02_Eingaben'!$C$10)</f>
        <v/>
      </c>
      <c r="H2060" t="str">
        <f>IF(F2060="","",IF(F2060&lt;'02_Eingaben'!$C$18*'02_Eingaben'!$C$10,1,0))</f>
        <v/>
      </c>
      <c r="I2060" s="17" t="str">
        <f t="shared" si="32"/>
        <v/>
      </c>
      <c r="J2060" s="17" t="str">
        <f>IF(B2060="","",IF(B2059&lt;'02_Eingaben'!$C$36,0,J2059+I2059/'02_Eingaben'!$C$8))</f>
        <v/>
      </c>
    </row>
    <row r="2061" spans="1:10" x14ac:dyDescent="0.25">
      <c r="A2061" t="str">
        <f>IF('01_Rohdaten'!A2061="","",ROW()-1)</f>
        <v/>
      </c>
      <c r="B2061" s="17" t="str">
        <f>IF('01_Rohdaten'!A2061="","",'01_Rohdaten'!A2061)</f>
        <v/>
      </c>
      <c r="C2061" s="17" t="str">
        <f>IF(B2061="","",INDEX('01_Rohdaten'!B2061:D2061,'02_Eingaben'!$C$13))</f>
        <v/>
      </c>
      <c r="D2061" s="17" t="str">
        <f>IF(C2061="","",C2061*'02_Eingaben'!$C$15)</f>
        <v/>
      </c>
      <c r="E2061" s="17" t="str">
        <f>IF(D2061="","",D2061*'02_Eingaben'!$C$8)</f>
        <v/>
      </c>
      <c r="F2061" s="17" t="str">
        <f>IF(E2061="","",AVERAGE(INDEX($E$2:$E$3001,MAX(1,ROW()-1-'02_Eingaben'!$C$17)):INDEX($E$2:$E$3001,MIN('02_Eingaben'!$C$21,ROW()-1+'02_Eingaben'!$C$17))))</f>
        <v/>
      </c>
      <c r="G2061" s="17" t="str">
        <f>IF(F2061="","",F2061-'02_Eingaben'!$C$10)</f>
        <v/>
      </c>
      <c r="H2061" t="str">
        <f>IF(F2061="","",IF(F2061&lt;'02_Eingaben'!$C$18*'02_Eingaben'!$C$10,1,0))</f>
        <v/>
      </c>
      <c r="I2061" s="17" t="str">
        <f t="shared" si="32"/>
        <v/>
      </c>
      <c r="J2061" s="17" t="str">
        <f>IF(B2061="","",IF(B2060&lt;'02_Eingaben'!$C$36,0,J2060+I2060/'02_Eingaben'!$C$8))</f>
        <v/>
      </c>
    </row>
    <row r="2062" spans="1:10" x14ac:dyDescent="0.25">
      <c r="A2062" t="str">
        <f>IF('01_Rohdaten'!A2062="","",ROW()-1)</f>
        <v/>
      </c>
      <c r="B2062" s="17" t="str">
        <f>IF('01_Rohdaten'!A2062="","",'01_Rohdaten'!A2062)</f>
        <v/>
      </c>
      <c r="C2062" s="17" t="str">
        <f>IF(B2062="","",INDEX('01_Rohdaten'!B2062:D2062,'02_Eingaben'!$C$13))</f>
        <v/>
      </c>
      <c r="D2062" s="17" t="str">
        <f>IF(C2062="","",C2062*'02_Eingaben'!$C$15)</f>
        <v/>
      </c>
      <c r="E2062" s="17" t="str">
        <f>IF(D2062="","",D2062*'02_Eingaben'!$C$8)</f>
        <v/>
      </c>
      <c r="F2062" s="17" t="str">
        <f>IF(E2062="","",AVERAGE(INDEX($E$2:$E$3001,MAX(1,ROW()-1-'02_Eingaben'!$C$17)):INDEX($E$2:$E$3001,MIN('02_Eingaben'!$C$21,ROW()-1+'02_Eingaben'!$C$17))))</f>
        <v/>
      </c>
      <c r="G2062" s="17" t="str">
        <f>IF(F2062="","",F2062-'02_Eingaben'!$C$10)</f>
        <v/>
      </c>
      <c r="H2062" t="str">
        <f>IF(F2062="","",IF(F2062&lt;'02_Eingaben'!$C$18*'02_Eingaben'!$C$10,1,0))</f>
        <v/>
      </c>
      <c r="I2062" s="17" t="str">
        <f t="shared" si="32"/>
        <v/>
      </c>
      <c r="J2062" s="17" t="str">
        <f>IF(B2062="","",IF(B2061&lt;'02_Eingaben'!$C$36,0,J2061+I2061/'02_Eingaben'!$C$8))</f>
        <v/>
      </c>
    </row>
    <row r="2063" spans="1:10" x14ac:dyDescent="0.25">
      <c r="A2063" t="str">
        <f>IF('01_Rohdaten'!A2063="","",ROW()-1)</f>
        <v/>
      </c>
      <c r="B2063" s="17" t="str">
        <f>IF('01_Rohdaten'!A2063="","",'01_Rohdaten'!A2063)</f>
        <v/>
      </c>
      <c r="C2063" s="17" t="str">
        <f>IF(B2063="","",INDEX('01_Rohdaten'!B2063:D2063,'02_Eingaben'!$C$13))</f>
        <v/>
      </c>
      <c r="D2063" s="17" t="str">
        <f>IF(C2063="","",C2063*'02_Eingaben'!$C$15)</f>
        <v/>
      </c>
      <c r="E2063" s="17" t="str">
        <f>IF(D2063="","",D2063*'02_Eingaben'!$C$8)</f>
        <v/>
      </c>
      <c r="F2063" s="17" t="str">
        <f>IF(E2063="","",AVERAGE(INDEX($E$2:$E$3001,MAX(1,ROW()-1-'02_Eingaben'!$C$17)):INDEX($E$2:$E$3001,MIN('02_Eingaben'!$C$21,ROW()-1+'02_Eingaben'!$C$17))))</f>
        <v/>
      </c>
      <c r="G2063" s="17" t="str">
        <f>IF(F2063="","",F2063-'02_Eingaben'!$C$10)</f>
        <v/>
      </c>
      <c r="H2063" t="str">
        <f>IF(F2063="","",IF(F2063&lt;'02_Eingaben'!$C$18*'02_Eingaben'!$C$10,1,0))</f>
        <v/>
      </c>
      <c r="I2063" s="17" t="str">
        <f t="shared" si="32"/>
        <v/>
      </c>
      <c r="J2063" s="17" t="str">
        <f>IF(B2063="","",IF(B2062&lt;'02_Eingaben'!$C$36,0,J2062+I2062/'02_Eingaben'!$C$8))</f>
        <v/>
      </c>
    </row>
    <row r="2064" spans="1:10" x14ac:dyDescent="0.25">
      <c r="A2064" t="str">
        <f>IF('01_Rohdaten'!A2064="","",ROW()-1)</f>
        <v/>
      </c>
      <c r="B2064" s="17" t="str">
        <f>IF('01_Rohdaten'!A2064="","",'01_Rohdaten'!A2064)</f>
        <v/>
      </c>
      <c r="C2064" s="17" t="str">
        <f>IF(B2064="","",INDEX('01_Rohdaten'!B2064:D2064,'02_Eingaben'!$C$13))</f>
        <v/>
      </c>
      <c r="D2064" s="17" t="str">
        <f>IF(C2064="","",C2064*'02_Eingaben'!$C$15)</f>
        <v/>
      </c>
      <c r="E2064" s="17" t="str">
        <f>IF(D2064="","",D2064*'02_Eingaben'!$C$8)</f>
        <v/>
      </c>
      <c r="F2064" s="17" t="str">
        <f>IF(E2064="","",AVERAGE(INDEX($E$2:$E$3001,MAX(1,ROW()-1-'02_Eingaben'!$C$17)):INDEX($E$2:$E$3001,MIN('02_Eingaben'!$C$21,ROW()-1+'02_Eingaben'!$C$17))))</f>
        <v/>
      </c>
      <c r="G2064" s="17" t="str">
        <f>IF(F2064="","",F2064-'02_Eingaben'!$C$10)</f>
        <v/>
      </c>
      <c r="H2064" t="str">
        <f>IF(F2064="","",IF(F2064&lt;'02_Eingaben'!$C$18*'02_Eingaben'!$C$10,1,0))</f>
        <v/>
      </c>
      <c r="I2064" s="17" t="str">
        <f t="shared" si="32"/>
        <v/>
      </c>
      <c r="J2064" s="17" t="str">
        <f>IF(B2064="","",IF(B2063&lt;'02_Eingaben'!$C$36,0,J2063+I2063/'02_Eingaben'!$C$8))</f>
        <v/>
      </c>
    </row>
    <row r="2065" spans="1:10" x14ac:dyDescent="0.25">
      <c r="A2065" t="str">
        <f>IF('01_Rohdaten'!A2065="","",ROW()-1)</f>
        <v/>
      </c>
      <c r="B2065" s="17" t="str">
        <f>IF('01_Rohdaten'!A2065="","",'01_Rohdaten'!A2065)</f>
        <v/>
      </c>
      <c r="C2065" s="17" t="str">
        <f>IF(B2065="","",INDEX('01_Rohdaten'!B2065:D2065,'02_Eingaben'!$C$13))</f>
        <v/>
      </c>
      <c r="D2065" s="17" t="str">
        <f>IF(C2065="","",C2065*'02_Eingaben'!$C$15)</f>
        <v/>
      </c>
      <c r="E2065" s="17" t="str">
        <f>IF(D2065="","",D2065*'02_Eingaben'!$C$8)</f>
        <v/>
      </c>
      <c r="F2065" s="17" t="str">
        <f>IF(E2065="","",AVERAGE(INDEX($E$2:$E$3001,MAX(1,ROW()-1-'02_Eingaben'!$C$17)):INDEX($E$2:$E$3001,MIN('02_Eingaben'!$C$21,ROW()-1+'02_Eingaben'!$C$17))))</f>
        <v/>
      </c>
      <c r="G2065" s="17" t="str">
        <f>IF(F2065="","",F2065-'02_Eingaben'!$C$10)</f>
        <v/>
      </c>
      <c r="H2065" t="str">
        <f>IF(F2065="","",IF(F2065&lt;'02_Eingaben'!$C$18*'02_Eingaben'!$C$10,1,0))</f>
        <v/>
      </c>
      <c r="I2065" s="17" t="str">
        <f t="shared" si="32"/>
        <v/>
      </c>
      <c r="J2065" s="17" t="str">
        <f>IF(B2065="","",IF(B2064&lt;'02_Eingaben'!$C$36,0,J2064+I2064/'02_Eingaben'!$C$8))</f>
        <v/>
      </c>
    </row>
    <row r="2066" spans="1:10" x14ac:dyDescent="0.25">
      <c r="A2066" t="str">
        <f>IF('01_Rohdaten'!A2066="","",ROW()-1)</f>
        <v/>
      </c>
      <c r="B2066" s="17" t="str">
        <f>IF('01_Rohdaten'!A2066="","",'01_Rohdaten'!A2066)</f>
        <v/>
      </c>
      <c r="C2066" s="17" t="str">
        <f>IF(B2066="","",INDEX('01_Rohdaten'!B2066:D2066,'02_Eingaben'!$C$13))</f>
        <v/>
      </c>
      <c r="D2066" s="17" t="str">
        <f>IF(C2066="","",C2066*'02_Eingaben'!$C$15)</f>
        <v/>
      </c>
      <c r="E2066" s="17" t="str">
        <f>IF(D2066="","",D2066*'02_Eingaben'!$C$8)</f>
        <v/>
      </c>
      <c r="F2066" s="17" t="str">
        <f>IF(E2066="","",AVERAGE(INDEX($E$2:$E$3001,MAX(1,ROW()-1-'02_Eingaben'!$C$17)):INDEX($E$2:$E$3001,MIN('02_Eingaben'!$C$21,ROW()-1+'02_Eingaben'!$C$17))))</f>
        <v/>
      </c>
      <c r="G2066" s="17" t="str">
        <f>IF(F2066="","",F2066-'02_Eingaben'!$C$10)</f>
        <v/>
      </c>
      <c r="H2066" t="str">
        <f>IF(F2066="","",IF(F2066&lt;'02_Eingaben'!$C$18*'02_Eingaben'!$C$10,1,0))</f>
        <v/>
      </c>
      <c r="I2066" s="17" t="str">
        <f t="shared" si="32"/>
        <v/>
      </c>
      <c r="J2066" s="17" t="str">
        <f>IF(B2066="","",IF(B2065&lt;'02_Eingaben'!$C$36,0,J2065+I2065/'02_Eingaben'!$C$8))</f>
        <v/>
      </c>
    </row>
    <row r="2067" spans="1:10" x14ac:dyDescent="0.25">
      <c r="A2067" t="str">
        <f>IF('01_Rohdaten'!A2067="","",ROW()-1)</f>
        <v/>
      </c>
      <c r="B2067" s="17" t="str">
        <f>IF('01_Rohdaten'!A2067="","",'01_Rohdaten'!A2067)</f>
        <v/>
      </c>
      <c r="C2067" s="17" t="str">
        <f>IF(B2067="","",INDEX('01_Rohdaten'!B2067:D2067,'02_Eingaben'!$C$13))</f>
        <v/>
      </c>
      <c r="D2067" s="17" t="str">
        <f>IF(C2067="","",C2067*'02_Eingaben'!$C$15)</f>
        <v/>
      </c>
      <c r="E2067" s="17" t="str">
        <f>IF(D2067="","",D2067*'02_Eingaben'!$C$8)</f>
        <v/>
      </c>
      <c r="F2067" s="17" t="str">
        <f>IF(E2067="","",AVERAGE(INDEX($E$2:$E$3001,MAX(1,ROW()-1-'02_Eingaben'!$C$17)):INDEX($E$2:$E$3001,MIN('02_Eingaben'!$C$21,ROW()-1+'02_Eingaben'!$C$17))))</f>
        <v/>
      </c>
      <c r="G2067" s="17" t="str">
        <f>IF(F2067="","",F2067-'02_Eingaben'!$C$10)</f>
        <v/>
      </c>
      <c r="H2067" t="str">
        <f>IF(F2067="","",IF(F2067&lt;'02_Eingaben'!$C$18*'02_Eingaben'!$C$10,1,0))</f>
        <v/>
      </c>
      <c r="I2067" s="17" t="str">
        <f t="shared" si="32"/>
        <v/>
      </c>
      <c r="J2067" s="17" t="str">
        <f>IF(B2067="","",IF(B2066&lt;'02_Eingaben'!$C$36,0,J2066+I2066/'02_Eingaben'!$C$8))</f>
        <v/>
      </c>
    </row>
    <row r="2068" spans="1:10" x14ac:dyDescent="0.25">
      <c r="A2068" t="str">
        <f>IF('01_Rohdaten'!A2068="","",ROW()-1)</f>
        <v/>
      </c>
      <c r="B2068" s="17" t="str">
        <f>IF('01_Rohdaten'!A2068="","",'01_Rohdaten'!A2068)</f>
        <v/>
      </c>
      <c r="C2068" s="17" t="str">
        <f>IF(B2068="","",INDEX('01_Rohdaten'!B2068:D2068,'02_Eingaben'!$C$13))</f>
        <v/>
      </c>
      <c r="D2068" s="17" t="str">
        <f>IF(C2068="","",C2068*'02_Eingaben'!$C$15)</f>
        <v/>
      </c>
      <c r="E2068" s="17" t="str">
        <f>IF(D2068="","",D2068*'02_Eingaben'!$C$8)</f>
        <v/>
      </c>
      <c r="F2068" s="17" t="str">
        <f>IF(E2068="","",AVERAGE(INDEX($E$2:$E$3001,MAX(1,ROW()-1-'02_Eingaben'!$C$17)):INDEX($E$2:$E$3001,MIN('02_Eingaben'!$C$21,ROW()-1+'02_Eingaben'!$C$17))))</f>
        <v/>
      </c>
      <c r="G2068" s="17" t="str">
        <f>IF(F2068="","",F2068-'02_Eingaben'!$C$10)</f>
        <v/>
      </c>
      <c r="H2068" t="str">
        <f>IF(F2068="","",IF(F2068&lt;'02_Eingaben'!$C$18*'02_Eingaben'!$C$10,1,0))</f>
        <v/>
      </c>
      <c r="I2068" s="17" t="str">
        <f t="shared" si="32"/>
        <v/>
      </c>
      <c r="J2068" s="17" t="str">
        <f>IF(B2068="","",IF(B2067&lt;'02_Eingaben'!$C$36,0,J2067+I2067/'02_Eingaben'!$C$8))</f>
        <v/>
      </c>
    </row>
    <row r="2069" spans="1:10" x14ac:dyDescent="0.25">
      <c r="A2069" t="str">
        <f>IF('01_Rohdaten'!A2069="","",ROW()-1)</f>
        <v/>
      </c>
      <c r="B2069" s="17" t="str">
        <f>IF('01_Rohdaten'!A2069="","",'01_Rohdaten'!A2069)</f>
        <v/>
      </c>
      <c r="C2069" s="17" t="str">
        <f>IF(B2069="","",INDEX('01_Rohdaten'!B2069:D2069,'02_Eingaben'!$C$13))</f>
        <v/>
      </c>
      <c r="D2069" s="17" t="str">
        <f>IF(C2069="","",C2069*'02_Eingaben'!$C$15)</f>
        <v/>
      </c>
      <c r="E2069" s="17" t="str">
        <f>IF(D2069="","",D2069*'02_Eingaben'!$C$8)</f>
        <v/>
      </c>
      <c r="F2069" s="17" t="str">
        <f>IF(E2069="","",AVERAGE(INDEX($E$2:$E$3001,MAX(1,ROW()-1-'02_Eingaben'!$C$17)):INDEX($E$2:$E$3001,MIN('02_Eingaben'!$C$21,ROW()-1+'02_Eingaben'!$C$17))))</f>
        <v/>
      </c>
      <c r="G2069" s="17" t="str">
        <f>IF(F2069="","",F2069-'02_Eingaben'!$C$10)</f>
        <v/>
      </c>
      <c r="H2069" t="str">
        <f>IF(F2069="","",IF(F2069&lt;'02_Eingaben'!$C$18*'02_Eingaben'!$C$10,1,0))</f>
        <v/>
      </c>
      <c r="I2069" s="17" t="str">
        <f t="shared" si="32"/>
        <v/>
      </c>
      <c r="J2069" s="17" t="str">
        <f>IF(B2069="","",IF(B2068&lt;'02_Eingaben'!$C$36,0,J2068+I2068/'02_Eingaben'!$C$8))</f>
        <v/>
      </c>
    </row>
    <row r="2070" spans="1:10" x14ac:dyDescent="0.25">
      <c r="A2070" t="str">
        <f>IF('01_Rohdaten'!A2070="","",ROW()-1)</f>
        <v/>
      </c>
      <c r="B2070" s="17" t="str">
        <f>IF('01_Rohdaten'!A2070="","",'01_Rohdaten'!A2070)</f>
        <v/>
      </c>
      <c r="C2070" s="17" t="str">
        <f>IF(B2070="","",INDEX('01_Rohdaten'!B2070:D2070,'02_Eingaben'!$C$13))</f>
        <v/>
      </c>
      <c r="D2070" s="17" t="str">
        <f>IF(C2070="","",C2070*'02_Eingaben'!$C$15)</f>
        <v/>
      </c>
      <c r="E2070" s="17" t="str">
        <f>IF(D2070="","",D2070*'02_Eingaben'!$C$8)</f>
        <v/>
      </c>
      <c r="F2070" s="17" t="str">
        <f>IF(E2070="","",AVERAGE(INDEX($E$2:$E$3001,MAX(1,ROW()-1-'02_Eingaben'!$C$17)):INDEX($E$2:$E$3001,MIN('02_Eingaben'!$C$21,ROW()-1+'02_Eingaben'!$C$17))))</f>
        <v/>
      </c>
      <c r="G2070" s="17" t="str">
        <f>IF(F2070="","",F2070-'02_Eingaben'!$C$10)</f>
        <v/>
      </c>
      <c r="H2070" t="str">
        <f>IF(F2070="","",IF(F2070&lt;'02_Eingaben'!$C$18*'02_Eingaben'!$C$10,1,0))</f>
        <v/>
      </c>
      <c r="I2070" s="17" t="str">
        <f t="shared" si="32"/>
        <v/>
      </c>
      <c r="J2070" s="17" t="str">
        <f>IF(B2070="","",IF(B2069&lt;'02_Eingaben'!$C$36,0,J2069+I2069/'02_Eingaben'!$C$8))</f>
        <v/>
      </c>
    </row>
    <row r="2071" spans="1:10" x14ac:dyDescent="0.25">
      <c r="A2071" t="str">
        <f>IF('01_Rohdaten'!A2071="","",ROW()-1)</f>
        <v/>
      </c>
      <c r="B2071" s="17" t="str">
        <f>IF('01_Rohdaten'!A2071="","",'01_Rohdaten'!A2071)</f>
        <v/>
      </c>
      <c r="C2071" s="17" t="str">
        <f>IF(B2071="","",INDEX('01_Rohdaten'!B2071:D2071,'02_Eingaben'!$C$13))</f>
        <v/>
      </c>
      <c r="D2071" s="17" t="str">
        <f>IF(C2071="","",C2071*'02_Eingaben'!$C$15)</f>
        <v/>
      </c>
      <c r="E2071" s="17" t="str">
        <f>IF(D2071="","",D2071*'02_Eingaben'!$C$8)</f>
        <v/>
      </c>
      <c r="F2071" s="17" t="str">
        <f>IF(E2071="","",AVERAGE(INDEX($E$2:$E$3001,MAX(1,ROW()-1-'02_Eingaben'!$C$17)):INDEX($E$2:$E$3001,MIN('02_Eingaben'!$C$21,ROW()-1+'02_Eingaben'!$C$17))))</f>
        <v/>
      </c>
      <c r="G2071" s="17" t="str">
        <f>IF(F2071="","",F2071-'02_Eingaben'!$C$10)</f>
        <v/>
      </c>
      <c r="H2071" t="str">
        <f>IF(F2071="","",IF(F2071&lt;'02_Eingaben'!$C$18*'02_Eingaben'!$C$10,1,0))</f>
        <v/>
      </c>
      <c r="I2071" s="17" t="str">
        <f t="shared" si="32"/>
        <v/>
      </c>
      <c r="J2071" s="17" t="str">
        <f>IF(B2071="","",IF(B2070&lt;'02_Eingaben'!$C$36,0,J2070+I2070/'02_Eingaben'!$C$8))</f>
        <v/>
      </c>
    </row>
    <row r="2072" spans="1:10" x14ac:dyDescent="0.25">
      <c r="A2072" t="str">
        <f>IF('01_Rohdaten'!A2072="","",ROW()-1)</f>
        <v/>
      </c>
      <c r="B2072" s="17" t="str">
        <f>IF('01_Rohdaten'!A2072="","",'01_Rohdaten'!A2072)</f>
        <v/>
      </c>
      <c r="C2072" s="17" t="str">
        <f>IF(B2072="","",INDEX('01_Rohdaten'!B2072:D2072,'02_Eingaben'!$C$13))</f>
        <v/>
      </c>
      <c r="D2072" s="17" t="str">
        <f>IF(C2072="","",C2072*'02_Eingaben'!$C$15)</f>
        <v/>
      </c>
      <c r="E2072" s="17" t="str">
        <f>IF(D2072="","",D2072*'02_Eingaben'!$C$8)</f>
        <v/>
      </c>
      <c r="F2072" s="17" t="str">
        <f>IF(E2072="","",AVERAGE(INDEX($E$2:$E$3001,MAX(1,ROW()-1-'02_Eingaben'!$C$17)):INDEX($E$2:$E$3001,MIN('02_Eingaben'!$C$21,ROW()-1+'02_Eingaben'!$C$17))))</f>
        <v/>
      </c>
      <c r="G2072" s="17" t="str">
        <f>IF(F2072="","",F2072-'02_Eingaben'!$C$10)</f>
        <v/>
      </c>
      <c r="H2072" t="str">
        <f>IF(F2072="","",IF(F2072&lt;'02_Eingaben'!$C$18*'02_Eingaben'!$C$10,1,0))</f>
        <v/>
      </c>
      <c r="I2072" s="17" t="str">
        <f t="shared" si="32"/>
        <v/>
      </c>
      <c r="J2072" s="17" t="str">
        <f>IF(B2072="","",IF(B2071&lt;'02_Eingaben'!$C$36,0,J2071+I2071/'02_Eingaben'!$C$8))</f>
        <v/>
      </c>
    </row>
    <row r="2073" spans="1:10" x14ac:dyDescent="0.25">
      <c r="A2073" t="str">
        <f>IF('01_Rohdaten'!A2073="","",ROW()-1)</f>
        <v/>
      </c>
      <c r="B2073" s="17" t="str">
        <f>IF('01_Rohdaten'!A2073="","",'01_Rohdaten'!A2073)</f>
        <v/>
      </c>
      <c r="C2073" s="17" t="str">
        <f>IF(B2073="","",INDEX('01_Rohdaten'!B2073:D2073,'02_Eingaben'!$C$13))</f>
        <v/>
      </c>
      <c r="D2073" s="17" t="str">
        <f>IF(C2073="","",C2073*'02_Eingaben'!$C$15)</f>
        <v/>
      </c>
      <c r="E2073" s="17" t="str">
        <f>IF(D2073="","",D2073*'02_Eingaben'!$C$8)</f>
        <v/>
      </c>
      <c r="F2073" s="17" t="str">
        <f>IF(E2073="","",AVERAGE(INDEX($E$2:$E$3001,MAX(1,ROW()-1-'02_Eingaben'!$C$17)):INDEX($E$2:$E$3001,MIN('02_Eingaben'!$C$21,ROW()-1+'02_Eingaben'!$C$17))))</f>
        <v/>
      </c>
      <c r="G2073" s="17" t="str">
        <f>IF(F2073="","",F2073-'02_Eingaben'!$C$10)</f>
        <v/>
      </c>
      <c r="H2073" t="str">
        <f>IF(F2073="","",IF(F2073&lt;'02_Eingaben'!$C$18*'02_Eingaben'!$C$10,1,0))</f>
        <v/>
      </c>
      <c r="I2073" s="17" t="str">
        <f t="shared" si="32"/>
        <v/>
      </c>
      <c r="J2073" s="17" t="str">
        <f>IF(B2073="","",IF(B2072&lt;'02_Eingaben'!$C$36,0,J2072+I2072/'02_Eingaben'!$C$8))</f>
        <v/>
      </c>
    </row>
    <row r="2074" spans="1:10" x14ac:dyDescent="0.25">
      <c r="A2074" t="str">
        <f>IF('01_Rohdaten'!A2074="","",ROW()-1)</f>
        <v/>
      </c>
      <c r="B2074" s="17" t="str">
        <f>IF('01_Rohdaten'!A2074="","",'01_Rohdaten'!A2074)</f>
        <v/>
      </c>
      <c r="C2074" s="17" t="str">
        <f>IF(B2074="","",INDEX('01_Rohdaten'!B2074:D2074,'02_Eingaben'!$C$13))</f>
        <v/>
      </c>
      <c r="D2074" s="17" t="str">
        <f>IF(C2074="","",C2074*'02_Eingaben'!$C$15)</f>
        <v/>
      </c>
      <c r="E2074" s="17" t="str">
        <f>IF(D2074="","",D2074*'02_Eingaben'!$C$8)</f>
        <v/>
      </c>
      <c r="F2074" s="17" t="str">
        <f>IF(E2074="","",AVERAGE(INDEX($E$2:$E$3001,MAX(1,ROW()-1-'02_Eingaben'!$C$17)):INDEX($E$2:$E$3001,MIN('02_Eingaben'!$C$21,ROW()-1+'02_Eingaben'!$C$17))))</f>
        <v/>
      </c>
      <c r="G2074" s="17" t="str">
        <f>IF(F2074="","",F2074-'02_Eingaben'!$C$10)</f>
        <v/>
      </c>
      <c r="H2074" t="str">
        <f>IF(F2074="","",IF(F2074&lt;'02_Eingaben'!$C$18*'02_Eingaben'!$C$10,1,0))</f>
        <v/>
      </c>
      <c r="I2074" s="17" t="str">
        <f t="shared" si="32"/>
        <v/>
      </c>
      <c r="J2074" s="17" t="str">
        <f>IF(B2074="","",IF(B2073&lt;'02_Eingaben'!$C$36,0,J2073+I2073/'02_Eingaben'!$C$8))</f>
        <v/>
      </c>
    </row>
    <row r="2075" spans="1:10" x14ac:dyDescent="0.25">
      <c r="A2075" t="str">
        <f>IF('01_Rohdaten'!A2075="","",ROW()-1)</f>
        <v/>
      </c>
      <c r="B2075" s="17" t="str">
        <f>IF('01_Rohdaten'!A2075="","",'01_Rohdaten'!A2075)</f>
        <v/>
      </c>
      <c r="C2075" s="17" t="str">
        <f>IF(B2075="","",INDEX('01_Rohdaten'!B2075:D2075,'02_Eingaben'!$C$13))</f>
        <v/>
      </c>
      <c r="D2075" s="17" t="str">
        <f>IF(C2075="","",C2075*'02_Eingaben'!$C$15)</f>
        <v/>
      </c>
      <c r="E2075" s="17" t="str">
        <f>IF(D2075="","",D2075*'02_Eingaben'!$C$8)</f>
        <v/>
      </c>
      <c r="F2075" s="17" t="str">
        <f>IF(E2075="","",AVERAGE(INDEX($E$2:$E$3001,MAX(1,ROW()-1-'02_Eingaben'!$C$17)):INDEX($E$2:$E$3001,MIN('02_Eingaben'!$C$21,ROW()-1+'02_Eingaben'!$C$17))))</f>
        <v/>
      </c>
      <c r="G2075" s="17" t="str">
        <f>IF(F2075="","",F2075-'02_Eingaben'!$C$10)</f>
        <v/>
      </c>
      <c r="H2075" t="str">
        <f>IF(F2075="","",IF(F2075&lt;'02_Eingaben'!$C$18*'02_Eingaben'!$C$10,1,0))</f>
        <v/>
      </c>
      <c r="I2075" s="17" t="str">
        <f t="shared" si="32"/>
        <v/>
      </c>
      <c r="J2075" s="17" t="str">
        <f>IF(B2075="","",IF(B2074&lt;'02_Eingaben'!$C$36,0,J2074+I2074/'02_Eingaben'!$C$8))</f>
        <v/>
      </c>
    </row>
    <row r="2076" spans="1:10" x14ac:dyDescent="0.25">
      <c r="A2076" t="str">
        <f>IF('01_Rohdaten'!A2076="","",ROW()-1)</f>
        <v/>
      </c>
      <c r="B2076" s="17" t="str">
        <f>IF('01_Rohdaten'!A2076="","",'01_Rohdaten'!A2076)</f>
        <v/>
      </c>
      <c r="C2076" s="17" t="str">
        <f>IF(B2076="","",INDEX('01_Rohdaten'!B2076:D2076,'02_Eingaben'!$C$13))</f>
        <v/>
      </c>
      <c r="D2076" s="17" t="str">
        <f>IF(C2076="","",C2076*'02_Eingaben'!$C$15)</f>
        <v/>
      </c>
      <c r="E2076" s="17" t="str">
        <f>IF(D2076="","",D2076*'02_Eingaben'!$C$8)</f>
        <v/>
      </c>
      <c r="F2076" s="17" t="str">
        <f>IF(E2076="","",AVERAGE(INDEX($E$2:$E$3001,MAX(1,ROW()-1-'02_Eingaben'!$C$17)):INDEX($E$2:$E$3001,MIN('02_Eingaben'!$C$21,ROW()-1+'02_Eingaben'!$C$17))))</f>
        <v/>
      </c>
      <c r="G2076" s="17" t="str">
        <f>IF(F2076="","",F2076-'02_Eingaben'!$C$10)</f>
        <v/>
      </c>
      <c r="H2076" t="str">
        <f>IF(F2076="","",IF(F2076&lt;'02_Eingaben'!$C$18*'02_Eingaben'!$C$10,1,0))</f>
        <v/>
      </c>
      <c r="I2076" s="17" t="str">
        <f t="shared" si="32"/>
        <v/>
      </c>
      <c r="J2076" s="17" t="str">
        <f>IF(B2076="","",IF(B2075&lt;'02_Eingaben'!$C$36,0,J2075+I2075/'02_Eingaben'!$C$8))</f>
        <v/>
      </c>
    </row>
    <row r="2077" spans="1:10" x14ac:dyDescent="0.25">
      <c r="A2077" t="str">
        <f>IF('01_Rohdaten'!A2077="","",ROW()-1)</f>
        <v/>
      </c>
      <c r="B2077" s="17" t="str">
        <f>IF('01_Rohdaten'!A2077="","",'01_Rohdaten'!A2077)</f>
        <v/>
      </c>
      <c r="C2077" s="17" t="str">
        <f>IF(B2077="","",INDEX('01_Rohdaten'!B2077:D2077,'02_Eingaben'!$C$13))</f>
        <v/>
      </c>
      <c r="D2077" s="17" t="str">
        <f>IF(C2077="","",C2077*'02_Eingaben'!$C$15)</f>
        <v/>
      </c>
      <c r="E2077" s="17" t="str">
        <f>IF(D2077="","",D2077*'02_Eingaben'!$C$8)</f>
        <v/>
      </c>
      <c r="F2077" s="17" t="str">
        <f>IF(E2077="","",AVERAGE(INDEX($E$2:$E$3001,MAX(1,ROW()-1-'02_Eingaben'!$C$17)):INDEX($E$2:$E$3001,MIN('02_Eingaben'!$C$21,ROW()-1+'02_Eingaben'!$C$17))))</f>
        <v/>
      </c>
      <c r="G2077" s="17" t="str">
        <f>IF(F2077="","",F2077-'02_Eingaben'!$C$10)</f>
        <v/>
      </c>
      <c r="H2077" t="str">
        <f>IF(F2077="","",IF(F2077&lt;'02_Eingaben'!$C$18*'02_Eingaben'!$C$10,1,0))</f>
        <v/>
      </c>
      <c r="I2077" s="17" t="str">
        <f t="shared" si="32"/>
        <v/>
      </c>
      <c r="J2077" s="17" t="str">
        <f>IF(B2077="","",IF(B2076&lt;'02_Eingaben'!$C$36,0,J2076+I2076/'02_Eingaben'!$C$8))</f>
        <v/>
      </c>
    </row>
    <row r="2078" spans="1:10" x14ac:dyDescent="0.25">
      <c r="A2078" t="str">
        <f>IF('01_Rohdaten'!A2078="","",ROW()-1)</f>
        <v/>
      </c>
      <c r="B2078" s="17" t="str">
        <f>IF('01_Rohdaten'!A2078="","",'01_Rohdaten'!A2078)</f>
        <v/>
      </c>
      <c r="C2078" s="17" t="str">
        <f>IF(B2078="","",INDEX('01_Rohdaten'!B2078:D2078,'02_Eingaben'!$C$13))</f>
        <v/>
      </c>
      <c r="D2078" s="17" t="str">
        <f>IF(C2078="","",C2078*'02_Eingaben'!$C$15)</f>
        <v/>
      </c>
      <c r="E2078" s="17" t="str">
        <f>IF(D2078="","",D2078*'02_Eingaben'!$C$8)</f>
        <v/>
      </c>
      <c r="F2078" s="17" t="str">
        <f>IF(E2078="","",AVERAGE(INDEX($E$2:$E$3001,MAX(1,ROW()-1-'02_Eingaben'!$C$17)):INDEX($E$2:$E$3001,MIN('02_Eingaben'!$C$21,ROW()-1+'02_Eingaben'!$C$17))))</f>
        <v/>
      </c>
      <c r="G2078" s="17" t="str">
        <f>IF(F2078="","",F2078-'02_Eingaben'!$C$10)</f>
        <v/>
      </c>
      <c r="H2078" t="str">
        <f>IF(F2078="","",IF(F2078&lt;'02_Eingaben'!$C$18*'02_Eingaben'!$C$10,1,0))</f>
        <v/>
      </c>
      <c r="I2078" s="17" t="str">
        <f t="shared" si="32"/>
        <v/>
      </c>
      <c r="J2078" s="17" t="str">
        <f>IF(B2078="","",IF(B2077&lt;'02_Eingaben'!$C$36,0,J2077+I2077/'02_Eingaben'!$C$8))</f>
        <v/>
      </c>
    </row>
    <row r="2079" spans="1:10" x14ac:dyDescent="0.25">
      <c r="A2079" t="str">
        <f>IF('01_Rohdaten'!A2079="","",ROW()-1)</f>
        <v/>
      </c>
      <c r="B2079" s="17" t="str">
        <f>IF('01_Rohdaten'!A2079="","",'01_Rohdaten'!A2079)</f>
        <v/>
      </c>
      <c r="C2079" s="17" t="str">
        <f>IF(B2079="","",INDEX('01_Rohdaten'!B2079:D2079,'02_Eingaben'!$C$13))</f>
        <v/>
      </c>
      <c r="D2079" s="17" t="str">
        <f>IF(C2079="","",C2079*'02_Eingaben'!$C$15)</f>
        <v/>
      </c>
      <c r="E2079" s="17" t="str">
        <f>IF(D2079="","",D2079*'02_Eingaben'!$C$8)</f>
        <v/>
      </c>
      <c r="F2079" s="17" t="str">
        <f>IF(E2079="","",AVERAGE(INDEX($E$2:$E$3001,MAX(1,ROW()-1-'02_Eingaben'!$C$17)):INDEX($E$2:$E$3001,MIN('02_Eingaben'!$C$21,ROW()-1+'02_Eingaben'!$C$17))))</f>
        <v/>
      </c>
      <c r="G2079" s="17" t="str">
        <f>IF(F2079="","",F2079-'02_Eingaben'!$C$10)</f>
        <v/>
      </c>
      <c r="H2079" t="str">
        <f>IF(F2079="","",IF(F2079&lt;'02_Eingaben'!$C$18*'02_Eingaben'!$C$10,1,0))</f>
        <v/>
      </c>
      <c r="I2079" s="17" t="str">
        <f t="shared" si="32"/>
        <v/>
      </c>
      <c r="J2079" s="17" t="str">
        <f>IF(B2079="","",IF(B2078&lt;'02_Eingaben'!$C$36,0,J2078+I2078/'02_Eingaben'!$C$8))</f>
        <v/>
      </c>
    </row>
    <row r="2080" spans="1:10" x14ac:dyDescent="0.25">
      <c r="A2080" t="str">
        <f>IF('01_Rohdaten'!A2080="","",ROW()-1)</f>
        <v/>
      </c>
      <c r="B2080" s="17" t="str">
        <f>IF('01_Rohdaten'!A2080="","",'01_Rohdaten'!A2080)</f>
        <v/>
      </c>
      <c r="C2080" s="17" t="str">
        <f>IF(B2080="","",INDEX('01_Rohdaten'!B2080:D2080,'02_Eingaben'!$C$13))</f>
        <v/>
      </c>
      <c r="D2080" s="17" t="str">
        <f>IF(C2080="","",C2080*'02_Eingaben'!$C$15)</f>
        <v/>
      </c>
      <c r="E2080" s="17" t="str">
        <f>IF(D2080="","",D2080*'02_Eingaben'!$C$8)</f>
        <v/>
      </c>
      <c r="F2080" s="17" t="str">
        <f>IF(E2080="","",AVERAGE(INDEX($E$2:$E$3001,MAX(1,ROW()-1-'02_Eingaben'!$C$17)):INDEX($E$2:$E$3001,MIN('02_Eingaben'!$C$21,ROW()-1+'02_Eingaben'!$C$17))))</f>
        <v/>
      </c>
      <c r="G2080" s="17" t="str">
        <f>IF(F2080="","",F2080-'02_Eingaben'!$C$10)</f>
        <v/>
      </c>
      <c r="H2080" t="str">
        <f>IF(F2080="","",IF(F2080&lt;'02_Eingaben'!$C$18*'02_Eingaben'!$C$10,1,0))</f>
        <v/>
      </c>
      <c r="I2080" s="17" t="str">
        <f t="shared" si="32"/>
        <v/>
      </c>
      <c r="J2080" s="17" t="str">
        <f>IF(B2080="","",IF(B2079&lt;'02_Eingaben'!$C$36,0,J2079+I2079/'02_Eingaben'!$C$8))</f>
        <v/>
      </c>
    </row>
    <row r="2081" spans="1:10" x14ac:dyDescent="0.25">
      <c r="A2081" t="str">
        <f>IF('01_Rohdaten'!A2081="","",ROW()-1)</f>
        <v/>
      </c>
      <c r="B2081" s="17" t="str">
        <f>IF('01_Rohdaten'!A2081="","",'01_Rohdaten'!A2081)</f>
        <v/>
      </c>
      <c r="C2081" s="17" t="str">
        <f>IF(B2081="","",INDEX('01_Rohdaten'!B2081:D2081,'02_Eingaben'!$C$13))</f>
        <v/>
      </c>
      <c r="D2081" s="17" t="str">
        <f>IF(C2081="","",C2081*'02_Eingaben'!$C$15)</f>
        <v/>
      </c>
      <c r="E2081" s="17" t="str">
        <f>IF(D2081="","",D2081*'02_Eingaben'!$C$8)</f>
        <v/>
      </c>
      <c r="F2081" s="17" t="str">
        <f>IF(E2081="","",AVERAGE(INDEX($E$2:$E$3001,MAX(1,ROW()-1-'02_Eingaben'!$C$17)):INDEX($E$2:$E$3001,MIN('02_Eingaben'!$C$21,ROW()-1+'02_Eingaben'!$C$17))))</f>
        <v/>
      </c>
      <c r="G2081" s="17" t="str">
        <f>IF(F2081="","",F2081-'02_Eingaben'!$C$10)</f>
        <v/>
      </c>
      <c r="H2081" t="str">
        <f>IF(F2081="","",IF(F2081&lt;'02_Eingaben'!$C$18*'02_Eingaben'!$C$10,1,0))</f>
        <v/>
      </c>
      <c r="I2081" s="17" t="str">
        <f t="shared" si="32"/>
        <v/>
      </c>
      <c r="J2081" s="17" t="str">
        <f>IF(B2081="","",IF(B2080&lt;'02_Eingaben'!$C$36,0,J2080+I2080/'02_Eingaben'!$C$8))</f>
        <v/>
      </c>
    </row>
    <row r="2082" spans="1:10" x14ac:dyDescent="0.25">
      <c r="A2082" t="str">
        <f>IF('01_Rohdaten'!A2082="","",ROW()-1)</f>
        <v/>
      </c>
      <c r="B2082" s="17" t="str">
        <f>IF('01_Rohdaten'!A2082="","",'01_Rohdaten'!A2082)</f>
        <v/>
      </c>
      <c r="C2082" s="17" t="str">
        <f>IF(B2082="","",INDEX('01_Rohdaten'!B2082:D2082,'02_Eingaben'!$C$13))</f>
        <v/>
      </c>
      <c r="D2082" s="17" t="str">
        <f>IF(C2082="","",C2082*'02_Eingaben'!$C$15)</f>
        <v/>
      </c>
      <c r="E2082" s="17" t="str">
        <f>IF(D2082="","",D2082*'02_Eingaben'!$C$8)</f>
        <v/>
      </c>
      <c r="F2082" s="17" t="str">
        <f>IF(E2082="","",AVERAGE(INDEX($E$2:$E$3001,MAX(1,ROW()-1-'02_Eingaben'!$C$17)):INDEX($E$2:$E$3001,MIN('02_Eingaben'!$C$21,ROW()-1+'02_Eingaben'!$C$17))))</f>
        <v/>
      </c>
      <c r="G2082" s="17" t="str">
        <f>IF(F2082="","",F2082-'02_Eingaben'!$C$10)</f>
        <v/>
      </c>
      <c r="H2082" t="str">
        <f>IF(F2082="","",IF(F2082&lt;'02_Eingaben'!$C$18*'02_Eingaben'!$C$10,1,0))</f>
        <v/>
      </c>
      <c r="I2082" s="17" t="str">
        <f t="shared" si="32"/>
        <v/>
      </c>
      <c r="J2082" s="17" t="str">
        <f>IF(B2082="","",IF(B2081&lt;'02_Eingaben'!$C$36,0,J2081+I2081/'02_Eingaben'!$C$8))</f>
        <v/>
      </c>
    </row>
    <row r="2083" spans="1:10" x14ac:dyDescent="0.25">
      <c r="A2083" t="str">
        <f>IF('01_Rohdaten'!A2083="","",ROW()-1)</f>
        <v/>
      </c>
      <c r="B2083" s="17" t="str">
        <f>IF('01_Rohdaten'!A2083="","",'01_Rohdaten'!A2083)</f>
        <v/>
      </c>
      <c r="C2083" s="17" t="str">
        <f>IF(B2083="","",INDEX('01_Rohdaten'!B2083:D2083,'02_Eingaben'!$C$13))</f>
        <v/>
      </c>
      <c r="D2083" s="17" t="str">
        <f>IF(C2083="","",C2083*'02_Eingaben'!$C$15)</f>
        <v/>
      </c>
      <c r="E2083" s="17" t="str">
        <f>IF(D2083="","",D2083*'02_Eingaben'!$C$8)</f>
        <v/>
      </c>
      <c r="F2083" s="17" t="str">
        <f>IF(E2083="","",AVERAGE(INDEX($E$2:$E$3001,MAX(1,ROW()-1-'02_Eingaben'!$C$17)):INDEX($E$2:$E$3001,MIN('02_Eingaben'!$C$21,ROW()-1+'02_Eingaben'!$C$17))))</f>
        <v/>
      </c>
      <c r="G2083" s="17" t="str">
        <f>IF(F2083="","",F2083-'02_Eingaben'!$C$10)</f>
        <v/>
      </c>
      <c r="H2083" t="str">
        <f>IF(F2083="","",IF(F2083&lt;'02_Eingaben'!$C$18*'02_Eingaben'!$C$10,1,0))</f>
        <v/>
      </c>
      <c r="I2083" s="17" t="str">
        <f t="shared" si="32"/>
        <v/>
      </c>
      <c r="J2083" s="17" t="str">
        <f>IF(B2083="","",IF(B2082&lt;'02_Eingaben'!$C$36,0,J2082+I2082/'02_Eingaben'!$C$8))</f>
        <v/>
      </c>
    </row>
    <row r="2084" spans="1:10" x14ac:dyDescent="0.25">
      <c r="A2084" t="str">
        <f>IF('01_Rohdaten'!A2084="","",ROW()-1)</f>
        <v/>
      </c>
      <c r="B2084" s="17" t="str">
        <f>IF('01_Rohdaten'!A2084="","",'01_Rohdaten'!A2084)</f>
        <v/>
      </c>
      <c r="C2084" s="17" t="str">
        <f>IF(B2084="","",INDEX('01_Rohdaten'!B2084:D2084,'02_Eingaben'!$C$13))</f>
        <v/>
      </c>
      <c r="D2084" s="17" t="str">
        <f>IF(C2084="","",C2084*'02_Eingaben'!$C$15)</f>
        <v/>
      </c>
      <c r="E2084" s="17" t="str">
        <f>IF(D2084="","",D2084*'02_Eingaben'!$C$8)</f>
        <v/>
      </c>
      <c r="F2084" s="17" t="str">
        <f>IF(E2084="","",AVERAGE(INDEX($E$2:$E$3001,MAX(1,ROW()-1-'02_Eingaben'!$C$17)):INDEX($E$2:$E$3001,MIN('02_Eingaben'!$C$21,ROW()-1+'02_Eingaben'!$C$17))))</f>
        <v/>
      </c>
      <c r="G2084" s="17" t="str">
        <f>IF(F2084="","",F2084-'02_Eingaben'!$C$10)</f>
        <v/>
      </c>
      <c r="H2084" t="str">
        <f>IF(F2084="","",IF(F2084&lt;'02_Eingaben'!$C$18*'02_Eingaben'!$C$10,1,0))</f>
        <v/>
      </c>
      <c r="I2084" s="17" t="str">
        <f t="shared" si="32"/>
        <v/>
      </c>
      <c r="J2084" s="17" t="str">
        <f>IF(B2084="","",IF(B2083&lt;'02_Eingaben'!$C$36,0,J2083+I2083/'02_Eingaben'!$C$8))</f>
        <v/>
      </c>
    </row>
    <row r="2085" spans="1:10" x14ac:dyDescent="0.25">
      <c r="A2085" t="str">
        <f>IF('01_Rohdaten'!A2085="","",ROW()-1)</f>
        <v/>
      </c>
      <c r="B2085" s="17" t="str">
        <f>IF('01_Rohdaten'!A2085="","",'01_Rohdaten'!A2085)</f>
        <v/>
      </c>
      <c r="C2085" s="17" t="str">
        <f>IF(B2085="","",INDEX('01_Rohdaten'!B2085:D2085,'02_Eingaben'!$C$13))</f>
        <v/>
      </c>
      <c r="D2085" s="17" t="str">
        <f>IF(C2085="","",C2085*'02_Eingaben'!$C$15)</f>
        <v/>
      </c>
      <c r="E2085" s="17" t="str">
        <f>IF(D2085="","",D2085*'02_Eingaben'!$C$8)</f>
        <v/>
      </c>
      <c r="F2085" s="17" t="str">
        <f>IF(E2085="","",AVERAGE(INDEX($E$2:$E$3001,MAX(1,ROW()-1-'02_Eingaben'!$C$17)):INDEX($E$2:$E$3001,MIN('02_Eingaben'!$C$21,ROW()-1+'02_Eingaben'!$C$17))))</f>
        <v/>
      </c>
      <c r="G2085" s="17" t="str">
        <f>IF(F2085="","",F2085-'02_Eingaben'!$C$10)</f>
        <v/>
      </c>
      <c r="H2085" t="str">
        <f>IF(F2085="","",IF(F2085&lt;'02_Eingaben'!$C$18*'02_Eingaben'!$C$10,1,0))</f>
        <v/>
      </c>
      <c r="I2085" s="17" t="str">
        <f t="shared" si="32"/>
        <v/>
      </c>
      <c r="J2085" s="17" t="str">
        <f>IF(B2085="","",IF(B2084&lt;'02_Eingaben'!$C$36,0,J2084+I2084/'02_Eingaben'!$C$8))</f>
        <v/>
      </c>
    </row>
    <row r="2086" spans="1:10" x14ac:dyDescent="0.25">
      <c r="A2086" t="str">
        <f>IF('01_Rohdaten'!A2086="","",ROW()-1)</f>
        <v/>
      </c>
      <c r="B2086" s="17" t="str">
        <f>IF('01_Rohdaten'!A2086="","",'01_Rohdaten'!A2086)</f>
        <v/>
      </c>
      <c r="C2086" s="17" t="str">
        <f>IF(B2086="","",INDEX('01_Rohdaten'!B2086:D2086,'02_Eingaben'!$C$13))</f>
        <v/>
      </c>
      <c r="D2086" s="17" t="str">
        <f>IF(C2086="","",C2086*'02_Eingaben'!$C$15)</f>
        <v/>
      </c>
      <c r="E2086" s="17" t="str">
        <f>IF(D2086="","",D2086*'02_Eingaben'!$C$8)</f>
        <v/>
      </c>
      <c r="F2086" s="17" t="str">
        <f>IF(E2086="","",AVERAGE(INDEX($E$2:$E$3001,MAX(1,ROW()-1-'02_Eingaben'!$C$17)):INDEX($E$2:$E$3001,MIN('02_Eingaben'!$C$21,ROW()-1+'02_Eingaben'!$C$17))))</f>
        <v/>
      </c>
      <c r="G2086" s="17" t="str">
        <f>IF(F2086="","",F2086-'02_Eingaben'!$C$10)</f>
        <v/>
      </c>
      <c r="H2086" t="str">
        <f>IF(F2086="","",IF(F2086&lt;'02_Eingaben'!$C$18*'02_Eingaben'!$C$10,1,0))</f>
        <v/>
      </c>
      <c r="I2086" s="17" t="str">
        <f t="shared" si="32"/>
        <v/>
      </c>
      <c r="J2086" s="17" t="str">
        <f>IF(B2086="","",IF(B2085&lt;'02_Eingaben'!$C$36,0,J2085+I2085/'02_Eingaben'!$C$8))</f>
        <v/>
      </c>
    </row>
    <row r="2087" spans="1:10" x14ac:dyDescent="0.25">
      <c r="A2087" t="str">
        <f>IF('01_Rohdaten'!A2087="","",ROW()-1)</f>
        <v/>
      </c>
      <c r="B2087" s="17" t="str">
        <f>IF('01_Rohdaten'!A2087="","",'01_Rohdaten'!A2087)</f>
        <v/>
      </c>
      <c r="C2087" s="17" t="str">
        <f>IF(B2087="","",INDEX('01_Rohdaten'!B2087:D2087,'02_Eingaben'!$C$13))</f>
        <v/>
      </c>
      <c r="D2087" s="17" t="str">
        <f>IF(C2087="","",C2087*'02_Eingaben'!$C$15)</f>
        <v/>
      </c>
      <c r="E2087" s="17" t="str">
        <f>IF(D2087="","",D2087*'02_Eingaben'!$C$8)</f>
        <v/>
      </c>
      <c r="F2087" s="17" t="str">
        <f>IF(E2087="","",AVERAGE(INDEX($E$2:$E$3001,MAX(1,ROW()-1-'02_Eingaben'!$C$17)):INDEX($E$2:$E$3001,MIN('02_Eingaben'!$C$21,ROW()-1+'02_Eingaben'!$C$17))))</f>
        <v/>
      </c>
      <c r="G2087" s="17" t="str">
        <f>IF(F2087="","",F2087-'02_Eingaben'!$C$10)</f>
        <v/>
      </c>
      <c r="H2087" t="str">
        <f>IF(F2087="","",IF(F2087&lt;'02_Eingaben'!$C$18*'02_Eingaben'!$C$10,1,0))</f>
        <v/>
      </c>
      <c r="I2087" s="17" t="str">
        <f t="shared" si="32"/>
        <v/>
      </c>
      <c r="J2087" s="17" t="str">
        <f>IF(B2087="","",IF(B2086&lt;'02_Eingaben'!$C$36,0,J2086+I2086/'02_Eingaben'!$C$8))</f>
        <v/>
      </c>
    </row>
    <row r="2088" spans="1:10" x14ac:dyDescent="0.25">
      <c r="A2088" t="str">
        <f>IF('01_Rohdaten'!A2088="","",ROW()-1)</f>
        <v/>
      </c>
      <c r="B2088" s="17" t="str">
        <f>IF('01_Rohdaten'!A2088="","",'01_Rohdaten'!A2088)</f>
        <v/>
      </c>
      <c r="C2088" s="17" t="str">
        <f>IF(B2088="","",INDEX('01_Rohdaten'!B2088:D2088,'02_Eingaben'!$C$13))</f>
        <v/>
      </c>
      <c r="D2088" s="17" t="str">
        <f>IF(C2088="","",C2088*'02_Eingaben'!$C$15)</f>
        <v/>
      </c>
      <c r="E2088" s="17" t="str">
        <f>IF(D2088="","",D2088*'02_Eingaben'!$C$8)</f>
        <v/>
      </c>
      <c r="F2088" s="17" t="str">
        <f>IF(E2088="","",AVERAGE(INDEX($E$2:$E$3001,MAX(1,ROW()-1-'02_Eingaben'!$C$17)):INDEX($E$2:$E$3001,MIN('02_Eingaben'!$C$21,ROW()-1+'02_Eingaben'!$C$17))))</f>
        <v/>
      </c>
      <c r="G2088" s="17" t="str">
        <f>IF(F2088="","",F2088-'02_Eingaben'!$C$10)</f>
        <v/>
      </c>
      <c r="H2088" t="str">
        <f>IF(F2088="","",IF(F2088&lt;'02_Eingaben'!$C$18*'02_Eingaben'!$C$10,1,0))</f>
        <v/>
      </c>
      <c r="I2088" s="17" t="str">
        <f t="shared" si="32"/>
        <v/>
      </c>
      <c r="J2088" s="17" t="str">
        <f>IF(B2088="","",IF(B2087&lt;'02_Eingaben'!$C$36,0,J2087+I2087/'02_Eingaben'!$C$8))</f>
        <v/>
      </c>
    </row>
    <row r="2089" spans="1:10" x14ac:dyDescent="0.25">
      <c r="A2089" t="str">
        <f>IF('01_Rohdaten'!A2089="","",ROW()-1)</f>
        <v/>
      </c>
      <c r="B2089" s="17" t="str">
        <f>IF('01_Rohdaten'!A2089="","",'01_Rohdaten'!A2089)</f>
        <v/>
      </c>
      <c r="C2089" s="17" t="str">
        <f>IF(B2089="","",INDEX('01_Rohdaten'!B2089:D2089,'02_Eingaben'!$C$13))</f>
        <v/>
      </c>
      <c r="D2089" s="17" t="str">
        <f>IF(C2089="","",C2089*'02_Eingaben'!$C$15)</f>
        <v/>
      </c>
      <c r="E2089" s="17" t="str">
        <f>IF(D2089="","",D2089*'02_Eingaben'!$C$8)</f>
        <v/>
      </c>
      <c r="F2089" s="17" t="str">
        <f>IF(E2089="","",AVERAGE(INDEX($E$2:$E$3001,MAX(1,ROW()-1-'02_Eingaben'!$C$17)):INDEX($E$2:$E$3001,MIN('02_Eingaben'!$C$21,ROW()-1+'02_Eingaben'!$C$17))))</f>
        <v/>
      </c>
      <c r="G2089" s="17" t="str">
        <f>IF(F2089="","",F2089-'02_Eingaben'!$C$10)</f>
        <v/>
      </c>
      <c r="H2089" t="str">
        <f>IF(F2089="","",IF(F2089&lt;'02_Eingaben'!$C$18*'02_Eingaben'!$C$10,1,0))</f>
        <v/>
      </c>
      <c r="I2089" s="17" t="str">
        <f t="shared" si="32"/>
        <v/>
      </c>
      <c r="J2089" s="17" t="str">
        <f>IF(B2089="","",IF(B2088&lt;'02_Eingaben'!$C$36,0,J2088+I2088/'02_Eingaben'!$C$8))</f>
        <v/>
      </c>
    </row>
    <row r="2090" spans="1:10" x14ac:dyDescent="0.25">
      <c r="A2090" t="str">
        <f>IF('01_Rohdaten'!A2090="","",ROW()-1)</f>
        <v/>
      </c>
      <c r="B2090" s="17" t="str">
        <f>IF('01_Rohdaten'!A2090="","",'01_Rohdaten'!A2090)</f>
        <v/>
      </c>
      <c r="C2090" s="17" t="str">
        <f>IF(B2090="","",INDEX('01_Rohdaten'!B2090:D2090,'02_Eingaben'!$C$13))</f>
        <v/>
      </c>
      <c r="D2090" s="17" t="str">
        <f>IF(C2090="","",C2090*'02_Eingaben'!$C$15)</f>
        <v/>
      </c>
      <c r="E2090" s="17" t="str">
        <f>IF(D2090="","",D2090*'02_Eingaben'!$C$8)</f>
        <v/>
      </c>
      <c r="F2090" s="17" t="str">
        <f>IF(E2090="","",AVERAGE(INDEX($E$2:$E$3001,MAX(1,ROW()-1-'02_Eingaben'!$C$17)):INDEX($E$2:$E$3001,MIN('02_Eingaben'!$C$21,ROW()-1+'02_Eingaben'!$C$17))))</f>
        <v/>
      </c>
      <c r="G2090" s="17" t="str">
        <f>IF(F2090="","",F2090-'02_Eingaben'!$C$10)</f>
        <v/>
      </c>
      <c r="H2090" t="str">
        <f>IF(F2090="","",IF(F2090&lt;'02_Eingaben'!$C$18*'02_Eingaben'!$C$10,1,0))</f>
        <v/>
      </c>
      <c r="I2090" s="17" t="str">
        <f t="shared" si="32"/>
        <v/>
      </c>
      <c r="J2090" s="17" t="str">
        <f>IF(B2090="","",IF(B2089&lt;'02_Eingaben'!$C$36,0,J2089+I2089/'02_Eingaben'!$C$8))</f>
        <v/>
      </c>
    </row>
    <row r="2091" spans="1:10" x14ac:dyDescent="0.25">
      <c r="A2091" t="str">
        <f>IF('01_Rohdaten'!A2091="","",ROW()-1)</f>
        <v/>
      </c>
      <c r="B2091" s="17" t="str">
        <f>IF('01_Rohdaten'!A2091="","",'01_Rohdaten'!A2091)</f>
        <v/>
      </c>
      <c r="C2091" s="17" t="str">
        <f>IF(B2091="","",INDEX('01_Rohdaten'!B2091:D2091,'02_Eingaben'!$C$13))</f>
        <v/>
      </c>
      <c r="D2091" s="17" t="str">
        <f>IF(C2091="","",C2091*'02_Eingaben'!$C$15)</f>
        <v/>
      </c>
      <c r="E2091" s="17" t="str">
        <f>IF(D2091="","",D2091*'02_Eingaben'!$C$8)</f>
        <v/>
      </c>
      <c r="F2091" s="17" t="str">
        <f>IF(E2091="","",AVERAGE(INDEX($E$2:$E$3001,MAX(1,ROW()-1-'02_Eingaben'!$C$17)):INDEX($E$2:$E$3001,MIN('02_Eingaben'!$C$21,ROW()-1+'02_Eingaben'!$C$17))))</f>
        <v/>
      </c>
      <c r="G2091" s="17" t="str">
        <f>IF(F2091="","",F2091-'02_Eingaben'!$C$10)</f>
        <v/>
      </c>
      <c r="H2091" t="str">
        <f>IF(F2091="","",IF(F2091&lt;'02_Eingaben'!$C$18*'02_Eingaben'!$C$10,1,0))</f>
        <v/>
      </c>
      <c r="I2091" s="17" t="str">
        <f t="shared" si="32"/>
        <v/>
      </c>
      <c r="J2091" s="17" t="str">
        <f>IF(B2091="","",IF(B2090&lt;'02_Eingaben'!$C$36,0,J2090+I2090/'02_Eingaben'!$C$8))</f>
        <v/>
      </c>
    </row>
    <row r="2092" spans="1:10" x14ac:dyDescent="0.25">
      <c r="A2092" t="str">
        <f>IF('01_Rohdaten'!A2092="","",ROW()-1)</f>
        <v/>
      </c>
      <c r="B2092" s="17" t="str">
        <f>IF('01_Rohdaten'!A2092="","",'01_Rohdaten'!A2092)</f>
        <v/>
      </c>
      <c r="C2092" s="17" t="str">
        <f>IF(B2092="","",INDEX('01_Rohdaten'!B2092:D2092,'02_Eingaben'!$C$13))</f>
        <v/>
      </c>
      <c r="D2092" s="17" t="str">
        <f>IF(C2092="","",C2092*'02_Eingaben'!$C$15)</f>
        <v/>
      </c>
      <c r="E2092" s="17" t="str">
        <f>IF(D2092="","",D2092*'02_Eingaben'!$C$8)</f>
        <v/>
      </c>
      <c r="F2092" s="17" t="str">
        <f>IF(E2092="","",AVERAGE(INDEX($E$2:$E$3001,MAX(1,ROW()-1-'02_Eingaben'!$C$17)):INDEX($E$2:$E$3001,MIN('02_Eingaben'!$C$21,ROW()-1+'02_Eingaben'!$C$17))))</f>
        <v/>
      </c>
      <c r="G2092" s="17" t="str">
        <f>IF(F2092="","",F2092-'02_Eingaben'!$C$10)</f>
        <v/>
      </c>
      <c r="H2092" t="str">
        <f>IF(F2092="","",IF(F2092&lt;'02_Eingaben'!$C$18*'02_Eingaben'!$C$10,1,0))</f>
        <v/>
      </c>
      <c r="I2092" s="17" t="str">
        <f t="shared" si="32"/>
        <v/>
      </c>
      <c r="J2092" s="17" t="str">
        <f>IF(B2092="","",IF(B2091&lt;'02_Eingaben'!$C$36,0,J2091+I2091/'02_Eingaben'!$C$8))</f>
        <v/>
      </c>
    </row>
    <row r="2093" spans="1:10" x14ac:dyDescent="0.25">
      <c r="A2093" t="str">
        <f>IF('01_Rohdaten'!A2093="","",ROW()-1)</f>
        <v/>
      </c>
      <c r="B2093" s="17" t="str">
        <f>IF('01_Rohdaten'!A2093="","",'01_Rohdaten'!A2093)</f>
        <v/>
      </c>
      <c r="C2093" s="17" t="str">
        <f>IF(B2093="","",INDEX('01_Rohdaten'!B2093:D2093,'02_Eingaben'!$C$13))</f>
        <v/>
      </c>
      <c r="D2093" s="17" t="str">
        <f>IF(C2093="","",C2093*'02_Eingaben'!$C$15)</f>
        <v/>
      </c>
      <c r="E2093" s="17" t="str">
        <f>IF(D2093="","",D2093*'02_Eingaben'!$C$8)</f>
        <v/>
      </c>
      <c r="F2093" s="17" t="str">
        <f>IF(E2093="","",AVERAGE(INDEX($E$2:$E$3001,MAX(1,ROW()-1-'02_Eingaben'!$C$17)):INDEX($E$2:$E$3001,MIN('02_Eingaben'!$C$21,ROW()-1+'02_Eingaben'!$C$17))))</f>
        <v/>
      </c>
      <c r="G2093" s="17" t="str">
        <f>IF(F2093="","",F2093-'02_Eingaben'!$C$10)</f>
        <v/>
      </c>
      <c r="H2093" t="str">
        <f>IF(F2093="","",IF(F2093&lt;'02_Eingaben'!$C$18*'02_Eingaben'!$C$10,1,0))</f>
        <v/>
      </c>
      <c r="I2093" s="17" t="str">
        <f t="shared" si="32"/>
        <v/>
      </c>
      <c r="J2093" s="17" t="str">
        <f>IF(B2093="","",IF(B2092&lt;'02_Eingaben'!$C$36,0,J2092+I2092/'02_Eingaben'!$C$8))</f>
        <v/>
      </c>
    </row>
    <row r="2094" spans="1:10" x14ac:dyDescent="0.25">
      <c r="A2094" t="str">
        <f>IF('01_Rohdaten'!A2094="","",ROW()-1)</f>
        <v/>
      </c>
      <c r="B2094" s="17" t="str">
        <f>IF('01_Rohdaten'!A2094="","",'01_Rohdaten'!A2094)</f>
        <v/>
      </c>
      <c r="C2094" s="17" t="str">
        <f>IF(B2094="","",INDEX('01_Rohdaten'!B2094:D2094,'02_Eingaben'!$C$13))</f>
        <v/>
      </c>
      <c r="D2094" s="17" t="str">
        <f>IF(C2094="","",C2094*'02_Eingaben'!$C$15)</f>
        <v/>
      </c>
      <c r="E2094" s="17" t="str">
        <f>IF(D2094="","",D2094*'02_Eingaben'!$C$8)</f>
        <v/>
      </c>
      <c r="F2094" s="17" t="str">
        <f>IF(E2094="","",AVERAGE(INDEX($E$2:$E$3001,MAX(1,ROW()-1-'02_Eingaben'!$C$17)):INDEX($E$2:$E$3001,MIN('02_Eingaben'!$C$21,ROW()-1+'02_Eingaben'!$C$17))))</f>
        <v/>
      </c>
      <c r="G2094" s="17" t="str">
        <f>IF(F2094="","",F2094-'02_Eingaben'!$C$10)</f>
        <v/>
      </c>
      <c r="H2094" t="str">
        <f>IF(F2094="","",IF(F2094&lt;'02_Eingaben'!$C$18*'02_Eingaben'!$C$10,1,0))</f>
        <v/>
      </c>
      <c r="I2094" s="17" t="str">
        <f t="shared" si="32"/>
        <v/>
      </c>
      <c r="J2094" s="17" t="str">
        <f>IF(B2094="","",IF(B2093&lt;'02_Eingaben'!$C$36,0,J2093+I2093/'02_Eingaben'!$C$8))</f>
        <v/>
      </c>
    </row>
    <row r="2095" spans="1:10" x14ac:dyDescent="0.25">
      <c r="A2095" t="str">
        <f>IF('01_Rohdaten'!A2095="","",ROW()-1)</f>
        <v/>
      </c>
      <c r="B2095" s="17" t="str">
        <f>IF('01_Rohdaten'!A2095="","",'01_Rohdaten'!A2095)</f>
        <v/>
      </c>
      <c r="C2095" s="17" t="str">
        <f>IF(B2095="","",INDEX('01_Rohdaten'!B2095:D2095,'02_Eingaben'!$C$13))</f>
        <v/>
      </c>
      <c r="D2095" s="17" t="str">
        <f>IF(C2095="","",C2095*'02_Eingaben'!$C$15)</f>
        <v/>
      </c>
      <c r="E2095" s="17" t="str">
        <f>IF(D2095="","",D2095*'02_Eingaben'!$C$8)</f>
        <v/>
      </c>
      <c r="F2095" s="17" t="str">
        <f>IF(E2095="","",AVERAGE(INDEX($E$2:$E$3001,MAX(1,ROW()-1-'02_Eingaben'!$C$17)):INDEX($E$2:$E$3001,MIN('02_Eingaben'!$C$21,ROW()-1+'02_Eingaben'!$C$17))))</f>
        <v/>
      </c>
      <c r="G2095" s="17" t="str">
        <f>IF(F2095="","",F2095-'02_Eingaben'!$C$10)</f>
        <v/>
      </c>
      <c r="H2095" t="str">
        <f>IF(F2095="","",IF(F2095&lt;'02_Eingaben'!$C$18*'02_Eingaben'!$C$10,1,0))</f>
        <v/>
      </c>
      <c r="I2095" s="17" t="str">
        <f t="shared" si="32"/>
        <v/>
      </c>
      <c r="J2095" s="17" t="str">
        <f>IF(B2095="","",IF(B2094&lt;'02_Eingaben'!$C$36,0,J2094+I2094/'02_Eingaben'!$C$8))</f>
        <v/>
      </c>
    </row>
    <row r="2096" spans="1:10" x14ac:dyDescent="0.25">
      <c r="A2096" t="str">
        <f>IF('01_Rohdaten'!A2096="","",ROW()-1)</f>
        <v/>
      </c>
      <c r="B2096" s="17" t="str">
        <f>IF('01_Rohdaten'!A2096="","",'01_Rohdaten'!A2096)</f>
        <v/>
      </c>
      <c r="C2096" s="17" t="str">
        <f>IF(B2096="","",INDEX('01_Rohdaten'!B2096:D2096,'02_Eingaben'!$C$13))</f>
        <v/>
      </c>
      <c r="D2096" s="17" t="str">
        <f>IF(C2096="","",C2096*'02_Eingaben'!$C$15)</f>
        <v/>
      </c>
      <c r="E2096" s="17" t="str">
        <f>IF(D2096="","",D2096*'02_Eingaben'!$C$8)</f>
        <v/>
      </c>
      <c r="F2096" s="17" t="str">
        <f>IF(E2096="","",AVERAGE(INDEX($E$2:$E$3001,MAX(1,ROW()-1-'02_Eingaben'!$C$17)):INDEX($E$2:$E$3001,MIN('02_Eingaben'!$C$21,ROW()-1+'02_Eingaben'!$C$17))))</f>
        <v/>
      </c>
      <c r="G2096" s="17" t="str">
        <f>IF(F2096="","",F2096-'02_Eingaben'!$C$10)</f>
        <v/>
      </c>
      <c r="H2096" t="str">
        <f>IF(F2096="","",IF(F2096&lt;'02_Eingaben'!$C$18*'02_Eingaben'!$C$10,1,0))</f>
        <v/>
      </c>
      <c r="I2096" s="17" t="str">
        <f t="shared" si="32"/>
        <v/>
      </c>
      <c r="J2096" s="17" t="str">
        <f>IF(B2096="","",IF(B2095&lt;'02_Eingaben'!$C$36,0,J2095+I2095/'02_Eingaben'!$C$8))</f>
        <v/>
      </c>
    </row>
    <row r="2097" spans="1:10" x14ac:dyDescent="0.25">
      <c r="A2097" t="str">
        <f>IF('01_Rohdaten'!A2097="","",ROW()-1)</f>
        <v/>
      </c>
      <c r="B2097" s="17" t="str">
        <f>IF('01_Rohdaten'!A2097="","",'01_Rohdaten'!A2097)</f>
        <v/>
      </c>
      <c r="C2097" s="17" t="str">
        <f>IF(B2097="","",INDEX('01_Rohdaten'!B2097:D2097,'02_Eingaben'!$C$13))</f>
        <v/>
      </c>
      <c r="D2097" s="17" t="str">
        <f>IF(C2097="","",C2097*'02_Eingaben'!$C$15)</f>
        <v/>
      </c>
      <c r="E2097" s="17" t="str">
        <f>IF(D2097="","",D2097*'02_Eingaben'!$C$8)</f>
        <v/>
      </c>
      <c r="F2097" s="17" t="str">
        <f>IF(E2097="","",AVERAGE(INDEX($E$2:$E$3001,MAX(1,ROW()-1-'02_Eingaben'!$C$17)):INDEX($E$2:$E$3001,MIN('02_Eingaben'!$C$21,ROW()-1+'02_Eingaben'!$C$17))))</f>
        <v/>
      </c>
      <c r="G2097" s="17" t="str">
        <f>IF(F2097="","",F2097-'02_Eingaben'!$C$10)</f>
        <v/>
      </c>
      <c r="H2097" t="str">
        <f>IF(F2097="","",IF(F2097&lt;'02_Eingaben'!$C$18*'02_Eingaben'!$C$10,1,0))</f>
        <v/>
      </c>
      <c r="I2097" s="17" t="str">
        <f t="shared" si="32"/>
        <v/>
      </c>
      <c r="J2097" s="17" t="str">
        <f>IF(B2097="","",IF(B2096&lt;'02_Eingaben'!$C$36,0,J2096+I2096/'02_Eingaben'!$C$8))</f>
        <v/>
      </c>
    </row>
    <row r="2098" spans="1:10" x14ac:dyDescent="0.25">
      <c r="A2098" t="str">
        <f>IF('01_Rohdaten'!A2098="","",ROW()-1)</f>
        <v/>
      </c>
      <c r="B2098" s="17" t="str">
        <f>IF('01_Rohdaten'!A2098="","",'01_Rohdaten'!A2098)</f>
        <v/>
      </c>
      <c r="C2098" s="17" t="str">
        <f>IF(B2098="","",INDEX('01_Rohdaten'!B2098:D2098,'02_Eingaben'!$C$13))</f>
        <v/>
      </c>
      <c r="D2098" s="17" t="str">
        <f>IF(C2098="","",C2098*'02_Eingaben'!$C$15)</f>
        <v/>
      </c>
      <c r="E2098" s="17" t="str">
        <f>IF(D2098="","",D2098*'02_Eingaben'!$C$8)</f>
        <v/>
      </c>
      <c r="F2098" s="17" t="str">
        <f>IF(E2098="","",AVERAGE(INDEX($E$2:$E$3001,MAX(1,ROW()-1-'02_Eingaben'!$C$17)):INDEX($E$2:$E$3001,MIN('02_Eingaben'!$C$21,ROW()-1+'02_Eingaben'!$C$17))))</f>
        <v/>
      </c>
      <c r="G2098" s="17" t="str">
        <f>IF(F2098="","",F2098-'02_Eingaben'!$C$10)</f>
        <v/>
      </c>
      <c r="H2098" t="str">
        <f>IF(F2098="","",IF(F2098&lt;'02_Eingaben'!$C$18*'02_Eingaben'!$C$10,1,0))</f>
        <v/>
      </c>
      <c r="I2098" s="17" t="str">
        <f t="shared" si="32"/>
        <v/>
      </c>
      <c r="J2098" s="17" t="str">
        <f>IF(B2098="","",IF(B2097&lt;'02_Eingaben'!$C$36,0,J2097+I2097/'02_Eingaben'!$C$8))</f>
        <v/>
      </c>
    </row>
    <row r="2099" spans="1:10" x14ac:dyDescent="0.25">
      <c r="A2099" t="str">
        <f>IF('01_Rohdaten'!A2099="","",ROW()-1)</f>
        <v/>
      </c>
      <c r="B2099" s="17" t="str">
        <f>IF('01_Rohdaten'!A2099="","",'01_Rohdaten'!A2099)</f>
        <v/>
      </c>
      <c r="C2099" s="17" t="str">
        <f>IF(B2099="","",INDEX('01_Rohdaten'!B2099:D2099,'02_Eingaben'!$C$13))</f>
        <v/>
      </c>
      <c r="D2099" s="17" t="str">
        <f>IF(C2099="","",C2099*'02_Eingaben'!$C$15)</f>
        <v/>
      </c>
      <c r="E2099" s="17" t="str">
        <f>IF(D2099="","",D2099*'02_Eingaben'!$C$8)</f>
        <v/>
      </c>
      <c r="F2099" s="17" t="str">
        <f>IF(E2099="","",AVERAGE(INDEX($E$2:$E$3001,MAX(1,ROW()-1-'02_Eingaben'!$C$17)):INDEX($E$2:$E$3001,MIN('02_Eingaben'!$C$21,ROW()-1+'02_Eingaben'!$C$17))))</f>
        <v/>
      </c>
      <c r="G2099" s="17" t="str">
        <f>IF(F2099="","",F2099-'02_Eingaben'!$C$10)</f>
        <v/>
      </c>
      <c r="H2099" t="str">
        <f>IF(F2099="","",IF(F2099&lt;'02_Eingaben'!$C$18*'02_Eingaben'!$C$10,1,0))</f>
        <v/>
      </c>
      <c r="I2099" s="17" t="str">
        <f t="shared" si="32"/>
        <v/>
      </c>
      <c r="J2099" s="17" t="str">
        <f>IF(B2099="","",IF(B2098&lt;'02_Eingaben'!$C$36,0,J2098+I2098/'02_Eingaben'!$C$8))</f>
        <v/>
      </c>
    </row>
    <row r="2100" spans="1:10" x14ac:dyDescent="0.25">
      <c r="A2100" t="str">
        <f>IF('01_Rohdaten'!A2100="","",ROW()-1)</f>
        <v/>
      </c>
      <c r="B2100" s="17" t="str">
        <f>IF('01_Rohdaten'!A2100="","",'01_Rohdaten'!A2100)</f>
        <v/>
      </c>
      <c r="C2100" s="17" t="str">
        <f>IF(B2100="","",INDEX('01_Rohdaten'!B2100:D2100,'02_Eingaben'!$C$13))</f>
        <v/>
      </c>
      <c r="D2100" s="17" t="str">
        <f>IF(C2100="","",C2100*'02_Eingaben'!$C$15)</f>
        <v/>
      </c>
      <c r="E2100" s="17" t="str">
        <f>IF(D2100="","",D2100*'02_Eingaben'!$C$8)</f>
        <v/>
      </c>
      <c r="F2100" s="17" t="str">
        <f>IF(E2100="","",AVERAGE(INDEX($E$2:$E$3001,MAX(1,ROW()-1-'02_Eingaben'!$C$17)):INDEX($E$2:$E$3001,MIN('02_Eingaben'!$C$21,ROW()-1+'02_Eingaben'!$C$17))))</f>
        <v/>
      </c>
      <c r="G2100" s="17" t="str">
        <f>IF(F2100="","",F2100-'02_Eingaben'!$C$10)</f>
        <v/>
      </c>
      <c r="H2100" t="str">
        <f>IF(F2100="","",IF(F2100&lt;'02_Eingaben'!$C$18*'02_Eingaben'!$C$10,1,0))</f>
        <v/>
      </c>
      <c r="I2100" s="17" t="str">
        <f t="shared" si="32"/>
        <v/>
      </c>
      <c r="J2100" s="17" t="str">
        <f>IF(B2100="","",IF(B2099&lt;'02_Eingaben'!$C$36,0,J2099+I2099/'02_Eingaben'!$C$8))</f>
        <v/>
      </c>
    </row>
    <row r="2101" spans="1:10" x14ac:dyDescent="0.25">
      <c r="A2101" t="str">
        <f>IF('01_Rohdaten'!A2101="","",ROW()-1)</f>
        <v/>
      </c>
      <c r="B2101" s="17" t="str">
        <f>IF('01_Rohdaten'!A2101="","",'01_Rohdaten'!A2101)</f>
        <v/>
      </c>
      <c r="C2101" s="17" t="str">
        <f>IF(B2101="","",INDEX('01_Rohdaten'!B2101:D2101,'02_Eingaben'!$C$13))</f>
        <v/>
      </c>
      <c r="D2101" s="17" t="str">
        <f>IF(C2101="","",C2101*'02_Eingaben'!$C$15)</f>
        <v/>
      </c>
      <c r="E2101" s="17" t="str">
        <f>IF(D2101="","",D2101*'02_Eingaben'!$C$8)</f>
        <v/>
      </c>
      <c r="F2101" s="17" t="str">
        <f>IF(E2101="","",AVERAGE(INDEX($E$2:$E$3001,MAX(1,ROW()-1-'02_Eingaben'!$C$17)):INDEX($E$2:$E$3001,MIN('02_Eingaben'!$C$21,ROW()-1+'02_Eingaben'!$C$17))))</f>
        <v/>
      </c>
      <c r="G2101" s="17" t="str">
        <f>IF(F2101="","",F2101-'02_Eingaben'!$C$10)</f>
        <v/>
      </c>
      <c r="H2101" t="str">
        <f>IF(F2101="","",IF(F2101&lt;'02_Eingaben'!$C$18*'02_Eingaben'!$C$10,1,0))</f>
        <v/>
      </c>
      <c r="I2101" s="17" t="str">
        <f t="shared" si="32"/>
        <v/>
      </c>
      <c r="J2101" s="17" t="str">
        <f>IF(B2101="","",IF(B2100&lt;'02_Eingaben'!$C$36,0,J2100+I2100/'02_Eingaben'!$C$8))</f>
        <v/>
      </c>
    </row>
    <row r="2102" spans="1:10" x14ac:dyDescent="0.25">
      <c r="A2102" t="str">
        <f>IF('01_Rohdaten'!A2102="","",ROW()-1)</f>
        <v/>
      </c>
      <c r="B2102" s="17" t="str">
        <f>IF('01_Rohdaten'!A2102="","",'01_Rohdaten'!A2102)</f>
        <v/>
      </c>
      <c r="C2102" s="17" t="str">
        <f>IF(B2102="","",INDEX('01_Rohdaten'!B2102:D2102,'02_Eingaben'!$C$13))</f>
        <v/>
      </c>
      <c r="D2102" s="17" t="str">
        <f>IF(C2102="","",C2102*'02_Eingaben'!$C$15)</f>
        <v/>
      </c>
      <c r="E2102" s="17" t="str">
        <f>IF(D2102="","",D2102*'02_Eingaben'!$C$8)</f>
        <v/>
      </c>
      <c r="F2102" s="17" t="str">
        <f>IF(E2102="","",AVERAGE(INDEX($E$2:$E$3001,MAX(1,ROW()-1-'02_Eingaben'!$C$17)):INDEX($E$2:$E$3001,MIN('02_Eingaben'!$C$21,ROW()-1+'02_Eingaben'!$C$17))))</f>
        <v/>
      </c>
      <c r="G2102" s="17" t="str">
        <f>IF(F2102="","",F2102-'02_Eingaben'!$C$10)</f>
        <v/>
      </c>
      <c r="H2102" t="str">
        <f>IF(F2102="","",IF(F2102&lt;'02_Eingaben'!$C$18*'02_Eingaben'!$C$10,1,0))</f>
        <v/>
      </c>
      <c r="I2102" s="17" t="str">
        <f t="shared" si="32"/>
        <v/>
      </c>
      <c r="J2102" s="17" t="str">
        <f>IF(B2102="","",IF(B2101&lt;'02_Eingaben'!$C$36,0,J2101+I2101/'02_Eingaben'!$C$8))</f>
        <v/>
      </c>
    </row>
    <row r="2103" spans="1:10" x14ac:dyDescent="0.25">
      <c r="A2103" t="str">
        <f>IF('01_Rohdaten'!A2103="","",ROW()-1)</f>
        <v/>
      </c>
      <c r="B2103" s="17" t="str">
        <f>IF('01_Rohdaten'!A2103="","",'01_Rohdaten'!A2103)</f>
        <v/>
      </c>
      <c r="C2103" s="17" t="str">
        <f>IF(B2103="","",INDEX('01_Rohdaten'!B2103:D2103,'02_Eingaben'!$C$13))</f>
        <v/>
      </c>
      <c r="D2103" s="17" t="str">
        <f>IF(C2103="","",C2103*'02_Eingaben'!$C$15)</f>
        <v/>
      </c>
      <c r="E2103" s="17" t="str">
        <f>IF(D2103="","",D2103*'02_Eingaben'!$C$8)</f>
        <v/>
      </c>
      <c r="F2103" s="17" t="str">
        <f>IF(E2103="","",AVERAGE(INDEX($E$2:$E$3001,MAX(1,ROW()-1-'02_Eingaben'!$C$17)):INDEX($E$2:$E$3001,MIN('02_Eingaben'!$C$21,ROW()-1+'02_Eingaben'!$C$17))))</f>
        <v/>
      </c>
      <c r="G2103" s="17" t="str">
        <f>IF(F2103="","",F2103-'02_Eingaben'!$C$10)</f>
        <v/>
      </c>
      <c r="H2103" t="str">
        <f>IF(F2103="","",IF(F2103&lt;'02_Eingaben'!$C$18*'02_Eingaben'!$C$10,1,0))</f>
        <v/>
      </c>
      <c r="I2103" s="17" t="str">
        <f t="shared" si="32"/>
        <v/>
      </c>
      <c r="J2103" s="17" t="str">
        <f>IF(B2103="","",IF(B2102&lt;'02_Eingaben'!$C$36,0,J2102+I2102/'02_Eingaben'!$C$8))</f>
        <v/>
      </c>
    </row>
    <row r="2104" spans="1:10" x14ac:dyDescent="0.25">
      <c r="A2104" t="str">
        <f>IF('01_Rohdaten'!A2104="","",ROW()-1)</f>
        <v/>
      </c>
      <c r="B2104" s="17" t="str">
        <f>IF('01_Rohdaten'!A2104="","",'01_Rohdaten'!A2104)</f>
        <v/>
      </c>
      <c r="C2104" s="17" t="str">
        <f>IF(B2104="","",INDEX('01_Rohdaten'!B2104:D2104,'02_Eingaben'!$C$13))</f>
        <v/>
      </c>
      <c r="D2104" s="17" t="str">
        <f>IF(C2104="","",C2104*'02_Eingaben'!$C$15)</f>
        <v/>
      </c>
      <c r="E2104" s="17" t="str">
        <f>IF(D2104="","",D2104*'02_Eingaben'!$C$8)</f>
        <v/>
      </c>
      <c r="F2104" s="17" t="str">
        <f>IF(E2104="","",AVERAGE(INDEX($E$2:$E$3001,MAX(1,ROW()-1-'02_Eingaben'!$C$17)):INDEX($E$2:$E$3001,MIN('02_Eingaben'!$C$21,ROW()-1+'02_Eingaben'!$C$17))))</f>
        <v/>
      </c>
      <c r="G2104" s="17" t="str">
        <f>IF(F2104="","",F2104-'02_Eingaben'!$C$10)</f>
        <v/>
      </c>
      <c r="H2104" t="str">
        <f>IF(F2104="","",IF(F2104&lt;'02_Eingaben'!$C$18*'02_Eingaben'!$C$10,1,0))</f>
        <v/>
      </c>
      <c r="I2104" s="17" t="str">
        <f t="shared" si="32"/>
        <v/>
      </c>
      <c r="J2104" s="17" t="str">
        <f>IF(B2104="","",IF(B2103&lt;'02_Eingaben'!$C$36,0,J2103+I2103/'02_Eingaben'!$C$8))</f>
        <v/>
      </c>
    </row>
    <row r="2105" spans="1:10" x14ac:dyDescent="0.25">
      <c r="A2105" t="str">
        <f>IF('01_Rohdaten'!A2105="","",ROW()-1)</f>
        <v/>
      </c>
      <c r="B2105" s="17" t="str">
        <f>IF('01_Rohdaten'!A2105="","",'01_Rohdaten'!A2105)</f>
        <v/>
      </c>
      <c r="C2105" s="17" t="str">
        <f>IF(B2105="","",INDEX('01_Rohdaten'!B2105:D2105,'02_Eingaben'!$C$13))</f>
        <v/>
      </c>
      <c r="D2105" s="17" t="str">
        <f>IF(C2105="","",C2105*'02_Eingaben'!$C$15)</f>
        <v/>
      </c>
      <c r="E2105" s="17" t="str">
        <f>IF(D2105="","",D2105*'02_Eingaben'!$C$8)</f>
        <v/>
      </c>
      <c r="F2105" s="17" t="str">
        <f>IF(E2105="","",AVERAGE(INDEX($E$2:$E$3001,MAX(1,ROW()-1-'02_Eingaben'!$C$17)):INDEX($E$2:$E$3001,MIN('02_Eingaben'!$C$21,ROW()-1+'02_Eingaben'!$C$17))))</f>
        <v/>
      </c>
      <c r="G2105" s="17" t="str">
        <f>IF(F2105="","",F2105-'02_Eingaben'!$C$10)</f>
        <v/>
      </c>
      <c r="H2105" t="str">
        <f>IF(F2105="","",IF(F2105&lt;'02_Eingaben'!$C$18*'02_Eingaben'!$C$10,1,0))</f>
        <v/>
      </c>
      <c r="I2105" s="17" t="str">
        <f t="shared" si="32"/>
        <v/>
      </c>
      <c r="J2105" s="17" t="str">
        <f>IF(B2105="","",IF(B2104&lt;'02_Eingaben'!$C$36,0,J2104+I2104/'02_Eingaben'!$C$8))</f>
        <v/>
      </c>
    </row>
    <row r="2106" spans="1:10" x14ac:dyDescent="0.25">
      <c r="A2106" t="str">
        <f>IF('01_Rohdaten'!A2106="","",ROW()-1)</f>
        <v/>
      </c>
      <c r="B2106" s="17" t="str">
        <f>IF('01_Rohdaten'!A2106="","",'01_Rohdaten'!A2106)</f>
        <v/>
      </c>
      <c r="C2106" s="17" t="str">
        <f>IF(B2106="","",INDEX('01_Rohdaten'!B2106:D2106,'02_Eingaben'!$C$13))</f>
        <v/>
      </c>
      <c r="D2106" s="17" t="str">
        <f>IF(C2106="","",C2106*'02_Eingaben'!$C$15)</f>
        <v/>
      </c>
      <c r="E2106" s="17" t="str">
        <f>IF(D2106="","",D2106*'02_Eingaben'!$C$8)</f>
        <v/>
      </c>
      <c r="F2106" s="17" t="str">
        <f>IF(E2106="","",AVERAGE(INDEX($E$2:$E$3001,MAX(1,ROW()-1-'02_Eingaben'!$C$17)):INDEX($E$2:$E$3001,MIN('02_Eingaben'!$C$21,ROW()-1+'02_Eingaben'!$C$17))))</f>
        <v/>
      </c>
      <c r="G2106" s="17" t="str">
        <f>IF(F2106="","",F2106-'02_Eingaben'!$C$10)</f>
        <v/>
      </c>
      <c r="H2106" t="str">
        <f>IF(F2106="","",IF(F2106&lt;'02_Eingaben'!$C$18*'02_Eingaben'!$C$10,1,0))</f>
        <v/>
      </c>
      <c r="I2106" s="17" t="str">
        <f t="shared" si="32"/>
        <v/>
      </c>
      <c r="J2106" s="17" t="str">
        <f>IF(B2106="","",IF(B2105&lt;'02_Eingaben'!$C$36,0,J2105+I2105/'02_Eingaben'!$C$8))</f>
        <v/>
      </c>
    </row>
    <row r="2107" spans="1:10" x14ac:dyDescent="0.25">
      <c r="A2107" t="str">
        <f>IF('01_Rohdaten'!A2107="","",ROW()-1)</f>
        <v/>
      </c>
      <c r="B2107" s="17" t="str">
        <f>IF('01_Rohdaten'!A2107="","",'01_Rohdaten'!A2107)</f>
        <v/>
      </c>
      <c r="C2107" s="17" t="str">
        <f>IF(B2107="","",INDEX('01_Rohdaten'!B2107:D2107,'02_Eingaben'!$C$13))</f>
        <v/>
      </c>
      <c r="D2107" s="17" t="str">
        <f>IF(C2107="","",C2107*'02_Eingaben'!$C$15)</f>
        <v/>
      </c>
      <c r="E2107" s="17" t="str">
        <f>IF(D2107="","",D2107*'02_Eingaben'!$C$8)</f>
        <v/>
      </c>
      <c r="F2107" s="17" t="str">
        <f>IF(E2107="","",AVERAGE(INDEX($E$2:$E$3001,MAX(1,ROW()-1-'02_Eingaben'!$C$17)):INDEX($E$2:$E$3001,MIN('02_Eingaben'!$C$21,ROW()-1+'02_Eingaben'!$C$17))))</f>
        <v/>
      </c>
      <c r="G2107" s="17" t="str">
        <f>IF(F2107="","",F2107-'02_Eingaben'!$C$10)</f>
        <v/>
      </c>
      <c r="H2107" t="str">
        <f>IF(F2107="","",IF(F2107&lt;'02_Eingaben'!$C$18*'02_Eingaben'!$C$10,1,0))</f>
        <v/>
      </c>
      <c r="I2107" s="17" t="str">
        <f t="shared" si="32"/>
        <v/>
      </c>
      <c r="J2107" s="17" t="str">
        <f>IF(B2107="","",IF(B2106&lt;'02_Eingaben'!$C$36,0,J2106+I2106/'02_Eingaben'!$C$8))</f>
        <v/>
      </c>
    </row>
    <row r="2108" spans="1:10" x14ac:dyDescent="0.25">
      <c r="A2108" t="str">
        <f>IF('01_Rohdaten'!A2108="","",ROW()-1)</f>
        <v/>
      </c>
      <c r="B2108" s="17" t="str">
        <f>IF('01_Rohdaten'!A2108="","",'01_Rohdaten'!A2108)</f>
        <v/>
      </c>
      <c r="C2108" s="17" t="str">
        <f>IF(B2108="","",INDEX('01_Rohdaten'!B2108:D2108,'02_Eingaben'!$C$13))</f>
        <v/>
      </c>
      <c r="D2108" s="17" t="str">
        <f>IF(C2108="","",C2108*'02_Eingaben'!$C$15)</f>
        <v/>
      </c>
      <c r="E2108" s="17" t="str">
        <f>IF(D2108="","",D2108*'02_Eingaben'!$C$8)</f>
        <v/>
      </c>
      <c r="F2108" s="17" t="str">
        <f>IF(E2108="","",AVERAGE(INDEX($E$2:$E$3001,MAX(1,ROW()-1-'02_Eingaben'!$C$17)):INDEX($E$2:$E$3001,MIN('02_Eingaben'!$C$21,ROW()-1+'02_Eingaben'!$C$17))))</f>
        <v/>
      </c>
      <c r="G2108" s="17" t="str">
        <f>IF(F2108="","",F2108-'02_Eingaben'!$C$10)</f>
        <v/>
      </c>
      <c r="H2108" t="str">
        <f>IF(F2108="","",IF(F2108&lt;'02_Eingaben'!$C$18*'02_Eingaben'!$C$10,1,0))</f>
        <v/>
      </c>
      <c r="I2108" s="17" t="str">
        <f t="shared" si="32"/>
        <v/>
      </c>
      <c r="J2108" s="17" t="str">
        <f>IF(B2108="","",IF(B2107&lt;'02_Eingaben'!$C$36,0,J2107+I2107/'02_Eingaben'!$C$8))</f>
        <v/>
      </c>
    </row>
    <row r="2109" spans="1:10" x14ac:dyDescent="0.25">
      <c r="A2109" t="str">
        <f>IF('01_Rohdaten'!A2109="","",ROW()-1)</f>
        <v/>
      </c>
      <c r="B2109" s="17" t="str">
        <f>IF('01_Rohdaten'!A2109="","",'01_Rohdaten'!A2109)</f>
        <v/>
      </c>
      <c r="C2109" s="17" t="str">
        <f>IF(B2109="","",INDEX('01_Rohdaten'!B2109:D2109,'02_Eingaben'!$C$13))</f>
        <v/>
      </c>
      <c r="D2109" s="17" t="str">
        <f>IF(C2109="","",C2109*'02_Eingaben'!$C$15)</f>
        <v/>
      </c>
      <c r="E2109" s="17" t="str">
        <f>IF(D2109="","",D2109*'02_Eingaben'!$C$8)</f>
        <v/>
      </c>
      <c r="F2109" s="17" t="str">
        <f>IF(E2109="","",AVERAGE(INDEX($E$2:$E$3001,MAX(1,ROW()-1-'02_Eingaben'!$C$17)):INDEX($E$2:$E$3001,MIN('02_Eingaben'!$C$21,ROW()-1+'02_Eingaben'!$C$17))))</f>
        <v/>
      </c>
      <c r="G2109" s="17" t="str">
        <f>IF(F2109="","",F2109-'02_Eingaben'!$C$10)</f>
        <v/>
      </c>
      <c r="H2109" t="str">
        <f>IF(F2109="","",IF(F2109&lt;'02_Eingaben'!$C$18*'02_Eingaben'!$C$10,1,0))</f>
        <v/>
      </c>
      <c r="I2109" s="17" t="str">
        <f t="shared" si="32"/>
        <v/>
      </c>
      <c r="J2109" s="17" t="str">
        <f>IF(B2109="","",IF(B2108&lt;'02_Eingaben'!$C$36,0,J2108+I2108/'02_Eingaben'!$C$8))</f>
        <v/>
      </c>
    </row>
    <row r="2110" spans="1:10" x14ac:dyDescent="0.25">
      <c r="A2110" t="str">
        <f>IF('01_Rohdaten'!A2110="","",ROW()-1)</f>
        <v/>
      </c>
      <c r="B2110" s="17" t="str">
        <f>IF('01_Rohdaten'!A2110="","",'01_Rohdaten'!A2110)</f>
        <v/>
      </c>
      <c r="C2110" s="17" t="str">
        <f>IF(B2110="","",INDEX('01_Rohdaten'!B2110:D2110,'02_Eingaben'!$C$13))</f>
        <v/>
      </c>
      <c r="D2110" s="17" t="str">
        <f>IF(C2110="","",C2110*'02_Eingaben'!$C$15)</f>
        <v/>
      </c>
      <c r="E2110" s="17" t="str">
        <f>IF(D2110="","",D2110*'02_Eingaben'!$C$8)</f>
        <v/>
      </c>
      <c r="F2110" s="17" t="str">
        <f>IF(E2110="","",AVERAGE(INDEX($E$2:$E$3001,MAX(1,ROW()-1-'02_Eingaben'!$C$17)):INDEX($E$2:$E$3001,MIN('02_Eingaben'!$C$21,ROW()-1+'02_Eingaben'!$C$17))))</f>
        <v/>
      </c>
      <c r="G2110" s="17" t="str">
        <f>IF(F2110="","",F2110-'02_Eingaben'!$C$10)</f>
        <v/>
      </c>
      <c r="H2110" t="str">
        <f>IF(F2110="","",IF(F2110&lt;'02_Eingaben'!$C$18*'02_Eingaben'!$C$10,1,0))</f>
        <v/>
      </c>
      <c r="I2110" s="17" t="str">
        <f t="shared" si="32"/>
        <v/>
      </c>
      <c r="J2110" s="17" t="str">
        <f>IF(B2110="","",IF(B2109&lt;'02_Eingaben'!$C$36,0,J2109+I2109/'02_Eingaben'!$C$8))</f>
        <v/>
      </c>
    </row>
    <row r="2111" spans="1:10" x14ac:dyDescent="0.25">
      <c r="A2111" t="str">
        <f>IF('01_Rohdaten'!A2111="","",ROW()-1)</f>
        <v/>
      </c>
      <c r="B2111" s="17" t="str">
        <f>IF('01_Rohdaten'!A2111="","",'01_Rohdaten'!A2111)</f>
        <v/>
      </c>
      <c r="C2111" s="17" t="str">
        <f>IF(B2111="","",INDEX('01_Rohdaten'!B2111:D2111,'02_Eingaben'!$C$13))</f>
        <v/>
      </c>
      <c r="D2111" s="17" t="str">
        <f>IF(C2111="","",C2111*'02_Eingaben'!$C$15)</f>
        <v/>
      </c>
      <c r="E2111" s="17" t="str">
        <f>IF(D2111="","",D2111*'02_Eingaben'!$C$8)</f>
        <v/>
      </c>
      <c r="F2111" s="17" t="str">
        <f>IF(E2111="","",AVERAGE(INDEX($E$2:$E$3001,MAX(1,ROW()-1-'02_Eingaben'!$C$17)):INDEX($E$2:$E$3001,MIN('02_Eingaben'!$C$21,ROW()-1+'02_Eingaben'!$C$17))))</f>
        <v/>
      </c>
      <c r="G2111" s="17" t="str">
        <f>IF(F2111="","",F2111-'02_Eingaben'!$C$10)</f>
        <v/>
      </c>
      <c r="H2111" t="str">
        <f>IF(F2111="","",IF(F2111&lt;'02_Eingaben'!$C$18*'02_Eingaben'!$C$10,1,0))</f>
        <v/>
      </c>
      <c r="I2111" s="17" t="str">
        <f t="shared" si="32"/>
        <v/>
      </c>
      <c r="J2111" s="17" t="str">
        <f>IF(B2111="","",IF(B2110&lt;'02_Eingaben'!$C$36,0,J2110+I2110/'02_Eingaben'!$C$8))</f>
        <v/>
      </c>
    </row>
    <row r="2112" spans="1:10" x14ac:dyDescent="0.25">
      <c r="A2112" t="str">
        <f>IF('01_Rohdaten'!A2112="","",ROW()-1)</f>
        <v/>
      </c>
      <c r="B2112" s="17" t="str">
        <f>IF('01_Rohdaten'!A2112="","",'01_Rohdaten'!A2112)</f>
        <v/>
      </c>
      <c r="C2112" s="17" t="str">
        <f>IF(B2112="","",INDEX('01_Rohdaten'!B2112:D2112,'02_Eingaben'!$C$13))</f>
        <v/>
      </c>
      <c r="D2112" s="17" t="str">
        <f>IF(C2112="","",C2112*'02_Eingaben'!$C$15)</f>
        <v/>
      </c>
      <c r="E2112" s="17" t="str">
        <f>IF(D2112="","",D2112*'02_Eingaben'!$C$8)</f>
        <v/>
      </c>
      <c r="F2112" s="17" t="str">
        <f>IF(E2112="","",AVERAGE(INDEX($E$2:$E$3001,MAX(1,ROW()-1-'02_Eingaben'!$C$17)):INDEX($E$2:$E$3001,MIN('02_Eingaben'!$C$21,ROW()-1+'02_Eingaben'!$C$17))))</f>
        <v/>
      </c>
      <c r="G2112" s="17" t="str">
        <f>IF(F2112="","",F2112-'02_Eingaben'!$C$10)</f>
        <v/>
      </c>
      <c r="H2112" t="str">
        <f>IF(F2112="","",IF(F2112&lt;'02_Eingaben'!$C$18*'02_Eingaben'!$C$10,1,0))</f>
        <v/>
      </c>
      <c r="I2112" s="17" t="str">
        <f t="shared" si="32"/>
        <v/>
      </c>
      <c r="J2112" s="17" t="str">
        <f>IF(B2112="","",IF(B2111&lt;'02_Eingaben'!$C$36,0,J2111+I2111/'02_Eingaben'!$C$8))</f>
        <v/>
      </c>
    </row>
    <row r="2113" spans="1:10" x14ac:dyDescent="0.25">
      <c r="A2113" t="str">
        <f>IF('01_Rohdaten'!A2113="","",ROW()-1)</f>
        <v/>
      </c>
      <c r="B2113" s="17" t="str">
        <f>IF('01_Rohdaten'!A2113="","",'01_Rohdaten'!A2113)</f>
        <v/>
      </c>
      <c r="C2113" s="17" t="str">
        <f>IF(B2113="","",INDEX('01_Rohdaten'!B2113:D2113,'02_Eingaben'!$C$13))</f>
        <v/>
      </c>
      <c r="D2113" s="17" t="str">
        <f>IF(C2113="","",C2113*'02_Eingaben'!$C$15)</f>
        <v/>
      </c>
      <c r="E2113" s="17" t="str">
        <f>IF(D2113="","",D2113*'02_Eingaben'!$C$8)</f>
        <v/>
      </c>
      <c r="F2113" s="17" t="str">
        <f>IF(E2113="","",AVERAGE(INDEX($E$2:$E$3001,MAX(1,ROW()-1-'02_Eingaben'!$C$17)):INDEX($E$2:$E$3001,MIN('02_Eingaben'!$C$21,ROW()-1+'02_Eingaben'!$C$17))))</f>
        <v/>
      </c>
      <c r="G2113" s="17" t="str">
        <f>IF(F2113="","",F2113-'02_Eingaben'!$C$10)</f>
        <v/>
      </c>
      <c r="H2113" t="str">
        <f>IF(F2113="","",IF(F2113&lt;'02_Eingaben'!$C$18*'02_Eingaben'!$C$10,1,0))</f>
        <v/>
      </c>
      <c r="I2113" s="17" t="str">
        <f t="shared" si="32"/>
        <v/>
      </c>
      <c r="J2113" s="17" t="str">
        <f>IF(B2113="","",IF(B2112&lt;'02_Eingaben'!$C$36,0,J2112+I2112/'02_Eingaben'!$C$8))</f>
        <v/>
      </c>
    </row>
    <row r="2114" spans="1:10" x14ac:dyDescent="0.25">
      <c r="A2114" t="str">
        <f>IF('01_Rohdaten'!A2114="","",ROW()-1)</f>
        <v/>
      </c>
      <c r="B2114" s="17" t="str">
        <f>IF('01_Rohdaten'!A2114="","",'01_Rohdaten'!A2114)</f>
        <v/>
      </c>
      <c r="C2114" s="17" t="str">
        <f>IF(B2114="","",INDEX('01_Rohdaten'!B2114:D2114,'02_Eingaben'!$C$13))</f>
        <v/>
      </c>
      <c r="D2114" s="17" t="str">
        <f>IF(C2114="","",C2114*'02_Eingaben'!$C$15)</f>
        <v/>
      </c>
      <c r="E2114" s="17" t="str">
        <f>IF(D2114="","",D2114*'02_Eingaben'!$C$8)</f>
        <v/>
      </c>
      <c r="F2114" s="17" t="str">
        <f>IF(E2114="","",AVERAGE(INDEX($E$2:$E$3001,MAX(1,ROW()-1-'02_Eingaben'!$C$17)):INDEX($E$2:$E$3001,MIN('02_Eingaben'!$C$21,ROW()-1+'02_Eingaben'!$C$17))))</f>
        <v/>
      </c>
      <c r="G2114" s="17" t="str">
        <f>IF(F2114="","",F2114-'02_Eingaben'!$C$10)</f>
        <v/>
      </c>
      <c r="H2114" t="str">
        <f>IF(F2114="","",IF(F2114&lt;'02_Eingaben'!$C$18*'02_Eingaben'!$C$10,1,0))</f>
        <v/>
      </c>
      <c r="I2114" s="17" t="str">
        <f t="shared" ref="I2114:I2177" si="33">IF(OR(G2114="",G2115=""),"",(G2114+G2115)/2*(B2115-B2114))</f>
        <v/>
      </c>
      <c r="J2114" s="17" t="str">
        <f>IF(B2114="","",IF(B2113&lt;'02_Eingaben'!$C$36,0,J2113+I2113/'02_Eingaben'!$C$8))</f>
        <v/>
      </c>
    </row>
    <row r="2115" spans="1:10" x14ac:dyDescent="0.25">
      <c r="A2115" t="str">
        <f>IF('01_Rohdaten'!A2115="","",ROW()-1)</f>
        <v/>
      </c>
      <c r="B2115" s="17" t="str">
        <f>IF('01_Rohdaten'!A2115="","",'01_Rohdaten'!A2115)</f>
        <v/>
      </c>
      <c r="C2115" s="17" t="str">
        <f>IF(B2115="","",INDEX('01_Rohdaten'!B2115:D2115,'02_Eingaben'!$C$13))</f>
        <v/>
      </c>
      <c r="D2115" s="17" t="str">
        <f>IF(C2115="","",C2115*'02_Eingaben'!$C$15)</f>
        <v/>
      </c>
      <c r="E2115" s="17" t="str">
        <f>IF(D2115="","",D2115*'02_Eingaben'!$C$8)</f>
        <v/>
      </c>
      <c r="F2115" s="17" t="str">
        <f>IF(E2115="","",AVERAGE(INDEX($E$2:$E$3001,MAX(1,ROW()-1-'02_Eingaben'!$C$17)):INDEX($E$2:$E$3001,MIN('02_Eingaben'!$C$21,ROW()-1+'02_Eingaben'!$C$17))))</f>
        <v/>
      </c>
      <c r="G2115" s="17" t="str">
        <f>IF(F2115="","",F2115-'02_Eingaben'!$C$10)</f>
        <v/>
      </c>
      <c r="H2115" t="str">
        <f>IF(F2115="","",IF(F2115&lt;'02_Eingaben'!$C$18*'02_Eingaben'!$C$10,1,0))</f>
        <v/>
      </c>
      <c r="I2115" s="17" t="str">
        <f t="shared" si="33"/>
        <v/>
      </c>
      <c r="J2115" s="17" t="str">
        <f>IF(B2115="","",IF(B2114&lt;'02_Eingaben'!$C$36,0,J2114+I2114/'02_Eingaben'!$C$8))</f>
        <v/>
      </c>
    </row>
    <row r="2116" spans="1:10" x14ac:dyDescent="0.25">
      <c r="A2116" t="str">
        <f>IF('01_Rohdaten'!A2116="","",ROW()-1)</f>
        <v/>
      </c>
      <c r="B2116" s="17" t="str">
        <f>IF('01_Rohdaten'!A2116="","",'01_Rohdaten'!A2116)</f>
        <v/>
      </c>
      <c r="C2116" s="17" t="str">
        <f>IF(B2116="","",INDEX('01_Rohdaten'!B2116:D2116,'02_Eingaben'!$C$13))</f>
        <v/>
      </c>
      <c r="D2116" s="17" t="str">
        <f>IF(C2116="","",C2116*'02_Eingaben'!$C$15)</f>
        <v/>
      </c>
      <c r="E2116" s="17" t="str">
        <f>IF(D2116="","",D2116*'02_Eingaben'!$C$8)</f>
        <v/>
      </c>
      <c r="F2116" s="17" t="str">
        <f>IF(E2116="","",AVERAGE(INDEX($E$2:$E$3001,MAX(1,ROW()-1-'02_Eingaben'!$C$17)):INDEX($E$2:$E$3001,MIN('02_Eingaben'!$C$21,ROW()-1+'02_Eingaben'!$C$17))))</f>
        <v/>
      </c>
      <c r="G2116" s="17" t="str">
        <f>IF(F2116="","",F2116-'02_Eingaben'!$C$10)</f>
        <v/>
      </c>
      <c r="H2116" t="str">
        <f>IF(F2116="","",IF(F2116&lt;'02_Eingaben'!$C$18*'02_Eingaben'!$C$10,1,0))</f>
        <v/>
      </c>
      <c r="I2116" s="17" t="str">
        <f t="shared" si="33"/>
        <v/>
      </c>
      <c r="J2116" s="17" t="str">
        <f>IF(B2116="","",IF(B2115&lt;'02_Eingaben'!$C$36,0,J2115+I2115/'02_Eingaben'!$C$8))</f>
        <v/>
      </c>
    </row>
    <row r="2117" spans="1:10" x14ac:dyDescent="0.25">
      <c r="A2117" t="str">
        <f>IF('01_Rohdaten'!A2117="","",ROW()-1)</f>
        <v/>
      </c>
      <c r="B2117" s="17" t="str">
        <f>IF('01_Rohdaten'!A2117="","",'01_Rohdaten'!A2117)</f>
        <v/>
      </c>
      <c r="C2117" s="17" t="str">
        <f>IF(B2117="","",INDEX('01_Rohdaten'!B2117:D2117,'02_Eingaben'!$C$13))</f>
        <v/>
      </c>
      <c r="D2117" s="17" t="str">
        <f>IF(C2117="","",C2117*'02_Eingaben'!$C$15)</f>
        <v/>
      </c>
      <c r="E2117" s="17" t="str">
        <f>IF(D2117="","",D2117*'02_Eingaben'!$C$8)</f>
        <v/>
      </c>
      <c r="F2117" s="17" t="str">
        <f>IF(E2117="","",AVERAGE(INDEX($E$2:$E$3001,MAX(1,ROW()-1-'02_Eingaben'!$C$17)):INDEX($E$2:$E$3001,MIN('02_Eingaben'!$C$21,ROW()-1+'02_Eingaben'!$C$17))))</f>
        <v/>
      </c>
      <c r="G2117" s="17" t="str">
        <f>IF(F2117="","",F2117-'02_Eingaben'!$C$10)</f>
        <v/>
      </c>
      <c r="H2117" t="str">
        <f>IF(F2117="","",IF(F2117&lt;'02_Eingaben'!$C$18*'02_Eingaben'!$C$10,1,0))</f>
        <v/>
      </c>
      <c r="I2117" s="17" t="str">
        <f t="shared" si="33"/>
        <v/>
      </c>
      <c r="J2117" s="17" t="str">
        <f>IF(B2117="","",IF(B2116&lt;'02_Eingaben'!$C$36,0,J2116+I2116/'02_Eingaben'!$C$8))</f>
        <v/>
      </c>
    </row>
    <row r="2118" spans="1:10" x14ac:dyDescent="0.25">
      <c r="A2118" t="str">
        <f>IF('01_Rohdaten'!A2118="","",ROW()-1)</f>
        <v/>
      </c>
      <c r="B2118" s="17" t="str">
        <f>IF('01_Rohdaten'!A2118="","",'01_Rohdaten'!A2118)</f>
        <v/>
      </c>
      <c r="C2118" s="17" t="str">
        <f>IF(B2118="","",INDEX('01_Rohdaten'!B2118:D2118,'02_Eingaben'!$C$13))</f>
        <v/>
      </c>
      <c r="D2118" s="17" t="str">
        <f>IF(C2118="","",C2118*'02_Eingaben'!$C$15)</f>
        <v/>
      </c>
      <c r="E2118" s="17" t="str">
        <f>IF(D2118="","",D2118*'02_Eingaben'!$C$8)</f>
        <v/>
      </c>
      <c r="F2118" s="17" t="str">
        <f>IF(E2118="","",AVERAGE(INDEX($E$2:$E$3001,MAX(1,ROW()-1-'02_Eingaben'!$C$17)):INDEX($E$2:$E$3001,MIN('02_Eingaben'!$C$21,ROW()-1+'02_Eingaben'!$C$17))))</f>
        <v/>
      </c>
      <c r="G2118" s="17" t="str">
        <f>IF(F2118="","",F2118-'02_Eingaben'!$C$10)</f>
        <v/>
      </c>
      <c r="H2118" t="str">
        <f>IF(F2118="","",IF(F2118&lt;'02_Eingaben'!$C$18*'02_Eingaben'!$C$10,1,0))</f>
        <v/>
      </c>
      <c r="I2118" s="17" t="str">
        <f t="shared" si="33"/>
        <v/>
      </c>
      <c r="J2118" s="17" t="str">
        <f>IF(B2118="","",IF(B2117&lt;'02_Eingaben'!$C$36,0,J2117+I2117/'02_Eingaben'!$C$8))</f>
        <v/>
      </c>
    </row>
    <row r="2119" spans="1:10" x14ac:dyDescent="0.25">
      <c r="A2119" t="str">
        <f>IF('01_Rohdaten'!A2119="","",ROW()-1)</f>
        <v/>
      </c>
      <c r="B2119" s="17" t="str">
        <f>IF('01_Rohdaten'!A2119="","",'01_Rohdaten'!A2119)</f>
        <v/>
      </c>
      <c r="C2119" s="17" t="str">
        <f>IF(B2119="","",INDEX('01_Rohdaten'!B2119:D2119,'02_Eingaben'!$C$13))</f>
        <v/>
      </c>
      <c r="D2119" s="17" t="str">
        <f>IF(C2119="","",C2119*'02_Eingaben'!$C$15)</f>
        <v/>
      </c>
      <c r="E2119" s="17" t="str">
        <f>IF(D2119="","",D2119*'02_Eingaben'!$C$8)</f>
        <v/>
      </c>
      <c r="F2119" s="17" t="str">
        <f>IF(E2119="","",AVERAGE(INDEX($E$2:$E$3001,MAX(1,ROW()-1-'02_Eingaben'!$C$17)):INDEX($E$2:$E$3001,MIN('02_Eingaben'!$C$21,ROW()-1+'02_Eingaben'!$C$17))))</f>
        <v/>
      </c>
      <c r="G2119" s="17" t="str">
        <f>IF(F2119="","",F2119-'02_Eingaben'!$C$10)</f>
        <v/>
      </c>
      <c r="H2119" t="str">
        <f>IF(F2119="","",IF(F2119&lt;'02_Eingaben'!$C$18*'02_Eingaben'!$C$10,1,0))</f>
        <v/>
      </c>
      <c r="I2119" s="17" t="str">
        <f t="shared" si="33"/>
        <v/>
      </c>
      <c r="J2119" s="17" t="str">
        <f>IF(B2119="","",IF(B2118&lt;'02_Eingaben'!$C$36,0,J2118+I2118/'02_Eingaben'!$C$8))</f>
        <v/>
      </c>
    </row>
    <row r="2120" spans="1:10" x14ac:dyDescent="0.25">
      <c r="A2120" t="str">
        <f>IF('01_Rohdaten'!A2120="","",ROW()-1)</f>
        <v/>
      </c>
      <c r="B2120" s="17" t="str">
        <f>IF('01_Rohdaten'!A2120="","",'01_Rohdaten'!A2120)</f>
        <v/>
      </c>
      <c r="C2120" s="17" t="str">
        <f>IF(B2120="","",INDEX('01_Rohdaten'!B2120:D2120,'02_Eingaben'!$C$13))</f>
        <v/>
      </c>
      <c r="D2120" s="17" t="str">
        <f>IF(C2120="","",C2120*'02_Eingaben'!$C$15)</f>
        <v/>
      </c>
      <c r="E2120" s="17" t="str">
        <f>IF(D2120="","",D2120*'02_Eingaben'!$C$8)</f>
        <v/>
      </c>
      <c r="F2120" s="17" t="str">
        <f>IF(E2120="","",AVERAGE(INDEX($E$2:$E$3001,MAX(1,ROW()-1-'02_Eingaben'!$C$17)):INDEX($E$2:$E$3001,MIN('02_Eingaben'!$C$21,ROW()-1+'02_Eingaben'!$C$17))))</f>
        <v/>
      </c>
      <c r="G2120" s="17" t="str">
        <f>IF(F2120="","",F2120-'02_Eingaben'!$C$10)</f>
        <v/>
      </c>
      <c r="H2120" t="str">
        <f>IF(F2120="","",IF(F2120&lt;'02_Eingaben'!$C$18*'02_Eingaben'!$C$10,1,0))</f>
        <v/>
      </c>
      <c r="I2120" s="17" t="str">
        <f t="shared" si="33"/>
        <v/>
      </c>
      <c r="J2120" s="17" t="str">
        <f>IF(B2120="","",IF(B2119&lt;'02_Eingaben'!$C$36,0,J2119+I2119/'02_Eingaben'!$C$8))</f>
        <v/>
      </c>
    </row>
    <row r="2121" spans="1:10" x14ac:dyDescent="0.25">
      <c r="A2121" t="str">
        <f>IF('01_Rohdaten'!A2121="","",ROW()-1)</f>
        <v/>
      </c>
      <c r="B2121" s="17" t="str">
        <f>IF('01_Rohdaten'!A2121="","",'01_Rohdaten'!A2121)</f>
        <v/>
      </c>
      <c r="C2121" s="17" t="str">
        <f>IF(B2121="","",INDEX('01_Rohdaten'!B2121:D2121,'02_Eingaben'!$C$13))</f>
        <v/>
      </c>
      <c r="D2121" s="17" t="str">
        <f>IF(C2121="","",C2121*'02_Eingaben'!$C$15)</f>
        <v/>
      </c>
      <c r="E2121" s="17" t="str">
        <f>IF(D2121="","",D2121*'02_Eingaben'!$C$8)</f>
        <v/>
      </c>
      <c r="F2121" s="17" t="str">
        <f>IF(E2121="","",AVERAGE(INDEX($E$2:$E$3001,MAX(1,ROW()-1-'02_Eingaben'!$C$17)):INDEX($E$2:$E$3001,MIN('02_Eingaben'!$C$21,ROW()-1+'02_Eingaben'!$C$17))))</f>
        <v/>
      </c>
      <c r="G2121" s="17" t="str">
        <f>IF(F2121="","",F2121-'02_Eingaben'!$C$10)</f>
        <v/>
      </c>
      <c r="H2121" t="str">
        <f>IF(F2121="","",IF(F2121&lt;'02_Eingaben'!$C$18*'02_Eingaben'!$C$10,1,0))</f>
        <v/>
      </c>
      <c r="I2121" s="17" t="str">
        <f t="shared" si="33"/>
        <v/>
      </c>
      <c r="J2121" s="17" t="str">
        <f>IF(B2121="","",IF(B2120&lt;'02_Eingaben'!$C$36,0,J2120+I2120/'02_Eingaben'!$C$8))</f>
        <v/>
      </c>
    </row>
    <row r="2122" spans="1:10" x14ac:dyDescent="0.25">
      <c r="A2122" t="str">
        <f>IF('01_Rohdaten'!A2122="","",ROW()-1)</f>
        <v/>
      </c>
      <c r="B2122" s="17" t="str">
        <f>IF('01_Rohdaten'!A2122="","",'01_Rohdaten'!A2122)</f>
        <v/>
      </c>
      <c r="C2122" s="17" t="str">
        <f>IF(B2122="","",INDEX('01_Rohdaten'!B2122:D2122,'02_Eingaben'!$C$13))</f>
        <v/>
      </c>
      <c r="D2122" s="17" t="str">
        <f>IF(C2122="","",C2122*'02_Eingaben'!$C$15)</f>
        <v/>
      </c>
      <c r="E2122" s="17" t="str">
        <f>IF(D2122="","",D2122*'02_Eingaben'!$C$8)</f>
        <v/>
      </c>
      <c r="F2122" s="17" t="str">
        <f>IF(E2122="","",AVERAGE(INDEX($E$2:$E$3001,MAX(1,ROW()-1-'02_Eingaben'!$C$17)):INDEX($E$2:$E$3001,MIN('02_Eingaben'!$C$21,ROW()-1+'02_Eingaben'!$C$17))))</f>
        <v/>
      </c>
      <c r="G2122" s="17" t="str">
        <f>IF(F2122="","",F2122-'02_Eingaben'!$C$10)</f>
        <v/>
      </c>
      <c r="H2122" t="str">
        <f>IF(F2122="","",IF(F2122&lt;'02_Eingaben'!$C$18*'02_Eingaben'!$C$10,1,0))</f>
        <v/>
      </c>
      <c r="I2122" s="17" t="str">
        <f t="shared" si="33"/>
        <v/>
      </c>
      <c r="J2122" s="17" t="str">
        <f>IF(B2122="","",IF(B2121&lt;'02_Eingaben'!$C$36,0,J2121+I2121/'02_Eingaben'!$C$8))</f>
        <v/>
      </c>
    </row>
    <row r="2123" spans="1:10" x14ac:dyDescent="0.25">
      <c r="A2123" t="str">
        <f>IF('01_Rohdaten'!A2123="","",ROW()-1)</f>
        <v/>
      </c>
      <c r="B2123" s="17" t="str">
        <f>IF('01_Rohdaten'!A2123="","",'01_Rohdaten'!A2123)</f>
        <v/>
      </c>
      <c r="C2123" s="17" t="str">
        <f>IF(B2123="","",INDEX('01_Rohdaten'!B2123:D2123,'02_Eingaben'!$C$13))</f>
        <v/>
      </c>
      <c r="D2123" s="17" t="str">
        <f>IF(C2123="","",C2123*'02_Eingaben'!$C$15)</f>
        <v/>
      </c>
      <c r="E2123" s="17" t="str">
        <f>IF(D2123="","",D2123*'02_Eingaben'!$C$8)</f>
        <v/>
      </c>
      <c r="F2123" s="17" t="str">
        <f>IF(E2123="","",AVERAGE(INDEX($E$2:$E$3001,MAX(1,ROW()-1-'02_Eingaben'!$C$17)):INDEX($E$2:$E$3001,MIN('02_Eingaben'!$C$21,ROW()-1+'02_Eingaben'!$C$17))))</f>
        <v/>
      </c>
      <c r="G2123" s="17" t="str">
        <f>IF(F2123="","",F2123-'02_Eingaben'!$C$10)</f>
        <v/>
      </c>
      <c r="H2123" t="str">
        <f>IF(F2123="","",IF(F2123&lt;'02_Eingaben'!$C$18*'02_Eingaben'!$C$10,1,0))</f>
        <v/>
      </c>
      <c r="I2123" s="17" t="str">
        <f t="shared" si="33"/>
        <v/>
      </c>
      <c r="J2123" s="17" t="str">
        <f>IF(B2123="","",IF(B2122&lt;'02_Eingaben'!$C$36,0,J2122+I2122/'02_Eingaben'!$C$8))</f>
        <v/>
      </c>
    </row>
    <row r="2124" spans="1:10" x14ac:dyDescent="0.25">
      <c r="A2124" t="str">
        <f>IF('01_Rohdaten'!A2124="","",ROW()-1)</f>
        <v/>
      </c>
      <c r="B2124" s="17" t="str">
        <f>IF('01_Rohdaten'!A2124="","",'01_Rohdaten'!A2124)</f>
        <v/>
      </c>
      <c r="C2124" s="17" t="str">
        <f>IF(B2124="","",INDEX('01_Rohdaten'!B2124:D2124,'02_Eingaben'!$C$13))</f>
        <v/>
      </c>
      <c r="D2124" s="17" t="str">
        <f>IF(C2124="","",C2124*'02_Eingaben'!$C$15)</f>
        <v/>
      </c>
      <c r="E2124" s="17" t="str">
        <f>IF(D2124="","",D2124*'02_Eingaben'!$C$8)</f>
        <v/>
      </c>
      <c r="F2124" s="17" t="str">
        <f>IF(E2124="","",AVERAGE(INDEX($E$2:$E$3001,MAX(1,ROW()-1-'02_Eingaben'!$C$17)):INDEX($E$2:$E$3001,MIN('02_Eingaben'!$C$21,ROW()-1+'02_Eingaben'!$C$17))))</f>
        <v/>
      </c>
      <c r="G2124" s="17" t="str">
        <f>IF(F2124="","",F2124-'02_Eingaben'!$C$10)</f>
        <v/>
      </c>
      <c r="H2124" t="str">
        <f>IF(F2124="","",IF(F2124&lt;'02_Eingaben'!$C$18*'02_Eingaben'!$C$10,1,0))</f>
        <v/>
      </c>
      <c r="I2124" s="17" t="str">
        <f t="shared" si="33"/>
        <v/>
      </c>
      <c r="J2124" s="17" t="str">
        <f>IF(B2124="","",IF(B2123&lt;'02_Eingaben'!$C$36,0,J2123+I2123/'02_Eingaben'!$C$8))</f>
        <v/>
      </c>
    </row>
    <row r="2125" spans="1:10" x14ac:dyDescent="0.25">
      <c r="A2125" t="str">
        <f>IF('01_Rohdaten'!A2125="","",ROW()-1)</f>
        <v/>
      </c>
      <c r="B2125" s="17" t="str">
        <f>IF('01_Rohdaten'!A2125="","",'01_Rohdaten'!A2125)</f>
        <v/>
      </c>
      <c r="C2125" s="17" t="str">
        <f>IF(B2125="","",INDEX('01_Rohdaten'!B2125:D2125,'02_Eingaben'!$C$13))</f>
        <v/>
      </c>
      <c r="D2125" s="17" t="str">
        <f>IF(C2125="","",C2125*'02_Eingaben'!$C$15)</f>
        <v/>
      </c>
      <c r="E2125" s="17" t="str">
        <f>IF(D2125="","",D2125*'02_Eingaben'!$C$8)</f>
        <v/>
      </c>
      <c r="F2125" s="17" t="str">
        <f>IF(E2125="","",AVERAGE(INDEX($E$2:$E$3001,MAX(1,ROW()-1-'02_Eingaben'!$C$17)):INDEX($E$2:$E$3001,MIN('02_Eingaben'!$C$21,ROW()-1+'02_Eingaben'!$C$17))))</f>
        <v/>
      </c>
      <c r="G2125" s="17" t="str">
        <f>IF(F2125="","",F2125-'02_Eingaben'!$C$10)</f>
        <v/>
      </c>
      <c r="H2125" t="str">
        <f>IF(F2125="","",IF(F2125&lt;'02_Eingaben'!$C$18*'02_Eingaben'!$C$10,1,0))</f>
        <v/>
      </c>
      <c r="I2125" s="17" t="str">
        <f t="shared" si="33"/>
        <v/>
      </c>
      <c r="J2125" s="17" t="str">
        <f>IF(B2125="","",IF(B2124&lt;'02_Eingaben'!$C$36,0,J2124+I2124/'02_Eingaben'!$C$8))</f>
        <v/>
      </c>
    </row>
    <row r="2126" spans="1:10" x14ac:dyDescent="0.25">
      <c r="A2126" t="str">
        <f>IF('01_Rohdaten'!A2126="","",ROW()-1)</f>
        <v/>
      </c>
      <c r="B2126" s="17" t="str">
        <f>IF('01_Rohdaten'!A2126="","",'01_Rohdaten'!A2126)</f>
        <v/>
      </c>
      <c r="C2126" s="17" t="str">
        <f>IF(B2126="","",INDEX('01_Rohdaten'!B2126:D2126,'02_Eingaben'!$C$13))</f>
        <v/>
      </c>
      <c r="D2126" s="17" t="str">
        <f>IF(C2126="","",C2126*'02_Eingaben'!$C$15)</f>
        <v/>
      </c>
      <c r="E2126" s="17" t="str">
        <f>IF(D2126="","",D2126*'02_Eingaben'!$C$8)</f>
        <v/>
      </c>
      <c r="F2126" s="17" t="str">
        <f>IF(E2126="","",AVERAGE(INDEX($E$2:$E$3001,MAX(1,ROW()-1-'02_Eingaben'!$C$17)):INDEX($E$2:$E$3001,MIN('02_Eingaben'!$C$21,ROW()-1+'02_Eingaben'!$C$17))))</f>
        <v/>
      </c>
      <c r="G2126" s="17" t="str">
        <f>IF(F2126="","",F2126-'02_Eingaben'!$C$10)</f>
        <v/>
      </c>
      <c r="H2126" t="str">
        <f>IF(F2126="","",IF(F2126&lt;'02_Eingaben'!$C$18*'02_Eingaben'!$C$10,1,0))</f>
        <v/>
      </c>
      <c r="I2126" s="17" t="str">
        <f t="shared" si="33"/>
        <v/>
      </c>
      <c r="J2126" s="17" t="str">
        <f>IF(B2126="","",IF(B2125&lt;'02_Eingaben'!$C$36,0,J2125+I2125/'02_Eingaben'!$C$8))</f>
        <v/>
      </c>
    </row>
    <row r="2127" spans="1:10" x14ac:dyDescent="0.25">
      <c r="A2127" t="str">
        <f>IF('01_Rohdaten'!A2127="","",ROW()-1)</f>
        <v/>
      </c>
      <c r="B2127" s="17" t="str">
        <f>IF('01_Rohdaten'!A2127="","",'01_Rohdaten'!A2127)</f>
        <v/>
      </c>
      <c r="C2127" s="17" t="str">
        <f>IF(B2127="","",INDEX('01_Rohdaten'!B2127:D2127,'02_Eingaben'!$C$13))</f>
        <v/>
      </c>
      <c r="D2127" s="17" t="str">
        <f>IF(C2127="","",C2127*'02_Eingaben'!$C$15)</f>
        <v/>
      </c>
      <c r="E2127" s="17" t="str">
        <f>IF(D2127="","",D2127*'02_Eingaben'!$C$8)</f>
        <v/>
      </c>
      <c r="F2127" s="17" t="str">
        <f>IF(E2127="","",AVERAGE(INDEX($E$2:$E$3001,MAX(1,ROW()-1-'02_Eingaben'!$C$17)):INDEX($E$2:$E$3001,MIN('02_Eingaben'!$C$21,ROW()-1+'02_Eingaben'!$C$17))))</f>
        <v/>
      </c>
      <c r="G2127" s="17" t="str">
        <f>IF(F2127="","",F2127-'02_Eingaben'!$C$10)</f>
        <v/>
      </c>
      <c r="H2127" t="str">
        <f>IF(F2127="","",IF(F2127&lt;'02_Eingaben'!$C$18*'02_Eingaben'!$C$10,1,0))</f>
        <v/>
      </c>
      <c r="I2127" s="17" t="str">
        <f t="shared" si="33"/>
        <v/>
      </c>
      <c r="J2127" s="17" t="str">
        <f>IF(B2127="","",IF(B2126&lt;'02_Eingaben'!$C$36,0,J2126+I2126/'02_Eingaben'!$C$8))</f>
        <v/>
      </c>
    </row>
    <row r="2128" spans="1:10" x14ac:dyDescent="0.25">
      <c r="A2128" t="str">
        <f>IF('01_Rohdaten'!A2128="","",ROW()-1)</f>
        <v/>
      </c>
      <c r="B2128" s="17" t="str">
        <f>IF('01_Rohdaten'!A2128="","",'01_Rohdaten'!A2128)</f>
        <v/>
      </c>
      <c r="C2128" s="17" t="str">
        <f>IF(B2128="","",INDEX('01_Rohdaten'!B2128:D2128,'02_Eingaben'!$C$13))</f>
        <v/>
      </c>
      <c r="D2128" s="17" t="str">
        <f>IF(C2128="","",C2128*'02_Eingaben'!$C$15)</f>
        <v/>
      </c>
      <c r="E2128" s="17" t="str">
        <f>IF(D2128="","",D2128*'02_Eingaben'!$C$8)</f>
        <v/>
      </c>
      <c r="F2128" s="17" t="str">
        <f>IF(E2128="","",AVERAGE(INDEX($E$2:$E$3001,MAX(1,ROW()-1-'02_Eingaben'!$C$17)):INDEX($E$2:$E$3001,MIN('02_Eingaben'!$C$21,ROW()-1+'02_Eingaben'!$C$17))))</f>
        <v/>
      </c>
      <c r="G2128" s="17" t="str">
        <f>IF(F2128="","",F2128-'02_Eingaben'!$C$10)</f>
        <v/>
      </c>
      <c r="H2128" t="str">
        <f>IF(F2128="","",IF(F2128&lt;'02_Eingaben'!$C$18*'02_Eingaben'!$C$10,1,0))</f>
        <v/>
      </c>
      <c r="I2128" s="17" t="str">
        <f t="shared" si="33"/>
        <v/>
      </c>
      <c r="J2128" s="17" t="str">
        <f>IF(B2128="","",IF(B2127&lt;'02_Eingaben'!$C$36,0,J2127+I2127/'02_Eingaben'!$C$8))</f>
        <v/>
      </c>
    </row>
    <row r="2129" spans="1:10" x14ac:dyDescent="0.25">
      <c r="A2129" t="str">
        <f>IF('01_Rohdaten'!A2129="","",ROW()-1)</f>
        <v/>
      </c>
      <c r="B2129" s="17" t="str">
        <f>IF('01_Rohdaten'!A2129="","",'01_Rohdaten'!A2129)</f>
        <v/>
      </c>
      <c r="C2129" s="17" t="str">
        <f>IF(B2129="","",INDEX('01_Rohdaten'!B2129:D2129,'02_Eingaben'!$C$13))</f>
        <v/>
      </c>
      <c r="D2129" s="17" t="str">
        <f>IF(C2129="","",C2129*'02_Eingaben'!$C$15)</f>
        <v/>
      </c>
      <c r="E2129" s="17" t="str">
        <f>IF(D2129="","",D2129*'02_Eingaben'!$C$8)</f>
        <v/>
      </c>
      <c r="F2129" s="17" t="str">
        <f>IF(E2129="","",AVERAGE(INDEX($E$2:$E$3001,MAX(1,ROW()-1-'02_Eingaben'!$C$17)):INDEX($E$2:$E$3001,MIN('02_Eingaben'!$C$21,ROW()-1+'02_Eingaben'!$C$17))))</f>
        <v/>
      </c>
      <c r="G2129" s="17" t="str">
        <f>IF(F2129="","",F2129-'02_Eingaben'!$C$10)</f>
        <v/>
      </c>
      <c r="H2129" t="str">
        <f>IF(F2129="","",IF(F2129&lt;'02_Eingaben'!$C$18*'02_Eingaben'!$C$10,1,0))</f>
        <v/>
      </c>
      <c r="I2129" s="17" t="str">
        <f t="shared" si="33"/>
        <v/>
      </c>
      <c r="J2129" s="17" t="str">
        <f>IF(B2129="","",IF(B2128&lt;'02_Eingaben'!$C$36,0,J2128+I2128/'02_Eingaben'!$C$8))</f>
        <v/>
      </c>
    </row>
    <row r="2130" spans="1:10" x14ac:dyDescent="0.25">
      <c r="A2130" t="str">
        <f>IF('01_Rohdaten'!A2130="","",ROW()-1)</f>
        <v/>
      </c>
      <c r="B2130" s="17" t="str">
        <f>IF('01_Rohdaten'!A2130="","",'01_Rohdaten'!A2130)</f>
        <v/>
      </c>
      <c r="C2130" s="17" t="str">
        <f>IF(B2130="","",INDEX('01_Rohdaten'!B2130:D2130,'02_Eingaben'!$C$13))</f>
        <v/>
      </c>
      <c r="D2130" s="17" t="str">
        <f>IF(C2130="","",C2130*'02_Eingaben'!$C$15)</f>
        <v/>
      </c>
      <c r="E2130" s="17" t="str">
        <f>IF(D2130="","",D2130*'02_Eingaben'!$C$8)</f>
        <v/>
      </c>
      <c r="F2130" s="17" t="str">
        <f>IF(E2130="","",AVERAGE(INDEX($E$2:$E$3001,MAX(1,ROW()-1-'02_Eingaben'!$C$17)):INDEX($E$2:$E$3001,MIN('02_Eingaben'!$C$21,ROW()-1+'02_Eingaben'!$C$17))))</f>
        <v/>
      </c>
      <c r="G2130" s="17" t="str">
        <f>IF(F2130="","",F2130-'02_Eingaben'!$C$10)</f>
        <v/>
      </c>
      <c r="H2130" t="str">
        <f>IF(F2130="","",IF(F2130&lt;'02_Eingaben'!$C$18*'02_Eingaben'!$C$10,1,0))</f>
        <v/>
      </c>
      <c r="I2130" s="17" t="str">
        <f t="shared" si="33"/>
        <v/>
      </c>
      <c r="J2130" s="17" t="str">
        <f>IF(B2130="","",IF(B2129&lt;'02_Eingaben'!$C$36,0,J2129+I2129/'02_Eingaben'!$C$8))</f>
        <v/>
      </c>
    </row>
    <row r="2131" spans="1:10" x14ac:dyDescent="0.25">
      <c r="A2131" t="str">
        <f>IF('01_Rohdaten'!A2131="","",ROW()-1)</f>
        <v/>
      </c>
      <c r="B2131" s="17" t="str">
        <f>IF('01_Rohdaten'!A2131="","",'01_Rohdaten'!A2131)</f>
        <v/>
      </c>
      <c r="C2131" s="17" t="str">
        <f>IF(B2131="","",INDEX('01_Rohdaten'!B2131:D2131,'02_Eingaben'!$C$13))</f>
        <v/>
      </c>
      <c r="D2131" s="17" t="str">
        <f>IF(C2131="","",C2131*'02_Eingaben'!$C$15)</f>
        <v/>
      </c>
      <c r="E2131" s="17" t="str">
        <f>IF(D2131="","",D2131*'02_Eingaben'!$C$8)</f>
        <v/>
      </c>
      <c r="F2131" s="17" t="str">
        <f>IF(E2131="","",AVERAGE(INDEX($E$2:$E$3001,MAX(1,ROW()-1-'02_Eingaben'!$C$17)):INDEX($E$2:$E$3001,MIN('02_Eingaben'!$C$21,ROW()-1+'02_Eingaben'!$C$17))))</f>
        <v/>
      </c>
      <c r="G2131" s="17" t="str">
        <f>IF(F2131="","",F2131-'02_Eingaben'!$C$10)</f>
        <v/>
      </c>
      <c r="H2131" t="str">
        <f>IF(F2131="","",IF(F2131&lt;'02_Eingaben'!$C$18*'02_Eingaben'!$C$10,1,0))</f>
        <v/>
      </c>
      <c r="I2131" s="17" t="str">
        <f t="shared" si="33"/>
        <v/>
      </c>
      <c r="J2131" s="17" t="str">
        <f>IF(B2131="","",IF(B2130&lt;'02_Eingaben'!$C$36,0,J2130+I2130/'02_Eingaben'!$C$8))</f>
        <v/>
      </c>
    </row>
    <row r="2132" spans="1:10" x14ac:dyDescent="0.25">
      <c r="A2132" t="str">
        <f>IF('01_Rohdaten'!A2132="","",ROW()-1)</f>
        <v/>
      </c>
      <c r="B2132" s="17" t="str">
        <f>IF('01_Rohdaten'!A2132="","",'01_Rohdaten'!A2132)</f>
        <v/>
      </c>
      <c r="C2132" s="17" t="str">
        <f>IF(B2132="","",INDEX('01_Rohdaten'!B2132:D2132,'02_Eingaben'!$C$13))</f>
        <v/>
      </c>
      <c r="D2132" s="17" t="str">
        <f>IF(C2132="","",C2132*'02_Eingaben'!$C$15)</f>
        <v/>
      </c>
      <c r="E2132" s="17" t="str">
        <f>IF(D2132="","",D2132*'02_Eingaben'!$C$8)</f>
        <v/>
      </c>
      <c r="F2132" s="17" t="str">
        <f>IF(E2132="","",AVERAGE(INDEX($E$2:$E$3001,MAX(1,ROW()-1-'02_Eingaben'!$C$17)):INDEX($E$2:$E$3001,MIN('02_Eingaben'!$C$21,ROW()-1+'02_Eingaben'!$C$17))))</f>
        <v/>
      </c>
      <c r="G2132" s="17" t="str">
        <f>IF(F2132="","",F2132-'02_Eingaben'!$C$10)</f>
        <v/>
      </c>
      <c r="H2132" t="str">
        <f>IF(F2132="","",IF(F2132&lt;'02_Eingaben'!$C$18*'02_Eingaben'!$C$10,1,0))</f>
        <v/>
      </c>
      <c r="I2132" s="17" t="str">
        <f t="shared" si="33"/>
        <v/>
      </c>
      <c r="J2132" s="17" t="str">
        <f>IF(B2132="","",IF(B2131&lt;'02_Eingaben'!$C$36,0,J2131+I2131/'02_Eingaben'!$C$8))</f>
        <v/>
      </c>
    </row>
    <row r="2133" spans="1:10" x14ac:dyDescent="0.25">
      <c r="A2133" t="str">
        <f>IF('01_Rohdaten'!A2133="","",ROW()-1)</f>
        <v/>
      </c>
      <c r="B2133" s="17" t="str">
        <f>IF('01_Rohdaten'!A2133="","",'01_Rohdaten'!A2133)</f>
        <v/>
      </c>
      <c r="C2133" s="17" t="str">
        <f>IF(B2133="","",INDEX('01_Rohdaten'!B2133:D2133,'02_Eingaben'!$C$13))</f>
        <v/>
      </c>
      <c r="D2133" s="17" t="str">
        <f>IF(C2133="","",C2133*'02_Eingaben'!$C$15)</f>
        <v/>
      </c>
      <c r="E2133" s="17" t="str">
        <f>IF(D2133="","",D2133*'02_Eingaben'!$C$8)</f>
        <v/>
      </c>
      <c r="F2133" s="17" t="str">
        <f>IF(E2133="","",AVERAGE(INDEX($E$2:$E$3001,MAX(1,ROW()-1-'02_Eingaben'!$C$17)):INDEX($E$2:$E$3001,MIN('02_Eingaben'!$C$21,ROW()-1+'02_Eingaben'!$C$17))))</f>
        <v/>
      </c>
      <c r="G2133" s="17" t="str">
        <f>IF(F2133="","",F2133-'02_Eingaben'!$C$10)</f>
        <v/>
      </c>
      <c r="H2133" t="str">
        <f>IF(F2133="","",IF(F2133&lt;'02_Eingaben'!$C$18*'02_Eingaben'!$C$10,1,0))</f>
        <v/>
      </c>
      <c r="I2133" s="17" t="str">
        <f t="shared" si="33"/>
        <v/>
      </c>
      <c r="J2133" s="17" t="str">
        <f>IF(B2133="","",IF(B2132&lt;'02_Eingaben'!$C$36,0,J2132+I2132/'02_Eingaben'!$C$8))</f>
        <v/>
      </c>
    </row>
    <row r="2134" spans="1:10" x14ac:dyDescent="0.25">
      <c r="A2134" t="str">
        <f>IF('01_Rohdaten'!A2134="","",ROW()-1)</f>
        <v/>
      </c>
      <c r="B2134" s="17" t="str">
        <f>IF('01_Rohdaten'!A2134="","",'01_Rohdaten'!A2134)</f>
        <v/>
      </c>
      <c r="C2134" s="17" t="str">
        <f>IF(B2134="","",INDEX('01_Rohdaten'!B2134:D2134,'02_Eingaben'!$C$13))</f>
        <v/>
      </c>
      <c r="D2134" s="17" t="str">
        <f>IF(C2134="","",C2134*'02_Eingaben'!$C$15)</f>
        <v/>
      </c>
      <c r="E2134" s="17" t="str">
        <f>IF(D2134="","",D2134*'02_Eingaben'!$C$8)</f>
        <v/>
      </c>
      <c r="F2134" s="17" t="str">
        <f>IF(E2134="","",AVERAGE(INDEX($E$2:$E$3001,MAX(1,ROW()-1-'02_Eingaben'!$C$17)):INDEX($E$2:$E$3001,MIN('02_Eingaben'!$C$21,ROW()-1+'02_Eingaben'!$C$17))))</f>
        <v/>
      </c>
      <c r="G2134" s="17" t="str">
        <f>IF(F2134="","",F2134-'02_Eingaben'!$C$10)</f>
        <v/>
      </c>
      <c r="H2134" t="str">
        <f>IF(F2134="","",IF(F2134&lt;'02_Eingaben'!$C$18*'02_Eingaben'!$C$10,1,0))</f>
        <v/>
      </c>
      <c r="I2134" s="17" t="str">
        <f t="shared" si="33"/>
        <v/>
      </c>
      <c r="J2134" s="17" t="str">
        <f>IF(B2134="","",IF(B2133&lt;'02_Eingaben'!$C$36,0,J2133+I2133/'02_Eingaben'!$C$8))</f>
        <v/>
      </c>
    </row>
    <row r="2135" spans="1:10" x14ac:dyDescent="0.25">
      <c r="A2135" t="str">
        <f>IF('01_Rohdaten'!A2135="","",ROW()-1)</f>
        <v/>
      </c>
      <c r="B2135" s="17" t="str">
        <f>IF('01_Rohdaten'!A2135="","",'01_Rohdaten'!A2135)</f>
        <v/>
      </c>
      <c r="C2135" s="17" t="str">
        <f>IF(B2135="","",INDEX('01_Rohdaten'!B2135:D2135,'02_Eingaben'!$C$13))</f>
        <v/>
      </c>
      <c r="D2135" s="17" t="str">
        <f>IF(C2135="","",C2135*'02_Eingaben'!$C$15)</f>
        <v/>
      </c>
      <c r="E2135" s="17" t="str">
        <f>IF(D2135="","",D2135*'02_Eingaben'!$C$8)</f>
        <v/>
      </c>
      <c r="F2135" s="17" t="str">
        <f>IF(E2135="","",AVERAGE(INDEX($E$2:$E$3001,MAX(1,ROW()-1-'02_Eingaben'!$C$17)):INDEX($E$2:$E$3001,MIN('02_Eingaben'!$C$21,ROW()-1+'02_Eingaben'!$C$17))))</f>
        <v/>
      </c>
      <c r="G2135" s="17" t="str">
        <f>IF(F2135="","",F2135-'02_Eingaben'!$C$10)</f>
        <v/>
      </c>
      <c r="H2135" t="str">
        <f>IF(F2135="","",IF(F2135&lt;'02_Eingaben'!$C$18*'02_Eingaben'!$C$10,1,0))</f>
        <v/>
      </c>
      <c r="I2135" s="17" t="str">
        <f t="shared" si="33"/>
        <v/>
      </c>
      <c r="J2135" s="17" t="str">
        <f>IF(B2135="","",IF(B2134&lt;'02_Eingaben'!$C$36,0,J2134+I2134/'02_Eingaben'!$C$8))</f>
        <v/>
      </c>
    </row>
    <row r="2136" spans="1:10" x14ac:dyDescent="0.25">
      <c r="A2136" t="str">
        <f>IF('01_Rohdaten'!A2136="","",ROW()-1)</f>
        <v/>
      </c>
      <c r="B2136" s="17" t="str">
        <f>IF('01_Rohdaten'!A2136="","",'01_Rohdaten'!A2136)</f>
        <v/>
      </c>
      <c r="C2136" s="17" t="str">
        <f>IF(B2136="","",INDEX('01_Rohdaten'!B2136:D2136,'02_Eingaben'!$C$13))</f>
        <v/>
      </c>
      <c r="D2136" s="17" t="str">
        <f>IF(C2136="","",C2136*'02_Eingaben'!$C$15)</f>
        <v/>
      </c>
      <c r="E2136" s="17" t="str">
        <f>IF(D2136="","",D2136*'02_Eingaben'!$C$8)</f>
        <v/>
      </c>
      <c r="F2136" s="17" t="str">
        <f>IF(E2136="","",AVERAGE(INDEX($E$2:$E$3001,MAX(1,ROW()-1-'02_Eingaben'!$C$17)):INDEX($E$2:$E$3001,MIN('02_Eingaben'!$C$21,ROW()-1+'02_Eingaben'!$C$17))))</f>
        <v/>
      </c>
      <c r="G2136" s="17" t="str">
        <f>IF(F2136="","",F2136-'02_Eingaben'!$C$10)</f>
        <v/>
      </c>
      <c r="H2136" t="str">
        <f>IF(F2136="","",IF(F2136&lt;'02_Eingaben'!$C$18*'02_Eingaben'!$C$10,1,0))</f>
        <v/>
      </c>
      <c r="I2136" s="17" t="str">
        <f t="shared" si="33"/>
        <v/>
      </c>
      <c r="J2136" s="17" t="str">
        <f>IF(B2136="","",IF(B2135&lt;'02_Eingaben'!$C$36,0,J2135+I2135/'02_Eingaben'!$C$8))</f>
        <v/>
      </c>
    </row>
    <row r="2137" spans="1:10" x14ac:dyDescent="0.25">
      <c r="A2137" t="str">
        <f>IF('01_Rohdaten'!A2137="","",ROW()-1)</f>
        <v/>
      </c>
      <c r="B2137" s="17" t="str">
        <f>IF('01_Rohdaten'!A2137="","",'01_Rohdaten'!A2137)</f>
        <v/>
      </c>
      <c r="C2137" s="17" t="str">
        <f>IF(B2137="","",INDEX('01_Rohdaten'!B2137:D2137,'02_Eingaben'!$C$13))</f>
        <v/>
      </c>
      <c r="D2137" s="17" t="str">
        <f>IF(C2137="","",C2137*'02_Eingaben'!$C$15)</f>
        <v/>
      </c>
      <c r="E2137" s="17" t="str">
        <f>IF(D2137="","",D2137*'02_Eingaben'!$C$8)</f>
        <v/>
      </c>
      <c r="F2137" s="17" t="str">
        <f>IF(E2137="","",AVERAGE(INDEX($E$2:$E$3001,MAX(1,ROW()-1-'02_Eingaben'!$C$17)):INDEX($E$2:$E$3001,MIN('02_Eingaben'!$C$21,ROW()-1+'02_Eingaben'!$C$17))))</f>
        <v/>
      </c>
      <c r="G2137" s="17" t="str">
        <f>IF(F2137="","",F2137-'02_Eingaben'!$C$10)</f>
        <v/>
      </c>
      <c r="H2137" t="str">
        <f>IF(F2137="","",IF(F2137&lt;'02_Eingaben'!$C$18*'02_Eingaben'!$C$10,1,0))</f>
        <v/>
      </c>
      <c r="I2137" s="17" t="str">
        <f t="shared" si="33"/>
        <v/>
      </c>
      <c r="J2137" s="17" t="str">
        <f>IF(B2137="","",IF(B2136&lt;'02_Eingaben'!$C$36,0,J2136+I2136/'02_Eingaben'!$C$8))</f>
        <v/>
      </c>
    </row>
    <row r="2138" spans="1:10" x14ac:dyDescent="0.25">
      <c r="A2138" t="str">
        <f>IF('01_Rohdaten'!A2138="","",ROW()-1)</f>
        <v/>
      </c>
      <c r="B2138" s="17" t="str">
        <f>IF('01_Rohdaten'!A2138="","",'01_Rohdaten'!A2138)</f>
        <v/>
      </c>
      <c r="C2138" s="17" t="str">
        <f>IF(B2138="","",INDEX('01_Rohdaten'!B2138:D2138,'02_Eingaben'!$C$13))</f>
        <v/>
      </c>
      <c r="D2138" s="17" t="str">
        <f>IF(C2138="","",C2138*'02_Eingaben'!$C$15)</f>
        <v/>
      </c>
      <c r="E2138" s="17" t="str">
        <f>IF(D2138="","",D2138*'02_Eingaben'!$C$8)</f>
        <v/>
      </c>
      <c r="F2138" s="17" t="str">
        <f>IF(E2138="","",AVERAGE(INDEX($E$2:$E$3001,MAX(1,ROW()-1-'02_Eingaben'!$C$17)):INDEX($E$2:$E$3001,MIN('02_Eingaben'!$C$21,ROW()-1+'02_Eingaben'!$C$17))))</f>
        <v/>
      </c>
      <c r="G2138" s="17" t="str">
        <f>IF(F2138="","",F2138-'02_Eingaben'!$C$10)</f>
        <v/>
      </c>
      <c r="H2138" t="str">
        <f>IF(F2138="","",IF(F2138&lt;'02_Eingaben'!$C$18*'02_Eingaben'!$C$10,1,0))</f>
        <v/>
      </c>
      <c r="I2138" s="17" t="str">
        <f t="shared" si="33"/>
        <v/>
      </c>
      <c r="J2138" s="17" t="str">
        <f>IF(B2138="","",IF(B2137&lt;'02_Eingaben'!$C$36,0,J2137+I2137/'02_Eingaben'!$C$8))</f>
        <v/>
      </c>
    </row>
    <row r="2139" spans="1:10" x14ac:dyDescent="0.25">
      <c r="A2139" t="str">
        <f>IF('01_Rohdaten'!A2139="","",ROW()-1)</f>
        <v/>
      </c>
      <c r="B2139" s="17" t="str">
        <f>IF('01_Rohdaten'!A2139="","",'01_Rohdaten'!A2139)</f>
        <v/>
      </c>
      <c r="C2139" s="17" t="str">
        <f>IF(B2139="","",INDEX('01_Rohdaten'!B2139:D2139,'02_Eingaben'!$C$13))</f>
        <v/>
      </c>
      <c r="D2139" s="17" t="str">
        <f>IF(C2139="","",C2139*'02_Eingaben'!$C$15)</f>
        <v/>
      </c>
      <c r="E2139" s="17" t="str">
        <f>IF(D2139="","",D2139*'02_Eingaben'!$C$8)</f>
        <v/>
      </c>
      <c r="F2139" s="17" t="str">
        <f>IF(E2139="","",AVERAGE(INDEX($E$2:$E$3001,MAX(1,ROW()-1-'02_Eingaben'!$C$17)):INDEX($E$2:$E$3001,MIN('02_Eingaben'!$C$21,ROW()-1+'02_Eingaben'!$C$17))))</f>
        <v/>
      </c>
      <c r="G2139" s="17" t="str">
        <f>IF(F2139="","",F2139-'02_Eingaben'!$C$10)</f>
        <v/>
      </c>
      <c r="H2139" t="str">
        <f>IF(F2139="","",IF(F2139&lt;'02_Eingaben'!$C$18*'02_Eingaben'!$C$10,1,0))</f>
        <v/>
      </c>
      <c r="I2139" s="17" t="str">
        <f t="shared" si="33"/>
        <v/>
      </c>
      <c r="J2139" s="17" t="str">
        <f>IF(B2139="","",IF(B2138&lt;'02_Eingaben'!$C$36,0,J2138+I2138/'02_Eingaben'!$C$8))</f>
        <v/>
      </c>
    </row>
    <row r="2140" spans="1:10" x14ac:dyDescent="0.25">
      <c r="A2140" t="str">
        <f>IF('01_Rohdaten'!A2140="","",ROW()-1)</f>
        <v/>
      </c>
      <c r="B2140" s="17" t="str">
        <f>IF('01_Rohdaten'!A2140="","",'01_Rohdaten'!A2140)</f>
        <v/>
      </c>
      <c r="C2140" s="17" t="str">
        <f>IF(B2140="","",INDEX('01_Rohdaten'!B2140:D2140,'02_Eingaben'!$C$13))</f>
        <v/>
      </c>
      <c r="D2140" s="17" t="str">
        <f>IF(C2140="","",C2140*'02_Eingaben'!$C$15)</f>
        <v/>
      </c>
      <c r="E2140" s="17" t="str">
        <f>IF(D2140="","",D2140*'02_Eingaben'!$C$8)</f>
        <v/>
      </c>
      <c r="F2140" s="17" t="str">
        <f>IF(E2140="","",AVERAGE(INDEX($E$2:$E$3001,MAX(1,ROW()-1-'02_Eingaben'!$C$17)):INDEX($E$2:$E$3001,MIN('02_Eingaben'!$C$21,ROW()-1+'02_Eingaben'!$C$17))))</f>
        <v/>
      </c>
      <c r="G2140" s="17" t="str">
        <f>IF(F2140="","",F2140-'02_Eingaben'!$C$10)</f>
        <v/>
      </c>
      <c r="H2140" t="str">
        <f>IF(F2140="","",IF(F2140&lt;'02_Eingaben'!$C$18*'02_Eingaben'!$C$10,1,0))</f>
        <v/>
      </c>
      <c r="I2140" s="17" t="str">
        <f t="shared" si="33"/>
        <v/>
      </c>
      <c r="J2140" s="17" t="str">
        <f>IF(B2140="","",IF(B2139&lt;'02_Eingaben'!$C$36,0,J2139+I2139/'02_Eingaben'!$C$8))</f>
        <v/>
      </c>
    </row>
    <row r="2141" spans="1:10" x14ac:dyDescent="0.25">
      <c r="A2141" t="str">
        <f>IF('01_Rohdaten'!A2141="","",ROW()-1)</f>
        <v/>
      </c>
      <c r="B2141" s="17" t="str">
        <f>IF('01_Rohdaten'!A2141="","",'01_Rohdaten'!A2141)</f>
        <v/>
      </c>
      <c r="C2141" s="17" t="str">
        <f>IF(B2141="","",INDEX('01_Rohdaten'!B2141:D2141,'02_Eingaben'!$C$13))</f>
        <v/>
      </c>
      <c r="D2141" s="17" t="str">
        <f>IF(C2141="","",C2141*'02_Eingaben'!$C$15)</f>
        <v/>
      </c>
      <c r="E2141" s="17" t="str">
        <f>IF(D2141="","",D2141*'02_Eingaben'!$C$8)</f>
        <v/>
      </c>
      <c r="F2141" s="17" t="str">
        <f>IF(E2141="","",AVERAGE(INDEX($E$2:$E$3001,MAX(1,ROW()-1-'02_Eingaben'!$C$17)):INDEX($E$2:$E$3001,MIN('02_Eingaben'!$C$21,ROW()-1+'02_Eingaben'!$C$17))))</f>
        <v/>
      </c>
      <c r="G2141" s="17" t="str">
        <f>IF(F2141="","",F2141-'02_Eingaben'!$C$10)</f>
        <v/>
      </c>
      <c r="H2141" t="str">
        <f>IF(F2141="","",IF(F2141&lt;'02_Eingaben'!$C$18*'02_Eingaben'!$C$10,1,0))</f>
        <v/>
      </c>
      <c r="I2141" s="17" t="str">
        <f t="shared" si="33"/>
        <v/>
      </c>
      <c r="J2141" s="17" t="str">
        <f>IF(B2141="","",IF(B2140&lt;'02_Eingaben'!$C$36,0,J2140+I2140/'02_Eingaben'!$C$8))</f>
        <v/>
      </c>
    </row>
    <row r="2142" spans="1:10" x14ac:dyDescent="0.25">
      <c r="A2142" t="str">
        <f>IF('01_Rohdaten'!A2142="","",ROW()-1)</f>
        <v/>
      </c>
      <c r="B2142" s="17" t="str">
        <f>IF('01_Rohdaten'!A2142="","",'01_Rohdaten'!A2142)</f>
        <v/>
      </c>
      <c r="C2142" s="17" t="str">
        <f>IF(B2142="","",INDEX('01_Rohdaten'!B2142:D2142,'02_Eingaben'!$C$13))</f>
        <v/>
      </c>
      <c r="D2142" s="17" t="str">
        <f>IF(C2142="","",C2142*'02_Eingaben'!$C$15)</f>
        <v/>
      </c>
      <c r="E2142" s="17" t="str">
        <f>IF(D2142="","",D2142*'02_Eingaben'!$C$8)</f>
        <v/>
      </c>
      <c r="F2142" s="17" t="str">
        <f>IF(E2142="","",AVERAGE(INDEX($E$2:$E$3001,MAX(1,ROW()-1-'02_Eingaben'!$C$17)):INDEX($E$2:$E$3001,MIN('02_Eingaben'!$C$21,ROW()-1+'02_Eingaben'!$C$17))))</f>
        <v/>
      </c>
      <c r="G2142" s="17" t="str">
        <f>IF(F2142="","",F2142-'02_Eingaben'!$C$10)</f>
        <v/>
      </c>
      <c r="H2142" t="str">
        <f>IF(F2142="","",IF(F2142&lt;'02_Eingaben'!$C$18*'02_Eingaben'!$C$10,1,0))</f>
        <v/>
      </c>
      <c r="I2142" s="17" t="str">
        <f t="shared" si="33"/>
        <v/>
      </c>
      <c r="J2142" s="17" t="str">
        <f>IF(B2142="","",IF(B2141&lt;'02_Eingaben'!$C$36,0,J2141+I2141/'02_Eingaben'!$C$8))</f>
        <v/>
      </c>
    </row>
    <row r="2143" spans="1:10" x14ac:dyDescent="0.25">
      <c r="A2143" t="str">
        <f>IF('01_Rohdaten'!A2143="","",ROW()-1)</f>
        <v/>
      </c>
      <c r="B2143" s="17" t="str">
        <f>IF('01_Rohdaten'!A2143="","",'01_Rohdaten'!A2143)</f>
        <v/>
      </c>
      <c r="C2143" s="17" t="str">
        <f>IF(B2143="","",INDEX('01_Rohdaten'!B2143:D2143,'02_Eingaben'!$C$13))</f>
        <v/>
      </c>
      <c r="D2143" s="17" t="str">
        <f>IF(C2143="","",C2143*'02_Eingaben'!$C$15)</f>
        <v/>
      </c>
      <c r="E2143" s="17" t="str">
        <f>IF(D2143="","",D2143*'02_Eingaben'!$C$8)</f>
        <v/>
      </c>
      <c r="F2143" s="17" t="str">
        <f>IF(E2143="","",AVERAGE(INDEX($E$2:$E$3001,MAX(1,ROW()-1-'02_Eingaben'!$C$17)):INDEX($E$2:$E$3001,MIN('02_Eingaben'!$C$21,ROW()-1+'02_Eingaben'!$C$17))))</f>
        <v/>
      </c>
      <c r="G2143" s="17" t="str">
        <f>IF(F2143="","",F2143-'02_Eingaben'!$C$10)</f>
        <v/>
      </c>
      <c r="H2143" t="str">
        <f>IF(F2143="","",IF(F2143&lt;'02_Eingaben'!$C$18*'02_Eingaben'!$C$10,1,0))</f>
        <v/>
      </c>
      <c r="I2143" s="17" t="str">
        <f t="shared" si="33"/>
        <v/>
      </c>
      <c r="J2143" s="17" t="str">
        <f>IF(B2143="","",IF(B2142&lt;'02_Eingaben'!$C$36,0,J2142+I2142/'02_Eingaben'!$C$8))</f>
        <v/>
      </c>
    </row>
    <row r="2144" spans="1:10" x14ac:dyDescent="0.25">
      <c r="A2144" t="str">
        <f>IF('01_Rohdaten'!A2144="","",ROW()-1)</f>
        <v/>
      </c>
      <c r="B2144" s="17" t="str">
        <f>IF('01_Rohdaten'!A2144="","",'01_Rohdaten'!A2144)</f>
        <v/>
      </c>
      <c r="C2144" s="17" t="str">
        <f>IF(B2144="","",INDEX('01_Rohdaten'!B2144:D2144,'02_Eingaben'!$C$13))</f>
        <v/>
      </c>
      <c r="D2144" s="17" t="str">
        <f>IF(C2144="","",C2144*'02_Eingaben'!$C$15)</f>
        <v/>
      </c>
      <c r="E2144" s="17" t="str">
        <f>IF(D2144="","",D2144*'02_Eingaben'!$C$8)</f>
        <v/>
      </c>
      <c r="F2144" s="17" t="str">
        <f>IF(E2144="","",AVERAGE(INDEX($E$2:$E$3001,MAX(1,ROW()-1-'02_Eingaben'!$C$17)):INDEX($E$2:$E$3001,MIN('02_Eingaben'!$C$21,ROW()-1+'02_Eingaben'!$C$17))))</f>
        <v/>
      </c>
      <c r="G2144" s="17" t="str">
        <f>IF(F2144="","",F2144-'02_Eingaben'!$C$10)</f>
        <v/>
      </c>
      <c r="H2144" t="str">
        <f>IF(F2144="","",IF(F2144&lt;'02_Eingaben'!$C$18*'02_Eingaben'!$C$10,1,0))</f>
        <v/>
      </c>
      <c r="I2144" s="17" t="str">
        <f t="shared" si="33"/>
        <v/>
      </c>
      <c r="J2144" s="17" t="str">
        <f>IF(B2144="","",IF(B2143&lt;'02_Eingaben'!$C$36,0,J2143+I2143/'02_Eingaben'!$C$8))</f>
        <v/>
      </c>
    </row>
    <row r="2145" spans="1:10" x14ac:dyDescent="0.25">
      <c r="A2145" t="str">
        <f>IF('01_Rohdaten'!A2145="","",ROW()-1)</f>
        <v/>
      </c>
      <c r="B2145" s="17" t="str">
        <f>IF('01_Rohdaten'!A2145="","",'01_Rohdaten'!A2145)</f>
        <v/>
      </c>
      <c r="C2145" s="17" t="str">
        <f>IF(B2145="","",INDEX('01_Rohdaten'!B2145:D2145,'02_Eingaben'!$C$13))</f>
        <v/>
      </c>
      <c r="D2145" s="17" t="str">
        <f>IF(C2145="","",C2145*'02_Eingaben'!$C$15)</f>
        <v/>
      </c>
      <c r="E2145" s="17" t="str">
        <f>IF(D2145="","",D2145*'02_Eingaben'!$C$8)</f>
        <v/>
      </c>
      <c r="F2145" s="17" t="str">
        <f>IF(E2145="","",AVERAGE(INDEX($E$2:$E$3001,MAX(1,ROW()-1-'02_Eingaben'!$C$17)):INDEX($E$2:$E$3001,MIN('02_Eingaben'!$C$21,ROW()-1+'02_Eingaben'!$C$17))))</f>
        <v/>
      </c>
      <c r="G2145" s="17" t="str">
        <f>IF(F2145="","",F2145-'02_Eingaben'!$C$10)</f>
        <v/>
      </c>
      <c r="H2145" t="str">
        <f>IF(F2145="","",IF(F2145&lt;'02_Eingaben'!$C$18*'02_Eingaben'!$C$10,1,0))</f>
        <v/>
      </c>
      <c r="I2145" s="17" t="str">
        <f t="shared" si="33"/>
        <v/>
      </c>
      <c r="J2145" s="17" t="str">
        <f>IF(B2145="","",IF(B2144&lt;'02_Eingaben'!$C$36,0,J2144+I2144/'02_Eingaben'!$C$8))</f>
        <v/>
      </c>
    </row>
    <row r="2146" spans="1:10" x14ac:dyDescent="0.25">
      <c r="A2146" t="str">
        <f>IF('01_Rohdaten'!A2146="","",ROW()-1)</f>
        <v/>
      </c>
      <c r="B2146" s="17" t="str">
        <f>IF('01_Rohdaten'!A2146="","",'01_Rohdaten'!A2146)</f>
        <v/>
      </c>
      <c r="C2146" s="17" t="str">
        <f>IF(B2146="","",INDEX('01_Rohdaten'!B2146:D2146,'02_Eingaben'!$C$13))</f>
        <v/>
      </c>
      <c r="D2146" s="17" t="str">
        <f>IF(C2146="","",C2146*'02_Eingaben'!$C$15)</f>
        <v/>
      </c>
      <c r="E2146" s="17" t="str">
        <f>IF(D2146="","",D2146*'02_Eingaben'!$C$8)</f>
        <v/>
      </c>
      <c r="F2146" s="17" t="str">
        <f>IF(E2146="","",AVERAGE(INDEX($E$2:$E$3001,MAX(1,ROW()-1-'02_Eingaben'!$C$17)):INDEX($E$2:$E$3001,MIN('02_Eingaben'!$C$21,ROW()-1+'02_Eingaben'!$C$17))))</f>
        <v/>
      </c>
      <c r="G2146" s="17" t="str">
        <f>IF(F2146="","",F2146-'02_Eingaben'!$C$10)</f>
        <v/>
      </c>
      <c r="H2146" t="str">
        <f>IF(F2146="","",IF(F2146&lt;'02_Eingaben'!$C$18*'02_Eingaben'!$C$10,1,0))</f>
        <v/>
      </c>
      <c r="I2146" s="17" t="str">
        <f t="shared" si="33"/>
        <v/>
      </c>
      <c r="J2146" s="17" t="str">
        <f>IF(B2146="","",IF(B2145&lt;'02_Eingaben'!$C$36,0,J2145+I2145/'02_Eingaben'!$C$8))</f>
        <v/>
      </c>
    </row>
    <row r="2147" spans="1:10" x14ac:dyDescent="0.25">
      <c r="A2147" t="str">
        <f>IF('01_Rohdaten'!A2147="","",ROW()-1)</f>
        <v/>
      </c>
      <c r="B2147" s="17" t="str">
        <f>IF('01_Rohdaten'!A2147="","",'01_Rohdaten'!A2147)</f>
        <v/>
      </c>
      <c r="C2147" s="17" t="str">
        <f>IF(B2147="","",INDEX('01_Rohdaten'!B2147:D2147,'02_Eingaben'!$C$13))</f>
        <v/>
      </c>
      <c r="D2147" s="17" t="str">
        <f>IF(C2147="","",C2147*'02_Eingaben'!$C$15)</f>
        <v/>
      </c>
      <c r="E2147" s="17" t="str">
        <f>IF(D2147="","",D2147*'02_Eingaben'!$C$8)</f>
        <v/>
      </c>
      <c r="F2147" s="17" t="str">
        <f>IF(E2147="","",AVERAGE(INDEX($E$2:$E$3001,MAX(1,ROW()-1-'02_Eingaben'!$C$17)):INDEX($E$2:$E$3001,MIN('02_Eingaben'!$C$21,ROW()-1+'02_Eingaben'!$C$17))))</f>
        <v/>
      </c>
      <c r="G2147" s="17" t="str">
        <f>IF(F2147="","",F2147-'02_Eingaben'!$C$10)</f>
        <v/>
      </c>
      <c r="H2147" t="str">
        <f>IF(F2147="","",IF(F2147&lt;'02_Eingaben'!$C$18*'02_Eingaben'!$C$10,1,0))</f>
        <v/>
      </c>
      <c r="I2147" s="17" t="str">
        <f t="shared" si="33"/>
        <v/>
      </c>
      <c r="J2147" s="17" t="str">
        <f>IF(B2147="","",IF(B2146&lt;'02_Eingaben'!$C$36,0,J2146+I2146/'02_Eingaben'!$C$8))</f>
        <v/>
      </c>
    </row>
    <row r="2148" spans="1:10" x14ac:dyDescent="0.25">
      <c r="A2148" t="str">
        <f>IF('01_Rohdaten'!A2148="","",ROW()-1)</f>
        <v/>
      </c>
      <c r="B2148" s="17" t="str">
        <f>IF('01_Rohdaten'!A2148="","",'01_Rohdaten'!A2148)</f>
        <v/>
      </c>
      <c r="C2148" s="17" t="str">
        <f>IF(B2148="","",INDEX('01_Rohdaten'!B2148:D2148,'02_Eingaben'!$C$13))</f>
        <v/>
      </c>
      <c r="D2148" s="17" t="str">
        <f>IF(C2148="","",C2148*'02_Eingaben'!$C$15)</f>
        <v/>
      </c>
      <c r="E2148" s="17" t="str">
        <f>IF(D2148="","",D2148*'02_Eingaben'!$C$8)</f>
        <v/>
      </c>
      <c r="F2148" s="17" t="str">
        <f>IF(E2148="","",AVERAGE(INDEX($E$2:$E$3001,MAX(1,ROW()-1-'02_Eingaben'!$C$17)):INDEX($E$2:$E$3001,MIN('02_Eingaben'!$C$21,ROW()-1+'02_Eingaben'!$C$17))))</f>
        <v/>
      </c>
      <c r="G2148" s="17" t="str">
        <f>IF(F2148="","",F2148-'02_Eingaben'!$C$10)</f>
        <v/>
      </c>
      <c r="H2148" t="str">
        <f>IF(F2148="","",IF(F2148&lt;'02_Eingaben'!$C$18*'02_Eingaben'!$C$10,1,0))</f>
        <v/>
      </c>
      <c r="I2148" s="17" t="str">
        <f t="shared" si="33"/>
        <v/>
      </c>
      <c r="J2148" s="17" t="str">
        <f>IF(B2148="","",IF(B2147&lt;'02_Eingaben'!$C$36,0,J2147+I2147/'02_Eingaben'!$C$8))</f>
        <v/>
      </c>
    </row>
    <row r="2149" spans="1:10" x14ac:dyDescent="0.25">
      <c r="A2149" t="str">
        <f>IF('01_Rohdaten'!A2149="","",ROW()-1)</f>
        <v/>
      </c>
      <c r="B2149" s="17" t="str">
        <f>IF('01_Rohdaten'!A2149="","",'01_Rohdaten'!A2149)</f>
        <v/>
      </c>
      <c r="C2149" s="17" t="str">
        <f>IF(B2149="","",INDEX('01_Rohdaten'!B2149:D2149,'02_Eingaben'!$C$13))</f>
        <v/>
      </c>
      <c r="D2149" s="17" t="str">
        <f>IF(C2149="","",C2149*'02_Eingaben'!$C$15)</f>
        <v/>
      </c>
      <c r="E2149" s="17" t="str">
        <f>IF(D2149="","",D2149*'02_Eingaben'!$C$8)</f>
        <v/>
      </c>
      <c r="F2149" s="17" t="str">
        <f>IF(E2149="","",AVERAGE(INDEX($E$2:$E$3001,MAX(1,ROW()-1-'02_Eingaben'!$C$17)):INDEX($E$2:$E$3001,MIN('02_Eingaben'!$C$21,ROW()-1+'02_Eingaben'!$C$17))))</f>
        <v/>
      </c>
      <c r="G2149" s="17" t="str">
        <f>IF(F2149="","",F2149-'02_Eingaben'!$C$10)</f>
        <v/>
      </c>
      <c r="H2149" t="str">
        <f>IF(F2149="","",IF(F2149&lt;'02_Eingaben'!$C$18*'02_Eingaben'!$C$10,1,0))</f>
        <v/>
      </c>
      <c r="I2149" s="17" t="str">
        <f t="shared" si="33"/>
        <v/>
      </c>
      <c r="J2149" s="17" t="str">
        <f>IF(B2149="","",IF(B2148&lt;'02_Eingaben'!$C$36,0,J2148+I2148/'02_Eingaben'!$C$8))</f>
        <v/>
      </c>
    </row>
    <row r="2150" spans="1:10" x14ac:dyDescent="0.25">
      <c r="A2150" t="str">
        <f>IF('01_Rohdaten'!A2150="","",ROW()-1)</f>
        <v/>
      </c>
      <c r="B2150" s="17" t="str">
        <f>IF('01_Rohdaten'!A2150="","",'01_Rohdaten'!A2150)</f>
        <v/>
      </c>
      <c r="C2150" s="17" t="str">
        <f>IF(B2150="","",INDEX('01_Rohdaten'!B2150:D2150,'02_Eingaben'!$C$13))</f>
        <v/>
      </c>
      <c r="D2150" s="17" t="str">
        <f>IF(C2150="","",C2150*'02_Eingaben'!$C$15)</f>
        <v/>
      </c>
      <c r="E2150" s="17" t="str">
        <f>IF(D2150="","",D2150*'02_Eingaben'!$C$8)</f>
        <v/>
      </c>
      <c r="F2150" s="17" t="str">
        <f>IF(E2150="","",AVERAGE(INDEX($E$2:$E$3001,MAX(1,ROW()-1-'02_Eingaben'!$C$17)):INDEX($E$2:$E$3001,MIN('02_Eingaben'!$C$21,ROW()-1+'02_Eingaben'!$C$17))))</f>
        <v/>
      </c>
      <c r="G2150" s="17" t="str">
        <f>IF(F2150="","",F2150-'02_Eingaben'!$C$10)</f>
        <v/>
      </c>
      <c r="H2150" t="str">
        <f>IF(F2150="","",IF(F2150&lt;'02_Eingaben'!$C$18*'02_Eingaben'!$C$10,1,0))</f>
        <v/>
      </c>
      <c r="I2150" s="17" t="str">
        <f t="shared" si="33"/>
        <v/>
      </c>
      <c r="J2150" s="17" t="str">
        <f>IF(B2150="","",IF(B2149&lt;'02_Eingaben'!$C$36,0,J2149+I2149/'02_Eingaben'!$C$8))</f>
        <v/>
      </c>
    </row>
    <row r="2151" spans="1:10" x14ac:dyDescent="0.25">
      <c r="A2151" t="str">
        <f>IF('01_Rohdaten'!A2151="","",ROW()-1)</f>
        <v/>
      </c>
      <c r="B2151" s="17" t="str">
        <f>IF('01_Rohdaten'!A2151="","",'01_Rohdaten'!A2151)</f>
        <v/>
      </c>
      <c r="C2151" s="17" t="str">
        <f>IF(B2151="","",INDEX('01_Rohdaten'!B2151:D2151,'02_Eingaben'!$C$13))</f>
        <v/>
      </c>
      <c r="D2151" s="17" t="str">
        <f>IF(C2151="","",C2151*'02_Eingaben'!$C$15)</f>
        <v/>
      </c>
      <c r="E2151" s="17" t="str">
        <f>IF(D2151="","",D2151*'02_Eingaben'!$C$8)</f>
        <v/>
      </c>
      <c r="F2151" s="17" t="str">
        <f>IF(E2151="","",AVERAGE(INDEX($E$2:$E$3001,MAX(1,ROW()-1-'02_Eingaben'!$C$17)):INDEX($E$2:$E$3001,MIN('02_Eingaben'!$C$21,ROW()-1+'02_Eingaben'!$C$17))))</f>
        <v/>
      </c>
      <c r="G2151" s="17" t="str">
        <f>IF(F2151="","",F2151-'02_Eingaben'!$C$10)</f>
        <v/>
      </c>
      <c r="H2151" t="str">
        <f>IF(F2151="","",IF(F2151&lt;'02_Eingaben'!$C$18*'02_Eingaben'!$C$10,1,0))</f>
        <v/>
      </c>
      <c r="I2151" s="17" t="str">
        <f t="shared" si="33"/>
        <v/>
      </c>
      <c r="J2151" s="17" t="str">
        <f>IF(B2151="","",IF(B2150&lt;'02_Eingaben'!$C$36,0,J2150+I2150/'02_Eingaben'!$C$8))</f>
        <v/>
      </c>
    </row>
    <row r="2152" spans="1:10" x14ac:dyDescent="0.25">
      <c r="A2152" t="str">
        <f>IF('01_Rohdaten'!A2152="","",ROW()-1)</f>
        <v/>
      </c>
      <c r="B2152" s="17" t="str">
        <f>IF('01_Rohdaten'!A2152="","",'01_Rohdaten'!A2152)</f>
        <v/>
      </c>
      <c r="C2152" s="17" t="str">
        <f>IF(B2152="","",INDEX('01_Rohdaten'!B2152:D2152,'02_Eingaben'!$C$13))</f>
        <v/>
      </c>
      <c r="D2152" s="17" t="str">
        <f>IF(C2152="","",C2152*'02_Eingaben'!$C$15)</f>
        <v/>
      </c>
      <c r="E2152" s="17" t="str">
        <f>IF(D2152="","",D2152*'02_Eingaben'!$C$8)</f>
        <v/>
      </c>
      <c r="F2152" s="17" t="str">
        <f>IF(E2152="","",AVERAGE(INDEX($E$2:$E$3001,MAX(1,ROW()-1-'02_Eingaben'!$C$17)):INDEX($E$2:$E$3001,MIN('02_Eingaben'!$C$21,ROW()-1+'02_Eingaben'!$C$17))))</f>
        <v/>
      </c>
      <c r="G2152" s="17" t="str">
        <f>IF(F2152="","",F2152-'02_Eingaben'!$C$10)</f>
        <v/>
      </c>
      <c r="H2152" t="str">
        <f>IF(F2152="","",IF(F2152&lt;'02_Eingaben'!$C$18*'02_Eingaben'!$C$10,1,0))</f>
        <v/>
      </c>
      <c r="I2152" s="17" t="str">
        <f t="shared" si="33"/>
        <v/>
      </c>
      <c r="J2152" s="17" t="str">
        <f>IF(B2152="","",IF(B2151&lt;'02_Eingaben'!$C$36,0,J2151+I2151/'02_Eingaben'!$C$8))</f>
        <v/>
      </c>
    </row>
    <row r="2153" spans="1:10" x14ac:dyDescent="0.25">
      <c r="A2153" t="str">
        <f>IF('01_Rohdaten'!A2153="","",ROW()-1)</f>
        <v/>
      </c>
      <c r="B2153" s="17" t="str">
        <f>IF('01_Rohdaten'!A2153="","",'01_Rohdaten'!A2153)</f>
        <v/>
      </c>
      <c r="C2153" s="17" t="str">
        <f>IF(B2153="","",INDEX('01_Rohdaten'!B2153:D2153,'02_Eingaben'!$C$13))</f>
        <v/>
      </c>
      <c r="D2153" s="17" t="str">
        <f>IF(C2153="","",C2153*'02_Eingaben'!$C$15)</f>
        <v/>
      </c>
      <c r="E2153" s="17" t="str">
        <f>IF(D2153="","",D2153*'02_Eingaben'!$C$8)</f>
        <v/>
      </c>
      <c r="F2153" s="17" t="str">
        <f>IF(E2153="","",AVERAGE(INDEX($E$2:$E$3001,MAX(1,ROW()-1-'02_Eingaben'!$C$17)):INDEX($E$2:$E$3001,MIN('02_Eingaben'!$C$21,ROW()-1+'02_Eingaben'!$C$17))))</f>
        <v/>
      </c>
      <c r="G2153" s="17" t="str">
        <f>IF(F2153="","",F2153-'02_Eingaben'!$C$10)</f>
        <v/>
      </c>
      <c r="H2153" t="str">
        <f>IF(F2153="","",IF(F2153&lt;'02_Eingaben'!$C$18*'02_Eingaben'!$C$10,1,0))</f>
        <v/>
      </c>
      <c r="I2153" s="17" t="str">
        <f t="shared" si="33"/>
        <v/>
      </c>
      <c r="J2153" s="17" t="str">
        <f>IF(B2153="","",IF(B2152&lt;'02_Eingaben'!$C$36,0,J2152+I2152/'02_Eingaben'!$C$8))</f>
        <v/>
      </c>
    </row>
    <row r="2154" spans="1:10" x14ac:dyDescent="0.25">
      <c r="A2154" t="str">
        <f>IF('01_Rohdaten'!A2154="","",ROW()-1)</f>
        <v/>
      </c>
      <c r="B2154" s="17" t="str">
        <f>IF('01_Rohdaten'!A2154="","",'01_Rohdaten'!A2154)</f>
        <v/>
      </c>
      <c r="C2154" s="17" t="str">
        <f>IF(B2154="","",INDEX('01_Rohdaten'!B2154:D2154,'02_Eingaben'!$C$13))</f>
        <v/>
      </c>
      <c r="D2154" s="17" t="str">
        <f>IF(C2154="","",C2154*'02_Eingaben'!$C$15)</f>
        <v/>
      </c>
      <c r="E2154" s="17" t="str">
        <f>IF(D2154="","",D2154*'02_Eingaben'!$C$8)</f>
        <v/>
      </c>
      <c r="F2154" s="17" t="str">
        <f>IF(E2154="","",AVERAGE(INDEX($E$2:$E$3001,MAX(1,ROW()-1-'02_Eingaben'!$C$17)):INDEX($E$2:$E$3001,MIN('02_Eingaben'!$C$21,ROW()-1+'02_Eingaben'!$C$17))))</f>
        <v/>
      </c>
      <c r="G2154" s="17" t="str">
        <f>IF(F2154="","",F2154-'02_Eingaben'!$C$10)</f>
        <v/>
      </c>
      <c r="H2154" t="str">
        <f>IF(F2154="","",IF(F2154&lt;'02_Eingaben'!$C$18*'02_Eingaben'!$C$10,1,0))</f>
        <v/>
      </c>
      <c r="I2154" s="17" t="str">
        <f t="shared" si="33"/>
        <v/>
      </c>
      <c r="J2154" s="17" t="str">
        <f>IF(B2154="","",IF(B2153&lt;'02_Eingaben'!$C$36,0,J2153+I2153/'02_Eingaben'!$C$8))</f>
        <v/>
      </c>
    </row>
    <row r="2155" spans="1:10" x14ac:dyDescent="0.25">
      <c r="A2155" t="str">
        <f>IF('01_Rohdaten'!A2155="","",ROW()-1)</f>
        <v/>
      </c>
      <c r="B2155" s="17" t="str">
        <f>IF('01_Rohdaten'!A2155="","",'01_Rohdaten'!A2155)</f>
        <v/>
      </c>
      <c r="C2155" s="17" t="str">
        <f>IF(B2155="","",INDEX('01_Rohdaten'!B2155:D2155,'02_Eingaben'!$C$13))</f>
        <v/>
      </c>
      <c r="D2155" s="17" t="str">
        <f>IF(C2155="","",C2155*'02_Eingaben'!$C$15)</f>
        <v/>
      </c>
      <c r="E2155" s="17" t="str">
        <f>IF(D2155="","",D2155*'02_Eingaben'!$C$8)</f>
        <v/>
      </c>
      <c r="F2155" s="17" t="str">
        <f>IF(E2155="","",AVERAGE(INDEX($E$2:$E$3001,MAX(1,ROW()-1-'02_Eingaben'!$C$17)):INDEX($E$2:$E$3001,MIN('02_Eingaben'!$C$21,ROW()-1+'02_Eingaben'!$C$17))))</f>
        <v/>
      </c>
      <c r="G2155" s="17" t="str">
        <f>IF(F2155="","",F2155-'02_Eingaben'!$C$10)</f>
        <v/>
      </c>
      <c r="H2155" t="str">
        <f>IF(F2155="","",IF(F2155&lt;'02_Eingaben'!$C$18*'02_Eingaben'!$C$10,1,0))</f>
        <v/>
      </c>
      <c r="I2155" s="17" t="str">
        <f t="shared" si="33"/>
        <v/>
      </c>
      <c r="J2155" s="17" t="str">
        <f>IF(B2155="","",IF(B2154&lt;'02_Eingaben'!$C$36,0,J2154+I2154/'02_Eingaben'!$C$8))</f>
        <v/>
      </c>
    </row>
    <row r="2156" spans="1:10" x14ac:dyDescent="0.25">
      <c r="A2156" t="str">
        <f>IF('01_Rohdaten'!A2156="","",ROW()-1)</f>
        <v/>
      </c>
      <c r="B2156" s="17" t="str">
        <f>IF('01_Rohdaten'!A2156="","",'01_Rohdaten'!A2156)</f>
        <v/>
      </c>
      <c r="C2156" s="17" t="str">
        <f>IF(B2156="","",INDEX('01_Rohdaten'!B2156:D2156,'02_Eingaben'!$C$13))</f>
        <v/>
      </c>
      <c r="D2156" s="17" t="str">
        <f>IF(C2156="","",C2156*'02_Eingaben'!$C$15)</f>
        <v/>
      </c>
      <c r="E2156" s="17" t="str">
        <f>IF(D2156="","",D2156*'02_Eingaben'!$C$8)</f>
        <v/>
      </c>
      <c r="F2156" s="17" t="str">
        <f>IF(E2156="","",AVERAGE(INDEX($E$2:$E$3001,MAX(1,ROW()-1-'02_Eingaben'!$C$17)):INDEX($E$2:$E$3001,MIN('02_Eingaben'!$C$21,ROW()-1+'02_Eingaben'!$C$17))))</f>
        <v/>
      </c>
      <c r="G2156" s="17" t="str">
        <f>IF(F2156="","",F2156-'02_Eingaben'!$C$10)</f>
        <v/>
      </c>
      <c r="H2156" t="str">
        <f>IF(F2156="","",IF(F2156&lt;'02_Eingaben'!$C$18*'02_Eingaben'!$C$10,1,0))</f>
        <v/>
      </c>
      <c r="I2156" s="17" t="str">
        <f t="shared" si="33"/>
        <v/>
      </c>
      <c r="J2156" s="17" t="str">
        <f>IF(B2156="","",IF(B2155&lt;'02_Eingaben'!$C$36,0,J2155+I2155/'02_Eingaben'!$C$8))</f>
        <v/>
      </c>
    </row>
    <row r="2157" spans="1:10" x14ac:dyDescent="0.25">
      <c r="A2157" t="str">
        <f>IF('01_Rohdaten'!A2157="","",ROW()-1)</f>
        <v/>
      </c>
      <c r="B2157" s="17" t="str">
        <f>IF('01_Rohdaten'!A2157="","",'01_Rohdaten'!A2157)</f>
        <v/>
      </c>
      <c r="C2157" s="17" t="str">
        <f>IF(B2157="","",INDEX('01_Rohdaten'!B2157:D2157,'02_Eingaben'!$C$13))</f>
        <v/>
      </c>
      <c r="D2157" s="17" t="str">
        <f>IF(C2157="","",C2157*'02_Eingaben'!$C$15)</f>
        <v/>
      </c>
      <c r="E2157" s="17" t="str">
        <f>IF(D2157="","",D2157*'02_Eingaben'!$C$8)</f>
        <v/>
      </c>
      <c r="F2157" s="17" t="str">
        <f>IF(E2157="","",AVERAGE(INDEX($E$2:$E$3001,MAX(1,ROW()-1-'02_Eingaben'!$C$17)):INDEX($E$2:$E$3001,MIN('02_Eingaben'!$C$21,ROW()-1+'02_Eingaben'!$C$17))))</f>
        <v/>
      </c>
      <c r="G2157" s="17" t="str">
        <f>IF(F2157="","",F2157-'02_Eingaben'!$C$10)</f>
        <v/>
      </c>
      <c r="H2157" t="str">
        <f>IF(F2157="","",IF(F2157&lt;'02_Eingaben'!$C$18*'02_Eingaben'!$C$10,1,0))</f>
        <v/>
      </c>
      <c r="I2157" s="17" t="str">
        <f t="shared" si="33"/>
        <v/>
      </c>
      <c r="J2157" s="17" t="str">
        <f>IF(B2157="","",IF(B2156&lt;'02_Eingaben'!$C$36,0,J2156+I2156/'02_Eingaben'!$C$8))</f>
        <v/>
      </c>
    </row>
    <row r="2158" spans="1:10" x14ac:dyDescent="0.25">
      <c r="A2158" t="str">
        <f>IF('01_Rohdaten'!A2158="","",ROW()-1)</f>
        <v/>
      </c>
      <c r="B2158" s="17" t="str">
        <f>IF('01_Rohdaten'!A2158="","",'01_Rohdaten'!A2158)</f>
        <v/>
      </c>
      <c r="C2158" s="17" t="str">
        <f>IF(B2158="","",INDEX('01_Rohdaten'!B2158:D2158,'02_Eingaben'!$C$13))</f>
        <v/>
      </c>
      <c r="D2158" s="17" t="str">
        <f>IF(C2158="","",C2158*'02_Eingaben'!$C$15)</f>
        <v/>
      </c>
      <c r="E2158" s="17" t="str">
        <f>IF(D2158="","",D2158*'02_Eingaben'!$C$8)</f>
        <v/>
      </c>
      <c r="F2158" s="17" t="str">
        <f>IF(E2158="","",AVERAGE(INDEX($E$2:$E$3001,MAX(1,ROW()-1-'02_Eingaben'!$C$17)):INDEX($E$2:$E$3001,MIN('02_Eingaben'!$C$21,ROW()-1+'02_Eingaben'!$C$17))))</f>
        <v/>
      </c>
      <c r="G2158" s="17" t="str">
        <f>IF(F2158="","",F2158-'02_Eingaben'!$C$10)</f>
        <v/>
      </c>
      <c r="H2158" t="str">
        <f>IF(F2158="","",IF(F2158&lt;'02_Eingaben'!$C$18*'02_Eingaben'!$C$10,1,0))</f>
        <v/>
      </c>
      <c r="I2158" s="17" t="str">
        <f t="shared" si="33"/>
        <v/>
      </c>
      <c r="J2158" s="17" t="str">
        <f>IF(B2158="","",IF(B2157&lt;'02_Eingaben'!$C$36,0,J2157+I2157/'02_Eingaben'!$C$8))</f>
        <v/>
      </c>
    </row>
    <row r="2159" spans="1:10" x14ac:dyDescent="0.25">
      <c r="A2159" t="str">
        <f>IF('01_Rohdaten'!A2159="","",ROW()-1)</f>
        <v/>
      </c>
      <c r="B2159" s="17" t="str">
        <f>IF('01_Rohdaten'!A2159="","",'01_Rohdaten'!A2159)</f>
        <v/>
      </c>
      <c r="C2159" s="17" t="str">
        <f>IF(B2159="","",INDEX('01_Rohdaten'!B2159:D2159,'02_Eingaben'!$C$13))</f>
        <v/>
      </c>
      <c r="D2159" s="17" t="str">
        <f>IF(C2159="","",C2159*'02_Eingaben'!$C$15)</f>
        <v/>
      </c>
      <c r="E2159" s="17" t="str">
        <f>IF(D2159="","",D2159*'02_Eingaben'!$C$8)</f>
        <v/>
      </c>
      <c r="F2159" s="17" t="str">
        <f>IF(E2159="","",AVERAGE(INDEX($E$2:$E$3001,MAX(1,ROW()-1-'02_Eingaben'!$C$17)):INDEX($E$2:$E$3001,MIN('02_Eingaben'!$C$21,ROW()-1+'02_Eingaben'!$C$17))))</f>
        <v/>
      </c>
      <c r="G2159" s="17" t="str">
        <f>IF(F2159="","",F2159-'02_Eingaben'!$C$10)</f>
        <v/>
      </c>
      <c r="H2159" t="str">
        <f>IF(F2159="","",IF(F2159&lt;'02_Eingaben'!$C$18*'02_Eingaben'!$C$10,1,0))</f>
        <v/>
      </c>
      <c r="I2159" s="17" t="str">
        <f t="shared" si="33"/>
        <v/>
      </c>
      <c r="J2159" s="17" t="str">
        <f>IF(B2159="","",IF(B2158&lt;'02_Eingaben'!$C$36,0,J2158+I2158/'02_Eingaben'!$C$8))</f>
        <v/>
      </c>
    </row>
    <row r="2160" spans="1:10" x14ac:dyDescent="0.25">
      <c r="A2160" t="str">
        <f>IF('01_Rohdaten'!A2160="","",ROW()-1)</f>
        <v/>
      </c>
      <c r="B2160" s="17" t="str">
        <f>IF('01_Rohdaten'!A2160="","",'01_Rohdaten'!A2160)</f>
        <v/>
      </c>
      <c r="C2160" s="17" t="str">
        <f>IF(B2160="","",INDEX('01_Rohdaten'!B2160:D2160,'02_Eingaben'!$C$13))</f>
        <v/>
      </c>
      <c r="D2160" s="17" t="str">
        <f>IF(C2160="","",C2160*'02_Eingaben'!$C$15)</f>
        <v/>
      </c>
      <c r="E2160" s="17" t="str">
        <f>IF(D2160="","",D2160*'02_Eingaben'!$C$8)</f>
        <v/>
      </c>
      <c r="F2160" s="17" t="str">
        <f>IF(E2160="","",AVERAGE(INDEX($E$2:$E$3001,MAX(1,ROW()-1-'02_Eingaben'!$C$17)):INDEX($E$2:$E$3001,MIN('02_Eingaben'!$C$21,ROW()-1+'02_Eingaben'!$C$17))))</f>
        <v/>
      </c>
      <c r="G2160" s="17" t="str">
        <f>IF(F2160="","",F2160-'02_Eingaben'!$C$10)</f>
        <v/>
      </c>
      <c r="H2160" t="str">
        <f>IF(F2160="","",IF(F2160&lt;'02_Eingaben'!$C$18*'02_Eingaben'!$C$10,1,0))</f>
        <v/>
      </c>
      <c r="I2160" s="17" t="str">
        <f t="shared" si="33"/>
        <v/>
      </c>
      <c r="J2160" s="17" t="str">
        <f>IF(B2160="","",IF(B2159&lt;'02_Eingaben'!$C$36,0,J2159+I2159/'02_Eingaben'!$C$8))</f>
        <v/>
      </c>
    </row>
    <row r="2161" spans="1:10" x14ac:dyDescent="0.25">
      <c r="A2161" t="str">
        <f>IF('01_Rohdaten'!A2161="","",ROW()-1)</f>
        <v/>
      </c>
      <c r="B2161" s="17" t="str">
        <f>IF('01_Rohdaten'!A2161="","",'01_Rohdaten'!A2161)</f>
        <v/>
      </c>
      <c r="C2161" s="17" t="str">
        <f>IF(B2161="","",INDEX('01_Rohdaten'!B2161:D2161,'02_Eingaben'!$C$13))</f>
        <v/>
      </c>
      <c r="D2161" s="17" t="str">
        <f>IF(C2161="","",C2161*'02_Eingaben'!$C$15)</f>
        <v/>
      </c>
      <c r="E2161" s="17" t="str">
        <f>IF(D2161="","",D2161*'02_Eingaben'!$C$8)</f>
        <v/>
      </c>
      <c r="F2161" s="17" t="str">
        <f>IF(E2161="","",AVERAGE(INDEX($E$2:$E$3001,MAX(1,ROW()-1-'02_Eingaben'!$C$17)):INDEX($E$2:$E$3001,MIN('02_Eingaben'!$C$21,ROW()-1+'02_Eingaben'!$C$17))))</f>
        <v/>
      </c>
      <c r="G2161" s="17" t="str">
        <f>IF(F2161="","",F2161-'02_Eingaben'!$C$10)</f>
        <v/>
      </c>
      <c r="H2161" t="str">
        <f>IF(F2161="","",IF(F2161&lt;'02_Eingaben'!$C$18*'02_Eingaben'!$C$10,1,0))</f>
        <v/>
      </c>
      <c r="I2161" s="17" t="str">
        <f t="shared" si="33"/>
        <v/>
      </c>
      <c r="J2161" s="17" t="str">
        <f>IF(B2161="","",IF(B2160&lt;'02_Eingaben'!$C$36,0,J2160+I2160/'02_Eingaben'!$C$8))</f>
        <v/>
      </c>
    </row>
    <row r="2162" spans="1:10" x14ac:dyDescent="0.25">
      <c r="A2162" t="str">
        <f>IF('01_Rohdaten'!A2162="","",ROW()-1)</f>
        <v/>
      </c>
      <c r="B2162" s="17" t="str">
        <f>IF('01_Rohdaten'!A2162="","",'01_Rohdaten'!A2162)</f>
        <v/>
      </c>
      <c r="C2162" s="17" t="str">
        <f>IF(B2162="","",INDEX('01_Rohdaten'!B2162:D2162,'02_Eingaben'!$C$13))</f>
        <v/>
      </c>
      <c r="D2162" s="17" t="str">
        <f>IF(C2162="","",C2162*'02_Eingaben'!$C$15)</f>
        <v/>
      </c>
      <c r="E2162" s="17" t="str">
        <f>IF(D2162="","",D2162*'02_Eingaben'!$C$8)</f>
        <v/>
      </c>
      <c r="F2162" s="17" t="str">
        <f>IF(E2162="","",AVERAGE(INDEX($E$2:$E$3001,MAX(1,ROW()-1-'02_Eingaben'!$C$17)):INDEX($E$2:$E$3001,MIN('02_Eingaben'!$C$21,ROW()-1+'02_Eingaben'!$C$17))))</f>
        <v/>
      </c>
      <c r="G2162" s="17" t="str">
        <f>IF(F2162="","",F2162-'02_Eingaben'!$C$10)</f>
        <v/>
      </c>
      <c r="H2162" t="str">
        <f>IF(F2162="","",IF(F2162&lt;'02_Eingaben'!$C$18*'02_Eingaben'!$C$10,1,0))</f>
        <v/>
      </c>
      <c r="I2162" s="17" t="str">
        <f t="shared" si="33"/>
        <v/>
      </c>
      <c r="J2162" s="17" t="str">
        <f>IF(B2162="","",IF(B2161&lt;'02_Eingaben'!$C$36,0,J2161+I2161/'02_Eingaben'!$C$8))</f>
        <v/>
      </c>
    </row>
    <row r="2163" spans="1:10" x14ac:dyDescent="0.25">
      <c r="A2163" t="str">
        <f>IF('01_Rohdaten'!A2163="","",ROW()-1)</f>
        <v/>
      </c>
      <c r="B2163" s="17" t="str">
        <f>IF('01_Rohdaten'!A2163="","",'01_Rohdaten'!A2163)</f>
        <v/>
      </c>
      <c r="C2163" s="17" t="str">
        <f>IF(B2163="","",INDEX('01_Rohdaten'!B2163:D2163,'02_Eingaben'!$C$13))</f>
        <v/>
      </c>
      <c r="D2163" s="17" t="str">
        <f>IF(C2163="","",C2163*'02_Eingaben'!$C$15)</f>
        <v/>
      </c>
      <c r="E2163" s="17" t="str">
        <f>IF(D2163="","",D2163*'02_Eingaben'!$C$8)</f>
        <v/>
      </c>
      <c r="F2163" s="17" t="str">
        <f>IF(E2163="","",AVERAGE(INDEX($E$2:$E$3001,MAX(1,ROW()-1-'02_Eingaben'!$C$17)):INDEX($E$2:$E$3001,MIN('02_Eingaben'!$C$21,ROW()-1+'02_Eingaben'!$C$17))))</f>
        <v/>
      </c>
      <c r="G2163" s="17" t="str">
        <f>IF(F2163="","",F2163-'02_Eingaben'!$C$10)</f>
        <v/>
      </c>
      <c r="H2163" t="str">
        <f>IF(F2163="","",IF(F2163&lt;'02_Eingaben'!$C$18*'02_Eingaben'!$C$10,1,0))</f>
        <v/>
      </c>
      <c r="I2163" s="17" t="str">
        <f t="shared" si="33"/>
        <v/>
      </c>
      <c r="J2163" s="17" t="str">
        <f>IF(B2163="","",IF(B2162&lt;'02_Eingaben'!$C$36,0,J2162+I2162/'02_Eingaben'!$C$8))</f>
        <v/>
      </c>
    </row>
    <row r="2164" spans="1:10" x14ac:dyDescent="0.25">
      <c r="A2164" t="str">
        <f>IF('01_Rohdaten'!A2164="","",ROW()-1)</f>
        <v/>
      </c>
      <c r="B2164" s="17" t="str">
        <f>IF('01_Rohdaten'!A2164="","",'01_Rohdaten'!A2164)</f>
        <v/>
      </c>
      <c r="C2164" s="17" t="str">
        <f>IF(B2164="","",INDEX('01_Rohdaten'!B2164:D2164,'02_Eingaben'!$C$13))</f>
        <v/>
      </c>
      <c r="D2164" s="17" t="str">
        <f>IF(C2164="","",C2164*'02_Eingaben'!$C$15)</f>
        <v/>
      </c>
      <c r="E2164" s="17" t="str">
        <f>IF(D2164="","",D2164*'02_Eingaben'!$C$8)</f>
        <v/>
      </c>
      <c r="F2164" s="17" t="str">
        <f>IF(E2164="","",AVERAGE(INDEX($E$2:$E$3001,MAX(1,ROW()-1-'02_Eingaben'!$C$17)):INDEX($E$2:$E$3001,MIN('02_Eingaben'!$C$21,ROW()-1+'02_Eingaben'!$C$17))))</f>
        <v/>
      </c>
      <c r="G2164" s="17" t="str">
        <f>IF(F2164="","",F2164-'02_Eingaben'!$C$10)</f>
        <v/>
      </c>
      <c r="H2164" t="str">
        <f>IF(F2164="","",IF(F2164&lt;'02_Eingaben'!$C$18*'02_Eingaben'!$C$10,1,0))</f>
        <v/>
      </c>
      <c r="I2164" s="17" t="str">
        <f t="shared" si="33"/>
        <v/>
      </c>
      <c r="J2164" s="17" t="str">
        <f>IF(B2164="","",IF(B2163&lt;'02_Eingaben'!$C$36,0,J2163+I2163/'02_Eingaben'!$C$8))</f>
        <v/>
      </c>
    </row>
    <row r="2165" spans="1:10" x14ac:dyDescent="0.25">
      <c r="A2165" t="str">
        <f>IF('01_Rohdaten'!A2165="","",ROW()-1)</f>
        <v/>
      </c>
      <c r="B2165" s="17" t="str">
        <f>IF('01_Rohdaten'!A2165="","",'01_Rohdaten'!A2165)</f>
        <v/>
      </c>
      <c r="C2165" s="17" t="str">
        <f>IF(B2165="","",INDEX('01_Rohdaten'!B2165:D2165,'02_Eingaben'!$C$13))</f>
        <v/>
      </c>
      <c r="D2165" s="17" t="str">
        <f>IF(C2165="","",C2165*'02_Eingaben'!$C$15)</f>
        <v/>
      </c>
      <c r="E2165" s="17" t="str">
        <f>IF(D2165="","",D2165*'02_Eingaben'!$C$8)</f>
        <v/>
      </c>
      <c r="F2165" s="17" t="str">
        <f>IF(E2165="","",AVERAGE(INDEX($E$2:$E$3001,MAX(1,ROW()-1-'02_Eingaben'!$C$17)):INDEX($E$2:$E$3001,MIN('02_Eingaben'!$C$21,ROW()-1+'02_Eingaben'!$C$17))))</f>
        <v/>
      </c>
      <c r="G2165" s="17" t="str">
        <f>IF(F2165="","",F2165-'02_Eingaben'!$C$10)</f>
        <v/>
      </c>
      <c r="H2165" t="str">
        <f>IF(F2165="","",IF(F2165&lt;'02_Eingaben'!$C$18*'02_Eingaben'!$C$10,1,0))</f>
        <v/>
      </c>
      <c r="I2165" s="17" t="str">
        <f t="shared" si="33"/>
        <v/>
      </c>
      <c r="J2165" s="17" t="str">
        <f>IF(B2165="","",IF(B2164&lt;'02_Eingaben'!$C$36,0,J2164+I2164/'02_Eingaben'!$C$8))</f>
        <v/>
      </c>
    </row>
    <row r="2166" spans="1:10" x14ac:dyDescent="0.25">
      <c r="A2166" t="str">
        <f>IF('01_Rohdaten'!A2166="","",ROW()-1)</f>
        <v/>
      </c>
      <c r="B2166" s="17" t="str">
        <f>IF('01_Rohdaten'!A2166="","",'01_Rohdaten'!A2166)</f>
        <v/>
      </c>
      <c r="C2166" s="17" t="str">
        <f>IF(B2166="","",INDEX('01_Rohdaten'!B2166:D2166,'02_Eingaben'!$C$13))</f>
        <v/>
      </c>
      <c r="D2166" s="17" t="str">
        <f>IF(C2166="","",C2166*'02_Eingaben'!$C$15)</f>
        <v/>
      </c>
      <c r="E2166" s="17" t="str">
        <f>IF(D2166="","",D2166*'02_Eingaben'!$C$8)</f>
        <v/>
      </c>
      <c r="F2166" s="17" t="str">
        <f>IF(E2166="","",AVERAGE(INDEX($E$2:$E$3001,MAX(1,ROW()-1-'02_Eingaben'!$C$17)):INDEX($E$2:$E$3001,MIN('02_Eingaben'!$C$21,ROW()-1+'02_Eingaben'!$C$17))))</f>
        <v/>
      </c>
      <c r="G2166" s="17" t="str">
        <f>IF(F2166="","",F2166-'02_Eingaben'!$C$10)</f>
        <v/>
      </c>
      <c r="H2166" t="str">
        <f>IF(F2166="","",IF(F2166&lt;'02_Eingaben'!$C$18*'02_Eingaben'!$C$10,1,0))</f>
        <v/>
      </c>
      <c r="I2166" s="17" t="str">
        <f t="shared" si="33"/>
        <v/>
      </c>
      <c r="J2166" s="17" t="str">
        <f>IF(B2166="","",IF(B2165&lt;'02_Eingaben'!$C$36,0,J2165+I2165/'02_Eingaben'!$C$8))</f>
        <v/>
      </c>
    </row>
    <row r="2167" spans="1:10" x14ac:dyDescent="0.25">
      <c r="A2167" t="str">
        <f>IF('01_Rohdaten'!A2167="","",ROW()-1)</f>
        <v/>
      </c>
      <c r="B2167" s="17" t="str">
        <f>IF('01_Rohdaten'!A2167="","",'01_Rohdaten'!A2167)</f>
        <v/>
      </c>
      <c r="C2167" s="17" t="str">
        <f>IF(B2167="","",INDEX('01_Rohdaten'!B2167:D2167,'02_Eingaben'!$C$13))</f>
        <v/>
      </c>
      <c r="D2167" s="17" t="str">
        <f>IF(C2167="","",C2167*'02_Eingaben'!$C$15)</f>
        <v/>
      </c>
      <c r="E2167" s="17" t="str">
        <f>IF(D2167="","",D2167*'02_Eingaben'!$C$8)</f>
        <v/>
      </c>
      <c r="F2167" s="17" t="str">
        <f>IF(E2167="","",AVERAGE(INDEX($E$2:$E$3001,MAX(1,ROW()-1-'02_Eingaben'!$C$17)):INDEX($E$2:$E$3001,MIN('02_Eingaben'!$C$21,ROW()-1+'02_Eingaben'!$C$17))))</f>
        <v/>
      </c>
      <c r="G2167" s="17" t="str">
        <f>IF(F2167="","",F2167-'02_Eingaben'!$C$10)</f>
        <v/>
      </c>
      <c r="H2167" t="str">
        <f>IF(F2167="","",IF(F2167&lt;'02_Eingaben'!$C$18*'02_Eingaben'!$C$10,1,0))</f>
        <v/>
      </c>
      <c r="I2167" s="17" t="str">
        <f t="shared" si="33"/>
        <v/>
      </c>
      <c r="J2167" s="17" t="str">
        <f>IF(B2167="","",IF(B2166&lt;'02_Eingaben'!$C$36,0,J2166+I2166/'02_Eingaben'!$C$8))</f>
        <v/>
      </c>
    </row>
    <row r="2168" spans="1:10" x14ac:dyDescent="0.25">
      <c r="A2168" t="str">
        <f>IF('01_Rohdaten'!A2168="","",ROW()-1)</f>
        <v/>
      </c>
      <c r="B2168" s="17" t="str">
        <f>IF('01_Rohdaten'!A2168="","",'01_Rohdaten'!A2168)</f>
        <v/>
      </c>
      <c r="C2168" s="17" t="str">
        <f>IF(B2168="","",INDEX('01_Rohdaten'!B2168:D2168,'02_Eingaben'!$C$13))</f>
        <v/>
      </c>
      <c r="D2168" s="17" t="str">
        <f>IF(C2168="","",C2168*'02_Eingaben'!$C$15)</f>
        <v/>
      </c>
      <c r="E2168" s="17" t="str">
        <f>IF(D2168="","",D2168*'02_Eingaben'!$C$8)</f>
        <v/>
      </c>
      <c r="F2168" s="17" t="str">
        <f>IF(E2168="","",AVERAGE(INDEX($E$2:$E$3001,MAX(1,ROW()-1-'02_Eingaben'!$C$17)):INDEX($E$2:$E$3001,MIN('02_Eingaben'!$C$21,ROW()-1+'02_Eingaben'!$C$17))))</f>
        <v/>
      </c>
      <c r="G2168" s="17" t="str">
        <f>IF(F2168="","",F2168-'02_Eingaben'!$C$10)</f>
        <v/>
      </c>
      <c r="H2168" t="str">
        <f>IF(F2168="","",IF(F2168&lt;'02_Eingaben'!$C$18*'02_Eingaben'!$C$10,1,0))</f>
        <v/>
      </c>
      <c r="I2168" s="17" t="str">
        <f t="shared" si="33"/>
        <v/>
      </c>
      <c r="J2168" s="17" t="str">
        <f>IF(B2168="","",IF(B2167&lt;'02_Eingaben'!$C$36,0,J2167+I2167/'02_Eingaben'!$C$8))</f>
        <v/>
      </c>
    </row>
    <row r="2169" spans="1:10" x14ac:dyDescent="0.25">
      <c r="A2169" t="str">
        <f>IF('01_Rohdaten'!A2169="","",ROW()-1)</f>
        <v/>
      </c>
      <c r="B2169" s="17" t="str">
        <f>IF('01_Rohdaten'!A2169="","",'01_Rohdaten'!A2169)</f>
        <v/>
      </c>
      <c r="C2169" s="17" t="str">
        <f>IF(B2169="","",INDEX('01_Rohdaten'!B2169:D2169,'02_Eingaben'!$C$13))</f>
        <v/>
      </c>
      <c r="D2169" s="17" t="str">
        <f>IF(C2169="","",C2169*'02_Eingaben'!$C$15)</f>
        <v/>
      </c>
      <c r="E2169" s="17" t="str">
        <f>IF(D2169="","",D2169*'02_Eingaben'!$C$8)</f>
        <v/>
      </c>
      <c r="F2169" s="17" t="str">
        <f>IF(E2169="","",AVERAGE(INDEX($E$2:$E$3001,MAX(1,ROW()-1-'02_Eingaben'!$C$17)):INDEX($E$2:$E$3001,MIN('02_Eingaben'!$C$21,ROW()-1+'02_Eingaben'!$C$17))))</f>
        <v/>
      </c>
      <c r="G2169" s="17" t="str">
        <f>IF(F2169="","",F2169-'02_Eingaben'!$C$10)</f>
        <v/>
      </c>
      <c r="H2169" t="str">
        <f>IF(F2169="","",IF(F2169&lt;'02_Eingaben'!$C$18*'02_Eingaben'!$C$10,1,0))</f>
        <v/>
      </c>
      <c r="I2169" s="17" t="str">
        <f t="shared" si="33"/>
        <v/>
      </c>
      <c r="J2169" s="17" t="str">
        <f>IF(B2169="","",IF(B2168&lt;'02_Eingaben'!$C$36,0,J2168+I2168/'02_Eingaben'!$C$8))</f>
        <v/>
      </c>
    </row>
    <row r="2170" spans="1:10" x14ac:dyDescent="0.25">
      <c r="A2170" t="str">
        <f>IF('01_Rohdaten'!A2170="","",ROW()-1)</f>
        <v/>
      </c>
      <c r="B2170" s="17" t="str">
        <f>IF('01_Rohdaten'!A2170="","",'01_Rohdaten'!A2170)</f>
        <v/>
      </c>
      <c r="C2170" s="17" t="str">
        <f>IF(B2170="","",INDEX('01_Rohdaten'!B2170:D2170,'02_Eingaben'!$C$13))</f>
        <v/>
      </c>
      <c r="D2170" s="17" t="str">
        <f>IF(C2170="","",C2170*'02_Eingaben'!$C$15)</f>
        <v/>
      </c>
      <c r="E2170" s="17" t="str">
        <f>IF(D2170="","",D2170*'02_Eingaben'!$C$8)</f>
        <v/>
      </c>
      <c r="F2170" s="17" t="str">
        <f>IF(E2170="","",AVERAGE(INDEX($E$2:$E$3001,MAX(1,ROW()-1-'02_Eingaben'!$C$17)):INDEX($E$2:$E$3001,MIN('02_Eingaben'!$C$21,ROW()-1+'02_Eingaben'!$C$17))))</f>
        <v/>
      </c>
      <c r="G2170" s="17" t="str">
        <f>IF(F2170="","",F2170-'02_Eingaben'!$C$10)</f>
        <v/>
      </c>
      <c r="H2170" t="str">
        <f>IF(F2170="","",IF(F2170&lt;'02_Eingaben'!$C$18*'02_Eingaben'!$C$10,1,0))</f>
        <v/>
      </c>
      <c r="I2170" s="17" t="str">
        <f t="shared" si="33"/>
        <v/>
      </c>
      <c r="J2170" s="17" t="str">
        <f>IF(B2170="","",IF(B2169&lt;'02_Eingaben'!$C$36,0,J2169+I2169/'02_Eingaben'!$C$8))</f>
        <v/>
      </c>
    </row>
    <row r="2171" spans="1:10" x14ac:dyDescent="0.25">
      <c r="A2171" t="str">
        <f>IF('01_Rohdaten'!A2171="","",ROW()-1)</f>
        <v/>
      </c>
      <c r="B2171" s="17" t="str">
        <f>IF('01_Rohdaten'!A2171="","",'01_Rohdaten'!A2171)</f>
        <v/>
      </c>
      <c r="C2171" s="17" t="str">
        <f>IF(B2171="","",INDEX('01_Rohdaten'!B2171:D2171,'02_Eingaben'!$C$13))</f>
        <v/>
      </c>
      <c r="D2171" s="17" t="str">
        <f>IF(C2171="","",C2171*'02_Eingaben'!$C$15)</f>
        <v/>
      </c>
      <c r="E2171" s="17" t="str">
        <f>IF(D2171="","",D2171*'02_Eingaben'!$C$8)</f>
        <v/>
      </c>
      <c r="F2171" s="17" t="str">
        <f>IF(E2171="","",AVERAGE(INDEX($E$2:$E$3001,MAX(1,ROW()-1-'02_Eingaben'!$C$17)):INDEX($E$2:$E$3001,MIN('02_Eingaben'!$C$21,ROW()-1+'02_Eingaben'!$C$17))))</f>
        <v/>
      </c>
      <c r="G2171" s="17" t="str">
        <f>IF(F2171="","",F2171-'02_Eingaben'!$C$10)</f>
        <v/>
      </c>
      <c r="H2171" t="str">
        <f>IF(F2171="","",IF(F2171&lt;'02_Eingaben'!$C$18*'02_Eingaben'!$C$10,1,0))</f>
        <v/>
      </c>
      <c r="I2171" s="17" t="str">
        <f t="shared" si="33"/>
        <v/>
      </c>
      <c r="J2171" s="17" t="str">
        <f>IF(B2171="","",IF(B2170&lt;'02_Eingaben'!$C$36,0,J2170+I2170/'02_Eingaben'!$C$8))</f>
        <v/>
      </c>
    </row>
    <row r="2172" spans="1:10" x14ac:dyDescent="0.25">
      <c r="A2172" t="str">
        <f>IF('01_Rohdaten'!A2172="","",ROW()-1)</f>
        <v/>
      </c>
      <c r="B2172" s="17" t="str">
        <f>IF('01_Rohdaten'!A2172="","",'01_Rohdaten'!A2172)</f>
        <v/>
      </c>
      <c r="C2172" s="17" t="str">
        <f>IF(B2172="","",INDEX('01_Rohdaten'!B2172:D2172,'02_Eingaben'!$C$13))</f>
        <v/>
      </c>
      <c r="D2172" s="17" t="str">
        <f>IF(C2172="","",C2172*'02_Eingaben'!$C$15)</f>
        <v/>
      </c>
      <c r="E2172" s="17" t="str">
        <f>IF(D2172="","",D2172*'02_Eingaben'!$C$8)</f>
        <v/>
      </c>
      <c r="F2172" s="17" t="str">
        <f>IF(E2172="","",AVERAGE(INDEX($E$2:$E$3001,MAX(1,ROW()-1-'02_Eingaben'!$C$17)):INDEX($E$2:$E$3001,MIN('02_Eingaben'!$C$21,ROW()-1+'02_Eingaben'!$C$17))))</f>
        <v/>
      </c>
      <c r="G2172" s="17" t="str">
        <f>IF(F2172="","",F2172-'02_Eingaben'!$C$10)</f>
        <v/>
      </c>
      <c r="H2172" t="str">
        <f>IF(F2172="","",IF(F2172&lt;'02_Eingaben'!$C$18*'02_Eingaben'!$C$10,1,0))</f>
        <v/>
      </c>
      <c r="I2172" s="17" t="str">
        <f t="shared" si="33"/>
        <v/>
      </c>
      <c r="J2172" s="17" t="str">
        <f>IF(B2172="","",IF(B2171&lt;'02_Eingaben'!$C$36,0,J2171+I2171/'02_Eingaben'!$C$8))</f>
        <v/>
      </c>
    </row>
    <row r="2173" spans="1:10" x14ac:dyDescent="0.25">
      <c r="A2173" t="str">
        <f>IF('01_Rohdaten'!A2173="","",ROW()-1)</f>
        <v/>
      </c>
      <c r="B2173" s="17" t="str">
        <f>IF('01_Rohdaten'!A2173="","",'01_Rohdaten'!A2173)</f>
        <v/>
      </c>
      <c r="C2173" s="17" t="str">
        <f>IF(B2173="","",INDEX('01_Rohdaten'!B2173:D2173,'02_Eingaben'!$C$13))</f>
        <v/>
      </c>
      <c r="D2173" s="17" t="str">
        <f>IF(C2173="","",C2173*'02_Eingaben'!$C$15)</f>
        <v/>
      </c>
      <c r="E2173" s="17" t="str">
        <f>IF(D2173="","",D2173*'02_Eingaben'!$C$8)</f>
        <v/>
      </c>
      <c r="F2173" s="17" t="str">
        <f>IF(E2173="","",AVERAGE(INDEX($E$2:$E$3001,MAX(1,ROW()-1-'02_Eingaben'!$C$17)):INDEX($E$2:$E$3001,MIN('02_Eingaben'!$C$21,ROW()-1+'02_Eingaben'!$C$17))))</f>
        <v/>
      </c>
      <c r="G2173" s="17" t="str">
        <f>IF(F2173="","",F2173-'02_Eingaben'!$C$10)</f>
        <v/>
      </c>
      <c r="H2173" t="str">
        <f>IF(F2173="","",IF(F2173&lt;'02_Eingaben'!$C$18*'02_Eingaben'!$C$10,1,0))</f>
        <v/>
      </c>
      <c r="I2173" s="17" t="str">
        <f t="shared" si="33"/>
        <v/>
      </c>
      <c r="J2173" s="17" t="str">
        <f>IF(B2173="","",IF(B2172&lt;'02_Eingaben'!$C$36,0,J2172+I2172/'02_Eingaben'!$C$8))</f>
        <v/>
      </c>
    </row>
    <row r="2174" spans="1:10" x14ac:dyDescent="0.25">
      <c r="A2174" t="str">
        <f>IF('01_Rohdaten'!A2174="","",ROW()-1)</f>
        <v/>
      </c>
      <c r="B2174" s="17" t="str">
        <f>IF('01_Rohdaten'!A2174="","",'01_Rohdaten'!A2174)</f>
        <v/>
      </c>
      <c r="C2174" s="17" t="str">
        <f>IF(B2174="","",INDEX('01_Rohdaten'!B2174:D2174,'02_Eingaben'!$C$13))</f>
        <v/>
      </c>
      <c r="D2174" s="17" t="str">
        <f>IF(C2174="","",C2174*'02_Eingaben'!$C$15)</f>
        <v/>
      </c>
      <c r="E2174" s="17" t="str">
        <f>IF(D2174="","",D2174*'02_Eingaben'!$C$8)</f>
        <v/>
      </c>
      <c r="F2174" s="17" t="str">
        <f>IF(E2174="","",AVERAGE(INDEX($E$2:$E$3001,MAX(1,ROW()-1-'02_Eingaben'!$C$17)):INDEX($E$2:$E$3001,MIN('02_Eingaben'!$C$21,ROW()-1+'02_Eingaben'!$C$17))))</f>
        <v/>
      </c>
      <c r="G2174" s="17" t="str">
        <f>IF(F2174="","",F2174-'02_Eingaben'!$C$10)</f>
        <v/>
      </c>
      <c r="H2174" t="str">
        <f>IF(F2174="","",IF(F2174&lt;'02_Eingaben'!$C$18*'02_Eingaben'!$C$10,1,0))</f>
        <v/>
      </c>
      <c r="I2174" s="17" t="str">
        <f t="shared" si="33"/>
        <v/>
      </c>
      <c r="J2174" s="17" t="str">
        <f>IF(B2174="","",IF(B2173&lt;'02_Eingaben'!$C$36,0,J2173+I2173/'02_Eingaben'!$C$8))</f>
        <v/>
      </c>
    </row>
    <row r="2175" spans="1:10" x14ac:dyDescent="0.25">
      <c r="A2175" t="str">
        <f>IF('01_Rohdaten'!A2175="","",ROW()-1)</f>
        <v/>
      </c>
      <c r="B2175" s="17" t="str">
        <f>IF('01_Rohdaten'!A2175="","",'01_Rohdaten'!A2175)</f>
        <v/>
      </c>
      <c r="C2175" s="17" t="str">
        <f>IF(B2175="","",INDEX('01_Rohdaten'!B2175:D2175,'02_Eingaben'!$C$13))</f>
        <v/>
      </c>
      <c r="D2175" s="17" t="str">
        <f>IF(C2175="","",C2175*'02_Eingaben'!$C$15)</f>
        <v/>
      </c>
      <c r="E2175" s="17" t="str">
        <f>IF(D2175="","",D2175*'02_Eingaben'!$C$8)</f>
        <v/>
      </c>
      <c r="F2175" s="17" t="str">
        <f>IF(E2175="","",AVERAGE(INDEX($E$2:$E$3001,MAX(1,ROW()-1-'02_Eingaben'!$C$17)):INDEX($E$2:$E$3001,MIN('02_Eingaben'!$C$21,ROW()-1+'02_Eingaben'!$C$17))))</f>
        <v/>
      </c>
      <c r="G2175" s="17" t="str">
        <f>IF(F2175="","",F2175-'02_Eingaben'!$C$10)</f>
        <v/>
      </c>
      <c r="H2175" t="str">
        <f>IF(F2175="","",IF(F2175&lt;'02_Eingaben'!$C$18*'02_Eingaben'!$C$10,1,0))</f>
        <v/>
      </c>
      <c r="I2175" s="17" t="str">
        <f t="shared" si="33"/>
        <v/>
      </c>
      <c r="J2175" s="17" t="str">
        <f>IF(B2175="","",IF(B2174&lt;'02_Eingaben'!$C$36,0,J2174+I2174/'02_Eingaben'!$C$8))</f>
        <v/>
      </c>
    </row>
    <row r="2176" spans="1:10" x14ac:dyDescent="0.25">
      <c r="A2176" t="str">
        <f>IF('01_Rohdaten'!A2176="","",ROW()-1)</f>
        <v/>
      </c>
      <c r="B2176" s="17" t="str">
        <f>IF('01_Rohdaten'!A2176="","",'01_Rohdaten'!A2176)</f>
        <v/>
      </c>
      <c r="C2176" s="17" t="str">
        <f>IF(B2176="","",INDEX('01_Rohdaten'!B2176:D2176,'02_Eingaben'!$C$13))</f>
        <v/>
      </c>
      <c r="D2176" s="17" t="str">
        <f>IF(C2176="","",C2176*'02_Eingaben'!$C$15)</f>
        <v/>
      </c>
      <c r="E2176" s="17" t="str">
        <f>IF(D2176="","",D2176*'02_Eingaben'!$C$8)</f>
        <v/>
      </c>
      <c r="F2176" s="17" t="str">
        <f>IF(E2176="","",AVERAGE(INDEX($E$2:$E$3001,MAX(1,ROW()-1-'02_Eingaben'!$C$17)):INDEX($E$2:$E$3001,MIN('02_Eingaben'!$C$21,ROW()-1+'02_Eingaben'!$C$17))))</f>
        <v/>
      </c>
      <c r="G2176" s="17" t="str">
        <f>IF(F2176="","",F2176-'02_Eingaben'!$C$10)</f>
        <v/>
      </c>
      <c r="H2176" t="str">
        <f>IF(F2176="","",IF(F2176&lt;'02_Eingaben'!$C$18*'02_Eingaben'!$C$10,1,0))</f>
        <v/>
      </c>
      <c r="I2176" s="17" t="str">
        <f t="shared" si="33"/>
        <v/>
      </c>
      <c r="J2176" s="17" t="str">
        <f>IF(B2176="","",IF(B2175&lt;'02_Eingaben'!$C$36,0,J2175+I2175/'02_Eingaben'!$C$8))</f>
        <v/>
      </c>
    </row>
    <row r="2177" spans="1:10" x14ac:dyDescent="0.25">
      <c r="A2177" t="str">
        <f>IF('01_Rohdaten'!A2177="","",ROW()-1)</f>
        <v/>
      </c>
      <c r="B2177" s="17" t="str">
        <f>IF('01_Rohdaten'!A2177="","",'01_Rohdaten'!A2177)</f>
        <v/>
      </c>
      <c r="C2177" s="17" t="str">
        <f>IF(B2177="","",INDEX('01_Rohdaten'!B2177:D2177,'02_Eingaben'!$C$13))</f>
        <v/>
      </c>
      <c r="D2177" s="17" t="str">
        <f>IF(C2177="","",C2177*'02_Eingaben'!$C$15)</f>
        <v/>
      </c>
      <c r="E2177" s="17" t="str">
        <f>IF(D2177="","",D2177*'02_Eingaben'!$C$8)</f>
        <v/>
      </c>
      <c r="F2177" s="17" t="str">
        <f>IF(E2177="","",AVERAGE(INDEX($E$2:$E$3001,MAX(1,ROW()-1-'02_Eingaben'!$C$17)):INDEX($E$2:$E$3001,MIN('02_Eingaben'!$C$21,ROW()-1+'02_Eingaben'!$C$17))))</f>
        <v/>
      </c>
      <c r="G2177" s="17" t="str">
        <f>IF(F2177="","",F2177-'02_Eingaben'!$C$10)</f>
        <v/>
      </c>
      <c r="H2177" t="str">
        <f>IF(F2177="","",IF(F2177&lt;'02_Eingaben'!$C$18*'02_Eingaben'!$C$10,1,0))</f>
        <v/>
      </c>
      <c r="I2177" s="17" t="str">
        <f t="shared" si="33"/>
        <v/>
      </c>
      <c r="J2177" s="17" t="str">
        <f>IF(B2177="","",IF(B2176&lt;'02_Eingaben'!$C$36,0,J2176+I2176/'02_Eingaben'!$C$8))</f>
        <v/>
      </c>
    </row>
    <row r="2178" spans="1:10" x14ac:dyDescent="0.25">
      <c r="A2178" t="str">
        <f>IF('01_Rohdaten'!A2178="","",ROW()-1)</f>
        <v/>
      </c>
      <c r="B2178" s="17" t="str">
        <f>IF('01_Rohdaten'!A2178="","",'01_Rohdaten'!A2178)</f>
        <v/>
      </c>
      <c r="C2178" s="17" t="str">
        <f>IF(B2178="","",INDEX('01_Rohdaten'!B2178:D2178,'02_Eingaben'!$C$13))</f>
        <v/>
      </c>
      <c r="D2178" s="17" t="str">
        <f>IF(C2178="","",C2178*'02_Eingaben'!$C$15)</f>
        <v/>
      </c>
      <c r="E2178" s="17" t="str">
        <f>IF(D2178="","",D2178*'02_Eingaben'!$C$8)</f>
        <v/>
      </c>
      <c r="F2178" s="17" t="str">
        <f>IF(E2178="","",AVERAGE(INDEX($E$2:$E$3001,MAX(1,ROW()-1-'02_Eingaben'!$C$17)):INDEX($E$2:$E$3001,MIN('02_Eingaben'!$C$21,ROW()-1+'02_Eingaben'!$C$17))))</f>
        <v/>
      </c>
      <c r="G2178" s="17" t="str">
        <f>IF(F2178="","",F2178-'02_Eingaben'!$C$10)</f>
        <v/>
      </c>
      <c r="H2178" t="str">
        <f>IF(F2178="","",IF(F2178&lt;'02_Eingaben'!$C$18*'02_Eingaben'!$C$10,1,0))</f>
        <v/>
      </c>
      <c r="I2178" s="17" t="str">
        <f t="shared" ref="I2178:I2241" si="34">IF(OR(G2178="",G2179=""),"",(G2178+G2179)/2*(B2179-B2178))</f>
        <v/>
      </c>
      <c r="J2178" s="17" t="str">
        <f>IF(B2178="","",IF(B2177&lt;'02_Eingaben'!$C$36,0,J2177+I2177/'02_Eingaben'!$C$8))</f>
        <v/>
      </c>
    </row>
    <row r="2179" spans="1:10" x14ac:dyDescent="0.25">
      <c r="A2179" t="str">
        <f>IF('01_Rohdaten'!A2179="","",ROW()-1)</f>
        <v/>
      </c>
      <c r="B2179" s="17" t="str">
        <f>IF('01_Rohdaten'!A2179="","",'01_Rohdaten'!A2179)</f>
        <v/>
      </c>
      <c r="C2179" s="17" t="str">
        <f>IF(B2179="","",INDEX('01_Rohdaten'!B2179:D2179,'02_Eingaben'!$C$13))</f>
        <v/>
      </c>
      <c r="D2179" s="17" t="str">
        <f>IF(C2179="","",C2179*'02_Eingaben'!$C$15)</f>
        <v/>
      </c>
      <c r="E2179" s="17" t="str">
        <f>IF(D2179="","",D2179*'02_Eingaben'!$C$8)</f>
        <v/>
      </c>
      <c r="F2179" s="17" t="str">
        <f>IF(E2179="","",AVERAGE(INDEX($E$2:$E$3001,MAX(1,ROW()-1-'02_Eingaben'!$C$17)):INDEX($E$2:$E$3001,MIN('02_Eingaben'!$C$21,ROW()-1+'02_Eingaben'!$C$17))))</f>
        <v/>
      </c>
      <c r="G2179" s="17" t="str">
        <f>IF(F2179="","",F2179-'02_Eingaben'!$C$10)</f>
        <v/>
      </c>
      <c r="H2179" t="str">
        <f>IF(F2179="","",IF(F2179&lt;'02_Eingaben'!$C$18*'02_Eingaben'!$C$10,1,0))</f>
        <v/>
      </c>
      <c r="I2179" s="17" t="str">
        <f t="shared" si="34"/>
        <v/>
      </c>
      <c r="J2179" s="17" t="str">
        <f>IF(B2179="","",IF(B2178&lt;'02_Eingaben'!$C$36,0,J2178+I2178/'02_Eingaben'!$C$8))</f>
        <v/>
      </c>
    </row>
    <row r="2180" spans="1:10" x14ac:dyDescent="0.25">
      <c r="A2180" t="str">
        <f>IF('01_Rohdaten'!A2180="","",ROW()-1)</f>
        <v/>
      </c>
      <c r="B2180" s="17" t="str">
        <f>IF('01_Rohdaten'!A2180="","",'01_Rohdaten'!A2180)</f>
        <v/>
      </c>
      <c r="C2180" s="17" t="str">
        <f>IF(B2180="","",INDEX('01_Rohdaten'!B2180:D2180,'02_Eingaben'!$C$13))</f>
        <v/>
      </c>
      <c r="D2180" s="17" t="str">
        <f>IF(C2180="","",C2180*'02_Eingaben'!$C$15)</f>
        <v/>
      </c>
      <c r="E2180" s="17" t="str">
        <f>IF(D2180="","",D2180*'02_Eingaben'!$C$8)</f>
        <v/>
      </c>
      <c r="F2180" s="17" t="str">
        <f>IF(E2180="","",AVERAGE(INDEX($E$2:$E$3001,MAX(1,ROW()-1-'02_Eingaben'!$C$17)):INDEX($E$2:$E$3001,MIN('02_Eingaben'!$C$21,ROW()-1+'02_Eingaben'!$C$17))))</f>
        <v/>
      </c>
      <c r="G2180" s="17" t="str">
        <f>IF(F2180="","",F2180-'02_Eingaben'!$C$10)</f>
        <v/>
      </c>
      <c r="H2180" t="str">
        <f>IF(F2180="","",IF(F2180&lt;'02_Eingaben'!$C$18*'02_Eingaben'!$C$10,1,0))</f>
        <v/>
      </c>
      <c r="I2180" s="17" t="str">
        <f t="shared" si="34"/>
        <v/>
      </c>
      <c r="J2180" s="17" t="str">
        <f>IF(B2180="","",IF(B2179&lt;'02_Eingaben'!$C$36,0,J2179+I2179/'02_Eingaben'!$C$8))</f>
        <v/>
      </c>
    </row>
    <row r="2181" spans="1:10" x14ac:dyDescent="0.25">
      <c r="A2181" t="str">
        <f>IF('01_Rohdaten'!A2181="","",ROW()-1)</f>
        <v/>
      </c>
      <c r="B2181" s="17" t="str">
        <f>IF('01_Rohdaten'!A2181="","",'01_Rohdaten'!A2181)</f>
        <v/>
      </c>
      <c r="C2181" s="17" t="str">
        <f>IF(B2181="","",INDEX('01_Rohdaten'!B2181:D2181,'02_Eingaben'!$C$13))</f>
        <v/>
      </c>
      <c r="D2181" s="17" t="str">
        <f>IF(C2181="","",C2181*'02_Eingaben'!$C$15)</f>
        <v/>
      </c>
      <c r="E2181" s="17" t="str">
        <f>IF(D2181="","",D2181*'02_Eingaben'!$C$8)</f>
        <v/>
      </c>
      <c r="F2181" s="17" t="str">
        <f>IF(E2181="","",AVERAGE(INDEX($E$2:$E$3001,MAX(1,ROW()-1-'02_Eingaben'!$C$17)):INDEX($E$2:$E$3001,MIN('02_Eingaben'!$C$21,ROW()-1+'02_Eingaben'!$C$17))))</f>
        <v/>
      </c>
      <c r="G2181" s="17" t="str">
        <f>IF(F2181="","",F2181-'02_Eingaben'!$C$10)</f>
        <v/>
      </c>
      <c r="H2181" t="str">
        <f>IF(F2181="","",IF(F2181&lt;'02_Eingaben'!$C$18*'02_Eingaben'!$C$10,1,0))</f>
        <v/>
      </c>
      <c r="I2181" s="17" t="str">
        <f t="shared" si="34"/>
        <v/>
      </c>
      <c r="J2181" s="17" t="str">
        <f>IF(B2181="","",IF(B2180&lt;'02_Eingaben'!$C$36,0,J2180+I2180/'02_Eingaben'!$C$8))</f>
        <v/>
      </c>
    </row>
    <row r="2182" spans="1:10" x14ac:dyDescent="0.25">
      <c r="A2182" t="str">
        <f>IF('01_Rohdaten'!A2182="","",ROW()-1)</f>
        <v/>
      </c>
      <c r="B2182" s="17" t="str">
        <f>IF('01_Rohdaten'!A2182="","",'01_Rohdaten'!A2182)</f>
        <v/>
      </c>
      <c r="C2182" s="17" t="str">
        <f>IF(B2182="","",INDEX('01_Rohdaten'!B2182:D2182,'02_Eingaben'!$C$13))</f>
        <v/>
      </c>
      <c r="D2182" s="17" t="str">
        <f>IF(C2182="","",C2182*'02_Eingaben'!$C$15)</f>
        <v/>
      </c>
      <c r="E2182" s="17" t="str">
        <f>IF(D2182="","",D2182*'02_Eingaben'!$C$8)</f>
        <v/>
      </c>
      <c r="F2182" s="17" t="str">
        <f>IF(E2182="","",AVERAGE(INDEX($E$2:$E$3001,MAX(1,ROW()-1-'02_Eingaben'!$C$17)):INDEX($E$2:$E$3001,MIN('02_Eingaben'!$C$21,ROW()-1+'02_Eingaben'!$C$17))))</f>
        <v/>
      </c>
      <c r="G2182" s="17" t="str">
        <f>IF(F2182="","",F2182-'02_Eingaben'!$C$10)</f>
        <v/>
      </c>
      <c r="H2182" t="str">
        <f>IF(F2182="","",IF(F2182&lt;'02_Eingaben'!$C$18*'02_Eingaben'!$C$10,1,0))</f>
        <v/>
      </c>
      <c r="I2182" s="17" t="str">
        <f t="shared" si="34"/>
        <v/>
      </c>
      <c r="J2182" s="17" t="str">
        <f>IF(B2182="","",IF(B2181&lt;'02_Eingaben'!$C$36,0,J2181+I2181/'02_Eingaben'!$C$8))</f>
        <v/>
      </c>
    </row>
    <row r="2183" spans="1:10" x14ac:dyDescent="0.25">
      <c r="A2183" t="str">
        <f>IF('01_Rohdaten'!A2183="","",ROW()-1)</f>
        <v/>
      </c>
      <c r="B2183" s="17" t="str">
        <f>IF('01_Rohdaten'!A2183="","",'01_Rohdaten'!A2183)</f>
        <v/>
      </c>
      <c r="C2183" s="17" t="str">
        <f>IF(B2183="","",INDEX('01_Rohdaten'!B2183:D2183,'02_Eingaben'!$C$13))</f>
        <v/>
      </c>
      <c r="D2183" s="17" t="str">
        <f>IF(C2183="","",C2183*'02_Eingaben'!$C$15)</f>
        <v/>
      </c>
      <c r="E2183" s="17" t="str">
        <f>IF(D2183="","",D2183*'02_Eingaben'!$C$8)</f>
        <v/>
      </c>
      <c r="F2183" s="17" t="str">
        <f>IF(E2183="","",AVERAGE(INDEX($E$2:$E$3001,MAX(1,ROW()-1-'02_Eingaben'!$C$17)):INDEX($E$2:$E$3001,MIN('02_Eingaben'!$C$21,ROW()-1+'02_Eingaben'!$C$17))))</f>
        <v/>
      </c>
      <c r="G2183" s="17" t="str">
        <f>IF(F2183="","",F2183-'02_Eingaben'!$C$10)</f>
        <v/>
      </c>
      <c r="H2183" t="str">
        <f>IF(F2183="","",IF(F2183&lt;'02_Eingaben'!$C$18*'02_Eingaben'!$C$10,1,0))</f>
        <v/>
      </c>
      <c r="I2183" s="17" t="str">
        <f t="shared" si="34"/>
        <v/>
      </c>
      <c r="J2183" s="17" t="str">
        <f>IF(B2183="","",IF(B2182&lt;'02_Eingaben'!$C$36,0,J2182+I2182/'02_Eingaben'!$C$8))</f>
        <v/>
      </c>
    </row>
    <row r="2184" spans="1:10" x14ac:dyDescent="0.25">
      <c r="A2184" t="str">
        <f>IF('01_Rohdaten'!A2184="","",ROW()-1)</f>
        <v/>
      </c>
      <c r="B2184" s="17" t="str">
        <f>IF('01_Rohdaten'!A2184="","",'01_Rohdaten'!A2184)</f>
        <v/>
      </c>
      <c r="C2184" s="17" t="str">
        <f>IF(B2184="","",INDEX('01_Rohdaten'!B2184:D2184,'02_Eingaben'!$C$13))</f>
        <v/>
      </c>
      <c r="D2184" s="17" t="str">
        <f>IF(C2184="","",C2184*'02_Eingaben'!$C$15)</f>
        <v/>
      </c>
      <c r="E2184" s="17" t="str">
        <f>IF(D2184="","",D2184*'02_Eingaben'!$C$8)</f>
        <v/>
      </c>
      <c r="F2184" s="17" t="str">
        <f>IF(E2184="","",AVERAGE(INDEX($E$2:$E$3001,MAX(1,ROW()-1-'02_Eingaben'!$C$17)):INDEX($E$2:$E$3001,MIN('02_Eingaben'!$C$21,ROW()-1+'02_Eingaben'!$C$17))))</f>
        <v/>
      </c>
      <c r="G2184" s="17" t="str">
        <f>IF(F2184="","",F2184-'02_Eingaben'!$C$10)</f>
        <v/>
      </c>
      <c r="H2184" t="str">
        <f>IF(F2184="","",IF(F2184&lt;'02_Eingaben'!$C$18*'02_Eingaben'!$C$10,1,0))</f>
        <v/>
      </c>
      <c r="I2184" s="17" t="str">
        <f t="shared" si="34"/>
        <v/>
      </c>
      <c r="J2184" s="17" t="str">
        <f>IF(B2184="","",IF(B2183&lt;'02_Eingaben'!$C$36,0,J2183+I2183/'02_Eingaben'!$C$8))</f>
        <v/>
      </c>
    </row>
    <row r="2185" spans="1:10" x14ac:dyDescent="0.25">
      <c r="A2185" t="str">
        <f>IF('01_Rohdaten'!A2185="","",ROW()-1)</f>
        <v/>
      </c>
      <c r="B2185" s="17" t="str">
        <f>IF('01_Rohdaten'!A2185="","",'01_Rohdaten'!A2185)</f>
        <v/>
      </c>
      <c r="C2185" s="17" t="str">
        <f>IF(B2185="","",INDEX('01_Rohdaten'!B2185:D2185,'02_Eingaben'!$C$13))</f>
        <v/>
      </c>
      <c r="D2185" s="17" t="str">
        <f>IF(C2185="","",C2185*'02_Eingaben'!$C$15)</f>
        <v/>
      </c>
      <c r="E2185" s="17" t="str">
        <f>IF(D2185="","",D2185*'02_Eingaben'!$C$8)</f>
        <v/>
      </c>
      <c r="F2185" s="17" t="str">
        <f>IF(E2185="","",AVERAGE(INDEX($E$2:$E$3001,MAX(1,ROW()-1-'02_Eingaben'!$C$17)):INDEX($E$2:$E$3001,MIN('02_Eingaben'!$C$21,ROW()-1+'02_Eingaben'!$C$17))))</f>
        <v/>
      </c>
      <c r="G2185" s="17" t="str">
        <f>IF(F2185="","",F2185-'02_Eingaben'!$C$10)</f>
        <v/>
      </c>
      <c r="H2185" t="str">
        <f>IF(F2185="","",IF(F2185&lt;'02_Eingaben'!$C$18*'02_Eingaben'!$C$10,1,0))</f>
        <v/>
      </c>
      <c r="I2185" s="17" t="str">
        <f t="shared" si="34"/>
        <v/>
      </c>
      <c r="J2185" s="17" t="str">
        <f>IF(B2185="","",IF(B2184&lt;'02_Eingaben'!$C$36,0,J2184+I2184/'02_Eingaben'!$C$8))</f>
        <v/>
      </c>
    </row>
    <row r="2186" spans="1:10" x14ac:dyDescent="0.25">
      <c r="A2186" t="str">
        <f>IF('01_Rohdaten'!A2186="","",ROW()-1)</f>
        <v/>
      </c>
      <c r="B2186" s="17" t="str">
        <f>IF('01_Rohdaten'!A2186="","",'01_Rohdaten'!A2186)</f>
        <v/>
      </c>
      <c r="C2186" s="17" t="str">
        <f>IF(B2186="","",INDEX('01_Rohdaten'!B2186:D2186,'02_Eingaben'!$C$13))</f>
        <v/>
      </c>
      <c r="D2186" s="17" t="str">
        <f>IF(C2186="","",C2186*'02_Eingaben'!$C$15)</f>
        <v/>
      </c>
      <c r="E2186" s="17" t="str">
        <f>IF(D2186="","",D2186*'02_Eingaben'!$C$8)</f>
        <v/>
      </c>
      <c r="F2186" s="17" t="str">
        <f>IF(E2186="","",AVERAGE(INDEX($E$2:$E$3001,MAX(1,ROW()-1-'02_Eingaben'!$C$17)):INDEX($E$2:$E$3001,MIN('02_Eingaben'!$C$21,ROW()-1+'02_Eingaben'!$C$17))))</f>
        <v/>
      </c>
      <c r="G2186" s="17" t="str">
        <f>IF(F2186="","",F2186-'02_Eingaben'!$C$10)</f>
        <v/>
      </c>
      <c r="H2186" t="str">
        <f>IF(F2186="","",IF(F2186&lt;'02_Eingaben'!$C$18*'02_Eingaben'!$C$10,1,0))</f>
        <v/>
      </c>
      <c r="I2186" s="17" t="str">
        <f t="shared" si="34"/>
        <v/>
      </c>
      <c r="J2186" s="17" t="str">
        <f>IF(B2186="","",IF(B2185&lt;'02_Eingaben'!$C$36,0,J2185+I2185/'02_Eingaben'!$C$8))</f>
        <v/>
      </c>
    </row>
    <row r="2187" spans="1:10" x14ac:dyDescent="0.25">
      <c r="A2187" t="str">
        <f>IF('01_Rohdaten'!A2187="","",ROW()-1)</f>
        <v/>
      </c>
      <c r="B2187" s="17" t="str">
        <f>IF('01_Rohdaten'!A2187="","",'01_Rohdaten'!A2187)</f>
        <v/>
      </c>
      <c r="C2187" s="17" t="str">
        <f>IF(B2187="","",INDEX('01_Rohdaten'!B2187:D2187,'02_Eingaben'!$C$13))</f>
        <v/>
      </c>
      <c r="D2187" s="17" t="str">
        <f>IF(C2187="","",C2187*'02_Eingaben'!$C$15)</f>
        <v/>
      </c>
      <c r="E2187" s="17" t="str">
        <f>IF(D2187="","",D2187*'02_Eingaben'!$C$8)</f>
        <v/>
      </c>
      <c r="F2187" s="17" t="str">
        <f>IF(E2187="","",AVERAGE(INDEX($E$2:$E$3001,MAX(1,ROW()-1-'02_Eingaben'!$C$17)):INDEX($E$2:$E$3001,MIN('02_Eingaben'!$C$21,ROW()-1+'02_Eingaben'!$C$17))))</f>
        <v/>
      </c>
      <c r="G2187" s="17" t="str">
        <f>IF(F2187="","",F2187-'02_Eingaben'!$C$10)</f>
        <v/>
      </c>
      <c r="H2187" t="str">
        <f>IF(F2187="","",IF(F2187&lt;'02_Eingaben'!$C$18*'02_Eingaben'!$C$10,1,0))</f>
        <v/>
      </c>
      <c r="I2187" s="17" t="str">
        <f t="shared" si="34"/>
        <v/>
      </c>
      <c r="J2187" s="17" t="str">
        <f>IF(B2187="","",IF(B2186&lt;'02_Eingaben'!$C$36,0,J2186+I2186/'02_Eingaben'!$C$8))</f>
        <v/>
      </c>
    </row>
    <row r="2188" spans="1:10" x14ac:dyDescent="0.25">
      <c r="A2188" t="str">
        <f>IF('01_Rohdaten'!A2188="","",ROW()-1)</f>
        <v/>
      </c>
      <c r="B2188" s="17" t="str">
        <f>IF('01_Rohdaten'!A2188="","",'01_Rohdaten'!A2188)</f>
        <v/>
      </c>
      <c r="C2188" s="17" t="str">
        <f>IF(B2188="","",INDEX('01_Rohdaten'!B2188:D2188,'02_Eingaben'!$C$13))</f>
        <v/>
      </c>
      <c r="D2188" s="17" t="str">
        <f>IF(C2188="","",C2188*'02_Eingaben'!$C$15)</f>
        <v/>
      </c>
      <c r="E2188" s="17" t="str">
        <f>IF(D2188="","",D2188*'02_Eingaben'!$C$8)</f>
        <v/>
      </c>
      <c r="F2188" s="17" t="str">
        <f>IF(E2188="","",AVERAGE(INDEX($E$2:$E$3001,MAX(1,ROW()-1-'02_Eingaben'!$C$17)):INDEX($E$2:$E$3001,MIN('02_Eingaben'!$C$21,ROW()-1+'02_Eingaben'!$C$17))))</f>
        <v/>
      </c>
      <c r="G2188" s="17" t="str">
        <f>IF(F2188="","",F2188-'02_Eingaben'!$C$10)</f>
        <v/>
      </c>
      <c r="H2188" t="str">
        <f>IF(F2188="","",IF(F2188&lt;'02_Eingaben'!$C$18*'02_Eingaben'!$C$10,1,0))</f>
        <v/>
      </c>
      <c r="I2188" s="17" t="str">
        <f t="shared" si="34"/>
        <v/>
      </c>
      <c r="J2188" s="17" t="str">
        <f>IF(B2188="","",IF(B2187&lt;'02_Eingaben'!$C$36,0,J2187+I2187/'02_Eingaben'!$C$8))</f>
        <v/>
      </c>
    </row>
    <row r="2189" spans="1:10" x14ac:dyDescent="0.25">
      <c r="A2189" t="str">
        <f>IF('01_Rohdaten'!A2189="","",ROW()-1)</f>
        <v/>
      </c>
      <c r="B2189" s="17" t="str">
        <f>IF('01_Rohdaten'!A2189="","",'01_Rohdaten'!A2189)</f>
        <v/>
      </c>
      <c r="C2189" s="17" t="str">
        <f>IF(B2189="","",INDEX('01_Rohdaten'!B2189:D2189,'02_Eingaben'!$C$13))</f>
        <v/>
      </c>
      <c r="D2189" s="17" t="str">
        <f>IF(C2189="","",C2189*'02_Eingaben'!$C$15)</f>
        <v/>
      </c>
      <c r="E2189" s="17" t="str">
        <f>IF(D2189="","",D2189*'02_Eingaben'!$C$8)</f>
        <v/>
      </c>
      <c r="F2189" s="17" t="str">
        <f>IF(E2189="","",AVERAGE(INDEX($E$2:$E$3001,MAX(1,ROW()-1-'02_Eingaben'!$C$17)):INDEX($E$2:$E$3001,MIN('02_Eingaben'!$C$21,ROW()-1+'02_Eingaben'!$C$17))))</f>
        <v/>
      </c>
      <c r="G2189" s="17" t="str">
        <f>IF(F2189="","",F2189-'02_Eingaben'!$C$10)</f>
        <v/>
      </c>
      <c r="H2189" t="str">
        <f>IF(F2189="","",IF(F2189&lt;'02_Eingaben'!$C$18*'02_Eingaben'!$C$10,1,0))</f>
        <v/>
      </c>
      <c r="I2189" s="17" t="str">
        <f t="shared" si="34"/>
        <v/>
      </c>
      <c r="J2189" s="17" t="str">
        <f>IF(B2189="","",IF(B2188&lt;'02_Eingaben'!$C$36,0,J2188+I2188/'02_Eingaben'!$C$8))</f>
        <v/>
      </c>
    </row>
    <row r="2190" spans="1:10" x14ac:dyDescent="0.25">
      <c r="A2190" t="str">
        <f>IF('01_Rohdaten'!A2190="","",ROW()-1)</f>
        <v/>
      </c>
      <c r="B2190" s="17" t="str">
        <f>IF('01_Rohdaten'!A2190="","",'01_Rohdaten'!A2190)</f>
        <v/>
      </c>
      <c r="C2190" s="17" t="str">
        <f>IF(B2190="","",INDEX('01_Rohdaten'!B2190:D2190,'02_Eingaben'!$C$13))</f>
        <v/>
      </c>
      <c r="D2190" s="17" t="str">
        <f>IF(C2190="","",C2190*'02_Eingaben'!$C$15)</f>
        <v/>
      </c>
      <c r="E2190" s="17" t="str">
        <f>IF(D2190="","",D2190*'02_Eingaben'!$C$8)</f>
        <v/>
      </c>
      <c r="F2190" s="17" t="str">
        <f>IF(E2190="","",AVERAGE(INDEX($E$2:$E$3001,MAX(1,ROW()-1-'02_Eingaben'!$C$17)):INDEX($E$2:$E$3001,MIN('02_Eingaben'!$C$21,ROW()-1+'02_Eingaben'!$C$17))))</f>
        <v/>
      </c>
      <c r="G2190" s="17" t="str">
        <f>IF(F2190="","",F2190-'02_Eingaben'!$C$10)</f>
        <v/>
      </c>
      <c r="H2190" t="str">
        <f>IF(F2190="","",IF(F2190&lt;'02_Eingaben'!$C$18*'02_Eingaben'!$C$10,1,0))</f>
        <v/>
      </c>
      <c r="I2190" s="17" t="str">
        <f t="shared" si="34"/>
        <v/>
      </c>
      <c r="J2190" s="17" t="str">
        <f>IF(B2190="","",IF(B2189&lt;'02_Eingaben'!$C$36,0,J2189+I2189/'02_Eingaben'!$C$8))</f>
        <v/>
      </c>
    </row>
    <row r="2191" spans="1:10" x14ac:dyDescent="0.25">
      <c r="A2191" t="str">
        <f>IF('01_Rohdaten'!A2191="","",ROW()-1)</f>
        <v/>
      </c>
      <c r="B2191" s="17" t="str">
        <f>IF('01_Rohdaten'!A2191="","",'01_Rohdaten'!A2191)</f>
        <v/>
      </c>
      <c r="C2191" s="17" t="str">
        <f>IF(B2191="","",INDEX('01_Rohdaten'!B2191:D2191,'02_Eingaben'!$C$13))</f>
        <v/>
      </c>
      <c r="D2191" s="17" t="str">
        <f>IF(C2191="","",C2191*'02_Eingaben'!$C$15)</f>
        <v/>
      </c>
      <c r="E2191" s="17" t="str">
        <f>IF(D2191="","",D2191*'02_Eingaben'!$C$8)</f>
        <v/>
      </c>
      <c r="F2191" s="17" t="str">
        <f>IF(E2191="","",AVERAGE(INDEX($E$2:$E$3001,MAX(1,ROW()-1-'02_Eingaben'!$C$17)):INDEX($E$2:$E$3001,MIN('02_Eingaben'!$C$21,ROW()-1+'02_Eingaben'!$C$17))))</f>
        <v/>
      </c>
      <c r="G2191" s="17" t="str">
        <f>IF(F2191="","",F2191-'02_Eingaben'!$C$10)</f>
        <v/>
      </c>
      <c r="H2191" t="str">
        <f>IF(F2191="","",IF(F2191&lt;'02_Eingaben'!$C$18*'02_Eingaben'!$C$10,1,0))</f>
        <v/>
      </c>
      <c r="I2191" s="17" t="str">
        <f t="shared" si="34"/>
        <v/>
      </c>
      <c r="J2191" s="17" t="str">
        <f>IF(B2191="","",IF(B2190&lt;'02_Eingaben'!$C$36,0,J2190+I2190/'02_Eingaben'!$C$8))</f>
        <v/>
      </c>
    </row>
    <row r="2192" spans="1:10" x14ac:dyDescent="0.25">
      <c r="A2192" t="str">
        <f>IF('01_Rohdaten'!A2192="","",ROW()-1)</f>
        <v/>
      </c>
      <c r="B2192" s="17" t="str">
        <f>IF('01_Rohdaten'!A2192="","",'01_Rohdaten'!A2192)</f>
        <v/>
      </c>
      <c r="C2192" s="17" t="str">
        <f>IF(B2192="","",INDEX('01_Rohdaten'!B2192:D2192,'02_Eingaben'!$C$13))</f>
        <v/>
      </c>
      <c r="D2192" s="17" t="str">
        <f>IF(C2192="","",C2192*'02_Eingaben'!$C$15)</f>
        <v/>
      </c>
      <c r="E2192" s="17" t="str">
        <f>IF(D2192="","",D2192*'02_Eingaben'!$C$8)</f>
        <v/>
      </c>
      <c r="F2192" s="17" t="str">
        <f>IF(E2192="","",AVERAGE(INDEX($E$2:$E$3001,MAX(1,ROW()-1-'02_Eingaben'!$C$17)):INDEX($E$2:$E$3001,MIN('02_Eingaben'!$C$21,ROW()-1+'02_Eingaben'!$C$17))))</f>
        <v/>
      </c>
      <c r="G2192" s="17" t="str">
        <f>IF(F2192="","",F2192-'02_Eingaben'!$C$10)</f>
        <v/>
      </c>
      <c r="H2192" t="str">
        <f>IF(F2192="","",IF(F2192&lt;'02_Eingaben'!$C$18*'02_Eingaben'!$C$10,1,0))</f>
        <v/>
      </c>
      <c r="I2192" s="17" t="str">
        <f t="shared" si="34"/>
        <v/>
      </c>
      <c r="J2192" s="17" t="str">
        <f>IF(B2192="","",IF(B2191&lt;'02_Eingaben'!$C$36,0,J2191+I2191/'02_Eingaben'!$C$8))</f>
        <v/>
      </c>
    </row>
    <row r="2193" spans="1:10" x14ac:dyDescent="0.25">
      <c r="A2193" t="str">
        <f>IF('01_Rohdaten'!A2193="","",ROW()-1)</f>
        <v/>
      </c>
      <c r="B2193" s="17" t="str">
        <f>IF('01_Rohdaten'!A2193="","",'01_Rohdaten'!A2193)</f>
        <v/>
      </c>
      <c r="C2193" s="17" t="str">
        <f>IF(B2193="","",INDEX('01_Rohdaten'!B2193:D2193,'02_Eingaben'!$C$13))</f>
        <v/>
      </c>
      <c r="D2193" s="17" t="str">
        <f>IF(C2193="","",C2193*'02_Eingaben'!$C$15)</f>
        <v/>
      </c>
      <c r="E2193" s="17" t="str">
        <f>IF(D2193="","",D2193*'02_Eingaben'!$C$8)</f>
        <v/>
      </c>
      <c r="F2193" s="17" t="str">
        <f>IF(E2193="","",AVERAGE(INDEX($E$2:$E$3001,MAX(1,ROW()-1-'02_Eingaben'!$C$17)):INDEX($E$2:$E$3001,MIN('02_Eingaben'!$C$21,ROW()-1+'02_Eingaben'!$C$17))))</f>
        <v/>
      </c>
      <c r="G2193" s="17" t="str">
        <f>IF(F2193="","",F2193-'02_Eingaben'!$C$10)</f>
        <v/>
      </c>
      <c r="H2193" t="str">
        <f>IF(F2193="","",IF(F2193&lt;'02_Eingaben'!$C$18*'02_Eingaben'!$C$10,1,0))</f>
        <v/>
      </c>
      <c r="I2193" s="17" t="str">
        <f t="shared" si="34"/>
        <v/>
      </c>
      <c r="J2193" s="17" t="str">
        <f>IF(B2193="","",IF(B2192&lt;'02_Eingaben'!$C$36,0,J2192+I2192/'02_Eingaben'!$C$8))</f>
        <v/>
      </c>
    </row>
    <row r="2194" spans="1:10" x14ac:dyDescent="0.25">
      <c r="A2194" t="str">
        <f>IF('01_Rohdaten'!A2194="","",ROW()-1)</f>
        <v/>
      </c>
      <c r="B2194" s="17" t="str">
        <f>IF('01_Rohdaten'!A2194="","",'01_Rohdaten'!A2194)</f>
        <v/>
      </c>
      <c r="C2194" s="17" t="str">
        <f>IF(B2194="","",INDEX('01_Rohdaten'!B2194:D2194,'02_Eingaben'!$C$13))</f>
        <v/>
      </c>
      <c r="D2194" s="17" t="str">
        <f>IF(C2194="","",C2194*'02_Eingaben'!$C$15)</f>
        <v/>
      </c>
      <c r="E2194" s="17" t="str">
        <f>IF(D2194="","",D2194*'02_Eingaben'!$C$8)</f>
        <v/>
      </c>
      <c r="F2194" s="17" t="str">
        <f>IF(E2194="","",AVERAGE(INDEX($E$2:$E$3001,MAX(1,ROW()-1-'02_Eingaben'!$C$17)):INDEX($E$2:$E$3001,MIN('02_Eingaben'!$C$21,ROW()-1+'02_Eingaben'!$C$17))))</f>
        <v/>
      </c>
      <c r="G2194" s="17" t="str">
        <f>IF(F2194="","",F2194-'02_Eingaben'!$C$10)</f>
        <v/>
      </c>
      <c r="H2194" t="str">
        <f>IF(F2194="","",IF(F2194&lt;'02_Eingaben'!$C$18*'02_Eingaben'!$C$10,1,0))</f>
        <v/>
      </c>
      <c r="I2194" s="17" t="str">
        <f t="shared" si="34"/>
        <v/>
      </c>
      <c r="J2194" s="17" t="str">
        <f>IF(B2194="","",IF(B2193&lt;'02_Eingaben'!$C$36,0,J2193+I2193/'02_Eingaben'!$C$8))</f>
        <v/>
      </c>
    </row>
    <row r="2195" spans="1:10" x14ac:dyDescent="0.25">
      <c r="A2195" t="str">
        <f>IF('01_Rohdaten'!A2195="","",ROW()-1)</f>
        <v/>
      </c>
      <c r="B2195" s="17" t="str">
        <f>IF('01_Rohdaten'!A2195="","",'01_Rohdaten'!A2195)</f>
        <v/>
      </c>
      <c r="C2195" s="17" t="str">
        <f>IF(B2195="","",INDEX('01_Rohdaten'!B2195:D2195,'02_Eingaben'!$C$13))</f>
        <v/>
      </c>
      <c r="D2195" s="17" t="str">
        <f>IF(C2195="","",C2195*'02_Eingaben'!$C$15)</f>
        <v/>
      </c>
      <c r="E2195" s="17" t="str">
        <f>IF(D2195="","",D2195*'02_Eingaben'!$C$8)</f>
        <v/>
      </c>
      <c r="F2195" s="17" t="str">
        <f>IF(E2195="","",AVERAGE(INDEX($E$2:$E$3001,MAX(1,ROW()-1-'02_Eingaben'!$C$17)):INDEX($E$2:$E$3001,MIN('02_Eingaben'!$C$21,ROW()-1+'02_Eingaben'!$C$17))))</f>
        <v/>
      </c>
      <c r="G2195" s="17" t="str">
        <f>IF(F2195="","",F2195-'02_Eingaben'!$C$10)</f>
        <v/>
      </c>
      <c r="H2195" t="str">
        <f>IF(F2195="","",IF(F2195&lt;'02_Eingaben'!$C$18*'02_Eingaben'!$C$10,1,0))</f>
        <v/>
      </c>
      <c r="I2195" s="17" t="str">
        <f t="shared" si="34"/>
        <v/>
      </c>
      <c r="J2195" s="17" t="str">
        <f>IF(B2195="","",IF(B2194&lt;'02_Eingaben'!$C$36,0,J2194+I2194/'02_Eingaben'!$C$8))</f>
        <v/>
      </c>
    </row>
    <row r="2196" spans="1:10" x14ac:dyDescent="0.25">
      <c r="A2196" t="str">
        <f>IF('01_Rohdaten'!A2196="","",ROW()-1)</f>
        <v/>
      </c>
      <c r="B2196" s="17" t="str">
        <f>IF('01_Rohdaten'!A2196="","",'01_Rohdaten'!A2196)</f>
        <v/>
      </c>
      <c r="C2196" s="17" t="str">
        <f>IF(B2196="","",INDEX('01_Rohdaten'!B2196:D2196,'02_Eingaben'!$C$13))</f>
        <v/>
      </c>
      <c r="D2196" s="17" t="str">
        <f>IF(C2196="","",C2196*'02_Eingaben'!$C$15)</f>
        <v/>
      </c>
      <c r="E2196" s="17" t="str">
        <f>IF(D2196="","",D2196*'02_Eingaben'!$C$8)</f>
        <v/>
      </c>
      <c r="F2196" s="17" t="str">
        <f>IF(E2196="","",AVERAGE(INDEX($E$2:$E$3001,MAX(1,ROW()-1-'02_Eingaben'!$C$17)):INDEX($E$2:$E$3001,MIN('02_Eingaben'!$C$21,ROW()-1+'02_Eingaben'!$C$17))))</f>
        <v/>
      </c>
      <c r="G2196" s="17" t="str">
        <f>IF(F2196="","",F2196-'02_Eingaben'!$C$10)</f>
        <v/>
      </c>
      <c r="H2196" t="str">
        <f>IF(F2196="","",IF(F2196&lt;'02_Eingaben'!$C$18*'02_Eingaben'!$C$10,1,0))</f>
        <v/>
      </c>
      <c r="I2196" s="17" t="str">
        <f t="shared" si="34"/>
        <v/>
      </c>
      <c r="J2196" s="17" t="str">
        <f>IF(B2196="","",IF(B2195&lt;'02_Eingaben'!$C$36,0,J2195+I2195/'02_Eingaben'!$C$8))</f>
        <v/>
      </c>
    </row>
    <row r="2197" spans="1:10" x14ac:dyDescent="0.25">
      <c r="A2197" t="str">
        <f>IF('01_Rohdaten'!A2197="","",ROW()-1)</f>
        <v/>
      </c>
      <c r="B2197" s="17" t="str">
        <f>IF('01_Rohdaten'!A2197="","",'01_Rohdaten'!A2197)</f>
        <v/>
      </c>
      <c r="C2197" s="17" t="str">
        <f>IF(B2197="","",INDEX('01_Rohdaten'!B2197:D2197,'02_Eingaben'!$C$13))</f>
        <v/>
      </c>
      <c r="D2197" s="17" t="str">
        <f>IF(C2197="","",C2197*'02_Eingaben'!$C$15)</f>
        <v/>
      </c>
      <c r="E2197" s="17" t="str">
        <f>IF(D2197="","",D2197*'02_Eingaben'!$C$8)</f>
        <v/>
      </c>
      <c r="F2197" s="17" t="str">
        <f>IF(E2197="","",AVERAGE(INDEX($E$2:$E$3001,MAX(1,ROW()-1-'02_Eingaben'!$C$17)):INDEX($E$2:$E$3001,MIN('02_Eingaben'!$C$21,ROW()-1+'02_Eingaben'!$C$17))))</f>
        <v/>
      </c>
      <c r="G2197" s="17" t="str">
        <f>IF(F2197="","",F2197-'02_Eingaben'!$C$10)</f>
        <v/>
      </c>
      <c r="H2197" t="str">
        <f>IF(F2197="","",IF(F2197&lt;'02_Eingaben'!$C$18*'02_Eingaben'!$C$10,1,0))</f>
        <v/>
      </c>
      <c r="I2197" s="17" t="str">
        <f t="shared" si="34"/>
        <v/>
      </c>
      <c r="J2197" s="17" t="str">
        <f>IF(B2197="","",IF(B2196&lt;'02_Eingaben'!$C$36,0,J2196+I2196/'02_Eingaben'!$C$8))</f>
        <v/>
      </c>
    </row>
    <row r="2198" spans="1:10" x14ac:dyDescent="0.25">
      <c r="A2198" t="str">
        <f>IF('01_Rohdaten'!A2198="","",ROW()-1)</f>
        <v/>
      </c>
      <c r="B2198" s="17" t="str">
        <f>IF('01_Rohdaten'!A2198="","",'01_Rohdaten'!A2198)</f>
        <v/>
      </c>
      <c r="C2198" s="17" t="str">
        <f>IF(B2198="","",INDEX('01_Rohdaten'!B2198:D2198,'02_Eingaben'!$C$13))</f>
        <v/>
      </c>
      <c r="D2198" s="17" t="str">
        <f>IF(C2198="","",C2198*'02_Eingaben'!$C$15)</f>
        <v/>
      </c>
      <c r="E2198" s="17" t="str">
        <f>IF(D2198="","",D2198*'02_Eingaben'!$C$8)</f>
        <v/>
      </c>
      <c r="F2198" s="17" t="str">
        <f>IF(E2198="","",AVERAGE(INDEX($E$2:$E$3001,MAX(1,ROW()-1-'02_Eingaben'!$C$17)):INDEX($E$2:$E$3001,MIN('02_Eingaben'!$C$21,ROW()-1+'02_Eingaben'!$C$17))))</f>
        <v/>
      </c>
      <c r="G2198" s="17" t="str">
        <f>IF(F2198="","",F2198-'02_Eingaben'!$C$10)</f>
        <v/>
      </c>
      <c r="H2198" t="str">
        <f>IF(F2198="","",IF(F2198&lt;'02_Eingaben'!$C$18*'02_Eingaben'!$C$10,1,0))</f>
        <v/>
      </c>
      <c r="I2198" s="17" t="str">
        <f t="shared" si="34"/>
        <v/>
      </c>
      <c r="J2198" s="17" t="str">
        <f>IF(B2198="","",IF(B2197&lt;'02_Eingaben'!$C$36,0,J2197+I2197/'02_Eingaben'!$C$8))</f>
        <v/>
      </c>
    </row>
    <row r="2199" spans="1:10" x14ac:dyDescent="0.25">
      <c r="A2199" t="str">
        <f>IF('01_Rohdaten'!A2199="","",ROW()-1)</f>
        <v/>
      </c>
      <c r="B2199" s="17" t="str">
        <f>IF('01_Rohdaten'!A2199="","",'01_Rohdaten'!A2199)</f>
        <v/>
      </c>
      <c r="C2199" s="17" t="str">
        <f>IF(B2199="","",INDEX('01_Rohdaten'!B2199:D2199,'02_Eingaben'!$C$13))</f>
        <v/>
      </c>
      <c r="D2199" s="17" t="str">
        <f>IF(C2199="","",C2199*'02_Eingaben'!$C$15)</f>
        <v/>
      </c>
      <c r="E2199" s="17" t="str">
        <f>IF(D2199="","",D2199*'02_Eingaben'!$C$8)</f>
        <v/>
      </c>
      <c r="F2199" s="17" t="str">
        <f>IF(E2199="","",AVERAGE(INDEX($E$2:$E$3001,MAX(1,ROW()-1-'02_Eingaben'!$C$17)):INDEX($E$2:$E$3001,MIN('02_Eingaben'!$C$21,ROW()-1+'02_Eingaben'!$C$17))))</f>
        <v/>
      </c>
      <c r="G2199" s="17" t="str">
        <f>IF(F2199="","",F2199-'02_Eingaben'!$C$10)</f>
        <v/>
      </c>
      <c r="H2199" t="str">
        <f>IF(F2199="","",IF(F2199&lt;'02_Eingaben'!$C$18*'02_Eingaben'!$C$10,1,0))</f>
        <v/>
      </c>
      <c r="I2199" s="17" t="str">
        <f t="shared" si="34"/>
        <v/>
      </c>
      <c r="J2199" s="17" t="str">
        <f>IF(B2199="","",IF(B2198&lt;'02_Eingaben'!$C$36,0,J2198+I2198/'02_Eingaben'!$C$8))</f>
        <v/>
      </c>
    </row>
    <row r="2200" spans="1:10" x14ac:dyDescent="0.25">
      <c r="A2200" t="str">
        <f>IF('01_Rohdaten'!A2200="","",ROW()-1)</f>
        <v/>
      </c>
      <c r="B2200" s="17" t="str">
        <f>IF('01_Rohdaten'!A2200="","",'01_Rohdaten'!A2200)</f>
        <v/>
      </c>
      <c r="C2200" s="17" t="str">
        <f>IF(B2200="","",INDEX('01_Rohdaten'!B2200:D2200,'02_Eingaben'!$C$13))</f>
        <v/>
      </c>
      <c r="D2200" s="17" t="str">
        <f>IF(C2200="","",C2200*'02_Eingaben'!$C$15)</f>
        <v/>
      </c>
      <c r="E2200" s="17" t="str">
        <f>IF(D2200="","",D2200*'02_Eingaben'!$C$8)</f>
        <v/>
      </c>
      <c r="F2200" s="17" t="str">
        <f>IF(E2200="","",AVERAGE(INDEX($E$2:$E$3001,MAX(1,ROW()-1-'02_Eingaben'!$C$17)):INDEX($E$2:$E$3001,MIN('02_Eingaben'!$C$21,ROW()-1+'02_Eingaben'!$C$17))))</f>
        <v/>
      </c>
      <c r="G2200" s="17" t="str">
        <f>IF(F2200="","",F2200-'02_Eingaben'!$C$10)</f>
        <v/>
      </c>
      <c r="H2200" t="str">
        <f>IF(F2200="","",IF(F2200&lt;'02_Eingaben'!$C$18*'02_Eingaben'!$C$10,1,0))</f>
        <v/>
      </c>
      <c r="I2200" s="17" t="str">
        <f t="shared" si="34"/>
        <v/>
      </c>
      <c r="J2200" s="17" t="str">
        <f>IF(B2200="","",IF(B2199&lt;'02_Eingaben'!$C$36,0,J2199+I2199/'02_Eingaben'!$C$8))</f>
        <v/>
      </c>
    </row>
    <row r="2201" spans="1:10" x14ac:dyDescent="0.25">
      <c r="A2201" t="str">
        <f>IF('01_Rohdaten'!A2201="","",ROW()-1)</f>
        <v/>
      </c>
      <c r="B2201" s="17" t="str">
        <f>IF('01_Rohdaten'!A2201="","",'01_Rohdaten'!A2201)</f>
        <v/>
      </c>
      <c r="C2201" s="17" t="str">
        <f>IF(B2201="","",INDEX('01_Rohdaten'!B2201:D2201,'02_Eingaben'!$C$13))</f>
        <v/>
      </c>
      <c r="D2201" s="17" t="str">
        <f>IF(C2201="","",C2201*'02_Eingaben'!$C$15)</f>
        <v/>
      </c>
      <c r="E2201" s="17" t="str">
        <f>IF(D2201="","",D2201*'02_Eingaben'!$C$8)</f>
        <v/>
      </c>
      <c r="F2201" s="17" t="str">
        <f>IF(E2201="","",AVERAGE(INDEX($E$2:$E$3001,MAX(1,ROW()-1-'02_Eingaben'!$C$17)):INDEX($E$2:$E$3001,MIN('02_Eingaben'!$C$21,ROW()-1+'02_Eingaben'!$C$17))))</f>
        <v/>
      </c>
      <c r="G2201" s="17" t="str">
        <f>IF(F2201="","",F2201-'02_Eingaben'!$C$10)</f>
        <v/>
      </c>
      <c r="H2201" t="str">
        <f>IF(F2201="","",IF(F2201&lt;'02_Eingaben'!$C$18*'02_Eingaben'!$C$10,1,0))</f>
        <v/>
      </c>
      <c r="I2201" s="17" t="str">
        <f t="shared" si="34"/>
        <v/>
      </c>
      <c r="J2201" s="17" t="str">
        <f>IF(B2201="","",IF(B2200&lt;'02_Eingaben'!$C$36,0,J2200+I2200/'02_Eingaben'!$C$8))</f>
        <v/>
      </c>
    </row>
    <row r="2202" spans="1:10" x14ac:dyDescent="0.25">
      <c r="A2202" t="str">
        <f>IF('01_Rohdaten'!A2202="","",ROW()-1)</f>
        <v/>
      </c>
      <c r="B2202" s="17" t="str">
        <f>IF('01_Rohdaten'!A2202="","",'01_Rohdaten'!A2202)</f>
        <v/>
      </c>
      <c r="C2202" s="17" t="str">
        <f>IF(B2202="","",INDEX('01_Rohdaten'!B2202:D2202,'02_Eingaben'!$C$13))</f>
        <v/>
      </c>
      <c r="D2202" s="17" t="str">
        <f>IF(C2202="","",C2202*'02_Eingaben'!$C$15)</f>
        <v/>
      </c>
      <c r="E2202" s="17" t="str">
        <f>IF(D2202="","",D2202*'02_Eingaben'!$C$8)</f>
        <v/>
      </c>
      <c r="F2202" s="17" t="str">
        <f>IF(E2202="","",AVERAGE(INDEX($E$2:$E$3001,MAX(1,ROW()-1-'02_Eingaben'!$C$17)):INDEX($E$2:$E$3001,MIN('02_Eingaben'!$C$21,ROW()-1+'02_Eingaben'!$C$17))))</f>
        <v/>
      </c>
      <c r="G2202" s="17" t="str">
        <f>IF(F2202="","",F2202-'02_Eingaben'!$C$10)</f>
        <v/>
      </c>
      <c r="H2202" t="str">
        <f>IF(F2202="","",IF(F2202&lt;'02_Eingaben'!$C$18*'02_Eingaben'!$C$10,1,0))</f>
        <v/>
      </c>
      <c r="I2202" s="17" t="str">
        <f t="shared" si="34"/>
        <v/>
      </c>
      <c r="J2202" s="17" t="str">
        <f>IF(B2202="","",IF(B2201&lt;'02_Eingaben'!$C$36,0,J2201+I2201/'02_Eingaben'!$C$8))</f>
        <v/>
      </c>
    </row>
    <row r="2203" spans="1:10" x14ac:dyDescent="0.25">
      <c r="A2203" t="str">
        <f>IF('01_Rohdaten'!A2203="","",ROW()-1)</f>
        <v/>
      </c>
      <c r="B2203" s="17" t="str">
        <f>IF('01_Rohdaten'!A2203="","",'01_Rohdaten'!A2203)</f>
        <v/>
      </c>
      <c r="C2203" s="17" t="str">
        <f>IF(B2203="","",INDEX('01_Rohdaten'!B2203:D2203,'02_Eingaben'!$C$13))</f>
        <v/>
      </c>
      <c r="D2203" s="17" t="str">
        <f>IF(C2203="","",C2203*'02_Eingaben'!$C$15)</f>
        <v/>
      </c>
      <c r="E2203" s="17" t="str">
        <f>IF(D2203="","",D2203*'02_Eingaben'!$C$8)</f>
        <v/>
      </c>
      <c r="F2203" s="17" t="str">
        <f>IF(E2203="","",AVERAGE(INDEX($E$2:$E$3001,MAX(1,ROW()-1-'02_Eingaben'!$C$17)):INDEX($E$2:$E$3001,MIN('02_Eingaben'!$C$21,ROW()-1+'02_Eingaben'!$C$17))))</f>
        <v/>
      </c>
      <c r="G2203" s="17" t="str">
        <f>IF(F2203="","",F2203-'02_Eingaben'!$C$10)</f>
        <v/>
      </c>
      <c r="H2203" t="str">
        <f>IF(F2203="","",IF(F2203&lt;'02_Eingaben'!$C$18*'02_Eingaben'!$C$10,1,0))</f>
        <v/>
      </c>
      <c r="I2203" s="17" t="str">
        <f t="shared" si="34"/>
        <v/>
      </c>
      <c r="J2203" s="17" t="str">
        <f>IF(B2203="","",IF(B2202&lt;'02_Eingaben'!$C$36,0,J2202+I2202/'02_Eingaben'!$C$8))</f>
        <v/>
      </c>
    </row>
    <row r="2204" spans="1:10" x14ac:dyDescent="0.25">
      <c r="A2204" t="str">
        <f>IF('01_Rohdaten'!A2204="","",ROW()-1)</f>
        <v/>
      </c>
      <c r="B2204" s="17" t="str">
        <f>IF('01_Rohdaten'!A2204="","",'01_Rohdaten'!A2204)</f>
        <v/>
      </c>
      <c r="C2204" s="17" t="str">
        <f>IF(B2204="","",INDEX('01_Rohdaten'!B2204:D2204,'02_Eingaben'!$C$13))</f>
        <v/>
      </c>
      <c r="D2204" s="17" t="str">
        <f>IF(C2204="","",C2204*'02_Eingaben'!$C$15)</f>
        <v/>
      </c>
      <c r="E2204" s="17" t="str">
        <f>IF(D2204="","",D2204*'02_Eingaben'!$C$8)</f>
        <v/>
      </c>
      <c r="F2204" s="17" t="str">
        <f>IF(E2204="","",AVERAGE(INDEX($E$2:$E$3001,MAX(1,ROW()-1-'02_Eingaben'!$C$17)):INDEX($E$2:$E$3001,MIN('02_Eingaben'!$C$21,ROW()-1+'02_Eingaben'!$C$17))))</f>
        <v/>
      </c>
      <c r="G2204" s="17" t="str">
        <f>IF(F2204="","",F2204-'02_Eingaben'!$C$10)</f>
        <v/>
      </c>
      <c r="H2204" t="str">
        <f>IF(F2204="","",IF(F2204&lt;'02_Eingaben'!$C$18*'02_Eingaben'!$C$10,1,0))</f>
        <v/>
      </c>
      <c r="I2204" s="17" t="str">
        <f t="shared" si="34"/>
        <v/>
      </c>
      <c r="J2204" s="17" t="str">
        <f>IF(B2204="","",IF(B2203&lt;'02_Eingaben'!$C$36,0,J2203+I2203/'02_Eingaben'!$C$8))</f>
        <v/>
      </c>
    </row>
    <row r="2205" spans="1:10" x14ac:dyDescent="0.25">
      <c r="A2205" t="str">
        <f>IF('01_Rohdaten'!A2205="","",ROW()-1)</f>
        <v/>
      </c>
      <c r="B2205" s="17" t="str">
        <f>IF('01_Rohdaten'!A2205="","",'01_Rohdaten'!A2205)</f>
        <v/>
      </c>
      <c r="C2205" s="17" t="str">
        <f>IF(B2205="","",INDEX('01_Rohdaten'!B2205:D2205,'02_Eingaben'!$C$13))</f>
        <v/>
      </c>
      <c r="D2205" s="17" t="str">
        <f>IF(C2205="","",C2205*'02_Eingaben'!$C$15)</f>
        <v/>
      </c>
      <c r="E2205" s="17" t="str">
        <f>IF(D2205="","",D2205*'02_Eingaben'!$C$8)</f>
        <v/>
      </c>
      <c r="F2205" s="17" t="str">
        <f>IF(E2205="","",AVERAGE(INDEX($E$2:$E$3001,MAX(1,ROW()-1-'02_Eingaben'!$C$17)):INDEX($E$2:$E$3001,MIN('02_Eingaben'!$C$21,ROW()-1+'02_Eingaben'!$C$17))))</f>
        <v/>
      </c>
      <c r="G2205" s="17" t="str">
        <f>IF(F2205="","",F2205-'02_Eingaben'!$C$10)</f>
        <v/>
      </c>
      <c r="H2205" t="str">
        <f>IF(F2205="","",IF(F2205&lt;'02_Eingaben'!$C$18*'02_Eingaben'!$C$10,1,0))</f>
        <v/>
      </c>
      <c r="I2205" s="17" t="str">
        <f t="shared" si="34"/>
        <v/>
      </c>
      <c r="J2205" s="17" t="str">
        <f>IF(B2205="","",IF(B2204&lt;'02_Eingaben'!$C$36,0,J2204+I2204/'02_Eingaben'!$C$8))</f>
        <v/>
      </c>
    </row>
    <row r="2206" spans="1:10" x14ac:dyDescent="0.25">
      <c r="A2206" t="str">
        <f>IF('01_Rohdaten'!A2206="","",ROW()-1)</f>
        <v/>
      </c>
      <c r="B2206" s="17" t="str">
        <f>IF('01_Rohdaten'!A2206="","",'01_Rohdaten'!A2206)</f>
        <v/>
      </c>
      <c r="C2206" s="17" t="str">
        <f>IF(B2206="","",INDEX('01_Rohdaten'!B2206:D2206,'02_Eingaben'!$C$13))</f>
        <v/>
      </c>
      <c r="D2206" s="17" t="str">
        <f>IF(C2206="","",C2206*'02_Eingaben'!$C$15)</f>
        <v/>
      </c>
      <c r="E2206" s="17" t="str">
        <f>IF(D2206="","",D2206*'02_Eingaben'!$C$8)</f>
        <v/>
      </c>
      <c r="F2206" s="17" t="str">
        <f>IF(E2206="","",AVERAGE(INDEX($E$2:$E$3001,MAX(1,ROW()-1-'02_Eingaben'!$C$17)):INDEX($E$2:$E$3001,MIN('02_Eingaben'!$C$21,ROW()-1+'02_Eingaben'!$C$17))))</f>
        <v/>
      </c>
      <c r="G2206" s="17" t="str">
        <f>IF(F2206="","",F2206-'02_Eingaben'!$C$10)</f>
        <v/>
      </c>
      <c r="H2206" t="str">
        <f>IF(F2206="","",IF(F2206&lt;'02_Eingaben'!$C$18*'02_Eingaben'!$C$10,1,0))</f>
        <v/>
      </c>
      <c r="I2206" s="17" t="str">
        <f t="shared" si="34"/>
        <v/>
      </c>
      <c r="J2206" s="17" t="str">
        <f>IF(B2206="","",IF(B2205&lt;'02_Eingaben'!$C$36,0,J2205+I2205/'02_Eingaben'!$C$8))</f>
        <v/>
      </c>
    </row>
    <row r="2207" spans="1:10" x14ac:dyDescent="0.25">
      <c r="A2207" t="str">
        <f>IF('01_Rohdaten'!A2207="","",ROW()-1)</f>
        <v/>
      </c>
      <c r="B2207" s="17" t="str">
        <f>IF('01_Rohdaten'!A2207="","",'01_Rohdaten'!A2207)</f>
        <v/>
      </c>
      <c r="C2207" s="17" t="str">
        <f>IF(B2207="","",INDEX('01_Rohdaten'!B2207:D2207,'02_Eingaben'!$C$13))</f>
        <v/>
      </c>
      <c r="D2207" s="17" t="str">
        <f>IF(C2207="","",C2207*'02_Eingaben'!$C$15)</f>
        <v/>
      </c>
      <c r="E2207" s="17" t="str">
        <f>IF(D2207="","",D2207*'02_Eingaben'!$C$8)</f>
        <v/>
      </c>
      <c r="F2207" s="17" t="str">
        <f>IF(E2207="","",AVERAGE(INDEX($E$2:$E$3001,MAX(1,ROW()-1-'02_Eingaben'!$C$17)):INDEX($E$2:$E$3001,MIN('02_Eingaben'!$C$21,ROW()-1+'02_Eingaben'!$C$17))))</f>
        <v/>
      </c>
      <c r="G2207" s="17" t="str">
        <f>IF(F2207="","",F2207-'02_Eingaben'!$C$10)</f>
        <v/>
      </c>
      <c r="H2207" t="str">
        <f>IF(F2207="","",IF(F2207&lt;'02_Eingaben'!$C$18*'02_Eingaben'!$C$10,1,0))</f>
        <v/>
      </c>
      <c r="I2207" s="17" t="str">
        <f t="shared" si="34"/>
        <v/>
      </c>
      <c r="J2207" s="17" t="str">
        <f>IF(B2207="","",IF(B2206&lt;'02_Eingaben'!$C$36,0,J2206+I2206/'02_Eingaben'!$C$8))</f>
        <v/>
      </c>
    </row>
    <row r="2208" spans="1:10" x14ac:dyDescent="0.25">
      <c r="A2208" t="str">
        <f>IF('01_Rohdaten'!A2208="","",ROW()-1)</f>
        <v/>
      </c>
      <c r="B2208" s="17" t="str">
        <f>IF('01_Rohdaten'!A2208="","",'01_Rohdaten'!A2208)</f>
        <v/>
      </c>
      <c r="C2208" s="17" t="str">
        <f>IF(B2208="","",INDEX('01_Rohdaten'!B2208:D2208,'02_Eingaben'!$C$13))</f>
        <v/>
      </c>
      <c r="D2208" s="17" t="str">
        <f>IF(C2208="","",C2208*'02_Eingaben'!$C$15)</f>
        <v/>
      </c>
      <c r="E2208" s="17" t="str">
        <f>IF(D2208="","",D2208*'02_Eingaben'!$C$8)</f>
        <v/>
      </c>
      <c r="F2208" s="17" t="str">
        <f>IF(E2208="","",AVERAGE(INDEX($E$2:$E$3001,MAX(1,ROW()-1-'02_Eingaben'!$C$17)):INDEX($E$2:$E$3001,MIN('02_Eingaben'!$C$21,ROW()-1+'02_Eingaben'!$C$17))))</f>
        <v/>
      </c>
      <c r="G2208" s="17" t="str">
        <f>IF(F2208="","",F2208-'02_Eingaben'!$C$10)</f>
        <v/>
      </c>
      <c r="H2208" t="str">
        <f>IF(F2208="","",IF(F2208&lt;'02_Eingaben'!$C$18*'02_Eingaben'!$C$10,1,0))</f>
        <v/>
      </c>
      <c r="I2208" s="17" t="str">
        <f t="shared" si="34"/>
        <v/>
      </c>
      <c r="J2208" s="17" t="str">
        <f>IF(B2208="","",IF(B2207&lt;'02_Eingaben'!$C$36,0,J2207+I2207/'02_Eingaben'!$C$8))</f>
        <v/>
      </c>
    </row>
    <row r="2209" spans="1:10" x14ac:dyDescent="0.25">
      <c r="A2209" t="str">
        <f>IF('01_Rohdaten'!A2209="","",ROW()-1)</f>
        <v/>
      </c>
      <c r="B2209" s="17" t="str">
        <f>IF('01_Rohdaten'!A2209="","",'01_Rohdaten'!A2209)</f>
        <v/>
      </c>
      <c r="C2209" s="17" t="str">
        <f>IF(B2209="","",INDEX('01_Rohdaten'!B2209:D2209,'02_Eingaben'!$C$13))</f>
        <v/>
      </c>
      <c r="D2209" s="17" t="str">
        <f>IF(C2209="","",C2209*'02_Eingaben'!$C$15)</f>
        <v/>
      </c>
      <c r="E2209" s="17" t="str">
        <f>IF(D2209="","",D2209*'02_Eingaben'!$C$8)</f>
        <v/>
      </c>
      <c r="F2209" s="17" t="str">
        <f>IF(E2209="","",AVERAGE(INDEX($E$2:$E$3001,MAX(1,ROW()-1-'02_Eingaben'!$C$17)):INDEX($E$2:$E$3001,MIN('02_Eingaben'!$C$21,ROW()-1+'02_Eingaben'!$C$17))))</f>
        <v/>
      </c>
      <c r="G2209" s="17" t="str">
        <f>IF(F2209="","",F2209-'02_Eingaben'!$C$10)</f>
        <v/>
      </c>
      <c r="H2209" t="str">
        <f>IF(F2209="","",IF(F2209&lt;'02_Eingaben'!$C$18*'02_Eingaben'!$C$10,1,0))</f>
        <v/>
      </c>
      <c r="I2209" s="17" t="str">
        <f t="shared" si="34"/>
        <v/>
      </c>
      <c r="J2209" s="17" t="str">
        <f>IF(B2209="","",IF(B2208&lt;'02_Eingaben'!$C$36,0,J2208+I2208/'02_Eingaben'!$C$8))</f>
        <v/>
      </c>
    </row>
    <row r="2210" spans="1:10" x14ac:dyDescent="0.25">
      <c r="A2210" t="str">
        <f>IF('01_Rohdaten'!A2210="","",ROW()-1)</f>
        <v/>
      </c>
      <c r="B2210" s="17" t="str">
        <f>IF('01_Rohdaten'!A2210="","",'01_Rohdaten'!A2210)</f>
        <v/>
      </c>
      <c r="C2210" s="17" t="str">
        <f>IF(B2210="","",INDEX('01_Rohdaten'!B2210:D2210,'02_Eingaben'!$C$13))</f>
        <v/>
      </c>
      <c r="D2210" s="17" t="str">
        <f>IF(C2210="","",C2210*'02_Eingaben'!$C$15)</f>
        <v/>
      </c>
      <c r="E2210" s="17" t="str">
        <f>IF(D2210="","",D2210*'02_Eingaben'!$C$8)</f>
        <v/>
      </c>
      <c r="F2210" s="17" t="str">
        <f>IF(E2210="","",AVERAGE(INDEX($E$2:$E$3001,MAX(1,ROW()-1-'02_Eingaben'!$C$17)):INDEX($E$2:$E$3001,MIN('02_Eingaben'!$C$21,ROW()-1+'02_Eingaben'!$C$17))))</f>
        <v/>
      </c>
      <c r="G2210" s="17" t="str">
        <f>IF(F2210="","",F2210-'02_Eingaben'!$C$10)</f>
        <v/>
      </c>
      <c r="H2210" t="str">
        <f>IF(F2210="","",IF(F2210&lt;'02_Eingaben'!$C$18*'02_Eingaben'!$C$10,1,0))</f>
        <v/>
      </c>
      <c r="I2210" s="17" t="str">
        <f t="shared" si="34"/>
        <v/>
      </c>
      <c r="J2210" s="17" t="str">
        <f>IF(B2210="","",IF(B2209&lt;'02_Eingaben'!$C$36,0,J2209+I2209/'02_Eingaben'!$C$8))</f>
        <v/>
      </c>
    </row>
    <row r="2211" spans="1:10" x14ac:dyDescent="0.25">
      <c r="A2211" t="str">
        <f>IF('01_Rohdaten'!A2211="","",ROW()-1)</f>
        <v/>
      </c>
      <c r="B2211" s="17" t="str">
        <f>IF('01_Rohdaten'!A2211="","",'01_Rohdaten'!A2211)</f>
        <v/>
      </c>
      <c r="C2211" s="17" t="str">
        <f>IF(B2211="","",INDEX('01_Rohdaten'!B2211:D2211,'02_Eingaben'!$C$13))</f>
        <v/>
      </c>
      <c r="D2211" s="17" t="str">
        <f>IF(C2211="","",C2211*'02_Eingaben'!$C$15)</f>
        <v/>
      </c>
      <c r="E2211" s="17" t="str">
        <f>IF(D2211="","",D2211*'02_Eingaben'!$C$8)</f>
        <v/>
      </c>
      <c r="F2211" s="17" t="str">
        <f>IF(E2211="","",AVERAGE(INDEX($E$2:$E$3001,MAX(1,ROW()-1-'02_Eingaben'!$C$17)):INDEX($E$2:$E$3001,MIN('02_Eingaben'!$C$21,ROW()-1+'02_Eingaben'!$C$17))))</f>
        <v/>
      </c>
      <c r="G2211" s="17" t="str">
        <f>IF(F2211="","",F2211-'02_Eingaben'!$C$10)</f>
        <v/>
      </c>
      <c r="H2211" t="str">
        <f>IF(F2211="","",IF(F2211&lt;'02_Eingaben'!$C$18*'02_Eingaben'!$C$10,1,0))</f>
        <v/>
      </c>
      <c r="I2211" s="17" t="str">
        <f t="shared" si="34"/>
        <v/>
      </c>
      <c r="J2211" s="17" t="str">
        <f>IF(B2211="","",IF(B2210&lt;'02_Eingaben'!$C$36,0,J2210+I2210/'02_Eingaben'!$C$8))</f>
        <v/>
      </c>
    </row>
    <row r="2212" spans="1:10" x14ac:dyDescent="0.25">
      <c r="A2212" t="str">
        <f>IF('01_Rohdaten'!A2212="","",ROW()-1)</f>
        <v/>
      </c>
      <c r="B2212" s="17" t="str">
        <f>IF('01_Rohdaten'!A2212="","",'01_Rohdaten'!A2212)</f>
        <v/>
      </c>
      <c r="C2212" s="17" t="str">
        <f>IF(B2212="","",INDEX('01_Rohdaten'!B2212:D2212,'02_Eingaben'!$C$13))</f>
        <v/>
      </c>
      <c r="D2212" s="17" t="str">
        <f>IF(C2212="","",C2212*'02_Eingaben'!$C$15)</f>
        <v/>
      </c>
      <c r="E2212" s="17" t="str">
        <f>IF(D2212="","",D2212*'02_Eingaben'!$C$8)</f>
        <v/>
      </c>
      <c r="F2212" s="17" t="str">
        <f>IF(E2212="","",AVERAGE(INDEX($E$2:$E$3001,MAX(1,ROW()-1-'02_Eingaben'!$C$17)):INDEX($E$2:$E$3001,MIN('02_Eingaben'!$C$21,ROW()-1+'02_Eingaben'!$C$17))))</f>
        <v/>
      </c>
      <c r="G2212" s="17" t="str">
        <f>IF(F2212="","",F2212-'02_Eingaben'!$C$10)</f>
        <v/>
      </c>
      <c r="H2212" t="str">
        <f>IF(F2212="","",IF(F2212&lt;'02_Eingaben'!$C$18*'02_Eingaben'!$C$10,1,0))</f>
        <v/>
      </c>
      <c r="I2212" s="17" t="str">
        <f t="shared" si="34"/>
        <v/>
      </c>
      <c r="J2212" s="17" t="str">
        <f>IF(B2212="","",IF(B2211&lt;'02_Eingaben'!$C$36,0,J2211+I2211/'02_Eingaben'!$C$8))</f>
        <v/>
      </c>
    </row>
    <row r="2213" spans="1:10" x14ac:dyDescent="0.25">
      <c r="A2213" t="str">
        <f>IF('01_Rohdaten'!A2213="","",ROW()-1)</f>
        <v/>
      </c>
      <c r="B2213" s="17" t="str">
        <f>IF('01_Rohdaten'!A2213="","",'01_Rohdaten'!A2213)</f>
        <v/>
      </c>
      <c r="C2213" s="17" t="str">
        <f>IF(B2213="","",INDEX('01_Rohdaten'!B2213:D2213,'02_Eingaben'!$C$13))</f>
        <v/>
      </c>
      <c r="D2213" s="17" t="str">
        <f>IF(C2213="","",C2213*'02_Eingaben'!$C$15)</f>
        <v/>
      </c>
      <c r="E2213" s="17" t="str">
        <f>IF(D2213="","",D2213*'02_Eingaben'!$C$8)</f>
        <v/>
      </c>
      <c r="F2213" s="17" t="str">
        <f>IF(E2213="","",AVERAGE(INDEX($E$2:$E$3001,MAX(1,ROW()-1-'02_Eingaben'!$C$17)):INDEX($E$2:$E$3001,MIN('02_Eingaben'!$C$21,ROW()-1+'02_Eingaben'!$C$17))))</f>
        <v/>
      </c>
      <c r="G2213" s="17" t="str">
        <f>IF(F2213="","",F2213-'02_Eingaben'!$C$10)</f>
        <v/>
      </c>
      <c r="H2213" t="str">
        <f>IF(F2213="","",IF(F2213&lt;'02_Eingaben'!$C$18*'02_Eingaben'!$C$10,1,0))</f>
        <v/>
      </c>
      <c r="I2213" s="17" t="str">
        <f t="shared" si="34"/>
        <v/>
      </c>
      <c r="J2213" s="17" t="str">
        <f>IF(B2213="","",IF(B2212&lt;'02_Eingaben'!$C$36,0,J2212+I2212/'02_Eingaben'!$C$8))</f>
        <v/>
      </c>
    </row>
    <row r="2214" spans="1:10" x14ac:dyDescent="0.25">
      <c r="A2214" t="str">
        <f>IF('01_Rohdaten'!A2214="","",ROW()-1)</f>
        <v/>
      </c>
      <c r="B2214" s="17" t="str">
        <f>IF('01_Rohdaten'!A2214="","",'01_Rohdaten'!A2214)</f>
        <v/>
      </c>
      <c r="C2214" s="17" t="str">
        <f>IF(B2214="","",INDEX('01_Rohdaten'!B2214:D2214,'02_Eingaben'!$C$13))</f>
        <v/>
      </c>
      <c r="D2214" s="17" t="str">
        <f>IF(C2214="","",C2214*'02_Eingaben'!$C$15)</f>
        <v/>
      </c>
      <c r="E2214" s="17" t="str">
        <f>IF(D2214="","",D2214*'02_Eingaben'!$C$8)</f>
        <v/>
      </c>
      <c r="F2214" s="17" t="str">
        <f>IF(E2214="","",AVERAGE(INDEX($E$2:$E$3001,MAX(1,ROW()-1-'02_Eingaben'!$C$17)):INDEX($E$2:$E$3001,MIN('02_Eingaben'!$C$21,ROW()-1+'02_Eingaben'!$C$17))))</f>
        <v/>
      </c>
      <c r="G2214" s="17" t="str">
        <f>IF(F2214="","",F2214-'02_Eingaben'!$C$10)</f>
        <v/>
      </c>
      <c r="H2214" t="str">
        <f>IF(F2214="","",IF(F2214&lt;'02_Eingaben'!$C$18*'02_Eingaben'!$C$10,1,0))</f>
        <v/>
      </c>
      <c r="I2214" s="17" t="str">
        <f t="shared" si="34"/>
        <v/>
      </c>
      <c r="J2214" s="17" t="str">
        <f>IF(B2214="","",IF(B2213&lt;'02_Eingaben'!$C$36,0,J2213+I2213/'02_Eingaben'!$C$8))</f>
        <v/>
      </c>
    </row>
    <row r="2215" spans="1:10" x14ac:dyDescent="0.25">
      <c r="A2215" t="str">
        <f>IF('01_Rohdaten'!A2215="","",ROW()-1)</f>
        <v/>
      </c>
      <c r="B2215" s="17" t="str">
        <f>IF('01_Rohdaten'!A2215="","",'01_Rohdaten'!A2215)</f>
        <v/>
      </c>
      <c r="C2215" s="17" t="str">
        <f>IF(B2215="","",INDEX('01_Rohdaten'!B2215:D2215,'02_Eingaben'!$C$13))</f>
        <v/>
      </c>
      <c r="D2215" s="17" t="str">
        <f>IF(C2215="","",C2215*'02_Eingaben'!$C$15)</f>
        <v/>
      </c>
      <c r="E2215" s="17" t="str">
        <f>IF(D2215="","",D2215*'02_Eingaben'!$C$8)</f>
        <v/>
      </c>
      <c r="F2215" s="17" t="str">
        <f>IF(E2215="","",AVERAGE(INDEX($E$2:$E$3001,MAX(1,ROW()-1-'02_Eingaben'!$C$17)):INDEX($E$2:$E$3001,MIN('02_Eingaben'!$C$21,ROW()-1+'02_Eingaben'!$C$17))))</f>
        <v/>
      </c>
      <c r="G2215" s="17" t="str">
        <f>IF(F2215="","",F2215-'02_Eingaben'!$C$10)</f>
        <v/>
      </c>
      <c r="H2215" t="str">
        <f>IF(F2215="","",IF(F2215&lt;'02_Eingaben'!$C$18*'02_Eingaben'!$C$10,1,0))</f>
        <v/>
      </c>
      <c r="I2215" s="17" t="str">
        <f t="shared" si="34"/>
        <v/>
      </c>
      <c r="J2215" s="17" t="str">
        <f>IF(B2215="","",IF(B2214&lt;'02_Eingaben'!$C$36,0,J2214+I2214/'02_Eingaben'!$C$8))</f>
        <v/>
      </c>
    </row>
    <row r="2216" spans="1:10" x14ac:dyDescent="0.25">
      <c r="A2216" t="str">
        <f>IF('01_Rohdaten'!A2216="","",ROW()-1)</f>
        <v/>
      </c>
      <c r="B2216" s="17" t="str">
        <f>IF('01_Rohdaten'!A2216="","",'01_Rohdaten'!A2216)</f>
        <v/>
      </c>
      <c r="C2216" s="17" t="str">
        <f>IF(B2216="","",INDEX('01_Rohdaten'!B2216:D2216,'02_Eingaben'!$C$13))</f>
        <v/>
      </c>
      <c r="D2216" s="17" t="str">
        <f>IF(C2216="","",C2216*'02_Eingaben'!$C$15)</f>
        <v/>
      </c>
      <c r="E2216" s="17" t="str">
        <f>IF(D2216="","",D2216*'02_Eingaben'!$C$8)</f>
        <v/>
      </c>
      <c r="F2216" s="17" t="str">
        <f>IF(E2216="","",AVERAGE(INDEX($E$2:$E$3001,MAX(1,ROW()-1-'02_Eingaben'!$C$17)):INDEX($E$2:$E$3001,MIN('02_Eingaben'!$C$21,ROW()-1+'02_Eingaben'!$C$17))))</f>
        <v/>
      </c>
      <c r="G2216" s="17" t="str">
        <f>IF(F2216="","",F2216-'02_Eingaben'!$C$10)</f>
        <v/>
      </c>
      <c r="H2216" t="str">
        <f>IF(F2216="","",IF(F2216&lt;'02_Eingaben'!$C$18*'02_Eingaben'!$C$10,1,0))</f>
        <v/>
      </c>
      <c r="I2216" s="17" t="str">
        <f t="shared" si="34"/>
        <v/>
      </c>
      <c r="J2216" s="17" t="str">
        <f>IF(B2216="","",IF(B2215&lt;'02_Eingaben'!$C$36,0,J2215+I2215/'02_Eingaben'!$C$8))</f>
        <v/>
      </c>
    </row>
    <row r="2217" spans="1:10" x14ac:dyDescent="0.25">
      <c r="A2217" t="str">
        <f>IF('01_Rohdaten'!A2217="","",ROW()-1)</f>
        <v/>
      </c>
      <c r="B2217" s="17" t="str">
        <f>IF('01_Rohdaten'!A2217="","",'01_Rohdaten'!A2217)</f>
        <v/>
      </c>
      <c r="C2217" s="17" t="str">
        <f>IF(B2217="","",INDEX('01_Rohdaten'!B2217:D2217,'02_Eingaben'!$C$13))</f>
        <v/>
      </c>
      <c r="D2217" s="17" t="str">
        <f>IF(C2217="","",C2217*'02_Eingaben'!$C$15)</f>
        <v/>
      </c>
      <c r="E2217" s="17" t="str">
        <f>IF(D2217="","",D2217*'02_Eingaben'!$C$8)</f>
        <v/>
      </c>
      <c r="F2217" s="17" t="str">
        <f>IF(E2217="","",AVERAGE(INDEX($E$2:$E$3001,MAX(1,ROW()-1-'02_Eingaben'!$C$17)):INDEX($E$2:$E$3001,MIN('02_Eingaben'!$C$21,ROW()-1+'02_Eingaben'!$C$17))))</f>
        <v/>
      </c>
      <c r="G2217" s="17" t="str">
        <f>IF(F2217="","",F2217-'02_Eingaben'!$C$10)</f>
        <v/>
      </c>
      <c r="H2217" t="str">
        <f>IF(F2217="","",IF(F2217&lt;'02_Eingaben'!$C$18*'02_Eingaben'!$C$10,1,0))</f>
        <v/>
      </c>
      <c r="I2217" s="17" t="str">
        <f t="shared" si="34"/>
        <v/>
      </c>
      <c r="J2217" s="17" t="str">
        <f>IF(B2217="","",IF(B2216&lt;'02_Eingaben'!$C$36,0,J2216+I2216/'02_Eingaben'!$C$8))</f>
        <v/>
      </c>
    </row>
    <row r="2218" spans="1:10" x14ac:dyDescent="0.25">
      <c r="A2218" t="str">
        <f>IF('01_Rohdaten'!A2218="","",ROW()-1)</f>
        <v/>
      </c>
      <c r="B2218" s="17" t="str">
        <f>IF('01_Rohdaten'!A2218="","",'01_Rohdaten'!A2218)</f>
        <v/>
      </c>
      <c r="C2218" s="17" t="str">
        <f>IF(B2218="","",INDEX('01_Rohdaten'!B2218:D2218,'02_Eingaben'!$C$13))</f>
        <v/>
      </c>
      <c r="D2218" s="17" t="str">
        <f>IF(C2218="","",C2218*'02_Eingaben'!$C$15)</f>
        <v/>
      </c>
      <c r="E2218" s="17" t="str">
        <f>IF(D2218="","",D2218*'02_Eingaben'!$C$8)</f>
        <v/>
      </c>
      <c r="F2218" s="17" t="str">
        <f>IF(E2218="","",AVERAGE(INDEX($E$2:$E$3001,MAX(1,ROW()-1-'02_Eingaben'!$C$17)):INDEX($E$2:$E$3001,MIN('02_Eingaben'!$C$21,ROW()-1+'02_Eingaben'!$C$17))))</f>
        <v/>
      </c>
      <c r="G2218" s="17" t="str">
        <f>IF(F2218="","",F2218-'02_Eingaben'!$C$10)</f>
        <v/>
      </c>
      <c r="H2218" t="str">
        <f>IF(F2218="","",IF(F2218&lt;'02_Eingaben'!$C$18*'02_Eingaben'!$C$10,1,0))</f>
        <v/>
      </c>
      <c r="I2218" s="17" t="str">
        <f t="shared" si="34"/>
        <v/>
      </c>
      <c r="J2218" s="17" t="str">
        <f>IF(B2218="","",IF(B2217&lt;'02_Eingaben'!$C$36,0,J2217+I2217/'02_Eingaben'!$C$8))</f>
        <v/>
      </c>
    </row>
    <row r="2219" spans="1:10" x14ac:dyDescent="0.25">
      <c r="A2219" t="str">
        <f>IF('01_Rohdaten'!A2219="","",ROW()-1)</f>
        <v/>
      </c>
      <c r="B2219" s="17" t="str">
        <f>IF('01_Rohdaten'!A2219="","",'01_Rohdaten'!A2219)</f>
        <v/>
      </c>
      <c r="C2219" s="17" t="str">
        <f>IF(B2219="","",INDEX('01_Rohdaten'!B2219:D2219,'02_Eingaben'!$C$13))</f>
        <v/>
      </c>
      <c r="D2219" s="17" t="str">
        <f>IF(C2219="","",C2219*'02_Eingaben'!$C$15)</f>
        <v/>
      </c>
      <c r="E2219" s="17" t="str">
        <f>IF(D2219="","",D2219*'02_Eingaben'!$C$8)</f>
        <v/>
      </c>
      <c r="F2219" s="17" t="str">
        <f>IF(E2219="","",AVERAGE(INDEX($E$2:$E$3001,MAX(1,ROW()-1-'02_Eingaben'!$C$17)):INDEX($E$2:$E$3001,MIN('02_Eingaben'!$C$21,ROW()-1+'02_Eingaben'!$C$17))))</f>
        <v/>
      </c>
      <c r="G2219" s="17" t="str">
        <f>IF(F2219="","",F2219-'02_Eingaben'!$C$10)</f>
        <v/>
      </c>
      <c r="H2219" t="str">
        <f>IF(F2219="","",IF(F2219&lt;'02_Eingaben'!$C$18*'02_Eingaben'!$C$10,1,0))</f>
        <v/>
      </c>
      <c r="I2219" s="17" t="str">
        <f t="shared" si="34"/>
        <v/>
      </c>
      <c r="J2219" s="17" t="str">
        <f>IF(B2219="","",IF(B2218&lt;'02_Eingaben'!$C$36,0,J2218+I2218/'02_Eingaben'!$C$8))</f>
        <v/>
      </c>
    </row>
    <row r="2220" spans="1:10" x14ac:dyDescent="0.25">
      <c r="A2220" t="str">
        <f>IF('01_Rohdaten'!A2220="","",ROW()-1)</f>
        <v/>
      </c>
      <c r="B2220" s="17" t="str">
        <f>IF('01_Rohdaten'!A2220="","",'01_Rohdaten'!A2220)</f>
        <v/>
      </c>
      <c r="C2220" s="17" t="str">
        <f>IF(B2220="","",INDEX('01_Rohdaten'!B2220:D2220,'02_Eingaben'!$C$13))</f>
        <v/>
      </c>
      <c r="D2220" s="17" t="str">
        <f>IF(C2220="","",C2220*'02_Eingaben'!$C$15)</f>
        <v/>
      </c>
      <c r="E2220" s="17" t="str">
        <f>IF(D2220="","",D2220*'02_Eingaben'!$C$8)</f>
        <v/>
      </c>
      <c r="F2220" s="17" t="str">
        <f>IF(E2220="","",AVERAGE(INDEX($E$2:$E$3001,MAX(1,ROW()-1-'02_Eingaben'!$C$17)):INDEX($E$2:$E$3001,MIN('02_Eingaben'!$C$21,ROW()-1+'02_Eingaben'!$C$17))))</f>
        <v/>
      </c>
      <c r="G2220" s="17" t="str">
        <f>IF(F2220="","",F2220-'02_Eingaben'!$C$10)</f>
        <v/>
      </c>
      <c r="H2220" t="str">
        <f>IF(F2220="","",IF(F2220&lt;'02_Eingaben'!$C$18*'02_Eingaben'!$C$10,1,0))</f>
        <v/>
      </c>
      <c r="I2220" s="17" t="str">
        <f t="shared" si="34"/>
        <v/>
      </c>
      <c r="J2220" s="17" t="str">
        <f>IF(B2220="","",IF(B2219&lt;'02_Eingaben'!$C$36,0,J2219+I2219/'02_Eingaben'!$C$8))</f>
        <v/>
      </c>
    </row>
    <row r="2221" spans="1:10" x14ac:dyDescent="0.25">
      <c r="A2221" t="str">
        <f>IF('01_Rohdaten'!A2221="","",ROW()-1)</f>
        <v/>
      </c>
      <c r="B2221" s="17" t="str">
        <f>IF('01_Rohdaten'!A2221="","",'01_Rohdaten'!A2221)</f>
        <v/>
      </c>
      <c r="C2221" s="17" t="str">
        <f>IF(B2221="","",INDEX('01_Rohdaten'!B2221:D2221,'02_Eingaben'!$C$13))</f>
        <v/>
      </c>
      <c r="D2221" s="17" t="str">
        <f>IF(C2221="","",C2221*'02_Eingaben'!$C$15)</f>
        <v/>
      </c>
      <c r="E2221" s="17" t="str">
        <f>IF(D2221="","",D2221*'02_Eingaben'!$C$8)</f>
        <v/>
      </c>
      <c r="F2221" s="17" t="str">
        <f>IF(E2221="","",AVERAGE(INDEX($E$2:$E$3001,MAX(1,ROW()-1-'02_Eingaben'!$C$17)):INDEX($E$2:$E$3001,MIN('02_Eingaben'!$C$21,ROW()-1+'02_Eingaben'!$C$17))))</f>
        <v/>
      </c>
      <c r="G2221" s="17" t="str">
        <f>IF(F2221="","",F2221-'02_Eingaben'!$C$10)</f>
        <v/>
      </c>
      <c r="H2221" t="str">
        <f>IF(F2221="","",IF(F2221&lt;'02_Eingaben'!$C$18*'02_Eingaben'!$C$10,1,0))</f>
        <v/>
      </c>
      <c r="I2221" s="17" t="str">
        <f t="shared" si="34"/>
        <v/>
      </c>
      <c r="J2221" s="17" t="str">
        <f>IF(B2221="","",IF(B2220&lt;'02_Eingaben'!$C$36,0,J2220+I2220/'02_Eingaben'!$C$8))</f>
        <v/>
      </c>
    </row>
    <row r="2222" spans="1:10" x14ac:dyDescent="0.25">
      <c r="A2222" t="str">
        <f>IF('01_Rohdaten'!A2222="","",ROW()-1)</f>
        <v/>
      </c>
      <c r="B2222" s="17" t="str">
        <f>IF('01_Rohdaten'!A2222="","",'01_Rohdaten'!A2222)</f>
        <v/>
      </c>
      <c r="C2222" s="17" t="str">
        <f>IF(B2222="","",INDEX('01_Rohdaten'!B2222:D2222,'02_Eingaben'!$C$13))</f>
        <v/>
      </c>
      <c r="D2222" s="17" t="str">
        <f>IF(C2222="","",C2222*'02_Eingaben'!$C$15)</f>
        <v/>
      </c>
      <c r="E2222" s="17" t="str">
        <f>IF(D2222="","",D2222*'02_Eingaben'!$C$8)</f>
        <v/>
      </c>
      <c r="F2222" s="17" t="str">
        <f>IF(E2222="","",AVERAGE(INDEX($E$2:$E$3001,MAX(1,ROW()-1-'02_Eingaben'!$C$17)):INDEX($E$2:$E$3001,MIN('02_Eingaben'!$C$21,ROW()-1+'02_Eingaben'!$C$17))))</f>
        <v/>
      </c>
      <c r="G2222" s="17" t="str">
        <f>IF(F2222="","",F2222-'02_Eingaben'!$C$10)</f>
        <v/>
      </c>
      <c r="H2222" t="str">
        <f>IF(F2222="","",IF(F2222&lt;'02_Eingaben'!$C$18*'02_Eingaben'!$C$10,1,0))</f>
        <v/>
      </c>
      <c r="I2222" s="17" t="str">
        <f t="shared" si="34"/>
        <v/>
      </c>
      <c r="J2222" s="17" t="str">
        <f>IF(B2222="","",IF(B2221&lt;'02_Eingaben'!$C$36,0,J2221+I2221/'02_Eingaben'!$C$8))</f>
        <v/>
      </c>
    </row>
    <row r="2223" spans="1:10" x14ac:dyDescent="0.25">
      <c r="A2223" t="str">
        <f>IF('01_Rohdaten'!A2223="","",ROW()-1)</f>
        <v/>
      </c>
      <c r="B2223" s="17" t="str">
        <f>IF('01_Rohdaten'!A2223="","",'01_Rohdaten'!A2223)</f>
        <v/>
      </c>
      <c r="C2223" s="17" t="str">
        <f>IF(B2223="","",INDEX('01_Rohdaten'!B2223:D2223,'02_Eingaben'!$C$13))</f>
        <v/>
      </c>
      <c r="D2223" s="17" t="str">
        <f>IF(C2223="","",C2223*'02_Eingaben'!$C$15)</f>
        <v/>
      </c>
      <c r="E2223" s="17" t="str">
        <f>IF(D2223="","",D2223*'02_Eingaben'!$C$8)</f>
        <v/>
      </c>
      <c r="F2223" s="17" t="str">
        <f>IF(E2223="","",AVERAGE(INDEX($E$2:$E$3001,MAX(1,ROW()-1-'02_Eingaben'!$C$17)):INDEX($E$2:$E$3001,MIN('02_Eingaben'!$C$21,ROW()-1+'02_Eingaben'!$C$17))))</f>
        <v/>
      </c>
      <c r="G2223" s="17" t="str">
        <f>IF(F2223="","",F2223-'02_Eingaben'!$C$10)</f>
        <v/>
      </c>
      <c r="H2223" t="str">
        <f>IF(F2223="","",IF(F2223&lt;'02_Eingaben'!$C$18*'02_Eingaben'!$C$10,1,0))</f>
        <v/>
      </c>
      <c r="I2223" s="17" t="str">
        <f t="shared" si="34"/>
        <v/>
      </c>
      <c r="J2223" s="17" t="str">
        <f>IF(B2223="","",IF(B2222&lt;'02_Eingaben'!$C$36,0,J2222+I2222/'02_Eingaben'!$C$8))</f>
        <v/>
      </c>
    </row>
    <row r="2224" spans="1:10" x14ac:dyDescent="0.25">
      <c r="A2224" t="str">
        <f>IF('01_Rohdaten'!A2224="","",ROW()-1)</f>
        <v/>
      </c>
      <c r="B2224" s="17" t="str">
        <f>IF('01_Rohdaten'!A2224="","",'01_Rohdaten'!A2224)</f>
        <v/>
      </c>
      <c r="C2224" s="17" t="str">
        <f>IF(B2224="","",INDEX('01_Rohdaten'!B2224:D2224,'02_Eingaben'!$C$13))</f>
        <v/>
      </c>
      <c r="D2224" s="17" t="str">
        <f>IF(C2224="","",C2224*'02_Eingaben'!$C$15)</f>
        <v/>
      </c>
      <c r="E2224" s="17" t="str">
        <f>IF(D2224="","",D2224*'02_Eingaben'!$C$8)</f>
        <v/>
      </c>
      <c r="F2224" s="17" t="str">
        <f>IF(E2224="","",AVERAGE(INDEX($E$2:$E$3001,MAX(1,ROW()-1-'02_Eingaben'!$C$17)):INDEX($E$2:$E$3001,MIN('02_Eingaben'!$C$21,ROW()-1+'02_Eingaben'!$C$17))))</f>
        <v/>
      </c>
      <c r="G2224" s="17" t="str">
        <f>IF(F2224="","",F2224-'02_Eingaben'!$C$10)</f>
        <v/>
      </c>
      <c r="H2224" t="str">
        <f>IF(F2224="","",IF(F2224&lt;'02_Eingaben'!$C$18*'02_Eingaben'!$C$10,1,0))</f>
        <v/>
      </c>
      <c r="I2224" s="17" t="str">
        <f t="shared" si="34"/>
        <v/>
      </c>
      <c r="J2224" s="17" t="str">
        <f>IF(B2224="","",IF(B2223&lt;'02_Eingaben'!$C$36,0,J2223+I2223/'02_Eingaben'!$C$8))</f>
        <v/>
      </c>
    </row>
    <row r="2225" spans="1:10" x14ac:dyDescent="0.25">
      <c r="A2225" t="str">
        <f>IF('01_Rohdaten'!A2225="","",ROW()-1)</f>
        <v/>
      </c>
      <c r="B2225" s="17" t="str">
        <f>IF('01_Rohdaten'!A2225="","",'01_Rohdaten'!A2225)</f>
        <v/>
      </c>
      <c r="C2225" s="17" t="str">
        <f>IF(B2225="","",INDEX('01_Rohdaten'!B2225:D2225,'02_Eingaben'!$C$13))</f>
        <v/>
      </c>
      <c r="D2225" s="17" t="str">
        <f>IF(C2225="","",C2225*'02_Eingaben'!$C$15)</f>
        <v/>
      </c>
      <c r="E2225" s="17" t="str">
        <f>IF(D2225="","",D2225*'02_Eingaben'!$C$8)</f>
        <v/>
      </c>
      <c r="F2225" s="17" t="str">
        <f>IF(E2225="","",AVERAGE(INDEX($E$2:$E$3001,MAX(1,ROW()-1-'02_Eingaben'!$C$17)):INDEX($E$2:$E$3001,MIN('02_Eingaben'!$C$21,ROW()-1+'02_Eingaben'!$C$17))))</f>
        <v/>
      </c>
      <c r="G2225" s="17" t="str">
        <f>IF(F2225="","",F2225-'02_Eingaben'!$C$10)</f>
        <v/>
      </c>
      <c r="H2225" t="str">
        <f>IF(F2225="","",IF(F2225&lt;'02_Eingaben'!$C$18*'02_Eingaben'!$C$10,1,0))</f>
        <v/>
      </c>
      <c r="I2225" s="17" t="str">
        <f t="shared" si="34"/>
        <v/>
      </c>
      <c r="J2225" s="17" t="str">
        <f>IF(B2225="","",IF(B2224&lt;'02_Eingaben'!$C$36,0,J2224+I2224/'02_Eingaben'!$C$8))</f>
        <v/>
      </c>
    </row>
    <row r="2226" spans="1:10" x14ac:dyDescent="0.25">
      <c r="A2226" t="str">
        <f>IF('01_Rohdaten'!A2226="","",ROW()-1)</f>
        <v/>
      </c>
      <c r="B2226" s="17" t="str">
        <f>IF('01_Rohdaten'!A2226="","",'01_Rohdaten'!A2226)</f>
        <v/>
      </c>
      <c r="C2226" s="17" t="str">
        <f>IF(B2226="","",INDEX('01_Rohdaten'!B2226:D2226,'02_Eingaben'!$C$13))</f>
        <v/>
      </c>
      <c r="D2226" s="17" t="str">
        <f>IF(C2226="","",C2226*'02_Eingaben'!$C$15)</f>
        <v/>
      </c>
      <c r="E2226" s="17" t="str">
        <f>IF(D2226="","",D2226*'02_Eingaben'!$C$8)</f>
        <v/>
      </c>
      <c r="F2226" s="17" t="str">
        <f>IF(E2226="","",AVERAGE(INDEX($E$2:$E$3001,MAX(1,ROW()-1-'02_Eingaben'!$C$17)):INDEX($E$2:$E$3001,MIN('02_Eingaben'!$C$21,ROW()-1+'02_Eingaben'!$C$17))))</f>
        <v/>
      </c>
      <c r="G2226" s="17" t="str">
        <f>IF(F2226="","",F2226-'02_Eingaben'!$C$10)</f>
        <v/>
      </c>
      <c r="H2226" t="str">
        <f>IF(F2226="","",IF(F2226&lt;'02_Eingaben'!$C$18*'02_Eingaben'!$C$10,1,0))</f>
        <v/>
      </c>
      <c r="I2226" s="17" t="str">
        <f t="shared" si="34"/>
        <v/>
      </c>
      <c r="J2226" s="17" t="str">
        <f>IF(B2226="","",IF(B2225&lt;'02_Eingaben'!$C$36,0,J2225+I2225/'02_Eingaben'!$C$8))</f>
        <v/>
      </c>
    </row>
    <row r="2227" spans="1:10" x14ac:dyDescent="0.25">
      <c r="A2227" t="str">
        <f>IF('01_Rohdaten'!A2227="","",ROW()-1)</f>
        <v/>
      </c>
      <c r="B2227" s="17" t="str">
        <f>IF('01_Rohdaten'!A2227="","",'01_Rohdaten'!A2227)</f>
        <v/>
      </c>
      <c r="C2227" s="17" t="str">
        <f>IF(B2227="","",INDEX('01_Rohdaten'!B2227:D2227,'02_Eingaben'!$C$13))</f>
        <v/>
      </c>
      <c r="D2227" s="17" t="str">
        <f>IF(C2227="","",C2227*'02_Eingaben'!$C$15)</f>
        <v/>
      </c>
      <c r="E2227" s="17" t="str">
        <f>IF(D2227="","",D2227*'02_Eingaben'!$C$8)</f>
        <v/>
      </c>
      <c r="F2227" s="17" t="str">
        <f>IF(E2227="","",AVERAGE(INDEX($E$2:$E$3001,MAX(1,ROW()-1-'02_Eingaben'!$C$17)):INDEX($E$2:$E$3001,MIN('02_Eingaben'!$C$21,ROW()-1+'02_Eingaben'!$C$17))))</f>
        <v/>
      </c>
      <c r="G2227" s="17" t="str">
        <f>IF(F2227="","",F2227-'02_Eingaben'!$C$10)</f>
        <v/>
      </c>
      <c r="H2227" t="str">
        <f>IF(F2227="","",IF(F2227&lt;'02_Eingaben'!$C$18*'02_Eingaben'!$C$10,1,0))</f>
        <v/>
      </c>
      <c r="I2227" s="17" t="str">
        <f t="shared" si="34"/>
        <v/>
      </c>
      <c r="J2227" s="17" t="str">
        <f>IF(B2227="","",IF(B2226&lt;'02_Eingaben'!$C$36,0,J2226+I2226/'02_Eingaben'!$C$8))</f>
        <v/>
      </c>
    </row>
    <row r="2228" spans="1:10" x14ac:dyDescent="0.25">
      <c r="A2228" t="str">
        <f>IF('01_Rohdaten'!A2228="","",ROW()-1)</f>
        <v/>
      </c>
      <c r="B2228" s="17" t="str">
        <f>IF('01_Rohdaten'!A2228="","",'01_Rohdaten'!A2228)</f>
        <v/>
      </c>
      <c r="C2228" s="17" t="str">
        <f>IF(B2228="","",INDEX('01_Rohdaten'!B2228:D2228,'02_Eingaben'!$C$13))</f>
        <v/>
      </c>
      <c r="D2228" s="17" t="str">
        <f>IF(C2228="","",C2228*'02_Eingaben'!$C$15)</f>
        <v/>
      </c>
      <c r="E2228" s="17" t="str">
        <f>IF(D2228="","",D2228*'02_Eingaben'!$C$8)</f>
        <v/>
      </c>
      <c r="F2228" s="17" t="str">
        <f>IF(E2228="","",AVERAGE(INDEX($E$2:$E$3001,MAX(1,ROW()-1-'02_Eingaben'!$C$17)):INDEX($E$2:$E$3001,MIN('02_Eingaben'!$C$21,ROW()-1+'02_Eingaben'!$C$17))))</f>
        <v/>
      </c>
      <c r="G2228" s="17" t="str">
        <f>IF(F2228="","",F2228-'02_Eingaben'!$C$10)</f>
        <v/>
      </c>
      <c r="H2228" t="str">
        <f>IF(F2228="","",IF(F2228&lt;'02_Eingaben'!$C$18*'02_Eingaben'!$C$10,1,0))</f>
        <v/>
      </c>
      <c r="I2228" s="17" t="str">
        <f t="shared" si="34"/>
        <v/>
      </c>
      <c r="J2228" s="17" t="str">
        <f>IF(B2228="","",IF(B2227&lt;'02_Eingaben'!$C$36,0,J2227+I2227/'02_Eingaben'!$C$8))</f>
        <v/>
      </c>
    </row>
    <row r="2229" spans="1:10" x14ac:dyDescent="0.25">
      <c r="A2229" t="str">
        <f>IF('01_Rohdaten'!A2229="","",ROW()-1)</f>
        <v/>
      </c>
      <c r="B2229" s="17" t="str">
        <f>IF('01_Rohdaten'!A2229="","",'01_Rohdaten'!A2229)</f>
        <v/>
      </c>
      <c r="C2229" s="17" t="str">
        <f>IF(B2229="","",INDEX('01_Rohdaten'!B2229:D2229,'02_Eingaben'!$C$13))</f>
        <v/>
      </c>
      <c r="D2229" s="17" t="str">
        <f>IF(C2229="","",C2229*'02_Eingaben'!$C$15)</f>
        <v/>
      </c>
      <c r="E2229" s="17" t="str">
        <f>IF(D2229="","",D2229*'02_Eingaben'!$C$8)</f>
        <v/>
      </c>
      <c r="F2229" s="17" t="str">
        <f>IF(E2229="","",AVERAGE(INDEX($E$2:$E$3001,MAX(1,ROW()-1-'02_Eingaben'!$C$17)):INDEX($E$2:$E$3001,MIN('02_Eingaben'!$C$21,ROW()-1+'02_Eingaben'!$C$17))))</f>
        <v/>
      </c>
      <c r="G2229" s="17" t="str">
        <f>IF(F2229="","",F2229-'02_Eingaben'!$C$10)</f>
        <v/>
      </c>
      <c r="H2229" t="str">
        <f>IF(F2229="","",IF(F2229&lt;'02_Eingaben'!$C$18*'02_Eingaben'!$C$10,1,0))</f>
        <v/>
      </c>
      <c r="I2229" s="17" t="str">
        <f t="shared" si="34"/>
        <v/>
      </c>
      <c r="J2229" s="17" t="str">
        <f>IF(B2229="","",IF(B2228&lt;'02_Eingaben'!$C$36,0,J2228+I2228/'02_Eingaben'!$C$8))</f>
        <v/>
      </c>
    </row>
    <row r="2230" spans="1:10" x14ac:dyDescent="0.25">
      <c r="A2230" t="str">
        <f>IF('01_Rohdaten'!A2230="","",ROW()-1)</f>
        <v/>
      </c>
      <c r="B2230" s="17" t="str">
        <f>IF('01_Rohdaten'!A2230="","",'01_Rohdaten'!A2230)</f>
        <v/>
      </c>
      <c r="C2230" s="17" t="str">
        <f>IF(B2230="","",INDEX('01_Rohdaten'!B2230:D2230,'02_Eingaben'!$C$13))</f>
        <v/>
      </c>
      <c r="D2230" s="17" t="str">
        <f>IF(C2230="","",C2230*'02_Eingaben'!$C$15)</f>
        <v/>
      </c>
      <c r="E2230" s="17" t="str">
        <f>IF(D2230="","",D2230*'02_Eingaben'!$C$8)</f>
        <v/>
      </c>
      <c r="F2230" s="17" t="str">
        <f>IF(E2230="","",AVERAGE(INDEX($E$2:$E$3001,MAX(1,ROW()-1-'02_Eingaben'!$C$17)):INDEX($E$2:$E$3001,MIN('02_Eingaben'!$C$21,ROW()-1+'02_Eingaben'!$C$17))))</f>
        <v/>
      </c>
      <c r="G2230" s="17" t="str">
        <f>IF(F2230="","",F2230-'02_Eingaben'!$C$10)</f>
        <v/>
      </c>
      <c r="H2230" t="str">
        <f>IF(F2230="","",IF(F2230&lt;'02_Eingaben'!$C$18*'02_Eingaben'!$C$10,1,0))</f>
        <v/>
      </c>
      <c r="I2230" s="17" t="str">
        <f t="shared" si="34"/>
        <v/>
      </c>
      <c r="J2230" s="17" t="str">
        <f>IF(B2230="","",IF(B2229&lt;'02_Eingaben'!$C$36,0,J2229+I2229/'02_Eingaben'!$C$8))</f>
        <v/>
      </c>
    </row>
    <row r="2231" spans="1:10" x14ac:dyDescent="0.25">
      <c r="A2231" t="str">
        <f>IF('01_Rohdaten'!A2231="","",ROW()-1)</f>
        <v/>
      </c>
      <c r="B2231" s="17" t="str">
        <f>IF('01_Rohdaten'!A2231="","",'01_Rohdaten'!A2231)</f>
        <v/>
      </c>
      <c r="C2231" s="17" t="str">
        <f>IF(B2231="","",INDEX('01_Rohdaten'!B2231:D2231,'02_Eingaben'!$C$13))</f>
        <v/>
      </c>
      <c r="D2231" s="17" t="str">
        <f>IF(C2231="","",C2231*'02_Eingaben'!$C$15)</f>
        <v/>
      </c>
      <c r="E2231" s="17" t="str">
        <f>IF(D2231="","",D2231*'02_Eingaben'!$C$8)</f>
        <v/>
      </c>
      <c r="F2231" s="17" t="str">
        <f>IF(E2231="","",AVERAGE(INDEX($E$2:$E$3001,MAX(1,ROW()-1-'02_Eingaben'!$C$17)):INDEX($E$2:$E$3001,MIN('02_Eingaben'!$C$21,ROW()-1+'02_Eingaben'!$C$17))))</f>
        <v/>
      </c>
      <c r="G2231" s="17" t="str">
        <f>IF(F2231="","",F2231-'02_Eingaben'!$C$10)</f>
        <v/>
      </c>
      <c r="H2231" t="str">
        <f>IF(F2231="","",IF(F2231&lt;'02_Eingaben'!$C$18*'02_Eingaben'!$C$10,1,0))</f>
        <v/>
      </c>
      <c r="I2231" s="17" t="str">
        <f t="shared" si="34"/>
        <v/>
      </c>
      <c r="J2231" s="17" t="str">
        <f>IF(B2231="","",IF(B2230&lt;'02_Eingaben'!$C$36,0,J2230+I2230/'02_Eingaben'!$C$8))</f>
        <v/>
      </c>
    </row>
    <row r="2232" spans="1:10" x14ac:dyDescent="0.25">
      <c r="A2232" t="str">
        <f>IF('01_Rohdaten'!A2232="","",ROW()-1)</f>
        <v/>
      </c>
      <c r="B2232" s="17" t="str">
        <f>IF('01_Rohdaten'!A2232="","",'01_Rohdaten'!A2232)</f>
        <v/>
      </c>
      <c r="C2232" s="17" t="str">
        <f>IF(B2232="","",INDEX('01_Rohdaten'!B2232:D2232,'02_Eingaben'!$C$13))</f>
        <v/>
      </c>
      <c r="D2232" s="17" t="str">
        <f>IF(C2232="","",C2232*'02_Eingaben'!$C$15)</f>
        <v/>
      </c>
      <c r="E2232" s="17" t="str">
        <f>IF(D2232="","",D2232*'02_Eingaben'!$C$8)</f>
        <v/>
      </c>
      <c r="F2232" s="17" t="str">
        <f>IF(E2232="","",AVERAGE(INDEX($E$2:$E$3001,MAX(1,ROW()-1-'02_Eingaben'!$C$17)):INDEX($E$2:$E$3001,MIN('02_Eingaben'!$C$21,ROW()-1+'02_Eingaben'!$C$17))))</f>
        <v/>
      </c>
      <c r="G2232" s="17" t="str">
        <f>IF(F2232="","",F2232-'02_Eingaben'!$C$10)</f>
        <v/>
      </c>
      <c r="H2232" t="str">
        <f>IF(F2232="","",IF(F2232&lt;'02_Eingaben'!$C$18*'02_Eingaben'!$C$10,1,0))</f>
        <v/>
      </c>
      <c r="I2232" s="17" t="str">
        <f t="shared" si="34"/>
        <v/>
      </c>
      <c r="J2232" s="17" t="str">
        <f>IF(B2232="","",IF(B2231&lt;'02_Eingaben'!$C$36,0,J2231+I2231/'02_Eingaben'!$C$8))</f>
        <v/>
      </c>
    </row>
    <row r="2233" spans="1:10" x14ac:dyDescent="0.25">
      <c r="A2233" t="str">
        <f>IF('01_Rohdaten'!A2233="","",ROW()-1)</f>
        <v/>
      </c>
      <c r="B2233" s="17" t="str">
        <f>IF('01_Rohdaten'!A2233="","",'01_Rohdaten'!A2233)</f>
        <v/>
      </c>
      <c r="C2233" s="17" t="str">
        <f>IF(B2233="","",INDEX('01_Rohdaten'!B2233:D2233,'02_Eingaben'!$C$13))</f>
        <v/>
      </c>
      <c r="D2233" s="17" t="str">
        <f>IF(C2233="","",C2233*'02_Eingaben'!$C$15)</f>
        <v/>
      </c>
      <c r="E2233" s="17" t="str">
        <f>IF(D2233="","",D2233*'02_Eingaben'!$C$8)</f>
        <v/>
      </c>
      <c r="F2233" s="17" t="str">
        <f>IF(E2233="","",AVERAGE(INDEX($E$2:$E$3001,MAX(1,ROW()-1-'02_Eingaben'!$C$17)):INDEX($E$2:$E$3001,MIN('02_Eingaben'!$C$21,ROW()-1+'02_Eingaben'!$C$17))))</f>
        <v/>
      </c>
      <c r="G2233" s="17" t="str">
        <f>IF(F2233="","",F2233-'02_Eingaben'!$C$10)</f>
        <v/>
      </c>
      <c r="H2233" t="str">
        <f>IF(F2233="","",IF(F2233&lt;'02_Eingaben'!$C$18*'02_Eingaben'!$C$10,1,0))</f>
        <v/>
      </c>
      <c r="I2233" s="17" t="str">
        <f t="shared" si="34"/>
        <v/>
      </c>
      <c r="J2233" s="17" t="str">
        <f>IF(B2233="","",IF(B2232&lt;'02_Eingaben'!$C$36,0,J2232+I2232/'02_Eingaben'!$C$8))</f>
        <v/>
      </c>
    </row>
    <row r="2234" spans="1:10" x14ac:dyDescent="0.25">
      <c r="A2234" t="str">
        <f>IF('01_Rohdaten'!A2234="","",ROW()-1)</f>
        <v/>
      </c>
      <c r="B2234" s="17" t="str">
        <f>IF('01_Rohdaten'!A2234="","",'01_Rohdaten'!A2234)</f>
        <v/>
      </c>
      <c r="C2234" s="17" t="str">
        <f>IF(B2234="","",INDEX('01_Rohdaten'!B2234:D2234,'02_Eingaben'!$C$13))</f>
        <v/>
      </c>
      <c r="D2234" s="17" t="str">
        <f>IF(C2234="","",C2234*'02_Eingaben'!$C$15)</f>
        <v/>
      </c>
      <c r="E2234" s="17" t="str">
        <f>IF(D2234="","",D2234*'02_Eingaben'!$C$8)</f>
        <v/>
      </c>
      <c r="F2234" s="17" t="str">
        <f>IF(E2234="","",AVERAGE(INDEX($E$2:$E$3001,MAX(1,ROW()-1-'02_Eingaben'!$C$17)):INDEX($E$2:$E$3001,MIN('02_Eingaben'!$C$21,ROW()-1+'02_Eingaben'!$C$17))))</f>
        <v/>
      </c>
      <c r="G2234" s="17" t="str">
        <f>IF(F2234="","",F2234-'02_Eingaben'!$C$10)</f>
        <v/>
      </c>
      <c r="H2234" t="str">
        <f>IF(F2234="","",IF(F2234&lt;'02_Eingaben'!$C$18*'02_Eingaben'!$C$10,1,0))</f>
        <v/>
      </c>
      <c r="I2234" s="17" t="str">
        <f t="shared" si="34"/>
        <v/>
      </c>
      <c r="J2234" s="17" t="str">
        <f>IF(B2234="","",IF(B2233&lt;'02_Eingaben'!$C$36,0,J2233+I2233/'02_Eingaben'!$C$8))</f>
        <v/>
      </c>
    </row>
    <row r="2235" spans="1:10" x14ac:dyDescent="0.25">
      <c r="A2235" t="str">
        <f>IF('01_Rohdaten'!A2235="","",ROW()-1)</f>
        <v/>
      </c>
      <c r="B2235" s="17" t="str">
        <f>IF('01_Rohdaten'!A2235="","",'01_Rohdaten'!A2235)</f>
        <v/>
      </c>
      <c r="C2235" s="17" t="str">
        <f>IF(B2235="","",INDEX('01_Rohdaten'!B2235:D2235,'02_Eingaben'!$C$13))</f>
        <v/>
      </c>
      <c r="D2235" s="17" t="str">
        <f>IF(C2235="","",C2235*'02_Eingaben'!$C$15)</f>
        <v/>
      </c>
      <c r="E2235" s="17" t="str">
        <f>IF(D2235="","",D2235*'02_Eingaben'!$C$8)</f>
        <v/>
      </c>
      <c r="F2235" s="17" t="str">
        <f>IF(E2235="","",AVERAGE(INDEX($E$2:$E$3001,MAX(1,ROW()-1-'02_Eingaben'!$C$17)):INDEX($E$2:$E$3001,MIN('02_Eingaben'!$C$21,ROW()-1+'02_Eingaben'!$C$17))))</f>
        <v/>
      </c>
      <c r="G2235" s="17" t="str">
        <f>IF(F2235="","",F2235-'02_Eingaben'!$C$10)</f>
        <v/>
      </c>
      <c r="H2235" t="str">
        <f>IF(F2235="","",IF(F2235&lt;'02_Eingaben'!$C$18*'02_Eingaben'!$C$10,1,0))</f>
        <v/>
      </c>
      <c r="I2235" s="17" t="str">
        <f t="shared" si="34"/>
        <v/>
      </c>
      <c r="J2235" s="17" t="str">
        <f>IF(B2235="","",IF(B2234&lt;'02_Eingaben'!$C$36,0,J2234+I2234/'02_Eingaben'!$C$8))</f>
        <v/>
      </c>
    </row>
    <row r="2236" spans="1:10" x14ac:dyDescent="0.25">
      <c r="A2236" t="str">
        <f>IF('01_Rohdaten'!A2236="","",ROW()-1)</f>
        <v/>
      </c>
      <c r="B2236" s="17" t="str">
        <f>IF('01_Rohdaten'!A2236="","",'01_Rohdaten'!A2236)</f>
        <v/>
      </c>
      <c r="C2236" s="17" t="str">
        <f>IF(B2236="","",INDEX('01_Rohdaten'!B2236:D2236,'02_Eingaben'!$C$13))</f>
        <v/>
      </c>
      <c r="D2236" s="17" t="str">
        <f>IF(C2236="","",C2236*'02_Eingaben'!$C$15)</f>
        <v/>
      </c>
      <c r="E2236" s="17" t="str">
        <f>IF(D2236="","",D2236*'02_Eingaben'!$C$8)</f>
        <v/>
      </c>
      <c r="F2236" s="17" t="str">
        <f>IF(E2236="","",AVERAGE(INDEX($E$2:$E$3001,MAX(1,ROW()-1-'02_Eingaben'!$C$17)):INDEX($E$2:$E$3001,MIN('02_Eingaben'!$C$21,ROW()-1+'02_Eingaben'!$C$17))))</f>
        <v/>
      </c>
      <c r="G2236" s="17" t="str">
        <f>IF(F2236="","",F2236-'02_Eingaben'!$C$10)</f>
        <v/>
      </c>
      <c r="H2236" t="str">
        <f>IF(F2236="","",IF(F2236&lt;'02_Eingaben'!$C$18*'02_Eingaben'!$C$10,1,0))</f>
        <v/>
      </c>
      <c r="I2236" s="17" t="str">
        <f t="shared" si="34"/>
        <v/>
      </c>
      <c r="J2236" s="17" t="str">
        <f>IF(B2236="","",IF(B2235&lt;'02_Eingaben'!$C$36,0,J2235+I2235/'02_Eingaben'!$C$8))</f>
        <v/>
      </c>
    </row>
    <row r="2237" spans="1:10" x14ac:dyDescent="0.25">
      <c r="A2237" t="str">
        <f>IF('01_Rohdaten'!A2237="","",ROW()-1)</f>
        <v/>
      </c>
      <c r="B2237" s="17" t="str">
        <f>IF('01_Rohdaten'!A2237="","",'01_Rohdaten'!A2237)</f>
        <v/>
      </c>
      <c r="C2237" s="17" t="str">
        <f>IF(B2237="","",INDEX('01_Rohdaten'!B2237:D2237,'02_Eingaben'!$C$13))</f>
        <v/>
      </c>
      <c r="D2237" s="17" t="str">
        <f>IF(C2237="","",C2237*'02_Eingaben'!$C$15)</f>
        <v/>
      </c>
      <c r="E2237" s="17" t="str">
        <f>IF(D2237="","",D2237*'02_Eingaben'!$C$8)</f>
        <v/>
      </c>
      <c r="F2237" s="17" t="str">
        <f>IF(E2237="","",AVERAGE(INDEX($E$2:$E$3001,MAX(1,ROW()-1-'02_Eingaben'!$C$17)):INDEX($E$2:$E$3001,MIN('02_Eingaben'!$C$21,ROW()-1+'02_Eingaben'!$C$17))))</f>
        <v/>
      </c>
      <c r="G2237" s="17" t="str">
        <f>IF(F2237="","",F2237-'02_Eingaben'!$C$10)</f>
        <v/>
      </c>
      <c r="H2237" t="str">
        <f>IF(F2237="","",IF(F2237&lt;'02_Eingaben'!$C$18*'02_Eingaben'!$C$10,1,0))</f>
        <v/>
      </c>
      <c r="I2237" s="17" t="str">
        <f t="shared" si="34"/>
        <v/>
      </c>
      <c r="J2237" s="17" t="str">
        <f>IF(B2237="","",IF(B2236&lt;'02_Eingaben'!$C$36,0,J2236+I2236/'02_Eingaben'!$C$8))</f>
        <v/>
      </c>
    </row>
    <row r="2238" spans="1:10" x14ac:dyDescent="0.25">
      <c r="A2238" t="str">
        <f>IF('01_Rohdaten'!A2238="","",ROW()-1)</f>
        <v/>
      </c>
      <c r="B2238" s="17" t="str">
        <f>IF('01_Rohdaten'!A2238="","",'01_Rohdaten'!A2238)</f>
        <v/>
      </c>
      <c r="C2238" s="17" t="str">
        <f>IF(B2238="","",INDEX('01_Rohdaten'!B2238:D2238,'02_Eingaben'!$C$13))</f>
        <v/>
      </c>
      <c r="D2238" s="17" t="str">
        <f>IF(C2238="","",C2238*'02_Eingaben'!$C$15)</f>
        <v/>
      </c>
      <c r="E2238" s="17" t="str">
        <f>IF(D2238="","",D2238*'02_Eingaben'!$C$8)</f>
        <v/>
      </c>
      <c r="F2238" s="17" t="str">
        <f>IF(E2238="","",AVERAGE(INDEX($E$2:$E$3001,MAX(1,ROW()-1-'02_Eingaben'!$C$17)):INDEX($E$2:$E$3001,MIN('02_Eingaben'!$C$21,ROW()-1+'02_Eingaben'!$C$17))))</f>
        <v/>
      </c>
      <c r="G2238" s="17" t="str">
        <f>IF(F2238="","",F2238-'02_Eingaben'!$C$10)</f>
        <v/>
      </c>
      <c r="H2238" t="str">
        <f>IF(F2238="","",IF(F2238&lt;'02_Eingaben'!$C$18*'02_Eingaben'!$C$10,1,0))</f>
        <v/>
      </c>
      <c r="I2238" s="17" t="str">
        <f t="shared" si="34"/>
        <v/>
      </c>
      <c r="J2238" s="17" t="str">
        <f>IF(B2238="","",IF(B2237&lt;'02_Eingaben'!$C$36,0,J2237+I2237/'02_Eingaben'!$C$8))</f>
        <v/>
      </c>
    </row>
    <row r="2239" spans="1:10" x14ac:dyDescent="0.25">
      <c r="A2239" t="str">
        <f>IF('01_Rohdaten'!A2239="","",ROW()-1)</f>
        <v/>
      </c>
      <c r="B2239" s="17" t="str">
        <f>IF('01_Rohdaten'!A2239="","",'01_Rohdaten'!A2239)</f>
        <v/>
      </c>
      <c r="C2239" s="17" t="str">
        <f>IF(B2239="","",INDEX('01_Rohdaten'!B2239:D2239,'02_Eingaben'!$C$13))</f>
        <v/>
      </c>
      <c r="D2239" s="17" t="str">
        <f>IF(C2239="","",C2239*'02_Eingaben'!$C$15)</f>
        <v/>
      </c>
      <c r="E2239" s="17" t="str">
        <f>IF(D2239="","",D2239*'02_Eingaben'!$C$8)</f>
        <v/>
      </c>
      <c r="F2239" s="17" t="str">
        <f>IF(E2239="","",AVERAGE(INDEX($E$2:$E$3001,MAX(1,ROW()-1-'02_Eingaben'!$C$17)):INDEX($E$2:$E$3001,MIN('02_Eingaben'!$C$21,ROW()-1+'02_Eingaben'!$C$17))))</f>
        <v/>
      </c>
      <c r="G2239" s="17" t="str">
        <f>IF(F2239="","",F2239-'02_Eingaben'!$C$10)</f>
        <v/>
      </c>
      <c r="H2239" t="str">
        <f>IF(F2239="","",IF(F2239&lt;'02_Eingaben'!$C$18*'02_Eingaben'!$C$10,1,0))</f>
        <v/>
      </c>
      <c r="I2239" s="17" t="str">
        <f t="shared" si="34"/>
        <v/>
      </c>
      <c r="J2239" s="17" t="str">
        <f>IF(B2239="","",IF(B2238&lt;'02_Eingaben'!$C$36,0,J2238+I2238/'02_Eingaben'!$C$8))</f>
        <v/>
      </c>
    </row>
    <row r="2240" spans="1:10" x14ac:dyDescent="0.25">
      <c r="A2240" t="str">
        <f>IF('01_Rohdaten'!A2240="","",ROW()-1)</f>
        <v/>
      </c>
      <c r="B2240" s="17" t="str">
        <f>IF('01_Rohdaten'!A2240="","",'01_Rohdaten'!A2240)</f>
        <v/>
      </c>
      <c r="C2240" s="17" t="str">
        <f>IF(B2240="","",INDEX('01_Rohdaten'!B2240:D2240,'02_Eingaben'!$C$13))</f>
        <v/>
      </c>
      <c r="D2240" s="17" t="str">
        <f>IF(C2240="","",C2240*'02_Eingaben'!$C$15)</f>
        <v/>
      </c>
      <c r="E2240" s="17" t="str">
        <f>IF(D2240="","",D2240*'02_Eingaben'!$C$8)</f>
        <v/>
      </c>
      <c r="F2240" s="17" t="str">
        <f>IF(E2240="","",AVERAGE(INDEX($E$2:$E$3001,MAX(1,ROW()-1-'02_Eingaben'!$C$17)):INDEX($E$2:$E$3001,MIN('02_Eingaben'!$C$21,ROW()-1+'02_Eingaben'!$C$17))))</f>
        <v/>
      </c>
      <c r="G2240" s="17" t="str">
        <f>IF(F2240="","",F2240-'02_Eingaben'!$C$10)</f>
        <v/>
      </c>
      <c r="H2240" t="str">
        <f>IF(F2240="","",IF(F2240&lt;'02_Eingaben'!$C$18*'02_Eingaben'!$C$10,1,0))</f>
        <v/>
      </c>
      <c r="I2240" s="17" t="str">
        <f t="shared" si="34"/>
        <v/>
      </c>
      <c r="J2240" s="17" t="str">
        <f>IF(B2240="","",IF(B2239&lt;'02_Eingaben'!$C$36,0,J2239+I2239/'02_Eingaben'!$C$8))</f>
        <v/>
      </c>
    </row>
    <row r="2241" spans="1:10" x14ac:dyDescent="0.25">
      <c r="A2241" t="str">
        <f>IF('01_Rohdaten'!A2241="","",ROW()-1)</f>
        <v/>
      </c>
      <c r="B2241" s="17" t="str">
        <f>IF('01_Rohdaten'!A2241="","",'01_Rohdaten'!A2241)</f>
        <v/>
      </c>
      <c r="C2241" s="17" t="str">
        <f>IF(B2241="","",INDEX('01_Rohdaten'!B2241:D2241,'02_Eingaben'!$C$13))</f>
        <v/>
      </c>
      <c r="D2241" s="17" t="str">
        <f>IF(C2241="","",C2241*'02_Eingaben'!$C$15)</f>
        <v/>
      </c>
      <c r="E2241" s="17" t="str">
        <f>IF(D2241="","",D2241*'02_Eingaben'!$C$8)</f>
        <v/>
      </c>
      <c r="F2241" s="17" t="str">
        <f>IF(E2241="","",AVERAGE(INDEX($E$2:$E$3001,MAX(1,ROW()-1-'02_Eingaben'!$C$17)):INDEX($E$2:$E$3001,MIN('02_Eingaben'!$C$21,ROW()-1+'02_Eingaben'!$C$17))))</f>
        <v/>
      </c>
      <c r="G2241" s="17" t="str">
        <f>IF(F2241="","",F2241-'02_Eingaben'!$C$10)</f>
        <v/>
      </c>
      <c r="H2241" t="str">
        <f>IF(F2241="","",IF(F2241&lt;'02_Eingaben'!$C$18*'02_Eingaben'!$C$10,1,0))</f>
        <v/>
      </c>
      <c r="I2241" s="17" t="str">
        <f t="shared" si="34"/>
        <v/>
      </c>
      <c r="J2241" s="17" t="str">
        <f>IF(B2241="","",IF(B2240&lt;'02_Eingaben'!$C$36,0,J2240+I2240/'02_Eingaben'!$C$8))</f>
        <v/>
      </c>
    </row>
    <row r="2242" spans="1:10" x14ac:dyDescent="0.25">
      <c r="A2242" t="str">
        <f>IF('01_Rohdaten'!A2242="","",ROW()-1)</f>
        <v/>
      </c>
      <c r="B2242" s="17" t="str">
        <f>IF('01_Rohdaten'!A2242="","",'01_Rohdaten'!A2242)</f>
        <v/>
      </c>
      <c r="C2242" s="17" t="str">
        <f>IF(B2242="","",INDEX('01_Rohdaten'!B2242:D2242,'02_Eingaben'!$C$13))</f>
        <v/>
      </c>
      <c r="D2242" s="17" t="str">
        <f>IF(C2242="","",C2242*'02_Eingaben'!$C$15)</f>
        <v/>
      </c>
      <c r="E2242" s="17" t="str">
        <f>IF(D2242="","",D2242*'02_Eingaben'!$C$8)</f>
        <v/>
      </c>
      <c r="F2242" s="17" t="str">
        <f>IF(E2242="","",AVERAGE(INDEX($E$2:$E$3001,MAX(1,ROW()-1-'02_Eingaben'!$C$17)):INDEX($E$2:$E$3001,MIN('02_Eingaben'!$C$21,ROW()-1+'02_Eingaben'!$C$17))))</f>
        <v/>
      </c>
      <c r="G2242" s="17" t="str">
        <f>IF(F2242="","",F2242-'02_Eingaben'!$C$10)</f>
        <v/>
      </c>
      <c r="H2242" t="str">
        <f>IF(F2242="","",IF(F2242&lt;'02_Eingaben'!$C$18*'02_Eingaben'!$C$10,1,0))</f>
        <v/>
      </c>
      <c r="I2242" s="17" t="str">
        <f t="shared" ref="I2242:I2305" si="35">IF(OR(G2242="",G2243=""),"",(G2242+G2243)/2*(B2243-B2242))</f>
        <v/>
      </c>
      <c r="J2242" s="17" t="str">
        <f>IF(B2242="","",IF(B2241&lt;'02_Eingaben'!$C$36,0,J2241+I2241/'02_Eingaben'!$C$8))</f>
        <v/>
      </c>
    </row>
    <row r="2243" spans="1:10" x14ac:dyDescent="0.25">
      <c r="A2243" t="str">
        <f>IF('01_Rohdaten'!A2243="","",ROW()-1)</f>
        <v/>
      </c>
      <c r="B2243" s="17" t="str">
        <f>IF('01_Rohdaten'!A2243="","",'01_Rohdaten'!A2243)</f>
        <v/>
      </c>
      <c r="C2243" s="17" t="str">
        <f>IF(B2243="","",INDEX('01_Rohdaten'!B2243:D2243,'02_Eingaben'!$C$13))</f>
        <v/>
      </c>
      <c r="D2243" s="17" t="str">
        <f>IF(C2243="","",C2243*'02_Eingaben'!$C$15)</f>
        <v/>
      </c>
      <c r="E2243" s="17" t="str">
        <f>IF(D2243="","",D2243*'02_Eingaben'!$C$8)</f>
        <v/>
      </c>
      <c r="F2243" s="17" t="str">
        <f>IF(E2243="","",AVERAGE(INDEX($E$2:$E$3001,MAX(1,ROW()-1-'02_Eingaben'!$C$17)):INDEX($E$2:$E$3001,MIN('02_Eingaben'!$C$21,ROW()-1+'02_Eingaben'!$C$17))))</f>
        <v/>
      </c>
      <c r="G2243" s="17" t="str">
        <f>IF(F2243="","",F2243-'02_Eingaben'!$C$10)</f>
        <v/>
      </c>
      <c r="H2243" t="str">
        <f>IF(F2243="","",IF(F2243&lt;'02_Eingaben'!$C$18*'02_Eingaben'!$C$10,1,0))</f>
        <v/>
      </c>
      <c r="I2243" s="17" t="str">
        <f t="shared" si="35"/>
        <v/>
      </c>
      <c r="J2243" s="17" t="str">
        <f>IF(B2243="","",IF(B2242&lt;'02_Eingaben'!$C$36,0,J2242+I2242/'02_Eingaben'!$C$8))</f>
        <v/>
      </c>
    </row>
    <row r="2244" spans="1:10" x14ac:dyDescent="0.25">
      <c r="A2244" t="str">
        <f>IF('01_Rohdaten'!A2244="","",ROW()-1)</f>
        <v/>
      </c>
      <c r="B2244" s="17" t="str">
        <f>IF('01_Rohdaten'!A2244="","",'01_Rohdaten'!A2244)</f>
        <v/>
      </c>
      <c r="C2244" s="17" t="str">
        <f>IF(B2244="","",INDEX('01_Rohdaten'!B2244:D2244,'02_Eingaben'!$C$13))</f>
        <v/>
      </c>
      <c r="D2244" s="17" t="str">
        <f>IF(C2244="","",C2244*'02_Eingaben'!$C$15)</f>
        <v/>
      </c>
      <c r="E2244" s="17" t="str">
        <f>IF(D2244="","",D2244*'02_Eingaben'!$C$8)</f>
        <v/>
      </c>
      <c r="F2244" s="17" t="str">
        <f>IF(E2244="","",AVERAGE(INDEX($E$2:$E$3001,MAX(1,ROW()-1-'02_Eingaben'!$C$17)):INDEX($E$2:$E$3001,MIN('02_Eingaben'!$C$21,ROW()-1+'02_Eingaben'!$C$17))))</f>
        <v/>
      </c>
      <c r="G2244" s="17" t="str">
        <f>IF(F2244="","",F2244-'02_Eingaben'!$C$10)</f>
        <v/>
      </c>
      <c r="H2244" t="str">
        <f>IF(F2244="","",IF(F2244&lt;'02_Eingaben'!$C$18*'02_Eingaben'!$C$10,1,0))</f>
        <v/>
      </c>
      <c r="I2244" s="17" t="str">
        <f t="shared" si="35"/>
        <v/>
      </c>
      <c r="J2244" s="17" t="str">
        <f>IF(B2244="","",IF(B2243&lt;'02_Eingaben'!$C$36,0,J2243+I2243/'02_Eingaben'!$C$8))</f>
        <v/>
      </c>
    </row>
    <row r="2245" spans="1:10" x14ac:dyDescent="0.25">
      <c r="A2245" t="str">
        <f>IF('01_Rohdaten'!A2245="","",ROW()-1)</f>
        <v/>
      </c>
      <c r="B2245" s="17" t="str">
        <f>IF('01_Rohdaten'!A2245="","",'01_Rohdaten'!A2245)</f>
        <v/>
      </c>
      <c r="C2245" s="17" t="str">
        <f>IF(B2245="","",INDEX('01_Rohdaten'!B2245:D2245,'02_Eingaben'!$C$13))</f>
        <v/>
      </c>
      <c r="D2245" s="17" t="str">
        <f>IF(C2245="","",C2245*'02_Eingaben'!$C$15)</f>
        <v/>
      </c>
      <c r="E2245" s="17" t="str">
        <f>IF(D2245="","",D2245*'02_Eingaben'!$C$8)</f>
        <v/>
      </c>
      <c r="F2245" s="17" t="str">
        <f>IF(E2245="","",AVERAGE(INDEX($E$2:$E$3001,MAX(1,ROW()-1-'02_Eingaben'!$C$17)):INDEX($E$2:$E$3001,MIN('02_Eingaben'!$C$21,ROW()-1+'02_Eingaben'!$C$17))))</f>
        <v/>
      </c>
      <c r="G2245" s="17" t="str">
        <f>IF(F2245="","",F2245-'02_Eingaben'!$C$10)</f>
        <v/>
      </c>
      <c r="H2245" t="str">
        <f>IF(F2245="","",IF(F2245&lt;'02_Eingaben'!$C$18*'02_Eingaben'!$C$10,1,0))</f>
        <v/>
      </c>
      <c r="I2245" s="17" t="str">
        <f t="shared" si="35"/>
        <v/>
      </c>
      <c r="J2245" s="17" t="str">
        <f>IF(B2245="","",IF(B2244&lt;'02_Eingaben'!$C$36,0,J2244+I2244/'02_Eingaben'!$C$8))</f>
        <v/>
      </c>
    </row>
    <row r="2246" spans="1:10" x14ac:dyDescent="0.25">
      <c r="A2246" t="str">
        <f>IF('01_Rohdaten'!A2246="","",ROW()-1)</f>
        <v/>
      </c>
      <c r="B2246" s="17" t="str">
        <f>IF('01_Rohdaten'!A2246="","",'01_Rohdaten'!A2246)</f>
        <v/>
      </c>
      <c r="C2246" s="17" t="str">
        <f>IF(B2246="","",INDEX('01_Rohdaten'!B2246:D2246,'02_Eingaben'!$C$13))</f>
        <v/>
      </c>
      <c r="D2246" s="17" t="str">
        <f>IF(C2246="","",C2246*'02_Eingaben'!$C$15)</f>
        <v/>
      </c>
      <c r="E2246" s="17" t="str">
        <f>IF(D2246="","",D2246*'02_Eingaben'!$C$8)</f>
        <v/>
      </c>
      <c r="F2246" s="17" t="str">
        <f>IF(E2246="","",AVERAGE(INDEX($E$2:$E$3001,MAX(1,ROW()-1-'02_Eingaben'!$C$17)):INDEX($E$2:$E$3001,MIN('02_Eingaben'!$C$21,ROW()-1+'02_Eingaben'!$C$17))))</f>
        <v/>
      </c>
      <c r="G2246" s="17" t="str">
        <f>IF(F2246="","",F2246-'02_Eingaben'!$C$10)</f>
        <v/>
      </c>
      <c r="H2246" t="str">
        <f>IF(F2246="","",IF(F2246&lt;'02_Eingaben'!$C$18*'02_Eingaben'!$C$10,1,0))</f>
        <v/>
      </c>
      <c r="I2246" s="17" t="str">
        <f t="shared" si="35"/>
        <v/>
      </c>
      <c r="J2246" s="17" t="str">
        <f>IF(B2246="","",IF(B2245&lt;'02_Eingaben'!$C$36,0,J2245+I2245/'02_Eingaben'!$C$8))</f>
        <v/>
      </c>
    </row>
    <row r="2247" spans="1:10" x14ac:dyDescent="0.25">
      <c r="A2247" t="str">
        <f>IF('01_Rohdaten'!A2247="","",ROW()-1)</f>
        <v/>
      </c>
      <c r="B2247" s="17" t="str">
        <f>IF('01_Rohdaten'!A2247="","",'01_Rohdaten'!A2247)</f>
        <v/>
      </c>
      <c r="C2247" s="17" t="str">
        <f>IF(B2247="","",INDEX('01_Rohdaten'!B2247:D2247,'02_Eingaben'!$C$13))</f>
        <v/>
      </c>
      <c r="D2247" s="17" t="str">
        <f>IF(C2247="","",C2247*'02_Eingaben'!$C$15)</f>
        <v/>
      </c>
      <c r="E2247" s="17" t="str">
        <f>IF(D2247="","",D2247*'02_Eingaben'!$C$8)</f>
        <v/>
      </c>
      <c r="F2247" s="17" t="str">
        <f>IF(E2247="","",AVERAGE(INDEX($E$2:$E$3001,MAX(1,ROW()-1-'02_Eingaben'!$C$17)):INDEX($E$2:$E$3001,MIN('02_Eingaben'!$C$21,ROW()-1+'02_Eingaben'!$C$17))))</f>
        <v/>
      </c>
      <c r="G2247" s="17" t="str">
        <f>IF(F2247="","",F2247-'02_Eingaben'!$C$10)</f>
        <v/>
      </c>
      <c r="H2247" t="str">
        <f>IF(F2247="","",IF(F2247&lt;'02_Eingaben'!$C$18*'02_Eingaben'!$C$10,1,0))</f>
        <v/>
      </c>
      <c r="I2247" s="17" t="str">
        <f t="shared" si="35"/>
        <v/>
      </c>
      <c r="J2247" s="17" t="str">
        <f>IF(B2247="","",IF(B2246&lt;'02_Eingaben'!$C$36,0,J2246+I2246/'02_Eingaben'!$C$8))</f>
        <v/>
      </c>
    </row>
    <row r="2248" spans="1:10" x14ac:dyDescent="0.25">
      <c r="A2248" t="str">
        <f>IF('01_Rohdaten'!A2248="","",ROW()-1)</f>
        <v/>
      </c>
      <c r="B2248" s="17" t="str">
        <f>IF('01_Rohdaten'!A2248="","",'01_Rohdaten'!A2248)</f>
        <v/>
      </c>
      <c r="C2248" s="17" t="str">
        <f>IF(B2248="","",INDEX('01_Rohdaten'!B2248:D2248,'02_Eingaben'!$C$13))</f>
        <v/>
      </c>
      <c r="D2248" s="17" t="str">
        <f>IF(C2248="","",C2248*'02_Eingaben'!$C$15)</f>
        <v/>
      </c>
      <c r="E2248" s="17" t="str">
        <f>IF(D2248="","",D2248*'02_Eingaben'!$C$8)</f>
        <v/>
      </c>
      <c r="F2248" s="17" t="str">
        <f>IF(E2248="","",AVERAGE(INDEX($E$2:$E$3001,MAX(1,ROW()-1-'02_Eingaben'!$C$17)):INDEX($E$2:$E$3001,MIN('02_Eingaben'!$C$21,ROW()-1+'02_Eingaben'!$C$17))))</f>
        <v/>
      </c>
      <c r="G2248" s="17" t="str">
        <f>IF(F2248="","",F2248-'02_Eingaben'!$C$10)</f>
        <v/>
      </c>
      <c r="H2248" t="str">
        <f>IF(F2248="","",IF(F2248&lt;'02_Eingaben'!$C$18*'02_Eingaben'!$C$10,1,0))</f>
        <v/>
      </c>
      <c r="I2248" s="17" t="str">
        <f t="shared" si="35"/>
        <v/>
      </c>
      <c r="J2248" s="17" t="str">
        <f>IF(B2248="","",IF(B2247&lt;'02_Eingaben'!$C$36,0,J2247+I2247/'02_Eingaben'!$C$8))</f>
        <v/>
      </c>
    </row>
    <row r="2249" spans="1:10" x14ac:dyDescent="0.25">
      <c r="A2249" t="str">
        <f>IF('01_Rohdaten'!A2249="","",ROW()-1)</f>
        <v/>
      </c>
      <c r="B2249" s="17" t="str">
        <f>IF('01_Rohdaten'!A2249="","",'01_Rohdaten'!A2249)</f>
        <v/>
      </c>
      <c r="C2249" s="17" t="str">
        <f>IF(B2249="","",INDEX('01_Rohdaten'!B2249:D2249,'02_Eingaben'!$C$13))</f>
        <v/>
      </c>
      <c r="D2249" s="17" t="str">
        <f>IF(C2249="","",C2249*'02_Eingaben'!$C$15)</f>
        <v/>
      </c>
      <c r="E2249" s="17" t="str">
        <f>IF(D2249="","",D2249*'02_Eingaben'!$C$8)</f>
        <v/>
      </c>
      <c r="F2249" s="17" t="str">
        <f>IF(E2249="","",AVERAGE(INDEX($E$2:$E$3001,MAX(1,ROW()-1-'02_Eingaben'!$C$17)):INDEX($E$2:$E$3001,MIN('02_Eingaben'!$C$21,ROW()-1+'02_Eingaben'!$C$17))))</f>
        <v/>
      </c>
      <c r="G2249" s="17" t="str">
        <f>IF(F2249="","",F2249-'02_Eingaben'!$C$10)</f>
        <v/>
      </c>
      <c r="H2249" t="str">
        <f>IF(F2249="","",IF(F2249&lt;'02_Eingaben'!$C$18*'02_Eingaben'!$C$10,1,0))</f>
        <v/>
      </c>
      <c r="I2249" s="17" t="str">
        <f t="shared" si="35"/>
        <v/>
      </c>
      <c r="J2249" s="17" t="str">
        <f>IF(B2249="","",IF(B2248&lt;'02_Eingaben'!$C$36,0,J2248+I2248/'02_Eingaben'!$C$8))</f>
        <v/>
      </c>
    </row>
    <row r="2250" spans="1:10" x14ac:dyDescent="0.25">
      <c r="A2250" t="str">
        <f>IF('01_Rohdaten'!A2250="","",ROW()-1)</f>
        <v/>
      </c>
      <c r="B2250" s="17" t="str">
        <f>IF('01_Rohdaten'!A2250="","",'01_Rohdaten'!A2250)</f>
        <v/>
      </c>
      <c r="C2250" s="17" t="str">
        <f>IF(B2250="","",INDEX('01_Rohdaten'!B2250:D2250,'02_Eingaben'!$C$13))</f>
        <v/>
      </c>
      <c r="D2250" s="17" t="str">
        <f>IF(C2250="","",C2250*'02_Eingaben'!$C$15)</f>
        <v/>
      </c>
      <c r="E2250" s="17" t="str">
        <f>IF(D2250="","",D2250*'02_Eingaben'!$C$8)</f>
        <v/>
      </c>
      <c r="F2250" s="17" t="str">
        <f>IF(E2250="","",AVERAGE(INDEX($E$2:$E$3001,MAX(1,ROW()-1-'02_Eingaben'!$C$17)):INDEX($E$2:$E$3001,MIN('02_Eingaben'!$C$21,ROW()-1+'02_Eingaben'!$C$17))))</f>
        <v/>
      </c>
      <c r="G2250" s="17" t="str">
        <f>IF(F2250="","",F2250-'02_Eingaben'!$C$10)</f>
        <v/>
      </c>
      <c r="H2250" t="str">
        <f>IF(F2250="","",IF(F2250&lt;'02_Eingaben'!$C$18*'02_Eingaben'!$C$10,1,0))</f>
        <v/>
      </c>
      <c r="I2250" s="17" t="str">
        <f t="shared" si="35"/>
        <v/>
      </c>
      <c r="J2250" s="17" t="str">
        <f>IF(B2250="","",IF(B2249&lt;'02_Eingaben'!$C$36,0,J2249+I2249/'02_Eingaben'!$C$8))</f>
        <v/>
      </c>
    </row>
    <row r="2251" spans="1:10" x14ac:dyDescent="0.25">
      <c r="A2251" t="str">
        <f>IF('01_Rohdaten'!A2251="","",ROW()-1)</f>
        <v/>
      </c>
      <c r="B2251" s="17" t="str">
        <f>IF('01_Rohdaten'!A2251="","",'01_Rohdaten'!A2251)</f>
        <v/>
      </c>
      <c r="C2251" s="17" t="str">
        <f>IF(B2251="","",INDEX('01_Rohdaten'!B2251:D2251,'02_Eingaben'!$C$13))</f>
        <v/>
      </c>
      <c r="D2251" s="17" t="str">
        <f>IF(C2251="","",C2251*'02_Eingaben'!$C$15)</f>
        <v/>
      </c>
      <c r="E2251" s="17" t="str">
        <f>IF(D2251="","",D2251*'02_Eingaben'!$C$8)</f>
        <v/>
      </c>
      <c r="F2251" s="17" t="str">
        <f>IF(E2251="","",AVERAGE(INDEX($E$2:$E$3001,MAX(1,ROW()-1-'02_Eingaben'!$C$17)):INDEX($E$2:$E$3001,MIN('02_Eingaben'!$C$21,ROW()-1+'02_Eingaben'!$C$17))))</f>
        <v/>
      </c>
      <c r="G2251" s="17" t="str">
        <f>IF(F2251="","",F2251-'02_Eingaben'!$C$10)</f>
        <v/>
      </c>
      <c r="H2251" t="str">
        <f>IF(F2251="","",IF(F2251&lt;'02_Eingaben'!$C$18*'02_Eingaben'!$C$10,1,0))</f>
        <v/>
      </c>
      <c r="I2251" s="17" t="str">
        <f t="shared" si="35"/>
        <v/>
      </c>
      <c r="J2251" s="17" t="str">
        <f>IF(B2251="","",IF(B2250&lt;'02_Eingaben'!$C$36,0,J2250+I2250/'02_Eingaben'!$C$8))</f>
        <v/>
      </c>
    </row>
    <row r="2252" spans="1:10" x14ac:dyDescent="0.25">
      <c r="A2252" t="str">
        <f>IF('01_Rohdaten'!A2252="","",ROW()-1)</f>
        <v/>
      </c>
      <c r="B2252" s="17" t="str">
        <f>IF('01_Rohdaten'!A2252="","",'01_Rohdaten'!A2252)</f>
        <v/>
      </c>
      <c r="C2252" s="17" t="str">
        <f>IF(B2252="","",INDEX('01_Rohdaten'!B2252:D2252,'02_Eingaben'!$C$13))</f>
        <v/>
      </c>
      <c r="D2252" s="17" t="str">
        <f>IF(C2252="","",C2252*'02_Eingaben'!$C$15)</f>
        <v/>
      </c>
      <c r="E2252" s="17" t="str">
        <f>IF(D2252="","",D2252*'02_Eingaben'!$C$8)</f>
        <v/>
      </c>
      <c r="F2252" s="17" t="str">
        <f>IF(E2252="","",AVERAGE(INDEX($E$2:$E$3001,MAX(1,ROW()-1-'02_Eingaben'!$C$17)):INDEX($E$2:$E$3001,MIN('02_Eingaben'!$C$21,ROW()-1+'02_Eingaben'!$C$17))))</f>
        <v/>
      </c>
      <c r="G2252" s="17" t="str">
        <f>IF(F2252="","",F2252-'02_Eingaben'!$C$10)</f>
        <v/>
      </c>
      <c r="H2252" t="str">
        <f>IF(F2252="","",IF(F2252&lt;'02_Eingaben'!$C$18*'02_Eingaben'!$C$10,1,0))</f>
        <v/>
      </c>
      <c r="I2252" s="17" t="str">
        <f t="shared" si="35"/>
        <v/>
      </c>
      <c r="J2252" s="17" t="str">
        <f>IF(B2252="","",IF(B2251&lt;'02_Eingaben'!$C$36,0,J2251+I2251/'02_Eingaben'!$C$8))</f>
        <v/>
      </c>
    </row>
    <row r="2253" spans="1:10" x14ac:dyDescent="0.25">
      <c r="A2253" t="str">
        <f>IF('01_Rohdaten'!A2253="","",ROW()-1)</f>
        <v/>
      </c>
      <c r="B2253" s="17" t="str">
        <f>IF('01_Rohdaten'!A2253="","",'01_Rohdaten'!A2253)</f>
        <v/>
      </c>
      <c r="C2253" s="17" t="str">
        <f>IF(B2253="","",INDEX('01_Rohdaten'!B2253:D2253,'02_Eingaben'!$C$13))</f>
        <v/>
      </c>
      <c r="D2253" s="17" t="str">
        <f>IF(C2253="","",C2253*'02_Eingaben'!$C$15)</f>
        <v/>
      </c>
      <c r="E2253" s="17" t="str">
        <f>IF(D2253="","",D2253*'02_Eingaben'!$C$8)</f>
        <v/>
      </c>
      <c r="F2253" s="17" t="str">
        <f>IF(E2253="","",AVERAGE(INDEX($E$2:$E$3001,MAX(1,ROW()-1-'02_Eingaben'!$C$17)):INDEX($E$2:$E$3001,MIN('02_Eingaben'!$C$21,ROW()-1+'02_Eingaben'!$C$17))))</f>
        <v/>
      </c>
      <c r="G2253" s="17" t="str">
        <f>IF(F2253="","",F2253-'02_Eingaben'!$C$10)</f>
        <v/>
      </c>
      <c r="H2253" t="str">
        <f>IF(F2253="","",IF(F2253&lt;'02_Eingaben'!$C$18*'02_Eingaben'!$C$10,1,0))</f>
        <v/>
      </c>
      <c r="I2253" s="17" t="str">
        <f t="shared" si="35"/>
        <v/>
      </c>
      <c r="J2253" s="17" t="str">
        <f>IF(B2253="","",IF(B2252&lt;'02_Eingaben'!$C$36,0,J2252+I2252/'02_Eingaben'!$C$8))</f>
        <v/>
      </c>
    </row>
    <row r="2254" spans="1:10" x14ac:dyDescent="0.25">
      <c r="A2254" t="str">
        <f>IF('01_Rohdaten'!A2254="","",ROW()-1)</f>
        <v/>
      </c>
      <c r="B2254" s="17" t="str">
        <f>IF('01_Rohdaten'!A2254="","",'01_Rohdaten'!A2254)</f>
        <v/>
      </c>
      <c r="C2254" s="17" t="str">
        <f>IF(B2254="","",INDEX('01_Rohdaten'!B2254:D2254,'02_Eingaben'!$C$13))</f>
        <v/>
      </c>
      <c r="D2254" s="17" t="str">
        <f>IF(C2254="","",C2254*'02_Eingaben'!$C$15)</f>
        <v/>
      </c>
      <c r="E2254" s="17" t="str">
        <f>IF(D2254="","",D2254*'02_Eingaben'!$C$8)</f>
        <v/>
      </c>
      <c r="F2254" s="17" t="str">
        <f>IF(E2254="","",AVERAGE(INDEX($E$2:$E$3001,MAX(1,ROW()-1-'02_Eingaben'!$C$17)):INDEX($E$2:$E$3001,MIN('02_Eingaben'!$C$21,ROW()-1+'02_Eingaben'!$C$17))))</f>
        <v/>
      </c>
      <c r="G2254" s="17" t="str">
        <f>IF(F2254="","",F2254-'02_Eingaben'!$C$10)</f>
        <v/>
      </c>
      <c r="H2254" t="str">
        <f>IF(F2254="","",IF(F2254&lt;'02_Eingaben'!$C$18*'02_Eingaben'!$C$10,1,0))</f>
        <v/>
      </c>
      <c r="I2254" s="17" t="str">
        <f t="shared" si="35"/>
        <v/>
      </c>
      <c r="J2254" s="17" t="str">
        <f>IF(B2254="","",IF(B2253&lt;'02_Eingaben'!$C$36,0,J2253+I2253/'02_Eingaben'!$C$8))</f>
        <v/>
      </c>
    </row>
    <row r="2255" spans="1:10" x14ac:dyDescent="0.25">
      <c r="A2255" t="str">
        <f>IF('01_Rohdaten'!A2255="","",ROW()-1)</f>
        <v/>
      </c>
      <c r="B2255" s="17" t="str">
        <f>IF('01_Rohdaten'!A2255="","",'01_Rohdaten'!A2255)</f>
        <v/>
      </c>
      <c r="C2255" s="17" t="str">
        <f>IF(B2255="","",INDEX('01_Rohdaten'!B2255:D2255,'02_Eingaben'!$C$13))</f>
        <v/>
      </c>
      <c r="D2255" s="17" t="str">
        <f>IF(C2255="","",C2255*'02_Eingaben'!$C$15)</f>
        <v/>
      </c>
      <c r="E2255" s="17" t="str">
        <f>IF(D2255="","",D2255*'02_Eingaben'!$C$8)</f>
        <v/>
      </c>
      <c r="F2255" s="17" t="str">
        <f>IF(E2255="","",AVERAGE(INDEX($E$2:$E$3001,MAX(1,ROW()-1-'02_Eingaben'!$C$17)):INDEX($E$2:$E$3001,MIN('02_Eingaben'!$C$21,ROW()-1+'02_Eingaben'!$C$17))))</f>
        <v/>
      </c>
      <c r="G2255" s="17" t="str">
        <f>IF(F2255="","",F2255-'02_Eingaben'!$C$10)</f>
        <v/>
      </c>
      <c r="H2255" t="str">
        <f>IF(F2255="","",IF(F2255&lt;'02_Eingaben'!$C$18*'02_Eingaben'!$C$10,1,0))</f>
        <v/>
      </c>
      <c r="I2255" s="17" t="str">
        <f t="shared" si="35"/>
        <v/>
      </c>
      <c r="J2255" s="17" t="str">
        <f>IF(B2255="","",IF(B2254&lt;'02_Eingaben'!$C$36,0,J2254+I2254/'02_Eingaben'!$C$8))</f>
        <v/>
      </c>
    </row>
    <row r="2256" spans="1:10" x14ac:dyDescent="0.25">
      <c r="A2256" t="str">
        <f>IF('01_Rohdaten'!A2256="","",ROW()-1)</f>
        <v/>
      </c>
      <c r="B2256" s="17" t="str">
        <f>IF('01_Rohdaten'!A2256="","",'01_Rohdaten'!A2256)</f>
        <v/>
      </c>
      <c r="C2256" s="17" t="str">
        <f>IF(B2256="","",INDEX('01_Rohdaten'!B2256:D2256,'02_Eingaben'!$C$13))</f>
        <v/>
      </c>
      <c r="D2256" s="17" t="str">
        <f>IF(C2256="","",C2256*'02_Eingaben'!$C$15)</f>
        <v/>
      </c>
      <c r="E2256" s="17" t="str">
        <f>IF(D2256="","",D2256*'02_Eingaben'!$C$8)</f>
        <v/>
      </c>
      <c r="F2256" s="17" t="str">
        <f>IF(E2256="","",AVERAGE(INDEX($E$2:$E$3001,MAX(1,ROW()-1-'02_Eingaben'!$C$17)):INDEX($E$2:$E$3001,MIN('02_Eingaben'!$C$21,ROW()-1+'02_Eingaben'!$C$17))))</f>
        <v/>
      </c>
      <c r="G2256" s="17" t="str">
        <f>IF(F2256="","",F2256-'02_Eingaben'!$C$10)</f>
        <v/>
      </c>
      <c r="H2256" t="str">
        <f>IF(F2256="","",IF(F2256&lt;'02_Eingaben'!$C$18*'02_Eingaben'!$C$10,1,0))</f>
        <v/>
      </c>
      <c r="I2256" s="17" t="str">
        <f t="shared" si="35"/>
        <v/>
      </c>
      <c r="J2256" s="17" t="str">
        <f>IF(B2256="","",IF(B2255&lt;'02_Eingaben'!$C$36,0,J2255+I2255/'02_Eingaben'!$C$8))</f>
        <v/>
      </c>
    </row>
    <row r="2257" spans="1:10" x14ac:dyDescent="0.25">
      <c r="A2257" t="str">
        <f>IF('01_Rohdaten'!A2257="","",ROW()-1)</f>
        <v/>
      </c>
      <c r="B2257" s="17" t="str">
        <f>IF('01_Rohdaten'!A2257="","",'01_Rohdaten'!A2257)</f>
        <v/>
      </c>
      <c r="C2257" s="17" t="str">
        <f>IF(B2257="","",INDEX('01_Rohdaten'!B2257:D2257,'02_Eingaben'!$C$13))</f>
        <v/>
      </c>
      <c r="D2257" s="17" t="str">
        <f>IF(C2257="","",C2257*'02_Eingaben'!$C$15)</f>
        <v/>
      </c>
      <c r="E2257" s="17" t="str">
        <f>IF(D2257="","",D2257*'02_Eingaben'!$C$8)</f>
        <v/>
      </c>
      <c r="F2257" s="17" t="str">
        <f>IF(E2257="","",AVERAGE(INDEX($E$2:$E$3001,MAX(1,ROW()-1-'02_Eingaben'!$C$17)):INDEX($E$2:$E$3001,MIN('02_Eingaben'!$C$21,ROW()-1+'02_Eingaben'!$C$17))))</f>
        <v/>
      </c>
      <c r="G2257" s="17" t="str">
        <f>IF(F2257="","",F2257-'02_Eingaben'!$C$10)</f>
        <v/>
      </c>
      <c r="H2257" t="str">
        <f>IF(F2257="","",IF(F2257&lt;'02_Eingaben'!$C$18*'02_Eingaben'!$C$10,1,0))</f>
        <v/>
      </c>
      <c r="I2257" s="17" t="str">
        <f t="shared" si="35"/>
        <v/>
      </c>
      <c r="J2257" s="17" t="str">
        <f>IF(B2257="","",IF(B2256&lt;'02_Eingaben'!$C$36,0,J2256+I2256/'02_Eingaben'!$C$8))</f>
        <v/>
      </c>
    </row>
    <row r="2258" spans="1:10" x14ac:dyDescent="0.25">
      <c r="A2258" t="str">
        <f>IF('01_Rohdaten'!A2258="","",ROW()-1)</f>
        <v/>
      </c>
      <c r="B2258" s="17" t="str">
        <f>IF('01_Rohdaten'!A2258="","",'01_Rohdaten'!A2258)</f>
        <v/>
      </c>
      <c r="C2258" s="17" t="str">
        <f>IF(B2258="","",INDEX('01_Rohdaten'!B2258:D2258,'02_Eingaben'!$C$13))</f>
        <v/>
      </c>
      <c r="D2258" s="17" t="str">
        <f>IF(C2258="","",C2258*'02_Eingaben'!$C$15)</f>
        <v/>
      </c>
      <c r="E2258" s="17" t="str">
        <f>IF(D2258="","",D2258*'02_Eingaben'!$C$8)</f>
        <v/>
      </c>
      <c r="F2258" s="17" t="str">
        <f>IF(E2258="","",AVERAGE(INDEX($E$2:$E$3001,MAX(1,ROW()-1-'02_Eingaben'!$C$17)):INDEX($E$2:$E$3001,MIN('02_Eingaben'!$C$21,ROW()-1+'02_Eingaben'!$C$17))))</f>
        <v/>
      </c>
      <c r="G2258" s="17" t="str">
        <f>IF(F2258="","",F2258-'02_Eingaben'!$C$10)</f>
        <v/>
      </c>
      <c r="H2258" t="str">
        <f>IF(F2258="","",IF(F2258&lt;'02_Eingaben'!$C$18*'02_Eingaben'!$C$10,1,0))</f>
        <v/>
      </c>
      <c r="I2258" s="17" t="str">
        <f t="shared" si="35"/>
        <v/>
      </c>
      <c r="J2258" s="17" t="str">
        <f>IF(B2258="","",IF(B2257&lt;'02_Eingaben'!$C$36,0,J2257+I2257/'02_Eingaben'!$C$8))</f>
        <v/>
      </c>
    </row>
    <row r="2259" spans="1:10" x14ac:dyDescent="0.25">
      <c r="A2259" t="str">
        <f>IF('01_Rohdaten'!A2259="","",ROW()-1)</f>
        <v/>
      </c>
      <c r="B2259" s="17" t="str">
        <f>IF('01_Rohdaten'!A2259="","",'01_Rohdaten'!A2259)</f>
        <v/>
      </c>
      <c r="C2259" s="17" t="str">
        <f>IF(B2259="","",INDEX('01_Rohdaten'!B2259:D2259,'02_Eingaben'!$C$13))</f>
        <v/>
      </c>
      <c r="D2259" s="17" t="str">
        <f>IF(C2259="","",C2259*'02_Eingaben'!$C$15)</f>
        <v/>
      </c>
      <c r="E2259" s="17" t="str">
        <f>IF(D2259="","",D2259*'02_Eingaben'!$C$8)</f>
        <v/>
      </c>
      <c r="F2259" s="17" t="str">
        <f>IF(E2259="","",AVERAGE(INDEX($E$2:$E$3001,MAX(1,ROW()-1-'02_Eingaben'!$C$17)):INDEX($E$2:$E$3001,MIN('02_Eingaben'!$C$21,ROW()-1+'02_Eingaben'!$C$17))))</f>
        <v/>
      </c>
      <c r="G2259" s="17" t="str">
        <f>IF(F2259="","",F2259-'02_Eingaben'!$C$10)</f>
        <v/>
      </c>
      <c r="H2259" t="str">
        <f>IF(F2259="","",IF(F2259&lt;'02_Eingaben'!$C$18*'02_Eingaben'!$C$10,1,0))</f>
        <v/>
      </c>
      <c r="I2259" s="17" t="str">
        <f t="shared" si="35"/>
        <v/>
      </c>
      <c r="J2259" s="17" t="str">
        <f>IF(B2259="","",IF(B2258&lt;'02_Eingaben'!$C$36,0,J2258+I2258/'02_Eingaben'!$C$8))</f>
        <v/>
      </c>
    </row>
    <row r="2260" spans="1:10" x14ac:dyDescent="0.25">
      <c r="A2260" t="str">
        <f>IF('01_Rohdaten'!A2260="","",ROW()-1)</f>
        <v/>
      </c>
      <c r="B2260" s="17" t="str">
        <f>IF('01_Rohdaten'!A2260="","",'01_Rohdaten'!A2260)</f>
        <v/>
      </c>
      <c r="C2260" s="17" t="str">
        <f>IF(B2260="","",INDEX('01_Rohdaten'!B2260:D2260,'02_Eingaben'!$C$13))</f>
        <v/>
      </c>
      <c r="D2260" s="17" t="str">
        <f>IF(C2260="","",C2260*'02_Eingaben'!$C$15)</f>
        <v/>
      </c>
      <c r="E2260" s="17" t="str">
        <f>IF(D2260="","",D2260*'02_Eingaben'!$C$8)</f>
        <v/>
      </c>
      <c r="F2260" s="17" t="str">
        <f>IF(E2260="","",AVERAGE(INDEX($E$2:$E$3001,MAX(1,ROW()-1-'02_Eingaben'!$C$17)):INDEX($E$2:$E$3001,MIN('02_Eingaben'!$C$21,ROW()-1+'02_Eingaben'!$C$17))))</f>
        <v/>
      </c>
      <c r="G2260" s="17" t="str">
        <f>IF(F2260="","",F2260-'02_Eingaben'!$C$10)</f>
        <v/>
      </c>
      <c r="H2260" t="str">
        <f>IF(F2260="","",IF(F2260&lt;'02_Eingaben'!$C$18*'02_Eingaben'!$C$10,1,0))</f>
        <v/>
      </c>
      <c r="I2260" s="17" t="str">
        <f t="shared" si="35"/>
        <v/>
      </c>
      <c r="J2260" s="17" t="str">
        <f>IF(B2260="","",IF(B2259&lt;'02_Eingaben'!$C$36,0,J2259+I2259/'02_Eingaben'!$C$8))</f>
        <v/>
      </c>
    </row>
    <row r="2261" spans="1:10" x14ac:dyDescent="0.25">
      <c r="A2261" t="str">
        <f>IF('01_Rohdaten'!A2261="","",ROW()-1)</f>
        <v/>
      </c>
      <c r="B2261" s="17" t="str">
        <f>IF('01_Rohdaten'!A2261="","",'01_Rohdaten'!A2261)</f>
        <v/>
      </c>
      <c r="C2261" s="17" t="str">
        <f>IF(B2261="","",INDEX('01_Rohdaten'!B2261:D2261,'02_Eingaben'!$C$13))</f>
        <v/>
      </c>
      <c r="D2261" s="17" t="str">
        <f>IF(C2261="","",C2261*'02_Eingaben'!$C$15)</f>
        <v/>
      </c>
      <c r="E2261" s="17" t="str">
        <f>IF(D2261="","",D2261*'02_Eingaben'!$C$8)</f>
        <v/>
      </c>
      <c r="F2261" s="17" t="str">
        <f>IF(E2261="","",AVERAGE(INDEX($E$2:$E$3001,MAX(1,ROW()-1-'02_Eingaben'!$C$17)):INDEX($E$2:$E$3001,MIN('02_Eingaben'!$C$21,ROW()-1+'02_Eingaben'!$C$17))))</f>
        <v/>
      </c>
      <c r="G2261" s="17" t="str">
        <f>IF(F2261="","",F2261-'02_Eingaben'!$C$10)</f>
        <v/>
      </c>
      <c r="H2261" t="str">
        <f>IF(F2261="","",IF(F2261&lt;'02_Eingaben'!$C$18*'02_Eingaben'!$C$10,1,0))</f>
        <v/>
      </c>
      <c r="I2261" s="17" t="str">
        <f t="shared" si="35"/>
        <v/>
      </c>
      <c r="J2261" s="17" t="str">
        <f>IF(B2261="","",IF(B2260&lt;'02_Eingaben'!$C$36,0,J2260+I2260/'02_Eingaben'!$C$8))</f>
        <v/>
      </c>
    </row>
    <row r="2262" spans="1:10" x14ac:dyDescent="0.25">
      <c r="A2262" t="str">
        <f>IF('01_Rohdaten'!A2262="","",ROW()-1)</f>
        <v/>
      </c>
      <c r="B2262" s="17" t="str">
        <f>IF('01_Rohdaten'!A2262="","",'01_Rohdaten'!A2262)</f>
        <v/>
      </c>
      <c r="C2262" s="17" t="str">
        <f>IF(B2262="","",INDEX('01_Rohdaten'!B2262:D2262,'02_Eingaben'!$C$13))</f>
        <v/>
      </c>
      <c r="D2262" s="17" t="str">
        <f>IF(C2262="","",C2262*'02_Eingaben'!$C$15)</f>
        <v/>
      </c>
      <c r="E2262" s="17" t="str">
        <f>IF(D2262="","",D2262*'02_Eingaben'!$C$8)</f>
        <v/>
      </c>
      <c r="F2262" s="17" t="str">
        <f>IF(E2262="","",AVERAGE(INDEX($E$2:$E$3001,MAX(1,ROW()-1-'02_Eingaben'!$C$17)):INDEX($E$2:$E$3001,MIN('02_Eingaben'!$C$21,ROW()-1+'02_Eingaben'!$C$17))))</f>
        <v/>
      </c>
      <c r="G2262" s="17" t="str">
        <f>IF(F2262="","",F2262-'02_Eingaben'!$C$10)</f>
        <v/>
      </c>
      <c r="H2262" t="str">
        <f>IF(F2262="","",IF(F2262&lt;'02_Eingaben'!$C$18*'02_Eingaben'!$C$10,1,0))</f>
        <v/>
      </c>
      <c r="I2262" s="17" t="str">
        <f t="shared" si="35"/>
        <v/>
      </c>
      <c r="J2262" s="17" t="str">
        <f>IF(B2262="","",IF(B2261&lt;'02_Eingaben'!$C$36,0,J2261+I2261/'02_Eingaben'!$C$8))</f>
        <v/>
      </c>
    </row>
    <row r="2263" spans="1:10" x14ac:dyDescent="0.25">
      <c r="A2263" t="str">
        <f>IF('01_Rohdaten'!A2263="","",ROW()-1)</f>
        <v/>
      </c>
      <c r="B2263" s="17" t="str">
        <f>IF('01_Rohdaten'!A2263="","",'01_Rohdaten'!A2263)</f>
        <v/>
      </c>
      <c r="C2263" s="17" t="str">
        <f>IF(B2263="","",INDEX('01_Rohdaten'!B2263:D2263,'02_Eingaben'!$C$13))</f>
        <v/>
      </c>
      <c r="D2263" s="17" t="str">
        <f>IF(C2263="","",C2263*'02_Eingaben'!$C$15)</f>
        <v/>
      </c>
      <c r="E2263" s="17" t="str">
        <f>IF(D2263="","",D2263*'02_Eingaben'!$C$8)</f>
        <v/>
      </c>
      <c r="F2263" s="17" t="str">
        <f>IF(E2263="","",AVERAGE(INDEX($E$2:$E$3001,MAX(1,ROW()-1-'02_Eingaben'!$C$17)):INDEX($E$2:$E$3001,MIN('02_Eingaben'!$C$21,ROW()-1+'02_Eingaben'!$C$17))))</f>
        <v/>
      </c>
      <c r="G2263" s="17" t="str">
        <f>IF(F2263="","",F2263-'02_Eingaben'!$C$10)</f>
        <v/>
      </c>
      <c r="H2263" t="str">
        <f>IF(F2263="","",IF(F2263&lt;'02_Eingaben'!$C$18*'02_Eingaben'!$C$10,1,0))</f>
        <v/>
      </c>
      <c r="I2263" s="17" t="str">
        <f t="shared" si="35"/>
        <v/>
      </c>
      <c r="J2263" s="17" t="str">
        <f>IF(B2263="","",IF(B2262&lt;'02_Eingaben'!$C$36,0,J2262+I2262/'02_Eingaben'!$C$8))</f>
        <v/>
      </c>
    </row>
    <row r="2264" spans="1:10" x14ac:dyDescent="0.25">
      <c r="A2264" t="str">
        <f>IF('01_Rohdaten'!A2264="","",ROW()-1)</f>
        <v/>
      </c>
      <c r="B2264" s="17" t="str">
        <f>IF('01_Rohdaten'!A2264="","",'01_Rohdaten'!A2264)</f>
        <v/>
      </c>
      <c r="C2264" s="17" t="str">
        <f>IF(B2264="","",INDEX('01_Rohdaten'!B2264:D2264,'02_Eingaben'!$C$13))</f>
        <v/>
      </c>
      <c r="D2264" s="17" t="str">
        <f>IF(C2264="","",C2264*'02_Eingaben'!$C$15)</f>
        <v/>
      </c>
      <c r="E2264" s="17" t="str">
        <f>IF(D2264="","",D2264*'02_Eingaben'!$C$8)</f>
        <v/>
      </c>
      <c r="F2264" s="17" t="str">
        <f>IF(E2264="","",AVERAGE(INDEX($E$2:$E$3001,MAX(1,ROW()-1-'02_Eingaben'!$C$17)):INDEX($E$2:$E$3001,MIN('02_Eingaben'!$C$21,ROW()-1+'02_Eingaben'!$C$17))))</f>
        <v/>
      </c>
      <c r="G2264" s="17" t="str">
        <f>IF(F2264="","",F2264-'02_Eingaben'!$C$10)</f>
        <v/>
      </c>
      <c r="H2264" t="str">
        <f>IF(F2264="","",IF(F2264&lt;'02_Eingaben'!$C$18*'02_Eingaben'!$C$10,1,0))</f>
        <v/>
      </c>
      <c r="I2264" s="17" t="str">
        <f t="shared" si="35"/>
        <v/>
      </c>
      <c r="J2264" s="17" t="str">
        <f>IF(B2264="","",IF(B2263&lt;'02_Eingaben'!$C$36,0,J2263+I2263/'02_Eingaben'!$C$8))</f>
        <v/>
      </c>
    </row>
    <row r="2265" spans="1:10" x14ac:dyDescent="0.25">
      <c r="A2265" t="str">
        <f>IF('01_Rohdaten'!A2265="","",ROW()-1)</f>
        <v/>
      </c>
      <c r="B2265" s="17" t="str">
        <f>IF('01_Rohdaten'!A2265="","",'01_Rohdaten'!A2265)</f>
        <v/>
      </c>
      <c r="C2265" s="17" t="str">
        <f>IF(B2265="","",INDEX('01_Rohdaten'!B2265:D2265,'02_Eingaben'!$C$13))</f>
        <v/>
      </c>
      <c r="D2265" s="17" t="str">
        <f>IF(C2265="","",C2265*'02_Eingaben'!$C$15)</f>
        <v/>
      </c>
      <c r="E2265" s="17" t="str">
        <f>IF(D2265="","",D2265*'02_Eingaben'!$C$8)</f>
        <v/>
      </c>
      <c r="F2265" s="17" t="str">
        <f>IF(E2265="","",AVERAGE(INDEX($E$2:$E$3001,MAX(1,ROW()-1-'02_Eingaben'!$C$17)):INDEX($E$2:$E$3001,MIN('02_Eingaben'!$C$21,ROW()-1+'02_Eingaben'!$C$17))))</f>
        <v/>
      </c>
      <c r="G2265" s="17" t="str">
        <f>IF(F2265="","",F2265-'02_Eingaben'!$C$10)</f>
        <v/>
      </c>
      <c r="H2265" t="str">
        <f>IF(F2265="","",IF(F2265&lt;'02_Eingaben'!$C$18*'02_Eingaben'!$C$10,1,0))</f>
        <v/>
      </c>
      <c r="I2265" s="17" t="str">
        <f t="shared" si="35"/>
        <v/>
      </c>
      <c r="J2265" s="17" t="str">
        <f>IF(B2265="","",IF(B2264&lt;'02_Eingaben'!$C$36,0,J2264+I2264/'02_Eingaben'!$C$8))</f>
        <v/>
      </c>
    </row>
    <row r="2266" spans="1:10" x14ac:dyDescent="0.25">
      <c r="A2266" t="str">
        <f>IF('01_Rohdaten'!A2266="","",ROW()-1)</f>
        <v/>
      </c>
      <c r="B2266" s="17" t="str">
        <f>IF('01_Rohdaten'!A2266="","",'01_Rohdaten'!A2266)</f>
        <v/>
      </c>
      <c r="C2266" s="17" t="str">
        <f>IF(B2266="","",INDEX('01_Rohdaten'!B2266:D2266,'02_Eingaben'!$C$13))</f>
        <v/>
      </c>
      <c r="D2266" s="17" t="str">
        <f>IF(C2266="","",C2266*'02_Eingaben'!$C$15)</f>
        <v/>
      </c>
      <c r="E2266" s="17" t="str">
        <f>IF(D2266="","",D2266*'02_Eingaben'!$C$8)</f>
        <v/>
      </c>
      <c r="F2266" s="17" t="str">
        <f>IF(E2266="","",AVERAGE(INDEX($E$2:$E$3001,MAX(1,ROW()-1-'02_Eingaben'!$C$17)):INDEX($E$2:$E$3001,MIN('02_Eingaben'!$C$21,ROW()-1+'02_Eingaben'!$C$17))))</f>
        <v/>
      </c>
      <c r="G2266" s="17" t="str">
        <f>IF(F2266="","",F2266-'02_Eingaben'!$C$10)</f>
        <v/>
      </c>
      <c r="H2266" t="str">
        <f>IF(F2266="","",IF(F2266&lt;'02_Eingaben'!$C$18*'02_Eingaben'!$C$10,1,0))</f>
        <v/>
      </c>
      <c r="I2266" s="17" t="str">
        <f t="shared" si="35"/>
        <v/>
      </c>
      <c r="J2266" s="17" t="str">
        <f>IF(B2266="","",IF(B2265&lt;'02_Eingaben'!$C$36,0,J2265+I2265/'02_Eingaben'!$C$8))</f>
        <v/>
      </c>
    </row>
    <row r="2267" spans="1:10" x14ac:dyDescent="0.25">
      <c r="A2267" t="str">
        <f>IF('01_Rohdaten'!A2267="","",ROW()-1)</f>
        <v/>
      </c>
      <c r="B2267" s="17" t="str">
        <f>IF('01_Rohdaten'!A2267="","",'01_Rohdaten'!A2267)</f>
        <v/>
      </c>
      <c r="C2267" s="17" t="str">
        <f>IF(B2267="","",INDEX('01_Rohdaten'!B2267:D2267,'02_Eingaben'!$C$13))</f>
        <v/>
      </c>
      <c r="D2267" s="17" t="str">
        <f>IF(C2267="","",C2267*'02_Eingaben'!$C$15)</f>
        <v/>
      </c>
      <c r="E2267" s="17" t="str">
        <f>IF(D2267="","",D2267*'02_Eingaben'!$C$8)</f>
        <v/>
      </c>
      <c r="F2267" s="17" t="str">
        <f>IF(E2267="","",AVERAGE(INDEX($E$2:$E$3001,MAX(1,ROW()-1-'02_Eingaben'!$C$17)):INDEX($E$2:$E$3001,MIN('02_Eingaben'!$C$21,ROW()-1+'02_Eingaben'!$C$17))))</f>
        <v/>
      </c>
      <c r="G2267" s="17" t="str">
        <f>IF(F2267="","",F2267-'02_Eingaben'!$C$10)</f>
        <v/>
      </c>
      <c r="H2267" t="str">
        <f>IF(F2267="","",IF(F2267&lt;'02_Eingaben'!$C$18*'02_Eingaben'!$C$10,1,0))</f>
        <v/>
      </c>
      <c r="I2267" s="17" t="str">
        <f t="shared" si="35"/>
        <v/>
      </c>
      <c r="J2267" s="17" t="str">
        <f>IF(B2267="","",IF(B2266&lt;'02_Eingaben'!$C$36,0,J2266+I2266/'02_Eingaben'!$C$8))</f>
        <v/>
      </c>
    </row>
    <row r="2268" spans="1:10" x14ac:dyDescent="0.25">
      <c r="A2268" t="str">
        <f>IF('01_Rohdaten'!A2268="","",ROW()-1)</f>
        <v/>
      </c>
      <c r="B2268" s="17" t="str">
        <f>IF('01_Rohdaten'!A2268="","",'01_Rohdaten'!A2268)</f>
        <v/>
      </c>
      <c r="C2268" s="17" t="str">
        <f>IF(B2268="","",INDEX('01_Rohdaten'!B2268:D2268,'02_Eingaben'!$C$13))</f>
        <v/>
      </c>
      <c r="D2268" s="17" t="str">
        <f>IF(C2268="","",C2268*'02_Eingaben'!$C$15)</f>
        <v/>
      </c>
      <c r="E2268" s="17" t="str">
        <f>IF(D2268="","",D2268*'02_Eingaben'!$C$8)</f>
        <v/>
      </c>
      <c r="F2268" s="17" t="str">
        <f>IF(E2268="","",AVERAGE(INDEX($E$2:$E$3001,MAX(1,ROW()-1-'02_Eingaben'!$C$17)):INDEX($E$2:$E$3001,MIN('02_Eingaben'!$C$21,ROW()-1+'02_Eingaben'!$C$17))))</f>
        <v/>
      </c>
      <c r="G2268" s="17" t="str">
        <f>IF(F2268="","",F2268-'02_Eingaben'!$C$10)</f>
        <v/>
      </c>
      <c r="H2268" t="str">
        <f>IF(F2268="","",IF(F2268&lt;'02_Eingaben'!$C$18*'02_Eingaben'!$C$10,1,0))</f>
        <v/>
      </c>
      <c r="I2268" s="17" t="str">
        <f t="shared" si="35"/>
        <v/>
      </c>
      <c r="J2268" s="17" t="str">
        <f>IF(B2268="","",IF(B2267&lt;'02_Eingaben'!$C$36,0,J2267+I2267/'02_Eingaben'!$C$8))</f>
        <v/>
      </c>
    </row>
    <row r="2269" spans="1:10" x14ac:dyDescent="0.25">
      <c r="A2269" t="str">
        <f>IF('01_Rohdaten'!A2269="","",ROW()-1)</f>
        <v/>
      </c>
      <c r="B2269" s="17" t="str">
        <f>IF('01_Rohdaten'!A2269="","",'01_Rohdaten'!A2269)</f>
        <v/>
      </c>
      <c r="C2269" s="17" t="str">
        <f>IF(B2269="","",INDEX('01_Rohdaten'!B2269:D2269,'02_Eingaben'!$C$13))</f>
        <v/>
      </c>
      <c r="D2269" s="17" t="str">
        <f>IF(C2269="","",C2269*'02_Eingaben'!$C$15)</f>
        <v/>
      </c>
      <c r="E2269" s="17" t="str">
        <f>IF(D2269="","",D2269*'02_Eingaben'!$C$8)</f>
        <v/>
      </c>
      <c r="F2269" s="17" t="str">
        <f>IF(E2269="","",AVERAGE(INDEX($E$2:$E$3001,MAX(1,ROW()-1-'02_Eingaben'!$C$17)):INDEX($E$2:$E$3001,MIN('02_Eingaben'!$C$21,ROW()-1+'02_Eingaben'!$C$17))))</f>
        <v/>
      </c>
      <c r="G2269" s="17" t="str">
        <f>IF(F2269="","",F2269-'02_Eingaben'!$C$10)</f>
        <v/>
      </c>
      <c r="H2269" t="str">
        <f>IF(F2269="","",IF(F2269&lt;'02_Eingaben'!$C$18*'02_Eingaben'!$C$10,1,0))</f>
        <v/>
      </c>
      <c r="I2269" s="17" t="str">
        <f t="shared" si="35"/>
        <v/>
      </c>
      <c r="J2269" s="17" t="str">
        <f>IF(B2269="","",IF(B2268&lt;'02_Eingaben'!$C$36,0,J2268+I2268/'02_Eingaben'!$C$8))</f>
        <v/>
      </c>
    </row>
    <row r="2270" spans="1:10" x14ac:dyDescent="0.25">
      <c r="A2270" t="str">
        <f>IF('01_Rohdaten'!A2270="","",ROW()-1)</f>
        <v/>
      </c>
      <c r="B2270" s="17" t="str">
        <f>IF('01_Rohdaten'!A2270="","",'01_Rohdaten'!A2270)</f>
        <v/>
      </c>
      <c r="C2270" s="17" t="str">
        <f>IF(B2270="","",INDEX('01_Rohdaten'!B2270:D2270,'02_Eingaben'!$C$13))</f>
        <v/>
      </c>
      <c r="D2270" s="17" t="str">
        <f>IF(C2270="","",C2270*'02_Eingaben'!$C$15)</f>
        <v/>
      </c>
      <c r="E2270" s="17" t="str">
        <f>IF(D2270="","",D2270*'02_Eingaben'!$C$8)</f>
        <v/>
      </c>
      <c r="F2270" s="17" t="str">
        <f>IF(E2270="","",AVERAGE(INDEX($E$2:$E$3001,MAX(1,ROW()-1-'02_Eingaben'!$C$17)):INDEX($E$2:$E$3001,MIN('02_Eingaben'!$C$21,ROW()-1+'02_Eingaben'!$C$17))))</f>
        <v/>
      </c>
      <c r="G2270" s="17" t="str">
        <f>IF(F2270="","",F2270-'02_Eingaben'!$C$10)</f>
        <v/>
      </c>
      <c r="H2270" t="str">
        <f>IF(F2270="","",IF(F2270&lt;'02_Eingaben'!$C$18*'02_Eingaben'!$C$10,1,0))</f>
        <v/>
      </c>
      <c r="I2270" s="17" t="str">
        <f t="shared" si="35"/>
        <v/>
      </c>
      <c r="J2270" s="17" t="str">
        <f>IF(B2270="","",IF(B2269&lt;'02_Eingaben'!$C$36,0,J2269+I2269/'02_Eingaben'!$C$8))</f>
        <v/>
      </c>
    </row>
    <row r="2271" spans="1:10" x14ac:dyDescent="0.25">
      <c r="A2271" t="str">
        <f>IF('01_Rohdaten'!A2271="","",ROW()-1)</f>
        <v/>
      </c>
      <c r="B2271" s="17" t="str">
        <f>IF('01_Rohdaten'!A2271="","",'01_Rohdaten'!A2271)</f>
        <v/>
      </c>
      <c r="C2271" s="17" t="str">
        <f>IF(B2271="","",INDEX('01_Rohdaten'!B2271:D2271,'02_Eingaben'!$C$13))</f>
        <v/>
      </c>
      <c r="D2271" s="17" t="str">
        <f>IF(C2271="","",C2271*'02_Eingaben'!$C$15)</f>
        <v/>
      </c>
      <c r="E2271" s="17" t="str">
        <f>IF(D2271="","",D2271*'02_Eingaben'!$C$8)</f>
        <v/>
      </c>
      <c r="F2271" s="17" t="str">
        <f>IF(E2271="","",AVERAGE(INDEX($E$2:$E$3001,MAX(1,ROW()-1-'02_Eingaben'!$C$17)):INDEX($E$2:$E$3001,MIN('02_Eingaben'!$C$21,ROW()-1+'02_Eingaben'!$C$17))))</f>
        <v/>
      </c>
      <c r="G2271" s="17" t="str">
        <f>IF(F2271="","",F2271-'02_Eingaben'!$C$10)</f>
        <v/>
      </c>
      <c r="H2271" t="str">
        <f>IF(F2271="","",IF(F2271&lt;'02_Eingaben'!$C$18*'02_Eingaben'!$C$10,1,0))</f>
        <v/>
      </c>
      <c r="I2271" s="17" t="str">
        <f t="shared" si="35"/>
        <v/>
      </c>
      <c r="J2271" s="17" t="str">
        <f>IF(B2271="","",IF(B2270&lt;'02_Eingaben'!$C$36,0,J2270+I2270/'02_Eingaben'!$C$8))</f>
        <v/>
      </c>
    </row>
    <row r="2272" spans="1:10" x14ac:dyDescent="0.25">
      <c r="A2272" t="str">
        <f>IF('01_Rohdaten'!A2272="","",ROW()-1)</f>
        <v/>
      </c>
      <c r="B2272" s="17" t="str">
        <f>IF('01_Rohdaten'!A2272="","",'01_Rohdaten'!A2272)</f>
        <v/>
      </c>
      <c r="C2272" s="17" t="str">
        <f>IF(B2272="","",INDEX('01_Rohdaten'!B2272:D2272,'02_Eingaben'!$C$13))</f>
        <v/>
      </c>
      <c r="D2272" s="17" t="str">
        <f>IF(C2272="","",C2272*'02_Eingaben'!$C$15)</f>
        <v/>
      </c>
      <c r="E2272" s="17" t="str">
        <f>IF(D2272="","",D2272*'02_Eingaben'!$C$8)</f>
        <v/>
      </c>
      <c r="F2272" s="17" t="str">
        <f>IF(E2272="","",AVERAGE(INDEX($E$2:$E$3001,MAX(1,ROW()-1-'02_Eingaben'!$C$17)):INDEX($E$2:$E$3001,MIN('02_Eingaben'!$C$21,ROW()-1+'02_Eingaben'!$C$17))))</f>
        <v/>
      </c>
      <c r="G2272" s="17" t="str">
        <f>IF(F2272="","",F2272-'02_Eingaben'!$C$10)</f>
        <v/>
      </c>
      <c r="H2272" t="str">
        <f>IF(F2272="","",IF(F2272&lt;'02_Eingaben'!$C$18*'02_Eingaben'!$C$10,1,0))</f>
        <v/>
      </c>
      <c r="I2272" s="17" t="str">
        <f t="shared" si="35"/>
        <v/>
      </c>
      <c r="J2272" s="17" t="str">
        <f>IF(B2272="","",IF(B2271&lt;'02_Eingaben'!$C$36,0,J2271+I2271/'02_Eingaben'!$C$8))</f>
        <v/>
      </c>
    </row>
    <row r="2273" spans="1:10" x14ac:dyDescent="0.25">
      <c r="A2273" t="str">
        <f>IF('01_Rohdaten'!A2273="","",ROW()-1)</f>
        <v/>
      </c>
      <c r="B2273" s="17" t="str">
        <f>IF('01_Rohdaten'!A2273="","",'01_Rohdaten'!A2273)</f>
        <v/>
      </c>
      <c r="C2273" s="17" t="str">
        <f>IF(B2273="","",INDEX('01_Rohdaten'!B2273:D2273,'02_Eingaben'!$C$13))</f>
        <v/>
      </c>
      <c r="D2273" s="17" t="str">
        <f>IF(C2273="","",C2273*'02_Eingaben'!$C$15)</f>
        <v/>
      </c>
      <c r="E2273" s="17" t="str">
        <f>IF(D2273="","",D2273*'02_Eingaben'!$C$8)</f>
        <v/>
      </c>
      <c r="F2273" s="17" t="str">
        <f>IF(E2273="","",AVERAGE(INDEX($E$2:$E$3001,MAX(1,ROW()-1-'02_Eingaben'!$C$17)):INDEX($E$2:$E$3001,MIN('02_Eingaben'!$C$21,ROW()-1+'02_Eingaben'!$C$17))))</f>
        <v/>
      </c>
      <c r="G2273" s="17" t="str">
        <f>IF(F2273="","",F2273-'02_Eingaben'!$C$10)</f>
        <v/>
      </c>
      <c r="H2273" t="str">
        <f>IF(F2273="","",IF(F2273&lt;'02_Eingaben'!$C$18*'02_Eingaben'!$C$10,1,0))</f>
        <v/>
      </c>
      <c r="I2273" s="17" t="str">
        <f t="shared" si="35"/>
        <v/>
      </c>
      <c r="J2273" s="17" t="str">
        <f>IF(B2273="","",IF(B2272&lt;'02_Eingaben'!$C$36,0,J2272+I2272/'02_Eingaben'!$C$8))</f>
        <v/>
      </c>
    </row>
    <row r="2274" spans="1:10" x14ac:dyDescent="0.25">
      <c r="A2274" t="str">
        <f>IF('01_Rohdaten'!A2274="","",ROW()-1)</f>
        <v/>
      </c>
      <c r="B2274" s="17" t="str">
        <f>IF('01_Rohdaten'!A2274="","",'01_Rohdaten'!A2274)</f>
        <v/>
      </c>
      <c r="C2274" s="17" t="str">
        <f>IF(B2274="","",INDEX('01_Rohdaten'!B2274:D2274,'02_Eingaben'!$C$13))</f>
        <v/>
      </c>
      <c r="D2274" s="17" t="str">
        <f>IF(C2274="","",C2274*'02_Eingaben'!$C$15)</f>
        <v/>
      </c>
      <c r="E2274" s="17" t="str">
        <f>IF(D2274="","",D2274*'02_Eingaben'!$C$8)</f>
        <v/>
      </c>
      <c r="F2274" s="17" t="str">
        <f>IF(E2274="","",AVERAGE(INDEX($E$2:$E$3001,MAX(1,ROW()-1-'02_Eingaben'!$C$17)):INDEX($E$2:$E$3001,MIN('02_Eingaben'!$C$21,ROW()-1+'02_Eingaben'!$C$17))))</f>
        <v/>
      </c>
      <c r="G2274" s="17" t="str">
        <f>IF(F2274="","",F2274-'02_Eingaben'!$C$10)</f>
        <v/>
      </c>
      <c r="H2274" t="str">
        <f>IF(F2274="","",IF(F2274&lt;'02_Eingaben'!$C$18*'02_Eingaben'!$C$10,1,0))</f>
        <v/>
      </c>
      <c r="I2274" s="17" t="str">
        <f t="shared" si="35"/>
        <v/>
      </c>
      <c r="J2274" s="17" t="str">
        <f>IF(B2274="","",IF(B2273&lt;'02_Eingaben'!$C$36,0,J2273+I2273/'02_Eingaben'!$C$8))</f>
        <v/>
      </c>
    </row>
    <row r="2275" spans="1:10" x14ac:dyDescent="0.25">
      <c r="A2275" t="str">
        <f>IF('01_Rohdaten'!A2275="","",ROW()-1)</f>
        <v/>
      </c>
      <c r="B2275" s="17" t="str">
        <f>IF('01_Rohdaten'!A2275="","",'01_Rohdaten'!A2275)</f>
        <v/>
      </c>
      <c r="C2275" s="17" t="str">
        <f>IF(B2275="","",INDEX('01_Rohdaten'!B2275:D2275,'02_Eingaben'!$C$13))</f>
        <v/>
      </c>
      <c r="D2275" s="17" t="str">
        <f>IF(C2275="","",C2275*'02_Eingaben'!$C$15)</f>
        <v/>
      </c>
      <c r="E2275" s="17" t="str">
        <f>IF(D2275="","",D2275*'02_Eingaben'!$C$8)</f>
        <v/>
      </c>
      <c r="F2275" s="17" t="str">
        <f>IF(E2275="","",AVERAGE(INDEX($E$2:$E$3001,MAX(1,ROW()-1-'02_Eingaben'!$C$17)):INDEX($E$2:$E$3001,MIN('02_Eingaben'!$C$21,ROW()-1+'02_Eingaben'!$C$17))))</f>
        <v/>
      </c>
      <c r="G2275" s="17" t="str">
        <f>IF(F2275="","",F2275-'02_Eingaben'!$C$10)</f>
        <v/>
      </c>
      <c r="H2275" t="str">
        <f>IF(F2275="","",IF(F2275&lt;'02_Eingaben'!$C$18*'02_Eingaben'!$C$10,1,0))</f>
        <v/>
      </c>
      <c r="I2275" s="17" t="str">
        <f t="shared" si="35"/>
        <v/>
      </c>
      <c r="J2275" s="17" t="str">
        <f>IF(B2275="","",IF(B2274&lt;'02_Eingaben'!$C$36,0,J2274+I2274/'02_Eingaben'!$C$8))</f>
        <v/>
      </c>
    </row>
    <row r="2276" spans="1:10" x14ac:dyDescent="0.25">
      <c r="A2276" t="str">
        <f>IF('01_Rohdaten'!A2276="","",ROW()-1)</f>
        <v/>
      </c>
      <c r="B2276" s="17" t="str">
        <f>IF('01_Rohdaten'!A2276="","",'01_Rohdaten'!A2276)</f>
        <v/>
      </c>
      <c r="C2276" s="17" t="str">
        <f>IF(B2276="","",INDEX('01_Rohdaten'!B2276:D2276,'02_Eingaben'!$C$13))</f>
        <v/>
      </c>
      <c r="D2276" s="17" t="str">
        <f>IF(C2276="","",C2276*'02_Eingaben'!$C$15)</f>
        <v/>
      </c>
      <c r="E2276" s="17" t="str">
        <f>IF(D2276="","",D2276*'02_Eingaben'!$C$8)</f>
        <v/>
      </c>
      <c r="F2276" s="17" t="str">
        <f>IF(E2276="","",AVERAGE(INDEX($E$2:$E$3001,MAX(1,ROW()-1-'02_Eingaben'!$C$17)):INDEX($E$2:$E$3001,MIN('02_Eingaben'!$C$21,ROW()-1+'02_Eingaben'!$C$17))))</f>
        <v/>
      </c>
      <c r="G2276" s="17" t="str">
        <f>IF(F2276="","",F2276-'02_Eingaben'!$C$10)</f>
        <v/>
      </c>
      <c r="H2276" t="str">
        <f>IF(F2276="","",IF(F2276&lt;'02_Eingaben'!$C$18*'02_Eingaben'!$C$10,1,0))</f>
        <v/>
      </c>
      <c r="I2276" s="17" t="str">
        <f t="shared" si="35"/>
        <v/>
      </c>
      <c r="J2276" s="17" t="str">
        <f>IF(B2276="","",IF(B2275&lt;'02_Eingaben'!$C$36,0,J2275+I2275/'02_Eingaben'!$C$8))</f>
        <v/>
      </c>
    </row>
    <row r="2277" spans="1:10" x14ac:dyDescent="0.25">
      <c r="A2277" t="str">
        <f>IF('01_Rohdaten'!A2277="","",ROW()-1)</f>
        <v/>
      </c>
      <c r="B2277" s="17" t="str">
        <f>IF('01_Rohdaten'!A2277="","",'01_Rohdaten'!A2277)</f>
        <v/>
      </c>
      <c r="C2277" s="17" t="str">
        <f>IF(B2277="","",INDEX('01_Rohdaten'!B2277:D2277,'02_Eingaben'!$C$13))</f>
        <v/>
      </c>
      <c r="D2277" s="17" t="str">
        <f>IF(C2277="","",C2277*'02_Eingaben'!$C$15)</f>
        <v/>
      </c>
      <c r="E2277" s="17" t="str">
        <f>IF(D2277="","",D2277*'02_Eingaben'!$C$8)</f>
        <v/>
      </c>
      <c r="F2277" s="17" t="str">
        <f>IF(E2277="","",AVERAGE(INDEX($E$2:$E$3001,MAX(1,ROW()-1-'02_Eingaben'!$C$17)):INDEX($E$2:$E$3001,MIN('02_Eingaben'!$C$21,ROW()-1+'02_Eingaben'!$C$17))))</f>
        <v/>
      </c>
      <c r="G2277" s="17" t="str">
        <f>IF(F2277="","",F2277-'02_Eingaben'!$C$10)</f>
        <v/>
      </c>
      <c r="H2277" t="str">
        <f>IF(F2277="","",IF(F2277&lt;'02_Eingaben'!$C$18*'02_Eingaben'!$C$10,1,0))</f>
        <v/>
      </c>
      <c r="I2277" s="17" t="str">
        <f t="shared" si="35"/>
        <v/>
      </c>
      <c r="J2277" s="17" t="str">
        <f>IF(B2277="","",IF(B2276&lt;'02_Eingaben'!$C$36,0,J2276+I2276/'02_Eingaben'!$C$8))</f>
        <v/>
      </c>
    </row>
    <row r="2278" spans="1:10" x14ac:dyDescent="0.25">
      <c r="A2278" t="str">
        <f>IF('01_Rohdaten'!A2278="","",ROW()-1)</f>
        <v/>
      </c>
      <c r="B2278" s="17" t="str">
        <f>IF('01_Rohdaten'!A2278="","",'01_Rohdaten'!A2278)</f>
        <v/>
      </c>
      <c r="C2278" s="17" t="str">
        <f>IF(B2278="","",INDEX('01_Rohdaten'!B2278:D2278,'02_Eingaben'!$C$13))</f>
        <v/>
      </c>
      <c r="D2278" s="17" t="str">
        <f>IF(C2278="","",C2278*'02_Eingaben'!$C$15)</f>
        <v/>
      </c>
      <c r="E2278" s="17" t="str">
        <f>IF(D2278="","",D2278*'02_Eingaben'!$C$8)</f>
        <v/>
      </c>
      <c r="F2278" s="17" t="str">
        <f>IF(E2278="","",AVERAGE(INDEX($E$2:$E$3001,MAX(1,ROW()-1-'02_Eingaben'!$C$17)):INDEX($E$2:$E$3001,MIN('02_Eingaben'!$C$21,ROW()-1+'02_Eingaben'!$C$17))))</f>
        <v/>
      </c>
      <c r="G2278" s="17" t="str">
        <f>IF(F2278="","",F2278-'02_Eingaben'!$C$10)</f>
        <v/>
      </c>
      <c r="H2278" t="str">
        <f>IF(F2278="","",IF(F2278&lt;'02_Eingaben'!$C$18*'02_Eingaben'!$C$10,1,0))</f>
        <v/>
      </c>
      <c r="I2278" s="17" t="str">
        <f t="shared" si="35"/>
        <v/>
      </c>
      <c r="J2278" s="17" t="str">
        <f>IF(B2278="","",IF(B2277&lt;'02_Eingaben'!$C$36,0,J2277+I2277/'02_Eingaben'!$C$8))</f>
        <v/>
      </c>
    </row>
    <row r="2279" spans="1:10" x14ac:dyDescent="0.25">
      <c r="A2279" t="str">
        <f>IF('01_Rohdaten'!A2279="","",ROW()-1)</f>
        <v/>
      </c>
      <c r="B2279" s="17" t="str">
        <f>IF('01_Rohdaten'!A2279="","",'01_Rohdaten'!A2279)</f>
        <v/>
      </c>
      <c r="C2279" s="17" t="str">
        <f>IF(B2279="","",INDEX('01_Rohdaten'!B2279:D2279,'02_Eingaben'!$C$13))</f>
        <v/>
      </c>
      <c r="D2279" s="17" t="str">
        <f>IF(C2279="","",C2279*'02_Eingaben'!$C$15)</f>
        <v/>
      </c>
      <c r="E2279" s="17" t="str">
        <f>IF(D2279="","",D2279*'02_Eingaben'!$C$8)</f>
        <v/>
      </c>
      <c r="F2279" s="17" t="str">
        <f>IF(E2279="","",AVERAGE(INDEX($E$2:$E$3001,MAX(1,ROW()-1-'02_Eingaben'!$C$17)):INDEX($E$2:$E$3001,MIN('02_Eingaben'!$C$21,ROW()-1+'02_Eingaben'!$C$17))))</f>
        <v/>
      </c>
      <c r="G2279" s="17" t="str">
        <f>IF(F2279="","",F2279-'02_Eingaben'!$C$10)</f>
        <v/>
      </c>
      <c r="H2279" t="str">
        <f>IF(F2279="","",IF(F2279&lt;'02_Eingaben'!$C$18*'02_Eingaben'!$C$10,1,0))</f>
        <v/>
      </c>
      <c r="I2279" s="17" t="str">
        <f t="shared" si="35"/>
        <v/>
      </c>
      <c r="J2279" s="17" t="str">
        <f>IF(B2279="","",IF(B2278&lt;'02_Eingaben'!$C$36,0,J2278+I2278/'02_Eingaben'!$C$8))</f>
        <v/>
      </c>
    </row>
    <row r="2280" spans="1:10" x14ac:dyDescent="0.25">
      <c r="A2280" t="str">
        <f>IF('01_Rohdaten'!A2280="","",ROW()-1)</f>
        <v/>
      </c>
      <c r="B2280" s="17" t="str">
        <f>IF('01_Rohdaten'!A2280="","",'01_Rohdaten'!A2280)</f>
        <v/>
      </c>
      <c r="C2280" s="17" t="str">
        <f>IF(B2280="","",INDEX('01_Rohdaten'!B2280:D2280,'02_Eingaben'!$C$13))</f>
        <v/>
      </c>
      <c r="D2280" s="17" t="str">
        <f>IF(C2280="","",C2280*'02_Eingaben'!$C$15)</f>
        <v/>
      </c>
      <c r="E2280" s="17" t="str">
        <f>IF(D2280="","",D2280*'02_Eingaben'!$C$8)</f>
        <v/>
      </c>
      <c r="F2280" s="17" t="str">
        <f>IF(E2280="","",AVERAGE(INDEX($E$2:$E$3001,MAX(1,ROW()-1-'02_Eingaben'!$C$17)):INDEX($E$2:$E$3001,MIN('02_Eingaben'!$C$21,ROW()-1+'02_Eingaben'!$C$17))))</f>
        <v/>
      </c>
      <c r="G2280" s="17" t="str">
        <f>IF(F2280="","",F2280-'02_Eingaben'!$C$10)</f>
        <v/>
      </c>
      <c r="H2280" t="str">
        <f>IF(F2280="","",IF(F2280&lt;'02_Eingaben'!$C$18*'02_Eingaben'!$C$10,1,0))</f>
        <v/>
      </c>
      <c r="I2280" s="17" t="str">
        <f t="shared" si="35"/>
        <v/>
      </c>
      <c r="J2280" s="17" t="str">
        <f>IF(B2280="","",IF(B2279&lt;'02_Eingaben'!$C$36,0,J2279+I2279/'02_Eingaben'!$C$8))</f>
        <v/>
      </c>
    </row>
    <row r="2281" spans="1:10" x14ac:dyDescent="0.25">
      <c r="A2281" t="str">
        <f>IF('01_Rohdaten'!A2281="","",ROW()-1)</f>
        <v/>
      </c>
      <c r="B2281" s="17" t="str">
        <f>IF('01_Rohdaten'!A2281="","",'01_Rohdaten'!A2281)</f>
        <v/>
      </c>
      <c r="C2281" s="17" t="str">
        <f>IF(B2281="","",INDEX('01_Rohdaten'!B2281:D2281,'02_Eingaben'!$C$13))</f>
        <v/>
      </c>
      <c r="D2281" s="17" t="str">
        <f>IF(C2281="","",C2281*'02_Eingaben'!$C$15)</f>
        <v/>
      </c>
      <c r="E2281" s="17" t="str">
        <f>IF(D2281="","",D2281*'02_Eingaben'!$C$8)</f>
        <v/>
      </c>
      <c r="F2281" s="17" t="str">
        <f>IF(E2281="","",AVERAGE(INDEX($E$2:$E$3001,MAX(1,ROW()-1-'02_Eingaben'!$C$17)):INDEX($E$2:$E$3001,MIN('02_Eingaben'!$C$21,ROW()-1+'02_Eingaben'!$C$17))))</f>
        <v/>
      </c>
      <c r="G2281" s="17" t="str">
        <f>IF(F2281="","",F2281-'02_Eingaben'!$C$10)</f>
        <v/>
      </c>
      <c r="H2281" t="str">
        <f>IF(F2281="","",IF(F2281&lt;'02_Eingaben'!$C$18*'02_Eingaben'!$C$10,1,0))</f>
        <v/>
      </c>
      <c r="I2281" s="17" t="str">
        <f t="shared" si="35"/>
        <v/>
      </c>
      <c r="J2281" s="17" t="str">
        <f>IF(B2281="","",IF(B2280&lt;'02_Eingaben'!$C$36,0,J2280+I2280/'02_Eingaben'!$C$8))</f>
        <v/>
      </c>
    </row>
    <row r="2282" spans="1:10" x14ac:dyDescent="0.25">
      <c r="A2282" t="str">
        <f>IF('01_Rohdaten'!A2282="","",ROW()-1)</f>
        <v/>
      </c>
      <c r="B2282" s="17" t="str">
        <f>IF('01_Rohdaten'!A2282="","",'01_Rohdaten'!A2282)</f>
        <v/>
      </c>
      <c r="C2282" s="17" t="str">
        <f>IF(B2282="","",INDEX('01_Rohdaten'!B2282:D2282,'02_Eingaben'!$C$13))</f>
        <v/>
      </c>
      <c r="D2282" s="17" t="str">
        <f>IF(C2282="","",C2282*'02_Eingaben'!$C$15)</f>
        <v/>
      </c>
      <c r="E2282" s="17" t="str">
        <f>IF(D2282="","",D2282*'02_Eingaben'!$C$8)</f>
        <v/>
      </c>
      <c r="F2282" s="17" t="str">
        <f>IF(E2282="","",AVERAGE(INDEX($E$2:$E$3001,MAX(1,ROW()-1-'02_Eingaben'!$C$17)):INDEX($E$2:$E$3001,MIN('02_Eingaben'!$C$21,ROW()-1+'02_Eingaben'!$C$17))))</f>
        <v/>
      </c>
      <c r="G2282" s="17" t="str">
        <f>IF(F2282="","",F2282-'02_Eingaben'!$C$10)</f>
        <v/>
      </c>
      <c r="H2282" t="str">
        <f>IF(F2282="","",IF(F2282&lt;'02_Eingaben'!$C$18*'02_Eingaben'!$C$10,1,0))</f>
        <v/>
      </c>
      <c r="I2282" s="17" t="str">
        <f t="shared" si="35"/>
        <v/>
      </c>
      <c r="J2282" s="17" t="str">
        <f>IF(B2282="","",IF(B2281&lt;'02_Eingaben'!$C$36,0,J2281+I2281/'02_Eingaben'!$C$8))</f>
        <v/>
      </c>
    </row>
    <row r="2283" spans="1:10" x14ac:dyDescent="0.25">
      <c r="A2283" t="str">
        <f>IF('01_Rohdaten'!A2283="","",ROW()-1)</f>
        <v/>
      </c>
      <c r="B2283" s="17" t="str">
        <f>IF('01_Rohdaten'!A2283="","",'01_Rohdaten'!A2283)</f>
        <v/>
      </c>
      <c r="C2283" s="17" t="str">
        <f>IF(B2283="","",INDEX('01_Rohdaten'!B2283:D2283,'02_Eingaben'!$C$13))</f>
        <v/>
      </c>
      <c r="D2283" s="17" t="str">
        <f>IF(C2283="","",C2283*'02_Eingaben'!$C$15)</f>
        <v/>
      </c>
      <c r="E2283" s="17" t="str">
        <f>IF(D2283="","",D2283*'02_Eingaben'!$C$8)</f>
        <v/>
      </c>
      <c r="F2283" s="17" t="str">
        <f>IF(E2283="","",AVERAGE(INDEX($E$2:$E$3001,MAX(1,ROW()-1-'02_Eingaben'!$C$17)):INDEX($E$2:$E$3001,MIN('02_Eingaben'!$C$21,ROW()-1+'02_Eingaben'!$C$17))))</f>
        <v/>
      </c>
      <c r="G2283" s="17" t="str">
        <f>IF(F2283="","",F2283-'02_Eingaben'!$C$10)</f>
        <v/>
      </c>
      <c r="H2283" t="str">
        <f>IF(F2283="","",IF(F2283&lt;'02_Eingaben'!$C$18*'02_Eingaben'!$C$10,1,0))</f>
        <v/>
      </c>
      <c r="I2283" s="17" t="str">
        <f t="shared" si="35"/>
        <v/>
      </c>
      <c r="J2283" s="17" t="str">
        <f>IF(B2283="","",IF(B2282&lt;'02_Eingaben'!$C$36,0,J2282+I2282/'02_Eingaben'!$C$8))</f>
        <v/>
      </c>
    </row>
    <row r="2284" spans="1:10" x14ac:dyDescent="0.25">
      <c r="A2284" t="str">
        <f>IF('01_Rohdaten'!A2284="","",ROW()-1)</f>
        <v/>
      </c>
      <c r="B2284" s="17" t="str">
        <f>IF('01_Rohdaten'!A2284="","",'01_Rohdaten'!A2284)</f>
        <v/>
      </c>
      <c r="C2284" s="17" t="str">
        <f>IF(B2284="","",INDEX('01_Rohdaten'!B2284:D2284,'02_Eingaben'!$C$13))</f>
        <v/>
      </c>
      <c r="D2284" s="17" t="str">
        <f>IF(C2284="","",C2284*'02_Eingaben'!$C$15)</f>
        <v/>
      </c>
      <c r="E2284" s="17" t="str">
        <f>IF(D2284="","",D2284*'02_Eingaben'!$C$8)</f>
        <v/>
      </c>
      <c r="F2284" s="17" t="str">
        <f>IF(E2284="","",AVERAGE(INDEX($E$2:$E$3001,MAX(1,ROW()-1-'02_Eingaben'!$C$17)):INDEX($E$2:$E$3001,MIN('02_Eingaben'!$C$21,ROW()-1+'02_Eingaben'!$C$17))))</f>
        <v/>
      </c>
      <c r="G2284" s="17" t="str">
        <f>IF(F2284="","",F2284-'02_Eingaben'!$C$10)</f>
        <v/>
      </c>
      <c r="H2284" t="str">
        <f>IF(F2284="","",IF(F2284&lt;'02_Eingaben'!$C$18*'02_Eingaben'!$C$10,1,0))</f>
        <v/>
      </c>
      <c r="I2284" s="17" t="str">
        <f t="shared" si="35"/>
        <v/>
      </c>
      <c r="J2284" s="17" t="str">
        <f>IF(B2284="","",IF(B2283&lt;'02_Eingaben'!$C$36,0,J2283+I2283/'02_Eingaben'!$C$8))</f>
        <v/>
      </c>
    </row>
    <row r="2285" spans="1:10" x14ac:dyDescent="0.25">
      <c r="A2285" t="str">
        <f>IF('01_Rohdaten'!A2285="","",ROW()-1)</f>
        <v/>
      </c>
      <c r="B2285" s="17" t="str">
        <f>IF('01_Rohdaten'!A2285="","",'01_Rohdaten'!A2285)</f>
        <v/>
      </c>
      <c r="C2285" s="17" t="str">
        <f>IF(B2285="","",INDEX('01_Rohdaten'!B2285:D2285,'02_Eingaben'!$C$13))</f>
        <v/>
      </c>
      <c r="D2285" s="17" t="str">
        <f>IF(C2285="","",C2285*'02_Eingaben'!$C$15)</f>
        <v/>
      </c>
      <c r="E2285" s="17" t="str">
        <f>IF(D2285="","",D2285*'02_Eingaben'!$C$8)</f>
        <v/>
      </c>
      <c r="F2285" s="17" t="str">
        <f>IF(E2285="","",AVERAGE(INDEX($E$2:$E$3001,MAX(1,ROW()-1-'02_Eingaben'!$C$17)):INDEX($E$2:$E$3001,MIN('02_Eingaben'!$C$21,ROW()-1+'02_Eingaben'!$C$17))))</f>
        <v/>
      </c>
      <c r="G2285" s="17" t="str">
        <f>IF(F2285="","",F2285-'02_Eingaben'!$C$10)</f>
        <v/>
      </c>
      <c r="H2285" t="str">
        <f>IF(F2285="","",IF(F2285&lt;'02_Eingaben'!$C$18*'02_Eingaben'!$C$10,1,0))</f>
        <v/>
      </c>
      <c r="I2285" s="17" t="str">
        <f t="shared" si="35"/>
        <v/>
      </c>
      <c r="J2285" s="17" t="str">
        <f>IF(B2285="","",IF(B2284&lt;'02_Eingaben'!$C$36,0,J2284+I2284/'02_Eingaben'!$C$8))</f>
        <v/>
      </c>
    </row>
    <row r="2286" spans="1:10" x14ac:dyDescent="0.25">
      <c r="A2286" t="str">
        <f>IF('01_Rohdaten'!A2286="","",ROW()-1)</f>
        <v/>
      </c>
      <c r="B2286" s="17" t="str">
        <f>IF('01_Rohdaten'!A2286="","",'01_Rohdaten'!A2286)</f>
        <v/>
      </c>
      <c r="C2286" s="17" t="str">
        <f>IF(B2286="","",INDEX('01_Rohdaten'!B2286:D2286,'02_Eingaben'!$C$13))</f>
        <v/>
      </c>
      <c r="D2286" s="17" t="str">
        <f>IF(C2286="","",C2286*'02_Eingaben'!$C$15)</f>
        <v/>
      </c>
      <c r="E2286" s="17" t="str">
        <f>IF(D2286="","",D2286*'02_Eingaben'!$C$8)</f>
        <v/>
      </c>
      <c r="F2286" s="17" t="str">
        <f>IF(E2286="","",AVERAGE(INDEX($E$2:$E$3001,MAX(1,ROW()-1-'02_Eingaben'!$C$17)):INDEX($E$2:$E$3001,MIN('02_Eingaben'!$C$21,ROW()-1+'02_Eingaben'!$C$17))))</f>
        <v/>
      </c>
      <c r="G2286" s="17" t="str">
        <f>IF(F2286="","",F2286-'02_Eingaben'!$C$10)</f>
        <v/>
      </c>
      <c r="H2286" t="str">
        <f>IF(F2286="","",IF(F2286&lt;'02_Eingaben'!$C$18*'02_Eingaben'!$C$10,1,0))</f>
        <v/>
      </c>
      <c r="I2286" s="17" t="str">
        <f t="shared" si="35"/>
        <v/>
      </c>
      <c r="J2286" s="17" t="str">
        <f>IF(B2286="","",IF(B2285&lt;'02_Eingaben'!$C$36,0,J2285+I2285/'02_Eingaben'!$C$8))</f>
        <v/>
      </c>
    </row>
    <row r="2287" spans="1:10" x14ac:dyDescent="0.25">
      <c r="A2287" t="str">
        <f>IF('01_Rohdaten'!A2287="","",ROW()-1)</f>
        <v/>
      </c>
      <c r="B2287" s="17" t="str">
        <f>IF('01_Rohdaten'!A2287="","",'01_Rohdaten'!A2287)</f>
        <v/>
      </c>
      <c r="C2287" s="17" t="str">
        <f>IF(B2287="","",INDEX('01_Rohdaten'!B2287:D2287,'02_Eingaben'!$C$13))</f>
        <v/>
      </c>
      <c r="D2287" s="17" t="str">
        <f>IF(C2287="","",C2287*'02_Eingaben'!$C$15)</f>
        <v/>
      </c>
      <c r="E2287" s="17" t="str">
        <f>IF(D2287="","",D2287*'02_Eingaben'!$C$8)</f>
        <v/>
      </c>
      <c r="F2287" s="17" t="str">
        <f>IF(E2287="","",AVERAGE(INDEX($E$2:$E$3001,MAX(1,ROW()-1-'02_Eingaben'!$C$17)):INDEX($E$2:$E$3001,MIN('02_Eingaben'!$C$21,ROW()-1+'02_Eingaben'!$C$17))))</f>
        <v/>
      </c>
      <c r="G2287" s="17" t="str">
        <f>IF(F2287="","",F2287-'02_Eingaben'!$C$10)</f>
        <v/>
      </c>
      <c r="H2287" t="str">
        <f>IF(F2287="","",IF(F2287&lt;'02_Eingaben'!$C$18*'02_Eingaben'!$C$10,1,0))</f>
        <v/>
      </c>
      <c r="I2287" s="17" t="str">
        <f t="shared" si="35"/>
        <v/>
      </c>
      <c r="J2287" s="17" t="str">
        <f>IF(B2287="","",IF(B2286&lt;'02_Eingaben'!$C$36,0,J2286+I2286/'02_Eingaben'!$C$8))</f>
        <v/>
      </c>
    </row>
    <row r="2288" spans="1:10" x14ac:dyDescent="0.25">
      <c r="A2288" t="str">
        <f>IF('01_Rohdaten'!A2288="","",ROW()-1)</f>
        <v/>
      </c>
      <c r="B2288" s="17" t="str">
        <f>IF('01_Rohdaten'!A2288="","",'01_Rohdaten'!A2288)</f>
        <v/>
      </c>
      <c r="C2288" s="17" t="str">
        <f>IF(B2288="","",INDEX('01_Rohdaten'!B2288:D2288,'02_Eingaben'!$C$13))</f>
        <v/>
      </c>
      <c r="D2288" s="17" t="str">
        <f>IF(C2288="","",C2288*'02_Eingaben'!$C$15)</f>
        <v/>
      </c>
      <c r="E2288" s="17" t="str">
        <f>IF(D2288="","",D2288*'02_Eingaben'!$C$8)</f>
        <v/>
      </c>
      <c r="F2288" s="17" t="str">
        <f>IF(E2288="","",AVERAGE(INDEX($E$2:$E$3001,MAX(1,ROW()-1-'02_Eingaben'!$C$17)):INDEX($E$2:$E$3001,MIN('02_Eingaben'!$C$21,ROW()-1+'02_Eingaben'!$C$17))))</f>
        <v/>
      </c>
      <c r="G2288" s="17" t="str">
        <f>IF(F2288="","",F2288-'02_Eingaben'!$C$10)</f>
        <v/>
      </c>
      <c r="H2288" t="str">
        <f>IF(F2288="","",IF(F2288&lt;'02_Eingaben'!$C$18*'02_Eingaben'!$C$10,1,0))</f>
        <v/>
      </c>
      <c r="I2288" s="17" t="str">
        <f t="shared" si="35"/>
        <v/>
      </c>
      <c r="J2288" s="17" t="str">
        <f>IF(B2288="","",IF(B2287&lt;'02_Eingaben'!$C$36,0,J2287+I2287/'02_Eingaben'!$C$8))</f>
        <v/>
      </c>
    </row>
    <row r="2289" spans="1:10" x14ac:dyDescent="0.25">
      <c r="A2289" t="str">
        <f>IF('01_Rohdaten'!A2289="","",ROW()-1)</f>
        <v/>
      </c>
      <c r="B2289" s="17" t="str">
        <f>IF('01_Rohdaten'!A2289="","",'01_Rohdaten'!A2289)</f>
        <v/>
      </c>
      <c r="C2289" s="17" t="str">
        <f>IF(B2289="","",INDEX('01_Rohdaten'!B2289:D2289,'02_Eingaben'!$C$13))</f>
        <v/>
      </c>
      <c r="D2289" s="17" t="str">
        <f>IF(C2289="","",C2289*'02_Eingaben'!$C$15)</f>
        <v/>
      </c>
      <c r="E2289" s="17" t="str">
        <f>IF(D2289="","",D2289*'02_Eingaben'!$C$8)</f>
        <v/>
      </c>
      <c r="F2289" s="17" t="str">
        <f>IF(E2289="","",AVERAGE(INDEX($E$2:$E$3001,MAX(1,ROW()-1-'02_Eingaben'!$C$17)):INDEX($E$2:$E$3001,MIN('02_Eingaben'!$C$21,ROW()-1+'02_Eingaben'!$C$17))))</f>
        <v/>
      </c>
      <c r="G2289" s="17" t="str">
        <f>IF(F2289="","",F2289-'02_Eingaben'!$C$10)</f>
        <v/>
      </c>
      <c r="H2289" t="str">
        <f>IF(F2289="","",IF(F2289&lt;'02_Eingaben'!$C$18*'02_Eingaben'!$C$10,1,0))</f>
        <v/>
      </c>
      <c r="I2289" s="17" t="str">
        <f t="shared" si="35"/>
        <v/>
      </c>
      <c r="J2289" s="17" t="str">
        <f>IF(B2289="","",IF(B2288&lt;'02_Eingaben'!$C$36,0,J2288+I2288/'02_Eingaben'!$C$8))</f>
        <v/>
      </c>
    </row>
    <row r="2290" spans="1:10" x14ac:dyDescent="0.25">
      <c r="A2290" t="str">
        <f>IF('01_Rohdaten'!A2290="","",ROW()-1)</f>
        <v/>
      </c>
      <c r="B2290" s="17" t="str">
        <f>IF('01_Rohdaten'!A2290="","",'01_Rohdaten'!A2290)</f>
        <v/>
      </c>
      <c r="C2290" s="17" t="str">
        <f>IF(B2290="","",INDEX('01_Rohdaten'!B2290:D2290,'02_Eingaben'!$C$13))</f>
        <v/>
      </c>
      <c r="D2290" s="17" t="str">
        <f>IF(C2290="","",C2290*'02_Eingaben'!$C$15)</f>
        <v/>
      </c>
      <c r="E2290" s="17" t="str">
        <f>IF(D2290="","",D2290*'02_Eingaben'!$C$8)</f>
        <v/>
      </c>
      <c r="F2290" s="17" t="str">
        <f>IF(E2290="","",AVERAGE(INDEX($E$2:$E$3001,MAX(1,ROW()-1-'02_Eingaben'!$C$17)):INDEX($E$2:$E$3001,MIN('02_Eingaben'!$C$21,ROW()-1+'02_Eingaben'!$C$17))))</f>
        <v/>
      </c>
      <c r="G2290" s="17" t="str">
        <f>IF(F2290="","",F2290-'02_Eingaben'!$C$10)</f>
        <v/>
      </c>
      <c r="H2290" t="str">
        <f>IF(F2290="","",IF(F2290&lt;'02_Eingaben'!$C$18*'02_Eingaben'!$C$10,1,0))</f>
        <v/>
      </c>
      <c r="I2290" s="17" t="str">
        <f t="shared" si="35"/>
        <v/>
      </c>
      <c r="J2290" s="17" t="str">
        <f>IF(B2290="","",IF(B2289&lt;'02_Eingaben'!$C$36,0,J2289+I2289/'02_Eingaben'!$C$8))</f>
        <v/>
      </c>
    </row>
    <row r="2291" spans="1:10" x14ac:dyDescent="0.25">
      <c r="A2291" t="str">
        <f>IF('01_Rohdaten'!A2291="","",ROW()-1)</f>
        <v/>
      </c>
      <c r="B2291" s="17" t="str">
        <f>IF('01_Rohdaten'!A2291="","",'01_Rohdaten'!A2291)</f>
        <v/>
      </c>
      <c r="C2291" s="17" t="str">
        <f>IF(B2291="","",INDEX('01_Rohdaten'!B2291:D2291,'02_Eingaben'!$C$13))</f>
        <v/>
      </c>
      <c r="D2291" s="17" t="str">
        <f>IF(C2291="","",C2291*'02_Eingaben'!$C$15)</f>
        <v/>
      </c>
      <c r="E2291" s="17" t="str">
        <f>IF(D2291="","",D2291*'02_Eingaben'!$C$8)</f>
        <v/>
      </c>
      <c r="F2291" s="17" t="str">
        <f>IF(E2291="","",AVERAGE(INDEX($E$2:$E$3001,MAX(1,ROW()-1-'02_Eingaben'!$C$17)):INDEX($E$2:$E$3001,MIN('02_Eingaben'!$C$21,ROW()-1+'02_Eingaben'!$C$17))))</f>
        <v/>
      </c>
      <c r="G2291" s="17" t="str">
        <f>IF(F2291="","",F2291-'02_Eingaben'!$C$10)</f>
        <v/>
      </c>
      <c r="H2291" t="str">
        <f>IF(F2291="","",IF(F2291&lt;'02_Eingaben'!$C$18*'02_Eingaben'!$C$10,1,0))</f>
        <v/>
      </c>
      <c r="I2291" s="17" t="str">
        <f t="shared" si="35"/>
        <v/>
      </c>
      <c r="J2291" s="17" t="str">
        <f>IF(B2291="","",IF(B2290&lt;'02_Eingaben'!$C$36,0,J2290+I2290/'02_Eingaben'!$C$8))</f>
        <v/>
      </c>
    </row>
    <row r="2292" spans="1:10" x14ac:dyDescent="0.25">
      <c r="A2292" t="str">
        <f>IF('01_Rohdaten'!A2292="","",ROW()-1)</f>
        <v/>
      </c>
      <c r="B2292" s="17" t="str">
        <f>IF('01_Rohdaten'!A2292="","",'01_Rohdaten'!A2292)</f>
        <v/>
      </c>
      <c r="C2292" s="17" t="str">
        <f>IF(B2292="","",INDEX('01_Rohdaten'!B2292:D2292,'02_Eingaben'!$C$13))</f>
        <v/>
      </c>
      <c r="D2292" s="17" t="str">
        <f>IF(C2292="","",C2292*'02_Eingaben'!$C$15)</f>
        <v/>
      </c>
      <c r="E2292" s="17" t="str">
        <f>IF(D2292="","",D2292*'02_Eingaben'!$C$8)</f>
        <v/>
      </c>
      <c r="F2292" s="17" t="str">
        <f>IF(E2292="","",AVERAGE(INDEX($E$2:$E$3001,MAX(1,ROW()-1-'02_Eingaben'!$C$17)):INDEX($E$2:$E$3001,MIN('02_Eingaben'!$C$21,ROW()-1+'02_Eingaben'!$C$17))))</f>
        <v/>
      </c>
      <c r="G2292" s="17" t="str">
        <f>IF(F2292="","",F2292-'02_Eingaben'!$C$10)</f>
        <v/>
      </c>
      <c r="H2292" t="str">
        <f>IF(F2292="","",IF(F2292&lt;'02_Eingaben'!$C$18*'02_Eingaben'!$C$10,1,0))</f>
        <v/>
      </c>
      <c r="I2292" s="17" t="str">
        <f t="shared" si="35"/>
        <v/>
      </c>
      <c r="J2292" s="17" t="str">
        <f>IF(B2292="","",IF(B2291&lt;'02_Eingaben'!$C$36,0,J2291+I2291/'02_Eingaben'!$C$8))</f>
        <v/>
      </c>
    </row>
    <row r="2293" spans="1:10" x14ac:dyDescent="0.25">
      <c r="A2293" t="str">
        <f>IF('01_Rohdaten'!A2293="","",ROW()-1)</f>
        <v/>
      </c>
      <c r="B2293" s="17" t="str">
        <f>IF('01_Rohdaten'!A2293="","",'01_Rohdaten'!A2293)</f>
        <v/>
      </c>
      <c r="C2293" s="17" t="str">
        <f>IF(B2293="","",INDEX('01_Rohdaten'!B2293:D2293,'02_Eingaben'!$C$13))</f>
        <v/>
      </c>
      <c r="D2293" s="17" t="str">
        <f>IF(C2293="","",C2293*'02_Eingaben'!$C$15)</f>
        <v/>
      </c>
      <c r="E2293" s="17" t="str">
        <f>IF(D2293="","",D2293*'02_Eingaben'!$C$8)</f>
        <v/>
      </c>
      <c r="F2293" s="17" t="str">
        <f>IF(E2293="","",AVERAGE(INDEX($E$2:$E$3001,MAX(1,ROW()-1-'02_Eingaben'!$C$17)):INDEX($E$2:$E$3001,MIN('02_Eingaben'!$C$21,ROW()-1+'02_Eingaben'!$C$17))))</f>
        <v/>
      </c>
      <c r="G2293" s="17" t="str">
        <f>IF(F2293="","",F2293-'02_Eingaben'!$C$10)</f>
        <v/>
      </c>
      <c r="H2293" t="str">
        <f>IF(F2293="","",IF(F2293&lt;'02_Eingaben'!$C$18*'02_Eingaben'!$C$10,1,0))</f>
        <v/>
      </c>
      <c r="I2293" s="17" t="str">
        <f t="shared" si="35"/>
        <v/>
      </c>
      <c r="J2293" s="17" t="str">
        <f>IF(B2293="","",IF(B2292&lt;'02_Eingaben'!$C$36,0,J2292+I2292/'02_Eingaben'!$C$8))</f>
        <v/>
      </c>
    </row>
    <row r="2294" spans="1:10" x14ac:dyDescent="0.25">
      <c r="A2294" t="str">
        <f>IF('01_Rohdaten'!A2294="","",ROW()-1)</f>
        <v/>
      </c>
      <c r="B2294" s="17" t="str">
        <f>IF('01_Rohdaten'!A2294="","",'01_Rohdaten'!A2294)</f>
        <v/>
      </c>
      <c r="C2294" s="17" t="str">
        <f>IF(B2294="","",INDEX('01_Rohdaten'!B2294:D2294,'02_Eingaben'!$C$13))</f>
        <v/>
      </c>
      <c r="D2294" s="17" t="str">
        <f>IF(C2294="","",C2294*'02_Eingaben'!$C$15)</f>
        <v/>
      </c>
      <c r="E2294" s="17" t="str">
        <f>IF(D2294="","",D2294*'02_Eingaben'!$C$8)</f>
        <v/>
      </c>
      <c r="F2294" s="17" t="str">
        <f>IF(E2294="","",AVERAGE(INDEX($E$2:$E$3001,MAX(1,ROW()-1-'02_Eingaben'!$C$17)):INDEX($E$2:$E$3001,MIN('02_Eingaben'!$C$21,ROW()-1+'02_Eingaben'!$C$17))))</f>
        <v/>
      </c>
      <c r="G2294" s="17" t="str">
        <f>IF(F2294="","",F2294-'02_Eingaben'!$C$10)</f>
        <v/>
      </c>
      <c r="H2294" t="str">
        <f>IF(F2294="","",IF(F2294&lt;'02_Eingaben'!$C$18*'02_Eingaben'!$C$10,1,0))</f>
        <v/>
      </c>
      <c r="I2294" s="17" t="str">
        <f t="shared" si="35"/>
        <v/>
      </c>
      <c r="J2294" s="17" t="str">
        <f>IF(B2294="","",IF(B2293&lt;'02_Eingaben'!$C$36,0,J2293+I2293/'02_Eingaben'!$C$8))</f>
        <v/>
      </c>
    </row>
    <row r="2295" spans="1:10" x14ac:dyDescent="0.25">
      <c r="A2295" t="str">
        <f>IF('01_Rohdaten'!A2295="","",ROW()-1)</f>
        <v/>
      </c>
      <c r="B2295" s="17" t="str">
        <f>IF('01_Rohdaten'!A2295="","",'01_Rohdaten'!A2295)</f>
        <v/>
      </c>
      <c r="C2295" s="17" t="str">
        <f>IF(B2295="","",INDEX('01_Rohdaten'!B2295:D2295,'02_Eingaben'!$C$13))</f>
        <v/>
      </c>
      <c r="D2295" s="17" t="str">
        <f>IF(C2295="","",C2295*'02_Eingaben'!$C$15)</f>
        <v/>
      </c>
      <c r="E2295" s="17" t="str">
        <f>IF(D2295="","",D2295*'02_Eingaben'!$C$8)</f>
        <v/>
      </c>
      <c r="F2295" s="17" t="str">
        <f>IF(E2295="","",AVERAGE(INDEX($E$2:$E$3001,MAX(1,ROW()-1-'02_Eingaben'!$C$17)):INDEX($E$2:$E$3001,MIN('02_Eingaben'!$C$21,ROW()-1+'02_Eingaben'!$C$17))))</f>
        <v/>
      </c>
      <c r="G2295" s="17" t="str">
        <f>IF(F2295="","",F2295-'02_Eingaben'!$C$10)</f>
        <v/>
      </c>
      <c r="H2295" t="str">
        <f>IF(F2295="","",IF(F2295&lt;'02_Eingaben'!$C$18*'02_Eingaben'!$C$10,1,0))</f>
        <v/>
      </c>
      <c r="I2295" s="17" t="str">
        <f t="shared" si="35"/>
        <v/>
      </c>
      <c r="J2295" s="17" t="str">
        <f>IF(B2295="","",IF(B2294&lt;'02_Eingaben'!$C$36,0,J2294+I2294/'02_Eingaben'!$C$8))</f>
        <v/>
      </c>
    </row>
    <row r="2296" spans="1:10" x14ac:dyDescent="0.25">
      <c r="A2296" t="str">
        <f>IF('01_Rohdaten'!A2296="","",ROW()-1)</f>
        <v/>
      </c>
      <c r="B2296" s="17" t="str">
        <f>IF('01_Rohdaten'!A2296="","",'01_Rohdaten'!A2296)</f>
        <v/>
      </c>
      <c r="C2296" s="17" t="str">
        <f>IF(B2296="","",INDEX('01_Rohdaten'!B2296:D2296,'02_Eingaben'!$C$13))</f>
        <v/>
      </c>
      <c r="D2296" s="17" t="str">
        <f>IF(C2296="","",C2296*'02_Eingaben'!$C$15)</f>
        <v/>
      </c>
      <c r="E2296" s="17" t="str">
        <f>IF(D2296="","",D2296*'02_Eingaben'!$C$8)</f>
        <v/>
      </c>
      <c r="F2296" s="17" t="str">
        <f>IF(E2296="","",AVERAGE(INDEX($E$2:$E$3001,MAX(1,ROW()-1-'02_Eingaben'!$C$17)):INDEX($E$2:$E$3001,MIN('02_Eingaben'!$C$21,ROW()-1+'02_Eingaben'!$C$17))))</f>
        <v/>
      </c>
      <c r="G2296" s="17" t="str">
        <f>IF(F2296="","",F2296-'02_Eingaben'!$C$10)</f>
        <v/>
      </c>
      <c r="H2296" t="str">
        <f>IF(F2296="","",IF(F2296&lt;'02_Eingaben'!$C$18*'02_Eingaben'!$C$10,1,0))</f>
        <v/>
      </c>
      <c r="I2296" s="17" t="str">
        <f t="shared" si="35"/>
        <v/>
      </c>
      <c r="J2296" s="17" t="str">
        <f>IF(B2296="","",IF(B2295&lt;'02_Eingaben'!$C$36,0,J2295+I2295/'02_Eingaben'!$C$8))</f>
        <v/>
      </c>
    </row>
    <row r="2297" spans="1:10" x14ac:dyDescent="0.25">
      <c r="A2297" t="str">
        <f>IF('01_Rohdaten'!A2297="","",ROW()-1)</f>
        <v/>
      </c>
      <c r="B2297" s="17" t="str">
        <f>IF('01_Rohdaten'!A2297="","",'01_Rohdaten'!A2297)</f>
        <v/>
      </c>
      <c r="C2297" s="17" t="str">
        <f>IF(B2297="","",INDEX('01_Rohdaten'!B2297:D2297,'02_Eingaben'!$C$13))</f>
        <v/>
      </c>
      <c r="D2297" s="17" t="str">
        <f>IF(C2297="","",C2297*'02_Eingaben'!$C$15)</f>
        <v/>
      </c>
      <c r="E2297" s="17" t="str">
        <f>IF(D2297="","",D2297*'02_Eingaben'!$C$8)</f>
        <v/>
      </c>
      <c r="F2297" s="17" t="str">
        <f>IF(E2297="","",AVERAGE(INDEX($E$2:$E$3001,MAX(1,ROW()-1-'02_Eingaben'!$C$17)):INDEX($E$2:$E$3001,MIN('02_Eingaben'!$C$21,ROW()-1+'02_Eingaben'!$C$17))))</f>
        <v/>
      </c>
      <c r="G2297" s="17" t="str">
        <f>IF(F2297="","",F2297-'02_Eingaben'!$C$10)</f>
        <v/>
      </c>
      <c r="H2297" t="str">
        <f>IF(F2297="","",IF(F2297&lt;'02_Eingaben'!$C$18*'02_Eingaben'!$C$10,1,0))</f>
        <v/>
      </c>
      <c r="I2297" s="17" t="str">
        <f t="shared" si="35"/>
        <v/>
      </c>
      <c r="J2297" s="17" t="str">
        <f>IF(B2297="","",IF(B2296&lt;'02_Eingaben'!$C$36,0,J2296+I2296/'02_Eingaben'!$C$8))</f>
        <v/>
      </c>
    </row>
    <row r="2298" spans="1:10" x14ac:dyDescent="0.25">
      <c r="A2298" t="str">
        <f>IF('01_Rohdaten'!A2298="","",ROW()-1)</f>
        <v/>
      </c>
      <c r="B2298" s="17" t="str">
        <f>IF('01_Rohdaten'!A2298="","",'01_Rohdaten'!A2298)</f>
        <v/>
      </c>
      <c r="C2298" s="17" t="str">
        <f>IF(B2298="","",INDEX('01_Rohdaten'!B2298:D2298,'02_Eingaben'!$C$13))</f>
        <v/>
      </c>
      <c r="D2298" s="17" t="str">
        <f>IF(C2298="","",C2298*'02_Eingaben'!$C$15)</f>
        <v/>
      </c>
      <c r="E2298" s="17" t="str">
        <f>IF(D2298="","",D2298*'02_Eingaben'!$C$8)</f>
        <v/>
      </c>
      <c r="F2298" s="17" t="str">
        <f>IF(E2298="","",AVERAGE(INDEX($E$2:$E$3001,MAX(1,ROW()-1-'02_Eingaben'!$C$17)):INDEX($E$2:$E$3001,MIN('02_Eingaben'!$C$21,ROW()-1+'02_Eingaben'!$C$17))))</f>
        <v/>
      </c>
      <c r="G2298" s="17" t="str">
        <f>IF(F2298="","",F2298-'02_Eingaben'!$C$10)</f>
        <v/>
      </c>
      <c r="H2298" t="str">
        <f>IF(F2298="","",IF(F2298&lt;'02_Eingaben'!$C$18*'02_Eingaben'!$C$10,1,0))</f>
        <v/>
      </c>
      <c r="I2298" s="17" t="str">
        <f t="shared" si="35"/>
        <v/>
      </c>
      <c r="J2298" s="17" t="str">
        <f>IF(B2298="","",IF(B2297&lt;'02_Eingaben'!$C$36,0,J2297+I2297/'02_Eingaben'!$C$8))</f>
        <v/>
      </c>
    </row>
    <row r="2299" spans="1:10" x14ac:dyDescent="0.25">
      <c r="A2299" t="str">
        <f>IF('01_Rohdaten'!A2299="","",ROW()-1)</f>
        <v/>
      </c>
      <c r="B2299" s="17" t="str">
        <f>IF('01_Rohdaten'!A2299="","",'01_Rohdaten'!A2299)</f>
        <v/>
      </c>
      <c r="C2299" s="17" t="str">
        <f>IF(B2299="","",INDEX('01_Rohdaten'!B2299:D2299,'02_Eingaben'!$C$13))</f>
        <v/>
      </c>
      <c r="D2299" s="17" t="str">
        <f>IF(C2299="","",C2299*'02_Eingaben'!$C$15)</f>
        <v/>
      </c>
      <c r="E2299" s="17" t="str">
        <f>IF(D2299="","",D2299*'02_Eingaben'!$C$8)</f>
        <v/>
      </c>
      <c r="F2299" s="17" t="str">
        <f>IF(E2299="","",AVERAGE(INDEX($E$2:$E$3001,MAX(1,ROW()-1-'02_Eingaben'!$C$17)):INDEX($E$2:$E$3001,MIN('02_Eingaben'!$C$21,ROW()-1+'02_Eingaben'!$C$17))))</f>
        <v/>
      </c>
      <c r="G2299" s="17" t="str">
        <f>IF(F2299="","",F2299-'02_Eingaben'!$C$10)</f>
        <v/>
      </c>
      <c r="H2299" t="str">
        <f>IF(F2299="","",IF(F2299&lt;'02_Eingaben'!$C$18*'02_Eingaben'!$C$10,1,0))</f>
        <v/>
      </c>
      <c r="I2299" s="17" t="str">
        <f t="shared" si="35"/>
        <v/>
      </c>
      <c r="J2299" s="17" t="str">
        <f>IF(B2299="","",IF(B2298&lt;'02_Eingaben'!$C$36,0,J2298+I2298/'02_Eingaben'!$C$8))</f>
        <v/>
      </c>
    </row>
    <row r="2300" spans="1:10" x14ac:dyDescent="0.25">
      <c r="A2300" t="str">
        <f>IF('01_Rohdaten'!A2300="","",ROW()-1)</f>
        <v/>
      </c>
      <c r="B2300" s="17" t="str">
        <f>IF('01_Rohdaten'!A2300="","",'01_Rohdaten'!A2300)</f>
        <v/>
      </c>
      <c r="C2300" s="17" t="str">
        <f>IF(B2300="","",INDEX('01_Rohdaten'!B2300:D2300,'02_Eingaben'!$C$13))</f>
        <v/>
      </c>
      <c r="D2300" s="17" t="str">
        <f>IF(C2300="","",C2300*'02_Eingaben'!$C$15)</f>
        <v/>
      </c>
      <c r="E2300" s="17" t="str">
        <f>IF(D2300="","",D2300*'02_Eingaben'!$C$8)</f>
        <v/>
      </c>
      <c r="F2300" s="17" t="str">
        <f>IF(E2300="","",AVERAGE(INDEX($E$2:$E$3001,MAX(1,ROW()-1-'02_Eingaben'!$C$17)):INDEX($E$2:$E$3001,MIN('02_Eingaben'!$C$21,ROW()-1+'02_Eingaben'!$C$17))))</f>
        <v/>
      </c>
      <c r="G2300" s="17" t="str">
        <f>IF(F2300="","",F2300-'02_Eingaben'!$C$10)</f>
        <v/>
      </c>
      <c r="H2300" t="str">
        <f>IF(F2300="","",IF(F2300&lt;'02_Eingaben'!$C$18*'02_Eingaben'!$C$10,1,0))</f>
        <v/>
      </c>
      <c r="I2300" s="17" t="str">
        <f t="shared" si="35"/>
        <v/>
      </c>
      <c r="J2300" s="17" t="str">
        <f>IF(B2300="","",IF(B2299&lt;'02_Eingaben'!$C$36,0,J2299+I2299/'02_Eingaben'!$C$8))</f>
        <v/>
      </c>
    </row>
    <row r="2301" spans="1:10" x14ac:dyDescent="0.25">
      <c r="A2301" t="str">
        <f>IF('01_Rohdaten'!A2301="","",ROW()-1)</f>
        <v/>
      </c>
      <c r="B2301" s="17" t="str">
        <f>IF('01_Rohdaten'!A2301="","",'01_Rohdaten'!A2301)</f>
        <v/>
      </c>
      <c r="C2301" s="17" t="str">
        <f>IF(B2301="","",INDEX('01_Rohdaten'!B2301:D2301,'02_Eingaben'!$C$13))</f>
        <v/>
      </c>
      <c r="D2301" s="17" t="str">
        <f>IF(C2301="","",C2301*'02_Eingaben'!$C$15)</f>
        <v/>
      </c>
      <c r="E2301" s="17" t="str">
        <f>IF(D2301="","",D2301*'02_Eingaben'!$C$8)</f>
        <v/>
      </c>
      <c r="F2301" s="17" t="str">
        <f>IF(E2301="","",AVERAGE(INDEX($E$2:$E$3001,MAX(1,ROW()-1-'02_Eingaben'!$C$17)):INDEX($E$2:$E$3001,MIN('02_Eingaben'!$C$21,ROW()-1+'02_Eingaben'!$C$17))))</f>
        <v/>
      </c>
      <c r="G2301" s="17" t="str">
        <f>IF(F2301="","",F2301-'02_Eingaben'!$C$10)</f>
        <v/>
      </c>
      <c r="H2301" t="str">
        <f>IF(F2301="","",IF(F2301&lt;'02_Eingaben'!$C$18*'02_Eingaben'!$C$10,1,0))</f>
        <v/>
      </c>
      <c r="I2301" s="17" t="str">
        <f t="shared" si="35"/>
        <v/>
      </c>
      <c r="J2301" s="17" t="str">
        <f>IF(B2301="","",IF(B2300&lt;'02_Eingaben'!$C$36,0,J2300+I2300/'02_Eingaben'!$C$8))</f>
        <v/>
      </c>
    </row>
    <row r="2302" spans="1:10" x14ac:dyDescent="0.25">
      <c r="A2302" t="str">
        <f>IF('01_Rohdaten'!A2302="","",ROW()-1)</f>
        <v/>
      </c>
      <c r="B2302" s="17" t="str">
        <f>IF('01_Rohdaten'!A2302="","",'01_Rohdaten'!A2302)</f>
        <v/>
      </c>
      <c r="C2302" s="17" t="str">
        <f>IF(B2302="","",INDEX('01_Rohdaten'!B2302:D2302,'02_Eingaben'!$C$13))</f>
        <v/>
      </c>
      <c r="D2302" s="17" t="str">
        <f>IF(C2302="","",C2302*'02_Eingaben'!$C$15)</f>
        <v/>
      </c>
      <c r="E2302" s="17" t="str">
        <f>IF(D2302="","",D2302*'02_Eingaben'!$C$8)</f>
        <v/>
      </c>
      <c r="F2302" s="17" t="str">
        <f>IF(E2302="","",AVERAGE(INDEX($E$2:$E$3001,MAX(1,ROW()-1-'02_Eingaben'!$C$17)):INDEX($E$2:$E$3001,MIN('02_Eingaben'!$C$21,ROW()-1+'02_Eingaben'!$C$17))))</f>
        <v/>
      </c>
      <c r="G2302" s="17" t="str">
        <f>IF(F2302="","",F2302-'02_Eingaben'!$C$10)</f>
        <v/>
      </c>
      <c r="H2302" t="str">
        <f>IF(F2302="","",IF(F2302&lt;'02_Eingaben'!$C$18*'02_Eingaben'!$C$10,1,0))</f>
        <v/>
      </c>
      <c r="I2302" s="17" t="str">
        <f t="shared" si="35"/>
        <v/>
      </c>
      <c r="J2302" s="17" t="str">
        <f>IF(B2302="","",IF(B2301&lt;'02_Eingaben'!$C$36,0,J2301+I2301/'02_Eingaben'!$C$8))</f>
        <v/>
      </c>
    </row>
    <row r="2303" spans="1:10" x14ac:dyDescent="0.25">
      <c r="A2303" t="str">
        <f>IF('01_Rohdaten'!A2303="","",ROW()-1)</f>
        <v/>
      </c>
      <c r="B2303" s="17" t="str">
        <f>IF('01_Rohdaten'!A2303="","",'01_Rohdaten'!A2303)</f>
        <v/>
      </c>
      <c r="C2303" s="17" t="str">
        <f>IF(B2303="","",INDEX('01_Rohdaten'!B2303:D2303,'02_Eingaben'!$C$13))</f>
        <v/>
      </c>
      <c r="D2303" s="17" t="str">
        <f>IF(C2303="","",C2303*'02_Eingaben'!$C$15)</f>
        <v/>
      </c>
      <c r="E2303" s="17" t="str">
        <f>IF(D2303="","",D2303*'02_Eingaben'!$C$8)</f>
        <v/>
      </c>
      <c r="F2303" s="17" t="str">
        <f>IF(E2303="","",AVERAGE(INDEX($E$2:$E$3001,MAX(1,ROW()-1-'02_Eingaben'!$C$17)):INDEX($E$2:$E$3001,MIN('02_Eingaben'!$C$21,ROW()-1+'02_Eingaben'!$C$17))))</f>
        <v/>
      </c>
      <c r="G2303" s="17" t="str">
        <f>IF(F2303="","",F2303-'02_Eingaben'!$C$10)</f>
        <v/>
      </c>
      <c r="H2303" t="str">
        <f>IF(F2303="","",IF(F2303&lt;'02_Eingaben'!$C$18*'02_Eingaben'!$C$10,1,0))</f>
        <v/>
      </c>
      <c r="I2303" s="17" t="str">
        <f t="shared" si="35"/>
        <v/>
      </c>
      <c r="J2303" s="17" t="str">
        <f>IF(B2303="","",IF(B2302&lt;'02_Eingaben'!$C$36,0,J2302+I2302/'02_Eingaben'!$C$8))</f>
        <v/>
      </c>
    </row>
    <row r="2304" spans="1:10" x14ac:dyDescent="0.25">
      <c r="A2304" t="str">
        <f>IF('01_Rohdaten'!A2304="","",ROW()-1)</f>
        <v/>
      </c>
      <c r="B2304" s="17" t="str">
        <f>IF('01_Rohdaten'!A2304="","",'01_Rohdaten'!A2304)</f>
        <v/>
      </c>
      <c r="C2304" s="17" t="str">
        <f>IF(B2304="","",INDEX('01_Rohdaten'!B2304:D2304,'02_Eingaben'!$C$13))</f>
        <v/>
      </c>
      <c r="D2304" s="17" t="str">
        <f>IF(C2304="","",C2304*'02_Eingaben'!$C$15)</f>
        <v/>
      </c>
      <c r="E2304" s="17" t="str">
        <f>IF(D2304="","",D2304*'02_Eingaben'!$C$8)</f>
        <v/>
      </c>
      <c r="F2304" s="17" t="str">
        <f>IF(E2304="","",AVERAGE(INDEX($E$2:$E$3001,MAX(1,ROW()-1-'02_Eingaben'!$C$17)):INDEX($E$2:$E$3001,MIN('02_Eingaben'!$C$21,ROW()-1+'02_Eingaben'!$C$17))))</f>
        <v/>
      </c>
      <c r="G2304" s="17" t="str">
        <f>IF(F2304="","",F2304-'02_Eingaben'!$C$10)</f>
        <v/>
      </c>
      <c r="H2304" t="str">
        <f>IF(F2304="","",IF(F2304&lt;'02_Eingaben'!$C$18*'02_Eingaben'!$C$10,1,0))</f>
        <v/>
      </c>
      <c r="I2304" s="17" t="str">
        <f t="shared" si="35"/>
        <v/>
      </c>
      <c r="J2304" s="17" t="str">
        <f>IF(B2304="","",IF(B2303&lt;'02_Eingaben'!$C$36,0,J2303+I2303/'02_Eingaben'!$C$8))</f>
        <v/>
      </c>
    </row>
    <row r="2305" spans="1:10" x14ac:dyDescent="0.25">
      <c r="A2305" t="str">
        <f>IF('01_Rohdaten'!A2305="","",ROW()-1)</f>
        <v/>
      </c>
      <c r="B2305" s="17" t="str">
        <f>IF('01_Rohdaten'!A2305="","",'01_Rohdaten'!A2305)</f>
        <v/>
      </c>
      <c r="C2305" s="17" t="str">
        <f>IF(B2305="","",INDEX('01_Rohdaten'!B2305:D2305,'02_Eingaben'!$C$13))</f>
        <v/>
      </c>
      <c r="D2305" s="17" t="str">
        <f>IF(C2305="","",C2305*'02_Eingaben'!$C$15)</f>
        <v/>
      </c>
      <c r="E2305" s="17" t="str">
        <f>IF(D2305="","",D2305*'02_Eingaben'!$C$8)</f>
        <v/>
      </c>
      <c r="F2305" s="17" t="str">
        <f>IF(E2305="","",AVERAGE(INDEX($E$2:$E$3001,MAX(1,ROW()-1-'02_Eingaben'!$C$17)):INDEX($E$2:$E$3001,MIN('02_Eingaben'!$C$21,ROW()-1+'02_Eingaben'!$C$17))))</f>
        <v/>
      </c>
      <c r="G2305" s="17" t="str">
        <f>IF(F2305="","",F2305-'02_Eingaben'!$C$10)</f>
        <v/>
      </c>
      <c r="H2305" t="str">
        <f>IF(F2305="","",IF(F2305&lt;'02_Eingaben'!$C$18*'02_Eingaben'!$C$10,1,0))</f>
        <v/>
      </c>
      <c r="I2305" s="17" t="str">
        <f t="shared" si="35"/>
        <v/>
      </c>
      <c r="J2305" s="17" t="str">
        <f>IF(B2305="","",IF(B2304&lt;'02_Eingaben'!$C$36,0,J2304+I2304/'02_Eingaben'!$C$8))</f>
        <v/>
      </c>
    </row>
    <row r="2306" spans="1:10" x14ac:dyDescent="0.25">
      <c r="A2306" t="str">
        <f>IF('01_Rohdaten'!A2306="","",ROW()-1)</f>
        <v/>
      </c>
      <c r="B2306" s="17" t="str">
        <f>IF('01_Rohdaten'!A2306="","",'01_Rohdaten'!A2306)</f>
        <v/>
      </c>
      <c r="C2306" s="17" t="str">
        <f>IF(B2306="","",INDEX('01_Rohdaten'!B2306:D2306,'02_Eingaben'!$C$13))</f>
        <v/>
      </c>
      <c r="D2306" s="17" t="str">
        <f>IF(C2306="","",C2306*'02_Eingaben'!$C$15)</f>
        <v/>
      </c>
      <c r="E2306" s="17" t="str">
        <f>IF(D2306="","",D2306*'02_Eingaben'!$C$8)</f>
        <v/>
      </c>
      <c r="F2306" s="17" t="str">
        <f>IF(E2306="","",AVERAGE(INDEX($E$2:$E$3001,MAX(1,ROW()-1-'02_Eingaben'!$C$17)):INDEX($E$2:$E$3001,MIN('02_Eingaben'!$C$21,ROW()-1+'02_Eingaben'!$C$17))))</f>
        <v/>
      </c>
      <c r="G2306" s="17" t="str">
        <f>IF(F2306="","",F2306-'02_Eingaben'!$C$10)</f>
        <v/>
      </c>
      <c r="H2306" t="str">
        <f>IF(F2306="","",IF(F2306&lt;'02_Eingaben'!$C$18*'02_Eingaben'!$C$10,1,0))</f>
        <v/>
      </c>
      <c r="I2306" s="17" t="str">
        <f t="shared" ref="I2306:I2369" si="36">IF(OR(G2306="",G2307=""),"",(G2306+G2307)/2*(B2307-B2306))</f>
        <v/>
      </c>
      <c r="J2306" s="17" t="str">
        <f>IF(B2306="","",IF(B2305&lt;'02_Eingaben'!$C$36,0,J2305+I2305/'02_Eingaben'!$C$8))</f>
        <v/>
      </c>
    </row>
    <row r="2307" spans="1:10" x14ac:dyDescent="0.25">
      <c r="A2307" t="str">
        <f>IF('01_Rohdaten'!A2307="","",ROW()-1)</f>
        <v/>
      </c>
      <c r="B2307" s="17" t="str">
        <f>IF('01_Rohdaten'!A2307="","",'01_Rohdaten'!A2307)</f>
        <v/>
      </c>
      <c r="C2307" s="17" t="str">
        <f>IF(B2307="","",INDEX('01_Rohdaten'!B2307:D2307,'02_Eingaben'!$C$13))</f>
        <v/>
      </c>
      <c r="D2307" s="17" t="str">
        <f>IF(C2307="","",C2307*'02_Eingaben'!$C$15)</f>
        <v/>
      </c>
      <c r="E2307" s="17" t="str">
        <f>IF(D2307="","",D2307*'02_Eingaben'!$C$8)</f>
        <v/>
      </c>
      <c r="F2307" s="17" t="str">
        <f>IF(E2307="","",AVERAGE(INDEX($E$2:$E$3001,MAX(1,ROW()-1-'02_Eingaben'!$C$17)):INDEX($E$2:$E$3001,MIN('02_Eingaben'!$C$21,ROW()-1+'02_Eingaben'!$C$17))))</f>
        <v/>
      </c>
      <c r="G2307" s="17" t="str">
        <f>IF(F2307="","",F2307-'02_Eingaben'!$C$10)</f>
        <v/>
      </c>
      <c r="H2307" t="str">
        <f>IF(F2307="","",IF(F2307&lt;'02_Eingaben'!$C$18*'02_Eingaben'!$C$10,1,0))</f>
        <v/>
      </c>
      <c r="I2307" s="17" t="str">
        <f t="shared" si="36"/>
        <v/>
      </c>
      <c r="J2307" s="17" t="str">
        <f>IF(B2307="","",IF(B2306&lt;'02_Eingaben'!$C$36,0,J2306+I2306/'02_Eingaben'!$C$8))</f>
        <v/>
      </c>
    </row>
    <row r="2308" spans="1:10" x14ac:dyDescent="0.25">
      <c r="A2308" t="str">
        <f>IF('01_Rohdaten'!A2308="","",ROW()-1)</f>
        <v/>
      </c>
      <c r="B2308" s="17" t="str">
        <f>IF('01_Rohdaten'!A2308="","",'01_Rohdaten'!A2308)</f>
        <v/>
      </c>
      <c r="C2308" s="17" t="str">
        <f>IF(B2308="","",INDEX('01_Rohdaten'!B2308:D2308,'02_Eingaben'!$C$13))</f>
        <v/>
      </c>
      <c r="D2308" s="17" t="str">
        <f>IF(C2308="","",C2308*'02_Eingaben'!$C$15)</f>
        <v/>
      </c>
      <c r="E2308" s="17" t="str">
        <f>IF(D2308="","",D2308*'02_Eingaben'!$C$8)</f>
        <v/>
      </c>
      <c r="F2308" s="17" t="str">
        <f>IF(E2308="","",AVERAGE(INDEX($E$2:$E$3001,MAX(1,ROW()-1-'02_Eingaben'!$C$17)):INDEX($E$2:$E$3001,MIN('02_Eingaben'!$C$21,ROW()-1+'02_Eingaben'!$C$17))))</f>
        <v/>
      </c>
      <c r="G2308" s="17" t="str">
        <f>IF(F2308="","",F2308-'02_Eingaben'!$C$10)</f>
        <v/>
      </c>
      <c r="H2308" t="str">
        <f>IF(F2308="","",IF(F2308&lt;'02_Eingaben'!$C$18*'02_Eingaben'!$C$10,1,0))</f>
        <v/>
      </c>
      <c r="I2308" s="17" t="str">
        <f t="shared" si="36"/>
        <v/>
      </c>
      <c r="J2308" s="17" t="str">
        <f>IF(B2308="","",IF(B2307&lt;'02_Eingaben'!$C$36,0,J2307+I2307/'02_Eingaben'!$C$8))</f>
        <v/>
      </c>
    </row>
    <row r="2309" spans="1:10" x14ac:dyDescent="0.25">
      <c r="A2309" t="str">
        <f>IF('01_Rohdaten'!A2309="","",ROW()-1)</f>
        <v/>
      </c>
      <c r="B2309" s="17" t="str">
        <f>IF('01_Rohdaten'!A2309="","",'01_Rohdaten'!A2309)</f>
        <v/>
      </c>
      <c r="C2309" s="17" t="str">
        <f>IF(B2309="","",INDEX('01_Rohdaten'!B2309:D2309,'02_Eingaben'!$C$13))</f>
        <v/>
      </c>
      <c r="D2309" s="17" t="str">
        <f>IF(C2309="","",C2309*'02_Eingaben'!$C$15)</f>
        <v/>
      </c>
      <c r="E2309" s="17" t="str">
        <f>IF(D2309="","",D2309*'02_Eingaben'!$C$8)</f>
        <v/>
      </c>
      <c r="F2309" s="17" t="str">
        <f>IF(E2309="","",AVERAGE(INDEX($E$2:$E$3001,MAX(1,ROW()-1-'02_Eingaben'!$C$17)):INDEX($E$2:$E$3001,MIN('02_Eingaben'!$C$21,ROW()-1+'02_Eingaben'!$C$17))))</f>
        <v/>
      </c>
      <c r="G2309" s="17" t="str">
        <f>IF(F2309="","",F2309-'02_Eingaben'!$C$10)</f>
        <v/>
      </c>
      <c r="H2309" t="str">
        <f>IF(F2309="","",IF(F2309&lt;'02_Eingaben'!$C$18*'02_Eingaben'!$C$10,1,0))</f>
        <v/>
      </c>
      <c r="I2309" s="17" t="str">
        <f t="shared" si="36"/>
        <v/>
      </c>
      <c r="J2309" s="17" t="str">
        <f>IF(B2309="","",IF(B2308&lt;'02_Eingaben'!$C$36,0,J2308+I2308/'02_Eingaben'!$C$8))</f>
        <v/>
      </c>
    </row>
    <row r="2310" spans="1:10" x14ac:dyDescent="0.25">
      <c r="A2310" t="str">
        <f>IF('01_Rohdaten'!A2310="","",ROW()-1)</f>
        <v/>
      </c>
      <c r="B2310" s="17" t="str">
        <f>IF('01_Rohdaten'!A2310="","",'01_Rohdaten'!A2310)</f>
        <v/>
      </c>
      <c r="C2310" s="17" t="str">
        <f>IF(B2310="","",INDEX('01_Rohdaten'!B2310:D2310,'02_Eingaben'!$C$13))</f>
        <v/>
      </c>
      <c r="D2310" s="17" t="str">
        <f>IF(C2310="","",C2310*'02_Eingaben'!$C$15)</f>
        <v/>
      </c>
      <c r="E2310" s="17" t="str">
        <f>IF(D2310="","",D2310*'02_Eingaben'!$C$8)</f>
        <v/>
      </c>
      <c r="F2310" s="17" t="str">
        <f>IF(E2310="","",AVERAGE(INDEX($E$2:$E$3001,MAX(1,ROW()-1-'02_Eingaben'!$C$17)):INDEX($E$2:$E$3001,MIN('02_Eingaben'!$C$21,ROW()-1+'02_Eingaben'!$C$17))))</f>
        <v/>
      </c>
      <c r="G2310" s="17" t="str">
        <f>IF(F2310="","",F2310-'02_Eingaben'!$C$10)</f>
        <v/>
      </c>
      <c r="H2310" t="str">
        <f>IF(F2310="","",IF(F2310&lt;'02_Eingaben'!$C$18*'02_Eingaben'!$C$10,1,0))</f>
        <v/>
      </c>
      <c r="I2310" s="17" t="str">
        <f t="shared" si="36"/>
        <v/>
      </c>
      <c r="J2310" s="17" t="str">
        <f>IF(B2310="","",IF(B2309&lt;'02_Eingaben'!$C$36,0,J2309+I2309/'02_Eingaben'!$C$8))</f>
        <v/>
      </c>
    </row>
    <row r="2311" spans="1:10" x14ac:dyDescent="0.25">
      <c r="A2311" t="str">
        <f>IF('01_Rohdaten'!A2311="","",ROW()-1)</f>
        <v/>
      </c>
      <c r="B2311" s="17" t="str">
        <f>IF('01_Rohdaten'!A2311="","",'01_Rohdaten'!A2311)</f>
        <v/>
      </c>
      <c r="C2311" s="17" t="str">
        <f>IF(B2311="","",INDEX('01_Rohdaten'!B2311:D2311,'02_Eingaben'!$C$13))</f>
        <v/>
      </c>
      <c r="D2311" s="17" t="str">
        <f>IF(C2311="","",C2311*'02_Eingaben'!$C$15)</f>
        <v/>
      </c>
      <c r="E2311" s="17" t="str">
        <f>IF(D2311="","",D2311*'02_Eingaben'!$C$8)</f>
        <v/>
      </c>
      <c r="F2311" s="17" t="str">
        <f>IF(E2311="","",AVERAGE(INDEX($E$2:$E$3001,MAX(1,ROW()-1-'02_Eingaben'!$C$17)):INDEX($E$2:$E$3001,MIN('02_Eingaben'!$C$21,ROW()-1+'02_Eingaben'!$C$17))))</f>
        <v/>
      </c>
      <c r="G2311" s="17" t="str">
        <f>IF(F2311="","",F2311-'02_Eingaben'!$C$10)</f>
        <v/>
      </c>
      <c r="H2311" t="str">
        <f>IF(F2311="","",IF(F2311&lt;'02_Eingaben'!$C$18*'02_Eingaben'!$C$10,1,0))</f>
        <v/>
      </c>
      <c r="I2311" s="17" t="str">
        <f t="shared" si="36"/>
        <v/>
      </c>
      <c r="J2311" s="17" t="str">
        <f>IF(B2311="","",IF(B2310&lt;'02_Eingaben'!$C$36,0,J2310+I2310/'02_Eingaben'!$C$8))</f>
        <v/>
      </c>
    </row>
    <row r="2312" spans="1:10" x14ac:dyDescent="0.25">
      <c r="A2312" t="str">
        <f>IF('01_Rohdaten'!A2312="","",ROW()-1)</f>
        <v/>
      </c>
      <c r="B2312" s="17" t="str">
        <f>IF('01_Rohdaten'!A2312="","",'01_Rohdaten'!A2312)</f>
        <v/>
      </c>
      <c r="C2312" s="17" t="str">
        <f>IF(B2312="","",INDEX('01_Rohdaten'!B2312:D2312,'02_Eingaben'!$C$13))</f>
        <v/>
      </c>
      <c r="D2312" s="17" t="str">
        <f>IF(C2312="","",C2312*'02_Eingaben'!$C$15)</f>
        <v/>
      </c>
      <c r="E2312" s="17" t="str">
        <f>IF(D2312="","",D2312*'02_Eingaben'!$C$8)</f>
        <v/>
      </c>
      <c r="F2312" s="17" t="str">
        <f>IF(E2312="","",AVERAGE(INDEX($E$2:$E$3001,MAX(1,ROW()-1-'02_Eingaben'!$C$17)):INDEX($E$2:$E$3001,MIN('02_Eingaben'!$C$21,ROW()-1+'02_Eingaben'!$C$17))))</f>
        <v/>
      </c>
      <c r="G2312" s="17" t="str">
        <f>IF(F2312="","",F2312-'02_Eingaben'!$C$10)</f>
        <v/>
      </c>
      <c r="H2312" t="str">
        <f>IF(F2312="","",IF(F2312&lt;'02_Eingaben'!$C$18*'02_Eingaben'!$C$10,1,0))</f>
        <v/>
      </c>
      <c r="I2312" s="17" t="str">
        <f t="shared" si="36"/>
        <v/>
      </c>
      <c r="J2312" s="17" t="str">
        <f>IF(B2312="","",IF(B2311&lt;'02_Eingaben'!$C$36,0,J2311+I2311/'02_Eingaben'!$C$8))</f>
        <v/>
      </c>
    </row>
    <row r="2313" spans="1:10" x14ac:dyDescent="0.25">
      <c r="A2313" t="str">
        <f>IF('01_Rohdaten'!A2313="","",ROW()-1)</f>
        <v/>
      </c>
      <c r="B2313" s="17" t="str">
        <f>IF('01_Rohdaten'!A2313="","",'01_Rohdaten'!A2313)</f>
        <v/>
      </c>
      <c r="C2313" s="17" t="str">
        <f>IF(B2313="","",INDEX('01_Rohdaten'!B2313:D2313,'02_Eingaben'!$C$13))</f>
        <v/>
      </c>
      <c r="D2313" s="17" t="str">
        <f>IF(C2313="","",C2313*'02_Eingaben'!$C$15)</f>
        <v/>
      </c>
      <c r="E2313" s="17" t="str">
        <f>IF(D2313="","",D2313*'02_Eingaben'!$C$8)</f>
        <v/>
      </c>
      <c r="F2313" s="17" t="str">
        <f>IF(E2313="","",AVERAGE(INDEX($E$2:$E$3001,MAX(1,ROW()-1-'02_Eingaben'!$C$17)):INDEX($E$2:$E$3001,MIN('02_Eingaben'!$C$21,ROW()-1+'02_Eingaben'!$C$17))))</f>
        <v/>
      </c>
      <c r="G2313" s="17" t="str">
        <f>IF(F2313="","",F2313-'02_Eingaben'!$C$10)</f>
        <v/>
      </c>
      <c r="H2313" t="str">
        <f>IF(F2313="","",IF(F2313&lt;'02_Eingaben'!$C$18*'02_Eingaben'!$C$10,1,0))</f>
        <v/>
      </c>
      <c r="I2313" s="17" t="str">
        <f t="shared" si="36"/>
        <v/>
      </c>
      <c r="J2313" s="17" t="str">
        <f>IF(B2313="","",IF(B2312&lt;'02_Eingaben'!$C$36,0,J2312+I2312/'02_Eingaben'!$C$8))</f>
        <v/>
      </c>
    </row>
    <row r="2314" spans="1:10" x14ac:dyDescent="0.25">
      <c r="A2314" t="str">
        <f>IF('01_Rohdaten'!A2314="","",ROW()-1)</f>
        <v/>
      </c>
      <c r="B2314" s="17" t="str">
        <f>IF('01_Rohdaten'!A2314="","",'01_Rohdaten'!A2314)</f>
        <v/>
      </c>
      <c r="C2314" s="17" t="str">
        <f>IF(B2314="","",INDEX('01_Rohdaten'!B2314:D2314,'02_Eingaben'!$C$13))</f>
        <v/>
      </c>
      <c r="D2314" s="17" t="str">
        <f>IF(C2314="","",C2314*'02_Eingaben'!$C$15)</f>
        <v/>
      </c>
      <c r="E2314" s="17" t="str">
        <f>IF(D2314="","",D2314*'02_Eingaben'!$C$8)</f>
        <v/>
      </c>
      <c r="F2314" s="17" t="str">
        <f>IF(E2314="","",AVERAGE(INDEX($E$2:$E$3001,MAX(1,ROW()-1-'02_Eingaben'!$C$17)):INDEX($E$2:$E$3001,MIN('02_Eingaben'!$C$21,ROW()-1+'02_Eingaben'!$C$17))))</f>
        <v/>
      </c>
      <c r="G2314" s="17" t="str">
        <f>IF(F2314="","",F2314-'02_Eingaben'!$C$10)</f>
        <v/>
      </c>
      <c r="H2314" t="str">
        <f>IF(F2314="","",IF(F2314&lt;'02_Eingaben'!$C$18*'02_Eingaben'!$C$10,1,0))</f>
        <v/>
      </c>
      <c r="I2314" s="17" t="str">
        <f t="shared" si="36"/>
        <v/>
      </c>
      <c r="J2314" s="17" t="str">
        <f>IF(B2314="","",IF(B2313&lt;'02_Eingaben'!$C$36,0,J2313+I2313/'02_Eingaben'!$C$8))</f>
        <v/>
      </c>
    </row>
    <row r="2315" spans="1:10" x14ac:dyDescent="0.25">
      <c r="A2315" t="str">
        <f>IF('01_Rohdaten'!A2315="","",ROW()-1)</f>
        <v/>
      </c>
      <c r="B2315" s="17" t="str">
        <f>IF('01_Rohdaten'!A2315="","",'01_Rohdaten'!A2315)</f>
        <v/>
      </c>
      <c r="C2315" s="17" t="str">
        <f>IF(B2315="","",INDEX('01_Rohdaten'!B2315:D2315,'02_Eingaben'!$C$13))</f>
        <v/>
      </c>
      <c r="D2315" s="17" t="str">
        <f>IF(C2315="","",C2315*'02_Eingaben'!$C$15)</f>
        <v/>
      </c>
      <c r="E2315" s="17" t="str">
        <f>IF(D2315="","",D2315*'02_Eingaben'!$C$8)</f>
        <v/>
      </c>
      <c r="F2315" s="17" t="str">
        <f>IF(E2315="","",AVERAGE(INDEX($E$2:$E$3001,MAX(1,ROW()-1-'02_Eingaben'!$C$17)):INDEX($E$2:$E$3001,MIN('02_Eingaben'!$C$21,ROW()-1+'02_Eingaben'!$C$17))))</f>
        <v/>
      </c>
      <c r="G2315" s="17" t="str">
        <f>IF(F2315="","",F2315-'02_Eingaben'!$C$10)</f>
        <v/>
      </c>
      <c r="H2315" t="str">
        <f>IF(F2315="","",IF(F2315&lt;'02_Eingaben'!$C$18*'02_Eingaben'!$C$10,1,0))</f>
        <v/>
      </c>
      <c r="I2315" s="17" t="str">
        <f t="shared" si="36"/>
        <v/>
      </c>
      <c r="J2315" s="17" t="str">
        <f>IF(B2315="","",IF(B2314&lt;'02_Eingaben'!$C$36,0,J2314+I2314/'02_Eingaben'!$C$8))</f>
        <v/>
      </c>
    </row>
    <row r="2316" spans="1:10" x14ac:dyDescent="0.25">
      <c r="A2316" t="str">
        <f>IF('01_Rohdaten'!A2316="","",ROW()-1)</f>
        <v/>
      </c>
      <c r="B2316" s="17" t="str">
        <f>IF('01_Rohdaten'!A2316="","",'01_Rohdaten'!A2316)</f>
        <v/>
      </c>
      <c r="C2316" s="17" t="str">
        <f>IF(B2316="","",INDEX('01_Rohdaten'!B2316:D2316,'02_Eingaben'!$C$13))</f>
        <v/>
      </c>
      <c r="D2316" s="17" t="str">
        <f>IF(C2316="","",C2316*'02_Eingaben'!$C$15)</f>
        <v/>
      </c>
      <c r="E2316" s="17" t="str">
        <f>IF(D2316="","",D2316*'02_Eingaben'!$C$8)</f>
        <v/>
      </c>
      <c r="F2316" s="17" t="str">
        <f>IF(E2316="","",AVERAGE(INDEX($E$2:$E$3001,MAX(1,ROW()-1-'02_Eingaben'!$C$17)):INDEX($E$2:$E$3001,MIN('02_Eingaben'!$C$21,ROW()-1+'02_Eingaben'!$C$17))))</f>
        <v/>
      </c>
      <c r="G2316" s="17" t="str">
        <f>IF(F2316="","",F2316-'02_Eingaben'!$C$10)</f>
        <v/>
      </c>
      <c r="H2316" t="str">
        <f>IF(F2316="","",IF(F2316&lt;'02_Eingaben'!$C$18*'02_Eingaben'!$C$10,1,0))</f>
        <v/>
      </c>
      <c r="I2316" s="17" t="str">
        <f t="shared" si="36"/>
        <v/>
      </c>
      <c r="J2316" s="17" t="str">
        <f>IF(B2316="","",IF(B2315&lt;'02_Eingaben'!$C$36,0,J2315+I2315/'02_Eingaben'!$C$8))</f>
        <v/>
      </c>
    </row>
    <row r="2317" spans="1:10" x14ac:dyDescent="0.25">
      <c r="A2317" t="str">
        <f>IF('01_Rohdaten'!A2317="","",ROW()-1)</f>
        <v/>
      </c>
      <c r="B2317" s="17" t="str">
        <f>IF('01_Rohdaten'!A2317="","",'01_Rohdaten'!A2317)</f>
        <v/>
      </c>
      <c r="C2317" s="17" t="str">
        <f>IF(B2317="","",INDEX('01_Rohdaten'!B2317:D2317,'02_Eingaben'!$C$13))</f>
        <v/>
      </c>
      <c r="D2317" s="17" t="str">
        <f>IF(C2317="","",C2317*'02_Eingaben'!$C$15)</f>
        <v/>
      </c>
      <c r="E2317" s="17" t="str">
        <f>IF(D2317="","",D2317*'02_Eingaben'!$C$8)</f>
        <v/>
      </c>
      <c r="F2317" s="17" t="str">
        <f>IF(E2317="","",AVERAGE(INDEX($E$2:$E$3001,MAX(1,ROW()-1-'02_Eingaben'!$C$17)):INDEX($E$2:$E$3001,MIN('02_Eingaben'!$C$21,ROW()-1+'02_Eingaben'!$C$17))))</f>
        <v/>
      </c>
      <c r="G2317" s="17" t="str">
        <f>IF(F2317="","",F2317-'02_Eingaben'!$C$10)</f>
        <v/>
      </c>
      <c r="H2317" t="str">
        <f>IF(F2317="","",IF(F2317&lt;'02_Eingaben'!$C$18*'02_Eingaben'!$C$10,1,0))</f>
        <v/>
      </c>
      <c r="I2317" s="17" t="str">
        <f t="shared" si="36"/>
        <v/>
      </c>
      <c r="J2317" s="17" t="str">
        <f>IF(B2317="","",IF(B2316&lt;'02_Eingaben'!$C$36,0,J2316+I2316/'02_Eingaben'!$C$8))</f>
        <v/>
      </c>
    </row>
    <row r="2318" spans="1:10" x14ac:dyDescent="0.25">
      <c r="A2318" t="str">
        <f>IF('01_Rohdaten'!A2318="","",ROW()-1)</f>
        <v/>
      </c>
      <c r="B2318" s="17" t="str">
        <f>IF('01_Rohdaten'!A2318="","",'01_Rohdaten'!A2318)</f>
        <v/>
      </c>
      <c r="C2318" s="17" t="str">
        <f>IF(B2318="","",INDEX('01_Rohdaten'!B2318:D2318,'02_Eingaben'!$C$13))</f>
        <v/>
      </c>
      <c r="D2318" s="17" t="str">
        <f>IF(C2318="","",C2318*'02_Eingaben'!$C$15)</f>
        <v/>
      </c>
      <c r="E2318" s="17" t="str">
        <f>IF(D2318="","",D2318*'02_Eingaben'!$C$8)</f>
        <v/>
      </c>
      <c r="F2318" s="17" t="str">
        <f>IF(E2318="","",AVERAGE(INDEX($E$2:$E$3001,MAX(1,ROW()-1-'02_Eingaben'!$C$17)):INDEX($E$2:$E$3001,MIN('02_Eingaben'!$C$21,ROW()-1+'02_Eingaben'!$C$17))))</f>
        <v/>
      </c>
      <c r="G2318" s="17" t="str">
        <f>IF(F2318="","",F2318-'02_Eingaben'!$C$10)</f>
        <v/>
      </c>
      <c r="H2318" t="str">
        <f>IF(F2318="","",IF(F2318&lt;'02_Eingaben'!$C$18*'02_Eingaben'!$C$10,1,0))</f>
        <v/>
      </c>
      <c r="I2318" s="17" t="str">
        <f t="shared" si="36"/>
        <v/>
      </c>
      <c r="J2318" s="17" t="str">
        <f>IF(B2318="","",IF(B2317&lt;'02_Eingaben'!$C$36,0,J2317+I2317/'02_Eingaben'!$C$8))</f>
        <v/>
      </c>
    </row>
    <row r="2319" spans="1:10" x14ac:dyDescent="0.25">
      <c r="A2319" t="str">
        <f>IF('01_Rohdaten'!A2319="","",ROW()-1)</f>
        <v/>
      </c>
      <c r="B2319" s="17" t="str">
        <f>IF('01_Rohdaten'!A2319="","",'01_Rohdaten'!A2319)</f>
        <v/>
      </c>
      <c r="C2319" s="17" t="str">
        <f>IF(B2319="","",INDEX('01_Rohdaten'!B2319:D2319,'02_Eingaben'!$C$13))</f>
        <v/>
      </c>
      <c r="D2319" s="17" t="str">
        <f>IF(C2319="","",C2319*'02_Eingaben'!$C$15)</f>
        <v/>
      </c>
      <c r="E2319" s="17" t="str">
        <f>IF(D2319="","",D2319*'02_Eingaben'!$C$8)</f>
        <v/>
      </c>
      <c r="F2319" s="17" t="str">
        <f>IF(E2319="","",AVERAGE(INDEX($E$2:$E$3001,MAX(1,ROW()-1-'02_Eingaben'!$C$17)):INDEX($E$2:$E$3001,MIN('02_Eingaben'!$C$21,ROW()-1+'02_Eingaben'!$C$17))))</f>
        <v/>
      </c>
      <c r="G2319" s="17" t="str">
        <f>IF(F2319="","",F2319-'02_Eingaben'!$C$10)</f>
        <v/>
      </c>
      <c r="H2319" t="str">
        <f>IF(F2319="","",IF(F2319&lt;'02_Eingaben'!$C$18*'02_Eingaben'!$C$10,1,0))</f>
        <v/>
      </c>
      <c r="I2319" s="17" t="str">
        <f t="shared" si="36"/>
        <v/>
      </c>
      <c r="J2319" s="17" t="str">
        <f>IF(B2319="","",IF(B2318&lt;'02_Eingaben'!$C$36,0,J2318+I2318/'02_Eingaben'!$C$8))</f>
        <v/>
      </c>
    </row>
    <row r="2320" spans="1:10" x14ac:dyDescent="0.25">
      <c r="A2320" t="str">
        <f>IF('01_Rohdaten'!A2320="","",ROW()-1)</f>
        <v/>
      </c>
      <c r="B2320" s="17" t="str">
        <f>IF('01_Rohdaten'!A2320="","",'01_Rohdaten'!A2320)</f>
        <v/>
      </c>
      <c r="C2320" s="17" t="str">
        <f>IF(B2320="","",INDEX('01_Rohdaten'!B2320:D2320,'02_Eingaben'!$C$13))</f>
        <v/>
      </c>
      <c r="D2320" s="17" t="str">
        <f>IF(C2320="","",C2320*'02_Eingaben'!$C$15)</f>
        <v/>
      </c>
      <c r="E2320" s="17" t="str">
        <f>IF(D2320="","",D2320*'02_Eingaben'!$C$8)</f>
        <v/>
      </c>
      <c r="F2320" s="17" t="str">
        <f>IF(E2320="","",AVERAGE(INDEX($E$2:$E$3001,MAX(1,ROW()-1-'02_Eingaben'!$C$17)):INDEX($E$2:$E$3001,MIN('02_Eingaben'!$C$21,ROW()-1+'02_Eingaben'!$C$17))))</f>
        <v/>
      </c>
      <c r="G2320" s="17" t="str">
        <f>IF(F2320="","",F2320-'02_Eingaben'!$C$10)</f>
        <v/>
      </c>
      <c r="H2320" t="str">
        <f>IF(F2320="","",IF(F2320&lt;'02_Eingaben'!$C$18*'02_Eingaben'!$C$10,1,0))</f>
        <v/>
      </c>
      <c r="I2320" s="17" t="str">
        <f t="shared" si="36"/>
        <v/>
      </c>
      <c r="J2320" s="17" t="str">
        <f>IF(B2320="","",IF(B2319&lt;'02_Eingaben'!$C$36,0,J2319+I2319/'02_Eingaben'!$C$8))</f>
        <v/>
      </c>
    </row>
    <row r="2321" spans="1:10" x14ac:dyDescent="0.25">
      <c r="A2321" t="str">
        <f>IF('01_Rohdaten'!A2321="","",ROW()-1)</f>
        <v/>
      </c>
      <c r="B2321" s="17" t="str">
        <f>IF('01_Rohdaten'!A2321="","",'01_Rohdaten'!A2321)</f>
        <v/>
      </c>
      <c r="C2321" s="17" t="str">
        <f>IF(B2321="","",INDEX('01_Rohdaten'!B2321:D2321,'02_Eingaben'!$C$13))</f>
        <v/>
      </c>
      <c r="D2321" s="17" t="str">
        <f>IF(C2321="","",C2321*'02_Eingaben'!$C$15)</f>
        <v/>
      </c>
      <c r="E2321" s="17" t="str">
        <f>IF(D2321="","",D2321*'02_Eingaben'!$C$8)</f>
        <v/>
      </c>
      <c r="F2321" s="17" t="str">
        <f>IF(E2321="","",AVERAGE(INDEX($E$2:$E$3001,MAX(1,ROW()-1-'02_Eingaben'!$C$17)):INDEX($E$2:$E$3001,MIN('02_Eingaben'!$C$21,ROW()-1+'02_Eingaben'!$C$17))))</f>
        <v/>
      </c>
      <c r="G2321" s="17" t="str">
        <f>IF(F2321="","",F2321-'02_Eingaben'!$C$10)</f>
        <v/>
      </c>
      <c r="H2321" t="str">
        <f>IF(F2321="","",IF(F2321&lt;'02_Eingaben'!$C$18*'02_Eingaben'!$C$10,1,0))</f>
        <v/>
      </c>
      <c r="I2321" s="17" t="str">
        <f t="shared" si="36"/>
        <v/>
      </c>
      <c r="J2321" s="17" t="str">
        <f>IF(B2321="","",IF(B2320&lt;'02_Eingaben'!$C$36,0,J2320+I2320/'02_Eingaben'!$C$8))</f>
        <v/>
      </c>
    </row>
    <row r="2322" spans="1:10" x14ac:dyDescent="0.25">
      <c r="A2322" t="str">
        <f>IF('01_Rohdaten'!A2322="","",ROW()-1)</f>
        <v/>
      </c>
      <c r="B2322" s="17" t="str">
        <f>IF('01_Rohdaten'!A2322="","",'01_Rohdaten'!A2322)</f>
        <v/>
      </c>
      <c r="C2322" s="17" t="str">
        <f>IF(B2322="","",INDEX('01_Rohdaten'!B2322:D2322,'02_Eingaben'!$C$13))</f>
        <v/>
      </c>
      <c r="D2322" s="17" t="str">
        <f>IF(C2322="","",C2322*'02_Eingaben'!$C$15)</f>
        <v/>
      </c>
      <c r="E2322" s="17" t="str">
        <f>IF(D2322="","",D2322*'02_Eingaben'!$C$8)</f>
        <v/>
      </c>
      <c r="F2322" s="17" t="str">
        <f>IF(E2322="","",AVERAGE(INDEX($E$2:$E$3001,MAX(1,ROW()-1-'02_Eingaben'!$C$17)):INDEX($E$2:$E$3001,MIN('02_Eingaben'!$C$21,ROW()-1+'02_Eingaben'!$C$17))))</f>
        <v/>
      </c>
      <c r="G2322" s="17" t="str">
        <f>IF(F2322="","",F2322-'02_Eingaben'!$C$10)</f>
        <v/>
      </c>
      <c r="H2322" t="str">
        <f>IF(F2322="","",IF(F2322&lt;'02_Eingaben'!$C$18*'02_Eingaben'!$C$10,1,0))</f>
        <v/>
      </c>
      <c r="I2322" s="17" t="str">
        <f t="shared" si="36"/>
        <v/>
      </c>
      <c r="J2322" s="17" t="str">
        <f>IF(B2322="","",IF(B2321&lt;'02_Eingaben'!$C$36,0,J2321+I2321/'02_Eingaben'!$C$8))</f>
        <v/>
      </c>
    </row>
    <row r="2323" spans="1:10" x14ac:dyDescent="0.25">
      <c r="A2323" t="str">
        <f>IF('01_Rohdaten'!A2323="","",ROW()-1)</f>
        <v/>
      </c>
      <c r="B2323" s="17" t="str">
        <f>IF('01_Rohdaten'!A2323="","",'01_Rohdaten'!A2323)</f>
        <v/>
      </c>
      <c r="C2323" s="17" t="str">
        <f>IF(B2323="","",INDEX('01_Rohdaten'!B2323:D2323,'02_Eingaben'!$C$13))</f>
        <v/>
      </c>
      <c r="D2323" s="17" t="str">
        <f>IF(C2323="","",C2323*'02_Eingaben'!$C$15)</f>
        <v/>
      </c>
      <c r="E2323" s="17" t="str">
        <f>IF(D2323="","",D2323*'02_Eingaben'!$C$8)</f>
        <v/>
      </c>
      <c r="F2323" s="17" t="str">
        <f>IF(E2323="","",AVERAGE(INDEX($E$2:$E$3001,MAX(1,ROW()-1-'02_Eingaben'!$C$17)):INDEX($E$2:$E$3001,MIN('02_Eingaben'!$C$21,ROW()-1+'02_Eingaben'!$C$17))))</f>
        <v/>
      </c>
      <c r="G2323" s="17" t="str">
        <f>IF(F2323="","",F2323-'02_Eingaben'!$C$10)</f>
        <v/>
      </c>
      <c r="H2323" t="str">
        <f>IF(F2323="","",IF(F2323&lt;'02_Eingaben'!$C$18*'02_Eingaben'!$C$10,1,0))</f>
        <v/>
      </c>
      <c r="I2323" s="17" t="str">
        <f t="shared" si="36"/>
        <v/>
      </c>
      <c r="J2323" s="17" t="str">
        <f>IF(B2323="","",IF(B2322&lt;'02_Eingaben'!$C$36,0,J2322+I2322/'02_Eingaben'!$C$8))</f>
        <v/>
      </c>
    </row>
    <row r="2324" spans="1:10" x14ac:dyDescent="0.25">
      <c r="A2324" t="str">
        <f>IF('01_Rohdaten'!A2324="","",ROW()-1)</f>
        <v/>
      </c>
      <c r="B2324" s="17" t="str">
        <f>IF('01_Rohdaten'!A2324="","",'01_Rohdaten'!A2324)</f>
        <v/>
      </c>
      <c r="C2324" s="17" t="str">
        <f>IF(B2324="","",INDEX('01_Rohdaten'!B2324:D2324,'02_Eingaben'!$C$13))</f>
        <v/>
      </c>
      <c r="D2324" s="17" t="str">
        <f>IF(C2324="","",C2324*'02_Eingaben'!$C$15)</f>
        <v/>
      </c>
      <c r="E2324" s="17" t="str">
        <f>IF(D2324="","",D2324*'02_Eingaben'!$C$8)</f>
        <v/>
      </c>
      <c r="F2324" s="17" t="str">
        <f>IF(E2324="","",AVERAGE(INDEX($E$2:$E$3001,MAX(1,ROW()-1-'02_Eingaben'!$C$17)):INDEX($E$2:$E$3001,MIN('02_Eingaben'!$C$21,ROW()-1+'02_Eingaben'!$C$17))))</f>
        <v/>
      </c>
      <c r="G2324" s="17" t="str">
        <f>IF(F2324="","",F2324-'02_Eingaben'!$C$10)</f>
        <v/>
      </c>
      <c r="H2324" t="str">
        <f>IF(F2324="","",IF(F2324&lt;'02_Eingaben'!$C$18*'02_Eingaben'!$C$10,1,0))</f>
        <v/>
      </c>
      <c r="I2324" s="17" t="str">
        <f t="shared" si="36"/>
        <v/>
      </c>
      <c r="J2324" s="17" t="str">
        <f>IF(B2324="","",IF(B2323&lt;'02_Eingaben'!$C$36,0,J2323+I2323/'02_Eingaben'!$C$8))</f>
        <v/>
      </c>
    </row>
    <row r="2325" spans="1:10" x14ac:dyDescent="0.25">
      <c r="A2325" t="str">
        <f>IF('01_Rohdaten'!A2325="","",ROW()-1)</f>
        <v/>
      </c>
      <c r="B2325" s="17" t="str">
        <f>IF('01_Rohdaten'!A2325="","",'01_Rohdaten'!A2325)</f>
        <v/>
      </c>
      <c r="C2325" s="17" t="str">
        <f>IF(B2325="","",INDEX('01_Rohdaten'!B2325:D2325,'02_Eingaben'!$C$13))</f>
        <v/>
      </c>
      <c r="D2325" s="17" t="str">
        <f>IF(C2325="","",C2325*'02_Eingaben'!$C$15)</f>
        <v/>
      </c>
      <c r="E2325" s="17" t="str">
        <f>IF(D2325="","",D2325*'02_Eingaben'!$C$8)</f>
        <v/>
      </c>
      <c r="F2325" s="17" t="str">
        <f>IF(E2325="","",AVERAGE(INDEX($E$2:$E$3001,MAX(1,ROW()-1-'02_Eingaben'!$C$17)):INDEX($E$2:$E$3001,MIN('02_Eingaben'!$C$21,ROW()-1+'02_Eingaben'!$C$17))))</f>
        <v/>
      </c>
      <c r="G2325" s="17" t="str">
        <f>IF(F2325="","",F2325-'02_Eingaben'!$C$10)</f>
        <v/>
      </c>
      <c r="H2325" t="str">
        <f>IF(F2325="","",IF(F2325&lt;'02_Eingaben'!$C$18*'02_Eingaben'!$C$10,1,0))</f>
        <v/>
      </c>
      <c r="I2325" s="17" t="str">
        <f t="shared" si="36"/>
        <v/>
      </c>
      <c r="J2325" s="17" t="str">
        <f>IF(B2325="","",IF(B2324&lt;'02_Eingaben'!$C$36,0,J2324+I2324/'02_Eingaben'!$C$8))</f>
        <v/>
      </c>
    </row>
    <row r="2326" spans="1:10" x14ac:dyDescent="0.25">
      <c r="A2326" t="str">
        <f>IF('01_Rohdaten'!A2326="","",ROW()-1)</f>
        <v/>
      </c>
      <c r="B2326" s="17" t="str">
        <f>IF('01_Rohdaten'!A2326="","",'01_Rohdaten'!A2326)</f>
        <v/>
      </c>
      <c r="C2326" s="17" t="str">
        <f>IF(B2326="","",INDEX('01_Rohdaten'!B2326:D2326,'02_Eingaben'!$C$13))</f>
        <v/>
      </c>
      <c r="D2326" s="17" t="str">
        <f>IF(C2326="","",C2326*'02_Eingaben'!$C$15)</f>
        <v/>
      </c>
      <c r="E2326" s="17" t="str">
        <f>IF(D2326="","",D2326*'02_Eingaben'!$C$8)</f>
        <v/>
      </c>
      <c r="F2326" s="17" t="str">
        <f>IF(E2326="","",AVERAGE(INDEX($E$2:$E$3001,MAX(1,ROW()-1-'02_Eingaben'!$C$17)):INDEX($E$2:$E$3001,MIN('02_Eingaben'!$C$21,ROW()-1+'02_Eingaben'!$C$17))))</f>
        <v/>
      </c>
      <c r="G2326" s="17" t="str">
        <f>IF(F2326="","",F2326-'02_Eingaben'!$C$10)</f>
        <v/>
      </c>
      <c r="H2326" t="str">
        <f>IF(F2326="","",IF(F2326&lt;'02_Eingaben'!$C$18*'02_Eingaben'!$C$10,1,0))</f>
        <v/>
      </c>
      <c r="I2326" s="17" t="str">
        <f t="shared" si="36"/>
        <v/>
      </c>
      <c r="J2326" s="17" t="str">
        <f>IF(B2326="","",IF(B2325&lt;'02_Eingaben'!$C$36,0,J2325+I2325/'02_Eingaben'!$C$8))</f>
        <v/>
      </c>
    </row>
    <row r="2327" spans="1:10" x14ac:dyDescent="0.25">
      <c r="A2327" t="str">
        <f>IF('01_Rohdaten'!A2327="","",ROW()-1)</f>
        <v/>
      </c>
      <c r="B2327" s="17" t="str">
        <f>IF('01_Rohdaten'!A2327="","",'01_Rohdaten'!A2327)</f>
        <v/>
      </c>
      <c r="C2327" s="17" t="str">
        <f>IF(B2327="","",INDEX('01_Rohdaten'!B2327:D2327,'02_Eingaben'!$C$13))</f>
        <v/>
      </c>
      <c r="D2327" s="17" t="str">
        <f>IF(C2327="","",C2327*'02_Eingaben'!$C$15)</f>
        <v/>
      </c>
      <c r="E2327" s="17" t="str">
        <f>IF(D2327="","",D2327*'02_Eingaben'!$C$8)</f>
        <v/>
      </c>
      <c r="F2327" s="17" t="str">
        <f>IF(E2327="","",AVERAGE(INDEX($E$2:$E$3001,MAX(1,ROW()-1-'02_Eingaben'!$C$17)):INDEX($E$2:$E$3001,MIN('02_Eingaben'!$C$21,ROW()-1+'02_Eingaben'!$C$17))))</f>
        <v/>
      </c>
      <c r="G2327" s="17" t="str">
        <f>IF(F2327="","",F2327-'02_Eingaben'!$C$10)</f>
        <v/>
      </c>
      <c r="H2327" t="str">
        <f>IF(F2327="","",IF(F2327&lt;'02_Eingaben'!$C$18*'02_Eingaben'!$C$10,1,0))</f>
        <v/>
      </c>
      <c r="I2327" s="17" t="str">
        <f t="shared" si="36"/>
        <v/>
      </c>
      <c r="J2327" s="17" t="str">
        <f>IF(B2327="","",IF(B2326&lt;'02_Eingaben'!$C$36,0,J2326+I2326/'02_Eingaben'!$C$8))</f>
        <v/>
      </c>
    </row>
    <row r="2328" spans="1:10" x14ac:dyDescent="0.25">
      <c r="A2328" t="str">
        <f>IF('01_Rohdaten'!A2328="","",ROW()-1)</f>
        <v/>
      </c>
      <c r="B2328" s="17" t="str">
        <f>IF('01_Rohdaten'!A2328="","",'01_Rohdaten'!A2328)</f>
        <v/>
      </c>
      <c r="C2328" s="17" t="str">
        <f>IF(B2328="","",INDEX('01_Rohdaten'!B2328:D2328,'02_Eingaben'!$C$13))</f>
        <v/>
      </c>
      <c r="D2328" s="17" t="str">
        <f>IF(C2328="","",C2328*'02_Eingaben'!$C$15)</f>
        <v/>
      </c>
      <c r="E2328" s="17" t="str">
        <f>IF(D2328="","",D2328*'02_Eingaben'!$C$8)</f>
        <v/>
      </c>
      <c r="F2328" s="17" t="str">
        <f>IF(E2328="","",AVERAGE(INDEX($E$2:$E$3001,MAX(1,ROW()-1-'02_Eingaben'!$C$17)):INDEX($E$2:$E$3001,MIN('02_Eingaben'!$C$21,ROW()-1+'02_Eingaben'!$C$17))))</f>
        <v/>
      </c>
      <c r="G2328" s="17" t="str">
        <f>IF(F2328="","",F2328-'02_Eingaben'!$C$10)</f>
        <v/>
      </c>
      <c r="H2328" t="str">
        <f>IF(F2328="","",IF(F2328&lt;'02_Eingaben'!$C$18*'02_Eingaben'!$C$10,1,0))</f>
        <v/>
      </c>
      <c r="I2328" s="17" t="str">
        <f t="shared" si="36"/>
        <v/>
      </c>
      <c r="J2328" s="17" t="str">
        <f>IF(B2328="","",IF(B2327&lt;'02_Eingaben'!$C$36,0,J2327+I2327/'02_Eingaben'!$C$8))</f>
        <v/>
      </c>
    </row>
    <row r="2329" spans="1:10" x14ac:dyDescent="0.25">
      <c r="A2329" t="str">
        <f>IF('01_Rohdaten'!A2329="","",ROW()-1)</f>
        <v/>
      </c>
      <c r="B2329" s="17" t="str">
        <f>IF('01_Rohdaten'!A2329="","",'01_Rohdaten'!A2329)</f>
        <v/>
      </c>
      <c r="C2329" s="17" t="str">
        <f>IF(B2329="","",INDEX('01_Rohdaten'!B2329:D2329,'02_Eingaben'!$C$13))</f>
        <v/>
      </c>
      <c r="D2329" s="17" t="str">
        <f>IF(C2329="","",C2329*'02_Eingaben'!$C$15)</f>
        <v/>
      </c>
      <c r="E2329" s="17" t="str">
        <f>IF(D2329="","",D2329*'02_Eingaben'!$C$8)</f>
        <v/>
      </c>
      <c r="F2329" s="17" t="str">
        <f>IF(E2329="","",AVERAGE(INDEX($E$2:$E$3001,MAX(1,ROW()-1-'02_Eingaben'!$C$17)):INDEX($E$2:$E$3001,MIN('02_Eingaben'!$C$21,ROW()-1+'02_Eingaben'!$C$17))))</f>
        <v/>
      </c>
      <c r="G2329" s="17" t="str">
        <f>IF(F2329="","",F2329-'02_Eingaben'!$C$10)</f>
        <v/>
      </c>
      <c r="H2329" t="str">
        <f>IF(F2329="","",IF(F2329&lt;'02_Eingaben'!$C$18*'02_Eingaben'!$C$10,1,0))</f>
        <v/>
      </c>
      <c r="I2329" s="17" t="str">
        <f t="shared" si="36"/>
        <v/>
      </c>
      <c r="J2329" s="17" t="str">
        <f>IF(B2329="","",IF(B2328&lt;'02_Eingaben'!$C$36,0,J2328+I2328/'02_Eingaben'!$C$8))</f>
        <v/>
      </c>
    </row>
    <row r="2330" spans="1:10" x14ac:dyDescent="0.25">
      <c r="A2330" t="str">
        <f>IF('01_Rohdaten'!A2330="","",ROW()-1)</f>
        <v/>
      </c>
      <c r="B2330" s="17" t="str">
        <f>IF('01_Rohdaten'!A2330="","",'01_Rohdaten'!A2330)</f>
        <v/>
      </c>
      <c r="C2330" s="17" t="str">
        <f>IF(B2330="","",INDEX('01_Rohdaten'!B2330:D2330,'02_Eingaben'!$C$13))</f>
        <v/>
      </c>
      <c r="D2330" s="17" t="str">
        <f>IF(C2330="","",C2330*'02_Eingaben'!$C$15)</f>
        <v/>
      </c>
      <c r="E2330" s="17" t="str">
        <f>IF(D2330="","",D2330*'02_Eingaben'!$C$8)</f>
        <v/>
      </c>
      <c r="F2330" s="17" t="str">
        <f>IF(E2330="","",AVERAGE(INDEX($E$2:$E$3001,MAX(1,ROW()-1-'02_Eingaben'!$C$17)):INDEX($E$2:$E$3001,MIN('02_Eingaben'!$C$21,ROW()-1+'02_Eingaben'!$C$17))))</f>
        <v/>
      </c>
      <c r="G2330" s="17" t="str">
        <f>IF(F2330="","",F2330-'02_Eingaben'!$C$10)</f>
        <v/>
      </c>
      <c r="H2330" t="str">
        <f>IF(F2330="","",IF(F2330&lt;'02_Eingaben'!$C$18*'02_Eingaben'!$C$10,1,0))</f>
        <v/>
      </c>
      <c r="I2330" s="17" t="str">
        <f t="shared" si="36"/>
        <v/>
      </c>
      <c r="J2330" s="17" t="str">
        <f>IF(B2330="","",IF(B2329&lt;'02_Eingaben'!$C$36,0,J2329+I2329/'02_Eingaben'!$C$8))</f>
        <v/>
      </c>
    </row>
    <row r="2331" spans="1:10" x14ac:dyDescent="0.25">
      <c r="A2331" t="str">
        <f>IF('01_Rohdaten'!A2331="","",ROW()-1)</f>
        <v/>
      </c>
      <c r="B2331" s="17" t="str">
        <f>IF('01_Rohdaten'!A2331="","",'01_Rohdaten'!A2331)</f>
        <v/>
      </c>
      <c r="C2331" s="17" t="str">
        <f>IF(B2331="","",INDEX('01_Rohdaten'!B2331:D2331,'02_Eingaben'!$C$13))</f>
        <v/>
      </c>
      <c r="D2331" s="17" t="str">
        <f>IF(C2331="","",C2331*'02_Eingaben'!$C$15)</f>
        <v/>
      </c>
      <c r="E2331" s="17" t="str">
        <f>IF(D2331="","",D2331*'02_Eingaben'!$C$8)</f>
        <v/>
      </c>
      <c r="F2331" s="17" t="str">
        <f>IF(E2331="","",AVERAGE(INDEX($E$2:$E$3001,MAX(1,ROW()-1-'02_Eingaben'!$C$17)):INDEX($E$2:$E$3001,MIN('02_Eingaben'!$C$21,ROW()-1+'02_Eingaben'!$C$17))))</f>
        <v/>
      </c>
      <c r="G2331" s="17" t="str">
        <f>IF(F2331="","",F2331-'02_Eingaben'!$C$10)</f>
        <v/>
      </c>
      <c r="H2331" t="str">
        <f>IF(F2331="","",IF(F2331&lt;'02_Eingaben'!$C$18*'02_Eingaben'!$C$10,1,0))</f>
        <v/>
      </c>
      <c r="I2331" s="17" t="str">
        <f t="shared" si="36"/>
        <v/>
      </c>
      <c r="J2331" s="17" t="str">
        <f>IF(B2331="","",IF(B2330&lt;'02_Eingaben'!$C$36,0,J2330+I2330/'02_Eingaben'!$C$8))</f>
        <v/>
      </c>
    </row>
    <row r="2332" spans="1:10" x14ac:dyDescent="0.25">
      <c r="A2332" t="str">
        <f>IF('01_Rohdaten'!A2332="","",ROW()-1)</f>
        <v/>
      </c>
      <c r="B2332" s="17" t="str">
        <f>IF('01_Rohdaten'!A2332="","",'01_Rohdaten'!A2332)</f>
        <v/>
      </c>
      <c r="C2332" s="17" t="str">
        <f>IF(B2332="","",INDEX('01_Rohdaten'!B2332:D2332,'02_Eingaben'!$C$13))</f>
        <v/>
      </c>
      <c r="D2332" s="17" t="str">
        <f>IF(C2332="","",C2332*'02_Eingaben'!$C$15)</f>
        <v/>
      </c>
      <c r="E2332" s="17" t="str">
        <f>IF(D2332="","",D2332*'02_Eingaben'!$C$8)</f>
        <v/>
      </c>
      <c r="F2332" s="17" t="str">
        <f>IF(E2332="","",AVERAGE(INDEX($E$2:$E$3001,MAX(1,ROW()-1-'02_Eingaben'!$C$17)):INDEX($E$2:$E$3001,MIN('02_Eingaben'!$C$21,ROW()-1+'02_Eingaben'!$C$17))))</f>
        <v/>
      </c>
      <c r="G2332" s="17" t="str">
        <f>IF(F2332="","",F2332-'02_Eingaben'!$C$10)</f>
        <v/>
      </c>
      <c r="H2332" t="str">
        <f>IF(F2332="","",IF(F2332&lt;'02_Eingaben'!$C$18*'02_Eingaben'!$C$10,1,0))</f>
        <v/>
      </c>
      <c r="I2332" s="17" t="str">
        <f t="shared" si="36"/>
        <v/>
      </c>
      <c r="J2332" s="17" t="str">
        <f>IF(B2332="","",IF(B2331&lt;'02_Eingaben'!$C$36,0,J2331+I2331/'02_Eingaben'!$C$8))</f>
        <v/>
      </c>
    </row>
    <row r="2333" spans="1:10" x14ac:dyDescent="0.25">
      <c r="A2333" t="str">
        <f>IF('01_Rohdaten'!A2333="","",ROW()-1)</f>
        <v/>
      </c>
      <c r="B2333" s="17" t="str">
        <f>IF('01_Rohdaten'!A2333="","",'01_Rohdaten'!A2333)</f>
        <v/>
      </c>
      <c r="C2333" s="17" t="str">
        <f>IF(B2333="","",INDEX('01_Rohdaten'!B2333:D2333,'02_Eingaben'!$C$13))</f>
        <v/>
      </c>
      <c r="D2333" s="17" t="str">
        <f>IF(C2333="","",C2333*'02_Eingaben'!$C$15)</f>
        <v/>
      </c>
      <c r="E2333" s="17" t="str">
        <f>IF(D2333="","",D2333*'02_Eingaben'!$C$8)</f>
        <v/>
      </c>
      <c r="F2333" s="17" t="str">
        <f>IF(E2333="","",AVERAGE(INDEX($E$2:$E$3001,MAX(1,ROW()-1-'02_Eingaben'!$C$17)):INDEX($E$2:$E$3001,MIN('02_Eingaben'!$C$21,ROW()-1+'02_Eingaben'!$C$17))))</f>
        <v/>
      </c>
      <c r="G2333" s="17" t="str">
        <f>IF(F2333="","",F2333-'02_Eingaben'!$C$10)</f>
        <v/>
      </c>
      <c r="H2333" t="str">
        <f>IF(F2333="","",IF(F2333&lt;'02_Eingaben'!$C$18*'02_Eingaben'!$C$10,1,0))</f>
        <v/>
      </c>
      <c r="I2333" s="17" t="str">
        <f t="shared" si="36"/>
        <v/>
      </c>
      <c r="J2333" s="17" t="str">
        <f>IF(B2333="","",IF(B2332&lt;'02_Eingaben'!$C$36,0,J2332+I2332/'02_Eingaben'!$C$8))</f>
        <v/>
      </c>
    </row>
    <row r="2334" spans="1:10" x14ac:dyDescent="0.25">
      <c r="A2334" t="str">
        <f>IF('01_Rohdaten'!A2334="","",ROW()-1)</f>
        <v/>
      </c>
      <c r="B2334" s="17" t="str">
        <f>IF('01_Rohdaten'!A2334="","",'01_Rohdaten'!A2334)</f>
        <v/>
      </c>
      <c r="C2334" s="17" t="str">
        <f>IF(B2334="","",INDEX('01_Rohdaten'!B2334:D2334,'02_Eingaben'!$C$13))</f>
        <v/>
      </c>
      <c r="D2334" s="17" t="str">
        <f>IF(C2334="","",C2334*'02_Eingaben'!$C$15)</f>
        <v/>
      </c>
      <c r="E2334" s="17" t="str">
        <f>IF(D2334="","",D2334*'02_Eingaben'!$C$8)</f>
        <v/>
      </c>
      <c r="F2334" s="17" t="str">
        <f>IF(E2334="","",AVERAGE(INDEX($E$2:$E$3001,MAX(1,ROW()-1-'02_Eingaben'!$C$17)):INDEX($E$2:$E$3001,MIN('02_Eingaben'!$C$21,ROW()-1+'02_Eingaben'!$C$17))))</f>
        <v/>
      </c>
      <c r="G2334" s="17" t="str">
        <f>IF(F2334="","",F2334-'02_Eingaben'!$C$10)</f>
        <v/>
      </c>
      <c r="H2334" t="str">
        <f>IF(F2334="","",IF(F2334&lt;'02_Eingaben'!$C$18*'02_Eingaben'!$C$10,1,0))</f>
        <v/>
      </c>
      <c r="I2334" s="17" t="str">
        <f t="shared" si="36"/>
        <v/>
      </c>
      <c r="J2334" s="17" t="str">
        <f>IF(B2334="","",IF(B2333&lt;'02_Eingaben'!$C$36,0,J2333+I2333/'02_Eingaben'!$C$8))</f>
        <v/>
      </c>
    </row>
    <row r="2335" spans="1:10" x14ac:dyDescent="0.25">
      <c r="A2335" t="str">
        <f>IF('01_Rohdaten'!A2335="","",ROW()-1)</f>
        <v/>
      </c>
      <c r="B2335" s="17" t="str">
        <f>IF('01_Rohdaten'!A2335="","",'01_Rohdaten'!A2335)</f>
        <v/>
      </c>
      <c r="C2335" s="17" t="str">
        <f>IF(B2335="","",INDEX('01_Rohdaten'!B2335:D2335,'02_Eingaben'!$C$13))</f>
        <v/>
      </c>
      <c r="D2335" s="17" t="str">
        <f>IF(C2335="","",C2335*'02_Eingaben'!$C$15)</f>
        <v/>
      </c>
      <c r="E2335" s="17" t="str">
        <f>IF(D2335="","",D2335*'02_Eingaben'!$C$8)</f>
        <v/>
      </c>
      <c r="F2335" s="17" t="str">
        <f>IF(E2335="","",AVERAGE(INDEX($E$2:$E$3001,MAX(1,ROW()-1-'02_Eingaben'!$C$17)):INDEX($E$2:$E$3001,MIN('02_Eingaben'!$C$21,ROW()-1+'02_Eingaben'!$C$17))))</f>
        <v/>
      </c>
      <c r="G2335" s="17" t="str">
        <f>IF(F2335="","",F2335-'02_Eingaben'!$C$10)</f>
        <v/>
      </c>
      <c r="H2335" t="str">
        <f>IF(F2335="","",IF(F2335&lt;'02_Eingaben'!$C$18*'02_Eingaben'!$C$10,1,0))</f>
        <v/>
      </c>
      <c r="I2335" s="17" t="str">
        <f t="shared" si="36"/>
        <v/>
      </c>
      <c r="J2335" s="17" t="str">
        <f>IF(B2335="","",IF(B2334&lt;'02_Eingaben'!$C$36,0,J2334+I2334/'02_Eingaben'!$C$8))</f>
        <v/>
      </c>
    </row>
    <row r="2336" spans="1:10" x14ac:dyDescent="0.25">
      <c r="A2336" t="str">
        <f>IF('01_Rohdaten'!A2336="","",ROW()-1)</f>
        <v/>
      </c>
      <c r="B2336" s="17" t="str">
        <f>IF('01_Rohdaten'!A2336="","",'01_Rohdaten'!A2336)</f>
        <v/>
      </c>
      <c r="C2336" s="17" t="str">
        <f>IF(B2336="","",INDEX('01_Rohdaten'!B2336:D2336,'02_Eingaben'!$C$13))</f>
        <v/>
      </c>
      <c r="D2336" s="17" t="str">
        <f>IF(C2336="","",C2336*'02_Eingaben'!$C$15)</f>
        <v/>
      </c>
      <c r="E2336" s="17" t="str">
        <f>IF(D2336="","",D2336*'02_Eingaben'!$C$8)</f>
        <v/>
      </c>
      <c r="F2336" s="17" t="str">
        <f>IF(E2336="","",AVERAGE(INDEX($E$2:$E$3001,MAX(1,ROW()-1-'02_Eingaben'!$C$17)):INDEX($E$2:$E$3001,MIN('02_Eingaben'!$C$21,ROW()-1+'02_Eingaben'!$C$17))))</f>
        <v/>
      </c>
      <c r="G2336" s="17" t="str">
        <f>IF(F2336="","",F2336-'02_Eingaben'!$C$10)</f>
        <v/>
      </c>
      <c r="H2336" t="str">
        <f>IF(F2336="","",IF(F2336&lt;'02_Eingaben'!$C$18*'02_Eingaben'!$C$10,1,0))</f>
        <v/>
      </c>
      <c r="I2336" s="17" t="str">
        <f t="shared" si="36"/>
        <v/>
      </c>
      <c r="J2336" s="17" t="str">
        <f>IF(B2336="","",IF(B2335&lt;'02_Eingaben'!$C$36,0,J2335+I2335/'02_Eingaben'!$C$8))</f>
        <v/>
      </c>
    </row>
    <row r="2337" spans="1:10" x14ac:dyDescent="0.25">
      <c r="A2337" t="str">
        <f>IF('01_Rohdaten'!A2337="","",ROW()-1)</f>
        <v/>
      </c>
      <c r="B2337" s="17" t="str">
        <f>IF('01_Rohdaten'!A2337="","",'01_Rohdaten'!A2337)</f>
        <v/>
      </c>
      <c r="C2337" s="17" t="str">
        <f>IF(B2337="","",INDEX('01_Rohdaten'!B2337:D2337,'02_Eingaben'!$C$13))</f>
        <v/>
      </c>
      <c r="D2337" s="17" t="str">
        <f>IF(C2337="","",C2337*'02_Eingaben'!$C$15)</f>
        <v/>
      </c>
      <c r="E2337" s="17" t="str">
        <f>IF(D2337="","",D2337*'02_Eingaben'!$C$8)</f>
        <v/>
      </c>
      <c r="F2337" s="17" t="str">
        <f>IF(E2337="","",AVERAGE(INDEX($E$2:$E$3001,MAX(1,ROW()-1-'02_Eingaben'!$C$17)):INDEX($E$2:$E$3001,MIN('02_Eingaben'!$C$21,ROW()-1+'02_Eingaben'!$C$17))))</f>
        <v/>
      </c>
      <c r="G2337" s="17" t="str">
        <f>IF(F2337="","",F2337-'02_Eingaben'!$C$10)</f>
        <v/>
      </c>
      <c r="H2337" t="str">
        <f>IF(F2337="","",IF(F2337&lt;'02_Eingaben'!$C$18*'02_Eingaben'!$C$10,1,0))</f>
        <v/>
      </c>
      <c r="I2337" s="17" t="str">
        <f t="shared" si="36"/>
        <v/>
      </c>
      <c r="J2337" s="17" t="str">
        <f>IF(B2337="","",IF(B2336&lt;'02_Eingaben'!$C$36,0,J2336+I2336/'02_Eingaben'!$C$8))</f>
        <v/>
      </c>
    </row>
    <row r="2338" spans="1:10" x14ac:dyDescent="0.25">
      <c r="A2338" t="str">
        <f>IF('01_Rohdaten'!A2338="","",ROW()-1)</f>
        <v/>
      </c>
      <c r="B2338" s="17" t="str">
        <f>IF('01_Rohdaten'!A2338="","",'01_Rohdaten'!A2338)</f>
        <v/>
      </c>
      <c r="C2338" s="17" t="str">
        <f>IF(B2338="","",INDEX('01_Rohdaten'!B2338:D2338,'02_Eingaben'!$C$13))</f>
        <v/>
      </c>
      <c r="D2338" s="17" t="str">
        <f>IF(C2338="","",C2338*'02_Eingaben'!$C$15)</f>
        <v/>
      </c>
      <c r="E2338" s="17" t="str">
        <f>IF(D2338="","",D2338*'02_Eingaben'!$C$8)</f>
        <v/>
      </c>
      <c r="F2338" s="17" t="str">
        <f>IF(E2338="","",AVERAGE(INDEX($E$2:$E$3001,MAX(1,ROW()-1-'02_Eingaben'!$C$17)):INDEX($E$2:$E$3001,MIN('02_Eingaben'!$C$21,ROW()-1+'02_Eingaben'!$C$17))))</f>
        <v/>
      </c>
      <c r="G2338" s="17" t="str">
        <f>IF(F2338="","",F2338-'02_Eingaben'!$C$10)</f>
        <v/>
      </c>
      <c r="H2338" t="str">
        <f>IF(F2338="","",IF(F2338&lt;'02_Eingaben'!$C$18*'02_Eingaben'!$C$10,1,0))</f>
        <v/>
      </c>
      <c r="I2338" s="17" t="str">
        <f t="shared" si="36"/>
        <v/>
      </c>
      <c r="J2338" s="17" t="str">
        <f>IF(B2338="","",IF(B2337&lt;'02_Eingaben'!$C$36,0,J2337+I2337/'02_Eingaben'!$C$8))</f>
        <v/>
      </c>
    </row>
    <row r="2339" spans="1:10" x14ac:dyDescent="0.25">
      <c r="A2339" t="str">
        <f>IF('01_Rohdaten'!A2339="","",ROW()-1)</f>
        <v/>
      </c>
      <c r="B2339" s="17" t="str">
        <f>IF('01_Rohdaten'!A2339="","",'01_Rohdaten'!A2339)</f>
        <v/>
      </c>
      <c r="C2339" s="17" t="str">
        <f>IF(B2339="","",INDEX('01_Rohdaten'!B2339:D2339,'02_Eingaben'!$C$13))</f>
        <v/>
      </c>
      <c r="D2339" s="17" t="str">
        <f>IF(C2339="","",C2339*'02_Eingaben'!$C$15)</f>
        <v/>
      </c>
      <c r="E2339" s="17" t="str">
        <f>IF(D2339="","",D2339*'02_Eingaben'!$C$8)</f>
        <v/>
      </c>
      <c r="F2339" s="17" t="str">
        <f>IF(E2339="","",AVERAGE(INDEX($E$2:$E$3001,MAX(1,ROW()-1-'02_Eingaben'!$C$17)):INDEX($E$2:$E$3001,MIN('02_Eingaben'!$C$21,ROW()-1+'02_Eingaben'!$C$17))))</f>
        <v/>
      </c>
      <c r="G2339" s="17" t="str">
        <f>IF(F2339="","",F2339-'02_Eingaben'!$C$10)</f>
        <v/>
      </c>
      <c r="H2339" t="str">
        <f>IF(F2339="","",IF(F2339&lt;'02_Eingaben'!$C$18*'02_Eingaben'!$C$10,1,0))</f>
        <v/>
      </c>
      <c r="I2339" s="17" t="str">
        <f t="shared" si="36"/>
        <v/>
      </c>
      <c r="J2339" s="17" t="str">
        <f>IF(B2339="","",IF(B2338&lt;'02_Eingaben'!$C$36,0,J2338+I2338/'02_Eingaben'!$C$8))</f>
        <v/>
      </c>
    </row>
    <row r="2340" spans="1:10" x14ac:dyDescent="0.25">
      <c r="A2340" t="str">
        <f>IF('01_Rohdaten'!A2340="","",ROW()-1)</f>
        <v/>
      </c>
      <c r="B2340" s="17" t="str">
        <f>IF('01_Rohdaten'!A2340="","",'01_Rohdaten'!A2340)</f>
        <v/>
      </c>
      <c r="C2340" s="17" t="str">
        <f>IF(B2340="","",INDEX('01_Rohdaten'!B2340:D2340,'02_Eingaben'!$C$13))</f>
        <v/>
      </c>
      <c r="D2340" s="17" t="str">
        <f>IF(C2340="","",C2340*'02_Eingaben'!$C$15)</f>
        <v/>
      </c>
      <c r="E2340" s="17" t="str">
        <f>IF(D2340="","",D2340*'02_Eingaben'!$C$8)</f>
        <v/>
      </c>
      <c r="F2340" s="17" t="str">
        <f>IF(E2340="","",AVERAGE(INDEX($E$2:$E$3001,MAX(1,ROW()-1-'02_Eingaben'!$C$17)):INDEX($E$2:$E$3001,MIN('02_Eingaben'!$C$21,ROW()-1+'02_Eingaben'!$C$17))))</f>
        <v/>
      </c>
      <c r="G2340" s="17" t="str">
        <f>IF(F2340="","",F2340-'02_Eingaben'!$C$10)</f>
        <v/>
      </c>
      <c r="H2340" t="str">
        <f>IF(F2340="","",IF(F2340&lt;'02_Eingaben'!$C$18*'02_Eingaben'!$C$10,1,0))</f>
        <v/>
      </c>
      <c r="I2340" s="17" t="str">
        <f t="shared" si="36"/>
        <v/>
      </c>
      <c r="J2340" s="17" t="str">
        <f>IF(B2340="","",IF(B2339&lt;'02_Eingaben'!$C$36,0,J2339+I2339/'02_Eingaben'!$C$8))</f>
        <v/>
      </c>
    </row>
    <row r="2341" spans="1:10" x14ac:dyDescent="0.25">
      <c r="A2341" t="str">
        <f>IF('01_Rohdaten'!A2341="","",ROW()-1)</f>
        <v/>
      </c>
      <c r="B2341" s="17" t="str">
        <f>IF('01_Rohdaten'!A2341="","",'01_Rohdaten'!A2341)</f>
        <v/>
      </c>
      <c r="C2341" s="17" t="str">
        <f>IF(B2341="","",INDEX('01_Rohdaten'!B2341:D2341,'02_Eingaben'!$C$13))</f>
        <v/>
      </c>
      <c r="D2341" s="17" t="str">
        <f>IF(C2341="","",C2341*'02_Eingaben'!$C$15)</f>
        <v/>
      </c>
      <c r="E2341" s="17" t="str">
        <f>IF(D2341="","",D2341*'02_Eingaben'!$C$8)</f>
        <v/>
      </c>
      <c r="F2341" s="17" t="str">
        <f>IF(E2341="","",AVERAGE(INDEX($E$2:$E$3001,MAX(1,ROW()-1-'02_Eingaben'!$C$17)):INDEX($E$2:$E$3001,MIN('02_Eingaben'!$C$21,ROW()-1+'02_Eingaben'!$C$17))))</f>
        <v/>
      </c>
      <c r="G2341" s="17" t="str">
        <f>IF(F2341="","",F2341-'02_Eingaben'!$C$10)</f>
        <v/>
      </c>
      <c r="H2341" t="str">
        <f>IF(F2341="","",IF(F2341&lt;'02_Eingaben'!$C$18*'02_Eingaben'!$C$10,1,0))</f>
        <v/>
      </c>
      <c r="I2341" s="17" t="str">
        <f t="shared" si="36"/>
        <v/>
      </c>
      <c r="J2341" s="17" t="str">
        <f>IF(B2341="","",IF(B2340&lt;'02_Eingaben'!$C$36,0,J2340+I2340/'02_Eingaben'!$C$8))</f>
        <v/>
      </c>
    </row>
    <row r="2342" spans="1:10" x14ac:dyDescent="0.25">
      <c r="A2342" t="str">
        <f>IF('01_Rohdaten'!A2342="","",ROW()-1)</f>
        <v/>
      </c>
      <c r="B2342" s="17" t="str">
        <f>IF('01_Rohdaten'!A2342="","",'01_Rohdaten'!A2342)</f>
        <v/>
      </c>
      <c r="C2342" s="17" t="str">
        <f>IF(B2342="","",INDEX('01_Rohdaten'!B2342:D2342,'02_Eingaben'!$C$13))</f>
        <v/>
      </c>
      <c r="D2342" s="17" t="str">
        <f>IF(C2342="","",C2342*'02_Eingaben'!$C$15)</f>
        <v/>
      </c>
      <c r="E2342" s="17" t="str">
        <f>IF(D2342="","",D2342*'02_Eingaben'!$C$8)</f>
        <v/>
      </c>
      <c r="F2342" s="17" t="str">
        <f>IF(E2342="","",AVERAGE(INDEX($E$2:$E$3001,MAX(1,ROW()-1-'02_Eingaben'!$C$17)):INDEX($E$2:$E$3001,MIN('02_Eingaben'!$C$21,ROW()-1+'02_Eingaben'!$C$17))))</f>
        <v/>
      </c>
      <c r="G2342" s="17" t="str">
        <f>IF(F2342="","",F2342-'02_Eingaben'!$C$10)</f>
        <v/>
      </c>
      <c r="H2342" t="str">
        <f>IF(F2342="","",IF(F2342&lt;'02_Eingaben'!$C$18*'02_Eingaben'!$C$10,1,0))</f>
        <v/>
      </c>
      <c r="I2342" s="17" t="str">
        <f t="shared" si="36"/>
        <v/>
      </c>
      <c r="J2342" s="17" t="str">
        <f>IF(B2342="","",IF(B2341&lt;'02_Eingaben'!$C$36,0,J2341+I2341/'02_Eingaben'!$C$8))</f>
        <v/>
      </c>
    </row>
    <row r="2343" spans="1:10" x14ac:dyDescent="0.25">
      <c r="A2343" t="str">
        <f>IF('01_Rohdaten'!A2343="","",ROW()-1)</f>
        <v/>
      </c>
      <c r="B2343" s="17" t="str">
        <f>IF('01_Rohdaten'!A2343="","",'01_Rohdaten'!A2343)</f>
        <v/>
      </c>
      <c r="C2343" s="17" t="str">
        <f>IF(B2343="","",INDEX('01_Rohdaten'!B2343:D2343,'02_Eingaben'!$C$13))</f>
        <v/>
      </c>
      <c r="D2343" s="17" t="str">
        <f>IF(C2343="","",C2343*'02_Eingaben'!$C$15)</f>
        <v/>
      </c>
      <c r="E2343" s="17" t="str">
        <f>IF(D2343="","",D2343*'02_Eingaben'!$C$8)</f>
        <v/>
      </c>
      <c r="F2343" s="17" t="str">
        <f>IF(E2343="","",AVERAGE(INDEX($E$2:$E$3001,MAX(1,ROW()-1-'02_Eingaben'!$C$17)):INDEX($E$2:$E$3001,MIN('02_Eingaben'!$C$21,ROW()-1+'02_Eingaben'!$C$17))))</f>
        <v/>
      </c>
      <c r="G2343" s="17" t="str">
        <f>IF(F2343="","",F2343-'02_Eingaben'!$C$10)</f>
        <v/>
      </c>
      <c r="H2343" t="str">
        <f>IF(F2343="","",IF(F2343&lt;'02_Eingaben'!$C$18*'02_Eingaben'!$C$10,1,0))</f>
        <v/>
      </c>
      <c r="I2343" s="17" t="str">
        <f t="shared" si="36"/>
        <v/>
      </c>
      <c r="J2343" s="17" t="str">
        <f>IF(B2343="","",IF(B2342&lt;'02_Eingaben'!$C$36,0,J2342+I2342/'02_Eingaben'!$C$8))</f>
        <v/>
      </c>
    </row>
    <row r="2344" spans="1:10" x14ac:dyDescent="0.25">
      <c r="A2344" t="str">
        <f>IF('01_Rohdaten'!A2344="","",ROW()-1)</f>
        <v/>
      </c>
      <c r="B2344" s="17" t="str">
        <f>IF('01_Rohdaten'!A2344="","",'01_Rohdaten'!A2344)</f>
        <v/>
      </c>
      <c r="C2344" s="17" t="str">
        <f>IF(B2344="","",INDEX('01_Rohdaten'!B2344:D2344,'02_Eingaben'!$C$13))</f>
        <v/>
      </c>
      <c r="D2344" s="17" t="str">
        <f>IF(C2344="","",C2344*'02_Eingaben'!$C$15)</f>
        <v/>
      </c>
      <c r="E2344" s="17" t="str">
        <f>IF(D2344="","",D2344*'02_Eingaben'!$C$8)</f>
        <v/>
      </c>
      <c r="F2344" s="17" t="str">
        <f>IF(E2344="","",AVERAGE(INDEX($E$2:$E$3001,MAX(1,ROW()-1-'02_Eingaben'!$C$17)):INDEX($E$2:$E$3001,MIN('02_Eingaben'!$C$21,ROW()-1+'02_Eingaben'!$C$17))))</f>
        <v/>
      </c>
      <c r="G2344" s="17" t="str">
        <f>IF(F2344="","",F2344-'02_Eingaben'!$C$10)</f>
        <v/>
      </c>
      <c r="H2344" t="str">
        <f>IF(F2344="","",IF(F2344&lt;'02_Eingaben'!$C$18*'02_Eingaben'!$C$10,1,0))</f>
        <v/>
      </c>
      <c r="I2344" s="17" t="str">
        <f t="shared" si="36"/>
        <v/>
      </c>
      <c r="J2344" s="17" t="str">
        <f>IF(B2344="","",IF(B2343&lt;'02_Eingaben'!$C$36,0,J2343+I2343/'02_Eingaben'!$C$8))</f>
        <v/>
      </c>
    </row>
    <row r="2345" spans="1:10" x14ac:dyDescent="0.25">
      <c r="A2345" t="str">
        <f>IF('01_Rohdaten'!A2345="","",ROW()-1)</f>
        <v/>
      </c>
      <c r="B2345" s="17" t="str">
        <f>IF('01_Rohdaten'!A2345="","",'01_Rohdaten'!A2345)</f>
        <v/>
      </c>
      <c r="C2345" s="17" t="str">
        <f>IF(B2345="","",INDEX('01_Rohdaten'!B2345:D2345,'02_Eingaben'!$C$13))</f>
        <v/>
      </c>
      <c r="D2345" s="17" t="str">
        <f>IF(C2345="","",C2345*'02_Eingaben'!$C$15)</f>
        <v/>
      </c>
      <c r="E2345" s="17" t="str">
        <f>IF(D2345="","",D2345*'02_Eingaben'!$C$8)</f>
        <v/>
      </c>
      <c r="F2345" s="17" t="str">
        <f>IF(E2345="","",AVERAGE(INDEX($E$2:$E$3001,MAX(1,ROW()-1-'02_Eingaben'!$C$17)):INDEX($E$2:$E$3001,MIN('02_Eingaben'!$C$21,ROW()-1+'02_Eingaben'!$C$17))))</f>
        <v/>
      </c>
      <c r="G2345" s="17" t="str">
        <f>IF(F2345="","",F2345-'02_Eingaben'!$C$10)</f>
        <v/>
      </c>
      <c r="H2345" t="str">
        <f>IF(F2345="","",IF(F2345&lt;'02_Eingaben'!$C$18*'02_Eingaben'!$C$10,1,0))</f>
        <v/>
      </c>
      <c r="I2345" s="17" t="str">
        <f t="shared" si="36"/>
        <v/>
      </c>
      <c r="J2345" s="17" t="str">
        <f>IF(B2345="","",IF(B2344&lt;'02_Eingaben'!$C$36,0,J2344+I2344/'02_Eingaben'!$C$8))</f>
        <v/>
      </c>
    </row>
    <row r="2346" spans="1:10" x14ac:dyDescent="0.25">
      <c r="A2346" t="str">
        <f>IF('01_Rohdaten'!A2346="","",ROW()-1)</f>
        <v/>
      </c>
      <c r="B2346" s="17" t="str">
        <f>IF('01_Rohdaten'!A2346="","",'01_Rohdaten'!A2346)</f>
        <v/>
      </c>
      <c r="C2346" s="17" t="str">
        <f>IF(B2346="","",INDEX('01_Rohdaten'!B2346:D2346,'02_Eingaben'!$C$13))</f>
        <v/>
      </c>
      <c r="D2346" s="17" t="str">
        <f>IF(C2346="","",C2346*'02_Eingaben'!$C$15)</f>
        <v/>
      </c>
      <c r="E2346" s="17" t="str">
        <f>IF(D2346="","",D2346*'02_Eingaben'!$C$8)</f>
        <v/>
      </c>
      <c r="F2346" s="17" t="str">
        <f>IF(E2346="","",AVERAGE(INDEX($E$2:$E$3001,MAX(1,ROW()-1-'02_Eingaben'!$C$17)):INDEX($E$2:$E$3001,MIN('02_Eingaben'!$C$21,ROW()-1+'02_Eingaben'!$C$17))))</f>
        <v/>
      </c>
      <c r="G2346" s="17" t="str">
        <f>IF(F2346="","",F2346-'02_Eingaben'!$C$10)</f>
        <v/>
      </c>
      <c r="H2346" t="str">
        <f>IF(F2346="","",IF(F2346&lt;'02_Eingaben'!$C$18*'02_Eingaben'!$C$10,1,0))</f>
        <v/>
      </c>
      <c r="I2346" s="17" t="str">
        <f t="shared" si="36"/>
        <v/>
      </c>
      <c r="J2346" s="17" t="str">
        <f>IF(B2346="","",IF(B2345&lt;'02_Eingaben'!$C$36,0,J2345+I2345/'02_Eingaben'!$C$8))</f>
        <v/>
      </c>
    </row>
    <row r="2347" spans="1:10" x14ac:dyDescent="0.25">
      <c r="A2347" t="str">
        <f>IF('01_Rohdaten'!A2347="","",ROW()-1)</f>
        <v/>
      </c>
      <c r="B2347" s="17" t="str">
        <f>IF('01_Rohdaten'!A2347="","",'01_Rohdaten'!A2347)</f>
        <v/>
      </c>
      <c r="C2347" s="17" t="str">
        <f>IF(B2347="","",INDEX('01_Rohdaten'!B2347:D2347,'02_Eingaben'!$C$13))</f>
        <v/>
      </c>
      <c r="D2347" s="17" t="str">
        <f>IF(C2347="","",C2347*'02_Eingaben'!$C$15)</f>
        <v/>
      </c>
      <c r="E2347" s="17" t="str">
        <f>IF(D2347="","",D2347*'02_Eingaben'!$C$8)</f>
        <v/>
      </c>
      <c r="F2347" s="17" t="str">
        <f>IF(E2347="","",AVERAGE(INDEX($E$2:$E$3001,MAX(1,ROW()-1-'02_Eingaben'!$C$17)):INDEX($E$2:$E$3001,MIN('02_Eingaben'!$C$21,ROW()-1+'02_Eingaben'!$C$17))))</f>
        <v/>
      </c>
      <c r="G2347" s="17" t="str">
        <f>IF(F2347="","",F2347-'02_Eingaben'!$C$10)</f>
        <v/>
      </c>
      <c r="H2347" t="str">
        <f>IF(F2347="","",IF(F2347&lt;'02_Eingaben'!$C$18*'02_Eingaben'!$C$10,1,0))</f>
        <v/>
      </c>
      <c r="I2347" s="17" t="str">
        <f t="shared" si="36"/>
        <v/>
      </c>
      <c r="J2347" s="17" t="str">
        <f>IF(B2347="","",IF(B2346&lt;'02_Eingaben'!$C$36,0,J2346+I2346/'02_Eingaben'!$C$8))</f>
        <v/>
      </c>
    </row>
    <row r="2348" spans="1:10" x14ac:dyDescent="0.25">
      <c r="A2348" t="str">
        <f>IF('01_Rohdaten'!A2348="","",ROW()-1)</f>
        <v/>
      </c>
      <c r="B2348" s="17" t="str">
        <f>IF('01_Rohdaten'!A2348="","",'01_Rohdaten'!A2348)</f>
        <v/>
      </c>
      <c r="C2348" s="17" t="str">
        <f>IF(B2348="","",INDEX('01_Rohdaten'!B2348:D2348,'02_Eingaben'!$C$13))</f>
        <v/>
      </c>
      <c r="D2348" s="17" t="str">
        <f>IF(C2348="","",C2348*'02_Eingaben'!$C$15)</f>
        <v/>
      </c>
      <c r="E2348" s="17" t="str">
        <f>IF(D2348="","",D2348*'02_Eingaben'!$C$8)</f>
        <v/>
      </c>
      <c r="F2348" s="17" t="str">
        <f>IF(E2348="","",AVERAGE(INDEX($E$2:$E$3001,MAX(1,ROW()-1-'02_Eingaben'!$C$17)):INDEX($E$2:$E$3001,MIN('02_Eingaben'!$C$21,ROW()-1+'02_Eingaben'!$C$17))))</f>
        <v/>
      </c>
      <c r="G2348" s="17" t="str">
        <f>IF(F2348="","",F2348-'02_Eingaben'!$C$10)</f>
        <v/>
      </c>
      <c r="H2348" t="str">
        <f>IF(F2348="","",IF(F2348&lt;'02_Eingaben'!$C$18*'02_Eingaben'!$C$10,1,0))</f>
        <v/>
      </c>
      <c r="I2348" s="17" t="str">
        <f t="shared" si="36"/>
        <v/>
      </c>
      <c r="J2348" s="17" t="str">
        <f>IF(B2348="","",IF(B2347&lt;'02_Eingaben'!$C$36,0,J2347+I2347/'02_Eingaben'!$C$8))</f>
        <v/>
      </c>
    </row>
    <row r="2349" spans="1:10" x14ac:dyDescent="0.25">
      <c r="A2349" t="str">
        <f>IF('01_Rohdaten'!A2349="","",ROW()-1)</f>
        <v/>
      </c>
      <c r="B2349" s="17" t="str">
        <f>IF('01_Rohdaten'!A2349="","",'01_Rohdaten'!A2349)</f>
        <v/>
      </c>
      <c r="C2349" s="17" t="str">
        <f>IF(B2349="","",INDEX('01_Rohdaten'!B2349:D2349,'02_Eingaben'!$C$13))</f>
        <v/>
      </c>
      <c r="D2349" s="17" t="str">
        <f>IF(C2349="","",C2349*'02_Eingaben'!$C$15)</f>
        <v/>
      </c>
      <c r="E2349" s="17" t="str">
        <f>IF(D2349="","",D2349*'02_Eingaben'!$C$8)</f>
        <v/>
      </c>
      <c r="F2349" s="17" t="str">
        <f>IF(E2349="","",AVERAGE(INDEX($E$2:$E$3001,MAX(1,ROW()-1-'02_Eingaben'!$C$17)):INDEX($E$2:$E$3001,MIN('02_Eingaben'!$C$21,ROW()-1+'02_Eingaben'!$C$17))))</f>
        <v/>
      </c>
      <c r="G2349" s="17" t="str">
        <f>IF(F2349="","",F2349-'02_Eingaben'!$C$10)</f>
        <v/>
      </c>
      <c r="H2349" t="str">
        <f>IF(F2349="","",IF(F2349&lt;'02_Eingaben'!$C$18*'02_Eingaben'!$C$10,1,0))</f>
        <v/>
      </c>
      <c r="I2349" s="17" t="str">
        <f t="shared" si="36"/>
        <v/>
      </c>
      <c r="J2349" s="17" t="str">
        <f>IF(B2349="","",IF(B2348&lt;'02_Eingaben'!$C$36,0,J2348+I2348/'02_Eingaben'!$C$8))</f>
        <v/>
      </c>
    </row>
    <row r="2350" spans="1:10" x14ac:dyDescent="0.25">
      <c r="A2350" t="str">
        <f>IF('01_Rohdaten'!A2350="","",ROW()-1)</f>
        <v/>
      </c>
      <c r="B2350" s="17" t="str">
        <f>IF('01_Rohdaten'!A2350="","",'01_Rohdaten'!A2350)</f>
        <v/>
      </c>
      <c r="C2350" s="17" t="str">
        <f>IF(B2350="","",INDEX('01_Rohdaten'!B2350:D2350,'02_Eingaben'!$C$13))</f>
        <v/>
      </c>
      <c r="D2350" s="17" t="str">
        <f>IF(C2350="","",C2350*'02_Eingaben'!$C$15)</f>
        <v/>
      </c>
      <c r="E2350" s="17" t="str">
        <f>IF(D2350="","",D2350*'02_Eingaben'!$C$8)</f>
        <v/>
      </c>
      <c r="F2350" s="17" t="str">
        <f>IF(E2350="","",AVERAGE(INDEX($E$2:$E$3001,MAX(1,ROW()-1-'02_Eingaben'!$C$17)):INDEX($E$2:$E$3001,MIN('02_Eingaben'!$C$21,ROW()-1+'02_Eingaben'!$C$17))))</f>
        <v/>
      </c>
      <c r="G2350" s="17" t="str">
        <f>IF(F2350="","",F2350-'02_Eingaben'!$C$10)</f>
        <v/>
      </c>
      <c r="H2350" t="str">
        <f>IF(F2350="","",IF(F2350&lt;'02_Eingaben'!$C$18*'02_Eingaben'!$C$10,1,0))</f>
        <v/>
      </c>
      <c r="I2350" s="17" t="str">
        <f t="shared" si="36"/>
        <v/>
      </c>
      <c r="J2350" s="17" t="str">
        <f>IF(B2350="","",IF(B2349&lt;'02_Eingaben'!$C$36,0,J2349+I2349/'02_Eingaben'!$C$8))</f>
        <v/>
      </c>
    </row>
    <row r="2351" spans="1:10" x14ac:dyDescent="0.25">
      <c r="A2351" t="str">
        <f>IF('01_Rohdaten'!A2351="","",ROW()-1)</f>
        <v/>
      </c>
      <c r="B2351" s="17" t="str">
        <f>IF('01_Rohdaten'!A2351="","",'01_Rohdaten'!A2351)</f>
        <v/>
      </c>
      <c r="C2351" s="17" t="str">
        <f>IF(B2351="","",INDEX('01_Rohdaten'!B2351:D2351,'02_Eingaben'!$C$13))</f>
        <v/>
      </c>
      <c r="D2351" s="17" t="str">
        <f>IF(C2351="","",C2351*'02_Eingaben'!$C$15)</f>
        <v/>
      </c>
      <c r="E2351" s="17" t="str">
        <f>IF(D2351="","",D2351*'02_Eingaben'!$C$8)</f>
        <v/>
      </c>
      <c r="F2351" s="17" t="str">
        <f>IF(E2351="","",AVERAGE(INDEX($E$2:$E$3001,MAX(1,ROW()-1-'02_Eingaben'!$C$17)):INDEX($E$2:$E$3001,MIN('02_Eingaben'!$C$21,ROW()-1+'02_Eingaben'!$C$17))))</f>
        <v/>
      </c>
      <c r="G2351" s="17" t="str">
        <f>IF(F2351="","",F2351-'02_Eingaben'!$C$10)</f>
        <v/>
      </c>
      <c r="H2351" t="str">
        <f>IF(F2351="","",IF(F2351&lt;'02_Eingaben'!$C$18*'02_Eingaben'!$C$10,1,0))</f>
        <v/>
      </c>
      <c r="I2351" s="17" t="str">
        <f t="shared" si="36"/>
        <v/>
      </c>
      <c r="J2351" s="17" t="str">
        <f>IF(B2351="","",IF(B2350&lt;'02_Eingaben'!$C$36,0,J2350+I2350/'02_Eingaben'!$C$8))</f>
        <v/>
      </c>
    </row>
    <row r="2352" spans="1:10" x14ac:dyDescent="0.25">
      <c r="A2352" t="str">
        <f>IF('01_Rohdaten'!A2352="","",ROW()-1)</f>
        <v/>
      </c>
      <c r="B2352" s="17" t="str">
        <f>IF('01_Rohdaten'!A2352="","",'01_Rohdaten'!A2352)</f>
        <v/>
      </c>
      <c r="C2352" s="17" t="str">
        <f>IF(B2352="","",INDEX('01_Rohdaten'!B2352:D2352,'02_Eingaben'!$C$13))</f>
        <v/>
      </c>
      <c r="D2352" s="17" t="str">
        <f>IF(C2352="","",C2352*'02_Eingaben'!$C$15)</f>
        <v/>
      </c>
      <c r="E2352" s="17" t="str">
        <f>IF(D2352="","",D2352*'02_Eingaben'!$C$8)</f>
        <v/>
      </c>
      <c r="F2352" s="17" t="str">
        <f>IF(E2352="","",AVERAGE(INDEX($E$2:$E$3001,MAX(1,ROW()-1-'02_Eingaben'!$C$17)):INDEX($E$2:$E$3001,MIN('02_Eingaben'!$C$21,ROW()-1+'02_Eingaben'!$C$17))))</f>
        <v/>
      </c>
      <c r="G2352" s="17" t="str">
        <f>IF(F2352="","",F2352-'02_Eingaben'!$C$10)</f>
        <v/>
      </c>
      <c r="H2352" t="str">
        <f>IF(F2352="","",IF(F2352&lt;'02_Eingaben'!$C$18*'02_Eingaben'!$C$10,1,0))</f>
        <v/>
      </c>
      <c r="I2352" s="17" t="str">
        <f t="shared" si="36"/>
        <v/>
      </c>
      <c r="J2352" s="17" t="str">
        <f>IF(B2352="","",IF(B2351&lt;'02_Eingaben'!$C$36,0,J2351+I2351/'02_Eingaben'!$C$8))</f>
        <v/>
      </c>
    </row>
    <row r="2353" spans="1:10" x14ac:dyDescent="0.25">
      <c r="A2353" t="str">
        <f>IF('01_Rohdaten'!A2353="","",ROW()-1)</f>
        <v/>
      </c>
      <c r="B2353" s="17" t="str">
        <f>IF('01_Rohdaten'!A2353="","",'01_Rohdaten'!A2353)</f>
        <v/>
      </c>
      <c r="C2353" s="17" t="str">
        <f>IF(B2353="","",INDEX('01_Rohdaten'!B2353:D2353,'02_Eingaben'!$C$13))</f>
        <v/>
      </c>
      <c r="D2353" s="17" t="str">
        <f>IF(C2353="","",C2353*'02_Eingaben'!$C$15)</f>
        <v/>
      </c>
      <c r="E2353" s="17" t="str">
        <f>IF(D2353="","",D2353*'02_Eingaben'!$C$8)</f>
        <v/>
      </c>
      <c r="F2353" s="17" t="str">
        <f>IF(E2353="","",AVERAGE(INDEX($E$2:$E$3001,MAX(1,ROW()-1-'02_Eingaben'!$C$17)):INDEX($E$2:$E$3001,MIN('02_Eingaben'!$C$21,ROW()-1+'02_Eingaben'!$C$17))))</f>
        <v/>
      </c>
      <c r="G2353" s="17" t="str">
        <f>IF(F2353="","",F2353-'02_Eingaben'!$C$10)</f>
        <v/>
      </c>
      <c r="H2353" t="str">
        <f>IF(F2353="","",IF(F2353&lt;'02_Eingaben'!$C$18*'02_Eingaben'!$C$10,1,0))</f>
        <v/>
      </c>
      <c r="I2353" s="17" t="str">
        <f t="shared" si="36"/>
        <v/>
      </c>
      <c r="J2353" s="17" t="str">
        <f>IF(B2353="","",IF(B2352&lt;'02_Eingaben'!$C$36,0,J2352+I2352/'02_Eingaben'!$C$8))</f>
        <v/>
      </c>
    </row>
    <row r="2354" spans="1:10" x14ac:dyDescent="0.25">
      <c r="A2354" t="str">
        <f>IF('01_Rohdaten'!A2354="","",ROW()-1)</f>
        <v/>
      </c>
      <c r="B2354" s="17" t="str">
        <f>IF('01_Rohdaten'!A2354="","",'01_Rohdaten'!A2354)</f>
        <v/>
      </c>
      <c r="C2354" s="17" t="str">
        <f>IF(B2354="","",INDEX('01_Rohdaten'!B2354:D2354,'02_Eingaben'!$C$13))</f>
        <v/>
      </c>
      <c r="D2354" s="17" t="str">
        <f>IF(C2354="","",C2354*'02_Eingaben'!$C$15)</f>
        <v/>
      </c>
      <c r="E2354" s="17" t="str">
        <f>IF(D2354="","",D2354*'02_Eingaben'!$C$8)</f>
        <v/>
      </c>
      <c r="F2354" s="17" t="str">
        <f>IF(E2354="","",AVERAGE(INDEX($E$2:$E$3001,MAX(1,ROW()-1-'02_Eingaben'!$C$17)):INDEX($E$2:$E$3001,MIN('02_Eingaben'!$C$21,ROW()-1+'02_Eingaben'!$C$17))))</f>
        <v/>
      </c>
      <c r="G2354" s="17" t="str">
        <f>IF(F2354="","",F2354-'02_Eingaben'!$C$10)</f>
        <v/>
      </c>
      <c r="H2354" t="str">
        <f>IF(F2354="","",IF(F2354&lt;'02_Eingaben'!$C$18*'02_Eingaben'!$C$10,1,0))</f>
        <v/>
      </c>
      <c r="I2354" s="17" t="str">
        <f t="shared" si="36"/>
        <v/>
      </c>
      <c r="J2354" s="17" t="str">
        <f>IF(B2354="","",IF(B2353&lt;'02_Eingaben'!$C$36,0,J2353+I2353/'02_Eingaben'!$C$8))</f>
        <v/>
      </c>
    </row>
    <row r="2355" spans="1:10" x14ac:dyDescent="0.25">
      <c r="A2355" t="str">
        <f>IF('01_Rohdaten'!A2355="","",ROW()-1)</f>
        <v/>
      </c>
      <c r="B2355" s="17" t="str">
        <f>IF('01_Rohdaten'!A2355="","",'01_Rohdaten'!A2355)</f>
        <v/>
      </c>
      <c r="C2355" s="17" t="str">
        <f>IF(B2355="","",INDEX('01_Rohdaten'!B2355:D2355,'02_Eingaben'!$C$13))</f>
        <v/>
      </c>
      <c r="D2355" s="17" t="str">
        <f>IF(C2355="","",C2355*'02_Eingaben'!$C$15)</f>
        <v/>
      </c>
      <c r="E2355" s="17" t="str">
        <f>IF(D2355="","",D2355*'02_Eingaben'!$C$8)</f>
        <v/>
      </c>
      <c r="F2355" s="17" t="str">
        <f>IF(E2355="","",AVERAGE(INDEX($E$2:$E$3001,MAX(1,ROW()-1-'02_Eingaben'!$C$17)):INDEX($E$2:$E$3001,MIN('02_Eingaben'!$C$21,ROW()-1+'02_Eingaben'!$C$17))))</f>
        <v/>
      </c>
      <c r="G2355" s="17" t="str">
        <f>IF(F2355="","",F2355-'02_Eingaben'!$C$10)</f>
        <v/>
      </c>
      <c r="H2355" t="str">
        <f>IF(F2355="","",IF(F2355&lt;'02_Eingaben'!$C$18*'02_Eingaben'!$C$10,1,0))</f>
        <v/>
      </c>
      <c r="I2355" s="17" t="str">
        <f t="shared" si="36"/>
        <v/>
      </c>
      <c r="J2355" s="17" t="str">
        <f>IF(B2355="","",IF(B2354&lt;'02_Eingaben'!$C$36,0,J2354+I2354/'02_Eingaben'!$C$8))</f>
        <v/>
      </c>
    </row>
    <row r="2356" spans="1:10" x14ac:dyDescent="0.25">
      <c r="A2356" t="str">
        <f>IF('01_Rohdaten'!A2356="","",ROW()-1)</f>
        <v/>
      </c>
      <c r="B2356" s="17" t="str">
        <f>IF('01_Rohdaten'!A2356="","",'01_Rohdaten'!A2356)</f>
        <v/>
      </c>
      <c r="C2356" s="17" t="str">
        <f>IF(B2356="","",INDEX('01_Rohdaten'!B2356:D2356,'02_Eingaben'!$C$13))</f>
        <v/>
      </c>
      <c r="D2356" s="17" t="str">
        <f>IF(C2356="","",C2356*'02_Eingaben'!$C$15)</f>
        <v/>
      </c>
      <c r="E2356" s="17" t="str">
        <f>IF(D2356="","",D2356*'02_Eingaben'!$C$8)</f>
        <v/>
      </c>
      <c r="F2356" s="17" t="str">
        <f>IF(E2356="","",AVERAGE(INDEX($E$2:$E$3001,MAX(1,ROW()-1-'02_Eingaben'!$C$17)):INDEX($E$2:$E$3001,MIN('02_Eingaben'!$C$21,ROW()-1+'02_Eingaben'!$C$17))))</f>
        <v/>
      </c>
      <c r="G2356" s="17" t="str">
        <f>IF(F2356="","",F2356-'02_Eingaben'!$C$10)</f>
        <v/>
      </c>
      <c r="H2356" t="str">
        <f>IF(F2356="","",IF(F2356&lt;'02_Eingaben'!$C$18*'02_Eingaben'!$C$10,1,0))</f>
        <v/>
      </c>
      <c r="I2356" s="17" t="str">
        <f t="shared" si="36"/>
        <v/>
      </c>
      <c r="J2356" s="17" t="str">
        <f>IF(B2356="","",IF(B2355&lt;'02_Eingaben'!$C$36,0,J2355+I2355/'02_Eingaben'!$C$8))</f>
        <v/>
      </c>
    </row>
    <row r="2357" spans="1:10" x14ac:dyDescent="0.25">
      <c r="A2357" t="str">
        <f>IF('01_Rohdaten'!A2357="","",ROW()-1)</f>
        <v/>
      </c>
      <c r="B2357" s="17" t="str">
        <f>IF('01_Rohdaten'!A2357="","",'01_Rohdaten'!A2357)</f>
        <v/>
      </c>
      <c r="C2357" s="17" t="str">
        <f>IF(B2357="","",INDEX('01_Rohdaten'!B2357:D2357,'02_Eingaben'!$C$13))</f>
        <v/>
      </c>
      <c r="D2357" s="17" t="str">
        <f>IF(C2357="","",C2357*'02_Eingaben'!$C$15)</f>
        <v/>
      </c>
      <c r="E2357" s="17" t="str">
        <f>IF(D2357="","",D2357*'02_Eingaben'!$C$8)</f>
        <v/>
      </c>
      <c r="F2357" s="17" t="str">
        <f>IF(E2357="","",AVERAGE(INDEX($E$2:$E$3001,MAX(1,ROW()-1-'02_Eingaben'!$C$17)):INDEX($E$2:$E$3001,MIN('02_Eingaben'!$C$21,ROW()-1+'02_Eingaben'!$C$17))))</f>
        <v/>
      </c>
      <c r="G2357" s="17" t="str">
        <f>IF(F2357="","",F2357-'02_Eingaben'!$C$10)</f>
        <v/>
      </c>
      <c r="H2357" t="str">
        <f>IF(F2357="","",IF(F2357&lt;'02_Eingaben'!$C$18*'02_Eingaben'!$C$10,1,0))</f>
        <v/>
      </c>
      <c r="I2357" s="17" t="str">
        <f t="shared" si="36"/>
        <v/>
      </c>
      <c r="J2357" s="17" t="str">
        <f>IF(B2357="","",IF(B2356&lt;'02_Eingaben'!$C$36,0,J2356+I2356/'02_Eingaben'!$C$8))</f>
        <v/>
      </c>
    </row>
    <row r="2358" spans="1:10" x14ac:dyDescent="0.25">
      <c r="A2358" t="str">
        <f>IF('01_Rohdaten'!A2358="","",ROW()-1)</f>
        <v/>
      </c>
      <c r="B2358" s="17" t="str">
        <f>IF('01_Rohdaten'!A2358="","",'01_Rohdaten'!A2358)</f>
        <v/>
      </c>
      <c r="C2358" s="17" t="str">
        <f>IF(B2358="","",INDEX('01_Rohdaten'!B2358:D2358,'02_Eingaben'!$C$13))</f>
        <v/>
      </c>
      <c r="D2358" s="17" t="str">
        <f>IF(C2358="","",C2358*'02_Eingaben'!$C$15)</f>
        <v/>
      </c>
      <c r="E2358" s="17" t="str">
        <f>IF(D2358="","",D2358*'02_Eingaben'!$C$8)</f>
        <v/>
      </c>
      <c r="F2358" s="17" t="str">
        <f>IF(E2358="","",AVERAGE(INDEX($E$2:$E$3001,MAX(1,ROW()-1-'02_Eingaben'!$C$17)):INDEX($E$2:$E$3001,MIN('02_Eingaben'!$C$21,ROW()-1+'02_Eingaben'!$C$17))))</f>
        <v/>
      </c>
      <c r="G2358" s="17" t="str">
        <f>IF(F2358="","",F2358-'02_Eingaben'!$C$10)</f>
        <v/>
      </c>
      <c r="H2358" t="str">
        <f>IF(F2358="","",IF(F2358&lt;'02_Eingaben'!$C$18*'02_Eingaben'!$C$10,1,0))</f>
        <v/>
      </c>
      <c r="I2358" s="17" t="str">
        <f t="shared" si="36"/>
        <v/>
      </c>
      <c r="J2358" s="17" t="str">
        <f>IF(B2358="","",IF(B2357&lt;'02_Eingaben'!$C$36,0,J2357+I2357/'02_Eingaben'!$C$8))</f>
        <v/>
      </c>
    </row>
    <row r="2359" spans="1:10" x14ac:dyDescent="0.25">
      <c r="A2359" t="str">
        <f>IF('01_Rohdaten'!A2359="","",ROW()-1)</f>
        <v/>
      </c>
      <c r="B2359" s="17" t="str">
        <f>IF('01_Rohdaten'!A2359="","",'01_Rohdaten'!A2359)</f>
        <v/>
      </c>
      <c r="C2359" s="17" t="str">
        <f>IF(B2359="","",INDEX('01_Rohdaten'!B2359:D2359,'02_Eingaben'!$C$13))</f>
        <v/>
      </c>
      <c r="D2359" s="17" t="str">
        <f>IF(C2359="","",C2359*'02_Eingaben'!$C$15)</f>
        <v/>
      </c>
      <c r="E2359" s="17" t="str">
        <f>IF(D2359="","",D2359*'02_Eingaben'!$C$8)</f>
        <v/>
      </c>
      <c r="F2359" s="17" t="str">
        <f>IF(E2359="","",AVERAGE(INDEX($E$2:$E$3001,MAX(1,ROW()-1-'02_Eingaben'!$C$17)):INDEX($E$2:$E$3001,MIN('02_Eingaben'!$C$21,ROW()-1+'02_Eingaben'!$C$17))))</f>
        <v/>
      </c>
      <c r="G2359" s="17" t="str">
        <f>IF(F2359="","",F2359-'02_Eingaben'!$C$10)</f>
        <v/>
      </c>
      <c r="H2359" t="str">
        <f>IF(F2359="","",IF(F2359&lt;'02_Eingaben'!$C$18*'02_Eingaben'!$C$10,1,0))</f>
        <v/>
      </c>
      <c r="I2359" s="17" t="str">
        <f t="shared" si="36"/>
        <v/>
      </c>
      <c r="J2359" s="17" t="str">
        <f>IF(B2359="","",IF(B2358&lt;'02_Eingaben'!$C$36,0,J2358+I2358/'02_Eingaben'!$C$8))</f>
        <v/>
      </c>
    </row>
    <row r="2360" spans="1:10" x14ac:dyDescent="0.25">
      <c r="A2360" t="str">
        <f>IF('01_Rohdaten'!A2360="","",ROW()-1)</f>
        <v/>
      </c>
      <c r="B2360" s="17" t="str">
        <f>IF('01_Rohdaten'!A2360="","",'01_Rohdaten'!A2360)</f>
        <v/>
      </c>
      <c r="C2360" s="17" t="str">
        <f>IF(B2360="","",INDEX('01_Rohdaten'!B2360:D2360,'02_Eingaben'!$C$13))</f>
        <v/>
      </c>
      <c r="D2360" s="17" t="str">
        <f>IF(C2360="","",C2360*'02_Eingaben'!$C$15)</f>
        <v/>
      </c>
      <c r="E2360" s="17" t="str">
        <f>IF(D2360="","",D2360*'02_Eingaben'!$C$8)</f>
        <v/>
      </c>
      <c r="F2360" s="17" t="str">
        <f>IF(E2360="","",AVERAGE(INDEX($E$2:$E$3001,MAX(1,ROW()-1-'02_Eingaben'!$C$17)):INDEX($E$2:$E$3001,MIN('02_Eingaben'!$C$21,ROW()-1+'02_Eingaben'!$C$17))))</f>
        <v/>
      </c>
      <c r="G2360" s="17" t="str">
        <f>IF(F2360="","",F2360-'02_Eingaben'!$C$10)</f>
        <v/>
      </c>
      <c r="H2360" t="str">
        <f>IF(F2360="","",IF(F2360&lt;'02_Eingaben'!$C$18*'02_Eingaben'!$C$10,1,0))</f>
        <v/>
      </c>
      <c r="I2360" s="17" t="str">
        <f t="shared" si="36"/>
        <v/>
      </c>
      <c r="J2360" s="17" t="str">
        <f>IF(B2360="","",IF(B2359&lt;'02_Eingaben'!$C$36,0,J2359+I2359/'02_Eingaben'!$C$8))</f>
        <v/>
      </c>
    </row>
    <row r="2361" spans="1:10" x14ac:dyDescent="0.25">
      <c r="A2361" t="str">
        <f>IF('01_Rohdaten'!A2361="","",ROW()-1)</f>
        <v/>
      </c>
      <c r="B2361" s="17" t="str">
        <f>IF('01_Rohdaten'!A2361="","",'01_Rohdaten'!A2361)</f>
        <v/>
      </c>
      <c r="C2361" s="17" t="str">
        <f>IF(B2361="","",INDEX('01_Rohdaten'!B2361:D2361,'02_Eingaben'!$C$13))</f>
        <v/>
      </c>
      <c r="D2361" s="17" t="str">
        <f>IF(C2361="","",C2361*'02_Eingaben'!$C$15)</f>
        <v/>
      </c>
      <c r="E2361" s="17" t="str">
        <f>IF(D2361="","",D2361*'02_Eingaben'!$C$8)</f>
        <v/>
      </c>
      <c r="F2361" s="17" t="str">
        <f>IF(E2361="","",AVERAGE(INDEX($E$2:$E$3001,MAX(1,ROW()-1-'02_Eingaben'!$C$17)):INDEX($E$2:$E$3001,MIN('02_Eingaben'!$C$21,ROW()-1+'02_Eingaben'!$C$17))))</f>
        <v/>
      </c>
      <c r="G2361" s="17" t="str">
        <f>IF(F2361="","",F2361-'02_Eingaben'!$C$10)</f>
        <v/>
      </c>
      <c r="H2361" t="str">
        <f>IF(F2361="","",IF(F2361&lt;'02_Eingaben'!$C$18*'02_Eingaben'!$C$10,1,0))</f>
        <v/>
      </c>
      <c r="I2361" s="17" t="str">
        <f t="shared" si="36"/>
        <v/>
      </c>
      <c r="J2361" s="17" t="str">
        <f>IF(B2361="","",IF(B2360&lt;'02_Eingaben'!$C$36,0,J2360+I2360/'02_Eingaben'!$C$8))</f>
        <v/>
      </c>
    </row>
    <row r="2362" spans="1:10" x14ac:dyDescent="0.25">
      <c r="A2362" t="str">
        <f>IF('01_Rohdaten'!A2362="","",ROW()-1)</f>
        <v/>
      </c>
      <c r="B2362" s="17" t="str">
        <f>IF('01_Rohdaten'!A2362="","",'01_Rohdaten'!A2362)</f>
        <v/>
      </c>
      <c r="C2362" s="17" t="str">
        <f>IF(B2362="","",INDEX('01_Rohdaten'!B2362:D2362,'02_Eingaben'!$C$13))</f>
        <v/>
      </c>
      <c r="D2362" s="17" t="str">
        <f>IF(C2362="","",C2362*'02_Eingaben'!$C$15)</f>
        <v/>
      </c>
      <c r="E2362" s="17" t="str">
        <f>IF(D2362="","",D2362*'02_Eingaben'!$C$8)</f>
        <v/>
      </c>
      <c r="F2362" s="17" t="str">
        <f>IF(E2362="","",AVERAGE(INDEX($E$2:$E$3001,MAX(1,ROW()-1-'02_Eingaben'!$C$17)):INDEX($E$2:$E$3001,MIN('02_Eingaben'!$C$21,ROW()-1+'02_Eingaben'!$C$17))))</f>
        <v/>
      </c>
      <c r="G2362" s="17" t="str">
        <f>IF(F2362="","",F2362-'02_Eingaben'!$C$10)</f>
        <v/>
      </c>
      <c r="H2362" t="str">
        <f>IF(F2362="","",IF(F2362&lt;'02_Eingaben'!$C$18*'02_Eingaben'!$C$10,1,0))</f>
        <v/>
      </c>
      <c r="I2362" s="17" t="str">
        <f t="shared" si="36"/>
        <v/>
      </c>
      <c r="J2362" s="17" t="str">
        <f>IF(B2362="","",IF(B2361&lt;'02_Eingaben'!$C$36,0,J2361+I2361/'02_Eingaben'!$C$8))</f>
        <v/>
      </c>
    </row>
    <row r="2363" spans="1:10" x14ac:dyDescent="0.25">
      <c r="A2363" t="str">
        <f>IF('01_Rohdaten'!A2363="","",ROW()-1)</f>
        <v/>
      </c>
      <c r="B2363" s="17" t="str">
        <f>IF('01_Rohdaten'!A2363="","",'01_Rohdaten'!A2363)</f>
        <v/>
      </c>
      <c r="C2363" s="17" t="str">
        <f>IF(B2363="","",INDEX('01_Rohdaten'!B2363:D2363,'02_Eingaben'!$C$13))</f>
        <v/>
      </c>
      <c r="D2363" s="17" t="str">
        <f>IF(C2363="","",C2363*'02_Eingaben'!$C$15)</f>
        <v/>
      </c>
      <c r="E2363" s="17" t="str">
        <f>IF(D2363="","",D2363*'02_Eingaben'!$C$8)</f>
        <v/>
      </c>
      <c r="F2363" s="17" t="str">
        <f>IF(E2363="","",AVERAGE(INDEX($E$2:$E$3001,MAX(1,ROW()-1-'02_Eingaben'!$C$17)):INDEX($E$2:$E$3001,MIN('02_Eingaben'!$C$21,ROW()-1+'02_Eingaben'!$C$17))))</f>
        <v/>
      </c>
      <c r="G2363" s="17" t="str">
        <f>IF(F2363="","",F2363-'02_Eingaben'!$C$10)</f>
        <v/>
      </c>
      <c r="H2363" t="str">
        <f>IF(F2363="","",IF(F2363&lt;'02_Eingaben'!$C$18*'02_Eingaben'!$C$10,1,0))</f>
        <v/>
      </c>
      <c r="I2363" s="17" t="str">
        <f t="shared" si="36"/>
        <v/>
      </c>
      <c r="J2363" s="17" t="str">
        <f>IF(B2363="","",IF(B2362&lt;'02_Eingaben'!$C$36,0,J2362+I2362/'02_Eingaben'!$C$8))</f>
        <v/>
      </c>
    </row>
    <row r="2364" spans="1:10" x14ac:dyDescent="0.25">
      <c r="A2364" t="str">
        <f>IF('01_Rohdaten'!A2364="","",ROW()-1)</f>
        <v/>
      </c>
      <c r="B2364" s="17" t="str">
        <f>IF('01_Rohdaten'!A2364="","",'01_Rohdaten'!A2364)</f>
        <v/>
      </c>
      <c r="C2364" s="17" t="str">
        <f>IF(B2364="","",INDEX('01_Rohdaten'!B2364:D2364,'02_Eingaben'!$C$13))</f>
        <v/>
      </c>
      <c r="D2364" s="17" t="str">
        <f>IF(C2364="","",C2364*'02_Eingaben'!$C$15)</f>
        <v/>
      </c>
      <c r="E2364" s="17" t="str">
        <f>IF(D2364="","",D2364*'02_Eingaben'!$C$8)</f>
        <v/>
      </c>
      <c r="F2364" s="17" t="str">
        <f>IF(E2364="","",AVERAGE(INDEX($E$2:$E$3001,MAX(1,ROW()-1-'02_Eingaben'!$C$17)):INDEX($E$2:$E$3001,MIN('02_Eingaben'!$C$21,ROW()-1+'02_Eingaben'!$C$17))))</f>
        <v/>
      </c>
      <c r="G2364" s="17" t="str">
        <f>IF(F2364="","",F2364-'02_Eingaben'!$C$10)</f>
        <v/>
      </c>
      <c r="H2364" t="str">
        <f>IF(F2364="","",IF(F2364&lt;'02_Eingaben'!$C$18*'02_Eingaben'!$C$10,1,0))</f>
        <v/>
      </c>
      <c r="I2364" s="17" t="str">
        <f t="shared" si="36"/>
        <v/>
      </c>
      <c r="J2364" s="17" t="str">
        <f>IF(B2364="","",IF(B2363&lt;'02_Eingaben'!$C$36,0,J2363+I2363/'02_Eingaben'!$C$8))</f>
        <v/>
      </c>
    </row>
    <row r="2365" spans="1:10" x14ac:dyDescent="0.25">
      <c r="A2365" t="str">
        <f>IF('01_Rohdaten'!A2365="","",ROW()-1)</f>
        <v/>
      </c>
      <c r="B2365" s="17" t="str">
        <f>IF('01_Rohdaten'!A2365="","",'01_Rohdaten'!A2365)</f>
        <v/>
      </c>
      <c r="C2365" s="17" t="str">
        <f>IF(B2365="","",INDEX('01_Rohdaten'!B2365:D2365,'02_Eingaben'!$C$13))</f>
        <v/>
      </c>
      <c r="D2365" s="17" t="str">
        <f>IF(C2365="","",C2365*'02_Eingaben'!$C$15)</f>
        <v/>
      </c>
      <c r="E2365" s="17" t="str">
        <f>IF(D2365="","",D2365*'02_Eingaben'!$C$8)</f>
        <v/>
      </c>
      <c r="F2365" s="17" t="str">
        <f>IF(E2365="","",AVERAGE(INDEX($E$2:$E$3001,MAX(1,ROW()-1-'02_Eingaben'!$C$17)):INDEX($E$2:$E$3001,MIN('02_Eingaben'!$C$21,ROW()-1+'02_Eingaben'!$C$17))))</f>
        <v/>
      </c>
      <c r="G2365" s="17" t="str">
        <f>IF(F2365="","",F2365-'02_Eingaben'!$C$10)</f>
        <v/>
      </c>
      <c r="H2365" t="str">
        <f>IF(F2365="","",IF(F2365&lt;'02_Eingaben'!$C$18*'02_Eingaben'!$C$10,1,0))</f>
        <v/>
      </c>
      <c r="I2365" s="17" t="str">
        <f t="shared" si="36"/>
        <v/>
      </c>
      <c r="J2365" s="17" t="str">
        <f>IF(B2365="","",IF(B2364&lt;'02_Eingaben'!$C$36,0,J2364+I2364/'02_Eingaben'!$C$8))</f>
        <v/>
      </c>
    </row>
    <row r="2366" spans="1:10" x14ac:dyDescent="0.25">
      <c r="A2366" t="str">
        <f>IF('01_Rohdaten'!A2366="","",ROW()-1)</f>
        <v/>
      </c>
      <c r="B2366" s="17" t="str">
        <f>IF('01_Rohdaten'!A2366="","",'01_Rohdaten'!A2366)</f>
        <v/>
      </c>
      <c r="C2366" s="17" t="str">
        <f>IF(B2366="","",INDEX('01_Rohdaten'!B2366:D2366,'02_Eingaben'!$C$13))</f>
        <v/>
      </c>
      <c r="D2366" s="17" t="str">
        <f>IF(C2366="","",C2366*'02_Eingaben'!$C$15)</f>
        <v/>
      </c>
      <c r="E2366" s="17" t="str">
        <f>IF(D2366="","",D2366*'02_Eingaben'!$C$8)</f>
        <v/>
      </c>
      <c r="F2366" s="17" t="str">
        <f>IF(E2366="","",AVERAGE(INDEX($E$2:$E$3001,MAX(1,ROW()-1-'02_Eingaben'!$C$17)):INDEX($E$2:$E$3001,MIN('02_Eingaben'!$C$21,ROW()-1+'02_Eingaben'!$C$17))))</f>
        <v/>
      </c>
      <c r="G2366" s="17" t="str">
        <f>IF(F2366="","",F2366-'02_Eingaben'!$C$10)</f>
        <v/>
      </c>
      <c r="H2366" t="str">
        <f>IF(F2366="","",IF(F2366&lt;'02_Eingaben'!$C$18*'02_Eingaben'!$C$10,1,0))</f>
        <v/>
      </c>
      <c r="I2366" s="17" t="str">
        <f t="shared" si="36"/>
        <v/>
      </c>
      <c r="J2366" s="17" t="str">
        <f>IF(B2366="","",IF(B2365&lt;'02_Eingaben'!$C$36,0,J2365+I2365/'02_Eingaben'!$C$8))</f>
        <v/>
      </c>
    </row>
    <row r="2367" spans="1:10" x14ac:dyDescent="0.25">
      <c r="A2367" t="str">
        <f>IF('01_Rohdaten'!A2367="","",ROW()-1)</f>
        <v/>
      </c>
      <c r="B2367" s="17" t="str">
        <f>IF('01_Rohdaten'!A2367="","",'01_Rohdaten'!A2367)</f>
        <v/>
      </c>
      <c r="C2367" s="17" t="str">
        <f>IF(B2367="","",INDEX('01_Rohdaten'!B2367:D2367,'02_Eingaben'!$C$13))</f>
        <v/>
      </c>
      <c r="D2367" s="17" t="str">
        <f>IF(C2367="","",C2367*'02_Eingaben'!$C$15)</f>
        <v/>
      </c>
      <c r="E2367" s="17" t="str">
        <f>IF(D2367="","",D2367*'02_Eingaben'!$C$8)</f>
        <v/>
      </c>
      <c r="F2367" s="17" t="str">
        <f>IF(E2367="","",AVERAGE(INDEX($E$2:$E$3001,MAX(1,ROW()-1-'02_Eingaben'!$C$17)):INDEX($E$2:$E$3001,MIN('02_Eingaben'!$C$21,ROW()-1+'02_Eingaben'!$C$17))))</f>
        <v/>
      </c>
      <c r="G2367" s="17" t="str">
        <f>IF(F2367="","",F2367-'02_Eingaben'!$C$10)</f>
        <v/>
      </c>
      <c r="H2367" t="str">
        <f>IF(F2367="","",IF(F2367&lt;'02_Eingaben'!$C$18*'02_Eingaben'!$C$10,1,0))</f>
        <v/>
      </c>
      <c r="I2367" s="17" t="str">
        <f t="shared" si="36"/>
        <v/>
      </c>
      <c r="J2367" s="17" t="str">
        <f>IF(B2367="","",IF(B2366&lt;'02_Eingaben'!$C$36,0,J2366+I2366/'02_Eingaben'!$C$8))</f>
        <v/>
      </c>
    </row>
    <row r="2368" spans="1:10" x14ac:dyDescent="0.25">
      <c r="A2368" t="str">
        <f>IF('01_Rohdaten'!A2368="","",ROW()-1)</f>
        <v/>
      </c>
      <c r="B2368" s="17" t="str">
        <f>IF('01_Rohdaten'!A2368="","",'01_Rohdaten'!A2368)</f>
        <v/>
      </c>
      <c r="C2368" s="17" t="str">
        <f>IF(B2368="","",INDEX('01_Rohdaten'!B2368:D2368,'02_Eingaben'!$C$13))</f>
        <v/>
      </c>
      <c r="D2368" s="17" t="str">
        <f>IF(C2368="","",C2368*'02_Eingaben'!$C$15)</f>
        <v/>
      </c>
      <c r="E2368" s="17" t="str">
        <f>IF(D2368="","",D2368*'02_Eingaben'!$C$8)</f>
        <v/>
      </c>
      <c r="F2368" s="17" t="str">
        <f>IF(E2368="","",AVERAGE(INDEX($E$2:$E$3001,MAX(1,ROW()-1-'02_Eingaben'!$C$17)):INDEX($E$2:$E$3001,MIN('02_Eingaben'!$C$21,ROW()-1+'02_Eingaben'!$C$17))))</f>
        <v/>
      </c>
      <c r="G2368" s="17" t="str">
        <f>IF(F2368="","",F2368-'02_Eingaben'!$C$10)</f>
        <v/>
      </c>
      <c r="H2368" t="str">
        <f>IF(F2368="","",IF(F2368&lt;'02_Eingaben'!$C$18*'02_Eingaben'!$C$10,1,0))</f>
        <v/>
      </c>
      <c r="I2368" s="17" t="str">
        <f t="shared" si="36"/>
        <v/>
      </c>
      <c r="J2368" s="17" t="str">
        <f>IF(B2368="","",IF(B2367&lt;'02_Eingaben'!$C$36,0,J2367+I2367/'02_Eingaben'!$C$8))</f>
        <v/>
      </c>
    </row>
    <row r="2369" spans="1:10" x14ac:dyDescent="0.25">
      <c r="A2369" t="str">
        <f>IF('01_Rohdaten'!A2369="","",ROW()-1)</f>
        <v/>
      </c>
      <c r="B2369" s="17" t="str">
        <f>IF('01_Rohdaten'!A2369="","",'01_Rohdaten'!A2369)</f>
        <v/>
      </c>
      <c r="C2369" s="17" t="str">
        <f>IF(B2369="","",INDEX('01_Rohdaten'!B2369:D2369,'02_Eingaben'!$C$13))</f>
        <v/>
      </c>
      <c r="D2369" s="17" t="str">
        <f>IF(C2369="","",C2369*'02_Eingaben'!$C$15)</f>
        <v/>
      </c>
      <c r="E2369" s="17" t="str">
        <f>IF(D2369="","",D2369*'02_Eingaben'!$C$8)</f>
        <v/>
      </c>
      <c r="F2369" s="17" t="str">
        <f>IF(E2369="","",AVERAGE(INDEX($E$2:$E$3001,MAX(1,ROW()-1-'02_Eingaben'!$C$17)):INDEX($E$2:$E$3001,MIN('02_Eingaben'!$C$21,ROW()-1+'02_Eingaben'!$C$17))))</f>
        <v/>
      </c>
      <c r="G2369" s="17" t="str">
        <f>IF(F2369="","",F2369-'02_Eingaben'!$C$10)</f>
        <v/>
      </c>
      <c r="H2369" t="str">
        <f>IF(F2369="","",IF(F2369&lt;'02_Eingaben'!$C$18*'02_Eingaben'!$C$10,1,0))</f>
        <v/>
      </c>
      <c r="I2369" s="17" t="str">
        <f t="shared" si="36"/>
        <v/>
      </c>
      <c r="J2369" s="17" t="str">
        <f>IF(B2369="","",IF(B2368&lt;'02_Eingaben'!$C$36,0,J2368+I2368/'02_Eingaben'!$C$8))</f>
        <v/>
      </c>
    </row>
    <row r="2370" spans="1:10" x14ac:dyDescent="0.25">
      <c r="A2370" t="str">
        <f>IF('01_Rohdaten'!A2370="","",ROW()-1)</f>
        <v/>
      </c>
      <c r="B2370" s="17" t="str">
        <f>IF('01_Rohdaten'!A2370="","",'01_Rohdaten'!A2370)</f>
        <v/>
      </c>
      <c r="C2370" s="17" t="str">
        <f>IF(B2370="","",INDEX('01_Rohdaten'!B2370:D2370,'02_Eingaben'!$C$13))</f>
        <v/>
      </c>
      <c r="D2370" s="17" t="str">
        <f>IF(C2370="","",C2370*'02_Eingaben'!$C$15)</f>
        <v/>
      </c>
      <c r="E2370" s="17" t="str">
        <f>IF(D2370="","",D2370*'02_Eingaben'!$C$8)</f>
        <v/>
      </c>
      <c r="F2370" s="17" t="str">
        <f>IF(E2370="","",AVERAGE(INDEX($E$2:$E$3001,MAX(1,ROW()-1-'02_Eingaben'!$C$17)):INDEX($E$2:$E$3001,MIN('02_Eingaben'!$C$21,ROW()-1+'02_Eingaben'!$C$17))))</f>
        <v/>
      </c>
      <c r="G2370" s="17" t="str">
        <f>IF(F2370="","",F2370-'02_Eingaben'!$C$10)</f>
        <v/>
      </c>
      <c r="H2370" t="str">
        <f>IF(F2370="","",IF(F2370&lt;'02_Eingaben'!$C$18*'02_Eingaben'!$C$10,1,0))</f>
        <v/>
      </c>
      <c r="I2370" s="17" t="str">
        <f t="shared" ref="I2370:I2433" si="37">IF(OR(G2370="",G2371=""),"",(G2370+G2371)/2*(B2371-B2370))</f>
        <v/>
      </c>
      <c r="J2370" s="17" t="str">
        <f>IF(B2370="","",IF(B2369&lt;'02_Eingaben'!$C$36,0,J2369+I2369/'02_Eingaben'!$C$8))</f>
        <v/>
      </c>
    </row>
    <row r="2371" spans="1:10" x14ac:dyDescent="0.25">
      <c r="A2371" t="str">
        <f>IF('01_Rohdaten'!A2371="","",ROW()-1)</f>
        <v/>
      </c>
      <c r="B2371" s="17" t="str">
        <f>IF('01_Rohdaten'!A2371="","",'01_Rohdaten'!A2371)</f>
        <v/>
      </c>
      <c r="C2371" s="17" t="str">
        <f>IF(B2371="","",INDEX('01_Rohdaten'!B2371:D2371,'02_Eingaben'!$C$13))</f>
        <v/>
      </c>
      <c r="D2371" s="17" t="str">
        <f>IF(C2371="","",C2371*'02_Eingaben'!$C$15)</f>
        <v/>
      </c>
      <c r="E2371" s="17" t="str">
        <f>IF(D2371="","",D2371*'02_Eingaben'!$C$8)</f>
        <v/>
      </c>
      <c r="F2371" s="17" t="str">
        <f>IF(E2371="","",AVERAGE(INDEX($E$2:$E$3001,MAX(1,ROW()-1-'02_Eingaben'!$C$17)):INDEX($E$2:$E$3001,MIN('02_Eingaben'!$C$21,ROW()-1+'02_Eingaben'!$C$17))))</f>
        <v/>
      </c>
      <c r="G2371" s="17" t="str">
        <f>IF(F2371="","",F2371-'02_Eingaben'!$C$10)</f>
        <v/>
      </c>
      <c r="H2371" t="str">
        <f>IF(F2371="","",IF(F2371&lt;'02_Eingaben'!$C$18*'02_Eingaben'!$C$10,1,0))</f>
        <v/>
      </c>
      <c r="I2371" s="17" t="str">
        <f t="shared" si="37"/>
        <v/>
      </c>
      <c r="J2371" s="17" t="str">
        <f>IF(B2371="","",IF(B2370&lt;'02_Eingaben'!$C$36,0,J2370+I2370/'02_Eingaben'!$C$8))</f>
        <v/>
      </c>
    </row>
    <row r="2372" spans="1:10" x14ac:dyDescent="0.25">
      <c r="A2372" t="str">
        <f>IF('01_Rohdaten'!A2372="","",ROW()-1)</f>
        <v/>
      </c>
      <c r="B2372" s="17" t="str">
        <f>IF('01_Rohdaten'!A2372="","",'01_Rohdaten'!A2372)</f>
        <v/>
      </c>
      <c r="C2372" s="17" t="str">
        <f>IF(B2372="","",INDEX('01_Rohdaten'!B2372:D2372,'02_Eingaben'!$C$13))</f>
        <v/>
      </c>
      <c r="D2372" s="17" t="str">
        <f>IF(C2372="","",C2372*'02_Eingaben'!$C$15)</f>
        <v/>
      </c>
      <c r="E2372" s="17" t="str">
        <f>IF(D2372="","",D2372*'02_Eingaben'!$C$8)</f>
        <v/>
      </c>
      <c r="F2372" s="17" t="str">
        <f>IF(E2372="","",AVERAGE(INDEX($E$2:$E$3001,MAX(1,ROW()-1-'02_Eingaben'!$C$17)):INDEX($E$2:$E$3001,MIN('02_Eingaben'!$C$21,ROW()-1+'02_Eingaben'!$C$17))))</f>
        <v/>
      </c>
      <c r="G2372" s="17" t="str">
        <f>IF(F2372="","",F2372-'02_Eingaben'!$C$10)</f>
        <v/>
      </c>
      <c r="H2372" t="str">
        <f>IF(F2372="","",IF(F2372&lt;'02_Eingaben'!$C$18*'02_Eingaben'!$C$10,1,0))</f>
        <v/>
      </c>
      <c r="I2372" s="17" t="str">
        <f t="shared" si="37"/>
        <v/>
      </c>
      <c r="J2372" s="17" t="str">
        <f>IF(B2372="","",IF(B2371&lt;'02_Eingaben'!$C$36,0,J2371+I2371/'02_Eingaben'!$C$8))</f>
        <v/>
      </c>
    </row>
    <row r="2373" spans="1:10" x14ac:dyDescent="0.25">
      <c r="A2373" t="str">
        <f>IF('01_Rohdaten'!A2373="","",ROW()-1)</f>
        <v/>
      </c>
      <c r="B2373" s="17" t="str">
        <f>IF('01_Rohdaten'!A2373="","",'01_Rohdaten'!A2373)</f>
        <v/>
      </c>
      <c r="C2373" s="17" t="str">
        <f>IF(B2373="","",INDEX('01_Rohdaten'!B2373:D2373,'02_Eingaben'!$C$13))</f>
        <v/>
      </c>
      <c r="D2373" s="17" t="str">
        <f>IF(C2373="","",C2373*'02_Eingaben'!$C$15)</f>
        <v/>
      </c>
      <c r="E2373" s="17" t="str">
        <f>IF(D2373="","",D2373*'02_Eingaben'!$C$8)</f>
        <v/>
      </c>
      <c r="F2373" s="17" t="str">
        <f>IF(E2373="","",AVERAGE(INDEX($E$2:$E$3001,MAX(1,ROW()-1-'02_Eingaben'!$C$17)):INDEX($E$2:$E$3001,MIN('02_Eingaben'!$C$21,ROW()-1+'02_Eingaben'!$C$17))))</f>
        <v/>
      </c>
      <c r="G2373" s="17" t="str">
        <f>IF(F2373="","",F2373-'02_Eingaben'!$C$10)</f>
        <v/>
      </c>
      <c r="H2373" t="str">
        <f>IF(F2373="","",IF(F2373&lt;'02_Eingaben'!$C$18*'02_Eingaben'!$C$10,1,0))</f>
        <v/>
      </c>
      <c r="I2373" s="17" t="str">
        <f t="shared" si="37"/>
        <v/>
      </c>
      <c r="J2373" s="17" t="str">
        <f>IF(B2373="","",IF(B2372&lt;'02_Eingaben'!$C$36,0,J2372+I2372/'02_Eingaben'!$C$8))</f>
        <v/>
      </c>
    </row>
    <row r="2374" spans="1:10" x14ac:dyDescent="0.25">
      <c r="A2374" t="str">
        <f>IF('01_Rohdaten'!A2374="","",ROW()-1)</f>
        <v/>
      </c>
      <c r="B2374" s="17" t="str">
        <f>IF('01_Rohdaten'!A2374="","",'01_Rohdaten'!A2374)</f>
        <v/>
      </c>
      <c r="C2374" s="17" t="str">
        <f>IF(B2374="","",INDEX('01_Rohdaten'!B2374:D2374,'02_Eingaben'!$C$13))</f>
        <v/>
      </c>
      <c r="D2374" s="17" t="str">
        <f>IF(C2374="","",C2374*'02_Eingaben'!$C$15)</f>
        <v/>
      </c>
      <c r="E2374" s="17" t="str">
        <f>IF(D2374="","",D2374*'02_Eingaben'!$C$8)</f>
        <v/>
      </c>
      <c r="F2374" s="17" t="str">
        <f>IF(E2374="","",AVERAGE(INDEX($E$2:$E$3001,MAX(1,ROW()-1-'02_Eingaben'!$C$17)):INDEX($E$2:$E$3001,MIN('02_Eingaben'!$C$21,ROW()-1+'02_Eingaben'!$C$17))))</f>
        <v/>
      </c>
      <c r="G2374" s="17" t="str">
        <f>IF(F2374="","",F2374-'02_Eingaben'!$C$10)</f>
        <v/>
      </c>
      <c r="H2374" t="str">
        <f>IF(F2374="","",IF(F2374&lt;'02_Eingaben'!$C$18*'02_Eingaben'!$C$10,1,0))</f>
        <v/>
      </c>
      <c r="I2374" s="17" t="str">
        <f t="shared" si="37"/>
        <v/>
      </c>
      <c r="J2374" s="17" t="str">
        <f>IF(B2374="","",IF(B2373&lt;'02_Eingaben'!$C$36,0,J2373+I2373/'02_Eingaben'!$C$8))</f>
        <v/>
      </c>
    </row>
    <row r="2375" spans="1:10" x14ac:dyDescent="0.25">
      <c r="A2375" t="str">
        <f>IF('01_Rohdaten'!A2375="","",ROW()-1)</f>
        <v/>
      </c>
      <c r="B2375" s="17" t="str">
        <f>IF('01_Rohdaten'!A2375="","",'01_Rohdaten'!A2375)</f>
        <v/>
      </c>
      <c r="C2375" s="17" t="str">
        <f>IF(B2375="","",INDEX('01_Rohdaten'!B2375:D2375,'02_Eingaben'!$C$13))</f>
        <v/>
      </c>
      <c r="D2375" s="17" t="str">
        <f>IF(C2375="","",C2375*'02_Eingaben'!$C$15)</f>
        <v/>
      </c>
      <c r="E2375" s="17" t="str">
        <f>IF(D2375="","",D2375*'02_Eingaben'!$C$8)</f>
        <v/>
      </c>
      <c r="F2375" s="17" t="str">
        <f>IF(E2375="","",AVERAGE(INDEX($E$2:$E$3001,MAX(1,ROW()-1-'02_Eingaben'!$C$17)):INDEX($E$2:$E$3001,MIN('02_Eingaben'!$C$21,ROW()-1+'02_Eingaben'!$C$17))))</f>
        <v/>
      </c>
      <c r="G2375" s="17" t="str">
        <f>IF(F2375="","",F2375-'02_Eingaben'!$C$10)</f>
        <v/>
      </c>
      <c r="H2375" t="str">
        <f>IF(F2375="","",IF(F2375&lt;'02_Eingaben'!$C$18*'02_Eingaben'!$C$10,1,0))</f>
        <v/>
      </c>
      <c r="I2375" s="17" t="str">
        <f t="shared" si="37"/>
        <v/>
      </c>
      <c r="J2375" s="17" t="str">
        <f>IF(B2375="","",IF(B2374&lt;'02_Eingaben'!$C$36,0,J2374+I2374/'02_Eingaben'!$C$8))</f>
        <v/>
      </c>
    </row>
    <row r="2376" spans="1:10" x14ac:dyDescent="0.25">
      <c r="A2376" t="str">
        <f>IF('01_Rohdaten'!A2376="","",ROW()-1)</f>
        <v/>
      </c>
      <c r="B2376" s="17" t="str">
        <f>IF('01_Rohdaten'!A2376="","",'01_Rohdaten'!A2376)</f>
        <v/>
      </c>
      <c r="C2376" s="17" t="str">
        <f>IF(B2376="","",INDEX('01_Rohdaten'!B2376:D2376,'02_Eingaben'!$C$13))</f>
        <v/>
      </c>
      <c r="D2376" s="17" t="str">
        <f>IF(C2376="","",C2376*'02_Eingaben'!$C$15)</f>
        <v/>
      </c>
      <c r="E2376" s="17" t="str">
        <f>IF(D2376="","",D2376*'02_Eingaben'!$C$8)</f>
        <v/>
      </c>
      <c r="F2376" s="17" t="str">
        <f>IF(E2376="","",AVERAGE(INDEX($E$2:$E$3001,MAX(1,ROW()-1-'02_Eingaben'!$C$17)):INDEX($E$2:$E$3001,MIN('02_Eingaben'!$C$21,ROW()-1+'02_Eingaben'!$C$17))))</f>
        <v/>
      </c>
      <c r="G2376" s="17" t="str">
        <f>IF(F2376="","",F2376-'02_Eingaben'!$C$10)</f>
        <v/>
      </c>
      <c r="H2376" t="str">
        <f>IF(F2376="","",IF(F2376&lt;'02_Eingaben'!$C$18*'02_Eingaben'!$C$10,1,0))</f>
        <v/>
      </c>
      <c r="I2376" s="17" t="str">
        <f t="shared" si="37"/>
        <v/>
      </c>
      <c r="J2376" s="17" t="str">
        <f>IF(B2376="","",IF(B2375&lt;'02_Eingaben'!$C$36,0,J2375+I2375/'02_Eingaben'!$C$8))</f>
        <v/>
      </c>
    </row>
    <row r="2377" spans="1:10" x14ac:dyDescent="0.25">
      <c r="A2377" t="str">
        <f>IF('01_Rohdaten'!A2377="","",ROW()-1)</f>
        <v/>
      </c>
      <c r="B2377" s="17" t="str">
        <f>IF('01_Rohdaten'!A2377="","",'01_Rohdaten'!A2377)</f>
        <v/>
      </c>
      <c r="C2377" s="17" t="str">
        <f>IF(B2377="","",INDEX('01_Rohdaten'!B2377:D2377,'02_Eingaben'!$C$13))</f>
        <v/>
      </c>
      <c r="D2377" s="17" t="str">
        <f>IF(C2377="","",C2377*'02_Eingaben'!$C$15)</f>
        <v/>
      </c>
      <c r="E2377" s="17" t="str">
        <f>IF(D2377="","",D2377*'02_Eingaben'!$C$8)</f>
        <v/>
      </c>
      <c r="F2377" s="17" t="str">
        <f>IF(E2377="","",AVERAGE(INDEX($E$2:$E$3001,MAX(1,ROW()-1-'02_Eingaben'!$C$17)):INDEX($E$2:$E$3001,MIN('02_Eingaben'!$C$21,ROW()-1+'02_Eingaben'!$C$17))))</f>
        <v/>
      </c>
      <c r="G2377" s="17" t="str">
        <f>IF(F2377="","",F2377-'02_Eingaben'!$C$10)</f>
        <v/>
      </c>
      <c r="H2377" t="str">
        <f>IF(F2377="","",IF(F2377&lt;'02_Eingaben'!$C$18*'02_Eingaben'!$C$10,1,0))</f>
        <v/>
      </c>
      <c r="I2377" s="17" t="str">
        <f t="shared" si="37"/>
        <v/>
      </c>
      <c r="J2377" s="17" t="str">
        <f>IF(B2377="","",IF(B2376&lt;'02_Eingaben'!$C$36,0,J2376+I2376/'02_Eingaben'!$C$8))</f>
        <v/>
      </c>
    </row>
    <row r="2378" spans="1:10" x14ac:dyDescent="0.25">
      <c r="A2378" t="str">
        <f>IF('01_Rohdaten'!A2378="","",ROW()-1)</f>
        <v/>
      </c>
      <c r="B2378" s="17" t="str">
        <f>IF('01_Rohdaten'!A2378="","",'01_Rohdaten'!A2378)</f>
        <v/>
      </c>
      <c r="C2378" s="17" t="str">
        <f>IF(B2378="","",INDEX('01_Rohdaten'!B2378:D2378,'02_Eingaben'!$C$13))</f>
        <v/>
      </c>
      <c r="D2378" s="17" t="str">
        <f>IF(C2378="","",C2378*'02_Eingaben'!$C$15)</f>
        <v/>
      </c>
      <c r="E2378" s="17" t="str">
        <f>IF(D2378="","",D2378*'02_Eingaben'!$C$8)</f>
        <v/>
      </c>
      <c r="F2378" s="17" t="str">
        <f>IF(E2378="","",AVERAGE(INDEX($E$2:$E$3001,MAX(1,ROW()-1-'02_Eingaben'!$C$17)):INDEX($E$2:$E$3001,MIN('02_Eingaben'!$C$21,ROW()-1+'02_Eingaben'!$C$17))))</f>
        <v/>
      </c>
      <c r="G2378" s="17" t="str">
        <f>IF(F2378="","",F2378-'02_Eingaben'!$C$10)</f>
        <v/>
      </c>
      <c r="H2378" t="str">
        <f>IF(F2378="","",IF(F2378&lt;'02_Eingaben'!$C$18*'02_Eingaben'!$C$10,1,0))</f>
        <v/>
      </c>
      <c r="I2378" s="17" t="str">
        <f t="shared" si="37"/>
        <v/>
      </c>
      <c r="J2378" s="17" t="str">
        <f>IF(B2378="","",IF(B2377&lt;'02_Eingaben'!$C$36,0,J2377+I2377/'02_Eingaben'!$C$8))</f>
        <v/>
      </c>
    </row>
    <row r="2379" spans="1:10" x14ac:dyDescent="0.25">
      <c r="A2379" t="str">
        <f>IF('01_Rohdaten'!A2379="","",ROW()-1)</f>
        <v/>
      </c>
      <c r="B2379" s="17" t="str">
        <f>IF('01_Rohdaten'!A2379="","",'01_Rohdaten'!A2379)</f>
        <v/>
      </c>
      <c r="C2379" s="17" t="str">
        <f>IF(B2379="","",INDEX('01_Rohdaten'!B2379:D2379,'02_Eingaben'!$C$13))</f>
        <v/>
      </c>
      <c r="D2379" s="17" t="str">
        <f>IF(C2379="","",C2379*'02_Eingaben'!$C$15)</f>
        <v/>
      </c>
      <c r="E2379" s="17" t="str">
        <f>IF(D2379="","",D2379*'02_Eingaben'!$C$8)</f>
        <v/>
      </c>
      <c r="F2379" s="17" t="str">
        <f>IF(E2379="","",AVERAGE(INDEX($E$2:$E$3001,MAX(1,ROW()-1-'02_Eingaben'!$C$17)):INDEX($E$2:$E$3001,MIN('02_Eingaben'!$C$21,ROW()-1+'02_Eingaben'!$C$17))))</f>
        <v/>
      </c>
      <c r="G2379" s="17" t="str">
        <f>IF(F2379="","",F2379-'02_Eingaben'!$C$10)</f>
        <v/>
      </c>
      <c r="H2379" t="str">
        <f>IF(F2379="","",IF(F2379&lt;'02_Eingaben'!$C$18*'02_Eingaben'!$C$10,1,0))</f>
        <v/>
      </c>
      <c r="I2379" s="17" t="str">
        <f t="shared" si="37"/>
        <v/>
      </c>
      <c r="J2379" s="17" t="str">
        <f>IF(B2379="","",IF(B2378&lt;'02_Eingaben'!$C$36,0,J2378+I2378/'02_Eingaben'!$C$8))</f>
        <v/>
      </c>
    </row>
    <row r="2380" spans="1:10" x14ac:dyDescent="0.25">
      <c r="A2380" t="str">
        <f>IF('01_Rohdaten'!A2380="","",ROW()-1)</f>
        <v/>
      </c>
      <c r="B2380" s="17" t="str">
        <f>IF('01_Rohdaten'!A2380="","",'01_Rohdaten'!A2380)</f>
        <v/>
      </c>
      <c r="C2380" s="17" t="str">
        <f>IF(B2380="","",INDEX('01_Rohdaten'!B2380:D2380,'02_Eingaben'!$C$13))</f>
        <v/>
      </c>
      <c r="D2380" s="17" t="str">
        <f>IF(C2380="","",C2380*'02_Eingaben'!$C$15)</f>
        <v/>
      </c>
      <c r="E2380" s="17" t="str">
        <f>IF(D2380="","",D2380*'02_Eingaben'!$C$8)</f>
        <v/>
      </c>
      <c r="F2380" s="17" t="str">
        <f>IF(E2380="","",AVERAGE(INDEX($E$2:$E$3001,MAX(1,ROW()-1-'02_Eingaben'!$C$17)):INDEX($E$2:$E$3001,MIN('02_Eingaben'!$C$21,ROW()-1+'02_Eingaben'!$C$17))))</f>
        <v/>
      </c>
      <c r="G2380" s="17" t="str">
        <f>IF(F2380="","",F2380-'02_Eingaben'!$C$10)</f>
        <v/>
      </c>
      <c r="H2380" t="str">
        <f>IF(F2380="","",IF(F2380&lt;'02_Eingaben'!$C$18*'02_Eingaben'!$C$10,1,0))</f>
        <v/>
      </c>
      <c r="I2380" s="17" t="str">
        <f t="shared" si="37"/>
        <v/>
      </c>
      <c r="J2380" s="17" t="str">
        <f>IF(B2380="","",IF(B2379&lt;'02_Eingaben'!$C$36,0,J2379+I2379/'02_Eingaben'!$C$8))</f>
        <v/>
      </c>
    </row>
    <row r="2381" spans="1:10" x14ac:dyDescent="0.25">
      <c r="A2381" t="str">
        <f>IF('01_Rohdaten'!A2381="","",ROW()-1)</f>
        <v/>
      </c>
      <c r="B2381" s="17" t="str">
        <f>IF('01_Rohdaten'!A2381="","",'01_Rohdaten'!A2381)</f>
        <v/>
      </c>
      <c r="C2381" s="17" t="str">
        <f>IF(B2381="","",INDEX('01_Rohdaten'!B2381:D2381,'02_Eingaben'!$C$13))</f>
        <v/>
      </c>
      <c r="D2381" s="17" t="str">
        <f>IF(C2381="","",C2381*'02_Eingaben'!$C$15)</f>
        <v/>
      </c>
      <c r="E2381" s="17" t="str">
        <f>IF(D2381="","",D2381*'02_Eingaben'!$C$8)</f>
        <v/>
      </c>
      <c r="F2381" s="17" t="str">
        <f>IF(E2381="","",AVERAGE(INDEX($E$2:$E$3001,MAX(1,ROW()-1-'02_Eingaben'!$C$17)):INDEX($E$2:$E$3001,MIN('02_Eingaben'!$C$21,ROW()-1+'02_Eingaben'!$C$17))))</f>
        <v/>
      </c>
      <c r="G2381" s="17" t="str">
        <f>IF(F2381="","",F2381-'02_Eingaben'!$C$10)</f>
        <v/>
      </c>
      <c r="H2381" t="str">
        <f>IF(F2381="","",IF(F2381&lt;'02_Eingaben'!$C$18*'02_Eingaben'!$C$10,1,0))</f>
        <v/>
      </c>
      <c r="I2381" s="17" t="str">
        <f t="shared" si="37"/>
        <v/>
      </c>
      <c r="J2381" s="17" t="str">
        <f>IF(B2381="","",IF(B2380&lt;'02_Eingaben'!$C$36,0,J2380+I2380/'02_Eingaben'!$C$8))</f>
        <v/>
      </c>
    </row>
    <row r="2382" spans="1:10" x14ac:dyDescent="0.25">
      <c r="A2382" t="str">
        <f>IF('01_Rohdaten'!A2382="","",ROW()-1)</f>
        <v/>
      </c>
      <c r="B2382" s="17" t="str">
        <f>IF('01_Rohdaten'!A2382="","",'01_Rohdaten'!A2382)</f>
        <v/>
      </c>
      <c r="C2382" s="17" t="str">
        <f>IF(B2382="","",INDEX('01_Rohdaten'!B2382:D2382,'02_Eingaben'!$C$13))</f>
        <v/>
      </c>
      <c r="D2382" s="17" t="str">
        <f>IF(C2382="","",C2382*'02_Eingaben'!$C$15)</f>
        <v/>
      </c>
      <c r="E2382" s="17" t="str">
        <f>IF(D2382="","",D2382*'02_Eingaben'!$C$8)</f>
        <v/>
      </c>
      <c r="F2382" s="17" t="str">
        <f>IF(E2382="","",AVERAGE(INDEX($E$2:$E$3001,MAX(1,ROW()-1-'02_Eingaben'!$C$17)):INDEX($E$2:$E$3001,MIN('02_Eingaben'!$C$21,ROW()-1+'02_Eingaben'!$C$17))))</f>
        <v/>
      </c>
      <c r="G2382" s="17" t="str">
        <f>IF(F2382="","",F2382-'02_Eingaben'!$C$10)</f>
        <v/>
      </c>
      <c r="H2382" t="str">
        <f>IF(F2382="","",IF(F2382&lt;'02_Eingaben'!$C$18*'02_Eingaben'!$C$10,1,0))</f>
        <v/>
      </c>
      <c r="I2382" s="17" t="str">
        <f t="shared" si="37"/>
        <v/>
      </c>
      <c r="J2382" s="17" t="str">
        <f>IF(B2382="","",IF(B2381&lt;'02_Eingaben'!$C$36,0,J2381+I2381/'02_Eingaben'!$C$8))</f>
        <v/>
      </c>
    </row>
    <row r="2383" spans="1:10" x14ac:dyDescent="0.25">
      <c r="A2383" t="str">
        <f>IF('01_Rohdaten'!A2383="","",ROW()-1)</f>
        <v/>
      </c>
      <c r="B2383" s="17" t="str">
        <f>IF('01_Rohdaten'!A2383="","",'01_Rohdaten'!A2383)</f>
        <v/>
      </c>
      <c r="C2383" s="17" t="str">
        <f>IF(B2383="","",INDEX('01_Rohdaten'!B2383:D2383,'02_Eingaben'!$C$13))</f>
        <v/>
      </c>
      <c r="D2383" s="17" t="str">
        <f>IF(C2383="","",C2383*'02_Eingaben'!$C$15)</f>
        <v/>
      </c>
      <c r="E2383" s="17" t="str">
        <f>IF(D2383="","",D2383*'02_Eingaben'!$C$8)</f>
        <v/>
      </c>
      <c r="F2383" s="17" t="str">
        <f>IF(E2383="","",AVERAGE(INDEX($E$2:$E$3001,MAX(1,ROW()-1-'02_Eingaben'!$C$17)):INDEX($E$2:$E$3001,MIN('02_Eingaben'!$C$21,ROW()-1+'02_Eingaben'!$C$17))))</f>
        <v/>
      </c>
      <c r="G2383" s="17" t="str">
        <f>IF(F2383="","",F2383-'02_Eingaben'!$C$10)</f>
        <v/>
      </c>
      <c r="H2383" t="str">
        <f>IF(F2383="","",IF(F2383&lt;'02_Eingaben'!$C$18*'02_Eingaben'!$C$10,1,0))</f>
        <v/>
      </c>
      <c r="I2383" s="17" t="str">
        <f t="shared" si="37"/>
        <v/>
      </c>
      <c r="J2383" s="17" t="str">
        <f>IF(B2383="","",IF(B2382&lt;'02_Eingaben'!$C$36,0,J2382+I2382/'02_Eingaben'!$C$8))</f>
        <v/>
      </c>
    </row>
    <row r="2384" spans="1:10" x14ac:dyDescent="0.25">
      <c r="A2384" t="str">
        <f>IF('01_Rohdaten'!A2384="","",ROW()-1)</f>
        <v/>
      </c>
      <c r="B2384" s="17" t="str">
        <f>IF('01_Rohdaten'!A2384="","",'01_Rohdaten'!A2384)</f>
        <v/>
      </c>
      <c r="C2384" s="17" t="str">
        <f>IF(B2384="","",INDEX('01_Rohdaten'!B2384:D2384,'02_Eingaben'!$C$13))</f>
        <v/>
      </c>
      <c r="D2384" s="17" t="str">
        <f>IF(C2384="","",C2384*'02_Eingaben'!$C$15)</f>
        <v/>
      </c>
      <c r="E2384" s="17" t="str">
        <f>IF(D2384="","",D2384*'02_Eingaben'!$C$8)</f>
        <v/>
      </c>
      <c r="F2384" s="17" t="str">
        <f>IF(E2384="","",AVERAGE(INDEX($E$2:$E$3001,MAX(1,ROW()-1-'02_Eingaben'!$C$17)):INDEX($E$2:$E$3001,MIN('02_Eingaben'!$C$21,ROW()-1+'02_Eingaben'!$C$17))))</f>
        <v/>
      </c>
      <c r="G2384" s="17" t="str">
        <f>IF(F2384="","",F2384-'02_Eingaben'!$C$10)</f>
        <v/>
      </c>
      <c r="H2384" t="str">
        <f>IF(F2384="","",IF(F2384&lt;'02_Eingaben'!$C$18*'02_Eingaben'!$C$10,1,0))</f>
        <v/>
      </c>
      <c r="I2384" s="17" t="str">
        <f t="shared" si="37"/>
        <v/>
      </c>
      <c r="J2384" s="17" t="str">
        <f>IF(B2384="","",IF(B2383&lt;'02_Eingaben'!$C$36,0,J2383+I2383/'02_Eingaben'!$C$8))</f>
        <v/>
      </c>
    </row>
    <row r="2385" spans="1:10" x14ac:dyDescent="0.25">
      <c r="A2385" t="str">
        <f>IF('01_Rohdaten'!A2385="","",ROW()-1)</f>
        <v/>
      </c>
      <c r="B2385" s="17" t="str">
        <f>IF('01_Rohdaten'!A2385="","",'01_Rohdaten'!A2385)</f>
        <v/>
      </c>
      <c r="C2385" s="17" t="str">
        <f>IF(B2385="","",INDEX('01_Rohdaten'!B2385:D2385,'02_Eingaben'!$C$13))</f>
        <v/>
      </c>
      <c r="D2385" s="17" t="str">
        <f>IF(C2385="","",C2385*'02_Eingaben'!$C$15)</f>
        <v/>
      </c>
      <c r="E2385" s="17" t="str">
        <f>IF(D2385="","",D2385*'02_Eingaben'!$C$8)</f>
        <v/>
      </c>
      <c r="F2385" s="17" t="str">
        <f>IF(E2385="","",AVERAGE(INDEX($E$2:$E$3001,MAX(1,ROW()-1-'02_Eingaben'!$C$17)):INDEX($E$2:$E$3001,MIN('02_Eingaben'!$C$21,ROW()-1+'02_Eingaben'!$C$17))))</f>
        <v/>
      </c>
      <c r="G2385" s="17" t="str">
        <f>IF(F2385="","",F2385-'02_Eingaben'!$C$10)</f>
        <v/>
      </c>
      <c r="H2385" t="str">
        <f>IF(F2385="","",IF(F2385&lt;'02_Eingaben'!$C$18*'02_Eingaben'!$C$10,1,0))</f>
        <v/>
      </c>
      <c r="I2385" s="17" t="str">
        <f t="shared" si="37"/>
        <v/>
      </c>
      <c r="J2385" s="17" t="str">
        <f>IF(B2385="","",IF(B2384&lt;'02_Eingaben'!$C$36,0,J2384+I2384/'02_Eingaben'!$C$8))</f>
        <v/>
      </c>
    </row>
    <row r="2386" spans="1:10" x14ac:dyDescent="0.25">
      <c r="A2386" t="str">
        <f>IF('01_Rohdaten'!A2386="","",ROW()-1)</f>
        <v/>
      </c>
      <c r="B2386" s="17" t="str">
        <f>IF('01_Rohdaten'!A2386="","",'01_Rohdaten'!A2386)</f>
        <v/>
      </c>
      <c r="C2386" s="17" t="str">
        <f>IF(B2386="","",INDEX('01_Rohdaten'!B2386:D2386,'02_Eingaben'!$C$13))</f>
        <v/>
      </c>
      <c r="D2386" s="17" t="str">
        <f>IF(C2386="","",C2386*'02_Eingaben'!$C$15)</f>
        <v/>
      </c>
      <c r="E2386" s="17" t="str">
        <f>IF(D2386="","",D2386*'02_Eingaben'!$C$8)</f>
        <v/>
      </c>
      <c r="F2386" s="17" t="str">
        <f>IF(E2386="","",AVERAGE(INDEX($E$2:$E$3001,MAX(1,ROW()-1-'02_Eingaben'!$C$17)):INDEX($E$2:$E$3001,MIN('02_Eingaben'!$C$21,ROW()-1+'02_Eingaben'!$C$17))))</f>
        <v/>
      </c>
      <c r="G2386" s="17" t="str">
        <f>IF(F2386="","",F2386-'02_Eingaben'!$C$10)</f>
        <v/>
      </c>
      <c r="H2386" t="str">
        <f>IF(F2386="","",IF(F2386&lt;'02_Eingaben'!$C$18*'02_Eingaben'!$C$10,1,0))</f>
        <v/>
      </c>
      <c r="I2386" s="17" t="str">
        <f t="shared" si="37"/>
        <v/>
      </c>
      <c r="J2386" s="17" t="str">
        <f>IF(B2386="","",IF(B2385&lt;'02_Eingaben'!$C$36,0,J2385+I2385/'02_Eingaben'!$C$8))</f>
        <v/>
      </c>
    </row>
    <row r="2387" spans="1:10" x14ac:dyDescent="0.25">
      <c r="A2387" t="str">
        <f>IF('01_Rohdaten'!A2387="","",ROW()-1)</f>
        <v/>
      </c>
      <c r="B2387" s="17" t="str">
        <f>IF('01_Rohdaten'!A2387="","",'01_Rohdaten'!A2387)</f>
        <v/>
      </c>
      <c r="C2387" s="17" t="str">
        <f>IF(B2387="","",INDEX('01_Rohdaten'!B2387:D2387,'02_Eingaben'!$C$13))</f>
        <v/>
      </c>
      <c r="D2387" s="17" t="str">
        <f>IF(C2387="","",C2387*'02_Eingaben'!$C$15)</f>
        <v/>
      </c>
      <c r="E2387" s="17" t="str">
        <f>IF(D2387="","",D2387*'02_Eingaben'!$C$8)</f>
        <v/>
      </c>
      <c r="F2387" s="17" t="str">
        <f>IF(E2387="","",AVERAGE(INDEX($E$2:$E$3001,MAX(1,ROW()-1-'02_Eingaben'!$C$17)):INDEX($E$2:$E$3001,MIN('02_Eingaben'!$C$21,ROW()-1+'02_Eingaben'!$C$17))))</f>
        <v/>
      </c>
      <c r="G2387" s="17" t="str">
        <f>IF(F2387="","",F2387-'02_Eingaben'!$C$10)</f>
        <v/>
      </c>
      <c r="H2387" t="str">
        <f>IF(F2387="","",IF(F2387&lt;'02_Eingaben'!$C$18*'02_Eingaben'!$C$10,1,0))</f>
        <v/>
      </c>
      <c r="I2387" s="17" t="str">
        <f t="shared" si="37"/>
        <v/>
      </c>
      <c r="J2387" s="17" t="str">
        <f>IF(B2387="","",IF(B2386&lt;'02_Eingaben'!$C$36,0,J2386+I2386/'02_Eingaben'!$C$8))</f>
        <v/>
      </c>
    </row>
    <row r="2388" spans="1:10" x14ac:dyDescent="0.25">
      <c r="A2388" t="str">
        <f>IF('01_Rohdaten'!A2388="","",ROW()-1)</f>
        <v/>
      </c>
      <c r="B2388" s="17" t="str">
        <f>IF('01_Rohdaten'!A2388="","",'01_Rohdaten'!A2388)</f>
        <v/>
      </c>
      <c r="C2388" s="17" t="str">
        <f>IF(B2388="","",INDEX('01_Rohdaten'!B2388:D2388,'02_Eingaben'!$C$13))</f>
        <v/>
      </c>
      <c r="D2388" s="17" t="str">
        <f>IF(C2388="","",C2388*'02_Eingaben'!$C$15)</f>
        <v/>
      </c>
      <c r="E2388" s="17" t="str">
        <f>IF(D2388="","",D2388*'02_Eingaben'!$C$8)</f>
        <v/>
      </c>
      <c r="F2388" s="17" t="str">
        <f>IF(E2388="","",AVERAGE(INDEX($E$2:$E$3001,MAX(1,ROW()-1-'02_Eingaben'!$C$17)):INDEX($E$2:$E$3001,MIN('02_Eingaben'!$C$21,ROW()-1+'02_Eingaben'!$C$17))))</f>
        <v/>
      </c>
      <c r="G2388" s="17" t="str">
        <f>IF(F2388="","",F2388-'02_Eingaben'!$C$10)</f>
        <v/>
      </c>
      <c r="H2388" t="str">
        <f>IF(F2388="","",IF(F2388&lt;'02_Eingaben'!$C$18*'02_Eingaben'!$C$10,1,0))</f>
        <v/>
      </c>
      <c r="I2388" s="17" t="str">
        <f t="shared" si="37"/>
        <v/>
      </c>
      <c r="J2388" s="17" t="str">
        <f>IF(B2388="","",IF(B2387&lt;'02_Eingaben'!$C$36,0,J2387+I2387/'02_Eingaben'!$C$8))</f>
        <v/>
      </c>
    </row>
    <row r="2389" spans="1:10" x14ac:dyDescent="0.25">
      <c r="A2389" t="str">
        <f>IF('01_Rohdaten'!A2389="","",ROW()-1)</f>
        <v/>
      </c>
      <c r="B2389" s="17" t="str">
        <f>IF('01_Rohdaten'!A2389="","",'01_Rohdaten'!A2389)</f>
        <v/>
      </c>
      <c r="C2389" s="17" t="str">
        <f>IF(B2389="","",INDEX('01_Rohdaten'!B2389:D2389,'02_Eingaben'!$C$13))</f>
        <v/>
      </c>
      <c r="D2389" s="17" t="str">
        <f>IF(C2389="","",C2389*'02_Eingaben'!$C$15)</f>
        <v/>
      </c>
      <c r="E2389" s="17" t="str">
        <f>IF(D2389="","",D2389*'02_Eingaben'!$C$8)</f>
        <v/>
      </c>
      <c r="F2389" s="17" t="str">
        <f>IF(E2389="","",AVERAGE(INDEX($E$2:$E$3001,MAX(1,ROW()-1-'02_Eingaben'!$C$17)):INDEX($E$2:$E$3001,MIN('02_Eingaben'!$C$21,ROW()-1+'02_Eingaben'!$C$17))))</f>
        <v/>
      </c>
      <c r="G2389" s="17" t="str">
        <f>IF(F2389="","",F2389-'02_Eingaben'!$C$10)</f>
        <v/>
      </c>
      <c r="H2389" t="str">
        <f>IF(F2389="","",IF(F2389&lt;'02_Eingaben'!$C$18*'02_Eingaben'!$C$10,1,0))</f>
        <v/>
      </c>
      <c r="I2389" s="17" t="str">
        <f t="shared" si="37"/>
        <v/>
      </c>
      <c r="J2389" s="17" t="str">
        <f>IF(B2389="","",IF(B2388&lt;'02_Eingaben'!$C$36,0,J2388+I2388/'02_Eingaben'!$C$8))</f>
        <v/>
      </c>
    </row>
    <row r="2390" spans="1:10" x14ac:dyDescent="0.25">
      <c r="A2390" t="str">
        <f>IF('01_Rohdaten'!A2390="","",ROW()-1)</f>
        <v/>
      </c>
      <c r="B2390" s="17" t="str">
        <f>IF('01_Rohdaten'!A2390="","",'01_Rohdaten'!A2390)</f>
        <v/>
      </c>
      <c r="C2390" s="17" t="str">
        <f>IF(B2390="","",INDEX('01_Rohdaten'!B2390:D2390,'02_Eingaben'!$C$13))</f>
        <v/>
      </c>
      <c r="D2390" s="17" t="str">
        <f>IF(C2390="","",C2390*'02_Eingaben'!$C$15)</f>
        <v/>
      </c>
      <c r="E2390" s="17" t="str">
        <f>IF(D2390="","",D2390*'02_Eingaben'!$C$8)</f>
        <v/>
      </c>
      <c r="F2390" s="17" t="str">
        <f>IF(E2390="","",AVERAGE(INDEX($E$2:$E$3001,MAX(1,ROW()-1-'02_Eingaben'!$C$17)):INDEX($E$2:$E$3001,MIN('02_Eingaben'!$C$21,ROW()-1+'02_Eingaben'!$C$17))))</f>
        <v/>
      </c>
      <c r="G2390" s="17" t="str">
        <f>IF(F2390="","",F2390-'02_Eingaben'!$C$10)</f>
        <v/>
      </c>
      <c r="H2390" t="str">
        <f>IF(F2390="","",IF(F2390&lt;'02_Eingaben'!$C$18*'02_Eingaben'!$C$10,1,0))</f>
        <v/>
      </c>
      <c r="I2390" s="17" t="str">
        <f t="shared" si="37"/>
        <v/>
      </c>
      <c r="J2390" s="17" t="str">
        <f>IF(B2390="","",IF(B2389&lt;'02_Eingaben'!$C$36,0,J2389+I2389/'02_Eingaben'!$C$8))</f>
        <v/>
      </c>
    </row>
    <row r="2391" spans="1:10" x14ac:dyDescent="0.25">
      <c r="A2391" t="str">
        <f>IF('01_Rohdaten'!A2391="","",ROW()-1)</f>
        <v/>
      </c>
      <c r="B2391" s="17" t="str">
        <f>IF('01_Rohdaten'!A2391="","",'01_Rohdaten'!A2391)</f>
        <v/>
      </c>
      <c r="C2391" s="17" t="str">
        <f>IF(B2391="","",INDEX('01_Rohdaten'!B2391:D2391,'02_Eingaben'!$C$13))</f>
        <v/>
      </c>
      <c r="D2391" s="17" t="str">
        <f>IF(C2391="","",C2391*'02_Eingaben'!$C$15)</f>
        <v/>
      </c>
      <c r="E2391" s="17" t="str">
        <f>IF(D2391="","",D2391*'02_Eingaben'!$C$8)</f>
        <v/>
      </c>
      <c r="F2391" s="17" t="str">
        <f>IF(E2391="","",AVERAGE(INDEX($E$2:$E$3001,MAX(1,ROW()-1-'02_Eingaben'!$C$17)):INDEX($E$2:$E$3001,MIN('02_Eingaben'!$C$21,ROW()-1+'02_Eingaben'!$C$17))))</f>
        <v/>
      </c>
      <c r="G2391" s="17" t="str">
        <f>IF(F2391="","",F2391-'02_Eingaben'!$C$10)</f>
        <v/>
      </c>
      <c r="H2391" t="str">
        <f>IF(F2391="","",IF(F2391&lt;'02_Eingaben'!$C$18*'02_Eingaben'!$C$10,1,0))</f>
        <v/>
      </c>
      <c r="I2391" s="17" t="str">
        <f t="shared" si="37"/>
        <v/>
      </c>
      <c r="J2391" s="17" t="str">
        <f>IF(B2391="","",IF(B2390&lt;'02_Eingaben'!$C$36,0,J2390+I2390/'02_Eingaben'!$C$8))</f>
        <v/>
      </c>
    </row>
    <row r="2392" spans="1:10" x14ac:dyDescent="0.25">
      <c r="A2392" t="str">
        <f>IF('01_Rohdaten'!A2392="","",ROW()-1)</f>
        <v/>
      </c>
      <c r="B2392" s="17" t="str">
        <f>IF('01_Rohdaten'!A2392="","",'01_Rohdaten'!A2392)</f>
        <v/>
      </c>
      <c r="C2392" s="17" t="str">
        <f>IF(B2392="","",INDEX('01_Rohdaten'!B2392:D2392,'02_Eingaben'!$C$13))</f>
        <v/>
      </c>
      <c r="D2392" s="17" t="str">
        <f>IF(C2392="","",C2392*'02_Eingaben'!$C$15)</f>
        <v/>
      </c>
      <c r="E2392" s="17" t="str">
        <f>IF(D2392="","",D2392*'02_Eingaben'!$C$8)</f>
        <v/>
      </c>
      <c r="F2392" s="17" t="str">
        <f>IF(E2392="","",AVERAGE(INDEX($E$2:$E$3001,MAX(1,ROW()-1-'02_Eingaben'!$C$17)):INDEX($E$2:$E$3001,MIN('02_Eingaben'!$C$21,ROW()-1+'02_Eingaben'!$C$17))))</f>
        <v/>
      </c>
      <c r="G2392" s="17" t="str">
        <f>IF(F2392="","",F2392-'02_Eingaben'!$C$10)</f>
        <v/>
      </c>
      <c r="H2392" t="str">
        <f>IF(F2392="","",IF(F2392&lt;'02_Eingaben'!$C$18*'02_Eingaben'!$C$10,1,0))</f>
        <v/>
      </c>
      <c r="I2392" s="17" t="str">
        <f t="shared" si="37"/>
        <v/>
      </c>
      <c r="J2392" s="17" t="str">
        <f>IF(B2392="","",IF(B2391&lt;'02_Eingaben'!$C$36,0,J2391+I2391/'02_Eingaben'!$C$8))</f>
        <v/>
      </c>
    </row>
    <row r="2393" spans="1:10" x14ac:dyDescent="0.25">
      <c r="A2393" t="str">
        <f>IF('01_Rohdaten'!A2393="","",ROW()-1)</f>
        <v/>
      </c>
      <c r="B2393" s="17" t="str">
        <f>IF('01_Rohdaten'!A2393="","",'01_Rohdaten'!A2393)</f>
        <v/>
      </c>
      <c r="C2393" s="17" t="str">
        <f>IF(B2393="","",INDEX('01_Rohdaten'!B2393:D2393,'02_Eingaben'!$C$13))</f>
        <v/>
      </c>
      <c r="D2393" s="17" t="str">
        <f>IF(C2393="","",C2393*'02_Eingaben'!$C$15)</f>
        <v/>
      </c>
      <c r="E2393" s="17" t="str">
        <f>IF(D2393="","",D2393*'02_Eingaben'!$C$8)</f>
        <v/>
      </c>
      <c r="F2393" s="17" t="str">
        <f>IF(E2393="","",AVERAGE(INDEX($E$2:$E$3001,MAX(1,ROW()-1-'02_Eingaben'!$C$17)):INDEX($E$2:$E$3001,MIN('02_Eingaben'!$C$21,ROW()-1+'02_Eingaben'!$C$17))))</f>
        <v/>
      </c>
      <c r="G2393" s="17" t="str">
        <f>IF(F2393="","",F2393-'02_Eingaben'!$C$10)</f>
        <v/>
      </c>
      <c r="H2393" t="str">
        <f>IF(F2393="","",IF(F2393&lt;'02_Eingaben'!$C$18*'02_Eingaben'!$C$10,1,0))</f>
        <v/>
      </c>
      <c r="I2393" s="17" t="str">
        <f t="shared" si="37"/>
        <v/>
      </c>
      <c r="J2393" s="17" t="str">
        <f>IF(B2393="","",IF(B2392&lt;'02_Eingaben'!$C$36,0,J2392+I2392/'02_Eingaben'!$C$8))</f>
        <v/>
      </c>
    </row>
    <row r="2394" spans="1:10" x14ac:dyDescent="0.25">
      <c r="A2394" t="str">
        <f>IF('01_Rohdaten'!A2394="","",ROW()-1)</f>
        <v/>
      </c>
      <c r="B2394" s="17" t="str">
        <f>IF('01_Rohdaten'!A2394="","",'01_Rohdaten'!A2394)</f>
        <v/>
      </c>
      <c r="C2394" s="17" t="str">
        <f>IF(B2394="","",INDEX('01_Rohdaten'!B2394:D2394,'02_Eingaben'!$C$13))</f>
        <v/>
      </c>
      <c r="D2394" s="17" t="str">
        <f>IF(C2394="","",C2394*'02_Eingaben'!$C$15)</f>
        <v/>
      </c>
      <c r="E2394" s="17" t="str">
        <f>IF(D2394="","",D2394*'02_Eingaben'!$C$8)</f>
        <v/>
      </c>
      <c r="F2394" s="17" t="str">
        <f>IF(E2394="","",AVERAGE(INDEX($E$2:$E$3001,MAX(1,ROW()-1-'02_Eingaben'!$C$17)):INDEX($E$2:$E$3001,MIN('02_Eingaben'!$C$21,ROW()-1+'02_Eingaben'!$C$17))))</f>
        <v/>
      </c>
      <c r="G2394" s="17" t="str">
        <f>IF(F2394="","",F2394-'02_Eingaben'!$C$10)</f>
        <v/>
      </c>
      <c r="H2394" t="str">
        <f>IF(F2394="","",IF(F2394&lt;'02_Eingaben'!$C$18*'02_Eingaben'!$C$10,1,0))</f>
        <v/>
      </c>
      <c r="I2394" s="17" t="str">
        <f t="shared" si="37"/>
        <v/>
      </c>
      <c r="J2394" s="17" t="str">
        <f>IF(B2394="","",IF(B2393&lt;'02_Eingaben'!$C$36,0,J2393+I2393/'02_Eingaben'!$C$8))</f>
        <v/>
      </c>
    </row>
    <row r="2395" spans="1:10" x14ac:dyDescent="0.25">
      <c r="A2395" t="str">
        <f>IF('01_Rohdaten'!A2395="","",ROW()-1)</f>
        <v/>
      </c>
      <c r="B2395" s="17" t="str">
        <f>IF('01_Rohdaten'!A2395="","",'01_Rohdaten'!A2395)</f>
        <v/>
      </c>
      <c r="C2395" s="17" t="str">
        <f>IF(B2395="","",INDEX('01_Rohdaten'!B2395:D2395,'02_Eingaben'!$C$13))</f>
        <v/>
      </c>
      <c r="D2395" s="17" t="str">
        <f>IF(C2395="","",C2395*'02_Eingaben'!$C$15)</f>
        <v/>
      </c>
      <c r="E2395" s="17" t="str">
        <f>IF(D2395="","",D2395*'02_Eingaben'!$C$8)</f>
        <v/>
      </c>
      <c r="F2395" s="17" t="str">
        <f>IF(E2395="","",AVERAGE(INDEX($E$2:$E$3001,MAX(1,ROW()-1-'02_Eingaben'!$C$17)):INDEX($E$2:$E$3001,MIN('02_Eingaben'!$C$21,ROW()-1+'02_Eingaben'!$C$17))))</f>
        <v/>
      </c>
      <c r="G2395" s="17" t="str">
        <f>IF(F2395="","",F2395-'02_Eingaben'!$C$10)</f>
        <v/>
      </c>
      <c r="H2395" t="str">
        <f>IF(F2395="","",IF(F2395&lt;'02_Eingaben'!$C$18*'02_Eingaben'!$C$10,1,0))</f>
        <v/>
      </c>
      <c r="I2395" s="17" t="str">
        <f t="shared" si="37"/>
        <v/>
      </c>
      <c r="J2395" s="17" t="str">
        <f>IF(B2395="","",IF(B2394&lt;'02_Eingaben'!$C$36,0,J2394+I2394/'02_Eingaben'!$C$8))</f>
        <v/>
      </c>
    </row>
    <row r="2396" spans="1:10" x14ac:dyDescent="0.25">
      <c r="A2396" t="str">
        <f>IF('01_Rohdaten'!A2396="","",ROW()-1)</f>
        <v/>
      </c>
      <c r="B2396" s="17" t="str">
        <f>IF('01_Rohdaten'!A2396="","",'01_Rohdaten'!A2396)</f>
        <v/>
      </c>
      <c r="C2396" s="17" t="str">
        <f>IF(B2396="","",INDEX('01_Rohdaten'!B2396:D2396,'02_Eingaben'!$C$13))</f>
        <v/>
      </c>
      <c r="D2396" s="17" t="str">
        <f>IF(C2396="","",C2396*'02_Eingaben'!$C$15)</f>
        <v/>
      </c>
      <c r="E2396" s="17" t="str">
        <f>IF(D2396="","",D2396*'02_Eingaben'!$C$8)</f>
        <v/>
      </c>
      <c r="F2396" s="17" t="str">
        <f>IF(E2396="","",AVERAGE(INDEX($E$2:$E$3001,MAX(1,ROW()-1-'02_Eingaben'!$C$17)):INDEX($E$2:$E$3001,MIN('02_Eingaben'!$C$21,ROW()-1+'02_Eingaben'!$C$17))))</f>
        <v/>
      </c>
      <c r="G2396" s="17" t="str">
        <f>IF(F2396="","",F2396-'02_Eingaben'!$C$10)</f>
        <v/>
      </c>
      <c r="H2396" t="str">
        <f>IF(F2396="","",IF(F2396&lt;'02_Eingaben'!$C$18*'02_Eingaben'!$C$10,1,0))</f>
        <v/>
      </c>
      <c r="I2396" s="17" t="str">
        <f t="shared" si="37"/>
        <v/>
      </c>
      <c r="J2396" s="17" t="str">
        <f>IF(B2396="","",IF(B2395&lt;'02_Eingaben'!$C$36,0,J2395+I2395/'02_Eingaben'!$C$8))</f>
        <v/>
      </c>
    </row>
    <row r="2397" spans="1:10" x14ac:dyDescent="0.25">
      <c r="A2397" t="str">
        <f>IF('01_Rohdaten'!A2397="","",ROW()-1)</f>
        <v/>
      </c>
      <c r="B2397" s="17" t="str">
        <f>IF('01_Rohdaten'!A2397="","",'01_Rohdaten'!A2397)</f>
        <v/>
      </c>
      <c r="C2397" s="17" t="str">
        <f>IF(B2397="","",INDEX('01_Rohdaten'!B2397:D2397,'02_Eingaben'!$C$13))</f>
        <v/>
      </c>
      <c r="D2397" s="17" t="str">
        <f>IF(C2397="","",C2397*'02_Eingaben'!$C$15)</f>
        <v/>
      </c>
      <c r="E2397" s="17" t="str">
        <f>IF(D2397="","",D2397*'02_Eingaben'!$C$8)</f>
        <v/>
      </c>
      <c r="F2397" s="17" t="str">
        <f>IF(E2397="","",AVERAGE(INDEX($E$2:$E$3001,MAX(1,ROW()-1-'02_Eingaben'!$C$17)):INDEX($E$2:$E$3001,MIN('02_Eingaben'!$C$21,ROW()-1+'02_Eingaben'!$C$17))))</f>
        <v/>
      </c>
      <c r="G2397" s="17" t="str">
        <f>IF(F2397="","",F2397-'02_Eingaben'!$C$10)</f>
        <v/>
      </c>
      <c r="H2397" t="str">
        <f>IF(F2397="","",IF(F2397&lt;'02_Eingaben'!$C$18*'02_Eingaben'!$C$10,1,0))</f>
        <v/>
      </c>
      <c r="I2397" s="17" t="str">
        <f t="shared" si="37"/>
        <v/>
      </c>
      <c r="J2397" s="17" t="str">
        <f>IF(B2397="","",IF(B2396&lt;'02_Eingaben'!$C$36,0,J2396+I2396/'02_Eingaben'!$C$8))</f>
        <v/>
      </c>
    </row>
    <row r="2398" spans="1:10" x14ac:dyDescent="0.25">
      <c r="A2398" t="str">
        <f>IF('01_Rohdaten'!A2398="","",ROW()-1)</f>
        <v/>
      </c>
      <c r="B2398" s="17" t="str">
        <f>IF('01_Rohdaten'!A2398="","",'01_Rohdaten'!A2398)</f>
        <v/>
      </c>
      <c r="C2398" s="17" t="str">
        <f>IF(B2398="","",INDEX('01_Rohdaten'!B2398:D2398,'02_Eingaben'!$C$13))</f>
        <v/>
      </c>
      <c r="D2398" s="17" t="str">
        <f>IF(C2398="","",C2398*'02_Eingaben'!$C$15)</f>
        <v/>
      </c>
      <c r="E2398" s="17" t="str">
        <f>IF(D2398="","",D2398*'02_Eingaben'!$C$8)</f>
        <v/>
      </c>
      <c r="F2398" s="17" t="str">
        <f>IF(E2398="","",AVERAGE(INDEX($E$2:$E$3001,MAX(1,ROW()-1-'02_Eingaben'!$C$17)):INDEX($E$2:$E$3001,MIN('02_Eingaben'!$C$21,ROW()-1+'02_Eingaben'!$C$17))))</f>
        <v/>
      </c>
      <c r="G2398" s="17" t="str">
        <f>IF(F2398="","",F2398-'02_Eingaben'!$C$10)</f>
        <v/>
      </c>
      <c r="H2398" t="str">
        <f>IF(F2398="","",IF(F2398&lt;'02_Eingaben'!$C$18*'02_Eingaben'!$C$10,1,0))</f>
        <v/>
      </c>
      <c r="I2398" s="17" t="str">
        <f t="shared" si="37"/>
        <v/>
      </c>
      <c r="J2398" s="17" t="str">
        <f>IF(B2398="","",IF(B2397&lt;'02_Eingaben'!$C$36,0,J2397+I2397/'02_Eingaben'!$C$8))</f>
        <v/>
      </c>
    </row>
    <row r="2399" spans="1:10" x14ac:dyDescent="0.25">
      <c r="A2399" t="str">
        <f>IF('01_Rohdaten'!A2399="","",ROW()-1)</f>
        <v/>
      </c>
      <c r="B2399" s="17" t="str">
        <f>IF('01_Rohdaten'!A2399="","",'01_Rohdaten'!A2399)</f>
        <v/>
      </c>
      <c r="C2399" s="17" t="str">
        <f>IF(B2399="","",INDEX('01_Rohdaten'!B2399:D2399,'02_Eingaben'!$C$13))</f>
        <v/>
      </c>
      <c r="D2399" s="17" t="str">
        <f>IF(C2399="","",C2399*'02_Eingaben'!$C$15)</f>
        <v/>
      </c>
      <c r="E2399" s="17" t="str">
        <f>IF(D2399="","",D2399*'02_Eingaben'!$C$8)</f>
        <v/>
      </c>
      <c r="F2399" s="17" t="str">
        <f>IF(E2399="","",AVERAGE(INDEX($E$2:$E$3001,MAX(1,ROW()-1-'02_Eingaben'!$C$17)):INDEX($E$2:$E$3001,MIN('02_Eingaben'!$C$21,ROW()-1+'02_Eingaben'!$C$17))))</f>
        <v/>
      </c>
      <c r="G2399" s="17" t="str">
        <f>IF(F2399="","",F2399-'02_Eingaben'!$C$10)</f>
        <v/>
      </c>
      <c r="H2399" t="str">
        <f>IF(F2399="","",IF(F2399&lt;'02_Eingaben'!$C$18*'02_Eingaben'!$C$10,1,0))</f>
        <v/>
      </c>
      <c r="I2399" s="17" t="str">
        <f t="shared" si="37"/>
        <v/>
      </c>
      <c r="J2399" s="17" t="str">
        <f>IF(B2399="","",IF(B2398&lt;'02_Eingaben'!$C$36,0,J2398+I2398/'02_Eingaben'!$C$8))</f>
        <v/>
      </c>
    </row>
    <row r="2400" spans="1:10" x14ac:dyDescent="0.25">
      <c r="A2400" t="str">
        <f>IF('01_Rohdaten'!A2400="","",ROW()-1)</f>
        <v/>
      </c>
      <c r="B2400" s="17" t="str">
        <f>IF('01_Rohdaten'!A2400="","",'01_Rohdaten'!A2400)</f>
        <v/>
      </c>
      <c r="C2400" s="17" t="str">
        <f>IF(B2400="","",INDEX('01_Rohdaten'!B2400:D2400,'02_Eingaben'!$C$13))</f>
        <v/>
      </c>
      <c r="D2400" s="17" t="str">
        <f>IF(C2400="","",C2400*'02_Eingaben'!$C$15)</f>
        <v/>
      </c>
      <c r="E2400" s="17" t="str">
        <f>IF(D2400="","",D2400*'02_Eingaben'!$C$8)</f>
        <v/>
      </c>
      <c r="F2400" s="17" t="str">
        <f>IF(E2400="","",AVERAGE(INDEX($E$2:$E$3001,MAX(1,ROW()-1-'02_Eingaben'!$C$17)):INDEX($E$2:$E$3001,MIN('02_Eingaben'!$C$21,ROW()-1+'02_Eingaben'!$C$17))))</f>
        <v/>
      </c>
      <c r="G2400" s="17" t="str">
        <f>IF(F2400="","",F2400-'02_Eingaben'!$C$10)</f>
        <v/>
      </c>
      <c r="H2400" t="str">
        <f>IF(F2400="","",IF(F2400&lt;'02_Eingaben'!$C$18*'02_Eingaben'!$C$10,1,0))</f>
        <v/>
      </c>
      <c r="I2400" s="17" t="str">
        <f t="shared" si="37"/>
        <v/>
      </c>
      <c r="J2400" s="17" t="str">
        <f>IF(B2400="","",IF(B2399&lt;'02_Eingaben'!$C$36,0,J2399+I2399/'02_Eingaben'!$C$8))</f>
        <v/>
      </c>
    </row>
    <row r="2401" spans="1:10" x14ac:dyDescent="0.25">
      <c r="A2401" t="str">
        <f>IF('01_Rohdaten'!A2401="","",ROW()-1)</f>
        <v/>
      </c>
      <c r="B2401" s="17" t="str">
        <f>IF('01_Rohdaten'!A2401="","",'01_Rohdaten'!A2401)</f>
        <v/>
      </c>
      <c r="C2401" s="17" t="str">
        <f>IF(B2401="","",INDEX('01_Rohdaten'!B2401:D2401,'02_Eingaben'!$C$13))</f>
        <v/>
      </c>
      <c r="D2401" s="17" t="str">
        <f>IF(C2401="","",C2401*'02_Eingaben'!$C$15)</f>
        <v/>
      </c>
      <c r="E2401" s="17" t="str">
        <f>IF(D2401="","",D2401*'02_Eingaben'!$C$8)</f>
        <v/>
      </c>
      <c r="F2401" s="17" t="str">
        <f>IF(E2401="","",AVERAGE(INDEX($E$2:$E$3001,MAX(1,ROW()-1-'02_Eingaben'!$C$17)):INDEX($E$2:$E$3001,MIN('02_Eingaben'!$C$21,ROW()-1+'02_Eingaben'!$C$17))))</f>
        <v/>
      </c>
      <c r="G2401" s="17" t="str">
        <f>IF(F2401="","",F2401-'02_Eingaben'!$C$10)</f>
        <v/>
      </c>
      <c r="H2401" t="str">
        <f>IF(F2401="","",IF(F2401&lt;'02_Eingaben'!$C$18*'02_Eingaben'!$C$10,1,0))</f>
        <v/>
      </c>
      <c r="I2401" s="17" t="str">
        <f t="shared" si="37"/>
        <v/>
      </c>
      <c r="J2401" s="17" t="str">
        <f>IF(B2401="","",IF(B2400&lt;'02_Eingaben'!$C$36,0,J2400+I2400/'02_Eingaben'!$C$8))</f>
        <v/>
      </c>
    </row>
    <row r="2402" spans="1:10" x14ac:dyDescent="0.25">
      <c r="A2402" t="str">
        <f>IF('01_Rohdaten'!A2402="","",ROW()-1)</f>
        <v/>
      </c>
      <c r="B2402" s="17" t="str">
        <f>IF('01_Rohdaten'!A2402="","",'01_Rohdaten'!A2402)</f>
        <v/>
      </c>
      <c r="C2402" s="17" t="str">
        <f>IF(B2402="","",INDEX('01_Rohdaten'!B2402:D2402,'02_Eingaben'!$C$13))</f>
        <v/>
      </c>
      <c r="D2402" s="17" t="str">
        <f>IF(C2402="","",C2402*'02_Eingaben'!$C$15)</f>
        <v/>
      </c>
      <c r="E2402" s="17" t="str">
        <f>IF(D2402="","",D2402*'02_Eingaben'!$C$8)</f>
        <v/>
      </c>
      <c r="F2402" s="17" t="str">
        <f>IF(E2402="","",AVERAGE(INDEX($E$2:$E$3001,MAX(1,ROW()-1-'02_Eingaben'!$C$17)):INDEX($E$2:$E$3001,MIN('02_Eingaben'!$C$21,ROW()-1+'02_Eingaben'!$C$17))))</f>
        <v/>
      </c>
      <c r="G2402" s="17" t="str">
        <f>IF(F2402="","",F2402-'02_Eingaben'!$C$10)</f>
        <v/>
      </c>
      <c r="H2402" t="str">
        <f>IF(F2402="","",IF(F2402&lt;'02_Eingaben'!$C$18*'02_Eingaben'!$C$10,1,0))</f>
        <v/>
      </c>
      <c r="I2402" s="17" t="str">
        <f t="shared" si="37"/>
        <v/>
      </c>
      <c r="J2402" s="17" t="str">
        <f>IF(B2402="","",IF(B2401&lt;'02_Eingaben'!$C$36,0,J2401+I2401/'02_Eingaben'!$C$8))</f>
        <v/>
      </c>
    </row>
    <row r="2403" spans="1:10" x14ac:dyDescent="0.25">
      <c r="A2403" t="str">
        <f>IF('01_Rohdaten'!A2403="","",ROW()-1)</f>
        <v/>
      </c>
      <c r="B2403" s="17" t="str">
        <f>IF('01_Rohdaten'!A2403="","",'01_Rohdaten'!A2403)</f>
        <v/>
      </c>
      <c r="C2403" s="17" t="str">
        <f>IF(B2403="","",INDEX('01_Rohdaten'!B2403:D2403,'02_Eingaben'!$C$13))</f>
        <v/>
      </c>
      <c r="D2403" s="17" t="str">
        <f>IF(C2403="","",C2403*'02_Eingaben'!$C$15)</f>
        <v/>
      </c>
      <c r="E2403" s="17" t="str">
        <f>IF(D2403="","",D2403*'02_Eingaben'!$C$8)</f>
        <v/>
      </c>
      <c r="F2403" s="17" t="str">
        <f>IF(E2403="","",AVERAGE(INDEX($E$2:$E$3001,MAX(1,ROW()-1-'02_Eingaben'!$C$17)):INDEX($E$2:$E$3001,MIN('02_Eingaben'!$C$21,ROW()-1+'02_Eingaben'!$C$17))))</f>
        <v/>
      </c>
      <c r="G2403" s="17" t="str">
        <f>IF(F2403="","",F2403-'02_Eingaben'!$C$10)</f>
        <v/>
      </c>
      <c r="H2403" t="str">
        <f>IF(F2403="","",IF(F2403&lt;'02_Eingaben'!$C$18*'02_Eingaben'!$C$10,1,0))</f>
        <v/>
      </c>
      <c r="I2403" s="17" t="str">
        <f t="shared" si="37"/>
        <v/>
      </c>
      <c r="J2403" s="17" t="str">
        <f>IF(B2403="","",IF(B2402&lt;'02_Eingaben'!$C$36,0,J2402+I2402/'02_Eingaben'!$C$8))</f>
        <v/>
      </c>
    </row>
    <row r="2404" spans="1:10" x14ac:dyDescent="0.25">
      <c r="A2404" t="str">
        <f>IF('01_Rohdaten'!A2404="","",ROW()-1)</f>
        <v/>
      </c>
      <c r="B2404" s="17" t="str">
        <f>IF('01_Rohdaten'!A2404="","",'01_Rohdaten'!A2404)</f>
        <v/>
      </c>
      <c r="C2404" s="17" t="str">
        <f>IF(B2404="","",INDEX('01_Rohdaten'!B2404:D2404,'02_Eingaben'!$C$13))</f>
        <v/>
      </c>
      <c r="D2404" s="17" t="str">
        <f>IF(C2404="","",C2404*'02_Eingaben'!$C$15)</f>
        <v/>
      </c>
      <c r="E2404" s="17" t="str">
        <f>IF(D2404="","",D2404*'02_Eingaben'!$C$8)</f>
        <v/>
      </c>
      <c r="F2404" s="17" t="str">
        <f>IF(E2404="","",AVERAGE(INDEX($E$2:$E$3001,MAX(1,ROW()-1-'02_Eingaben'!$C$17)):INDEX($E$2:$E$3001,MIN('02_Eingaben'!$C$21,ROW()-1+'02_Eingaben'!$C$17))))</f>
        <v/>
      </c>
      <c r="G2404" s="17" t="str">
        <f>IF(F2404="","",F2404-'02_Eingaben'!$C$10)</f>
        <v/>
      </c>
      <c r="H2404" t="str">
        <f>IF(F2404="","",IF(F2404&lt;'02_Eingaben'!$C$18*'02_Eingaben'!$C$10,1,0))</f>
        <v/>
      </c>
      <c r="I2404" s="17" t="str">
        <f t="shared" si="37"/>
        <v/>
      </c>
      <c r="J2404" s="17" t="str">
        <f>IF(B2404="","",IF(B2403&lt;'02_Eingaben'!$C$36,0,J2403+I2403/'02_Eingaben'!$C$8))</f>
        <v/>
      </c>
    </row>
    <row r="2405" spans="1:10" x14ac:dyDescent="0.25">
      <c r="A2405" t="str">
        <f>IF('01_Rohdaten'!A2405="","",ROW()-1)</f>
        <v/>
      </c>
      <c r="B2405" s="17" t="str">
        <f>IF('01_Rohdaten'!A2405="","",'01_Rohdaten'!A2405)</f>
        <v/>
      </c>
      <c r="C2405" s="17" t="str">
        <f>IF(B2405="","",INDEX('01_Rohdaten'!B2405:D2405,'02_Eingaben'!$C$13))</f>
        <v/>
      </c>
      <c r="D2405" s="17" t="str">
        <f>IF(C2405="","",C2405*'02_Eingaben'!$C$15)</f>
        <v/>
      </c>
      <c r="E2405" s="17" t="str">
        <f>IF(D2405="","",D2405*'02_Eingaben'!$C$8)</f>
        <v/>
      </c>
      <c r="F2405" s="17" t="str">
        <f>IF(E2405="","",AVERAGE(INDEX($E$2:$E$3001,MAX(1,ROW()-1-'02_Eingaben'!$C$17)):INDEX($E$2:$E$3001,MIN('02_Eingaben'!$C$21,ROW()-1+'02_Eingaben'!$C$17))))</f>
        <v/>
      </c>
      <c r="G2405" s="17" t="str">
        <f>IF(F2405="","",F2405-'02_Eingaben'!$C$10)</f>
        <v/>
      </c>
      <c r="H2405" t="str">
        <f>IF(F2405="","",IF(F2405&lt;'02_Eingaben'!$C$18*'02_Eingaben'!$C$10,1,0))</f>
        <v/>
      </c>
      <c r="I2405" s="17" t="str">
        <f t="shared" si="37"/>
        <v/>
      </c>
      <c r="J2405" s="17" t="str">
        <f>IF(B2405="","",IF(B2404&lt;'02_Eingaben'!$C$36,0,J2404+I2404/'02_Eingaben'!$C$8))</f>
        <v/>
      </c>
    </row>
    <row r="2406" spans="1:10" x14ac:dyDescent="0.25">
      <c r="A2406" t="str">
        <f>IF('01_Rohdaten'!A2406="","",ROW()-1)</f>
        <v/>
      </c>
      <c r="B2406" s="17" t="str">
        <f>IF('01_Rohdaten'!A2406="","",'01_Rohdaten'!A2406)</f>
        <v/>
      </c>
      <c r="C2406" s="17" t="str">
        <f>IF(B2406="","",INDEX('01_Rohdaten'!B2406:D2406,'02_Eingaben'!$C$13))</f>
        <v/>
      </c>
      <c r="D2406" s="17" t="str">
        <f>IF(C2406="","",C2406*'02_Eingaben'!$C$15)</f>
        <v/>
      </c>
      <c r="E2406" s="17" t="str">
        <f>IF(D2406="","",D2406*'02_Eingaben'!$C$8)</f>
        <v/>
      </c>
      <c r="F2406" s="17" t="str">
        <f>IF(E2406="","",AVERAGE(INDEX($E$2:$E$3001,MAX(1,ROW()-1-'02_Eingaben'!$C$17)):INDEX($E$2:$E$3001,MIN('02_Eingaben'!$C$21,ROW()-1+'02_Eingaben'!$C$17))))</f>
        <v/>
      </c>
      <c r="G2406" s="17" t="str">
        <f>IF(F2406="","",F2406-'02_Eingaben'!$C$10)</f>
        <v/>
      </c>
      <c r="H2406" t="str">
        <f>IF(F2406="","",IF(F2406&lt;'02_Eingaben'!$C$18*'02_Eingaben'!$C$10,1,0))</f>
        <v/>
      </c>
      <c r="I2406" s="17" t="str">
        <f t="shared" si="37"/>
        <v/>
      </c>
      <c r="J2406" s="17" t="str">
        <f>IF(B2406="","",IF(B2405&lt;'02_Eingaben'!$C$36,0,J2405+I2405/'02_Eingaben'!$C$8))</f>
        <v/>
      </c>
    </row>
    <row r="2407" spans="1:10" x14ac:dyDescent="0.25">
      <c r="A2407" t="str">
        <f>IF('01_Rohdaten'!A2407="","",ROW()-1)</f>
        <v/>
      </c>
      <c r="B2407" s="17" t="str">
        <f>IF('01_Rohdaten'!A2407="","",'01_Rohdaten'!A2407)</f>
        <v/>
      </c>
      <c r="C2407" s="17" t="str">
        <f>IF(B2407="","",INDEX('01_Rohdaten'!B2407:D2407,'02_Eingaben'!$C$13))</f>
        <v/>
      </c>
      <c r="D2407" s="17" t="str">
        <f>IF(C2407="","",C2407*'02_Eingaben'!$C$15)</f>
        <v/>
      </c>
      <c r="E2407" s="17" t="str">
        <f>IF(D2407="","",D2407*'02_Eingaben'!$C$8)</f>
        <v/>
      </c>
      <c r="F2407" s="17" t="str">
        <f>IF(E2407="","",AVERAGE(INDEX($E$2:$E$3001,MAX(1,ROW()-1-'02_Eingaben'!$C$17)):INDEX($E$2:$E$3001,MIN('02_Eingaben'!$C$21,ROW()-1+'02_Eingaben'!$C$17))))</f>
        <v/>
      </c>
      <c r="G2407" s="17" t="str">
        <f>IF(F2407="","",F2407-'02_Eingaben'!$C$10)</f>
        <v/>
      </c>
      <c r="H2407" t="str">
        <f>IF(F2407="","",IF(F2407&lt;'02_Eingaben'!$C$18*'02_Eingaben'!$C$10,1,0))</f>
        <v/>
      </c>
      <c r="I2407" s="17" t="str">
        <f t="shared" si="37"/>
        <v/>
      </c>
      <c r="J2407" s="17" t="str">
        <f>IF(B2407="","",IF(B2406&lt;'02_Eingaben'!$C$36,0,J2406+I2406/'02_Eingaben'!$C$8))</f>
        <v/>
      </c>
    </row>
    <row r="2408" spans="1:10" x14ac:dyDescent="0.25">
      <c r="A2408" t="str">
        <f>IF('01_Rohdaten'!A2408="","",ROW()-1)</f>
        <v/>
      </c>
      <c r="B2408" s="17" t="str">
        <f>IF('01_Rohdaten'!A2408="","",'01_Rohdaten'!A2408)</f>
        <v/>
      </c>
      <c r="C2408" s="17" t="str">
        <f>IF(B2408="","",INDEX('01_Rohdaten'!B2408:D2408,'02_Eingaben'!$C$13))</f>
        <v/>
      </c>
      <c r="D2408" s="17" t="str">
        <f>IF(C2408="","",C2408*'02_Eingaben'!$C$15)</f>
        <v/>
      </c>
      <c r="E2408" s="17" t="str">
        <f>IF(D2408="","",D2408*'02_Eingaben'!$C$8)</f>
        <v/>
      </c>
      <c r="F2408" s="17" t="str">
        <f>IF(E2408="","",AVERAGE(INDEX($E$2:$E$3001,MAX(1,ROW()-1-'02_Eingaben'!$C$17)):INDEX($E$2:$E$3001,MIN('02_Eingaben'!$C$21,ROW()-1+'02_Eingaben'!$C$17))))</f>
        <v/>
      </c>
      <c r="G2408" s="17" t="str">
        <f>IF(F2408="","",F2408-'02_Eingaben'!$C$10)</f>
        <v/>
      </c>
      <c r="H2408" t="str">
        <f>IF(F2408="","",IF(F2408&lt;'02_Eingaben'!$C$18*'02_Eingaben'!$C$10,1,0))</f>
        <v/>
      </c>
      <c r="I2408" s="17" t="str">
        <f t="shared" si="37"/>
        <v/>
      </c>
      <c r="J2408" s="17" t="str">
        <f>IF(B2408="","",IF(B2407&lt;'02_Eingaben'!$C$36,0,J2407+I2407/'02_Eingaben'!$C$8))</f>
        <v/>
      </c>
    </row>
    <row r="2409" spans="1:10" x14ac:dyDescent="0.25">
      <c r="A2409" t="str">
        <f>IF('01_Rohdaten'!A2409="","",ROW()-1)</f>
        <v/>
      </c>
      <c r="B2409" s="17" t="str">
        <f>IF('01_Rohdaten'!A2409="","",'01_Rohdaten'!A2409)</f>
        <v/>
      </c>
      <c r="C2409" s="17" t="str">
        <f>IF(B2409="","",INDEX('01_Rohdaten'!B2409:D2409,'02_Eingaben'!$C$13))</f>
        <v/>
      </c>
      <c r="D2409" s="17" t="str">
        <f>IF(C2409="","",C2409*'02_Eingaben'!$C$15)</f>
        <v/>
      </c>
      <c r="E2409" s="17" t="str">
        <f>IF(D2409="","",D2409*'02_Eingaben'!$C$8)</f>
        <v/>
      </c>
      <c r="F2409" s="17" t="str">
        <f>IF(E2409="","",AVERAGE(INDEX($E$2:$E$3001,MAX(1,ROW()-1-'02_Eingaben'!$C$17)):INDEX($E$2:$E$3001,MIN('02_Eingaben'!$C$21,ROW()-1+'02_Eingaben'!$C$17))))</f>
        <v/>
      </c>
      <c r="G2409" s="17" t="str">
        <f>IF(F2409="","",F2409-'02_Eingaben'!$C$10)</f>
        <v/>
      </c>
      <c r="H2409" t="str">
        <f>IF(F2409="","",IF(F2409&lt;'02_Eingaben'!$C$18*'02_Eingaben'!$C$10,1,0))</f>
        <v/>
      </c>
      <c r="I2409" s="17" t="str">
        <f t="shared" si="37"/>
        <v/>
      </c>
      <c r="J2409" s="17" t="str">
        <f>IF(B2409="","",IF(B2408&lt;'02_Eingaben'!$C$36,0,J2408+I2408/'02_Eingaben'!$C$8))</f>
        <v/>
      </c>
    </row>
    <row r="2410" spans="1:10" x14ac:dyDescent="0.25">
      <c r="A2410" t="str">
        <f>IF('01_Rohdaten'!A2410="","",ROW()-1)</f>
        <v/>
      </c>
      <c r="B2410" s="17" t="str">
        <f>IF('01_Rohdaten'!A2410="","",'01_Rohdaten'!A2410)</f>
        <v/>
      </c>
      <c r="C2410" s="17" t="str">
        <f>IF(B2410="","",INDEX('01_Rohdaten'!B2410:D2410,'02_Eingaben'!$C$13))</f>
        <v/>
      </c>
      <c r="D2410" s="17" t="str">
        <f>IF(C2410="","",C2410*'02_Eingaben'!$C$15)</f>
        <v/>
      </c>
      <c r="E2410" s="17" t="str">
        <f>IF(D2410="","",D2410*'02_Eingaben'!$C$8)</f>
        <v/>
      </c>
      <c r="F2410" s="17" t="str">
        <f>IF(E2410="","",AVERAGE(INDEX($E$2:$E$3001,MAX(1,ROW()-1-'02_Eingaben'!$C$17)):INDEX($E$2:$E$3001,MIN('02_Eingaben'!$C$21,ROW()-1+'02_Eingaben'!$C$17))))</f>
        <v/>
      </c>
      <c r="G2410" s="17" t="str">
        <f>IF(F2410="","",F2410-'02_Eingaben'!$C$10)</f>
        <v/>
      </c>
      <c r="H2410" t="str">
        <f>IF(F2410="","",IF(F2410&lt;'02_Eingaben'!$C$18*'02_Eingaben'!$C$10,1,0))</f>
        <v/>
      </c>
      <c r="I2410" s="17" t="str">
        <f t="shared" si="37"/>
        <v/>
      </c>
      <c r="J2410" s="17" t="str">
        <f>IF(B2410="","",IF(B2409&lt;'02_Eingaben'!$C$36,0,J2409+I2409/'02_Eingaben'!$C$8))</f>
        <v/>
      </c>
    </row>
    <row r="2411" spans="1:10" x14ac:dyDescent="0.25">
      <c r="A2411" t="str">
        <f>IF('01_Rohdaten'!A2411="","",ROW()-1)</f>
        <v/>
      </c>
      <c r="B2411" s="17" t="str">
        <f>IF('01_Rohdaten'!A2411="","",'01_Rohdaten'!A2411)</f>
        <v/>
      </c>
      <c r="C2411" s="17" t="str">
        <f>IF(B2411="","",INDEX('01_Rohdaten'!B2411:D2411,'02_Eingaben'!$C$13))</f>
        <v/>
      </c>
      <c r="D2411" s="17" t="str">
        <f>IF(C2411="","",C2411*'02_Eingaben'!$C$15)</f>
        <v/>
      </c>
      <c r="E2411" s="17" t="str">
        <f>IF(D2411="","",D2411*'02_Eingaben'!$C$8)</f>
        <v/>
      </c>
      <c r="F2411" s="17" t="str">
        <f>IF(E2411="","",AVERAGE(INDEX($E$2:$E$3001,MAX(1,ROW()-1-'02_Eingaben'!$C$17)):INDEX($E$2:$E$3001,MIN('02_Eingaben'!$C$21,ROW()-1+'02_Eingaben'!$C$17))))</f>
        <v/>
      </c>
      <c r="G2411" s="17" t="str">
        <f>IF(F2411="","",F2411-'02_Eingaben'!$C$10)</f>
        <v/>
      </c>
      <c r="H2411" t="str">
        <f>IF(F2411="","",IF(F2411&lt;'02_Eingaben'!$C$18*'02_Eingaben'!$C$10,1,0))</f>
        <v/>
      </c>
      <c r="I2411" s="17" t="str">
        <f t="shared" si="37"/>
        <v/>
      </c>
      <c r="J2411" s="17" t="str">
        <f>IF(B2411="","",IF(B2410&lt;'02_Eingaben'!$C$36,0,J2410+I2410/'02_Eingaben'!$C$8))</f>
        <v/>
      </c>
    </row>
    <row r="2412" spans="1:10" x14ac:dyDescent="0.25">
      <c r="A2412" t="str">
        <f>IF('01_Rohdaten'!A2412="","",ROW()-1)</f>
        <v/>
      </c>
      <c r="B2412" s="17" t="str">
        <f>IF('01_Rohdaten'!A2412="","",'01_Rohdaten'!A2412)</f>
        <v/>
      </c>
      <c r="C2412" s="17" t="str">
        <f>IF(B2412="","",INDEX('01_Rohdaten'!B2412:D2412,'02_Eingaben'!$C$13))</f>
        <v/>
      </c>
      <c r="D2412" s="17" t="str">
        <f>IF(C2412="","",C2412*'02_Eingaben'!$C$15)</f>
        <v/>
      </c>
      <c r="E2412" s="17" t="str">
        <f>IF(D2412="","",D2412*'02_Eingaben'!$C$8)</f>
        <v/>
      </c>
      <c r="F2412" s="17" t="str">
        <f>IF(E2412="","",AVERAGE(INDEX($E$2:$E$3001,MAX(1,ROW()-1-'02_Eingaben'!$C$17)):INDEX($E$2:$E$3001,MIN('02_Eingaben'!$C$21,ROW()-1+'02_Eingaben'!$C$17))))</f>
        <v/>
      </c>
      <c r="G2412" s="17" t="str">
        <f>IF(F2412="","",F2412-'02_Eingaben'!$C$10)</f>
        <v/>
      </c>
      <c r="H2412" t="str">
        <f>IF(F2412="","",IF(F2412&lt;'02_Eingaben'!$C$18*'02_Eingaben'!$C$10,1,0))</f>
        <v/>
      </c>
      <c r="I2412" s="17" t="str">
        <f t="shared" si="37"/>
        <v/>
      </c>
      <c r="J2412" s="17" t="str">
        <f>IF(B2412="","",IF(B2411&lt;'02_Eingaben'!$C$36,0,J2411+I2411/'02_Eingaben'!$C$8))</f>
        <v/>
      </c>
    </row>
    <row r="2413" spans="1:10" x14ac:dyDescent="0.25">
      <c r="A2413" t="str">
        <f>IF('01_Rohdaten'!A2413="","",ROW()-1)</f>
        <v/>
      </c>
      <c r="B2413" s="17" t="str">
        <f>IF('01_Rohdaten'!A2413="","",'01_Rohdaten'!A2413)</f>
        <v/>
      </c>
      <c r="C2413" s="17" t="str">
        <f>IF(B2413="","",INDEX('01_Rohdaten'!B2413:D2413,'02_Eingaben'!$C$13))</f>
        <v/>
      </c>
      <c r="D2413" s="17" t="str">
        <f>IF(C2413="","",C2413*'02_Eingaben'!$C$15)</f>
        <v/>
      </c>
      <c r="E2413" s="17" t="str">
        <f>IF(D2413="","",D2413*'02_Eingaben'!$C$8)</f>
        <v/>
      </c>
      <c r="F2413" s="17" t="str">
        <f>IF(E2413="","",AVERAGE(INDEX($E$2:$E$3001,MAX(1,ROW()-1-'02_Eingaben'!$C$17)):INDEX($E$2:$E$3001,MIN('02_Eingaben'!$C$21,ROW()-1+'02_Eingaben'!$C$17))))</f>
        <v/>
      </c>
      <c r="G2413" s="17" t="str">
        <f>IF(F2413="","",F2413-'02_Eingaben'!$C$10)</f>
        <v/>
      </c>
      <c r="H2413" t="str">
        <f>IF(F2413="","",IF(F2413&lt;'02_Eingaben'!$C$18*'02_Eingaben'!$C$10,1,0))</f>
        <v/>
      </c>
      <c r="I2413" s="17" t="str">
        <f t="shared" si="37"/>
        <v/>
      </c>
      <c r="J2413" s="17" t="str">
        <f>IF(B2413="","",IF(B2412&lt;'02_Eingaben'!$C$36,0,J2412+I2412/'02_Eingaben'!$C$8))</f>
        <v/>
      </c>
    </row>
    <row r="2414" spans="1:10" x14ac:dyDescent="0.25">
      <c r="A2414" t="str">
        <f>IF('01_Rohdaten'!A2414="","",ROW()-1)</f>
        <v/>
      </c>
      <c r="B2414" s="17" t="str">
        <f>IF('01_Rohdaten'!A2414="","",'01_Rohdaten'!A2414)</f>
        <v/>
      </c>
      <c r="C2414" s="17" t="str">
        <f>IF(B2414="","",INDEX('01_Rohdaten'!B2414:D2414,'02_Eingaben'!$C$13))</f>
        <v/>
      </c>
      <c r="D2414" s="17" t="str">
        <f>IF(C2414="","",C2414*'02_Eingaben'!$C$15)</f>
        <v/>
      </c>
      <c r="E2414" s="17" t="str">
        <f>IF(D2414="","",D2414*'02_Eingaben'!$C$8)</f>
        <v/>
      </c>
      <c r="F2414" s="17" t="str">
        <f>IF(E2414="","",AVERAGE(INDEX($E$2:$E$3001,MAX(1,ROW()-1-'02_Eingaben'!$C$17)):INDEX($E$2:$E$3001,MIN('02_Eingaben'!$C$21,ROW()-1+'02_Eingaben'!$C$17))))</f>
        <v/>
      </c>
      <c r="G2414" s="17" t="str">
        <f>IF(F2414="","",F2414-'02_Eingaben'!$C$10)</f>
        <v/>
      </c>
      <c r="H2414" t="str">
        <f>IF(F2414="","",IF(F2414&lt;'02_Eingaben'!$C$18*'02_Eingaben'!$C$10,1,0))</f>
        <v/>
      </c>
      <c r="I2414" s="17" t="str">
        <f t="shared" si="37"/>
        <v/>
      </c>
      <c r="J2414" s="17" t="str">
        <f>IF(B2414="","",IF(B2413&lt;'02_Eingaben'!$C$36,0,J2413+I2413/'02_Eingaben'!$C$8))</f>
        <v/>
      </c>
    </row>
    <row r="2415" spans="1:10" x14ac:dyDescent="0.25">
      <c r="A2415" t="str">
        <f>IF('01_Rohdaten'!A2415="","",ROW()-1)</f>
        <v/>
      </c>
      <c r="B2415" s="17" t="str">
        <f>IF('01_Rohdaten'!A2415="","",'01_Rohdaten'!A2415)</f>
        <v/>
      </c>
      <c r="C2415" s="17" t="str">
        <f>IF(B2415="","",INDEX('01_Rohdaten'!B2415:D2415,'02_Eingaben'!$C$13))</f>
        <v/>
      </c>
      <c r="D2415" s="17" t="str">
        <f>IF(C2415="","",C2415*'02_Eingaben'!$C$15)</f>
        <v/>
      </c>
      <c r="E2415" s="17" t="str">
        <f>IF(D2415="","",D2415*'02_Eingaben'!$C$8)</f>
        <v/>
      </c>
      <c r="F2415" s="17" t="str">
        <f>IF(E2415="","",AVERAGE(INDEX($E$2:$E$3001,MAX(1,ROW()-1-'02_Eingaben'!$C$17)):INDEX($E$2:$E$3001,MIN('02_Eingaben'!$C$21,ROW()-1+'02_Eingaben'!$C$17))))</f>
        <v/>
      </c>
      <c r="G2415" s="17" t="str">
        <f>IF(F2415="","",F2415-'02_Eingaben'!$C$10)</f>
        <v/>
      </c>
      <c r="H2415" t="str">
        <f>IF(F2415="","",IF(F2415&lt;'02_Eingaben'!$C$18*'02_Eingaben'!$C$10,1,0))</f>
        <v/>
      </c>
      <c r="I2415" s="17" t="str">
        <f t="shared" si="37"/>
        <v/>
      </c>
      <c r="J2415" s="17" t="str">
        <f>IF(B2415="","",IF(B2414&lt;'02_Eingaben'!$C$36,0,J2414+I2414/'02_Eingaben'!$C$8))</f>
        <v/>
      </c>
    </row>
    <row r="2416" spans="1:10" x14ac:dyDescent="0.25">
      <c r="A2416" t="str">
        <f>IF('01_Rohdaten'!A2416="","",ROW()-1)</f>
        <v/>
      </c>
      <c r="B2416" s="17" t="str">
        <f>IF('01_Rohdaten'!A2416="","",'01_Rohdaten'!A2416)</f>
        <v/>
      </c>
      <c r="C2416" s="17" t="str">
        <f>IF(B2416="","",INDEX('01_Rohdaten'!B2416:D2416,'02_Eingaben'!$C$13))</f>
        <v/>
      </c>
      <c r="D2416" s="17" t="str">
        <f>IF(C2416="","",C2416*'02_Eingaben'!$C$15)</f>
        <v/>
      </c>
      <c r="E2416" s="17" t="str">
        <f>IF(D2416="","",D2416*'02_Eingaben'!$C$8)</f>
        <v/>
      </c>
      <c r="F2416" s="17" t="str">
        <f>IF(E2416="","",AVERAGE(INDEX($E$2:$E$3001,MAX(1,ROW()-1-'02_Eingaben'!$C$17)):INDEX($E$2:$E$3001,MIN('02_Eingaben'!$C$21,ROW()-1+'02_Eingaben'!$C$17))))</f>
        <v/>
      </c>
      <c r="G2416" s="17" t="str">
        <f>IF(F2416="","",F2416-'02_Eingaben'!$C$10)</f>
        <v/>
      </c>
      <c r="H2416" t="str">
        <f>IF(F2416="","",IF(F2416&lt;'02_Eingaben'!$C$18*'02_Eingaben'!$C$10,1,0))</f>
        <v/>
      </c>
      <c r="I2416" s="17" t="str">
        <f t="shared" si="37"/>
        <v/>
      </c>
      <c r="J2416" s="17" t="str">
        <f>IF(B2416="","",IF(B2415&lt;'02_Eingaben'!$C$36,0,J2415+I2415/'02_Eingaben'!$C$8))</f>
        <v/>
      </c>
    </row>
    <row r="2417" spans="1:10" x14ac:dyDescent="0.25">
      <c r="A2417" t="str">
        <f>IF('01_Rohdaten'!A2417="","",ROW()-1)</f>
        <v/>
      </c>
      <c r="B2417" s="17" t="str">
        <f>IF('01_Rohdaten'!A2417="","",'01_Rohdaten'!A2417)</f>
        <v/>
      </c>
      <c r="C2417" s="17" t="str">
        <f>IF(B2417="","",INDEX('01_Rohdaten'!B2417:D2417,'02_Eingaben'!$C$13))</f>
        <v/>
      </c>
      <c r="D2417" s="17" t="str">
        <f>IF(C2417="","",C2417*'02_Eingaben'!$C$15)</f>
        <v/>
      </c>
      <c r="E2417" s="17" t="str">
        <f>IF(D2417="","",D2417*'02_Eingaben'!$C$8)</f>
        <v/>
      </c>
      <c r="F2417" s="17" t="str">
        <f>IF(E2417="","",AVERAGE(INDEX($E$2:$E$3001,MAX(1,ROW()-1-'02_Eingaben'!$C$17)):INDEX($E$2:$E$3001,MIN('02_Eingaben'!$C$21,ROW()-1+'02_Eingaben'!$C$17))))</f>
        <v/>
      </c>
      <c r="G2417" s="17" t="str">
        <f>IF(F2417="","",F2417-'02_Eingaben'!$C$10)</f>
        <v/>
      </c>
      <c r="H2417" t="str">
        <f>IF(F2417="","",IF(F2417&lt;'02_Eingaben'!$C$18*'02_Eingaben'!$C$10,1,0))</f>
        <v/>
      </c>
      <c r="I2417" s="17" t="str">
        <f t="shared" si="37"/>
        <v/>
      </c>
      <c r="J2417" s="17" t="str">
        <f>IF(B2417="","",IF(B2416&lt;'02_Eingaben'!$C$36,0,J2416+I2416/'02_Eingaben'!$C$8))</f>
        <v/>
      </c>
    </row>
    <row r="2418" spans="1:10" x14ac:dyDescent="0.25">
      <c r="A2418" t="str">
        <f>IF('01_Rohdaten'!A2418="","",ROW()-1)</f>
        <v/>
      </c>
      <c r="B2418" s="17" t="str">
        <f>IF('01_Rohdaten'!A2418="","",'01_Rohdaten'!A2418)</f>
        <v/>
      </c>
      <c r="C2418" s="17" t="str">
        <f>IF(B2418="","",INDEX('01_Rohdaten'!B2418:D2418,'02_Eingaben'!$C$13))</f>
        <v/>
      </c>
      <c r="D2418" s="17" t="str">
        <f>IF(C2418="","",C2418*'02_Eingaben'!$C$15)</f>
        <v/>
      </c>
      <c r="E2418" s="17" t="str">
        <f>IF(D2418="","",D2418*'02_Eingaben'!$C$8)</f>
        <v/>
      </c>
      <c r="F2418" s="17" t="str">
        <f>IF(E2418="","",AVERAGE(INDEX($E$2:$E$3001,MAX(1,ROW()-1-'02_Eingaben'!$C$17)):INDEX($E$2:$E$3001,MIN('02_Eingaben'!$C$21,ROW()-1+'02_Eingaben'!$C$17))))</f>
        <v/>
      </c>
      <c r="G2418" s="17" t="str">
        <f>IF(F2418="","",F2418-'02_Eingaben'!$C$10)</f>
        <v/>
      </c>
      <c r="H2418" t="str">
        <f>IF(F2418="","",IF(F2418&lt;'02_Eingaben'!$C$18*'02_Eingaben'!$C$10,1,0))</f>
        <v/>
      </c>
      <c r="I2418" s="17" t="str">
        <f t="shared" si="37"/>
        <v/>
      </c>
      <c r="J2418" s="17" t="str">
        <f>IF(B2418="","",IF(B2417&lt;'02_Eingaben'!$C$36,0,J2417+I2417/'02_Eingaben'!$C$8))</f>
        <v/>
      </c>
    </row>
    <row r="2419" spans="1:10" x14ac:dyDescent="0.25">
      <c r="A2419" t="str">
        <f>IF('01_Rohdaten'!A2419="","",ROW()-1)</f>
        <v/>
      </c>
      <c r="B2419" s="17" t="str">
        <f>IF('01_Rohdaten'!A2419="","",'01_Rohdaten'!A2419)</f>
        <v/>
      </c>
      <c r="C2419" s="17" t="str">
        <f>IF(B2419="","",INDEX('01_Rohdaten'!B2419:D2419,'02_Eingaben'!$C$13))</f>
        <v/>
      </c>
      <c r="D2419" s="17" t="str">
        <f>IF(C2419="","",C2419*'02_Eingaben'!$C$15)</f>
        <v/>
      </c>
      <c r="E2419" s="17" t="str">
        <f>IF(D2419="","",D2419*'02_Eingaben'!$C$8)</f>
        <v/>
      </c>
      <c r="F2419" s="17" t="str">
        <f>IF(E2419="","",AVERAGE(INDEX($E$2:$E$3001,MAX(1,ROW()-1-'02_Eingaben'!$C$17)):INDEX($E$2:$E$3001,MIN('02_Eingaben'!$C$21,ROW()-1+'02_Eingaben'!$C$17))))</f>
        <v/>
      </c>
      <c r="G2419" s="17" t="str">
        <f>IF(F2419="","",F2419-'02_Eingaben'!$C$10)</f>
        <v/>
      </c>
      <c r="H2419" t="str">
        <f>IF(F2419="","",IF(F2419&lt;'02_Eingaben'!$C$18*'02_Eingaben'!$C$10,1,0))</f>
        <v/>
      </c>
      <c r="I2419" s="17" t="str">
        <f t="shared" si="37"/>
        <v/>
      </c>
      <c r="J2419" s="17" t="str">
        <f>IF(B2419="","",IF(B2418&lt;'02_Eingaben'!$C$36,0,J2418+I2418/'02_Eingaben'!$C$8))</f>
        <v/>
      </c>
    </row>
    <row r="2420" spans="1:10" x14ac:dyDescent="0.25">
      <c r="A2420" t="str">
        <f>IF('01_Rohdaten'!A2420="","",ROW()-1)</f>
        <v/>
      </c>
      <c r="B2420" s="17" t="str">
        <f>IF('01_Rohdaten'!A2420="","",'01_Rohdaten'!A2420)</f>
        <v/>
      </c>
      <c r="C2420" s="17" t="str">
        <f>IF(B2420="","",INDEX('01_Rohdaten'!B2420:D2420,'02_Eingaben'!$C$13))</f>
        <v/>
      </c>
      <c r="D2420" s="17" t="str">
        <f>IF(C2420="","",C2420*'02_Eingaben'!$C$15)</f>
        <v/>
      </c>
      <c r="E2420" s="17" t="str">
        <f>IF(D2420="","",D2420*'02_Eingaben'!$C$8)</f>
        <v/>
      </c>
      <c r="F2420" s="17" t="str">
        <f>IF(E2420="","",AVERAGE(INDEX($E$2:$E$3001,MAX(1,ROW()-1-'02_Eingaben'!$C$17)):INDEX($E$2:$E$3001,MIN('02_Eingaben'!$C$21,ROW()-1+'02_Eingaben'!$C$17))))</f>
        <v/>
      </c>
      <c r="G2420" s="17" t="str">
        <f>IF(F2420="","",F2420-'02_Eingaben'!$C$10)</f>
        <v/>
      </c>
      <c r="H2420" t="str">
        <f>IF(F2420="","",IF(F2420&lt;'02_Eingaben'!$C$18*'02_Eingaben'!$C$10,1,0))</f>
        <v/>
      </c>
      <c r="I2420" s="17" t="str">
        <f t="shared" si="37"/>
        <v/>
      </c>
      <c r="J2420" s="17" t="str">
        <f>IF(B2420="","",IF(B2419&lt;'02_Eingaben'!$C$36,0,J2419+I2419/'02_Eingaben'!$C$8))</f>
        <v/>
      </c>
    </row>
    <row r="2421" spans="1:10" x14ac:dyDescent="0.25">
      <c r="A2421" t="str">
        <f>IF('01_Rohdaten'!A2421="","",ROW()-1)</f>
        <v/>
      </c>
      <c r="B2421" s="17" t="str">
        <f>IF('01_Rohdaten'!A2421="","",'01_Rohdaten'!A2421)</f>
        <v/>
      </c>
      <c r="C2421" s="17" t="str">
        <f>IF(B2421="","",INDEX('01_Rohdaten'!B2421:D2421,'02_Eingaben'!$C$13))</f>
        <v/>
      </c>
      <c r="D2421" s="17" t="str">
        <f>IF(C2421="","",C2421*'02_Eingaben'!$C$15)</f>
        <v/>
      </c>
      <c r="E2421" s="17" t="str">
        <f>IF(D2421="","",D2421*'02_Eingaben'!$C$8)</f>
        <v/>
      </c>
      <c r="F2421" s="17" t="str">
        <f>IF(E2421="","",AVERAGE(INDEX($E$2:$E$3001,MAX(1,ROW()-1-'02_Eingaben'!$C$17)):INDEX($E$2:$E$3001,MIN('02_Eingaben'!$C$21,ROW()-1+'02_Eingaben'!$C$17))))</f>
        <v/>
      </c>
      <c r="G2421" s="17" t="str">
        <f>IF(F2421="","",F2421-'02_Eingaben'!$C$10)</f>
        <v/>
      </c>
      <c r="H2421" t="str">
        <f>IF(F2421="","",IF(F2421&lt;'02_Eingaben'!$C$18*'02_Eingaben'!$C$10,1,0))</f>
        <v/>
      </c>
      <c r="I2421" s="17" t="str">
        <f t="shared" si="37"/>
        <v/>
      </c>
      <c r="J2421" s="17" t="str">
        <f>IF(B2421="","",IF(B2420&lt;'02_Eingaben'!$C$36,0,J2420+I2420/'02_Eingaben'!$C$8))</f>
        <v/>
      </c>
    </row>
    <row r="2422" spans="1:10" x14ac:dyDescent="0.25">
      <c r="A2422" t="str">
        <f>IF('01_Rohdaten'!A2422="","",ROW()-1)</f>
        <v/>
      </c>
      <c r="B2422" s="17" t="str">
        <f>IF('01_Rohdaten'!A2422="","",'01_Rohdaten'!A2422)</f>
        <v/>
      </c>
      <c r="C2422" s="17" t="str">
        <f>IF(B2422="","",INDEX('01_Rohdaten'!B2422:D2422,'02_Eingaben'!$C$13))</f>
        <v/>
      </c>
      <c r="D2422" s="17" t="str">
        <f>IF(C2422="","",C2422*'02_Eingaben'!$C$15)</f>
        <v/>
      </c>
      <c r="E2422" s="17" t="str">
        <f>IF(D2422="","",D2422*'02_Eingaben'!$C$8)</f>
        <v/>
      </c>
      <c r="F2422" s="17" t="str">
        <f>IF(E2422="","",AVERAGE(INDEX($E$2:$E$3001,MAX(1,ROW()-1-'02_Eingaben'!$C$17)):INDEX($E$2:$E$3001,MIN('02_Eingaben'!$C$21,ROW()-1+'02_Eingaben'!$C$17))))</f>
        <v/>
      </c>
      <c r="G2422" s="17" t="str">
        <f>IF(F2422="","",F2422-'02_Eingaben'!$C$10)</f>
        <v/>
      </c>
      <c r="H2422" t="str">
        <f>IF(F2422="","",IF(F2422&lt;'02_Eingaben'!$C$18*'02_Eingaben'!$C$10,1,0))</f>
        <v/>
      </c>
      <c r="I2422" s="17" t="str">
        <f t="shared" si="37"/>
        <v/>
      </c>
      <c r="J2422" s="17" t="str">
        <f>IF(B2422="","",IF(B2421&lt;'02_Eingaben'!$C$36,0,J2421+I2421/'02_Eingaben'!$C$8))</f>
        <v/>
      </c>
    </row>
    <row r="2423" spans="1:10" x14ac:dyDescent="0.25">
      <c r="A2423" t="str">
        <f>IF('01_Rohdaten'!A2423="","",ROW()-1)</f>
        <v/>
      </c>
      <c r="B2423" s="17" t="str">
        <f>IF('01_Rohdaten'!A2423="","",'01_Rohdaten'!A2423)</f>
        <v/>
      </c>
      <c r="C2423" s="17" t="str">
        <f>IF(B2423="","",INDEX('01_Rohdaten'!B2423:D2423,'02_Eingaben'!$C$13))</f>
        <v/>
      </c>
      <c r="D2423" s="17" t="str">
        <f>IF(C2423="","",C2423*'02_Eingaben'!$C$15)</f>
        <v/>
      </c>
      <c r="E2423" s="17" t="str">
        <f>IF(D2423="","",D2423*'02_Eingaben'!$C$8)</f>
        <v/>
      </c>
      <c r="F2423" s="17" t="str">
        <f>IF(E2423="","",AVERAGE(INDEX($E$2:$E$3001,MAX(1,ROW()-1-'02_Eingaben'!$C$17)):INDEX($E$2:$E$3001,MIN('02_Eingaben'!$C$21,ROW()-1+'02_Eingaben'!$C$17))))</f>
        <v/>
      </c>
      <c r="G2423" s="17" t="str">
        <f>IF(F2423="","",F2423-'02_Eingaben'!$C$10)</f>
        <v/>
      </c>
      <c r="H2423" t="str">
        <f>IF(F2423="","",IF(F2423&lt;'02_Eingaben'!$C$18*'02_Eingaben'!$C$10,1,0))</f>
        <v/>
      </c>
      <c r="I2423" s="17" t="str">
        <f t="shared" si="37"/>
        <v/>
      </c>
      <c r="J2423" s="17" t="str">
        <f>IF(B2423="","",IF(B2422&lt;'02_Eingaben'!$C$36,0,J2422+I2422/'02_Eingaben'!$C$8))</f>
        <v/>
      </c>
    </row>
    <row r="2424" spans="1:10" x14ac:dyDescent="0.25">
      <c r="A2424" t="str">
        <f>IF('01_Rohdaten'!A2424="","",ROW()-1)</f>
        <v/>
      </c>
      <c r="B2424" s="17" t="str">
        <f>IF('01_Rohdaten'!A2424="","",'01_Rohdaten'!A2424)</f>
        <v/>
      </c>
      <c r="C2424" s="17" t="str">
        <f>IF(B2424="","",INDEX('01_Rohdaten'!B2424:D2424,'02_Eingaben'!$C$13))</f>
        <v/>
      </c>
      <c r="D2424" s="17" t="str">
        <f>IF(C2424="","",C2424*'02_Eingaben'!$C$15)</f>
        <v/>
      </c>
      <c r="E2424" s="17" t="str">
        <f>IF(D2424="","",D2424*'02_Eingaben'!$C$8)</f>
        <v/>
      </c>
      <c r="F2424" s="17" t="str">
        <f>IF(E2424="","",AVERAGE(INDEX($E$2:$E$3001,MAX(1,ROW()-1-'02_Eingaben'!$C$17)):INDEX($E$2:$E$3001,MIN('02_Eingaben'!$C$21,ROW()-1+'02_Eingaben'!$C$17))))</f>
        <v/>
      </c>
      <c r="G2424" s="17" t="str">
        <f>IF(F2424="","",F2424-'02_Eingaben'!$C$10)</f>
        <v/>
      </c>
      <c r="H2424" t="str">
        <f>IF(F2424="","",IF(F2424&lt;'02_Eingaben'!$C$18*'02_Eingaben'!$C$10,1,0))</f>
        <v/>
      </c>
      <c r="I2424" s="17" t="str">
        <f t="shared" si="37"/>
        <v/>
      </c>
      <c r="J2424" s="17" t="str">
        <f>IF(B2424="","",IF(B2423&lt;'02_Eingaben'!$C$36,0,J2423+I2423/'02_Eingaben'!$C$8))</f>
        <v/>
      </c>
    </row>
    <row r="2425" spans="1:10" x14ac:dyDescent="0.25">
      <c r="A2425" t="str">
        <f>IF('01_Rohdaten'!A2425="","",ROW()-1)</f>
        <v/>
      </c>
      <c r="B2425" s="17" t="str">
        <f>IF('01_Rohdaten'!A2425="","",'01_Rohdaten'!A2425)</f>
        <v/>
      </c>
      <c r="C2425" s="17" t="str">
        <f>IF(B2425="","",INDEX('01_Rohdaten'!B2425:D2425,'02_Eingaben'!$C$13))</f>
        <v/>
      </c>
      <c r="D2425" s="17" t="str">
        <f>IF(C2425="","",C2425*'02_Eingaben'!$C$15)</f>
        <v/>
      </c>
      <c r="E2425" s="17" t="str">
        <f>IF(D2425="","",D2425*'02_Eingaben'!$C$8)</f>
        <v/>
      </c>
      <c r="F2425" s="17" t="str">
        <f>IF(E2425="","",AVERAGE(INDEX($E$2:$E$3001,MAX(1,ROW()-1-'02_Eingaben'!$C$17)):INDEX($E$2:$E$3001,MIN('02_Eingaben'!$C$21,ROW()-1+'02_Eingaben'!$C$17))))</f>
        <v/>
      </c>
      <c r="G2425" s="17" t="str">
        <f>IF(F2425="","",F2425-'02_Eingaben'!$C$10)</f>
        <v/>
      </c>
      <c r="H2425" t="str">
        <f>IF(F2425="","",IF(F2425&lt;'02_Eingaben'!$C$18*'02_Eingaben'!$C$10,1,0))</f>
        <v/>
      </c>
      <c r="I2425" s="17" t="str">
        <f t="shared" si="37"/>
        <v/>
      </c>
      <c r="J2425" s="17" t="str">
        <f>IF(B2425="","",IF(B2424&lt;'02_Eingaben'!$C$36,0,J2424+I2424/'02_Eingaben'!$C$8))</f>
        <v/>
      </c>
    </row>
    <row r="2426" spans="1:10" x14ac:dyDescent="0.25">
      <c r="A2426" t="str">
        <f>IF('01_Rohdaten'!A2426="","",ROW()-1)</f>
        <v/>
      </c>
      <c r="B2426" s="17" t="str">
        <f>IF('01_Rohdaten'!A2426="","",'01_Rohdaten'!A2426)</f>
        <v/>
      </c>
      <c r="C2426" s="17" t="str">
        <f>IF(B2426="","",INDEX('01_Rohdaten'!B2426:D2426,'02_Eingaben'!$C$13))</f>
        <v/>
      </c>
      <c r="D2426" s="17" t="str">
        <f>IF(C2426="","",C2426*'02_Eingaben'!$C$15)</f>
        <v/>
      </c>
      <c r="E2426" s="17" t="str">
        <f>IF(D2426="","",D2426*'02_Eingaben'!$C$8)</f>
        <v/>
      </c>
      <c r="F2426" s="17" t="str">
        <f>IF(E2426="","",AVERAGE(INDEX($E$2:$E$3001,MAX(1,ROW()-1-'02_Eingaben'!$C$17)):INDEX($E$2:$E$3001,MIN('02_Eingaben'!$C$21,ROW()-1+'02_Eingaben'!$C$17))))</f>
        <v/>
      </c>
      <c r="G2426" s="17" t="str">
        <f>IF(F2426="","",F2426-'02_Eingaben'!$C$10)</f>
        <v/>
      </c>
      <c r="H2426" t="str">
        <f>IF(F2426="","",IF(F2426&lt;'02_Eingaben'!$C$18*'02_Eingaben'!$C$10,1,0))</f>
        <v/>
      </c>
      <c r="I2426" s="17" t="str">
        <f t="shared" si="37"/>
        <v/>
      </c>
      <c r="J2426" s="17" t="str">
        <f>IF(B2426="","",IF(B2425&lt;'02_Eingaben'!$C$36,0,J2425+I2425/'02_Eingaben'!$C$8))</f>
        <v/>
      </c>
    </row>
    <row r="2427" spans="1:10" x14ac:dyDescent="0.25">
      <c r="A2427" t="str">
        <f>IF('01_Rohdaten'!A2427="","",ROW()-1)</f>
        <v/>
      </c>
      <c r="B2427" s="17" t="str">
        <f>IF('01_Rohdaten'!A2427="","",'01_Rohdaten'!A2427)</f>
        <v/>
      </c>
      <c r="C2427" s="17" t="str">
        <f>IF(B2427="","",INDEX('01_Rohdaten'!B2427:D2427,'02_Eingaben'!$C$13))</f>
        <v/>
      </c>
      <c r="D2427" s="17" t="str">
        <f>IF(C2427="","",C2427*'02_Eingaben'!$C$15)</f>
        <v/>
      </c>
      <c r="E2427" s="17" t="str">
        <f>IF(D2427="","",D2427*'02_Eingaben'!$C$8)</f>
        <v/>
      </c>
      <c r="F2427" s="17" t="str">
        <f>IF(E2427="","",AVERAGE(INDEX($E$2:$E$3001,MAX(1,ROW()-1-'02_Eingaben'!$C$17)):INDEX($E$2:$E$3001,MIN('02_Eingaben'!$C$21,ROW()-1+'02_Eingaben'!$C$17))))</f>
        <v/>
      </c>
      <c r="G2427" s="17" t="str">
        <f>IF(F2427="","",F2427-'02_Eingaben'!$C$10)</f>
        <v/>
      </c>
      <c r="H2427" t="str">
        <f>IF(F2427="","",IF(F2427&lt;'02_Eingaben'!$C$18*'02_Eingaben'!$C$10,1,0))</f>
        <v/>
      </c>
      <c r="I2427" s="17" t="str">
        <f t="shared" si="37"/>
        <v/>
      </c>
      <c r="J2427" s="17" t="str">
        <f>IF(B2427="","",IF(B2426&lt;'02_Eingaben'!$C$36,0,J2426+I2426/'02_Eingaben'!$C$8))</f>
        <v/>
      </c>
    </row>
    <row r="2428" spans="1:10" x14ac:dyDescent="0.25">
      <c r="A2428" t="str">
        <f>IF('01_Rohdaten'!A2428="","",ROW()-1)</f>
        <v/>
      </c>
      <c r="B2428" s="17" t="str">
        <f>IF('01_Rohdaten'!A2428="","",'01_Rohdaten'!A2428)</f>
        <v/>
      </c>
      <c r="C2428" s="17" t="str">
        <f>IF(B2428="","",INDEX('01_Rohdaten'!B2428:D2428,'02_Eingaben'!$C$13))</f>
        <v/>
      </c>
      <c r="D2428" s="17" t="str">
        <f>IF(C2428="","",C2428*'02_Eingaben'!$C$15)</f>
        <v/>
      </c>
      <c r="E2428" s="17" t="str">
        <f>IF(D2428="","",D2428*'02_Eingaben'!$C$8)</f>
        <v/>
      </c>
      <c r="F2428" s="17" t="str">
        <f>IF(E2428="","",AVERAGE(INDEX($E$2:$E$3001,MAX(1,ROW()-1-'02_Eingaben'!$C$17)):INDEX($E$2:$E$3001,MIN('02_Eingaben'!$C$21,ROW()-1+'02_Eingaben'!$C$17))))</f>
        <v/>
      </c>
      <c r="G2428" s="17" t="str">
        <f>IF(F2428="","",F2428-'02_Eingaben'!$C$10)</f>
        <v/>
      </c>
      <c r="H2428" t="str">
        <f>IF(F2428="","",IF(F2428&lt;'02_Eingaben'!$C$18*'02_Eingaben'!$C$10,1,0))</f>
        <v/>
      </c>
      <c r="I2428" s="17" t="str">
        <f t="shared" si="37"/>
        <v/>
      </c>
      <c r="J2428" s="17" t="str">
        <f>IF(B2428="","",IF(B2427&lt;'02_Eingaben'!$C$36,0,J2427+I2427/'02_Eingaben'!$C$8))</f>
        <v/>
      </c>
    </row>
    <row r="2429" spans="1:10" x14ac:dyDescent="0.25">
      <c r="A2429" t="str">
        <f>IF('01_Rohdaten'!A2429="","",ROW()-1)</f>
        <v/>
      </c>
      <c r="B2429" s="17" t="str">
        <f>IF('01_Rohdaten'!A2429="","",'01_Rohdaten'!A2429)</f>
        <v/>
      </c>
      <c r="C2429" s="17" t="str">
        <f>IF(B2429="","",INDEX('01_Rohdaten'!B2429:D2429,'02_Eingaben'!$C$13))</f>
        <v/>
      </c>
      <c r="D2429" s="17" t="str">
        <f>IF(C2429="","",C2429*'02_Eingaben'!$C$15)</f>
        <v/>
      </c>
      <c r="E2429" s="17" t="str">
        <f>IF(D2429="","",D2429*'02_Eingaben'!$C$8)</f>
        <v/>
      </c>
      <c r="F2429" s="17" t="str">
        <f>IF(E2429="","",AVERAGE(INDEX($E$2:$E$3001,MAX(1,ROW()-1-'02_Eingaben'!$C$17)):INDEX($E$2:$E$3001,MIN('02_Eingaben'!$C$21,ROW()-1+'02_Eingaben'!$C$17))))</f>
        <v/>
      </c>
      <c r="G2429" s="17" t="str">
        <f>IF(F2429="","",F2429-'02_Eingaben'!$C$10)</f>
        <v/>
      </c>
      <c r="H2429" t="str">
        <f>IF(F2429="","",IF(F2429&lt;'02_Eingaben'!$C$18*'02_Eingaben'!$C$10,1,0))</f>
        <v/>
      </c>
      <c r="I2429" s="17" t="str">
        <f t="shared" si="37"/>
        <v/>
      </c>
      <c r="J2429" s="17" t="str">
        <f>IF(B2429="","",IF(B2428&lt;'02_Eingaben'!$C$36,0,J2428+I2428/'02_Eingaben'!$C$8))</f>
        <v/>
      </c>
    </row>
    <row r="2430" spans="1:10" x14ac:dyDescent="0.25">
      <c r="A2430" t="str">
        <f>IF('01_Rohdaten'!A2430="","",ROW()-1)</f>
        <v/>
      </c>
      <c r="B2430" s="17" t="str">
        <f>IF('01_Rohdaten'!A2430="","",'01_Rohdaten'!A2430)</f>
        <v/>
      </c>
      <c r="C2430" s="17" t="str">
        <f>IF(B2430="","",INDEX('01_Rohdaten'!B2430:D2430,'02_Eingaben'!$C$13))</f>
        <v/>
      </c>
      <c r="D2430" s="17" t="str">
        <f>IF(C2430="","",C2430*'02_Eingaben'!$C$15)</f>
        <v/>
      </c>
      <c r="E2430" s="17" t="str">
        <f>IF(D2430="","",D2430*'02_Eingaben'!$C$8)</f>
        <v/>
      </c>
      <c r="F2430" s="17" t="str">
        <f>IF(E2430="","",AVERAGE(INDEX($E$2:$E$3001,MAX(1,ROW()-1-'02_Eingaben'!$C$17)):INDEX($E$2:$E$3001,MIN('02_Eingaben'!$C$21,ROW()-1+'02_Eingaben'!$C$17))))</f>
        <v/>
      </c>
      <c r="G2430" s="17" t="str">
        <f>IF(F2430="","",F2430-'02_Eingaben'!$C$10)</f>
        <v/>
      </c>
      <c r="H2430" t="str">
        <f>IF(F2430="","",IF(F2430&lt;'02_Eingaben'!$C$18*'02_Eingaben'!$C$10,1,0))</f>
        <v/>
      </c>
      <c r="I2430" s="17" t="str">
        <f t="shared" si="37"/>
        <v/>
      </c>
      <c r="J2430" s="17" t="str">
        <f>IF(B2430="","",IF(B2429&lt;'02_Eingaben'!$C$36,0,J2429+I2429/'02_Eingaben'!$C$8))</f>
        <v/>
      </c>
    </row>
    <row r="2431" spans="1:10" x14ac:dyDescent="0.25">
      <c r="A2431" t="str">
        <f>IF('01_Rohdaten'!A2431="","",ROW()-1)</f>
        <v/>
      </c>
      <c r="B2431" s="17" t="str">
        <f>IF('01_Rohdaten'!A2431="","",'01_Rohdaten'!A2431)</f>
        <v/>
      </c>
      <c r="C2431" s="17" t="str">
        <f>IF(B2431="","",INDEX('01_Rohdaten'!B2431:D2431,'02_Eingaben'!$C$13))</f>
        <v/>
      </c>
      <c r="D2431" s="17" t="str">
        <f>IF(C2431="","",C2431*'02_Eingaben'!$C$15)</f>
        <v/>
      </c>
      <c r="E2431" s="17" t="str">
        <f>IF(D2431="","",D2431*'02_Eingaben'!$C$8)</f>
        <v/>
      </c>
      <c r="F2431" s="17" t="str">
        <f>IF(E2431="","",AVERAGE(INDEX($E$2:$E$3001,MAX(1,ROW()-1-'02_Eingaben'!$C$17)):INDEX($E$2:$E$3001,MIN('02_Eingaben'!$C$21,ROW()-1+'02_Eingaben'!$C$17))))</f>
        <v/>
      </c>
      <c r="G2431" s="17" t="str">
        <f>IF(F2431="","",F2431-'02_Eingaben'!$C$10)</f>
        <v/>
      </c>
      <c r="H2431" t="str">
        <f>IF(F2431="","",IF(F2431&lt;'02_Eingaben'!$C$18*'02_Eingaben'!$C$10,1,0))</f>
        <v/>
      </c>
      <c r="I2431" s="17" t="str">
        <f t="shared" si="37"/>
        <v/>
      </c>
      <c r="J2431" s="17" t="str">
        <f>IF(B2431="","",IF(B2430&lt;'02_Eingaben'!$C$36,0,J2430+I2430/'02_Eingaben'!$C$8))</f>
        <v/>
      </c>
    </row>
    <row r="2432" spans="1:10" x14ac:dyDescent="0.25">
      <c r="A2432" t="str">
        <f>IF('01_Rohdaten'!A2432="","",ROW()-1)</f>
        <v/>
      </c>
      <c r="B2432" s="17" t="str">
        <f>IF('01_Rohdaten'!A2432="","",'01_Rohdaten'!A2432)</f>
        <v/>
      </c>
      <c r="C2432" s="17" t="str">
        <f>IF(B2432="","",INDEX('01_Rohdaten'!B2432:D2432,'02_Eingaben'!$C$13))</f>
        <v/>
      </c>
      <c r="D2432" s="17" t="str">
        <f>IF(C2432="","",C2432*'02_Eingaben'!$C$15)</f>
        <v/>
      </c>
      <c r="E2432" s="17" t="str">
        <f>IF(D2432="","",D2432*'02_Eingaben'!$C$8)</f>
        <v/>
      </c>
      <c r="F2432" s="17" t="str">
        <f>IF(E2432="","",AVERAGE(INDEX($E$2:$E$3001,MAX(1,ROW()-1-'02_Eingaben'!$C$17)):INDEX($E$2:$E$3001,MIN('02_Eingaben'!$C$21,ROW()-1+'02_Eingaben'!$C$17))))</f>
        <v/>
      </c>
      <c r="G2432" s="17" t="str">
        <f>IF(F2432="","",F2432-'02_Eingaben'!$C$10)</f>
        <v/>
      </c>
      <c r="H2432" t="str">
        <f>IF(F2432="","",IF(F2432&lt;'02_Eingaben'!$C$18*'02_Eingaben'!$C$10,1,0))</f>
        <v/>
      </c>
      <c r="I2432" s="17" t="str">
        <f t="shared" si="37"/>
        <v/>
      </c>
      <c r="J2432" s="17" t="str">
        <f>IF(B2432="","",IF(B2431&lt;'02_Eingaben'!$C$36,0,J2431+I2431/'02_Eingaben'!$C$8))</f>
        <v/>
      </c>
    </row>
    <row r="2433" spans="1:10" x14ac:dyDescent="0.25">
      <c r="A2433" t="str">
        <f>IF('01_Rohdaten'!A2433="","",ROW()-1)</f>
        <v/>
      </c>
      <c r="B2433" s="17" t="str">
        <f>IF('01_Rohdaten'!A2433="","",'01_Rohdaten'!A2433)</f>
        <v/>
      </c>
      <c r="C2433" s="17" t="str">
        <f>IF(B2433="","",INDEX('01_Rohdaten'!B2433:D2433,'02_Eingaben'!$C$13))</f>
        <v/>
      </c>
      <c r="D2433" s="17" t="str">
        <f>IF(C2433="","",C2433*'02_Eingaben'!$C$15)</f>
        <v/>
      </c>
      <c r="E2433" s="17" t="str">
        <f>IF(D2433="","",D2433*'02_Eingaben'!$C$8)</f>
        <v/>
      </c>
      <c r="F2433" s="17" t="str">
        <f>IF(E2433="","",AVERAGE(INDEX($E$2:$E$3001,MAX(1,ROW()-1-'02_Eingaben'!$C$17)):INDEX($E$2:$E$3001,MIN('02_Eingaben'!$C$21,ROW()-1+'02_Eingaben'!$C$17))))</f>
        <v/>
      </c>
      <c r="G2433" s="17" t="str">
        <f>IF(F2433="","",F2433-'02_Eingaben'!$C$10)</f>
        <v/>
      </c>
      <c r="H2433" t="str">
        <f>IF(F2433="","",IF(F2433&lt;'02_Eingaben'!$C$18*'02_Eingaben'!$C$10,1,0))</f>
        <v/>
      </c>
      <c r="I2433" s="17" t="str">
        <f t="shared" si="37"/>
        <v/>
      </c>
      <c r="J2433" s="17" t="str">
        <f>IF(B2433="","",IF(B2432&lt;'02_Eingaben'!$C$36,0,J2432+I2432/'02_Eingaben'!$C$8))</f>
        <v/>
      </c>
    </row>
    <row r="2434" spans="1:10" x14ac:dyDescent="0.25">
      <c r="A2434" t="str">
        <f>IF('01_Rohdaten'!A2434="","",ROW()-1)</f>
        <v/>
      </c>
      <c r="B2434" s="17" t="str">
        <f>IF('01_Rohdaten'!A2434="","",'01_Rohdaten'!A2434)</f>
        <v/>
      </c>
      <c r="C2434" s="17" t="str">
        <f>IF(B2434="","",INDEX('01_Rohdaten'!B2434:D2434,'02_Eingaben'!$C$13))</f>
        <v/>
      </c>
      <c r="D2434" s="17" t="str">
        <f>IF(C2434="","",C2434*'02_Eingaben'!$C$15)</f>
        <v/>
      </c>
      <c r="E2434" s="17" t="str">
        <f>IF(D2434="","",D2434*'02_Eingaben'!$C$8)</f>
        <v/>
      </c>
      <c r="F2434" s="17" t="str">
        <f>IF(E2434="","",AVERAGE(INDEX($E$2:$E$3001,MAX(1,ROW()-1-'02_Eingaben'!$C$17)):INDEX($E$2:$E$3001,MIN('02_Eingaben'!$C$21,ROW()-1+'02_Eingaben'!$C$17))))</f>
        <v/>
      </c>
      <c r="G2434" s="17" t="str">
        <f>IF(F2434="","",F2434-'02_Eingaben'!$C$10)</f>
        <v/>
      </c>
      <c r="H2434" t="str">
        <f>IF(F2434="","",IF(F2434&lt;'02_Eingaben'!$C$18*'02_Eingaben'!$C$10,1,0))</f>
        <v/>
      </c>
      <c r="I2434" s="17" t="str">
        <f t="shared" ref="I2434:I2497" si="38">IF(OR(G2434="",G2435=""),"",(G2434+G2435)/2*(B2435-B2434))</f>
        <v/>
      </c>
      <c r="J2434" s="17" t="str">
        <f>IF(B2434="","",IF(B2433&lt;'02_Eingaben'!$C$36,0,J2433+I2433/'02_Eingaben'!$C$8))</f>
        <v/>
      </c>
    </row>
    <row r="2435" spans="1:10" x14ac:dyDescent="0.25">
      <c r="A2435" t="str">
        <f>IF('01_Rohdaten'!A2435="","",ROW()-1)</f>
        <v/>
      </c>
      <c r="B2435" s="17" t="str">
        <f>IF('01_Rohdaten'!A2435="","",'01_Rohdaten'!A2435)</f>
        <v/>
      </c>
      <c r="C2435" s="17" t="str">
        <f>IF(B2435="","",INDEX('01_Rohdaten'!B2435:D2435,'02_Eingaben'!$C$13))</f>
        <v/>
      </c>
      <c r="D2435" s="17" t="str">
        <f>IF(C2435="","",C2435*'02_Eingaben'!$C$15)</f>
        <v/>
      </c>
      <c r="E2435" s="17" t="str">
        <f>IF(D2435="","",D2435*'02_Eingaben'!$C$8)</f>
        <v/>
      </c>
      <c r="F2435" s="17" t="str">
        <f>IF(E2435="","",AVERAGE(INDEX($E$2:$E$3001,MAX(1,ROW()-1-'02_Eingaben'!$C$17)):INDEX($E$2:$E$3001,MIN('02_Eingaben'!$C$21,ROW()-1+'02_Eingaben'!$C$17))))</f>
        <v/>
      </c>
      <c r="G2435" s="17" t="str">
        <f>IF(F2435="","",F2435-'02_Eingaben'!$C$10)</f>
        <v/>
      </c>
      <c r="H2435" t="str">
        <f>IF(F2435="","",IF(F2435&lt;'02_Eingaben'!$C$18*'02_Eingaben'!$C$10,1,0))</f>
        <v/>
      </c>
      <c r="I2435" s="17" t="str">
        <f t="shared" si="38"/>
        <v/>
      </c>
      <c r="J2435" s="17" t="str">
        <f>IF(B2435="","",IF(B2434&lt;'02_Eingaben'!$C$36,0,J2434+I2434/'02_Eingaben'!$C$8))</f>
        <v/>
      </c>
    </row>
    <row r="2436" spans="1:10" x14ac:dyDescent="0.25">
      <c r="A2436" t="str">
        <f>IF('01_Rohdaten'!A2436="","",ROW()-1)</f>
        <v/>
      </c>
      <c r="B2436" s="17" t="str">
        <f>IF('01_Rohdaten'!A2436="","",'01_Rohdaten'!A2436)</f>
        <v/>
      </c>
      <c r="C2436" s="17" t="str">
        <f>IF(B2436="","",INDEX('01_Rohdaten'!B2436:D2436,'02_Eingaben'!$C$13))</f>
        <v/>
      </c>
      <c r="D2436" s="17" t="str">
        <f>IF(C2436="","",C2436*'02_Eingaben'!$C$15)</f>
        <v/>
      </c>
      <c r="E2436" s="17" t="str">
        <f>IF(D2436="","",D2436*'02_Eingaben'!$C$8)</f>
        <v/>
      </c>
      <c r="F2436" s="17" t="str">
        <f>IF(E2436="","",AVERAGE(INDEX($E$2:$E$3001,MAX(1,ROW()-1-'02_Eingaben'!$C$17)):INDEX($E$2:$E$3001,MIN('02_Eingaben'!$C$21,ROW()-1+'02_Eingaben'!$C$17))))</f>
        <v/>
      </c>
      <c r="G2436" s="17" t="str">
        <f>IF(F2436="","",F2436-'02_Eingaben'!$C$10)</f>
        <v/>
      </c>
      <c r="H2436" t="str">
        <f>IF(F2436="","",IF(F2436&lt;'02_Eingaben'!$C$18*'02_Eingaben'!$C$10,1,0))</f>
        <v/>
      </c>
      <c r="I2436" s="17" t="str">
        <f t="shared" si="38"/>
        <v/>
      </c>
      <c r="J2436" s="17" t="str">
        <f>IF(B2436="","",IF(B2435&lt;'02_Eingaben'!$C$36,0,J2435+I2435/'02_Eingaben'!$C$8))</f>
        <v/>
      </c>
    </row>
    <row r="2437" spans="1:10" x14ac:dyDescent="0.25">
      <c r="A2437" t="str">
        <f>IF('01_Rohdaten'!A2437="","",ROW()-1)</f>
        <v/>
      </c>
      <c r="B2437" s="17" t="str">
        <f>IF('01_Rohdaten'!A2437="","",'01_Rohdaten'!A2437)</f>
        <v/>
      </c>
      <c r="C2437" s="17" t="str">
        <f>IF(B2437="","",INDEX('01_Rohdaten'!B2437:D2437,'02_Eingaben'!$C$13))</f>
        <v/>
      </c>
      <c r="D2437" s="17" t="str">
        <f>IF(C2437="","",C2437*'02_Eingaben'!$C$15)</f>
        <v/>
      </c>
      <c r="E2437" s="17" t="str">
        <f>IF(D2437="","",D2437*'02_Eingaben'!$C$8)</f>
        <v/>
      </c>
      <c r="F2437" s="17" t="str">
        <f>IF(E2437="","",AVERAGE(INDEX($E$2:$E$3001,MAX(1,ROW()-1-'02_Eingaben'!$C$17)):INDEX($E$2:$E$3001,MIN('02_Eingaben'!$C$21,ROW()-1+'02_Eingaben'!$C$17))))</f>
        <v/>
      </c>
      <c r="G2437" s="17" t="str">
        <f>IF(F2437="","",F2437-'02_Eingaben'!$C$10)</f>
        <v/>
      </c>
      <c r="H2437" t="str">
        <f>IF(F2437="","",IF(F2437&lt;'02_Eingaben'!$C$18*'02_Eingaben'!$C$10,1,0))</f>
        <v/>
      </c>
      <c r="I2437" s="17" t="str">
        <f t="shared" si="38"/>
        <v/>
      </c>
      <c r="J2437" s="17" t="str">
        <f>IF(B2437="","",IF(B2436&lt;'02_Eingaben'!$C$36,0,J2436+I2436/'02_Eingaben'!$C$8))</f>
        <v/>
      </c>
    </row>
    <row r="2438" spans="1:10" x14ac:dyDescent="0.25">
      <c r="A2438" t="str">
        <f>IF('01_Rohdaten'!A2438="","",ROW()-1)</f>
        <v/>
      </c>
      <c r="B2438" s="17" t="str">
        <f>IF('01_Rohdaten'!A2438="","",'01_Rohdaten'!A2438)</f>
        <v/>
      </c>
      <c r="C2438" s="17" t="str">
        <f>IF(B2438="","",INDEX('01_Rohdaten'!B2438:D2438,'02_Eingaben'!$C$13))</f>
        <v/>
      </c>
      <c r="D2438" s="17" t="str">
        <f>IF(C2438="","",C2438*'02_Eingaben'!$C$15)</f>
        <v/>
      </c>
      <c r="E2438" s="17" t="str">
        <f>IF(D2438="","",D2438*'02_Eingaben'!$C$8)</f>
        <v/>
      </c>
      <c r="F2438" s="17" t="str">
        <f>IF(E2438="","",AVERAGE(INDEX($E$2:$E$3001,MAX(1,ROW()-1-'02_Eingaben'!$C$17)):INDEX($E$2:$E$3001,MIN('02_Eingaben'!$C$21,ROW()-1+'02_Eingaben'!$C$17))))</f>
        <v/>
      </c>
      <c r="G2438" s="17" t="str">
        <f>IF(F2438="","",F2438-'02_Eingaben'!$C$10)</f>
        <v/>
      </c>
      <c r="H2438" t="str">
        <f>IF(F2438="","",IF(F2438&lt;'02_Eingaben'!$C$18*'02_Eingaben'!$C$10,1,0))</f>
        <v/>
      </c>
      <c r="I2438" s="17" t="str">
        <f t="shared" si="38"/>
        <v/>
      </c>
      <c r="J2438" s="17" t="str">
        <f>IF(B2438="","",IF(B2437&lt;'02_Eingaben'!$C$36,0,J2437+I2437/'02_Eingaben'!$C$8))</f>
        <v/>
      </c>
    </row>
    <row r="2439" spans="1:10" x14ac:dyDescent="0.25">
      <c r="A2439" t="str">
        <f>IF('01_Rohdaten'!A2439="","",ROW()-1)</f>
        <v/>
      </c>
      <c r="B2439" s="17" t="str">
        <f>IF('01_Rohdaten'!A2439="","",'01_Rohdaten'!A2439)</f>
        <v/>
      </c>
      <c r="C2439" s="17" t="str">
        <f>IF(B2439="","",INDEX('01_Rohdaten'!B2439:D2439,'02_Eingaben'!$C$13))</f>
        <v/>
      </c>
      <c r="D2439" s="17" t="str">
        <f>IF(C2439="","",C2439*'02_Eingaben'!$C$15)</f>
        <v/>
      </c>
      <c r="E2439" s="17" t="str">
        <f>IF(D2439="","",D2439*'02_Eingaben'!$C$8)</f>
        <v/>
      </c>
      <c r="F2439" s="17" t="str">
        <f>IF(E2439="","",AVERAGE(INDEX($E$2:$E$3001,MAX(1,ROW()-1-'02_Eingaben'!$C$17)):INDEX($E$2:$E$3001,MIN('02_Eingaben'!$C$21,ROW()-1+'02_Eingaben'!$C$17))))</f>
        <v/>
      </c>
      <c r="G2439" s="17" t="str">
        <f>IF(F2439="","",F2439-'02_Eingaben'!$C$10)</f>
        <v/>
      </c>
      <c r="H2439" t="str">
        <f>IF(F2439="","",IF(F2439&lt;'02_Eingaben'!$C$18*'02_Eingaben'!$C$10,1,0))</f>
        <v/>
      </c>
      <c r="I2439" s="17" t="str">
        <f t="shared" si="38"/>
        <v/>
      </c>
      <c r="J2439" s="17" t="str">
        <f>IF(B2439="","",IF(B2438&lt;'02_Eingaben'!$C$36,0,J2438+I2438/'02_Eingaben'!$C$8))</f>
        <v/>
      </c>
    </row>
    <row r="2440" spans="1:10" x14ac:dyDescent="0.25">
      <c r="A2440" t="str">
        <f>IF('01_Rohdaten'!A2440="","",ROW()-1)</f>
        <v/>
      </c>
      <c r="B2440" s="17" t="str">
        <f>IF('01_Rohdaten'!A2440="","",'01_Rohdaten'!A2440)</f>
        <v/>
      </c>
      <c r="C2440" s="17" t="str">
        <f>IF(B2440="","",INDEX('01_Rohdaten'!B2440:D2440,'02_Eingaben'!$C$13))</f>
        <v/>
      </c>
      <c r="D2440" s="17" t="str">
        <f>IF(C2440="","",C2440*'02_Eingaben'!$C$15)</f>
        <v/>
      </c>
      <c r="E2440" s="17" t="str">
        <f>IF(D2440="","",D2440*'02_Eingaben'!$C$8)</f>
        <v/>
      </c>
      <c r="F2440" s="17" t="str">
        <f>IF(E2440="","",AVERAGE(INDEX($E$2:$E$3001,MAX(1,ROW()-1-'02_Eingaben'!$C$17)):INDEX($E$2:$E$3001,MIN('02_Eingaben'!$C$21,ROW()-1+'02_Eingaben'!$C$17))))</f>
        <v/>
      </c>
      <c r="G2440" s="17" t="str">
        <f>IF(F2440="","",F2440-'02_Eingaben'!$C$10)</f>
        <v/>
      </c>
      <c r="H2440" t="str">
        <f>IF(F2440="","",IF(F2440&lt;'02_Eingaben'!$C$18*'02_Eingaben'!$C$10,1,0))</f>
        <v/>
      </c>
      <c r="I2440" s="17" t="str">
        <f t="shared" si="38"/>
        <v/>
      </c>
      <c r="J2440" s="17" t="str">
        <f>IF(B2440="","",IF(B2439&lt;'02_Eingaben'!$C$36,0,J2439+I2439/'02_Eingaben'!$C$8))</f>
        <v/>
      </c>
    </row>
    <row r="2441" spans="1:10" x14ac:dyDescent="0.25">
      <c r="A2441" t="str">
        <f>IF('01_Rohdaten'!A2441="","",ROW()-1)</f>
        <v/>
      </c>
      <c r="B2441" s="17" t="str">
        <f>IF('01_Rohdaten'!A2441="","",'01_Rohdaten'!A2441)</f>
        <v/>
      </c>
      <c r="C2441" s="17" t="str">
        <f>IF(B2441="","",INDEX('01_Rohdaten'!B2441:D2441,'02_Eingaben'!$C$13))</f>
        <v/>
      </c>
      <c r="D2441" s="17" t="str">
        <f>IF(C2441="","",C2441*'02_Eingaben'!$C$15)</f>
        <v/>
      </c>
      <c r="E2441" s="17" t="str">
        <f>IF(D2441="","",D2441*'02_Eingaben'!$C$8)</f>
        <v/>
      </c>
      <c r="F2441" s="17" t="str">
        <f>IF(E2441="","",AVERAGE(INDEX($E$2:$E$3001,MAX(1,ROW()-1-'02_Eingaben'!$C$17)):INDEX($E$2:$E$3001,MIN('02_Eingaben'!$C$21,ROW()-1+'02_Eingaben'!$C$17))))</f>
        <v/>
      </c>
      <c r="G2441" s="17" t="str">
        <f>IF(F2441="","",F2441-'02_Eingaben'!$C$10)</f>
        <v/>
      </c>
      <c r="H2441" t="str">
        <f>IF(F2441="","",IF(F2441&lt;'02_Eingaben'!$C$18*'02_Eingaben'!$C$10,1,0))</f>
        <v/>
      </c>
      <c r="I2441" s="17" t="str">
        <f t="shared" si="38"/>
        <v/>
      </c>
      <c r="J2441" s="17" t="str">
        <f>IF(B2441="","",IF(B2440&lt;'02_Eingaben'!$C$36,0,J2440+I2440/'02_Eingaben'!$C$8))</f>
        <v/>
      </c>
    </row>
    <row r="2442" spans="1:10" x14ac:dyDescent="0.25">
      <c r="A2442" t="str">
        <f>IF('01_Rohdaten'!A2442="","",ROW()-1)</f>
        <v/>
      </c>
      <c r="B2442" s="17" t="str">
        <f>IF('01_Rohdaten'!A2442="","",'01_Rohdaten'!A2442)</f>
        <v/>
      </c>
      <c r="C2442" s="17" t="str">
        <f>IF(B2442="","",INDEX('01_Rohdaten'!B2442:D2442,'02_Eingaben'!$C$13))</f>
        <v/>
      </c>
      <c r="D2442" s="17" t="str">
        <f>IF(C2442="","",C2442*'02_Eingaben'!$C$15)</f>
        <v/>
      </c>
      <c r="E2442" s="17" t="str">
        <f>IF(D2442="","",D2442*'02_Eingaben'!$C$8)</f>
        <v/>
      </c>
      <c r="F2442" s="17" t="str">
        <f>IF(E2442="","",AVERAGE(INDEX($E$2:$E$3001,MAX(1,ROW()-1-'02_Eingaben'!$C$17)):INDEX($E$2:$E$3001,MIN('02_Eingaben'!$C$21,ROW()-1+'02_Eingaben'!$C$17))))</f>
        <v/>
      </c>
      <c r="G2442" s="17" t="str">
        <f>IF(F2442="","",F2442-'02_Eingaben'!$C$10)</f>
        <v/>
      </c>
      <c r="H2442" t="str">
        <f>IF(F2442="","",IF(F2442&lt;'02_Eingaben'!$C$18*'02_Eingaben'!$C$10,1,0))</f>
        <v/>
      </c>
      <c r="I2442" s="17" t="str">
        <f t="shared" si="38"/>
        <v/>
      </c>
      <c r="J2442" s="17" t="str">
        <f>IF(B2442="","",IF(B2441&lt;'02_Eingaben'!$C$36,0,J2441+I2441/'02_Eingaben'!$C$8))</f>
        <v/>
      </c>
    </row>
    <row r="2443" spans="1:10" x14ac:dyDescent="0.25">
      <c r="A2443" t="str">
        <f>IF('01_Rohdaten'!A2443="","",ROW()-1)</f>
        <v/>
      </c>
      <c r="B2443" s="17" t="str">
        <f>IF('01_Rohdaten'!A2443="","",'01_Rohdaten'!A2443)</f>
        <v/>
      </c>
      <c r="C2443" s="17" t="str">
        <f>IF(B2443="","",INDEX('01_Rohdaten'!B2443:D2443,'02_Eingaben'!$C$13))</f>
        <v/>
      </c>
      <c r="D2443" s="17" t="str">
        <f>IF(C2443="","",C2443*'02_Eingaben'!$C$15)</f>
        <v/>
      </c>
      <c r="E2443" s="17" t="str">
        <f>IF(D2443="","",D2443*'02_Eingaben'!$C$8)</f>
        <v/>
      </c>
      <c r="F2443" s="17" t="str">
        <f>IF(E2443="","",AVERAGE(INDEX($E$2:$E$3001,MAX(1,ROW()-1-'02_Eingaben'!$C$17)):INDEX($E$2:$E$3001,MIN('02_Eingaben'!$C$21,ROW()-1+'02_Eingaben'!$C$17))))</f>
        <v/>
      </c>
      <c r="G2443" s="17" t="str">
        <f>IF(F2443="","",F2443-'02_Eingaben'!$C$10)</f>
        <v/>
      </c>
      <c r="H2443" t="str">
        <f>IF(F2443="","",IF(F2443&lt;'02_Eingaben'!$C$18*'02_Eingaben'!$C$10,1,0))</f>
        <v/>
      </c>
      <c r="I2443" s="17" t="str">
        <f t="shared" si="38"/>
        <v/>
      </c>
      <c r="J2443" s="17" t="str">
        <f>IF(B2443="","",IF(B2442&lt;'02_Eingaben'!$C$36,0,J2442+I2442/'02_Eingaben'!$C$8))</f>
        <v/>
      </c>
    </row>
    <row r="2444" spans="1:10" x14ac:dyDescent="0.25">
      <c r="A2444" t="str">
        <f>IF('01_Rohdaten'!A2444="","",ROW()-1)</f>
        <v/>
      </c>
      <c r="B2444" s="17" t="str">
        <f>IF('01_Rohdaten'!A2444="","",'01_Rohdaten'!A2444)</f>
        <v/>
      </c>
      <c r="C2444" s="17" t="str">
        <f>IF(B2444="","",INDEX('01_Rohdaten'!B2444:D2444,'02_Eingaben'!$C$13))</f>
        <v/>
      </c>
      <c r="D2444" s="17" t="str">
        <f>IF(C2444="","",C2444*'02_Eingaben'!$C$15)</f>
        <v/>
      </c>
      <c r="E2444" s="17" t="str">
        <f>IF(D2444="","",D2444*'02_Eingaben'!$C$8)</f>
        <v/>
      </c>
      <c r="F2444" s="17" t="str">
        <f>IF(E2444="","",AVERAGE(INDEX($E$2:$E$3001,MAX(1,ROW()-1-'02_Eingaben'!$C$17)):INDEX($E$2:$E$3001,MIN('02_Eingaben'!$C$21,ROW()-1+'02_Eingaben'!$C$17))))</f>
        <v/>
      </c>
      <c r="G2444" s="17" t="str">
        <f>IF(F2444="","",F2444-'02_Eingaben'!$C$10)</f>
        <v/>
      </c>
      <c r="H2444" t="str">
        <f>IF(F2444="","",IF(F2444&lt;'02_Eingaben'!$C$18*'02_Eingaben'!$C$10,1,0))</f>
        <v/>
      </c>
      <c r="I2444" s="17" t="str">
        <f t="shared" si="38"/>
        <v/>
      </c>
      <c r="J2444" s="17" t="str">
        <f>IF(B2444="","",IF(B2443&lt;'02_Eingaben'!$C$36,0,J2443+I2443/'02_Eingaben'!$C$8))</f>
        <v/>
      </c>
    </row>
    <row r="2445" spans="1:10" x14ac:dyDescent="0.25">
      <c r="A2445" t="str">
        <f>IF('01_Rohdaten'!A2445="","",ROW()-1)</f>
        <v/>
      </c>
      <c r="B2445" s="17" t="str">
        <f>IF('01_Rohdaten'!A2445="","",'01_Rohdaten'!A2445)</f>
        <v/>
      </c>
      <c r="C2445" s="17" t="str">
        <f>IF(B2445="","",INDEX('01_Rohdaten'!B2445:D2445,'02_Eingaben'!$C$13))</f>
        <v/>
      </c>
      <c r="D2445" s="17" t="str">
        <f>IF(C2445="","",C2445*'02_Eingaben'!$C$15)</f>
        <v/>
      </c>
      <c r="E2445" s="17" t="str">
        <f>IF(D2445="","",D2445*'02_Eingaben'!$C$8)</f>
        <v/>
      </c>
      <c r="F2445" s="17" t="str">
        <f>IF(E2445="","",AVERAGE(INDEX($E$2:$E$3001,MAX(1,ROW()-1-'02_Eingaben'!$C$17)):INDEX($E$2:$E$3001,MIN('02_Eingaben'!$C$21,ROW()-1+'02_Eingaben'!$C$17))))</f>
        <v/>
      </c>
      <c r="G2445" s="17" t="str">
        <f>IF(F2445="","",F2445-'02_Eingaben'!$C$10)</f>
        <v/>
      </c>
      <c r="H2445" t="str">
        <f>IF(F2445="","",IF(F2445&lt;'02_Eingaben'!$C$18*'02_Eingaben'!$C$10,1,0))</f>
        <v/>
      </c>
      <c r="I2445" s="17" t="str">
        <f t="shared" si="38"/>
        <v/>
      </c>
      <c r="J2445" s="17" t="str">
        <f>IF(B2445="","",IF(B2444&lt;'02_Eingaben'!$C$36,0,J2444+I2444/'02_Eingaben'!$C$8))</f>
        <v/>
      </c>
    </row>
    <row r="2446" spans="1:10" x14ac:dyDescent="0.25">
      <c r="A2446" t="str">
        <f>IF('01_Rohdaten'!A2446="","",ROW()-1)</f>
        <v/>
      </c>
      <c r="B2446" s="17" t="str">
        <f>IF('01_Rohdaten'!A2446="","",'01_Rohdaten'!A2446)</f>
        <v/>
      </c>
      <c r="C2446" s="17" t="str">
        <f>IF(B2446="","",INDEX('01_Rohdaten'!B2446:D2446,'02_Eingaben'!$C$13))</f>
        <v/>
      </c>
      <c r="D2446" s="17" t="str">
        <f>IF(C2446="","",C2446*'02_Eingaben'!$C$15)</f>
        <v/>
      </c>
      <c r="E2446" s="17" t="str">
        <f>IF(D2446="","",D2446*'02_Eingaben'!$C$8)</f>
        <v/>
      </c>
      <c r="F2446" s="17" t="str">
        <f>IF(E2446="","",AVERAGE(INDEX($E$2:$E$3001,MAX(1,ROW()-1-'02_Eingaben'!$C$17)):INDEX($E$2:$E$3001,MIN('02_Eingaben'!$C$21,ROW()-1+'02_Eingaben'!$C$17))))</f>
        <v/>
      </c>
      <c r="G2446" s="17" t="str">
        <f>IF(F2446="","",F2446-'02_Eingaben'!$C$10)</f>
        <v/>
      </c>
      <c r="H2446" t="str">
        <f>IF(F2446="","",IF(F2446&lt;'02_Eingaben'!$C$18*'02_Eingaben'!$C$10,1,0))</f>
        <v/>
      </c>
      <c r="I2446" s="17" t="str">
        <f t="shared" si="38"/>
        <v/>
      </c>
      <c r="J2446" s="17" t="str">
        <f>IF(B2446="","",IF(B2445&lt;'02_Eingaben'!$C$36,0,J2445+I2445/'02_Eingaben'!$C$8))</f>
        <v/>
      </c>
    </row>
    <row r="2447" spans="1:10" x14ac:dyDescent="0.25">
      <c r="A2447" t="str">
        <f>IF('01_Rohdaten'!A2447="","",ROW()-1)</f>
        <v/>
      </c>
      <c r="B2447" s="17" t="str">
        <f>IF('01_Rohdaten'!A2447="","",'01_Rohdaten'!A2447)</f>
        <v/>
      </c>
      <c r="C2447" s="17" t="str">
        <f>IF(B2447="","",INDEX('01_Rohdaten'!B2447:D2447,'02_Eingaben'!$C$13))</f>
        <v/>
      </c>
      <c r="D2447" s="17" t="str">
        <f>IF(C2447="","",C2447*'02_Eingaben'!$C$15)</f>
        <v/>
      </c>
      <c r="E2447" s="17" t="str">
        <f>IF(D2447="","",D2447*'02_Eingaben'!$C$8)</f>
        <v/>
      </c>
      <c r="F2447" s="17" t="str">
        <f>IF(E2447="","",AVERAGE(INDEX($E$2:$E$3001,MAX(1,ROW()-1-'02_Eingaben'!$C$17)):INDEX($E$2:$E$3001,MIN('02_Eingaben'!$C$21,ROW()-1+'02_Eingaben'!$C$17))))</f>
        <v/>
      </c>
      <c r="G2447" s="17" t="str">
        <f>IF(F2447="","",F2447-'02_Eingaben'!$C$10)</f>
        <v/>
      </c>
      <c r="H2447" t="str">
        <f>IF(F2447="","",IF(F2447&lt;'02_Eingaben'!$C$18*'02_Eingaben'!$C$10,1,0))</f>
        <v/>
      </c>
      <c r="I2447" s="17" t="str">
        <f t="shared" si="38"/>
        <v/>
      </c>
      <c r="J2447" s="17" t="str">
        <f>IF(B2447="","",IF(B2446&lt;'02_Eingaben'!$C$36,0,J2446+I2446/'02_Eingaben'!$C$8))</f>
        <v/>
      </c>
    </row>
    <row r="2448" spans="1:10" x14ac:dyDescent="0.25">
      <c r="A2448" t="str">
        <f>IF('01_Rohdaten'!A2448="","",ROW()-1)</f>
        <v/>
      </c>
      <c r="B2448" s="17" t="str">
        <f>IF('01_Rohdaten'!A2448="","",'01_Rohdaten'!A2448)</f>
        <v/>
      </c>
      <c r="C2448" s="17" t="str">
        <f>IF(B2448="","",INDEX('01_Rohdaten'!B2448:D2448,'02_Eingaben'!$C$13))</f>
        <v/>
      </c>
      <c r="D2448" s="17" t="str">
        <f>IF(C2448="","",C2448*'02_Eingaben'!$C$15)</f>
        <v/>
      </c>
      <c r="E2448" s="17" t="str">
        <f>IF(D2448="","",D2448*'02_Eingaben'!$C$8)</f>
        <v/>
      </c>
      <c r="F2448" s="17" t="str">
        <f>IF(E2448="","",AVERAGE(INDEX($E$2:$E$3001,MAX(1,ROW()-1-'02_Eingaben'!$C$17)):INDEX($E$2:$E$3001,MIN('02_Eingaben'!$C$21,ROW()-1+'02_Eingaben'!$C$17))))</f>
        <v/>
      </c>
      <c r="G2448" s="17" t="str">
        <f>IF(F2448="","",F2448-'02_Eingaben'!$C$10)</f>
        <v/>
      </c>
      <c r="H2448" t="str">
        <f>IF(F2448="","",IF(F2448&lt;'02_Eingaben'!$C$18*'02_Eingaben'!$C$10,1,0))</f>
        <v/>
      </c>
      <c r="I2448" s="17" t="str">
        <f t="shared" si="38"/>
        <v/>
      </c>
      <c r="J2448" s="17" t="str">
        <f>IF(B2448="","",IF(B2447&lt;'02_Eingaben'!$C$36,0,J2447+I2447/'02_Eingaben'!$C$8))</f>
        <v/>
      </c>
    </row>
    <row r="2449" spans="1:10" x14ac:dyDescent="0.25">
      <c r="A2449" t="str">
        <f>IF('01_Rohdaten'!A2449="","",ROW()-1)</f>
        <v/>
      </c>
      <c r="B2449" s="17" t="str">
        <f>IF('01_Rohdaten'!A2449="","",'01_Rohdaten'!A2449)</f>
        <v/>
      </c>
      <c r="C2449" s="17" t="str">
        <f>IF(B2449="","",INDEX('01_Rohdaten'!B2449:D2449,'02_Eingaben'!$C$13))</f>
        <v/>
      </c>
      <c r="D2449" s="17" t="str">
        <f>IF(C2449="","",C2449*'02_Eingaben'!$C$15)</f>
        <v/>
      </c>
      <c r="E2449" s="17" t="str">
        <f>IF(D2449="","",D2449*'02_Eingaben'!$C$8)</f>
        <v/>
      </c>
      <c r="F2449" s="17" t="str">
        <f>IF(E2449="","",AVERAGE(INDEX($E$2:$E$3001,MAX(1,ROW()-1-'02_Eingaben'!$C$17)):INDEX($E$2:$E$3001,MIN('02_Eingaben'!$C$21,ROW()-1+'02_Eingaben'!$C$17))))</f>
        <v/>
      </c>
      <c r="G2449" s="17" t="str">
        <f>IF(F2449="","",F2449-'02_Eingaben'!$C$10)</f>
        <v/>
      </c>
      <c r="H2449" t="str">
        <f>IF(F2449="","",IF(F2449&lt;'02_Eingaben'!$C$18*'02_Eingaben'!$C$10,1,0))</f>
        <v/>
      </c>
      <c r="I2449" s="17" t="str">
        <f t="shared" si="38"/>
        <v/>
      </c>
      <c r="J2449" s="17" t="str">
        <f>IF(B2449="","",IF(B2448&lt;'02_Eingaben'!$C$36,0,J2448+I2448/'02_Eingaben'!$C$8))</f>
        <v/>
      </c>
    </row>
    <row r="2450" spans="1:10" x14ac:dyDescent="0.25">
      <c r="A2450" t="str">
        <f>IF('01_Rohdaten'!A2450="","",ROW()-1)</f>
        <v/>
      </c>
      <c r="B2450" s="17" t="str">
        <f>IF('01_Rohdaten'!A2450="","",'01_Rohdaten'!A2450)</f>
        <v/>
      </c>
      <c r="C2450" s="17" t="str">
        <f>IF(B2450="","",INDEX('01_Rohdaten'!B2450:D2450,'02_Eingaben'!$C$13))</f>
        <v/>
      </c>
      <c r="D2450" s="17" t="str">
        <f>IF(C2450="","",C2450*'02_Eingaben'!$C$15)</f>
        <v/>
      </c>
      <c r="E2450" s="17" t="str">
        <f>IF(D2450="","",D2450*'02_Eingaben'!$C$8)</f>
        <v/>
      </c>
      <c r="F2450" s="17" t="str">
        <f>IF(E2450="","",AVERAGE(INDEX($E$2:$E$3001,MAX(1,ROW()-1-'02_Eingaben'!$C$17)):INDEX($E$2:$E$3001,MIN('02_Eingaben'!$C$21,ROW()-1+'02_Eingaben'!$C$17))))</f>
        <v/>
      </c>
      <c r="G2450" s="17" t="str">
        <f>IF(F2450="","",F2450-'02_Eingaben'!$C$10)</f>
        <v/>
      </c>
      <c r="H2450" t="str">
        <f>IF(F2450="","",IF(F2450&lt;'02_Eingaben'!$C$18*'02_Eingaben'!$C$10,1,0))</f>
        <v/>
      </c>
      <c r="I2450" s="17" t="str">
        <f t="shared" si="38"/>
        <v/>
      </c>
      <c r="J2450" s="17" t="str">
        <f>IF(B2450="","",IF(B2449&lt;'02_Eingaben'!$C$36,0,J2449+I2449/'02_Eingaben'!$C$8))</f>
        <v/>
      </c>
    </row>
    <row r="2451" spans="1:10" x14ac:dyDescent="0.25">
      <c r="A2451" t="str">
        <f>IF('01_Rohdaten'!A2451="","",ROW()-1)</f>
        <v/>
      </c>
      <c r="B2451" s="17" t="str">
        <f>IF('01_Rohdaten'!A2451="","",'01_Rohdaten'!A2451)</f>
        <v/>
      </c>
      <c r="C2451" s="17" t="str">
        <f>IF(B2451="","",INDEX('01_Rohdaten'!B2451:D2451,'02_Eingaben'!$C$13))</f>
        <v/>
      </c>
      <c r="D2451" s="17" t="str">
        <f>IF(C2451="","",C2451*'02_Eingaben'!$C$15)</f>
        <v/>
      </c>
      <c r="E2451" s="17" t="str">
        <f>IF(D2451="","",D2451*'02_Eingaben'!$C$8)</f>
        <v/>
      </c>
      <c r="F2451" s="17" t="str">
        <f>IF(E2451="","",AVERAGE(INDEX($E$2:$E$3001,MAX(1,ROW()-1-'02_Eingaben'!$C$17)):INDEX($E$2:$E$3001,MIN('02_Eingaben'!$C$21,ROW()-1+'02_Eingaben'!$C$17))))</f>
        <v/>
      </c>
      <c r="G2451" s="17" t="str">
        <f>IF(F2451="","",F2451-'02_Eingaben'!$C$10)</f>
        <v/>
      </c>
      <c r="H2451" t="str">
        <f>IF(F2451="","",IF(F2451&lt;'02_Eingaben'!$C$18*'02_Eingaben'!$C$10,1,0))</f>
        <v/>
      </c>
      <c r="I2451" s="17" t="str">
        <f t="shared" si="38"/>
        <v/>
      </c>
      <c r="J2451" s="17" t="str">
        <f>IF(B2451="","",IF(B2450&lt;'02_Eingaben'!$C$36,0,J2450+I2450/'02_Eingaben'!$C$8))</f>
        <v/>
      </c>
    </row>
    <row r="2452" spans="1:10" x14ac:dyDescent="0.25">
      <c r="A2452" t="str">
        <f>IF('01_Rohdaten'!A2452="","",ROW()-1)</f>
        <v/>
      </c>
      <c r="B2452" s="17" t="str">
        <f>IF('01_Rohdaten'!A2452="","",'01_Rohdaten'!A2452)</f>
        <v/>
      </c>
      <c r="C2452" s="17" t="str">
        <f>IF(B2452="","",INDEX('01_Rohdaten'!B2452:D2452,'02_Eingaben'!$C$13))</f>
        <v/>
      </c>
      <c r="D2452" s="17" t="str">
        <f>IF(C2452="","",C2452*'02_Eingaben'!$C$15)</f>
        <v/>
      </c>
      <c r="E2452" s="17" t="str">
        <f>IF(D2452="","",D2452*'02_Eingaben'!$C$8)</f>
        <v/>
      </c>
      <c r="F2452" s="17" t="str">
        <f>IF(E2452="","",AVERAGE(INDEX($E$2:$E$3001,MAX(1,ROW()-1-'02_Eingaben'!$C$17)):INDEX($E$2:$E$3001,MIN('02_Eingaben'!$C$21,ROW()-1+'02_Eingaben'!$C$17))))</f>
        <v/>
      </c>
      <c r="G2452" s="17" t="str">
        <f>IF(F2452="","",F2452-'02_Eingaben'!$C$10)</f>
        <v/>
      </c>
      <c r="H2452" t="str">
        <f>IF(F2452="","",IF(F2452&lt;'02_Eingaben'!$C$18*'02_Eingaben'!$C$10,1,0))</f>
        <v/>
      </c>
      <c r="I2452" s="17" t="str">
        <f t="shared" si="38"/>
        <v/>
      </c>
      <c r="J2452" s="17" t="str">
        <f>IF(B2452="","",IF(B2451&lt;'02_Eingaben'!$C$36,0,J2451+I2451/'02_Eingaben'!$C$8))</f>
        <v/>
      </c>
    </row>
    <row r="2453" spans="1:10" x14ac:dyDescent="0.25">
      <c r="A2453" t="str">
        <f>IF('01_Rohdaten'!A2453="","",ROW()-1)</f>
        <v/>
      </c>
      <c r="B2453" s="17" t="str">
        <f>IF('01_Rohdaten'!A2453="","",'01_Rohdaten'!A2453)</f>
        <v/>
      </c>
      <c r="C2453" s="17" t="str">
        <f>IF(B2453="","",INDEX('01_Rohdaten'!B2453:D2453,'02_Eingaben'!$C$13))</f>
        <v/>
      </c>
      <c r="D2453" s="17" t="str">
        <f>IF(C2453="","",C2453*'02_Eingaben'!$C$15)</f>
        <v/>
      </c>
      <c r="E2453" s="17" t="str">
        <f>IF(D2453="","",D2453*'02_Eingaben'!$C$8)</f>
        <v/>
      </c>
      <c r="F2453" s="17" t="str">
        <f>IF(E2453="","",AVERAGE(INDEX($E$2:$E$3001,MAX(1,ROW()-1-'02_Eingaben'!$C$17)):INDEX($E$2:$E$3001,MIN('02_Eingaben'!$C$21,ROW()-1+'02_Eingaben'!$C$17))))</f>
        <v/>
      </c>
      <c r="G2453" s="17" t="str">
        <f>IF(F2453="","",F2453-'02_Eingaben'!$C$10)</f>
        <v/>
      </c>
      <c r="H2453" t="str">
        <f>IF(F2453="","",IF(F2453&lt;'02_Eingaben'!$C$18*'02_Eingaben'!$C$10,1,0))</f>
        <v/>
      </c>
      <c r="I2453" s="17" t="str">
        <f t="shared" si="38"/>
        <v/>
      </c>
      <c r="J2453" s="17" t="str">
        <f>IF(B2453="","",IF(B2452&lt;'02_Eingaben'!$C$36,0,J2452+I2452/'02_Eingaben'!$C$8))</f>
        <v/>
      </c>
    </row>
    <row r="2454" spans="1:10" x14ac:dyDescent="0.25">
      <c r="A2454" t="str">
        <f>IF('01_Rohdaten'!A2454="","",ROW()-1)</f>
        <v/>
      </c>
      <c r="B2454" s="17" t="str">
        <f>IF('01_Rohdaten'!A2454="","",'01_Rohdaten'!A2454)</f>
        <v/>
      </c>
      <c r="C2454" s="17" t="str">
        <f>IF(B2454="","",INDEX('01_Rohdaten'!B2454:D2454,'02_Eingaben'!$C$13))</f>
        <v/>
      </c>
      <c r="D2454" s="17" t="str">
        <f>IF(C2454="","",C2454*'02_Eingaben'!$C$15)</f>
        <v/>
      </c>
      <c r="E2454" s="17" t="str">
        <f>IF(D2454="","",D2454*'02_Eingaben'!$C$8)</f>
        <v/>
      </c>
      <c r="F2454" s="17" t="str">
        <f>IF(E2454="","",AVERAGE(INDEX($E$2:$E$3001,MAX(1,ROW()-1-'02_Eingaben'!$C$17)):INDEX($E$2:$E$3001,MIN('02_Eingaben'!$C$21,ROW()-1+'02_Eingaben'!$C$17))))</f>
        <v/>
      </c>
      <c r="G2454" s="17" t="str">
        <f>IF(F2454="","",F2454-'02_Eingaben'!$C$10)</f>
        <v/>
      </c>
      <c r="H2454" t="str">
        <f>IF(F2454="","",IF(F2454&lt;'02_Eingaben'!$C$18*'02_Eingaben'!$C$10,1,0))</f>
        <v/>
      </c>
      <c r="I2454" s="17" t="str">
        <f t="shared" si="38"/>
        <v/>
      </c>
      <c r="J2454" s="17" t="str">
        <f>IF(B2454="","",IF(B2453&lt;'02_Eingaben'!$C$36,0,J2453+I2453/'02_Eingaben'!$C$8))</f>
        <v/>
      </c>
    </row>
    <row r="2455" spans="1:10" x14ac:dyDescent="0.25">
      <c r="A2455" t="str">
        <f>IF('01_Rohdaten'!A2455="","",ROW()-1)</f>
        <v/>
      </c>
      <c r="B2455" s="17" t="str">
        <f>IF('01_Rohdaten'!A2455="","",'01_Rohdaten'!A2455)</f>
        <v/>
      </c>
      <c r="C2455" s="17" t="str">
        <f>IF(B2455="","",INDEX('01_Rohdaten'!B2455:D2455,'02_Eingaben'!$C$13))</f>
        <v/>
      </c>
      <c r="D2455" s="17" t="str">
        <f>IF(C2455="","",C2455*'02_Eingaben'!$C$15)</f>
        <v/>
      </c>
      <c r="E2455" s="17" t="str">
        <f>IF(D2455="","",D2455*'02_Eingaben'!$C$8)</f>
        <v/>
      </c>
      <c r="F2455" s="17" t="str">
        <f>IF(E2455="","",AVERAGE(INDEX($E$2:$E$3001,MAX(1,ROW()-1-'02_Eingaben'!$C$17)):INDEX($E$2:$E$3001,MIN('02_Eingaben'!$C$21,ROW()-1+'02_Eingaben'!$C$17))))</f>
        <v/>
      </c>
      <c r="G2455" s="17" t="str">
        <f>IF(F2455="","",F2455-'02_Eingaben'!$C$10)</f>
        <v/>
      </c>
      <c r="H2455" t="str">
        <f>IF(F2455="","",IF(F2455&lt;'02_Eingaben'!$C$18*'02_Eingaben'!$C$10,1,0))</f>
        <v/>
      </c>
      <c r="I2455" s="17" t="str">
        <f t="shared" si="38"/>
        <v/>
      </c>
      <c r="J2455" s="17" t="str">
        <f>IF(B2455="","",IF(B2454&lt;'02_Eingaben'!$C$36,0,J2454+I2454/'02_Eingaben'!$C$8))</f>
        <v/>
      </c>
    </row>
    <row r="2456" spans="1:10" x14ac:dyDescent="0.25">
      <c r="A2456" t="str">
        <f>IF('01_Rohdaten'!A2456="","",ROW()-1)</f>
        <v/>
      </c>
      <c r="B2456" s="17" t="str">
        <f>IF('01_Rohdaten'!A2456="","",'01_Rohdaten'!A2456)</f>
        <v/>
      </c>
      <c r="C2456" s="17" t="str">
        <f>IF(B2456="","",INDEX('01_Rohdaten'!B2456:D2456,'02_Eingaben'!$C$13))</f>
        <v/>
      </c>
      <c r="D2456" s="17" t="str">
        <f>IF(C2456="","",C2456*'02_Eingaben'!$C$15)</f>
        <v/>
      </c>
      <c r="E2456" s="17" t="str">
        <f>IF(D2456="","",D2456*'02_Eingaben'!$C$8)</f>
        <v/>
      </c>
      <c r="F2456" s="17" t="str">
        <f>IF(E2456="","",AVERAGE(INDEX($E$2:$E$3001,MAX(1,ROW()-1-'02_Eingaben'!$C$17)):INDEX($E$2:$E$3001,MIN('02_Eingaben'!$C$21,ROW()-1+'02_Eingaben'!$C$17))))</f>
        <v/>
      </c>
      <c r="G2456" s="17" t="str">
        <f>IF(F2456="","",F2456-'02_Eingaben'!$C$10)</f>
        <v/>
      </c>
      <c r="H2456" t="str">
        <f>IF(F2456="","",IF(F2456&lt;'02_Eingaben'!$C$18*'02_Eingaben'!$C$10,1,0))</f>
        <v/>
      </c>
      <c r="I2456" s="17" t="str">
        <f t="shared" si="38"/>
        <v/>
      </c>
      <c r="J2456" s="17" t="str">
        <f>IF(B2456="","",IF(B2455&lt;'02_Eingaben'!$C$36,0,J2455+I2455/'02_Eingaben'!$C$8))</f>
        <v/>
      </c>
    </row>
    <row r="2457" spans="1:10" x14ac:dyDescent="0.25">
      <c r="A2457" t="str">
        <f>IF('01_Rohdaten'!A2457="","",ROW()-1)</f>
        <v/>
      </c>
      <c r="B2457" s="17" t="str">
        <f>IF('01_Rohdaten'!A2457="","",'01_Rohdaten'!A2457)</f>
        <v/>
      </c>
      <c r="C2457" s="17" t="str">
        <f>IF(B2457="","",INDEX('01_Rohdaten'!B2457:D2457,'02_Eingaben'!$C$13))</f>
        <v/>
      </c>
      <c r="D2457" s="17" t="str">
        <f>IF(C2457="","",C2457*'02_Eingaben'!$C$15)</f>
        <v/>
      </c>
      <c r="E2457" s="17" t="str">
        <f>IF(D2457="","",D2457*'02_Eingaben'!$C$8)</f>
        <v/>
      </c>
      <c r="F2457" s="17" t="str">
        <f>IF(E2457="","",AVERAGE(INDEX($E$2:$E$3001,MAX(1,ROW()-1-'02_Eingaben'!$C$17)):INDEX($E$2:$E$3001,MIN('02_Eingaben'!$C$21,ROW()-1+'02_Eingaben'!$C$17))))</f>
        <v/>
      </c>
      <c r="G2457" s="17" t="str">
        <f>IF(F2457="","",F2457-'02_Eingaben'!$C$10)</f>
        <v/>
      </c>
      <c r="H2457" t="str">
        <f>IF(F2457="","",IF(F2457&lt;'02_Eingaben'!$C$18*'02_Eingaben'!$C$10,1,0))</f>
        <v/>
      </c>
      <c r="I2457" s="17" t="str">
        <f t="shared" si="38"/>
        <v/>
      </c>
      <c r="J2457" s="17" t="str">
        <f>IF(B2457="","",IF(B2456&lt;'02_Eingaben'!$C$36,0,J2456+I2456/'02_Eingaben'!$C$8))</f>
        <v/>
      </c>
    </row>
    <row r="2458" spans="1:10" x14ac:dyDescent="0.25">
      <c r="A2458" t="str">
        <f>IF('01_Rohdaten'!A2458="","",ROW()-1)</f>
        <v/>
      </c>
      <c r="B2458" s="17" t="str">
        <f>IF('01_Rohdaten'!A2458="","",'01_Rohdaten'!A2458)</f>
        <v/>
      </c>
      <c r="C2458" s="17" t="str">
        <f>IF(B2458="","",INDEX('01_Rohdaten'!B2458:D2458,'02_Eingaben'!$C$13))</f>
        <v/>
      </c>
      <c r="D2458" s="17" t="str">
        <f>IF(C2458="","",C2458*'02_Eingaben'!$C$15)</f>
        <v/>
      </c>
      <c r="E2458" s="17" t="str">
        <f>IF(D2458="","",D2458*'02_Eingaben'!$C$8)</f>
        <v/>
      </c>
      <c r="F2458" s="17" t="str">
        <f>IF(E2458="","",AVERAGE(INDEX($E$2:$E$3001,MAX(1,ROW()-1-'02_Eingaben'!$C$17)):INDEX($E$2:$E$3001,MIN('02_Eingaben'!$C$21,ROW()-1+'02_Eingaben'!$C$17))))</f>
        <v/>
      </c>
      <c r="G2458" s="17" t="str">
        <f>IF(F2458="","",F2458-'02_Eingaben'!$C$10)</f>
        <v/>
      </c>
      <c r="H2458" t="str">
        <f>IF(F2458="","",IF(F2458&lt;'02_Eingaben'!$C$18*'02_Eingaben'!$C$10,1,0))</f>
        <v/>
      </c>
      <c r="I2458" s="17" t="str">
        <f t="shared" si="38"/>
        <v/>
      </c>
      <c r="J2458" s="17" t="str">
        <f>IF(B2458="","",IF(B2457&lt;'02_Eingaben'!$C$36,0,J2457+I2457/'02_Eingaben'!$C$8))</f>
        <v/>
      </c>
    </row>
    <row r="2459" spans="1:10" x14ac:dyDescent="0.25">
      <c r="A2459" t="str">
        <f>IF('01_Rohdaten'!A2459="","",ROW()-1)</f>
        <v/>
      </c>
      <c r="B2459" s="17" t="str">
        <f>IF('01_Rohdaten'!A2459="","",'01_Rohdaten'!A2459)</f>
        <v/>
      </c>
      <c r="C2459" s="17" t="str">
        <f>IF(B2459="","",INDEX('01_Rohdaten'!B2459:D2459,'02_Eingaben'!$C$13))</f>
        <v/>
      </c>
      <c r="D2459" s="17" t="str">
        <f>IF(C2459="","",C2459*'02_Eingaben'!$C$15)</f>
        <v/>
      </c>
      <c r="E2459" s="17" t="str">
        <f>IF(D2459="","",D2459*'02_Eingaben'!$C$8)</f>
        <v/>
      </c>
      <c r="F2459" s="17" t="str">
        <f>IF(E2459="","",AVERAGE(INDEX($E$2:$E$3001,MAX(1,ROW()-1-'02_Eingaben'!$C$17)):INDEX($E$2:$E$3001,MIN('02_Eingaben'!$C$21,ROW()-1+'02_Eingaben'!$C$17))))</f>
        <v/>
      </c>
      <c r="G2459" s="17" t="str">
        <f>IF(F2459="","",F2459-'02_Eingaben'!$C$10)</f>
        <v/>
      </c>
      <c r="H2459" t="str">
        <f>IF(F2459="","",IF(F2459&lt;'02_Eingaben'!$C$18*'02_Eingaben'!$C$10,1,0))</f>
        <v/>
      </c>
      <c r="I2459" s="17" t="str">
        <f t="shared" si="38"/>
        <v/>
      </c>
      <c r="J2459" s="17" t="str">
        <f>IF(B2459="","",IF(B2458&lt;'02_Eingaben'!$C$36,0,J2458+I2458/'02_Eingaben'!$C$8))</f>
        <v/>
      </c>
    </row>
    <row r="2460" spans="1:10" x14ac:dyDescent="0.25">
      <c r="A2460" t="str">
        <f>IF('01_Rohdaten'!A2460="","",ROW()-1)</f>
        <v/>
      </c>
      <c r="B2460" s="17" t="str">
        <f>IF('01_Rohdaten'!A2460="","",'01_Rohdaten'!A2460)</f>
        <v/>
      </c>
      <c r="C2460" s="17" t="str">
        <f>IF(B2460="","",INDEX('01_Rohdaten'!B2460:D2460,'02_Eingaben'!$C$13))</f>
        <v/>
      </c>
      <c r="D2460" s="17" t="str">
        <f>IF(C2460="","",C2460*'02_Eingaben'!$C$15)</f>
        <v/>
      </c>
      <c r="E2460" s="17" t="str">
        <f>IF(D2460="","",D2460*'02_Eingaben'!$C$8)</f>
        <v/>
      </c>
      <c r="F2460" s="17" t="str">
        <f>IF(E2460="","",AVERAGE(INDEX($E$2:$E$3001,MAX(1,ROW()-1-'02_Eingaben'!$C$17)):INDEX($E$2:$E$3001,MIN('02_Eingaben'!$C$21,ROW()-1+'02_Eingaben'!$C$17))))</f>
        <v/>
      </c>
      <c r="G2460" s="17" t="str">
        <f>IF(F2460="","",F2460-'02_Eingaben'!$C$10)</f>
        <v/>
      </c>
      <c r="H2460" t="str">
        <f>IF(F2460="","",IF(F2460&lt;'02_Eingaben'!$C$18*'02_Eingaben'!$C$10,1,0))</f>
        <v/>
      </c>
      <c r="I2460" s="17" t="str">
        <f t="shared" si="38"/>
        <v/>
      </c>
      <c r="J2460" s="17" t="str">
        <f>IF(B2460="","",IF(B2459&lt;'02_Eingaben'!$C$36,0,J2459+I2459/'02_Eingaben'!$C$8))</f>
        <v/>
      </c>
    </row>
    <row r="2461" spans="1:10" x14ac:dyDescent="0.25">
      <c r="A2461" t="str">
        <f>IF('01_Rohdaten'!A2461="","",ROW()-1)</f>
        <v/>
      </c>
      <c r="B2461" s="17" t="str">
        <f>IF('01_Rohdaten'!A2461="","",'01_Rohdaten'!A2461)</f>
        <v/>
      </c>
      <c r="C2461" s="17" t="str">
        <f>IF(B2461="","",INDEX('01_Rohdaten'!B2461:D2461,'02_Eingaben'!$C$13))</f>
        <v/>
      </c>
      <c r="D2461" s="17" t="str">
        <f>IF(C2461="","",C2461*'02_Eingaben'!$C$15)</f>
        <v/>
      </c>
      <c r="E2461" s="17" t="str">
        <f>IF(D2461="","",D2461*'02_Eingaben'!$C$8)</f>
        <v/>
      </c>
      <c r="F2461" s="17" t="str">
        <f>IF(E2461="","",AVERAGE(INDEX($E$2:$E$3001,MAX(1,ROW()-1-'02_Eingaben'!$C$17)):INDEX($E$2:$E$3001,MIN('02_Eingaben'!$C$21,ROW()-1+'02_Eingaben'!$C$17))))</f>
        <v/>
      </c>
      <c r="G2461" s="17" t="str">
        <f>IF(F2461="","",F2461-'02_Eingaben'!$C$10)</f>
        <v/>
      </c>
      <c r="H2461" t="str">
        <f>IF(F2461="","",IF(F2461&lt;'02_Eingaben'!$C$18*'02_Eingaben'!$C$10,1,0))</f>
        <v/>
      </c>
      <c r="I2461" s="17" t="str">
        <f t="shared" si="38"/>
        <v/>
      </c>
      <c r="J2461" s="17" t="str">
        <f>IF(B2461="","",IF(B2460&lt;'02_Eingaben'!$C$36,0,J2460+I2460/'02_Eingaben'!$C$8))</f>
        <v/>
      </c>
    </row>
    <row r="2462" spans="1:10" x14ac:dyDescent="0.25">
      <c r="A2462" t="str">
        <f>IF('01_Rohdaten'!A2462="","",ROW()-1)</f>
        <v/>
      </c>
      <c r="B2462" s="17" t="str">
        <f>IF('01_Rohdaten'!A2462="","",'01_Rohdaten'!A2462)</f>
        <v/>
      </c>
      <c r="C2462" s="17" t="str">
        <f>IF(B2462="","",INDEX('01_Rohdaten'!B2462:D2462,'02_Eingaben'!$C$13))</f>
        <v/>
      </c>
      <c r="D2462" s="17" t="str">
        <f>IF(C2462="","",C2462*'02_Eingaben'!$C$15)</f>
        <v/>
      </c>
      <c r="E2462" s="17" t="str">
        <f>IF(D2462="","",D2462*'02_Eingaben'!$C$8)</f>
        <v/>
      </c>
      <c r="F2462" s="17" t="str">
        <f>IF(E2462="","",AVERAGE(INDEX($E$2:$E$3001,MAX(1,ROW()-1-'02_Eingaben'!$C$17)):INDEX($E$2:$E$3001,MIN('02_Eingaben'!$C$21,ROW()-1+'02_Eingaben'!$C$17))))</f>
        <v/>
      </c>
      <c r="G2462" s="17" t="str">
        <f>IF(F2462="","",F2462-'02_Eingaben'!$C$10)</f>
        <v/>
      </c>
      <c r="H2462" t="str">
        <f>IF(F2462="","",IF(F2462&lt;'02_Eingaben'!$C$18*'02_Eingaben'!$C$10,1,0))</f>
        <v/>
      </c>
      <c r="I2462" s="17" t="str">
        <f t="shared" si="38"/>
        <v/>
      </c>
      <c r="J2462" s="17" t="str">
        <f>IF(B2462="","",IF(B2461&lt;'02_Eingaben'!$C$36,0,J2461+I2461/'02_Eingaben'!$C$8))</f>
        <v/>
      </c>
    </row>
    <row r="2463" spans="1:10" x14ac:dyDescent="0.25">
      <c r="A2463" t="str">
        <f>IF('01_Rohdaten'!A2463="","",ROW()-1)</f>
        <v/>
      </c>
      <c r="B2463" s="17" t="str">
        <f>IF('01_Rohdaten'!A2463="","",'01_Rohdaten'!A2463)</f>
        <v/>
      </c>
      <c r="C2463" s="17" t="str">
        <f>IF(B2463="","",INDEX('01_Rohdaten'!B2463:D2463,'02_Eingaben'!$C$13))</f>
        <v/>
      </c>
      <c r="D2463" s="17" t="str">
        <f>IF(C2463="","",C2463*'02_Eingaben'!$C$15)</f>
        <v/>
      </c>
      <c r="E2463" s="17" t="str">
        <f>IF(D2463="","",D2463*'02_Eingaben'!$C$8)</f>
        <v/>
      </c>
      <c r="F2463" s="17" t="str">
        <f>IF(E2463="","",AVERAGE(INDEX($E$2:$E$3001,MAX(1,ROW()-1-'02_Eingaben'!$C$17)):INDEX($E$2:$E$3001,MIN('02_Eingaben'!$C$21,ROW()-1+'02_Eingaben'!$C$17))))</f>
        <v/>
      </c>
      <c r="G2463" s="17" t="str">
        <f>IF(F2463="","",F2463-'02_Eingaben'!$C$10)</f>
        <v/>
      </c>
      <c r="H2463" t="str">
        <f>IF(F2463="","",IF(F2463&lt;'02_Eingaben'!$C$18*'02_Eingaben'!$C$10,1,0))</f>
        <v/>
      </c>
      <c r="I2463" s="17" t="str">
        <f t="shared" si="38"/>
        <v/>
      </c>
      <c r="J2463" s="17" t="str">
        <f>IF(B2463="","",IF(B2462&lt;'02_Eingaben'!$C$36,0,J2462+I2462/'02_Eingaben'!$C$8))</f>
        <v/>
      </c>
    </row>
    <row r="2464" spans="1:10" x14ac:dyDescent="0.25">
      <c r="A2464" t="str">
        <f>IF('01_Rohdaten'!A2464="","",ROW()-1)</f>
        <v/>
      </c>
      <c r="B2464" s="17" t="str">
        <f>IF('01_Rohdaten'!A2464="","",'01_Rohdaten'!A2464)</f>
        <v/>
      </c>
      <c r="C2464" s="17" t="str">
        <f>IF(B2464="","",INDEX('01_Rohdaten'!B2464:D2464,'02_Eingaben'!$C$13))</f>
        <v/>
      </c>
      <c r="D2464" s="17" t="str">
        <f>IF(C2464="","",C2464*'02_Eingaben'!$C$15)</f>
        <v/>
      </c>
      <c r="E2464" s="17" t="str">
        <f>IF(D2464="","",D2464*'02_Eingaben'!$C$8)</f>
        <v/>
      </c>
      <c r="F2464" s="17" t="str">
        <f>IF(E2464="","",AVERAGE(INDEX($E$2:$E$3001,MAX(1,ROW()-1-'02_Eingaben'!$C$17)):INDEX($E$2:$E$3001,MIN('02_Eingaben'!$C$21,ROW()-1+'02_Eingaben'!$C$17))))</f>
        <v/>
      </c>
      <c r="G2464" s="17" t="str">
        <f>IF(F2464="","",F2464-'02_Eingaben'!$C$10)</f>
        <v/>
      </c>
      <c r="H2464" t="str">
        <f>IF(F2464="","",IF(F2464&lt;'02_Eingaben'!$C$18*'02_Eingaben'!$C$10,1,0))</f>
        <v/>
      </c>
      <c r="I2464" s="17" t="str">
        <f t="shared" si="38"/>
        <v/>
      </c>
      <c r="J2464" s="17" t="str">
        <f>IF(B2464="","",IF(B2463&lt;'02_Eingaben'!$C$36,0,J2463+I2463/'02_Eingaben'!$C$8))</f>
        <v/>
      </c>
    </row>
    <row r="2465" spans="1:10" x14ac:dyDescent="0.25">
      <c r="A2465" t="str">
        <f>IF('01_Rohdaten'!A2465="","",ROW()-1)</f>
        <v/>
      </c>
      <c r="B2465" s="17" t="str">
        <f>IF('01_Rohdaten'!A2465="","",'01_Rohdaten'!A2465)</f>
        <v/>
      </c>
      <c r="C2465" s="17" t="str">
        <f>IF(B2465="","",INDEX('01_Rohdaten'!B2465:D2465,'02_Eingaben'!$C$13))</f>
        <v/>
      </c>
      <c r="D2465" s="17" t="str">
        <f>IF(C2465="","",C2465*'02_Eingaben'!$C$15)</f>
        <v/>
      </c>
      <c r="E2465" s="17" t="str">
        <f>IF(D2465="","",D2465*'02_Eingaben'!$C$8)</f>
        <v/>
      </c>
      <c r="F2465" s="17" t="str">
        <f>IF(E2465="","",AVERAGE(INDEX($E$2:$E$3001,MAX(1,ROW()-1-'02_Eingaben'!$C$17)):INDEX($E$2:$E$3001,MIN('02_Eingaben'!$C$21,ROW()-1+'02_Eingaben'!$C$17))))</f>
        <v/>
      </c>
      <c r="G2465" s="17" t="str">
        <f>IF(F2465="","",F2465-'02_Eingaben'!$C$10)</f>
        <v/>
      </c>
      <c r="H2465" t="str">
        <f>IF(F2465="","",IF(F2465&lt;'02_Eingaben'!$C$18*'02_Eingaben'!$C$10,1,0))</f>
        <v/>
      </c>
      <c r="I2465" s="17" t="str">
        <f t="shared" si="38"/>
        <v/>
      </c>
      <c r="J2465" s="17" t="str">
        <f>IF(B2465="","",IF(B2464&lt;'02_Eingaben'!$C$36,0,J2464+I2464/'02_Eingaben'!$C$8))</f>
        <v/>
      </c>
    </row>
    <row r="2466" spans="1:10" x14ac:dyDescent="0.25">
      <c r="A2466" t="str">
        <f>IF('01_Rohdaten'!A2466="","",ROW()-1)</f>
        <v/>
      </c>
      <c r="B2466" s="17" t="str">
        <f>IF('01_Rohdaten'!A2466="","",'01_Rohdaten'!A2466)</f>
        <v/>
      </c>
      <c r="C2466" s="17" t="str">
        <f>IF(B2466="","",INDEX('01_Rohdaten'!B2466:D2466,'02_Eingaben'!$C$13))</f>
        <v/>
      </c>
      <c r="D2466" s="17" t="str">
        <f>IF(C2466="","",C2466*'02_Eingaben'!$C$15)</f>
        <v/>
      </c>
      <c r="E2466" s="17" t="str">
        <f>IF(D2466="","",D2466*'02_Eingaben'!$C$8)</f>
        <v/>
      </c>
      <c r="F2466" s="17" t="str">
        <f>IF(E2466="","",AVERAGE(INDEX($E$2:$E$3001,MAX(1,ROW()-1-'02_Eingaben'!$C$17)):INDEX($E$2:$E$3001,MIN('02_Eingaben'!$C$21,ROW()-1+'02_Eingaben'!$C$17))))</f>
        <v/>
      </c>
      <c r="G2466" s="17" t="str">
        <f>IF(F2466="","",F2466-'02_Eingaben'!$C$10)</f>
        <v/>
      </c>
      <c r="H2466" t="str">
        <f>IF(F2466="","",IF(F2466&lt;'02_Eingaben'!$C$18*'02_Eingaben'!$C$10,1,0))</f>
        <v/>
      </c>
      <c r="I2466" s="17" t="str">
        <f t="shared" si="38"/>
        <v/>
      </c>
      <c r="J2466" s="17" t="str">
        <f>IF(B2466="","",IF(B2465&lt;'02_Eingaben'!$C$36,0,J2465+I2465/'02_Eingaben'!$C$8))</f>
        <v/>
      </c>
    </row>
    <row r="2467" spans="1:10" x14ac:dyDescent="0.25">
      <c r="A2467" t="str">
        <f>IF('01_Rohdaten'!A2467="","",ROW()-1)</f>
        <v/>
      </c>
      <c r="B2467" s="17" t="str">
        <f>IF('01_Rohdaten'!A2467="","",'01_Rohdaten'!A2467)</f>
        <v/>
      </c>
      <c r="C2467" s="17" t="str">
        <f>IF(B2467="","",INDEX('01_Rohdaten'!B2467:D2467,'02_Eingaben'!$C$13))</f>
        <v/>
      </c>
      <c r="D2467" s="17" t="str">
        <f>IF(C2467="","",C2467*'02_Eingaben'!$C$15)</f>
        <v/>
      </c>
      <c r="E2467" s="17" t="str">
        <f>IF(D2467="","",D2467*'02_Eingaben'!$C$8)</f>
        <v/>
      </c>
      <c r="F2467" s="17" t="str">
        <f>IF(E2467="","",AVERAGE(INDEX($E$2:$E$3001,MAX(1,ROW()-1-'02_Eingaben'!$C$17)):INDEX($E$2:$E$3001,MIN('02_Eingaben'!$C$21,ROW()-1+'02_Eingaben'!$C$17))))</f>
        <v/>
      </c>
      <c r="G2467" s="17" t="str">
        <f>IF(F2467="","",F2467-'02_Eingaben'!$C$10)</f>
        <v/>
      </c>
      <c r="H2467" t="str">
        <f>IF(F2467="","",IF(F2467&lt;'02_Eingaben'!$C$18*'02_Eingaben'!$C$10,1,0))</f>
        <v/>
      </c>
      <c r="I2467" s="17" t="str">
        <f t="shared" si="38"/>
        <v/>
      </c>
      <c r="J2467" s="17" t="str">
        <f>IF(B2467="","",IF(B2466&lt;'02_Eingaben'!$C$36,0,J2466+I2466/'02_Eingaben'!$C$8))</f>
        <v/>
      </c>
    </row>
    <row r="2468" spans="1:10" x14ac:dyDescent="0.25">
      <c r="A2468" t="str">
        <f>IF('01_Rohdaten'!A2468="","",ROW()-1)</f>
        <v/>
      </c>
      <c r="B2468" s="17" t="str">
        <f>IF('01_Rohdaten'!A2468="","",'01_Rohdaten'!A2468)</f>
        <v/>
      </c>
      <c r="C2468" s="17" t="str">
        <f>IF(B2468="","",INDEX('01_Rohdaten'!B2468:D2468,'02_Eingaben'!$C$13))</f>
        <v/>
      </c>
      <c r="D2468" s="17" t="str">
        <f>IF(C2468="","",C2468*'02_Eingaben'!$C$15)</f>
        <v/>
      </c>
      <c r="E2468" s="17" t="str">
        <f>IF(D2468="","",D2468*'02_Eingaben'!$C$8)</f>
        <v/>
      </c>
      <c r="F2468" s="17" t="str">
        <f>IF(E2468="","",AVERAGE(INDEX($E$2:$E$3001,MAX(1,ROW()-1-'02_Eingaben'!$C$17)):INDEX($E$2:$E$3001,MIN('02_Eingaben'!$C$21,ROW()-1+'02_Eingaben'!$C$17))))</f>
        <v/>
      </c>
      <c r="G2468" s="17" t="str">
        <f>IF(F2468="","",F2468-'02_Eingaben'!$C$10)</f>
        <v/>
      </c>
      <c r="H2468" t="str">
        <f>IF(F2468="","",IF(F2468&lt;'02_Eingaben'!$C$18*'02_Eingaben'!$C$10,1,0))</f>
        <v/>
      </c>
      <c r="I2468" s="17" t="str">
        <f t="shared" si="38"/>
        <v/>
      </c>
      <c r="J2468" s="17" t="str">
        <f>IF(B2468="","",IF(B2467&lt;'02_Eingaben'!$C$36,0,J2467+I2467/'02_Eingaben'!$C$8))</f>
        <v/>
      </c>
    </row>
    <row r="2469" spans="1:10" x14ac:dyDescent="0.25">
      <c r="A2469" t="str">
        <f>IF('01_Rohdaten'!A2469="","",ROW()-1)</f>
        <v/>
      </c>
      <c r="B2469" s="17" t="str">
        <f>IF('01_Rohdaten'!A2469="","",'01_Rohdaten'!A2469)</f>
        <v/>
      </c>
      <c r="C2469" s="17" t="str">
        <f>IF(B2469="","",INDEX('01_Rohdaten'!B2469:D2469,'02_Eingaben'!$C$13))</f>
        <v/>
      </c>
      <c r="D2469" s="17" t="str">
        <f>IF(C2469="","",C2469*'02_Eingaben'!$C$15)</f>
        <v/>
      </c>
      <c r="E2469" s="17" t="str">
        <f>IF(D2469="","",D2469*'02_Eingaben'!$C$8)</f>
        <v/>
      </c>
      <c r="F2469" s="17" t="str">
        <f>IF(E2469="","",AVERAGE(INDEX($E$2:$E$3001,MAX(1,ROW()-1-'02_Eingaben'!$C$17)):INDEX($E$2:$E$3001,MIN('02_Eingaben'!$C$21,ROW()-1+'02_Eingaben'!$C$17))))</f>
        <v/>
      </c>
      <c r="G2469" s="17" t="str">
        <f>IF(F2469="","",F2469-'02_Eingaben'!$C$10)</f>
        <v/>
      </c>
      <c r="H2469" t="str">
        <f>IF(F2469="","",IF(F2469&lt;'02_Eingaben'!$C$18*'02_Eingaben'!$C$10,1,0))</f>
        <v/>
      </c>
      <c r="I2469" s="17" t="str">
        <f t="shared" si="38"/>
        <v/>
      </c>
      <c r="J2469" s="17" t="str">
        <f>IF(B2469="","",IF(B2468&lt;'02_Eingaben'!$C$36,0,J2468+I2468/'02_Eingaben'!$C$8))</f>
        <v/>
      </c>
    </row>
    <row r="2470" spans="1:10" x14ac:dyDescent="0.25">
      <c r="A2470" t="str">
        <f>IF('01_Rohdaten'!A2470="","",ROW()-1)</f>
        <v/>
      </c>
      <c r="B2470" s="17" t="str">
        <f>IF('01_Rohdaten'!A2470="","",'01_Rohdaten'!A2470)</f>
        <v/>
      </c>
      <c r="C2470" s="17" t="str">
        <f>IF(B2470="","",INDEX('01_Rohdaten'!B2470:D2470,'02_Eingaben'!$C$13))</f>
        <v/>
      </c>
      <c r="D2470" s="17" t="str">
        <f>IF(C2470="","",C2470*'02_Eingaben'!$C$15)</f>
        <v/>
      </c>
      <c r="E2470" s="17" t="str">
        <f>IF(D2470="","",D2470*'02_Eingaben'!$C$8)</f>
        <v/>
      </c>
      <c r="F2470" s="17" t="str">
        <f>IF(E2470="","",AVERAGE(INDEX($E$2:$E$3001,MAX(1,ROW()-1-'02_Eingaben'!$C$17)):INDEX($E$2:$E$3001,MIN('02_Eingaben'!$C$21,ROW()-1+'02_Eingaben'!$C$17))))</f>
        <v/>
      </c>
      <c r="G2470" s="17" t="str">
        <f>IF(F2470="","",F2470-'02_Eingaben'!$C$10)</f>
        <v/>
      </c>
      <c r="H2470" t="str">
        <f>IF(F2470="","",IF(F2470&lt;'02_Eingaben'!$C$18*'02_Eingaben'!$C$10,1,0))</f>
        <v/>
      </c>
      <c r="I2470" s="17" t="str">
        <f t="shared" si="38"/>
        <v/>
      </c>
      <c r="J2470" s="17" t="str">
        <f>IF(B2470="","",IF(B2469&lt;'02_Eingaben'!$C$36,0,J2469+I2469/'02_Eingaben'!$C$8))</f>
        <v/>
      </c>
    </row>
    <row r="2471" spans="1:10" x14ac:dyDescent="0.25">
      <c r="A2471" t="str">
        <f>IF('01_Rohdaten'!A2471="","",ROW()-1)</f>
        <v/>
      </c>
      <c r="B2471" s="17" t="str">
        <f>IF('01_Rohdaten'!A2471="","",'01_Rohdaten'!A2471)</f>
        <v/>
      </c>
      <c r="C2471" s="17" t="str">
        <f>IF(B2471="","",INDEX('01_Rohdaten'!B2471:D2471,'02_Eingaben'!$C$13))</f>
        <v/>
      </c>
      <c r="D2471" s="17" t="str">
        <f>IF(C2471="","",C2471*'02_Eingaben'!$C$15)</f>
        <v/>
      </c>
      <c r="E2471" s="17" t="str">
        <f>IF(D2471="","",D2471*'02_Eingaben'!$C$8)</f>
        <v/>
      </c>
      <c r="F2471" s="17" t="str">
        <f>IF(E2471="","",AVERAGE(INDEX($E$2:$E$3001,MAX(1,ROW()-1-'02_Eingaben'!$C$17)):INDEX($E$2:$E$3001,MIN('02_Eingaben'!$C$21,ROW()-1+'02_Eingaben'!$C$17))))</f>
        <v/>
      </c>
      <c r="G2471" s="17" t="str">
        <f>IF(F2471="","",F2471-'02_Eingaben'!$C$10)</f>
        <v/>
      </c>
      <c r="H2471" t="str">
        <f>IF(F2471="","",IF(F2471&lt;'02_Eingaben'!$C$18*'02_Eingaben'!$C$10,1,0))</f>
        <v/>
      </c>
      <c r="I2471" s="17" t="str">
        <f t="shared" si="38"/>
        <v/>
      </c>
      <c r="J2471" s="17" t="str">
        <f>IF(B2471="","",IF(B2470&lt;'02_Eingaben'!$C$36,0,J2470+I2470/'02_Eingaben'!$C$8))</f>
        <v/>
      </c>
    </row>
    <row r="2472" spans="1:10" x14ac:dyDescent="0.25">
      <c r="A2472" t="str">
        <f>IF('01_Rohdaten'!A2472="","",ROW()-1)</f>
        <v/>
      </c>
      <c r="B2472" s="17" t="str">
        <f>IF('01_Rohdaten'!A2472="","",'01_Rohdaten'!A2472)</f>
        <v/>
      </c>
      <c r="C2472" s="17" t="str">
        <f>IF(B2472="","",INDEX('01_Rohdaten'!B2472:D2472,'02_Eingaben'!$C$13))</f>
        <v/>
      </c>
      <c r="D2472" s="17" t="str">
        <f>IF(C2472="","",C2472*'02_Eingaben'!$C$15)</f>
        <v/>
      </c>
      <c r="E2472" s="17" t="str">
        <f>IF(D2472="","",D2472*'02_Eingaben'!$C$8)</f>
        <v/>
      </c>
      <c r="F2472" s="17" t="str">
        <f>IF(E2472="","",AVERAGE(INDEX($E$2:$E$3001,MAX(1,ROW()-1-'02_Eingaben'!$C$17)):INDEX($E$2:$E$3001,MIN('02_Eingaben'!$C$21,ROW()-1+'02_Eingaben'!$C$17))))</f>
        <v/>
      </c>
      <c r="G2472" s="17" t="str">
        <f>IF(F2472="","",F2472-'02_Eingaben'!$C$10)</f>
        <v/>
      </c>
      <c r="H2472" t="str">
        <f>IF(F2472="","",IF(F2472&lt;'02_Eingaben'!$C$18*'02_Eingaben'!$C$10,1,0))</f>
        <v/>
      </c>
      <c r="I2472" s="17" t="str">
        <f t="shared" si="38"/>
        <v/>
      </c>
      <c r="J2472" s="17" t="str">
        <f>IF(B2472="","",IF(B2471&lt;'02_Eingaben'!$C$36,0,J2471+I2471/'02_Eingaben'!$C$8))</f>
        <v/>
      </c>
    </row>
    <row r="2473" spans="1:10" x14ac:dyDescent="0.25">
      <c r="A2473" t="str">
        <f>IF('01_Rohdaten'!A2473="","",ROW()-1)</f>
        <v/>
      </c>
      <c r="B2473" s="17" t="str">
        <f>IF('01_Rohdaten'!A2473="","",'01_Rohdaten'!A2473)</f>
        <v/>
      </c>
      <c r="C2473" s="17" t="str">
        <f>IF(B2473="","",INDEX('01_Rohdaten'!B2473:D2473,'02_Eingaben'!$C$13))</f>
        <v/>
      </c>
      <c r="D2473" s="17" t="str">
        <f>IF(C2473="","",C2473*'02_Eingaben'!$C$15)</f>
        <v/>
      </c>
      <c r="E2473" s="17" t="str">
        <f>IF(D2473="","",D2473*'02_Eingaben'!$C$8)</f>
        <v/>
      </c>
      <c r="F2473" s="17" t="str">
        <f>IF(E2473="","",AVERAGE(INDEX($E$2:$E$3001,MAX(1,ROW()-1-'02_Eingaben'!$C$17)):INDEX($E$2:$E$3001,MIN('02_Eingaben'!$C$21,ROW()-1+'02_Eingaben'!$C$17))))</f>
        <v/>
      </c>
      <c r="G2473" s="17" t="str">
        <f>IF(F2473="","",F2473-'02_Eingaben'!$C$10)</f>
        <v/>
      </c>
      <c r="H2473" t="str">
        <f>IF(F2473="","",IF(F2473&lt;'02_Eingaben'!$C$18*'02_Eingaben'!$C$10,1,0))</f>
        <v/>
      </c>
      <c r="I2473" s="17" t="str">
        <f t="shared" si="38"/>
        <v/>
      </c>
      <c r="J2473" s="17" t="str">
        <f>IF(B2473="","",IF(B2472&lt;'02_Eingaben'!$C$36,0,J2472+I2472/'02_Eingaben'!$C$8))</f>
        <v/>
      </c>
    </row>
    <row r="2474" spans="1:10" x14ac:dyDescent="0.25">
      <c r="A2474" t="str">
        <f>IF('01_Rohdaten'!A2474="","",ROW()-1)</f>
        <v/>
      </c>
      <c r="B2474" s="17" t="str">
        <f>IF('01_Rohdaten'!A2474="","",'01_Rohdaten'!A2474)</f>
        <v/>
      </c>
      <c r="C2474" s="17" t="str">
        <f>IF(B2474="","",INDEX('01_Rohdaten'!B2474:D2474,'02_Eingaben'!$C$13))</f>
        <v/>
      </c>
      <c r="D2474" s="17" t="str">
        <f>IF(C2474="","",C2474*'02_Eingaben'!$C$15)</f>
        <v/>
      </c>
      <c r="E2474" s="17" t="str">
        <f>IF(D2474="","",D2474*'02_Eingaben'!$C$8)</f>
        <v/>
      </c>
      <c r="F2474" s="17" t="str">
        <f>IF(E2474="","",AVERAGE(INDEX($E$2:$E$3001,MAX(1,ROW()-1-'02_Eingaben'!$C$17)):INDEX($E$2:$E$3001,MIN('02_Eingaben'!$C$21,ROW()-1+'02_Eingaben'!$C$17))))</f>
        <v/>
      </c>
      <c r="G2474" s="17" t="str">
        <f>IF(F2474="","",F2474-'02_Eingaben'!$C$10)</f>
        <v/>
      </c>
      <c r="H2474" t="str">
        <f>IF(F2474="","",IF(F2474&lt;'02_Eingaben'!$C$18*'02_Eingaben'!$C$10,1,0))</f>
        <v/>
      </c>
      <c r="I2474" s="17" t="str">
        <f t="shared" si="38"/>
        <v/>
      </c>
      <c r="J2474" s="17" t="str">
        <f>IF(B2474="","",IF(B2473&lt;'02_Eingaben'!$C$36,0,J2473+I2473/'02_Eingaben'!$C$8))</f>
        <v/>
      </c>
    </row>
    <row r="2475" spans="1:10" x14ac:dyDescent="0.25">
      <c r="A2475" t="str">
        <f>IF('01_Rohdaten'!A2475="","",ROW()-1)</f>
        <v/>
      </c>
      <c r="B2475" s="17" t="str">
        <f>IF('01_Rohdaten'!A2475="","",'01_Rohdaten'!A2475)</f>
        <v/>
      </c>
      <c r="C2475" s="17" t="str">
        <f>IF(B2475="","",INDEX('01_Rohdaten'!B2475:D2475,'02_Eingaben'!$C$13))</f>
        <v/>
      </c>
      <c r="D2475" s="17" t="str">
        <f>IF(C2475="","",C2475*'02_Eingaben'!$C$15)</f>
        <v/>
      </c>
      <c r="E2475" s="17" t="str">
        <f>IF(D2475="","",D2475*'02_Eingaben'!$C$8)</f>
        <v/>
      </c>
      <c r="F2475" s="17" t="str">
        <f>IF(E2475="","",AVERAGE(INDEX($E$2:$E$3001,MAX(1,ROW()-1-'02_Eingaben'!$C$17)):INDEX($E$2:$E$3001,MIN('02_Eingaben'!$C$21,ROW()-1+'02_Eingaben'!$C$17))))</f>
        <v/>
      </c>
      <c r="G2475" s="17" t="str">
        <f>IF(F2475="","",F2475-'02_Eingaben'!$C$10)</f>
        <v/>
      </c>
      <c r="H2475" t="str">
        <f>IF(F2475="","",IF(F2475&lt;'02_Eingaben'!$C$18*'02_Eingaben'!$C$10,1,0))</f>
        <v/>
      </c>
      <c r="I2475" s="17" t="str">
        <f t="shared" si="38"/>
        <v/>
      </c>
      <c r="J2475" s="17" t="str">
        <f>IF(B2475="","",IF(B2474&lt;'02_Eingaben'!$C$36,0,J2474+I2474/'02_Eingaben'!$C$8))</f>
        <v/>
      </c>
    </row>
    <row r="2476" spans="1:10" x14ac:dyDescent="0.25">
      <c r="A2476" t="str">
        <f>IF('01_Rohdaten'!A2476="","",ROW()-1)</f>
        <v/>
      </c>
      <c r="B2476" s="17" t="str">
        <f>IF('01_Rohdaten'!A2476="","",'01_Rohdaten'!A2476)</f>
        <v/>
      </c>
      <c r="C2476" s="17" t="str">
        <f>IF(B2476="","",INDEX('01_Rohdaten'!B2476:D2476,'02_Eingaben'!$C$13))</f>
        <v/>
      </c>
      <c r="D2476" s="17" t="str">
        <f>IF(C2476="","",C2476*'02_Eingaben'!$C$15)</f>
        <v/>
      </c>
      <c r="E2476" s="17" t="str">
        <f>IF(D2476="","",D2476*'02_Eingaben'!$C$8)</f>
        <v/>
      </c>
      <c r="F2476" s="17" t="str">
        <f>IF(E2476="","",AVERAGE(INDEX($E$2:$E$3001,MAX(1,ROW()-1-'02_Eingaben'!$C$17)):INDEX($E$2:$E$3001,MIN('02_Eingaben'!$C$21,ROW()-1+'02_Eingaben'!$C$17))))</f>
        <v/>
      </c>
      <c r="G2476" s="17" t="str">
        <f>IF(F2476="","",F2476-'02_Eingaben'!$C$10)</f>
        <v/>
      </c>
      <c r="H2476" t="str">
        <f>IF(F2476="","",IF(F2476&lt;'02_Eingaben'!$C$18*'02_Eingaben'!$C$10,1,0))</f>
        <v/>
      </c>
      <c r="I2476" s="17" t="str">
        <f t="shared" si="38"/>
        <v/>
      </c>
      <c r="J2476" s="17" t="str">
        <f>IF(B2476="","",IF(B2475&lt;'02_Eingaben'!$C$36,0,J2475+I2475/'02_Eingaben'!$C$8))</f>
        <v/>
      </c>
    </row>
    <row r="2477" spans="1:10" x14ac:dyDescent="0.25">
      <c r="A2477" t="str">
        <f>IF('01_Rohdaten'!A2477="","",ROW()-1)</f>
        <v/>
      </c>
      <c r="B2477" s="17" t="str">
        <f>IF('01_Rohdaten'!A2477="","",'01_Rohdaten'!A2477)</f>
        <v/>
      </c>
      <c r="C2477" s="17" t="str">
        <f>IF(B2477="","",INDEX('01_Rohdaten'!B2477:D2477,'02_Eingaben'!$C$13))</f>
        <v/>
      </c>
      <c r="D2477" s="17" t="str">
        <f>IF(C2477="","",C2477*'02_Eingaben'!$C$15)</f>
        <v/>
      </c>
      <c r="E2477" s="17" t="str">
        <f>IF(D2477="","",D2477*'02_Eingaben'!$C$8)</f>
        <v/>
      </c>
      <c r="F2477" s="17" t="str">
        <f>IF(E2477="","",AVERAGE(INDEX($E$2:$E$3001,MAX(1,ROW()-1-'02_Eingaben'!$C$17)):INDEX($E$2:$E$3001,MIN('02_Eingaben'!$C$21,ROW()-1+'02_Eingaben'!$C$17))))</f>
        <v/>
      </c>
      <c r="G2477" s="17" t="str">
        <f>IF(F2477="","",F2477-'02_Eingaben'!$C$10)</f>
        <v/>
      </c>
      <c r="H2477" t="str">
        <f>IF(F2477="","",IF(F2477&lt;'02_Eingaben'!$C$18*'02_Eingaben'!$C$10,1,0))</f>
        <v/>
      </c>
      <c r="I2477" s="17" t="str">
        <f t="shared" si="38"/>
        <v/>
      </c>
      <c r="J2477" s="17" t="str">
        <f>IF(B2477="","",IF(B2476&lt;'02_Eingaben'!$C$36,0,J2476+I2476/'02_Eingaben'!$C$8))</f>
        <v/>
      </c>
    </row>
    <row r="2478" spans="1:10" x14ac:dyDescent="0.25">
      <c r="A2478" t="str">
        <f>IF('01_Rohdaten'!A2478="","",ROW()-1)</f>
        <v/>
      </c>
      <c r="B2478" s="17" t="str">
        <f>IF('01_Rohdaten'!A2478="","",'01_Rohdaten'!A2478)</f>
        <v/>
      </c>
      <c r="C2478" s="17" t="str">
        <f>IF(B2478="","",INDEX('01_Rohdaten'!B2478:D2478,'02_Eingaben'!$C$13))</f>
        <v/>
      </c>
      <c r="D2478" s="17" t="str">
        <f>IF(C2478="","",C2478*'02_Eingaben'!$C$15)</f>
        <v/>
      </c>
      <c r="E2478" s="17" t="str">
        <f>IF(D2478="","",D2478*'02_Eingaben'!$C$8)</f>
        <v/>
      </c>
      <c r="F2478" s="17" t="str">
        <f>IF(E2478="","",AVERAGE(INDEX($E$2:$E$3001,MAX(1,ROW()-1-'02_Eingaben'!$C$17)):INDEX($E$2:$E$3001,MIN('02_Eingaben'!$C$21,ROW()-1+'02_Eingaben'!$C$17))))</f>
        <v/>
      </c>
      <c r="G2478" s="17" t="str">
        <f>IF(F2478="","",F2478-'02_Eingaben'!$C$10)</f>
        <v/>
      </c>
      <c r="H2478" t="str">
        <f>IF(F2478="","",IF(F2478&lt;'02_Eingaben'!$C$18*'02_Eingaben'!$C$10,1,0))</f>
        <v/>
      </c>
      <c r="I2478" s="17" t="str">
        <f t="shared" si="38"/>
        <v/>
      </c>
      <c r="J2478" s="17" t="str">
        <f>IF(B2478="","",IF(B2477&lt;'02_Eingaben'!$C$36,0,J2477+I2477/'02_Eingaben'!$C$8))</f>
        <v/>
      </c>
    </row>
    <row r="2479" spans="1:10" x14ac:dyDescent="0.25">
      <c r="A2479" t="str">
        <f>IF('01_Rohdaten'!A2479="","",ROW()-1)</f>
        <v/>
      </c>
      <c r="B2479" s="17" t="str">
        <f>IF('01_Rohdaten'!A2479="","",'01_Rohdaten'!A2479)</f>
        <v/>
      </c>
      <c r="C2479" s="17" t="str">
        <f>IF(B2479="","",INDEX('01_Rohdaten'!B2479:D2479,'02_Eingaben'!$C$13))</f>
        <v/>
      </c>
      <c r="D2479" s="17" t="str">
        <f>IF(C2479="","",C2479*'02_Eingaben'!$C$15)</f>
        <v/>
      </c>
      <c r="E2479" s="17" t="str">
        <f>IF(D2479="","",D2479*'02_Eingaben'!$C$8)</f>
        <v/>
      </c>
      <c r="F2479" s="17" t="str">
        <f>IF(E2479="","",AVERAGE(INDEX($E$2:$E$3001,MAX(1,ROW()-1-'02_Eingaben'!$C$17)):INDEX($E$2:$E$3001,MIN('02_Eingaben'!$C$21,ROW()-1+'02_Eingaben'!$C$17))))</f>
        <v/>
      </c>
      <c r="G2479" s="17" t="str">
        <f>IF(F2479="","",F2479-'02_Eingaben'!$C$10)</f>
        <v/>
      </c>
      <c r="H2479" t="str">
        <f>IF(F2479="","",IF(F2479&lt;'02_Eingaben'!$C$18*'02_Eingaben'!$C$10,1,0))</f>
        <v/>
      </c>
      <c r="I2479" s="17" t="str">
        <f t="shared" si="38"/>
        <v/>
      </c>
      <c r="J2479" s="17" t="str">
        <f>IF(B2479="","",IF(B2478&lt;'02_Eingaben'!$C$36,0,J2478+I2478/'02_Eingaben'!$C$8))</f>
        <v/>
      </c>
    </row>
    <row r="2480" spans="1:10" x14ac:dyDescent="0.25">
      <c r="A2480" t="str">
        <f>IF('01_Rohdaten'!A2480="","",ROW()-1)</f>
        <v/>
      </c>
      <c r="B2480" s="17" t="str">
        <f>IF('01_Rohdaten'!A2480="","",'01_Rohdaten'!A2480)</f>
        <v/>
      </c>
      <c r="C2480" s="17" t="str">
        <f>IF(B2480="","",INDEX('01_Rohdaten'!B2480:D2480,'02_Eingaben'!$C$13))</f>
        <v/>
      </c>
      <c r="D2480" s="17" t="str">
        <f>IF(C2480="","",C2480*'02_Eingaben'!$C$15)</f>
        <v/>
      </c>
      <c r="E2480" s="17" t="str">
        <f>IF(D2480="","",D2480*'02_Eingaben'!$C$8)</f>
        <v/>
      </c>
      <c r="F2480" s="17" t="str">
        <f>IF(E2480="","",AVERAGE(INDEX($E$2:$E$3001,MAX(1,ROW()-1-'02_Eingaben'!$C$17)):INDEX($E$2:$E$3001,MIN('02_Eingaben'!$C$21,ROW()-1+'02_Eingaben'!$C$17))))</f>
        <v/>
      </c>
      <c r="G2480" s="17" t="str">
        <f>IF(F2480="","",F2480-'02_Eingaben'!$C$10)</f>
        <v/>
      </c>
      <c r="H2480" t="str">
        <f>IF(F2480="","",IF(F2480&lt;'02_Eingaben'!$C$18*'02_Eingaben'!$C$10,1,0))</f>
        <v/>
      </c>
      <c r="I2480" s="17" t="str">
        <f t="shared" si="38"/>
        <v/>
      </c>
      <c r="J2480" s="17" t="str">
        <f>IF(B2480="","",IF(B2479&lt;'02_Eingaben'!$C$36,0,J2479+I2479/'02_Eingaben'!$C$8))</f>
        <v/>
      </c>
    </row>
    <row r="2481" spans="1:10" x14ac:dyDescent="0.25">
      <c r="A2481" t="str">
        <f>IF('01_Rohdaten'!A2481="","",ROW()-1)</f>
        <v/>
      </c>
      <c r="B2481" s="17" t="str">
        <f>IF('01_Rohdaten'!A2481="","",'01_Rohdaten'!A2481)</f>
        <v/>
      </c>
      <c r="C2481" s="17" t="str">
        <f>IF(B2481="","",INDEX('01_Rohdaten'!B2481:D2481,'02_Eingaben'!$C$13))</f>
        <v/>
      </c>
      <c r="D2481" s="17" t="str">
        <f>IF(C2481="","",C2481*'02_Eingaben'!$C$15)</f>
        <v/>
      </c>
      <c r="E2481" s="17" t="str">
        <f>IF(D2481="","",D2481*'02_Eingaben'!$C$8)</f>
        <v/>
      </c>
      <c r="F2481" s="17" t="str">
        <f>IF(E2481="","",AVERAGE(INDEX($E$2:$E$3001,MAX(1,ROW()-1-'02_Eingaben'!$C$17)):INDEX($E$2:$E$3001,MIN('02_Eingaben'!$C$21,ROW()-1+'02_Eingaben'!$C$17))))</f>
        <v/>
      </c>
      <c r="G2481" s="17" t="str">
        <f>IF(F2481="","",F2481-'02_Eingaben'!$C$10)</f>
        <v/>
      </c>
      <c r="H2481" t="str">
        <f>IF(F2481="","",IF(F2481&lt;'02_Eingaben'!$C$18*'02_Eingaben'!$C$10,1,0))</f>
        <v/>
      </c>
      <c r="I2481" s="17" t="str">
        <f t="shared" si="38"/>
        <v/>
      </c>
      <c r="J2481" s="17" t="str">
        <f>IF(B2481="","",IF(B2480&lt;'02_Eingaben'!$C$36,0,J2480+I2480/'02_Eingaben'!$C$8))</f>
        <v/>
      </c>
    </row>
    <row r="2482" spans="1:10" x14ac:dyDescent="0.25">
      <c r="A2482" t="str">
        <f>IF('01_Rohdaten'!A2482="","",ROW()-1)</f>
        <v/>
      </c>
      <c r="B2482" s="17" t="str">
        <f>IF('01_Rohdaten'!A2482="","",'01_Rohdaten'!A2482)</f>
        <v/>
      </c>
      <c r="C2482" s="17" t="str">
        <f>IF(B2482="","",INDEX('01_Rohdaten'!B2482:D2482,'02_Eingaben'!$C$13))</f>
        <v/>
      </c>
      <c r="D2482" s="17" t="str">
        <f>IF(C2482="","",C2482*'02_Eingaben'!$C$15)</f>
        <v/>
      </c>
      <c r="E2482" s="17" t="str">
        <f>IF(D2482="","",D2482*'02_Eingaben'!$C$8)</f>
        <v/>
      </c>
      <c r="F2482" s="17" t="str">
        <f>IF(E2482="","",AVERAGE(INDEX($E$2:$E$3001,MAX(1,ROW()-1-'02_Eingaben'!$C$17)):INDEX($E$2:$E$3001,MIN('02_Eingaben'!$C$21,ROW()-1+'02_Eingaben'!$C$17))))</f>
        <v/>
      </c>
      <c r="G2482" s="17" t="str">
        <f>IF(F2482="","",F2482-'02_Eingaben'!$C$10)</f>
        <v/>
      </c>
      <c r="H2482" t="str">
        <f>IF(F2482="","",IF(F2482&lt;'02_Eingaben'!$C$18*'02_Eingaben'!$C$10,1,0))</f>
        <v/>
      </c>
      <c r="I2482" s="17" t="str">
        <f t="shared" si="38"/>
        <v/>
      </c>
      <c r="J2482" s="17" t="str">
        <f>IF(B2482="","",IF(B2481&lt;'02_Eingaben'!$C$36,0,J2481+I2481/'02_Eingaben'!$C$8))</f>
        <v/>
      </c>
    </row>
    <row r="2483" spans="1:10" x14ac:dyDescent="0.25">
      <c r="A2483" t="str">
        <f>IF('01_Rohdaten'!A2483="","",ROW()-1)</f>
        <v/>
      </c>
      <c r="B2483" s="17" t="str">
        <f>IF('01_Rohdaten'!A2483="","",'01_Rohdaten'!A2483)</f>
        <v/>
      </c>
      <c r="C2483" s="17" t="str">
        <f>IF(B2483="","",INDEX('01_Rohdaten'!B2483:D2483,'02_Eingaben'!$C$13))</f>
        <v/>
      </c>
      <c r="D2483" s="17" t="str">
        <f>IF(C2483="","",C2483*'02_Eingaben'!$C$15)</f>
        <v/>
      </c>
      <c r="E2483" s="17" t="str">
        <f>IF(D2483="","",D2483*'02_Eingaben'!$C$8)</f>
        <v/>
      </c>
      <c r="F2483" s="17" t="str">
        <f>IF(E2483="","",AVERAGE(INDEX($E$2:$E$3001,MAX(1,ROW()-1-'02_Eingaben'!$C$17)):INDEX($E$2:$E$3001,MIN('02_Eingaben'!$C$21,ROW()-1+'02_Eingaben'!$C$17))))</f>
        <v/>
      </c>
      <c r="G2483" s="17" t="str">
        <f>IF(F2483="","",F2483-'02_Eingaben'!$C$10)</f>
        <v/>
      </c>
      <c r="H2483" t="str">
        <f>IF(F2483="","",IF(F2483&lt;'02_Eingaben'!$C$18*'02_Eingaben'!$C$10,1,0))</f>
        <v/>
      </c>
      <c r="I2483" s="17" t="str">
        <f t="shared" si="38"/>
        <v/>
      </c>
      <c r="J2483" s="17" t="str">
        <f>IF(B2483="","",IF(B2482&lt;'02_Eingaben'!$C$36,0,J2482+I2482/'02_Eingaben'!$C$8))</f>
        <v/>
      </c>
    </row>
    <row r="2484" spans="1:10" x14ac:dyDescent="0.25">
      <c r="A2484" t="str">
        <f>IF('01_Rohdaten'!A2484="","",ROW()-1)</f>
        <v/>
      </c>
      <c r="B2484" s="17" t="str">
        <f>IF('01_Rohdaten'!A2484="","",'01_Rohdaten'!A2484)</f>
        <v/>
      </c>
      <c r="C2484" s="17" t="str">
        <f>IF(B2484="","",INDEX('01_Rohdaten'!B2484:D2484,'02_Eingaben'!$C$13))</f>
        <v/>
      </c>
      <c r="D2484" s="17" t="str">
        <f>IF(C2484="","",C2484*'02_Eingaben'!$C$15)</f>
        <v/>
      </c>
      <c r="E2484" s="17" t="str">
        <f>IF(D2484="","",D2484*'02_Eingaben'!$C$8)</f>
        <v/>
      </c>
      <c r="F2484" s="17" t="str">
        <f>IF(E2484="","",AVERAGE(INDEX($E$2:$E$3001,MAX(1,ROW()-1-'02_Eingaben'!$C$17)):INDEX($E$2:$E$3001,MIN('02_Eingaben'!$C$21,ROW()-1+'02_Eingaben'!$C$17))))</f>
        <v/>
      </c>
      <c r="G2484" s="17" t="str">
        <f>IF(F2484="","",F2484-'02_Eingaben'!$C$10)</f>
        <v/>
      </c>
      <c r="H2484" t="str">
        <f>IF(F2484="","",IF(F2484&lt;'02_Eingaben'!$C$18*'02_Eingaben'!$C$10,1,0))</f>
        <v/>
      </c>
      <c r="I2484" s="17" t="str">
        <f t="shared" si="38"/>
        <v/>
      </c>
      <c r="J2484" s="17" t="str">
        <f>IF(B2484="","",IF(B2483&lt;'02_Eingaben'!$C$36,0,J2483+I2483/'02_Eingaben'!$C$8))</f>
        <v/>
      </c>
    </row>
    <row r="2485" spans="1:10" x14ac:dyDescent="0.25">
      <c r="A2485" t="str">
        <f>IF('01_Rohdaten'!A2485="","",ROW()-1)</f>
        <v/>
      </c>
      <c r="B2485" s="17" t="str">
        <f>IF('01_Rohdaten'!A2485="","",'01_Rohdaten'!A2485)</f>
        <v/>
      </c>
      <c r="C2485" s="17" t="str">
        <f>IF(B2485="","",INDEX('01_Rohdaten'!B2485:D2485,'02_Eingaben'!$C$13))</f>
        <v/>
      </c>
      <c r="D2485" s="17" t="str">
        <f>IF(C2485="","",C2485*'02_Eingaben'!$C$15)</f>
        <v/>
      </c>
      <c r="E2485" s="17" t="str">
        <f>IF(D2485="","",D2485*'02_Eingaben'!$C$8)</f>
        <v/>
      </c>
      <c r="F2485" s="17" t="str">
        <f>IF(E2485="","",AVERAGE(INDEX($E$2:$E$3001,MAX(1,ROW()-1-'02_Eingaben'!$C$17)):INDEX($E$2:$E$3001,MIN('02_Eingaben'!$C$21,ROW()-1+'02_Eingaben'!$C$17))))</f>
        <v/>
      </c>
      <c r="G2485" s="17" t="str">
        <f>IF(F2485="","",F2485-'02_Eingaben'!$C$10)</f>
        <v/>
      </c>
      <c r="H2485" t="str">
        <f>IF(F2485="","",IF(F2485&lt;'02_Eingaben'!$C$18*'02_Eingaben'!$C$10,1,0))</f>
        <v/>
      </c>
      <c r="I2485" s="17" t="str">
        <f t="shared" si="38"/>
        <v/>
      </c>
      <c r="J2485" s="17" t="str">
        <f>IF(B2485="","",IF(B2484&lt;'02_Eingaben'!$C$36,0,J2484+I2484/'02_Eingaben'!$C$8))</f>
        <v/>
      </c>
    </row>
    <row r="2486" spans="1:10" x14ac:dyDescent="0.25">
      <c r="A2486" t="str">
        <f>IF('01_Rohdaten'!A2486="","",ROW()-1)</f>
        <v/>
      </c>
      <c r="B2486" s="17" t="str">
        <f>IF('01_Rohdaten'!A2486="","",'01_Rohdaten'!A2486)</f>
        <v/>
      </c>
      <c r="C2486" s="17" t="str">
        <f>IF(B2486="","",INDEX('01_Rohdaten'!B2486:D2486,'02_Eingaben'!$C$13))</f>
        <v/>
      </c>
      <c r="D2486" s="17" t="str">
        <f>IF(C2486="","",C2486*'02_Eingaben'!$C$15)</f>
        <v/>
      </c>
      <c r="E2486" s="17" t="str">
        <f>IF(D2486="","",D2486*'02_Eingaben'!$C$8)</f>
        <v/>
      </c>
      <c r="F2486" s="17" t="str">
        <f>IF(E2486="","",AVERAGE(INDEX($E$2:$E$3001,MAX(1,ROW()-1-'02_Eingaben'!$C$17)):INDEX($E$2:$E$3001,MIN('02_Eingaben'!$C$21,ROW()-1+'02_Eingaben'!$C$17))))</f>
        <v/>
      </c>
      <c r="G2486" s="17" t="str">
        <f>IF(F2486="","",F2486-'02_Eingaben'!$C$10)</f>
        <v/>
      </c>
      <c r="H2486" t="str">
        <f>IF(F2486="","",IF(F2486&lt;'02_Eingaben'!$C$18*'02_Eingaben'!$C$10,1,0))</f>
        <v/>
      </c>
      <c r="I2486" s="17" t="str">
        <f t="shared" si="38"/>
        <v/>
      </c>
      <c r="J2486" s="17" t="str">
        <f>IF(B2486="","",IF(B2485&lt;'02_Eingaben'!$C$36,0,J2485+I2485/'02_Eingaben'!$C$8))</f>
        <v/>
      </c>
    </row>
    <row r="2487" spans="1:10" x14ac:dyDescent="0.25">
      <c r="A2487" t="str">
        <f>IF('01_Rohdaten'!A2487="","",ROW()-1)</f>
        <v/>
      </c>
      <c r="B2487" s="17" t="str">
        <f>IF('01_Rohdaten'!A2487="","",'01_Rohdaten'!A2487)</f>
        <v/>
      </c>
      <c r="C2487" s="17" t="str">
        <f>IF(B2487="","",INDEX('01_Rohdaten'!B2487:D2487,'02_Eingaben'!$C$13))</f>
        <v/>
      </c>
      <c r="D2487" s="17" t="str">
        <f>IF(C2487="","",C2487*'02_Eingaben'!$C$15)</f>
        <v/>
      </c>
      <c r="E2487" s="17" t="str">
        <f>IF(D2487="","",D2487*'02_Eingaben'!$C$8)</f>
        <v/>
      </c>
      <c r="F2487" s="17" t="str">
        <f>IF(E2487="","",AVERAGE(INDEX($E$2:$E$3001,MAX(1,ROW()-1-'02_Eingaben'!$C$17)):INDEX($E$2:$E$3001,MIN('02_Eingaben'!$C$21,ROW()-1+'02_Eingaben'!$C$17))))</f>
        <v/>
      </c>
      <c r="G2487" s="17" t="str">
        <f>IF(F2487="","",F2487-'02_Eingaben'!$C$10)</f>
        <v/>
      </c>
      <c r="H2487" t="str">
        <f>IF(F2487="","",IF(F2487&lt;'02_Eingaben'!$C$18*'02_Eingaben'!$C$10,1,0))</f>
        <v/>
      </c>
      <c r="I2487" s="17" t="str">
        <f t="shared" si="38"/>
        <v/>
      </c>
      <c r="J2487" s="17" t="str">
        <f>IF(B2487="","",IF(B2486&lt;'02_Eingaben'!$C$36,0,J2486+I2486/'02_Eingaben'!$C$8))</f>
        <v/>
      </c>
    </row>
    <row r="2488" spans="1:10" x14ac:dyDescent="0.25">
      <c r="A2488" t="str">
        <f>IF('01_Rohdaten'!A2488="","",ROW()-1)</f>
        <v/>
      </c>
      <c r="B2488" s="17" t="str">
        <f>IF('01_Rohdaten'!A2488="","",'01_Rohdaten'!A2488)</f>
        <v/>
      </c>
      <c r="C2488" s="17" t="str">
        <f>IF(B2488="","",INDEX('01_Rohdaten'!B2488:D2488,'02_Eingaben'!$C$13))</f>
        <v/>
      </c>
      <c r="D2488" s="17" t="str">
        <f>IF(C2488="","",C2488*'02_Eingaben'!$C$15)</f>
        <v/>
      </c>
      <c r="E2488" s="17" t="str">
        <f>IF(D2488="","",D2488*'02_Eingaben'!$C$8)</f>
        <v/>
      </c>
      <c r="F2488" s="17" t="str">
        <f>IF(E2488="","",AVERAGE(INDEX($E$2:$E$3001,MAX(1,ROW()-1-'02_Eingaben'!$C$17)):INDEX($E$2:$E$3001,MIN('02_Eingaben'!$C$21,ROW()-1+'02_Eingaben'!$C$17))))</f>
        <v/>
      </c>
      <c r="G2488" s="17" t="str">
        <f>IF(F2488="","",F2488-'02_Eingaben'!$C$10)</f>
        <v/>
      </c>
      <c r="H2488" t="str">
        <f>IF(F2488="","",IF(F2488&lt;'02_Eingaben'!$C$18*'02_Eingaben'!$C$10,1,0))</f>
        <v/>
      </c>
      <c r="I2488" s="17" t="str">
        <f t="shared" si="38"/>
        <v/>
      </c>
      <c r="J2488" s="17" t="str">
        <f>IF(B2488="","",IF(B2487&lt;'02_Eingaben'!$C$36,0,J2487+I2487/'02_Eingaben'!$C$8))</f>
        <v/>
      </c>
    </row>
    <row r="2489" spans="1:10" x14ac:dyDescent="0.25">
      <c r="A2489" t="str">
        <f>IF('01_Rohdaten'!A2489="","",ROW()-1)</f>
        <v/>
      </c>
      <c r="B2489" s="17" t="str">
        <f>IF('01_Rohdaten'!A2489="","",'01_Rohdaten'!A2489)</f>
        <v/>
      </c>
      <c r="C2489" s="17" t="str">
        <f>IF(B2489="","",INDEX('01_Rohdaten'!B2489:D2489,'02_Eingaben'!$C$13))</f>
        <v/>
      </c>
      <c r="D2489" s="17" t="str">
        <f>IF(C2489="","",C2489*'02_Eingaben'!$C$15)</f>
        <v/>
      </c>
      <c r="E2489" s="17" t="str">
        <f>IF(D2489="","",D2489*'02_Eingaben'!$C$8)</f>
        <v/>
      </c>
      <c r="F2489" s="17" t="str">
        <f>IF(E2489="","",AVERAGE(INDEX($E$2:$E$3001,MAX(1,ROW()-1-'02_Eingaben'!$C$17)):INDEX($E$2:$E$3001,MIN('02_Eingaben'!$C$21,ROW()-1+'02_Eingaben'!$C$17))))</f>
        <v/>
      </c>
      <c r="G2489" s="17" t="str">
        <f>IF(F2489="","",F2489-'02_Eingaben'!$C$10)</f>
        <v/>
      </c>
      <c r="H2489" t="str">
        <f>IF(F2489="","",IF(F2489&lt;'02_Eingaben'!$C$18*'02_Eingaben'!$C$10,1,0))</f>
        <v/>
      </c>
      <c r="I2489" s="17" t="str">
        <f t="shared" si="38"/>
        <v/>
      </c>
      <c r="J2489" s="17" t="str">
        <f>IF(B2489="","",IF(B2488&lt;'02_Eingaben'!$C$36,0,J2488+I2488/'02_Eingaben'!$C$8))</f>
        <v/>
      </c>
    </row>
    <row r="2490" spans="1:10" x14ac:dyDescent="0.25">
      <c r="A2490" t="str">
        <f>IF('01_Rohdaten'!A2490="","",ROW()-1)</f>
        <v/>
      </c>
      <c r="B2490" s="17" t="str">
        <f>IF('01_Rohdaten'!A2490="","",'01_Rohdaten'!A2490)</f>
        <v/>
      </c>
      <c r="C2490" s="17" t="str">
        <f>IF(B2490="","",INDEX('01_Rohdaten'!B2490:D2490,'02_Eingaben'!$C$13))</f>
        <v/>
      </c>
      <c r="D2490" s="17" t="str">
        <f>IF(C2490="","",C2490*'02_Eingaben'!$C$15)</f>
        <v/>
      </c>
      <c r="E2490" s="17" t="str">
        <f>IF(D2490="","",D2490*'02_Eingaben'!$C$8)</f>
        <v/>
      </c>
      <c r="F2490" s="17" t="str">
        <f>IF(E2490="","",AVERAGE(INDEX($E$2:$E$3001,MAX(1,ROW()-1-'02_Eingaben'!$C$17)):INDEX($E$2:$E$3001,MIN('02_Eingaben'!$C$21,ROW()-1+'02_Eingaben'!$C$17))))</f>
        <v/>
      </c>
      <c r="G2490" s="17" t="str">
        <f>IF(F2490="","",F2490-'02_Eingaben'!$C$10)</f>
        <v/>
      </c>
      <c r="H2490" t="str">
        <f>IF(F2490="","",IF(F2490&lt;'02_Eingaben'!$C$18*'02_Eingaben'!$C$10,1,0))</f>
        <v/>
      </c>
      <c r="I2490" s="17" t="str">
        <f t="shared" si="38"/>
        <v/>
      </c>
      <c r="J2490" s="17" t="str">
        <f>IF(B2490="","",IF(B2489&lt;'02_Eingaben'!$C$36,0,J2489+I2489/'02_Eingaben'!$C$8))</f>
        <v/>
      </c>
    </row>
    <row r="2491" spans="1:10" x14ac:dyDescent="0.25">
      <c r="A2491" t="str">
        <f>IF('01_Rohdaten'!A2491="","",ROW()-1)</f>
        <v/>
      </c>
      <c r="B2491" s="17" t="str">
        <f>IF('01_Rohdaten'!A2491="","",'01_Rohdaten'!A2491)</f>
        <v/>
      </c>
      <c r="C2491" s="17" t="str">
        <f>IF(B2491="","",INDEX('01_Rohdaten'!B2491:D2491,'02_Eingaben'!$C$13))</f>
        <v/>
      </c>
      <c r="D2491" s="17" t="str">
        <f>IF(C2491="","",C2491*'02_Eingaben'!$C$15)</f>
        <v/>
      </c>
      <c r="E2491" s="17" t="str">
        <f>IF(D2491="","",D2491*'02_Eingaben'!$C$8)</f>
        <v/>
      </c>
      <c r="F2491" s="17" t="str">
        <f>IF(E2491="","",AVERAGE(INDEX($E$2:$E$3001,MAX(1,ROW()-1-'02_Eingaben'!$C$17)):INDEX($E$2:$E$3001,MIN('02_Eingaben'!$C$21,ROW()-1+'02_Eingaben'!$C$17))))</f>
        <v/>
      </c>
      <c r="G2491" s="17" t="str">
        <f>IF(F2491="","",F2491-'02_Eingaben'!$C$10)</f>
        <v/>
      </c>
      <c r="H2491" t="str">
        <f>IF(F2491="","",IF(F2491&lt;'02_Eingaben'!$C$18*'02_Eingaben'!$C$10,1,0))</f>
        <v/>
      </c>
      <c r="I2491" s="17" t="str">
        <f t="shared" si="38"/>
        <v/>
      </c>
      <c r="J2491" s="17" t="str">
        <f>IF(B2491="","",IF(B2490&lt;'02_Eingaben'!$C$36,0,J2490+I2490/'02_Eingaben'!$C$8))</f>
        <v/>
      </c>
    </row>
    <row r="2492" spans="1:10" x14ac:dyDescent="0.25">
      <c r="A2492" t="str">
        <f>IF('01_Rohdaten'!A2492="","",ROW()-1)</f>
        <v/>
      </c>
      <c r="B2492" s="17" t="str">
        <f>IF('01_Rohdaten'!A2492="","",'01_Rohdaten'!A2492)</f>
        <v/>
      </c>
      <c r="C2492" s="17" t="str">
        <f>IF(B2492="","",INDEX('01_Rohdaten'!B2492:D2492,'02_Eingaben'!$C$13))</f>
        <v/>
      </c>
      <c r="D2492" s="17" t="str">
        <f>IF(C2492="","",C2492*'02_Eingaben'!$C$15)</f>
        <v/>
      </c>
      <c r="E2492" s="17" t="str">
        <f>IF(D2492="","",D2492*'02_Eingaben'!$C$8)</f>
        <v/>
      </c>
      <c r="F2492" s="17" t="str">
        <f>IF(E2492="","",AVERAGE(INDEX($E$2:$E$3001,MAX(1,ROW()-1-'02_Eingaben'!$C$17)):INDEX($E$2:$E$3001,MIN('02_Eingaben'!$C$21,ROW()-1+'02_Eingaben'!$C$17))))</f>
        <v/>
      </c>
      <c r="G2492" s="17" t="str">
        <f>IF(F2492="","",F2492-'02_Eingaben'!$C$10)</f>
        <v/>
      </c>
      <c r="H2492" t="str">
        <f>IF(F2492="","",IF(F2492&lt;'02_Eingaben'!$C$18*'02_Eingaben'!$C$10,1,0))</f>
        <v/>
      </c>
      <c r="I2492" s="17" t="str">
        <f t="shared" si="38"/>
        <v/>
      </c>
      <c r="J2492" s="17" t="str">
        <f>IF(B2492="","",IF(B2491&lt;'02_Eingaben'!$C$36,0,J2491+I2491/'02_Eingaben'!$C$8))</f>
        <v/>
      </c>
    </row>
    <row r="2493" spans="1:10" x14ac:dyDescent="0.25">
      <c r="A2493" t="str">
        <f>IF('01_Rohdaten'!A2493="","",ROW()-1)</f>
        <v/>
      </c>
      <c r="B2493" s="17" t="str">
        <f>IF('01_Rohdaten'!A2493="","",'01_Rohdaten'!A2493)</f>
        <v/>
      </c>
      <c r="C2493" s="17" t="str">
        <f>IF(B2493="","",INDEX('01_Rohdaten'!B2493:D2493,'02_Eingaben'!$C$13))</f>
        <v/>
      </c>
      <c r="D2493" s="17" t="str">
        <f>IF(C2493="","",C2493*'02_Eingaben'!$C$15)</f>
        <v/>
      </c>
      <c r="E2493" s="17" t="str">
        <f>IF(D2493="","",D2493*'02_Eingaben'!$C$8)</f>
        <v/>
      </c>
      <c r="F2493" s="17" t="str">
        <f>IF(E2493="","",AVERAGE(INDEX($E$2:$E$3001,MAX(1,ROW()-1-'02_Eingaben'!$C$17)):INDEX($E$2:$E$3001,MIN('02_Eingaben'!$C$21,ROW()-1+'02_Eingaben'!$C$17))))</f>
        <v/>
      </c>
      <c r="G2493" s="17" t="str">
        <f>IF(F2493="","",F2493-'02_Eingaben'!$C$10)</f>
        <v/>
      </c>
      <c r="H2493" t="str">
        <f>IF(F2493="","",IF(F2493&lt;'02_Eingaben'!$C$18*'02_Eingaben'!$C$10,1,0))</f>
        <v/>
      </c>
      <c r="I2493" s="17" t="str">
        <f t="shared" si="38"/>
        <v/>
      </c>
      <c r="J2493" s="17" t="str">
        <f>IF(B2493="","",IF(B2492&lt;'02_Eingaben'!$C$36,0,J2492+I2492/'02_Eingaben'!$C$8))</f>
        <v/>
      </c>
    </row>
    <row r="2494" spans="1:10" x14ac:dyDescent="0.25">
      <c r="A2494" t="str">
        <f>IF('01_Rohdaten'!A2494="","",ROW()-1)</f>
        <v/>
      </c>
      <c r="B2494" s="17" t="str">
        <f>IF('01_Rohdaten'!A2494="","",'01_Rohdaten'!A2494)</f>
        <v/>
      </c>
      <c r="C2494" s="17" t="str">
        <f>IF(B2494="","",INDEX('01_Rohdaten'!B2494:D2494,'02_Eingaben'!$C$13))</f>
        <v/>
      </c>
      <c r="D2494" s="17" t="str">
        <f>IF(C2494="","",C2494*'02_Eingaben'!$C$15)</f>
        <v/>
      </c>
      <c r="E2494" s="17" t="str">
        <f>IF(D2494="","",D2494*'02_Eingaben'!$C$8)</f>
        <v/>
      </c>
      <c r="F2494" s="17" t="str">
        <f>IF(E2494="","",AVERAGE(INDEX($E$2:$E$3001,MAX(1,ROW()-1-'02_Eingaben'!$C$17)):INDEX($E$2:$E$3001,MIN('02_Eingaben'!$C$21,ROW()-1+'02_Eingaben'!$C$17))))</f>
        <v/>
      </c>
      <c r="G2494" s="17" t="str">
        <f>IF(F2494="","",F2494-'02_Eingaben'!$C$10)</f>
        <v/>
      </c>
      <c r="H2494" t="str">
        <f>IF(F2494="","",IF(F2494&lt;'02_Eingaben'!$C$18*'02_Eingaben'!$C$10,1,0))</f>
        <v/>
      </c>
      <c r="I2494" s="17" t="str">
        <f t="shared" si="38"/>
        <v/>
      </c>
      <c r="J2494" s="17" t="str">
        <f>IF(B2494="","",IF(B2493&lt;'02_Eingaben'!$C$36,0,J2493+I2493/'02_Eingaben'!$C$8))</f>
        <v/>
      </c>
    </row>
    <row r="2495" spans="1:10" x14ac:dyDescent="0.25">
      <c r="A2495" t="str">
        <f>IF('01_Rohdaten'!A2495="","",ROW()-1)</f>
        <v/>
      </c>
      <c r="B2495" s="17" t="str">
        <f>IF('01_Rohdaten'!A2495="","",'01_Rohdaten'!A2495)</f>
        <v/>
      </c>
      <c r="C2495" s="17" t="str">
        <f>IF(B2495="","",INDEX('01_Rohdaten'!B2495:D2495,'02_Eingaben'!$C$13))</f>
        <v/>
      </c>
      <c r="D2495" s="17" t="str">
        <f>IF(C2495="","",C2495*'02_Eingaben'!$C$15)</f>
        <v/>
      </c>
      <c r="E2495" s="17" t="str">
        <f>IF(D2495="","",D2495*'02_Eingaben'!$C$8)</f>
        <v/>
      </c>
      <c r="F2495" s="17" t="str">
        <f>IF(E2495="","",AVERAGE(INDEX($E$2:$E$3001,MAX(1,ROW()-1-'02_Eingaben'!$C$17)):INDEX($E$2:$E$3001,MIN('02_Eingaben'!$C$21,ROW()-1+'02_Eingaben'!$C$17))))</f>
        <v/>
      </c>
      <c r="G2495" s="17" t="str">
        <f>IF(F2495="","",F2495-'02_Eingaben'!$C$10)</f>
        <v/>
      </c>
      <c r="H2495" t="str">
        <f>IF(F2495="","",IF(F2495&lt;'02_Eingaben'!$C$18*'02_Eingaben'!$C$10,1,0))</f>
        <v/>
      </c>
      <c r="I2495" s="17" t="str">
        <f t="shared" si="38"/>
        <v/>
      </c>
      <c r="J2495" s="17" t="str">
        <f>IF(B2495="","",IF(B2494&lt;'02_Eingaben'!$C$36,0,J2494+I2494/'02_Eingaben'!$C$8))</f>
        <v/>
      </c>
    </row>
    <row r="2496" spans="1:10" x14ac:dyDescent="0.25">
      <c r="A2496" t="str">
        <f>IF('01_Rohdaten'!A2496="","",ROW()-1)</f>
        <v/>
      </c>
      <c r="B2496" s="17" t="str">
        <f>IF('01_Rohdaten'!A2496="","",'01_Rohdaten'!A2496)</f>
        <v/>
      </c>
      <c r="C2496" s="17" t="str">
        <f>IF(B2496="","",INDEX('01_Rohdaten'!B2496:D2496,'02_Eingaben'!$C$13))</f>
        <v/>
      </c>
      <c r="D2496" s="17" t="str">
        <f>IF(C2496="","",C2496*'02_Eingaben'!$C$15)</f>
        <v/>
      </c>
      <c r="E2496" s="17" t="str">
        <f>IF(D2496="","",D2496*'02_Eingaben'!$C$8)</f>
        <v/>
      </c>
      <c r="F2496" s="17" t="str">
        <f>IF(E2496="","",AVERAGE(INDEX($E$2:$E$3001,MAX(1,ROW()-1-'02_Eingaben'!$C$17)):INDEX($E$2:$E$3001,MIN('02_Eingaben'!$C$21,ROW()-1+'02_Eingaben'!$C$17))))</f>
        <v/>
      </c>
      <c r="G2496" s="17" t="str">
        <f>IF(F2496="","",F2496-'02_Eingaben'!$C$10)</f>
        <v/>
      </c>
      <c r="H2496" t="str">
        <f>IF(F2496="","",IF(F2496&lt;'02_Eingaben'!$C$18*'02_Eingaben'!$C$10,1,0))</f>
        <v/>
      </c>
      <c r="I2496" s="17" t="str">
        <f t="shared" si="38"/>
        <v/>
      </c>
      <c r="J2496" s="17" t="str">
        <f>IF(B2496="","",IF(B2495&lt;'02_Eingaben'!$C$36,0,J2495+I2495/'02_Eingaben'!$C$8))</f>
        <v/>
      </c>
    </row>
    <row r="2497" spans="1:10" x14ac:dyDescent="0.25">
      <c r="A2497" t="str">
        <f>IF('01_Rohdaten'!A2497="","",ROW()-1)</f>
        <v/>
      </c>
      <c r="B2497" s="17" t="str">
        <f>IF('01_Rohdaten'!A2497="","",'01_Rohdaten'!A2497)</f>
        <v/>
      </c>
      <c r="C2497" s="17" t="str">
        <f>IF(B2497="","",INDEX('01_Rohdaten'!B2497:D2497,'02_Eingaben'!$C$13))</f>
        <v/>
      </c>
      <c r="D2497" s="17" t="str">
        <f>IF(C2497="","",C2497*'02_Eingaben'!$C$15)</f>
        <v/>
      </c>
      <c r="E2497" s="17" t="str">
        <f>IF(D2497="","",D2497*'02_Eingaben'!$C$8)</f>
        <v/>
      </c>
      <c r="F2497" s="17" t="str">
        <f>IF(E2497="","",AVERAGE(INDEX($E$2:$E$3001,MAX(1,ROW()-1-'02_Eingaben'!$C$17)):INDEX($E$2:$E$3001,MIN('02_Eingaben'!$C$21,ROW()-1+'02_Eingaben'!$C$17))))</f>
        <v/>
      </c>
      <c r="G2497" s="17" t="str">
        <f>IF(F2497="","",F2497-'02_Eingaben'!$C$10)</f>
        <v/>
      </c>
      <c r="H2497" t="str">
        <f>IF(F2497="","",IF(F2497&lt;'02_Eingaben'!$C$18*'02_Eingaben'!$C$10,1,0))</f>
        <v/>
      </c>
      <c r="I2497" s="17" t="str">
        <f t="shared" si="38"/>
        <v/>
      </c>
      <c r="J2497" s="17" t="str">
        <f>IF(B2497="","",IF(B2496&lt;'02_Eingaben'!$C$36,0,J2496+I2496/'02_Eingaben'!$C$8))</f>
        <v/>
      </c>
    </row>
    <row r="2498" spans="1:10" x14ac:dyDescent="0.25">
      <c r="A2498" t="str">
        <f>IF('01_Rohdaten'!A2498="","",ROW()-1)</f>
        <v/>
      </c>
      <c r="B2498" s="17" t="str">
        <f>IF('01_Rohdaten'!A2498="","",'01_Rohdaten'!A2498)</f>
        <v/>
      </c>
      <c r="C2498" s="17" t="str">
        <f>IF(B2498="","",INDEX('01_Rohdaten'!B2498:D2498,'02_Eingaben'!$C$13))</f>
        <v/>
      </c>
      <c r="D2498" s="17" t="str">
        <f>IF(C2498="","",C2498*'02_Eingaben'!$C$15)</f>
        <v/>
      </c>
      <c r="E2498" s="17" t="str">
        <f>IF(D2498="","",D2498*'02_Eingaben'!$C$8)</f>
        <v/>
      </c>
      <c r="F2498" s="17" t="str">
        <f>IF(E2498="","",AVERAGE(INDEX($E$2:$E$3001,MAX(1,ROW()-1-'02_Eingaben'!$C$17)):INDEX($E$2:$E$3001,MIN('02_Eingaben'!$C$21,ROW()-1+'02_Eingaben'!$C$17))))</f>
        <v/>
      </c>
      <c r="G2498" s="17" t="str">
        <f>IF(F2498="","",F2498-'02_Eingaben'!$C$10)</f>
        <v/>
      </c>
      <c r="H2498" t="str">
        <f>IF(F2498="","",IF(F2498&lt;'02_Eingaben'!$C$18*'02_Eingaben'!$C$10,1,0))</f>
        <v/>
      </c>
      <c r="I2498" s="17" t="str">
        <f t="shared" ref="I2498:I2561" si="39">IF(OR(G2498="",G2499=""),"",(G2498+G2499)/2*(B2499-B2498))</f>
        <v/>
      </c>
      <c r="J2498" s="17" t="str">
        <f>IF(B2498="","",IF(B2497&lt;'02_Eingaben'!$C$36,0,J2497+I2497/'02_Eingaben'!$C$8))</f>
        <v/>
      </c>
    </row>
    <row r="2499" spans="1:10" x14ac:dyDescent="0.25">
      <c r="A2499" t="str">
        <f>IF('01_Rohdaten'!A2499="","",ROW()-1)</f>
        <v/>
      </c>
      <c r="B2499" s="17" t="str">
        <f>IF('01_Rohdaten'!A2499="","",'01_Rohdaten'!A2499)</f>
        <v/>
      </c>
      <c r="C2499" s="17" t="str">
        <f>IF(B2499="","",INDEX('01_Rohdaten'!B2499:D2499,'02_Eingaben'!$C$13))</f>
        <v/>
      </c>
      <c r="D2499" s="17" t="str">
        <f>IF(C2499="","",C2499*'02_Eingaben'!$C$15)</f>
        <v/>
      </c>
      <c r="E2499" s="17" t="str">
        <f>IF(D2499="","",D2499*'02_Eingaben'!$C$8)</f>
        <v/>
      </c>
      <c r="F2499" s="17" t="str">
        <f>IF(E2499="","",AVERAGE(INDEX($E$2:$E$3001,MAX(1,ROW()-1-'02_Eingaben'!$C$17)):INDEX($E$2:$E$3001,MIN('02_Eingaben'!$C$21,ROW()-1+'02_Eingaben'!$C$17))))</f>
        <v/>
      </c>
      <c r="G2499" s="17" t="str">
        <f>IF(F2499="","",F2499-'02_Eingaben'!$C$10)</f>
        <v/>
      </c>
      <c r="H2499" t="str">
        <f>IF(F2499="","",IF(F2499&lt;'02_Eingaben'!$C$18*'02_Eingaben'!$C$10,1,0))</f>
        <v/>
      </c>
      <c r="I2499" s="17" t="str">
        <f t="shared" si="39"/>
        <v/>
      </c>
      <c r="J2499" s="17" t="str">
        <f>IF(B2499="","",IF(B2498&lt;'02_Eingaben'!$C$36,0,J2498+I2498/'02_Eingaben'!$C$8))</f>
        <v/>
      </c>
    </row>
    <row r="2500" spans="1:10" x14ac:dyDescent="0.25">
      <c r="A2500" t="str">
        <f>IF('01_Rohdaten'!A2500="","",ROW()-1)</f>
        <v/>
      </c>
      <c r="B2500" s="17" t="str">
        <f>IF('01_Rohdaten'!A2500="","",'01_Rohdaten'!A2500)</f>
        <v/>
      </c>
      <c r="C2500" s="17" t="str">
        <f>IF(B2500="","",INDEX('01_Rohdaten'!B2500:D2500,'02_Eingaben'!$C$13))</f>
        <v/>
      </c>
      <c r="D2500" s="17" t="str">
        <f>IF(C2500="","",C2500*'02_Eingaben'!$C$15)</f>
        <v/>
      </c>
      <c r="E2500" s="17" t="str">
        <f>IF(D2500="","",D2500*'02_Eingaben'!$C$8)</f>
        <v/>
      </c>
      <c r="F2500" s="17" t="str">
        <f>IF(E2500="","",AVERAGE(INDEX($E$2:$E$3001,MAX(1,ROW()-1-'02_Eingaben'!$C$17)):INDEX($E$2:$E$3001,MIN('02_Eingaben'!$C$21,ROW()-1+'02_Eingaben'!$C$17))))</f>
        <v/>
      </c>
      <c r="G2500" s="17" t="str">
        <f>IF(F2500="","",F2500-'02_Eingaben'!$C$10)</f>
        <v/>
      </c>
      <c r="H2500" t="str">
        <f>IF(F2500="","",IF(F2500&lt;'02_Eingaben'!$C$18*'02_Eingaben'!$C$10,1,0))</f>
        <v/>
      </c>
      <c r="I2500" s="17" t="str">
        <f t="shared" si="39"/>
        <v/>
      </c>
      <c r="J2500" s="17" t="str">
        <f>IF(B2500="","",IF(B2499&lt;'02_Eingaben'!$C$36,0,J2499+I2499/'02_Eingaben'!$C$8))</f>
        <v/>
      </c>
    </row>
    <row r="2501" spans="1:10" x14ac:dyDescent="0.25">
      <c r="A2501" t="str">
        <f>IF('01_Rohdaten'!A2501="","",ROW()-1)</f>
        <v/>
      </c>
      <c r="B2501" s="17" t="str">
        <f>IF('01_Rohdaten'!A2501="","",'01_Rohdaten'!A2501)</f>
        <v/>
      </c>
      <c r="C2501" s="17" t="str">
        <f>IF(B2501="","",INDEX('01_Rohdaten'!B2501:D2501,'02_Eingaben'!$C$13))</f>
        <v/>
      </c>
      <c r="D2501" s="17" t="str">
        <f>IF(C2501="","",C2501*'02_Eingaben'!$C$15)</f>
        <v/>
      </c>
      <c r="E2501" s="17" t="str">
        <f>IF(D2501="","",D2501*'02_Eingaben'!$C$8)</f>
        <v/>
      </c>
      <c r="F2501" s="17" t="str">
        <f>IF(E2501="","",AVERAGE(INDEX($E$2:$E$3001,MAX(1,ROW()-1-'02_Eingaben'!$C$17)):INDEX($E$2:$E$3001,MIN('02_Eingaben'!$C$21,ROW()-1+'02_Eingaben'!$C$17))))</f>
        <v/>
      </c>
      <c r="G2501" s="17" t="str">
        <f>IF(F2501="","",F2501-'02_Eingaben'!$C$10)</f>
        <v/>
      </c>
      <c r="H2501" t="str">
        <f>IF(F2501="","",IF(F2501&lt;'02_Eingaben'!$C$18*'02_Eingaben'!$C$10,1,0))</f>
        <v/>
      </c>
      <c r="I2501" s="17" t="str">
        <f t="shared" si="39"/>
        <v/>
      </c>
      <c r="J2501" s="17" t="str">
        <f>IF(B2501="","",IF(B2500&lt;'02_Eingaben'!$C$36,0,J2500+I2500/'02_Eingaben'!$C$8))</f>
        <v/>
      </c>
    </row>
    <row r="2502" spans="1:10" x14ac:dyDescent="0.25">
      <c r="A2502" t="str">
        <f>IF('01_Rohdaten'!A2502="","",ROW()-1)</f>
        <v/>
      </c>
      <c r="B2502" s="17" t="str">
        <f>IF('01_Rohdaten'!A2502="","",'01_Rohdaten'!A2502)</f>
        <v/>
      </c>
      <c r="C2502" s="17" t="str">
        <f>IF(B2502="","",INDEX('01_Rohdaten'!B2502:D2502,'02_Eingaben'!$C$13))</f>
        <v/>
      </c>
      <c r="D2502" s="17" t="str">
        <f>IF(C2502="","",C2502*'02_Eingaben'!$C$15)</f>
        <v/>
      </c>
      <c r="E2502" s="17" t="str">
        <f>IF(D2502="","",D2502*'02_Eingaben'!$C$8)</f>
        <v/>
      </c>
      <c r="F2502" s="17" t="str">
        <f>IF(E2502="","",AVERAGE(INDEX($E$2:$E$3001,MAX(1,ROW()-1-'02_Eingaben'!$C$17)):INDEX($E$2:$E$3001,MIN('02_Eingaben'!$C$21,ROW()-1+'02_Eingaben'!$C$17))))</f>
        <v/>
      </c>
      <c r="G2502" s="17" t="str">
        <f>IF(F2502="","",F2502-'02_Eingaben'!$C$10)</f>
        <v/>
      </c>
      <c r="H2502" t="str">
        <f>IF(F2502="","",IF(F2502&lt;'02_Eingaben'!$C$18*'02_Eingaben'!$C$10,1,0))</f>
        <v/>
      </c>
      <c r="I2502" s="17" t="str">
        <f t="shared" si="39"/>
        <v/>
      </c>
      <c r="J2502" s="17" t="str">
        <f>IF(B2502="","",IF(B2501&lt;'02_Eingaben'!$C$36,0,J2501+I2501/'02_Eingaben'!$C$8))</f>
        <v/>
      </c>
    </row>
    <row r="2503" spans="1:10" x14ac:dyDescent="0.25">
      <c r="A2503" t="str">
        <f>IF('01_Rohdaten'!A2503="","",ROW()-1)</f>
        <v/>
      </c>
      <c r="B2503" s="17" t="str">
        <f>IF('01_Rohdaten'!A2503="","",'01_Rohdaten'!A2503)</f>
        <v/>
      </c>
      <c r="C2503" s="17" t="str">
        <f>IF(B2503="","",INDEX('01_Rohdaten'!B2503:D2503,'02_Eingaben'!$C$13))</f>
        <v/>
      </c>
      <c r="D2503" s="17" t="str">
        <f>IF(C2503="","",C2503*'02_Eingaben'!$C$15)</f>
        <v/>
      </c>
      <c r="E2503" s="17" t="str">
        <f>IF(D2503="","",D2503*'02_Eingaben'!$C$8)</f>
        <v/>
      </c>
      <c r="F2503" s="17" t="str">
        <f>IF(E2503="","",AVERAGE(INDEX($E$2:$E$3001,MAX(1,ROW()-1-'02_Eingaben'!$C$17)):INDEX($E$2:$E$3001,MIN('02_Eingaben'!$C$21,ROW()-1+'02_Eingaben'!$C$17))))</f>
        <v/>
      </c>
      <c r="G2503" s="17" t="str">
        <f>IF(F2503="","",F2503-'02_Eingaben'!$C$10)</f>
        <v/>
      </c>
      <c r="H2503" t="str">
        <f>IF(F2503="","",IF(F2503&lt;'02_Eingaben'!$C$18*'02_Eingaben'!$C$10,1,0))</f>
        <v/>
      </c>
      <c r="I2503" s="17" t="str">
        <f t="shared" si="39"/>
        <v/>
      </c>
      <c r="J2503" s="17" t="str">
        <f>IF(B2503="","",IF(B2502&lt;'02_Eingaben'!$C$36,0,J2502+I2502/'02_Eingaben'!$C$8))</f>
        <v/>
      </c>
    </row>
    <row r="2504" spans="1:10" x14ac:dyDescent="0.25">
      <c r="A2504" t="str">
        <f>IF('01_Rohdaten'!A2504="","",ROW()-1)</f>
        <v/>
      </c>
      <c r="B2504" s="17" t="str">
        <f>IF('01_Rohdaten'!A2504="","",'01_Rohdaten'!A2504)</f>
        <v/>
      </c>
      <c r="C2504" s="17" t="str">
        <f>IF(B2504="","",INDEX('01_Rohdaten'!B2504:D2504,'02_Eingaben'!$C$13))</f>
        <v/>
      </c>
      <c r="D2504" s="17" t="str">
        <f>IF(C2504="","",C2504*'02_Eingaben'!$C$15)</f>
        <v/>
      </c>
      <c r="E2504" s="17" t="str">
        <f>IF(D2504="","",D2504*'02_Eingaben'!$C$8)</f>
        <v/>
      </c>
      <c r="F2504" s="17" t="str">
        <f>IF(E2504="","",AVERAGE(INDEX($E$2:$E$3001,MAX(1,ROW()-1-'02_Eingaben'!$C$17)):INDEX($E$2:$E$3001,MIN('02_Eingaben'!$C$21,ROW()-1+'02_Eingaben'!$C$17))))</f>
        <v/>
      </c>
      <c r="G2504" s="17" t="str">
        <f>IF(F2504="","",F2504-'02_Eingaben'!$C$10)</f>
        <v/>
      </c>
      <c r="H2504" t="str">
        <f>IF(F2504="","",IF(F2504&lt;'02_Eingaben'!$C$18*'02_Eingaben'!$C$10,1,0))</f>
        <v/>
      </c>
      <c r="I2504" s="17" t="str">
        <f t="shared" si="39"/>
        <v/>
      </c>
      <c r="J2504" s="17" t="str">
        <f>IF(B2504="","",IF(B2503&lt;'02_Eingaben'!$C$36,0,J2503+I2503/'02_Eingaben'!$C$8))</f>
        <v/>
      </c>
    </row>
    <row r="2505" spans="1:10" x14ac:dyDescent="0.25">
      <c r="A2505" t="str">
        <f>IF('01_Rohdaten'!A2505="","",ROW()-1)</f>
        <v/>
      </c>
      <c r="B2505" s="17" t="str">
        <f>IF('01_Rohdaten'!A2505="","",'01_Rohdaten'!A2505)</f>
        <v/>
      </c>
      <c r="C2505" s="17" t="str">
        <f>IF(B2505="","",INDEX('01_Rohdaten'!B2505:D2505,'02_Eingaben'!$C$13))</f>
        <v/>
      </c>
      <c r="D2505" s="17" t="str">
        <f>IF(C2505="","",C2505*'02_Eingaben'!$C$15)</f>
        <v/>
      </c>
      <c r="E2505" s="17" t="str">
        <f>IF(D2505="","",D2505*'02_Eingaben'!$C$8)</f>
        <v/>
      </c>
      <c r="F2505" s="17" t="str">
        <f>IF(E2505="","",AVERAGE(INDEX($E$2:$E$3001,MAX(1,ROW()-1-'02_Eingaben'!$C$17)):INDEX($E$2:$E$3001,MIN('02_Eingaben'!$C$21,ROW()-1+'02_Eingaben'!$C$17))))</f>
        <v/>
      </c>
      <c r="G2505" s="17" t="str">
        <f>IF(F2505="","",F2505-'02_Eingaben'!$C$10)</f>
        <v/>
      </c>
      <c r="H2505" t="str">
        <f>IF(F2505="","",IF(F2505&lt;'02_Eingaben'!$C$18*'02_Eingaben'!$C$10,1,0))</f>
        <v/>
      </c>
      <c r="I2505" s="17" t="str">
        <f t="shared" si="39"/>
        <v/>
      </c>
      <c r="J2505" s="17" t="str">
        <f>IF(B2505="","",IF(B2504&lt;'02_Eingaben'!$C$36,0,J2504+I2504/'02_Eingaben'!$C$8))</f>
        <v/>
      </c>
    </row>
    <row r="2506" spans="1:10" x14ac:dyDescent="0.25">
      <c r="A2506" t="str">
        <f>IF('01_Rohdaten'!A2506="","",ROW()-1)</f>
        <v/>
      </c>
      <c r="B2506" s="17" t="str">
        <f>IF('01_Rohdaten'!A2506="","",'01_Rohdaten'!A2506)</f>
        <v/>
      </c>
      <c r="C2506" s="17" t="str">
        <f>IF(B2506="","",INDEX('01_Rohdaten'!B2506:D2506,'02_Eingaben'!$C$13))</f>
        <v/>
      </c>
      <c r="D2506" s="17" t="str">
        <f>IF(C2506="","",C2506*'02_Eingaben'!$C$15)</f>
        <v/>
      </c>
      <c r="E2506" s="17" t="str">
        <f>IF(D2506="","",D2506*'02_Eingaben'!$C$8)</f>
        <v/>
      </c>
      <c r="F2506" s="17" t="str">
        <f>IF(E2506="","",AVERAGE(INDEX($E$2:$E$3001,MAX(1,ROW()-1-'02_Eingaben'!$C$17)):INDEX($E$2:$E$3001,MIN('02_Eingaben'!$C$21,ROW()-1+'02_Eingaben'!$C$17))))</f>
        <v/>
      </c>
      <c r="G2506" s="17" t="str">
        <f>IF(F2506="","",F2506-'02_Eingaben'!$C$10)</f>
        <v/>
      </c>
      <c r="H2506" t="str">
        <f>IF(F2506="","",IF(F2506&lt;'02_Eingaben'!$C$18*'02_Eingaben'!$C$10,1,0))</f>
        <v/>
      </c>
      <c r="I2506" s="17" t="str">
        <f t="shared" si="39"/>
        <v/>
      </c>
      <c r="J2506" s="17" t="str">
        <f>IF(B2506="","",IF(B2505&lt;'02_Eingaben'!$C$36,0,J2505+I2505/'02_Eingaben'!$C$8))</f>
        <v/>
      </c>
    </row>
    <row r="2507" spans="1:10" x14ac:dyDescent="0.25">
      <c r="A2507" t="str">
        <f>IF('01_Rohdaten'!A2507="","",ROW()-1)</f>
        <v/>
      </c>
      <c r="B2507" s="17" t="str">
        <f>IF('01_Rohdaten'!A2507="","",'01_Rohdaten'!A2507)</f>
        <v/>
      </c>
      <c r="C2507" s="17" t="str">
        <f>IF(B2507="","",INDEX('01_Rohdaten'!B2507:D2507,'02_Eingaben'!$C$13))</f>
        <v/>
      </c>
      <c r="D2507" s="17" t="str">
        <f>IF(C2507="","",C2507*'02_Eingaben'!$C$15)</f>
        <v/>
      </c>
      <c r="E2507" s="17" t="str">
        <f>IF(D2507="","",D2507*'02_Eingaben'!$C$8)</f>
        <v/>
      </c>
      <c r="F2507" s="17" t="str">
        <f>IF(E2507="","",AVERAGE(INDEX($E$2:$E$3001,MAX(1,ROW()-1-'02_Eingaben'!$C$17)):INDEX($E$2:$E$3001,MIN('02_Eingaben'!$C$21,ROW()-1+'02_Eingaben'!$C$17))))</f>
        <v/>
      </c>
      <c r="G2507" s="17" t="str">
        <f>IF(F2507="","",F2507-'02_Eingaben'!$C$10)</f>
        <v/>
      </c>
      <c r="H2507" t="str">
        <f>IF(F2507="","",IF(F2507&lt;'02_Eingaben'!$C$18*'02_Eingaben'!$C$10,1,0))</f>
        <v/>
      </c>
      <c r="I2507" s="17" t="str">
        <f t="shared" si="39"/>
        <v/>
      </c>
      <c r="J2507" s="17" t="str">
        <f>IF(B2507="","",IF(B2506&lt;'02_Eingaben'!$C$36,0,J2506+I2506/'02_Eingaben'!$C$8))</f>
        <v/>
      </c>
    </row>
    <row r="2508" spans="1:10" x14ac:dyDescent="0.25">
      <c r="A2508" t="str">
        <f>IF('01_Rohdaten'!A2508="","",ROW()-1)</f>
        <v/>
      </c>
      <c r="B2508" s="17" t="str">
        <f>IF('01_Rohdaten'!A2508="","",'01_Rohdaten'!A2508)</f>
        <v/>
      </c>
      <c r="C2508" s="17" t="str">
        <f>IF(B2508="","",INDEX('01_Rohdaten'!B2508:D2508,'02_Eingaben'!$C$13))</f>
        <v/>
      </c>
      <c r="D2508" s="17" t="str">
        <f>IF(C2508="","",C2508*'02_Eingaben'!$C$15)</f>
        <v/>
      </c>
      <c r="E2508" s="17" t="str">
        <f>IF(D2508="","",D2508*'02_Eingaben'!$C$8)</f>
        <v/>
      </c>
      <c r="F2508" s="17" t="str">
        <f>IF(E2508="","",AVERAGE(INDEX($E$2:$E$3001,MAX(1,ROW()-1-'02_Eingaben'!$C$17)):INDEX($E$2:$E$3001,MIN('02_Eingaben'!$C$21,ROW()-1+'02_Eingaben'!$C$17))))</f>
        <v/>
      </c>
      <c r="G2508" s="17" t="str">
        <f>IF(F2508="","",F2508-'02_Eingaben'!$C$10)</f>
        <v/>
      </c>
      <c r="H2508" t="str">
        <f>IF(F2508="","",IF(F2508&lt;'02_Eingaben'!$C$18*'02_Eingaben'!$C$10,1,0))</f>
        <v/>
      </c>
      <c r="I2508" s="17" t="str">
        <f t="shared" si="39"/>
        <v/>
      </c>
      <c r="J2508" s="17" t="str">
        <f>IF(B2508="","",IF(B2507&lt;'02_Eingaben'!$C$36,0,J2507+I2507/'02_Eingaben'!$C$8))</f>
        <v/>
      </c>
    </row>
    <row r="2509" spans="1:10" x14ac:dyDescent="0.25">
      <c r="A2509" t="str">
        <f>IF('01_Rohdaten'!A2509="","",ROW()-1)</f>
        <v/>
      </c>
      <c r="B2509" s="17" t="str">
        <f>IF('01_Rohdaten'!A2509="","",'01_Rohdaten'!A2509)</f>
        <v/>
      </c>
      <c r="C2509" s="17" t="str">
        <f>IF(B2509="","",INDEX('01_Rohdaten'!B2509:D2509,'02_Eingaben'!$C$13))</f>
        <v/>
      </c>
      <c r="D2509" s="17" t="str">
        <f>IF(C2509="","",C2509*'02_Eingaben'!$C$15)</f>
        <v/>
      </c>
      <c r="E2509" s="17" t="str">
        <f>IF(D2509="","",D2509*'02_Eingaben'!$C$8)</f>
        <v/>
      </c>
      <c r="F2509" s="17" t="str">
        <f>IF(E2509="","",AVERAGE(INDEX($E$2:$E$3001,MAX(1,ROW()-1-'02_Eingaben'!$C$17)):INDEX($E$2:$E$3001,MIN('02_Eingaben'!$C$21,ROW()-1+'02_Eingaben'!$C$17))))</f>
        <v/>
      </c>
      <c r="G2509" s="17" t="str">
        <f>IF(F2509="","",F2509-'02_Eingaben'!$C$10)</f>
        <v/>
      </c>
      <c r="H2509" t="str">
        <f>IF(F2509="","",IF(F2509&lt;'02_Eingaben'!$C$18*'02_Eingaben'!$C$10,1,0))</f>
        <v/>
      </c>
      <c r="I2509" s="17" t="str">
        <f t="shared" si="39"/>
        <v/>
      </c>
      <c r="J2509" s="17" t="str">
        <f>IF(B2509="","",IF(B2508&lt;'02_Eingaben'!$C$36,0,J2508+I2508/'02_Eingaben'!$C$8))</f>
        <v/>
      </c>
    </row>
    <row r="2510" spans="1:10" x14ac:dyDescent="0.25">
      <c r="A2510" t="str">
        <f>IF('01_Rohdaten'!A2510="","",ROW()-1)</f>
        <v/>
      </c>
      <c r="B2510" s="17" t="str">
        <f>IF('01_Rohdaten'!A2510="","",'01_Rohdaten'!A2510)</f>
        <v/>
      </c>
      <c r="C2510" s="17" t="str">
        <f>IF(B2510="","",INDEX('01_Rohdaten'!B2510:D2510,'02_Eingaben'!$C$13))</f>
        <v/>
      </c>
      <c r="D2510" s="17" t="str">
        <f>IF(C2510="","",C2510*'02_Eingaben'!$C$15)</f>
        <v/>
      </c>
      <c r="E2510" s="17" t="str">
        <f>IF(D2510="","",D2510*'02_Eingaben'!$C$8)</f>
        <v/>
      </c>
      <c r="F2510" s="17" t="str">
        <f>IF(E2510="","",AVERAGE(INDEX($E$2:$E$3001,MAX(1,ROW()-1-'02_Eingaben'!$C$17)):INDEX($E$2:$E$3001,MIN('02_Eingaben'!$C$21,ROW()-1+'02_Eingaben'!$C$17))))</f>
        <v/>
      </c>
      <c r="G2510" s="17" t="str">
        <f>IF(F2510="","",F2510-'02_Eingaben'!$C$10)</f>
        <v/>
      </c>
      <c r="H2510" t="str">
        <f>IF(F2510="","",IF(F2510&lt;'02_Eingaben'!$C$18*'02_Eingaben'!$C$10,1,0))</f>
        <v/>
      </c>
      <c r="I2510" s="17" t="str">
        <f t="shared" si="39"/>
        <v/>
      </c>
      <c r="J2510" s="17" t="str">
        <f>IF(B2510="","",IF(B2509&lt;'02_Eingaben'!$C$36,0,J2509+I2509/'02_Eingaben'!$C$8))</f>
        <v/>
      </c>
    </row>
    <row r="2511" spans="1:10" x14ac:dyDescent="0.25">
      <c r="A2511" t="str">
        <f>IF('01_Rohdaten'!A2511="","",ROW()-1)</f>
        <v/>
      </c>
      <c r="B2511" s="17" t="str">
        <f>IF('01_Rohdaten'!A2511="","",'01_Rohdaten'!A2511)</f>
        <v/>
      </c>
      <c r="C2511" s="17" t="str">
        <f>IF(B2511="","",INDEX('01_Rohdaten'!B2511:D2511,'02_Eingaben'!$C$13))</f>
        <v/>
      </c>
      <c r="D2511" s="17" t="str">
        <f>IF(C2511="","",C2511*'02_Eingaben'!$C$15)</f>
        <v/>
      </c>
      <c r="E2511" s="17" t="str">
        <f>IF(D2511="","",D2511*'02_Eingaben'!$C$8)</f>
        <v/>
      </c>
      <c r="F2511" s="17" t="str">
        <f>IF(E2511="","",AVERAGE(INDEX($E$2:$E$3001,MAX(1,ROW()-1-'02_Eingaben'!$C$17)):INDEX($E$2:$E$3001,MIN('02_Eingaben'!$C$21,ROW()-1+'02_Eingaben'!$C$17))))</f>
        <v/>
      </c>
      <c r="G2511" s="17" t="str">
        <f>IF(F2511="","",F2511-'02_Eingaben'!$C$10)</f>
        <v/>
      </c>
      <c r="H2511" t="str">
        <f>IF(F2511="","",IF(F2511&lt;'02_Eingaben'!$C$18*'02_Eingaben'!$C$10,1,0))</f>
        <v/>
      </c>
      <c r="I2511" s="17" t="str">
        <f t="shared" si="39"/>
        <v/>
      </c>
      <c r="J2511" s="17" t="str">
        <f>IF(B2511="","",IF(B2510&lt;'02_Eingaben'!$C$36,0,J2510+I2510/'02_Eingaben'!$C$8))</f>
        <v/>
      </c>
    </row>
    <row r="2512" spans="1:10" x14ac:dyDescent="0.25">
      <c r="A2512" t="str">
        <f>IF('01_Rohdaten'!A2512="","",ROW()-1)</f>
        <v/>
      </c>
      <c r="B2512" s="17" t="str">
        <f>IF('01_Rohdaten'!A2512="","",'01_Rohdaten'!A2512)</f>
        <v/>
      </c>
      <c r="C2512" s="17" t="str">
        <f>IF(B2512="","",INDEX('01_Rohdaten'!B2512:D2512,'02_Eingaben'!$C$13))</f>
        <v/>
      </c>
      <c r="D2512" s="17" t="str">
        <f>IF(C2512="","",C2512*'02_Eingaben'!$C$15)</f>
        <v/>
      </c>
      <c r="E2512" s="17" t="str">
        <f>IF(D2512="","",D2512*'02_Eingaben'!$C$8)</f>
        <v/>
      </c>
      <c r="F2512" s="17" t="str">
        <f>IF(E2512="","",AVERAGE(INDEX($E$2:$E$3001,MAX(1,ROW()-1-'02_Eingaben'!$C$17)):INDEX($E$2:$E$3001,MIN('02_Eingaben'!$C$21,ROW()-1+'02_Eingaben'!$C$17))))</f>
        <v/>
      </c>
      <c r="G2512" s="17" t="str">
        <f>IF(F2512="","",F2512-'02_Eingaben'!$C$10)</f>
        <v/>
      </c>
      <c r="H2512" t="str">
        <f>IF(F2512="","",IF(F2512&lt;'02_Eingaben'!$C$18*'02_Eingaben'!$C$10,1,0))</f>
        <v/>
      </c>
      <c r="I2512" s="17" t="str">
        <f t="shared" si="39"/>
        <v/>
      </c>
      <c r="J2512" s="17" t="str">
        <f>IF(B2512="","",IF(B2511&lt;'02_Eingaben'!$C$36,0,J2511+I2511/'02_Eingaben'!$C$8))</f>
        <v/>
      </c>
    </row>
    <row r="2513" spans="1:10" x14ac:dyDescent="0.25">
      <c r="A2513" t="str">
        <f>IF('01_Rohdaten'!A2513="","",ROW()-1)</f>
        <v/>
      </c>
      <c r="B2513" s="17" t="str">
        <f>IF('01_Rohdaten'!A2513="","",'01_Rohdaten'!A2513)</f>
        <v/>
      </c>
      <c r="C2513" s="17" t="str">
        <f>IF(B2513="","",INDEX('01_Rohdaten'!B2513:D2513,'02_Eingaben'!$C$13))</f>
        <v/>
      </c>
      <c r="D2513" s="17" t="str">
        <f>IF(C2513="","",C2513*'02_Eingaben'!$C$15)</f>
        <v/>
      </c>
      <c r="E2513" s="17" t="str">
        <f>IF(D2513="","",D2513*'02_Eingaben'!$C$8)</f>
        <v/>
      </c>
      <c r="F2513" s="17" t="str">
        <f>IF(E2513="","",AVERAGE(INDEX($E$2:$E$3001,MAX(1,ROW()-1-'02_Eingaben'!$C$17)):INDEX($E$2:$E$3001,MIN('02_Eingaben'!$C$21,ROW()-1+'02_Eingaben'!$C$17))))</f>
        <v/>
      </c>
      <c r="G2513" s="17" t="str">
        <f>IF(F2513="","",F2513-'02_Eingaben'!$C$10)</f>
        <v/>
      </c>
      <c r="H2513" t="str">
        <f>IF(F2513="","",IF(F2513&lt;'02_Eingaben'!$C$18*'02_Eingaben'!$C$10,1,0))</f>
        <v/>
      </c>
      <c r="I2513" s="17" t="str">
        <f t="shared" si="39"/>
        <v/>
      </c>
      <c r="J2513" s="17" t="str">
        <f>IF(B2513="","",IF(B2512&lt;'02_Eingaben'!$C$36,0,J2512+I2512/'02_Eingaben'!$C$8))</f>
        <v/>
      </c>
    </row>
    <row r="2514" spans="1:10" x14ac:dyDescent="0.25">
      <c r="A2514" t="str">
        <f>IF('01_Rohdaten'!A2514="","",ROW()-1)</f>
        <v/>
      </c>
      <c r="B2514" s="17" t="str">
        <f>IF('01_Rohdaten'!A2514="","",'01_Rohdaten'!A2514)</f>
        <v/>
      </c>
      <c r="C2514" s="17" t="str">
        <f>IF(B2514="","",INDEX('01_Rohdaten'!B2514:D2514,'02_Eingaben'!$C$13))</f>
        <v/>
      </c>
      <c r="D2514" s="17" t="str">
        <f>IF(C2514="","",C2514*'02_Eingaben'!$C$15)</f>
        <v/>
      </c>
      <c r="E2514" s="17" t="str">
        <f>IF(D2514="","",D2514*'02_Eingaben'!$C$8)</f>
        <v/>
      </c>
      <c r="F2514" s="17" t="str">
        <f>IF(E2514="","",AVERAGE(INDEX($E$2:$E$3001,MAX(1,ROW()-1-'02_Eingaben'!$C$17)):INDEX($E$2:$E$3001,MIN('02_Eingaben'!$C$21,ROW()-1+'02_Eingaben'!$C$17))))</f>
        <v/>
      </c>
      <c r="G2514" s="17" t="str">
        <f>IF(F2514="","",F2514-'02_Eingaben'!$C$10)</f>
        <v/>
      </c>
      <c r="H2514" t="str">
        <f>IF(F2514="","",IF(F2514&lt;'02_Eingaben'!$C$18*'02_Eingaben'!$C$10,1,0))</f>
        <v/>
      </c>
      <c r="I2514" s="17" t="str">
        <f t="shared" si="39"/>
        <v/>
      </c>
      <c r="J2514" s="17" t="str">
        <f>IF(B2514="","",IF(B2513&lt;'02_Eingaben'!$C$36,0,J2513+I2513/'02_Eingaben'!$C$8))</f>
        <v/>
      </c>
    </row>
    <row r="2515" spans="1:10" x14ac:dyDescent="0.25">
      <c r="A2515" t="str">
        <f>IF('01_Rohdaten'!A2515="","",ROW()-1)</f>
        <v/>
      </c>
      <c r="B2515" s="17" t="str">
        <f>IF('01_Rohdaten'!A2515="","",'01_Rohdaten'!A2515)</f>
        <v/>
      </c>
      <c r="C2515" s="17" t="str">
        <f>IF(B2515="","",INDEX('01_Rohdaten'!B2515:D2515,'02_Eingaben'!$C$13))</f>
        <v/>
      </c>
      <c r="D2515" s="17" t="str">
        <f>IF(C2515="","",C2515*'02_Eingaben'!$C$15)</f>
        <v/>
      </c>
      <c r="E2515" s="17" t="str">
        <f>IF(D2515="","",D2515*'02_Eingaben'!$C$8)</f>
        <v/>
      </c>
      <c r="F2515" s="17" t="str">
        <f>IF(E2515="","",AVERAGE(INDEX($E$2:$E$3001,MAX(1,ROW()-1-'02_Eingaben'!$C$17)):INDEX($E$2:$E$3001,MIN('02_Eingaben'!$C$21,ROW()-1+'02_Eingaben'!$C$17))))</f>
        <v/>
      </c>
      <c r="G2515" s="17" t="str">
        <f>IF(F2515="","",F2515-'02_Eingaben'!$C$10)</f>
        <v/>
      </c>
      <c r="H2515" t="str">
        <f>IF(F2515="","",IF(F2515&lt;'02_Eingaben'!$C$18*'02_Eingaben'!$C$10,1,0))</f>
        <v/>
      </c>
      <c r="I2515" s="17" t="str">
        <f t="shared" si="39"/>
        <v/>
      </c>
      <c r="J2515" s="17" t="str">
        <f>IF(B2515="","",IF(B2514&lt;'02_Eingaben'!$C$36,0,J2514+I2514/'02_Eingaben'!$C$8))</f>
        <v/>
      </c>
    </row>
    <row r="2516" spans="1:10" x14ac:dyDescent="0.25">
      <c r="A2516" t="str">
        <f>IF('01_Rohdaten'!A2516="","",ROW()-1)</f>
        <v/>
      </c>
      <c r="B2516" s="17" t="str">
        <f>IF('01_Rohdaten'!A2516="","",'01_Rohdaten'!A2516)</f>
        <v/>
      </c>
      <c r="C2516" s="17" t="str">
        <f>IF(B2516="","",INDEX('01_Rohdaten'!B2516:D2516,'02_Eingaben'!$C$13))</f>
        <v/>
      </c>
      <c r="D2516" s="17" t="str">
        <f>IF(C2516="","",C2516*'02_Eingaben'!$C$15)</f>
        <v/>
      </c>
      <c r="E2516" s="17" t="str">
        <f>IF(D2516="","",D2516*'02_Eingaben'!$C$8)</f>
        <v/>
      </c>
      <c r="F2516" s="17" t="str">
        <f>IF(E2516="","",AVERAGE(INDEX($E$2:$E$3001,MAX(1,ROW()-1-'02_Eingaben'!$C$17)):INDEX($E$2:$E$3001,MIN('02_Eingaben'!$C$21,ROW()-1+'02_Eingaben'!$C$17))))</f>
        <v/>
      </c>
      <c r="G2516" s="17" t="str">
        <f>IF(F2516="","",F2516-'02_Eingaben'!$C$10)</f>
        <v/>
      </c>
      <c r="H2516" t="str">
        <f>IF(F2516="","",IF(F2516&lt;'02_Eingaben'!$C$18*'02_Eingaben'!$C$10,1,0))</f>
        <v/>
      </c>
      <c r="I2516" s="17" t="str">
        <f t="shared" si="39"/>
        <v/>
      </c>
      <c r="J2516" s="17" t="str">
        <f>IF(B2516="","",IF(B2515&lt;'02_Eingaben'!$C$36,0,J2515+I2515/'02_Eingaben'!$C$8))</f>
        <v/>
      </c>
    </row>
    <row r="2517" spans="1:10" x14ac:dyDescent="0.25">
      <c r="A2517" t="str">
        <f>IF('01_Rohdaten'!A2517="","",ROW()-1)</f>
        <v/>
      </c>
      <c r="B2517" s="17" t="str">
        <f>IF('01_Rohdaten'!A2517="","",'01_Rohdaten'!A2517)</f>
        <v/>
      </c>
      <c r="C2517" s="17" t="str">
        <f>IF(B2517="","",INDEX('01_Rohdaten'!B2517:D2517,'02_Eingaben'!$C$13))</f>
        <v/>
      </c>
      <c r="D2517" s="17" t="str">
        <f>IF(C2517="","",C2517*'02_Eingaben'!$C$15)</f>
        <v/>
      </c>
      <c r="E2517" s="17" t="str">
        <f>IF(D2517="","",D2517*'02_Eingaben'!$C$8)</f>
        <v/>
      </c>
      <c r="F2517" s="17" t="str">
        <f>IF(E2517="","",AVERAGE(INDEX($E$2:$E$3001,MAX(1,ROW()-1-'02_Eingaben'!$C$17)):INDEX($E$2:$E$3001,MIN('02_Eingaben'!$C$21,ROW()-1+'02_Eingaben'!$C$17))))</f>
        <v/>
      </c>
      <c r="G2517" s="17" t="str">
        <f>IF(F2517="","",F2517-'02_Eingaben'!$C$10)</f>
        <v/>
      </c>
      <c r="H2517" t="str">
        <f>IF(F2517="","",IF(F2517&lt;'02_Eingaben'!$C$18*'02_Eingaben'!$C$10,1,0))</f>
        <v/>
      </c>
      <c r="I2517" s="17" t="str">
        <f t="shared" si="39"/>
        <v/>
      </c>
      <c r="J2517" s="17" t="str">
        <f>IF(B2517="","",IF(B2516&lt;'02_Eingaben'!$C$36,0,J2516+I2516/'02_Eingaben'!$C$8))</f>
        <v/>
      </c>
    </row>
    <row r="2518" spans="1:10" x14ac:dyDescent="0.25">
      <c r="A2518" t="str">
        <f>IF('01_Rohdaten'!A2518="","",ROW()-1)</f>
        <v/>
      </c>
      <c r="B2518" s="17" t="str">
        <f>IF('01_Rohdaten'!A2518="","",'01_Rohdaten'!A2518)</f>
        <v/>
      </c>
      <c r="C2518" s="17" t="str">
        <f>IF(B2518="","",INDEX('01_Rohdaten'!B2518:D2518,'02_Eingaben'!$C$13))</f>
        <v/>
      </c>
      <c r="D2518" s="17" t="str">
        <f>IF(C2518="","",C2518*'02_Eingaben'!$C$15)</f>
        <v/>
      </c>
      <c r="E2518" s="17" t="str">
        <f>IF(D2518="","",D2518*'02_Eingaben'!$C$8)</f>
        <v/>
      </c>
      <c r="F2518" s="17" t="str">
        <f>IF(E2518="","",AVERAGE(INDEX($E$2:$E$3001,MAX(1,ROW()-1-'02_Eingaben'!$C$17)):INDEX($E$2:$E$3001,MIN('02_Eingaben'!$C$21,ROW()-1+'02_Eingaben'!$C$17))))</f>
        <v/>
      </c>
      <c r="G2518" s="17" t="str">
        <f>IF(F2518="","",F2518-'02_Eingaben'!$C$10)</f>
        <v/>
      </c>
      <c r="H2518" t="str">
        <f>IF(F2518="","",IF(F2518&lt;'02_Eingaben'!$C$18*'02_Eingaben'!$C$10,1,0))</f>
        <v/>
      </c>
      <c r="I2518" s="17" t="str">
        <f t="shared" si="39"/>
        <v/>
      </c>
      <c r="J2518" s="17" t="str">
        <f>IF(B2518="","",IF(B2517&lt;'02_Eingaben'!$C$36,0,J2517+I2517/'02_Eingaben'!$C$8))</f>
        <v/>
      </c>
    </row>
    <row r="2519" spans="1:10" x14ac:dyDescent="0.25">
      <c r="A2519" t="str">
        <f>IF('01_Rohdaten'!A2519="","",ROW()-1)</f>
        <v/>
      </c>
      <c r="B2519" s="17" t="str">
        <f>IF('01_Rohdaten'!A2519="","",'01_Rohdaten'!A2519)</f>
        <v/>
      </c>
      <c r="C2519" s="17" t="str">
        <f>IF(B2519="","",INDEX('01_Rohdaten'!B2519:D2519,'02_Eingaben'!$C$13))</f>
        <v/>
      </c>
      <c r="D2519" s="17" t="str">
        <f>IF(C2519="","",C2519*'02_Eingaben'!$C$15)</f>
        <v/>
      </c>
      <c r="E2519" s="17" t="str">
        <f>IF(D2519="","",D2519*'02_Eingaben'!$C$8)</f>
        <v/>
      </c>
      <c r="F2519" s="17" t="str">
        <f>IF(E2519="","",AVERAGE(INDEX($E$2:$E$3001,MAX(1,ROW()-1-'02_Eingaben'!$C$17)):INDEX($E$2:$E$3001,MIN('02_Eingaben'!$C$21,ROW()-1+'02_Eingaben'!$C$17))))</f>
        <v/>
      </c>
      <c r="G2519" s="17" t="str">
        <f>IF(F2519="","",F2519-'02_Eingaben'!$C$10)</f>
        <v/>
      </c>
      <c r="H2519" t="str">
        <f>IF(F2519="","",IF(F2519&lt;'02_Eingaben'!$C$18*'02_Eingaben'!$C$10,1,0))</f>
        <v/>
      </c>
      <c r="I2519" s="17" t="str">
        <f t="shared" si="39"/>
        <v/>
      </c>
      <c r="J2519" s="17" t="str">
        <f>IF(B2519="","",IF(B2518&lt;'02_Eingaben'!$C$36,0,J2518+I2518/'02_Eingaben'!$C$8))</f>
        <v/>
      </c>
    </row>
    <row r="2520" spans="1:10" x14ac:dyDescent="0.25">
      <c r="A2520" t="str">
        <f>IF('01_Rohdaten'!A2520="","",ROW()-1)</f>
        <v/>
      </c>
      <c r="B2520" s="17" t="str">
        <f>IF('01_Rohdaten'!A2520="","",'01_Rohdaten'!A2520)</f>
        <v/>
      </c>
      <c r="C2520" s="17" t="str">
        <f>IF(B2520="","",INDEX('01_Rohdaten'!B2520:D2520,'02_Eingaben'!$C$13))</f>
        <v/>
      </c>
      <c r="D2520" s="17" t="str">
        <f>IF(C2520="","",C2520*'02_Eingaben'!$C$15)</f>
        <v/>
      </c>
      <c r="E2520" s="17" t="str">
        <f>IF(D2520="","",D2520*'02_Eingaben'!$C$8)</f>
        <v/>
      </c>
      <c r="F2520" s="17" t="str">
        <f>IF(E2520="","",AVERAGE(INDEX($E$2:$E$3001,MAX(1,ROW()-1-'02_Eingaben'!$C$17)):INDEX($E$2:$E$3001,MIN('02_Eingaben'!$C$21,ROW()-1+'02_Eingaben'!$C$17))))</f>
        <v/>
      </c>
      <c r="G2520" s="17" t="str">
        <f>IF(F2520="","",F2520-'02_Eingaben'!$C$10)</f>
        <v/>
      </c>
      <c r="H2520" t="str">
        <f>IF(F2520="","",IF(F2520&lt;'02_Eingaben'!$C$18*'02_Eingaben'!$C$10,1,0))</f>
        <v/>
      </c>
      <c r="I2520" s="17" t="str">
        <f t="shared" si="39"/>
        <v/>
      </c>
      <c r="J2520" s="17" t="str">
        <f>IF(B2520="","",IF(B2519&lt;'02_Eingaben'!$C$36,0,J2519+I2519/'02_Eingaben'!$C$8))</f>
        <v/>
      </c>
    </row>
    <row r="2521" spans="1:10" x14ac:dyDescent="0.25">
      <c r="A2521" t="str">
        <f>IF('01_Rohdaten'!A2521="","",ROW()-1)</f>
        <v/>
      </c>
      <c r="B2521" s="17" t="str">
        <f>IF('01_Rohdaten'!A2521="","",'01_Rohdaten'!A2521)</f>
        <v/>
      </c>
      <c r="C2521" s="17" t="str">
        <f>IF(B2521="","",INDEX('01_Rohdaten'!B2521:D2521,'02_Eingaben'!$C$13))</f>
        <v/>
      </c>
      <c r="D2521" s="17" t="str">
        <f>IF(C2521="","",C2521*'02_Eingaben'!$C$15)</f>
        <v/>
      </c>
      <c r="E2521" s="17" t="str">
        <f>IF(D2521="","",D2521*'02_Eingaben'!$C$8)</f>
        <v/>
      </c>
      <c r="F2521" s="17" t="str">
        <f>IF(E2521="","",AVERAGE(INDEX($E$2:$E$3001,MAX(1,ROW()-1-'02_Eingaben'!$C$17)):INDEX($E$2:$E$3001,MIN('02_Eingaben'!$C$21,ROW()-1+'02_Eingaben'!$C$17))))</f>
        <v/>
      </c>
      <c r="G2521" s="17" t="str">
        <f>IF(F2521="","",F2521-'02_Eingaben'!$C$10)</f>
        <v/>
      </c>
      <c r="H2521" t="str">
        <f>IF(F2521="","",IF(F2521&lt;'02_Eingaben'!$C$18*'02_Eingaben'!$C$10,1,0))</f>
        <v/>
      </c>
      <c r="I2521" s="17" t="str">
        <f t="shared" si="39"/>
        <v/>
      </c>
      <c r="J2521" s="17" t="str">
        <f>IF(B2521="","",IF(B2520&lt;'02_Eingaben'!$C$36,0,J2520+I2520/'02_Eingaben'!$C$8))</f>
        <v/>
      </c>
    </row>
    <row r="2522" spans="1:10" x14ac:dyDescent="0.25">
      <c r="A2522" t="str">
        <f>IF('01_Rohdaten'!A2522="","",ROW()-1)</f>
        <v/>
      </c>
      <c r="B2522" s="17" t="str">
        <f>IF('01_Rohdaten'!A2522="","",'01_Rohdaten'!A2522)</f>
        <v/>
      </c>
      <c r="C2522" s="17" t="str">
        <f>IF(B2522="","",INDEX('01_Rohdaten'!B2522:D2522,'02_Eingaben'!$C$13))</f>
        <v/>
      </c>
      <c r="D2522" s="17" t="str">
        <f>IF(C2522="","",C2522*'02_Eingaben'!$C$15)</f>
        <v/>
      </c>
      <c r="E2522" s="17" t="str">
        <f>IF(D2522="","",D2522*'02_Eingaben'!$C$8)</f>
        <v/>
      </c>
      <c r="F2522" s="17" t="str">
        <f>IF(E2522="","",AVERAGE(INDEX($E$2:$E$3001,MAX(1,ROW()-1-'02_Eingaben'!$C$17)):INDEX($E$2:$E$3001,MIN('02_Eingaben'!$C$21,ROW()-1+'02_Eingaben'!$C$17))))</f>
        <v/>
      </c>
      <c r="G2522" s="17" t="str">
        <f>IF(F2522="","",F2522-'02_Eingaben'!$C$10)</f>
        <v/>
      </c>
      <c r="H2522" t="str">
        <f>IF(F2522="","",IF(F2522&lt;'02_Eingaben'!$C$18*'02_Eingaben'!$C$10,1,0))</f>
        <v/>
      </c>
      <c r="I2522" s="17" t="str">
        <f t="shared" si="39"/>
        <v/>
      </c>
      <c r="J2522" s="17" t="str">
        <f>IF(B2522="","",IF(B2521&lt;'02_Eingaben'!$C$36,0,J2521+I2521/'02_Eingaben'!$C$8))</f>
        <v/>
      </c>
    </row>
    <row r="2523" spans="1:10" x14ac:dyDescent="0.25">
      <c r="A2523" t="str">
        <f>IF('01_Rohdaten'!A2523="","",ROW()-1)</f>
        <v/>
      </c>
      <c r="B2523" s="17" t="str">
        <f>IF('01_Rohdaten'!A2523="","",'01_Rohdaten'!A2523)</f>
        <v/>
      </c>
      <c r="C2523" s="17" t="str">
        <f>IF(B2523="","",INDEX('01_Rohdaten'!B2523:D2523,'02_Eingaben'!$C$13))</f>
        <v/>
      </c>
      <c r="D2523" s="17" t="str">
        <f>IF(C2523="","",C2523*'02_Eingaben'!$C$15)</f>
        <v/>
      </c>
      <c r="E2523" s="17" t="str">
        <f>IF(D2523="","",D2523*'02_Eingaben'!$C$8)</f>
        <v/>
      </c>
      <c r="F2523" s="17" t="str">
        <f>IF(E2523="","",AVERAGE(INDEX($E$2:$E$3001,MAX(1,ROW()-1-'02_Eingaben'!$C$17)):INDEX($E$2:$E$3001,MIN('02_Eingaben'!$C$21,ROW()-1+'02_Eingaben'!$C$17))))</f>
        <v/>
      </c>
      <c r="G2523" s="17" t="str">
        <f>IF(F2523="","",F2523-'02_Eingaben'!$C$10)</f>
        <v/>
      </c>
      <c r="H2523" t="str">
        <f>IF(F2523="","",IF(F2523&lt;'02_Eingaben'!$C$18*'02_Eingaben'!$C$10,1,0))</f>
        <v/>
      </c>
      <c r="I2523" s="17" t="str">
        <f t="shared" si="39"/>
        <v/>
      </c>
      <c r="J2523" s="17" t="str">
        <f>IF(B2523="","",IF(B2522&lt;'02_Eingaben'!$C$36,0,J2522+I2522/'02_Eingaben'!$C$8))</f>
        <v/>
      </c>
    </row>
    <row r="2524" spans="1:10" x14ac:dyDescent="0.25">
      <c r="A2524" t="str">
        <f>IF('01_Rohdaten'!A2524="","",ROW()-1)</f>
        <v/>
      </c>
      <c r="B2524" s="17" t="str">
        <f>IF('01_Rohdaten'!A2524="","",'01_Rohdaten'!A2524)</f>
        <v/>
      </c>
      <c r="C2524" s="17" t="str">
        <f>IF(B2524="","",INDEX('01_Rohdaten'!B2524:D2524,'02_Eingaben'!$C$13))</f>
        <v/>
      </c>
      <c r="D2524" s="17" t="str">
        <f>IF(C2524="","",C2524*'02_Eingaben'!$C$15)</f>
        <v/>
      </c>
      <c r="E2524" s="17" t="str">
        <f>IF(D2524="","",D2524*'02_Eingaben'!$C$8)</f>
        <v/>
      </c>
      <c r="F2524" s="17" t="str">
        <f>IF(E2524="","",AVERAGE(INDEX($E$2:$E$3001,MAX(1,ROW()-1-'02_Eingaben'!$C$17)):INDEX($E$2:$E$3001,MIN('02_Eingaben'!$C$21,ROW()-1+'02_Eingaben'!$C$17))))</f>
        <v/>
      </c>
      <c r="G2524" s="17" t="str">
        <f>IF(F2524="","",F2524-'02_Eingaben'!$C$10)</f>
        <v/>
      </c>
      <c r="H2524" t="str">
        <f>IF(F2524="","",IF(F2524&lt;'02_Eingaben'!$C$18*'02_Eingaben'!$C$10,1,0))</f>
        <v/>
      </c>
      <c r="I2524" s="17" t="str">
        <f t="shared" si="39"/>
        <v/>
      </c>
      <c r="J2524" s="17" t="str">
        <f>IF(B2524="","",IF(B2523&lt;'02_Eingaben'!$C$36,0,J2523+I2523/'02_Eingaben'!$C$8))</f>
        <v/>
      </c>
    </row>
    <row r="2525" spans="1:10" x14ac:dyDescent="0.25">
      <c r="A2525" t="str">
        <f>IF('01_Rohdaten'!A2525="","",ROW()-1)</f>
        <v/>
      </c>
      <c r="B2525" s="17" t="str">
        <f>IF('01_Rohdaten'!A2525="","",'01_Rohdaten'!A2525)</f>
        <v/>
      </c>
      <c r="C2525" s="17" t="str">
        <f>IF(B2525="","",INDEX('01_Rohdaten'!B2525:D2525,'02_Eingaben'!$C$13))</f>
        <v/>
      </c>
      <c r="D2525" s="17" t="str">
        <f>IF(C2525="","",C2525*'02_Eingaben'!$C$15)</f>
        <v/>
      </c>
      <c r="E2525" s="17" t="str">
        <f>IF(D2525="","",D2525*'02_Eingaben'!$C$8)</f>
        <v/>
      </c>
      <c r="F2525" s="17" t="str">
        <f>IF(E2525="","",AVERAGE(INDEX($E$2:$E$3001,MAX(1,ROW()-1-'02_Eingaben'!$C$17)):INDEX($E$2:$E$3001,MIN('02_Eingaben'!$C$21,ROW()-1+'02_Eingaben'!$C$17))))</f>
        <v/>
      </c>
      <c r="G2525" s="17" t="str">
        <f>IF(F2525="","",F2525-'02_Eingaben'!$C$10)</f>
        <v/>
      </c>
      <c r="H2525" t="str">
        <f>IF(F2525="","",IF(F2525&lt;'02_Eingaben'!$C$18*'02_Eingaben'!$C$10,1,0))</f>
        <v/>
      </c>
      <c r="I2525" s="17" t="str">
        <f t="shared" si="39"/>
        <v/>
      </c>
      <c r="J2525" s="17" t="str">
        <f>IF(B2525="","",IF(B2524&lt;'02_Eingaben'!$C$36,0,J2524+I2524/'02_Eingaben'!$C$8))</f>
        <v/>
      </c>
    </row>
    <row r="2526" spans="1:10" x14ac:dyDescent="0.25">
      <c r="A2526" t="str">
        <f>IF('01_Rohdaten'!A2526="","",ROW()-1)</f>
        <v/>
      </c>
      <c r="B2526" s="17" t="str">
        <f>IF('01_Rohdaten'!A2526="","",'01_Rohdaten'!A2526)</f>
        <v/>
      </c>
      <c r="C2526" s="17" t="str">
        <f>IF(B2526="","",INDEX('01_Rohdaten'!B2526:D2526,'02_Eingaben'!$C$13))</f>
        <v/>
      </c>
      <c r="D2526" s="17" t="str">
        <f>IF(C2526="","",C2526*'02_Eingaben'!$C$15)</f>
        <v/>
      </c>
      <c r="E2526" s="17" t="str">
        <f>IF(D2526="","",D2526*'02_Eingaben'!$C$8)</f>
        <v/>
      </c>
      <c r="F2526" s="17" t="str">
        <f>IF(E2526="","",AVERAGE(INDEX($E$2:$E$3001,MAX(1,ROW()-1-'02_Eingaben'!$C$17)):INDEX($E$2:$E$3001,MIN('02_Eingaben'!$C$21,ROW()-1+'02_Eingaben'!$C$17))))</f>
        <v/>
      </c>
      <c r="G2526" s="17" t="str">
        <f>IF(F2526="","",F2526-'02_Eingaben'!$C$10)</f>
        <v/>
      </c>
      <c r="H2526" t="str">
        <f>IF(F2526="","",IF(F2526&lt;'02_Eingaben'!$C$18*'02_Eingaben'!$C$10,1,0))</f>
        <v/>
      </c>
      <c r="I2526" s="17" t="str">
        <f t="shared" si="39"/>
        <v/>
      </c>
      <c r="J2526" s="17" t="str">
        <f>IF(B2526="","",IF(B2525&lt;'02_Eingaben'!$C$36,0,J2525+I2525/'02_Eingaben'!$C$8))</f>
        <v/>
      </c>
    </row>
    <row r="2527" spans="1:10" x14ac:dyDescent="0.25">
      <c r="A2527" t="str">
        <f>IF('01_Rohdaten'!A2527="","",ROW()-1)</f>
        <v/>
      </c>
      <c r="B2527" s="17" t="str">
        <f>IF('01_Rohdaten'!A2527="","",'01_Rohdaten'!A2527)</f>
        <v/>
      </c>
      <c r="C2527" s="17" t="str">
        <f>IF(B2527="","",INDEX('01_Rohdaten'!B2527:D2527,'02_Eingaben'!$C$13))</f>
        <v/>
      </c>
      <c r="D2527" s="17" t="str">
        <f>IF(C2527="","",C2527*'02_Eingaben'!$C$15)</f>
        <v/>
      </c>
      <c r="E2527" s="17" t="str">
        <f>IF(D2527="","",D2527*'02_Eingaben'!$C$8)</f>
        <v/>
      </c>
      <c r="F2527" s="17" t="str">
        <f>IF(E2527="","",AVERAGE(INDEX($E$2:$E$3001,MAX(1,ROW()-1-'02_Eingaben'!$C$17)):INDEX($E$2:$E$3001,MIN('02_Eingaben'!$C$21,ROW()-1+'02_Eingaben'!$C$17))))</f>
        <v/>
      </c>
      <c r="G2527" s="17" t="str">
        <f>IF(F2527="","",F2527-'02_Eingaben'!$C$10)</f>
        <v/>
      </c>
      <c r="H2527" t="str">
        <f>IF(F2527="","",IF(F2527&lt;'02_Eingaben'!$C$18*'02_Eingaben'!$C$10,1,0))</f>
        <v/>
      </c>
      <c r="I2527" s="17" t="str">
        <f t="shared" si="39"/>
        <v/>
      </c>
      <c r="J2527" s="17" t="str">
        <f>IF(B2527="","",IF(B2526&lt;'02_Eingaben'!$C$36,0,J2526+I2526/'02_Eingaben'!$C$8))</f>
        <v/>
      </c>
    </row>
    <row r="2528" spans="1:10" x14ac:dyDescent="0.25">
      <c r="A2528" t="str">
        <f>IF('01_Rohdaten'!A2528="","",ROW()-1)</f>
        <v/>
      </c>
      <c r="B2528" s="17" t="str">
        <f>IF('01_Rohdaten'!A2528="","",'01_Rohdaten'!A2528)</f>
        <v/>
      </c>
      <c r="C2528" s="17" t="str">
        <f>IF(B2528="","",INDEX('01_Rohdaten'!B2528:D2528,'02_Eingaben'!$C$13))</f>
        <v/>
      </c>
      <c r="D2528" s="17" t="str">
        <f>IF(C2528="","",C2528*'02_Eingaben'!$C$15)</f>
        <v/>
      </c>
      <c r="E2528" s="17" t="str">
        <f>IF(D2528="","",D2528*'02_Eingaben'!$C$8)</f>
        <v/>
      </c>
      <c r="F2528" s="17" t="str">
        <f>IF(E2528="","",AVERAGE(INDEX($E$2:$E$3001,MAX(1,ROW()-1-'02_Eingaben'!$C$17)):INDEX($E$2:$E$3001,MIN('02_Eingaben'!$C$21,ROW()-1+'02_Eingaben'!$C$17))))</f>
        <v/>
      </c>
      <c r="G2528" s="17" t="str">
        <f>IF(F2528="","",F2528-'02_Eingaben'!$C$10)</f>
        <v/>
      </c>
      <c r="H2528" t="str">
        <f>IF(F2528="","",IF(F2528&lt;'02_Eingaben'!$C$18*'02_Eingaben'!$C$10,1,0))</f>
        <v/>
      </c>
      <c r="I2528" s="17" t="str">
        <f t="shared" si="39"/>
        <v/>
      </c>
      <c r="J2528" s="17" t="str">
        <f>IF(B2528="","",IF(B2527&lt;'02_Eingaben'!$C$36,0,J2527+I2527/'02_Eingaben'!$C$8))</f>
        <v/>
      </c>
    </row>
    <row r="2529" spans="1:10" x14ac:dyDescent="0.25">
      <c r="A2529" t="str">
        <f>IF('01_Rohdaten'!A2529="","",ROW()-1)</f>
        <v/>
      </c>
      <c r="B2529" s="17" t="str">
        <f>IF('01_Rohdaten'!A2529="","",'01_Rohdaten'!A2529)</f>
        <v/>
      </c>
      <c r="C2529" s="17" t="str">
        <f>IF(B2529="","",INDEX('01_Rohdaten'!B2529:D2529,'02_Eingaben'!$C$13))</f>
        <v/>
      </c>
      <c r="D2529" s="17" t="str">
        <f>IF(C2529="","",C2529*'02_Eingaben'!$C$15)</f>
        <v/>
      </c>
      <c r="E2529" s="17" t="str">
        <f>IF(D2529="","",D2529*'02_Eingaben'!$C$8)</f>
        <v/>
      </c>
      <c r="F2529" s="17" t="str">
        <f>IF(E2529="","",AVERAGE(INDEX($E$2:$E$3001,MAX(1,ROW()-1-'02_Eingaben'!$C$17)):INDEX($E$2:$E$3001,MIN('02_Eingaben'!$C$21,ROW()-1+'02_Eingaben'!$C$17))))</f>
        <v/>
      </c>
      <c r="G2529" s="17" t="str">
        <f>IF(F2529="","",F2529-'02_Eingaben'!$C$10)</f>
        <v/>
      </c>
      <c r="H2529" t="str">
        <f>IF(F2529="","",IF(F2529&lt;'02_Eingaben'!$C$18*'02_Eingaben'!$C$10,1,0))</f>
        <v/>
      </c>
      <c r="I2529" s="17" t="str">
        <f t="shared" si="39"/>
        <v/>
      </c>
      <c r="J2529" s="17" t="str">
        <f>IF(B2529="","",IF(B2528&lt;'02_Eingaben'!$C$36,0,J2528+I2528/'02_Eingaben'!$C$8))</f>
        <v/>
      </c>
    </row>
    <row r="2530" spans="1:10" x14ac:dyDescent="0.25">
      <c r="A2530" t="str">
        <f>IF('01_Rohdaten'!A2530="","",ROW()-1)</f>
        <v/>
      </c>
      <c r="B2530" s="17" t="str">
        <f>IF('01_Rohdaten'!A2530="","",'01_Rohdaten'!A2530)</f>
        <v/>
      </c>
      <c r="C2530" s="17" t="str">
        <f>IF(B2530="","",INDEX('01_Rohdaten'!B2530:D2530,'02_Eingaben'!$C$13))</f>
        <v/>
      </c>
      <c r="D2530" s="17" t="str">
        <f>IF(C2530="","",C2530*'02_Eingaben'!$C$15)</f>
        <v/>
      </c>
      <c r="E2530" s="17" t="str">
        <f>IF(D2530="","",D2530*'02_Eingaben'!$C$8)</f>
        <v/>
      </c>
      <c r="F2530" s="17" t="str">
        <f>IF(E2530="","",AVERAGE(INDEX($E$2:$E$3001,MAX(1,ROW()-1-'02_Eingaben'!$C$17)):INDEX($E$2:$E$3001,MIN('02_Eingaben'!$C$21,ROW()-1+'02_Eingaben'!$C$17))))</f>
        <v/>
      </c>
      <c r="G2530" s="17" t="str">
        <f>IF(F2530="","",F2530-'02_Eingaben'!$C$10)</f>
        <v/>
      </c>
      <c r="H2530" t="str">
        <f>IF(F2530="","",IF(F2530&lt;'02_Eingaben'!$C$18*'02_Eingaben'!$C$10,1,0))</f>
        <v/>
      </c>
      <c r="I2530" s="17" t="str">
        <f t="shared" si="39"/>
        <v/>
      </c>
      <c r="J2530" s="17" t="str">
        <f>IF(B2530="","",IF(B2529&lt;'02_Eingaben'!$C$36,0,J2529+I2529/'02_Eingaben'!$C$8))</f>
        <v/>
      </c>
    </row>
    <row r="2531" spans="1:10" x14ac:dyDescent="0.25">
      <c r="A2531" t="str">
        <f>IF('01_Rohdaten'!A2531="","",ROW()-1)</f>
        <v/>
      </c>
      <c r="B2531" s="17" t="str">
        <f>IF('01_Rohdaten'!A2531="","",'01_Rohdaten'!A2531)</f>
        <v/>
      </c>
      <c r="C2531" s="17" t="str">
        <f>IF(B2531="","",INDEX('01_Rohdaten'!B2531:D2531,'02_Eingaben'!$C$13))</f>
        <v/>
      </c>
      <c r="D2531" s="17" t="str">
        <f>IF(C2531="","",C2531*'02_Eingaben'!$C$15)</f>
        <v/>
      </c>
      <c r="E2531" s="17" t="str">
        <f>IF(D2531="","",D2531*'02_Eingaben'!$C$8)</f>
        <v/>
      </c>
      <c r="F2531" s="17" t="str">
        <f>IF(E2531="","",AVERAGE(INDEX($E$2:$E$3001,MAX(1,ROW()-1-'02_Eingaben'!$C$17)):INDEX($E$2:$E$3001,MIN('02_Eingaben'!$C$21,ROW()-1+'02_Eingaben'!$C$17))))</f>
        <v/>
      </c>
      <c r="G2531" s="17" t="str">
        <f>IF(F2531="","",F2531-'02_Eingaben'!$C$10)</f>
        <v/>
      </c>
      <c r="H2531" t="str">
        <f>IF(F2531="","",IF(F2531&lt;'02_Eingaben'!$C$18*'02_Eingaben'!$C$10,1,0))</f>
        <v/>
      </c>
      <c r="I2531" s="17" t="str">
        <f t="shared" si="39"/>
        <v/>
      </c>
      <c r="J2531" s="17" t="str">
        <f>IF(B2531="","",IF(B2530&lt;'02_Eingaben'!$C$36,0,J2530+I2530/'02_Eingaben'!$C$8))</f>
        <v/>
      </c>
    </row>
    <row r="2532" spans="1:10" x14ac:dyDescent="0.25">
      <c r="A2532" t="str">
        <f>IF('01_Rohdaten'!A2532="","",ROW()-1)</f>
        <v/>
      </c>
      <c r="B2532" s="17" t="str">
        <f>IF('01_Rohdaten'!A2532="","",'01_Rohdaten'!A2532)</f>
        <v/>
      </c>
      <c r="C2532" s="17" t="str">
        <f>IF(B2532="","",INDEX('01_Rohdaten'!B2532:D2532,'02_Eingaben'!$C$13))</f>
        <v/>
      </c>
      <c r="D2532" s="17" t="str">
        <f>IF(C2532="","",C2532*'02_Eingaben'!$C$15)</f>
        <v/>
      </c>
      <c r="E2532" s="17" t="str">
        <f>IF(D2532="","",D2532*'02_Eingaben'!$C$8)</f>
        <v/>
      </c>
      <c r="F2532" s="17" t="str">
        <f>IF(E2532="","",AVERAGE(INDEX($E$2:$E$3001,MAX(1,ROW()-1-'02_Eingaben'!$C$17)):INDEX($E$2:$E$3001,MIN('02_Eingaben'!$C$21,ROW()-1+'02_Eingaben'!$C$17))))</f>
        <v/>
      </c>
      <c r="G2532" s="17" t="str">
        <f>IF(F2532="","",F2532-'02_Eingaben'!$C$10)</f>
        <v/>
      </c>
      <c r="H2532" t="str">
        <f>IF(F2532="","",IF(F2532&lt;'02_Eingaben'!$C$18*'02_Eingaben'!$C$10,1,0))</f>
        <v/>
      </c>
      <c r="I2532" s="17" t="str">
        <f t="shared" si="39"/>
        <v/>
      </c>
      <c r="J2532" s="17" t="str">
        <f>IF(B2532="","",IF(B2531&lt;'02_Eingaben'!$C$36,0,J2531+I2531/'02_Eingaben'!$C$8))</f>
        <v/>
      </c>
    </row>
    <row r="2533" spans="1:10" x14ac:dyDescent="0.25">
      <c r="A2533" t="str">
        <f>IF('01_Rohdaten'!A2533="","",ROW()-1)</f>
        <v/>
      </c>
      <c r="B2533" s="17" t="str">
        <f>IF('01_Rohdaten'!A2533="","",'01_Rohdaten'!A2533)</f>
        <v/>
      </c>
      <c r="C2533" s="17" t="str">
        <f>IF(B2533="","",INDEX('01_Rohdaten'!B2533:D2533,'02_Eingaben'!$C$13))</f>
        <v/>
      </c>
      <c r="D2533" s="17" t="str">
        <f>IF(C2533="","",C2533*'02_Eingaben'!$C$15)</f>
        <v/>
      </c>
      <c r="E2533" s="17" t="str">
        <f>IF(D2533="","",D2533*'02_Eingaben'!$C$8)</f>
        <v/>
      </c>
      <c r="F2533" s="17" t="str">
        <f>IF(E2533="","",AVERAGE(INDEX($E$2:$E$3001,MAX(1,ROW()-1-'02_Eingaben'!$C$17)):INDEX($E$2:$E$3001,MIN('02_Eingaben'!$C$21,ROW()-1+'02_Eingaben'!$C$17))))</f>
        <v/>
      </c>
      <c r="G2533" s="17" t="str">
        <f>IF(F2533="","",F2533-'02_Eingaben'!$C$10)</f>
        <v/>
      </c>
      <c r="H2533" t="str">
        <f>IF(F2533="","",IF(F2533&lt;'02_Eingaben'!$C$18*'02_Eingaben'!$C$10,1,0))</f>
        <v/>
      </c>
      <c r="I2533" s="17" t="str">
        <f t="shared" si="39"/>
        <v/>
      </c>
      <c r="J2533" s="17" t="str">
        <f>IF(B2533="","",IF(B2532&lt;'02_Eingaben'!$C$36,0,J2532+I2532/'02_Eingaben'!$C$8))</f>
        <v/>
      </c>
    </row>
    <row r="2534" spans="1:10" x14ac:dyDescent="0.25">
      <c r="A2534" t="str">
        <f>IF('01_Rohdaten'!A2534="","",ROW()-1)</f>
        <v/>
      </c>
      <c r="B2534" s="17" t="str">
        <f>IF('01_Rohdaten'!A2534="","",'01_Rohdaten'!A2534)</f>
        <v/>
      </c>
      <c r="C2534" s="17" t="str">
        <f>IF(B2534="","",INDEX('01_Rohdaten'!B2534:D2534,'02_Eingaben'!$C$13))</f>
        <v/>
      </c>
      <c r="D2534" s="17" t="str">
        <f>IF(C2534="","",C2534*'02_Eingaben'!$C$15)</f>
        <v/>
      </c>
      <c r="E2534" s="17" t="str">
        <f>IF(D2534="","",D2534*'02_Eingaben'!$C$8)</f>
        <v/>
      </c>
      <c r="F2534" s="17" t="str">
        <f>IF(E2534="","",AVERAGE(INDEX($E$2:$E$3001,MAX(1,ROW()-1-'02_Eingaben'!$C$17)):INDEX($E$2:$E$3001,MIN('02_Eingaben'!$C$21,ROW()-1+'02_Eingaben'!$C$17))))</f>
        <v/>
      </c>
      <c r="G2534" s="17" t="str">
        <f>IF(F2534="","",F2534-'02_Eingaben'!$C$10)</f>
        <v/>
      </c>
      <c r="H2534" t="str">
        <f>IF(F2534="","",IF(F2534&lt;'02_Eingaben'!$C$18*'02_Eingaben'!$C$10,1,0))</f>
        <v/>
      </c>
      <c r="I2534" s="17" t="str">
        <f t="shared" si="39"/>
        <v/>
      </c>
      <c r="J2534" s="17" t="str">
        <f>IF(B2534="","",IF(B2533&lt;'02_Eingaben'!$C$36,0,J2533+I2533/'02_Eingaben'!$C$8))</f>
        <v/>
      </c>
    </row>
    <row r="2535" spans="1:10" x14ac:dyDescent="0.25">
      <c r="A2535" t="str">
        <f>IF('01_Rohdaten'!A2535="","",ROW()-1)</f>
        <v/>
      </c>
      <c r="B2535" s="17" t="str">
        <f>IF('01_Rohdaten'!A2535="","",'01_Rohdaten'!A2535)</f>
        <v/>
      </c>
      <c r="C2535" s="17" t="str">
        <f>IF(B2535="","",INDEX('01_Rohdaten'!B2535:D2535,'02_Eingaben'!$C$13))</f>
        <v/>
      </c>
      <c r="D2535" s="17" t="str">
        <f>IF(C2535="","",C2535*'02_Eingaben'!$C$15)</f>
        <v/>
      </c>
      <c r="E2535" s="17" t="str">
        <f>IF(D2535="","",D2535*'02_Eingaben'!$C$8)</f>
        <v/>
      </c>
      <c r="F2535" s="17" t="str">
        <f>IF(E2535="","",AVERAGE(INDEX($E$2:$E$3001,MAX(1,ROW()-1-'02_Eingaben'!$C$17)):INDEX($E$2:$E$3001,MIN('02_Eingaben'!$C$21,ROW()-1+'02_Eingaben'!$C$17))))</f>
        <v/>
      </c>
      <c r="G2535" s="17" t="str">
        <f>IF(F2535="","",F2535-'02_Eingaben'!$C$10)</f>
        <v/>
      </c>
      <c r="H2535" t="str">
        <f>IF(F2535="","",IF(F2535&lt;'02_Eingaben'!$C$18*'02_Eingaben'!$C$10,1,0))</f>
        <v/>
      </c>
      <c r="I2535" s="17" t="str">
        <f t="shared" si="39"/>
        <v/>
      </c>
      <c r="J2535" s="17" t="str">
        <f>IF(B2535="","",IF(B2534&lt;'02_Eingaben'!$C$36,0,J2534+I2534/'02_Eingaben'!$C$8))</f>
        <v/>
      </c>
    </row>
    <row r="2536" spans="1:10" x14ac:dyDescent="0.25">
      <c r="A2536" t="str">
        <f>IF('01_Rohdaten'!A2536="","",ROW()-1)</f>
        <v/>
      </c>
      <c r="B2536" s="17" t="str">
        <f>IF('01_Rohdaten'!A2536="","",'01_Rohdaten'!A2536)</f>
        <v/>
      </c>
      <c r="C2536" s="17" t="str">
        <f>IF(B2536="","",INDEX('01_Rohdaten'!B2536:D2536,'02_Eingaben'!$C$13))</f>
        <v/>
      </c>
      <c r="D2536" s="17" t="str">
        <f>IF(C2536="","",C2536*'02_Eingaben'!$C$15)</f>
        <v/>
      </c>
      <c r="E2536" s="17" t="str">
        <f>IF(D2536="","",D2536*'02_Eingaben'!$C$8)</f>
        <v/>
      </c>
      <c r="F2536" s="17" t="str">
        <f>IF(E2536="","",AVERAGE(INDEX($E$2:$E$3001,MAX(1,ROW()-1-'02_Eingaben'!$C$17)):INDEX($E$2:$E$3001,MIN('02_Eingaben'!$C$21,ROW()-1+'02_Eingaben'!$C$17))))</f>
        <v/>
      </c>
      <c r="G2536" s="17" t="str">
        <f>IF(F2536="","",F2536-'02_Eingaben'!$C$10)</f>
        <v/>
      </c>
      <c r="H2536" t="str">
        <f>IF(F2536="","",IF(F2536&lt;'02_Eingaben'!$C$18*'02_Eingaben'!$C$10,1,0))</f>
        <v/>
      </c>
      <c r="I2536" s="17" t="str">
        <f t="shared" si="39"/>
        <v/>
      </c>
      <c r="J2536" s="17" t="str">
        <f>IF(B2536="","",IF(B2535&lt;'02_Eingaben'!$C$36,0,J2535+I2535/'02_Eingaben'!$C$8))</f>
        <v/>
      </c>
    </row>
    <row r="2537" spans="1:10" x14ac:dyDescent="0.25">
      <c r="A2537" t="str">
        <f>IF('01_Rohdaten'!A2537="","",ROW()-1)</f>
        <v/>
      </c>
      <c r="B2537" s="17" t="str">
        <f>IF('01_Rohdaten'!A2537="","",'01_Rohdaten'!A2537)</f>
        <v/>
      </c>
      <c r="C2537" s="17" t="str">
        <f>IF(B2537="","",INDEX('01_Rohdaten'!B2537:D2537,'02_Eingaben'!$C$13))</f>
        <v/>
      </c>
      <c r="D2537" s="17" t="str">
        <f>IF(C2537="","",C2537*'02_Eingaben'!$C$15)</f>
        <v/>
      </c>
      <c r="E2537" s="17" t="str">
        <f>IF(D2537="","",D2537*'02_Eingaben'!$C$8)</f>
        <v/>
      </c>
      <c r="F2537" s="17" t="str">
        <f>IF(E2537="","",AVERAGE(INDEX($E$2:$E$3001,MAX(1,ROW()-1-'02_Eingaben'!$C$17)):INDEX($E$2:$E$3001,MIN('02_Eingaben'!$C$21,ROW()-1+'02_Eingaben'!$C$17))))</f>
        <v/>
      </c>
      <c r="G2537" s="17" t="str">
        <f>IF(F2537="","",F2537-'02_Eingaben'!$C$10)</f>
        <v/>
      </c>
      <c r="H2537" t="str">
        <f>IF(F2537="","",IF(F2537&lt;'02_Eingaben'!$C$18*'02_Eingaben'!$C$10,1,0))</f>
        <v/>
      </c>
      <c r="I2537" s="17" t="str">
        <f t="shared" si="39"/>
        <v/>
      </c>
      <c r="J2537" s="17" t="str">
        <f>IF(B2537="","",IF(B2536&lt;'02_Eingaben'!$C$36,0,J2536+I2536/'02_Eingaben'!$C$8))</f>
        <v/>
      </c>
    </row>
    <row r="2538" spans="1:10" x14ac:dyDescent="0.25">
      <c r="A2538" t="str">
        <f>IF('01_Rohdaten'!A2538="","",ROW()-1)</f>
        <v/>
      </c>
      <c r="B2538" s="17" t="str">
        <f>IF('01_Rohdaten'!A2538="","",'01_Rohdaten'!A2538)</f>
        <v/>
      </c>
      <c r="C2538" s="17" t="str">
        <f>IF(B2538="","",INDEX('01_Rohdaten'!B2538:D2538,'02_Eingaben'!$C$13))</f>
        <v/>
      </c>
      <c r="D2538" s="17" t="str">
        <f>IF(C2538="","",C2538*'02_Eingaben'!$C$15)</f>
        <v/>
      </c>
      <c r="E2538" s="17" t="str">
        <f>IF(D2538="","",D2538*'02_Eingaben'!$C$8)</f>
        <v/>
      </c>
      <c r="F2538" s="17" t="str">
        <f>IF(E2538="","",AVERAGE(INDEX($E$2:$E$3001,MAX(1,ROW()-1-'02_Eingaben'!$C$17)):INDEX($E$2:$E$3001,MIN('02_Eingaben'!$C$21,ROW()-1+'02_Eingaben'!$C$17))))</f>
        <v/>
      </c>
      <c r="G2538" s="17" t="str">
        <f>IF(F2538="","",F2538-'02_Eingaben'!$C$10)</f>
        <v/>
      </c>
      <c r="H2538" t="str">
        <f>IF(F2538="","",IF(F2538&lt;'02_Eingaben'!$C$18*'02_Eingaben'!$C$10,1,0))</f>
        <v/>
      </c>
      <c r="I2538" s="17" t="str">
        <f t="shared" si="39"/>
        <v/>
      </c>
      <c r="J2538" s="17" t="str">
        <f>IF(B2538="","",IF(B2537&lt;'02_Eingaben'!$C$36,0,J2537+I2537/'02_Eingaben'!$C$8))</f>
        <v/>
      </c>
    </row>
    <row r="2539" spans="1:10" x14ac:dyDescent="0.25">
      <c r="A2539" t="str">
        <f>IF('01_Rohdaten'!A2539="","",ROW()-1)</f>
        <v/>
      </c>
      <c r="B2539" s="17" t="str">
        <f>IF('01_Rohdaten'!A2539="","",'01_Rohdaten'!A2539)</f>
        <v/>
      </c>
      <c r="C2539" s="17" t="str">
        <f>IF(B2539="","",INDEX('01_Rohdaten'!B2539:D2539,'02_Eingaben'!$C$13))</f>
        <v/>
      </c>
      <c r="D2539" s="17" t="str">
        <f>IF(C2539="","",C2539*'02_Eingaben'!$C$15)</f>
        <v/>
      </c>
      <c r="E2539" s="17" t="str">
        <f>IF(D2539="","",D2539*'02_Eingaben'!$C$8)</f>
        <v/>
      </c>
      <c r="F2539" s="17" t="str">
        <f>IF(E2539="","",AVERAGE(INDEX($E$2:$E$3001,MAX(1,ROW()-1-'02_Eingaben'!$C$17)):INDEX($E$2:$E$3001,MIN('02_Eingaben'!$C$21,ROW()-1+'02_Eingaben'!$C$17))))</f>
        <v/>
      </c>
      <c r="G2539" s="17" t="str">
        <f>IF(F2539="","",F2539-'02_Eingaben'!$C$10)</f>
        <v/>
      </c>
      <c r="H2539" t="str">
        <f>IF(F2539="","",IF(F2539&lt;'02_Eingaben'!$C$18*'02_Eingaben'!$C$10,1,0))</f>
        <v/>
      </c>
      <c r="I2539" s="17" t="str">
        <f t="shared" si="39"/>
        <v/>
      </c>
      <c r="J2539" s="17" t="str">
        <f>IF(B2539="","",IF(B2538&lt;'02_Eingaben'!$C$36,0,J2538+I2538/'02_Eingaben'!$C$8))</f>
        <v/>
      </c>
    </row>
    <row r="2540" spans="1:10" x14ac:dyDescent="0.25">
      <c r="A2540" t="str">
        <f>IF('01_Rohdaten'!A2540="","",ROW()-1)</f>
        <v/>
      </c>
      <c r="B2540" s="17" t="str">
        <f>IF('01_Rohdaten'!A2540="","",'01_Rohdaten'!A2540)</f>
        <v/>
      </c>
      <c r="C2540" s="17" t="str">
        <f>IF(B2540="","",INDEX('01_Rohdaten'!B2540:D2540,'02_Eingaben'!$C$13))</f>
        <v/>
      </c>
      <c r="D2540" s="17" t="str">
        <f>IF(C2540="","",C2540*'02_Eingaben'!$C$15)</f>
        <v/>
      </c>
      <c r="E2540" s="17" t="str">
        <f>IF(D2540="","",D2540*'02_Eingaben'!$C$8)</f>
        <v/>
      </c>
      <c r="F2540" s="17" t="str">
        <f>IF(E2540="","",AVERAGE(INDEX($E$2:$E$3001,MAX(1,ROW()-1-'02_Eingaben'!$C$17)):INDEX($E$2:$E$3001,MIN('02_Eingaben'!$C$21,ROW()-1+'02_Eingaben'!$C$17))))</f>
        <v/>
      </c>
      <c r="G2540" s="17" t="str">
        <f>IF(F2540="","",F2540-'02_Eingaben'!$C$10)</f>
        <v/>
      </c>
      <c r="H2540" t="str">
        <f>IF(F2540="","",IF(F2540&lt;'02_Eingaben'!$C$18*'02_Eingaben'!$C$10,1,0))</f>
        <v/>
      </c>
      <c r="I2540" s="17" t="str">
        <f t="shared" si="39"/>
        <v/>
      </c>
      <c r="J2540" s="17" t="str">
        <f>IF(B2540="","",IF(B2539&lt;'02_Eingaben'!$C$36,0,J2539+I2539/'02_Eingaben'!$C$8))</f>
        <v/>
      </c>
    </row>
    <row r="2541" spans="1:10" x14ac:dyDescent="0.25">
      <c r="A2541" t="str">
        <f>IF('01_Rohdaten'!A2541="","",ROW()-1)</f>
        <v/>
      </c>
      <c r="B2541" s="17" t="str">
        <f>IF('01_Rohdaten'!A2541="","",'01_Rohdaten'!A2541)</f>
        <v/>
      </c>
      <c r="C2541" s="17" t="str">
        <f>IF(B2541="","",INDEX('01_Rohdaten'!B2541:D2541,'02_Eingaben'!$C$13))</f>
        <v/>
      </c>
      <c r="D2541" s="17" t="str">
        <f>IF(C2541="","",C2541*'02_Eingaben'!$C$15)</f>
        <v/>
      </c>
      <c r="E2541" s="17" t="str">
        <f>IF(D2541="","",D2541*'02_Eingaben'!$C$8)</f>
        <v/>
      </c>
      <c r="F2541" s="17" t="str">
        <f>IF(E2541="","",AVERAGE(INDEX($E$2:$E$3001,MAX(1,ROW()-1-'02_Eingaben'!$C$17)):INDEX($E$2:$E$3001,MIN('02_Eingaben'!$C$21,ROW()-1+'02_Eingaben'!$C$17))))</f>
        <v/>
      </c>
      <c r="G2541" s="17" t="str">
        <f>IF(F2541="","",F2541-'02_Eingaben'!$C$10)</f>
        <v/>
      </c>
      <c r="H2541" t="str">
        <f>IF(F2541="","",IF(F2541&lt;'02_Eingaben'!$C$18*'02_Eingaben'!$C$10,1,0))</f>
        <v/>
      </c>
      <c r="I2541" s="17" t="str">
        <f t="shared" si="39"/>
        <v/>
      </c>
      <c r="J2541" s="17" t="str">
        <f>IF(B2541="","",IF(B2540&lt;'02_Eingaben'!$C$36,0,J2540+I2540/'02_Eingaben'!$C$8))</f>
        <v/>
      </c>
    </row>
    <row r="2542" spans="1:10" x14ac:dyDescent="0.25">
      <c r="A2542" t="str">
        <f>IF('01_Rohdaten'!A2542="","",ROW()-1)</f>
        <v/>
      </c>
      <c r="B2542" s="17" t="str">
        <f>IF('01_Rohdaten'!A2542="","",'01_Rohdaten'!A2542)</f>
        <v/>
      </c>
      <c r="C2542" s="17" t="str">
        <f>IF(B2542="","",INDEX('01_Rohdaten'!B2542:D2542,'02_Eingaben'!$C$13))</f>
        <v/>
      </c>
      <c r="D2542" s="17" t="str">
        <f>IF(C2542="","",C2542*'02_Eingaben'!$C$15)</f>
        <v/>
      </c>
      <c r="E2542" s="17" t="str">
        <f>IF(D2542="","",D2542*'02_Eingaben'!$C$8)</f>
        <v/>
      </c>
      <c r="F2542" s="17" t="str">
        <f>IF(E2542="","",AVERAGE(INDEX($E$2:$E$3001,MAX(1,ROW()-1-'02_Eingaben'!$C$17)):INDEX($E$2:$E$3001,MIN('02_Eingaben'!$C$21,ROW()-1+'02_Eingaben'!$C$17))))</f>
        <v/>
      </c>
      <c r="G2542" s="17" t="str">
        <f>IF(F2542="","",F2542-'02_Eingaben'!$C$10)</f>
        <v/>
      </c>
      <c r="H2542" t="str">
        <f>IF(F2542="","",IF(F2542&lt;'02_Eingaben'!$C$18*'02_Eingaben'!$C$10,1,0))</f>
        <v/>
      </c>
      <c r="I2542" s="17" t="str">
        <f t="shared" si="39"/>
        <v/>
      </c>
      <c r="J2542" s="17" t="str">
        <f>IF(B2542="","",IF(B2541&lt;'02_Eingaben'!$C$36,0,J2541+I2541/'02_Eingaben'!$C$8))</f>
        <v/>
      </c>
    </row>
    <row r="2543" spans="1:10" x14ac:dyDescent="0.25">
      <c r="A2543" t="str">
        <f>IF('01_Rohdaten'!A2543="","",ROW()-1)</f>
        <v/>
      </c>
      <c r="B2543" s="17" t="str">
        <f>IF('01_Rohdaten'!A2543="","",'01_Rohdaten'!A2543)</f>
        <v/>
      </c>
      <c r="C2543" s="17" t="str">
        <f>IF(B2543="","",INDEX('01_Rohdaten'!B2543:D2543,'02_Eingaben'!$C$13))</f>
        <v/>
      </c>
      <c r="D2543" s="17" t="str">
        <f>IF(C2543="","",C2543*'02_Eingaben'!$C$15)</f>
        <v/>
      </c>
      <c r="E2543" s="17" t="str">
        <f>IF(D2543="","",D2543*'02_Eingaben'!$C$8)</f>
        <v/>
      </c>
      <c r="F2543" s="17" t="str">
        <f>IF(E2543="","",AVERAGE(INDEX($E$2:$E$3001,MAX(1,ROW()-1-'02_Eingaben'!$C$17)):INDEX($E$2:$E$3001,MIN('02_Eingaben'!$C$21,ROW()-1+'02_Eingaben'!$C$17))))</f>
        <v/>
      </c>
      <c r="G2543" s="17" t="str">
        <f>IF(F2543="","",F2543-'02_Eingaben'!$C$10)</f>
        <v/>
      </c>
      <c r="H2543" t="str">
        <f>IF(F2543="","",IF(F2543&lt;'02_Eingaben'!$C$18*'02_Eingaben'!$C$10,1,0))</f>
        <v/>
      </c>
      <c r="I2543" s="17" t="str">
        <f t="shared" si="39"/>
        <v/>
      </c>
      <c r="J2543" s="17" t="str">
        <f>IF(B2543="","",IF(B2542&lt;'02_Eingaben'!$C$36,0,J2542+I2542/'02_Eingaben'!$C$8))</f>
        <v/>
      </c>
    </row>
    <row r="2544" spans="1:10" x14ac:dyDescent="0.25">
      <c r="A2544" t="str">
        <f>IF('01_Rohdaten'!A2544="","",ROW()-1)</f>
        <v/>
      </c>
      <c r="B2544" s="17" t="str">
        <f>IF('01_Rohdaten'!A2544="","",'01_Rohdaten'!A2544)</f>
        <v/>
      </c>
      <c r="C2544" s="17" t="str">
        <f>IF(B2544="","",INDEX('01_Rohdaten'!B2544:D2544,'02_Eingaben'!$C$13))</f>
        <v/>
      </c>
      <c r="D2544" s="17" t="str">
        <f>IF(C2544="","",C2544*'02_Eingaben'!$C$15)</f>
        <v/>
      </c>
      <c r="E2544" s="17" t="str">
        <f>IF(D2544="","",D2544*'02_Eingaben'!$C$8)</f>
        <v/>
      </c>
      <c r="F2544" s="17" t="str">
        <f>IF(E2544="","",AVERAGE(INDEX($E$2:$E$3001,MAX(1,ROW()-1-'02_Eingaben'!$C$17)):INDEX($E$2:$E$3001,MIN('02_Eingaben'!$C$21,ROW()-1+'02_Eingaben'!$C$17))))</f>
        <v/>
      </c>
      <c r="G2544" s="17" t="str">
        <f>IF(F2544="","",F2544-'02_Eingaben'!$C$10)</f>
        <v/>
      </c>
      <c r="H2544" t="str">
        <f>IF(F2544="","",IF(F2544&lt;'02_Eingaben'!$C$18*'02_Eingaben'!$C$10,1,0))</f>
        <v/>
      </c>
      <c r="I2544" s="17" t="str">
        <f t="shared" si="39"/>
        <v/>
      </c>
      <c r="J2544" s="17" t="str">
        <f>IF(B2544="","",IF(B2543&lt;'02_Eingaben'!$C$36,0,J2543+I2543/'02_Eingaben'!$C$8))</f>
        <v/>
      </c>
    </row>
    <row r="2545" spans="1:10" x14ac:dyDescent="0.25">
      <c r="A2545" t="str">
        <f>IF('01_Rohdaten'!A2545="","",ROW()-1)</f>
        <v/>
      </c>
      <c r="B2545" s="17" t="str">
        <f>IF('01_Rohdaten'!A2545="","",'01_Rohdaten'!A2545)</f>
        <v/>
      </c>
      <c r="C2545" s="17" t="str">
        <f>IF(B2545="","",INDEX('01_Rohdaten'!B2545:D2545,'02_Eingaben'!$C$13))</f>
        <v/>
      </c>
      <c r="D2545" s="17" t="str">
        <f>IF(C2545="","",C2545*'02_Eingaben'!$C$15)</f>
        <v/>
      </c>
      <c r="E2545" s="17" t="str">
        <f>IF(D2545="","",D2545*'02_Eingaben'!$C$8)</f>
        <v/>
      </c>
      <c r="F2545" s="17" t="str">
        <f>IF(E2545="","",AVERAGE(INDEX($E$2:$E$3001,MAX(1,ROW()-1-'02_Eingaben'!$C$17)):INDEX($E$2:$E$3001,MIN('02_Eingaben'!$C$21,ROW()-1+'02_Eingaben'!$C$17))))</f>
        <v/>
      </c>
      <c r="G2545" s="17" t="str">
        <f>IF(F2545="","",F2545-'02_Eingaben'!$C$10)</f>
        <v/>
      </c>
      <c r="H2545" t="str">
        <f>IF(F2545="","",IF(F2545&lt;'02_Eingaben'!$C$18*'02_Eingaben'!$C$10,1,0))</f>
        <v/>
      </c>
      <c r="I2545" s="17" t="str">
        <f t="shared" si="39"/>
        <v/>
      </c>
      <c r="J2545" s="17" t="str">
        <f>IF(B2545="","",IF(B2544&lt;'02_Eingaben'!$C$36,0,J2544+I2544/'02_Eingaben'!$C$8))</f>
        <v/>
      </c>
    </row>
    <row r="2546" spans="1:10" x14ac:dyDescent="0.25">
      <c r="A2546" t="str">
        <f>IF('01_Rohdaten'!A2546="","",ROW()-1)</f>
        <v/>
      </c>
      <c r="B2546" s="17" t="str">
        <f>IF('01_Rohdaten'!A2546="","",'01_Rohdaten'!A2546)</f>
        <v/>
      </c>
      <c r="C2546" s="17" t="str">
        <f>IF(B2546="","",INDEX('01_Rohdaten'!B2546:D2546,'02_Eingaben'!$C$13))</f>
        <v/>
      </c>
      <c r="D2546" s="17" t="str">
        <f>IF(C2546="","",C2546*'02_Eingaben'!$C$15)</f>
        <v/>
      </c>
      <c r="E2546" s="17" t="str">
        <f>IF(D2546="","",D2546*'02_Eingaben'!$C$8)</f>
        <v/>
      </c>
      <c r="F2546" s="17" t="str">
        <f>IF(E2546="","",AVERAGE(INDEX($E$2:$E$3001,MAX(1,ROW()-1-'02_Eingaben'!$C$17)):INDEX($E$2:$E$3001,MIN('02_Eingaben'!$C$21,ROW()-1+'02_Eingaben'!$C$17))))</f>
        <v/>
      </c>
      <c r="G2546" s="17" t="str">
        <f>IF(F2546="","",F2546-'02_Eingaben'!$C$10)</f>
        <v/>
      </c>
      <c r="H2546" t="str">
        <f>IF(F2546="","",IF(F2546&lt;'02_Eingaben'!$C$18*'02_Eingaben'!$C$10,1,0))</f>
        <v/>
      </c>
      <c r="I2546" s="17" t="str">
        <f t="shared" si="39"/>
        <v/>
      </c>
      <c r="J2546" s="17" t="str">
        <f>IF(B2546="","",IF(B2545&lt;'02_Eingaben'!$C$36,0,J2545+I2545/'02_Eingaben'!$C$8))</f>
        <v/>
      </c>
    </row>
    <row r="2547" spans="1:10" x14ac:dyDescent="0.25">
      <c r="A2547" t="str">
        <f>IF('01_Rohdaten'!A2547="","",ROW()-1)</f>
        <v/>
      </c>
      <c r="B2547" s="17" t="str">
        <f>IF('01_Rohdaten'!A2547="","",'01_Rohdaten'!A2547)</f>
        <v/>
      </c>
      <c r="C2547" s="17" t="str">
        <f>IF(B2547="","",INDEX('01_Rohdaten'!B2547:D2547,'02_Eingaben'!$C$13))</f>
        <v/>
      </c>
      <c r="D2547" s="17" t="str">
        <f>IF(C2547="","",C2547*'02_Eingaben'!$C$15)</f>
        <v/>
      </c>
      <c r="E2547" s="17" t="str">
        <f>IF(D2547="","",D2547*'02_Eingaben'!$C$8)</f>
        <v/>
      </c>
      <c r="F2547" s="17" t="str">
        <f>IF(E2547="","",AVERAGE(INDEX($E$2:$E$3001,MAX(1,ROW()-1-'02_Eingaben'!$C$17)):INDEX($E$2:$E$3001,MIN('02_Eingaben'!$C$21,ROW()-1+'02_Eingaben'!$C$17))))</f>
        <v/>
      </c>
      <c r="G2547" s="17" t="str">
        <f>IF(F2547="","",F2547-'02_Eingaben'!$C$10)</f>
        <v/>
      </c>
      <c r="H2547" t="str">
        <f>IF(F2547="","",IF(F2547&lt;'02_Eingaben'!$C$18*'02_Eingaben'!$C$10,1,0))</f>
        <v/>
      </c>
      <c r="I2547" s="17" t="str">
        <f t="shared" si="39"/>
        <v/>
      </c>
      <c r="J2547" s="17" t="str">
        <f>IF(B2547="","",IF(B2546&lt;'02_Eingaben'!$C$36,0,J2546+I2546/'02_Eingaben'!$C$8))</f>
        <v/>
      </c>
    </row>
    <row r="2548" spans="1:10" x14ac:dyDescent="0.25">
      <c r="A2548" t="str">
        <f>IF('01_Rohdaten'!A2548="","",ROW()-1)</f>
        <v/>
      </c>
      <c r="B2548" s="17" t="str">
        <f>IF('01_Rohdaten'!A2548="","",'01_Rohdaten'!A2548)</f>
        <v/>
      </c>
      <c r="C2548" s="17" t="str">
        <f>IF(B2548="","",INDEX('01_Rohdaten'!B2548:D2548,'02_Eingaben'!$C$13))</f>
        <v/>
      </c>
      <c r="D2548" s="17" t="str">
        <f>IF(C2548="","",C2548*'02_Eingaben'!$C$15)</f>
        <v/>
      </c>
      <c r="E2548" s="17" t="str">
        <f>IF(D2548="","",D2548*'02_Eingaben'!$C$8)</f>
        <v/>
      </c>
      <c r="F2548" s="17" t="str">
        <f>IF(E2548="","",AVERAGE(INDEX($E$2:$E$3001,MAX(1,ROW()-1-'02_Eingaben'!$C$17)):INDEX($E$2:$E$3001,MIN('02_Eingaben'!$C$21,ROW()-1+'02_Eingaben'!$C$17))))</f>
        <v/>
      </c>
      <c r="G2548" s="17" t="str">
        <f>IF(F2548="","",F2548-'02_Eingaben'!$C$10)</f>
        <v/>
      </c>
      <c r="H2548" t="str">
        <f>IF(F2548="","",IF(F2548&lt;'02_Eingaben'!$C$18*'02_Eingaben'!$C$10,1,0))</f>
        <v/>
      </c>
      <c r="I2548" s="17" t="str">
        <f t="shared" si="39"/>
        <v/>
      </c>
      <c r="J2548" s="17" t="str">
        <f>IF(B2548="","",IF(B2547&lt;'02_Eingaben'!$C$36,0,J2547+I2547/'02_Eingaben'!$C$8))</f>
        <v/>
      </c>
    </row>
    <row r="2549" spans="1:10" x14ac:dyDescent="0.25">
      <c r="A2549" t="str">
        <f>IF('01_Rohdaten'!A2549="","",ROW()-1)</f>
        <v/>
      </c>
      <c r="B2549" s="17" t="str">
        <f>IF('01_Rohdaten'!A2549="","",'01_Rohdaten'!A2549)</f>
        <v/>
      </c>
      <c r="C2549" s="17" t="str">
        <f>IF(B2549="","",INDEX('01_Rohdaten'!B2549:D2549,'02_Eingaben'!$C$13))</f>
        <v/>
      </c>
      <c r="D2549" s="17" t="str">
        <f>IF(C2549="","",C2549*'02_Eingaben'!$C$15)</f>
        <v/>
      </c>
      <c r="E2549" s="17" t="str">
        <f>IF(D2549="","",D2549*'02_Eingaben'!$C$8)</f>
        <v/>
      </c>
      <c r="F2549" s="17" t="str">
        <f>IF(E2549="","",AVERAGE(INDEX($E$2:$E$3001,MAX(1,ROW()-1-'02_Eingaben'!$C$17)):INDEX($E$2:$E$3001,MIN('02_Eingaben'!$C$21,ROW()-1+'02_Eingaben'!$C$17))))</f>
        <v/>
      </c>
      <c r="G2549" s="17" t="str">
        <f>IF(F2549="","",F2549-'02_Eingaben'!$C$10)</f>
        <v/>
      </c>
      <c r="H2549" t="str">
        <f>IF(F2549="","",IF(F2549&lt;'02_Eingaben'!$C$18*'02_Eingaben'!$C$10,1,0))</f>
        <v/>
      </c>
      <c r="I2549" s="17" t="str">
        <f t="shared" si="39"/>
        <v/>
      </c>
      <c r="J2549" s="17" t="str">
        <f>IF(B2549="","",IF(B2548&lt;'02_Eingaben'!$C$36,0,J2548+I2548/'02_Eingaben'!$C$8))</f>
        <v/>
      </c>
    </row>
    <row r="2550" spans="1:10" x14ac:dyDescent="0.25">
      <c r="A2550" t="str">
        <f>IF('01_Rohdaten'!A2550="","",ROW()-1)</f>
        <v/>
      </c>
      <c r="B2550" s="17" t="str">
        <f>IF('01_Rohdaten'!A2550="","",'01_Rohdaten'!A2550)</f>
        <v/>
      </c>
      <c r="C2550" s="17" t="str">
        <f>IF(B2550="","",INDEX('01_Rohdaten'!B2550:D2550,'02_Eingaben'!$C$13))</f>
        <v/>
      </c>
      <c r="D2550" s="17" t="str">
        <f>IF(C2550="","",C2550*'02_Eingaben'!$C$15)</f>
        <v/>
      </c>
      <c r="E2550" s="17" t="str">
        <f>IF(D2550="","",D2550*'02_Eingaben'!$C$8)</f>
        <v/>
      </c>
      <c r="F2550" s="17" t="str">
        <f>IF(E2550="","",AVERAGE(INDEX($E$2:$E$3001,MAX(1,ROW()-1-'02_Eingaben'!$C$17)):INDEX($E$2:$E$3001,MIN('02_Eingaben'!$C$21,ROW()-1+'02_Eingaben'!$C$17))))</f>
        <v/>
      </c>
      <c r="G2550" s="17" t="str">
        <f>IF(F2550="","",F2550-'02_Eingaben'!$C$10)</f>
        <v/>
      </c>
      <c r="H2550" t="str">
        <f>IF(F2550="","",IF(F2550&lt;'02_Eingaben'!$C$18*'02_Eingaben'!$C$10,1,0))</f>
        <v/>
      </c>
      <c r="I2550" s="17" t="str">
        <f t="shared" si="39"/>
        <v/>
      </c>
      <c r="J2550" s="17" t="str">
        <f>IF(B2550="","",IF(B2549&lt;'02_Eingaben'!$C$36,0,J2549+I2549/'02_Eingaben'!$C$8))</f>
        <v/>
      </c>
    </row>
    <row r="2551" spans="1:10" x14ac:dyDescent="0.25">
      <c r="A2551" t="str">
        <f>IF('01_Rohdaten'!A2551="","",ROW()-1)</f>
        <v/>
      </c>
      <c r="B2551" s="17" t="str">
        <f>IF('01_Rohdaten'!A2551="","",'01_Rohdaten'!A2551)</f>
        <v/>
      </c>
      <c r="C2551" s="17" t="str">
        <f>IF(B2551="","",INDEX('01_Rohdaten'!B2551:D2551,'02_Eingaben'!$C$13))</f>
        <v/>
      </c>
      <c r="D2551" s="17" t="str">
        <f>IF(C2551="","",C2551*'02_Eingaben'!$C$15)</f>
        <v/>
      </c>
      <c r="E2551" s="17" t="str">
        <f>IF(D2551="","",D2551*'02_Eingaben'!$C$8)</f>
        <v/>
      </c>
      <c r="F2551" s="17" t="str">
        <f>IF(E2551="","",AVERAGE(INDEX($E$2:$E$3001,MAX(1,ROW()-1-'02_Eingaben'!$C$17)):INDEX($E$2:$E$3001,MIN('02_Eingaben'!$C$21,ROW()-1+'02_Eingaben'!$C$17))))</f>
        <v/>
      </c>
      <c r="G2551" s="17" t="str">
        <f>IF(F2551="","",F2551-'02_Eingaben'!$C$10)</f>
        <v/>
      </c>
      <c r="H2551" t="str">
        <f>IF(F2551="","",IF(F2551&lt;'02_Eingaben'!$C$18*'02_Eingaben'!$C$10,1,0))</f>
        <v/>
      </c>
      <c r="I2551" s="17" t="str">
        <f t="shared" si="39"/>
        <v/>
      </c>
      <c r="J2551" s="17" t="str">
        <f>IF(B2551="","",IF(B2550&lt;'02_Eingaben'!$C$36,0,J2550+I2550/'02_Eingaben'!$C$8))</f>
        <v/>
      </c>
    </row>
    <row r="2552" spans="1:10" x14ac:dyDescent="0.25">
      <c r="A2552" t="str">
        <f>IF('01_Rohdaten'!A2552="","",ROW()-1)</f>
        <v/>
      </c>
      <c r="B2552" s="17" t="str">
        <f>IF('01_Rohdaten'!A2552="","",'01_Rohdaten'!A2552)</f>
        <v/>
      </c>
      <c r="C2552" s="17" t="str">
        <f>IF(B2552="","",INDEX('01_Rohdaten'!B2552:D2552,'02_Eingaben'!$C$13))</f>
        <v/>
      </c>
      <c r="D2552" s="17" t="str">
        <f>IF(C2552="","",C2552*'02_Eingaben'!$C$15)</f>
        <v/>
      </c>
      <c r="E2552" s="17" t="str">
        <f>IF(D2552="","",D2552*'02_Eingaben'!$C$8)</f>
        <v/>
      </c>
      <c r="F2552" s="17" t="str">
        <f>IF(E2552="","",AVERAGE(INDEX($E$2:$E$3001,MAX(1,ROW()-1-'02_Eingaben'!$C$17)):INDEX($E$2:$E$3001,MIN('02_Eingaben'!$C$21,ROW()-1+'02_Eingaben'!$C$17))))</f>
        <v/>
      </c>
      <c r="G2552" s="17" t="str">
        <f>IF(F2552="","",F2552-'02_Eingaben'!$C$10)</f>
        <v/>
      </c>
      <c r="H2552" t="str">
        <f>IF(F2552="","",IF(F2552&lt;'02_Eingaben'!$C$18*'02_Eingaben'!$C$10,1,0))</f>
        <v/>
      </c>
      <c r="I2552" s="17" t="str">
        <f t="shared" si="39"/>
        <v/>
      </c>
      <c r="J2552" s="17" t="str">
        <f>IF(B2552="","",IF(B2551&lt;'02_Eingaben'!$C$36,0,J2551+I2551/'02_Eingaben'!$C$8))</f>
        <v/>
      </c>
    </row>
    <row r="2553" spans="1:10" x14ac:dyDescent="0.25">
      <c r="A2553" t="str">
        <f>IF('01_Rohdaten'!A2553="","",ROW()-1)</f>
        <v/>
      </c>
      <c r="B2553" s="17" t="str">
        <f>IF('01_Rohdaten'!A2553="","",'01_Rohdaten'!A2553)</f>
        <v/>
      </c>
      <c r="C2553" s="17" t="str">
        <f>IF(B2553="","",INDEX('01_Rohdaten'!B2553:D2553,'02_Eingaben'!$C$13))</f>
        <v/>
      </c>
      <c r="D2553" s="17" t="str">
        <f>IF(C2553="","",C2553*'02_Eingaben'!$C$15)</f>
        <v/>
      </c>
      <c r="E2553" s="17" t="str">
        <f>IF(D2553="","",D2553*'02_Eingaben'!$C$8)</f>
        <v/>
      </c>
      <c r="F2553" s="17" t="str">
        <f>IF(E2553="","",AVERAGE(INDEX($E$2:$E$3001,MAX(1,ROW()-1-'02_Eingaben'!$C$17)):INDEX($E$2:$E$3001,MIN('02_Eingaben'!$C$21,ROW()-1+'02_Eingaben'!$C$17))))</f>
        <v/>
      </c>
      <c r="G2553" s="17" t="str">
        <f>IF(F2553="","",F2553-'02_Eingaben'!$C$10)</f>
        <v/>
      </c>
      <c r="H2553" t="str">
        <f>IF(F2553="","",IF(F2553&lt;'02_Eingaben'!$C$18*'02_Eingaben'!$C$10,1,0))</f>
        <v/>
      </c>
      <c r="I2553" s="17" t="str">
        <f t="shared" si="39"/>
        <v/>
      </c>
      <c r="J2553" s="17" t="str">
        <f>IF(B2553="","",IF(B2552&lt;'02_Eingaben'!$C$36,0,J2552+I2552/'02_Eingaben'!$C$8))</f>
        <v/>
      </c>
    </row>
    <row r="2554" spans="1:10" x14ac:dyDescent="0.25">
      <c r="A2554" t="str">
        <f>IF('01_Rohdaten'!A2554="","",ROW()-1)</f>
        <v/>
      </c>
      <c r="B2554" s="17" t="str">
        <f>IF('01_Rohdaten'!A2554="","",'01_Rohdaten'!A2554)</f>
        <v/>
      </c>
      <c r="C2554" s="17" t="str">
        <f>IF(B2554="","",INDEX('01_Rohdaten'!B2554:D2554,'02_Eingaben'!$C$13))</f>
        <v/>
      </c>
      <c r="D2554" s="17" t="str">
        <f>IF(C2554="","",C2554*'02_Eingaben'!$C$15)</f>
        <v/>
      </c>
      <c r="E2554" s="17" t="str">
        <f>IF(D2554="","",D2554*'02_Eingaben'!$C$8)</f>
        <v/>
      </c>
      <c r="F2554" s="17" t="str">
        <f>IF(E2554="","",AVERAGE(INDEX($E$2:$E$3001,MAX(1,ROW()-1-'02_Eingaben'!$C$17)):INDEX($E$2:$E$3001,MIN('02_Eingaben'!$C$21,ROW()-1+'02_Eingaben'!$C$17))))</f>
        <v/>
      </c>
      <c r="G2554" s="17" t="str">
        <f>IF(F2554="","",F2554-'02_Eingaben'!$C$10)</f>
        <v/>
      </c>
      <c r="H2554" t="str">
        <f>IF(F2554="","",IF(F2554&lt;'02_Eingaben'!$C$18*'02_Eingaben'!$C$10,1,0))</f>
        <v/>
      </c>
      <c r="I2554" s="17" t="str">
        <f t="shared" si="39"/>
        <v/>
      </c>
      <c r="J2554" s="17" t="str">
        <f>IF(B2554="","",IF(B2553&lt;'02_Eingaben'!$C$36,0,J2553+I2553/'02_Eingaben'!$C$8))</f>
        <v/>
      </c>
    </row>
    <row r="2555" spans="1:10" x14ac:dyDescent="0.25">
      <c r="A2555" t="str">
        <f>IF('01_Rohdaten'!A2555="","",ROW()-1)</f>
        <v/>
      </c>
      <c r="B2555" s="17" t="str">
        <f>IF('01_Rohdaten'!A2555="","",'01_Rohdaten'!A2555)</f>
        <v/>
      </c>
      <c r="C2555" s="17" t="str">
        <f>IF(B2555="","",INDEX('01_Rohdaten'!B2555:D2555,'02_Eingaben'!$C$13))</f>
        <v/>
      </c>
      <c r="D2555" s="17" t="str">
        <f>IF(C2555="","",C2555*'02_Eingaben'!$C$15)</f>
        <v/>
      </c>
      <c r="E2555" s="17" t="str">
        <f>IF(D2555="","",D2555*'02_Eingaben'!$C$8)</f>
        <v/>
      </c>
      <c r="F2555" s="17" t="str">
        <f>IF(E2555="","",AVERAGE(INDEX($E$2:$E$3001,MAX(1,ROW()-1-'02_Eingaben'!$C$17)):INDEX($E$2:$E$3001,MIN('02_Eingaben'!$C$21,ROW()-1+'02_Eingaben'!$C$17))))</f>
        <v/>
      </c>
      <c r="G2555" s="17" t="str">
        <f>IF(F2555="","",F2555-'02_Eingaben'!$C$10)</f>
        <v/>
      </c>
      <c r="H2555" t="str">
        <f>IF(F2555="","",IF(F2555&lt;'02_Eingaben'!$C$18*'02_Eingaben'!$C$10,1,0))</f>
        <v/>
      </c>
      <c r="I2555" s="17" t="str">
        <f t="shared" si="39"/>
        <v/>
      </c>
      <c r="J2555" s="17" t="str">
        <f>IF(B2555="","",IF(B2554&lt;'02_Eingaben'!$C$36,0,J2554+I2554/'02_Eingaben'!$C$8))</f>
        <v/>
      </c>
    </row>
    <row r="2556" spans="1:10" x14ac:dyDescent="0.25">
      <c r="A2556" t="str">
        <f>IF('01_Rohdaten'!A2556="","",ROW()-1)</f>
        <v/>
      </c>
      <c r="B2556" s="17" t="str">
        <f>IF('01_Rohdaten'!A2556="","",'01_Rohdaten'!A2556)</f>
        <v/>
      </c>
      <c r="C2556" s="17" t="str">
        <f>IF(B2556="","",INDEX('01_Rohdaten'!B2556:D2556,'02_Eingaben'!$C$13))</f>
        <v/>
      </c>
      <c r="D2556" s="17" t="str">
        <f>IF(C2556="","",C2556*'02_Eingaben'!$C$15)</f>
        <v/>
      </c>
      <c r="E2556" s="17" t="str">
        <f>IF(D2556="","",D2556*'02_Eingaben'!$C$8)</f>
        <v/>
      </c>
      <c r="F2556" s="17" t="str">
        <f>IF(E2556="","",AVERAGE(INDEX($E$2:$E$3001,MAX(1,ROW()-1-'02_Eingaben'!$C$17)):INDEX($E$2:$E$3001,MIN('02_Eingaben'!$C$21,ROW()-1+'02_Eingaben'!$C$17))))</f>
        <v/>
      </c>
      <c r="G2556" s="17" t="str">
        <f>IF(F2556="","",F2556-'02_Eingaben'!$C$10)</f>
        <v/>
      </c>
      <c r="H2556" t="str">
        <f>IF(F2556="","",IF(F2556&lt;'02_Eingaben'!$C$18*'02_Eingaben'!$C$10,1,0))</f>
        <v/>
      </c>
      <c r="I2556" s="17" t="str">
        <f t="shared" si="39"/>
        <v/>
      </c>
      <c r="J2556" s="17" t="str">
        <f>IF(B2556="","",IF(B2555&lt;'02_Eingaben'!$C$36,0,J2555+I2555/'02_Eingaben'!$C$8))</f>
        <v/>
      </c>
    </row>
    <row r="2557" spans="1:10" x14ac:dyDescent="0.25">
      <c r="A2557" t="str">
        <f>IF('01_Rohdaten'!A2557="","",ROW()-1)</f>
        <v/>
      </c>
      <c r="B2557" s="17" t="str">
        <f>IF('01_Rohdaten'!A2557="","",'01_Rohdaten'!A2557)</f>
        <v/>
      </c>
      <c r="C2557" s="17" t="str">
        <f>IF(B2557="","",INDEX('01_Rohdaten'!B2557:D2557,'02_Eingaben'!$C$13))</f>
        <v/>
      </c>
      <c r="D2557" s="17" t="str">
        <f>IF(C2557="","",C2557*'02_Eingaben'!$C$15)</f>
        <v/>
      </c>
      <c r="E2557" s="17" t="str">
        <f>IF(D2557="","",D2557*'02_Eingaben'!$C$8)</f>
        <v/>
      </c>
      <c r="F2557" s="17" t="str">
        <f>IF(E2557="","",AVERAGE(INDEX($E$2:$E$3001,MAX(1,ROW()-1-'02_Eingaben'!$C$17)):INDEX($E$2:$E$3001,MIN('02_Eingaben'!$C$21,ROW()-1+'02_Eingaben'!$C$17))))</f>
        <v/>
      </c>
      <c r="G2557" s="17" t="str">
        <f>IF(F2557="","",F2557-'02_Eingaben'!$C$10)</f>
        <v/>
      </c>
      <c r="H2557" t="str">
        <f>IF(F2557="","",IF(F2557&lt;'02_Eingaben'!$C$18*'02_Eingaben'!$C$10,1,0))</f>
        <v/>
      </c>
      <c r="I2557" s="17" t="str">
        <f t="shared" si="39"/>
        <v/>
      </c>
      <c r="J2557" s="17" t="str">
        <f>IF(B2557="","",IF(B2556&lt;'02_Eingaben'!$C$36,0,J2556+I2556/'02_Eingaben'!$C$8))</f>
        <v/>
      </c>
    </row>
    <row r="2558" spans="1:10" x14ac:dyDescent="0.25">
      <c r="A2558" t="str">
        <f>IF('01_Rohdaten'!A2558="","",ROW()-1)</f>
        <v/>
      </c>
      <c r="B2558" s="17" t="str">
        <f>IF('01_Rohdaten'!A2558="","",'01_Rohdaten'!A2558)</f>
        <v/>
      </c>
      <c r="C2558" s="17" t="str">
        <f>IF(B2558="","",INDEX('01_Rohdaten'!B2558:D2558,'02_Eingaben'!$C$13))</f>
        <v/>
      </c>
      <c r="D2558" s="17" t="str">
        <f>IF(C2558="","",C2558*'02_Eingaben'!$C$15)</f>
        <v/>
      </c>
      <c r="E2558" s="17" t="str">
        <f>IF(D2558="","",D2558*'02_Eingaben'!$C$8)</f>
        <v/>
      </c>
      <c r="F2558" s="17" t="str">
        <f>IF(E2558="","",AVERAGE(INDEX($E$2:$E$3001,MAX(1,ROW()-1-'02_Eingaben'!$C$17)):INDEX($E$2:$E$3001,MIN('02_Eingaben'!$C$21,ROW()-1+'02_Eingaben'!$C$17))))</f>
        <v/>
      </c>
      <c r="G2558" s="17" t="str">
        <f>IF(F2558="","",F2558-'02_Eingaben'!$C$10)</f>
        <v/>
      </c>
      <c r="H2558" t="str">
        <f>IF(F2558="","",IF(F2558&lt;'02_Eingaben'!$C$18*'02_Eingaben'!$C$10,1,0))</f>
        <v/>
      </c>
      <c r="I2558" s="17" t="str">
        <f t="shared" si="39"/>
        <v/>
      </c>
      <c r="J2558" s="17" t="str">
        <f>IF(B2558="","",IF(B2557&lt;'02_Eingaben'!$C$36,0,J2557+I2557/'02_Eingaben'!$C$8))</f>
        <v/>
      </c>
    </row>
    <row r="2559" spans="1:10" x14ac:dyDescent="0.25">
      <c r="A2559" t="str">
        <f>IF('01_Rohdaten'!A2559="","",ROW()-1)</f>
        <v/>
      </c>
      <c r="B2559" s="17" t="str">
        <f>IF('01_Rohdaten'!A2559="","",'01_Rohdaten'!A2559)</f>
        <v/>
      </c>
      <c r="C2559" s="17" t="str">
        <f>IF(B2559="","",INDEX('01_Rohdaten'!B2559:D2559,'02_Eingaben'!$C$13))</f>
        <v/>
      </c>
      <c r="D2559" s="17" t="str">
        <f>IF(C2559="","",C2559*'02_Eingaben'!$C$15)</f>
        <v/>
      </c>
      <c r="E2559" s="17" t="str">
        <f>IF(D2559="","",D2559*'02_Eingaben'!$C$8)</f>
        <v/>
      </c>
      <c r="F2559" s="17" t="str">
        <f>IF(E2559="","",AVERAGE(INDEX($E$2:$E$3001,MAX(1,ROW()-1-'02_Eingaben'!$C$17)):INDEX($E$2:$E$3001,MIN('02_Eingaben'!$C$21,ROW()-1+'02_Eingaben'!$C$17))))</f>
        <v/>
      </c>
      <c r="G2559" s="17" t="str">
        <f>IF(F2559="","",F2559-'02_Eingaben'!$C$10)</f>
        <v/>
      </c>
      <c r="H2559" t="str">
        <f>IF(F2559="","",IF(F2559&lt;'02_Eingaben'!$C$18*'02_Eingaben'!$C$10,1,0))</f>
        <v/>
      </c>
      <c r="I2559" s="17" t="str">
        <f t="shared" si="39"/>
        <v/>
      </c>
      <c r="J2559" s="17" t="str">
        <f>IF(B2559="","",IF(B2558&lt;'02_Eingaben'!$C$36,0,J2558+I2558/'02_Eingaben'!$C$8))</f>
        <v/>
      </c>
    </row>
    <row r="2560" spans="1:10" x14ac:dyDescent="0.25">
      <c r="A2560" t="str">
        <f>IF('01_Rohdaten'!A2560="","",ROW()-1)</f>
        <v/>
      </c>
      <c r="B2560" s="17" t="str">
        <f>IF('01_Rohdaten'!A2560="","",'01_Rohdaten'!A2560)</f>
        <v/>
      </c>
      <c r="C2560" s="17" t="str">
        <f>IF(B2560="","",INDEX('01_Rohdaten'!B2560:D2560,'02_Eingaben'!$C$13))</f>
        <v/>
      </c>
      <c r="D2560" s="17" t="str">
        <f>IF(C2560="","",C2560*'02_Eingaben'!$C$15)</f>
        <v/>
      </c>
      <c r="E2560" s="17" t="str">
        <f>IF(D2560="","",D2560*'02_Eingaben'!$C$8)</f>
        <v/>
      </c>
      <c r="F2560" s="17" t="str">
        <f>IF(E2560="","",AVERAGE(INDEX($E$2:$E$3001,MAX(1,ROW()-1-'02_Eingaben'!$C$17)):INDEX($E$2:$E$3001,MIN('02_Eingaben'!$C$21,ROW()-1+'02_Eingaben'!$C$17))))</f>
        <v/>
      </c>
      <c r="G2560" s="17" t="str">
        <f>IF(F2560="","",F2560-'02_Eingaben'!$C$10)</f>
        <v/>
      </c>
      <c r="H2560" t="str">
        <f>IF(F2560="","",IF(F2560&lt;'02_Eingaben'!$C$18*'02_Eingaben'!$C$10,1,0))</f>
        <v/>
      </c>
      <c r="I2560" s="17" t="str">
        <f t="shared" si="39"/>
        <v/>
      </c>
      <c r="J2560" s="17" t="str">
        <f>IF(B2560="","",IF(B2559&lt;'02_Eingaben'!$C$36,0,J2559+I2559/'02_Eingaben'!$C$8))</f>
        <v/>
      </c>
    </row>
    <row r="2561" spans="1:10" x14ac:dyDescent="0.25">
      <c r="A2561" t="str">
        <f>IF('01_Rohdaten'!A2561="","",ROW()-1)</f>
        <v/>
      </c>
      <c r="B2561" s="17" t="str">
        <f>IF('01_Rohdaten'!A2561="","",'01_Rohdaten'!A2561)</f>
        <v/>
      </c>
      <c r="C2561" s="17" t="str">
        <f>IF(B2561="","",INDEX('01_Rohdaten'!B2561:D2561,'02_Eingaben'!$C$13))</f>
        <v/>
      </c>
      <c r="D2561" s="17" t="str">
        <f>IF(C2561="","",C2561*'02_Eingaben'!$C$15)</f>
        <v/>
      </c>
      <c r="E2561" s="17" t="str">
        <f>IF(D2561="","",D2561*'02_Eingaben'!$C$8)</f>
        <v/>
      </c>
      <c r="F2561" s="17" t="str">
        <f>IF(E2561="","",AVERAGE(INDEX($E$2:$E$3001,MAX(1,ROW()-1-'02_Eingaben'!$C$17)):INDEX($E$2:$E$3001,MIN('02_Eingaben'!$C$21,ROW()-1+'02_Eingaben'!$C$17))))</f>
        <v/>
      </c>
      <c r="G2561" s="17" t="str">
        <f>IF(F2561="","",F2561-'02_Eingaben'!$C$10)</f>
        <v/>
      </c>
      <c r="H2561" t="str">
        <f>IF(F2561="","",IF(F2561&lt;'02_Eingaben'!$C$18*'02_Eingaben'!$C$10,1,0))</f>
        <v/>
      </c>
      <c r="I2561" s="17" t="str">
        <f t="shared" si="39"/>
        <v/>
      </c>
      <c r="J2561" s="17" t="str">
        <f>IF(B2561="","",IF(B2560&lt;'02_Eingaben'!$C$36,0,J2560+I2560/'02_Eingaben'!$C$8))</f>
        <v/>
      </c>
    </row>
    <row r="2562" spans="1:10" x14ac:dyDescent="0.25">
      <c r="A2562" t="str">
        <f>IF('01_Rohdaten'!A2562="","",ROW()-1)</f>
        <v/>
      </c>
      <c r="B2562" s="17" t="str">
        <f>IF('01_Rohdaten'!A2562="","",'01_Rohdaten'!A2562)</f>
        <v/>
      </c>
      <c r="C2562" s="17" t="str">
        <f>IF(B2562="","",INDEX('01_Rohdaten'!B2562:D2562,'02_Eingaben'!$C$13))</f>
        <v/>
      </c>
      <c r="D2562" s="17" t="str">
        <f>IF(C2562="","",C2562*'02_Eingaben'!$C$15)</f>
        <v/>
      </c>
      <c r="E2562" s="17" t="str">
        <f>IF(D2562="","",D2562*'02_Eingaben'!$C$8)</f>
        <v/>
      </c>
      <c r="F2562" s="17" t="str">
        <f>IF(E2562="","",AVERAGE(INDEX($E$2:$E$3001,MAX(1,ROW()-1-'02_Eingaben'!$C$17)):INDEX($E$2:$E$3001,MIN('02_Eingaben'!$C$21,ROW()-1+'02_Eingaben'!$C$17))))</f>
        <v/>
      </c>
      <c r="G2562" s="17" t="str">
        <f>IF(F2562="","",F2562-'02_Eingaben'!$C$10)</f>
        <v/>
      </c>
      <c r="H2562" t="str">
        <f>IF(F2562="","",IF(F2562&lt;'02_Eingaben'!$C$18*'02_Eingaben'!$C$10,1,0))</f>
        <v/>
      </c>
      <c r="I2562" s="17" t="str">
        <f t="shared" ref="I2562:I2625" si="40">IF(OR(G2562="",G2563=""),"",(G2562+G2563)/2*(B2563-B2562))</f>
        <v/>
      </c>
      <c r="J2562" s="17" t="str">
        <f>IF(B2562="","",IF(B2561&lt;'02_Eingaben'!$C$36,0,J2561+I2561/'02_Eingaben'!$C$8))</f>
        <v/>
      </c>
    </row>
    <row r="2563" spans="1:10" x14ac:dyDescent="0.25">
      <c r="A2563" t="str">
        <f>IF('01_Rohdaten'!A2563="","",ROW()-1)</f>
        <v/>
      </c>
      <c r="B2563" s="17" t="str">
        <f>IF('01_Rohdaten'!A2563="","",'01_Rohdaten'!A2563)</f>
        <v/>
      </c>
      <c r="C2563" s="17" t="str">
        <f>IF(B2563="","",INDEX('01_Rohdaten'!B2563:D2563,'02_Eingaben'!$C$13))</f>
        <v/>
      </c>
      <c r="D2563" s="17" t="str">
        <f>IF(C2563="","",C2563*'02_Eingaben'!$C$15)</f>
        <v/>
      </c>
      <c r="E2563" s="17" t="str">
        <f>IF(D2563="","",D2563*'02_Eingaben'!$C$8)</f>
        <v/>
      </c>
      <c r="F2563" s="17" t="str">
        <f>IF(E2563="","",AVERAGE(INDEX($E$2:$E$3001,MAX(1,ROW()-1-'02_Eingaben'!$C$17)):INDEX($E$2:$E$3001,MIN('02_Eingaben'!$C$21,ROW()-1+'02_Eingaben'!$C$17))))</f>
        <v/>
      </c>
      <c r="G2563" s="17" t="str">
        <f>IF(F2563="","",F2563-'02_Eingaben'!$C$10)</f>
        <v/>
      </c>
      <c r="H2563" t="str">
        <f>IF(F2563="","",IF(F2563&lt;'02_Eingaben'!$C$18*'02_Eingaben'!$C$10,1,0))</f>
        <v/>
      </c>
      <c r="I2563" s="17" t="str">
        <f t="shared" si="40"/>
        <v/>
      </c>
      <c r="J2563" s="17" t="str">
        <f>IF(B2563="","",IF(B2562&lt;'02_Eingaben'!$C$36,0,J2562+I2562/'02_Eingaben'!$C$8))</f>
        <v/>
      </c>
    </row>
    <row r="2564" spans="1:10" x14ac:dyDescent="0.25">
      <c r="A2564" t="str">
        <f>IF('01_Rohdaten'!A2564="","",ROW()-1)</f>
        <v/>
      </c>
      <c r="B2564" s="17" t="str">
        <f>IF('01_Rohdaten'!A2564="","",'01_Rohdaten'!A2564)</f>
        <v/>
      </c>
      <c r="C2564" s="17" t="str">
        <f>IF(B2564="","",INDEX('01_Rohdaten'!B2564:D2564,'02_Eingaben'!$C$13))</f>
        <v/>
      </c>
      <c r="D2564" s="17" t="str">
        <f>IF(C2564="","",C2564*'02_Eingaben'!$C$15)</f>
        <v/>
      </c>
      <c r="E2564" s="17" t="str">
        <f>IF(D2564="","",D2564*'02_Eingaben'!$C$8)</f>
        <v/>
      </c>
      <c r="F2564" s="17" t="str">
        <f>IF(E2564="","",AVERAGE(INDEX($E$2:$E$3001,MAX(1,ROW()-1-'02_Eingaben'!$C$17)):INDEX($E$2:$E$3001,MIN('02_Eingaben'!$C$21,ROW()-1+'02_Eingaben'!$C$17))))</f>
        <v/>
      </c>
      <c r="G2564" s="17" t="str">
        <f>IF(F2564="","",F2564-'02_Eingaben'!$C$10)</f>
        <v/>
      </c>
      <c r="H2564" t="str">
        <f>IF(F2564="","",IF(F2564&lt;'02_Eingaben'!$C$18*'02_Eingaben'!$C$10,1,0))</f>
        <v/>
      </c>
      <c r="I2564" s="17" t="str">
        <f t="shared" si="40"/>
        <v/>
      </c>
      <c r="J2564" s="17" t="str">
        <f>IF(B2564="","",IF(B2563&lt;'02_Eingaben'!$C$36,0,J2563+I2563/'02_Eingaben'!$C$8))</f>
        <v/>
      </c>
    </row>
    <row r="2565" spans="1:10" x14ac:dyDescent="0.25">
      <c r="A2565" t="str">
        <f>IF('01_Rohdaten'!A2565="","",ROW()-1)</f>
        <v/>
      </c>
      <c r="B2565" s="17" t="str">
        <f>IF('01_Rohdaten'!A2565="","",'01_Rohdaten'!A2565)</f>
        <v/>
      </c>
      <c r="C2565" s="17" t="str">
        <f>IF(B2565="","",INDEX('01_Rohdaten'!B2565:D2565,'02_Eingaben'!$C$13))</f>
        <v/>
      </c>
      <c r="D2565" s="17" t="str">
        <f>IF(C2565="","",C2565*'02_Eingaben'!$C$15)</f>
        <v/>
      </c>
      <c r="E2565" s="17" t="str">
        <f>IF(D2565="","",D2565*'02_Eingaben'!$C$8)</f>
        <v/>
      </c>
      <c r="F2565" s="17" t="str">
        <f>IF(E2565="","",AVERAGE(INDEX($E$2:$E$3001,MAX(1,ROW()-1-'02_Eingaben'!$C$17)):INDEX($E$2:$E$3001,MIN('02_Eingaben'!$C$21,ROW()-1+'02_Eingaben'!$C$17))))</f>
        <v/>
      </c>
      <c r="G2565" s="17" t="str">
        <f>IF(F2565="","",F2565-'02_Eingaben'!$C$10)</f>
        <v/>
      </c>
      <c r="H2565" t="str">
        <f>IF(F2565="","",IF(F2565&lt;'02_Eingaben'!$C$18*'02_Eingaben'!$C$10,1,0))</f>
        <v/>
      </c>
      <c r="I2565" s="17" t="str">
        <f t="shared" si="40"/>
        <v/>
      </c>
      <c r="J2565" s="17" t="str">
        <f>IF(B2565="","",IF(B2564&lt;'02_Eingaben'!$C$36,0,J2564+I2564/'02_Eingaben'!$C$8))</f>
        <v/>
      </c>
    </row>
    <row r="2566" spans="1:10" x14ac:dyDescent="0.25">
      <c r="A2566" t="str">
        <f>IF('01_Rohdaten'!A2566="","",ROW()-1)</f>
        <v/>
      </c>
      <c r="B2566" s="17" t="str">
        <f>IF('01_Rohdaten'!A2566="","",'01_Rohdaten'!A2566)</f>
        <v/>
      </c>
      <c r="C2566" s="17" t="str">
        <f>IF(B2566="","",INDEX('01_Rohdaten'!B2566:D2566,'02_Eingaben'!$C$13))</f>
        <v/>
      </c>
      <c r="D2566" s="17" t="str">
        <f>IF(C2566="","",C2566*'02_Eingaben'!$C$15)</f>
        <v/>
      </c>
      <c r="E2566" s="17" t="str">
        <f>IF(D2566="","",D2566*'02_Eingaben'!$C$8)</f>
        <v/>
      </c>
      <c r="F2566" s="17" t="str">
        <f>IF(E2566="","",AVERAGE(INDEX($E$2:$E$3001,MAX(1,ROW()-1-'02_Eingaben'!$C$17)):INDEX($E$2:$E$3001,MIN('02_Eingaben'!$C$21,ROW()-1+'02_Eingaben'!$C$17))))</f>
        <v/>
      </c>
      <c r="G2566" s="17" t="str">
        <f>IF(F2566="","",F2566-'02_Eingaben'!$C$10)</f>
        <v/>
      </c>
      <c r="H2566" t="str">
        <f>IF(F2566="","",IF(F2566&lt;'02_Eingaben'!$C$18*'02_Eingaben'!$C$10,1,0))</f>
        <v/>
      </c>
      <c r="I2566" s="17" t="str">
        <f t="shared" si="40"/>
        <v/>
      </c>
      <c r="J2566" s="17" t="str">
        <f>IF(B2566="","",IF(B2565&lt;'02_Eingaben'!$C$36,0,J2565+I2565/'02_Eingaben'!$C$8))</f>
        <v/>
      </c>
    </row>
    <row r="2567" spans="1:10" x14ac:dyDescent="0.25">
      <c r="A2567" t="str">
        <f>IF('01_Rohdaten'!A2567="","",ROW()-1)</f>
        <v/>
      </c>
      <c r="B2567" s="17" t="str">
        <f>IF('01_Rohdaten'!A2567="","",'01_Rohdaten'!A2567)</f>
        <v/>
      </c>
      <c r="C2567" s="17" t="str">
        <f>IF(B2567="","",INDEX('01_Rohdaten'!B2567:D2567,'02_Eingaben'!$C$13))</f>
        <v/>
      </c>
      <c r="D2567" s="17" t="str">
        <f>IF(C2567="","",C2567*'02_Eingaben'!$C$15)</f>
        <v/>
      </c>
      <c r="E2567" s="17" t="str">
        <f>IF(D2567="","",D2567*'02_Eingaben'!$C$8)</f>
        <v/>
      </c>
      <c r="F2567" s="17" t="str">
        <f>IF(E2567="","",AVERAGE(INDEX($E$2:$E$3001,MAX(1,ROW()-1-'02_Eingaben'!$C$17)):INDEX($E$2:$E$3001,MIN('02_Eingaben'!$C$21,ROW()-1+'02_Eingaben'!$C$17))))</f>
        <v/>
      </c>
      <c r="G2567" s="17" t="str">
        <f>IF(F2567="","",F2567-'02_Eingaben'!$C$10)</f>
        <v/>
      </c>
      <c r="H2567" t="str">
        <f>IF(F2567="","",IF(F2567&lt;'02_Eingaben'!$C$18*'02_Eingaben'!$C$10,1,0))</f>
        <v/>
      </c>
      <c r="I2567" s="17" t="str">
        <f t="shared" si="40"/>
        <v/>
      </c>
      <c r="J2567" s="17" t="str">
        <f>IF(B2567="","",IF(B2566&lt;'02_Eingaben'!$C$36,0,J2566+I2566/'02_Eingaben'!$C$8))</f>
        <v/>
      </c>
    </row>
    <row r="2568" spans="1:10" x14ac:dyDescent="0.25">
      <c r="A2568" t="str">
        <f>IF('01_Rohdaten'!A2568="","",ROW()-1)</f>
        <v/>
      </c>
      <c r="B2568" s="17" t="str">
        <f>IF('01_Rohdaten'!A2568="","",'01_Rohdaten'!A2568)</f>
        <v/>
      </c>
      <c r="C2568" s="17" t="str">
        <f>IF(B2568="","",INDEX('01_Rohdaten'!B2568:D2568,'02_Eingaben'!$C$13))</f>
        <v/>
      </c>
      <c r="D2568" s="17" t="str">
        <f>IF(C2568="","",C2568*'02_Eingaben'!$C$15)</f>
        <v/>
      </c>
      <c r="E2568" s="17" t="str">
        <f>IF(D2568="","",D2568*'02_Eingaben'!$C$8)</f>
        <v/>
      </c>
      <c r="F2568" s="17" t="str">
        <f>IF(E2568="","",AVERAGE(INDEX($E$2:$E$3001,MAX(1,ROW()-1-'02_Eingaben'!$C$17)):INDEX($E$2:$E$3001,MIN('02_Eingaben'!$C$21,ROW()-1+'02_Eingaben'!$C$17))))</f>
        <v/>
      </c>
      <c r="G2568" s="17" t="str">
        <f>IF(F2568="","",F2568-'02_Eingaben'!$C$10)</f>
        <v/>
      </c>
      <c r="H2568" t="str">
        <f>IF(F2568="","",IF(F2568&lt;'02_Eingaben'!$C$18*'02_Eingaben'!$C$10,1,0))</f>
        <v/>
      </c>
      <c r="I2568" s="17" t="str">
        <f t="shared" si="40"/>
        <v/>
      </c>
      <c r="J2568" s="17" t="str">
        <f>IF(B2568="","",IF(B2567&lt;'02_Eingaben'!$C$36,0,J2567+I2567/'02_Eingaben'!$C$8))</f>
        <v/>
      </c>
    </row>
    <row r="2569" spans="1:10" x14ac:dyDescent="0.25">
      <c r="A2569" t="str">
        <f>IF('01_Rohdaten'!A2569="","",ROW()-1)</f>
        <v/>
      </c>
      <c r="B2569" s="17" t="str">
        <f>IF('01_Rohdaten'!A2569="","",'01_Rohdaten'!A2569)</f>
        <v/>
      </c>
      <c r="C2569" s="17" t="str">
        <f>IF(B2569="","",INDEX('01_Rohdaten'!B2569:D2569,'02_Eingaben'!$C$13))</f>
        <v/>
      </c>
      <c r="D2569" s="17" t="str">
        <f>IF(C2569="","",C2569*'02_Eingaben'!$C$15)</f>
        <v/>
      </c>
      <c r="E2569" s="17" t="str">
        <f>IF(D2569="","",D2569*'02_Eingaben'!$C$8)</f>
        <v/>
      </c>
      <c r="F2569" s="17" t="str">
        <f>IF(E2569="","",AVERAGE(INDEX($E$2:$E$3001,MAX(1,ROW()-1-'02_Eingaben'!$C$17)):INDEX($E$2:$E$3001,MIN('02_Eingaben'!$C$21,ROW()-1+'02_Eingaben'!$C$17))))</f>
        <v/>
      </c>
      <c r="G2569" s="17" t="str">
        <f>IF(F2569="","",F2569-'02_Eingaben'!$C$10)</f>
        <v/>
      </c>
      <c r="H2569" t="str">
        <f>IF(F2569="","",IF(F2569&lt;'02_Eingaben'!$C$18*'02_Eingaben'!$C$10,1,0))</f>
        <v/>
      </c>
      <c r="I2569" s="17" t="str">
        <f t="shared" si="40"/>
        <v/>
      </c>
      <c r="J2569" s="17" t="str">
        <f>IF(B2569="","",IF(B2568&lt;'02_Eingaben'!$C$36,0,J2568+I2568/'02_Eingaben'!$C$8))</f>
        <v/>
      </c>
    </row>
    <row r="2570" spans="1:10" x14ac:dyDescent="0.25">
      <c r="A2570" t="str">
        <f>IF('01_Rohdaten'!A2570="","",ROW()-1)</f>
        <v/>
      </c>
      <c r="B2570" s="17" t="str">
        <f>IF('01_Rohdaten'!A2570="","",'01_Rohdaten'!A2570)</f>
        <v/>
      </c>
      <c r="C2570" s="17" t="str">
        <f>IF(B2570="","",INDEX('01_Rohdaten'!B2570:D2570,'02_Eingaben'!$C$13))</f>
        <v/>
      </c>
      <c r="D2570" s="17" t="str">
        <f>IF(C2570="","",C2570*'02_Eingaben'!$C$15)</f>
        <v/>
      </c>
      <c r="E2570" s="17" t="str">
        <f>IF(D2570="","",D2570*'02_Eingaben'!$C$8)</f>
        <v/>
      </c>
      <c r="F2570" s="17" t="str">
        <f>IF(E2570="","",AVERAGE(INDEX($E$2:$E$3001,MAX(1,ROW()-1-'02_Eingaben'!$C$17)):INDEX($E$2:$E$3001,MIN('02_Eingaben'!$C$21,ROW()-1+'02_Eingaben'!$C$17))))</f>
        <v/>
      </c>
      <c r="G2570" s="17" t="str">
        <f>IF(F2570="","",F2570-'02_Eingaben'!$C$10)</f>
        <v/>
      </c>
      <c r="H2570" t="str">
        <f>IF(F2570="","",IF(F2570&lt;'02_Eingaben'!$C$18*'02_Eingaben'!$C$10,1,0))</f>
        <v/>
      </c>
      <c r="I2570" s="17" t="str">
        <f t="shared" si="40"/>
        <v/>
      </c>
      <c r="J2570" s="17" t="str">
        <f>IF(B2570="","",IF(B2569&lt;'02_Eingaben'!$C$36,0,J2569+I2569/'02_Eingaben'!$C$8))</f>
        <v/>
      </c>
    </row>
    <row r="2571" spans="1:10" x14ac:dyDescent="0.25">
      <c r="A2571" t="str">
        <f>IF('01_Rohdaten'!A2571="","",ROW()-1)</f>
        <v/>
      </c>
      <c r="B2571" s="17" t="str">
        <f>IF('01_Rohdaten'!A2571="","",'01_Rohdaten'!A2571)</f>
        <v/>
      </c>
      <c r="C2571" s="17" t="str">
        <f>IF(B2571="","",INDEX('01_Rohdaten'!B2571:D2571,'02_Eingaben'!$C$13))</f>
        <v/>
      </c>
      <c r="D2571" s="17" t="str">
        <f>IF(C2571="","",C2571*'02_Eingaben'!$C$15)</f>
        <v/>
      </c>
      <c r="E2571" s="17" t="str">
        <f>IF(D2571="","",D2571*'02_Eingaben'!$C$8)</f>
        <v/>
      </c>
      <c r="F2571" s="17" t="str">
        <f>IF(E2571="","",AVERAGE(INDEX($E$2:$E$3001,MAX(1,ROW()-1-'02_Eingaben'!$C$17)):INDEX($E$2:$E$3001,MIN('02_Eingaben'!$C$21,ROW()-1+'02_Eingaben'!$C$17))))</f>
        <v/>
      </c>
      <c r="G2571" s="17" t="str">
        <f>IF(F2571="","",F2571-'02_Eingaben'!$C$10)</f>
        <v/>
      </c>
      <c r="H2571" t="str">
        <f>IF(F2571="","",IF(F2571&lt;'02_Eingaben'!$C$18*'02_Eingaben'!$C$10,1,0))</f>
        <v/>
      </c>
      <c r="I2571" s="17" t="str">
        <f t="shared" si="40"/>
        <v/>
      </c>
      <c r="J2571" s="17" t="str">
        <f>IF(B2571="","",IF(B2570&lt;'02_Eingaben'!$C$36,0,J2570+I2570/'02_Eingaben'!$C$8))</f>
        <v/>
      </c>
    </row>
    <row r="2572" spans="1:10" x14ac:dyDescent="0.25">
      <c r="A2572" t="str">
        <f>IF('01_Rohdaten'!A2572="","",ROW()-1)</f>
        <v/>
      </c>
      <c r="B2572" s="17" t="str">
        <f>IF('01_Rohdaten'!A2572="","",'01_Rohdaten'!A2572)</f>
        <v/>
      </c>
      <c r="C2572" s="17" t="str">
        <f>IF(B2572="","",INDEX('01_Rohdaten'!B2572:D2572,'02_Eingaben'!$C$13))</f>
        <v/>
      </c>
      <c r="D2572" s="17" t="str">
        <f>IF(C2572="","",C2572*'02_Eingaben'!$C$15)</f>
        <v/>
      </c>
      <c r="E2572" s="17" t="str">
        <f>IF(D2572="","",D2572*'02_Eingaben'!$C$8)</f>
        <v/>
      </c>
      <c r="F2572" s="17" t="str">
        <f>IF(E2572="","",AVERAGE(INDEX($E$2:$E$3001,MAX(1,ROW()-1-'02_Eingaben'!$C$17)):INDEX($E$2:$E$3001,MIN('02_Eingaben'!$C$21,ROW()-1+'02_Eingaben'!$C$17))))</f>
        <v/>
      </c>
      <c r="G2572" s="17" t="str">
        <f>IF(F2572="","",F2572-'02_Eingaben'!$C$10)</f>
        <v/>
      </c>
      <c r="H2572" t="str">
        <f>IF(F2572="","",IF(F2572&lt;'02_Eingaben'!$C$18*'02_Eingaben'!$C$10,1,0))</f>
        <v/>
      </c>
      <c r="I2572" s="17" t="str">
        <f t="shared" si="40"/>
        <v/>
      </c>
      <c r="J2572" s="17" t="str">
        <f>IF(B2572="","",IF(B2571&lt;'02_Eingaben'!$C$36,0,J2571+I2571/'02_Eingaben'!$C$8))</f>
        <v/>
      </c>
    </row>
    <row r="2573" spans="1:10" x14ac:dyDescent="0.25">
      <c r="A2573" t="str">
        <f>IF('01_Rohdaten'!A2573="","",ROW()-1)</f>
        <v/>
      </c>
      <c r="B2573" s="17" t="str">
        <f>IF('01_Rohdaten'!A2573="","",'01_Rohdaten'!A2573)</f>
        <v/>
      </c>
      <c r="C2573" s="17" t="str">
        <f>IF(B2573="","",INDEX('01_Rohdaten'!B2573:D2573,'02_Eingaben'!$C$13))</f>
        <v/>
      </c>
      <c r="D2573" s="17" t="str">
        <f>IF(C2573="","",C2573*'02_Eingaben'!$C$15)</f>
        <v/>
      </c>
      <c r="E2573" s="17" t="str">
        <f>IF(D2573="","",D2573*'02_Eingaben'!$C$8)</f>
        <v/>
      </c>
      <c r="F2573" s="17" t="str">
        <f>IF(E2573="","",AVERAGE(INDEX($E$2:$E$3001,MAX(1,ROW()-1-'02_Eingaben'!$C$17)):INDEX($E$2:$E$3001,MIN('02_Eingaben'!$C$21,ROW()-1+'02_Eingaben'!$C$17))))</f>
        <v/>
      </c>
      <c r="G2573" s="17" t="str">
        <f>IF(F2573="","",F2573-'02_Eingaben'!$C$10)</f>
        <v/>
      </c>
      <c r="H2573" t="str">
        <f>IF(F2573="","",IF(F2573&lt;'02_Eingaben'!$C$18*'02_Eingaben'!$C$10,1,0))</f>
        <v/>
      </c>
      <c r="I2573" s="17" t="str">
        <f t="shared" si="40"/>
        <v/>
      </c>
      <c r="J2573" s="17" t="str">
        <f>IF(B2573="","",IF(B2572&lt;'02_Eingaben'!$C$36,0,J2572+I2572/'02_Eingaben'!$C$8))</f>
        <v/>
      </c>
    </row>
    <row r="2574" spans="1:10" x14ac:dyDescent="0.25">
      <c r="A2574" t="str">
        <f>IF('01_Rohdaten'!A2574="","",ROW()-1)</f>
        <v/>
      </c>
      <c r="B2574" s="17" t="str">
        <f>IF('01_Rohdaten'!A2574="","",'01_Rohdaten'!A2574)</f>
        <v/>
      </c>
      <c r="C2574" s="17" t="str">
        <f>IF(B2574="","",INDEX('01_Rohdaten'!B2574:D2574,'02_Eingaben'!$C$13))</f>
        <v/>
      </c>
      <c r="D2574" s="17" t="str">
        <f>IF(C2574="","",C2574*'02_Eingaben'!$C$15)</f>
        <v/>
      </c>
      <c r="E2574" s="17" t="str">
        <f>IF(D2574="","",D2574*'02_Eingaben'!$C$8)</f>
        <v/>
      </c>
      <c r="F2574" s="17" t="str">
        <f>IF(E2574="","",AVERAGE(INDEX($E$2:$E$3001,MAX(1,ROW()-1-'02_Eingaben'!$C$17)):INDEX($E$2:$E$3001,MIN('02_Eingaben'!$C$21,ROW()-1+'02_Eingaben'!$C$17))))</f>
        <v/>
      </c>
      <c r="G2574" s="17" t="str">
        <f>IF(F2574="","",F2574-'02_Eingaben'!$C$10)</f>
        <v/>
      </c>
      <c r="H2574" t="str">
        <f>IF(F2574="","",IF(F2574&lt;'02_Eingaben'!$C$18*'02_Eingaben'!$C$10,1,0))</f>
        <v/>
      </c>
      <c r="I2574" s="17" t="str">
        <f t="shared" si="40"/>
        <v/>
      </c>
      <c r="J2574" s="17" t="str">
        <f>IF(B2574="","",IF(B2573&lt;'02_Eingaben'!$C$36,0,J2573+I2573/'02_Eingaben'!$C$8))</f>
        <v/>
      </c>
    </row>
    <row r="2575" spans="1:10" x14ac:dyDescent="0.25">
      <c r="A2575" t="str">
        <f>IF('01_Rohdaten'!A2575="","",ROW()-1)</f>
        <v/>
      </c>
      <c r="B2575" s="17" t="str">
        <f>IF('01_Rohdaten'!A2575="","",'01_Rohdaten'!A2575)</f>
        <v/>
      </c>
      <c r="C2575" s="17" t="str">
        <f>IF(B2575="","",INDEX('01_Rohdaten'!B2575:D2575,'02_Eingaben'!$C$13))</f>
        <v/>
      </c>
      <c r="D2575" s="17" t="str">
        <f>IF(C2575="","",C2575*'02_Eingaben'!$C$15)</f>
        <v/>
      </c>
      <c r="E2575" s="17" t="str">
        <f>IF(D2575="","",D2575*'02_Eingaben'!$C$8)</f>
        <v/>
      </c>
      <c r="F2575" s="17" t="str">
        <f>IF(E2575="","",AVERAGE(INDEX($E$2:$E$3001,MAX(1,ROW()-1-'02_Eingaben'!$C$17)):INDEX($E$2:$E$3001,MIN('02_Eingaben'!$C$21,ROW()-1+'02_Eingaben'!$C$17))))</f>
        <v/>
      </c>
      <c r="G2575" s="17" t="str">
        <f>IF(F2575="","",F2575-'02_Eingaben'!$C$10)</f>
        <v/>
      </c>
      <c r="H2575" t="str">
        <f>IF(F2575="","",IF(F2575&lt;'02_Eingaben'!$C$18*'02_Eingaben'!$C$10,1,0))</f>
        <v/>
      </c>
      <c r="I2575" s="17" t="str">
        <f t="shared" si="40"/>
        <v/>
      </c>
      <c r="J2575" s="17" t="str">
        <f>IF(B2575="","",IF(B2574&lt;'02_Eingaben'!$C$36,0,J2574+I2574/'02_Eingaben'!$C$8))</f>
        <v/>
      </c>
    </row>
    <row r="2576" spans="1:10" x14ac:dyDescent="0.25">
      <c r="A2576" t="str">
        <f>IF('01_Rohdaten'!A2576="","",ROW()-1)</f>
        <v/>
      </c>
      <c r="B2576" s="17" t="str">
        <f>IF('01_Rohdaten'!A2576="","",'01_Rohdaten'!A2576)</f>
        <v/>
      </c>
      <c r="C2576" s="17" t="str">
        <f>IF(B2576="","",INDEX('01_Rohdaten'!B2576:D2576,'02_Eingaben'!$C$13))</f>
        <v/>
      </c>
      <c r="D2576" s="17" t="str">
        <f>IF(C2576="","",C2576*'02_Eingaben'!$C$15)</f>
        <v/>
      </c>
      <c r="E2576" s="17" t="str">
        <f>IF(D2576="","",D2576*'02_Eingaben'!$C$8)</f>
        <v/>
      </c>
      <c r="F2576" s="17" t="str">
        <f>IF(E2576="","",AVERAGE(INDEX($E$2:$E$3001,MAX(1,ROW()-1-'02_Eingaben'!$C$17)):INDEX($E$2:$E$3001,MIN('02_Eingaben'!$C$21,ROW()-1+'02_Eingaben'!$C$17))))</f>
        <v/>
      </c>
      <c r="G2576" s="17" t="str">
        <f>IF(F2576="","",F2576-'02_Eingaben'!$C$10)</f>
        <v/>
      </c>
      <c r="H2576" t="str">
        <f>IF(F2576="","",IF(F2576&lt;'02_Eingaben'!$C$18*'02_Eingaben'!$C$10,1,0))</f>
        <v/>
      </c>
      <c r="I2576" s="17" t="str">
        <f t="shared" si="40"/>
        <v/>
      </c>
      <c r="J2576" s="17" t="str">
        <f>IF(B2576="","",IF(B2575&lt;'02_Eingaben'!$C$36,0,J2575+I2575/'02_Eingaben'!$C$8))</f>
        <v/>
      </c>
    </row>
    <row r="2577" spans="1:10" x14ac:dyDescent="0.25">
      <c r="A2577" t="str">
        <f>IF('01_Rohdaten'!A2577="","",ROW()-1)</f>
        <v/>
      </c>
      <c r="B2577" s="17" t="str">
        <f>IF('01_Rohdaten'!A2577="","",'01_Rohdaten'!A2577)</f>
        <v/>
      </c>
      <c r="C2577" s="17" t="str">
        <f>IF(B2577="","",INDEX('01_Rohdaten'!B2577:D2577,'02_Eingaben'!$C$13))</f>
        <v/>
      </c>
      <c r="D2577" s="17" t="str">
        <f>IF(C2577="","",C2577*'02_Eingaben'!$C$15)</f>
        <v/>
      </c>
      <c r="E2577" s="17" t="str">
        <f>IF(D2577="","",D2577*'02_Eingaben'!$C$8)</f>
        <v/>
      </c>
      <c r="F2577" s="17" t="str">
        <f>IF(E2577="","",AVERAGE(INDEX($E$2:$E$3001,MAX(1,ROW()-1-'02_Eingaben'!$C$17)):INDEX($E$2:$E$3001,MIN('02_Eingaben'!$C$21,ROW()-1+'02_Eingaben'!$C$17))))</f>
        <v/>
      </c>
      <c r="G2577" s="17" t="str">
        <f>IF(F2577="","",F2577-'02_Eingaben'!$C$10)</f>
        <v/>
      </c>
      <c r="H2577" t="str">
        <f>IF(F2577="","",IF(F2577&lt;'02_Eingaben'!$C$18*'02_Eingaben'!$C$10,1,0))</f>
        <v/>
      </c>
      <c r="I2577" s="17" t="str">
        <f t="shared" si="40"/>
        <v/>
      </c>
      <c r="J2577" s="17" t="str">
        <f>IF(B2577="","",IF(B2576&lt;'02_Eingaben'!$C$36,0,J2576+I2576/'02_Eingaben'!$C$8))</f>
        <v/>
      </c>
    </row>
    <row r="2578" spans="1:10" x14ac:dyDescent="0.25">
      <c r="A2578" t="str">
        <f>IF('01_Rohdaten'!A2578="","",ROW()-1)</f>
        <v/>
      </c>
      <c r="B2578" s="17" t="str">
        <f>IF('01_Rohdaten'!A2578="","",'01_Rohdaten'!A2578)</f>
        <v/>
      </c>
      <c r="C2578" s="17" t="str">
        <f>IF(B2578="","",INDEX('01_Rohdaten'!B2578:D2578,'02_Eingaben'!$C$13))</f>
        <v/>
      </c>
      <c r="D2578" s="17" t="str">
        <f>IF(C2578="","",C2578*'02_Eingaben'!$C$15)</f>
        <v/>
      </c>
      <c r="E2578" s="17" t="str">
        <f>IF(D2578="","",D2578*'02_Eingaben'!$C$8)</f>
        <v/>
      </c>
      <c r="F2578" s="17" t="str">
        <f>IF(E2578="","",AVERAGE(INDEX($E$2:$E$3001,MAX(1,ROW()-1-'02_Eingaben'!$C$17)):INDEX($E$2:$E$3001,MIN('02_Eingaben'!$C$21,ROW()-1+'02_Eingaben'!$C$17))))</f>
        <v/>
      </c>
      <c r="G2578" s="17" t="str">
        <f>IF(F2578="","",F2578-'02_Eingaben'!$C$10)</f>
        <v/>
      </c>
      <c r="H2578" t="str">
        <f>IF(F2578="","",IF(F2578&lt;'02_Eingaben'!$C$18*'02_Eingaben'!$C$10,1,0))</f>
        <v/>
      </c>
      <c r="I2578" s="17" t="str">
        <f t="shared" si="40"/>
        <v/>
      </c>
      <c r="J2578" s="17" t="str">
        <f>IF(B2578="","",IF(B2577&lt;'02_Eingaben'!$C$36,0,J2577+I2577/'02_Eingaben'!$C$8))</f>
        <v/>
      </c>
    </row>
    <row r="2579" spans="1:10" x14ac:dyDescent="0.25">
      <c r="A2579" t="str">
        <f>IF('01_Rohdaten'!A2579="","",ROW()-1)</f>
        <v/>
      </c>
      <c r="B2579" s="17" t="str">
        <f>IF('01_Rohdaten'!A2579="","",'01_Rohdaten'!A2579)</f>
        <v/>
      </c>
      <c r="C2579" s="17" t="str">
        <f>IF(B2579="","",INDEX('01_Rohdaten'!B2579:D2579,'02_Eingaben'!$C$13))</f>
        <v/>
      </c>
      <c r="D2579" s="17" t="str">
        <f>IF(C2579="","",C2579*'02_Eingaben'!$C$15)</f>
        <v/>
      </c>
      <c r="E2579" s="17" t="str">
        <f>IF(D2579="","",D2579*'02_Eingaben'!$C$8)</f>
        <v/>
      </c>
      <c r="F2579" s="17" t="str">
        <f>IF(E2579="","",AVERAGE(INDEX($E$2:$E$3001,MAX(1,ROW()-1-'02_Eingaben'!$C$17)):INDEX($E$2:$E$3001,MIN('02_Eingaben'!$C$21,ROW()-1+'02_Eingaben'!$C$17))))</f>
        <v/>
      </c>
      <c r="G2579" s="17" t="str">
        <f>IF(F2579="","",F2579-'02_Eingaben'!$C$10)</f>
        <v/>
      </c>
      <c r="H2579" t="str">
        <f>IF(F2579="","",IF(F2579&lt;'02_Eingaben'!$C$18*'02_Eingaben'!$C$10,1,0))</f>
        <v/>
      </c>
      <c r="I2579" s="17" t="str">
        <f t="shared" si="40"/>
        <v/>
      </c>
      <c r="J2579" s="17" t="str">
        <f>IF(B2579="","",IF(B2578&lt;'02_Eingaben'!$C$36,0,J2578+I2578/'02_Eingaben'!$C$8))</f>
        <v/>
      </c>
    </row>
    <row r="2580" spans="1:10" x14ac:dyDescent="0.25">
      <c r="A2580" t="str">
        <f>IF('01_Rohdaten'!A2580="","",ROW()-1)</f>
        <v/>
      </c>
      <c r="B2580" s="17" t="str">
        <f>IF('01_Rohdaten'!A2580="","",'01_Rohdaten'!A2580)</f>
        <v/>
      </c>
      <c r="C2580" s="17" t="str">
        <f>IF(B2580="","",INDEX('01_Rohdaten'!B2580:D2580,'02_Eingaben'!$C$13))</f>
        <v/>
      </c>
      <c r="D2580" s="17" t="str">
        <f>IF(C2580="","",C2580*'02_Eingaben'!$C$15)</f>
        <v/>
      </c>
      <c r="E2580" s="17" t="str">
        <f>IF(D2580="","",D2580*'02_Eingaben'!$C$8)</f>
        <v/>
      </c>
      <c r="F2580" s="17" t="str">
        <f>IF(E2580="","",AVERAGE(INDEX($E$2:$E$3001,MAX(1,ROW()-1-'02_Eingaben'!$C$17)):INDEX($E$2:$E$3001,MIN('02_Eingaben'!$C$21,ROW()-1+'02_Eingaben'!$C$17))))</f>
        <v/>
      </c>
      <c r="G2580" s="17" t="str">
        <f>IF(F2580="","",F2580-'02_Eingaben'!$C$10)</f>
        <v/>
      </c>
      <c r="H2580" t="str">
        <f>IF(F2580="","",IF(F2580&lt;'02_Eingaben'!$C$18*'02_Eingaben'!$C$10,1,0))</f>
        <v/>
      </c>
      <c r="I2580" s="17" t="str">
        <f t="shared" si="40"/>
        <v/>
      </c>
      <c r="J2580" s="17" t="str">
        <f>IF(B2580="","",IF(B2579&lt;'02_Eingaben'!$C$36,0,J2579+I2579/'02_Eingaben'!$C$8))</f>
        <v/>
      </c>
    </row>
    <row r="2581" spans="1:10" x14ac:dyDescent="0.25">
      <c r="A2581" t="str">
        <f>IF('01_Rohdaten'!A2581="","",ROW()-1)</f>
        <v/>
      </c>
      <c r="B2581" s="17" t="str">
        <f>IF('01_Rohdaten'!A2581="","",'01_Rohdaten'!A2581)</f>
        <v/>
      </c>
      <c r="C2581" s="17" t="str">
        <f>IF(B2581="","",INDEX('01_Rohdaten'!B2581:D2581,'02_Eingaben'!$C$13))</f>
        <v/>
      </c>
      <c r="D2581" s="17" t="str">
        <f>IF(C2581="","",C2581*'02_Eingaben'!$C$15)</f>
        <v/>
      </c>
      <c r="E2581" s="17" t="str">
        <f>IF(D2581="","",D2581*'02_Eingaben'!$C$8)</f>
        <v/>
      </c>
      <c r="F2581" s="17" t="str">
        <f>IF(E2581="","",AVERAGE(INDEX($E$2:$E$3001,MAX(1,ROW()-1-'02_Eingaben'!$C$17)):INDEX($E$2:$E$3001,MIN('02_Eingaben'!$C$21,ROW()-1+'02_Eingaben'!$C$17))))</f>
        <v/>
      </c>
      <c r="G2581" s="17" t="str">
        <f>IF(F2581="","",F2581-'02_Eingaben'!$C$10)</f>
        <v/>
      </c>
      <c r="H2581" t="str">
        <f>IF(F2581="","",IF(F2581&lt;'02_Eingaben'!$C$18*'02_Eingaben'!$C$10,1,0))</f>
        <v/>
      </c>
      <c r="I2581" s="17" t="str">
        <f t="shared" si="40"/>
        <v/>
      </c>
      <c r="J2581" s="17" t="str">
        <f>IF(B2581="","",IF(B2580&lt;'02_Eingaben'!$C$36,0,J2580+I2580/'02_Eingaben'!$C$8))</f>
        <v/>
      </c>
    </row>
    <row r="2582" spans="1:10" x14ac:dyDescent="0.25">
      <c r="A2582" t="str">
        <f>IF('01_Rohdaten'!A2582="","",ROW()-1)</f>
        <v/>
      </c>
      <c r="B2582" s="17" t="str">
        <f>IF('01_Rohdaten'!A2582="","",'01_Rohdaten'!A2582)</f>
        <v/>
      </c>
      <c r="C2582" s="17" t="str">
        <f>IF(B2582="","",INDEX('01_Rohdaten'!B2582:D2582,'02_Eingaben'!$C$13))</f>
        <v/>
      </c>
      <c r="D2582" s="17" t="str">
        <f>IF(C2582="","",C2582*'02_Eingaben'!$C$15)</f>
        <v/>
      </c>
      <c r="E2582" s="17" t="str">
        <f>IF(D2582="","",D2582*'02_Eingaben'!$C$8)</f>
        <v/>
      </c>
      <c r="F2582" s="17" t="str">
        <f>IF(E2582="","",AVERAGE(INDEX($E$2:$E$3001,MAX(1,ROW()-1-'02_Eingaben'!$C$17)):INDEX($E$2:$E$3001,MIN('02_Eingaben'!$C$21,ROW()-1+'02_Eingaben'!$C$17))))</f>
        <v/>
      </c>
      <c r="G2582" s="17" t="str">
        <f>IF(F2582="","",F2582-'02_Eingaben'!$C$10)</f>
        <v/>
      </c>
      <c r="H2582" t="str">
        <f>IF(F2582="","",IF(F2582&lt;'02_Eingaben'!$C$18*'02_Eingaben'!$C$10,1,0))</f>
        <v/>
      </c>
      <c r="I2582" s="17" t="str">
        <f t="shared" si="40"/>
        <v/>
      </c>
      <c r="J2582" s="17" t="str">
        <f>IF(B2582="","",IF(B2581&lt;'02_Eingaben'!$C$36,0,J2581+I2581/'02_Eingaben'!$C$8))</f>
        <v/>
      </c>
    </row>
    <row r="2583" spans="1:10" x14ac:dyDescent="0.25">
      <c r="A2583" t="str">
        <f>IF('01_Rohdaten'!A2583="","",ROW()-1)</f>
        <v/>
      </c>
      <c r="B2583" s="17" t="str">
        <f>IF('01_Rohdaten'!A2583="","",'01_Rohdaten'!A2583)</f>
        <v/>
      </c>
      <c r="C2583" s="17" t="str">
        <f>IF(B2583="","",INDEX('01_Rohdaten'!B2583:D2583,'02_Eingaben'!$C$13))</f>
        <v/>
      </c>
      <c r="D2583" s="17" t="str">
        <f>IF(C2583="","",C2583*'02_Eingaben'!$C$15)</f>
        <v/>
      </c>
      <c r="E2583" s="17" t="str">
        <f>IF(D2583="","",D2583*'02_Eingaben'!$C$8)</f>
        <v/>
      </c>
      <c r="F2583" s="17" t="str">
        <f>IF(E2583="","",AVERAGE(INDEX($E$2:$E$3001,MAX(1,ROW()-1-'02_Eingaben'!$C$17)):INDEX($E$2:$E$3001,MIN('02_Eingaben'!$C$21,ROW()-1+'02_Eingaben'!$C$17))))</f>
        <v/>
      </c>
      <c r="G2583" s="17" t="str">
        <f>IF(F2583="","",F2583-'02_Eingaben'!$C$10)</f>
        <v/>
      </c>
      <c r="H2583" t="str">
        <f>IF(F2583="","",IF(F2583&lt;'02_Eingaben'!$C$18*'02_Eingaben'!$C$10,1,0))</f>
        <v/>
      </c>
      <c r="I2583" s="17" t="str">
        <f t="shared" si="40"/>
        <v/>
      </c>
      <c r="J2583" s="17" t="str">
        <f>IF(B2583="","",IF(B2582&lt;'02_Eingaben'!$C$36,0,J2582+I2582/'02_Eingaben'!$C$8))</f>
        <v/>
      </c>
    </row>
    <row r="2584" spans="1:10" x14ac:dyDescent="0.25">
      <c r="A2584" t="str">
        <f>IF('01_Rohdaten'!A2584="","",ROW()-1)</f>
        <v/>
      </c>
      <c r="B2584" s="17" t="str">
        <f>IF('01_Rohdaten'!A2584="","",'01_Rohdaten'!A2584)</f>
        <v/>
      </c>
      <c r="C2584" s="17" t="str">
        <f>IF(B2584="","",INDEX('01_Rohdaten'!B2584:D2584,'02_Eingaben'!$C$13))</f>
        <v/>
      </c>
      <c r="D2584" s="17" t="str">
        <f>IF(C2584="","",C2584*'02_Eingaben'!$C$15)</f>
        <v/>
      </c>
      <c r="E2584" s="17" t="str">
        <f>IF(D2584="","",D2584*'02_Eingaben'!$C$8)</f>
        <v/>
      </c>
      <c r="F2584" s="17" t="str">
        <f>IF(E2584="","",AVERAGE(INDEX($E$2:$E$3001,MAX(1,ROW()-1-'02_Eingaben'!$C$17)):INDEX($E$2:$E$3001,MIN('02_Eingaben'!$C$21,ROW()-1+'02_Eingaben'!$C$17))))</f>
        <v/>
      </c>
      <c r="G2584" s="17" t="str">
        <f>IF(F2584="","",F2584-'02_Eingaben'!$C$10)</f>
        <v/>
      </c>
      <c r="H2584" t="str">
        <f>IF(F2584="","",IF(F2584&lt;'02_Eingaben'!$C$18*'02_Eingaben'!$C$10,1,0))</f>
        <v/>
      </c>
      <c r="I2584" s="17" t="str">
        <f t="shared" si="40"/>
        <v/>
      </c>
      <c r="J2584" s="17" t="str">
        <f>IF(B2584="","",IF(B2583&lt;'02_Eingaben'!$C$36,0,J2583+I2583/'02_Eingaben'!$C$8))</f>
        <v/>
      </c>
    </row>
    <row r="2585" spans="1:10" x14ac:dyDescent="0.25">
      <c r="A2585" t="str">
        <f>IF('01_Rohdaten'!A2585="","",ROW()-1)</f>
        <v/>
      </c>
      <c r="B2585" s="17" t="str">
        <f>IF('01_Rohdaten'!A2585="","",'01_Rohdaten'!A2585)</f>
        <v/>
      </c>
      <c r="C2585" s="17" t="str">
        <f>IF(B2585="","",INDEX('01_Rohdaten'!B2585:D2585,'02_Eingaben'!$C$13))</f>
        <v/>
      </c>
      <c r="D2585" s="17" t="str">
        <f>IF(C2585="","",C2585*'02_Eingaben'!$C$15)</f>
        <v/>
      </c>
      <c r="E2585" s="17" t="str">
        <f>IF(D2585="","",D2585*'02_Eingaben'!$C$8)</f>
        <v/>
      </c>
      <c r="F2585" s="17" t="str">
        <f>IF(E2585="","",AVERAGE(INDEX($E$2:$E$3001,MAX(1,ROW()-1-'02_Eingaben'!$C$17)):INDEX($E$2:$E$3001,MIN('02_Eingaben'!$C$21,ROW()-1+'02_Eingaben'!$C$17))))</f>
        <v/>
      </c>
      <c r="G2585" s="17" t="str">
        <f>IF(F2585="","",F2585-'02_Eingaben'!$C$10)</f>
        <v/>
      </c>
      <c r="H2585" t="str">
        <f>IF(F2585="","",IF(F2585&lt;'02_Eingaben'!$C$18*'02_Eingaben'!$C$10,1,0))</f>
        <v/>
      </c>
      <c r="I2585" s="17" t="str">
        <f t="shared" si="40"/>
        <v/>
      </c>
      <c r="J2585" s="17" t="str">
        <f>IF(B2585="","",IF(B2584&lt;'02_Eingaben'!$C$36,0,J2584+I2584/'02_Eingaben'!$C$8))</f>
        <v/>
      </c>
    </row>
    <row r="2586" spans="1:10" x14ac:dyDescent="0.25">
      <c r="A2586" t="str">
        <f>IF('01_Rohdaten'!A2586="","",ROW()-1)</f>
        <v/>
      </c>
      <c r="B2586" s="17" t="str">
        <f>IF('01_Rohdaten'!A2586="","",'01_Rohdaten'!A2586)</f>
        <v/>
      </c>
      <c r="C2586" s="17" t="str">
        <f>IF(B2586="","",INDEX('01_Rohdaten'!B2586:D2586,'02_Eingaben'!$C$13))</f>
        <v/>
      </c>
      <c r="D2586" s="17" t="str">
        <f>IF(C2586="","",C2586*'02_Eingaben'!$C$15)</f>
        <v/>
      </c>
      <c r="E2586" s="17" t="str">
        <f>IF(D2586="","",D2586*'02_Eingaben'!$C$8)</f>
        <v/>
      </c>
      <c r="F2586" s="17" t="str">
        <f>IF(E2586="","",AVERAGE(INDEX($E$2:$E$3001,MAX(1,ROW()-1-'02_Eingaben'!$C$17)):INDEX($E$2:$E$3001,MIN('02_Eingaben'!$C$21,ROW()-1+'02_Eingaben'!$C$17))))</f>
        <v/>
      </c>
      <c r="G2586" s="17" t="str">
        <f>IF(F2586="","",F2586-'02_Eingaben'!$C$10)</f>
        <v/>
      </c>
      <c r="H2586" t="str">
        <f>IF(F2586="","",IF(F2586&lt;'02_Eingaben'!$C$18*'02_Eingaben'!$C$10,1,0))</f>
        <v/>
      </c>
      <c r="I2586" s="17" t="str">
        <f t="shared" si="40"/>
        <v/>
      </c>
      <c r="J2586" s="17" t="str">
        <f>IF(B2586="","",IF(B2585&lt;'02_Eingaben'!$C$36,0,J2585+I2585/'02_Eingaben'!$C$8))</f>
        <v/>
      </c>
    </row>
    <row r="2587" spans="1:10" x14ac:dyDescent="0.25">
      <c r="A2587" t="str">
        <f>IF('01_Rohdaten'!A2587="","",ROW()-1)</f>
        <v/>
      </c>
      <c r="B2587" s="17" t="str">
        <f>IF('01_Rohdaten'!A2587="","",'01_Rohdaten'!A2587)</f>
        <v/>
      </c>
      <c r="C2587" s="17" t="str">
        <f>IF(B2587="","",INDEX('01_Rohdaten'!B2587:D2587,'02_Eingaben'!$C$13))</f>
        <v/>
      </c>
      <c r="D2587" s="17" t="str">
        <f>IF(C2587="","",C2587*'02_Eingaben'!$C$15)</f>
        <v/>
      </c>
      <c r="E2587" s="17" t="str">
        <f>IF(D2587="","",D2587*'02_Eingaben'!$C$8)</f>
        <v/>
      </c>
      <c r="F2587" s="17" t="str">
        <f>IF(E2587="","",AVERAGE(INDEX($E$2:$E$3001,MAX(1,ROW()-1-'02_Eingaben'!$C$17)):INDEX($E$2:$E$3001,MIN('02_Eingaben'!$C$21,ROW()-1+'02_Eingaben'!$C$17))))</f>
        <v/>
      </c>
      <c r="G2587" s="17" t="str">
        <f>IF(F2587="","",F2587-'02_Eingaben'!$C$10)</f>
        <v/>
      </c>
      <c r="H2587" t="str">
        <f>IF(F2587="","",IF(F2587&lt;'02_Eingaben'!$C$18*'02_Eingaben'!$C$10,1,0))</f>
        <v/>
      </c>
      <c r="I2587" s="17" t="str">
        <f t="shared" si="40"/>
        <v/>
      </c>
      <c r="J2587" s="17" t="str">
        <f>IF(B2587="","",IF(B2586&lt;'02_Eingaben'!$C$36,0,J2586+I2586/'02_Eingaben'!$C$8))</f>
        <v/>
      </c>
    </row>
    <row r="2588" spans="1:10" x14ac:dyDescent="0.25">
      <c r="A2588" t="str">
        <f>IF('01_Rohdaten'!A2588="","",ROW()-1)</f>
        <v/>
      </c>
      <c r="B2588" s="17" t="str">
        <f>IF('01_Rohdaten'!A2588="","",'01_Rohdaten'!A2588)</f>
        <v/>
      </c>
      <c r="C2588" s="17" t="str">
        <f>IF(B2588="","",INDEX('01_Rohdaten'!B2588:D2588,'02_Eingaben'!$C$13))</f>
        <v/>
      </c>
      <c r="D2588" s="17" t="str">
        <f>IF(C2588="","",C2588*'02_Eingaben'!$C$15)</f>
        <v/>
      </c>
      <c r="E2588" s="17" t="str">
        <f>IF(D2588="","",D2588*'02_Eingaben'!$C$8)</f>
        <v/>
      </c>
      <c r="F2588" s="17" t="str">
        <f>IF(E2588="","",AVERAGE(INDEX($E$2:$E$3001,MAX(1,ROW()-1-'02_Eingaben'!$C$17)):INDEX($E$2:$E$3001,MIN('02_Eingaben'!$C$21,ROW()-1+'02_Eingaben'!$C$17))))</f>
        <v/>
      </c>
      <c r="G2588" s="17" t="str">
        <f>IF(F2588="","",F2588-'02_Eingaben'!$C$10)</f>
        <v/>
      </c>
      <c r="H2588" t="str">
        <f>IF(F2588="","",IF(F2588&lt;'02_Eingaben'!$C$18*'02_Eingaben'!$C$10,1,0))</f>
        <v/>
      </c>
      <c r="I2588" s="17" t="str">
        <f t="shared" si="40"/>
        <v/>
      </c>
      <c r="J2588" s="17" t="str">
        <f>IF(B2588="","",IF(B2587&lt;'02_Eingaben'!$C$36,0,J2587+I2587/'02_Eingaben'!$C$8))</f>
        <v/>
      </c>
    </row>
    <row r="2589" spans="1:10" x14ac:dyDescent="0.25">
      <c r="A2589" t="str">
        <f>IF('01_Rohdaten'!A2589="","",ROW()-1)</f>
        <v/>
      </c>
      <c r="B2589" s="17" t="str">
        <f>IF('01_Rohdaten'!A2589="","",'01_Rohdaten'!A2589)</f>
        <v/>
      </c>
      <c r="C2589" s="17" t="str">
        <f>IF(B2589="","",INDEX('01_Rohdaten'!B2589:D2589,'02_Eingaben'!$C$13))</f>
        <v/>
      </c>
      <c r="D2589" s="17" t="str">
        <f>IF(C2589="","",C2589*'02_Eingaben'!$C$15)</f>
        <v/>
      </c>
      <c r="E2589" s="17" t="str">
        <f>IF(D2589="","",D2589*'02_Eingaben'!$C$8)</f>
        <v/>
      </c>
      <c r="F2589" s="17" t="str">
        <f>IF(E2589="","",AVERAGE(INDEX($E$2:$E$3001,MAX(1,ROW()-1-'02_Eingaben'!$C$17)):INDEX($E$2:$E$3001,MIN('02_Eingaben'!$C$21,ROW()-1+'02_Eingaben'!$C$17))))</f>
        <v/>
      </c>
      <c r="G2589" s="17" t="str">
        <f>IF(F2589="","",F2589-'02_Eingaben'!$C$10)</f>
        <v/>
      </c>
      <c r="H2589" t="str">
        <f>IF(F2589="","",IF(F2589&lt;'02_Eingaben'!$C$18*'02_Eingaben'!$C$10,1,0))</f>
        <v/>
      </c>
      <c r="I2589" s="17" t="str">
        <f t="shared" si="40"/>
        <v/>
      </c>
      <c r="J2589" s="17" t="str">
        <f>IF(B2589="","",IF(B2588&lt;'02_Eingaben'!$C$36,0,J2588+I2588/'02_Eingaben'!$C$8))</f>
        <v/>
      </c>
    </row>
    <row r="2590" spans="1:10" x14ac:dyDescent="0.25">
      <c r="A2590" t="str">
        <f>IF('01_Rohdaten'!A2590="","",ROW()-1)</f>
        <v/>
      </c>
      <c r="B2590" s="17" t="str">
        <f>IF('01_Rohdaten'!A2590="","",'01_Rohdaten'!A2590)</f>
        <v/>
      </c>
      <c r="C2590" s="17" t="str">
        <f>IF(B2590="","",INDEX('01_Rohdaten'!B2590:D2590,'02_Eingaben'!$C$13))</f>
        <v/>
      </c>
      <c r="D2590" s="17" t="str">
        <f>IF(C2590="","",C2590*'02_Eingaben'!$C$15)</f>
        <v/>
      </c>
      <c r="E2590" s="17" t="str">
        <f>IF(D2590="","",D2590*'02_Eingaben'!$C$8)</f>
        <v/>
      </c>
      <c r="F2590" s="17" t="str">
        <f>IF(E2590="","",AVERAGE(INDEX($E$2:$E$3001,MAX(1,ROW()-1-'02_Eingaben'!$C$17)):INDEX($E$2:$E$3001,MIN('02_Eingaben'!$C$21,ROW()-1+'02_Eingaben'!$C$17))))</f>
        <v/>
      </c>
      <c r="G2590" s="17" t="str">
        <f>IF(F2590="","",F2590-'02_Eingaben'!$C$10)</f>
        <v/>
      </c>
      <c r="H2590" t="str">
        <f>IF(F2590="","",IF(F2590&lt;'02_Eingaben'!$C$18*'02_Eingaben'!$C$10,1,0))</f>
        <v/>
      </c>
      <c r="I2590" s="17" t="str">
        <f t="shared" si="40"/>
        <v/>
      </c>
      <c r="J2590" s="17" t="str">
        <f>IF(B2590="","",IF(B2589&lt;'02_Eingaben'!$C$36,0,J2589+I2589/'02_Eingaben'!$C$8))</f>
        <v/>
      </c>
    </row>
    <row r="2591" spans="1:10" x14ac:dyDescent="0.25">
      <c r="A2591" t="str">
        <f>IF('01_Rohdaten'!A2591="","",ROW()-1)</f>
        <v/>
      </c>
      <c r="B2591" s="17" t="str">
        <f>IF('01_Rohdaten'!A2591="","",'01_Rohdaten'!A2591)</f>
        <v/>
      </c>
      <c r="C2591" s="17" t="str">
        <f>IF(B2591="","",INDEX('01_Rohdaten'!B2591:D2591,'02_Eingaben'!$C$13))</f>
        <v/>
      </c>
      <c r="D2591" s="17" t="str">
        <f>IF(C2591="","",C2591*'02_Eingaben'!$C$15)</f>
        <v/>
      </c>
      <c r="E2591" s="17" t="str">
        <f>IF(D2591="","",D2591*'02_Eingaben'!$C$8)</f>
        <v/>
      </c>
      <c r="F2591" s="17" t="str">
        <f>IF(E2591="","",AVERAGE(INDEX($E$2:$E$3001,MAX(1,ROW()-1-'02_Eingaben'!$C$17)):INDEX($E$2:$E$3001,MIN('02_Eingaben'!$C$21,ROW()-1+'02_Eingaben'!$C$17))))</f>
        <v/>
      </c>
      <c r="G2591" s="17" t="str">
        <f>IF(F2591="","",F2591-'02_Eingaben'!$C$10)</f>
        <v/>
      </c>
      <c r="H2591" t="str">
        <f>IF(F2591="","",IF(F2591&lt;'02_Eingaben'!$C$18*'02_Eingaben'!$C$10,1,0))</f>
        <v/>
      </c>
      <c r="I2591" s="17" t="str">
        <f t="shared" si="40"/>
        <v/>
      </c>
      <c r="J2591" s="17" t="str">
        <f>IF(B2591="","",IF(B2590&lt;'02_Eingaben'!$C$36,0,J2590+I2590/'02_Eingaben'!$C$8))</f>
        <v/>
      </c>
    </row>
    <row r="2592" spans="1:10" x14ac:dyDescent="0.25">
      <c r="A2592" t="str">
        <f>IF('01_Rohdaten'!A2592="","",ROW()-1)</f>
        <v/>
      </c>
      <c r="B2592" s="17" t="str">
        <f>IF('01_Rohdaten'!A2592="","",'01_Rohdaten'!A2592)</f>
        <v/>
      </c>
      <c r="C2592" s="17" t="str">
        <f>IF(B2592="","",INDEX('01_Rohdaten'!B2592:D2592,'02_Eingaben'!$C$13))</f>
        <v/>
      </c>
      <c r="D2592" s="17" t="str">
        <f>IF(C2592="","",C2592*'02_Eingaben'!$C$15)</f>
        <v/>
      </c>
      <c r="E2592" s="17" t="str">
        <f>IF(D2592="","",D2592*'02_Eingaben'!$C$8)</f>
        <v/>
      </c>
      <c r="F2592" s="17" t="str">
        <f>IF(E2592="","",AVERAGE(INDEX($E$2:$E$3001,MAX(1,ROW()-1-'02_Eingaben'!$C$17)):INDEX($E$2:$E$3001,MIN('02_Eingaben'!$C$21,ROW()-1+'02_Eingaben'!$C$17))))</f>
        <v/>
      </c>
      <c r="G2592" s="17" t="str">
        <f>IF(F2592="","",F2592-'02_Eingaben'!$C$10)</f>
        <v/>
      </c>
      <c r="H2592" t="str">
        <f>IF(F2592="","",IF(F2592&lt;'02_Eingaben'!$C$18*'02_Eingaben'!$C$10,1,0))</f>
        <v/>
      </c>
      <c r="I2592" s="17" t="str">
        <f t="shared" si="40"/>
        <v/>
      </c>
      <c r="J2592" s="17" t="str">
        <f>IF(B2592="","",IF(B2591&lt;'02_Eingaben'!$C$36,0,J2591+I2591/'02_Eingaben'!$C$8))</f>
        <v/>
      </c>
    </row>
    <row r="2593" spans="1:10" x14ac:dyDescent="0.25">
      <c r="A2593" t="str">
        <f>IF('01_Rohdaten'!A2593="","",ROW()-1)</f>
        <v/>
      </c>
      <c r="B2593" s="17" t="str">
        <f>IF('01_Rohdaten'!A2593="","",'01_Rohdaten'!A2593)</f>
        <v/>
      </c>
      <c r="C2593" s="17" t="str">
        <f>IF(B2593="","",INDEX('01_Rohdaten'!B2593:D2593,'02_Eingaben'!$C$13))</f>
        <v/>
      </c>
      <c r="D2593" s="17" t="str">
        <f>IF(C2593="","",C2593*'02_Eingaben'!$C$15)</f>
        <v/>
      </c>
      <c r="E2593" s="17" t="str">
        <f>IF(D2593="","",D2593*'02_Eingaben'!$C$8)</f>
        <v/>
      </c>
      <c r="F2593" s="17" t="str">
        <f>IF(E2593="","",AVERAGE(INDEX($E$2:$E$3001,MAX(1,ROW()-1-'02_Eingaben'!$C$17)):INDEX($E$2:$E$3001,MIN('02_Eingaben'!$C$21,ROW()-1+'02_Eingaben'!$C$17))))</f>
        <v/>
      </c>
      <c r="G2593" s="17" t="str">
        <f>IF(F2593="","",F2593-'02_Eingaben'!$C$10)</f>
        <v/>
      </c>
      <c r="H2593" t="str">
        <f>IF(F2593="","",IF(F2593&lt;'02_Eingaben'!$C$18*'02_Eingaben'!$C$10,1,0))</f>
        <v/>
      </c>
      <c r="I2593" s="17" t="str">
        <f t="shared" si="40"/>
        <v/>
      </c>
      <c r="J2593" s="17" t="str">
        <f>IF(B2593="","",IF(B2592&lt;'02_Eingaben'!$C$36,0,J2592+I2592/'02_Eingaben'!$C$8))</f>
        <v/>
      </c>
    </row>
    <row r="2594" spans="1:10" x14ac:dyDescent="0.25">
      <c r="A2594" t="str">
        <f>IF('01_Rohdaten'!A2594="","",ROW()-1)</f>
        <v/>
      </c>
      <c r="B2594" s="17" t="str">
        <f>IF('01_Rohdaten'!A2594="","",'01_Rohdaten'!A2594)</f>
        <v/>
      </c>
      <c r="C2594" s="17" t="str">
        <f>IF(B2594="","",INDEX('01_Rohdaten'!B2594:D2594,'02_Eingaben'!$C$13))</f>
        <v/>
      </c>
      <c r="D2594" s="17" t="str">
        <f>IF(C2594="","",C2594*'02_Eingaben'!$C$15)</f>
        <v/>
      </c>
      <c r="E2594" s="17" t="str">
        <f>IF(D2594="","",D2594*'02_Eingaben'!$C$8)</f>
        <v/>
      </c>
      <c r="F2594" s="17" t="str">
        <f>IF(E2594="","",AVERAGE(INDEX($E$2:$E$3001,MAX(1,ROW()-1-'02_Eingaben'!$C$17)):INDEX($E$2:$E$3001,MIN('02_Eingaben'!$C$21,ROW()-1+'02_Eingaben'!$C$17))))</f>
        <v/>
      </c>
      <c r="G2594" s="17" t="str">
        <f>IF(F2594="","",F2594-'02_Eingaben'!$C$10)</f>
        <v/>
      </c>
      <c r="H2594" t="str">
        <f>IF(F2594="","",IF(F2594&lt;'02_Eingaben'!$C$18*'02_Eingaben'!$C$10,1,0))</f>
        <v/>
      </c>
      <c r="I2594" s="17" t="str">
        <f t="shared" si="40"/>
        <v/>
      </c>
      <c r="J2594" s="17" t="str">
        <f>IF(B2594="","",IF(B2593&lt;'02_Eingaben'!$C$36,0,J2593+I2593/'02_Eingaben'!$C$8))</f>
        <v/>
      </c>
    </row>
    <row r="2595" spans="1:10" x14ac:dyDescent="0.25">
      <c r="A2595" t="str">
        <f>IF('01_Rohdaten'!A2595="","",ROW()-1)</f>
        <v/>
      </c>
      <c r="B2595" s="17" t="str">
        <f>IF('01_Rohdaten'!A2595="","",'01_Rohdaten'!A2595)</f>
        <v/>
      </c>
      <c r="C2595" s="17" t="str">
        <f>IF(B2595="","",INDEX('01_Rohdaten'!B2595:D2595,'02_Eingaben'!$C$13))</f>
        <v/>
      </c>
      <c r="D2595" s="17" t="str">
        <f>IF(C2595="","",C2595*'02_Eingaben'!$C$15)</f>
        <v/>
      </c>
      <c r="E2595" s="17" t="str">
        <f>IF(D2595="","",D2595*'02_Eingaben'!$C$8)</f>
        <v/>
      </c>
      <c r="F2595" s="17" t="str">
        <f>IF(E2595="","",AVERAGE(INDEX($E$2:$E$3001,MAX(1,ROW()-1-'02_Eingaben'!$C$17)):INDEX($E$2:$E$3001,MIN('02_Eingaben'!$C$21,ROW()-1+'02_Eingaben'!$C$17))))</f>
        <v/>
      </c>
      <c r="G2595" s="17" t="str">
        <f>IF(F2595="","",F2595-'02_Eingaben'!$C$10)</f>
        <v/>
      </c>
      <c r="H2595" t="str">
        <f>IF(F2595="","",IF(F2595&lt;'02_Eingaben'!$C$18*'02_Eingaben'!$C$10,1,0))</f>
        <v/>
      </c>
      <c r="I2595" s="17" t="str">
        <f t="shared" si="40"/>
        <v/>
      </c>
      <c r="J2595" s="17" t="str">
        <f>IF(B2595="","",IF(B2594&lt;'02_Eingaben'!$C$36,0,J2594+I2594/'02_Eingaben'!$C$8))</f>
        <v/>
      </c>
    </row>
    <row r="2596" spans="1:10" x14ac:dyDescent="0.25">
      <c r="A2596" t="str">
        <f>IF('01_Rohdaten'!A2596="","",ROW()-1)</f>
        <v/>
      </c>
      <c r="B2596" s="17" t="str">
        <f>IF('01_Rohdaten'!A2596="","",'01_Rohdaten'!A2596)</f>
        <v/>
      </c>
      <c r="C2596" s="17" t="str">
        <f>IF(B2596="","",INDEX('01_Rohdaten'!B2596:D2596,'02_Eingaben'!$C$13))</f>
        <v/>
      </c>
      <c r="D2596" s="17" t="str">
        <f>IF(C2596="","",C2596*'02_Eingaben'!$C$15)</f>
        <v/>
      </c>
      <c r="E2596" s="17" t="str">
        <f>IF(D2596="","",D2596*'02_Eingaben'!$C$8)</f>
        <v/>
      </c>
      <c r="F2596" s="17" t="str">
        <f>IF(E2596="","",AVERAGE(INDEX($E$2:$E$3001,MAX(1,ROW()-1-'02_Eingaben'!$C$17)):INDEX($E$2:$E$3001,MIN('02_Eingaben'!$C$21,ROW()-1+'02_Eingaben'!$C$17))))</f>
        <v/>
      </c>
      <c r="G2596" s="17" t="str">
        <f>IF(F2596="","",F2596-'02_Eingaben'!$C$10)</f>
        <v/>
      </c>
      <c r="H2596" t="str">
        <f>IF(F2596="","",IF(F2596&lt;'02_Eingaben'!$C$18*'02_Eingaben'!$C$10,1,0))</f>
        <v/>
      </c>
      <c r="I2596" s="17" t="str">
        <f t="shared" si="40"/>
        <v/>
      </c>
      <c r="J2596" s="17" t="str">
        <f>IF(B2596="","",IF(B2595&lt;'02_Eingaben'!$C$36,0,J2595+I2595/'02_Eingaben'!$C$8))</f>
        <v/>
      </c>
    </row>
    <row r="2597" spans="1:10" x14ac:dyDescent="0.25">
      <c r="A2597" t="str">
        <f>IF('01_Rohdaten'!A2597="","",ROW()-1)</f>
        <v/>
      </c>
      <c r="B2597" s="17" t="str">
        <f>IF('01_Rohdaten'!A2597="","",'01_Rohdaten'!A2597)</f>
        <v/>
      </c>
      <c r="C2597" s="17" t="str">
        <f>IF(B2597="","",INDEX('01_Rohdaten'!B2597:D2597,'02_Eingaben'!$C$13))</f>
        <v/>
      </c>
      <c r="D2597" s="17" t="str">
        <f>IF(C2597="","",C2597*'02_Eingaben'!$C$15)</f>
        <v/>
      </c>
      <c r="E2597" s="17" t="str">
        <f>IF(D2597="","",D2597*'02_Eingaben'!$C$8)</f>
        <v/>
      </c>
      <c r="F2597" s="17" t="str">
        <f>IF(E2597="","",AVERAGE(INDEX($E$2:$E$3001,MAX(1,ROW()-1-'02_Eingaben'!$C$17)):INDEX($E$2:$E$3001,MIN('02_Eingaben'!$C$21,ROW()-1+'02_Eingaben'!$C$17))))</f>
        <v/>
      </c>
      <c r="G2597" s="17" t="str">
        <f>IF(F2597="","",F2597-'02_Eingaben'!$C$10)</f>
        <v/>
      </c>
      <c r="H2597" t="str">
        <f>IF(F2597="","",IF(F2597&lt;'02_Eingaben'!$C$18*'02_Eingaben'!$C$10,1,0))</f>
        <v/>
      </c>
      <c r="I2597" s="17" t="str">
        <f t="shared" si="40"/>
        <v/>
      </c>
      <c r="J2597" s="17" t="str">
        <f>IF(B2597="","",IF(B2596&lt;'02_Eingaben'!$C$36,0,J2596+I2596/'02_Eingaben'!$C$8))</f>
        <v/>
      </c>
    </row>
    <row r="2598" spans="1:10" x14ac:dyDescent="0.25">
      <c r="A2598" t="str">
        <f>IF('01_Rohdaten'!A2598="","",ROW()-1)</f>
        <v/>
      </c>
      <c r="B2598" s="17" t="str">
        <f>IF('01_Rohdaten'!A2598="","",'01_Rohdaten'!A2598)</f>
        <v/>
      </c>
      <c r="C2598" s="17" t="str">
        <f>IF(B2598="","",INDEX('01_Rohdaten'!B2598:D2598,'02_Eingaben'!$C$13))</f>
        <v/>
      </c>
      <c r="D2598" s="17" t="str">
        <f>IF(C2598="","",C2598*'02_Eingaben'!$C$15)</f>
        <v/>
      </c>
      <c r="E2598" s="17" t="str">
        <f>IF(D2598="","",D2598*'02_Eingaben'!$C$8)</f>
        <v/>
      </c>
      <c r="F2598" s="17" t="str">
        <f>IF(E2598="","",AVERAGE(INDEX($E$2:$E$3001,MAX(1,ROW()-1-'02_Eingaben'!$C$17)):INDEX($E$2:$E$3001,MIN('02_Eingaben'!$C$21,ROW()-1+'02_Eingaben'!$C$17))))</f>
        <v/>
      </c>
      <c r="G2598" s="17" t="str">
        <f>IF(F2598="","",F2598-'02_Eingaben'!$C$10)</f>
        <v/>
      </c>
      <c r="H2598" t="str">
        <f>IF(F2598="","",IF(F2598&lt;'02_Eingaben'!$C$18*'02_Eingaben'!$C$10,1,0))</f>
        <v/>
      </c>
      <c r="I2598" s="17" t="str">
        <f t="shared" si="40"/>
        <v/>
      </c>
      <c r="J2598" s="17" t="str">
        <f>IF(B2598="","",IF(B2597&lt;'02_Eingaben'!$C$36,0,J2597+I2597/'02_Eingaben'!$C$8))</f>
        <v/>
      </c>
    </row>
    <row r="2599" spans="1:10" x14ac:dyDescent="0.25">
      <c r="A2599" t="str">
        <f>IF('01_Rohdaten'!A2599="","",ROW()-1)</f>
        <v/>
      </c>
      <c r="B2599" s="17" t="str">
        <f>IF('01_Rohdaten'!A2599="","",'01_Rohdaten'!A2599)</f>
        <v/>
      </c>
      <c r="C2599" s="17" t="str">
        <f>IF(B2599="","",INDEX('01_Rohdaten'!B2599:D2599,'02_Eingaben'!$C$13))</f>
        <v/>
      </c>
      <c r="D2599" s="17" t="str">
        <f>IF(C2599="","",C2599*'02_Eingaben'!$C$15)</f>
        <v/>
      </c>
      <c r="E2599" s="17" t="str">
        <f>IF(D2599="","",D2599*'02_Eingaben'!$C$8)</f>
        <v/>
      </c>
      <c r="F2599" s="17" t="str">
        <f>IF(E2599="","",AVERAGE(INDEX($E$2:$E$3001,MAX(1,ROW()-1-'02_Eingaben'!$C$17)):INDEX($E$2:$E$3001,MIN('02_Eingaben'!$C$21,ROW()-1+'02_Eingaben'!$C$17))))</f>
        <v/>
      </c>
      <c r="G2599" s="17" t="str">
        <f>IF(F2599="","",F2599-'02_Eingaben'!$C$10)</f>
        <v/>
      </c>
      <c r="H2599" t="str">
        <f>IF(F2599="","",IF(F2599&lt;'02_Eingaben'!$C$18*'02_Eingaben'!$C$10,1,0))</f>
        <v/>
      </c>
      <c r="I2599" s="17" t="str">
        <f t="shared" si="40"/>
        <v/>
      </c>
      <c r="J2599" s="17" t="str">
        <f>IF(B2599="","",IF(B2598&lt;'02_Eingaben'!$C$36,0,J2598+I2598/'02_Eingaben'!$C$8))</f>
        <v/>
      </c>
    </row>
    <row r="2600" spans="1:10" x14ac:dyDescent="0.25">
      <c r="A2600" t="str">
        <f>IF('01_Rohdaten'!A2600="","",ROW()-1)</f>
        <v/>
      </c>
      <c r="B2600" s="17" t="str">
        <f>IF('01_Rohdaten'!A2600="","",'01_Rohdaten'!A2600)</f>
        <v/>
      </c>
      <c r="C2600" s="17" t="str">
        <f>IF(B2600="","",INDEX('01_Rohdaten'!B2600:D2600,'02_Eingaben'!$C$13))</f>
        <v/>
      </c>
      <c r="D2600" s="17" t="str">
        <f>IF(C2600="","",C2600*'02_Eingaben'!$C$15)</f>
        <v/>
      </c>
      <c r="E2600" s="17" t="str">
        <f>IF(D2600="","",D2600*'02_Eingaben'!$C$8)</f>
        <v/>
      </c>
      <c r="F2600" s="17" t="str">
        <f>IF(E2600="","",AVERAGE(INDEX($E$2:$E$3001,MAX(1,ROW()-1-'02_Eingaben'!$C$17)):INDEX($E$2:$E$3001,MIN('02_Eingaben'!$C$21,ROW()-1+'02_Eingaben'!$C$17))))</f>
        <v/>
      </c>
      <c r="G2600" s="17" t="str">
        <f>IF(F2600="","",F2600-'02_Eingaben'!$C$10)</f>
        <v/>
      </c>
      <c r="H2600" t="str">
        <f>IF(F2600="","",IF(F2600&lt;'02_Eingaben'!$C$18*'02_Eingaben'!$C$10,1,0))</f>
        <v/>
      </c>
      <c r="I2600" s="17" t="str">
        <f t="shared" si="40"/>
        <v/>
      </c>
      <c r="J2600" s="17" t="str">
        <f>IF(B2600="","",IF(B2599&lt;'02_Eingaben'!$C$36,0,J2599+I2599/'02_Eingaben'!$C$8))</f>
        <v/>
      </c>
    </row>
    <row r="2601" spans="1:10" x14ac:dyDescent="0.25">
      <c r="A2601" t="str">
        <f>IF('01_Rohdaten'!A2601="","",ROW()-1)</f>
        <v/>
      </c>
      <c r="B2601" s="17" t="str">
        <f>IF('01_Rohdaten'!A2601="","",'01_Rohdaten'!A2601)</f>
        <v/>
      </c>
      <c r="C2601" s="17" t="str">
        <f>IF(B2601="","",INDEX('01_Rohdaten'!B2601:D2601,'02_Eingaben'!$C$13))</f>
        <v/>
      </c>
      <c r="D2601" s="17" t="str">
        <f>IF(C2601="","",C2601*'02_Eingaben'!$C$15)</f>
        <v/>
      </c>
      <c r="E2601" s="17" t="str">
        <f>IF(D2601="","",D2601*'02_Eingaben'!$C$8)</f>
        <v/>
      </c>
      <c r="F2601" s="17" t="str">
        <f>IF(E2601="","",AVERAGE(INDEX($E$2:$E$3001,MAX(1,ROW()-1-'02_Eingaben'!$C$17)):INDEX($E$2:$E$3001,MIN('02_Eingaben'!$C$21,ROW()-1+'02_Eingaben'!$C$17))))</f>
        <v/>
      </c>
      <c r="G2601" s="17" t="str">
        <f>IF(F2601="","",F2601-'02_Eingaben'!$C$10)</f>
        <v/>
      </c>
      <c r="H2601" t="str">
        <f>IF(F2601="","",IF(F2601&lt;'02_Eingaben'!$C$18*'02_Eingaben'!$C$10,1,0))</f>
        <v/>
      </c>
      <c r="I2601" s="17" t="str">
        <f t="shared" si="40"/>
        <v/>
      </c>
      <c r="J2601" s="17" t="str">
        <f>IF(B2601="","",IF(B2600&lt;'02_Eingaben'!$C$36,0,J2600+I2600/'02_Eingaben'!$C$8))</f>
        <v/>
      </c>
    </row>
    <row r="2602" spans="1:10" x14ac:dyDescent="0.25">
      <c r="A2602" t="str">
        <f>IF('01_Rohdaten'!A2602="","",ROW()-1)</f>
        <v/>
      </c>
      <c r="B2602" s="17" t="str">
        <f>IF('01_Rohdaten'!A2602="","",'01_Rohdaten'!A2602)</f>
        <v/>
      </c>
      <c r="C2602" s="17" t="str">
        <f>IF(B2602="","",INDEX('01_Rohdaten'!B2602:D2602,'02_Eingaben'!$C$13))</f>
        <v/>
      </c>
      <c r="D2602" s="17" t="str">
        <f>IF(C2602="","",C2602*'02_Eingaben'!$C$15)</f>
        <v/>
      </c>
      <c r="E2602" s="17" t="str">
        <f>IF(D2602="","",D2602*'02_Eingaben'!$C$8)</f>
        <v/>
      </c>
      <c r="F2602" s="17" t="str">
        <f>IF(E2602="","",AVERAGE(INDEX($E$2:$E$3001,MAX(1,ROW()-1-'02_Eingaben'!$C$17)):INDEX($E$2:$E$3001,MIN('02_Eingaben'!$C$21,ROW()-1+'02_Eingaben'!$C$17))))</f>
        <v/>
      </c>
      <c r="G2602" s="17" t="str">
        <f>IF(F2602="","",F2602-'02_Eingaben'!$C$10)</f>
        <v/>
      </c>
      <c r="H2602" t="str">
        <f>IF(F2602="","",IF(F2602&lt;'02_Eingaben'!$C$18*'02_Eingaben'!$C$10,1,0))</f>
        <v/>
      </c>
      <c r="I2602" s="17" t="str">
        <f t="shared" si="40"/>
        <v/>
      </c>
      <c r="J2602" s="17" t="str">
        <f>IF(B2602="","",IF(B2601&lt;'02_Eingaben'!$C$36,0,J2601+I2601/'02_Eingaben'!$C$8))</f>
        <v/>
      </c>
    </row>
    <row r="2603" spans="1:10" x14ac:dyDescent="0.25">
      <c r="A2603" t="str">
        <f>IF('01_Rohdaten'!A2603="","",ROW()-1)</f>
        <v/>
      </c>
      <c r="B2603" s="17" t="str">
        <f>IF('01_Rohdaten'!A2603="","",'01_Rohdaten'!A2603)</f>
        <v/>
      </c>
      <c r="C2603" s="17" t="str">
        <f>IF(B2603="","",INDEX('01_Rohdaten'!B2603:D2603,'02_Eingaben'!$C$13))</f>
        <v/>
      </c>
      <c r="D2603" s="17" t="str">
        <f>IF(C2603="","",C2603*'02_Eingaben'!$C$15)</f>
        <v/>
      </c>
      <c r="E2603" s="17" t="str">
        <f>IF(D2603="","",D2603*'02_Eingaben'!$C$8)</f>
        <v/>
      </c>
      <c r="F2603" s="17" t="str">
        <f>IF(E2603="","",AVERAGE(INDEX($E$2:$E$3001,MAX(1,ROW()-1-'02_Eingaben'!$C$17)):INDEX($E$2:$E$3001,MIN('02_Eingaben'!$C$21,ROW()-1+'02_Eingaben'!$C$17))))</f>
        <v/>
      </c>
      <c r="G2603" s="17" t="str">
        <f>IF(F2603="","",F2603-'02_Eingaben'!$C$10)</f>
        <v/>
      </c>
      <c r="H2603" t="str">
        <f>IF(F2603="","",IF(F2603&lt;'02_Eingaben'!$C$18*'02_Eingaben'!$C$10,1,0))</f>
        <v/>
      </c>
      <c r="I2603" s="17" t="str">
        <f t="shared" si="40"/>
        <v/>
      </c>
      <c r="J2603" s="17" t="str">
        <f>IF(B2603="","",IF(B2602&lt;'02_Eingaben'!$C$36,0,J2602+I2602/'02_Eingaben'!$C$8))</f>
        <v/>
      </c>
    </row>
    <row r="2604" spans="1:10" x14ac:dyDescent="0.25">
      <c r="A2604" t="str">
        <f>IF('01_Rohdaten'!A2604="","",ROW()-1)</f>
        <v/>
      </c>
      <c r="B2604" s="17" t="str">
        <f>IF('01_Rohdaten'!A2604="","",'01_Rohdaten'!A2604)</f>
        <v/>
      </c>
      <c r="C2604" s="17" t="str">
        <f>IF(B2604="","",INDEX('01_Rohdaten'!B2604:D2604,'02_Eingaben'!$C$13))</f>
        <v/>
      </c>
      <c r="D2604" s="17" t="str">
        <f>IF(C2604="","",C2604*'02_Eingaben'!$C$15)</f>
        <v/>
      </c>
      <c r="E2604" s="17" t="str">
        <f>IF(D2604="","",D2604*'02_Eingaben'!$C$8)</f>
        <v/>
      </c>
      <c r="F2604" s="17" t="str">
        <f>IF(E2604="","",AVERAGE(INDEX($E$2:$E$3001,MAX(1,ROW()-1-'02_Eingaben'!$C$17)):INDEX($E$2:$E$3001,MIN('02_Eingaben'!$C$21,ROW()-1+'02_Eingaben'!$C$17))))</f>
        <v/>
      </c>
      <c r="G2604" s="17" t="str">
        <f>IF(F2604="","",F2604-'02_Eingaben'!$C$10)</f>
        <v/>
      </c>
      <c r="H2604" t="str">
        <f>IF(F2604="","",IF(F2604&lt;'02_Eingaben'!$C$18*'02_Eingaben'!$C$10,1,0))</f>
        <v/>
      </c>
      <c r="I2604" s="17" t="str">
        <f t="shared" si="40"/>
        <v/>
      </c>
      <c r="J2604" s="17" t="str">
        <f>IF(B2604="","",IF(B2603&lt;'02_Eingaben'!$C$36,0,J2603+I2603/'02_Eingaben'!$C$8))</f>
        <v/>
      </c>
    </row>
    <row r="2605" spans="1:10" x14ac:dyDescent="0.25">
      <c r="A2605" t="str">
        <f>IF('01_Rohdaten'!A2605="","",ROW()-1)</f>
        <v/>
      </c>
      <c r="B2605" s="17" t="str">
        <f>IF('01_Rohdaten'!A2605="","",'01_Rohdaten'!A2605)</f>
        <v/>
      </c>
      <c r="C2605" s="17" t="str">
        <f>IF(B2605="","",INDEX('01_Rohdaten'!B2605:D2605,'02_Eingaben'!$C$13))</f>
        <v/>
      </c>
      <c r="D2605" s="17" t="str">
        <f>IF(C2605="","",C2605*'02_Eingaben'!$C$15)</f>
        <v/>
      </c>
      <c r="E2605" s="17" t="str">
        <f>IF(D2605="","",D2605*'02_Eingaben'!$C$8)</f>
        <v/>
      </c>
      <c r="F2605" s="17" t="str">
        <f>IF(E2605="","",AVERAGE(INDEX($E$2:$E$3001,MAX(1,ROW()-1-'02_Eingaben'!$C$17)):INDEX($E$2:$E$3001,MIN('02_Eingaben'!$C$21,ROW()-1+'02_Eingaben'!$C$17))))</f>
        <v/>
      </c>
      <c r="G2605" s="17" t="str">
        <f>IF(F2605="","",F2605-'02_Eingaben'!$C$10)</f>
        <v/>
      </c>
      <c r="H2605" t="str">
        <f>IF(F2605="","",IF(F2605&lt;'02_Eingaben'!$C$18*'02_Eingaben'!$C$10,1,0))</f>
        <v/>
      </c>
      <c r="I2605" s="17" t="str">
        <f t="shared" si="40"/>
        <v/>
      </c>
      <c r="J2605" s="17" t="str">
        <f>IF(B2605="","",IF(B2604&lt;'02_Eingaben'!$C$36,0,J2604+I2604/'02_Eingaben'!$C$8))</f>
        <v/>
      </c>
    </row>
    <row r="2606" spans="1:10" x14ac:dyDescent="0.25">
      <c r="A2606" t="str">
        <f>IF('01_Rohdaten'!A2606="","",ROW()-1)</f>
        <v/>
      </c>
      <c r="B2606" s="17" t="str">
        <f>IF('01_Rohdaten'!A2606="","",'01_Rohdaten'!A2606)</f>
        <v/>
      </c>
      <c r="C2606" s="17" t="str">
        <f>IF(B2606="","",INDEX('01_Rohdaten'!B2606:D2606,'02_Eingaben'!$C$13))</f>
        <v/>
      </c>
      <c r="D2606" s="17" t="str">
        <f>IF(C2606="","",C2606*'02_Eingaben'!$C$15)</f>
        <v/>
      </c>
      <c r="E2606" s="17" t="str">
        <f>IF(D2606="","",D2606*'02_Eingaben'!$C$8)</f>
        <v/>
      </c>
      <c r="F2606" s="17" t="str">
        <f>IF(E2606="","",AVERAGE(INDEX($E$2:$E$3001,MAX(1,ROW()-1-'02_Eingaben'!$C$17)):INDEX($E$2:$E$3001,MIN('02_Eingaben'!$C$21,ROW()-1+'02_Eingaben'!$C$17))))</f>
        <v/>
      </c>
      <c r="G2606" s="17" t="str">
        <f>IF(F2606="","",F2606-'02_Eingaben'!$C$10)</f>
        <v/>
      </c>
      <c r="H2606" t="str">
        <f>IF(F2606="","",IF(F2606&lt;'02_Eingaben'!$C$18*'02_Eingaben'!$C$10,1,0))</f>
        <v/>
      </c>
      <c r="I2606" s="17" t="str">
        <f t="shared" si="40"/>
        <v/>
      </c>
      <c r="J2606" s="17" t="str">
        <f>IF(B2606="","",IF(B2605&lt;'02_Eingaben'!$C$36,0,J2605+I2605/'02_Eingaben'!$C$8))</f>
        <v/>
      </c>
    </row>
    <row r="2607" spans="1:10" x14ac:dyDescent="0.25">
      <c r="A2607" t="str">
        <f>IF('01_Rohdaten'!A2607="","",ROW()-1)</f>
        <v/>
      </c>
      <c r="B2607" s="17" t="str">
        <f>IF('01_Rohdaten'!A2607="","",'01_Rohdaten'!A2607)</f>
        <v/>
      </c>
      <c r="C2607" s="17" t="str">
        <f>IF(B2607="","",INDEX('01_Rohdaten'!B2607:D2607,'02_Eingaben'!$C$13))</f>
        <v/>
      </c>
      <c r="D2607" s="17" t="str">
        <f>IF(C2607="","",C2607*'02_Eingaben'!$C$15)</f>
        <v/>
      </c>
      <c r="E2607" s="17" t="str">
        <f>IF(D2607="","",D2607*'02_Eingaben'!$C$8)</f>
        <v/>
      </c>
      <c r="F2607" s="17" t="str">
        <f>IF(E2607="","",AVERAGE(INDEX($E$2:$E$3001,MAX(1,ROW()-1-'02_Eingaben'!$C$17)):INDEX($E$2:$E$3001,MIN('02_Eingaben'!$C$21,ROW()-1+'02_Eingaben'!$C$17))))</f>
        <v/>
      </c>
      <c r="G2607" s="17" t="str">
        <f>IF(F2607="","",F2607-'02_Eingaben'!$C$10)</f>
        <v/>
      </c>
      <c r="H2607" t="str">
        <f>IF(F2607="","",IF(F2607&lt;'02_Eingaben'!$C$18*'02_Eingaben'!$C$10,1,0))</f>
        <v/>
      </c>
      <c r="I2607" s="17" t="str">
        <f t="shared" si="40"/>
        <v/>
      </c>
      <c r="J2607" s="17" t="str">
        <f>IF(B2607="","",IF(B2606&lt;'02_Eingaben'!$C$36,0,J2606+I2606/'02_Eingaben'!$C$8))</f>
        <v/>
      </c>
    </row>
    <row r="2608" spans="1:10" x14ac:dyDescent="0.25">
      <c r="A2608" t="str">
        <f>IF('01_Rohdaten'!A2608="","",ROW()-1)</f>
        <v/>
      </c>
      <c r="B2608" s="17" t="str">
        <f>IF('01_Rohdaten'!A2608="","",'01_Rohdaten'!A2608)</f>
        <v/>
      </c>
      <c r="C2608" s="17" t="str">
        <f>IF(B2608="","",INDEX('01_Rohdaten'!B2608:D2608,'02_Eingaben'!$C$13))</f>
        <v/>
      </c>
      <c r="D2608" s="17" t="str">
        <f>IF(C2608="","",C2608*'02_Eingaben'!$C$15)</f>
        <v/>
      </c>
      <c r="E2608" s="17" t="str">
        <f>IF(D2608="","",D2608*'02_Eingaben'!$C$8)</f>
        <v/>
      </c>
      <c r="F2608" s="17" t="str">
        <f>IF(E2608="","",AVERAGE(INDEX($E$2:$E$3001,MAX(1,ROW()-1-'02_Eingaben'!$C$17)):INDEX($E$2:$E$3001,MIN('02_Eingaben'!$C$21,ROW()-1+'02_Eingaben'!$C$17))))</f>
        <v/>
      </c>
      <c r="G2608" s="17" t="str">
        <f>IF(F2608="","",F2608-'02_Eingaben'!$C$10)</f>
        <v/>
      </c>
      <c r="H2608" t="str">
        <f>IF(F2608="","",IF(F2608&lt;'02_Eingaben'!$C$18*'02_Eingaben'!$C$10,1,0))</f>
        <v/>
      </c>
      <c r="I2608" s="17" t="str">
        <f t="shared" si="40"/>
        <v/>
      </c>
      <c r="J2608" s="17" t="str">
        <f>IF(B2608="","",IF(B2607&lt;'02_Eingaben'!$C$36,0,J2607+I2607/'02_Eingaben'!$C$8))</f>
        <v/>
      </c>
    </row>
    <row r="2609" spans="1:10" x14ac:dyDescent="0.25">
      <c r="A2609" t="str">
        <f>IF('01_Rohdaten'!A2609="","",ROW()-1)</f>
        <v/>
      </c>
      <c r="B2609" s="17" t="str">
        <f>IF('01_Rohdaten'!A2609="","",'01_Rohdaten'!A2609)</f>
        <v/>
      </c>
      <c r="C2609" s="17" t="str">
        <f>IF(B2609="","",INDEX('01_Rohdaten'!B2609:D2609,'02_Eingaben'!$C$13))</f>
        <v/>
      </c>
      <c r="D2609" s="17" t="str">
        <f>IF(C2609="","",C2609*'02_Eingaben'!$C$15)</f>
        <v/>
      </c>
      <c r="E2609" s="17" t="str">
        <f>IF(D2609="","",D2609*'02_Eingaben'!$C$8)</f>
        <v/>
      </c>
      <c r="F2609" s="17" t="str">
        <f>IF(E2609="","",AVERAGE(INDEX($E$2:$E$3001,MAX(1,ROW()-1-'02_Eingaben'!$C$17)):INDEX($E$2:$E$3001,MIN('02_Eingaben'!$C$21,ROW()-1+'02_Eingaben'!$C$17))))</f>
        <v/>
      </c>
      <c r="G2609" s="17" t="str">
        <f>IF(F2609="","",F2609-'02_Eingaben'!$C$10)</f>
        <v/>
      </c>
      <c r="H2609" t="str">
        <f>IF(F2609="","",IF(F2609&lt;'02_Eingaben'!$C$18*'02_Eingaben'!$C$10,1,0))</f>
        <v/>
      </c>
      <c r="I2609" s="17" t="str">
        <f t="shared" si="40"/>
        <v/>
      </c>
      <c r="J2609" s="17" t="str">
        <f>IF(B2609="","",IF(B2608&lt;'02_Eingaben'!$C$36,0,J2608+I2608/'02_Eingaben'!$C$8))</f>
        <v/>
      </c>
    </row>
    <row r="2610" spans="1:10" x14ac:dyDescent="0.25">
      <c r="A2610" t="str">
        <f>IF('01_Rohdaten'!A2610="","",ROW()-1)</f>
        <v/>
      </c>
      <c r="B2610" s="17" t="str">
        <f>IF('01_Rohdaten'!A2610="","",'01_Rohdaten'!A2610)</f>
        <v/>
      </c>
      <c r="C2610" s="17" t="str">
        <f>IF(B2610="","",INDEX('01_Rohdaten'!B2610:D2610,'02_Eingaben'!$C$13))</f>
        <v/>
      </c>
      <c r="D2610" s="17" t="str">
        <f>IF(C2610="","",C2610*'02_Eingaben'!$C$15)</f>
        <v/>
      </c>
      <c r="E2610" s="17" t="str">
        <f>IF(D2610="","",D2610*'02_Eingaben'!$C$8)</f>
        <v/>
      </c>
      <c r="F2610" s="17" t="str">
        <f>IF(E2610="","",AVERAGE(INDEX($E$2:$E$3001,MAX(1,ROW()-1-'02_Eingaben'!$C$17)):INDEX($E$2:$E$3001,MIN('02_Eingaben'!$C$21,ROW()-1+'02_Eingaben'!$C$17))))</f>
        <v/>
      </c>
      <c r="G2610" s="17" t="str">
        <f>IF(F2610="","",F2610-'02_Eingaben'!$C$10)</f>
        <v/>
      </c>
      <c r="H2610" t="str">
        <f>IF(F2610="","",IF(F2610&lt;'02_Eingaben'!$C$18*'02_Eingaben'!$C$10,1,0))</f>
        <v/>
      </c>
      <c r="I2610" s="17" t="str">
        <f t="shared" si="40"/>
        <v/>
      </c>
      <c r="J2610" s="17" t="str">
        <f>IF(B2610="","",IF(B2609&lt;'02_Eingaben'!$C$36,0,J2609+I2609/'02_Eingaben'!$C$8))</f>
        <v/>
      </c>
    </row>
    <row r="2611" spans="1:10" x14ac:dyDescent="0.25">
      <c r="A2611" t="str">
        <f>IF('01_Rohdaten'!A2611="","",ROW()-1)</f>
        <v/>
      </c>
      <c r="B2611" s="17" t="str">
        <f>IF('01_Rohdaten'!A2611="","",'01_Rohdaten'!A2611)</f>
        <v/>
      </c>
      <c r="C2611" s="17" t="str">
        <f>IF(B2611="","",INDEX('01_Rohdaten'!B2611:D2611,'02_Eingaben'!$C$13))</f>
        <v/>
      </c>
      <c r="D2611" s="17" t="str">
        <f>IF(C2611="","",C2611*'02_Eingaben'!$C$15)</f>
        <v/>
      </c>
      <c r="E2611" s="17" t="str">
        <f>IF(D2611="","",D2611*'02_Eingaben'!$C$8)</f>
        <v/>
      </c>
      <c r="F2611" s="17" t="str">
        <f>IF(E2611="","",AVERAGE(INDEX($E$2:$E$3001,MAX(1,ROW()-1-'02_Eingaben'!$C$17)):INDEX($E$2:$E$3001,MIN('02_Eingaben'!$C$21,ROW()-1+'02_Eingaben'!$C$17))))</f>
        <v/>
      </c>
      <c r="G2611" s="17" t="str">
        <f>IF(F2611="","",F2611-'02_Eingaben'!$C$10)</f>
        <v/>
      </c>
      <c r="H2611" t="str">
        <f>IF(F2611="","",IF(F2611&lt;'02_Eingaben'!$C$18*'02_Eingaben'!$C$10,1,0))</f>
        <v/>
      </c>
      <c r="I2611" s="17" t="str">
        <f t="shared" si="40"/>
        <v/>
      </c>
      <c r="J2611" s="17" t="str">
        <f>IF(B2611="","",IF(B2610&lt;'02_Eingaben'!$C$36,0,J2610+I2610/'02_Eingaben'!$C$8))</f>
        <v/>
      </c>
    </row>
    <row r="2612" spans="1:10" x14ac:dyDescent="0.25">
      <c r="A2612" t="str">
        <f>IF('01_Rohdaten'!A2612="","",ROW()-1)</f>
        <v/>
      </c>
      <c r="B2612" s="17" t="str">
        <f>IF('01_Rohdaten'!A2612="","",'01_Rohdaten'!A2612)</f>
        <v/>
      </c>
      <c r="C2612" s="17" t="str">
        <f>IF(B2612="","",INDEX('01_Rohdaten'!B2612:D2612,'02_Eingaben'!$C$13))</f>
        <v/>
      </c>
      <c r="D2612" s="17" t="str">
        <f>IF(C2612="","",C2612*'02_Eingaben'!$C$15)</f>
        <v/>
      </c>
      <c r="E2612" s="17" t="str">
        <f>IF(D2612="","",D2612*'02_Eingaben'!$C$8)</f>
        <v/>
      </c>
      <c r="F2612" s="17" t="str">
        <f>IF(E2612="","",AVERAGE(INDEX($E$2:$E$3001,MAX(1,ROW()-1-'02_Eingaben'!$C$17)):INDEX($E$2:$E$3001,MIN('02_Eingaben'!$C$21,ROW()-1+'02_Eingaben'!$C$17))))</f>
        <v/>
      </c>
      <c r="G2612" s="17" t="str">
        <f>IF(F2612="","",F2612-'02_Eingaben'!$C$10)</f>
        <v/>
      </c>
      <c r="H2612" t="str">
        <f>IF(F2612="","",IF(F2612&lt;'02_Eingaben'!$C$18*'02_Eingaben'!$C$10,1,0))</f>
        <v/>
      </c>
      <c r="I2612" s="17" t="str">
        <f t="shared" si="40"/>
        <v/>
      </c>
      <c r="J2612" s="17" t="str">
        <f>IF(B2612="","",IF(B2611&lt;'02_Eingaben'!$C$36,0,J2611+I2611/'02_Eingaben'!$C$8))</f>
        <v/>
      </c>
    </row>
    <row r="2613" spans="1:10" x14ac:dyDescent="0.25">
      <c r="A2613" t="str">
        <f>IF('01_Rohdaten'!A2613="","",ROW()-1)</f>
        <v/>
      </c>
      <c r="B2613" s="17" t="str">
        <f>IF('01_Rohdaten'!A2613="","",'01_Rohdaten'!A2613)</f>
        <v/>
      </c>
      <c r="C2613" s="17" t="str">
        <f>IF(B2613="","",INDEX('01_Rohdaten'!B2613:D2613,'02_Eingaben'!$C$13))</f>
        <v/>
      </c>
      <c r="D2613" s="17" t="str">
        <f>IF(C2613="","",C2613*'02_Eingaben'!$C$15)</f>
        <v/>
      </c>
      <c r="E2613" s="17" t="str">
        <f>IF(D2613="","",D2613*'02_Eingaben'!$C$8)</f>
        <v/>
      </c>
      <c r="F2613" s="17" t="str">
        <f>IF(E2613="","",AVERAGE(INDEX($E$2:$E$3001,MAX(1,ROW()-1-'02_Eingaben'!$C$17)):INDEX($E$2:$E$3001,MIN('02_Eingaben'!$C$21,ROW()-1+'02_Eingaben'!$C$17))))</f>
        <v/>
      </c>
      <c r="G2613" s="17" t="str">
        <f>IF(F2613="","",F2613-'02_Eingaben'!$C$10)</f>
        <v/>
      </c>
      <c r="H2613" t="str">
        <f>IF(F2613="","",IF(F2613&lt;'02_Eingaben'!$C$18*'02_Eingaben'!$C$10,1,0))</f>
        <v/>
      </c>
      <c r="I2613" s="17" t="str">
        <f t="shared" si="40"/>
        <v/>
      </c>
      <c r="J2613" s="17" t="str">
        <f>IF(B2613="","",IF(B2612&lt;'02_Eingaben'!$C$36,0,J2612+I2612/'02_Eingaben'!$C$8))</f>
        <v/>
      </c>
    </row>
    <row r="2614" spans="1:10" x14ac:dyDescent="0.25">
      <c r="A2614" t="str">
        <f>IF('01_Rohdaten'!A2614="","",ROW()-1)</f>
        <v/>
      </c>
      <c r="B2614" s="17" t="str">
        <f>IF('01_Rohdaten'!A2614="","",'01_Rohdaten'!A2614)</f>
        <v/>
      </c>
      <c r="C2614" s="17" t="str">
        <f>IF(B2614="","",INDEX('01_Rohdaten'!B2614:D2614,'02_Eingaben'!$C$13))</f>
        <v/>
      </c>
      <c r="D2614" s="17" t="str">
        <f>IF(C2614="","",C2614*'02_Eingaben'!$C$15)</f>
        <v/>
      </c>
      <c r="E2614" s="17" t="str">
        <f>IF(D2614="","",D2614*'02_Eingaben'!$C$8)</f>
        <v/>
      </c>
      <c r="F2614" s="17" t="str">
        <f>IF(E2614="","",AVERAGE(INDEX($E$2:$E$3001,MAX(1,ROW()-1-'02_Eingaben'!$C$17)):INDEX($E$2:$E$3001,MIN('02_Eingaben'!$C$21,ROW()-1+'02_Eingaben'!$C$17))))</f>
        <v/>
      </c>
      <c r="G2614" s="17" t="str">
        <f>IF(F2614="","",F2614-'02_Eingaben'!$C$10)</f>
        <v/>
      </c>
      <c r="H2614" t="str">
        <f>IF(F2614="","",IF(F2614&lt;'02_Eingaben'!$C$18*'02_Eingaben'!$C$10,1,0))</f>
        <v/>
      </c>
      <c r="I2614" s="17" t="str">
        <f t="shared" si="40"/>
        <v/>
      </c>
      <c r="J2614" s="17" t="str">
        <f>IF(B2614="","",IF(B2613&lt;'02_Eingaben'!$C$36,0,J2613+I2613/'02_Eingaben'!$C$8))</f>
        <v/>
      </c>
    </row>
    <row r="2615" spans="1:10" x14ac:dyDescent="0.25">
      <c r="A2615" t="str">
        <f>IF('01_Rohdaten'!A2615="","",ROW()-1)</f>
        <v/>
      </c>
      <c r="B2615" s="17" t="str">
        <f>IF('01_Rohdaten'!A2615="","",'01_Rohdaten'!A2615)</f>
        <v/>
      </c>
      <c r="C2615" s="17" t="str">
        <f>IF(B2615="","",INDEX('01_Rohdaten'!B2615:D2615,'02_Eingaben'!$C$13))</f>
        <v/>
      </c>
      <c r="D2615" s="17" t="str">
        <f>IF(C2615="","",C2615*'02_Eingaben'!$C$15)</f>
        <v/>
      </c>
      <c r="E2615" s="17" t="str">
        <f>IF(D2615="","",D2615*'02_Eingaben'!$C$8)</f>
        <v/>
      </c>
      <c r="F2615" s="17" t="str">
        <f>IF(E2615="","",AVERAGE(INDEX($E$2:$E$3001,MAX(1,ROW()-1-'02_Eingaben'!$C$17)):INDEX($E$2:$E$3001,MIN('02_Eingaben'!$C$21,ROW()-1+'02_Eingaben'!$C$17))))</f>
        <v/>
      </c>
      <c r="G2615" s="17" t="str">
        <f>IF(F2615="","",F2615-'02_Eingaben'!$C$10)</f>
        <v/>
      </c>
      <c r="H2615" t="str">
        <f>IF(F2615="","",IF(F2615&lt;'02_Eingaben'!$C$18*'02_Eingaben'!$C$10,1,0))</f>
        <v/>
      </c>
      <c r="I2615" s="17" t="str">
        <f t="shared" si="40"/>
        <v/>
      </c>
      <c r="J2615" s="17" t="str">
        <f>IF(B2615="","",IF(B2614&lt;'02_Eingaben'!$C$36,0,J2614+I2614/'02_Eingaben'!$C$8))</f>
        <v/>
      </c>
    </row>
    <row r="2616" spans="1:10" x14ac:dyDescent="0.25">
      <c r="A2616" t="str">
        <f>IF('01_Rohdaten'!A2616="","",ROW()-1)</f>
        <v/>
      </c>
      <c r="B2616" s="17" t="str">
        <f>IF('01_Rohdaten'!A2616="","",'01_Rohdaten'!A2616)</f>
        <v/>
      </c>
      <c r="C2616" s="17" t="str">
        <f>IF(B2616="","",INDEX('01_Rohdaten'!B2616:D2616,'02_Eingaben'!$C$13))</f>
        <v/>
      </c>
      <c r="D2616" s="17" t="str">
        <f>IF(C2616="","",C2616*'02_Eingaben'!$C$15)</f>
        <v/>
      </c>
      <c r="E2616" s="17" t="str">
        <f>IF(D2616="","",D2616*'02_Eingaben'!$C$8)</f>
        <v/>
      </c>
      <c r="F2616" s="17" t="str">
        <f>IF(E2616="","",AVERAGE(INDEX($E$2:$E$3001,MAX(1,ROW()-1-'02_Eingaben'!$C$17)):INDEX($E$2:$E$3001,MIN('02_Eingaben'!$C$21,ROW()-1+'02_Eingaben'!$C$17))))</f>
        <v/>
      </c>
      <c r="G2616" s="17" t="str">
        <f>IF(F2616="","",F2616-'02_Eingaben'!$C$10)</f>
        <v/>
      </c>
      <c r="H2616" t="str">
        <f>IF(F2616="","",IF(F2616&lt;'02_Eingaben'!$C$18*'02_Eingaben'!$C$10,1,0))</f>
        <v/>
      </c>
      <c r="I2616" s="17" t="str">
        <f t="shared" si="40"/>
        <v/>
      </c>
      <c r="J2616" s="17" t="str">
        <f>IF(B2616="","",IF(B2615&lt;'02_Eingaben'!$C$36,0,J2615+I2615/'02_Eingaben'!$C$8))</f>
        <v/>
      </c>
    </row>
    <row r="2617" spans="1:10" x14ac:dyDescent="0.25">
      <c r="A2617" t="str">
        <f>IF('01_Rohdaten'!A2617="","",ROW()-1)</f>
        <v/>
      </c>
      <c r="B2617" s="17" t="str">
        <f>IF('01_Rohdaten'!A2617="","",'01_Rohdaten'!A2617)</f>
        <v/>
      </c>
      <c r="C2617" s="17" t="str">
        <f>IF(B2617="","",INDEX('01_Rohdaten'!B2617:D2617,'02_Eingaben'!$C$13))</f>
        <v/>
      </c>
      <c r="D2617" s="17" t="str">
        <f>IF(C2617="","",C2617*'02_Eingaben'!$C$15)</f>
        <v/>
      </c>
      <c r="E2617" s="17" t="str">
        <f>IF(D2617="","",D2617*'02_Eingaben'!$C$8)</f>
        <v/>
      </c>
      <c r="F2617" s="17" t="str">
        <f>IF(E2617="","",AVERAGE(INDEX($E$2:$E$3001,MAX(1,ROW()-1-'02_Eingaben'!$C$17)):INDEX($E$2:$E$3001,MIN('02_Eingaben'!$C$21,ROW()-1+'02_Eingaben'!$C$17))))</f>
        <v/>
      </c>
      <c r="G2617" s="17" t="str">
        <f>IF(F2617="","",F2617-'02_Eingaben'!$C$10)</f>
        <v/>
      </c>
      <c r="H2617" t="str">
        <f>IF(F2617="","",IF(F2617&lt;'02_Eingaben'!$C$18*'02_Eingaben'!$C$10,1,0))</f>
        <v/>
      </c>
      <c r="I2617" s="17" t="str">
        <f t="shared" si="40"/>
        <v/>
      </c>
      <c r="J2617" s="17" t="str">
        <f>IF(B2617="","",IF(B2616&lt;'02_Eingaben'!$C$36,0,J2616+I2616/'02_Eingaben'!$C$8))</f>
        <v/>
      </c>
    </row>
    <row r="2618" spans="1:10" x14ac:dyDescent="0.25">
      <c r="A2618" t="str">
        <f>IF('01_Rohdaten'!A2618="","",ROW()-1)</f>
        <v/>
      </c>
      <c r="B2618" s="17" t="str">
        <f>IF('01_Rohdaten'!A2618="","",'01_Rohdaten'!A2618)</f>
        <v/>
      </c>
      <c r="C2618" s="17" t="str">
        <f>IF(B2618="","",INDEX('01_Rohdaten'!B2618:D2618,'02_Eingaben'!$C$13))</f>
        <v/>
      </c>
      <c r="D2618" s="17" t="str">
        <f>IF(C2618="","",C2618*'02_Eingaben'!$C$15)</f>
        <v/>
      </c>
      <c r="E2618" s="17" t="str">
        <f>IF(D2618="","",D2618*'02_Eingaben'!$C$8)</f>
        <v/>
      </c>
      <c r="F2618" s="17" t="str">
        <f>IF(E2618="","",AVERAGE(INDEX($E$2:$E$3001,MAX(1,ROW()-1-'02_Eingaben'!$C$17)):INDEX($E$2:$E$3001,MIN('02_Eingaben'!$C$21,ROW()-1+'02_Eingaben'!$C$17))))</f>
        <v/>
      </c>
      <c r="G2618" s="17" t="str">
        <f>IF(F2618="","",F2618-'02_Eingaben'!$C$10)</f>
        <v/>
      </c>
      <c r="H2618" t="str">
        <f>IF(F2618="","",IF(F2618&lt;'02_Eingaben'!$C$18*'02_Eingaben'!$C$10,1,0))</f>
        <v/>
      </c>
      <c r="I2618" s="17" t="str">
        <f t="shared" si="40"/>
        <v/>
      </c>
      <c r="J2618" s="17" t="str">
        <f>IF(B2618="","",IF(B2617&lt;'02_Eingaben'!$C$36,0,J2617+I2617/'02_Eingaben'!$C$8))</f>
        <v/>
      </c>
    </row>
    <row r="2619" spans="1:10" x14ac:dyDescent="0.25">
      <c r="A2619" t="str">
        <f>IF('01_Rohdaten'!A2619="","",ROW()-1)</f>
        <v/>
      </c>
      <c r="B2619" s="17" t="str">
        <f>IF('01_Rohdaten'!A2619="","",'01_Rohdaten'!A2619)</f>
        <v/>
      </c>
      <c r="C2619" s="17" t="str">
        <f>IF(B2619="","",INDEX('01_Rohdaten'!B2619:D2619,'02_Eingaben'!$C$13))</f>
        <v/>
      </c>
      <c r="D2619" s="17" t="str">
        <f>IF(C2619="","",C2619*'02_Eingaben'!$C$15)</f>
        <v/>
      </c>
      <c r="E2619" s="17" t="str">
        <f>IF(D2619="","",D2619*'02_Eingaben'!$C$8)</f>
        <v/>
      </c>
      <c r="F2619" s="17" t="str">
        <f>IF(E2619="","",AVERAGE(INDEX($E$2:$E$3001,MAX(1,ROW()-1-'02_Eingaben'!$C$17)):INDEX($E$2:$E$3001,MIN('02_Eingaben'!$C$21,ROW()-1+'02_Eingaben'!$C$17))))</f>
        <v/>
      </c>
      <c r="G2619" s="17" t="str">
        <f>IF(F2619="","",F2619-'02_Eingaben'!$C$10)</f>
        <v/>
      </c>
      <c r="H2619" t="str">
        <f>IF(F2619="","",IF(F2619&lt;'02_Eingaben'!$C$18*'02_Eingaben'!$C$10,1,0))</f>
        <v/>
      </c>
      <c r="I2619" s="17" t="str">
        <f t="shared" si="40"/>
        <v/>
      </c>
      <c r="J2619" s="17" t="str">
        <f>IF(B2619="","",IF(B2618&lt;'02_Eingaben'!$C$36,0,J2618+I2618/'02_Eingaben'!$C$8))</f>
        <v/>
      </c>
    </row>
    <row r="2620" spans="1:10" x14ac:dyDescent="0.25">
      <c r="A2620" t="str">
        <f>IF('01_Rohdaten'!A2620="","",ROW()-1)</f>
        <v/>
      </c>
      <c r="B2620" s="17" t="str">
        <f>IF('01_Rohdaten'!A2620="","",'01_Rohdaten'!A2620)</f>
        <v/>
      </c>
      <c r="C2620" s="17" t="str">
        <f>IF(B2620="","",INDEX('01_Rohdaten'!B2620:D2620,'02_Eingaben'!$C$13))</f>
        <v/>
      </c>
      <c r="D2620" s="17" t="str">
        <f>IF(C2620="","",C2620*'02_Eingaben'!$C$15)</f>
        <v/>
      </c>
      <c r="E2620" s="17" t="str">
        <f>IF(D2620="","",D2620*'02_Eingaben'!$C$8)</f>
        <v/>
      </c>
      <c r="F2620" s="17" t="str">
        <f>IF(E2620="","",AVERAGE(INDEX($E$2:$E$3001,MAX(1,ROW()-1-'02_Eingaben'!$C$17)):INDEX($E$2:$E$3001,MIN('02_Eingaben'!$C$21,ROW()-1+'02_Eingaben'!$C$17))))</f>
        <v/>
      </c>
      <c r="G2620" s="17" t="str">
        <f>IF(F2620="","",F2620-'02_Eingaben'!$C$10)</f>
        <v/>
      </c>
      <c r="H2620" t="str">
        <f>IF(F2620="","",IF(F2620&lt;'02_Eingaben'!$C$18*'02_Eingaben'!$C$10,1,0))</f>
        <v/>
      </c>
      <c r="I2620" s="17" t="str">
        <f t="shared" si="40"/>
        <v/>
      </c>
      <c r="J2620" s="17" t="str">
        <f>IF(B2620="","",IF(B2619&lt;'02_Eingaben'!$C$36,0,J2619+I2619/'02_Eingaben'!$C$8))</f>
        <v/>
      </c>
    </row>
    <row r="2621" spans="1:10" x14ac:dyDescent="0.25">
      <c r="A2621" t="str">
        <f>IF('01_Rohdaten'!A2621="","",ROW()-1)</f>
        <v/>
      </c>
      <c r="B2621" s="17" t="str">
        <f>IF('01_Rohdaten'!A2621="","",'01_Rohdaten'!A2621)</f>
        <v/>
      </c>
      <c r="C2621" s="17" t="str">
        <f>IF(B2621="","",INDEX('01_Rohdaten'!B2621:D2621,'02_Eingaben'!$C$13))</f>
        <v/>
      </c>
      <c r="D2621" s="17" t="str">
        <f>IF(C2621="","",C2621*'02_Eingaben'!$C$15)</f>
        <v/>
      </c>
      <c r="E2621" s="17" t="str">
        <f>IF(D2621="","",D2621*'02_Eingaben'!$C$8)</f>
        <v/>
      </c>
      <c r="F2621" s="17" t="str">
        <f>IF(E2621="","",AVERAGE(INDEX($E$2:$E$3001,MAX(1,ROW()-1-'02_Eingaben'!$C$17)):INDEX($E$2:$E$3001,MIN('02_Eingaben'!$C$21,ROW()-1+'02_Eingaben'!$C$17))))</f>
        <v/>
      </c>
      <c r="G2621" s="17" t="str">
        <f>IF(F2621="","",F2621-'02_Eingaben'!$C$10)</f>
        <v/>
      </c>
      <c r="H2621" t="str">
        <f>IF(F2621="","",IF(F2621&lt;'02_Eingaben'!$C$18*'02_Eingaben'!$C$10,1,0))</f>
        <v/>
      </c>
      <c r="I2621" s="17" t="str">
        <f t="shared" si="40"/>
        <v/>
      </c>
      <c r="J2621" s="17" t="str">
        <f>IF(B2621="","",IF(B2620&lt;'02_Eingaben'!$C$36,0,J2620+I2620/'02_Eingaben'!$C$8))</f>
        <v/>
      </c>
    </row>
    <row r="2622" spans="1:10" x14ac:dyDescent="0.25">
      <c r="A2622" t="str">
        <f>IF('01_Rohdaten'!A2622="","",ROW()-1)</f>
        <v/>
      </c>
      <c r="B2622" s="17" t="str">
        <f>IF('01_Rohdaten'!A2622="","",'01_Rohdaten'!A2622)</f>
        <v/>
      </c>
      <c r="C2622" s="17" t="str">
        <f>IF(B2622="","",INDEX('01_Rohdaten'!B2622:D2622,'02_Eingaben'!$C$13))</f>
        <v/>
      </c>
      <c r="D2622" s="17" t="str">
        <f>IF(C2622="","",C2622*'02_Eingaben'!$C$15)</f>
        <v/>
      </c>
      <c r="E2622" s="17" t="str">
        <f>IF(D2622="","",D2622*'02_Eingaben'!$C$8)</f>
        <v/>
      </c>
      <c r="F2622" s="17" t="str">
        <f>IF(E2622="","",AVERAGE(INDEX($E$2:$E$3001,MAX(1,ROW()-1-'02_Eingaben'!$C$17)):INDEX($E$2:$E$3001,MIN('02_Eingaben'!$C$21,ROW()-1+'02_Eingaben'!$C$17))))</f>
        <v/>
      </c>
      <c r="G2622" s="17" t="str">
        <f>IF(F2622="","",F2622-'02_Eingaben'!$C$10)</f>
        <v/>
      </c>
      <c r="H2622" t="str">
        <f>IF(F2622="","",IF(F2622&lt;'02_Eingaben'!$C$18*'02_Eingaben'!$C$10,1,0))</f>
        <v/>
      </c>
      <c r="I2622" s="17" t="str">
        <f t="shared" si="40"/>
        <v/>
      </c>
      <c r="J2622" s="17" t="str">
        <f>IF(B2622="","",IF(B2621&lt;'02_Eingaben'!$C$36,0,J2621+I2621/'02_Eingaben'!$C$8))</f>
        <v/>
      </c>
    </row>
    <row r="2623" spans="1:10" x14ac:dyDescent="0.25">
      <c r="A2623" t="str">
        <f>IF('01_Rohdaten'!A2623="","",ROW()-1)</f>
        <v/>
      </c>
      <c r="B2623" s="17" t="str">
        <f>IF('01_Rohdaten'!A2623="","",'01_Rohdaten'!A2623)</f>
        <v/>
      </c>
      <c r="C2623" s="17" t="str">
        <f>IF(B2623="","",INDEX('01_Rohdaten'!B2623:D2623,'02_Eingaben'!$C$13))</f>
        <v/>
      </c>
      <c r="D2623" s="17" t="str">
        <f>IF(C2623="","",C2623*'02_Eingaben'!$C$15)</f>
        <v/>
      </c>
      <c r="E2623" s="17" t="str">
        <f>IF(D2623="","",D2623*'02_Eingaben'!$C$8)</f>
        <v/>
      </c>
      <c r="F2623" s="17" t="str">
        <f>IF(E2623="","",AVERAGE(INDEX($E$2:$E$3001,MAX(1,ROW()-1-'02_Eingaben'!$C$17)):INDEX($E$2:$E$3001,MIN('02_Eingaben'!$C$21,ROW()-1+'02_Eingaben'!$C$17))))</f>
        <v/>
      </c>
      <c r="G2623" s="17" t="str">
        <f>IF(F2623="","",F2623-'02_Eingaben'!$C$10)</f>
        <v/>
      </c>
      <c r="H2623" t="str">
        <f>IF(F2623="","",IF(F2623&lt;'02_Eingaben'!$C$18*'02_Eingaben'!$C$10,1,0))</f>
        <v/>
      </c>
      <c r="I2623" s="17" t="str">
        <f t="shared" si="40"/>
        <v/>
      </c>
      <c r="J2623" s="17" t="str">
        <f>IF(B2623="","",IF(B2622&lt;'02_Eingaben'!$C$36,0,J2622+I2622/'02_Eingaben'!$C$8))</f>
        <v/>
      </c>
    </row>
    <row r="2624" spans="1:10" x14ac:dyDescent="0.25">
      <c r="A2624" t="str">
        <f>IF('01_Rohdaten'!A2624="","",ROW()-1)</f>
        <v/>
      </c>
      <c r="B2624" s="17" t="str">
        <f>IF('01_Rohdaten'!A2624="","",'01_Rohdaten'!A2624)</f>
        <v/>
      </c>
      <c r="C2624" s="17" t="str">
        <f>IF(B2624="","",INDEX('01_Rohdaten'!B2624:D2624,'02_Eingaben'!$C$13))</f>
        <v/>
      </c>
      <c r="D2624" s="17" t="str">
        <f>IF(C2624="","",C2624*'02_Eingaben'!$C$15)</f>
        <v/>
      </c>
      <c r="E2624" s="17" t="str">
        <f>IF(D2624="","",D2624*'02_Eingaben'!$C$8)</f>
        <v/>
      </c>
      <c r="F2624" s="17" t="str">
        <f>IF(E2624="","",AVERAGE(INDEX($E$2:$E$3001,MAX(1,ROW()-1-'02_Eingaben'!$C$17)):INDEX($E$2:$E$3001,MIN('02_Eingaben'!$C$21,ROW()-1+'02_Eingaben'!$C$17))))</f>
        <v/>
      </c>
      <c r="G2624" s="17" t="str">
        <f>IF(F2624="","",F2624-'02_Eingaben'!$C$10)</f>
        <v/>
      </c>
      <c r="H2624" t="str">
        <f>IF(F2624="","",IF(F2624&lt;'02_Eingaben'!$C$18*'02_Eingaben'!$C$10,1,0))</f>
        <v/>
      </c>
      <c r="I2624" s="17" t="str">
        <f t="shared" si="40"/>
        <v/>
      </c>
      <c r="J2624" s="17" t="str">
        <f>IF(B2624="","",IF(B2623&lt;'02_Eingaben'!$C$36,0,J2623+I2623/'02_Eingaben'!$C$8))</f>
        <v/>
      </c>
    </row>
    <row r="2625" spans="1:10" x14ac:dyDescent="0.25">
      <c r="A2625" t="str">
        <f>IF('01_Rohdaten'!A2625="","",ROW()-1)</f>
        <v/>
      </c>
      <c r="B2625" s="17" t="str">
        <f>IF('01_Rohdaten'!A2625="","",'01_Rohdaten'!A2625)</f>
        <v/>
      </c>
      <c r="C2625" s="17" t="str">
        <f>IF(B2625="","",INDEX('01_Rohdaten'!B2625:D2625,'02_Eingaben'!$C$13))</f>
        <v/>
      </c>
      <c r="D2625" s="17" t="str">
        <f>IF(C2625="","",C2625*'02_Eingaben'!$C$15)</f>
        <v/>
      </c>
      <c r="E2625" s="17" t="str">
        <f>IF(D2625="","",D2625*'02_Eingaben'!$C$8)</f>
        <v/>
      </c>
      <c r="F2625" s="17" t="str">
        <f>IF(E2625="","",AVERAGE(INDEX($E$2:$E$3001,MAX(1,ROW()-1-'02_Eingaben'!$C$17)):INDEX($E$2:$E$3001,MIN('02_Eingaben'!$C$21,ROW()-1+'02_Eingaben'!$C$17))))</f>
        <v/>
      </c>
      <c r="G2625" s="17" t="str">
        <f>IF(F2625="","",F2625-'02_Eingaben'!$C$10)</f>
        <v/>
      </c>
      <c r="H2625" t="str">
        <f>IF(F2625="","",IF(F2625&lt;'02_Eingaben'!$C$18*'02_Eingaben'!$C$10,1,0))</f>
        <v/>
      </c>
      <c r="I2625" s="17" t="str">
        <f t="shared" si="40"/>
        <v/>
      </c>
      <c r="J2625" s="17" t="str">
        <f>IF(B2625="","",IF(B2624&lt;'02_Eingaben'!$C$36,0,J2624+I2624/'02_Eingaben'!$C$8))</f>
        <v/>
      </c>
    </row>
    <row r="2626" spans="1:10" x14ac:dyDescent="0.25">
      <c r="A2626" t="str">
        <f>IF('01_Rohdaten'!A2626="","",ROW()-1)</f>
        <v/>
      </c>
      <c r="B2626" s="17" t="str">
        <f>IF('01_Rohdaten'!A2626="","",'01_Rohdaten'!A2626)</f>
        <v/>
      </c>
      <c r="C2626" s="17" t="str">
        <f>IF(B2626="","",INDEX('01_Rohdaten'!B2626:D2626,'02_Eingaben'!$C$13))</f>
        <v/>
      </c>
      <c r="D2626" s="17" t="str">
        <f>IF(C2626="","",C2626*'02_Eingaben'!$C$15)</f>
        <v/>
      </c>
      <c r="E2626" s="17" t="str">
        <f>IF(D2626="","",D2626*'02_Eingaben'!$C$8)</f>
        <v/>
      </c>
      <c r="F2626" s="17" t="str">
        <f>IF(E2626="","",AVERAGE(INDEX($E$2:$E$3001,MAX(1,ROW()-1-'02_Eingaben'!$C$17)):INDEX($E$2:$E$3001,MIN('02_Eingaben'!$C$21,ROW()-1+'02_Eingaben'!$C$17))))</f>
        <v/>
      </c>
      <c r="G2626" s="17" t="str">
        <f>IF(F2626="","",F2626-'02_Eingaben'!$C$10)</f>
        <v/>
      </c>
      <c r="H2626" t="str">
        <f>IF(F2626="","",IF(F2626&lt;'02_Eingaben'!$C$18*'02_Eingaben'!$C$10,1,0))</f>
        <v/>
      </c>
      <c r="I2626" s="17" t="str">
        <f t="shared" ref="I2626:I2689" si="41">IF(OR(G2626="",G2627=""),"",(G2626+G2627)/2*(B2627-B2626))</f>
        <v/>
      </c>
      <c r="J2626" s="17" t="str">
        <f>IF(B2626="","",IF(B2625&lt;'02_Eingaben'!$C$36,0,J2625+I2625/'02_Eingaben'!$C$8))</f>
        <v/>
      </c>
    </row>
    <row r="2627" spans="1:10" x14ac:dyDescent="0.25">
      <c r="A2627" t="str">
        <f>IF('01_Rohdaten'!A2627="","",ROW()-1)</f>
        <v/>
      </c>
      <c r="B2627" s="17" t="str">
        <f>IF('01_Rohdaten'!A2627="","",'01_Rohdaten'!A2627)</f>
        <v/>
      </c>
      <c r="C2627" s="17" t="str">
        <f>IF(B2627="","",INDEX('01_Rohdaten'!B2627:D2627,'02_Eingaben'!$C$13))</f>
        <v/>
      </c>
      <c r="D2627" s="17" t="str">
        <f>IF(C2627="","",C2627*'02_Eingaben'!$C$15)</f>
        <v/>
      </c>
      <c r="E2627" s="17" t="str">
        <f>IF(D2627="","",D2627*'02_Eingaben'!$C$8)</f>
        <v/>
      </c>
      <c r="F2627" s="17" t="str">
        <f>IF(E2627="","",AVERAGE(INDEX($E$2:$E$3001,MAX(1,ROW()-1-'02_Eingaben'!$C$17)):INDEX($E$2:$E$3001,MIN('02_Eingaben'!$C$21,ROW()-1+'02_Eingaben'!$C$17))))</f>
        <v/>
      </c>
      <c r="G2627" s="17" t="str">
        <f>IF(F2627="","",F2627-'02_Eingaben'!$C$10)</f>
        <v/>
      </c>
      <c r="H2627" t="str">
        <f>IF(F2627="","",IF(F2627&lt;'02_Eingaben'!$C$18*'02_Eingaben'!$C$10,1,0))</f>
        <v/>
      </c>
      <c r="I2627" s="17" t="str">
        <f t="shared" si="41"/>
        <v/>
      </c>
      <c r="J2627" s="17" t="str">
        <f>IF(B2627="","",IF(B2626&lt;'02_Eingaben'!$C$36,0,J2626+I2626/'02_Eingaben'!$C$8))</f>
        <v/>
      </c>
    </row>
    <row r="2628" spans="1:10" x14ac:dyDescent="0.25">
      <c r="A2628" t="str">
        <f>IF('01_Rohdaten'!A2628="","",ROW()-1)</f>
        <v/>
      </c>
      <c r="B2628" s="17" t="str">
        <f>IF('01_Rohdaten'!A2628="","",'01_Rohdaten'!A2628)</f>
        <v/>
      </c>
      <c r="C2628" s="17" t="str">
        <f>IF(B2628="","",INDEX('01_Rohdaten'!B2628:D2628,'02_Eingaben'!$C$13))</f>
        <v/>
      </c>
      <c r="D2628" s="17" t="str">
        <f>IF(C2628="","",C2628*'02_Eingaben'!$C$15)</f>
        <v/>
      </c>
      <c r="E2628" s="17" t="str">
        <f>IF(D2628="","",D2628*'02_Eingaben'!$C$8)</f>
        <v/>
      </c>
      <c r="F2628" s="17" t="str">
        <f>IF(E2628="","",AVERAGE(INDEX($E$2:$E$3001,MAX(1,ROW()-1-'02_Eingaben'!$C$17)):INDEX($E$2:$E$3001,MIN('02_Eingaben'!$C$21,ROW()-1+'02_Eingaben'!$C$17))))</f>
        <v/>
      </c>
      <c r="G2628" s="17" t="str">
        <f>IF(F2628="","",F2628-'02_Eingaben'!$C$10)</f>
        <v/>
      </c>
      <c r="H2628" t="str">
        <f>IF(F2628="","",IF(F2628&lt;'02_Eingaben'!$C$18*'02_Eingaben'!$C$10,1,0))</f>
        <v/>
      </c>
      <c r="I2628" s="17" t="str">
        <f t="shared" si="41"/>
        <v/>
      </c>
      <c r="J2628" s="17" t="str">
        <f>IF(B2628="","",IF(B2627&lt;'02_Eingaben'!$C$36,0,J2627+I2627/'02_Eingaben'!$C$8))</f>
        <v/>
      </c>
    </row>
    <row r="2629" spans="1:10" x14ac:dyDescent="0.25">
      <c r="A2629" t="str">
        <f>IF('01_Rohdaten'!A2629="","",ROW()-1)</f>
        <v/>
      </c>
      <c r="B2629" s="17" t="str">
        <f>IF('01_Rohdaten'!A2629="","",'01_Rohdaten'!A2629)</f>
        <v/>
      </c>
      <c r="C2629" s="17" t="str">
        <f>IF(B2629="","",INDEX('01_Rohdaten'!B2629:D2629,'02_Eingaben'!$C$13))</f>
        <v/>
      </c>
      <c r="D2629" s="17" t="str">
        <f>IF(C2629="","",C2629*'02_Eingaben'!$C$15)</f>
        <v/>
      </c>
      <c r="E2629" s="17" t="str">
        <f>IF(D2629="","",D2629*'02_Eingaben'!$C$8)</f>
        <v/>
      </c>
      <c r="F2629" s="17" t="str">
        <f>IF(E2629="","",AVERAGE(INDEX($E$2:$E$3001,MAX(1,ROW()-1-'02_Eingaben'!$C$17)):INDEX($E$2:$E$3001,MIN('02_Eingaben'!$C$21,ROW()-1+'02_Eingaben'!$C$17))))</f>
        <v/>
      </c>
      <c r="G2629" s="17" t="str">
        <f>IF(F2629="","",F2629-'02_Eingaben'!$C$10)</f>
        <v/>
      </c>
      <c r="H2629" t="str">
        <f>IF(F2629="","",IF(F2629&lt;'02_Eingaben'!$C$18*'02_Eingaben'!$C$10,1,0))</f>
        <v/>
      </c>
      <c r="I2629" s="17" t="str">
        <f t="shared" si="41"/>
        <v/>
      </c>
      <c r="J2629" s="17" t="str">
        <f>IF(B2629="","",IF(B2628&lt;'02_Eingaben'!$C$36,0,J2628+I2628/'02_Eingaben'!$C$8))</f>
        <v/>
      </c>
    </row>
    <row r="2630" spans="1:10" x14ac:dyDescent="0.25">
      <c r="A2630" t="str">
        <f>IF('01_Rohdaten'!A2630="","",ROW()-1)</f>
        <v/>
      </c>
      <c r="B2630" s="17" t="str">
        <f>IF('01_Rohdaten'!A2630="","",'01_Rohdaten'!A2630)</f>
        <v/>
      </c>
      <c r="C2630" s="17" t="str">
        <f>IF(B2630="","",INDEX('01_Rohdaten'!B2630:D2630,'02_Eingaben'!$C$13))</f>
        <v/>
      </c>
      <c r="D2630" s="17" t="str">
        <f>IF(C2630="","",C2630*'02_Eingaben'!$C$15)</f>
        <v/>
      </c>
      <c r="E2630" s="17" t="str">
        <f>IF(D2630="","",D2630*'02_Eingaben'!$C$8)</f>
        <v/>
      </c>
      <c r="F2630" s="17" t="str">
        <f>IF(E2630="","",AVERAGE(INDEX($E$2:$E$3001,MAX(1,ROW()-1-'02_Eingaben'!$C$17)):INDEX($E$2:$E$3001,MIN('02_Eingaben'!$C$21,ROW()-1+'02_Eingaben'!$C$17))))</f>
        <v/>
      </c>
      <c r="G2630" s="17" t="str">
        <f>IF(F2630="","",F2630-'02_Eingaben'!$C$10)</f>
        <v/>
      </c>
      <c r="H2630" t="str">
        <f>IF(F2630="","",IF(F2630&lt;'02_Eingaben'!$C$18*'02_Eingaben'!$C$10,1,0))</f>
        <v/>
      </c>
      <c r="I2630" s="17" t="str">
        <f t="shared" si="41"/>
        <v/>
      </c>
      <c r="J2630" s="17" t="str">
        <f>IF(B2630="","",IF(B2629&lt;'02_Eingaben'!$C$36,0,J2629+I2629/'02_Eingaben'!$C$8))</f>
        <v/>
      </c>
    </row>
    <row r="2631" spans="1:10" x14ac:dyDescent="0.25">
      <c r="A2631" t="str">
        <f>IF('01_Rohdaten'!A2631="","",ROW()-1)</f>
        <v/>
      </c>
      <c r="B2631" s="17" t="str">
        <f>IF('01_Rohdaten'!A2631="","",'01_Rohdaten'!A2631)</f>
        <v/>
      </c>
      <c r="C2631" s="17" t="str">
        <f>IF(B2631="","",INDEX('01_Rohdaten'!B2631:D2631,'02_Eingaben'!$C$13))</f>
        <v/>
      </c>
      <c r="D2631" s="17" t="str">
        <f>IF(C2631="","",C2631*'02_Eingaben'!$C$15)</f>
        <v/>
      </c>
      <c r="E2631" s="17" t="str">
        <f>IF(D2631="","",D2631*'02_Eingaben'!$C$8)</f>
        <v/>
      </c>
      <c r="F2631" s="17" t="str">
        <f>IF(E2631="","",AVERAGE(INDEX($E$2:$E$3001,MAX(1,ROW()-1-'02_Eingaben'!$C$17)):INDEX($E$2:$E$3001,MIN('02_Eingaben'!$C$21,ROW()-1+'02_Eingaben'!$C$17))))</f>
        <v/>
      </c>
      <c r="G2631" s="17" t="str">
        <f>IF(F2631="","",F2631-'02_Eingaben'!$C$10)</f>
        <v/>
      </c>
      <c r="H2631" t="str">
        <f>IF(F2631="","",IF(F2631&lt;'02_Eingaben'!$C$18*'02_Eingaben'!$C$10,1,0))</f>
        <v/>
      </c>
      <c r="I2631" s="17" t="str">
        <f t="shared" si="41"/>
        <v/>
      </c>
      <c r="J2631" s="17" t="str">
        <f>IF(B2631="","",IF(B2630&lt;'02_Eingaben'!$C$36,0,J2630+I2630/'02_Eingaben'!$C$8))</f>
        <v/>
      </c>
    </row>
    <row r="2632" spans="1:10" x14ac:dyDescent="0.25">
      <c r="A2632" t="str">
        <f>IF('01_Rohdaten'!A2632="","",ROW()-1)</f>
        <v/>
      </c>
      <c r="B2632" s="17" t="str">
        <f>IF('01_Rohdaten'!A2632="","",'01_Rohdaten'!A2632)</f>
        <v/>
      </c>
      <c r="C2632" s="17" t="str">
        <f>IF(B2632="","",INDEX('01_Rohdaten'!B2632:D2632,'02_Eingaben'!$C$13))</f>
        <v/>
      </c>
      <c r="D2632" s="17" t="str">
        <f>IF(C2632="","",C2632*'02_Eingaben'!$C$15)</f>
        <v/>
      </c>
      <c r="E2632" s="17" t="str">
        <f>IF(D2632="","",D2632*'02_Eingaben'!$C$8)</f>
        <v/>
      </c>
      <c r="F2632" s="17" t="str">
        <f>IF(E2632="","",AVERAGE(INDEX($E$2:$E$3001,MAX(1,ROW()-1-'02_Eingaben'!$C$17)):INDEX($E$2:$E$3001,MIN('02_Eingaben'!$C$21,ROW()-1+'02_Eingaben'!$C$17))))</f>
        <v/>
      </c>
      <c r="G2632" s="17" t="str">
        <f>IF(F2632="","",F2632-'02_Eingaben'!$C$10)</f>
        <v/>
      </c>
      <c r="H2632" t="str">
        <f>IF(F2632="","",IF(F2632&lt;'02_Eingaben'!$C$18*'02_Eingaben'!$C$10,1,0))</f>
        <v/>
      </c>
      <c r="I2632" s="17" t="str">
        <f t="shared" si="41"/>
        <v/>
      </c>
      <c r="J2632" s="17" t="str">
        <f>IF(B2632="","",IF(B2631&lt;'02_Eingaben'!$C$36,0,J2631+I2631/'02_Eingaben'!$C$8))</f>
        <v/>
      </c>
    </row>
    <row r="2633" spans="1:10" x14ac:dyDescent="0.25">
      <c r="A2633" t="str">
        <f>IF('01_Rohdaten'!A2633="","",ROW()-1)</f>
        <v/>
      </c>
      <c r="B2633" s="17" t="str">
        <f>IF('01_Rohdaten'!A2633="","",'01_Rohdaten'!A2633)</f>
        <v/>
      </c>
      <c r="C2633" s="17" t="str">
        <f>IF(B2633="","",INDEX('01_Rohdaten'!B2633:D2633,'02_Eingaben'!$C$13))</f>
        <v/>
      </c>
      <c r="D2633" s="17" t="str">
        <f>IF(C2633="","",C2633*'02_Eingaben'!$C$15)</f>
        <v/>
      </c>
      <c r="E2633" s="17" t="str">
        <f>IF(D2633="","",D2633*'02_Eingaben'!$C$8)</f>
        <v/>
      </c>
      <c r="F2633" s="17" t="str">
        <f>IF(E2633="","",AVERAGE(INDEX($E$2:$E$3001,MAX(1,ROW()-1-'02_Eingaben'!$C$17)):INDEX($E$2:$E$3001,MIN('02_Eingaben'!$C$21,ROW()-1+'02_Eingaben'!$C$17))))</f>
        <v/>
      </c>
      <c r="G2633" s="17" t="str">
        <f>IF(F2633="","",F2633-'02_Eingaben'!$C$10)</f>
        <v/>
      </c>
      <c r="H2633" t="str">
        <f>IF(F2633="","",IF(F2633&lt;'02_Eingaben'!$C$18*'02_Eingaben'!$C$10,1,0))</f>
        <v/>
      </c>
      <c r="I2633" s="17" t="str">
        <f t="shared" si="41"/>
        <v/>
      </c>
      <c r="J2633" s="17" t="str">
        <f>IF(B2633="","",IF(B2632&lt;'02_Eingaben'!$C$36,0,J2632+I2632/'02_Eingaben'!$C$8))</f>
        <v/>
      </c>
    </row>
    <row r="2634" spans="1:10" x14ac:dyDescent="0.25">
      <c r="A2634" t="str">
        <f>IF('01_Rohdaten'!A2634="","",ROW()-1)</f>
        <v/>
      </c>
      <c r="B2634" s="17" t="str">
        <f>IF('01_Rohdaten'!A2634="","",'01_Rohdaten'!A2634)</f>
        <v/>
      </c>
      <c r="C2634" s="17" t="str">
        <f>IF(B2634="","",INDEX('01_Rohdaten'!B2634:D2634,'02_Eingaben'!$C$13))</f>
        <v/>
      </c>
      <c r="D2634" s="17" t="str">
        <f>IF(C2634="","",C2634*'02_Eingaben'!$C$15)</f>
        <v/>
      </c>
      <c r="E2634" s="17" t="str">
        <f>IF(D2634="","",D2634*'02_Eingaben'!$C$8)</f>
        <v/>
      </c>
      <c r="F2634" s="17" t="str">
        <f>IF(E2634="","",AVERAGE(INDEX($E$2:$E$3001,MAX(1,ROW()-1-'02_Eingaben'!$C$17)):INDEX($E$2:$E$3001,MIN('02_Eingaben'!$C$21,ROW()-1+'02_Eingaben'!$C$17))))</f>
        <v/>
      </c>
      <c r="G2634" s="17" t="str">
        <f>IF(F2634="","",F2634-'02_Eingaben'!$C$10)</f>
        <v/>
      </c>
      <c r="H2634" t="str">
        <f>IF(F2634="","",IF(F2634&lt;'02_Eingaben'!$C$18*'02_Eingaben'!$C$10,1,0))</f>
        <v/>
      </c>
      <c r="I2634" s="17" t="str">
        <f t="shared" si="41"/>
        <v/>
      </c>
      <c r="J2634" s="17" t="str">
        <f>IF(B2634="","",IF(B2633&lt;'02_Eingaben'!$C$36,0,J2633+I2633/'02_Eingaben'!$C$8))</f>
        <v/>
      </c>
    </row>
    <row r="2635" spans="1:10" x14ac:dyDescent="0.25">
      <c r="A2635" t="str">
        <f>IF('01_Rohdaten'!A2635="","",ROW()-1)</f>
        <v/>
      </c>
      <c r="B2635" s="17" t="str">
        <f>IF('01_Rohdaten'!A2635="","",'01_Rohdaten'!A2635)</f>
        <v/>
      </c>
      <c r="C2635" s="17" t="str">
        <f>IF(B2635="","",INDEX('01_Rohdaten'!B2635:D2635,'02_Eingaben'!$C$13))</f>
        <v/>
      </c>
      <c r="D2635" s="17" t="str">
        <f>IF(C2635="","",C2635*'02_Eingaben'!$C$15)</f>
        <v/>
      </c>
      <c r="E2635" s="17" t="str">
        <f>IF(D2635="","",D2635*'02_Eingaben'!$C$8)</f>
        <v/>
      </c>
      <c r="F2635" s="17" t="str">
        <f>IF(E2635="","",AVERAGE(INDEX($E$2:$E$3001,MAX(1,ROW()-1-'02_Eingaben'!$C$17)):INDEX($E$2:$E$3001,MIN('02_Eingaben'!$C$21,ROW()-1+'02_Eingaben'!$C$17))))</f>
        <v/>
      </c>
      <c r="G2635" s="17" t="str">
        <f>IF(F2635="","",F2635-'02_Eingaben'!$C$10)</f>
        <v/>
      </c>
      <c r="H2635" t="str">
        <f>IF(F2635="","",IF(F2635&lt;'02_Eingaben'!$C$18*'02_Eingaben'!$C$10,1,0))</f>
        <v/>
      </c>
      <c r="I2635" s="17" t="str">
        <f t="shared" si="41"/>
        <v/>
      </c>
      <c r="J2635" s="17" t="str">
        <f>IF(B2635="","",IF(B2634&lt;'02_Eingaben'!$C$36,0,J2634+I2634/'02_Eingaben'!$C$8))</f>
        <v/>
      </c>
    </row>
    <row r="2636" spans="1:10" x14ac:dyDescent="0.25">
      <c r="A2636" t="str">
        <f>IF('01_Rohdaten'!A2636="","",ROW()-1)</f>
        <v/>
      </c>
      <c r="B2636" s="17" t="str">
        <f>IF('01_Rohdaten'!A2636="","",'01_Rohdaten'!A2636)</f>
        <v/>
      </c>
      <c r="C2636" s="17" t="str">
        <f>IF(B2636="","",INDEX('01_Rohdaten'!B2636:D2636,'02_Eingaben'!$C$13))</f>
        <v/>
      </c>
      <c r="D2636" s="17" t="str">
        <f>IF(C2636="","",C2636*'02_Eingaben'!$C$15)</f>
        <v/>
      </c>
      <c r="E2636" s="17" t="str">
        <f>IF(D2636="","",D2636*'02_Eingaben'!$C$8)</f>
        <v/>
      </c>
      <c r="F2636" s="17" t="str">
        <f>IF(E2636="","",AVERAGE(INDEX($E$2:$E$3001,MAX(1,ROW()-1-'02_Eingaben'!$C$17)):INDEX($E$2:$E$3001,MIN('02_Eingaben'!$C$21,ROW()-1+'02_Eingaben'!$C$17))))</f>
        <v/>
      </c>
      <c r="G2636" s="17" t="str">
        <f>IF(F2636="","",F2636-'02_Eingaben'!$C$10)</f>
        <v/>
      </c>
      <c r="H2636" t="str">
        <f>IF(F2636="","",IF(F2636&lt;'02_Eingaben'!$C$18*'02_Eingaben'!$C$10,1,0))</f>
        <v/>
      </c>
      <c r="I2636" s="17" t="str">
        <f t="shared" si="41"/>
        <v/>
      </c>
      <c r="J2636" s="17" t="str">
        <f>IF(B2636="","",IF(B2635&lt;'02_Eingaben'!$C$36,0,J2635+I2635/'02_Eingaben'!$C$8))</f>
        <v/>
      </c>
    </row>
    <row r="2637" spans="1:10" x14ac:dyDescent="0.25">
      <c r="A2637" t="str">
        <f>IF('01_Rohdaten'!A2637="","",ROW()-1)</f>
        <v/>
      </c>
      <c r="B2637" s="17" t="str">
        <f>IF('01_Rohdaten'!A2637="","",'01_Rohdaten'!A2637)</f>
        <v/>
      </c>
      <c r="C2637" s="17" t="str">
        <f>IF(B2637="","",INDEX('01_Rohdaten'!B2637:D2637,'02_Eingaben'!$C$13))</f>
        <v/>
      </c>
      <c r="D2637" s="17" t="str">
        <f>IF(C2637="","",C2637*'02_Eingaben'!$C$15)</f>
        <v/>
      </c>
      <c r="E2637" s="17" t="str">
        <f>IF(D2637="","",D2637*'02_Eingaben'!$C$8)</f>
        <v/>
      </c>
      <c r="F2637" s="17" t="str">
        <f>IF(E2637="","",AVERAGE(INDEX($E$2:$E$3001,MAX(1,ROW()-1-'02_Eingaben'!$C$17)):INDEX($E$2:$E$3001,MIN('02_Eingaben'!$C$21,ROW()-1+'02_Eingaben'!$C$17))))</f>
        <v/>
      </c>
      <c r="G2637" s="17" t="str">
        <f>IF(F2637="","",F2637-'02_Eingaben'!$C$10)</f>
        <v/>
      </c>
      <c r="H2637" t="str">
        <f>IF(F2637="","",IF(F2637&lt;'02_Eingaben'!$C$18*'02_Eingaben'!$C$10,1,0))</f>
        <v/>
      </c>
      <c r="I2637" s="17" t="str">
        <f t="shared" si="41"/>
        <v/>
      </c>
      <c r="J2637" s="17" t="str">
        <f>IF(B2637="","",IF(B2636&lt;'02_Eingaben'!$C$36,0,J2636+I2636/'02_Eingaben'!$C$8))</f>
        <v/>
      </c>
    </row>
    <row r="2638" spans="1:10" x14ac:dyDescent="0.25">
      <c r="A2638" t="str">
        <f>IF('01_Rohdaten'!A2638="","",ROW()-1)</f>
        <v/>
      </c>
      <c r="B2638" s="17" t="str">
        <f>IF('01_Rohdaten'!A2638="","",'01_Rohdaten'!A2638)</f>
        <v/>
      </c>
      <c r="C2638" s="17" t="str">
        <f>IF(B2638="","",INDEX('01_Rohdaten'!B2638:D2638,'02_Eingaben'!$C$13))</f>
        <v/>
      </c>
      <c r="D2638" s="17" t="str">
        <f>IF(C2638="","",C2638*'02_Eingaben'!$C$15)</f>
        <v/>
      </c>
      <c r="E2638" s="17" t="str">
        <f>IF(D2638="","",D2638*'02_Eingaben'!$C$8)</f>
        <v/>
      </c>
      <c r="F2638" s="17" t="str">
        <f>IF(E2638="","",AVERAGE(INDEX($E$2:$E$3001,MAX(1,ROW()-1-'02_Eingaben'!$C$17)):INDEX($E$2:$E$3001,MIN('02_Eingaben'!$C$21,ROW()-1+'02_Eingaben'!$C$17))))</f>
        <v/>
      </c>
      <c r="G2638" s="17" t="str">
        <f>IF(F2638="","",F2638-'02_Eingaben'!$C$10)</f>
        <v/>
      </c>
      <c r="H2638" t="str">
        <f>IF(F2638="","",IF(F2638&lt;'02_Eingaben'!$C$18*'02_Eingaben'!$C$10,1,0))</f>
        <v/>
      </c>
      <c r="I2638" s="17" t="str">
        <f t="shared" si="41"/>
        <v/>
      </c>
      <c r="J2638" s="17" t="str">
        <f>IF(B2638="","",IF(B2637&lt;'02_Eingaben'!$C$36,0,J2637+I2637/'02_Eingaben'!$C$8))</f>
        <v/>
      </c>
    </row>
    <row r="2639" spans="1:10" x14ac:dyDescent="0.25">
      <c r="A2639" t="str">
        <f>IF('01_Rohdaten'!A2639="","",ROW()-1)</f>
        <v/>
      </c>
      <c r="B2639" s="17" t="str">
        <f>IF('01_Rohdaten'!A2639="","",'01_Rohdaten'!A2639)</f>
        <v/>
      </c>
      <c r="C2639" s="17" t="str">
        <f>IF(B2639="","",INDEX('01_Rohdaten'!B2639:D2639,'02_Eingaben'!$C$13))</f>
        <v/>
      </c>
      <c r="D2639" s="17" t="str">
        <f>IF(C2639="","",C2639*'02_Eingaben'!$C$15)</f>
        <v/>
      </c>
      <c r="E2639" s="17" t="str">
        <f>IF(D2639="","",D2639*'02_Eingaben'!$C$8)</f>
        <v/>
      </c>
      <c r="F2639" s="17" t="str">
        <f>IF(E2639="","",AVERAGE(INDEX($E$2:$E$3001,MAX(1,ROW()-1-'02_Eingaben'!$C$17)):INDEX($E$2:$E$3001,MIN('02_Eingaben'!$C$21,ROW()-1+'02_Eingaben'!$C$17))))</f>
        <v/>
      </c>
      <c r="G2639" s="17" t="str">
        <f>IF(F2639="","",F2639-'02_Eingaben'!$C$10)</f>
        <v/>
      </c>
      <c r="H2639" t="str">
        <f>IF(F2639="","",IF(F2639&lt;'02_Eingaben'!$C$18*'02_Eingaben'!$C$10,1,0))</f>
        <v/>
      </c>
      <c r="I2639" s="17" t="str">
        <f t="shared" si="41"/>
        <v/>
      </c>
      <c r="J2639" s="17" t="str">
        <f>IF(B2639="","",IF(B2638&lt;'02_Eingaben'!$C$36,0,J2638+I2638/'02_Eingaben'!$C$8))</f>
        <v/>
      </c>
    </row>
    <row r="2640" spans="1:10" x14ac:dyDescent="0.25">
      <c r="A2640" t="str">
        <f>IF('01_Rohdaten'!A2640="","",ROW()-1)</f>
        <v/>
      </c>
      <c r="B2640" s="17" t="str">
        <f>IF('01_Rohdaten'!A2640="","",'01_Rohdaten'!A2640)</f>
        <v/>
      </c>
      <c r="C2640" s="17" t="str">
        <f>IF(B2640="","",INDEX('01_Rohdaten'!B2640:D2640,'02_Eingaben'!$C$13))</f>
        <v/>
      </c>
      <c r="D2640" s="17" t="str">
        <f>IF(C2640="","",C2640*'02_Eingaben'!$C$15)</f>
        <v/>
      </c>
      <c r="E2640" s="17" t="str">
        <f>IF(D2640="","",D2640*'02_Eingaben'!$C$8)</f>
        <v/>
      </c>
      <c r="F2640" s="17" t="str">
        <f>IF(E2640="","",AVERAGE(INDEX($E$2:$E$3001,MAX(1,ROW()-1-'02_Eingaben'!$C$17)):INDEX($E$2:$E$3001,MIN('02_Eingaben'!$C$21,ROW()-1+'02_Eingaben'!$C$17))))</f>
        <v/>
      </c>
      <c r="G2640" s="17" t="str">
        <f>IF(F2640="","",F2640-'02_Eingaben'!$C$10)</f>
        <v/>
      </c>
      <c r="H2640" t="str">
        <f>IF(F2640="","",IF(F2640&lt;'02_Eingaben'!$C$18*'02_Eingaben'!$C$10,1,0))</f>
        <v/>
      </c>
      <c r="I2640" s="17" t="str">
        <f t="shared" si="41"/>
        <v/>
      </c>
      <c r="J2640" s="17" t="str">
        <f>IF(B2640="","",IF(B2639&lt;'02_Eingaben'!$C$36,0,J2639+I2639/'02_Eingaben'!$C$8))</f>
        <v/>
      </c>
    </row>
    <row r="2641" spans="1:10" x14ac:dyDescent="0.25">
      <c r="A2641" t="str">
        <f>IF('01_Rohdaten'!A2641="","",ROW()-1)</f>
        <v/>
      </c>
      <c r="B2641" s="17" t="str">
        <f>IF('01_Rohdaten'!A2641="","",'01_Rohdaten'!A2641)</f>
        <v/>
      </c>
      <c r="C2641" s="17" t="str">
        <f>IF(B2641="","",INDEX('01_Rohdaten'!B2641:D2641,'02_Eingaben'!$C$13))</f>
        <v/>
      </c>
      <c r="D2641" s="17" t="str">
        <f>IF(C2641="","",C2641*'02_Eingaben'!$C$15)</f>
        <v/>
      </c>
      <c r="E2641" s="17" t="str">
        <f>IF(D2641="","",D2641*'02_Eingaben'!$C$8)</f>
        <v/>
      </c>
      <c r="F2641" s="17" t="str">
        <f>IF(E2641="","",AVERAGE(INDEX($E$2:$E$3001,MAX(1,ROW()-1-'02_Eingaben'!$C$17)):INDEX($E$2:$E$3001,MIN('02_Eingaben'!$C$21,ROW()-1+'02_Eingaben'!$C$17))))</f>
        <v/>
      </c>
      <c r="G2641" s="17" t="str">
        <f>IF(F2641="","",F2641-'02_Eingaben'!$C$10)</f>
        <v/>
      </c>
      <c r="H2641" t="str">
        <f>IF(F2641="","",IF(F2641&lt;'02_Eingaben'!$C$18*'02_Eingaben'!$C$10,1,0))</f>
        <v/>
      </c>
      <c r="I2641" s="17" t="str">
        <f t="shared" si="41"/>
        <v/>
      </c>
      <c r="J2641" s="17" t="str">
        <f>IF(B2641="","",IF(B2640&lt;'02_Eingaben'!$C$36,0,J2640+I2640/'02_Eingaben'!$C$8))</f>
        <v/>
      </c>
    </row>
    <row r="2642" spans="1:10" x14ac:dyDescent="0.25">
      <c r="A2642" t="str">
        <f>IF('01_Rohdaten'!A2642="","",ROW()-1)</f>
        <v/>
      </c>
      <c r="B2642" s="17" t="str">
        <f>IF('01_Rohdaten'!A2642="","",'01_Rohdaten'!A2642)</f>
        <v/>
      </c>
      <c r="C2642" s="17" t="str">
        <f>IF(B2642="","",INDEX('01_Rohdaten'!B2642:D2642,'02_Eingaben'!$C$13))</f>
        <v/>
      </c>
      <c r="D2642" s="17" t="str">
        <f>IF(C2642="","",C2642*'02_Eingaben'!$C$15)</f>
        <v/>
      </c>
      <c r="E2642" s="17" t="str">
        <f>IF(D2642="","",D2642*'02_Eingaben'!$C$8)</f>
        <v/>
      </c>
      <c r="F2642" s="17" t="str">
        <f>IF(E2642="","",AVERAGE(INDEX($E$2:$E$3001,MAX(1,ROW()-1-'02_Eingaben'!$C$17)):INDEX($E$2:$E$3001,MIN('02_Eingaben'!$C$21,ROW()-1+'02_Eingaben'!$C$17))))</f>
        <v/>
      </c>
      <c r="G2642" s="17" t="str">
        <f>IF(F2642="","",F2642-'02_Eingaben'!$C$10)</f>
        <v/>
      </c>
      <c r="H2642" t="str">
        <f>IF(F2642="","",IF(F2642&lt;'02_Eingaben'!$C$18*'02_Eingaben'!$C$10,1,0))</f>
        <v/>
      </c>
      <c r="I2642" s="17" t="str">
        <f t="shared" si="41"/>
        <v/>
      </c>
      <c r="J2642" s="17" t="str">
        <f>IF(B2642="","",IF(B2641&lt;'02_Eingaben'!$C$36,0,J2641+I2641/'02_Eingaben'!$C$8))</f>
        <v/>
      </c>
    </row>
    <row r="2643" spans="1:10" x14ac:dyDescent="0.25">
      <c r="A2643" t="str">
        <f>IF('01_Rohdaten'!A2643="","",ROW()-1)</f>
        <v/>
      </c>
      <c r="B2643" s="17" t="str">
        <f>IF('01_Rohdaten'!A2643="","",'01_Rohdaten'!A2643)</f>
        <v/>
      </c>
      <c r="C2643" s="17" t="str">
        <f>IF(B2643="","",INDEX('01_Rohdaten'!B2643:D2643,'02_Eingaben'!$C$13))</f>
        <v/>
      </c>
      <c r="D2643" s="17" t="str">
        <f>IF(C2643="","",C2643*'02_Eingaben'!$C$15)</f>
        <v/>
      </c>
      <c r="E2643" s="17" t="str">
        <f>IF(D2643="","",D2643*'02_Eingaben'!$C$8)</f>
        <v/>
      </c>
      <c r="F2643" s="17" t="str">
        <f>IF(E2643="","",AVERAGE(INDEX($E$2:$E$3001,MAX(1,ROW()-1-'02_Eingaben'!$C$17)):INDEX($E$2:$E$3001,MIN('02_Eingaben'!$C$21,ROW()-1+'02_Eingaben'!$C$17))))</f>
        <v/>
      </c>
      <c r="G2643" s="17" t="str">
        <f>IF(F2643="","",F2643-'02_Eingaben'!$C$10)</f>
        <v/>
      </c>
      <c r="H2643" t="str">
        <f>IF(F2643="","",IF(F2643&lt;'02_Eingaben'!$C$18*'02_Eingaben'!$C$10,1,0))</f>
        <v/>
      </c>
      <c r="I2643" s="17" t="str">
        <f t="shared" si="41"/>
        <v/>
      </c>
      <c r="J2643" s="17" t="str">
        <f>IF(B2643="","",IF(B2642&lt;'02_Eingaben'!$C$36,0,J2642+I2642/'02_Eingaben'!$C$8))</f>
        <v/>
      </c>
    </row>
    <row r="2644" spans="1:10" x14ac:dyDescent="0.25">
      <c r="A2644" t="str">
        <f>IF('01_Rohdaten'!A2644="","",ROW()-1)</f>
        <v/>
      </c>
      <c r="B2644" s="17" t="str">
        <f>IF('01_Rohdaten'!A2644="","",'01_Rohdaten'!A2644)</f>
        <v/>
      </c>
      <c r="C2644" s="17" t="str">
        <f>IF(B2644="","",INDEX('01_Rohdaten'!B2644:D2644,'02_Eingaben'!$C$13))</f>
        <v/>
      </c>
      <c r="D2644" s="17" t="str">
        <f>IF(C2644="","",C2644*'02_Eingaben'!$C$15)</f>
        <v/>
      </c>
      <c r="E2644" s="17" t="str">
        <f>IF(D2644="","",D2644*'02_Eingaben'!$C$8)</f>
        <v/>
      </c>
      <c r="F2644" s="17" t="str">
        <f>IF(E2644="","",AVERAGE(INDEX($E$2:$E$3001,MAX(1,ROW()-1-'02_Eingaben'!$C$17)):INDEX($E$2:$E$3001,MIN('02_Eingaben'!$C$21,ROW()-1+'02_Eingaben'!$C$17))))</f>
        <v/>
      </c>
      <c r="G2644" s="17" t="str">
        <f>IF(F2644="","",F2644-'02_Eingaben'!$C$10)</f>
        <v/>
      </c>
      <c r="H2644" t="str">
        <f>IF(F2644="","",IF(F2644&lt;'02_Eingaben'!$C$18*'02_Eingaben'!$C$10,1,0))</f>
        <v/>
      </c>
      <c r="I2644" s="17" t="str">
        <f t="shared" si="41"/>
        <v/>
      </c>
      <c r="J2644" s="17" t="str">
        <f>IF(B2644="","",IF(B2643&lt;'02_Eingaben'!$C$36,0,J2643+I2643/'02_Eingaben'!$C$8))</f>
        <v/>
      </c>
    </row>
    <row r="2645" spans="1:10" x14ac:dyDescent="0.25">
      <c r="A2645" t="str">
        <f>IF('01_Rohdaten'!A2645="","",ROW()-1)</f>
        <v/>
      </c>
      <c r="B2645" s="17" t="str">
        <f>IF('01_Rohdaten'!A2645="","",'01_Rohdaten'!A2645)</f>
        <v/>
      </c>
      <c r="C2645" s="17" t="str">
        <f>IF(B2645="","",INDEX('01_Rohdaten'!B2645:D2645,'02_Eingaben'!$C$13))</f>
        <v/>
      </c>
      <c r="D2645" s="17" t="str">
        <f>IF(C2645="","",C2645*'02_Eingaben'!$C$15)</f>
        <v/>
      </c>
      <c r="E2645" s="17" t="str">
        <f>IF(D2645="","",D2645*'02_Eingaben'!$C$8)</f>
        <v/>
      </c>
      <c r="F2645" s="17" t="str">
        <f>IF(E2645="","",AVERAGE(INDEX($E$2:$E$3001,MAX(1,ROW()-1-'02_Eingaben'!$C$17)):INDEX($E$2:$E$3001,MIN('02_Eingaben'!$C$21,ROW()-1+'02_Eingaben'!$C$17))))</f>
        <v/>
      </c>
      <c r="G2645" s="17" t="str">
        <f>IF(F2645="","",F2645-'02_Eingaben'!$C$10)</f>
        <v/>
      </c>
      <c r="H2645" t="str">
        <f>IF(F2645="","",IF(F2645&lt;'02_Eingaben'!$C$18*'02_Eingaben'!$C$10,1,0))</f>
        <v/>
      </c>
      <c r="I2645" s="17" t="str">
        <f t="shared" si="41"/>
        <v/>
      </c>
      <c r="J2645" s="17" t="str">
        <f>IF(B2645="","",IF(B2644&lt;'02_Eingaben'!$C$36,0,J2644+I2644/'02_Eingaben'!$C$8))</f>
        <v/>
      </c>
    </row>
    <row r="2646" spans="1:10" x14ac:dyDescent="0.25">
      <c r="A2646" t="str">
        <f>IF('01_Rohdaten'!A2646="","",ROW()-1)</f>
        <v/>
      </c>
      <c r="B2646" s="17" t="str">
        <f>IF('01_Rohdaten'!A2646="","",'01_Rohdaten'!A2646)</f>
        <v/>
      </c>
      <c r="C2646" s="17" t="str">
        <f>IF(B2646="","",INDEX('01_Rohdaten'!B2646:D2646,'02_Eingaben'!$C$13))</f>
        <v/>
      </c>
      <c r="D2646" s="17" t="str">
        <f>IF(C2646="","",C2646*'02_Eingaben'!$C$15)</f>
        <v/>
      </c>
      <c r="E2646" s="17" t="str">
        <f>IF(D2646="","",D2646*'02_Eingaben'!$C$8)</f>
        <v/>
      </c>
      <c r="F2646" s="17" t="str">
        <f>IF(E2646="","",AVERAGE(INDEX($E$2:$E$3001,MAX(1,ROW()-1-'02_Eingaben'!$C$17)):INDEX($E$2:$E$3001,MIN('02_Eingaben'!$C$21,ROW()-1+'02_Eingaben'!$C$17))))</f>
        <v/>
      </c>
      <c r="G2646" s="17" t="str">
        <f>IF(F2646="","",F2646-'02_Eingaben'!$C$10)</f>
        <v/>
      </c>
      <c r="H2646" t="str">
        <f>IF(F2646="","",IF(F2646&lt;'02_Eingaben'!$C$18*'02_Eingaben'!$C$10,1,0))</f>
        <v/>
      </c>
      <c r="I2646" s="17" t="str">
        <f t="shared" si="41"/>
        <v/>
      </c>
      <c r="J2646" s="17" t="str">
        <f>IF(B2646="","",IF(B2645&lt;'02_Eingaben'!$C$36,0,J2645+I2645/'02_Eingaben'!$C$8))</f>
        <v/>
      </c>
    </row>
    <row r="2647" spans="1:10" x14ac:dyDescent="0.25">
      <c r="A2647" t="str">
        <f>IF('01_Rohdaten'!A2647="","",ROW()-1)</f>
        <v/>
      </c>
      <c r="B2647" s="17" t="str">
        <f>IF('01_Rohdaten'!A2647="","",'01_Rohdaten'!A2647)</f>
        <v/>
      </c>
      <c r="C2647" s="17" t="str">
        <f>IF(B2647="","",INDEX('01_Rohdaten'!B2647:D2647,'02_Eingaben'!$C$13))</f>
        <v/>
      </c>
      <c r="D2647" s="17" t="str">
        <f>IF(C2647="","",C2647*'02_Eingaben'!$C$15)</f>
        <v/>
      </c>
      <c r="E2647" s="17" t="str">
        <f>IF(D2647="","",D2647*'02_Eingaben'!$C$8)</f>
        <v/>
      </c>
      <c r="F2647" s="17" t="str">
        <f>IF(E2647="","",AVERAGE(INDEX($E$2:$E$3001,MAX(1,ROW()-1-'02_Eingaben'!$C$17)):INDEX($E$2:$E$3001,MIN('02_Eingaben'!$C$21,ROW()-1+'02_Eingaben'!$C$17))))</f>
        <v/>
      </c>
      <c r="G2647" s="17" t="str">
        <f>IF(F2647="","",F2647-'02_Eingaben'!$C$10)</f>
        <v/>
      </c>
      <c r="H2647" t="str">
        <f>IF(F2647="","",IF(F2647&lt;'02_Eingaben'!$C$18*'02_Eingaben'!$C$10,1,0))</f>
        <v/>
      </c>
      <c r="I2647" s="17" t="str">
        <f t="shared" si="41"/>
        <v/>
      </c>
      <c r="J2647" s="17" t="str">
        <f>IF(B2647="","",IF(B2646&lt;'02_Eingaben'!$C$36,0,J2646+I2646/'02_Eingaben'!$C$8))</f>
        <v/>
      </c>
    </row>
    <row r="2648" spans="1:10" x14ac:dyDescent="0.25">
      <c r="A2648" t="str">
        <f>IF('01_Rohdaten'!A2648="","",ROW()-1)</f>
        <v/>
      </c>
      <c r="B2648" s="17" t="str">
        <f>IF('01_Rohdaten'!A2648="","",'01_Rohdaten'!A2648)</f>
        <v/>
      </c>
      <c r="C2648" s="17" t="str">
        <f>IF(B2648="","",INDEX('01_Rohdaten'!B2648:D2648,'02_Eingaben'!$C$13))</f>
        <v/>
      </c>
      <c r="D2648" s="17" t="str">
        <f>IF(C2648="","",C2648*'02_Eingaben'!$C$15)</f>
        <v/>
      </c>
      <c r="E2648" s="17" t="str">
        <f>IF(D2648="","",D2648*'02_Eingaben'!$C$8)</f>
        <v/>
      </c>
      <c r="F2648" s="17" t="str">
        <f>IF(E2648="","",AVERAGE(INDEX($E$2:$E$3001,MAX(1,ROW()-1-'02_Eingaben'!$C$17)):INDEX($E$2:$E$3001,MIN('02_Eingaben'!$C$21,ROW()-1+'02_Eingaben'!$C$17))))</f>
        <v/>
      </c>
      <c r="G2648" s="17" t="str">
        <f>IF(F2648="","",F2648-'02_Eingaben'!$C$10)</f>
        <v/>
      </c>
      <c r="H2648" t="str">
        <f>IF(F2648="","",IF(F2648&lt;'02_Eingaben'!$C$18*'02_Eingaben'!$C$10,1,0))</f>
        <v/>
      </c>
      <c r="I2648" s="17" t="str">
        <f t="shared" si="41"/>
        <v/>
      </c>
      <c r="J2648" s="17" t="str">
        <f>IF(B2648="","",IF(B2647&lt;'02_Eingaben'!$C$36,0,J2647+I2647/'02_Eingaben'!$C$8))</f>
        <v/>
      </c>
    </row>
    <row r="2649" spans="1:10" x14ac:dyDescent="0.25">
      <c r="A2649" t="str">
        <f>IF('01_Rohdaten'!A2649="","",ROW()-1)</f>
        <v/>
      </c>
      <c r="B2649" s="17" t="str">
        <f>IF('01_Rohdaten'!A2649="","",'01_Rohdaten'!A2649)</f>
        <v/>
      </c>
      <c r="C2649" s="17" t="str">
        <f>IF(B2649="","",INDEX('01_Rohdaten'!B2649:D2649,'02_Eingaben'!$C$13))</f>
        <v/>
      </c>
      <c r="D2649" s="17" t="str">
        <f>IF(C2649="","",C2649*'02_Eingaben'!$C$15)</f>
        <v/>
      </c>
      <c r="E2649" s="17" t="str">
        <f>IF(D2649="","",D2649*'02_Eingaben'!$C$8)</f>
        <v/>
      </c>
      <c r="F2649" s="17" t="str">
        <f>IF(E2649="","",AVERAGE(INDEX($E$2:$E$3001,MAX(1,ROW()-1-'02_Eingaben'!$C$17)):INDEX($E$2:$E$3001,MIN('02_Eingaben'!$C$21,ROW()-1+'02_Eingaben'!$C$17))))</f>
        <v/>
      </c>
      <c r="G2649" s="17" t="str">
        <f>IF(F2649="","",F2649-'02_Eingaben'!$C$10)</f>
        <v/>
      </c>
      <c r="H2649" t="str">
        <f>IF(F2649="","",IF(F2649&lt;'02_Eingaben'!$C$18*'02_Eingaben'!$C$10,1,0))</f>
        <v/>
      </c>
      <c r="I2649" s="17" t="str">
        <f t="shared" si="41"/>
        <v/>
      </c>
      <c r="J2649" s="17" t="str">
        <f>IF(B2649="","",IF(B2648&lt;'02_Eingaben'!$C$36,0,J2648+I2648/'02_Eingaben'!$C$8))</f>
        <v/>
      </c>
    </row>
    <row r="2650" spans="1:10" x14ac:dyDescent="0.25">
      <c r="A2650" t="str">
        <f>IF('01_Rohdaten'!A2650="","",ROW()-1)</f>
        <v/>
      </c>
      <c r="B2650" s="17" t="str">
        <f>IF('01_Rohdaten'!A2650="","",'01_Rohdaten'!A2650)</f>
        <v/>
      </c>
      <c r="C2650" s="17" t="str">
        <f>IF(B2650="","",INDEX('01_Rohdaten'!B2650:D2650,'02_Eingaben'!$C$13))</f>
        <v/>
      </c>
      <c r="D2650" s="17" t="str">
        <f>IF(C2650="","",C2650*'02_Eingaben'!$C$15)</f>
        <v/>
      </c>
      <c r="E2650" s="17" t="str">
        <f>IF(D2650="","",D2650*'02_Eingaben'!$C$8)</f>
        <v/>
      </c>
      <c r="F2650" s="17" t="str">
        <f>IF(E2650="","",AVERAGE(INDEX($E$2:$E$3001,MAX(1,ROW()-1-'02_Eingaben'!$C$17)):INDEX($E$2:$E$3001,MIN('02_Eingaben'!$C$21,ROW()-1+'02_Eingaben'!$C$17))))</f>
        <v/>
      </c>
      <c r="G2650" s="17" t="str">
        <f>IF(F2650="","",F2650-'02_Eingaben'!$C$10)</f>
        <v/>
      </c>
      <c r="H2650" t="str">
        <f>IF(F2650="","",IF(F2650&lt;'02_Eingaben'!$C$18*'02_Eingaben'!$C$10,1,0))</f>
        <v/>
      </c>
      <c r="I2650" s="17" t="str">
        <f t="shared" si="41"/>
        <v/>
      </c>
      <c r="J2650" s="17" t="str">
        <f>IF(B2650="","",IF(B2649&lt;'02_Eingaben'!$C$36,0,J2649+I2649/'02_Eingaben'!$C$8))</f>
        <v/>
      </c>
    </row>
    <row r="2651" spans="1:10" x14ac:dyDescent="0.25">
      <c r="A2651" t="str">
        <f>IF('01_Rohdaten'!A2651="","",ROW()-1)</f>
        <v/>
      </c>
      <c r="B2651" s="17" t="str">
        <f>IF('01_Rohdaten'!A2651="","",'01_Rohdaten'!A2651)</f>
        <v/>
      </c>
      <c r="C2651" s="17" t="str">
        <f>IF(B2651="","",INDEX('01_Rohdaten'!B2651:D2651,'02_Eingaben'!$C$13))</f>
        <v/>
      </c>
      <c r="D2651" s="17" t="str">
        <f>IF(C2651="","",C2651*'02_Eingaben'!$C$15)</f>
        <v/>
      </c>
      <c r="E2651" s="17" t="str">
        <f>IF(D2651="","",D2651*'02_Eingaben'!$C$8)</f>
        <v/>
      </c>
      <c r="F2651" s="17" t="str">
        <f>IF(E2651="","",AVERAGE(INDEX($E$2:$E$3001,MAX(1,ROW()-1-'02_Eingaben'!$C$17)):INDEX($E$2:$E$3001,MIN('02_Eingaben'!$C$21,ROW()-1+'02_Eingaben'!$C$17))))</f>
        <v/>
      </c>
      <c r="G2651" s="17" t="str">
        <f>IF(F2651="","",F2651-'02_Eingaben'!$C$10)</f>
        <v/>
      </c>
      <c r="H2651" t="str">
        <f>IF(F2651="","",IF(F2651&lt;'02_Eingaben'!$C$18*'02_Eingaben'!$C$10,1,0))</f>
        <v/>
      </c>
      <c r="I2651" s="17" t="str">
        <f t="shared" si="41"/>
        <v/>
      </c>
      <c r="J2651" s="17" t="str">
        <f>IF(B2651="","",IF(B2650&lt;'02_Eingaben'!$C$36,0,J2650+I2650/'02_Eingaben'!$C$8))</f>
        <v/>
      </c>
    </row>
    <row r="2652" spans="1:10" x14ac:dyDescent="0.25">
      <c r="A2652" t="str">
        <f>IF('01_Rohdaten'!A2652="","",ROW()-1)</f>
        <v/>
      </c>
      <c r="B2652" s="17" t="str">
        <f>IF('01_Rohdaten'!A2652="","",'01_Rohdaten'!A2652)</f>
        <v/>
      </c>
      <c r="C2652" s="17" t="str">
        <f>IF(B2652="","",INDEX('01_Rohdaten'!B2652:D2652,'02_Eingaben'!$C$13))</f>
        <v/>
      </c>
      <c r="D2652" s="17" t="str">
        <f>IF(C2652="","",C2652*'02_Eingaben'!$C$15)</f>
        <v/>
      </c>
      <c r="E2652" s="17" t="str">
        <f>IF(D2652="","",D2652*'02_Eingaben'!$C$8)</f>
        <v/>
      </c>
      <c r="F2652" s="17" t="str">
        <f>IF(E2652="","",AVERAGE(INDEX($E$2:$E$3001,MAX(1,ROW()-1-'02_Eingaben'!$C$17)):INDEX($E$2:$E$3001,MIN('02_Eingaben'!$C$21,ROW()-1+'02_Eingaben'!$C$17))))</f>
        <v/>
      </c>
      <c r="G2652" s="17" t="str">
        <f>IF(F2652="","",F2652-'02_Eingaben'!$C$10)</f>
        <v/>
      </c>
      <c r="H2652" t="str">
        <f>IF(F2652="","",IF(F2652&lt;'02_Eingaben'!$C$18*'02_Eingaben'!$C$10,1,0))</f>
        <v/>
      </c>
      <c r="I2652" s="17" t="str">
        <f t="shared" si="41"/>
        <v/>
      </c>
      <c r="J2652" s="17" t="str">
        <f>IF(B2652="","",IF(B2651&lt;'02_Eingaben'!$C$36,0,J2651+I2651/'02_Eingaben'!$C$8))</f>
        <v/>
      </c>
    </row>
    <row r="2653" spans="1:10" x14ac:dyDescent="0.25">
      <c r="A2653" t="str">
        <f>IF('01_Rohdaten'!A2653="","",ROW()-1)</f>
        <v/>
      </c>
      <c r="B2653" s="17" t="str">
        <f>IF('01_Rohdaten'!A2653="","",'01_Rohdaten'!A2653)</f>
        <v/>
      </c>
      <c r="C2653" s="17" t="str">
        <f>IF(B2653="","",INDEX('01_Rohdaten'!B2653:D2653,'02_Eingaben'!$C$13))</f>
        <v/>
      </c>
      <c r="D2653" s="17" t="str">
        <f>IF(C2653="","",C2653*'02_Eingaben'!$C$15)</f>
        <v/>
      </c>
      <c r="E2653" s="17" t="str">
        <f>IF(D2653="","",D2653*'02_Eingaben'!$C$8)</f>
        <v/>
      </c>
      <c r="F2653" s="17" t="str">
        <f>IF(E2653="","",AVERAGE(INDEX($E$2:$E$3001,MAX(1,ROW()-1-'02_Eingaben'!$C$17)):INDEX($E$2:$E$3001,MIN('02_Eingaben'!$C$21,ROW()-1+'02_Eingaben'!$C$17))))</f>
        <v/>
      </c>
      <c r="G2653" s="17" t="str">
        <f>IF(F2653="","",F2653-'02_Eingaben'!$C$10)</f>
        <v/>
      </c>
      <c r="H2653" t="str">
        <f>IF(F2653="","",IF(F2653&lt;'02_Eingaben'!$C$18*'02_Eingaben'!$C$10,1,0))</f>
        <v/>
      </c>
      <c r="I2653" s="17" t="str">
        <f t="shared" si="41"/>
        <v/>
      </c>
      <c r="J2653" s="17" t="str">
        <f>IF(B2653="","",IF(B2652&lt;'02_Eingaben'!$C$36,0,J2652+I2652/'02_Eingaben'!$C$8))</f>
        <v/>
      </c>
    </row>
    <row r="2654" spans="1:10" x14ac:dyDescent="0.25">
      <c r="A2654" t="str">
        <f>IF('01_Rohdaten'!A2654="","",ROW()-1)</f>
        <v/>
      </c>
      <c r="B2654" s="17" t="str">
        <f>IF('01_Rohdaten'!A2654="","",'01_Rohdaten'!A2654)</f>
        <v/>
      </c>
      <c r="C2654" s="17" t="str">
        <f>IF(B2654="","",INDEX('01_Rohdaten'!B2654:D2654,'02_Eingaben'!$C$13))</f>
        <v/>
      </c>
      <c r="D2654" s="17" t="str">
        <f>IF(C2654="","",C2654*'02_Eingaben'!$C$15)</f>
        <v/>
      </c>
      <c r="E2654" s="17" t="str">
        <f>IF(D2654="","",D2654*'02_Eingaben'!$C$8)</f>
        <v/>
      </c>
      <c r="F2654" s="17" t="str">
        <f>IF(E2654="","",AVERAGE(INDEX($E$2:$E$3001,MAX(1,ROW()-1-'02_Eingaben'!$C$17)):INDEX($E$2:$E$3001,MIN('02_Eingaben'!$C$21,ROW()-1+'02_Eingaben'!$C$17))))</f>
        <v/>
      </c>
      <c r="G2654" s="17" t="str">
        <f>IF(F2654="","",F2654-'02_Eingaben'!$C$10)</f>
        <v/>
      </c>
      <c r="H2654" t="str">
        <f>IF(F2654="","",IF(F2654&lt;'02_Eingaben'!$C$18*'02_Eingaben'!$C$10,1,0))</f>
        <v/>
      </c>
      <c r="I2654" s="17" t="str">
        <f t="shared" si="41"/>
        <v/>
      </c>
      <c r="J2654" s="17" t="str">
        <f>IF(B2654="","",IF(B2653&lt;'02_Eingaben'!$C$36,0,J2653+I2653/'02_Eingaben'!$C$8))</f>
        <v/>
      </c>
    </row>
    <row r="2655" spans="1:10" x14ac:dyDescent="0.25">
      <c r="A2655" t="str">
        <f>IF('01_Rohdaten'!A2655="","",ROW()-1)</f>
        <v/>
      </c>
      <c r="B2655" s="17" t="str">
        <f>IF('01_Rohdaten'!A2655="","",'01_Rohdaten'!A2655)</f>
        <v/>
      </c>
      <c r="C2655" s="17" t="str">
        <f>IF(B2655="","",INDEX('01_Rohdaten'!B2655:D2655,'02_Eingaben'!$C$13))</f>
        <v/>
      </c>
      <c r="D2655" s="17" t="str">
        <f>IF(C2655="","",C2655*'02_Eingaben'!$C$15)</f>
        <v/>
      </c>
      <c r="E2655" s="17" t="str">
        <f>IF(D2655="","",D2655*'02_Eingaben'!$C$8)</f>
        <v/>
      </c>
      <c r="F2655" s="17" t="str">
        <f>IF(E2655="","",AVERAGE(INDEX($E$2:$E$3001,MAX(1,ROW()-1-'02_Eingaben'!$C$17)):INDEX($E$2:$E$3001,MIN('02_Eingaben'!$C$21,ROW()-1+'02_Eingaben'!$C$17))))</f>
        <v/>
      </c>
      <c r="G2655" s="17" t="str">
        <f>IF(F2655="","",F2655-'02_Eingaben'!$C$10)</f>
        <v/>
      </c>
      <c r="H2655" t="str">
        <f>IF(F2655="","",IF(F2655&lt;'02_Eingaben'!$C$18*'02_Eingaben'!$C$10,1,0))</f>
        <v/>
      </c>
      <c r="I2655" s="17" t="str">
        <f t="shared" si="41"/>
        <v/>
      </c>
      <c r="J2655" s="17" t="str">
        <f>IF(B2655="","",IF(B2654&lt;'02_Eingaben'!$C$36,0,J2654+I2654/'02_Eingaben'!$C$8))</f>
        <v/>
      </c>
    </row>
    <row r="2656" spans="1:10" x14ac:dyDescent="0.25">
      <c r="A2656" t="str">
        <f>IF('01_Rohdaten'!A2656="","",ROW()-1)</f>
        <v/>
      </c>
      <c r="B2656" s="17" t="str">
        <f>IF('01_Rohdaten'!A2656="","",'01_Rohdaten'!A2656)</f>
        <v/>
      </c>
      <c r="C2656" s="17" t="str">
        <f>IF(B2656="","",INDEX('01_Rohdaten'!B2656:D2656,'02_Eingaben'!$C$13))</f>
        <v/>
      </c>
      <c r="D2656" s="17" t="str">
        <f>IF(C2656="","",C2656*'02_Eingaben'!$C$15)</f>
        <v/>
      </c>
      <c r="E2656" s="17" t="str">
        <f>IF(D2656="","",D2656*'02_Eingaben'!$C$8)</f>
        <v/>
      </c>
      <c r="F2656" s="17" t="str">
        <f>IF(E2656="","",AVERAGE(INDEX($E$2:$E$3001,MAX(1,ROW()-1-'02_Eingaben'!$C$17)):INDEX($E$2:$E$3001,MIN('02_Eingaben'!$C$21,ROW()-1+'02_Eingaben'!$C$17))))</f>
        <v/>
      </c>
      <c r="G2656" s="17" t="str">
        <f>IF(F2656="","",F2656-'02_Eingaben'!$C$10)</f>
        <v/>
      </c>
      <c r="H2656" t="str">
        <f>IF(F2656="","",IF(F2656&lt;'02_Eingaben'!$C$18*'02_Eingaben'!$C$10,1,0))</f>
        <v/>
      </c>
      <c r="I2656" s="17" t="str">
        <f t="shared" si="41"/>
        <v/>
      </c>
      <c r="J2656" s="17" t="str">
        <f>IF(B2656="","",IF(B2655&lt;'02_Eingaben'!$C$36,0,J2655+I2655/'02_Eingaben'!$C$8))</f>
        <v/>
      </c>
    </row>
    <row r="2657" spans="1:10" x14ac:dyDescent="0.25">
      <c r="A2657" t="str">
        <f>IF('01_Rohdaten'!A2657="","",ROW()-1)</f>
        <v/>
      </c>
      <c r="B2657" s="17" t="str">
        <f>IF('01_Rohdaten'!A2657="","",'01_Rohdaten'!A2657)</f>
        <v/>
      </c>
      <c r="C2657" s="17" t="str">
        <f>IF(B2657="","",INDEX('01_Rohdaten'!B2657:D2657,'02_Eingaben'!$C$13))</f>
        <v/>
      </c>
      <c r="D2657" s="17" t="str">
        <f>IF(C2657="","",C2657*'02_Eingaben'!$C$15)</f>
        <v/>
      </c>
      <c r="E2657" s="17" t="str">
        <f>IF(D2657="","",D2657*'02_Eingaben'!$C$8)</f>
        <v/>
      </c>
      <c r="F2657" s="17" t="str">
        <f>IF(E2657="","",AVERAGE(INDEX($E$2:$E$3001,MAX(1,ROW()-1-'02_Eingaben'!$C$17)):INDEX($E$2:$E$3001,MIN('02_Eingaben'!$C$21,ROW()-1+'02_Eingaben'!$C$17))))</f>
        <v/>
      </c>
      <c r="G2657" s="17" t="str">
        <f>IF(F2657="","",F2657-'02_Eingaben'!$C$10)</f>
        <v/>
      </c>
      <c r="H2657" t="str">
        <f>IF(F2657="","",IF(F2657&lt;'02_Eingaben'!$C$18*'02_Eingaben'!$C$10,1,0))</f>
        <v/>
      </c>
      <c r="I2657" s="17" t="str">
        <f t="shared" si="41"/>
        <v/>
      </c>
      <c r="J2657" s="17" t="str">
        <f>IF(B2657="","",IF(B2656&lt;'02_Eingaben'!$C$36,0,J2656+I2656/'02_Eingaben'!$C$8))</f>
        <v/>
      </c>
    </row>
    <row r="2658" spans="1:10" x14ac:dyDescent="0.25">
      <c r="A2658" t="str">
        <f>IF('01_Rohdaten'!A2658="","",ROW()-1)</f>
        <v/>
      </c>
      <c r="B2658" s="17" t="str">
        <f>IF('01_Rohdaten'!A2658="","",'01_Rohdaten'!A2658)</f>
        <v/>
      </c>
      <c r="C2658" s="17" t="str">
        <f>IF(B2658="","",INDEX('01_Rohdaten'!B2658:D2658,'02_Eingaben'!$C$13))</f>
        <v/>
      </c>
      <c r="D2658" s="17" t="str">
        <f>IF(C2658="","",C2658*'02_Eingaben'!$C$15)</f>
        <v/>
      </c>
      <c r="E2658" s="17" t="str">
        <f>IF(D2658="","",D2658*'02_Eingaben'!$C$8)</f>
        <v/>
      </c>
      <c r="F2658" s="17" t="str">
        <f>IF(E2658="","",AVERAGE(INDEX($E$2:$E$3001,MAX(1,ROW()-1-'02_Eingaben'!$C$17)):INDEX($E$2:$E$3001,MIN('02_Eingaben'!$C$21,ROW()-1+'02_Eingaben'!$C$17))))</f>
        <v/>
      </c>
      <c r="G2658" s="17" t="str">
        <f>IF(F2658="","",F2658-'02_Eingaben'!$C$10)</f>
        <v/>
      </c>
      <c r="H2658" t="str">
        <f>IF(F2658="","",IF(F2658&lt;'02_Eingaben'!$C$18*'02_Eingaben'!$C$10,1,0))</f>
        <v/>
      </c>
      <c r="I2658" s="17" t="str">
        <f t="shared" si="41"/>
        <v/>
      </c>
      <c r="J2658" s="17" t="str">
        <f>IF(B2658="","",IF(B2657&lt;'02_Eingaben'!$C$36,0,J2657+I2657/'02_Eingaben'!$C$8))</f>
        <v/>
      </c>
    </row>
    <row r="2659" spans="1:10" x14ac:dyDescent="0.25">
      <c r="A2659" t="str">
        <f>IF('01_Rohdaten'!A2659="","",ROW()-1)</f>
        <v/>
      </c>
      <c r="B2659" s="17" t="str">
        <f>IF('01_Rohdaten'!A2659="","",'01_Rohdaten'!A2659)</f>
        <v/>
      </c>
      <c r="C2659" s="17" t="str">
        <f>IF(B2659="","",INDEX('01_Rohdaten'!B2659:D2659,'02_Eingaben'!$C$13))</f>
        <v/>
      </c>
      <c r="D2659" s="17" t="str">
        <f>IF(C2659="","",C2659*'02_Eingaben'!$C$15)</f>
        <v/>
      </c>
      <c r="E2659" s="17" t="str">
        <f>IF(D2659="","",D2659*'02_Eingaben'!$C$8)</f>
        <v/>
      </c>
      <c r="F2659" s="17" t="str">
        <f>IF(E2659="","",AVERAGE(INDEX($E$2:$E$3001,MAX(1,ROW()-1-'02_Eingaben'!$C$17)):INDEX($E$2:$E$3001,MIN('02_Eingaben'!$C$21,ROW()-1+'02_Eingaben'!$C$17))))</f>
        <v/>
      </c>
      <c r="G2659" s="17" t="str">
        <f>IF(F2659="","",F2659-'02_Eingaben'!$C$10)</f>
        <v/>
      </c>
      <c r="H2659" t="str">
        <f>IF(F2659="","",IF(F2659&lt;'02_Eingaben'!$C$18*'02_Eingaben'!$C$10,1,0))</f>
        <v/>
      </c>
      <c r="I2659" s="17" t="str">
        <f t="shared" si="41"/>
        <v/>
      </c>
      <c r="J2659" s="17" t="str">
        <f>IF(B2659="","",IF(B2658&lt;'02_Eingaben'!$C$36,0,J2658+I2658/'02_Eingaben'!$C$8))</f>
        <v/>
      </c>
    </row>
    <row r="2660" spans="1:10" x14ac:dyDescent="0.25">
      <c r="A2660" t="str">
        <f>IF('01_Rohdaten'!A2660="","",ROW()-1)</f>
        <v/>
      </c>
      <c r="B2660" s="17" t="str">
        <f>IF('01_Rohdaten'!A2660="","",'01_Rohdaten'!A2660)</f>
        <v/>
      </c>
      <c r="C2660" s="17" t="str">
        <f>IF(B2660="","",INDEX('01_Rohdaten'!B2660:D2660,'02_Eingaben'!$C$13))</f>
        <v/>
      </c>
      <c r="D2660" s="17" t="str">
        <f>IF(C2660="","",C2660*'02_Eingaben'!$C$15)</f>
        <v/>
      </c>
      <c r="E2660" s="17" t="str">
        <f>IF(D2660="","",D2660*'02_Eingaben'!$C$8)</f>
        <v/>
      </c>
      <c r="F2660" s="17" t="str">
        <f>IF(E2660="","",AVERAGE(INDEX($E$2:$E$3001,MAX(1,ROW()-1-'02_Eingaben'!$C$17)):INDEX($E$2:$E$3001,MIN('02_Eingaben'!$C$21,ROW()-1+'02_Eingaben'!$C$17))))</f>
        <v/>
      </c>
      <c r="G2660" s="17" t="str">
        <f>IF(F2660="","",F2660-'02_Eingaben'!$C$10)</f>
        <v/>
      </c>
      <c r="H2660" t="str">
        <f>IF(F2660="","",IF(F2660&lt;'02_Eingaben'!$C$18*'02_Eingaben'!$C$10,1,0))</f>
        <v/>
      </c>
      <c r="I2660" s="17" t="str">
        <f t="shared" si="41"/>
        <v/>
      </c>
      <c r="J2660" s="17" t="str">
        <f>IF(B2660="","",IF(B2659&lt;'02_Eingaben'!$C$36,0,J2659+I2659/'02_Eingaben'!$C$8))</f>
        <v/>
      </c>
    </row>
    <row r="2661" spans="1:10" x14ac:dyDescent="0.25">
      <c r="A2661" t="str">
        <f>IF('01_Rohdaten'!A2661="","",ROW()-1)</f>
        <v/>
      </c>
      <c r="B2661" s="17" t="str">
        <f>IF('01_Rohdaten'!A2661="","",'01_Rohdaten'!A2661)</f>
        <v/>
      </c>
      <c r="C2661" s="17" t="str">
        <f>IF(B2661="","",INDEX('01_Rohdaten'!B2661:D2661,'02_Eingaben'!$C$13))</f>
        <v/>
      </c>
      <c r="D2661" s="17" t="str">
        <f>IF(C2661="","",C2661*'02_Eingaben'!$C$15)</f>
        <v/>
      </c>
      <c r="E2661" s="17" t="str">
        <f>IF(D2661="","",D2661*'02_Eingaben'!$C$8)</f>
        <v/>
      </c>
      <c r="F2661" s="17" t="str">
        <f>IF(E2661="","",AVERAGE(INDEX($E$2:$E$3001,MAX(1,ROW()-1-'02_Eingaben'!$C$17)):INDEX($E$2:$E$3001,MIN('02_Eingaben'!$C$21,ROW()-1+'02_Eingaben'!$C$17))))</f>
        <v/>
      </c>
      <c r="G2661" s="17" t="str">
        <f>IF(F2661="","",F2661-'02_Eingaben'!$C$10)</f>
        <v/>
      </c>
      <c r="H2661" t="str">
        <f>IF(F2661="","",IF(F2661&lt;'02_Eingaben'!$C$18*'02_Eingaben'!$C$10,1,0))</f>
        <v/>
      </c>
      <c r="I2661" s="17" t="str">
        <f t="shared" si="41"/>
        <v/>
      </c>
      <c r="J2661" s="17" t="str">
        <f>IF(B2661="","",IF(B2660&lt;'02_Eingaben'!$C$36,0,J2660+I2660/'02_Eingaben'!$C$8))</f>
        <v/>
      </c>
    </row>
    <row r="2662" spans="1:10" x14ac:dyDescent="0.25">
      <c r="A2662" t="str">
        <f>IF('01_Rohdaten'!A2662="","",ROW()-1)</f>
        <v/>
      </c>
      <c r="B2662" s="17" t="str">
        <f>IF('01_Rohdaten'!A2662="","",'01_Rohdaten'!A2662)</f>
        <v/>
      </c>
      <c r="C2662" s="17" t="str">
        <f>IF(B2662="","",INDEX('01_Rohdaten'!B2662:D2662,'02_Eingaben'!$C$13))</f>
        <v/>
      </c>
      <c r="D2662" s="17" t="str">
        <f>IF(C2662="","",C2662*'02_Eingaben'!$C$15)</f>
        <v/>
      </c>
      <c r="E2662" s="17" t="str">
        <f>IF(D2662="","",D2662*'02_Eingaben'!$C$8)</f>
        <v/>
      </c>
      <c r="F2662" s="17" t="str">
        <f>IF(E2662="","",AVERAGE(INDEX($E$2:$E$3001,MAX(1,ROW()-1-'02_Eingaben'!$C$17)):INDEX($E$2:$E$3001,MIN('02_Eingaben'!$C$21,ROW()-1+'02_Eingaben'!$C$17))))</f>
        <v/>
      </c>
      <c r="G2662" s="17" t="str">
        <f>IF(F2662="","",F2662-'02_Eingaben'!$C$10)</f>
        <v/>
      </c>
      <c r="H2662" t="str">
        <f>IF(F2662="","",IF(F2662&lt;'02_Eingaben'!$C$18*'02_Eingaben'!$C$10,1,0))</f>
        <v/>
      </c>
      <c r="I2662" s="17" t="str">
        <f t="shared" si="41"/>
        <v/>
      </c>
      <c r="J2662" s="17" t="str">
        <f>IF(B2662="","",IF(B2661&lt;'02_Eingaben'!$C$36,0,J2661+I2661/'02_Eingaben'!$C$8))</f>
        <v/>
      </c>
    </row>
    <row r="2663" spans="1:10" x14ac:dyDescent="0.25">
      <c r="A2663" t="str">
        <f>IF('01_Rohdaten'!A2663="","",ROW()-1)</f>
        <v/>
      </c>
      <c r="B2663" s="17" t="str">
        <f>IF('01_Rohdaten'!A2663="","",'01_Rohdaten'!A2663)</f>
        <v/>
      </c>
      <c r="C2663" s="17" t="str">
        <f>IF(B2663="","",INDEX('01_Rohdaten'!B2663:D2663,'02_Eingaben'!$C$13))</f>
        <v/>
      </c>
      <c r="D2663" s="17" t="str">
        <f>IF(C2663="","",C2663*'02_Eingaben'!$C$15)</f>
        <v/>
      </c>
      <c r="E2663" s="17" t="str">
        <f>IF(D2663="","",D2663*'02_Eingaben'!$C$8)</f>
        <v/>
      </c>
      <c r="F2663" s="17" t="str">
        <f>IF(E2663="","",AVERAGE(INDEX($E$2:$E$3001,MAX(1,ROW()-1-'02_Eingaben'!$C$17)):INDEX($E$2:$E$3001,MIN('02_Eingaben'!$C$21,ROW()-1+'02_Eingaben'!$C$17))))</f>
        <v/>
      </c>
      <c r="G2663" s="17" t="str">
        <f>IF(F2663="","",F2663-'02_Eingaben'!$C$10)</f>
        <v/>
      </c>
      <c r="H2663" t="str">
        <f>IF(F2663="","",IF(F2663&lt;'02_Eingaben'!$C$18*'02_Eingaben'!$C$10,1,0))</f>
        <v/>
      </c>
      <c r="I2663" s="17" t="str">
        <f t="shared" si="41"/>
        <v/>
      </c>
      <c r="J2663" s="17" t="str">
        <f>IF(B2663="","",IF(B2662&lt;'02_Eingaben'!$C$36,0,J2662+I2662/'02_Eingaben'!$C$8))</f>
        <v/>
      </c>
    </row>
    <row r="2664" spans="1:10" x14ac:dyDescent="0.25">
      <c r="A2664" t="str">
        <f>IF('01_Rohdaten'!A2664="","",ROW()-1)</f>
        <v/>
      </c>
      <c r="B2664" s="17" t="str">
        <f>IF('01_Rohdaten'!A2664="","",'01_Rohdaten'!A2664)</f>
        <v/>
      </c>
      <c r="C2664" s="17" t="str">
        <f>IF(B2664="","",INDEX('01_Rohdaten'!B2664:D2664,'02_Eingaben'!$C$13))</f>
        <v/>
      </c>
      <c r="D2664" s="17" t="str">
        <f>IF(C2664="","",C2664*'02_Eingaben'!$C$15)</f>
        <v/>
      </c>
      <c r="E2664" s="17" t="str">
        <f>IF(D2664="","",D2664*'02_Eingaben'!$C$8)</f>
        <v/>
      </c>
      <c r="F2664" s="17" t="str">
        <f>IF(E2664="","",AVERAGE(INDEX($E$2:$E$3001,MAX(1,ROW()-1-'02_Eingaben'!$C$17)):INDEX($E$2:$E$3001,MIN('02_Eingaben'!$C$21,ROW()-1+'02_Eingaben'!$C$17))))</f>
        <v/>
      </c>
      <c r="G2664" s="17" t="str">
        <f>IF(F2664="","",F2664-'02_Eingaben'!$C$10)</f>
        <v/>
      </c>
      <c r="H2664" t="str">
        <f>IF(F2664="","",IF(F2664&lt;'02_Eingaben'!$C$18*'02_Eingaben'!$C$10,1,0))</f>
        <v/>
      </c>
      <c r="I2664" s="17" t="str">
        <f t="shared" si="41"/>
        <v/>
      </c>
      <c r="J2664" s="17" t="str">
        <f>IF(B2664="","",IF(B2663&lt;'02_Eingaben'!$C$36,0,J2663+I2663/'02_Eingaben'!$C$8))</f>
        <v/>
      </c>
    </row>
    <row r="2665" spans="1:10" x14ac:dyDescent="0.25">
      <c r="A2665" t="str">
        <f>IF('01_Rohdaten'!A2665="","",ROW()-1)</f>
        <v/>
      </c>
      <c r="B2665" s="17" t="str">
        <f>IF('01_Rohdaten'!A2665="","",'01_Rohdaten'!A2665)</f>
        <v/>
      </c>
      <c r="C2665" s="17" t="str">
        <f>IF(B2665="","",INDEX('01_Rohdaten'!B2665:D2665,'02_Eingaben'!$C$13))</f>
        <v/>
      </c>
      <c r="D2665" s="17" t="str">
        <f>IF(C2665="","",C2665*'02_Eingaben'!$C$15)</f>
        <v/>
      </c>
      <c r="E2665" s="17" t="str">
        <f>IF(D2665="","",D2665*'02_Eingaben'!$C$8)</f>
        <v/>
      </c>
      <c r="F2665" s="17" t="str">
        <f>IF(E2665="","",AVERAGE(INDEX($E$2:$E$3001,MAX(1,ROW()-1-'02_Eingaben'!$C$17)):INDEX($E$2:$E$3001,MIN('02_Eingaben'!$C$21,ROW()-1+'02_Eingaben'!$C$17))))</f>
        <v/>
      </c>
      <c r="G2665" s="17" t="str">
        <f>IF(F2665="","",F2665-'02_Eingaben'!$C$10)</f>
        <v/>
      </c>
      <c r="H2665" t="str">
        <f>IF(F2665="","",IF(F2665&lt;'02_Eingaben'!$C$18*'02_Eingaben'!$C$10,1,0))</f>
        <v/>
      </c>
      <c r="I2665" s="17" t="str">
        <f t="shared" si="41"/>
        <v/>
      </c>
      <c r="J2665" s="17" t="str">
        <f>IF(B2665="","",IF(B2664&lt;'02_Eingaben'!$C$36,0,J2664+I2664/'02_Eingaben'!$C$8))</f>
        <v/>
      </c>
    </row>
    <row r="2666" spans="1:10" x14ac:dyDescent="0.25">
      <c r="A2666" t="str">
        <f>IF('01_Rohdaten'!A2666="","",ROW()-1)</f>
        <v/>
      </c>
      <c r="B2666" s="17" t="str">
        <f>IF('01_Rohdaten'!A2666="","",'01_Rohdaten'!A2666)</f>
        <v/>
      </c>
      <c r="C2666" s="17" t="str">
        <f>IF(B2666="","",INDEX('01_Rohdaten'!B2666:D2666,'02_Eingaben'!$C$13))</f>
        <v/>
      </c>
      <c r="D2666" s="17" t="str">
        <f>IF(C2666="","",C2666*'02_Eingaben'!$C$15)</f>
        <v/>
      </c>
      <c r="E2666" s="17" t="str">
        <f>IF(D2666="","",D2666*'02_Eingaben'!$C$8)</f>
        <v/>
      </c>
      <c r="F2666" s="17" t="str">
        <f>IF(E2666="","",AVERAGE(INDEX($E$2:$E$3001,MAX(1,ROW()-1-'02_Eingaben'!$C$17)):INDEX($E$2:$E$3001,MIN('02_Eingaben'!$C$21,ROW()-1+'02_Eingaben'!$C$17))))</f>
        <v/>
      </c>
      <c r="G2666" s="17" t="str">
        <f>IF(F2666="","",F2666-'02_Eingaben'!$C$10)</f>
        <v/>
      </c>
      <c r="H2666" t="str">
        <f>IF(F2666="","",IF(F2666&lt;'02_Eingaben'!$C$18*'02_Eingaben'!$C$10,1,0))</f>
        <v/>
      </c>
      <c r="I2666" s="17" t="str">
        <f t="shared" si="41"/>
        <v/>
      </c>
      <c r="J2666" s="17" t="str">
        <f>IF(B2666="","",IF(B2665&lt;'02_Eingaben'!$C$36,0,J2665+I2665/'02_Eingaben'!$C$8))</f>
        <v/>
      </c>
    </row>
    <row r="2667" spans="1:10" x14ac:dyDescent="0.25">
      <c r="A2667" t="str">
        <f>IF('01_Rohdaten'!A2667="","",ROW()-1)</f>
        <v/>
      </c>
      <c r="B2667" s="17" t="str">
        <f>IF('01_Rohdaten'!A2667="","",'01_Rohdaten'!A2667)</f>
        <v/>
      </c>
      <c r="C2667" s="17" t="str">
        <f>IF(B2667="","",INDEX('01_Rohdaten'!B2667:D2667,'02_Eingaben'!$C$13))</f>
        <v/>
      </c>
      <c r="D2667" s="17" t="str">
        <f>IF(C2667="","",C2667*'02_Eingaben'!$C$15)</f>
        <v/>
      </c>
      <c r="E2667" s="17" t="str">
        <f>IF(D2667="","",D2667*'02_Eingaben'!$C$8)</f>
        <v/>
      </c>
      <c r="F2667" s="17" t="str">
        <f>IF(E2667="","",AVERAGE(INDEX($E$2:$E$3001,MAX(1,ROW()-1-'02_Eingaben'!$C$17)):INDEX($E$2:$E$3001,MIN('02_Eingaben'!$C$21,ROW()-1+'02_Eingaben'!$C$17))))</f>
        <v/>
      </c>
      <c r="G2667" s="17" t="str">
        <f>IF(F2667="","",F2667-'02_Eingaben'!$C$10)</f>
        <v/>
      </c>
      <c r="H2667" t="str">
        <f>IF(F2667="","",IF(F2667&lt;'02_Eingaben'!$C$18*'02_Eingaben'!$C$10,1,0))</f>
        <v/>
      </c>
      <c r="I2667" s="17" t="str">
        <f t="shared" si="41"/>
        <v/>
      </c>
      <c r="J2667" s="17" t="str">
        <f>IF(B2667="","",IF(B2666&lt;'02_Eingaben'!$C$36,0,J2666+I2666/'02_Eingaben'!$C$8))</f>
        <v/>
      </c>
    </row>
    <row r="2668" spans="1:10" x14ac:dyDescent="0.25">
      <c r="A2668" t="str">
        <f>IF('01_Rohdaten'!A2668="","",ROW()-1)</f>
        <v/>
      </c>
      <c r="B2668" s="17" t="str">
        <f>IF('01_Rohdaten'!A2668="","",'01_Rohdaten'!A2668)</f>
        <v/>
      </c>
      <c r="C2668" s="17" t="str">
        <f>IF(B2668="","",INDEX('01_Rohdaten'!B2668:D2668,'02_Eingaben'!$C$13))</f>
        <v/>
      </c>
      <c r="D2668" s="17" t="str">
        <f>IF(C2668="","",C2668*'02_Eingaben'!$C$15)</f>
        <v/>
      </c>
      <c r="E2668" s="17" t="str">
        <f>IF(D2668="","",D2668*'02_Eingaben'!$C$8)</f>
        <v/>
      </c>
      <c r="F2668" s="17" t="str">
        <f>IF(E2668="","",AVERAGE(INDEX($E$2:$E$3001,MAX(1,ROW()-1-'02_Eingaben'!$C$17)):INDEX($E$2:$E$3001,MIN('02_Eingaben'!$C$21,ROW()-1+'02_Eingaben'!$C$17))))</f>
        <v/>
      </c>
      <c r="G2668" s="17" t="str">
        <f>IF(F2668="","",F2668-'02_Eingaben'!$C$10)</f>
        <v/>
      </c>
      <c r="H2668" t="str">
        <f>IF(F2668="","",IF(F2668&lt;'02_Eingaben'!$C$18*'02_Eingaben'!$C$10,1,0))</f>
        <v/>
      </c>
      <c r="I2668" s="17" t="str">
        <f t="shared" si="41"/>
        <v/>
      </c>
      <c r="J2668" s="17" t="str">
        <f>IF(B2668="","",IF(B2667&lt;'02_Eingaben'!$C$36,0,J2667+I2667/'02_Eingaben'!$C$8))</f>
        <v/>
      </c>
    </row>
    <row r="2669" spans="1:10" x14ac:dyDescent="0.25">
      <c r="A2669" t="str">
        <f>IF('01_Rohdaten'!A2669="","",ROW()-1)</f>
        <v/>
      </c>
      <c r="B2669" s="17" t="str">
        <f>IF('01_Rohdaten'!A2669="","",'01_Rohdaten'!A2669)</f>
        <v/>
      </c>
      <c r="C2669" s="17" t="str">
        <f>IF(B2669="","",INDEX('01_Rohdaten'!B2669:D2669,'02_Eingaben'!$C$13))</f>
        <v/>
      </c>
      <c r="D2669" s="17" t="str">
        <f>IF(C2669="","",C2669*'02_Eingaben'!$C$15)</f>
        <v/>
      </c>
      <c r="E2669" s="17" t="str">
        <f>IF(D2669="","",D2669*'02_Eingaben'!$C$8)</f>
        <v/>
      </c>
      <c r="F2669" s="17" t="str">
        <f>IF(E2669="","",AVERAGE(INDEX($E$2:$E$3001,MAX(1,ROW()-1-'02_Eingaben'!$C$17)):INDEX($E$2:$E$3001,MIN('02_Eingaben'!$C$21,ROW()-1+'02_Eingaben'!$C$17))))</f>
        <v/>
      </c>
      <c r="G2669" s="17" t="str">
        <f>IF(F2669="","",F2669-'02_Eingaben'!$C$10)</f>
        <v/>
      </c>
      <c r="H2669" t="str">
        <f>IF(F2669="","",IF(F2669&lt;'02_Eingaben'!$C$18*'02_Eingaben'!$C$10,1,0))</f>
        <v/>
      </c>
      <c r="I2669" s="17" t="str">
        <f t="shared" si="41"/>
        <v/>
      </c>
      <c r="J2669" s="17" t="str">
        <f>IF(B2669="","",IF(B2668&lt;'02_Eingaben'!$C$36,0,J2668+I2668/'02_Eingaben'!$C$8))</f>
        <v/>
      </c>
    </row>
    <row r="2670" spans="1:10" x14ac:dyDescent="0.25">
      <c r="A2670" t="str">
        <f>IF('01_Rohdaten'!A2670="","",ROW()-1)</f>
        <v/>
      </c>
      <c r="B2670" s="17" t="str">
        <f>IF('01_Rohdaten'!A2670="","",'01_Rohdaten'!A2670)</f>
        <v/>
      </c>
      <c r="C2670" s="17" t="str">
        <f>IF(B2670="","",INDEX('01_Rohdaten'!B2670:D2670,'02_Eingaben'!$C$13))</f>
        <v/>
      </c>
      <c r="D2670" s="17" t="str">
        <f>IF(C2670="","",C2670*'02_Eingaben'!$C$15)</f>
        <v/>
      </c>
      <c r="E2670" s="17" t="str">
        <f>IF(D2670="","",D2670*'02_Eingaben'!$C$8)</f>
        <v/>
      </c>
      <c r="F2670" s="17" t="str">
        <f>IF(E2670="","",AVERAGE(INDEX($E$2:$E$3001,MAX(1,ROW()-1-'02_Eingaben'!$C$17)):INDEX($E$2:$E$3001,MIN('02_Eingaben'!$C$21,ROW()-1+'02_Eingaben'!$C$17))))</f>
        <v/>
      </c>
      <c r="G2670" s="17" t="str">
        <f>IF(F2670="","",F2670-'02_Eingaben'!$C$10)</f>
        <v/>
      </c>
      <c r="H2670" t="str">
        <f>IF(F2670="","",IF(F2670&lt;'02_Eingaben'!$C$18*'02_Eingaben'!$C$10,1,0))</f>
        <v/>
      </c>
      <c r="I2670" s="17" t="str">
        <f t="shared" si="41"/>
        <v/>
      </c>
      <c r="J2670" s="17" t="str">
        <f>IF(B2670="","",IF(B2669&lt;'02_Eingaben'!$C$36,0,J2669+I2669/'02_Eingaben'!$C$8))</f>
        <v/>
      </c>
    </row>
    <row r="2671" spans="1:10" x14ac:dyDescent="0.25">
      <c r="A2671" t="str">
        <f>IF('01_Rohdaten'!A2671="","",ROW()-1)</f>
        <v/>
      </c>
      <c r="B2671" s="17" t="str">
        <f>IF('01_Rohdaten'!A2671="","",'01_Rohdaten'!A2671)</f>
        <v/>
      </c>
      <c r="C2671" s="17" t="str">
        <f>IF(B2671="","",INDEX('01_Rohdaten'!B2671:D2671,'02_Eingaben'!$C$13))</f>
        <v/>
      </c>
      <c r="D2671" s="17" t="str">
        <f>IF(C2671="","",C2671*'02_Eingaben'!$C$15)</f>
        <v/>
      </c>
      <c r="E2671" s="17" t="str">
        <f>IF(D2671="","",D2671*'02_Eingaben'!$C$8)</f>
        <v/>
      </c>
      <c r="F2671" s="17" t="str">
        <f>IF(E2671="","",AVERAGE(INDEX($E$2:$E$3001,MAX(1,ROW()-1-'02_Eingaben'!$C$17)):INDEX($E$2:$E$3001,MIN('02_Eingaben'!$C$21,ROW()-1+'02_Eingaben'!$C$17))))</f>
        <v/>
      </c>
      <c r="G2671" s="17" t="str">
        <f>IF(F2671="","",F2671-'02_Eingaben'!$C$10)</f>
        <v/>
      </c>
      <c r="H2671" t="str">
        <f>IF(F2671="","",IF(F2671&lt;'02_Eingaben'!$C$18*'02_Eingaben'!$C$10,1,0))</f>
        <v/>
      </c>
      <c r="I2671" s="17" t="str">
        <f t="shared" si="41"/>
        <v/>
      </c>
      <c r="J2671" s="17" t="str">
        <f>IF(B2671="","",IF(B2670&lt;'02_Eingaben'!$C$36,0,J2670+I2670/'02_Eingaben'!$C$8))</f>
        <v/>
      </c>
    </row>
    <row r="2672" spans="1:10" x14ac:dyDescent="0.25">
      <c r="A2672" t="str">
        <f>IF('01_Rohdaten'!A2672="","",ROW()-1)</f>
        <v/>
      </c>
      <c r="B2672" s="17" t="str">
        <f>IF('01_Rohdaten'!A2672="","",'01_Rohdaten'!A2672)</f>
        <v/>
      </c>
      <c r="C2672" s="17" t="str">
        <f>IF(B2672="","",INDEX('01_Rohdaten'!B2672:D2672,'02_Eingaben'!$C$13))</f>
        <v/>
      </c>
      <c r="D2672" s="17" t="str">
        <f>IF(C2672="","",C2672*'02_Eingaben'!$C$15)</f>
        <v/>
      </c>
      <c r="E2672" s="17" t="str">
        <f>IF(D2672="","",D2672*'02_Eingaben'!$C$8)</f>
        <v/>
      </c>
      <c r="F2672" s="17" t="str">
        <f>IF(E2672="","",AVERAGE(INDEX($E$2:$E$3001,MAX(1,ROW()-1-'02_Eingaben'!$C$17)):INDEX($E$2:$E$3001,MIN('02_Eingaben'!$C$21,ROW()-1+'02_Eingaben'!$C$17))))</f>
        <v/>
      </c>
      <c r="G2672" s="17" t="str">
        <f>IF(F2672="","",F2672-'02_Eingaben'!$C$10)</f>
        <v/>
      </c>
      <c r="H2672" t="str">
        <f>IF(F2672="","",IF(F2672&lt;'02_Eingaben'!$C$18*'02_Eingaben'!$C$10,1,0))</f>
        <v/>
      </c>
      <c r="I2672" s="17" t="str">
        <f t="shared" si="41"/>
        <v/>
      </c>
      <c r="J2672" s="17" t="str">
        <f>IF(B2672="","",IF(B2671&lt;'02_Eingaben'!$C$36,0,J2671+I2671/'02_Eingaben'!$C$8))</f>
        <v/>
      </c>
    </row>
    <row r="2673" spans="1:10" x14ac:dyDescent="0.25">
      <c r="A2673" t="str">
        <f>IF('01_Rohdaten'!A2673="","",ROW()-1)</f>
        <v/>
      </c>
      <c r="B2673" s="17" t="str">
        <f>IF('01_Rohdaten'!A2673="","",'01_Rohdaten'!A2673)</f>
        <v/>
      </c>
      <c r="C2673" s="17" t="str">
        <f>IF(B2673="","",INDEX('01_Rohdaten'!B2673:D2673,'02_Eingaben'!$C$13))</f>
        <v/>
      </c>
      <c r="D2673" s="17" t="str">
        <f>IF(C2673="","",C2673*'02_Eingaben'!$C$15)</f>
        <v/>
      </c>
      <c r="E2673" s="17" t="str">
        <f>IF(D2673="","",D2673*'02_Eingaben'!$C$8)</f>
        <v/>
      </c>
      <c r="F2673" s="17" t="str">
        <f>IF(E2673="","",AVERAGE(INDEX($E$2:$E$3001,MAX(1,ROW()-1-'02_Eingaben'!$C$17)):INDEX($E$2:$E$3001,MIN('02_Eingaben'!$C$21,ROW()-1+'02_Eingaben'!$C$17))))</f>
        <v/>
      </c>
      <c r="G2673" s="17" t="str">
        <f>IF(F2673="","",F2673-'02_Eingaben'!$C$10)</f>
        <v/>
      </c>
      <c r="H2673" t="str">
        <f>IF(F2673="","",IF(F2673&lt;'02_Eingaben'!$C$18*'02_Eingaben'!$C$10,1,0))</f>
        <v/>
      </c>
      <c r="I2673" s="17" t="str">
        <f t="shared" si="41"/>
        <v/>
      </c>
      <c r="J2673" s="17" t="str">
        <f>IF(B2673="","",IF(B2672&lt;'02_Eingaben'!$C$36,0,J2672+I2672/'02_Eingaben'!$C$8))</f>
        <v/>
      </c>
    </row>
    <row r="2674" spans="1:10" x14ac:dyDescent="0.25">
      <c r="A2674" t="str">
        <f>IF('01_Rohdaten'!A2674="","",ROW()-1)</f>
        <v/>
      </c>
      <c r="B2674" s="17" t="str">
        <f>IF('01_Rohdaten'!A2674="","",'01_Rohdaten'!A2674)</f>
        <v/>
      </c>
      <c r="C2674" s="17" t="str">
        <f>IF(B2674="","",INDEX('01_Rohdaten'!B2674:D2674,'02_Eingaben'!$C$13))</f>
        <v/>
      </c>
      <c r="D2674" s="17" t="str">
        <f>IF(C2674="","",C2674*'02_Eingaben'!$C$15)</f>
        <v/>
      </c>
      <c r="E2674" s="17" t="str">
        <f>IF(D2674="","",D2674*'02_Eingaben'!$C$8)</f>
        <v/>
      </c>
      <c r="F2674" s="17" t="str">
        <f>IF(E2674="","",AVERAGE(INDEX($E$2:$E$3001,MAX(1,ROW()-1-'02_Eingaben'!$C$17)):INDEX($E$2:$E$3001,MIN('02_Eingaben'!$C$21,ROW()-1+'02_Eingaben'!$C$17))))</f>
        <v/>
      </c>
      <c r="G2674" s="17" t="str">
        <f>IF(F2674="","",F2674-'02_Eingaben'!$C$10)</f>
        <v/>
      </c>
      <c r="H2674" t="str">
        <f>IF(F2674="","",IF(F2674&lt;'02_Eingaben'!$C$18*'02_Eingaben'!$C$10,1,0))</f>
        <v/>
      </c>
      <c r="I2674" s="17" t="str">
        <f t="shared" si="41"/>
        <v/>
      </c>
      <c r="J2674" s="17" t="str">
        <f>IF(B2674="","",IF(B2673&lt;'02_Eingaben'!$C$36,0,J2673+I2673/'02_Eingaben'!$C$8))</f>
        <v/>
      </c>
    </row>
    <row r="2675" spans="1:10" x14ac:dyDescent="0.25">
      <c r="A2675" t="str">
        <f>IF('01_Rohdaten'!A2675="","",ROW()-1)</f>
        <v/>
      </c>
      <c r="B2675" s="17" t="str">
        <f>IF('01_Rohdaten'!A2675="","",'01_Rohdaten'!A2675)</f>
        <v/>
      </c>
      <c r="C2675" s="17" t="str">
        <f>IF(B2675="","",INDEX('01_Rohdaten'!B2675:D2675,'02_Eingaben'!$C$13))</f>
        <v/>
      </c>
      <c r="D2675" s="17" t="str">
        <f>IF(C2675="","",C2675*'02_Eingaben'!$C$15)</f>
        <v/>
      </c>
      <c r="E2675" s="17" t="str">
        <f>IF(D2675="","",D2675*'02_Eingaben'!$C$8)</f>
        <v/>
      </c>
      <c r="F2675" s="17" t="str">
        <f>IF(E2675="","",AVERAGE(INDEX($E$2:$E$3001,MAX(1,ROW()-1-'02_Eingaben'!$C$17)):INDEX($E$2:$E$3001,MIN('02_Eingaben'!$C$21,ROW()-1+'02_Eingaben'!$C$17))))</f>
        <v/>
      </c>
      <c r="G2675" s="17" t="str">
        <f>IF(F2675="","",F2675-'02_Eingaben'!$C$10)</f>
        <v/>
      </c>
      <c r="H2675" t="str">
        <f>IF(F2675="","",IF(F2675&lt;'02_Eingaben'!$C$18*'02_Eingaben'!$C$10,1,0))</f>
        <v/>
      </c>
      <c r="I2675" s="17" t="str">
        <f t="shared" si="41"/>
        <v/>
      </c>
      <c r="J2675" s="17" t="str">
        <f>IF(B2675="","",IF(B2674&lt;'02_Eingaben'!$C$36,0,J2674+I2674/'02_Eingaben'!$C$8))</f>
        <v/>
      </c>
    </row>
    <row r="2676" spans="1:10" x14ac:dyDescent="0.25">
      <c r="A2676" t="str">
        <f>IF('01_Rohdaten'!A2676="","",ROW()-1)</f>
        <v/>
      </c>
      <c r="B2676" s="17" t="str">
        <f>IF('01_Rohdaten'!A2676="","",'01_Rohdaten'!A2676)</f>
        <v/>
      </c>
      <c r="C2676" s="17" t="str">
        <f>IF(B2676="","",INDEX('01_Rohdaten'!B2676:D2676,'02_Eingaben'!$C$13))</f>
        <v/>
      </c>
      <c r="D2676" s="17" t="str">
        <f>IF(C2676="","",C2676*'02_Eingaben'!$C$15)</f>
        <v/>
      </c>
      <c r="E2676" s="17" t="str">
        <f>IF(D2676="","",D2676*'02_Eingaben'!$C$8)</f>
        <v/>
      </c>
      <c r="F2676" s="17" t="str">
        <f>IF(E2676="","",AVERAGE(INDEX($E$2:$E$3001,MAX(1,ROW()-1-'02_Eingaben'!$C$17)):INDEX($E$2:$E$3001,MIN('02_Eingaben'!$C$21,ROW()-1+'02_Eingaben'!$C$17))))</f>
        <v/>
      </c>
      <c r="G2676" s="17" t="str">
        <f>IF(F2676="","",F2676-'02_Eingaben'!$C$10)</f>
        <v/>
      </c>
      <c r="H2676" t="str">
        <f>IF(F2676="","",IF(F2676&lt;'02_Eingaben'!$C$18*'02_Eingaben'!$C$10,1,0))</f>
        <v/>
      </c>
      <c r="I2676" s="17" t="str">
        <f t="shared" si="41"/>
        <v/>
      </c>
      <c r="J2676" s="17" t="str">
        <f>IF(B2676="","",IF(B2675&lt;'02_Eingaben'!$C$36,0,J2675+I2675/'02_Eingaben'!$C$8))</f>
        <v/>
      </c>
    </row>
    <row r="2677" spans="1:10" x14ac:dyDescent="0.25">
      <c r="A2677" t="str">
        <f>IF('01_Rohdaten'!A2677="","",ROW()-1)</f>
        <v/>
      </c>
      <c r="B2677" s="17" t="str">
        <f>IF('01_Rohdaten'!A2677="","",'01_Rohdaten'!A2677)</f>
        <v/>
      </c>
      <c r="C2677" s="17" t="str">
        <f>IF(B2677="","",INDEX('01_Rohdaten'!B2677:D2677,'02_Eingaben'!$C$13))</f>
        <v/>
      </c>
      <c r="D2677" s="17" t="str">
        <f>IF(C2677="","",C2677*'02_Eingaben'!$C$15)</f>
        <v/>
      </c>
      <c r="E2677" s="17" t="str">
        <f>IF(D2677="","",D2677*'02_Eingaben'!$C$8)</f>
        <v/>
      </c>
      <c r="F2677" s="17" t="str">
        <f>IF(E2677="","",AVERAGE(INDEX($E$2:$E$3001,MAX(1,ROW()-1-'02_Eingaben'!$C$17)):INDEX($E$2:$E$3001,MIN('02_Eingaben'!$C$21,ROW()-1+'02_Eingaben'!$C$17))))</f>
        <v/>
      </c>
      <c r="G2677" s="17" t="str">
        <f>IF(F2677="","",F2677-'02_Eingaben'!$C$10)</f>
        <v/>
      </c>
      <c r="H2677" t="str">
        <f>IF(F2677="","",IF(F2677&lt;'02_Eingaben'!$C$18*'02_Eingaben'!$C$10,1,0))</f>
        <v/>
      </c>
      <c r="I2677" s="17" t="str">
        <f t="shared" si="41"/>
        <v/>
      </c>
      <c r="J2677" s="17" t="str">
        <f>IF(B2677="","",IF(B2676&lt;'02_Eingaben'!$C$36,0,J2676+I2676/'02_Eingaben'!$C$8))</f>
        <v/>
      </c>
    </row>
    <row r="2678" spans="1:10" x14ac:dyDescent="0.25">
      <c r="A2678" t="str">
        <f>IF('01_Rohdaten'!A2678="","",ROW()-1)</f>
        <v/>
      </c>
      <c r="B2678" s="17" t="str">
        <f>IF('01_Rohdaten'!A2678="","",'01_Rohdaten'!A2678)</f>
        <v/>
      </c>
      <c r="C2678" s="17" t="str">
        <f>IF(B2678="","",INDEX('01_Rohdaten'!B2678:D2678,'02_Eingaben'!$C$13))</f>
        <v/>
      </c>
      <c r="D2678" s="17" t="str">
        <f>IF(C2678="","",C2678*'02_Eingaben'!$C$15)</f>
        <v/>
      </c>
      <c r="E2678" s="17" t="str">
        <f>IF(D2678="","",D2678*'02_Eingaben'!$C$8)</f>
        <v/>
      </c>
      <c r="F2678" s="17" t="str">
        <f>IF(E2678="","",AVERAGE(INDEX($E$2:$E$3001,MAX(1,ROW()-1-'02_Eingaben'!$C$17)):INDEX($E$2:$E$3001,MIN('02_Eingaben'!$C$21,ROW()-1+'02_Eingaben'!$C$17))))</f>
        <v/>
      </c>
      <c r="G2678" s="17" t="str">
        <f>IF(F2678="","",F2678-'02_Eingaben'!$C$10)</f>
        <v/>
      </c>
      <c r="H2678" t="str">
        <f>IF(F2678="","",IF(F2678&lt;'02_Eingaben'!$C$18*'02_Eingaben'!$C$10,1,0))</f>
        <v/>
      </c>
      <c r="I2678" s="17" t="str">
        <f t="shared" si="41"/>
        <v/>
      </c>
      <c r="J2678" s="17" t="str">
        <f>IF(B2678="","",IF(B2677&lt;'02_Eingaben'!$C$36,0,J2677+I2677/'02_Eingaben'!$C$8))</f>
        <v/>
      </c>
    </row>
    <row r="2679" spans="1:10" x14ac:dyDescent="0.25">
      <c r="A2679" t="str">
        <f>IF('01_Rohdaten'!A2679="","",ROW()-1)</f>
        <v/>
      </c>
      <c r="B2679" s="17" t="str">
        <f>IF('01_Rohdaten'!A2679="","",'01_Rohdaten'!A2679)</f>
        <v/>
      </c>
      <c r="C2679" s="17" t="str">
        <f>IF(B2679="","",INDEX('01_Rohdaten'!B2679:D2679,'02_Eingaben'!$C$13))</f>
        <v/>
      </c>
      <c r="D2679" s="17" t="str">
        <f>IF(C2679="","",C2679*'02_Eingaben'!$C$15)</f>
        <v/>
      </c>
      <c r="E2679" s="17" t="str">
        <f>IF(D2679="","",D2679*'02_Eingaben'!$C$8)</f>
        <v/>
      </c>
      <c r="F2679" s="17" t="str">
        <f>IF(E2679="","",AVERAGE(INDEX($E$2:$E$3001,MAX(1,ROW()-1-'02_Eingaben'!$C$17)):INDEX($E$2:$E$3001,MIN('02_Eingaben'!$C$21,ROW()-1+'02_Eingaben'!$C$17))))</f>
        <v/>
      </c>
      <c r="G2679" s="17" t="str">
        <f>IF(F2679="","",F2679-'02_Eingaben'!$C$10)</f>
        <v/>
      </c>
      <c r="H2679" t="str">
        <f>IF(F2679="","",IF(F2679&lt;'02_Eingaben'!$C$18*'02_Eingaben'!$C$10,1,0))</f>
        <v/>
      </c>
      <c r="I2679" s="17" t="str">
        <f t="shared" si="41"/>
        <v/>
      </c>
      <c r="J2679" s="17" t="str">
        <f>IF(B2679="","",IF(B2678&lt;'02_Eingaben'!$C$36,0,J2678+I2678/'02_Eingaben'!$C$8))</f>
        <v/>
      </c>
    </row>
    <row r="2680" spans="1:10" x14ac:dyDescent="0.25">
      <c r="A2680" t="str">
        <f>IF('01_Rohdaten'!A2680="","",ROW()-1)</f>
        <v/>
      </c>
      <c r="B2680" s="17" t="str">
        <f>IF('01_Rohdaten'!A2680="","",'01_Rohdaten'!A2680)</f>
        <v/>
      </c>
      <c r="C2680" s="17" t="str">
        <f>IF(B2680="","",INDEX('01_Rohdaten'!B2680:D2680,'02_Eingaben'!$C$13))</f>
        <v/>
      </c>
      <c r="D2680" s="17" t="str">
        <f>IF(C2680="","",C2680*'02_Eingaben'!$C$15)</f>
        <v/>
      </c>
      <c r="E2680" s="17" t="str">
        <f>IF(D2680="","",D2680*'02_Eingaben'!$C$8)</f>
        <v/>
      </c>
      <c r="F2680" s="17" t="str">
        <f>IF(E2680="","",AVERAGE(INDEX($E$2:$E$3001,MAX(1,ROW()-1-'02_Eingaben'!$C$17)):INDEX($E$2:$E$3001,MIN('02_Eingaben'!$C$21,ROW()-1+'02_Eingaben'!$C$17))))</f>
        <v/>
      </c>
      <c r="G2680" s="17" t="str">
        <f>IF(F2680="","",F2680-'02_Eingaben'!$C$10)</f>
        <v/>
      </c>
      <c r="H2680" t="str">
        <f>IF(F2680="","",IF(F2680&lt;'02_Eingaben'!$C$18*'02_Eingaben'!$C$10,1,0))</f>
        <v/>
      </c>
      <c r="I2680" s="17" t="str">
        <f t="shared" si="41"/>
        <v/>
      </c>
      <c r="J2680" s="17" t="str">
        <f>IF(B2680="","",IF(B2679&lt;'02_Eingaben'!$C$36,0,J2679+I2679/'02_Eingaben'!$C$8))</f>
        <v/>
      </c>
    </row>
    <row r="2681" spans="1:10" x14ac:dyDescent="0.25">
      <c r="A2681" t="str">
        <f>IF('01_Rohdaten'!A2681="","",ROW()-1)</f>
        <v/>
      </c>
      <c r="B2681" s="17" t="str">
        <f>IF('01_Rohdaten'!A2681="","",'01_Rohdaten'!A2681)</f>
        <v/>
      </c>
      <c r="C2681" s="17" t="str">
        <f>IF(B2681="","",INDEX('01_Rohdaten'!B2681:D2681,'02_Eingaben'!$C$13))</f>
        <v/>
      </c>
      <c r="D2681" s="17" t="str">
        <f>IF(C2681="","",C2681*'02_Eingaben'!$C$15)</f>
        <v/>
      </c>
      <c r="E2681" s="17" t="str">
        <f>IF(D2681="","",D2681*'02_Eingaben'!$C$8)</f>
        <v/>
      </c>
      <c r="F2681" s="17" t="str">
        <f>IF(E2681="","",AVERAGE(INDEX($E$2:$E$3001,MAX(1,ROW()-1-'02_Eingaben'!$C$17)):INDEX($E$2:$E$3001,MIN('02_Eingaben'!$C$21,ROW()-1+'02_Eingaben'!$C$17))))</f>
        <v/>
      </c>
      <c r="G2681" s="17" t="str">
        <f>IF(F2681="","",F2681-'02_Eingaben'!$C$10)</f>
        <v/>
      </c>
      <c r="H2681" t="str">
        <f>IF(F2681="","",IF(F2681&lt;'02_Eingaben'!$C$18*'02_Eingaben'!$C$10,1,0))</f>
        <v/>
      </c>
      <c r="I2681" s="17" t="str">
        <f t="shared" si="41"/>
        <v/>
      </c>
      <c r="J2681" s="17" t="str">
        <f>IF(B2681="","",IF(B2680&lt;'02_Eingaben'!$C$36,0,J2680+I2680/'02_Eingaben'!$C$8))</f>
        <v/>
      </c>
    </row>
    <row r="2682" spans="1:10" x14ac:dyDescent="0.25">
      <c r="A2682" t="str">
        <f>IF('01_Rohdaten'!A2682="","",ROW()-1)</f>
        <v/>
      </c>
      <c r="B2682" s="17" t="str">
        <f>IF('01_Rohdaten'!A2682="","",'01_Rohdaten'!A2682)</f>
        <v/>
      </c>
      <c r="C2682" s="17" t="str">
        <f>IF(B2682="","",INDEX('01_Rohdaten'!B2682:D2682,'02_Eingaben'!$C$13))</f>
        <v/>
      </c>
      <c r="D2682" s="17" t="str">
        <f>IF(C2682="","",C2682*'02_Eingaben'!$C$15)</f>
        <v/>
      </c>
      <c r="E2682" s="17" t="str">
        <f>IF(D2682="","",D2682*'02_Eingaben'!$C$8)</f>
        <v/>
      </c>
      <c r="F2682" s="17" t="str">
        <f>IF(E2682="","",AVERAGE(INDEX($E$2:$E$3001,MAX(1,ROW()-1-'02_Eingaben'!$C$17)):INDEX($E$2:$E$3001,MIN('02_Eingaben'!$C$21,ROW()-1+'02_Eingaben'!$C$17))))</f>
        <v/>
      </c>
      <c r="G2682" s="17" t="str">
        <f>IF(F2682="","",F2682-'02_Eingaben'!$C$10)</f>
        <v/>
      </c>
      <c r="H2682" t="str">
        <f>IF(F2682="","",IF(F2682&lt;'02_Eingaben'!$C$18*'02_Eingaben'!$C$10,1,0))</f>
        <v/>
      </c>
      <c r="I2682" s="17" t="str">
        <f t="shared" si="41"/>
        <v/>
      </c>
      <c r="J2682" s="17" t="str">
        <f>IF(B2682="","",IF(B2681&lt;'02_Eingaben'!$C$36,0,J2681+I2681/'02_Eingaben'!$C$8))</f>
        <v/>
      </c>
    </row>
    <row r="2683" spans="1:10" x14ac:dyDescent="0.25">
      <c r="A2683" t="str">
        <f>IF('01_Rohdaten'!A2683="","",ROW()-1)</f>
        <v/>
      </c>
      <c r="B2683" s="17" t="str">
        <f>IF('01_Rohdaten'!A2683="","",'01_Rohdaten'!A2683)</f>
        <v/>
      </c>
      <c r="C2683" s="17" t="str">
        <f>IF(B2683="","",INDEX('01_Rohdaten'!B2683:D2683,'02_Eingaben'!$C$13))</f>
        <v/>
      </c>
      <c r="D2683" s="17" t="str">
        <f>IF(C2683="","",C2683*'02_Eingaben'!$C$15)</f>
        <v/>
      </c>
      <c r="E2683" s="17" t="str">
        <f>IF(D2683="","",D2683*'02_Eingaben'!$C$8)</f>
        <v/>
      </c>
      <c r="F2683" s="17" t="str">
        <f>IF(E2683="","",AVERAGE(INDEX($E$2:$E$3001,MAX(1,ROW()-1-'02_Eingaben'!$C$17)):INDEX($E$2:$E$3001,MIN('02_Eingaben'!$C$21,ROW()-1+'02_Eingaben'!$C$17))))</f>
        <v/>
      </c>
      <c r="G2683" s="17" t="str">
        <f>IF(F2683="","",F2683-'02_Eingaben'!$C$10)</f>
        <v/>
      </c>
      <c r="H2683" t="str">
        <f>IF(F2683="","",IF(F2683&lt;'02_Eingaben'!$C$18*'02_Eingaben'!$C$10,1,0))</f>
        <v/>
      </c>
      <c r="I2683" s="17" t="str">
        <f t="shared" si="41"/>
        <v/>
      </c>
      <c r="J2683" s="17" t="str">
        <f>IF(B2683="","",IF(B2682&lt;'02_Eingaben'!$C$36,0,J2682+I2682/'02_Eingaben'!$C$8))</f>
        <v/>
      </c>
    </row>
    <row r="2684" spans="1:10" x14ac:dyDescent="0.25">
      <c r="A2684" t="str">
        <f>IF('01_Rohdaten'!A2684="","",ROW()-1)</f>
        <v/>
      </c>
      <c r="B2684" s="17" t="str">
        <f>IF('01_Rohdaten'!A2684="","",'01_Rohdaten'!A2684)</f>
        <v/>
      </c>
      <c r="C2684" s="17" t="str">
        <f>IF(B2684="","",INDEX('01_Rohdaten'!B2684:D2684,'02_Eingaben'!$C$13))</f>
        <v/>
      </c>
      <c r="D2684" s="17" t="str">
        <f>IF(C2684="","",C2684*'02_Eingaben'!$C$15)</f>
        <v/>
      </c>
      <c r="E2684" s="17" t="str">
        <f>IF(D2684="","",D2684*'02_Eingaben'!$C$8)</f>
        <v/>
      </c>
      <c r="F2684" s="17" t="str">
        <f>IF(E2684="","",AVERAGE(INDEX($E$2:$E$3001,MAX(1,ROW()-1-'02_Eingaben'!$C$17)):INDEX($E$2:$E$3001,MIN('02_Eingaben'!$C$21,ROW()-1+'02_Eingaben'!$C$17))))</f>
        <v/>
      </c>
      <c r="G2684" s="17" t="str">
        <f>IF(F2684="","",F2684-'02_Eingaben'!$C$10)</f>
        <v/>
      </c>
      <c r="H2684" t="str">
        <f>IF(F2684="","",IF(F2684&lt;'02_Eingaben'!$C$18*'02_Eingaben'!$C$10,1,0))</f>
        <v/>
      </c>
      <c r="I2684" s="17" t="str">
        <f t="shared" si="41"/>
        <v/>
      </c>
      <c r="J2684" s="17" t="str">
        <f>IF(B2684="","",IF(B2683&lt;'02_Eingaben'!$C$36,0,J2683+I2683/'02_Eingaben'!$C$8))</f>
        <v/>
      </c>
    </row>
    <row r="2685" spans="1:10" x14ac:dyDescent="0.25">
      <c r="A2685" t="str">
        <f>IF('01_Rohdaten'!A2685="","",ROW()-1)</f>
        <v/>
      </c>
      <c r="B2685" s="17" t="str">
        <f>IF('01_Rohdaten'!A2685="","",'01_Rohdaten'!A2685)</f>
        <v/>
      </c>
      <c r="C2685" s="17" t="str">
        <f>IF(B2685="","",INDEX('01_Rohdaten'!B2685:D2685,'02_Eingaben'!$C$13))</f>
        <v/>
      </c>
      <c r="D2685" s="17" t="str">
        <f>IF(C2685="","",C2685*'02_Eingaben'!$C$15)</f>
        <v/>
      </c>
      <c r="E2685" s="17" t="str">
        <f>IF(D2685="","",D2685*'02_Eingaben'!$C$8)</f>
        <v/>
      </c>
      <c r="F2685" s="17" t="str">
        <f>IF(E2685="","",AVERAGE(INDEX($E$2:$E$3001,MAX(1,ROW()-1-'02_Eingaben'!$C$17)):INDEX($E$2:$E$3001,MIN('02_Eingaben'!$C$21,ROW()-1+'02_Eingaben'!$C$17))))</f>
        <v/>
      </c>
      <c r="G2685" s="17" t="str">
        <f>IF(F2685="","",F2685-'02_Eingaben'!$C$10)</f>
        <v/>
      </c>
      <c r="H2685" t="str">
        <f>IF(F2685="","",IF(F2685&lt;'02_Eingaben'!$C$18*'02_Eingaben'!$C$10,1,0))</f>
        <v/>
      </c>
      <c r="I2685" s="17" t="str">
        <f t="shared" si="41"/>
        <v/>
      </c>
      <c r="J2685" s="17" t="str">
        <f>IF(B2685="","",IF(B2684&lt;'02_Eingaben'!$C$36,0,J2684+I2684/'02_Eingaben'!$C$8))</f>
        <v/>
      </c>
    </row>
    <row r="2686" spans="1:10" x14ac:dyDescent="0.25">
      <c r="A2686" t="str">
        <f>IF('01_Rohdaten'!A2686="","",ROW()-1)</f>
        <v/>
      </c>
      <c r="B2686" s="17" t="str">
        <f>IF('01_Rohdaten'!A2686="","",'01_Rohdaten'!A2686)</f>
        <v/>
      </c>
      <c r="C2686" s="17" t="str">
        <f>IF(B2686="","",INDEX('01_Rohdaten'!B2686:D2686,'02_Eingaben'!$C$13))</f>
        <v/>
      </c>
      <c r="D2686" s="17" t="str">
        <f>IF(C2686="","",C2686*'02_Eingaben'!$C$15)</f>
        <v/>
      </c>
      <c r="E2686" s="17" t="str">
        <f>IF(D2686="","",D2686*'02_Eingaben'!$C$8)</f>
        <v/>
      </c>
      <c r="F2686" s="17" t="str">
        <f>IF(E2686="","",AVERAGE(INDEX($E$2:$E$3001,MAX(1,ROW()-1-'02_Eingaben'!$C$17)):INDEX($E$2:$E$3001,MIN('02_Eingaben'!$C$21,ROW()-1+'02_Eingaben'!$C$17))))</f>
        <v/>
      </c>
      <c r="G2686" s="17" t="str">
        <f>IF(F2686="","",F2686-'02_Eingaben'!$C$10)</f>
        <v/>
      </c>
      <c r="H2686" t="str">
        <f>IF(F2686="","",IF(F2686&lt;'02_Eingaben'!$C$18*'02_Eingaben'!$C$10,1,0))</f>
        <v/>
      </c>
      <c r="I2686" s="17" t="str">
        <f t="shared" si="41"/>
        <v/>
      </c>
      <c r="J2686" s="17" t="str">
        <f>IF(B2686="","",IF(B2685&lt;'02_Eingaben'!$C$36,0,J2685+I2685/'02_Eingaben'!$C$8))</f>
        <v/>
      </c>
    </row>
    <row r="2687" spans="1:10" x14ac:dyDescent="0.25">
      <c r="A2687" t="str">
        <f>IF('01_Rohdaten'!A2687="","",ROW()-1)</f>
        <v/>
      </c>
      <c r="B2687" s="17" t="str">
        <f>IF('01_Rohdaten'!A2687="","",'01_Rohdaten'!A2687)</f>
        <v/>
      </c>
      <c r="C2687" s="17" t="str">
        <f>IF(B2687="","",INDEX('01_Rohdaten'!B2687:D2687,'02_Eingaben'!$C$13))</f>
        <v/>
      </c>
      <c r="D2687" s="17" t="str">
        <f>IF(C2687="","",C2687*'02_Eingaben'!$C$15)</f>
        <v/>
      </c>
      <c r="E2687" s="17" t="str">
        <f>IF(D2687="","",D2687*'02_Eingaben'!$C$8)</f>
        <v/>
      </c>
      <c r="F2687" s="17" t="str">
        <f>IF(E2687="","",AVERAGE(INDEX($E$2:$E$3001,MAX(1,ROW()-1-'02_Eingaben'!$C$17)):INDEX($E$2:$E$3001,MIN('02_Eingaben'!$C$21,ROW()-1+'02_Eingaben'!$C$17))))</f>
        <v/>
      </c>
      <c r="G2687" s="17" t="str">
        <f>IF(F2687="","",F2687-'02_Eingaben'!$C$10)</f>
        <v/>
      </c>
      <c r="H2687" t="str">
        <f>IF(F2687="","",IF(F2687&lt;'02_Eingaben'!$C$18*'02_Eingaben'!$C$10,1,0))</f>
        <v/>
      </c>
      <c r="I2687" s="17" t="str">
        <f t="shared" si="41"/>
        <v/>
      </c>
      <c r="J2687" s="17" t="str">
        <f>IF(B2687="","",IF(B2686&lt;'02_Eingaben'!$C$36,0,J2686+I2686/'02_Eingaben'!$C$8))</f>
        <v/>
      </c>
    </row>
    <row r="2688" spans="1:10" x14ac:dyDescent="0.25">
      <c r="A2688" t="str">
        <f>IF('01_Rohdaten'!A2688="","",ROW()-1)</f>
        <v/>
      </c>
      <c r="B2688" s="17" t="str">
        <f>IF('01_Rohdaten'!A2688="","",'01_Rohdaten'!A2688)</f>
        <v/>
      </c>
      <c r="C2688" s="17" t="str">
        <f>IF(B2688="","",INDEX('01_Rohdaten'!B2688:D2688,'02_Eingaben'!$C$13))</f>
        <v/>
      </c>
      <c r="D2688" s="17" t="str">
        <f>IF(C2688="","",C2688*'02_Eingaben'!$C$15)</f>
        <v/>
      </c>
      <c r="E2688" s="17" t="str">
        <f>IF(D2688="","",D2688*'02_Eingaben'!$C$8)</f>
        <v/>
      </c>
      <c r="F2688" s="17" t="str">
        <f>IF(E2688="","",AVERAGE(INDEX($E$2:$E$3001,MAX(1,ROW()-1-'02_Eingaben'!$C$17)):INDEX($E$2:$E$3001,MIN('02_Eingaben'!$C$21,ROW()-1+'02_Eingaben'!$C$17))))</f>
        <v/>
      </c>
      <c r="G2688" s="17" t="str">
        <f>IF(F2688="","",F2688-'02_Eingaben'!$C$10)</f>
        <v/>
      </c>
      <c r="H2688" t="str">
        <f>IF(F2688="","",IF(F2688&lt;'02_Eingaben'!$C$18*'02_Eingaben'!$C$10,1,0))</f>
        <v/>
      </c>
      <c r="I2688" s="17" t="str">
        <f t="shared" si="41"/>
        <v/>
      </c>
      <c r="J2688" s="17" t="str">
        <f>IF(B2688="","",IF(B2687&lt;'02_Eingaben'!$C$36,0,J2687+I2687/'02_Eingaben'!$C$8))</f>
        <v/>
      </c>
    </row>
    <row r="2689" spans="1:10" x14ac:dyDescent="0.25">
      <c r="A2689" t="str">
        <f>IF('01_Rohdaten'!A2689="","",ROW()-1)</f>
        <v/>
      </c>
      <c r="B2689" s="17" t="str">
        <f>IF('01_Rohdaten'!A2689="","",'01_Rohdaten'!A2689)</f>
        <v/>
      </c>
      <c r="C2689" s="17" t="str">
        <f>IF(B2689="","",INDEX('01_Rohdaten'!B2689:D2689,'02_Eingaben'!$C$13))</f>
        <v/>
      </c>
      <c r="D2689" s="17" t="str">
        <f>IF(C2689="","",C2689*'02_Eingaben'!$C$15)</f>
        <v/>
      </c>
      <c r="E2689" s="17" t="str">
        <f>IF(D2689="","",D2689*'02_Eingaben'!$C$8)</f>
        <v/>
      </c>
      <c r="F2689" s="17" t="str">
        <f>IF(E2689="","",AVERAGE(INDEX($E$2:$E$3001,MAX(1,ROW()-1-'02_Eingaben'!$C$17)):INDEX($E$2:$E$3001,MIN('02_Eingaben'!$C$21,ROW()-1+'02_Eingaben'!$C$17))))</f>
        <v/>
      </c>
      <c r="G2689" s="17" t="str">
        <f>IF(F2689="","",F2689-'02_Eingaben'!$C$10)</f>
        <v/>
      </c>
      <c r="H2689" t="str">
        <f>IF(F2689="","",IF(F2689&lt;'02_Eingaben'!$C$18*'02_Eingaben'!$C$10,1,0))</f>
        <v/>
      </c>
      <c r="I2689" s="17" t="str">
        <f t="shared" si="41"/>
        <v/>
      </c>
      <c r="J2689" s="17" t="str">
        <f>IF(B2689="","",IF(B2688&lt;'02_Eingaben'!$C$36,0,J2688+I2688/'02_Eingaben'!$C$8))</f>
        <v/>
      </c>
    </row>
    <row r="2690" spans="1:10" x14ac:dyDescent="0.25">
      <c r="A2690" t="str">
        <f>IF('01_Rohdaten'!A2690="","",ROW()-1)</f>
        <v/>
      </c>
      <c r="B2690" s="17" t="str">
        <f>IF('01_Rohdaten'!A2690="","",'01_Rohdaten'!A2690)</f>
        <v/>
      </c>
      <c r="C2690" s="17" t="str">
        <f>IF(B2690="","",INDEX('01_Rohdaten'!B2690:D2690,'02_Eingaben'!$C$13))</f>
        <v/>
      </c>
      <c r="D2690" s="17" t="str">
        <f>IF(C2690="","",C2690*'02_Eingaben'!$C$15)</f>
        <v/>
      </c>
      <c r="E2690" s="17" t="str">
        <f>IF(D2690="","",D2690*'02_Eingaben'!$C$8)</f>
        <v/>
      </c>
      <c r="F2690" s="17" t="str">
        <f>IF(E2690="","",AVERAGE(INDEX($E$2:$E$3001,MAX(1,ROW()-1-'02_Eingaben'!$C$17)):INDEX($E$2:$E$3001,MIN('02_Eingaben'!$C$21,ROW()-1+'02_Eingaben'!$C$17))))</f>
        <v/>
      </c>
      <c r="G2690" s="17" t="str">
        <f>IF(F2690="","",F2690-'02_Eingaben'!$C$10)</f>
        <v/>
      </c>
      <c r="H2690" t="str">
        <f>IF(F2690="","",IF(F2690&lt;'02_Eingaben'!$C$18*'02_Eingaben'!$C$10,1,0))</f>
        <v/>
      </c>
      <c r="I2690" s="17" t="str">
        <f t="shared" ref="I2690:I2753" si="42">IF(OR(G2690="",G2691=""),"",(G2690+G2691)/2*(B2691-B2690))</f>
        <v/>
      </c>
      <c r="J2690" s="17" t="str">
        <f>IF(B2690="","",IF(B2689&lt;'02_Eingaben'!$C$36,0,J2689+I2689/'02_Eingaben'!$C$8))</f>
        <v/>
      </c>
    </row>
    <row r="2691" spans="1:10" x14ac:dyDescent="0.25">
      <c r="A2691" t="str">
        <f>IF('01_Rohdaten'!A2691="","",ROW()-1)</f>
        <v/>
      </c>
      <c r="B2691" s="17" t="str">
        <f>IF('01_Rohdaten'!A2691="","",'01_Rohdaten'!A2691)</f>
        <v/>
      </c>
      <c r="C2691" s="17" t="str">
        <f>IF(B2691="","",INDEX('01_Rohdaten'!B2691:D2691,'02_Eingaben'!$C$13))</f>
        <v/>
      </c>
      <c r="D2691" s="17" t="str">
        <f>IF(C2691="","",C2691*'02_Eingaben'!$C$15)</f>
        <v/>
      </c>
      <c r="E2691" s="17" t="str">
        <f>IF(D2691="","",D2691*'02_Eingaben'!$C$8)</f>
        <v/>
      </c>
      <c r="F2691" s="17" t="str">
        <f>IF(E2691="","",AVERAGE(INDEX($E$2:$E$3001,MAX(1,ROW()-1-'02_Eingaben'!$C$17)):INDEX($E$2:$E$3001,MIN('02_Eingaben'!$C$21,ROW()-1+'02_Eingaben'!$C$17))))</f>
        <v/>
      </c>
      <c r="G2691" s="17" t="str">
        <f>IF(F2691="","",F2691-'02_Eingaben'!$C$10)</f>
        <v/>
      </c>
      <c r="H2691" t="str">
        <f>IF(F2691="","",IF(F2691&lt;'02_Eingaben'!$C$18*'02_Eingaben'!$C$10,1,0))</f>
        <v/>
      </c>
      <c r="I2691" s="17" t="str">
        <f t="shared" si="42"/>
        <v/>
      </c>
      <c r="J2691" s="17" t="str">
        <f>IF(B2691="","",IF(B2690&lt;'02_Eingaben'!$C$36,0,J2690+I2690/'02_Eingaben'!$C$8))</f>
        <v/>
      </c>
    </row>
    <row r="2692" spans="1:10" x14ac:dyDescent="0.25">
      <c r="A2692" t="str">
        <f>IF('01_Rohdaten'!A2692="","",ROW()-1)</f>
        <v/>
      </c>
      <c r="B2692" s="17" t="str">
        <f>IF('01_Rohdaten'!A2692="","",'01_Rohdaten'!A2692)</f>
        <v/>
      </c>
      <c r="C2692" s="17" t="str">
        <f>IF(B2692="","",INDEX('01_Rohdaten'!B2692:D2692,'02_Eingaben'!$C$13))</f>
        <v/>
      </c>
      <c r="D2692" s="17" t="str">
        <f>IF(C2692="","",C2692*'02_Eingaben'!$C$15)</f>
        <v/>
      </c>
      <c r="E2692" s="17" t="str">
        <f>IF(D2692="","",D2692*'02_Eingaben'!$C$8)</f>
        <v/>
      </c>
      <c r="F2692" s="17" t="str">
        <f>IF(E2692="","",AVERAGE(INDEX($E$2:$E$3001,MAX(1,ROW()-1-'02_Eingaben'!$C$17)):INDEX($E$2:$E$3001,MIN('02_Eingaben'!$C$21,ROW()-1+'02_Eingaben'!$C$17))))</f>
        <v/>
      </c>
      <c r="G2692" s="17" t="str">
        <f>IF(F2692="","",F2692-'02_Eingaben'!$C$10)</f>
        <v/>
      </c>
      <c r="H2692" t="str">
        <f>IF(F2692="","",IF(F2692&lt;'02_Eingaben'!$C$18*'02_Eingaben'!$C$10,1,0))</f>
        <v/>
      </c>
      <c r="I2692" s="17" t="str">
        <f t="shared" si="42"/>
        <v/>
      </c>
      <c r="J2692" s="17" t="str">
        <f>IF(B2692="","",IF(B2691&lt;'02_Eingaben'!$C$36,0,J2691+I2691/'02_Eingaben'!$C$8))</f>
        <v/>
      </c>
    </row>
    <row r="2693" spans="1:10" x14ac:dyDescent="0.25">
      <c r="A2693" t="str">
        <f>IF('01_Rohdaten'!A2693="","",ROW()-1)</f>
        <v/>
      </c>
      <c r="B2693" s="17" t="str">
        <f>IF('01_Rohdaten'!A2693="","",'01_Rohdaten'!A2693)</f>
        <v/>
      </c>
      <c r="C2693" s="17" t="str">
        <f>IF(B2693="","",INDEX('01_Rohdaten'!B2693:D2693,'02_Eingaben'!$C$13))</f>
        <v/>
      </c>
      <c r="D2693" s="17" t="str">
        <f>IF(C2693="","",C2693*'02_Eingaben'!$C$15)</f>
        <v/>
      </c>
      <c r="E2693" s="17" t="str">
        <f>IF(D2693="","",D2693*'02_Eingaben'!$C$8)</f>
        <v/>
      </c>
      <c r="F2693" s="17" t="str">
        <f>IF(E2693="","",AVERAGE(INDEX($E$2:$E$3001,MAX(1,ROW()-1-'02_Eingaben'!$C$17)):INDEX($E$2:$E$3001,MIN('02_Eingaben'!$C$21,ROW()-1+'02_Eingaben'!$C$17))))</f>
        <v/>
      </c>
      <c r="G2693" s="17" t="str">
        <f>IF(F2693="","",F2693-'02_Eingaben'!$C$10)</f>
        <v/>
      </c>
      <c r="H2693" t="str">
        <f>IF(F2693="","",IF(F2693&lt;'02_Eingaben'!$C$18*'02_Eingaben'!$C$10,1,0))</f>
        <v/>
      </c>
      <c r="I2693" s="17" t="str">
        <f t="shared" si="42"/>
        <v/>
      </c>
      <c r="J2693" s="17" t="str">
        <f>IF(B2693="","",IF(B2692&lt;'02_Eingaben'!$C$36,0,J2692+I2692/'02_Eingaben'!$C$8))</f>
        <v/>
      </c>
    </row>
    <row r="2694" spans="1:10" x14ac:dyDescent="0.25">
      <c r="A2694" t="str">
        <f>IF('01_Rohdaten'!A2694="","",ROW()-1)</f>
        <v/>
      </c>
      <c r="B2694" s="17" t="str">
        <f>IF('01_Rohdaten'!A2694="","",'01_Rohdaten'!A2694)</f>
        <v/>
      </c>
      <c r="C2694" s="17" t="str">
        <f>IF(B2694="","",INDEX('01_Rohdaten'!B2694:D2694,'02_Eingaben'!$C$13))</f>
        <v/>
      </c>
      <c r="D2694" s="17" t="str">
        <f>IF(C2694="","",C2694*'02_Eingaben'!$C$15)</f>
        <v/>
      </c>
      <c r="E2694" s="17" t="str">
        <f>IF(D2694="","",D2694*'02_Eingaben'!$C$8)</f>
        <v/>
      </c>
      <c r="F2694" s="17" t="str">
        <f>IF(E2694="","",AVERAGE(INDEX($E$2:$E$3001,MAX(1,ROW()-1-'02_Eingaben'!$C$17)):INDEX($E$2:$E$3001,MIN('02_Eingaben'!$C$21,ROW()-1+'02_Eingaben'!$C$17))))</f>
        <v/>
      </c>
      <c r="G2694" s="17" t="str">
        <f>IF(F2694="","",F2694-'02_Eingaben'!$C$10)</f>
        <v/>
      </c>
      <c r="H2694" t="str">
        <f>IF(F2694="","",IF(F2694&lt;'02_Eingaben'!$C$18*'02_Eingaben'!$C$10,1,0))</f>
        <v/>
      </c>
      <c r="I2694" s="17" t="str">
        <f t="shared" si="42"/>
        <v/>
      </c>
      <c r="J2694" s="17" t="str">
        <f>IF(B2694="","",IF(B2693&lt;'02_Eingaben'!$C$36,0,J2693+I2693/'02_Eingaben'!$C$8))</f>
        <v/>
      </c>
    </row>
    <row r="2695" spans="1:10" x14ac:dyDescent="0.25">
      <c r="A2695" t="str">
        <f>IF('01_Rohdaten'!A2695="","",ROW()-1)</f>
        <v/>
      </c>
      <c r="B2695" s="17" t="str">
        <f>IF('01_Rohdaten'!A2695="","",'01_Rohdaten'!A2695)</f>
        <v/>
      </c>
      <c r="C2695" s="17" t="str">
        <f>IF(B2695="","",INDEX('01_Rohdaten'!B2695:D2695,'02_Eingaben'!$C$13))</f>
        <v/>
      </c>
      <c r="D2695" s="17" t="str">
        <f>IF(C2695="","",C2695*'02_Eingaben'!$C$15)</f>
        <v/>
      </c>
      <c r="E2695" s="17" t="str">
        <f>IF(D2695="","",D2695*'02_Eingaben'!$C$8)</f>
        <v/>
      </c>
      <c r="F2695" s="17" t="str">
        <f>IF(E2695="","",AVERAGE(INDEX($E$2:$E$3001,MAX(1,ROW()-1-'02_Eingaben'!$C$17)):INDEX($E$2:$E$3001,MIN('02_Eingaben'!$C$21,ROW()-1+'02_Eingaben'!$C$17))))</f>
        <v/>
      </c>
      <c r="G2695" s="17" t="str">
        <f>IF(F2695="","",F2695-'02_Eingaben'!$C$10)</f>
        <v/>
      </c>
      <c r="H2695" t="str">
        <f>IF(F2695="","",IF(F2695&lt;'02_Eingaben'!$C$18*'02_Eingaben'!$C$10,1,0))</f>
        <v/>
      </c>
      <c r="I2695" s="17" t="str">
        <f t="shared" si="42"/>
        <v/>
      </c>
      <c r="J2695" s="17" t="str">
        <f>IF(B2695="","",IF(B2694&lt;'02_Eingaben'!$C$36,0,J2694+I2694/'02_Eingaben'!$C$8))</f>
        <v/>
      </c>
    </row>
    <row r="2696" spans="1:10" x14ac:dyDescent="0.25">
      <c r="A2696" t="str">
        <f>IF('01_Rohdaten'!A2696="","",ROW()-1)</f>
        <v/>
      </c>
      <c r="B2696" s="17" t="str">
        <f>IF('01_Rohdaten'!A2696="","",'01_Rohdaten'!A2696)</f>
        <v/>
      </c>
      <c r="C2696" s="17" t="str">
        <f>IF(B2696="","",INDEX('01_Rohdaten'!B2696:D2696,'02_Eingaben'!$C$13))</f>
        <v/>
      </c>
      <c r="D2696" s="17" t="str">
        <f>IF(C2696="","",C2696*'02_Eingaben'!$C$15)</f>
        <v/>
      </c>
      <c r="E2696" s="17" t="str">
        <f>IF(D2696="","",D2696*'02_Eingaben'!$C$8)</f>
        <v/>
      </c>
      <c r="F2696" s="17" t="str">
        <f>IF(E2696="","",AVERAGE(INDEX($E$2:$E$3001,MAX(1,ROW()-1-'02_Eingaben'!$C$17)):INDEX($E$2:$E$3001,MIN('02_Eingaben'!$C$21,ROW()-1+'02_Eingaben'!$C$17))))</f>
        <v/>
      </c>
      <c r="G2696" s="17" t="str">
        <f>IF(F2696="","",F2696-'02_Eingaben'!$C$10)</f>
        <v/>
      </c>
      <c r="H2696" t="str">
        <f>IF(F2696="","",IF(F2696&lt;'02_Eingaben'!$C$18*'02_Eingaben'!$C$10,1,0))</f>
        <v/>
      </c>
      <c r="I2696" s="17" t="str">
        <f t="shared" si="42"/>
        <v/>
      </c>
      <c r="J2696" s="17" t="str">
        <f>IF(B2696="","",IF(B2695&lt;'02_Eingaben'!$C$36,0,J2695+I2695/'02_Eingaben'!$C$8))</f>
        <v/>
      </c>
    </row>
    <row r="2697" spans="1:10" x14ac:dyDescent="0.25">
      <c r="A2697" t="str">
        <f>IF('01_Rohdaten'!A2697="","",ROW()-1)</f>
        <v/>
      </c>
      <c r="B2697" s="17" t="str">
        <f>IF('01_Rohdaten'!A2697="","",'01_Rohdaten'!A2697)</f>
        <v/>
      </c>
      <c r="C2697" s="17" t="str">
        <f>IF(B2697="","",INDEX('01_Rohdaten'!B2697:D2697,'02_Eingaben'!$C$13))</f>
        <v/>
      </c>
      <c r="D2697" s="17" t="str">
        <f>IF(C2697="","",C2697*'02_Eingaben'!$C$15)</f>
        <v/>
      </c>
      <c r="E2697" s="17" t="str">
        <f>IF(D2697="","",D2697*'02_Eingaben'!$C$8)</f>
        <v/>
      </c>
      <c r="F2697" s="17" t="str">
        <f>IF(E2697="","",AVERAGE(INDEX($E$2:$E$3001,MAX(1,ROW()-1-'02_Eingaben'!$C$17)):INDEX($E$2:$E$3001,MIN('02_Eingaben'!$C$21,ROW()-1+'02_Eingaben'!$C$17))))</f>
        <v/>
      </c>
      <c r="G2697" s="17" t="str">
        <f>IF(F2697="","",F2697-'02_Eingaben'!$C$10)</f>
        <v/>
      </c>
      <c r="H2697" t="str">
        <f>IF(F2697="","",IF(F2697&lt;'02_Eingaben'!$C$18*'02_Eingaben'!$C$10,1,0))</f>
        <v/>
      </c>
      <c r="I2697" s="17" t="str">
        <f t="shared" si="42"/>
        <v/>
      </c>
      <c r="J2697" s="17" t="str">
        <f>IF(B2697="","",IF(B2696&lt;'02_Eingaben'!$C$36,0,J2696+I2696/'02_Eingaben'!$C$8))</f>
        <v/>
      </c>
    </row>
    <row r="2698" spans="1:10" x14ac:dyDescent="0.25">
      <c r="A2698" t="str">
        <f>IF('01_Rohdaten'!A2698="","",ROW()-1)</f>
        <v/>
      </c>
      <c r="B2698" s="17" t="str">
        <f>IF('01_Rohdaten'!A2698="","",'01_Rohdaten'!A2698)</f>
        <v/>
      </c>
      <c r="C2698" s="17" t="str">
        <f>IF(B2698="","",INDEX('01_Rohdaten'!B2698:D2698,'02_Eingaben'!$C$13))</f>
        <v/>
      </c>
      <c r="D2698" s="17" t="str">
        <f>IF(C2698="","",C2698*'02_Eingaben'!$C$15)</f>
        <v/>
      </c>
      <c r="E2698" s="17" t="str">
        <f>IF(D2698="","",D2698*'02_Eingaben'!$C$8)</f>
        <v/>
      </c>
      <c r="F2698" s="17" t="str">
        <f>IF(E2698="","",AVERAGE(INDEX($E$2:$E$3001,MAX(1,ROW()-1-'02_Eingaben'!$C$17)):INDEX($E$2:$E$3001,MIN('02_Eingaben'!$C$21,ROW()-1+'02_Eingaben'!$C$17))))</f>
        <v/>
      </c>
      <c r="G2698" s="17" t="str">
        <f>IF(F2698="","",F2698-'02_Eingaben'!$C$10)</f>
        <v/>
      </c>
      <c r="H2698" t="str">
        <f>IF(F2698="","",IF(F2698&lt;'02_Eingaben'!$C$18*'02_Eingaben'!$C$10,1,0))</f>
        <v/>
      </c>
      <c r="I2698" s="17" t="str">
        <f t="shared" si="42"/>
        <v/>
      </c>
      <c r="J2698" s="17" t="str">
        <f>IF(B2698="","",IF(B2697&lt;'02_Eingaben'!$C$36,0,J2697+I2697/'02_Eingaben'!$C$8))</f>
        <v/>
      </c>
    </row>
    <row r="2699" spans="1:10" x14ac:dyDescent="0.25">
      <c r="A2699" t="str">
        <f>IF('01_Rohdaten'!A2699="","",ROW()-1)</f>
        <v/>
      </c>
      <c r="B2699" s="17" t="str">
        <f>IF('01_Rohdaten'!A2699="","",'01_Rohdaten'!A2699)</f>
        <v/>
      </c>
      <c r="C2699" s="17" t="str">
        <f>IF(B2699="","",INDEX('01_Rohdaten'!B2699:D2699,'02_Eingaben'!$C$13))</f>
        <v/>
      </c>
      <c r="D2699" s="17" t="str">
        <f>IF(C2699="","",C2699*'02_Eingaben'!$C$15)</f>
        <v/>
      </c>
      <c r="E2699" s="17" t="str">
        <f>IF(D2699="","",D2699*'02_Eingaben'!$C$8)</f>
        <v/>
      </c>
      <c r="F2699" s="17" t="str">
        <f>IF(E2699="","",AVERAGE(INDEX($E$2:$E$3001,MAX(1,ROW()-1-'02_Eingaben'!$C$17)):INDEX($E$2:$E$3001,MIN('02_Eingaben'!$C$21,ROW()-1+'02_Eingaben'!$C$17))))</f>
        <v/>
      </c>
      <c r="G2699" s="17" t="str">
        <f>IF(F2699="","",F2699-'02_Eingaben'!$C$10)</f>
        <v/>
      </c>
      <c r="H2699" t="str">
        <f>IF(F2699="","",IF(F2699&lt;'02_Eingaben'!$C$18*'02_Eingaben'!$C$10,1,0))</f>
        <v/>
      </c>
      <c r="I2699" s="17" t="str">
        <f t="shared" si="42"/>
        <v/>
      </c>
      <c r="J2699" s="17" t="str">
        <f>IF(B2699="","",IF(B2698&lt;'02_Eingaben'!$C$36,0,J2698+I2698/'02_Eingaben'!$C$8))</f>
        <v/>
      </c>
    </row>
    <row r="2700" spans="1:10" x14ac:dyDescent="0.25">
      <c r="A2700" t="str">
        <f>IF('01_Rohdaten'!A2700="","",ROW()-1)</f>
        <v/>
      </c>
      <c r="B2700" s="17" t="str">
        <f>IF('01_Rohdaten'!A2700="","",'01_Rohdaten'!A2700)</f>
        <v/>
      </c>
      <c r="C2700" s="17" t="str">
        <f>IF(B2700="","",INDEX('01_Rohdaten'!B2700:D2700,'02_Eingaben'!$C$13))</f>
        <v/>
      </c>
      <c r="D2700" s="17" t="str">
        <f>IF(C2700="","",C2700*'02_Eingaben'!$C$15)</f>
        <v/>
      </c>
      <c r="E2700" s="17" t="str">
        <f>IF(D2700="","",D2700*'02_Eingaben'!$C$8)</f>
        <v/>
      </c>
      <c r="F2700" s="17" t="str">
        <f>IF(E2700="","",AVERAGE(INDEX($E$2:$E$3001,MAX(1,ROW()-1-'02_Eingaben'!$C$17)):INDEX($E$2:$E$3001,MIN('02_Eingaben'!$C$21,ROW()-1+'02_Eingaben'!$C$17))))</f>
        <v/>
      </c>
      <c r="G2700" s="17" t="str">
        <f>IF(F2700="","",F2700-'02_Eingaben'!$C$10)</f>
        <v/>
      </c>
      <c r="H2700" t="str">
        <f>IF(F2700="","",IF(F2700&lt;'02_Eingaben'!$C$18*'02_Eingaben'!$C$10,1,0))</f>
        <v/>
      </c>
      <c r="I2700" s="17" t="str">
        <f t="shared" si="42"/>
        <v/>
      </c>
      <c r="J2700" s="17" t="str">
        <f>IF(B2700="","",IF(B2699&lt;'02_Eingaben'!$C$36,0,J2699+I2699/'02_Eingaben'!$C$8))</f>
        <v/>
      </c>
    </row>
    <row r="2701" spans="1:10" x14ac:dyDescent="0.25">
      <c r="A2701" t="str">
        <f>IF('01_Rohdaten'!A2701="","",ROW()-1)</f>
        <v/>
      </c>
      <c r="B2701" s="17" t="str">
        <f>IF('01_Rohdaten'!A2701="","",'01_Rohdaten'!A2701)</f>
        <v/>
      </c>
      <c r="C2701" s="17" t="str">
        <f>IF(B2701="","",INDEX('01_Rohdaten'!B2701:D2701,'02_Eingaben'!$C$13))</f>
        <v/>
      </c>
      <c r="D2701" s="17" t="str">
        <f>IF(C2701="","",C2701*'02_Eingaben'!$C$15)</f>
        <v/>
      </c>
      <c r="E2701" s="17" t="str">
        <f>IF(D2701="","",D2701*'02_Eingaben'!$C$8)</f>
        <v/>
      </c>
      <c r="F2701" s="17" t="str">
        <f>IF(E2701="","",AVERAGE(INDEX($E$2:$E$3001,MAX(1,ROW()-1-'02_Eingaben'!$C$17)):INDEX($E$2:$E$3001,MIN('02_Eingaben'!$C$21,ROW()-1+'02_Eingaben'!$C$17))))</f>
        <v/>
      </c>
      <c r="G2701" s="17" t="str">
        <f>IF(F2701="","",F2701-'02_Eingaben'!$C$10)</f>
        <v/>
      </c>
      <c r="H2701" t="str">
        <f>IF(F2701="","",IF(F2701&lt;'02_Eingaben'!$C$18*'02_Eingaben'!$C$10,1,0))</f>
        <v/>
      </c>
      <c r="I2701" s="17" t="str">
        <f t="shared" si="42"/>
        <v/>
      </c>
      <c r="J2701" s="17" t="str">
        <f>IF(B2701="","",IF(B2700&lt;'02_Eingaben'!$C$36,0,J2700+I2700/'02_Eingaben'!$C$8))</f>
        <v/>
      </c>
    </row>
    <row r="2702" spans="1:10" x14ac:dyDescent="0.25">
      <c r="A2702" t="str">
        <f>IF('01_Rohdaten'!A2702="","",ROW()-1)</f>
        <v/>
      </c>
      <c r="B2702" s="17" t="str">
        <f>IF('01_Rohdaten'!A2702="","",'01_Rohdaten'!A2702)</f>
        <v/>
      </c>
      <c r="C2702" s="17" t="str">
        <f>IF(B2702="","",INDEX('01_Rohdaten'!B2702:D2702,'02_Eingaben'!$C$13))</f>
        <v/>
      </c>
      <c r="D2702" s="17" t="str">
        <f>IF(C2702="","",C2702*'02_Eingaben'!$C$15)</f>
        <v/>
      </c>
      <c r="E2702" s="17" t="str">
        <f>IF(D2702="","",D2702*'02_Eingaben'!$C$8)</f>
        <v/>
      </c>
      <c r="F2702" s="17" t="str">
        <f>IF(E2702="","",AVERAGE(INDEX($E$2:$E$3001,MAX(1,ROW()-1-'02_Eingaben'!$C$17)):INDEX($E$2:$E$3001,MIN('02_Eingaben'!$C$21,ROW()-1+'02_Eingaben'!$C$17))))</f>
        <v/>
      </c>
      <c r="G2702" s="17" t="str">
        <f>IF(F2702="","",F2702-'02_Eingaben'!$C$10)</f>
        <v/>
      </c>
      <c r="H2702" t="str">
        <f>IF(F2702="","",IF(F2702&lt;'02_Eingaben'!$C$18*'02_Eingaben'!$C$10,1,0))</f>
        <v/>
      </c>
      <c r="I2702" s="17" t="str">
        <f t="shared" si="42"/>
        <v/>
      </c>
      <c r="J2702" s="17" t="str">
        <f>IF(B2702="","",IF(B2701&lt;'02_Eingaben'!$C$36,0,J2701+I2701/'02_Eingaben'!$C$8))</f>
        <v/>
      </c>
    </row>
    <row r="2703" spans="1:10" x14ac:dyDescent="0.25">
      <c r="A2703" t="str">
        <f>IF('01_Rohdaten'!A2703="","",ROW()-1)</f>
        <v/>
      </c>
      <c r="B2703" s="17" t="str">
        <f>IF('01_Rohdaten'!A2703="","",'01_Rohdaten'!A2703)</f>
        <v/>
      </c>
      <c r="C2703" s="17" t="str">
        <f>IF(B2703="","",INDEX('01_Rohdaten'!B2703:D2703,'02_Eingaben'!$C$13))</f>
        <v/>
      </c>
      <c r="D2703" s="17" t="str">
        <f>IF(C2703="","",C2703*'02_Eingaben'!$C$15)</f>
        <v/>
      </c>
      <c r="E2703" s="17" t="str">
        <f>IF(D2703="","",D2703*'02_Eingaben'!$C$8)</f>
        <v/>
      </c>
      <c r="F2703" s="17" t="str">
        <f>IF(E2703="","",AVERAGE(INDEX($E$2:$E$3001,MAX(1,ROW()-1-'02_Eingaben'!$C$17)):INDEX($E$2:$E$3001,MIN('02_Eingaben'!$C$21,ROW()-1+'02_Eingaben'!$C$17))))</f>
        <v/>
      </c>
      <c r="G2703" s="17" t="str">
        <f>IF(F2703="","",F2703-'02_Eingaben'!$C$10)</f>
        <v/>
      </c>
      <c r="H2703" t="str">
        <f>IF(F2703="","",IF(F2703&lt;'02_Eingaben'!$C$18*'02_Eingaben'!$C$10,1,0))</f>
        <v/>
      </c>
      <c r="I2703" s="17" t="str">
        <f t="shared" si="42"/>
        <v/>
      </c>
      <c r="J2703" s="17" t="str">
        <f>IF(B2703="","",IF(B2702&lt;'02_Eingaben'!$C$36,0,J2702+I2702/'02_Eingaben'!$C$8))</f>
        <v/>
      </c>
    </row>
    <row r="2704" spans="1:10" x14ac:dyDescent="0.25">
      <c r="A2704" t="str">
        <f>IF('01_Rohdaten'!A2704="","",ROW()-1)</f>
        <v/>
      </c>
      <c r="B2704" s="17" t="str">
        <f>IF('01_Rohdaten'!A2704="","",'01_Rohdaten'!A2704)</f>
        <v/>
      </c>
      <c r="C2704" s="17" t="str">
        <f>IF(B2704="","",INDEX('01_Rohdaten'!B2704:D2704,'02_Eingaben'!$C$13))</f>
        <v/>
      </c>
      <c r="D2704" s="17" t="str">
        <f>IF(C2704="","",C2704*'02_Eingaben'!$C$15)</f>
        <v/>
      </c>
      <c r="E2704" s="17" t="str">
        <f>IF(D2704="","",D2704*'02_Eingaben'!$C$8)</f>
        <v/>
      </c>
      <c r="F2704" s="17" t="str">
        <f>IF(E2704="","",AVERAGE(INDEX($E$2:$E$3001,MAX(1,ROW()-1-'02_Eingaben'!$C$17)):INDEX($E$2:$E$3001,MIN('02_Eingaben'!$C$21,ROW()-1+'02_Eingaben'!$C$17))))</f>
        <v/>
      </c>
      <c r="G2704" s="17" t="str">
        <f>IF(F2704="","",F2704-'02_Eingaben'!$C$10)</f>
        <v/>
      </c>
      <c r="H2704" t="str">
        <f>IF(F2704="","",IF(F2704&lt;'02_Eingaben'!$C$18*'02_Eingaben'!$C$10,1,0))</f>
        <v/>
      </c>
      <c r="I2704" s="17" t="str">
        <f t="shared" si="42"/>
        <v/>
      </c>
      <c r="J2704" s="17" t="str">
        <f>IF(B2704="","",IF(B2703&lt;'02_Eingaben'!$C$36,0,J2703+I2703/'02_Eingaben'!$C$8))</f>
        <v/>
      </c>
    </row>
    <row r="2705" spans="1:10" x14ac:dyDescent="0.25">
      <c r="A2705" t="str">
        <f>IF('01_Rohdaten'!A2705="","",ROW()-1)</f>
        <v/>
      </c>
      <c r="B2705" s="17" t="str">
        <f>IF('01_Rohdaten'!A2705="","",'01_Rohdaten'!A2705)</f>
        <v/>
      </c>
      <c r="C2705" s="17" t="str">
        <f>IF(B2705="","",INDEX('01_Rohdaten'!B2705:D2705,'02_Eingaben'!$C$13))</f>
        <v/>
      </c>
      <c r="D2705" s="17" t="str">
        <f>IF(C2705="","",C2705*'02_Eingaben'!$C$15)</f>
        <v/>
      </c>
      <c r="E2705" s="17" t="str">
        <f>IF(D2705="","",D2705*'02_Eingaben'!$C$8)</f>
        <v/>
      </c>
      <c r="F2705" s="17" t="str">
        <f>IF(E2705="","",AVERAGE(INDEX($E$2:$E$3001,MAX(1,ROW()-1-'02_Eingaben'!$C$17)):INDEX($E$2:$E$3001,MIN('02_Eingaben'!$C$21,ROW()-1+'02_Eingaben'!$C$17))))</f>
        <v/>
      </c>
      <c r="G2705" s="17" t="str">
        <f>IF(F2705="","",F2705-'02_Eingaben'!$C$10)</f>
        <v/>
      </c>
      <c r="H2705" t="str">
        <f>IF(F2705="","",IF(F2705&lt;'02_Eingaben'!$C$18*'02_Eingaben'!$C$10,1,0))</f>
        <v/>
      </c>
      <c r="I2705" s="17" t="str">
        <f t="shared" si="42"/>
        <v/>
      </c>
      <c r="J2705" s="17" t="str">
        <f>IF(B2705="","",IF(B2704&lt;'02_Eingaben'!$C$36,0,J2704+I2704/'02_Eingaben'!$C$8))</f>
        <v/>
      </c>
    </row>
    <row r="2706" spans="1:10" x14ac:dyDescent="0.25">
      <c r="A2706" t="str">
        <f>IF('01_Rohdaten'!A2706="","",ROW()-1)</f>
        <v/>
      </c>
      <c r="B2706" s="17" t="str">
        <f>IF('01_Rohdaten'!A2706="","",'01_Rohdaten'!A2706)</f>
        <v/>
      </c>
      <c r="C2706" s="17" t="str">
        <f>IF(B2706="","",INDEX('01_Rohdaten'!B2706:D2706,'02_Eingaben'!$C$13))</f>
        <v/>
      </c>
      <c r="D2706" s="17" t="str">
        <f>IF(C2706="","",C2706*'02_Eingaben'!$C$15)</f>
        <v/>
      </c>
      <c r="E2706" s="17" t="str">
        <f>IF(D2706="","",D2706*'02_Eingaben'!$C$8)</f>
        <v/>
      </c>
      <c r="F2706" s="17" t="str">
        <f>IF(E2706="","",AVERAGE(INDEX($E$2:$E$3001,MAX(1,ROW()-1-'02_Eingaben'!$C$17)):INDEX($E$2:$E$3001,MIN('02_Eingaben'!$C$21,ROW()-1+'02_Eingaben'!$C$17))))</f>
        <v/>
      </c>
      <c r="G2706" s="17" t="str">
        <f>IF(F2706="","",F2706-'02_Eingaben'!$C$10)</f>
        <v/>
      </c>
      <c r="H2706" t="str">
        <f>IF(F2706="","",IF(F2706&lt;'02_Eingaben'!$C$18*'02_Eingaben'!$C$10,1,0))</f>
        <v/>
      </c>
      <c r="I2706" s="17" t="str">
        <f t="shared" si="42"/>
        <v/>
      </c>
      <c r="J2706" s="17" t="str">
        <f>IF(B2706="","",IF(B2705&lt;'02_Eingaben'!$C$36,0,J2705+I2705/'02_Eingaben'!$C$8))</f>
        <v/>
      </c>
    </row>
    <row r="2707" spans="1:10" x14ac:dyDescent="0.25">
      <c r="A2707" t="str">
        <f>IF('01_Rohdaten'!A2707="","",ROW()-1)</f>
        <v/>
      </c>
      <c r="B2707" s="17" t="str">
        <f>IF('01_Rohdaten'!A2707="","",'01_Rohdaten'!A2707)</f>
        <v/>
      </c>
      <c r="C2707" s="17" t="str">
        <f>IF(B2707="","",INDEX('01_Rohdaten'!B2707:D2707,'02_Eingaben'!$C$13))</f>
        <v/>
      </c>
      <c r="D2707" s="17" t="str">
        <f>IF(C2707="","",C2707*'02_Eingaben'!$C$15)</f>
        <v/>
      </c>
      <c r="E2707" s="17" t="str">
        <f>IF(D2707="","",D2707*'02_Eingaben'!$C$8)</f>
        <v/>
      </c>
      <c r="F2707" s="17" t="str">
        <f>IF(E2707="","",AVERAGE(INDEX($E$2:$E$3001,MAX(1,ROW()-1-'02_Eingaben'!$C$17)):INDEX($E$2:$E$3001,MIN('02_Eingaben'!$C$21,ROW()-1+'02_Eingaben'!$C$17))))</f>
        <v/>
      </c>
      <c r="G2707" s="17" t="str">
        <f>IF(F2707="","",F2707-'02_Eingaben'!$C$10)</f>
        <v/>
      </c>
      <c r="H2707" t="str">
        <f>IF(F2707="","",IF(F2707&lt;'02_Eingaben'!$C$18*'02_Eingaben'!$C$10,1,0))</f>
        <v/>
      </c>
      <c r="I2707" s="17" t="str">
        <f t="shared" si="42"/>
        <v/>
      </c>
      <c r="J2707" s="17" t="str">
        <f>IF(B2707="","",IF(B2706&lt;'02_Eingaben'!$C$36,0,J2706+I2706/'02_Eingaben'!$C$8))</f>
        <v/>
      </c>
    </row>
    <row r="2708" spans="1:10" x14ac:dyDescent="0.25">
      <c r="A2708" t="str">
        <f>IF('01_Rohdaten'!A2708="","",ROW()-1)</f>
        <v/>
      </c>
      <c r="B2708" s="17" t="str">
        <f>IF('01_Rohdaten'!A2708="","",'01_Rohdaten'!A2708)</f>
        <v/>
      </c>
      <c r="C2708" s="17" t="str">
        <f>IF(B2708="","",INDEX('01_Rohdaten'!B2708:D2708,'02_Eingaben'!$C$13))</f>
        <v/>
      </c>
      <c r="D2708" s="17" t="str">
        <f>IF(C2708="","",C2708*'02_Eingaben'!$C$15)</f>
        <v/>
      </c>
      <c r="E2708" s="17" t="str">
        <f>IF(D2708="","",D2708*'02_Eingaben'!$C$8)</f>
        <v/>
      </c>
      <c r="F2708" s="17" t="str">
        <f>IF(E2708="","",AVERAGE(INDEX($E$2:$E$3001,MAX(1,ROW()-1-'02_Eingaben'!$C$17)):INDEX($E$2:$E$3001,MIN('02_Eingaben'!$C$21,ROW()-1+'02_Eingaben'!$C$17))))</f>
        <v/>
      </c>
      <c r="G2708" s="17" t="str">
        <f>IF(F2708="","",F2708-'02_Eingaben'!$C$10)</f>
        <v/>
      </c>
      <c r="H2708" t="str">
        <f>IF(F2708="","",IF(F2708&lt;'02_Eingaben'!$C$18*'02_Eingaben'!$C$10,1,0))</f>
        <v/>
      </c>
      <c r="I2708" s="17" t="str">
        <f t="shared" si="42"/>
        <v/>
      </c>
      <c r="J2708" s="17" t="str">
        <f>IF(B2708="","",IF(B2707&lt;'02_Eingaben'!$C$36,0,J2707+I2707/'02_Eingaben'!$C$8))</f>
        <v/>
      </c>
    </row>
    <row r="2709" spans="1:10" x14ac:dyDescent="0.25">
      <c r="A2709" t="str">
        <f>IF('01_Rohdaten'!A2709="","",ROW()-1)</f>
        <v/>
      </c>
      <c r="B2709" s="17" t="str">
        <f>IF('01_Rohdaten'!A2709="","",'01_Rohdaten'!A2709)</f>
        <v/>
      </c>
      <c r="C2709" s="17" t="str">
        <f>IF(B2709="","",INDEX('01_Rohdaten'!B2709:D2709,'02_Eingaben'!$C$13))</f>
        <v/>
      </c>
      <c r="D2709" s="17" t="str">
        <f>IF(C2709="","",C2709*'02_Eingaben'!$C$15)</f>
        <v/>
      </c>
      <c r="E2709" s="17" t="str">
        <f>IF(D2709="","",D2709*'02_Eingaben'!$C$8)</f>
        <v/>
      </c>
      <c r="F2709" s="17" t="str">
        <f>IF(E2709="","",AVERAGE(INDEX($E$2:$E$3001,MAX(1,ROW()-1-'02_Eingaben'!$C$17)):INDEX($E$2:$E$3001,MIN('02_Eingaben'!$C$21,ROW()-1+'02_Eingaben'!$C$17))))</f>
        <v/>
      </c>
      <c r="G2709" s="17" t="str">
        <f>IF(F2709="","",F2709-'02_Eingaben'!$C$10)</f>
        <v/>
      </c>
      <c r="H2709" t="str">
        <f>IF(F2709="","",IF(F2709&lt;'02_Eingaben'!$C$18*'02_Eingaben'!$C$10,1,0))</f>
        <v/>
      </c>
      <c r="I2709" s="17" t="str">
        <f t="shared" si="42"/>
        <v/>
      </c>
      <c r="J2709" s="17" t="str">
        <f>IF(B2709="","",IF(B2708&lt;'02_Eingaben'!$C$36,0,J2708+I2708/'02_Eingaben'!$C$8))</f>
        <v/>
      </c>
    </row>
    <row r="2710" spans="1:10" x14ac:dyDescent="0.25">
      <c r="A2710" t="str">
        <f>IF('01_Rohdaten'!A2710="","",ROW()-1)</f>
        <v/>
      </c>
      <c r="B2710" s="17" t="str">
        <f>IF('01_Rohdaten'!A2710="","",'01_Rohdaten'!A2710)</f>
        <v/>
      </c>
      <c r="C2710" s="17" t="str">
        <f>IF(B2710="","",INDEX('01_Rohdaten'!B2710:D2710,'02_Eingaben'!$C$13))</f>
        <v/>
      </c>
      <c r="D2710" s="17" t="str">
        <f>IF(C2710="","",C2710*'02_Eingaben'!$C$15)</f>
        <v/>
      </c>
      <c r="E2710" s="17" t="str">
        <f>IF(D2710="","",D2710*'02_Eingaben'!$C$8)</f>
        <v/>
      </c>
      <c r="F2710" s="17" t="str">
        <f>IF(E2710="","",AVERAGE(INDEX($E$2:$E$3001,MAX(1,ROW()-1-'02_Eingaben'!$C$17)):INDEX($E$2:$E$3001,MIN('02_Eingaben'!$C$21,ROW()-1+'02_Eingaben'!$C$17))))</f>
        <v/>
      </c>
      <c r="G2710" s="17" t="str">
        <f>IF(F2710="","",F2710-'02_Eingaben'!$C$10)</f>
        <v/>
      </c>
      <c r="H2710" t="str">
        <f>IF(F2710="","",IF(F2710&lt;'02_Eingaben'!$C$18*'02_Eingaben'!$C$10,1,0))</f>
        <v/>
      </c>
      <c r="I2710" s="17" t="str">
        <f t="shared" si="42"/>
        <v/>
      </c>
      <c r="J2710" s="17" t="str">
        <f>IF(B2710="","",IF(B2709&lt;'02_Eingaben'!$C$36,0,J2709+I2709/'02_Eingaben'!$C$8))</f>
        <v/>
      </c>
    </row>
    <row r="2711" spans="1:10" x14ac:dyDescent="0.25">
      <c r="A2711" t="str">
        <f>IF('01_Rohdaten'!A2711="","",ROW()-1)</f>
        <v/>
      </c>
      <c r="B2711" s="17" t="str">
        <f>IF('01_Rohdaten'!A2711="","",'01_Rohdaten'!A2711)</f>
        <v/>
      </c>
      <c r="C2711" s="17" t="str">
        <f>IF(B2711="","",INDEX('01_Rohdaten'!B2711:D2711,'02_Eingaben'!$C$13))</f>
        <v/>
      </c>
      <c r="D2711" s="17" t="str">
        <f>IF(C2711="","",C2711*'02_Eingaben'!$C$15)</f>
        <v/>
      </c>
      <c r="E2711" s="17" t="str">
        <f>IF(D2711="","",D2711*'02_Eingaben'!$C$8)</f>
        <v/>
      </c>
      <c r="F2711" s="17" t="str">
        <f>IF(E2711="","",AVERAGE(INDEX($E$2:$E$3001,MAX(1,ROW()-1-'02_Eingaben'!$C$17)):INDEX($E$2:$E$3001,MIN('02_Eingaben'!$C$21,ROW()-1+'02_Eingaben'!$C$17))))</f>
        <v/>
      </c>
      <c r="G2711" s="17" t="str">
        <f>IF(F2711="","",F2711-'02_Eingaben'!$C$10)</f>
        <v/>
      </c>
      <c r="H2711" t="str">
        <f>IF(F2711="","",IF(F2711&lt;'02_Eingaben'!$C$18*'02_Eingaben'!$C$10,1,0))</f>
        <v/>
      </c>
      <c r="I2711" s="17" t="str">
        <f t="shared" si="42"/>
        <v/>
      </c>
      <c r="J2711" s="17" t="str">
        <f>IF(B2711="","",IF(B2710&lt;'02_Eingaben'!$C$36,0,J2710+I2710/'02_Eingaben'!$C$8))</f>
        <v/>
      </c>
    </row>
    <row r="2712" spans="1:10" x14ac:dyDescent="0.25">
      <c r="A2712" t="str">
        <f>IF('01_Rohdaten'!A2712="","",ROW()-1)</f>
        <v/>
      </c>
      <c r="B2712" s="17" t="str">
        <f>IF('01_Rohdaten'!A2712="","",'01_Rohdaten'!A2712)</f>
        <v/>
      </c>
      <c r="C2712" s="17" t="str">
        <f>IF(B2712="","",INDEX('01_Rohdaten'!B2712:D2712,'02_Eingaben'!$C$13))</f>
        <v/>
      </c>
      <c r="D2712" s="17" t="str">
        <f>IF(C2712="","",C2712*'02_Eingaben'!$C$15)</f>
        <v/>
      </c>
      <c r="E2712" s="17" t="str">
        <f>IF(D2712="","",D2712*'02_Eingaben'!$C$8)</f>
        <v/>
      </c>
      <c r="F2712" s="17" t="str">
        <f>IF(E2712="","",AVERAGE(INDEX($E$2:$E$3001,MAX(1,ROW()-1-'02_Eingaben'!$C$17)):INDEX($E$2:$E$3001,MIN('02_Eingaben'!$C$21,ROW()-1+'02_Eingaben'!$C$17))))</f>
        <v/>
      </c>
      <c r="G2712" s="17" t="str">
        <f>IF(F2712="","",F2712-'02_Eingaben'!$C$10)</f>
        <v/>
      </c>
      <c r="H2712" t="str">
        <f>IF(F2712="","",IF(F2712&lt;'02_Eingaben'!$C$18*'02_Eingaben'!$C$10,1,0))</f>
        <v/>
      </c>
      <c r="I2712" s="17" t="str">
        <f t="shared" si="42"/>
        <v/>
      </c>
      <c r="J2712" s="17" t="str">
        <f>IF(B2712="","",IF(B2711&lt;'02_Eingaben'!$C$36,0,J2711+I2711/'02_Eingaben'!$C$8))</f>
        <v/>
      </c>
    </row>
    <row r="2713" spans="1:10" x14ac:dyDescent="0.25">
      <c r="A2713" t="str">
        <f>IF('01_Rohdaten'!A2713="","",ROW()-1)</f>
        <v/>
      </c>
      <c r="B2713" s="17" t="str">
        <f>IF('01_Rohdaten'!A2713="","",'01_Rohdaten'!A2713)</f>
        <v/>
      </c>
      <c r="C2713" s="17" t="str">
        <f>IF(B2713="","",INDEX('01_Rohdaten'!B2713:D2713,'02_Eingaben'!$C$13))</f>
        <v/>
      </c>
      <c r="D2713" s="17" t="str">
        <f>IF(C2713="","",C2713*'02_Eingaben'!$C$15)</f>
        <v/>
      </c>
      <c r="E2713" s="17" t="str">
        <f>IF(D2713="","",D2713*'02_Eingaben'!$C$8)</f>
        <v/>
      </c>
      <c r="F2713" s="17" t="str">
        <f>IF(E2713="","",AVERAGE(INDEX($E$2:$E$3001,MAX(1,ROW()-1-'02_Eingaben'!$C$17)):INDEX($E$2:$E$3001,MIN('02_Eingaben'!$C$21,ROW()-1+'02_Eingaben'!$C$17))))</f>
        <v/>
      </c>
      <c r="G2713" s="17" t="str">
        <f>IF(F2713="","",F2713-'02_Eingaben'!$C$10)</f>
        <v/>
      </c>
      <c r="H2713" t="str">
        <f>IF(F2713="","",IF(F2713&lt;'02_Eingaben'!$C$18*'02_Eingaben'!$C$10,1,0))</f>
        <v/>
      </c>
      <c r="I2713" s="17" t="str">
        <f t="shared" si="42"/>
        <v/>
      </c>
      <c r="J2713" s="17" t="str">
        <f>IF(B2713="","",IF(B2712&lt;'02_Eingaben'!$C$36,0,J2712+I2712/'02_Eingaben'!$C$8))</f>
        <v/>
      </c>
    </row>
    <row r="2714" spans="1:10" x14ac:dyDescent="0.25">
      <c r="A2714" t="str">
        <f>IF('01_Rohdaten'!A2714="","",ROW()-1)</f>
        <v/>
      </c>
      <c r="B2714" s="17" t="str">
        <f>IF('01_Rohdaten'!A2714="","",'01_Rohdaten'!A2714)</f>
        <v/>
      </c>
      <c r="C2714" s="17" t="str">
        <f>IF(B2714="","",INDEX('01_Rohdaten'!B2714:D2714,'02_Eingaben'!$C$13))</f>
        <v/>
      </c>
      <c r="D2714" s="17" t="str">
        <f>IF(C2714="","",C2714*'02_Eingaben'!$C$15)</f>
        <v/>
      </c>
      <c r="E2714" s="17" t="str">
        <f>IF(D2714="","",D2714*'02_Eingaben'!$C$8)</f>
        <v/>
      </c>
      <c r="F2714" s="17" t="str">
        <f>IF(E2714="","",AVERAGE(INDEX($E$2:$E$3001,MAX(1,ROW()-1-'02_Eingaben'!$C$17)):INDEX($E$2:$E$3001,MIN('02_Eingaben'!$C$21,ROW()-1+'02_Eingaben'!$C$17))))</f>
        <v/>
      </c>
      <c r="G2714" s="17" t="str">
        <f>IF(F2714="","",F2714-'02_Eingaben'!$C$10)</f>
        <v/>
      </c>
      <c r="H2714" t="str">
        <f>IF(F2714="","",IF(F2714&lt;'02_Eingaben'!$C$18*'02_Eingaben'!$C$10,1,0))</f>
        <v/>
      </c>
      <c r="I2714" s="17" t="str">
        <f t="shared" si="42"/>
        <v/>
      </c>
      <c r="J2714" s="17" t="str">
        <f>IF(B2714="","",IF(B2713&lt;'02_Eingaben'!$C$36,0,J2713+I2713/'02_Eingaben'!$C$8))</f>
        <v/>
      </c>
    </row>
    <row r="2715" spans="1:10" x14ac:dyDescent="0.25">
      <c r="A2715" t="str">
        <f>IF('01_Rohdaten'!A2715="","",ROW()-1)</f>
        <v/>
      </c>
      <c r="B2715" s="17" t="str">
        <f>IF('01_Rohdaten'!A2715="","",'01_Rohdaten'!A2715)</f>
        <v/>
      </c>
      <c r="C2715" s="17" t="str">
        <f>IF(B2715="","",INDEX('01_Rohdaten'!B2715:D2715,'02_Eingaben'!$C$13))</f>
        <v/>
      </c>
      <c r="D2715" s="17" t="str">
        <f>IF(C2715="","",C2715*'02_Eingaben'!$C$15)</f>
        <v/>
      </c>
      <c r="E2715" s="17" t="str">
        <f>IF(D2715="","",D2715*'02_Eingaben'!$C$8)</f>
        <v/>
      </c>
      <c r="F2715" s="17" t="str">
        <f>IF(E2715="","",AVERAGE(INDEX($E$2:$E$3001,MAX(1,ROW()-1-'02_Eingaben'!$C$17)):INDEX($E$2:$E$3001,MIN('02_Eingaben'!$C$21,ROW()-1+'02_Eingaben'!$C$17))))</f>
        <v/>
      </c>
      <c r="G2715" s="17" t="str">
        <f>IF(F2715="","",F2715-'02_Eingaben'!$C$10)</f>
        <v/>
      </c>
      <c r="H2715" t="str">
        <f>IF(F2715="","",IF(F2715&lt;'02_Eingaben'!$C$18*'02_Eingaben'!$C$10,1,0))</f>
        <v/>
      </c>
      <c r="I2715" s="17" t="str">
        <f t="shared" si="42"/>
        <v/>
      </c>
      <c r="J2715" s="17" t="str">
        <f>IF(B2715="","",IF(B2714&lt;'02_Eingaben'!$C$36,0,J2714+I2714/'02_Eingaben'!$C$8))</f>
        <v/>
      </c>
    </row>
    <row r="2716" spans="1:10" x14ac:dyDescent="0.25">
      <c r="A2716" t="str">
        <f>IF('01_Rohdaten'!A2716="","",ROW()-1)</f>
        <v/>
      </c>
      <c r="B2716" s="17" t="str">
        <f>IF('01_Rohdaten'!A2716="","",'01_Rohdaten'!A2716)</f>
        <v/>
      </c>
      <c r="C2716" s="17" t="str">
        <f>IF(B2716="","",INDEX('01_Rohdaten'!B2716:D2716,'02_Eingaben'!$C$13))</f>
        <v/>
      </c>
      <c r="D2716" s="17" t="str">
        <f>IF(C2716="","",C2716*'02_Eingaben'!$C$15)</f>
        <v/>
      </c>
      <c r="E2716" s="17" t="str">
        <f>IF(D2716="","",D2716*'02_Eingaben'!$C$8)</f>
        <v/>
      </c>
      <c r="F2716" s="17" t="str">
        <f>IF(E2716="","",AVERAGE(INDEX($E$2:$E$3001,MAX(1,ROW()-1-'02_Eingaben'!$C$17)):INDEX($E$2:$E$3001,MIN('02_Eingaben'!$C$21,ROW()-1+'02_Eingaben'!$C$17))))</f>
        <v/>
      </c>
      <c r="G2716" s="17" t="str">
        <f>IF(F2716="","",F2716-'02_Eingaben'!$C$10)</f>
        <v/>
      </c>
      <c r="H2716" t="str">
        <f>IF(F2716="","",IF(F2716&lt;'02_Eingaben'!$C$18*'02_Eingaben'!$C$10,1,0))</f>
        <v/>
      </c>
      <c r="I2716" s="17" t="str">
        <f t="shared" si="42"/>
        <v/>
      </c>
      <c r="J2716" s="17" t="str">
        <f>IF(B2716="","",IF(B2715&lt;'02_Eingaben'!$C$36,0,J2715+I2715/'02_Eingaben'!$C$8))</f>
        <v/>
      </c>
    </row>
    <row r="2717" spans="1:10" x14ac:dyDescent="0.25">
      <c r="A2717" t="str">
        <f>IF('01_Rohdaten'!A2717="","",ROW()-1)</f>
        <v/>
      </c>
      <c r="B2717" s="17" t="str">
        <f>IF('01_Rohdaten'!A2717="","",'01_Rohdaten'!A2717)</f>
        <v/>
      </c>
      <c r="C2717" s="17" t="str">
        <f>IF(B2717="","",INDEX('01_Rohdaten'!B2717:D2717,'02_Eingaben'!$C$13))</f>
        <v/>
      </c>
      <c r="D2717" s="17" t="str">
        <f>IF(C2717="","",C2717*'02_Eingaben'!$C$15)</f>
        <v/>
      </c>
      <c r="E2717" s="17" t="str">
        <f>IF(D2717="","",D2717*'02_Eingaben'!$C$8)</f>
        <v/>
      </c>
      <c r="F2717" s="17" t="str">
        <f>IF(E2717="","",AVERAGE(INDEX($E$2:$E$3001,MAX(1,ROW()-1-'02_Eingaben'!$C$17)):INDEX($E$2:$E$3001,MIN('02_Eingaben'!$C$21,ROW()-1+'02_Eingaben'!$C$17))))</f>
        <v/>
      </c>
      <c r="G2717" s="17" t="str">
        <f>IF(F2717="","",F2717-'02_Eingaben'!$C$10)</f>
        <v/>
      </c>
      <c r="H2717" t="str">
        <f>IF(F2717="","",IF(F2717&lt;'02_Eingaben'!$C$18*'02_Eingaben'!$C$10,1,0))</f>
        <v/>
      </c>
      <c r="I2717" s="17" t="str">
        <f t="shared" si="42"/>
        <v/>
      </c>
      <c r="J2717" s="17" t="str">
        <f>IF(B2717="","",IF(B2716&lt;'02_Eingaben'!$C$36,0,J2716+I2716/'02_Eingaben'!$C$8))</f>
        <v/>
      </c>
    </row>
    <row r="2718" spans="1:10" x14ac:dyDescent="0.25">
      <c r="A2718" t="str">
        <f>IF('01_Rohdaten'!A2718="","",ROW()-1)</f>
        <v/>
      </c>
      <c r="B2718" s="17" t="str">
        <f>IF('01_Rohdaten'!A2718="","",'01_Rohdaten'!A2718)</f>
        <v/>
      </c>
      <c r="C2718" s="17" t="str">
        <f>IF(B2718="","",INDEX('01_Rohdaten'!B2718:D2718,'02_Eingaben'!$C$13))</f>
        <v/>
      </c>
      <c r="D2718" s="17" t="str">
        <f>IF(C2718="","",C2718*'02_Eingaben'!$C$15)</f>
        <v/>
      </c>
      <c r="E2718" s="17" t="str">
        <f>IF(D2718="","",D2718*'02_Eingaben'!$C$8)</f>
        <v/>
      </c>
      <c r="F2718" s="17" t="str">
        <f>IF(E2718="","",AVERAGE(INDEX($E$2:$E$3001,MAX(1,ROW()-1-'02_Eingaben'!$C$17)):INDEX($E$2:$E$3001,MIN('02_Eingaben'!$C$21,ROW()-1+'02_Eingaben'!$C$17))))</f>
        <v/>
      </c>
      <c r="G2718" s="17" t="str">
        <f>IF(F2718="","",F2718-'02_Eingaben'!$C$10)</f>
        <v/>
      </c>
      <c r="H2718" t="str">
        <f>IF(F2718="","",IF(F2718&lt;'02_Eingaben'!$C$18*'02_Eingaben'!$C$10,1,0))</f>
        <v/>
      </c>
      <c r="I2718" s="17" t="str">
        <f t="shared" si="42"/>
        <v/>
      </c>
      <c r="J2718" s="17" t="str">
        <f>IF(B2718="","",IF(B2717&lt;'02_Eingaben'!$C$36,0,J2717+I2717/'02_Eingaben'!$C$8))</f>
        <v/>
      </c>
    </row>
    <row r="2719" spans="1:10" x14ac:dyDescent="0.25">
      <c r="A2719" t="str">
        <f>IF('01_Rohdaten'!A2719="","",ROW()-1)</f>
        <v/>
      </c>
      <c r="B2719" s="17" t="str">
        <f>IF('01_Rohdaten'!A2719="","",'01_Rohdaten'!A2719)</f>
        <v/>
      </c>
      <c r="C2719" s="17" t="str">
        <f>IF(B2719="","",INDEX('01_Rohdaten'!B2719:D2719,'02_Eingaben'!$C$13))</f>
        <v/>
      </c>
      <c r="D2719" s="17" t="str">
        <f>IF(C2719="","",C2719*'02_Eingaben'!$C$15)</f>
        <v/>
      </c>
      <c r="E2719" s="17" t="str">
        <f>IF(D2719="","",D2719*'02_Eingaben'!$C$8)</f>
        <v/>
      </c>
      <c r="F2719" s="17" t="str">
        <f>IF(E2719="","",AVERAGE(INDEX($E$2:$E$3001,MAX(1,ROW()-1-'02_Eingaben'!$C$17)):INDEX($E$2:$E$3001,MIN('02_Eingaben'!$C$21,ROW()-1+'02_Eingaben'!$C$17))))</f>
        <v/>
      </c>
      <c r="G2719" s="17" t="str">
        <f>IF(F2719="","",F2719-'02_Eingaben'!$C$10)</f>
        <v/>
      </c>
      <c r="H2719" t="str">
        <f>IF(F2719="","",IF(F2719&lt;'02_Eingaben'!$C$18*'02_Eingaben'!$C$10,1,0))</f>
        <v/>
      </c>
      <c r="I2719" s="17" t="str">
        <f t="shared" si="42"/>
        <v/>
      </c>
      <c r="J2719" s="17" t="str">
        <f>IF(B2719="","",IF(B2718&lt;'02_Eingaben'!$C$36,0,J2718+I2718/'02_Eingaben'!$C$8))</f>
        <v/>
      </c>
    </row>
    <row r="2720" spans="1:10" x14ac:dyDescent="0.25">
      <c r="A2720" t="str">
        <f>IF('01_Rohdaten'!A2720="","",ROW()-1)</f>
        <v/>
      </c>
      <c r="B2720" s="17" t="str">
        <f>IF('01_Rohdaten'!A2720="","",'01_Rohdaten'!A2720)</f>
        <v/>
      </c>
      <c r="C2720" s="17" t="str">
        <f>IF(B2720="","",INDEX('01_Rohdaten'!B2720:D2720,'02_Eingaben'!$C$13))</f>
        <v/>
      </c>
      <c r="D2720" s="17" t="str">
        <f>IF(C2720="","",C2720*'02_Eingaben'!$C$15)</f>
        <v/>
      </c>
      <c r="E2720" s="17" t="str">
        <f>IF(D2720="","",D2720*'02_Eingaben'!$C$8)</f>
        <v/>
      </c>
      <c r="F2720" s="17" t="str">
        <f>IF(E2720="","",AVERAGE(INDEX($E$2:$E$3001,MAX(1,ROW()-1-'02_Eingaben'!$C$17)):INDEX($E$2:$E$3001,MIN('02_Eingaben'!$C$21,ROW()-1+'02_Eingaben'!$C$17))))</f>
        <v/>
      </c>
      <c r="G2720" s="17" t="str">
        <f>IF(F2720="","",F2720-'02_Eingaben'!$C$10)</f>
        <v/>
      </c>
      <c r="H2720" t="str">
        <f>IF(F2720="","",IF(F2720&lt;'02_Eingaben'!$C$18*'02_Eingaben'!$C$10,1,0))</f>
        <v/>
      </c>
      <c r="I2720" s="17" t="str">
        <f t="shared" si="42"/>
        <v/>
      </c>
      <c r="J2720" s="17" t="str">
        <f>IF(B2720="","",IF(B2719&lt;'02_Eingaben'!$C$36,0,J2719+I2719/'02_Eingaben'!$C$8))</f>
        <v/>
      </c>
    </row>
    <row r="2721" spans="1:10" x14ac:dyDescent="0.25">
      <c r="A2721" t="str">
        <f>IF('01_Rohdaten'!A2721="","",ROW()-1)</f>
        <v/>
      </c>
      <c r="B2721" s="17" t="str">
        <f>IF('01_Rohdaten'!A2721="","",'01_Rohdaten'!A2721)</f>
        <v/>
      </c>
      <c r="C2721" s="17" t="str">
        <f>IF(B2721="","",INDEX('01_Rohdaten'!B2721:D2721,'02_Eingaben'!$C$13))</f>
        <v/>
      </c>
      <c r="D2721" s="17" t="str">
        <f>IF(C2721="","",C2721*'02_Eingaben'!$C$15)</f>
        <v/>
      </c>
      <c r="E2721" s="17" t="str">
        <f>IF(D2721="","",D2721*'02_Eingaben'!$C$8)</f>
        <v/>
      </c>
      <c r="F2721" s="17" t="str">
        <f>IF(E2721="","",AVERAGE(INDEX($E$2:$E$3001,MAX(1,ROW()-1-'02_Eingaben'!$C$17)):INDEX($E$2:$E$3001,MIN('02_Eingaben'!$C$21,ROW()-1+'02_Eingaben'!$C$17))))</f>
        <v/>
      </c>
      <c r="G2721" s="17" t="str">
        <f>IF(F2721="","",F2721-'02_Eingaben'!$C$10)</f>
        <v/>
      </c>
      <c r="H2721" t="str">
        <f>IF(F2721="","",IF(F2721&lt;'02_Eingaben'!$C$18*'02_Eingaben'!$C$10,1,0))</f>
        <v/>
      </c>
      <c r="I2721" s="17" t="str">
        <f t="shared" si="42"/>
        <v/>
      </c>
      <c r="J2721" s="17" t="str">
        <f>IF(B2721="","",IF(B2720&lt;'02_Eingaben'!$C$36,0,J2720+I2720/'02_Eingaben'!$C$8))</f>
        <v/>
      </c>
    </row>
    <row r="2722" spans="1:10" x14ac:dyDescent="0.25">
      <c r="A2722" t="str">
        <f>IF('01_Rohdaten'!A2722="","",ROW()-1)</f>
        <v/>
      </c>
      <c r="B2722" s="17" t="str">
        <f>IF('01_Rohdaten'!A2722="","",'01_Rohdaten'!A2722)</f>
        <v/>
      </c>
      <c r="C2722" s="17" t="str">
        <f>IF(B2722="","",INDEX('01_Rohdaten'!B2722:D2722,'02_Eingaben'!$C$13))</f>
        <v/>
      </c>
      <c r="D2722" s="17" t="str">
        <f>IF(C2722="","",C2722*'02_Eingaben'!$C$15)</f>
        <v/>
      </c>
      <c r="E2722" s="17" t="str">
        <f>IF(D2722="","",D2722*'02_Eingaben'!$C$8)</f>
        <v/>
      </c>
      <c r="F2722" s="17" t="str">
        <f>IF(E2722="","",AVERAGE(INDEX($E$2:$E$3001,MAX(1,ROW()-1-'02_Eingaben'!$C$17)):INDEX($E$2:$E$3001,MIN('02_Eingaben'!$C$21,ROW()-1+'02_Eingaben'!$C$17))))</f>
        <v/>
      </c>
      <c r="G2722" s="17" t="str">
        <f>IF(F2722="","",F2722-'02_Eingaben'!$C$10)</f>
        <v/>
      </c>
      <c r="H2722" t="str">
        <f>IF(F2722="","",IF(F2722&lt;'02_Eingaben'!$C$18*'02_Eingaben'!$C$10,1,0))</f>
        <v/>
      </c>
      <c r="I2722" s="17" t="str">
        <f t="shared" si="42"/>
        <v/>
      </c>
      <c r="J2722" s="17" t="str">
        <f>IF(B2722="","",IF(B2721&lt;'02_Eingaben'!$C$36,0,J2721+I2721/'02_Eingaben'!$C$8))</f>
        <v/>
      </c>
    </row>
    <row r="2723" spans="1:10" x14ac:dyDescent="0.25">
      <c r="A2723" t="str">
        <f>IF('01_Rohdaten'!A2723="","",ROW()-1)</f>
        <v/>
      </c>
      <c r="B2723" s="17" t="str">
        <f>IF('01_Rohdaten'!A2723="","",'01_Rohdaten'!A2723)</f>
        <v/>
      </c>
      <c r="C2723" s="17" t="str">
        <f>IF(B2723="","",INDEX('01_Rohdaten'!B2723:D2723,'02_Eingaben'!$C$13))</f>
        <v/>
      </c>
      <c r="D2723" s="17" t="str">
        <f>IF(C2723="","",C2723*'02_Eingaben'!$C$15)</f>
        <v/>
      </c>
      <c r="E2723" s="17" t="str">
        <f>IF(D2723="","",D2723*'02_Eingaben'!$C$8)</f>
        <v/>
      </c>
      <c r="F2723" s="17" t="str">
        <f>IF(E2723="","",AVERAGE(INDEX($E$2:$E$3001,MAX(1,ROW()-1-'02_Eingaben'!$C$17)):INDEX($E$2:$E$3001,MIN('02_Eingaben'!$C$21,ROW()-1+'02_Eingaben'!$C$17))))</f>
        <v/>
      </c>
      <c r="G2723" s="17" t="str">
        <f>IF(F2723="","",F2723-'02_Eingaben'!$C$10)</f>
        <v/>
      </c>
      <c r="H2723" t="str">
        <f>IF(F2723="","",IF(F2723&lt;'02_Eingaben'!$C$18*'02_Eingaben'!$C$10,1,0))</f>
        <v/>
      </c>
      <c r="I2723" s="17" t="str">
        <f t="shared" si="42"/>
        <v/>
      </c>
      <c r="J2723" s="17" t="str">
        <f>IF(B2723="","",IF(B2722&lt;'02_Eingaben'!$C$36,0,J2722+I2722/'02_Eingaben'!$C$8))</f>
        <v/>
      </c>
    </row>
    <row r="2724" spans="1:10" x14ac:dyDescent="0.25">
      <c r="A2724" t="str">
        <f>IF('01_Rohdaten'!A2724="","",ROW()-1)</f>
        <v/>
      </c>
      <c r="B2724" s="17" t="str">
        <f>IF('01_Rohdaten'!A2724="","",'01_Rohdaten'!A2724)</f>
        <v/>
      </c>
      <c r="C2724" s="17" t="str">
        <f>IF(B2724="","",INDEX('01_Rohdaten'!B2724:D2724,'02_Eingaben'!$C$13))</f>
        <v/>
      </c>
      <c r="D2724" s="17" t="str">
        <f>IF(C2724="","",C2724*'02_Eingaben'!$C$15)</f>
        <v/>
      </c>
      <c r="E2724" s="17" t="str">
        <f>IF(D2724="","",D2724*'02_Eingaben'!$C$8)</f>
        <v/>
      </c>
      <c r="F2724" s="17" t="str">
        <f>IF(E2724="","",AVERAGE(INDEX($E$2:$E$3001,MAX(1,ROW()-1-'02_Eingaben'!$C$17)):INDEX($E$2:$E$3001,MIN('02_Eingaben'!$C$21,ROW()-1+'02_Eingaben'!$C$17))))</f>
        <v/>
      </c>
      <c r="G2724" s="17" t="str">
        <f>IF(F2724="","",F2724-'02_Eingaben'!$C$10)</f>
        <v/>
      </c>
      <c r="H2724" t="str">
        <f>IF(F2724="","",IF(F2724&lt;'02_Eingaben'!$C$18*'02_Eingaben'!$C$10,1,0))</f>
        <v/>
      </c>
      <c r="I2724" s="17" t="str">
        <f t="shared" si="42"/>
        <v/>
      </c>
      <c r="J2724" s="17" t="str">
        <f>IF(B2724="","",IF(B2723&lt;'02_Eingaben'!$C$36,0,J2723+I2723/'02_Eingaben'!$C$8))</f>
        <v/>
      </c>
    </row>
    <row r="2725" spans="1:10" x14ac:dyDescent="0.25">
      <c r="A2725" t="str">
        <f>IF('01_Rohdaten'!A2725="","",ROW()-1)</f>
        <v/>
      </c>
      <c r="B2725" s="17" t="str">
        <f>IF('01_Rohdaten'!A2725="","",'01_Rohdaten'!A2725)</f>
        <v/>
      </c>
      <c r="C2725" s="17" t="str">
        <f>IF(B2725="","",INDEX('01_Rohdaten'!B2725:D2725,'02_Eingaben'!$C$13))</f>
        <v/>
      </c>
      <c r="D2725" s="17" t="str">
        <f>IF(C2725="","",C2725*'02_Eingaben'!$C$15)</f>
        <v/>
      </c>
      <c r="E2725" s="17" t="str">
        <f>IF(D2725="","",D2725*'02_Eingaben'!$C$8)</f>
        <v/>
      </c>
      <c r="F2725" s="17" t="str">
        <f>IF(E2725="","",AVERAGE(INDEX($E$2:$E$3001,MAX(1,ROW()-1-'02_Eingaben'!$C$17)):INDEX($E$2:$E$3001,MIN('02_Eingaben'!$C$21,ROW()-1+'02_Eingaben'!$C$17))))</f>
        <v/>
      </c>
      <c r="G2725" s="17" t="str">
        <f>IF(F2725="","",F2725-'02_Eingaben'!$C$10)</f>
        <v/>
      </c>
      <c r="H2725" t="str">
        <f>IF(F2725="","",IF(F2725&lt;'02_Eingaben'!$C$18*'02_Eingaben'!$C$10,1,0))</f>
        <v/>
      </c>
      <c r="I2725" s="17" t="str">
        <f t="shared" si="42"/>
        <v/>
      </c>
      <c r="J2725" s="17" t="str">
        <f>IF(B2725="","",IF(B2724&lt;'02_Eingaben'!$C$36,0,J2724+I2724/'02_Eingaben'!$C$8))</f>
        <v/>
      </c>
    </row>
    <row r="2726" spans="1:10" x14ac:dyDescent="0.25">
      <c r="A2726" t="str">
        <f>IF('01_Rohdaten'!A2726="","",ROW()-1)</f>
        <v/>
      </c>
      <c r="B2726" s="17" t="str">
        <f>IF('01_Rohdaten'!A2726="","",'01_Rohdaten'!A2726)</f>
        <v/>
      </c>
      <c r="C2726" s="17" t="str">
        <f>IF(B2726="","",INDEX('01_Rohdaten'!B2726:D2726,'02_Eingaben'!$C$13))</f>
        <v/>
      </c>
      <c r="D2726" s="17" t="str">
        <f>IF(C2726="","",C2726*'02_Eingaben'!$C$15)</f>
        <v/>
      </c>
      <c r="E2726" s="17" t="str">
        <f>IF(D2726="","",D2726*'02_Eingaben'!$C$8)</f>
        <v/>
      </c>
      <c r="F2726" s="17" t="str">
        <f>IF(E2726="","",AVERAGE(INDEX($E$2:$E$3001,MAX(1,ROW()-1-'02_Eingaben'!$C$17)):INDEX($E$2:$E$3001,MIN('02_Eingaben'!$C$21,ROW()-1+'02_Eingaben'!$C$17))))</f>
        <v/>
      </c>
      <c r="G2726" s="17" t="str">
        <f>IF(F2726="","",F2726-'02_Eingaben'!$C$10)</f>
        <v/>
      </c>
      <c r="H2726" t="str">
        <f>IF(F2726="","",IF(F2726&lt;'02_Eingaben'!$C$18*'02_Eingaben'!$C$10,1,0))</f>
        <v/>
      </c>
      <c r="I2726" s="17" t="str">
        <f t="shared" si="42"/>
        <v/>
      </c>
      <c r="J2726" s="17" t="str">
        <f>IF(B2726="","",IF(B2725&lt;'02_Eingaben'!$C$36,0,J2725+I2725/'02_Eingaben'!$C$8))</f>
        <v/>
      </c>
    </row>
    <row r="2727" spans="1:10" x14ac:dyDescent="0.25">
      <c r="A2727" t="str">
        <f>IF('01_Rohdaten'!A2727="","",ROW()-1)</f>
        <v/>
      </c>
      <c r="B2727" s="17" t="str">
        <f>IF('01_Rohdaten'!A2727="","",'01_Rohdaten'!A2727)</f>
        <v/>
      </c>
      <c r="C2727" s="17" t="str">
        <f>IF(B2727="","",INDEX('01_Rohdaten'!B2727:D2727,'02_Eingaben'!$C$13))</f>
        <v/>
      </c>
      <c r="D2727" s="17" t="str">
        <f>IF(C2727="","",C2727*'02_Eingaben'!$C$15)</f>
        <v/>
      </c>
      <c r="E2727" s="17" t="str">
        <f>IF(D2727="","",D2727*'02_Eingaben'!$C$8)</f>
        <v/>
      </c>
      <c r="F2727" s="17" t="str">
        <f>IF(E2727="","",AVERAGE(INDEX($E$2:$E$3001,MAX(1,ROW()-1-'02_Eingaben'!$C$17)):INDEX($E$2:$E$3001,MIN('02_Eingaben'!$C$21,ROW()-1+'02_Eingaben'!$C$17))))</f>
        <v/>
      </c>
      <c r="G2727" s="17" t="str">
        <f>IF(F2727="","",F2727-'02_Eingaben'!$C$10)</f>
        <v/>
      </c>
      <c r="H2727" t="str">
        <f>IF(F2727="","",IF(F2727&lt;'02_Eingaben'!$C$18*'02_Eingaben'!$C$10,1,0))</f>
        <v/>
      </c>
      <c r="I2727" s="17" t="str">
        <f t="shared" si="42"/>
        <v/>
      </c>
      <c r="J2727" s="17" t="str">
        <f>IF(B2727="","",IF(B2726&lt;'02_Eingaben'!$C$36,0,J2726+I2726/'02_Eingaben'!$C$8))</f>
        <v/>
      </c>
    </row>
    <row r="2728" spans="1:10" x14ac:dyDescent="0.25">
      <c r="A2728" t="str">
        <f>IF('01_Rohdaten'!A2728="","",ROW()-1)</f>
        <v/>
      </c>
      <c r="B2728" s="17" t="str">
        <f>IF('01_Rohdaten'!A2728="","",'01_Rohdaten'!A2728)</f>
        <v/>
      </c>
      <c r="C2728" s="17" t="str">
        <f>IF(B2728="","",INDEX('01_Rohdaten'!B2728:D2728,'02_Eingaben'!$C$13))</f>
        <v/>
      </c>
      <c r="D2728" s="17" t="str">
        <f>IF(C2728="","",C2728*'02_Eingaben'!$C$15)</f>
        <v/>
      </c>
      <c r="E2728" s="17" t="str">
        <f>IF(D2728="","",D2728*'02_Eingaben'!$C$8)</f>
        <v/>
      </c>
      <c r="F2728" s="17" t="str">
        <f>IF(E2728="","",AVERAGE(INDEX($E$2:$E$3001,MAX(1,ROW()-1-'02_Eingaben'!$C$17)):INDEX($E$2:$E$3001,MIN('02_Eingaben'!$C$21,ROW()-1+'02_Eingaben'!$C$17))))</f>
        <v/>
      </c>
      <c r="G2728" s="17" t="str">
        <f>IF(F2728="","",F2728-'02_Eingaben'!$C$10)</f>
        <v/>
      </c>
      <c r="H2728" t="str">
        <f>IF(F2728="","",IF(F2728&lt;'02_Eingaben'!$C$18*'02_Eingaben'!$C$10,1,0))</f>
        <v/>
      </c>
      <c r="I2728" s="17" t="str">
        <f t="shared" si="42"/>
        <v/>
      </c>
      <c r="J2728" s="17" t="str">
        <f>IF(B2728="","",IF(B2727&lt;'02_Eingaben'!$C$36,0,J2727+I2727/'02_Eingaben'!$C$8))</f>
        <v/>
      </c>
    </row>
    <row r="2729" spans="1:10" x14ac:dyDescent="0.25">
      <c r="A2729" t="str">
        <f>IF('01_Rohdaten'!A2729="","",ROW()-1)</f>
        <v/>
      </c>
      <c r="B2729" s="17" t="str">
        <f>IF('01_Rohdaten'!A2729="","",'01_Rohdaten'!A2729)</f>
        <v/>
      </c>
      <c r="C2729" s="17" t="str">
        <f>IF(B2729="","",INDEX('01_Rohdaten'!B2729:D2729,'02_Eingaben'!$C$13))</f>
        <v/>
      </c>
      <c r="D2729" s="17" t="str">
        <f>IF(C2729="","",C2729*'02_Eingaben'!$C$15)</f>
        <v/>
      </c>
      <c r="E2729" s="17" t="str">
        <f>IF(D2729="","",D2729*'02_Eingaben'!$C$8)</f>
        <v/>
      </c>
      <c r="F2729" s="17" t="str">
        <f>IF(E2729="","",AVERAGE(INDEX($E$2:$E$3001,MAX(1,ROW()-1-'02_Eingaben'!$C$17)):INDEX($E$2:$E$3001,MIN('02_Eingaben'!$C$21,ROW()-1+'02_Eingaben'!$C$17))))</f>
        <v/>
      </c>
      <c r="G2729" s="17" t="str">
        <f>IF(F2729="","",F2729-'02_Eingaben'!$C$10)</f>
        <v/>
      </c>
      <c r="H2729" t="str">
        <f>IF(F2729="","",IF(F2729&lt;'02_Eingaben'!$C$18*'02_Eingaben'!$C$10,1,0))</f>
        <v/>
      </c>
      <c r="I2729" s="17" t="str">
        <f t="shared" si="42"/>
        <v/>
      </c>
      <c r="J2729" s="17" t="str">
        <f>IF(B2729="","",IF(B2728&lt;'02_Eingaben'!$C$36,0,J2728+I2728/'02_Eingaben'!$C$8))</f>
        <v/>
      </c>
    </row>
    <row r="2730" spans="1:10" x14ac:dyDescent="0.25">
      <c r="A2730" t="str">
        <f>IF('01_Rohdaten'!A2730="","",ROW()-1)</f>
        <v/>
      </c>
      <c r="B2730" s="17" t="str">
        <f>IF('01_Rohdaten'!A2730="","",'01_Rohdaten'!A2730)</f>
        <v/>
      </c>
      <c r="C2730" s="17" t="str">
        <f>IF(B2730="","",INDEX('01_Rohdaten'!B2730:D2730,'02_Eingaben'!$C$13))</f>
        <v/>
      </c>
      <c r="D2730" s="17" t="str">
        <f>IF(C2730="","",C2730*'02_Eingaben'!$C$15)</f>
        <v/>
      </c>
      <c r="E2730" s="17" t="str">
        <f>IF(D2730="","",D2730*'02_Eingaben'!$C$8)</f>
        <v/>
      </c>
      <c r="F2730" s="17" t="str">
        <f>IF(E2730="","",AVERAGE(INDEX($E$2:$E$3001,MAX(1,ROW()-1-'02_Eingaben'!$C$17)):INDEX($E$2:$E$3001,MIN('02_Eingaben'!$C$21,ROW()-1+'02_Eingaben'!$C$17))))</f>
        <v/>
      </c>
      <c r="G2730" s="17" t="str">
        <f>IF(F2730="","",F2730-'02_Eingaben'!$C$10)</f>
        <v/>
      </c>
      <c r="H2730" t="str">
        <f>IF(F2730="","",IF(F2730&lt;'02_Eingaben'!$C$18*'02_Eingaben'!$C$10,1,0))</f>
        <v/>
      </c>
      <c r="I2730" s="17" t="str">
        <f t="shared" si="42"/>
        <v/>
      </c>
      <c r="J2730" s="17" t="str">
        <f>IF(B2730="","",IF(B2729&lt;'02_Eingaben'!$C$36,0,J2729+I2729/'02_Eingaben'!$C$8))</f>
        <v/>
      </c>
    </row>
    <row r="2731" spans="1:10" x14ac:dyDescent="0.25">
      <c r="A2731" t="str">
        <f>IF('01_Rohdaten'!A2731="","",ROW()-1)</f>
        <v/>
      </c>
      <c r="B2731" s="17" t="str">
        <f>IF('01_Rohdaten'!A2731="","",'01_Rohdaten'!A2731)</f>
        <v/>
      </c>
      <c r="C2731" s="17" t="str">
        <f>IF(B2731="","",INDEX('01_Rohdaten'!B2731:D2731,'02_Eingaben'!$C$13))</f>
        <v/>
      </c>
      <c r="D2731" s="17" t="str">
        <f>IF(C2731="","",C2731*'02_Eingaben'!$C$15)</f>
        <v/>
      </c>
      <c r="E2731" s="17" t="str">
        <f>IF(D2731="","",D2731*'02_Eingaben'!$C$8)</f>
        <v/>
      </c>
      <c r="F2731" s="17" t="str">
        <f>IF(E2731="","",AVERAGE(INDEX($E$2:$E$3001,MAX(1,ROW()-1-'02_Eingaben'!$C$17)):INDEX($E$2:$E$3001,MIN('02_Eingaben'!$C$21,ROW()-1+'02_Eingaben'!$C$17))))</f>
        <v/>
      </c>
      <c r="G2731" s="17" t="str">
        <f>IF(F2731="","",F2731-'02_Eingaben'!$C$10)</f>
        <v/>
      </c>
      <c r="H2731" t="str">
        <f>IF(F2731="","",IF(F2731&lt;'02_Eingaben'!$C$18*'02_Eingaben'!$C$10,1,0))</f>
        <v/>
      </c>
      <c r="I2731" s="17" t="str">
        <f t="shared" si="42"/>
        <v/>
      </c>
      <c r="J2731" s="17" t="str">
        <f>IF(B2731="","",IF(B2730&lt;'02_Eingaben'!$C$36,0,J2730+I2730/'02_Eingaben'!$C$8))</f>
        <v/>
      </c>
    </row>
    <row r="2732" spans="1:10" x14ac:dyDescent="0.25">
      <c r="A2732" t="str">
        <f>IF('01_Rohdaten'!A2732="","",ROW()-1)</f>
        <v/>
      </c>
      <c r="B2732" s="17" t="str">
        <f>IF('01_Rohdaten'!A2732="","",'01_Rohdaten'!A2732)</f>
        <v/>
      </c>
      <c r="C2732" s="17" t="str">
        <f>IF(B2732="","",INDEX('01_Rohdaten'!B2732:D2732,'02_Eingaben'!$C$13))</f>
        <v/>
      </c>
      <c r="D2732" s="17" t="str">
        <f>IF(C2732="","",C2732*'02_Eingaben'!$C$15)</f>
        <v/>
      </c>
      <c r="E2732" s="17" t="str">
        <f>IF(D2732="","",D2732*'02_Eingaben'!$C$8)</f>
        <v/>
      </c>
      <c r="F2732" s="17" t="str">
        <f>IF(E2732="","",AVERAGE(INDEX($E$2:$E$3001,MAX(1,ROW()-1-'02_Eingaben'!$C$17)):INDEX($E$2:$E$3001,MIN('02_Eingaben'!$C$21,ROW()-1+'02_Eingaben'!$C$17))))</f>
        <v/>
      </c>
      <c r="G2732" s="17" t="str">
        <f>IF(F2732="","",F2732-'02_Eingaben'!$C$10)</f>
        <v/>
      </c>
      <c r="H2732" t="str">
        <f>IF(F2732="","",IF(F2732&lt;'02_Eingaben'!$C$18*'02_Eingaben'!$C$10,1,0))</f>
        <v/>
      </c>
      <c r="I2732" s="17" t="str">
        <f t="shared" si="42"/>
        <v/>
      </c>
      <c r="J2732" s="17" t="str">
        <f>IF(B2732="","",IF(B2731&lt;'02_Eingaben'!$C$36,0,J2731+I2731/'02_Eingaben'!$C$8))</f>
        <v/>
      </c>
    </row>
    <row r="2733" spans="1:10" x14ac:dyDescent="0.25">
      <c r="A2733" t="str">
        <f>IF('01_Rohdaten'!A2733="","",ROW()-1)</f>
        <v/>
      </c>
      <c r="B2733" s="17" t="str">
        <f>IF('01_Rohdaten'!A2733="","",'01_Rohdaten'!A2733)</f>
        <v/>
      </c>
      <c r="C2733" s="17" t="str">
        <f>IF(B2733="","",INDEX('01_Rohdaten'!B2733:D2733,'02_Eingaben'!$C$13))</f>
        <v/>
      </c>
      <c r="D2733" s="17" t="str">
        <f>IF(C2733="","",C2733*'02_Eingaben'!$C$15)</f>
        <v/>
      </c>
      <c r="E2733" s="17" t="str">
        <f>IF(D2733="","",D2733*'02_Eingaben'!$C$8)</f>
        <v/>
      </c>
      <c r="F2733" s="17" t="str">
        <f>IF(E2733="","",AVERAGE(INDEX($E$2:$E$3001,MAX(1,ROW()-1-'02_Eingaben'!$C$17)):INDEX($E$2:$E$3001,MIN('02_Eingaben'!$C$21,ROW()-1+'02_Eingaben'!$C$17))))</f>
        <v/>
      </c>
      <c r="G2733" s="17" t="str">
        <f>IF(F2733="","",F2733-'02_Eingaben'!$C$10)</f>
        <v/>
      </c>
      <c r="H2733" t="str">
        <f>IF(F2733="","",IF(F2733&lt;'02_Eingaben'!$C$18*'02_Eingaben'!$C$10,1,0))</f>
        <v/>
      </c>
      <c r="I2733" s="17" t="str">
        <f t="shared" si="42"/>
        <v/>
      </c>
      <c r="J2733" s="17" t="str">
        <f>IF(B2733="","",IF(B2732&lt;'02_Eingaben'!$C$36,0,J2732+I2732/'02_Eingaben'!$C$8))</f>
        <v/>
      </c>
    </row>
    <row r="2734" spans="1:10" x14ac:dyDescent="0.25">
      <c r="A2734" t="str">
        <f>IF('01_Rohdaten'!A2734="","",ROW()-1)</f>
        <v/>
      </c>
      <c r="B2734" s="17" t="str">
        <f>IF('01_Rohdaten'!A2734="","",'01_Rohdaten'!A2734)</f>
        <v/>
      </c>
      <c r="C2734" s="17" t="str">
        <f>IF(B2734="","",INDEX('01_Rohdaten'!B2734:D2734,'02_Eingaben'!$C$13))</f>
        <v/>
      </c>
      <c r="D2734" s="17" t="str">
        <f>IF(C2734="","",C2734*'02_Eingaben'!$C$15)</f>
        <v/>
      </c>
      <c r="E2734" s="17" t="str">
        <f>IF(D2734="","",D2734*'02_Eingaben'!$C$8)</f>
        <v/>
      </c>
      <c r="F2734" s="17" t="str">
        <f>IF(E2734="","",AVERAGE(INDEX($E$2:$E$3001,MAX(1,ROW()-1-'02_Eingaben'!$C$17)):INDEX($E$2:$E$3001,MIN('02_Eingaben'!$C$21,ROW()-1+'02_Eingaben'!$C$17))))</f>
        <v/>
      </c>
      <c r="G2734" s="17" t="str">
        <f>IF(F2734="","",F2734-'02_Eingaben'!$C$10)</f>
        <v/>
      </c>
      <c r="H2734" t="str">
        <f>IF(F2734="","",IF(F2734&lt;'02_Eingaben'!$C$18*'02_Eingaben'!$C$10,1,0))</f>
        <v/>
      </c>
      <c r="I2734" s="17" t="str">
        <f t="shared" si="42"/>
        <v/>
      </c>
      <c r="J2734" s="17" t="str">
        <f>IF(B2734="","",IF(B2733&lt;'02_Eingaben'!$C$36,0,J2733+I2733/'02_Eingaben'!$C$8))</f>
        <v/>
      </c>
    </row>
    <row r="2735" spans="1:10" x14ac:dyDescent="0.25">
      <c r="A2735" t="str">
        <f>IF('01_Rohdaten'!A2735="","",ROW()-1)</f>
        <v/>
      </c>
      <c r="B2735" s="17" t="str">
        <f>IF('01_Rohdaten'!A2735="","",'01_Rohdaten'!A2735)</f>
        <v/>
      </c>
      <c r="C2735" s="17" t="str">
        <f>IF(B2735="","",INDEX('01_Rohdaten'!B2735:D2735,'02_Eingaben'!$C$13))</f>
        <v/>
      </c>
      <c r="D2735" s="17" t="str">
        <f>IF(C2735="","",C2735*'02_Eingaben'!$C$15)</f>
        <v/>
      </c>
      <c r="E2735" s="17" t="str">
        <f>IF(D2735="","",D2735*'02_Eingaben'!$C$8)</f>
        <v/>
      </c>
      <c r="F2735" s="17" t="str">
        <f>IF(E2735="","",AVERAGE(INDEX($E$2:$E$3001,MAX(1,ROW()-1-'02_Eingaben'!$C$17)):INDEX($E$2:$E$3001,MIN('02_Eingaben'!$C$21,ROW()-1+'02_Eingaben'!$C$17))))</f>
        <v/>
      </c>
      <c r="G2735" s="17" t="str">
        <f>IF(F2735="","",F2735-'02_Eingaben'!$C$10)</f>
        <v/>
      </c>
      <c r="H2735" t="str">
        <f>IF(F2735="","",IF(F2735&lt;'02_Eingaben'!$C$18*'02_Eingaben'!$C$10,1,0))</f>
        <v/>
      </c>
      <c r="I2735" s="17" t="str">
        <f t="shared" si="42"/>
        <v/>
      </c>
      <c r="J2735" s="17" t="str">
        <f>IF(B2735="","",IF(B2734&lt;'02_Eingaben'!$C$36,0,J2734+I2734/'02_Eingaben'!$C$8))</f>
        <v/>
      </c>
    </row>
    <row r="2736" spans="1:10" x14ac:dyDescent="0.25">
      <c r="A2736" t="str">
        <f>IF('01_Rohdaten'!A2736="","",ROW()-1)</f>
        <v/>
      </c>
      <c r="B2736" s="17" t="str">
        <f>IF('01_Rohdaten'!A2736="","",'01_Rohdaten'!A2736)</f>
        <v/>
      </c>
      <c r="C2736" s="17" t="str">
        <f>IF(B2736="","",INDEX('01_Rohdaten'!B2736:D2736,'02_Eingaben'!$C$13))</f>
        <v/>
      </c>
      <c r="D2736" s="17" t="str">
        <f>IF(C2736="","",C2736*'02_Eingaben'!$C$15)</f>
        <v/>
      </c>
      <c r="E2736" s="17" t="str">
        <f>IF(D2736="","",D2736*'02_Eingaben'!$C$8)</f>
        <v/>
      </c>
      <c r="F2736" s="17" t="str">
        <f>IF(E2736="","",AVERAGE(INDEX($E$2:$E$3001,MAX(1,ROW()-1-'02_Eingaben'!$C$17)):INDEX($E$2:$E$3001,MIN('02_Eingaben'!$C$21,ROW()-1+'02_Eingaben'!$C$17))))</f>
        <v/>
      </c>
      <c r="G2736" s="17" t="str">
        <f>IF(F2736="","",F2736-'02_Eingaben'!$C$10)</f>
        <v/>
      </c>
      <c r="H2736" t="str">
        <f>IF(F2736="","",IF(F2736&lt;'02_Eingaben'!$C$18*'02_Eingaben'!$C$10,1,0))</f>
        <v/>
      </c>
      <c r="I2736" s="17" t="str">
        <f t="shared" si="42"/>
        <v/>
      </c>
      <c r="J2736" s="17" t="str">
        <f>IF(B2736="","",IF(B2735&lt;'02_Eingaben'!$C$36,0,J2735+I2735/'02_Eingaben'!$C$8))</f>
        <v/>
      </c>
    </row>
    <row r="2737" spans="1:10" x14ac:dyDescent="0.25">
      <c r="A2737" t="str">
        <f>IF('01_Rohdaten'!A2737="","",ROW()-1)</f>
        <v/>
      </c>
      <c r="B2737" s="17" t="str">
        <f>IF('01_Rohdaten'!A2737="","",'01_Rohdaten'!A2737)</f>
        <v/>
      </c>
      <c r="C2737" s="17" t="str">
        <f>IF(B2737="","",INDEX('01_Rohdaten'!B2737:D2737,'02_Eingaben'!$C$13))</f>
        <v/>
      </c>
      <c r="D2737" s="17" t="str">
        <f>IF(C2737="","",C2737*'02_Eingaben'!$C$15)</f>
        <v/>
      </c>
      <c r="E2737" s="17" t="str">
        <f>IF(D2737="","",D2737*'02_Eingaben'!$C$8)</f>
        <v/>
      </c>
      <c r="F2737" s="17" t="str">
        <f>IF(E2737="","",AVERAGE(INDEX($E$2:$E$3001,MAX(1,ROW()-1-'02_Eingaben'!$C$17)):INDEX($E$2:$E$3001,MIN('02_Eingaben'!$C$21,ROW()-1+'02_Eingaben'!$C$17))))</f>
        <v/>
      </c>
      <c r="G2737" s="17" t="str">
        <f>IF(F2737="","",F2737-'02_Eingaben'!$C$10)</f>
        <v/>
      </c>
      <c r="H2737" t="str">
        <f>IF(F2737="","",IF(F2737&lt;'02_Eingaben'!$C$18*'02_Eingaben'!$C$10,1,0))</f>
        <v/>
      </c>
      <c r="I2737" s="17" t="str">
        <f t="shared" si="42"/>
        <v/>
      </c>
      <c r="J2737" s="17" t="str">
        <f>IF(B2737="","",IF(B2736&lt;'02_Eingaben'!$C$36,0,J2736+I2736/'02_Eingaben'!$C$8))</f>
        <v/>
      </c>
    </row>
    <row r="2738" spans="1:10" x14ac:dyDescent="0.25">
      <c r="A2738" t="str">
        <f>IF('01_Rohdaten'!A2738="","",ROW()-1)</f>
        <v/>
      </c>
      <c r="B2738" s="17" t="str">
        <f>IF('01_Rohdaten'!A2738="","",'01_Rohdaten'!A2738)</f>
        <v/>
      </c>
      <c r="C2738" s="17" t="str">
        <f>IF(B2738="","",INDEX('01_Rohdaten'!B2738:D2738,'02_Eingaben'!$C$13))</f>
        <v/>
      </c>
      <c r="D2738" s="17" t="str">
        <f>IF(C2738="","",C2738*'02_Eingaben'!$C$15)</f>
        <v/>
      </c>
      <c r="E2738" s="17" t="str">
        <f>IF(D2738="","",D2738*'02_Eingaben'!$C$8)</f>
        <v/>
      </c>
      <c r="F2738" s="17" t="str">
        <f>IF(E2738="","",AVERAGE(INDEX($E$2:$E$3001,MAX(1,ROW()-1-'02_Eingaben'!$C$17)):INDEX($E$2:$E$3001,MIN('02_Eingaben'!$C$21,ROW()-1+'02_Eingaben'!$C$17))))</f>
        <v/>
      </c>
      <c r="G2738" s="17" t="str">
        <f>IF(F2738="","",F2738-'02_Eingaben'!$C$10)</f>
        <v/>
      </c>
      <c r="H2738" t="str">
        <f>IF(F2738="","",IF(F2738&lt;'02_Eingaben'!$C$18*'02_Eingaben'!$C$10,1,0))</f>
        <v/>
      </c>
      <c r="I2738" s="17" t="str">
        <f t="shared" si="42"/>
        <v/>
      </c>
      <c r="J2738" s="17" t="str">
        <f>IF(B2738="","",IF(B2737&lt;'02_Eingaben'!$C$36,0,J2737+I2737/'02_Eingaben'!$C$8))</f>
        <v/>
      </c>
    </row>
    <row r="2739" spans="1:10" x14ac:dyDescent="0.25">
      <c r="A2739" t="str">
        <f>IF('01_Rohdaten'!A2739="","",ROW()-1)</f>
        <v/>
      </c>
      <c r="B2739" s="17" t="str">
        <f>IF('01_Rohdaten'!A2739="","",'01_Rohdaten'!A2739)</f>
        <v/>
      </c>
      <c r="C2739" s="17" t="str">
        <f>IF(B2739="","",INDEX('01_Rohdaten'!B2739:D2739,'02_Eingaben'!$C$13))</f>
        <v/>
      </c>
      <c r="D2739" s="17" t="str">
        <f>IF(C2739="","",C2739*'02_Eingaben'!$C$15)</f>
        <v/>
      </c>
      <c r="E2739" s="17" t="str">
        <f>IF(D2739="","",D2739*'02_Eingaben'!$C$8)</f>
        <v/>
      </c>
      <c r="F2739" s="17" t="str">
        <f>IF(E2739="","",AVERAGE(INDEX($E$2:$E$3001,MAX(1,ROW()-1-'02_Eingaben'!$C$17)):INDEX($E$2:$E$3001,MIN('02_Eingaben'!$C$21,ROW()-1+'02_Eingaben'!$C$17))))</f>
        <v/>
      </c>
      <c r="G2739" s="17" t="str">
        <f>IF(F2739="","",F2739-'02_Eingaben'!$C$10)</f>
        <v/>
      </c>
      <c r="H2739" t="str">
        <f>IF(F2739="","",IF(F2739&lt;'02_Eingaben'!$C$18*'02_Eingaben'!$C$10,1,0))</f>
        <v/>
      </c>
      <c r="I2739" s="17" t="str">
        <f t="shared" si="42"/>
        <v/>
      </c>
      <c r="J2739" s="17" t="str">
        <f>IF(B2739="","",IF(B2738&lt;'02_Eingaben'!$C$36,0,J2738+I2738/'02_Eingaben'!$C$8))</f>
        <v/>
      </c>
    </row>
    <row r="2740" spans="1:10" x14ac:dyDescent="0.25">
      <c r="A2740" t="str">
        <f>IF('01_Rohdaten'!A2740="","",ROW()-1)</f>
        <v/>
      </c>
      <c r="B2740" s="17" t="str">
        <f>IF('01_Rohdaten'!A2740="","",'01_Rohdaten'!A2740)</f>
        <v/>
      </c>
      <c r="C2740" s="17" t="str">
        <f>IF(B2740="","",INDEX('01_Rohdaten'!B2740:D2740,'02_Eingaben'!$C$13))</f>
        <v/>
      </c>
      <c r="D2740" s="17" t="str">
        <f>IF(C2740="","",C2740*'02_Eingaben'!$C$15)</f>
        <v/>
      </c>
      <c r="E2740" s="17" t="str">
        <f>IF(D2740="","",D2740*'02_Eingaben'!$C$8)</f>
        <v/>
      </c>
      <c r="F2740" s="17" t="str">
        <f>IF(E2740="","",AVERAGE(INDEX($E$2:$E$3001,MAX(1,ROW()-1-'02_Eingaben'!$C$17)):INDEX($E$2:$E$3001,MIN('02_Eingaben'!$C$21,ROW()-1+'02_Eingaben'!$C$17))))</f>
        <v/>
      </c>
      <c r="G2740" s="17" t="str">
        <f>IF(F2740="","",F2740-'02_Eingaben'!$C$10)</f>
        <v/>
      </c>
      <c r="H2740" t="str">
        <f>IF(F2740="","",IF(F2740&lt;'02_Eingaben'!$C$18*'02_Eingaben'!$C$10,1,0))</f>
        <v/>
      </c>
      <c r="I2740" s="17" t="str">
        <f t="shared" si="42"/>
        <v/>
      </c>
      <c r="J2740" s="17" t="str">
        <f>IF(B2740="","",IF(B2739&lt;'02_Eingaben'!$C$36,0,J2739+I2739/'02_Eingaben'!$C$8))</f>
        <v/>
      </c>
    </row>
    <row r="2741" spans="1:10" x14ac:dyDescent="0.25">
      <c r="A2741" t="str">
        <f>IF('01_Rohdaten'!A2741="","",ROW()-1)</f>
        <v/>
      </c>
      <c r="B2741" s="17" t="str">
        <f>IF('01_Rohdaten'!A2741="","",'01_Rohdaten'!A2741)</f>
        <v/>
      </c>
      <c r="C2741" s="17" t="str">
        <f>IF(B2741="","",INDEX('01_Rohdaten'!B2741:D2741,'02_Eingaben'!$C$13))</f>
        <v/>
      </c>
      <c r="D2741" s="17" t="str">
        <f>IF(C2741="","",C2741*'02_Eingaben'!$C$15)</f>
        <v/>
      </c>
      <c r="E2741" s="17" t="str">
        <f>IF(D2741="","",D2741*'02_Eingaben'!$C$8)</f>
        <v/>
      </c>
      <c r="F2741" s="17" t="str">
        <f>IF(E2741="","",AVERAGE(INDEX($E$2:$E$3001,MAX(1,ROW()-1-'02_Eingaben'!$C$17)):INDEX($E$2:$E$3001,MIN('02_Eingaben'!$C$21,ROW()-1+'02_Eingaben'!$C$17))))</f>
        <v/>
      </c>
      <c r="G2741" s="17" t="str">
        <f>IF(F2741="","",F2741-'02_Eingaben'!$C$10)</f>
        <v/>
      </c>
      <c r="H2741" t="str">
        <f>IF(F2741="","",IF(F2741&lt;'02_Eingaben'!$C$18*'02_Eingaben'!$C$10,1,0))</f>
        <v/>
      </c>
      <c r="I2741" s="17" t="str">
        <f t="shared" si="42"/>
        <v/>
      </c>
      <c r="J2741" s="17" t="str">
        <f>IF(B2741="","",IF(B2740&lt;'02_Eingaben'!$C$36,0,J2740+I2740/'02_Eingaben'!$C$8))</f>
        <v/>
      </c>
    </row>
    <row r="2742" spans="1:10" x14ac:dyDescent="0.25">
      <c r="A2742" t="str">
        <f>IF('01_Rohdaten'!A2742="","",ROW()-1)</f>
        <v/>
      </c>
      <c r="B2742" s="17" t="str">
        <f>IF('01_Rohdaten'!A2742="","",'01_Rohdaten'!A2742)</f>
        <v/>
      </c>
      <c r="C2742" s="17" t="str">
        <f>IF(B2742="","",INDEX('01_Rohdaten'!B2742:D2742,'02_Eingaben'!$C$13))</f>
        <v/>
      </c>
      <c r="D2742" s="17" t="str">
        <f>IF(C2742="","",C2742*'02_Eingaben'!$C$15)</f>
        <v/>
      </c>
      <c r="E2742" s="17" t="str">
        <f>IF(D2742="","",D2742*'02_Eingaben'!$C$8)</f>
        <v/>
      </c>
      <c r="F2742" s="17" t="str">
        <f>IF(E2742="","",AVERAGE(INDEX($E$2:$E$3001,MAX(1,ROW()-1-'02_Eingaben'!$C$17)):INDEX($E$2:$E$3001,MIN('02_Eingaben'!$C$21,ROW()-1+'02_Eingaben'!$C$17))))</f>
        <v/>
      </c>
      <c r="G2742" s="17" t="str">
        <f>IF(F2742="","",F2742-'02_Eingaben'!$C$10)</f>
        <v/>
      </c>
      <c r="H2742" t="str">
        <f>IF(F2742="","",IF(F2742&lt;'02_Eingaben'!$C$18*'02_Eingaben'!$C$10,1,0))</f>
        <v/>
      </c>
      <c r="I2742" s="17" t="str">
        <f t="shared" si="42"/>
        <v/>
      </c>
      <c r="J2742" s="17" t="str">
        <f>IF(B2742="","",IF(B2741&lt;'02_Eingaben'!$C$36,0,J2741+I2741/'02_Eingaben'!$C$8))</f>
        <v/>
      </c>
    </row>
    <row r="2743" spans="1:10" x14ac:dyDescent="0.25">
      <c r="A2743" t="str">
        <f>IF('01_Rohdaten'!A2743="","",ROW()-1)</f>
        <v/>
      </c>
      <c r="B2743" s="17" t="str">
        <f>IF('01_Rohdaten'!A2743="","",'01_Rohdaten'!A2743)</f>
        <v/>
      </c>
      <c r="C2743" s="17" t="str">
        <f>IF(B2743="","",INDEX('01_Rohdaten'!B2743:D2743,'02_Eingaben'!$C$13))</f>
        <v/>
      </c>
      <c r="D2743" s="17" t="str">
        <f>IF(C2743="","",C2743*'02_Eingaben'!$C$15)</f>
        <v/>
      </c>
      <c r="E2743" s="17" t="str">
        <f>IF(D2743="","",D2743*'02_Eingaben'!$C$8)</f>
        <v/>
      </c>
      <c r="F2743" s="17" t="str">
        <f>IF(E2743="","",AVERAGE(INDEX($E$2:$E$3001,MAX(1,ROW()-1-'02_Eingaben'!$C$17)):INDEX($E$2:$E$3001,MIN('02_Eingaben'!$C$21,ROW()-1+'02_Eingaben'!$C$17))))</f>
        <v/>
      </c>
      <c r="G2743" s="17" t="str">
        <f>IF(F2743="","",F2743-'02_Eingaben'!$C$10)</f>
        <v/>
      </c>
      <c r="H2743" t="str">
        <f>IF(F2743="","",IF(F2743&lt;'02_Eingaben'!$C$18*'02_Eingaben'!$C$10,1,0))</f>
        <v/>
      </c>
      <c r="I2743" s="17" t="str">
        <f t="shared" si="42"/>
        <v/>
      </c>
      <c r="J2743" s="17" t="str">
        <f>IF(B2743="","",IF(B2742&lt;'02_Eingaben'!$C$36,0,J2742+I2742/'02_Eingaben'!$C$8))</f>
        <v/>
      </c>
    </row>
    <row r="2744" spans="1:10" x14ac:dyDescent="0.25">
      <c r="A2744" t="str">
        <f>IF('01_Rohdaten'!A2744="","",ROW()-1)</f>
        <v/>
      </c>
      <c r="B2744" s="17" t="str">
        <f>IF('01_Rohdaten'!A2744="","",'01_Rohdaten'!A2744)</f>
        <v/>
      </c>
      <c r="C2744" s="17" t="str">
        <f>IF(B2744="","",INDEX('01_Rohdaten'!B2744:D2744,'02_Eingaben'!$C$13))</f>
        <v/>
      </c>
      <c r="D2744" s="17" t="str">
        <f>IF(C2744="","",C2744*'02_Eingaben'!$C$15)</f>
        <v/>
      </c>
      <c r="E2744" s="17" t="str">
        <f>IF(D2744="","",D2744*'02_Eingaben'!$C$8)</f>
        <v/>
      </c>
      <c r="F2744" s="17" t="str">
        <f>IF(E2744="","",AVERAGE(INDEX($E$2:$E$3001,MAX(1,ROW()-1-'02_Eingaben'!$C$17)):INDEX($E$2:$E$3001,MIN('02_Eingaben'!$C$21,ROW()-1+'02_Eingaben'!$C$17))))</f>
        <v/>
      </c>
      <c r="G2744" s="17" t="str">
        <f>IF(F2744="","",F2744-'02_Eingaben'!$C$10)</f>
        <v/>
      </c>
      <c r="H2744" t="str">
        <f>IF(F2744="","",IF(F2744&lt;'02_Eingaben'!$C$18*'02_Eingaben'!$C$10,1,0))</f>
        <v/>
      </c>
      <c r="I2744" s="17" t="str">
        <f t="shared" si="42"/>
        <v/>
      </c>
      <c r="J2744" s="17" t="str">
        <f>IF(B2744="","",IF(B2743&lt;'02_Eingaben'!$C$36,0,J2743+I2743/'02_Eingaben'!$C$8))</f>
        <v/>
      </c>
    </row>
    <row r="2745" spans="1:10" x14ac:dyDescent="0.25">
      <c r="A2745" t="str">
        <f>IF('01_Rohdaten'!A2745="","",ROW()-1)</f>
        <v/>
      </c>
      <c r="B2745" s="17" t="str">
        <f>IF('01_Rohdaten'!A2745="","",'01_Rohdaten'!A2745)</f>
        <v/>
      </c>
      <c r="C2745" s="17" t="str">
        <f>IF(B2745="","",INDEX('01_Rohdaten'!B2745:D2745,'02_Eingaben'!$C$13))</f>
        <v/>
      </c>
      <c r="D2745" s="17" t="str">
        <f>IF(C2745="","",C2745*'02_Eingaben'!$C$15)</f>
        <v/>
      </c>
      <c r="E2745" s="17" t="str">
        <f>IF(D2745="","",D2745*'02_Eingaben'!$C$8)</f>
        <v/>
      </c>
      <c r="F2745" s="17" t="str">
        <f>IF(E2745="","",AVERAGE(INDEX($E$2:$E$3001,MAX(1,ROW()-1-'02_Eingaben'!$C$17)):INDEX($E$2:$E$3001,MIN('02_Eingaben'!$C$21,ROW()-1+'02_Eingaben'!$C$17))))</f>
        <v/>
      </c>
      <c r="G2745" s="17" t="str">
        <f>IF(F2745="","",F2745-'02_Eingaben'!$C$10)</f>
        <v/>
      </c>
      <c r="H2745" t="str">
        <f>IF(F2745="","",IF(F2745&lt;'02_Eingaben'!$C$18*'02_Eingaben'!$C$10,1,0))</f>
        <v/>
      </c>
      <c r="I2745" s="17" t="str">
        <f t="shared" si="42"/>
        <v/>
      </c>
      <c r="J2745" s="17" t="str">
        <f>IF(B2745="","",IF(B2744&lt;'02_Eingaben'!$C$36,0,J2744+I2744/'02_Eingaben'!$C$8))</f>
        <v/>
      </c>
    </row>
    <row r="2746" spans="1:10" x14ac:dyDescent="0.25">
      <c r="A2746" t="str">
        <f>IF('01_Rohdaten'!A2746="","",ROW()-1)</f>
        <v/>
      </c>
      <c r="B2746" s="17" t="str">
        <f>IF('01_Rohdaten'!A2746="","",'01_Rohdaten'!A2746)</f>
        <v/>
      </c>
      <c r="C2746" s="17" t="str">
        <f>IF(B2746="","",INDEX('01_Rohdaten'!B2746:D2746,'02_Eingaben'!$C$13))</f>
        <v/>
      </c>
      <c r="D2746" s="17" t="str">
        <f>IF(C2746="","",C2746*'02_Eingaben'!$C$15)</f>
        <v/>
      </c>
      <c r="E2746" s="17" t="str">
        <f>IF(D2746="","",D2746*'02_Eingaben'!$C$8)</f>
        <v/>
      </c>
      <c r="F2746" s="17" t="str">
        <f>IF(E2746="","",AVERAGE(INDEX($E$2:$E$3001,MAX(1,ROW()-1-'02_Eingaben'!$C$17)):INDEX($E$2:$E$3001,MIN('02_Eingaben'!$C$21,ROW()-1+'02_Eingaben'!$C$17))))</f>
        <v/>
      </c>
      <c r="G2746" s="17" t="str">
        <f>IF(F2746="","",F2746-'02_Eingaben'!$C$10)</f>
        <v/>
      </c>
      <c r="H2746" t="str">
        <f>IF(F2746="","",IF(F2746&lt;'02_Eingaben'!$C$18*'02_Eingaben'!$C$10,1,0))</f>
        <v/>
      </c>
      <c r="I2746" s="17" t="str">
        <f t="shared" si="42"/>
        <v/>
      </c>
      <c r="J2746" s="17" t="str">
        <f>IF(B2746="","",IF(B2745&lt;'02_Eingaben'!$C$36,0,J2745+I2745/'02_Eingaben'!$C$8))</f>
        <v/>
      </c>
    </row>
    <row r="2747" spans="1:10" x14ac:dyDescent="0.25">
      <c r="A2747" t="str">
        <f>IF('01_Rohdaten'!A2747="","",ROW()-1)</f>
        <v/>
      </c>
      <c r="B2747" s="17" t="str">
        <f>IF('01_Rohdaten'!A2747="","",'01_Rohdaten'!A2747)</f>
        <v/>
      </c>
      <c r="C2747" s="17" t="str">
        <f>IF(B2747="","",INDEX('01_Rohdaten'!B2747:D2747,'02_Eingaben'!$C$13))</f>
        <v/>
      </c>
      <c r="D2747" s="17" t="str">
        <f>IF(C2747="","",C2747*'02_Eingaben'!$C$15)</f>
        <v/>
      </c>
      <c r="E2747" s="17" t="str">
        <f>IF(D2747="","",D2747*'02_Eingaben'!$C$8)</f>
        <v/>
      </c>
      <c r="F2747" s="17" t="str">
        <f>IF(E2747="","",AVERAGE(INDEX($E$2:$E$3001,MAX(1,ROW()-1-'02_Eingaben'!$C$17)):INDEX($E$2:$E$3001,MIN('02_Eingaben'!$C$21,ROW()-1+'02_Eingaben'!$C$17))))</f>
        <v/>
      </c>
      <c r="G2747" s="17" t="str">
        <f>IF(F2747="","",F2747-'02_Eingaben'!$C$10)</f>
        <v/>
      </c>
      <c r="H2747" t="str">
        <f>IF(F2747="","",IF(F2747&lt;'02_Eingaben'!$C$18*'02_Eingaben'!$C$10,1,0))</f>
        <v/>
      </c>
      <c r="I2747" s="17" t="str">
        <f t="shared" si="42"/>
        <v/>
      </c>
      <c r="J2747" s="17" t="str">
        <f>IF(B2747="","",IF(B2746&lt;'02_Eingaben'!$C$36,0,J2746+I2746/'02_Eingaben'!$C$8))</f>
        <v/>
      </c>
    </row>
    <row r="2748" spans="1:10" x14ac:dyDescent="0.25">
      <c r="A2748" t="str">
        <f>IF('01_Rohdaten'!A2748="","",ROW()-1)</f>
        <v/>
      </c>
      <c r="B2748" s="17" t="str">
        <f>IF('01_Rohdaten'!A2748="","",'01_Rohdaten'!A2748)</f>
        <v/>
      </c>
      <c r="C2748" s="17" t="str">
        <f>IF(B2748="","",INDEX('01_Rohdaten'!B2748:D2748,'02_Eingaben'!$C$13))</f>
        <v/>
      </c>
      <c r="D2748" s="17" t="str">
        <f>IF(C2748="","",C2748*'02_Eingaben'!$C$15)</f>
        <v/>
      </c>
      <c r="E2748" s="17" t="str">
        <f>IF(D2748="","",D2748*'02_Eingaben'!$C$8)</f>
        <v/>
      </c>
      <c r="F2748" s="17" t="str">
        <f>IF(E2748="","",AVERAGE(INDEX($E$2:$E$3001,MAX(1,ROW()-1-'02_Eingaben'!$C$17)):INDEX($E$2:$E$3001,MIN('02_Eingaben'!$C$21,ROW()-1+'02_Eingaben'!$C$17))))</f>
        <v/>
      </c>
      <c r="G2748" s="17" t="str">
        <f>IF(F2748="","",F2748-'02_Eingaben'!$C$10)</f>
        <v/>
      </c>
      <c r="H2748" t="str">
        <f>IF(F2748="","",IF(F2748&lt;'02_Eingaben'!$C$18*'02_Eingaben'!$C$10,1,0))</f>
        <v/>
      </c>
      <c r="I2748" s="17" t="str">
        <f t="shared" si="42"/>
        <v/>
      </c>
      <c r="J2748" s="17" t="str">
        <f>IF(B2748="","",IF(B2747&lt;'02_Eingaben'!$C$36,0,J2747+I2747/'02_Eingaben'!$C$8))</f>
        <v/>
      </c>
    </row>
    <row r="2749" spans="1:10" x14ac:dyDescent="0.25">
      <c r="A2749" t="str">
        <f>IF('01_Rohdaten'!A2749="","",ROW()-1)</f>
        <v/>
      </c>
      <c r="B2749" s="17" t="str">
        <f>IF('01_Rohdaten'!A2749="","",'01_Rohdaten'!A2749)</f>
        <v/>
      </c>
      <c r="C2749" s="17" t="str">
        <f>IF(B2749="","",INDEX('01_Rohdaten'!B2749:D2749,'02_Eingaben'!$C$13))</f>
        <v/>
      </c>
      <c r="D2749" s="17" t="str">
        <f>IF(C2749="","",C2749*'02_Eingaben'!$C$15)</f>
        <v/>
      </c>
      <c r="E2749" s="17" t="str">
        <f>IF(D2749="","",D2749*'02_Eingaben'!$C$8)</f>
        <v/>
      </c>
      <c r="F2749" s="17" t="str">
        <f>IF(E2749="","",AVERAGE(INDEX($E$2:$E$3001,MAX(1,ROW()-1-'02_Eingaben'!$C$17)):INDEX($E$2:$E$3001,MIN('02_Eingaben'!$C$21,ROW()-1+'02_Eingaben'!$C$17))))</f>
        <v/>
      </c>
      <c r="G2749" s="17" t="str">
        <f>IF(F2749="","",F2749-'02_Eingaben'!$C$10)</f>
        <v/>
      </c>
      <c r="H2749" t="str">
        <f>IF(F2749="","",IF(F2749&lt;'02_Eingaben'!$C$18*'02_Eingaben'!$C$10,1,0))</f>
        <v/>
      </c>
      <c r="I2749" s="17" t="str">
        <f t="shared" si="42"/>
        <v/>
      </c>
      <c r="J2749" s="17" t="str">
        <f>IF(B2749="","",IF(B2748&lt;'02_Eingaben'!$C$36,0,J2748+I2748/'02_Eingaben'!$C$8))</f>
        <v/>
      </c>
    </row>
    <row r="2750" spans="1:10" x14ac:dyDescent="0.25">
      <c r="A2750" t="str">
        <f>IF('01_Rohdaten'!A2750="","",ROW()-1)</f>
        <v/>
      </c>
      <c r="B2750" s="17" t="str">
        <f>IF('01_Rohdaten'!A2750="","",'01_Rohdaten'!A2750)</f>
        <v/>
      </c>
      <c r="C2750" s="17" t="str">
        <f>IF(B2750="","",INDEX('01_Rohdaten'!B2750:D2750,'02_Eingaben'!$C$13))</f>
        <v/>
      </c>
      <c r="D2750" s="17" t="str">
        <f>IF(C2750="","",C2750*'02_Eingaben'!$C$15)</f>
        <v/>
      </c>
      <c r="E2750" s="17" t="str">
        <f>IF(D2750="","",D2750*'02_Eingaben'!$C$8)</f>
        <v/>
      </c>
      <c r="F2750" s="17" t="str">
        <f>IF(E2750="","",AVERAGE(INDEX($E$2:$E$3001,MAX(1,ROW()-1-'02_Eingaben'!$C$17)):INDEX($E$2:$E$3001,MIN('02_Eingaben'!$C$21,ROW()-1+'02_Eingaben'!$C$17))))</f>
        <v/>
      </c>
      <c r="G2750" s="17" t="str">
        <f>IF(F2750="","",F2750-'02_Eingaben'!$C$10)</f>
        <v/>
      </c>
      <c r="H2750" t="str">
        <f>IF(F2750="","",IF(F2750&lt;'02_Eingaben'!$C$18*'02_Eingaben'!$C$10,1,0))</f>
        <v/>
      </c>
      <c r="I2750" s="17" t="str">
        <f t="shared" si="42"/>
        <v/>
      </c>
      <c r="J2750" s="17" t="str">
        <f>IF(B2750="","",IF(B2749&lt;'02_Eingaben'!$C$36,0,J2749+I2749/'02_Eingaben'!$C$8))</f>
        <v/>
      </c>
    </row>
    <row r="2751" spans="1:10" x14ac:dyDescent="0.25">
      <c r="A2751" t="str">
        <f>IF('01_Rohdaten'!A2751="","",ROW()-1)</f>
        <v/>
      </c>
      <c r="B2751" s="17" t="str">
        <f>IF('01_Rohdaten'!A2751="","",'01_Rohdaten'!A2751)</f>
        <v/>
      </c>
      <c r="C2751" s="17" t="str">
        <f>IF(B2751="","",INDEX('01_Rohdaten'!B2751:D2751,'02_Eingaben'!$C$13))</f>
        <v/>
      </c>
      <c r="D2751" s="17" t="str">
        <f>IF(C2751="","",C2751*'02_Eingaben'!$C$15)</f>
        <v/>
      </c>
      <c r="E2751" s="17" t="str">
        <f>IF(D2751="","",D2751*'02_Eingaben'!$C$8)</f>
        <v/>
      </c>
      <c r="F2751" s="17" t="str">
        <f>IF(E2751="","",AVERAGE(INDEX($E$2:$E$3001,MAX(1,ROW()-1-'02_Eingaben'!$C$17)):INDEX($E$2:$E$3001,MIN('02_Eingaben'!$C$21,ROW()-1+'02_Eingaben'!$C$17))))</f>
        <v/>
      </c>
      <c r="G2751" s="17" t="str">
        <f>IF(F2751="","",F2751-'02_Eingaben'!$C$10)</f>
        <v/>
      </c>
      <c r="H2751" t="str">
        <f>IF(F2751="","",IF(F2751&lt;'02_Eingaben'!$C$18*'02_Eingaben'!$C$10,1,0))</f>
        <v/>
      </c>
      <c r="I2751" s="17" t="str">
        <f t="shared" si="42"/>
        <v/>
      </c>
      <c r="J2751" s="17" t="str">
        <f>IF(B2751="","",IF(B2750&lt;'02_Eingaben'!$C$36,0,J2750+I2750/'02_Eingaben'!$C$8))</f>
        <v/>
      </c>
    </row>
    <row r="2752" spans="1:10" x14ac:dyDescent="0.25">
      <c r="A2752" t="str">
        <f>IF('01_Rohdaten'!A2752="","",ROW()-1)</f>
        <v/>
      </c>
      <c r="B2752" s="17" t="str">
        <f>IF('01_Rohdaten'!A2752="","",'01_Rohdaten'!A2752)</f>
        <v/>
      </c>
      <c r="C2752" s="17" t="str">
        <f>IF(B2752="","",INDEX('01_Rohdaten'!B2752:D2752,'02_Eingaben'!$C$13))</f>
        <v/>
      </c>
      <c r="D2752" s="17" t="str">
        <f>IF(C2752="","",C2752*'02_Eingaben'!$C$15)</f>
        <v/>
      </c>
      <c r="E2752" s="17" t="str">
        <f>IF(D2752="","",D2752*'02_Eingaben'!$C$8)</f>
        <v/>
      </c>
      <c r="F2752" s="17" t="str">
        <f>IF(E2752="","",AVERAGE(INDEX($E$2:$E$3001,MAX(1,ROW()-1-'02_Eingaben'!$C$17)):INDEX($E$2:$E$3001,MIN('02_Eingaben'!$C$21,ROW()-1+'02_Eingaben'!$C$17))))</f>
        <v/>
      </c>
      <c r="G2752" s="17" t="str">
        <f>IF(F2752="","",F2752-'02_Eingaben'!$C$10)</f>
        <v/>
      </c>
      <c r="H2752" t="str">
        <f>IF(F2752="","",IF(F2752&lt;'02_Eingaben'!$C$18*'02_Eingaben'!$C$10,1,0))</f>
        <v/>
      </c>
      <c r="I2752" s="17" t="str">
        <f t="shared" si="42"/>
        <v/>
      </c>
      <c r="J2752" s="17" t="str">
        <f>IF(B2752="","",IF(B2751&lt;'02_Eingaben'!$C$36,0,J2751+I2751/'02_Eingaben'!$C$8))</f>
        <v/>
      </c>
    </row>
    <row r="2753" spans="1:10" x14ac:dyDescent="0.25">
      <c r="A2753" t="str">
        <f>IF('01_Rohdaten'!A2753="","",ROW()-1)</f>
        <v/>
      </c>
      <c r="B2753" s="17" t="str">
        <f>IF('01_Rohdaten'!A2753="","",'01_Rohdaten'!A2753)</f>
        <v/>
      </c>
      <c r="C2753" s="17" t="str">
        <f>IF(B2753="","",INDEX('01_Rohdaten'!B2753:D2753,'02_Eingaben'!$C$13))</f>
        <v/>
      </c>
      <c r="D2753" s="17" t="str">
        <f>IF(C2753="","",C2753*'02_Eingaben'!$C$15)</f>
        <v/>
      </c>
      <c r="E2753" s="17" t="str">
        <f>IF(D2753="","",D2753*'02_Eingaben'!$C$8)</f>
        <v/>
      </c>
      <c r="F2753" s="17" t="str">
        <f>IF(E2753="","",AVERAGE(INDEX($E$2:$E$3001,MAX(1,ROW()-1-'02_Eingaben'!$C$17)):INDEX($E$2:$E$3001,MIN('02_Eingaben'!$C$21,ROW()-1+'02_Eingaben'!$C$17))))</f>
        <v/>
      </c>
      <c r="G2753" s="17" t="str">
        <f>IF(F2753="","",F2753-'02_Eingaben'!$C$10)</f>
        <v/>
      </c>
      <c r="H2753" t="str">
        <f>IF(F2753="","",IF(F2753&lt;'02_Eingaben'!$C$18*'02_Eingaben'!$C$10,1,0))</f>
        <v/>
      </c>
      <c r="I2753" s="17" t="str">
        <f t="shared" si="42"/>
        <v/>
      </c>
      <c r="J2753" s="17" t="str">
        <f>IF(B2753="","",IF(B2752&lt;'02_Eingaben'!$C$36,0,J2752+I2752/'02_Eingaben'!$C$8))</f>
        <v/>
      </c>
    </row>
    <row r="2754" spans="1:10" x14ac:dyDescent="0.25">
      <c r="A2754" t="str">
        <f>IF('01_Rohdaten'!A2754="","",ROW()-1)</f>
        <v/>
      </c>
      <c r="B2754" s="17" t="str">
        <f>IF('01_Rohdaten'!A2754="","",'01_Rohdaten'!A2754)</f>
        <v/>
      </c>
      <c r="C2754" s="17" t="str">
        <f>IF(B2754="","",INDEX('01_Rohdaten'!B2754:D2754,'02_Eingaben'!$C$13))</f>
        <v/>
      </c>
      <c r="D2754" s="17" t="str">
        <f>IF(C2754="","",C2754*'02_Eingaben'!$C$15)</f>
        <v/>
      </c>
      <c r="E2754" s="17" t="str">
        <f>IF(D2754="","",D2754*'02_Eingaben'!$C$8)</f>
        <v/>
      </c>
      <c r="F2754" s="17" t="str">
        <f>IF(E2754="","",AVERAGE(INDEX($E$2:$E$3001,MAX(1,ROW()-1-'02_Eingaben'!$C$17)):INDEX($E$2:$E$3001,MIN('02_Eingaben'!$C$21,ROW()-1+'02_Eingaben'!$C$17))))</f>
        <v/>
      </c>
      <c r="G2754" s="17" t="str">
        <f>IF(F2754="","",F2754-'02_Eingaben'!$C$10)</f>
        <v/>
      </c>
      <c r="H2754" t="str">
        <f>IF(F2754="","",IF(F2754&lt;'02_Eingaben'!$C$18*'02_Eingaben'!$C$10,1,0))</f>
        <v/>
      </c>
      <c r="I2754" s="17" t="str">
        <f t="shared" ref="I2754:I2817" si="43">IF(OR(G2754="",G2755=""),"",(G2754+G2755)/2*(B2755-B2754))</f>
        <v/>
      </c>
      <c r="J2754" s="17" t="str">
        <f>IF(B2754="","",IF(B2753&lt;'02_Eingaben'!$C$36,0,J2753+I2753/'02_Eingaben'!$C$8))</f>
        <v/>
      </c>
    </row>
    <row r="2755" spans="1:10" x14ac:dyDescent="0.25">
      <c r="A2755" t="str">
        <f>IF('01_Rohdaten'!A2755="","",ROW()-1)</f>
        <v/>
      </c>
      <c r="B2755" s="17" t="str">
        <f>IF('01_Rohdaten'!A2755="","",'01_Rohdaten'!A2755)</f>
        <v/>
      </c>
      <c r="C2755" s="17" t="str">
        <f>IF(B2755="","",INDEX('01_Rohdaten'!B2755:D2755,'02_Eingaben'!$C$13))</f>
        <v/>
      </c>
      <c r="D2755" s="17" t="str">
        <f>IF(C2755="","",C2755*'02_Eingaben'!$C$15)</f>
        <v/>
      </c>
      <c r="E2755" s="17" t="str">
        <f>IF(D2755="","",D2755*'02_Eingaben'!$C$8)</f>
        <v/>
      </c>
      <c r="F2755" s="17" t="str">
        <f>IF(E2755="","",AVERAGE(INDEX($E$2:$E$3001,MAX(1,ROW()-1-'02_Eingaben'!$C$17)):INDEX($E$2:$E$3001,MIN('02_Eingaben'!$C$21,ROW()-1+'02_Eingaben'!$C$17))))</f>
        <v/>
      </c>
      <c r="G2755" s="17" t="str">
        <f>IF(F2755="","",F2755-'02_Eingaben'!$C$10)</f>
        <v/>
      </c>
      <c r="H2755" t="str">
        <f>IF(F2755="","",IF(F2755&lt;'02_Eingaben'!$C$18*'02_Eingaben'!$C$10,1,0))</f>
        <v/>
      </c>
      <c r="I2755" s="17" t="str">
        <f t="shared" si="43"/>
        <v/>
      </c>
      <c r="J2755" s="17" t="str">
        <f>IF(B2755="","",IF(B2754&lt;'02_Eingaben'!$C$36,0,J2754+I2754/'02_Eingaben'!$C$8))</f>
        <v/>
      </c>
    </row>
    <row r="2756" spans="1:10" x14ac:dyDescent="0.25">
      <c r="A2756" t="str">
        <f>IF('01_Rohdaten'!A2756="","",ROW()-1)</f>
        <v/>
      </c>
      <c r="B2756" s="17" t="str">
        <f>IF('01_Rohdaten'!A2756="","",'01_Rohdaten'!A2756)</f>
        <v/>
      </c>
      <c r="C2756" s="17" t="str">
        <f>IF(B2756="","",INDEX('01_Rohdaten'!B2756:D2756,'02_Eingaben'!$C$13))</f>
        <v/>
      </c>
      <c r="D2756" s="17" t="str">
        <f>IF(C2756="","",C2756*'02_Eingaben'!$C$15)</f>
        <v/>
      </c>
      <c r="E2756" s="17" t="str">
        <f>IF(D2756="","",D2756*'02_Eingaben'!$C$8)</f>
        <v/>
      </c>
      <c r="F2756" s="17" t="str">
        <f>IF(E2756="","",AVERAGE(INDEX($E$2:$E$3001,MAX(1,ROW()-1-'02_Eingaben'!$C$17)):INDEX($E$2:$E$3001,MIN('02_Eingaben'!$C$21,ROW()-1+'02_Eingaben'!$C$17))))</f>
        <v/>
      </c>
      <c r="G2756" s="17" t="str">
        <f>IF(F2756="","",F2756-'02_Eingaben'!$C$10)</f>
        <v/>
      </c>
      <c r="H2756" t="str">
        <f>IF(F2756="","",IF(F2756&lt;'02_Eingaben'!$C$18*'02_Eingaben'!$C$10,1,0))</f>
        <v/>
      </c>
      <c r="I2756" s="17" t="str">
        <f t="shared" si="43"/>
        <v/>
      </c>
      <c r="J2756" s="17" t="str">
        <f>IF(B2756="","",IF(B2755&lt;'02_Eingaben'!$C$36,0,J2755+I2755/'02_Eingaben'!$C$8))</f>
        <v/>
      </c>
    </row>
    <row r="2757" spans="1:10" x14ac:dyDescent="0.25">
      <c r="A2757" t="str">
        <f>IF('01_Rohdaten'!A2757="","",ROW()-1)</f>
        <v/>
      </c>
      <c r="B2757" s="17" t="str">
        <f>IF('01_Rohdaten'!A2757="","",'01_Rohdaten'!A2757)</f>
        <v/>
      </c>
      <c r="C2757" s="17" t="str">
        <f>IF(B2757="","",INDEX('01_Rohdaten'!B2757:D2757,'02_Eingaben'!$C$13))</f>
        <v/>
      </c>
      <c r="D2757" s="17" t="str">
        <f>IF(C2757="","",C2757*'02_Eingaben'!$C$15)</f>
        <v/>
      </c>
      <c r="E2757" s="17" t="str">
        <f>IF(D2757="","",D2757*'02_Eingaben'!$C$8)</f>
        <v/>
      </c>
      <c r="F2757" s="17" t="str">
        <f>IF(E2757="","",AVERAGE(INDEX($E$2:$E$3001,MAX(1,ROW()-1-'02_Eingaben'!$C$17)):INDEX($E$2:$E$3001,MIN('02_Eingaben'!$C$21,ROW()-1+'02_Eingaben'!$C$17))))</f>
        <v/>
      </c>
      <c r="G2757" s="17" t="str">
        <f>IF(F2757="","",F2757-'02_Eingaben'!$C$10)</f>
        <v/>
      </c>
      <c r="H2757" t="str">
        <f>IF(F2757="","",IF(F2757&lt;'02_Eingaben'!$C$18*'02_Eingaben'!$C$10,1,0))</f>
        <v/>
      </c>
      <c r="I2757" s="17" t="str">
        <f t="shared" si="43"/>
        <v/>
      </c>
      <c r="J2757" s="17" t="str">
        <f>IF(B2757="","",IF(B2756&lt;'02_Eingaben'!$C$36,0,J2756+I2756/'02_Eingaben'!$C$8))</f>
        <v/>
      </c>
    </row>
    <row r="2758" spans="1:10" x14ac:dyDescent="0.25">
      <c r="A2758" t="str">
        <f>IF('01_Rohdaten'!A2758="","",ROW()-1)</f>
        <v/>
      </c>
      <c r="B2758" s="17" t="str">
        <f>IF('01_Rohdaten'!A2758="","",'01_Rohdaten'!A2758)</f>
        <v/>
      </c>
      <c r="C2758" s="17" t="str">
        <f>IF(B2758="","",INDEX('01_Rohdaten'!B2758:D2758,'02_Eingaben'!$C$13))</f>
        <v/>
      </c>
      <c r="D2758" s="17" t="str">
        <f>IF(C2758="","",C2758*'02_Eingaben'!$C$15)</f>
        <v/>
      </c>
      <c r="E2758" s="17" t="str">
        <f>IF(D2758="","",D2758*'02_Eingaben'!$C$8)</f>
        <v/>
      </c>
      <c r="F2758" s="17" t="str">
        <f>IF(E2758="","",AVERAGE(INDEX($E$2:$E$3001,MAX(1,ROW()-1-'02_Eingaben'!$C$17)):INDEX($E$2:$E$3001,MIN('02_Eingaben'!$C$21,ROW()-1+'02_Eingaben'!$C$17))))</f>
        <v/>
      </c>
      <c r="G2758" s="17" t="str">
        <f>IF(F2758="","",F2758-'02_Eingaben'!$C$10)</f>
        <v/>
      </c>
      <c r="H2758" t="str">
        <f>IF(F2758="","",IF(F2758&lt;'02_Eingaben'!$C$18*'02_Eingaben'!$C$10,1,0))</f>
        <v/>
      </c>
      <c r="I2758" s="17" t="str">
        <f t="shared" si="43"/>
        <v/>
      </c>
      <c r="J2758" s="17" t="str">
        <f>IF(B2758="","",IF(B2757&lt;'02_Eingaben'!$C$36,0,J2757+I2757/'02_Eingaben'!$C$8))</f>
        <v/>
      </c>
    </row>
    <row r="2759" spans="1:10" x14ac:dyDescent="0.25">
      <c r="A2759" t="str">
        <f>IF('01_Rohdaten'!A2759="","",ROW()-1)</f>
        <v/>
      </c>
      <c r="B2759" s="17" t="str">
        <f>IF('01_Rohdaten'!A2759="","",'01_Rohdaten'!A2759)</f>
        <v/>
      </c>
      <c r="C2759" s="17" t="str">
        <f>IF(B2759="","",INDEX('01_Rohdaten'!B2759:D2759,'02_Eingaben'!$C$13))</f>
        <v/>
      </c>
      <c r="D2759" s="17" t="str">
        <f>IF(C2759="","",C2759*'02_Eingaben'!$C$15)</f>
        <v/>
      </c>
      <c r="E2759" s="17" t="str">
        <f>IF(D2759="","",D2759*'02_Eingaben'!$C$8)</f>
        <v/>
      </c>
      <c r="F2759" s="17" t="str">
        <f>IF(E2759="","",AVERAGE(INDEX($E$2:$E$3001,MAX(1,ROW()-1-'02_Eingaben'!$C$17)):INDEX($E$2:$E$3001,MIN('02_Eingaben'!$C$21,ROW()-1+'02_Eingaben'!$C$17))))</f>
        <v/>
      </c>
      <c r="G2759" s="17" t="str">
        <f>IF(F2759="","",F2759-'02_Eingaben'!$C$10)</f>
        <v/>
      </c>
      <c r="H2759" t="str">
        <f>IF(F2759="","",IF(F2759&lt;'02_Eingaben'!$C$18*'02_Eingaben'!$C$10,1,0))</f>
        <v/>
      </c>
      <c r="I2759" s="17" t="str">
        <f t="shared" si="43"/>
        <v/>
      </c>
      <c r="J2759" s="17" t="str">
        <f>IF(B2759="","",IF(B2758&lt;'02_Eingaben'!$C$36,0,J2758+I2758/'02_Eingaben'!$C$8))</f>
        <v/>
      </c>
    </row>
    <row r="2760" spans="1:10" x14ac:dyDescent="0.25">
      <c r="A2760" t="str">
        <f>IF('01_Rohdaten'!A2760="","",ROW()-1)</f>
        <v/>
      </c>
      <c r="B2760" s="17" t="str">
        <f>IF('01_Rohdaten'!A2760="","",'01_Rohdaten'!A2760)</f>
        <v/>
      </c>
      <c r="C2760" s="17" t="str">
        <f>IF(B2760="","",INDEX('01_Rohdaten'!B2760:D2760,'02_Eingaben'!$C$13))</f>
        <v/>
      </c>
      <c r="D2760" s="17" t="str">
        <f>IF(C2760="","",C2760*'02_Eingaben'!$C$15)</f>
        <v/>
      </c>
      <c r="E2760" s="17" t="str">
        <f>IF(D2760="","",D2760*'02_Eingaben'!$C$8)</f>
        <v/>
      </c>
      <c r="F2760" s="17" t="str">
        <f>IF(E2760="","",AVERAGE(INDEX($E$2:$E$3001,MAX(1,ROW()-1-'02_Eingaben'!$C$17)):INDEX($E$2:$E$3001,MIN('02_Eingaben'!$C$21,ROW()-1+'02_Eingaben'!$C$17))))</f>
        <v/>
      </c>
      <c r="G2760" s="17" t="str">
        <f>IF(F2760="","",F2760-'02_Eingaben'!$C$10)</f>
        <v/>
      </c>
      <c r="H2760" t="str">
        <f>IF(F2760="","",IF(F2760&lt;'02_Eingaben'!$C$18*'02_Eingaben'!$C$10,1,0))</f>
        <v/>
      </c>
      <c r="I2760" s="17" t="str">
        <f t="shared" si="43"/>
        <v/>
      </c>
      <c r="J2760" s="17" t="str">
        <f>IF(B2760="","",IF(B2759&lt;'02_Eingaben'!$C$36,0,J2759+I2759/'02_Eingaben'!$C$8))</f>
        <v/>
      </c>
    </row>
    <row r="2761" spans="1:10" x14ac:dyDescent="0.25">
      <c r="A2761" t="str">
        <f>IF('01_Rohdaten'!A2761="","",ROW()-1)</f>
        <v/>
      </c>
      <c r="B2761" s="17" t="str">
        <f>IF('01_Rohdaten'!A2761="","",'01_Rohdaten'!A2761)</f>
        <v/>
      </c>
      <c r="C2761" s="17" t="str">
        <f>IF(B2761="","",INDEX('01_Rohdaten'!B2761:D2761,'02_Eingaben'!$C$13))</f>
        <v/>
      </c>
      <c r="D2761" s="17" t="str">
        <f>IF(C2761="","",C2761*'02_Eingaben'!$C$15)</f>
        <v/>
      </c>
      <c r="E2761" s="17" t="str">
        <f>IF(D2761="","",D2761*'02_Eingaben'!$C$8)</f>
        <v/>
      </c>
      <c r="F2761" s="17" t="str">
        <f>IF(E2761="","",AVERAGE(INDEX($E$2:$E$3001,MAX(1,ROW()-1-'02_Eingaben'!$C$17)):INDEX($E$2:$E$3001,MIN('02_Eingaben'!$C$21,ROW()-1+'02_Eingaben'!$C$17))))</f>
        <v/>
      </c>
      <c r="G2761" s="17" t="str">
        <f>IF(F2761="","",F2761-'02_Eingaben'!$C$10)</f>
        <v/>
      </c>
      <c r="H2761" t="str">
        <f>IF(F2761="","",IF(F2761&lt;'02_Eingaben'!$C$18*'02_Eingaben'!$C$10,1,0))</f>
        <v/>
      </c>
      <c r="I2761" s="17" t="str">
        <f t="shared" si="43"/>
        <v/>
      </c>
      <c r="J2761" s="17" t="str">
        <f>IF(B2761="","",IF(B2760&lt;'02_Eingaben'!$C$36,0,J2760+I2760/'02_Eingaben'!$C$8))</f>
        <v/>
      </c>
    </row>
    <row r="2762" spans="1:10" x14ac:dyDescent="0.25">
      <c r="A2762" t="str">
        <f>IF('01_Rohdaten'!A2762="","",ROW()-1)</f>
        <v/>
      </c>
      <c r="B2762" s="17" t="str">
        <f>IF('01_Rohdaten'!A2762="","",'01_Rohdaten'!A2762)</f>
        <v/>
      </c>
      <c r="C2762" s="17" t="str">
        <f>IF(B2762="","",INDEX('01_Rohdaten'!B2762:D2762,'02_Eingaben'!$C$13))</f>
        <v/>
      </c>
      <c r="D2762" s="17" t="str">
        <f>IF(C2762="","",C2762*'02_Eingaben'!$C$15)</f>
        <v/>
      </c>
      <c r="E2762" s="17" t="str">
        <f>IF(D2762="","",D2762*'02_Eingaben'!$C$8)</f>
        <v/>
      </c>
      <c r="F2762" s="17" t="str">
        <f>IF(E2762="","",AVERAGE(INDEX($E$2:$E$3001,MAX(1,ROW()-1-'02_Eingaben'!$C$17)):INDEX($E$2:$E$3001,MIN('02_Eingaben'!$C$21,ROW()-1+'02_Eingaben'!$C$17))))</f>
        <v/>
      </c>
      <c r="G2762" s="17" t="str">
        <f>IF(F2762="","",F2762-'02_Eingaben'!$C$10)</f>
        <v/>
      </c>
      <c r="H2762" t="str">
        <f>IF(F2762="","",IF(F2762&lt;'02_Eingaben'!$C$18*'02_Eingaben'!$C$10,1,0))</f>
        <v/>
      </c>
      <c r="I2762" s="17" t="str">
        <f t="shared" si="43"/>
        <v/>
      </c>
      <c r="J2762" s="17" t="str">
        <f>IF(B2762="","",IF(B2761&lt;'02_Eingaben'!$C$36,0,J2761+I2761/'02_Eingaben'!$C$8))</f>
        <v/>
      </c>
    </row>
    <row r="2763" spans="1:10" x14ac:dyDescent="0.25">
      <c r="A2763" t="str">
        <f>IF('01_Rohdaten'!A2763="","",ROW()-1)</f>
        <v/>
      </c>
      <c r="B2763" s="17" t="str">
        <f>IF('01_Rohdaten'!A2763="","",'01_Rohdaten'!A2763)</f>
        <v/>
      </c>
      <c r="C2763" s="17" t="str">
        <f>IF(B2763="","",INDEX('01_Rohdaten'!B2763:D2763,'02_Eingaben'!$C$13))</f>
        <v/>
      </c>
      <c r="D2763" s="17" t="str">
        <f>IF(C2763="","",C2763*'02_Eingaben'!$C$15)</f>
        <v/>
      </c>
      <c r="E2763" s="17" t="str">
        <f>IF(D2763="","",D2763*'02_Eingaben'!$C$8)</f>
        <v/>
      </c>
      <c r="F2763" s="17" t="str">
        <f>IF(E2763="","",AVERAGE(INDEX($E$2:$E$3001,MAX(1,ROW()-1-'02_Eingaben'!$C$17)):INDEX($E$2:$E$3001,MIN('02_Eingaben'!$C$21,ROW()-1+'02_Eingaben'!$C$17))))</f>
        <v/>
      </c>
      <c r="G2763" s="17" t="str">
        <f>IF(F2763="","",F2763-'02_Eingaben'!$C$10)</f>
        <v/>
      </c>
      <c r="H2763" t="str">
        <f>IF(F2763="","",IF(F2763&lt;'02_Eingaben'!$C$18*'02_Eingaben'!$C$10,1,0))</f>
        <v/>
      </c>
      <c r="I2763" s="17" t="str">
        <f t="shared" si="43"/>
        <v/>
      </c>
      <c r="J2763" s="17" t="str">
        <f>IF(B2763="","",IF(B2762&lt;'02_Eingaben'!$C$36,0,J2762+I2762/'02_Eingaben'!$C$8))</f>
        <v/>
      </c>
    </row>
    <row r="2764" spans="1:10" x14ac:dyDescent="0.25">
      <c r="A2764" t="str">
        <f>IF('01_Rohdaten'!A2764="","",ROW()-1)</f>
        <v/>
      </c>
      <c r="B2764" s="17" t="str">
        <f>IF('01_Rohdaten'!A2764="","",'01_Rohdaten'!A2764)</f>
        <v/>
      </c>
      <c r="C2764" s="17" t="str">
        <f>IF(B2764="","",INDEX('01_Rohdaten'!B2764:D2764,'02_Eingaben'!$C$13))</f>
        <v/>
      </c>
      <c r="D2764" s="17" t="str">
        <f>IF(C2764="","",C2764*'02_Eingaben'!$C$15)</f>
        <v/>
      </c>
      <c r="E2764" s="17" t="str">
        <f>IF(D2764="","",D2764*'02_Eingaben'!$C$8)</f>
        <v/>
      </c>
      <c r="F2764" s="17" t="str">
        <f>IF(E2764="","",AVERAGE(INDEX($E$2:$E$3001,MAX(1,ROW()-1-'02_Eingaben'!$C$17)):INDEX($E$2:$E$3001,MIN('02_Eingaben'!$C$21,ROW()-1+'02_Eingaben'!$C$17))))</f>
        <v/>
      </c>
      <c r="G2764" s="17" t="str">
        <f>IF(F2764="","",F2764-'02_Eingaben'!$C$10)</f>
        <v/>
      </c>
      <c r="H2764" t="str">
        <f>IF(F2764="","",IF(F2764&lt;'02_Eingaben'!$C$18*'02_Eingaben'!$C$10,1,0))</f>
        <v/>
      </c>
      <c r="I2764" s="17" t="str">
        <f t="shared" si="43"/>
        <v/>
      </c>
      <c r="J2764" s="17" t="str">
        <f>IF(B2764="","",IF(B2763&lt;'02_Eingaben'!$C$36,0,J2763+I2763/'02_Eingaben'!$C$8))</f>
        <v/>
      </c>
    </row>
    <row r="2765" spans="1:10" x14ac:dyDescent="0.25">
      <c r="A2765" t="str">
        <f>IF('01_Rohdaten'!A2765="","",ROW()-1)</f>
        <v/>
      </c>
      <c r="B2765" s="17" t="str">
        <f>IF('01_Rohdaten'!A2765="","",'01_Rohdaten'!A2765)</f>
        <v/>
      </c>
      <c r="C2765" s="17" t="str">
        <f>IF(B2765="","",INDEX('01_Rohdaten'!B2765:D2765,'02_Eingaben'!$C$13))</f>
        <v/>
      </c>
      <c r="D2765" s="17" t="str">
        <f>IF(C2765="","",C2765*'02_Eingaben'!$C$15)</f>
        <v/>
      </c>
      <c r="E2765" s="17" t="str">
        <f>IF(D2765="","",D2765*'02_Eingaben'!$C$8)</f>
        <v/>
      </c>
      <c r="F2765" s="17" t="str">
        <f>IF(E2765="","",AVERAGE(INDEX($E$2:$E$3001,MAX(1,ROW()-1-'02_Eingaben'!$C$17)):INDEX($E$2:$E$3001,MIN('02_Eingaben'!$C$21,ROW()-1+'02_Eingaben'!$C$17))))</f>
        <v/>
      </c>
      <c r="G2765" s="17" t="str">
        <f>IF(F2765="","",F2765-'02_Eingaben'!$C$10)</f>
        <v/>
      </c>
      <c r="H2765" t="str">
        <f>IF(F2765="","",IF(F2765&lt;'02_Eingaben'!$C$18*'02_Eingaben'!$C$10,1,0))</f>
        <v/>
      </c>
      <c r="I2765" s="17" t="str">
        <f t="shared" si="43"/>
        <v/>
      </c>
      <c r="J2765" s="17" t="str">
        <f>IF(B2765="","",IF(B2764&lt;'02_Eingaben'!$C$36,0,J2764+I2764/'02_Eingaben'!$C$8))</f>
        <v/>
      </c>
    </row>
    <row r="2766" spans="1:10" x14ac:dyDescent="0.25">
      <c r="A2766" t="str">
        <f>IF('01_Rohdaten'!A2766="","",ROW()-1)</f>
        <v/>
      </c>
      <c r="B2766" s="17" t="str">
        <f>IF('01_Rohdaten'!A2766="","",'01_Rohdaten'!A2766)</f>
        <v/>
      </c>
      <c r="C2766" s="17" t="str">
        <f>IF(B2766="","",INDEX('01_Rohdaten'!B2766:D2766,'02_Eingaben'!$C$13))</f>
        <v/>
      </c>
      <c r="D2766" s="17" t="str">
        <f>IF(C2766="","",C2766*'02_Eingaben'!$C$15)</f>
        <v/>
      </c>
      <c r="E2766" s="17" t="str">
        <f>IF(D2766="","",D2766*'02_Eingaben'!$C$8)</f>
        <v/>
      </c>
      <c r="F2766" s="17" t="str">
        <f>IF(E2766="","",AVERAGE(INDEX($E$2:$E$3001,MAX(1,ROW()-1-'02_Eingaben'!$C$17)):INDEX($E$2:$E$3001,MIN('02_Eingaben'!$C$21,ROW()-1+'02_Eingaben'!$C$17))))</f>
        <v/>
      </c>
      <c r="G2766" s="17" t="str">
        <f>IF(F2766="","",F2766-'02_Eingaben'!$C$10)</f>
        <v/>
      </c>
      <c r="H2766" t="str">
        <f>IF(F2766="","",IF(F2766&lt;'02_Eingaben'!$C$18*'02_Eingaben'!$C$10,1,0))</f>
        <v/>
      </c>
      <c r="I2766" s="17" t="str">
        <f t="shared" si="43"/>
        <v/>
      </c>
      <c r="J2766" s="17" t="str">
        <f>IF(B2766="","",IF(B2765&lt;'02_Eingaben'!$C$36,0,J2765+I2765/'02_Eingaben'!$C$8))</f>
        <v/>
      </c>
    </row>
    <row r="2767" spans="1:10" x14ac:dyDescent="0.25">
      <c r="A2767" t="str">
        <f>IF('01_Rohdaten'!A2767="","",ROW()-1)</f>
        <v/>
      </c>
      <c r="B2767" s="17" t="str">
        <f>IF('01_Rohdaten'!A2767="","",'01_Rohdaten'!A2767)</f>
        <v/>
      </c>
      <c r="C2767" s="17" t="str">
        <f>IF(B2767="","",INDEX('01_Rohdaten'!B2767:D2767,'02_Eingaben'!$C$13))</f>
        <v/>
      </c>
      <c r="D2767" s="17" t="str">
        <f>IF(C2767="","",C2767*'02_Eingaben'!$C$15)</f>
        <v/>
      </c>
      <c r="E2767" s="17" t="str">
        <f>IF(D2767="","",D2767*'02_Eingaben'!$C$8)</f>
        <v/>
      </c>
      <c r="F2767" s="17" t="str">
        <f>IF(E2767="","",AVERAGE(INDEX($E$2:$E$3001,MAX(1,ROW()-1-'02_Eingaben'!$C$17)):INDEX($E$2:$E$3001,MIN('02_Eingaben'!$C$21,ROW()-1+'02_Eingaben'!$C$17))))</f>
        <v/>
      </c>
      <c r="G2767" s="17" t="str">
        <f>IF(F2767="","",F2767-'02_Eingaben'!$C$10)</f>
        <v/>
      </c>
      <c r="H2767" t="str">
        <f>IF(F2767="","",IF(F2767&lt;'02_Eingaben'!$C$18*'02_Eingaben'!$C$10,1,0))</f>
        <v/>
      </c>
      <c r="I2767" s="17" t="str">
        <f t="shared" si="43"/>
        <v/>
      </c>
      <c r="J2767" s="17" t="str">
        <f>IF(B2767="","",IF(B2766&lt;'02_Eingaben'!$C$36,0,J2766+I2766/'02_Eingaben'!$C$8))</f>
        <v/>
      </c>
    </row>
    <row r="2768" spans="1:10" x14ac:dyDescent="0.25">
      <c r="A2768" t="str">
        <f>IF('01_Rohdaten'!A2768="","",ROW()-1)</f>
        <v/>
      </c>
      <c r="B2768" s="17" t="str">
        <f>IF('01_Rohdaten'!A2768="","",'01_Rohdaten'!A2768)</f>
        <v/>
      </c>
      <c r="C2768" s="17" t="str">
        <f>IF(B2768="","",INDEX('01_Rohdaten'!B2768:D2768,'02_Eingaben'!$C$13))</f>
        <v/>
      </c>
      <c r="D2768" s="17" t="str">
        <f>IF(C2768="","",C2768*'02_Eingaben'!$C$15)</f>
        <v/>
      </c>
      <c r="E2768" s="17" t="str">
        <f>IF(D2768="","",D2768*'02_Eingaben'!$C$8)</f>
        <v/>
      </c>
      <c r="F2768" s="17" t="str">
        <f>IF(E2768="","",AVERAGE(INDEX($E$2:$E$3001,MAX(1,ROW()-1-'02_Eingaben'!$C$17)):INDEX($E$2:$E$3001,MIN('02_Eingaben'!$C$21,ROW()-1+'02_Eingaben'!$C$17))))</f>
        <v/>
      </c>
      <c r="G2768" s="17" t="str">
        <f>IF(F2768="","",F2768-'02_Eingaben'!$C$10)</f>
        <v/>
      </c>
      <c r="H2768" t="str">
        <f>IF(F2768="","",IF(F2768&lt;'02_Eingaben'!$C$18*'02_Eingaben'!$C$10,1,0))</f>
        <v/>
      </c>
      <c r="I2768" s="17" t="str">
        <f t="shared" si="43"/>
        <v/>
      </c>
      <c r="J2768" s="17" t="str">
        <f>IF(B2768="","",IF(B2767&lt;'02_Eingaben'!$C$36,0,J2767+I2767/'02_Eingaben'!$C$8))</f>
        <v/>
      </c>
    </row>
    <row r="2769" spans="1:10" x14ac:dyDescent="0.25">
      <c r="A2769" t="str">
        <f>IF('01_Rohdaten'!A2769="","",ROW()-1)</f>
        <v/>
      </c>
      <c r="B2769" s="17" t="str">
        <f>IF('01_Rohdaten'!A2769="","",'01_Rohdaten'!A2769)</f>
        <v/>
      </c>
      <c r="C2769" s="17" t="str">
        <f>IF(B2769="","",INDEX('01_Rohdaten'!B2769:D2769,'02_Eingaben'!$C$13))</f>
        <v/>
      </c>
      <c r="D2769" s="17" t="str">
        <f>IF(C2769="","",C2769*'02_Eingaben'!$C$15)</f>
        <v/>
      </c>
      <c r="E2769" s="17" t="str">
        <f>IF(D2769="","",D2769*'02_Eingaben'!$C$8)</f>
        <v/>
      </c>
      <c r="F2769" s="17" t="str">
        <f>IF(E2769="","",AVERAGE(INDEX($E$2:$E$3001,MAX(1,ROW()-1-'02_Eingaben'!$C$17)):INDEX($E$2:$E$3001,MIN('02_Eingaben'!$C$21,ROW()-1+'02_Eingaben'!$C$17))))</f>
        <v/>
      </c>
      <c r="G2769" s="17" t="str">
        <f>IF(F2769="","",F2769-'02_Eingaben'!$C$10)</f>
        <v/>
      </c>
      <c r="H2769" t="str">
        <f>IF(F2769="","",IF(F2769&lt;'02_Eingaben'!$C$18*'02_Eingaben'!$C$10,1,0))</f>
        <v/>
      </c>
      <c r="I2769" s="17" t="str">
        <f t="shared" si="43"/>
        <v/>
      </c>
      <c r="J2769" s="17" t="str">
        <f>IF(B2769="","",IF(B2768&lt;'02_Eingaben'!$C$36,0,J2768+I2768/'02_Eingaben'!$C$8))</f>
        <v/>
      </c>
    </row>
    <row r="2770" spans="1:10" x14ac:dyDescent="0.25">
      <c r="A2770" t="str">
        <f>IF('01_Rohdaten'!A2770="","",ROW()-1)</f>
        <v/>
      </c>
      <c r="B2770" s="17" t="str">
        <f>IF('01_Rohdaten'!A2770="","",'01_Rohdaten'!A2770)</f>
        <v/>
      </c>
      <c r="C2770" s="17" t="str">
        <f>IF(B2770="","",INDEX('01_Rohdaten'!B2770:D2770,'02_Eingaben'!$C$13))</f>
        <v/>
      </c>
      <c r="D2770" s="17" t="str">
        <f>IF(C2770="","",C2770*'02_Eingaben'!$C$15)</f>
        <v/>
      </c>
      <c r="E2770" s="17" t="str">
        <f>IF(D2770="","",D2770*'02_Eingaben'!$C$8)</f>
        <v/>
      </c>
      <c r="F2770" s="17" t="str">
        <f>IF(E2770="","",AVERAGE(INDEX($E$2:$E$3001,MAX(1,ROW()-1-'02_Eingaben'!$C$17)):INDEX($E$2:$E$3001,MIN('02_Eingaben'!$C$21,ROW()-1+'02_Eingaben'!$C$17))))</f>
        <v/>
      </c>
      <c r="G2770" s="17" t="str">
        <f>IF(F2770="","",F2770-'02_Eingaben'!$C$10)</f>
        <v/>
      </c>
      <c r="H2770" t="str">
        <f>IF(F2770="","",IF(F2770&lt;'02_Eingaben'!$C$18*'02_Eingaben'!$C$10,1,0))</f>
        <v/>
      </c>
      <c r="I2770" s="17" t="str">
        <f t="shared" si="43"/>
        <v/>
      </c>
      <c r="J2770" s="17" t="str">
        <f>IF(B2770="","",IF(B2769&lt;'02_Eingaben'!$C$36,0,J2769+I2769/'02_Eingaben'!$C$8))</f>
        <v/>
      </c>
    </row>
    <row r="2771" spans="1:10" x14ac:dyDescent="0.25">
      <c r="A2771" t="str">
        <f>IF('01_Rohdaten'!A2771="","",ROW()-1)</f>
        <v/>
      </c>
      <c r="B2771" s="17" t="str">
        <f>IF('01_Rohdaten'!A2771="","",'01_Rohdaten'!A2771)</f>
        <v/>
      </c>
      <c r="C2771" s="17" t="str">
        <f>IF(B2771="","",INDEX('01_Rohdaten'!B2771:D2771,'02_Eingaben'!$C$13))</f>
        <v/>
      </c>
      <c r="D2771" s="17" t="str">
        <f>IF(C2771="","",C2771*'02_Eingaben'!$C$15)</f>
        <v/>
      </c>
      <c r="E2771" s="17" t="str">
        <f>IF(D2771="","",D2771*'02_Eingaben'!$C$8)</f>
        <v/>
      </c>
      <c r="F2771" s="17" t="str">
        <f>IF(E2771="","",AVERAGE(INDEX($E$2:$E$3001,MAX(1,ROW()-1-'02_Eingaben'!$C$17)):INDEX($E$2:$E$3001,MIN('02_Eingaben'!$C$21,ROW()-1+'02_Eingaben'!$C$17))))</f>
        <v/>
      </c>
      <c r="G2771" s="17" t="str">
        <f>IF(F2771="","",F2771-'02_Eingaben'!$C$10)</f>
        <v/>
      </c>
      <c r="H2771" t="str">
        <f>IF(F2771="","",IF(F2771&lt;'02_Eingaben'!$C$18*'02_Eingaben'!$C$10,1,0))</f>
        <v/>
      </c>
      <c r="I2771" s="17" t="str">
        <f t="shared" si="43"/>
        <v/>
      </c>
      <c r="J2771" s="17" t="str">
        <f>IF(B2771="","",IF(B2770&lt;'02_Eingaben'!$C$36,0,J2770+I2770/'02_Eingaben'!$C$8))</f>
        <v/>
      </c>
    </row>
    <row r="2772" spans="1:10" x14ac:dyDescent="0.25">
      <c r="A2772" t="str">
        <f>IF('01_Rohdaten'!A2772="","",ROW()-1)</f>
        <v/>
      </c>
      <c r="B2772" s="17" t="str">
        <f>IF('01_Rohdaten'!A2772="","",'01_Rohdaten'!A2772)</f>
        <v/>
      </c>
      <c r="C2772" s="17" t="str">
        <f>IF(B2772="","",INDEX('01_Rohdaten'!B2772:D2772,'02_Eingaben'!$C$13))</f>
        <v/>
      </c>
      <c r="D2772" s="17" t="str">
        <f>IF(C2772="","",C2772*'02_Eingaben'!$C$15)</f>
        <v/>
      </c>
      <c r="E2772" s="17" t="str">
        <f>IF(D2772="","",D2772*'02_Eingaben'!$C$8)</f>
        <v/>
      </c>
      <c r="F2772" s="17" t="str">
        <f>IF(E2772="","",AVERAGE(INDEX($E$2:$E$3001,MAX(1,ROW()-1-'02_Eingaben'!$C$17)):INDEX($E$2:$E$3001,MIN('02_Eingaben'!$C$21,ROW()-1+'02_Eingaben'!$C$17))))</f>
        <v/>
      </c>
      <c r="G2772" s="17" t="str">
        <f>IF(F2772="","",F2772-'02_Eingaben'!$C$10)</f>
        <v/>
      </c>
      <c r="H2772" t="str">
        <f>IF(F2772="","",IF(F2772&lt;'02_Eingaben'!$C$18*'02_Eingaben'!$C$10,1,0))</f>
        <v/>
      </c>
      <c r="I2772" s="17" t="str">
        <f t="shared" si="43"/>
        <v/>
      </c>
      <c r="J2772" s="17" t="str">
        <f>IF(B2772="","",IF(B2771&lt;'02_Eingaben'!$C$36,0,J2771+I2771/'02_Eingaben'!$C$8))</f>
        <v/>
      </c>
    </row>
    <row r="2773" spans="1:10" x14ac:dyDescent="0.25">
      <c r="A2773" t="str">
        <f>IF('01_Rohdaten'!A2773="","",ROW()-1)</f>
        <v/>
      </c>
      <c r="B2773" s="17" t="str">
        <f>IF('01_Rohdaten'!A2773="","",'01_Rohdaten'!A2773)</f>
        <v/>
      </c>
      <c r="C2773" s="17" t="str">
        <f>IF(B2773="","",INDEX('01_Rohdaten'!B2773:D2773,'02_Eingaben'!$C$13))</f>
        <v/>
      </c>
      <c r="D2773" s="17" t="str">
        <f>IF(C2773="","",C2773*'02_Eingaben'!$C$15)</f>
        <v/>
      </c>
      <c r="E2773" s="17" t="str">
        <f>IF(D2773="","",D2773*'02_Eingaben'!$C$8)</f>
        <v/>
      </c>
      <c r="F2773" s="17" t="str">
        <f>IF(E2773="","",AVERAGE(INDEX($E$2:$E$3001,MAX(1,ROW()-1-'02_Eingaben'!$C$17)):INDEX($E$2:$E$3001,MIN('02_Eingaben'!$C$21,ROW()-1+'02_Eingaben'!$C$17))))</f>
        <v/>
      </c>
      <c r="G2773" s="17" t="str">
        <f>IF(F2773="","",F2773-'02_Eingaben'!$C$10)</f>
        <v/>
      </c>
      <c r="H2773" t="str">
        <f>IF(F2773="","",IF(F2773&lt;'02_Eingaben'!$C$18*'02_Eingaben'!$C$10,1,0))</f>
        <v/>
      </c>
      <c r="I2773" s="17" t="str">
        <f t="shared" si="43"/>
        <v/>
      </c>
      <c r="J2773" s="17" t="str">
        <f>IF(B2773="","",IF(B2772&lt;'02_Eingaben'!$C$36,0,J2772+I2772/'02_Eingaben'!$C$8))</f>
        <v/>
      </c>
    </row>
    <row r="2774" spans="1:10" x14ac:dyDescent="0.25">
      <c r="A2774" t="str">
        <f>IF('01_Rohdaten'!A2774="","",ROW()-1)</f>
        <v/>
      </c>
      <c r="B2774" s="17" t="str">
        <f>IF('01_Rohdaten'!A2774="","",'01_Rohdaten'!A2774)</f>
        <v/>
      </c>
      <c r="C2774" s="17" t="str">
        <f>IF(B2774="","",INDEX('01_Rohdaten'!B2774:D2774,'02_Eingaben'!$C$13))</f>
        <v/>
      </c>
      <c r="D2774" s="17" t="str">
        <f>IF(C2774="","",C2774*'02_Eingaben'!$C$15)</f>
        <v/>
      </c>
      <c r="E2774" s="17" t="str">
        <f>IF(D2774="","",D2774*'02_Eingaben'!$C$8)</f>
        <v/>
      </c>
      <c r="F2774" s="17" t="str">
        <f>IF(E2774="","",AVERAGE(INDEX($E$2:$E$3001,MAX(1,ROW()-1-'02_Eingaben'!$C$17)):INDEX($E$2:$E$3001,MIN('02_Eingaben'!$C$21,ROW()-1+'02_Eingaben'!$C$17))))</f>
        <v/>
      </c>
      <c r="G2774" s="17" t="str">
        <f>IF(F2774="","",F2774-'02_Eingaben'!$C$10)</f>
        <v/>
      </c>
      <c r="H2774" t="str">
        <f>IF(F2774="","",IF(F2774&lt;'02_Eingaben'!$C$18*'02_Eingaben'!$C$10,1,0))</f>
        <v/>
      </c>
      <c r="I2774" s="17" t="str">
        <f t="shared" si="43"/>
        <v/>
      </c>
      <c r="J2774" s="17" t="str">
        <f>IF(B2774="","",IF(B2773&lt;'02_Eingaben'!$C$36,0,J2773+I2773/'02_Eingaben'!$C$8))</f>
        <v/>
      </c>
    </row>
    <row r="2775" spans="1:10" x14ac:dyDescent="0.25">
      <c r="A2775" t="str">
        <f>IF('01_Rohdaten'!A2775="","",ROW()-1)</f>
        <v/>
      </c>
      <c r="B2775" s="17" t="str">
        <f>IF('01_Rohdaten'!A2775="","",'01_Rohdaten'!A2775)</f>
        <v/>
      </c>
      <c r="C2775" s="17" t="str">
        <f>IF(B2775="","",INDEX('01_Rohdaten'!B2775:D2775,'02_Eingaben'!$C$13))</f>
        <v/>
      </c>
      <c r="D2775" s="17" t="str">
        <f>IF(C2775="","",C2775*'02_Eingaben'!$C$15)</f>
        <v/>
      </c>
      <c r="E2775" s="17" t="str">
        <f>IF(D2775="","",D2775*'02_Eingaben'!$C$8)</f>
        <v/>
      </c>
      <c r="F2775" s="17" t="str">
        <f>IF(E2775="","",AVERAGE(INDEX($E$2:$E$3001,MAX(1,ROW()-1-'02_Eingaben'!$C$17)):INDEX($E$2:$E$3001,MIN('02_Eingaben'!$C$21,ROW()-1+'02_Eingaben'!$C$17))))</f>
        <v/>
      </c>
      <c r="G2775" s="17" t="str">
        <f>IF(F2775="","",F2775-'02_Eingaben'!$C$10)</f>
        <v/>
      </c>
      <c r="H2775" t="str">
        <f>IF(F2775="","",IF(F2775&lt;'02_Eingaben'!$C$18*'02_Eingaben'!$C$10,1,0))</f>
        <v/>
      </c>
      <c r="I2775" s="17" t="str">
        <f t="shared" si="43"/>
        <v/>
      </c>
      <c r="J2775" s="17" t="str">
        <f>IF(B2775="","",IF(B2774&lt;'02_Eingaben'!$C$36,0,J2774+I2774/'02_Eingaben'!$C$8))</f>
        <v/>
      </c>
    </row>
    <row r="2776" spans="1:10" x14ac:dyDescent="0.25">
      <c r="A2776" t="str">
        <f>IF('01_Rohdaten'!A2776="","",ROW()-1)</f>
        <v/>
      </c>
      <c r="B2776" s="17" t="str">
        <f>IF('01_Rohdaten'!A2776="","",'01_Rohdaten'!A2776)</f>
        <v/>
      </c>
      <c r="C2776" s="17" t="str">
        <f>IF(B2776="","",INDEX('01_Rohdaten'!B2776:D2776,'02_Eingaben'!$C$13))</f>
        <v/>
      </c>
      <c r="D2776" s="17" t="str">
        <f>IF(C2776="","",C2776*'02_Eingaben'!$C$15)</f>
        <v/>
      </c>
      <c r="E2776" s="17" t="str">
        <f>IF(D2776="","",D2776*'02_Eingaben'!$C$8)</f>
        <v/>
      </c>
      <c r="F2776" s="17" t="str">
        <f>IF(E2776="","",AVERAGE(INDEX($E$2:$E$3001,MAX(1,ROW()-1-'02_Eingaben'!$C$17)):INDEX($E$2:$E$3001,MIN('02_Eingaben'!$C$21,ROW()-1+'02_Eingaben'!$C$17))))</f>
        <v/>
      </c>
      <c r="G2776" s="17" t="str">
        <f>IF(F2776="","",F2776-'02_Eingaben'!$C$10)</f>
        <v/>
      </c>
      <c r="H2776" t="str">
        <f>IF(F2776="","",IF(F2776&lt;'02_Eingaben'!$C$18*'02_Eingaben'!$C$10,1,0))</f>
        <v/>
      </c>
      <c r="I2776" s="17" t="str">
        <f t="shared" si="43"/>
        <v/>
      </c>
      <c r="J2776" s="17" t="str">
        <f>IF(B2776="","",IF(B2775&lt;'02_Eingaben'!$C$36,0,J2775+I2775/'02_Eingaben'!$C$8))</f>
        <v/>
      </c>
    </row>
    <row r="2777" spans="1:10" x14ac:dyDescent="0.25">
      <c r="A2777" t="str">
        <f>IF('01_Rohdaten'!A2777="","",ROW()-1)</f>
        <v/>
      </c>
      <c r="B2777" s="17" t="str">
        <f>IF('01_Rohdaten'!A2777="","",'01_Rohdaten'!A2777)</f>
        <v/>
      </c>
      <c r="C2777" s="17" t="str">
        <f>IF(B2777="","",INDEX('01_Rohdaten'!B2777:D2777,'02_Eingaben'!$C$13))</f>
        <v/>
      </c>
      <c r="D2777" s="17" t="str">
        <f>IF(C2777="","",C2777*'02_Eingaben'!$C$15)</f>
        <v/>
      </c>
      <c r="E2777" s="17" t="str">
        <f>IF(D2777="","",D2777*'02_Eingaben'!$C$8)</f>
        <v/>
      </c>
      <c r="F2777" s="17" t="str">
        <f>IF(E2777="","",AVERAGE(INDEX($E$2:$E$3001,MAX(1,ROW()-1-'02_Eingaben'!$C$17)):INDEX($E$2:$E$3001,MIN('02_Eingaben'!$C$21,ROW()-1+'02_Eingaben'!$C$17))))</f>
        <v/>
      </c>
      <c r="G2777" s="17" t="str">
        <f>IF(F2777="","",F2777-'02_Eingaben'!$C$10)</f>
        <v/>
      </c>
      <c r="H2777" t="str">
        <f>IF(F2777="","",IF(F2777&lt;'02_Eingaben'!$C$18*'02_Eingaben'!$C$10,1,0))</f>
        <v/>
      </c>
      <c r="I2777" s="17" t="str">
        <f t="shared" si="43"/>
        <v/>
      </c>
      <c r="J2777" s="17" t="str">
        <f>IF(B2777="","",IF(B2776&lt;'02_Eingaben'!$C$36,0,J2776+I2776/'02_Eingaben'!$C$8))</f>
        <v/>
      </c>
    </row>
    <row r="2778" spans="1:10" x14ac:dyDescent="0.25">
      <c r="A2778" t="str">
        <f>IF('01_Rohdaten'!A2778="","",ROW()-1)</f>
        <v/>
      </c>
      <c r="B2778" s="17" t="str">
        <f>IF('01_Rohdaten'!A2778="","",'01_Rohdaten'!A2778)</f>
        <v/>
      </c>
      <c r="C2778" s="17" t="str">
        <f>IF(B2778="","",INDEX('01_Rohdaten'!B2778:D2778,'02_Eingaben'!$C$13))</f>
        <v/>
      </c>
      <c r="D2778" s="17" t="str">
        <f>IF(C2778="","",C2778*'02_Eingaben'!$C$15)</f>
        <v/>
      </c>
      <c r="E2778" s="17" t="str">
        <f>IF(D2778="","",D2778*'02_Eingaben'!$C$8)</f>
        <v/>
      </c>
      <c r="F2778" s="17" t="str">
        <f>IF(E2778="","",AVERAGE(INDEX($E$2:$E$3001,MAX(1,ROW()-1-'02_Eingaben'!$C$17)):INDEX($E$2:$E$3001,MIN('02_Eingaben'!$C$21,ROW()-1+'02_Eingaben'!$C$17))))</f>
        <v/>
      </c>
      <c r="G2778" s="17" t="str">
        <f>IF(F2778="","",F2778-'02_Eingaben'!$C$10)</f>
        <v/>
      </c>
      <c r="H2778" t="str">
        <f>IF(F2778="","",IF(F2778&lt;'02_Eingaben'!$C$18*'02_Eingaben'!$C$10,1,0))</f>
        <v/>
      </c>
      <c r="I2778" s="17" t="str">
        <f t="shared" si="43"/>
        <v/>
      </c>
      <c r="J2778" s="17" t="str">
        <f>IF(B2778="","",IF(B2777&lt;'02_Eingaben'!$C$36,0,J2777+I2777/'02_Eingaben'!$C$8))</f>
        <v/>
      </c>
    </row>
    <row r="2779" spans="1:10" x14ac:dyDescent="0.25">
      <c r="A2779" t="str">
        <f>IF('01_Rohdaten'!A2779="","",ROW()-1)</f>
        <v/>
      </c>
      <c r="B2779" s="17" t="str">
        <f>IF('01_Rohdaten'!A2779="","",'01_Rohdaten'!A2779)</f>
        <v/>
      </c>
      <c r="C2779" s="17" t="str">
        <f>IF(B2779="","",INDEX('01_Rohdaten'!B2779:D2779,'02_Eingaben'!$C$13))</f>
        <v/>
      </c>
      <c r="D2779" s="17" t="str">
        <f>IF(C2779="","",C2779*'02_Eingaben'!$C$15)</f>
        <v/>
      </c>
      <c r="E2779" s="17" t="str">
        <f>IF(D2779="","",D2779*'02_Eingaben'!$C$8)</f>
        <v/>
      </c>
      <c r="F2779" s="17" t="str">
        <f>IF(E2779="","",AVERAGE(INDEX($E$2:$E$3001,MAX(1,ROW()-1-'02_Eingaben'!$C$17)):INDEX($E$2:$E$3001,MIN('02_Eingaben'!$C$21,ROW()-1+'02_Eingaben'!$C$17))))</f>
        <v/>
      </c>
      <c r="G2779" s="17" t="str">
        <f>IF(F2779="","",F2779-'02_Eingaben'!$C$10)</f>
        <v/>
      </c>
      <c r="H2779" t="str">
        <f>IF(F2779="","",IF(F2779&lt;'02_Eingaben'!$C$18*'02_Eingaben'!$C$10,1,0))</f>
        <v/>
      </c>
      <c r="I2779" s="17" t="str">
        <f t="shared" si="43"/>
        <v/>
      </c>
      <c r="J2779" s="17" t="str">
        <f>IF(B2779="","",IF(B2778&lt;'02_Eingaben'!$C$36,0,J2778+I2778/'02_Eingaben'!$C$8))</f>
        <v/>
      </c>
    </row>
    <row r="2780" spans="1:10" x14ac:dyDescent="0.25">
      <c r="A2780" t="str">
        <f>IF('01_Rohdaten'!A2780="","",ROW()-1)</f>
        <v/>
      </c>
      <c r="B2780" s="17" t="str">
        <f>IF('01_Rohdaten'!A2780="","",'01_Rohdaten'!A2780)</f>
        <v/>
      </c>
      <c r="C2780" s="17" t="str">
        <f>IF(B2780="","",INDEX('01_Rohdaten'!B2780:D2780,'02_Eingaben'!$C$13))</f>
        <v/>
      </c>
      <c r="D2780" s="17" t="str">
        <f>IF(C2780="","",C2780*'02_Eingaben'!$C$15)</f>
        <v/>
      </c>
      <c r="E2780" s="17" t="str">
        <f>IF(D2780="","",D2780*'02_Eingaben'!$C$8)</f>
        <v/>
      </c>
      <c r="F2780" s="17" t="str">
        <f>IF(E2780="","",AVERAGE(INDEX($E$2:$E$3001,MAX(1,ROW()-1-'02_Eingaben'!$C$17)):INDEX($E$2:$E$3001,MIN('02_Eingaben'!$C$21,ROW()-1+'02_Eingaben'!$C$17))))</f>
        <v/>
      </c>
      <c r="G2780" s="17" t="str">
        <f>IF(F2780="","",F2780-'02_Eingaben'!$C$10)</f>
        <v/>
      </c>
      <c r="H2780" t="str">
        <f>IF(F2780="","",IF(F2780&lt;'02_Eingaben'!$C$18*'02_Eingaben'!$C$10,1,0))</f>
        <v/>
      </c>
      <c r="I2780" s="17" t="str">
        <f t="shared" si="43"/>
        <v/>
      </c>
      <c r="J2780" s="17" t="str">
        <f>IF(B2780="","",IF(B2779&lt;'02_Eingaben'!$C$36,0,J2779+I2779/'02_Eingaben'!$C$8))</f>
        <v/>
      </c>
    </row>
    <row r="2781" spans="1:10" x14ac:dyDescent="0.25">
      <c r="A2781" t="str">
        <f>IF('01_Rohdaten'!A2781="","",ROW()-1)</f>
        <v/>
      </c>
      <c r="B2781" s="17" t="str">
        <f>IF('01_Rohdaten'!A2781="","",'01_Rohdaten'!A2781)</f>
        <v/>
      </c>
      <c r="C2781" s="17" t="str">
        <f>IF(B2781="","",INDEX('01_Rohdaten'!B2781:D2781,'02_Eingaben'!$C$13))</f>
        <v/>
      </c>
      <c r="D2781" s="17" t="str">
        <f>IF(C2781="","",C2781*'02_Eingaben'!$C$15)</f>
        <v/>
      </c>
      <c r="E2781" s="17" t="str">
        <f>IF(D2781="","",D2781*'02_Eingaben'!$C$8)</f>
        <v/>
      </c>
      <c r="F2781" s="17" t="str">
        <f>IF(E2781="","",AVERAGE(INDEX($E$2:$E$3001,MAX(1,ROW()-1-'02_Eingaben'!$C$17)):INDEX($E$2:$E$3001,MIN('02_Eingaben'!$C$21,ROW()-1+'02_Eingaben'!$C$17))))</f>
        <v/>
      </c>
      <c r="G2781" s="17" t="str">
        <f>IF(F2781="","",F2781-'02_Eingaben'!$C$10)</f>
        <v/>
      </c>
      <c r="H2781" t="str">
        <f>IF(F2781="","",IF(F2781&lt;'02_Eingaben'!$C$18*'02_Eingaben'!$C$10,1,0))</f>
        <v/>
      </c>
      <c r="I2781" s="17" t="str">
        <f t="shared" si="43"/>
        <v/>
      </c>
      <c r="J2781" s="17" t="str">
        <f>IF(B2781="","",IF(B2780&lt;'02_Eingaben'!$C$36,0,J2780+I2780/'02_Eingaben'!$C$8))</f>
        <v/>
      </c>
    </row>
    <row r="2782" spans="1:10" x14ac:dyDescent="0.25">
      <c r="A2782" t="str">
        <f>IF('01_Rohdaten'!A2782="","",ROW()-1)</f>
        <v/>
      </c>
      <c r="B2782" s="17" t="str">
        <f>IF('01_Rohdaten'!A2782="","",'01_Rohdaten'!A2782)</f>
        <v/>
      </c>
      <c r="C2782" s="17" t="str">
        <f>IF(B2782="","",INDEX('01_Rohdaten'!B2782:D2782,'02_Eingaben'!$C$13))</f>
        <v/>
      </c>
      <c r="D2782" s="17" t="str">
        <f>IF(C2782="","",C2782*'02_Eingaben'!$C$15)</f>
        <v/>
      </c>
      <c r="E2782" s="17" t="str">
        <f>IF(D2782="","",D2782*'02_Eingaben'!$C$8)</f>
        <v/>
      </c>
      <c r="F2782" s="17" t="str">
        <f>IF(E2782="","",AVERAGE(INDEX($E$2:$E$3001,MAX(1,ROW()-1-'02_Eingaben'!$C$17)):INDEX($E$2:$E$3001,MIN('02_Eingaben'!$C$21,ROW()-1+'02_Eingaben'!$C$17))))</f>
        <v/>
      </c>
      <c r="G2782" s="17" t="str">
        <f>IF(F2782="","",F2782-'02_Eingaben'!$C$10)</f>
        <v/>
      </c>
      <c r="H2782" t="str">
        <f>IF(F2782="","",IF(F2782&lt;'02_Eingaben'!$C$18*'02_Eingaben'!$C$10,1,0))</f>
        <v/>
      </c>
      <c r="I2782" s="17" t="str">
        <f t="shared" si="43"/>
        <v/>
      </c>
      <c r="J2782" s="17" t="str">
        <f>IF(B2782="","",IF(B2781&lt;'02_Eingaben'!$C$36,0,J2781+I2781/'02_Eingaben'!$C$8))</f>
        <v/>
      </c>
    </row>
    <row r="2783" spans="1:10" x14ac:dyDescent="0.25">
      <c r="A2783" t="str">
        <f>IF('01_Rohdaten'!A2783="","",ROW()-1)</f>
        <v/>
      </c>
      <c r="B2783" s="17" t="str">
        <f>IF('01_Rohdaten'!A2783="","",'01_Rohdaten'!A2783)</f>
        <v/>
      </c>
      <c r="C2783" s="17" t="str">
        <f>IF(B2783="","",INDEX('01_Rohdaten'!B2783:D2783,'02_Eingaben'!$C$13))</f>
        <v/>
      </c>
      <c r="D2783" s="17" t="str">
        <f>IF(C2783="","",C2783*'02_Eingaben'!$C$15)</f>
        <v/>
      </c>
      <c r="E2783" s="17" t="str">
        <f>IF(D2783="","",D2783*'02_Eingaben'!$C$8)</f>
        <v/>
      </c>
      <c r="F2783" s="17" t="str">
        <f>IF(E2783="","",AVERAGE(INDEX($E$2:$E$3001,MAX(1,ROW()-1-'02_Eingaben'!$C$17)):INDEX($E$2:$E$3001,MIN('02_Eingaben'!$C$21,ROW()-1+'02_Eingaben'!$C$17))))</f>
        <v/>
      </c>
      <c r="G2783" s="17" t="str">
        <f>IF(F2783="","",F2783-'02_Eingaben'!$C$10)</f>
        <v/>
      </c>
      <c r="H2783" t="str">
        <f>IF(F2783="","",IF(F2783&lt;'02_Eingaben'!$C$18*'02_Eingaben'!$C$10,1,0))</f>
        <v/>
      </c>
      <c r="I2783" s="17" t="str">
        <f t="shared" si="43"/>
        <v/>
      </c>
      <c r="J2783" s="17" t="str">
        <f>IF(B2783="","",IF(B2782&lt;'02_Eingaben'!$C$36,0,J2782+I2782/'02_Eingaben'!$C$8))</f>
        <v/>
      </c>
    </row>
    <row r="2784" spans="1:10" x14ac:dyDescent="0.25">
      <c r="A2784" t="str">
        <f>IF('01_Rohdaten'!A2784="","",ROW()-1)</f>
        <v/>
      </c>
      <c r="B2784" s="17" t="str">
        <f>IF('01_Rohdaten'!A2784="","",'01_Rohdaten'!A2784)</f>
        <v/>
      </c>
      <c r="C2784" s="17" t="str">
        <f>IF(B2784="","",INDEX('01_Rohdaten'!B2784:D2784,'02_Eingaben'!$C$13))</f>
        <v/>
      </c>
      <c r="D2784" s="17" t="str">
        <f>IF(C2784="","",C2784*'02_Eingaben'!$C$15)</f>
        <v/>
      </c>
      <c r="E2784" s="17" t="str">
        <f>IF(D2784="","",D2784*'02_Eingaben'!$C$8)</f>
        <v/>
      </c>
      <c r="F2784" s="17" t="str">
        <f>IF(E2784="","",AVERAGE(INDEX($E$2:$E$3001,MAX(1,ROW()-1-'02_Eingaben'!$C$17)):INDEX($E$2:$E$3001,MIN('02_Eingaben'!$C$21,ROW()-1+'02_Eingaben'!$C$17))))</f>
        <v/>
      </c>
      <c r="G2784" s="17" t="str">
        <f>IF(F2784="","",F2784-'02_Eingaben'!$C$10)</f>
        <v/>
      </c>
      <c r="H2784" t="str">
        <f>IF(F2784="","",IF(F2784&lt;'02_Eingaben'!$C$18*'02_Eingaben'!$C$10,1,0))</f>
        <v/>
      </c>
      <c r="I2784" s="17" t="str">
        <f t="shared" si="43"/>
        <v/>
      </c>
      <c r="J2784" s="17" t="str">
        <f>IF(B2784="","",IF(B2783&lt;'02_Eingaben'!$C$36,0,J2783+I2783/'02_Eingaben'!$C$8))</f>
        <v/>
      </c>
    </row>
    <row r="2785" spans="1:10" x14ac:dyDescent="0.25">
      <c r="A2785" t="str">
        <f>IF('01_Rohdaten'!A2785="","",ROW()-1)</f>
        <v/>
      </c>
      <c r="B2785" s="17" t="str">
        <f>IF('01_Rohdaten'!A2785="","",'01_Rohdaten'!A2785)</f>
        <v/>
      </c>
      <c r="C2785" s="17" t="str">
        <f>IF(B2785="","",INDEX('01_Rohdaten'!B2785:D2785,'02_Eingaben'!$C$13))</f>
        <v/>
      </c>
      <c r="D2785" s="17" t="str">
        <f>IF(C2785="","",C2785*'02_Eingaben'!$C$15)</f>
        <v/>
      </c>
      <c r="E2785" s="17" t="str">
        <f>IF(D2785="","",D2785*'02_Eingaben'!$C$8)</f>
        <v/>
      </c>
      <c r="F2785" s="17" t="str">
        <f>IF(E2785="","",AVERAGE(INDEX($E$2:$E$3001,MAX(1,ROW()-1-'02_Eingaben'!$C$17)):INDEX($E$2:$E$3001,MIN('02_Eingaben'!$C$21,ROW()-1+'02_Eingaben'!$C$17))))</f>
        <v/>
      </c>
      <c r="G2785" s="17" t="str">
        <f>IF(F2785="","",F2785-'02_Eingaben'!$C$10)</f>
        <v/>
      </c>
      <c r="H2785" t="str">
        <f>IF(F2785="","",IF(F2785&lt;'02_Eingaben'!$C$18*'02_Eingaben'!$C$10,1,0))</f>
        <v/>
      </c>
      <c r="I2785" s="17" t="str">
        <f t="shared" si="43"/>
        <v/>
      </c>
      <c r="J2785" s="17" t="str">
        <f>IF(B2785="","",IF(B2784&lt;'02_Eingaben'!$C$36,0,J2784+I2784/'02_Eingaben'!$C$8))</f>
        <v/>
      </c>
    </row>
    <row r="2786" spans="1:10" x14ac:dyDescent="0.25">
      <c r="A2786" t="str">
        <f>IF('01_Rohdaten'!A2786="","",ROW()-1)</f>
        <v/>
      </c>
      <c r="B2786" s="17" t="str">
        <f>IF('01_Rohdaten'!A2786="","",'01_Rohdaten'!A2786)</f>
        <v/>
      </c>
      <c r="C2786" s="17" t="str">
        <f>IF(B2786="","",INDEX('01_Rohdaten'!B2786:D2786,'02_Eingaben'!$C$13))</f>
        <v/>
      </c>
      <c r="D2786" s="17" t="str">
        <f>IF(C2786="","",C2786*'02_Eingaben'!$C$15)</f>
        <v/>
      </c>
      <c r="E2786" s="17" t="str">
        <f>IF(D2786="","",D2786*'02_Eingaben'!$C$8)</f>
        <v/>
      </c>
      <c r="F2786" s="17" t="str">
        <f>IF(E2786="","",AVERAGE(INDEX($E$2:$E$3001,MAX(1,ROW()-1-'02_Eingaben'!$C$17)):INDEX($E$2:$E$3001,MIN('02_Eingaben'!$C$21,ROW()-1+'02_Eingaben'!$C$17))))</f>
        <v/>
      </c>
      <c r="G2786" s="17" t="str">
        <f>IF(F2786="","",F2786-'02_Eingaben'!$C$10)</f>
        <v/>
      </c>
      <c r="H2786" t="str">
        <f>IF(F2786="","",IF(F2786&lt;'02_Eingaben'!$C$18*'02_Eingaben'!$C$10,1,0))</f>
        <v/>
      </c>
      <c r="I2786" s="17" t="str">
        <f t="shared" si="43"/>
        <v/>
      </c>
      <c r="J2786" s="17" t="str">
        <f>IF(B2786="","",IF(B2785&lt;'02_Eingaben'!$C$36,0,J2785+I2785/'02_Eingaben'!$C$8))</f>
        <v/>
      </c>
    </row>
    <row r="2787" spans="1:10" x14ac:dyDescent="0.25">
      <c r="A2787" t="str">
        <f>IF('01_Rohdaten'!A2787="","",ROW()-1)</f>
        <v/>
      </c>
      <c r="B2787" s="17" t="str">
        <f>IF('01_Rohdaten'!A2787="","",'01_Rohdaten'!A2787)</f>
        <v/>
      </c>
      <c r="C2787" s="17" t="str">
        <f>IF(B2787="","",INDEX('01_Rohdaten'!B2787:D2787,'02_Eingaben'!$C$13))</f>
        <v/>
      </c>
      <c r="D2787" s="17" t="str">
        <f>IF(C2787="","",C2787*'02_Eingaben'!$C$15)</f>
        <v/>
      </c>
      <c r="E2787" s="17" t="str">
        <f>IF(D2787="","",D2787*'02_Eingaben'!$C$8)</f>
        <v/>
      </c>
      <c r="F2787" s="17" t="str">
        <f>IF(E2787="","",AVERAGE(INDEX($E$2:$E$3001,MAX(1,ROW()-1-'02_Eingaben'!$C$17)):INDEX($E$2:$E$3001,MIN('02_Eingaben'!$C$21,ROW()-1+'02_Eingaben'!$C$17))))</f>
        <v/>
      </c>
      <c r="G2787" s="17" t="str">
        <f>IF(F2787="","",F2787-'02_Eingaben'!$C$10)</f>
        <v/>
      </c>
      <c r="H2787" t="str">
        <f>IF(F2787="","",IF(F2787&lt;'02_Eingaben'!$C$18*'02_Eingaben'!$C$10,1,0))</f>
        <v/>
      </c>
      <c r="I2787" s="17" t="str">
        <f t="shared" si="43"/>
        <v/>
      </c>
      <c r="J2787" s="17" t="str">
        <f>IF(B2787="","",IF(B2786&lt;'02_Eingaben'!$C$36,0,J2786+I2786/'02_Eingaben'!$C$8))</f>
        <v/>
      </c>
    </row>
    <row r="2788" spans="1:10" x14ac:dyDescent="0.25">
      <c r="A2788" t="str">
        <f>IF('01_Rohdaten'!A2788="","",ROW()-1)</f>
        <v/>
      </c>
      <c r="B2788" s="17" t="str">
        <f>IF('01_Rohdaten'!A2788="","",'01_Rohdaten'!A2788)</f>
        <v/>
      </c>
      <c r="C2788" s="17" t="str">
        <f>IF(B2788="","",INDEX('01_Rohdaten'!B2788:D2788,'02_Eingaben'!$C$13))</f>
        <v/>
      </c>
      <c r="D2788" s="17" t="str">
        <f>IF(C2788="","",C2788*'02_Eingaben'!$C$15)</f>
        <v/>
      </c>
      <c r="E2788" s="17" t="str">
        <f>IF(D2788="","",D2788*'02_Eingaben'!$C$8)</f>
        <v/>
      </c>
      <c r="F2788" s="17" t="str">
        <f>IF(E2788="","",AVERAGE(INDEX($E$2:$E$3001,MAX(1,ROW()-1-'02_Eingaben'!$C$17)):INDEX($E$2:$E$3001,MIN('02_Eingaben'!$C$21,ROW()-1+'02_Eingaben'!$C$17))))</f>
        <v/>
      </c>
      <c r="G2788" s="17" t="str">
        <f>IF(F2788="","",F2788-'02_Eingaben'!$C$10)</f>
        <v/>
      </c>
      <c r="H2788" t="str">
        <f>IF(F2788="","",IF(F2788&lt;'02_Eingaben'!$C$18*'02_Eingaben'!$C$10,1,0))</f>
        <v/>
      </c>
      <c r="I2788" s="17" t="str">
        <f t="shared" si="43"/>
        <v/>
      </c>
      <c r="J2788" s="17" t="str">
        <f>IF(B2788="","",IF(B2787&lt;'02_Eingaben'!$C$36,0,J2787+I2787/'02_Eingaben'!$C$8))</f>
        <v/>
      </c>
    </row>
    <row r="2789" spans="1:10" x14ac:dyDescent="0.25">
      <c r="A2789" t="str">
        <f>IF('01_Rohdaten'!A2789="","",ROW()-1)</f>
        <v/>
      </c>
      <c r="B2789" s="17" t="str">
        <f>IF('01_Rohdaten'!A2789="","",'01_Rohdaten'!A2789)</f>
        <v/>
      </c>
      <c r="C2789" s="17" t="str">
        <f>IF(B2789="","",INDEX('01_Rohdaten'!B2789:D2789,'02_Eingaben'!$C$13))</f>
        <v/>
      </c>
      <c r="D2789" s="17" t="str">
        <f>IF(C2789="","",C2789*'02_Eingaben'!$C$15)</f>
        <v/>
      </c>
      <c r="E2789" s="17" t="str">
        <f>IF(D2789="","",D2789*'02_Eingaben'!$C$8)</f>
        <v/>
      </c>
      <c r="F2789" s="17" t="str">
        <f>IF(E2789="","",AVERAGE(INDEX($E$2:$E$3001,MAX(1,ROW()-1-'02_Eingaben'!$C$17)):INDEX($E$2:$E$3001,MIN('02_Eingaben'!$C$21,ROW()-1+'02_Eingaben'!$C$17))))</f>
        <v/>
      </c>
      <c r="G2789" s="17" t="str">
        <f>IF(F2789="","",F2789-'02_Eingaben'!$C$10)</f>
        <v/>
      </c>
      <c r="H2789" t="str">
        <f>IF(F2789="","",IF(F2789&lt;'02_Eingaben'!$C$18*'02_Eingaben'!$C$10,1,0))</f>
        <v/>
      </c>
      <c r="I2789" s="17" t="str">
        <f t="shared" si="43"/>
        <v/>
      </c>
      <c r="J2789" s="17" t="str">
        <f>IF(B2789="","",IF(B2788&lt;'02_Eingaben'!$C$36,0,J2788+I2788/'02_Eingaben'!$C$8))</f>
        <v/>
      </c>
    </row>
    <row r="2790" spans="1:10" x14ac:dyDescent="0.25">
      <c r="A2790" t="str">
        <f>IF('01_Rohdaten'!A2790="","",ROW()-1)</f>
        <v/>
      </c>
      <c r="B2790" s="17" t="str">
        <f>IF('01_Rohdaten'!A2790="","",'01_Rohdaten'!A2790)</f>
        <v/>
      </c>
      <c r="C2790" s="17" t="str">
        <f>IF(B2790="","",INDEX('01_Rohdaten'!B2790:D2790,'02_Eingaben'!$C$13))</f>
        <v/>
      </c>
      <c r="D2790" s="17" t="str">
        <f>IF(C2790="","",C2790*'02_Eingaben'!$C$15)</f>
        <v/>
      </c>
      <c r="E2790" s="17" t="str">
        <f>IF(D2790="","",D2790*'02_Eingaben'!$C$8)</f>
        <v/>
      </c>
      <c r="F2790" s="17" t="str">
        <f>IF(E2790="","",AVERAGE(INDEX($E$2:$E$3001,MAX(1,ROW()-1-'02_Eingaben'!$C$17)):INDEX($E$2:$E$3001,MIN('02_Eingaben'!$C$21,ROW()-1+'02_Eingaben'!$C$17))))</f>
        <v/>
      </c>
      <c r="G2790" s="17" t="str">
        <f>IF(F2790="","",F2790-'02_Eingaben'!$C$10)</f>
        <v/>
      </c>
      <c r="H2790" t="str">
        <f>IF(F2790="","",IF(F2790&lt;'02_Eingaben'!$C$18*'02_Eingaben'!$C$10,1,0))</f>
        <v/>
      </c>
      <c r="I2790" s="17" t="str">
        <f t="shared" si="43"/>
        <v/>
      </c>
      <c r="J2790" s="17" t="str">
        <f>IF(B2790="","",IF(B2789&lt;'02_Eingaben'!$C$36,0,J2789+I2789/'02_Eingaben'!$C$8))</f>
        <v/>
      </c>
    </row>
    <row r="2791" spans="1:10" x14ac:dyDescent="0.25">
      <c r="A2791" t="str">
        <f>IF('01_Rohdaten'!A2791="","",ROW()-1)</f>
        <v/>
      </c>
      <c r="B2791" s="17" t="str">
        <f>IF('01_Rohdaten'!A2791="","",'01_Rohdaten'!A2791)</f>
        <v/>
      </c>
      <c r="C2791" s="17" t="str">
        <f>IF(B2791="","",INDEX('01_Rohdaten'!B2791:D2791,'02_Eingaben'!$C$13))</f>
        <v/>
      </c>
      <c r="D2791" s="17" t="str">
        <f>IF(C2791="","",C2791*'02_Eingaben'!$C$15)</f>
        <v/>
      </c>
      <c r="E2791" s="17" t="str">
        <f>IF(D2791="","",D2791*'02_Eingaben'!$C$8)</f>
        <v/>
      </c>
      <c r="F2791" s="17" t="str">
        <f>IF(E2791="","",AVERAGE(INDEX($E$2:$E$3001,MAX(1,ROW()-1-'02_Eingaben'!$C$17)):INDEX($E$2:$E$3001,MIN('02_Eingaben'!$C$21,ROW()-1+'02_Eingaben'!$C$17))))</f>
        <v/>
      </c>
      <c r="G2791" s="17" t="str">
        <f>IF(F2791="","",F2791-'02_Eingaben'!$C$10)</f>
        <v/>
      </c>
      <c r="H2791" t="str">
        <f>IF(F2791="","",IF(F2791&lt;'02_Eingaben'!$C$18*'02_Eingaben'!$C$10,1,0))</f>
        <v/>
      </c>
      <c r="I2791" s="17" t="str">
        <f t="shared" si="43"/>
        <v/>
      </c>
      <c r="J2791" s="17" t="str">
        <f>IF(B2791="","",IF(B2790&lt;'02_Eingaben'!$C$36,0,J2790+I2790/'02_Eingaben'!$C$8))</f>
        <v/>
      </c>
    </row>
    <row r="2792" spans="1:10" x14ac:dyDescent="0.25">
      <c r="A2792" t="str">
        <f>IF('01_Rohdaten'!A2792="","",ROW()-1)</f>
        <v/>
      </c>
      <c r="B2792" s="17" t="str">
        <f>IF('01_Rohdaten'!A2792="","",'01_Rohdaten'!A2792)</f>
        <v/>
      </c>
      <c r="C2792" s="17" t="str">
        <f>IF(B2792="","",INDEX('01_Rohdaten'!B2792:D2792,'02_Eingaben'!$C$13))</f>
        <v/>
      </c>
      <c r="D2792" s="17" t="str">
        <f>IF(C2792="","",C2792*'02_Eingaben'!$C$15)</f>
        <v/>
      </c>
      <c r="E2792" s="17" t="str">
        <f>IF(D2792="","",D2792*'02_Eingaben'!$C$8)</f>
        <v/>
      </c>
      <c r="F2792" s="17" t="str">
        <f>IF(E2792="","",AVERAGE(INDEX($E$2:$E$3001,MAX(1,ROW()-1-'02_Eingaben'!$C$17)):INDEX($E$2:$E$3001,MIN('02_Eingaben'!$C$21,ROW()-1+'02_Eingaben'!$C$17))))</f>
        <v/>
      </c>
      <c r="G2792" s="17" t="str">
        <f>IF(F2792="","",F2792-'02_Eingaben'!$C$10)</f>
        <v/>
      </c>
      <c r="H2792" t="str">
        <f>IF(F2792="","",IF(F2792&lt;'02_Eingaben'!$C$18*'02_Eingaben'!$C$10,1,0))</f>
        <v/>
      </c>
      <c r="I2792" s="17" t="str">
        <f t="shared" si="43"/>
        <v/>
      </c>
      <c r="J2792" s="17" t="str">
        <f>IF(B2792="","",IF(B2791&lt;'02_Eingaben'!$C$36,0,J2791+I2791/'02_Eingaben'!$C$8))</f>
        <v/>
      </c>
    </row>
    <row r="2793" spans="1:10" x14ac:dyDescent="0.25">
      <c r="A2793" t="str">
        <f>IF('01_Rohdaten'!A2793="","",ROW()-1)</f>
        <v/>
      </c>
      <c r="B2793" s="17" t="str">
        <f>IF('01_Rohdaten'!A2793="","",'01_Rohdaten'!A2793)</f>
        <v/>
      </c>
      <c r="C2793" s="17" t="str">
        <f>IF(B2793="","",INDEX('01_Rohdaten'!B2793:D2793,'02_Eingaben'!$C$13))</f>
        <v/>
      </c>
      <c r="D2793" s="17" t="str">
        <f>IF(C2793="","",C2793*'02_Eingaben'!$C$15)</f>
        <v/>
      </c>
      <c r="E2793" s="17" t="str">
        <f>IF(D2793="","",D2793*'02_Eingaben'!$C$8)</f>
        <v/>
      </c>
      <c r="F2793" s="17" t="str">
        <f>IF(E2793="","",AVERAGE(INDEX($E$2:$E$3001,MAX(1,ROW()-1-'02_Eingaben'!$C$17)):INDEX($E$2:$E$3001,MIN('02_Eingaben'!$C$21,ROW()-1+'02_Eingaben'!$C$17))))</f>
        <v/>
      </c>
      <c r="G2793" s="17" t="str">
        <f>IF(F2793="","",F2793-'02_Eingaben'!$C$10)</f>
        <v/>
      </c>
      <c r="H2793" t="str">
        <f>IF(F2793="","",IF(F2793&lt;'02_Eingaben'!$C$18*'02_Eingaben'!$C$10,1,0))</f>
        <v/>
      </c>
      <c r="I2793" s="17" t="str">
        <f t="shared" si="43"/>
        <v/>
      </c>
      <c r="J2793" s="17" t="str">
        <f>IF(B2793="","",IF(B2792&lt;'02_Eingaben'!$C$36,0,J2792+I2792/'02_Eingaben'!$C$8))</f>
        <v/>
      </c>
    </row>
    <row r="2794" spans="1:10" x14ac:dyDescent="0.25">
      <c r="A2794" t="str">
        <f>IF('01_Rohdaten'!A2794="","",ROW()-1)</f>
        <v/>
      </c>
      <c r="B2794" s="17" t="str">
        <f>IF('01_Rohdaten'!A2794="","",'01_Rohdaten'!A2794)</f>
        <v/>
      </c>
      <c r="C2794" s="17" t="str">
        <f>IF(B2794="","",INDEX('01_Rohdaten'!B2794:D2794,'02_Eingaben'!$C$13))</f>
        <v/>
      </c>
      <c r="D2794" s="17" t="str">
        <f>IF(C2794="","",C2794*'02_Eingaben'!$C$15)</f>
        <v/>
      </c>
      <c r="E2794" s="17" t="str">
        <f>IF(D2794="","",D2794*'02_Eingaben'!$C$8)</f>
        <v/>
      </c>
      <c r="F2794" s="17" t="str">
        <f>IF(E2794="","",AVERAGE(INDEX($E$2:$E$3001,MAX(1,ROW()-1-'02_Eingaben'!$C$17)):INDEX($E$2:$E$3001,MIN('02_Eingaben'!$C$21,ROW()-1+'02_Eingaben'!$C$17))))</f>
        <v/>
      </c>
      <c r="G2794" s="17" t="str">
        <f>IF(F2794="","",F2794-'02_Eingaben'!$C$10)</f>
        <v/>
      </c>
      <c r="H2794" t="str">
        <f>IF(F2794="","",IF(F2794&lt;'02_Eingaben'!$C$18*'02_Eingaben'!$C$10,1,0))</f>
        <v/>
      </c>
      <c r="I2794" s="17" t="str">
        <f t="shared" si="43"/>
        <v/>
      </c>
      <c r="J2794" s="17" t="str">
        <f>IF(B2794="","",IF(B2793&lt;'02_Eingaben'!$C$36,0,J2793+I2793/'02_Eingaben'!$C$8))</f>
        <v/>
      </c>
    </row>
    <row r="2795" spans="1:10" x14ac:dyDescent="0.25">
      <c r="A2795" t="str">
        <f>IF('01_Rohdaten'!A2795="","",ROW()-1)</f>
        <v/>
      </c>
      <c r="B2795" s="17" t="str">
        <f>IF('01_Rohdaten'!A2795="","",'01_Rohdaten'!A2795)</f>
        <v/>
      </c>
      <c r="C2795" s="17" t="str">
        <f>IF(B2795="","",INDEX('01_Rohdaten'!B2795:D2795,'02_Eingaben'!$C$13))</f>
        <v/>
      </c>
      <c r="D2795" s="17" t="str">
        <f>IF(C2795="","",C2795*'02_Eingaben'!$C$15)</f>
        <v/>
      </c>
      <c r="E2795" s="17" t="str">
        <f>IF(D2795="","",D2795*'02_Eingaben'!$C$8)</f>
        <v/>
      </c>
      <c r="F2795" s="17" t="str">
        <f>IF(E2795="","",AVERAGE(INDEX($E$2:$E$3001,MAX(1,ROW()-1-'02_Eingaben'!$C$17)):INDEX($E$2:$E$3001,MIN('02_Eingaben'!$C$21,ROW()-1+'02_Eingaben'!$C$17))))</f>
        <v/>
      </c>
      <c r="G2795" s="17" t="str">
        <f>IF(F2795="","",F2795-'02_Eingaben'!$C$10)</f>
        <v/>
      </c>
      <c r="H2795" t="str">
        <f>IF(F2795="","",IF(F2795&lt;'02_Eingaben'!$C$18*'02_Eingaben'!$C$10,1,0))</f>
        <v/>
      </c>
      <c r="I2795" s="17" t="str">
        <f t="shared" si="43"/>
        <v/>
      </c>
      <c r="J2795" s="17" t="str">
        <f>IF(B2795="","",IF(B2794&lt;'02_Eingaben'!$C$36,0,J2794+I2794/'02_Eingaben'!$C$8))</f>
        <v/>
      </c>
    </row>
    <row r="2796" spans="1:10" x14ac:dyDescent="0.25">
      <c r="A2796" t="str">
        <f>IF('01_Rohdaten'!A2796="","",ROW()-1)</f>
        <v/>
      </c>
      <c r="B2796" s="17" t="str">
        <f>IF('01_Rohdaten'!A2796="","",'01_Rohdaten'!A2796)</f>
        <v/>
      </c>
      <c r="C2796" s="17" t="str">
        <f>IF(B2796="","",INDEX('01_Rohdaten'!B2796:D2796,'02_Eingaben'!$C$13))</f>
        <v/>
      </c>
      <c r="D2796" s="17" t="str">
        <f>IF(C2796="","",C2796*'02_Eingaben'!$C$15)</f>
        <v/>
      </c>
      <c r="E2796" s="17" t="str">
        <f>IF(D2796="","",D2796*'02_Eingaben'!$C$8)</f>
        <v/>
      </c>
      <c r="F2796" s="17" t="str">
        <f>IF(E2796="","",AVERAGE(INDEX($E$2:$E$3001,MAX(1,ROW()-1-'02_Eingaben'!$C$17)):INDEX($E$2:$E$3001,MIN('02_Eingaben'!$C$21,ROW()-1+'02_Eingaben'!$C$17))))</f>
        <v/>
      </c>
      <c r="G2796" s="17" t="str">
        <f>IF(F2796="","",F2796-'02_Eingaben'!$C$10)</f>
        <v/>
      </c>
      <c r="H2796" t="str">
        <f>IF(F2796="","",IF(F2796&lt;'02_Eingaben'!$C$18*'02_Eingaben'!$C$10,1,0))</f>
        <v/>
      </c>
      <c r="I2796" s="17" t="str">
        <f t="shared" si="43"/>
        <v/>
      </c>
      <c r="J2796" s="17" t="str">
        <f>IF(B2796="","",IF(B2795&lt;'02_Eingaben'!$C$36,0,J2795+I2795/'02_Eingaben'!$C$8))</f>
        <v/>
      </c>
    </row>
    <row r="2797" spans="1:10" x14ac:dyDescent="0.25">
      <c r="A2797" t="str">
        <f>IF('01_Rohdaten'!A2797="","",ROW()-1)</f>
        <v/>
      </c>
      <c r="B2797" s="17" t="str">
        <f>IF('01_Rohdaten'!A2797="","",'01_Rohdaten'!A2797)</f>
        <v/>
      </c>
      <c r="C2797" s="17" t="str">
        <f>IF(B2797="","",INDEX('01_Rohdaten'!B2797:D2797,'02_Eingaben'!$C$13))</f>
        <v/>
      </c>
      <c r="D2797" s="17" t="str">
        <f>IF(C2797="","",C2797*'02_Eingaben'!$C$15)</f>
        <v/>
      </c>
      <c r="E2797" s="17" t="str">
        <f>IF(D2797="","",D2797*'02_Eingaben'!$C$8)</f>
        <v/>
      </c>
      <c r="F2797" s="17" t="str">
        <f>IF(E2797="","",AVERAGE(INDEX($E$2:$E$3001,MAX(1,ROW()-1-'02_Eingaben'!$C$17)):INDEX($E$2:$E$3001,MIN('02_Eingaben'!$C$21,ROW()-1+'02_Eingaben'!$C$17))))</f>
        <v/>
      </c>
      <c r="G2797" s="17" t="str">
        <f>IF(F2797="","",F2797-'02_Eingaben'!$C$10)</f>
        <v/>
      </c>
      <c r="H2797" t="str">
        <f>IF(F2797="","",IF(F2797&lt;'02_Eingaben'!$C$18*'02_Eingaben'!$C$10,1,0))</f>
        <v/>
      </c>
      <c r="I2797" s="17" t="str">
        <f t="shared" si="43"/>
        <v/>
      </c>
      <c r="J2797" s="17" t="str">
        <f>IF(B2797="","",IF(B2796&lt;'02_Eingaben'!$C$36,0,J2796+I2796/'02_Eingaben'!$C$8))</f>
        <v/>
      </c>
    </row>
    <row r="2798" spans="1:10" x14ac:dyDescent="0.25">
      <c r="A2798" t="str">
        <f>IF('01_Rohdaten'!A2798="","",ROW()-1)</f>
        <v/>
      </c>
      <c r="B2798" s="17" t="str">
        <f>IF('01_Rohdaten'!A2798="","",'01_Rohdaten'!A2798)</f>
        <v/>
      </c>
      <c r="C2798" s="17" t="str">
        <f>IF(B2798="","",INDEX('01_Rohdaten'!B2798:D2798,'02_Eingaben'!$C$13))</f>
        <v/>
      </c>
      <c r="D2798" s="17" t="str">
        <f>IF(C2798="","",C2798*'02_Eingaben'!$C$15)</f>
        <v/>
      </c>
      <c r="E2798" s="17" t="str">
        <f>IF(D2798="","",D2798*'02_Eingaben'!$C$8)</f>
        <v/>
      </c>
      <c r="F2798" s="17" t="str">
        <f>IF(E2798="","",AVERAGE(INDEX($E$2:$E$3001,MAX(1,ROW()-1-'02_Eingaben'!$C$17)):INDEX($E$2:$E$3001,MIN('02_Eingaben'!$C$21,ROW()-1+'02_Eingaben'!$C$17))))</f>
        <v/>
      </c>
      <c r="G2798" s="17" t="str">
        <f>IF(F2798="","",F2798-'02_Eingaben'!$C$10)</f>
        <v/>
      </c>
      <c r="H2798" t="str">
        <f>IF(F2798="","",IF(F2798&lt;'02_Eingaben'!$C$18*'02_Eingaben'!$C$10,1,0))</f>
        <v/>
      </c>
      <c r="I2798" s="17" t="str">
        <f t="shared" si="43"/>
        <v/>
      </c>
      <c r="J2798" s="17" t="str">
        <f>IF(B2798="","",IF(B2797&lt;'02_Eingaben'!$C$36,0,J2797+I2797/'02_Eingaben'!$C$8))</f>
        <v/>
      </c>
    </row>
    <row r="2799" spans="1:10" x14ac:dyDescent="0.25">
      <c r="A2799" t="str">
        <f>IF('01_Rohdaten'!A2799="","",ROW()-1)</f>
        <v/>
      </c>
      <c r="B2799" s="17" t="str">
        <f>IF('01_Rohdaten'!A2799="","",'01_Rohdaten'!A2799)</f>
        <v/>
      </c>
      <c r="C2799" s="17" t="str">
        <f>IF(B2799="","",INDEX('01_Rohdaten'!B2799:D2799,'02_Eingaben'!$C$13))</f>
        <v/>
      </c>
      <c r="D2799" s="17" t="str">
        <f>IF(C2799="","",C2799*'02_Eingaben'!$C$15)</f>
        <v/>
      </c>
      <c r="E2799" s="17" t="str">
        <f>IF(D2799="","",D2799*'02_Eingaben'!$C$8)</f>
        <v/>
      </c>
      <c r="F2799" s="17" t="str">
        <f>IF(E2799="","",AVERAGE(INDEX($E$2:$E$3001,MAX(1,ROW()-1-'02_Eingaben'!$C$17)):INDEX($E$2:$E$3001,MIN('02_Eingaben'!$C$21,ROW()-1+'02_Eingaben'!$C$17))))</f>
        <v/>
      </c>
      <c r="G2799" s="17" t="str">
        <f>IF(F2799="","",F2799-'02_Eingaben'!$C$10)</f>
        <v/>
      </c>
      <c r="H2799" t="str">
        <f>IF(F2799="","",IF(F2799&lt;'02_Eingaben'!$C$18*'02_Eingaben'!$C$10,1,0))</f>
        <v/>
      </c>
      <c r="I2799" s="17" t="str">
        <f t="shared" si="43"/>
        <v/>
      </c>
      <c r="J2799" s="17" t="str">
        <f>IF(B2799="","",IF(B2798&lt;'02_Eingaben'!$C$36,0,J2798+I2798/'02_Eingaben'!$C$8))</f>
        <v/>
      </c>
    </row>
    <row r="2800" spans="1:10" x14ac:dyDescent="0.25">
      <c r="A2800" t="str">
        <f>IF('01_Rohdaten'!A2800="","",ROW()-1)</f>
        <v/>
      </c>
      <c r="B2800" s="17" t="str">
        <f>IF('01_Rohdaten'!A2800="","",'01_Rohdaten'!A2800)</f>
        <v/>
      </c>
      <c r="C2800" s="17" t="str">
        <f>IF(B2800="","",INDEX('01_Rohdaten'!B2800:D2800,'02_Eingaben'!$C$13))</f>
        <v/>
      </c>
      <c r="D2800" s="17" t="str">
        <f>IF(C2800="","",C2800*'02_Eingaben'!$C$15)</f>
        <v/>
      </c>
      <c r="E2800" s="17" t="str">
        <f>IF(D2800="","",D2800*'02_Eingaben'!$C$8)</f>
        <v/>
      </c>
      <c r="F2800" s="17" t="str">
        <f>IF(E2800="","",AVERAGE(INDEX($E$2:$E$3001,MAX(1,ROW()-1-'02_Eingaben'!$C$17)):INDEX($E$2:$E$3001,MIN('02_Eingaben'!$C$21,ROW()-1+'02_Eingaben'!$C$17))))</f>
        <v/>
      </c>
      <c r="G2800" s="17" t="str">
        <f>IF(F2800="","",F2800-'02_Eingaben'!$C$10)</f>
        <v/>
      </c>
      <c r="H2800" t="str">
        <f>IF(F2800="","",IF(F2800&lt;'02_Eingaben'!$C$18*'02_Eingaben'!$C$10,1,0))</f>
        <v/>
      </c>
      <c r="I2800" s="17" t="str">
        <f t="shared" si="43"/>
        <v/>
      </c>
      <c r="J2800" s="17" t="str">
        <f>IF(B2800="","",IF(B2799&lt;'02_Eingaben'!$C$36,0,J2799+I2799/'02_Eingaben'!$C$8))</f>
        <v/>
      </c>
    </row>
    <row r="2801" spans="1:10" x14ac:dyDescent="0.25">
      <c r="A2801" t="str">
        <f>IF('01_Rohdaten'!A2801="","",ROW()-1)</f>
        <v/>
      </c>
      <c r="B2801" s="17" t="str">
        <f>IF('01_Rohdaten'!A2801="","",'01_Rohdaten'!A2801)</f>
        <v/>
      </c>
      <c r="C2801" s="17" t="str">
        <f>IF(B2801="","",INDEX('01_Rohdaten'!B2801:D2801,'02_Eingaben'!$C$13))</f>
        <v/>
      </c>
      <c r="D2801" s="17" t="str">
        <f>IF(C2801="","",C2801*'02_Eingaben'!$C$15)</f>
        <v/>
      </c>
      <c r="E2801" s="17" t="str">
        <f>IF(D2801="","",D2801*'02_Eingaben'!$C$8)</f>
        <v/>
      </c>
      <c r="F2801" s="17" t="str">
        <f>IF(E2801="","",AVERAGE(INDEX($E$2:$E$3001,MAX(1,ROW()-1-'02_Eingaben'!$C$17)):INDEX($E$2:$E$3001,MIN('02_Eingaben'!$C$21,ROW()-1+'02_Eingaben'!$C$17))))</f>
        <v/>
      </c>
      <c r="G2801" s="17" t="str">
        <f>IF(F2801="","",F2801-'02_Eingaben'!$C$10)</f>
        <v/>
      </c>
      <c r="H2801" t="str">
        <f>IF(F2801="","",IF(F2801&lt;'02_Eingaben'!$C$18*'02_Eingaben'!$C$10,1,0))</f>
        <v/>
      </c>
      <c r="I2801" s="17" t="str">
        <f t="shared" si="43"/>
        <v/>
      </c>
      <c r="J2801" s="17" t="str">
        <f>IF(B2801="","",IF(B2800&lt;'02_Eingaben'!$C$36,0,J2800+I2800/'02_Eingaben'!$C$8))</f>
        <v/>
      </c>
    </row>
    <row r="2802" spans="1:10" x14ac:dyDescent="0.25">
      <c r="A2802" t="str">
        <f>IF('01_Rohdaten'!A2802="","",ROW()-1)</f>
        <v/>
      </c>
      <c r="B2802" s="17" t="str">
        <f>IF('01_Rohdaten'!A2802="","",'01_Rohdaten'!A2802)</f>
        <v/>
      </c>
      <c r="C2802" s="17" t="str">
        <f>IF(B2802="","",INDEX('01_Rohdaten'!B2802:D2802,'02_Eingaben'!$C$13))</f>
        <v/>
      </c>
      <c r="D2802" s="17" t="str">
        <f>IF(C2802="","",C2802*'02_Eingaben'!$C$15)</f>
        <v/>
      </c>
      <c r="E2802" s="17" t="str">
        <f>IF(D2802="","",D2802*'02_Eingaben'!$C$8)</f>
        <v/>
      </c>
      <c r="F2802" s="17" t="str">
        <f>IF(E2802="","",AVERAGE(INDEX($E$2:$E$3001,MAX(1,ROW()-1-'02_Eingaben'!$C$17)):INDEX($E$2:$E$3001,MIN('02_Eingaben'!$C$21,ROW()-1+'02_Eingaben'!$C$17))))</f>
        <v/>
      </c>
      <c r="G2802" s="17" t="str">
        <f>IF(F2802="","",F2802-'02_Eingaben'!$C$10)</f>
        <v/>
      </c>
      <c r="H2802" t="str">
        <f>IF(F2802="","",IF(F2802&lt;'02_Eingaben'!$C$18*'02_Eingaben'!$C$10,1,0))</f>
        <v/>
      </c>
      <c r="I2802" s="17" t="str">
        <f t="shared" si="43"/>
        <v/>
      </c>
      <c r="J2802" s="17" t="str">
        <f>IF(B2802="","",IF(B2801&lt;'02_Eingaben'!$C$36,0,J2801+I2801/'02_Eingaben'!$C$8))</f>
        <v/>
      </c>
    </row>
    <row r="2803" spans="1:10" x14ac:dyDescent="0.25">
      <c r="A2803" t="str">
        <f>IF('01_Rohdaten'!A2803="","",ROW()-1)</f>
        <v/>
      </c>
      <c r="B2803" s="17" t="str">
        <f>IF('01_Rohdaten'!A2803="","",'01_Rohdaten'!A2803)</f>
        <v/>
      </c>
      <c r="C2803" s="17" t="str">
        <f>IF(B2803="","",INDEX('01_Rohdaten'!B2803:D2803,'02_Eingaben'!$C$13))</f>
        <v/>
      </c>
      <c r="D2803" s="17" t="str">
        <f>IF(C2803="","",C2803*'02_Eingaben'!$C$15)</f>
        <v/>
      </c>
      <c r="E2803" s="17" t="str">
        <f>IF(D2803="","",D2803*'02_Eingaben'!$C$8)</f>
        <v/>
      </c>
      <c r="F2803" s="17" t="str">
        <f>IF(E2803="","",AVERAGE(INDEX($E$2:$E$3001,MAX(1,ROW()-1-'02_Eingaben'!$C$17)):INDEX($E$2:$E$3001,MIN('02_Eingaben'!$C$21,ROW()-1+'02_Eingaben'!$C$17))))</f>
        <v/>
      </c>
      <c r="G2803" s="17" t="str">
        <f>IF(F2803="","",F2803-'02_Eingaben'!$C$10)</f>
        <v/>
      </c>
      <c r="H2803" t="str">
        <f>IF(F2803="","",IF(F2803&lt;'02_Eingaben'!$C$18*'02_Eingaben'!$C$10,1,0))</f>
        <v/>
      </c>
      <c r="I2803" s="17" t="str">
        <f t="shared" si="43"/>
        <v/>
      </c>
      <c r="J2803" s="17" t="str">
        <f>IF(B2803="","",IF(B2802&lt;'02_Eingaben'!$C$36,0,J2802+I2802/'02_Eingaben'!$C$8))</f>
        <v/>
      </c>
    </row>
    <row r="2804" spans="1:10" x14ac:dyDescent="0.25">
      <c r="A2804" t="str">
        <f>IF('01_Rohdaten'!A2804="","",ROW()-1)</f>
        <v/>
      </c>
      <c r="B2804" s="17" t="str">
        <f>IF('01_Rohdaten'!A2804="","",'01_Rohdaten'!A2804)</f>
        <v/>
      </c>
      <c r="C2804" s="17" t="str">
        <f>IF(B2804="","",INDEX('01_Rohdaten'!B2804:D2804,'02_Eingaben'!$C$13))</f>
        <v/>
      </c>
      <c r="D2804" s="17" t="str">
        <f>IF(C2804="","",C2804*'02_Eingaben'!$C$15)</f>
        <v/>
      </c>
      <c r="E2804" s="17" t="str">
        <f>IF(D2804="","",D2804*'02_Eingaben'!$C$8)</f>
        <v/>
      </c>
      <c r="F2804" s="17" t="str">
        <f>IF(E2804="","",AVERAGE(INDEX($E$2:$E$3001,MAX(1,ROW()-1-'02_Eingaben'!$C$17)):INDEX($E$2:$E$3001,MIN('02_Eingaben'!$C$21,ROW()-1+'02_Eingaben'!$C$17))))</f>
        <v/>
      </c>
      <c r="G2804" s="17" t="str">
        <f>IF(F2804="","",F2804-'02_Eingaben'!$C$10)</f>
        <v/>
      </c>
      <c r="H2804" t="str">
        <f>IF(F2804="","",IF(F2804&lt;'02_Eingaben'!$C$18*'02_Eingaben'!$C$10,1,0))</f>
        <v/>
      </c>
      <c r="I2804" s="17" t="str">
        <f t="shared" si="43"/>
        <v/>
      </c>
      <c r="J2804" s="17" t="str">
        <f>IF(B2804="","",IF(B2803&lt;'02_Eingaben'!$C$36,0,J2803+I2803/'02_Eingaben'!$C$8))</f>
        <v/>
      </c>
    </row>
    <row r="2805" spans="1:10" x14ac:dyDescent="0.25">
      <c r="A2805" t="str">
        <f>IF('01_Rohdaten'!A2805="","",ROW()-1)</f>
        <v/>
      </c>
      <c r="B2805" s="17" t="str">
        <f>IF('01_Rohdaten'!A2805="","",'01_Rohdaten'!A2805)</f>
        <v/>
      </c>
      <c r="C2805" s="17" t="str">
        <f>IF(B2805="","",INDEX('01_Rohdaten'!B2805:D2805,'02_Eingaben'!$C$13))</f>
        <v/>
      </c>
      <c r="D2805" s="17" t="str">
        <f>IF(C2805="","",C2805*'02_Eingaben'!$C$15)</f>
        <v/>
      </c>
      <c r="E2805" s="17" t="str">
        <f>IF(D2805="","",D2805*'02_Eingaben'!$C$8)</f>
        <v/>
      </c>
      <c r="F2805" s="17" t="str">
        <f>IF(E2805="","",AVERAGE(INDEX($E$2:$E$3001,MAX(1,ROW()-1-'02_Eingaben'!$C$17)):INDEX($E$2:$E$3001,MIN('02_Eingaben'!$C$21,ROW()-1+'02_Eingaben'!$C$17))))</f>
        <v/>
      </c>
      <c r="G2805" s="17" t="str">
        <f>IF(F2805="","",F2805-'02_Eingaben'!$C$10)</f>
        <v/>
      </c>
      <c r="H2805" t="str">
        <f>IF(F2805="","",IF(F2805&lt;'02_Eingaben'!$C$18*'02_Eingaben'!$C$10,1,0))</f>
        <v/>
      </c>
      <c r="I2805" s="17" t="str">
        <f t="shared" si="43"/>
        <v/>
      </c>
      <c r="J2805" s="17" t="str">
        <f>IF(B2805="","",IF(B2804&lt;'02_Eingaben'!$C$36,0,J2804+I2804/'02_Eingaben'!$C$8))</f>
        <v/>
      </c>
    </row>
    <row r="2806" spans="1:10" x14ac:dyDescent="0.25">
      <c r="A2806" t="str">
        <f>IF('01_Rohdaten'!A2806="","",ROW()-1)</f>
        <v/>
      </c>
      <c r="B2806" s="17" t="str">
        <f>IF('01_Rohdaten'!A2806="","",'01_Rohdaten'!A2806)</f>
        <v/>
      </c>
      <c r="C2806" s="17" t="str">
        <f>IF(B2806="","",INDEX('01_Rohdaten'!B2806:D2806,'02_Eingaben'!$C$13))</f>
        <v/>
      </c>
      <c r="D2806" s="17" t="str">
        <f>IF(C2806="","",C2806*'02_Eingaben'!$C$15)</f>
        <v/>
      </c>
      <c r="E2806" s="17" t="str">
        <f>IF(D2806="","",D2806*'02_Eingaben'!$C$8)</f>
        <v/>
      </c>
      <c r="F2806" s="17" t="str">
        <f>IF(E2806="","",AVERAGE(INDEX($E$2:$E$3001,MAX(1,ROW()-1-'02_Eingaben'!$C$17)):INDEX($E$2:$E$3001,MIN('02_Eingaben'!$C$21,ROW()-1+'02_Eingaben'!$C$17))))</f>
        <v/>
      </c>
      <c r="G2806" s="17" t="str">
        <f>IF(F2806="","",F2806-'02_Eingaben'!$C$10)</f>
        <v/>
      </c>
      <c r="H2806" t="str">
        <f>IF(F2806="","",IF(F2806&lt;'02_Eingaben'!$C$18*'02_Eingaben'!$C$10,1,0))</f>
        <v/>
      </c>
      <c r="I2806" s="17" t="str">
        <f t="shared" si="43"/>
        <v/>
      </c>
      <c r="J2806" s="17" t="str">
        <f>IF(B2806="","",IF(B2805&lt;'02_Eingaben'!$C$36,0,J2805+I2805/'02_Eingaben'!$C$8))</f>
        <v/>
      </c>
    </row>
    <row r="2807" spans="1:10" x14ac:dyDescent="0.25">
      <c r="A2807" t="str">
        <f>IF('01_Rohdaten'!A2807="","",ROW()-1)</f>
        <v/>
      </c>
      <c r="B2807" s="17" t="str">
        <f>IF('01_Rohdaten'!A2807="","",'01_Rohdaten'!A2807)</f>
        <v/>
      </c>
      <c r="C2807" s="17" t="str">
        <f>IF(B2807="","",INDEX('01_Rohdaten'!B2807:D2807,'02_Eingaben'!$C$13))</f>
        <v/>
      </c>
      <c r="D2807" s="17" t="str">
        <f>IF(C2807="","",C2807*'02_Eingaben'!$C$15)</f>
        <v/>
      </c>
      <c r="E2807" s="17" t="str">
        <f>IF(D2807="","",D2807*'02_Eingaben'!$C$8)</f>
        <v/>
      </c>
      <c r="F2807" s="17" t="str">
        <f>IF(E2807="","",AVERAGE(INDEX($E$2:$E$3001,MAX(1,ROW()-1-'02_Eingaben'!$C$17)):INDEX($E$2:$E$3001,MIN('02_Eingaben'!$C$21,ROW()-1+'02_Eingaben'!$C$17))))</f>
        <v/>
      </c>
      <c r="G2807" s="17" t="str">
        <f>IF(F2807="","",F2807-'02_Eingaben'!$C$10)</f>
        <v/>
      </c>
      <c r="H2807" t="str">
        <f>IF(F2807="","",IF(F2807&lt;'02_Eingaben'!$C$18*'02_Eingaben'!$C$10,1,0))</f>
        <v/>
      </c>
      <c r="I2807" s="17" t="str">
        <f t="shared" si="43"/>
        <v/>
      </c>
      <c r="J2807" s="17" t="str">
        <f>IF(B2807="","",IF(B2806&lt;'02_Eingaben'!$C$36,0,J2806+I2806/'02_Eingaben'!$C$8))</f>
        <v/>
      </c>
    </row>
    <row r="2808" spans="1:10" x14ac:dyDescent="0.25">
      <c r="A2808" t="str">
        <f>IF('01_Rohdaten'!A2808="","",ROW()-1)</f>
        <v/>
      </c>
      <c r="B2808" s="17" t="str">
        <f>IF('01_Rohdaten'!A2808="","",'01_Rohdaten'!A2808)</f>
        <v/>
      </c>
      <c r="C2808" s="17" t="str">
        <f>IF(B2808="","",INDEX('01_Rohdaten'!B2808:D2808,'02_Eingaben'!$C$13))</f>
        <v/>
      </c>
      <c r="D2808" s="17" t="str">
        <f>IF(C2808="","",C2808*'02_Eingaben'!$C$15)</f>
        <v/>
      </c>
      <c r="E2808" s="17" t="str">
        <f>IF(D2808="","",D2808*'02_Eingaben'!$C$8)</f>
        <v/>
      </c>
      <c r="F2808" s="17" t="str">
        <f>IF(E2808="","",AVERAGE(INDEX($E$2:$E$3001,MAX(1,ROW()-1-'02_Eingaben'!$C$17)):INDEX($E$2:$E$3001,MIN('02_Eingaben'!$C$21,ROW()-1+'02_Eingaben'!$C$17))))</f>
        <v/>
      </c>
      <c r="G2808" s="17" t="str">
        <f>IF(F2808="","",F2808-'02_Eingaben'!$C$10)</f>
        <v/>
      </c>
      <c r="H2808" t="str">
        <f>IF(F2808="","",IF(F2808&lt;'02_Eingaben'!$C$18*'02_Eingaben'!$C$10,1,0))</f>
        <v/>
      </c>
      <c r="I2808" s="17" t="str">
        <f t="shared" si="43"/>
        <v/>
      </c>
      <c r="J2808" s="17" t="str">
        <f>IF(B2808="","",IF(B2807&lt;'02_Eingaben'!$C$36,0,J2807+I2807/'02_Eingaben'!$C$8))</f>
        <v/>
      </c>
    </row>
    <row r="2809" spans="1:10" x14ac:dyDescent="0.25">
      <c r="A2809" t="str">
        <f>IF('01_Rohdaten'!A2809="","",ROW()-1)</f>
        <v/>
      </c>
      <c r="B2809" s="17" t="str">
        <f>IF('01_Rohdaten'!A2809="","",'01_Rohdaten'!A2809)</f>
        <v/>
      </c>
      <c r="C2809" s="17" t="str">
        <f>IF(B2809="","",INDEX('01_Rohdaten'!B2809:D2809,'02_Eingaben'!$C$13))</f>
        <v/>
      </c>
      <c r="D2809" s="17" t="str">
        <f>IF(C2809="","",C2809*'02_Eingaben'!$C$15)</f>
        <v/>
      </c>
      <c r="E2809" s="17" t="str">
        <f>IF(D2809="","",D2809*'02_Eingaben'!$C$8)</f>
        <v/>
      </c>
      <c r="F2809" s="17" t="str">
        <f>IF(E2809="","",AVERAGE(INDEX($E$2:$E$3001,MAX(1,ROW()-1-'02_Eingaben'!$C$17)):INDEX($E$2:$E$3001,MIN('02_Eingaben'!$C$21,ROW()-1+'02_Eingaben'!$C$17))))</f>
        <v/>
      </c>
      <c r="G2809" s="17" t="str">
        <f>IF(F2809="","",F2809-'02_Eingaben'!$C$10)</f>
        <v/>
      </c>
      <c r="H2809" t="str">
        <f>IF(F2809="","",IF(F2809&lt;'02_Eingaben'!$C$18*'02_Eingaben'!$C$10,1,0))</f>
        <v/>
      </c>
      <c r="I2809" s="17" t="str">
        <f t="shared" si="43"/>
        <v/>
      </c>
      <c r="J2809" s="17" t="str">
        <f>IF(B2809="","",IF(B2808&lt;'02_Eingaben'!$C$36,0,J2808+I2808/'02_Eingaben'!$C$8))</f>
        <v/>
      </c>
    </row>
    <row r="2810" spans="1:10" x14ac:dyDescent="0.25">
      <c r="A2810" t="str">
        <f>IF('01_Rohdaten'!A2810="","",ROW()-1)</f>
        <v/>
      </c>
      <c r="B2810" s="17" t="str">
        <f>IF('01_Rohdaten'!A2810="","",'01_Rohdaten'!A2810)</f>
        <v/>
      </c>
      <c r="C2810" s="17" t="str">
        <f>IF(B2810="","",INDEX('01_Rohdaten'!B2810:D2810,'02_Eingaben'!$C$13))</f>
        <v/>
      </c>
      <c r="D2810" s="17" t="str">
        <f>IF(C2810="","",C2810*'02_Eingaben'!$C$15)</f>
        <v/>
      </c>
      <c r="E2810" s="17" t="str">
        <f>IF(D2810="","",D2810*'02_Eingaben'!$C$8)</f>
        <v/>
      </c>
      <c r="F2810" s="17" t="str">
        <f>IF(E2810="","",AVERAGE(INDEX($E$2:$E$3001,MAX(1,ROW()-1-'02_Eingaben'!$C$17)):INDEX($E$2:$E$3001,MIN('02_Eingaben'!$C$21,ROW()-1+'02_Eingaben'!$C$17))))</f>
        <v/>
      </c>
      <c r="G2810" s="17" t="str">
        <f>IF(F2810="","",F2810-'02_Eingaben'!$C$10)</f>
        <v/>
      </c>
      <c r="H2810" t="str">
        <f>IF(F2810="","",IF(F2810&lt;'02_Eingaben'!$C$18*'02_Eingaben'!$C$10,1,0))</f>
        <v/>
      </c>
      <c r="I2810" s="17" t="str">
        <f t="shared" si="43"/>
        <v/>
      </c>
      <c r="J2810" s="17" t="str">
        <f>IF(B2810="","",IF(B2809&lt;'02_Eingaben'!$C$36,0,J2809+I2809/'02_Eingaben'!$C$8))</f>
        <v/>
      </c>
    </row>
    <row r="2811" spans="1:10" x14ac:dyDescent="0.25">
      <c r="A2811" t="str">
        <f>IF('01_Rohdaten'!A2811="","",ROW()-1)</f>
        <v/>
      </c>
      <c r="B2811" s="17" t="str">
        <f>IF('01_Rohdaten'!A2811="","",'01_Rohdaten'!A2811)</f>
        <v/>
      </c>
      <c r="C2811" s="17" t="str">
        <f>IF(B2811="","",INDEX('01_Rohdaten'!B2811:D2811,'02_Eingaben'!$C$13))</f>
        <v/>
      </c>
      <c r="D2811" s="17" t="str">
        <f>IF(C2811="","",C2811*'02_Eingaben'!$C$15)</f>
        <v/>
      </c>
      <c r="E2811" s="17" t="str">
        <f>IF(D2811="","",D2811*'02_Eingaben'!$C$8)</f>
        <v/>
      </c>
      <c r="F2811" s="17" t="str">
        <f>IF(E2811="","",AVERAGE(INDEX($E$2:$E$3001,MAX(1,ROW()-1-'02_Eingaben'!$C$17)):INDEX($E$2:$E$3001,MIN('02_Eingaben'!$C$21,ROW()-1+'02_Eingaben'!$C$17))))</f>
        <v/>
      </c>
      <c r="G2811" s="17" t="str">
        <f>IF(F2811="","",F2811-'02_Eingaben'!$C$10)</f>
        <v/>
      </c>
      <c r="H2811" t="str">
        <f>IF(F2811="","",IF(F2811&lt;'02_Eingaben'!$C$18*'02_Eingaben'!$C$10,1,0))</f>
        <v/>
      </c>
      <c r="I2811" s="17" t="str">
        <f t="shared" si="43"/>
        <v/>
      </c>
      <c r="J2811" s="17" t="str">
        <f>IF(B2811="","",IF(B2810&lt;'02_Eingaben'!$C$36,0,J2810+I2810/'02_Eingaben'!$C$8))</f>
        <v/>
      </c>
    </row>
    <row r="2812" spans="1:10" x14ac:dyDescent="0.25">
      <c r="A2812" t="str">
        <f>IF('01_Rohdaten'!A2812="","",ROW()-1)</f>
        <v/>
      </c>
      <c r="B2812" s="17" t="str">
        <f>IF('01_Rohdaten'!A2812="","",'01_Rohdaten'!A2812)</f>
        <v/>
      </c>
      <c r="C2812" s="17" t="str">
        <f>IF(B2812="","",INDEX('01_Rohdaten'!B2812:D2812,'02_Eingaben'!$C$13))</f>
        <v/>
      </c>
      <c r="D2812" s="17" t="str">
        <f>IF(C2812="","",C2812*'02_Eingaben'!$C$15)</f>
        <v/>
      </c>
      <c r="E2812" s="17" t="str">
        <f>IF(D2812="","",D2812*'02_Eingaben'!$C$8)</f>
        <v/>
      </c>
      <c r="F2812" s="17" t="str">
        <f>IF(E2812="","",AVERAGE(INDEX($E$2:$E$3001,MAX(1,ROW()-1-'02_Eingaben'!$C$17)):INDEX($E$2:$E$3001,MIN('02_Eingaben'!$C$21,ROW()-1+'02_Eingaben'!$C$17))))</f>
        <v/>
      </c>
      <c r="G2812" s="17" t="str">
        <f>IF(F2812="","",F2812-'02_Eingaben'!$C$10)</f>
        <v/>
      </c>
      <c r="H2812" t="str">
        <f>IF(F2812="","",IF(F2812&lt;'02_Eingaben'!$C$18*'02_Eingaben'!$C$10,1,0))</f>
        <v/>
      </c>
      <c r="I2812" s="17" t="str">
        <f t="shared" si="43"/>
        <v/>
      </c>
      <c r="J2812" s="17" t="str">
        <f>IF(B2812="","",IF(B2811&lt;'02_Eingaben'!$C$36,0,J2811+I2811/'02_Eingaben'!$C$8))</f>
        <v/>
      </c>
    </row>
    <row r="2813" spans="1:10" x14ac:dyDescent="0.25">
      <c r="A2813" t="str">
        <f>IF('01_Rohdaten'!A2813="","",ROW()-1)</f>
        <v/>
      </c>
      <c r="B2813" s="17" t="str">
        <f>IF('01_Rohdaten'!A2813="","",'01_Rohdaten'!A2813)</f>
        <v/>
      </c>
      <c r="C2813" s="17" t="str">
        <f>IF(B2813="","",INDEX('01_Rohdaten'!B2813:D2813,'02_Eingaben'!$C$13))</f>
        <v/>
      </c>
      <c r="D2813" s="17" t="str">
        <f>IF(C2813="","",C2813*'02_Eingaben'!$C$15)</f>
        <v/>
      </c>
      <c r="E2813" s="17" t="str">
        <f>IF(D2813="","",D2813*'02_Eingaben'!$C$8)</f>
        <v/>
      </c>
      <c r="F2813" s="17" t="str">
        <f>IF(E2813="","",AVERAGE(INDEX($E$2:$E$3001,MAX(1,ROW()-1-'02_Eingaben'!$C$17)):INDEX($E$2:$E$3001,MIN('02_Eingaben'!$C$21,ROW()-1+'02_Eingaben'!$C$17))))</f>
        <v/>
      </c>
      <c r="G2813" s="17" t="str">
        <f>IF(F2813="","",F2813-'02_Eingaben'!$C$10)</f>
        <v/>
      </c>
      <c r="H2813" t="str">
        <f>IF(F2813="","",IF(F2813&lt;'02_Eingaben'!$C$18*'02_Eingaben'!$C$10,1,0))</f>
        <v/>
      </c>
      <c r="I2813" s="17" t="str">
        <f t="shared" si="43"/>
        <v/>
      </c>
      <c r="J2813" s="17" t="str">
        <f>IF(B2813="","",IF(B2812&lt;'02_Eingaben'!$C$36,0,J2812+I2812/'02_Eingaben'!$C$8))</f>
        <v/>
      </c>
    </row>
    <row r="2814" spans="1:10" x14ac:dyDescent="0.25">
      <c r="A2814" t="str">
        <f>IF('01_Rohdaten'!A2814="","",ROW()-1)</f>
        <v/>
      </c>
      <c r="B2814" s="17" t="str">
        <f>IF('01_Rohdaten'!A2814="","",'01_Rohdaten'!A2814)</f>
        <v/>
      </c>
      <c r="C2814" s="17" t="str">
        <f>IF(B2814="","",INDEX('01_Rohdaten'!B2814:D2814,'02_Eingaben'!$C$13))</f>
        <v/>
      </c>
      <c r="D2814" s="17" t="str">
        <f>IF(C2814="","",C2814*'02_Eingaben'!$C$15)</f>
        <v/>
      </c>
      <c r="E2814" s="17" t="str">
        <f>IF(D2814="","",D2814*'02_Eingaben'!$C$8)</f>
        <v/>
      </c>
      <c r="F2814" s="17" t="str">
        <f>IF(E2814="","",AVERAGE(INDEX($E$2:$E$3001,MAX(1,ROW()-1-'02_Eingaben'!$C$17)):INDEX($E$2:$E$3001,MIN('02_Eingaben'!$C$21,ROW()-1+'02_Eingaben'!$C$17))))</f>
        <v/>
      </c>
      <c r="G2814" s="17" t="str">
        <f>IF(F2814="","",F2814-'02_Eingaben'!$C$10)</f>
        <v/>
      </c>
      <c r="H2814" t="str">
        <f>IF(F2814="","",IF(F2814&lt;'02_Eingaben'!$C$18*'02_Eingaben'!$C$10,1,0))</f>
        <v/>
      </c>
      <c r="I2814" s="17" t="str">
        <f t="shared" si="43"/>
        <v/>
      </c>
      <c r="J2814" s="17" t="str">
        <f>IF(B2814="","",IF(B2813&lt;'02_Eingaben'!$C$36,0,J2813+I2813/'02_Eingaben'!$C$8))</f>
        <v/>
      </c>
    </row>
    <row r="2815" spans="1:10" x14ac:dyDescent="0.25">
      <c r="A2815" t="str">
        <f>IF('01_Rohdaten'!A2815="","",ROW()-1)</f>
        <v/>
      </c>
      <c r="B2815" s="17" t="str">
        <f>IF('01_Rohdaten'!A2815="","",'01_Rohdaten'!A2815)</f>
        <v/>
      </c>
      <c r="C2815" s="17" t="str">
        <f>IF(B2815="","",INDEX('01_Rohdaten'!B2815:D2815,'02_Eingaben'!$C$13))</f>
        <v/>
      </c>
      <c r="D2815" s="17" t="str">
        <f>IF(C2815="","",C2815*'02_Eingaben'!$C$15)</f>
        <v/>
      </c>
      <c r="E2815" s="17" t="str">
        <f>IF(D2815="","",D2815*'02_Eingaben'!$C$8)</f>
        <v/>
      </c>
      <c r="F2815" s="17" t="str">
        <f>IF(E2815="","",AVERAGE(INDEX($E$2:$E$3001,MAX(1,ROW()-1-'02_Eingaben'!$C$17)):INDEX($E$2:$E$3001,MIN('02_Eingaben'!$C$21,ROW()-1+'02_Eingaben'!$C$17))))</f>
        <v/>
      </c>
      <c r="G2815" s="17" t="str">
        <f>IF(F2815="","",F2815-'02_Eingaben'!$C$10)</f>
        <v/>
      </c>
      <c r="H2815" t="str">
        <f>IF(F2815="","",IF(F2815&lt;'02_Eingaben'!$C$18*'02_Eingaben'!$C$10,1,0))</f>
        <v/>
      </c>
      <c r="I2815" s="17" t="str">
        <f t="shared" si="43"/>
        <v/>
      </c>
      <c r="J2815" s="17" t="str">
        <f>IF(B2815="","",IF(B2814&lt;'02_Eingaben'!$C$36,0,J2814+I2814/'02_Eingaben'!$C$8))</f>
        <v/>
      </c>
    </row>
    <row r="2816" spans="1:10" x14ac:dyDescent="0.25">
      <c r="A2816" t="str">
        <f>IF('01_Rohdaten'!A2816="","",ROW()-1)</f>
        <v/>
      </c>
      <c r="B2816" s="17" t="str">
        <f>IF('01_Rohdaten'!A2816="","",'01_Rohdaten'!A2816)</f>
        <v/>
      </c>
      <c r="C2816" s="17" t="str">
        <f>IF(B2816="","",INDEX('01_Rohdaten'!B2816:D2816,'02_Eingaben'!$C$13))</f>
        <v/>
      </c>
      <c r="D2816" s="17" t="str">
        <f>IF(C2816="","",C2816*'02_Eingaben'!$C$15)</f>
        <v/>
      </c>
      <c r="E2816" s="17" t="str">
        <f>IF(D2816="","",D2816*'02_Eingaben'!$C$8)</f>
        <v/>
      </c>
      <c r="F2816" s="17" t="str">
        <f>IF(E2816="","",AVERAGE(INDEX($E$2:$E$3001,MAX(1,ROW()-1-'02_Eingaben'!$C$17)):INDEX($E$2:$E$3001,MIN('02_Eingaben'!$C$21,ROW()-1+'02_Eingaben'!$C$17))))</f>
        <v/>
      </c>
      <c r="G2816" s="17" t="str">
        <f>IF(F2816="","",F2816-'02_Eingaben'!$C$10)</f>
        <v/>
      </c>
      <c r="H2816" t="str">
        <f>IF(F2816="","",IF(F2816&lt;'02_Eingaben'!$C$18*'02_Eingaben'!$C$10,1,0))</f>
        <v/>
      </c>
      <c r="I2816" s="17" t="str">
        <f t="shared" si="43"/>
        <v/>
      </c>
      <c r="J2816" s="17" t="str">
        <f>IF(B2816="","",IF(B2815&lt;'02_Eingaben'!$C$36,0,J2815+I2815/'02_Eingaben'!$C$8))</f>
        <v/>
      </c>
    </row>
    <row r="2817" spans="1:10" x14ac:dyDescent="0.25">
      <c r="A2817" t="str">
        <f>IF('01_Rohdaten'!A2817="","",ROW()-1)</f>
        <v/>
      </c>
      <c r="B2817" s="17" t="str">
        <f>IF('01_Rohdaten'!A2817="","",'01_Rohdaten'!A2817)</f>
        <v/>
      </c>
      <c r="C2817" s="17" t="str">
        <f>IF(B2817="","",INDEX('01_Rohdaten'!B2817:D2817,'02_Eingaben'!$C$13))</f>
        <v/>
      </c>
      <c r="D2817" s="17" t="str">
        <f>IF(C2817="","",C2817*'02_Eingaben'!$C$15)</f>
        <v/>
      </c>
      <c r="E2817" s="17" t="str">
        <f>IF(D2817="","",D2817*'02_Eingaben'!$C$8)</f>
        <v/>
      </c>
      <c r="F2817" s="17" t="str">
        <f>IF(E2817="","",AVERAGE(INDEX($E$2:$E$3001,MAX(1,ROW()-1-'02_Eingaben'!$C$17)):INDEX($E$2:$E$3001,MIN('02_Eingaben'!$C$21,ROW()-1+'02_Eingaben'!$C$17))))</f>
        <v/>
      </c>
      <c r="G2817" s="17" t="str">
        <f>IF(F2817="","",F2817-'02_Eingaben'!$C$10)</f>
        <v/>
      </c>
      <c r="H2817" t="str">
        <f>IF(F2817="","",IF(F2817&lt;'02_Eingaben'!$C$18*'02_Eingaben'!$C$10,1,0))</f>
        <v/>
      </c>
      <c r="I2817" s="17" t="str">
        <f t="shared" si="43"/>
        <v/>
      </c>
      <c r="J2817" s="17" t="str">
        <f>IF(B2817="","",IF(B2816&lt;'02_Eingaben'!$C$36,0,J2816+I2816/'02_Eingaben'!$C$8))</f>
        <v/>
      </c>
    </row>
    <row r="2818" spans="1:10" x14ac:dyDescent="0.25">
      <c r="A2818" t="str">
        <f>IF('01_Rohdaten'!A2818="","",ROW()-1)</f>
        <v/>
      </c>
      <c r="B2818" s="17" t="str">
        <f>IF('01_Rohdaten'!A2818="","",'01_Rohdaten'!A2818)</f>
        <v/>
      </c>
      <c r="C2818" s="17" t="str">
        <f>IF(B2818="","",INDEX('01_Rohdaten'!B2818:D2818,'02_Eingaben'!$C$13))</f>
        <v/>
      </c>
      <c r="D2818" s="17" t="str">
        <f>IF(C2818="","",C2818*'02_Eingaben'!$C$15)</f>
        <v/>
      </c>
      <c r="E2818" s="17" t="str">
        <f>IF(D2818="","",D2818*'02_Eingaben'!$C$8)</f>
        <v/>
      </c>
      <c r="F2818" s="17" t="str">
        <f>IF(E2818="","",AVERAGE(INDEX($E$2:$E$3001,MAX(1,ROW()-1-'02_Eingaben'!$C$17)):INDEX($E$2:$E$3001,MIN('02_Eingaben'!$C$21,ROW()-1+'02_Eingaben'!$C$17))))</f>
        <v/>
      </c>
      <c r="G2818" s="17" t="str">
        <f>IF(F2818="","",F2818-'02_Eingaben'!$C$10)</f>
        <v/>
      </c>
      <c r="H2818" t="str">
        <f>IF(F2818="","",IF(F2818&lt;'02_Eingaben'!$C$18*'02_Eingaben'!$C$10,1,0))</f>
        <v/>
      </c>
      <c r="I2818" s="17" t="str">
        <f t="shared" ref="I2818:I2881" si="44">IF(OR(G2818="",G2819=""),"",(G2818+G2819)/2*(B2819-B2818))</f>
        <v/>
      </c>
      <c r="J2818" s="17" t="str">
        <f>IF(B2818="","",IF(B2817&lt;'02_Eingaben'!$C$36,0,J2817+I2817/'02_Eingaben'!$C$8))</f>
        <v/>
      </c>
    </row>
    <row r="2819" spans="1:10" x14ac:dyDescent="0.25">
      <c r="A2819" t="str">
        <f>IF('01_Rohdaten'!A2819="","",ROW()-1)</f>
        <v/>
      </c>
      <c r="B2819" s="17" t="str">
        <f>IF('01_Rohdaten'!A2819="","",'01_Rohdaten'!A2819)</f>
        <v/>
      </c>
      <c r="C2819" s="17" t="str">
        <f>IF(B2819="","",INDEX('01_Rohdaten'!B2819:D2819,'02_Eingaben'!$C$13))</f>
        <v/>
      </c>
      <c r="D2819" s="17" t="str">
        <f>IF(C2819="","",C2819*'02_Eingaben'!$C$15)</f>
        <v/>
      </c>
      <c r="E2819" s="17" t="str">
        <f>IF(D2819="","",D2819*'02_Eingaben'!$C$8)</f>
        <v/>
      </c>
      <c r="F2819" s="17" t="str">
        <f>IF(E2819="","",AVERAGE(INDEX($E$2:$E$3001,MAX(1,ROW()-1-'02_Eingaben'!$C$17)):INDEX($E$2:$E$3001,MIN('02_Eingaben'!$C$21,ROW()-1+'02_Eingaben'!$C$17))))</f>
        <v/>
      </c>
      <c r="G2819" s="17" t="str">
        <f>IF(F2819="","",F2819-'02_Eingaben'!$C$10)</f>
        <v/>
      </c>
      <c r="H2819" t="str">
        <f>IF(F2819="","",IF(F2819&lt;'02_Eingaben'!$C$18*'02_Eingaben'!$C$10,1,0))</f>
        <v/>
      </c>
      <c r="I2819" s="17" t="str">
        <f t="shared" si="44"/>
        <v/>
      </c>
      <c r="J2819" s="17" t="str">
        <f>IF(B2819="","",IF(B2818&lt;'02_Eingaben'!$C$36,0,J2818+I2818/'02_Eingaben'!$C$8))</f>
        <v/>
      </c>
    </row>
    <row r="2820" spans="1:10" x14ac:dyDescent="0.25">
      <c r="A2820" t="str">
        <f>IF('01_Rohdaten'!A2820="","",ROW()-1)</f>
        <v/>
      </c>
      <c r="B2820" s="17" t="str">
        <f>IF('01_Rohdaten'!A2820="","",'01_Rohdaten'!A2820)</f>
        <v/>
      </c>
      <c r="C2820" s="17" t="str">
        <f>IF(B2820="","",INDEX('01_Rohdaten'!B2820:D2820,'02_Eingaben'!$C$13))</f>
        <v/>
      </c>
      <c r="D2820" s="17" t="str">
        <f>IF(C2820="","",C2820*'02_Eingaben'!$C$15)</f>
        <v/>
      </c>
      <c r="E2820" s="17" t="str">
        <f>IF(D2820="","",D2820*'02_Eingaben'!$C$8)</f>
        <v/>
      </c>
      <c r="F2820" s="17" t="str">
        <f>IF(E2820="","",AVERAGE(INDEX($E$2:$E$3001,MAX(1,ROW()-1-'02_Eingaben'!$C$17)):INDEX($E$2:$E$3001,MIN('02_Eingaben'!$C$21,ROW()-1+'02_Eingaben'!$C$17))))</f>
        <v/>
      </c>
      <c r="G2820" s="17" t="str">
        <f>IF(F2820="","",F2820-'02_Eingaben'!$C$10)</f>
        <v/>
      </c>
      <c r="H2820" t="str">
        <f>IF(F2820="","",IF(F2820&lt;'02_Eingaben'!$C$18*'02_Eingaben'!$C$10,1,0))</f>
        <v/>
      </c>
      <c r="I2820" s="17" t="str">
        <f t="shared" si="44"/>
        <v/>
      </c>
      <c r="J2820" s="17" t="str">
        <f>IF(B2820="","",IF(B2819&lt;'02_Eingaben'!$C$36,0,J2819+I2819/'02_Eingaben'!$C$8))</f>
        <v/>
      </c>
    </row>
    <row r="2821" spans="1:10" x14ac:dyDescent="0.25">
      <c r="A2821" t="str">
        <f>IF('01_Rohdaten'!A2821="","",ROW()-1)</f>
        <v/>
      </c>
      <c r="B2821" s="17" t="str">
        <f>IF('01_Rohdaten'!A2821="","",'01_Rohdaten'!A2821)</f>
        <v/>
      </c>
      <c r="C2821" s="17" t="str">
        <f>IF(B2821="","",INDEX('01_Rohdaten'!B2821:D2821,'02_Eingaben'!$C$13))</f>
        <v/>
      </c>
      <c r="D2821" s="17" t="str">
        <f>IF(C2821="","",C2821*'02_Eingaben'!$C$15)</f>
        <v/>
      </c>
      <c r="E2821" s="17" t="str">
        <f>IF(D2821="","",D2821*'02_Eingaben'!$C$8)</f>
        <v/>
      </c>
      <c r="F2821" s="17" t="str">
        <f>IF(E2821="","",AVERAGE(INDEX($E$2:$E$3001,MAX(1,ROW()-1-'02_Eingaben'!$C$17)):INDEX($E$2:$E$3001,MIN('02_Eingaben'!$C$21,ROW()-1+'02_Eingaben'!$C$17))))</f>
        <v/>
      </c>
      <c r="G2821" s="17" t="str">
        <f>IF(F2821="","",F2821-'02_Eingaben'!$C$10)</f>
        <v/>
      </c>
      <c r="H2821" t="str">
        <f>IF(F2821="","",IF(F2821&lt;'02_Eingaben'!$C$18*'02_Eingaben'!$C$10,1,0))</f>
        <v/>
      </c>
      <c r="I2821" s="17" t="str">
        <f t="shared" si="44"/>
        <v/>
      </c>
      <c r="J2821" s="17" t="str">
        <f>IF(B2821="","",IF(B2820&lt;'02_Eingaben'!$C$36,0,J2820+I2820/'02_Eingaben'!$C$8))</f>
        <v/>
      </c>
    </row>
    <row r="2822" spans="1:10" x14ac:dyDescent="0.25">
      <c r="A2822" t="str">
        <f>IF('01_Rohdaten'!A2822="","",ROW()-1)</f>
        <v/>
      </c>
      <c r="B2822" s="17" t="str">
        <f>IF('01_Rohdaten'!A2822="","",'01_Rohdaten'!A2822)</f>
        <v/>
      </c>
      <c r="C2822" s="17" t="str">
        <f>IF(B2822="","",INDEX('01_Rohdaten'!B2822:D2822,'02_Eingaben'!$C$13))</f>
        <v/>
      </c>
      <c r="D2822" s="17" t="str">
        <f>IF(C2822="","",C2822*'02_Eingaben'!$C$15)</f>
        <v/>
      </c>
      <c r="E2822" s="17" t="str">
        <f>IF(D2822="","",D2822*'02_Eingaben'!$C$8)</f>
        <v/>
      </c>
      <c r="F2822" s="17" t="str">
        <f>IF(E2822="","",AVERAGE(INDEX($E$2:$E$3001,MAX(1,ROW()-1-'02_Eingaben'!$C$17)):INDEX($E$2:$E$3001,MIN('02_Eingaben'!$C$21,ROW()-1+'02_Eingaben'!$C$17))))</f>
        <v/>
      </c>
      <c r="G2822" s="17" t="str">
        <f>IF(F2822="","",F2822-'02_Eingaben'!$C$10)</f>
        <v/>
      </c>
      <c r="H2822" t="str">
        <f>IF(F2822="","",IF(F2822&lt;'02_Eingaben'!$C$18*'02_Eingaben'!$C$10,1,0))</f>
        <v/>
      </c>
      <c r="I2822" s="17" t="str">
        <f t="shared" si="44"/>
        <v/>
      </c>
      <c r="J2822" s="17" t="str">
        <f>IF(B2822="","",IF(B2821&lt;'02_Eingaben'!$C$36,0,J2821+I2821/'02_Eingaben'!$C$8))</f>
        <v/>
      </c>
    </row>
    <row r="2823" spans="1:10" x14ac:dyDescent="0.25">
      <c r="A2823" t="str">
        <f>IF('01_Rohdaten'!A2823="","",ROW()-1)</f>
        <v/>
      </c>
      <c r="B2823" s="17" t="str">
        <f>IF('01_Rohdaten'!A2823="","",'01_Rohdaten'!A2823)</f>
        <v/>
      </c>
      <c r="C2823" s="17" t="str">
        <f>IF(B2823="","",INDEX('01_Rohdaten'!B2823:D2823,'02_Eingaben'!$C$13))</f>
        <v/>
      </c>
      <c r="D2823" s="17" t="str">
        <f>IF(C2823="","",C2823*'02_Eingaben'!$C$15)</f>
        <v/>
      </c>
      <c r="E2823" s="17" t="str">
        <f>IF(D2823="","",D2823*'02_Eingaben'!$C$8)</f>
        <v/>
      </c>
      <c r="F2823" s="17" t="str">
        <f>IF(E2823="","",AVERAGE(INDEX($E$2:$E$3001,MAX(1,ROW()-1-'02_Eingaben'!$C$17)):INDEX($E$2:$E$3001,MIN('02_Eingaben'!$C$21,ROW()-1+'02_Eingaben'!$C$17))))</f>
        <v/>
      </c>
      <c r="G2823" s="17" t="str">
        <f>IF(F2823="","",F2823-'02_Eingaben'!$C$10)</f>
        <v/>
      </c>
      <c r="H2823" t="str">
        <f>IF(F2823="","",IF(F2823&lt;'02_Eingaben'!$C$18*'02_Eingaben'!$C$10,1,0))</f>
        <v/>
      </c>
      <c r="I2823" s="17" t="str">
        <f t="shared" si="44"/>
        <v/>
      </c>
      <c r="J2823" s="17" t="str">
        <f>IF(B2823="","",IF(B2822&lt;'02_Eingaben'!$C$36,0,J2822+I2822/'02_Eingaben'!$C$8))</f>
        <v/>
      </c>
    </row>
    <row r="2824" spans="1:10" x14ac:dyDescent="0.25">
      <c r="A2824" t="str">
        <f>IF('01_Rohdaten'!A2824="","",ROW()-1)</f>
        <v/>
      </c>
      <c r="B2824" s="17" t="str">
        <f>IF('01_Rohdaten'!A2824="","",'01_Rohdaten'!A2824)</f>
        <v/>
      </c>
      <c r="C2824" s="17" t="str">
        <f>IF(B2824="","",INDEX('01_Rohdaten'!B2824:D2824,'02_Eingaben'!$C$13))</f>
        <v/>
      </c>
      <c r="D2824" s="17" t="str">
        <f>IF(C2824="","",C2824*'02_Eingaben'!$C$15)</f>
        <v/>
      </c>
      <c r="E2824" s="17" t="str">
        <f>IF(D2824="","",D2824*'02_Eingaben'!$C$8)</f>
        <v/>
      </c>
      <c r="F2824" s="17" t="str">
        <f>IF(E2824="","",AVERAGE(INDEX($E$2:$E$3001,MAX(1,ROW()-1-'02_Eingaben'!$C$17)):INDEX($E$2:$E$3001,MIN('02_Eingaben'!$C$21,ROW()-1+'02_Eingaben'!$C$17))))</f>
        <v/>
      </c>
      <c r="G2824" s="17" t="str">
        <f>IF(F2824="","",F2824-'02_Eingaben'!$C$10)</f>
        <v/>
      </c>
      <c r="H2824" t="str">
        <f>IF(F2824="","",IF(F2824&lt;'02_Eingaben'!$C$18*'02_Eingaben'!$C$10,1,0))</f>
        <v/>
      </c>
      <c r="I2824" s="17" t="str">
        <f t="shared" si="44"/>
        <v/>
      </c>
      <c r="J2824" s="17" t="str">
        <f>IF(B2824="","",IF(B2823&lt;'02_Eingaben'!$C$36,0,J2823+I2823/'02_Eingaben'!$C$8))</f>
        <v/>
      </c>
    </row>
    <row r="2825" spans="1:10" x14ac:dyDescent="0.25">
      <c r="A2825" t="str">
        <f>IF('01_Rohdaten'!A2825="","",ROW()-1)</f>
        <v/>
      </c>
      <c r="B2825" s="17" t="str">
        <f>IF('01_Rohdaten'!A2825="","",'01_Rohdaten'!A2825)</f>
        <v/>
      </c>
      <c r="C2825" s="17" t="str">
        <f>IF(B2825="","",INDEX('01_Rohdaten'!B2825:D2825,'02_Eingaben'!$C$13))</f>
        <v/>
      </c>
      <c r="D2825" s="17" t="str">
        <f>IF(C2825="","",C2825*'02_Eingaben'!$C$15)</f>
        <v/>
      </c>
      <c r="E2825" s="17" t="str">
        <f>IF(D2825="","",D2825*'02_Eingaben'!$C$8)</f>
        <v/>
      </c>
      <c r="F2825" s="17" t="str">
        <f>IF(E2825="","",AVERAGE(INDEX($E$2:$E$3001,MAX(1,ROW()-1-'02_Eingaben'!$C$17)):INDEX($E$2:$E$3001,MIN('02_Eingaben'!$C$21,ROW()-1+'02_Eingaben'!$C$17))))</f>
        <v/>
      </c>
      <c r="G2825" s="17" t="str">
        <f>IF(F2825="","",F2825-'02_Eingaben'!$C$10)</f>
        <v/>
      </c>
      <c r="H2825" t="str">
        <f>IF(F2825="","",IF(F2825&lt;'02_Eingaben'!$C$18*'02_Eingaben'!$C$10,1,0))</f>
        <v/>
      </c>
      <c r="I2825" s="17" t="str">
        <f t="shared" si="44"/>
        <v/>
      </c>
      <c r="J2825" s="17" t="str">
        <f>IF(B2825="","",IF(B2824&lt;'02_Eingaben'!$C$36,0,J2824+I2824/'02_Eingaben'!$C$8))</f>
        <v/>
      </c>
    </row>
    <row r="2826" spans="1:10" x14ac:dyDescent="0.25">
      <c r="A2826" t="str">
        <f>IF('01_Rohdaten'!A2826="","",ROW()-1)</f>
        <v/>
      </c>
      <c r="B2826" s="17" t="str">
        <f>IF('01_Rohdaten'!A2826="","",'01_Rohdaten'!A2826)</f>
        <v/>
      </c>
      <c r="C2826" s="17" t="str">
        <f>IF(B2826="","",INDEX('01_Rohdaten'!B2826:D2826,'02_Eingaben'!$C$13))</f>
        <v/>
      </c>
      <c r="D2826" s="17" t="str">
        <f>IF(C2826="","",C2826*'02_Eingaben'!$C$15)</f>
        <v/>
      </c>
      <c r="E2826" s="17" t="str">
        <f>IF(D2826="","",D2826*'02_Eingaben'!$C$8)</f>
        <v/>
      </c>
      <c r="F2826" s="17" t="str">
        <f>IF(E2826="","",AVERAGE(INDEX($E$2:$E$3001,MAX(1,ROW()-1-'02_Eingaben'!$C$17)):INDEX($E$2:$E$3001,MIN('02_Eingaben'!$C$21,ROW()-1+'02_Eingaben'!$C$17))))</f>
        <v/>
      </c>
      <c r="G2826" s="17" t="str">
        <f>IF(F2826="","",F2826-'02_Eingaben'!$C$10)</f>
        <v/>
      </c>
      <c r="H2826" t="str">
        <f>IF(F2826="","",IF(F2826&lt;'02_Eingaben'!$C$18*'02_Eingaben'!$C$10,1,0))</f>
        <v/>
      </c>
      <c r="I2826" s="17" t="str">
        <f t="shared" si="44"/>
        <v/>
      </c>
      <c r="J2826" s="17" t="str">
        <f>IF(B2826="","",IF(B2825&lt;'02_Eingaben'!$C$36,0,J2825+I2825/'02_Eingaben'!$C$8))</f>
        <v/>
      </c>
    </row>
    <row r="2827" spans="1:10" x14ac:dyDescent="0.25">
      <c r="A2827" t="str">
        <f>IF('01_Rohdaten'!A2827="","",ROW()-1)</f>
        <v/>
      </c>
      <c r="B2827" s="17" t="str">
        <f>IF('01_Rohdaten'!A2827="","",'01_Rohdaten'!A2827)</f>
        <v/>
      </c>
      <c r="C2827" s="17" t="str">
        <f>IF(B2827="","",INDEX('01_Rohdaten'!B2827:D2827,'02_Eingaben'!$C$13))</f>
        <v/>
      </c>
      <c r="D2827" s="17" t="str">
        <f>IF(C2827="","",C2827*'02_Eingaben'!$C$15)</f>
        <v/>
      </c>
      <c r="E2827" s="17" t="str">
        <f>IF(D2827="","",D2827*'02_Eingaben'!$C$8)</f>
        <v/>
      </c>
      <c r="F2827" s="17" t="str">
        <f>IF(E2827="","",AVERAGE(INDEX($E$2:$E$3001,MAX(1,ROW()-1-'02_Eingaben'!$C$17)):INDEX($E$2:$E$3001,MIN('02_Eingaben'!$C$21,ROW()-1+'02_Eingaben'!$C$17))))</f>
        <v/>
      </c>
      <c r="G2827" s="17" t="str">
        <f>IF(F2827="","",F2827-'02_Eingaben'!$C$10)</f>
        <v/>
      </c>
      <c r="H2827" t="str">
        <f>IF(F2827="","",IF(F2827&lt;'02_Eingaben'!$C$18*'02_Eingaben'!$C$10,1,0))</f>
        <v/>
      </c>
      <c r="I2827" s="17" t="str">
        <f t="shared" si="44"/>
        <v/>
      </c>
      <c r="J2827" s="17" t="str">
        <f>IF(B2827="","",IF(B2826&lt;'02_Eingaben'!$C$36,0,J2826+I2826/'02_Eingaben'!$C$8))</f>
        <v/>
      </c>
    </row>
    <row r="2828" spans="1:10" x14ac:dyDescent="0.25">
      <c r="A2828" t="str">
        <f>IF('01_Rohdaten'!A2828="","",ROW()-1)</f>
        <v/>
      </c>
      <c r="B2828" s="17" t="str">
        <f>IF('01_Rohdaten'!A2828="","",'01_Rohdaten'!A2828)</f>
        <v/>
      </c>
      <c r="C2828" s="17" t="str">
        <f>IF(B2828="","",INDEX('01_Rohdaten'!B2828:D2828,'02_Eingaben'!$C$13))</f>
        <v/>
      </c>
      <c r="D2828" s="17" t="str">
        <f>IF(C2828="","",C2828*'02_Eingaben'!$C$15)</f>
        <v/>
      </c>
      <c r="E2828" s="17" t="str">
        <f>IF(D2828="","",D2828*'02_Eingaben'!$C$8)</f>
        <v/>
      </c>
      <c r="F2828" s="17" t="str">
        <f>IF(E2828="","",AVERAGE(INDEX($E$2:$E$3001,MAX(1,ROW()-1-'02_Eingaben'!$C$17)):INDEX($E$2:$E$3001,MIN('02_Eingaben'!$C$21,ROW()-1+'02_Eingaben'!$C$17))))</f>
        <v/>
      </c>
      <c r="G2828" s="17" t="str">
        <f>IF(F2828="","",F2828-'02_Eingaben'!$C$10)</f>
        <v/>
      </c>
      <c r="H2828" t="str">
        <f>IF(F2828="","",IF(F2828&lt;'02_Eingaben'!$C$18*'02_Eingaben'!$C$10,1,0))</f>
        <v/>
      </c>
      <c r="I2828" s="17" t="str">
        <f t="shared" si="44"/>
        <v/>
      </c>
      <c r="J2828" s="17" t="str">
        <f>IF(B2828="","",IF(B2827&lt;'02_Eingaben'!$C$36,0,J2827+I2827/'02_Eingaben'!$C$8))</f>
        <v/>
      </c>
    </row>
    <row r="2829" spans="1:10" x14ac:dyDescent="0.25">
      <c r="A2829" t="str">
        <f>IF('01_Rohdaten'!A2829="","",ROW()-1)</f>
        <v/>
      </c>
      <c r="B2829" s="17" t="str">
        <f>IF('01_Rohdaten'!A2829="","",'01_Rohdaten'!A2829)</f>
        <v/>
      </c>
      <c r="C2829" s="17" t="str">
        <f>IF(B2829="","",INDEX('01_Rohdaten'!B2829:D2829,'02_Eingaben'!$C$13))</f>
        <v/>
      </c>
      <c r="D2829" s="17" t="str">
        <f>IF(C2829="","",C2829*'02_Eingaben'!$C$15)</f>
        <v/>
      </c>
      <c r="E2829" s="17" t="str">
        <f>IF(D2829="","",D2829*'02_Eingaben'!$C$8)</f>
        <v/>
      </c>
      <c r="F2829" s="17" t="str">
        <f>IF(E2829="","",AVERAGE(INDEX($E$2:$E$3001,MAX(1,ROW()-1-'02_Eingaben'!$C$17)):INDEX($E$2:$E$3001,MIN('02_Eingaben'!$C$21,ROW()-1+'02_Eingaben'!$C$17))))</f>
        <v/>
      </c>
      <c r="G2829" s="17" t="str">
        <f>IF(F2829="","",F2829-'02_Eingaben'!$C$10)</f>
        <v/>
      </c>
      <c r="H2829" t="str">
        <f>IF(F2829="","",IF(F2829&lt;'02_Eingaben'!$C$18*'02_Eingaben'!$C$10,1,0))</f>
        <v/>
      </c>
      <c r="I2829" s="17" t="str">
        <f t="shared" si="44"/>
        <v/>
      </c>
      <c r="J2829" s="17" t="str">
        <f>IF(B2829="","",IF(B2828&lt;'02_Eingaben'!$C$36,0,J2828+I2828/'02_Eingaben'!$C$8))</f>
        <v/>
      </c>
    </row>
    <row r="2830" spans="1:10" x14ac:dyDescent="0.25">
      <c r="A2830" t="str">
        <f>IF('01_Rohdaten'!A2830="","",ROW()-1)</f>
        <v/>
      </c>
      <c r="B2830" s="17" t="str">
        <f>IF('01_Rohdaten'!A2830="","",'01_Rohdaten'!A2830)</f>
        <v/>
      </c>
      <c r="C2830" s="17" t="str">
        <f>IF(B2830="","",INDEX('01_Rohdaten'!B2830:D2830,'02_Eingaben'!$C$13))</f>
        <v/>
      </c>
      <c r="D2830" s="17" t="str">
        <f>IF(C2830="","",C2830*'02_Eingaben'!$C$15)</f>
        <v/>
      </c>
      <c r="E2830" s="17" t="str">
        <f>IF(D2830="","",D2830*'02_Eingaben'!$C$8)</f>
        <v/>
      </c>
      <c r="F2830" s="17" t="str">
        <f>IF(E2830="","",AVERAGE(INDEX($E$2:$E$3001,MAX(1,ROW()-1-'02_Eingaben'!$C$17)):INDEX($E$2:$E$3001,MIN('02_Eingaben'!$C$21,ROW()-1+'02_Eingaben'!$C$17))))</f>
        <v/>
      </c>
      <c r="G2830" s="17" t="str">
        <f>IF(F2830="","",F2830-'02_Eingaben'!$C$10)</f>
        <v/>
      </c>
      <c r="H2830" t="str">
        <f>IF(F2830="","",IF(F2830&lt;'02_Eingaben'!$C$18*'02_Eingaben'!$C$10,1,0))</f>
        <v/>
      </c>
      <c r="I2830" s="17" t="str">
        <f t="shared" si="44"/>
        <v/>
      </c>
      <c r="J2830" s="17" t="str">
        <f>IF(B2830="","",IF(B2829&lt;'02_Eingaben'!$C$36,0,J2829+I2829/'02_Eingaben'!$C$8))</f>
        <v/>
      </c>
    </row>
    <row r="2831" spans="1:10" x14ac:dyDescent="0.25">
      <c r="A2831" t="str">
        <f>IF('01_Rohdaten'!A2831="","",ROW()-1)</f>
        <v/>
      </c>
      <c r="B2831" s="17" t="str">
        <f>IF('01_Rohdaten'!A2831="","",'01_Rohdaten'!A2831)</f>
        <v/>
      </c>
      <c r="C2831" s="17" t="str">
        <f>IF(B2831="","",INDEX('01_Rohdaten'!B2831:D2831,'02_Eingaben'!$C$13))</f>
        <v/>
      </c>
      <c r="D2831" s="17" t="str">
        <f>IF(C2831="","",C2831*'02_Eingaben'!$C$15)</f>
        <v/>
      </c>
      <c r="E2831" s="17" t="str">
        <f>IF(D2831="","",D2831*'02_Eingaben'!$C$8)</f>
        <v/>
      </c>
      <c r="F2831" s="17" t="str">
        <f>IF(E2831="","",AVERAGE(INDEX($E$2:$E$3001,MAX(1,ROW()-1-'02_Eingaben'!$C$17)):INDEX($E$2:$E$3001,MIN('02_Eingaben'!$C$21,ROW()-1+'02_Eingaben'!$C$17))))</f>
        <v/>
      </c>
      <c r="G2831" s="17" t="str">
        <f>IF(F2831="","",F2831-'02_Eingaben'!$C$10)</f>
        <v/>
      </c>
      <c r="H2831" t="str">
        <f>IF(F2831="","",IF(F2831&lt;'02_Eingaben'!$C$18*'02_Eingaben'!$C$10,1,0))</f>
        <v/>
      </c>
      <c r="I2831" s="17" t="str">
        <f t="shared" si="44"/>
        <v/>
      </c>
      <c r="J2831" s="17" t="str">
        <f>IF(B2831="","",IF(B2830&lt;'02_Eingaben'!$C$36,0,J2830+I2830/'02_Eingaben'!$C$8))</f>
        <v/>
      </c>
    </row>
    <row r="2832" spans="1:10" x14ac:dyDescent="0.25">
      <c r="A2832" t="str">
        <f>IF('01_Rohdaten'!A2832="","",ROW()-1)</f>
        <v/>
      </c>
      <c r="B2832" s="17" t="str">
        <f>IF('01_Rohdaten'!A2832="","",'01_Rohdaten'!A2832)</f>
        <v/>
      </c>
      <c r="C2832" s="17" t="str">
        <f>IF(B2832="","",INDEX('01_Rohdaten'!B2832:D2832,'02_Eingaben'!$C$13))</f>
        <v/>
      </c>
      <c r="D2832" s="17" t="str">
        <f>IF(C2832="","",C2832*'02_Eingaben'!$C$15)</f>
        <v/>
      </c>
      <c r="E2832" s="17" t="str">
        <f>IF(D2832="","",D2832*'02_Eingaben'!$C$8)</f>
        <v/>
      </c>
      <c r="F2832" s="17" t="str">
        <f>IF(E2832="","",AVERAGE(INDEX($E$2:$E$3001,MAX(1,ROW()-1-'02_Eingaben'!$C$17)):INDEX($E$2:$E$3001,MIN('02_Eingaben'!$C$21,ROW()-1+'02_Eingaben'!$C$17))))</f>
        <v/>
      </c>
      <c r="G2832" s="17" t="str">
        <f>IF(F2832="","",F2832-'02_Eingaben'!$C$10)</f>
        <v/>
      </c>
      <c r="H2832" t="str">
        <f>IF(F2832="","",IF(F2832&lt;'02_Eingaben'!$C$18*'02_Eingaben'!$C$10,1,0))</f>
        <v/>
      </c>
      <c r="I2832" s="17" t="str">
        <f t="shared" si="44"/>
        <v/>
      </c>
      <c r="J2832" s="17" t="str">
        <f>IF(B2832="","",IF(B2831&lt;'02_Eingaben'!$C$36,0,J2831+I2831/'02_Eingaben'!$C$8))</f>
        <v/>
      </c>
    </row>
    <row r="2833" spans="1:10" x14ac:dyDescent="0.25">
      <c r="A2833" t="str">
        <f>IF('01_Rohdaten'!A2833="","",ROW()-1)</f>
        <v/>
      </c>
      <c r="B2833" s="17" t="str">
        <f>IF('01_Rohdaten'!A2833="","",'01_Rohdaten'!A2833)</f>
        <v/>
      </c>
      <c r="C2833" s="17" t="str">
        <f>IF(B2833="","",INDEX('01_Rohdaten'!B2833:D2833,'02_Eingaben'!$C$13))</f>
        <v/>
      </c>
      <c r="D2833" s="17" t="str">
        <f>IF(C2833="","",C2833*'02_Eingaben'!$C$15)</f>
        <v/>
      </c>
      <c r="E2833" s="17" t="str">
        <f>IF(D2833="","",D2833*'02_Eingaben'!$C$8)</f>
        <v/>
      </c>
      <c r="F2833" s="17" t="str">
        <f>IF(E2833="","",AVERAGE(INDEX($E$2:$E$3001,MAX(1,ROW()-1-'02_Eingaben'!$C$17)):INDEX($E$2:$E$3001,MIN('02_Eingaben'!$C$21,ROW()-1+'02_Eingaben'!$C$17))))</f>
        <v/>
      </c>
      <c r="G2833" s="17" t="str">
        <f>IF(F2833="","",F2833-'02_Eingaben'!$C$10)</f>
        <v/>
      </c>
      <c r="H2833" t="str">
        <f>IF(F2833="","",IF(F2833&lt;'02_Eingaben'!$C$18*'02_Eingaben'!$C$10,1,0))</f>
        <v/>
      </c>
      <c r="I2833" s="17" t="str">
        <f t="shared" si="44"/>
        <v/>
      </c>
      <c r="J2833" s="17" t="str">
        <f>IF(B2833="","",IF(B2832&lt;'02_Eingaben'!$C$36,0,J2832+I2832/'02_Eingaben'!$C$8))</f>
        <v/>
      </c>
    </row>
    <row r="2834" spans="1:10" x14ac:dyDescent="0.25">
      <c r="A2834" t="str">
        <f>IF('01_Rohdaten'!A2834="","",ROW()-1)</f>
        <v/>
      </c>
      <c r="B2834" s="17" t="str">
        <f>IF('01_Rohdaten'!A2834="","",'01_Rohdaten'!A2834)</f>
        <v/>
      </c>
      <c r="C2834" s="17" t="str">
        <f>IF(B2834="","",INDEX('01_Rohdaten'!B2834:D2834,'02_Eingaben'!$C$13))</f>
        <v/>
      </c>
      <c r="D2834" s="17" t="str">
        <f>IF(C2834="","",C2834*'02_Eingaben'!$C$15)</f>
        <v/>
      </c>
      <c r="E2834" s="17" t="str">
        <f>IF(D2834="","",D2834*'02_Eingaben'!$C$8)</f>
        <v/>
      </c>
      <c r="F2834" s="17" t="str">
        <f>IF(E2834="","",AVERAGE(INDEX($E$2:$E$3001,MAX(1,ROW()-1-'02_Eingaben'!$C$17)):INDEX($E$2:$E$3001,MIN('02_Eingaben'!$C$21,ROW()-1+'02_Eingaben'!$C$17))))</f>
        <v/>
      </c>
      <c r="G2834" s="17" t="str">
        <f>IF(F2834="","",F2834-'02_Eingaben'!$C$10)</f>
        <v/>
      </c>
      <c r="H2834" t="str">
        <f>IF(F2834="","",IF(F2834&lt;'02_Eingaben'!$C$18*'02_Eingaben'!$C$10,1,0))</f>
        <v/>
      </c>
      <c r="I2834" s="17" t="str">
        <f t="shared" si="44"/>
        <v/>
      </c>
      <c r="J2834" s="17" t="str">
        <f>IF(B2834="","",IF(B2833&lt;'02_Eingaben'!$C$36,0,J2833+I2833/'02_Eingaben'!$C$8))</f>
        <v/>
      </c>
    </row>
    <row r="2835" spans="1:10" x14ac:dyDescent="0.25">
      <c r="A2835" t="str">
        <f>IF('01_Rohdaten'!A2835="","",ROW()-1)</f>
        <v/>
      </c>
      <c r="B2835" s="17" t="str">
        <f>IF('01_Rohdaten'!A2835="","",'01_Rohdaten'!A2835)</f>
        <v/>
      </c>
      <c r="C2835" s="17" t="str">
        <f>IF(B2835="","",INDEX('01_Rohdaten'!B2835:D2835,'02_Eingaben'!$C$13))</f>
        <v/>
      </c>
      <c r="D2835" s="17" t="str">
        <f>IF(C2835="","",C2835*'02_Eingaben'!$C$15)</f>
        <v/>
      </c>
      <c r="E2835" s="17" t="str">
        <f>IF(D2835="","",D2835*'02_Eingaben'!$C$8)</f>
        <v/>
      </c>
      <c r="F2835" s="17" t="str">
        <f>IF(E2835="","",AVERAGE(INDEX($E$2:$E$3001,MAX(1,ROW()-1-'02_Eingaben'!$C$17)):INDEX($E$2:$E$3001,MIN('02_Eingaben'!$C$21,ROW()-1+'02_Eingaben'!$C$17))))</f>
        <v/>
      </c>
      <c r="G2835" s="17" t="str">
        <f>IF(F2835="","",F2835-'02_Eingaben'!$C$10)</f>
        <v/>
      </c>
      <c r="H2835" t="str">
        <f>IF(F2835="","",IF(F2835&lt;'02_Eingaben'!$C$18*'02_Eingaben'!$C$10,1,0))</f>
        <v/>
      </c>
      <c r="I2835" s="17" t="str">
        <f t="shared" si="44"/>
        <v/>
      </c>
      <c r="J2835" s="17" t="str">
        <f>IF(B2835="","",IF(B2834&lt;'02_Eingaben'!$C$36,0,J2834+I2834/'02_Eingaben'!$C$8))</f>
        <v/>
      </c>
    </row>
    <row r="2836" spans="1:10" x14ac:dyDescent="0.25">
      <c r="A2836" t="str">
        <f>IF('01_Rohdaten'!A2836="","",ROW()-1)</f>
        <v/>
      </c>
      <c r="B2836" s="17" t="str">
        <f>IF('01_Rohdaten'!A2836="","",'01_Rohdaten'!A2836)</f>
        <v/>
      </c>
      <c r="C2836" s="17" t="str">
        <f>IF(B2836="","",INDEX('01_Rohdaten'!B2836:D2836,'02_Eingaben'!$C$13))</f>
        <v/>
      </c>
      <c r="D2836" s="17" t="str">
        <f>IF(C2836="","",C2836*'02_Eingaben'!$C$15)</f>
        <v/>
      </c>
      <c r="E2836" s="17" t="str">
        <f>IF(D2836="","",D2836*'02_Eingaben'!$C$8)</f>
        <v/>
      </c>
      <c r="F2836" s="17" t="str">
        <f>IF(E2836="","",AVERAGE(INDEX($E$2:$E$3001,MAX(1,ROW()-1-'02_Eingaben'!$C$17)):INDEX($E$2:$E$3001,MIN('02_Eingaben'!$C$21,ROW()-1+'02_Eingaben'!$C$17))))</f>
        <v/>
      </c>
      <c r="G2836" s="17" t="str">
        <f>IF(F2836="","",F2836-'02_Eingaben'!$C$10)</f>
        <v/>
      </c>
      <c r="H2836" t="str">
        <f>IF(F2836="","",IF(F2836&lt;'02_Eingaben'!$C$18*'02_Eingaben'!$C$10,1,0))</f>
        <v/>
      </c>
      <c r="I2836" s="17" t="str">
        <f t="shared" si="44"/>
        <v/>
      </c>
      <c r="J2836" s="17" t="str">
        <f>IF(B2836="","",IF(B2835&lt;'02_Eingaben'!$C$36,0,J2835+I2835/'02_Eingaben'!$C$8))</f>
        <v/>
      </c>
    </row>
    <row r="2837" spans="1:10" x14ac:dyDescent="0.25">
      <c r="A2837" t="str">
        <f>IF('01_Rohdaten'!A2837="","",ROW()-1)</f>
        <v/>
      </c>
      <c r="B2837" s="17" t="str">
        <f>IF('01_Rohdaten'!A2837="","",'01_Rohdaten'!A2837)</f>
        <v/>
      </c>
      <c r="C2837" s="17" t="str">
        <f>IF(B2837="","",INDEX('01_Rohdaten'!B2837:D2837,'02_Eingaben'!$C$13))</f>
        <v/>
      </c>
      <c r="D2837" s="17" t="str">
        <f>IF(C2837="","",C2837*'02_Eingaben'!$C$15)</f>
        <v/>
      </c>
      <c r="E2837" s="17" t="str">
        <f>IF(D2837="","",D2837*'02_Eingaben'!$C$8)</f>
        <v/>
      </c>
      <c r="F2837" s="17" t="str">
        <f>IF(E2837="","",AVERAGE(INDEX($E$2:$E$3001,MAX(1,ROW()-1-'02_Eingaben'!$C$17)):INDEX($E$2:$E$3001,MIN('02_Eingaben'!$C$21,ROW()-1+'02_Eingaben'!$C$17))))</f>
        <v/>
      </c>
      <c r="G2837" s="17" t="str">
        <f>IF(F2837="","",F2837-'02_Eingaben'!$C$10)</f>
        <v/>
      </c>
      <c r="H2837" t="str">
        <f>IF(F2837="","",IF(F2837&lt;'02_Eingaben'!$C$18*'02_Eingaben'!$C$10,1,0))</f>
        <v/>
      </c>
      <c r="I2837" s="17" t="str">
        <f t="shared" si="44"/>
        <v/>
      </c>
      <c r="J2837" s="17" t="str">
        <f>IF(B2837="","",IF(B2836&lt;'02_Eingaben'!$C$36,0,J2836+I2836/'02_Eingaben'!$C$8))</f>
        <v/>
      </c>
    </row>
    <row r="2838" spans="1:10" x14ac:dyDescent="0.25">
      <c r="A2838" t="str">
        <f>IF('01_Rohdaten'!A2838="","",ROW()-1)</f>
        <v/>
      </c>
      <c r="B2838" s="17" t="str">
        <f>IF('01_Rohdaten'!A2838="","",'01_Rohdaten'!A2838)</f>
        <v/>
      </c>
      <c r="C2838" s="17" t="str">
        <f>IF(B2838="","",INDEX('01_Rohdaten'!B2838:D2838,'02_Eingaben'!$C$13))</f>
        <v/>
      </c>
      <c r="D2838" s="17" t="str">
        <f>IF(C2838="","",C2838*'02_Eingaben'!$C$15)</f>
        <v/>
      </c>
      <c r="E2838" s="17" t="str">
        <f>IF(D2838="","",D2838*'02_Eingaben'!$C$8)</f>
        <v/>
      </c>
      <c r="F2838" s="17" t="str">
        <f>IF(E2838="","",AVERAGE(INDEX($E$2:$E$3001,MAX(1,ROW()-1-'02_Eingaben'!$C$17)):INDEX($E$2:$E$3001,MIN('02_Eingaben'!$C$21,ROW()-1+'02_Eingaben'!$C$17))))</f>
        <v/>
      </c>
      <c r="G2838" s="17" t="str">
        <f>IF(F2838="","",F2838-'02_Eingaben'!$C$10)</f>
        <v/>
      </c>
      <c r="H2838" t="str">
        <f>IF(F2838="","",IF(F2838&lt;'02_Eingaben'!$C$18*'02_Eingaben'!$C$10,1,0))</f>
        <v/>
      </c>
      <c r="I2838" s="17" t="str">
        <f t="shared" si="44"/>
        <v/>
      </c>
      <c r="J2838" s="17" t="str">
        <f>IF(B2838="","",IF(B2837&lt;'02_Eingaben'!$C$36,0,J2837+I2837/'02_Eingaben'!$C$8))</f>
        <v/>
      </c>
    </row>
    <row r="2839" spans="1:10" x14ac:dyDescent="0.25">
      <c r="A2839" t="str">
        <f>IF('01_Rohdaten'!A2839="","",ROW()-1)</f>
        <v/>
      </c>
      <c r="B2839" s="17" t="str">
        <f>IF('01_Rohdaten'!A2839="","",'01_Rohdaten'!A2839)</f>
        <v/>
      </c>
      <c r="C2839" s="17" t="str">
        <f>IF(B2839="","",INDEX('01_Rohdaten'!B2839:D2839,'02_Eingaben'!$C$13))</f>
        <v/>
      </c>
      <c r="D2839" s="17" t="str">
        <f>IF(C2839="","",C2839*'02_Eingaben'!$C$15)</f>
        <v/>
      </c>
      <c r="E2839" s="17" t="str">
        <f>IF(D2839="","",D2839*'02_Eingaben'!$C$8)</f>
        <v/>
      </c>
      <c r="F2839" s="17" t="str">
        <f>IF(E2839="","",AVERAGE(INDEX($E$2:$E$3001,MAX(1,ROW()-1-'02_Eingaben'!$C$17)):INDEX($E$2:$E$3001,MIN('02_Eingaben'!$C$21,ROW()-1+'02_Eingaben'!$C$17))))</f>
        <v/>
      </c>
      <c r="G2839" s="17" t="str">
        <f>IF(F2839="","",F2839-'02_Eingaben'!$C$10)</f>
        <v/>
      </c>
      <c r="H2839" t="str">
        <f>IF(F2839="","",IF(F2839&lt;'02_Eingaben'!$C$18*'02_Eingaben'!$C$10,1,0))</f>
        <v/>
      </c>
      <c r="I2839" s="17" t="str">
        <f t="shared" si="44"/>
        <v/>
      </c>
      <c r="J2839" s="17" t="str">
        <f>IF(B2839="","",IF(B2838&lt;'02_Eingaben'!$C$36,0,J2838+I2838/'02_Eingaben'!$C$8))</f>
        <v/>
      </c>
    </row>
    <row r="2840" spans="1:10" x14ac:dyDescent="0.25">
      <c r="A2840" t="str">
        <f>IF('01_Rohdaten'!A2840="","",ROW()-1)</f>
        <v/>
      </c>
      <c r="B2840" s="17" t="str">
        <f>IF('01_Rohdaten'!A2840="","",'01_Rohdaten'!A2840)</f>
        <v/>
      </c>
      <c r="C2840" s="17" t="str">
        <f>IF(B2840="","",INDEX('01_Rohdaten'!B2840:D2840,'02_Eingaben'!$C$13))</f>
        <v/>
      </c>
      <c r="D2840" s="17" t="str">
        <f>IF(C2840="","",C2840*'02_Eingaben'!$C$15)</f>
        <v/>
      </c>
      <c r="E2840" s="17" t="str">
        <f>IF(D2840="","",D2840*'02_Eingaben'!$C$8)</f>
        <v/>
      </c>
      <c r="F2840" s="17" t="str">
        <f>IF(E2840="","",AVERAGE(INDEX($E$2:$E$3001,MAX(1,ROW()-1-'02_Eingaben'!$C$17)):INDEX($E$2:$E$3001,MIN('02_Eingaben'!$C$21,ROW()-1+'02_Eingaben'!$C$17))))</f>
        <v/>
      </c>
      <c r="G2840" s="17" t="str">
        <f>IF(F2840="","",F2840-'02_Eingaben'!$C$10)</f>
        <v/>
      </c>
      <c r="H2840" t="str">
        <f>IF(F2840="","",IF(F2840&lt;'02_Eingaben'!$C$18*'02_Eingaben'!$C$10,1,0))</f>
        <v/>
      </c>
      <c r="I2840" s="17" t="str">
        <f t="shared" si="44"/>
        <v/>
      </c>
      <c r="J2840" s="17" t="str">
        <f>IF(B2840="","",IF(B2839&lt;'02_Eingaben'!$C$36,0,J2839+I2839/'02_Eingaben'!$C$8))</f>
        <v/>
      </c>
    </row>
    <row r="2841" spans="1:10" x14ac:dyDescent="0.25">
      <c r="A2841" t="str">
        <f>IF('01_Rohdaten'!A2841="","",ROW()-1)</f>
        <v/>
      </c>
      <c r="B2841" s="17" t="str">
        <f>IF('01_Rohdaten'!A2841="","",'01_Rohdaten'!A2841)</f>
        <v/>
      </c>
      <c r="C2841" s="17" t="str">
        <f>IF(B2841="","",INDEX('01_Rohdaten'!B2841:D2841,'02_Eingaben'!$C$13))</f>
        <v/>
      </c>
      <c r="D2841" s="17" t="str">
        <f>IF(C2841="","",C2841*'02_Eingaben'!$C$15)</f>
        <v/>
      </c>
      <c r="E2841" s="17" t="str">
        <f>IF(D2841="","",D2841*'02_Eingaben'!$C$8)</f>
        <v/>
      </c>
      <c r="F2841" s="17" t="str">
        <f>IF(E2841="","",AVERAGE(INDEX($E$2:$E$3001,MAX(1,ROW()-1-'02_Eingaben'!$C$17)):INDEX($E$2:$E$3001,MIN('02_Eingaben'!$C$21,ROW()-1+'02_Eingaben'!$C$17))))</f>
        <v/>
      </c>
      <c r="G2841" s="17" t="str">
        <f>IF(F2841="","",F2841-'02_Eingaben'!$C$10)</f>
        <v/>
      </c>
      <c r="H2841" t="str">
        <f>IF(F2841="","",IF(F2841&lt;'02_Eingaben'!$C$18*'02_Eingaben'!$C$10,1,0))</f>
        <v/>
      </c>
      <c r="I2841" s="17" t="str">
        <f t="shared" si="44"/>
        <v/>
      </c>
      <c r="J2841" s="17" t="str">
        <f>IF(B2841="","",IF(B2840&lt;'02_Eingaben'!$C$36,0,J2840+I2840/'02_Eingaben'!$C$8))</f>
        <v/>
      </c>
    </row>
    <row r="2842" spans="1:10" x14ac:dyDescent="0.25">
      <c r="A2842" t="str">
        <f>IF('01_Rohdaten'!A2842="","",ROW()-1)</f>
        <v/>
      </c>
      <c r="B2842" s="17" t="str">
        <f>IF('01_Rohdaten'!A2842="","",'01_Rohdaten'!A2842)</f>
        <v/>
      </c>
      <c r="C2842" s="17" t="str">
        <f>IF(B2842="","",INDEX('01_Rohdaten'!B2842:D2842,'02_Eingaben'!$C$13))</f>
        <v/>
      </c>
      <c r="D2842" s="17" t="str">
        <f>IF(C2842="","",C2842*'02_Eingaben'!$C$15)</f>
        <v/>
      </c>
      <c r="E2842" s="17" t="str">
        <f>IF(D2842="","",D2842*'02_Eingaben'!$C$8)</f>
        <v/>
      </c>
      <c r="F2842" s="17" t="str">
        <f>IF(E2842="","",AVERAGE(INDEX($E$2:$E$3001,MAX(1,ROW()-1-'02_Eingaben'!$C$17)):INDEX($E$2:$E$3001,MIN('02_Eingaben'!$C$21,ROW()-1+'02_Eingaben'!$C$17))))</f>
        <v/>
      </c>
      <c r="G2842" s="17" t="str">
        <f>IF(F2842="","",F2842-'02_Eingaben'!$C$10)</f>
        <v/>
      </c>
      <c r="H2842" t="str">
        <f>IF(F2842="","",IF(F2842&lt;'02_Eingaben'!$C$18*'02_Eingaben'!$C$10,1,0))</f>
        <v/>
      </c>
      <c r="I2842" s="17" t="str">
        <f t="shared" si="44"/>
        <v/>
      </c>
      <c r="J2842" s="17" t="str">
        <f>IF(B2842="","",IF(B2841&lt;'02_Eingaben'!$C$36,0,J2841+I2841/'02_Eingaben'!$C$8))</f>
        <v/>
      </c>
    </row>
    <row r="2843" spans="1:10" x14ac:dyDescent="0.25">
      <c r="A2843" t="str">
        <f>IF('01_Rohdaten'!A2843="","",ROW()-1)</f>
        <v/>
      </c>
      <c r="B2843" s="17" t="str">
        <f>IF('01_Rohdaten'!A2843="","",'01_Rohdaten'!A2843)</f>
        <v/>
      </c>
      <c r="C2843" s="17" t="str">
        <f>IF(B2843="","",INDEX('01_Rohdaten'!B2843:D2843,'02_Eingaben'!$C$13))</f>
        <v/>
      </c>
      <c r="D2843" s="17" t="str">
        <f>IF(C2843="","",C2843*'02_Eingaben'!$C$15)</f>
        <v/>
      </c>
      <c r="E2843" s="17" t="str">
        <f>IF(D2843="","",D2843*'02_Eingaben'!$C$8)</f>
        <v/>
      </c>
      <c r="F2843" s="17" t="str">
        <f>IF(E2843="","",AVERAGE(INDEX($E$2:$E$3001,MAX(1,ROW()-1-'02_Eingaben'!$C$17)):INDEX($E$2:$E$3001,MIN('02_Eingaben'!$C$21,ROW()-1+'02_Eingaben'!$C$17))))</f>
        <v/>
      </c>
      <c r="G2843" s="17" t="str">
        <f>IF(F2843="","",F2843-'02_Eingaben'!$C$10)</f>
        <v/>
      </c>
      <c r="H2843" t="str">
        <f>IF(F2843="","",IF(F2843&lt;'02_Eingaben'!$C$18*'02_Eingaben'!$C$10,1,0))</f>
        <v/>
      </c>
      <c r="I2843" s="17" t="str">
        <f t="shared" si="44"/>
        <v/>
      </c>
      <c r="J2843" s="17" t="str">
        <f>IF(B2843="","",IF(B2842&lt;'02_Eingaben'!$C$36,0,J2842+I2842/'02_Eingaben'!$C$8))</f>
        <v/>
      </c>
    </row>
    <row r="2844" spans="1:10" x14ac:dyDescent="0.25">
      <c r="A2844" t="str">
        <f>IF('01_Rohdaten'!A2844="","",ROW()-1)</f>
        <v/>
      </c>
      <c r="B2844" s="17" t="str">
        <f>IF('01_Rohdaten'!A2844="","",'01_Rohdaten'!A2844)</f>
        <v/>
      </c>
      <c r="C2844" s="17" t="str">
        <f>IF(B2844="","",INDEX('01_Rohdaten'!B2844:D2844,'02_Eingaben'!$C$13))</f>
        <v/>
      </c>
      <c r="D2844" s="17" t="str">
        <f>IF(C2844="","",C2844*'02_Eingaben'!$C$15)</f>
        <v/>
      </c>
      <c r="E2844" s="17" t="str">
        <f>IF(D2844="","",D2844*'02_Eingaben'!$C$8)</f>
        <v/>
      </c>
      <c r="F2844" s="17" t="str">
        <f>IF(E2844="","",AVERAGE(INDEX($E$2:$E$3001,MAX(1,ROW()-1-'02_Eingaben'!$C$17)):INDEX($E$2:$E$3001,MIN('02_Eingaben'!$C$21,ROW()-1+'02_Eingaben'!$C$17))))</f>
        <v/>
      </c>
      <c r="G2844" s="17" t="str">
        <f>IF(F2844="","",F2844-'02_Eingaben'!$C$10)</f>
        <v/>
      </c>
      <c r="H2844" t="str">
        <f>IF(F2844="","",IF(F2844&lt;'02_Eingaben'!$C$18*'02_Eingaben'!$C$10,1,0))</f>
        <v/>
      </c>
      <c r="I2844" s="17" t="str">
        <f t="shared" si="44"/>
        <v/>
      </c>
      <c r="J2844" s="17" t="str">
        <f>IF(B2844="","",IF(B2843&lt;'02_Eingaben'!$C$36,0,J2843+I2843/'02_Eingaben'!$C$8))</f>
        <v/>
      </c>
    </row>
    <row r="2845" spans="1:10" x14ac:dyDescent="0.25">
      <c r="A2845" t="str">
        <f>IF('01_Rohdaten'!A2845="","",ROW()-1)</f>
        <v/>
      </c>
      <c r="B2845" s="17" t="str">
        <f>IF('01_Rohdaten'!A2845="","",'01_Rohdaten'!A2845)</f>
        <v/>
      </c>
      <c r="C2845" s="17" t="str">
        <f>IF(B2845="","",INDEX('01_Rohdaten'!B2845:D2845,'02_Eingaben'!$C$13))</f>
        <v/>
      </c>
      <c r="D2845" s="17" t="str">
        <f>IF(C2845="","",C2845*'02_Eingaben'!$C$15)</f>
        <v/>
      </c>
      <c r="E2845" s="17" t="str">
        <f>IF(D2845="","",D2845*'02_Eingaben'!$C$8)</f>
        <v/>
      </c>
      <c r="F2845" s="17" t="str">
        <f>IF(E2845="","",AVERAGE(INDEX($E$2:$E$3001,MAX(1,ROW()-1-'02_Eingaben'!$C$17)):INDEX($E$2:$E$3001,MIN('02_Eingaben'!$C$21,ROW()-1+'02_Eingaben'!$C$17))))</f>
        <v/>
      </c>
      <c r="G2845" s="17" t="str">
        <f>IF(F2845="","",F2845-'02_Eingaben'!$C$10)</f>
        <v/>
      </c>
      <c r="H2845" t="str">
        <f>IF(F2845="","",IF(F2845&lt;'02_Eingaben'!$C$18*'02_Eingaben'!$C$10,1,0))</f>
        <v/>
      </c>
      <c r="I2845" s="17" t="str">
        <f t="shared" si="44"/>
        <v/>
      </c>
      <c r="J2845" s="17" t="str">
        <f>IF(B2845="","",IF(B2844&lt;'02_Eingaben'!$C$36,0,J2844+I2844/'02_Eingaben'!$C$8))</f>
        <v/>
      </c>
    </row>
    <row r="2846" spans="1:10" x14ac:dyDescent="0.25">
      <c r="A2846" t="str">
        <f>IF('01_Rohdaten'!A2846="","",ROW()-1)</f>
        <v/>
      </c>
      <c r="B2846" s="17" t="str">
        <f>IF('01_Rohdaten'!A2846="","",'01_Rohdaten'!A2846)</f>
        <v/>
      </c>
      <c r="C2846" s="17" t="str">
        <f>IF(B2846="","",INDEX('01_Rohdaten'!B2846:D2846,'02_Eingaben'!$C$13))</f>
        <v/>
      </c>
      <c r="D2846" s="17" t="str">
        <f>IF(C2846="","",C2846*'02_Eingaben'!$C$15)</f>
        <v/>
      </c>
      <c r="E2846" s="17" t="str">
        <f>IF(D2846="","",D2846*'02_Eingaben'!$C$8)</f>
        <v/>
      </c>
      <c r="F2846" s="17" t="str">
        <f>IF(E2846="","",AVERAGE(INDEX($E$2:$E$3001,MAX(1,ROW()-1-'02_Eingaben'!$C$17)):INDEX($E$2:$E$3001,MIN('02_Eingaben'!$C$21,ROW()-1+'02_Eingaben'!$C$17))))</f>
        <v/>
      </c>
      <c r="G2846" s="17" t="str">
        <f>IF(F2846="","",F2846-'02_Eingaben'!$C$10)</f>
        <v/>
      </c>
      <c r="H2846" t="str">
        <f>IF(F2846="","",IF(F2846&lt;'02_Eingaben'!$C$18*'02_Eingaben'!$C$10,1,0))</f>
        <v/>
      </c>
      <c r="I2846" s="17" t="str">
        <f t="shared" si="44"/>
        <v/>
      </c>
      <c r="J2846" s="17" t="str">
        <f>IF(B2846="","",IF(B2845&lt;'02_Eingaben'!$C$36,0,J2845+I2845/'02_Eingaben'!$C$8))</f>
        <v/>
      </c>
    </row>
    <row r="2847" spans="1:10" x14ac:dyDescent="0.25">
      <c r="A2847" t="str">
        <f>IF('01_Rohdaten'!A2847="","",ROW()-1)</f>
        <v/>
      </c>
      <c r="B2847" s="17" t="str">
        <f>IF('01_Rohdaten'!A2847="","",'01_Rohdaten'!A2847)</f>
        <v/>
      </c>
      <c r="C2847" s="17" t="str">
        <f>IF(B2847="","",INDEX('01_Rohdaten'!B2847:D2847,'02_Eingaben'!$C$13))</f>
        <v/>
      </c>
      <c r="D2847" s="17" t="str">
        <f>IF(C2847="","",C2847*'02_Eingaben'!$C$15)</f>
        <v/>
      </c>
      <c r="E2847" s="17" t="str">
        <f>IF(D2847="","",D2847*'02_Eingaben'!$C$8)</f>
        <v/>
      </c>
      <c r="F2847" s="17" t="str">
        <f>IF(E2847="","",AVERAGE(INDEX($E$2:$E$3001,MAX(1,ROW()-1-'02_Eingaben'!$C$17)):INDEX($E$2:$E$3001,MIN('02_Eingaben'!$C$21,ROW()-1+'02_Eingaben'!$C$17))))</f>
        <v/>
      </c>
      <c r="G2847" s="17" t="str">
        <f>IF(F2847="","",F2847-'02_Eingaben'!$C$10)</f>
        <v/>
      </c>
      <c r="H2847" t="str">
        <f>IF(F2847="","",IF(F2847&lt;'02_Eingaben'!$C$18*'02_Eingaben'!$C$10,1,0))</f>
        <v/>
      </c>
      <c r="I2847" s="17" t="str">
        <f t="shared" si="44"/>
        <v/>
      </c>
      <c r="J2847" s="17" t="str">
        <f>IF(B2847="","",IF(B2846&lt;'02_Eingaben'!$C$36,0,J2846+I2846/'02_Eingaben'!$C$8))</f>
        <v/>
      </c>
    </row>
    <row r="2848" spans="1:10" x14ac:dyDescent="0.25">
      <c r="A2848" t="str">
        <f>IF('01_Rohdaten'!A2848="","",ROW()-1)</f>
        <v/>
      </c>
      <c r="B2848" s="17" t="str">
        <f>IF('01_Rohdaten'!A2848="","",'01_Rohdaten'!A2848)</f>
        <v/>
      </c>
      <c r="C2848" s="17" t="str">
        <f>IF(B2848="","",INDEX('01_Rohdaten'!B2848:D2848,'02_Eingaben'!$C$13))</f>
        <v/>
      </c>
      <c r="D2848" s="17" t="str">
        <f>IF(C2848="","",C2848*'02_Eingaben'!$C$15)</f>
        <v/>
      </c>
      <c r="E2848" s="17" t="str">
        <f>IF(D2848="","",D2848*'02_Eingaben'!$C$8)</f>
        <v/>
      </c>
      <c r="F2848" s="17" t="str">
        <f>IF(E2848="","",AVERAGE(INDEX($E$2:$E$3001,MAX(1,ROW()-1-'02_Eingaben'!$C$17)):INDEX($E$2:$E$3001,MIN('02_Eingaben'!$C$21,ROW()-1+'02_Eingaben'!$C$17))))</f>
        <v/>
      </c>
      <c r="G2848" s="17" t="str">
        <f>IF(F2848="","",F2848-'02_Eingaben'!$C$10)</f>
        <v/>
      </c>
      <c r="H2848" t="str">
        <f>IF(F2848="","",IF(F2848&lt;'02_Eingaben'!$C$18*'02_Eingaben'!$C$10,1,0))</f>
        <v/>
      </c>
      <c r="I2848" s="17" t="str">
        <f t="shared" si="44"/>
        <v/>
      </c>
      <c r="J2848" s="17" t="str">
        <f>IF(B2848="","",IF(B2847&lt;'02_Eingaben'!$C$36,0,J2847+I2847/'02_Eingaben'!$C$8))</f>
        <v/>
      </c>
    </row>
    <row r="2849" spans="1:10" x14ac:dyDescent="0.25">
      <c r="A2849" t="str">
        <f>IF('01_Rohdaten'!A2849="","",ROW()-1)</f>
        <v/>
      </c>
      <c r="B2849" s="17" t="str">
        <f>IF('01_Rohdaten'!A2849="","",'01_Rohdaten'!A2849)</f>
        <v/>
      </c>
      <c r="C2849" s="17" t="str">
        <f>IF(B2849="","",INDEX('01_Rohdaten'!B2849:D2849,'02_Eingaben'!$C$13))</f>
        <v/>
      </c>
      <c r="D2849" s="17" t="str">
        <f>IF(C2849="","",C2849*'02_Eingaben'!$C$15)</f>
        <v/>
      </c>
      <c r="E2849" s="17" t="str">
        <f>IF(D2849="","",D2849*'02_Eingaben'!$C$8)</f>
        <v/>
      </c>
      <c r="F2849" s="17" t="str">
        <f>IF(E2849="","",AVERAGE(INDEX($E$2:$E$3001,MAX(1,ROW()-1-'02_Eingaben'!$C$17)):INDEX($E$2:$E$3001,MIN('02_Eingaben'!$C$21,ROW()-1+'02_Eingaben'!$C$17))))</f>
        <v/>
      </c>
      <c r="G2849" s="17" t="str">
        <f>IF(F2849="","",F2849-'02_Eingaben'!$C$10)</f>
        <v/>
      </c>
      <c r="H2849" t="str">
        <f>IF(F2849="","",IF(F2849&lt;'02_Eingaben'!$C$18*'02_Eingaben'!$C$10,1,0))</f>
        <v/>
      </c>
      <c r="I2849" s="17" t="str">
        <f t="shared" si="44"/>
        <v/>
      </c>
      <c r="J2849" s="17" t="str">
        <f>IF(B2849="","",IF(B2848&lt;'02_Eingaben'!$C$36,0,J2848+I2848/'02_Eingaben'!$C$8))</f>
        <v/>
      </c>
    </row>
    <row r="2850" spans="1:10" x14ac:dyDescent="0.25">
      <c r="A2850" t="str">
        <f>IF('01_Rohdaten'!A2850="","",ROW()-1)</f>
        <v/>
      </c>
      <c r="B2850" s="17" t="str">
        <f>IF('01_Rohdaten'!A2850="","",'01_Rohdaten'!A2850)</f>
        <v/>
      </c>
      <c r="C2850" s="17" t="str">
        <f>IF(B2850="","",INDEX('01_Rohdaten'!B2850:D2850,'02_Eingaben'!$C$13))</f>
        <v/>
      </c>
      <c r="D2850" s="17" t="str">
        <f>IF(C2850="","",C2850*'02_Eingaben'!$C$15)</f>
        <v/>
      </c>
      <c r="E2850" s="17" t="str">
        <f>IF(D2850="","",D2850*'02_Eingaben'!$C$8)</f>
        <v/>
      </c>
      <c r="F2850" s="17" t="str">
        <f>IF(E2850="","",AVERAGE(INDEX($E$2:$E$3001,MAX(1,ROW()-1-'02_Eingaben'!$C$17)):INDEX($E$2:$E$3001,MIN('02_Eingaben'!$C$21,ROW()-1+'02_Eingaben'!$C$17))))</f>
        <v/>
      </c>
      <c r="G2850" s="17" t="str">
        <f>IF(F2850="","",F2850-'02_Eingaben'!$C$10)</f>
        <v/>
      </c>
      <c r="H2850" t="str">
        <f>IF(F2850="","",IF(F2850&lt;'02_Eingaben'!$C$18*'02_Eingaben'!$C$10,1,0))</f>
        <v/>
      </c>
      <c r="I2850" s="17" t="str">
        <f t="shared" si="44"/>
        <v/>
      </c>
      <c r="J2850" s="17" t="str">
        <f>IF(B2850="","",IF(B2849&lt;'02_Eingaben'!$C$36,0,J2849+I2849/'02_Eingaben'!$C$8))</f>
        <v/>
      </c>
    </row>
    <row r="2851" spans="1:10" x14ac:dyDescent="0.25">
      <c r="A2851" t="str">
        <f>IF('01_Rohdaten'!A2851="","",ROW()-1)</f>
        <v/>
      </c>
      <c r="B2851" s="17" t="str">
        <f>IF('01_Rohdaten'!A2851="","",'01_Rohdaten'!A2851)</f>
        <v/>
      </c>
      <c r="C2851" s="17" t="str">
        <f>IF(B2851="","",INDEX('01_Rohdaten'!B2851:D2851,'02_Eingaben'!$C$13))</f>
        <v/>
      </c>
      <c r="D2851" s="17" t="str">
        <f>IF(C2851="","",C2851*'02_Eingaben'!$C$15)</f>
        <v/>
      </c>
      <c r="E2851" s="17" t="str">
        <f>IF(D2851="","",D2851*'02_Eingaben'!$C$8)</f>
        <v/>
      </c>
      <c r="F2851" s="17" t="str">
        <f>IF(E2851="","",AVERAGE(INDEX($E$2:$E$3001,MAX(1,ROW()-1-'02_Eingaben'!$C$17)):INDEX($E$2:$E$3001,MIN('02_Eingaben'!$C$21,ROW()-1+'02_Eingaben'!$C$17))))</f>
        <v/>
      </c>
      <c r="G2851" s="17" t="str">
        <f>IF(F2851="","",F2851-'02_Eingaben'!$C$10)</f>
        <v/>
      </c>
      <c r="H2851" t="str">
        <f>IF(F2851="","",IF(F2851&lt;'02_Eingaben'!$C$18*'02_Eingaben'!$C$10,1,0))</f>
        <v/>
      </c>
      <c r="I2851" s="17" t="str">
        <f t="shared" si="44"/>
        <v/>
      </c>
      <c r="J2851" s="17" t="str">
        <f>IF(B2851="","",IF(B2850&lt;'02_Eingaben'!$C$36,0,J2850+I2850/'02_Eingaben'!$C$8))</f>
        <v/>
      </c>
    </row>
    <row r="2852" spans="1:10" x14ac:dyDescent="0.25">
      <c r="A2852" t="str">
        <f>IF('01_Rohdaten'!A2852="","",ROW()-1)</f>
        <v/>
      </c>
      <c r="B2852" s="17" t="str">
        <f>IF('01_Rohdaten'!A2852="","",'01_Rohdaten'!A2852)</f>
        <v/>
      </c>
      <c r="C2852" s="17" t="str">
        <f>IF(B2852="","",INDEX('01_Rohdaten'!B2852:D2852,'02_Eingaben'!$C$13))</f>
        <v/>
      </c>
      <c r="D2852" s="17" t="str">
        <f>IF(C2852="","",C2852*'02_Eingaben'!$C$15)</f>
        <v/>
      </c>
      <c r="E2852" s="17" t="str">
        <f>IF(D2852="","",D2852*'02_Eingaben'!$C$8)</f>
        <v/>
      </c>
      <c r="F2852" s="17" t="str">
        <f>IF(E2852="","",AVERAGE(INDEX($E$2:$E$3001,MAX(1,ROW()-1-'02_Eingaben'!$C$17)):INDEX($E$2:$E$3001,MIN('02_Eingaben'!$C$21,ROW()-1+'02_Eingaben'!$C$17))))</f>
        <v/>
      </c>
      <c r="G2852" s="17" t="str">
        <f>IF(F2852="","",F2852-'02_Eingaben'!$C$10)</f>
        <v/>
      </c>
      <c r="H2852" t="str">
        <f>IF(F2852="","",IF(F2852&lt;'02_Eingaben'!$C$18*'02_Eingaben'!$C$10,1,0))</f>
        <v/>
      </c>
      <c r="I2852" s="17" t="str">
        <f t="shared" si="44"/>
        <v/>
      </c>
      <c r="J2852" s="17" t="str">
        <f>IF(B2852="","",IF(B2851&lt;'02_Eingaben'!$C$36,0,J2851+I2851/'02_Eingaben'!$C$8))</f>
        <v/>
      </c>
    </row>
    <row r="2853" spans="1:10" x14ac:dyDescent="0.25">
      <c r="A2853" t="str">
        <f>IF('01_Rohdaten'!A2853="","",ROW()-1)</f>
        <v/>
      </c>
      <c r="B2853" s="17" t="str">
        <f>IF('01_Rohdaten'!A2853="","",'01_Rohdaten'!A2853)</f>
        <v/>
      </c>
      <c r="C2853" s="17" t="str">
        <f>IF(B2853="","",INDEX('01_Rohdaten'!B2853:D2853,'02_Eingaben'!$C$13))</f>
        <v/>
      </c>
      <c r="D2853" s="17" t="str">
        <f>IF(C2853="","",C2853*'02_Eingaben'!$C$15)</f>
        <v/>
      </c>
      <c r="E2853" s="17" t="str">
        <f>IF(D2853="","",D2853*'02_Eingaben'!$C$8)</f>
        <v/>
      </c>
      <c r="F2853" s="17" t="str">
        <f>IF(E2853="","",AVERAGE(INDEX($E$2:$E$3001,MAX(1,ROW()-1-'02_Eingaben'!$C$17)):INDEX($E$2:$E$3001,MIN('02_Eingaben'!$C$21,ROW()-1+'02_Eingaben'!$C$17))))</f>
        <v/>
      </c>
      <c r="G2853" s="17" t="str">
        <f>IF(F2853="","",F2853-'02_Eingaben'!$C$10)</f>
        <v/>
      </c>
      <c r="H2853" t="str">
        <f>IF(F2853="","",IF(F2853&lt;'02_Eingaben'!$C$18*'02_Eingaben'!$C$10,1,0))</f>
        <v/>
      </c>
      <c r="I2853" s="17" t="str">
        <f t="shared" si="44"/>
        <v/>
      </c>
      <c r="J2853" s="17" t="str">
        <f>IF(B2853="","",IF(B2852&lt;'02_Eingaben'!$C$36,0,J2852+I2852/'02_Eingaben'!$C$8))</f>
        <v/>
      </c>
    </row>
    <row r="2854" spans="1:10" x14ac:dyDescent="0.25">
      <c r="A2854" t="str">
        <f>IF('01_Rohdaten'!A2854="","",ROW()-1)</f>
        <v/>
      </c>
      <c r="B2854" s="17" t="str">
        <f>IF('01_Rohdaten'!A2854="","",'01_Rohdaten'!A2854)</f>
        <v/>
      </c>
      <c r="C2854" s="17" t="str">
        <f>IF(B2854="","",INDEX('01_Rohdaten'!B2854:D2854,'02_Eingaben'!$C$13))</f>
        <v/>
      </c>
      <c r="D2854" s="17" t="str">
        <f>IF(C2854="","",C2854*'02_Eingaben'!$C$15)</f>
        <v/>
      </c>
      <c r="E2854" s="17" t="str">
        <f>IF(D2854="","",D2854*'02_Eingaben'!$C$8)</f>
        <v/>
      </c>
      <c r="F2854" s="17" t="str">
        <f>IF(E2854="","",AVERAGE(INDEX($E$2:$E$3001,MAX(1,ROW()-1-'02_Eingaben'!$C$17)):INDEX($E$2:$E$3001,MIN('02_Eingaben'!$C$21,ROW()-1+'02_Eingaben'!$C$17))))</f>
        <v/>
      </c>
      <c r="G2854" s="17" t="str">
        <f>IF(F2854="","",F2854-'02_Eingaben'!$C$10)</f>
        <v/>
      </c>
      <c r="H2854" t="str">
        <f>IF(F2854="","",IF(F2854&lt;'02_Eingaben'!$C$18*'02_Eingaben'!$C$10,1,0))</f>
        <v/>
      </c>
      <c r="I2854" s="17" t="str">
        <f t="shared" si="44"/>
        <v/>
      </c>
      <c r="J2854" s="17" t="str">
        <f>IF(B2854="","",IF(B2853&lt;'02_Eingaben'!$C$36,0,J2853+I2853/'02_Eingaben'!$C$8))</f>
        <v/>
      </c>
    </row>
    <row r="2855" spans="1:10" x14ac:dyDescent="0.25">
      <c r="A2855" t="str">
        <f>IF('01_Rohdaten'!A2855="","",ROW()-1)</f>
        <v/>
      </c>
      <c r="B2855" s="17" t="str">
        <f>IF('01_Rohdaten'!A2855="","",'01_Rohdaten'!A2855)</f>
        <v/>
      </c>
      <c r="C2855" s="17" t="str">
        <f>IF(B2855="","",INDEX('01_Rohdaten'!B2855:D2855,'02_Eingaben'!$C$13))</f>
        <v/>
      </c>
      <c r="D2855" s="17" t="str">
        <f>IF(C2855="","",C2855*'02_Eingaben'!$C$15)</f>
        <v/>
      </c>
      <c r="E2855" s="17" t="str">
        <f>IF(D2855="","",D2855*'02_Eingaben'!$C$8)</f>
        <v/>
      </c>
      <c r="F2855" s="17" t="str">
        <f>IF(E2855="","",AVERAGE(INDEX($E$2:$E$3001,MAX(1,ROW()-1-'02_Eingaben'!$C$17)):INDEX($E$2:$E$3001,MIN('02_Eingaben'!$C$21,ROW()-1+'02_Eingaben'!$C$17))))</f>
        <v/>
      </c>
      <c r="G2855" s="17" t="str">
        <f>IF(F2855="","",F2855-'02_Eingaben'!$C$10)</f>
        <v/>
      </c>
      <c r="H2855" t="str">
        <f>IF(F2855="","",IF(F2855&lt;'02_Eingaben'!$C$18*'02_Eingaben'!$C$10,1,0))</f>
        <v/>
      </c>
      <c r="I2855" s="17" t="str">
        <f t="shared" si="44"/>
        <v/>
      </c>
      <c r="J2855" s="17" t="str">
        <f>IF(B2855="","",IF(B2854&lt;'02_Eingaben'!$C$36,0,J2854+I2854/'02_Eingaben'!$C$8))</f>
        <v/>
      </c>
    </row>
    <row r="2856" spans="1:10" x14ac:dyDescent="0.25">
      <c r="A2856" t="str">
        <f>IF('01_Rohdaten'!A2856="","",ROW()-1)</f>
        <v/>
      </c>
      <c r="B2856" s="17" t="str">
        <f>IF('01_Rohdaten'!A2856="","",'01_Rohdaten'!A2856)</f>
        <v/>
      </c>
      <c r="C2856" s="17" t="str">
        <f>IF(B2856="","",INDEX('01_Rohdaten'!B2856:D2856,'02_Eingaben'!$C$13))</f>
        <v/>
      </c>
      <c r="D2856" s="17" t="str">
        <f>IF(C2856="","",C2856*'02_Eingaben'!$C$15)</f>
        <v/>
      </c>
      <c r="E2856" s="17" t="str">
        <f>IF(D2856="","",D2856*'02_Eingaben'!$C$8)</f>
        <v/>
      </c>
      <c r="F2856" s="17" t="str">
        <f>IF(E2856="","",AVERAGE(INDEX($E$2:$E$3001,MAX(1,ROW()-1-'02_Eingaben'!$C$17)):INDEX($E$2:$E$3001,MIN('02_Eingaben'!$C$21,ROW()-1+'02_Eingaben'!$C$17))))</f>
        <v/>
      </c>
      <c r="G2856" s="17" t="str">
        <f>IF(F2856="","",F2856-'02_Eingaben'!$C$10)</f>
        <v/>
      </c>
      <c r="H2856" t="str">
        <f>IF(F2856="","",IF(F2856&lt;'02_Eingaben'!$C$18*'02_Eingaben'!$C$10,1,0))</f>
        <v/>
      </c>
      <c r="I2856" s="17" t="str">
        <f t="shared" si="44"/>
        <v/>
      </c>
      <c r="J2856" s="17" t="str">
        <f>IF(B2856="","",IF(B2855&lt;'02_Eingaben'!$C$36,0,J2855+I2855/'02_Eingaben'!$C$8))</f>
        <v/>
      </c>
    </row>
    <row r="2857" spans="1:10" x14ac:dyDescent="0.25">
      <c r="A2857" t="str">
        <f>IF('01_Rohdaten'!A2857="","",ROW()-1)</f>
        <v/>
      </c>
      <c r="B2857" s="17" t="str">
        <f>IF('01_Rohdaten'!A2857="","",'01_Rohdaten'!A2857)</f>
        <v/>
      </c>
      <c r="C2857" s="17" t="str">
        <f>IF(B2857="","",INDEX('01_Rohdaten'!B2857:D2857,'02_Eingaben'!$C$13))</f>
        <v/>
      </c>
      <c r="D2857" s="17" t="str">
        <f>IF(C2857="","",C2857*'02_Eingaben'!$C$15)</f>
        <v/>
      </c>
      <c r="E2857" s="17" t="str">
        <f>IF(D2857="","",D2857*'02_Eingaben'!$C$8)</f>
        <v/>
      </c>
      <c r="F2857" s="17" t="str">
        <f>IF(E2857="","",AVERAGE(INDEX($E$2:$E$3001,MAX(1,ROW()-1-'02_Eingaben'!$C$17)):INDEX($E$2:$E$3001,MIN('02_Eingaben'!$C$21,ROW()-1+'02_Eingaben'!$C$17))))</f>
        <v/>
      </c>
      <c r="G2857" s="17" t="str">
        <f>IF(F2857="","",F2857-'02_Eingaben'!$C$10)</f>
        <v/>
      </c>
      <c r="H2857" t="str">
        <f>IF(F2857="","",IF(F2857&lt;'02_Eingaben'!$C$18*'02_Eingaben'!$C$10,1,0))</f>
        <v/>
      </c>
      <c r="I2857" s="17" t="str">
        <f t="shared" si="44"/>
        <v/>
      </c>
      <c r="J2857" s="17" t="str">
        <f>IF(B2857="","",IF(B2856&lt;'02_Eingaben'!$C$36,0,J2856+I2856/'02_Eingaben'!$C$8))</f>
        <v/>
      </c>
    </row>
    <row r="2858" spans="1:10" x14ac:dyDescent="0.25">
      <c r="A2858" t="str">
        <f>IF('01_Rohdaten'!A2858="","",ROW()-1)</f>
        <v/>
      </c>
      <c r="B2858" s="17" t="str">
        <f>IF('01_Rohdaten'!A2858="","",'01_Rohdaten'!A2858)</f>
        <v/>
      </c>
      <c r="C2858" s="17" t="str">
        <f>IF(B2858="","",INDEX('01_Rohdaten'!B2858:D2858,'02_Eingaben'!$C$13))</f>
        <v/>
      </c>
      <c r="D2858" s="17" t="str">
        <f>IF(C2858="","",C2858*'02_Eingaben'!$C$15)</f>
        <v/>
      </c>
      <c r="E2858" s="17" t="str">
        <f>IF(D2858="","",D2858*'02_Eingaben'!$C$8)</f>
        <v/>
      </c>
      <c r="F2858" s="17" t="str">
        <f>IF(E2858="","",AVERAGE(INDEX($E$2:$E$3001,MAX(1,ROW()-1-'02_Eingaben'!$C$17)):INDEX($E$2:$E$3001,MIN('02_Eingaben'!$C$21,ROW()-1+'02_Eingaben'!$C$17))))</f>
        <v/>
      </c>
      <c r="G2858" s="17" t="str">
        <f>IF(F2858="","",F2858-'02_Eingaben'!$C$10)</f>
        <v/>
      </c>
      <c r="H2858" t="str">
        <f>IF(F2858="","",IF(F2858&lt;'02_Eingaben'!$C$18*'02_Eingaben'!$C$10,1,0))</f>
        <v/>
      </c>
      <c r="I2858" s="17" t="str">
        <f t="shared" si="44"/>
        <v/>
      </c>
      <c r="J2858" s="17" t="str">
        <f>IF(B2858="","",IF(B2857&lt;'02_Eingaben'!$C$36,0,J2857+I2857/'02_Eingaben'!$C$8))</f>
        <v/>
      </c>
    </row>
    <row r="2859" spans="1:10" x14ac:dyDescent="0.25">
      <c r="A2859" t="str">
        <f>IF('01_Rohdaten'!A2859="","",ROW()-1)</f>
        <v/>
      </c>
      <c r="B2859" s="17" t="str">
        <f>IF('01_Rohdaten'!A2859="","",'01_Rohdaten'!A2859)</f>
        <v/>
      </c>
      <c r="C2859" s="17" t="str">
        <f>IF(B2859="","",INDEX('01_Rohdaten'!B2859:D2859,'02_Eingaben'!$C$13))</f>
        <v/>
      </c>
      <c r="D2859" s="17" t="str">
        <f>IF(C2859="","",C2859*'02_Eingaben'!$C$15)</f>
        <v/>
      </c>
      <c r="E2859" s="17" t="str">
        <f>IF(D2859="","",D2859*'02_Eingaben'!$C$8)</f>
        <v/>
      </c>
      <c r="F2859" s="17" t="str">
        <f>IF(E2859="","",AVERAGE(INDEX($E$2:$E$3001,MAX(1,ROW()-1-'02_Eingaben'!$C$17)):INDEX($E$2:$E$3001,MIN('02_Eingaben'!$C$21,ROW()-1+'02_Eingaben'!$C$17))))</f>
        <v/>
      </c>
      <c r="G2859" s="17" t="str">
        <f>IF(F2859="","",F2859-'02_Eingaben'!$C$10)</f>
        <v/>
      </c>
      <c r="H2859" t="str">
        <f>IF(F2859="","",IF(F2859&lt;'02_Eingaben'!$C$18*'02_Eingaben'!$C$10,1,0))</f>
        <v/>
      </c>
      <c r="I2859" s="17" t="str">
        <f t="shared" si="44"/>
        <v/>
      </c>
      <c r="J2859" s="17" t="str">
        <f>IF(B2859="","",IF(B2858&lt;'02_Eingaben'!$C$36,0,J2858+I2858/'02_Eingaben'!$C$8))</f>
        <v/>
      </c>
    </row>
    <row r="2860" spans="1:10" x14ac:dyDescent="0.25">
      <c r="A2860" t="str">
        <f>IF('01_Rohdaten'!A2860="","",ROW()-1)</f>
        <v/>
      </c>
      <c r="B2860" s="17" t="str">
        <f>IF('01_Rohdaten'!A2860="","",'01_Rohdaten'!A2860)</f>
        <v/>
      </c>
      <c r="C2860" s="17" t="str">
        <f>IF(B2860="","",INDEX('01_Rohdaten'!B2860:D2860,'02_Eingaben'!$C$13))</f>
        <v/>
      </c>
      <c r="D2860" s="17" t="str">
        <f>IF(C2860="","",C2860*'02_Eingaben'!$C$15)</f>
        <v/>
      </c>
      <c r="E2860" s="17" t="str">
        <f>IF(D2860="","",D2860*'02_Eingaben'!$C$8)</f>
        <v/>
      </c>
      <c r="F2860" s="17" t="str">
        <f>IF(E2860="","",AVERAGE(INDEX($E$2:$E$3001,MAX(1,ROW()-1-'02_Eingaben'!$C$17)):INDEX($E$2:$E$3001,MIN('02_Eingaben'!$C$21,ROW()-1+'02_Eingaben'!$C$17))))</f>
        <v/>
      </c>
      <c r="G2860" s="17" t="str">
        <f>IF(F2860="","",F2860-'02_Eingaben'!$C$10)</f>
        <v/>
      </c>
      <c r="H2860" t="str">
        <f>IF(F2860="","",IF(F2860&lt;'02_Eingaben'!$C$18*'02_Eingaben'!$C$10,1,0))</f>
        <v/>
      </c>
      <c r="I2860" s="17" t="str">
        <f t="shared" si="44"/>
        <v/>
      </c>
      <c r="J2860" s="17" t="str">
        <f>IF(B2860="","",IF(B2859&lt;'02_Eingaben'!$C$36,0,J2859+I2859/'02_Eingaben'!$C$8))</f>
        <v/>
      </c>
    </row>
    <row r="2861" spans="1:10" x14ac:dyDescent="0.25">
      <c r="A2861" t="str">
        <f>IF('01_Rohdaten'!A2861="","",ROW()-1)</f>
        <v/>
      </c>
      <c r="B2861" s="17" t="str">
        <f>IF('01_Rohdaten'!A2861="","",'01_Rohdaten'!A2861)</f>
        <v/>
      </c>
      <c r="C2861" s="17" t="str">
        <f>IF(B2861="","",INDEX('01_Rohdaten'!B2861:D2861,'02_Eingaben'!$C$13))</f>
        <v/>
      </c>
      <c r="D2861" s="17" t="str">
        <f>IF(C2861="","",C2861*'02_Eingaben'!$C$15)</f>
        <v/>
      </c>
      <c r="E2861" s="17" t="str">
        <f>IF(D2861="","",D2861*'02_Eingaben'!$C$8)</f>
        <v/>
      </c>
      <c r="F2861" s="17" t="str">
        <f>IF(E2861="","",AVERAGE(INDEX($E$2:$E$3001,MAX(1,ROW()-1-'02_Eingaben'!$C$17)):INDEX($E$2:$E$3001,MIN('02_Eingaben'!$C$21,ROW()-1+'02_Eingaben'!$C$17))))</f>
        <v/>
      </c>
      <c r="G2861" s="17" t="str">
        <f>IF(F2861="","",F2861-'02_Eingaben'!$C$10)</f>
        <v/>
      </c>
      <c r="H2861" t="str">
        <f>IF(F2861="","",IF(F2861&lt;'02_Eingaben'!$C$18*'02_Eingaben'!$C$10,1,0))</f>
        <v/>
      </c>
      <c r="I2861" s="17" t="str">
        <f t="shared" si="44"/>
        <v/>
      </c>
      <c r="J2861" s="17" t="str">
        <f>IF(B2861="","",IF(B2860&lt;'02_Eingaben'!$C$36,0,J2860+I2860/'02_Eingaben'!$C$8))</f>
        <v/>
      </c>
    </row>
    <row r="2862" spans="1:10" x14ac:dyDescent="0.25">
      <c r="A2862" t="str">
        <f>IF('01_Rohdaten'!A2862="","",ROW()-1)</f>
        <v/>
      </c>
      <c r="B2862" s="17" t="str">
        <f>IF('01_Rohdaten'!A2862="","",'01_Rohdaten'!A2862)</f>
        <v/>
      </c>
      <c r="C2862" s="17" t="str">
        <f>IF(B2862="","",INDEX('01_Rohdaten'!B2862:D2862,'02_Eingaben'!$C$13))</f>
        <v/>
      </c>
      <c r="D2862" s="17" t="str">
        <f>IF(C2862="","",C2862*'02_Eingaben'!$C$15)</f>
        <v/>
      </c>
      <c r="E2862" s="17" t="str">
        <f>IF(D2862="","",D2862*'02_Eingaben'!$C$8)</f>
        <v/>
      </c>
      <c r="F2862" s="17" t="str">
        <f>IF(E2862="","",AVERAGE(INDEX($E$2:$E$3001,MAX(1,ROW()-1-'02_Eingaben'!$C$17)):INDEX($E$2:$E$3001,MIN('02_Eingaben'!$C$21,ROW()-1+'02_Eingaben'!$C$17))))</f>
        <v/>
      </c>
      <c r="G2862" s="17" t="str">
        <f>IF(F2862="","",F2862-'02_Eingaben'!$C$10)</f>
        <v/>
      </c>
      <c r="H2862" t="str">
        <f>IF(F2862="","",IF(F2862&lt;'02_Eingaben'!$C$18*'02_Eingaben'!$C$10,1,0))</f>
        <v/>
      </c>
      <c r="I2862" s="17" t="str">
        <f t="shared" si="44"/>
        <v/>
      </c>
      <c r="J2862" s="17" t="str">
        <f>IF(B2862="","",IF(B2861&lt;'02_Eingaben'!$C$36,0,J2861+I2861/'02_Eingaben'!$C$8))</f>
        <v/>
      </c>
    </row>
    <row r="2863" spans="1:10" x14ac:dyDescent="0.25">
      <c r="A2863" t="str">
        <f>IF('01_Rohdaten'!A2863="","",ROW()-1)</f>
        <v/>
      </c>
      <c r="B2863" s="17" t="str">
        <f>IF('01_Rohdaten'!A2863="","",'01_Rohdaten'!A2863)</f>
        <v/>
      </c>
      <c r="C2863" s="17" t="str">
        <f>IF(B2863="","",INDEX('01_Rohdaten'!B2863:D2863,'02_Eingaben'!$C$13))</f>
        <v/>
      </c>
      <c r="D2863" s="17" t="str">
        <f>IF(C2863="","",C2863*'02_Eingaben'!$C$15)</f>
        <v/>
      </c>
      <c r="E2863" s="17" t="str">
        <f>IF(D2863="","",D2863*'02_Eingaben'!$C$8)</f>
        <v/>
      </c>
      <c r="F2863" s="17" t="str">
        <f>IF(E2863="","",AVERAGE(INDEX($E$2:$E$3001,MAX(1,ROW()-1-'02_Eingaben'!$C$17)):INDEX($E$2:$E$3001,MIN('02_Eingaben'!$C$21,ROW()-1+'02_Eingaben'!$C$17))))</f>
        <v/>
      </c>
      <c r="G2863" s="17" t="str">
        <f>IF(F2863="","",F2863-'02_Eingaben'!$C$10)</f>
        <v/>
      </c>
      <c r="H2863" t="str">
        <f>IF(F2863="","",IF(F2863&lt;'02_Eingaben'!$C$18*'02_Eingaben'!$C$10,1,0))</f>
        <v/>
      </c>
      <c r="I2863" s="17" t="str">
        <f t="shared" si="44"/>
        <v/>
      </c>
      <c r="J2863" s="17" t="str">
        <f>IF(B2863="","",IF(B2862&lt;'02_Eingaben'!$C$36,0,J2862+I2862/'02_Eingaben'!$C$8))</f>
        <v/>
      </c>
    </row>
    <row r="2864" spans="1:10" x14ac:dyDescent="0.25">
      <c r="A2864" t="str">
        <f>IF('01_Rohdaten'!A2864="","",ROW()-1)</f>
        <v/>
      </c>
      <c r="B2864" s="17" t="str">
        <f>IF('01_Rohdaten'!A2864="","",'01_Rohdaten'!A2864)</f>
        <v/>
      </c>
      <c r="C2864" s="17" t="str">
        <f>IF(B2864="","",INDEX('01_Rohdaten'!B2864:D2864,'02_Eingaben'!$C$13))</f>
        <v/>
      </c>
      <c r="D2864" s="17" t="str">
        <f>IF(C2864="","",C2864*'02_Eingaben'!$C$15)</f>
        <v/>
      </c>
      <c r="E2864" s="17" t="str">
        <f>IF(D2864="","",D2864*'02_Eingaben'!$C$8)</f>
        <v/>
      </c>
      <c r="F2864" s="17" t="str">
        <f>IF(E2864="","",AVERAGE(INDEX($E$2:$E$3001,MAX(1,ROW()-1-'02_Eingaben'!$C$17)):INDEX($E$2:$E$3001,MIN('02_Eingaben'!$C$21,ROW()-1+'02_Eingaben'!$C$17))))</f>
        <v/>
      </c>
      <c r="G2864" s="17" t="str">
        <f>IF(F2864="","",F2864-'02_Eingaben'!$C$10)</f>
        <v/>
      </c>
      <c r="H2864" t="str">
        <f>IF(F2864="","",IF(F2864&lt;'02_Eingaben'!$C$18*'02_Eingaben'!$C$10,1,0))</f>
        <v/>
      </c>
      <c r="I2864" s="17" t="str">
        <f t="shared" si="44"/>
        <v/>
      </c>
      <c r="J2864" s="17" t="str">
        <f>IF(B2864="","",IF(B2863&lt;'02_Eingaben'!$C$36,0,J2863+I2863/'02_Eingaben'!$C$8))</f>
        <v/>
      </c>
    </row>
    <row r="2865" spans="1:10" x14ac:dyDescent="0.25">
      <c r="A2865" t="str">
        <f>IF('01_Rohdaten'!A2865="","",ROW()-1)</f>
        <v/>
      </c>
      <c r="B2865" s="17" t="str">
        <f>IF('01_Rohdaten'!A2865="","",'01_Rohdaten'!A2865)</f>
        <v/>
      </c>
      <c r="C2865" s="17" t="str">
        <f>IF(B2865="","",INDEX('01_Rohdaten'!B2865:D2865,'02_Eingaben'!$C$13))</f>
        <v/>
      </c>
      <c r="D2865" s="17" t="str">
        <f>IF(C2865="","",C2865*'02_Eingaben'!$C$15)</f>
        <v/>
      </c>
      <c r="E2865" s="17" t="str">
        <f>IF(D2865="","",D2865*'02_Eingaben'!$C$8)</f>
        <v/>
      </c>
      <c r="F2865" s="17" t="str">
        <f>IF(E2865="","",AVERAGE(INDEX($E$2:$E$3001,MAX(1,ROW()-1-'02_Eingaben'!$C$17)):INDEX($E$2:$E$3001,MIN('02_Eingaben'!$C$21,ROW()-1+'02_Eingaben'!$C$17))))</f>
        <v/>
      </c>
      <c r="G2865" s="17" t="str">
        <f>IF(F2865="","",F2865-'02_Eingaben'!$C$10)</f>
        <v/>
      </c>
      <c r="H2865" t="str">
        <f>IF(F2865="","",IF(F2865&lt;'02_Eingaben'!$C$18*'02_Eingaben'!$C$10,1,0))</f>
        <v/>
      </c>
      <c r="I2865" s="17" t="str">
        <f t="shared" si="44"/>
        <v/>
      </c>
      <c r="J2865" s="17" t="str">
        <f>IF(B2865="","",IF(B2864&lt;'02_Eingaben'!$C$36,0,J2864+I2864/'02_Eingaben'!$C$8))</f>
        <v/>
      </c>
    </row>
    <row r="2866" spans="1:10" x14ac:dyDescent="0.25">
      <c r="A2866" t="str">
        <f>IF('01_Rohdaten'!A2866="","",ROW()-1)</f>
        <v/>
      </c>
      <c r="B2866" s="17" t="str">
        <f>IF('01_Rohdaten'!A2866="","",'01_Rohdaten'!A2866)</f>
        <v/>
      </c>
      <c r="C2866" s="17" t="str">
        <f>IF(B2866="","",INDEX('01_Rohdaten'!B2866:D2866,'02_Eingaben'!$C$13))</f>
        <v/>
      </c>
      <c r="D2866" s="17" t="str">
        <f>IF(C2866="","",C2866*'02_Eingaben'!$C$15)</f>
        <v/>
      </c>
      <c r="E2866" s="17" t="str">
        <f>IF(D2866="","",D2866*'02_Eingaben'!$C$8)</f>
        <v/>
      </c>
      <c r="F2866" s="17" t="str">
        <f>IF(E2866="","",AVERAGE(INDEX($E$2:$E$3001,MAX(1,ROW()-1-'02_Eingaben'!$C$17)):INDEX($E$2:$E$3001,MIN('02_Eingaben'!$C$21,ROW()-1+'02_Eingaben'!$C$17))))</f>
        <v/>
      </c>
      <c r="G2866" s="17" t="str">
        <f>IF(F2866="","",F2866-'02_Eingaben'!$C$10)</f>
        <v/>
      </c>
      <c r="H2866" t="str">
        <f>IF(F2866="","",IF(F2866&lt;'02_Eingaben'!$C$18*'02_Eingaben'!$C$10,1,0))</f>
        <v/>
      </c>
      <c r="I2866" s="17" t="str">
        <f t="shared" si="44"/>
        <v/>
      </c>
      <c r="J2866" s="17" t="str">
        <f>IF(B2866="","",IF(B2865&lt;'02_Eingaben'!$C$36,0,J2865+I2865/'02_Eingaben'!$C$8))</f>
        <v/>
      </c>
    </row>
    <row r="2867" spans="1:10" x14ac:dyDescent="0.25">
      <c r="A2867" t="str">
        <f>IF('01_Rohdaten'!A2867="","",ROW()-1)</f>
        <v/>
      </c>
      <c r="B2867" s="17" t="str">
        <f>IF('01_Rohdaten'!A2867="","",'01_Rohdaten'!A2867)</f>
        <v/>
      </c>
      <c r="C2867" s="17" t="str">
        <f>IF(B2867="","",INDEX('01_Rohdaten'!B2867:D2867,'02_Eingaben'!$C$13))</f>
        <v/>
      </c>
      <c r="D2867" s="17" t="str">
        <f>IF(C2867="","",C2867*'02_Eingaben'!$C$15)</f>
        <v/>
      </c>
      <c r="E2867" s="17" t="str">
        <f>IF(D2867="","",D2867*'02_Eingaben'!$C$8)</f>
        <v/>
      </c>
      <c r="F2867" s="17" t="str">
        <f>IF(E2867="","",AVERAGE(INDEX($E$2:$E$3001,MAX(1,ROW()-1-'02_Eingaben'!$C$17)):INDEX($E$2:$E$3001,MIN('02_Eingaben'!$C$21,ROW()-1+'02_Eingaben'!$C$17))))</f>
        <v/>
      </c>
      <c r="G2867" s="17" t="str">
        <f>IF(F2867="","",F2867-'02_Eingaben'!$C$10)</f>
        <v/>
      </c>
      <c r="H2867" t="str">
        <f>IF(F2867="","",IF(F2867&lt;'02_Eingaben'!$C$18*'02_Eingaben'!$C$10,1,0))</f>
        <v/>
      </c>
      <c r="I2867" s="17" t="str">
        <f t="shared" si="44"/>
        <v/>
      </c>
      <c r="J2867" s="17" t="str">
        <f>IF(B2867="","",IF(B2866&lt;'02_Eingaben'!$C$36,0,J2866+I2866/'02_Eingaben'!$C$8))</f>
        <v/>
      </c>
    </row>
    <row r="2868" spans="1:10" x14ac:dyDescent="0.25">
      <c r="A2868" t="str">
        <f>IF('01_Rohdaten'!A2868="","",ROW()-1)</f>
        <v/>
      </c>
      <c r="B2868" s="17" t="str">
        <f>IF('01_Rohdaten'!A2868="","",'01_Rohdaten'!A2868)</f>
        <v/>
      </c>
      <c r="C2868" s="17" t="str">
        <f>IF(B2868="","",INDEX('01_Rohdaten'!B2868:D2868,'02_Eingaben'!$C$13))</f>
        <v/>
      </c>
      <c r="D2868" s="17" t="str">
        <f>IF(C2868="","",C2868*'02_Eingaben'!$C$15)</f>
        <v/>
      </c>
      <c r="E2868" s="17" t="str">
        <f>IF(D2868="","",D2868*'02_Eingaben'!$C$8)</f>
        <v/>
      </c>
      <c r="F2868" s="17" t="str">
        <f>IF(E2868="","",AVERAGE(INDEX($E$2:$E$3001,MAX(1,ROW()-1-'02_Eingaben'!$C$17)):INDEX($E$2:$E$3001,MIN('02_Eingaben'!$C$21,ROW()-1+'02_Eingaben'!$C$17))))</f>
        <v/>
      </c>
      <c r="G2868" s="17" t="str">
        <f>IF(F2868="","",F2868-'02_Eingaben'!$C$10)</f>
        <v/>
      </c>
      <c r="H2868" t="str">
        <f>IF(F2868="","",IF(F2868&lt;'02_Eingaben'!$C$18*'02_Eingaben'!$C$10,1,0))</f>
        <v/>
      </c>
      <c r="I2868" s="17" t="str">
        <f t="shared" si="44"/>
        <v/>
      </c>
      <c r="J2868" s="17" t="str">
        <f>IF(B2868="","",IF(B2867&lt;'02_Eingaben'!$C$36,0,J2867+I2867/'02_Eingaben'!$C$8))</f>
        <v/>
      </c>
    </row>
    <row r="2869" spans="1:10" x14ac:dyDescent="0.25">
      <c r="A2869" t="str">
        <f>IF('01_Rohdaten'!A2869="","",ROW()-1)</f>
        <v/>
      </c>
      <c r="B2869" s="17" t="str">
        <f>IF('01_Rohdaten'!A2869="","",'01_Rohdaten'!A2869)</f>
        <v/>
      </c>
      <c r="C2869" s="17" t="str">
        <f>IF(B2869="","",INDEX('01_Rohdaten'!B2869:D2869,'02_Eingaben'!$C$13))</f>
        <v/>
      </c>
      <c r="D2869" s="17" t="str">
        <f>IF(C2869="","",C2869*'02_Eingaben'!$C$15)</f>
        <v/>
      </c>
      <c r="E2869" s="17" t="str">
        <f>IF(D2869="","",D2869*'02_Eingaben'!$C$8)</f>
        <v/>
      </c>
      <c r="F2869" s="17" t="str">
        <f>IF(E2869="","",AVERAGE(INDEX($E$2:$E$3001,MAX(1,ROW()-1-'02_Eingaben'!$C$17)):INDEX($E$2:$E$3001,MIN('02_Eingaben'!$C$21,ROW()-1+'02_Eingaben'!$C$17))))</f>
        <v/>
      </c>
      <c r="G2869" s="17" t="str">
        <f>IF(F2869="","",F2869-'02_Eingaben'!$C$10)</f>
        <v/>
      </c>
      <c r="H2869" t="str">
        <f>IF(F2869="","",IF(F2869&lt;'02_Eingaben'!$C$18*'02_Eingaben'!$C$10,1,0))</f>
        <v/>
      </c>
      <c r="I2869" s="17" t="str">
        <f t="shared" si="44"/>
        <v/>
      </c>
      <c r="J2869" s="17" t="str">
        <f>IF(B2869="","",IF(B2868&lt;'02_Eingaben'!$C$36,0,J2868+I2868/'02_Eingaben'!$C$8))</f>
        <v/>
      </c>
    </row>
    <row r="2870" spans="1:10" x14ac:dyDescent="0.25">
      <c r="A2870" t="str">
        <f>IF('01_Rohdaten'!A2870="","",ROW()-1)</f>
        <v/>
      </c>
      <c r="B2870" s="17" t="str">
        <f>IF('01_Rohdaten'!A2870="","",'01_Rohdaten'!A2870)</f>
        <v/>
      </c>
      <c r="C2870" s="17" t="str">
        <f>IF(B2870="","",INDEX('01_Rohdaten'!B2870:D2870,'02_Eingaben'!$C$13))</f>
        <v/>
      </c>
      <c r="D2870" s="17" t="str">
        <f>IF(C2870="","",C2870*'02_Eingaben'!$C$15)</f>
        <v/>
      </c>
      <c r="E2870" s="17" t="str">
        <f>IF(D2870="","",D2870*'02_Eingaben'!$C$8)</f>
        <v/>
      </c>
      <c r="F2870" s="17" t="str">
        <f>IF(E2870="","",AVERAGE(INDEX($E$2:$E$3001,MAX(1,ROW()-1-'02_Eingaben'!$C$17)):INDEX($E$2:$E$3001,MIN('02_Eingaben'!$C$21,ROW()-1+'02_Eingaben'!$C$17))))</f>
        <v/>
      </c>
      <c r="G2870" s="17" t="str">
        <f>IF(F2870="","",F2870-'02_Eingaben'!$C$10)</f>
        <v/>
      </c>
      <c r="H2870" t="str">
        <f>IF(F2870="","",IF(F2870&lt;'02_Eingaben'!$C$18*'02_Eingaben'!$C$10,1,0))</f>
        <v/>
      </c>
      <c r="I2870" s="17" t="str">
        <f t="shared" si="44"/>
        <v/>
      </c>
      <c r="J2870" s="17" t="str">
        <f>IF(B2870="","",IF(B2869&lt;'02_Eingaben'!$C$36,0,J2869+I2869/'02_Eingaben'!$C$8))</f>
        <v/>
      </c>
    </row>
    <row r="2871" spans="1:10" x14ac:dyDescent="0.25">
      <c r="A2871" t="str">
        <f>IF('01_Rohdaten'!A2871="","",ROW()-1)</f>
        <v/>
      </c>
      <c r="B2871" s="17" t="str">
        <f>IF('01_Rohdaten'!A2871="","",'01_Rohdaten'!A2871)</f>
        <v/>
      </c>
      <c r="C2871" s="17" t="str">
        <f>IF(B2871="","",INDEX('01_Rohdaten'!B2871:D2871,'02_Eingaben'!$C$13))</f>
        <v/>
      </c>
      <c r="D2871" s="17" t="str">
        <f>IF(C2871="","",C2871*'02_Eingaben'!$C$15)</f>
        <v/>
      </c>
      <c r="E2871" s="17" t="str">
        <f>IF(D2871="","",D2871*'02_Eingaben'!$C$8)</f>
        <v/>
      </c>
      <c r="F2871" s="17" t="str">
        <f>IF(E2871="","",AVERAGE(INDEX($E$2:$E$3001,MAX(1,ROW()-1-'02_Eingaben'!$C$17)):INDEX($E$2:$E$3001,MIN('02_Eingaben'!$C$21,ROW()-1+'02_Eingaben'!$C$17))))</f>
        <v/>
      </c>
      <c r="G2871" s="17" t="str">
        <f>IF(F2871="","",F2871-'02_Eingaben'!$C$10)</f>
        <v/>
      </c>
      <c r="H2871" t="str">
        <f>IF(F2871="","",IF(F2871&lt;'02_Eingaben'!$C$18*'02_Eingaben'!$C$10,1,0))</f>
        <v/>
      </c>
      <c r="I2871" s="17" t="str">
        <f t="shared" si="44"/>
        <v/>
      </c>
      <c r="J2871" s="17" t="str">
        <f>IF(B2871="","",IF(B2870&lt;'02_Eingaben'!$C$36,0,J2870+I2870/'02_Eingaben'!$C$8))</f>
        <v/>
      </c>
    </row>
    <row r="2872" spans="1:10" x14ac:dyDescent="0.25">
      <c r="A2872" t="str">
        <f>IF('01_Rohdaten'!A2872="","",ROW()-1)</f>
        <v/>
      </c>
      <c r="B2872" s="17" t="str">
        <f>IF('01_Rohdaten'!A2872="","",'01_Rohdaten'!A2872)</f>
        <v/>
      </c>
      <c r="C2872" s="17" t="str">
        <f>IF(B2872="","",INDEX('01_Rohdaten'!B2872:D2872,'02_Eingaben'!$C$13))</f>
        <v/>
      </c>
      <c r="D2872" s="17" t="str">
        <f>IF(C2872="","",C2872*'02_Eingaben'!$C$15)</f>
        <v/>
      </c>
      <c r="E2872" s="17" t="str">
        <f>IF(D2872="","",D2872*'02_Eingaben'!$C$8)</f>
        <v/>
      </c>
      <c r="F2872" s="17" t="str">
        <f>IF(E2872="","",AVERAGE(INDEX($E$2:$E$3001,MAX(1,ROW()-1-'02_Eingaben'!$C$17)):INDEX($E$2:$E$3001,MIN('02_Eingaben'!$C$21,ROW()-1+'02_Eingaben'!$C$17))))</f>
        <v/>
      </c>
      <c r="G2872" s="17" t="str">
        <f>IF(F2872="","",F2872-'02_Eingaben'!$C$10)</f>
        <v/>
      </c>
      <c r="H2872" t="str">
        <f>IF(F2872="","",IF(F2872&lt;'02_Eingaben'!$C$18*'02_Eingaben'!$C$10,1,0))</f>
        <v/>
      </c>
      <c r="I2872" s="17" t="str">
        <f t="shared" si="44"/>
        <v/>
      </c>
      <c r="J2872" s="17" t="str">
        <f>IF(B2872="","",IF(B2871&lt;'02_Eingaben'!$C$36,0,J2871+I2871/'02_Eingaben'!$C$8))</f>
        <v/>
      </c>
    </row>
    <row r="2873" spans="1:10" x14ac:dyDescent="0.25">
      <c r="A2873" t="str">
        <f>IF('01_Rohdaten'!A2873="","",ROW()-1)</f>
        <v/>
      </c>
      <c r="B2873" s="17" t="str">
        <f>IF('01_Rohdaten'!A2873="","",'01_Rohdaten'!A2873)</f>
        <v/>
      </c>
      <c r="C2873" s="17" t="str">
        <f>IF(B2873="","",INDEX('01_Rohdaten'!B2873:D2873,'02_Eingaben'!$C$13))</f>
        <v/>
      </c>
      <c r="D2873" s="17" t="str">
        <f>IF(C2873="","",C2873*'02_Eingaben'!$C$15)</f>
        <v/>
      </c>
      <c r="E2873" s="17" t="str">
        <f>IF(D2873="","",D2873*'02_Eingaben'!$C$8)</f>
        <v/>
      </c>
      <c r="F2873" s="17" t="str">
        <f>IF(E2873="","",AVERAGE(INDEX($E$2:$E$3001,MAX(1,ROW()-1-'02_Eingaben'!$C$17)):INDEX($E$2:$E$3001,MIN('02_Eingaben'!$C$21,ROW()-1+'02_Eingaben'!$C$17))))</f>
        <v/>
      </c>
      <c r="G2873" s="17" t="str">
        <f>IF(F2873="","",F2873-'02_Eingaben'!$C$10)</f>
        <v/>
      </c>
      <c r="H2873" t="str">
        <f>IF(F2873="","",IF(F2873&lt;'02_Eingaben'!$C$18*'02_Eingaben'!$C$10,1,0))</f>
        <v/>
      </c>
      <c r="I2873" s="17" t="str">
        <f t="shared" si="44"/>
        <v/>
      </c>
      <c r="J2873" s="17" t="str">
        <f>IF(B2873="","",IF(B2872&lt;'02_Eingaben'!$C$36,0,J2872+I2872/'02_Eingaben'!$C$8))</f>
        <v/>
      </c>
    </row>
    <row r="2874" spans="1:10" x14ac:dyDescent="0.25">
      <c r="A2874" t="str">
        <f>IF('01_Rohdaten'!A2874="","",ROW()-1)</f>
        <v/>
      </c>
      <c r="B2874" s="17" t="str">
        <f>IF('01_Rohdaten'!A2874="","",'01_Rohdaten'!A2874)</f>
        <v/>
      </c>
      <c r="C2874" s="17" t="str">
        <f>IF(B2874="","",INDEX('01_Rohdaten'!B2874:D2874,'02_Eingaben'!$C$13))</f>
        <v/>
      </c>
      <c r="D2874" s="17" t="str">
        <f>IF(C2874="","",C2874*'02_Eingaben'!$C$15)</f>
        <v/>
      </c>
      <c r="E2874" s="17" t="str">
        <f>IF(D2874="","",D2874*'02_Eingaben'!$C$8)</f>
        <v/>
      </c>
      <c r="F2874" s="17" t="str">
        <f>IF(E2874="","",AVERAGE(INDEX($E$2:$E$3001,MAX(1,ROW()-1-'02_Eingaben'!$C$17)):INDEX($E$2:$E$3001,MIN('02_Eingaben'!$C$21,ROW()-1+'02_Eingaben'!$C$17))))</f>
        <v/>
      </c>
      <c r="G2874" s="17" t="str">
        <f>IF(F2874="","",F2874-'02_Eingaben'!$C$10)</f>
        <v/>
      </c>
      <c r="H2874" t="str">
        <f>IF(F2874="","",IF(F2874&lt;'02_Eingaben'!$C$18*'02_Eingaben'!$C$10,1,0))</f>
        <v/>
      </c>
      <c r="I2874" s="17" t="str">
        <f t="shared" si="44"/>
        <v/>
      </c>
      <c r="J2874" s="17" t="str">
        <f>IF(B2874="","",IF(B2873&lt;'02_Eingaben'!$C$36,0,J2873+I2873/'02_Eingaben'!$C$8))</f>
        <v/>
      </c>
    </row>
    <row r="2875" spans="1:10" x14ac:dyDescent="0.25">
      <c r="A2875" t="str">
        <f>IF('01_Rohdaten'!A2875="","",ROW()-1)</f>
        <v/>
      </c>
      <c r="B2875" s="17" t="str">
        <f>IF('01_Rohdaten'!A2875="","",'01_Rohdaten'!A2875)</f>
        <v/>
      </c>
      <c r="C2875" s="17" t="str">
        <f>IF(B2875="","",INDEX('01_Rohdaten'!B2875:D2875,'02_Eingaben'!$C$13))</f>
        <v/>
      </c>
      <c r="D2875" s="17" t="str">
        <f>IF(C2875="","",C2875*'02_Eingaben'!$C$15)</f>
        <v/>
      </c>
      <c r="E2875" s="17" t="str">
        <f>IF(D2875="","",D2875*'02_Eingaben'!$C$8)</f>
        <v/>
      </c>
      <c r="F2875" s="17" t="str">
        <f>IF(E2875="","",AVERAGE(INDEX($E$2:$E$3001,MAX(1,ROW()-1-'02_Eingaben'!$C$17)):INDEX($E$2:$E$3001,MIN('02_Eingaben'!$C$21,ROW()-1+'02_Eingaben'!$C$17))))</f>
        <v/>
      </c>
      <c r="G2875" s="17" t="str">
        <f>IF(F2875="","",F2875-'02_Eingaben'!$C$10)</f>
        <v/>
      </c>
      <c r="H2875" t="str">
        <f>IF(F2875="","",IF(F2875&lt;'02_Eingaben'!$C$18*'02_Eingaben'!$C$10,1,0))</f>
        <v/>
      </c>
      <c r="I2875" s="17" t="str">
        <f t="shared" si="44"/>
        <v/>
      </c>
      <c r="J2875" s="17" t="str">
        <f>IF(B2875="","",IF(B2874&lt;'02_Eingaben'!$C$36,0,J2874+I2874/'02_Eingaben'!$C$8))</f>
        <v/>
      </c>
    </row>
    <row r="2876" spans="1:10" x14ac:dyDescent="0.25">
      <c r="A2876" t="str">
        <f>IF('01_Rohdaten'!A2876="","",ROW()-1)</f>
        <v/>
      </c>
      <c r="B2876" s="17" t="str">
        <f>IF('01_Rohdaten'!A2876="","",'01_Rohdaten'!A2876)</f>
        <v/>
      </c>
      <c r="C2876" s="17" t="str">
        <f>IF(B2876="","",INDEX('01_Rohdaten'!B2876:D2876,'02_Eingaben'!$C$13))</f>
        <v/>
      </c>
      <c r="D2876" s="17" t="str">
        <f>IF(C2876="","",C2876*'02_Eingaben'!$C$15)</f>
        <v/>
      </c>
      <c r="E2876" s="17" t="str">
        <f>IF(D2876="","",D2876*'02_Eingaben'!$C$8)</f>
        <v/>
      </c>
      <c r="F2876" s="17" t="str">
        <f>IF(E2876="","",AVERAGE(INDEX($E$2:$E$3001,MAX(1,ROW()-1-'02_Eingaben'!$C$17)):INDEX($E$2:$E$3001,MIN('02_Eingaben'!$C$21,ROW()-1+'02_Eingaben'!$C$17))))</f>
        <v/>
      </c>
      <c r="G2876" s="17" t="str">
        <f>IF(F2876="","",F2876-'02_Eingaben'!$C$10)</f>
        <v/>
      </c>
      <c r="H2876" t="str">
        <f>IF(F2876="","",IF(F2876&lt;'02_Eingaben'!$C$18*'02_Eingaben'!$C$10,1,0))</f>
        <v/>
      </c>
      <c r="I2876" s="17" t="str">
        <f t="shared" si="44"/>
        <v/>
      </c>
      <c r="J2876" s="17" t="str">
        <f>IF(B2876="","",IF(B2875&lt;'02_Eingaben'!$C$36,0,J2875+I2875/'02_Eingaben'!$C$8))</f>
        <v/>
      </c>
    </row>
    <row r="2877" spans="1:10" x14ac:dyDescent="0.25">
      <c r="A2877" t="str">
        <f>IF('01_Rohdaten'!A2877="","",ROW()-1)</f>
        <v/>
      </c>
      <c r="B2877" s="17" t="str">
        <f>IF('01_Rohdaten'!A2877="","",'01_Rohdaten'!A2877)</f>
        <v/>
      </c>
      <c r="C2877" s="17" t="str">
        <f>IF(B2877="","",INDEX('01_Rohdaten'!B2877:D2877,'02_Eingaben'!$C$13))</f>
        <v/>
      </c>
      <c r="D2877" s="17" t="str">
        <f>IF(C2877="","",C2877*'02_Eingaben'!$C$15)</f>
        <v/>
      </c>
      <c r="E2877" s="17" t="str">
        <f>IF(D2877="","",D2877*'02_Eingaben'!$C$8)</f>
        <v/>
      </c>
      <c r="F2877" s="17" t="str">
        <f>IF(E2877="","",AVERAGE(INDEX($E$2:$E$3001,MAX(1,ROW()-1-'02_Eingaben'!$C$17)):INDEX($E$2:$E$3001,MIN('02_Eingaben'!$C$21,ROW()-1+'02_Eingaben'!$C$17))))</f>
        <v/>
      </c>
      <c r="G2877" s="17" t="str">
        <f>IF(F2877="","",F2877-'02_Eingaben'!$C$10)</f>
        <v/>
      </c>
      <c r="H2877" t="str">
        <f>IF(F2877="","",IF(F2877&lt;'02_Eingaben'!$C$18*'02_Eingaben'!$C$10,1,0))</f>
        <v/>
      </c>
      <c r="I2877" s="17" t="str">
        <f t="shared" si="44"/>
        <v/>
      </c>
      <c r="J2877" s="17" t="str">
        <f>IF(B2877="","",IF(B2876&lt;'02_Eingaben'!$C$36,0,J2876+I2876/'02_Eingaben'!$C$8))</f>
        <v/>
      </c>
    </row>
    <row r="2878" spans="1:10" x14ac:dyDescent="0.25">
      <c r="A2878" t="str">
        <f>IF('01_Rohdaten'!A2878="","",ROW()-1)</f>
        <v/>
      </c>
      <c r="B2878" s="17" t="str">
        <f>IF('01_Rohdaten'!A2878="","",'01_Rohdaten'!A2878)</f>
        <v/>
      </c>
      <c r="C2878" s="17" t="str">
        <f>IF(B2878="","",INDEX('01_Rohdaten'!B2878:D2878,'02_Eingaben'!$C$13))</f>
        <v/>
      </c>
      <c r="D2878" s="17" t="str">
        <f>IF(C2878="","",C2878*'02_Eingaben'!$C$15)</f>
        <v/>
      </c>
      <c r="E2878" s="17" t="str">
        <f>IF(D2878="","",D2878*'02_Eingaben'!$C$8)</f>
        <v/>
      </c>
      <c r="F2878" s="17" t="str">
        <f>IF(E2878="","",AVERAGE(INDEX($E$2:$E$3001,MAX(1,ROW()-1-'02_Eingaben'!$C$17)):INDEX($E$2:$E$3001,MIN('02_Eingaben'!$C$21,ROW()-1+'02_Eingaben'!$C$17))))</f>
        <v/>
      </c>
      <c r="G2878" s="17" t="str">
        <f>IF(F2878="","",F2878-'02_Eingaben'!$C$10)</f>
        <v/>
      </c>
      <c r="H2878" t="str">
        <f>IF(F2878="","",IF(F2878&lt;'02_Eingaben'!$C$18*'02_Eingaben'!$C$10,1,0))</f>
        <v/>
      </c>
      <c r="I2878" s="17" t="str">
        <f t="shared" si="44"/>
        <v/>
      </c>
      <c r="J2878" s="17" t="str">
        <f>IF(B2878="","",IF(B2877&lt;'02_Eingaben'!$C$36,0,J2877+I2877/'02_Eingaben'!$C$8))</f>
        <v/>
      </c>
    </row>
    <row r="2879" spans="1:10" x14ac:dyDescent="0.25">
      <c r="A2879" t="str">
        <f>IF('01_Rohdaten'!A2879="","",ROW()-1)</f>
        <v/>
      </c>
      <c r="B2879" s="17" t="str">
        <f>IF('01_Rohdaten'!A2879="","",'01_Rohdaten'!A2879)</f>
        <v/>
      </c>
      <c r="C2879" s="17" t="str">
        <f>IF(B2879="","",INDEX('01_Rohdaten'!B2879:D2879,'02_Eingaben'!$C$13))</f>
        <v/>
      </c>
      <c r="D2879" s="17" t="str">
        <f>IF(C2879="","",C2879*'02_Eingaben'!$C$15)</f>
        <v/>
      </c>
      <c r="E2879" s="17" t="str">
        <f>IF(D2879="","",D2879*'02_Eingaben'!$C$8)</f>
        <v/>
      </c>
      <c r="F2879" s="17" t="str">
        <f>IF(E2879="","",AVERAGE(INDEX($E$2:$E$3001,MAX(1,ROW()-1-'02_Eingaben'!$C$17)):INDEX($E$2:$E$3001,MIN('02_Eingaben'!$C$21,ROW()-1+'02_Eingaben'!$C$17))))</f>
        <v/>
      </c>
      <c r="G2879" s="17" t="str">
        <f>IF(F2879="","",F2879-'02_Eingaben'!$C$10)</f>
        <v/>
      </c>
      <c r="H2879" t="str">
        <f>IF(F2879="","",IF(F2879&lt;'02_Eingaben'!$C$18*'02_Eingaben'!$C$10,1,0))</f>
        <v/>
      </c>
      <c r="I2879" s="17" t="str">
        <f t="shared" si="44"/>
        <v/>
      </c>
      <c r="J2879" s="17" t="str">
        <f>IF(B2879="","",IF(B2878&lt;'02_Eingaben'!$C$36,0,J2878+I2878/'02_Eingaben'!$C$8))</f>
        <v/>
      </c>
    </row>
    <row r="2880" spans="1:10" x14ac:dyDescent="0.25">
      <c r="A2880" t="str">
        <f>IF('01_Rohdaten'!A2880="","",ROW()-1)</f>
        <v/>
      </c>
      <c r="B2880" s="17" t="str">
        <f>IF('01_Rohdaten'!A2880="","",'01_Rohdaten'!A2880)</f>
        <v/>
      </c>
      <c r="C2880" s="17" t="str">
        <f>IF(B2880="","",INDEX('01_Rohdaten'!B2880:D2880,'02_Eingaben'!$C$13))</f>
        <v/>
      </c>
      <c r="D2880" s="17" t="str">
        <f>IF(C2880="","",C2880*'02_Eingaben'!$C$15)</f>
        <v/>
      </c>
      <c r="E2880" s="17" t="str">
        <f>IF(D2880="","",D2880*'02_Eingaben'!$C$8)</f>
        <v/>
      </c>
      <c r="F2880" s="17" t="str">
        <f>IF(E2880="","",AVERAGE(INDEX($E$2:$E$3001,MAX(1,ROW()-1-'02_Eingaben'!$C$17)):INDEX($E$2:$E$3001,MIN('02_Eingaben'!$C$21,ROW()-1+'02_Eingaben'!$C$17))))</f>
        <v/>
      </c>
      <c r="G2880" s="17" t="str">
        <f>IF(F2880="","",F2880-'02_Eingaben'!$C$10)</f>
        <v/>
      </c>
      <c r="H2880" t="str">
        <f>IF(F2880="","",IF(F2880&lt;'02_Eingaben'!$C$18*'02_Eingaben'!$C$10,1,0))</f>
        <v/>
      </c>
      <c r="I2880" s="17" t="str">
        <f t="shared" si="44"/>
        <v/>
      </c>
      <c r="J2880" s="17" t="str">
        <f>IF(B2880="","",IF(B2879&lt;'02_Eingaben'!$C$36,0,J2879+I2879/'02_Eingaben'!$C$8))</f>
        <v/>
      </c>
    </row>
    <row r="2881" spans="1:10" x14ac:dyDescent="0.25">
      <c r="A2881" t="str">
        <f>IF('01_Rohdaten'!A2881="","",ROW()-1)</f>
        <v/>
      </c>
      <c r="B2881" s="17" t="str">
        <f>IF('01_Rohdaten'!A2881="","",'01_Rohdaten'!A2881)</f>
        <v/>
      </c>
      <c r="C2881" s="17" t="str">
        <f>IF(B2881="","",INDEX('01_Rohdaten'!B2881:D2881,'02_Eingaben'!$C$13))</f>
        <v/>
      </c>
      <c r="D2881" s="17" t="str">
        <f>IF(C2881="","",C2881*'02_Eingaben'!$C$15)</f>
        <v/>
      </c>
      <c r="E2881" s="17" t="str">
        <f>IF(D2881="","",D2881*'02_Eingaben'!$C$8)</f>
        <v/>
      </c>
      <c r="F2881" s="17" t="str">
        <f>IF(E2881="","",AVERAGE(INDEX($E$2:$E$3001,MAX(1,ROW()-1-'02_Eingaben'!$C$17)):INDEX($E$2:$E$3001,MIN('02_Eingaben'!$C$21,ROW()-1+'02_Eingaben'!$C$17))))</f>
        <v/>
      </c>
      <c r="G2881" s="17" t="str">
        <f>IF(F2881="","",F2881-'02_Eingaben'!$C$10)</f>
        <v/>
      </c>
      <c r="H2881" t="str">
        <f>IF(F2881="","",IF(F2881&lt;'02_Eingaben'!$C$18*'02_Eingaben'!$C$10,1,0))</f>
        <v/>
      </c>
      <c r="I2881" s="17" t="str">
        <f t="shared" si="44"/>
        <v/>
      </c>
      <c r="J2881" s="17" t="str">
        <f>IF(B2881="","",IF(B2880&lt;'02_Eingaben'!$C$36,0,J2880+I2880/'02_Eingaben'!$C$8))</f>
        <v/>
      </c>
    </row>
    <row r="2882" spans="1:10" x14ac:dyDescent="0.25">
      <c r="A2882" t="str">
        <f>IF('01_Rohdaten'!A2882="","",ROW()-1)</f>
        <v/>
      </c>
      <c r="B2882" s="17" t="str">
        <f>IF('01_Rohdaten'!A2882="","",'01_Rohdaten'!A2882)</f>
        <v/>
      </c>
      <c r="C2882" s="17" t="str">
        <f>IF(B2882="","",INDEX('01_Rohdaten'!B2882:D2882,'02_Eingaben'!$C$13))</f>
        <v/>
      </c>
      <c r="D2882" s="17" t="str">
        <f>IF(C2882="","",C2882*'02_Eingaben'!$C$15)</f>
        <v/>
      </c>
      <c r="E2882" s="17" t="str">
        <f>IF(D2882="","",D2882*'02_Eingaben'!$C$8)</f>
        <v/>
      </c>
      <c r="F2882" s="17" t="str">
        <f>IF(E2882="","",AVERAGE(INDEX($E$2:$E$3001,MAX(1,ROW()-1-'02_Eingaben'!$C$17)):INDEX($E$2:$E$3001,MIN('02_Eingaben'!$C$21,ROW()-1+'02_Eingaben'!$C$17))))</f>
        <v/>
      </c>
      <c r="G2882" s="17" t="str">
        <f>IF(F2882="","",F2882-'02_Eingaben'!$C$10)</f>
        <v/>
      </c>
      <c r="H2882" t="str">
        <f>IF(F2882="","",IF(F2882&lt;'02_Eingaben'!$C$18*'02_Eingaben'!$C$10,1,0))</f>
        <v/>
      </c>
      <c r="I2882" s="17" t="str">
        <f t="shared" ref="I2882:I2945" si="45">IF(OR(G2882="",G2883=""),"",(G2882+G2883)/2*(B2883-B2882))</f>
        <v/>
      </c>
      <c r="J2882" s="17" t="str">
        <f>IF(B2882="","",IF(B2881&lt;'02_Eingaben'!$C$36,0,J2881+I2881/'02_Eingaben'!$C$8))</f>
        <v/>
      </c>
    </row>
    <row r="2883" spans="1:10" x14ac:dyDescent="0.25">
      <c r="A2883" t="str">
        <f>IF('01_Rohdaten'!A2883="","",ROW()-1)</f>
        <v/>
      </c>
      <c r="B2883" s="17" t="str">
        <f>IF('01_Rohdaten'!A2883="","",'01_Rohdaten'!A2883)</f>
        <v/>
      </c>
      <c r="C2883" s="17" t="str">
        <f>IF(B2883="","",INDEX('01_Rohdaten'!B2883:D2883,'02_Eingaben'!$C$13))</f>
        <v/>
      </c>
      <c r="D2883" s="17" t="str">
        <f>IF(C2883="","",C2883*'02_Eingaben'!$C$15)</f>
        <v/>
      </c>
      <c r="E2883" s="17" t="str">
        <f>IF(D2883="","",D2883*'02_Eingaben'!$C$8)</f>
        <v/>
      </c>
      <c r="F2883" s="17" t="str">
        <f>IF(E2883="","",AVERAGE(INDEX($E$2:$E$3001,MAX(1,ROW()-1-'02_Eingaben'!$C$17)):INDEX($E$2:$E$3001,MIN('02_Eingaben'!$C$21,ROW()-1+'02_Eingaben'!$C$17))))</f>
        <v/>
      </c>
      <c r="G2883" s="17" t="str">
        <f>IF(F2883="","",F2883-'02_Eingaben'!$C$10)</f>
        <v/>
      </c>
      <c r="H2883" t="str">
        <f>IF(F2883="","",IF(F2883&lt;'02_Eingaben'!$C$18*'02_Eingaben'!$C$10,1,0))</f>
        <v/>
      </c>
      <c r="I2883" s="17" t="str">
        <f t="shared" si="45"/>
        <v/>
      </c>
      <c r="J2883" s="17" t="str">
        <f>IF(B2883="","",IF(B2882&lt;'02_Eingaben'!$C$36,0,J2882+I2882/'02_Eingaben'!$C$8))</f>
        <v/>
      </c>
    </row>
    <row r="2884" spans="1:10" x14ac:dyDescent="0.25">
      <c r="A2884" t="str">
        <f>IF('01_Rohdaten'!A2884="","",ROW()-1)</f>
        <v/>
      </c>
      <c r="B2884" s="17" t="str">
        <f>IF('01_Rohdaten'!A2884="","",'01_Rohdaten'!A2884)</f>
        <v/>
      </c>
      <c r="C2884" s="17" t="str">
        <f>IF(B2884="","",INDEX('01_Rohdaten'!B2884:D2884,'02_Eingaben'!$C$13))</f>
        <v/>
      </c>
      <c r="D2884" s="17" t="str">
        <f>IF(C2884="","",C2884*'02_Eingaben'!$C$15)</f>
        <v/>
      </c>
      <c r="E2884" s="17" t="str">
        <f>IF(D2884="","",D2884*'02_Eingaben'!$C$8)</f>
        <v/>
      </c>
      <c r="F2884" s="17" t="str">
        <f>IF(E2884="","",AVERAGE(INDEX($E$2:$E$3001,MAX(1,ROW()-1-'02_Eingaben'!$C$17)):INDEX($E$2:$E$3001,MIN('02_Eingaben'!$C$21,ROW()-1+'02_Eingaben'!$C$17))))</f>
        <v/>
      </c>
      <c r="G2884" s="17" t="str">
        <f>IF(F2884="","",F2884-'02_Eingaben'!$C$10)</f>
        <v/>
      </c>
      <c r="H2884" t="str">
        <f>IF(F2884="","",IF(F2884&lt;'02_Eingaben'!$C$18*'02_Eingaben'!$C$10,1,0))</f>
        <v/>
      </c>
      <c r="I2884" s="17" t="str">
        <f t="shared" si="45"/>
        <v/>
      </c>
      <c r="J2884" s="17" t="str">
        <f>IF(B2884="","",IF(B2883&lt;'02_Eingaben'!$C$36,0,J2883+I2883/'02_Eingaben'!$C$8))</f>
        <v/>
      </c>
    </row>
    <row r="2885" spans="1:10" x14ac:dyDescent="0.25">
      <c r="A2885" t="str">
        <f>IF('01_Rohdaten'!A2885="","",ROW()-1)</f>
        <v/>
      </c>
      <c r="B2885" s="17" t="str">
        <f>IF('01_Rohdaten'!A2885="","",'01_Rohdaten'!A2885)</f>
        <v/>
      </c>
      <c r="C2885" s="17" t="str">
        <f>IF(B2885="","",INDEX('01_Rohdaten'!B2885:D2885,'02_Eingaben'!$C$13))</f>
        <v/>
      </c>
      <c r="D2885" s="17" t="str">
        <f>IF(C2885="","",C2885*'02_Eingaben'!$C$15)</f>
        <v/>
      </c>
      <c r="E2885" s="17" t="str">
        <f>IF(D2885="","",D2885*'02_Eingaben'!$C$8)</f>
        <v/>
      </c>
      <c r="F2885" s="17" t="str">
        <f>IF(E2885="","",AVERAGE(INDEX($E$2:$E$3001,MAX(1,ROW()-1-'02_Eingaben'!$C$17)):INDEX($E$2:$E$3001,MIN('02_Eingaben'!$C$21,ROW()-1+'02_Eingaben'!$C$17))))</f>
        <v/>
      </c>
      <c r="G2885" s="17" t="str">
        <f>IF(F2885="","",F2885-'02_Eingaben'!$C$10)</f>
        <v/>
      </c>
      <c r="H2885" t="str">
        <f>IF(F2885="","",IF(F2885&lt;'02_Eingaben'!$C$18*'02_Eingaben'!$C$10,1,0))</f>
        <v/>
      </c>
      <c r="I2885" s="17" t="str">
        <f t="shared" si="45"/>
        <v/>
      </c>
      <c r="J2885" s="17" t="str">
        <f>IF(B2885="","",IF(B2884&lt;'02_Eingaben'!$C$36,0,J2884+I2884/'02_Eingaben'!$C$8))</f>
        <v/>
      </c>
    </row>
    <row r="2886" spans="1:10" x14ac:dyDescent="0.25">
      <c r="A2886" t="str">
        <f>IF('01_Rohdaten'!A2886="","",ROW()-1)</f>
        <v/>
      </c>
      <c r="B2886" s="17" t="str">
        <f>IF('01_Rohdaten'!A2886="","",'01_Rohdaten'!A2886)</f>
        <v/>
      </c>
      <c r="C2886" s="17" t="str">
        <f>IF(B2886="","",INDEX('01_Rohdaten'!B2886:D2886,'02_Eingaben'!$C$13))</f>
        <v/>
      </c>
      <c r="D2886" s="17" t="str">
        <f>IF(C2886="","",C2886*'02_Eingaben'!$C$15)</f>
        <v/>
      </c>
      <c r="E2886" s="17" t="str">
        <f>IF(D2886="","",D2886*'02_Eingaben'!$C$8)</f>
        <v/>
      </c>
      <c r="F2886" s="17" t="str">
        <f>IF(E2886="","",AVERAGE(INDEX($E$2:$E$3001,MAX(1,ROW()-1-'02_Eingaben'!$C$17)):INDEX($E$2:$E$3001,MIN('02_Eingaben'!$C$21,ROW()-1+'02_Eingaben'!$C$17))))</f>
        <v/>
      </c>
      <c r="G2886" s="17" t="str">
        <f>IF(F2886="","",F2886-'02_Eingaben'!$C$10)</f>
        <v/>
      </c>
      <c r="H2886" t="str">
        <f>IF(F2886="","",IF(F2886&lt;'02_Eingaben'!$C$18*'02_Eingaben'!$C$10,1,0))</f>
        <v/>
      </c>
      <c r="I2886" s="17" t="str">
        <f t="shared" si="45"/>
        <v/>
      </c>
      <c r="J2886" s="17" t="str">
        <f>IF(B2886="","",IF(B2885&lt;'02_Eingaben'!$C$36,0,J2885+I2885/'02_Eingaben'!$C$8))</f>
        <v/>
      </c>
    </row>
    <row r="2887" spans="1:10" x14ac:dyDescent="0.25">
      <c r="A2887" t="str">
        <f>IF('01_Rohdaten'!A2887="","",ROW()-1)</f>
        <v/>
      </c>
      <c r="B2887" s="17" t="str">
        <f>IF('01_Rohdaten'!A2887="","",'01_Rohdaten'!A2887)</f>
        <v/>
      </c>
      <c r="C2887" s="17" t="str">
        <f>IF(B2887="","",INDEX('01_Rohdaten'!B2887:D2887,'02_Eingaben'!$C$13))</f>
        <v/>
      </c>
      <c r="D2887" s="17" t="str">
        <f>IF(C2887="","",C2887*'02_Eingaben'!$C$15)</f>
        <v/>
      </c>
      <c r="E2887" s="17" t="str">
        <f>IF(D2887="","",D2887*'02_Eingaben'!$C$8)</f>
        <v/>
      </c>
      <c r="F2887" s="17" t="str">
        <f>IF(E2887="","",AVERAGE(INDEX($E$2:$E$3001,MAX(1,ROW()-1-'02_Eingaben'!$C$17)):INDEX($E$2:$E$3001,MIN('02_Eingaben'!$C$21,ROW()-1+'02_Eingaben'!$C$17))))</f>
        <v/>
      </c>
      <c r="G2887" s="17" t="str">
        <f>IF(F2887="","",F2887-'02_Eingaben'!$C$10)</f>
        <v/>
      </c>
      <c r="H2887" t="str">
        <f>IF(F2887="","",IF(F2887&lt;'02_Eingaben'!$C$18*'02_Eingaben'!$C$10,1,0))</f>
        <v/>
      </c>
      <c r="I2887" s="17" t="str">
        <f t="shared" si="45"/>
        <v/>
      </c>
      <c r="J2887" s="17" t="str">
        <f>IF(B2887="","",IF(B2886&lt;'02_Eingaben'!$C$36,0,J2886+I2886/'02_Eingaben'!$C$8))</f>
        <v/>
      </c>
    </row>
    <row r="2888" spans="1:10" x14ac:dyDescent="0.25">
      <c r="A2888" t="str">
        <f>IF('01_Rohdaten'!A2888="","",ROW()-1)</f>
        <v/>
      </c>
      <c r="B2888" s="17" t="str">
        <f>IF('01_Rohdaten'!A2888="","",'01_Rohdaten'!A2888)</f>
        <v/>
      </c>
      <c r="C2888" s="17" t="str">
        <f>IF(B2888="","",INDEX('01_Rohdaten'!B2888:D2888,'02_Eingaben'!$C$13))</f>
        <v/>
      </c>
      <c r="D2888" s="17" t="str">
        <f>IF(C2888="","",C2888*'02_Eingaben'!$C$15)</f>
        <v/>
      </c>
      <c r="E2888" s="17" t="str">
        <f>IF(D2888="","",D2888*'02_Eingaben'!$C$8)</f>
        <v/>
      </c>
      <c r="F2888" s="17" t="str">
        <f>IF(E2888="","",AVERAGE(INDEX($E$2:$E$3001,MAX(1,ROW()-1-'02_Eingaben'!$C$17)):INDEX($E$2:$E$3001,MIN('02_Eingaben'!$C$21,ROW()-1+'02_Eingaben'!$C$17))))</f>
        <v/>
      </c>
      <c r="G2888" s="17" t="str">
        <f>IF(F2888="","",F2888-'02_Eingaben'!$C$10)</f>
        <v/>
      </c>
      <c r="H2888" t="str">
        <f>IF(F2888="","",IF(F2888&lt;'02_Eingaben'!$C$18*'02_Eingaben'!$C$10,1,0))</f>
        <v/>
      </c>
      <c r="I2888" s="17" t="str">
        <f t="shared" si="45"/>
        <v/>
      </c>
      <c r="J2888" s="17" t="str">
        <f>IF(B2888="","",IF(B2887&lt;'02_Eingaben'!$C$36,0,J2887+I2887/'02_Eingaben'!$C$8))</f>
        <v/>
      </c>
    </row>
    <row r="2889" spans="1:10" x14ac:dyDescent="0.25">
      <c r="A2889" t="str">
        <f>IF('01_Rohdaten'!A2889="","",ROW()-1)</f>
        <v/>
      </c>
      <c r="B2889" s="17" t="str">
        <f>IF('01_Rohdaten'!A2889="","",'01_Rohdaten'!A2889)</f>
        <v/>
      </c>
      <c r="C2889" s="17" t="str">
        <f>IF(B2889="","",INDEX('01_Rohdaten'!B2889:D2889,'02_Eingaben'!$C$13))</f>
        <v/>
      </c>
      <c r="D2889" s="17" t="str">
        <f>IF(C2889="","",C2889*'02_Eingaben'!$C$15)</f>
        <v/>
      </c>
      <c r="E2889" s="17" t="str">
        <f>IF(D2889="","",D2889*'02_Eingaben'!$C$8)</f>
        <v/>
      </c>
      <c r="F2889" s="17" t="str">
        <f>IF(E2889="","",AVERAGE(INDEX($E$2:$E$3001,MAX(1,ROW()-1-'02_Eingaben'!$C$17)):INDEX($E$2:$E$3001,MIN('02_Eingaben'!$C$21,ROW()-1+'02_Eingaben'!$C$17))))</f>
        <v/>
      </c>
      <c r="G2889" s="17" t="str">
        <f>IF(F2889="","",F2889-'02_Eingaben'!$C$10)</f>
        <v/>
      </c>
      <c r="H2889" t="str">
        <f>IF(F2889="","",IF(F2889&lt;'02_Eingaben'!$C$18*'02_Eingaben'!$C$10,1,0))</f>
        <v/>
      </c>
      <c r="I2889" s="17" t="str">
        <f t="shared" si="45"/>
        <v/>
      </c>
      <c r="J2889" s="17" t="str">
        <f>IF(B2889="","",IF(B2888&lt;'02_Eingaben'!$C$36,0,J2888+I2888/'02_Eingaben'!$C$8))</f>
        <v/>
      </c>
    </row>
    <row r="2890" spans="1:10" x14ac:dyDescent="0.25">
      <c r="A2890" t="str">
        <f>IF('01_Rohdaten'!A2890="","",ROW()-1)</f>
        <v/>
      </c>
      <c r="B2890" s="17" t="str">
        <f>IF('01_Rohdaten'!A2890="","",'01_Rohdaten'!A2890)</f>
        <v/>
      </c>
      <c r="C2890" s="17" t="str">
        <f>IF(B2890="","",INDEX('01_Rohdaten'!B2890:D2890,'02_Eingaben'!$C$13))</f>
        <v/>
      </c>
      <c r="D2890" s="17" t="str">
        <f>IF(C2890="","",C2890*'02_Eingaben'!$C$15)</f>
        <v/>
      </c>
      <c r="E2890" s="17" t="str">
        <f>IF(D2890="","",D2890*'02_Eingaben'!$C$8)</f>
        <v/>
      </c>
      <c r="F2890" s="17" t="str">
        <f>IF(E2890="","",AVERAGE(INDEX($E$2:$E$3001,MAX(1,ROW()-1-'02_Eingaben'!$C$17)):INDEX($E$2:$E$3001,MIN('02_Eingaben'!$C$21,ROW()-1+'02_Eingaben'!$C$17))))</f>
        <v/>
      </c>
      <c r="G2890" s="17" t="str">
        <f>IF(F2890="","",F2890-'02_Eingaben'!$C$10)</f>
        <v/>
      </c>
      <c r="H2890" t="str">
        <f>IF(F2890="","",IF(F2890&lt;'02_Eingaben'!$C$18*'02_Eingaben'!$C$10,1,0))</f>
        <v/>
      </c>
      <c r="I2890" s="17" t="str">
        <f t="shared" si="45"/>
        <v/>
      </c>
      <c r="J2890" s="17" t="str">
        <f>IF(B2890="","",IF(B2889&lt;'02_Eingaben'!$C$36,0,J2889+I2889/'02_Eingaben'!$C$8))</f>
        <v/>
      </c>
    </row>
    <row r="2891" spans="1:10" x14ac:dyDescent="0.25">
      <c r="A2891" t="str">
        <f>IF('01_Rohdaten'!A2891="","",ROW()-1)</f>
        <v/>
      </c>
      <c r="B2891" s="17" t="str">
        <f>IF('01_Rohdaten'!A2891="","",'01_Rohdaten'!A2891)</f>
        <v/>
      </c>
      <c r="C2891" s="17" t="str">
        <f>IF(B2891="","",INDEX('01_Rohdaten'!B2891:D2891,'02_Eingaben'!$C$13))</f>
        <v/>
      </c>
      <c r="D2891" s="17" t="str">
        <f>IF(C2891="","",C2891*'02_Eingaben'!$C$15)</f>
        <v/>
      </c>
      <c r="E2891" s="17" t="str">
        <f>IF(D2891="","",D2891*'02_Eingaben'!$C$8)</f>
        <v/>
      </c>
      <c r="F2891" s="17" t="str">
        <f>IF(E2891="","",AVERAGE(INDEX($E$2:$E$3001,MAX(1,ROW()-1-'02_Eingaben'!$C$17)):INDEX($E$2:$E$3001,MIN('02_Eingaben'!$C$21,ROW()-1+'02_Eingaben'!$C$17))))</f>
        <v/>
      </c>
      <c r="G2891" s="17" t="str">
        <f>IF(F2891="","",F2891-'02_Eingaben'!$C$10)</f>
        <v/>
      </c>
      <c r="H2891" t="str">
        <f>IF(F2891="","",IF(F2891&lt;'02_Eingaben'!$C$18*'02_Eingaben'!$C$10,1,0))</f>
        <v/>
      </c>
      <c r="I2891" s="17" t="str">
        <f t="shared" si="45"/>
        <v/>
      </c>
      <c r="J2891" s="17" t="str">
        <f>IF(B2891="","",IF(B2890&lt;'02_Eingaben'!$C$36,0,J2890+I2890/'02_Eingaben'!$C$8))</f>
        <v/>
      </c>
    </row>
    <row r="2892" spans="1:10" x14ac:dyDescent="0.25">
      <c r="A2892" t="str">
        <f>IF('01_Rohdaten'!A2892="","",ROW()-1)</f>
        <v/>
      </c>
      <c r="B2892" s="17" t="str">
        <f>IF('01_Rohdaten'!A2892="","",'01_Rohdaten'!A2892)</f>
        <v/>
      </c>
      <c r="C2892" s="17" t="str">
        <f>IF(B2892="","",INDEX('01_Rohdaten'!B2892:D2892,'02_Eingaben'!$C$13))</f>
        <v/>
      </c>
      <c r="D2892" s="17" t="str">
        <f>IF(C2892="","",C2892*'02_Eingaben'!$C$15)</f>
        <v/>
      </c>
      <c r="E2892" s="17" t="str">
        <f>IF(D2892="","",D2892*'02_Eingaben'!$C$8)</f>
        <v/>
      </c>
      <c r="F2892" s="17" t="str">
        <f>IF(E2892="","",AVERAGE(INDEX($E$2:$E$3001,MAX(1,ROW()-1-'02_Eingaben'!$C$17)):INDEX($E$2:$E$3001,MIN('02_Eingaben'!$C$21,ROW()-1+'02_Eingaben'!$C$17))))</f>
        <v/>
      </c>
      <c r="G2892" s="17" t="str">
        <f>IF(F2892="","",F2892-'02_Eingaben'!$C$10)</f>
        <v/>
      </c>
      <c r="H2892" t="str">
        <f>IF(F2892="","",IF(F2892&lt;'02_Eingaben'!$C$18*'02_Eingaben'!$C$10,1,0))</f>
        <v/>
      </c>
      <c r="I2892" s="17" t="str">
        <f t="shared" si="45"/>
        <v/>
      </c>
      <c r="J2892" s="17" t="str">
        <f>IF(B2892="","",IF(B2891&lt;'02_Eingaben'!$C$36,0,J2891+I2891/'02_Eingaben'!$C$8))</f>
        <v/>
      </c>
    </row>
    <row r="2893" spans="1:10" x14ac:dyDescent="0.25">
      <c r="A2893" t="str">
        <f>IF('01_Rohdaten'!A2893="","",ROW()-1)</f>
        <v/>
      </c>
      <c r="B2893" s="17" t="str">
        <f>IF('01_Rohdaten'!A2893="","",'01_Rohdaten'!A2893)</f>
        <v/>
      </c>
      <c r="C2893" s="17" t="str">
        <f>IF(B2893="","",INDEX('01_Rohdaten'!B2893:D2893,'02_Eingaben'!$C$13))</f>
        <v/>
      </c>
      <c r="D2893" s="17" t="str">
        <f>IF(C2893="","",C2893*'02_Eingaben'!$C$15)</f>
        <v/>
      </c>
      <c r="E2893" s="17" t="str">
        <f>IF(D2893="","",D2893*'02_Eingaben'!$C$8)</f>
        <v/>
      </c>
      <c r="F2893" s="17" t="str">
        <f>IF(E2893="","",AVERAGE(INDEX($E$2:$E$3001,MAX(1,ROW()-1-'02_Eingaben'!$C$17)):INDEX($E$2:$E$3001,MIN('02_Eingaben'!$C$21,ROW()-1+'02_Eingaben'!$C$17))))</f>
        <v/>
      </c>
      <c r="G2893" s="17" t="str">
        <f>IF(F2893="","",F2893-'02_Eingaben'!$C$10)</f>
        <v/>
      </c>
      <c r="H2893" t="str">
        <f>IF(F2893="","",IF(F2893&lt;'02_Eingaben'!$C$18*'02_Eingaben'!$C$10,1,0))</f>
        <v/>
      </c>
      <c r="I2893" s="17" t="str">
        <f t="shared" si="45"/>
        <v/>
      </c>
      <c r="J2893" s="17" t="str">
        <f>IF(B2893="","",IF(B2892&lt;'02_Eingaben'!$C$36,0,J2892+I2892/'02_Eingaben'!$C$8))</f>
        <v/>
      </c>
    </row>
    <row r="2894" spans="1:10" x14ac:dyDescent="0.25">
      <c r="A2894" t="str">
        <f>IF('01_Rohdaten'!A2894="","",ROW()-1)</f>
        <v/>
      </c>
      <c r="B2894" s="17" t="str">
        <f>IF('01_Rohdaten'!A2894="","",'01_Rohdaten'!A2894)</f>
        <v/>
      </c>
      <c r="C2894" s="17" t="str">
        <f>IF(B2894="","",INDEX('01_Rohdaten'!B2894:D2894,'02_Eingaben'!$C$13))</f>
        <v/>
      </c>
      <c r="D2894" s="17" t="str">
        <f>IF(C2894="","",C2894*'02_Eingaben'!$C$15)</f>
        <v/>
      </c>
      <c r="E2894" s="17" t="str">
        <f>IF(D2894="","",D2894*'02_Eingaben'!$C$8)</f>
        <v/>
      </c>
      <c r="F2894" s="17" t="str">
        <f>IF(E2894="","",AVERAGE(INDEX($E$2:$E$3001,MAX(1,ROW()-1-'02_Eingaben'!$C$17)):INDEX($E$2:$E$3001,MIN('02_Eingaben'!$C$21,ROW()-1+'02_Eingaben'!$C$17))))</f>
        <v/>
      </c>
      <c r="G2894" s="17" t="str">
        <f>IF(F2894="","",F2894-'02_Eingaben'!$C$10)</f>
        <v/>
      </c>
      <c r="H2894" t="str">
        <f>IF(F2894="","",IF(F2894&lt;'02_Eingaben'!$C$18*'02_Eingaben'!$C$10,1,0))</f>
        <v/>
      </c>
      <c r="I2894" s="17" t="str">
        <f t="shared" si="45"/>
        <v/>
      </c>
      <c r="J2894" s="17" t="str">
        <f>IF(B2894="","",IF(B2893&lt;'02_Eingaben'!$C$36,0,J2893+I2893/'02_Eingaben'!$C$8))</f>
        <v/>
      </c>
    </row>
    <row r="2895" spans="1:10" x14ac:dyDescent="0.25">
      <c r="A2895" t="str">
        <f>IF('01_Rohdaten'!A2895="","",ROW()-1)</f>
        <v/>
      </c>
      <c r="B2895" s="17" t="str">
        <f>IF('01_Rohdaten'!A2895="","",'01_Rohdaten'!A2895)</f>
        <v/>
      </c>
      <c r="C2895" s="17" t="str">
        <f>IF(B2895="","",INDEX('01_Rohdaten'!B2895:D2895,'02_Eingaben'!$C$13))</f>
        <v/>
      </c>
      <c r="D2895" s="17" t="str">
        <f>IF(C2895="","",C2895*'02_Eingaben'!$C$15)</f>
        <v/>
      </c>
      <c r="E2895" s="17" t="str">
        <f>IF(D2895="","",D2895*'02_Eingaben'!$C$8)</f>
        <v/>
      </c>
      <c r="F2895" s="17" t="str">
        <f>IF(E2895="","",AVERAGE(INDEX($E$2:$E$3001,MAX(1,ROW()-1-'02_Eingaben'!$C$17)):INDEX($E$2:$E$3001,MIN('02_Eingaben'!$C$21,ROW()-1+'02_Eingaben'!$C$17))))</f>
        <v/>
      </c>
      <c r="G2895" s="17" t="str">
        <f>IF(F2895="","",F2895-'02_Eingaben'!$C$10)</f>
        <v/>
      </c>
      <c r="H2895" t="str">
        <f>IF(F2895="","",IF(F2895&lt;'02_Eingaben'!$C$18*'02_Eingaben'!$C$10,1,0))</f>
        <v/>
      </c>
      <c r="I2895" s="17" t="str">
        <f t="shared" si="45"/>
        <v/>
      </c>
      <c r="J2895" s="17" t="str">
        <f>IF(B2895="","",IF(B2894&lt;'02_Eingaben'!$C$36,0,J2894+I2894/'02_Eingaben'!$C$8))</f>
        <v/>
      </c>
    </row>
    <row r="2896" spans="1:10" x14ac:dyDescent="0.25">
      <c r="A2896" t="str">
        <f>IF('01_Rohdaten'!A2896="","",ROW()-1)</f>
        <v/>
      </c>
      <c r="B2896" s="17" t="str">
        <f>IF('01_Rohdaten'!A2896="","",'01_Rohdaten'!A2896)</f>
        <v/>
      </c>
      <c r="C2896" s="17" t="str">
        <f>IF(B2896="","",INDEX('01_Rohdaten'!B2896:D2896,'02_Eingaben'!$C$13))</f>
        <v/>
      </c>
      <c r="D2896" s="17" t="str">
        <f>IF(C2896="","",C2896*'02_Eingaben'!$C$15)</f>
        <v/>
      </c>
      <c r="E2896" s="17" t="str">
        <f>IF(D2896="","",D2896*'02_Eingaben'!$C$8)</f>
        <v/>
      </c>
      <c r="F2896" s="17" t="str">
        <f>IF(E2896="","",AVERAGE(INDEX($E$2:$E$3001,MAX(1,ROW()-1-'02_Eingaben'!$C$17)):INDEX($E$2:$E$3001,MIN('02_Eingaben'!$C$21,ROW()-1+'02_Eingaben'!$C$17))))</f>
        <v/>
      </c>
      <c r="G2896" s="17" t="str">
        <f>IF(F2896="","",F2896-'02_Eingaben'!$C$10)</f>
        <v/>
      </c>
      <c r="H2896" t="str">
        <f>IF(F2896="","",IF(F2896&lt;'02_Eingaben'!$C$18*'02_Eingaben'!$C$10,1,0))</f>
        <v/>
      </c>
      <c r="I2896" s="17" t="str">
        <f t="shared" si="45"/>
        <v/>
      </c>
      <c r="J2896" s="17" t="str">
        <f>IF(B2896="","",IF(B2895&lt;'02_Eingaben'!$C$36,0,J2895+I2895/'02_Eingaben'!$C$8))</f>
        <v/>
      </c>
    </row>
    <row r="2897" spans="1:10" x14ac:dyDescent="0.25">
      <c r="A2897" t="str">
        <f>IF('01_Rohdaten'!A2897="","",ROW()-1)</f>
        <v/>
      </c>
      <c r="B2897" s="17" t="str">
        <f>IF('01_Rohdaten'!A2897="","",'01_Rohdaten'!A2897)</f>
        <v/>
      </c>
      <c r="C2897" s="17" t="str">
        <f>IF(B2897="","",INDEX('01_Rohdaten'!B2897:D2897,'02_Eingaben'!$C$13))</f>
        <v/>
      </c>
      <c r="D2897" s="17" t="str">
        <f>IF(C2897="","",C2897*'02_Eingaben'!$C$15)</f>
        <v/>
      </c>
      <c r="E2897" s="17" t="str">
        <f>IF(D2897="","",D2897*'02_Eingaben'!$C$8)</f>
        <v/>
      </c>
      <c r="F2897" s="17" t="str">
        <f>IF(E2897="","",AVERAGE(INDEX($E$2:$E$3001,MAX(1,ROW()-1-'02_Eingaben'!$C$17)):INDEX($E$2:$E$3001,MIN('02_Eingaben'!$C$21,ROW()-1+'02_Eingaben'!$C$17))))</f>
        <v/>
      </c>
      <c r="G2897" s="17" t="str">
        <f>IF(F2897="","",F2897-'02_Eingaben'!$C$10)</f>
        <v/>
      </c>
      <c r="H2897" t="str">
        <f>IF(F2897="","",IF(F2897&lt;'02_Eingaben'!$C$18*'02_Eingaben'!$C$10,1,0))</f>
        <v/>
      </c>
      <c r="I2897" s="17" t="str">
        <f t="shared" si="45"/>
        <v/>
      </c>
      <c r="J2897" s="17" t="str">
        <f>IF(B2897="","",IF(B2896&lt;'02_Eingaben'!$C$36,0,J2896+I2896/'02_Eingaben'!$C$8))</f>
        <v/>
      </c>
    </row>
    <row r="2898" spans="1:10" x14ac:dyDescent="0.25">
      <c r="A2898" t="str">
        <f>IF('01_Rohdaten'!A2898="","",ROW()-1)</f>
        <v/>
      </c>
      <c r="B2898" s="17" t="str">
        <f>IF('01_Rohdaten'!A2898="","",'01_Rohdaten'!A2898)</f>
        <v/>
      </c>
      <c r="C2898" s="17" t="str">
        <f>IF(B2898="","",INDEX('01_Rohdaten'!B2898:D2898,'02_Eingaben'!$C$13))</f>
        <v/>
      </c>
      <c r="D2898" s="17" t="str">
        <f>IF(C2898="","",C2898*'02_Eingaben'!$C$15)</f>
        <v/>
      </c>
      <c r="E2898" s="17" t="str">
        <f>IF(D2898="","",D2898*'02_Eingaben'!$C$8)</f>
        <v/>
      </c>
      <c r="F2898" s="17" t="str">
        <f>IF(E2898="","",AVERAGE(INDEX($E$2:$E$3001,MAX(1,ROW()-1-'02_Eingaben'!$C$17)):INDEX($E$2:$E$3001,MIN('02_Eingaben'!$C$21,ROW()-1+'02_Eingaben'!$C$17))))</f>
        <v/>
      </c>
      <c r="G2898" s="17" t="str">
        <f>IF(F2898="","",F2898-'02_Eingaben'!$C$10)</f>
        <v/>
      </c>
      <c r="H2898" t="str">
        <f>IF(F2898="","",IF(F2898&lt;'02_Eingaben'!$C$18*'02_Eingaben'!$C$10,1,0))</f>
        <v/>
      </c>
      <c r="I2898" s="17" t="str">
        <f t="shared" si="45"/>
        <v/>
      </c>
      <c r="J2898" s="17" t="str">
        <f>IF(B2898="","",IF(B2897&lt;'02_Eingaben'!$C$36,0,J2897+I2897/'02_Eingaben'!$C$8))</f>
        <v/>
      </c>
    </row>
    <row r="2899" spans="1:10" x14ac:dyDescent="0.25">
      <c r="A2899" t="str">
        <f>IF('01_Rohdaten'!A2899="","",ROW()-1)</f>
        <v/>
      </c>
      <c r="B2899" s="17" t="str">
        <f>IF('01_Rohdaten'!A2899="","",'01_Rohdaten'!A2899)</f>
        <v/>
      </c>
      <c r="C2899" s="17" t="str">
        <f>IF(B2899="","",INDEX('01_Rohdaten'!B2899:D2899,'02_Eingaben'!$C$13))</f>
        <v/>
      </c>
      <c r="D2899" s="17" t="str">
        <f>IF(C2899="","",C2899*'02_Eingaben'!$C$15)</f>
        <v/>
      </c>
      <c r="E2899" s="17" t="str">
        <f>IF(D2899="","",D2899*'02_Eingaben'!$C$8)</f>
        <v/>
      </c>
      <c r="F2899" s="17" t="str">
        <f>IF(E2899="","",AVERAGE(INDEX($E$2:$E$3001,MAX(1,ROW()-1-'02_Eingaben'!$C$17)):INDEX($E$2:$E$3001,MIN('02_Eingaben'!$C$21,ROW()-1+'02_Eingaben'!$C$17))))</f>
        <v/>
      </c>
      <c r="G2899" s="17" t="str">
        <f>IF(F2899="","",F2899-'02_Eingaben'!$C$10)</f>
        <v/>
      </c>
      <c r="H2899" t="str">
        <f>IF(F2899="","",IF(F2899&lt;'02_Eingaben'!$C$18*'02_Eingaben'!$C$10,1,0))</f>
        <v/>
      </c>
      <c r="I2899" s="17" t="str">
        <f t="shared" si="45"/>
        <v/>
      </c>
      <c r="J2899" s="17" t="str">
        <f>IF(B2899="","",IF(B2898&lt;'02_Eingaben'!$C$36,0,J2898+I2898/'02_Eingaben'!$C$8))</f>
        <v/>
      </c>
    </row>
    <row r="2900" spans="1:10" x14ac:dyDescent="0.25">
      <c r="A2900" t="str">
        <f>IF('01_Rohdaten'!A2900="","",ROW()-1)</f>
        <v/>
      </c>
      <c r="B2900" s="17" t="str">
        <f>IF('01_Rohdaten'!A2900="","",'01_Rohdaten'!A2900)</f>
        <v/>
      </c>
      <c r="C2900" s="17" t="str">
        <f>IF(B2900="","",INDEX('01_Rohdaten'!B2900:D2900,'02_Eingaben'!$C$13))</f>
        <v/>
      </c>
      <c r="D2900" s="17" t="str">
        <f>IF(C2900="","",C2900*'02_Eingaben'!$C$15)</f>
        <v/>
      </c>
      <c r="E2900" s="17" t="str">
        <f>IF(D2900="","",D2900*'02_Eingaben'!$C$8)</f>
        <v/>
      </c>
      <c r="F2900" s="17" t="str">
        <f>IF(E2900="","",AVERAGE(INDEX($E$2:$E$3001,MAX(1,ROW()-1-'02_Eingaben'!$C$17)):INDEX($E$2:$E$3001,MIN('02_Eingaben'!$C$21,ROW()-1+'02_Eingaben'!$C$17))))</f>
        <v/>
      </c>
      <c r="G2900" s="17" t="str">
        <f>IF(F2900="","",F2900-'02_Eingaben'!$C$10)</f>
        <v/>
      </c>
      <c r="H2900" t="str">
        <f>IF(F2900="","",IF(F2900&lt;'02_Eingaben'!$C$18*'02_Eingaben'!$C$10,1,0))</f>
        <v/>
      </c>
      <c r="I2900" s="17" t="str">
        <f t="shared" si="45"/>
        <v/>
      </c>
      <c r="J2900" s="17" t="str">
        <f>IF(B2900="","",IF(B2899&lt;'02_Eingaben'!$C$36,0,J2899+I2899/'02_Eingaben'!$C$8))</f>
        <v/>
      </c>
    </row>
    <row r="2901" spans="1:10" x14ac:dyDescent="0.25">
      <c r="A2901" t="str">
        <f>IF('01_Rohdaten'!A2901="","",ROW()-1)</f>
        <v/>
      </c>
      <c r="B2901" s="17" t="str">
        <f>IF('01_Rohdaten'!A2901="","",'01_Rohdaten'!A2901)</f>
        <v/>
      </c>
      <c r="C2901" s="17" t="str">
        <f>IF(B2901="","",INDEX('01_Rohdaten'!B2901:D2901,'02_Eingaben'!$C$13))</f>
        <v/>
      </c>
      <c r="D2901" s="17" t="str">
        <f>IF(C2901="","",C2901*'02_Eingaben'!$C$15)</f>
        <v/>
      </c>
      <c r="E2901" s="17" t="str">
        <f>IF(D2901="","",D2901*'02_Eingaben'!$C$8)</f>
        <v/>
      </c>
      <c r="F2901" s="17" t="str">
        <f>IF(E2901="","",AVERAGE(INDEX($E$2:$E$3001,MAX(1,ROW()-1-'02_Eingaben'!$C$17)):INDEX($E$2:$E$3001,MIN('02_Eingaben'!$C$21,ROW()-1+'02_Eingaben'!$C$17))))</f>
        <v/>
      </c>
      <c r="G2901" s="17" t="str">
        <f>IF(F2901="","",F2901-'02_Eingaben'!$C$10)</f>
        <v/>
      </c>
      <c r="H2901" t="str">
        <f>IF(F2901="","",IF(F2901&lt;'02_Eingaben'!$C$18*'02_Eingaben'!$C$10,1,0))</f>
        <v/>
      </c>
      <c r="I2901" s="17" t="str">
        <f t="shared" si="45"/>
        <v/>
      </c>
      <c r="J2901" s="17" t="str">
        <f>IF(B2901="","",IF(B2900&lt;'02_Eingaben'!$C$36,0,J2900+I2900/'02_Eingaben'!$C$8))</f>
        <v/>
      </c>
    </row>
    <row r="2902" spans="1:10" x14ac:dyDescent="0.25">
      <c r="A2902" t="str">
        <f>IF('01_Rohdaten'!A2902="","",ROW()-1)</f>
        <v/>
      </c>
      <c r="B2902" s="17" t="str">
        <f>IF('01_Rohdaten'!A2902="","",'01_Rohdaten'!A2902)</f>
        <v/>
      </c>
      <c r="C2902" s="17" t="str">
        <f>IF(B2902="","",INDEX('01_Rohdaten'!B2902:D2902,'02_Eingaben'!$C$13))</f>
        <v/>
      </c>
      <c r="D2902" s="17" t="str">
        <f>IF(C2902="","",C2902*'02_Eingaben'!$C$15)</f>
        <v/>
      </c>
      <c r="E2902" s="17" t="str">
        <f>IF(D2902="","",D2902*'02_Eingaben'!$C$8)</f>
        <v/>
      </c>
      <c r="F2902" s="17" t="str">
        <f>IF(E2902="","",AVERAGE(INDEX($E$2:$E$3001,MAX(1,ROW()-1-'02_Eingaben'!$C$17)):INDEX($E$2:$E$3001,MIN('02_Eingaben'!$C$21,ROW()-1+'02_Eingaben'!$C$17))))</f>
        <v/>
      </c>
      <c r="G2902" s="17" t="str">
        <f>IF(F2902="","",F2902-'02_Eingaben'!$C$10)</f>
        <v/>
      </c>
      <c r="H2902" t="str">
        <f>IF(F2902="","",IF(F2902&lt;'02_Eingaben'!$C$18*'02_Eingaben'!$C$10,1,0))</f>
        <v/>
      </c>
      <c r="I2902" s="17" t="str">
        <f t="shared" si="45"/>
        <v/>
      </c>
      <c r="J2902" s="17" t="str">
        <f>IF(B2902="","",IF(B2901&lt;'02_Eingaben'!$C$36,0,J2901+I2901/'02_Eingaben'!$C$8))</f>
        <v/>
      </c>
    </row>
    <row r="2903" spans="1:10" x14ac:dyDescent="0.25">
      <c r="A2903" t="str">
        <f>IF('01_Rohdaten'!A2903="","",ROW()-1)</f>
        <v/>
      </c>
      <c r="B2903" s="17" t="str">
        <f>IF('01_Rohdaten'!A2903="","",'01_Rohdaten'!A2903)</f>
        <v/>
      </c>
      <c r="C2903" s="17" t="str">
        <f>IF(B2903="","",INDEX('01_Rohdaten'!B2903:D2903,'02_Eingaben'!$C$13))</f>
        <v/>
      </c>
      <c r="D2903" s="17" t="str">
        <f>IF(C2903="","",C2903*'02_Eingaben'!$C$15)</f>
        <v/>
      </c>
      <c r="E2903" s="17" t="str">
        <f>IF(D2903="","",D2903*'02_Eingaben'!$C$8)</f>
        <v/>
      </c>
      <c r="F2903" s="17" t="str">
        <f>IF(E2903="","",AVERAGE(INDEX($E$2:$E$3001,MAX(1,ROW()-1-'02_Eingaben'!$C$17)):INDEX($E$2:$E$3001,MIN('02_Eingaben'!$C$21,ROW()-1+'02_Eingaben'!$C$17))))</f>
        <v/>
      </c>
      <c r="G2903" s="17" t="str">
        <f>IF(F2903="","",F2903-'02_Eingaben'!$C$10)</f>
        <v/>
      </c>
      <c r="H2903" t="str">
        <f>IF(F2903="","",IF(F2903&lt;'02_Eingaben'!$C$18*'02_Eingaben'!$C$10,1,0))</f>
        <v/>
      </c>
      <c r="I2903" s="17" t="str">
        <f t="shared" si="45"/>
        <v/>
      </c>
      <c r="J2903" s="17" t="str">
        <f>IF(B2903="","",IF(B2902&lt;'02_Eingaben'!$C$36,0,J2902+I2902/'02_Eingaben'!$C$8))</f>
        <v/>
      </c>
    </row>
    <row r="2904" spans="1:10" x14ac:dyDescent="0.25">
      <c r="A2904" t="str">
        <f>IF('01_Rohdaten'!A2904="","",ROW()-1)</f>
        <v/>
      </c>
      <c r="B2904" s="17" t="str">
        <f>IF('01_Rohdaten'!A2904="","",'01_Rohdaten'!A2904)</f>
        <v/>
      </c>
      <c r="C2904" s="17" t="str">
        <f>IF(B2904="","",INDEX('01_Rohdaten'!B2904:D2904,'02_Eingaben'!$C$13))</f>
        <v/>
      </c>
      <c r="D2904" s="17" t="str">
        <f>IF(C2904="","",C2904*'02_Eingaben'!$C$15)</f>
        <v/>
      </c>
      <c r="E2904" s="17" t="str">
        <f>IF(D2904="","",D2904*'02_Eingaben'!$C$8)</f>
        <v/>
      </c>
      <c r="F2904" s="17" t="str">
        <f>IF(E2904="","",AVERAGE(INDEX($E$2:$E$3001,MAX(1,ROW()-1-'02_Eingaben'!$C$17)):INDEX($E$2:$E$3001,MIN('02_Eingaben'!$C$21,ROW()-1+'02_Eingaben'!$C$17))))</f>
        <v/>
      </c>
      <c r="G2904" s="17" t="str">
        <f>IF(F2904="","",F2904-'02_Eingaben'!$C$10)</f>
        <v/>
      </c>
      <c r="H2904" t="str">
        <f>IF(F2904="","",IF(F2904&lt;'02_Eingaben'!$C$18*'02_Eingaben'!$C$10,1,0))</f>
        <v/>
      </c>
      <c r="I2904" s="17" t="str">
        <f t="shared" si="45"/>
        <v/>
      </c>
      <c r="J2904" s="17" t="str">
        <f>IF(B2904="","",IF(B2903&lt;'02_Eingaben'!$C$36,0,J2903+I2903/'02_Eingaben'!$C$8))</f>
        <v/>
      </c>
    </row>
    <row r="2905" spans="1:10" x14ac:dyDescent="0.25">
      <c r="A2905" t="str">
        <f>IF('01_Rohdaten'!A2905="","",ROW()-1)</f>
        <v/>
      </c>
      <c r="B2905" s="17" t="str">
        <f>IF('01_Rohdaten'!A2905="","",'01_Rohdaten'!A2905)</f>
        <v/>
      </c>
      <c r="C2905" s="17" t="str">
        <f>IF(B2905="","",INDEX('01_Rohdaten'!B2905:D2905,'02_Eingaben'!$C$13))</f>
        <v/>
      </c>
      <c r="D2905" s="17" t="str">
        <f>IF(C2905="","",C2905*'02_Eingaben'!$C$15)</f>
        <v/>
      </c>
      <c r="E2905" s="17" t="str">
        <f>IF(D2905="","",D2905*'02_Eingaben'!$C$8)</f>
        <v/>
      </c>
      <c r="F2905" s="17" t="str">
        <f>IF(E2905="","",AVERAGE(INDEX($E$2:$E$3001,MAX(1,ROW()-1-'02_Eingaben'!$C$17)):INDEX($E$2:$E$3001,MIN('02_Eingaben'!$C$21,ROW()-1+'02_Eingaben'!$C$17))))</f>
        <v/>
      </c>
      <c r="G2905" s="17" t="str">
        <f>IF(F2905="","",F2905-'02_Eingaben'!$C$10)</f>
        <v/>
      </c>
      <c r="H2905" t="str">
        <f>IF(F2905="","",IF(F2905&lt;'02_Eingaben'!$C$18*'02_Eingaben'!$C$10,1,0))</f>
        <v/>
      </c>
      <c r="I2905" s="17" t="str">
        <f t="shared" si="45"/>
        <v/>
      </c>
      <c r="J2905" s="17" t="str">
        <f>IF(B2905="","",IF(B2904&lt;'02_Eingaben'!$C$36,0,J2904+I2904/'02_Eingaben'!$C$8))</f>
        <v/>
      </c>
    </row>
    <row r="2906" spans="1:10" x14ac:dyDescent="0.25">
      <c r="A2906" t="str">
        <f>IF('01_Rohdaten'!A2906="","",ROW()-1)</f>
        <v/>
      </c>
      <c r="B2906" s="17" t="str">
        <f>IF('01_Rohdaten'!A2906="","",'01_Rohdaten'!A2906)</f>
        <v/>
      </c>
      <c r="C2906" s="17" t="str">
        <f>IF(B2906="","",INDEX('01_Rohdaten'!B2906:D2906,'02_Eingaben'!$C$13))</f>
        <v/>
      </c>
      <c r="D2906" s="17" t="str">
        <f>IF(C2906="","",C2906*'02_Eingaben'!$C$15)</f>
        <v/>
      </c>
      <c r="E2906" s="17" t="str">
        <f>IF(D2906="","",D2906*'02_Eingaben'!$C$8)</f>
        <v/>
      </c>
      <c r="F2906" s="17" t="str">
        <f>IF(E2906="","",AVERAGE(INDEX($E$2:$E$3001,MAX(1,ROW()-1-'02_Eingaben'!$C$17)):INDEX($E$2:$E$3001,MIN('02_Eingaben'!$C$21,ROW()-1+'02_Eingaben'!$C$17))))</f>
        <v/>
      </c>
      <c r="G2906" s="17" t="str">
        <f>IF(F2906="","",F2906-'02_Eingaben'!$C$10)</f>
        <v/>
      </c>
      <c r="H2906" t="str">
        <f>IF(F2906="","",IF(F2906&lt;'02_Eingaben'!$C$18*'02_Eingaben'!$C$10,1,0))</f>
        <v/>
      </c>
      <c r="I2906" s="17" t="str">
        <f t="shared" si="45"/>
        <v/>
      </c>
      <c r="J2906" s="17" t="str">
        <f>IF(B2906="","",IF(B2905&lt;'02_Eingaben'!$C$36,0,J2905+I2905/'02_Eingaben'!$C$8))</f>
        <v/>
      </c>
    </row>
    <row r="2907" spans="1:10" x14ac:dyDescent="0.25">
      <c r="A2907" t="str">
        <f>IF('01_Rohdaten'!A2907="","",ROW()-1)</f>
        <v/>
      </c>
      <c r="B2907" s="17" t="str">
        <f>IF('01_Rohdaten'!A2907="","",'01_Rohdaten'!A2907)</f>
        <v/>
      </c>
      <c r="C2907" s="17" t="str">
        <f>IF(B2907="","",INDEX('01_Rohdaten'!B2907:D2907,'02_Eingaben'!$C$13))</f>
        <v/>
      </c>
      <c r="D2907" s="17" t="str">
        <f>IF(C2907="","",C2907*'02_Eingaben'!$C$15)</f>
        <v/>
      </c>
      <c r="E2907" s="17" t="str">
        <f>IF(D2907="","",D2907*'02_Eingaben'!$C$8)</f>
        <v/>
      </c>
      <c r="F2907" s="17" t="str">
        <f>IF(E2907="","",AVERAGE(INDEX($E$2:$E$3001,MAX(1,ROW()-1-'02_Eingaben'!$C$17)):INDEX($E$2:$E$3001,MIN('02_Eingaben'!$C$21,ROW()-1+'02_Eingaben'!$C$17))))</f>
        <v/>
      </c>
      <c r="G2907" s="17" t="str">
        <f>IF(F2907="","",F2907-'02_Eingaben'!$C$10)</f>
        <v/>
      </c>
      <c r="H2907" t="str">
        <f>IF(F2907="","",IF(F2907&lt;'02_Eingaben'!$C$18*'02_Eingaben'!$C$10,1,0))</f>
        <v/>
      </c>
      <c r="I2907" s="17" t="str">
        <f t="shared" si="45"/>
        <v/>
      </c>
      <c r="J2907" s="17" t="str">
        <f>IF(B2907="","",IF(B2906&lt;'02_Eingaben'!$C$36,0,J2906+I2906/'02_Eingaben'!$C$8))</f>
        <v/>
      </c>
    </row>
    <row r="2908" spans="1:10" x14ac:dyDescent="0.25">
      <c r="A2908" t="str">
        <f>IF('01_Rohdaten'!A2908="","",ROW()-1)</f>
        <v/>
      </c>
      <c r="B2908" s="17" t="str">
        <f>IF('01_Rohdaten'!A2908="","",'01_Rohdaten'!A2908)</f>
        <v/>
      </c>
      <c r="C2908" s="17" t="str">
        <f>IF(B2908="","",INDEX('01_Rohdaten'!B2908:D2908,'02_Eingaben'!$C$13))</f>
        <v/>
      </c>
      <c r="D2908" s="17" t="str">
        <f>IF(C2908="","",C2908*'02_Eingaben'!$C$15)</f>
        <v/>
      </c>
      <c r="E2908" s="17" t="str">
        <f>IF(D2908="","",D2908*'02_Eingaben'!$C$8)</f>
        <v/>
      </c>
      <c r="F2908" s="17" t="str">
        <f>IF(E2908="","",AVERAGE(INDEX($E$2:$E$3001,MAX(1,ROW()-1-'02_Eingaben'!$C$17)):INDEX($E$2:$E$3001,MIN('02_Eingaben'!$C$21,ROW()-1+'02_Eingaben'!$C$17))))</f>
        <v/>
      </c>
      <c r="G2908" s="17" t="str">
        <f>IF(F2908="","",F2908-'02_Eingaben'!$C$10)</f>
        <v/>
      </c>
      <c r="H2908" t="str">
        <f>IF(F2908="","",IF(F2908&lt;'02_Eingaben'!$C$18*'02_Eingaben'!$C$10,1,0))</f>
        <v/>
      </c>
      <c r="I2908" s="17" t="str">
        <f t="shared" si="45"/>
        <v/>
      </c>
      <c r="J2908" s="17" t="str">
        <f>IF(B2908="","",IF(B2907&lt;'02_Eingaben'!$C$36,0,J2907+I2907/'02_Eingaben'!$C$8))</f>
        <v/>
      </c>
    </row>
    <row r="2909" spans="1:10" x14ac:dyDescent="0.25">
      <c r="A2909" t="str">
        <f>IF('01_Rohdaten'!A2909="","",ROW()-1)</f>
        <v/>
      </c>
      <c r="B2909" s="17" t="str">
        <f>IF('01_Rohdaten'!A2909="","",'01_Rohdaten'!A2909)</f>
        <v/>
      </c>
      <c r="C2909" s="17" t="str">
        <f>IF(B2909="","",INDEX('01_Rohdaten'!B2909:D2909,'02_Eingaben'!$C$13))</f>
        <v/>
      </c>
      <c r="D2909" s="17" t="str">
        <f>IF(C2909="","",C2909*'02_Eingaben'!$C$15)</f>
        <v/>
      </c>
      <c r="E2909" s="17" t="str">
        <f>IF(D2909="","",D2909*'02_Eingaben'!$C$8)</f>
        <v/>
      </c>
      <c r="F2909" s="17" t="str">
        <f>IF(E2909="","",AVERAGE(INDEX($E$2:$E$3001,MAX(1,ROW()-1-'02_Eingaben'!$C$17)):INDEX($E$2:$E$3001,MIN('02_Eingaben'!$C$21,ROW()-1+'02_Eingaben'!$C$17))))</f>
        <v/>
      </c>
      <c r="G2909" s="17" t="str">
        <f>IF(F2909="","",F2909-'02_Eingaben'!$C$10)</f>
        <v/>
      </c>
      <c r="H2909" t="str">
        <f>IF(F2909="","",IF(F2909&lt;'02_Eingaben'!$C$18*'02_Eingaben'!$C$10,1,0))</f>
        <v/>
      </c>
      <c r="I2909" s="17" t="str">
        <f t="shared" si="45"/>
        <v/>
      </c>
      <c r="J2909" s="17" t="str">
        <f>IF(B2909="","",IF(B2908&lt;'02_Eingaben'!$C$36,0,J2908+I2908/'02_Eingaben'!$C$8))</f>
        <v/>
      </c>
    </row>
    <row r="2910" spans="1:10" x14ac:dyDescent="0.25">
      <c r="A2910" t="str">
        <f>IF('01_Rohdaten'!A2910="","",ROW()-1)</f>
        <v/>
      </c>
      <c r="B2910" s="17" t="str">
        <f>IF('01_Rohdaten'!A2910="","",'01_Rohdaten'!A2910)</f>
        <v/>
      </c>
      <c r="C2910" s="17" t="str">
        <f>IF(B2910="","",INDEX('01_Rohdaten'!B2910:D2910,'02_Eingaben'!$C$13))</f>
        <v/>
      </c>
      <c r="D2910" s="17" t="str">
        <f>IF(C2910="","",C2910*'02_Eingaben'!$C$15)</f>
        <v/>
      </c>
      <c r="E2910" s="17" t="str">
        <f>IF(D2910="","",D2910*'02_Eingaben'!$C$8)</f>
        <v/>
      </c>
      <c r="F2910" s="17" t="str">
        <f>IF(E2910="","",AVERAGE(INDEX($E$2:$E$3001,MAX(1,ROW()-1-'02_Eingaben'!$C$17)):INDEX($E$2:$E$3001,MIN('02_Eingaben'!$C$21,ROW()-1+'02_Eingaben'!$C$17))))</f>
        <v/>
      </c>
      <c r="G2910" s="17" t="str">
        <f>IF(F2910="","",F2910-'02_Eingaben'!$C$10)</f>
        <v/>
      </c>
      <c r="H2910" t="str">
        <f>IF(F2910="","",IF(F2910&lt;'02_Eingaben'!$C$18*'02_Eingaben'!$C$10,1,0))</f>
        <v/>
      </c>
      <c r="I2910" s="17" t="str">
        <f t="shared" si="45"/>
        <v/>
      </c>
      <c r="J2910" s="17" t="str">
        <f>IF(B2910="","",IF(B2909&lt;'02_Eingaben'!$C$36,0,J2909+I2909/'02_Eingaben'!$C$8))</f>
        <v/>
      </c>
    </row>
    <row r="2911" spans="1:10" x14ac:dyDescent="0.25">
      <c r="A2911" t="str">
        <f>IF('01_Rohdaten'!A2911="","",ROW()-1)</f>
        <v/>
      </c>
      <c r="B2911" s="17" t="str">
        <f>IF('01_Rohdaten'!A2911="","",'01_Rohdaten'!A2911)</f>
        <v/>
      </c>
      <c r="C2911" s="17" t="str">
        <f>IF(B2911="","",INDEX('01_Rohdaten'!B2911:D2911,'02_Eingaben'!$C$13))</f>
        <v/>
      </c>
      <c r="D2911" s="17" t="str">
        <f>IF(C2911="","",C2911*'02_Eingaben'!$C$15)</f>
        <v/>
      </c>
      <c r="E2911" s="17" t="str">
        <f>IF(D2911="","",D2911*'02_Eingaben'!$C$8)</f>
        <v/>
      </c>
      <c r="F2911" s="17" t="str">
        <f>IF(E2911="","",AVERAGE(INDEX($E$2:$E$3001,MAX(1,ROW()-1-'02_Eingaben'!$C$17)):INDEX($E$2:$E$3001,MIN('02_Eingaben'!$C$21,ROW()-1+'02_Eingaben'!$C$17))))</f>
        <v/>
      </c>
      <c r="G2911" s="17" t="str">
        <f>IF(F2911="","",F2911-'02_Eingaben'!$C$10)</f>
        <v/>
      </c>
      <c r="H2911" t="str">
        <f>IF(F2911="","",IF(F2911&lt;'02_Eingaben'!$C$18*'02_Eingaben'!$C$10,1,0))</f>
        <v/>
      </c>
      <c r="I2911" s="17" t="str">
        <f t="shared" si="45"/>
        <v/>
      </c>
      <c r="J2911" s="17" t="str">
        <f>IF(B2911="","",IF(B2910&lt;'02_Eingaben'!$C$36,0,J2910+I2910/'02_Eingaben'!$C$8))</f>
        <v/>
      </c>
    </row>
    <row r="2912" spans="1:10" x14ac:dyDescent="0.25">
      <c r="A2912" t="str">
        <f>IF('01_Rohdaten'!A2912="","",ROW()-1)</f>
        <v/>
      </c>
      <c r="B2912" s="17" t="str">
        <f>IF('01_Rohdaten'!A2912="","",'01_Rohdaten'!A2912)</f>
        <v/>
      </c>
      <c r="C2912" s="17" t="str">
        <f>IF(B2912="","",INDEX('01_Rohdaten'!B2912:D2912,'02_Eingaben'!$C$13))</f>
        <v/>
      </c>
      <c r="D2912" s="17" t="str">
        <f>IF(C2912="","",C2912*'02_Eingaben'!$C$15)</f>
        <v/>
      </c>
      <c r="E2912" s="17" t="str">
        <f>IF(D2912="","",D2912*'02_Eingaben'!$C$8)</f>
        <v/>
      </c>
      <c r="F2912" s="17" t="str">
        <f>IF(E2912="","",AVERAGE(INDEX($E$2:$E$3001,MAX(1,ROW()-1-'02_Eingaben'!$C$17)):INDEX($E$2:$E$3001,MIN('02_Eingaben'!$C$21,ROW()-1+'02_Eingaben'!$C$17))))</f>
        <v/>
      </c>
      <c r="G2912" s="17" t="str">
        <f>IF(F2912="","",F2912-'02_Eingaben'!$C$10)</f>
        <v/>
      </c>
      <c r="H2912" t="str">
        <f>IF(F2912="","",IF(F2912&lt;'02_Eingaben'!$C$18*'02_Eingaben'!$C$10,1,0))</f>
        <v/>
      </c>
      <c r="I2912" s="17" t="str">
        <f t="shared" si="45"/>
        <v/>
      </c>
      <c r="J2912" s="17" t="str">
        <f>IF(B2912="","",IF(B2911&lt;'02_Eingaben'!$C$36,0,J2911+I2911/'02_Eingaben'!$C$8))</f>
        <v/>
      </c>
    </row>
    <row r="2913" spans="1:10" x14ac:dyDescent="0.25">
      <c r="A2913" t="str">
        <f>IF('01_Rohdaten'!A2913="","",ROW()-1)</f>
        <v/>
      </c>
      <c r="B2913" s="17" t="str">
        <f>IF('01_Rohdaten'!A2913="","",'01_Rohdaten'!A2913)</f>
        <v/>
      </c>
      <c r="C2913" s="17" t="str">
        <f>IF(B2913="","",INDEX('01_Rohdaten'!B2913:D2913,'02_Eingaben'!$C$13))</f>
        <v/>
      </c>
      <c r="D2913" s="17" t="str">
        <f>IF(C2913="","",C2913*'02_Eingaben'!$C$15)</f>
        <v/>
      </c>
      <c r="E2913" s="17" t="str">
        <f>IF(D2913="","",D2913*'02_Eingaben'!$C$8)</f>
        <v/>
      </c>
      <c r="F2913" s="17" t="str">
        <f>IF(E2913="","",AVERAGE(INDEX($E$2:$E$3001,MAX(1,ROW()-1-'02_Eingaben'!$C$17)):INDEX($E$2:$E$3001,MIN('02_Eingaben'!$C$21,ROW()-1+'02_Eingaben'!$C$17))))</f>
        <v/>
      </c>
      <c r="G2913" s="17" t="str">
        <f>IF(F2913="","",F2913-'02_Eingaben'!$C$10)</f>
        <v/>
      </c>
      <c r="H2913" t="str">
        <f>IF(F2913="","",IF(F2913&lt;'02_Eingaben'!$C$18*'02_Eingaben'!$C$10,1,0))</f>
        <v/>
      </c>
      <c r="I2913" s="17" t="str">
        <f t="shared" si="45"/>
        <v/>
      </c>
      <c r="J2913" s="17" t="str">
        <f>IF(B2913="","",IF(B2912&lt;'02_Eingaben'!$C$36,0,J2912+I2912/'02_Eingaben'!$C$8))</f>
        <v/>
      </c>
    </row>
    <row r="2914" spans="1:10" x14ac:dyDescent="0.25">
      <c r="A2914" t="str">
        <f>IF('01_Rohdaten'!A2914="","",ROW()-1)</f>
        <v/>
      </c>
      <c r="B2914" s="17" t="str">
        <f>IF('01_Rohdaten'!A2914="","",'01_Rohdaten'!A2914)</f>
        <v/>
      </c>
      <c r="C2914" s="17" t="str">
        <f>IF(B2914="","",INDEX('01_Rohdaten'!B2914:D2914,'02_Eingaben'!$C$13))</f>
        <v/>
      </c>
      <c r="D2914" s="17" t="str">
        <f>IF(C2914="","",C2914*'02_Eingaben'!$C$15)</f>
        <v/>
      </c>
      <c r="E2914" s="17" t="str">
        <f>IF(D2914="","",D2914*'02_Eingaben'!$C$8)</f>
        <v/>
      </c>
      <c r="F2914" s="17" t="str">
        <f>IF(E2914="","",AVERAGE(INDEX($E$2:$E$3001,MAX(1,ROW()-1-'02_Eingaben'!$C$17)):INDEX($E$2:$E$3001,MIN('02_Eingaben'!$C$21,ROW()-1+'02_Eingaben'!$C$17))))</f>
        <v/>
      </c>
      <c r="G2914" s="17" t="str">
        <f>IF(F2914="","",F2914-'02_Eingaben'!$C$10)</f>
        <v/>
      </c>
      <c r="H2914" t="str">
        <f>IF(F2914="","",IF(F2914&lt;'02_Eingaben'!$C$18*'02_Eingaben'!$C$10,1,0))</f>
        <v/>
      </c>
      <c r="I2914" s="17" t="str">
        <f t="shared" si="45"/>
        <v/>
      </c>
      <c r="J2914" s="17" t="str">
        <f>IF(B2914="","",IF(B2913&lt;'02_Eingaben'!$C$36,0,J2913+I2913/'02_Eingaben'!$C$8))</f>
        <v/>
      </c>
    </row>
    <row r="2915" spans="1:10" x14ac:dyDescent="0.25">
      <c r="A2915" t="str">
        <f>IF('01_Rohdaten'!A2915="","",ROW()-1)</f>
        <v/>
      </c>
      <c r="B2915" s="17" t="str">
        <f>IF('01_Rohdaten'!A2915="","",'01_Rohdaten'!A2915)</f>
        <v/>
      </c>
      <c r="C2915" s="17" t="str">
        <f>IF(B2915="","",INDEX('01_Rohdaten'!B2915:D2915,'02_Eingaben'!$C$13))</f>
        <v/>
      </c>
      <c r="D2915" s="17" t="str">
        <f>IF(C2915="","",C2915*'02_Eingaben'!$C$15)</f>
        <v/>
      </c>
      <c r="E2915" s="17" t="str">
        <f>IF(D2915="","",D2915*'02_Eingaben'!$C$8)</f>
        <v/>
      </c>
      <c r="F2915" s="17" t="str">
        <f>IF(E2915="","",AVERAGE(INDEX($E$2:$E$3001,MAX(1,ROW()-1-'02_Eingaben'!$C$17)):INDEX($E$2:$E$3001,MIN('02_Eingaben'!$C$21,ROW()-1+'02_Eingaben'!$C$17))))</f>
        <v/>
      </c>
      <c r="G2915" s="17" t="str">
        <f>IF(F2915="","",F2915-'02_Eingaben'!$C$10)</f>
        <v/>
      </c>
      <c r="H2915" t="str">
        <f>IF(F2915="","",IF(F2915&lt;'02_Eingaben'!$C$18*'02_Eingaben'!$C$10,1,0))</f>
        <v/>
      </c>
      <c r="I2915" s="17" t="str">
        <f t="shared" si="45"/>
        <v/>
      </c>
      <c r="J2915" s="17" t="str">
        <f>IF(B2915="","",IF(B2914&lt;'02_Eingaben'!$C$36,0,J2914+I2914/'02_Eingaben'!$C$8))</f>
        <v/>
      </c>
    </row>
    <row r="2916" spans="1:10" x14ac:dyDescent="0.25">
      <c r="A2916" t="str">
        <f>IF('01_Rohdaten'!A2916="","",ROW()-1)</f>
        <v/>
      </c>
      <c r="B2916" s="17" t="str">
        <f>IF('01_Rohdaten'!A2916="","",'01_Rohdaten'!A2916)</f>
        <v/>
      </c>
      <c r="C2916" s="17" t="str">
        <f>IF(B2916="","",INDEX('01_Rohdaten'!B2916:D2916,'02_Eingaben'!$C$13))</f>
        <v/>
      </c>
      <c r="D2916" s="17" t="str">
        <f>IF(C2916="","",C2916*'02_Eingaben'!$C$15)</f>
        <v/>
      </c>
      <c r="E2916" s="17" t="str">
        <f>IF(D2916="","",D2916*'02_Eingaben'!$C$8)</f>
        <v/>
      </c>
      <c r="F2916" s="17" t="str">
        <f>IF(E2916="","",AVERAGE(INDEX($E$2:$E$3001,MAX(1,ROW()-1-'02_Eingaben'!$C$17)):INDEX($E$2:$E$3001,MIN('02_Eingaben'!$C$21,ROW()-1+'02_Eingaben'!$C$17))))</f>
        <v/>
      </c>
      <c r="G2916" s="17" t="str">
        <f>IF(F2916="","",F2916-'02_Eingaben'!$C$10)</f>
        <v/>
      </c>
      <c r="H2916" t="str">
        <f>IF(F2916="","",IF(F2916&lt;'02_Eingaben'!$C$18*'02_Eingaben'!$C$10,1,0))</f>
        <v/>
      </c>
      <c r="I2916" s="17" t="str">
        <f t="shared" si="45"/>
        <v/>
      </c>
      <c r="J2916" s="17" t="str">
        <f>IF(B2916="","",IF(B2915&lt;'02_Eingaben'!$C$36,0,J2915+I2915/'02_Eingaben'!$C$8))</f>
        <v/>
      </c>
    </row>
    <row r="2917" spans="1:10" x14ac:dyDescent="0.25">
      <c r="A2917" t="str">
        <f>IF('01_Rohdaten'!A2917="","",ROW()-1)</f>
        <v/>
      </c>
      <c r="B2917" s="17" t="str">
        <f>IF('01_Rohdaten'!A2917="","",'01_Rohdaten'!A2917)</f>
        <v/>
      </c>
      <c r="C2917" s="17" t="str">
        <f>IF(B2917="","",INDEX('01_Rohdaten'!B2917:D2917,'02_Eingaben'!$C$13))</f>
        <v/>
      </c>
      <c r="D2917" s="17" t="str">
        <f>IF(C2917="","",C2917*'02_Eingaben'!$C$15)</f>
        <v/>
      </c>
      <c r="E2917" s="17" t="str">
        <f>IF(D2917="","",D2917*'02_Eingaben'!$C$8)</f>
        <v/>
      </c>
      <c r="F2917" s="17" t="str">
        <f>IF(E2917="","",AVERAGE(INDEX($E$2:$E$3001,MAX(1,ROW()-1-'02_Eingaben'!$C$17)):INDEX($E$2:$E$3001,MIN('02_Eingaben'!$C$21,ROW()-1+'02_Eingaben'!$C$17))))</f>
        <v/>
      </c>
      <c r="G2917" s="17" t="str">
        <f>IF(F2917="","",F2917-'02_Eingaben'!$C$10)</f>
        <v/>
      </c>
      <c r="H2917" t="str">
        <f>IF(F2917="","",IF(F2917&lt;'02_Eingaben'!$C$18*'02_Eingaben'!$C$10,1,0))</f>
        <v/>
      </c>
      <c r="I2917" s="17" t="str">
        <f t="shared" si="45"/>
        <v/>
      </c>
      <c r="J2917" s="17" t="str">
        <f>IF(B2917="","",IF(B2916&lt;'02_Eingaben'!$C$36,0,J2916+I2916/'02_Eingaben'!$C$8))</f>
        <v/>
      </c>
    </row>
    <row r="2918" spans="1:10" x14ac:dyDescent="0.25">
      <c r="A2918" t="str">
        <f>IF('01_Rohdaten'!A2918="","",ROW()-1)</f>
        <v/>
      </c>
      <c r="B2918" s="17" t="str">
        <f>IF('01_Rohdaten'!A2918="","",'01_Rohdaten'!A2918)</f>
        <v/>
      </c>
      <c r="C2918" s="17" t="str">
        <f>IF(B2918="","",INDEX('01_Rohdaten'!B2918:D2918,'02_Eingaben'!$C$13))</f>
        <v/>
      </c>
      <c r="D2918" s="17" t="str">
        <f>IF(C2918="","",C2918*'02_Eingaben'!$C$15)</f>
        <v/>
      </c>
      <c r="E2918" s="17" t="str">
        <f>IF(D2918="","",D2918*'02_Eingaben'!$C$8)</f>
        <v/>
      </c>
      <c r="F2918" s="17" t="str">
        <f>IF(E2918="","",AVERAGE(INDEX($E$2:$E$3001,MAX(1,ROW()-1-'02_Eingaben'!$C$17)):INDEX($E$2:$E$3001,MIN('02_Eingaben'!$C$21,ROW()-1+'02_Eingaben'!$C$17))))</f>
        <v/>
      </c>
      <c r="G2918" s="17" t="str">
        <f>IF(F2918="","",F2918-'02_Eingaben'!$C$10)</f>
        <v/>
      </c>
      <c r="H2918" t="str">
        <f>IF(F2918="","",IF(F2918&lt;'02_Eingaben'!$C$18*'02_Eingaben'!$C$10,1,0))</f>
        <v/>
      </c>
      <c r="I2918" s="17" t="str">
        <f t="shared" si="45"/>
        <v/>
      </c>
      <c r="J2918" s="17" t="str">
        <f>IF(B2918="","",IF(B2917&lt;'02_Eingaben'!$C$36,0,J2917+I2917/'02_Eingaben'!$C$8))</f>
        <v/>
      </c>
    </row>
    <row r="2919" spans="1:10" x14ac:dyDescent="0.25">
      <c r="A2919" t="str">
        <f>IF('01_Rohdaten'!A2919="","",ROW()-1)</f>
        <v/>
      </c>
      <c r="B2919" s="17" t="str">
        <f>IF('01_Rohdaten'!A2919="","",'01_Rohdaten'!A2919)</f>
        <v/>
      </c>
      <c r="C2919" s="17" t="str">
        <f>IF(B2919="","",INDEX('01_Rohdaten'!B2919:D2919,'02_Eingaben'!$C$13))</f>
        <v/>
      </c>
      <c r="D2919" s="17" t="str">
        <f>IF(C2919="","",C2919*'02_Eingaben'!$C$15)</f>
        <v/>
      </c>
      <c r="E2919" s="17" t="str">
        <f>IF(D2919="","",D2919*'02_Eingaben'!$C$8)</f>
        <v/>
      </c>
      <c r="F2919" s="17" t="str">
        <f>IF(E2919="","",AVERAGE(INDEX($E$2:$E$3001,MAX(1,ROW()-1-'02_Eingaben'!$C$17)):INDEX($E$2:$E$3001,MIN('02_Eingaben'!$C$21,ROW()-1+'02_Eingaben'!$C$17))))</f>
        <v/>
      </c>
      <c r="G2919" s="17" t="str">
        <f>IF(F2919="","",F2919-'02_Eingaben'!$C$10)</f>
        <v/>
      </c>
      <c r="H2919" t="str">
        <f>IF(F2919="","",IF(F2919&lt;'02_Eingaben'!$C$18*'02_Eingaben'!$C$10,1,0))</f>
        <v/>
      </c>
      <c r="I2919" s="17" t="str">
        <f t="shared" si="45"/>
        <v/>
      </c>
      <c r="J2919" s="17" t="str">
        <f>IF(B2919="","",IF(B2918&lt;'02_Eingaben'!$C$36,0,J2918+I2918/'02_Eingaben'!$C$8))</f>
        <v/>
      </c>
    </row>
    <row r="2920" spans="1:10" x14ac:dyDescent="0.25">
      <c r="A2920" t="str">
        <f>IF('01_Rohdaten'!A2920="","",ROW()-1)</f>
        <v/>
      </c>
      <c r="B2920" s="17" t="str">
        <f>IF('01_Rohdaten'!A2920="","",'01_Rohdaten'!A2920)</f>
        <v/>
      </c>
      <c r="C2920" s="17" t="str">
        <f>IF(B2920="","",INDEX('01_Rohdaten'!B2920:D2920,'02_Eingaben'!$C$13))</f>
        <v/>
      </c>
      <c r="D2920" s="17" t="str">
        <f>IF(C2920="","",C2920*'02_Eingaben'!$C$15)</f>
        <v/>
      </c>
      <c r="E2920" s="17" t="str">
        <f>IF(D2920="","",D2920*'02_Eingaben'!$C$8)</f>
        <v/>
      </c>
      <c r="F2920" s="17" t="str">
        <f>IF(E2920="","",AVERAGE(INDEX($E$2:$E$3001,MAX(1,ROW()-1-'02_Eingaben'!$C$17)):INDEX($E$2:$E$3001,MIN('02_Eingaben'!$C$21,ROW()-1+'02_Eingaben'!$C$17))))</f>
        <v/>
      </c>
      <c r="G2920" s="17" t="str">
        <f>IF(F2920="","",F2920-'02_Eingaben'!$C$10)</f>
        <v/>
      </c>
      <c r="H2920" t="str">
        <f>IF(F2920="","",IF(F2920&lt;'02_Eingaben'!$C$18*'02_Eingaben'!$C$10,1,0))</f>
        <v/>
      </c>
      <c r="I2920" s="17" t="str">
        <f t="shared" si="45"/>
        <v/>
      </c>
      <c r="J2920" s="17" t="str">
        <f>IF(B2920="","",IF(B2919&lt;'02_Eingaben'!$C$36,0,J2919+I2919/'02_Eingaben'!$C$8))</f>
        <v/>
      </c>
    </row>
    <row r="2921" spans="1:10" x14ac:dyDescent="0.25">
      <c r="A2921" t="str">
        <f>IF('01_Rohdaten'!A2921="","",ROW()-1)</f>
        <v/>
      </c>
      <c r="B2921" s="17" t="str">
        <f>IF('01_Rohdaten'!A2921="","",'01_Rohdaten'!A2921)</f>
        <v/>
      </c>
      <c r="C2921" s="17" t="str">
        <f>IF(B2921="","",INDEX('01_Rohdaten'!B2921:D2921,'02_Eingaben'!$C$13))</f>
        <v/>
      </c>
      <c r="D2921" s="17" t="str">
        <f>IF(C2921="","",C2921*'02_Eingaben'!$C$15)</f>
        <v/>
      </c>
      <c r="E2921" s="17" t="str">
        <f>IF(D2921="","",D2921*'02_Eingaben'!$C$8)</f>
        <v/>
      </c>
      <c r="F2921" s="17" t="str">
        <f>IF(E2921="","",AVERAGE(INDEX($E$2:$E$3001,MAX(1,ROW()-1-'02_Eingaben'!$C$17)):INDEX($E$2:$E$3001,MIN('02_Eingaben'!$C$21,ROW()-1+'02_Eingaben'!$C$17))))</f>
        <v/>
      </c>
      <c r="G2921" s="17" t="str">
        <f>IF(F2921="","",F2921-'02_Eingaben'!$C$10)</f>
        <v/>
      </c>
      <c r="H2921" t="str">
        <f>IF(F2921="","",IF(F2921&lt;'02_Eingaben'!$C$18*'02_Eingaben'!$C$10,1,0))</f>
        <v/>
      </c>
      <c r="I2921" s="17" t="str">
        <f t="shared" si="45"/>
        <v/>
      </c>
      <c r="J2921" s="17" t="str">
        <f>IF(B2921="","",IF(B2920&lt;'02_Eingaben'!$C$36,0,J2920+I2920/'02_Eingaben'!$C$8))</f>
        <v/>
      </c>
    </row>
    <row r="2922" spans="1:10" x14ac:dyDescent="0.25">
      <c r="A2922" t="str">
        <f>IF('01_Rohdaten'!A2922="","",ROW()-1)</f>
        <v/>
      </c>
      <c r="B2922" s="17" t="str">
        <f>IF('01_Rohdaten'!A2922="","",'01_Rohdaten'!A2922)</f>
        <v/>
      </c>
      <c r="C2922" s="17" t="str">
        <f>IF(B2922="","",INDEX('01_Rohdaten'!B2922:D2922,'02_Eingaben'!$C$13))</f>
        <v/>
      </c>
      <c r="D2922" s="17" t="str">
        <f>IF(C2922="","",C2922*'02_Eingaben'!$C$15)</f>
        <v/>
      </c>
      <c r="E2922" s="17" t="str">
        <f>IF(D2922="","",D2922*'02_Eingaben'!$C$8)</f>
        <v/>
      </c>
      <c r="F2922" s="17" t="str">
        <f>IF(E2922="","",AVERAGE(INDEX($E$2:$E$3001,MAX(1,ROW()-1-'02_Eingaben'!$C$17)):INDEX($E$2:$E$3001,MIN('02_Eingaben'!$C$21,ROW()-1+'02_Eingaben'!$C$17))))</f>
        <v/>
      </c>
      <c r="G2922" s="17" t="str">
        <f>IF(F2922="","",F2922-'02_Eingaben'!$C$10)</f>
        <v/>
      </c>
      <c r="H2922" t="str">
        <f>IF(F2922="","",IF(F2922&lt;'02_Eingaben'!$C$18*'02_Eingaben'!$C$10,1,0))</f>
        <v/>
      </c>
      <c r="I2922" s="17" t="str">
        <f t="shared" si="45"/>
        <v/>
      </c>
      <c r="J2922" s="17" t="str">
        <f>IF(B2922="","",IF(B2921&lt;'02_Eingaben'!$C$36,0,J2921+I2921/'02_Eingaben'!$C$8))</f>
        <v/>
      </c>
    </row>
    <row r="2923" spans="1:10" x14ac:dyDescent="0.25">
      <c r="A2923" t="str">
        <f>IF('01_Rohdaten'!A2923="","",ROW()-1)</f>
        <v/>
      </c>
      <c r="B2923" s="17" t="str">
        <f>IF('01_Rohdaten'!A2923="","",'01_Rohdaten'!A2923)</f>
        <v/>
      </c>
      <c r="C2923" s="17" t="str">
        <f>IF(B2923="","",INDEX('01_Rohdaten'!B2923:D2923,'02_Eingaben'!$C$13))</f>
        <v/>
      </c>
      <c r="D2923" s="17" t="str">
        <f>IF(C2923="","",C2923*'02_Eingaben'!$C$15)</f>
        <v/>
      </c>
      <c r="E2923" s="17" t="str">
        <f>IF(D2923="","",D2923*'02_Eingaben'!$C$8)</f>
        <v/>
      </c>
      <c r="F2923" s="17" t="str">
        <f>IF(E2923="","",AVERAGE(INDEX($E$2:$E$3001,MAX(1,ROW()-1-'02_Eingaben'!$C$17)):INDEX($E$2:$E$3001,MIN('02_Eingaben'!$C$21,ROW()-1+'02_Eingaben'!$C$17))))</f>
        <v/>
      </c>
      <c r="G2923" s="17" t="str">
        <f>IF(F2923="","",F2923-'02_Eingaben'!$C$10)</f>
        <v/>
      </c>
      <c r="H2923" t="str">
        <f>IF(F2923="","",IF(F2923&lt;'02_Eingaben'!$C$18*'02_Eingaben'!$C$10,1,0))</f>
        <v/>
      </c>
      <c r="I2923" s="17" t="str">
        <f t="shared" si="45"/>
        <v/>
      </c>
      <c r="J2923" s="17" t="str">
        <f>IF(B2923="","",IF(B2922&lt;'02_Eingaben'!$C$36,0,J2922+I2922/'02_Eingaben'!$C$8))</f>
        <v/>
      </c>
    </row>
    <row r="2924" spans="1:10" x14ac:dyDescent="0.25">
      <c r="A2924" t="str">
        <f>IF('01_Rohdaten'!A2924="","",ROW()-1)</f>
        <v/>
      </c>
      <c r="B2924" s="17" t="str">
        <f>IF('01_Rohdaten'!A2924="","",'01_Rohdaten'!A2924)</f>
        <v/>
      </c>
      <c r="C2924" s="17" t="str">
        <f>IF(B2924="","",INDEX('01_Rohdaten'!B2924:D2924,'02_Eingaben'!$C$13))</f>
        <v/>
      </c>
      <c r="D2924" s="17" t="str">
        <f>IF(C2924="","",C2924*'02_Eingaben'!$C$15)</f>
        <v/>
      </c>
      <c r="E2924" s="17" t="str">
        <f>IF(D2924="","",D2924*'02_Eingaben'!$C$8)</f>
        <v/>
      </c>
      <c r="F2924" s="17" t="str">
        <f>IF(E2924="","",AVERAGE(INDEX($E$2:$E$3001,MAX(1,ROW()-1-'02_Eingaben'!$C$17)):INDEX($E$2:$E$3001,MIN('02_Eingaben'!$C$21,ROW()-1+'02_Eingaben'!$C$17))))</f>
        <v/>
      </c>
      <c r="G2924" s="17" t="str">
        <f>IF(F2924="","",F2924-'02_Eingaben'!$C$10)</f>
        <v/>
      </c>
      <c r="H2924" t="str">
        <f>IF(F2924="","",IF(F2924&lt;'02_Eingaben'!$C$18*'02_Eingaben'!$C$10,1,0))</f>
        <v/>
      </c>
      <c r="I2924" s="17" t="str">
        <f t="shared" si="45"/>
        <v/>
      </c>
      <c r="J2924" s="17" t="str">
        <f>IF(B2924="","",IF(B2923&lt;'02_Eingaben'!$C$36,0,J2923+I2923/'02_Eingaben'!$C$8))</f>
        <v/>
      </c>
    </row>
    <row r="2925" spans="1:10" x14ac:dyDescent="0.25">
      <c r="A2925" t="str">
        <f>IF('01_Rohdaten'!A2925="","",ROW()-1)</f>
        <v/>
      </c>
      <c r="B2925" s="17" t="str">
        <f>IF('01_Rohdaten'!A2925="","",'01_Rohdaten'!A2925)</f>
        <v/>
      </c>
      <c r="C2925" s="17" t="str">
        <f>IF(B2925="","",INDEX('01_Rohdaten'!B2925:D2925,'02_Eingaben'!$C$13))</f>
        <v/>
      </c>
      <c r="D2925" s="17" t="str">
        <f>IF(C2925="","",C2925*'02_Eingaben'!$C$15)</f>
        <v/>
      </c>
      <c r="E2925" s="17" t="str">
        <f>IF(D2925="","",D2925*'02_Eingaben'!$C$8)</f>
        <v/>
      </c>
      <c r="F2925" s="17" t="str">
        <f>IF(E2925="","",AVERAGE(INDEX($E$2:$E$3001,MAX(1,ROW()-1-'02_Eingaben'!$C$17)):INDEX($E$2:$E$3001,MIN('02_Eingaben'!$C$21,ROW()-1+'02_Eingaben'!$C$17))))</f>
        <v/>
      </c>
      <c r="G2925" s="17" t="str">
        <f>IF(F2925="","",F2925-'02_Eingaben'!$C$10)</f>
        <v/>
      </c>
      <c r="H2925" t="str">
        <f>IF(F2925="","",IF(F2925&lt;'02_Eingaben'!$C$18*'02_Eingaben'!$C$10,1,0))</f>
        <v/>
      </c>
      <c r="I2925" s="17" t="str">
        <f t="shared" si="45"/>
        <v/>
      </c>
      <c r="J2925" s="17" t="str">
        <f>IF(B2925="","",IF(B2924&lt;'02_Eingaben'!$C$36,0,J2924+I2924/'02_Eingaben'!$C$8))</f>
        <v/>
      </c>
    </row>
    <row r="2926" spans="1:10" x14ac:dyDescent="0.25">
      <c r="A2926" t="str">
        <f>IF('01_Rohdaten'!A2926="","",ROW()-1)</f>
        <v/>
      </c>
      <c r="B2926" s="17" t="str">
        <f>IF('01_Rohdaten'!A2926="","",'01_Rohdaten'!A2926)</f>
        <v/>
      </c>
      <c r="C2926" s="17" t="str">
        <f>IF(B2926="","",INDEX('01_Rohdaten'!B2926:D2926,'02_Eingaben'!$C$13))</f>
        <v/>
      </c>
      <c r="D2926" s="17" t="str">
        <f>IF(C2926="","",C2926*'02_Eingaben'!$C$15)</f>
        <v/>
      </c>
      <c r="E2926" s="17" t="str">
        <f>IF(D2926="","",D2926*'02_Eingaben'!$C$8)</f>
        <v/>
      </c>
      <c r="F2926" s="17" t="str">
        <f>IF(E2926="","",AVERAGE(INDEX($E$2:$E$3001,MAX(1,ROW()-1-'02_Eingaben'!$C$17)):INDEX($E$2:$E$3001,MIN('02_Eingaben'!$C$21,ROW()-1+'02_Eingaben'!$C$17))))</f>
        <v/>
      </c>
      <c r="G2926" s="17" t="str">
        <f>IF(F2926="","",F2926-'02_Eingaben'!$C$10)</f>
        <v/>
      </c>
      <c r="H2926" t="str">
        <f>IF(F2926="","",IF(F2926&lt;'02_Eingaben'!$C$18*'02_Eingaben'!$C$10,1,0))</f>
        <v/>
      </c>
      <c r="I2926" s="17" t="str">
        <f t="shared" si="45"/>
        <v/>
      </c>
      <c r="J2926" s="17" t="str">
        <f>IF(B2926="","",IF(B2925&lt;'02_Eingaben'!$C$36,0,J2925+I2925/'02_Eingaben'!$C$8))</f>
        <v/>
      </c>
    </row>
    <row r="2927" spans="1:10" x14ac:dyDescent="0.25">
      <c r="A2927" t="str">
        <f>IF('01_Rohdaten'!A2927="","",ROW()-1)</f>
        <v/>
      </c>
      <c r="B2927" s="17" t="str">
        <f>IF('01_Rohdaten'!A2927="","",'01_Rohdaten'!A2927)</f>
        <v/>
      </c>
      <c r="C2927" s="17" t="str">
        <f>IF(B2927="","",INDEX('01_Rohdaten'!B2927:D2927,'02_Eingaben'!$C$13))</f>
        <v/>
      </c>
      <c r="D2927" s="17" t="str">
        <f>IF(C2927="","",C2927*'02_Eingaben'!$C$15)</f>
        <v/>
      </c>
      <c r="E2927" s="17" t="str">
        <f>IF(D2927="","",D2927*'02_Eingaben'!$C$8)</f>
        <v/>
      </c>
      <c r="F2927" s="17" t="str">
        <f>IF(E2927="","",AVERAGE(INDEX($E$2:$E$3001,MAX(1,ROW()-1-'02_Eingaben'!$C$17)):INDEX($E$2:$E$3001,MIN('02_Eingaben'!$C$21,ROW()-1+'02_Eingaben'!$C$17))))</f>
        <v/>
      </c>
      <c r="G2927" s="17" t="str">
        <f>IF(F2927="","",F2927-'02_Eingaben'!$C$10)</f>
        <v/>
      </c>
      <c r="H2927" t="str">
        <f>IF(F2927="","",IF(F2927&lt;'02_Eingaben'!$C$18*'02_Eingaben'!$C$10,1,0))</f>
        <v/>
      </c>
      <c r="I2927" s="17" t="str">
        <f t="shared" si="45"/>
        <v/>
      </c>
      <c r="J2927" s="17" t="str">
        <f>IF(B2927="","",IF(B2926&lt;'02_Eingaben'!$C$36,0,J2926+I2926/'02_Eingaben'!$C$8))</f>
        <v/>
      </c>
    </row>
    <row r="2928" spans="1:10" x14ac:dyDescent="0.25">
      <c r="A2928" t="str">
        <f>IF('01_Rohdaten'!A2928="","",ROW()-1)</f>
        <v/>
      </c>
      <c r="B2928" s="17" t="str">
        <f>IF('01_Rohdaten'!A2928="","",'01_Rohdaten'!A2928)</f>
        <v/>
      </c>
      <c r="C2928" s="17" t="str">
        <f>IF(B2928="","",INDEX('01_Rohdaten'!B2928:D2928,'02_Eingaben'!$C$13))</f>
        <v/>
      </c>
      <c r="D2928" s="17" t="str">
        <f>IF(C2928="","",C2928*'02_Eingaben'!$C$15)</f>
        <v/>
      </c>
      <c r="E2928" s="17" t="str">
        <f>IF(D2928="","",D2928*'02_Eingaben'!$C$8)</f>
        <v/>
      </c>
      <c r="F2928" s="17" t="str">
        <f>IF(E2928="","",AVERAGE(INDEX($E$2:$E$3001,MAX(1,ROW()-1-'02_Eingaben'!$C$17)):INDEX($E$2:$E$3001,MIN('02_Eingaben'!$C$21,ROW()-1+'02_Eingaben'!$C$17))))</f>
        <v/>
      </c>
      <c r="G2928" s="17" t="str">
        <f>IF(F2928="","",F2928-'02_Eingaben'!$C$10)</f>
        <v/>
      </c>
      <c r="H2928" t="str">
        <f>IF(F2928="","",IF(F2928&lt;'02_Eingaben'!$C$18*'02_Eingaben'!$C$10,1,0))</f>
        <v/>
      </c>
      <c r="I2928" s="17" t="str">
        <f t="shared" si="45"/>
        <v/>
      </c>
      <c r="J2928" s="17" t="str">
        <f>IF(B2928="","",IF(B2927&lt;'02_Eingaben'!$C$36,0,J2927+I2927/'02_Eingaben'!$C$8))</f>
        <v/>
      </c>
    </row>
    <row r="2929" spans="1:10" x14ac:dyDescent="0.25">
      <c r="A2929" t="str">
        <f>IF('01_Rohdaten'!A2929="","",ROW()-1)</f>
        <v/>
      </c>
      <c r="B2929" s="17" t="str">
        <f>IF('01_Rohdaten'!A2929="","",'01_Rohdaten'!A2929)</f>
        <v/>
      </c>
      <c r="C2929" s="17" t="str">
        <f>IF(B2929="","",INDEX('01_Rohdaten'!B2929:D2929,'02_Eingaben'!$C$13))</f>
        <v/>
      </c>
      <c r="D2929" s="17" t="str">
        <f>IF(C2929="","",C2929*'02_Eingaben'!$C$15)</f>
        <v/>
      </c>
      <c r="E2929" s="17" t="str">
        <f>IF(D2929="","",D2929*'02_Eingaben'!$C$8)</f>
        <v/>
      </c>
      <c r="F2929" s="17" t="str">
        <f>IF(E2929="","",AVERAGE(INDEX($E$2:$E$3001,MAX(1,ROW()-1-'02_Eingaben'!$C$17)):INDEX($E$2:$E$3001,MIN('02_Eingaben'!$C$21,ROW()-1+'02_Eingaben'!$C$17))))</f>
        <v/>
      </c>
      <c r="G2929" s="17" t="str">
        <f>IF(F2929="","",F2929-'02_Eingaben'!$C$10)</f>
        <v/>
      </c>
      <c r="H2929" t="str">
        <f>IF(F2929="","",IF(F2929&lt;'02_Eingaben'!$C$18*'02_Eingaben'!$C$10,1,0))</f>
        <v/>
      </c>
      <c r="I2929" s="17" t="str">
        <f t="shared" si="45"/>
        <v/>
      </c>
      <c r="J2929" s="17" t="str">
        <f>IF(B2929="","",IF(B2928&lt;'02_Eingaben'!$C$36,0,J2928+I2928/'02_Eingaben'!$C$8))</f>
        <v/>
      </c>
    </row>
    <row r="2930" spans="1:10" x14ac:dyDescent="0.25">
      <c r="A2930" t="str">
        <f>IF('01_Rohdaten'!A2930="","",ROW()-1)</f>
        <v/>
      </c>
      <c r="B2930" s="17" t="str">
        <f>IF('01_Rohdaten'!A2930="","",'01_Rohdaten'!A2930)</f>
        <v/>
      </c>
      <c r="C2930" s="17" t="str">
        <f>IF(B2930="","",INDEX('01_Rohdaten'!B2930:D2930,'02_Eingaben'!$C$13))</f>
        <v/>
      </c>
      <c r="D2930" s="17" t="str">
        <f>IF(C2930="","",C2930*'02_Eingaben'!$C$15)</f>
        <v/>
      </c>
      <c r="E2930" s="17" t="str">
        <f>IF(D2930="","",D2930*'02_Eingaben'!$C$8)</f>
        <v/>
      </c>
      <c r="F2930" s="17" t="str">
        <f>IF(E2930="","",AVERAGE(INDEX($E$2:$E$3001,MAX(1,ROW()-1-'02_Eingaben'!$C$17)):INDEX($E$2:$E$3001,MIN('02_Eingaben'!$C$21,ROW()-1+'02_Eingaben'!$C$17))))</f>
        <v/>
      </c>
      <c r="G2930" s="17" t="str">
        <f>IF(F2930="","",F2930-'02_Eingaben'!$C$10)</f>
        <v/>
      </c>
      <c r="H2930" t="str">
        <f>IF(F2930="","",IF(F2930&lt;'02_Eingaben'!$C$18*'02_Eingaben'!$C$10,1,0))</f>
        <v/>
      </c>
      <c r="I2930" s="17" t="str">
        <f t="shared" si="45"/>
        <v/>
      </c>
      <c r="J2930" s="17" t="str">
        <f>IF(B2930="","",IF(B2929&lt;'02_Eingaben'!$C$36,0,J2929+I2929/'02_Eingaben'!$C$8))</f>
        <v/>
      </c>
    </row>
    <row r="2931" spans="1:10" x14ac:dyDescent="0.25">
      <c r="A2931" t="str">
        <f>IF('01_Rohdaten'!A2931="","",ROW()-1)</f>
        <v/>
      </c>
      <c r="B2931" s="17" t="str">
        <f>IF('01_Rohdaten'!A2931="","",'01_Rohdaten'!A2931)</f>
        <v/>
      </c>
      <c r="C2931" s="17" t="str">
        <f>IF(B2931="","",INDEX('01_Rohdaten'!B2931:D2931,'02_Eingaben'!$C$13))</f>
        <v/>
      </c>
      <c r="D2931" s="17" t="str">
        <f>IF(C2931="","",C2931*'02_Eingaben'!$C$15)</f>
        <v/>
      </c>
      <c r="E2931" s="17" t="str">
        <f>IF(D2931="","",D2931*'02_Eingaben'!$C$8)</f>
        <v/>
      </c>
      <c r="F2931" s="17" t="str">
        <f>IF(E2931="","",AVERAGE(INDEX($E$2:$E$3001,MAX(1,ROW()-1-'02_Eingaben'!$C$17)):INDEX($E$2:$E$3001,MIN('02_Eingaben'!$C$21,ROW()-1+'02_Eingaben'!$C$17))))</f>
        <v/>
      </c>
      <c r="G2931" s="17" t="str">
        <f>IF(F2931="","",F2931-'02_Eingaben'!$C$10)</f>
        <v/>
      </c>
      <c r="H2931" t="str">
        <f>IF(F2931="","",IF(F2931&lt;'02_Eingaben'!$C$18*'02_Eingaben'!$C$10,1,0))</f>
        <v/>
      </c>
      <c r="I2931" s="17" t="str">
        <f t="shared" si="45"/>
        <v/>
      </c>
      <c r="J2931" s="17" t="str">
        <f>IF(B2931="","",IF(B2930&lt;'02_Eingaben'!$C$36,0,J2930+I2930/'02_Eingaben'!$C$8))</f>
        <v/>
      </c>
    </row>
    <row r="2932" spans="1:10" x14ac:dyDescent="0.25">
      <c r="A2932" t="str">
        <f>IF('01_Rohdaten'!A2932="","",ROW()-1)</f>
        <v/>
      </c>
      <c r="B2932" s="17" t="str">
        <f>IF('01_Rohdaten'!A2932="","",'01_Rohdaten'!A2932)</f>
        <v/>
      </c>
      <c r="C2932" s="17" t="str">
        <f>IF(B2932="","",INDEX('01_Rohdaten'!B2932:D2932,'02_Eingaben'!$C$13))</f>
        <v/>
      </c>
      <c r="D2932" s="17" t="str">
        <f>IF(C2932="","",C2932*'02_Eingaben'!$C$15)</f>
        <v/>
      </c>
      <c r="E2932" s="17" t="str">
        <f>IF(D2932="","",D2932*'02_Eingaben'!$C$8)</f>
        <v/>
      </c>
      <c r="F2932" s="17" t="str">
        <f>IF(E2932="","",AVERAGE(INDEX($E$2:$E$3001,MAX(1,ROW()-1-'02_Eingaben'!$C$17)):INDEX($E$2:$E$3001,MIN('02_Eingaben'!$C$21,ROW()-1+'02_Eingaben'!$C$17))))</f>
        <v/>
      </c>
      <c r="G2932" s="17" t="str">
        <f>IF(F2932="","",F2932-'02_Eingaben'!$C$10)</f>
        <v/>
      </c>
      <c r="H2932" t="str">
        <f>IF(F2932="","",IF(F2932&lt;'02_Eingaben'!$C$18*'02_Eingaben'!$C$10,1,0))</f>
        <v/>
      </c>
      <c r="I2932" s="17" t="str">
        <f t="shared" si="45"/>
        <v/>
      </c>
      <c r="J2932" s="17" t="str">
        <f>IF(B2932="","",IF(B2931&lt;'02_Eingaben'!$C$36,0,J2931+I2931/'02_Eingaben'!$C$8))</f>
        <v/>
      </c>
    </row>
    <row r="2933" spans="1:10" x14ac:dyDescent="0.25">
      <c r="A2933" t="str">
        <f>IF('01_Rohdaten'!A2933="","",ROW()-1)</f>
        <v/>
      </c>
      <c r="B2933" s="17" t="str">
        <f>IF('01_Rohdaten'!A2933="","",'01_Rohdaten'!A2933)</f>
        <v/>
      </c>
      <c r="C2933" s="17" t="str">
        <f>IF(B2933="","",INDEX('01_Rohdaten'!B2933:D2933,'02_Eingaben'!$C$13))</f>
        <v/>
      </c>
      <c r="D2933" s="17" t="str">
        <f>IF(C2933="","",C2933*'02_Eingaben'!$C$15)</f>
        <v/>
      </c>
      <c r="E2933" s="17" t="str">
        <f>IF(D2933="","",D2933*'02_Eingaben'!$C$8)</f>
        <v/>
      </c>
      <c r="F2933" s="17" t="str">
        <f>IF(E2933="","",AVERAGE(INDEX($E$2:$E$3001,MAX(1,ROW()-1-'02_Eingaben'!$C$17)):INDEX($E$2:$E$3001,MIN('02_Eingaben'!$C$21,ROW()-1+'02_Eingaben'!$C$17))))</f>
        <v/>
      </c>
      <c r="G2933" s="17" t="str">
        <f>IF(F2933="","",F2933-'02_Eingaben'!$C$10)</f>
        <v/>
      </c>
      <c r="H2933" t="str">
        <f>IF(F2933="","",IF(F2933&lt;'02_Eingaben'!$C$18*'02_Eingaben'!$C$10,1,0))</f>
        <v/>
      </c>
      <c r="I2933" s="17" t="str">
        <f t="shared" si="45"/>
        <v/>
      </c>
      <c r="J2933" s="17" t="str">
        <f>IF(B2933="","",IF(B2932&lt;'02_Eingaben'!$C$36,0,J2932+I2932/'02_Eingaben'!$C$8))</f>
        <v/>
      </c>
    </row>
    <row r="2934" spans="1:10" x14ac:dyDescent="0.25">
      <c r="A2934" t="str">
        <f>IF('01_Rohdaten'!A2934="","",ROW()-1)</f>
        <v/>
      </c>
      <c r="B2934" s="17" t="str">
        <f>IF('01_Rohdaten'!A2934="","",'01_Rohdaten'!A2934)</f>
        <v/>
      </c>
      <c r="C2934" s="17" t="str">
        <f>IF(B2934="","",INDEX('01_Rohdaten'!B2934:D2934,'02_Eingaben'!$C$13))</f>
        <v/>
      </c>
      <c r="D2934" s="17" t="str">
        <f>IF(C2934="","",C2934*'02_Eingaben'!$C$15)</f>
        <v/>
      </c>
      <c r="E2934" s="17" t="str">
        <f>IF(D2934="","",D2934*'02_Eingaben'!$C$8)</f>
        <v/>
      </c>
      <c r="F2934" s="17" t="str">
        <f>IF(E2934="","",AVERAGE(INDEX($E$2:$E$3001,MAX(1,ROW()-1-'02_Eingaben'!$C$17)):INDEX($E$2:$E$3001,MIN('02_Eingaben'!$C$21,ROW()-1+'02_Eingaben'!$C$17))))</f>
        <v/>
      </c>
      <c r="G2934" s="17" t="str">
        <f>IF(F2934="","",F2934-'02_Eingaben'!$C$10)</f>
        <v/>
      </c>
      <c r="H2934" t="str">
        <f>IF(F2934="","",IF(F2934&lt;'02_Eingaben'!$C$18*'02_Eingaben'!$C$10,1,0))</f>
        <v/>
      </c>
      <c r="I2934" s="17" t="str">
        <f t="shared" si="45"/>
        <v/>
      </c>
      <c r="J2934" s="17" t="str">
        <f>IF(B2934="","",IF(B2933&lt;'02_Eingaben'!$C$36,0,J2933+I2933/'02_Eingaben'!$C$8))</f>
        <v/>
      </c>
    </row>
    <row r="2935" spans="1:10" x14ac:dyDescent="0.25">
      <c r="A2935" t="str">
        <f>IF('01_Rohdaten'!A2935="","",ROW()-1)</f>
        <v/>
      </c>
      <c r="B2935" s="17" t="str">
        <f>IF('01_Rohdaten'!A2935="","",'01_Rohdaten'!A2935)</f>
        <v/>
      </c>
      <c r="C2935" s="17" t="str">
        <f>IF(B2935="","",INDEX('01_Rohdaten'!B2935:D2935,'02_Eingaben'!$C$13))</f>
        <v/>
      </c>
      <c r="D2935" s="17" t="str">
        <f>IF(C2935="","",C2935*'02_Eingaben'!$C$15)</f>
        <v/>
      </c>
      <c r="E2935" s="17" t="str">
        <f>IF(D2935="","",D2935*'02_Eingaben'!$C$8)</f>
        <v/>
      </c>
      <c r="F2935" s="17" t="str">
        <f>IF(E2935="","",AVERAGE(INDEX($E$2:$E$3001,MAX(1,ROW()-1-'02_Eingaben'!$C$17)):INDEX($E$2:$E$3001,MIN('02_Eingaben'!$C$21,ROW()-1+'02_Eingaben'!$C$17))))</f>
        <v/>
      </c>
      <c r="G2935" s="17" t="str">
        <f>IF(F2935="","",F2935-'02_Eingaben'!$C$10)</f>
        <v/>
      </c>
      <c r="H2935" t="str">
        <f>IF(F2935="","",IF(F2935&lt;'02_Eingaben'!$C$18*'02_Eingaben'!$C$10,1,0))</f>
        <v/>
      </c>
      <c r="I2935" s="17" t="str">
        <f t="shared" si="45"/>
        <v/>
      </c>
      <c r="J2935" s="17" t="str">
        <f>IF(B2935="","",IF(B2934&lt;'02_Eingaben'!$C$36,0,J2934+I2934/'02_Eingaben'!$C$8))</f>
        <v/>
      </c>
    </row>
    <row r="2936" spans="1:10" x14ac:dyDescent="0.25">
      <c r="A2936" t="str">
        <f>IF('01_Rohdaten'!A2936="","",ROW()-1)</f>
        <v/>
      </c>
      <c r="B2936" s="17" t="str">
        <f>IF('01_Rohdaten'!A2936="","",'01_Rohdaten'!A2936)</f>
        <v/>
      </c>
      <c r="C2936" s="17" t="str">
        <f>IF(B2936="","",INDEX('01_Rohdaten'!B2936:D2936,'02_Eingaben'!$C$13))</f>
        <v/>
      </c>
      <c r="D2936" s="17" t="str">
        <f>IF(C2936="","",C2936*'02_Eingaben'!$C$15)</f>
        <v/>
      </c>
      <c r="E2936" s="17" t="str">
        <f>IF(D2936="","",D2936*'02_Eingaben'!$C$8)</f>
        <v/>
      </c>
      <c r="F2936" s="17" t="str">
        <f>IF(E2936="","",AVERAGE(INDEX($E$2:$E$3001,MAX(1,ROW()-1-'02_Eingaben'!$C$17)):INDEX($E$2:$E$3001,MIN('02_Eingaben'!$C$21,ROW()-1+'02_Eingaben'!$C$17))))</f>
        <v/>
      </c>
      <c r="G2936" s="17" t="str">
        <f>IF(F2936="","",F2936-'02_Eingaben'!$C$10)</f>
        <v/>
      </c>
      <c r="H2936" t="str">
        <f>IF(F2936="","",IF(F2936&lt;'02_Eingaben'!$C$18*'02_Eingaben'!$C$10,1,0))</f>
        <v/>
      </c>
      <c r="I2936" s="17" t="str">
        <f t="shared" si="45"/>
        <v/>
      </c>
      <c r="J2936" s="17" t="str">
        <f>IF(B2936="","",IF(B2935&lt;'02_Eingaben'!$C$36,0,J2935+I2935/'02_Eingaben'!$C$8))</f>
        <v/>
      </c>
    </row>
    <row r="2937" spans="1:10" x14ac:dyDescent="0.25">
      <c r="A2937" t="str">
        <f>IF('01_Rohdaten'!A2937="","",ROW()-1)</f>
        <v/>
      </c>
      <c r="B2937" s="17" t="str">
        <f>IF('01_Rohdaten'!A2937="","",'01_Rohdaten'!A2937)</f>
        <v/>
      </c>
      <c r="C2937" s="17" t="str">
        <f>IF(B2937="","",INDEX('01_Rohdaten'!B2937:D2937,'02_Eingaben'!$C$13))</f>
        <v/>
      </c>
      <c r="D2937" s="17" t="str">
        <f>IF(C2937="","",C2937*'02_Eingaben'!$C$15)</f>
        <v/>
      </c>
      <c r="E2937" s="17" t="str">
        <f>IF(D2937="","",D2937*'02_Eingaben'!$C$8)</f>
        <v/>
      </c>
      <c r="F2937" s="17" t="str">
        <f>IF(E2937="","",AVERAGE(INDEX($E$2:$E$3001,MAX(1,ROW()-1-'02_Eingaben'!$C$17)):INDEX($E$2:$E$3001,MIN('02_Eingaben'!$C$21,ROW()-1+'02_Eingaben'!$C$17))))</f>
        <v/>
      </c>
      <c r="G2937" s="17" t="str">
        <f>IF(F2937="","",F2937-'02_Eingaben'!$C$10)</f>
        <v/>
      </c>
      <c r="H2937" t="str">
        <f>IF(F2937="","",IF(F2937&lt;'02_Eingaben'!$C$18*'02_Eingaben'!$C$10,1,0))</f>
        <v/>
      </c>
      <c r="I2937" s="17" t="str">
        <f t="shared" si="45"/>
        <v/>
      </c>
      <c r="J2937" s="17" t="str">
        <f>IF(B2937="","",IF(B2936&lt;'02_Eingaben'!$C$36,0,J2936+I2936/'02_Eingaben'!$C$8))</f>
        <v/>
      </c>
    </row>
    <row r="2938" spans="1:10" x14ac:dyDescent="0.25">
      <c r="A2938" t="str">
        <f>IF('01_Rohdaten'!A2938="","",ROW()-1)</f>
        <v/>
      </c>
      <c r="B2938" s="17" t="str">
        <f>IF('01_Rohdaten'!A2938="","",'01_Rohdaten'!A2938)</f>
        <v/>
      </c>
      <c r="C2938" s="17" t="str">
        <f>IF(B2938="","",INDEX('01_Rohdaten'!B2938:D2938,'02_Eingaben'!$C$13))</f>
        <v/>
      </c>
      <c r="D2938" s="17" t="str">
        <f>IF(C2938="","",C2938*'02_Eingaben'!$C$15)</f>
        <v/>
      </c>
      <c r="E2938" s="17" t="str">
        <f>IF(D2938="","",D2938*'02_Eingaben'!$C$8)</f>
        <v/>
      </c>
      <c r="F2938" s="17" t="str">
        <f>IF(E2938="","",AVERAGE(INDEX($E$2:$E$3001,MAX(1,ROW()-1-'02_Eingaben'!$C$17)):INDEX($E$2:$E$3001,MIN('02_Eingaben'!$C$21,ROW()-1+'02_Eingaben'!$C$17))))</f>
        <v/>
      </c>
      <c r="G2938" s="17" t="str">
        <f>IF(F2938="","",F2938-'02_Eingaben'!$C$10)</f>
        <v/>
      </c>
      <c r="H2938" t="str">
        <f>IF(F2938="","",IF(F2938&lt;'02_Eingaben'!$C$18*'02_Eingaben'!$C$10,1,0))</f>
        <v/>
      </c>
      <c r="I2938" s="17" t="str">
        <f t="shared" si="45"/>
        <v/>
      </c>
      <c r="J2938" s="17" t="str">
        <f>IF(B2938="","",IF(B2937&lt;'02_Eingaben'!$C$36,0,J2937+I2937/'02_Eingaben'!$C$8))</f>
        <v/>
      </c>
    </row>
    <row r="2939" spans="1:10" x14ac:dyDescent="0.25">
      <c r="A2939" t="str">
        <f>IF('01_Rohdaten'!A2939="","",ROW()-1)</f>
        <v/>
      </c>
      <c r="B2939" s="17" t="str">
        <f>IF('01_Rohdaten'!A2939="","",'01_Rohdaten'!A2939)</f>
        <v/>
      </c>
      <c r="C2939" s="17" t="str">
        <f>IF(B2939="","",INDEX('01_Rohdaten'!B2939:D2939,'02_Eingaben'!$C$13))</f>
        <v/>
      </c>
      <c r="D2939" s="17" t="str">
        <f>IF(C2939="","",C2939*'02_Eingaben'!$C$15)</f>
        <v/>
      </c>
      <c r="E2939" s="17" t="str">
        <f>IF(D2939="","",D2939*'02_Eingaben'!$C$8)</f>
        <v/>
      </c>
      <c r="F2939" s="17" t="str">
        <f>IF(E2939="","",AVERAGE(INDEX($E$2:$E$3001,MAX(1,ROW()-1-'02_Eingaben'!$C$17)):INDEX($E$2:$E$3001,MIN('02_Eingaben'!$C$21,ROW()-1+'02_Eingaben'!$C$17))))</f>
        <v/>
      </c>
      <c r="G2939" s="17" t="str">
        <f>IF(F2939="","",F2939-'02_Eingaben'!$C$10)</f>
        <v/>
      </c>
      <c r="H2939" t="str">
        <f>IF(F2939="","",IF(F2939&lt;'02_Eingaben'!$C$18*'02_Eingaben'!$C$10,1,0))</f>
        <v/>
      </c>
      <c r="I2939" s="17" t="str">
        <f t="shared" si="45"/>
        <v/>
      </c>
      <c r="J2939" s="17" t="str">
        <f>IF(B2939="","",IF(B2938&lt;'02_Eingaben'!$C$36,0,J2938+I2938/'02_Eingaben'!$C$8))</f>
        <v/>
      </c>
    </row>
    <row r="2940" spans="1:10" x14ac:dyDescent="0.25">
      <c r="A2940" t="str">
        <f>IF('01_Rohdaten'!A2940="","",ROW()-1)</f>
        <v/>
      </c>
      <c r="B2940" s="17" t="str">
        <f>IF('01_Rohdaten'!A2940="","",'01_Rohdaten'!A2940)</f>
        <v/>
      </c>
      <c r="C2940" s="17" t="str">
        <f>IF(B2940="","",INDEX('01_Rohdaten'!B2940:D2940,'02_Eingaben'!$C$13))</f>
        <v/>
      </c>
      <c r="D2940" s="17" t="str">
        <f>IF(C2940="","",C2940*'02_Eingaben'!$C$15)</f>
        <v/>
      </c>
      <c r="E2940" s="17" t="str">
        <f>IF(D2940="","",D2940*'02_Eingaben'!$C$8)</f>
        <v/>
      </c>
      <c r="F2940" s="17" t="str">
        <f>IF(E2940="","",AVERAGE(INDEX($E$2:$E$3001,MAX(1,ROW()-1-'02_Eingaben'!$C$17)):INDEX($E$2:$E$3001,MIN('02_Eingaben'!$C$21,ROW()-1+'02_Eingaben'!$C$17))))</f>
        <v/>
      </c>
      <c r="G2940" s="17" t="str">
        <f>IF(F2940="","",F2940-'02_Eingaben'!$C$10)</f>
        <v/>
      </c>
      <c r="H2940" t="str">
        <f>IF(F2940="","",IF(F2940&lt;'02_Eingaben'!$C$18*'02_Eingaben'!$C$10,1,0))</f>
        <v/>
      </c>
      <c r="I2940" s="17" t="str">
        <f t="shared" si="45"/>
        <v/>
      </c>
      <c r="J2940" s="17" t="str">
        <f>IF(B2940="","",IF(B2939&lt;'02_Eingaben'!$C$36,0,J2939+I2939/'02_Eingaben'!$C$8))</f>
        <v/>
      </c>
    </row>
    <row r="2941" spans="1:10" x14ac:dyDescent="0.25">
      <c r="A2941" t="str">
        <f>IF('01_Rohdaten'!A2941="","",ROW()-1)</f>
        <v/>
      </c>
      <c r="B2941" s="17" t="str">
        <f>IF('01_Rohdaten'!A2941="","",'01_Rohdaten'!A2941)</f>
        <v/>
      </c>
      <c r="C2941" s="17" t="str">
        <f>IF(B2941="","",INDEX('01_Rohdaten'!B2941:D2941,'02_Eingaben'!$C$13))</f>
        <v/>
      </c>
      <c r="D2941" s="17" t="str">
        <f>IF(C2941="","",C2941*'02_Eingaben'!$C$15)</f>
        <v/>
      </c>
      <c r="E2941" s="17" t="str">
        <f>IF(D2941="","",D2941*'02_Eingaben'!$C$8)</f>
        <v/>
      </c>
      <c r="F2941" s="17" t="str">
        <f>IF(E2941="","",AVERAGE(INDEX($E$2:$E$3001,MAX(1,ROW()-1-'02_Eingaben'!$C$17)):INDEX($E$2:$E$3001,MIN('02_Eingaben'!$C$21,ROW()-1+'02_Eingaben'!$C$17))))</f>
        <v/>
      </c>
      <c r="G2941" s="17" t="str">
        <f>IF(F2941="","",F2941-'02_Eingaben'!$C$10)</f>
        <v/>
      </c>
      <c r="H2941" t="str">
        <f>IF(F2941="","",IF(F2941&lt;'02_Eingaben'!$C$18*'02_Eingaben'!$C$10,1,0))</f>
        <v/>
      </c>
      <c r="I2941" s="17" t="str">
        <f t="shared" si="45"/>
        <v/>
      </c>
      <c r="J2941" s="17" t="str">
        <f>IF(B2941="","",IF(B2940&lt;'02_Eingaben'!$C$36,0,J2940+I2940/'02_Eingaben'!$C$8))</f>
        <v/>
      </c>
    </row>
    <row r="2942" spans="1:10" x14ac:dyDescent="0.25">
      <c r="A2942" t="str">
        <f>IF('01_Rohdaten'!A2942="","",ROW()-1)</f>
        <v/>
      </c>
      <c r="B2942" s="17" t="str">
        <f>IF('01_Rohdaten'!A2942="","",'01_Rohdaten'!A2942)</f>
        <v/>
      </c>
      <c r="C2942" s="17" t="str">
        <f>IF(B2942="","",INDEX('01_Rohdaten'!B2942:D2942,'02_Eingaben'!$C$13))</f>
        <v/>
      </c>
      <c r="D2942" s="17" t="str">
        <f>IF(C2942="","",C2942*'02_Eingaben'!$C$15)</f>
        <v/>
      </c>
      <c r="E2942" s="17" t="str">
        <f>IF(D2942="","",D2942*'02_Eingaben'!$C$8)</f>
        <v/>
      </c>
      <c r="F2942" s="17" t="str">
        <f>IF(E2942="","",AVERAGE(INDEX($E$2:$E$3001,MAX(1,ROW()-1-'02_Eingaben'!$C$17)):INDEX($E$2:$E$3001,MIN('02_Eingaben'!$C$21,ROW()-1+'02_Eingaben'!$C$17))))</f>
        <v/>
      </c>
      <c r="G2942" s="17" t="str">
        <f>IF(F2942="","",F2942-'02_Eingaben'!$C$10)</f>
        <v/>
      </c>
      <c r="H2942" t="str">
        <f>IF(F2942="","",IF(F2942&lt;'02_Eingaben'!$C$18*'02_Eingaben'!$C$10,1,0))</f>
        <v/>
      </c>
      <c r="I2942" s="17" t="str">
        <f t="shared" si="45"/>
        <v/>
      </c>
      <c r="J2942" s="17" t="str">
        <f>IF(B2942="","",IF(B2941&lt;'02_Eingaben'!$C$36,0,J2941+I2941/'02_Eingaben'!$C$8))</f>
        <v/>
      </c>
    </row>
    <row r="2943" spans="1:10" x14ac:dyDescent="0.25">
      <c r="A2943" t="str">
        <f>IF('01_Rohdaten'!A2943="","",ROW()-1)</f>
        <v/>
      </c>
      <c r="B2943" s="17" t="str">
        <f>IF('01_Rohdaten'!A2943="","",'01_Rohdaten'!A2943)</f>
        <v/>
      </c>
      <c r="C2943" s="17" t="str">
        <f>IF(B2943="","",INDEX('01_Rohdaten'!B2943:D2943,'02_Eingaben'!$C$13))</f>
        <v/>
      </c>
      <c r="D2943" s="17" t="str">
        <f>IF(C2943="","",C2943*'02_Eingaben'!$C$15)</f>
        <v/>
      </c>
      <c r="E2943" s="17" t="str">
        <f>IF(D2943="","",D2943*'02_Eingaben'!$C$8)</f>
        <v/>
      </c>
      <c r="F2943" s="17" t="str">
        <f>IF(E2943="","",AVERAGE(INDEX($E$2:$E$3001,MAX(1,ROW()-1-'02_Eingaben'!$C$17)):INDEX($E$2:$E$3001,MIN('02_Eingaben'!$C$21,ROW()-1+'02_Eingaben'!$C$17))))</f>
        <v/>
      </c>
      <c r="G2943" s="17" t="str">
        <f>IF(F2943="","",F2943-'02_Eingaben'!$C$10)</f>
        <v/>
      </c>
      <c r="H2943" t="str">
        <f>IF(F2943="","",IF(F2943&lt;'02_Eingaben'!$C$18*'02_Eingaben'!$C$10,1,0))</f>
        <v/>
      </c>
      <c r="I2943" s="17" t="str">
        <f t="shared" si="45"/>
        <v/>
      </c>
      <c r="J2943" s="17" t="str">
        <f>IF(B2943="","",IF(B2942&lt;'02_Eingaben'!$C$36,0,J2942+I2942/'02_Eingaben'!$C$8))</f>
        <v/>
      </c>
    </row>
    <row r="2944" spans="1:10" x14ac:dyDescent="0.25">
      <c r="A2944" t="str">
        <f>IF('01_Rohdaten'!A2944="","",ROW()-1)</f>
        <v/>
      </c>
      <c r="B2944" s="17" t="str">
        <f>IF('01_Rohdaten'!A2944="","",'01_Rohdaten'!A2944)</f>
        <v/>
      </c>
      <c r="C2944" s="17" t="str">
        <f>IF(B2944="","",INDEX('01_Rohdaten'!B2944:D2944,'02_Eingaben'!$C$13))</f>
        <v/>
      </c>
      <c r="D2944" s="17" t="str">
        <f>IF(C2944="","",C2944*'02_Eingaben'!$C$15)</f>
        <v/>
      </c>
      <c r="E2944" s="17" t="str">
        <f>IF(D2944="","",D2944*'02_Eingaben'!$C$8)</f>
        <v/>
      </c>
      <c r="F2944" s="17" t="str">
        <f>IF(E2944="","",AVERAGE(INDEX($E$2:$E$3001,MAX(1,ROW()-1-'02_Eingaben'!$C$17)):INDEX($E$2:$E$3001,MIN('02_Eingaben'!$C$21,ROW()-1+'02_Eingaben'!$C$17))))</f>
        <v/>
      </c>
      <c r="G2944" s="17" t="str">
        <f>IF(F2944="","",F2944-'02_Eingaben'!$C$10)</f>
        <v/>
      </c>
      <c r="H2944" t="str">
        <f>IF(F2944="","",IF(F2944&lt;'02_Eingaben'!$C$18*'02_Eingaben'!$C$10,1,0))</f>
        <v/>
      </c>
      <c r="I2944" s="17" t="str">
        <f t="shared" si="45"/>
        <v/>
      </c>
      <c r="J2944" s="17" t="str">
        <f>IF(B2944="","",IF(B2943&lt;'02_Eingaben'!$C$36,0,J2943+I2943/'02_Eingaben'!$C$8))</f>
        <v/>
      </c>
    </row>
    <row r="2945" spans="1:10" x14ac:dyDescent="0.25">
      <c r="A2945" t="str">
        <f>IF('01_Rohdaten'!A2945="","",ROW()-1)</f>
        <v/>
      </c>
      <c r="B2945" s="17" t="str">
        <f>IF('01_Rohdaten'!A2945="","",'01_Rohdaten'!A2945)</f>
        <v/>
      </c>
      <c r="C2945" s="17" t="str">
        <f>IF(B2945="","",INDEX('01_Rohdaten'!B2945:D2945,'02_Eingaben'!$C$13))</f>
        <v/>
      </c>
      <c r="D2945" s="17" t="str">
        <f>IF(C2945="","",C2945*'02_Eingaben'!$C$15)</f>
        <v/>
      </c>
      <c r="E2945" s="17" t="str">
        <f>IF(D2945="","",D2945*'02_Eingaben'!$C$8)</f>
        <v/>
      </c>
      <c r="F2945" s="17" t="str">
        <f>IF(E2945="","",AVERAGE(INDEX($E$2:$E$3001,MAX(1,ROW()-1-'02_Eingaben'!$C$17)):INDEX($E$2:$E$3001,MIN('02_Eingaben'!$C$21,ROW()-1+'02_Eingaben'!$C$17))))</f>
        <v/>
      </c>
      <c r="G2945" s="17" t="str">
        <f>IF(F2945="","",F2945-'02_Eingaben'!$C$10)</f>
        <v/>
      </c>
      <c r="H2945" t="str">
        <f>IF(F2945="","",IF(F2945&lt;'02_Eingaben'!$C$18*'02_Eingaben'!$C$10,1,0))</f>
        <v/>
      </c>
      <c r="I2945" s="17" t="str">
        <f t="shared" si="45"/>
        <v/>
      </c>
      <c r="J2945" s="17" t="str">
        <f>IF(B2945="","",IF(B2944&lt;'02_Eingaben'!$C$36,0,J2944+I2944/'02_Eingaben'!$C$8))</f>
        <v/>
      </c>
    </row>
    <row r="2946" spans="1:10" x14ac:dyDescent="0.25">
      <c r="A2946" t="str">
        <f>IF('01_Rohdaten'!A2946="","",ROW()-1)</f>
        <v/>
      </c>
      <c r="B2946" s="17" t="str">
        <f>IF('01_Rohdaten'!A2946="","",'01_Rohdaten'!A2946)</f>
        <v/>
      </c>
      <c r="C2946" s="17" t="str">
        <f>IF(B2946="","",INDEX('01_Rohdaten'!B2946:D2946,'02_Eingaben'!$C$13))</f>
        <v/>
      </c>
      <c r="D2946" s="17" t="str">
        <f>IF(C2946="","",C2946*'02_Eingaben'!$C$15)</f>
        <v/>
      </c>
      <c r="E2946" s="17" t="str">
        <f>IF(D2946="","",D2946*'02_Eingaben'!$C$8)</f>
        <v/>
      </c>
      <c r="F2946" s="17" t="str">
        <f>IF(E2946="","",AVERAGE(INDEX($E$2:$E$3001,MAX(1,ROW()-1-'02_Eingaben'!$C$17)):INDEX($E$2:$E$3001,MIN('02_Eingaben'!$C$21,ROW()-1+'02_Eingaben'!$C$17))))</f>
        <v/>
      </c>
      <c r="G2946" s="17" t="str">
        <f>IF(F2946="","",F2946-'02_Eingaben'!$C$10)</f>
        <v/>
      </c>
      <c r="H2946" t="str">
        <f>IF(F2946="","",IF(F2946&lt;'02_Eingaben'!$C$18*'02_Eingaben'!$C$10,1,0))</f>
        <v/>
      </c>
      <c r="I2946" s="17" t="str">
        <f t="shared" ref="I2946:I3000" si="46">IF(OR(G2946="",G2947=""),"",(G2946+G2947)/2*(B2947-B2946))</f>
        <v/>
      </c>
      <c r="J2946" s="17" t="str">
        <f>IF(B2946="","",IF(B2945&lt;'02_Eingaben'!$C$36,0,J2945+I2945/'02_Eingaben'!$C$8))</f>
        <v/>
      </c>
    </row>
    <row r="2947" spans="1:10" x14ac:dyDescent="0.25">
      <c r="A2947" t="str">
        <f>IF('01_Rohdaten'!A2947="","",ROW()-1)</f>
        <v/>
      </c>
      <c r="B2947" s="17" t="str">
        <f>IF('01_Rohdaten'!A2947="","",'01_Rohdaten'!A2947)</f>
        <v/>
      </c>
      <c r="C2947" s="17" t="str">
        <f>IF(B2947="","",INDEX('01_Rohdaten'!B2947:D2947,'02_Eingaben'!$C$13))</f>
        <v/>
      </c>
      <c r="D2947" s="17" t="str">
        <f>IF(C2947="","",C2947*'02_Eingaben'!$C$15)</f>
        <v/>
      </c>
      <c r="E2947" s="17" t="str">
        <f>IF(D2947="","",D2947*'02_Eingaben'!$C$8)</f>
        <v/>
      </c>
      <c r="F2947" s="17" t="str">
        <f>IF(E2947="","",AVERAGE(INDEX($E$2:$E$3001,MAX(1,ROW()-1-'02_Eingaben'!$C$17)):INDEX($E$2:$E$3001,MIN('02_Eingaben'!$C$21,ROW()-1+'02_Eingaben'!$C$17))))</f>
        <v/>
      </c>
      <c r="G2947" s="17" t="str">
        <f>IF(F2947="","",F2947-'02_Eingaben'!$C$10)</f>
        <v/>
      </c>
      <c r="H2947" t="str">
        <f>IF(F2947="","",IF(F2947&lt;'02_Eingaben'!$C$18*'02_Eingaben'!$C$10,1,0))</f>
        <v/>
      </c>
      <c r="I2947" s="17" t="str">
        <f t="shared" si="46"/>
        <v/>
      </c>
      <c r="J2947" s="17" t="str">
        <f>IF(B2947="","",IF(B2946&lt;'02_Eingaben'!$C$36,0,J2946+I2946/'02_Eingaben'!$C$8))</f>
        <v/>
      </c>
    </row>
    <row r="2948" spans="1:10" x14ac:dyDescent="0.25">
      <c r="A2948" t="str">
        <f>IF('01_Rohdaten'!A2948="","",ROW()-1)</f>
        <v/>
      </c>
      <c r="B2948" s="17" t="str">
        <f>IF('01_Rohdaten'!A2948="","",'01_Rohdaten'!A2948)</f>
        <v/>
      </c>
      <c r="C2948" s="17" t="str">
        <f>IF(B2948="","",INDEX('01_Rohdaten'!B2948:D2948,'02_Eingaben'!$C$13))</f>
        <v/>
      </c>
      <c r="D2948" s="17" t="str">
        <f>IF(C2948="","",C2948*'02_Eingaben'!$C$15)</f>
        <v/>
      </c>
      <c r="E2948" s="17" t="str">
        <f>IF(D2948="","",D2948*'02_Eingaben'!$C$8)</f>
        <v/>
      </c>
      <c r="F2948" s="17" t="str">
        <f>IF(E2948="","",AVERAGE(INDEX($E$2:$E$3001,MAX(1,ROW()-1-'02_Eingaben'!$C$17)):INDEX($E$2:$E$3001,MIN('02_Eingaben'!$C$21,ROW()-1+'02_Eingaben'!$C$17))))</f>
        <v/>
      </c>
      <c r="G2948" s="17" t="str">
        <f>IF(F2948="","",F2948-'02_Eingaben'!$C$10)</f>
        <v/>
      </c>
      <c r="H2948" t="str">
        <f>IF(F2948="","",IF(F2948&lt;'02_Eingaben'!$C$18*'02_Eingaben'!$C$10,1,0))</f>
        <v/>
      </c>
      <c r="I2948" s="17" t="str">
        <f t="shared" si="46"/>
        <v/>
      </c>
      <c r="J2948" s="17" t="str">
        <f>IF(B2948="","",IF(B2947&lt;'02_Eingaben'!$C$36,0,J2947+I2947/'02_Eingaben'!$C$8))</f>
        <v/>
      </c>
    </row>
    <row r="2949" spans="1:10" x14ac:dyDescent="0.25">
      <c r="A2949" t="str">
        <f>IF('01_Rohdaten'!A2949="","",ROW()-1)</f>
        <v/>
      </c>
      <c r="B2949" s="17" t="str">
        <f>IF('01_Rohdaten'!A2949="","",'01_Rohdaten'!A2949)</f>
        <v/>
      </c>
      <c r="C2949" s="17" t="str">
        <f>IF(B2949="","",INDEX('01_Rohdaten'!B2949:D2949,'02_Eingaben'!$C$13))</f>
        <v/>
      </c>
      <c r="D2949" s="17" t="str">
        <f>IF(C2949="","",C2949*'02_Eingaben'!$C$15)</f>
        <v/>
      </c>
      <c r="E2949" s="17" t="str">
        <f>IF(D2949="","",D2949*'02_Eingaben'!$C$8)</f>
        <v/>
      </c>
      <c r="F2949" s="17" t="str">
        <f>IF(E2949="","",AVERAGE(INDEX($E$2:$E$3001,MAX(1,ROW()-1-'02_Eingaben'!$C$17)):INDEX($E$2:$E$3001,MIN('02_Eingaben'!$C$21,ROW()-1+'02_Eingaben'!$C$17))))</f>
        <v/>
      </c>
      <c r="G2949" s="17" t="str">
        <f>IF(F2949="","",F2949-'02_Eingaben'!$C$10)</f>
        <v/>
      </c>
      <c r="H2949" t="str">
        <f>IF(F2949="","",IF(F2949&lt;'02_Eingaben'!$C$18*'02_Eingaben'!$C$10,1,0))</f>
        <v/>
      </c>
      <c r="I2949" s="17" t="str">
        <f t="shared" si="46"/>
        <v/>
      </c>
      <c r="J2949" s="17" t="str">
        <f>IF(B2949="","",IF(B2948&lt;'02_Eingaben'!$C$36,0,J2948+I2948/'02_Eingaben'!$C$8))</f>
        <v/>
      </c>
    </row>
    <row r="2950" spans="1:10" x14ac:dyDescent="0.25">
      <c r="A2950" t="str">
        <f>IF('01_Rohdaten'!A2950="","",ROW()-1)</f>
        <v/>
      </c>
      <c r="B2950" s="17" t="str">
        <f>IF('01_Rohdaten'!A2950="","",'01_Rohdaten'!A2950)</f>
        <v/>
      </c>
      <c r="C2950" s="17" t="str">
        <f>IF(B2950="","",INDEX('01_Rohdaten'!B2950:D2950,'02_Eingaben'!$C$13))</f>
        <v/>
      </c>
      <c r="D2950" s="17" t="str">
        <f>IF(C2950="","",C2950*'02_Eingaben'!$C$15)</f>
        <v/>
      </c>
      <c r="E2950" s="17" t="str">
        <f>IF(D2950="","",D2950*'02_Eingaben'!$C$8)</f>
        <v/>
      </c>
      <c r="F2950" s="17" t="str">
        <f>IF(E2950="","",AVERAGE(INDEX($E$2:$E$3001,MAX(1,ROW()-1-'02_Eingaben'!$C$17)):INDEX($E$2:$E$3001,MIN('02_Eingaben'!$C$21,ROW()-1+'02_Eingaben'!$C$17))))</f>
        <v/>
      </c>
      <c r="G2950" s="17" t="str">
        <f>IF(F2950="","",F2950-'02_Eingaben'!$C$10)</f>
        <v/>
      </c>
      <c r="H2950" t="str">
        <f>IF(F2950="","",IF(F2950&lt;'02_Eingaben'!$C$18*'02_Eingaben'!$C$10,1,0))</f>
        <v/>
      </c>
      <c r="I2950" s="17" t="str">
        <f t="shared" si="46"/>
        <v/>
      </c>
      <c r="J2950" s="17" t="str">
        <f>IF(B2950="","",IF(B2949&lt;'02_Eingaben'!$C$36,0,J2949+I2949/'02_Eingaben'!$C$8))</f>
        <v/>
      </c>
    </row>
    <row r="2951" spans="1:10" x14ac:dyDescent="0.25">
      <c r="A2951" t="str">
        <f>IF('01_Rohdaten'!A2951="","",ROW()-1)</f>
        <v/>
      </c>
      <c r="B2951" s="17" t="str">
        <f>IF('01_Rohdaten'!A2951="","",'01_Rohdaten'!A2951)</f>
        <v/>
      </c>
      <c r="C2951" s="17" t="str">
        <f>IF(B2951="","",INDEX('01_Rohdaten'!B2951:D2951,'02_Eingaben'!$C$13))</f>
        <v/>
      </c>
      <c r="D2951" s="17" t="str">
        <f>IF(C2951="","",C2951*'02_Eingaben'!$C$15)</f>
        <v/>
      </c>
      <c r="E2951" s="17" t="str">
        <f>IF(D2951="","",D2951*'02_Eingaben'!$C$8)</f>
        <v/>
      </c>
      <c r="F2951" s="17" t="str">
        <f>IF(E2951="","",AVERAGE(INDEX($E$2:$E$3001,MAX(1,ROW()-1-'02_Eingaben'!$C$17)):INDEX($E$2:$E$3001,MIN('02_Eingaben'!$C$21,ROW()-1+'02_Eingaben'!$C$17))))</f>
        <v/>
      </c>
      <c r="G2951" s="17" t="str">
        <f>IF(F2951="","",F2951-'02_Eingaben'!$C$10)</f>
        <v/>
      </c>
      <c r="H2951" t="str">
        <f>IF(F2951="","",IF(F2951&lt;'02_Eingaben'!$C$18*'02_Eingaben'!$C$10,1,0))</f>
        <v/>
      </c>
      <c r="I2951" s="17" t="str">
        <f t="shared" si="46"/>
        <v/>
      </c>
      <c r="J2951" s="17" t="str">
        <f>IF(B2951="","",IF(B2950&lt;'02_Eingaben'!$C$36,0,J2950+I2950/'02_Eingaben'!$C$8))</f>
        <v/>
      </c>
    </row>
    <row r="2952" spans="1:10" x14ac:dyDescent="0.25">
      <c r="A2952" t="str">
        <f>IF('01_Rohdaten'!A2952="","",ROW()-1)</f>
        <v/>
      </c>
      <c r="B2952" s="17" t="str">
        <f>IF('01_Rohdaten'!A2952="","",'01_Rohdaten'!A2952)</f>
        <v/>
      </c>
      <c r="C2952" s="17" t="str">
        <f>IF(B2952="","",INDEX('01_Rohdaten'!B2952:D2952,'02_Eingaben'!$C$13))</f>
        <v/>
      </c>
      <c r="D2952" s="17" t="str">
        <f>IF(C2952="","",C2952*'02_Eingaben'!$C$15)</f>
        <v/>
      </c>
      <c r="E2952" s="17" t="str">
        <f>IF(D2952="","",D2952*'02_Eingaben'!$C$8)</f>
        <v/>
      </c>
      <c r="F2952" s="17" t="str">
        <f>IF(E2952="","",AVERAGE(INDEX($E$2:$E$3001,MAX(1,ROW()-1-'02_Eingaben'!$C$17)):INDEX($E$2:$E$3001,MIN('02_Eingaben'!$C$21,ROW()-1+'02_Eingaben'!$C$17))))</f>
        <v/>
      </c>
      <c r="G2952" s="17" t="str">
        <f>IF(F2952="","",F2952-'02_Eingaben'!$C$10)</f>
        <v/>
      </c>
      <c r="H2952" t="str">
        <f>IF(F2952="","",IF(F2952&lt;'02_Eingaben'!$C$18*'02_Eingaben'!$C$10,1,0))</f>
        <v/>
      </c>
      <c r="I2952" s="17" t="str">
        <f t="shared" si="46"/>
        <v/>
      </c>
      <c r="J2952" s="17" t="str">
        <f>IF(B2952="","",IF(B2951&lt;'02_Eingaben'!$C$36,0,J2951+I2951/'02_Eingaben'!$C$8))</f>
        <v/>
      </c>
    </row>
    <row r="2953" spans="1:10" x14ac:dyDescent="0.25">
      <c r="A2953" t="str">
        <f>IF('01_Rohdaten'!A2953="","",ROW()-1)</f>
        <v/>
      </c>
      <c r="B2953" s="17" t="str">
        <f>IF('01_Rohdaten'!A2953="","",'01_Rohdaten'!A2953)</f>
        <v/>
      </c>
      <c r="C2953" s="17" t="str">
        <f>IF(B2953="","",INDEX('01_Rohdaten'!B2953:D2953,'02_Eingaben'!$C$13))</f>
        <v/>
      </c>
      <c r="D2953" s="17" t="str">
        <f>IF(C2953="","",C2953*'02_Eingaben'!$C$15)</f>
        <v/>
      </c>
      <c r="E2953" s="17" t="str">
        <f>IF(D2953="","",D2953*'02_Eingaben'!$C$8)</f>
        <v/>
      </c>
      <c r="F2953" s="17" t="str">
        <f>IF(E2953="","",AVERAGE(INDEX($E$2:$E$3001,MAX(1,ROW()-1-'02_Eingaben'!$C$17)):INDEX($E$2:$E$3001,MIN('02_Eingaben'!$C$21,ROW()-1+'02_Eingaben'!$C$17))))</f>
        <v/>
      </c>
      <c r="G2953" s="17" t="str">
        <f>IF(F2953="","",F2953-'02_Eingaben'!$C$10)</f>
        <v/>
      </c>
      <c r="H2953" t="str">
        <f>IF(F2953="","",IF(F2953&lt;'02_Eingaben'!$C$18*'02_Eingaben'!$C$10,1,0))</f>
        <v/>
      </c>
      <c r="I2953" s="17" t="str">
        <f t="shared" si="46"/>
        <v/>
      </c>
      <c r="J2953" s="17" t="str">
        <f>IF(B2953="","",IF(B2952&lt;'02_Eingaben'!$C$36,0,J2952+I2952/'02_Eingaben'!$C$8))</f>
        <v/>
      </c>
    </row>
    <row r="2954" spans="1:10" x14ac:dyDescent="0.25">
      <c r="A2954" t="str">
        <f>IF('01_Rohdaten'!A2954="","",ROW()-1)</f>
        <v/>
      </c>
      <c r="B2954" s="17" t="str">
        <f>IF('01_Rohdaten'!A2954="","",'01_Rohdaten'!A2954)</f>
        <v/>
      </c>
      <c r="C2954" s="17" t="str">
        <f>IF(B2954="","",INDEX('01_Rohdaten'!B2954:D2954,'02_Eingaben'!$C$13))</f>
        <v/>
      </c>
      <c r="D2954" s="17" t="str">
        <f>IF(C2954="","",C2954*'02_Eingaben'!$C$15)</f>
        <v/>
      </c>
      <c r="E2954" s="17" t="str">
        <f>IF(D2954="","",D2954*'02_Eingaben'!$C$8)</f>
        <v/>
      </c>
      <c r="F2954" s="17" t="str">
        <f>IF(E2954="","",AVERAGE(INDEX($E$2:$E$3001,MAX(1,ROW()-1-'02_Eingaben'!$C$17)):INDEX($E$2:$E$3001,MIN('02_Eingaben'!$C$21,ROW()-1+'02_Eingaben'!$C$17))))</f>
        <v/>
      </c>
      <c r="G2954" s="17" t="str">
        <f>IF(F2954="","",F2954-'02_Eingaben'!$C$10)</f>
        <v/>
      </c>
      <c r="H2954" t="str">
        <f>IF(F2954="","",IF(F2954&lt;'02_Eingaben'!$C$18*'02_Eingaben'!$C$10,1,0))</f>
        <v/>
      </c>
      <c r="I2954" s="17" t="str">
        <f t="shared" si="46"/>
        <v/>
      </c>
      <c r="J2954" s="17" t="str">
        <f>IF(B2954="","",IF(B2953&lt;'02_Eingaben'!$C$36,0,J2953+I2953/'02_Eingaben'!$C$8))</f>
        <v/>
      </c>
    </row>
    <row r="2955" spans="1:10" x14ac:dyDescent="0.25">
      <c r="A2955" t="str">
        <f>IF('01_Rohdaten'!A2955="","",ROW()-1)</f>
        <v/>
      </c>
      <c r="B2955" s="17" t="str">
        <f>IF('01_Rohdaten'!A2955="","",'01_Rohdaten'!A2955)</f>
        <v/>
      </c>
      <c r="C2955" s="17" t="str">
        <f>IF(B2955="","",INDEX('01_Rohdaten'!B2955:D2955,'02_Eingaben'!$C$13))</f>
        <v/>
      </c>
      <c r="D2955" s="17" t="str">
        <f>IF(C2955="","",C2955*'02_Eingaben'!$C$15)</f>
        <v/>
      </c>
      <c r="E2955" s="17" t="str">
        <f>IF(D2955="","",D2955*'02_Eingaben'!$C$8)</f>
        <v/>
      </c>
      <c r="F2955" s="17" t="str">
        <f>IF(E2955="","",AVERAGE(INDEX($E$2:$E$3001,MAX(1,ROW()-1-'02_Eingaben'!$C$17)):INDEX($E$2:$E$3001,MIN('02_Eingaben'!$C$21,ROW()-1+'02_Eingaben'!$C$17))))</f>
        <v/>
      </c>
      <c r="G2955" s="17" t="str">
        <f>IF(F2955="","",F2955-'02_Eingaben'!$C$10)</f>
        <v/>
      </c>
      <c r="H2955" t="str">
        <f>IF(F2955="","",IF(F2955&lt;'02_Eingaben'!$C$18*'02_Eingaben'!$C$10,1,0))</f>
        <v/>
      </c>
      <c r="I2955" s="17" t="str">
        <f t="shared" si="46"/>
        <v/>
      </c>
      <c r="J2955" s="17" t="str">
        <f>IF(B2955="","",IF(B2954&lt;'02_Eingaben'!$C$36,0,J2954+I2954/'02_Eingaben'!$C$8))</f>
        <v/>
      </c>
    </row>
    <row r="2956" spans="1:10" x14ac:dyDescent="0.25">
      <c r="A2956" t="str">
        <f>IF('01_Rohdaten'!A2956="","",ROW()-1)</f>
        <v/>
      </c>
      <c r="B2956" s="17" t="str">
        <f>IF('01_Rohdaten'!A2956="","",'01_Rohdaten'!A2956)</f>
        <v/>
      </c>
      <c r="C2956" s="17" t="str">
        <f>IF(B2956="","",INDEX('01_Rohdaten'!B2956:D2956,'02_Eingaben'!$C$13))</f>
        <v/>
      </c>
      <c r="D2956" s="17" t="str">
        <f>IF(C2956="","",C2956*'02_Eingaben'!$C$15)</f>
        <v/>
      </c>
      <c r="E2956" s="17" t="str">
        <f>IF(D2956="","",D2956*'02_Eingaben'!$C$8)</f>
        <v/>
      </c>
      <c r="F2956" s="17" t="str">
        <f>IF(E2956="","",AVERAGE(INDEX($E$2:$E$3001,MAX(1,ROW()-1-'02_Eingaben'!$C$17)):INDEX($E$2:$E$3001,MIN('02_Eingaben'!$C$21,ROW()-1+'02_Eingaben'!$C$17))))</f>
        <v/>
      </c>
      <c r="G2956" s="17" t="str">
        <f>IF(F2956="","",F2956-'02_Eingaben'!$C$10)</f>
        <v/>
      </c>
      <c r="H2956" t="str">
        <f>IF(F2956="","",IF(F2956&lt;'02_Eingaben'!$C$18*'02_Eingaben'!$C$10,1,0))</f>
        <v/>
      </c>
      <c r="I2956" s="17" t="str">
        <f t="shared" si="46"/>
        <v/>
      </c>
      <c r="J2956" s="17" t="str">
        <f>IF(B2956="","",IF(B2955&lt;'02_Eingaben'!$C$36,0,J2955+I2955/'02_Eingaben'!$C$8))</f>
        <v/>
      </c>
    </row>
    <row r="2957" spans="1:10" x14ac:dyDescent="0.25">
      <c r="A2957" t="str">
        <f>IF('01_Rohdaten'!A2957="","",ROW()-1)</f>
        <v/>
      </c>
      <c r="B2957" s="17" t="str">
        <f>IF('01_Rohdaten'!A2957="","",'01_Rohdaten'!A2957)</f>
        <v/>
      </c>
      <c r="C2957" s="17" t="str">
        <f>IF(B2957="","",INDEX('01_Rohdaten'!B2957:D2957,'02_Eingaben'!$C$13))</f>
        <v/>
      </c>
      <c r="D2957" s="17" t="str">
        <f>IF(C2957="","",C2957*'02_Eingaben'!$C$15)</f>
        <v/>
      </c>
      <c r="E2957" s="17" t="str">
        <f>IF(D2957="","",D2957*'02_Eingaben'!$C$8)</f>
        <v/>
      </c>
      <c r="F2957" s="17" t="str">
        <f>IF(E2957="","",AVERAGE(INDEX($E$2:$E$3001,MAX(1,ROW()-1-'02_Eingaben'!$C$17)):INDEX($E$2:$E$3001,MIN('02_Eingaben'!$C$21,ROW()-1+'02_Eingaben'!$C$17))))</f>
        <v/>
      </c>
      <c r="G2957" s="17" t="str">
        <f>IF(F2957="","",F2957-'02_Eingaben'!$C$10)</f>
        <v/>
      </c>
      <c r="H2957" t="str">
        <f>IF(F2957="","",IF(F2957&lt;'02_Eingaben'!$C$18*'02_Eingaben'!$C$10,1,0))</f>
        <v/>
      </c>
      <c r="I2957" s="17" t="str">
        <f t="shared" si="46"/>
        <v/>
      </c>
      <c r="J2957" s="17" t="str">
        <f>IF(B2957="","",IF(B2956&lt;'02_Eingaben'!$C$36,0,J2956+I2956/'02_Eingaben'!$C$8))</f>
        <v/>
      </c>
    </row>
    <row r="2958" spans="1:10" x14ac:dyDescent="0.25">
      <c r="A2958" t="str">
        <f>IF('01_Rohdaten'!A2958="","",ROW()-1)</f>
        <v/>
      </c>
      <c r="B2958" s="17" t="str">
        <f>IF('01_Rohdaten'!A2958="","",'01_Rohdaten'!A2958)</f>
        <v/>
      </c>
      <c r="C2958" s="17" t="str">
        <f>IF(B2958="","",INDEX('01_Rohdaten'!B2958:D2958,'02_Eingaben'!$C$13))</f>
        <v/>
      </c>
      <c r="D2958" s="17" t="str">
        <f>IF(C2958="","",C2958*'02_Eingaben'!$C$15)</f>
        <v/>
      </c>
      <c r="E2958" s="17" t="str">
        <f>IF(D2958="","",D2958*'02_Eingaben'!$C$8)</f>
        <v/>
      </c>
      <c r="F2958" s="17" t="str">
        <f>IF(E2958="","",AVERAGE(INDEX($E$2:$E$3001,MAX(1,ROW()-1-'02_Eingaben'!$C$17)):INDEX($E$2:$E$3001,MIN('02_Eingaben'!$C$21,ROW()-1+'02_Eingaben'!$C$17))))</f>
        <v/>
      </c>
      <c r="G2958" s="17" t="str">
        <f>IF(F2958="","",F2958-'02_Eingaben'!$C$10)</f>
        <v/>
      </c>
      <c r="H2958" t="str">
        <f>IF(F2958="","",IF(F2958&lt;'02_Eingaben'!$C$18*'02_Eingaben'!$C$10,1,0))</f>
        <v/>
      </c>
      <c r="I2958" s="17" t="str">
        <f t="shared" si="46"/>
        <v/>
      </c>
      <c r="J2958" s="17" t="str">
        <f>IF(B2958="","",IF(B2957&lt;'02_Eingaben'!$C$36,0,J2957+I2957/'02_Eingaben'!$C$8))</f>
        <v/>
      </c>
    </row>
    <row r="2959" spans="1:10" x14ac:dyDescent="0.25">
      <c r="A2959" t="str">
        <f>IF('01_Rohdaten'!A2959="","",ROW()-1)</f>
        <v/>
      </c>
      <c r="B2959" s="17" t="str">
        <f>IF('01_Rohdaten'!A2959="","",'01_Rohdaten'!A2959)</f>
        <v/>
      </c>
      <c r="C2959" s="17" t="str">
        <f>IF(B2959="","",INDEX('01_Rohdaten'!B2959:D2959,'02_Eingaben'!$C$13))</f>
        <v/>
      </c>
      <c r="D2959" s="17" t="str">
        <f>IF(C2959="","",C2959*'02_Eingaben'!$C$15)</f>
        <v/>
      </c>
      <c r="E2959" s="17" t="str">
        <f>IF(D2959="","",D2959*'02_Eingaben'!$C$8)</f>
        <v/>
      </c>
      <c r="F2959" s="17" t="str">
        <f>IF(E2959="","",AVERAGE(INDEX($E$2:$E$3001,MAX(1,ROW()-1-'02_Eingaben'!$C$17)):INDEX($E$2:$E$3001,MIN('02_Eingaben'!$C$21,ROW()-1+'02_Eingaben'!$C$17))))</f>
        <v/>
      </c>
      <c r="G2959" s="17" t="str">
        <f>IF(F2959="","",F2959-'02_Eingaben'!$C$10)</f>
        <v/>
      </c>
      <c r="H2959" t="str">
        <f>IF(F2959="","",IF(F2959&lt;'02_Eingaben'!$C$18*'02_Eingaben'!$C$10,1,0))</f>
        <v/>
      </c>
      <c r="I2959" s="17" t="str">
        <f t="shared" si="46"/>
        <v/>
      </c>
      <c r="J2959" s="17" t="str">
        <f>IF(B2959="","",IF(B2958&lt;'02_Eingaben'!$C$36,0,J2958+I2958/'02_Eingaben'!$C$8))</f>
        <v/>
      </c>
    </row>
    <row r="2960" spans="1:10" x14ac:dyDescent="0.25">
      <c r="A2960" t="str">
        <f>IF('01_Rohdaten'!A2960="","",ROW()-1)</f>
        <v/>
      </c>
      <c r="B2960" s="17" t="str">
        <f>IF('01_Rohdaten'!A2960="","",'01_Rohdaten'!A2960)</f>
        <v/>
      </c>
      <c r="C2960" s="17" t="str">
        <f>IF(B2960="","",INDEX('01_Rohdaten'!B2960:D2960,'02_Eingaben'!$C$13))</f>
        <v/>
      </c>
      <c r="D2960" s="17" t="str">
        <f>IF(C2960="","",C2960*'02_Eingaben'!$C$15)</f>
        <v/>
      </c>
      <c r="E2960" s="17" t="str">
        <f>IF(D2960="","",D2960*'02_Eingaben'!$C$8)</f>
        <v/>
      </c>
      <c r="F2960" s="17" t="str">
        <f>IF(E2960="","",AVERAGE(INDEX($E$2:$E$3001,MAX(1,ROW()-1-'02_Eingaben'!$C$17)):INDEX($E$2:$E$3001,MIN('02_Eingaben'!$C$21,ROW()-1+'02_Eingaben'!$C$17))))</f>
        <v/>
      </c>
      <c r="G2960" s="17" t="str">
        <f>IF(F2960="","",F2960-'02_Eingaben'!$C$10)</f>
        <v/>
      </c>
      <c r="H2960" t="str">
        <f>IF(F2960="","",IF(F2960&lt;'02_Eingaben'!$C$18*'02_Eingaben'!$C$10,1,0))</f>
        <v/>
      </c>
      <c r="I2960" s="17" t="str">
        <f t="shared" si="46"/>
        <v/>
      </c>
      <c r="J2960" s="17" t="str">
        <f>IF(B2960="","",IF(B2959&lt;'02_Eingaben'!$C$36,0,J2959+I2959/'02_Eingaben'!$C$8))</f>
        <v/>
      </c>
    </row>
    <row r="2961" spans="1:10" x14ac:dyDescent="0.25">
      <c r="A2961" t="str">
        <f>IF('01_Rohdaten'!A2961="","",ROW()-1)</f>
        <v/>
      </c>
      <c r="B2961" s="17" t="str">
        <f>IF('01_Rohdaten'!A2961="","",'01_Rohdaten'!A2961)</f>
        <v/>
      </c>
      <c r="C2961" s="17" t="str">
        <f>IF(B2961="","",INDEX('01_Rohdaten'!B2961:D2961,'02_Eingaben'!$C$13))</f>
        <v/>
      </c>
      <c r="D2961" s="17" t="str">
        <f>IF(C2961="","",C2961*'02_Eingaben'!$C$15)</f>
        <v/>
      </c>
      <c r="E2961" s="17" t="str">
        <f>IF(D2961="","",D2961*'02_Eingaben'!$C$8)</f>
        <v/>
      </c>
      <c r="F2961" s="17" t="str">
        <f>IF(E2961="","",AVERAGE(INDEX($E$2:$E$3001,MAX(1,ROW()-1-'02_Eingaben'!$C$17)):INDEX($E$2:$E$3001,MIN('02_Eingaben'!$C$21,ROW()-1+'02_Eingaben'!$C$17))))</f>
        <v/>
      </c>
      <c r="G2961" s="17" t="str">
        <f>IF(F2961="","",F2961-'02_Eingaben'!$C$10)</f>
        <v/>
      </c>
      <c r="H2961" t="str">
        <f>IF(F2961="","",IF(F2961&lt;'02_Eingaben'!$C$18*'02_Eingaben'!$C$10,1,0))</f>
        <v/>
      </c>
      <c r="I2961" s="17" t="str">
        <f t="shared" si="46"/>
        <v/>
      </c>
      <c r="J2961" s="17" t="str">
        <f>IF(B2961="","",IF(B2960&lt;'02_Eingaben'!$C$36,0,J2960+I2960/'02_Eingaben'!$C$8))</f>
        <v/>
      </c>
    </row>
    <row r="2962" spans="1:10" x14ac:dyDescent="0.25">
      <c r="A2962" t="str">
        <f>IF('01_Rohdaten'!A2962="","",ROW()-1)</f>
        <v/>
      </c>
      <c r="B2962" s="17" t="str">
        <f>IF('01_Rohdaten'!A2962="","",'01_Rohdaten'!A2962)</f>
        <v/>
      </c>
      <c r="C2962" s="17" t="str">
        <f>IF(B2962="","",INDEX('01_Rohdaten'!B2962:D2962,'02_Eingaben'!$C$13))</f>
        <v/>
      </c>
      <c r="D2962" s="17" t="str">
        <f>IF(C2962="","",C2962*'02_Eingaben'!$C$15)</f>
        <v/>
      </c>
      <c r="E2962" s="17" t="str">
        <f>IF(D2962="","",D2962*'02_Eingaben'!$C$8)</f>
        <v/>
      </c>
      <c r="F2962" s="17" t="str">
        <f>IF(E2962="","",AVERAGE(INDEX($E$2:$E$3001,MAX(1,ROW()-1-'02_Eingaben'!$C$17)):INDEX($E$2:$E$3001,MIN('02_Eingaben'!$C$21,ROW()-1+'02_Eingaben'!$C$17))))</f>
        <v/>
      </c>
      <c r="G2962" s="17" t="str">
        <f>IF(F2962="","",F2962-'02_Eingaben'!$C$10)</f>
        <v/>
      </c>
      <c r="H2962" t="str">
        <f>IF(F2962="","",IF(F2962&lt;'02_Eingaben'!$C$18*'02_Eingaben'!$C$10,1,0))</f>
        <v/>
      </c>
      <c r="I2962" s="17" t="str">
        <f t="shared" si="46"/>
        <v/>
      </c>
      <c r="J2962" s="17" t="str">
        <f>IF(B2962="","",IF(B2961&lt;'02_Eingaben'!$C$36,0,J2961+I2961/'02_Eingaben'!$C$8))</f>
        <v/>
      </c>
    </row>
    <row r="2963" spans="1:10" x14ac:dyDescent="0.25">
      <c r="A2963" t="str">
        <f>IF('01_Rohdaten'!A2963="","",ROW()-1)</f>
        <v/>
      </c>
      <c r="B2963" s="17" t="str">
        <f>IF('01_Rohdaten'!A2963="","",'01_Rohdaten'!A2963)</f>
        <v/>
      </c>
      <c r="C2963" s="17" t="str">
        <f>IF(B2963="","",INDEX('01_Rohdaten'!B2963:D2963,'02_Eingaben'!$C$13))</f>
        <v/>
      </c>
      <c r="D2963" s="17" t="str">
        <f>IF(C2963="","",C2963*'02_Eingaben'!$C$15)</f>
        <v/>
      </c>
      <c r="E2963" s="17" t="str">
        <f>IF(D2963="","",D2963*'02_Eingaben'!$C$8)</f>
        <v/>
      </c>
      <c r="F2963" s="17" t="str">
        <f>IF(E2963="","",AVERAGE(INDEX($E$2:$E$3001,MAX(1,ROW()-1-'02_Eingaben'!$C$17)):INDEX($E$2:$E$3001,MIN('02_Eingaben'!$C$21,ROW()-1+'02_Eingaben'!$C$17))))</f>
        <v/>
      </c>
      <c r="G2963" s="17" t="str">
        <f>IF(F2963="","",F2963-'02_Eingaben'!$C$10)</f>
        <v/>
      </c>
      <c r="H2963" t="str">
        <f>IF(F2963="","",IF(F2963&lt;'02_Eingaben'!$C$18*'02_Eingaben'!$C$10,1,0))</f>
        <v/>
      </c>
      <c r="I2963" s="17" t="str">
        <f t="shared" si="46"/>
        <v/>
      </c>
      <c r="J2963" s="17" t="str">
        <f>IF(B2963="","",IF(B2962&lt;'02_Eingaben'!$C$36,0,J2962+I2962/'02_Eingaben'!$C$8))</f>
        <v/>
      </c>
    </row>
    <row r="2964" spans="1:10" x14ac:dyDescent="0.25">
      <c r="A2964" t="str">
        <f>IF('01_Rohdaten'!A2964="","",ROW()-1)</f>
        <v/>
      </c>
      <c r="B2964" s="17" t="str">
        <f>IF('01_Rohdaten'!A2964="","",'01_Rohdaten'!A2964)</f>
        <v/>
      </c>
      <c r="C2964" s="17" t="str">
        <f>IF(B2964="","",INDEX('01_Rohdaten'!B2964:D2964,'02_Eingaben'!$C$13))</f>
        <v/>
      </c>
      <c r="D2964" s="17" t="str">
        <f>IF(C2964="","",C2964*'02_Eingaben'!$C$15)</f>
        <v/>
      </c>
      <c r="E2964" s="17" t="str">
        <f>IF(D2964="","",D2964*'02_Eingaben'!$C$8)</f>
        <v/>
      </c>
      <c r="F2964" s="17" t="str">
        <f>IF(E2964="","",AVERAGE(INDEX($E$2:$E$3001,MAX(1,ROW()-1-'02_Eingaben'!$C$17)):INDEX($E$2:$E$3001,MIN('02_Eingaben'!$C$21,ROW()-1+'02_Eingaben'!$C$17))))</f>
        <v/>
      </c>
      <c r="G2964" s="17" t="str">
        <f>IF(F2964="","",F2964-'02_Eingaben'!$C$10)</f>
        <v/>
      </c>
      <c r="H2964" t="str">
        <f>IF(F2964="","",IF(F2964&lt;'02_Eingaben'!$C$18*'02_Eingaben'!$C$10,1,0))</f>
        <v/>
      </c>
      <c r="I2964" s="17" t="str">
        <f t="shared" si="46"/>
        <v/>
      </c>
      <c r="J2964" s="17" t="str">
        <f>IF(B2964="","",IF(B2963&lt;'02_Eingaben'!$C$36,0,J2963+I2963/'02_Eingaben'!$C$8))</f>
        <v/>
      </c>
    </row>
    <row r="2965" spans="1:10" x14ac:dyDescent="0.25">
      <c r="A2965" t="str">
        <f>IF('01_Rohdaten'!A2965="","",ROW()-1)</f>
        <v/>
      </c>
      <c r="B2965" s="17" t="str">
        <f>IF('01_Rohdaten'!A2965="","",'01_Rohdaten'!A2965)</f>
        <v/>
      </c>
      <c r="C2965" s="17" t="str">
        <f>IF(B2965="","",INDEX('01_Rohdaten'!B2965:D2965,'02_Eingaben'!$C$13))</f>
        <v/>
      </c>
      <c r="D2965" s="17" t="str">
        <f>IF(C2965="","",C2965*'02_Eingaben'!$C$15)</f>
        <v/>
      </c>
      <c r="E2965" s="17" t="str">
        <f>IF(D2965="","",D2965*'02_Eingaben'!$C$8)</f>
        <v/>
      </c>
      <c r="F2965" s="17" t="str">
        <f>IF(E2965="","",AVERAGE(INDEX($E$2:$E$3001,MAX(1,ROW()-1-'02_Eingaben'!$C$17)):INDEX($E$2:$E$3001,MIN('02_Eingaben'!$C$21,ROW()-1+'02_Eingaben'!$C$17))))</f>
        <v/>
      </c>
      <c r="G2965" s="17" t="str">
        <f>IF(F2965="","",F2965-'02_Eingaben'!$C$10)</f>
        <v/>
      </c>
      <c r="H2965" t="str">
        <f>IF(F2965="","",IF(F2965&lt;'02_Eingaben'!$C$18*'02_Eingaben'!$C$10,1,0))</f>
        <v/>
      </c>
      <c r="I2965" s="17" t="str">
        <f t="shared" si="46"/>
        <v/>
      </c>
      <c r="J2965" s="17" t="str">
        <f>IF(B2965="","",IF(B2964&lt;'02_Eingaben'!$C$36,0,J2964+I2964/'02_Eingaben'!$C$8))</f>
        <v/>
      </c>
    </row>
    <row r="2966" spans="1:10" x14ac:dyDescent="0.25">
      <c r="A2966" t="str">
        <f>IF('01_Rohdaten'!A2966="","",ROW()-1)</f>
        <v/>
      </c>
      <c r="B2966" s="17" t="str">
        <f>IF('01_Rohdaten'!A2966="","",'01_Rohdaten'!A2966)</f>
        <v/>
      </c>
      <c r="C2966" s="17" t="str">
        <f>IF(B2966="","",INDEX('01_Rohdaten'!B2966:D2966,'02_Eingaben'!$C$13))</f>
        <v/>
      </c>
      <c r="D2966" s="17" t="str">
        <f>IF(C2966="","",C2966*'02_Eingaben'!$C$15)</f>
        <v/>
      </c>
      <c r="E2966" s="17" t="str">
        <f>IF(D2966="","",D2966*'02_Eingaben'!$C$8)</f>
        <v/>
      </c>
      <c r="F2966" s="17" t="str">
        <f>IF(E2966="","",AVERAGE(INDEX($E$2:$E$3001,MAX(1,ROW()-1-'02_Eingaben'!$C$17)):INDEX($E$2:$E$3001,MIN('02_Eingaben'!$C$21,ROW()-1+'02_Eingaben'!$C$17))))</f>
        <v/>
      </c>
      <c r="G2966" s="17" t="str">
        <f>IF(F2966="","",F2966-'02_Eingaben'!$C$10)</f>
        <v/>
      </c>
      <c r="H2966" t="str">
        <f>IF(F2966="","",IF(F2966&lt;'02_Eingaben'!$C$18*'02_Eingaben'!$C$10,1,0))</f>
        <v/>
      </c>
      <c r="I2966" s="17" t="str">
        <f t="shared" si="46"/>
        <v/>
      </c>
      <c r="J2966" s="17" t="str">
        <f>IF(B2966="","",IF(B2965&lt;'02_Eingaben'!$C$36,0,J2965+I2965/'02_Eingaben'!$C$8))</f>
        <v/>
      </c>
    </row>
    <row r="2967" spans="1:10" x14ac:dyDescent="0.25">
      <c r="A2967" t="str">
        <f>IF('01_Rohdaten'!A2967="","",ROW()-1)</f>
        <v/>
      </c>
      <c r="B2967" s="17" t="str">
        <f>IF('01_Rohdaten'!A2967="","",'01_Rohdaten'!A2967)</f>
        <v/>
      </c>
      <c r="C2967" s="17" t="str">
        <f>IF(B2967="","",INDEX('01_Rohdaten'!B2967:D2967,'02_Eingaben'!$C$13))</f>
        <v/>
      </c>
      <c r="D2967" s="17" t="str">
        <f>IF(C2967="","",C2967*'02_Eingaben'!$C$15)</f>
        <v/>
      </c>
      <c r="E2967" s="17" t="str">
        <f>IF(D2967="","",D2967*'02_Eingaben'!$C$8)</f>
        <v/>
      </c>
      <c r="F2967" s="17" t="str">
        <f>IF(E2967="","",AVERAGE(INDEX($E$2:$E$3001,MAX(1,ROW()-1-'02_Eingaben'!$C$17)):INDEX($E$2:$E$3001,MIN('02_Eingaben'!$C$21,ROW()-1+'02_Eingaben'!$C$17))))</f>
        <v/>
      </c>
      <c r="G2967" s="17" t="str">
        <f>IF(F2967="","",F2967-'02_Eingaben'!$C$10)</f>
        <v/>
      </c>
      <c r="H2967" t="str">
        <f>IF(F2967="","",IF(F2967&lt;'02_Eingaben'!$C$18*'02_Eingaben'!$C$10,1,0))</f>
        <v/>
      </c>
      <c r="I2967" s="17" t="str">
        <f t="shared" si="46"/>
        <v/>
      </c>
      <c r="J2967" s="17" t="str">
        <f>IF(B2967="","",IF(B2966&lt;'02_Eingaben'!$C$36,0,J2966+I2966/'02_Eingaben'!$C$8))</f>
        <v/>
      </c>
    </row>
    <row r="2968" spans="1:10" x14ac:dyDescent="0.25">
      <c r="A2968" t="str">
        <f>IF('01_Rohdaten'!A2968="","",ROW()-1)</f>
        <v/>
      </c>
      <c r="B2968" s="17" t="str">
        <f>IF('01_Rohdaten'!A2968="","",'01_Rohdaten'!A2968)</f>
        <v/>
      </c>
      <c r="C2968" s="17" t="str">
        <f>IF(B2968="","",INDEX('01_Rohdaten'!B2968:D2968,'02_Eingaben'!$C$13))</f>
        <v/>
      </c>
      <c r="D2968" s="17" t="str">
        <f>IF(C2968="","",C2968*'02_Eingaben'!$C$15)</f>
        <v/>
      </c>
      <c r="E2968" s="17" t="str">
        <f>IF(D2968="","",D2968*'02_Eingaben'!$C$8)</f>
        <v/>
      </c>
      <c r="F2968" s="17" t="str">
        <f>IF(E2968="","",AVERAGE(INDEX($E$2:$E$3001,MAX(1,ROW()-1-'02_Eingaben'!$C$17)):INDEX($E$2:$E$3001,MIN('02_Eingaben'!$C$21,ROW()-1+'02_Eingaben'!$C$17))))</f>
        <v/>
      </c>
      <c r="G2968" s="17" t="str">
        <f>IF(F2968="","",F2968-'02_Eingaben'!$C$10)</f>
        <v/>
      </c>
      <c r="H2968" t="str">
        <f>IF(F2968="","",IF(F2968&lt;'02_Eingaben'!$C$18*'02_Eingaben'!$C$10,1,0))</f>
        <v/>
      </c>
      <c r="I2968" s="17" t="str">
        <f t="shared" si="46"/>
        <v/>
      </c>
      <c r="J2968" s="17" t="str">
        <f>IF(B2968="","",IF(B2967&lt;'02_Eingaben'!$C$36,0,J2967+I2967/'02_Eingaben'!$C$8))</f>
        <v/>
      </c>
    </row>
    <row r="2969" spans="1:10" x14ac:dyDescent="0.25">
      <c r="A2969" t="str">
        <f>IF('01_Rohdaten'!A2969="","",ROW()-1)</f>
        <v/>
      </c>
      <c r="B2969" s="17" t="str">
        <f>IF('01_Rohdaten'!A2969="","",'01_Rohdaten'!A2969)</f>
        <v/>
      </c>
      <c r="C2969" s="17" t="str">
        <f>IF(B2969="","",INDEX('01_Rohdaten'!B2969:D2969,'02_Eingaben'!$C$13))</f>
        <v/>
      </c>
      <c r="D2969" s="17" t="str">
        <f>IF(C2969="","",C2969*'02_Eingaben'!$C$15)</f>
        <v/>
      </c>
      <c r="E2969" s="17" t="str">
        <f>IF(D2969="","",D2969*'02_Eingaben'!$C$8)</f>
        <v/>
      </c>
      <c r="F2969" s="17" t="str">
        <f>IF(E2969="","",AVERAGE(INDEX($E$2:$E$3001,MAX(1,ROW()-1-'02_Eingaben'!$C$17)):INDEX($E$2:$E$3001,MIN('02_Eingaben'!$C$21,ROW()-1+'02_Eingaben'!$C$17))))</f>
        <v/>
      </c>
      <c r="G2969" s="17" t="str">
        <f>IF(F2969="","",F2969-'02_Eingaben'!$C$10)</f>
        <v/>
      </c>
      <c r="H2969" t="str">
        <f>IF(F2969="","",IF(F2969&lt;'02_Eingaben'!$C$18*'02_Eingaben'!$C$10,1,0))</f>
        <v/>
      </c>
      <c r="I2969" s="17" t="str">
        <f t="shared" si="46"/>
        <v/>
      </c>
      <c r="J2969" s="17" t="str">
        <f>IF(B2969="","",IF(B2968&lt;'02_Eingaben'!$C$36,0,J2968+I2968/'02_Eingaben'!$C$8))</f>
        <v/>
      </c>
    </row>
    <row r="2970" spans="1:10" x14ac:dyDescent="0.25">
      <c r="A2970" t="str">
        <f>IF('01_Rohdaten'!A2970="","",ROW()-1)</f>
        <v/>
      </c>
      <c r="B2970" s="17" t="str">
        <f>IF('01_Rohdaten'!A2970="","",'01_Rohdaten'!A2970)</f>
        <v/>
      </c>
      <c r="C2970" s="17" t="str">
        <f>IF(B2970="","",INDEX('01_Rohdaten'!B2970:D2970,'02_Eingaben'!$C$13))</f>
        <v/>
      </c>
      <c r="D2970" s="17" t="str">
        <f>IF(C2970="","",C2970*'02_Eingaben'!$C$15)</f>
        <v/>
      </c>
      <c r="E2970" s="17" t="str">
        <f>IF(D2970="","",D2970*'02_Eingaben'!$C$8)</f>
        <v/>
      </c>
      <c r="F2970" s="17" t="str">
        <f>IF(E2970="","",AVERAGE(INDEX($E$2:$E$3001,MAX(1,ROW()-1-'02_Eingaben'!$C$17)):INDEX($E$2:$E$3001,MIN('02_Eingaben'!$C$21,ROW()-1+'02_Eingaben'!$C$17))))</f>
        <v/>
      </c>
      <c r="G2970" s="17" t="str">
        <f>IF(F2970="","",F2970-'02_Eingaben'!$C$10)</f>
        <v/>
      </c>
      <c r="H2970" t="str">
        <f>IF(F2970="","",IF(F2970&lt;'02_Eingaben'!$C$18*'02_Eingaben'!$C$10,1,0))</f>
        <v/>
      </c>
      <c r="I2970" s="17" t="str">
        <f t="shared" si="46"/>
        <v/>
      </c>
      <c r="J2970" s="17" t="str">
        <f>IF(B2970="","",IF(B2969&lt;'02_Eingaben'!$C$36,0,J2969+I2969/'02_Eingaben'!$C$8))</f>
        <v/>
      </c>
    </row>
    <row r="2971" spans="1:10" x14ac:dyDescent="0.25">
      <c r="A2971" t="str">
        <f>IF('01_Rohdaten'!A2971="","",ROW()-1)</f>
        <v/>
      </c>
      <c r="B2971" s="17" t="str">
        <f>IF('01_Rohdaten'!A2971="","",'01_Rohdaten'!A2971)</f>
        <v/>
      </c>
      <c r="C2971" s="17" t="str">
        <f>IF(B2971="","",INDEX('01_Rohdaten'!B2971:D2971,'02_Eingaben'!$C$13))</f>
        <v/>
      </c>
      <c r="D2971" s="17" t="str">
        <f>IF(C2971="","",C2971*'02_Eingaben'!$C$15)</f>
        <v/>
      </c>
      <c r="E2971" s="17" t="str">
        <f>IF(D2971="","",D2971*'02_Eingaben'!$C$8)</f>
        <v/>
      </c>
      <c r="F2971" s="17" t="str">
        <f>IF(E2971="","",AVERAGE(INDEX($E$2:$E$3001,MAX(1,ROW()-1-'02_Eingaben'!$C$17)):INDEX($E$2:$E$3001,MIN('02_Eingaben'!$C$21,ROW()-1+'02_Eingaben'!$C$17))))</f>
        <v/>
      </c>
      <c r="G2971" s="17" t="str">
        <f>IF(F2971="","",F2971-'02_Eingaben'!$C$10)</f>
        <v/>
      </c>
      <c r="H2971" t="str">
        <f>IF(F2971="","",IF(F2971&lt;'02_Eingaben'!$C$18*'02_Eingaben'!$C$10,1,0))</f>
        <v/>
      </c>
      <c r="I2971" s="17" t="str">
        <f t="shared" si="46"/>
        <v/>
      </c>
      <c r="J2971" s="17" t="str">
        <f>IF(B2971="","",IF(B2970&lt;'02_Eingaben'!$C$36,0,J2970+I2970/'02_Eingaben'!$C$8))</f>
        <v/>
      </c>
    </row>
    <row r="2972" spans="1:10" x14ac:dyDescent="0.25">
      <c r="A2972" t="str">
        <f>IF('01_Rohdaten'!A2972="","",ROW()-1)</f>
        <v/>
      </c>
      <c r="B2972" s="17" t="str">
        <f>IF('01_Rohdaten'!A2972="","",'01_Rohdaten'!A2972)</f>
        <v/>
      </c>
      <c r="C2972" s="17" t="str">
        <f>IF(B2972="","",INDEX('01_Rohdaten'!B2972:D2972,'02_Eingaben'!$C$13))</f>
        <v/>
      </c>
      <c r="D2972" s="17" t="str">
        <f>IF(C2972="","",C2972*'02_Eingaben'!$C$15)</f>
        <v/>
      </c>
      <c r="E2972" s="17" t="str">
        <f>IF(D2972="","",D2972*'02_Eingaben'!$C$8)</f>
        <v/>
      </c>
      <c r="F2972" s="17" t="str">
        <f>IF(E2972="","",AVERAGE(INDEX($E$2:$E$3001,MAX(1,ROW()-1-'02_Eingaben'!$C$17)):INDEX($E$2:$E$3001,MIN('02_Eingaben'!$C$21,ROW()-1+'02_Eingaben'!$C$17))))</f>
        <v/>
      </c>
      <c r="G2972" s="17" t="str">
        <f>IF(F2972="","",F2972-'02_Eingaben'!$C$10)</f>
        <v/>
      </c>
      <c r="H2972" t="str">
        <f>IF(F2972="","",IF(F2972&lt;'02_Eingaben'!$C$18*'02_Eingaben'!$C$10,1,0))</f>
        <v/>
      </c>
      <c r="I2972" s="17" t="str">
        <f t="shared" si="46"/>
        <v/>
      </c>
      <c r="J2972" s="17" t="str">
        <f>IF(B2972="","",IF(B2971&lt;'02_Eingaben'!$C$36,0,J2971+I2971/'02_Eingaben'!$C$8))</f>
        <v/>
      </c>
    </row>
    <row r="2973" spans="1:10" x14ac:dyDescent="0.25">
      <c r="A2973" t="str">
        <f>IF('01_Rohdaten'!A2973="","",ROW()-1)</f>
        <v/>
      </c>
      <c r="B2973" s="17" t="str">
        <f>IF('01_Rohdaten'!A2973="","",'01_Rohdaten'!A2973)</f>
        <v/>
      </c>
      <c r="C2973" s="17" t="str">
        <f>IF(B2973="","",INDEX('01_Rohdaten'!B2973:D2973,'02_Eingaben'!$C$13))</f>
        <v/>
      </c>
      <c r="D2973" s="17" t="str">
        <f>IF(C2973="","",C2973*'02_Eingaben'!$C$15)</f>
        <v/>
      </c>
      <c r="E2973" s="17" t="str">
        <f>IF(D2973="","",D2973*'02_Eingaben'!$C$8)</f>
        <v/>
      </c>
      <c r="F2973" s="17" t="str">
        <f>IF(E2973="","",AVERAGE(INDEX($E$2:$E$3001,MAX(1,ROW()-1-'02_Eingaben'!$C$17)):INDEX($E$2:$E$3001,MIN('02_Eingaben'!$C$21,ROW()-1+'02_Eingaben'!$C$17))))</f>
        <v/>
      </c>
      <c r="G2973" s="17" t="str">
        <f>IF(F2973="","",F2973-'02_Eingaben'!$C$10)</f>
        <v/>
      </c>
      <c r="H2973" t="str">
        <f>IF(F2973="","",IF(F2973&lt;'02_Eingaben'!$C$18*'02_Eingaben'!$C$10,1,0))</f>
        <v/>
      </c>
      <c r="I2973" s="17" t="str">
        <f t="shared" si="46"/>
        <v/>
      </c>
      <c r="J2973" s="17" t="str">
        <f>IF(B2973="","",IF(B2972&lt;'02_Eingaben'!$C$36,0,J2972+I2972/'02_Eingaben'!$C$8))</f>
        <v/>
      </c>
    </row>
    <row r="2974" spans="1:10" x14ac:dyDescent="0.25">
      <c r="A2974" t="str">
        <f>IF('01_Rohdaten'!A2974="","",ROW()-1)</f>
        <v/>
      </c>
      <c r="B2974" s="17" t="str">
        <f>IF('01_Rohdaten'!A2974="","",'01_Rohdaten'!A2974)</f>
        <v/>
      </c>
      <c r="C2974" s="17" t="str">
        <f>IF(B2974="","",INDEX('01_Rohdaten'!B2974:D2974,'02_Eingaben'!$C$13))</f>
        <v/>
      </c>
      <c r="D2974" s="17" t="str">
        <f>IF(C2974="","",C2974*'02_Eingaben'!$C$15)</f>
        <v/>
      </c>
      <c r="E2974" s="17" t="str">
        <f>IF(D2974="","",D2974*'02_Eingaben'!$C$8)</f>
        <v/>
      </c>
      <c r="F2974" s="17" t="str">
        <f>IF(E2974="","",AVERAGE(INDEX($E$2:$E$3001,MAX(1,ROW()-1-'02_Eingaben'!$C$17)):INDEX($E$2:$E$3001,MIN('02_Eingaben'!$C$21,ROW()-1+'02_Eingaben'!$C$17))))</f>
        <v/>
      </c>
      <c r="G2974" s="17" t="str">
        <f>IF(F2974="","",F2974-'02_Eingaben'!$C$10)</f>
        <v/>
      </c>
      <c r="H2974" t="str">
        <f>IF(F2974="","",IF(F2974&lt;'02_Eingaben'!$C$18*'02_Eingaben'!$C$10,1,0))</f>
        <v/>
      </c>
      <c r="I2974" s="17" t="str">
        <f t="shared" si="46"/>
        <v/>
      </c>
      <c r="J2974" s="17" t="str">
        <f>IF(B2974="","",IF(B2973&lt;'02_Eingaben'!$C$36,0,J2973+I2973/'02_Eingaben'!$C$8))</f>
        <v/>
      </c>
    </row>
    <row r="2975" spans="1:10" x14ac:dyDescent="0.25">
      <c r="A2975" t="str">
        <f>IF('01_Rohdaten'!A2975="","",ROW()-1)</f>
        <v/>
      </c>
      <c r="B2975" s="17" t="str">
        <f>IF('01_Rohdaten'!A2975="","",'01_Rohdaten'!A2975)</f>
        <v/>
      </c>
      <c r="C2975" s="17" t="str">
        <f>IF(B2975="","",INDEX('01_Rohdaten'!B2975:D2975,'02_Eingaben'!$C$13))</f>
        <v/>
      </c>
      <c r="D2975" s="17" t="str">
        <f>IF(C2975="","",C2975*'02_Eingaben'!$C$15)</f>
        <v/>
      </c>
      <c r="E2975" s="17" t="str">
        <f>IF(D2975="","",D2975*'02_Eingaben'!$C$8)</f>
        <v/>
      </c>
      <c r="F2975" s="17" t="str">
        <f>IF(E2975="","",AVERAGE(INDEX($E$2:$E$3001,MAX(1,ROW()-1-'02_Eingaben'!$C$17)):INDEX($E$2:$E$3001,MIN('02_Eingaben'!$C$21,ROW()-1+'02_Eingaben'!$C$17))))</f>
        <v/>
      </c>
      <c r="G2975" s="17" t="str">
        <f>IF(F2975="","",F2975-'02_Eingaben'!$C$10)</f>
        <v/>
      </c>
      <c r="H2975" t="str">
        <f>IF(F2975="","",IF(F2975&lt;'02_Eingaben'!$C$18*'02_Eingaben'!$C$10,1,0))</f>
        <v/>
      </c>
      <c r="I2975" s="17" t="str">
        <f t="shared" si="46"/>
        <v/>
      </c>
      <c r="J2975" s="17" t="str">
        <f>IF(B2975="","",IF(B2974&lt;'02_Eingaben'!$C$36,0,J2974+I2974/'02_Eingaben'!$C$8))</f>
        <v/>
      </c>
    </row>
    <row r="2976" spans="1:10" x14ac:dyDescent="0.25">
      <c r="A2976" t="str">
        <f>IF('01_Rohdaten'!A2976="","",ROW()-1)</f>
        <v/>
      </c>
      <c r="B2976" s="17" t="str">
        <f>IF('01_Rohdaten'!A2976="","",'01_Rohdaten'!A2976)</f>
        <v/>
      </c>
      <c r="C2976" s="17" t="str">
        <f>IF(B2976="","",INDEX('01_Rohdaten'!B2976:D2976,'02_Eingaben'!$C$13))</f>
        <v/>
      </c>
      <c r="D2976" s="17" t="str">
        <f>IF(C2976="","",C2976*'02_Eingaben'!$C$15)</f>
        <v/>
      </c>
      <c r="E2976" s="17" t="str">
        <f>IF(D2976="","",D2976*'02_Eingaben'!$C$8)</f>
        <v/>
      </c>
      <c r="F2976" s="17" t="str">
        <f>IF(E2976="","",AVERAGE(INDEX($E$2:$E$3001,MAX(1,ROW()-1-'02_Eingaben'!$C$17)):INDEX($E$2:$E$3001,MIN('02_Eingaben'!$C$21,ROW()-1+'02_Eingaben'!$C$17))))</f>
        <v/>
      </c>
      <c r="G2976" s="17" t="str">
        <f>IF(F2976="","",F2976-'02_Eingaben'!$C$10)</f>
        <v/>
      </c>
      <c r="H2976" t="str">
        <f>IF(F2976="","",IF(F2976&lt;'02_Eingaben'!$C$18*'02_Eingaben'!$C$10,1,0))</f>
        <v/>
      </c>
      <c r="I2976" s="17" t="str">
        <f t="shared" si="46"/>
        <v/>
      </c>
      <c r="J2976" s="17" t="str">
        <f>IF(B2976="","",IF(B2975&lt;'02_Eingaben'!$C$36,0,J2975+I2975/'02_Eingaben'!$C$8))</f>
        <v/>
      </c>
    </row>
    <row r="2977" spans="1:10" x14ac:dyDescent="0.25">
      <c r="A2977" t="str">
        <f>IF('01_Rohdaten'!A2977="","",ROW()-1)</f>
        <v/>
      </c>
      <c r="B2977" s="17" t="str">
        <f>IF('01_Rohdaten'!A2977="","",'01_Rohdaten'!A2977)</f>
        <v/>
      </c>
      <c r="C2977" s="17" t="str">
        <f>IF(B2977="","",INDEX('01_Rohdaten'!B2977:D2977,'02_Eingaben'!$C$13))</f>
        <v/>
      </c>
      <c r="D2977" s="17" t="str">
        <f>IF(C2977="","",C2977*'02_Eingaben'!$C$15)</f>
        <v/>
      </c>
      <c r="E2977" s="17" t="str">
        <f>IF(D2977="","",D2977*'02_Eingaben'!$C$8)</f>
        <v/>
      </c>
      <c r="F2977" s="17" t="str">
        <f>IF(E2977="","",AVERAGE(INDEX($E$2:$E$3001,MAX(1,ROW()-1-'02_Eingaben'!$C$17)):INDEX($E$2:$E$3001,MIN('02_Eingaben'!$C$21,ROW()-1+'02_Eingaben'!$C$17))))</f>
        <v/>
      </c>
      <c r="G2977" s="17" t="str">
        <f>IF(F2977="","",F2977-'02_Eingaben'!$C$10)</f>
        <v/>
      </c>
      <c r="H2977" t="str">
        <f>IF(F2977="","",IF(F2977&lt;'02_Eingaben'!$C$18*'02_Eingaben'!$C$10,1,0))</f>
        <v/>
      </c>
      <c r="I2977" s="17" t="str">
        <f t="shared" si="46"/>
        <v/>
      </c>
      <c r="J2977" s="17" t="str">
        <f>IF(B2977="","",IF(B2976&lt;'02_Eingaben'!$C$36,0,J2976+I2976/'02_Eingaben'!$C$8))</f>
        <v/>
      </c>
    </row>
    <row r="2978" spans="1:10" x14ac:dyDescent="0.25">
      <c r="A2978" t="str">
        <f>IF('01_Rohdaten'!A2978="","",ROW()-1)</f>
        <v/>
      </c>
      <c r="B2978" s="17" t="str">
        <f>IF('01_Rohdaten'!A2978="","",'01_Rohdaten'!A2978)</f>
        <v/>
      </c>
      <c r="C2978" s="17" t="str">
        <f>IF(B2978="","",INDEX('01_Rohdaten'!B2978:D2978,'02_Eingaben'!$C$13))</f>
        <v/>
      </c>
      <c r="D2978" s="17" t="str">
        <f>IF(C2978="","",C2978*'02_Eingaben'!$C$15)</f>
        <v/>
      </c>
      <c r="E2978" s="17" t="str">
        <f>IF(D2978="","",D2978*'02_Eingaben'!$C$8)</f>
        <v/>
      </c>
      <c r="F2978" s="17" t="str">
        <f>IF(E2978="","",AVERAGE(INDEX($E$2:$E$3001,MAX(1,ROW()-1-'02_Eingaben'!$C$17)):INDEX($E$2:$E$3001,MIN('02_Eingaben'!$C$21,ROW()-1+'02_Eingaben'!$C$17))))</f>
        <v/>
      </c>
      <c r="G2978" s="17" t="str">
        <f>IF(F2978="","",F2978-'02_Eingaben'!$C$10)</f>
        <v/>
      </c>
      <c r="H2978" t="str">
        <f>IF(F2978="","",IF(F2978&lt;'02_Eingaben'!$C$18*'02_Eingaben'!$C$10,1,0))</f>
        <v/>
      </c>
      <c r="I2978" s="17" t="str">
        <f t="shared" si="46"/>
        <v/>
      </c>
      <c r="J2978" s="17" t="str">
        <f>IF(B2978="","",IF(B2977&lt;'02_Eingaben'!$C$36,0,J2977+I2977/'02_Eingaben'!$C$8))</f>
        <v/>
      </c>
    </row>
    <row r="2979" spans="1:10" x14ac:dyDescent="0.25">
      <c r="A2979" t="str">
        <f>IF('01_Rohdaten'!A2979="","",ROW()-1)</f>
        <v/>
      </c>
      <c r="B2979" s="17" t="str">
        <f>IF('01_Rohdaten'!A2979="","",'01_Rohdaten'!A2979)</f>
        <v/>
      </c>
      <c r="C2979" s="17" t="str">
        <f>IF(B2979="","",INDEX('01_Rohdaten'!B2979:D2979,'02_Eingaben'!$C$13))</f>
        <v/>
      </c>
      <c r="D2979" s="17" t="str">
        <f>IF(C2979="","",C2979*'02_Eingaben'!$C$15)</f>
        <v/>
      </c>
      <c r="E2979" s="17" t="str">
        <f>IF(D2979="","",D2979*'02_Eingaben'!$C$8)</f>
        <v/>
      </c>
      <c r="F2979" s="17" t="str">
        <f>IF(E2979="","",AVERAGE(INDEX($E$2:$E$3001,MAX(1,ROW()-1-'02_Eingaben'!$C$17)):INDEX($E$2:$E$3001,MIN('02_Eingaben'!$C$21,ROW()-1+'02_Eingaben'!$C$17))))</f>
        <v/>
      </c>
      <c r="G2979" s="17" t="str">
        <f>IF(F2979="","",F2979-'02_Eingaben'!$C$10)</f>
        <v/>
      </c>
      <c r="H2979" t="str">
        <f>IF(F2979="","",IF(F2979&lt;'02_Eingaben'!$C$18*'02_Eingaben'!$C$10,1,0))</f>
        <v/>
      </c>
      <c r="I2979" s="17" t="str">
        <f t="shared" si="46"/>
        <v/>
      </c>
      <c r="J2979" s="17" t="str">
        <f>IF(B2979="","",IF(B2978&lt;'02_Eingaben'!$C$36,0,J2978+I2978/'02_Eingaben'!$C$8))</f>
        <v/>
      </c>
    </row>
    <row r="2980" spans="1:10" x14ac:dyDescent="0.25">
      <c r="A2980" t="str">
        <f>IF('01_Rohdaten'!A2980="","",ROW()-1)</f>
        <v/>
      </c>
      <c r="B2980" s="17" t="str">
        <f>IF('01_Rohdaten'!A2980="","",'01_Rohdaten'!A2980)</f>
        <v/>
      </c>
      <c r="C2980" s="17" t="str">
        <f>IF(B2980="","",INDEX('01_Rohdaten'!B2980:D2980,'02_Eingaben'!$C$13))</f>
        <v/>
      </c>
      <c r="D2980" s="17" t="str">
        <f>IF(C2980="","",C2980*'02_Eingaben'!$C$15)</f>
        <v/>
      </c>
      <c r="E2980" s="17" t="str">
        <f>IF(D2980="","",D2980*'02_Eingaben'!$C$8)</f>
        <v/>
      </c>
      <c r="F2980" s="17" t="str">
        <f>IF(E2980="","",AVERAGE(INDEX($E$2:$E$3001,MAX(1,ROW()-1-'02_Eingaben'!$C$17)):INDEX($E$2:$E$3001,MIN('02_Eingaben'!$C$21,ROW()-1+'02_Eingaben'!$C$17))))</f>
        <v/>
      </c>
      <c r="G2980" s="17" t="str">
        <f>IF(F2980="","",F2980-'02_Eingaben'!$C$10)</f>
        <v/>
      </c>
      <c r="H2980" t="str">
        <f>IF(F2980="","",IF(F2980&lt;'02_Eingaben'!$C$18*'02_Eingaben'!$C$10,1,0))</f>
        <v/>
      </c>
      <c r="I2980" s="17" t="str">
        <f t="shared" si="46"/>
        <v/>
      </c>
      <c r="J2980" s="17" t="str">
        <f>IF(B2980="","",IF(B2979&lt;'02_Eingaben'!$C$36,0,J2979+I2979/'02_Eingaben'!$C$8))</f>
        <v/>
      </c>
    </row>
    <row r="2981" spans="1:10" x14ac:dyDescent="0.25">
      <c r="A2981" t="str">
        <f>IF('01_Rohdaten'!A2981="","",ROW()-1)</f>
        <v/>
      </c>
      <c r="B2981" s="17" t="str">
        <f>IF('01_Rohdaten'!A2981="","",'01_Rohdaten'!A2981)</f>
        <v/>
      </c>
      <c r="C2981" s="17" t="str">
        <f>IF(B2981="","",INDEX('01_Rohdaten'!B2981:D2981,'02_Eingaben'!$C$13))</f>
        <v/>
      </c>
      <c r="D2981" s="17" t="str">
        <f>IF(C2981="","",C2981*'02_Eingaben'!$C$15)</f>
        <v/>
      </c>
      <c r="E2981" s="17" t="str">
        <f>IF(D2981="","",D2981*'02_Eingaben'!$C$8)</f>
        <v/>
      </c>
      <c r="F2981" s="17" t="str">
        <f>IF(E2981="","",AVERAGE(INDEX($E$2:$E$3001,MAX(1,ROW()-1-'02_Eingaben'!$C$17)):INDEX($E$2:$E$3001,MIN('02_Eingaben'!$C$21,ROW()-1+'02_Eingaben'!$C$17))))</f>
        <v/>
      </c>
      <c r="G2981" s="17" t="str">
        <f>IF(F2981="","",F2981-'02_Eingaben'!$C$10)</f>
        <v/>
      </c>
      <c r="H2981" t="str">
        <f>IF(F2981="","",IF(F2981&lt;'02_Eingaben'!$C$18*'02_Eingaben'!$C$10,1,0))</f>
        <v/>
      </c>
      <c r="I2981" s="17" t="str">
        <f t="shared" si="46"/>
        <v/>
      </c>
      <c r="J2981" s="17" t="str">
        <f>IF(B2981="","",IF(B2980&lt;'02_Eingaben'!$C$36,0,J2980+I2980/'02_Eingaben'!$C$8))</f>
        <v/>
      </c>
    </row>
    <row r="2982" spans="1:10" x14ac:dyDescent="0.25">
      <c r="A2982" t="str">
        <f>IF('01_Rohdaten'!A2982="","",ROW()-1)</f>
        <v/>
      </c>
      <c r="B2982" s="17" t="str">
        <f>IF('01_Rohdaten'!A2982="","",'01_Rohdaten'!A2982)</f>
        <v/>
      </c>
      <c r="C2982" s="17" t="str">
        <f>IF(B2982="","",INDEX('01_Rohdaten'!B2982:D2982,'02_Eingaben'!$C$13))</f>
        <v/>
      </c>
      <c r="D2982" s="17" t="str">
        <f>IF(C2982="","",C2982*'02_Eingaben'!$C$15)</f>
        <v/>
      </c>
      <c r="E2982" s="17" t="str">
        <f>IF(D2982="","",D2982*'02_Eingaben'!$C$8)</f>
        <v/>
      </c>
      <c r="F2982" s="17" t="str">
        <f>IF(E2982="","",AVERAGE(INDEX($E$2:$E$3001,MAX(1,ROW()-1-'02_Eingaben'!$C$17)):INDEX($E$2:$E$3001,MIN('02_Eingaben'!$C$21,ROW()-1+'02_Eingaben'!$C$17))))</f>
        <v/>
      </c>
      <c r="G2982" s="17" t="str">
        <f>IF(F2982="","",F2982-'02_Eingaben'!$C$10)</f>
        <v/>
      </c>
      <c r="H2982" t="str">
        <f>IF(F2982="","",IF(F2982&lt;'02_Eingaben'!$C$18*'02_Eingaben'!$C$10,1,0))</f>
        <v/>
      </c>
      <c r="I2982" s="17" t="str">
        <f t="shared" si="46"/>
        <v/>
      </c>
      <c r="J2982" s="17" t="str">
        <f>IF(B2982="","",IF(B2981&lt;'02_Eingaben'!$C$36,0,J2981+I2981/'02_Eingaben'!$C$8))</f>
        <v/>
      </c>
    </row>
    <row r="2983" spans="1:10" x14ac:dyDescent="0.25">
      <c r="A2983" t="str">
        <f>IF('01_Rohdaten'!A2983="","",ROW()-1)</f>
        <v/>
      </c>
      <c r="B2983" s="17" t="str">
        <f>IF('01_Rohdaten'!A2983="","",'01_Rohdaten'!A2983)</f>
        <v/>
      </c>
      <c r="C2983" s="17" t="str">
        <f>IF(B2983="","",INDEX('01_Rohdaten'!B2983:D2983,'02_Eingaben'!$C$13))</f>
        <v/>
      </c>
      <c r="D2983" s="17" t="str">
        <f>IF(C2983="","",C2983*'02_Eingaben'!$C$15)</f>
        <v/>
      </c>
      <c r="E2983" s="17" t="str">
        <f>IF(D2983="","",D2983*'02_Eingaben'!$C$8)</f>
        <v/>
      </c>
      <c r="F2983" s="17" t="str">
        <f>IF(E2983="","",AVERAGE(INDEX($E$2:$E$3001,MAX(1,ROW()-1-'02_Eingaben'!$C$17)):INDEX($E$2:$E$3001,MIN('02_Eingaben'!$C$21,ROW()-1+'02_Eingaben'!$C$17))))</f>
        <v/>
      </c>
      <c r="G2983" s="17" t="str">
        <f>IF(F2983="","",F2983-'02_Eingaben'!$C$10)</f>
        <v/>
      </c>
      <c r="H2983" t="str">
        <f>IF(F2983="","",IF(F2983&lt;'02_Eingaben'!$C$18*'02_Eingaben'!$C$10,1,0))</f>
        <v/>
      </c>
      <c r="I2983" s="17" t="str">
        <f t="shared" si="46"/>
        <v/>
      </c>
      <c r="J2983" s="17" t="str">
        <f>IF(B2983="","",IF(B2982&lt;'02_Eingaben'!$C$36,0,J2982+I2982/'02_Eingaben'!$C$8))</f>
        <v/>
      </c>
    </row>
    <row r="2984" spans="1:10" x14ac:dyDescent="0.25">
      <c r="A2984" t="str">
        <f>IF('01_Rohdaten'!A2984="","",ROW()-1)</f>
        <v/>
      </c>
      <c r="B2984" s="17" t="str">
        <f>IF('01_Rohdaten'!A2984="","",'01_Rohdaten'!A2984)</f>
        <v/>
      </c>
      <c r="C2984" s="17" t="str">
        <f>IF(B2984="","",INDEX('01_Rohdaten'!B2984:D2984,'02_Eingaben'!$C$13))</f>
        <v/>
      </c>
      <c r="D2984" s="17" t="str">
        <f>IF(C2984="","",C2984*'02_Eingaben'!$C$15)</f>
        <v/>
      </c>
      <c r="E2984" s="17" t="str">
        <f>IF(D2984="","",D2984*'02_Eingaben'!$C$8)</f>
        <v/>
      </c>
      <c r="F2984" s="17" t="str">
        <f>IF(E2984="","",AVERAGE(INDEX($E$2:$E$3001,MAX(1,ROW()-1-'02_Eingaben'!$C$17)):INDEX($E$2:$E$3001,MIN('02_Eingaben'!$C$21,ROW()-1+'02_Eingaben'!$C$17))))</f>
        <v/>
      </c>
      <c r="G2984" s="17" t="str">
        <f>IF(F2984="","",F2984-'02_Eingaben'!$C$10)</f>
        <v/>
      </c>
      <c r="H2984" t="str">
        <f>IF(F2984="","",IF(F2984&lt;'02_Eingaben'!$C$18*'02_Eingaben'!$C$10,1,0))</f>
        <v/>
      </c>
      <c r="I2984" s="17" t="str">
        <f t="shared" si="46"/>
        <v/>
      </c>
      <c r="J2984" s="17" t="str">
        <f>IF(B2984="","",IF(B2983&lt;'02_Eingaben'!$C$36,0,J2983+I2983/'02_Eingaben'!$C$8))</f>
        <v/>
      </c>
    </row>
    <row r="2985" spans="1:10" x14ac:dyDescent="0.25">
      <c r="A2985" t="str">
        <f>IF('01_Rohdaten'!A2985="","",ROW()-1)</f>
        <v/>
      </c>
      <c r="B2985" s="17" t="str">
        <f>IF('01_Rohdaten'!A2985="","",'01_Rohdaten'!A2985)</f>
        <v/>
      </c>
      <c r="C2985" s="17" t="str">
        <f>IF(B2985="","",INDEX('01_Rohdaten'!B2985:D2985,'02_Eingaben'!$C$13))</f>
        <v/>
      </c>
      <c r="D2985" s="17" t="str">
        <f>IF(C2985="","",C2985*'02_Eingaben'!$C$15)</f>
        <v/>
      </c>
      <c r="E2985" s="17" t="str">
        <f>IF(D2985="","",D2985*'02_Eingaben'!$C$8)</f>
        <v/>
      </c>
      <c r="F2985" s="17" t="str">
        <f>IF(E2985="","",AVERAGE(INDEX($E$2:$E$3001,MAX(1,ROW()-1-'02_Eingaben'!$C$17)):INDEX($E$2:$E$3001,MIN('02_Eingaben'!$C$21,ROW()-1+'02_Eingaben'!$C$17))))</f>
        <v/>
      </c>
      <c r="G2985" s="17" t="str">
        <f>IF(F2985="","",F2985-'02_Eingaben'!$C$10)</f>
        <v/>
      </c>
      <c r="H2985" t="str">
        <f>IF(F2985="","",IF(F2985&lt;'02_Eingaben'!$C$18*'02_Eingaben'!$C$10,1,0))</f>
        <v/>
      </c>
      <c r="I2985" s="17" t="str">
        <f t="shared" si="46"/>
        <v/>
      </c>
      <c r="J2985" s="17" t="str">
        <f>IF(B2985="","",IF(B2984&lt;'02_Eingaben'!$C$36,0,J2984+I2984/'02_Eingaben'!$C$8))</f>
        <v/>
      </c>
    </row>
    <row r="2986" spans="1:10" x14ac:dyDescent="0.25">
      <c r="A2986" t="str">
        <f>IF('01_Rohdaten'!A2986="","",ROW()-1)</f>
        <v/>
      </c>
      <c r="B2986" s="17" t="str">
        <f>IF('01_Rohdaten'!A2986="","",'01_Rohdaten'!A2986)</f>
        <v/>
      </c>
      <c r="C2986" s="17" t="str">
        <f>IF(B2986="","",INDEX('01_Rohdaten'!B2986:D2986,'02_Eingaben'!$C$13))</f>
        <v/>
      </c>
      <c r="D2986" s="17" t="str">
        <f>IF(C2986="","",C2986*'02_Eingaben'!$C$15)</f>
        <v/>
      </c>
      <c r="E2986" s="17" t="str">
        <f>IF(D2986="","",D2986*'02_Eingaben'!$C$8)</f>
        <v/>
      </c>
      <c r="F2986" s="17" t="str">
        <f>IF(E2986="","",AVERAGE(INDEX($E$2:$E$3001,MAX(1,ROW()-1-'02_Eingaben'!$C$17)):INDEX($E$2:$E$3001,MIN('02_Eingaben'!$C$21,ROW()-1+'02_Eingaben'!$C$17))))</f>
        <v/>
      </c>
      <c r="G2986" s="17" t="str">
        <f>IF(F2986="","",F2986-'02_Eingaben'!$C$10)</f>
        <v/>
      </c>
      <c r="H2986" t="str">
        <f>IF(F2986="","",IF(F2986&lt;'02_Eingaben'!$C$18*'02_Eingaben'!$C$10,1,0))</f>
        <v/>
      </c>
      <c r="I2986" s="17" t="str">
        <f t="shared" si="46"/>
        <v/>
      </c>
      <c r="J2986" s="17" t="str">
        <f>IF(B2986="","",IF(B2985&lt;'02_Eingaben'!$C$36,0,J2985+I2985/'02_Eingaben'!$C$8))</f>
        <v/>
      </c>
    </row>
    <row r="2987" spans="1:10" x14ac:dyDescent="0.25">
      <c r="A2987" t="str">
        <f>IF('01_Rohdaten'!A2987="","",ROW()-1)</f>
        <v/>
      </c>
      <c r="B2987" s="17" t="str">
        <f>IF('01_Rohdaten'!A2987="","",'01_Rohdaten'!A2987)</f>
        <v/>
      </c>
      <c r="C2987" s="17" t="str">
        <f>IF(B2987="","",INDEX('01_Rohdaten'!B2987:D2987,'02_Eingaben'!$C$13))</f>
        <v/>
      </c>
      <c r="D2987" s="17" t="str">
        <f>IF(C2987="","",C2987*'02_Eingaben'!$C$15)</f>
        <v/>
      </c>
      <c r="E2987" s="17" t="str">
        <f>IF(D2987="","",D2987*'02_Eingaben'!$C$8)</f>
        <v/>
      </c>
      <c r="F2987" s="17" t="str">
        <f>IF(E2987="","",AVERAGE(INDEX($E$2:$E$3001,MAX(1,ROW()-1-'02_Eingaben'!$C$17)):INDEX($E$2:$E$3001,MIN('02_Eingaben'!$C$21,ROW()-1+'02_Eingaben'!$C$17))))</f>
        <v/>
      </c>
      <c r="G2987" s="17" t="str">
        <f>IF(F2987="","",F2987-'02_Eingaben'!$C$10)</f>
        <v/>
      </c>
      <c r="H2987" t="str">
        <f>IF(F2987="","",IF(F2987&lt;'02_Eingaben'!$C$18*'02_Eingaben'!$C$10,1,0))</f>
        <v/>
      </c>
      <c r="I2987" s="17" t="str">
        <f t="shared" si="46"/>
        <v/>
      </c>
      <c r="J2987" s="17" t="str">
        <f>IF(B2987="","",IF(B2986&lt;'02_Eingaben'!$C$36,0,J2986+I2986/'02_Eingaben'!$C$8))</f>
        <v/>
      </c>
    </row>
    <row r="2988" spans="1:10" x14ac:dyDescent="0.25">
      <c r="A2988" t="str">
        <f>IF('01_Rohdaten'!A2988="","",ROW()-1)</f>
        <v/>
      </c>
      <c r="B2988" s="17" t="str">
        <f>IF('01_Rohdaten'!A2988="","",'01_Rohdaten'!A2988)</f>
        <v/>
      </c>
      <c r="C2988" s="17" t="str">
        <f>IF(B2988="","",INDEX('01_Rohdaten'!B2988:D2988,'02_Eingaben'!$C$13))</f>
        <v/>
      </c>
      <c r="D2988" s="17" t="str">
        <f>IF(C2988="","",C2988*'02_Eingaben'!$C$15)</f>
        <v/>
      </c>
      <c r="E2988" s="17" t="str">
        <f>IF(D2988="","",D2988*'02_Eingaben'!$C$8)</f>
        <v/>
      </c>
      <c r="F2988" s="17" t="str">
        <f>IF(E2988="","",AVERAGE(INDEX($E$2:$E$3001,MAX(1,ROW()-1-'02_Eingaben'!$C$17)):INDEX($E$2:$E$3001,MIN('02_Eingaben'!$C$21,ROW()-1+'02_Eingaben'!$C$17))))</f>
        <v/>
      </c>
      <c r="G2988" s="17" t="str">
        <f>IF(F2988="","",F2988-'02_Eingaben'!$C$10)</f>
        <v/>
      </c>
      <c r="H2988" t="str">
        <f>IF(F2988="","",IF(F2988&lt;'02_Eingaben'!$C$18*'02_Eingaben'!$C$10,1,0))</f>
        <v/>
      </c>
      <c r="I2988" s="17" t="str">
        <f t="shared" si="46"/>
        <v/>
      </c>
      <c r="J2988" s="17" t="str">
        <f>IF(B2988="","",IF(B2987&lt;'02_Eingaben'!$C$36,0,J2987+I2987/'02_Eingaben'!$C$8))</f>
        <v/>
      </c>
    </row>
    <row r="2989" spans="1:10" x14ac:dyDescent="0.25">
      <c r="A2989" t="str">
        <f>IF('01_Rohdaten'!A2989="","",ROW()-1)</f>
        <v/>
      </c>
      <c r="B2989" s="17" t="str">
        <f>IF('01_Rohdaten'!A2989="","",'01_Rohdaten'!A2989)</f>
        <v/>
      </c>
      <c r="C2989" s="17" t="str">
        <f>IF(B2989="","",INDEX('01_Rohdaten'!B2989:D2989,'02_Eingaben'!$C$13))</f>
        <v/>
      </c>
      <c r="D2989" s="17" t="str">
        <f>IF(C2989="","",C2989*'02_Eingaben'!$C$15)</f>
        <v/>
      </c>
      <c r="E2989" s="17" t="str">
        <f>IF(D2989="","",D2989*'02_Eingaben'!$C$8)</f>
        <v/>
      </c>
      <c r="F2989" s="17" t="str">
        <f>IF(E2989="","",AVERAGE(INDEX($E$2:$E$3001,MAX(1,ROW()-1-'02_Eingaben'!$C$17)):INDEX($E$2:$E$3001,MIN('02_Eingaben'!$C$21,ROW()-1+'02_Eingaben'!$C$17))))</f>
        <v/>
      </c>
      <c r="G2989" s="17" t="str">
        <f>IF(F2989="","",F2989-'02_Eingaben'!$C$10)</f>
        <v/>
      </c>
      <c r="H2989" t="str">
        <f>IF(F2989="","",IF(F2989&lt;'02_Eingaben'!$C$18*'02_Eingaben'!$C$10,1,0))</f>
        <v/>
      </c>
      <c r="I2989" s="17" t="str">
        <f t="shared" si="46"/>
        <v/>
      </c>
      <c r="J2989" s="17" t="str">
        <f>IF(B2989="","",IF(B2988&lt;'02_Eingaben'!$C$36,0,J2988+I2988/'02_Eingaben'!$C$8))</f>
        <v/>
      </c>
    </row>
    <row r="2990" spans="1:10" x14ac:dyDescent="0.25">
      <c r="A2990" t="str">
        <f>IF('01_Rohdaten'!A2990="","",ROW()-1)</f>
        <v/>
      </c>
      <c r="B2990" s="17" t="str">
        <f>IF('01_Rohdaten'!A2990="","",'01_Rohdaten'!A2990)</f>
        <v/>
      </c>
      <c r="C2990" s="17" t="str">
        <f>IF(B2990="","",INDEX('01_Rohdaten'!B2990:D2990,'02_Eingaben'!$C$13))</f>
        <v/>
      </c>
      <c r="D2990" s="17" t="str">
        <f>IF(C2990="","",C2990*'02_Eingaben'!$C$15)</f>
        <v/>
      </c>
      <c r="E2990" s="17" t="str">
        <f>IF(D2990="","",D2990*'02_Eingaben'!$C$8)</f>
        <v/>
      </c>
      <c r="F2990" s="17" t="str">
        <f>IF(E2990="","",AVERAGE(INDEX($E$2:$E$3001,MAX(1,ROW()-1-'02_Eingaben'!$C$17)):INDEX($E$2:$E$3001,MIN('02_Eingaben'!$C$21,ROW()-1+'02_Eingaben'!$C$17))))</f>
        <v/>
      </c>
      <c r="G2990" s="17" t="str">
        <f>IF(F2990="","",F2990-'02_Eingaben'!$C$10)</f>
        <v/>
      </c>
      <c r="H2990" t="str">
        <f>IF(F2990="","",IF(F2990&lt;'02_Eingaben'!$C$18*'02_Eingaben'!$C$10,1,0))</f>
        <v/>
      </c>
      <c r="I2990" s="17" t="str">
        <f t="shared" si="46"/>
        <v/>
      </c>
      <c r="J2990" s="17" t="str">
        <f>IF(B2990="","",IF(B2989&lt;'02_Eingaben'!$C$36,0,J2989+I2989/'02_Eingaben'!$C$8))</f>
        <v/>
      </c>
    </row>
    <row r="2991" spans="1:10" x14ac:dyDescent="0.25">
      <c r="A2991" t="str">
        <f>IF('01_Rohdaten'!A2991="","",ROW()-1)</f>
        <v/>
      </c>
      <c r="B2991" s="17" t="str">
        <f>IF('01_Rohdaten'!A2991="","",'01_Rohdaten'!A2991)</f>
        <v/>
      </c>
      <c r="C2991" s="17" t="str">
        <f>IF(B2991="","",INDEX('01_Rohdaten'!B2991:D2991,'02_Eingaben'!$C$13))</f>
        <v/>
      </c>
      <c r="D2991" s="17" t="str">
        <f>IF(C2991="","",C2991*'02_Eingaben'!$C$15)</f>
        <v/>
      </c>
      <c r="E2991" s="17" t="str">
        <f>IF(D2991="","",D2991*'02_Eingaben'!$C$8)</f>
        <v/>
      </c>
      <c r="F2991" s="17" t="str">
        <f>IF(E2991="","",AVERAGE(INDEX($E$2:$E$3001,MAX(1,ROW()-1-'02_Eingaben'!$C$17)):INDEX($E$2:$E$3001,MIN('02_Eingaben'!$C$21,ROW()-1+'02_Eingaben'!$C$17))))</f>
        <v/>
      </c>
      <c r="G2991" s="17" t="str">
        <f>IF(F2991="","",F2991-'02_Eingaben'!$C$10)</f>
        <v/>
      </c>
      <c r="H2991" t="str">
        <f>IF(F2991="","",IF(F2991&lt;'02_Eingaben'!$C$18*'02_Eingaben'!$C$10,1,0))</f>
        <v/>
      </c>
      <c r="I2991" s="17" t="str">
        <f t="shared" si="46"/>
        <v/>
      </c>
      <c r="J2991" s="17" t="str">
        <f>IF(B2991="","",IF(B2990&lt;'02_Eingaben'!$C$36,0,J2990+I2990/'02_Eingaben'!$C$8))</f>
        <v/>
      </c>
    </row>
    <row r="2992" spans="1:10" x14ac:dyDescent="0.25">
      <c r="A2992" t="str">
        <f>IF('01_Rohdaten'!A2992="","",ROW()-1)</f>
        <v/>
      </c>
      <c r="B2992" s="17" t="str">
        <f>IF('01_Rohdaten'!A2992="","",'01_Rohdaten'!A2992)</f>
        <v/>
      </c>
      <c r="C2992" s="17" t="str">
        <f>IF(B2992="","",INDEX('01_Rohdaten'!B2992:D2992,'02_Eingaben'!$C$13))</f>
        <v/>
      </c>
      <c r="D2992" s="17" t="str">
        <f>IF(C2992="","",C2992*'02_Eingaben'!$C$15)</f>
        <v/>
      </c>
      <c r="E2992" s="17" t="str">
        <f>IF(D2992="","",D2992*'02_Eingaben'!$C$8)</f>
        <v/>
      </c>
      <c r="F2992" s="17" t="str">
        <f>IF(E2992="","",AVERAGE(INDEX($E$2:$E$3001,MAX(1,ROW()-1-'02_Eingaben'!$C$17)):INDEX($E$2:$E$3001,MIN('02_Eingaben'!$C$21,ROW()-1+'02_Eingaben'!$C$17))))</f>
        <v/>
      </c>
      <c r="G2992" s="17" t="str">
        <f>IF(F2992="","",F2992-'02_Eingaben'!$C$10)</f>
        <v/>
      </c>
      <c r="H2992" t="str">
        <f>IF(F2992="","",IF(F2992&lt;'02_Eingaben'!$C$18*'02_Eingaben'!$C$10,1,0))</f>
        <v/>
      </c>
      <c r="I2992" s="17" t="str">
        <f t="shared" si="46"/>
        <v/>
      </c>
      <c r="J2992" s="17" t="str">
        <f>IF(B2992="","",IF(B2991&lt;'02_Eingaben'!$C$36,0,J2991+I2991/'02_Eingaben'!$C$8))</f>
        <v/>
      </c>
    </row>
    <row r="2993" spans="1:10" x14ac:dyDescent="0.25">
      <c r="A2993" t="str">
        <f>IF('01_Rohdaten'!A2993="","",ROW()-1)</f>
        <v/>
      </c>
      <c r="B2993" s="17" t="str">
        <f>IF('01_Rohdaten'!A2993="","",'01_Rohdaten'!A2993)</f>
        <v/>
      </c>
      <c r="C2993" s="17" t="str">
        <f>IF(B2993="","",INDEX('01_Rohdaten'!B2993:D2993,'02_Eingaben'!$C$13))</f>
        <v/>
      </c>
      <c r="D2993" s="17" t="str">
        <f>IF(C2993="","",C2993*'02_Eingaben'!$C$15)</f>
        <v/>
      </c>
      <c r="E2993" s="17" t="str">
        <f>IF(D2993="","",D2993*'02_Eingaben'!$C$8)</f>
        <v/>
      </c>
      <c r="F2993" s="17" t="str">
        <f>IF(E2993="","",AVERAGE(INDEX($E$2:$E$3001,MAX(1,ROW()-1-'02_Eingaben'!$C$17)):INDEX($E$2:$E$3001,MIN('02_Eingaben'!$C$21,ROW()-1+'02_Eingaben'!$C$17))))</f>
        <v/>
      </c>
      <c r="G2993" s="17" t="str">
        <f>IF(F2993="","",F2993-'02_Eingaben'!$C$10)</f>
        <v/>
      </c>
      <c r="H2993" t="str">
        <f>IF(F2993="","",IF(F2993&lt;'02_Eingaben'!$C$18*'02_Eingaben'!$C$10,1,0))</f>
        <v/>
      </c>
      <c r="I2993" s="17" t="str">
        <f t="shared" si="46"/>
        <v/>
      </c>
      <c r="J2993" s="17" t="str">
        <f>IF(B2993="","",IF(B2992&lt;'02_Eingaben'!$C$36,0,J2992+I2992/'02_Eingaben'!$C$8))</f>
        <v/>
      </c>
    </row>
    <row r="2994" spans="1:10" x14ac:dyDescent="0.25">
      <c r="A2994" t="str">
        <f>IF('01_Rohdaten'!A2994="","",ROW()-1)</f>
        <v/>
      </c>
      <c r="B2994" s="17" t="str">
        <f>IF('01_Rohdaten'!A2994="","",'01_Rohdaten'!A2994)</f>
        <v/>
      </c>
      <c r="C2994" s="17" t="str">
        <f>IF(B2994="","",INDEX('01_Rohdaten'!B2994:D2994,'02_Eingaben'!$C$13))</f>
        <v/>
      </c>
      <c r="D2994" s="17" t="str">
        <f>IF(C2994="","",C2994*'02_Eingaben'!$C$15)</f>
        <v/>
      </c>
      <c r="E2994" s="17" t="str">
        <f>IF(D2994="","",D2994*'02_Eingaben'!$C$8)</f>
        <v/>
      </c>
      <c r="F2994" s="17" t="str">
        <f>IF(E2994="","",AVERAGE(INDEX($E$2:$E$3001,MAX(1,ROW()-1-'02_Eingaben'!$C$17)):INDEX($E$2:$E$3001,MIN('02_Eingaben'!$C$21,ROW()-1+'02_Eingaben'!$C$17))))</f>
        <v/>
      </c>
      <c r="G2994" s="17" t="str">
        <f>IF(F2994="","",F2994-'02_Eingaben'!$C$10)</f>
        <v/>
      </c>
      <c r="H2994" t="str">
        <f>IF(F2994="","",IF(F2994&lt;'02_Eingaben'!$C$18*'02_Eingaben'!$C$10,1,0))</f>
        <v/>
      </c>
      <c r="I2994" s="17" t="str">
        <f t="shared" si="46"/>
        <v/>
      </c>
      <c r="J2994" s="17" t="str">
        <f>IF(B2994="","",IF(B2993&lt;'02_Eingaben'!$C$36,0,J2993+I2993/'02_Eingaben'!$C$8))</f>
        <v/>
      </c>
    </row>
    <row r="2995" spans="1:10" x14ac:dyDescent="0.25">
      <c r="A2995" t="str">
        <f>IF('01_Rohdaten'!A2995="","",ROW()-1)</f>
        <v/>
      </c>
      <c r="B2995" s="17" t="str">
        <f>IF('01_Rohdaten'!A2995="","",'01_Rohdaten'!A2995)</f>
        <v/>
      </c>
      <c r="C2995" s="17" t="str">
        <f>IF(B2995="","",INDEX('01_Rohdaten'!B2995:D2995,'02_Eingaben'!$C$13))</f>
        <v/>
      </c>
      <c r="D2995" s="17" t="str">
        <f>IF(C2995="","",C2995*'02_Eingaben'!$C$15)</f>
        <v/>
      </c>
      <c r="E2995" s="17" t="str">
        <f>IF(D2995="","",D2995*'02_Eingaben'!$C$8)</f>
        <v/>
      </c>
      <c r="F2995" s="17" t="str">
        <f>IF(E2995="","",AVERAGE(INDEX($E$2:$E$3001,MAX(1,ROW()-1-'02_Eingaben'!$C$17)):INDEX($E$2:$E$3001,MIN('02_Eingaben'!$C$21,ROW()-1+'02_Eingaben'!$C$17))))</f>
        <v/>
      </c>
      <c r="G2995" s="17" t="str">
        <f>IF(F2995="","",F2995-'02_Eingaben'!$C$10)</f>
        <v/>
      </c>
      <c r="H2995" t="str">
        <f>IF(F2995="","",IF(F2995&lt;'02_Eingaben'!$C$18*'02_Eingaben'!$C$10,1,0))</f>
        <v/>
      </c>
      <c r="I2995" s="17" t="str">
        <f t="shared" si="46"/>
        <v/>
      </c>
      <c r="J2995" s="17" t="str">
        <f>IF(B2995="","",IF(B2994&lt;'02_Eingaben'!$C$36,0,J2994+I2994/'02_Eingaben'!$C$8))</f>
        <v/>
      </c>
    </row>
    <row r="2996" spans="1:10" x14ac:dyDescent="0.25">
      <c r="A2996" t="str">
        <f>IF('01_Rohdaten'!A2996="","",ROW()-1)</f>
        <v/>
      </c>
      <c r="B2996" s="17" t="str">
        <f>IF('01_Rohdaten'!A2996="","",'01_Rohdaten'!A2996)</f>
        <v/>
      </c>
      <c r="C2996" s="17" t="str">
        <f>IF(B2996="","",INDEX('01_Rohdaten'!B2996:D2996,'02_Eingaben'!$C$13))</f>
        <v/>
      </c>
      <c r="D2996" s="17" t="str">
        <f>IF(C2996="","",C2996*'02_Eingaben'!$C$15)</f>
        <v/>
      </c>
      <c r="E2996" s="17" t="str">
        <f>IF(D2996="","",D2996*'02_Eingaben'!$C$8)</f>
        <v/>
      </c>
      <c r="F2996" s="17" t="str">
        <f>IF(E2996="","",AVERAGE(INDEX($E$2:$E$3001,MAX(1,ROW()-1-'02_Eingaben'!$C$17)):INDEX($E$2:$E$3001,MIN('02_Eingaben'!$C$21,ROW()-1+'02_Eingaben'!$C$17))))</f>
        <v/>
      </c>
      <c r="G2996" s="17" t="str">
        <f>IF(F2996="","",F2996-'02_Eingaben'!$C$10)</f>
        <v/>
      </c>
      <c r="H2996" t="str">
        <f>IF(F2996="","",IF(F2996&lt;'02_Eingaben'!$C$18*'02_Eingaben'!$C$10,1,0))</f>
        <v/>
      </c>
      <c r="I2996" s="17" t="str">
        <f t="shared" si="46"/>
        <v/>
      </c>
      <c r="J2996" s="17" t="str">
        <f>IF(B2996="","",IF(B2995&lt;'02_Eingaben'!$C$36,0,J2995+I2995/'02_Eingaben'!$C$8))</f>
        <v/>
      </c>
    </row>
    <row r="2997" spans="1:10" x14ac:dyDescent="0.25">
      <c r="A2997" t="str">
        <f>IF('01_Rohdaten'!A2997="","",ROW()-1)</f>
        <v/>
      </c>
      <c r="B2997" s="17" t="str">
        <f>IF('01_Rohdaten'!A2997="","",'01_Rohdaten'!A2997)</f>
        <v/>
      </c>
      <c r="C2997" s="17" t="str">
        <f>IF(B2997="","",INDEX('01_Rohdaten'!B2997:D2997,'02_Eingaben'!$C$13))</f>
        <v/>
      </c>
      <c r="D2997" s="17" t="str">
        <f>IF(C2997="","",C2997*'02_Eingaben'!$C$15)</f>
        <v/>
      </c>
      <c r="E2997" s="17" t="str">
        <f>IF(D2997="","",D2997*'02_Eingaben'!$C$8)</f>
        <v/>
      </c>
      <c r="F2997" s="17" t="str">
        <f>IF(E2997="","",AVERAGE(INDEX($E$2:$E$3001,MAX(1,ROW()-1-'02_Eingaben'!$C$17)):INDEX($E$2:$E$3001,MIN('02_Eingaben'!$C$21,ROW()-1+'02_Eingaben'!$C$17))))</f>
        <v/>
      </c>
      <c r="G2997" s="17" t="str">
        <f>IF(F2997="","",F2997-'02_Eingaben'!$C$10)</f>
        <v/>
      </c>
      <c r="H2997" t="str">
        <f>IF(F2997="","",IF(F2997&lt;'02_Eingaben'!$C$18*'02_Eingaben'!$C$10,1,0))</f>
        <v/>
      </c>
      <c r="I2997" s="17" t="str">
        <f t="shared" si="46"/>
        <v/>
      </c>
      <c r="J2997" s="17" t="str">
        <f>IF(B2997="","",IF(B2996&lt;'02_Eingaben'!$C$36,0,J2996+I2996/'02_Eingaben'!$C$8))</f>
        <v/>
      </c>
    </row>
    <row r="2998" spans="1:10" x14ac:dyDescent="0.25">
      <c r="A2998" t="str">
        <f>IF('01_Rohdaten'!A2998="","",ROW()-1)</f>
        <v/>
      </c>
      <c r="B2998" s="17" t="str">
        <f>IF('01_Rohdaten'!A2998="","",'01_Rohdaten'!A2998)</f>
        <v/>
      </c>
      <c r="C2998" s="17" t="str">
        <f>IF(B2998="","",INDEX('01_Rohdaten'!B2998:D2998,'02_Eingaben'!$C$13))</f>
        <v/>
      </c>
      <c r="D2998" s="17" t="str">
        <f>IF(C2998="","",C2998*'02_Eingaben'!$C$15)</f>
        <v/>
      </c>
      <c r="E2998" s="17" t="str">
        <f>IF(D2998="","",D2998*'02_Eingaben'!$C$8)</f>
        <v/>
      </c>
      <c r="F2998" s="17" t="str">
        <f>IF(E2998="","",AVERAGE(INDEX($E$2:$E$3001,MAX(1,ROW()-1-'02_Eingaben'!$C$17)):INDEX($E$2:$E$3001,MIN('02_Eingaben'!$C$21,ROW()-1+'02_Eingaben'!$C$17))))</f>
        <v/>
      </c>
      <c r="G2998" s="17" t="str">
        <f>IF(F2998="","",F2998-'02_Eingaben'!$C$10)</f>
        <v/>
      </c>
      <c r="H2998" t="str">
        <f>IF(F2998="","",IF(F2998&lt;'02_Eingaben'!$C$18*'02_Eingaben'!$C$10,1,0))</f>
        <v/>
      </c>
      <c r="I2998" s="17" t="str">
        <f t="shared" si="46"/>
        <v/>
      </c>
      <c r="J2998" s="17" t="str">
        <f>IF(B2998="","",IF(B2997&lt;'02_Eingaben'!$C$36,0,J2997+I2997/'02_Eingaben'!$C$8))</f>
        <v/>
      </c>
    </row>
    <row r="2999" spans="1:10" x14ac:dyDescent="0.25">
      <c r="A2999" t="str">
        <f>IF('01_Rohdaten'!A2999="","",ROW()-1)</f>
        <v/>
      </c>
      <c r="B2999" s="17" t="str">
        <f>IF('01_Rohdaten'!A2999="","",'01_Rohdaten'!A2999)</f>
        <v/>
      </c>
      <c r="C2999" s="17" t="str">
        <f>IF(B2999="","",INDEX('01_Rohdaten'!B2999:D2999,'02_Eingaben'!$C$13))</f>
        <v/>
      </c>
      <c r="D2999" s="17" t="str">
        <f>IF(C2999="","",C2999*'02_Eingaben'!$C$15)</f>
        <v/>
      </c>
      <c r="E2999" s="17" t="str">
        <f>IF(D2999="","",D2999*'02_Eingaben'!$C$8)</f>
        <v/>
      </c>
      <c r="F2999" s="17" t="str">
        <f>IF(E2999="","",AVERAGE(INDEX($E$2:$E$3001,MAX(1,ROW()-1-'02_Eingaben'!$C$17)):INDEX($E$2:$E$3001,MIN('02_Eingaben'!$C$21,ROW()-1+'02_Eingaben'!$C$17))))</f>
        <v/>
      </c>
      <c r="G2999" s="17" t="str">
        <f>IF(F2999="","",F2999-'02_Eingaben'!$C$10)</f>
        <v/>
      </c>
      <c r="H2999" t="str">
        <f>IF(F2999="","",IF(F2999&lt;'02_Eingaben'!$C$18*'02_Eingaben'!$C$10,1,0))</f>
        <v/>
      </c>
      <c r="I2999" s="17" t="str">
        <f t="shared" si="46"/>
        <v/>
      </c>
      <c r="J2999" s="17" t="str">
        <f>IF(B2999="","",IF(B2998&lt;'02_Eingaben'!$C$36,0,J2998+I2998/'02_Eingaben'!$C$8))</f>
        <v/>
      </c>
    </row>
    <row r="3000" spans="1:10" x14ac:dyDescent="0.25">
      <c r="A3000" t="str">
        <f>IF('01_Rohdaten'!A3000="","",ROW()-1)</f>
        <v/>
      </c>
      <c r="B3000" s="17" t="str">
        <f>IF('01_Rohdaten'!A3000="","",'01_Rohdaten'!A3000)</f>
        <v/>
      </c>
      <c r="C3000" s="17" t="str">
        <f>IF(B3000="","",INDEX('01_Rohdaten'!B3000:D3000,'02_Eingaben'!$C$13))</f>
        <v/>
      </c>
      <c r="D3000" s="17" t="str">
        <f>IF(C3000="","",C3000*'02_Eingaben'!$C$15)</f>
        <v/>
      </c>
      <c r="E3000" s="17" t="str">
        <f>IF(D3000="","",D3000*'02_Eingaben'!$C$8)</f>
        <v/>
      </c>
      <c r="F3000" s="17" t="str">
        <f>IF(E3000="","",AVERAGE(INDEX($E$2:$E$3001,MAX(1,ROW()-1-'02_Eingaben'!$C$17)):INDEX($E$2:$E$3001,MIN('02_Eingaben'!$C$21,ROW()-1+'02_Eingaben'!$C$17))))</f>
        <v/>
      </c>
      <c r="G3000" s="17" t="str">
        <f>IF(F3000="","",F3000-'02_Eingaben'!$C$10)</f>
        <v/>
      </c>
      <c r="H3000" t="str">
        <f>IF(F3000="","",IF(F3000&lt;'02_Eingaben'!$C$18*'02_Eingaben'!$C$10,1,0))</f>
        <v/>
      </c>
      <c r="I3000" s="17" t="str">
        <f t="shared" si="46"/>
        <v/>
      </c>
      <c r="J3000" s="17" t="str">
        <f>IF(B3000="","",IF(B2999&lt;'02_Eingaben'!$C$36,0,J2999+I2999/'02_Eingaben'!$C$8))</f>
        <v/>
      </c>
    </row>
    <row r="3001" spans="1:10" x14ac:dyDescent="0.25">
      <c r="A3001" t="str">
        <f>IF('01_Rohdaten'!A3001="","",ROW()-1)</f>
        <v/>
      </c>
      <c r="B3001" s="17" t="str">
        <f>IF('01_Rohdaten'!A3001="","",'01_Rohdaten'!A3001)</f>
        <v/>
      </c>
      <c r="C3001" s="17" t="str">
        <f>IF(B3001="","",INDEX('01_Rohdaten'!B3001:D3001,'02_Eingaben'!$C$13))</f>
        <v/>
      </c>
      <c r="D3001" s="17" t="str">
        <f>IF(C3001="","",C3001*'02_Eingaben'!$C$15)</f>
        <v/>
      </c>
      <c r="E3001" s="17" t="str">
        <f>IF(D3001="","",D3001*'02_Eingaben'!$C$8)</f>
        <v/>
      </c>
      <c r="F3001" s="17" t="str">
        <f>IF(E3001="","",AVERAGE(INDEX($E$2:$E$3001,MAX(1,ROW()-1-'02_Eingaben'!$C$17)):INDEX($E$2:$E$3001,MIN('02_Eingaben'!$C$21,ROW()-1+'02_Eingaben'!$C$17))))</f>
        <v/>
      </c>
      <c r="G3001" s="17" t="str">
        <f>IF(F3001="","",F3001-'02_Eingaben'!$C$10)</f>
        <v/>
      </c>
      <c r="H3001" t="str">
        <f>IF(F3001="","",IF(F3001&lt;'02_Eingaben'!$C$18*'02_Eingaben'!$C$10,1,0))</f>
        <v/>
      </c>
      <c r="I3001" s="17" t="str">
        <f>""</f>
        <v/>
      </c>
      <c r="J3001" s="17" t="str">
        <f>IF(B3001="","",IF(B3000&lt;'02_Eingaben'!$C$36,0,J3000+I3000/'02_Eingaben'!$C$8))</f>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63"/>
  <sheetViews>
    <sheetView workbookViewId="0"/>
  </sheetViews>
  <sheetFormatPr baseColWidth="10" defaultColWidth="9.140625" defaultRowHeight="15" x14ac:dyDescent="0.25"/>
  <cols>
    <col min="1" max="1" width="3" customWidth="1"/>
    <col min="2" max="2" width="44" customWidth="1"/>
    <col min="3" max="3" width="16" customWidth="1"/>
    <col min="4" max="4" width="10" customWidth="1"/>
    <col min="5" max="5" width="72" customWidth="1"/>
  </cols>
  <sheetData>
    <row r="1" spans="2:5" ht="18.75" x14ac:dyDescent="0.3">
      <c r="B1" s="7" t="s">
        <v>85</v>
      </c>
    </row>
    <row r="3" spans="2:5" x14ac:dyDescent="0.25">
      <c r="B3" s="8" t="s">
        <v>86</v>
      </c>
    </row>
    <row r="4" spans="2:5" x14ac:dyDescent="0.25">
      <c r="B4" t="s">
        <v>87</v>
      </c>
      <c r="C4" s="14" t="str">
        <f>'02_Eingaben'!C34</f>
        <v/>
      </c>
      <c r="D4" t="s">
        <v>66</v>
      </c>
      <c r="E4" s="10"/>
    </row>
    <row r="5" spans="2:5" x14ac:dyDescent="0.25">
      <c r="B5" t="s">
        <v>88</v>
      </c>
      <c r="C5" s="14" t="str">
        <f>'02_Eingaben'!C35</f>
        <v/>
      </c>
      <c r="D5" t="s">
        <v>66</v>
      </c>
      <c r="E5" s="10"/>
    </row>
    <row r="6" spans="2:5" x14ac:dyDescent="0.25">
      <c r="B6" t="s">
        <v>89</v>
      </c>
      <c r="C6" s="14" t="str">
        <f>IF(OR(C4="",C5=""),"",C5-C4)</f>
        <v/>
      </c>
      <c r="D6" t="s">
        <v>66</v>
      </c>
      <c r="E6" s="10"/>
    </row>
    <row r="7" spans="2:5" x14ac:dyDescent="0.25">
      <c r="B7" t="s">
        <v>90</v>
      </c>
      <c r="C7" s="18" t="str">
        <f>IF(C6="","",'02_Eingaben'!C9*C6^2/8)</f>
        <v/>
      </c>
      <c r="D7" t="s">
        <v>91</v>
      </c>
      <c r="E7" s="10" t="s">
        <v>92</v>
      </c>
    </row>
    <row r="8" spans="2:5" x14ac:dyDescent="0.25">
      <c r="B8" t="s">
        <v>90</v>
      </c>
      <c r="C8" s="19" t="str">
        <f>IF(C7="","",C7*100)</f>
        <v/>
      </c>
      <c r="D8" t="s">
        <v>93</v>
      </c>
      <c r="E8" s="10"/>
    </row>
    <row r="10" spans="2:5" x14ac:dyDescent="0.25">
      <c r="B10" s="8" t="s">
        <v>94</v>
      </c>
    </row>
    <row r="11" spans="2:5" x14ac:dyDescent="0.25">
      <c r="B11" t="s">
        <v>95</v>
      </c>
      <c r="C11" s="14" t="str">
        <f>'02_Eingaben'!C36</f>
        <v/>
      </c>
      <c r="D11" t="s">
        <v>66</v>
      </c>
      <c r="E11" s="10"/>
    </row>
    <row r="12" spans="2:5" x14ac:dyDescent="0.25">
      <c r="B12" t="s">
        <v>96</v>
      </c>
      <c r="C12" s="14" t="str">
        <f>IF(OR(C11="",C4=""),"",SUMIFS('03_Auswertung'!I2:I3001,'03_Auswertung'!B2:B3001,"&gt;="&amp;C11,'03_Auswertung'!B2:B3001,"&lt;"&amp;C4))</f>
        <v/>
      </c>
      <c r="D12" t="s">
        <v>97</v>
      </c>
      <c r="E12" s="10" t="s">
        <v>98</v>
      </c>
    </row>
    <row r="13" spans="2:5" x14ac:dyDescent="0.25">
      <c r="B13" t="s">
        <v>99</v>
      </c>
      <c r="C13" s="14" t="str">
        <f>IF(C12="","",C12/'02_Eingaben'!C8)</f>
        <v/>
      </c>
      <c r="D13" t="s">
        <v>100</v>
      </c>
      <c r="E13" s="10" t="s">
        <v>101</v>
      </c>
    </row>
    <row r="14" spans="2:5" x14ac:dyDescent="0.25">
      <c r="B14" t="s">
        <v>102</v>
      </c>
      <c r="C14" s="18" t="str">
        <f>IF(C13="","",C13^2/(2*'02_Eingaben'!C9))</f>
        <v/>
      </c>
      <c r="D14" t="s">
        <v>91</v>
      </c>
      <c r="E14" s="10" t="s">
        <v>103</v>
      </c>
    </row>
    <row r="15" spans="2:5" x14ac:dyDescent="0.25">
      <c r="B15" t="s">
        <v>102</v>
      </c>
      <c r="C15" s="19" t="str">
        <f>IF(C14="","",C14*100)</f>
        <v/>
      </c>
      <c r="D15" t="s">
        <v>93</v>
      </c>
      <c r="E15" s="10"/>
    </row>
    <row r="17" spans="2:5" x14ac:dyDescent="0.25">
      <c r="B17" s="8" t="s">
        <v>104</v>
      </c>
    </row>
    <row r="18" spans="2:5" x14ac:dyDescent="0.25">
      <c r="B18" t="s">
        <v>105</v>
      </c>
      <c r="C18" s="19" t="str">
        <f>IF(OR(C8="",C15=""),"",C15-C8)</f>
        <v/>
      </c>
      <c r="D18" t="s">
        <v>93</v>
      </c>
      <c r="E18" s="10"/>
    </row>
    <row r="19" spans="2:5" ht="24" x14ac:dyDescent="0.25">
      <c r="B19" t="s">
        <v>106</v>
      </c>
      <c r="C19" s="20" t="str">
        <f>IF(OR(C8="",C15="",C8=0),"",(C15-C8)/C8)</f>
        <v/>
      </c>
      <c r="E19" s="10" t="s">
        <v>107</v>
      </c>
    </row>
    <row r="21" spans="2:5" x14ac:dyDescent="0.25">
      <c r="B21" s="8" t="s">
        <v>108</v>
      </c>
    </row>
    <row r="22" spans="2:5" x14ac:dyDescent="0.25">
      <c r="B22" s="25" t="s">
        <v>109</v>
      </c>
      <c r="C22" s="26"/>
      <c r="D22" s="26"/>
      <c r="E22" s="26"/>
    </row>
    <row r="23" spans="2:5" x14ac:dyDescent="0.25">
      <c r="B23" s="26"/>
      <c r="C23" s="26"/>
      <c r="D23" s="26"/>
      <c r="E23" s="26"/>
    </row>
    <row r="25" spans="2:5" ht="36" x14ac:dyDescent="0.25">
      <c r="B25" s="8" t="s">
        <v>110</v>
      </c>
      <c r="C25" s="18" t="str">
        <f>IFERROR(AVERAGEIFS('03_Auswertung'!J2:J3001,'03_Auswertung'!B2:B3001,"&gt;="&amp;C11-1,'03_Auswertung'!B2:B3001,"&lt;"&amp;C11),"")</f>
        <v/>
      </c>
      <c r="D25" t="s">
        <v>100</v>
      </c>
      <c r="E25" s="10" t="s">
        <v>111</v>
      </c>
    </row>
    <row r="26" spans="2:5" ht="36" x14ac:dyDescent="0.25">
      <c r="B26" s="8" t="s">
        <v>112</v>
      </c>
      <c r="C26" s="18" t="str">
        <f>IFERROR(AVERAGEIFS('03_Auswertung'!J2:J3001,'03_Auswertung'!B2:B3001,"&gt;="&amp;C5+0.5,'03_Auswertung'!B2:B3001,"&lt;="&amp;C5+1.5),"")</f>
        <v/>
      </c>
      <c r="D26" t="s">
        <v>100</v>
      </c>
      <c r="E26" s="10" t="s">
        <v>113</v>
      </c>
    </row>
    <row r="27" spans="2:5" ht="48" x14ac:dyDescent="0.25">
      <c r="B27" s="8" t="s">
        <v>114</v>
      </c>
      <c r="C27" s="18" t="str">
        <f>IFERROR(LOOKUP(C5,'03_Auswertung'!B2:B3001,'03_Auswertung'!J2:J3001)+LOOKUP(C4,'03_Auswertung'!B2:B3001,'03_Auswertung'!J2:J3001),"")</f>
        <v/>
      </c>
      <c r="D27" t="s">
        <v>100</v>
      </c>
      <c r="E27" s="10" t="s">
        <v>115</v>
      </c>
    </row>
    <row r="28" spans="2:5" ht="48" x14ac:dyDescent="0.25">
      <c r="B28" s="8" t="s">
        <v>116</v>
      </c>
      <c r="C28" s="18" t="str">
        <f>IFERROR(_xlfn.AGGREGATE(15,6,'03_Auswertung'!J2:J3001/(('03_Auswertung'!B2:B3001&gt;=C11)*('03_Auswertung'!B2:B3001&lt;C4)),1),"")</f>
        <v/>
      </c>
      <c r="D28" t="s">
        <v>100</v>
      </c>
      <c r="E28" s="10" t="s">
        <v>117</v>
      </c>
    </row>
    <row r="30" spans="2:5" x14ac:dyDescent="0.25">
      <c r="B30" t="s">
        <v>118</v>
      </c>
      <c r="C30" s="9" t="s">
        <v>119</v>
      </c>
      <c r="E30" s="6" t="s">
        <v>120</v>
      </c>
    </row>
    <row r="31" spans="2:5" ht="24" x14ac:dyDescent="0.25">
      <c r="B31" s="8" t="s">
        <v>121</v>
      </c>
      <c r="C31" s="21" t="str">
        <f>IF(C28="","",IF(C30="CMJ",IF(C28&lt;-0.3,"gueltig: Gegenbewegung vorhanden","pruefen: kaum Gegenbewegung erkennbar"),IF(C28&gt;-0.15,"gueltig: keine Gegenbewegung","UNGUELTIG: Gegenbewegung im Squat Jump")))</f>
        <v/>
      </c>
      <c r="E31" s="10" t="s">
        <v>122</v>
      </c>
    </row>
    <row r="33" spans="2:5" x14ac:dyDescent="0.25">
      <c r="B33" s="8" t="s">
        <v>123</v>
      </c>
    </row>
    <row r="34" spans="2:5" x14ac:dyDescent="0.25">
      <c r="B34" t="s">
        <v>124</v>
      </c>
      <c r="C34" s="22">
        <f>'02_Eingaben'!C16</f>
        <v>9</v>
      </c>
      <c r="E34" s="10" t="s">
        <v>125</v>
      </c>
    </row>
    <row r="35" spans="2:5" x14ac:dyDescent="0.25">
      <c r="B35" t="s">
        <v>126</v>
      </c>
      <c r="C35" s="23"/>
      <c r="E35" s="10" t="s">
        <v>127</v>
      </c>
    </row>
    <row r="36" spans="2:5" x14ac:dyDescent="0.25">
      <c r="B36" t="s">
        <v>128</v>
      </c>
      <c r="C36" s="23"/>
      <c r="E36" s="10" t="s">
        <v>129</v>
      </c>
    </row>
    <row r="37" spans="2:5" ht="24" x14ac:dyDescent="0.25">
      <c r="B37" t="s">
        <v>130</v>
      </c>
      <c r="C37" s="23"/>
      <c r="E37" s="10" t="s">
        <v>131</v>
      </c>
    </row>
    <row r="38" spans="2:5" x14ac:dyDescent="0.25">
      <c r="B38" t="s">
        <v>132</v>
      </c>
      <c r="C38" s="23"/>
      <c r="E38" s="10" t="s">
        <v>133</v>
      </c>
    </row>
    <row r="39" spans="2:5" ht="24" x14ac:dyDescent="0.25">
      <c r="B39" t="s">
        <v>134</v>
      </c>
      <c r="C39" s="23"/>
      <c r="E39" s="10" t="s">
        <v>135</v>
      </c>
    </row>
    <row r="40" spans="2:5" ht="24" x14ac:dyDescent="0.25">
      <c r="B40" t="s">
        <v>136</v>
      </c>
      <c r="C40" s="23"/>
      <c r="E40" s="10" t="s">
        <v>137</v>
      </c>
    </row>
    <row r="42" spans="2:5" x14ac:dyDescent="0.25">
      <c r="B42" s="8" t="s">
        <v>138</v>
      </c>
    </row>
    <row r="43" spans="2:5" x14ac:dyDescent="0.25">
      <c r="B43" s="25" t="s">
        <v>139</v>
      </c>
      <c r="C43" s="26"/>
      <c r="D43" s="26"/>
      <c r="E43" s="26"/>
    </row>
    <row r="44" spans="2:5" x14ac:dyDescent="0.25">
      <c r="B44" s="26"/>
      <c r="C44" s="26"/>
      <c r="D44" s="26"/>
      <c r="E44" s="26"/>
    </row>
    <row r="45" spans="2:5" x14ac:dyDescent="0.25">
      <c r="B45" s="26"/>
      <c r="C45" s="26"/>
      <c r="D45" s="26"/>
      <c r="E45" s="26"/>
    </row>
    <row r="46" spans="2:5" x14ac:dyDescent="0.25">
      <c r="B46" s="26"/>
      <c r="C46" s="26"/>
      <c r="D46" s="26"/>
      <c r="E46" s="26"/>
    </row>
    <row r="47" spans="2:5" x14ac:dyDescent="0.25">
      <c r="B47" s="26"/>
      <c r="C47" s="26"/>
      <c r="D47" s="26"/>
      <c r="E47" s="26"/>
    </row>
    <row r="48" spans="2:5" x14ac:dyDescent="0.25">
      <c r="B48" s="26"/>
      <c r="C48" s="26"/>
      <c r="D48" s="26"/>
      <c r="E48" s="26"/>
    </row>
    <row r="49" spans="2:5" x14ac:dyDescent="0.25">
      <c r="B49" s="26"/>
      <c r="C49" s="26"/>
      <c r="D49" s="26"/>
      <c r="E49" s="26"/>
    </row>
    <row r="50" spans="2:5" x14ac:dyDescent="0.25">
      <c r="B50" s="26"/>
      <c r="C50" s="26"/>
      <c r="D50" s="26"/>
      <c r="E50" s="26"/>
    </row>
    <row r="51" spans="2:5" x14ac:dyDescent="0.25">
      <c r="B51" s="26"/>
      <c r="C51" s="26"/>
      <c r="D51" s="26"/>
      <c r="E51" s="26"/>
    </row>
    <row r="52" spans="2:5" x14ac:dyDescent="0.25">
      <c r="B52" s="26"/>
      <c r="C52" s="26"/>
      <c r="D52" s="26"/>
      <c r="E52" s="26"/>
    </row>
    <row r="53" spans="2:5" x14ac:dyDescent="0.25">
      <c r="B53" s="26"/>
      <c r="C53" s="26"/>
      <c r="D53" s="26"/>
      <c r="E53" s="26"/>
    </row>
    <row r="54" spans="2:5" x14ac:dyDescent="0.25">
      <c r="B54" s="26"/>
      <c r="C54" s="26"/>
      <c r="D54" s="26"/>
      <c r="E54" s="26"/>
    </row>
    <row r="55" spans="2:5" x14ac:dyDescent="0.25">
      <c r="B55" s="26"/>
      <c r="C55" s="26"/>
      <c r="D55" s="26"/>
      <c r="E55" s="26"/>
    </row>
    <row r="56" spans="2:5" x14ac:dyDescent="0.25">
      <c r="B56" s="26"/>
      <c r="C56" s="26"/>
      <c r="D56" s="26"/>
      <c r="E56" s="26"/>
    </row>
    <row r="57" spans="2:5" x14ac:dyDescent="0.25">
      <c r="B57" s="26"/>
      <c r="C57" s="26"/>
      <c r="D57" s="26"/>
      <c r="E57" s="26"/>
    </row>
    <row r="58" spans="2:5" x14ac:dyDescent="0.25">
      <c r="B58" s="26"/>
      <c r="C58" s="26"/>
      <c r="D58" s="26"/>
      <c r="E58" s="26"/>
    </row>
    <row r="59" spans="2:5" x14ac:dyDescent="0.25">
      <c r="B59" s="26"/>
      <c r="C59" s="26"/>
      <c r="D59" s="26"/>
      <c r="E59" s="26"/>
    </row>
    <row r="60" spans="2:5" x14ac:dyDescent="0.25">
      <c r="B60" s="26"/>
      <c r="C60" s="26"/>
      <c r="D60" s="26"/>
      <c r="E60" s="26"/>
    </row>
    <row r="61" spans="2:5" x14ac:dyDescent="0.25">
      <c r="B61" s="26"/>
      <c r="C61" s="26"/>
      <c r="D61" s="26"/>
      <c r="E61" s="26"/>
    </row>
    <row r="62" spans="2:5" x14ac:dyDescent="0.25">
      <c r="B62" s="26"/>
      <c r="C62" s="26"/>
      <c r="D62" s="26"/>
      <c r="E62" s="26"/>
    </row>
    <row r="63" spans="2:5" x14ac:dyDescent="0.25">
      <c r="B63" s="26"/>
      <c r="C63" s="26"/>
      <c r="D63" s="26"/>
      <c r="E63" s="26"/>
    </row>
  </sheetData>
  <mergeCells count="2">
    <mergeCell ref="B43:E63"/>
    <mergeCell ref="B22:E23"/>
  </mergeCells>
  <dataValidations count="1">
    <dataValidation type="list" sqref="C30" xr:uid="{00000000-0002-0000-0400-000000000000}">
      <formula1>"CMJ,SJ"</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50"/>
  <sheetViews>
    <sheetView workbookViewId="0"/>
  </sheetViews>
  <sheetFormatPr baseColWidth="10" defaultColWidth="9.140625" defaultRowHeight="15" x14ac:dyDescent="0.25"/>
  <cols>
    <col min="1" max="1" width="3" customWidth="1"/>
    <col min="2" max="2" width="112" customWidth="1"/>
  </cols>
  <sheetData>
    <row r="1" spans="2:2" ht="18.75" x14ac:dyDescent="0.3">
      <c r="B1" s="7" t="s">
        <v>140</v>
      </c>
    </row>
    <row r="2" spans="2:2" x14ac:dyDescent="0.25">
      <c r="B2" s="25" t="s">
        <v>163</v>
      </c>
    </row>
    <row r="3" spans="2:2" x14ac:dyDescent="0.25">
      <c r="B3" s="26"/>
    </row>
    <row r="5" spans="2:2" x14ac:dyDescent="0.25">
      <c r="B5" s="8" t="s">
        <v>141</v>
      </c>
    </row>
    <row r="6" spans="2:2" x14ac:dyDescent="0.25">
      <c r="B6" s="25" t="s">
        <v>142</v>
      </c>
    </row>
    <row r="7" spans="2:2" x14ac:dyDescent="0.25">
      <c r="B7" s="26"/>
    </row>
    <row r="24" spans="2:2" x14ac:dyDescent="0.25">
      <c r="B24" s="8" t="s">
        <v>143</v>
      </c>
    </row>
    <row r="25" spans="2:2" x14ac:dyDescent="0.25">
      <c r="B25" s="25" t="s">
        <v>144</v>
      </c>
    </row>
    <row r="26" spans="2:2" x14ac:dyDescent="0.25">
      <c r="B26" s="26"/>
    </row>
    <row r="27" spans="2:2" x14ac:dyDescent="0.25">
      <c r="B27" s="26"/>
    </row>
    <row r="47" spans="2:2" x14ac:dyDescent="0.25">
      <c r="B47" s="8" t="s">
        <v>145</v>
      </c>
    </row>
    <row r="48" spans="2:2" x14ac:dyDescent="0.25">
      <c r="B48" s="25" t="s">
        <v>164</v>
      </c>
    </row>
    <row r="49" spans="2:2" x14ac:dyDescent="0.25">
      <c r="B49" s="26"/>
    </row>
    <row r="50" spans="2:2" x14ac:dyDescent="0.25">
      <c r="B50" s="26"/>
    </row>
  </sheetData>
  <mergeCells count="4">
    <mergeCell ref="B48:B50"/>
    <mergeCell ref="B6:B7"/>
    <mergeCell ref="B25:B27"/>
    <mergeCell ref="B2:B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00_Anleitung</vt:lpstr>
      <vt:lpstr>01_Rohdaten</vt:lpstr>
      <vt:lpstr>02_Eingaben</vt:lpstr>
      <vt:lpstr>03_Auswertung</vt:lpstr>
      <vt:lpstr>04_Ergebnis</vt:lpstr>
      <vt:lpstr>05_Diagramme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Ertelt</cp:lastModifiedBy>
  <dcterms:modified xsi:type="dcterms:W3CDTF">2026-09-22T18:01:39Z</dcterms:modified>
</cp:coreProperties>
</file>